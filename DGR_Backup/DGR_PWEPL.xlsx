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Users\Mauli mane\Desktop\DGR 17.02\"/>
    </mc:Choice>
  </mc:AlternateContent>
  <xr:revisionPtr revIDLastSave="0" documentId="13_ncr:1_{109DA184-E374-4E40-BD88-B1042FFF2947}" xr6:coauthVersionLast="47" xr6:coauthVersionMax="47" xr10:uidLastSave="{00000000-0000-0000-0000-000000000000}"/>
  <bookViews>
    <workbookView xWindow="-120" yWindow="-120" windowWidth="20730" windowHeight="11160" tabRatio="826" xr2:uid="{00000000-000D-0000-FFFF-FFFF00000000}"/>
  </bookViews>
  <sheets>
    <sheet name="O2Summary" sheetId="11" r:id="rId1"/>
    <sheet name="MonthlyKPI" sheetId="9" r:id="rId2"/>
    <sheet name="AnnualKPI" sheetId="10" r:id="rId3"/>
    <sheet name="Analytics" sheetId="12" r:id="rId4"/>
    <sheet name="Daily KPI" sheetId="14" r:id="rId5"/>
    <sheet name="Input_Raw" sheetId="1" r:id="rId6"/>
    <sheet name="Sheet1" sheetId="17" state="hidden" r:id="rId7"/>
    <sheet name="WTG_BD" sheetId="18" r:id="rId8"/>
    <sheet name="IGA_BD" sheetId="19" r:id="rId9"/>
    <sheet name="Grid_BD" sheetId="20" r:id="rId10"/>
    <sheet name="PM" sheetId="13" r:id="rId11"/>
    <sheet name="Basic Data" sheetId="4" state="hidden" r:id="rId12"/>
    <sheet name="WTG Reactive Power" sheetId="16" r:id="rId13"/>
    <sheet name="Modelling New" sheetId="15" state="hidden" r:id="rId14"/>
  </sheets>
  <externalReferences>
    <externalReference r:id="rId15"/>
    <externalReference r:id="rId16"/>
    <externalReference r:id="rId17"/>
    <externalReference r:id="rId18"/>
    <externalReference r:id="rId19"/>
  </externalReferences>
  <definedNames>
    <definedName name="BD_Relation">[1]Basic_Data!$B$3:$B$14</definedName>
    <definedName name="Date">[1]Basic_Data!$D$3:$D$33</definedName>
    <definedName name="dccap">[2]DGR!$D$7:$D$14</definedName>
    <definedName name="Digos">'[3]Basic Data'!#REF!</definedName>
    <definedName name="engg">[1]Basic_Data!$L$3:$L$16</definedName>
    <definedName name="Equipment">[1]Basic_Data!$F$3:$F$5</definedName>
    <definedName name="error">[1]Basic_Data!$M$3:$M$33</definedName>
    <definedName name="Gstc" localSheetId="3">#REF!</definedName>
    <definedName name="Gstc" localSheetId="2">#REF!</definedName>
    <definedName name="Gstc" localSheetId="1">#REF!</definedName>
    <definedName name="Gstc" localSheetId="0">#REF!</definedName>
    <definedName name="Gstc">#REF!</definedName>
    <definedName name="Inverter">[1]Basic_Data!$H$3:$H$8</definedName>
    <definedName name="invlook">[2]DGR!$B$7:$D$14</definedName>
    <definedName name="JB">[1]Basic_Data!$I$3:$I$68</definedName>
    <definedName name="jbp">[2]Basic_Data!$I$3:$J$66</definedName>
    <definedName name="P1_SnW4240">'[3]Basic Data'!#REF!</definedName>
    <definedName name="P1SnW4240">'[3]Basic Data'!#REF!</definedName>
    <definedName name="P1SnW51">'[3]Basic Data'!#REF!</definedName>
    <definedName name="P1SnW68">'[3]Basic Data'!#REF!</definedName>
    <definedName name="Pstc" localSheetId="3">#REF!</definedName>
    <definedName name="Pstc" localSheetId="2">#REF!</definedName>
    <definedName name="Pstc" localSheetId="1">#REF!</definedName>
    <definedName name="Pstc" localSheetId="0">#REF!</definedName>
    <definedName name="Pstc">#REF!</definedName>
    <definedName name="SCDA" localSheetId="0">'[3]Basic Data'!#REF!</definedName>
    <definedName name="SCDA">'[3]Basic Data'!#REF!</definedName>
    <definedName name="status">[1]Basic_Data!$K$3:$K$4</definedName>
    <definedName name="stp">[2]Basic_Data!$K$3:$L$32</definedName>
    <definedName name="String">[1]Basic_Data!$J$3:$J$1019</definedName>
    <definedName name="zzzzz">[4]Basic_Data!$F$3:$F$5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15" i="18" l="1"/>
  <c r="AW129" i="16"/>
  <c r="AW3" i="16"/>
  <c r="AW4" i="16"/>
  <c r="AW5" i="16"/>
  <c r="AW6" i="16"/>
  <c r="AW7" i="16"/>
  <c r="AW8" i="16"/>
  <c r="AW9" i="16"/>
  <c r="AW12" i="16"/>
  <c r="AW13" i="16"/>
  <c r="AW14" i="16"/>
  <c r="AW15" i="16"/>
  <c r="AW16" i="16"/>
  <c r="AW17" i="16"/>
  <c r="AW18" i="16"/>
  <c r="AW19" i="16"/>
  <c r="AW20" i="16"/>
  <c r="AW21" i="16"/>
  <c r="AW22" i="16"/>
  <c r="AW23" i="16"/>
  <c r="AW24" i="16"/>
  <c r="AW25" i="16"/>
  <c r="AW26" i="16"/>
  <c r="AW27" i="16"/>
  <c r="AW28" i="16"/>
  <c r="AW29" i="16"/>
  <c r="AW30" i="16"/>
  <c r="AW31" i="16"/>
  <c r="AW32" i="16"/>
  <c r="AW33" i="16"/>
  <c r="AW34" i="16"/>
  <c r="AW35" i="16"/>
  <c r="AW36" i="16"/>
  <c r="AW37" i="16"/>
  <c r="AW38" i="16"/>
  <c r="AW39" i="16"/>
  <c r="AW40" i="16"/>
  <c r="AW41" i="16"/>
  <c r="AW42" i="16"/>
  <c r="AW43" i="16"/>
  <c r="AW44" i="16"/>
  <c r="AW45" i="16"/>
  <c r="AW46" i="16"/>
  <c r="AW47" i="16"/>
  <c r="AW48" i="16"/>
  <c r="AW49" i="16"/>
  <c r="AW50" i="16"/>
  <c r="AW51" i="16"/>
  <c r="AW52" i="16"/>
  <c r="AW54" i="16"/>
  <c r="AW55" i="16"/>
  <c r="AW56" i="16"/>
  <c r="AW57" i="16"/>
  <c r="AW58" i="16"/>
  <c r="AW59" i="16"/>
  <c r="AW60" i="16"/>
  <c r="AW61" i="16"/>
  <c r="AW62" i="16"/>
  <c r="AW63" i="16"/>
  <c r="AW64" i="16"/>
  <c r="AW65" i="16"/>
  <c r="AW66" i="16"/>
  <c r="AW67" i="16"/>
  <c r="AW68" i="16"/>
  <c r="AW69" i="16"/>
  <c r="AW70" i="16"/>
  <c r="AW71" i="16"/>
  <c r="AW72" i="16"/>
  <c r="AW73" i="16"/>
  <c r="AW74" i="16"/>
  <c r="AW75" i="16"/>
  <c r="AW76" i="16"/>
  <c r="AW77" i="16"/>
  <c r="AW78" i="16"/>
  <c r="AW79" i="16"/>
  <c r="AW80" i="16"/>
  <c r="AW81" i="16"/>
  <c r="AW82" i="16"/>
  <c r="AW83" i="16"/>
  <c r="AW84" i="16"/>
  <c r="AW85" i="16"/>
  <c r="AW86" i="16"/>
  <c r="AW87" i="16"/>
  <c r="AW88" i="16"/>
  <c r="AW89" i="16"/>
  <c r="AW90" i="16"/>
  <c r="AW91" i="16"/>
  <c r="AW92" i="16"/>
  <c r="AW93" i="16"/>
  <c r="AW94" i="16"/>
  <c r="AW95" i="16"/>
  <c r="AW96" i="16"/>
  <c r="AW97" i="16"/>
  <c r="AW98" i="16"/>
  <c r="AW99" i="16"/>
  <c r="AW100" i="16"/>
  <c r="AW101" i="16"/>
  <c r="AW102" i="16"/>
  <c r="AW103" i="16"/>
  <c r="AW104" i="16"/>
  <c r="AW105" i="16"/>
  <c r="AW106" i="16"/>
  <c r="AW107" i="16"/>
  <c r="AW108" i="16"/>
  <c r="AW109" i="16"/>
  <c r="AW110" i="16"/>
  <c r="AW111" i="16"/>
  <c r="AW112" i="16"/>
  <c r="AW113" i="16"/>
  <c r="AW114" i="16"/>
  <c r="AW115" i="16"/>
  <c r="AW116" i="16"/>
  <c r="AW117" i="16"/>
  <c r="AW118" i="16"/>
  <c r="AW119" i="16"/>
  <c r="AW120" i="16"/>
  <c r="AW121" i="16"/>
  <c r="AW122" i="16"/>
  <c r="AW123" i="16"/>
  <c r="AW124" i="16"/>
  <c r="AW125" i="16"/>
  <c r="AW126" i="16"/>
  <c r="AW127" i="16"/>
  <c r="AW128" i="16"/>
  <c r="AW130" i="16"/>
  <c r="AW131" i="16"/>
  <c r="AW132" i="16"/>
  <c r="AW133" i="16"/>
  <c r="AW134" i="16"/>
  <c r="AW135" i="16"/>
  <c r="AW136" i="16"/>
  <c r="AW137" i="16"/>
  <c r="AW138" i="16"/>
  <c r="AW139" i="16"/>
  <c r="AW140" i="16"/>
  <c r="AW141" i="16"/>
  <c r="AW142" i="16"/>
  <c r="AW143" i="16"/>
  <c r="AW144" i="16"/>
  <c r="AW145" i="16"/>
  <c r="AW146" i="16"/>
  <c r="AW147" i="16"/>
  <c r="AW148" i="16"/>
  <c r="AW149" i="16"/>
  <c r="AW150" i="16"/>
  <c r="AW151" i="16"/>
  <c r="AW152" i="16"/>
  <c r="AW153" i="16"/>
  <c r="AW154" i="16"/>
  <c r="AW155" i="16"/>
  <c r="AW156" i="16"/>
  <c r="AW157" i="16"/>
  <c r="AW158" i="16"/>
  <c r="AW159" i="16"/>
  <c r="AW160" i="16"/>
  <c r="AW161" i="16"/>
  <c r="AW162" i="16"/>
  <c r="AW163" i="16"/>
  <c r="AW164" i="16"/>
  <c r="AW165" i="16"/>
  <c r="AW166" i="16"/>
  <c r="AW167" i="16"/>
  <c r="AW168" i="16"/>
  <c r="AW169" i="16"/>
  <c r="AW170" i="16"/>
  <c r="AW171" i="16"/>
  <c r="AW172" i="16"/>
  <c r="AW173" i="16"/>
  <c r="AW174" i="16"/>
  <c r="AW175" i="16"/>
  <c r="AW176" i="16"/>
  <c r="AW177" i="16"/>
  <c r="AW178" i="16"/>
  <c r="AW179" i="16"/>
  <c r="AW180" i="16"/>
  <c r="AW181" i="16"/>
  <c r="AW182" i="16"/>
  <c r="AW183" i="16"/>
  <c r="AW184" i="16"/>
  <c r="AW185" i="16"/>
  <c r="AW186" i="16"/>
  <c r="AW187" i="16"/>
  <c r="AW188" i="16"/>
  <c r="AW189" i="16"/>
  <c r="AW190" i="16"/>
  <c r="AW191" i="16"/>
  <c r="AW192" i="16"/>
  <c r="AW193" i="16"/>
  <c r="AW194" i="16"/>
  <c r="AW195" i="16"/>
  <c r="AW196" i="16"/>
  <c r="AW197" i="16"/>
  <c r="AW198" i="16"/>
  <c r="AW199" i="16"/>
  <c r="AW200" i="16"/>
  <c r="AW201" i="16"/>
  <c r="AW202" i="16"/>
  <c r="AW203" i="16"/>
  <c r="AW204" i="16"/>
  <c r="AW205" i="16"/>
  <c r="AW206" i="16"/>
  <c r="AW207" i="16"/>
  <c r="AW208" i="16"/>
  <c r="AW209" i="16"/>
  <c r="AW210" i="16"/>
  <c r="AW211" i="16"/>
  <c r="AW212" i="16"/>
  <c r="AW213" i="16"/>
  <c r="AW214" i="16"/>
  <c r="AW215" i="16"/>
  <c r="AW216" i="16"/>
  <c r="AW217" i="16"/>
  <c r="AW218" i="16"/>
  <c r="AW219" i="16"/>
  <c r="AW220" i="16"/>
  <c r="AW221" i="16"/>
  <c r="AW222" i="16"/>
  <c r="AW223" i="16"/>
  <c r="AW224" i="16"/>
  <c r="AW225" i="16"/>
  <c r="AW226" i="16"/>
  <c r="AW227" i="16"/>
  <c r="AW228" i="16"/>
  <c r="AW229" i="16"/>
  <c r="AW230" i="16"/>
  <c r="AW231" i="16"/>
  <c r="AW232" i="16"/>
  <c r="AW233" i="16"/>
  <c r="AW234" i="16"/>
  <c r="AW235" i="16"/>
  <c r="AW236" i="16"/>
  <c r="AW237" i="16"/>
  <c r="AW238" i="16"/>
  <c r="AW239" i="16"/>
  <c r="AW240" i="16"/>
  <c r="AW241" i="16"/>
  <c r="AW242" i="16"/>
  <c r="AW243" i="16"/>
  <c r="AW244" i="16"/>
  <c r="AW245" i="16"/>
  <c r="AW246" i="16"/>
  <c r="AW247" i="16"/>
  <c r="AW248" i="16"/>
  <c r="AW249" i="16"/>
  <c r="AW250" i="16"/>
  <c r="AW251" i="16"/>
  <c r="AW252" i="16"/>
  <c r="AW253" i="16"/>
  <c r="AW254" i="16"/>
  <c r="AW255" i="16"/>
  <c r="AW256" i="16"/>
  <c r="AW257" i="16"/>
  <c r="AW258" i="16"/>
  <c r="AW259" i="16"/>
  <c r="AW260" i="16"/>
  <c r="AW261" i="16"/>
  <c r="AW262" i="16"/>
  <c r="AW263" i="16"/>
  <c r="AW264" i="16"/>
  <c r="AW265" i="16"/>
  <c r="AW266" i="16"/>
  <c r="AW267" i="16"/>
  <c r="AW268" i="16"/>
  <c r="AW269" i="16"/>
  <c r="AW270" i="16"/>
  <c r="AW271" i="16"/>
  <c r="AW272" i="16"/>
  <c r="AW273" i="16"/>
  <c r="AW274" i="16"/>
  <c r="AW275" i="16"/>
  <c r="AW276" i="16"/>
  <c r="AW277" i="16"/>
  <c r="AW278" i="16"/>
  <c r="AW279" i="16"/>
  <c r="AW280" i="16"/>
  <c r="AW281" i="16"/>
  <c r="AW282" i="16"/>
  <c r="AW283" i="16"/>
  <c r="AW284" i="16"/>
  <c r="AW285" i="16"/>
  <c r="AW286" i="16"/>
  <c r="AW287" i="16"/>
  <c r="AW288" i="16"/>
  <c r="AW289" i="16"/>
  <c r="AW290" i="16"/>
  <c r="AW291" i="16"/>
  <c r="AW292" i="16"/>
  <c r="AW293" i="16"/>
  <c r="AW294" i="16"/>
  <c r="AW295" i="16"/>
  <c r="AW296" i="16"/>
  <c r="AW297" i="16"/>
  <c r="AW298" i="16"/>
  <c r="AW299" i="16"/>
  <c r="AW300" i="16"/>
  <c r="AW301" i="16"/>
  <c r="AW302" i="16"/>
  <c r="AW303" i="16"/>
  <c r="AW304" i="16"/>
  <c r="AW305" i="16"/>
  <c r="AW306" i="16"/>
  <c r="AW307" i="16"/>
  <c r="AW308" i="16"/>
  <c r="AW309" i="16"/>
  <c r="AW310" i="16"/>
  <c r="AW311" i="16"/>
  <c r="AW312" i="16"/>
  <c r="AW313" i="16"/>
  <c r="AW314" i="16"/>
  <c r="AW315" i="16"/>
  <c r="AW316" i="16"/>
  <c r="AW317" i="16"/>
  <c r="AW318" i="16"/>
  <c r="AW319" i="16"/>
  <c r="AW320" i="16"/>
  <c r="AW321" i="16"/>
  <c r="AW322" i="16"/>
  <c r="AW323" i="16"/>
  <c r="AW324" i="16"/>
  <c r="AW325" i="16"/>
  <c r="AW326" i="16"/>
  <c r="AW327" i="16"/>
  <c r="AW328" i="16"/>
  <c r="AW329" i="16"/>
  <c r="AW330" i="16"/>
  <c r="AW331" i="16"/>
  <c r="AW332" i="16"/>
  <c r="AW333" i="16"/>
  <c r="AW334" i="16"/>
  <c r="AW335" i="16"/>
  <c r="AW336" i="16"/>
  <c r="AW337" i="16"/>
  <c r="AW338" i="16"/>
  <c r="AW339" i="16"/>
  <c r="AW340" i="16"/>
  <c r="AW341" i="16"/>
  <c r="AW342" i="16"/>
  <c r="AW343" i="16"/>
  <c r="AW344" i="16"/>
  <c r="AW345" i="16"/>
  <c r="AW346" i="16"/>
  <c r="AW347" i="16"/>
  <c r="AW348" i="16"/>
  <c r="AW349" i="16"/>
  <c r="AW350" i="16"/>
  <c r="AW351" i="16"/>
  <c r="AW352" i="16"/>
  <c r="AW353" i="16"/>
  <c r="AW354" i="16"/>
  <c r="AW355" i="16"/>
  <c r="AW356" i="16"/>
  <c r="AW357" i="16"/>
  <c r="AW358" i="16"/>
  <c r="AW359" i="16"/>
  <c r="AW360" i="16"/>
  <c r="AW361" i="16"/>
  <c r="AW362" i="16"/>
  <c r="AW363" i="16"/>
  <c r="AW364" i="16"/>
  <c r="AW365" i="16"/>
  <c r="AW366" i="16"/>
  <c r="AW367" i="16"/>
  <c r="AW368" i="16"/>
  <c r="AW369" i="16"/>
  <c r="AW370" i="16"/>
  <c r="CP131" i="1" l="1"/>
  <c r="CQ131" i="1"/>
  <c r="CR131" i="1"/>
  <c r="CT131" i="1"/>
  <c r="DB131" i="1" s="1"/>
  <c r="CV131" i="1"/>
  <c r="DD131" i="1" s="1"/>
  <c r="CX131" i="1"/>
  <c r="DF131" i="1" s="1"/>
  <c r="CZ131" i="1"/>
  <c r="DH131" i="1" s="1"/>
  <c r="DK131" i="1"/>
  <c r="B415" i="18"/>
  <c r="C415" i="18"/>
  <c r="E415" i="18"/>
  <c r="R415" i="18"/>
  <c r="S415" i="18"/>
  <c r="T415" i="18"/>
  <c r="H415" i="18"/>
  <c r="I415" i="18"/>
  <c r="L415" i="18"/>
  <c r="DJ131" i="1" l="1"/>
  <c r="DL131" i="1" s="1"/>
  <c r="R412" i="18"/>
  <c r="R413" i="18"/>
  <c r="R414" i="18"/>
  <c r="CP130" i="1"/>
  <c r="CQ130" i="1"/>
  <c r="CR130" i="1"/>
  <c r="CT130" i="1"/>
  <c r="DB130" i="1" s="1"/>
  <c r="CV130" i="1"/>
  <c r="DD130" i="1" s="1"/>
  <c r="CX130" i="1"/>
  <c r="DF130" i="1" s="1"/>
  <c r="CZ130" i="1"/>
  <c r="DH130" i="1" s="1"/>
  <c r="DK130" i="1"/>
  <c r="DJ130" i="1" l="1"/>
  <c r="DL130" i="1" s="1"/>
  <c r="B412" i="18"/>
  <c r="B413" i="18"/>
  <c r="B414" i="18"/>
  <c r="C412" i="18"/>
  <c r="C413" i="18"/>
  <c r="C414" i="18"/>
  <c r="E412" i="18"/>
  <c r="E413" i="18"/>
  <c r="E414" i="18"/>
  <c r="S412" i="18"/>
  <c r="S413" i="18"/>
  <c r="S414" i="18"/>
  <c r="T412" i="18"/>
  <c r="T413" i="18"/>
  <c r="T414" i="18"/>
  <c r="I412" i="18"/>
  <c r="I413" i="18"/>
  <c r="I414" i="18"/>
  <c r="H414" i="18"/>
  <c r="L414" i="18"/>
  <c r="H413" i="18"/>
  <c r="L413" i="18"/>
  <c r="H412" i="18"/>
  <c r="L412" i="18"/>
  <c r="CP129" i="1" l="1"/>
  <c r="CQ129" i="1"/>
  <c r="CR129" i="1"/>
  <c r="CT129" i="1"/>
  <c r="DB129" i="1" s="1"/>
  <c r="CV129" i="1"/>
  <c r="DD129" i="1" s="1"/>
  <c r="CX129" i="1"/>
  <c r="DF129" i="1" s="1"/>
  <c r="CZ129" i="1"/>
  <c r="DH129" i="1" s="1"/>
  <c r="DK129" i="1"/>
  <c r="DJ129" i="1" l="1"/>
  <c r="DL129" i="1" s="1"/>
  <c r="B410" i="18" l="1"/>
  <c r="B411" i="18"/>
  <c r="C410" i="18"/>
  <c r="C411" i="18"/>
  <c r="E410" i="18"/>
  <c r="E411" i="18"/>
  <c r="R410" i="18"/>
  <c r="R411" i="18"/>
  <c r="S410" i="18"/>
  <c r="S411" i="18"/>
  <c r="T410" i="18"/>
  <c r="T411" i="18"/>
  <c r="I410" i="18"/>
  <c r="H410" i="18"/>
  <c r="L411" i="18"/>
  <c r="L410" i="18"/>
  <c r="H411" i="18"/>
  <c r="I411" i="18"/>
  <c r="CP128" i="1" l="1"/>
  <c r="CQ128" i="1"/>
  <c r="CR128" i="1"/>
  <c r="CT128" i="1"/>
  <c r="DB128" i="1" s="1"/>
  <c r="CV128" i="1"/>
  <c r="DD128" i="1" s="1"/>
  <c r="CX128" i="1"/>
  <c r="DF128" i="1" s="1"/>
  <c r="CZ128" i="1"/>
  <c r="DH128" i="1" s="1"/>
  <c r="DK128" i="1"/>
  <c r="DJ128" i="1" l="1"/>
  <c r="DL128" i="1" s="1"/>
  <c r="B405" i="18" l="1"/>
  <c r="B406" i="18"/>
  <c r="B407" i="18"/>
  <c r="B408" i="18"/>
  <c r="B409" i="18"/>
  <c r="C405" i="18"/>
  <c r="C406" i="18"/>
  <c r="C407" i="18"/>
  <c r="C408" i="18"/>
  <c r="C409" i="18"/>
  <c r="E405" i="18"/>
  <c r="E406" i="18"/>
  <c r="E407" i="18"/>
  <c r="E408" i="18"/>
  <c r="E409" i="18"/>
  <c r="R405" i="18"/>
  <c r="R406" i="18"/>
  <c r="R407" i="18"/>
  <c r="R408" i="18"/>
  <c r="R409" i="18"/>
  <c r="S405" i="18"/>
  <c r="S406" i="18"/>
  <c r="S407" i="18"/>
  <c r="S408" i="18"/>
  <c r="S409" i="18"/>
  <c r="T405" i="18"/>
  <c r="T406" i="18"/>
  <c r="T407" i="18"/>
  <c r="T408" i="18"/>
  <c r="T409" i="18"/>
  <c r="H407" i="18"/>
  <c r="H409" i="18"/>
  <c r="L406" i="18"/>
  <c r="H408" i="18"/>
  <c r="L408" i="18"/>
  <c r="I405" i="18"/>
  <c r="I409" i="18"/>
  <c r="I406" i="18"/>
  <c r="H406" i="18"/>
  <c r="L409" i="18"/>
  <c r="I408" i="18"/>
  <c r="I407" i="18"/>
  <c r="H405" i="18"/>
  <c r="L407" i="18"/>
  <c r="L405" i="18"/>
  <c r="CP127" i="1" l="1"/>
  <c r="CQ127" i="1"/>
  <c r="CR127" i="1"/>
  <c r="CT127" i="1"/>
  <c r="DB127" i="1" s="1"/>
  <c r="CV127" i="1"/>
  <c r="DD127" i="1" s="1"/>
  <c r="CX127" i="1"/>
  <c r="DF127" i="1" s="1"/>
  <c r="CZ127" i="1"/>
  <c r="DH127" i="1" s="1"/>
  <c r="DK127" i="1"/>
  <c r="DJ127" i="1" l="1"/>
  <c r="DL127" i="1" s="1"/>
  <c r="B1198" i="19" l="1"/>
  <c r="B1199" i="19"/>
  <c r="C1198" i="19"/>
  <c r="C1199" i="19"/>
  <c r="E1198" i="19"/>
  <c r="E1199" i="19"/>
  <c r="O1198" i="19"/>
  <c r="O1199" i="19"/>
  <c r="P1198" i="19"/>
  <c r="P1199" i="19"/>
  <c r="Q1198" i="19"/>
  <c r="Q1199" i="19"/>
  <c r="B402" i="18"/>
  <c r="B403" i="18"/>
  <c r="B404" i="18"/>
  <c r="C402" i="18"/>
  <c r="C403" i="18"/>
  <c r="C404" i="18"/>
  <c r="E402" i="18"/>
  <c r="E403" i="18"/>
  <c r="E404" i="18"/>
  <c r="R402" i="18"/>
  <c r="R403" i="18"/>
  <c r="R404" i="18"/>
  <c r="S402" i="18"/>
  <c r="S403" i="18"/>
  <c r="S404" i="18"/>
  <c r="T402" i="18"/>
  <c r="T403" i="18"/>
  <c r="T404" i="18"/>
  <c r="H1198" i="19"/>
  <c r="H1199" i="19"/>
  <c r="I1198" i="19"/>
  <c r="I1199" i="19"/>
  <c r="I402" i="18"/>
  <c r="I403" i="18"/>
  <c r="H402" i="18"/>
  <c r="L403" i="18"/>
  <c r="I404" i="18"/>
  <c r="H403" i="18"/>
  <c r="H404" i="18"/>
  <c r="L404" i="18"/>
  <c r="L402" i="18"/>
  <c r="CP126" i="1" l="1"/>
  <c r="CQ126" i="1"/>
  <c r="CR126" i="1"/>
  <c r="CT126" i="1"/>
  <c r="DB126" i="1" s="1"/>
  <c r="CV126" i="1"/>
  <c r="DD126" i="1" s="1"/>
  <c r="CX126" i="1"/>
  <c r="DF126" i="1" s="1"/>
  <c r="CZ126" i="1"/>
  <c r="DH126" i="1" s="1"/>
  <c r="DK126" i="1"/>
  <c r="B1196" i="19"/>
  <c r="B1197" i="19"/>
  <c r="C1196" i="19"/>
  <c r="C1197" i="19"/>
  <c r="E1196" i="19"/>
  <c r="E1197" i="19"/>
  <c r="O1196" i="19"/>
  <c r="O1197" i="19"/>
  <c r="P1196" i="19"/>
  <c r="P1197" i="19"/>
  <c r="Q1196" i="19"/>
  <c r="Q1197" i="19"/>
  <c r="I1197" i="19"/>
  <c r="H1197" i="19"/>
  <c r="I1196" i="19"/>
  <c r="H1196" i="19"/>
  <c r="DJ126" i="1" l="1"/>
  <c r="DL126" i="1" s="1"/>
  <c r="B398" i="18" l="1"/>
  <c r="B399" i="18"/>
  <c r="B400" i="18"/>
  <c r="B401" i="18"/>
  <c r="C398" i="18"/>
  <c r="C399" i="18"/>
  <c r="C400" i="18"/>
  <c r="C401" i="18"/>
  <c r="E398" i="18"/>
  <c r="E399" i="18"/>
  <c r="E400" i="18"/>
  <c r="E401" i="18"/>
  <c r="R398" i="18"/>
  <c r="R399" i="18"/>
  <c r="R400" i="18"/>
  <c r="R401" i="18"/>
  <c r="S398" i="18"/>
  <c r="S399" i="18"/>
  <c r="S400" i="18"/>
  <c r="S401" i="18"/>
  <c r="T398" i="18"/>
  <c r="T399" i="18"/>
  <c r="T400" i="18"/>
  <c r="T401" i="18"/>
  <c r="H399" i="18"/>
  <c r="H398" i="18"/>
  <c r="I401" i="18"/>
  <c r="L401" i="18"/>
  <c r="L400" i="18"/>
  <c r="H400" i="18"/>
  <c r="H401" i="18"/>
  <c r="L398" i="18"/>
  <c r="I400" i="18"/>
  <c r="I399" i="18"/>
  <c r="L399" i="18"/>
  <c r="I398" i="18"/>
  <c r="CP125" i="1" l="1"/>
  <c r="CQ125" i="1"/>
  <c r="CR125" i="1"/>
  <c r="CT125" i="1"/>
  <c r="DB125" i="1" s="1"/>
  <c r="CV125" i="1"/>
  <c r="DD125" i="1" s="1"/>
  <c r="CX125" i="1"/>
  <c r="DF125" i="1" s="1"/>
  <c r="CZ125" i="1"/>
  <c r="DH125" i="1" s="1"/>
  <c r="DK125" i="1"/>
  <c r="B393" i="18"/>
  <c r="B394" i="18"/>
  <c r="B395" i="18"/>
  <c r="B396" i="18"/>
  <c r="B397" i="18"/>
  <c r="C393" i="18"/>
  <c r="C394" i="18"/>
  <c r="C395" i="18"/>
  <c r="C396" i="18"/>
  <c r="C397" i="18"/>
  <c r="E393" i="18"/>
  <c r="E394" i="18"/>
  <c r="E395" i="18"/>
  <c r="E396" i="18"/>
  <c r="E397" i="18"/>
  <c r="R393" i="18"/>
  <c r="R394" i="18"/>
  <c r="R395" i="18"/>
  <c r="R396" i="18"/>
  <c r="R397" i="18"/>
  <c r="S393" i="18"/>
  <c r="S394" i="18"/>
  <c r="S395" i="18"/>
  <c r="S396" i="18"/>
  <c r="S397" i="18"/>
  <c r="T393" i="18"/>
  <c r="T394" i="18"/>
  <c r="T395" i="18"/>
  <c r="T396" i="18"/>
  <c r="T397" i="18"/>
  <c r="I393" i="18"/>
  <c r="I396" i="18"/>
  <c r="I395" i="18"/>
  <c r="L394" i="18"/>
  <c r="I394" i="18"/>
  <c r="H397" i="18"/>
  <c r="I397" i="18"/>
  <c r="H393" i="18"/>
  <c r="L397" i="18"/>
  <c r="L396" i="18"/>
  <c r="H396" i="18"/>
  <c r="H394" i="18"/>
  <c r="H395" i="18"/>
  <c r="L393" i="18"/>
  <c r="L395" i="18"/>
  <c r="DJ125" i="1" l="1"/>
  <c r="DL125" i="1" s="1"/>
  <c r="CP124" i="1"/>
  <c r="CQ124" i="1"/>
  <c r="CR124" i="1"/>
  <c r="CT124" i="1"/>
  <c r="DB124" i="1" s="1"/>
  <c r="CV124" i="1"/>
  <c r="DD124" i="1" s="1"/>
  <c r="CX124" i="1"/>
  <c r="DF124" i="1" s="1"/>
  <c r="CZ124" i="1"/>
  <c r="DH124" i="1" s="1"/>
  <c r="DK124" i="1"/>
  <c r="B1184" i="19"/>
  <c r="B1185" i="19"/>
  <c r="B1186" i="19"/>
  <c r="B1187" i="19"/>
  <c r="B1188" i="19"/>
  <c r="B1189" i="19"/>
  <c r="B1190" i="19"/>
  <c r="B1191" i="19"/>
  <c r="B1192" i="19"/>
  <c r="B1193" i="19"/>
  <c r="B1194" i="19"/>
  <c r="B1195" i="19"/>
  <c r="C1184" i="19"/>
  <c r="C1185" i="19"/>
  <c r="C1186" i="19"/>
  <c r="C1187" i="19"/>
  <c r="C1188" i="19"/>
  <c r="C1189" i="19"/>
  <c r="C1190" i="19"/>
  <c r="C1191" i="19"/>
  <c r="C1192" i="19"/>
  <c r="C1193" i="19"/>
  <c r="C1194" i="19"/>
  <c r="C1195" i="19"/>
  <c r="E1184" i="19"/>
  <c r="E1185" i="19"/>
  <c r="E1186" i="19"/>
  <c r="E1187" i="19"/>
  <c r="E1188" i="19"/>
  <c r="E1189" i="19"/>
  <c r="E1190" i="19"/>
  <c r="E1191" i="19"/>
  <c r="E1192" i="19"/>
  <c r="E1193" i="19"/>
  <c r="E1194" i="19"/>
  <c r="E1195" i="19"/>
  <c r="O1184" i="19"/>
  <c r="O1185" i="19"/>
  <c r="O1186" i="19"/>
  <c r="O1187" i="19"/>
  <c r="O1188" i="19"/>
  <c r="O1189" i="19"/>
  <c r="O1190" i="19"/>
  <c r="O1191" i="19"/>
  <c r="O1192" i="19"/>
  <c r="O1193" i="19"/>
  <c r="O1194" i="19"/>
  <c r="O1195" i="19"/>
  <c r="P1184" i="19"/>
  <c r="P1185" i="19"/>
  <c r="P1186" i="19"/>
  <c r="P1187" i="19"/>
  <c r="P1188" i="19"/>
  <c r="P1189" i="19"/>
  <c r="P1190" i="19"/>
  <c r="P1191" i="19"/>
  <c r="P1192" i="19"/>
  <c r="P1193" i="19"/>
  <c r="P1194" i="19"/>
  <c r="P1195" i="19"/>
  <c r="Q1184" i="19"/>
  <c r="Q1185" i="19"/>
  <c r="Q1186" i="19"/>
  <c r="Q1187" i="19"/>
  <c r="Q1188" i="19"/>
  <c r="Q1189" i="19"/>
  <c r="Q1190" i="19"/>
  <c r="Q1191" i="19"/>
  <c r="Q1192" i="19"/>
  <c r="Q1193" i="19"/>
  <c r="Q1194" i="19"/>
  <c r="Q1195" i="19"/>
  <c r="B1158" i="19"/>
  <c r="B1159" i="19"/>
  <c r="B1160" i="19"/>
  <c r="B1161" i="19"/>
  <c r="B1162" i="19"/>
  <c r="B1163" i="19"/>
  <c r="B1164" i="19"/>
  <c r="B1165" i="19"/>
  <c r="B1166" i="19"/>
  <c r="B1167" i="19"/>
  <c r="B1168" i="19"/>
  <c r="B1169" i="19"/>
  <c r="B1170" i="19"/>
  <c r="B1171" i="19"/>
  <c r="B1172" i="19"/>
  <c r="B1173" i="19"/>
  <c r="B1174" i="19"/>
  <c r="B1175" i="19"/>
  <c r="B1176" i="19"/>
  <c r="B1177" i="19"/>
  <c r="B1178" i="19"/>
  <c r="B1179" i="19"/>
  <c r="B1180" i="19"/>
  <c r="B1181" i="19"/>
  <c r="B1182" i="19"/>
  <c r="B1183" i="19"/>
  <c r="C1158" i="19"/>
  <c r="C1159" i="19"/>
  <c r="C1160" i="19"/>
  <c r="C1161" i="19"/>
  <c r="C1162" i="19"/>
  <c r="C1163" i="19"/>
  <c r="C1164" i="19"/>
  <c r="C1165" i="19"/>
  <c r="C1166" i="19"/>
  <c r="C1167" i="19"/>
  <c r="C1168" i="19"/>
  <c r="C1169" i="19"/>
  <c r="C1170" i="19"/>
  <c r="C1171" i="19"/>
  <c r="C1172" i="19"/>
  <c r="C1173" i="19"/>
  <c r="C1174" i="19"/>
  <c r="C1175" i="19"/>
  <c r="C1176" i="19"/>
  <c r="C1177" i="19"/>
  <c r="C1178" i="19"/>
  <c r="C1179" i="19"/>
  <c r="C1180" i="19"/>
  <c r="C1181" i="19"/>
  <c r="C1182" i="19"/>
  <c r="C1183" i="19"/>
  <c r="E1158" i="19"/>
  <c r="E1159" i="19"/>
  <c r="E1160" i="19"/>
  <c r="E1161" i="19"/>
  <c r="E1162" i="19"/>
  <c r="E1163" i="19"/>
  <c r="E1164" i="19"/>
  <c r="E1165" i="19"/>
  <c r="E1166" i="19"/>
  <c r="E1167" i="19"/>
  <c r="E1168" i="19"/>
  <c r="E1169" i="19"/>
  <c r="E1170" i="19"/>
  <c r="E1171" i="19"/>
  <c r="E1172" i="19"/>
  <c r="E1173" i="19"/>
  <c r="E1174" i="19"/>
  <c r="E1175" i="19"/>
  <c r="E1176" i="19"/>
  <c r="E1177" i="19"/>
  <c r="E1178" i="19"/>
  <c r="E1179" i="19"/>
  <c r="E1180" i="19"/>
  <c r="E1181" i="19"/>
  <c r="E1182" i="19"/>
  <c r="E1183" i="19"/>
  <c r="O1158" i="19"/>
  <c r="O1159" i="19"/>
  <c r="O1160" i="19"/>
  <c r="O1161" i="19"/>
  <c r="O1162" i="19"/>
  <c r="O1163" i="19"/>
  <c r="O1164" i="19"/>
  <c r="O1165" i="19"/>
  <c r="O1166" i="19"/>
  <c r="O1167" i="19"/>
  <c r="O1168" i="19"/>
  <c r="O1169" i="19"/>
  <c r="O1170" i="19"/>
  <c r="O1171" i="19"/>
  <c r="O1172" i="19"/>
  <c r="O1173" i="19"/>
  <c r="O1174" i="19"/>
  <c r="O1175" i="19"/>
  <c r="O1176" i="19"/>
  <c r="O1177" i="19"/>
  <c r="O1178" i="19"/>
  <c r="O1179" i="19"/>
  <c r="O1180" i="19"/>
  <c r="O1181" i="19"/>
  <c r="O1182" i="19"/>
  <c r="O1183" i="19"/>
  <c r="P1158" i="19"/>
  <c r="P1159" i="19"/>
  <c r="P1160" i="19"/>
  <c r="P1161" i="19"/>
  <c r="P1162" i="19"/>
  <c r="P1163" i="19"/>
  <c r="P1164" i="19"/>
  <c r="P1165" i="19"/>
  <c r="P1166" i="19"/>
  <c r="P1167" i="19"/>
  <c r="P1168" i="19"/>
  <c r="P1169" i="19"/>
  <c r="P1170" i="19"/>
  <c r="P1171" i="19"/>
  <c r="P1172" i="19"/>
  <c r="P1173" i="19"/>
  <c r="P1174" i="19"/>
  <c r="P1175" i="19"/>
  <c r="P1176" i="19"/>
  <c r="P1177" i="19"/>
  <c r="P1178" i="19"/>
  <c r="P1179" i="19"/>
  <c r="P1180" i="19"/>
  <c r="P1181" i="19"/>
  <c r="P1182" i="19"/>
  <c r="P1183" i="19"/>
  <c r="Q1158" i="19"/>
  <c r="Q1159" i="19"/>
  <c r="Q1160" i="19"/>
  <c r="Q1161" i="19"/>
  <c r="Q1162" i="19"/>
  <c r="Q1163" i="19"/>
  <c r="Q1164" i="19"/>
  <c r="Q1165" i="19"/>
  <c r="Q1166" i="19"/>
  <c r="Q1167" i="19"/>
  <c r="Q1168" i="19"/>
  <c r="Q1169" i="19"/>
  <c r="Q1170" i="19"/>
  <c r="Q1171" i="19"/>
  <c r="Q1172" i="19"/>
  <c r="Q1173" i="19"/>
  <c r="Q1174" i="19"/>
  <c r="Q1175" i="19"/>
  <c r="Q1176" i="19"/>
  <c r="Q1177" i="19"/>
  <c r="Q1178" i="19"/>
  <c r="Q1179" i="19"/>
  <c r="Q1180" i="19"/>
  <c r="Q1181" i="19"/>
  <c r="Q1182" i="19"/>
  <c r="Q1183" i="19"/>
  <c r="H1190" i="19"/>
  <c r="I1162" i="19"/>
  <c r="I1161" i="19"/>
  <c r="H1158" i="19"/>
  <c r="H1192" i="19"/>
  <c r="H1161" i="19"/>
  <c r="I1188" i="19"/>
  <c r="I1191" i="19"/>
  <c r="I1182" i="19"/>
  <c r="H1169" i="19"/>
  <c r="I1172" i="19"/>
  <c r="I1163" i="19"/>
  <c r="H1187" i="19"/>
  <c r="H1182" i="19"/>
  <c r="I1189" i="19"/>
  <c r="H1180" i="19"/>
  <c r="H1173" i="19"/>
  <c r="I1194" i="19"/>
  <c r="I1173" i="19"/>
  <c r="I1167" i="19"/>
  <c r="H1160" i="19"/>
  <c r="I1159" i="19"/>
  <c r="H1174" i="19"/>
  <c r="I1158" i="19"/>
  <c r="I1190" i="19"/>
  <c r="I1179" i="19"/>
  <c r="I1174" i="19"/>
  <c r="H1195" i="19"/>
  <c r="H1178" i="19"/>
  <c r="H1175" i="19"/>
  <c r="H1167" i="19"/>
  <c r="I1185" i="19"/>
  <c r="H1163" i="19"/>
  <c r="I1168" i="19"/>
  <c r="I1176" i="19"/>
  <c r="H1186" i="19"/>
  <c r="I1165" i="19"/>
  <c r="H1179" i="19"/>
  <c r="H1172" i="19"/>
  <c r="I1171" i="19"/>
  <c r="I1181" i="19"/>
  <c r="H1184" i="19"/>
  <c r="I1166" i="19"/>
  <c r="H1166" i="19"/>
  <c r="H1189" i="19"/>
  <c r="H1185" i="19"/>
  <c r="H1171" i="19"/>
  <c r="I1183" i="19"/>
  <c r="I1184" i="19"/>
  <c r="H1191" i="19"/>
  <c r="I1178" i="19"/>
  <c r="H1165" i="19"/>
  <c r="I1164" i="19"/>
  <c r="I1193" i="19"/>
  <c r="I1195" i="19"/>
  <c r="I1160" i="19"/>
  <c r="H1183" i="19"/>
  <c r="H1188" i="19"/>
  <c r="I1170" i="19"/>
  <c r="I1187" i="19"/>
  <c r="H1181" i="19"/>
  <c r="H1168" i="19"/>
  <c r="H1176" i="19"/>
  <c r="I1175" i="19"/>
  <c r="I1180" i="19"/>
  <c r="I1192" i="19"/>
  <c r="H1162" i="19"/>
  <c r="H1193" i="19"/>
  <c r="H1159" i="19"/>
  <c r="H1170" i="19"/>
  <c r="H1194" i="19"/>
  <c r="I1169" i="19"/>
  <c r="I1177" i="19"/>
  <c r="H1177" i="19"/>
  <c r="H1164" i="19"/>
  <c r="I1186" i="19"/>
  <c r="DJ124" i="1" l="1"/>
  <c r="DL124" i="1" s="1"/>
  <c r="B383" i="18" l="1"/>
  <c r="B384" i="18"/>
  <c r="B385" i="18"/>
  <c r="B386" i="18"/>
  <c r="B387" i="18"/>
  <c r="B388" i="18"/>
  <c r="B389" i="18"/>
  <c r="B390" i="18"/>
  <c r="B391" i="18"/>
  <c r="B392" i="18"/>
  <c r="C383" i="18"/>
  <c r="C384" i="18"/>
  <c r="C385" i="18"/>
  <c r="C386" i="18"/>
  <c r="C387" i="18"/>
  <c r="C388" i="18"/>
  <c r="C389" i="18"/>
  <c r="C390" i="18"/>
  <c r="C391" i="18"/>
  <c r="C392" i="18"/>
  <c r="E383" i="18"/>
  <c r="E384" i="18"/>
  <c r="E385" i="18"/>
  <c r="E386" i="18"/>
  <c r="E387" i="18"/>
  <c r="E388" i="18"/>
  <c r="E389" i="18"/>
  <c r="E390" i="18"/>
  <c r="E391" i="18"/>
  <c r="E392" i="18"/>
  <c r="R383" i="18"/>
  <c r="R384" i="18"/>
  <c r="R385" i="18"/>
  <c r="R386" i="18"/>
  <c r="R387" i="18"/>
  <c r="R388" i="18"/>
  <c r="R389" i="18"/>
  <c r="R390" i="18"/>
  <c r="R391" i="18"/>
  <c r="R392" i="18"/>
  <c r="S383" i="18"/>
  <c r="S384" i="18"/>
  <c r="S385" i="18"/>
  <c r="S386" i="18"/>
  <c r="S387" i="18"/>
  <c r="S388" i="18"/>
  <c r="S389" i="18"/>
  <c r="S390" i="18"/>
  <c r="S391" i="18"/>
  <c r="S392" i="18"/>
  <c r="T383" i="18"/>
  <c r="T384" i="18"/>
  <c r="T385" i="18"/>
  <c r="T386" i="18"/>
  <c r="T387" i="18"/>
  <c r="T388" i="18"/>
  <c r="T389" i="18"/>
  <c r="T390" i="18"/>
  <c r="T391" i="18"/>
  <c r="T392" i="18"/>
  <c r="H383" i="18"/>
  <c r="H385" i="18"/>
  <c r="H390" i="18"/>
  <c r="I390" i="18"/>
  <c r="H392" i="18"/>
  <c r="I392" i="18"/>
  <c r="L387" i="18"/>
  <c r="L389" i="18"/>
  <c r="L388" i="18"/>
  <c r="L385" i="18"/>
  <c r="H391" i="18"/>
  <c r="I385" i="18"/>
  <c r="L384" i="18"/>
  <c r="I387" i="18"/>
  <c r="H389" i="18"/>
  <c r="L386" i="18"/>
  <c r="L391" i="18"/>
  <c r="L383" i="18"/>
  <c r="I384" i="18"/>
  <c r="L392" i="18"/>
  <c r="I388" i="18"/>
  <c r="I389" i="18"/>
  <c r="H387" i="18"/>
  <c r="I383" i="18"/>
  <c r="H386" i="18"/>
  <c r="I391" i="18"/>
  <c r="H388" i="18"/>
  <c r="I386" i="18"/>
  <c r="H384" i="18"/>
  <c r="CP123" i="1" l="1"/>
  <c r="CQ123" i="1"/>
  <c r="CR123" i="1"/>
  <c r="CT123" i="1"/>
  <c r="DB123" i="1" s="1"/>
  <c r="CV123" i="1"/>
  <c r="DD123" i="1" s="1"/>
  <c r="CX123" i="1"/>
  <c r="DF123" i="1" s="1"/>
  <c r="CZ123" i="1"/>
  <c r="DH123" i="1" s="1"/>
  <c r="DK123" i="1"/>
  <c r="B371" i="18"/>
  <c r="B372" i="18"/>
  <c r="B373" i="18"/>
  <c r="B374" i="18"/>
  <c r="B375" i="18"/>
  <c r="B376" i="18"/>
  <c r="B377" i="18"/>
  <c r="B378" i="18"/>
  <c r="B379" i="18"/>
  <c r="B380" i="18"/>
  <c r="B381" i="18"/>
  <c r="B382" i="18"/>
  <c r="C371" i="18"/>
  <c r="C372" i="18"/>
  <c r="C373" i="18"/>
  <c r="C374" i="18"/>
  <c r="C375" i="18"/>
  <c r="C376" i="18"/>
  <c r="C377" i="18"/>
  <c r="C378" i="18"/>
  <c r="C379" i="18"/>
  <c r="C380" i="18"/>
  <c r="C381" i="18"/>
  <c r="C382" i="18"/>
  <c r="E371" i="18"/>
  <c r="E372" i="18"/>
  <c r="E373" i="18"/>
  <c r="E374" i="18"/>
  <c r="E375" i="18"/>
  <c r="E376" i="18"/>
  <c r="E377" i="18"/>
  <c r="E378" i="18"/>
  <c r="E379" i="18"/>
  <c r="E380" i="18"/>
  <c r="E381" i="18"/>
  <c r="E382" i="18"/>
  <c r="R371" i="18"/>
  <c r="R372" i="18"/>
  <c r="R373" i="18"/>
  <c r="R374" i="18"/>
  <c r="R375" i="18"/>
  <c r="R376" i="18"/>
  <c r="R377" i="18"/>
  <c r="R378" i="18"/>
  <c r="R379" i="18"/>
  <c r="R380" i="18"/>
  <c r="R381" i="18"/>
  <c r="R382" i="18"/>
  <c r="S371" i="18"/>
  <c r="S372" i="18"/>
  <c r="S373" i="18"/>
  <c r="S374" i="18"/>
  <c r="S375" i="18"/>
  <c r="S376" i="18"/>
  <c r="S377" i="18"/>
  <c r="S378" i="18"/>
  <c r="S379" i="18"/>
  <c r="S380" i="18"/>
  <c r="S381" i="18"/>
  <c r="S382" i="18"/>
  <c r="T371" i="18"/>
  <c r="T372" i="18"/>
  <c r="T373" i="18"/>
  <c r="T374" i="18"/>
  <c r="T375" i="18"/>
  <c r="T376" i="18"/>
  <c r="T377" i="18"/>
  <c r="T378" i="18"/>
  <c r="T379" i="18"/>
  <c r="T380" i="18"/>
  <c r="T381" i="18"/>
  <c r="T382" i="18"/>
  <c r="B1152" i="19"/>
  <c r="B1153" i="19"/>
  <c r="B1154" i="19"/>
  <c r="B1155" i="19"/>
  <c r="B1156" i="19"/>
  <c r="B1157" i="19"/>
  <c r="C1152" i="19"/>
  <c r="C1153" i="19"/>
  <c r="C1154" i="19"/>
  <c r="C1155" i="19"/>
  <c r="C1156" i="19"/>
  <c r="C1157" i="19"/>
  <c r="E1152" i="19"/>
  <c r="E1153" i="19"/>
  <c r="E1154" i="19"/>
  <c r="E1155" i="19"/>
  <c r="E1156" i="19"/>
  <c r="E1157" i="19"/>
  <c r="O1152" i="19"/>
  <c r="O1153" i="19"/>
  <c r="O1154" i="19"/>
  <c r="O1155" i="19"/>
  <c r="O1156" i="19"/>
  <c r="O1157" i="19"/>
  <c r="P1152" i="19"/>
  <c r="P1153" i="19"/>
  <c r="P1154" i="19"/>
  <c r="P1155" i="19"/>
  <c r="P1156" i="19"/>
  <c r="P1157" i="19"/>
  <c r="Q1152" i="19"/>
  <c r="Q1153" i="19"/>
  <c r="Q1154" i="19"/>
  <c r="Q1155" i="19"/>
  <c r="Q1156" i="19"/>
  <c r="Q1157" i="19"/>
  <c r="B1151" i="19"/>
  <c r="C1151" i="19"/>
  <c r="E1151" i="19"/>
  <c r="O1151" i="19"/>
  <c r="P1151" i="19"/>
  <c r="Q1151" i="19"/>
  <c r="B1119" i="19"/>
  <c r="B1120" i="19"/>
  <c r="B1121" i="19"/>
  <c r="B1122" i="19"/>
  <c r="B1123" i="19"/>
  <c r="B1124" i="19"/>
  <c r="B1125" i="19"/>
  <c r="B1126" i="19"/>
  <c r="B1127" i="19"/>
  <c r="B1128" i="19"/>
  <c r="B1129" i="19"/>
  <c r="B1130" i="19"/>
  <c r="B1131" i="19"/>
  <c r="B1132" i="19"/>
  <c r="B1133" i="19"/>
  <c r="B1134" i="19"/>
  <c r="B1135" i="19"/>
  <c r="B1136" i="19"/>
  <c r="B1137" i="19"/>
  <c r="B1138" i="19"/>
  <c r="B1139" i="19"/>
  <c r="B1140" i="19"/>
  <c r="B1141" i="19"/>
  <c r="B1142" i="19"/>
  <c r="B1143" i="19"/>
  <c r="B1144" i="19"/>
  <c r="B1145" i="19"/>
  <c r="B1146" i="19"/>
  <c r="B1147" i="19"/>
  <c r="B1148" i="19"/>
  <c r="B1149" i="19"/>
  <c r="B1150" i="19"/>
  <c r="C1119" i="19"/>
  <c r="C1120" i="19"/>
  <c r="C1121" i="19"/>
  <c r="C1122" i="19"/>
  <c r="C1123" i="19"/>
  <c r="C1124" i="19"/>
  <c r="C1125" i="19"/>
  <c r="C1126" i="19"/>
  <c r="C1127" i="19"/>
  <c r="C1128" i="19"/>
  <c r="C1129" i="19"/>
  <c r="C1130" i="19"/>
  <c r="C1131" i="19"/>
  <c r="C1132" i="19"/>
  <c r="C1133" i="19"/>
  <c r="C1134" i="19"/>
  <c r="C1135" i="19"/>
  <c r="C1136" i="19"/>
  <c r="C1137" i="19"/>
  <c r="C1138" i="19"/>
  <c r="C1139" i="19"/>
  <c r="C1140" i="19"/>
  <c r="C1141" i="19"/>
  <c r="C1142" i="19"/>
  <c r="C1143" i="19"/>
  <c r="C1144" i="19"/>
  <c r="C1145" i="19"/>
  <c r="C1146" i="19"/>
  <c r="C1147" i="19"/>
  <c r="C1148" i="19"/>
  <c r="C1149" i="19"/>
  <c r="C1150" i="19"/>
  <c r="E1119" i="19"/>
  <c r="E1120" i="19"/>
  <c r="E1121" i="19"/>
  <c r="E1122" i="19"/>
  <c r="E1123" i="19"/>
  <c r="E1124" i="19"/>
  <c r="E1125" i="19"/>
  <c r="E1126" i="19"/>
  <c r="E1127" i="19"/>
  <c r="E1128" i="19"/>
  <c r="E1129" i="19"/>
  <c r="E1130" i="19"/>
  <c r="E1131" i="19"/>
  <c r="E1132" i="19"/>
  <c r="E1133" i="19"/>
  <c r="E1134" i="19"/>
  <c r="E1135" i="19"/>
  <c r="E1136" i="19"/>
  <c r="E1137" i="19"/>
  <c r="E1138" i="19"/>
  <c r="E1139" i="19"/>
  <c r="E1140" i="19"/>
  <c r="E1141" i="19"/>
  <c r="E1142" i="19"/>
  <c r="E1143" i="19"/>
  <c r="E1144" i="19"/>
  <c r="E1145" i="19"/>
  <c r="E1146" i="19"/>
  <c r="E1147" i="19"/>
  <c r="E1148" i="19"/>
  <c r="E1149" i="19"/>
  <c r="E1150" i="19"/>
  <c r="O1119" i="19"/>
  <c r="O1120" i="19"/>
  <c r="O1121" i="19"/>
  <c r="O1122" i="19"/>
  <c r="O1123" i="19"/>
  <c r="O1124" i="19"/>
  <c r="O1125" i="19"/>
  <c r="O1126" i="19"/>
  <c r="O1127" i="19"/>
  <c r="O1128" i="19"/>
  <c r="O1129" i="19"/>
  <c r="O1130" i="19"/>
  <c r="O1131" i="19"/>
  <c r="O1132" i="19"/>
  <c r="O1133" i="19"/>
  <c r="O1134" i="19"/>
  <c r="O1135" i="19"/>
  <c r="O1136" i="19"/>
  <c r="O1137" i="19"/>
  <c r="O1138" i="19"/>
  <c r="O1139" i="19"/>
  <c r="O1140" i="19"/>
  <c r="O1141" i="19"/>
  <c r="O1142" i="19"/>
  <c r="O1143" i="19"/>
  <c r="O1144" i="19"/>
  <c r="O1145" i="19"/>
  <c r="O1146" i="19"/>
  <c r="O1147" i="19"/>
  <c r="O1148" i="19"/>
  <c r="O1149" i="19"/>
  <c r="O1150" i="19"/>
  <c r="P1119" i="19"/>
  <c r="P1120" i="19"/>
  <c r="P1121" i="19"/>
  <c r="P1122" i="19"/>
  <c r="P1123" i="19"/>
  <c r="P1124" i="19"/>
  <c r="P1125" i="19"/>
  <c r="P1126" i="19"/>
  <c r="P1127" i="19"/>
  <c r="P1128" i="19"/>
  <c r="P1129" i="19"/>
  <c r="P1130" i="19"/>
  <c r="P1131" i="19"/>
  <c r="P1132" i="19"/>
  <c r="P1133" i="19"/>
  <c r="P1134" i="19"/>
  <c r="P1135" i="19"/>
  <c r="P1136" i="19"/>
  <c r="P1137" i="19"/>
  <c r="P1138" i="19"/>
  <c r="P1139" i="19"/>
  <c r="P1140" i="19"/>
  <c r="P1141" i="19"/>
  <c r="P1142" i="19"/>
  <c r="P1143" i="19"/>
  <c r="P1144" i="19"/>
  <c r="P1145" i="19"/>
  <c r="P1146" i="19"/>
  <c r="P1147" i="19"/>
  <c r="P1148" i="19"/>
  <c r="P1149" i="19"/>
  <c r="P1150" i="19"/>
  <c r="Q1119" i="19"/>
  <c r="Q1120" i="19"/>
  <c r="Q1121" i="19"/>
  <c r="Q1122" i="19"/>
  <c r="Q1123" i="19"/>
  <c r="Q1124" i="19"/>
  <c r="Q1125" i="19"/>
  <c r="Q1126" i="19"/>
  <c r="Q1127" i="19"/>
  <c r="Q1128" i="19"/>
  <c r="Q1129" i="19"/>
  <c r="Q1130" i="19"/>
  <c r="Q1131" i="19"/>
  <c r="Q1132" i="19"/>
  <c r="Q1133" i="19"/>
  <c r="Q1134" i="19"/>
  <c r="Q1135" i="19"/>
  <c r="Q1136" i="19"/>
  <c r="Q1137" i="19"/>
  <c r="Q1138" i="19"/>
  <c r="Q1139" i="19"/>
  <c r="Q1140" i="19"/>
  <c r="Q1141" i="19"/>
  <c r="Q1142" i="19"/>
  <c r="Q1143" i="19"/>
  <c r="Q1144" i="19"/>
  <c r="Q1145" i="19"/>
  <c r="Q1146" i="19"/>
  <c r="Q1147" i="19"/>
  <c r="Q1148" i="19"/>
  <c r="Q1149" i="19"/>
  <c r="Q1150" i="19"/>
  <c r="H1120" i="19"/>
  <c r="I1144" i="19"/>
  <c r="H1124" i="19"/>
  <c r="H1128" i="19"/>
  <c r="I1133" i="19"/>
  <c r="I1153" i="19"/>
  <c r="I1145" i="19"/>
  <c r="I1150" i="19"/>
  <c r="H1121" i="19"/>
  <c r="I1152" i="19"/>
  <c r="I1128" i="19"/>
  <c r="H1154" i="19"/>
  <c r="I1129" i="19"/>
  <c r="I1139" i="19"/>
  <c r="I1131" i="19"/>
  <c r="I1143" i="19"/>
  <c r="I1147" i="19"/>
  <c r="H1133" i="19"/>
  <c r="H1144" i="19"/>
  <c r="I1154" i="19"/>
  <c r="I1119" i="19"/>
  <c r="I1135" i="19"/>
  <c r="H1123" i="19"/>
  <c r="I1123" i="19"/>
  <c r="H1140" i="19"/>
  <c r="I1140" i="19"/>
  <c r="H1137" i="19"/>
  <c r="H1141" i="19"/>
  <c r="I1157" i="19"/>
  <c r="H1152" i="19"/>
  <c r="I1132" i="19"/>
  <c r="I1121" i="19"/>
  <c r="H1136" i="19"/>
  <c r="H1130" i="19"/>
  <c r="H1155" i="19"/>
  <c r="I1122" i="19"/>
  <c r="I1126" i="19"/>
  <c r="I1136" i="19"/>
  <c r="H1134" i="19"/>
  <c r="I1138" i="19"/>
  <c r="I1134" i="19"/>
  <c r="H1138" i="19"/>
  <c r="I1127" i="19"/>
  <c r="I1148" i="19"/>
  <c r="H1127" i="19"/>
  <c r="H1157" i="19"/>
  <c r="H1122" i="19"/>
  <c r="H1126" i="19"/>
  <c r="I1142" i="19"/>
  <c r="H1119" i="19"/>
  <c r="H1149" i="19"/>
  <c r="I1120" i="19"/>
  <c r="H1145" i="19"/>
  <c r="I1124" i="19"/>
  <c r="H1129" i="19"/>
  <c r="H1146" i="19"/>
  <c r="H1150" i="19"/>
  <c r="I1137" i="19"/>
  <c r="I1141" i="19"/>
  <c r="H1125" i="19"/>
  <c r="I1125" i="19"/>
  <c r="H1131" i="19"/>
  <c r="I1149" i="19"/>
  <c r="I1156" i="19"/>
  <c r="H1153" i="19"/>
  <c r="H1156" i="19"/>
  <c r="I1130" i="19"/>
  <c r="H1139" i="19"/>
  <c r="H1143" i="19"/>
  <c r="H1151" i="19"/>
  <c r="H1147" i="19"/>
  <c r="H1135" i="19"/>
  <c r="I1146" i="19"/>
  <c r="H1142" i="19"/>
  <c r="I1151" i="19"/>
  <c r="I1155" i="19"/>
  <c r="H1132" i="19"/>
  <c r="H1148" i="19"/>
  <c r="I378" i="18"/>
  <c r="I373" i="18"/>
  <c r="H371" i="18"/>
  <c r="L379" i="18"/>
  <c r="H379" i="18"/>
  <c r="L374" i="18"/>
  <c r="H382" i="18"/>
  <c r="I372" i="18"/>
  <c r="I379" i="18"/>
  <c r="L371" i="18"/>
  <c r="H372" i="18"/>
  <c r="L382" i="18"/>
  <c r="I381" i="18"/>
  <c r="L378" i="18"/>
  <c r="I380" i="18"/>
  <c r="I375" i="18"/>
  <c r="I377" i="18"/>
  <c r="I371" i="18"/>
  <c r="H375" i="18"/>
  <c r="L375" i="18"/>
  <c r="L376" i="18"/>
  <c r="L377" i="18"/>
  <c r="H377" i="18"/>
  <c r="H374" i="18"/>
  <c r="I376" i="18"/>
  <c r="I374" i="18"/>
  <c r="L372" i="18"/>
  <c r="H373" i="18"/>
  <c r="H378" i="18"/>
  <c r="H376" i="18"/>
  <c r="H380" i="18"/>
  <c r="L381" i="18"/>
  <c r="L373" i="18"/>
  <c r="H381" i="18"/>
  <c r="I382" i="18"/>
  <c r="L380" i="18"/>
  <c r="DJ123" i="1" l="1"/>
  <c r="DL123" i="1" s="1"/>
  <c r="CP122" i="1" l="1"/>
  <c r="CQ122" i="1"/>
  <c r="CR122" i="1"/>
  <c r="CT122" i="1"/>
  <c r="DB122" i="1" s="1"/>
  <c r="CV122" i="1"/>
  <c r="DD122" i="1" s="1"/>
  <c r="CX122" i="1"/>
  <c r="DF122" i="1" s="1"/>
  <c r="CZ122" i="1"/>
  <c r="DH122" i="1" s="1"/>
  <c r="DK122" i="1"/>
  <c r="B1117" i="19"/>
  <c r="B1118" i="19"/>
  <c r="C1117" i="19"/>
  <c r="C1118" i="19"/>
  <c r="E1117" i="19"/>
  <c r="E1118" i="19"/>
  <c r="O1117" i="19"/>
  <c r="O1118" i="19"/>
  <c r="P1117" i="19"/>
  <c r="P1118" i="19"/>
  <c r="Q1117" i="19"/>
  <c r="Q1118" i="19"/>
  <c r="I1117" i="19"/>
  <c r="H1118" i="19"/>
  <c r="H1117" i="19"/>
  <c r="I1118" i="19"/>
  <c r="DJ122" i="1" l="1"/>
  <c r="DL122" i="1" s="1"/>
  <c r="B369" i="18" l="1"/>
  <c r="B370" i="18"/>
  <c r="C369" i="18"/>
  <c r="C370" i="18"/>
  <c r="E369" i="18"/>
  <c r="E370" i="18"/>
  <c r="R369" i="18"/>
  <c r="R370" i="18"/>
  <c r="S369" i="18"/>
  <c r="S370" i="18"/>
  <c r="T369" i="18"/>
  <c r="T370" i="18"/>
  <c r="I370" i="18"/>
  <c r="H369" i="18"/>
  <c r="I369" i="18"/>
  <c r="H370" i="18"/>
  <c r="L369" i="18"/>
  <c r="CP121" i="1" l="1"/>
  <c r="CQ121" i="1"/>
  <c r="CR121" i="1"/>
  <c r="CT121" i="1"/>
  <c r="DB121" i="1" s="1"/>
  <c r="CV121" i="1"/>
  <c r="DD121" i="1" s="1"/>
  <c r="CX121" i="1"/>
  <c r="DF121" i="1" s="1"/>
  <c r="CZ121" i="1"/>
  <c r="DH121" i="1" s="1"/>
  <c r="DK121" i="1"/>
  <c r="DJ121" i="1" l="1"/>
  <c r="DL121" i="1" s="1"/>
  <c r="B367" i="18" l="1"/>
  <c r="B368" i="18"/>
  <c r="C367" i="18"/>
  <c r="C368" i="18"/>
  <c r="E367" i="18"/>
  <c r="E368" i="18"/>
  <c r="R367" i="18"/>
  <c r="R368" i="18"/>
  <c r="S367" i="18"/>
  <c r="S368" i="18"/>
  <c r="T367" i="18"/>
  <c r="T368" i="18"/>
  <c r="L368" i="18"/>
  <c r="I367" i="18"/>
  <c r="I368" i="18"/>
  <c r="H367" i="18"/>
  <c r="H368" i="18"/>
  <c r="L367" i="18"/>
  <c r="CP120" i="1" l="1"/>
  <c r="CQ120" i="1"/>
  <c r="CR120" i="1"/>
  <c r="CT120" i="1"/>
  <c r="DB120" i="1" s="1"/>
  <c r="CV120" i="1"/>
  <c r="DD120" i="1" s="1"/>
  <c r="CX120" i="1"/>
  <c r="DF120" i="1" s="1"/>
  <c r="CZ120" i="1"/>
  <c r="DH120" i="1" s="1"/>
  <c r="DK120" i="1"/>
  <c r="B365" i="18"/>
  <c r="B366" i="18"/>
  <c r="C365" i="18"/>
  <c r="C366" i="18"/>
  <c r="E365" i="18"/>
  <c r="E366" i="18"/>
  <c r="R365" i="18"/>
  <c r="R366" i="18"/>
  <c r="S365" i="18"/>
  <c r="S366" i="18"/>
  <c r="T365" i="18"/>
  <c r="T366" i="18"/>
  <c r="H366" i="18"/>
  <c r="L365" i="18"/>
  <c r="H365" i="18"/>
  <c r="L366" i="18"/>
  <c r="I366" i="18"/>
  <c r="I365" i="18"/>
  <c r="DJ120" i="1" l="1"/>
  <c r="DL120" i="1" s="1"/>
  <c r="B15" i="20" l="1"/>
  <c r="B16" i="20"/>
  <c r="C15" i="20"/>
  <c r="C16" i="20"/>
  <c r="E15" i="20"/>
  <c r="E16" i="20"/>
  <c r="P15" i="20"/>
  <c r="P16" i="20"/>
  <c r="Q15" i="20"/>
  <c r="Q16" i="20"/>
  <c r="R15" i="20"/>
  <c r="R16" i="20"/>
  <c r="AA15" i="20"/>
  <c r="AA16" i="20"/>
  <c r="H15" i="20"/>
  <c r="H16" i="20"/>
  <c r="I15" i="20"/>
  <c r="I16" i="20"/>
  <c r="CP119" i="1" l="1"/>
  <c r="CQ119" i="1"/>
  <c r="CR119" i="1"/>
  <c r="CT119" i="1"/>
  <c r="DB119" i="1" s="1"/>
  <c r="CV119" i="1"/>
  <c r="DD119" i="1" s="1"/>
  <c r="CX119" i="1"/>
  <c r="DF119" i="1" s="1"/>
  <c r="CZ119" i="1"/>
  <c r="DH119" i="1" s="1"/>
  <c r="DK119" i="1"/>
  <c r="DJ119" i="1" l="1"/>
  <c r="DL119" i="1" s="1"/>
  <c r="B364" i="18" l="1"/>
  <c r="C364" i="18"/>
  <c r="E364" i="18"/>
  <c r="R364" i="18"/>
  <c r="S364" i="18"/>
  <c r="T364" i="18"/>
  <c r="H364" i="18"/>
  <c r="L364" i="18"/>
  <c r="I364" i="18"/>
  <c r="CP118" i="1" l="1"/>
  <c r="CQ118" i="1"/>
  <c r="CR118" i="1"/>
  <c r="CT118" i="1"/>
  <c r="DB118" i="1" s="1"/>
  <c r="CV118" i="1"/>
  <c r="DD118" i="1" s="1"/>
  <c r="CX118" i="1"/>
  <c r="DF118" i="1" s="1"/>
  <c r="CZ118" i="1"/>
  <c r="DH118" i="1" s="1"/>
  <c r="DK118" i="1"/>
  <c r="DJ118" i="1" l="1"/>
  <c r="DL118" i="1" s="1"/>
  <c r="B362" i="18" l="1"/>
  <c r="B363" i="18"/>
  <c r="C362" i="18"/>
  <c r="C363" i="18"/>
  <c r="E362" i="18"/>
  <c r="E363" i="18"/>
  <c r="R362" i="18"/>
  <c r="R363" i="18"/>
  <c r="S362" i="18"/>
  <c r="S363" i="18"/>
  <c r="T362" i="18"/>
  <c r="T363" i="18"/>
  <c r="L362" i="18"/>
  <c r="H363" i="18"/>
  <c r="L363" i="18"/>
  <c r="I363" i="18"/>
  <c r="I362" i="18"/>
  <c r="H362" i="18"/>
  <c r="CP117" i="1" l="1"/>
  <c r="CQ117" i="1"/>
  <c r="CR117" i="1"/>
  <c r="CT117" i="1"/>
  <c r="DB117" i="1" s="1"/>
  <c r="CV117" i="1"/>
  <c r="DD117" i="1" s="1"/>
  <c r="CX117" i="1"/>
  <c r="DF117" i="1" s="1"/>
  <c r="CZ117" i="1"/>
  <c r="DH117" i="1" s="1"/>
  <c r="DK117" i="1"/>
  <c r="B356" i="18"/>
  <c r="B357" i="18"/>
  <c r="B358" i="18"/>
  <c r="B359" i="18"/>
  <c r="B360" i="18"/>
  <c r="B361" i="18"/>
  <c r="C356" i="18"/>
  <c r="C357" i="18"/>
  <c r="C358" i="18"/>
  <c r="C359" i="18"/>
  <c r="C360" i="18"/>
  <c r="C361" i="18"/>
  <c r="E356" i="18"/>
  <c r="E357" i="18"/>
  <c r="E358" i="18"/>
  <c r="E359" i="18"/>
  <c r="E360" i="18"/>
  <c r="E361" i="18"/>
  <c r="R356" i="18"/>
  <c r="R357" i="18"/>
  <c r="R358" i="18"/>
  <c r="R359" i="18"/>
  <c r="R360" i="18"/>
  <c r="R361" i="18"/>
  <c r="S356" i="18"/>
  <c r="S357" i="18"/>
  <c r="S358" i="18"/>
  <c r="S359" i="18"/>
  <c r="S360" i="18"/>
  <c r="S361" i="18"/>
  <c r="T356" i="18"/>
  <c r="T357" i="18"/>
  <c r="T358" i="18"/>
  <c r="T359" i="18"/>
  <c r="T360" i="18"/>
  <c r="T361" i="18"/>
  <c r="B1116" i="19"/>
  <c r="C1116" i="19"/>
  <c r="E1116" i="19"/>
  <c r="O1116" i="19"/>
  <c r="P1116" i="19"/>
  <c r="Q1116" i="19"/>
  <c r="B1115" i="19"/>
  <c r="C1115" i="19"/>
  <c r="E1115" i="19"/>
  <c r="O1115" i="19"/>
  <c r="P1115" i="19"/>
  <c r="Q1115" i="19"/>
  <c r="B1114" i="19"/>
  <c r="C1114" i="19"/>
  <c r="E1114" i="19"/>
  <c r="O1114" i="19"/>
  <c r="P1114" i="19"/>
  <c r="Q1114" i="19"/>
  <c r="B1113" i="19"/>
  <c r="C1113" i="19"/>
  <c r="E1113" i="19"/>
  <c r="O1113" i="19"/>
  <c r="P1113" i="19"/>
  <c r="Q1113" i="19"/>
  <c r="B1112" i="19"/>
  <c r="C1112" i="19"/>
  <c r="E1112" i="19"/>
  <c r="O1112" i="19"/>
  <c r="P1112" i="19"/>
  <c r="Q1112" i="19"/>
  <c r="B1111" i="19"/>
  <c r="C1111" i="19"/>
  <c r="E1111" i="19"/>
  <c r="O1111" i="19"/>
  <c r="P1111" i="19"/>
  <c r="Q1111" i="19"/>
  <c r="B1110" i="19"/>
  <c r="C1110" i="19"/>
  <c r="E1110" i="19"/>
  <c r="O1110" i="19"/>
  <c r="P1110" i="19"/>
  <c r="Q1110" i="19"/>
  <c r="B1109" i="19"/>
  <c r="C1109" i="19"/>
  <c r="E1109" i="19"/>
  <c r="O1109" i="19"/>
  <c r="P1109" i="19"/>
  <c r="Q1109" i="19"/>
  <c r="B1108" i="19"/>
  <c r="C1108" i="19"/>
  <c r="E1108" i="19"/>
  <c r="O1108" i="19"/>
  <c r="P1108" i="19"/>
  <c r="Q1108" i="19"/>
  <c r="B1107" i="19"/>
  <c r="C1107" i="19"/>
  <c r="E1107" i="19"/>
  <c r="O1107" i="19"/>
  <c r="P1107" i="19"/>
  <c r="Q1107" i="19"/>
  <c r="B1106" i="19"/>
  <c r="C1106" i="19"/>
  <c r="E1106" i="19"/>
  <c r="O1106" i="19"/>
  <c r="P1106" i="19"/>
  <c r="Q1106" i="19"/>
  <c r="B1105" i="19"/>
  <c r="C1105" i="19"/>
  <c r="E1105" i="19"/>
  <c r="O1105" i="19"/>
  <c r="P1105" i="19"/>
  <c r="Q1105" i="19"/>
  <c r="B1104" i="19"/>
  <c r="C1104" i="19"/>
  <c r="E1104" i="19"/>
  <c r="O1104" i="19"/>
  <c r="P1104" i="19"/>
  <c r="Q1104" i="19"/>
  <c r="B1103" i="19"/>
  <c r="C1103" i="19"/>
  <c r="E1103" i="19"/>
  <c r="O1103" i="19"/>
  <c r="P1103" i="19"/>
  <c r="Q1103" i="19"/>
  <c r="B1097" i="19"/>
  <c r="B1098" i="19"/>
  <c r="B1099" i="19"/>
  <c r="B1100" i="19"/>
  <c r="B1101" i="19"/>
  <c r="B1102" i="19"/>
  <c r="C1097" i="19"/>
  <c r="C1098" i="19"/>
  <c r="C1099" i="19"/>
  <c r="C1100" i="19"/>
  <c r="C1101" i="19"/>
  <c r="C1102" i="19"/>
  <c r="E1097" i="19"/>
  <c r="E1098" i="19"/>
  <c r="E1099" i="19"/>
  <c r="E1100" i="19"/>
  <c r="E1101" i="19"/>
  <c r="E1102" i="19"/>
  <c r="O1097" i="19"/>
  <c r="O1098" i="19"/>
  <c r="O1099" i="19"/>
  <c r="O1100" i="19"/>
  <c r="O1101" i="19"/>
  <c r="O1102" i="19"/>
  <c r="P1097" i="19"/>
  <c r="P1098" i="19"/>
  <c r="P1099" i="19"/>
  <c r="P1100" i="19"/>
  <c r="P1101" i="19"/>
  <c r="P1102" i="19"/>
  <c r="Q1097" i="19"/>
  <c r="Q1098" i="19"/>
  <c r="Q1099" i="19"/>
  <c r="Q1100" i="19"/>
  <c r="Q1101" i="19"/>
  <c r="Q1102" i="19"/>
  <c r="B1096" i="19"/>
  <c r="C1096" i="19"/>
  <c r="E1096" i="19"/>
  <c r="O1096" i="19"/>
  <c r="P1096" i="19"/>
  <c r="Q1096" i="19"/>
  <c r="H1114" i="19"/>
  <c r="I1108" i="19"/>
  <c r="H1099" i="19"/>
  <c r="I1101" i="19"/>
  <c r="H1104" i="19"/>
  <c r="H1109" i="19"/>
  <c r="H1102" i="19"/>
  <c r="H1115" i="19"/>
  <c r="H1097" i="19"/>
  <c r="I1114" i="19"/>
  <c r="H1103" i="19"/>
  <c r="H1100" i="19"/>
  <c r="H1096" i="19"/>
  <c r="I1109" i="19"/>
  <c r="I1102" i="19"/>
  <c r="H1116" i="19"/>
  <c r="H1108" i="19"/>
  <c r="I1103" i="19"/>
  <c r="H1101" i="19"/>
  <c r="I1110" i="19"/>
  <c r="H1110" i="19"/>
  <c r="I1099" i="19"/>
  <c r="I1111" i="19"/>
  <c r="I1115" i="19"/>
  <c r="I1100" i="19"/>
  <c r="I1096" i="19"/>
  <c r="I1097" i="19"/>
  <c r="I1116" i="19"/>
  <c r="I1107" i="19"/>
  <c r="I1106" i="19"/>
  <c r="H1105" i="19"/>
  <c r="H1098" i="19"/>
  <c r="H1106" i="19"/>
  <c r="I1098" i="19"/>
  <c r="I1104" i="19"/>
  <c r="I1112" i="19"/>
  <c r="H1107" i="19"/>
  <c r="H1111" i="19"/>
  <c r="H1113" i="19"/>
  <c r="I1113" i="19"/>
  <c r="I1105" i="19"/>
  <c r="H1112" i="19"/>
  <c r="L358" i="18"/>
  <c r="I358" i="18"/>
  <c r="L356" i="18"/>
  <c r="L359" i="18"/>
  <c r="H357" i="18"/>
  <c r="I361" i="18"/>
  <c r="I356" i="18"/>
  <c r="H361" i="18"/>
  <c r="H358" i="18"/>
  <c r="I359" i="18"/>
  <c r="H356" i="18"/>
  <c r="L361" i="18"/>
  <c r="H359" i="18"/>
  <c r="H360" i="18"/>
  <c r="L360" i="18"/>
  <c r="I357" i="18"/>
  <c r="I360" i="18"/>
  <c r="L357" i="18"/>
  <c r="DJ117" i="1" l="1"/>
  <c r="DL117" i="1" s="1"/>
  <c r="CP116" i="1" l="1"/>
  <c r="CQ116" i="1"/>
  <c r="CR116" i="1"/>
  <c r="CT116" i="1"/>
  <c r="DB116" i="1" s="1"/>
  <c r="CV116" i="1"/>
  <c r="DD116" i="1" s="1"/>
  <c r="CX116" i="1"/>
  <c r="DF116" i="1" s="1"/>
  <c r="CZ116" i="1"/>
  <c r="DH116" i="1" s="1"/>
  <c r="DK116" i="1"/>
  <c r="B1094" i="19"/>
  <c r="B1095" i="19"/>
  <c r="C1094" i="19"/>
  <c r="C1095" i="19"/>
  <c r="E1094" i="19"/>
  <c r="E1095" i="19"/>
  <c r="O1094" i="19"/>
  <c r="O1095" i="19"/>
  <c r="P1094" i="19"/>
  <c r="P1095" i="19"/>
  <c r="Q1094" i="19"/>
  <c r="Q1095" i="19"/>
  <c r="B352" i="18"/>
  <c r="B353" i="18"/>
  <c r="B354" i="18"/>
  <c r="B355" i="18"/>
  <c r="C352" i="18"/>
  <c r="C353" i="18"/>
  <c r="C354" i="18"/>
  <c r="C355" i="18"/>
  <c r="E352" i="18"/>
  <c r="E353" i="18"/>
  <c r="E354" i="18"/>
  <c r="E355" i="18"/>
  <c r="R352" i="18"/>
  <c r="R353" i="18"/>
  <c r="R354" i="18"/>
  <c r="R355" i="18"/>
  <c r="S352" i="18"/>
  <c r="S353" i="18"/>
  <c r="S354" i="18"/>
  <c r="S355" i="18"/>
  <c r="T352" i="18"/>
  <c r="T353" i="18"/>
  <c r="T354" i="18"/>
  <c r="T355" i="18"/>
  <c r="I1095" i="19"/>
  <c r="H1095" i="19"/>
  <c r="H1094" i="19"/>
  <c r="I1094" i="19"/>
  <c r="I355" i="18"/>
  <c r="H354" i="18"/>
  <c r="L352" i="18"/>
  <c r="I354" i="18"/>
  <c r="L355" i="18"/>
  <c r="I353" i="18"/>
  <c r="I352" i="18"/>
  <c r="H353" i="18"/>
  <c r="H355" i="18"/>
  <c r="L354" i="18"/>
  <c r="H352" i="18"/>
  <c r="L353" i="18"/>
  <c r="DJ116" i="1" l="1"/>
  <c r="DL116" i="1" s="1"/>
  <c r="CP115" i="1" l="1"/>
  <c r="CQ115" i="1"/>
  <c r="CR115" i="1"/>
  <c r="CT115" i="1"/>
  <c r="DB115" i="1" s="1"/>
  <c r="CV115" i="1"/>
  <c r="DD115" i="1" s="1"/>
  <c r="CX115" i="1"/>
  <c r="DF115" i="1" s="1"/>
  <c r="CZ115" i="1"/>
  <c r="DH115" i="1" s="1"/>
  <c r="DK115" i="1"/>
  <c r="B351" i="18"/>
  <c r="C351" i="18"/>
  <c r="E351" i="18"/>
  <c r="R351" i="18"/>
  <c r="S351" i="18"/>
  <c r="T351" i="18"/>
  <c r="I351" i="18"/>
  <c r="H351" i="18"/>
  <c r="L351" i="18"/>
  <c r="DJ115" i="1" l="1"/>
  <c r="DL115" i="1" s="1"/>
  <c r="CP114" i="1"/>
  <c r="CQ114" i="1"/>
  <c r="CR114" i="1"/>
  <c r="CT114" i="1"/>
  <c r="DB114" i="1" s="1"/>
  <c r="CV114" i="1"/>
  <c r="DD114" i="1" s="1"/>
  <c r="CX114" i="1"/>
  <c r="DF114" i="1" s="1"/>
  <c r="CZ114" i="1"/>
  <c r="DH114" i="1" s="1"/>
  <c r="DK114" i="1"/>
  <c r="DJ114" i="1" l="1"/>
  <c r="DL114" i="1" s="1"/>
  <c r="B349" i="18" l="1"/>
  <c r="B350" i="18"/>
  <c r="C349" i="18"/>
  <c r="C350" i="18"/>
  <c r="E349" i="18"/>
  <c r="E350" i="18"/>
  <c r="R349" i="18"/>
  <c r="R350" i="18"/>
  <c r="S349" i="18"/>
  <c r="S350" i="18"/>
  <c r="T349" i="18"/>
  <c r="T350" i="18"/>
  <c r="I350" i="18"/>
  <c r="I349" i="18"/>
  <c r="H349" i="18"/>
  <c r="H350" i="18"/>
  <c r="L349" i="18"/>
  <c r="L350" i="18"/>
  <c r="CP113" i="1" l="1"/>
  <c r="CQ113" i="1"/>
  <c r="CR113" i="1"/>
  <c r="CT113" i="1"/>
  <c r="DB113" i="1" s="1"/>
  <c r="CV113" i="1"/>
  <c r="DD113" i="1" s="1"/>
  <c r="CX113" i="1"/>
  <c r="DF113" i="1" s="1"/>
  <c r="CZ113" i="1"/>
  <c r="DH113" i="1" s="1"/>
  <c r="DK113" i="1"/>
  <c r="DJ113" i="1" l="1"/>
  <c r="DL113" i="1" s="1"/>
  <c r="B346" i="18" l="1"/>
  <c r="B347" i="18"/>
  <c r="B348" i="18"/>
  <c r="C346" i="18"/>
  <c r="C347" i="18"/>
  <c r="C348" i="18"/>
  <c r="E346" i="18"/>
  <c r="E347" i="18"/>
  <c r="E348" i="18"/>
  <c r="R346" i="18"/>
  <c r="R347" i="18"/>
  <c r="R348" i="18"/>
  <c r="S346" i="18"/>
  <c r="S347" i="18"/>
  <c r="S348" i="18"/>
  <c r="T346" i="18"/>
  <c r="T347" i="18"/>
  <c r="T348" i="18"/>
  <c r="I348" i="18"/>
  <c r="H346" i="18"/>
  <c r="L346" i="18"/>
  <c r="H348" i="18"/>
  <c r="L347" i="18"/>
  <c r="I347" i="18"/>
  <c r="I346" i="18"/>
  <c r="L348" i="18"/>
  <c r="H347" i="18"/>
  <c r="CP112" i="1" l="1"/>
  <c r="CQ112" i="1"/>
  <c r="CR112" i="1"/>
  <c r="CT112" i="1"/>
  <c r="DB112" i="1" s="1"/>
  <c r="CV112" i="1"/>
  <c r="DD112" i="1" s="1"/>
  <c r="CX112" i="1"/>
  <c r="DF112" i="1" s="1"/>
  <c r="CZ112" i="1"/>
  <c r="DH112" i="1" s="1"/>
  <c r="DK112" i="1"/>
  <c r="B345" i="18"/>
  <c r="C345" i="18"/>
  <c r="E345" i="18"/>
  <c r="R345" i="18"/>
  <c r="S345" i="18"/>
  <c r="T345" i="18"/>
  <c r="H345" i="18"/>
  <c r="L345" i="18"/>
  <c r="I345" i="18"/>
  <c r="DJ112" i="1" l="1"/>
  <c r="DL112" i="1" s="1"/>
  <c r="CP111" i="1"/>
  <c r="CQ111" i="1"/>
  <c r="CR111" i="1"/>
  <c r="CT111" i="1"/>
  <c r="DB111" i="1" s="1"/>
  <c r="CV111" i="1"/>
  <c r="DD111" i="1" s="1"/>
  <c r="CX111" i="1"/>
  <c r="DF111" i="1" s="1"/>
  <c r="CZ111" i="1"/>
  <c r="DH111" i="1" s="1"/>
  <c r="DK111" i="1"/>
  <c r="DJ111" i="1" l="1"/>
  <c r="DL111" i="1" s="1"/>
  <c r="B343" i="18" l="1"/>
  <c r="B344" i="18"/>
  <c r="C343" i="18"/>
  <c r="C344" i="18"/>
  <c r="E343" i="18"/>
  <c r="E344" i="18"/>
  <c r="R343" i="18"/>
  <c r="R344" i="18"/>
  <c r="S343" i="18"/>
  <c r="S344" i="18"/>
  <c r="T343" i="18"/>
  <c r="T344" i="18"/>
  <c r="I343" i="18"/>
  <c r="L343" i="18"/>
  <c r="L344" i="18"/>
  <c r="I344" i="18"/>
  <c r="H344" i="18"/>
  <c r="H343" i="18"/>
  <c r="CP110" i="1" l="1"/>
  <c r="CQ110" i="1"/>
  <c r="CR110" i="1"/>
  <c r="CT110" i="1"/>
  <c r="DB110" i="1" s="1"/>
  <c r="CV110" i="1"/>
  <c r="DD110" i="1" s="1"/>
  <c r="CX110" i="1"/>
  <c r="DF110" i="1" s="1"/>
  <c r="CZ110" i="1"/>
  <c r="DH110" i="1" s="1"/>
  <c r="DK110" i="1"/>
  <c r="DJ110" i="1" l="1"/>
  <c r="DL110" i="1" s="1"/>
  <c r="B341" i="18" l="1"/>
  <c r="B342" i="18"/>
  <c r="C341" i="18"/>
  <c r="C342" i="18"/>
  <c r="E341" i="18"/>
  <c r="E342" i="18"/>
  <c r="R341" i="18"/>
  <c r="R342" i="18"/>
  <c r="S341" i="18"/>
  <c r="S342" i="18"/>
  <c r="T341" i="18"/>
  <c r="T342" i="18"/>
  <c r="I342" i="18"/>
  <c r="L341" i="18"/>
  <c r="L342" i="18"/>
  <c r="H341" i="18"/>
  <c r="H342" i="18"/>
  <c r="I341" i="18"/>
  <c r="CP109" i="1" l="1"/>
  <c r="CQ109" i="1"/>
  <c r="CR109" i="1"/>
  <c r="CT109" i="1"/>
  <c r="DB109" i="1" s="1"/>
  <c r="CV109" i="1"/>
  <c r="DD109" i="1" s="1"/>
  <c r="CX109" i="1"/>
  <c r="DF109" i="1" s="1"/>
  <c r="CZ109" i="1"/>
  <c r="DH109" i="1" s="1"/>
  <c r="DK109" i="1"/>
  <c r="DJ109" i="1" l="1"/>
  <c r="DL109" i="1" s="1"/>
  <c r="B339" i="18" l="1"/>
  <c r="B340" i="18"/>
  <c r="C339" i="18"/>
  <c r="C340" i="18"/>
  <c r="E339" i="18"/>
  <c r="E340" i="18"/>
  <c r="R339" i="18"/>
  <c r="R340" i="18"/>
  <c r="S339" i="18"/>
  <c r="S340" i="18"/>
  <c r="T339" i="18"/>
  <c r="T340" i="18"/>
  <c r="I339" i="18"/>
  <c r="I340" i="18"/>
  <c r="L339" i="18"/>
  <c r="L340" i="18"/>
  <c r="H339" i="18"/>
  <c r="H340" i="18"/>
  <c r="CP108" i="1" l="1"/>
  <c r="CQ108" i="1"/>
  <c r="CR108" i="1"/>
  <c r="CT108" i="1"/>
  <c r="DB108" i="1" s="1"/>
  <c r="CV108" i="1"/>
  <c r="DD108" i="1" s="1"/>
  <c r="CX108" i="1"/>
  <c r="DF108" i="1" s="1"/>
  <c r="CZ108" i="1"/>
  <c r="DH108" i="1" s="1"/>
  <c r="DK108" i="1"/>
  <c r="DJ108" i="1" l="1"/>
  <c r="DL108" i="1" s="1"/>
  <c r="B337" i="18" l="1"/>
  <c r="B338" i="18"/>
  <c r="C337" i="18"/>
  <c r="C338" i="18"/>
  <c r="E337" i="18"/>
  <c r="E338" i="18"/>
  <c r="R337" i="18"/>
  <c r="R338" i="18"/>
  <c r="S337" i="18"/>
  <c r="S338" i="18"/>
  <c r="T337" i="18"/>
  <c r="T338" i="18"/>
  <c r="L337" i="18"/>
  <c r="I337" i="18"/>
  <c r="L338" i="18"/>
  <c r="H338" i="18"/>
  <c r="I338" i="18"/>
  <c r="H337" i="18"/>
  <c r="CP107" i="1" l="1"/>
  <c r="CQ107" i="1"/>
  <c r="CR107" i="1"/>
  <c r="CT107" i="1"/>
  <c r="DB107" i="1" s="1"/>
  <c r="CV107" i="1"/>
  <c r="DD107" i="1" s="1"/>
  <c r="CX107" i="1"/>
  <c r="DF107" i="1" s="1"/>
  <c r="CZ107" i="1"/>
  <c r="DH107" i="1" s="1"/>
  <c r="DK107" i="1"/>
  <c r="DJ107" i="1" l="1"/>
  <c r="DL107" i="1" s="1"/>
  <c r="CP106" i="1"/>
  <c r="CQ106" i="1"/>
  <c r="CR106" i="1"/>
  <c r="CT106" i="1"/>
  <c r="DB106" i="1" s="1"/>
  <c r="CV106" i="1"/>
  <c r="DD106" i="1" s="1"/>
  <c r="CX106" i="1"/>
  <c r="DF106" i="1" s="1"/>
  <c r="CZ106" i="1"/>
  <c r="DH106" i="1" s="1"/>
  <c r="DK106" i="1"/>
  <c r="B1088" i="19"/>
  <c r="B1089" i="19"/>
  <c r="B1090" i="19"/>
  <c r="B1091" i="19"/>
  <c r="B1092" i="19"/>
  <c r="B1093" i="19"/>
  <c r="C1088" i="19"/>
  <c r="C1089" i="19"/>
  <c r="C1090" i="19"/>
  <c r="C1091" i="19"/>
  <c r="C1092" i="19"/>
  <c r="C1093" i="19"/>
  <c r="E1088" i="19"/>
  <c r="E1089" i="19"/>
  <c r="E1090" i="19"/>
  <c r="E1091" i="19"/>
  <c r="E1092" i="19"/>
  <c r="E1093" i="19"/>
  <c r="O1088" i="19"/>
  <c r="O1089" i="19"/>
  <c r="O1090" i="19"/>
  <c r="O1091" i="19"/>
  <c r="O1092" i="19"/>
  <c r="O1093" i="19"/>
  <c r="P1088" i="19"/>
  <c r="P1089" i="19"/>
  <c r="P1090" i="19"/>
  <c r="P1091" i="19"/>
  <c r="P1092" i="19"/>
  <c r="P1093" i="19"/>
  <c r="Q1088" i="19"/>
  <c r="Q1089" i="19"/>
  <c r="Q1090" i="19"/>
  <c r="Q1091" i="19"/>
  <c r="Q1092" i="19"/>
  <c r="Q1093" i="19"/>
  <c r="B331" i="18"/>
  <c r="B332" i="18"/>
  <c r="B333" i="18"/>
  <c r="B334" i="18"/>
  <c r="B335" i="18"/>
  <c r="B336" i="18"/>
  <c r="C331" i="18"/>
  <c r="C332" i="18"/>
  <c r="C333" i="18"/>
  <c r="C334" i="18"/>
  <c r="C335" i="18"/>
  <c r="C336" i="18"/>
  <c r="E331" i="18"/>
  <c r="E332" i="18"/>
  <c r="E333" i="18"/>
  <c r="E334" i="18"/>
  <c r="E335" i="18"/>
  <c r="E336" i="18"/>
  <c r="R331" i="18"/>
  <c r="R332" i="18"/>
  <c r="R333" i="18"/>
  <c r="R334" i="18"/>
  <c r="R335" i="18"/>
  <c r="R336" i="18"/>
  <c r="S331" i="18"/>
  <c r="S332" i="18"/>
  <c r="S333" i="18"/>
  <c r="S334" i="18"/>
  <c r="S335" i="18"/>
  <c r="S336" i="18"/>
  <c r="T331" i="18"/>
  <c r="T332" i="18"/>
  <c r="T333" i="18"/>
  <c r="T334" i="18"/>
  <c r="T335" i="18"/>
  <c r="T336" i="18"/>
  <c r="I1089" i="19"/>
  <c r="I1092" i="19"/>
  <c r="H1090" i="19"/>
  <c r="I1088" i="19"/>
  <c r="H1091" i="19"/>
  <c r="H1088" i="19"/>
  <c r="I1091" i="19"/>
  <c r="I1093" i="19"/>
  <c r="H1089" i="19"/>
  <c r="I1090" i="19"/>
  <c r="H1093" i="19"/>
  <c r="H1092" i="19"/>
  <c r="L336" i="18"/>
  <c r="I336" i="18"/>
  <c r="L334" i="18"/>
  <c r="H331" i="18"/>
  <c r="H335" i="18"/>
  <c r="I333" i="18"/>
  <c r="I334" i="18"/>
  <c r="I335" i="18"/>
  <c r="H332" i="18"/>
  <c r="L335" i="18"/>
  <c r="H333" i="18"/>
  <c r="L333" i="18"/>
  <c r="H334" i="18"/>
  <c r="L332" i="18"/>
  <c r="H336" i="18"/>
  <c r="I331" i="18"/>
  <c r="I332" i="18"/>
  <c r="DJ106" i="1" l="1"/>
  <c r="DL106" i="1" s="1"/>
  <c r="CP105" i="1" l="1"/>
  <c r="CQ105" i="1"/>
  <c r="CR105" i="1"/>
  <c r="CT105" i="1"/>
  <c r="DB105" i="1" s="1"/>
  <c r="CV105" i="1"/>
  <c r="DD105" i="1" s="1"/>
  <c r="CX105" i="1"/>
  <c r="DF105" i="1" s="1"/>
  <c r="CZ105" i="1"/>
  <c r="DH105" i="1" s="1"/>
  <c r="DK105" i="1"/>
  <c r="B1083" i="19"/>
  <c r="B1084" i="19"/>
  <c r="B1085" i="19"/>
  <c r="B1086" i="19"/>
  <c r="B1087" i="19"/>
  <c r="C1083" i="19"/>
  <c r="C1084" i="19"/>
  <c r="C1085" i="19"/>
  <c r="C1086" i="19"/>
  <c r="C1087" i="19"/>
  <c r="E1083" i="19"/>
  <c r="E1084" i="19"/>
  <c r="E1085" i="19"/>
  <c r="E1086" i="19"/>
  <c r="E1087" i="19"/>
  <c r="O1083" i="19"/>
  <c r="O1084" i="19"/>
  <c r="O1085" i="19"/>
  <c r="O1086" i="19"/>
  <c r="O1087" i="19"/>
  <c r="P1083" i="19"/>
  <c r="P1084" i="19"/>
  <c r="P1085" i="19"/>
  <c r="P1086" i="19"/>
  <c r="P1087" i="19"/>
  <c r="Q1083" i="19"/>
  <c r="Q1084" i="19"/>
  <c r="Q1085" i="19"/>
  <c r="Q1086" i="19"/>
  <c r="Q1087" i="19"/>
  <c r="B324" i="18"/>
  <c r="B325" i="18"/>
  <c r="B326" i="18"/>
  <c r="B327" i="18"/>
  <c r="B328" i="18"/>
  <c r="B329" i="18"/>
  <c r="B330" i="18"/>
  <c r="C324" i="18"/>
  <c r="C325" i="18"/>
  <c r="C326" i="18"/>
  <c r="C327" i="18"/>
  <c r="C328" i="18"/>
  <c r="C329" i="18"/>
  <c r="C330" i="18"/>
  <c r="E324" i="18"/>
  <c r="E325" i="18"/>
  <c r="E326" i="18"/>
  <c r="E327" i="18"/>
  <c r="E328" i="18"/>
  <c r="E329" i="18"/>
  <c r="E330" i="18"/>
  <c r="R324" i="18"/>
  <c r="R325" i="18"/>
  <c r="R326" i="18"/>
  <c r="R327" i="18"/>
  <c r="R328" i="18"/>
  <c r="R329" i="18"/>
  <c r="R330" i="18"/>
  <c r="S324" i="18"/>
  <c r="S325" i="18"/>
  <c r="S326" i="18"/>
  <c r="S327" i="18"/>
  <c r="S328" i="18"/>
  <c r="S329" i="18"/>
  <c r="S330" i="18"/>
  <c r="T324" i="18"/>
  <c r="T325" i="18"/>
  <c r="T326" i="18"/>
  <c r="T327" i="18"/>
  <c r="T328" i="18"/>
  <c r="T329" i="18"/>
  <c r="T330" i="18"/>
  <c r="I1087" i="19"/>
  <c r="I1083" i="19"/>
  <c r="H1087" i="19"/>
  <c r="I1086" i="19"/>
  <c r="H1085" i="19"/>
  <c r="I1084" i="19"/>
  <c r="H1083" i="19"/>
  <c r="I1085" i="19"/>
  <c r="H1086" i="19"/>
  <c r="H1084" i="19"/>
  <c r="L325" i="18"/>
  <c r="H329" i="18"/>
  <c r="I326" i="18"/>
  <c r="I330" i="18"/>
  <c r="L327" i="18"/>
  <c r="H325" i="18"/>
  <c r="I325" i="18"/>
  <c r="L326" i="18"/>
  <c r="L324" i="18"/>
  <c r="H330" i="18"/>
  <c r="L328" i="18"/>
  <c r="I329" i="18"/>
  <c r="H327" i="18"/>
  <c r="I324" i="18"/>
  <c r="H324" i="18"/>
  <c r="I328" i="18"/>
  <c r="I327" i="18"/>
  <c r="H326" i="18"/>
  <c r="H328" i="18"/>
  <c r="L330" i="18"/>
  <c r="DJ105" i="1" l="1"/>
  <c r="DL105" i="1" s="1"/>
  <c r="CP104" i="1" l="1"/>
  <c r="CQ104" i="1"/>
  <c r="CR104" i="1"/>
  <c r="CT104" i="1"/>
  <c r="DB104" i="1" s="1"/>
  <c r="CV104" i="1"/>
  <c r="DD104" i="1" s="1"/>
  <c r="CX104" i="1"/>
  <c r="DF104" i="1" s="1"/>
  <c r="CZ104" i="1"/>
  <c r="DH104" i="1" s="1"/>
  <c r="DK104" i="1"/>
  <c r="DJ104" i="1" l="1"/>
  <c r="DL104" i="1" s="1"/>
  <c r="B322" i="18" l="1"/>
  <c r="C322" i="18"/>
  <c r="B323" i="18"/>
  <c r="C323" i="18"/>
  <c r="E322" i="18"/>
  <c r="E323" i="18"/>
  <c r="R322" i="18"/>
  <c r="R323" i="18"/>
  <c r="S322" i="18"/>
  <c r="S323" i="18"/>
  <c r="T322" i="18"/>
  <c r="T323" i="18"/>
  <c r="I323" i="18"/>
  <c r="L323" i="18"/>
  <c r="H323" i="18"/>
  <c r="H322" i="18"/>
  <c r="I322" i="18"/>
  <c r="L322" i="18"/>
  <c r="CP103" i="1" l="1"/>
  <c r="CQ103" i="1"/>
  <c r="CR103" i="1"/>
  <c r="CT103" i="1"/>
  <c r="DB103" i="1" s="1"/>
  <c r="CV103" i="1"/>
  <c r="DD103" i="1" s="1"/>
  <c r="CX103" i="1"/>
  <c r="DF103" i="1" s="1"/>
  <c r="CZ103" i="1"/>
  <c r="DH103" i="1" s="1"/>
  <c r="DK103" i="1"/>
  <c r="DJ103" i="1" l="1"/>
  <c r="DL103" i="1" s="1"/>
  <c r="B317" i="18" l="1"/>
  <c r="B318" i="18"/>
  <c r="B319" i="18"/>
  <c r="B320" i="18"/>
  <c r="B321" i="18"/>
  <c r="C317" i="18"/>
  <c r="C318" i="18"/>
  <c r="C319" i="18"/>
  <c r="C320" i="18"/>
  <c r="C321" i="18"/>
  <c r="E317" i="18"/>
  <c r="E318" i="18"/>
  <c r="E319" i="18"/>
  <c r="E320" i="18"/>
  <c r="E321" i="18"/>
  <c r="R317" i="18"/>
  <c r="R318" i="18"/>
  <c r="R319" i="18"/>
  <c r="R320" i="18"/>
  <c r="R321" i="18"/>
  <c r="S317" i="18"/>
  <c r="S318" i="18"/>
  <c r="S319" i="18"/>
  <c r="S320" i="18"/>
  <c r="S321" i="18"/>
  <c r="T317" i="18"/>
  <c r="T318" i="18"/>
  <c r="T319" i="18"/>
  <c r="T320" i="18"/>
  <c r="T321" i="18"/>
  <c r="I320" i="18"/>
  <c r="H317" i="18"/>
  <c r="L319" i="18"/>
  <c r="H318" i="18"/>
  <c r="H319" i="18"/>
  <c r="I321" i="18"/>
  <c r="I317" i="18"/>
  <c r="L321" i="18"/>
  <c r="I318" i="18"/>
  <c r="H321" i="18"/>
  <c r="I319" i="18"/>
  <c r="L318" i="18"/>
  <c r="H320" i="18"/>
  <c r="L317" i="18"/>
  <c r="L320" i="18"/>
  <c r="B311" i="18" l="1"/>
  <c r="B312" i="18"/>
  <c r="B313" i="18"/>
  <c r="B314" i="18"/>
  <c r="B315" i="18"/>
  <c r="B316" i="18"/>
  <c r="C311" i="18"/>
  <c r="C312" i="18"/>
  <c r="C313" i="18"/>
  <c r="C314" i="18"/>
  <c r="C315" i="18"/>
  <c r="C316" i="18"/>
  <c r="E311" i="18"/>
  <c r="E312" i="18"/>
  <c r="E313" i="18"/>
  <c r="E314" i="18"/>
  <c r="E315" i="18"/>
  <c r="E316" i="18"/>
  <c r="R311" i="18"/>
  <c r="R312" i="18"/>
  <c r="R313" i="18"/>
  <c r="R314" i="18"/>
  <c r="R315" i="18"/>
  <c r="R316" i="18"/>
  <c r="S311" i="18"/>
  <c r="S312" i="18"/>
  <c r="S313" i="18"/>
  <c r="S314" i="18"/>
  <c r="S315" i="18"/>
  <c r="S316" i="18"/>
  <c r="T311" i="18"/>
  <c r="T312" i="18"/>
  <c r="T313" i="18"/>
  <c r="T314" i="18"/>
  <c r="T315" i="18"/>
  <c r="T316" i="18"/>
  <c r="CP102" i="1"/>
  <c r="CQ102" i="1"/>
  <c r="CR102" i="1"/>
  <c r="CT102" i="1"/>
  <c r="DB102" i="1" s="1"/>
  <c r="CV102" i="1"/>
  <c r="DD102" i="1" s="1"/>
  <c r="CX102" i="1"/>
  <c r="DF102" i="1" s="1"/>
  <c r="CZ102" i="1"/>
  <c r="DH102" i="1" s="1"/>
  <c r="DK102" i="1"/>
  <c r="B308" i="18"/>
  <c r="C308" i="18"/>
  <c r="E308" i="18"/>
  <c r="R308" i="18"/>
  <c r="S308" i="18"/>
  <c r="T308" i="18"/>
  <c r="B306" i="18"/>
  <c r="C306" i="18"/>
  <c r="E306" i="18"/>
  <c r="R306" i="18"/>
  <c r="S306" i="18"/>
  <c r="T306" i="18"/>
  <c r="B304" i="18"/>
  <c r="C304" i="18"/>
  <c r="E304" i="18"/>
  <c r="R304" i="18"/>
  <c r="S304" i="18"/>
  <c r="T304" i="18"/>
  <c r="CP101" i="1"/>
  <c r="CQ101" i="1"/>
  <c r="CR101" i="1"/>
  <c r="CT101" i="1"/>
  <c r="DB101" i="1" s="1"/>
  <c r="CV101" i="1"/>
  <c r="DD101" i="1" s="1"/>
  <c r="CX101" i="1"/>
  <c r="DF101" i="1" s="1"/>
  <c r="CZ101" i="1"/>
  <c r="DH101" i="1" s="1"/>
  <c r="DK101" i="1"/>
  <c r="B1079" i="19"/>
  <c r="B1080" i="19"/>
  <c r="B1081" i="19"/>
  <c r="B1082" i="19"/>
  <c r="C1079" i="19"/>
  <c r="C1080" i="19"/>
  <c r="C1081" i="19"/>
  <c r="C1082" i="19"/>
  <c r="E1079" i="19"/>
  <c r="E1080" i="19"/>
  <c r="E1081" i="19"/>
  <c r="E1082" i="19"/>
  <c r="O1079" i="19"/>
  <c r="O1080" i="19"/>
  <c r="O1081" i="19"/>
  <c r="O1082" i="19"/>
  <c r="P1079" i="19"/>
  <c r="P1080" i="19"/>
  <c r="P1081" i="19"/>
  <c r="P1082" i="19"/>
  <c r="Q1079" i="19"/>
  <c r="Q1080" i="19"/>
  <c r="Q1081" i="19"/>
  <c r="Q1082" i="19"/>
  <c r="B303" i="18"/>
  <c r="B305" i="18"/>
  <c r="B307" i="18"/>
  <c r="B309" i="18"/>
  <c r="B310" i="18"/>
  <c r="C303" i="18"/>
  <c r="C305" i="18"/>
  <c r="C307" i="18"/>
  <c r="C309" i="18"/>
  <c r="C310" i="18"/>
  <c r="E303" i="18"/>
  <c r="E305" i="18"/>
  <c r="E307" i="18"/>
  <c r="E309" i="18"/>
  <c r="E310" i="18"/>
  <c r="R303" i="18"/>
  <c r="R305" i="18"/>
  <c r="R307" i="18"/>
  <c r="R309" i="18"/>
  <c r="R310" i="18"/>
  <c r="S303" i="18"/>
  <c r="S305" i="18"/>
  <c r="S307" i="18"/>
  <c r="S309" i="18"/>
  <c r="S310" i="18"/>
  <c r="T303" i="18"/>
  <c r="T305" i="18"/>
  <c r="T307" i="18"/>
  <c r="T309" i="18"/>
  <c r="T310" i="18"/>
  <c r="I1081" i="19"/>
  <c r="H1081" i="19"/>
  <c r="I1080" i="19"/>
  <c r="I1082" i="19"/>
  <c r="H1082" i="19"/>
  <c r="H1079" i="19"/>
  <c r="H1080" i="19"/>
  <c r="I1079" i="19"/>
  <c r="L316" i="18"/>
  <c r="I310" i="18"/>
  <c r="L304" i="18"/>
  <c r="H305" i="18"/>
  <c r="H304" i="18"/>
  <c r="I304" i="18"/>
  <c r="I309" i="18"/>
  <c r="H313" i="18"/>
  <c r="H315" i="18"/>
  <c r="H310" i="18"/>
  <c r="I305" i="18"/>
  <c r="H309" i="18"/>
  <c r="L312" i="18"/>
  <c r="I303" i="18"/>
  <c r="L314" i="18"/>
  <c r="I307" i="18"/>
  <c r="L311" i="18"/>
  <c r="I312" i="18"/>
  <c r="H311" i="18"/>
  <c r="L305" i="18"/>
  <c r="I306" i="18"/>
  <c r="H314" i="18"/>
  <c r="H306" i="18"/>
  <c r="H312" i="18"/>
  <c r="L303" i="18"/>
  <c r="H308" i="18"/>
  <c r="I316" i="18"/>
  <c r="L307" i="18"/>
  <c r="L308" i="18"/>
  <c r="L306" i="18"/>
  <c r="I308" i="18"/>
  <c r="I315" i="18"/>
  <c r="L309" i="18"/>
  <c r="L313" i="18"/>
  <c r="I314" i="18"/>
  <c r="L310" i="18"/>
  <c r="H307" i="18"/>
  <c r="I313" i="18"/>
  <c r="L315" i="18"/>
  <c r="I311" i="18"/>
  <c r="H316" i="18"/>
  <c r="H303" i="18"/>
  <c r="DJ102" i="1" l="1"/>
  <c r="DL102" i="1" s="1"/>
  <c r="DJ101" i="1"/>
  <c r="DL101" i="1" s="1"/>
  <c r="B1062" i="19"/>
  <c r="C1062" i="19"/>
  <c r="E1062" i="19"/>
  <c r="O1062" i="19"/>
  <c r="P1062" i="19"/>
  <c r="Q1062" i="19"/>
  <c r="CP100" i="1"/>
  <c r="CQ100" i="1"/>
  <c r="CR100" i="1"/>
  <c r="CT100" i="1"/>
  <c r="DB100" i="1" s="1"/>
  <c r="CV100" i="1"/>
  <c r="DD100" i="1" s="1"/>
  <c r="CX100" i="1"/>
  <c r="DF100" i="1" s="1"/>
  <c r="CZ100" i="1"/>
  <c r="DH100" i="1" s="1"/>
  <c r="DK100" i="1"/>
  <c r="B1070" i="19"/>
  <c r="C1070" i="19"/>
  <c r="E1070" i="19"/>
  <c r="O1070" i="19"/>
  <c r="P1070" i="19"/>
  <c r="Q1070" i="19"/>
  <c r="B1072" i="19"/>
  <c r="C1072" i="19"/>
  <c r="E1072" i="19"/>
  <c r="O1072" i="19"/>
  <c r="P1072" i="19"/>
  <c r="Q1072" i="19"/>
  <c r="B1074" i="19"/>
  <c r="C1074" i="19"/>
  <c r="E1074" i="19"/>
  <c r="O1074" i="19"/>
  <c r="P1074" i="19"/>
  <c r="Q1074" i="19"/>
  <c r="B1076" i="19"/>
  <c r="C1076" i="19"/>
  <c r="E1076" i="19"/>
  <c r="O1076" i="19"/>
  <c r="P1076" i="19"/>
  <c r="Q1076" i="19"/>
  <c r="B1078" i="19"/>
  <c r="C1078" i="19"/>
  <c r="E1078" i="19"/>
  <c r="O1078" i="19"/>
  <c r="P1078" i="19"/>
  <c r="Q1078" i="19"/>
  <c r="B1060" i="19"/>
  <c r="B1061" i="19"/>
  <c r="B1063" i="19"/>
  <c r="B1064" i="19"/>
  <c r="B1065" i="19"/>
  <c r="B1066" i="19"/>
  <c r="B1067" i="19"/>
  <c r="B1068" i="19"/>
  <c r="B1069" i="19"/>
  <c r="B1071" i="19"/>
  <c r="B1073" i="19"/>
  <c r="B1075" i="19"/>
  <c r="B1077" i="19"/>
  <c r="C1060" i="19"/>
  <c r="C1061" i="19"/>
  <c r="C1063" i="19"/>
  <c r="C1064" i="19"/>
  <c r="C1065" i="19"/>
  <c r="C1066" i="19"/>
  <c r="C1067" i="19"/>
  <c r="C1068" i="19"/>
  <c r="C1069" i="19"/>
  <c r="C1071" i="19"/>
  <c r="C1073" i="19"/>
  <c r="C1075" i="19"/>
  <c r="C1077" i="19"/>
  <c r="E1060" i="19"/>
  <c r="E1061" i="19"/>
  <c r="E1063" i="19"/>
  <c r="E1064" i="19"/>
  <c r="E1065" i="19"/>
  <c r="E1066" i="19"/>
  <c r="E1067" i="19"/>
  <c r="E1068" i="19"/>
  <c r="E1069" i="19"/>
  <c r="E1071" i="19"/>
  <c r="E1073" i="19"/>
  <c r="E1075" i="19"/>
  <c r="E1077" i="19"/>
  <c r="O1060" i="19"/>
  <c r="O1061" i="19"/>
  <c r="O1063" i="19"/>
  <c r="O1064" i="19"/>
  <c r="O1065" i="19"/>
  <c r="O1066" i="19"/>
  <c r="O1067" i="19"/>
  <c r="O1068" i="19"/>
  <c r="O1069" i="19"/>
  <c r="O1071" i="19"/>
  <c r="O1073" i="19"/>
  <c r="O1075" i="19"/>
  <c r="O1077" i="19"/>
  <c r="P1060" i="19"/>
  <c r="P1061" i="19"/>
  <c r="P1063" i="19"/>
  <c r="P1064" i="19"/>
  <c r="P1065" i="19"/>
  <c r="P1066" i="19"/>
  <c r="P1067" i="19"/>
  <c r="P1068" i="19"/>
  <c r="P1069" i="19"/>
  <c r="P1071" i="19"/>
  <c r="P1073" i="19"/>
  <c r="P1075" i="19"/>
  <c r="P1077" i="19"/>
  <c r="Q1060" i="19"/>
  <c r="Q1061" i="19"/>
  <c r="Q1063" i="19"/>
  <c r="Q1064" i="19"/>
  <c r="Q1065" i="19"/>
  <c r="Q1066" i="19"/>
  <c r="Q1067" i="19"/>
  <c r="Q1068" i="19"/>
  <c r="Q1069" i="19"/>
  <c r="Q1071" i="19"/>
  <c r="Q1073" i="19"/>
  <c r="Q1075" i="19"/>
  <c r="Q1077" i="19"/>
  <c r="B302" i="18"/>
  <c r="C302" i="18"/>
  <c r="E302" i="18"/>
  <c r="R302" i="18"/>
  <c r="S302" i="18"/>
  <c r="T302" i="18"/>
  <c r="B300" i="18"/>
  <c r="B301" i="18"/>
  <c r="C300" i="18"/>
  <c r="C301" i="18"/>
  <c r="E300" i="18"/>
  <c r="E301" i="18"/>
  <c r="R300" i="18"/>
  <c r="R301" i="18"/>
  <c r="S300" i="18"/>
  <c r="S301" i="18"/>
  <c r="T300" i="18"/>
  <c r="T301" i="18"/>
  <c r="B293" i="18"/>
  <c r="B294" i="18"/>
  <c r="B295" i="18"/>
  <c r="B296" i="18"/>
  <c r="B297" i="18"/>
  <c r="B298" i="18"/>
  <c r="B299" i="18"/>
  <c r="C293" i="18"/>
  <c r="C294" i="18"/>
  <c r="C295" i="18"/>
  <c r="C296" i="18"/>
  <c r="C297" i="18"/>
  <c r="C298" i="18"/>
  <c r="C299" i="18"/>
  <c r="E293" i="18"/>
  <c r="E294" i="18"/>
  <c r="E295" i="18"/>
  <c r="E296" i="18"/>
  <c r="E297" i="18"/>
  <c r="E298" i="18"/>
  <c r="E299" i="18"/>
  <c r="R293" i="18"/>
  <c r="R294" i="18"/>
  <c r="R295" i="18"/>
  <c r="R296" i="18"/>
  <c r="R297" i="18"/>
  <c r="R298" i="18"/>
  <c r="R299" i="18"/>
  <c r="S293" i="18"/>
  <c r="S294" i="18"/>
  <c r="S295" i="18"/>
  <c r="S296" i="18"/>
  <c r="S297" i="18"/>
  <c r="S298" i="18"/>
  <c r="S299" i="18"/>
  <c r="T293" i="18"/>
  <c r="T294" i="18"/>
  <c r="T295" i="18"/>
  <c r="T296" i="18"/>
  <c r="T297" i="18"/>
  <c r="T298" i="18"/>
  <c r="T299" i="18"/>
  <c r="I1062" i="19"/>
  <c r="I1063" i="19"/>
  <c r="H1068" i="19"/>
  <c r="H1076" i="19"/>
  <c r="I1067" i="19"/>
  <c r="H1061" i="19"/>
  <c r="I1076" i="19"/>
  <c r="I1064" i="19"/>
  <c r="H1077" i="19"/>
  <c r="I1061" i="19"/>
  <c r="I1074" i="19"/>
  <c r="H1070" i="19"/>
  <c r="H1066" i="19"/>
  <c r="I1075" i="19"/>
  <c r="H1074" i="19"/>
  <c r="I1068" i="19"/>
  <c r="I1077" i="19"/>
  <c r="I1073" i="19"/>
  <c r="H1071" i="19"/>
  <c r="I1070" i="19"/>
  <c r="I1072" i="19"/>
  <c r="H1073" i="19"/>
  <c r="I1066" i="19"/>
  <c r="H1067" i="19"/>
  <c r="H1065" i="19"/>
  <c r="H1075" i="19"/>
  <c r="H1072" i="19"/>
  <c r="H1063" i="19"/>
  <c r="I1071" i="19"/>
  <c r="I1065" i="19"/>
  <c r="H1069" i="19"/>
  <c r="H1062" i="19"/>
  <c r="I1060" i="19"/>
  <c r="I1069" i="19"/>
  <c r="H1060" i="19"/>
  <c r="H1078" i="19"/>
  <c r="H1064" i="19"/>
  <c r="I1078" i="19"/>
  <c r="L294" i="18"/>
  <c r="I301" i="18"/>
  <c r="H293" i="18"/>
  <c r="I294" i="18"/>
  <c r="L293" i="18"/>
  <c r="H295" i="18"/>
  <c r="L297" i="18"/>
  <c r="L296" i="18"/>
  <c r="I295" i="18"/>
  <c r="I293" i="18"/>
  <c r="L302" i="18"/>
  <c r="I299" i="18"/>
  <c r="H294" i="18"/>
  <c r="L295" i="18"/>
  <c r="L299" i="18"/>
  <c r="L300" i="18"/>
  <c r="H298" i="18"/>
  <c r="L301" i="18"/>
  <c r="H299" i="18"/>
  <c r="I297" i="18"/>
  <c r="I300" i="18"/>
  <c r="I298" i="18"/>
  <c r="H300" i="18"/>
  <c r="I296" i="18"/>
  <c r="H296" i="18"/>
  <c r="H301" i="18"/>
  <c r="H297" i="18"/>
  <c r="L298" i="18"/>
  <c r="H302" i="18"/>
  <c r="I302" i="18"/>
  <c r="DJ100" i="1" l="1"/>
  <c r="DL100" i="1" s="1"/>
  <c r="CP99" i="1"/>
  <c r="CQ99" i="1"/>
  <c r="CR99" i="1"/>
  <c r="CT99" i="1"/>
  <c r="DB99" i="1" s="1"/>
  <c r="CV99" i="1"/>
  <c r="DD99" i="1" s="1"/>
  <c r="CX99" i="1"/>
  <c r="DF99" i="1" s="1"/>
  <c r="CZ99" i="1"/>
  <c r="DH99" i="1" s="1"/>
  <c r="DK99" i="1"/>
  <c r="DJ99" i="1" l="1"/>
  <c r="DL99" i="1" s="1"/>
  <c r="B286" i="18"/>
  <c r="B287" i="18"/>
  <c r="B288" i="18"/>
  <c r="B289" i="18"/>
  <c r="B290" i="18"/>
  <c r="B291" i="18"/>
  <c r="B292" i="18"/>
  <c r="C286" i="18"/>
  <c r="C287" i="18"/>
  <c r="C288" i="18"/>
  <c r="C289" i="18"/>
  <c r="C290" i="18"/>
  <c r="C291" i="18"/>
  <c r="C292" i="18"/>
  <c r="E286" i="18"/>
  <c r="E287" i="18"/>
  <c r="E288" i="18"/>
  <c r="E289" i="18"/>
  <c r="E290" i="18"/>
  <c r="E291" i="18"/>
  <c r="E292" i="18"/>
  <c r="R286" i="18"/>
  <c r="R287" i="18"/>
  <c r="R288" i="18"/>
  <c r="R289" i="18"/>
  <c r="R290" i="18"/>
  <c r="R291" i="18"/>
  <c r="R292" i="18"/>
  <c r="S286" i="18"/>
  <c r="S287" i="18"/>
  <c r="S288" i="18"/>
  <c r="S289" i="18"/>
  <c r="S290" i="18"/>
  <c r="S291" i="18"/>
  <c r="S292" i="18"/>
  <c r="T286" i="18"/>
  <c r="T287" i="18"/>
  <c r="T288" i="18"/>
  <c r="T289" i="18"/>
  <c r="T290" i="18"/>
  <c r="T291" i="18"/>
  <c r="T292" i="18"/>
  <c r="B1056" i="19"/>
  <c r="B1057" i="19"/>
  <c r="B1058" i="19"/>
  <c r="B1059" i="19"/>
  <c r="C1056" i="19"/>
  <c r="C1057" i="19"/>
  <c r="C1058" i="19"/>
  <c r="C1059" i="19"/>
  <c r="E1056" i="19"/>
  <c r="E1057" i="19"/>
  <c r="E1058" i="19"/>
  <c r="E1059" i="19"/>
  <c r="O1056" i="19"/>
  <c r="O1057" i="19"/>
  <c r="O1058" i="19"/>
  <c r="O1059" i="19"/>
  <c r="P1056" i="19"/>
  <c r="P1057" i="19"/>
  <c r="P1058" i="19"/>
  <c r="P1059" i="19"/>
  <c r="Q1056" i="19"/>
  <c r="Q1057" i="19"/>
  <c r="Q1058" i="19"/>
  <c r="Q1059" i="19"/>
  <c r="I1056" i="19"/>
  <c r="H1058" i="19"/>
  <c r="I1058" i="19"/>
  <c r="I1059" i="19"/>
  <c r="H1059" i="19"/>
  <c r="H1056" i="19"/>
  <c r="I1057" i="19"/>
  <c r="H1057" i="19"/>
  <c r="L291" i="18"/>
  <c r="I287" i="18"/>
  <c r="H288" i="18"/>
  <c r="L290" i="18"/>
  <c r="I286" i="18"/>
  <c r="I289" i="18"/>
  <c r="L286" i="18"/>
  <c r="H287" i="18"/>
  <c r="H292" i="18"/>
  <c r="I291" i="18"/>
  <c r="H286" i="18"/>
  <c r="L287" i="18"/>
  <c r="L292" i="18"/>
  <c r="H290" i="18"/>
  <c r="H289" i="18"/>
  <c r="L288" i="18"/>
  <c r="I288" i="18"/>
  <c r="L289" i="18"/>
  <c r="I290" i="18"/>
  <c r="H291" i="18"/>
  <c r="I292" i="18"/>
  <c r="B283" i="18" l="1"/>
  <c r="B284" i="18"/>
  <c r="B285" i="18"/>
  <c r="C285" i="18"/>
  <c r="C284" i="18"/>
  <c r="C283" i="18"/>
  <c r="E283" i="18"/>
  <c r="E284" i="18"/>
  <c r="E285" i="18"/>
  <c r="R283" i="18"/>
  <c r="R284" i="18"/>
  <c r="R285" i="18"/>
  <c r="S283" i="18"/>
  <c r="S284" i="18"/>
  <c r="S285" i="18"/>
  <c r="T283" i="18"/>
  <c r="T284" i="18"/>
  <c r="T285" i="18"/>
  <c r="CP98" i="1"/>
  <c r="CQ98" i="1"/>
  <c r="CR98" i="1"/>
  <c r="CT98" i="1"/>
  <c r="DB98" i="1" s="1"/>
  <c r="CV98" i="1"/>
  <c r="DD98" i="1" s="1"/>
  <c r="CX98" i="1"/>
  <c r="DF98" i="1" s="1"/>
  <c r="CZ98" i="1"/>
  <c r="DH98" i="1" s="1"/>
  <c r="DK98" i="1"/>
  <c r="B1052" i="19"/>
  <c r="B1053" i="19"/>
  <c r="B1054" i="19"/>
  <c r="B1055" i="19"/>
  <c r="C1052" i="19"/>
  <c r="C1053" i="19"/>
  <c r="C1054" i="19"/>
  <c r="C1055" i="19"/>
  <c r="E1052" i="19"/>
  <c r="E1053" i="19"/>
  <c r="E1054" i="19"/>
  <c r="E1055" i="19"/>
  <c r="O1052" i="19"/>
  <c r="O1053" i="19"/>
  <c r="O1054" i="19"/>
  <c r="O1055" i="19"/>
  <c r="P1052" i="19"/>
  <c r="P1053" i="19"/>
  <c r="P1054" i="19"/>
  <c r="P1055" i="19"/>
  <c r="Q1052" i="19"/>
  <c r="Q1053" i="19"/>
  <c r="Q1054" i="19"/>
  <c r="Q1055" i="19"/>
  <c r="B280" i="18"/>
  <c r="B281" i="18"/>
  <c r="B282" i="18"/>
  <c r="C280" i="18"/>
  <c r="C281" i="18"/>
  <c r="C282" i="18"/>
  <c r="E280" i="18"/>
  <c r="E281" i="18"/>
  <c r="E282" i="18"/>
  <c r="R280" i="18"/>
  <c r="R281" i="18"/>
  <c r="R282" i="18"/>
  <c r="S280" i="18"/>
  <c r="S281" i="18"/>
  <c r="S282" i="18"/>
  <c r="T280" i="18"/>
  <c r="T281" i="18"/>
  <c r="T282" i="18"/>
  <c r="H1055" i="19"/>
  <c r="H1052" i="19"/>
  <c r="H1053" i="19"/>
  <c r="I1052" i="19"/>
  <c r="I1055" i="19"/>
  <c r="H1054" i="19"/>
  <c r="I1053" i="19"/>
  <c r="I1054" i="19"/>
  <c r="H284" i="18"/>
  <c r="I283" i="18"/>
  <c r="I280" i="18"/>
  <c r="L285" i="18"/>
  <c r="I284" i="18"/>
  <c r="H280" i="18"/>
  <c r="I285" i="18"/>
  <c r="H281" i="18"/>
  <c r="I282" i="18"/>
  <c r="H285" i="18"/>
  <c r="L282" i="18"/>
  <c r="H282" i="18"/>
  <c r="L280" i="18"/>
  <c r="L281" i="18"/>
  <c r="L284" i="18"/>
  <c r="I281" i="18"/>
  <c r="L283" i="18"/>
  <c r="H283" i="18"/>
  <c r="DJ98" i="1" l="1"/>
  <c r="DL98" i="1" s="1"/>
  <c r="CP97" i="1"/>
  <c r="CQ97" i="1"/>
  <c r="CR97" i="1"/>
  <c r="CT97" i="1"/>
  <c r="DB97" i="1" s="1"/>
  <c r="CV97" i="1"/>
  <c r="DD97" i="1" s="1"/>
  <c r="CX97" i="1"/>
  <c r="DF97" i="1" s="1"/>
  <c r="CZ97" i="1"/>
  <c r="DH97" i="1" s="1"/>
  <c r="DK97" i="1"/>
  <c r="B1051" i="19"/>
  <c r="C1051" i="19"/>
  <c r="E1051" i="19"/>
  <c r="O1051" i="19"/>
  <c r="P1051" i="19"/>
  <c r="Q1051" i="19"/>
  <c r="B1050" i="19"/>
  <c r="C1050" i="19"/>
  <c r="E1050" i="19"/>
  <c r="O1050" i="19"/>
  <c r="P1050" i="19"/>
  <c r="Q1050" i="19"/>
  <c r="B1043" i="19"/>
  <c r="B1044" i="19"/>
  <c r="B1045" i="19"/>
  <c r="B1046" i="19"/>
  <c r="B1047" i="19"/>
  <c r="B1048" i="19"/>
  <c r="B1049" i="19"/>
  <c r="C1043" i="19"/>
  <c r="C1044" i="19"/>
  <c r="C1045" i="19"/>
  <c r="C1046" i="19"/>
  <c r="C1047" i="19"/>
  <c r="C1048" i="19"/>
  <c r="C1049" i="19"/>
  <c r="E1043" i="19"/>
  <c r="E1044" i="19"/>
  <c r="E1045" i="19"/>
  <c r="E1046" i="19"/>
  <c r="E1047" i="19"/>
  <c r="E1048" i="19"/>
  <c r="E1049" i="19"/>
  <c r="O1043" i="19"/>
  <c r="O1044" i="19"/>
  <c r="O1045" i="19"/>
  <c r="O1046" i="19"/>
  <c r="O1047" i="19"/>
  <c r="O1048" i="19"/>
  <c r="O1049" i="19"/>
  <c r="P1043" i="19"/>
  <c r="P1044" i="19"/>
  <c r="P1045" i="19"/>
  <c r="P1046" i="19"/>
  <c r="P1047" i="19"/>
  <c r="P1048" i="19"/>
  <c r="P1049" i="19"/>
  <c r="Q1043" i="19"/>
  <c r="Q1044" i="19"/>
  <c r="Q1045" i="19"/>
  <c r="Q1046" i="19"/>
  <c r="Q1047" i="19"/>
  <c r="Q1048" i="19"/>
  <c r="Q1049" i="19"/>
  <c r="R277" i="18"/>
  <c r="R278" i="18"/>
  <c r="R279" i="18"/>
  <c r="R2" i="18"/>
  <c r="R3" i="18"/>
  <c r="R4" i="18"/>
  <c r="R5" i="18"/>
  <c r="R6" i="18"/>
  <c r="R7" i="18"/>
  <c r="R8" i="18"/>
  <c r="R9" i="18"/>
  <c r="R10" i="18"/>
  <c r="R11" i="18"/>
  <c r="R12" i="18"/>
  <c r="R13" i="18"/>
  <c r="R14" i="18"/>
  <c r="R15" i="18"/>
  <c r="R16" i="18"/>
  <c r="R17" i="18"/>
  <c r="R18" i="18"/>
  <c r="R19" i="18"/>
  <c r="R20" i="18"/>
  <c r="R21" i="18"/>
  <c r="R22" i="18"/>
  <c r="R23" i="18"/>
  <c r="R24" i="18"/>
  <c r="R25" i="18"/>
  <c r="R26" i="18"/>
  <c r="R27" i="18"/>
  <c r="R28" i="18"/>
  <c r="R29" i="18"/>
  <c r="R30" i="18"/>
  <c r="R31" i="18"/>
  <c r="R32" i="18"/>
  <c r="R33" i="18"/>
  <c r="R34" i="18"/>
  <c r="R35" i="18"/>
  <c r="R36" i="18"/>
  <c r="R37" i="18"/>
  <c r="R38" i="18"/>
  <c r="R39" i="18"/>
  <c r="R40" i="18"/>
  <c r="R41" i="18"/>
  <c r="R42" i="18"/>
  <c r="R43" i="18"/>
  <c r="R44" i="18"/>
  <c r="R45" i="18"/>
  <c r="R46" i="18"/>
  <c r="R47" i="18"/>
  <c r="R48" i="18"/>
  <c r="R49" i="18"/>
  <c r="R50" i="18"/>
  <c r="R51" i="18"/>
  <c r="R52" i="18"/>
  <c r="R53" i="18"/>
  <c r="R54" i="18"/>
  <c r="R55" i="18"/>
  <c r="R56" i="18"/>
  <c r="R57" i="18"/>
  <c r="R58" i="18"/>
  <c r="R59" i="18"/>
  <c r="R60" i="18"/>
  <c r="R61" i="18"/>
  <c r="R62" i="18"/>
  <c r="R63" i="18"/>
  <c r="R64" i="18"/>
  <c r="R65" i="18"/>
  <c r="R66" i="18"/>
  <c r="R67" i="18"/>
  <c r="R68" i="18"/>
  <c r="R69" i="18"/>
  <c r="R70" i="18"/>
  <c r="R71" i="18"/>
  <c r="R72" i="18"/>
  <c r="R73" i="18"/>
  <c r="R74" i="18"/>
  <c r="R75" i="18"/>
  <c r="R76" i="18"/>
  <c r="R77" i="18"/>
  <c r="R78" i="18"/>
  <c r="R79" i="18"/>
  <c r="R80" i="18"/>
  <c r="R81" i="18"/>
  <c r="R82" i="18"/>
  <c r="R83" i="18"/>
  <c r="R84" i="18"/>
  <c r="R85" i="18"/>
  <c r="R86" i="18"/>
  <c r="R87" i="18"/>
  <c r="R88" i="18"/>
  <c r="R89" i="18"/>
  <c r="R90" i="18"/>
  <c r="R91" i="18"/>
  <c r="R92" i="18"/>
  <c r="R93" i="18"/>
  <c r="R94" i="18"/>
  <c r="R95" i="18"/>
  <c r="R96" i="18"/>
  <c r="R97" i="18"/>
  <c r="R98" i="18"/>
  <c r="R99" i="18"/>
  <c r="R100" i="18"/>
  <c r="R101" i="18"/>
  <c r="R102" i="18"/>
  <c r="R103" i="18"/>
  <c r="R104" i="18"/>
  <c r="R105" i="18"/>
  <c r="R106" i="18"/>
  <c r="R107" i="18"/>
  <c r="R108" i="18"/>
  <c r="R109" i="18"/>
  <c r="R110" i="18"/>
  <c r="R111" i="18"/>
  <c r="R112" i="18"/>
  <c r="R113" i="18"/>
  <c r="R114" i="18"/>
  <c r="R115" i="18"/>
  <c r="R116" i="18"/>
  <c r="R117" i="18"/>
  <c r="R118" i="18"/>
  <c r="R119" i="18"/>
  <c r="R120" i="18"/>
  <c r="R121" i="18"/>
  <c r="R122" i="18"/>
  <c r="R123" i="18"/>
  <c r="R124" i="18"/>
  <c r="R125" i="18"/>
  <c r="R126" i="18"/>
  <c r="R127" i="18"/>
  <c r="R128" i="18"/>
  <c r="R129" i="18"/>
  <c r="R130" i="18"/>
  <c r="R131" i="18"/>
  <c r="R132" i="18"/>
  <c r="R133" i="18"/>
  <c r="R134" i="18"/>
  <c r="R135" i="18"/>
  <c r="R136" i="18"/>
  <c r="R137" i="18"/>
  <c r="R138" i="18"/>
  <c r="R139" i="18"/>
  <c r="R140" i="18"/>
  <c r="R141" i="18"/>
  <c r="R142" i="18"/>
  <c r="R143" i="18"/>
  <c r="R144" i="18"/>
  <c r="R145" i="18"/>
  <c r="R146" i="18"/>
  <c r="R147" i="18"/>
  <c r="R148" i="18"/>
  <c r="R149" i="18"/>
  <c r="R150" i="18"/>
  <c r="R151" i="18"/>
  <c r="R152" i="18"/>
  <c r="R153" i="18"/>
  <c r="R154" i="18"/>
  <c r="R155" i="18"/>
  <c r="R156" i="18"/>
  <c r="R157" i="18"/>
  <c r="R158" i="18"/>
  <c r="R159" i="18"/>
  <c r="R160" i="18"/>
  <c r="R161" i="18"/>
  <c r="R162" i="18"/>
  <c r="R163" i="18"/>
  <c r="R164" i="18"/>
  <c r="R165" i="18"/>
  <c r="R166" i="18"/>
  <c r="R167" i="18"/>
  <c r="R168" i="18"/>
  <c r="R169" i="18"/>
  <c r="R170" i="18"/>
  <c r="R171" i="18"/>
  <c r="R172" i="18"/>
  <c r="R173" i="18"/>
  <c r="R174" i="18"/>
  <c r="R175" i="18"/>
  <c r="R176" i="18"/>
  <c r="R177" i="18"/>
  <c r="R178" i="18"/>
  <c r="R179" i="18"/>
  <c r="R180" i="18"/>
  <c r="R181" i="18"/>
  <c r="R182" i="18"/>
  <c r="R183" i="18"/>
  <c r="R184" i="18"/>
  <c r="R185" i="18"/>
  <c r="R186" i="18"/>
  <c r="R187" i="18"/>
  <c r="R188" i="18"/>
  <c r="R189" i="18"/>
  <c r="R190" i="18"/>
  <c r="R191" i="18"/>
  <c r="R192" i="18"/>
  <c r="R193" i="18"/>
  <c r="R194" i="18"/>
  <c r="R195" i="18"/>
  <c r="R196" i="18"/>
  <c r="R197" i="18"/>
  <c r="R198" i="18"/>
  <c r="R199" i="18"/>
  <c r="R200" i="18"/>
  <c r="R201" i="18"/>
  <c r="R202" i="18"/>
  <c r="R203" i="18"/>
  <c r="R204" i="18"/>
  <c r="R205" i="18"/>
  <c r="R206" i="18"/>
  <c r="R207" i="18"/>
  <c r="R208" i="18"/>
  <c r="R209" i="18"/>
  <c r="R210" i="18"/>
  <c r="R211" i="18"/>
  <c r="R212" i="18"/>
  <c r="R213" i="18"/>
  <c r="R214" i="18"/>
  <c r="R215" i="18"/>
  <c r="R216" i="18"/>
  <c r="R217" i="18"/>
  <c r="R218" i="18"/>
  <c r="R219" i="18"/>
  <c r="R220" i="18"/>
  <c r="R221" i="18"/>
  <c r="R222" i="18"/>
  <c r="R223" i="18"/>
  <c r="R224" i="18"/>
  <c r="R225" i="18"/>
  <c r="R226" i="18"/>
  <c r="R227" i="18"/>
  <c r="R228" i="18"/>
  <c r="R229" i="18"/>
  <c r="R230" i="18"/>
  <c r="R231" i="18"/>
  <c r="R232" i="18"/>
  <c r="R233" i="18"/>
  <c r="R234" i="18"/>
  <c r="R235" i="18"/>
  <c r="R236" i="18"/>
  <c r="R237" i="18"/>
  <c r="R238" i="18"/>
  <c r="R239" i="18"/>
  <c r="R240" i="18"/>
  <c r="R241" i="18"/>
  <c r="R242" i="18"/>
  <c r="R243" i="18"/>
  <c r="R244" i="18"/>
  <c r="R245" i="18"/>
  <c r="R246" i="18"/>
  <c r="R247" i="18"/>
  <c r="R248" i="18"/>
  <c r="R249" i="18"/>
  <c r="R250" i="18"/>
  <c r="R251" i="18"/>
  <c r="R252" i="18"/>
  <c r="R253" i="18"/>
  <c r="R254" i="18"/>
  <c r="R255" i="18"/>
  <c r="R256" i="18"/>
  <c r="R257" i="18"/>
  <c r="R258" i="18"/>
  <c r="R259" i="18"/>
  <c r="R260" i="18"/>
  <c r="R261" i="18"/>
  <c r="R262" i="18"/>
  <c r="R263" i="18"/>
  <c r="R264" i="18"/>
  <c r="R265" i="18"/>
  <c r="R266" i="18"/>
  <c r="R267" i="18"/>
  <c r="R268" i="18"/>
  <c r="R269" i="18"/>
  <c r="R270" i="18"/>
  <c r="R271" i="18"/>
  <c r="R272" i="18"/>
  <c r="R273" i="18"/>
  <c r="R274" i="18"/>
  <c r="R275" i="18"/>
  <c r="R276" i="18"/>
  <c r="E278" i="18"/>
  <c r="C278" i="18"/>
  <c r="B278" i="18"/>
  <c r="E277" i="18"/>
  <c r="C277" i="18"/>
  <c r="B277" i="18"/>
  <c r="B276" i="18"/>
  <c r="C276" i="18"/>
  <c r="E276" i="18"/>
  <c r="B279" i="18"/>
  <c r="C279" i="18"/>
  <c r="E279" i="18"/>
  <c r="S277" i="18"/>
  <c r="S278" i="18"/>
  <c r="S279" i="18"/>
  <c r="T277" i="18"/>
  <c r="T278" i="18"/>
  <c r="T279" i="18"/>
  <c r="H1045" i="19"/>
  <c r="I1044" i="19"/>
  <c r="I1049" i="19"/>
  <c r="H1050" i="19"/>
  <c r="H1049" i="19"/>
  <c r="I1050" i="19"/>
  <c r="H1046" i="19"/>
  <c r="H1043" i="19"/>
  <c r="H1048" i="19"/>
  <c r="I1048" i="19"/>
  <c r="I1051" i="19"/>
  <c r="I1045" i="19"/>
  <c r="I1043" i="19"/>
  <c r="I1046" i="19"/>
  <c r="H1051" i="19"/>
  <c r="H1047" i="19"/>
  <c r="I1047" i="19"/>
  <c r="H1044" i="19"/>
  <c r="I278" i="18"/>
  <c r="I279" i="18"/>
  <c r="H277" i="18"/>
  <c r="H278" i="18"/>
  <c r="L279" i="18"/>
  <c r="I277" i="18"/>
  <c r="L277" i="18"/>
  <c r="H279" i="18"/>
  <c r="L278" i="18"/>
  <c r="DJ97" i="1" l="1"/>
  <c r="DL97" i="1" s="1"/>
  <c r="CP96" i="1"/>
  <c r="CQ96" i="1"/>
  <c r="CR96" i="1"/>
  <c r="CT96" i="1"/>
  <c r="DB96" i="1" s="1"/>
  <c r="CV96" i="1"/>
  <c r="DD96" i="1" s="1"/>
  <c r="CX96" i="1"/>
  <c r="DF96" i="1" s="1"/>
  <c r="CZ96" i="1"/>
  <c r="DH96" i="1" s="1"/>
  <c r="DK96" i="1"/>
  <c r="B274" i="18"/>
  <c r="B275" i="18"/>
  <c r="C274" i="18"/>
  <c r="C275" i="18"/>
  <c r="E274" i="18"/>
  <c r="E275" i="18"/>
  <c r="S274" i="18"/>
  <c r="S275" i="18"/>
  <c r="S276" i="18"/>
  <c r="T274" i="18"/>
  <c r="T275" i="18"/>
  <c r="T276" i="18"/>
  <c r="I274" i="18"/>
  <c r="L275" i="18"/>
  <c r="L274" i="18"/>
  <c r="I276" i="18"/>
  <c r="L276" i="18"/>
  <c r="I275" i="18"/>
  <c r="H276" i="18"/>
  <c r="H274" i="18"/>
  <c r="H275" i="18"/>
  <c r="DJ96" i="1" l="1"/>
  <c r="DL96" i="1" s="1"/>
  <c r="CP95" i="1"/>
  <c r="CQ95" i="1"/>
  <c r="CR95" i="1"/>
  <c r="CT95" i="1"/>
  <c r="DB95" i="1" s="1"/>
  <c r="CV95" i="1"/>
  <c r="DD95" i="1" s="1"/>
  <c r="CX95" i="1"/>
  <c r="DF95" i="1" s="1"/>
  <c r="CZ95" i="1"/>
  <c r="DH95" i="1" s="1"/>
  <c r="DK95" i="1"/>
  <c r="DJ95" i="1" l="1"/>
  <c r="DL95" i="1" s="1"/>
  <c r="B270" i="18" l="1"/>
  <c r="B271" i="18"/>
  <c r="B272" i="18"/>
  <c r="B273" i="18"/>
  <c r="C270" i="18"/>
  <c r="C271" i="18"/>
  <c r="C272" i="18"/>
  <c r="C273" i="18"/>
  <c r="E270" i="18"/>
  <c r="E271" i="18"/>
  <c r="E272" i="18"/>
  <c r="E273" i="18"/>
  <c r="S270" i="18"/>
  <c r="S271" i="18"/>
  <c r="S272" i="18"/>
  <c r="S273" i="18"/>
  <c r="T270" i="18"/>
  <c r="T271" i="18"/>
  <c r="T272" i="18"/>
  <c r="T273" i="18"/>
  <c r="H272" i="18"/>
  <c r="H273" i="18"/>
  <c r="I271" i="18"/>
  <c r="I273" i="18"/>
  <c r="L271" i="18"/>
  <c r="I272" i="18"/>
  <c r="L270" i="18"/>
  <c r="H270" i="18"/>
  <c r="I270" i="18"/>
  <c r="L272" i="18"/>
  <c r="L273" i="18"/>
  <c r="H271" i="18"/>
  <c r="B1042" i="19" l="1"/>
  <c r="C1042" i="19"/>
  <c r="E1042" i="19"/>
  <c r="O1042" i="19"/>
  <c r="P1042" i="19"/>
  <c r="Q1042" i="19"/>
  <c r="B1029" i="19"/>
  <c r="B1030" i="19"/>
  <c r="B1031" i="19"/>
  <c r="B1032" i="19"/>
  <c r="B1033" i="19"/>
  <c r="B1034" i="19"/>
  <c r="B1035" i="19"/>
  <c r="B1036" i="19"/>
  <c r="B1037" i="19"/>
  <c r="B1038" i="19"/>
  <c r="B1039" i="19"/>
  <c r="B1040" i="19"/>
  <c r="B1041" i="19"/>
  <c r="C1029" i="19"/>
  <c r="C1030" i="19"/>
  <c r="C1031" i="19"/>
  <c r="C1032" i="19"/>
  <c r="C1033" i="19"/>
  <c r="C1034" i="19"/>
  <c r="C1035" i="19"/>
  <c r="C1036" i="19"/>
  <c r="C1037" i="19"/>
  <c r="C1038" i="19"/>
  <c r="C1039" i="19"/>
  <c r="C1040" i="19"/>
  <c r="C1041" i="19"/>
  <c r="E1029" i="19"/>
  <c r="E1030" i="19"/>
  <c r="E1031" i="19"/>
  <c r="E1032" i="19"/>
  <c r="E1033" i="19"/>
  <c r="E1034" i="19"/>
  <c r="E1035" i="19"/>
  <c r="E1036" i="19"/>
  <c r="E1037" i="19"/>
  <c r="E1038" i="19"/>
  <c r="E1039" i="19"/>
  <c r="E1040" i="19"/>
  <c r="E1041" i="19"/>
  <c r="O1029" i="19"/>
  <c r="O1030" i="19"/>
  <c r="O1031" i="19"/>
  <c r="O1032" i="19"/>
  <c r="O1033" i="19"/>
  <c r="O1034" i="19"/>
  <c r="O1035" i="19"/>
  <c r="O1036" i="19"/>
  <c r="O1037" i="19"/>
  <c r="O1038" i="19"/>
  <c r="O1039" i="19"/>
  <c r="O1040" i="19"/>
  <c r="O1041" i="19"/>
  <c r="P1029" i="19"/>
  <c r="P1030" i="19"/>
  <c r="P1031" i="19"/>
  <c r="P1032" i="19"/>
  <c r="P1033" i="19"/>
  <c r="P1034" i="19"/>
  <c r="P1035" i="19"/>
  <c r="P1036" i="19"/>
  <c r="P1037" i="19"/>
  <c r="P1038" i="19"/>
  <c r="P1039" i="19"/>
  <c r="P1040" i="19"/>
  <c r="P1041" i="19"/>
  <c r="Q1029" i="19"/>
  <c r="Q1030" i="19"/>
  <c r="Q1031" i="19"/>
  <c r="Q1032" i="19"/>
  <c r="Q1033" i="19"/>
  <c r="Q1034" i="19"/>
  <c r="Q1035" i="19"/>
  <c r="Q1036" i="19"/>
  <c r="Q1037" i="19"/>
  <c r="Q1038" i="19"/>
  <c r="Q1039" i="19"/>
  <c r="Q1040" i="19"/>
  <c r="Q1041" i="19"/>
  <c r="CP94" i="1"/>
  <c r="CQ94" i="1"/>
  <c r="CR94" i="1"/>
  <c r="CT94" i="1"/>
  <c r="DB94" i="1" s="1"/>
  <c r="CV94" i="1"/>
  <c r="DD94" i="1" s="1"/>
  <c r="CX94" i="1"/>
  <c r="DF94" i="1" s="1"/>
  <c r="CZ94" i="1"/>
  <c r="DH94" i="1" s="1"/>
  <c r="DK94" i="1"/>
  <c r="B264" i="18"/>
  <c r="B265" i="18"/>
  <c r="B266" i="18"/>
  <c r="B267" i="18"/>
  <c r="B268" i="18"/>
  <c r="B269" i="18"/>
  <c r="C264" i="18"/>
  <c r="C265" i="18"/>
  <c r="C266" i="18"/>
  <c r="C267" i="18"/>
  <c r="C268" i="18"/>
  <c r="C269" i="18"/>
  <c r="E264" i="18"/>
  <c r="E265" i="18"/>
  <c r="E266" i="18"/>
  <c r="E267" i="18"/>
  <c r="E268" i="18"/>
  <c r="E269" i="18"/>
  <c r="S264" i="18"/>
  <c r="S265" i="18"/>
  <c r="S266" i="18"/>
  <c r="S267" i="18"/>
  <c r="S268" i="18"/>
  <c r="S269" i="18"/>
  <c r="T264" i="18"/>
  <c r="T265" i="18"/>
  <c r="T266" i="18"/>
  <c r="T267" i="18"/>
  <c r="T268" i="18"/>
  <c r="T269" i="18"/>
  <c r="H1042" i="19"/>
  <c r="I1030" i="19"/>
  <c r="H1040" i="19"/>
  <c r="I1039" i="19"/>
  <c r="I1042" i="19"/>
  <c r="I1029" i="19"/>
  <c r="H1035" i="19"/>
  <c r="H1029" i="19"/>
  <c r="H1030" i="19"/>
  <c r="I1040" i="19"/>
  <c r="I1032" i="19"/>
  <c r="H1033" i="19"/>
  <c r="H1037" i="19"/>
  <c r="I1031" i="19"/>
  <c r="I1036" i="19"/>
  <c r="I1038" i="19"/>
  <c r="I1037" i="19"/>
  <c r="H1041" i="19"/>
  <c r="I1041" i="19"/>
  <c r="H1034" i="19"/>
  <c r="H1032" i="19"/>
  <c r="H1039" i="19"/>
  <c r="H1036" i="19"/>
  <c r="I1035" i="19"/>
  <c r="I1033" i="19"/>
  <c r="H1038" i="19"/>
  <c r="I1034" i="19"/>
  <c r="H1031" i="19"/>
  <c r="H268" i="18"/>
  <c r="H266" i="18"/>
  <c r="I265" i="18"/>
  <c r="H264" i="18"/>
  <c r="L269" i="18"/>
  <c r="I266" i="18"/>
  <c r="I267" i="18"/>
  <c r="H267" i="18"/>
  <c r="L268" i="18"/>
  <c r="H265" i="18"/>
  <c r="L264" i="18"/>
  <c r="I264" i="18"/>
  <c r="L266" i="18"/>
  <c r="I269" i="18"/>
  <c r="L267" i="18"/>
  <c r="I268" i="18"/>
  <c r="L265" i="18"/>
  <c r="H269" i="18"/>
  <c r="DJ94" i="1" l="1"/>
  <c r="DL94" i="1" s="1"/>
  <c r="CP93" i="1" l="1"/>
  <c r="CQ93" i="1"/>
  <c r="CR93" i="1"/>
  <c r="CT93" i="1"/>
  <c r="DB93" i="1" s="1"/>
  <c r="CV93" i="1"/>
  <c r="DD93" i="1" s="1"/>
  <c r="CX93" i="1"/>
  <c r="DF93" i="1" s="1"/>
  <c r="CZ93" i="1"/>
  <c r="DH93" i="1" s="1"/>
  <c r="DK93" i="1"/>
  <c r="DJ93" i="1" l="1"/>
  <c r="DL93" i="1" s="1"/>
  <c r="B256" i="18" l="1"/>
  <c r="B257" i="18"/>
  <c r="B258" i="18"/>
  <c r="B259" i="18"/>
  <c r="B260" i="18"/>
  <c r="B261" i="18"/>
  <c r="B262" i="18"/>
  <c r="B263" i="18"/>
  <c r="C256" i="18"/>
  <c r="C257" i="18"/>
  <c r="C258" i="18"/>
  <c r="C259" i="18"/>
  <c r="C260" i="18"/>
  <c r="C261" i="18"/>
  <c r="C262" i="18"/>
  <c r="C263" i="18"/>
  <c r="E256" i="18"/>
  <c r="E257" i="18"/>
  <c r="E258" i="18"/>
  <c r="E259" i="18"/>
  <c r="E260" i="18"/>
  <c r="E261" i="18"/>
  <c r="E262" i="18"/>
  <c r="E263" i="18"/>
  <c r="S256" i="18"/>
  <c r="S257" i="18"/>
  <c r="S258" i="18"/>
  <c r="S259" i="18"/>
  <c r="S260" i="18"/>
  <c r="S261" i="18"/>
  <c r="S262" i="18"/>
  <c r="S263" i="18"/>
  <c r="T256" i="18"/>
  <c r="T257" i="18"/>
  <c r="T258" i="18"/>
  <c r="T259" i="18"/>
  <c r="T260" i="18"/>
  <c r="T261" i="18"/>
  <c r="T262" i="18"/>
  <c r="T263" i="18"/>
  <c r="H258" i="18"/>
  <c r="L257" i="18"/>
  <c r="H261" i="18"/>
  <c r="I261" i="18"/>
  <c r="H256" i="18"/>
  <c r="I262" i="18"/>
  <c r="I256" i="18"/>
  <c r="L258" i="18"/>
  <c r="H259" i="18"/>
  <c r="I263" i="18"/>
  <c r="H263" i="18"/>
  <c r="L256" i="18"/>
  <c r="H262" i="18"/>
  <c r="I257" i="18"/>
  <c r="L259" i="18"/>
  <c r="L262" i="18"/>
  <c r="L261" i="18"/>
  <c r="H260" i="18"/>
  <c r="I259" i="18"/>
  <c r="L260" i="18"/>
  <c r="I260" i="18"/>
  <c r="H257" i="18"/>
  <c r="I258" i="18"/>
  <c r="L263" i="18"/>
  <c r="CP92" i="1" l="1"/>
  <c r="CQ92" i="1"/>
  <c r="CR92" i="1"/>
  <c r="CT92" i="1"/>
  <c r="DB92" i="1" s="1"/>
  <c r="CV92" i="1"/>
  <c r="DD92" i="1" s="1"/>
  <c r="CX92" i="1"/>
  <c r="DF92" i="1" s="1"/>
  <c r="CZ92" i="1"/>
  <c r="DH92" i="1" s="1"/>
  <c r="DK92" i="1"/>
  <c r="B250" i="18"/>
  <c r="B251" i="18"/>
  <c r="B252" i="18"/>
  <c r="B253" i="18"/>
  <c r="B254" i="18"/>
  <c r="B255" i="18"/>
  <c r="C250" i="18"/>
  <c r="C251" i="18"/>
  <c r="C252" i="18"/>
  <c r="C253" i="18"/>
  <c r="C254" i="18"/>
  <c r="C255" i="18"/>
  <c r="E250" i="18"/>
  <c r="E251" i="18"/>
  <c r="E252" i="18"/>
  <c r="E253" i="18"/>
  <c r="E254" i="18"/>
  <c r="E255" i="18"/>
  <c r="S250" i="18"/>
  <c r="S251" i="18"/>
  <c r="S252" i="18"/>
  <c r="S253" i="18"/>
  <c r="S254" i="18"/>
  <c r="S255" i="18"/>
  <c r="T250" i="18"/>
  <c r="T251" i="18"/>
  <c r="T252" i="18"/>
  <c r="T253" i="18"/>
  <c r="T254" i="18"/>
  <c r="T255" i="18"/>
  <c r="B1027" i="19"/>
  <c r="B1028" i="19"/>
  <c r="C1027" i="19"/>
  <c r="C1028" i="19"/>
  <c r="E1027" i="19"/>
  <c r="E1028" i="19"/>
  <c r="O1027" i="19"/>
  <c r="O1028" i="19"/>
  <c r="P1027" i="19"/>
  <c r="P1028" i="19"/>
  <c r="Q1027" i="19"/>
  <c r="Q1028" i="19"/>
  <c r="B1025" i="19"/>
  <c r="B1026" i="19"/>
  <c r="C1025" i="19"/>
  <c r="C1026" i="19"/>
  <c r="E1025" i="19"/>
  <c r="E1026" i="19"/>
  <c r="O1025" i="19"/>
  <c r="O1026" i="19"/>
  <c r="P1025" i="19"/>
  <c r="P1026" i="19"/>
  <c r="Q1025" i="19"/>
  <c r="Q1026" i="19"/>
  <c r="B1019" i="19"/>
  <c r="B1020" i="19"/>
  <c r="B1021" i="19"/>
  <c r="B1022" i="19"/>
  <c r="B1023" i="19"/>
  <c r="B1024" i="19"/>
  <c r="C1019" i="19"/>
  <c r="C1020" i="19"/>
  <c r="C1021" i="19"/>
  <c r="C1022" i="19"/>
  <c r="C1023" i="19"/>
  <c r="C1024" i="19"/>
  <c r="E1019" i="19"/>
  <c r="E1020" i="19"/>
  <c r="E1021" i="19"/>
  <c r="E1022" i="19"/>
  <c r="E1023" i="19"/>
  <c r="E1024" i="19"/>
  <c r="O1019" i="19"/>
  <c r="O1020" i="19"/>
  <c r="O1021" i="19"/>
  <c r="O1022" i="19"/>
  <c r="O1023" i="19"/>
  <c r="O1024" i="19"/>
  <c r="P1019" i="19"/>
  <c r="P1020" i="19"/>
  <c r="P1021" i="19"/>
  <c r="P1022" i="19"/>
  <c r="P1023" i="19"/>
  <c r="P1024" i="19"/>
  <c r="Q1019" i="19"/>
  <c r="Q1020" i="19"/>
  <c r="Q1021" i="19"/>
  <c r="Q1022" i="19"/>
  <c r="Q1023" i="19"/>
  <c r="Q1024" i="19"/>
  <c r="B1016" i="19"/>
  <c r="B1017" i="19"/>
  <c r="B1018" i="19"/>
  <c r="C1016" i="19"/>
  <c r="C1017" i="19"/>
  <c r="C1018" i="19"/>
  <c r="E1016" i="19"/>
  <c r="E1017" i="19"/>
  <c r="E1018" i="19"/>
  <c r="O1016" i="19"/>
  <c r="O1017" i="19"/>
  <c r="O1018" i="19"/>
  <c r="P1016" i="19"/>
  <c r="P1017" i="19"/>
  <c r="P1018" i="19"/>
  <c r="Q1016" i="19"/>
  <c r="Q1017" i="19"/>
  <c r="Q1018" i="19"/>
  <c r="B1012" i="19"/>
  <c r="B1013" i="19"/>
  <c r="B1014" i="19"/>
  <c r="B1015" i="19"/>
  <c r="C1012" i="19"/>
  <c r="C1013" i="19"/>
  <c r="C1014" i="19"/>
  <c r="C1015" i="19"/>
  <c r="E1012" i="19"/>
  <c r="E1013" i="19"/>
  <c r="E1014" i="19"/>
  <c r="E1015" i="19"/>
  <c r="O1012" i="19"/>
  <c r="O1013" i="19"/>
  <c r="O1014" i="19"/>
  <c r="O1015" i="19"/>
  <c r="P1012" i="19"/>
  <c r="P1013" i="19"/>
  <c r="P1014" i="19"/>
  <c r="P1015" i="19"/>
  <c r="Q1012" i="19"/>
  <c r="Q1013" i="19"/>
  <c r="Q1014" i="19"/>
  <c r="Q1015" i="19"/>
  <c r="I1028" i="19"/>
  <c r="I1013" i="19"/>
  <c r="H1016" i="19"/>
  <c r="H1018" i="19"/>
  <c r="I1027" i="19"/>
  <c r="I1015" i="19"/>
  <c r="H1014" i="19"/>
  <c r="H1022" i="19"/>
  <c r="H1020" i="19"/>
  <c r="H1013" i="19"/>
  <c r="I1017" i="19"/>
  <c r="I1012" i="19"/>
  <c r="I1018" i="19"/>
  <c r="H1012" i="19"/>
  <c r="I1022" i="19"/>
  <c r="H1017" i="19"/>
  <c r="H1021" i="19"/>
  <c r="I1025" i="19"/>
  <c r="I1020" i="19"/>
  <c r="I1021" i="19"/>
  <c r="I1014" i="19"/>
  <c r="H1028" i="19"/>
  <c r="I1024" i="19"/>
  <c r="I1023" i="19"/>
  <c r="H1025" i="19"/>
  <c r="H1019" i="19"/>
  <c r="I1016" i="19"/>
  <c r="H1024" i="19"/>
  <c r="H1027" i="19"/>
  <c r="H1026" i="19"/>
  <c r="I1026" i="19"/>
  <c r="H1023" i="19"/>
  <c r="H1015" i="19"/>
  <c r="I1019" i="19"/>
  <c r="I251" i="18"/>
  <c r="I255" i="18"/>
  <c r="I250" i="18"/>
  <c r="H254" i="18"/>
  <c r="L250" i="18"/>
  <c r="H253" i="18"/>
  <c r="L254" i="18"/>
  <c r="H251" i="18"/>
  <c r="H250" i="18"/>
  <c r="I252" i="18"/>
  <c r="L253" i="18"/>
  <c r="L252" i="18"/>
  <c r="H252" i="18"/>
  <c r="I254" i="18"/>
  <c r="L251" i="18"/>
  <c r="H255" i="18"/>
  <c r="I253" i="18"/>
  <c r="L255" i="18"/>
  <c r="DJ92" i="1" l="1"/>
  <c r="DL92" i="1" s="1"/>
  <c r="CP91" i="1" l="1"/>
  <c r="CQ91" i="1"/>
  <c r="CR91" i="1"/>
  <c r="CT91" i="1"/>
  <c r="DB91" i="1" s="1"/>
  <c r="CV91" i="1"/>
  <c r="DD91" i="1" s="1"/>
  <c r="CX91" i="1"/>
  <c r="DF91" i="1" s="1"/>
  <c r="CZ91" i="1"/>
  <c r="DH91" i="1" s="1"/>
  <c r="DK91" i="1"/>
  <c r="B245" i="18"/>
  <c r="B246" i="18"/>
  <c r="B247" i="18"/>
  <c r="B248" i="18"/>
  <c r="B249" i="18"/>
  <c r="C245" i="18"/>
  <c r="C246" i="18"/>
  <c r="C247" i="18"/>
  <c r="C248" i="18"/>
  <c r="C249" i="18"/>
  <c r="E245" i="18"/>
  <c r="E246" i="18"/>
  <c r="E247" i="18"/>
  <c r="E248" i="18"/>
  <c r="E249" i="18"/>
  <c r="S245" i="18"/>
  <c r="S246" i="18"/>
  <c r="S247" i="18"/>
  <c r="S248" i="18"/>
  <c r="S249" i="18"/>
  <c r="T245" i="18"/>
  <c r="T246" i="18"/>
  <c r="T247" i="18"/>
  <c r="T248" i="18"/>
  <c r="T249" i="18"/>
  <c r="B1010" i="19"/>
  <c r="B1011" i="19"/>
  <c r="C1010" i="19"/>
  <c r="C1011" i="19"/>
  <c r="E1010" i="19"/>
  <c r="E1011" i="19"/>
  <c r="O1010" i="19"/>
  <c r="O1011" i="19"/>
  <c r="P1010" i="19"/>
  <c r="P1011" i="19"/>
  <c r="Q1010" i="19"/>
  <c r="Q1011" i="19"/>
  <c r="I1010" i="19"/>
  <c r="I1011" i="19"/>
  <c r="H1011" i="19"/>
  <c r="H1010" i="19"/>
  <c r="I247" i="18"/>
  <c r="I246" i="18"/>
  <c r="I245" i="18"/>
  <c r="H247" i="18"/>
  <c r="H248" i="18"/>
  <c r="L245" i="18"/>
  <c r="I248" i="18"/>
  <c r="I249" i="18"/>
  <c r="L247" i="18"/>
  <c r="H249" i="18"/>
  <c r="L249" i="18"/>
  <c r="L246" i="18"/>
  <c r="H245" i="18"/>
  <c r="L248" i="18"/>
  <c r="H246" i="18"/>
  <c r="DJ91" i="1" l="1"/>
  <c r="DL91" i="1" s="1"/>
  <c r="B998" i="19" l="1"/>
  <c r="B999" i="19"/>
  <c r="B1000" i="19"/>
  <c r="B1001" i="19"/>
  <c r="B1002" i="19"/>
  <c r="B1003" i="19"/>
  <c r="B1004" i="19"/>
  <c r="B1005" i="19"/>
  <c r="B1006" i="19"/>
  <c r="B1007" i="19"/>
  <c r="B1008" i="19"/>
  <c r="B1009" i="19"/>
  <c r="C998" i="19"/>
  <c r="C999" i="19"/>
  <c r="C1000" i="19"/>
  <c r="C1001" i="19"/>
  <c r="C1002" i="19"/>
  <c r="C1003" i="19"/>
  <c r="C1004" i="19"/>
  <c r="C1005" i="19"/>
  <c r="C1006" i="19"/>
  <c r="C1007" i="19"/>
  <c r="C1008" i="19"/>
  <c r="C1009" i="19"/>
  <c r="E998" i="19"/>
  <c r="E999" i="19"/>
  <c r="E1000" i="19"/>
  <c r="E1001" i="19"/>
  <c r="E1002" i="19"/>
  <c r="E1003" i="19"/>
  <c r="E1004" i="19"/>
  <c r="E1005" i="19"/>
  <c r="E1006" i="19"/>
  <c r="E1007" i="19"/>
  <c r="E1008" i="19"/>
  <c r="E1009" i="19"/>
  <c r="O998" i="19"/>
  <c r="O999" i="19"/>
  <c r="O1000" i="19"/>
  <c r="O1001" i="19"/>
  <c r="O1002" i="19"/>
  <c r="O1003" i="19"/>
  <c r="O1004" i="19"/>
  <c r="O1005" i="19"/>
  <c r="O1006" i="19"/>
  <c r="O1007" i="19"/>
  <c r="O1008" i="19"/>
  <c r="O1009" i="19"/>
  <c r="P998" i="19"/>
  <c r="P999" i="19"/>
  <c r="P1000" i="19"/>
  <c r="P1001" i="19"/>
  <c r="P1002" i="19"/>
  <c r="P1003" i="19"/>
  <c r="P1004" i="19"/>
  <c r="P1005" i="19"/>
  <c r="P1006" i="19"/>
  <c r="P1007" i="19"/>
  <c r="P1008" i="19"/>
  <c r="P1009" i="19"/>
  <c r="Q998" i="19"/>
  <c r="Q999" i="19"/>
  <c r="Q1000" i="19"/>
  <c r="Q1001" i="19"/>
  <c r="Q1002" i="19"/>
  <c r="Q1003" i="19"/>
  <c r="Q1004" i="19"/>
  <c r="Q1005" i="19"/>
  <c r="Q1006" i="19"/>
  <c r="Q1007" i="19"/>
  <c r="Q1008" i="19"/>
  <c r="Q1009" i="19"/>
  <c r="B990" i="19"/>
  <c r="B991" i="19"/>
  <c r="B992" i="19"/>
  <c r="B993" i="19"/>
  <c r="B994" i="19"/>
  <c r="B995" i="19"/>
  <c r="B996" i="19"/>
  <c r="B997" i="19"/>
  <c r="C990" i="19"/>
  <c r="C991" i="19"/>
  <c r="C992" i="19"/>
  <c r="C993" i="19"/>
  <c r="C994" i="19"/>
  <c r="C995" i="19"/>
  <c r="C996" i="19"/>
  <c r="C997" i="19"/>
  <c r="E990" i="19"/>
  <c r="E991" i="19"/>
  <c r="E992" i="19"/>
  <c r="E993" i="19"/>
  <c r="E994" i="19"/>
  <c r="E995" i="19"/>
  <c r="E996" i="19"/>
  <c r="E997" i="19"/>
  <c r="O990" i="19"/>
  <c r="O991" i="19"/>
  <c r="O992" i="19"/>
  <c r="O993" i="19"/>
  <c r="O994" i="19"/>
  <c r="O995" i="19"/>
  <c r="O996" i="19"/>
  <c r="O997" i="19"/>
  <c r="P990" i="19"/>
  <c r="P991" i="19"/>
  <c r="P992" i="19"/>
  <c r="P993" i="19"/>
  <c r="P994" i="19"/>
  <c r="P995" i="19"/>
  <c r="P996" i="19"/>
  <c r="P997" i="19"/>
  <c r="Q990" i="19"/>
  <c r="Q991" i="19"/>
  <c r="Q992" i="19"/>
  <c r="Q993" i="19"/>
  <c r="Q994" i="19"/>
  <c r="Q995" i="19"/>
  <c r="Q996" i="19"/>
  <c r="Q997" i="19"/>
  <c r="I996" i="19"/>
  <c r="H998" i="19"/>
  <c r="I1006" i="19"/>
  <c r="H991" i="19"/>
  <c r="H1005" i="19"/>
  <c r="I998" i="19"/>
  <c r="H1001" i="19"/>
  <c r="H1006" i="19"/>
  <c r="I1009" i="19"/>
  <c r="H997" i="19"/>
  <c r="H1000" i="19"/>
  <c r="H994" i="19"/>
  <c r="I999" i="19"/>
  <c r="H1004" i="19"/>
  <c r="I992" i="19"/>
  <c r="H992" i="19"/>
  <c r="I994" i="19"/>
  <c r="I1004" i="19"/>
  <c r="H1007" i="19"/>
  <c r="H990" i="19"/>
  <c r="H995" i="19"/>
  <c r="I1000" i="19"/>
  <c r="H993" i="19"/>
  <c r="I1008" i="19"/>
  <c r="I1002" i="19"/>
  <c r="I1003" i="19"/>
  <c r="I1001" i="19"/>
  <c r="I1005" i="19"/>
  <c r="H1002" i="19"/>
  <c r="I991" i="19"/>
  <c r="H1008" i="19"/>
  <c r="I997" i="19"/>
  <c r="H1009" i="19"/>
  <c r="I1007" i="19"/>
  <c r="H1003" i="19"/>
  <c r="H996" i="19"/>
  <c r="I993" i="19"/>
  <c r="I995" i="19"/>
  <c r="H999" i="19"/>
  <c r="I990" i="19"/>
  <c r="B238" i="18" l="1"/>
  <c r="C238" i="18"/>
  <c r="B239" i="18"/>
  <c r="C239" i="18"/>
  <c r="B240" i="18"/>
  <c r="C240" i="18"/>
  <c r="B241" i="18"/>
  <c r="C241" i="18"/>
  <c r="B242" i="18"/>
  <c r="C242" i="18"/>
  <c r="B243" i="18"/>
  <c r="C243" i="18"/>
  <c r="B244" i="18"/>
  <c r="C244" i="18"/>
  <c r="E238" i="18"/>
  <c r="E239" i="18"/>
  <c r="E240" i="18"/>
  <c r="E241" i="18"/>
  <c r="E242" i="18"/>
  <c r="E243" i="18"/>
  <c r="E244" i="18"/>
  <c r="S238" i="18"/>
  <c r="S239" i="18"/>
  <c r="S240" i="18"/>
  <c r="S241" i="18"/>
  <c r="S242" i="18"/>
  <c r="S243" i="18"/>
  <c r="S244" i="18"/>
  <c r="T238" i="18"/>
  <c r="T239" i="18"/>
  <c r="T240" i="18"/>
  <c r="T241" i="18"/>
  <c r="T242" i="18"/>
  <c r="T243" i="18"/>
  <c r="T244" i="18"/>
  <c r="L240" i="18"/>
  <c r="L214" i="18"/>
  <c r="L234" i="18"/>
  <c r="L218" i="18"/>
  <c r="L219" i="18"/>
  <c r="H243" i="18"/>
  <c r="L227" i="18"/>
  <c r="H242" i="18"/>
  <c r="L243" i="18"/>
  <c r="L223" i="18"/>
  <c r="I242" i="18"/>
  <c r="L236" i="18"/>
  <c r="L239" i="18"/>
  <c r="L224" i="18"/>
  <c r="L220" i="18"/>
  <c r="I241" i="18"/>
  <c r="L241" i="18"/>
  <c r="L237" i="18"/>
  <c r="H241" i="18"/>
  <c r="L216" i="18"/>
  <c r="I238" i="18"/>
  <c r="L242" i="18"/>
  <c r="I239" i="18"/>
  <c r="L232" i="18"/>
  <c r="H238" i="18"/>
  <c r="L230" i="18"/>
  <c r="L229" i="18"/>
  <c r="L217" i="18"/>
  <c r="L231" i="18"/>
  <c r="L235" i="18"/>
  <c r="L233" i="18"/>
  <c r="I243" i="18"/>
  <c r="H239" i="18"/>
  <c r="L244" i="18"/>
  <c r="L225" i="18"/>
  <c r="H244" i="18"/>
  <c r="L226" i="18"/>
  <c r="L228" i="18"/>
  <c r="I244" i="18"/>
  <c r="H240" i="18"/>
  <c r="L215" i="18"/>
  <c r="I240" i="18"/>
  <c r="L238" i="18"/>
  <c r="L221" i="18"/>
  <c r="L222" i="18"/>
  <c r="CP90" i="1" l="1"/>
  <c r="CQ90" i="1"/>
  <c r="CR90" i="1"/>
  <c r="CT90" i="1"/>
  <c r="DB90" i="1" s="1"/>
  <c r="CV90" i="1"/>
  <c r="DD90" i="1" s="1"/>
  <c r="CX90" i="1"/>
  <c r="DF90" i="1" s="1"/>
  <c r="CZ90" i="1"/>
  <c r="DH90" i="1" s="1"/>
  <c r="DK90" i="1"/>
  <c r="DJ90" i="1" l="1"/>
  <c r="DL90" i="1" s="1"/>
  <c r="B236" i="18" l="1"/>
  <c r="B237" i="18"/>
  <c r="C236" i="18"/>
  <c r="C237" i="18"/>
  <c r="E236" i="18"/>
  <c r="E237" i="18"/>
  <c r="S236" i="18"/>
  <c r="S237" i="18"/>
  <c r="T236" i="18"/>
  <c r="T237" i="18"/>
  <c r="H237" i="18"/>
  <c r="H236" i="18"/>
  <c r="I237" i="18"/>
  <c r="I236" i="18"/>
  <c r="CP89" i="1" l="1"/>
  <c r="CQ89" i="1"/>
  <c r="CR89" i="1"/>
  <c r="CT89" i="1"/>
  <c r="DB89" i="1" s="1"/>
  <c r="CV89" i="1"/>
  <c r="DD89" i="1" s="1"/>
  <c r="CX89" i="1"/>
  <c r="DF89" i="1" s="1"/>
  <c r="CZ89" i="1"/>
  <c r="DH89" i="1" s="1"/>
  <c r="DK89" i="1"/>
  <c r="B235" i="18"/>
  <c r="C235" i="18"/>
  <c r="E235" i="18"/>
  <c r="S235" i="18"/>
  <c r="T235" i="18"/>
  <c r="B234" i="18"/>
  <c r="C234" i="18"/>
  <c r="E234" i="18"/>
  <c r="S234" i="18"/>
  <c r="T234" i="18"/>
  <c r="B233" i="18"/>
  <c r="C233" i="18"/>
  <c r="E233" i="18"/>
  <c r="S233" i="18"/>
  <c r="T233" i="18"/>
  <c r="B232" i="18"/>
  <c r="C232" i="18"/>
  <c r="E232" i="18"/>
  <c r="S232" i="18"/>
  <c r="T232" i="18"/>
  <c r="B231" i="18"/>
  <c r="C231" i="18"/>
  <c r="E231" i="18"/>
  <c r="S231" i="18"/>
  <c r="T231" i="18"/>
  <c r="I231" i="18"/>
  <c r="H232" i="18"/>
  <c r="H233" i="18"/>
  <c r="H235" i="18"/>
  <c r="I235" i="18"/>
  <c r="H234" i="18"/>
  <c r="H231" i="18"/>
  <c r="I232" i="18"/>
  <c r="I234" i="18"/>
  <c r="I233" i="18"/>
  <c r="DJ89" i="1" l="1"/>
  <c r="DL89" i="1" s="1"/>
  <c r="CP88" i="1" l="1"/>
  <c r="CQ88" i="1"/>
  <c r="CR88" i="1"/>
  <c r="CT88" i="1"/>
  <c r="DB88" i="1" s="1"/>
  <c r="CV88" i="1"/>
  <c r="DD88" i="1" s="1"/>
  <c r="CX88" i="1"/>
  <c r="DF88" i="1" s="1"/>
  <c r="CZ88" i="1"/>
  <c r="DH88" i="1" s="1"/>
  <c r="DK88" i="1"/>
  <c r="B224" i="18"/>
  <c r="B225" i="18"/>
  <c r="B226" i="18"/>
  <c r="B227" i="18"/>
  <c r="B228" i="18"/>
  <c r="B229" i="18"/>
  <c r="B230" i="18"/>
  <c r="C224" i="18"/>
  <c r="C225" i="18"/>
  <c r="C226" i="18"/>
  <c r="C227" i="18"/>
  <c r="C228" i="18"/>
  <c r="C229" i="18"/>
  <c r="C230" i="18"/>
  <c r="E224" i="18"/>
  <c r="E225" i="18"/>
  <c r="E226" i="18"/>
  <c r="E227" i="18"/>
  <c r="E228" i="18"/>
  <c r="E229" i="18"/>
  <c r="E230" i="18"/>
  <c r="S224" i="18"/>
  <c r="S225" i="18"/>
  <c r="S226" i="18"/>
  <c r="S227" i="18"/>
  <c r="S228" i="18"/>
  <c r="S229" i="18"/>
  <c r="S230" i="18"/>
  <c r="T224" i="18"/>
  <c r="T225" i="18"/>
  <c r="T226" i="18"/>
  <c r="T227" i="18"/>
  <c r="T228" i="18"/>
  <c r="T229" i="18"/>
  <c r="T230" i="18"/>
  <c r="B978" i="19"/>
  <c r="B979" i="19"/>
  <c r="B980" i="19"/>
  <c r="B981" i="19"/>
  <c r="B982" i="19"/>
  <c r="B983" i="19"/>
  <c r="B984" i="19"/>
  <c r="B985" i="19"/>
  <c r="B986" i="19"/>
  <c r="B987" i="19"/>
  <c r="B988" i="19"/>
  <c r="B989" i="19"/>
  <c r="C978" i="19"/>
  <c r="C979" i="19"/>
  <c r="C980" i="19"/>
  <c r="C981" i="19"/>
  <c r="C982" i="19"/>
  <c r="C983" i="19"/>
  <c r="C984" i="19"/>
  <c r="C985" i="19"/>
  <c r="C986" i="19"/>
  <c r="C987" i="19"/>
  <c r="C988" i="19"/>
  <c r="C989" i="19"/>
  <c r="E978" i="19"/>
  <c r="E979" i="19"/>
  <c r="E980" i="19"/>
  <c r="E981" i="19"/>
  <c r="E982" i="19"/>
  <c r="E983" i="19"/>
  <c r="E984" i="19"/>
  <c r="E985" i="19"/>
  <c r="E986" i="19"/>
  <c r="E987" i="19"/>
  <c r="E988" i="19"/>
  <c r="E989" i="19"/>
  <c r="O978" i="19"/>
  <c r="O979" i="19"/>
  <c r="O980" i="19"/>
  <c r="O981" i="19"/>
  <c r="O982" i="19"/>
  <c r="O983" i="19"/>
  <c r="O984" i="19"/>
  <c r="O985" i="19"/>
  <c r="O986" i="19"/>
  <c r="O987" i="19"/>
  <c r="O988" i="19"/>
  <c r="O989" i="19"/>
  <c r="P978" i="19"/>
  <c r="P979" i="19"/>
  <c r="P980" i="19"/>
  <c r="P981" i="19"/>
  <c r="P982" i="19"/>
  <c r="P983" i="19"/>
  <c r="P984" i="19"/>
  <c r="P985" i="19"/>
  <c r="P986" i="19"/>
  <c r="P987" i="19"/>
  <c r="P988" i="19"/>
  <c r="P989" i="19"/>
  <c r="Q978" i="19"/>
  <c r="Q979" i="19"/>
  <c r="Q980" i="19"/>
  <c r="Q981" i="19"/>
  <c r="Q982" i="19"/>
  <c r="Q983" i="19"/>
  <c r="Q984" i="19"/>
  <c r="Q985" i="19"/>
  <c r="Q986" i="19"/>
  <c r="Q987" i="19"/>
  <c r="Q988" i="19"/>
  <c r="Q989" i="19"/>
  <c r="B964" i="19"/>
  <c r="B965" i="19"/>
  <c r="B966" i="19"/>
  <c r="B967" i="19"/>
  <c r="B968" i="19"/>
  <c r="B969" i="19"/>
  <c r="B970" i="19"/>
  <c r="B971" i="19"/>
  <c r="B972" i="19"/>
  <c r="B973" i="19"/>
  <c r="B974" i="19"/>
  <c r="B975" i="19"/>
  <c r="B976" i="19"/>
  <c r="B977" i="19"/>
  <c r="C964" i="19"/>
  <c r="C965" i="19"/>
  <c r="C966" i="19"/>
  <c r="C967" i="19"/>
  <c r="C968" i="19"/>
  <c r="C969" i="19"/>
  <c r="C970" i="19"/>
  <c r="C971" i="19"/>
  <c r="C972" i="19"/>
  <c r="C973" i="19"/>
  <c r="C974" i="19"/>
  <c r="C975" i="19"/>
  <c r="C976" i="19"/>
  <c r="C977" i="19"/>
  <c r="E964" i="19"/>
  <c r="E965" i="19"/>
  <c r="E966" i="19"/>
  <c r="E967" i="19"/>
  <c r="E968" i="19"/>
  <c r="E969" i="19"/>
  <c r="E970" i="19"/>
  <c r="E971" i="19"/>
  <c r="E972" i="19"/>
  <c r="E973" i="19"/>
  <c r="E974" i="19"/>
  <c r="E975" i="19"/>
  <c r="E976" i="19"/>
  <c r="E977" i="19"/>
  <c r="O964" i="19"/>
  <c r="O965" i="19"/>
  <c r="O966" i="19"/>
  <c r="O967" i="19"/>
  <c r="O968" i="19"/>
  <c r="O969" i="19"/>
  <c r="O970" i="19"/>
  <c r="O971" i="19"/>
  <c r="O972" i="19"/>
  <c r="O973" i="19"/>
  <c r="O974" i="19"/>
  <c r="O975" i="19"/>
  <c r="O976" i="19"/>
  <c r="O977" i="19"/>
  <c r="P964" i="19"/>
  <c r="P965" i="19"/>
  <c r="P966" i="19"/>
  <c r="P967" i="19"/>
  <c r="P968" i="19"/>
  <c r="P969" i="19"/>
  <c r="P970" i="19"/>
  <c r="P971" i="19"/>
  <c r="P972" i="19"/>
  <c r="P973" i="19"/>
  <c r="P974" i="19"/>
  <c r="P975" i="19"/>
  <c r="P976" i="19"/>
  <c r="P977" i="19"/>
  <c r="Q964" i="19"/>
  <c r="Q965" i="19"/>
  <c r="Q966" i="19"/>
  <c r="Q967" i="19"/>
  <c r="Q968" i="19"/>
  <c r="Q969" i="19"/>
  <c r="Q970" i="19"/>
  <c r="Q971" i="19"/>
  <c r="Q972" i="19"/>
  <c r="Q973" i="19"/>
  <c r="Q974" i="19"/>
  <c r="Q975" i="19"/>
  <c r="Q976" i="19"/>
  <c r="Q977" i="19"/>
  <c r="B962" i="19"/>
  <c r="B963" i="19"/>
  <c r="C962" i="19"/>
  <c r="C963" i="19"/>
  <c r="E962" i="19"/>
  <c r="E963" i="19"/>
  <c r="O962" i="19"/>
  <c r="O963" i="19"/>
  <c r="P962" i="19"/>
  <c r="P963" i="19"/>
  <c r="Q962" i="19"/>
  <c r="Q963" i="19"/>
  <c r="B956" i="19"/>
  <c r="B957" i="19"/>
  <c r="B958" i="19"/>
  <c r="B959" i="19"/>
  <c r="B960" i="19"/>
  <c r="B961" i="19"/>
  <c r="C956" i="19"/>
  <c r="C957" i="19"/>
  <c r="C958" i="19"/>
  <c r="C959" i="19"/>
  <c r="C960" i="19"/>
  <c r="C961" i="19"/>
  <c r="E956" i="19"/>
  <c r="E957" i="19"/>
  <c r="E958" i="19"/>
  <c r="E959" i="19"/>
  <c r="E960" i="19"/>
  <c r="E961" i="19"/>
  <c r="O956" i="19"/>
  <c r="O957" i="19"/>
  <c r="O958" i="19"/>
  <c r="O959" i="19"/>
  <c r="O960" i="19"/>
  <c r="O961" i="19"/>
  <c r="P956" i="19"/>
  <c r="P957" i="19"/>
  <c r="P958" i="19"/>
  <c r="P959" i="19"/>
  <c r="P960" i="19"/>
  <c r="P961" i="19"/>
  <c r="Q956" i="19"/>
  <c r="Q957" i="19"/>
  <c r="Q958" i="19"/>
  <c r="Q959" i="19"/>
  <c r="Q960" i="19"/>
  <c r="Q961" i="19"/>
  <c r="H984" i="19"/>
  <c r="I965" i="19"/>
  <c r="I962" i="19"/>
  <c r="H983" i="19"/>
  <c r="I987" i="19"/>
  <c r="I983" i="19"/>
  <c r="H970" i="19"/>
  <c r="I956" i="19"/>
  <c r="H974" i="19"/>
  <c r="H989" i="19"/>
  <c r="H969" i="19"/>
  <c r="H986" i="19"/>
  <c r="H975" i="19"/>
  <c r="H962" i="19"/>
  <c r="H965" i="19"/>
  <c r="I969" i="19"/>
  <c r="I975" i="19"/>
  <c r="H959" i="19"/>
  <c r="I976" i="19"/>
  <c r="H956" i="19"/>
  <c r="I972" i="19"/>
  <c r="I958" i="19"/>
  <c r="H963" i="19"/>
  <c r="H982" i="19"/>
  <c r="I986" i="19"/>
  <c r="H987" i="19"/>
  <c r="H958" i="19"/>
  <c r="I981" i="19"/>
  <c r="H961" i="19"/>
  <c r="I971" i="19"/>
  <c r="I964" i="19"/>
  <c r="H976" i="19"/>
  <c r="H985" i="19"/>
  <c r="H980" i="19"/>
  <c r="I980" i="19"/>
  <c r="H988" i="19"/>
  <c r="H968" i="19"/>
  <c r="H971" i="19"/>
  <c r="I977" i="19"/>
  <c r="I970" i="19"/>
  <c r="H977" i="19"/>
  <c r="H966" i="19"/>
  <c r="I979" i="19"/>
  <c r="I967" i="19"/>
  <c r="I957" i="19"/>
  <c r="I966" i="19"/>
  <c r="I960" i="19"/>
  <c r="I982" i="19"/>
  <c r="H960" i="19"/>
  <c r="I973" i="19"/>
  <c r="I968" i="19"/>
  <c r="I984" i="19"/>
  <c r="I961" i="19"/>
  <c r="I989" i="19"/>
  <c r="H979" i="19"/>
  <c r="H981" i="19"/>
  <c r="H957" i="19"/>
  <c r="I974" i="19"/>
  <c r="H972" i="19"/>
  <c r="I978" i="19"/>
  <c r="I988" i="19"/>
  <c r="I985" i="19"/>
  <c r="H973" i="19"/>
  <c r="H967" i="19"/>
  <c r="H978" i="19"/>
  <c r="I963" i="19"/>
  <c r="I959" i="19"/>
  <c r="H964" i="19"/>
  <c r="H227" i="18"/>
  <c r="I225" i="18"/>
  <c r="I226" i="18"/>
  <c r="L190" i="18"/>
  <c r="H230" i="18"/>
  <c r="L213" i="18"/>
  <c r="H225" i="18"/>
  <c r="H226" i="18"/>
  <c r="I227" i="18"/>
  <c r="I230" i="18"/>
  <c r="H229" i="18"/>
  <c r="H224" i="18"/>
  <c r="I229" i="18"/>
  <c r="H228" i="18"/>
  <c r="L188" i="18"/>
  <c r="L189" i="18"/>
  <c r="I224" i="18"/>
  <c r="I228" i="18"/>
  <c r="DJ88" i="1" l="1"/>
  <c r="DL88" i="1" s="1"/>
  <c r="B955" i="19" l="1"/>
  <c r="C955" i="19"/>
  <c r="E955" i="19"/>
  <c r="O955" i="19"/>
  <c r="P955" i="19"/>
  <c r="Q955" i="19"/>
  <c r="B954" i="19"/>
  <c r="C954" i="19"/>
  <c r="E954" i="19"/>
  <c r="O954" i="19"/>
  <c r="P954" i="19"/>
  <c r="Q954" i="19"/>
  <c r="B949" i="19"/>
  <c r="B950" i="19"/>
  <c r="B951" i="19"/>
  <c r="B952" i="19"/>
  <c r="B953" i="19"/>
  <c r="C949" i="19"/>
  <c r="C950" i="19"/>
  <c r="C951" i="19"/>
  <c r="C952" i="19"/>
  <c r="C953" i="19"/>
  <c r="E949" i="19"/>
  <c r="E950" i="19"/>
  <c r="E951" i="19"/>
  <c r="E952" i="19"/>
  <c r="E953" i="19"/>
  <c r="O949" i="19"/>
  <c r="O950" i="19"/>
  <c r="O951" i="19"/>
  <c r="O952" i="19"/>
  <c r="O953" i="19"/>
  <c r="P949" i="19"/>
  <c r="P950" i="19"/>
  <c r="P951" i="19"/>
  <c r="P952" i="19"/>
  <c r="P953" i="19"/>
  <c r="Q949" i="19"/>
  <c r="Q950" i="19"/>
  <c r="Q951" i="19"/>
  <c r="Q952" i="19"/>
  <c r="Q953" i="19"/>
  <c r="B941" i="19"/>
  <c r="B942" i="19"/>
  <c r="B943" i="19"/>
  <c r="B944" i="19"/>
  <c r="B945" i="19"/>
  <c r="B946" i="19"/>
  <c r="B947" i="19"/>
  <c r="B948" i="19"/>
  <c r="C941" i="19"/>
  <c r="C942" i="19"/>
  <c r="C943" i="19"/>
  <c r="C944" i="19"/>
  <c r="C945" i="19"/>
  <c r="C946" i="19"/>
  <c r="C947" i="19"/>
  <c r="C948" i="19"/>
  <c r="E941" i="19"/>
  <c r="E942" i="19"/>
  <c r="E943" i="19"/>
  <c r="E944" i="19"/>
  <c r="E945" i="19"/>
  <c r="E946" i="19"/>
  <c r="E947" i="19"/>
  <c r="E948" i="19"/>
  <c r="O941" i="19"/>
  <c r="O942" i="19"/>
  <c r="O943" i="19"/>
  <c r="O944" i="19"/>
  <c r="O945" i="19"/>
  <c r="O946" i="19"/>
  <c r="O947" i="19"/>
  <c r="O948" i="19"/>
  <c r="P941" i="19"/>
  <c r="P942" i="19"/>
  <c r="P943" i="19"/>
  <c r="P944" i="19"/>
  <c r="P945" i="19"/>
  <c r="P946" i="19"/>
  <c r="P947" i="19"/>
  <c r="P948" i="19"/>
  <c r="Q941" i="19"/>
  <c r="Q942" i="19"/>
  <c r="Q943" i="19"/>
  <c r="Q944" i="19"/>
  <c r="Q945" i="19"/>
  <c r="Q946" i="19"/>
  <c r="Q947" i="19"/>
  <c r="Q948" i="19"/>
  <c r="B927" i="19"/>
  <c r="B928" i="19"/>
  <c r="B929" i="19"/>
  <c r="B930" i="19"/>
  <c r="B931" i="19"/>
  <c r="B932" i="19"/>
  <c r="B933" i="19"/>
  <c r="B934" i="19"/>
  <c r="B935" i="19"/>
  <c r="B936" i="19"/>
  <c r="B937" i="19"/>
  <c r="B938" i="19"/>
  <c r="B939" i="19"/>
  <c r="B940" i="19"/>
  <c r="C927" i="19"/>
  <c r="C928" i="19"/>
  <c r="C929" i="19"/>
  <c r="C930" i="19"/>
  <c r="C931" i="19"/>
  <c r="C932" i="19"/>
  <c r="C933" i="19"/>
  <c r="C934" i="19"/>
  <c r="C935" i="19"/>
  <c r="C936" i="19"/>
  <c r="C937" i="19"/>
  <c r="C938" i="19"/>
  <c r="C939" i="19"/>
  <c r="C940" i="19"/>
  <c r="E927" i="19"/>
  <c r="E928" i="19"/>
  <c r="E929" i="19"/>
  <c r="E930" i="19"/>
  <c r="E931" i="19"/>
  <c r="E932" i="19"/>
  <c r="E933" i="19"/>
  <c r="E934" i="19"/>
  <c r="E935" i="19"/>
  <c r="E936" i="19"/>
  <c r="E937" i="19"/>
  <c r="E938" i="19"/>
  <c r="E939" i="19"/>
  <c r="E940" i="19"/>
  <c r="O927" i="19"/>
  <c r="O928" i="19"/>
  <c r="O929" i="19"/>
  <c r="O930" i="19"/>
  <c r="O931" i="19"/>
  <c r="O932" i="19"/>
  <c r="O933" i="19"/>
  <c r="O934" i="19"/>
  <c r="O935" i="19"/>
  <c r="O936" i="19"/>
  <c r="O937" i="19"/>
  <c r="O938" i="19"/>
  <c r="O939" i="19"/>
  <c r="O940" i="19"/>
  <c r="P927" i="19"/>
  <c r="P928" i="19"/>
  <c r="P929" i="19"/>
  <c r="P930" i="19"/>
  <c r="P931" i="19"/>
  <c r="P932" i="19"/>
  <c r="P933" i="19"/>
  <c r="P934" i="19"/>
  <c r="P935" i="19"/>
  <c r="P936" i="19"/>
  <c r="P937" i="19"/>
  <c r="P938" i="19"/>
  <c r="P939" i="19"/>
  <c r="P940" i="19"/>
  <c r="Q927" i="19"/>
  <c r="Q928" i="19"/>
  <c r="Q929" i="19"/>
  <c r="Q930" i="19"/>
  <c r="Q931" i="19"/>
  <c r="Q932" i="19"/>
  <c r="Q933" i="19"/>
  <c r="Q934" i="19"/>
  <c r="Q935" i="19"/>
  <c r="Q936" i="19"/>
  <c r="Q937" i="19"/>
  <c r="Q938" i="19"/>
  <c r="Q939" i="19"/>
  <c r="Q940" i="19"/>
  <c r="I945" i="19"/>
  <c r="H927" i="19"/>
  <c r="I948" i="19"/>
  <c r="H932" i="19"/>
  <c r="I943" i="19"/>
  <c r="H940" i="19"/>
  <c r="H945" i="19"/>
  <c r="H943" i="19"/>
  <c r="I947" i="19"/>
  <c r="I930" i="19"/>
  <c r="I944" i="19"/>
  <c r="H939" i="19"/>
  <c r="I934" i="19"/>
  <c r="H951" i="19"/>
  <c r="I935" i="19"/>
  <c r="I950" i="19"/>
  <c r="I955" i="19"/>
  <c r="H949" i="19"/>
  <c r="I927" i="19"/>
  <c r="I940" i="19"/>
  <c r="I938" i="19"/>
  <c r="H944" i="19"/>
  <c r="H950" i="19"/>
  <c r="I951" i="19"/>
  <c r="I931" i="19"/>
  <c r="I937" i="19"/>
  <c r="H937" i="19"/>
  <c r="H935" i="19"/>
  <c r="H938" i="19"/>
  <c r="H942" i="19"/>
  <c r="I936" i="19"/>
  <c r="I949" i="19"/>
  <c r="I954" i="19"/>
  <c r="H933" i="19"/>
  <c r="H946" i="19"/>
  <c r="I942" i="19"/>
  <c r="I929" i="19"/>
  <c r="H936" i="19"/>
  <c r="H947" i="19"/>
  <c r="H954" i="19"/>
  <c r="H953" i="19"/>
  <c r="H930" i="19"/>
  <c r="I952" i="19"/>
  <c r="I939" i="19"/>
  <c r="H941" i="19"/>
  <c r="H934" i="19"/>
  <c r="I941" i="19"/>
  <c r="I946" i="19"/>
  <c r="H931" i="19"/>
  <c r="I953" i="19"/>
  <c r="I928" i="19"/>
  <c r="H955" i="19"/>
  <c r="I932" i="19"/>
  <c r="H929" i="19"/>
  <c r="I933" i="19"/>
  <c r="H952" i="19"/>
  <c r="H948" i="19"/>
  <c r="H928" i="19"/>
  <c r="E2" i="20" l="1"/>
  <c r="E3" i="20"/>
  <c r="E4" i="20"/>
  <c r="E5" i="20"/>
  <c r="E6" i="20"/>
  <c r="E7" i="20"/>
  <c r="E8" i="20"/>
  <c r="E9" i="20"/>
  <c r="E10" i="20"/>
  <c r="E11" i="20"/>
  <c r="E12" i="20"/>
  <c r="E13" i="20"/>
  <c r="E14" i="20"/>
  <c r="C2" i="20"/>
  <c r="C3" i="20"/>
  <c r="C4" i="20"/>
  <c r="C5" i="20"/>
  <c r="C6" i="20"/>
  <c r="C7" i="20"/>
  <c r="C8" i="20"/>
  <c r="C9" i="20"/>
  <c r="C10" i="20"/>
  <c r="C11" i="20"/>
  <c r="C12" i="20"/>
  <c r="C13" i="20"/>
  <c r="C14" i="20"/>
  <c r="A3" i="20"/>
  <c r="A4" i="20" s="1"/>
  <c r="A5" i="20" s="1"/>
  <c r="A6" i="20" s="1"/>
  <c r="A7" i="20" s="1"/>
  <c r="A8" i="20" s="1"/>
  <c r="A9" i="20" s="1"/>
  <c r="A10" i="20" s="1"/>
  <c r="A11" i="20" s="1"/>
  <c r="A12" i="20" s="1"/>
  <c r="A13" i="20" s="1"/>
  <c r="A14" i="20" s="1"/>
  <c r="A15" i="20" s="1"/>
  <c r="A16" i="20" s="1"/>
  <c r="B3" i="20"/>
  <c r="B4" i="20"/>
  <c r="B5" i="20"/>
  <c r="B6" i="20"/>
  <c r="B7" i="20"/>
  <c r="B8" i="20"/>
  <c r="B9" i="20"/>
  <c r="B10" i="20"/>
  <c r="B11" i="20"/>
  <c r="B12" i="20"/>
  <c r="B13" i="20"/>
  <c r="B14" i="20"/>
  <c r="P3" i="20"/>
  <c r="P4" i="20"/>
  <c r="P5" i="20"/>
  <c r="P6" i="20"/>
  <c r="P7" i="20"/>
  <c r="P8" i="20"/>
  <c r="P9" i="20"/>
  <c r="P10" i="20"/>
  <c r="P11" i="20"/>
  <c r="P12" i="20"/>
  <c r="P13" i="20"/>
  <c r="P14" i="20"/>
  <c r="Q3" i="20"/>
  <c r="Q4" i="20"/>
  <c r="Q5" i="20"/>
  <c r="Q6" i="20"/>
  <c r="Q7" i="20"/>
  <c r="Q8" i="20"/>
  <c r="Q9" i="20"/>
  <c r="Q10" i="20"/>
  <c r="Q11" i="20"/>
  <c r="Q12" i="20"/>
  <c r="Q13" i="20"/>
  <c r="Q14" i="20"/>
  <c r="R3" i="20"/>
  <c r="R4" i="20"/>
  <c r="R5" i="20"/>
  <c r="R6" i="20"/>
  <c r="R7" i="20"/>
  <c r="R8" i="20"/>
  <c r="R9" i="20"/>
  <c r="R10" i="20"/>
  <c r="R11" i="20"/>
  <c r="R12" i="20"/>
  <c r="R13" i="20"/>
  <c r="R14" i="20"/>
  <c r="AA3" i="20"/>
  <c r="AA4" i="20"/>
  <c r="AA5" i="20"/>
  <c r="AA6" i="20"/>
  <c r="AA7" i="20"/>
  <c r="AA8" i="20"/>
  <c r="AA9" i="20"/>
  <c r="AA10" i="20"/>
  <c r="AA11" i="20"/>
  <c r="AA12" i="20"/>
  <c r="AA13" i="20"/>
  <c r="AA14" i="20"/>
  <c r="AA2" i="20"/>
  <c r="R2" i="20"/>
  <c r="Q2" i="20"/>
  <c r="P2" i="20"/>
  <c r="B2" i="20"/>
  <c r="Q2" i="19"/>
  <c r="Q3" i="19"/>
  <c r="Q4" i="19"/>
  <c r="Q5" i="19"/>
  <c r="Q6" i="19"/>
  <c r="Q7" i="19"/>
  <c r="Q8" i="19"/>
  <c r="Q9" i="19"/>
  <c r="Q10" i="19"/>
  <c r="Q11" i="19"/>
  <c r="Q12" i="19"/>
  <c r="Q13" i="19"/>
  <c r="Q14" i="19"/>
  <c r="Q15" i="19"/>
  <c r="Q16" i="19"/>
  <c r="Q17" i="19"/>
  <c r="Q18" i="19"/>
  <c r="Q19" i="19"/>
  <c r="Q20" i="19"/>
  <c r="Q21" i="19"/>
  <c r="Q22" i="19"/>
  <c r="Q23" i="19"/>
  <c r="Q24" i="19"/>
  <c r="Q25" i="19"/>
  <c r="Q26" i="19"/>
  <c r="Q27" i="19"/>
  <c r="Q28" i="19"/>
  <c r="Q29" i="19"/>
  <c r="Q30" i="19"/>
  <c r="Q31" i="19"/>
  <c r="Q32" i="19"/>
  <c r="Q33" i="19"/>
  <c r="Q34" i="19"/>
  <c r="Q35" i="19"/>
  <c r="Q36" i="19"/>
  <c r="Q37" i="19"/>
  <c r="Q38" i="19"/>
  <c r="Q39" i="19"/>
  <c r="Q40" i="19"/>
  <c r="Q41" i="19"/>
  <c r="Q42" i="19"/>
  <c r="Q43" i="19"/>
  <c r="Q44" i="19"/>
  <c r="Q45" i="19"/>
  <c r="Q46" i="19"/>
  <c r="Q47" i="19"/>
  <c r="Q48" i="19"/>
  <c r="Q49" i="19"/>
  <c r="Q50" i="19"/>
  <c r="Q51" i="19"/>
  <c r="Q52" i="19"/>
  <c r="Q53" i="19"/>
  <c r="Q54" i="19"/>
  <c r="Q55" i="19"/>
  <c r="Q56" i="19"/>
  <c r="Q57" i="19"/>
  <c r="Q58" i="19"/>
  <c r="Q59" i="19"/>
  <c r="Q60" i="19"/>
  <c r="Q61" i="19"/>
  <c r="Q62" i="19"/>
  <c r="Q63" i="19"/>
  <c r="Q64" i="19"/>
  <c r="Q65" i="19"/>
  <c r="Q66" i="19"/>
  <c r="Q67" i="19"/>
  <c r="Q68" i="19"/>
  <c r="Q69" i="19"/>
  <c r="Q70" i="19"/>
  <c r="Q71" i="19"/>
  <c r="Q72" i="19"/>
  <c r="Q73" i="19"/>
  <c r="Q74" i="19"/>
  <c r="Q75" i="19"/>
  <c r="Q76" i="19"/>
  <c r="Q77" i="19"/>
  <c r="Q78" i="19"/>
  <c r="Q79" i="19"/>
  <c r="Q80" i="19"/>
  <c r="Q81" i="19"/>
  <c r="Q82" i="19"/>
  <c r="Q83" i="19"/>
  <c r="Q84" i="19"/>
  <c r="Q85" i="19"/>
  <c r="Q86" i="19"/>
  <c r="Q87" i="19"/>
  <c r="Q88" i="19"/>
  <c r="Q89" i="19"/>
  <c r="Q90" i="19"/>
  <c r="Q91" i="19"/>
  <c r="Q92" i="19"/>
  <c r="Q93" i="19"/>
  <c r="Q94" i="19"/>
  <c r="Q95" i="19"/>
  <c r="Q96" i="19"/>
  <c r="Q97" i="19"/>
  <c r="Q98" i="19"/>
  <c r="Q99" i="19"/>
  <c r="Q100" i="19"/>
  <c r="Q101" i="19"/>
  <c r="Q102" i="19"/>
  <c r="Q103" i="19"/>
  <c r="Q104" i="19"/>
  <c r="Q105" i="19"/>
  <c r="Q106" i="19"/>
  <c r="Q107" i="19"/>
  <c r="Q108" i="19"/>
  <c r="Q109" i="19"/>
  <c r="Q110" i="19"/>
  <c r="Q111" i="19"/>
  <c r="Q112" i="19"/>
  <c r="Q113" i="19"/>
  <c r="Q114" i="19"/>
  <c r="Q115" i="19"/>
  <c r="Q116" i="19"/>
  <c r="Q117" i="19"/>
  <c r="Q118" i="19"/>
  <c r="Q119" i="19"/>
  <c r="Q120" i="19"/>
  <c r="Q121" i="19"/>
  <c r="Q122" i="19"/>
  <c r="Q123" i="19"/>
  <c r="Q124" i="19"/>
  <c r="Q125" i="19"/>
  <c r="Q126" i="19"/>
  <c r="Q127" i="19"/>
  <c r="Q128" i="19"/>
  <c r="Q129" i="19"/>
  <c r="Q130" i="19"/>
  <c r="Q131" i="19"/>
  <c r="Q132" i="19"/>
  <c r="Q133" i="19"/>
  <c r="Q134" i="19"/>
  <c r="Q135" i="19"/>
  <c r="Q136" i="19"/>
  <c r="Q137" i="19"/>
  <c r="Q138" i="19"/>
  <c r="Q139" i="19"/>
  <c r="Q140" i="19"/>
  <c r="Q141" i="19"/>
  <c r="Q142" i="19"/>
  <c r="Q143" i="19"/>
  <c r="Q144" i="19"/>
  <c r="Q145" i="19"/>
  <c r="Q146" i="19"/>
  <c r="Q147" i="19"/>
  <c r="Q148" i="19"/>
  <c r="Q149" i="19"/>
  <c r="Q150" i="19"/>
  <c r="Q151" i="19"/>
  <c r="Q152" i="19"/>
  <c r="Q153" i="19"/>
  <c r="Q154" i="19"/>
  <c r="Q155" i="19"/>
  <c r="Q156" i="19"/>
  <c r="Q157" i="19"/>
  <c r="Q158" i="19"/>
  <c r="Q159" i="19"/>
  <c r="Q160" i="19"/>
  <c r="Q161" i="19"/>
  <c r="Q162" i="19"/>
  <c r="Q163" i="19"/>
  <c r="Q164" i="19"/>
  <c r="Q165" i="19"/>
  <c r="Q166" i="19"/>
  <c r="Q167" i="19"/>
  <c r="Q168" i="19"/>
  <c r="Q169" i="19"/>
  <c r="Q170" i="19"/>
  <c r="Q171" i="19"/>
  <c r="Q172" i="19"/>
  <c r="Q173" i="19"/>
  <c r="Q174" i="19"/>
  <c r="Q175" i="19"/>
  <c r="Q176" i="19"/>
  <c r="Q177" i="19"/>
  <c r="Q178" i="19"/>
  <c r="Q179" i="19"/>
  <c r="Q180" i="19"/>
  <c r="Q181" i="19"/>
  <c r="Q182" i="19"/>
  <c r="Q183" i="19"/>
  <c r="Q184" i="19"/>
  <c r="Q185" i="19"/>
  <c r="Q186" i="19"/>
  <c r="Q187" i="19"/>
  <c r="Q188" i="19"/>
  <c r="Q189" i="19"/>
  <c r="Q190" i="19"/>
  <c r="Q191" i="19"/>
  <c r="Q192" i="19"/>
  <c r="Q193" i="19"/>
  <c r="Q194" i="19"/>
  <c r="Q195" i="19"/>
  <c r="Q196" i="19"/>
  <c r="Q197" i="19"/>
  <c r="Q198" i="19"/>
  <c r="Q199" i="19"/>
  <c r="Q200" i="19"/>
  <c r="Q201" i="19"/>
  <c r="Q202" i="19"/>
  <c r="Q203" i="19"/>
  <c r="Q204" i="19"/>
  <c r="Q205" i="19"/>
  <c r="Q206" i="19"/>
  <c r="Q207" i="19"/>
  <c r="Q208" i="19"/>
  <c r="Q209" i="19"/>
  <c r="Q210" i="19"/>
  <c r="Q211" i="19"/>
  <c r="Q212" i="19"/>
  <c r="Q213" i="19"/>
  <c r="Q214" i="19"/>
  <c r="Q215" i="19"/>
  <c r="Q216" i="19"/>
  <c r="Q217" i="19"/>
  <c r="Q218" i="19"/>
  <c r="Q219" i="19"/>
  <c r="Q220" i="19"/>
  <c r="Q221" i="19"/>
  <c r="Q222" i="19"/>
  <c r="Q223" i="19"/>
  <c r="Q224" i="19"/>
  <c r="Q225" i="19"/>
  <c r="Q226" i="19"/>
  <c r="Q227" i="19"/>
  <c r="Q228" i="19"/>
  <c r="Q229" i="19"/>
  <c r="Q230" i="19"/>
  <c r="Q231" i="19"/>
  <c r="Q232" i="19"/>
  <c r="Q233" i="19"/>
  <c r="Q234" i="19"/>
  <c r="Q235" i="19"/>
  <c r="Q236" i="19"/>
  <c r="Q237" i="19"/>
  <c r="Q238" i="19"/>
  <c r="Q239" i="19"/>
  <c r="Q240" i="19"/>
  <c r="Q241" i="19"/>
  <c r="Q242" i="19"/>
  <c r="Q243" i="19"/>
  <c r="Q244" i="19"/>
  <c r="Q245" i="19"/>
  <c r="Q246" i="19"/>
  <c r="Q247" i="19"/>
  <c r="Q248" i="19"/>
  <c r="Q249" i="19"/>
  <c r="Q250" i="19"/>
  <c r="Q251" i="19"/>
  <c r="Q252" i="19"/>
  <c r="Q253" i="19"/>
  <c r="Q254" i="19"/>
  <c r="Q255" i="19"/>
  <c r="Q256" i="19"/>
  <c r="Q257" i="19"/>
  <c r="Q258" i="19"/>
  <c r="Q259" i="19"/>
  <c r="Q260" i="19"/>
  <c r="Q261" i="19"/>
  <c r="Q262" i="19"/>
  <c r="Q263" i="19"/>
  <c r="Q264" i="19"/>
  <c r="Q265" i="19"/>
  <c r="Q266" i="19"/>
  <c r="Q267" i="19"/>
  <c r="Q268" i="19"/>
  <c r="Q269" i="19"/>
  <c r="Q270" i="19"/>
  <c r="Q271" i="19"/>
  <c r="Q272" i="19"/>
  <c r="Q273" i="19"/>
  <c r="Q274" i="19"/>
  <c r="Q275" i="19"/>
  <c r="Q276" i="19"/>
  <c r="Q277" i="19"/>
  <c r="Q278" i="19"/>
  <c r="Q279" i="19"/>
  <c r="Q280" i="19"/>
  <c r="Q281" i="19"/>
  <c r="Q282" i="19"/>
  <c r="Q283" i="19"/>
  <c r="Q284" i="19"/>
  <c r="Q285" i="19"/>
  <c r="Q286" i="19"/>
  <c r="Q287" i="19"/>
  <c r="Q288" i="19"/>
  <c r="Q289" i="19"/>
  <c r="Q290" i="19"/>
  <c r="Q291" i="19"/>
  <c r="Q292" i="19"/>
  <c r="Q293" i="19"/>
  <c r="Q294" i="19"/>
  <c r="Q295" i="19"/>
  <c r="Q296" i="19"/>
  <c r="Q297" i="19"/>
  <c r="Q298" i="19"/>
  <c r="Q299" i="19"/>
  <c r="Q300" i="19"/>
  <c r="Q301" i="19"/>
  <c r="Q302" i="19"/>
  <c r="Q303" i="19"/>
  <c r="Q304" i="19"/>
  <c r="Q305" i="19"/>
  <c r="Q306" i="19"/>
  <c r="Q307" i="19"/>
  <c r="Q308" i="19"/>
  <c r="Q309" i="19"/>
  <c r="Q310" i="19"/>
  <c r="Q311" i="19"/>
  <c r="Q312" i="19"/>
  <c r="Q313" i="19"/>
  <c r="Q314" i="19"/>
  <c r="Q315" i="19"/>
  <c r="Q316" i="19"/>
  <c r="Q317" i="19"/>
  <c r="Q318" i="19"/>
  <c r="Q319" i="19"/>
  <c r="Q320" i="19"/>
  <c r="Q321" i="19"/>
  <c r="Q322" i="19"/>
  <c r="Q323" i="19"/>
  <c r="Q324" i="19"/>
  <c r="Q325" i="19"/>
  <c r="Q326" i="19"/>
  <c r="Q327" i="19"/>
  <c r="Q328" i="19"/>
  <c r="Q329" i="19"/>
  <c r="Q330" i="19"/>
  <c r="Q331" i="19"/>
  <c r="Q332" i="19"/>
  <c r="Q333" i="19"/>
  <c r="Q334" i="19"/>
  <c r="Q335" i="19"/>
  <c r="Q336" i="19"/>
  <c r="Q337" i="19"/>
  <c r="Q338" i="19"/>
  <c r="Q339" i="19"/>
  <c r="Q340" i="19"/>
  <c r="Q341" i="19"/>
  <c r="Q342" i="19"/>
  <c r="Q343" i="19"/>
  <c r="Q344" i="19"/>
  <c r="Q345" i="19"/>
  <c r="Q346" i="19"/>
  <c r="Q347" i="19"/>
  <c r="Q348" i="19"/>
  <c r="Q349" i="19"/>
  <c r="Q350" i="19"/>
  <c r="Q351" i="19"/>
  <c r="Q352" i="19"/>
  <c r="Q353" i="19"/>
  <c r="Q354" i="19"/>
  <c r="Q355" i="19"/>
  <c r="Q356" i="19"/>
  <c r="Q357" i="19"/>
  <c r="Q358" i="19"/>
  <c r="Q359" i="19"/>
  <c r="Q360" i="19"/>
  <c r="Q361" i="19"/>
  <c r="Q362" i="19"/>
  <c r="Q363" i="19"/>
  <c r="Q364" i="19"/>
  <c r="Q365" i="19"/>
  <c r="Q366" i="19"/>
  <c r="Q367" i="19"/>
  <c r="Q368" i="19"/>
  <c r="Q369" i="19"/>
  <c r="Q370" i="19"/>
  <c r="Q371" i="19"/>
  <c r="Q372" i="19"/>
  <c r="Q373" i="19"/>
  <c r="Q374" i="19"/>
  <c r="Q375" i="19"/>
  <c r="Q376" i="19"/>
  <c r="Q377" i="19"/>
  <c r="Q378" i="19"/>
  <c r="Q379" i="19"/>
  <c r="Q380" i="19"/>
  <c r="Q381" i="19"/>
  <c r="Q382" i="19"/>
  <c r="Q383" i="19"/>
  <c r="Q384" i="19"/>
  <c r="Q385" i="19"/>
  <c r="Q386" i="19"/>
  <c r="Q387" i="19"/>
  <c r="Q388" i="19"/>
  <c r="Q389" i="19"/>
  <c r="Q390" i="19"/>
  <c r="Q391" i="19"/>
  <c r="Q392" i="19"/>
  <c r="Q393" i="19"/>
  <c r="Q394" i="19"/>
  <c r="Q395" i="19"/>
  <c r="Q396" i="19"/>
  <c r="Q397" i="19"/>
  <c r="Q398" i="19"/>
  <c r="Q399" i="19"/>
  <c r="Q400" i="19"/>
  <c r="Q401" i="19"/>
  <c r="Q402" i="19"/>
  <c r="Q403" i="19"/>
  <c r="Q404" i="19"/>
  <c r="Q405" i="19"/>
  <c r="Q406" i="19"/>
  <c r="Q407" i="19"/>
  <c r="Q408" i="19"/>
  <c r="Q409" i="19"/>
  <c r="Q410" i="19"/>
  <c r="Q411" i="19"/>
  <c r="Q412" i="19"/>
  <c r="Q413" i="19"/>
  <c r="Q414" i="19"/>
  <c r="Q415" i="19"/>
  <c r="Q416" i="19"/>
  <c r="Q417" i="19"/>
  <c r="Q418" i="19"/>
  <c r="Q419" i="19"/>
  <c r="Q420" i="19"/>
  <c r="Q421" i="19"/>
  <c r="Q422" i="19"/>
  <c r="Q423" i="19"/>
  <c r="Q424" i="19"/>
  <c r="Q425" i="19"/>
  <c r="Q426" i="19"/>
  <c r="Q427" i="19"/>
  <c r="Q428" i="19"/>
  <c r="Q429" i="19"/>
  <c r="Q430" i="19"/>
  <c r="Q431" i="19"/>
  <c r="Q432" i="19"/>
  <c r="Q433" i="19"/>
  <c r="Q434" i="19"/>
  <c r="Q435" i="19"/>
  <c r="Q436" i="19"/>
  <c r="Q437" i="19"/>
  <c r="Q438" i="19"/>
  <c r="Q439" i="19"/>
  <c r="Q440" i="19"/>
  <c r="Q441" i="19"/>
  <c r="Q442" i="19"/>
  <c r="Q443" i="19"/>
  <c r="Q444" i="19"/>
  <c r="Q445" i="19"/>
  <c r="Q446" i="19"/>
  <c r="Q447" i="19"/>
  <c r="Q448" i="19"/>
  <c r="Q449" i="19"/>
  <c r="Q450" i="19"/>
  <c r="Q451" i="19"/>
  <c r="Q452" i="19"/>
  <c r="Q453" i="19"/>
  <c r="Q454" i="19"/>
  <c r="Q455" i="19"/>
  <c r="Q456" i="19"/>
  <c r="Q457" i="19"/>
  <c r="Q458" i="19"/>
  <c r="Q459" i="19"/>
  <c r="Q460" i="19"/>
  <c r="Q461" i="19"/>
  <c r="Q462" i="19"/>
  <c r="Q463" i="19"/>
  <c r="Q464" i="19"/>
  <c r="Q465" i="19"/>
  <c r="Q466" i="19"/>
  <c r="Q467" i="19"/>
  <c r="Q468" i="19"/>
  <c r="Q469" i="19"/>
  <c r="Q470" i="19"/>
  <c r="Q471" i="19"/>
  <c r="Q472" i="19"/>
  <c r="Q473" i="19"/>
  <c r="Q474" i="19"/>
  <c r="Q475" i="19"/>
  <c r="Q476" i="19"/>
  <c r="Q477" i="19"/>
  <c r="Q478" i="19"/>
  <c r="Q479" i="19"/>
  <c r="Q480" i="19"/>
  <c r="Q481" i="19"/>
  <c r="Q482" i="19"/>
  <c r="Q483" i="19"/>
  <c r="Q484" i="19"/>
  <c r="Q485" i="19"/>
  <c r="Q486" i="19"/>
  <c r="Q487" i="19"/>
  <c r="Q488" i="19"/>
  <c r="Q489" i="19"/>
  <c r="Q490" i="19"/>
  <c r="Q491" i="19"/>
  <c r="Q492" i="19"/>
  <c r="Q493" i="19"/>
  <c r="Q494" i="19"/>
  <c r="Q495" i="19"/>
  <c r="Q496" i="19"/>
  <c r="Q497" i="19"/>
  <c r="Q498" i="19"/>
  <c r="Q499" i="19"/>
  <c r="Q500" i="19"/>
  <c r="Q501" i="19"/>
  <c r="Q502" i="19"/>
  <c r="Q503" i="19"/>
  <c r="Q504" i="19"/>
  <c r="Q505" i="19"/>
  <c r="Q506" i="19"/>
  <c r="Q507" i="19"/>
  <c r="Q508" i="19"/>
  <c r="Q509" i="19"/>
  <c r="Q510" i="19"/>
  <c r="Q511" i="19"/>
  <c r="Q512" i="19"/>
  <c r="Q513" i="19"/>
  <c r="Q514" i="19"/>
  <c r="Q515" i="19"/>
  <c r="Q516" i="19"/>
  <c r="Q517" i="19"/>
  <c r="Q518" i="19"/>
  <c r="Q519" i="19"/>
  <c r="Q520" i="19"/>
  <c r="Q521" i="19"/>
  <c r="Q522" i="19"/>
  <c r="Q523" i="19"/>
  <c r="Q524" i="19"/>
  <c r="Q525" i="19"/>
  <c r="Q526" i="19"/>
  <c r="Q527" i="19"/>
  <c r="Q528" i="19"/>
  <c r="Q529" i="19"/>
  <c r="Q530" i="19"/>
  <c r="Q531" i="19"/>
  <c r="Q532" i="19"/>
  <c r="Q533" i="19"/>
  <c r="Q534" i="19"/>
  <c r="Q535" i="19"/>
  <c r="Q536" i="19"/>
  <c r="Q537" i="19"/>
  <c r="Q538" i="19"/>
  <c r="Q539" i="19"/>
  <c r="Q540" i="19"/>
  <c r="Q541" i="19"/>
  <c r="Q542" i="19"/>
  <c r="Q543" i="19"/>
  <c r="Q544" i="19"/>
  <c r="Q545" i="19"/>
  <c r="Q546" i="19"/>
  <c r="Q547" i="19"/>
  <c r="Q548" i="19"/>
  <c r="Q549" i="19"/>
  <c r="Q550" i="19"/>
  <c r="Q551" i="19"/>
  <c r="Q552" i="19"/>
  <c r="Q553" i="19"/>
  <c r="Q554" i="19"/>
  <c r="Q555" i="19"/>
  <c r="Q556" i="19"/>
  <c r="Q557" i="19"/>
  <c r="Q558" i="19"/>
  <c r="Q559" i="19"/>
  <c r="Q560" i="19"/>
  <c r="Q561" i="19"/>
  <c r="Q562" i="19"/>
  <c r="Q563" i="19"/>
  <c r="Q564" i="19"/>
  <c r="Q565" i="19"/>
  <c r="Q566" i="19"/>
  <c r="Q567" i="19"/>
  <c r="Q568" i="19"/>
  <c r="Q569" i="19"/>
  <c r="Q570" i="19"/>
  <c r="Q571" i="19"/>
  <c r="Q572" i="19"/>
  <c r="Q573" i="19"/>
  <c r="Q574" i="19"/>
  <c r="Q575" i="19"/>
  <c r="Q576" i="19"/>
  <c r="Q577" i="19"/>
  <c r="Q578" i="19"/>
  <c r="Q579" i="19"/>
  <c r="Q580" i="19"/>
  <c r="Q581" i="19"/>
  <c r="Q582" i="19"/>
  <c r="Q583" i="19"/>
  <c r="Q584" i="19"/>
  <c r="Q585" i="19"/>
  <c r="Q586" i="19"/>
  <c r="Q587" i="19"/>
  <c r="Q588" i="19"/>
  <c r="Q589" i="19"/>
  <c r="Q590" i="19"/>
  <c r="Q591" i="19"/>
  <c r="Q592" i="19"/>
  <c r="Q593" i="19"/>
  <c r="Q594" i="19"/>
  <c r="Q595" i="19"/>
  <c r="Q596" i="19"/>
  <c r="Q597" i="19"/>
  <c r="Q598" i="19"/>
  <c r="Q599" i="19"/>
  <c r="Q600" i="19"/>
  <c r="Q601" i="19"/>
  <c r="Q602" i="19"/>
  <c r="Q603" i="19"/>
  <c r="Q604" i="19"/>
  <c r="Q605" i="19"/>
  <c r="Q606" i="19"/>
  <c r="Q607" i="19"/>
  <c r="Q608" i="19"/>
  <c r="Q609" i="19"/>
  <c r="Q610" i="19"/>
  <c r="Q611" i="19"/>
  <c r="Q612" i="19"/>
  <c r="Q613" i="19"/>
  <c r="Q614" i="19"/>
  <c r="Q615" i="19"/>
  <c r="Q616" i="19"/>
  <c r="Q617" i="19"/>
  <c r="Q618" i="19"/>
  <c r="Q619" i="19"/>
  <c r="Q620" i="19"/>
  <c r="Q621" i="19"/>
  <c r="Q622" i="19"/>
  <c r="Q623" i="19"/>
  <c r="Q624" i="19"/>
  <c r="Q625" i="19"/>
  <c r="Q626" i="19"/>
  <c r="Q627" i="19"/>
  <c r="Q628" i="19"/>
  <c r="Q629" i="19"/>
  <c r="Q630" i="19"/>
  <c r="Q631" i="19"/>
  <c r="Q632" i="19"/>
  <c r="Q633" i="19"/>
  <c r="Q634" i="19"/>
  <c r="Q635" i="19"/>
  <c r="Q636" i="19"/>
  <c r="Q637" i="19"/>
  <c r="Q638" i="19"/>
  <c r="Q639" i="19"/>
  <c r="Q640" i="19"/>
  <c r="Q641" i="19"/>
  <c r="Q642" i="19"/>
  <c r="Q643" i="19"/>
  <c r="Q644" i="19"/>
  <c r="Q645" i="19"/>
  <c r="Q646" i="19"/>
  <c r="Q647" i="19"/>
  <c r="Q648" i="19"/>
  <c r="Q649" i="19"/>
  <c r="Q650" i="19"/>
  <c r="Q651" i="19"/>
  <c r="Q652" i="19"/>
  <c r="Q653" i="19"/>
  <c r="Q654" i="19"/>
  <c r="Q655" i="19"/>
  <c r="Q656" i="19"/>
  <c r="Q657" i="19"/>
  <c r="Q658" i="19"/>
  <c r="Q659" i="19"/>
  <c r="Q660" i="19"/>
  <c r="Q661" i="19"/>
  <c r="Q662" i="19"/>
  <c r="Q663" i="19"/>
  <c r="Q664" i="19"/>
  <c r="Q665" i="19"/>
  <c r="Q666" i="19"/>
  <c r="Q667" i="19"/>
  <c r="Q668" i="19"/>
  <c r="Q669" i="19"/>
  <c r="Q670" i="19"/>
  <c r="Q671" i="19"/>
  <c r="Q672" i="19"/>
  <c r="Q673" i="19"/>
  <c r="Q674" i="19"/>
  <c r="Q675" i="19"/>
  <c r="Q676" i="19"/>
  <c r="Q677" i="19"/>
  <c r="Q678" i="19"/>
  <c r="Q679" i="19"/>
  <c r="Q680" i="19"/>
  <c r="Q681" i="19"/>
  <c r="Q682" i="19"/>
  <c r="Q683" i="19"/>
  <c r="Q684" i="19"/>
  <c r="Q685" i="19"/>
  <c r="Q686" i="19"/>
  <c r="Q687" i="19"/>
  <c r="Q688" i="19"/>
  <c r="Q689" i="19"/>
  <c r="Q690" i="19"/>
  <c r="Q691" i="19"/>
  <c r="Q692" i="19"/>
  <c r="Q693" i="19"/>
  <c r="Q694" i="19"/>
  <c r="Q695" i="19"/>
  <c r="Q696" i="19"/>
  <c r="Q697" i="19"/>
  <c r="Q698" i="19"/>
  <c r="Q699" i="19"/>
  <c r="Q700" i="19"/>
  <c r="Q701" i="19"/>
  <c r="Q702" i="19"/>
  <c r="Q703" i="19"/>
  <c r="Q704" i="19"/>
  <c r="Q705" i="19"/>
  <c r="Q706" i="19"/>
  <c r="Q707" i="19"/>
  <c r="Q708" i="19"/>
  <c r="Q709" i="19"/>
  <c r="Q710" i="19"/>
  <c r="Q711" i="19"/>
  <c r="Q712" i="19"/>
  <c r="Q713" i="19"/>
  <c r="Q714" i="19"/>
  <c r="Q715" i="19"/>
  <c r="Q716" i="19"/>
  <c r="Q717" i="19"/>
  <c r="Q718" i="19"/>
  <c r="Q719" i="19"/>
  <c r="Q720" i="19"/>
  <c r="Q721" i="19"/>
  <c r="Q722" i="19"/>
  <c r="Q723" i="19"/>
  <c r="Q724" i="19"/>
  <c r="Q725" i="19"/>
  <c r="Q726" i="19"/>
  <c r="Q727" i="19"/>
  <c r="Q728" i="19"/>
  <c r="Q729" i="19"/>
  <c r="Q730" i="19"/>
  <c r="Q731" i="19"/>
  <c r="Q732" i="19"/>
  <c r="Q733" i="19"/>
  <c r="Q734" i="19"/>
  <c r="Q735" i="19"/>
  <c r="Q736" i="19"/>
  <c r="Q737" i="19"/>
  <c r="Q738" i="19"/>
  <c r="Q739" i="19"/>
  <c r="Q740" i="19"/>
  <c r="Q741" i="19"/>
  <c r="Q742" i="19"/>
  <c r="Q743" i="19"/>
  <c r="Q744" i="19"/>
  <c r="Q745" i="19"/>
  <c r="Q746" i="19"/>
  <c r="Q747" i="19"/>
  <c r="Q748" i="19"/>
  <c r="Q749" i="19"/>
  <c r="Q750" i="19"/>
  <c r="Q751" i="19"/>
  <c r="Q752" i="19"/>
  <c r="Q753" i="19"/>
  <c r="Q754" i="19"/>
  <c r="Q755" i="19"/>
  <c r="Q756" i="19"/>
  <c r="Q757" i="19"/>
  <c r="Q758" i="19"/>
  <c r="Q759" i="19"/>
  <c r="Q760" i="19"/>
  <c r="Q761" i="19"/>
  <c r="Q762" i="19"/>
  <c r="Q763" i="19"/>
  <c r="Q764" i="19"/>
  <c r="Q765" i="19"/>
  <c r="Q766" i="19"/>
  <c r="Q767" i="19"/>
  <c r="Q768" i="19"/>
  <c r="Q769" i="19"/>
  <c r="Q770" i="19"/>
  <c r="Q771" i="19"/>
  <c r="Q772" i="19"/>
  <c r="Q773" i="19"/>
  <c r="Q774" i="19"/>
  <c r="Q775" i="19"/>
  <c r="Q776" i="19"/>
  <c r="Q777" i="19"/>
  <c r="Q778" i="19"/>
  <c r="Q779" i="19"/>
  <c r="Q780" i="19"/>
  <c r="Q781" i="19"/>
  <c r="Q782" i="19"/>
  <c r="Q783" i="19"/>
  <c r="Q784" i="19"/>
  <c r="Q785" i="19"/>
  <c r="Q786" i="19"/>
  <c r="Q787" i="19"/>
  <c r="Q788" i="19"/>
  <c r="Q789" i="19"/>
  <c r="Q790" i="19"/>
  <c r="Q791" i="19"/>
  <c r="Q792" i="19"/>
  <c r="Q793" i="19"/>
  <c r="Q794" i="19"/>
  <c r="Q795" i="19"/>
  <c r="Q796" i="19"/>
  <c r="Q797" i="19"/>
  <c r="Q798" i="19"/>
  <c r="Q799" i="19"/>
  <c r="Q800" i="19"/>
  <c r="Q801" i="19"/>
  <c r="Q802" i="19"/>
  <c r="Q803" i="19"/>
  <c r="Q804" i="19"/>
  <c r="Q805" i="19"/>
  <c r="Q806" i="19"/>
  <c r="Q807" i="19"/>
  <c r="Q808" i="19"/>
  <c r="Q809" i="19"/>
  <c r="Q810" i="19"/>
  <c r="Q811" i="19"/>
  <c r="Q812" i="19"/>
  <c r="Q813" i="19"/>
  <c r="Q814" i="19"/>
  <c r="Q815" i="19"/>
  <c r="Q816" i="19"/>
  <c r="Q817" i="19"/>
  <c r="Q818" i="19"/>
  <c r="Q819" i="19"/>
  <c r="Q820" i="19"/>
  <c r="Q821" i="19"/>
  <c r="Q822" i="19"/>
  <c r="Q823" i="19"/>
  <c r="Q824" i="19"/>
  <c r="Q825" i="19"/>
  <c r="Q826" i="19"/>
  <c r="Q827" i="19"/>
  <c r="Q828" i="19"/>
  <c r="Q829" i="19"/>
  <c r="Q830" i="19"/>
  <c r="Q831" i="19"/>
  <c r="Q832" i="19"/>
  <c r="Q833" i="19"/>
  <c r="Q834" i="19"/>
  <c r="Q835" i="19"/>
  <c r="Q836" i="19"/>
  <c r="Q837" i="19"/>
  <c r="Q838" i="19"/>
  <c r="Q839" i="19"/>
  <c r="Q840" i="19"/>
  <c r="Q841" i="19"/>
  <c r="Q842" i="19"/>
  <c r="Q843" i="19"/>
  <c r="Q844" i="19"/>
  <c r="Q845" i="19"/>
  <c r="Q846" i="19"/>
  <c r="Q847" i="19"/>
  <c r="Q848" i="19"/>
  <c r="Q849" i="19"/>
  <c r="Q850" i="19"/>
  <c r="Q851" i="19"/>
  <c r="Q852" i="19"/>
  <c r="Q853" i="19"/>
  <c r="Q854" i="19"/>
  <c r="Q855" i="19"/>
  <c r="Q856" i="19"/>
  <c r="Q857" i="19"/>
  <c r="Q858" i="19"/>
  <c r="Q859" i="19"/>
  <c r="Q860" i="19"/>
  <c r="Q861" i="19"/>
  <c r="Q862" i="19"/>
  <c r="Q863" i="19"/>
  <c r="Q864" i="19"/>
  <c r="Q865" i="19"/>
  <c r="Q866" i="19"/>
  <c r="Q867" i="19"/>
  <c r="Q868" i="19"/>
  <c r="Q869" i="19"/>
  <c r="Q870" i="19"/>
  <c r="Q871" i="19"/>
  <c r="Q872" i="19"/>
  <c r="Q873" i="19"/>
  <c r="Q874" i="19"/>
  <c r="Q875" i="19"/>
  <c r="Q876" i="19"/>
  <c r="Q877" i="19"/>
  <c r="Q878" i="19"/>
  <c r="Q879" i="19"/>
  <c r="Q880" i="19"/>
  <c r="Q881" i="19"/>
  <c r="Q882" i="19"/>
  <c r="Q883" i="19"/>
  <c r="Q884" i="19"/>
  <c r="Q885" i="19"/>
  <c r="Q886" i="19"/>
  <c r="Q887" i="19"/>
  <c r="Q888" i="19"/>
  <c r="Q889" i="19"/>
  <c r="Q890" i="19"/>
  <c r="Q891" i="19"/>
  <c r="Q892" i="19"/>
  <c r="Q893" i="19"/>
  <c r="Q894" i="19"/>
  <c r="Q895" i="19"/>
  <c r="Q896" i="19"/>
  <c r="Q897" i="19"/>
  <c r="Q898" i="19"/>
  <c r="Q899" i="19"/>
  <c r="Q900" i="19"/>
  <c r="Q901" i="19"/>
  <c r="Q902" i="19"/>
  <c r="Q903" i="19"/>
  <c r="Q904" i="19"/>
  <c r="Q905" i="19"/>
  <c r="Q906" i="19"/>
  <c r="Q907" i="19"/>
  <c r="Q908" i="19"/>
  <c r="Q909" i="19"/>
  <c r="Q910" i="19"/>
  <c r="Q911" i="19"/>
  <c r="Q912" i="19"/>
  <c r="Q913" i="19"/>
  <c r="Q914" i="19"/>
  <c r="Q915" i="19"/>
  <c r="Q916" i="19"/>
  <c r="Q917" i="19"/>
  <c r="Q918" i="19"/>
  <c r="Q919" i="19"/>
  <c r="Q920" i="19"/>
  <c r="Q921" i="19"/>
  <c r="Q922" i="19"/>
  <c r="Q923" i="19"/>
  <c r="Q924" i="19"/>
  <c r="Q925" i="19"/>
  <c r="Q926" i="19"/>
  <c r="O3" i="19"/>
  <c r="P3" i="19"/>
  <c r="O4" i="19"/>
  <c r="P4" i="19"/>
  <c r="O5" i="19"/>
  <c r="P5" i="19"/>
  <c r="O6" i="19"/>
  <c r="P6" i="19"/>
  <c r="O7" i="19"/>
  <c r="P7" i="19"/>
  <c r="O8" i="19"/>
  <c r="P8" i="19"/>
  <c r="O9" i="19"/>
  <c r="P9" i="19"/>
  <c r="O10" i="19"/>
  <c r="P10" i="19"/>
  <c r="O11" i="19"/>
  <c r="P11" i="19"/>
  <c r="O12" i="19"/>
  <c r="P12" i="19"/>
  <c r="O13" i="19"/>
  <c r="P13" i="19"/>
  <c r="O14" i="19"/>
  <c r="P14" i="19"/>
  <c r="O15" i="19"/>
  <c r="P15" i="19"/>
  <c r="O16" i="19"/>
  <c r="P16" i="19"/>
  <c r="O17" i="19"/>
  <c r="P17" i="19"/>
  <c r="O18" i="19"/>
  <c r="P18" i="19"/>
  <c r="O19" i="19"/>
  <c r="P19" i="19"/>
  <c r="O20" i="19"/>
  <c r="P20" i="19"/>
  <c r="O21" i="19"/>
  <c r="P21" i="19"/>
  <c r="O22" i="19"/>
  <c r="P22" i="19"/>
  <c r="O23" i="19"/>
  <c r="P23" i="19"/>
  <c r="O24" i="19"/>
  <c r="P24" i="19"/>
  <c r="O25" i="19"/>
  <c r="P25" i="19"/>
  <c r="O26" i="19"/>
  <c r="P26" i="19"/>
  <c r="O27" i="19"/>
  <c r="P27" i="19"/>
  <c r="O28" i="19"/>
  <c r="P28" i="19"/>
  <c r="O29" i="19"/>
  <c r="P29" i="19"/>
  <c r="O30" i="19"/>
  <c r="P30" i="19"/>
  <c r="O31" i="19"/>
  <c r="P31" i="19"/>
  <c r="O32" i="19"/>
  <c r="P32" i="19"/>
  <c r="O33" i="19"/>
  <c r="P33" i="19"/>
  <c r="O34" i="19"/>
  <c r="P34" i="19"/>
  <c r="O35" i="19"/>
  <c r="P35" i="19"/>
  <c r="O36" i="19"/>
  <c r="P36" i="19"/>
  <c r="O37" i="19"/>
  <c r="P37" i="19"/>
  <c r="O38" i="19"/>
  <c r="P38" i="19"/>
  <c r="O39" i="19"/>
  <c r="P39" i="19"/>
  <c r="O40" i="19"/>
  <c r="P40" i="19"/>
  <c r="O41" i="19"/>
  <c r="P41" i="19"/>
  <c r="O42" i="19"/>
  <c r="P42" i="19"/>
  <c r="O43" i="19"/>
  <c r="P43" i="19"/>
  <c r="O44" i="19"/>
  <c r="P44" i="19"/>
  <c r="O45" i="19"/>
  <c r="P45" i="19"/>
  <c r="O46" i="19"/>
  <c r="P46" i="19"/>
  <c r="O47" i="19"/>
  <c r="P47" i="19"/>
  <c r="O48" i="19"/>
  <c r="P48" i="19"/>
  <c r="O49" i="19"/>
  <c r="P49" i="19"/>
  <c r="O50" i="19"/>
  <c r="P50" i="19"/>
  <c r="O51" i="19"/>
  <c r="P51" i="19"/>
  <c r="O52" i="19"/>
  <c r="P52" i="19"/>
  <c r="O53" i="19"/>
  <c r="P53" i="19"/>
  <c r="O54" i="19"/>
  <c r="P54" i="19"/>
  <c r="O55" i="19"/>
  <c r="P55" i="19"/>
  <c r="O56" i="19"/>
  <c r="P56" i="19"/>
  <c r="O57" i="19"/>
  <c r="P57" i="19"/>
  <c r="O58" i="19"/>
  <c r="P58" i="19"/>
  <c r="O59" i="19"/>
  <c r="P59" i="19"/>
  <c r="O60" i="19"/>
  <c r="P60" i="19"/>
  <c r="O61" i="19"/>
  <c r="P61" i="19"/>
  <c r="O62" i="19"/>
  <c r="P62" i="19"/>
  <c r="O63" i="19"/>
  <c r="P63" i="19"/>
  <c r="O64" i="19"/>
  <c r="P64" i="19"/>
  <c r="O65" i="19"/>
  <c r="P65" i="19"/>
  <c r="O66" i="19"/>
  <c r="P66" i="19"/>
  <c r="O67" i="19"/>
  <c r="P67" i="19"/>
  <c r="O68" i="19"/>
  <c r="P68" i="19"/>
  <c r="O69" i="19"/>
  <c r="P69" i="19"/>
  <c r="O70" i="19"/>
  <c r="P70" i="19"/>
  <c r="O71" i="19"/>
  <c r="P71" i="19"/>
  <c r="O72" i="19"/>
  <c r="P72" i="19"/>
  <c r="O73" i="19"/>
  <c r="P73" i="19"/>
  <c r="O74" i="19"/>
  <c r="P74" i="19"/>
  <c r="O75" i="19"/>
  <c r="P75" i="19"/>
  <c r="O76" i="19"/>
  <c r="P76" i="19"/>
  <c r="O77" i="19"/>
  <c r="P77" i="19"/>
  <c r="O78" i="19"/>
  <c r="P78" i="19"/>
  <c r="O79" i="19"/>
  <c r="P79" i="19"/>
  <c r="O80" i="19"/>
  <c r="P80" i="19"/>
  <c r="O81" i="19"/>
  <c r="P81" i="19"/>
  <c r="O82" i="19"/>
  <c r="P82" i="19"/>
  <c r="O83" i="19"/>
  <c r="P83" i="19"/>
  <c r="O84" i="19"/>
  <c r="P84" i="19"/>
  <c r="O85" i="19"/>
  <c r="P85" i="19"/>
  <c r="O86" i="19"/>
  <c r="P86" i="19"/>
  <c r="O87" i="19"/>
  <c r="P87" i="19"/>
  <c r="O88" i="19"/>
  <c r="P88" i="19"/>
  <c r="O89" i="19"/>
  <c r="P89" i="19"/>
  <c r="O90" i="19"/>
  <c r="P90" i="19"/>
  <c r="O91" i="19"/>
  <c r="P91" i="19"/>
  <c r="O92" i="19"/>
  <c r="P92" i="19"/>
  <c r="O93" i="19"/>
  <c r="P93" i="19"/>
  <c r="O94" i="19"/>
  <c r="P94" i="19"/>
  <c r="O95" i="19"/>
  <c r="P95" i="19"/>
  <c r="O96" i="19"/>
  <c r="P96" i="19"/>
  <c r="O97" i="19"/>
  <c r="P97" i="19"/>
  <c r="O98" i="19"/>
  <c r="P98" i="19"/>
  <c r="O99" i="19"/>
  <c r="P99" i="19"/>
  <c r="O100" i="19"/>
  <c r="P100" i="19"/>
  <c r="O101" i="19"/>
  <c r="P101" i="19"/>
  <c r="O102" i="19"/>
  <c r="P102" i="19"/>
  <c r="O103" i="19"/>
  <c r="P103" i="19"/>
  <c r="O104" i="19"/>
  <c r="P104" i="19"/>
  <c r="O105" i="19"/>
  <c r="P105" i="19"/>
  <c r="O106" i="19"/>
  <c r="P106" i="19"/>
  <c r="O107" i="19"/>
  <c r="P107" i="19"/>
  <c r="O108" i="19"/>
  <c r="P108" i="19"/>
  <c r="O109" i="19"/>
  <c r="P109" i="19"/>
  <c r="O110" i="19"/>
  <c r="P110" i="19"/>
  <c r="O111" i="19"/>
  <c r="P111" i="19"/>
  <c r="O112" i="19"/>
  <c r="P112" i="19"/>
  <c r="O113" i="19"/>
  <c r="P113" i="19"/>
  <c r="O114" i="19"/>
  <c r="P114" i="19"/>
  <c r="O115" i="19"/>
  <c r="P115" i="19"/>
  <c r="O116" i="19"/>
  <c r="P116" i="19"/>
  <c r="O117" i="19"/>
  <c r="P117" i="19"/>
  <c r="O118" i="19"/>
  <c r="P118" i="19"/>
  <c r="O119" i="19"/>
  <c r="P119" i="19"/>
  <c r="O120" i="19"/>
  <c r="P120" i="19"/>
  <c r="O121" i="19"/>
  <c r="P121" i="19"/>
  <c r="O122" i="19"/>
  <c r="P122" i="19"/>
  <c r="O123" i="19"/>
  <c r="P123" i="19"/>
  <c r="O124" i="19"/>
  <c r="P124" i="19"/>
  <c r="O125" i="19"/>
  <c r="P125" i="19"/>
  <c r="O126" i="19"/>
  <c r="P126" i="19"/>
  <c r="O127" i="19"/>
  <c r="P127" i="19"/>
  <c r="O128" i="19"/>
  <c r="P128" i="19"/>
  <c r="O129" i="19"/>
  <c r="P129" i="19"/>
  <c r="O130" i="19"/>
  <c r="P130" i="19"/>
  <c r="O131" i="19"/>
  <c r="P131" i="19"/>
  <c r="O132" i="19"/>
  <c r="P132" i="19"/>
  <c r="O133" i="19"/>
  <c r="P133" i="19"/>
  <c r="O134" i="19"/>
  <c r="P134" i="19"/>
  <c r="O135" i="19"/>
  <c r="P135" i="19"/>
  <c r="O136" i="19"/>
  <c r="P136" i="19"/>
  <c r="O137" i="19"/>
  <c r="P137" i="19"/>
  <c r="O138" i="19"/>
  <c r="P138" i="19"/>
  <c r="O139" i="19"/>
  <c r="P139" i="19"/>
  <c r="O140" i="19"/>
  <c r="P140" i="19"/>
  <c r="O141" i="19"/>
  <c r="P141" i="19"/>
  <c r="O142" i="19"/>
  <c r="P142" i="19"/>
  <c r="O143" i="19"/>
  <c r="P143" i="19"/>
  <c r="O144" i="19"/>
  <c r="P144" i="19"/>
  <c r="O145" i="19"/>
  <c r="P145" i="19"/>
  <c r="O146" i="19"/>
  <c r="P146" i="19"/>
  <c r="O147" i="19"/>
  <c r="P147" i="19"/>
  <c r="O148" i="19"/>
  <c r="P148" i="19"/>
  <c r="O149" i="19"/>
  <c r="P149" i="19"/>
  <c r="O150" i="19"/>
  <c r="P150" i="19"/>
  <c r="O151" i="19"/>
  <c r="P151" i="19"/>
  <c r="O152" i="19"/>
  <c r="P152" i="19"/>
  <c r="O153" i="19"/>
  <c r="P153" i="19"/>
  <c r="O154" i="19"/>
  <c r="P154" i="19"/>
  <c r="O155" i="19"/>
  <c r="P155" i="19"/>
  <c r="O156" i="19"/>
  <c r="P156" i="19"/>
  <c r="O157" i="19"/>
  <c r="P157" i="19"/>
  <c r="O158" i="19"/>
  <c r="P158" i="19"/>
  <c r="O159" i="19"/>
  <c r="P159" i="19"/>
  <c r="O160" i="19"/>
  <c r="P160" i="19"/>
  <c r="O161" i="19"/>
  <c r="P161" i="19"/>
  <c r="O162" i="19"/>
  <c r="P162" i="19"/>
  <c r="O163" i="19"/>
  <c r="P163" i="19"/>
  <c r="O164" i="19"/>
  <c r="P164" i="19"/>
  <c r="O165" i="19"/>
  <c r="P165" i="19"/>
  <c r="O166" i="19"/>
  <c r="P166" i="19"/>
  <c r="O167" i="19"/>
  <c r="P167" i="19"/>
  <c r="O168" i="19"/>
  <c r="P168" i="19"/>
  <c r="O169" i="19"/>
  <c r="P169" i="19"/>
  <c r="O170" i="19"/>
  <c r="P170" i="19"/>
  <c r="O171" i="19"/>
  <c r="P171" i="19"/>
  <c r="O172" i="19"/>
  <c r="P172" i="19"/>
  <c r="O173" i="19"/>
  <c r="P173" i="19"/>
  <c r="O174" i="19"/>
  <c r="P174" i="19"/>
  <c r="O175" i="19"/>
  <c r="P175" i="19"/>
  <c r="O176" i="19"/>
  <c r="P176" i="19"/>
  <c r="O177" i="19"/>
  <c r="P177" i="19"/>
  <c r="O178" i="19"/>
  <c r="P178" i="19"/>
  <c r="O179" i="19"/>
  <c r="P179" i="19"/>
  <c r="O180" i="19"/>
  <c r="P180" i="19"/>
  <c r="O181" i="19"/>
  <c r="P181" i="19"/>
  <c r="O182" i="19"/>
  <c r="P182" i="19"/>
  <c r="O183" i="19"/>
  <c r="P183" i="19"/>
  <c r="O184" i="19"/>
  <c r="P184" i="19"/>
  <c r="O185" i="19"/>
  <c r="P185" i="19"/>
  <c r="O186" i="19"/>
  <c r="P186" i="19"/>
  <c r="O187" i="19"/>
  <c r="P187" i="19"/>
  <c r="O188" i="19"/>
  <c r="P188" i="19"/>
  <c r="O189" i="19"/>
  <c r="P189" i="19"/>
  <c r="O190" i="19"/>
  <c r="P190" i="19"/>
  <c r="O191" i="19"/>
  <c r="P191" i="19"/>
  <c r="O192" i="19"/>
  <c r="P192" i="19"/>
  <c r="O193" i="19"/>
  <c r="P193" i="19"/>
  <c r="O194" i="19"/>
  <c r="P194" i="19"/>
  <c r="O195" i="19"/>
  <c r="P195" i="19"/>
  <c r="O196" i="19"/>
  <c r="P196" i="19"/>
  <c r="O197" i="19"/>
  <c r="P197" i="19"/>
  <c r="O198" i="19"/>
  <c r="P198" i="19"/>
  <c r="O199" i="19"/>
  <c r="P199" i="19"/>
  <c r="O200" i="19"/>
  <c r="P200" i="19"/>
  <c r="O201" i="19"/>
  <c r="P201" i="19"/>
  <c r="O202" i="19"/>
  <c r="P202" i="19"/>
  <c r="O203" i="19"/>
  <c r="P203" i="19"/>
  <c r="O204" i="19"/>
  <c r="P204" i="19"/>
  <c r="O205" i="19"/>
  <c r="P205" i="19"/>
  <c r="O206" i="19"/>
  <c r="P206" i="19"/>
  <c r="O207" i="19"/>
  <c r="P207" i="19"/>
  <c r="O208" i="19"/>
  <c r="P208" i="19"/>
  <c r="O209" i="19"/>
  <c r="P209" i="19"/>
  <c r="O210" i="19"/>
  <c r="P210" i="19"/>
  <c r="O211" i="19"/>
  <c r="P211" i="19"/>
  <c r="O212" i="19"/>
  <c r="P212" i="19"/>
  <c r="O213" i="19"/>
  <c r="P213" i="19"/>
  <c r="O214" i="19"/>
  <c r="P214" i="19"/>
  <c r="O215" i="19"/>
  <c r="P215" i="19"/>
  <c r="O216" i="19"/>
  <c r="P216" i="19"/>
  <c r="O217" i="19"/>
  <c r="P217" i="19"/>
  <c r="O218" i="19"/>
  <c r="P218" i="19"/>
  <c r="O219" i="19"/>
  <c r="P219" i="19"/>
  <c r="O220" i="19"/>
  <c r="P220" i="19"/>
  <c r="O221" i="19"/>
  <c r="P221" i="19"/>
  <c r="O222" i="19"/>
  <c r="P222" i="19"/>
  <c r="O223" i="19"/>
  <c r="P223" i="19"/>
  <c r="O224" i="19"/>
  <c r="P224" i="19"/>
  <c r="O225" i="19"/>
  <c r="P225" i="19"/>
  <c r="O226" i="19"/>
  <c r="P226" i="19"/>
  <c r="O227" i="19"/>
  <c r="P227" i="19"/>
  <c r="O228" i="19"/>
  <c r="P228" i="19"/>
  <c r="O229" i="19"/>
  <c r="P229" i="19"/>
  <c r="O230" i="19"/>
  <c r="P230" i="19"/>
  <c r="O231" i="19"/>
  <c r="P231" i="19"/>
  <c r="O232" i="19"/>
  <c r="P232" i="19"/>
  <c r="O233" i="19"/>
  <c r="P233" i="19"/>
  <c r="O234" i="19"/>
  <c r="P234" i="19"/>
  <c r="O235" i="19"/>
  <c r="P235" i="19"/>
  <c r="O236" i="19"/>
  <c r="P236" i="19"/>
  <c r="O237" i="19"/>
  <c r="P237" i="19"/>
  <c r="O238" i="19"/>
  <c r="P238" i="19"/>
  <c r="O239" i="19"/>
  <c r="P239" i="19"/>
  <c r="O240" i="19"/>
  <c r="P240" i="19"/>
  <c r="O241" i="19"/>
  <c r="P241" i="19"/>
  <c r="O242" i="19"/>
  <c r="P242" i="19"/>
  <c r="O243" i="19"/>
  <c r="P243" i="19"/>
  <c r="O244" i="19"/>
  <c r="P244" i="19"/>
  <c r="O245" i="19"/>
  <c r="P245" i="19"/>
  <c r="O246" i="19"/>
  <c r="P246" i="19"/>
  <c r="O247" i="19"/>
  <c r="P247" i="19"/>
  <c r="O248" i="19"/>
  <c r="P248" i="19"/>
  <c r="O249" i="19"/>
  <c r="P249" i="19"/>
  <c r="O250" i="19"/>
  <c r="P250" i="19"/>
  <c r="O251" i="19"/>
  <c r="P251" i="19"/>
  <c r="O252" i="19"/>
  <c r="P252" i="19"/>
  <c r="O253" i="19"/>
  <c r="P253" i="19"/>
  <c r="O254" i="19"/>
  <c r="P254" i="19"/>
  <c r="O255" i="19"/>
  <c r="P255" i="19"/>
  <c r="O256" i="19"/>
  <c r="P256" i="19"/>
  <c r="O257" i="19"/>
  <c r="P257" i="19"/>
  <c r="O258" i="19"/>
  <c r="P258" i="19"/>
  <c r="O259" i="19"/>
  <c r="P259" i="19"/>
  <c r="O260" i="19"/>
  <c r="P260" i="19"/>
  <c r="O261" i="19"/>
  <c r="P261" i="19"/>
  <c r="O262" i="19"/>
  <c r="P262" i="19"/>
  <c r="O263" i="19"/>
  <c r="P263" i="19"/>
  <c r="O264" i="19"/>
  <c r="P264" i="19"/>
  <c r="O265" i="19"/>
  <c r="P265" i="19"/>
  <c r="O266" i="19"/>
  <c r="P266" i="19"/>
  <c r="O267" i="19"/>
  <c r="P267" i="19"/>
  <c r="O268" i="19"/>
  <c r="P268" i="19"/>
  <c r="O269" i="19"/>
  <c r="P269" i="19"/>
  <c r="O270" i="19"/>
  <c r="P270" i="19"/>
  <c r="O271" i="19"/>
  <c r="P271" i="19"/>
  <c r="O272" i="19"/>
  <c r="P272" i="19"/>
  <c r="O273" i="19"/>
  <c r="P273" i="19"/>
  <c r="O274" i="19"/>
  <c r="P274" i="19"/>
  <c r="O275" i="19"/>
  <c r="P275" i="19"/>
  <c r="O276" i="19"/>
  <c r="P276" i="19"/>
  <c r="O277" i="19"/>
  <c r="P277" i="19"/>
  <c r="O278" i="19"/>
  <c r="P278" i="19"/>
  <c r="O279" i="19"/>
  <c r="P279" i="19"/>
  <c r="O280" i="19"/>
  <c r="P280" i="19"/>
  <c r="O281" i="19"/>
  <c r="P281" i="19"/>
  <c r="O282" i="19"/>
  <c r="P282" i="19"/>
  <c r="O283" i="19"/>
  <c r="P283" i="19"/>
  <c r="O284" i="19"/>
  <c r="P284" i="19"/>
  <c r="O285" i="19"/>
  <c r="P285" i="19"/>
  <c r="O286" i="19"/>
  <c r="P286" i="19"/>
  <c r="O287" i="19"/>
  <c r="P287" i="19"/>
  <c r="O288" i="19"/>
  <c r="P288" i="19"/>
  <c r="O289" i="19"/>
  <c r="P289" i="19"/>
  <c r="O290" i="19"/>
  <c r="P290" i="19"/>
  <c r="O291" i="19"/>
  <c r="P291" i="19"/>
  <c r="O292" i="19"/>
  <c r="P292" i="19"/>
  <c r="O293" i="19"/>
  <c r="P293" i="19"/>
  <c r="O294" i="19"/>
  <c r="P294" i="19"/>
  <c r="O295" i="19"/>
  <c r="P295" i="19"/>
  <c r="O296" i="19"/>
  <c r="P296" i="19"/>
  <c r="O297" i="19"/>
  <c r="P297" i="19"/>
  <c r="O298" i="19"/>
  <c r="P298" i="19"/>
  <c r="O299" i="19"/>
  <c r="P299" i="19"/>
  <c r="O300" i="19"/>
  <c r="P300" i="19"/>
  <c r="O301" i="19"/>
  <c r="P301" i="19"/>
  <c r="O302" i="19"/>
  <c r="P302" i="19"/>
  <c r="O303" i="19"/>
  <c r="P303" i="19"/>
  <c r="O304" i="19"/>
  <c r="P304" i="19"/>
  <c r="O305" i="19"/>
  <c r="P305" i="19"/>
  <c r="O306" i="19"/>
  <c r="P306" i="19"/>
  <c r="O307" i="19"/>
  <c r="P307" i="19"/>
  <c r="O308" i="19"/>
  <c r="P308" i="19"/>
  <c r="O309" i="19"/>
  <c r="P309" i="19"/>
  <c r="O310" i="19"/>
  <c r="P310" i="19"/>
  <c r="O311" i="19"/>
  <c r="P311" i="19"/>
  <c r="O312" i="19"/>
  <c r="P312" i="19"/>
  <c r="O313" i="19"/>
  <c r="P313" i="19"/>
  <c r="O314" i="19"/>
  <c r="P314" i="19"/>
  <c r="O315" i="19"/>
  <c r="P315" i="19"/>
  <c r="O316" i="19"/>
  <c r="P316" i="19"/>
  <c r="O317" i="19"/>
  <c r="P317" i="19"/>
  <c r="O318" i="19"/>
  <c r="P318" i="19"/>
  <c r="O319" i="19"/>
  <c r="P319" i="19"/>
  <c r="O320" i="19"/>
  <c r="P320" i="19"/>
  <c r="O321" i="19"/>
  <c r="P321" i="19"/>
  <c r="O322" i="19"/>
  <c r="P322" i="19"/>
  <c r="O323" i="19"/>
  <c r="P323" i="19"/>
  <c r="O324" i="19"/>
  <c r="P324" i="19"/>
  <c r="O325" i="19"/>
  <c r="P325" i="19"/>
  <c r="O326" i="19"/>
  <c r="P326" i="19"/>
  <c r="O327" i="19"/>
  <c r="P327" i="19"/>
  <c r="O328" i="19"/>
  <c r="P328" i="19"/>
  <c r="O329" i="19"/>
  <c r="P329" i="19"/>
  <c r="O330" i="19"/>
  <c r="P330" i="19"/>
  <c r="O331" i="19"/>
  <c r="P331" i="19"/>
  <c r="O332" i="19"/>
  <c r="P332" i="19"/>
  <c r="O333" i="19"/>
  <c r="P333" i="19"/>
  <c r="O334" i="19"/>
  <c r="P334" i="19"/>
  <c r="O335" i="19"/>
  <c r="P335" i="19"/>
  <c r="O336" i="19"/>
  <c r="P336" i="19"/>
  <c r="O337" i="19"/>
  <c r="P337" i="19"/>
  <c r="O338" i="19"/>
  <c r="P338" i="19"/>
  <c r="O339" i="19"/>
  <c r="P339" i="19"/>
  <c r="O340" i="19"/>
  <c r="P340" i="19"/>
  <c r="O341" i="19"/>
  <c r="P341" i="19"/>
  <c r="O342" i="19"/>
  <c r="P342" i="19"/>
  <c r="O343" i="19"/>
  <c r="P343" i="19"/>
  <c r="O344" i="19"/>
  <c r="P344" i="19"/>
  <c r="O345" i="19"/>
  <c r="P345" i="19"/>
  <c r="O346" i="19"/>
  <c r="P346" i="19"/>
  <c r="O347" i="19"/>
  <c r="P347" i="19"/>
  <c r="O348" i="19"/>
  <c r="P348" i="19"/>
  <c r="O349" i="19"/>
  <c r="P349" i="19"/>
  <c r="O350" i="19"/>
  <c r="P350" i="19"/>
  <c r="O351" i="19"/>
  <c r="P351" i="19"/>
  <c r="O352" i="19"/>
  <c r="P352" i="19"/>
  <c r="O353" i="19"/>
  <c r="P353" i="19"/>
  <c r="O354" i="19"/>
  <c r="P354" i="19"/>
  <c r="O355" i="19"/>
  <c r="P355" i="19"/>
  <c r="O356" i="19"/>
  <c r="P356" i="19"/>
  <c r="O357" i="19"/>
  <c r="P357" i="19"/>
  <c r="O358" i="19"/>
  <c r="P358" i="19"/>
  <c r="O359" i="19"/>
  <c r="P359" i="19"/>
  <c r="O360" i="19"/>
  <c r="P360" i="19"/>
  <c r="O361" i="19"/>
  <c r="P361" i="19"/>
  <c r="O362" i="19"/>
  <c r="P362" i="19"/>
  <c r="O363" i="19"/>
  <c r="P363" i="19"/>
  <c r="O364" i="19"/>
  <c r="P364" i="19"/>
  <c r="O365" i="19"/>
  <c r="P365" i="19"/>
  <c r="O366" i="19"/>
  <c r="P366" i="19"/>
  <c r="O367" i="19"/>
  <c r="P367" i="19"/>
  <c r="O368" i="19"/>
  <c r="P368" i="19"/>
  <c r="O369" i="19"/>
  <c r="P369" i="19"/>
  <c r="O370" i="19"/>
  <c r="P370" i="19"/>
  <c r="O371" i="19"/>
  <c r="P371" i="19"/>
  <c r="O372" i="19"/>
  <c r="P372" i="19"/>
  <c r="O373" i="19"/>
  <c r="P373" i="19"/>
  <c r="O374" i="19"/>
  <c r="P374" i="19"/>
  <c r="O375" i="19"/>
  <c r="P375" i="19"/>
  <c r="O376" i="19"/>
  <c r="P376" i="19"/>
  <c r="O377" i="19"/>
  <c r="P377" i="19"/>
  <c r="O378" i="19"/>
  <c r="P378" i="19"/>
  <c r="O379" i="19"/>
  <c r="P379" i="19"/>
  <c r="O380" i="19"/>
  <c r="P380" i="19"/>
  <c r="O381" i="19"/>
  <c r="P381" i="19"/>
  <c r="O382" i="19"/>
  <c r="P382" i="19"/>
  <c r="O383" i="19"/>
  <c r="P383" i="19"/>
  <c r="O384" i="19"/>
  <c r="P384" i="19"/>
  <c r="O385" i="19"/>
  <c r="P385" i="19"/>
  <c r="O386" i="19"/>
  <c r="P386" i="19"/>
  <c r="O387" i="19"/>
  <c r="P387" i="19"/>
  <c r="O388" i="19"/>
  <c r="P388" i="19"/>
  <c r="O389" i="19"/>
  <c r="P389" i="19"/>
  <c r="O390" i="19"/>
  <c r="P390" i="19"/>
  <c r="O391" i="19"/>
  <c r="P391" i="19"/>
  <c r="O392" i="19"/>
  <c r="P392" i="19"/>
  <c r="O393" i="19"/>
  <c r="P393" i="19"/>
  <c r="O394" i="19"/>
  <c r="P394" i="19"/>
  <c r="O395" i="19"/>
  <c r="P395" i="19"/>
  <c r="O396" i="19"/>
  <c r="P396" i="19"/>
  <c r="O397" i="19"/>
  <c r="P397" i="19"/>
  <c r="O398" i="19"/>
  <c r="P398" i="19"/>
  <c r="O399" i="19"/>
  <c r="P399" i="19"/>
  <c r="O400" i="19"/>
  <c r="P400" i="19"/>
  <c r="O401" i="19"/>
  <c r="P401" i="19"/>
  <c r="O402" i="19"/>
  <c r="P402" i="19"/>
  <c r="O403" i="19"/>
  <c r="P403" i="19"/>
  <c r="O404" i="19"/>
  <c r="P404" i="19"/>
  <c r="O405" i="19"/>
  <c r="P405" i="19"/>
  <c r="O406" i="19"/>
  <c r="P406" i="19"/>
  <c r="O407" i="19"/>
  <c r="P407" i="19"/>
  <c r="O408" i="19"/>
  <c r="P408" i="19"/>
  <c r="O409" i="19"/>
  <c r="P409" i="19"/>
  <c r="O410" i="19"/>
  <c r="P410" i="19"/>
  <c r="O411" i="19"/>
  <c r="P411" i="19"/>
  <c r="O412" i="19"/>
  <c r="P412" i="19"/>
  <c r="O413" i="19"/>
  <c r="P413" i="19"/>
  <c r="O414" i="19"/>
  <c r="P414" i="19"/>
  <c r="O415" i="19"/>
  <c r="P415" i="19"/>
  <c r="O416" i="19"/>
  <c r="P416" i="19"/>
  <c r="O417" i="19"/>
  <c r="P417" i="19"/>
  <c r="O418" i="19"/>
  <c r="P418" i="19"/>
  <c r="O419" i="19"/>
  <c r="P419" i="19"/>
  <c r="O420" i="19"/>
  <c r="P420" i="19"/>
  <c r="O421" i="19"/>
  <c r="P421" i="19"/>
  <c r="O422" i="19"/>
  <c r="P422" i="19"/>
  <c r="O423" i="19"/>
  <c r="P423" i="19"/>
  <c r="O424" i="19"/>
  <c r="P424" i="19"/>
  <c r="O425" i="19"/>
  <c r="P425" i="19"/>
  <c r="O426" i="19"/>
  <c r="P426" i="19"/>
  <c r="O427" i="19"/>
  <c r="P427" i="19"/>
  <c r="O428" i="19"/>
  <c r="P428" i="19"/>
  <c r="O429" i="19"/>
  <c r="P429" i="19"/>
  <c r="O430" i="19"/>
  <c r="P430" i="19"/>
  <c r="O431" i="19"/>
  <c r="P431" i="19"/>
  <c r="O432" i="19"/>
  <c r="P432" i="19"/>
  <c r="O433" i="19"/>
  <c r="P433" i="19"/>
  <c r="O434" i="19"/>
  <c r="P434" i="19"/>
  <c r="O435" i="19"/>
  <c r="P435" i="19"/>
  <c r="O436" i="19"/>
  <c r="P436" i="19"/>
  <c r="O437" i="19"/>
  <c r="P437" i="19"/>
  <c r="O438" i="19"/>
  <c r="P438" i="19"/>
  <c r="O439" i="19"/>
  <c r="P439" i="19"/>
  <c r="O440" i="19"/>
  <c r="P440" i="19"/>
  <c r="O441" i="19"/>
  <c r="P441" i="19"/>
  <c r="O442" i="19"/>
  <c r="P442" i="19"/>
  <c r="O443" i="19"/>
  <c r="P443" i="19"/>
  <c r="O444" i="19"/>
  <c r="P444" i="19"/>
  <c r="O445" i="19"/>
  <c r="P445" i="19"/>
  <c r="O446" i="19"/>
  <c r="P446" i="19"/>
  <c r="O447" i="19"/>
  <c r="P447" i="19"/>
  <c r="O448" i="19"/>
  <c r="P448" i="19"/>
  <c r="O449" i="19"/>
  <c r="P449" i="19"/>
  <c r="O450" i="19"/>
  <c r="P450" i="19"/>
  <c r="O451" i="19"/>
  <c r="P451" i="19"/>
  <c r="O452" i="19"/>
  <c r="P452" i="19"/>
  <c r="O453" i="19"/>
  <c r="P453" i="19"/>
  <c r="O454" i="19"/>
  <c r="P454" i="19"/>
  <c r="O455" i="19"/>
  <c r="P455" i="19"/>
  <c r="O456" i="19"/>
  <c r="P456" i="19"/>
  <c r="O457" i="19"/>
  <c r="P457" i="19"/>
  <c r="O458" i="19"/>
  <c r="P458" i="19"/>
  <c r="O459" i="19"/>
  <c r="P459" i="19"/>
  <c r="O460" i="19"/>
  <c r="P460" i="19"/>
  <c r="O461" i="19"/>
  <c r="P461" i="19"/>
  <c r="O462" i="19"/>
  <c r="P462" i="19"/>
  <c r="O463" i="19"/>
  <c r="P463" i="19"/>
  <c r="O464" i="19"/>
  <c r="P464" i="19"/>
  <c r="O465" i="19"/>
  <c r="P465" i="19"/>
  <c r="O466" i="19"/>
  <c r="P466" i="19"/>
  <c r="O467" i="19"/>
  <c r="P467" i="19"/>
  <c r="O468" i="19"/>
  <c r="P468" i="19"/>
  <c r="O469" i="19"/>
  <c r="P469" i="19"/>
  <c r="O470" i="19"/>
  <c r="P470" i="19"/>
  <c r="O471" i="19"/>
  <c r="P471" i="19"/>
  <c r="O472" i="19"/>
  <c r="P472" i="19"/>
  <c r="O473" i="19"/>
  <c r="P473" i="19"/>
  <c r="O474" i="19"/>
  <c r="P474" i="19"/>
  <c r="O475" i="19"/>
  <c r="P475" i="19"/>
  <c r="O476" i="19"/>
  <c r="P476" i="19"/>
  <c r="O477" i="19"/>
  <c r="P477" i="19"/>
  <c r="O478" i="19"/>
  <c r="P478" i="19"/>
  <c r="O479" i="19"/>
  <c r="P479" i="19"/>
  <c r="O480" i="19"/>
  <c r="P480" i="19"/>
  <c r="O481" i="19"/>
  <c r="P481" i="19"/>
  <c r="O482" i="19"/>
  <c r="P482" i="19"/>
  <c r="O483" i="19"/>
  <c r="P483" i="19"/>
  <c r="O484" i="19"/>
  <c r="P484" i="19"/>
  <c r="O485" i="19"/>
  <c r="P485" i="19"/>
  <c r="O486" i="19"/>
  <c r="P486" i="19"/>
  <c r="O487" i="19"/>
  <c r="P487" i="19"/>
  <c r="O488" i="19"/>
  <c r="P488" i="19"/>
  <c r="O489" i="19"/>
  <c r="P489" i="19"/>
  <c r="O490" i="19"/>
  <c r="P490" i="19"/>
  <c r="O491" i="19"/>
  <c r="P491" i="19"/>
  <c r="O492" i="19"/>
  <c r="P492" i="19"/>
  <c r="O493" i="19"/>
  <c r="P493" i="19"/>
  <c r="O494" i="19"/>
  <c r="P494" i="19"/>
  <c r="O495" i="19"/>
  <c r="P495" i="19"/>
  <c r="O496" i="19"/>
  <c r="P496" i="19"/>
  <c r="O497" i="19"/>
  <c r="P497" i="19"/>
  <c r="O498" i="19"/>
  <c r="P498" i="19"/>
  <c r="O499" i="19"/>
  <c r="P499" i="19"/>
  <c r="O500" i="19"/>
  <c r="P500" i="19"/>
  <c r="O501" i="19"/>
  <c r="P501" i="19"/>
  <c r="O502" i="19"/>
  <c r="P502" i="19"/>
  <c r="O503" i="19"/>
  <c r="P503" i="19"/>
  <c r="O504" i="19"/>
  <c r="P504" i="19"/>
  <c r="O505" i="19"/>
  <c r="P505" i="19"/>
  <c r="O506" i="19"/>
  <c r="P506" i="19"/>
  <c r="O507" i="19"/>
  <c r="P507" i="19"/>
  <c r="O508" i="19"/>
  <c r="P508" i="19"/>
  <c r="O509" i="19"/>
  <c r="P509" i="19"/>
  <c r="O510" i="19"/>
  <c r="P510" i="19"/>
  <c r="O511" i="19"/>
  <c r="P511" i="19"/>
  <c r="O512" i="19"/>
  <c r="P512" i="19"/>
  <c r="O513" i="19"/>
  <c r="P513" i="19"/>
  <c r="O514" i="19"/>
  <c r="P514" i="19"/>
  <c r="O515" i="19"/>
  <c r="P515" i="19"/>
  <c r="O516" i="19"/>
  <c r="P516" i="19"/>
  <c r="O517" i="19"/>
  <c r="P517" i="19"/>
  <c r="O518" i="19"/>
  <c r="P518" i="19"/>
  <c r="O519" i="19"/>
  <c r="P519" i="19"/>
  <c r="O520" i="19"/>
  <c r="P520" i="19"/>
  <c r="O521" i="19"/>
  <c r="P521" i="19"/>
  <c r="O522" i="19"/>
  <c r="P522" i="19"/>
  <c r="O523" i="19"/>
  <c r="P523" i="19"/>
  <c r="O524" i="19"/>
  <c r="P524" i="19"/>
  <c r="O525" i="19"/>
  <c r="P525" i="19"/>
  <c r="O526" i="19"/>
  <c r="P526" i="19"/>
  <c r="O527" i="19"/>
  <c r="P527" i="19"/>
  <c r="O528" i="19"/>
  <c r="P528" i="19"/>
  <c r="O529" i="19"/>
  <c r="P529" i="19"/>
  <c r="O530" i="19"/>
  <c r="P530" i="19"/>
  <c r="O531" i="19"/>
  <c r="P531" i="19"/>
  <c r="O532" i="19"/>
  <c r="P532" i="19"/>
  <c r="O533" i="19"/>
  <c r="P533" i="19"/>
  <c r="O534" i="19"/>
  <c r="P534" i="19"/>
  <c r="O535" i="19"/>
  <c r="P535" i="19"/>
  <c r="O536" i="19"/>
  <c r="P536" i="19"/>
  <c r="O537" i="19"/>
  <c r="P537" i="19"/>
  <c r="O538" i="19"/>
  <c r="P538" i="19"/>
  <c r="O539" i="19"/>
  <c r="P539" i="19"/>
  <c r="O540" i="19"/>
  <c r="P540" i="19"/>
  <c r="O541" i="19"/>
  <c r="P541" i="19"/>
  <c r="O542" i="19"/>
  <c r="P542" i="19"/>
  <c r="O543" i="19"/>
  <c r="P543" i="19"/>
  <c r="O544" i="19"/>
  <c r="P544" i="19"/>
  <c r="O545" i="19"/>
  <c r="P545" i="19"/>
  <c r="O546" i="19"/>
  <c r="P546" i="19"/>
  <c r="O547" i="19"/>
  <c r="P547" i="19"/>
  <c r="O548" i="19"/>
  <c r="P548" i="19"/>
  <c r="O549" i="19"/>
  <c r="P549" i="19"/>
  <c r="O550" i="19"/>
  <c r="P550" i="19"/>
  <c r="O551" i="19"/>
  <c r="P551" i="19"/>
  <c r="O552" i="19"/>
  <c r="P552" i="19"/>
  <c r="O553" i="19"/>
  <c r="P553" i="19"/>
  <c r="O554" i="19"/>
  <c r="P554" i="19"/>
  <c r="O555" i="19"/>
  <c r="P555" i="19"/>
  <c r="O556" i="19"/>
  <c r="P556" i="19"/>
  <c r="O557" i="19"/>
  <c r="P557" i="19"/>
  <c r="O558" i="19"/>
  <c r="P558" i="19"/>
  <c r="O559" i="19"/>
  <c r="P559" i="19"/>
  <c r="O560" i="19"/>
  <c r="P560" i="19"/>
  <c r="O561" i="19"/>
  <c r="P561" i="19"/>
  <c r="O562" i="19"/>
  <c r="P562" i="19"/>
  <c r="O563" i="19"/>
  <c r="P563" i="19"/>
  <c r="O564" i="19"/>
  <c r="P564" i="19"/>
  <c r="O565" i="19"/>
  <c r="P565" i="19"/>
  <c r="O566" i="19"/>
  <c r="P566" i="19"/>
  <c r="O567" i="19"/>
  <c r="P567" i="19"/>
  <c r="O568" i="19"/>
  <c r="P568" i="19"/>
  <c r="O569" i="19"/>
  <c r="P569" i="19"/>
  <c r="O570" i="19"/>
  <c r="P570" i="19"/>
  <c r="O571" i="19"/>
  <c r="P571" i="19"/>
  <c r="O572" i="19"/>
  <c r="P572" i="19"/>
  <c r="O573" i="19"/>
  <c r="P573" i="19"/>
  <c r="O574" i="19"/>
  <c r="P574" i="19"/>
  <c r="O575" i="19"/>
  <c r="P575" i="19"/>
  <c r="O576" i="19"/>
  <c r="P576" i="19"/>
  <c r="O577" i="19"/>
  <c r="P577" i="19"/>
  <c r="O578" i="19"/>
  <c r="P578" i="19"/>
  <c r="O579" i="19"/>
  <c r="P579" i="19"/>
  <c r="O580" i="19"/>
  <c r="P580" i="19"/>
  <c r="O581" i="19"/>
  <c r="P581" i="19"/>
  <c r="O582" i="19"/>
  <c r="P582" i="19"/>
  <c r="O583" i="19"/>
  <c r="P583" i="19"/>
  <c r="O584" i="19"/>
  <c r="P584" i="19"/>
  <c r="O585" i="19"/>
  <c r="P585" i="19"/>
  <c r="O586" i="19"/>
  <c r="P586" i="19"/>
  <c r="O587" i="19"/>
  <c r="P587" i="19"/>
  <c r="O588" i="19"/>
  <c r="P588" i="19"/>
  <c r="O589" i="19"/>
  <c r="P589" i="19"/>
  <c r="O590" i="19"/>
  <c r="P590" i="19"/>
  <c r="O591" i="19"/>
  <c r="P591" i="19"/>
  <c r="O592" i="19"/>
  <c r="P592" i="19"/>
  <c r="O593" i="19"/>
  <c r="P593" i="19"/>
  <c r="O594" i="19"/>
  <c r="P594" i="19"/>
  <c r="O595" i="19"/>
  <c r="P595" i="19"/>
  <c r="O596" i="19"/>
  <c r="P596" i="19"/>
  <c r="O597" i="19"/>
  <c r="P597" i="19"/>
  <c r="O598" i="19"/>
  <c r="P598" i="19"/>
  <c r="O599" i="19"/>
  <c r="P599" i="19"/>
  <c r="O600" i="19"/>
  <c r="P600" i="19"/>
  <c r="O601" i="19"/>
  <c r="P601" i="19"/>
  <c r="O602" i="19"/>
  <c r="P602" i="19"/>
  <c r="O603" i="19"/>
  <c r="P603" i="19"/>
  <c r="O604" i="19"/>
  <c r="P604" i="19"/>
  <c r="O605" i="19"/>
  <c r="P605" i="19"/>
  <c r="O606" i="19"/>
  <c r="P606" i="19"/>
  <c r="O607" i="19"/>
  <c r="P607" i="19"/>
  <c r="O608" i="19"/>
  <c r="P608" i="19"/>
  <c r="O609" i="19"/>
  <c r="P609" i="19"/>
  <c r="O610" i="19"/>
  <c r="P610" i="19"/>
  <c r="O611" i="19"/>
  <c r="P611" i="19"/>
  <c r="O612" i="19"/>
  <c r="P612" i="19"/>
  <c r="O613" i="19"/>
  <c r="P613" i="19"/>
  <c r="O614" i="19"/>
  <c r="P614" i="19"/>
  <c r="O615" i="19"/>
  <c r="P615" i="19"/>
  <c r="O616" i="19"/>
  <c r="P616" i="19"/>
  <c r="O617" i="19"/>
  <c r="P617" i="19"/>
  <c r="O618" i="19"/>
  <c r="P618" i="19"/>
  <c r="O619" i="19"/>
  <c r="P619" i="19"/>
  <c r="O620" i="19"/>
  <c r="P620" i="19"/>
  <c r="O621" i="19"/>
  <c r="P621" i="19"/>
  <c r="O622" i="19"/>
  <c r="P622" i="19"/>
  <c r="O623" i="19"/>
  <c r="P623" i="19"/>
  <c r="O624" i="19"/>
  <c r="P624" i="19"/>
  <c r="O625" i="19"/>
  <c r="P625" i="19"/>
  <c r="O626" i="19"/>
  <c r="P626" i="19"/>
  <c r="O627" i="19"/>
  <c r="P627" i="19"/>
  <c r="O628" i="19"/>
  <c r="P628" i="19"/>
  <c r="O629" i="19"/>
  <c r="P629" i="19"/>
  <c r="O630" i="19"/>
  <c r="P630" i="19"/>
  <c r="O631" i="19"/>
  <c r="P631" i="19"/>
  <c r="O632" i="19"/>
  <c r="P632" i="19"/>
  <c r="O633" i="19"/>
  <c r="P633" i="19"/>
  <c r="O634" i="19"/>
  <c r="P634" i="19"/>
  <c r="O635" i="19"/>
  <c r="P635" i="19"/>
  <c r="O636" i="19"/>
  <c r="P636" i="19"/>
  <c r="O637" i="19"/>
  <c r="P637" i="19"/>
  <c r="O638" i="19"/>
  <c r="P638" i="19"/>
  <c r="O639" i="19"/>
  <c r="P639" i="19"/>
  <c r="O640" i="19"/>
  <c r="P640" i="19"/>
  <c r="O641" i="19"/>
  <c r="P641" i="19"/>
  <c r="O642" i="19"/>
  <c r="P642" i="19"/>
  <c r="O643" i="19"/>
  <c r="P643" i="19"/>
  <c r="O644" i="19"/>
  <c r="P644" i="19"/>
  <c r="O645" i="19"/>
  <c r="P645" i="19"/>
  <c r="O646" i="19"/>
  <c r="P646" i="19"/>
  <c r="O647" i="19"/>
  <c r="P647" i="19"/>
  <c r="O648" i="19"/>
  <c r="P648" i="19"/>
  <c r="O649" i="19"/>
  <c r="P649" i="19"/>
  <c r="O650" i="19"/>
  <c r="P650" i="19"/>
  <c r="O651" i="19"/>
  <c r="P651" i="19"/>
  <c r="O652" i="19"/>
  <c r="P652" i="19"/>
  <c r="O653" i="19"/>
  <c r="P653" i="19"/>
  <c r="O654" i="19"/>
  <c r="P654" i="19"/>
  <c r="O655" i="19"/>
  <c r="P655" i="19"/>
  <c r="O656" i="19"/>
  <c r="P656" i="19"/>
  <c r="O657" i="19"/>
  <c r="P657" i="19"/>
  <c r="O658" i="19"/>
  <c r="P658" i="19"/>
  <c r="O659" i="19"/>
  <c r="P659" i="19"/>
  <c r="O660" i="19"/>
  <c r="P660" i="19"/>
  <c r="O661" i="19"/>
  <c r="P661" i="19"/>
  <c r="O662" i="19"/>
  <c r="P662" i="19"/>
  <c r="O663" i="19"/>
  <c r="P663" i="19"/>
  <c r="O664" i="19"/>
  <c r="P664" i="19"/>
  <c r="O665" i="19"/>
  <c r="P665" i="19"/>
  <c r="O666" i="19"/>
  <c r="P666" i="19"/>
  <c r="O667" i="19"/>
  <c r="P667" i="19"/>
  <c r="O668" i="19"/>
  <c r="P668" i="19"/>
  <c r="O669" i="19"/>
  <c r="P669" i="19"/>
  <c r="O670" i="19"/>
  <c r="P670" i="19"/>
  <c r="O671" i="19"/>
  <c r="P671" i="19"/>
  <c r="O672" i="19"/>
  <c r="P672" i="19"/>
  <c r="O673" i="19"/>
  <c r="P673" i="19"/>
  <c r="O674" i="19"/>
  <c r="P674" i="19"/>
  <c r="O675" i="19"/>
  <c r="P675" i="19"/>
  <c r="O676" i="19"/>
  <c r="P676" i="19"/>
  <c r="O677" i="19"/>
  <c r="P677" i="19"/>
  <c r="O678" i="19"/>
  <c r="P678" i="19"/>
  <c r="O679" i="19"/>
  <c r="P679" i="19"/>
  <c r="O680" i="19"/>
  <c r="P680" i="19"/>
  <c r="O681" i="19"/>
  <c r="P681" i="19"/>
  <c r="O682" i="19"/>
  <c r="P682" i="19"/>
  <c r="O683" i="19"/>
  <c r="P683" i="19"/>
  <c r="O684" i="19"/>
  <c r="P684" i="19"/>
  <c r="O685" i="19"/>
  <c r="P685" i="19"/>
  <c r="O686" i="19"/>
  <c r="P686" i="19"/>
  <c r="O687" i="19"/>
  <c r="P687" i="19"/>
  <c r="O688" i="19"/>
  <c r="P688" i="19"/>
  <c r="O689" i="19"/>
  <c r="P689" i="19"/>
  <c r="O690" i="19"/>
  <c r="P690" i="19"/>
  <c r="O691" i="19"/>
  <c r="P691" i="19"/>
  <c r="O692" i="19"/>
  <c r="P692" i="19"/>
  <c r="O693" i="19"/>
  <c r="P693" i="19"/>
  <c r="O694" i="19"/>
  <c r="P694" i="19"/>
  <c r="O695" i="19"/>
  <c r="P695" i="19"/>
  <c r="O696" i="19"/>
  <c r="P696" i="19"/>
  <c r="O697" i="19"/>
  <c r="P697" i="19"/>
  <c r="O698" i="19"/>
  <c r="P698" i="19"/>
  <c r="O699" i="19"/>
  <c r="P699" i="19"/>
  <c r="O700" i="19"/>
  <c r="P700" i="19"/>
  <c r="O701" i="19"/>
  <c r="P701" i="19"/>
  <c r="O702" i="19"/>
  <c r="P702" i="19"/>
  <c r="O703" i="19"/>
  <c r="P703" i="19"/>
  <c r="O704" i="19"/>
  <c r="P704" i="19"/>
  <c r="O705" i="19"/>
  <c r="P705" i="19"/>
  <c r="O706" i="19"/>
  <c r="P706" i="19"/>
  <c r="O707" i="19"/>
  <c r="P707" i="19"/>
  <c r="O708" i="19"/>
  <c r="P708" i="19"/>
  <c r="O709" i="19"/>
  <c r="P709" i="19"/>
  <c r="O710" i="19"/>
  <c r="P710" i="19"/>
  <c r="O711" i="19"/>
  <c r="P711" i="19"/>
  <c r="O712" i="19"/>
  <c r="P712" i="19"/>
  <c r="O713" i="19"/>
  <c r="P713" i="19"/>
  <c r="O714" i="19"/>
  <c r="P714" i="19"/>
  <c r="O715" i="19"/>
  <c r="P715" i="19"/>
  <c r="O716" i="19"/>
  <c r="P716" i="19"/>
  <c r="O717" i="19"/>
  <c r="P717" i="19"/>
  <c r="O718" i="19"/>
  <c r="P718" i="19"/>
  <c r="O719" i="19"/>
  <c r="P719" i="19"/>
  <c r="O720" i="19"/>
  <c r="P720" i="19"/>
  <c r="O721" i="19"/>
  <c r="P721" i="19"/>
  <c r="O722" i="19"/>
  <c r="P722" i="19"/>
  <c r="O723" i="19"/>
  <c r="P723" i="19"/>
  <c r="O724" i="19"/>
  <c r="P724" i="19"/>
  <c r="O725" i="19"/>
  <c r="P725" i="19"/>
  <c r="O726" i="19"/>
  <c r="P726" i="19"/>
  <c r="O727" i="19"/>
  <c r="P727" i="19"/>
  <c r="O728" i="19"/>
  <c r="P728" i="19"/>
  <c r="O729" i="19"/>
  <c r="P729" i="19"/>
  <c r="O730" i="19"/>
  <c r="P730" i="19"/>
  <c r="O731" i="19"/>
  <c r="P731" i="19"/>
  <c r="O732" i="19"/>
  <c r="P732" i="19"/>
  <c r="O733" i="19"/>
  <c r="P733" i="19"/>
  <c r="O734" i="19"/>
  <c r="P734" i="19"/>
  <c r="O735" i="19"/>
  <c r="P735" i="19"/>
  <c r="O736" i="19"/>
  <c r="P736" i="19"/>
  <c r="O737" i="19"/>
  <c r="P737" i="19"/>
  <c r="O738" i="19"/>
  <c r="P738" i="19"/>
  <c r="O739" i="19"/>
  <c r="P739" i="19"/>
  <c r="O740" i="19"/>
  <c r="P740" i="19"/>
  <c r="O741" i="19"/>
  <c r="P741" i="19"/>
  <c r="O742" i="19"/>
  <c r="P742" i="19"/>
  <c r="O743" i="19"/>
  <c r="P743" i="19"/>
  <c r="O744" i="19"/>
  <c r="P744" i="19"/>
  <c r="O745" i="19"/>
  <c r="P745" i="19"/>
  <c r="O746" i="19"/>
  <c r="P746" i="19"/>
  <c r="O747" i="19"/>
  <c r="P747" i="19"/>
  <c r="O748" i="19"/>
  <c r="P748" i="19"/>
  <c r="O749" i="19"/>
  <c r="P749" i="19"/>
  <c r="O750" i="19"/>
  <c r="P750" i="19"/>
  <c r="O751" i="19"/>
  <c r="P751" i="19"/>
  <c r="O752" i="19"/>
  <c r="P752" i="19"/>
  <c r="O753" i="19"/>
  <c r="P753" i="19"/>
  <c r="O754" i="19"/>
  <c r="P754" i="19"/>
  <c r="O755" i="19"/>
  <c r="P755" i="19"/>
  <c r="O756" i="19"/>
  <c r="P756" i="19"/>
  <c r="O757" i="19"/>
  <c r="P757" i="19"/>
  <c r="O758" i="19"/>
  <c r="P758" i="19"/>
  <c r="O759" i="19"/>
  <c r="P759" i="19"/>
  <c r="O760" i="19"/>
  <c r="P760" i="19"/>
  <c r="O761" i="19"/>
  <c r="P761" i="19"/>
  <c r="O762" i="19"/>
  <c r="P762" i="19"/>
  <c r="O763" i="19"/>
  <c r="P763" i="19"/>
  <c r="O764" i="19"/>
  <c r="P764" i="19"/>
  <c r="O765" i="19"/>
  <c r="P765" i="19"/>
  <c r="O766" i="19"/>
  <c r="P766" i="19"/>
  <c r="O767" i="19"/>
  <c r="P767" i="19"/>
  <c r="O768" i="19"/>
  <c r="P768" i="19"/>
  <c r="O769" i="19"/>
  <c r="P769" i="19"/>
  <c r="O770" i="19"/>
  <c r="P770" i="19"/>
  <c r="O771" i="19"/>
  <c r="P771" i="19"/>
  <c r="O772" i="19"/>
  <c r="P772" i="19"/>
  <c r="O773" i="19"/>
  <c r="P773" i="19"/>
  <c r="O774" i="19"/>
  <c r="P774" i="19"/>
  <c r="O775" i="19"/>
  <c r="P775" i="19"/>
  <c r="O776" i="19"/>
  <c r="P776" i="19"/>
  <c r="O777" i="19"/>
  <c r="P777" i="19"/>
  <c r="O778" i="19"/>
  <c r="P778" i="19"/>
  <c r="O779" i="19"/>
  <c r="P779" i="19"/>
  <c r="O780" i="19"/>
  <c r="P780" i="19"/>
  <c r="O781" i="19"/>
  <c r="P781" i="19"/>
  <c r="O782" i="19"/>
  <c r="P782" i="19"/>
  <c r="O783" i="19"/>
  <c r="P783" i="19"/>
  <c r="O784" i="19"/>
  <c r="P784" i="19"/>
  <c r="O785" i="19"/>
  <c r="P785" i="19"/>
  <c r="O786" i="19"/>
  <c r="P786" i="19"/>
  <c r="O787" i="19"/>
  <c r="P787" i="19"/>
  <c r="O788" i="19"/>
  <c r="P788" i="19"/>
  <c r="O789" i="19"/>
  <c r="P789" i="19"/>
  <c r="O790" i="19"/>
  <c r="P790" i="19"/>
  <c r="O791" i="19"/>
  <c r="P791" i="19"/>
  <c r="O792" i="19"/>
  <c r="P792" i="19"/>
  <c r="O793" i="19"/>
  <c r="P793" i="19"/>
  <c r="O794" i="19"/>
  <c r="P794" i="19"/>
  <c r="O795" i="19"/>
  <c r="P795" i="19"/>
  <c r="O796" i="19"/>
  <c r="P796" i="19"/>
  <c r="O797" i="19"/>
  <c r="P797" i="19"/>
  <c r="O798" i="19"/>
  <c r="P798" i="19"/>
  <c r="O799" i="19"/>
  <c r="P799" i="19"/>
  <c r="O800" i="19"/>
  <c r="P800" i="19"/>
  <c r="O801" i="19"/>
  <c r="P801" i="19"/>
  <c r="O802" i="19"/>
  <c r="P802" i="19"/>
  <c r="O803" i="19"/>
  <c r="P803" i="19"/>
  <c r="O804" i="19"/>
  <c r="P804" i="19"/>
  <c r="O805" i="19"/>
  <c r="P805" i="19"/>
  <c r="O806" i="19"/>
  <c r="P806" i="19"/>
  <c r="O807" i="19"/>
  <c r="P807" i="19"/>
  <c r="O808" i="19"/>
  <c r="P808" i="19"/>
  <c r="O809" i="19"/>
  <c r="P809" i="19"/>
  <c r="O810" i="19"/>
  <c r="P810" i="19"/>
  <c r="O811" i="19"/>
  <c r="P811" i="19"/>
  <c r="O812" i="19"/>
  <c r="P812" i="19"/>
  <c r="O813" i="19"/>
  <c r="P813" i="19"/>
  <c r="O814" i="19"/>
  <c r="P814" i="19"/>
  <c r="O815" i="19"/>
  <c r="P815" i="19"/>
  <c r="O816" i="19"/>
  <c r="P816" i="19"/>
  <c r="O817" i="19"/>
  <c r="P817" i="19"/>
  <c r="O818" i="19"/>
  <c r="P818" i="19"/>
  <c r="O819" i="19"/>
  <c r="P819" i="19"/>
  <c r="O820" i="19"/>
  <c r="P820" i="19"/>
  <c r="O821" i="19"/>
  <c r="P821" i="19"/>
  <c r="O822" i="19"/>
  <c r="P822" i="19"/>
  <c r="O823" i="19"/>
  <c r="P823" i="19"/>
  <c r="O824" i="19"/>
  <c r="P824" i="19"/>
  <c r="O825" i="19"/>
  <c r="P825" i="19"/>
  <c r="O826" i="19"/>
  <c r="P826" i="19"/>
  <c r="O827" i="19"/>
  <c r="P827" i="19"/>
  <c r="O828" i="19"/>
  <c r="P828" i="19"/>
  <c r="O829" i="19"/>
  <c r="P829" i="19"/>
  <c r="O830" i="19"/>
  <c r="P830" i="19"/>
  <c r="O831" i="19"/>
  <c r="P831" i="19"/>
  <c r="O832" i="19"/>
  <c r="P832" i="19"/>
  <c r="O833" i="19"/>
  <c r="P833" i="19"/>
  <c r="O834" i="19"/>
  <c r="P834" i="19"/>
  <c r="O835" i="19"/>
  <c r="P835" i="19"/>
  <c r="O836" i="19"/>
  <c r="P836" i="19"/>
  <c r="O837" i="19"/>
  <c r="P837" i="19"/>
  <c r="O838" i="19"/>
  <c r="P838" i="19"/>
  <c r="O839" i="19"/>
  <c r="P839" i="19"/>
  <c r="O840" i="19"/>
  <c r="P840" i="19"/>
  <c r="O841" i="19"/>
  <c r="P841" i="19"/>
  <c r="O842" i="19"/>
  <c r="P842" i="19"/>
  <c r="O843" i="19"/>
  <c r="P843" i="19"/>
  <c r="O844" i="19"/>
  <c r="P844" i="19"/>
  <c r="O845" i="19"/>
  <c r="P845" i="19"/>
  <c r="O846" i="19"/>
  <c r="P846" i="19"/>
  <c r="O847" i="19"/>
  <c r="P847" i="19"/>
  <c r="O848" i="19"/>
  <c r="P848" i="19"/>
  <c r="O849" i="19"/>
  <c r="P849" i="19"/>
  <c r="O850" i="19"/>
  <c r="P850" i="19"/>
  <c r="O851" i="19"/>
  <c r="P851" i="19"/>
  <c r="O852" i="19"/>
  <c r="P852" i="19"/>
  <c r="O853" i="19"/>
  <c r="P853" i="19"/>
  <c r="O854" i="19"/>
  <c r="P854" i="19"/>
  <c r="O855" i="19"/>
  <c r="P855" i="19"/>
  <c r="O856" i="19"/>
  <c r="P856" i="19"/>
  <c r="O857" i="19"/>
  <c r="P857" i="19"/>
  <c r="O858" i="19"/>
  <c r="P858" i="19"/>
  <c r="O859" i="19"/>
  <c r="P859" i="19"/>
  <c r="O860" i="19"/>
  <c r="P860" i="19"/>
  <c r="O861" i="19"/>
  <c r="P861" i="19"/>
  <c r="O862" i="19"/>
  <c r="P862" i="19"/>
  <c r="O863" i="19"/>
  <c r="P863" i="19"/>
  <c r="O864" i="19"/>
  <c r="P864" i="19"/>
  <c r="O865" i="19"/>
  <c r="P865" i="19"/>
  <c r="O866" i="19"/>
  <c r="P866" i="19"/>
  <c r="O867" i="19"/>
  <c r="P867" i="19"/>
  <c r="O868" i="19"/>
  <c r="P868" i="19"/>
  <c r="O869" i="19"/>
  <c r="P869" i="19"/>
  <c r="O870" i="19"/>
  <c r="P870" i="19"/>
  <c r="O871" i="19"/>
  <c r="P871" i="19"/>
  <c r="O872" i="19"/>
  <c r="P872" i="19"/>
  <c r="O873" i="19"/>
  <c r="P873" i="19"/>
  <c r="O874" i="19"/>
  <c r="P874" i="19"/>
  <c r="O875" i="19"/>
  <c r="P875" i="19"/>
  <c r="O876" i="19"/>
  <c r="P876" i="19"/>
  <c r="O877" i="19"/>
  <c r="P877" i="19"/>
  <c r="O878" i="19"/>
  <c r="P878" i="19"/>
  <c r="O879" i="19"/>
  <c r="P879" i="19"/>
  <c r="O880" i="19"/>
  <c r="P880" i="19"/>
  <c r="O881" i="19"/>
  <c r="P881" i="19"/>
  <c r="O882" i="19"/>
  <c r="P882" i="19"/>
  <c r="O883" i="19"/>
  <c r="P883" i="19"/>
  <c r="O884" i="19"/>
  <c r="P884" i="19"/>
  <c r="O885" i="19"/>
  <c r="P885" i="19"/>
  <c r="O886" i="19"/>
  <c r="P886" i="19"/>
  <c r="O887" i="19"/>
  <c r="P887" i="19"/>
  <c r="O888" i="19"/>
  <c r="P888" i="19"/>
  <c r="O889" i="19"/>
  <c r="P889" i="19"/>
  <c r="O890" i="19"/>
  <c r="P890" i="19"/>
  <c r="O891" i="19"/>
  <c r="P891" i="19"/>
  <c r="O892" i="19"/>
  <c r="P892" i="19"/>
  <c r="O893" i="19"/>
  <c r="P893" i="19"/>
  <c r="O894" i="19"/>
  <c r="P894" i="19"/>
  <c r="O895" i="19"/>
  <c r="P895" i="19"/>
  <c r="O896" i="19"/>
  <c r="P896" i="19"/>
  <c r="O897" i="19"/>
  <c r="P897" i="19"/>
  <c r="O898" i="19"/>
  <c r="P898" i="19"/>
  <c r="O899" i="19"/>
  <c r="P899" i="19"/>
  <c r="O900" i="19"/>
  <c r="P900" i="19"/>
  <c r="O901" i="19"/>
  <c r="P901" i="19"/>
  <c r="O902" i="19"/>
  <c r="P902" i="19"/>
  <c r="O903" i="19"/>
  <c r="P903" i="19"/>
  <c r="O904" i="19"/>
  <c r="P904" i="19"/>
  <c r="O905" i="19"/>
  <c r="P905" i="19"/>
  <c r="O906" i="19"/>
  <c r="P906" i="19"/>
  <c r="O907" i="19"/>
  <c r="P907" i="19"/>
  <c r="O908" i="19"/>
  <c r="P908" i="19"/>
  <c r="O909" i="19"/>
  <c r="P909" i="19"/>
  <c r="O910" i="19"/>
  <c r="P910" i="19"/>
  <c r="O911" i="19"/>
  <c r="P911" i="19"/>
  <c r="O912" i="19"/>
  <c r="P912" i="19"/>
  <c r="O913" i="19"/>
  <c r="P913" i="19"/>
  <c r="O914" i="19"/>
  <c r="P914" i="19"/>
  <c r="O915" i="19"/>
  <c r="P915" i="19"/>
  <c r="O916" i="19"/>
  <c r="P916" i="19"/>
  <c r="O917" i="19"/>
  <c r="P917" i="19"/>
  <c r="O918" i="19"/>
  <c r="P918" i="19"/>
  <c r="O919" i="19"/>
  <c r="P919" i="19"/>
  <c r="O920" i="19"/>
  <c r="P920" i="19"/>
  <c r="O921" i="19"/>
  <c r="P921" i="19"/>
  <c r="O922" i="19"/>
  <c r="P922" i="19"/>
  <c r="O923" i="19"/>
  <c r="P923" i="19"/>
  <c r="O924" i="19"/>
  <c r="P924" i="19"/>
  <c r="O925" i="19"/>
  <c r="P925" i="19"/>
  <c r="O926" i="19"/>
  <c r="P926" i="19"/>
  <c r="P2" i="19"/>
  <c r="O2" i="19"/>
  <c r="C2" i="19"/>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283" i="19"/>
  <c r="C284" i="19"/>
  <c r="C285" i="19"/>
  <c r="C286" i="19"/>
  <c r="C287" i="19"/>
  <c r="C288" i="19"/>
  <c r="C289"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315" i="19"/>
  <c r="C316" i="19"/>
  <c r="C317" i="19"/>
  <c r="C318" i="19"/>
  <c r="C319" i="19"/>
  <c r="C320" i="19"/>
  <c r="C321" i="19"/>
  <c r="C322" i="19"/>
  <c r="C323" i="19"/>
  <c r="C324" i="19"/>
  <c r="C325" i="19"/>
  <c r="C326" i="19"/>
  <c r="C327" i="19"/>
  <c r="C328" i="19"/>
  <c r="C329" i="19"/>
  <c r="C330" i="19"/>
  <c r="C331" i="19"/>
  <c r="C332" i="19"/>
  <c r="C333" i="19"/>
  <c r="C334" i="19"/>
  <c r="C335" i="19"/>
  <c r="C336" i="19"/>
  <c r="C337" i="19"/>
  <c r="C338" i="19"/>
  <c r="C339" i="19"/>
  <c r="C340" i="19"/>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72" i="19"/>
  <c r="C373" i="19"/>
  <c r="C374" i="19"/>
  <c r="C375" i="19"/>
  <c r="C376" i="19"/>
  <c r="C377" i="19"/>
  <c r="C378" i="19"/>
  <c r="C379" i="19"/>
  <c r="C380" i="19"/>
  <c r="C381" i="19"/>
  <c r="C382" i="19"/>
  <c r="C383" i="19"/>
  <c r="C384" i="19"/>
  <c r="C385" i="19"/>
  <c r="C386" i="19"/>
  <c r="C387" i="19"/>
  <c r="C388" i="19"/>
  <c r="C389" i="19"/>
  <c r="C390" i="19"/>
  <c r="C391" i="19"/>
  <c r="C392" i="19"/>
  <c r="C393" i="19"/>
  <c r="C394" i="19"/>
  <c r="C395" i="19"/>
  <c r="C396" i="19"/>
  <c r="C397" i="19"/>
  <c r="C398" i="19"/>
  <c r="C399" i="19"/>
  <c r="C400" i="19"/>
  <c r="C401" i="19"/>
  <c r="C402" i="19"/>
  <c r="C403" i="19"/>
  <c r="C404" i="19"/>
  <c r="C405" i="19"/>
  <c r="C406" i="19"/>
  <c r="C407" i="19"/>
  <c r="C408" i="19"/>
  <c r="C409" i="19"/>
  <c r="C410" i="19"/>
  <c r="C411" i="19"/>
  <c r="C412" i="19"/>
  <c r="C413" i="19"/>
  <c r="C414" i="19"/>
  <c r="C415" i="19"/>
  <c r="C416" i="19"/>
  <c r="C417" i="19"/>
  <c r="C418" i="19"/>
  <c r="C419" i="19"/>
  <c r="C420" i="19"/>
  <c r="C421" i="19"/>
  <c r="C422" i="19"/>
  <c r="C423" i="19"/>
  <c r="C424" i="19"/>
  <c r="C425" i="19"/>
  <c r="C426" i="19"/>
  <c r="C427" i="19"/>
  <c r="C428" i="19"/>
  <c r="C429" i="19"/>
  <c r="C430" i="19"/>
  <c r="C431" i="19"/>
  <c r="C432" i="19"/>
  <c r="C433" i="19"/>
  <c r="C434" i="19"/>
  <c r="C435" i="19"/>
  <c r="C436" i="19"/>
  <c r="C437" i="19"/>
  <c r="C438" i="19"/>
  <c r="C439" i="19"/>
  <c r="C440" i="19"/>
  <c r="C441" i="19"/>
  <c r="C442" i="19"/>
  <c r="C443" i="19"/>
  <c r="C444" i="19"/>
  <c r="C445" i="19"/>
  <c r="C446" i="19"/>
  <c r="C447" i="19"/>
  <c r="C448" i="19"/>
  <c r="C449" i="19"/>
  <c r="C450" i="19"/>
  <c r="C451" i="19"/>
  <c r="C452" i="19"/>
  <c r="C453" i="19"/>
  <c r="C454" i="19"/>
  <c r="C455" i="19"/>
  <c r="C456" i="19"/>
  <c r="C457" i="19"/>
  <c r="C458" i="19"/>
  <c r="C459" i="19"/>
  <c r="C460" i="19"/>
  <c r="C461" i="19"/>
  <c r="C462" i="19"/>
  <c r="C463" i="19"/>
  <c r="C464" i="19"/>
  <c r="C465" i="19"/>
  <c r="C466" i="19"/>
  <c r="C467" i="19"/>
  <c r="C468" i="19"/>
  <c r="C469" i="19"/>
  <c r="C470" i="19"/>
  <c r="C471" i="19"/>
  <c r="C472" i="19"/>
  <c r="C473" i="19"/>
  <c r="C474" i="19"/>
  <c r="C475" i="19"/>
  <c r="C476" i="19"/>
  <c r="C477" i="19"/>
  <c r="C478" i="19"/>
  <c r="C479" i="19"/>
  <c r="C480" i="19"/>
  <c r="C481" i="19"/>
  <c r="C482" i="19"/>
  <c r="C483" i="19"/>
  <c r="C484" i="19"/>
  <c r="C485" i="19"/>
  <c r="C486" i="19"/>
  <c r="C487" i="19"/>
  <c r="C488" i="19"/>
  <c r="C489" i="19"/>
  <c r="C490" i="19"/>
  <c r="C491" i="19"/>
  <c r="C492" i="19"/>
  <c r="C493" i="19"/>
  <c r="C494" i="19"/>
  <c r="C495" i="19"/>
  <c r="C496" i="19"/>
  <c r="C497" i="19"/>
  <c r="C498" i="19"/>
  <c r="C499" i="19"/>
  <c r="C500" i="19"/>
  <c r="C501" i="19"/>
  <c r="C502" i="19"/>
  <c r="C503" i="19"/>
  <c r="C504" i="19"/>
  <c r="C505" i="19"/>
  <c r="C506" i="19"/>
  <c r="C507" i="19"/>
  <c r="C508" i="19"/>
  <c r="C509" i="19"/>
  <c r="C510" i="19"/>
  <c r="C511" i="19"/>
  <c r="C512" i="19"/>
  <c r="C513" i="19"/>
  <c r="C514" i="19"/>
  <c r="C515" i="19"/>
  <c r="C516" i="19"/>
  <c r="C517" i="19"/>
  <c r="C518" i="19"/>
  <c r="C519" i="19"/>
  <c r="C520" i="19"/>
  <c r="C521" i="19"/>
  <c r="C522" i="19"/>
  <c r="C523" i="19"/>
  <c r="C524" i="19"/>
  <c r="C525" i="19"/>
  <c r="C526" i="19"/>
  <c r="C527" i="19"/>
  <c r="C528" i="19"/>
  <c r="C529" i="19"/>
  <c r="C530" i="19"/>
  <c r="C531" i="19"/>
  <c r="C532" i="19"/>
  <c r="C533" i="19"/>
  <c r="C534" i="19"/>
  <c r="C535" i="19"/>
  <c r="C536" i="19"/>
  <c r="C537" i="19"/>
  <c r="C538" i="19"/>
  <c r="C539" i="19"/>
  <c r="C540" i="19"/>
  <c r="C541" i="19"/>
  <c r="C542" i="19"/>
  <c r="C543" i="19"/>
  <c r="C544" i="19"/>
  <c r="C545" i="19"/>
  <c r="C546" i="19"/>
  <c r="C547" i="19"/>
  <c r="C548" i="19"/>
  <c r="C549" i="19"/>
  <c r="C550" i="19"/>
  <c r="C551" i="19"/>
  <c r="C552" i="19"/>
  <c r="C553" i="19"/>
  <c r="C554" i="19"/>
  <c r="C555" i="19"/>
  <c r="C556" i="19"/>
  <c r="C557" i="19"/>
  <c r="C558" i="19"/>
  <c r="C559" i="19"/>
  <c r="C560" i="19"/>
  <c r="C561" i="19"/>
  <c r="C562" i="19"/>
  <c r="C563" i="19"/>
  <c r="C564" i="19"/>
  <c r="C565" i="19"/>
  <c r="C566" i="19"/>
  <c r="C567" i="19"/>
  <c r="C568" i="19"/>
  <c r="C569" i="19"/>
  <c r="C570" i="19"/>
  <c r="C571" i="19"/>
  <c r="C572" i="19"/>
  <c r="C573" i="19"/>
  <c r="C574" i="19"/>
  <c r="C575" i="19"/>
  <c r="C576" i="19"/>
  <c r="C577" i="19"/>
  <c r="C578" i="19"/>
  <c r="C579" i="19"/>
  <c r="C580" i="19"/>
  <c r="C581" i="19"/>
  <c r="C582" i="19"/>
  <c r="C583" i="19"/>
  <c r="C584" i="19"/>
  <c r="C585" i="19"/>
  <c r="C586" i="19"/>
  <c r="C587" i="19"/>
  <c r="C588" i="19"/>
  <c r="C589" i="19"/>
  <c r="C590" i="19"/>
  <c r="C591" i="19"/>
  <c r="C592" i="19"/>
  <c r="C593" i="19"/>
  <c r="C594" i="19"/>
  <c r="C595" i="19"/>
  <c r="C596" i="19"/>
  <c r="C597" i="19"/>
  <c r="C598" i="19"/>
  <c r="C599" i="19"/>
  <c r="C600" i="19"/>
  <c r="C601" i="19"/>
  <c r="C602" i="19"/>
  <c r="C603" i="19"/>
  <c r="C604" i="19"/>
  <c r="C605" i="19"/>
  <c r="C606" i="19"/>
  <c r="C607" i="19"/>
  <c r="C608" i="19"/>
  <c r="C609" i="19"/>
  <c r="C610" i="19"/>
  <c r="C611" i="19"/>
  <c r="C612" i="19"/>
  <c r="C613" i="19"/>
  <c r="C614" i="19"/>
  <c r="C615" i="19"/>
  <c r="C616" i="19"/>
  <c r="C617" i="19"/>
  <c r="C618" i="19"/>
  <c r="C619" i="19"/>
  <c r="C620" i="19"/>
  <c r="C621" i="19"/>
  <c r="C622" i="19"/>
  <c r="C623" i="19"/>
  <c r="C624" i="19"/>
  <c r="C625" i="19"/>
  <c r="C626" i="19"/>
  <c r="C627" i="19"/>
  <c r="C628" i="19"/>
  <c r="C629" i="19"/>
  <c r="C630" i="19"/>
  <c r="C631" i="19"/>
  <c r="C632" i="19"/>
  <c r="C633" i="19"/>
  <c r="C634" i="19"/>
  <c r="C635" i="19"/>
  <c r="C636" i="19"/>
  <c r="C637" i="19"/>
  <c r="C638" i="19"/>
  <c r="C639" i="19"/>
  <c r="C640" i="19"/>
  <c r="C641" i="19"/>
  <c r="C642" i="19"/>
  <c r="C643" i="19"/>
  <c r="C644" i="19"/>
  <c r="C645" i="19"/>
  <c r="C646" i="19"/>
  <c r="C647" i="19"/>
  <c r="C648" i="19"/>
  <c r="C649" i="19"/>
  <c r="C650" i="19"/>
  <c r="C651" i="19"/>
  <c r="C652" i="19"/>
  <c r="C653" i="19"/>
  <c r="C654" i="19"/>
  <c r="C655" i="19"/>
  <c r="C656" i="19"/>
  <c r="C657" i="19"/>
  <c r="C658" i="19"/>
  <c r="C659" i="19"/>
  <c r="C660" i="19"/>
  <c r="C661" i="19"/>
  <c r="C662" i="19"/>
  <c r="C663" i="19"/>
  <c r="C664" i="19"/>
  <c r="C665" i="19"/>
  <c r="C666" i="19"/>
  <c r="C667" i="19"/>
  <c r="C668" i="19"/>
  <c r="C669" i="19"/>
  <c r="C670" i="19"/>
  <c r="C671" i="19"/>
  <c r="C672" i="19"/>
  <c r="C673" i="19"/>
  <c r="C674" i="19"/>
  <c r="C675" i="19"/>
  <c r="C676" i="19"/>
  <c r="C677" i="19"/>
  <c r="C678" i="19"/>
  <c r="C679" i="19"/>
  <c r="C680" i="19"/>
  <c r="C681" i="19"/>
  <c r="C682" i="19"/>
  <c r="C683" i="19"/>
  <c r="C684" i="19"/>
  <c r="C685" i="19"/>
  <c r="C686" i="19"/>
  <c r="C687" i="19"/>
  <c r="C688" i="19"/>
  <c r="C689" i="19"/>
  <c r="C690" i="19"/>
  <c r="C691" i="19"/>
  <c r="C692" i="19"/>
  <c r="C693" i="19"/>
  <c r="C694" i="19"/>
  <c r="C695" i="19"/>
  <c r="C696" i="19"/>
  <c r="C697" i="19"/>
  <c r="C698" i="19"/>
  <c r="C699" i="19"/>
  <c r="C700" i="19"/>
  <c r="C701" i="19"/>
  <c r="C702" i="19"/>
  <c r="C703" i="19"/>
  <c r="C704" i="19"/>
  <c r="C705" i="19"/>
  <c r="C706" i="19"/>
  <c r="C707" i="19"/>
  <c r="C708" i="19"/>
  <c r="C709" i="19"/>
  <c r="C710" i="19"/>
  <c r="C711" i="19"/>
  <c r="C712" i="19"/>
  <c r="C713" i="19"/>
  <c r="C714" i="19"/>
  <c r="C715" i="19"/>
  <c r="C716" i="19"/>
  <c r="C717" i="19"/>
  <c r="C718" i="19"/>
  <c r="C719" i="19"/>
  <c r="C720" i="19"/>
  <c r="C721" i="19"/>
  <c r="C722" i="19"/>
  <c r="C723" i="19"/>
  <c r="C724" i="19"/>
  <c r="C725" i="19"/>
  <c r="C726" i="19"/>
  <c r="C727" i="19"/>
  <c r="C728" i="19"/>
  <c r="C729" i="19"/>
  <c r="C730" i="19"/>
  <c r="C731" i="19"/>
  <c r="C732" i="19"/>
  <c r="C733" i="19"/>
  <c r="C734" i="19"/>
  <c r="C735" i="19"/>
  <c r="C736" i="19"/>
  <c r="C737" i="19"/>
  <c r="C738" i="19"/>
  <c r="C739" i="19"/>
  <c r="C740" i="19"/>
  <c r="C741" i="19"/>
  <c r="C742" i="19"/>
  <c r="C743" i="19"/>
  <c r="C744" i="19"/>
  <c r="C745" i="19"/>
  <c r="C746" i="19"/>
  <c r="C747" i="19"/>
  <c r="C748" i="19"/>
  <c r="C749" i="19"/>
  <c r="C750" i="19"/>
  <c r="C751" i="19"/>
  <c r="C752" i="19"/>
  <c r="C753" i="19"/>
  <c r="C754" i="19"/>
  <c r="C755" i="19"/>
  <c r="C756" i="19"/>
  <c r="C757" i="19"/>
  <c r="C758" i="19"/>
  <c r="C759" i="19"/>
  <c r="C760" i="19"/>
  <c r="C761" i="19"/>
  <c r="C762" i="19"/>
  <c r="C763" i="19"/>
  <c r="C764" i="19"/>
  <c r="C765" i="19"/>
  <c r="C766" i="19"/>
  <c r="C767" i="19"/>
  <c r="C768" i="19"/>
  <c r="C769" i="19"/>
  <c r="C770" i="19"/>
  <c r="C771" i="19"/>
  <c r="C772" i="19"/>
  <c r="C773" i="19"/>
  <c r="C774" i="19"/>
  <c r="C775" i="19"/>
  <c r="C776" i="19"/>
  <c r="C777" i="19"/>
  <c r="C778" i="19"/>
  <c r="C779" i="19"/>
  <c r="C780" i="19"/>
  <c r="C781" i="19"/>
  <c r="C782" i="19"/>
  <c r="C783" i="19"/>
  <c r="C784" i="19"/>
  <c r="C785" i="19"/>
  <c r="C786" i="19"/>
  <c r="C787" i="19"/>
  <c r="C788" i="19"/>
  <c r="C789" i="19"/>
  <c r="C790" i="19"/>
  <c r="C791" i="19"/>
  <c r="C792" i="19"/>
  <c r="C793" i="19"/>
  <c r="C794" i="19"/>
  <c r="C795" i="19"/>
  <c r="C796" i="19"/>
  <c r="C797" i="19"/>
  <c r="C798" i="19"/>
  <c r="C799" i="19"/>
  <c r="C800" i="19"/>
  <c r="C801" i="19"/>
  <c r="C802" i="19"/>
  <c r="C803" i="19"/>
  <c r="C804" i="19"/>
  <c r="C805" i="19"/>
  <c r="C806" i="19"/>
  <c r="C807" i="19"/>
  <c r="C808" i="19"/>
  <c r="C809" i="19"/>
  <c r="C810" i="19"/>
  <c r="C811" i="19"/>
  <c r="C812" i="19"/>
  <c r="C813" i="19"/>
  <c r="C814" i="19"/>
  <c r="C815" i="19"/>
  <c r="C816" i="19"/>
  <c r="C817" i="19"/>
  <c r="C818" i="19"/>
  <c r="C819" i="19"/>
  <c r="C820" i="19"/>
  <c r="C821" i="19"/>
  <c r="C822" i="19"/>
  <c r="C823" i="19"/>
  <c r="C824" i="19"/>
  <c r="C825" i="19"/>
  <c r="C826" i="19"/>
  <c r="C827" i="19"/>
  <c r="C828" i="19"/>
  <c r="C829" i="19"/>
  <c r="C830" i="19"/>
  <c r="C831" i="19"/>
  <c r="C832" i="19"/>
  <c r="C833" i="19"/>
  <c r="C834" i="19"/>
  <c r="C835" i="19"/>
  <c r="C836" i="19"/>
  <c r="C837" i="19"/>
  <c r="C838" i="19"/>
  <c r="C839" i="19"/>
  <c r="C840" i="19"/>
  <c r="C841" i="19"/>
  <c r="C842" i="19"/>
  <c r="C843" i="19"/>
  <c r="C844" i="19"/>
  <c r="C845" i="19"/>
  <c r="C846" i="19"/>
  <c r="C847" i="19"/>
  <c r="C848" i="19"/>
  <c r="C849" i="19"/>
  <c r="C850" i="19"/>
  <c r="C851" i="19"/>
  <c r="C852" i="19"/>
  <c r="C853" i="19"/>
  <c r="C854" i="19"/>
  <c r="C855" i="19"/>
  <c r="C856" i="19"/>
  <c r="C857" i="19"/>
  <c r="C858" i="19"/>
  <c r="C859" i="19"/>
  <c r="C860" i="19"/>
  <c r="C861" i="19"/>
  <c r="C862" i="19"/>
  <c r="C863" i="19"/>
  <c r="C864" i="19"/>
  <c r="C865" i="19"/>
  <c r="C866" i="19"/>
  <c r="C867" i="19"/>
  <c r="C868" i="19"/>
  <c r="C869" i="19"/>
  <c r="C870" i="19"/>
  <c r="C871" i="19"/>
  <c r="C872" i="19"/>
  <c r="C873" i="19"/>
  <c r="C874" i="19"/>
  <c r="C875" i="19"/>
  <c r="C876" i="19"/>
  <c r="C877" i="19"/>
  <c r="C878" i="19"/>
  <c r="C879" i="19"/>
  <c r="C880" i="19"/>
  <c r="C881" i="19"/>
  <c r="C882" i="19"/>
  <c r="C883" i="19"/>
  <c r="C884" i="19"/>
  <c r="C885" i="19"/>
  <c r="C886" i="19"/>
  <c r="C887" i="19"/>
  <c r="C888" i="19"/>
  <c r="C889" i="19"/>
  <c r="C890" i="19"/>
  <c r="C891" i="19"/>
  <c r="C892" i="19"/>
  <c r="C893" i="19"/>
  <c r="C894" i="19"/>
  <c r="C895" i="19"/>
  <c r="C896" i="19"/>
  <c r="C897" i="19"/>
  <c r="C898" i="19"/>
  <c r="C899" i="19"/>
  <c r="C900" i="19"/>
  <c r="C901" i="19"/>
  <c r="C902" i="19"/>
  <c r="C903" i="19"/>
  <c r="C904" i="19"/>
  <c r="C905" i="19"/>
  <c r="C906" i="19"/>
  <c r="C907" i="19"/>
  <c r="C908" i="19"/>
  <c r="C909" i="19"/>
  <c r="C910" i="19"/>
  <c r="C911" i="19"/>
  <c r="C912" i="19"/>
  <c r="C913" i="19"/>
  <c r="C914" i="19"/>
  <c r="C915" i="19"/>
  <c r="C916" i="19"/>
  <c r="C917" i="19"/>
  <c r="C918" i="19"/>
  <c r="C919" i="19"/>
  <c r="C920" i="19"/>
  <c r="C921" i="19"/>
  <c r="C922" i="19"/>
  <c r="C923" i="19"/>
  <c r="C924" i="19"/>
  <c r="C925" i="19"/>
  <c r="C926" i="19"/>
  <c r="B2" i="19"/>
  <c r="B3" i="19"/>
  <c r="B4" i="19"/>
  <c r="B5" i="19"/>
  <c r="B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6" i="19"/>
  <c r="B107" i="19"/>
  <c r="B108" i="19"/>
  <c r="B109" i="19"/>
  <c r="B110" i="19"/>
  <c r="B111" i="19"/>
  <c r="B112" i="19"/>
  <c r="B113" i="19"/>
  <c r="B114" i="19"/>
  <c r="B115" i="19"/>
  <c r="B116" i="19"/>
  <c r="B117" i="19"/>
  <c r="B118" i="19"/>
  <c r="B119" i="19"/>
  <c r="B120" i="19"/>
  <c r="B121" i="19"/>
  <c r="B122" i="19"/>
  <c r="B123" i="19"/>
  <c r="B124" i="19"/>
  <c r="B125" i="19"/>
  <c r="B126" i="19"/>
  <c r="B127" i="19"/>
  <c r="B128" i="19"/>
  <c r="B129" i="19"/>
  <c r="B130" i="19"/>
  <c r="B131" i="19"/>
  <c r="B132" i="19"/>
  <c r="B133" i="19"/>
  <c r="B134" i="19"/>
  <c r="B135" i="19"/>
  <c r="B136" i="19"/>
  <c r="B137" i="19"/>
  <c r="B138" i="19"/>
  <c r="B139" i="19"/>
  <c r="B140" i="19"/>
  <c r="B141" i="19"/>
  <c r="B142" i="19"/>
  <c r="B143" i="19"/>
  <c r="B144" i="19"/>
  <c r="B145" i="19"/>
  <c r="B146" i="19"/>
  <c r="B147" i="19"/>
  <c r="B148" i="19"/>
  <c r="B149" i="19"/>
  <c r="B150" i="19"/>
  <c r="B151" i="19"/>
  <c r="B152" i="19"/>
  <c r="B153" i="19"/>
  <c r="B154" i="19"/>
  <c r="B155" i="19"/>
  <c r="B156" i="19"/>
  <c r="B157" i="19"/>
  <c r="B158" i="19"/>
  <c r="B159" i="19"/>
  <c r="B160" i="19"/>
  <c r="B161" i="19"/>
  <c r="B162" i="19"/>
  <c r="B163" i="19"/>
  <c r="B164" i="19"/>
  <c r="B165" i="19"/>
  <c r="B166" i="19"/>
  <c r="B167" i="19"/>
  <c r="B168" i="19"/>
  <c r="B169" i="19"/>
  <c r="B170" i="19"/>
  <c r="B171" i="19"/>
  <c r="B172" i="19"/>
  <c r="B173" i="19"/>
  <c r="B174" i="19"/>
  <c r="B175" i="19"/>
  <c r="B176" i="19"/>
  <c r="B177" i="19"/>
  <c r="B178" i="19"/>
  <c r="B179" i="19"/>
  <c r="B180" i="19"/>
  <c r="B181" i="19"/>
  <c r="B182" i="19"/>
  <c r="B183" i="19"/>
  <c r="B184" i="19"/>
  <c r="B185" i="19"/>
  <c r="B186" i="19"/>
  <c r="B187" i="19"/>
  <c r="B188" i="19"/>
  <c r="B189" i="19"/>
  <c r="B190" i="19"/>
  <c r="B191" i="19"/>
  <c r="B192" i="19"/>
  <c r="B193" i="19"/>
  <c r="B194" i="19"/>
  <c r="B195" i="19"/>
  <c r="B196" i="19"/>
  <c r="B197" i="19"/>
  <c r="B198" i="19"/>
  <c r="B199" i="19"/>
  <c r="B200" i="19"/>
  <c r="B201" i="19"/>
  <c r="B202" i="19"/>
  <c r="B203" i="19"/>
  <c r="B204" i="19"/>
  <c r="B205" i="19"/>
  <c r="B206" i="19"/>
  <c r="B207" i="19"/>
  <c r="B208" i="19"/>
  <c r="B209" i="19"/>
  <c r="B210" i="19"/>
  <c r="B211" i="19"/>
  <c r="B212" i="19"/>
  <c r="B213" i="19"/>
  <c r="B214" i="19"/>
  <c r="B215" i="19"/>
  <c r="B216" i="19"/>
  <c r="B217" i="19"/>
  <c r="B218" i="19"/>
  <c r="B219" i="19"/>
  <c r="B220" i="19"/>
  <c r="B221" i="19"/>
  <c r="B222" i="19"/>
  <c r="B223" i="19"/>
  <c r="B224" i="19"/>
  <c r="B225" i="19"/>
  <c r="B226" i="19"/>
  <c r="B227" i="19"/>
  <c r="B228" i="19"/>
  <c r="B229" i="19"/>
  <c r="B230" i="19"/>
  <c r="B231" i="19"/>
  <c r="B232" i="19"/>
  <c r="B233" i="19"/>
  <c r="B234" i="19"/>
  <c r="B235" i="19"/>
  <c r="B236" i="19"/>
  <c r="B237" i="19"/>
  <c r="B238" i="19"/>
  <c r="B239" i="19"/>
  <c r="B240" i="19"/>
  <c r="B241" i="19"/>
  <c r="B242" i="19"/>
  <c r="B243" i="19"/>
  <c r="B244" i="19"/>
  <c r="B245" i="19"/>
  <c r="B246" i="19"/>
  <c r="B247" i="19"/>
  <c r="B248" i="19"/>
  <c r="B249" i="19"/>
  <c r="B250" i="19"/>
  <c r="B251" i="19"/>
  <c r="B252" i="19"/>
  <c r="B253" i="19"/>
  <c r="B254" i="19"/>
  <c r="B255" i="19"/>
  <c r="B256" i="19"/>
  <c r="B257" i="19"/>
  <c r="B258" i="19"/>
  <c r="B259" i="19"/>
  <c r="B260" i="19"/>
  <c r="B261" i="19"/>
  <c r="B262" i="19"/>
  <c r="B263" i="19"/>
  <c r="B264" i="19"/>
  <c r="B265" i="19"/>
  <c r="B266" i="19"/>
  <c r="B267" i="19"/>
  <c r="B268" i="19"/>
  <c r="B269" i="19"/>
  <c r="B270" i="19"/>
  <c r="B271" i="19"/>
  <c r="B272" i="19"/>
  <c r="B273" i="19"/>
  <c r="B274" i="19"/>
  <c r="B275" i="19"/>
  <c r="B276" i="19"/>
  <c r="B277" i="19"/>
  <c r="B278" i="19"/>
  <c r="B279" i="19"/>
  <c r="B280" i="19"/>
  <c r="B281" i="19"/>
  <c r="B282" i="19"/>
  <c r="B283" i="19"/>
  <c r="B284" i="19"/>
  <c r="B285" i="19"/>
  <c r="B286" i="19"/>
  <c r="B287" i="19"/>
  <c r="B288" i="19"/>
  <c r="B289" i="19"/>
  <c r="B290" i="19"/>
  <c r="B291" i="19"/>
  <c r="B292" i="19"/>
  <c r="B293" i="19"/>
  <c r="B294" i="19"/>
  <c r="B295" i="19"/>
  <c r="B296" i="19"/>
  <c r="B297" i="19"/>
  <c r="B298" i="19"/>
  <c r="B299" i="19"/>
  <c r="B300" i="19"/>
  <c r="B301" i="19"/>
  <c r="B302" i="19"/>
  <c r="B303" i="19"/>
  <c r="B304" i="19"/>
  <c r="B305" i="19"/>
  <c r="B306" i="19"/>
  <c r="B307" i="19"/>
  <c r="B308" i="19"/>
  <c r="B309" i="19"/>
  <c r="B310" i="19"/>
  <c r="B311" i="19"/>
  <c r="B312" i="19"/>
  <c r="B313" i="19"/>
  <c r="B314" i="19"/>
  <c r="B315" i="19"/>
  <c r="B316" i="19"/>
  <c r="B317" i="19"/>
  <c r="B318" i="19"/>
  <c r="B319" i="19"/>
  <c r="B320" i="19"/>
  <c r="B321" i="19"/>
  <c r="B322" i="19"/>
  <c r="B323" i="19"/>
  <c r="B324" i="19"/>
  <c r="B325" i="19"/>
  <c r="B326" i="19"/>
  <c r="B327" i="19"/>
  <c r="B328" i="19"/>
  <c r="B329" i="19"/>
  <c r="B330" i="19"/>
  <c r="B331" i="19"/>
  <c r="B332" i="19"/>
  <c r="B333" i="19"/>
  <c r="B334" i="19"/>
  <c r="B335" i="19"/>
  <c r="B336" i="19"/>
  <c r="B337" i="19"/>
  <c r="B338" i="19"/>
  <c r="B339" i="19"/>
  <c r="B340" i="19"/>
  <c r="B341" i="19"/>
  <c r="B342" i="19"/>
  <c r="B343" i="19"/>
  <c r="B344" i="19"/>
  <c r="B345" i="19"/>
  <c r="B346" i="19"/>
  <c r="B347" i="19"/>
  <c r="B348" i="19"/>
  <c r="B349" i="19"/>
  <c r="B350" i="19"/>
  <c r="B351" i="19"/>
  <c r="B352" i="19"/>
  <c r="B353" i="19"/>
  <c r="B354" i="19"/>
  <c r="B355" i="19"/>
  <c r="B356" i="19"/>
  <c r="B357" i="19"/>
  <c r="B358" i="19"/>
  <c r="B359" i="19"/>
  <c r="B360" i="19"/>
  <c r="B361" i="19"/>
  <c r="B362" i="19"/>
  <c r="B363" i="19"/>
  <c r="B364" i="19"/>
  <c r="B365" i="19"/>
  <c r="B366" i="19"/>
  <c r="B367" i="19"/>
  <c r="B368" i="19"/>
  <c r="B369" i="19"/>
  <c r="B370" i="19"/>
  <c r="B371" i="19"/>
  <c r="B372" i="19"/>
  <c r="B373" i="19"/>
  <c r="B374" i="19"/>
  <c r="B375" i="19"/>
  <c r="B376" i="19"/>
  <c r="B377" i="19"/>
  <c r="B378" i="19"/>
  <c r="B379" i="19"/>
  <c r="B380" i="19"/>
  <c r="B381" i="19"/>
  <c r="B382" i="19"/>
  <c r="B383" i="19"/>
  <c r="B384" i="19"/>
  <c r="B385" i="19"/>
  <c r="B386" i="19"/>
  <c r="B387" i="19"/>
  <c r="B388" i="19"/>
  <c r="B389" i="19"/>
  <c r="B390" i="19"/>
  <c r="B391" i="19"/>
  <c r="B392" i="19"/>
  <c r="B393" i="19"/>
  <c r="B394" i="19"/>
  <c r="B395" i="19"/>
  <c r="B396" i="19"/>
  <c r="B397" i="19"/>
  <c r="B398" i="19"/>
  <c r="B399" i="19"/>
  <c r="B400" i="19"/>
  <c r="B401" i="19"/>
  <c r="B402" i="19"/>
  <c r="B403" i="19"/>
  <c r="B404" i="19"/>
  <c r="B405" i="19"/>
  <c r="B406" i="19"/>
  <c r="B407" i="19"/>
  <c r="B408" i="19"/>
  <c r="B409" i="19"/>
  <c r="B410" i="19"/>
  <c r="B411" i="19"/>
  <c r="B412" i="19"/>
  <c r="B413" i="19"/>
  <c r="B414" i="19"/>
  <c r="B415" i="19"/>
  <c r="B416" i="19"/>
  <c r="B417" i="19"/>
  <c r="B418" i="19"/>
  <c r="B419" i="19"/>
  <c r="B420" i="19"/>
  <c r="B421" i="19"/>
  <c r="B422" i="19"/>
  <c r="B423" i="19"/>
  <c r="B424" i="19"/>
  <c r="B425" i="19"/>
  <c r="B426" i="19"/>
  <c r="B427" i="19"/>
  <c r="B428" i="19"/>
  <c r="B429" i="19"/>
  <c r="B430" i="19"/>
  <c r="B431" i="19"/>
  <c r="B432" i="19"/>
  <c r="B433" i="19"/>
  <c r="B434" i="19"/>
  <c r="B435" i="19"/>
  <c r="B436" i="19"/>
  <c r="B437" i="19"/>
  <c r="B438" i="19"/>
  <c r="B439" i="19"/>
  <c r="B440" i="19"/>
  <c r="B441" i="19"/>
  <c r="B442" i="19"/>
  <c r="B443" i="19"/>
  <c r="B444" i="19"/>
  <c r="B445" i="19"/>
  <c r="B446" i="19"/>
  <c r="B447" i="19"/>
  <c r="B448" i="19"/>
  <c r="B449" i="19"/>
  <c r="B450" i="19"/>
  <c r="B451" i="19"/>
  <c r="B452" i="19"/>
  <c r="B453" i="19"/>
  <c r="B454" i="19"/>
  <c r="B455" i="19"/>
  <c r="B456" i="19"/>
  <c r="B457" i="19"/>
  <c r="B458" i="19"/>
  <c r="B459" i="19"/>
  <c r="B460" i="19"/>
  <c r="B461" i="19"/>
  <c r="B462" i="19"/>
  <c r="B463" i="19"/>
  <c r="B464" i="19"/>
  <c r="B465" i="19"/>
  <c r="B466" i="19"/>
  <c r="B467" i="19"/>
  <c r="B468" i="19"/>
  <c r="B469" i="19"/>
  <c r="B470" i="19"/>
  <c r="B471" i="19"/>
  <c r="B472" i="19"/>
  <c r="B473" i="19"/>
  <c r="B474" i="19"/>
  <c r="B475" i="19"/>
  <c r="B476" i="19"/>
  <c r="B477" i="19"/>
  <c r="B478" i="19"/>
  <c r="B479" i="19"/>
  <c r="B480" i="19"/>
  <c r="B481" i="19"/>
  <c r="B482" i="19"/>
  <c r="B483" i="19"/>
  <c r="B484" i="19"/>
  <c r="B485" i="19"/>
  <c r="B486" i="19"/>
  <c r="B487" i="19"/>
  <c r="B488" i="19"/>
  <c r="B489" i="19"/>
  <c r="B490" i="19"/>
  <c r="B491" i="19"/>
  <c r="B492" i="19"/>
  <c r="B493" i="19"/>
  <c r="B494" i="19"/>
  <c r="B495" i="19"/>
  <c r="B496" i="19"/>
  <c r="B497" i="19"/>
  <c r="B498" i="19"/>
  <c r="B499" i="19"/>
  <c r="B500" i="19"/>
  <c r="B501" i="19"/>
  <c r="B502" i="19"/>
  <c r="B503" i="19"/>
  <c r="B504" i="19"/>
  <c r="B505" i="19"/>
  <c r="B506" i="19"/>
  <c r="B507" i="19"/>
  <c r="B508" i="19"/>
  <c r="B509" i="19"/>
  <c r="B510" i="19"/>
  <c r="B511" i="19"/>
  <c r="B512" i="19"/>
  <c r="B513" i="19"/>
  <c r="B514" i="19"/>
  <c r="B515" i="19"/>
  <c r="B516" i="19"/>
  <c r="B517" i="19"/>
  <c r="B518" i="19"/>
  <c r="B519" i="19"/>
  <c r="B520" i="19"/>
  <c r="B521" i="19"/>
  <c r="B522" i="19"/>
  <c r="B523" i="19"/>
  <c r="B524" i="19"/>
  <c r="B525" i="19"/>
  <c r="B526" i="19"/>
  <c r="B527" i="19"/>
  <c r="B528" i="19"/>
  <c r="B529" i="19"/>
  <c r="B530" i="19"/>
  <c r="B531" i="19"/>
  <c r="B532" i="19"/>
  <c r="B533" i="19"/>
  <c r="B534" i="19"/>
  <c r="B535" i="19"/>
  <c r="B536" i="19"/>
  <c r="B537" i="19"/>
  <c r="B538" i="19"/>
  <c r="B539" i="19"/>
  <c r="B540" i="19"/>
  <c r="B541" i="19"/>
  <c r="B542" i="19"/>
  <c r="B543" i="19"/>
  <c r="B544" i="19"/>
  <c r="B545" i="19"/>
  <c r="B546" i="19"/>
  <c r="B547" i="19"/>
  <c r="B548" i="19"/>
  <c r="B549" i="19"/>
  <c r="B550" i="19"/>
  <c r="B551" i="19"/>
  <c r="B552" i="19"/>
  <c r="B553" i="19"/>
  <c r="B554" i="19"/>
  <c r="B555" i="19"/>
  <c r="B556" i="19"/>
  <c r="B557" i="19"/>
  <c r="B558" i="19"/>
  <c r="B559" i="19"/>
  <c r="B560" i="19"/>
  <c r="B561" i="19"/>
  <c r="B562" i="19"/>
  <c r="B563" i="19"/>
  <c r="B564" i="19"/>
  <c r="B565" i="19"/>
  <c r="B566" i="19"/>
  <c r="B567" i="19"/>
  <c r="B568" i="19"/>
  <c r="B569" i="19"/>
  <c r="B570" i="19"/>
  <c r="B571" i="19"/>
  <c r="B572" i="19"/>
  <c r="B573" i="19"/>
  <c r="B574" i="19"/>
  <c r="B575" i="19"/>
  <c r="B576" i="19"/>
  <c r="B577" i="19"/>
  <c r="B578" i="19"/>
  <c r="B579" i="19"/>
  <c r="B580" i="19"/>
  <c r="B581" i="19"/>
  <c r="B582" i="19"/>
  <c r="B583" i="19"/>
  <c r="B584" i="19"/>
  <c r="B585" i="19"/>
  <c r="B586" i="19"/>
  <c r="B587" i="19"/>
  <c r="B588" i="19"/>
  <c r="B589" i="19"/>
  <c r="B590" i="19"/>
  <c r="B591" i="19"/>
  <c r="B592" i="19"/>
  <c r="B593" i="19"/>
  <c r="B594" i="19"/>
  <c r="B595" i="19"/>
  <c r="B596" i="19"/>
  <c r="B597" i="19"/>
  <c r="B598" i="19"/>
  <c r="B599" i="19"/>
  <c r="B600" i="19"/>
  <c r="B601" i="19"/>
  <c r="B602" i="19"/>
  <c r="B603" i="19"/>
  <c r="B604" i="19"/>
  <c r="B605" i="19"/>
  <c r="B606" i="19"/>
  <c r="B607" i="19"/>
  <c r="B608" i="19"/>
  <c r="B609" i="19"/>
  <c r="B610" i="19"/>
  <c r="B611" i="19"/>
  <c r="B612" i="19"/>
  <c r="B613" i="19"/>
  <c r="B614" i="19"/>
  <c r="B615" i="19"/>
  <c r="B616" i="19"/>
  <c r="B617" i="19"/>
  <c r="B618" i="19"/>
  <c r="B619" i="19"/>
  <c r="B620" i="19"/>
  <c r="B621" i="19"/>
  <c r="B622" i="19"/>
  <c r="B623" i="19"/>
  <c r="B624" i="19"/>
  <c r="B625" i="19"/>
  <c r="B626" i="19"/>
  <c r="B627" i="19"/>
  <c r="B628" i="19"/>
  <c r="B629" i="19"/>
  <c r="B630" i="19"/>
  <c r="B631" i="19"/>
  <c r="B632" i="19"/>
  <c r="B633" i="19"/>
  <c r="B634" i="19"/>
  <c r="B635" i="19"/>
  <c r="B636" i="19"/>
  <c r="B637" i="19"/>
  <c r="B638" i="19"/>
  <c r="B639" i="19"/>
  <c r="B640" i="19"/>
  <c r="B641" i="19"/>
  <c r="B642" i="19"/>
  <c r="B643" i="19"/>
  <c r="B644" i="19"/>
  <c r="B645" i="19"/>
  <c r="B646" i="19"/>
  <c r="B647" i="19"/>
  <c r="B648" i="19"/>
  <c r="B649" i="19"/>
  <c r="B650" i="19"/>
  <c r="B651" i="19"/>
  <c r="B652" i="19"/>
  <c r="B653" i="19"/>
  <c r="B654" i="19"/>
  <c r="B655" i="19"/>
  <c r="B656" i="19"/>
  <c r="B657" i="19"/>
  <c r="B658" i="19"/>
  <c r="B659" i="19"/>
  <c r="B660" i="19"/>
  <c r="B661" i="19"/>
  <c r="B662" i="19"/>
  <c r="B663" i="19"/>
  <c r="B664" i="19"/>
  <c r="B665" i="19"/>
  <c r="B666" i="19"/>
  <c r="B667" i="19"/>
  <c r="B668" i="19"/>
  <c r="B669" i="19"/>
  <c r="B670" i="19"/>
  <c r="B671" i="19"/>
  <c r="B672" i="19"/>
  <c r="B673" i="19"/>
  <c r="B674" i="19"/>
  <c r="B675" i="19"/>
  <c r="B676" i="19"/>
  <c r="B677" i="19"/>
  <c r="B678" i="19"/>
  <c r="B679" i="19"/>
  <c r="B680" i="19"/>
  <c r="B681" i="19"/>
  <c r="B682" i="19"/>
  <c r="B683" i="19"/>
  <c r="B684" i="19"/>
  <c r="B685" i="19"/>
  <c r="B686" i="19"/>
  <c r="B687" i="19"/>
  <c r="B688" i="19"/>
  <c r="B689" i="19"/>
  <c r="B690" i="19"/>
  <c r="B691" i="19"/>
  <c r="B692" i="19"/>
  <c r="B693" i="19"/>
  <c r="B694" i="19"/>
  <c r="B695" i="19"/>
  <c r="B696" i="19"/>
  <c r="B697" i="19"/>
  <c r="B698" i="19"/>
  <c r="B699" i="19"/>
  <c r="B700" i="19"/>
  <c r="B701" i="19"/>
  <c r="B702" i="19"/>
  <c r="B703" i="19"/>
  <c r="B704" i="19"/>
  <c r="B705" i="19"/>
  <c r="B706" i="19"/>
  <c r="B707" i="19"/>
  <c r="B708" i="19"/>
  <c r="B709" i="19"/>
  <c r="B710" i="19"/>
  <c r="B711" i="19"/>
  <c r="B712" i="19"/>
  <c r="B713" i="19"/>
  <c r="B714" i="19"/>
  <c r="B715" i="19"/>
  <c r="B716" i="19"/>
  <c r="B717" i="19"/>
  <c r="B718" i="19"/>
  <c r="B719" i="19"/>
  <c r="B720" i="19"/>
  <c r="B721" i="19"/>
  <c r="B722" i="19"/>
  <c r="B723" i="19"/>
  <c r="B724" i="19"/>
  <c r="B725" i="19"/>
  <c r="B726" i="19"/>
  <c r="B727" i="19"/>
  <c r="B728" i="19"/>
  <c r="B729" i="19"/>
  <c r="B730" i="19"/>
  <c r="B731" i="19"/>
  <c r="B732" i="19"/>
  <c r="B733" i="19"/>
  <c r="B734" i="19"/>
  <c r="B735" i="19"/>
  <c r="B736" i="19"/>
  <c r="B737" i="19"/>
  <c r="B738" i="19"/>
  <c r="B739" i="19"/>
  <c r="B740" i="19"/>
  <c r="B741" i="19"/>
  <c r="B742" i="19"/>
  <c r="B743" i="19"/>
  <c r="B744" i="19"/>
  <c r="B745" i="19"/>
  <c r="B746" i="19"/>
  <c r="B747" i="19"/>
  <c r="B748" i="19"/>
  <c r="B749" i="19"/>
  <c r="B750" i="19"/>
  <c r="B751" i="19"/>
  <c r="B752" i="19"/>
  <c r="B753" i="19"/>
  <c r="B754" i="19"/>
  <c r="B755" i="19"/>
  <c r="B756" i="19"/>
  <c r="B757" i="19"/>
  <c r="B758" i="19"/>
  <c r="B759" i="19"/>
  <c r="B760" i="19"/>
  <c r="B761" i="19"/>
  <c r="B762" i="19"/>
  <c r="B763" i="19"/>
  <c r="B764" i="19"/>
  <c r="B765" i="19"/>
  <c r="B766" i="19"/>
  <c r="B767" i="19"/>
  <c r="B768" i="19"/>
  <c r="B769" i="19"/>
  <c r="B770" i="19"/>
  <c r="B771" i="19"/>
  <c r="B772" i="19"/>
  <c r="B773" i="19"/>
  <c r="B774" i="19"/>
  <c r="B775" i="19"/>
  <c r="B776" i="19"/>
  <c r="B777" i="19"/>
  <c r="B778" i="19"/>
  <c r="B779" i="19"/>
  <c r="B780" i="19"/>
  <c r="B781" i="19"/>
  <c r="B782" i="19"/>
  <c r="B783" i="19"/>
  <c r="B784" i="19"/>
  <c r="B785" i="19"/>
  <c r="B786" i="19"/>
  <c r="B787" i="19"/>
  <c r="B788" i="19"/>
  <c r="B789" i="19"/>
  <c r="B790" i="19"/>
  <c r="B791" i="19"/>
  <c r="B792" i="19"/>
  <c r="B793" i="19"/>
  <c r="B794" i="19"/>
  <c r="B795" i="19"/>
  <c r="B796" i="19"/>
  <c r="B797" i="19"/>
  <c r="B798" i="19"/>
  <c r="B799" i="19"/>
  <c r="B800" i="19"/>
  <c r="B801" i="19"/>
  <c r="B802" i="19"/>
  <c r="B803" i="19"/>
  <c r="B804" i="19"/>
  <c r="B805" i="19"/>
  <c r="B806" i="19"/>
  <c r="B807" i="19"/>
  <c r="B808" i="19"/>
  <c r="B809" i="19"/>
  <c r="B810" i="19"/>
  <c r="B811" i="19"/>
  <c r="B812" i="19"/>
  <c r="B813" i="19"/>
  <c r="B814" i="19"/>
  <c r="B815" i="19"/>
  <c r="B816" i="19"/>
  <c r="B817" i="19"/>
  <c r="B818" i="19"/>
  <c r="B819" i="19"/>
  <c r="B820" i="19"/>
  <c r="B821" i="19"/>
  <c r="B822" i="19"/>
  <c r="B823" i="19"/>
  <c r="B824" i="19"/>
  <c r="B825" i="19"/>
  <c r="B826" i="19"/>
  <c r="B827" i="19"/>
  <c r="B828" i="19"/>
  <c r="B829" i="19"/>
  <c r="B830" i="19"/>
  <c r="B831" i="19"/>
  <c r="B832" i="19"/>
  <c r="B833" i="19"/>
  <c r="B834" i="19"/>
  <c r="B835" i="19"/>
  <c r="B836" i="19"/>
  <c r="B837" i="19"/>
  <c r="B838" i="19"/>
  <c r="B839" i="19"/>
  <c r="B840" i="19"/>
  <c r="B841" i="19"/>
  <c r="B842" i="19"/>
  <c r="B843" i="19"/>
  <c r="B844" i="19"/>
  <c r="B845" i="19"/>
  <c r="B846" i="19"/>
  <c r="B847" i="19"/>
  <c r="B848" i="19"/>
  <c r="B849" i="19"/>
  <c r="B850" i="19"/>
  <c r="B851" i="19"/>
  <c r="B852" i="19"/>
  <c r="B853" i="19"/>
  <c r="B854" i="19"/>
  <c r="B855" i="19"/>
  <c r="B856" i="19"/>
  <c r="B857" i="19"/>
  <c r="B858" i="19"/>
  <c r="B859" i="19"/>
  <c r="B860" i="19"/>
  <c r="B861" i="19"/>
  <c r="B862" i="19"/>
  <c r="B863" i="19"/>
  <c r="B864" i="19"/>
  <c r="B865" i="19"/>
  <c r="B866" i="19"/>
  <c r="B867" i="19"/>
  <c r="B868" i="19"/>
  <c r="B869" i="19"/>
  <c r="B870" i="19"/>
  <c r="B871" i="19"/>
  <c r="B872" i="19"/>
  <c r="B873" i="19"/>
  <c r="B874" i="19"/>
  <c r="B875" i="19"/>
  <c r="B876" i="19"/>
  <c r="B877" i="19"/>
  <c r="B878" i="19"/>
  <c r="B879" i="19"/>
  <c r="B880" i="19"/>
  <c r="B881" i="19"/>
  <c r="B882" i="19"/>
  <c r="B883" i="19"/>
  <c r="B884" i="19"/>
  <c r="B885" i="19"/>
  <c r="B886" i="19"/>
  <c r="B887" i="19"/>
  <c r="B888" i="19"/>
  <c r="B889" i="19"/>
  <c r="B890" i="19"/>
  <c r="B891" i="19"/>
  <c r="B892" i="19"/>
  <c r="B893" i="19"/>
  <c r="B894" i="19"/>
  <c r="B895" i="19"/>
  <c r="B896" i="19"/>
  <c r="B897" i="19"/>
  <c r="B898" i="19"/>
  <c r="B899" i="19"/>
  <c r="B900" i="19"/>
  <c r="B901" i="19"/>
  <c r="B902" i="19"/>
  <c r="B903" i="19"/>
  <c r="B904" i="19"/>
  <c r="B905" i="19"/>
  <c r="B906" i="19"/>
  <c r="B907" i="19"/>
  <c r="B908" i="19"/>
  <c r="B909" i="19"/>
  <c r="B910" i="19"/>
  <c r="B911" i="19"/>
  <c r="B912" i="19"/>
  <c r="B913" i="19"/>
  <c r="B914" i="19"/>
  <c r="B915" i="19"/>
  <c r="B916" i="19"/>
  <c r="B917" i="19"/>
  <c r="B918" i="19"/>
  <c r="B919" i="19"/>
  <c r="B920" i="19"/>
  <c r="B921" i="19"/>
  <c r="B922" i="19"/>
  <c r="B923" i="19"/>
  <c r="B924" i="19"/>
  <c r="B925" i="19"/>
  <c r="B926" i="19"/>
  <c r="E2" i="19"/>
  <c r="E3" i="19"/>
  <c r="E4" i="19"/>
  <c r="E5" i="19"/>
  <c r="E6" i="19"/>
  <c r="E7" i="19"/>
  <c r="E8" i="19"/>
  <c r="E9" i="19"/>
  <c r="E10" i="19"/>
  <c r="E11" i="19"/>
  <c r="E12" i="19"/>
  <c r="E13" i="19"/>
  <c r="E14" i="19"/>
  <c r="E15" i="19"/>
  <c r="E16" i="19"/>
  <c r="E17" i="19"/>
  <c r="E18" i="19"/>
  <c r="E19" i="19"/>
  <c r="E20" i="19"/>
  <c r="E21" i="19"/>
  <c r="E22" i="19"/>
  <c r="E23" i="19"/>
  <c r="E24" i="19"/>
  <c r="E25" i="19"/>
  <c r="E26" i="19"/>
  <c r="E27" i="19"/>
  <c r="E28" i="19"/>
  <c r="E29" i="19"/>
  <c r="E30" i="19"/>
  <c r="E31" i="19"/>
  <c r="E32" i="19"/>
  <c r="E33" i="19"/>
  <c r="E34" i="19"/>
  <c r="E35" i="19"/>
  <c r="E36" i="19"/>
  <c r="E37" i="19"/>
  <c r="E38" i="19"/>
  <c r="E39" i="19"/>
  <c r="E40" i="19"/>
  <c r="E41" i="19"/>
  <c r="E42" i="19"/>
  <c r="E43" i="19"/>
  <c r="E44" i="19"/>
  <c r="E45" i="19"/>
  <c r="E46" i="19"/>
  <c r="E47" i="19"/>
  <c r="E48" i="19"/>
  <c r="E49" i="19"/>
  <c r="E50" i="19"/>
  <c r="E51" i="19"/>
  <c r="E52" i="19"/>
  <c r="E53" i="19"/>
  <c r="E54" i="19"/>
  <c r="E55" i="19"/>
  <c r="E56" i="19"/>
  <c r="E57" i="19"/>
  <c r="E58" i="19"/>
  <c r="E59" i="19"/>
  <c r="E60" i="19"/>
  <c r="E61" i="19"/>
  <c r="E62" i="19"/>
  <c r="E63" i="19"/>
  <c r="E64" i="19"/>
  <c r="E65" i="19"/>
  <c r="E66" i="19"/>
  <c r="E67" i="19"/>
  <c r="E68" i="19"/>
  <c r="E69" i="19"/>
  <c r="E70" i="19"/>
  <c r="E71" i="19"/>
  <c r="E72" i="19"/>
  <c r="E73" i="19"/>
  <c r="E74" i="19"/>
  <c r="E75" i="19"/>
  <c r="E76" i="19"/>
  <c r="E77" i="19"/>
  <c r="E78" i="19"/>
  <c r="E79" i="19"/>
  <c r="E80" i="19"/>
  <c r="E81" i="19"/>
  <c r="E82" i="19"/>
  <c r="E83" i="19"/>
  <c r="E84" i="19"/>
  <c r="E85" i="19"/>
  <c r="E86" i="19"/>
  <c r="E87" i="19"/>
  <c r="E88" i="19"/>
  <c r="E89" i="19"/>
  <c r="E90" i="19"/>
  <c r="E91" i="19"/>
  <c r="E92" i="19"/>
  <c r="E93" i="19"/>
  <c r="E94" i="19"/>
  <c r="E95" i="19"/>
  <c r="E96" i="19"/>
  <c r="E97" i="19"/>
  <c r="E98" i="19"/>
  <c r="E99" i="19"/>
  <c r="E100" i="19"/>
  <c r="E101" i="19"/>
  <c r="E102" i="19"/>
  <c r="E103" i="19"/>
  <c r="E104" i="19"/>
  <c r="E105" i="19"/>
  <c r="E106" i="19"/>
  <c r="E107" i="19"/>
  <c r="E108" i="19"/>
  <c r="E109" i="19"/>
  <c r="E110" i="19"/>
  <c r="E111" i="19"/>
  <c r="E112" i="19"/>
  <c r="E113" i="19"/>
  <c r="E114" i="19"/>
  <c r="E115" i="19"/>
  <c r="E116" i="19"/>
  <c r="E117" i="19"/>
  <c r="E118" i="19"/>
  <c r="E119" i="19"/>
  <c r="E120" i="19"/>
  <c r="E121" i="19"/>
  <c r="E122" i="19"/>
  <c r="E123" i="19"/>
  <c r="E124" i="19"/>
  <c r="E125" i="19"/>
  <c r="E126" i="19"/>
  <c r="E127" i="19"/>
  <c r="E128" i="19"/>
  <c r="E129" i="19"/>
  <c r="E130" i="19"/>
  <c r="E131" i="19"/>
  <c r="E132" i="19"/>
  <c r="E133" i="19"/>
  <c r="E134" i="19"/>
  <c r="E135" i="19"/>
  <c r="E136" i="19"/>
  <c r="E137" i="19"/>
  <c r="E138" i="19"/>
  <c r="E139" i="19"/>
  <c r="E140" i="19"/>
  <c r="E141" i="19"/>
  <c r="E142" i="19"/>
  <c r="E143" i="19"/>
  <c r="E144" i="19"/>
  <c r="E145" i="19"/>
  <c r="E146" i="19"/>
  <c r="E147" i="19"/>
  <c r="E148" i="19"/>
  <c r="E149" i="19"/>
  <c r="E150" i="19"/>
  <c r="E151" i="19"/>
  <c r="E152" i="19"/>
  <c r="E153" i="19"/>
  <c r="E154" i="19"/>
  <c r="E155" i="19"/>
  <c r="E156" i="19"/>
  <c r="E157" i="19"/>
  <c r="E158" i="19"/>
  <c r="E159" i="19"/>
  <c r="E160" i="19"/>
  <c r="E161" i="19"/>
  <c r="E162" i="19"/>
  <c r="E163" i="19"/>
  <c r="E164" i="19"/>
  <c r="E165" i="19"/>
  <c r="E166" i="19"/>
  <c r="E167" i="19"/>
  <c r="E168" i="19"/>
  <c r="E169" i="19"/>
  <c r="E170" i="19"/>
  <c r="E171" i="19"/>
  <c r="E172" i="19"/>
  <c r="E173" i="19"/>
  <c r="E174" i="19"/>
  <c r="E175" i="19"/>
  <c r="E176" i="19"/>
  <c r="E177" i="19"/>
  <c r="E178" i="19"/>
  <c r="E179" i="19"/>
  <c r="E180" i="19"/>
  <c r="E181" i="19"/>
  <c r="E182" i="19"/>
  <c r="E183" i="19"/>
  <c r="E184" i="19"/>
  <c r="E185" i="19"/>
  <c r="E186" i="19"/>
  <c r="E187" i="19"/>
  <c r="E188" i="19"/>
  <c r="E189" i="19"/>
  <c r="E190" i="19"/>
  <c r="E191" i="19"/>
  <c r="E192" i="19"/>
  <c r="E193" i="19"/>
  <c r="E194" i="19"/>
  <c r="E195" i="19"/>
  <c r="E196" i="19"/>
  <c r="E197" i="19"/>
  <c r="E198" i="19"/>
  <c r="E199" i="19"/>
  <c r="E200" i="19"/>
  <c r="E201" i="19"/>
  <c r="E202" i="19"/>
  <c r="E203" i="19"/>
  <c r="E204" i="19"/>
  <c r="E205" i="19"/>
  <c r="E206" i="19"/>
  <c r="E207" i="19"/>
  <c r="E208" i="19"/>
  <c r="E209" i="19"/>
  <c r="E210" i="19"/>
  <c r="E211" i="19"/>
  <c r="E212" i="19"/>
  <c r="E213" i="19"/>
  <c r="E214" i="19"/>
  <c r="E215" i="19"/>
  <c r="E216" i="19"/>
  <c r="E217" i="19"/>
  <c r="E218" i="19"/>
  <c r="E219" i="19"/>
  <c r="E220" i="19"/>
  <c r="E221" i="19"/>
  <c r="E222" i="19"/>
  <c r="E223" i="19"/>
  <c r="E224" i="19"/>
  <c r="E225" i="19"/>
  <c r="E226" i="19"/>
  <c r="E227" i="19"/>
  <c r="E228" i="19"/>
  <c r="E229" i="19"/>
  <c r="E230" i="19"/>
  <c r="E231" i="19"/>
  <c r="E232" i="19"/>
  <c r="E233" i="19"/>
  <c r="E234" i="19"/>
  <c r="E235" i="19"/>
  <c r="E236" i="19"/>
  <c r="E237" i="19"/>
  <c r="E238" i="19"/>
  <c r="E239" i="19"/>
  <c r="E240" i="19"/>
  <c r="E241" i="19"/>
  <c r="E242" i="19"/>
  <c r="E243" i="19"/>
  <c r="E244" i="19"/>
  <c r="E245" i="19"/>
  <c r="E246" i="19"/>
  <c r="E247" i="19"/>
  <c r="E248" i="19"/>
  <c r="E249" i="19"/>
  <c r="E250" i="19"/>
  <c r="E251" i="19"/>
  <c r="E252" i="19"/>
  <c r="E253" i="19"/>
  <c r="E254" i="19"/>
  <c r="E255" i="19"/>
  <c r="E256" i="19"/>
  <c r="E257" i="19"/>
  <c r="E258" i="19"/>
  <c r="E259" i="19"/>
  <c r="E260" i="19"/>
  <c r="E261" i="19"/>
  <c r="E262" i="19"/>
  <c r="E263" i="19"/>
  <c r="E264" i="19"/>
  <c r="E265" i="19"/>
  <c r="E266" i="19"/>
  <c r="E267" i="19"/>
  <c r="E268" i="19"/>
  <c r="E269" i="19"/>
  <c r="E270" i="19"/>
  <c r="E271" i="19"/>
  <c r="E272" i="19"/>
  <c r="E273" i="19"/>
  <c r="E274" i="19"/>
  <c r="E275" i="19"/>
  <c r="E276" i="19"/>
  <c r="E277" i="19"/>
  <c r="E278" i="19"/>
  <c r="E279" i="19"/>
  <c r="E280" i="19"/>
  <c r="E281" i="19"/>
  <c r="E282" i="19"/>
  <c r="E283" i="19"/>
  <c r="E284" i="19"/>
  <c r="E285" i="19"/>
  <c r="E286" i="19"/>
  <c r="E287" i="19"/>
  <c r="E288" i="19"/>
  <c r="E289" i="19"/>
  <c r="E290" i="19"/>
  <c r="E291" i="19"/>
  <c r="E292" i="19"/>
  <c r="E293" i="19"/>
  <c r="E294" i="19"/>
  <c r="E295" i="19"/>
  <c r="E296" i="19"/>
  <c r="E297" i="19"/>
  <c r="E298" i="19"/>
  <c r="E299" i="19"/>
  <c r="E300" i="19"/>
  <c r="E301" i="19"/>
  <c r="E302" i="19"/>
  <c r="E303" i="19"/>
  <c r="E304" i="19"/>
  <c r="E305" i="19"/>
  <c r="E306" i="19"/>
  <c r="E307" i="19"/>
  <c r="E308" i="19"/>
  <c r="E309" i="19"/>
  <c r="E310" i="19"/>
  <c r="E311" i="19"/>
  <c r="E312" i="19"/>
  <c r="E313" i="19"/>
  <c r="E314" i="19"/>
  <c r="E315" i="19"/>
  <c r="E316" i="19"/>
  <c r="E317" i="19"/>
  <c r="E318" i="19"/>
  <c r="E319" i="19"/>
  <c r="E320" i="19"/>
  <c r="E321" i="19"/>
  <c r="E322" i="19"/>
  <c r="E323" i="19"/>
  <c r="E324" i="19"/>
  <c r="E325" i="19"/>
  <c r="E326" i="19"/>
  <c r="E327" i="19"/>
  <c r="E328" i="19"/>
  <c r="E329" i="19"/>
  <c r="E330" i="19"/>
  <c r="E331" i="19"/>
  <c r="E332" i="19"/>
  <c r="E333" i="19"/>
  <c r="E334" i="19"/>
  <c r="E335" i="19"/>
  <c r="E336" i="19"/>
  <c r="E337" i="19"/>
  <c r="E338" i="19"/>
  <c r="E339" i="19"/>
  <c r="E340" i="19"/>
  <c r="E341" i="19"/>
  <c r="E342" i="19"/>
  <c r="E343" i="19"/>
  <c r="E344" i="19"/>
  <c r="E345" i="19"/>
  <c r="E346" i="19"/>
  <c r="E347" i="19"/>
  <c r="E348" i="19"/>
  <c r="E349" i="19"/>
  <c r="E350" i="19"/>
  <c r="E351" i="19"/>
  <c r="E352" i="19"/>
  <c r="E353" i="19"/>
  <c r="E354" i="19"/>
  <c r="E355" i="19"/>
  <c r="E356" i="19"/>
  <c r="E357" i="19"/>
  <c r="E358" i="19"/>
  <c r="E359" i="19"/>
  <c r="E360" i="19"/>
  <c r="E361" i="19"/>
  <c r="E362" i="19"/>
  <c r="E363" i="19"/>
  <c r="E364" i="19"/>
  <c r="E365" i="19"/>
  <c r="E366" i="19"/>
  <c r="E367" i="19"/>
  <c r="E368" i="19"/>
  <c r="E369" i="19"/>
  <c r="E370" i="19"/>
  <c r="E371" i="19"/>
  <c r="E372" i="19"/>
  <c r="E373" i="19"/>
  <c r="E374" i="19"/>
  <c r="E375" i="19"/>
  <c r="E376" i="19"/>
  <c r="E377" i="19"/>
  <c r="E378" i="19"/>
  <c r="E379" i="19"/>
  <c r="E380" i="19"/>
  <c r="E381" i="19"/>
  <c r="E382" i="19"/>
  <c r="E383" i="19"/>
  <c r="E384" i="19"/>
  <c r="E385" i="19"/>
  <c r="E386" i="19"/>
  <c r="E387" i="19"/>
  <c r="E388" i="19"/>
  <c r="E389" i="19"/>
  <c r="E390" i="19"/>
  <c r="E391" i="19"/>
  <c r="E392" i="19"/>
  <c r="E393" i="19"/>
  <c r="E394" i="19"/>
  <c r="E395" i="19"/>
  <c r="E396" i="19"/>
  <c r="E397" i="19"/>
  <c r="E398" i="19"/>
  <c r="E399" i="19"/>
  <c r="E400" i="19"/>
  <c r="E401" i="19"/>
  <c r="E402" i="19"/>
  <c r="E403" i="19"/>
  <c r="E404" i="19"/>
  <c r="E405" i="19"/>
  <c r="E406" i="19"/>
  <c r="E407" i="19"/>
  <c r="E408" i="19"/>
  <c r="E409" i="19"/>
  <c r="E410" i="19"/>
  <c r="E411" i="19"/>
  <c r="E412" i="19"/>
  <c r="E413" i="19"/>
  <c r="E414" i="19"/>
  <c r="E415" i="19"/>
  <c r="E416" i="19"/>
  <c r="E417" i="19"/>
  <c r="E418" i="19"/>
  <c r="E419" i="19"/>
  <c r="E420" i="19"/>
  <c r="E421" i="19"/>
  <c r="E422" i="19"/>
  <c r="E423" i="19"/>
  <c r="E424" i="19"/>
  <c r="E425" i="19"/>
  <c r="E426" i="19"/>
  <c r="E427" i="19"/>
  <c r="E428" i="19"/>
  <c r="E429" i="19"/>
  <c r="E430" i="19"/>
  <c r="E431" i="19"/>
  <c r="E432" i="19"/>
  <c r="E433" i="19"/>
  <c r="E434" i="19"/>
  <c r="E435" i="19"/>
  <c r="E436" i="19"/>
  <c r="E437" i="19"/>
  <c r="E438" i="19"/>
  <c r="E439" i="19"/>
  <c r="E440" i="19"/>
  <c r="E441" i="19"/>
  <c r="E442" i="19"/>
  <c r="E443" i="19"/>
  <c r="E444" i="19"/>
  <c r="E445" i="19"/>
  <c r="E446" i="19"/>
  <c r="E447" i="19"/>
  <c r="E448" i="19"/>
  <c r="E449" i="19"/>
  <c r="E450" i="19"/>
  <c r="E451" i="19"/>
  <c r="E452" i="19"/>
  <c r="E453" i="19"/>
  <c r="E454" i="19"/>
  <c r="E455" i="19"/>
  <c r="E456" i="19"/>
  <c r="E457" i="19"/>
  <c r="E458" i="19"/>
  <c r="E459" i="19"/>
  <c r="E460" i="19"/>
  <c r="E461" i="19"/>
  <c r="E462" i="19"/>
  <c r="E463" i="19"/>
  <c r="E464" i="19"/>
  <c r="E465" i="19"/>
  <c r="E466" i="19"/>
  <c r="E467" i="19"/>
  <c r="E468" i="19"/>
  <c r="E469" i="19"/>
  <c r="E470" i="19"/>
  <c r="E471" i="19"/>
  <c r="E472" i="19"/>
  <c r="E473" i="19"/>
  <c r="E474" i="19"/>
  <c r="E475" i="19"/>
  <c r="E476" i="19"/>
  <c r="E477" i="19"/>
  <c r="E478" i="19"/>
  <c r="E479" i="19"/>
  <c r="E480" i="19"/>
  <c r="E481" i="19"/>
  <c r="E482" i="19"/>
  <c r="E483" i="19"/>
  <c r="E484" i="19"/>
  <c r="E485" i="19"/>
  <c r="E486" i="19"/>
  <c r="E487" i="19"/>
  <c r="E488" i="19"/>
  <c r="E489" i="19"/>
  <c r="E490" i="19"/>
  <c r="E491" i="19"/>
  <c r="E492" i="19"/>
  <c r="E493" i="19"/>
  <c r="E494" i="19"/>
  <c r="E495" i="19"/>
  <c r="E496" i="19"/>
  <c r="E497" i="19"/>
  <c r="E498" i="19"/>
  <c r="E499" i="19"/>
  <c r="E500" i="19"/>
  <c r="E501" i="19"/>
  <c r="E502" i="19"/>
  <c r="E503" i="19"/>
  <c r="E504" i="19"/>
  <c r="E505" i="19"/>
  <c r="E506" i="19"/>
  <c r="E507" i="19"/>
  <c r="E508" i="19"/>
  <c r="E509" i="19"/>
  <c r="E510" i="19"/>
  <c r="E511" i="19"/>
  <c r="E512" i="19"/>
  <c r="E513" i="19"/>
  <c r="E514" i="19"/>
  <c r="E515" i="19"/>
  <c r="E516" i="19"/>
  <c r="E517" i="19"/>
  <c r="E518" i="19"/>
  <c r="E519" i="19"/>
  <c r="E520" i="19"/>
  <c r="E521" i="19"/>
  <c r="E522" i="19"/>
  <c r="E523" i="19"/>
  <c r="E524" i="19"/>
  <c r="E525" i="19"/>
  <c r="E526" i="19"/>
  <c r="E527" i="19"/>
  <c r="E528" i="19"/>
  <c r="E529" i="19"/>
  <c r="E530" i="19"/>
  <c r="E531" i="19"/>
  <c r="E532" i="19"/>
  <c r="E533" i="19"/>
  <c r="E534" i="19"/>
  <c r="E535" i="19"/>
  <c r="E536" i="19"/>
  <c r="E537" i="19"/>
  <c r="E538" i="19"/>
  <c r="E539" i="19"/>
  <c r="E540" i="19"/>
  <c r="E541" i="19"/>
  <c r="E542" i="19"/>
  <c r="E543" i="19"/>
  <c r="E544" i="19"/>
  <c r="E545" i="19"/>
  <c r="E546" i="19"/>
  <c r="E547" i="19"/>
  <c r="E548" i="19"/>
  <c r="E549" i="19"/>
  <c r="E550" i="19"/>
  <c r="E551" i="19"/>
  <c r="E552" i="19"/>
  <c r="E553" i="19"/>
  <c r="E554" i="19"/>
  <c r="E555" i="19"/>
  <c r="E556" i="19"/>
  <c r="E557" i="19"/>
  <c r="E558" i="19"/>
  <c r="E559" i="19"/>
  <c r="E560" i="19"/>
  <c r="E561" i="19"/>
  <c r="E562" i="19"/>
  <c r="E563" i="19"/>
  <c r="E564" i="19"/>
  <c r="E565" i="19"/>
  <c r="E566" i="19"/>
  <c r="E567" i="19"/>
  <c r="E568" i="19"/>
  <c r="E569" i="19"/>
  <c r="E570" i="19"/>
  <c r="E571" i="19"/>
  <c r="E572" i="19"/>
  <c r="E573" i="19"/>
  <c r="E574" i="19"/>
  <c r="E575" i="19"/>
  <c r="E576" i="19"/>
  <c r="E577" i="19"/>
  <c r="E578" i="19"/>
  <c r="E579" i="19"/>
  <c r="E580" i="19"/>
  <c r="E581" i="19"/>
  <c r="E582" i="19"/>
  <c r="E583" i="19"/>
  <c r="E584" i="19"/>
  <c r="E585" i="19"/>
  <c r="E586" i="19"/>
  <c r="E587" i="19"/>
  <c r="E588" i="19"/>
  <c r="E589" i="19"/>
  <c r="E590" i="19"/>
  <c r="E591" i="19"/>
  <c r="E592" i="19"/>
  <c r="E593" i="19"/>
  <c r="E594" i="19"/>
  <c r="E595" i="19"/>
  <c r="E596" i="19"/>
  <c r="E597" i="19"/>
  <c r="E598" i="19"/>
  <c r="E599" i="19"/>
  <c r="E600" i="19"/>
  <c r="E601" i="19"/>
  <c r="E602" i="19"/>
  <c r="E603" i="19"/>
  <c r="E604" i="19"/>
  <c r="E605" i="19"/>
  <c r="E606" i="19"/>
  <c r="E607" i="19"/>
  <c r="E608" i="19"/>
  <c r="E609" i="19"/>
  <c r="E610" i="19"/>
  <c r="E611" i="19"/>
  <c r="E612" i="19"/>
  <c r="E613" i="19"/>
  <c r="E614" i="19"/>
  <c r="E615" i="19"/>
  <c r="E616" i="19"/>
  <c r="E617" i="19"/>
  <c r="E618" i="19"/>
  <c r="E619" i="19"/>
  <c r="E620" i="19"/>
  <c r="E621" i="19"/>
  <c r="E622" i="19"/>
  <c r="E623" i="19"/>
  <c r="E624" i="19"/>
  <c r="E625" i="19"/>
  <c r="E626" i="19"/>
  <c r="E627" i="19"/>
  <c r="E628" i="19"/>
  <c r="E629" i="19"/>
  <c r="E630" i="19"/>
  <c r="E631" i="19"/>
  <c r="E632" i="19"/>
  <c r="E633" i="19"/>
  <c r="E634" i="19"/>
  <c r="E635" i="19"/>
  <c r="E636" i="19"/>
  <c r="E637" i="19"/>
  <c r="E638" i="19"/>
  <c r="E639" i="19"/>
  <c r="E640" i="19"/>
  <c r="E641" i="19"/>
  <c r="E642" i="19"/>
  <c r="E643" i="19"/>
  <c r="E644" i="19"/>
  <c r="E645" i="19"/>
  <c r="E646" i="19"/>
  <c r="E647" i="19"/>
  <c r="E648" i="19"/>
  <c r="E649" i="19"/>
  <c r="E650" i="19"/>
  <c r="E651" i="19"/>
  <c r="E652" i="19"/>
  <c r="E653" i="19"/>
  <c r="E654" i="19"/>
  <c r="E655" i="19"/>
  <c r="E656" i="19"/>
  <c r="E657" i="19"/>
  <c r="E658" i="19"/>
  <c r="E659" i="19"/>
  <c r="E660" i="19"/>
  <c r="E661" i="19"/>
  <c r="E662" i="19"/>
  <c r="E663" i="19"/>
  <c r="E664" i="19"/>
  <c r="E665" i="19"/>
  <c r="E666" i="19"/>
  <c r="E667" i="19"/>
  <c r="E668" i="19"/>
  <c r="E669" i="19"/>
  <c r="E670" i="19"/>
  <c r="E671" i="19"/>
  <c r="E672" i="19"/>
  <c r="E673" i="19"/>
  <c r="E674" i="19"/>
  <c r="E675" i="19"/>
  <c r="E676" i="19"/>
  <c r="E677" i="19"/>
  <c r="E678" i="19"/>
  <c r="E679" i="19"/>
  <c r="E680" i="19"/>
  <c r="E681" i="19"/>
  <c r="E682" i="19"/>
  <c r="E683" i="19"/>
  <c r="E684" i="19"/>
  <c r="E685" i="19"/>
  <c r="E686" i="19"/>
  <c r="E687" i="19"/>
  <c r="E688" i="19"/>
  <c r="E689" i="19"/>
  <c r="E690" i="19"/>
  <c r="E691" i="19"/>
  <c r="E692" i="19"/>
  <c r="E693" i="19"/>
  <c r="E694" i="19"/>
  <c r="E695" i="19"/>
  <c r="E696" i="19"/>
  <c r="E697" i="19"/>
  <c r="E698" i="19"/>
  <c r="E699" i="19"/>
  <c r="E700" i="19"/>
  <c r="E701" i="19"/>
  <c r="E702" i="19"/>
  <c r="E703" i="19"/>
  <c r="E704" i="19"/>
  <c r="E705" i="19"/>
  <c r="E706" i="19"/>
  <c r="E707" i="19"/>
  <c r="E708" i="19"/>
  <c r="E709" i="19"/>
  <c r="E710" i="19"/>
  <c r="E711" i="19"/>
  <c r="E712" i="19"/>
  <c r="E713" i="19"/>
  <c r="E714" i="19"/>
  <c r="E715" i="19"/>
  <c r="E716" i="19"/>
  <c r="E717" i="19"/>
  <c r="E718" i="19"/>
  <c r="E719" i="19"/>
  <c r="E720" i="19"/>
  <c r="E721" i="19"/>
  <c r="E722" i="19"/>
  <c r="E723" i="19"/>
  <c r="E724" i="19"/>
  <c r="E725" i="19"/>
  <c r="E726" i="19"/>
  <c r="E727" i="19"/>
  <c r="E728" i="19"/>
  <c r="E729" i="19"/>
  <c r="E730" i="19"/>
  <c r="E731" i="19"/>
  <c r="E732" i="19"/>
  <c r="E733" i="19"/>
  <c r="E734" i="19"/>
  <c r="E735" i="19"/>
  <c r="E736" i="19"/>
  <c r="E737" i="19"/>
  <c r="E738" i="19"/>
  <c r="E739" i="19"/>
  <c r="E740" i="19"/>
  <c r="E741" i="19"/>
  <c r="E742" i="19"/>
  <c r="E743" i="19"/>
  <c r="E744" i="19"/>
  <c r="E745" i="19"/>
  <c r="E746" i="19"/>
  <c r="E747" i="19"/>
  <c r="E748" i="19"/>
  <c r="E749" i="19"/>
  <c r="E750" i="19"/>
  <c r="E751" i="19"/>
  <c r="E752" i="19"/>
  <c r="E753" i="19"/>
  <c r="E754" i="19"/>
  <c r="E755" i="19"/>
  <c r="E756" i="19"/>
  <c r="E757" i="19"/>
  <c r="E758" i="19"/>
  <c r="E759" i="19"/>
  <c r="E760" i="19"/>
  <c r="E761" i="19"/>
  <c r="E762" i="19"/>
  <c r="E763" i="19"/>
  <c r="E764" i="19"/>
  <c r="E765" i="19"/>
  <c r="E766" i="19"/>
  <c r="E767" i="19"/>
  <c r="E768" i="19"/>
  <c r="E769" i="19"/>
  <c r="E770" i="19"/>
  <c r="E771" i="19"/>
  <c r="E772" i="19"/>
  <c r="E773" i="19"/>
  <c r="E774" i="19"/>
  <c r="E775" i="19"/>
  <c r="E776" i="19"/>
  <c r="E777" i="19"/>
  <c r="E778" i="19"/>
  <c r="E779" i="19"/>
  <c r="E780" i="19"/>
  <c r="E781" i="19"/>
  <c r="E782" i="19"/>
  <c r="E783" i="19"/>
  <c r="E784" i="19"/>
  <c r="E785" i="19"/>
  <c r="E786" i="19"/>
  <c r="E787" i="19"/>
  <c r="E788" i="19"/>
  <c r="E789" i="19"/>
  <c r="E790" i="19"/>
  <c r="E791" i="19"/>
  <c r="E792" i="19"/>
  <c r="E793" i="19"/>
  <c r="E794" i="19"/>
  <c r="E795" i="19"/>
  <c r="E796" i="19"/>
  <c r="E797" i="19"/>
  <c r="E798" i="19"/>
  <c r="E799" i="19"/>
  <c r="E800" i="19"/>
  <c r="E801" i="19"/>
  <c r="E802" i="19"/>
  <c r="E803" i="19"/>
  <c r="E804" i="19"/>
  <c r="E805" i="19"/>
  <c r="E806" i="19"/>
  <c r="E807" i="19"/>
  <c r="E808" i="19"/>
  <c r="E809" i="19"/>
  <c r="E810" i="19"/>
  <c r="E811" i="19"/>
  <c r="E812" i="19"/>
  <c r="E813" i="19"/>
  <c r="E814" i="19"/>
  <c r="E815" i="19"/>
  <c r="E816" i="19"/>
  <c r="E817" i="19"/>
  <c r="E818" i="19"/>
  <c r="E819" i="19"/>
  <c r="E820" i="19"/>
  <c r="E821" i="19"/>
  <c r="E822" i="19"/>
  <c r="E823" i="19"/>
  <c r="E824" i="19"/>
  <c r="E825" i="19"/>
  <c r="E826" i="19"/>
  <c r="E827" i="19"/>
  <c r="E828" i="19"/>
  <c r="E829" i="19"/>
  <c r="E830" i="19"/>
  <c r="E831" i="19"/>
  <c r="E832" i="19"/>
  <c r="E833" i="19"/>
  <c r="E834" i="19"/>
  <c r="E835" i="19"/>
  <c r="E836" i="19"/>
  <c r="E837" i="19"/>
  <c r="E838" i="19"/>
  <c r="E839" i="19"/>
  <c r="E840" i="19"/>
  <c r="E841" i="19"/>
  <c r="E842" i="19"/>
  <c r="E843" i="19"/>
  <c r="E844" i="19"/>
  <c r="E845" i="19"/>
  <c r="E846" i="19"/>
  <c r="E847" i="19"/>
  <c r="E848" i="19"/>
  <c r="E849" i="19"/>
  <c r="E850" i="19"/>
  <c r="E851" i="19"/>
  <c r="E852" i="19"/>
  <c r="E853" i="19"/>
  <c r="E854" i="19"/>
  <c r="E855" i="19"/>
  <c r="E856" i="19"/>
  <c r="E857" i="19"/>
  <c r="E858" i="19"/>
  <c r="E859" i="19"/>
  <c r="E860" i="19"/>
  <c r="E861" i="19"/>
  <c r="E862" i="19"/>
  <c r="E863" i="19"/>
  <c r="E864" i="19"/>
  <c r="E865" i="19"/>
  <c r="E866" i="19"/>
  <c r="E867" i="19"/>
  <c r="E868" i="19"/>
  <c r="E869" i="19"/>
  <c r="E870" i="19"/>
  <c r="E871" i="19"/>
  <c r="E872" i="19"/>
  <c r="E873" i="19"/>
  <c r="E874" i="19"/>
  <c r="E875" i="19"/>
  <c r="E876" i="19"/>
  <c r="E877" i="19"/>
  <c r="E878" i="19"/>
  <c r="E879" i="19"/>
  <c r="E880" i="19"/>
  <c r="E881" i="19"/>
  <c r="E882" i="19"/>
  <c r="E883" i="19"/>
  <c r="E884" i="19"/>
  <c r="E885" i="19"/>
  <c r="E886" i="19"/>
  <c r="E887" i="19"/>
  <c r="E888" i="19"/>
  <c r="E889" i="19"/>
  <c r="E890" i="19"/>
  <c r="E891" i="19"/>
  <c r="E892" i="19"/>
  <c r="E893" i="19"/>
  <c r="E894" i="19"/>
  <c r="E895" i="19"/>
  <c r="E896" i="19"/>
  <c r="E897" i="19"/>
  <c r="E898" i="19"/>
  <c r="E899" i="19"/>
  <c r="E900" i="19"/>
  <c r="E901" i="19"/>
  <c r="E902" i="19"/>
  <c r="E903" i="19"/>
  <c r="E904" i="19"/>
  <c r="E905" i="19"/>
  <c r="E906" i="19"/>
  <c r="E907" i="19"/>
  <c r="E908" i="19"/>
  <c r="E909" i="19"/>
  <c r="E910" i="19"/>
  <c r="E911" i="19"/>
  <c r="E912" i="19"/>
  <c r="E913" i="19"/>
  <c r="E914" i="19"/>
  <c r="E915" i="19"/>
  <c r="E916" i="19"/>
  <c r="E917" i="19"/>
  <c r="E918" i="19"/>
  <c r="E919" i="19"/>
  <c r="E920" i="19"/>
  <c r="E921" i="19"/>
  <c r="E922" i="19"/>
  <c r="E923" i="19"/>
  <c r="E924" i="19"/>
  <c r="E925" i="19"/>
  <c r="E926" i="19"/>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159" i="18"/>
  <c r="E160" i="18"/>
  <c r="E161" i="18"/>
  <c r="E162" i="18"/>
  <c r="E163" i="18"/>
  <c r="E164" i="18"/>
  <c r="E165" i="18"/>
  <c r="E166" i="18"/>
  <c r="E167" i="18"/>
  <c r="E168" i="18"/>
  <c r="E169" i="18"/>
  <c r="E170" i="18"/>
  <c r="E171" i="18"/>
  <c r="E172" i="18"/>
  <c r="E173" i="18"/>
  <c r="E174" i="18"/>
  <c r="E175" i="18"/>
  <c r="E176" i="18"/>
  <c r="E177" i="18"/>
  <c r="E178" i="18"/>
  <c r="E179" i="18"/>
  <c r="E180" i="18"/>
  <c r="E181" i="18"/>
  <c r="E182" i="18"/>
  <c r="E183" i="18"/>
  <c r="E184" i="18"/>
  <c r="E185" i="18"/>
  <c r="E186" i="18"/>
  <c r="E187" i="18"/>
  <c r="E188" i="18"/>
  <c r="E189" i="18"/>
  <c r="E190" i="18"/>
  <c r="E191" i="18"/>
  <c r="E192" i="18"/>
  <c r="E193" i="18"/>
  <c r="E194" i="18"/>
  <c r="E195" i="18"/>
  <c r="E196" i="18"/>
  <c r="E197" i="18"/>
  <c r="E198" i="18"/>
  <c r="E199" i="18"/>
  <c r="E200" i="18"/>
  <c r="E201" i="18"/>
  <c r="E202" i="18"/>
  <c r="E203" i="18"/>
  <c r="E204" i="18"/>
  <c r="E205" i="18"/>
  <c r="E206" i="18"/>
  <c r="E207" i="18"/>
  <c r="E208" i="18"/>
  <c r="E209" i="18"/>
  <c r="E210" i="18"/>
  <c r="E211" i="18"/>
  <c r="E212" i="18"/>
  <c r="E213" i="18"/>
  <c r="E214" i="18"/>
  <c r="E215" i="18"/>
  <c r="E216" i="18"/>
  <c r="E217" i="18"/>
  <c r="E218" i="18"/>
  <c r="E219" i="18"/>
  <c r="E220" i="18"/>
  <c r="E221" i="18"/>
  <c r="E222" i="18"/>
  <c r="E223" i="18"/>
  <c r="A3" i="19"/>
  <c r="A4" i="19" s="1"/>
  <c r="A5" i="19" s="1"/>
  <c r="A6" i="19" s="1"/>
  <c r="A7" i="19" s="1"/>
  <c r="A8" i="19" s="1"/>
  <c r="A9" i="19" s="1"/>
  <c r="A10" i="19" s="1"/>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A61" i="19" s="1"/>
  <c r="A62" i="19" s="1"/>
  <c r="A63" i="19" s="1"/>
  <c r="A64" i="19" s="1"/>
  <c r="A65" i="19" s="1"/>
  <c r="A66" i="19" s="1"/>
  <c r="A67" i="19" s="1"/>
  <c r="A68" i="19" s="1"/>
  <c r="A69" i="19" s="1"/>
  <c r="A70" i="19" s="1"/>
  <c r="A71" i="19" s="1"/>
  <c r="A72" i="19" s="1"/>
  <c r="A73" i="19" s="1"/>
  <c r="A74" i="19" s="1"/>
  <c r="A75" i="19" s="1"/>
  <c r="A76" i="19" s="1"/>
  <c r="A77" i="19" s="1"/>
  <c r="A78" i="19" s="1"/>
  <c r="A79" i="19" s="1"/>
  <c r="A80" i="19" s="1"/>
  <c r="A81" i="19" s="1"/>
  <c r="A82" i="19" s="1"/>
  <c r="A83" i="19" s="1"/>
  <c r="A84" i="19" s="1"/>
  <c r="A85" i="19" s="1"/>
  <c r="A86" i="19" s="1"/>
  <c r="A87" i="19" s="1"/>
  <c r="A88" i="19" s="1"/>
  <c r="A89" i="19" s="1"/>
  <c r="A90" i="19" s="1"/>
  <c r="A91" i="19" s="1"/>
  <c r="A92" i="19" s="1"/>
  <c r="A93" i="19" s="1"/>
  <c r="A94" i="19" s="1"/>
  <c r="A95" i="19" s="1"/>
  <c r="A96" i="19" s="1"/>
  <c r="A97" i="19" s="1"/>
  <c r="A98" i="19" s="1"/>
  <c r="A99" i="19" s="1"/>
  <c r="A100" i="19" s="1"/>
  <c r="A101" i="19" s="1"/>
  <c r="A102" i="19" s="1"/>
  <c r="A103" i="19" s="1"/>
  <c r="A104" i="19" s="1"/>
  <c r="A105" i="19" s="1"/>
  <c r="A106" i="19" s="1"/>
  <c r="A107" i="19" s="1"/>
  <c r="A108" i="19" s="1"/>
  <c r="A109" i="19" s="1"/>
  <c r="A110" i="19" s="1"/>
  <c r="A111" i="19" s="1"/>
  <c r="A112" i="19" s="1"/>
  <c r="A113" i="19" s="1"/>
  <c r="A114" i="19" s="1"/>
  <c r="A115" i="19" s="1"/>
  <c r="A116" i="19" s="1"/>
  <c r="A117" i="19" s="1"/>
  <c r="A118" i="19" s="1"/>
  <c r="A119" i="19" s="1"/>
  <c r="A120" i="19" s="1"/>
  <c r="A121" i="19" s="1"/>
  <c r="A122" i="19" s="1"/>
  <c r="A123" i="19" s="1"/>
  <c r="A124" i="19" s="1"/>
  <c r="A125" i="19" s="1"/>
  <c r="A126" i="19" s="1"/>
  <c r="A127" i="19" s="1"/>
  <c r="A128" i="19" s="1"/>
  <c r="A129" i="19" s="1"/>
  <c r="A130" i="19" s="1"/>
  <c r="A131" i="19" s="1"/>
  <c r="A132" i="19" s="1"/>
  <c r="A133" i="19" s="1"/>
  <c r="A134" i="19" s="1"/>
  <c r="A135" i="19" s="1"/>
  <c r="A136" i="19" s="1"/>
  <c r="A137" i="19" s="1"/>
  <c r="A138" i="19" s="1"/>
  <c r="A139" i="19" s="1"/>
  <c r="A140" i="19" s="1"/>
  <c r="A141" i="19" s="1"/>
  <c r="A142" i="19" s="1"/>
  <c r="A143" i="19" s="1"/>
  <c r="A144" i="19" s="1"/>
  <c r="A145" i="19" s="1"/>
  <c r="A146" i="19" s="1"/>
  <c r="A147" i="19" s="1"/>
  <c r="A148" i="19" s="1"/>
  <c r="A149" i="19" s="1"/>
  <c r="A150" i="19" s="1"/>
  <c r="A151" i="19" s="1"/>
  <c r="A152" i="19" s="1"/>
  <c r="A153" i="19" s="1"/>
  <c r="A154" i="19" s="1"/>
  <c r="A155" i="19" s="1"/>
  <c r="A156" i="19" s="1"/>
  <c r="A157" i="19" s="1"/>
  <c r="A158" i="19" s="1"/>
  <c r="A159" i="19" s="1"/>
  <c r="A160" i="19" s="1"/>
  <c r="A161" i="19" s="1"/>
  <c r="A162" i="19" s="1"/>
  <c r="A163" i="19" s="1"/>
  <c r="A164" i="19" s="1"/>
  <c r="A165" i="19" s="1"/>
  <c r="A166" i="19" s="1"/>
  <c r="A167" i="19" s="1"/>
  <c r="A168" i="19" s="1"/>
  <c r="A169" i="19" s="1"/>
  <c r="A170" i="19" s="1"/>
  <c r="A171" i="19" s="1"/>
  <c r="A172" i="19" s="1"/>
  <c r="A173" i="19" s="1"/>
  <c r="A174" i="19" s="1"/>
  <c r="A175" i="19" s="1"/>
  <c r="A176" i="19" s="1"/>
  <c r="A177" i="19" s="1"/>
  <c r="A178" i="19" s="1"/>
  <c r="A179" i="19" s="1"/>
  <c r="A180" i="19" s="1"/>
  <c r="A181" i="19" s="1"/>
  <c r="A182" i="19" s="1"/>
  <c r="A183" i="19" s="1"/>
  <c r="A184" i="19" s="1"/>
  <c r="A185" i="19" s="1"/>
  <c r="A186" i="19" s="1"/>
  <c r="A187" i="19" s="1"/>
  <c r="A188" i="19" s="1"/>
  <c r="A189" i="19" s="1"/>
  <c r="A190" i="19" s="1"/>
  <c r="A191" i="19" s="1"/>
  <c r="A192" i="19" s="1"/>
  <c r="A193" i="19" s="1"/>
  <c r="A194" i="19" s="1"/>
  <c r="A195" i="19" s="1"/>
  <c r="A196" i="19" s="1"/>
  <c r="A197" i="19" s="1"/>
  <c r="A198" i="19" s="1"/>
  <c r="A199" i="19" s="1"/>
  <c r="A200" i="19" s="1"/>
  <c r="A201" i="19" s="1"/>
  <c r="A202" i="19" s="1"/>
  <c r="A203" i="19" s="1"/>
  <c r="A204" i="19" s="1"/>
  <c r="A205" i="19" s="1"/>
  <c r="A206" i="19" s="1"/>
  <c r="A207" i="19" s="1"/>
  <c r="A208" i="19" s="1"/>
  <c r="A209" i="19" s="1"/>
  <c r="A210" i="19" s="1"/>
  <c r="A211" i="19" s="1"/>
  <c r="A212" i="19" s="1"/>
  <c r="A213" i="19" s="1"/>
  <c r="A214" i="19" s="1"/>
  <c r="A215" i="19" s="1"/>
  <c r="A216" i="19" s="1"/>
  <c r="A217" i="19" s="1"/>
  <c r="A218" i="19" s="1"/>
  <c r="A219" i="19" s="1"/>
  <c r="A220" i="19" s="1"/>
  <c r="A221" i="19" s="1"/>
  <c r="A222" i="19" s="1"/>
  <c r="A223" i="19" s="1"/>
  <c r="A224" i="19" s="1"/>
  <c r="A225" i="19" s="1"/>
  <c r="A226" i="19" s="1"/>
  <c r="A227" i="19" s="1"/>
  <c r="A228" i="19" s="1"/>
  <c r="A229" i="19" s="1"/>
  <c r="A230" i="19" s="1"/>
  <c r="A231" i="19" s="1"/>
  <c r="A232" i="19" s="1"/>
  <c r="A233" i="19" s="1"/>
  <c r="A234" i="19" s="1"/>
  <c r="A235" i="19" s="1"/>
  <c r="A236" i="19" s="1"/>
  <c r="A237" i="19" s="1"/>
  <c r="A238" i="19" s="1"/>
  <c r="A239" i="19" s="1"/>
  <c r="A240" i="19" s="1"/>
  <c r="A241" i="19" s="1"/>
  <c r="A242" i="19" s="1"/>
  <c r="A243" i="19" s="1"/>
  <c r="A244" i="19" s="1"/>
  <c r="A245" i="19" s="1"/>
  <c r="A246" i="19" s="1"/>
  <c r="A247" i="19" s="1"/>
  <c r="A248" i="19" s="1"/>
  <c r="A249" i="19" s="1"/>
  <c r="A250" i="19" s="1"/>
  <c r="A251" i="19" s="1"/>
  <c r="A252" i="19" s="1"/>
  <c r="A253" i="19" s="1"/>
  <c r="A254" i="19" s="1"/>
  <c r="A255" i="19" s="1"/>
  <c r="A256" i="19" s="1"/>
  <c r="A257" i="19" s="1"/>
  <c r="A258" i="19" s="1"/>
  <c r="A259" i="19" s="1"/>
  <c r="A260" i="19" s="1"/>
  <c r="A261" i="19" s="1"/>
  <c r="A262" i="19" s="1"/>
  <c r="A263" i="19" s="1"/>
  <c r="A264" i="19" s="1"/>
  <c r="A265" i="19" s="1"/>
  <c r="A266" i="19" s="1"/>
  <c r="A267" i="19" s="1"/>
  <c r="A268" i="19" s="1"/>
  <c r="A269" i="19" s="1"/>
  <c r="A270" i="19" s="1"/>
  <c r="A271" i="19" s="1"/>
  <c r="A272" i="19" s="1"/>
  <c r="A273" i="19" s="1"/>
  <c r="A274" i="19" s="1"/>
  <c r="A275" i="19" s="1"/>
  <c r="A276" i="19" s="1"/>
  <c r="A277" i="19" s="1"/>
  <c r="A278" i="19" s="1"/>
  <c r="A279" i="19" s="1"/>
  <c r="A280" i="19" s="1"/>
  <c r="A281" i="19" s="1"/>
  <c r="A282" i="19" s="1"/>
  <c r="A283" i="19" s="1"/>
  <c r="A284" i="19" s="1"/>
  <c r="A285" i="19" s="1"/>
  <c r="A286" i="19" s="1"/>
  <c r="A287" i="19" s="1"/>
  <c r="A288" i="19" s="1"/>
  <c r="A289" i="19" s="1"/>
  <c r="A290" i="19" s="1"/>
  <c r="A291" i="19" s="1"/>
  <c r="A292" i="19" s="1"/>
  <c r="A293" i="19" s="1"/>
  <c r="A294" i="19" s="1"/>
  <c r="A295" i="19" s="1"/>
  <c r="A296" i="19" s="1"/>
  <c r="A297" i="19" s="1"/>
  <c r="A298" i="19" s="1"/>
  <c r="A299" i="19" s="1"/>
  <c r="A300" i="19" s="1"/>
  <c r="A301" i="19" s="1"/>
  <c r="A302" i="19" s="1"/>
  <c r="A303" i="19" s="1"/>
  <c r="A304" i="19" s="1"/>
  <c r="A305" i="19" s="1"/>
  <c r="A306" i="19" s="1"/>
  <c r="A307" i="19" s="1"/>
  <c r="A308" i="19" s="1"/>
  <c r="A309" i="19" s="1"/>
  <c r="A310" i="19" s="1"/>
  <c r="A311" i="19" s="1"/>
  <c r="A312" i="19" s="1"/>
  <c r="A313" i="19" s="1"/>
  <c r="A314" i="19" s="1"/>
  <c r="A315" i="19" s="1"/>
  <c r="A316" i="19" s="1"/>
  <c r="A317" i="19" s="1"/>
  <c r="A318" i="19" s="1"/>
  <c r="A319" i="19" s="1"/>
  <c r="A320" i="19" s="1"/>
  <c r="A321" i="19" s="1"/>
  <c r="A322" i="19" s="1"/>
  <c r="A323" i="19" s="1"/>
  <c r="A324" i="19" s="1"/>
  <c r="A325" i="19" s="1"/>
  <c r="A326" i="19" s="1"/>
  <c r="A327" i="19" s="1"/>
  <c r="A328" i="19" s="1"/>
  <c r="A329" i="19" s="1"/>
  <c r="A330" i="19" s="1"/>
  <c r="A331" i="19" s="1"/>
  <c r="A332" i="19" s="1"/>
  <c r="A333" i="19" s="1"/>
  <c r="A334" i="19" s="1"/>
  <c r="A335" i="19" s="1"/>
  <c r="A336" i="19" s="1"/>
  <c r="A337" i="19" s="1"/>
  <c r="A338" i="19" s="1"/>
  <c r="A339" i="19" s="1"/>
  <c r="A340" i="19" s="1"/>
  <c r="A341" i="19" s="1"/>
  <c r="A342" i="19" s="1"/>
  <c r="A343" i="19" s="1"/>
  <c r="A344" i="19" s="1"/>
  <c r="A345" i="19" s="1"/>
  <c r="A346" i="19" s="1"/>
  <c r="A347" i="19" s="1"/>
  <c r="A348" i="19" s="1"/>
  <c r="A349" i="19" s="1"/>
  <c r="A350" i="19" s="1"/>
  <c r="A351" i="19" s="1"/>
  <c r="A352" i="19" s="1"/>
  <c r="A353" i="19" s="1"/>
  <c r="A354" i="19" s="1"/>
  <c r="A355" i="19" s="1"/>
  <c r="A356" i="19" s="1"/>
  <c r="A357" i="19" s="1"/>
  <c r="A358" i="19" s="1"/>
  <c r="A359" i="19" s="1"/>
  <c r="A360" i="19" s="1"/>
  <c r="A361" i="19" s="1"/>
  <c r="A362" i="19" s="1"/>
  <c r="A363" i="19" s="1"/>
  <c r="A364" i="19" s="1"/>
  <c r="A365" i="19" s="1"/>
  <c r="A366" i="19" s="1"/>
  <c r="A367" i="19" s="1"/>
  <c r="A368" i="19" s="1"/>
  <c r="A369" i="19" s="1"/>
  <c r="A370" i="19" s="1"/>
  <c r="A371" i="19" s="1"/>
  <c r="A372" i="19" s="1"/>
  <c r="A373" i="19" s="1"/>
  <c r="A374" i="19" s="1"/>
  <c r="A375" i="19" s="1"/>
  <c r="A376" i="19" s="1"/>
  <c r="A377" i="19" s="1"/>
  <c r="A378" i="19" s="1"/>
  <c r="A379" i="19" s="1"/>
  <c r="A380" i="19" s="1"/>
  <c r="A381" i="19" s="1"/>
  <c r="A382" i="19" s="1"/>
  <c r="A383" i="19" s="1"/>
  <c r="A384" i="19" s="1"/>
  <c r="A385" i="19" s="1"/>
  <c r="A386" i="19" s="1"/>
  <c r="A387" i="19" s="1"/>
  <c r="A388" i="19" s="1"/>
  <c r="A389" i="19" s="1"/>
  <c r="A390" i="19" s="1"/>
  <c r="A391" i="19" s="1"/>
  <c r="A392" i="19" s="1"/>
  <c r="A393" i="19" s="1"/>
  <c r="A394" i="19" s="1"/>
  <c r="A395" i="19" s="1"/>
  <c r="A396" i="19" s="1"/>
  <c r="A397" i="19" s="1"/>
  <c r="A398" i="19" s="1"/>
  <c r="A399" i="19" s="1"/>
  <c r="A400" i="19" s="1"/>
  <c r="A401" i="19" s="1"/>
  <c r="A402" i="19" s="1"/>
  <c r="A403" i="19" s="1"/>
  <c r="A404" i="19" s="1"/>
  <c r="A405" i="19" s="1"/>
  <c r="A406" i="19" s="1"/>
  <c r="A407" i="19" s="1"/>
  <c r="A408" i="19" s="1"/>
  <c r="A409" i="19" s="1"/>
  <c r="A410" i="19" s="1"/>
  <c r="A411" i="19" s="1"/>
  <c r="A412" i="19" s="1"/>
  <c r="A413" i="19" s="1"/>
  <c r="A414" i="19" s="1"/>
  <c r="A415" i="19" s="1"/>
  <c r="A416" i="19" s="1"/>
  <c r="A417" i="19" s="1"/>
  <c r="A418" i="19" s="1"/>
  <c r="A419" i="19" s="1"/>
  <c r="A420" i="19" s="1"/>
  <c r="A421" i="19" s="1"/>
  <c r="A422" i="19" s="1"/>
  <c r="A423" i="19" s="1"/>
  <c r="A424" i="19" s="1"/>
  <c r="A425" i="19" s="1"/>
  <c r="A426" i="19" s="1"/>
  <c r="A427" i="19" s="1"/>
  <c r="A428" i="19" s="1"/>
  <c r="A429" i="19" s="1"/>
  <c r="A430" i="19" s="1"/>
  <c r="A431" i="19" s="1"/>
  <c r="A432" i="19" s="1"/>
  <c r="A433" i="19" s="1"/>
  <c r="A434" i="19" s="1"/>
  <c r="A435" i="19" s="1"/>
  <c r="A436" i="19" s="1"/>
  <c r="A437" i="19" s="1"/>
  <c r="A438" i="19" s="1"/>
  <c r="A439" i="19" s="1"/>
  <c r="A440" i="19" s="1"/>
  <c r="A441" i="19" s="1"/>
  <c r="A442" i="19" s="1"/>
  <c r="A443" i="19" s="1"/>
  <c r="A444" i="19" s="1"/>
  <c r="A445" i="19" s="1"/>
  <c r="A446" i="19" s="1"/>
  <c r="A447" i="19" s="1"/>
  <c r="A448" i="19" s="1"/>
  <c r="A449" i="19" s="1"/>
  <c r="A450" i="19" s="1"/>
  <c r="A451" i="19" s="1"/>
  <c r="A452" i="19" s="1"/>
  <c r="A453" i="19" s="1"/>
  <c r="A454" i="19" s="1"/>
  <c r="A455" i="19" s="1"/>
  <c r="A456" i="19" s="1"/>
  <c r="A457" i="19" s="1"/>
  <c r="A458" i="19" s="1"/>
  <c r="A459" i="19" s="1"/>
  <c r="A460" i="19" s="1"/>
  <c r="A461" i="19" s="1"/>
  <c r="A462" i="19" s="1"/>
  <c r="A463" i="19" s="1"/>
  <c r="A464" i="19" s="1"/>
  <c r="A465" i="19" s="1"/>
  <c r="A466" i="19" s="1"/>
  <c r="A467" i="19" s="1"/>
  <c r="A468" i="19" s="1"/>
  <c r="A469" i="19" s="1"/>
  <c r="A470" i="19" s="1"/>
  <c r="A471" i="19" s="1"/>
  <c r="A472" i="19" s="1"/>
  <c r="A473" i="19" s="1"/>
  <c r="A474" i="19" s="1"/>
  <c r="A475" i="19" s="1"/>
  <c r="A476" i="19" s="1"/>
  <c r="A477" i="19" s="1"/>
  <c r="A478" i="19" s="1"/>
  <c r="A479" i="19" s="1"/>
  <c r="A480" i="19" s="1"/>
  <c r="A481" i="19" s="1"/>
  <c r="A482" i="19" s="1"/>
  <c r="A483" i="19" s="1"/>
  <c r="A484" i="19" s="1"/>
  <c r="A485" i="19" s="1"/>
  <c r="A486" i="19" s="1"/>
  <c r="A487" i="19" s="1"/>
  <c r="A488" i="19" s="1"/>
  <c r="A489" i="19" s="1"/>
  <c r="A490" i="19" s="1"/>
  <c r="A491" i="19" s="1"/>
  <c r="A492" i="19" s="1"/>
  <c r="A493" i="19" s="1"/>
  <c r="A494" i="19" s="1"/>
  <c r="A495" i="19" s="1"/>
  <c r="A496" i="19" s="1"/>
  <c r="A497" i="19" s="1"/>
  <c r="A498" i="19" s="1"/>
  <c r="A499" i="19" s="1"/>
  <c r="A500" i="19" s="1"/>
  <c r="A501" i="19" s="1"/>
  <c r="A502" i="19" s="1"/>
  <c r="A503" i="19" s="1"/>
  <c r="A504" i="19" s="1"/>
  <c r="A505" i="19" s="1"/>
  <c r="A506" i="19" s="1"/>
  <c r="A507" i="19" s="1"/>
  <c r="A508" i="19" s="1"/>
  <c r="A509" i="19" s="1"/>
  <c r="A510" i="19" s="1"/>
  <c r="A511" i="19" s="1"/>
  <c r="A512" i="19" s="1"/>
  <c r="A513" i="19" s="1"/>
  <c r="A514" i="19" s="1"/>
  <c r="A515" i="19" s="1"/>
  <c r="A516" i="19" s="1"/>
  <c r="A517" i="19" s="1"/>
  <c r="A518" i="19" s="1"/>
  <c r="A519" i="19" s="1"/>
  <c r="A520" i="19" s="1"/>
  <c r="A521" i="19" s="1"/>
  <c r="A522" i="19" s="1"/>
  <c r="A523" i="19" s="1"/>
  <c r="A524" i="19" s="1"/>
  <c r="A525" i="19" s="1"/>
  <c r="A526" i="19" s="1"/>
  <c r="A527" i="19" s="1"/>
  <c r="A528" i="19" s="1"/>
  <c r="A529" i="19" s="1"/>
  <c r="A530" i="19" s="1"/>
  <c r="A531" i="19" s="1"/>
  <c r="A532" i="19" s="1"/>
  <c r="A533" i="19" s="1"/>
  <c r="A534" i="19" s="1"/>
  <c r="A535" i="19" s="1"/>
  <c r="A536" i="19" s="1"/>
  <c r="A537" i="19" s="1"/>
  <c r="A538" i="19" s="1"/>
  <c r="A539" i="19" s="1"/>
  <c r="A540" i="19" s="1"/>
  <c r="A541" i="19" s="1"/>
  <c r="A542" i="19" s="1"/>
  <c r="A543" i="19" s="1"/>
  <c r="A544" i="19" s="1"/>
  <c r="A545" i="19" s="1"/>
  <c r="A546" i="19" s="1"/>
  <c r="A547" i="19" s="1"/>
  <c r="A548" i="19" s="1"/>
  <c r="A549" i="19" s="1"/>
  <c r="A550" i="19" s="1"/>
  <c r="A551" i="19" s="1"/>
  <c r="A552" i="19" s="1"/>
  <c r="A553" i="19" s="1"/>
  <c r="A554" i="19" s="1"/>
  <c r="A555" i="19" s="1"/>
  <c r="A556" i="19" s="1"/>
  <c r="A557" i="19" s="1"/>
  <c r="A558" i="19" s="1"/>
  <c r="A559" i="19" s="1"/>
  <c r="A560" i="19" s="1"/>
  <c r="A561" i="19" s="1"/>
  <c r="A562" i="19" s="1"/>
  <c r="A563" i="19" s="1"/>
  <c r="A564" i="19" s="1"/>
  <c r="A565" i="19" s="1"/>
  <c r="A566" i="19" s="1"/>
  <c r="A567" i="19" s="1"/>
  <c r="A568" i="19" s="1"/>
  <c r="A569" i="19" s="1"/>
  <c r="A570" i="19" s="1"/>
  <c r="A571" i="19" s="1"/>
  <c r="A572" i="19" s="1"/>
  <c r="A573" i="19" s="1"/>
  <c r="A574" i="19" s="1"/>
  <c r="A575" i="19" s="1"/>
  <c r="A576" i="19" s="1"/>
  <c r="A577" i="19" s="1"/>
  <c r="A578" i="19" s="1"/>
  <c r="A579" i="19" s="1"/>
  <c r="A580" i="19" s="1"/>
  <c r="A581" i="19" s="1"/>
  <c r="A582" i="19" s="1"/>
  <c r="A583" i="19" s="1"/>
  <c r="A584" i="19" s="1"/>
  <c r="A585" i="19" s="1"/>
  <c r="A586" i="19" s="1"/>
  <c r="A587" i="19" s="1"/>
  <c r="A588" i="19" s="1"/>
  <c r="A589" i="19" s="1"/>
  <c r="A590" i="19" s="1"/>
  <c r="A591" i="19" s="1"/>
  <c r="A592" i="19" s="1"/>
  <c r="A593" i="19" s="1"/>
  <c r="A594" i="19" s="1"/>
  <c r="A595" i="19" s="1"/>
  <c r="A596" i="19" s="1"/>
  <c r="A597" i="19" s="1"/>
  <c r="A598" i="19" s="1"/>
  <c r="A599" i="19" s="1"/>
  <c r="A600" i="19" s="1"/>
  <c r="A601" i="19" s="1"/>
  <c r="A602" i="19" s="1"/>
  <c r="A603" i="19" s="1"/>
  <c r="A604" i="19" s="1"/>
  <c r="A605" i="19" s="1"/>
  <c r="A606" i="19" s="1"/>
  <c r="A607" i="19" s="1"/>
  <c r="A608" i="19" s="1"/>
  <c r="A609" i="19" s="1"/>
  <c r="A610" i="19" s="1"/>
  <c r="A611" i="19" s="1"/>
  <c r="A612" i="19" s="1"/>
  <c r="A613" i="19" s="1"/>
  <c r="A614" i="19" s="1"/>
  <c r="A615" i="19" s="1"/>
  <c r="A616" i="19" s="1"/>
  <c r="A617" i="19" s="1"/>
  <c r="A618" i="19" s="1"/>
  <c r="A619" i="19" s="1"/>
  <c r="A620" i="19" s="1"/>
  <c r="A621" i="19" s="1"/>
  <c r="A622" i="19" s="1"/>
  <c r="A623" i="19" s="1"/>
  <c r="A624" i="19" s="1"/>
  <c r="A625" i="19" s="1"/>
  <c r="A626" i="19" s="1"/>
  <c r="A627" i="19" s="1"/>
  <c r="A628" i="19" s="1"/>
  <c r="A629" i="19" s="1"/>
  <c r="A630" i="19" s="1"/>
  <c r="A631" i="19" s="1"/>
  <c r="A632" i="19" s="1"/>
  <c r="A633" i="19" s="1"/>
  <c r="A634" i="19" s="1"/>
  <c r="A635" i="19" s="1"/>
  <c r="A636" i="19" s="1"/>
  <c r="A637" i="19" s="1"/>
  <c r="A638" i="19" s="1"/>
  <c r="A639" i="19" s="1"/>
  <c r="A640" i="19" s="1"/>
  <c r="A641" i="19" s="1"/>
  <c r="A642" i="19" s="1"/>
  <c r="A643" i="19" s="1"/>
  <c r="A644" i="19" s="1"/>
  <c r="A645" i="19" s="1"/>
  <c r="A646" i="19" s="1"/>
  <c r="A647" i="19" s="1"/>
  <c r="A648" i="19" s="1"/>
  <c r="A649" i="19" s="1"/>
  <c r="A650" i="19" s="1"/>
  <c r="A651" i="19" s="1"/>
  <c r="A652" i="19" s="1"/>
  <c r="A653" i="19" s="1"/>
  <c r="A654" i="19" s="1"/>
  <c r="A655" i="19" s="1"/>
  <c r="A656" i="19" s="1"/>
  <c r="A657" i="19" s="1"/>
  <c r="A658" i="19" s="1"/>
  <c r="A659" i="19" s="1"/>
  <c r="A660" i="19" s="1"/>
  <c r="A661" i="19" s="1"/>
  <c r="A662" i="19" s="1"/>
  <c r="A663" i="19" s="1"/>
  <c r="A664" i="19" s="1"/>
  <c r="A665" i="19" s="1"/>
  <c r="A666" i="19" s="1"/>
  <c r="A667" i="19" s="1"/>
  <c r="A668" i="19" s="1"/>
  <c r="A669" i="19" s="1"/>
  <c r="A670" i="19" s="1"/>
  <c r="A671" i="19" s="1"/>
  <c r="A672" i="19" s="1"/>
  <c r="A673" i="19" s="1"/>
  <c r="A674" i="19" s="1"/>
  <c r="A675" i="19" s="1"/>
  <c r="A676" i="19" s="1"/>
  <c r="A677" i="19" s="1"/>
  <c r="A678" i="19" s="1"/>
  <c r="A679" i="19" s="1"/>
  <c r="A680" i="19" s="1"/>
  <c r="A681" i="19" s="1"/>
  <c r="A682" i="19" s="1"/>
  <c r="A683" i="19" s="1"/>
  <c r="A684" i="19" s="1"/>
  <c r="A685" i="19" s="1"/>
  <c r="A686" i="19" s="1"/>
  <c r="A687" i="19" s="1"/>
  <c r="A688" i="19" s="1"/>
  <c r="A689" i="19" s="1"/>
  <c r="A690" i="19" s="1"/>
  <c r="A691" i="19" s="1"/>
  <c r="A692" i="19" s="1"/>
  <c r="A693" i="19" s="1"/>
  <c r="A694" i="19" s="1"/>
  <c r="A695" i="19" s="1"/>
  <c r="A696" i="19" s="1"/>
  <c r="A697" i="19" s="1"/>
  <c r="A698" i="19" s="1"/>
  <c r="A699" i="19" s="1"/>
  <c r="A700" i="19" s="1"/>
  <c r="A701" i="19" s="1"/>
  <c r="A702" i="19" s="1"/>
  <c r="A703" i="19" s="1"/>
  <c r="A704" i="19" s="1"/>
  <c r="A705" i="19" s="1"/>
  <c r="A706" i="19" s="1"/>
  <c r="A707" i="19" s="1"/>
  <c r="A708" i="19" s="1"/>
  <c r="A709" i="19" s="1"/>
  <c r="A710" i="19" s="1"/>
  <c r="A711" i="19" s="1"/>
  <c r="A712" i="19" s="1"/>
  <c r="A713" i="19" s="1"/>
  <c r="A714" i="19" s="1"/>
  <c r="A715" i="19" s="1"/>
  <c r="A716" i="19" s="1"/>
  <c r="A717" i="19" s="1"/>
  <c r="A718" i="19" s="1"/>
  <c r="A719" i="19" s="1"/>
  <c r="A720" i="19" s="1"/>
  <c r="A721" i="19" s="1"/>
  <c r="A722" i="19" s="1"/>
  <c r="A723" i="19" s="1"/>
  <c r="A724" i="19" s="1"/>
  <c r="A725" i="19" s="1"/>
  <c r="A726" i="19" s="1"/>
  <c r="A727" i="19" s="1"/>
  <c r="A728" i="19" s="1"/>
  <c r="A729" i="19" s="1"/>
  <c r="A730" i="19" s="1"/>
  <c r="A731" i="19" s="1"/>
  <c r="A732" i="19" s="1"/>
  <c r="A733" i="19" s="1"/>
  <c r="A734" i="19" s="1"/>
  <c r="A735" i="19" s="1"/>
  <c r="A736" i="19" s="1"/>
  <c r="A737" i="19" s="1"/>
  <c r="A738" i="19" s="1"/>
  <c r="A739" i="19" s="1"/>
  <c r="A740" i="19" s="1"/>
  <c r="A741" i="19" s="1"/>
  <c r="A742" i="19" s="1"/>
  <c r="A743" i="19" s="1"/>
  <c r="A744" i="19" s="1"/>
  <c r="A745" i="19" s="1"/>
  <c r="A746" i="19" s="1"/>
  <c r="A747" i="19" s="1"/>
  <c r="A748" i="19" s="1"/>
  <c r="A749" i="19" s="1"/>
  <c r="A750" i="19" s="1"/>
  <c r="A751" i="19" s="1"/>
  <c r="A752" i="19" s="1"/>
  <c r="A753" i="19" s="1"/>
  <c r="A754" i="19" s="1"/>
  <c r="A755" i="19" s="1"/>
  <c r="A756" i="19" s="1"/>
  <c r="A757" i="19" s="1"/>
  <c r="A758" i="19" s="1"/>
  <c r="A759" i="19" s="1"/>
  <c r="A760" i="19" s="1"/>
  <c r="A761" i="19" s="1"/>
  <c r="A762" i="19" s="1"/>
  <c r="A763" i="19" s="1"/>
  <c r="A764" i="19" s="1"/>
  <c r="A765" i="19" s="1"/>
  <c r="A766" i="19" s="1"/>
  <c r="A767" i="19" s="1"/>
  <c r="A768" i="19" s="1"/>
  <c r="A769" i="19" s="1"/>
  <c r="A770" i="19" s="1"/>
  <c r="A771" i="19" s="1"/>
  <c r="A772" i="19" s="1"/>
  <c r="A773" i="19" s="1"/>
  <c r="A774" i="19" s="1"/>
  <c r="A775" i="19" s="1"/>
  <c r="A776" i="19" s="1"/>
  <c r="A777" i="19" s="1"/>
  <c r="A778" i="19" s="1"/>
  <c r="A779" i="19" s="1"/>
  <c r="A780" i="19" s="1"/>
  <c r="A781" i="19" s="1"/>
  <c r="A782" i="19" s="1"/>
  <c r="A783" i="19" s="1"/>
  <c r="A784" i="19" s="1"/>
  <c r="A785" i="19" s="1"/>
  <c r="A786" i="19" s="1"/>
  <c r="A787" i="19" s="1"/>
  <c r="A788" i="19" s="1"/>
  <c r="A789" i="19" s="1"/>
  <c r="A790" i="19" s="1"/>
  <c r="A791" i="19" s="1"/>
  <c r="A792" i="19" s="1"/>
  <c r="A793" i="19" s="1"/>
  <c r="A794" i="19" s="1"/>
  <c r="A795" i="19" s="1"/>
  <c r="A796" i="19" s="1"/>
  <c r="A797" i="19" s="1"/>
  <c r="A798" i="19" s="1"/>
  <c r="A799" i="19" s="1"/>
  <c r="A800" i="19" s="1"/>
  <c r="A801" i="19" s="1"/>
  <c r="A802" i="19" s="1"/>
  <c r="A803" i="19" s="1"/>
  <c r="A804" i="19" s="1"/>
  <c r="A805" i="19" s="1"/>
  <c r="A806" i="19" s="1"/>
  <c r="A807" i="19" s="1"/>
  <c r="A808" i="19" s="1"/>
  <c r="A809" i="19" s="1"/>
  <c r="A810" i="19" s="1"/>
  <c r="A811" i="19" s="1"/>
  <c r="A812" i="19" s="1"/>
  <c r="A813" i="19" s="1"/>
  <c r="A814" i="19" s="1"/>
  <c r="A815" i="19" s="1"/>
  <c r="A816" i="19" s="1"/>
  <c r="A817" i="19" s="1"/>
  <c r="A818" i="19" s="1"/>
  <c r="A819" i="19" s="1"/>
  <c r="A820" i="19" s="1"/>
  <c r="A821" i="19" s="1"/>
  <c r="A822" i="19" s="1"/>
  <c r="A823" i="19" s="1"/>
  <c r="A824" i="19" s="1"/>
  <c r="A825" i="19" s="1"/>
  <c r="A826" i="19" s="1"/>
  <c r="A827" i="19" s="1"/>
  <c r="A828" i="19" s="1"/>
  <c r="A829" i="19" s="1"/>
  <c r="A830" i="19" s="1"/>
  <c r="A831" i="19" s="1"/>
  <c r="A832" i="19" s="1"/>
  <c r="A833" i="19" s="1"/>
  <c r="A834" i="19" s="1"/>
  <c r="A835" i="19" s="1"/>
  <c r="A836" i="19" s="1"/>
  <c r="A837" i="19" s="1"/>
  <c r="A838" i="19" s="1"/>
  <c r="A839" i="19" s="1"/>
  <c r="A840" i="19" s="1"/>
  <c r="A841" i="19" s="1"/>
  <c r="A842" i="19" s="1"/>
  <c r="A843" i="19" s="1"/>
  <c r="A844" i="19" s="1"/>
  <c r="A845" i="19" s="1"/>
  <c r="A846" i="19" s="1"/>
  <c r="A847" i="19" s="1"/>
  <c r="A848" i="19" s="1"/>
  <c r="A849" i="19" s="1"/>
  <c r="A850" i="19" s="1"/>
  <c r="A851" i="19" s="1"/>
  <c r="A852" i="19" s="1"/>
  <c r="A853" i="19" s="1"/>
  <c r="A854" i="19" s="1"/>
  <c r="A855" i="19" s="1"/>
  <c r="A856" i="19" s="1"/>
  <c r="A857" i="19" s="1"/>
  <c r="A858" i="19" s="1"/>
  <c r="A859" i="19" s="1"/>
  <c r="A860" i="19" s="1"/>
  <c r="A861" i="19" s="1"/>
  <c r="A862" i="19" s="1"/>
  <c r="A863" i="19" s="1"/>
  <c r="A864" i="19" s="1"/>
  <c r="A865" i="19" s="1"/>
  <c r="A866" i="19" s="1"/>
  <c r="A867" i="19" s="1"/>
  <c r="A868" i="19" s="1"/>
  <c r="A869" i="19" s="1"/>
  <c r="A870" i="19" s="1"/>
  <c r="A871" i="19" s="1"/>
  <c r="A872" i="19" s="1"/>
  <c r="A873" i="19" s="1"/>
  <c r="A874" i="19" s="1"/>
  <c r="A875" i="19" s="1"/>
  <c r="A876" i="19" s="1"/>
  <c r="A877" i="19" s="1"/>
  <c r="A878" i="19" s="1"/>
  <c r="A879" i="19" s="1"/>
  <c r="A880" i="19" s="1"/>
  <c r="A881" i="19" s="1"/>
  <c r="A882" i="19" s="1"/>
  <c r="A883" i="19" s="1"/>
  <c r="A884" i="19" s="1"/>
  <c r="A885" i="19" s="1"/>
  <c r="A886" i="19" s="1"/>
  <c r="A887" i="19" s="1"/>
  <c r="A888" i="19" s="1"/>
  <c r="A889" i="19" s="1"/>
  <c r="A890" i="19" s="1"/>
  <c r="A891" i="19" s="1"/>
  <c r="A892" i="19" s="1"/>
  <c r="A893" i="19" s="1"/>
  <c r="A894" i="19" s="1"/>
  <c r="A895" i="19" s="1"/>
  <c r="A896" i="19" s="1"/>
  <c r="A897" i="19" s="1"/>
  <c r="A898" i="19" s="1"/>
  <c r="A899" i="19" s="1"/>
  <c r="A900" i="19" s="1"/>
  <c r="A901" i="19" s="1"/>
  <c r="A902" i="19" s="1"/>
  <c r="A903" i="19" s="1"/>
  <c r="A904" i="19" s="1"/>
  <c r="A905" i="19" s="1"/>
  <c r="A906" i="19" s="1"/>
  <c r="A907" i="19" s="1"/>
  <c r="A908" i="19" s="1"/>
  <c r="A909" i="19" s="1"/>
  <c r="A910" i="19" s="1"/>
  <c r="A911" i="19" s="1"/>
  <c r="A912" i="19" s="1"/>
  <c r="A913" i="19" s="1"/>
  <c r="A914" i="19" s="1"/>
  <c r="A915" i="19" s="1"/>
  <c r="A916" i="19" s="1"/>
  <c r="A917" i="19" s="1"/>
  <c r="A918" i="19" s="1"/>
  <c r="A919" i="19" s="1"/>
  <c r="A920" i="19" s="1"/>
  <c r="A921" i="19" s="1"/>
  <c r="A922" i="19" s="1"/>
  <c r="A923" i="19" s="1"/>
  <c r="A924" i="19" s="1"/>
  <c r="A925" i="19" s="1"/>
  <c r="A926" i="19" s="1"/>
  <c r="A927" i="19" s="1"/>
  <c r="A928" i="19" s="1"/>
  <c r="A929" i="19" s="1"/>
  <c r="A930" i="19" s="1"/>
  <c r="A931" i="19" s="1"/>
  <c r="A932" i="19" s="1"/>
  <c r="A933" i="19" s="1"/>
  <c r="A934" i="19" s="1"/>
  <c r="A935" i="19" s="1"/>
  <c r="A936" i="19" s="1"/>
  <c r="A937" i="19" s="1"/>
  <c r="A938" i="19" s="1"/>
  <c r="A939" i="19" s="1"/>
  <c r="A940" i="19" s="1"/>
  <c r="A941" i="19" s="1"/>
  <c r="A942" i="19" s="1"/>
  <c r="A943" i="19" s="1"/>
  <c r="A944" i="19" s="1"/>
  <c r="A945" i="19" s="1"/>
  <c r="A946" i="19" s="1"/>
  <c r="A947" i="19" s="1"/>
  <c r="A948" i="19" s="1"/>
  <c r="A949" i="19" s="1"/>
  <c r="A950" i="19" s="1"/>
  <c r="A951" i="19" s="1"/>
  <c r="A952" i="19" s="1"/>
  <c r="A953" i="19" s="1"/>
  <c r="A954" i="19" s="1"/>
  <c r="A955" i="19" s="1"/>
  <c r="A956" i="19" s="1"/>
  <c r="A957" i="19" s="1"/>
  <c r="A958" i="19" s="1"/>
  <c r="A959" i="19" s="1"/>
  <c r="A960" i="19" s="1"/>
  <c r="A961" i="19" s="1"/>
  <c r="A962" i="19" s="1"/>
  <c r="A963" i="19" s="1"/>
  <c r="A964" i="19" s="1"/>
  <c r="A965" i="19" s="1"/>
  <c r="A966" i="19" s="1"/>
  <c r="A967" i="19" s="1"/>
  <c r="A968" i="19" s="1"/>
  <c r="A969" i="19" s="1"/>
  <c r="A970" i="19" s="1"/>
  <c r="A971" i="19" s="1"/>
  <c r="A972" i="19" s="1"/>
  <c r="A973" i="19" s="1"/>
  <c r="A974" i="19" s="1"/>
  <c r="A975" i="19" s="1"/>
  <c r="A976" i="19" s="1"/>
  <c r="A977" i="19" s="1"/>
  <c r="A978" i="19" s="1"/>
  <c r="A979" i="19" s="1"/>
  <c r="A980" i="19" s="1"/>
  <c r="A981" i="19" s="1"/>
  <c r="A982" i="19" s="1"/>
  <c r="A983" i="19" s="1"/>
  <c r="A984" i="19" s="1"/>
  <c r="A985" i="19" s="1"/>
  <c r="A986" i="19" s="1"/>
  <c r="A987" i="19" s="1"/>
  <c r="A988" i="19" s="1"/>
  <c r="A989" i="19" s="1"/>
  <c r="A990" i="19" s="1"/>
  <c r="A991" i="19" s="1"/>
  <c r="A992" i="19" s="1"/>
  <c r="A993" i="19" s="1"/>
  <c r="A994" i="19" s="1"/>
  <c r="A995" i="19" s="1"/>
  <c r="A996" i="19" s="1"/>
  <c r="A997" i="19" s="1"/>
  <c r="A998" i="19" s="1"/>
  <c r="A999" i="19" s="1"/>
  <c r="A1000" i="19" s="1"/>
  <c r="A1001" i="19" s="1"/>
  <c r="A1002" i="19" s="1"/>
  <c r="A1003" i="19" s="1"/>
  <c r="A1004" i="19" s="1"/>
  <c r="A1005" i="19" s="1"/>
  <c r="A1006" i="19" s="1"/>
  <c r="A1007" i="19" s="1"/>
  <c r="A1008" i="19" s="1"/>
  <c r="A1009" i="19" s="1"/>
  <c r="A1010" i="19" s="1"/>
  <c r="A1011" i="19" s="1"/>
  <c r="A1012" i="19" s="1"/>
  <c r="A1013" i="19" s="1"/>
  <c r="A1014" i="19" s="1"/>
  <c r="A1015" i="19" s="1"/>
  <c r="A1016" i="19" s="1"/>
  <c r="A1017" i="19" s="1"/>
  <c r="A1018" i="19" s="1"/>
  <c r="A1019" i="19" s="1"/>
  <c r="A1020" i="19" s="1"/>
  <c r="A1021" i="19" s="1"/>
  <c r="A1022" i="19" s="1"/>
  <c r="A1023" i="19" s="1"/>
  <c r="A1024" i="19" s="1"/>
  <c r="A1025" i="19" s="1"/>
  <c r="A1026" i="19" s="1"/>
  <c r="A1027" i="19" s="1"/>
  <c r="A1028" i="19" s="1"/>
  <c r="A1029" i="19" s="1"/>
  <c r="A1030" i="19" s="1"/>
  <c r="A1031" i="19" s="1"/>
  <c r="A1032" i="19" s="1"/>
  <c r="A1033" i="19" s="1"/>
  <c r="A1034" i="19" s="1"/>
  <c r="A1035" i="19" s="1"/>
  <c r="A1036" i="19" s="1"/>
  <c r="A1037" i="19" s="1"/>
  <c r="A1038" i="19" s="1"/>
  <c r="A1039" i="19" s="1"/>
  <c r="A1040" i="19" s="1"/>
  <c r="A1041" i="19" s="1"/>
  <c r="A1042" i="19" s="1"/>
  <c r="A1043" i="19" s="1"/>
  <c r="A1044" i="19" s="1"/>
  <c r="A1045" i="19" s="1"/>
  <c r="A1046" i="19" s="1"/>
  <c r="A1047" i="19" s="1"/>
  <c r="A1048" i="19" s="1"/>
  <c r="A1049" i="19" s="1"/>
  <c r="A1050" i="19" s="1"/>
  <c r="A1051" i="19" s="1"/>
  <c r="A1052" i="19" s="1"/>
  <c r="A1053" i="19" s="1"/>
  <c r="A1054" i="19" s="1"/>
  <c r="A1055" i="19" s="1"/>
  <c r="A1056" i="19" s="1"/>
  <c r="A1057" i="19" s="1"/>
  <c r="A1058" i="19" s="1"/>
  <c r="A1059" i="19" s="1"/>
  <c r="A1060" i="19" s="1"/>
  <c r="A1061" i="19" s="1"/>
  <c r="A1062" i="19" s="1"/>
  <c r="A1063" i="19" s="1"/>
  <c r="A1064" i="19" s="1"/>
  <c r="A1065" i="19" s="1"/>
  <c r="A1066" i="19" s="1"/>
  <c r="A1067" i="19" s="1"/>
  <c r="A1068" i="19" s="1"/>
  <c r="A1069" i="19" s="1"/>
  <c r="A1070" i="19" s="1"/>
  <c r="A1071" i="19" s="1"/>
  <c r="A1072" i="19" s="1"/>
  <c r="A1073" i="19" s="1"/>
  <c r="A1074" i="19" s="1"/>
  <c r="A1075" i="19" s="1"/>
  <c r="A1076" i="19" s="1"/>
  <c r="A1077" i="19" s="1"/>
  <c r="A1078" i="19" s="1"/>
  <c r="A1079" i="19" s="1"/>
  <c r="A1080" i="19" s="1"/>
  <c r="A1081" i="19" s="1"/>
  <c r="A1082" i="19" s="1"/>
  <c r="A1083" i="19" s="1"/>
  <c r="A1084" i="19" s="1"/>
  <c r="A1085" i="19" s="1"/>
  <c r="A1086" i="19" s="1"/>
  <c r="A1087" i="19" s="1"/>
  <c r="A1088" i="19" s="1"/>
  <c r="A1089" i="19" s="1"/>
  <c r="A1090" i="19" s="1"/>
  <c r="A1091" i="19" s="1"/>
  <c r="A1092" i="19" s="1"/>
  <c r="A1093" i="19" s="1"/>
  <c r="A1094" i="19" s="1"/>
  <c r="A1095" i="19" s="1"/>
  <c r="A1096" i="19" s="1"/>
  <c r="A1097" i="19" s="1"/>
  <c r="A1098" i="19" s="1"/>
  <c r="A1099" i="19" s="1"/>
  <c r="A1100" i="19" s="1"/>
  <c r="A1101" i="19" s="1"/>
  <c r="A1102" i="19" s="1"/>
  <c r="A1103" i="19" s="1"/>
  <c r="A1104" i="19" s="1"/>
  <c r="A1105" i="19" s="1"/>
  <c r="A1106" i="19" s="1"/>
  <c r="A1107" i="19" s="1"/>
  <c r="A1108" i="19" s="1"/>
  <c r="A1109" i="19" s="1"/>
  <c r="A1110" i="19" s="1"/>
  <c r="A1111" i="19" s="1"/>
  <c r="A1112" i="19" s="1"/>
  <c r="A1113" i="19" s="1"/>
  <c r="A1114" i="19" s="1"/>
  <c r="A1115" i="19" s="1"/>
  <c r="A1116" i="19" s="1"/>
  <c r="A1117" i="19" s="1"/>
  <c r="A1118" i="19" s="1"/>
  <c r="A1119" i="19" s="1"/>
  <c r="A1120" i="19" s="1"/>
  <c r="A1121" i="19" s="1"/>
  <c r="A1122" i="19" s="1"/>
  <c r="A1123" i="19" s="1"/>
  <c r="A1124" i="19" s="1"/>
  <c r="A1125" i="19" s="1"/>
  <c r="A1126" i="19" s="1"/>
  <c r="A1127" i="19" s="1"/>
  <c r="A1128" i="19" s="1"/>
  <c r="A1129" i="19" s="1"/>
  <c r="A1130" i="19" s="1"/>
  <c r="A1131" i="19" s="1"/>
  <c r="A1132" i="19" s="1"/>
  <c r="A1133" i="19" s="1"/>
  <c r="A1134" i="19" s="1"/>
  <c r="A1135" i="19" s="1"/>
  <c r="A1136" i="19" s="1"/>
  <c r="A1137" i="19" s="1"/>
  <c r="A1138" i="19" s="1"/>
  <c r="A1139" i="19" s="1"/>
  <c r="A1140" i="19" s="1"/>
  <c r="A1141" i="19" s="1"/>
  <c r="A1142" i="19" s="1"/>
  <c r="A1143" i="19" s="1"/>
  <c r="A1144" i="19" s="1"/>
  <c r="A1145" i="19" s="1"/>
  <c r="A1146" i="19" s="1"/>
  <c r="A1147" i="19" s="1"/>
  <c r="A1148" i="19" s="1"/>
  <c r="A1149" i="19" s="1"/>
  <c r="A1150" i="19" s="1"/>
  <c r="A1151" i="19" s="1"/>
  <c r="A1152" i="19" s="1"/>
  <c r="A1153" i="19" s="1"/>
  <c r="A1154" i="19" s="1"/>
  <c r="A1155" i="19" s="1"/>
  <c r="A1156" i="19" s="1"/>
  <c r="A1157" i="19" s="1"/>
  <c r="A1158" i="19" s="1"/>
  <c r="A1159" i="19" s="1"/>
  <c r="A1160" i="19" s="1"/>
  <c r="A1161" i="19" s="1"/>
  <c r="A1162" i="19" s="1"/>
  <c r="A1163" i="19" s="1"/>
  <c r="A1164" i="19" s="1"/>
  <c r="A1165" i="19" s="1"/>
  <c r="A1166" i="19" s="1"/>
  <c r="A1167" i="19" s="1"/>
  <c r="A1168" i="19" s="1"/>
  <c r="A1169" i="19" s="1"/>
  <c r="A1170" i="19" s="1"/>
  <c r="A1171" i="19" s="1"/>
  <c r="A1172" i="19" s="1"/>
  <c r="A1173" i="19" s="1"/>
  <c r="A1174" i="19" s="1"/>
  <c r="A1175" i="19" s="1"/>
  <c r="A1176" i="19" s="1"/>
  <c r="A1177" i="19" s="1"/>
  <c r="A1178" i="19" s="1"/>
  <c r="A1179" i="19" s="1"/>
  <c r="A1180" i="19" s="1"/>
  <c r="A1181" i="19" s="1"/>
  <c r="A1182" i="19" s="1"/>
  <c r="A1183" i="19" s="1"/>
  <c r="A1184" i="19" s="1"/>
  <c r="A1185" i="19" s="1"/>
  <c r="A1186" i="19" s="1"/>
  <c r="A1187" i="19" s="1"/>
  <c r="A1188" i="19" s="1"/>
  <c r="A1189" i="19" s="1"/>
  <c r="A1190" i="19" s="1"/>
  <c r="A1191" i="19" s="1"/>
  <c r="A1192" i="19" s="1"/>
  <c r="A1193" i="19" s="1"/>
  <c r="A1194" i="19" s="1"/>
  <c r="A1195" i="19" s="1"/>
  <c r="A1196" i="19" s="1"/>
  <c r="A1197" i="19" s="1"/>
  <c r="A1198" i="19" s="1"/>
  <c r="A1199" i="19" s="1"/>
  <c r="S3" i="18"/>
  <c r="T3" i="18"/>
  <c r="S4" i="18"/>
  <c r="T4" i="18"/>
  <c r="S5" i="18"/>
  <c r="T5" i="18"/>
  <c r="S6" i="18"/>
  <c r="T6" i="18"/>
  <c r="S7" i="18"/>
  <c r="T7" i="18"/>
  <c r="S8" i="18"/>
  <c r="T8" i="18"/>
  <c r="S9" i="18"/>
  <c r="T9" i="18"/>
  <c r="S10" i="18"/>
  <c r="T10" i="18"/>
  <c r="S11" i="18"/>
  <c r="T11" i="18"/>
  <c r="S12" i="18"/>
  <c r="T12" i="18"/>
  <c r="S13" i="18"/>
  <c r="T13" i="18"/>
  <c r="S14" i="18"/>
  <c r="T14" i="18"/>
  <c r="S15" i="18"/>
  <c r="T15" i="18"/>
  <c r="S16" i="18"/>
  <c r="T16" i="18"/>
  <c r="S17" i="18"/>
  <c r="T17" i="18"/>
  <c r="S18" i="18"/>
  <c r="T18" i="18"/>
  <c r="S19" i="18"/>
  <c r="T19" i="18"/>
  <c r="S20" i="18"/>
  <c r="T20" i="18"/>
  <c r="S21" i="18"/>
  <c r="T21" i="18"/>
  <c r="S22" i="18"/>
  <c r="T22" i="18"/>
  <c r="S23" i="18"/>
  <c r="T23" i="18"/>
  <c r="S24" i="18"/>
  <c r="T24" i="18"/>
  <c r="S25" i="18"/>
  <c r="T25" i="18"/>
  <c r="S26" i="18"/>
  <c r="T26" i="18"/>
  <c r="S27" i="18"/>
  <c r="T27" i="18"/>
  <c r="S28" i="18"/>
  <c r="T28" i="18"/>
  <c r="S29" i="18"/>
  <c r="T29" i="18"/>
  <c r="S30" i="18"/>
  <c r="T30" i="18"/>
  <c r="S31" i="18"/>
  <c r="T31" i="18"/>
  <c r="S32" i="18"/>
  <c r="T32" i="18"/>
  <c r="S33" i="18"/>
  <c r="T33" i="18"/>
  <c r="S34" i="18"/>
  <c r="T34" i="18"/>
  <c r="S35" i="18"/>
  <c r="T35" i="18"/>
  <c r="S36" i="18"/>
  <c r="T36" i="18"/>
  <c r="S37" i="18"/>
  <c r="T37" i="18"/>
  <c r="S38" i="18"/>
  <c r="T38" i="18"/>
  <c r="S39" i="18"/>
  <c r="T39" i="18"/>
  <c r="S40" i="18"/>
  <c r="T40" i="18"/>
  <c r="S41" i="18"/>
  <c r="T41" i="18"/>
  <c r="S42" i="18"/>
  <c r="T42" i="18"/>
  <c r="S43" i="18"/>
  <c r="T43" i="18"/>
  <c r="S44" i="18"/>
  <c r="T44" i="18"/>
  <c r="S45" i="18"/>
  <c r="T45" i="18"/>
  <c r="S46" i="18"/>
  <c r="T46" i="18"/>
  <c r="S47" i="18"/>
  <c r="T47" i="18"/>
  <c r="S48" i="18"/>
  <c r="T48" i="18"/>
  <c r="S49" i="18"/>
  <c r="T49" i="18"/>
  <c r="S50" i="18"/>
  <c r="T50" i="18"/>
  <c r="S51" i="18"/>
  <c r="T51" i="18"/>
  <c r="S52" i="18"/>
  <c r="T52" i="18"/>
  <c r="S53" i="18"/>
  <c r="T53" i="18"/>
  <c r="S54" i="18"/>
  <c r="T54" i="18"/>
  <c r="S55" i="18"/>
  <c r="T55" i="18"/>
  <c r="S56" i="18"/>
  <c r="T56" i="18"/>
  <c r="S57" i="18"/>
  <c r="T57" i="18"/>
  <c r="S58" i="18"/>
  <c r="T58" i="18"/>
  <c r="S59" i="18"/>
  <c r="T59" i="18"/>
  <c r="S60" i="18"/>
  <c r="T60" i="18"/>
  <c r="S61" i="18"/>
  <c r="T61" i="18"/>
  <c r="S62" i="18"/>
  <c r="T62" i="18"/>
  <c r="S63" i="18"/>
  <c r="T63" i="18"/>
  <c r="S64" i="18"/>
  <c r="T64" i="18"/>
  <c r="S65" i="18"/>
  <c r="T65" i="18"/>
  <c r="S66" i="18"/>
  <c r="T66" i="18"/>
  <c r="S67" i="18"/>
  <c r="T67" i="18"/>
  <c r="S68" i="18"/>
  <c r="T68" i="18"/>
  <c r="S69" i="18"/>
  <c r="T69" i="18"/>
  <c r="S70" i="18"/>
  <c r="T70" i="18"/>
  <c r="S71" i="18"/>
  <c r="T71" i="18"/>
  <c r="S72" i="18"/>
  <c r="T72" i="18"/>
  <c r="S73" i="18"/>
  <c r="T73" i="18"/>
  <c r="S74" i="18"/>
  <c r="T74" i="18"/>
  <c r="S75" i="18"/>
  <c r="T75" i="18"/>
  <c r="S76" i="18"/>
  <c r="T76" i="18"/>
  <c r="S77" i="18"/>
  <c r="T77" i="18"/>
  <c r="S78" i="18"/>
  <c r="T78" i="18"/>
  <c r="S79" i="18"/>
  <c r="T79" i="18"/>
  <c r="S80" i="18"/>
  <c r="T80" i="18"/>
  <c r="S81" i="18"/>
  <c r="T81" i="18"/>
  <c r="S82" i="18"/>
  <c r="T82" i="18"/>
  <c r="S83" i="18"/>
  <c r="T83" i="18"/>
  <c r="S84" i="18"/>
  <c r="T84" i="18"/>
  <c r="S85" i="18"/>
  <c r="T85" i="18"/>
  <c r="S86" i="18"/>
  <c r="T86" i="18"/>
  <c r="S87" i="18"/>
  <c r="T87" i="18"/>
  <c r="S88" i="18"/>
  <c r="T88" i="18"/>
  <c r="S89" i="18"/>
  <c r="T89" i="18"/>
  <c r="S90" i="18"/>
  <c r="T90" i="18"/>
  <c r="S91" i="18"/>
  <c r="T91" i="18"/>
  <c r="S92" i="18"/>
  <c r="T92" i="18"/>
  <c r="S93" i="18"/>
  <c r="T93" i="18"/>
  <c r="S94" i="18"/>
  <c r="T94" i="18"/>
  <c r="S95" i="18"/>
  <c r="T95" i="18"/>
  <c r="S96" i="18"/>
  <c r="T96" i="18"/>
  <c r="S97" i="18"/>
  <c r="T97" i="18"/>
  <c r="S98" i="18"/>
  <c r="T98" i="18"/>
  <c r="S99" i="18"/>
  <c r="T99" i="18"/>
  <c r="S100" i="18"/>
  <c r="T100" i="18"/>
  <c r="S101" i="18"/>
  <c r="T101" i="18"/>
  <c r="S102" i="18"/>
  <c r="T102" i="18"/>
  <c r="S103" i="18"/>
  <c r="T103" i="18"/>
  <c r="S104" i="18"/>
  <c r="T104" i="18"/>
  <c r="S105" i="18"/>
  <c r="T105" i="18"/>
  <c r="S106" i="18"/>
  <c r="T106" i="18"/>
  <c r="S107" i="18"/>
  <c r="T107" i="18"/>
  <c r="S108" i="18"/>
  <c r="T108" i="18"/>
  <c r="S109" i="18"/>
  <c r="T109" i="18"/>
  <c r="S110" i="18"/>
  <c r="T110" i="18"/>
  <c r="S111" i="18"/>
  <c r="T111" i="18"/>
  <c r="S112" i="18"/>
  <c r="T112" i="18"/>
  <c r="S113" i="18"/>
  <c r="T113" i="18"/>
  <c r="S114" i="18"/>
  <c r="T114" i="18"/>
  <c r="S115" i="18"/>
  <c r="T115" i="18"/>
  <c r="S116" i="18"/>
  <c r="T116" i="18"/>
  <c r="S117" i="18"/>
  <c r="T117" i="18"/>
  <c r="S118" i="18"/>
  <c r="T118" i="18"/>
  <c r="S119" i="18"/>
  <c r="T119" i="18"/>
  <c r="S120" i="18"/>
  <c r="T120" i="18"/>
  <c r="S121" i="18"/>
  <c r="T121" i="18"/>
  <c r="S122" i="18"/>
  <c r="T122" i="18"/>
  <c r="S123" i="18"/>
  <c r="T123" i="18"/>
  <c r="S124" i="18"/>
  <c r="T124" i="18"/>
  <c r="S125" i="18"/>
  <c r="T125" i="18"/>
  <c r="S126" i="18"/>
  <c r="T126" i="18"/>
  <c r="S127" i="18"/>
  <c r="T127" i="18"/>
  <c r="S128" i="18"/>
  <c r="T128" i="18"/>
  <c r="S129" i="18"/>
  <c r="T129" i="18"/>
  <c r="S130" i="18"/>
  <c r="T130" i="18"/>
  <c r="S131" i="18"/>
  <c r="T131" i="18"/>
  <c r="S132" i="18"/>
  <c r="T132" i="18"/>
  <c r="S133" i="18"/>
  <c r="T133" i="18"/>
  <c r="S134" i="18"/>
  <c r="T134" i="18"/>
  <c r="S135" i="18"/>
  <c r="T135" i="18"/>
  <c r="S136" i="18"/>
  <c r="T136" i="18"/>
  <c r="S137" i="18"/>
  <c r="T137" i="18"/>
  <c r="S138" i="18"/>
  <c r="T138" i="18"/>
  <c r="S139" i="18"/>
  <c r="T139" i="18"/>
  <c r="S140" i="18"/>
  <c r="T140" i="18"/>
  <c r="S141" i="18"/>
  <c r="T141" i="18"/>
  <c r="S142" i="18"/>
  <c r="T142" i="18"/>
  <c r="S143" i="18"/>
  <c r="T143" i="18"/>
  <c r="S144" i="18"/>
  <c r="T144" i="18"/>
  <c r="S145" i="18"/>
  <c r="T145" i="18"/>
  <c r="S146" i="18"/>
  <c r="T146" i="18"/>
  <c r="S147" i="18"/>
  <c r="T147" i="18"/>
  <c r="S148" i="18"/>
  <c r="T148" i="18"/>
  <c r="S149" i="18"/>
  <c r="T149" i="18"/>
  <c r="S150" i="18"/>
  <c r="T150" i="18"/>
  <c r="S151" i="18"/>
  <c r="T151" i="18"/>
  <c r="S152" i="18"/>
  <c r="T152" i="18"/>
  <c r="S153" i="18"/>
  <c r="T153" i="18"/>
  <c r="S154" i="18"/>
  <c r="T154" i="18"/>
  <c r="S155" i="18"/>
  <c r="T155" i="18"/>
  <c r="S156" i="18"/>
  <c r="T156" i="18"/>
  <c r="S157" i="18"/>
  <c r="T157" i="18"/>
  <c r="S158" i="18"/>
  <c r="T158" i="18"/>
  <c r="S159" i="18"/>
  <c r="T159" i="18"/>
  <c r="S160" i="18"/>
  <c r="T160" i="18"/>
  <c r="S161" i="18"/>
  <c r="T161" i="18"/>
  <c r="S162" i="18"/>
  <c r="T162" i="18"/>
  <c r="S163" i="18"/>
  <c r="T163" i="18"/>
  <c r="S164" i="18"/>
  <c r="T164" i="18"/>
  <c r="S165" i="18"/>
  <c r="T165" i="18"/>
  <c r="S166" i="18"/>
  <c r="T166" i="18"/>
  <c r="S167" i="18"/>
  <c r="T167" i="18"/>
  <c r="S168" i="18"/>
  <c r="T168" i="18"/>
  <c r="S169" i="18"/>
  <c r="T169" i="18"/>
  <c r="S170" i="18"/>
  <c r="T170" i="18"/>
  <c r="S171" i="18"/>
  <c r="T171" i="18"/>
  <c r="S172" i="18"/>
  <c r="T172" i="18"/>
  <c r="S173" i="18"/>
  <c r="T173" i="18"/>
  <c r="S174" i="18"/>
  <c r="T174" i="18"/>
  <c r="S175" i="18"/>
  <c r="T175" i="18"/>
  <c r="S176" i="18"/>
  <c r="T176" i="18"/>
  <c r="S177" i="18"/>
  <c r="T177" i="18"/>
  <c r="S178" i="18"/>
  <c r="T178" i="18"/>
  <c r="S179" i="18"/>
  <c r="T179" i="18"/>
  <c r="S180" i="18"/>
  <c r="T180" i="18"/>
  <c r="S181" i="18"/>
  <c r="T181" i="18"/>
  <c r="S182" i="18"/>
  <c r="T182" i="18"/>
  <c r="S183" i="18"/>
  <c r="T183" i="18"/>
  <c r="S184" i="18"/>
  <c r="T184" i="18"/>
  <c r="S185" i="18"/>
  <c r="T185" i="18"/>
  <c r="S186" i="18"/>
  <c r="T186" i="18"/>
  <c r="S187" i="18"/>
  <c r="T187" i="18"/>
  <c r="S188" i="18"/>
  <c r="T188" i="18"/>
  <c r="S189" i="18"/>
  <c r="T189" i="18"/>
  <c r="S190" i="18"/>
  <c r="T190" i="18"/>
  <c r="S191" i="18"/>
  <c r="T191" i="18"/>
  <c r="S192" i="18"/>
  <c r="T192" i="18"/>
  <c r="S193" i="18"/>
  <c r="T193" i="18"/>
  <c r="S194" i="18"/>
  <c r="T194" i="18"/>
  <c r="S195" i="18"/>
  <c r="T195" i="18"/>
  <c r="S196" i="18"/>
  <c r="T196" i="18"/>
  <c r="S197" i="18"/>
  <c r="T197" i="18"/>
  <c r="S198" i="18"/>
  <c r="T198" i="18"/>
  <c r="S199" i="18"/>
  <c r="T199" i="18"/>
  <c r="S200" i="18"/>
  <c r="T200" i="18"/>
  <c r="S201" i="18"/>
  <c r="T201" i="18"/>
  <c r="S202" i="18"/>
  <c r="T202" i="18"/>
  <c r="S203" i="18"/>
  <c r="T203" i="18"/>
  <c r="S204" i="18"/>
  <c r="T204" i="18"/>
  <c r="S205" i="18"/>
  <c r="T205" i="18"/>
  <c r="S206" i="18"/>
  <c r="T206" i="18"/>
  <c r="S207" i="18"/>
  <c r="T207" i="18"/>
  <c r="S208" i="18"/>
  <c r="T208" i="18"/>
  <c r="S209" i="18"/>
  <c r="T209" i="18"/>
  <c r="S210" i="18"/>
  <c r="T210" i="18"/>
  <c r="S211" i="18"/>
  <c r="T211" i="18"/>
  <c r="S212" i="18"/>
  <c r="T212" i="18"/>
  <c r="S213" i="18"/>
  <c r="T213" i="18"/>
  <c r="S214" i="18"/>
  <c r="T214" i="18"/>
  <c r="S215" i="18"/>
  <c r="T215" i="18"/>
  <c r="S216" i="18"/>
  <c r="T216" i="18"/>
  <c r="S217" i="18"/>
  <c r="T217" i="18"/>
  <c r="S218" i="18"/>
  <c r="T218" i="18"/>
  <c r="S219" i="18"/>
  <c r="T219" i="18"/>
  <c r="S220" i="18"/>
  <c r="T220" i="18"/>
  <c r="S221" i="18"/>
  <c r="T221" i="18"/>
  <c r="S222" i="18"/>
  <c r="T222" i="18"/>
  <c r="S223" i="18"/>
  <c r="T223" i="18"/>
  <c r="T2" i="18"/>
  <c r="S2" i="18"/>
  <c r="C2" i="18"/>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140" i="18"/>
  <c r="C141" i="18"/>
  <c r="C142" i="18"/>
  <c r="C143" i="18"/>
  <c r="C144" i="18"/>
  <c r="C145" i="18"/>
  <c r="C146" i="18"/>
  <c r="C147" i="18"/>
  <c r="C148" i="18"/>
  <c r="C149" i="18"/>
  <c r="C150" i="18"/>
  <c r="C151" i="18"/>
  <c r="C152" i="18"/>
  <c r="C153" i="18"/>
  <c r="C154" i="18"/>
  <c r="C155" i="18"/>
  <c r="C156" i="18"/>
  <c r="C157" i="18"/>
  <c r="C158" i="18"/>
  <c r="C159" i="18"/>
  <c r="C160" i="18"/>
  <c r="C161" i="18"/>
  <c r="C162" i="18"/>
  <c r="C163" i="18"/>
  <c r="C164" i="18"/>
  <c r="C165" i="18"/>
  <c r="C166" i="18"/>
  <c r="C167" i="18"/>
  <c r="C168" i="18"/>
  <c r="C169" i="18"/>
  <c r="C170" i="18"/>
  <c r="C171" i="18"/>
  <c r="C172" i="18"/>
  <c r="C173" i="18"/>
  <c r="C174" i="18"/>
  <c r="C175" i="18"/>
  <c r="C176" i="18"/>
  <c r="C177" i="18"/>
  <c r="C178" i="18"/>
  <c r="C179" i="18"/>
  <c r="C180" i="18"/>
  <c r="C181" i="18"/>
  <c r="C182" i="18"/>
  <c r="C183" i="18"/>
  <c r="C184" i="18"/>
  <c r="C185" i="18"/>
  <c r="C186" i="18"/>
  <c r="C187" i="18"/>
  <c r="C188" i="18"/>
  <c r="C189" i="18"/>
  <c r="C190" i="18"/>
  <c r="C191" i="18"/>
  <c r="C192" i="18"/>
  <c r="C193" i="18"/>
  <c r="C194" i="18"/>
  <c r="C195" i="18"/>
  <c r="C196" i="18"/>
  <c r="C197" i="18"/>
  <c r="C198" i="18"/>
  <c r="C199" i="18"/>
  <c r="C200" i="18"/>
  <c r="C201" i="18"/>
  <c r="C202" i="18"/>
  <c r="C203" i="18"/>
  <c r="C204" i="18"/>
  <c r="C205" i="18"/>
  <c r="C206" i="18"/>
  <c r="C207" i="18"/>
  <c r="C208" i="18"/>
  <c r="C209" i="18"/>
  <c r="C210" i="18"/>
  <c r="C211" i="18"/>
  <c r="C212" i="18"/>
  <c r="C213" i="18"/>
  <c r="C214" i="18"/>
  <c r="C215" i="18"/>
  <c r="C216" i="18"/>
  <c r="C217" i="18"/>
  <c r="C218" i="18"/>
  <c r="C219" i="18"/>
  <c r="C220" i="18"/>
  <c r="C221" i="18"/>
  <c r="C222" i="18"/>
  <c r="C223" i="18"/>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118" i="18"/>
  <c r="B119" i="18"/>
  <c r="B120" i="18"/>
  <c r="B121" i="18"/>
  <c r="B122" i="18"/>
  <c r="B123" i="18"/>
  <c r="B124" i="18"/>
  <c r="B125" i="18"/>
  <c r="B126" i="18"/>
  <c r="B127" i="18"/>
  <c r="B128" i="18"/>
  <c r="B129" i="18"/>
  <c r="B130" i="18"/>
  <c r="B131" i="18"/>
  <c r="B132" i="18"/>
  <c r="B133" i="18"/>
  <c r="B134" i="18"/>
  <c r="B135" i="18"/>
  <c r="B136" i="18"/>
  <c r="B137" i="18"/>
  <c r="B138" i="18"/>
  <c r="B139" i="18"/>
  <c r="B140" i="18"/>
  <c r="B141" i="18"/>
  <c r="B142" i="18"/>
  <c r="B143" i="18"/>
  <c r="B144" i="18"/>
  <c r="B145" i="18"/>
  <c r="B146" i="18"/>
  <c r="B147" i="18"/>
  <c r="B148" i="18"/>
  <c r="B149" i="18"/>
  <c r="B150" i="18"/>
  <c r="B151" i="18"/>
  <c r="B152" i="18"/>
  <c r="B153" i="18"/>
  <c r="B154" i="18"/>
  <c r="B155" i="18"/>
  <c r="B156" i="18"/>
  <c r="B157" i="18"/>
  <c r="B158" i="18"/>
  <c r="B159" i="18"/>
  <c r="B160" i="18"/>
  <c r="B161" i="18"/>
  <c r="B162" i="18"/>
  <c r="B163" i="18"/>
  <c r="B164" i="18"/>
  <c r="B165" i="18"/>
  <c r="B166" i="18"/>
  <c r="B167" i="18"/>
  <c r="B168" i="18"/>
  <c r="B169" i="18"/>
  <c r="B170" i="18"/>
  <c r="B171" i="18"/>
  <c r="B172" i="18"/>
  <c r="B173" i="18"/>
  <c r="B174" i="18"/>
  <c r="B175" i="18"/>
  <c r="B176" i="18"/>
  <c r="B177" i="18"/>
  <c r="B178" i="18"/>
  <c r="B179" i="18"/>
  <c r="B180" i="18"/>
  <c r="B181" i="18"/>
  <c r="B182" i="18"/>
  <c r="B183" i="18"/>
  <c r="B184" i="18"/>
  <c r="B185" i="18"/>
  <c r="B186" i="18"/>
  <c r="B187" i="18"/>
  <c r="B188" i="18"/>
  <c r="B189" i="18"/>
  <c r="B190" i="18"/>
  <c r="B191" i="18"/>
  <c r="B192" i="18"/>
  <c r="B193" i="18"/>
  <c r="B194" i="18"/>
  <c r="B195" i="18"/>
  <c r="B196" i="18"/>
  <c r="B197" i="18"/>
  <c r="B198" i="18"/>
  <c r="B199" i="18"/>
  <c r="B200" i="18"/>
  <c r="B201" i="18"/>
  <c r="B202" i="18"/>
  <c r="B203" i="18"/>
  <c r="B204" i="18"/>
  <c r="B205" i="18"/>
  <c r="B206" i="18"/>
  <c r="B207" i="18"/>
  <c r="B208" i="18"/>
  <c r="B209" i="18"/>
  <c r="B210" i="18"/>
  <c r="B211" i="18"/>
  <c r="B212" i="18"/>
  <c r="B213" i="18"/>
  <c r="B214" i="18"/>
  <c r="B215" i="18"/>
  <c r="B216" i="18"/>
  <c r="B217" i="18"/>
  <c r="B218" i="18"/>
  <c r="B219" i="18"/>
  <c r="B220" i="18"/>
  <c r="B221" i="18"/>
  <c r="B222" i="18"/>
  <c r="B223" i="18"/>
  <c r="A3" i="18"/>
  <c r="A4" i="18" s="1"/>
  <c r="A5" i="18" s="1"/>
  <c r="A6" i="18" s="1"/>
  <c r="A7" i="18" s="1"/>
  <c r="A8" i="18" s="1"/>
  <c r="A9" i="18" s="1"/>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A97" i="18" s="1"/>
  <c r="A98" i="18" s="1"/>
  <c r="A99" i="18" s="1"/>
  <c r="A100" i="18" s="1"/>
  <c r="A101" i="18" s="1"/>
  <c r="A102" i="18" s="1"/>
  <c r="A103" i="18" s="1"/>
  <c r="A104" i="18" s="1"/>
  <c r="A105" i="18" s="1"/>
  <c r="A106" i="18" s="1"/>
  <c r="A107" i="18" s="1"/>
  <c r="A108" i="18" s="1"/>
  <c r="A109" i="18" s="1"/>
  <c r="A110" i="18" s="1"/>
  <c r="A111" i="18" s="1"/>
  <c r="A112" i="18" s="1"/>
  <c r="A113" i="18" s="1"/>
  <c r="A114" i="18" s="1"/>
  <c r="A115" i="18" s="1"/>
  <c r="A116" i="18" s="1"/>
  <c r="A117" i="18" s="1"/>
  <c r="A118" i="18" s="1"/>
  <c r="A119" i="18" s="1"/>
  <c r="A120" i="18" s="1"/>
  <c r="A121" i="18" s="1"/>
  <c r="A122" i="18" s="1"/>
  <c r="A123" i="18" s="1"/>
  <c r="A124" i="18" s="1"/>
  <c r="A125" i="18" s="1"/>
  <c r="A126" i="18" s="1"/>
  <c r="A127" i="18" s="1"/>
  <c r="A128" i="18" s="1"/>
  <c r="A129" i="18" s="1"/>
  <c r="A130" i="18" s="1"/>
  <c r="A131" i="18" s="1"/>
  <c r="A132" i="18" s="1"/>
  <c r="A133" i="18" s="1"/>
  <c r="A134" i="18" s="1"/>
  <c r="A135" i="18" s="1"/>
  <c r="A136" i="18" s="1"/>
  <c r="A137" i="18" s="1"/>
  <c r="A138" i="18" s="1"/>
  <c r="A139" i="18" s="1"/>
  <c r="A140" i="18" s="1"/>
  <c r="A141" i="18" s="1"/>
  <c r="A142" i="18" s="1"/>
  <c r="A143" i="18" s="1"/>
  <c r="A144" i="18" s="1"/>
  <c r="A145" i="18" s="1"/>
  <c r="A146" i="18" s="1"/>
  <c r="A147" i="18" s="1"/>
  <c r="A148" i="18" s="1"/>
  <c r="A149" i="18" s="1"/>
  <c r="A150" i="18" s="1"/>
  <c r="A151" i="18" s="1"/>
  <c r="A152" i="18" s="1"/>
  <c r="A153" i="18" s="1"/>
  <c r="A154" i="18" s="1"/>
  <c r="A155" i="18" s="1"/>
  <c r="A156" i="18" s="1"/>
  <c r="A157" i="18" s="1"/>
  <c r="A158" i="18" s="1"/>
  <c r="A159" i="18" s="1"/>
  <c r="A160" i="18" s="1"/>
  <c r="A161" i="18" s="1"/>
  <c r="A162" i="18" s="1"/>
  <c r="A163" i="18" s="1"/>
  <c r="A164" i="18" s="1"/>
  <c r="A165" i="18" s="1"/>
  <c r="A166" i="18" s="1"/>
  <c r="A167" i="18" s="1"/>
  <c r="A168" i="18" s="1"/>
  <c r="A169" i="18" s="1"/>
  <c r="A170" i="18" s="1"/>
  <c r="A171" i="18" s="1"/>
  <c r="A172" i="18" s="1"/>
  <c r="A173" i="18" s="1"/>
  <c r="A174" i="18" s="1"/>
  <c r="A175" i="18" s="1"/>
  <c r="A176" i="18" s="1"/>
  <c r="A177" i="18" s="1"/>
  <c r="A178" i="18" s="1"/>
  <c r="A179" i="18" s="1"/>
  <c r="A180" i="18" s="1"/>
  <c r="A181" i="18" s="1"/>
  <c r="A182" i="18" s="1"/>
  <c r="A183" i="18" s="1"/>
  <c r="A184" i="18" s="1"/>
  <c r="A185" i="18" s="1"/>
  <c r="A186" i="18" s="1"/>
  <c r="A187" i="18" s="1"/>
  <c r="A188" i="18" s="1"/>
  <c r="A189" i="18" s="1"/>
  <c r="A190" i="18" s="1"/>
  <c r="A191" i="18" s="1"/>
  <c r="A192" i="18" s="1"/>
  <c r="A193" i="18" s="1"/>
  <c r="A194" i="18" s="1"/>
  <c r="A195" i="18" s="1"/>
  <c r="A196" i="18" s="1"/>
  <c r="A197" i="18" s="1"/>
  <c r="A198" i="18" s="1"/>
  <c r="A199" i="18" s="1"/>
  <c r="A200" i="18" s="1"/>
  <c r="A201" i="18" s="1"/>
  <c r="A202" i="18" s="1"/>
  <c r="A203" i="18" s="1"/>
  <c r="A204" i="18" s="1"/>
  <c r="A205" i="18" s="1"/>
  <c r="A206" i="18" s="1"/>
  <c r="A207" i="18" s="1"/>
  <c r="A208" i="18" s="1"/>
  <c r="A209" i="18" s="1"/>
  <c r="A210" i="18" s="1"/>
  <c r="A211" i="18" s="1"/>
  <c r="A212" i="18" s="1"/>
  <c r="A213" i="18" s="1"/>
  <c r="A214" i="18" s="1"/>
  <c r="A215" i="18" s="1"/>
  <c r="A216" i="18" s="1"/>
  <c r="A217" i="18" s="1"/>
  <c r="A218" i="18" s="1"/>
  <c r="A219" i="18" s="1"/>
  <c r="A220" i="18" s="1"/>
  <c r="A221" i="18" s="1"/>
  <c r="A222" i="18" s="1"/>
  <c r="A223" i="18" s="1"/>
  <c r="A224" i="18" s="1"/>
  <c r="A225" i="18" s="1"/>
  <c r="A226" i="18" s="1"/>
  <c r="A227" i="18" s="1"/>
  <c r="A228" i="18" s="1"/>
  <c r="A229" i="18" s="1"/>
  <c r="A230" i="18" s="1"/>
  <c r="A231" i="18" s="1"/>
  <c r="A232" i="18" s="1"/>
  <c r="A233" i="18" s="1"/>
  <c r="A234" i="18" s="1"/>
  <c r="A235" i="18" s="1"/>
  <c r="A236" i="18" s="1"/>
  <c r="A237" i="18" s="1"/>
  <c r="A238" i="18" s="1"/>
  <c r="A239" i="18" s="1"/>
  <c r="A240" i="18" s="1"/>
  <c r="A241" i="18" s="1"/>
  <c r="A242" i="18" s="1"/>
  <c r="A243" i="18" s="1"/>
  <c r="A244" i="18" s="1"/>
  <c r="A245" i="18" s="1"/>
  <c r="A246" i="18" s="1"/>
  <c r="A247" i="18" s="1"/>
  <c r="A248" i="18" s="1"/>
  <c r="A249" i="18" s="1"/>
  <c r="A250" i="18" s="1"/>
  <c r="A251" i="18" s="1"/>
  <c r="A252" i="18" s="1"/>
  <c r="A253" i="18" s="1"/>
  <c r="A254" i="18" s="1"/>
  <c r="A255" i="18" s="1"/>
  <c r="A256" i="18" s="1"/>
  <c r="A257" i="18" s="1"/>
  <c r="A258" i="18" s="1"/>
  <c r="A259" i="18" s="1"/>
  <c r="A260" i="18" s="1"/>
  <c r="A261" i="18" s="1"/>
  <c r="A262" i="18" s="1"/>
  <c r="A263" i="18" s="1"/>
  <c r="A264" i="18" s="1"/>
  <c r="A265" i="18" s="1"/>
  <c r="A266" i="18" s="1"/>
  <c r="A267" i="18" s="1"/>
  <c r="A268" i="18" s="1"/>
  <c r="A269" i="18" s="1"/>
  <c r="A270" i="18" s="1"/>
  <c r="A271" i="18" s="1"/>
  <c r="A272" i="18" s="1"/>
  <c r="A273" i="18" s="1"/>
  <c r="A274" i="18" s="1"/>
  <c r="A275" i="18" s="1"/>
  <c r="A276" i="18" s="1"/>
  <c r="A277" i="18" s="1"/>
  <c r="A278" i="18" s="1"/>
  <c r="A279" i="18" s="1"/>
  <c r="A280" i="18" s="1"/>
  <c r="A281" i="18" s="1"/>
  <c r="A282" i="18" s="1"/>
  <c r="A283" i="18" s="1"/>
  <c r="A284" i="18" s="1"/>
  <c r="A285" i="18" s="1"/>
  <c r="A286" i="18" s="1"/>
  <c r="A287" i="18" s="1"/>
  <c r="A288" i="18" s="1"/>
  <c r="A289" i="18" s="1"/>
  <c r="A290" i="18" s="1"/>
  <c r="A291" i="18" s="1"/>
  <c r="A292" i="18" s="1"/>
  <c r="A293" i="18" s="1"/>
  <c r="A294" i="18" s="1"/>
  <c r="A295" i="18" s="1"/>
  <c r="A296" i="18" s="1"/>
  <c r="A297" i="18" s="1"/>
  <c r="A298" i="18" s="1"/>
  <c r="A299" i="18" s="1"/>
  <c r="A300" i="18" s="1"/>
  <c r="A301" i="18" s="1"/>
  <c r="A302" i="18" s="1"/>
  <c r="A303" i="18" s="1"/>
  <c r="A304" i="18" s="1"/>
  <c r="A305" i="18" s="1"/>
  <c r="A306" i="18" s="1"/>
  <c r="A307" i="18" s="1"/>
  <c r="A308" i="18" s="1"/>
  <c r="A309" i="18" s="1"/>
  <c r="A310" i="18" s="1"/>
  <c r="A311" i="18" s="1"/>
  <c r="A312" i="18" s="1"/>
  <c r="A313" i="18" s="1"/>
  <c r="A314" i="18" s="1"/>
  <c r="A315" i="18" s="1"/>
  <c r="A316" i="18" s="1"/>
  <c r="A317" i="18" s="1"/>
  <c r="A318" i="18" s="1"/>
  <c r="A319" i="18" s="1"/>
  <c r="A320" i="18" s="1"/>
  <c r="A321" i="18" s="1"/>
  <c r="A322" i="18" s="1"/>
  <c r="A323" i="18" s="1"/>
  <c r="A324" i="18" s="1"/>
  <c r="A325" i="18" s="1"/>
  <c r="A326" i="18" s="1"/>
  <c r="A327" i="18" s="1"/>
  <c r="A328" i="18" s="1"/>
  <c r="A329" i="18" s="1"/>
  <c r="A330" i="18" s="1"/>
  <c r="A331" i="18" s="1"/>
  <c r="A332" i="18" s="1"/>
  <c r="A333" i="18" s="1"/>
  <c r="A334" i="18" s="1"/>
  <c r="A335" i="18" s="1"/>
  <c r="A336" i="18" s="1"/>
  <c r="A337" i="18" s="1"/>
  <c r="A338" i="18" s="1"/>
  <c r="A339" i="18" s="1"/>
  <c r="A340" i="18" s="1"/>
  <c r="A341" i="18" s="1"/>
  <c r="A342" i="18" s="1"/>
  <c r="A343" i="18" s="1"/>
  <c r="A344" i="18" s="1"/>
  <c r="A345" i="18" s="1"/>
  <c r="A346" i="18" s="1"/>
  <c r="A347" i="18" s="1"/>
  <c r="A348" i="18" s="1"/>
  <c r="A349" i="18" s="1"/>
  <c r="A350" i="18" s="1"/>
  <c r="A351" i="18" s="1"/>
  <c r="A352" i="18" s="1"/>
  <c r="A353" i="18" s="1"/>
  <c r="A354" i="18" s="1"/>
  <c r="A355" i="18" s="1"/>
  <c r="A356" i="18" s="1"/>
  <c r="A357" i="18" s="1"/>
  <c r="A358" i="18" s="1"/>
  <c r="A359" i="18" s="1"/>
  <c r="A360" i="18" s="1"/>
  <c r="A361" i="18" s="1"/>
  <c r="A362" i="18" s="1"/>
  <c r="A363" i="18" s="1"/>
  <c r="A364" i="18" s="1"/>
  <c r="A365" i="18" s="1"/>
  <c r="A366" i="18" s="1"/>
  <c r="A367" i="18" s="1"/>
  <c r="A368" i="18" s="1"/>
  <c r="A369" i="18" s="1"/>
  <c r="A370" i="18" s="1"/>
  <c r="A371" i="18" s="1"/>
  <c r="A372" i="18" s="1"/>
  <c r="A373" i="18" s="1"/>
  <c r="A374" i="18" s="1"/>
  <c r="A375" i="18" s="1"/>
  <c r="A376" i="18" s="1"/>
  <c r="A377" i="18" s="1"/>
  <c r="A378" i="18" s="1"/>
  <c r="A379" i="18" s="1"/>
  <c r="A380" i="18" s="1"/>
  <c r="A381" i="18" s="1"/>
  <c r="A382" i="18" s="1"/>
  <c r="A383" i="18" s="1"/>
  <c r="A384" i="18" s="1"/>
  <c r="A385" i="18" s="1"/>
  <c r="A386" i="18" s="1"/>
  <c r="A387" i="18" s="1"/>
  <c r="A388" i="18" s="1"/>
  <c r="A389" i="18" s="1"/>
  <c r="A390" i="18" s="1"/>
  <c r="A391" i="18" s="1"/>
  <c r="A392" i="18" s="1"/>
  <c r="A393" i="18" s="1"/>
  <c r="A394" i="18" s="1"/>
  <c r="A395" i="18" s="1"/>
  <c r="A396" i="18" s="1"/>
  <c r="A397" i="18" s="1"/>
  <c r="A398" i="18" s="1"/>
  <c r="A399" i="18" s="1"/>
  <c r="A400" i="18" s="1"/>
  <c r="A401" i="18" s="1"/>
  <c r="A402" i="18" s="1"/>
  <c r="A403" i="18" s="1"/>
  <c r="A404" i="18" s="1"/>
  <c r="A405" i="18" s="1"/>
  <c r="A406" i="18" s="1"/>
  <c r="A407" i="18" s="1"/>
  <c r="A408" i="18" s="1"/>
  <c r="A409" i="18" s="1"/>
  <c r="A410" i="18" s="1"/>
  <c r="A411" i="18" s="1"/>
  <c r="A412" i="18" s="1"/>
  <c r="A413" i="18" s="1"/>
  <c r="A414" i="18" s="1"/>
  <c r="A415" i="18" s="1"/>
  <c r="I2" i="20"/>
  <c r="I6" i="20"/>
  <c r="I10" i="20"/>
  <c r="I14" i="20"/>
  <c r="H5" i="20"/>
  <c r="H9" i="20"/>
  <c r="H13" i="20"/>
  <c r="I3" i="20"/>
  <c r="I7" i="20"/>
  <c r="I11" i="20"/>
  <c r="H2" i="20"/>
  <c r="H6" i="20"/>
  <c r="H10" i="20"/>
  <c r="H14" i="20"/>
  <c r="I4" i="20"/>
  <c r="I8" i="20"/>
  <c r="I12" i="20"/>
  <c r="H3" i="20"/>
  <c r="H7" i="20"/>
  <c r="H11" i="20"/>
  <c r="I5" i="20"/>
  <c r="I9" i="20"/>
  <c r="I13" i="20"/>
  <c r="H4" i="20"/>
  <c r="H8" i="20"/>
  <c r="H12" i="20"/>
  <c r="CP87" i="1" l="1"/>
  <c r="CQ87" i="1"/>
  <c r="CR87" i="1"/>
  <c r="CT87" i="1"/>
  <c r="DB87" i="1" s="1"/>
  <c r="CV87" i="1"/>
  <c r="DD87" i="1" s="1"/>
  <c r="CX87" i="1"/>
  <c r="DF87" i="1" s="1"/>
  <c r="CZ87" i="1"/>
  <c r="DH87" i="1" s="1"/>
  <c r="DK87" i="1"/>
  <c r="DJ87" i="1" l="1"/>
  <c r="DL87" i="1" s="1"/>
  <c r="D29" i="12" l="1"/>
  <c r="F29" i="12"/>
  <c r="CP86" i="1" l="1"/>
  <c r="CQ86" i="1"/>
  <c r="CR86" i="1"/>
  <c r="CT86" i="1"/>
  <c r="DB86" i="1" s="1"/>
  <c r="CV86" i="1"/>
  <c r="DD86" i="1" s="1"/>
  <c r="CX86" i="1"/>
  <c r="DF86" i="1" s="1"/>
  <c r="CZ86" i="1"/>
  <c r="DH86" i="1" s="1"/>
  <c r="DK86" i="1"/>
  <c r="DJ86" i="1" l="1"/>
  <c r="DL86" i="1" s="1"/>
  <c r="CP85" i="1" l="1"/>
  <c r="CQ85" i="1"/>
  <c r="CR85" i="1"/>
  <c r="CT85" i="1"/>
  <c r="DB85" i="1" s="1"/>
  <c r="CV85" i="1"/>
  <c r="DD85" i="1" s="1"/>
  <c r="CX85" i="1"/>
  <c r="DF85" i="1" s="1"/>
  <c r="CZ85" i="1"/>
  <c r="DH85" i="1" s="1"/>
  <c r="DK85" i="1"/>
  <c r="DJ85" i="1" l="1"/>
  <c r="DL85" i="1" s="1"/>
  <c r="CP84" i="1"/>
  <c r="CQ84" i="1"/>
  <c r="CR84" i="1"/>
  <c r="CT84" i="1"/>
  <c r="DB84" i="1" s="1"/>
  <c r="CV84" i="1"/>
  <c r="DD84" i="1" s="1"/>
  <c r="CX84" i="1"/>
  <c r="DF84" i="1" s="1"/>
  <c r="CZ84" i="1"/>
  <c r="DH84" i="1" s="1"/>
  <c r="DK84" i="1"/>
  <c r="DJ84" i="1" l="1"/>
  <c r="DL84" i="1" s="1"/>
  <c r="CP83" i="1" l="1"/>
  <c r="CQ83" i="1"/>
  <c r="CR83" i="1"/>
  <c r="CT83" i="1"/>
  <c r="DB83" i="1" s="1"/>
  <c r="CV83" i="1"/>
  <c r="DD83" i="1" s="1"/>
  <c r="CX83" i="1"/>
  <c r="DF83" i="1" s="1"/>
  <c r="CZ83" i="1"/>
  <c r="DH83" i="1" s="1"/>
  <c r="DK83" i="1"/>
  <c r="DJ83" i="1" l="1"/>
  <c r="DL83" i="1" s="1"/>
  <c r="CP82" i="1" l="1"/>
  <c r="CQ82" i="1"/>
  <c r="CR82" i="1"/>
  <c r="CT82" i="1"/>
  <c r="DB82" i="1" s="1"/>
  <c r="CV82" i="1"/>
  <c r="DD82" i="1" s="1"/>
  <c r="CX82" i="1"/>
  <c r="DF82" i="1" s="1"/>
  <c r="CZ82" i="1"/>
  <c r="DH82" i="1" s="1"/>
  <c r="DK82" i="1"/>
  <c r="DJ82" i="1" l="1"/>
  <c r="DL82" i="1" s="1"/>
  <c r="CP81" i="1" l="1"/>
  <c r="CQ81" i="1"/>
  <c r="CR81" i="1"/>
  <c r="CT81" i="1"/>
  <c r="DB81" i="1" s="1"/>
  <c r="CV81" i="1"/>
  <c r="DD81" i="1" s="1"/>
  <c r="CX81" i="1"/>
  <c r="DF81" i="1" s="1"/>
  <c r="CZ81" i="1"/>
  <c r="DH81" i="1" s="1"/>
  <c r="DK81" i="1"/>
  <c r="DJ81" i="1" l="1"/>
  <c r="DL81" i="1" s="1"/>
  <c r="CP80" i="1" l="1"/>
  <c r="CQ80" i="1"/>
  <c r="CR80" i="1"/>
  <c r="CT80" i="1"/>
  <c r="DB80" i="1" s="1"/>
  <c r="CV80" i="1"/>
  <c r="DD80" i="1" s="1"/>
  <c r="CX80" i="1"/>
  <c r="DF80" i="1" s="1"/>
  <c r="CZ80" i="1"/>
  <c r="DH80" i="1" s="1"/>
  <c r="DK80" i="1"/>
  <c r="DJ80" i="1" l="1"/>
  <c r="DL80" i="1" s="1"/>
  <c r="CP79" i="1" l="1"/>
  <c r="CQ79" i="1"/>
  <c r="CR79" i="1"/>
  <c r="CT79" i="1"/>
  <c r="DB79" i="1" s="1"/>
  <c r="CV79" i="1"/>
  <c r="DD79" i="1" s="1"/>
  <c r="CX79" i="1"/>
  <c r="DF79" i="1" s="1"/>
  <c r="CZ79" i="1"/>
  <c r="DH79" i="1" s="1"/>
  <c r="DK79" i="1"/>
  <c r="DJ79" i="1" l="1"/>
  <c r="DL79" i="1" s="1"/>
  <c r="CP78" i="1" l="1"/>
  <c r="CQ78" i="1"/>
  <c r="CR78" i="1"/>
  <c r="CT78" i="1"/>
  <c r="DB78" i="1" s="1"/>
  <c r="CV78" i="1"/>
  <c r="DD78" i="1" s="1"/>
  <c r="CX78" i="1"/>
  <c r="DF78" i="1" s="1"/>
  <c r="CZ78" i="1"/>
  <c r="DH78" i="1" s="1"/>
  <c r="DK78" i="1"/>
  <c r="DJ78" i="1" l="1"/>
  <c r="DL78" i="1" s="1"/>
  <c r="CP77" i="1" l="1"/>
  <c r="CQ77" i="1"/>
  <c r="CR77" i="1"/>
  <c r="CT77" i="1"/>
  <c r="DB77" i="1" s="1"/>
  <c r="CV77" i="1"/>
  <c r="DD77" i="1" s="1"/>
  <c r="CX77" i="1"/>
  <c r="DF77" i="1" s="1"/>
  <c r="CZ77" i="1"/>
  <c r="DH77" i="1" s="1"/>
  <c r="DK77" i="1"/>
  <c r="I114" i="19"/>
  <c r="H313" i="19"/>
  <c r="I611" i="19"/>
  <c r="I792" i="19"/>
  <c r="H113" i="19"/>
  <c r="I687" i="19"/>
  <c r="H118" i="19"/>
  <c r="I43" i="19"/>
  <c r="H507" i="19"/>
  <c r="I671" i="19"/>
  <c r="I726" i="19"/>
  <c r="H906" i="19"/>
  <c r="H77" i="19"/>
  <c r="H692" i="19"/>
  <c r="H412" i="19"/>
  <c r="H627" i="19"/>
  <c r="I472" i="19"/>
  <c r="H461" i="19"/>
  <c r="H793" i="19"/>
  <c r="H816" i="19"/>
  <c r="I583" i="19"/>
  <c r="I186" i="19"/>
  <c r="I463" i="19"/>
  <c r="H173" i="19"/>
  <c r="I706" i="19"/>
  <c r="H590" i="19"/>
  <c r="H490" i="19"/>
  <c r="I890" i="19"/>
  <c r="H573" i="19"/>
  <c r="I192" i="19"/>
  <c r="I345" i="19"/>
  <c r="H730" i="19"/>
  <c r="I546" i="19"/>
  <c r="I59" i="19"/>
  <c r="H164" i="19"/>
  <c r="I107" i="19"/>
  <c r="I663" i="19"/>
  <c r="H534" i="19"/>
  <c r="I681" i="19"/>
  <c r="I292" i="19"/>
  <c r="I97" i="19"/>
  <c r="H843" i="19"/>
  <c r="H422" i="19"/>
  <c r="H721" i="19"/>
  <c r="I869" i="19"/>
  <c r="I311" i="19"/>
  <c r="I498" i="19"/>
  <c r="H100" i="19"/>
  <c r="I171" i="19"/>
  <c r="I654" i="19"/>
  <c r="I457" i="19"/>
  <c r="H925" i="19"/>
  <c r="H621" i="19"/>
  <c r="I566" i="19"/>
  <c r="H334" i="19"/>
  <c r="I644" i="19"/>
  <c r="H447" i="19"/>
  <c r="I699" i="19"/>
  <c r="I407" i="19"/>
  <c r="I409" i="19"/>
  <c r="I519" i="19"/>
  <c r="I558" i="19"/>
  <c r="H724" i="19"/>
  <c r="H290" i="19"/>
  <c r="I280" i="19"/>
  <c r="H459" i="19"/>
  <c r="I252" i="19"/>
  <c r="I896" i="19"/>
  <c r="I636" i="19"/>
  <c r="H19" i="19"/>
  <c r="H677" i="19"/>
  <c r="I523" i="19"/>
  <c r="I246" i="19"/>
  <c r="I379" i="19"/>
  <c r="H900" i="19"/>
  <c r="H660" i="19"/>
  <c r="H141" i="19"/>
  <c r="I106" i="19"/>
  <c r="I857" i="19"/>
  <c r="I682" i="19"/>
  <c r="I207" i="19"/>
  <c r="I501" i="19"/>
  <c r="I572" i="19"/>
  <c r="H128" i="19"/>
  <c r="H646" i="19"/>
  <c r="H224" i="19"/>
  <c r="I158" i="19"/>
  <c r="H85" i="19"/>
  <c r="I315" i="19"/>
  <c r="H221" i="19"/>
  <c r="I839" i="19"/>
  <c r="H656" i="19"/>
  <c r="I900" i="19"/>
  <c r="H812" i="19"/>
  <c r="I82" i="19"/>
  <c r="H268" i="19"/>
  <c r="I674" i="19"/>
  <c r="H693" i="19"/>
  <c r="H110" i="19"/>
  <c r="H192" i="19"/>
  <c r="I888" i="19"/>
  <c r="I22" i="19"/>
  <c r="H498" i="19"/>
  <c r="I840" i="19"/>
  <c r="I61" i="19"/>
  <c r="I670" i="19"/>
  <c r="H647" i="19"/>
  <c r="H637" i="19"/>
  <c r="H865" i="19"/>
  <c r="H642" i="19"/>
  <c r="I785" i="19"/>
  <c r="I361" i="19"/>
  <c r="I774" i="19"/>
  <c r="H91" i="19"/>
  <c r="H764" i="19"/>
  <c r="I205" i="19"/>
  <c r="H304" i="19"/>
  <c r="H389" i="19"/>
  <c r="I285" i="19"/>
  <c r="I164" i="19"/>
  <c r="H823" i="19"/>
  <c r="I180" i="19"/>
  <c r="I766" i="19"/>
  <c r="H522" i="19"/>
  <c r="I828" i="19"/>
  <c r="H657" i="19"/>
  <c r="H676" i="19"/>
  <c r="I751" i="19"/>
  <c r="H777" i="19"/>
  <c r="H904" i="19"/>
  <c r="I356" i="19"/>
  <c r="H66" i="19"/>
  <c r="H572" i="19"/>
  <c r="H783" i="19"/>
  <c r="I490" i="19"/>
  <c r="I232" i="19"/>
  <c r="H289" i="19"/>
  <c r="H163" i="19"/>
  <c r="I832" i="19"/>
  <c r="H396" i="19"/>
  <c r="I613" i="19"/>
  <c r="H456" i="19"/>
  <c r="H758" i="19"/>
  <c r="H423" i="19"/>
  <c r="I494" i="19"/>
  <c r="H616" i="19"/>
  <c r="H566" i="19"/>
  <c r="H476" i="19"/>
  <c r="I233" i="19"/>
  <c r="H29" i="19"/>
  <c r="I316" i="19"/>
  <c r="H366" i="19"/>
  <c r="I309" i="19"/>
  <c r="I196" i="19"/>
  <c r="I506" i="19"/>
  <c r="I759" i="19"/>
  <c r="H882" i="19"/>
  <c r="H462" i="19"/>
  <c r="H448" i="19"/>
  <c r="I466" i="19"/>
  <c r="H916" i="19"/>
  <c r="H320" i="19"/>
  <c r="H98" i="19"/>
  <c r="I865" i="19"/>
  <c r="I528" i="19"/>
  <c r="H130" i="19"/>
  <c r="H69" i="19"/>
  <c r="H368" i="19"/>
  <c r="I75" i="19"/>
  <c r="I604" i="19"/>
  <c r="I827" i="19"/>
  <c r="I579" i="19"/>
  <c r="H167" i="19"/>
  <c r="I634" i="19"/>
  <c r="H661" i="19"/>
  <c r="I404" i="19"/>
  <c r="I610" i="19"/>
  <c r="I225" i="19"/>
  <c r="I879" i="19"/>
  <c r="I248" i="19"/>
  <c r="I631" i="19"/>
  <c r="H727" i="19"/>
  <c r="I805" i="19"/>
  <c r="I855" i="19"/>
  <c r="I801" i="19"/>
  <c r="H556" i="19"/>
  <c r="I118" i="19"/>
  <c r="H618" i="19"/>
  <c r="I836" i="19"/>
  <c r="I359" i="19"/>
  <c r="I157" i="19"/>
  <c r="I507" i="19"/>
  <c r="H179" i="19"/>
  <c r="H718" i="19"/>
  <c r="H279" i="19"/>
  <c r="H853" i="19"/>
  <c r="H712" i="19"/>
  <c r="H314" i="19"/>
  <c r="H340" i="19"/>
  <c r="I630" i="19"/>
  <c r="I41" i="19"/>
  <c r="H27" i="19"/>
  <c r="I318" i="19"/>
  <c r="H907" i="19"/>
  <c r="I732" i="19"/>
  <c r="H707" i="19"/>
  <c r="I743" i="19"/>
  <c r="H158" i="19"/>
  <c r="H184" i="19"/>
  <c r="H88" i="19"/>
  <c r="I334" i="19"/>
  <c r="I178" i="19"/>
  <c r="H623" i="19"/>
  <c r="I298" i="19"/>
  <c r="H193" i="19"/>
  <c r="H774" i="19"/>
  <c r="H338" i="19"/>
  <c r="I645" i="19"/>
  <c r="H155" i="19"/>
  <c r="I138" i="19"/>
  <c r="I351" i="19"/>
  <c r="I763" i="19"/>
  <c r="H402" i="19"/>
  <c r="I381" i="19"/>
  <c r="I169" i="19"/>
  <c r="I145" i="19"/>
  <c r="H645" i="19"/>
  <c r="I77" i="19"/>
  <c r="H214" i="19"/>
  <c r="H322" i="19"/>
  <c r="I804" i="19"/>
  <c r="I734" i="19"/>
  <c r="I824" i="19"/>
  <c r="I179" i="19"/>
  <c r="I208" i="19"/>
  <c r="H47" i="19"/>
  <c r="H722" i="19"/>
  <c r="I23" i="19"/>
  <c r="H101" i="19"/>
  <c r="I742" i="19"/>
  <c r="I217" i="19"/>
  <c r="I187" i="19"/>
  <c r="I165" i="19"/>
  <c r="I414" i="19"/>
  <c r="H603" i="19"/>
  <c r="I737" i="19"/>
  <c r="I895" i="19"/>
  <c r="I330" i="19"/>
  <c r="I134" i="19"/>
  <c r="H631" i="19"/>
  <c r="I648" i="19"/>
  <c r="I36" i="19"/>
  <c r="I679" i="19"/>
  <c r="I354" i="19"/>
  <c r="I289" i="19"/>
  <c r="I16" i="19"/>
  <c r="I241" i="19"/>
  <c r="I448" i="19"/>
  <c r="H682" i="19"/>
  <c r="H152" i="19"/>
  <c r="I476" i="19"/>
  <c r="H795" i="19"/>
  <c r="H404" i="19"/>
  <c r="I405" i="19"/>
  <c r="H378" i="19"/>
  <c r="H521" i="19"/>
  <c r="H570" i="19"/>
  <c r="I161" i="19"/>
  <c r="I907" i="19"/>
  <c r="I651" i="19"/>
  <c r="H180" i="19"/>
  <c r="H341" i="19"/>
  <c r="I593" i="19"/>
  <c r="I290" i="19"/>
  <c r="H114" i="19"/>
  <c r="I348" i="19"/>
  <c r="I672" i="19"/>
  <c r="I213" i="19"/>
  <c r="I870" i="19"/>
  <c r="I183" i="19"/>
  <c r="I24" i="19"/>
  <c r="I860" i="19"/>
  <c r="H567" i="19"/>
  <c r="H666" i="19"/>
  <c r="H205" i="19"/>
  <c r="I894" i="19"/>
  <c r="H354" i="19"/>
  <c r="H241" i="19"/>
  <c r="I468" i="19"/>
  <c r="H680" i="19"/>
  <c r="I25" i="19"/>
  <c r="I386" i="19"/>
  <c r="I378" i="19"/>
  <c r="H146" i="19"/>
  <c r="H20" i="19"/>
  <c r="H212" i="19"/>
  <c r="H527" i="19"/>
  <c r="I614" i="19"/>
  <c r="H881" i="19"/>
  <c r="H751" i="19"/>
  <c r="I256" i="19"/>
  <c r="H416" i="19"/>
  <c r="H465" i="19"/>
  <c r="I76" i="19"/>
  <c r="H624" i="19"/>
  <c r="H145" i="19"/>
  <c r="H841" i="19"/>
  <c r="I517" i="19"/>
  <c r="I627" i="19"/>
  <c r="I764" i="19"/>
  <c r="I368" i="19"/>
  <c r="H750" i="19"/>
  <c r="I834" i="19"/>
  <c r="H409" i="19"/>
  <c r="H28" i="19"/>
  <c r="H75" i="19"/>
  <c r="I724" i="19"/>
  <c r="I560" i="19"/>
  <c r="I93" i="19"/>
  <c r="H820" i="19"/>
  <c r="I91" i="19"/>
  <c r="I585" i="19"/>
  <c r="I618" i="19"/>
  <c r="I856" i="19"/>
  <c r="H159" i="19"/>
  <c r="I219" i="19"/>
  <c r="H329" i="19"/>
  <c r="I136" i="19"/>
  <c r="I659" i="19"/>
  <c r="H153" i="19"/>
  <c r="I695" i="19"/>
  <c r="H787" i="19"/>
  <c r="H44" i="19"/>
  <c r="I312" i="19"/>
  <c r="H83" i="19"/>
  <c r="H12" i="19"/>
  <c r="H654" i="19"/>
  <c r="I711" i="19"/>
  <c r="I464" i="19"/>
  <c r="H236" i="19"/>
  <c r="H162" i="19"/>
  <c r="H684" i="19"/>
  <c r="I607" i="19"/>
  <c r="H408" i="19"/>
  <c r="I400" i="19"/>
  <c r="H536" i="19"/>
  <c r="H107" i="19"/>
  <c r="H328" i="19"/>
  <c r="I42" i="19"/>
  <c r="I420" i="19"/>
  <c r="H172" i="19"/>
  <c r="I117" i="19"/>
  <c r="H606" i="19"/>
  <c r="I777" i="19"/>
  <c r="H302" i="19"/>
  <c r="H625" i="19"/>
  <c r="I796" i="19"/>
  <c r="I95" i="19"/>
  <c r="I6" i="19"/>
  <c r="I923" i="19"/>
  <c r="I388" i="19"/>
  <c r="H39" i="19"/>
  <c r="H836" i="19"/>
  <c r="H773" i="19"/>
  <c r="H878" i="19"/>
  <c r="H780" i="19"/>
  <c r="H228" i="19"/>
  <c r="I367" i="19"/>
  <c r="H636" i="19"/>
  <c r="I156" i="19"/>
  <c r="I440" i="19"/>
  <c r="H492" i="19"/>
  <c r="H131" i="19"/>
  <c r="H859" i="19"/>
  <c r="I261" i="19"/>
  <c r="H246" i="19"/>
  <c r="H258" i="19"/>
  <c r="H467" i="19"/>
  <c r="H827" i="19"/>
  <c r="I176" i="19"/>
  <c r="H124" i="19"/>
  <c r="H822" i="19"/>
  <c r="I633" i="19"/>
  <c r="H877" i="19"/>
  <c r="I282" i="19"/>
  <c r="H321" i="19"/>
  <c r="H68" i="19"/>
  <c r="H829" i="19"/>
  <c r="I62" i="19"/>
  <c r="I308" i="19"/>
  <c r="H870" i="19"/>
  <c r="I826" i="19"/>
  <c r="H806" i="19"/>
  <c r="I402" i="19"/>
  <c r="I484" i="19"/>
  <c r="H78" i="19"/>
  <c r="I60" i="19"/>
  <c r="I589" i="19"/>
  <c r="H849" i="19"/>
  <c r="H857" i="19"/>
  <c r="H360" i="19"/>
  <c r="I28" i="19"/>
  <c r="I480" i="19"/>
  <c r="I154" i="19"/>
  <c r="H250" i="19"/>
  <c r="H67" i="19"/>
  <c r="I819" i="19"/>
  <c r="I771" i="19"/>
  <c r="H828" i="19"/>
  <c r="H333" i="19"/>
  <c r="H275" i="19"/>
  <c r="I758" i="19"/>
  <c r="I357" i="19"/>
  <c r="H735" i="19"/>
  <c r="I365" i="19"/>
  <c r="I416" i="19"/>
  <c r="I550" i="19"/>
  <c r="H34" i="19"/>
  <c r="I382" i="19"/>
  <c r="H474" i="19"/>
  <c r="I247" i="19"/>
  <c r="I64" i="19"/>
  <c r="I37" i="19"/>
  <c r="H139" i="19"/>
  <c r="I918" i="19"/>
  <c r="H518" i="19"/>
  <c r="I65" i="19"/>
  <c r="H529" i="19"/>
  <c r="H202" i="19"/>
  <c r="I112" i="19"/>
  <c r="I13" i="19"/>
  <c r="H595" i="19"/>
  <c r="I358" i="19"/>
  <c r="I496" i="19"/>
  <c r="H672" i="19"/>
  <c r="I545" i="19"/>
  <c r="H89" i="19"/>
  <c r="I10" i="19"/>
  <c r="H365" i="19"/>
  <c r="H2" i="19"/>
  <c r="I231" i="19"/>
  <c r="H443" i="19"/>
  <c r="I371" i="19"/>
  <c r="I913" i="19"/>
  <c r="H768" i="19"/>
  <c r="H306" i="19"/>
  <c r="I917" i="19"/>
  <c r="I561" i="19"/>
  <c r="I71" i="19"/>
  <c r="I526" i="19"/>
  <c r="I350" i="19"/>
  <c r="I249" i="19"/>
  <c r="H549" i="19"/>
  <c r="I721" i="19"/>
  <c r="I592" i="19"/>
  <c r="H814" i="19"/>
  <c r="H35" i="19"/>
  <c r="I629" i="19"/>
  <c r="I841" i="19"/>
  <c r="H593" i="19"/>
  <c r="H51" i="19"/>
  <c r="I602" i="19"/>
  <c r="I140" i="19"/>
  <c r="I521" i="19"/>
  <c r="H704" i="19"/>
  <c r="I646" i="19"/>
  <c r="I150" i="19"/>
  <c r="I278" i="19"/>
  <c r="H838" i="19"/>
  <c r="I216" i="19"/>
  <c r="H308" i="19"/>
  <c r="I811" i="19"/>
  <c r="I469" i="19"/>
  <c r="H708" i="19"/>
  <c r="H433" i="19"/>
  <c r="H891" i="19"/>
  <c r="H450" i="19"/>
  <c r="H148" i="19"/>
  <c r="H189" i="19"/>
  <c r="I461" i="19"/>
  <c r="I853" i="19"/>
  <c r="H854" i="19"/>
  <c r="I761" i="19"/>
  <c r="H190" i="19"/>
  <c r="I727" i="19"/>
  <c r="I342" i="19"/>
  <c r="I102" i="19"/>
  <c r="I113" i="19"/>
  <c r="H810" i="19"/>
  <c r="I58" i="19"/>
  <c r="H874" i="19"/>
  <c r="H222" i="19"/>
  <c r="H140" i="19"/>
  <c r="H799" i="19"/>
  <c r="I305" i="19"/>
  <c r="I568" i="19"/>
  <c r="H755" i="19"/>
  <c r="H715" i="19"/>
  <c r="H301" i="19"/>
  <c r="I126" i="19"/>
  <c r="I199" i="19"/>
  <c r="H265" i="19"/>
  <c r="I529" i="19"/>
  <c r="I904" i="19"/>
  <c r="H376" i="19"/>
  <c r="I731" i="19"/>
  <c r="H393" i="19"/>
  <c r="I637" i="19"/>
  <c r="I859" i="19"/>
  <c r="I816" i="19"/>
  <c r="H186" i="19"/>
  <c r="H903" i="19"/>
  <c r="H217" i="19"/>
  <c r="I377" i="19"/>
  <c r="I147" i="19"/>
  <c r="H910" i="19"/>
  <c r="I482" i="19"/>
  <c r="H181" i="19"/>
  <c r="I424" i="19"/>
  <c r="I128" i="19"/>
  <c r="I773" i="19"/>
  <c r="H895" i="19"/>
  <c r="H926" i="19"/>
  <c r="I795" i="19"/>
  <c r="I520" i="19"/>
  <c r="I624" i="19"/>
  <c r="I372" i="19"/>
  <c r="H700" i="19"/>
  <c r="I458" i="19"/>
  <c r="H300" i="19"/>
  <c r="I339" i="19"/>
  <c r="H839" i="19"/>
  <c r="I729" i="19"/>
  <c r="I556" i="19"/>
  <c r="H286" i="19"/>
  <c r="I411" i="19"/>
  <c r="I748" i="19"/>
  <c r="I314" i="19"/>
  <c r="H111" i="19"/>
  <c r="H348" i="19"/>
  <c r="I78" i="19"/>
  <c r="I516" i="19"/>
  <c r="I53" i="19"/>
  <c r="H612" i="19"/>
  <c r="I783" i="19"/>
  <c r="H80" i="19"/>
  <c r="I240" i="19"/>
  <c r="H84" i="19"/>
  <c r="H293" i="19"/>
  <c r="I753" i="19"/>
  <c r="I9" i="19"/>
  <c r="I622" i="19"/>
  <c r="I791" i="19"/>
  <c r="H739" i="19"/>
  <c r="H542" i="19"/>
  <c r="I775" i="19"/>
  <c r="H471" i="19"/>
  <c r="I430" i="19"/>
  <c r="H896" i="19"/>
  <c r="H508" i="19"/>
  <c r="H487" i="19"/>
  <c r="H196" i="19"/>
  <c r="H652" i="19"/>
  <c r="I413" i="19"/>
  <c r="H614" i="19"/>
  <c r="H344" i="19"/>
  <c r="I209" i="19"/>
  <c r="I606" i="19"/>
  <c r="H242" i="19"/>
  <c r="H560" i="19"/>
  <c r="I88" i="19"/>
  <c r="H332" i="19"/>
  <c r="I215" i="19"/>
  <c r="H185" i="19"/>
  <c r="H729" i="19"/>
  <c r="H705" i="19"/>
  <c r="I790" i="19"/>
  <c r="H309" i="19"/>
  <c r="I11" i="19"/>
  <c r="I549" i="19"/>
  <c r="I462" i="19"/>
  <c r="H871" i="19"/>
  <c r="I527" i="19"/>
  <c r="I39" i="19"/>
  <c r="H537" i="19"/>
  <c r="I653" i="19"/>
  <c r="I657" i="19"/>
  <c r="I489" i="19"/>
  <c r="H391" i="19"/>
  <c r="I874" i="19"/>
  <c r="I159" i="19"/>
  <c r="H902" i="19"/>
  <c r="I7" i="19"/>
  <c r="H831" i="19"/>
  <c r="I559" i="19"/>
  <c r="H445" i="19"/>
  <c r="H482" i="19"/>
  <c r="H417" i="19"/>
  <c r="I871" i="19"/>
  <c r="I337" i="19"/>
  <c r="H880" i="19"/>
  <c r="I234" i="19"/>
  <c r="I254" i="19"/>
  <c r="H691" i="19"/>
  <c r="I160" i="19"/>
  <c r="H73" i="19"/>
  <c r="I744" i="19"/>
  <c r="I797" i="19"/>
  <c r="H668" i="19"/>
  <c r="I877" i="19"/>
  <c r="I684" i="19"/>
  <c r="H357" i="19"/>
  <c r="I268" i="19"/>
  <c r="H580" i="19"/>
  <c r="H784" i="19"/>
  <c r="H62" i="19"/>
  <c r="H493" i="19"/>
  <c r="H559" i="19"/>
  <c r="I822" i="19"/>
  <c r="I444" i="19"/>
  <c r="H350" i="19"/>
  <c r="H775" i="19"/>
  <c r="I189" i="19"/>
  <c r="I131" i="19"/>
  <c r="H540" i="19"/>
  <c r="H324" i="19"/>
  <c r="I522" i="19"/>
  <c r="I347" i="19"/>
  <c r="H455" i="19"/>
  <c r="H581" i="19"/>
  <c r="H596" i="19"/>
  <c r="H283" i="19"/>
  <c r="H747" i="19"/>
  <c r="H551" i="19"/>
  <c r="H93" i="19"/>
  <c r="I474" i="19"/>
  <c r="I94" i="19"/>
  <c r="I110" i="19"/>
  <c r="H294" i="19"/>
  <c r="I809" i="19"/>
  <c r="H76" i="19"/>
  <c r="I383" i="19"/>
  <c r="I174" i="19"/>
  <c r="I632" i="19"/>
  <c r="I191" i="19"/>
  <c r="H45" i="19"/>
  <c r="H594" i="19"/>
  <c r="I586" i="19"/>
  <c r="H379" i="19"/>
  <c r="I718" i="19"/>
  <c r="I193" i="19"/>
  <c r="H915" i="19"/>
  <c r="H452" i="19"/>
  <c r="H318" i="19"/>
  <c r="H629" i="19"/>
  <c r="H801" i="19"/>
  <c r="I862" i="19"/>
  <c r="H240" i="19"/>
  <c r="I717" i="19"/>
  <c r="I439" i="19"/>
  <c r="I369" i="19"/>
  <c r="H369" i="19"/>
  <c r="I201" i="19"/>
  <c r="H919" i="19"/>
  <c r="I652" i="19"/>
  <c r="H42" i="19"/>
  <c r="I760" i="19"/>
  <c r="I518" i="19"/>
  <c r="H129" i="19"/>
  <c r="H70" i="19"/>
  <c r="I299" i="19"/>
  <c r="I665" i="19"/>
  <c r="H489" i="19"/>
  <c r="I406" i="19"/>
  <c r="H807" i="19"/>
  <c r="H630" i="19"/>
  <c r="H274" i="19"/>
  <c r="H709" i="19"/>
  <c r="I810" i="19"/>
  <c r="H112" i="19"/>
  <c r="I833" i="19"/>
  <c r="I635" i="19"/>
  <c r="H913" i="19"/>
  <c r="I366" i="19"/>
  <c r="H243" i="19"/>
  <c r="I873" i="19"/>
  <c r="H418" i="19"/>
  <c r="I152" i="19"/>
  <c r="I666" i="19"/>
  <c r="I277" i="19"/>
  <c r="H25" i="19"/>
  <c r="I846" i="19"/>
  <c r="I5" i="19"/>
  <c r="I101" i="19"/>
  <c r="I779" i="19"/>
  <c r="H53" i="19"/>
  <c r="H833" i="19"/>
  <c r="H63" i="19"/>
  <c r="H770" i="19"/>
  <c r="H361" i="19"/>
  <c r="I3" i="19"/>
  <c r="I803" i="19"/>
  <c r="I868" i="19"/>
  <c r="H819" i="19"/>
  <c r="H564" i="19"/>
  <c r="H805" i="19"/>
  <c r="H108" i="19"/>
  <c r="H663" i="19"/>
  <c r="I542" i="19"/>
  <c r="I352" i="19"/>
  <c r="I678" i="19"/>
  <c r="H513" i="19"/>
  <c r="H740" i="19"/>
  <c r="H844" i="19"/>
  <c r="H160" i="19"/>
  <c r="I287" i="19"/>
  <c r="H615" i="19"/>
  <c r="I442" i="19"/>
  <c r="I487" i="19"/>
  <c r="H5" i="19"/>
  <c r="H728" i="19"/>
  <c r="H696" i="19"/>
  <c r="H254" i="19"/>
  <c r="H381" i="19"/>
  <c r="H842" i="19"/>
  <c r="H255" i="19"/>
  <c r="I438" i="19"/>
  <c r="I434" i="19"/>
  <c r="H259" i="19"/>
  <c r="H872" i="19"/>
  <c r="H271" i="19"/>
  <c r="H397" i="19"/>
  <c r="H208" i="19"/>
  <c r="I649" i="19"/>
  <c r="I222" i="19"/>
  <c r="I707" i="19"/>
  <c r="H97" i="19"/>
  <c r="I21" i="19"/>
  <c r="I70" i="19"/>
  <c r="H18" i="19"/>
  <c r="H662" i="19"/>
  <c r="I499" i="19"/>
  <c r="I723" i="19"/>
  <c r="I74" i="19"/>
  <c r="I317" i="19"/>
  <c r="H851" i="19"/>
  <c r="H761" i="19"/>
  <c r="H287" i="19"/>
  <c r="H772" i="19"/>
  <c r="I599" i="19"/>
  <c r="H488" i="19"/>
  <c r="I226" i="19"/>
  <c r="I262" i="19"/>
  <c r="I749" i="19"/>
  <c r="I789" i="19"/>
  <c r="H386" i="19"/>
  <c r="I782" i="19"/>
  <c r="H137" i="19"/>
  <c r="H598" i="19"/>
  <c r="H230" i="19"/>
  <c r="I849" i="19"/>
  <c r="H50" i="19"/>
  <c r="I162" i="19"/>
  <c r="I300" i="19"/>
  <c r="H665" i="19"/>
  <c r="I271" i="19"/>
  <c r="I266" i="19"/>
  <c r="I79" i="19"/>
  <c r="H710" i="19"/>
  <c r="H282" i="19"/>
  <c r="I620" i="19"/>
  <c r="H288" i="19"/>
  <c r="H643" i="19"/>
  <c r="I375" i="19"/>
  <c r="I728" i="19"/>
  <c r="I437" i="19"/>
  <c r="I173" i="19"/>
  <c r="I843" i="19"/>
  <c r="I709" i="19"/>
  <c r="H188" i="19"/>
  <c r="I922" i="19"/>
  <c r="I322" i="19"/>
  <c r="H511" i="19"/>
  <c r="H469" i="19"/>
  <c r="I481" i="19"/>
  <c r="I605" i="19"/>
  <c r="I776" i="19"/>
  <c r="I275" i="19"/>
  <c r="I757" i="19"/>
  <c r="H116" i="19"/>
  <c r="H327" i="19"/>
  <c r="H183" i="19"/>
  <c r="I349" i="19"/>
  <c r="I700" i="19"/>
  <c r="I142" i="19"/>
  <c r="H296" i="19"/>
  <c r="I56" i="19"/>
  <c r="H46" i="19"/>
  <c r="H253" i="19"/>
  <c r="I329" i="19"/>
  <c r="H103" i="19"/>
  <c r="H802" i="19"/>
  <c r="H204" i="19"/>
  <c r="H861" i="19"/>
  <c r="H911" i="19"/>
  <c r="I710" i="19"/>
  <c r="I920" i="19"/>
  <c r="I755" i="19"/>
  <c r="H914" i="19"/>
  <c r="H387" i="19"/>
  <c r="I584" i="19"/>
  <c r="H651" i="19"/>
  <c r="I304" i="19"/>
  <c r="H538" i="19"/>
  <c r="H798" i="19"/>
  <c r="H782" i="19"/>
  <c r="H901" i="19"/>
  <c r="H165" i="19"/>
  <c r="I190" i="19"/>
  <c r="H670" i="19"/>
  <c r="I667" i="19"/>
  <c r="I823" i="19"/>
  <c r="I538" i="19"/>
  <c r="I848" i="19"/>
  <c r="H597" i="19"/>
  <c r="I313" i="19"/>
  <c r="H855" i="19"/>
  <c r="I543" i="19"/>
  <c r="I530" i="19"/>
  <c r="H244" i="19"/>
  <c r="H182" i="19"/>
  <c r="I293" i="19"/>
  <c r="H359" i="19"/>
  <c r="I533" i="19"/>
  <c r="I423" i="19"/>
  <c r="I829" i="19"/>
  <c r="H591" i="19"/>
  <c r="H406" i="19"/>
  <c r="H442" i="19"/>
  <c r="I206" i="19"/>
  <c r="I137" i="19"/>
  <c r="H434" i="19"/>
  <c r="H524" i="19"/>
  <c r="I491" i="19"/>
  <c r="H33" i="19"/>
  <c r="H887" i="19"/>
  <c r="H544" i="19"/>
  <c r="H395" i="19"/>
  <c r="I514" i="19"/>
  <c r="H562" i="19"/>
  <c r="H558" i="19"/>
  <c r="H346" i="19"/>
  <c r="H372" i="19"/>
  <c r="H495" i="19"/>
  <c r="H331" i="19"/>
  <c r="H38" i="19"/>
  <c r="I715" i="19"/>
  <c r="I54" i="19"/>
  <c r="I44" i="19"/>
  <c r="I417" i="19"/>
  <c r="I467" i="19"/>
  <c r="I397" i="19"/>
  <c r="I302" i="19"/>
  <c r="H199" i="19"/>
  <c r="I509" i="19"/>
  <c r="I422" i="19"/>
  <c r="H821" i="19"/>
  <c r="H216" i="19"/>
  <c r="I754" i="19"/>
  <c r="I34" i="19"/>
  <c r="H671" i="19"/>
  <c r="I575" i="19"/>
  <c r="H123" i="19"/>
  <c r="H278" i="19"/>
  <c r="I740" i="19"/>
  <c r="H577" i="19"/>
  <c r="I284" i="19"/>
  <c r="H72" i="19"/>
  <c r="I544" i="19"/>
  <c r="H335" i="19"/>
  <c r="I643" i="19"/>
  <c r="H385" i="19"/>
  <c r="I227" i="19"/>
  <c r="H454" i="19"/>
  <c r="H26" i="19"/>
  <c r="I303" i="19"/>
  <c r="H464" i="19"/>
  <c r="H601" i="19"/>
  <c r="I641" i="19"/>
  <c r="H86" i="19"/>
  <c r="H351" i="19"/>
  <c r="I188" i="19"/>
  <c r="H14" i="19"/>
  <c r="I425" i="19"/>
  <c r="H689" i="19"/>
  <c r="I703" i="19"/>
  <c r="H176" i="19"/>
  <c r="H753" i="19"/>
  <c r="I535" i="19"/>
  <c r="I702" i="19"/>
  <c r="I875" i="19"/>
  <c r="H266" i="19"/>
  <c r="I148" i="19"/>
  <c r="I889" i="19"/>
  <c r="I108" i="19"/>
  <c r="H207" i="19"/>
  <c r="H561" i="19"/>
  <c r="H149" i="19"/>
  <c r="H43" i="19"/>
  <c r="I786" i="19"/>
  <c r="H175" i="19"/>
  <c r="H337" i="19"/>
  <c r="I121" i="19"/>
  <c r="I815" i="19"/>
  <c r="I449" i="19"/>
  <c r="I270" i="19"/>
  <c r="H767" i="19"/>
  <c r="H875" i="19"/>
  <c r="H702" i="19"/>
  <c r="H364" i="19"/>
  <c r="I750" i="19"/>
  <c r="H673" i="19"/>
  <c r="H543" i="19"/>
  <c r="I597" i="19"/>
  <c r="I680" i="19"/>
  <c r="H610" i="19"/>
  <c r="H695" i="19"/>
  <c r="H501" i="19"/>
  <c r="I197" i="19"/>
  <c r="I220" i="19"/>
  <c r="I504" i="19"/>
  <c r="H744" i="19"/>
  <c r="I916" i="19"/>
  <c r="I502" i="19"/>
  <c r="H547" i="19"/>
  <c r="H869" i="19"/>
  <c r="H312" i="19"/>
  <c r="I608" i="19"/>
  <c r="H675" i="19"/>
  <c r="I617" i="19"/>
  <c r="H530" i="19"/>
  <c r="H267" i="19"/>
  <c r="I821" i="19"/>
  <c r="I817" i="19"/>
  <c r="H607" i="19"/>
  <c r="H206" i="19"/>
  <c r="I837" i="19"/>
  <c r="I55" i="19"/>
  <c r="I807" i="19"/>
  <c r="H837" i="19"/>
  <c r="I100" i="19"/>
  <c r="I845" i="19"/>
  <c r="I143" i="19"/>
  <c r="H785" i="19"/>
  <c r="H638" i="19"/>
  <c r="H824" i="19"/>
  <c r="H475" i="19"/>
  <c r="I548" i="19"/>
  <c r="I224" i="19"/>
  <c r="H218" i="19"/>
  <c r="I863" i="19"/>
  <c r="H104" i="19"/>
  <c r="I553" i="19"/>
  <c r="H82" i="19"/>
  <c r="I609" i="19"/>
  <c r="H762" i="19"/>
  <c r="H154" i="19"/>
  <c r="H59" i="19"/>
  <c r="I598" i="19"/>
  <c r="H548" i="19"/>
  <c r="H421" i="19"/>
  <c r="H7" i="19"/>
  <c r="H477" i="19"/>
  <c r="H197" i="19"/>
  <c r="I84" i="19"/>
  <c r="I850" i="19"/>
  <c r="I555" i="19"/>
  <c r="H74" i="19"/>
  <c r="H500" i="19"/>
  <c r="I454" i="19"/>
  <c r="I591" i="19"/>
  <c r="H894" i="19"/>
  <c r="H347" i="19"/>
  <c r="H419" i="19"/>
  <c r="H483" i="19"/>
  <c r="H358" i="19"/>
  <c r="I778" i="19"/>
  <c r="H238" i="19"/>
  <c r="I321" i="19"/>
  <c r="I770" i="19"/>
  <c r="I590" i="19"/>
  <c r="I696" i="19"/>
  <c r="H866" i="19"/>
  <c r="H754" i="19"/>
  <c r="I470" i="19"/>
  <c r="H194" i="19"/>
  <c r="H734" i="19"/>
  <c r="H486" i="19"/>
  <c r="I115" i="19"/>
  <c r="H90" i="19"/>
  <c r="H719" i="19"/>
  <c r="H400" i="19"/>
  <c r="H426" i="19"/>
  <c r="H323" i="19"/>
  <c r="I756" i="19"/>
  <c r="H520" i="19"/>
  <c r="I144" i="19"/>
  <c r="I852" i="19"/>
  <c r="H746" i="19"/>
  <c r="H826" i="19"/>
  <c r="I838" i="19"/>
  <c r="I175" i="19"/>
  <c r="H703" i="19"/>
  <c r="H886" i="19"/>
  <c r="I333" i="19"/>
  <c r="H669" i="19"/>
  <c r="H200" i="19"/>
  <c r="H144" i="19"/>
  <c r="H586" i="19"/>
  <c r="H888" i="19"/>
  <c r="I668" i="19"/>
  <c r="H576" i="19"/>
  <c r="H720" i="19"/>
  <c r="H552" i="19"/>
  <c r="H375" i="19"/>
  <c r="H223" i="19"/>
  <c r="I765" i="19"/>
  <c r="I831" i="19"/>
  <c r="H102" i="19"/>
  <c r="I214" i="19"/>
  <c r="I46" i="19"/>
  <c r="H257" i="19"/>
  <c r="H569" i="19"/>
  <c r="H225" i="19"/>
  <c r="I26" i="19"/>
  <c r="I211" i="19"/>
  <c r="H92" i="19"/>
  <c r="I184" i="19"/>
  <c r="H658" i="19"/>
  <c r="H280" i="19"/>
  <c r="I229" i="19"/>
  <c r="H908" i="19"/>
  <c r="H117" i="19"/>
  <c r="I8" i="19"/>
  <c r="H617" i="19"/>
  <c r="H109" i="19"/>
  <c r="I574" i="19"/>
  <c r="I577" i="19"/>
  <c r="I628" i="19"/>
  <c r="H4" i="19"/>
  <c r="I380" i="19"/>
  <c r="I736" i="19"/>
  <c r="H291" i="19"/>
  <c r="I675" i="19"/>
  <c r="H786" i="19"/>
  <c r="I708" i="19"/>
  <c r="I433" i="19"/>
  <c r="H825" i="19"/>
  <c r="H743" i="19"/>
  <c r="H56" i="19"/>
  <c r="I513" i="19"/>
  <c r="H834" i="19"/>
  <c r="I239" i="19"/>
  <c r="I511" i="19"/>
  <c r="H571" i="19"/>
  <c r="H134" i="19"/>
  <c r="I394" i="19"/>
  <c r="I328" i="19"/>
  <c r="I48" i="19"/>
  <c r="H599" i="19"/>
  <c r="H21" i="19"/>
  <c r="I421" i="19"/>
  <c r="I363" i="19"/>
  <c r="I403" i="19"/>
  <c r="H431" i="19"/>
  <c r="I697" i="19"/>
  <c r="H229" i="19"/>
  <c r="H458" i="19"/>
  <c r="I735" i="19"/>
  <c r="H169" i="19"/>
  <c r="I98" i="19"/>
  <c r="I92" i="19"/>
  <c r="H440" i="19"/>
  <c r="H528" i="19"/>
  <c r="I362" i="19"/>
  <c r="I418" i="19"/>
  <c r="I272" i="19"/>
  <c r="I431" i="19"/>
  <c r="I479" i="19"/>
  <c r="I733" i="19"/>
  <c r="I195" i="19"/>
  <c r="I500" i="19"/>
  <c r="H579" i="19"/>
  <c r="H425" i="19"/>
  <c r="I596" i="19"/>
  <c r="I780" i="19"/>
  <c r="I243" i="19"/>
  <c r="H583" i="19"/>
  <c r="H502" i="19"/>
  <c r="H420" i="19"/>
  <c r="H532" i="19"/>
  <c r="H157" i="19"/>
  <c r="H655" i="19"/>
  <c r="H711" i="19"/>
  <c r="H388" i="19"/>
  <c r="H539" i="19"/>
  <c r="I168" i="19"/>
  <c r="H209" i="19"/>
  <c r="I320" i="19"/>
  <c r="H6" i="19"/>
  <c r="I297" i="19"/>
  <c r="H272" i="19"/>
  <c r="I4" i="19"/>
  <c r="I212" i="19"/>
  <c r="I291" i="19"/>
  <c r="I20" i="19"/>
  <c r="I120" i="19"/>
  <c r="H31" i="19"/>
  <c r="I683" i="19"/>
  <c r="I510" i="19"/>
  <c r="I768" i="19"/>
  <c r="H921" i="19"/>
  <c r="I565" i="19"/>
  <c r="H32" i="19"/>
  <c r="H525" i="19"/>
  <c r="H619" i="19"/>
  <c r="H479" i="19"/>
  <c r="H510" i="19"/>
  <c r="I221" i="19"/>
  <c r="H371" i="19"/>
  <c r="I89" i="19"/>
  <c r="H526" i="19"/>
  <c r="H800" i="19"/>
  <c r="H699" i="19"/>
  <c r="H133" i="19"/>
  <c r="H269" i="19"/>
  <c r="I242" i="19"/>
  <c r="I130" i="19"/>
  <c r="H639" i="19"/>
  <c r="H771" i="19"/>
  <c r="I539" i="19"/>
  <c r="H850" i="19"/>
  <c r="H563" i="19"/>
  <c r="I238" i="19"/>
  <c r="H803" i="19"/>
  <c r="I427" i="19"/>
  <c r="I151" i="19"/>
  <c r="H809" i="19"/>
  <c r="H690" i="19"/>
  <c r="H41" i="19"/>
  <c r="I319" i="19"/>
  <c r="H769" i="19"/>
  <c r="I85" i="19"/>
  <c r="H441" i="19"/>
  <c r="I658" i="19"/>
  <c r="H220" i="19"/>
  <c r="I295" i="19"/>
  <c r="H303" i="19"/>
  <c r="H584" i="19"/>
  <c r="H920" i="19"/>
  <c r="H694" i="19"/>
  <c r="I68" i="19"/>
  <c r="I235" i="19"/>
  <c r="I881" i="19"/>
  <c r="I813" i="19"/>
  <c r="I389" i="19"/>
  <c r="H473" i="19"/>
  <c r="I820" i="19"/>
  <c r="I376" i="19"/>
  <c r="I436" i="19"/>
  <c r="I132" i="19"/>
  <c r="H94" i="19"/>
  <c r="I625" i="19"/>
  <c r="I891" i="19"/>
  <c r="I331" i="19"/>
  <c r="H195" i="19"/>
  <c r="H876" i="19"/>
  <c r="H403" i="19"/>
  <c r="I690" i="19"/>
  <c r="I49" i="19"/>
  <c r="I385" i="19"/>
  <c r="H856" i="19"/>
  <c r="H899" i="19"/>
  <c r="I532" i="19"/>
  <c r="H132" i="19"/>
  <c r="H466" i="19"/>
  <c r="I867" i="19"/>
  <c r="I887" i="19"/>
  <c r="H716" i="19"/>
  <c r="H95" i="19"/>
  <c r="I116" i="19"/>
  <c r="H641" i="19"/>
  <c r="I237" i="19"/>
  <c r="H298" i="19"/>
  <c r="H248" i="19"/>
  <c r="H756" i="19"/>
  <c r="I125" i="19"/>
  <c r="H504" i="19"/>
  <c r="I155" i="19"/>
  <c r="H909" i="19"/>
  <c r="H24" i="19"/>
  <c r="I200" i="19"/>
  <c r="I283" i="19"/>
  <c r="H415" i="19"/>
  <c r="H765" i="19"/>
  <c r="H815" i="19"/>
  <c r="I69" i="19"/>
  <c r="I360" i="19"/>
  <c r="H535" i="19"/>
  <c r="I340" i="19"/>
  <c r="H444" i="19"/>
  <c r="I255" i="19"/>
  <c r="H797" i="19"/>
  <c r="I139" i="19"/>
  <c r="I745" i="19"/>
  <c r="I767" i="19"/>
  <c r="I701" i="19"/>
  <c r="I581" i="19"/>
  <c r="I573" i="19"/>
  <c r="I878" i="19"/>
  <c r="H115" i="19"/>
  <c r="I429" i="19"/>
  <c r="I332" i="19"/>
  <c r="H363" i="19"/>
  <c r="H848" i="19"/>
  <c r="I714" i="19"/>
  <c r="H635" i="19"/>
  <c r="H796" i="19"/>
  <c r="H232" i="19"/>
  <c r="H52" i="19"/>
  <c r="H451" i="19"/>
  <c r="I276" i="19"/>
  <c r="H545" i="19"/>
  <c r="I57" i="19"/>
  <c r="I198" i="19"/>
  <c r="I395" i="19"/>
  <c r="H299" i="19"/>
  <c r="I844" i="19"/>
  <c r="H862" i="19"/>
  <c r="H319" i="19"/>
  <c r="H763" i="19"/>
  <c r="I73" i="19"/>
  <c r="I582" i="19"/>
  <c r="H557" i="19"/>
  <c r="H245" i="19"/>
  <c r="I588" i="19"/>
  <c r="I17" i="19"/>
  <c r="I570" i="19"/>
  <c r="H326" i="19"/>
  <c r="I398" i="19"/>
  <c r="I432" i="19"/>
  <c r="H449" i="19"/>
  <c r="I747" i="19"/>
  <c r="H640" i="19"/>
  <c r="I493" i="19"/>
  <c r="I925" i="19"/>
  <c r="I669" i="19"/>
  <c r="I897" i="19"/>
  <c r="I286" i="19"/>
  <c r="I864" i="19"/>
  <c r="H40" i="19"/>
  <c r="I503" i="19"/>
  <c r="I784" i="19"/>
  <c r="I51" i="19"/>
  <c r="H845" i="19"/>
  <c r="I800" i="19"/>
  <c r="H546" i="19"/>
  <c r="I911" i="19"/>
  <c r="I861" i="19"/>
  <c r="H840" i="19"/>
  <c r="I259" i="19"/>
  <c r="I621" i="19"/>
  <c r="H749" i="19"/>
  <c r="H860" i="19"/>
  <c r="H367" i="19"/>
  <c r="H9" i="19"/>
  <c r="I712" i="19"/>
  <c r="H858" i="19"/>
  <c r="I408" i="19"/>
  <c r="H64" i="19"/>
  <c r="H374" i="19"/>
  <c r="H766" i="19"/>
  <c r="H48" i="19"/>
  <c r="I536" i="19"/>
  <c r="I924" i="19"/>
  <c r="I858" i="19"/>
  <c r="I495" i="19"/>
  <c r="I781" i="19"/>
  <c r="I808" i="19"/>
  <c r="I762" i="19"/>
  <c r="H792" i="19"/>
  <c r="H832" i="19"/>
  <c r="H261" i="19"/>
  <c r="H178" i="19"/>
  <c r="H61" i="19"/>
  <c r="H491" i="19"/>
  <c r="I374" i="19"/>
  <c r="H436" i="19"/>
  <c r="I537" i="19"/>
  <c r="I515" i="19"/>
  <c r="H742" i="19"/>
  <c r="H121" i="19"/>
  <c r="I619" i="19"/>
  <c r="H210" i="19"/>
  <c r="H198" i="19"/>
  <c r="I562" i="19"/>
  <c r="H738" i="19"/>
  <c r="I96" i="19"/>
  <c r="H201" i="19"/>
  <c r="I343" i="19"/>
  <c r="I210" i="19"/>
  <c r="I307" i="19"/>
  <c r="H424" i="19"/>
  <c r="H867" i="19"/>
  <c r="H879" i="19"/>
  <c r="H470" i="19"/>
  <c r="I455" i="19"/>
  <c r="H285" i="19"/>
  <c r="I218" i="19"/>
  <c r="I554" i="19"/>
  <c r="I323" i="19"/>
  <c r="H588" i="19"/>
  <c r="H632" i="19"/>
  <c r="I370" i="19"/>
  <c r="I772" i="19"/>
  <c r="H917" i="19"/>
  <c r="I40" i="19"/>
  <c r="I508" i="19"/>
  <c r="H281" i="19"/>
  <c r="H683" i="19"/>
  <c r="H634" i="19"/>
  <c r="H263" i="19"/>
  <c r="H136" i="19"/>
  <c r="I72" i="19"/>
  <c r="I902" i="19"/>
  <c r="I52" i="19"/>
  <c r="H924" i="19"/>
  <c r="H813" i="19"/>
  <c r="H701" i="19"/>
  <c r="I892" i="19"/>
  <c r="I471" i="19"/>
  <c r="H252" i="19"/>
  <c r="H622" i="19"/>
  <c r="I738" i="19"/>
  <c r="I540" i="19"/>
  <c r="H249" i="19"/>
  <c r="I204" i="19"/>
  <c r="H446" i="19"/>
  <c r="I886" i="19"/>
  <c r="H352" i="19"/>
  <c r="I640" i="19"/>
  <c r="H122" i="19"/>
  <c r="I133" i="19"/>
  <c r="I505" i="19"/>
  <c r="I825" i="19"/>
  <c r="H697" i="19"/>
  <c r="H336" i="19"/>
  <c r="H757" i="19"/>
  <c r="H723" i="19"/>
  <c r="I854" i="19"/>
  <c r="I884" i="19"/>
  <c r="H438" i="19"/>
  <c r="H411" i="19"/>
  <c r="I475" i="19"/>
  <c r="H478" i="19"/>
  <c r="I253" i="19"/>
  <c r="I257" i="19"/>
  <c r="H472" i="19"/>
  <c r="I899" i="19"/>
  <c r="I251" i="19"/>
  <c r="H219" i="19"/>
  <c r="H380" i="19"/>
  <c r="H405" i="19"/>
  <c r="I265" i="19"/>
  <c r="H398" i="19"/>
  <c r="H592" i="19"/>
  <c r="I124" i="19"/>
  <c r="I465" i="19"/>
  <c r="I194" i="19"/>
  <c r="H731" i="19"/>
  <c r="H688" i="19"/>
  <c r="H568" i="19"/>
  <c r="I182" i="19"/>
  <c r="I662" i="19"/>
  <c r="H659" i="19"/>
  <c r="H781" i="19"/>
  <c r="I569" i="19"/>
  <c r="I29" i="19"/>
  <c r="H15" i="19"/>
  <c r="H213" i="19"/>
  <c r="H339" i="19"/>
  <c r="H30" i="19"/>
  <c r="H633" i="19"/>
  <c r="I163" i="19"/>
  <c r="H898" i="19"/>
  <c r="H609" i="19"/>
  <c r="I267" i="19"/>
  <c r="H788" i="19"/>
  <c r="H307" i="19"/>
  <c r="I880" i="19"/>
  <c r="H120" i="19"/>
  <c r="H343" i="19"/>
  <c r="I612" i="19"/>
  <c r="H316" i="19"/>
  <c r="I650" i="19"/>
  <c r="H499" i="19"/>
  <c r="I656" i="19"/>
  <c r="I153" i="19"/>
  <c r="H533" i="19"/>
  <c r="H401" i="19"/>
  <c r="I739" i="19"/>
  <c r="H317" i="19"/>
  <c r="I80" i="19"/>
  <c r="I392" i="19"/>
  <c r="H818" i="19"/>
  <c r="I310" i="19"/>
  <c r="H678" i="19"/>
  <c r="I460" i="19"/>
  <c r="H575" i="19"/>
  <c r="H325" i="19"/>
  <c r="I638" i="19"/>
  <c r="H191" i="19"/>
  <c r="I473" i="19"/>
  <c r="H514" i="19"/>
  <c r="I798" i="19"/>
  <c r="I806" i="19"/>
  <c r="H650" i="19"/>
  <c r="H410" i="19"/>
  <c r="H585" i="19"/>
  <c r="H873" i="19"/>
  <c r="H237" i="19"/>
  <c r="I18" i="19"/>
  <c r="I294" i="19"/>
  <c r="I691" i="19"/>
  <c r="H496" i="19"/>
  <c r="H356" i="19"/>
  <c r="I19" i="19"/>
  <c r="H649" i="19"/>
  <c r="I129" i="19"/>
  <c r="I477" i="19"/>
  <c r="I401" i="19"/>
  <c r="I83" i="19"/>
  <c r="I279" i="19"/>
  <c r="H790" i="19"/>
  <c r="I818" i="19"/>
  <c r="I485" i="19"/>
  <c r="H791" i="19"/>
  <c r="I346" i="19"/>
  <c r="I390" i="19"/>
  <c r="H273" i="19"/>
  <c r="H884" i="19"/>
  <c r="I787" i="19"/>
  <c r="I769" i="19"/>
  <c r="I387" i="19"/>
  <c r="H79" i="19"/>
  <c r="I135" i="19"/>
  <c r="H497" i="19"/>
  <c r="H893" i="19"/>
  <c r="H748" i="19"/>
  <c r="H126" i="19"/>
  <c r="H151" i="19"/>
  <c r="I541" i="19"/>
  <c r="I149" i="19"/>
  <c r="I746" i="19"/>
  <c r="I488" i="19"/>
  <c r="H227" i="19"/>
  <c r="H342" i="19"/>
  <c r="I435" i="19"/>
  <c r="H370" i="19"/>
  <c r="H277" i="19"/>
  <c r="I459" i="19"/>
  <c r="I336" i="19"/>
  <c r="H362" i="19"/>
  <c r="H392" i="19"/>
  <c r="H600" i="19"/>
  <c r="I456" i="19"/>
  <c r="H105" i="19"/>
  <c r="I373" i="19"/>
  <c r="I15" i="19"/>
  <c r="I698" i="19"/>
  <c r="I326" i="19"/>
  <c r="H55" i="19"/>
  <c r="H892" i="19"/>
  <c r="H760" i="19"/>
  <c r="H550" i="19"/>
  <c r="I67" i="19"/>
  <c r="I123" i="19"/>
  <c r="I912" i="19"/>
  <c r="I453" i="19"/>
  <c r="I551" i="19"/>
  <c r="H605" i="19"/>
  <c r="I103" i="19"/>
  <c r="I689" i="19"/>
  <c r="H725" i="19"/>
  <c r="I384" i="19"/>
  <c r="I615" i="19"/>
  <c r="I692" i="19"/>
  <c r="H156" i="19"/>
  <c r="H620" i="19"/>
  <c r="I883" i="19"/>
  <c r="H295" i="19"/>
  <c r="H10" i="19"/>
  <c r="I909" i="19"/>
  <c r="I885" i="19"/>
  <c r="H292" i="19"/>
  <c r="I203" i="19"/>
  <c r="H251" i="19"/>
  <c r="I141" i="19"/>
  <c r="I906" i="19"/>
  <c r="H87" i="19"/>
  <c r="H231" i="19"/>
  <c r="H355" i="19"/>
  <c r="H22" i="19"/>
  <c r="I35" i="19"/>
  <c r="I415" i="19"/>
  <c r="H726" i="19"/>
  <c r="I919" i="19"/>
  <c r="I50" i="19"/>
  <c r="I230" i="19"/>
  <c r="H96" i="19"/>
  <c r="I835" i="19"/>
  <c r="I324" i="19"/>
  <c r="I185" i="19"/>
  <c r="I616" i="19"/>
  <c r="I327" i="19"/>
  <c r="H679" i="19"/>
  <c r="H890" i="19"/>
  <c r="H481" i="19"/>
  <c r="H733" i="19"/>
  <c r="I525" i="19"/>
  <c r="H519" i="19"/>
  <c r="I122" i="19"/>
  <c r="H923" i="19"/>
  <c r="H811" i="19"/>
  <c r="H912" i="19"/>
  <c r="H215" i="19"/>
  <c r="I338" i="19"/>
  <c r="H506" i="19"/>
  <c r="H864" i="19"/>
  <c r="I642" i="19"/>
  <c r="H414" i="19"/>
  <c r="I258" i="19"/>
  <c r="I531" i="19"/>
  <c r="I563" i="19"/>
  <c r="I202" i="19"/>
  <c r="I2" i="19"/>
  <c r="I478" i="19"/>
  <c r="H626" i="19"/>
  <c r="H687" i="19"/>
  <c r="I623" i="19"/>
  <c r="H187" i="19"/>
  <c r="I447" i="19"/>
  <c r="H457" i="19"/>
  <c r="H171" i="19"/>
  <c r="H233" i="19"/>
  <c r="I901" i="19"/>
  <c r="H247" i="19"/>
  <c r="I127" i="19"/>
  <c r="I426" i="19"/>
  <c r="I27" i="19"/>
  <c r="I694" i="19"/>
  <c r="I647" i="19"/>
  <c r="I730" i="19"/>
  <c r="I177" i="19"/>
  <c r="H517" i="19"/>
  <c r="I172" i="19"/>
  <c r="I33" i="19"/>
  <c r="I32" i="19"/>
  <c r="I851" i="19"/>
  <c r="H57" i="19"/>
  <c r="H736" i="19"/>
  <c r="I81" i="19"/>
  <c r="I228" i="19"/>
  <c r="H353" i="19"/>
  <c r="I882" i="19"/>
  <c r="I576" i="19"/>
  <c r="H413" i="19"/>
  <c r="I452" i="19"/>
  <c r="H653" i="19"/>
  <c r="I898" i="19"/>
  <c r="H60" i="19"/>
  <c r="I109" i="19"/>
  <c r="I260" i="19"/>
  <c r="H166" i="19"/>
  <c r="H686" i="19"/>
  <c r="H667" i="19"/>
  <c r="H36" i="19"/>
  <c r="H143" i="19"/>
  <c r="H808" i="19"/>
  <c r="H203" i="19"/>
  <c r="H453" i="19"/>
  <c r="I705" i="19"/>
  <c r="I393" i="19"/>
  <c r="H468" i="19"/>
  <c r="I812" i="19"/>
  <c r="I720" i="19"/>
  <c r="H58" i="19"/>
  <c r="I567" i="19"/>
  <c r="H613" i="19"/>
  <c r="H270" i="19"/>
  <c r="H211" i="19"/>
  <c r="H432" i="19"/>
  <c r="I704" i="19"/>
  <c r="H264" i="19"/>
  <c r="I685" i="19"/>
  <c r="I601" i="19"/>
  <c r="H428" i="19"/>
  <c r="I274" i="19"/>
  <c r="H23" i="19"/>
  <c r="H13" i="19"/>
  <c r="H759" i="19"/>
  <c r="I38" i="19"/>
  <c r="I483" i="19"/>
  <c r="I788" i="19"/>
  <c r="I719" i="19"/>
  <c r="H863" i="19"/>
  <c r="H515" i="19"/>
  <c r="I391" i="19"/>
  <c r="H644" i="19"/>
  <c r="I876" i="19"/>
  <c r="I564" i="19"/>
  <c r="I686" i="19"/>
  <c r="H611" i="19"/>
  <c r="I512" i="19"/>
  <c r="H531" i="19"/>
  <c r="H135" i="19"/>
  <c r="H794" i="19"/>
  <c r="H574" i="19"/>
  <c r="H589" i="19"/>
  <c r="H779" i="19"/>
  <c r="I594" i="19"/>
  <c r="I842" i="19"/>
  <c r="I31" i="19"/>
  <c r="H177" i="19"/>
  <c r="I446" i="19"/>
  <c r="H54" i="19"/>
  <c r="I587" i="19"/>
  <c r="H494" i="19"/>
  <c r="H234" i="19"/>
  <c r="H868" i="19"/>
  <c r="H555" i="19"/>
  <c r="H383" i="19"/>
  <c r="H256" i="19"/>
  <c r="H119" i="19"/>
  <c r="H161" i="19"/>
  <c r="H778" i="19"/>
  <c r="H373" i="19"/>
  <c r="H541" i="19"/>
  <c r="H49" i="19"/>
  <c r="I914" i="19"/>
  <c r="H430" i="19"/>
  <c r="H484" i="19"/>
  <c r="I412" i="19"/>
  <c r="I87" i="19"/>
  <c r="H578" i="19"/>
  <c r="H905" i="19"/>
  <c r="I12" i="19"/>
  <c r="I364" i="19"/>
  <c r="I915" i="19"/>
  <c r="H835" i="19"/>
  <c r="H604" i="19"/>
  <c r="I794" i="19"/>
  <c r="I281" i="19"/>
  <c r="H260" i="19"/>
  <c r="H435" i="19"/>
  <c r="H698" i="19"/>
  <c r="I552" i="19"/>
  <c r="I441" i="19"/>
  <c r="H239" i="19"/>
  <c r="H503" i="19"/>
  <c r="I119" i="19"/>
  <c r="I47" i="19"/>
  <c r="I263" i="19"/>
  <c r="H776" i="19"/>
  <c r="I30" i="19"/>
  <c r="H804" i="19"/>
  <c r="I673" i="19"/>
  <c r="H345" i="19"/>
  <c r="I600" i="19"/>
  <c r="H602" i="19"/>
  <c r="H852" i="19"/>
  <c r="H745" i="19"/>
  <c r="I288" i="19"/>
  <c r="H142" i="19"/>
  <c r="I716" i="19"/>
  <c r="I595" i="19"/>
  <c r="I664" i="19"/>
  <c r="H587" i="19"/>
  <c r="H741" i="19"/>
  <c r="I236" i="19"/>
  <c r="H262" i="19"/>
  <c r="H830" i="19"/>
  <c r="H512" i="19"/>
  <c r="I908" i="19"/>
  <c r="I557" i="19"/>
  <c r="I443" i="19"/>
  <c r="I905" i="19"/>
  <c r="I847" i="19"/>
  <c r="H565" i="19"/>
  <c r="H384" i="19"/>
  <c r="H664" i="19"/>
  <c r="H681" i="19"/>
  <c r="I170" i="19"/>
  <c r="H553" i="19"/>
  <c r="H65" i="19"/>
  <c r="H582" i="19"/>
  <c r="I264" i="19"/>
  <c r="I105" i="19"/>
  <c r="I486" i="19"/>
  <c r="H17" i="19"/>
  <c r="I245" i="19"/>
  <c r="H713" i="19"/>
  <c r="H752" i="19"/>
  <c r="H439" i="19"/>
  <c r="I353" i="19"/>
  <c r="H382" i="19"/>
  <c r="I335" i="19"/>
  <c r="H608" i="19"/>
  <c r="H717" i="19"/>
  <c r="H460" i="19"/>
  <c r="I325" i="19"/>
  <c r="H235" i="19"/>
  <c r="H37" i="19"/>
  <c r="H311" i="19"/>
  <c r="H897" i="19"/>
  <c r="H315" i="19"/>
  <c r="H284" i="19"/>
  <c r="I167" i="19"/>
  <c r="H138" i="19"/>
  <c r="I66" i="19"/>
  <c r="I492" i="19"/>
  <c r="I344" i="19"/>
  <c r="H516" i="19"/>
  <c r="H226" i="19"/>
  <c r="H394" i="19"/>
  <c r="I166" i="19"/>
  <c r="I660" i="19"/>
  <c r="I830" i="19"/>
  <c r="H330" i="19"/>
  <c r="H427" i="19"/>
  <c r="I580" i="19"/>
  <c r="I63" i="19"/>
  <c r="H847" i="19"/>
  <c r="H106" i="19"/>
  <c r="I799" i="19"/>
  <c r="I273" i="19"/>
  <c r="H16" i="19"/>
  <c r="I655" i="19"/>
  <c r="I301" i="19"/>
  <c r="H168" i="19"/>
  <c r="I872" i="19"/>
  <c r="H125" i="19"/>
  <c r="I578" i="19"/>
  <c r="I445" i="19"/>
  <c r="H648" i="19"/>
  <c r="I866" i="19"/>
  <c r="H463" i="19"/>
  <c r="H706" i="19"/>
  <c r="H554" i="19"/>
  <c r="I410" i="19"/>
  <c r="H885" i="19"/>
  <c r="I99" i="19"/>
  <c r="I639" i="19"/>
  <c r="H297" i="19"/>
  <c r="I547" i="19"/>
  <c r="I45" i="19"/>
  <c r="I428" i="19"/>
  <c r="I396" i="19"/>
  <c r="H846" i="19"/>
  <c r="H429" i="19"/>
  <c r="H714" i="19"/>
  <c r="H127" i="19"/>
  <c r="H883" i="19"/>
  <c r="H407" i="19"/>
  <c r="H523" i="19"/>
  <c r="H922" i="19"/>
  <c r="I693" i="19"/>
  <c r="I341" i="19"/>
  <c r="H377" i="19"/>
  <c r="I688" i="19"/>
  <c r="I603" i="19"/>
  <c r="I571" i="19"/>
  <c r="H437" i="19"/>
  <c r="I419" i="19"/>
  <c r="I741" i="19"/>
  <c r="I814" i="19"/>
  <c r="H276" i="19"/>
  <c r="H889" i="19"/>
  <c r="I722" i="19"/>
  <c r="I926" i="19"/>
  <c r="H390" i="19"/>
  <c r="H674" i="19"/>
  <c r="I752" i="19"/>
  <c r="H150" i="19"/>
  <c r="H147" i="19"/>
  <c r="H505" i="19"/>
  <c r="I355" i="19"/>
  <c r="I677" i="19"/>
  <c r="H349" i="19"/>
  <c r="H170" i="19"/>
  <c r="I269" i="19"/>
  <c r="I90" i="19"/>
  <c r="I104" i="19"/>
  <c r="H71" i="19"/>
  <c r="I903" i="19"/>
  <c r="I676" i="19"/>
  <c r="H8" i="19"/>
  <c r="I250" i="19"/>
  <c r="I451" i="19"/>
  <c r="I306" i="19"/>
  <c r="I296" i="19"/>
  <c r="I399" i="19"/>
  <c r="I725" i="19"/>
  <c r="H628" i="19"/>
  <c r="H817" i="19"/>
  <c r="I146" i="19"/>
  <c r="H509" i="19"/>
  <c r="H399" i="19"/>
  <c r="H737" i="19"/>
  <c r="H480" i="19"/>
  <c r="H732" i="19"/>
  <c r="H99" i="19"/>
  <c r="I244" i="19"/>
  <c r="H918" i="19"/>
  <c r="H81" i="19"/>
  <c r="I921" i="19"/>
  <c r="I534" i="19"/>
  <c r="H3" i="19"/>
  <c r="H305" i="19"/>
  <c r="H174" i="19"/>
  <c r="H789" i="19"/>
  <c r="I910" i="19"/>
  <c r="I793" i="19"/>
  <c r="I181" i="19"/>
  <c r="H485" i="19"/>
  <c r="I713" i="19"/>
  <c r="I524" i="19"/>
  <c r="I661" i="19"/>
  <c r="I450" i="19"/>
  <c r="I802" i="19"/>
  <c r="I111" i="19"/>
  <c r="I223" i="19"/>
  <c r="I86" i="19"/>
  <c r="H685" i="19"/>
  <c r="I626" i="19"/>
  <c r="I14" i="19"/>
  <c r="I893" i="19"/>
  <c r="H310" i="19"/>
  <c r="I497" i="19"/>
  <c r="H11" i="19"/>
  <c r="DJ77" i="1" l="1"/>
  <c r="DL77" i="1" s="1"/>
  <c r="CP76" i="1"/>
  <c r="CQ76" i="1"/>
  <c r="CR76" i="1"/>
  <c r="CT76" i="1"/>
  <c r="DB76" i="1" s="1"/>
  <c r="CV76" i="1"/>
  <c r="DD76" i="1" s="1"/>
  <c r="CX76" i="1"/>
  <c r="DF76" i="1" s="1"/>
  <c r="CZ76" i="1"/>
  <c r="DH76" i="1" s="1"/>
  <c r="DK76" i="1"/>
  <c r="DJ76" i="1" l="1"/>
  <c r="DL76" i="1" s="1"/>
  <c r="CP75" i="1"/>
  <c r="CQ75" i="1"/>
  <c r="CR75" i="1"/>
  <c r="CT75" i="1"/>
  <c r="DB75" i="1" s="1"/>
  <c r="CV75" i="1"/>
  <c r="DD75" i="1" s="1"/>
  <c r="CX75" i="1"/>
  <c r="DF75" i="1" s="1"/>
  <c r="CZ75" i="1"/>
  <c r="DH75" i="1" s="1"/>
  <c r="DK75" i="1"/>
  <c r="DJ75" i="1" l="1"/>
  <c r="DL75" i="1" s="1"/>
  <c r="CP74" i="1" l="1"/>
  <c r="CQ74" i="1"/>
  <c r="CR74" i="1"/>
  <c r="CT74" i="1"/>
  <c r="DB74" i="1" s="1"/>
  <c r="CV74" i="1"/>
  <c r="DD74" i="1" s="1"/>
  <c r="CX74" i="1"/>
  <c r="DF74" i="1" s="1"/>
  <c r="CZ74" i="1"/>
  <c r="DH74" i="1" s="1"/>
  <c r="DK74" i="1"/>
  <c r="DJ74" i="1" l="1"/>
  <c r="DL74" i="1" s="1"/>
  <c r="CP73" i="1" l="1"/>
  <c r="CQ73" i="1"/>
  <c r="CR73" i="1"/>
  <c r="CT73" i="1"/>
  <c r="DB73" i="1" s="1"/>
  <c r="CV73" i="1"/>
  <c r="DD73" i="1" s="1"/>
  <c r="CX73" i="1"/>
  <c r="DF73" i="1" s="1"/>
  <c r="CZ73" i="1"/>
  <c r="DH73" i="1" s="1"/>
  <c r="DK73" i="1"/>
  <c r="DJ73" i="1" l="1"/>
  <c r="DL73" i="1" s="1"/>
  <c r="CP72" i="1" l="1"/>
  <c r="CQ72" i="1"/>
  <c r="CR72" i="1"/>
  <c r="CT72" i="1"/>
  <c r="DB72" i="1" s="1"/>
  <c r="CV72" i="1"/>
  <c r="DD72" i="1" s="1"/>
  <c r="CX72" i="1"/>
  <c r="DF72" i="1" s="1"/>
  <c r="CZ72" i="1"/>
  <c r="DH72" i="1" s="1"/>
  <c r="DK72" i="1"/>
  <c r="CR5" i="1"/>
  <c r="CR6" i="1"/>
  <c r="CR7" i="1"/>
  <c r="CR8" i="1"/>
  <c r="CR9" i="1"/>
  <c r="CR10" i="1"/>
  <c r="CR11" i="1"/>
  <c r="CR12" i="1"/>
  <c r="CR13" i="1"/>
  <c r="CR14" i="1"/>
  <c r="CR15" i="1"/>
  <c r="CR16" i="1"/>
  <c r="CR17" i="1"/>
  <c r="CR18" i="1"/>
  <c r="CR19" i="1"/>
  <c r="CR20" i="1"/>
  <c r="CR21" i="1"/>
  <c r="CR22" i="1"/>
  <c r="CR23" i="1"/>
  <c r="CR24" i="1"/>
  <c r="CR25" i="1"/>
  <c r="CR26" i="1"/>
  <c r="CR27" i="1"/>
  <c r="CR28" i="1"/>
  <c r="CR29" i="1"/>
  <c r="CR30" i="1"/>
  <c r="CR31" i="1"/>
  <c r="CR32" i="1"/>
  <c r="CR33" i="1"/>
  <c r="CR34" i="1"/>
  <c r="CR35" i="1"/>
  <c r="CR36" i="1"/>
  <c r="CR37" i="1"/>
  <c r="CR38" i="1"/>
  <c r="CR39" i="1"/>
  <c r="CR40" i="1"/>
  <c r="CR41" i="1"/>
  <c r="CR42" i="1"/>
  <c r="CR43" i="1"/>
  <c r="CR44" i="1"/>
  <c r="CR45" i="1"/>
  <c r="CR46" i="1"/>
  <c r="CR47" i="1"/>
  <c r="CR48" i="1"/>
  <c r="CR49" i="1"/>
  <c r="CR50" i="1"/>
  <c r="CR51" i="1"/>
  <c r="CR52" i="1"/>
  <c r="CR53" i="1"/>
  <c r="CR54" i="1"/>
  <c r="CR55" i="1"/>
  <c r="CR56" i="1"/>
  <c r="CR57" i="1"/>
  <c r="CR58" i="1"/>
  <c r="CR59" i="1"/>
  <c r="CR60" i="1"/>
  <c r="CR61" i="1"/>
  <c r="CR62" i="1"/>
  <c r="CR63" i="1"/>
  <c r="CR64" i="1"/>
  <c r="CR65" i="1"/>
  <c r="CR66" i="1"/>
  <c r="CR67" i="1"/>
  <c r="CR68" i="1"/>
  <c r="CR69" i="1"/>
  <c r="CR70" i="1"/>
  <c r="CR71" i="1"/>
  <c r="CP71" i="1"/>
  <c r="CQ71" i="1"/>
  <c r="CT71" i="1"/>
  <c r="DB71" i="1" s="1"/>
  <c r="CV71" i="1"/>
  <c r="DD71" i="1" s="1"/>
  <c r="CX71" i="1"/>
  <c r="DF71" i="1" s="1"/>
  <c r="CZ71" i="1"/>
  <c r="DH71" i="1" s="1"/>
  <c r="DK71" i="1"/>
  <c r="DJ72" i="1" l="1"/>
  <c r="DL72" i="1" s="1"/>
  <c r="DJ71" i="1"/>
  <c r="DL71" i="1" s="1"/>
  <c r="CP70" i="1" l="1"/>
  <c r="CQ70" i="1"/>
  <c r="CT70" i="1"/>
  <c r="DB70" i="1" s="1"/>
  <c r="CV70" i="1"/>
  <c r="DD70" i="1" s="1"/>
  <c r="CX70" i="1"/>
  <c r="DF70" i="1" s="1"/>
  <c r="CZ70" i="1"/>
  <c r="DH70" i="1" s="1"/>
  <c r="DK70" i="1"/>
  <c r="DJ70" i="1" l="1"/>
  <c r="DL70" i="1" s="1"/>
  <c r="CP69" i="1" l="1"/>
  <c r="CQ69" i="1"/>
  <c r="CT69" i="1"/>
  <c r="DB69" i="1" s="1"/>
  <c r="CV69" i="1"/>
  <c r="DD69" i="1" s="1"/>
  <c r="CX69" i="1"/>
  <c r="DF69" i="1" s="1"/>
  <c r="CZ69" i="1"/>
  <c r="DH69" i="1" s="1"/>
  <c r="DK69" i="1"/>
  <c r="DJ69" i="1" l="1"/>
  <c r="DL69" i="1" s="1"/>
  <c r="CP68" i="1"/>
  <c r="CQ68" i="1"/>
  <c r="CT68" i="1"/>
  <c r="DB68" i="1" s="1"/>
  <c r="CV68" i="1"/>
  <c r="DD68" i="1" s="1"/>
  <c r="CX68" i="1"/>
  <c r="DF68" i="1" s="1"/>
  <c r="CZ68" i="1"/>
  <c r="DH68" i="1" s="1"/>
  <c r="DK68" i="1"/>
  <c r="DJ68" i="1" l="1"/>
  <c r="DL68" i="1" s="1"/>
  <c r="CP67" i="1"/>
  <c r="CQ67" i="1"/>
  <c r="CT67" i="1"/>
  <c r="DB67" i="1" s="1"/>
  <c r="CV67" i="1"/>
  <c r="DD67" i="1" s="1"/>
  <c r="CX67" i="1"/>
  <c r="DF67" i="1" s="1"/>
  <c r="CZ67" i="1"/>
  <c r="DH67" i="1" s="1"/>
  <c r="DK67" i="1"/>
  <c r="DJ67" i="1" l="1"/>
  <c r="DL67" i="1" s="1"/>
  <c r="CP66" i="1" l="1"/>
  <c r="CQ66" i="1"/>
  <c r="CT66" i="1"/>
  <c r="DB66" i="1" s="1"/>
  <c r="CV66" i="1"/>
  <c r="DD66" i="1" s="1"/>
  <c r="CX66" i="1"/>
  <c r="DF66" i="1" s="1"/>
  <c r="CZ66" i="1"/>
  <c r="DH66" i="1" s="1"/>
  <c r="DK66" i="1"/>
  <c r="DJ66" i="1" l="1"/>
  <c r="DL66" i="1" s="1"/>
  <c r="I20" i="18"/>
  <c r="H190" i="18"/>
  <c r="L160" i="18"/>
  <c r="L14" i="18"/>
  <c r="I179" i="18"/>
  <c r="H34" i="18"/>
  <c r="H106" i="18"/>
  <c r="L165" i="18"/>
  <c r="L59" i="18"/>
  <c r="H196" i="18"/>
  <c r="L163" i="18"/>
  <c r="H98" i="18"/>
  <c r="I148" i="18"/>
  <c r="H182" i="18"/>
  <c r="L54" i="18"/>
  <c r="L38" i="18"/>
  <c r="H165" i="18"/>
  <c r="H92" i="18"/>
  <c r="I156" i="18"/>
  <c r="I222" i="18"/>
  <c r="H200" i="18"/>
  <c r="H70" i="18"/>
  <c r="H93" i="18"/>
  <c r="L108" i="18"/>
  <c r="H144" i="18"/>
  <c r="I111" i="18"/>
  <c r="H133" i="18"/>
  <c r="H166" i="18"/>
  <c r="L211" i="18"/>
  <c r="H201" i="18"/>
  <c r="H156" i="18"/>
  <c r="L152" i="18"/>
  <c r="I40" i="18"/>
  <c r="L186" i="18"/>
  <c r="L173" i="18"/>
  <c r="H21" i="18"/>
  <c r="L147" i="18"/>
  <c r="H127" i="18"/>
  <c r="H9" i="18"/>
  <c r="H64" i="18"/>
  <c r="H31" i="18"/>
  <c r="H105" i="18"/>
  <c r="L2" i="18"/>
  <c r="L133" i="18"/>
  <c r="I216" i="18"/>
  <c r="H24" i="18"/>
  <c r="I13" i="18"/>
  <c r="I76" i="18"/>
  <c r="H173" i="18"/>
  <c r="H186" i="18"/>
  <c r="I144" i="18"/>
  <c r="I79" i="18"/>
  <c r="L106" i="18"/>
  <c r="L27" i="18"/>
  <c r="L138" i="18"/>
  <c r="H102" i="18"/>
  <c r="H183" i="18"/>
  <c r="I114" i="18"/>
  <c r="I83" i="18"/>
  <c r="L135" i="18"/>
  <c r="L162" i="18"/>
  <c r="L124" i="18"/>
  <c r="I100" i="18"/>
  <c r="L84" i="18"/>
  <c r="L63" i="18"/>
  <c r="H38" i="18"/>
  <c r="H222" i="18"/>
  <c r="I84" i="18"/>
  <c r="H101" i="18"/>
  <c r="L105" i="18"/>
  <c r="H111" i="18"/>
  <c r="L170" i="18"/>
  <c r="L200" i="18"/>
  <c r="I149" i="18"/>
  <c r="H159" i="18"/>
  <c r="I101" i="18"/>
  <c r="I196" i="18"/>
  <c r="H87" i="18"/>
  <c r="H18" i="18"/>
  <c r="L4" i="18"/>
  <c r="H54" i="18"/>
  <c r="I47" i="18"/>
  <c r="L16" i="18"/>
  <c r="L57" i="18"/>
  <c r="H202" i="18"/>
  <c r="L206" i="18"/>
  <c r="I93" i="18"/>
  <c r="L15" i="18"/>
  <c r="H78" i="18"/>
  <c r="H157" i="18"/>
  <c r="H205" i="18"/>
  <c r="H142" i="18"/>
  <c r="H145" i="18"/>
  <c r="I77" i="18"/>
  <c r="L98" i="18"/>
  <c r="L7" i="18"/>
  <c r="I8" i="18"/>
  <c r="I182" i="18"/>
  <c r="I66" i="18"/>
  <c r="L93" i="18"/>
  <c r="L142" i="18"/>
  <c r="L26" i="18"/>
  <c r="H211" i="18"/>
  <c r="I88" i="18"/>
  <c r="L150" i="18"/>
  <c r="L131" i="18"/>
  <c r="H218" i="18"/>
  <c r="I12" i="18"/>
  <c r="I49" i="18"/>
  <c r="L109" i="18"/>
  <c r="H167" i="18"/>
  <c r="L174" i="18"/>
  <c r="I212" i="18"/>
  <c r="I223" i="18"/>
  <c r="L77" i="18"/>
  <c r="I167" i="18"/>
  <c r="H19" i="18"/>
  <c r="I152" i="18"/>
  <c r="L111" i="18"/>
  <c r="I136" i="18"/>
  <c r="I129" i="18"/>
  <c r="I213" i="18"/>
  <c r="H124" i="18"/>
  <c r="L204" i="18"/>
  <c r="I3" i="18"/>
  <c r="L176" i="18"/>
  <c r="H177" i="18"/>
  <c r="H181" i="18"/>
  <c r="H191" i="18"/>
  <c r="H176" i="18"/>
  <c r="I154" i="18"/>
  <c r="L199" i="18"/>
  <c r="H130" i="18"/>
  <c r="I193" i="18"/>
  <c r="H171" i="18"/>
  <c r="H138" i="18"/>
  <c r="L24" i="18"/>
  <c r="I10" i="18"/>
  <c r="L88" i="18"/>
  <c r="I9" i="18"/>
  <c r="L3" i="18"/>
  <c r="I117" i="18"/>
  <c r="H110" i="18"/>
  <c r="H84" i="18"/>
  <c r="H88" i="18"/>
  <c r="L33" i="18"/>
  <c r="I198" i="18"/>
  <c r="I131" i="18"/>
  <c r="I183" i="18"/>
  <c r="H193" i="18"/>
  <c r="L71" i="18"/>
  <c r="L67" i="18"/>
  <c r="L129" i="18"/>
  <c r="L187" i="18"/>
  <c r="H189" i="18"/>
  <c r="L168" i="18"/>
  <c r="L172" i="18"/>
  <c r="I191" i="18"/>
  <c r="I159" i="18"/>
  <c r="L35" i="18"/>
  <c r="H129" i="18"/>
  <c r="I153" i="18"/>
  <c r="H63" i="18"/>
  <c r="H161" i="18"/>
  <c r="I81" i="18"/>
  <c r="H123" i="18"/>
  <c r="L113" i="18"/>
  <c r="I188" i="18"/>
  <c r="I219" i="18"/>
  <c r="H136" i="18"/>
  <c r="H178" i="18"/>
  <c r="I16" i="18"/>
  <c r="L49" i="18"/>
  <c r="L11" i="18"/>
  <c r="H187" i="18"/>
  <c r="I214" i="18"/>
  <c r="H146" i="18"/>
  <c r="H150" i="18"/>
  <c r="I194" i="18"/>
  <c r="L209" i="18"/>
  <c r="L161" i="18"/>
  <c r="L58" i="18"/>
  <c r="L66" i="18"/>
  <c r="L180" i="18"/>
  <c r="I121" i="18"/>
  <c r="I80" i="18"/>
  <c r="L144" i="18"/>
  <c r="H197" i="18"/>
  <c r="H65" i="18"/>
  <c r="I30" i="18"/>
  <c r="H153" i="18"/>
  <c r="H158" i="18"/>
  <c r="I161" i="18"/>
  <c r="L47" i="18"/>
  <c r="L79" i="18"/>
  <c r="H67" i="18"/>
  <c r="L183" i="18"/>
  <c r="I163" i="18"/>
  <c r="I217" i="18"/>
  <c r="I168" i="18"/>
  <c r="H91" i="18"/>
  <c r="I46" i="18"/>
  <c r="L175" i="18"/>
  <c r="I57" i="18"/>
  <c r="I104" i="18"/>
  <c r="I70" i="18"/>
  <c r="L127" i="18"/>
  <c r="L13" i="18"/>
  <c r="L110" i="18"/>
  <c r="L194" i="18"/>
  <c r="I202" i="18"/>
  <c r="H220" i="18"/>
  <c r="I52" i="18"/>
  <c r="H85" i="18"/>
  <c r="I170" i="18"/>
  <c r="H51" i="18"/>
  <c r="L136" i="18"/>
  <c r="I181" i="18"/>
  <c r="L156" i="18"/>
  <c r="H96" i="18"/>
  <c r="I108" i="18"/>
  <c r="H35" i="18"/>
  <c r="H75" i="18"/>
  <c r="I34" i="18"/>
  <c r="H152" i="18"/>
  <c r="H115" i="18"/>
  <c r="H22" i="18"/>
  <c r="H46" i="18"/>
  <c r="L178" i="18"/>
  <c r="L64" i="18"/>
  <c r="I123" i="18"/>
  <c r="H86" i="18"/>
  <c r="L123" i="18"/>
  <c r="H215" i="18"/>
  <c r="H25" i="18"/>
  <c r="H207" i="18"/>
  <c r="L17" i="18"/>
  <c r="I39" i="18"/>
  <c r="L212" i="18"/>
  <c r="I75" i="18"/>
  <c r="H66" i="18"/>
  <c r="H2" i="18"/>
  <c r="I112" i="18"/>
  <c r="I45" i="18"/>
  <c r="I125" i="18"/>
  <c r="H10" i="18"/>
  <c r="I31" i="18"/>
  <c r="H32" i="18"/>
  <c r="L22" i="18"/>
  <c r="I24" i="18"/>
  <c r="I155" i="18"/>
  <c r="H113" i="18"/>
  <c r="I43" i="18"/>
  <c r="H40" i="18"/>
  <c r="I145" i="18"/>
  <c r="I74" i="18"/>
  <c r="L120" i="18"/>
  <c r="I11" i="18"/>
  <c r="L198" i="18"/>
  <c r="H81" i="18"/>
  <c r="L29" i="18"/>
  <c r="I107" i="18"/>
  <c r="H90" i="18"/>
  <c r="L62" i="18"/>
  <c r="H71" i="18"/>
  <c r="L34" i="18"/>
  <c r="L90" i="18"/>
  <c r="H135" i="18"/>
  <c r="L154" i="18"/>
  <c r="I48" i="18"/>
  <c r="H5" i="18"/>
  <c r="H42" i="18"/>
  <c r="H198" i="18"/>
  <c r="L75" i="18"/>
  <c r="L169" i="18"/>
  <c r="I162" i="18"/>
  <c r="I33" i="18"/>
  <c r="L192" i="18"/>
  <c r="L32" i="18"/>
  <c r="H223" i="18"/>
  <c r="I119" i="18"/>
  <c r="H112" i="18"/>
  <c r="H164" i="18"/>
  <c r="H151" i="18"/>
  <c r="H74" i="18"/>
  <c r="L122" i="18"/>
  <c r="H134" i="18"/>
  <c r="L18" i="18"/>
  <c r="L201" i="18"/>
  <c r="L6" i="18"/>
  <c r="I127" i="18"/>
  <c r="H79" i="18"/>
  <c r="H175" i="18"/>
  <c r="H3" i="18"/>
  <c r="H13" i="18"/>
  <c r="I137" i="18"/>
  <c r="H143" i="18"/>
  <c r="L92" i="18"/>
  <c r="I141" i="18"/>
  <c r="I132" i="18"/>
  <c r="I221" i="18"/>
  <c r="L193" i="18"/>
  <c r="L56" i="18"/>
  <c r="H217" i="18"/>
  <c r="H99" i="18"/>
  <c r="L50" i="18"/>
  <c r="I151" i="18"/>
  <c r="H214" i="18"/>
  <c r="H208" i="18"/>
  <c r="H52" i="18"/>
  <c r="L107" i="18"/>
  <c r="H170" i="18"/>
  <c r="I142" i="18"/>
  <c r="H8" i="18"/>
  <c r="I71" i="18"/>
  <c r="H172" i="18"/>
  <c r="L30" i="18"/>
  <c r="H149" i="18"/>
  <c r="I68" i="18"/>
  <c r="I205" i="18"/>
  <c r="H132" i="18"/>
  <c r="I36" i="18"/>
  <c r="I200" i="18"/>
  <c r="I41" i="18"/>
  <c r="H15" i="18"/>
  <c r="I109" i="18"/>
  <c r="I105" i="18"/>
  <c r="I63" i="18"/>
  <c r="L208" i="18"/>
  <c r="I38" i="18"/>
  <c r="H117" i="18"/>
  <c r="I177" i="18"/>
  <c r="H154" i="18"/>
  <c r="I6" i="18"/>
  <c r="I207" i="18"/>
  <c r="I199" i="18"/>
  <c r="I184" i="18"/>
  <c r="I64" i="18"/>
  <c r="H199" i="18"/>
  <c r="H28" i="18"/>
  <c r="H6" i="18"/>
  <c r="L74" i="18"/>
  <c r="H83" i="18"/>
  <c r="L164" i="18"/>
  <c r="I197" i="18"/>
  <c r="L130" i="18"/>
  <c r="L8" i="18"/>
  <c r="H16" i="18"/>
  <c r="H49" i="18"/>
  <c r="I208" i="18"/>
  <c r="I42" i="18"/>
  <c r="I113" i="18"/>
  <c r="L153" i="18"/>
  <c r="H148" i="18"/>
  <c r="I85" i="18"/>
  <c r="L73" i="18"/>
  <c r="I185" i="18"/>
  <c r="H29" i="18"/>
  <c r="L65" i="18"/>
  <c r="H119" i="18"/>
  <c r="H26" i="18"/>
  <c r="H48" i="18"/>
  <c r="H103" i="18"/>
  <c r="I178" i="18"/>
  <c r="I122" i="18"/>
  <c r="I14" i="18"/>
  <c r="I86" i="18"/>
  <c r="L5" i="18"/>
  <c r="L155" i="18"/>
  <c r="I138" i="18"/>
  <c r="I176" i="18"/>
  <c r="I173" i="18"/>
  <c r="L61" i="18"/>
  <c r="L197" i="18"/>
  <c r="H163" i="18"/>
  <c r="H94" i="18"/>
  <c r="H185" i="18"/>
  <c r="H80" i="18"/>
  <c r="I54" i="18"/>
  <c r="H82" i="18"/>
  <c r="L31" i="18"/>
  <c r="L116" i="18"/>
  <c r="H188" i="18"/>
  <c r="H116" i="18"/>
  <c r="L157" i="18"/>
  <c r="H45" i="18"/>
  <c r="H162" i="18"/>
  <c r="L114" i="18"/>
  <c r="H179" i="18"/>
  <c r="I90" i="18"/>
  <c r="H174" i="18"/>
  <c r="I73" i="18"/>
  <c r="L182" i="18"/>
  <c r="H109" i="18"/>
  <c r="I25" i="18"/>
  <c r="H194" i="18"/>
  <c r="I94" i="18"/>
  <c r="L94" i="18"/>
  <c r="L118" i="18"/>
  <c r="I187" i="18"/>
  <c r="I91" i="18"/>
  <c r="L87" i="18"/>
  <c r="H44" i="18"/>
  <c r="L20" i="18"/>
  <c r="H60" i="18"/>
  <c r="I7" i="18"/>
  <c r="H114" i="18"/>
  <c r="L45" i="18"/>
  <c r="I19" i="18"/>
  <c r="I2" i="18"/>
  <c r="I106" i="18"/>
  <c r="I201" i="18"/>
  <c r="L125" i="18"/>
  <c r="I97" i="18"/>
  <c r="L53" i="18"/>
  <c r="L149" i="18"/>
  <c r="I65" i="18"/>
  <c r="H192" i="18"/>
  <c r="I124" i="18"/>
  <c r="L137" i="18"/>
  <c r="I175" i="18"/>
  <c r="L203" i="18"/>
  <c r="H59" i="18"/>
  <c r="H204" i="18"/>
  <c r="I140" i="18"/>
  <c r="H37" i="18"/>
  <c r="L195" i="18"/>
  <c r="H7" i="18"/>
  <c r="I89" i="18"/>
  <c r="L132" i="18"/>
  <c r="L158" i="18"/>
  <c r="I23" i="18"/>
  <c r="L143" i="18"/>
  <c r="H76" i="18"/>
  <c r="H221" i="18"/>
  <c r="H97" i="18"/>
  <c r="L28" i="18"/>
  <c r="I61" i="18"/>
  <c r="I67" i="18"/>
  <c r="I17" i="18"/>
  <c r="L68" i="18"/>
  <c r="H122" i="18"/>
  <c r="I56" i="18"/>
  <c r="I189" i="18"/>
  <c r="H89" i="18"/>
  <c r="L99" i="18"/>
  <c r="I215" i="18"/>
  <c r="H120" i="18"/>
  <c r="I195" i="18"/>
  <c r="I87" i="18"/>
  <c r="I4" i="18"/>
  <c r="L115" i="18"/>
  <c r="L112" i="18"/>
  <c r="L51" i="18"/>
  <c r="I143" i="18"/>
  <c r="H95" i="18"/>
  <c r="I110" i="18"/>
  <c r="I157" i="18"/>
  <c r="I99" i="18"/>
  <c r="H180" i="18"/>
  <c r="L55" i="18"/>
  <c r="H43" i="18"/>
  <c r="L166" i="18"/>
  <c r="H139" i="18"/>
  <c r="I37" i="18"/>
  <c r="L78" i="18"/>
  <c r="I98" i="18"/>
  <c r="I169" i="18"/>
  <c r="L210" i="18"/>
  <c r="H12" i="18"/>
  <c r="I126" i="18"/>
  <c r="L185" i="18"/>
  <c r="L104" i="18"/>
  <c r="I186" i="18"/>
  <c r="L191" i="18"/>
  <c r="H155" i="18"/>
  <c r="L70" i="18"/>
  <c r="L141" i="18"/>
  <c r="L145" i="18"/>
  <c r="H160" i="18"/>
  <c r="I166" i="18"/>
  <c r="H206" i="18"/>
  <c r="H77" i="18"/>
  <c r="H55" i="18"/>
  <c r="I146" i="18"/>
  <c r="I174" i="18"/>
  <c r="L43" i="18"/>
  <c r="H219" i="18"/>
  <c r="H4" i="18"/>
  <c r="L171" i="18"/>
  <c r="I58" i="18"/>
  <c r="H68" i="18"/>
  <c r="L37" i="18"/>
  <c r="H73" i="18"/>
  <c r="L126" i="18"/>
  <c r="L83" i="18"/>
  <c r="L91" i="18"/>
  <c r="L85" i="18"/>
  <c r="I180" i="18"/>
  <c r="L89" i="18"/>
  <c r="H58" i="18"/>
  <c r="I78" i="18"/>
  <c r="L48" i="18"/>
  <c r="I120" i="18"/>
  <c r="L23" i="18"/>
  <c r="H36" i="18"/>
  <c r="H20" i="18"/>
  <c r="H131" i="18"/>
  <c r="H57" i="18"/>
  <c r="I103" i="18"/>
  <c r="L181" i="18"/>
  <c r="L101" i="18"/>
  <c r="I5" i="18"/>
  <c r="L128" i="18"/>
  <c r="H23" i="18"/>
  <c r="I59" i="18"/>
  <c r="L179" i="18"/>
  <c r="L97" i="18"/>
  <c r="I62" i="18"/>
  <c r="H118" i="18"/>
  <c r="I82" i="18"/>
  <c r="I190" i="18"/>
  <c r="H168" i="18"/>
  <c r="I128" i="18"/>
  <c r="H212" i="18"/>
  <c r="L159" i="18"/>
  <c r="L46" i="18"/>
  <c r="H56" i="18"/>
  <c r="I150" i="18"/>
  <c r="I69" i="18"/>
  <c r="L117" i="18"/>
  <c r="L9" i="18"/>
  <c r="I96" i="18"/>
  <c r="H213" i="18"/>
  <c r="L40" i="18"/>
  <c r="L184" i="18"/>
  <c r="L52" i="18"/>
  <c r="I60" i="18"/>
  <c r="I50" i="18"/>
  <c r="L80" i="18"/>
  <c r="L21" i="18"/>
  <c r="I21" i="18"/>
  <c r="I206" i="18"/>
  <c r="L19" i="18"/>
  <c r="I158" i="18"/>
  <c r="I192" i="18"/>
  <c r="H216" i="18"/>
  <c r="L196" i="18"/>
  <c r="L36" i="18"/>
  <c r="I147" i="18"/>
  <c r="L81" i="18"/>
  <c r="I211" i="18"/>
  <c r="I28" i="18"/>
  <c r="H30" i="18"/>
  <c r="I133" i="18"/>
  <c r="L86" i="18"/>
  <c r="L39" i="18"/>
  <c r="L146" i="18"/>
  <c r="H27" i="18"/>
  <c r="L148" i="18"/>
  <c r="I55" i="18"/>
  <c r="H107" i="18"/>
  <c r="H17" i="18"/>
  <c r="I164" i="18"/>
  <c r="H141" i="18"/>
  <c r="L167" i="18"/>
  <c r="H61" i="18"/>
  <c r="I32" i="18"/>
  <c r="L72" i="18"/>
  <c r="I134" i="18"/>
  <c r="I171" i="18"/>
  <c r="L177" i="18"/>
  <c r="H69" i="18"/>
  <c r="H125" i="18"/>
  <c r="H128" i="18"/>
  <c r="H14" i="18"/>
  <c r="L76" i="18"/>
  <c r="I92" i="18"/>
  <c r="I29" i="18"/>
  <c r="L95" i="18"/>
  <c r="H210" i="18"/>
  <c r="H147" i="18"/>
  <c r="L25" i="18"/>
  <c r="L202" i="18"/>
  <c r="I220" i="18"/>
  <c r="I27" i="18"/>
  <c r="H39" i="18"/>
  <c r="L44" i="18"/>
  <c r="I218" i="18"/>
  <c r="H137" i="18"/>
  <c r="H50" i="18"/>
  <c r="H140" i="18"/>
  <c r="I51" i="18"/>
  <c r="H169" i="18"/>
  <c r="I26" i="18"/>
  <c r="I72" i="18"/>
  <c r="L12" i="18"/>
  <c r="L41" i="18"/>
  <c r="I204" i="18"/>
  <c r="I160" i="18"/>
  <c r="I95" i="18"/>
  <c r="H121" i="18"/>
  <c r="L96" i="18"/>
  <c r="I102" i="18"/>
  <c r="L139" i="18"/>
  <c r="I53" i="18"/>
  <c r="I209" i="18"/>
  <c r="H47" i="18"/>
  <c r="H62" i="18"/>
  <c r="I210" i="18"/>
  <c r="H195" i="18"/>
  <c r="H33" i="18"/>
  <c r="L60" i="18"/>
  <c r="I116" i="18"/>
  <c r="L207" i="18"/>
  <c r="H104" i="18"/>
  <c r="I135" i="18"/>
  <c r="L102" i="18"/>
  <c r="I115" i="18"/>
  <c r="I139" i="18"/>
  <c r="H203" i="18"/>
  <c r="H53" i="18"/>
  <c r="H184" i="18"/>
  <c r="H100" i="18"/>
  <c r="I44" i="18"/>
  <c r="H41" i="18"/>
  <c r="L100" i="18"/>
  <c r="I15" i="18"/>
  <c r="I172" i="18"/>
  <c r="L121" i="18"/>
  <c r="H72" i="18"/>
  <c r="L42" i="18"/>
  <c r="I130" i="18"/>
  <c r="L205" i="18"/>
  <c r="H108" i="18"/>
  <c r="I165" i="18"/>
  <c r="L134" i="18"/>
  <c r="L103" i="18"/>
  <c r="I18" i="18"/>
  <c r="L151" i="18"/>
  <c r="I22" i="18"/>
  <c r="L140" i="18"/>
  <c r="H209" i="18"/>
  <c r="L10" i="18"/>
  <c r="I35" i="18"/>
  <c r="I118" i="18"/>
  <c r="L119" i="18"/>
  <c r="L82" i="18"/>
  <c r="H11" i="18"/>
  <c r="H126" i="18"/>
  <c r="L69" i="18"/>
  <c r="I203" i="18"/>
  <c r="B3" i="12" l="1"/>
  <c r="B2" i="12" l="1"/>
  <c r="F18" i="12" l="1"/>
  <c r="J18" i="12"/>
  <c r="N18" i="12"/>
  <c r="R18" i="12"/>
  <c r="V18" i="12"/>
  <c r="Z18" i="12"/>
  <c r="AD18" i="12"/>
  <c r="AH18" i="12"/>
  <c r="AL18" i="12"/>
  <c r="AP18" i="12"/>
  <c r="F17" i="12"/>
  <c r="X17" i="12"/>
  <c r="AR17" i="12"/>
  <c r="C18" i="12"/>
  <c r="G18" i="12"/>
  <c r="K18" i="12"/>
  <c r="O18" i="12"/>
  <c r="S18" i="12"/>
  <c r="W18" i="12"/>
  <c r="AA18" i="12"/>
  <c r="AE18" i="12"/>
  <c r="AI18" i="12"/>
  <c r="AM18" i="12"/>
  <c r="AQ18" i="12"/>
  <c r="B18" i="12"/>
  <c r="G17" i="12"/>
  <c r="L17" i="12"/>
  <c r="AC17" i="12"/>
  <c r="AK17" i="12"/>
  <c r="AT17" i="12"/>
  <c r="D18" i="12"/>
  <c r="H18" i="12"/>
  <c r="L18" i="12"/>
  <c r="P18" i="12"/>
  <c r="T18" i="12"/>
  <c r="X18" i="12"/>
  <c r="AB18" i="12"/>
  <c r="AF18" i="12"/>
  <c r="AJ18" i="12"/>
  <c r="AN18" i="12"/>
  <c r="AR18" i="12"/>
  <c r="C17" i="12"/>
  <c r="H17" i="12"/>
  <c r="S17" i="12"/>
  <c r="AG17" i="12"/>
  <c r="AL17" i="12"/>
  <c r="E18" i="12"/>
  <c r="I18" i="12"/>
  <c r="M18" i="12"/>
  <c r="Q18" i="12"/>
  <c r="U18" i="12"/>
  <c r="Y18" i="12"/>
  <c r="AC18" i="12"/>
  <c r="AG18" i="12"/>
  <c r="AK18" i="12"/>
  <c r="AO18" i="12"/>
  <c r="AS18" i="12"/>
  <c r="D17" i="12"/>
  <c r="I17" i="12"/>
  <c r="V17" i="12"/>
  <c r="AH17" i="12"/>
  <c r="AM17" i="12"/>
  <c r="AT18" i="12"/>
  <c r="K17" i="12"/>
  <c r="AJ17" i="12"/>
  <c r="B17" i="12"/>
  <c r="C14" i="12"/>
  <c r="G14" i="12"/>
  <c r="K14" i="12"/>
  <c r="O14" i="12"/>
  <c r="S14" i="12"/>
  <c r="W14" i="12"/>
  <c r="AA14" i="12"/>
  <c r="AE14" i="12"/>
  <c r="AI14" i="12"/>
  <c r="AM14" i="12"/>
  <c r="AQ14" i="12"/>
  <c r="B14" i="12"/>
  <c r="Q9" i="12"/>
  <c r="V9" i="12"/>
  <c r="AJ9" i="12"/>
  <c r="F6" i="12"/>
  <c r="K6" i="12"/>
  <c r="X6" i="12"/>
  <c r="AJ6" i="12"/>
  <c r="AR6" i="12"/>
  <c r="I14" i="12"/>
  <c r="J14" i="12"/>
  <c r="D14" i="12"/>
  <c r="H14" i="12"/>
  <c r="L14" i="12"/>
  <c r="P14" i="12"/>
  <c r="T14" i="12"/>
  <c r="X14" i="12"/>
  <c r="AB14" i="12"/>
  <c r="AF14" i="12"/>
  <c r="AJ14" i="12"/>
  <c r="AN14" i="12"/>
  <c r="AR14" i="12"/>
  <c r="E9" i="12"/>
  <c r="R9" i="12"/>
  <c r="W9" i="12"/>
  <c r="AT9" i="12"/>
  <c r="G6" i="12"/>
  <c r="L6" i="12"/>
  <c r="AC6" i="12"/>
  <c r="AK6" i="12"/>
  <c r="AT6" i="12"/>
  <c r="E14" i="12"/>
  <c r="M14" i="12"/>
  <c r="Q14" i="12"/>
  <c r="U14" i="12"/>
  <c r="Y14" i="12"/>
  <c r="AC14" i="12"/>
  <c r="AG14" i="12"/>
  <c r="AK14" i="12"/>
  <c r="AO14" i="12"/>
  <c r="AS14" i="12"/>
  <c r="O9" i="12"/>
  <c r="T9" i="12"/>
  <c r="AD9" i="12"/>
  <c r="C6" i="12"/>
  <c r="H6" i="12"/>
  <c r="S6" i="12"/>
  <c r="AG6" i="12"/>
  <c r="AL6" i="12"/>
  <c r="B6" i="12"/>
  <c r="F14" i="12"/>
  <c r="N14" i="12"/>
  <c r="R14" i="12"/>
  <c r="V14" i="12"/>
  <c r="Z14" i="12"/>
  <c r="AD14" i="12"/>
  <c r="AH14" i="12"/>
  <c r="AL14" i="12"/>
  <c r="AP14" i="12"/>
  <c r="AT14" i="12"/>
  <c r="P9" i="12"/>
  <c r="U9" i="12"/>
  <c r="AF9" i="12"/>
  <c r="D6" i="12"/>
  <c r="I6" i="12"/>
  <c r="V6" i="12"/>
  <c r="AH6" i="12"/>
  <c r="AM6" i="12"/>
  <c r="AE17" i="12"/>
  <c r="W17" i="12"/>
  <c r="J17" i="12"/>
  <c r="AF6" i="12"/>
  <c r="P17" i="12"/>
  <c r="AI17" i="12"/>
  <c r="AI6" i="12"/>
  <c r="AQ17" i="12"/>
  <c r="AP6" i="12"/>
  <c r="J6" i="12"/>
  <c r="AD17" i="12"/>
  <c r="AS6" i="12"/>
  <c r="Q6" i="12"/>
  <c r="AG9" i="12"/>
  <c r="K9" i="12"/>
  <c r="Y9" i="12"/>
  <c r="AE9" i="12"/>
  <c r="H9" i="12"/>
  <c r="AC9" i="12"/>
  <c r="AI9" i="12"/>
  <c r="AH9" i="12"/>
  <c r="AS17" i="12"/>
  <c r="AA17" i="12"/>
  <c r="X9" i="12"/>
  <c r="S9" i="12"/>
  <c r="Q17" i="12"/>
  <c r="M17" i="12"/>
  <c r="T6" i="12"/>
  <c r="AB6" i="12"/>
  <c r="Y17" i="12"/>
  <c r="AF17" i="12"/>
  <c r="AE6" i="12"/>
  <c r="O17" i="12"/>
  <c r="Z6" i="12"/>
  <c r="E17" i="12"/>
  <c r="AO6" i="12"/>
  <c r="M6" i="12"/>
  <c r="J9" i="12"/>
  <c r="AA9" i="12"/>
  <c r="I9" i="12"/>
  <c r="AP9" i="12"/>
  <c r="AQ9" i="12"/>
  <c r="AB9" i="12"/>
  <c r="AO9" i="12"/>
  <c r="G9" i="12"/>
  <c r="N17" i="12"/>
  <c r="P6" i="12"/>
  <c r="N6" i="12"/>
  <c r="D9" i="12"/>
  <c r="AM9" i="12"/>
  <c r="AL9" i="12"/>
  <c r="Z17" i="12"/>
  <c r="AP17" i="12"/>
  <c r="O6" i="12"/>
  <c r="AA6" i="12"/>
  <c r="R17" i="12"/>
  <c r="AN6" i="12"/>
  <c r="AB17" i="12"/>
  <c r="W6" i="12"/>
  <c r="AN17" i="12"/>
  <c r="R6" i="12"/>
  <c r="U17" i="12"/>
  <c r="Y6" i="12"/>
  <c r="E6" i="12"/>
  <c r="N9" i="12"/>
  <c r="L9" i="12"/>
  <c r="M9" i="12"/>
  <c r="C9" i="12"/>
  <c r="B9" i="12"/>
  <c r="AR9" i="12"/>
  <c r="AN9" i="12"/>
  <c r="AO17" i="12"/>
  <c r="F9" i="12"/>
  <c r="AD6" i="12"/>
  <c r="AQ6" i="12"/>
  <c r="T17" i="12"/>
  <c r="U6" i="12"/>
  <c r="AK9" i="12"/>
  <c r="Z9" i="12"/>
  <c r="AS9" i="12"/>
  <c r="C3" i="12"/>
  <c r="B5" i="12" l="1"/>
  <c r="K13" i="12"/>
  <c r="V13" i="12"/>
  <c r="W13" i="12"/>
  <c r="J13" i="12"/>
  <c r="I13" i="12"/>
  <c r="L13" i="12"/>
  <c r="E13" i="12"/>
  <c r="T13" i="12"/>
  <c r="AA13" i="12"/>
  <c r="AF13" i="12"/>
  <c r="Y13" i="12"/>
  <c r="O13" i="12"/>
  <c r="Q13" i="12"/>
  <c r="X13" i="12"/>
  <c r="P13" i="12"/>
  <c r="AJ13" i="12"/>
  <c r="U13" i="12"/>
  <c r="N13" i="12"/>
  <c r="Z13" i="12"/>
  <c r="AD13" i="12"/>
  <c r="R13" i="12"/>
  <c r="M13" i="12"/>
  <c r="CP65" i="1"/>
  <c r="CQ65" i="1"/>
  <c r="CT65" i="1"/>
  <c r="DB65" i="1" s="1"/>
  <c r="CV65" i="1"/>
  <c r="DD65" i="1" s="1"/>
  <c r="CX65" i="1"/>
  <c r="DF65" i="1" s="1"/>
  <c r="CZ65" i="1"/>
  <c r="DH65" i="1" s="1"/>
  <c r="DK65" i="1"/>
  <c r="CP64" i="1"/>
  <c r="CT64" i="1"/>
  <c r="DB64" i="1" s="1"/>
  <c r="CV64" i="1"/>
  <c r="DD64" i="1" s="1"/>
  <c r="CX64" i="1"/>
  <c r="DF64" i="1" s="1"/>
  <c r="CZ64" i="1"/>
  <c r="DH64" i="1" s="1"/>
  <c r="DK64" i="1"/>
  <c r="DJ65" i="1" l="1"/>
  <c r="DL65" i="1" s="1"/>
  <c r="CQ64" i="1"/>
  <c r="DJ64" i="1"/>
  <c r="DL64" i="1" s="1"/>
  <c r="CP63" i="1" l="1"/>
  <c r="CQ63" i="1"/>
  <c r="CT63" i="1"/>
  <c r="DB63" i="1" s="1"/>
  <c r="CV63" i="1"/>
  <c r="DD63" i="1" s="1"/>
  <c r="CX63" i="1"/>
  <c r="DF63" i="1" s="1"/>
  <c r="CZ63" i="1"/>
  <c r="DH63" i="1" s="1"/>
  <c r="DK63" i="1"/>
  <c r="DJ63" i="1" l="1"/>
  <c r="DL63" i="1" s="1"/>
  <c r="CQ62" i="1"/>
  <c r="CT62" i="1"/>
  <c r="DB62" i="1" s="1"/>
  <c r="CV62" i="1"/>
  <c r="DD62" i="1" s="1"/>
  <c r="CX62" i="1"/>
  <c r="DF62" i="1" s="1"/>
  <c r="DK62" i="1"/>
  <c r="CP61" i="1" l="1"/>
  <c r="CQ61" i="1"/>
  <c r="CT61" i="1"/>
  <c r="DB61" i="1" s="1"/>
  <c r="CV61" i="1"/>
  <c r="DD61" i="1" s="1"/>
  <c r="CX61" i="1"/>
  <c r="DF61" i="1" s="1"/>
  <c r="CZ61" i="1"/>
  <c r="DH61" i="1" s="1"/>
  <c r="DK61" i="1"/>
  <c r="DJ61" i="1" l="1"/>
  <c r="DL61" i="1" s="1"/>
  <c r="CP60" i="1"/>
  <c r="CQ60" i="1"/>
  <c r="CT60" i="1"/>
  <c r="DB60" i="1" s="1"/>
  <c r="CV60" i="1"/>
  <c r="DD60" i="1" s="1"/>
  <c r="CX60" i="1"/>
  <c r="DF60" i="1" s="1"/>
  <c r="CZ60" i="1"/>
  <c r="DH60" i="1" s="1"/>
  <c r="DK60" i="1"/>
  <c r="DJ60" i="1" l="1"/>
  <c r="DL60" i="1" s="1"/>
  <c r="CP59" i="1"/>
  <c r="CQ59" i="1"/>
  <c r="CT59" i="1"/>
  <c r="DB59" i="1" s="1"/>
  <c r="CV59" i="1"/>
  <c r="DD59" i="1" s="1"/>
  <c r="CX59" i="1"/>
  <c r="DF59" i="1" s="1"/>
  <c r="CZ59" i="1"/>
  <c r="DH59" i="1" s="1"/>
  <c r="DK59" i="1"/>
  <c r="DJ59" i="1" l="1"/>
  <c r="DL59" i="1" s="1"/>
  <c r="CP58" i="1"/>
  <c r="CQ58" i="1"/>
  <c r="CT58" i="1"/>
  <c r="DB58" i="1" s="1"/>
  <c r="CV58" i="1"/>
  <c r="DD58" i="1" s="1"/>
  <c r="CX58" i="1"/>
  <c r="DF58" i="1" s="1"/>
  <c r="CZ58" i="1"/>
  <c r="DH58" i="1" s="1"/>
  <c r="DK58" i="1"/>
  <c r="DJ58" i="1" l="1"/>
  <c r="DL58" i="1" s="1"/>
  <c r="CP57" i="1" l="1"/>
  <c r="CQ57" i="1"/>
  <c r="CT57" i="1"/>
  <c r="DB57" i="1" s="1"/>
  <c r="CV57" i="1"/>
  <c r="DD57" i="1" s="1"/>
  <c r="CX57" i="1"/>
  <c r="DF57" i="1" s="1"/>
  <c r="CZ57" i="1"/>
  <c r="DH57" i="1" s="1"/>
  <c r="DK57" i="1"/>
  <c r="DJ57" i="1" l="1"/>
  <c r="DL57" i="1" s="1"/>
  <c r="CQ56" i="1" l="1"/>
  <c r="CP56" i="1"/>
  <c r="CT56" i="1"/>
  <c r="DB56" i="1" s="1"/>
  <c r="CV56" i="1"/>
  <c r="DD56" i="1" s="1"/>
  <c r="CX56" i="1"/>
  <c r="DF56" i="1" s="1"/>
  <c r="CZ56" i="1"/>
  <c r="DH56" i="1" s="1"/>
  <c r="DK56" i="1"/>
  <c r="DJ56" i="1" l="1"/>
  <c r="DL56" i="1" s="1"/>
  <c r="AV53" i="16" l="1"/>
  <c r="AU53" i="16"/>
  <c r="AT53" i="16"/>
  <c r="AS53" i="16"/>
  <c r="AR53" i="16"/>
  <c r="AQ53" i="16"/>
  <c r="AP53" i="16"/>
  <c r="AO53" i="16"/>
  <c r="AN53" i="16"/>
  <c r="AM53" i="16"/>
  <c r="AL53" i="16"/>
  <c r="AK53" i="16"/>
  <c r="AJ53" i="16"/>
  <c r="AI53" i="16"/>
  <c r="AH53" i="16"/>
  <c r="AG53" i="16"/>
  <c r="AF53" i="16"/>
  <c r="AE53" i="16"/>
  <c r="AD53" i="16"/>
  <c r="AC53" i="16"/>
  <c r="AB53" i="16"/>
  <c r="AA53" i="16"/>
  <c r="Z53" i="16"/>
  <c r="Y53" i="16"/>
  <c r="X53" i="16"/>
  <c r="W53" i="16"/>
  <c r="V53" i="16"/>
  <c r="U53" i="16"/>
  <c r="T53" i="16"/>
  <c r="S53" i="16"/>
  <c r="R53" i="16"/>
  <c r="Q53" i="16"/>
  <c r="P53" i="16"/>
  <c r="O53" i="16"/>
  <c r="N53" i="16"/>
  <c r="M53" i="16"/>
  <c r="L53" i="16"/>
  <c r="K53" i="16"/>
  <c r="J53" i="16"/>
  <c r="I53" i="16"/>
  <c r="H53" i="16"/>
  <c r="G53" i="16"/>
  <c r="F53" i="16"/>
  <c r="E53" i="16"/>
  <c r="AW53" i="16" s="1"/>
  <c r="CP55" i="1"/>
  <c r="CQ55" i="1"/>
  <c r="CT55" i="1"/>
  <c r="DB55" i="1" s="1"/>
  <c r="CV55" i="1"/>
  <c r="DD55" i="1" s="1"/>
  <c r="CX55" i="1"/>
  <c r="DF55" i="1" s="1"/>
  <c r="CZ55" i="1"/>
  <c r="DH55" i="1" s="1"/>
  <c r="DK55" i="1"/>
  <c r="DJ55" i="1" l="1"/>
  <c r="DL55" i="1" s="1"/>
  <c r="CP54" i="1" l="1"/>
  <c r="CQ54" i="1"/>
  <c r="CT54" i="1"/>
  <c r="DB54" i="1" s="1"/>
  <c r="CV54" i="1"/>
  <c r="DD54" i="1" s="1"/>
  <c r="CX54" i="1"/>
  <c r="DF54" i="1" s="1"/>
  <c r="CZ54" i="1"/>
  <c r="DH54" i="1" s="1"/>
  <c r="DK54" i="1"/>
  <c r="DJ54" i="1" l="1"/>
  <c r="DL54" i="1" s="1"/>
  <c r="CP53" i="1" l="1"/>
  <c r="CQ53" i="1"/>
  <c r="CT53" i="1"/>
  <c r="DB53" i="1" s="1"/>
  <c r="CV53" i="1"/>
  <c r="DD53" i="1" s="1"/>
  <c r="CX53" i="1"/>
  <c r="DF53" i="1" s="1"/>
  <c r="CZ53" i="1"/>
  <c r="DH53" i="1" s="1"/>
  <c r="DK53" i="1"/>
  <c r="DJ53" i="1" l="1"/>
  <c r="DL53" i="1" s="1"/>
  <c r="CP52" i="1" l="1"/>
  <c r="CQ52" i="1"/>
  <c r="CT52" i="1"/>
  <c r="DB52" i="1" s="1"/>
  <c r="CV52" i="1"/>
  <c r="DD52" i="1" s="1"/>
  <c r="CX52" i="1"/>
  <c r="DF52" i="1" s="1"/>
  <c r="CZ52" i="1"/>
  <c r="DH52" i="1" s="1"/>
  <c r="DK52" i="1"/>
  <c r="DJ52" i="1" l="1"/>
  <c r="DL52" i="1" s="1"/>
  <c r="CP51" i="1" l="1"/>
  <c r="CQ51" i="1"/>
  <c r="CT51" i="1"/>
  <c r="DB51" i="1" s="1"/>
  <c r="CV51" i="1"/>
  <c r="DD51" i="1" s="1"/>
  <c r="CX51" i="1"/>
  <c r="DF51" i="1" s="1"/>
  <c r="CZ51" i="1"/>
  <c r="DH51" i="1" s="1"/>
  <c r="DK51" i="1"/>
  <c r="B7" i="12" l="1"/>
  <c r="DJ51" i="1"/>
  <c r="DL51" i="1" s="1"/>
  <c r="CP50" i="1" l="1"/>
  <c r="CQ50" i="1"/>
  <c r="CT50" i="1"/>
  <c r="DB50" i="1" s="1"/>
  <c r="CV50" i="1"/>
  <c r="DD50" i="1" s="1"/>
  <c r="CX50" i="1"/>
  <c r="DF50" i="1" s="1"/>
  <c r="CZ50" i="1"/>
  <c r="DH50" i="1" s="1"/>
  <c r="DK50" i="1"/>
  <c r="AC13" i="12" l="1"/>
  <c r="S13" i="12"/>
  <c r="C13" i="12"/>
  <c r="AR13" i="12"/>
  <c r="AE13" i="12"/>
  <c r="AS13" i="12"/>
  <c r="D13" i="12"/>
  <c r="AQ13" i="12"/>
  <c r="AO13" i="12"/>
  <c r="H13" i="12"/>
  <c r="AB13" i="12"/>
  <c r="AP13" i="12"/>
  <c r="AI13" i="12"/>
  <c r="AL13" i="12"/>
  <c r="F13" i="12"/>
  <c r="AH13" i="12"/>
  <c r="AN13" i="12"/>
  <c r="AG13" i="12"/>
  <c r="AM13" i="12"/>
  <c r="G13" i="12"/>
  <c r="AK13" i="12"/>
  <c r="DJ50" i="1"/>
  <c r="DL50" i="1" s="1"/>
  <c r="CP49" i="1" l="1"/>
  <c r="CQ49" i="1"/>
  <c r="CT49" i="1"/>
  <c r="DB49" i="1" s="1"/>
  <c r="CV49" i="1"/>
  <c r="DD49" i="1" s="1"/>
  <c r="CX49" i="1"/>
  <c r="DF49" i="1" s="1"/>
  <c r="CZ49" i="1"/>
  <c r="DH49" i="1" s="1"/>
  <c r="DK49" i="1"/>
  <c r="DJ49" i="1" l="1"/>
  <c r="DL49" i="1" s="1"/>
  <c r="CP48" i="1" l="1"/>
  <c r="CQ48" i="1"/>
  <c r="CT48" i="1"/>
  <c r="DB48" i="1" s="1"/>
  <c r="CV48" i="1"/>
  <c r="DD48" i="1" s="1"/>
  <c r="CX48" i="1"/>
  <c r="DF48" i="1" s="1"/>
  <c r="CZ48" i="1"/>
  <c r="DH48" i="1" s="1"/>
  <c r="DK48" i="1"/>
  <c r="DJ48" i="1" l="1"/>
  <c r="DL48" i="1" s="1"/>
  <c r="CP47" i="1" l="1"/>
  <c r="CQ47" i="1"/>
  <c r="CT47" i="1"/>
  <c r="DB47" i="1" s="1"/>
  <c r="CV47" i="1"/>
  <c r="DD47" i="1" s="1"/>
  <c r="CX47" i="1"/>
  <c r="DF47" i="1" s="1"/>
  <c r="CZ47" i="1"/>
  <c r="DH47" i="1" s="1"/>
  <c r="DK47" i="1"/>
  <c r="DJ47" i="1" l="1"/>
  <c r="DL47" i="1" s="1"/>
  <c r="CP46" i="1" l="1"/>
  <c r="CQ46" i="1"/>
  <c r="CT46" i="1"/>
  <c r="DB46" i="1" s="1"/>
  <c r="CV46" i="1"/>
  <c r="DD46" i="1" s="1"/>
  <c r="CX46" i="1"/>
  <c r="DF46" i="1" s="1"/>
  <c r="CZ46" i="1"/>
  <c r="DH46" i="1" s="1"/>
  <c r="DK46" i="1"/>
  <c r="DJ46" i="1" l="1"/>
  <c r="DL46" i="1" s="1"/>
  <c r="CP45" i="1" l="1"/>
  <c r="CQ45" i="1"/>
  <c r="CT45" i="1"/>
  <c r="DB45" i="1" s="1"/>
  <c r="CV45" i="1"/>
  <c r="DD45" i="1" s="1"/>
  <c r="CX45" i="1"/>
  <c r="DF45" i="1" s="1"/>
  <c r="CZ45" i="1"/>
  <c r="DH45" i="1" s="1"/>
  <c r="DK45" i="1"/>
  <c r="DJ45" i="1" l="1"/>
  <c r="DL45" i="1" s="1"/>
  <c r="CP44" i="1" l="1"/>
  <c r="CQ44" i="1"/>
  <c r="CT44" i="1"/>
  <c r="DB44" i="1" s="1"/>
  <c r="CV44" i="1"/>
  <c r="DD44" i="1" s="1"/>
  <c r="CX44" i="1"/>
  <c r="DF44" i="1" s="1"/>
  <c r="CZ44" i="1"/>
  <c r="DH44" i="1" s="1"/>
  <c r="DK44" i="1"/>
  <c r="DJ44" i="1" l="1"/>
  <c r="DL44" i="1" s="1"/>
  <c r="C3" i="16" l="1"/>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262" i="16"/>
  <c r="C263" i="16"/>
  <c r="C264" i="16"/>
  <c r="C265" i="16"/>
  <c r="C266" i="16"/>
  <c r="C267" i="16"/>
  <c r="C268" i="16"/>
  <c r="C269" i="16"/>
  <c r="C270" i="16"/>
  <c r="C271" i="16"/>
  <c r="C272" i="16"/>
  <c r="C273" i="16"/>
  <c r="C274" i="16"/>
  <c r="C275" i="16"/>
  <c r="C276" i="16"/>
  <c r="C277" i="16"/>
  <c r="C278" i="16"/>
  <c r="C279" i="16"/>
  <c r="C280" i="16"/>
  <c r="C281" i="16"/>
  <c r="C282" i="16"/>
  <c r="C283" i="16"/>
  <c r="C284" i="16"/>
  <c r="C285" i="16"/>
  <c r="C286" i="16"/>
  <c r="C287" i="16"/>
  <c r="C288" i="16"/>
  <c r="C289" i="16"/>
  <c r="C290" i="16"/>
  <c r="C291" i="16"/>
  <c r="C292" i="16"/>
  <c r="C293" i="16"/>
  <c r="C294" i="16"/>
  <c r="C295" i="16"/>
  <c r="C296" i="16"/>
  <c r="C297" i="16"/>
  <c r="C298" i="16"/>
  <c r="C299" i="16"/>
  <c r="C300" i="16"/>
  <c r="C301" i="16"/>
  <c r="C302" i="16"/>
  <c r="C303" i="16"/>
  <c r="C304" i="16"/>
  <c r="C305" i="16"/>
  <c r="C306" i="16"/>
  <c r="C307" i="16"/>
  <c r="C308" i="16"/>
  <c r="C309" i="16"/>
  <c r="C310" i="16"/>
  <c r="C311" i="16"/>
  <c r="C312" i="16"/>
  <c r="C313" i="16"/>
  <c r="C314" i="16"/>
  <c r="C315" i="16"/>
  <c r="C316" i="16"/>
  <c r="C317" i="16"/>
  <c r="C318" i="16"/>
  <c r="C319" i="16"/>
  <c r="C320" i="16"/>
  <c r="C321" i="16"/>
  <c r="C322" i="16"/>
  <c r="C323" i="16"/>
  <c r="C324" i="16"/>
  <c r="C325" i="16"/>
  <c r="C326" i="16"/>
  <c r="C327" i="16"/>
  <c r="C328" i="16"/>
  <c r="C329" i="16"/>
  <c r="C330" i="16"/>
  <c r="C331" i="16"/>
  <c r="C332" i="16"/>
  <c r="C333" i="16"/>
  <c r="C334" i="16"/>
  <c r="C335" i="16"/>
  <c r="C336" i="16"/>
  <c r="C337" i="16"/>
  <c r="C338" i="16"/>
  <c r="C339" i="16"/>
  <c r="C340" i="16"/>
  <c r="C341" i="16"/>
  <c r="C342" i="16"/>
  <c r="C343" i="16"/>
  <c r="C344" i="16"/>
  <c r="C345" i="16"/>
  <c r="C346" i="16"/>
  <c r="C347" i="16"/>
  <c r="C348" i="16"/>
  <c r="C349" i="16"/>
  <c r="C350" i="16"/>
  <c r="C351" i="16"/>
  <c r="C352" i="16"/>
  <c r="C353" i="16"/>
  <c r="C354" i="16"/>
  <c r="C355" i="16"/>
  <c r="C356" i="16"/>
  <c r="C357" i="16"/>
  <c r="C358" i="16"/>
  <c r="C359" i="16"/>
  <c r="C360" i="16"/>
  <c r="C361" i="16"/>
  <c r="C362" i="16"/>
  <c r="C363" i="16"/>
  <c r="C364" i="16"/>
  <c r="C365" i="16"/>
  <c r="C366" i="16"/>
  <c r="C367" i="16"/>
  <c r="C368" i="16"/>
  <c r="C369" i="16"/>
  <c r="C370"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B177" i="16"/>
  <c r="B178" i="16"/>
  <c r="B179" i="16"/>
  <c r="B180" i="16"/>
  <c r="B181" i="16"/>
  <c r="B182" i="16"/>
  <c r="B183" i="16"/>
  <c r="B184" i="16"/>
  <c r="B185" i="16"/>
  <c r="B186" i="16"/>
  <c r="B187" i="16"/>
  <c r="B188" i="16"/>
  <c r="B189" i="16"/>
  <c r="B190" i="16"/>
  <c r="B191" i="16"/>
  <c r="B192" i="16"/>
  <c r="B193" i="16"/>
  <c r="B194" i="16"/>
  <c r="B195" i="16"/>
  <c r="B196" i="16"/>
  <c r="B197" i="16"/>
  <c r="B198" i="16"/>
  <c r="B199" i="16"/>
  <c r="B200" i="16"/>
  <c r="B201" i="16"/>
  <c r="B202" i="16"/>
  <c r="B203" i="16"/>
  <c r="B204" i="16"/>
  <c r="B205" i="16"/>
  <c r="B206" i="16"/>
  <c r="B207" i="16"/>
  <c r="B208" i="16"/>
  <c r="B209" i="16"/>
  <c r="B210" i="16"/>
  <c r="B211" i="16"/>
  <c r="B212" i="16"/>
  <c r="B213" i="16"/>
  <c r="B214" i="16"/>
  <c r="B215" i="16"/>
  <c r="B216" i="16"/>
  <c r="B217" i="16"/>
  <c r="B218" i="16"/>
  <c r="B219" i="16"/>
  <c r="B220" i="16"/>
  <c r="B221" i="16"/>
  <c r="B222" i="16"/>
  <c r="B223" i="16"/>
  <c r="B224" i="16"/>
  <c r="B225" i="16"/>
  <c r="B226" i="16"/>
  <c r="B227" i="16"/>
  <c r="B228" i="16"/>
  <c r="B229" i="16"/>
  <c r="B230" i="16"/>
  <c r="B231" i="16"/>
  <c r="B232" i="16"/>
  <c r="B233" i="16"/>
  <c r="B234" i="16"/>
  <c r="B235" i="16"/>
  <c r="B236" i="16"/>
  <c r="B237" i="16"/>
  <c r="B238" i="16"/>
  <c r="B239" i="16"/>
  <c r="B240" i="16"/>
  <c r="B241" i="16"/>
  <c r="B242" i="16"/>
  <c r="B243" i="16"/>
  <c r="B244" i="16"/>
  <c r="B245" i="16"/>
  <c r="B246" i="16"/>
  <c r="B247" i="16"/>
  <c r="B248" i="16"/>
  <c r="B249" i="16"/>
  <c r="B250" i="16"/>
  <c r="B251" i="16"/>
  <c r="B252" i="16"/>
  <c r="B253" i="16"/>
  <c r="B254" i="16"/>
  <c r="B255" i="16"/>
  <c r="B256" i="16"/>
  <c r="B257" i="16"/>
  <c r="B258" i="16"/>
  <c r="B259" i="16"/>
  <c r="B260" i="16"/>
  <c r="B261" i="16"/>
  <c r="B262" i="16"/>
  <c r="B263" i="16"/>
  <c r="B264" i="16"/>
  <c r="B265" i="16"/>
  <c r="B266" i="16"/>
  <c r="B267" i="16"/>
  <c r="B268" i="16"/>
  <c r="B269" i="16"/>
  <c r="B270" i="16"/>
  <c r="B271" i="16"/>
  <c r="B272" i="16"/>
  <c r="B273" i="16"/>
  <c r="B274" i="16"/>
  <c r="B275" i="16"/>
  <c r="B276" i="16"/>
  <c r="B277" i="16"/>
  <c r="B278" i="16"/>
  <c r="B279" i="16"/>
  <c r="B280" i="16"/>
  <c r="B281" i="16"/>
  <c r="B282" i="16"/>
  <c r="B283" i="16"/>
  <c r="B284" i="16"/>
  <c r="B285" i="16"/>
  <c r="B286" i="16"/>
  <c r="B287" i="16"/>
  <c r="B288" i="16"/>
  <c r="B289" i="16"/>
  <c r="B290" i="16"/>
  <c r="B291" i="16"/>
  <c r="B292" i="16"/>
  <c r="B293" i="16"/>
  <c r="B294" i="16"/>
  <c r="B295" i="16"/>
  <c r="B296" i="16"/>
  <c r="B297" i="16"/>
  <c r="B298" i="16"/>
  <c r="B299" i="16"/>
  <c r="B300" i="16"/>
  <c r="B301" i="16"/>
  <c r="B302" i="16"/>
  <c r="B303" i="16"/>
  <c r="B304" i="16"/>
  <c r="B305" i="16"/>
  <c r="B306" i="16"/>
  <c r="B307" i="16"/>
  <c r="B308" i="16"/>
  <c r="B309" i="16"/>
  <c r="B310" i="16"/>
  <c r="B311" i="16"/>
  <c r="B312" i="16"/>
  <c r="B313" i="16"/>
  <c r="B314" i="16"/>
  <c r="B315" i="16"/>
  <c r="B316" i="16"/>
  <c r="B317" i="16"/>
  <c r="B318" i="16"/>
  <c r="B319" i="16"/>
  <c r="B320" i="16"/>
  <c r="B321" i="16"/>
  <c r="B322" i="16"/>
  <c r="B323" i="16"/>
  <c r="B324" i="16"/>
  <c r="B325" i="16"/>
  <c r="B326" i="16"/>
  <c r="B327" i="16"/>
  <c r="B328" i="16"/>
  <c r="B329" i="16"/>
  <c r="B330" i="16"/>
  <c r="B331" i="16"/>
  <c r="B332" i="16"/>
  <c r="B333" i="16"/>
  <c r="B334" i="16"/>
  <c r="B335" i="16"/>
  <c r="B336" i="16"/>
  <c r="B337" i="16"/>
  <c r="B338" i="16"/>
  <c r="B339" i="16"/>
  <c r="B340" i="16"/>
  <c r="B341" i="16"/>
  <c r="B342" i="16"/>
  <c r="B343" i="16"/>
  <c r="B344" i="16"/>
  <c r="B345" i="16"/>
  <c r="B346" i="16"/>
  <c r="B347" i="16"/>
  <c r="B348" i="16"/>
  <c r="B349" i="16"/>
  <c r="B350" i="16"/>
  <c r="B351" i="16"/>
  <c r="B352" i="16"/>
  <c r="B353" i="16"/>
  <c r="B354" i="16"/>
  <c r="B355" i="16"/>
  <c r="B356" i="16"/>
  <c r="B357" i="16"/>
  <c r="B358" i="16"/>
  <c r="B359" i="16"/>
  <c r="B360" i="16"/>
  <c r="B361" i="16"/>
  <c r="B362" i="16"/>
  <c r="B363" i="16"/>
  <c r="B364" i="16"/>
  <c r="B365" i="16"/>
  <c r="B366" i="16"/>
  <c r="B367" i="16"/>
  <c r="B368" i="16"/>
  <c r="B369" i="16"/>
  <c r="B370" i="16"/>
  <c r="CP43" i="1"/>
  <c r="CQ43" i="1"/>
  <c r="CT43" i="1"/>
  <c r="DB43" i="1" s="1"/>
  <c r="CV43" i="1"/>
  <c r="DD43" i="1" s="1"/>
  <c r="CX43" i="1"/>
  <c r="DF43" i="1" s="1"/>
  <c r="CZ43" i="1"/>
  <c r="DH43" i="1" s="1"/>
  <c r="DK43" i="1"/>
  <c r="DJ43" i="1" l="1"/>
  <c r="DL43" i="1" s="1"/>
  <c r="CP42" i="1" l="1"/>
  <c r="CQ42" i="1"/>
  <c r="CT42" i="1"/>
  <c r="DB42" i="1" s="1"/>
  <c r="CV42" i="1"/>
  <c r="DD42" i="1" s="1"/>
  <c r="CX42" i="1"/>
  <c r="DF42" i="1" s="1"/>
  <c r="CZ42" i="1"/>
  <c r="DH42" i="1" s="1"/>
  <c r="DK42" i="1"/>
  <c r="DJ42" i="1" l="1"/>
  <c r="DL42" i="1" s="1"/>
  <c r="J15" i="15" l="1"/>
  <c r="J27" i="15" s="1"/>
  <c r="J39" i="15" s="1"/>
  <c r="J16" i="15"/>
  <c r="J28" i="15" s="1"/>
  <c r="J40" i="15" s="1"/>
  <c r="J17" i="15"/>
  <c r="J29" i="15" s="1"/>
  <c r="J41" i="15" s="1"/>
  <c r="J18" i="15"/>
  <c r="J30" i="15" s="1"/>
  <c r="J42" i="15" s="1"/>
  <c r="J19" i="15"/>
  <c r="J31" i="15" s="1"/>
  <c r="J43" i="15" s="1"/>
  <c r="J20" i="15"/>
  <c r="J32" i="15" s="1"/>
  <c r="J44" i="15" s="1"/>
  <c r="J21" i="15"/>
  <c r="J33" i="15" s="1"/>
  <c r="J45" i="15" s="1"/>
  <c r="J22" i="15"/>
  <c r="J34" i="15" s="1"/>
  <c r="J46" i="15" s="1"/>
  <c r="J23" i="15"/>
  <c r="J35" i="15" s="1"/>
  <c r="J47" i="15" s="1"/>
  <c r="J24" i="15"/>
  <c r="J36" i="15" s="1"/>
  <c r="J48" i="15" s="1"/>
  <c r="J25" i="15"/>
  <c r="J37" i="15" s="1"/>
  <c r="J49" i="15" s="1"/>
  <c r="J14" i="15"/>
  <c r="J26" i="15" s="1"/>
  <c r="J38" i="15" s="1"/>
  <c r="CP41" i="1" l="1"/>
  <c r="CQ41" i="1"/>
  <c r="CT41" i="1"/>
  <c r="DB41" i="1" s="1"/>
  <c r="CV41" i="1"/>
  <c r="DD41" i="1" s="1"/>
  <c r="CX41" i="1"/>
  <c r="DF41" i="1" s="1"/>
  <c r="CZ41" i="1"/>
  <c r="DH41" i="1" s="1"/>
  <c r="DK41" i="1"/>
  <c r="DJ41" i="1" l="1"/>
  <c r="DL41" i="1" s="1"/>
  <c r="CP40" i="1"/>
  <c r="CQ40" i="1"/>
  <c r="CT40" i="1"/>
  <c r="DB40" i="1" s="1"/>
  <c r="CV40" i="1"/>
  <c r="DD40" i="1" s="1"/>
  <c r="CX40" i="1"/>
  <c r="DF40" i="1" s="1"/>
  <c r="CZ40" i="1"/>
  <c r="DH40" i="1" s="1"/>
  <c r="DK40" i="1"/>
  <c r="DJ40" i="1" l="1"/>
  <c r="DL40" i="1" s="1"/>
  <c r="AE2" i="15" l="1"/>
  <c r="AE3" i="15"/>
  <c r="AE4" i="15"/>
  <c r="AE5" i="15"/>
  <c r="AE6" i="15"/>
  <c r="AE7" i="15"/>
  <c r="AE8" i="15"/>
  <c r="AE9" i="15"/>
  <c r="AE10" i="15"/>
  <c r="AE11" i="15"/>
  <c r="AE12" i="15"/>
  <c r="AE13" i="15"/>
  <c r="AE14" i="15"/>
  <c r="AE15" i="15"/>
  <c r="AE16" i="15"/>
  <c r="AE17" i="15"/>
  <c r="AE18" i="15"/>
  <c r="AE19" i="15"/>
  <c r="AE20" i="15"/>
  <c r="AE21" i="15"/>
  <c r="AE22" i="15"/>
  <c r="AE23" i="15"/>
  <c r="AE24" i="15"/>
  <c r="AE25" i="15"/>
  <c r="AE26" i="15"/>
  <c r="AE27" i="15"/>
  <c r="AE28" i="15"/>
  <c r="AE29" i="15"/>
  <c r="AE30" i="15"/>
  <c r="AE31" i="15"/>
  <c r="AE32" i="15"/>
  <c r="AE33" i="15"/>
  <c r="AE34" i="15"/>
  <c r="AE35" i="15"/>
  <c r="AE36" i="15"/>
  <c r="AE37" i="15"/>
  <c r="AE38" i="15"/>
  <c r="AE39" i="15"/>
  <c r="AE40" i="15"/>
  <c r="AE41" i="15"/>
  <c r="AE42" i="15"/>
  <c r="AE43" i="15"/>
  <c r="AE44" i="15"/>
  <c r="AE45" i="15"/>
  <c r="AE46" i="15"/>
  <c r="AE47" i="15"/>
  <c r="AE48" i="15"/>
  <c r="AE49" i="15"/>
  <c r="CP39" i="1" l="1"/>
  <c r="CQ39" i="1"/>
  <c r="CT39" i="1"/>
  <c r="DB39" i="1" s="1"/>
  <c r="CV39" i="1"/>
  <c r="DD39" i="1" s="1"/>
  <c r="CX39" i="1"/>
  <c r="DF39" i="1" s="1"/>
  <c r="CZ39" i="1"/>
  <c r="DH39" i="1" s="1"/>
  <c r="DK39" i="1"/>
  <c r="DJ39" i="1" l="1"/>
  <c r="DL39" i="1" s="1"/>
  <c r="CP38" i="1" l="1"/>
  <c r="CQ38" i="1"/>
  <c r="CT38" i="1"/>
  <c r="DB38" i="1" s="1"/>
  <c r="CV38" i="1"/>
  <c r="DD38" i="1" s="1"/>
  <c r="CX38" i="1"/>
  <c r="DF38" i="1" s="1"/>
  <c r="CZ38" i="1"/>
  <c r="DH38" i="1" s="1"/>
  <c r="DK38" i="1"/>
  <c r="DJ38" i="1" l="1"/>
  <c r="DL38" i="1" s="1"/>
  <c r="CP37" i="1" l="1"/>
  <c r="CQ37" i="1"/>
  <c r="CT37" i="1"/>
  <c r="DB37" i="1" s="1"/>
  <c r="CV37" i="1"/>
  <c r="DD37" i="1" s="1"/>
  <c r="CX37" i="1"/>
  <c r="DF37" i="1" s="1"/>
  <c r="CZ37" i="1"/>
  <c r="DH37" i="1" s="1"/>
  <c r="DK37" i="1"/>
  <c r="DJ37" i="1" l="1"/>
  <c r="DL37" i="1" s="1"/>
  <c r="CP36" i="1" l="1"/>
  <c r="CQ36" i="1"/>
  <c r="CT36" i="1"/>
  <c r="DB36" i="1" s="1"/>
  <c r="CV36" i="1"/>
  <c r="DD36" i="1" s="1"/>
  <c r="CX36" i="1"/>
  <c r="DF36" i="1" s="1"/>
  <c r="CZ36" i="1"/>
  <c r="DH36" i="1" s="1"/>
  <c r="DK36" i="1"/>
  <c r="DJ36" i="1" l="1"/>
  <c r="DL36" i="1" s="1"/>
  <c r="CP35" i="1" l="1"/>
  <c r="CQ35" i="1"/>
  <c r="CT35" i="1"/>
  <c r="DB35" i="1" s="1"/>
  <c r="CV35" i="1"/>
  <c r="DD35" i="1" s="1"/>
  <c r="CX35" i="1"/>
  <c r="DF35" i="1" s="1"/>
  <c r="CZ35" i="1"/>
  <c r="DH35" i="1" s="1"/>
  <c r="DK35" i="1"/>
  <c r="DJ35" i="1" l="1"/>
  <c r="DL35" i="1" s="1"/>
  <c r="CP34" i="1" l="1"/>
  <c r="CQ34" i="1"/>
  <c r="CT34" i="1"/>
  <c r="DB34" i="1" s="1"/>
  <c r="CV34" i="1"/>
  <c r="DD34" i="1" s="1"/>
  <c r="CX34" i="1"/>
  <c r="DF34" i="1" s="1"/>
  <c r="CZ34" i="1"/>
  <c r="DH34" i="1" s="1"/>
  <c r="DK34" i="1"/>
  <c r="DJ34" i="1" l="1"/>
  <c r="DL34" i="1" s="1"/>
  <c r="CP33" i="1" l="1"/>
  <c r="CQ33" i="1"/>
  <c r="CT33" i="1"/>
  <c r="DB33" i="1" s="1"/>
  <c r="CV33" i="1"/>
  <c r="DD33" i="1" s="1"/>
  <c r="CX33" i="1"/>
  <c r="DF33" i="1" s="1"/>
  <c r="CZ33" i="1"/>
  <c r="DH33" i="1" s="1"/>
  <c r="DK33" i="1"/>
  <c r="DJ33" i="1" l="1"/>
  <c r="DL33" i="1" s="1"/>
  <c r="CP32" i="1" l="1"/>
  <c r="CQ32" i="1"/>
  <c r="CT32" i="1"/>
  <c r="DB32" i="1" s="1"/>
  <c r="CV32" i="1"/>
  <c r="DD32" i="1" s="1"/>
  <c r="CX32" i="1"/>
  <c r="DF32" i="1" s="1"/>
  <c r="CZ32" i="1"/>
  <c r="DH32" i="1" s="1"/>
  <c r="DK32" i="1"/>
  <c r="DJ32" i="1" l="1"/>
  <c r="DL32" i="1" s="1"/>
  <c r="CP31" i="1" l="1"/>
  <c r="CQ31" i="1"/>
  <c r="CT31" i="1"/>
  <c r="DB31" i="1" s="1"/>
  <c r="CV31" i="1"/>
  <c r="DD31" i="1" s="1"/>
  <c r="CX31" i="1"/>
  <c r="DF31" i="1" s="1"/>
  <c r="CZ31" i="1"/>
  <c r="DH31" i="1" s="1"/>
  <c r="DK31" i="1"/>
  <c r="DJ31" i="1" l="1"/>
  <c r="DL31" i="1" s="1"/>
  <c r="CP30" i="1" l="1"/>
  <c r="CQ30" i="1"/>
  <c r="CT30" i="1"/>
  <c r="DB30" i="1" s="1"/>
  <c r="CV30" i="1"/>
  <c r="DD30" i="1" s="1"/>
  <c r="CX30" i="1"/>
  <c r="DF30" i="1" s="1"/>
  <c r="CZ30" i="1"/>
  <c r="DH30" i="1" s="1"/>
  <c r="DK30" i="1"/>
  <c r="DJ30" i="1" l="1"/>
  <c r="DL30" i="1" s="1"/>
  <c r="CP29" i="1" l="1"/>
  <c r="CQ29" i="1"/>
  <c r="CT29" i="1"/>
  <c r="DB29" i="1" s="1"/>
  <c r="CV29" i="1"/>
  <c r="DD29" i="1" s="1"/>
  <c r="CX29" i="1"/>
  <c r="DF29" i="1" s="1"/>
  <c r="CZ29" i="1"/>
  <c r="DH29" i="1" s="1"/>
  <c r="DK29" i="1"/>
  <c r="DJ29" i="1" l="1"/>
  <c r="DL29" i="1" s="1"/>
  <c r="CP28" i="1" l="1"/>
  <c r="CQ28" i="1"/>
  <c r="CT28" i="1"/>
  <c r="DB28" i="1" s="1"/>
  <c r="CV28" i="1"/>
  <c r="DD28" i="1" s="1"/>
  <c r="CX28" i="1"/>
  <c r="DF28" i="1" s="1"/>
  <c r="CZ28" i="1"/>
  <c r="DH28" i="1" s="1"/>
  <c r="DK28" i="1"/>
  <c r="CP27" i="1"/>
  <c r="CQ27" i="1"/>
  <c r="CT27" i="1"/>
  <c r="DB27" i="1" s="1"/>
  <c r="CV27" i="1"/>
  <c r="DD27" i="1" s="1"/>
  <c r="CX27" i="1"/>
  <c r="DF27" i="1" s="1"/>
  <c r="CZ27" i="1"/>
  <c r="DH27" i="1" s="1"/>
  <c r="DK27" i="1"/>
  <c r="DJ28" i="1" l="1"/>
  <c r="DL28" i="1" s="1"/>
  <c r="DJ27" i="1"/>
  <c r="DL27" i="1" s="1"/>
  <c r="CP26" i="1"/>
  <c r="CQ26" i="1"/>
  <c r="CT26" i="1"/>
  <c r="DB26" i="1" s="1"/>
  <c r="CV26" i="1"/>
  <c r="DD26" i="1" s="1"/>
  <c r="CX26" i="1"/>
  <c r="DF26" i="1" s="1"/>
  <c r="CZ26" i="1"/>
  <c r="DH26" i="1" s="1"/>
  <c r="DK26" i="1"/>
  <c r="DJ26" i="1" l="1"/>
  <c r="DL26" i="1" s="1"/>
  <c r="CP25" i="1"/>
  <c r="CQ25" i="1"/>
  <c r="CT25" i="1"/>
  <c r="DB25" i="1" s="1"/>
  <c r="CV25" i="1"/>
  <c r="DD25" i="1" s="1"/>
  <c r="CX25" i="1"/>
  <c r="DF25" i="1" s="1"/>
  <c r="CZ25" i="1"/>
  <c r="DH25" i="1" s="1"/>
  <c r="DK25" i="1"/>
  <c r="DJ25" i="1" l="1"/>
  <c r="DL25" i="1" s="1"/>
  <c r="CP24" i="1" l="1"/>
  <c r="CQ24" i="1"/>
  <c r="CT24" i="1"/>
  <c r="DB24" i="1" s="1"/>
  <c r="CV24" i="1"/>
  <c r="DD24" i="1" s="1"/>
  <c r="CX24" i="1"/>
  <c r="DF24" i="1" s="1"/>
  <c r="CZ24" i="1"/>
  <c r="DH24" i="1" s="1"/>
  <c r="DK24" i="1"/>
  <c r="DJ24" i="1" l="1"/>
  <c r="DL24" i="1" s="1"/>
  <c r="CP23" i="1" l="1"/>
  <c r="CQ23" i="1"/>
  <c r="CT23" i="1"/>
  <c r="DB23" i="1" s="1"/>
  <c r="CV23" i="1"/>
  <c r="DD23" i="1" s="1"/>
  <c r="CX23" i="1"/>
  <c r="DF23" i="1" s="1"/>
  <c r="CZ23" i="1"/>
  <c r="DH23" i="1" s="1"/>
  <c r="DK23" i="1"/>
  <c r="DJ23" i="1" l="1"/>
  <c r="DL23" i="1" s="1"/>
  <c r="CP22" i="1" l="1"/>
  <c r="CQ22" i="1"/>
  <c r="CT22" i="1"/>
  <c r="DB22" i="1" s="1"/>
  <c r="CV22" i="1"/>
  <c r="DD22" i="1" s="1"/>
  <c r="CX22" i="1"/>
  <c r="DF22" i="1" s="1"/>
  <c r="CZ22" i="1"/>
  <c r="DH22" i="1" s="1"/>
  <c r="DK22" i="1"/>
  <c r="DJ22" i="1" l="1"/>
  <c r="DL22" i="1" s="1"/>
  <c r="CP21" i="1"/>
  <c r="CQ21" i="1"/>
  <c r="CT21" i="1"/>
  <c r="DB21" i="1" s="1"/>
  <c r="CV21" i="1"/>
  <c r="DD21" i="1" s="1"/>
  <c r="CX21" i="1"/>
  <c r="DF21" i="1" s="1"/>
  <c r="CZ21" i="1"/>
  <c r="DH21" i="1" s="1"/>
  <c r="DK21" i="1"/>
  <c r="DJ21" i="1" l="1"/>
  <c r="DL21" i="1" s="1"/>
  <c r="CP20" i="1" l="1"/>
  <c r="CQ20" i="1"/>
  <c r="CT20" i="1"/>
  <c r="DB20" i="1" s="1"/>
  <c r="CV20" i="1"/>
  <c r="DD20" i="1" s="1"/>
  <c r="CX20" i="1"/>
  <c r="DF20" i="1" s="1"/>
  <c r="CZ20" i="1"/>
  <c r="DH20" i="1" s="1"/>
  <c r="DK20" i="1"/>
  <c r="DJ20" i="1" l="1"/>
  <c r="DL20" i="1" s="1"/>
  <c r="CP19" i="1"/>
  <c r="CQ19" i="1"/>
  <c r="CT19" i="1"/>
  <c r="DB19" i="1" s="1"/>
  <c r="CV19" i="1"/>
  <c r="DD19" i="1" s="1"/>
  <c r="CX19" i="1"/>
  <c r="DF19" i="1" s="1"/>
  <c r="CZ19" i="1"/>
  <c r="DH19" i="1" s="1"/>
  <c r="DK19" i="1"/>
  <c r="DJ19" i="1" l="1"/>
  <c r="DL19" i="1" s="1"/>
  <c r="CP18" i="1"/>
  <c r="CQ18" i="1"/>
  <c r="CT18" i="1"/>
  <c r="DB18" i="1" s="1"/>
  <c r="CV18" i="1"/>
  <c r="DD18" i="1" s="1"/>
  <c r="CX18" i="1"/>
  <c r="DF18" i="1" s="1"/>
  <c r="CZ18" i="1"/>
  <c r="DH18" i="1" s="1"/>
  <c r="DK18" i="1"/>
  <c r="DJ18" i="1" l="1"/>
  <c r="DL18" i="1" s="1"/>
  <c r="CP17" i="1"/>
  <c r="CQ17" i="1"/>
  <c r="CT17" i="1"/>
  <c r="DB17" i="1" s="1"/>
  <c r="CV17" i="1"/>
  <c r="DD17" i="1" s="1"/>
  <c r="CX17" i="1"/>
  <c r="DF17" i="1" s="1"/>
  <c r="CZ17" i="1"/>
  <c r="DH17" i="1" s="1"/>
  <c r="DK17" i="1"/>
  <c r="DJ17" i="1" l="1"/>
  <c r="DL17" i="1" s="1"/>
  <c r="CP16" i="1"/>
  <c r="CQ16" i="1"/>
  <c r="CT16" i="1"/>
  <c r="DB16" i="1" s="1"/>
  <c r="CV16" i="1"/>
  <c r="DD16" i="1" s="1"/>
  <c r="CX16" i="1"/>
  <c r="DF16" i="1" s="1"/>
  <c r="CZ16" i="1"/>
  <c r="DH16" i="1" s="1"/>
  <c r="DK16" i="1"/>
  <c r="DJ16" i="1" l="1"/>
  <c r="DL16" i="1" s="1"/>
  <c r="CP15" i="1" l="1"/>
  <c r="CQ15" i="1"/>
  <c r="CT15" i="1"/>
  <c r="DB15" i="1" s="1"/>
  <c r="CV15" i="1"/>
  <c r="DD15" i="1" s="1"/>
  <c r="CX15" i="1"/>
  <c r="DF15" i="1" s="1"/>
  <c r="CZ15" i="1"/>
  <c r="DH15" i="1" s="1"/>
  <c r="DK15" i="1"/>
  <c r="CP14" i="1"/>
  <c r="CQ14" i="1"/>
  <c r="CT14" i="1"/>
  <c r="DB14" i="1" s="1"/>
  <c r="CV14" i="1"/>
  <c r="DD14" i="1" s="1"/>
  <c r="CX14" i="1"/>
  <c r="DF14" i="1" s="1"/>
  <c r="CZ14" i="1"/>
  <c r="DH14" i="1" s="1"/>
  <c r="DK14" i="1"/>
  <c r="DJ15" i="1" l="1"/>
  <c r="DL15" i="1" s="1"/>
  <c r="DJ14" i="1"/>
  <c r="DL14" i="1" s="1"/>
  <c r="CP13" i="1"/>
  <c r="CQ13" i="1"/>
  <c r="CT13" i="1"/>
  <c r="DB13" i="1" s="1"/>
  <c r="CV13" i="1"/>
  <c r="DD13" i="1" s="1"/>
  <c r="CX13" i="1"/>
  <c r="DF13" i="1" s="1"/>
  <c r="CZ13" i="1"/>
  <c r="DH13" i="1" s="1"/>
  <c r="DK13" i="1"/>
  <c r="DJ13" i="1" l="1"/>
  <c r="DL13" i="1" s="1"/>
  <c r="AV10" i="16"/>
  <c r="AV11" i="16" s="1"/>
  <c r="AU10" i="16"/>
  <c r="AU11" i="16" s="1"/>
  <c r="AT10" i="16"/>
  <c r="AT11" i="16" s="1"/>
  <c r="AS10" i="16"/>
  <c r="AS11" i="16" s="1"/>
  <c r="AR10" i="16"/>
  <c r="AR11" i="16" s="1"/>
  <c r="AQ10" i="16"/>
  <c r="AQ11" i="16" s="1"/>
  <c r="AP10" i="16"/>
  <c r="AP11" i="16" s="1"/>
  <c r="AO10" i="16"/>
  <c r="AO11" i="16" s="1"/>
  <c r="AN10" i="16"/>
  <c r="AN11" i="16" s="1"/>
  <c r="AM10" i="16"/>
  <c r="AM11" i="16" s="1"/>
  <c r="AL10" i="16"/>
  <c r="AL11" i="16" s="1"/>
  <c r="AK10" i="16"/>
  <c r="AK11" i="16" s="1"/>
  <c r="AJ10" i="16"/>
  <c r="AJ11" i="16" s="1"/>
  <c r="AI10" i="16"/>
  <c r="AI11" i="16" s="1"/>
  <c r="AH10" i="16"/>
  <c r="AH11" i="16" s="1"/>
  <c r="AG10" i="16"/>
  <c r="AG11" i="16" s="1"/>
  <c r="AF10" i="16"/>
  <c r="AF11" i="16" s="1"/>
  <c r="AE10" i="16"/>
  <c r="AE11" i="16" s="1"/>
  <c r="AD10" i="16"/>
  <c r="AD11" i="16" s="1"/>
  <c r="AC10" i="16"/>
  <c r="AC11" i="16" s="1"/>
  <c r="AB10" i="16"/>
  <c r="AB11" i="16" s="1"/>
  <c r="AA10" i="16"/>
  <c r="AA11" i="16" s="1"/>
  <c r="Z10" i="16"/>
  <c r="Z11" i="16" s="1"/>
  <c r="Y10" i="16"/>
  <c r="Y11" i="16" s="1"/>
  <c r="X10" i="16"/>
  <c r="X11" i="16" s="1"/>
  <c r="W10" i="16"/>
  <c r="W11" i="16" s="1"/>
  <c r="V10" i="16"/>
  <c r="V11" i="16" s="1"/>
  <c r="U10" i="16"/>
  <c r="U11" i="16" s="1"/>
  <c r="T10" i="16"/>
  <c r="T11" i="16" s="1"/>
  <c r="S10" i="16"/>
  <c r="S11" i="16" s="1"/>
  <c r="R10" i="16"/>
  <c r="R11" i="16" s="1"/>
  <c r="Q10" i="16"/>
  <c r="Q11" i="16" s="1"/>
  <c r="P10" i="16"/>
  <c r="P11" i="16" s="1"/>
  <c r="O10" i="16"/>
  <c r="O11" i="16" s="1"/>
  <c r="N10" i="16"/>
  <c r="N11" i="16" s="1"/>
  <c r="M10" i="16"/>
  <c r="M11" i="16" s="1"/>
  <c r="L10" i="16"/>
  <c r="L11" i="16" s="1"/>
  <c r="K10" i="16"/>
  <c r="K11" i="16" s="1"/>
  <c r="J10" i="16"/>
  <c r="J11" i="16" s="1"/>
  <c r="I10" i="16"/>
  <c r="I11" i="16" s="1"/>
  <c r="H10" i="16"/>
  <c r="H11" i="16" s="1"/>
  <c r="G10" i="16"/>
  <c r="G11" i="16" s="1"/>
  <c r="F10" i="16"/>
  <c r="F11" i="16" s="1"/>
  <c r="E10" i="16"/>
  <c r="CQ12" i="1"/>
  <c r="CP12" i="1"/>
  <c r="CT12" i="1"/>
  <c r="DB12" i="1" s="1"/>
  <c r="CV12" i="1"/>
  <c r="DD12" i="1" s="1"/>
  <c r="CX12" i="1"/>
  <c r="DF12" i="1" s="1"/>
  <c r="CZ12" i="1"/>
  <c r="DH12" i="1" s="1"/>
  <c r="DK12" i="1"/>
  <c r="AW10" i="16" l="1"/>
  <c r="E11" i="16"/>
  <c r="AW11" i="16" s="1"/>
  <c r="DJ12" i="1"/>
  <c r="DL12" i="1" s="1"/>
  <c r="C27" i="11" l="1"/>
  <c r="C26" i="11"/>
  <c r="C25" i="11"/>
  <c r="C31" i="11"/>
  <c r="C23" i="11"/>
  <c r="C24" i="11"/>
  <c r="C22" i="11"/>
  <c r="C21" i="11"/>
  <c r="C20" i="11"/>
  <c r="C1" i="10"/>
  <c r="I4" i="10" l="1"/>
  <c r="K4" i="10"/>
  <c r="M4" i="10"/>
  <c r="C36" i="11"/>
  <c r="C35" i="11"/>
  <c r="C33" i="11"/>
  <c r="C32" i="11"/>
  <c r="B1" i="16"/>
  <c r="C1" i="16" s="1"/>
  <c r="D1" i="16" s="1"/>
  <c r="E1" i="16" s="1"/>
  <c r="F1" i="16" s="1"/>
  <c r="G1" i="16" s="1"/>
  <c r="H1" i="16" s="1"/>
  <c r="I1" i="16" s="1"/>
  <c r="J1" i="16" s="1"/>
  <c r="K1" i="16" s="1"/>
  <c r="L1" i="16" s="1"/>
  <c r="M1" i="16" s="1"/>
  <c r="N1" i="16" s="1"/>
  <c r="O1" i="16" s="1"/>
  <c r="P1" i="16" s="1"/>
  <c r="Q1" i="16" s="1"/>
  <c r="R1" i="16" s="1"/>
  <c r="S1" i="16" s="1"/>
  <c r="T1" i="16" s="1"/>
  <c r="U1" i="16" s="1"/>
  <c r="V1" i="16" s="1"/>
  <c r="W1" i="16" s="1"/>
  <c r="X1" i="16" s="1"/>
  <c r="Y1" i="16" s="1"/>
  <c r="Z1" i="16" s="1"/>
  <c r="AA1" i="16" s="1"/>
  <c r="AB1" i="16" s="1"/>
  <c r="AC1" i="16" s="1"/>
  <c r="AD1" i="16" s="1"/>
  <c r="AE1" i="16" s="1"/>
  <c r="AF1" i="16" s="1"/>
  <c r="AG1" i="16" s="1"/>
  <c r="AH1" i="16" s="1"/>
  <c r="AI1" i="16" s="1"/>
  <c r="AJ1" i="16" s="1"/>
  <c r="AK1" i="16" s="1"/>
  <c r="AL1" i="16" s="1"/>
  <c r="AM1" i="16" s="1"/>
  <c r="AN1" i="16" s="1"/>
  <c r="AO1" i="16" s="1"/>
  <c r="AP1" i="16" s="1"/>
  <c r="AQ1" i="16" s="1"/>
  <c r="AR1" i="16" s="1"/>
  <c r="AS1" i="16" s="1"/>
  <c r="AT1" i="16" s="1"/>
  <c r="AU1" i="16" s="1"/>
  <c r="AV1" i="16" s="1"/>
  <c r="AW1" i="16" s="1"/>
  <c r="AA39" i="15" l="1"/>
  <c r="AA40" i="15"/>
  <c r="AA41" i="15"/>
  <c r="AA42" i="15"/>
  <c r="AA43" i="15"/>
  <c r="AA44" i="15"/>
  <c r="AA45" i="15"/>
  <c r="AA46" i="15"/>
  <c r="AA47" i="15"/>
  <c r="AA48" i="15"/>
  <c r="AA49" i="15"/>
  <c r="G49" i="15"/>
  <c r="T49" i="15" s="1"/>
  <c r="E49" i="15"/>
  <c r="AA27" i="15"/>
  <c r="E40" i="15"/>
  <c r="E41" i="15"/>
  <c r="E42" i="15"/>
  <c r="E43" i="15"/>
  <c r="E44" i="15"/>
  <c r="E45" i="15"/>
  <c r="E46" i="15"/>
  <c r="E47" i="15"/>
  <c r="E48" i="15"/>
  <c r="G40" i="15"/>
  <c r="T40" i="15" s="1"/>
  <c r="G41" i="15"/>
  <c r="T41" i="15" s="1"/>
  <c r="G42" i="15"/>
  <c r="T42" i="15" s="1"/>
  <c r="G43" i="15"/>
  <c r="T43" i="15" s="1"/>
  <c r="G44" i="15"/>
  <c r="T44" i="15" s="1"/>
  <c r="G45" i="15"/>
  <c r="T45" i="15" s="1"/>
  <c r="G46" i="15"/>
  <c r="T46" i="15" s="1"/>
  <c r="G47" i="15"/>
  <c r="T47" i="15" s="1"/>
  <c r="G48" i="15"/>
  <c r="T48" i="15" s="1"/>
  <c r="B15" i="15"/>
  <c r="B27" i="15" s="1"/>
  <c r="B39" i="15" s="1"/>
  <c r="B16" i="15"/>
  <c r="B28" i="15" s="1"/>
  <c r="B40" i="15" s="1"/>
  <c r="B17" i="15"/>
  <c r="B29" i="15" s="1"/>
  <c r="B41" i="15" s="1"/>
  <c r="B18" i="15"/>
  <c r="B30" i="15" s="1"/>
  <c r="B42" i="15" s="1"/>
  <c r="B19" i="15"/>
  <c r="B31" i="15" s="1"/>
  <c r="B43" i="15" s="1"/>
  <c r="B20" i="15"/>
  <c r="B32" i="15" s="1"/>
  <c r="B44" i="15" s="1"/>
  <c r="B21" i="15"/>
  <c r="B33" i="15" s="1"/>
  <c r="B45" i="15" s="1"/>
  <c r="B22" i="15"/>
  <c r="B34" i="15" s="1"/>
  <c r="B46" i="15" s="1"/>
  <c r="B23" i="15"/>
  <c r="B35" i="15" s="1"/>
  <c r="B47" i="15" s="1"/>
  <c r="B24" i="15"/>
  <c r="B36" i="15" s="1"/>
  <c r="B48" i="15" s="1"/>
  <c r="B25" i="15"/>
  <c r="B37" i="15" s="1"/>
  <c r="B49" i="15" s="1"/>
  <c r="B14" i="15"/>
  <c r="B26" i="15" s="1"/>
  <c r="B38" i="15" s="1"/>
  <c r="AC39" i="15"/>
  <c r="G39" i="15"/>
  <c r="T39" i="15" s="1"/>
  <c r="E39" i="15"/>
  <c r="AC38" i="15"/>
  <c r="AA38" i="15"/>
  <c r="C13" i="11"/>
  <c r="G38" i="15"/>
  <c r="T38" i="15" s="1"/>
  <c r="E38" i="15"/>
  <c r="AC37" i="15"/>
  <c r="AC49" i="15" s="1"/>
  <c r="AA37" i="15"/>
  <c r="G37" i="15"/>
  <c r="T37" i="15" s="1"/>
  <c r="E37" i="15"/>
  <c r="AC36" i="15"/>
  <c r="AC48" i="15" s="1"/>
  <c r="AA36" i="15"/>
  <c r="G36" i="15"/>
  <c r="T36" i="15" s="1"/>
  <c r="E36" i="15"/>
  <c r="AC35" i="15"/>
  <c r="AC47" i="15" s="1"/>
  <c r="AA35" i="15"/>
  <c r="G35" i="15"/>
  <c r="T35" i="15" s="1"/>
  <c r="E35" i="15"/>
  <c r="AC34" i="15"/>
  <c r="AC46" i="15" s="1"/>
  <c r="AA34" i="15"/>
  <c r="G34" i="15"/>
  <c r="T34" i="15" s="1"/>
  <c r="E34" i="15"/>
  <c r="AC33" i="15"/>
  <c r="AC45" i="15" s="1"/>
  <c r="AA33" i="15"/>
  <c r="G33" i="15"/>
  <c r="E33" i="15"/>
  <c r="AC32" i="15"/>
  <c r="AC44" i="15" s="1"/>
  <c r="AA32" i="15"/>
  <c r="G32" i="15"/>
  <c r="T32" i="15" s="1"/>
  <c r="E32" i="15"/>
  <c r="AC31" i="15"/>
  <c r="AC43" i="15" s="1"/>
  <c r="AA31" i="15"/>
  <c r="G31" i="15"/>
  <c r="T31" i="15" s="1"/>
  <c r="E31" i="15"/>
  <c r="AC30" i="15"/>
  <c r="AC42" i="15" s="1"/>
  <c r="AA30" i="15"/>
  <c r="G30" i="15"/>
  <c r="T30" i="15" s="1"/>
  <c r="E30" i="15"/>
  <c r="AC29" i="15"/>
  <c r="AC41" i="15" s="1"/>
  <c r="AA29" i="15"/>
  <c r="G29" i="15"/>
  <c r="E29" i="15"/>
  <c r="AC28" i="15"/>
  <c r="AA28" i="15"/>
  <c r="G28" i="15"/>
  <c r="T28" i="15" s="1"/>
  <c r="E28" i="15"/>
  <c r="G27" i="15"/>
  <c r="T27" i="15" s="1"/>
  <c r="E27" i="15"/>
  <c r="AD26" i="15"/>
  <c r="AA26" i="15"/>
  <c r="G26" i="15"/>
  <c r="T26" i="15" s="1"/>
  <c r="E26" i="15"/>
  <c r="AD25" i="15"/>
  <c r="AA25" i="15"/>
  <c r="G25" i="15"/>
  <c r="T25" i="15" s="1"/>
  <c r="E25" i="15"/>
  <c r="AD24" i="15"/>
  <c r="AA24" i="15"/>
  <c r="G24" i="15"/>
  <c r="T24" i="15" s="1"/>
  <c r="E24" i="15"/>
  <c r="AD23" i="15"/>
  <c r="AA23" i="15"/>
  <c r="G23" i="15"/>
  <c r="T23" i="15" s="1"/>
  <c r="E23" i="15"/>
  <c r="C23" i="15"/>
  <c r="C34" i="15" s="1"/>
  <c r="C45" i="15" s="1"/>
  <c r="AD22" i="15"/>
  <c r="AA22" i="15"/>
  <c r="G22" i="15"/>
  <c r="T22" i="15" s="1"/>
  <c r="E22" i="15"/>
  <c r="C22" i="15"/>
  <c r="C33" i="15" s="1"/>
  <c r="C44" i="15" s="1"/>
  <c r="AD21" i="15"/>
  <c r="AA21" i="15"/>
  <c r="G21" i="15"/>
  <c r="T21" i="15" s="1"/>
  <c r="E21" i="15"/>
  <c r="C21" i="15"/>
  <c r="C32" i="15" s="1"/>
  <c r="C43" i="15" s="1"/>
  <c r="AD20" i="15"/>
  <c r="AA20" i="15"/>
  <c r="G20" i="15"/>
  <c r="T20" i="15" s="1"/>
  <c r="E20" i="15"/>
  <c r="C20" i="15"/>
  <c r="C31" i="15" s="1"/>
  <c r="C42" i="15" s="1"/>
  <c r="AD19" i="15"/>
  <c r="AA19" i="15"/>
  <c r="G19" i="15"/>
  <c r="T19" i="15" s="1"/>
  <c r="E19" i="15"/>
  <c r="C19" i="15"/>
  <c r="C30" i="15" s="1"/>
  <c r="C41" i="15" s="1"/>
  <c r="AD18" i="15"/>
  <c r="AA18" i="15"/>
  <c r="G18" i="15"/>
  <c r="T18" i="15" s="1"/>
  <c r="E18" i="15"/>
  <c r="C18" i="15"/>
  <c r="C29" i="15" s="1"/>
  <c r="C40" i="15" s="1"/>
  <c r="AD17" i="15"/>
  <c r="AA17" i="15"/>
  <c r="G17" i="15"/>
  <c r="T17" i="15" s="1"/>
  <c r="E17" i="15"/>
  <c r="C17" i="15"/>
  <c r="C28" i="15" s="1"/>
  <c r="C39" i="15" s="1"/>
  <c r="AD16" i="15"/>
  <c r="AA16" i="15"/>
  <c r="G16" i="15"/>
  <c r="T16" i="15" s="1"/>
  <c r="E16" i="15"/>
  <c r="C16" i="15"/>
  <c r="C27" i="15" s="1"/>
  <c r="C38" i="15" s="1"/>
  <c r="C49" i="15" s="1"/>
  <c r="AD15" i="15"/>
  <c r="AA15" i="15"/>
  <c r="G15" i="15"/>
  <c r="T15" i="15" s="1"/>
  <c r="E15" i="15"/>
  <c r="C15" i="15"/>
  <c r="C26" i="15" s="1"/>
  <c r="C37" i="15" s="1"/>
  <c r="C48" i="15" s="1"/>
  <c r="AD14" i="15"/>
  <c r="AA14" i="15"/>
  <c r="G14" i="15"/>
  <c r="T14" i="15" s="1"/>
  <c r="E14" i="15"/>
  <c r="C14" i="15"/>
  <c r="C25" i="15" s="1"/>
  <c r="C36" i="15" s="1"/>
  <c r="C47" i="15" s="1"/>
  <c r="AD13" i="15"/>
  <c r="AA13" i="15"/>
  <c r="G13" i="15"/>
  <c r="T13" i="15" s="1"/>
  <c r="E13" i="15"/>
  <c r="C13" i="15"/>
  <c r="C24" i="15" s="1"/>
  <c r="C35" i="15" s="1"/>
  <c r="C46" i="15" s="1"/>
  <c r="AD12" i="15"/>
  <c r="AA12" i="15"/>
  <c r="G12" i="15"/>
  <c r="T12" i="15" s="1"/>
  <c r="E12" i="15"/>
  <c r="AD11" i="15"/>
  <c r="AA11" i="15"/>
  <c r="G11" i="15"/>
  <c r="T11" i="15" s="1"/>
  <c r="E11" i="15"/>
  <c r="AD10" i="15"/>
  <c r="AA10" i="15"/>
  <c r="G10" i="15"/>
  <c r="T10" i="15" s="1"/>
  <c r="E10" i="15"/>
  <c r="AD9" i="15"/>
  <c r="AA9" i="15"/>
  <c r="G9" i="15"/>
  <c r="T9" i="15" s="1"/>
  <c r="E9" i="15"/>
  <c r="AD8" i="15"/>
  <c r="AA8" i="15"/>
  <c r="G8" i="15"/>
  <c r="T8" i="15" s="1"/>
  <c r="E8" i="15"/>
  <c r="AD7" i="15"/>
  <c r="AA7" i="15"/>
  <c r="G7" i="15"/>
  <c r="T7" i="15" s="1"/>
  <c r="E7" i="15"/>
  <c r="AD6" i="15"/>
  <c r="AA6" i="15"/>
  <c r="G6" i="15"/>
  <c r="T6" i="15" s="1"/>
  <c r="E6" i="15"/>
  <c r="AD5" i="15"/>
  <c r="AA5" i="15"/>
  <c r="G5" i="15"/>
  <c r="T5" i="15" s="1"/>
  <c r="E5" i="15"/>
  <c r="AD4" i="15"/>
  <c r="AA4" i="15"/>
  <c r="G4" i="15"/>
  <c r="E4" i="15"/>
  <c r="AD3" i="15"/>
  <c r="AA3" i="15"/>
  <c r="G3" i="15"/>
  <c r="T3" i="15" s="1"/>
  <c r="E3" i="15"/>
  <c r="A3" i="15"/>
  <c r="A4" i="15" s="1"/>
  <c r="A5" i="15" s="1"/>
  <c r="A6" i="15" s="1"/>
  <c r="A7" i="15" s="1"/>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D2" i="15"/>
  <c r="AA2" i="15"/>
  <c r="G2" i="15"/>
  <c r="T2" i="15" s="1"/>
  <c r="E2" i="15"/>
  <c r="AC40" i="15" l="1"/>
  <c r="AD39" i="15" s="1"/>
  <c r="W10" i="15"/>
  <c r="T33" i="15"/>
  <c r="W33" i="15" s="1"/>
  <c r="W9" i="15"/>
  <c r="W26" i="15"/>
  <c r="C17" i="11"/>
  <c r="C18" i="11"/>
  <c r="W41" i="15"/>
  <c r="W40" i="15"/>
  <c r="W18" i="15"/>
  <c r="W22" i="15"/>
  <c r="T29" i="15"/>
  <c r="W29" i="15" s="1"/>
  <c r="T4" i="15"/>
  <c r="W4" i="15" s="1"/>
  <c r="W14" i="15"/>
  <c r="W48" i="15"/>
  <c r="W32" i="15"/>
  <c r="W34" i="15"/>
  <c r="W19" i="15"/>
  <c r="W23" i="15"/>
  <c r="W39" i="15"/>
  <c r="W49" i="15"/>
  <c r="W3" i="15"/>
  <c r="W47" i="15"/>
  <c r="W46" i="15"/>
  <c r="W42" i="15"/>
  <c r="AD37" i="15"/>
  <c r="W45" i="15"/>
  <c r="W43" i="15"/>
  <c r="AD30" i="15"/>
  <c r="W44" i="15"/>
  <c r="AD32" i="15"/>
  <c r="W15" i="15"/>
  <c r="W27" i="15"/>
  <c r="W11" i="15"/>
  <c r="W30" i="15"/>
  <c r="W37" i="15"/>
  <c r="W5" i="15"/>
  <c r="AD33" i="15"/>
  <c r="AD28" i="15"/>
  <c r="W35" i="15"/>
  <c r="AD38" i="15"/>
  <c r="W28" i="15"/>
  <c r="AD31" i="15"/>
  <c r="W7" i="15"/>
  <c r="AD35" i="15"/>
  <c r="W6" i="15"/>
  <c r="W12" i="15"/>
  <c r="W16" i="15"/>
  <c r="W20" i="15"/>
  <c r="W24" i="15"/>
  <c r="W13" i="15"/>
  <c r="W17" i="15"/>
  <c r="W21" i="15"/>
  <c r="W25" i="15"/>
  <c r="AD29" i="15"/>
  <c r="W38" i="15"/>
  <c r="W2" i="15"/>
  <c r="W8" i="15"/>
  <c r="W31" i="15"/>
  <c r="AD34" i="15"/>
  <c r="AD36" i="15"/>
  <c r="W36" i="15"/>
  <c r="C28" i="11" l="1"/>
  <c r="AD45" i="15"/>
  <c r="AD41" i="15"/>
  <c r="AD43" i="15"/>
  <c r="AD49" i="15"/>
  <c r="AD44" i="15"/>
  <c r="AD40" i="15"/>
  <c r="C4" i="10" s="1"/>
  <c r="AD46" i="15"/>
  <c r="AD27" i="15"/>
  <c r="AD42" i="15"/>
  <c r="AD47" i="15"/>
  <c r="AD48" i="15"/>
  <c r="E2" i="14" l="1"/>
  <c r="A3" i="14"/>
  <c r="D2" i="14"/>
  <c r="AR2" i="14" s="1"/>
  <c r="C2" i="14"/>
  <c r="B2" i="14"/>
  <c r="AD2" i="14" l="1"/>
  <c r="AC2" i="14"/>
  <c r="D3" i="16"/>
  <c r="B3" i="14"/>
  <c r="A4" i="14"/>
  <c r="E3" i="14"/>
  <c r="D3" i="14"/>
  <c r="AR3" i="14" s="1"/>
  <c r="C3" i="14"/>
  <c r="AQ2" i="14"/>
  <c r="AG2" i="14"/>
  <c r="AP2" i="14"/>
  <c r="AH2" i="14"/>
  <c r="AF2" i="14"/>
  <c r="AD3" i="14" l="1"/>
  <c r="AC3" i="14"/>
  <c r="D4" i="16"/>
  <c r="C4" i="14"/>
  <c r="B4" i="14"/>
  <c r="A5" i="14"/>
  <c r="E4" i="14"/>
  <c r="D4" i="14"/>
  <c r="AR4" i="14" s="1"/>
  <c r="AQ3" i="14"/>
  <c r="AH3" i="14"/>
  <c r="AP3" i="14"/>
  <c r="AG3" i="14"/>
  <c r="AF3" i="14"/>
  <c r="AD4" i="14" l="1"/>
  <c r="AC4" i="14"/>
  <c r="D5" i="16"/>
  <c r="D5" i="14"/>
  <c r="AR5" i="14" s="1"/>
  <c r="C5" i="14"/>
  <c r="B5" i="14"/>
  <c r="A6" i="14"/>
  <c r="E5" i="14"/>
  <c r="AG4" i="14"/>
  <c r="AQ4" i="14"/>
  <c r="AF4" i="14"/>
  <c r="AP4" i="14"/>
  <c r="AH4" i="14"/>
  <c r="AD5" i="14" l="1"/>
  <c r="AC5" i="14"/>
  <c r="D6" i="16"/>
  <c r="E6" i="14"/>
  <c r="D6" i="14"/>
  <c r="AR6" i="14" s="1"/>
  <c r="C6" i="14"/>
  <c r="B6" i="14"/>
  <c r="A7" i="14"/>
  <c r="AQ5" i="14"/>
  <c r="AF5" i="14"/>
  <c r="AG5" i="14"/>
  <c r="AP5" i="14"/>
  <c r="AH5" i="14"/>
  <c r="AD6" i="14" l="1"/>
  <c r="AC6" i="14"/>
  <c r="D7" i="16"/>
  <c r="B7" i="14"/>
  <c r="E7" i="14"/>
  <c r="D7" i="14"/>
  <c r="AR7" i="14" s="1"/>
  <c r="C7" i="14"/>
  <c r="A8" i="14"/>
  <c r="AG6" i="14"/>
  <c r="AQ6" i="14"/>
  <c r="AH6" i="14"/>
  <c r="AP6" i="14"/>
  <c r="AF6" i="14"/>
  <c r="AD7" i="14" l="1"/>
  <c r="AC7" i="14"/>
  <c r="D8" i="16"/>
  <c r="E8" i="14"/>
  <c r="D8" i="14"/>
  <c r="AR8" i="14" s="1"/>
  <c r="C8" i="14"/>
  <c r="A9" i="14"/>
  <c r="B8" i="14"/>
  <c r="AP7" i="14"/>
  <c r="AF7" i="14"/>
  <c r="AG7" i="14"/>
  <c r="AQ7" i="14"/>
  <c r="AH7" i="14"/>
  <c r="AD8" i="14" l="1"/>
  <c r="AC8" i="14"/>
  <c r="D9" i="16"/>
  <c r="A10" i="14"/>
  <c r="C9" i="14"/>
  <c r="B9" i="14"/>
  <c r="D9" i="14"/>
  <c r="AR9" i="14" s="1"/>
  <c r="E9" i="14"/>
  <c r="AQ8" i="14"/>
  <c r="AP8" i="14"/>
  <c r="AF8" i="14"/>
  <c r="AH8" i="14"/>
  <c r="AG8" i="14"/>
  <c r="AD9" i="14" l="1"/>
  <c r="AC9" i="14"/>
  <c r="D10" i="16"/>
  <c r="E10" i="14"/>
  <c r="A11" i="14"/>
  <c r="D10" i="14"/>
  <c r="AR10" i="14" s="1"/>
  <c r="B10" i="14"/>
  <c r="C10" i="14"/>
  <c r="AQ9" i="14"/>
  <c r="AG9" i="14"/>
  <c r="AP9" i="14"/>
  <c r="AH9" i="14"/>
  <c r="AF9" i="14"/>
  <c r="AD10" i="14" l="1"/>
  <c r="AC10" i="14"/>
  <c r="D11" i="16"/>
  <c r="B11" i="14"/>
  <c r="A12" i="14"/>
  <c r="C11" i="14"/>
  <c r="E11" i="14"/>
  <c r="D11" i="14"/>
  <c r="AR11" i="14" s="1"/>
  <c r="AQ10" i="14"/>
  <c r="AP10" i="14"/>
  <c r="AG10" i="14"/>
  <c r="AH10" i="14"/>
  <c r="AF10" i="14"/>
  <c r="AD11" i="14" l="1"/>
  <c r="AC11" i="14"/>
  <c r="D12" i="16"/>
  <c r="E12" i="14"/>
  <c r="A13" i="14"/>
  <c r="D12" i="14"/>
  <c r="AR12" i="14" s="1"/>
  <c r="C12" i="14"/>
  <c r="B12" i="14"/>
  <c r="AQ11" i="14"/>
  <c r="AF11" i="14"/>
  <c r="AG11" i="14"/>
  <c r="AP11" i="14"/>
  <c r="AH11" i="14"/>
  <c r="AD12" i="14" l="1"/>
  <c r="AC12" i="14"/>
  <c r="D13" i="16"/>
  <c r="D13" i="14"/>
  <c r="AR13" i="14" s="1"/>
  <c r="B13" i="14"/>
  <c r="A14" i="14"/>
  <c r="E13" i="14"/>
  <c r="C13" i="14"/>
  <c r="AP12" i="14"/>
  <c r="AF12" i="14"/>
  <c r="AH12" i="14"/>
  <c r="AG12" i="14"/>
  <c r="AQ12" i="14"/>
  <c r="AD13" i="14" l="1"/>
  <c r="AC13" i="14"/>
  <c r="D14" i="16"/>
  <c r="E14" i="14"/>
  <c r="C14" i="14"/>
  <c r="D14" i="14"/>
  <c r="AR14" i="14" s="1"/>
  <c r="B14" i="14"/>
  <c r="A15" i="14"/>
  <c r="AP13" i="14"/>
  <c r="AH13" i="14"/>
  <c r="AQ13" i="14"/>
  <c r="AF13" i="14"/>
  <c r="AG13" i="14"/>
  <c r="AD14" i="14" l="1"/>
  <c r="AC14" i="14"/>
  <c r="D15" i="16"/>
  <c r="B15" i="14"/>
  <c r="C15" i="14"/>
  <c r="E15" i="14"/>
  <c r="D15" i="14"/>
  <c r="AR15" i="14" s="1"/>
  <c r="A16" i="14"/>
  <c r="AH14" i="14"/>
  <c r="AF14" i="14"/>
  <c r="AQ14" i="14"/>
  <c r="AP14" i="14"/>
  <c r="AG14" i="14"/>
  <c r="AD15" i="14" l="1"/>
  <c r="AC15" i="14"/>
  <c r="D16" i="16"/>
  <c r="A17" i="14"/>
  <c r="B16" i="14"/>
  <c r="E16" i="14"/>
  <c r="D16" i="14"/>
  <c r="AR16" i="14" s="1"/>
  <c r="C16" i="14"/>
  <c r="AP15" i="14"/>
  <c r="AF15" i="14"/>
  <c r="AH15" i="14"/>
  <c r="AQ15" i="14"/>
  <c r="AG15" i="14"/>
  <c r="AD16" i="14" l="1"/>
  <c r="AC16" i="14"/>
  <c r="D17" i="16"/>
  <c r="A18" i="14"/>
  <c r="E17" i="14"/>
  <c r="D17" i="14"/>
  <c r="AR17" i="14" s="1"/>
  <c r="C17" i="14"/>
  <c r="B17" i="14"/>
  <c r="AP16" i="14"/>
  <c r="AF16" i="14"/>
  <c r="AG16" i="14"/>
  <c r="AQ16" i="14"/>
  <c r="AH16" i="14"/>
  <c r="AD17" i="14" l="1"/>
  <c r="AC17" i="14"/>
  <c r="D18" i="16"/>
  <c r="E18" i="14"/>
  <c r="C18" i="14"/>
  <c r="B18" i="14"/>
  <c r="D18" i="14"/>
  <c r="AR18" i="14" s="1"/>
  <c r="A19" i="14"/>
  <c r="AP17" i="14"/>
  <c r="AF17" i="14"/>
  <c r="AQ17" i="14"/>
  <c r="AG17" i="14"/>
  <c r="AH17" i="14"/>
  <c r="AD18" i="14" l="1"/>
  <c r="AC18" i="14"/>
  <c r="D19" i="16"/>
  <c r="B19" i="14"/>
  <c r="E19" i="14"/>
  <c r="D19" i="14"/>
  <c r="AR19" i="14" s="1"/>
  <c r="A20" i="14"/>
  <c r="C19" i="14"/>
  <c r="AQ18" i="14"/>
  <c r="AG18" i="14"/>
  <c r="AP18" i="14"/>
  <c r="AF18" i="14"/>
  <c r="AH18" i="14"/>
  <c r="AD19" i="14" l="1"/>
  <c r="AC19" i="14"/>
  <c r="D20" i="16"/>
  <c r="A21" i="14"/>
  <c r="E20" i="14"/>
  <c r="D20" i="14"/>
  <c r="AR20" i="14" s="1"/>
  <c r="C20" i="14"/>
  <c r="B20" i="14"/>
  <c r="AQ19" i="14"/>
  <c r="AH19" i="14"/>
  <c r="AG19" i="14"/>
  <c r="AP19" i="14"/>
  <c r="AF19" i="14"/>
  <c r="AD20" i="14" l="1"/>
  <c r="AC20" i="14"/>
  <c r="D21" i="16"/>
  <c r="A22" i="14"/>
  <c r="D21" i="14"/>
  <c r="AR21" i="14" s="1"/>
  <c r="C21" i="14"/>
  <c r="B21" i="14"/>
  <c r="E21" i="14"/>
  <c r="AQ20" i="14"/>
  <c r="AG20" i="14"/>
  <c r="AP20" i="14"/>
  <c r="AF20" i="14"/>
  <c r="AH20" i="14"/>
  <c r="AD21" i="14" l="1"/>
  <c r="AC21" i="14"/>
  <c r="D22" i="16"/>
  <c r="E22" i="14"/>
  <c r="B22" i="14"/>
  <c r="A23" i="14"/>
  <c r="D22" i="14"/>
  <c r="AR22" i="14" s="1"/>
  <c r="C22" i="14"/>
  <c r="AQ21" i="14"/>
  <c r="AF21" i="14"/>
  <c r="AG21" i="14"/>
  <c r="AH21" i="14"/>
  <c r="AP21" i="14"/>
  <c r="A24" i="14" l="1"/>
  <c r="B24" i="14" s="1"/>
  <c r="AD22" i="14"/>
  <c r="AC22" i="14"/>
  <c r="D23" i="16"/>
  <c r="B23" i="14"/>
  <c r="D23" i="14"/>
  <c r="AR23" i="14" s="1"/>
  <c r="C23" i="14"/>
  <c r="E23" i="14"/>
  <c r="AH22" i="14"/>
  <c r="AF22" i="14"/>
  <c r="AP22" i="14"/>
  <c r="AQ22" i="14"/>
  <c r="AG22" i="14"/>
  <c r="E24" i="14" l="1"/>
  <c r="D24" i="14"/>
  <c r="AR24" i="14" s="1"/>
  <c r="C24" i="14"/>
  <c r="AD23" i="14"/>
  <c r="AC23" i="14"/>
  <c r="D24" i="16"/>
  <c r="A25" i="14"/>
  <c r="AP23" i="14"/>
  <c r="AH23" i="14"/>
  <c r="AQ23" i="14"/>
  <c r="AF23" i="14"/>
  <c r="AG23" i="14"/>
  <c r="AD24" i="14" l="1"/>
  <c r="AP24" i="14"/>
  <c r="AF24" i="14"/>
  <c r="AQ24" i="14"/>
  <c r="AC24" i="14"/>
  <c r="AG24" i="14"/>
  <c r="AH24" i="14"/>
  <c r="D25" i="16"/>
  <c r="E25" i="14"/>
  <c r="D25" i="14"/>
  <c r="AR25" i="14" s="1"/>
  <c r="C25" i="14"/>
  <c r="B25" i="14"/>
  <c r="A26" i="14"/>
  <c r="AD25" i="14" l="1"/>
  <c r="AC25" i="14"/>
  <c r="D26" i="16"/>
  <c r="E26" i="14"/>
  <c r="D26" i="14"/>
  <c r="AR26" i="14" s="1"/>
  <c r="C26" i="14"/>
  <c r="B26" i="14"/>
  <c r="A27" i="14"/>
  <c r="AP25" i="14"/>
  <c r="AH25" i="14"/>
  <c r="AQ25" i="14"/>
  <c r="AG25" i="14"/>
  <c r="AF25" i="14"/>
  <c r="AD26" i="14" l="1"/>
  <c r="AC26" i="14"/>
  <c r="D27" i="16"/>
  <c r="B27" i="14"/>
  <c r="A28" i="14"/>
  <c r="E27" i="14"/>
  <c r="D27" i="14"/>
  <c r="AR27" i="14" s="1"/>
  <c r="C27" i="14"/>
  <c r="AP26" i="14"/>
  <c r="AQ26" i="14"/>
  <c r="AH26" i="14"/>
  <c r="AG26" i="14"/>
  <c r="AF26" i="14"/>
  <c r="AD27" i="14" l="1"/>
  <c r="AC27" i="14"/>
  <c r="D28" i="16"/>
  <c r="E28" i="14"/>
  <c r="A29" i="14"/>
  <c r="D28" i="14"/>
  <c r="AR28" i="14" s="1"/>
  <c r="C28" i="14"/>
  <c r="B28" i="14"/>
  <c r="AQ27" i="14"/>
  <c r="AP27" i="14"/>
  <c r="AG27" i="14"/>
  <c r="AH27" i="14"/>
  <c r="AF27" i="14"/>
  <c r="AD28" i="14" l="1"/>
  <c r="AC28" i="14"/>
  <c r="D29" i="16"/>
  <c r="D29" i="14"/>
  <c r="AR29" i="14" s="1"/>
  <c r="A30" i="14"/>
  <c r="B29" i="14"/>
  <c r="C29" i="14"/>
  <c r="E29" i="14"/>
  <c r="AQ28" i="14"/>
  <c r="AP28" i="14"/>
  <c r="AH28" i="14"/>
  <c r="AG28" i="14"/>
  <c r="AF28" i="14"/>
  <c r="AD29" i="14" l="1"/>
  <c r="AC29" i="14"/>
  <c r="D30" i="16"/>
  <c r="E30" i="14"/>
  <c r="C30" i="14"/>
  <c r="A31" i="14"/>
  <c r="D30" i="14"/>
  <c r="AR30" i="14" s="1"/>
  <c r="B30" i="14"/>
  <c r="AG29" i="14"/>
  <c r="AF29" i="14"/>
  <c r="AH29" i="14"/>
  <c r="AQ29" i="14"/>
  <c r="AP29" i="14"/>
  <c r="AD30" i="14" l="1"/>
  <c r="AC30" i="14"/>
  <c r="D31" i="16"/>
  <c r="B31" i="14"/>
  <c r="C31" i="14"/>
  <c r="A32" i="14"/>
  <c r="E31" i="14"/>
  <c r="D31" i="14"/>
  <c r="AR31" i="14" s="1"/>
  <c r="AH30" i="14"/>
  <c r="AP30" i="14"/>
  <c r="AG30" i="14"/>
  <c r="AF30" i="14"/>
  <c r="AQ30" i="14"/>
  <c r="AD31" i="14" l="1"/>
  <c r="AC31" i="14"/>
  <c r="D32" i="16"/>
  <c r="A33" i="14"/>
  <c r="B32" i="14"/>
  <c r="D32" i="14"/>
  <c r="AR32" i="14" s="1"/>
  <c r="C32" i="14"/>
  <c r="E32" i="14"/>
  <c r="AP31" i="14"/>
  <c r="AH31" i="14"/>
  <c r="AF31" i="14"/>
  <c r="AG31" i="14"/>
  <c r="AQ31" i="14"/>
  <c r="AD32" i="14" l="1"/>
  <c r="AC32" i="14"/>
  <c r="D33" i="16"/>
  <c r="E33" i="14"/>
  <c r="D33" i="14"/>
  <c r="AR33" i="14" s="1"/>
  <c r="C33" i="14"/>
  <c r="A34" i="14"/>
  <c r="B33" i="14"/>
  <c r="AG32" i="14"/>
  <c r="AH32" i="14"/>
  <c r="AQ32" i="14"/>
  <c r="AP32" i="14"/>
  <c r="AF32" i="14"/>
  <c r="AD33" i="14" l="1"/>
  <c r="AC33" i="14"/>
  <c r="D34" i="16"/>
  <c r="E34" i="14"/>
  <c r="D34" i="14"/>
  <c r="AR34" i="14" s="1"/>
  <c r="A35" i="14"/>
  <c r="C34" i="14"/>
  <c r="B34" i="14"/>
  <c r="AF33" i="14"/>
  <c r="AQ33" i="14"/>
  <c r="AH33" i="14"/>
  <c r="AG33" i="14"/>
  <c r="AP33" i="14"/>
  <c r="AD34" i="14" l="1"/>
  <c r="AC34" i="14"/>
  <c r="D35" i="16"/>
  <c r="B35" i="14"/>
  <c r="E35" i="14"/>
  <c r="D35" i="14"/>
  <c r="AR35" i="14" s="1"/>
  <c r="A36" i="14"/>
  <c r="C35" i="14"/>
  <c r="AG34" i="14"/>
  <c r="AP34" i="14"/>
  <c r="AQ34" i="14"/>
  <c r="AH34" i="14"/>
  <c r="AF34" i="14"/>
  <c r="AD35" i="14" l="1"/>
  <c r="AC35" i="14"/>
  <c r="D36" i="16"/>
  <c r="A37" i="14"/>
  <c r="C36" i="14"/>
  <c r="B36" i="14"/>
  <c r="E36" i="14"/>
  <c r="D36" i="14"/>
  <c r="AR36" i="14" s="1"/>
  <c r="AG35" i="14"/>
  <c r="AH35" i="14"/>
  <c r="AP35" i="14"/>
  <c r="AQ35" i="14"/>
  <c r="AF35" i="14"/>
  <c r="AD36" i="14" l="1"/>
  <c r="AC36" i="14"/>
  <c r="D37" i="16"/>
  <c r="D37" i="14"/>
  <c r="AR37" i="14" s="1"/>
  <c r="C37" i="14"/>
  <c r="B37" i="14"/>
  <c r="A38" i="14"/>
  <c r="E37" i="14"/>
  <c r="AF36" i="14"/>
  <c r="AH36" i="14"/>
  <c r="AQ36" i="14"/>
  <c r="AP36" i="14"/>
  <c r="AG36" i="14"/>
  <c r="AD37" i="14" l="1"/>
  <c r="AC37" i="14"/>
  <c r="D38" i="16"/>
  <c r="E38" i="14"/>
  <c r="A39" i="14"/>
  <c r="B38" i="14"/>
  <c r="C38" i="14"/>
  <c r="D38" i="14"/>
  <c r="AR38" i="14" s="1"/>
  <c r="AH37" i="14"/>
  <c r="AF37" i="14"/>
  <c r="AQ37" i="14"/>
  <c r="AG37" i="14"/>
  <c r="AP37" i="14"/>
  <c r="AD38" i="14" l="1"/>
  <c r="AC38" i="14"/>
  <c r="D39" i="16"/>
  <c r="E39" i="14"/>
  <c r="D39" i="14"/>
  <c r="AR39" i="14" s="1"/>
  <c r="C39" i="14"/>
  <c r="B39" i="14"/>
  <c r="A40" i="14"/>
  <c r="AP38" i="14"/>
  <c r="AQ38" i="14"/>
  <c r="AH38" i="14"/>
  <c r="AG38" i="14"/>
  <c r="AF38" i="14"/>
  <c r="AD39" i="14" l="1"/>
  <c r="AC39" i="14"/>
  <c r="D40" i="16"/>
  <c r="B40" i="14"/>
  <c r="D40" i="14"/>
  <c r="AR40" i="14" s="1"/>
  <c r="A41" i="14"/>
  <c r="E40" i="14"/>
  <c r="C40" i="14"/>
  <c r="AQ39" i="14"/>
  <c r="AG39" i="14"/>
  <c r="AF39" i="14"/>
  <c r="AP39" i="14"/>
  <c r="AH39" i="14"/>
  <c r="AD40" i="14" l="1"/>
  <c r="AC40" i="14"/>
  <c r="D41" i="16"/>
  <c r="C41" i="14"/>
  <c r="A42" i="14"/>
  <c r="D41" i="14"/>
  <c r="AR41" i="14" s="1"/>
  <c r="B41" i="14"/>
  <c r="E41" i="14"/>
  <c r="AQ40" i="14"/>
  <c r="AF40" i="14"/>
  <c r="AH40" i="14"/>
  <c r="AG40" i="14"/>
  <c r="AP40" i="14"/>
  <c r="AD41" i="14" l="1"/>
  <c r="AC41" i="14"/>
  <c r="D42" i="16"/>
  <c r="A43" i="14"/>
  <c r="B42" i="14"/>
  <c r="C42" i="14"/>
  <c r="E42" i="14"/>
  <c r="D42" i="14"/>
  <c r="AR42" i="14" s="1"/>
  <c r="AG41" i="14"/>
  <c r="AQ41" i="14"/>
  <c r="AF41" i="14"/>
  <c r="AP41" i="14"/>
  <c r="AH41" i="14"/>
  <c r="AD42" i="14" l="1"/>
  <c r="AC42" i="14"/>
  <c r="D43" i="16"/>
  <c r="E43" i="14"/>
  <c r="D43" i="14"/>
  <c r="AR43" i="14" s="1"/>
  <c r="C43" i="14"/>
  <c r="B43" i="14"/>
  <c r="A44" i="14"/>
  <c r="AP42" i="14"/>
  <c r="AH42" i="14"/>
  <c r="AQ42" i="14"/>
  <c r="AG42" i="14"/>
  <c r="AF42" i="14"/>
  <c r="AD43" i="14" l="1"/>
  <c r="AC43" i="14"/>
  <c r="D44" i="16"/>
  <c r="B44" i="14"/>
  <c r="E44" i="14"/>
  <c r="D44" i="14"/>
  <c r="AR44" i="14" s="1"/>
  <c r="A45" i="14"/>
  <c r="C44" i="14"/>
  <c r="AQ43" i="14"/>
  <c r="AG43" i="14"/>
  <c r="AP43" i="14"/>
  <c r="AF43" i="14"/>
  <c r="AH43" i="14"/>
  <c r="AD44" i="14" l="1"/>
  <c r="AC44" i="14"/>
  <c r="D45" i="16"/>
  <c r="B45" i="14"/>
  <c r="E45" i="14"/>
  <c r="D45" i="14"/>
  <c r="AR45" i="14" s="1"/>
  <c r="C45" i="14"/>
  <c r="A46" i="14"/>
  <c r="AF44" i="14"/>
  <c r="AH44" i="14"/>
  <c r="AG44" i="14"/>
  <c r="AQ44" i="14"/>
  <c r="AP44" i="14"/>
  <c r="AD45" i="14" l="1"/>
  <c r="AC45" i="14"/>
  <c r="D46" i="16"/>
  <c r="D46" i="14"/>
  <c r="AR46" i="14" s="1"/>
  <c r="C46" i="14"/>
  <c r="B46" i="14"/>
  <c r="A47" i="14"/>
  <c r="E46" i="14"/>
  <c r="AF45" i="14"/>
  <c r="AP45" i="14"/>
  <c r="AQ45" i="14"/>
  <c r="AH45" i="14"/>
  <c r="AG45" i="14"/>
  <c r="AD46" i="14" l="1"/>
  <c r="AC46" i="14"/>
  <c r="D47" i="16"/>
  <c r="E47" i="14"/>
  <c r="A48" i="14"/>
  <c r="C47" i="14"/>
  <c r="B47" i="14"/>
  <c r="D47" i="14"/>
  <c r="AR47" i="14" s="1"/>
  <c r="AH46" i="14"/>
  <c r="AP46" i="14"/>
  <c r="AG46" i="14"/>
  <c r="AQ46" i="14"/>
  <c r="AF46" i="14"/>
  <c r="AD47" i="14" l="1"/>
  <c r="AC47" i="14"/>
  <c r="D48" i="16"/>
  <c r="B48" i="14"/>
  <c r="C48" i="14"/>
  <c r="E48" i="14"/>
  <c r="D48" i="14"/>
  <c r="AR48" i="14" s="1"/>
  <c r="A49" i="14"/>
  <c r="AH47" i="14"/>
  <c r="AQ47" i="14"/>
  <c r="AF47" i="14"/>
  <c r="AG47" i="14"/>
  <c r="AP47" i="14"/>
  <c r="AD48" i="14" l="1"/>
  <c r="AC48" i="14"/>
  <c r="D49" i="16"/>
  <c r="A50" i="14"/>
  <c r="E49" i="14"/>
  <c r="D49" i="14"/>
  <c r="AR49" i="14" s="1"/>
  <c r="C49" i="14"/>
  <c r="B49" i="14"/>
  <c r="AF48" i="14"/>
  <c r="AQ48" i="14"/>
  <c r="AH48" i="14"/>
  <c r="AP48" i="14"/>
  <c r="AG48" i="14"/>
  <c r="AD49" i="14" l="1"/>
  <c r="AC49" i="14"/>
  <c r="D50" i="16"/>
  <c r="A51" i="14"/>
  <c r="D50" i="14"/>
  <c r="AR50" i="14" s="1"/>
  <c r="C50" i="14"/>
  <c r="B50" i="14"/>
  <c r="E50" i="14"/>
  <c r="AQ49" i="14"/>
  <c r="AF49" i="14"/>
  <c r="AG49" i="14"/>
  <c r="AP49" i="14"/>
  <c r="AH49" i="14"/>
  <c r="AD50" i="14" l="1"/>
  <c r="AC50" i="14"/>
  <c r="D51" i="16"/>
  <c r="E51" i="14"/>
  <c r="B51" i="14"/>
  <c r="A52" i="14"/>
  <c r="D51" i="14"/>
  <c r="AR51" i="14" s="1"/>
  <c r="C51" i="14"/>
  <c r="AP50" i="14"/>
  <c r="AH50" i="14"/>
  <c r="AG50" i="14"/>
  <c r="AF50" i="14"/>
  <c r="AQ50" i="14"/>
  <c r="AD51" i="14" l="1"/>
  <c r="AC51" i="14"/>
  <c r="D52" i="16"/>
  <c r="B52" i="14"/>
  <c r="D52" i="14"/>
  <c r="AR52" i="14" s="1"/>
  <c r="C52" i="14"/>
  <c r="E52" i="14"/>
  <c r="A53" i="14"/>
  <c r="AH51" i="14"/>
  <c r="AF51" i="14"/>
  <c r="AQ51" i="14"/>
  <c r="AP51" i="14"/>
  <c r="AG51" i="14"/>
  <c r="AD52" i="14" l="1"/>
  <c r="AC52" i="14"/>
  <c r="D53" i="16"/>
  <c r="E53" i="14"/>
  <c r="D53" i="14"/>
  <c r="AR53" i="14" s="1"/>
  <c r="C53" i="14"/>
  <c r="B53" i="14"/>
  <c r="A54" i="14"/>
  <c r="AG52" i="14"/>
  <c r="AH52" i="14"/>
  <c r="AQ52" i="14"/>
  <c r="AF52" i="14"/>
  <c r="AP52" i="14"/>
  <c r="AD53" i="14" l="1"/>
  <c r="AC53" i="14"/>
  <c r="D54" i="16"/>
  <c r="E54" i="14"/>
  <c r="D54" i="14"/>
  <c r="AR54" i="14" s="1"/>
  <c r="A55" i="14"/>
  <c r="C54" i="14"/>
  <c r="B54" i="14"/>
  <c r="AG53" i="14"/>
  <c r="AP53" i="14"/>
  <c r="AH53" i="14"/>
  <c r="AF53" i="14"/>
  <c r="AQ53" i="14"/>
  <c r="AD54" i="14" l="1"/>
  <c r="AC54" i="14"/>
  <c r="D55" i="16"/>
  <c r="E55" i="14"/>
  <c r="D55" i="14"/>
  <c r="AR55" i="14" s="1"/>
  <c r="A56" i="14"/>
  <c r="C55" i="14"/>
  <c r="B55" i="14"/>
  <c r="AQ54" i="14"/>
  <c r="AF54" i="14"/>
  <c r="AH54" i="14"/>
  <c r="AG54" i="14"/>
  <c r="AP54" i="14"/>
  <c r="AD55" i="14" l="1"/>
  <c r="AC55" i="14"/>
  <c r="D56" i="16"/>
  <c r="B56" i="14"/>
  <c r="E56" i="14"/>
  <c r="D56" i="14"/>
  <c r="AR56" i="14" s="1"/>
  <c r="C56" i="14"/>
  <c r="A57" i="14"/>
  <c r="AF55" i="14"/>
  <c r="AP55" i="14"/>
  <c r="AQ55" i="14"/>
  <c r="AH55" i="14"/>
  <c r="AG55" i="14"/>
  <c r="AD56" i="14" l="1"/>
  <c r="AC56" i="14"/>
  <c r="D57" i="16"/>
  <c r="E57" i="14"/>
  <c r="D57" i="14"/>
  <c r="AR57" i="14" s="1"/>
  <c r="C57" i="14"/>
  <c r="A58" i="14"/>
  <c r="B57" i="14"/>
  <c r="AH56" i="14"/>
  <c r="AF56" i="14"/>
  <c r="AP56" i="14"/>
  <c r="AQ56" i="14"/>
  <c r="AG56" i="14"/>
  <c r="AD57" i="14" l="1"/>
  <c r="AC57" i="14"/>
  <c r="D58" i="16"/>
  <c r="D58" i="14"/>
  <c r="AR58" i="14" s="1"/>
  <c r="C58" i="14"/>
  <c r="A59" i="14"/>
  <c r="B58" i="14"/>
  <c r="E58" i="14"/>
  <c r="AQ57" i="14"/>
  <c r="AH57" i="14"/>
  <c r="AP57" i="14"/>
  <c r="AF57" i="14"/>
  <c r="AG57" i="14"/>
  <c r="AD58" i="14" l="1"/>
  <c r="AC58" i="14"/>
  <c r="D59" i="16"/>
  <c r="E59" i="14"/>
  <c r="C59" i="14"/>
  <c r="A60" i="14"/>
  <c r="B59" i="14"/>
  <c r="D59" i="14"/>
  <c r="AR59" i="14" s="1"/>
  <c r="AH58" i="14"/>
  <c r="AQ58" i="14"/>
  <c r="AG58" i="14"/>
  <c r="AF58" i="14"/>
  <c r="AP58" i="14"/>
  <c r="AD59" i="14" l="1"/>
  <c r="AC59" i="14"/>
  <c r="D60" i="16"/>
  <c r="B60" i="14"/>
  <c r="C60" i="14"/>
  <c r="A61" i="14"/>
  <c r="E60" i="14"/>
  <c r="D60" i="14"/>
  <c r="AR60" i="14" s="1"/>
  <c r="AH59" i="14"/>
  <c r="AG59" i="14"/>
  <c r="AF59" i="14"/>
  <c r="AQ59" i="14"/>
  <c r="AP59" i="14"/>
  <c r="AD60" i="14" l="1"/>
  <c r="AC60" i="14"/>
  <c r="D61" i="16"/>
  <c r="A62" i="14"/>
  <c r="B61" i="14"/>
  <c r="E61" i="14"/>
  <c r="D61" i="14"/>
  <c r="AR61" i="14" s="1"/>
  <c r="C61" i="14"/>
  <c r="AG60" i="14"/>
  <c r="AH60" i="14"/>
  <c r="AQ60" i="14"/>
  <c r="AF60" i="14"/>
  <c r="AP60" i="14"/>
  <c r="AD61" i="14" l="1"/>
  <c r="AC61" i="14"/>
  <c r="D62" i="16"/>
  <c r="D62" i="14"/>
  <c r="AR62" i="14" s="1"/>
  <c r="C62" i="14"/>
  <c r="B62" i="14"/>
  <c r="A63" i="14"/>
  <c r="E62" i="14"/>
  <c r="AP61" i="14"/>
  <c r="AH61" i="14"/>
  <c r="AF61" i="14"/>
  <c r="AG61" i="14"/>
  <c r="AQ61" i="14"/>
  <c r="AD62" i="14" l="1"/>
  <c r="AC62" i="14"/>
  <c r="D63" i="16"/>
  <c r="E63" i="14"/>
  <c r="D63" i="14"/>
  <c r="AR63" i="14" s="1"/>
  <c r="A64" i="14"/>
  <c r="B63" i="14"/>
  <c r="C63" i="14"/>
  <c r="AH62" i="14"/>
  <c r="AQ62" i="14"/>
  <c r="AF62" i="14"/>
  <c r="AP62" i="14"/>
  <c r="AG62" i="14"/>
  <c r="AD63" i="14" l="1"/>
  <c r="AC63" i="14"/>
  <c r="D64" i="16"/>
  <c r="B64" i="14"/>
  <c r="A65" i="14"/>
  <c r="E64" i="14"/>
  <c r="D64" i="14"/>
  <c r="AR64" i="14" s="1"/>
  <c r="C64" i="14"/>
  <c r="AP63" i="14"/>
  <c r="AF63" i="14"/>
  <c r="AH63" i="14"/>
  <c r="AG63" i="14"/>
  <c r="AQ63" i="14"/>
  <c r="AD64" i="14" l="1"/>
  <c r="AC64" i="14"/>
  <c r="D65" i="16"/>
  <c r="E65" i="14"/>
  <c r="D65" i="14"/>
  <c r="AR65" i="14" s="1"/>
  <c r="C65" i="14"/>
  <c r="A66" i="14"/>
  <c r="B65" i="14"/>
  <c r="AH64" i="14"/>
  <c r="AG64" i="14"/>
  <c r="AF64" i="14"/>
  <c r="AQ64" i="14"/>
  <c r="AP64" i="14"/>
  <c r="AD65" i="14" l="1"/>
  <c r="AC65" i="14"/>
  <c r="D66" i="16"/>
  <c r="A67" i="14"/>
  <c r="E66" i="14"/>
  <c r="D66" i="14"/>
  <c r="AR66" i="14" s="1"/>
  <c r="C66" i="14"/>
  <c r="B66" i="14"/>
  <c r="AP65" i="14"/>
  <c r="AF65" i="14"/>
  <c r="AH65" i="14"/>
  <c r="AG65" i="14"/>
  <c r="AQ65" i="14"/>
  <c r="AD66" i="14" l="1"/>
  <c r="AC66" i="14"/>
  <c r="D67" i="16"/>
  <c r="E67" i="14"/>
  <c r="C67" i="14"/>
  <c r="B67" i="14"/>
  <c r="A68" i="14"/>
  <c r="D67" i="14"/>
  <c r="AR67" i="14" s="1"/>
  <c r="AP66" i="14"/>
  <c r="AH66" i="14"/>
  <c r="AQ66" i="14"/>
  <c r="AG66" i="14"/>
  <c r="AF66" i="14"/>
  <c r="AD67" i="14" l="1"/>
  <c r="AC67" i="14"/>
  <c r="D68" i="16"/>
  <c r="B68" i="14"/>
  <c r="A69" i="14"/>
  <c r="C68" i="14"/>
  <c r="E68" i="14"/>
  <c r="D68" i="14"/>
  <c r="AR68" i="14" s="1"/>
  <c r="AH67" i="14"/>
  <c r="AG67" i="14"/>
  <c r="AQ67" i="14"/>
  <c r="AP67" i="14"/>
  <c r="AF67" i="14"/>
  <c r="AD68" i="14" l="1"/>
  <c r="AC68" i="14"/>
  <c r="D69" i="16"/>
  <c r="B69" i="14"/>
  <c r="A70" i="14"/>
  <c r="E69" i="14"/>
  <c r="C69" i="14"/>
  <c r="D69" i="14"/>
  <c r="AR69" i="14" s="1"/>
  <c r="AQ68" i="14"/>
  <c r="AH68" i="14"/>
  <c r="AG68" i="14"/>
  <c r="AF68" i="14"/>
  <c r="AP68" i="14"/>
  <c r="AD69" i="14" l="1"/>
  <c r="AC69" i="14"/>
  <c r="D70" i="16"/>
  <c r="E70" i="14"/>
  <c r="A71" i="14"/>
  <c r="C70" i="14"/>
  <c r="D70" i="14"/>
  <c r="AR70" i="14" s="1"/>
  <c r="B70" i="14"/>
  <c r="AG69" i="14"/>
  <c r="AF69" i="14"/>
  <c r="AH69" i="14"/>
  <c r="AQ69" i="14"/>
  <c r="AP69" i="14"/>
  <c r="AD70" i="14" l="1"/>
  <c r="AC70" i="14"/>
  <c r="D71" i="16"/>
  <c r="E71" i="14"/>
  <c r="D71" i="14"/>
  <c r="AR71" i="14" s="1"/>
  <c r="C71" i="14"/>
  <c r="B71" i="14"/>
  <c r="A72" i="14"/>
  <c r="AG70" i="14"/>
  <c r="AF70" i="14"/>
  <c r="AH70" i="14"/>
  <c r="AQ70" i="14"/>
  <c r="AP70" i="14"/>
  <c r="AD71" i="14" l="1"/>
  <c r="AC71" i="14"/>
  <c r="D72" i="16"/>
  <c r="B72" i="14"/>
  <c r="E72" i="14"/>
  <c r="D72" i="14"/>
  <c r="AR72" i="14" s="1"/>
  <c r="A73" i="14"/>
  <c r="C72" i="14"/>
  <c r="AP71" i="14"/>
  <c r="AG71" i="14"/>
  <c r="AQ71" i="14"/>
  <c r="AF71" i="14"/>
  <c r="AH71" i="14"/>
  <c r="AD72" i="14" l="1"/>
  <c r="AC72" i="14"/>
  <c r="D73" i="16"/>
  <c r="E73" i="14"/>
  <c r="D73" i="14"/>
  <c r="AR73" i="14" s="1"/>
  <c r="C73" i="14"/>
  <c r="A74" i="14"/>
  <c r="B73" i="14"/>
  <c r="AH72" i="14"/>
  <c r="AF72" i="14"/>
  <c r="AG72" i="14"/>
  <c r="AP72" i="14"/>
  <c r="AQ72" i="14"/>
  <c r="AD73" i="14" l="1"/>
  <c r="AC73" i="14"/>
  <c r="D74" i="16"/>
  <c r="D74" i="14"/>
  <c r="AR74" i="14" s="1"/>
  <c r="C74" i="14"/>
  <c r="A75" i="14"/>
  <c r="B74" i="14"/>
  <c r="E74" i="14"/>
  <c r="AH73" i="14"/>
  <c r="AF73" i="14"/>
  <c r="AG73" i="14"/>
  <c r="AQ73" i="14"/>
  <c r="AP73" i="14"/>
  <c r="AD74" i="14" l="1"/>
  <c r="AC74" i="14"/>
  <c r="D75" i="16"/>
  <c r="E75" i="14"/>
  <c r="C75" i="14"/>
  <c r="A76" i="14"/>
  <c r="B75" i="14"/>
  <c r="D75" i="14"/>
  <c r="AR75" i="14" s="1"/>
  <c r="AQ74" i="14"/>
  <c r="AH74" i="14"/>
  <c r="AF74" i="14"/>
  <c r="AG74" i="14"/>
  <c r="AP74" i="14"/>
  <c r="AD75" i="14" l="1"/>
  <c r="AC75" i="14"/>
  <c r="D76" i="16"/>
  <c r="B76" i="14"/>
  <c r="C76" i="14"/>
  <c r="A77" i="14"/>
  <c r="E76" i="14"/>
  <c r="D76" i="14"/>
  <c r="AR76" i="14" s="1"/>
  <c r="AG75" i="14"/>
  <c r="AH75" i="14"/>
  <c r="AF75" i="14"/>
  <c r="AP75" i="14"/>
  <c r="AQ75" i="14"/>
  <c r="AD76" i="14" l="1"/>
  <c r="AC76" i="14"/>
  <c r="D77" i="16"/>
  <c r="A78" i="14"/>
  <c r="B77" i="14"/>
  <c r="E77" i="14"/>
  <c r="D77" i="14"/>
  <c r="AR77" i="14" s="1"/>
  <c r="C77" i="14"/>
  <c r="AQ76" i="14"/>
  <c r="AG76" i="14"/>
  <c r="AP76" i="14"/>
  <c r="AF76" i="14"/>
  <c r="AH76" i="14"/>
  <c r="AD77" i="14" l="1"/>
  <c r="AC77" i="14"/>
  <c r="D78" i="16"/>
  <c r="D78" i="14"/>
  <c r="AR78" i="14" s="1"/>
  <c r="C78" i="14"/>
  <c r="B78" i="14"/>
  <c r="A79" i="14"/>
  <c r="E78" i="14"/>
  <c r="AG77" i="14"/>
  <c r="AF77" i="14"/>
  <c r="AQ77" i="14"/>
  <c r="AP77" i="14"/>
  <c r="AH77" i="14"/>
  <c r="AD78" i="14" l="1"/>
  <c r="AC78" i="14"/>
  <c r="D79" i="16"/>
  <c r="E79" i="14"/>
  <c r="A80" i="14"/>
  <c r="D79" i="14"/>
  <c r="AR79" i="14" s="1"/>
  <c r="C79" i="14"/>
  <c r="B79" i="14"/>
  <c r="AH78" i="14"/>
  <c r="AF78" i="14"/>
  <c r="AG78" i="14"/>
  <c r="AP78" i="14"/>
  <c r="AQ78" i="14"/>
  <c r="AD79" i="14" l="1"/>
  <c r="AC79" i="14"/>
  <c r="D80" i="16"/>
  <c r="B80" i="14"/>
  <c r="C80" i="14"/>
  <c r="A81" i="14"/>
  <c r="E80" i="14"/>
  <c r="D80" i="14"/>
  <c r="AR80" i="14" s="1"/>
  <c r="AG79" i="14"/>
  <c r="AP79" i="14"/>
  <c r="AQ79" i="14"/>
  <c r="AH79" i="14"/>
  <c r="AF79" i="14"/>
  <c r="AD80" i="14" l="1"/>
  <c r="AC80" i="14"/>
  <c r="D81" i="16"/>
  <c r="A82" i="14"/>
  <c r="B81" i="14"/>
  <c r="E81" i="14"/>
  <c r="D81" i="14"/>
  <c r="AR81" i="14" s="1"/>
  <c r="C81" i="14"/>
  <c r="AH80" i="14"/>
  <c r="AP80" i="14"/>
  <c r="AF80" i="14"/>
  <c r="AQ80" i="14"/>
  <c r="AG80" i="14"/>
  <c r="AD81" i="14" l="1"/>
  <c r="AC81" i="14"/>
  <c r="D82" i="16"/>
  <c r="D82" i="14"/>
  <c r="AR82" i="14" s="1"/>
  <c r="C82" i="14"/>
  <c r="A83" i="14"/>
  <c r="B82" i="14"/>
  <c r="E82" i="14"/>
  <c r="AF81" i="14"/>
  <c r="AH81" i="14"/>
  <c r="AQ81" i="14"/>
  <c r="AP81" i="14"/>
  <c r="AG81" i="14"/>
  <c r="AD82" i="14" l="1"/>
  <c r="AC82" i="14"/>
  <c r="D83" i="16"/>
  <c r="E83" i="14"/>
  <c r="D83" i="14"/>
  <c r="AR83" i="14" s="1"/>
  <c r="C83" i="14"/>
  <c r="B83" i="14"/>
  <c r="A84" i="14"/>
  <c r="AP82" i="14"/>
  <c r="AQ82" i="14"/>
  <c r="AH82" i="14"/>
  <c r="AF82" i="14"/>
  <c r="AG82" i="14"/>
  <c r="AD83" i="14" l="1"/>
  <c r="AC83" i="14"/>
  <c r="D84" i="16"/>
  <c r="B84" i="14"/>
  <c r="E84" i="14"/>
  <c r="D84" i="14"/>
  <c r="AR84" i="14" s="1"/>
  <c r="A85" i="14"/>
  <c r="C84" i="14"/>
  <c r="AP83" i="14"/>
  <c r="AG83" i="14"/>
  <c r="AF83" i="14"/>
  <c r="AH83" i="14"/>
  <c r="AQ83" i="14"/>
  <c r="AD84" i="14" l="1"/>
  <c r="AC84" i="14"/>
  <c r="D85" i="16"/>
  <c r="E85" i="14"/>
  <c r="D85" i="14"/>
  <c r="AR85" i="14" s="1"/>
  <c r="C85" i="14"/>
  <c r="B85" i="14"/>
  <c r="A86" i="14"/>
  <c r="AG84" i="14"/>
  <c r="AP84" i="14"/>
  <c r="AH84" i="14"/>
  <c r="AF84" i="14"/>
  <c r="AQ84" i="14"/>
  <c r="AD85" i="14" l="1"/>
  <c r="AC85" i="14"/>
  <c r="D86" i="16"/>
  <c r="E86" i="14"/>
  <c r="A87" i="14"/>
  <c r="D86" i="14"/>
  <c r="AR86" i="14" s="1"/>
  <c r="C86" i="14"/>
  <c r="B86" i="14"/>
  <c r="AH85" i="14"/>
  <c r="AF85" i="14"/>
  <c r="AQ85" i="14"/>
  <c r="AP85" i="14"/>
  <c r="AG85" i="14"/>
  <c r="AD86" i="14" l="1"/>
  <c r="AC86" i="14"/>
  <c r="D87" i="16"/>
  <c r="E87" i="14"/>
  <c r="D87" i="14"/>
  <c r="AR87" i="14" s="1"/>
  <c r="C87" i="14"/>
  <c r="B87" i="14"/>
  <c r="A88" i="14"/>
  <c r="AQ86" i="14"/>
  <c r="AF86" i="14"/>
  <c r="AG86" i="14"/>
  <c r="AH86" i="14"/>
  <c r="AP86" i="14"/>
  <c r="AD87" i="14" l="1"/>
  <c r="AC87" i="14"/>
  <c r="D88" i="16"/>
  <c r="B88" i="14"/>
  <c r="E88" i="14"/>
  <c r="D88" i="14"/>
  <c r="AR88" i="14" s="1"/>
  <c r="A89" i="14"/>
  <c r="C88" i="14"/>
  <c r="AG87" i="14"/>
  <c r="AH87" i="14"/>
  <c r="AQ87" i="14"/>
  <c r="AF87" i="14"/>
  <c r="AP87" i="14"/>
  <c r="AD88" i="14" l="1"/>
  <c r="AC88" i="14"/>
  <c r="D89" i="16"/>
  <c r="E89" i="14"/>
  <c r="D89" i="14"/>
  <c r="AR89" i="14" s="1"/>
  <c r="C89" i="14"/>
  <c r="B89" i="14"/>
  <c r="A90" i="14"/>
  <c r="AH88" i="14"/>
  <c r="AF88" i="14"/>
  <c r="AG88" i="14"/>
  <c r="AP88" i="14"/>
  <c r="AQ88" i="14"/>
  <c r="AD89" i="14" l="1"/>
  <c r="AC89" i="14"/>
  <c r="D90" i="16"/>
  <c r="D90" i="14"/>
  <c r="AR90" i="14" s="1"/>
  <c r="C90" i="14"/>
  <c r="B90" i="14"/>
  <c r="A91" i="14"/>
  <c r="E90" i="14"/>
  <c r="AF89" i="14"/>
  <c r="AP89" i="14"/>
  <c r="AH89" i="14"/>
  <c r="AG89" i="14"/>
  <c r="AQ89" i="14"/>
  <c r="AD90" i="14" l="1"/>
  <c r="AC90" i="14"/>
  <c r="D91" i="16"/>
  <c r="D91" i="14"/>
  <c r="AR91" i="14" s="1"/>
  <c r="C91" i="14"/>
  <c r="B91" i="14"/>
  <c r="E91" i="14"/>
  <c r="A92" i="14"/>
  <c r="AF90" i="14"/>
  <c r="AQ90" i="14"/>
  <c r="AH90" i="14"/>
  <c r="AP90" i="14"/>
  <c r="AG90" i="14"/>
  <c r="AD91" i="14" l="1"/>
  <c r="AC91" i="14"/>
  <c r="D92" i="16"/>
  <c r="E92" i="14"/>
  <c r="D92" i="14"/>
  <c r="AR92" i="14" s="1"/>
  <c r="C92" i="14"/>
  <c r="A93" i="14"/>
  <c r="B92" i="14"/>
  <c r="AG91" i="14"/>
  <c r="AH91" i="14"/>
  <c r="AQ91" i="14"/>
  <c r="AP91" i="14"/>
  <c r="AF91" i="14"/>
  <c r="AD92" i="14" l="1"/>
  <c r="AC92" i="14"/>
  <c r="D93" i="16"/>
  <c r="D93" i="14"/>
  <c r="AR93" i="14" s="1"/>
  <c r="E93" i="14"/>
  <c r="C93" i="14"/>
  <c r="B93" i="14"/>
  <c r="A94" i="14"/>
  <c r="AF92" i="14"/>
  <c r="AP92" i="14"/>
  <c r="AQ92" i="14"/>
  <c r="AH92" i="14"/>
  <c r="AG92" i="14"/>
  <c r="AD93" i="14" l="1"/>
  <c r="AC93" i="14"/>
  <c r="D94" i="16"/>
  <c r="C94" i="14"/>
  <c r="D94" i="14"/>
  <c r="AR94" i="14" s="1"/>
  <c r="E94" i="14"/>
  <c r="A95" i="14"/>
  <c r="B94" i="14"/>
  <c r="AQ93" i="14"/>
  <c r="AH93" i="14"/>
  <c r="AG93" i="14"/>
  <c r="AF93" i="14"/>
  <c r="AP93" i="14"/>
  <c r="AD94" i="14" l="1"/>
  <c r="AC94" i="14"/>
  <c r="D95" i="16"/>
  <c r="C95" i="14"/>
  <c r="A96" i="14"/>
  <c r="E95" i="14"/>
  <c r="D95" i="14"/>
  <c r="AR95" i="14" s="1"/>
  <c r="B95" i="14"/>
  <c r="AH94" i="14"/>
  <c r="AQ94" i="14"/>
  <c r="AP94" i="14"/>
  <c r="AG94" i="14"/>
  <c r="AF94" i="14"/>
  <c r="AD95" i="14" l="1"/>
  <c r="AC95" i="14"/>
  <c r="D96" i="16"/>
  <c r="A97" i="14"/>
  <c r="B96" i="14"/>
  <c r="E96" i="14"/>
  <c r="D96" i="14"/>
  <c r="AR96" i="14" s="1"/>
  <c r="C96" i="14"/>
  <c r="AP95" i="14"/>
  <c r="AG95" i="14"/>
  <c r="AF95" i="14"/>
  <c r="AH95" i="14"/>
  <c r="AQ95" i="14"/>
  <c r="AD96" i="14" l="1"/>
  <c r="AC96" i="14"/>
  <c r="D97" i="16"/>
  <c r="A98" i="14"/>
  <c r="C97" i="14"/>
  <c r="B97" i="14"/>
  <c r="E97" i="14"/>
  <c r="D97" i="14"/>
  <c r="AR97" i="14" s="1"/>
  <c r="AH96" i="14"/>
  <c r="AQ96" i="14"/>
  <c r="AP96" i="14"/>
  <c r="AG96" i="14"/>
  <c r="AF96" i="14"/>
  <c r="AD97" i="14" l="1"/>
  <c r="AC97" i="14"/>
  <c r="D98" i="16"/>
  <c r="C98" i="14"/>
  <c r="A99" i="14"/>
  <c r="E98" i="14"/>
  <c r="D98" i="14"/>
  <c r="AR98" i="14" s="1"/>
  <c r="B98" i="14"/>
  <c r="AF97" i="14"/>
  <c r="AH97" i="14"/>
  <c r="AG97" i="14"/>
  <c r="AP97" i="14"/>
  <c r="AQ97" i="14"/>
  <c r="AD98" i="14" l="1"/>
  <c r="AC98" i="14"/>
  <c r="D99" i="16"/>
  <c r="C99" i="14"/>
  <c r="B99" i="14"/>
  <c r="A100" i="14"/>
  <c r="E99" i="14"/>
  <c r="D99" i="14"/>
  <c r="AR99" i="14" s="1"/>
  <c r="AF98" i="14"/>
  <c r="AQ98" i="14"/>
  <c r="AH98" i="14"/>
  <c r="AP98" i="14"/>
  <c r="AG98" i="14"/>
  <c r="AD99" i="14" l="1"/>
  <c r="AC99" i="14"/>
  <c r="D100" i="16"/>
  <c r="A101" i="14"/>
  <c r="D100" i="14"/>
  <c r="AR100" i="14" s="1"/>
  <c r="E100" i="14"/>
  <c r="C100" i="14"/>
  <c r="B100" i="14"/>
  <c r="AH99" i="14"/>
  <c r="AP99" i="14"/>
  <c r="AQ99" i="14"/>
  <c r="AG99" i="14"/>
  <c r="AF99" i="14"/>
  <c r="AD100" i="14" l="1"/>
  <c r="AC100" i="14"/>
  <c r="D101" i="16"/>
  <c r="B101" i="14"/>
  <c r="C101" i="14"/>
  <c r="A102" i="14"/>
  <c r="E101" i="14"/>
  <c r="D101" i="14"/>
  <c r="AR101" i="14" s="1"/>
  <c r="AP100" i="14"/>
  <c r="AG100" i="14"/>
  <c r="AF100" i="14"/>
  <c r="AH100" i="14"/>
  <c r="AQ100" i="14"/>
  <c r="AD101" i="14" l="1"/>
  <c r="AC101" i="14"/>
  <c r="D102" i="16"/>
  <c r="C102" i="14"/>
  <c r="A103" i="14"/>
  <c r="B102" i="14"/>
  <c r="D102" i="14"/>
  <c r="AR102" i="14" s="1"/>
  <c r="E102" i="14"/>
  <c r="AH101" i="14"/>
  <c r="AG101" i="14"/>
  <c r="AF101" i="14"/>
  <c r="AQ101" i="14"/>
  <c r="AP101" i="14"/>
  <c r="AD102" i="14" l="1"/>
  <c r="AC102" i="14"/>
  <c r="D103" i="16"/>
  <c r="D103" i="14"/>
  <c r="AR103" i="14" s="1"/>
  <c r="B103" i="14"/>
  <c r="A104" i="14"/>
  <c r="E103" i="14"/>
  <c r="C103" i="14"/>
  <c r="AP102" i="14"/>
  <c r="AQ102" i="14"/>
  <c r="AF102" i="14"/>
  <c r="AG102" i="14"/>
  <c r="AH102" i="14"/>
  <c r="AD103" i="14" l="1"/>
  <c r="AC103" i="14"/>
  <c r="D104" i="16"/>
  <c r="A105" i="14"/>
  <c r="D104" i="14"/>
  <c r="AR104" i="14" s="1"/>
  <c r="E104" i="14"/>
  <c r="C104" i="14"/>
  <c r="B104" i="14"/>
  <c r="AG103" i="14"/>
  <c r="AF103" i="14"/>
  <c r="AP103" i="14"/>
  <c r="AQ103" i="14"/>
  <c r="AH103" i="14"/>
  <c r="AD104" i="14" l="1"/>
  <c r="AC104" i="14"/>
  <c r="D105" i="16"/>
  <c r="C105" i="14"/>
  <c r="B105" i="14"/>
  <c r="A106" i="14"/>
  <c r="E105" i="14"/>
  <c r="D105" i="14"/>
  <c r="AR105" i="14" s="1"/>
  <c r="AH104" i="14"/>
  <c r="AQ104" i="14"/>
  <c r="AP104" i="14"/>
  <c r="AG104" i="14"/>
  <c r="AF104" i="14"/>
  <c r="AD105" i="14" l="1"/>
  <c r="AC105" i="14"/>
  <c r="D106" i="16"/>
  <c r="A107" i="14"/>
  <c r="C106" i="14"/>
  <c r="B106" i="14"/>
  <c r="E106" i="14"/>
  <c r="D106" i="14"/>
  <c r="AR106" i="14" s="1"/>
  <c r="AG105" i="14"/>
  <c r="AP105" i="14"/>
  <c r="AH105" i="14"/>
  <c r="AF105" i="14"/>
  <c r="AQ105" i="14"/>
  <c r="AD106" i="14" l="1"/>
  <c r="AC106" i="14"/>
  <c r="D107" i="16"/>
  <c r="E107" i="14"/>
  <c r="C107" i="14"/>
  <c r="B107" i="14"/>
  <c r="D107" i="14"/>
  <c r="AR107" i="14" s="1"/>
  <c r="A108" i="14"/>
  <c r="AQ106" i="14"/>
  <c r="AF106" i="14"/>
  <c r="AG106" i="14"/>
  <c r="AP106" i="14"/>
  <c r="AH106" i="14"/>
  <c r="AD107" i="14" l="1"/>
  <c r="AC107" i="14"/>
  <c r="D108" i="16"/>
  <c r="A109" i="14"/>
  <c r="D108" i="14"/>
  <c r="AR108" i="14" s="1"/>
  <c r="E108" i="14"/>
  <c r="C108" i="14"/>
  <c r="B108" i="14"/>
  <c r="AH107" i="14"/>
  <c r="AG107" i="14"/>
  <c r="AQ107" i="14"/>
  <c r="AP107" i="14"/>
  <c r="AF107" i="14"/>
  <c r="AD108" i="14" l="1"/>
  <c r="AC108" i="14"/>
  <c r="D109" i="16"/>
  <c r="D109" i="14"/>
  <c r="AR109" i="14" s="1"/>
  <c r="A110" i="14"/>
  <c r="E109" i="14"/>
  <c r="C109" i="14"/>
  <c r="B109" i="14"/>
  <c r="AG108" i="14"/>
  <c r="AP108" i="14"/>
  <c r="AH108" i="14"/>
  <c r="AQ108" i="14"/>
  <c r="AF108" i="14"/>
  <c r="AD109" i="14" l="1"/>
  <c r="AC109" i="14"/>
  <c r="D110" i="16"/>
  <c r="C110" i="14"/>
  <c r="A111" i="14"/>
  <c r="E110" i="14"/>
  <c r="D110" i="14"/>
  <c r="AR110" i="14" s="1"/>
  <c r="B110" i="14"/>
  <c r="AF109" i="14"/>
  <c r="AG109" i="14"/>
  <c r="AP109" i="14"/>
  <c r="AQ109" i="14"/>
  <c r="AH109" i="14"/>
  <c r="AD110" i="14" l="1"/>
  <c r="AC110" i="14"/>
  <c r="D111" i="16"/>
  <c r="A112" i="14"/>
  <c r="B111" i="14"/>
  <c r="C111" i="14"/>
  <c r="E111" i="14"/>
  <c r="D111" i="14"/>
  <c r="AR111" i="14" s="1"/>
  <c r="AP110" i="14"/>
  <c r="AG110" i="14"/>
  <c r="AH110" i="14"/>
  <c r="AQ110" i="14"/>
  <c r="AF110" i="14"/>
  <c r="AD111" i="14" l="1"/>
  <c r="AC111" i="14"/>
  <c r="D112" i="16"/>
  <c r="A113" i="14"/>
  <c r="D112" i="14"/>
  <c r="AR112" i="14" s="1"/>
  <c r="E112" i="14"/>
  <c r="C112" i="14"/>
  <c r="B112" i="14"/>
  <c r="AQ111" i="14"/>
  <c r="AG111" i="14"/>
  <c r="AF111" i="14"/>
  <c r="AP111" i="14"/>
  <c r="AH111" i="14"/>
  <c r="AD112" i="14" l="1"/>
  <c r="AC112" i="14"/>
  <c r="D113" i="16"/>
  <c r="A114" i="14"/>
  <c r="E113" i="14"/>
  <c r="D113" i="14"/>
  <c r="AR113" i="14" s="1"/>
  <c r="C113" i="14"/>
  <c r="B113" i="14"/>
  <c r="AQ112" i="14"/>
  <c r="AF112" i="14"/>
  <c r="AH112" i="14"/>
  <c r="AP112" i="14"/>
  <c r="AG112" i="14"/>
  <c r="AD113" i="14" l="1"/>
  <c r="AC113" i="14"/>
  <c r="D114" i="16"/>
  <c r="B114" i="14"/>
  <c r="E114" i="14"/>
  <c r="D114" i="14"/>
  <c r="AR114" i="14" s="1"/>
  <c r="C114" i="14"/>
  <c r="A115" i="14"/>
  <c r="AP113" i="14"/>
  <c r="AQ113" i="14"/>
  <c r="AG113" i="14"/>
  <c r="AF113" i="14"/>
  <c r="AH113" i="14"/>
  <c r="AD114" i="14" l="1"/>
  <c r="AC114" i="14"/>
  <c r="D115" i="16"/>
  <c r="E115" i="14"/>
  <c r="D115" i="14"/>
  <c r="AR115" i="14" s="1"/>
  <c r="C115" i="14"/>
  <c r="B115" i="14"/>
  <c r="A116" i="14"/>
  <c r="AQ114" i="14"/>
  <c r="AH114" i="14"/>
  <c r="AG114" i="14"/>
  <c r="AF114" i="14"/>
  <c r="AP114" i="14"/>
  <c r="AD115" i="14" l="1"/>
  <c r="AC115" i="14"/>
  <c r="D116" i="16"/>
  <c r="A117" i="14"/>
  <c r="D116" i="14"/>
  <c r="AR116" i="14" s="1"/>
  <c r="E116" i="14"/>
  <c r="C116" i="14"/>
  <c r="B116" i="14"/>
  <c r="AQ115" i="14"/>
  <c r="AG115" i="14"/>
  <c r="AF115" i="14"/>
  <c r="AP115" i="14"/>
  <c r="AH115" i="14"/>
  <c r="AD116" i="14" l="1"/>
  <c r="AC116" i="14"/>
  <c r="D117" i="16"/>
  <c r="A118" i="14"/>
  <c r="E117" i="14"/>
  <c r="D117" i="14"/>
  <c r="AR117" i="14" s="1"/>
  <c r="C117" i="14"/>
  <c r="B117" i="14"/>
  <c r="AH116" i="14"/>
  <c r="AP116" i="14"/>
  <c r="AF116" i="14"/>
  <c r="AG116" i="14"/>
  <c r="AQ116" i="14"/>
  <c r="AD117" i="14" l="1"/>
  <c r="AC117" i="14"/>
  <c r="D118" i="16"/>
  <c r="A119" i="14"/>
  <c r="C118" i="14"/>
  <c r="B118" i="14"/>
  <c r="D118" i="14"/>
  <c r="AR118" i="14" s="1"/>
  <c r="E118" i="14"/>
  <c r="AQ117" i="14"/>
  <c r="AH117" i="14"/>
  <c r="AP117" i="14"/>
  <c r="AF117" i="14"/>
  <c r="AG117" i="14"/>
  <c r="AD118" i="14" l="1"/>
  <c r="AC118" i="14"/>
  <c r="D119" i="16"/>
  <c r="E119" i="14"/>
  <c r="D119" i="14"/>
  <c r="AR119" i="14" s="1"/>
  <c r="C119" i="14"/>
  <c r="B119" i="14"/>
  <c r="A120" i="14"/>
  <c r="AP118" i="14"/>
  <c r="AG118" i="14"/>
  <c r="AQ118" i="14"/>
  <c r="AH118" i="14"/>
  <c r="AF118" i="14"/>
  <c r="AD119" i="14" l="1"/>
  <c r="AC119" i="14"/>
  <c r="D120" i="16"/>
  <c r="A121" i="14"/>
  <c r="D120" i="14"/>
  <c r="AR120" i="14" s="1"/>
  <c r="B120" i="14"/>
  <c r="E120" i="14"/>
  <c r="C120" i="14"/>
  <c r="AG119" i="14"/>
  <c r="AF119" i="14"/>
  <c r="AH119" i="14"/>
  <c r="AP119" i="14"/>
  <c r="AQ119" i="14"/>
  <c r="AD120" i="14" l="1"/>
  <c r="AC120" i="14"/>
  <c r="D121" i="16"/>
  <c r="D121" i="14"/>
  <c r="AR121" i="14" s="1"/>
  <c r="A122" i="14"/>
  <c r="C121" i="14"/>
  <c r="B121" i="14"/>
  <c r="E121" i="14"/>
  <c r="AG120" i="14"/>
  <c r="AF120" i="14"/>
  <c r="AH120" i="14"/>
  <c r="AP120" i="14"/>
  <c r="AQ120" i="14"/>
  <c r="AD121" i="14" l="1"/>
  <c r="AC121" i="14"/>
  <c r="D122" i="16"/>
  <c r="E122" i="14"/>
  <c r="C122" i="14"/>
  <c r="B122" i="14"/>
  <c r="A123" i="14"/>
  <c r="D122" i="14"/>
  <c r="AR122" i="14" s="1"/>
  <c r="AF121" i="14"/>
  <c r="AP121" i="14"/>
  <c r="AG121" i="14"/>
  <c r="AH121" i="14"/>
  <c r="AQ121" i="14"/>
  <c r="AD122" i="14" l="1"/>
  <c r="AC122" i="14"/>
  <c r="D123" i="16"/>
  <c r="E123" i="14"/>
  <c r="D123" i="14"/>
  <c r="AR123" i="14" s="1"/>
  <c r="A124" i="14"/>
  <c r="C123" i="14"/>
  <c r="B123" i="14"/>
  <c r="AP122" i="14"/>
  <c r="AH122" i="14"/>
  <c r="AF122" i="14"/>
  <c r="AG122" i="14"/>
  <c r="AQ122" i="14"/>
  <c r="AD123" i="14" l="1"/>
  <c r="AC123" i="14"/>
  <c r="D124" i="16"/>
  <c r="A125" i="14"/>
  <c r="D124" i="14"/>
  <c r="AR124" i="14" s="1"/>
  <c r="E124" i="14"/>
  <c r="C124" i="14"/>
  <c r="B124" i="14"/>
  <c r="AG123" i="14"/>
  <c r="AP123" i="14"/>
  <c r="AH123" i="14"/>
  <c r="AQ123" i="14"/>
  <c r="AF123" i="14"/>
  <c r="AD124" i="14" l="1"/>
  <c r="AC124" i="14"/>
  <c r="D125" i="16"/>
  <c r="D125" i="14"/>
  <c r="AR125" i="14" s="1"/>
  <c r="A126" i="14"/>
  <c r="E125" i="14"/>
  <c r="C125" i="14"/>
  <c r="B125" i="14"/>
  <c r="AG124" i="14"/>
  <c r="AH124" i="14"/>
  <c r="AQ124" i="14"/>
  <c r="AF124" i="14"/>
  <c r="AP124" i="14"/>
  <c r="AD125" i="14" l="1"/>
  <c r="AC125" i="14"/>
  <c r="D126" i="16"/>
  <c r="C126" i="14"/>
  <c r="E126" i="14"/>
  <c r="D126" i="14"/>
  <c r="AR126" i="14" s="1"/>
  <c r="B126" i="14"/>
  <c r="A127" i="14"/>
  <c r="AH125" i="14"/>
  <c r="AG125" i="14"/>
  <c r="AQ125" i="14"/>
  <c r="AP125" i="14"/>
  <c r="AF125" i="14"/>
  <c r="AD126" i="14" l="1"/>
  <c r="AC126" i="14"/>
  <c r="D127" i="16"/>
  <c r="A128" i="14"/>
  <c r="B127" i="14"/>
  <c r="E127" i="14"/>
  <c r="D127" i="14"/>
  <c r="AR127" i="14" s="1"/>
  <c r="C127" i="14"/>
  <c r="AQ126" i="14"/>
  <c r="AF126" i="14"/>
  <c r="AG126" i="14"/>
  <c r="AH126" i="14"/>
  <c r="AP126" i="14"/>
  <c r="AD127" i="14" l="1"/>
  <c r="AC127" i="14"/>
  <c r="D128" i="16"/>
  <c r="A129" i="14"/>
  <c r="D128" i="14"/>
  <c r="AR128" i="14" s="1"/>
  <c r="B128" i="14"/>
  <c r="E128" i="14"/>
  <c r="C128" i="14"/>
  <c r="AG127" i="14"/>
  <c r="AF127" i="14"/>
  <c r="AQ127" i="14"/>
  <c r="AH127" i="14"/>
  <c r="AP127" i="14"/>
  <c r="AD128" i="14" l="1"/>
  <c r="AC128" i="14"/>
  <c r="D129" i="16"/>
  <c r="C129" i="14"/>
  <c r="B129" i="14"/>
  <c r="A130" i="14"/>
  <c r="E129" i="14"/>
  <c r="D129" i="14"/>
  <c r="AR129" i="14" s="1"/>
  <c r="AQ128" i="14"/>
  <c r="AG128" i="14"/>
  <c r="AF128" i="14"/>
  <c r="AH128" i="14"/>
  <c r="AP128" i="14"/>
  <c r="AD129" i="14" l="1"/>
  <c r="AC129" i="14"/>
  <c r="D130" i="16"/>
  <c r="D130" i="14"/>
  <c r="AR130" i="14" s="1"/>
  <c r="E130" i="14"/>
  <c r="C130" i="14"/>
  <c r="A131" i="14"/>
  <c r="B130" i="14"/>
  <c r="AH129" i="14"/>
  <c r="AQ129" i="14"/>
  <c r="AG129" i="14"/>
  <c r="AP129" i="14"/>
  <c r="AF129" i="14"/>
  <c r="AD130" i="14" l="1"/>
  <c r="AC130" i="14"/>
  <c r="D131" i="16"/>
  <c r="E131" i="14"/>
  <c r="B131" i="14"/>
  <c r="A132" i="14"/>
  <c r="C131" i="14"/>
  <c r="D131" i="14"/>
  <c r="AR131" i="14" s="1"/>
  <c r="AG130" i="14"/>
  <c r="AQ130" i="14"/>
  <c r="AP130" i="14"/>
  <c r="AH130" i="14"/>
  <c r="AF130" i="14"/>
  <c r="AD131" i="14" l="1"/>
  <c r="AC131" i="14"/>
  <c r="D132" i="16"/>
  <c r="A133" i="14"/>
  <c r="D132" i="14"/>
  <c r="AR132" i="14" s="1"/>
  <c r="E132" i="14"/>
  <c r="C132" i="14"/>
  <c r="B132" i="14"/>
  <c r="AF131" i="14"/>
  <c r="AP131" i="14"/>
  <c r="AQ131" i="14"/>
  <c r="AH131" i="14"/>
  <c r="AG131" i="14"/>
  <c r="AD132" i="14" l="1"/>
  <c r="AC132" i="14"/>
  <c r="D133" i="16"/>
  <c r="C133" i="14"/>
  <c r="B133" i="14"/>
  <c r="A134" i="14"/>
  <c r="E133" i="14"/>
  <c r="D133" i="14"/>
  <c r="AR133" i="14" s="1"/>
  <c r="AF132" i="14"/>
  <c r="AP132" i="14"/>
  <c r="AG132" i="14"/>
  <c r="AQ132" i="14"/>
  <c r="AH132" i="14"/>
  <c r="AD133" i="14" l="1"/>
  <c r="AC133" i="14"/>
  <c r="D134" i="16"/>
  <c r="E134" i="14"/>
  <c r="D134" i="14"/>
  <c r="AR134" i="14" s="1"/>
  <c r="C134" i="14"/>
  <c r="B134" i="14"/>
  <c r="A135" i="14"/>
  <c r="AH133" i="14"/>
  <c r="AG133" i="14"/>
  <c r="AQ133" i="14"/>
  <c r="AP133" i="14"/>
  <c r="AF133" i="14"/>
  <c r="AD134" i="14" l="1"/>
  <c r="AC134" i="14"/>
  <c r="D135" i="16"/>
  <c r="A136" i="14"/>
  <c r="E135" i="14"/>
  <c r="B135" i="14"/>
  <c r="D135" i="14"/>
  <c r="AR135" i="14" s="1"/>
  <c r="C135" i="14"/>
  <c r="AG134" i="14"/>
  <c r="AF134" i="14"/>
  <c r="AP134" i="14"/>
  <c r="AQ134" i="14"/>
  <c r="AH134" i="14"/>
  <c r="AD135" i="14" l="1"/>
  <c r="AC135" i="14"/>
  <c r="D136" i="16"/>
  <c r="A137" i="14"/>
  <c r="D136" i="14"/>
  <c r="AR136" i="14" s="1"/>
  <c r="C136" i="14"/>
  <c r="B136" i="14"/>
  <c r="E136" i="14"/>
  <c r="AG135" i="14"/>
  <c r="AP135" i="14"/>
  <c r="AH135" i="14"/>
  <c r="AF135" i="14"/>
  <c r="AQ135" i="14"/>
  <c r="AD136" i="14" l="1"/>
  <c r="AC136" i="14"/>
  <c r="D137" i="16"/>
  <c r="D137" i="14"/>
  <c r="AR137" i="14" s="1"/>
  <c r="C137" i="14"/>
  <c r="B137" i="14"/>
  <c r="E137" i="14"/>
  <c r="A138" i="14"/>
  <c r="AQ136" i="14"/>
  <c r="AG136" i="14"/>
  <c r="AF136" i="14"/>
  <c r="AH136" i="14"/>
  <c r="AP136" i="14"/>
  <c r="AD137" i="14" l="1"/>
  <c r="AC137" i="14"/>
  <c r="D138" i="16"/>
  <c r="B138" i="14"/>
  <c r="E138" i="14"/>
  <c r="A139" i="14"/>
  <c r="D138" i="14"/>
  <c r="AR138" i="14" s="1"/>
  <c r="C138" i="14"/>
  <c r="AP137" i="14"/>
  <c r="AF137" i="14"/>
  <c r="AH137" i="14"/>
  <c r="AQ137" i="14"/>
  <c r="AG137" i="14"/>
  <c r="AD138" i="14" l="1"/>
  <c r="AC138" i="14"/>
  <c r="D139" i="16"/>
  <c r="E139" i="14"/>
  <c r="D139" i="14"/>
  <c r="AR139" i="14" s="1"/>
  <c r="C139" i="14"/>
  <c r="A140" i="14"/>
  <c r="B139" i="14"/>
  <c r="AF138" i="14"/>
  <c r="AG138" i="14"/>
  <c r="AQ138" i="14"/>
  <c r="AH138" i="14"/>
  <c r="AP138" i="14"/>
  <c r="AD139" i="14" l="1"/>
  <c r="AC139" i="14"/>
  <c r="D140" i="16"/>
  <c r="A141" i="14"/>
  <c r="D140" i="14"/>
  <c r="AR140" i="14" s="1"/>
  <c r="E140" i="14"/>
  <c r="C140" i="14"/>
  <c r="B140" i="14"/>
  <c r="AF139" i="14"/>
  <c r="AQ139" i="14"/>
  <c r="AP139" i="14"/>
  <c r="AG139" i="14"/>
  <c r="AH139" i="14"/>
  <c r="AD140" i="14" l="1"/>
  <c r="AC140" i="14"/>
  <c r="D141" i="16"/>
  <c r="D141" i="14"/>
  <c r="AR141" i="14" s="1"/>
  <c r="C141" i="14"/>
  <c r="A142" i="14"/>
  <c r="B141" i="14"/>
  <c r="E141" i="14"/>
  <c r="AH140" i="14"/>
  <c r="AF140" i="14"/>
  <c r="AG140" i="14"/>
  <c r="AQ140" i="14"/>
  <c r="AP140" i="14"/>
  <c r="AD141" i="14" l="1"/>
  <c r="AC141" i="14"/>
  <c r="D142" i="16"/>
  <c r="C142" i="14"/>
  <c r="A143" i="14"/>
  <c r="B142" i="14"/>
  <c r="E142" i="14"/>
  <c r="D142" i="14"/>
  <c r="AR142" i="14" s="1"/>
  <c r="AQ141" i="14"/>
  <c r="AF141" i="14"/>
  <c r="AG141" i="14"/>
  <c r="AP141" i="14"/>
  <c r="AH141" i="14"/>
  <c r="AD142" i="14" l="1"/>
  <c r="AC142" i="14"/>
  <c r="D143" i="16"/>
  <c r="A144" i="14"/>
  <c r="B143" i="14"/>
  <c r="E143" i="14"/>
  <c r="D143" i="14"/>
  <c r="AR143" i="14" s="1"/>
  <c r="C143" i="14"/>
  <c r="AG142" i="14"/>
  <c r="AP142" i="14"/>
  <c r="AQ142" i="14"/>
  <c r="AH142" i="14"/>
  <c r="AF142" i="14"/>
  <c r="AD143" i="14" l="1"/>
  <c r="AC143" i="14"/>
  <c r="D144" i="16"/>
  <c r="A145" i="14"/>
  <c r="D144" i="14"/>
  <c r="AR144" i="14" s="1"/>
  <c r="E144" i="14"/>
  <c r="C144" i="14"/>
  <c r="B144" i="14"/>
  <c r="AH143" i="14"/>
  <c r="AP143" i="14"/>
  <c r="AQ143" i="14"/>
  <c r="AG143" i="14"/>
  <c r="AF143" i="14"/>
  <c r="AD144" i="14" l="1"/>
  <c r="AC144" i="14"/>
  <c r="D145" i="16"/>
  <c r="C145" i="14"/>
  <c r="B145" i="14"/>
  <c r="E145" i="14"/>
  <c r="A146" i="14"/>
  <c r="D145" i="14"/>
  <c r="AR145" i="14" s="1"/>
  <c r="AF144" i="14"/>
  <c r="AG144" i="14"/>
  <c r="AH144" i="14"/>
  <c r="AQ144" i="14"/>
  <c r="AP144" i="14"/>
  <c r="AD145" i="14" l="1"/>
  <c r="AC145" i="14"/>
  <c r="D146" i="16"/>
  <c r="D146" i="14"/>
  <c r="AR146" i="14" s="1"/>
  <c r="A147" i="14"/>
  <c r="C146" i="14"/>
  <c r="B146" i="14"/>
  <c r="E146" i="14"/>
  <c r="AH145" i="14"/>
  <c r="AF145" i="14"/>
  <c r="AQ145" i="14"/>
  <c r="AG145" i="14"/>
  <c r="AP145" i="14"/>
  <c r="AD146" i="14" l="1"/>
  <c r="AC146" i="14"/>
  <c r="D147" i="16"/>
  <c r="D147" i="14"/>
  <c r="AR147" i="14" s="1"/>
  <c r="C147" i="14"/>
  <c r="B147" i="14"/>
  <c r="A148" i="14"/>
  <c r="E147" i="14"/>
  <c r="AF146" i="14"/>
  <c r="AH146" i="14"/>
  <c r="AQ146" i="14"/>
  <c r="AP146" i="14"/>
  <c r="AG146" i="14"/>
  <c r="AD147" i="14" l="1"/>
  <c r="AC147" i="14"/>
  <c r="D148" i="16"/>
  <c r="A149" i="14"/>
  <c r="D148" i="14"/>
  <c r="AR148" i="14" s="1"/>
  <c r="B148" i="14"/>
  <c r="E148" i="14"/>
  <c r="C148" i="14"/>
  <c r="AP147" i="14"/>
  <c r="AG147" i="14"/>
  <c r="AF147" i="14"/>
  <c r="AQ147" i="14"/>
  <c r="AH147" i="14"/>
  <c r="AD148" i="14" l="1"/>
  <c r="AC148" i="14"/>
  <c r="D149" i="16"/>
  <c r="A150" i="14"/>
  <c r="E149" i="14"/>
  <c r="D149" i="14"/>
  <c r="AR149" i="14" s="1"/>
  <c r="B149" i="14"/>
  <c r="C149" i="14"/>
  <c r="AQ148" i="14"/>
  <c r="AG148" i="14"/>
  <c r="AP148" i="14"/>
  <c r="AH148" i="14"/>
  <c r="AF148" i="14"/>
  <c r="AD149" i="14" l="1"/>
  <c r="AC149" i="14"/>
  <c r="D150" i="16"/>
  <c r="D150" i="14"/>
  <c r="AR150" i="14" s="1"/>
  <c r="C150" i="14"/>
  <c r="B150" i="14"/>
  <c r="A151" i="14"/>
  <c r="E150" i="14"/>
  <c r="AG149" i="14"/>
  <c r="AP149" i="14"/>
  <c r="AQ149" i="14"/>
  <c r="AH149" i="14"/>
  <c r="AF149" i="14"/>
  <c r="AD150" i="14" l="1"/>
  <c r="AC150" i="14"/>
  <c r="D151" i="16"/>
  <c r="A152" i="14"/>
  <c r="E151" i="14"/>
  <c r="D151" i="14"/>
  <c r="AR151" i="14" s="1"/>
  <c r="C151" i="14"/>
  <c r="B151" i="14"/>
  <c r="AQ150" i="14"/>
  <c r="AG150" i="14"/>
  <c r="AH150" i="14"/>
  <c r="AF150" i="14"/>
  <c r="AP150" i="14"/>
  <c r="AD151" i="14" l="1"/>
  <c r="AC151" i="14"/>
  <c r="D152" i="16"/>
  <c r="A153" i="14"/>
  <c r="D152" i="14"/>
  <c r="AR152" i="14" s="1"/>
  <c r="B152" i="14"/>
  <c r="C152" i="14"/>
  <c r="E152" i="14"/>
  <c r="AG151" i="14"/>
  <c r="AH151" i="14"/>
  <c r="AP151" i="14"/>
  <c r="AQ151" i="14"/>
  <c r="AF151" i="14"/>
  <c r="AD152" i="14" l="1"/>
  <c r="AC152" i="14"/>
  <c r="D153" i="16"/>
  <c r="E153" i="14"/>
  <c r="C153" i="14"/>
  <c r="B153" i="14"/>
  <c r="A154" i="14"/>
  <c r="D153" i="14"/>
  <c r="AR153" i="14" s="1"/>
  <c r="AF152" i="14"/>
  <c r="AG152" i="14"/>
  <c r="AP152" i="14"/>
  <c r="AH152" i="14"/>
  <c r="AQ152" i="14"/>
  <c r="AD153" i="14" l="1"/>
  <c r="AC153" i="14"/>
  <c r="D154" i="16"/>
  <c r="E154" i="14"/>
  <c r="D154" i="14"/>
  <c r="AR154" i="14" s="1"/>
  <c r="C154" i="14"/>
  <c r="B154" i="14"/>
  <c r="A155" i="14"/>
  <c r="AG153" i="14"/>
  <c r="AF153" i="14"/>
  <c r="AP153" i="14"/>
  <c r="AQ153" i="14"/>
  <c r="AH153" i="14"/>
  <c r="AD154" i="14" l="1"/>
  <c r="AC154" i="14"/>
  <c r="D155" i="16"/>
  <c r="E155" i="14"/>
  <c r="C155" i="14"/>
  <c r="B155" i="14"/>
  <c r="D155" i="14"/>
  <c r="AR155" i="14" s="1"/>
  <c r="A156" i="14"/>
  <c r="AF154" i="14"/>
  <c r="AQ154" i="14"/>
  <c r="AH154" i="14"/>
  <c r="AP154" i="14"/>
  <c r="AG154" i="14"/>
  <c r="AD155" i="14" l="1"/>
  <c r="AC155" i="14"/>
  <c r="D156" i="16"/>
  <c r="A157" i="14"/>
  <c r="D156" i="14"/>
  <c r="AR156" i="14" s="1"/>
  <c r="C156" i="14"/>
  <c r="E156" i="14"/>
  <c r="B156" i="14"/>
  <c r="AH155" i="14"/>
  <c r="AQ155" i="14"/>
  <c r="AP155" i="14"/>
  <c r="AF155" i="14"/>
  <c r="AG155" i="14"/>
  <c r="AD156" i="14" l="1"/>
  <c r="AC156" i="14"/>
  <c r="D157" i="16"/>
  <c r="A158" i="14"/>
  <c r="E157" i="14"/>
  <c r="D157" i="14"/>
  <c r="AR157" i="14" s="1"/>
  <c r="C157" i="14"/>
  <c r="B157" i="14"/>
  <c r="AQ156" i="14"/>
  <c r="AG156" i="14"/>
  <c r="AP156" i="14"/>
  <c r="AF156" i="14"/>
  <c r="AH156" i="14"/>
  <c r="AD157" i="14" l="1"/>
  <c r="AC157" i="14"/>
  <c r="D158" i="16"/>
  <c r="A159" i="14"/>
  <c r="D158" i="14"/>
  <c r="AR158" i="14" s="1"/>
  <c r="C158" i="14"/>
  <c r="B158" i="14"/>
  <c r="E158" i="14"/>
  <c r="AH157" i="14"/>
  <c r="AG157" i="14"/>
  <c r="AF157" i="14"/>
  <c r="AQ157" i="14"/>
  <c r="AP157" i="14"/>
  <c r="AD158" i="14" l="1"/>
  <c r="AC158" i="14"/>
  <c r="D159" i="16"/>
  <c r="A160" i="14"/>
  <c r="E159" i="14"/>
  <c r="D159" i="14"/>
  <c r="AR159" i="14" s="1"/>
  <c r="C159" i="14"/>
  <c r="B159" i="14"/>
  <c r="AP158" i="14"/>
  <c r="AH158" i="14"/>
  <c r="AQ158" i="14"/>
  <c r="AG158" i="14"/>
  <c r="AF158" i="14"/>
  <c r="AD159" i="14" l="1"/>
  <c r="AC159" i="14"/>
  <c r="D160" i="16"/>
  <c r="A161" i="14"/>
  <c r="D160" i="14"/>
  <c r="AR160" i="14" s="1"/>
  <c r="C160" i="14"/>
  <c r="B160" i="14"/>
  <c r="E160" i="14"/>
  <c r="AQ159" i="14"/>
  <c r="AG159" i="14"/>
  <c r="AH159" i="14"/>
  <c r="AP159" i="14"/>
  <c r="AF159" i="14"/>
  <c r="AD160" i="14" l="1"/>
  <c r="AC160" i="14"/>
  <c r="D161" i="16"/>
  <c r="E161" i="14"/>
  <c r="D161" i="14"/>
  <c r="AR161" i="14" s="1"/>
  <c r="C161" i="14"/>
  <c r="B161" i="14"/>
  <c r="A162" i="14"/>
  <c r="AH160" i="14"/>
  <c r="AQ160" i="14"/>
  <c r="AP160" i="14"/>
  <c r="AG160" i="14"/>
  <c r="AF160" i="14"/>
  <c r="AD161" i="14" l="1"/>
  <c r="AC161" i="14"/>
  <c r="D162" i="16"/>
  <c r="E162" i="14"/>
  <c r="D162" i="14"/>
  <c r="AR162" i="14" s="1"/>
  <c r="C162" i="14"/>
  <c r="B162" i="14"/>
  <c r="A163" i="14"/>
  <c r="AG161" i="14"/>
  <c r="AH161" i="14"/>
  <c r="AP161" i="14"/>
  <c r="AQ161" i="14"/>
  <c r="AF161" i="14"/>
  <c r="AD162" i="14" l="1"/>
  <c r="AC162" i="14"/>
  <c r="D163" i="16"/>
  <c r="E163" i="14"/>
  <c r="B163" i="14"/>
  <c r="D163" i="14"/>
  <c r="AR163" i="14" s="1"/>
  <c r="A164" i="14"/>
  <c r="C163" i="14"/>
  <c r="AP162" i="14"/>
  <c r="AH162" i="14"/>
  <c r="AG162" i="14"/>
  <c r="AQ162" i="14"/>
  <c r="AF162" i="14"/>
  <c r="AD163" i="14" l="1"/>
  <c r="AC163" i="14"/>
  <c r="D164" i="16"/>
  <c r="A165" i="14"/>
  <c r="D164" i="14"/>
  <c r="AR164" i="14" s="1"/>
  <c r="C164" i="14"/>
  <c r="E164" i="14"/>
  <c r="B164" i="14"/>
  <c r="AF163" i="14"/>
  <c r="AP163" i="14"/>
  <c r="AH163" i="14"/>
  <c r="AG163" i="14"/>
  <c r="AQ163" i="14"/>
  <c r="AD164" i="14" l="1"/>
  <c r="AC164" i="14"/>
  <c r="D165" i="16"/>
  <c r="A166" i="14"/>
  <c r="C165" i="14"/>
  <c r="B165" i="14"/>
  <c r="E165" i="14"/>
  <c r="D165" i="14"/>
  <c r="AR165" i="14" s="1"/>
  <c r="AQ164" i="14"/>
  <c r="AH164" i="14"/>
  <c r="AG164" i="14"/>
  <c r="AF164" i="14"/>
  <c r="AP164" i="14"/>
  <c r="AD165" i="14" l="1"/>
  <c r="AC165" i="14"/>
  <c r="D166" i="16"/>
  <c r="A167" i="14"/>
  <c r="C166" i="14"/>
  <c r="B166" i="14"/>
  <c r="E166" i="14"/>
  <c r="D166" i="14"/>
  <c r="AR166" i="14" s="1"/>
  <c r="AG165" i="14"/>
  <c r="AH165" i="14"/>
  <c r="AF165" i="14"/>
  <c r="AP165" i="14"/>
  <c r="AQ165" i="14"/>
  <c r="AD166" i="14" l="1"/>
  <c r="AC166" i="14"/>
  <c r="D167" i="16"/>
  <c r="B167" i="14"/>
  <c r="C167" i="14"/>
  <c r="D167" i="14"/>
  <c r="AR167" i="14" s="1"/>
  <c r="A168" i="14"/>
  <c r="E167" i="14"/>
  <c r="AG166" i="14"/>
  <c r="AF166" i="14"/>
  <c r="AQ166" i="14"/>
  <c r="AH166" i="14"/>
  <c r="AP166" i="14"/>
  <c r="AD167" i="14" l="1"/>
  <c r="AC167" i="14"/>
  <c r="D168" i="16"/>
  <c r="E168" i="14"/>
  <c r="D168" i="14"/>
  <c r="AR168" i="14" s="1"/>
  <c r="A169" i="14"/>
  <c r="C168" i="14"/>
  <c r="B168" i="14"/>
  <c r="AQ167" i="14"/>
  <c r="AP167" i="14"/>
  <c r="AG167" i="14"/>
  <c r="AH167" i="14"/>
  <c r="AF167" i="14"/>
  <c r="AD168" i="14" l="1"/>
  <c r="AC168" i="14"/>
  <c r="D169" i="16"/>
  <c r="D169" i="14"/>
  <c r="AR169" i="14" s="1"/>
  <c r="A170" i="14"/>
  <c r="C169" i="14"/>
  <c r="B169" i="14"/>
  <c r="E169" i="14"/>
  <c r="AH168" i="14"/>
  <c r="AF168" i="14"/>
  <c r="AQ168" i="14"/>
  <c r="AG168" i="14"/>
  <c r="AP168" i="14"/>
  <c r="AD169" i="14" l="1"/>
  <c r="AC169" i="14"/>
  <c r="D170" i="16"/>
  <c r="E170" i="14"/>
  <c r="A171" i="14"/>
  <c r="B170" i="14"/>
  <c r="D170" i="14"/>
  <c r="AR170" i="14" s="1"/>
  <c r="C170" i="14"/>
  <c r="AF169" i="14"/>
  <c r="AH169" i="14"/>
  <c r="AG169" i="14"/>
  <c r="AQ169" i="14"/>
  <c r="AP169" i="14"/>
  <c r="AD170" i="14" l="1"/>
  <c r="AC170" i="14"/>
  <c r="D171" i="16"/>
  <c r="B171" i="14"/>
  <c r="E171" i="14"/>
  <c r="D171" i="14"/>
  <c r="AR171" i="14" s="1"/>
  <c r="A172" i="14"/>
  <c r="C171" i="14"/>
  <c r="AQ170" i="14"/>
  <c r="AG170" i="14"/>
  <c r="AP170" i="14"/>
  <c r="AF170" i="14"/>
  <c r="AH170" i="14"/>
  <c r="AD171" i="14" l="1"/>
  <c r="AC171" i="14"/>
  <c r="D172" i="16"/>
  <c r="E172" i="14"/>
  <c r="D172" i="14"/>
  <c r="AR172" i="14" s="1"/>
  <c r="C172" i="14"/>
  <c r="B172" i="14"/>
  <c r="A173" i="14"/>
  <c r="AQ171" i="14"/>
  <c r="AP171" i="14"/>
  <c r="AF171" i="14"/>
  <c r="AG171" i="14"/>
  <c r="AH171" i="14"/>
  <c r="AD172" i="14" l="1"/>
  <c r="AC172" i="14"/>
  <c r="D173" i="16"/>
  <c r="D173" i="14"/>
  <c r="AR173" i="14" s="1"/>
  <c r="C173" i="14"/>
  <c r="B173" i="14"/>
  <c r="A174" i="14"/>
  <c r="E173" i="14"/>
  <c r="AF172" i="14"/>
  <c r="AP172" i="14"/>
  <c r="AG172" i="14"/>
  <c r="AH172" i="14"/>
  <c r="AQ172" i="14"/>
  <c r="AD173" i="14" l="1"/>
  <c r="AC173" i="14"/>
  <c r="D174" i="16"/>
  <c r="E174" i="14"/>
  <c r="A175" i="14"/>
  <c r="D174" i="14"/>
  <c r="AR174" i="14" s="1"/>
  <c r="C174" i="14"/>
  <c r="B174" i="14"/>
  <c r="AQ173" i="14"/>
  <c r="AH173" i="14"/>
  <c r="AF173" i="14"/>
  <c r="AP173" i="14"/>
  <c r="AG173" i="14"/>
  <c r="AD174" i="14" l="1"/>
  <c r="AC174" i="14"/>
  <c r="D175" i="16"/>
  <c r="B175" i="14"/>
  <c r="D175" i="14"/>
  <c r="AR175" i="14" s="1"/>
  <c r="C175" i="14"/>
  <c r="A176" i="14"/>
  <c r="E175" i="14"/>
  <c r="AH174" i="14"/>
  <c r="AG174" i="14"/>
  <c r="AP174" i="14"/>
  <c r="AQ174" i="14"/>
  <c r="AF174" i="14"/>
  <c r="AD175" i="14" l="1"/>
  <c r="AC175" i="14"/>
  <c r="D176" i="16"/>
  <c r="C176" i="14"/>
  <c r="B176" i="14"/>
  <c r="E176" i="14"/>
  <c r="D176" i="14"/>
  <c r="AR176" i="14" s="1"/>
  <c r="A177" i="14"/>
  <c r="AP175" i="14"/>
  <c r="AH175" i="14"/>
  <c r="AF175" i="14"/>
  <c r="AG175" i="14"/>
  <c r="AQ175" i="14"/>
  <c r="AD176" i="14" l="1"/>
  <c r="AC176" i="14"/>
  <c r="D177" i="16"/>
  <c r="D177" i="14"/>
  <c r="AR177" i="14" s="1"/>
  <c r="C177" i="14"/>
  <c r="E177" i="14"/>
  <c r="B177" i="14"/>
  <c r="A178" i="14"/>
  <c r="AG176" i="14"/>
  <c r="AH176" i="14"/>
  <c r="AQ176" i="14"/>
  <c r="AP176" i="14"/>
  <c r="AF176" i="14"/>
  <c r="AD177" i="14" l="1"/>
  <c r="AC177" i="14"/>
  <c r="D178" i="16"/>
  <c r="E178" i="14"/>
  <c r="A179" i="14"/>
  <c r="D178" i="14"/>
  <c r="AR178" i="14" s="1"/>
  <c r="C178" i="14"/>
  <c r="B178" i="14"/>
  <c r="AP177" i="14"/>
  <c r="AH177" i="14"/>
  <c r="AQ177" i="14"/>
  <c r="AG177" i="14"/>
  <c r="AF177" i="14"/>
  <c r="AD178" i="14" l="1"/>
  <c r="AC178" i="14"/>
  <c r="D179" i="16"/>
  <c r="B179" i="14"/>
  <c r="D179" i="14"/>
  <c r="AR179" i="14" s="1"/>
  <c r="E179" i="14"/>
  <c r="C179" i="14"/>
  <c r="A180" i="14"/>
  <c r="AF178" i="14"/>
  <c r="AG178" i="14"/>
  <c r="AP178" i="14"/>
  <c r="AH178" i="14"/>
  <c r="AQ178" i="14"/>
  <c r="AD179" i="14" l="1"/>
  <c r="AC179" i="14"/>
  <c r="D180" i="16"/>
  <c r="E180" i="14"/>
  <c r="D180" i="14"/>
  <c r="AR180" i="14" s="1"/>
  <c r="C180" i="14"/>
  <c r="B180" i="14"/>
  <c r="A181" i="14"/>
  <c r="AG179" i="14"/>
  <c r="AH179" i="14"/>
  <c r="AQ179" i="14"/>
  <c r="AP179" i="14"/>
  <c r="AF179" i="14"/>
  <c r="AD180" i="14" l="1"/>
  <c r="AC180" i="14"/>
  <c r="D181" i="16"/>
  <c r="A182" i="14"/>
  <c r="D181" i="14"/>
  <c r="AR181" i="14" s="1"/>
  <c r="C181" i="14"/>
  <c r="B181" i="14"/>
  <c r="E181" i="14"/>
  <c r="AG180" i="14"/>
  <c r="AP180" i="14"/>
  <c r="AQ180" i="14"/>
  <c r="AF180" i="14"/>
  <c r="AH180" i="14"/>
  <c r="AD181" i="14" l="1"/>
  <c r="AC181" i="14"/>
  <c r="D182" i="16"/>
  <c r="E182" i="14"/>
  <c r="A183" i="14"/>
  <c r="D182" i="14"/>
  <c r="AR182" i="14" s="1"/>
  <c r="C182" i="14"/>
  <c r="B182" i="14"/>
  <c r="AG181" i="14"/>
  <c r="AP181" i="14"/>
  <c r="AH181" i="14"/>
  <c r="AF181" i="14"/>
  <c r="AQ181" i="14"/>
  <c r="AD182" i="14" l="1"/>
  <c r="AC182" i="14"/>
  <c r="D183" i="16"/>
  <c r="B183" i="14"/>
  <c r="A184" i="14"/>
  <c r="C183" i="14"/>
  <c r="E183" i="14"/>
  <c r="D183" i="14"/>
  <c r="AR183" i="14" s="1"/>
  <c r="AP182" i="14"/>
  <c r="AF182" i="14"/>
  <c r="AG182" i="14"/>
  <c r="AH182" i="14"/>
  <c r="AQ182" i="14"/>
  <c r="AD183" i="14" l="1"/>
  <c r="AC183" i="14"/>
  <c r="D184" i="16"/>
  <c r="C184" i="14"/>
  <c r="B184" i="14"/>
  <c r="A185" i="14"/>
  <c r="E184" i="14"/>
  <c r="D184" i="14"/>
  <c r="AR184" i="14" s="1"/>
  <c r="AG183" i="14"/>
  <c r="AF183" i="14"/>
  <c r="AH183" i="14"/>
  <c r="AP183" i="14"/>
  <c r="AQ183" i="14"/>
  <c r="AD184" i="14" l="1"/>
  <c r="AC184" i="14"/>
  <c r="D185" i="16"/>
  <c r="D185" i="14"/>
  <c r="AR185" i="14" s="1"/>
  <c r="C185" i="14"/>
  <c r="E185" i="14"/>
  <c r="B185" i="14"/>
  <c r="A186" i="14"/>
  <c r="AG184" i="14"/>
  <c r="AH184" i="14"/>
  <c r="AQ184" i="14"/>
  <c r="AP184" i="14"/>
  <c r="AF184" i="14"/>
  <c r="AD185" i="14" l="1"/>
  <c r="AC185" i="14"/>
  <c r="D186" i="16"/>
  <c r="E186" i="14"/>
  <c r="A187" i="14"/>
  <c r="D186" i="14"/>
  <c r="AR186" i="14" s="1"/>
  <c r="C186" i="14"/>
  <c r="B186" i="14"/>
  <c r="AP185" i="14"/>
  <c r="AH185" i="14"/>
  <c r="AQ185" i="14"/>
  <c r="AG185" i="14"/>
  <c r="AF185" i="14"/>
  <c r="AD186" i="14" l="1"/>
  <c r="AC186" i="14"/>
  <c r="D187" i="16"/>
  <c r="B187" i="14"/>
  <c r="E187" i="14"/>
  <c r="D187" i="14"/>
  <c r="AR187" i="14" s="1"/>
  <c r="A188" i="14"/>
  <c r="C187" i="14"/>
  <c r="AF186" i="14"/>
  <c r="AH186" i="14"/>
  <c r="AP186" i="14"/>
  <c r="AG186" i="14"/>
  <c r="AQ186" i="14"/>
  <c r="AD187" i="14" l="1"/>
  <c r="AC187" i="14"/>
  <c r="D188" i="16"/>
  <c r="A189" i="14"/>
  <c r="D188" i="14"/>
  <c r="AR188" i="14" s="1"/>
  <c r="C188" i="14"/>
  <c r="B188" i="14"/>
  <c r="E188" i="14"/>
  <c r="AH187" i="14"/>
  <c r="AG187" i="14"/>
  <c r="AP187" i="14"/>
  <c r="AQ187" i="14"/>
  <c r="AF187" i="14"/>
  <c r="AD188" i="14" l="1"/>
  <c r="AC188" i="14"/>
  <c r="D189" i="16"/>
  <c r="D189" i="14"/>
  <c r="AR189" i="14" s="1"/>
  <c r="C189" i="14"/>
  <c r="B189" i="14"/>
  <c r="A190" i="14"/>
  <c r="E189" i="14"/>
  <c r="AG188" i="14"/>
  <c r="AP188" i="14"/>
  <c r="AQ188" i="14"/>
  <c r="AF188" i="14"/>
  <c r="AH188" i="14"/>
  <c r="AD189" i="14" l="1"/>
  <c r="AC189" i="14"/>
  <c r="D190" i="16"/>
  <c r="E190" i="14"/>
  <c r="A191" i="14"/>
  <c r="D190" i="14"/>
  <c r="AR190" i="14" s="1"/>
  <c r="C190" i="14"/>
  <c r="B190" i="14"/>
  <c r="AG189" i="14"/>
  <c r="AQ189" i="14"/>
  <c r="AF189" i="14"/>
  <c r="AH189" i="14"/>
  <c r="AP189" i="14"/>
  <c r="AD190" i="14" l="1"/>
  <c r="AC190" i="14"/>
  <c r="D191" i="16"/>
  <c r="B191" i="14"/>
  <c r="D191" i="14"/>
  <c r="AR191" i="14" s="1"/>
  <c r="C191" i="14"/>
  <c r="E191" i="14"/>
  <c r="A192" i="14"/>
  <c r="AQ190" i="14"/>
  <c r="AG190" i="14"/>
  <c r="AF190" i="14"/>
  <c r="AH190" i="14"/>
  <c r="AP190" i="14"/>
  <c r="AD191" i="14" l="1"/>
  <c r="AC191" i="14"/>
  <c r="D192" i="16"/>
  <c r="C192" i="14"/>
  <c r="B192" i="14"/>
  <c r="E192" i="14"/>
  <c r="D192" i="14"/>
  <c r="AR192" i="14" s="1"/>
  <c r="A193" i="14"/>
  <c r="AP191" i="14"/>
  <c r="AG191" i="14"/>
  <c r="AQ191" i="14"/>
  <c r="AH191" i="14"/>
  <c r="AF191" i="14"/>
  <c r="AD192" i="14" l="1"/>
  <c r="AC192" i="14"/>
  <c r="D193" i="16"/>
  <c r="D193" i="14"/>
  <c r="AR193" i="14" s="1"/>
  <c r="C193" i="14"/>
  <c r="A194" i="14"/>
  <c r="E193" i="14"/>
  <c r="B193" i="14"/>
  <c r="AF192" i="14"/>
  <c r="AG192" i="14"/>
  <c r="AQ192" i="14"/>
  <c r="AH192" i="14"/>
  <c r="AP192" i="14"/>
  <c r="AD193" i="14" l="1"/>
  <c r="AC193" i="14"/>
  <c r="D194" i="16"/>
  <c r="E194" i="14"/>
  <c r="A195" i="14"/>
  <c r="D194" i="14"/>
  <c r="AR194" i="14" s="1"/>
  <c r="C194" i="14"/>
  <c r="B194" i="14"/>
  <c r="AH193" i="14"/>
  <c r="AG193" i="14"/>
  <c r="AF193" i="14"/>
  <c r="AP193" i="14"/>
  <c r="AQ193" i="14"/>
  <c r="AD194" i="14" l="1"/>
  <c r="AC194" i="14"/>
  <c r="D195" i="16"/>
  <c r="B195" i="14"/>
  <c r="A196" i="14"/>
  <c r="D195" i="14"/>
  <c r="AR195" i="14" s="1"/>
  <c r="C195" i="14"/>
  <c r="E195" i="14"/>
  <c r="AF194" i="14"/>
  <c r="AH194" i="14"/>
  <c r="AQ194" i="14"/>
  <c r="AP194" i="14"/>
  <c r="AG194" i="14"/>
  <c r="AD195" i="14" l="1"/>
  <c r="AC195" i="14"/>
  <c r="D196" i="16"/>
  <c r="E196" i="14"/>
  <c r="D196" i="14"/>
  <c r="AR196" i="14" s="1"/>
  <c r="C196" i="14"/>
  <c r="A197" i="14"/>
  <c r="B196" i="14"/>
  <c r="AH195" i="14"/>
  <c r="AG195" i="14"/>
  <c r="AQ195" i="14"/>
  <c r="AF195" i="14"/>
  <c r="AP195" i="14"/>
  <c r="AD196" i="14" l="1"/>
  <c r="AC196" i="14"/>
  <c r="D197" i="16"/>
  <c r="A198" i="14"/>
  <c r="B197" i="14"/>
  <c r="E197" i="14"/>
  <c r="D197" i="14"/>
  <c r="AR197" i="14" s="1"/>
  <c r="C197" i="14"/>
  <c r="AQ196" i="14"/>
  <c r="AH196" i="14"/>
  <c r="AP196" i="14"/>
  <c r="AG196" i="14"/>
  <c r="AF196" i="14"/>
  <c r="AD197" i="14" l="1"/>
  <c r="AC197" i="14"/>
  <c r="D198" i="16"/>
  <c r="E198" i="14"/>
  <c r="A199" i="14"/>
  <c r="D198" i="14"/>
  <c r="AR198" i="14" s="1"/>
  <c r="C198" i="14"/>
  <c r="B198" i="14"/>
  <c r="AP197" i="14"/>
  <c r="AG197" i="14"/>
  <c r="AQ197" i="14"/>
  <c r="AH197" i="14"/>
  <c r="AF197" i="14"/>
  <c r="AD198" i="14" l="1"/>
  <c r="AC198" i="14"/>
  <c r="D199" i="16"/>
  <c r="B199" i="14"/>
  <c r="A200" i="14"/>
  <c r="D199" i="14"/>
  <c r="AR199" i="14" s="1"/>
  <c r="C199" i="14"/>
  <c r="E199" i="14"/>
  <c r="AG198" i="14"/>
  <c r="AF198" i="14"/>
  <c r="AP198" i="14"/>
  <c r="AQ198" i="14"/>
  <c r="AH198" i="14"/>
  <c r="AD199" i="14" l="1"/>
  <c r="AC199" i="14"/>
  <c r="D200" i="16"/>
  <c r="C200" i="14"/>
  <c r="B200" i="14"/>
  <c r="E200" i="14"/>
  <c r="D200" i="14"/>
  <c r="AR200" i="14" s="1"/>
  <c r="A201" i="14"/>
  <c r="AP199" i="14"/>
  <c r="AG199" i="14"/>
  <c r="AQ199" i="14"/>
  <c r="AH199" i="14"/>
  <c r="AF199" i="14"/>
  <c r="AD200" i="14" l="1"/>
  <c r="AC200" i="14"/>
  <c r="D201" i="16"/>
  <c r="D201" i="14"/>
  <c r="AR201" i="14" s="1"/>
  <c r="C201" i="14"/>
  <c r="E201" i="14"/>
  <c r="A202" i="14"/>
  <c r="B201" i="14"/>
  <c r="AQ200" i="14"/>
  <c r="AP200" i="14"/>
  <c r="AH200" i="14"/>
  <c r="AG200" i="14"/>
  <c r="AF200" i="14"/>
  <c r="AD201" i="14" l="1"/>
  <c r="AC201" i="14"/>
  <c r="D202" i="16"/>
  <c r="E202" i="14"/>
  <c r="A203" i="14"/>
  <c r="D202" i="14"/>
  <c r="AR202" i="14" s="1"/>
  <c r="C202" i="14"/>
  <c r="B202" i="14"/>
  <c r="AQ201" i="14"/>
  <c r="AF201" i="14"/>
  <c r="AP201" i="14"/>
  <c r="AH201" i="14"/>
  <c r="AG201" i="14"/>
  <c r="AD202" i="14" l="1"/>
  <c r="AC202" i="14"/>
  <c r="D203" i="16"/>
  <c r="B203" i="14"/>
  <c r="E203" i="14"/>
  <c r="D203" i="14"/>
  <c r="AR203" i="14" s="1"/>
  <c r="A204" i="14"/>
  <c r="C203" i="14"/>
  <c r="AF202" i="14"/>
  <c r="AG202" i="14"/>
  <c r="AQ202" i="14"/>
  <c r="AH202" i="14"/>
  <c r="AP202" i="14"/>
  <c r="AD203" i="14" l="1"/>
  <c r="AC203" i="14"/>
  <c r="D204" i="16"/>
  <c r="B204" i="14"/>
  <c r="A205" i="14"/>
  <c r="E204" i="14"/>
  <c r="D204" i="14"/>
  <c r="AR204" i="14" s="1"/>
  <c r="C204" i="14"/>
  <c r="AH203" i="14"/>
  <c r="AP203" i="14"/>
  <c r="AQ203" i="14"/>
  <c r="AF203" i="14"/>
  <c r="AG203" i="14"/>
  <c r="AD204" i="14" l="1"/>
  <c r="AC204" i="14"/>
  <c r="D205" i="16"/>
  <c r="D205" i="14"/>
  <c r="AR205" i="14" s="1"/>
  <c r="C205" i="14"/>
  <c r="B205" i="14"/>
  <c r="E205" i="14"/>
  <c r="A206" i="14"/>
  <c r="AG204" i="14"/>
  <c r="AP204" i="14"/>
  <c r="AH204" i="14"/>
  <c r="AF204" i="14"/>
  <c r="AQ204" i="14"/>
  <c r="AD205" i="14" l="1"/>
  <c r="AC205" i="14"/>
  <c r="D206" i="16"/>
  <c r="E206" i="14"/>
  <c r="A207" i="14"/>
  <c r="D206" i="14"/>
  <c r="AR206" i="14" s="1"/>
  <c r="C206" i="14"/>
  <c r="B206" i="14"/>
  <c r="AG205" i="14"/>
  <c r="AQ205" i="14"/>
  <c r="AF205" i="14"/>
  <c r="AH205" i="14"/>
  <c r="AP205" i="14"/>
  <c r="AD206" i="14" l="1"/>
  <c r="AC206" i="14"/>
  <c r="D207" i="16"/>
  <c r="B207" i="14"/>
  <c r="D207" i="14"/>
  <c r="AR207" i="14" s="1"/>
  <c r="C207" i="14"/>
  <c r="A208" i="14"/>
  <c r="E207" i="14"/>
  <c r="AP206" i="14"/>
  <c r="AG206" i="14"/>
  <c r="AQ206" i="14"/>
  <c r="AH206" i="14"/>
  <c r="AF206" i="14"/>
  <c r="AD207" i="14" l="1"/>
  <c r="AC207" i="14"/>
  <c r="D208" i="16"/>
  <c r="C208" i="14"/>
  <c r="B208" i="14"/>
  <c r="A209" i="14"/>
  <c r="D208" i="14"/>
  <c r="AR208" i="14" s="1"/>
  <c r="E208" i="14"/>
  <c r="AQ207" i="14"/>
  <c r="AH207" i="14"/>
  <c r="AF207" i="14"/>
  <c r="AG207" i="14"/>
  <c r="AP207" i="14"/>
  <c r="AD208" i="14" l="1"/>
  <c r="AC208" i="14"/>
  <c r="D209" i="16"/>
  <c r="D209" i="14"/>
  <c r="AR209" i="14" s="1"/>
  <c r="C209" i="14"/>
  <c r="E209" i="14"/>
  <c r="B209" i="14"/>
  <c r="A210" i="14"/>
  <c r="AQ208" i="14"/>
  <c r="AP208" i="14"/>
  <c r="AG208" i="14"/>
  <c r="AF208" i="14"/>
  <c r="AH208" i="14"/>
  <c r="AD209" i="14" l="1"/>
  <c r="AC209" i="14"/>
  <c r="D210" i="16"/>
  <c r="E210" i="14"/>
  <c r="A211" i="14"/>
  <c r="D210" i="14"/>
  <c r="AR210" i="14" s="1"/>
  <c r="C210" i="14"/>
  <c r="B210" i="14"/>
  <c r="AQ209" i="14"/>
  <c r="AF209" i="14"/>
  <c r="AP209" i="14"/>
  <c r="AH209" i="14"/>
  <c r="AG209" i="14"/>
  <c r="AD210" i="14" l="1"/>
  <c r="AC210" i="14"/>
  <c r="D211" i="16"/>
  <c r="B211" i="14"/>
  <c r="A212" i="14"/>
  <c r="E211" i="14"/>
  <c r="D211" i="14"/>
  <c r="AR211" i="14" s="1"/>
  <c r="C211" i="14"/>
  <c r="AQ210" i="14"/>
  <c r="AF210" i="14"/>
  <c r="AH210" i="14"/>
  <c r="AG210" i="14"/>
  <c r="AP210" i="14"/>
  <c r="AD211" i="14" l="1"/>
  <c r="AC211" i="14"/>
  <c r="D212" i="16"/>
  <c r="E212" i="14"/>
  <c r="D212" i="14"/>
  <c r="AR212" i="14" s="1"/>
  <c r="C212" i="14"/>
  <c r="B212" i="14"/>
  <c r="A213" i="14"/>
  <c r="AG211" i="14"/>
  <c r="AH211" i="14"/>
  <c r="AQ211" i="14"/>
  <c r="AP211" i="14"/>
  <c r="AF211" i="14"/>
  <c r="AD212" i="14" l="1"/>
  <c r="AC212" i="14"/>
  <c r="D213" i="16"/>
  <c r="E213" i="14"/>
  <c r="A214" i="14"/>
  <c r="D213" i="14"/>
  <c r="AR213" i="14" s="1"/>
  <c r="C213" i="14"/>
  <c r="B213" i="14"/>
  <c r="AQ212" i="14"/>
  <c r="AG212" i="14"/>
  <c r="AP212" i="14"/>
  <c r="AF212" i="14"/>
  <c r="AH212" i="14"/>
  <c r="AD213" i="14" l="1"/>
  <c r="AC213" i="14"/>
  <c r="D214" i="16"/>
  <c r="C214" i="14"/>
  <c r="B214" i="14"/>
  <c r="E214" i="14"/>
  <c r="A215" i="14"/>
  <c r="D214" i="14"/>
  <c r="AR214" i="14" s="1"/>
  <c r="AQ213" i="14"/>
  <c r="AF213" i="14"/>
  <c r="AG213" i="14"/>
  <c r="AH213" i="14"/>
  <c r="AP213" i="14"/>
  <c r="AD214" i="14" l="1"/>
  <c r="AC214" i="14"/>
  <c r="D215" i="16"/>
  <c r="E215" i="14"/>
  <c r="A216" i="14"/>
  <c r="D215" i="14"/>
  <c r="AR215" i="14" s="1"/>
  <c r="C215" i="14"/>
  <c r="B215" i="14"/>
  <c r="AG214" i="14"/>
  <c r="AF214" i="14"/>
  <c r="AQ214" i="14"/>
  <c r="AH214" i="14"/>
  <c r="AP214" i="14"/>
  <c r="AD215" i="14" l="1"/>
  <c r="AC215" i="14"/>
  <c r="D216" i="16"/>
  <c r="C216" i="14"/>
  <c r="B216" i="14"/>
  <c r="E216" i="14"/>
  <c r="A217" i="14"/>
  <c r="D216" i="14"/>
  <c r="AR216" i="14" s="1"/>
  <c r="AP215" i="14"/>
  <c r="AG215" i="14"/>
  <c r="AQ215" i="14"/>
  <c r="AH215" i="14"/>
  <c r="AF215" i="14"/>
  <c r="AD216" i="14" l="1"/>
  <c r="AC216" i="14"/>
  <c r="D217" i="16"/>
  <c r="E217" i="14"/>
  <c r="D217" i="14"/>
  <c r="AR217" i="14" s="1"/>
  <c r="C217" i="14"/>
  <c r="B217" i="14"/>
  <c r="A218" i="14"/>
  <c r="AQ216" i="14"/>
  <c r="AF216" i="14"/>
  <c r="AG216" i="14"/>
  <c r="AP216" i="14"/>
  <c r="AH216" i="14"/>
  <c r="AD217" i="14" l="1"/>
  <c r="AC217" i="14"/>
  <c r="D218" i="16"/>
  <c r="A219" i="14"/>
  <c r="D218" i="14"/>
  <c r="AR218" i="14" s="1"/>
  <c r="C218" i="14"/>
  <c r="B218" i="14"/>
  <c r="E218" i="14"/>
  <c r="AQ217" i="14"/>
  <c r="AG217" i="14"/>
  <c r="AF217" i="14"/>
  <c r="AP217" i="14"/>
  <c r="AH217" i="14"/>
  <c r="AD218" i="14" l="1"/>
  <c r="AC218" i="14"/>
  <c r="D219" i="16"/>
  <c r="E219" i="14"/>
  <c r="A220" i="14"/>
  <c r="D219" i="14"/>
  <c r="AR219" i="14" s="1"/>
  <c r="C219" i="14"/>
  <c r="B219" i="14"/>
  <c r="AP218" i="14"/>
  <c r="AQ218" i="14"/>
  <c r="AG218" i="14"/>
  <c r="AH218" i="14"/>
  <c r="AF218" i="14"/>
  <c r="AD219" i="14" l="1"/>
  <c r="AC219" i="14"/>
  <c r="D220" i="16"/>
  <c r="C220" i="14"/>
  <c r="B220" i="14"/>
  <c r="E220" i="14"/>
  <c r="A221" i="14"/>
  <c r="D220" i="14"/>
  <c r="AR220" i="14" s="1"/>
  <c r="AG219" i="14"/>
  <c r="AH219" i="14"/>
  <c r="AQ219" i="14"/>
  <c r="AP219" i="14"/>
  <c r="AF219" i="14"/>
  <c r="AD220" i="14" l="1"/>
  <c r="AC220" i="14"/>
  <c r="D221" i="16"/>
  <c r="E221" i="14"/>
  <c r="A222" i="14"/>
  <c r="D221" i="14"/>
  <c r="AR221" i="14" s="1"/>
  <c r="C221" i="14"/>
  <c r="B221" i="14"/>
  <c r="AG220" i="14"/>
  <c r="AH220" i="14"/>
  <c r="AQ220" i="14"/>
  <c r="AP220" i="14"/>
  <c r="AF220" i="14"/>
  <c r="AD221" i="14" l="1"/>
  <c r="AC221" i="14"/>
  <c r="D222" i="16"/>
  <c r="C222" i="14"/>
  <c r="B222" i="14"/>
  <c r="E222" i="14"/>
  <c r="D222" i="14"/>
  <c r="AR222" i="14" s="1"/>
  <c r="A223" i="14"/>
  <c r="AP221" i="14"/>
  <c r="AF221" i="14"/>
  <c r="AH221" i="14"/>
  <c r="AQ221" i="14"/>
  <c r="AG221" i="14"/>
  <c r="AD222" i="14" l="1"/>
  <c r="AC222" i="14"/>
  <c r="D223" i="16"/>
  <c r="E223" i="14"/>
  <c r="D223" i="14"/>
  <c r="AR223" i="14" s="1"/>
  <c r="A224" i="14"/>
  <c r="B223" i="14"/>
  <c r="C223" i="14"/>
  <c r="AQ222" i="14"/>
  <c r="AG222" i="14"/>
  <c r="AF222" i="14"/>
  <c r="AH222" i="14"/>
  <c r="AP222" i="14"/>
  <c r="AD223" i="14" l="1"/>
  <c r="AC223" i="14"/>
  <c r="D224" i="16"/>
  <c r="D224" i="14"/>
  <c r="AR224" i="14" s="1"/>
  <c r="C224" i="14"/>
  <c r="B224" i="14"/>
  <c r="E224" i="14"/>
  <c r="A225" i="14"/>
  <c r="AG223" i="14"/>
  <c r="AH223" i="14"/>
  <c r="AP223" i="14"/>
  <c r="AF223" i="14"/>
  <c r="AQ223" i="14"/>
  <c r="AD224" i="14" l="1"/>
  <c r="AC224" i="14"/>
  <c r="D225" i="16"/>
  <c r="E225" i="14"/>
  <c r="C225" i="14"/>
  <c r="D225" i="14"/>
  <c r="AR225" i="14" s="1"/>
  <c r="A226" i="14"/>
  <c r="B225" i="14"/>
  <c r="AH224" i="14"/>
  <c r="AG224" i="14"/>
  <c r="AF224" i="14"/>
  <c r="AP224" i="14"/>
  <c r="AQ224" i="14"/>
  <c r="AD225" i="14" l="1"/>
  <c r="AC225" i="14"/>
  <c r="D226" i="16"/>
  <c r="B226" i="14"/>
  <c r="D226" i="14"/>
  <c r="AR226" i="14" s="1"/>
  <c r="C226" i="14"/>
  <c r="E226" i="14"/>
  <c r="A227" i="14"/>
  <c r="AG225" i="14"/>
  <c r="AH225" i="14"/>
  <c r="AF225" i="14"/>
  <c r="AP225" i="14"/>
  <c r="AQ225" i="14"/>
  <c r="AD226" i="14" l="1"/>
  <c r="AC226" i="14"/>
  <c r="D227" i="16"/>
  <c r="A228" i="14"/>
  <c r="E227" i="14"/>
  <c r="D227" i="14"/>
  <c r="AR227" i="14" s="1"/>
  <c r="C227" i="14"/>
  <c r="B227" i="14"/>
  <c r="AG226" i="14"/>
  <c r="AQ226" i="14"/>
  <c r="AH226" i="14"/>
  <c r="AF226" i="14"/>
  <c r="AP226" i="14"/>
  <c r="AD227" i="14" l="1"/>
  <c r="AC227" i="14"/>
  <c r="D228" i="16"/>
  <c r="D228" i="14"/>
  <c r="AR228" i="14" s="1"/>
  <c r="C228" i="14"/>
  <c r="E228" i="14"/>
  <c r="B228" i="14"/>
  <c r="A229" i="14"/>
  <c r="AH227" i="14"/>
  <c r="AQ227" i="14"/>
  <c r="AF227" i="14"/>
  <c r="AG227" i="14"/>
  <c r="AP227" i="14"/>
  <c r="AD228" i="14" l="1"/>
  <c r="AC228" i="14"/>
  <c r="D229" i="16"/>
  <c r="E229" i="14"/>
  <c r="C229" i="14"/>
  <c r="A230" i="14"/>
  <c r="D229" i="14"/>
  <c r="AR229" i="14" s="1"/>
  <c r="B229" i="14"/>
  <c r="AG228" i="14"/>
  <c r="AH228" i="14"/>
  <c r="AQ228" i="14"/>
  <c r="AP228" i="14"/>
  <c r="AF228" i="14"/>
  <c r="AD229" i="14" l="1"/>
  <c r="AC229" i="14"/>
  <c r="D230" i="16"/>
  <c r="B230" i="14"/>
  <c r="A231" i="14"/>
  <c r="D230" i="14"/>
  <c r="AR230" i="14" s="1"/>
  <c r="C230" i="14"/>
  <c r="E230" i="14"/>
  <c r="AH229" i="14"/>
  <c r="AF229" i="14"/>
  <c r="AG229" i="14"/>
  <c r="AQ229" i="14"/>
  <c r="AP229" i="14"/>
  <c r="AD230" i="14" l="1"/>
  <c r="AC230" i="14"/>
  <c r="D231" i="16"/>
  <c r="C231" i="14"/>
  <c r="B231" i="14"/>
  <c r="E231" i="14"/>
  <c r="A232" i="14"/>
  <c r="D231" i="14"/>
  <c r="AR231" i="14" s="1"/>
  <c r="AP230" i="14"/>
  <c r="AG230" i="14"/>
  <c r="AQ230" i="14"/>
  <c r="AF230" i="14"/>
  <c r="AH230" i="14"/>
  <c r="AD231" i="14" l="1"/>
  <c r="AC231" i="14"/>
  <c r="D232" i="16"/>
  <c r="A233" i="14"/>
  <c r="D232" i="14"/>
  <c r="AR232" i="14" s="1"/>
  <c r="E232" i="14"/>
  <c r="C232" i="14"/>
  <c r="B232" i="14"/>
  <c r="AQ231" i="14"/>
  <c r="AH231" i="14"/>
  <c r="AG231" i="14"/>
  <c r="AF231" i="14"/>
  <c r="AP231" i="14"/>
  <c r="AD232" i="14" l="1"/>
  <c r="AC232" i="14"/>
  <c r="D233" i="16"/>
  <c r="E233" i="14"/>
  <c r="A234" i="14"/>
  <c r="D233" i="14"/>
  <c r="AR233" i="14" s="1"/>
  <c r="B233" i="14"/>
  <c r="C233" i="14"/>
  <c r="AH232" i="14"/>
  <c r="AQ232" i="14"/>
  <c r="AG232" i="14"/>
  <c r="AF232" i="14"/>
  <c r="AP232" i="14"/>
  <c r="AD233" i="14" l="1"/>
  <c r="AC233" i="14"/>
  <c r="D234" i="16"/>
  <c r="E234" i="14"/>
  <c r="A235" i="14"/>
  <c r="B234" i="14"/>
  <c r="D234" i="14"/>
  <c r="AR234" i="14" s="1"/>
  <c r="C234" i="14"/>
  <c r="AP233" i="14"/>
  <c r="AF233" i="14"/>
  <c r="AQ233" i="14"/>
  <c r="AG233" i="14"/>
  <c r="AH233" i="14"/>
  <c r="AD234" i="14" l="1"/>
  <c r="AC234" i="14"/>
  <c r="D235" i="16"/>
  <c r="D235" i="14"/>
  <c r="AR235" i="14" s="1"/>
  <c r="B235" i="14"/>
  <c r="E235" i="14"/>
  <c r="C235" i="14"/>
  <c r="A236" i="14"/>
  <c r="AQ234" i="14"/>
  <c r="AH234" i="14"/>
  <c r="AF234" i="14"/>
  <c r="AG234" i="14"/>
  <c r="AP234" i="14"/>
  <c r="AD235" i="14" l="1"/>
  <c r="AC235" i="14"/>
  <c r="D236" i="16"/>
  <c r="A237" i="14"/>
  <c r="D236" i="14"/>
  <c r="AR236" i="14" s="1"/>
  <c r="C236" i="14"/>
  <c r="E236" i="14"/>
  <c r="B236" i="14"/>
  <c r="AG235" i="14"/>
  <c r="AH235" i="14"/>
  <c r="AQ235" i="14"/>
  <c r="AP235" i="14"/>
  <c r="AF235" i="14"/>
  <c r="AD236" i="14" l="1"/>
  <c r="AC236" i="14"/>
  <c r="D237" i="16"/>
  <c r="C237" i="14"/>
  <c r="B237" i="14"/>
  <c r="A238" i="14"/>
  <c r="E237" i="14"/>
  <c r="D237" i="14"/>
  <c r="AR237" i="14" s="1"/>
  <c r="AG236" i="14"/>
  <c r="AH236" i="14"/>
  <c r="AQ236" i="14"/>
  <c r="AF236" i="14"/>
  <c r="AP236" i="14"/>
  <c r="AD237" i="14" l="1"/>
  <c r="AC237" i="14"/>
  <c r="D238" i="16"/>
  <c r="A239" i="14"/>
  <c r="D238" i="14"/>
  <c r="AR238" i="14" s="1"/>
  <c r="C238" i="14"/>
  <c r="B238" i="14"/>
  <c r="E238" i="14"/>
  <c r="AP237" i="14"/>
  <c r="AF237" i="14"/>
  <c r="AG237" i="14"/>
  <c r="AQ237" i="14"/>
  <c r="AH237" i="14"/>
  <c r="AD238" i="14" l="1"/>
  <c r="AC238" i="14"/>
  <c r="D239" i="16"/>
  <c r="E239" i="14"/>
  <c r="D239" i="14"/>
  <c r="AR239" i="14" s="1"/>
  <c r="C239" i="14"/>
  <c r="A240" i="14"/>
  <c r="B239" i="14"/>
  <c r="AG238" i="14"/>
  <c r="AP238" i="14"/>
  <c r="AQ238" i="14"/>
  <c r="AH238" i="14"/>
  <c r="AF238" i="14"/>
  <c r="AD239" i="14" l="1"/>
  <c r="AC239" i="14"/>
  <c r="D240" i="16"/>
  <c r="A241" i="14"/>
  <c r="D240" i="14"/>
  <c r="AR240" i="14" s="1"/>
  <c r="C240" i="14"/>
  <c r="B240" i="14"/>
  <c r="E240" i="14"/>
  <c r="AG239" i="14"/>
  <c r="AP239" i="14"/>
  <c r="AF239" i="14"/>
  <c r="AH239" i="14"/>
  <c r="AQ239" i="14"/>
  <c r="AD240" i="14" l="1"/>
  <c r="AC240" i="14"/>
  <c r="D241" i="16"/>
  <c r="C241" i="14"/>
  <c r="B241" i="14"/>
  <c r="A242" i="14"/>
  <c r="E241" i="14"/>
  <c r="D241" i="14"/>
  <c r="AR241" i="14" s="1"/>
  <c r="AF240" i="14"/>
  <c r="AP240" i="14"/>
  <c r="AG240" i="14"/>
  <c r="AH240" i="14"/>
  <c r="AQ240" i="14"/>
  <c r="AD241" i="14" l="1"/>
  <c r="AC241" i="14"/>
  <c r="D242" i="16"/>
  <c r="D242" i="14"/>
  <c r="AR242" i="14" s="1"/>
  <c r="C242" i="14"/>
  <c r="B242" i="14"/>
  <c r="A243" i="14"/>
  <c r="E242" i="14"/>
  <c r="AF241" i="14"/>
  <c r="AQ241" i="14"/>
  <c r="AP241" i="14"/>
  <c r="AG241" i="14"/>
  <c r="AH241" i="14"/>
  <c r="AD242" i="14" l="1"/>
  <c r="AC242" i="14"/>
  <c r="D243" i="16"/>
  <c r="A244" i="14"/>
  <c r="E243" i="14"/>
  <c r="D243" i="14"/>
  <c r="AR243" i="14" s="1"/>
  <c r="C243" i="14"/>
  <c r="B243" i="14"/>
  <c r="AH242" i="14"/>
  <c r="AQ242" i="14"/>
  <c r="AG242" i="14"/>
  <c r="AF242" i="14"/>
  <c r="AP242" i="14"/>
  <c r="AD243" i="14" l="1"/>
  <c r="AC243" i="14"/>
  <c r="D244" i="16"/>
  <c r="A245" i="14"/>
  <c r="B244" i="14"/>
  <c r="E244" i="14"/>
  <c r="D244" i="14"/>
  <c r="AR244" i="14" s="1"/>
  <c r="C244" i="14"/>
  <c r="AH243" i="14"/>
  <c r="AQ243" i="14"/>
  <c r="AP243" i="14"/>
  <c r="AG243" i="14"/>
  <c r="AF243" i="14"/>
  <c r="AD244" i="14" l="1"/>
  <c r="AC244" i="14"/>
  <c r="D245" i="16"/>
  <c r="C245" i="14"/>
  <c r="E245" i="14"/>
  <c r="D245" i="14"/>
  <c r="AR245" i="14" s="1"/>
  <c r="B245" i="14"/>
  <c r="A246" i="14"/>
  <c r="AP244" i="14"/>
  <c r="AG244" i="14"/>
  <c r="AH244" i="14"/>
  <c r="AQ244" i="14"/>
  <c r="AF244" i="14"/>
  <c r="AD245" i="14" l="1"/>
  <c r="AC245" i="14"/>
  <c r="D246" i="16"/>
  <c r="C246" i="14"/>
  <c r="D246" i="14"/>
  <c r="AR246" i="14" s="1"/>
  <c r="B246" i="14"/>
  <c r="A247" i="14"/>
  <c r="E246" i="14"/>
  <c r="AP245" i="14"/>
  <c r="AH245" i="14"/>
  <c r="AF245" i="14"/>
  <c r="AG245" i="14"/>
  <c r="AQ245" i="14"/>
  <c r="AD246" i="14" l="1"/>
  <c r="AC246" i="14"/>
  <c r="D247" i="16"/>
  <c r="E247" i="14"/>
  <c r="D247" i="14"/>
  <c r="AR247" i="14" s="1"/>
  <c r="C247" i="14"/>
  <c r="B247" i="14"/>
  <c r="A248" i="14"/>
  <c r="AG246" i="14"/>
  <c r="AH246" i="14"/>
  <c r="AF246" i="14"/>
  <c r="AQ246" i="14"/>
  <c r="AP246" i="14"/>
  <c r="AD247" i="14" l="1"/>
  <c r="AC247" i="14"/>
  <c r="D248" i="16"/>
  <c r="E248" i="14"/>
  <c r="A249" i="14"/>
  <c r="B248" i="14"/>
  <c r="D248" i="14"/>
  <c r="AR248" i="14" s="1"/>
  <c r="C248" i="14"/>
  <c r="AQ247" i="14"/>
  <c r="AF247" i="14"/>
  <c r="AH247" i="14"/>
  <c r="AP247" i="14"/>
  <c r="AG247" i="14"/>
  <c r="AD248" i="14" l="1"/>
  <c r="AC248" i="14"/>
  <c r="D249" i="16"/>
  <c r="A250" i="14"/>
  <c r="D249" i="14"/>
  <c r="AR249" i="14" s="1"/>
  <c r="C249" i="14"/>
  <c r="E249" i="14"/>
  <c r="B249" i="14"/>
  <c r="AQ248" i="14"/>
  <c r="AG248" i="14"/>
  <c r="AP248" i="14"/>
  <c r="AH248" i="14"/>
  <c r="AF248" i="14"/>
  <c r="AD249" i="14" l="1"/>
  <c r="AC249" i="14"/>
  <c r="D250" i="16"/>
  <c r="C250" i="14"/>
  <c r="D250" i="14"/>
  <c r="AR250" i="14" s="1"/>
  <c r="B250" i="14"/>
  <c r="A251" i="14"/>
  <c r="E250" i="14"/>
  <c r="AQ249" i="14"/>
  <c r="AG249" i="14"/>
  <c r="AH249" i="14"/>
  <c r="AP249" i="14"/>
  <c r="AF249" i="14"/>
  <c r="AD250" i="14" l="1"/>
  <c r="AC250" i="14"/>
  <c r="D251" i="16"/>
  <c r="D251" i="14"/>
  <c r="AR251" i="14" s="1"/>
  <c r="C251" i="14"/>
  <c r="B251" i="14"/>
  <c r="A252" i="14"/>
  <c r="E251" i="14"/>
  <c r="AG250" i="14"/>
  <c r="AQ250" i="14"/>
  <c r="AH250" i="14"/>
  <c r="AF250" i="14"/>
  <c r="AP250" i="14"/>
  <c r="AD251" i="14" l="1"/>
  <c r="AC251" i="14"/>
  <c r="D252" i="16"/>
  <c r="E252" i="14"/>
  <c r="A253" i="14"/>
  <c r="D252" i="14"/>
  <c r="AR252" i="14" s="1"/>
  <c r="C252" i="14"/>
  <c r="B252" i="14"/>
  <c r="AP251" i="14"/>
  <c r="AG251" i="14"/>
  <c r="AQ251" i="14"/>
  <c r="AF251" i="14"/>
  <c r="AH251" i="14"/>
  <c r="AD252" i="14" l="1"/>
  <c r="AC252" i="14"/>
  <c r="D253" i="16"/>
  <c r="A254" i="14"/>
  <c r="D253" i="14"/>
  <c r="AR253" i="14" s="1"/>
  <c r="C253" i="14"/>
  <c r="E253" i="14"/>
  <c r="B253" i="14"/>
  <c r="AP252" i="14"/>
  <c r="AG252" i="14"/>
  <c r="AF252" i="14"/>
  <c r="AH252" i="14"/>
  <c r="AQ252" i="14"/>
  <c r="AD253" i="14" l="1"/>
  <c r="AC253" i="14"/>
  <c r="D254" i="16"/>
  <c r="C254" i="14"/>
  <c r="D254" i="14"/>
  <c r="AR254" i="14" s="1"/>
  <c r="B254" i="14"/>
  <c r="A255" i="14"/>
  <c r="E254" i="14"/>
  <c r="AP253" i="14"/>
  <c r="AH253" i="14"/>
  <c r="AF253" i="14"/>
  <c r="AG253" i="14"/>
  <c r="AQ253" i="14"/>
  <c r="AD254" i="14" l="1"/>
  <c r="AC254" i="14"/>
  <c r="D255" i="16"/>
  <c r="E255" i="14"/>
  <c r="B255" i="14"/>
  <c r="A256" i="14"/>
  <c r="D255" i="14"/>
  <c r="AR255" i="14" s="1"/>
  <c r="C255" i="14"/>
  <c r="AP254" i="14"/>
  <c r="AQ254" i="14"/>
  <c r="AF254" i="14"/>
  <c r="AG254" i="14"/>
  <c r="AH254" i="14"/>
  <c r="AD255" i="14" l="1"/>
  <c r="AC255" i="14"/>
  <c r="D256" i="16"/>
  <c r="A257" i="14"/>
  <c r="E256" i="14"/>
  <c r="D256" i="14"/>
  <c r="AR256" i="14" s="1"/>
  <c r="C256" i="14"/>
  <c r="B256" i="14"/>
  <c r="AQ255" i="14"/>
  <c r="AF255" i="14"/>
  <c r="AG255" i="14"/>
  <c r="AP255" i="14"/>
  <c r="AH255" i="14"/>
  <c r="AD256" i="14" l="1"/>
  <c r="AC256" i="14"/>
  <c r="D257" i="16"/>
  <c r="A258" i="14"/>
  <c r="D257" i="14"/>
  <c r="AR257" i="14" s="1"/>
  <c r="C257" i="14"/>
  <c r="E257" i="14"/>
  <c r="B257" i="14"/>
  <c r="AH256" i="14"/>
  <c r="AG256" i="14"/>
  <c r="AP256" i="14"/>
  <c r="AQ256" i="14"/>
  <c r="AF256" i="14"/>
  <c r="AD257" i="14" l="1"/>
  <c r="AC257" i="14"/>
  <c r="D258" i="16"/>
  <c r="C258" i="14"/>
  <c r="E258" i="14"/>
  <c r="D258" i="14"/>
  <c r="AR258" i="14" s="1"/>
  <c r="B258" i="14"/>
  <c r="A259" i="14"/>
  <c r="AQ257" i="14"/>
  <c r="AG257" i="14"/>
  <c r="AF257" i="14"/>
  <c r="AH257" i="14"/>
  <c r="AP257" i="14"/>
  <c r="AD258" i="14" l="1"/>
  <c r="AC258" i="14"/>
  <c r="D259" i="16"/>
  <c r="A260" i="14"/>
  <c r="B259" i="14"/>
  <c r="E259" i="14"/>
  <c r="D259" i="14"/>
  <c r="AR259" i="14" s="1"/>
  <c r="C259" i="14"/>
  <c r="AP258" i="14"/>
  <c r="AH258" i="14"/>
  <c r="AG258" i="14"/>
  <c r="AF258" i="14"/>
  <c r="AQ258" i="14"/>
  <c r="AD259" i="14" l="1"/>
  <c r="AC259" i="14"/>
  <c r="D260" i="16"/>
  <c r="A261" i="14"/>
  <c r="E260" i="14"/>
  <c r="D260" i="14"/>
  <c r="AR260" i="14" s="1"/>
  <c r="B260" i="14"/>
  <c r="C260" i="14"/>
  <c r="AP259" i="14"/>
  <c r="AG259" i="14"/>
  <c r="AH259" i="14"/>
  <c r="AQ259" i="14"/>
  <c r="AF259" i="14"/>
  <c r="AD260" i="14" l="1"/>
  <c r="AC260" i="14"/>
  <c r="D261" i="16"/>
  <c r="A262" i="14"/>
  <c r="D261" i="14"/>
  <c r="AR261" i="14" s="1"/>
  <c r="C261" i="14"/>
  <c r="E261" i="14"/>
  <c r="B261" i="14"/>
  <c r="AG260" i="14"/>
  <c r="AF260" i="14"/>
  <c r="AQ260" i="14"/>
  <c r="AH260" i="14"/>
  <c r="AP260" i="14"/>
  <c r="AD261" i="14" l="1"/>
  <c r="AC261" i="14"/>
  <c r="D262" i="16"/>
  <c r="C262" i="14"/>
  <c r="D262" i="14"/>
  <c r="AR262" i="14" s="1"/>
  <c r="B262" i="14"/>
  <c r="E262" i="14"/>
  <c r="A263" i="14"/>
  <c r="AG261" i="14"/>
  <c r="AF261" i="14"/>
  <c r="AH261" i="14"/>
  <c r="AP261" i="14"/>
  <c r="AQ261" i="14"/>
  <c r="AD262" i="14" l="1"/>
  <c r="AC262" i="14"/>
  <c r="D263" i="16"/>
  <c r="C263" i="14"/>
  <c r="E263" i="14"/>
  <c r="A264" i="14"/>
  <c r="D263" i="14"/>
  <c r="AR263" i="14" s="1"/>
  <c r="B263" i="14"/>
  <c r="AH262" i="14"/>
  <c r="AQ262" i="14"/>
  <c r="AF262" i="14"/>
  <c r="AG262" i="14"/>
  <c r="AP262" i="14"/>
  <c r="AD263" i="14" l="1"/>
  <c r="AC263" i="14"/>
  <c r="D264" i="16"/>
  <c r="E264" i="14"/>
  <c r="B264" i="14"/>
  <c r="A265" i="14"/>
  <c r="D264" i="14"/>
  <c r="AR264" i="14" s="1"/>
  <c r="C264" i="14"/>
  <c r="AH263" i="14"/>
  <c r="AG263" i="14"/>
  <c r="AF263" i="14"/>
  <c r="AQ263" i="14"/>
  <c r="AP263" i="14"/>
  <c r="AD264" i="14" l="1"/>
  <c r="AC264" i="14"/>
  <c r="D265" i="16"/>
  <c r="A266" i="14"/>
  <c r="D265" i="14"/>
  <c r="AR265" i="14" s="1"/>
  <c r="C265" i="14"/>
  <c r="E265" i="14"/>
  <c r="B265" i="14"/>
  <c r="AQ264" i="14"/>
  <c r="AH264" i="14"/>
  <c r="AG264" i="14"/>
  <c r="AF264" i="14"/>
  <c r="AP264" i="14"/>
  <c r="AD265" i="14" l="1"/>
  <c r="AC265" i="14"/>
  <c r="D266" i="16"/>
  <c r="C266" i="14"/>
  <c r="E266" i="14"/>
  <c r="D266" i="14"/>
  <c r="AR266" i="14" s="1"/>
  <c r="B266" i="14"/>
  <c r="A267" i="14"/>
  <c r="AP265" i="14"/>
  <c r="AH265" i="14"/>
  <c r="AQ265" i="14"/>
  <c r="AG265" i="14"/>
  <c r="AF265" i="14"/>
  <c r="AD266" i="14" l="1"/>
  <c r="AC266" i="14"/>
  <c r="D267" i="16"/>
  <c r="C267" i="14"/>
  <c r="E267" i="14"/>
  <c r="D267" i="14"/>
  <c r="AR267" i="14" s="1"/>
  <c r="A268" i="14"/>
  <c r="B267" i="14"/>
  <c r="AH266" i="14"/>
  <c r="AP266" i="14"/>
  <c r="AQ266" i="14"/>
  <c r="AF266" i="14"/>
  <c r="AG266" i="14"/>
  <c r="AD267" i="14" l="1"/>
  <c r="AC267" i="14"/>
  <c r="D268" i="16"/>
  <c r="A269" i="14"/>
  <c r="E268" i="14"/>
  <c r="D268" i="14"/>
  <c r="AR268" i="14" s="1"/>
  <c r="C268" i="14"/>
  <c r="B268" i="14"/>
  <c r="AQ267" i="14"/>
  <c r="AH267" i="14"/>
  <c r="AG267" i="14"/>
  <c r="AP267" i="14"/>
  <c r="AF267" i="14"/>
  <c r="AD268" i="14" l="1"/>
  <c r="AC268" i="14"/>
  <c r="D269" i="16"/>
  <c r="A270" i="14"/>
  <c r="D269" i="14"/>
  <c r="AR269" i="14" s="1"/>
  <c r="C269" i="14"/>
  <c r="E269" i="14"/>
  <c r="B269" i="14"/>
  <c r="AH268" i="14"/>
  <c r="AF268" i="14"/>
  <c r="AG268" i="14"/>
  <c r="AQ268" i="14"/>
  <c r="AP268" i="14"/>
  <c r="AD269" i="14" l="1"/>
  <c r="AC269" i="14"/>
  <c r="D270" i="16"/>
  <c r="C270" i="14"/>
  <c r="D270" i="14"/>
  <c r="AR270" i="14" s="1"/>
  <c r="B270" i="14"/>
  <c r="A271" i="14"/>
  <c r="E270" i="14"/>
  <c r="AH269" i="14"/>
  <c r="AP269" i="14"/>
  <c r="AG269" i="14"/>
  <c r="AQ269" i="14"/>
  <c r="AF269" i="14"/>
  <c r="AD270" i="14" l="1"/>
  <c r="AC270" i="14"/>
  <c r="D271" i="16"/>
  <c r="C271" i="14"/>
  <c r="E271" i="14"/>
  <c r="D271" i="14"/>
  <c r="AR271" i="14" s="1"/>
  <c r="A272" i="14"/>
  <c r="B271" i="14"/>
  <c r="AQ270" i="14"/>
  <c r="AF270" i="14"/>
  <c r="AP270" i="14"/>
  <c r="AH270" i="14"/>
  <c r="AG270" i="14"/>
  <c r="AD271" i="14" l="1"/>
  <c r="AC271" i="14"/>
  <c r="D272" i="16"/>
  <c r="E272" i="14"/>
  <c r="A273" i="14"/>
  <c r="C272" i="14"/>
  <c r="B272" i="14"/>
  <c r="D272" i="14"/>
  <c r="AR272" i="14" s="1"/>
  <c r="AG271" i="14"/>
  <c r="AP271" i="14"/>
  <c r="AF271" i="14"/>
  <c r="AQ271" i="14"/>
  <c r="AH271" i="14"/>
  <c r="AD272" i="14" l="1"/>
  <c r="AC272" i="14"/>
  <c r="D273" i="16"/>
  <c r="A274" i="14"/>
  <c r="D273" i="14"/>
  <c r="AR273" i="14" s="1"/>
  <c r="C273" i="14"/>
  <c r="E273" i="14"/>
  <c r="B273" i="14"/>
  <c r="AG272" i="14"/>
  <c r="AF272" i="14"/>
  <c r="AQ272" i="14"/>
  <c r="AH272" i="14"/>
  <c r="AP272" i="14"/>
  <c r="AD273" i="14" l="1"/>
  <c r="AC273" i="14"/>
  <c r="D274" i="16"/>
  <c r="C274" i="14"/>
  <c r="E274" i="14"/>
  <c r="D274" i="14"/>
  <c r="AR274" i="14" s="1"/>
  <c r="B274" i="14"/>
  <c r="A275" i="14"/>
  <c r="AP273" i="14"/>
  <c r="AH273" i="14"/>
  <c r="AQ273" i="14"/>
  <c r="AG273" i="14"/>
  <c r="AF273" i="14"/>
  <c r="AD274" i="14" l="1"/>
  <c r="AC274" i="14"/>
  <c r="D275" i="16"/>
  <c r="C275" i="14"/>
  <c r="E275" i="14"/>
  <c r="D275" i="14"/>
  <c r="AR275" i="14" s="1"/>
  <c r="A276" i="14"/>
  <c r="B275" i="14"/>
  <c r="AF274" i="14"/>
  <c r="AP274" i="14"/>
  <c r="AH274" i="14"/>
  <c r="AG274" i="14"/>
  <c r="AQ274" i="14"/>
  <c r="AD275" i="14" l="1"/>
  <c r="AC275" i="14"/>
  <c r="D276" i="16"/>
  <c r="A277" i="14"/>
  <c r="E276" i="14"/>
  <c r="D276" i="14"/>
  <c r="AR276" i="14" s="1"/>
  <c r="C276" i="14"/>
  <c r="B276" i="14"/>
  <c r="AH275" i="14"/>
  <c r="AG275" i="14"/>
  <c r="AP275" i="14"/>
  <c r="AF275" i="14"/>
  <c r="AQ275" i="14"/>
  <c r="AD276" i="14" l="1"/>
  <c r="AC276" i="14"/>
  <c r="D277" i="16"/>
  <c r="A278" i="14"/>
  <c r="D277" i="14"/>
  <c r="AR277" i="14" s="1"/>
  <c r="C277" i="14"/>
  <c r="E277" i="14"/>
  <c r="B277" i="14"/>
  <c r="AP276" i="14"/>
  <c r="AG276" i="14"/>
  <c r="AH276" i="14"/>
  <c r="AF276" i="14"/>
  <c r="AQ276" i="14"/>
  <c r="AD277" i="14" l="1"/>
  <c r="AC277" i="14"/>
  <c r="D278" i="16"/>
  <c r="C278" i="14"/>
  <c r="D278" i="14"/>
  <c r="AR278" i="14" s="1"/>
  <c r="B278" i="14"/>
  <c r="A279" i="14"/>
  <c r="E278" i="14"/>
  <c r="AP277" i="14"/>
  <c r="AH277" i="14"/>
  <c r="AG277" i="14"/>
  <c r="AQ277" i="14"/>
  <c r="AF277" i="14"/>
  <c r="AD278" i="14" l="1"/>
  <c r="AC278" i="14"/>
  <c r="A280" i="14"/>
  <c r="D279" i="16"/>
  <c r="C279" i="14"/>
  <c r="E279" i="14"/>
  <c r="D279" i="14"/>
  <c r="AR279" i="14" s="1"/>
  <c r="B279" i="14"/>
  <c r="AP278" i="14"/>
  <c r="AF278" i="14"/>
  <c r="AG278" i="14"/>
  <c r="AQ278" i="14"/>
  <c r="AH278" i="14"/>
  <c r="D280" i="14" l="1"/>
  <c r="AR280" i="14" s="1"/>
  <c r="AD279" i="14"/>
  <c r="AC279" i="14"/>
  <c r="C280" i="14"/>
  <c r="B280" i="14"/>
  <c r="E280" i="14"/>
  <c r="A281" i="14"/>
  <c r="D280" i="16"/>
  <c r="AF279" i="14"/>
  <c r="AP279" i="14"/>
  <c r="AG279" i="14"/>
  <c r="AQ279" i="14"/>
  <c r="AH279" i="14"/>
  <c r="AQ280" i="14" l="1"/>
  <c r="AF280" i="14"/>
  <c r="AH280" i="14"/>
  <c r="AG280" i="14"/>
  <c r="AP280" i="14"/>
  <c r="AC280" i="14"/>
  <c r="AD280" i="14"/>
  <c r="A282" i="14"/>
  <c r="D282" i="16" s="1"/>
  <c r="B281" i="14"/>
  <c r="E281" i="14"/>
  <c r="D281" i="14"/>
  <c r="AR281" i="14" s="1"/>
  <c r="C281" i="14"/>
  <c r="D281" i="16"/>
  <c r="C282" i="14" l="1"/>
  <c r="E282" i="14"/>
  <c r="D282" i="14"/>
  <c r="AR282" i="14" s="1"/>
  <c r="B282" i="14"/>
  <c r="A283" i="14"/>
  <c r="C283" i="14" s="1"/>
  <c r="AD281" i="14"/>
  <c r="AC281" i="14"/>
  <c r="AH281" i="14"/>
  <c r="AQ281" i="14"/>
  <c r="AG281" i="14"/>
  <c r="AF281" i="14"/>
  <c r="AP281" i="14"/>
  <c r="D283" i="16"/>
  <c r="AH282" i="14" l="1"/>
  <c r="A284" i="14"/>
  <c r="C284" i="14" s="1"/>
  <c r="AG282" i="14"/>
  <c r="B283" i="14"/>
  <c r="D283" i="14"/>
  <c r="AR283" i="14" s="1"/>
  <c r="E283" i="14"/>
  <c r="AQ282" i="14"/>
  <c r="AD282" i="14"/>
  <c r="AC282" i="14"/>
  <c r="AP282" i="14"/>
  <c r="AF282" i="14"/>
  <c r="A285" i="14" l="1"/>
  <c r="D284" i="14"/>
  <c r="AR284" i="14" s="1"/>
  <c r="D284" i="16"/>
  <c r="E284" i="14"/>
  <c r="B284" i="14"/>
  <c r="AP283" i="14"/>
  <c r="AG283" i="14"/>
  <c r="AH283" i="14"/>
  <c r="AF283" i="14"/>
  <c r="AC283" i="14"/>
  <c r="AQ283" i="14"/>
  <c r="AD283" i="14"/>
  <c r="D285" i="16"/>
  <c r="C285" i="14"/>
  <c r="D285" i="14"/>
  <c r="AR285" i="14" s="1"/>
  <c r="A286" i="14"/>
  <c r="E285" i="14"/>
  <c r="B285" i="14"/>
  <c r="AH284" i="14" l="1"/>
  <c r="AD284" i="14"/>
  <c r="AF284" i="14"/>
  <c r="AG284" i="14"/>
  <c r="AC284" i="14"/>
  <c r="AP284" i="14"/>
  <c r="AQ284" i="14"/>
  <c r="AD285" i="14"/>
  <c r="AC285" i="14"/>
  <c r="D286" i="16"/>
  <c r="B286" i="14"/>
  <c r="C286" i="14"/>
  <c r="E286" i="14"/>
  <c r="A287" i="14"/>
  <c r="D286" i="14"/>
  <c r="AR286" i="14" s="1"/>
  <c r="AP285" i="14"/>
  <c r="AH285" i="14"/>
  <c r="AG285" i="14"/>
  <c r="AQ285" i="14"/>
  <c r="AF285" i="14"/>
  <c r="AD286" i="14" l="1"/>
  <c r="AC286" i="14"/>
  <c r="D287" i="16"/>
  <c r="B287" i="14"/>
  <c r="C287" i="14"/>
  <c r="E287" i="14"/>
  <c r="A288" i="14"/>
  <c r="D287" i="14"/>
  <c r="AR287" i="14" s="1"/>
  <c r="AQ286" i="14"/>
  <c r="AH286" i="14"/>
  <c r="AP286" i="14"/>
  <c r="AF286" i="14"/>
  <c r="AG286" i="14"/>
  <c r="AD287" i="14" l="1"/>
  <c r="AC287" i="14"/>
  <c r="D288" i="16"/>
  <c r="B288" i="14"/>
  <c r="E288" i="14"/>
  <c r="C288" i="14"/>
  <c r="A289" i="14"/>
  <c r="D288" i="14"/>
  <c r="AR288" i="14" s="1"/>
  <c r="AQ287" i="14"/>
  <c r="AF287" i="14"/>
  <c r="AG287" i="14"/>
  <c r="AP287" i="14"/>
  <c r="AH287" i="14"/>
  <c r="AD288" i="14" l="1"/>
  <c r="AC288" i="14"/>
  <c r="D289" i="16"/>
  <c r="B289" i="14"/>
  <c r="E289" i="14"/>
  <c r="C289" i="14"/>
  <c r="A290" i="14"/>
  <c r="D289" i="14"/>
  <c r="AR289" i="14" s="1"/>
  <c r="AH288" i="14"/>
  <c r="AP288" i="14"/>
  <c r="AG288" i="14"/>
  <c r="AF288" i="14"/>
  <c r="AQ288" i="14"/>
  <c r="AD289" i="14" l="1"/>
  <c r="AC289" i="14"/>
  <c r="D290" i="16"/>
  <c r="E290" i="14"/>
  <c r="B290" i="14"/>
  <c r="A291" i="14"/>
  <c r="C290" i="14"/>
  <c r="D290" i="14"/>
  <c r="AR290" i="14" s="1"/>
  <c r="AF289" i="14"/>
  <c r="AP289" i="14"/>
  <c r="AQ289" i="14"/>
  <c r="AH289" i="14"/>
  <c r="AG289" i="14"/>
  <c r="AD290" i="14" l="1"/>
  <c r="AC290" i="14"/>
  <c r="D291" i="16"/>
  <c r="A292" i="14"/>
  <c r="E291" i="14"/>
  <c r="B291" i="14"/>
  <c r="C291" i="14"/>
  <c r="D291" i="14"/>
  <c r="AR291" i="14" s="1"/>
  <c r="AP290" i="14"/>
  <c r="AG290" i="14"/>
  <c r="AF290" i="14"/>
  <c r="AQ290" i="14"/>
  <c r="AH290" i="14"/>
  <c r="AD291" i="14" l="1"/>
  <c r="AC291" i="14"/>
  <c r="D292" i="16"/>
  <c r="D292" i="14"/>
  <c r="AR292" i="14" s="1"/>
  <c r="A293" i="14"/>
  <c r="C292" i="14"/>
  <c r="B292" i="14"/>
  <c r="E292" i="14"/>
  <c r="AQ291" i="14"/>
  <c r="AP291" i="14"/>
  <c r="AF291" i="14"/>
  <c r="AG291" i="14"/>
  <c r="AH291" i="14"/>
  <c r="AD292" i="14" l="1"/>
  <c r="AC292" i="14"/>
  <c r="D293" i="16"/>
  <c r="D293" i="14"/>
  <c r="AR293" i="14" s="1"/>
  <c r="C293" i="14"/>
  <c r="A294" i="14"/>
  <c r="B293" i="14"/>
  <c r="E293" i="14"/>
  <c r="AG292" i="14"/>
  <c r="AF292" i="14"/>
  <c r="AP292" i="14"/>
  <c r="AH292" i="14"/>
  <c r="AQ292" i="14"/>
  <c r="AD293" i="14" l="1"/>
  <c r="AC293" i="14"/>
  <c r="D294" i="16"/>
  <c r="B294" i="14"/>
  <c r="E294" i="14"/>
  <c r="C294" i="14"/>
  <c r="D294" i="14"/>
  <c r="AR294" i="14" s="1"/>
  <c r="A295" i="14"/>
  <c r="AP293" i="14"/>
  <c r="AH293" i="14"/>
  <c r="AG293" i="14"/>
  <c r="AQ293" i="14"/>
  <c r="AF293" i="14"/>
  <c r="AD294" i="14" l="1"/>
  <c r="AC294" i="14"/>
  <c r="D295" i="16"/>
  <c r="A296" i="14"/>
  <c r="B295" i="14"/>
  <c r="E295" i="14"/>
  <c r="C295" i="14"/>
  <c r="D295" i="14"/>
  <c r="AR295" i="14" s="1"/>
  <c r="AG294" i="14"/>
  <c r="AF294" i="14"/>
  <c r="AH294" i="14"/>
  <c r="AP294" i="14"/>
  <c r="AQ294" i="14"/>
  <c r="AD295" i="14" l="1"/>
  <c r="AC295" i="14"/>
  <c r="D296" i="16"/>
  <c r="C296" i="14"/>
  <c r="A297" i="14"/>
  <c r="B296" i="14"/>
  <c r="D296" i="14"/>
  <c r="AR296" i="14" s="1"/>
  <c r="E296" i="14"/>
  <c r="AH295" i="14"/>
  <c r="AG295" i="14"/>
  <c r="AF295" i="14"/>
  <c r="AQ295" i="14"/>
  <c r="AP295" i="14"/>
  <c r="AD296" i="14" l="1"/>
  <c r="AC296" i="14"/>
  <c r="D297" i="16"/>
  <c r="C297" i="14"/>
  <c r="B297" i="14"/>
  <c r="D297" i="14"/>
  <c r="AR297" i="14" s="1"/>
  <c r="A298" i="14"/>
  <c r="E297" i="14"/>
  <c r="AQ296" i="14"/>
  <c r="AG296" i="14"/>
  <c r="AH296" i="14"/>
  <c r="AF296" i="14"/>
  <c r="AP296" i="14"/>
  <c r="AD297" i="14" l="1"/>
  <c r="AC297" i="14"/>
  <c r="D298" i="16"/>
  <c r="D298" i="14"/>
  <c r="AR298" i="14" s="1"/>
  <c r="E298" i="14"/>
  <c r="C298" i="14"/>
  <c r="B298" i="14"/>
  <c r="A299" i="14"/>
  <c r="AQ297" i="14"/>
  <c r="AH297" i="14"/>
  <c r="AP297" i="14"/>
  <c r="AF297" i="14"/>
  <c r="AG297" i="14"/>
  <c r="AD298" i="14" l="1"/>
  <c r="AC298" i="14"/>
  <c r="D299" i="16"/>
  <c r="D299" i="14"/>
  <c r="AR299" i="14" s="1"/>
  <c r="A300" i="14"/>
  <c r="E299" i="14"/>
  <c r="C299" i="14"/>
  <c r="B299" i="14"/>
  <c r="AH298" i="14"/>
  <c r="AQ298" i="14"/>
  <c r="AP298" i="14"/>
  <c r="AG298" i="14"/>
  <c r="AF298" i="14"/>
  <c r="AD299" i="14" l="1"/>
  <c r="AC299" i="14"/>
  <c r="D300" i="16"/>
  <c r="B300" i="14"/>
  <c r="E300" i="14"/>
  <c r="D300" i="14"/>
  <c r="AR300" i="14" s="1"/>
  <c r="A301" i="14"/>
  <c r="C300" i="14"/>
  <c r="AG299" i="14"/>
  <c r="AF299" i="14"/>
  <c r="AH299" i="14"/>
  <c r="AP299" i="14"/>
  <c r="AQ299" i="14"/>
  <c r="AD300" i="14" l="1"/>
  <c r="AC300" i="14"/>
  <c r="D301" i="16"/>
  <c r="B301" i="14"/>
  <c r="E301" i="14"/>
  <c r="D301" i="14"/>
  <c r="AR301" i="14" s="1"/>
  <c r="A302" i="14"/>
  <c r="C301" i="14"/>
  <c r="AQ300" i="14"/>
  <c r="AH300" i="14"/>
  <c r="AP300" i="14"/>
  <c r="AF300" i="14"/>
  <c r="AG300" i="14"/>
  <c r="AD301" i="14" l="1"/>
  <c r="AC301" i="14"/>
  <c r="D302" i="16"/>
  <c r="B302" i="14"/>
  <c r="D302" i="14"/>
  <c r="AR302" i="14" s="1"/>
  <c r="E302" i="14"/>
  <c r="A303" i="14"/>
  <c r="C302" i="14"/>
  <c r="AF301" i="14"/>
  <c r="AG301" i="14"/>
  <c r="AP301" i="14"/>
  <c r="AQ301" i="14"/>
  <c r="AH301" i="14"/>
  <c r="AD302" i="14" l="1"/>
  <c r="AC302" i="14"/>
  <c r="D303" i="16"/>
  <c r="A304" i="14"/>
  <c r="B303" i="14"/>
  <c r="E303" i="14"/>
  <c r="D303" i="14"/>
  <c r="AR303" i="14" s="1"/>
  <c r="C303" i="14"/>
  <c r="AG302" i="14"/>
  <c r="AQ302" i="14"/>
  <c r="AH302" i="14"/>
  <c r="AP302" i="14"/>
  <c r="AF302" i="14"/>
  <c r="AD303" i="14" l="1"/>
  <c r="AC303" i="14"/>
  <c r="D304" i="16"/>
  <c r="D304" i="14"/>
  <c r="AR304" i="14" s="1"/>
  <c r="A305" i="14"/>
  <c r="E304" i="14"/>
  <c r="C304" i="14"/>
  <c r="B304" i="14"/>
  <c r="AF303" i="14"/>
  <c r="AH303" i="14"/>
  <c r="AQ303" i="14"/>
  <c r="AG303" i="14"/>
  <c r="AP303" i="14"/>
  <c r="AD304" i="14" l="1"/>
  <c r="AC304" i="14"/>
  <c r="D305" i="16"/>
  <c r="D305" i="14"/>
  <c r="AR305" i="14" s="1"/>
  <c r="E305" i="14"/>
  <c r="C305" i="14"/>
  <c r="A306" i="14"/>
  <c r="B305" i="14"/>
  <c r="AG304" i="14"/>
  <c r="AP304" i="14"/>
  <c r="AH304" i="14"/>
  <c r="AF304" i="14"/>
  <c r="AQ304" i="14"/>
  <c r="AD305" i="14" l="1"/>
  <c r="AC305" i="14"/>
  <c r="D306" i="16"/>
  <c r="C306" i="14"/>
  <c r="A307" i="14"/>
  <c r="D306" i="14"/>
  <c r="AR306" i="14" s="1"/>
  <c r="E306" i="14"/>
  <c r="B306" i="14"/>
  <c r="AG305" i="14"/>
  <c r="AH305" i="14"/>
  <c r="AQ305" i="14"/>
  <c r="AP305" i="14"/>
  <c r="AF305" i="14"/>
  <c r="AD306" i="14" l="1"/>
  <c r="AC306" i="14"/>
  <c r="D307" i="16"/>
  <c r="C307" i="14"/>
  <c r="B307" i="14"/>
  <c r="D307" i="14"/>
  <c r="AR307" i="14" s="1"/>
  <c r="A308" i="14"/>
  <c r="E307" i="14"/>
  <c r="AF306" i="14"/>
  <c r="AG306" i="14"/>
  <c r="AH306" i="14"/>
  <c r="AQ306" i="14"/>
  <c r="AP306" i="14"/>
  <c r="AD307" i="14" l="1"/>
  <c r="AC307" i="14"/>
  <c r="D308" i="16"/>
  <c r="C308" i="14"/>
  <c r="E308" i="14"/>
  <c r="A309" i="14"/>
  <c r="B308" i="14"/>
  <c r="D308" i="14"/>
  <c r="AR308" i="14" s="1"/>
  <c r="AH307" i="14"/>
  <c r="AG307" i="14"/>
  <c r="AP307" i="14"/>
  <c r="AQ307" i="14"/>
  <c r="AF307" i="14"/>
  <c r="AD308" i="14" l="1"/>
  <c r="AC308" i="14"/>
  <c r="D309" i="16"/>
  <c r="C309" i="14"/>
  <c r="A310" i="14"/>
  <c r="E309" i="14"/>
  <c r="B309" i="14"/>
  <c r="D309" i="14"/>
  <c r="AR309" i="14" s="1"/>
  <c r="AQ308" i="14"/>
  <c r="AG308" i="14"/>
  <c r="AP308" i="14"/>
  <c r="AH308" i="14"/>
  <c r="AF308" i="14"/>
  <c r="AD309" i="14" l="1"/>
  <c r="AC309" i="14"/>
  <c r="D310" i="16"/>
  <c r="A311" i="14"/>
  <c r="B310" i="14"/>
  <c r="E310" i="14"/>
  <c r="C310" i="14"/>
  <c r="D310" i="14"/>
  <c r="AR310" i="14" s="1"/>
  <c r="AF309" i="14"/>
  <c r="AP309" i="14"/>
  <c r="AQ309" i="14"/>
  <c r="AH309" i="14"/>
  <c r="AG309" i="14"/>
  <c r="AD310" i="14" l="1"/>
  <c r="AC310" i="14"/>
  <c r="D311" i="16"/>
  <c r="B311" i="14"/>
  <c r="E311" i="14"/>
  <c r="C311" i="14"/>
  <c r="A312" i="14"/>
  <c r="D311" i="14"/>
  <c r="AR311" i="14" s="1"/>
  <c r="AF310" i="14"/>
  <c r="AP310" i="14"/>
  <c r="AG310" i="14"/>
  <c r="AH310" i="14"/>
  <c r="AQ310" i="14"/>
  <c r="AD311" i="14" l="1"/>
  <c r="AC311" i="14"/>
  <c r="D312" i="16"/>
  <c r="B312" i="14"/>
  <c r="E312" i="14"/>
  <c r="D312" i="14"/>
  <c r="AR312" i="14" s="1"/>
  <c r="A313" i="14"/>
  <c r="C312" i="14"/>
  <c r="AF311" i="14"/>
  <c r="AG311" i="14"/>
  <c r="AQ311" i="14"/>
  <c r="AP311" i="14"/>
  <c r="AH311" i="14"/>
  <c r="AD312" i="14" l="1"/>
  <c r="AC312" i="14"/>
  <c r="D313" i="16"/>
  <c r="B313" i="14"/>
  <c r="E313" i="14"/>
  <c r="D313" i="14"/>
  <c r="AR313" i="14" s="1"/>
  <c r="A314" i="14"/>
  <c r="C313" i="14"/>
  <c r="AH312" i="14"/>
  <c r="AQ312" i="14"/>
  <c r="AF312" i="14"/>
  <c r="AG312" i="14"/>
  <c r="AP312" i="14"/>
  <c r="AD313" i="14" l="1"/>
  <c r="AC313" i="14"/>
  <c r="D314" i="16"/>
  <c r="B314" i="14"/>
  <c r="A315" i="14"/>
  <c r="D314" i="14"/>
  <c r="AR314" i="14" s="1"/>
  <c r="E314" i="14"/>
  <c r="C314" i="14"/>
  <c r="AG313" i="14"/>
  <c r="AQ313" i="14"/>
  <c r="AF313" i="14"/>
  <c r="AP313" i="14"/>
  <c r="AH313" i="14"/>
  <c r="AD314" i="14" l="1"/>
  <c r="AC314" i="14"/>
  <c r="D315" i="16"/>
  <c r="A316" i="14"/>
  <c r="B315" i="14"/>
  <c r="D315" i="14"/>
  <c r="AR315" i="14" s="1"/>
  <c r="C315" i="14"/>
  <c r="E315" i="14"/>
  <c r="AP314" i="14"/>
  <c r="AH314" i="14"/>
  <c r="AQ314" i="14"/>
  <c r="AG314" i="14"/>
  <c r="AF314" i="14"/>
  <c r="AD315" i="14" l="1"/>
  <c r="AC315" i="14"/>
  <c r="D316" i="16"/>
  <c r="D316" i="14"/>
  <c r="AR316" i="14" s="1"/>
  <c r="A317" i="14"/>
  <c r="B316" i="14"/>
  <c r="C316" i="14"/>
  <c r="E316" i="14"/>
  <c r="AP315" i="14"/>
  <c r="AG315" i="14"/>
  <c r="AQ315" i="14"/>
  <c r="AF315" i="14"/>
  <c r="AH315" i="14"/>
  <c r="AD316" i="14" l="1"/>
  <c r="AC316" i="14"/>
  <c r="D317" i="16"/>
  <c r="D317" i="14"/>
  <c r="AR317" i="14" s="1"/>
  <c r="B317" i="14"/>
  <c r="A318" i="14"/>
  <c r="C317" i="14"/>
  <c r="E317" i="14"/>
  <c r="AF316" i="14"/>
  <c r="AH316" i="14"/>
  <c r="AP316" i="14"/>
  <c r="AG316" i="14"/>
  <c r="AQ316" i="14"/>
  <c r="AD317" i="14" l="1"/>
  <c r="AC317" i="14"/>
  <c r="D318" i="16"/>
  <c r="E318" i="14"/>
  <c r="D318" i="14"/>
  <c r="AR318" i="14" s="1"/>
  <c r="A319" i="14"/>
  <c r="B318" i="14"/>
  <c r="C318" i="14"/>
  <c r="AG317" i="14"/>
  <c r="AH317" i="14"/>
  <c r="AQ317" i="14"/>
  <c r="AP317" i="14"/>
  <c r="AF317" i="14"/>
  <c r="AD318" i="14" l="1"/>
  <c r="AC318" i="14"/>
  <c r="D319" i="16"/>
  <c r="E319" i="14"/>
  <c r="D319" i="14"/>
  <c r="AR319" i="14" s="1"/>
  <c r="B319" i="14"/>
  <c r="C319" i="14"/>
  <c r="A320" i="14"/>
  <c r="AG318" i="14"/>
  <c r="AF318" i="14"/>
  <c r="AH318" i="14"/>
  <c r="AP318" i="14"/>
  <c r="AQ318" i="14"/>
  <c r="AD319" i="14" l="1"/>
  <c r="AC319" i="14"/>
  <c r="D320" i="16"/>
  <c r="C320" i="14"/>
  <c r="D320" i="14"/>
  <c r="AR320" i="14" s="1"/>
  <c r="B320" i="14"/>
  <c r="E320" i="14"/>
  <c r="A321" i="14"/>
  <c r="AQ319" i="14"/>
  <c r="AP319" i="14"/>
  <c r="AF319" i="14"/>
  <c r="AH319" i="14"/>
  <c r="AG319" i="14"/>
  <c r="AD320" i="14" l="1"/>
  <c r="AC320" i="14"/>
  <c r="D321" i="16"/>
  <c r="C321" i="14"/>
  <c r="D321" i="14"/>
  <c r="AR321" i="14" s="1"/>
  <c r="B321" i="14"/>
  <c r="E321" i="14"/>
  <c r="A322" i="14"/>
  <c r="AG320" i="14"/>
  <c r="AQ320" i="14"/>
  <c r="AF320" i="14"/>
  <c r="AH320" i="14"/>
  <c r="AP320" i="14"/>
  <c r="AD321" i="14" l="1"/>
  <c r="AC321" i="14"/>
  <c r="D322" i="16"/>
  <c r="C322" i="14"/>
  <c r="D322" i="14"/>
  <c r="AR322" i="14" s="1"/>
  <c r="E322" i="14"/>
  <c r="B322" i="14"/>
  <c r="A323" i="14"/>
  <c r="AQ321" i="14"/>
  <c r="AF321" i="14"/>
  <c r="AH321" i="14"/>
  <c r="AP321" i="14"/>
  <c r="AG321" i="14"/>
  <c r="AD322" i="14" l="1"/>
  <c r="AC322" i="14"/>
  <c r="D323" i="16"/>
  <c r="A324" i="14"/>
  <c r="C323" i="14"/>
  <c r="D323" i="14"/>
  <c r="AR323" i="14" s="1"/>
  <c r="E323" i="14"/>
  <c r="B323" i="14"/>
  <c r="AG322" i="14"/>
  <c r="AF322" i="14"/>
  <c r="AQ322" i="14"/>
  <c r="AP322" i="14"/>
  <c r="AH322" i="14"/>
  <c r="AD323" i="14" l="1"/>
  <c r="AC323" i="14"/>
  <c r="D324" i="16"/>
  <c r="B324" i="14"/>
  <c r="E324" i="14"/>
  <c r="A325" i="14"/>
  <c r="C324" i="14"/>
  <c r="D324" i="14"/>
  <c r="AR324" i="14" s="1"/>
  <c r="AQ323" i="14"/>
  <c r="AG323" i="14"/>
  <c r="AP323" i="14"/>
  <c r="AF323" i="14"/>
  <c r="AH323" i="14"/>
  <c r="AD324" i="14" l="1"/>
  <c r="AC324" i="14"/>
  <c r="D325" i="16"/>
  <c r="B325" i="14"/>
  <c r="E325" i="14"/>
  <c r="C325" i="14"/>
  <c r="A326" i="14"/>
  <c r="D325" i="14"/>
  <c r="AR325" i="14" s="1"/>
  <c r="CP5" i="1"/>
  <c r="CP6" i="1"/>
  <c r="CP7" i="1"/>
  <c r="CP8" i="1"/>
  <c r="CP9" i="1"/>
  <c r="CP10" i="1"/>
  <c r="CP11" i="1"/>
  <c r="CQ5" i="1"/>
  <c r="CQ6" i="1"/>
  <c r="CQ7" i="1"/>
  <c r="CQ8" i="1"/>
  <c r="CQ9" i="1"/>
  <c r="CQ10" i="1"/>
  <c r="CQ11" i="1"/>
  <c r="CT5" i="1"/>
  <c r="DB5" i="1" s="1"/>
  <c r="CT6" i="1"/>
  <c r="DB6" i="1" s="1"/>
  <c r="CT7" i="1"/>
  <c r="DB7" i="1" s="1"/>
  <c r="CT8" i="1"/>
  <c r="DB8" i="1" s="1"/>
  <c r="CT9" i="1"/>
  <c r="DB9" i="1" s="1"/>
  <c r="CT10" i="1"/>
  <c r="DB10" i="1" s="1"/>
  <c r="CT11" i="1"/>
  <c r="DB11" i="1" s="1"/>
  <c r="CV5" i="1"/>
  <c r="DD5" i="1" s="1"/>
  <c r="CV6" i="1"/>
  <c r="DD6" i="1" s="1"/>
  <c r="CV7" i="1"/>
  <c r="DD7" i="1" s="1"/>
  <c r="CV8" i="1"/>
  <c r="DD8" i="1" s="1"/>
  <c r="CV9" i="1"/>
  <c r="DD9" i="1" s="1"/>
  <c r="CV10" i="1"/>
  <c r="DD10" i="1" s="1"/>
  <c r="CV11" i="1"/>
  <c r="DD11" i="1" s="1"/>
  <c r="CX5" i="1"/>
  <c r="DF5" i="1" s="1"/>
  <c r="CX6" i="1"/>
  <c r="DF6" i="1" s="1"/>
  <c r="CX7" i="1"/>
  <c r="DF7" i="1" s="1"/>
  <c r="CX8" i="1"/>
  <c r="DF8" i="1" s="1"/>
  <c r="CX9" i="1"/>
  <c r="DF9" i="1" s="1"/>
  <c r="CX10" i="1"/>
  <c r="DF10" i="1" s="1"/>
  <c r="CX11" i="1"/>
  <c r="DF11" i="1" s="1"/>
  <c r="CZ5" i="1"/>
  <c r="DH5" i="1" s="1"/>
  <c r="CZ6" i="1"/>
  <c r="DH6" i="1" s="1"/>
  <c r="CZ7" i="1"/>
  <c r="DH7" i="1" s="1"/>
  <c r="CZ8" i="1"/>
  <c r="DH8" i="1" s="1"/>
  <c r="CZ9" i="1"/>
  <c r="DH9" i="1" s="1"/>
  <c r="CZ10" i="1"/>
  <c r="DH10" i="1" s="1"/>
  <c r="CZ11" i="1"/>
  <c r="DH11" i="1" s="1"/>
  <c r="DK5" i="1"/>
  <c r="DK6" i="1"/>
  <c r="DK7" i="1"/>
  <c r="DK8" i="1"/>
  <c r="DK9" i="1"/>
  <c r="DK10" i="1"/>
  <c r="DK11" i="1"/>
  <c r="AP324" i="14"/>
  <c r="AH324" i="14"/>
  <c r="AG324" i="14"/>
  <c r="AQ324" i="14"/>
  <c r="AF324" i="14"/>
  <c r="AD325" i="14" l="1"/>
  <c r="AC325" i="14"/>
  <c r="D326" i="16"/>
  <c r="D326" i="14"/>
  <c r="AR326" i="14" s="1"/>
  <c r="A327" i="14"/>
  <c r="E326" i="14"/>
  <c r="C326" i="14"/>
  <c r="B326" i="14"/>
  <c r="DJ9" i="1"/>
  <c r="DJ6" i="1"/>
  <c r="DJ11" i="1"/>
  <c r="DJ7" i="1"/>
  <c r="DJ5" i="1"/>
  <c r="DJ8" i="1"/>
  <c r="DJ10" i="1"/>
  <c r="AH325" i="14"/>
  <c r="AG325" i="14"/>
  <c r="AF325" i="14"/>
  <c r="AP325" i="14"/>
  <c r="AQ325" i="14"/>
  <c r="AD326" i="14" l="1"/>
  <c r="AC326" i="14"/>
  <c r="DL9" i="1"/>
  <c r="DL11" i="1"/>
  <c r="DL10" i="1"/>
  <c r="D327" i="16"/>
  <c r="DL6" i="1"/>
  <c r="DL7" i="1"/>
  <c r="DL8" i="1"/>
  <c r="DL5" i="1"/>
  <c r="A328" i="14"/>
  <c r="D327" i="14"/>
  <c r="AR327" i="14" s="1"/>
  <c r="E327" i="14"/>
  <c r="B327" i="14"/>
  <c r="C327" i="14"/>
  <c r="AQ326" i="14"/>
  <c r="AP326" i="14"/>
  <c r="AG326" i="14"/>
  <c r="AF326" i="14"/>
  <c r="AH326" i="14"/>
  <c r="AD327" i="14" l="1"/>
  <c r="AC327" i="14"/>
  <c r="D328" i="16"/>
  <c r="D328" i="14"/>
  <c r="AR328" i="14" s="1"/>
  <c r="A329" i="14"/>
  <c r="B328" i="14"/>
  <c r="E328" i="14"/>
  <c r="C328" i="14"/>
  <c r="AP327" i="14"/>
  <c r="AQ327" i="14"/>
  <c r="AG327" i="14"/>
  <c r="AH327" i="14"/>
  <c r="AF327" i="14"/>
  <c r="AD328" i="14" l="1"/>
  <c r="AC328" i="14"/>
  <c r="D329" i="16"/>
  <c r="D329" i="14"/>
  <c r="AR329" i="14" s="1"/>
  <c r="B329" i="14"/>
  <c r="E329" i="14"/>
  <c r="C329" i="14"/>
  <c r="A330" i="14"/>
  <c r="AH328" i="14"/>
  <c r="AQ328" i="14"/>
  <c r="AF328" i="14"/>
  <c r="AG328" i="14"/>
  <c r="AP328" i="14"/>
  <c r="AD329" i="14" l="1"/>
  <c r="AC329" i="14"/>
  <c r="D330" i="16"/>
  <c r="B330" i="14"/>
  <c r="E330" i="14"/>
  <c r="D330" i="14"/>
  <c r="AR330" i="14" s="1"/>
  <c r="C330" i="14"/>
  <c r="A331" i="14"/>
  <c r="AP329" i="14"/>
  <c r="AG329" i="14"/>
  <c r="AF329" i="14"/>
  <c r="AH329" i="14"/>
  <c r="AQ329" i="14"/>
  <c r="AD330" i="14" l="1"/>
  <c r="AC330" i="14"/>
  <c r="D331" i="16"/>
  <c r="B331" i="14"/>
  <c r="E331" i="14"/>
  <c r="A332" i="14"/>
  <c r="C331" i="14"/>
  <c r="D331" i="14"/>
  <c r="AR331" i="14" s="1"/>
  <c r="AH330" i="14"/>
  <c r="AQ330" i="14"/>
  <c r="AF330" i="14"/>
  <c r="AP330" i="14"/>
  <c r="AG330" i="14"/>
  <c r="AD331" i="14" l="1"/>
  <c r="AC331" i="14"/>
  <c r="D332" i="16"/>
  <c r="C332" i="14"/>
  <c r="E332" i="14"/>
  <c r="B332" i="14"/>
  <c r="A333" i="14"/>
  <c r="D332" i="14"/>
  <c r="AR332" i="14" s="1"/>
  <c r="AH331" i="14"/>
  <c r="AQ331" i="14"/>
  <c r="AG331" i="14"/>
  <c r="AF331" i="14"/>
  <c r="AP331" i="14"/>
  <c r="AD332" i="14" l="1"/>
  <c r="AC332" i="14"/>
  <c r="D333" i="16"/>
  <c r="C333" i="14"/>
  <c r="E333" i="14"/>
  <c r="A334" i="14"/>
  <c r="D333" i="14"/>
  <c r="AR333" i="14" s="1"/>
  <c r="B333" i="14"/>
  <c r="AH332" i="14"/>
  <c r="AG332" i="14"/>
  <c r="AQ332" i="14"/>
  <c r="AP332" i="14"/>
  <c r="AF332" i="14"/>
  <c r="AD333" i="14" l="1"/>
  <c r="AC333" i="14"/>
  <c r="D334" i="16"/>
  <c r="D334" i="14"/>
  <c r="AR334" i="14" s="1"/>
  <c r="A335" i="14"/>
  <c r="E334" i="14"/>
  <c r="C334" i="14"/>
  <c r="B334" i="14"/>
  <c r="AF333" i="14"/>
  <c r="AG333" i="14"/>
  <c r="AH333" i="14"/>
  <c r="AQ333" i="14"/>
  <c r="AP333" i="14"/>
  <c r="AD334" i="14" l="1"/>
  <c r="AC334" i="14"/>
  <c r="D335" i="16"/>
  <c r="D335" i="14"/>
  <c r="AR335" i="14" s="1"/>
  <c r="A336" i="14"/>
  <c r="E335" i="14"/>
  <c r="C335" i="14"/>
  <c r="B335" i="14"/>
  <c r="AF334" i="14"/>
  <c r="AQ334" i="14"/>
  <c r="AP334" i="14"/>
  <c r="AG334" i="14"/>
  <c r="AH334" i="14"/>
  <c r="AD335" i="14" l="1"/>
  <c r="AC335" i="14"/>
  <c r="D336" i="16"/>
  <c r="B336" i="14"/>
  <c r="E336" i="14"/>
  <c r="C336" i="14"/>
  <c r="A337" i="14"/>
  <c r="D336" i="14"/>
  <c r="AR336" i="14" s="1"/>
  <c r="AF335" i="14"/>
  <c r="AH335" i="14"/>
  <c r="AP335" i="14"/>
  <c r="AQ335" i="14"/>
  <c r="AG335" i="14"/>
  <c r="AD336" i="14" l="1"/>
  <c r="AC336" i="14"/>
  <c r="D337" i="16"/>
  <c r="B337" i="14"/>
  <c r="E337" i="14"/>
  <c r="A338" i="14"/>
  <c r="C337" i="14"/>
  <c r="D337" i="14"/>
  <c r="AR337" i="14" s="1"/>
  <c r="AG336" i="14"/>
  <c r="AH336" i="14"/>
  <c r="AQ336" i="14"/>
  <c r="AF336" i="14"/>
  <c r="AP336" i="14"/>
  <c r="AD337" i="14" l="1"/>
  <c r="AC337" i="14"/>
  <c r="D338" i="16"/>
  <c r="A339" i="14"/>
  <c r="B338" i="14"/>
  <c r="D338" i="14"/>
  <c r="AR338" i="14" s="1"/>
  <c r="C338" i="14"/>
  <c r="E338" i="14"/>
  <c r="AP337" i="14"/>
  <c r="AH337" i="14"/>
  <c r="AF337" i="14"/>
  <c r="AQ337" i="14"/>
  <c r="AG337" i="14"/>
  <c r="AD338" i="14" l="1"/>
  <c r="AC338" i="14"/>
  <c r="D339" i="16"/>
  <c r="A340" i="14"/>
  <c r="B339" i="14"/>
  <c r="D339" i="14"/>
  <c r="AR339" i="14" s="1"/>
  <c r="C339" i="14"/>
  <c r="E339" i="14"/>
  <c r="AH338" i="14"/>
  <c r="AF338" i="14"/>
  <c r="AQ338" i="14"/>
  <c r="AP338" i="14"/>
  <c r="AG338" i="14"/>
  <c r="AD339" i="14" l="1"/>
  <c r="AC339" i="14"/>
  <c r="D340" i="16"/>
  <c r="D340" i="14"/>
  <c r="AR340" i="14" s="1"/>
  <c r="A341" i="14"/>
  <c r="C340" i="14"/>
  <c r="B340" i="14"/>
  <c r="E340" i="14"/>
  <c r="AP339" i="14"/>
  <c r="AQ339" i="14"/>
  <c r="AH339" i="14"/>
  <c r="AF339" i="14"/>
  <c r="AG339" i="14"/>
  <c r="AD340" i="14" l="1"/>
  <c r="AC340" i="14"/>
  <c r="D341" i="16"/>
  <c r="D341" i="14"/>
  <c r="AR341" i="14" s="1"/>
  <c r="C341" i="14"/>
  <c r="A342" i="14"/>
  <c r="B341" i="14"/>
  <c r="E341" i="14"/>
  <c r="AH340" i="14"/>
  <c r="AQ340" i="14"/>
  <c r="AG340" i="14"/>
  <c r="AF340" i="14"/>
  <c r="AP340" i="14"/>
  <c r="AD341" i="14" l="1"/>
  <c r="AC341" i="14"/>
  <c r="D342" i="16"/>
  <c r="D342" i="14"/>
  <c r="AR342" i="14" s="1"/>
  <c r="C342" i="14"/>
  <c r="B342" i="14"/>
  <c r="A343" i="14"/>
  <c r="E342" i="14"/>
  <c r="AG341" i="14"/>
  <c r="AF341" i="14"/>
  <c r="AQ341" i="14"/>
  <c r="AP341" i="14"/>
  <c r="AH341" i="14"/>
  <c r="AD342" i="14" l="1"/>
  <c r="AC342" i="14"/>
  <c r="D343" i="16"/>
  <c r="D343" i="14"/>
  <c r="AR343" i="14" s="1"/>
  <c r="C343" i="14"/>
  <c r="B343" i="14"/>
  <c r="A344" i="14"/>
  <c r="E343" i="14"/>
  <c r="AG342" i="14"/>
  <c r="AH342" i="14"/>
  <c r="AQ342" i="14"/>
  <c r="AP342" i="14"/>
  <c r="AF342" i="14"/>
  <c r="AD343" i="14" l="1"/>
  <c r="AC343" i="14"/>
  <c r="D344" i="16"/>
  <c r="C344" i="14"/>
  <c r="B344" i="14"/>
  <c r="E344" i="14"/>
  <c r="D344" i="14"/>
  <c r="AR344" i="14" s="1"/>
  <c r="A345" i="14"/>
  <c r="AF343" i="14"/>
  <c r="AP343" i="14"/>
  <c r="AH343" i="14"/>
  <c r="AQ343" i="14"/>
  <c r="AG343" i="14"/>
  <c r="AD344" i="14" l="1"/>
  <c r="AC344" i="14"/>
  <c r="D345" i="16"/>
  <c r="C345" i="14"/>
  <c r="B345" i="14"/>
  <c r="E345" i="14"/>
  <c r="A346" i="14"/>
  <c r="D345" i="14"/>
  <c r="AR345" i="14" s="1"/>
  <c r="AH344" i="14"/>
  <c r="AG344" i="14"/>
  <c r="AF344" i="14"/>
  <c r="AP344" i="14"/>
  <c r="AQ344" i="14"/>
  <c r="AD345" i="14" l="1"/>
  <c r="AC345" i="14"/>
  <c r="D346" i="16"/>
  <c r="E346" i="14"/>
  <c r="B346" i="14"/>
  <c r="A347" i="14"/>
  <c r="D346" i="14"/>
  <c r="AR346" i="14" s="1"/>
  <c r="C346" i="14"/>
  <c r="AG345" i="14"/>
  <c r="AP345" i="14"/>
  <c r="AQ345" i="14"/>
  <c r="AF345" i="14"/>
  <c r="AH345" i="14"/>
  <c r="AD346" i="14" l="1"/>
  <c r="AC346" i="14"/>
  <c r="D347" i="16"/>
  <c r="E347" i="14"/>
  <c r="B347" i="14"/>
  <c r="D347" i="14"/>
  <c r="AR347" i="14" s="1"/>
  <c r="C347" i="14"/>
  <c r="A348" i="14"/>
  <c r="AF346" i="14"/>
  <c r="AQ346" i="14"/>
  <c r="AP346" i="14"/>
  <c r="AG346" i="14"/>
  <c r="AH346" i="14"/>
  <c r="AD347" i="14" l="1"/>
  <c r="AC347" i="14"/>
  <c r="D348" i="16"/>
  <c r="B348" i="14"/>
  <c r="E348" i="14"/>
  <c r="C348" i="14"/>
  <c r="D348" i="14"/>
  <c r="AR348" i="14" s="1"/>
  <c r="A349" i="14"/>
  <c r="AF347" i="14"/>
  <c r="AP347" i="14"/>
  <c r="AG347" i="14"/>
  <c r="AQ347" i="14"/>
  <c r="AH347" i="14"/>
  <c r="AD348" i="14" l="1"/>
  <c r="AC348" i="14"/>
  <c r="D349" i="16"/>
  <c r="B349" i="14"/>
  <c r="E349" i="14"/>
  <c r="A350" i="14"/>
  <c r="C349" i="14"/>
  <c r="D349" i="14"/>
  <c r="AR349" i="14" s="1"/>
  <c r="AQ348" i="14"/>
  <c r="AP348" i="14"/>
  <c r="AF348" i="14"/>
  <c r="AG348" i="14"/>
  <c r="AH348" i="14"/>
  <c r="AD349" i="14" l="1"/>
  <c r="AC349" i="14"/>
  <c r="D350" i="16"/>
  <c r="C350" i="14"/>
  <c r="D350" i="14"/>
  <c r="AR350" i="14" s="1"/>
  <c r="A351" i="14"/>
  <c r="E350" i="14"/>
  <c r="B350" i="14"/>
  <c r="AP349" i="14"/>
  <c r="AG349" i="14"/>
  <c r="AQ349" i="14"/>
  <c r="AH349" i="14"/>
  <c r="AF349" i="14"/>
  <c r="AD350" i="14" l="1"/>
  <c r="AC350" i="14"/>
  <c r="D351" i="16"/>
  <c r="A352" i="14"/>
  <c r="C351" i="14"/>
  <c r="D351" i="14"/>
  <c r="AR351" i="14" s="1"/>
  <c r="E351" i="14"/>
  <c r="B351" i="14"/>
  <c r="AH350" i="14"/>
  <c r="AP350" i="14"/>
  <c r="AG350" i="14"/>
  <c r="AF350" i="14"/>
  <c r="AQ350" i="14"/>
  <c r="AD351" i="14" l="1"/>
  <c r="AC351" i="14"/>
  <c r="D352" i="16"/>
  <c r="D352" i="14"/>
  <c r="AR352" i="14" s="1"/>
  <c r="A353" i="14"/>
  <c r="E352" i="14"/>
  <c r="C352" i="14"/>
  <c r="B352" i="14"/>
  <c r="AP351" i="14"/>
  <c r="AG351" i="14"/>
  <c r="AH351" i="14"/>
  <c r="AF351" i="14"/>
  <c r="AQ351" i="14"/>
  <c r="AD352" i="14" l="1"/>
  <c r="AC352" i="14"/>
  <c r="D353" i="16"/>
  <c r="D353" i="14"/>
  <c r="AR353" i="14" s="1"/>
  <c r="A354" i="14"/>
  <c r="E353" i="14"/>
  <c r="B353" i="14"/>
  <c r="C353" i="14"/>
  <c r="AQ352" i="14"/>
  <c r="AP352" i="14"/>
  <c r="AF352" i="14"/>
  <c r="AG352" i="14"/>
  <c r="AH352" i="14"/>
  <c r="AD353" i="14" l="1"/>
  <c r="AC353" i="14"/>
  <c r="D354" i="16"/>
  <c r="A355" i="14"/>
  <c r="E354" i="14"/>
  <c r="D354" i="14"/>
  <c r="AR354" i="14" s="1"/>
  <c r="B354" i="14"/>
  <c r="C354" i="14"/>
  <c r="AP353" i="14"/>
  <c r="AQ353" i="14"/>
  <c r="AF353" i="14"/>
  <c r="AG353" i="14"/>
  <c r="AH353" i="14"/>
  <c r="AD354" i="14" l="1"/>
  <c r="AC354" i="14"/>
  <c r="D355" i="16"/>
  <c r="E355" i="14"/>
  <c r="D355" i="14"/>
  <c r="AR355" i="14" s="1"/>
  <c r="A356" i="14"/>
  <c r="B355" i="14"/>
  <c r="C355" i="14"/>
  <c r="AQ354" i="14"/>
  <c r="AP354" i="14"/>
  <c r="AH354" i="14"/>
  <c r="AG354" i="14"/>
  <c r="AF354" i="14"/>
  <c r="AD355" i="14" l="1"/>
  <c r="AC355" i="14"/>
  <c r="D356" i="16"/>
  <c r="C356" i="14"/>
  <c r="D356" i="14"/>
  <c r="AR356" i="14" s="1"/>
  <c r="B356" i="14"/>
  <c r="E356" i="14"/>
  <c r="A357" i="14"/>
  <c r="AQ355" i="14"/>
  <c r="AG355" i="14"/>
  <c r="AP355" i="14"/>
  <c r="AH355" i="14"/>
  <c r="AF355" i="14"/>
  <c r="AD356" i="14" l="1"/>
  <c r="AC356" i="14"/>
  <c r="D357" i="16"/>
  <c r="C357" i="14"/>
  <c r="D357" i="14"/>
  <c r="AR357" i="14" s="1"/>
  <c r="B357" i="14"/>
  <c r="E357" i="14"/>
  <c r="A358" i="14"/>
  <c r="AH356" i="14"/>
  <c r="AG356" i="14"/>
  <c r="AQ356" i="14"/>
  <c r="AP356" i="14"/>
  <c r="AF356" i="14"/>
  <c r="AD357" i="14" l="1"/>
  <c r="AC357" i="14"/>
  <c r="D358" i="16"/>
  <c r="B358" i="14"/>
  <c r="C358" i="14"/>
  <c r="D358" i="14"/>
  <c r="AR358" i="14" s="1"/>
  <c r="E358" i="14"/>
  <c r="A359" i="14"/>
  <c r="AF357" i="14"/>
  <c r="AP357" i="14"/>
  <c r="AQ357" i="14"/>
  <c r="AH357" i="14"/>
  <c r="AG357" i="14"/>
  <c r="AD358" i="14" l="1"/>
  <c r="AC358" i="14"/>
  <c r="D359" i="16"/>
  <c r="B359" i="14"/>
  <c r="C359" i="14"/>
  <c r="A360" i="14"/>
  <c r="E359" i="14"/>
  <c r="D359" i="14"/>
  <c r="AR359" i="14" s="1"/>
  <c r="AQ358" i="14"/>
  <c r="AP358" i="14"/>
  <c r="AG358" i="14"/>
  <c r="AF358" i="14"/>
  <c r="AH358" i="14"/>
  <c r="AD359" i="14" l="1"/>
  <c r="AC359" i="14"/>
  <c r="D360" i="16"/>
  <c r="B360" i="14"/>
  <c r="E360" i="14"/>
  <c r="D360" i="14"/>
  <c r="AR360" i="14" s="1"/>
  <c r="A361" i="14"/>
  <c r="C360" i="14"/>
  <c r="AH359" i="14"/>
  <c r="AQ359" i="14"/>
  <c r="AP359" i="14"/>
  <c r="AF359" i="14"/>
  <c r="AG359" i="14"/>
  <c r="AD360" i="14" l="1"/>
  <c r="AC360" i="14"/>
  <c r="D361" i="16"/>
  <c r="B361" i="14"/>
  <c r="E361" i="14"/>
  <c r="D361" i="14"/>
  <c r="AR361" i="14" s="1"/>
  <c r="A362" i="14"/>
  <c r="C361" i="14"/>
  <c r="AP360" i="14"/>
  <c r="AQ360" i="14"/>
  <c r="AG360" i="14"/>
  <c r="AH360" i="14"/>
  <c r="AF360" i="14"/>
  <c r="AD361" i="14" l="1"/>
  <c r="AC361" i="14"/>
  <c r="D362" i="16"/>
  <c r="E362" i="14"/>
  <c r="A363" i="14"/>
  <c r="B362" i="14"/>
  <c r="D362" i="14"/>
  <c r="AR362" i="14" s="1"/>
  <c r="C362" i="14"/>
  <c r="AG361" i="14"/>
  <c r="AP361" i="14"/>
  <c r="AF361" i="14"/>
  <c r="AH361" i="14"/>
  <c r="AQ361" i="14"/>
  <c r="AD362" i="14" l="1"/>
  <c r="AC362" i="14"/>
  <c r="D363" i="16"/>
  <c r="A364" i="14"/>
  <c r="E363" i="14"/>
  <c r="C363" i="14"/>
  <c r="B363" i="14"/>
  <c r="D363" i="14"/>
  <c r="AR363" i="14" s="1"/>
  <c r="AH362" i="14"/>
  <c r="AP362" i="14"/>
  <c r="AF362" i="14"/>
  <c r="AG362" i="14"/>
  <c r="AQ362" i="14"/>
  <c r="AD363" i="14" l="1"/>
  <c r="AC363" i="14"/>
  <c r="D364" i="16"/>
  <c r="D364" i="14"/>
  <c r="AR364" i="14" s="1"/>
  <c r="A365" i="14"/>
  <c r="C364" i="14"/>
  <c r="B364" i="14"/>
  <c r="E364" i="14"/>
  <c r="AH363" i="14"/>
  <c r="AQ363" i="14"/>
  <c r="AG363" i="14"/>
  <c r="AP363" i="14"/>
  <c r="AF363" i="14"/>
  <c r="AD364" i="14" l="1"/>
  <c r="AC364" i="14"/>
  <c r="D365" i="16"/>
  <c r="D365" i="14"/>
  <c r="AR365" i="14" s="1"/>
  <c r="C365" i="14"/>
  <c r="B365" i="14"/>
  <c r="E365" i="14"/>
  <c r="A366" i="14"/>
  <c r="AG364" i="14"/>
  <c r="AQ364" i="14"/>
  <c r="AF364" i="14"/>
  <c r="AP364" i="14"/>
  <c r="AH364" i="14"/>
  <c r="AD365" i="14" l="1"/>
  <c r="AC365" i="14"/>
  <c r="D366" i="16"/>
  <c r="A367" i="14"/>
  <c r="B366" i="14"/>
  <c r="C366" i="14"/>
  <c r="E366" i="14"/>
  <c r="D366" i="14"/>
  <c r="AR366" i="14" s="1"/>
  <c r="AQ365" i="14"/>
  <c r="AP365" i="14"/>
  <c r="AH365" i="14"/>
  <c r="AF365" i="14"/>
  <c r="AG365" i="14"/>
  <c r="AD366" i="14" l="1"/>
  <c r="AC366" i="14"/>
  <c r="D367" i="16"/>
  <c r="A368" i="14"/>
  <c r="B367" i="14"/>
  <c r="C367" i="14"/>
  <c r="E367" i="14"/>
  <c r="D367" i="14"/>
  <c r="AR367" i="14" s="1"/>
  <c r="AG366" i="14"/>
  <c r="AF366" i="14"/>
  <c r="AH366" i="14"/>
  <c r="AQ366" i="14"/>
  <c r="AP366" i="14"/>
  <c r="AD367" i="14" l="1"/>
  <c r="AC367" i="14"/>
  <c r="D368" i="16"/>
  <c r="C368" i="14"/>
  <c r="A369" i="14"/>
  <c r="D368" i="14"/>
  <c r="AR368" i="14" s="1"/>
  <c r="B368" i="14"/>
  <c r="E368" i="14"/>
  <c r="AG367" i="14"/>
  <c r="AQ367" i="14"/>
  <c r="AP367" i="14"/>
  <c r="AH367" i="14"/>
  <c r="AF367" i="14"/>
  <c r="AD368" i="14" l="1"/>
  <c r="AC368" i="14"/>
  <c r="D369" i="16"/>
  <c r="C369" i="14"/>
  <c r="D369" i="14"/>
  <c r="AR369" i="14" s="1"/>
  <c r="B369" i="14"/>
  <c r="E369" i="14"/>
  <c r="AP368" i="14"/>
  <c r="AG368" i="14"/>
  <c r="AQ368" i="14"/>
  <c r="AH368" i="14"/>
  <c r="AF368" i="14"/>
  <c r="C10" i="11"/>
  <c r="AD369" i="14" l="1"/>
  <c r="AC369" i="14"/>
  <c r="D370" i="16"/>
  <c r="AG369" i="14"/>
  <c r="AF369" i="14"/>
  <c r="AP369" i="14"/>
  <c r="AH369" i="14"/>
  <c r="C19" i="11" s="1"/>
  <c r="AQ369" i="14"/>
  <c r="C16" i="11"/>
  <c r="C34" i="11"/>
  <c r="AT8" i="12" l="1"/>
  <c r="AT10" i="12"/>
  <c r="AT11" i="12"/>
  <c r="AT12" i="12"/>
  <c r="B1" i="9"/>
  <c r="E43" i="12" l="1"/>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31" i="12"/>
  <c r="E32" i="12" l="1"/>
  <c r="E77" i="12"/>
  <c r="E65" i="12"/>
  <c r="E53" i="12"/>
  <c r="E59" i="12"/>
  <c r="E47" i="12"/>
  <c r="E35" i="12"/>
  <c r="E69" i="12"/>
  <c r="E75" i="12"/>
  <c r="E63" i="12"/>
  <c r="E51" i="12"/>
  <c r="E45" i="12"/>
  <c r="E33" i="12"/>
  <c r="E79" i="12"/>
  <c r="E67" i="12"/>
  <c r="E61" i="12"/>
  <c r="E49" i="12"/>
  <c r="E37" i="12"/>
  <c r="E73" i="12"/>
  <c r="E57" i="12"/>
  <c r="E41" i="12"/>
  <c r="E71" i="12"/>
  <c r="E55" i="12"/>
  <c r="E39" i="12"/>
  <c r="E78" i="12"/>
  <c r="E74" i="12"/>
  <c r="E70" i="12"/>
  <c r="E66" i="12"/>
  <c r="E62" i="12"/>
  <c r="E58" i="12"/>
  <c r="E54" i="12"/>
  <c r="E50" i="12"/>
  <c r="E46" i="12"/>
  <c r="E42" i="12"/>
  <c r="E38" i="12"/>
  <c r="E34" i="12"/>
  <c r="E31" i="12"/>
  <c r="E80" i="12"/>
  <c r="E76" i="12"/>
  <c r="E72" i="12"/>
  <c r="E68" i="12"/>
  <c r="E64" i="12"/>
  <c r="E60" i="12"/>
  <c r="E56" i="12"/>
  <c r="E52" i="12"/>
  <c r="E48" i="12"/>
  <c r="E44" i="12"/>
  <c r="E40" i="12"/>
  <c r="E36" i="12"/>
  <c r="A4" i="9" l="1"/>
  <c r="K4" i="9" l="1"/>
  <c r="I4" i="9"/>
  <c r="O4" i="9"/>
  <c r="M4" i="9"/>
  <c r="C4" i="9"/>
  <c r="D50" i="4"/>
  <c r="D49" i="4"/>
  <c r="D48" i="4"/>
  <c r="D47" i="4"/>
  <c r="L2" i="4"/>
  <c r="E3" i="4" l="1"/>
  <c r="E46" i="4"/>
  <c r="E45" i="4"/>
  <c r="E43" i="4"/>
  <c r="E44" i="4"/>
  <c r="J1165" i="19"/>
  <c r="J1102" i="19"/>
  <c r="J1159" i="19"/>
  <c r="J997" i="19"/>
  <c r="J1171" i="19"/>
  <c r="J1042" i="19"/>
  <c r="J1169" i="19"/>
  <c r="J382" i="18"/>
  <c r="J227" i="18"/>
  <c r="J331" i="18"/>
  <c r="J296" i="18"/>
  <c r="J363" i="18"/>
  <c r="J356" i="18"/>
  <c r="J317" i="18"/>
  <c r="T1165" i="19" l="1"/>
  <c r="T1169" i="19"/>
  <c r="T1171" i="19"/>
  <c r="T1159" i="19"/>
  <c r="W382" i="18"/>
  <c r="T1102" i="19"/>
  <c r="W363" i="18"/>
  <c r="W356" i="18"/>
  <c r="W331" i="18"/>
  <c r="W317" i="18"/>
  <c r="W296" i="18"/>
  <c r="T1042" i="19"/>
  <c r="T997" i="19"/>
  <c r="W227" i="18"/>
  <c r="Y19" i="12"/>
  <c r="J684" i="19"/>
  <c r="J832" i="19"/>
  <c r="J506" i="19"/>
  <c r="J187" i="19"/>
  <c r="J750" i="19"/>
  <c r="J1100" i="19"/>
  <c r="J914" i="19"/>
  <c r="J145" i="19"/>
  <c r="J211" i="19"/>
  <c r="J1023" i="19"/>
  <c r="J189" i="19"/>
  <c r="J884" i="19"/>
  <c r="J741" i="19"/>
  <c r="J909" i="19"/>
  <c r="J304" i="19"/>
  <c r="J961" i="19"/>
  <c r="J851" i="19"/>
  <c r="J985" i="19"/>
  <c r="J283" i="19"/>
  <c r="J602" i="19"/>
  <c r="J202" i="19"/>
  <c r="J965" i="19"/>
  <c r="J273" i="19"/>
  <c r="J553" i="19"/>
  <c r="J713" i="19"/>
  <c r="J507" i="19"/>
  <c r="J960" i="19"/>
  <c r="J790" i="19"/>
  <c r="J836" i="19"/>
  <c r="J423" i="19"/>
  <c r="J958" i="19"/>
  <c r="J303" i="19"/>
  <c r="J173" i="19"/>
  <c r="J852" i="19"/>
  <c r="J201" i="19"/>
  <c r="J400" i="19"/>
  <c r="J882" i="19"/>
  <c r="J148" i="19"/>
  <c r="J299" i="19"/>
  <c r="J962" i="19"/>
  <c r="J850" i="19"/>
  <c r="J924" i="19"/>
  <c r="J854" i="19"/>
  <c r="J212" i="19"/>
  <c r="J420" i="19"/>
  <c r="J424" i="19"/>
  <c r="J942" i="19"/>
  <c r="J742" i="19"/>
  <c r="J959" i="19"/>
  <c r="J1101" i="19"/>
  <c r="J686" i="19"/>
  <c r="J275" i="19"/>
  <c r="J672" i="19"/>
  <c r="J399" i="19"/>
  <c r="J56" i="19"/>
  <c r="J805" i="19"/>
  <c r="J726" i="19"/>
  <c r="J842" i="19"/>
  <c r="J840" i="19"/>
  <c r="J147" i="19"/>
  <c r="J295" i="19"/>
  <c r="J471" i="19"/>
  <c r="J916" i="19"/>
  <c r="J175" i="19"/>
  <c r="J55" i="19"/>
  <c r="J1030" i="19"/>
  <c r="J736" i="19"/>
  <c r="J991" i="19"/>
  <c r="J51" i="19"/>
  <c r="J422" i="19"/>
  <c r="J953" i="19"/>
  <c r="J194" i="19"/>
  <c r="J730" i="19"/>
  <c r="J50" i="19"/>
  <c r="J614" i="19"/>
  <c r="J963" i="19"/>
  <c r="J698" i="19"/>
  <c r="J477" i="19"/>
  <c r="J482" i="19"/>
  <c r="J612" i="19"/>
  <c r="J989" i="19"/>
  <c r="J198" i="19"/>
  <c r="J1103" i="19"/>
  <c r="J908" i="19"/>
  <c r="J984" i="19"/>
  <c r="J495" i="19"/>
  <c r="J274" i="19"/>
  <c r="J712" i="19"/>
  <c r="J271" i="19"/>
  <c r="J697" i="19"/>
  <c r="J146" i="19"/>
  <c r="J272" i="19"/>
  <c r="J791" i="19"/>
  <c r="J52" i="19"/>
  <c r="J682" i="19"/>
  <c r="J870" i="19"/>
  <c r="J1152" i="19"/>
  <c r="J1022" i="19"/>
  <c r="J988" i="19"/>
  <c r="J896" i="19"/>
  <c r="J186" i="19"/>
  <c r="J481" i="19"/>
  <c r="J934" i="19"/>
  <c r="J744" i="19"/>
  <c r="J915" i="19"/>
  <c r="J754" i="19"/>
  <c r="J866" i="19"/>
  <c r="J714" i="19"/>
  <c r="J702" i="19"/>
  <c r="J986" i="19"/>
  <c r="J948" i="19"/>
  <c r="J419" i="19"/>
  <c r="J1028" i="19"/>
  <c r="J835" i="19"/>
  <c r="J987" i="19"/>
  <c r="J976" i="19"/>
  <c r="J722" i="19"/>
  <c r="J740" i="19"/>
  <c r="J678" i="19"/>
  <c r="J910" i="19"/>
  <c r="J1027" i="19"/>
  <c r="J923" i="19"/>
  <c r="J1115" i="19"/>
  <c r="J658" i="19"/>
  <c r="J894" i="19"/>
  <c r="J141" i="19"/>
  <c r="J554" i="19"/>
  <c r="J925" i="19"/>
  <c r="J716" i="19"/>
  <c r="J692" i="19"/>
  <c r="J1116" i="19"/>
  <c r="J952" i="19"/>
  <c r="J1036" i="19"/>
  <c r="J1153" i="19"/>
  <c r="J1009" i="19"/>
  <c r="J555" i="19"/>
  <c r="J139" i="19"/>
  <c r="J728" i="19"/>
  <c r="J302" i="19"/>
  <c r="J505" i="19"/>
  <c r="J174" i="19"/>
  <c r="J543" i="19"/>
  <c r="J622" i="19"/>
  <c r="J664" i="19"/>
  <c r="J293" i="19"/>
  <c r="J669" i="19"/>
  <c r="J149" i="19"/>
  <c r="J1007" i="19"/>
  <c r="J670" i="19"/>
  <c r="J890" i="19"/>
  <c r="J951" i="19"/>
  <c r="J276" i="19"/>
  <c r="J834" i="19"/>
  <c r="J817" i="19"/>
  <c r="J881" i="19"/>
  <c r="J140" i="19"/>
  <c r="J833" i="19"/>
  <c r="J160" i="19"/>
  <c r="J895" i="19"/>
  <c r="J1104" i="19"/>
  <c r="J608" i="19"/>
  <c r="J876" i="19"/>
  <c r="J199" i="19"/>
  <c r="J977" i="19"/>
  <c r="J301" i="19"/>
  <c r="J904" i="19"/>
  <c r="J294" i="19"/>
  <c r="J412" i="19"/>
  <c r="J975" i="19"/>
  <c r="J501" i="19"/>
  <c r="J755" i="19"/>
  <c r="J1170" i="19"/>
  <c r="J841" i="19"/>
  <c r="J819" i="19"/>
  <c r="J42" i="19"/>
  <c r="J938" i="19"/>
  <c r="J862" i="19"/>
  <c r="J1004" i="19"/>
  <c r="J1091" i="19"/>
  <c r="J811" i="19"/>
  <c r="J668" i="19"/>
  <c r="J898" i="19"/>
  <c r="J815" i="19"/>
  <c r="J939" i="19"/>
  <c r="J696" i="19"/>
  <c r="J613" i="19"/>
  <c r="J940" i="19"/>
  <c r="J727" i="19"/>
  <c r="J1018" i="19"/>
  <c r="J756" i="19"/>
  <c r="J1013" i="19"/>
  <c r="J867" i="19"/>
  <c r="J1040" i="19"/>
  <c r="J926" i="19"/>
  <c r="J1024" i="19"/>
  <c r="J856" i="19"/>
  <c r="J1006" i="19"/>
  <c r="J1005" i="19"/>
  <c r="J161" i="19"/>
  <c r="J284" i="19"/>
  <c r="J683" i="19"/>
  <c r="J880" i="19"/>
  <c r="J928" i="19"/>
  <c r="J1087" i="19"/>
  <c r="J971" i="19"/>
  <c r="J816" i="19"/>
  <c r="J621" i="19"/>
  <c r="J421" i="19"/>
  <c r="J411" i="19"/>
  <c r="J172" i="19"/>
  <c r="J549" i="19"/>
  <c r="J849" i="19"/>
  <c r="J292" i="19"/>
  <c r="J129" i="19"/>
  <c r="J483" i="19"/>
  <c r="J825" i="19"/>
  <c r="J853" i="19"/>
  <c r="J1041" i="19"/>
  <c r="J296" i="19"/>
  <c r="J1008" i="19"/>
  <c r="J300" i="19"/>
  <c r="J868" i="19"/>
  <c r="J200" i="19"/>
  <c r="J708" i="19"/>
  <c r="J913" i="19"/>
  <c r="J291" i="19"/>
  <c r="J135" i="19"/>
  <c r="J1090" i="19"/>
  <c r="J123" i="18"/>
  <c r="J224" i="18"/>
  <c r="J83" i="18"/>
  <c r="J361" i="18"/>
  <c r="J10" i="18"/>
  <c r="J46" i="18"/>
  <c r="J48" i="18"/>
  <c r="J15" i="18"/>
  <c r="J360" i="18"/>
  <c r="J38" i="18"/>
  <c r="J355" i="18"/>
  <c r="J3" i="18"/>
  <c r="J120" i="18"/>
  <c r="J315" i="18"/>
  <c r="J162" i="18"/>
  <c r="J82" i="18"/>
  <c r="J213" i="18"/>
  <c r="J325" i="18"/>
  <c r="J235" i="18"/>
  <c r="J326" i="18"/>
  <c r="J366" i="18"/>
  <c r="J229" i="18"/>
  <c r="J142" i="18"/>
  <c r="J266" i="18"/>
  <c r="J295" i="18"/>
  <c r="J45" i="18"/>
  <c r="J77" i="18"/>
  <c r="J23" i="18"/>
  <c r="J156" i="18"/>
  <c r="J4" i="18"/>
  <c r="J99" i="18"/>
  <c r="J2" i="18"/>
  <c r="J51" i="18"/>
  <c r="J56" i="18"/>
  <c r="J327" i="18"/>
  <c r="J122" i="18"/>
  <c r="J9" i="18"/>
  <c r="J161" i="18"/>
  <c r="J220" i="18"/>
  <c r="J329" i="18"/>
  <c r="J59" i="18"/>
  <c r="J344" i="18"/>
  <c r="J223" i="18"/>
  <c r="J221" i="18"/>
  <c r="J41" i="18"/>
  <c r="J53" i="18"/>
  <c r="J70" i="18"/>
  <c r="J222" i="18"/>
  <c r="T1152" i="19" l="1"/>
  <c r="T1153" i="19"/>
  <c r="T1170" i="19"/>
  <c r="W360" i="18"/>
  <c r="T1101" i="19"/>
  <c r="T1100" i="19"/>
  <c r="T1104" i="19"/>
  <c r="T1115" i="19"/>
  <c r="T1103" i="19"/>
  <c r="T1116" i="19"/>
  <c r="W366" i="18"/>
  <c r="W295" i="18"/>
  <c r="W361" i="18"/>
  <c r="W355" i="18"/>
  <c r="T1090" i="19"/>
  <c r="T1091" i="19"/>
  <c r="W344" i="18"/>
  <c r="W325" i="18"/>
  <c r="W329" i="18"/>
  <c r="W326" i="18"/>
  <c r="W327" i="18"/>
  <c r="T1087" i="19"/>
  <c r="T991" i="19"/>
  <c r="W315" i="18"/>
  <c r="T1027" i="19"/>
  <c r="T1030" i="19"/>
  <c r="T1018" i="19"/>
  <c r="T1024" i="19"/>
  <c r="T1013" i="19"/>
  <c r="T1040" i="19"/>
  <c r="T1028" i="19"/>
  <c r="T1041" i="19"/>
  <c r="T1022" i="19"/>
  <c r="T1023" i="19"/>
  <c r="T1036" i="19"/>
  <c r="W266" i="18"/>
  <c r="T1007" i="19"/>
  <c r="T1008" i="19"/>
  <c r="T1006" i="19"/>
  <c r="T1005" i="19"/>
  <c r="T1009" i="19"/>
  <c r="T1004" i="19"/>
  <c r="W235" i="18"/>
  <c r="T898" i="19"/>
  <c r="T129" i="19"/>
  <c r="T602" i="19"/>
  <c r="T42" i="19"/>
  <c r="T904" i="19"/>
  <c r="T174" i="19"/>
  <c r="T672" i="19"/>
  <c r="T805" i="19"/>
  <c r="T716" i="19"/>
  <c r="T884" i="19"/>
  <c r="T819" i="19"/>
  <c r="T730" i="19"/>
  <c r="T790" i="19"/>
  <c r="T201" i="19"/>
  <c r="T965" i="19"/>
  <c r="T477" i="19"/>
  <c r="T876" i="19"/>
  <c r="T862" i="19"/>
  <c r="T161" i="19"/>
  <c r="T186" i="19"/>
  <c r="T211" i="19"/>
  <c r="T212" i="19"/>
  <c r="T948" i="19"/>
  <c r="T881" i="19"/>
  <c r="T909" i="19"/>
  <c r="T613" i="19"/>
  <c r="T816" i="19"/>
  <c r="T713" i="19"/>
  <c r="T852" i="19"/>
  <c r="T835" i="19"/>
  <c r="T146" i="19"/>
  <c r="T834" i="19"/>
  <c r="T140" i="19"/>
  <c r="T987" i="19"/>
  <c r="T963" i="19"/>
  <c r="T925" i="19"/>
  <c r="T854" i="19"/>
  <c r="T896" i="19"/>
  <c r="T868" i="19"/>
  <c r="T555" i="19"/>
  <c r="T916" i="19"/>
  <c r="T303" i="19"/>
  <c r="T283" i="19"/>
  <c r="T742" i="19"/>
  <c r="T147" i="19"/>
  <c r="T989" i="19"/>
  <c r="T712" i="19"/>
  <c r="T840" i="19"/>
  <c r="T272" i="19"/>
  <c r="T420" i="19"/>
  <c r="T419" i="19"/>
  <c r="T481" i="19"/>
  <c r="T505" i="19"/>
  <c r="T726" i="19"/>
  <c r="T139" i="19"/>
  <c r="T736" i="19"/>
  <c r="T549" i="19"/>
  <c r="T811" i="19"/>
  <c r="T173" i="19"/>
  <c r="T135" i="19"/>
  <c r="T172" i="19"/>
  <c r="T56" i="19"/>
  <c r="T934" i="19"/>
  <c r="T621" i="19"/>
  <c r="T913" i="19"/>
  <c r="T421" i="19"/>
  <c r="T273" i="19"/>
  <c r="T923" i="19"/>
  <c r="T697" i="19"/>
  <c r="T755" i="19"/>
  <c r="T554" i="19"/>
  <c r="T482" i="19"/>
  <c r="T51" i="19"/>
  <c r="T976" i="19"/>
  <c r="T959" i="19"/>
  <c r="T728" i="19"/>
  <c r="T842" i="19"/>
  <c r="T853" i="19"/>
  <c r="T817" i="19"/>
  <c r="T507" i="19"/>
  <c r="T915" i="19"/>
  <c r="T141" i="19"/>
  <c r="T714" i="19"/>
  <c r="T614" i="19"/>
  <c r="T953" i="19"/>
  <c r="T960" i="19"/>
  <c r="T866" i="19"/>
  <c r="T880" i="19"/>
  <c r="T849" i="19"/>
  <c r="T292" i="19"/>
  <c r="T668" i="19"/>
  <c r="T300" i="19"/>
  <c r="T271" i="19"/>
  <c r="T50" i="19"/>
  <c r="T938" i="19"/>
  <c r="T984" i="19"/>
  <c r="T744" i="19"/>
  <c r="T543" i="19"/>
  <c r="T202" i="19"/>
  <c r="T148" i="19"/>
  <c r="T870" i="19"/>
  <c r="T495" i="19"/>
  <c r="T791" i="19"/>
  <c r="T702" i="19"/>
  <c r="T175" i="19"/>
  <c r="T149" i="19"/>
  <c r="T928" i="19"/>
  <c r="T890" i="19"/>
  <c r="T608" i="19"/>
  <c r="T708" i="19"/>
  <c r="T692" i="19"/>
  <c r="T750" i="19"/>
  <c r="T678" i="19"/>
  <c r="T194" i="19"/>
  <c r="T187" i="19"/>
  <c r="T971" i="19"/>
  <c r="T301" i="19"/>
  <c r="T669" i="19"/>
  <c r="T293" i="19"/>
  <c r="T895" i="19"/>
  <c r="T683" i="19"/>
  <c r="T867" i="19"/>
  <c r="T622" i="19"/>
  <c r="T506" i="19"/>
  <c r="T422" i="19"/>
  <c r="T952" i="19"/>
  <c r="T986" i="19"/>
  <c r="T962" i="19"/>
  <c r="T684" i="19"/>
  <c r="T304" i="19"/>
  <c r="T836" i="19"/>
  <c r="T284" i="19"/>
  <c r="T756" i="19"/>
  <c r="T483" i="19"/>
  <c r="T670" i="19"/>
  <c r="T698" i="19"/>
  <c r="T275" i="19"/>
  <c r="T940" i="19"/>
  <c r="T977" i="19"/>
  <c r="T832" i="19"/>
  <c r="T908" i="19"/>
  <c r="T740" i="19"/>
  <c r="T145" i="19"/>
  <c r="T553" i="19"/>
  <c r="T198" i="19"/>
  <c r="T299" i="19"/>
  <c r="T291" i="19"/>
  <c r="T951" i="19"/>
  <c r="T985" i="19"/>
  <c r="T856" i="19"/>
  <c r="T400" i="19"/>
  <c r="T399" i="19"/>
  <c r="T471" i="19"/>
  <c r="T686" i="19"/>
  <c r="T189" i="19"/>
  <c r="T658" i="19"/>
  <c r="T942" i="19"/>
  <c r="T501" i="19"/>
  <c r="T664" i="19"/>
  <c r="T412" i="19"/>
  <c r="T825" i="19"/>
  <c r="T411" i="19"/>
  <c r="T722" i="19"/>
  <c r="T55" i="19"/>
  <c r="T160" i="19"/>
  <c r="T924" i="19"/>
  <c r="T914" i="19"/>
  <c r="T741" i="19"/>
  <c r="T199" i="19"/>
  <c r="T841" i="19"/>
  <c r="T727" i="19"/>
  <c r="T851" i="19"/>
  <c r="T274" i="19"/>
  <c r="T294" i="19"/>
  <c r="T302" i="19"/>
  <c r="T939" i="19"/>
  <c r="T958" i="19"/>
  <c r="T424" i="19"/>
  <c r="T296" i="19"/>
  <c r="T882" i="19"/>
  <c r="T910" i="19"/>
  <c r="T926" i="19"/>
  <c r="T276" i="19"/>
  <c r="T423" i="19"/>
  <c r="T200" i="19"/>
  <c r="T295" i="19"/>
  <c r="T52" i="19"/>
  <c r="T961" i="19"/>
  <c r="T988" i="19"/>
  <c r="T696" i="19"/>
  <c r="T850" i="19"/>
  <c r="T612" i="19"/>
  <c r="T815" i="19"/>
  <c r="T833" i="19"/>
  <c r="T894" i="19"/>
  <c r="T682" i="19"/>
  <c r="T754" i="19"/>
  <c r="T975" i="19"/>
  <c r="W224" i="18"/>
  <c r="W229" i="18"/>
  <c r="W223" i="18"/>
  <c r="W162" i="18"/>
  <c r="W161" i="18"/>
  <c r="W221" i="18"/>
  <c r="W142" i="18"/>
  <c r="W123" i="18"/>
  <c r="W46" i="18"/>
  <c r="W99" i="18"/>
  <c r="W220" i="18"/>
  <c r="W3" i="18"/>
  <c r="W51" i="18"/>
  <c r="W213" i="18"/>
  <c r="W156" i="18"/>
  <c r="W122" i="18"/>
  <c r="W59" i="18"/>
  <c r="W83" i="18"/>
  <c r="W45" i="18"/>
  <c r="W15" i="18"/>
  <c r="W70" i="18"/>
  <c r="W82" i="18"/>
  <c r="W120" i="18"/>
  <c r="W10" i="18"/>
  <c r="W2" i="18"/>
  <c r="W77" i="18"/>
  <c r="W41" i="18"/>
  <c r="W38" i="18"/>
  <c r="W48" i="18"/>
  <c r="W23" i="18"/>
  <c r="W222" i="18"/>
  <c r="W4" i="18"/>
  <c r="W53" i="18"/>
  <c r="W9" i="18"/>
  <c r="W56" i="18"/>
  <c r="AA5" i="12"/>
  <c r="Y20" i="12"/>
  <c r="B19" i="12"/>
  <c r="B20" i="12"/>
  <c r="K19" i="12"/>
  <c r="K20" i="12"/>
  <c r="Z5" i="12"/>
  <c r="D5" i="12"/>
  <c r="AK5" i="12"/>
  <c r="R5" i="12"/>
  <c r="G20" i="12"/>
  <c r="G19" i="12"/>
  <c r="AO5" i="12"/>
  <c r="L5" i="12"/>
  <c r="AS5" i="12"/>
  <c r="E5" i="12"/>
  <c r="V20" i="12"/>
  <c r="V19" i="12"/>
  <c r="E19" i="12"/>
  <c r="E20" i="12"/>
  <c r="Y5" i="12"/>
  <c r="W19" i="12"/>
  <c r="W20" i="12"/>
  <c r="K5" i="12"/>
  <c r="AM5" i="12"/>
  <c r="Z19" i="12"/>
  <c r="Z20" i="12"/>
  <c r="D19" i="12"/>
  <c r="D20" i="12"/>
  <c r="AK19" i="12"/>
  <c r="AK20" i="12"/>
  <c r="R19" i="12"/>
  <c r="R20" i="12"/>
  <c r="G5" i="12"/>
  <c r="AO19" i="12"/>
  <c r="AO20" i="12"/>
  <c r="L19" i="12"/>
  <c r="L20" i="12"/>
  <c r="AS19" i="12"/>
  <c r="AS20" i="12"/>
  <c r="M5" i="12"/>
  <c r="C20" i="12"/>
  <c r="C19" i="12"/>
  <c r="Q5" i="12"/>
  <c r="V5" i="12"/>
  <c r="S19" i="12"/>
  <c r="S20" i="12"/>
  <c r="AF5" i="12"/>
  <c r="H5" i="12"/>
  <c r="AN5" i="12"/>
  <c r="I5" i="12"/>
  <c r="P5" i="12"/>
  <c r="AP5" i="12"/>
  <c r="AE19" i="12"/>
  <c r="AE20" i="12"/>
  <c r="X5" i="12"/>
  <c r="AC5" i="12"/>
  <c r="F19" i="12"/>
  <c r="F20" i="12"/>
  <c r="AA20" i="12"/>
  <c r="AA19" i="12"/>
  <c r="F5" i="12"/>
  <c r="O5" i="12"/>
  <c r="AM20" i="12"/>
  <c r="AM19" i="12"/>
  <c r="J5" i="12"/>
  <c r="AD19" i="12"/>
  <c r="AD20" i="12"/>
  <c r="S5" i="12"/>
  <c r="J19" i="12"/>
  <c r="J20" i="12"/>
  <c r="AF20" i="12"/>
  <c r="AF19" i="12"/>
  <c r="AD5" i="12"/>
  <c r="H19" i="12"/>
  <c r="H20" i="12"/>
  <c r="AN20" i="12"/>
  <c r="AN19" i="12"/>
  <c r="I20" i="12"/>
  <c r="I19" i="12"/>
  <c r="P19" i="12"/>
  <c r="P20" i="12"/>
  <c r="AP19" i="12"/>
  <c r="AP20" i="12"/>
  <c r="AE5" i="12"/>
  <c r="X20" i="12"/>
  <c r="X19" i="12"/>
  <c r="M19" i="12"/>
  <c r="M20" i="12"/>
  <c r="AC19" i="12"/>
  <c r="AC20" i="12"/>
  <c r="W5" i="12"/>
  <c r="AI5" i="12"/>
  <c r="AH5" i="12"/>
  <c r="AL20" i="12"/>
  <c r="AL19" i="12"/>
  <c r="U5" i="12"/>
  <c r="AG5" i="12"/>
  <c r="T5" i="12"/>
  <c r="AR5" i="12"/>
  <c r="AB5" i="12"/>
  <c r="AQ5" i="12"/>
  <c r="N20" i="12"/>
  <c r="N19" i="12"/>
  <c r="AJ5" i="12"/>
  <c r="Q20" i="12"/>
  <c r="Q19" i="12"/>
  <c r="O20" i="12"/>
  <c r="O19" i="12"/>
  <c r="C5" i="12"/>
  <c r="AI19" i="12"/>
  <c r="AI20" i="12"/>
  <c r="AH19" i="12"/>
  <c r="AH20" i="12"/>
  <c r="AL5" i="12"/>
  <c r="U19" i="12"/>
  <c r="U20" i="12"/>
  <c r="AG19" i="12"/>
  <c r="AG20" i="12"/>
  <c r="T19" i="12"/>
  <c r="T20" i="12"/>
  <c r="AR19" i="12"/>
  <c r="AR20" i="12"/>
  <c r="AB19" i="12"/>
  <c r="AB20" i="12"/>
  <c r="AQ19" i="12"/>
  <c r="AQ20" i="12"/>
  <c r="N5" i="12"/>
  <c r="AJ19" i="12"/>
  <c r="AJ20" i="12"/>
  <c r="O18" i="9"/>
  <c r="O4" i="10"/>
  <c r="AT5" i="12" l="1"/>
  <c r="AT20" i="12"/>
  <c r="AT19" i="12"/>
  <c r="B1" i="10"/>
  <c r="A11" i="9"/>
  <c r="AS7" i="12"/>
  <c r="AB7" i="12"/>
  <c r="S7" i="12"/>
  <c r="H7" i="12"/>
  <c r="D7" i="12"/>
  <c r="C7" i="12"/>
  <c r="AN7" i="12"/>
  <c r="AI7" i="12"/>
  <c r="AQ7" i="12"/>
  <c r="AP7" i="12"/>
  <c r="AE7" i="12"/>
  <c r="AC7" i="12"/>
  <c r="N7" i="12"/>
  <c r="J7" i="12"/>
  <c r="AD7" i="12"/>
  <c r="F7" i="12"/>
  <c r="E4" i="4"/>
  <c r="E5" i="4"/>
  <c r="J312" i="18" s="1"/>
  <c r="E6" i="4"/>
  <c r="J412" i="18" s="1"/>
  <c r="E7" i="4"/>
  <c r="E8" i="4"/>
  <c r="E9" i="4"/>
  <c r="E10" i="4"/>
  <c r="E11" i="4"/>
  <c r="E12" i="4"/>
  <c r="E13" i="4"/>
  <c r="J286" i="18" s="1"/>
  <c r="E14" i="4"/>
  <c r="E15" i="4"/>
  <c r="E16" i="4"/>
  <c r="E17" i="4"/>
  <c r="E18" i="4"/>
  <c r="J1064" i="19" s="1"/>
  <c r="E19" i="4"/>
  <c r="E20" i="4"/>
  <c r="E21" i="4"/>
  <c r="J404" i="18" s="1"/>
  <c r="E22" i="4"/>
  <c r="E23" i="4"/>
  <c r="E24" i="4"/>
  <c r="E25" i="4"/>
  <c r="E26" i="4"/>
  <c r="E27" i="4"/>
  <c r="E28" i="4"/>
  <c r="E29" i="4"/>
  <c r="J996" i="19" s="1"/>
  <c r="E30" i="4"/>
  <c r="J1166" i="19" s="1"/>
  <c r="E31" i="4"/>
  <c r="E32" i="4"/>
  <c r="E33" i="4"/>
  <c r="E34" i="4"/>
  <c r="E35" i="4"/>
  <c r="E36" i="4"/>
  <c r="E37" i="4"/>
  <c r="J381" i="18" s="1"/>
  <c r="E38" i="4"/>
  <c r="J374" i="18" s="1"/>
  <c r="E39" i="4"/>
  <c r="E40" i="4"/>
  <c r="E41" i="4"/>
  <c r="E42" i="4"/>
  <c r="J1168" i="19" s="1"/>
  <c r="E47" i="4"/>
  <c r="E48" i="4"/>
  <c r="J1139" i="19" s="1"/>
  <c r="E49" i="4"/>
  <c r="E50" i="4"/>
  <c r="J1158" i="19" s="1"/>
  <c r="J1143" i="19"/>
  <c r="J1160" i="19"/>
  <c r="J995" i="19"/>
  <c r="J992" i="19"/>
  <c r="J1163" i="19"/>
  <c r="J1060" i="19"/>
  <c r="J1061" i="19"/>
  <c r="J265" i="18"/>
  <c r="J372" i="18"/>
  <c r="J246" i="18"/>
  <c r="J375" i="18"/>
  <c r="J319" i="18"/>
  <c r="J277" i="18"/>
  <c r="J380" i="18"/>
  <c r="J299" i="18"/>
  <c r="J343" i="18"/>
  <c r="J403" i="18"/>
  <c r="J302" i="18"/>
  <c r="J293" i="18"/>
  <c r="J318" i="18"/>
  <c r="J373" i="18"/>
  <c r="J345" i="18"/>
  <c r="J358" i="18"/>
  <c r="J394" i="18"/>
  <c r="J390" i="18"/>
  <c r="J349" i="18"/>
  <c r="J378" i="18"/>
  <c r="J313" i="18"/>
  <c r="J398" i="18"/>
  <c r="J371" i="18"/>
  <c r="J316" i="18"/>
  <c r="J376" i="18"/>
  <c r="J301" i="18"/>
  <c r="J287" i="18" l="1"/>
  <c r="W415" i="18"/>
  <c r="J414" i="18"/>
  <c r="W414" i="18" s="1"/>
  <c r="J413" i="18"/>
  <c r="W413" i="18" s="1"/>
  <c r="J1164" i="19"/>
  <c r="T1164" i="19" s="1"/>
  <c r="W412" i="18"/>
  <c r="J1142" i="19"/>
  <c r="J1145" i="19"/>
  <c r="J1199" i="19"/>
  <c r="T1199" i="19" s="1"/>
  <c r="W404" i="18"/>
  <c r="J1198" i="19"/>
  <c r="T1198" i="19" s="1"/>
  <c r="W403" i="18"/>
  <c r="W398" i="18"/>
  <c r="T1158" i="19"/>
  <c r="T1168" i="19"/>
  <c r="T1166" i="19"/>
  <c r="T1145" i="19"/>
  <c r="T1142" i="19"/>
  <c r="T1139" i="19"/>
  <c r="T1163" i="19"/>
  <c r="T1160" i="19"/>
  <c r="T1143" i="19"/>
  <c r="W394" i="18"/>
  <c r="W374" i="18"/>
  <c r="J15" i="20"/>
  <c r="U15" i="20" s="1"/>
  <c r="W376" i="18"/>
  <c r="W381" i="18"/>
  <c r="W390" i="18"/>
  <c r="W372" i="18"/>
  <c r="W373" i="18"/>
  <c r="W371" i="18"/>
  <c r="W375" i="18"/>
  <c r="W380" i="18"/>
  <c r="W378" i="18"/>
  <c r="J16" i="20"/>
  <c r="U16" i="20" s="1"/>
  <c r="W358" i="18"/>
  <c r="W349" i="18"/>
  <c r="W345" i="18"/>
  <c r="W343" i="18"/>
  <c r="W312" i="18"/>
  <c r="W313" i="18"/>
  <c r="W316" i="18"/>
  <c r="W319" i="18"/>
  <c r="W318" i="18"/>
  <c r="T1064" i="19"/>
  <c r="T1060" i="19"/>
  <c r="T1061" i="19"/>
  <c r="W299" i="18"/>
  <c r="W301" i="18"/>
  <c r="W293" i="18"/>
  <c r="W302" i="18"/>
  <c r="W286" i="18"/>
  <c r="W287" i="18"/>
  <c r="W265" i="18"/>
  <c r="T996" i="19"/>
  <c r="T995" i="19"/>
  <c r="T992" i="19"/>
  <c r="W246" i="18"/>
  <c r="B4" i="10"/>
  <c r="A18" i="9"/>
  <c r="C18" i="9" s="1"/>
  <c r="M11" i="9"/>
  <c r="K11" i="9"/>
  <c r="C11" i="9"/>
  <c r="O11" i="9"/>
  <c r="I11" i="9"/>
  <c r="M7" i="12"/>
  <c r="Q7" i="12"/>
  <c r="X7" i="12"/>
  <c r="AO7" i="12"/>
  <c r="V7" i="12"/>
  <c r="O7" i="12"/>
  <c r="R7" i="12"/>
  <c r="T7" i="12"/>
  <c r="AG7" i="12"/>
  <c r="AL7" i="12"/>
  <c r="AR7" i="12"/>
  <c r="L7" i="12"/>
  <c r="I7" i="12"/>
  <c r="AM7" i="12"/>
  <c r="AF7" i="12"/>
  <c r="Y7" i="12"/>
  <c r="AH7" i="12"/>
  <c r="AJ7" i="12"/>
  <c r="Z7" i="12"/>
  <c r="K7" i="12"/>
  <c r="W7" i="12"/>
  <c r="U7" i="12"/>
  <c r="G7" i="12"/>
  <c r="AK7" i="12"/>
  <c r="E7" i="12"/>
  <c r="P7" i="12"/>
  <c r="AA7" i="12"/>
  <c r="AQ16" i="12"/>
  <c r="AI16" i="12"/>
  <c r="S16" i="12"/>
  <c r="C16" i="12"/>
  <c r="AP16" i="12"/>
  <c r="J16" i="12"/>
  <c r="AN16" i="12"/>
  <c r="H16" i="12"/>
  <c r="AE16" i="12"/>
  <c r="AD16" i="12"/>
  <c r="N16" i="12"/>
  <c r="F16" i="12"/>
  <c r="AS16" i="12"/>
  <c r="AC16" i="12"/>
  <c r="AB16" i="12"/>
  <c r="D16" i="12"/>
  <c r="B4" i="9"/>
  <c r="A4" i="10"/>
  <c r="B8" i="9"/>
  <c r="B7" i="9" s="1"/>
  <c r="E11" i="9" s="1"/>
  <c r="J4" i="20"/>
  <c r="J9" i="20"/>
  <c r="J2" i="20"/>
  <c r="J8" i="20"/>
  <c r="J3" i="20"/>
  <c r="J6" i="20"/>
  <c r="J10" i="20"/>
  <c r="J11" i="20"/>
  <c r="J7" i="20"/>
  <c r="J12" i="20"/>
  <c r="J14" i="20"/>
  <c r="J5" i="20"/>
  <c r="J13" i="20"/>
  <c r="J1123" i="19"/>
  <c r="J1144" i="19"/>
  <c r="J1149" i="19"/>
  <c r="J1175" i="19"/>
  <c r="J1062" i="19"/>
  <c r="J1112" i="19"/>
  <c r="J1099" i="19"/>
  <c r="J1094" i="19"/>
  <c r="J1106" i="19"/>
  <c r="J1072" i="19"/>
  <c r="J1187" i="19"/>
  <c r="J1048" i="19"/>
  <c r="J1088" i="19"/>
  <c r="J1066" i="19"/>
  <c r="J1121" i="19"/>
  <c r="J1125" i="19"/>
  <c r="J1154" i="19"/>
  <c r="J1076" i="19"/>
  <c r="J1063" i="19"/>
  <c r="J1096" i="19"/>
  <c r="J1161" i="19"/>
  <c r="J1117" i="19"/>
  <c r="J1186" i="19"/>
  <c r="J1110" i="19"/>
  <c r="J1050" i="19"/>
  <c r="J1128" i="19"/>
  <c r="J1108" i="19"/>
  <c r="J1135" i="19"/>
  <c r="J1085" i="19"/>
  <c r="J1174" i="19"/>
  <c r="J1162" i="19"/>
  <c r="J1047" i="19"/>
  <c r="J1059" i="19"/>
  <c r="J1078" i="19"/>
  <c r="J1052" i="19"/>
  <c r="J1093" i="19"/>
  <c r="J1182" i="19"/>
  <c r="J1045" i="19"/>
  <c r="J1151" i="19"/>
  <c r="J1098" i="19"/>
  <c r="J1111" i="19"/>
  <c r="J1081" i="19"/>
  <c r="J1179" i="19"/>
  <c r="J1105" i="19"/>
  <c r="J1197" i="19"/>
  <c r="J1126" i="19"/>
  <c r="J1122" i="19"/>
  <c r="J1129" i="19"/>
  <c r="J1127" i="19"/>
  <c r="J1055" i="19"/>
  <c r="J1109" i="19"/>
  <c r="J1141" i="19"/>
  <c r="J1124" i="19"/>
  <c r="J1070" i="19"/>
  <c r="J1119" i="19"/>
  <c r="J1196" i="19"/>
  <c r="J1176" i="19"/>
  <c r="J1192" i="19"/>
  <c r="J1134" i="19"/>
  <c r="J1054" i="19"/>
  <c r="J1051" i="19"/>
  <c r="J1084" i="19"/>
  <c r="J1071" i="19"/>
  <c r="J1118" i="19"/>
  <c r="J1107" i="19"/>
  <c r="J1178" i="19"/>
  <c r="J1082" i="19"/>
  <c r="J1181" i="19"/>
  <c r="J1191" i="19"/>
  <c r="J1189" i="19"/>
  <c r="J1133" i="19"/>
  <c r="J1069" i="19"/>
  <c r="J1058" i="19"/>
  <c r="J1092" i="19"/>
  <c r="J1053" i="19"/>
  <c r="J1074" i="19"/>
  <c r="J1043" i="19"/>
  <c r="J1131" i="19"/>
  <c r="J1138" i="19"/>
  <c r="J1065" i="19"/>
  <c r="J1037" i="19"/>
  <c r="J1146" i="19"/>
  <c r="J1167" i="19"/>
  <c r="J1194" i="19"/>
  <c r="J1079" i="19"/>
  <c r="J1156" i="19"/>
  <c r="J1056" i="19"/>
  <c r="J1068" i="19"/>
  <c r="J1140" i="19"/>
  <c r="J1136" i="19"/>
  <c r="J1172" i="19"/>
  <c r="J1120" i="19"/>
  <c r="J1073" i="19"/>
  <c r="J1113" i="19"/>
  <c r="J993" i="19"/>
  <c r="J1049" i="19"/>
  <c r="J1185" i="19"/>
  <c r="J1148" i="19"/>
  <c r="J1077" i="19"/>
  <c r="J1180" i="19"/>
  <c r="J1173" i="19"/>
  <c r="J1157" i="19"/>
  <c r="J1137" i="19"/>
  <c r="J1089" i="19"/>
  <c r="J1195" i="19"/>
  <c r="J1080" i="19"/>
  <c r="J1132" i="19"/>
  <c r="J1188" i="19"/>
  <c r="J1155" i="19"/>
  <c r="J1114" i="19"/>
  <c r="J1046" i="19"/>
  <c r="J1057" i="19"/>
  <c r="J1086" i="19"/>
  <c r="J1147" i="19"/>
  <c r="J1130" i="19"/>
  <c r="J1095" i="19"/>
  <c r="J1075" i="19"/>
  <c r="J1177" i="19"/>
  <c r="J1184" i="19"/>
  <c r="J1150" i="19"/>
  <c r="J1097" i="19"/>
  <c r="J1067" i="19"/>
  <c r="J1193" i="19"/>
  <c r="J1044" i="19"/>
  <c r="J1183" i="19"/>
  <c r="J1190" i="19"/>
  <c r="J1083" i="19"/>
  <c r="J387" i="18"/>
  <c r="J330" i="18"/>
  <c r="J379" i="18"/>
  <c r="J290" i="18"/>
  <c r="J288" i="18"/>
  <c r="J283" i="18"/>
  <c r="J385" i="18"/>
  <c r="J402" i="18"/>
  <c r="J292" i="18"/>
  <c r="J395" i="18"/>
  <c r="J407" i="18"/>
  <c r="J384" i="18"/>
  <c r="J314" i="18"/>
  <c r="J307" i="18"/>
  <c r="J336" i="18"/>
  <c r="J406" i="18"/>
  <c r="J328" i="18"/>
  <c r="J342" i="18"/>
  <c r="J370" i="18"/>
  <c r="J351" i="18"/>
  <c r="J298" i="18"/>
  <c r="J285" i="18"/>
  <c r="J320" i="18"/>
  <c r="J297" i="18"/>
  <c r="J335" i="18"/>
  <c r="J367" i="18"/>
  <c r="J284" i="18"/>
  <c r="J368" i="18"/>
  <c r="J321" i="18"/>
  <c r="J388" i="18"/>
  <c r="J359" i="18"/>
  <c r="J354" i="18"/>
  <c r="J338" i="18"/>
  <c r="J408" i="18"/>
  <c r="J357" i="18"/>
  <c r="J276" i="18"/>
  <c r="J409" i="18"/>
  <c r="J340" i="18"/>
  <c r="J362" i="18"/>
  <c r="J353" i="18"/>
  <c r="J346" i="18"/>
  <c r="J350" i="18"/>
  <c r="J289" i="18"/>
  <c r="J337" i="18"/>
  <c r="J256" i="18"/>
  <c r="J278" i="18"/>
  <c r="J334" i="18"/>
  <c r="J396" i="18"/>
  <c r="J310" i="18"/>
  <c r="J275" i="18"/>
  <c r="J311" i="18"/>
  <c r="J309" i="18"/>
  <c r="J389" i="18"/>
  <c r="J279" i="18"/>
  <c r="J405" i="18"/>
  <c r="J365" i="18"/>
  <c r="J281" i="18"/>
  <c r="J341" i="18"/>
  <c r="J410" i="18"/>
  <c r="J348" i="18"/>
  <c r="J308" i="18"/>
  <c r="J400" i="18"/>
  <c r="J294" i="18"/>
  <c r="J291" i="18"/>
  <c r="J306" i="18"/>
  <c r="J274" i="18"/>
  <c r="J323" i="18"/>
  <c r="J393" i="18"/>
  <c r="J347" i="18"/>
  <c r="J397" i="18"/>
  <c r="J411" i="18"/>
  <c r="J324" i="18"/>
  <c r="J391" i="18"/>
  <c r="J377" i="18"/>
  <c r="J282" i="18"/>
  <c r="J399" i="18"/>
  <c r="J305" i="18"/>
  <c r="J392" i="18"/>
  <c r="J332" i="18"/>
  <c r="J364" i="18"/>
  <c r="J303" i="18"/>
  <c r="J339" i="18"/>
  <c r="J251" i="18"/>
  <c r="J322" i="18"/>
  <c r="J304" i="18"/>
  <c r="J401" i="18"/>
  <c r="J280" i="18"/>
  <c r="J300" i="18"/>
  <c r="J386" i="18"/>
  <c r="J369" i="18"/>
  <c r="J383" i="18"/>
  <c r="J352" i="18"/>
  <c r="J333" i="18"/>
  <c r="W300" i="18" l="1"/>
  <c r="W314" i="18"/>
  <c r="W410" i="18"/>
  <c r="W389" i="18"/>
  <c r="W411" i="18"/>
  <c r="W387" i="18"/>
  <c r="W402" i="18"/>
  <c r="W408" i="18"/>
  <c r="W405" i="18"/>
  <c r="W409" i="18"/>
  <c r="W407" i="18"/>
  <c r="W406" i="18"/>
  <c r="W401" i="18"/>
  <c r="W399" i="18"/>
  <c r="W400" i="18"/>
  <c r="T1196" i="19"/>
  <c r="T1197" i="19"/>
  <c r="W396" i="18"/>
  <c r="W397" i="18"/>
  <c r="W395" i="18"/>
  <c r="W393" i="18"/>
  <c r="T1186" i="19"/>
  <c r="T1195" i="19"/>
  <c r="T1156" i="19"/>
  <c r="T1083" i="19"/>
  <c r="T1174" i="19"/>
  <c r="T1150" i="19"/>
  <c r="T1137" i="19"/>
  <c r="T1194" i="19"/>
  <c r="T1119" i="19"/>
  <c r="T1182" i="19"/>
  <c r="T1157" i="19"/>
  <c r="T1167" i="19"/>
  <c r="T1179" i="19"/>
  <c r="T1161" i="19"/>
  <c r="T1173" i="19"/>
  <c r="T1146" i="19"/>
  <c r="T1190" i="19"/>
  <c r="T1184" i="19"/>
  <c r="T1180" i="19"/>
  <c r="T1037" i="19"/>
  <c r="T1148" i="19"/>
  <c r="T1138" i="19"/>
  <c r="T1183" i="19"/>
  <c r="T1177" i="19"/>
  <c r="T1185" i="19"/>
  <c r="T1131" i="19"/>
  <c r="T1135" i="19"/>
  <c r="T1128" i="19"/>
  <c r="T1154" i="19"/>
  <c r="T1187" i="19"/>
  <c r="T1133" i="19"/>
  <c r="T1124" i="19"/>
  <c r="T1130" i="19"/>
  <c r="T1120" i="19"/>
  <c r="T1189" i="19"/>
  <c r="T1193" i="19"/>
  <c r="T1125" i="19"/>
  <c r="T1172" i="19"/>
  <c r="T1191" i="19"/>
  <c r="T1151" i="19"/>
  <c r="T1147" i="19"/>
  <c r="T1136" i="19"/>
  <c r="T1181" i="19"/>
  <c r="T1140" i="19"/>
  <c r="T1178" i="19"/>
  <c r="T1141" i="19"/>
  <c r="T1121" i="19"/>
  <c r="T1127" i="19"/>
  <c r="T1155" i="19"/>
  <c r="T1175" i="19"/>
  <c r="T1134" i="19"/>
  <c r="T1129" i="19"/>
  <c r="T1188" i="19"/>
  <c r="T1149" i="19"/>
  <c r="T1192" i="19"/>
  <c r="T1122" i="19"/>
  <c r="T1162" i="19"/>
  <c r="T1144" i="19"/>
  <c r="T1176" i="19"/>
  <c r="T1126" i="19"/>
  <c r="T1132" i="19"/>
  <c r="T1123" i="19"/>
  <c r="W383" i="18"/>
  <c r="W377" i="18"/>
  <c r="W388" i="18"/>
  <c r="W379" i="18"/>
  <c r="W384" i="18"/>
  <c r="W385" i="18"/>
  <c r="W294" i="18"/>
  <c r="W359" i="18"/>
  <c r="W386" i="18"/>
  <c r="W391" i="18"/>
  <c r="W392" i="18"/>
  <c r="W369" i="18"/>
  <c r="W370" i="18"/>
  <c r="W367" i="18"/>
  <c r="W368" i="18"/>
  <c r="W357" i="18"/>
  <c r="W324" i="18"/>
  <c r="W251" i="18"/>
  <c r="T1117" i="19"/>
  <c r="T1118" i="19"/>
  <c r="T1111" i="19"/>
  <c r="T1107" i="19"/>
  <c r="T1114" i="19"/>
  <c r="T1099" i="19"/>
  <c r="T1112" i="19"/>
  <c r="T1108" i="19"/>
  <c r="T1113" i="19"/>
  <c r="T1106" i="19"/>
  <c r="T1110" i="19"/>
  <c r="T1097" i="19"/>
  <c r="T1105" i="19"/>
  <c r="T1098" i="19"/>
  <c r="T1109" i="19"/>
  <c r="T1096" i="19"/>
  <c r="W365" i="18"/>
  <c r="W364" i="18"/>
  <c r="W362" i="18"/>
  <c r="U13" i="20"/>
  <c r="U5" i="20"/>
  <c r="U14" i="20"/>
  <c r="U12" i="20"/>
  <c r="U7" i="20"/>
  <c r="U11" i="20"/>
  <c r="U10" i="20"/>
  <c r="U6" i="20"/>
  <c r="U3" i="20"/>
  <c r="U8" i="20"/>
  <c r="U2" i="20"/>
  <c r="U9" i="20"/>
  <c r="U4" i="20"/>
  <c r="W352" i="18"/>
  <c r="W353" i="18"/>
  <c r="W354" i="18"/>
  <c r="W351" i="18"/>
  <c r="T1095" i="19"/>
  <c r="T1094" i="19"/>
  <c r="T1092" i="19"/>
  <c r="T1093" i="19"/>
  <c r="T1089" i="19"/>
  <c r="T1086" i="19"/>
  <c r="T1088" i="19"/>
  <c r="W350" i="18"/>
  <c r="W348" i="18"/>
  <c r="W347" i="18"/>
  <c r="W346" i="18"/>
  <c r="W256" i="18"/>
  <c r="W342" i="18"/>
  <c r="W341" i="18"/>
  <c r="W340" i="18"/>
  <c r="W339" i="18"/>
  <c r="W338" i="18"/>
  <c r="W337" i="18"/>
  <c r="W328" i="18"/>
  <c r="W335" i="18"/>
  <c r="W330" i="18"/>
  <c r="W332" i="18"/>
  <c r="W336" i="18"/>
  <c r="W334" i="18"/>
  <c r="W333" i="18"/>
  <c r="T1085" i="19"/>
  <c r="T1084" i="19"/>
  <c r="W323" i="18"/>
  <c r="W322" i="18"/>
  <c r="T1079" i="19"/>
  <c r="T1062" i="19"/>
  <c r="T1080" i="19"/>
  <c r="T1081" i="19"/>
  <c r="T1082" i="19"/>
  <c r="W321" i="18"/>
  <c r="W320" i="18"/>
  <c r="W305" i="18"/>
  <c r="W311" i="18"/>
  <c r="W303" i="18"/>
  <c r="W307" i="18"/>
  <c r="W309" i="18"/>
  <c r="W310" i="18"/>
  <c r="W308" i="18"/>
  <c r="W306" i="18"/>
  <c r="W304" i="18"/>
  <c r="W283" i="18"/>
  <c r="W298" i="18"/>
  <c r="W297" i="18"/>
  <c r="T1069" i="19"/>
  <c r="T1078" i="19"/>
  <c r="T1076" i="19"/>
  <c r="T1068" i="19"/>
  <c r="T1075" i="19"/>
  <c r="T1073" i="19"/>
  <c r="T993" i="19"/>
  <c r="T1066" i="19"/>
  <c r="T1070" i="19"/>
  <c r="T1072" i="19"/>
  <c r="T1067" i="19"/>
  <c r="T1074" i="19"/>
  <c r="T1071" i="19"/>
  <c r="T1063" i="19"/>
  <c r="T1065" i="19"/>
  <c r="T1077" i="19"/>
  <c r="W290" i="18"/>
  <c r="W292" i="18"/>
  <c r="W291" i="18"/>
  <c r="W289" i="18"/>
  <c r="W288" i="18"/>
  <c r="T1058" i="19"/>
  <c r="T1056" i="19"/>
  <c r="T1057" i="19"/>
  <c r="T1059" i="19"/>
  <c r="W278" i="18"/>
  <c r="W285" i="18"/>
  <c r="W282" i="18"/>
  <c r="W279" i="18"/>
  <c r="W284" i="18"/>
  <c r="W280" i="18"/>
  <c r="W281" i="18"/>
  <c r="T1055" i="19"/>
  <c r="T1052" i="19"/>
  <c r="T1054" i="19"/>
  <c r="T1053" i="19"/>
  <c r="T1050" i="19"/>
  <c r="T1044" i="19"/>
  <c r="T1046" i="19"/>
  <c r="T1045" i="19"/>
  <c r="T1049" i="19"/>
  <c r="T1048" i="19"/>
  <c r="T1043" i="19"/>
  <c r="T1051" i="19"/>
  <c r="T1047" i="19"/>
  <c r="W276" i="18"/>
  <c r="W277" i="18"/>
  <c r="W275" i="18"/>
  <c r="W274" i="18"/>
  <c r="AT7" i="12"/>
  <c r="AG16" i="12"/>
  <c r="Q16" i="12"/>
  <c r="M16" i="12"/>
  <c r="AO16" i="12"/>
  <c r="AL16" i="12"/>
  <c r="X16" i="12"/>
  <c r="O16" i="12"/>
  <c r="V16" i="12"/>
  <c r="T16" i="12"/>
  <c r="R16" i="12"/>
  <c r="AR16" i="12"/>
  <c r="E16" i="12"/>
  <c r="I16" i="12"/>
  <c r="W16" i="12"/>
  <c r="Y16" i="12"/>
  <c r="L16" i="12"/>
  <c r="G16" i="12"/>
  <c r="AF16" i="12"/>
  <c r="Z16" i="12"/>
  <c r="AM16" i="12"/>
  <c r="AA16" i="12"/>
  <c r="AH16" i="12"/>
  <c r="U16" i="12"/>
  <c r="AK16" i="12"/>
  <c r="AJ16" i="12"/>
  <c r="P16" i="12"/>
  <c r="K16" i="12"/>
  <c r="B13" i="12"/>
  <c r="B16" i="12"/>
  <c r="B15" i="9"/>
  <c r="B14" i="9" s="1"/>
  <c r="E18" i="9" s="1"/>
  <c r="J18" i="9" l="1"/>
  <c r="AT16" i="12"/>
  <c r="B18" i="9"/>
  <c r="B11" i="9"/>
  <c r="AT13" i="12" l="1"/>
  <c r="B1" i="1" l="1"/>
  <c r="C1" i="1" s="1"/>
  <c r="D1" i="1" s="1"/>
  <c r="E1" i="1" s="1"/>
  <c r="F1" i="1" s="1"/>
  <c r="G1" i="1" s="1"/>
  <c r="H1" i="1" s="1"/>
  <c r="I1" i="1" s="1"/>
  <c r="J1" i="1" s="1"/>
  <c r="K1" i="1" s="1"/>
  <c r="L1" i="1" s="1"/>
  <c r="M1" i="1" s="1"/>
  <c r="N1" i="1" s="1"/>
  <c r="O1" i="1" s="1"/>
  <c r="P1" i="1" s="1"/>
  <c r="Q1" i="1" s="1"/>
  <c r="R1" i="1" s="1"/>
  <c r="S1" i="1" s="1"/>
  <c r="T1" i="1" s="1"/>
  <c r="U1" i="1" s="1"/>
  <c r="V1" i="1" s="1"/>
  <c r="W1" i="1" s="1"/>
  <c r="X1" i="1" s="1"/>
  <c r="Y1" i="1" s="1"/>
  <c r="Z1" i="1" s="1"/>
  <c r="AA1" i="1" s="1"/>
  <c r="AB1" i="1" s="1"/>
  <c r="AC1" i="1" s="1"/>
  <c r="AD1" i="1" s="1"/>
  <c r="AE1" i="1" s="1"/>
  <c r="AF1" i="1" s="1"/>
  <c r="AG1" i="1" s="1"/>
  <c r="AH1" i="1" s="1"/>
  <c r="AI1" i="1" s="1"/>
  <c r="AJ1" i="1" s="1"/>
  <c r="AK1" i="1" s="1"/>
  <c r="AL1" i="1" s="1"/>
  <c r="AM1" i="1" s="1"/>
  <c r="AN1" i="1" s="1"/>
  <c r="AO1" i="1" s="1"/>
  <c r="AP1" i="1" s="1"/>
  <c r="AQ1" i="1" s="1"/>
  <c r="AR1" i="1" s="1"/>
  <c r="AS1" i="1" s="1"/>
  <c r="AT1" i="1" s="1"/>
  <c r="AU1" i="1" s="1"/>
  <c r="AV1" i="1" s="1"/>
  <c r="AW1" i="1" s="1"/>
  <c r="AX1" i="1" s="1"/>
  <c r="AY1" i="1" s="1"/>
  <c r="AZ1" i="1" s="1"/>
  <c r="BA1" i="1" s="1"/>
  <c r="BB1" i="1" s="1"/>
  <c r="BC1" i="1" s="1"/>
  <c r="BD1" i="1" s="1"/>
  <c r="BE1" i="1" s="1"/>
  <c r="BF1" i="1" s="1"/>
  <c r="BG1" i="1" s="1"/>
  <c r="BH1" i="1" s="1"/>
  <c r="BI1" i="1" s="1"/>
  <c r="BJ1" i="1" s="1"/>
  <c r="BK1" i="1" s="1"/>
  <c r="BL1" i="1" s="1"/>
  <c r="BM1" i="1" s="1"/>
  <c r="BN1" i="1" s="1"/>
  <c r="BO1" i="1" s="1"/>
  <c r="BP1" i="1" s="1"/>
  <c r="BQ1" i="1" s="1"/>
  <c r="BR1" i="1" s="1"/>
  <c r="BS1" i="1" s="1"/>
  <c r="BT1" i="1" s="1"/>
  <c r="BU1" i="1" s="1"/>
  <c r="BV1" i="1" s="1"/>
  <c r="BW1" i="1" s="1"/>
  <c r="BX1" i="1" s="1"/>
  <c r="BY1" i="1" s="1"/>
  <c r="BZ1" i="1" s="1"/>
  <c r="CA1" i="1" s="1"/>
  <c r="CB1" i="1" s="1"/>
  <c r="CC1" i="1" s="1"/>
  <c r="CD1" i="1" s="1"/>
  <c r="CE1" i="1" s="1"/>
  <c r="CF1" i="1" s="1"/>
  <c r="CG1" i="1" s="1"/>
  <c r="CH1" i="1" s="1"/>
  <c r="CI1" i="1" s="1"/>
  <c r="CJ1" i="1" s="1"/>
  <c r="CK1" i="1" s="1"/>
  <c r="CL1" i="1" s="1"/>
  <c r="CM1" i="1" s="1"/>
  <c r="CN1" i="1" s="1"/>
  <c r="CO1" i="1" s="1"/>
  <c r="CP1" i="1" s="1"/>
  <c r="CQ1" i="1" s="1"/>
  <c r="CR1" i="1" s="1"/>
  <c r="CS1" i="1" s="1"/>
  <c r="CT1" i="1" s="1"/>
  <c r="CU1" i="1" s="1"/>
  <c r="CV1" i="1" s="1"/>
  <c r="CW1" i="1" s="1"/>
  <c r="CX1" i="1" s="1"/>
  <c r="CY1" i="1" s="1"/>
  <c r="CZ1" i="1" s="1"/>
  <c r="DA1" i="1" s="1"/>
  <c r="DB1" i="1" s="1"/>
  <c r="DC1" i="1" s="1"/>
  <c r="DD1" i="1" s="1"/>
  <c r="DE1" i="1" s="1"/>
  <c r="DF1" i="1" s="1"/>
  <c r="DG1" i="1" s="1"/>
  <c r="DH1" i="1" s="1"/>
  <c r="DI1" i="1" s="1"/>
  <c r="DJ1" i="1" s="1"/>
  <c r="DK1" i="1" s="1"/>
  <c r="DL1" i="1" s="1"/>
  <c r="DM1" i="1" s="1"/>
  <c r="C14" i="11" l="1"/>
  <c r="G18" i="9" l="1"/>
  <c r="G11" i="9"/>
  <c r="C15" i="11" l="1"/>
  <c r="J414" i="19"/>
  <c r="J485" i="19"/>
  <c r="J217" i="19"/>
  <c r="J356" i="19"/>
  <c r="J502" i="19"/>
  <c r="J156" i="19"/>
  <c r="J1020" i="19"/>
  <c r="J624" i="19"/>
  <c r="J381" i="19"/>
  <c r="J225" i="19"/>
  <c r="J561" i="19"/>
  <c r="J954" i="19"/>
  <c r="J254" i="19"/>
  <c r="J366" i="19"/>
  <c r="J79" i="19"/>
  <c r="J786" i="19"/>
  <c r="J787" i="19"/>
  <c r="J978" i="19"/>
  <c r="J40" i="19"/>
  <c r="J935" i="19"/>
  <c r="J332" i="19"/>
  <c r="J163" i="19"/>
  <c r="J380" i="19"/>
  <c r="J417" i="19"/>
  <c r="J66" i="19"/>
  <c r="J503" i="19"/>
  <c r="J1038" i="19"/>
  <c r="J109" i="19"/>
  <c r="J425" i="19"/>
  <c r="J391" i="19"/>
  <c r="J644" i="19"/>
  <c r="J1034" i="19"/>
  <c r="J1003" i="19"/>
  <c r="J317" i="19"/>
  <c r="J176" i="19"/>
  <c r="J907" i="19"/>
  <c r="J784" i="19"/>
  <c r="J918" i="19"/>
  <c r="J142" i="19"/>
  <c r="J297" i="19"/>
  <c r="J548" i="19"/>
  <c r="J8" i="19"/>
  <c r="J580" i="19"/>
  <c r="J337" i="19"/>
  <c r="J703" i="19"/>
  <c r="J110" i="19"/>
  <c r="J465" i="19"/>
  <c r="J796" i="19"/>
  <c r="J512" i="19"/>
  <c r="J546" i="19"/>
  <c r="J358" i="19"/>
  <c r="J498" i="19"/>
  <c r="J719" i="19"/>
  <c r="J305" i="19"/>
  <c r="J1029" i="19"/>
  <c r="J178" i="19"/>
  <c r="J743" i="19"/>
  <c r="J515" i="19"/>
  <c r="J209" i="19"/>
  <c r="J352" i="19"/>
  <c r="J611" i="19"/>
  <c r="J213" i="19"/>
  <c r="J328" i="19"/>
  <c r="J373" i="19"/>
  <c r="J409" i="19"/>
  <c r="J557" i="19"/>
  <c r="J575" i="19"/>
  <c r="J72" i="19"/>
  <c r="J436" i="19"/>
  <c r="J362" i="19"/>
  <c r="J537" i="19"/>
  <c r="J6" i="19"/>
  <c r="J488" i="19"/>
  <c r="J431" i="19"/>
  <c r="J847" i="19"/>
  <c r="J434" i="19"/>
  <c r="J994" i="19"/>
  <c r="J764" i="19"/>
  <c r="J663" i="19"/>
  <c r="J558" i="19"/>
  <c r="J831" i="19"/>
  <c r="J326" i="19"/>
  <c r="J474" i="19"/>
  <c r="J524" i="19"/>
  <c r="J606" i="19"/>
  <c r="J218" i="19"/>
  <c r="J972" i="19"/>
  <c r="J117" i="19"/>
  <c r="J887" i="19"/>
  <c r="J25" i="19"/>
  <c r="J5" i="19"/>
  <c r="J814" i="19"/>
  <c r="J1025" i="19"/>
  <c r="J760" i="19"/>
  <c r="J691" i="19"/>
  <c r="J514" i="19"/>
  <c r="J982" i="19"/>
  <c r="J969" i="19"/>
  <c r="J693" i="19"/>
  <c r="J652" i="19"/>
  <c r="J288" i="19"/>
  <c r="J979" i="19"/>
  <c r="J1031" i="19"/>
  <c r="J585" i="19"/>
  <c r="J444" i="19"/>
  <c r="J745" i="19"/>
  <c r="J390" i="19"/>
  <c r="J159" i="19"/>
  <c r="J427" i="19"/>
  <c r="J556" i="19"/>
  <c r="J883" i="19"/>
  <c r="J568" i="19"/>
  <c r="J830" i="19"/>
  <c r="J415" i="19"/>
  <c r="J689" i="19"/>
  <c r="J666" i="19"/>
  <c r="J520" i="19"/>
  <c r="J804" i="19"/>
  <c r="J571" i="19"/>
  <c r="J101" i="19"/>
  <c r="J511" i="19"/>
  <c r="J29" i="19"/>
  <c r="J179" i="19"/>
  <c r="J88" i="19"/>
  <c r="J384" i="19"/>
  <c r="J128" i="19"/>
  <c r="J542" i="19"/>
  <c r="J922" i="19"/>
  <c r="J593" i="19"/>
  <c r="J699" i="19"/>
  <c r="J46" i="19"/>
  <c r="J720" i="19"/>
  <c r="J657" i="19"/>
  <c r="J105" i="19"/>
  <c r="J165" i="19"/>
  <c r="J71" i="19"/>
  <c r="J1035" i="19"/>
  <c r="J597" i="19"/>
  <c r="J584" i="19"/>
  <c r="J385" i="19"/>
  <c r="J710" i="19"/>
  <c r="J2" i="19"/>
  <c r="J641" i="19"/>
  <c r="J183" i="19"/>
  <c r="J95" i="19"/>
  <c r="J635" i="19"/>
  <c r="J795" i="19"/>
  <c r="J1019" i="19"/>
  <c r="J47" i="19"/>
  <c r="J829" i="19"/>
  <c r="J789" i="19"/>
  <c r="J102" i="19"/>
  <c r="J395" i="19"/>
  <c r="J983" i="19"/>
  <c r="J946" i="19"/>
  <c r="J510" i="19"/>
  <c r="J57" i="19"/>
  <c r="J981" i="19"/>
  <c r="J470" i="19"/>
  <c r="J257" i="19"/>
  <c r="J446" i="19"/>
  <c r="J967" i="19"/>
  <c r="J793" i="19"/>
  <c r="J222" i="19"/>
  <c r="J1012" i="19"/>
  <c r="J382" i="19"/>
  <c r="J31" i="19"/>
  <c r="J27" i="19"/>
  <c r="J386" i="19"/>
  <c r="J476" i="19"/>
  <c r="J844" i="19"/>
  <c r="J464" i="19"/>
  <c r="J313" i="19"/>
  <c r="J224" i="19"/>
  <c r="J98" i="19"/>
  <c r="J636" i="19"/>
  <c r="J188" i="19"/>
  <c r="J451" i="19"/>
  <c r="J806" i="19"/>
  <c r="J460" i="19"/>
  <c r="J751" i="19"/>
  <c r="J234" i="19"/>
  <c r="J998" i="19"/>
  <c r="J393" i="19"/>
  <c r="J859" i="19"/>
  <c r="J651" i="19"/>
  <c r="J443" i="19"/>
  <c r="J572" i="19"/>
  <c r="J775" i="19"/>
  <c r="J826" i="19"/>
  <c r="J36" i="19"/>
  <c r="J15" i="19"/>
  <c r="J3" i="19"/>
  <c r="J570" i="19"/>
  <c r="J76" i="19"/>
  <c r="J236" i="19"/>
  <c r="J587" i="19"/>
  <c r="J220" i="19"/>
  <c r="J138" i="19"/>
  <c r="J264" i="19"/>
  <c r="J732" i="19"/>
  <c r="J82" i="19"/>
  <c r="J371" i="19"/>
  <c r="J538" i="19"/>
  <c r="J629" i="19"/>
  <c r="J869" i="19"/>
  <c r="J499" i="19"/>
  <c r="J772" i="19"/>
  <c r="J143" i="19"/>
  <c r="J314" i="19"/>
  <c r="J632" i="19"/>
  <c r="J565" i="19"/>
  <c r="J122" i="19"/>
  <c r="J407" i="19"/>
  <c r="J403" i="19"/>
  <c r="J921" i="19"/>
  <c r="J245" i="19"/>
  <c r="J902" i="19"/>
  <c r="J469" i="19"/>
  <c r="J7" i="19"/>
  <c r="J861" i="19"/>
  <c r="J70" i="19"/>
  <c r="J39" i="19"/>
  <c r="J905" i="19"/>
  <c r="J90" i="19"/>
  <c r="J221" i="19"/>
  <c r="J749" i="19"/>
  <c r="J365" i="19"/>
  <c r="J518" i="19"/>
  <c r="J1011" i="19"/>
  <c r="J581" i="19"/>
  <c r="J1026" i="19"/>
  <c r="J650" i="19"/>
  <c r="J240" i="19"/>
  <c r="J108" i="19"/>
  <c r="J11" i="19"/>
  <c r="J659" i="19"/>
  <c r="J513" i="19"/>
  <c r="J34" i="19"/>
  <c r="J623" i="19"/>
  <c r="J508" i="19"/>
  <c r="J1010" i="19"/>
  <c r="J151" i="19"/>
  <c r="J85" i="19"/>
  <c r="J837" i="19"/>
  <c r="J197" i="19"/>
  <c r="J86" i="19"/>
  <c r="J281" i="19"/>
  <c r="J871" i="19"/>
  <c r="J626" i="19"/>
  <c r="J1001" i="19"/>
  <c r="J190" i="19"/>
  <c r="J797" i="19"/>
  <c r="J341" i="19"/>
  <c r="J858" i="19"/>
  <c r="J609" i="19"/>
  <c r="J204" i="19"/>
  <c r="J316" i="19"/>
  <c r="J500" i="19"/>
  <c r="J484" i="19"/>
  <c r="J1017" i="19"/>
  <c r="J843" i="19"/>
  <c r="J353" i="19"/>
  <c r="J123" i="19"/>
  <c r="J21" i="19"/>
  <c r="J125" i="19"/>
  <c r="J574" i="19"/>
  <c r="J653" i="19"/>
  <c r="J1000" i="19"/>
  <c r="J269" i="19"/>
  <c r="J957" i="19"/>
  <c r="J346" i="19"/>
  <c r="J330" i="19"/>
  <c r="J615" i="19"/>
  <c r="J461" i="19"/>
  <c r="J781" i="19"/>
  <c r="J210" i="19"/>
  <c r="J104" i="19"/>
  <c r="J150" i="19"/>
  <c r="J532" i="19"/>
  <c r="J480" i="19"/>
  <c r="J753" i="19"/>
  <c r="J932" i="19"/>
  <c r="J344" i="19"/>
  <c r="J99" i="19"/>
  <c r="J74" i="19"/>
  <c r="J990" i="19"/>
  <c r="J324" i="19"/>
  <c r="J126" i="19"/>
  <c r="J107" i="19"/>
  <c r="J579" i="19"/>
  <c r="J134" i="19"/>
  <c r="J899" i="19"/>
  <c r="J885" i="19"/>
  <c r="J251" i="19"/>
  <c r="J855" i="19"/>
  <c r="J311" i="19"/>
  <c r="J376" i="19"/>
  <c r="J41" i="19"/>
  <c r="J389" i="19"/>
  <c r="J762" i="19"/>
  <c r="J262" i="19"/>
  <c r="J944" i="19"/>
  <c r="J504" i="19"/>
  <c r="J60" i="19"/>
  <c r="J372" i="19"/>
  <c r="J803" i="19"/>
  <c r="J309" i="19"/>
  <c r="J892" i="19"/>
  <c r="J945" i="19"/>
  <c r="J170" i="19"/>
  <c r="J864" i="19"/>
  <c r="J631" i="19"/>
  <c r="J308" i="19"/>
  <c r="J823" i="19"/>
  <c r="J368" i="19"/>
  <c r="J48" i="19"/>
  <c r="J487" i="19"/>
  <c r="J681" i="19"/>
  <c r="J642" i="19"/>
  <c r="J191" i="19"/>
  <c r="J704" i="19"/>
  <c r="J17" i="19"/>
  <c r="J630" i="19"/>
  <c r="J966" i="19"/>
  <c r="J449" i="19"/>
  <c r="J541" i="19"/>
  <c r="J118" i="19"/>
  <c r="J800" i="19"/>
  <c r="J774" i="19"/>
  <c r="J388" i="19"/>
  <c r="J567" i="19"/>
  <c r="J323" i="19"/>
  <c r="J792" i="19"/>
  <c r="J457" i="19"/>
  <c r="J828" i="19"/>
  <c r="J808" i="19"/>
  <c r="J779" i="19"/>
  <c r="J746" i="19"/>
  <c r="J494" i="19"/>
  <c r="J655" i="19"/>
  <c r="J452" i="19"/>
  <c r="J354" i="19"/>
  <c r="J282" i="19"/>
  <c r="J794" i="19"/>
  <c r="J639" i="19"/>
  <c r="J397" i="19"/>
  <c r="J619" i="19"/>
  <c r="J617" i="19"/>
  <c r="J643" i="19"/>
  <c r="J351" i="19"/>
  <c r="J334" i="19"/>
  <c r="J184" i="19"/>
  <c r="J544" i="19"/>
  <c r="J865" i="19"/>
  <c r="J559" i="19"/>
  <c r="J244" i="19"/>
  <c r="J715" i="19"/>
  <c r="J604" i="19"/>
  <c r="J929" i="19"/>
  <c r="J406" i="19"/>
  <c r="J763" i="19"/>
  <c r="J551" i="19"/>
  <c r="J603" i="19"/>
  <c r="J404" i="19"/>
  <c r="J166" i="19"/>
  <c r="J280" i="19"/>
  <c r="J359" i="19"/>
  <c r="J408" i="19"/>
  <c r="J1015" i="19"/>
  <c r="J30" i="19"/>
  <c r="J807" i="19"/>
  <c r="J679" i="19"/>
  <c r="J648" i="19"/>
  <c r="J259" i="19"/>
  <c r="J599" i="19"/>
  <c r="J878" i="19"/>
  <c r="J235" i="19"/>
  <c r="J164" i="19"/>
  <c r="J857" i="19"/>
  <c r="J10" i="19"/>
  <c r="J329" i="19"/>
  <c r="J59" i="19"/>
  <c r="J16" i="19"/>
  <c r="J1002" i="19"/>
  <c r="J113" i="19"/>
  <c r="J242" i="19"/>
  <c r="J167" i="19"/>
  <c r="J363" i="19"/>
  <c r="J290" i="19"/>
  <c r="J770" i="19"/>
  <c r="J588" i="19"/>
  <c r="J247" i="19"/>
  <c r="J591" i="19"/>
  <c r="J711" i="19"/>
  <c r="J279" i="19"/>
  <c r="J649" i="19"/>
  <c r="J709" i="19"/>
  <c r="J193" i="19"/>
  <c r="J375" i="19"/>
  <c r="J65" i="19"/>
  <c r="J38" i="19"/>
  <c r="J783" i="19"/>
  <c r="J369" i="19"/>
  <c r="J947" i="19"/>
  <c r="J949" i="19"/>
  <c r="J690" i="19"/>
  <c r="J360" i="19"/>
  <c r="J573" i="19"/>
  <c r="J767" i="19"/>
  <c r="J58" i="19"/>
  <c r="J798" i="19"/>
  <c r="J437" i="19"/>
  <c r="J327" i="19"/>
  <c r="J463" i="19"/>
  <c r="J999" i="19"/>
  <c r="J219" i="19"/>
  <c r="J428" i="19"/>
  <c r="J936" i="19"/>
  <c r="J660" i="19"/>
  <c r="J43" i="19"/>
  <c r="J355" i="19"/>
  <c r="J398" i="19"/>
  <c r="J768" i="19"/>
  <c r="J77" i="19"/>
  <c r="J287" i="19"/>
  <c r="J637" i="19"/>
  <c r="J289" i="19"/>
  <c r="J230" i="19"/>
  <c r="J674" i="19"/>
  <c r="J517" i="19"/>
  <c r="J405" i="19"/>
  <c r="J458" i="19"/>
  <c r="J801" i="19"/>
  <c r="J1016" i="19"/>
  <c r="J203" i="19"/>
  <c r="J22" i="19"/>
  <c r="J739" i="19"/>
  <c r="J492" i="19"/>
  <c r="J448" i="19"/>
  <c r="J157" i="19"/>
  <c r="J937" i="19"/>
  <c r="J270" i="19"/>
  <c r="J459" i="19"/>
  <c r="J970" i="19"/>
  <c r="J207" i="19"/>
  <c r="J445" i="19"/>
  <c r="J594" i="19"/>
  <c r="J600" i="19"/>
  <c r="J286" i="19"/>
  <c r="J426" i="19"/>
  <c r="J35" i="19"/>
  <c r="J472" i="19"/>
  <c r="J661" i="19"/>
  <c r="J964" i="19"/>
  <c r="J873" i="19"/>
  <c r="J687" i="19"/>
  <c r="J192" i="19"/>
  <c r="J306" i="19"/>
  <c r="J196" i="19"/>
  <c r="J640" i="19"/>
  <c r="J155" i="19"/>
  <c r="J522" i="19"/>
  <c r="J440" i="19"/>
  <c r="J968" i="19"/>
  <c r="J114" i="19"/>
  <c r="J1014" i="19"/>
  <c r="J646" i="19"/>
  <c r="J396" i="19"/>
  <c r="J531" i="19"/>
  <c r="J169" i="19"/>
  <c r="J433" i="19"/>
  <c r="J845" i="19"/>
  <c r="J131" i="19"/>
  <c r="J100" i="19"/>
  <c r="J92" i="19"/>
  <c r="J152" i="19"/>
  <c r="J18" i="19"/>
  <c r="J432" i="19"/>
  <c r="J325" i="19"/>
  <c r="J401" i="19"/>
  <c r="J342" i="19"/>
  <c r="J237" i="19"/>
  <c r="J747" i="19"/>
  <c r="J378" i="19"/>
  <c r="J1039" i="19"/>
  <c r="J706" i="19"/>
  <c r="J367" i="19"/>
  <c r="J550" i="19"/>
  <c r="J577" i="19"/>
  <c r="J933" i="19"/>
  <c r="J955" i="19"/>
  <c r="J205" i="19"/>
  <c r="J91" i="19"/>
  <c r="J345" i="19"/>
  <c r="J906" i="19"/>
  <c r="J144" i="19"/>
  <c r="J370" i="19"/>
  <c r="J839" i="19"/>
  <c r="J430" i="19"/>
  <c r="J827" i="19"/>
  <c r="J911" i="19"/>
  <c r="J124" i="19"/>
  <c r="J723" i="19"/>
  <c r="J312" i="19"/>
  <c r="J479" i="19"/>
  <c r="J863" i="19"/>
  <c r="J812" i="19"/>
  <c r="J13" i="19"/>
  <c r="J182" i="19"/>
  <c r="J439" i="19"/>
  <c r="J80" i="19"/>
  <c r="J97" i="19"/>
  <c r="J665" i="19"/>
  <c r="J771" i="19"/>
  <c r="J717" i="19"/>
  <c r="J516" i="19"/>
  <c r="J654" i="19"/>
  <c r="J920" i="19"/>
  <c r="J343" i="19"/>
  <c r="J903" i="19"/>
  <c r="J387" i="19"/>
  <c r="J450" i="19"/>
  <c r="J673" i="19"/>
  <c r="J493" i="19"/>
  <c r="J94" i="19"/>
  <c r="J339" i="19"/>
  <c r="J527" i="19"/>
  <c r="J780" i="19"/>
  <c r="J634" i="19"/>
  <c r="J748" i="19"/>
  <c r="J9" i="19"/>
  <c r="J349" i="19"/>
  <c r="J560" i="19"/>
  <c r="J605" i="19"/>
  <c r="J87" i="19"/>
  <c r="J256" i="19"/>
  <c r="J33" i="19"/>
  <c r="J153" i="19"/>
  <c r="J848" i="19"/>
  <c r="J347" i="19"/>
  <c r="J246" i="19"/>
  <c r="J63" i="19"/>
  <c r="J315" i="19"/>
  <c r="J735" i="19"/>
  <c r="J278" i="19"/>
  <c r="J53" i="19"/>
  <c r="J601" i="19"/>
  <c r="J127" i="19"/>
  <c r="J252" i="19"/>
  <c r="J466" i="19"/>
  <c r="J879" i="19"/>
  <c r="J243" i="19"/>
  <c r="J195" i="19"/>
  <c r="J540" i="19"/>
  <c r="J564" i="19"/>
  <c r="J618" i="19"/>
  <c r="J529" i="19"/>
  <c r="J392" i="19"/>
  <c r="J268" i="19"/>
  <c r="J374" i="19"/>
  <c r="J701" i="19"/>
  <c r="J180" i="19"/>
  <c r="J442" i="19"/>
  <c r="J886" i="19"/>
  <c r="J638" i="19"/>
  <c r="J519" i="19"/>
  <c r="J874" i="19"/>
  <c r="J818" i="19"/>
  <c r="J677" i="19"/>
  <c r="J20" i="19"/>
  <c r="J478" i="19"/>
  <c r="J761" i="19"/>
  <c r="J181" i="19"/>
  <c r="J121" i="19"/>
  <c r="J253" i="19"/>
  <c r="J956" i="19"/>
  <c r="J162" i="19"/>
  <c r="J809" i="19"/>
  <c r="J893" i="19"/>
  <c r="J813" i="19"/>
  <c r="J64" i="19"/>
  <c r="J68" i="19"/>
  <c r="J216" i="19"/>
  <c r="J569" i="19"/>
  <c r="J616" i="19"/>
  <c r="J89" i="19"/>
  <c r="J724" i="19"/>
  <c r="J582" i="19"/>
  <c r="J227" i="19"/>
  <c r="J261" i="19"/>
  <c r="J115" i="19"/>
  <c r="J54" i="19"/>
  <c r="J533" i="19"/>
  <c r="J700" i="19"/>
  <c r="J250" i="19"/>
  <c r="J394" i="19"/>
  <c r="J530" i="19"/>
  <c r="J19" i="19"/>
  <c r="J320" i="19"/>
  <c r="J84" i="19"/>
  <c r="J802" i="19"/>
  <c r="J168" i="19"/>
  <c r="J919" i="19"/>
  <c r="J37" i="19"/>
  <c r="J322" i="19"/>
  <c r="J215" i="19"/>
  <c r="J590" i="19"/>
  <c r="J260" i="19"/>
  <c r="J586" i="19"/>
  <c r="J238" i="19"/>
  <c r="J721" i="19"/>
  <c r="J486" i="19"/>
  <c r="J552" i="19"/>
  <c r="J120" i="19"/>
  <c r="J765" i="19"/>
  <c r="J695" i="19"/>
  <c r="J348" i="19"/>
  <c r="J489" i="19"/>
  <c r="J676" i="19"/>
  <c r="J757" i="19"/>
  <c r="J950" i="19"/>
  <c r="J888" i="19"/>
  <c r="J490" i="19"/>
  <c r="J838" i="19"/>
  <c r="J562" i="19"/>
  <c r="J860" i="19"/>
  <c r="J733" i="19"/>
  <c r="J943" i="19"/>
  <c r="J26" i="19"/>
  <c r="J24" i="19"/>
  <c r="J773" i="19"/>
  <c r="J645" i="19"/>
  <c r="J331" i="19"/>
  <c r="J647" i="19"/>
  <c r="J103" i="19"/>
  <c r="J185" i="19"/>
  <c r="J158" i="19"/>
  <c r="J248" i="19"/>
  <c r="J32" i="19"/>
  <c r="J769" i="19"/>
  <c r="J667" i="19"/>
  <c r="J231" i="19"/>
  <c r="J232" i="19"/>
  <c r="J685" i="19"/>
  <c r="J447" i="19"/>
  <c r="J239" i="19"/>
  <c r="J335" i="19"/>
  <c r="J620" i="19"/>
  <c r="J973" i="19"/>
  <c r="J402" i="19"/>
  <c r="J718" i="19"/>
  <c r="J298" i="19"/>
  <c r="J453" i="19"/>
  <c r="J534" i="19"/>
  <c r="J208" i="19"/>
  <c r="J4" i="19"/>
  <c r="J628" i="19"/>
  <c r="J846" i="19"/>
  <c r="J226" i="19"/>
  <c r="J891" i="19"/>
  <c r="J413" i="19"/>
  <c r="J357" i="19"/>
  <c r="J633" i="19"/>
  <c r="J688" i="19"/>
  <c r="J820" i="19"/>
  <c r="J410" i="19"/>
  <c r="J782" i="19"/>
  <c r="J361" i="19"/>
  <c r="J766" i="19"/>
  <c r="J900" i="19"/>
  <c r="J901" i="19"/>
  <c r="J265" i="19"/>
  <c r="J497" i="19"/>
  <c r="J81" i="19"/>
  <c r="J119" i="19"/>
  <c r="J566" i="19"/>
  <c r="J438" i="19"/>
  <c r="J547" i="19"/>
  <c r="J106" i="19"/>
  <c r="J528" i="19"/>
  <c r="J416" i="19"/>
  <c r="J592" i="19"/>
  <c r="J338" i="19"/>
  <c r="J69" i="19"/>
  <c r="J61" i="19"/>
  <c r="J627" i="19"/>
  <c r="J336" i="19"/>
  <c r="J877" i="19"/>
  <c r="J456" i="19"/>
  <c r="J277" i="19"/>
  <c r="J930" i="19"/>
  <c r="J206" i="19"/>
  <c r="J468" i="19"/>
  <c r="J241" i="19"/>
  <c r="J418" i="19"/>
  <c r="J310" i="19"/>
  <c r="J875" i="19"/>
  <c r="J752" i="19"/>
  <c r="J249" i="19"/>
  <c r="J350" i="19"/>
  <c r="J578" i="19"/>
  <c r="J545" i="19"/>
  <c r="J177" i="19"/>
  <c r="J83" i="19"/>
  <c r="J307" i="19"/>
  <c r="J889" i="19"/>
  <c r="J435" i="19"/>
  <c r="J607" i="19"/>
  <c r="J731" i="19"/>
  <c r="J596" i="19"/>
  <c r="J810" i="19"/>
  <c r="J1021" i="19"/>
  <c r="J526" i="19"/>
  <c r="J116" i="19"/>
  <c r="J137" i="19"/>
  <c r="J897" i="19"/>
  <c r="J583" i="19"/>
  <c r="J12" i="19"/>
  <c r="J974" i="19"/>
  <c r="J788" i="19"/>
  <c r="J491" i="19"/>
  <c r="J799" i="19"/>
  <c r="J96" i="19"/>
  <c r="J267" i="19"/>
  <c r="J737" i="19"/>
  <c r="J758" i="19"/>
  <c r="J931" i="19"/>
  <c r="J263" i="19"/>
  <c r="J133" i="19"/>
  <c r="J610" i="19"/>
  <c r="J49" i="19"/>
  <c r="J136" i="19"/>
  <c r="J941" i="19"/>
  <c r="J383" i="19"/>
  <c r="J705" i="19"/>
  <c r="J73" i="19"/>
  <c r="J523" i="19"/>
  <c r="J75" i="19"/>
  <c r="J62" i="19"/>
  <c r="J536" i="19"/>
  <c r="J14" i="19"/>
  <c r="J441" i="19"/>
  <c r="J509" i="19"/>
  <c r="J822" i="19"/>
  <c r="J917" i="19"/>
  <c r="J364" i="19"/>
  <c r="J266" i="19"/>
  <c r="J44" i="19"/>
  <c r="J707" i="19"/>
  <c r="J598" i="19"/>
  <c r="J1033" i="19"/>
  <c r="J824" i="19"/>
  <c r="J759" i="19"/>
  <c r="J228" i="19"/>
  <c r="J28" i="19"/>
  <c r="J258" i="19"/>
  <c r="J318" i="19"/>
  <c r="J535" i="19"/>
  <c r="J93" i="19"/>
  <c r="J23" i="19"/>
  <c r="J496" i="19"/>
  <c r="J467" i="19"/>
  <c r="J132" i="19"/>
  <c r="J778" i="19"/>
  <c r="J734" i="19"/>
  <c r="J671" i="19"/>
  <c r="J777" i="19"/>
  <c r="J694" i="19"/>
  <c r="J680" i="19"/>
  <c r="J539" i="19"/>
  <c r="J171" i="19"/>
  <c r="J589" i="19"/>
  <c r="J662" i="19"/>
  <c r="J78" i="19"/>
  <c r="J111" i="19"/>
  <c r="J340" i="19"/>
  <c r="J45" i="19"/>
  <c r="J462" i="19"/>
  <c r="J475" i="19"/>
  <c r="J379" i="19"/>
  <c r="J154" i="19"/>
  <c r="J821" i="19"/>
  <c r="J725" i="19"/>
  <c r="J377" i="19"/>
  <c r="J229" i="19"/>
  <c r="J333" i="19"/>
  <c r="J130" i="19"/>
  <c r="J455" i="19"/>
  <c r="J214" i="19"/>
  <c r="J738" i="19"/>
  <c r="J576" i="19"/>
  <c r="J625" i="19"/>
  <c r="J473" i="19"/>
  <c r="J1032" i="19"/>
  <c r="J872" i="19"/>
  <c r="J521" i="19"/>
  <c r="J656" i="19"/>
  <c r="J912" i="19"/>
  <c r="J429" i="19"/>
  <c r="J563" i="19"/>
  <c r="J525" i="19"/>
  <c r="J285" i="19"/>
  <c r="J67" i="19"/>
  <c r="J776" i="19"/>
  <c r="J675" i="19"/>
  <c r="J255" i="19"/>
  <c r="J980" i="19"/>
  <c r="J729" i="19"/>
  <c r="J595" i="19"/>
  <c r="J785" i="19"/>
  <c r="J454" i="19"/>
  <c r="J927" i="19"/>
  <c r="J233" i="19"/>
  <c r="J321" i="19"/>
  <c r="J112" i="19"/>
  <c r="J223" i="19"/>
  <c r="J319" i="19"/>
  <c r="J182" i="18"/>
  <c r="J18" i="18"/>
  <c r="J185" i="18"/>
  <c r="J217" i="18"/>
  <c r="J188" i="18"/>
  <c r="J24" i="18"/>
  <c r="J12" i="18"/>
  <c r="J263" i="18"/>
  <c r="J94" i="18"/>
  <c r="J31" i="18"/>
  <c r="J7" i="18"/>
  <c r="J178" i="18"/>
  <c r="J232" i="18"/>
  <c r="J67" i="18"/>
  <c r="J102" i="18"/>
  <c r="J230" i="18"/>
  <c r="J57" i="18"/>
  <c r="J44" i="18"/>
  <c r="J242" i="18"/>
  <c r="J211" i="18"/>
  <c r="J50" i="18"/>
  <c r="J43" i="18"/>
  <c r="J128" i="18"/>
  <c r="J268" i="18"/>
  <c r="J110" i="18"/>
  <c r="J255" i="18"/>
  <c r="J14" i="18"/>
  <c r="J195" i="18"/>
  <c r="J89" i="18"/>
  <c r="J25" i="18"/>
  <c r="J136" i="18"/>
  <c r="J20" i="18"/>
  <c r="J273" i="18"/>
  <c r="J218" i="18"/>
  <c r="J119" i="18"/>
  <c r="J176" i="18"/>
  <c r="J118" i="18"/>
  <c r="J6" i="18"/>
  <c r="J215" i="18"/>
  <c r="J191" i="18"/>
  <c r="J17" i="18"/>
  <c r="J203" i="18"/>
  <c r="J237" i="18"/>
  <c r="J55" i="18"/>
  <c r="J180" i="18"/>
  <c r="J233" i="18"/>
  <c r="J72" i="18"/>
  <c r="J236" i="18"/>
  <c r="J61" i="18"/>
  <c r="J105" i="18"/>
  <c r="J270" i="18"/>
  <c r="J26" i="18"/>
  <c r="J131" i="18"/>
  <c r="J267" i="18"/>
  <c r="J212" i="18"/>
  <c r="J65" i="18"/>
  <c r="J134" i="18"/>
  <c r="J125" i="18"/>
  <c r="J206" i="18"/>
  <c r="J163" i="18"/>
  <c r="J245" i="18"/>
  <c r="J33" i="18"/>
  <c r="J130" i="18"/>
  <c r="J52" i="18"/>
  <c r="J157" i="18"/>
  <c r="J58" i="18"/>
  <c r="J69" i="18"/>
  <c r="J238" i="18"/>
  <c r="J96" i="18"/>
  <c r="J30" i="18"/>
  <c r="J115" i="18"/>
  <c r="J151" i="18"/>
  <c r="J226" i="18"/>
  <c r="J173" i="18"/>
  <c r="J153" i="18"/>
  <c r="J97" i="18"/>
  <c r="J88" i="18"/>
  <c r="J179" i="18"/>
  <c r="J144" i="18"/>
  <c r="J129" i="18"/>
  <c r="J66" i="18"/>
  <c r="J109" i="18"/>
  <c r="J219" i="18"/>
  <c r="J199" i="18"/>
  <c r="J126" i="18"/>
  <c r="J209" i="18"/>
  <c r="J257" i="18"/>
  <c r="J192" i="18"/>
  <c r="J62" i="18"/>
  <c r="J181" i="18"/>
  <c r="J79" i="18"/>
  <c r="J127" i="18"/>
  <c r="J207" i="18"/>
  <c r="J86" i="18"/>
  <c r="J137" i="18"/>
  <c r="J73" i="18"/>
  <c r="J114" i="18"/>
  <c r="J87" i="18"/>
  <c r="J40" i="18"/>
  <c r="J147" i="18"/>
  <c r="J210" i="18"/>
  <c r="J84" i="18"/>
  <c r="J244" i="18"/>
  <c r="J60" i="18"/>
  <c r="J216" i="18"/>
  <c r="J258" i="18"/>
  <c r="J124" i="18"/>
  <c r="J254" i="18"/>
  <c r="J49" i="18"/>
  <c r="J11" i="18"/>
  <c r="J19" i="18"/>
  <c r="J28" i="18"/>
  <c r="J184" i="18"/>
  <c r="J197" i="18"/>
  <c r="J39" i="18"/>
  <c r="J166" i="18"/>
  <c r="J140" i="18"/>
  <c r="J171" i="18"/>
  <c r="J231" i="18"/>
  <c r="J135" i="18"/>
  <c r="J152" i="18"/>
  <c r="J159" i="18"/>
  <c r="J177" i="18"/>
  <c r="J239" i="18"/>
  <c r="J80" i="18"/>
  <c r="J262" i="18"/>
  <c r="J249" i="18"/>
  <c r="J104" i="18"/>
  <c r="J91" i="18"/>
  <c r="J243" i="18"/>
  <c r="J208" i="18"/>
  <c r="J260" i="18"/>
  <c r="J200" i="18"/>
  <c r="J160" i="18"/>
  <c r="J193" i="18"/>
  <c r="J95" i="18"/>
  <c r="J34" i="18"/>
  <c r="J21" i="18"/>
  <c r="J272" i="18"/>
  <c r="J32" i="18"/>
  <c r="J63" i="18"/>
  <c r="J106" i="18"/>
  <c r="J75" i="18"/>
  <c r="J204" i="18"/>
  <c r="J98" i="18"/>
  <c r="J81" i="18"/>
  <c r="J71" i="18"/>
  <c r="J149" i="18"/>
  <c r="J168" i="18"/>
  <c r="J250" i="18"/>
  <c r="J248" i="18"/>
  <c r="J138" i="18"/>
  <c r="J116" i="18"/>
  <c r="J175" i="18"/>
  <c r="J29" i="18"/>
  <c r="J174" i="18"/>
  <c r="J234" i="18"/>
  <c r="J113" i="18"/>
  <c r="J155" i="18"/>
  <c r="J187" i="18"/>
  <c r="J108" i="18"/>
  <c r="J148" i="18"/>
  <c r="J47" i="18"/>
  <c r="J194" i="18"/>
  <c r="J240" i="18"/>
  <c r="J78" i="18"/>
  <c r="J27" i="18"/>
  <c r="J252" i="18"/>
  <c r="J143" i="18"/>
  <c r="J169" i="18"/>
  <c r="J101" i="18"/>
  <c r="J112" i="18"/>
  <c r="J214" i="18"/>
  <c r="J158" i="18"/>
  <c r="J146" i="18"/>
  <c r="J196" i="18"/>
  <c r="J225" i="18"/>
  <c r="J42" i="18"/>
  <c r="J76" i="18"/>
  <c r="J189" i="18"/>
  <c r="J74" i="18"/>
  <c r="J253" i="18"/>
  <c r="J8" i="18"/>
  <c r="J100" i="18"/>
  <c r="J170" i="18"/>
  <c r="J247" i="18"/>
  <c r="J68" i="18"/>
  <c r="J64" i="18"/>
  <c r="J259" i="18"/>
  <c r="J264" i="18"/>
  <c r="J198" i="18"/>
  <c r="J205" i="18"/>
  <c r="J103" i="18"/>
  <c r="J139" i="18"/>
  <c r="J228" i="18"/>
  <c r="J13" i="18"/>
  <c r="J54" i="18"/>
  <c r="J37" i="18"/>
  <c r="J117" i="18"/>
  <c r="J202" i="18"/>
  <c r="J107" i="18"/>
  <c r="J150" i="18"/>
  <c r="J172" i="18"/>
  <c r="J261" i="18"/>
  <c r="J241" i="18"/>
  <c r="J16" i="18"/>
  <c r="J154" i="18"/>
  <c r="J190" i="18"/>
  <c r="J164" i="18"/>
  <c r="J186" i="18"/>
  <c r="J36" i="18"/>
  <c r="J165" i="18"/>
  <c r="J5" i="18"/>
  <c r="J93" i="18"/>
  <c r="J35" i="18"/>
  <c r="J85" i="18"/>
  <c r="J92" i="18"/>
  <c r="J132" i="18"/>
  <c r="J22" i="18"/>
  <c r="J141" i="18"/>
  <c r="J269" i="18"/>
  <c r="J201" i="18"/>
  <c r="J111" i="18"/>
  <c r="J133" i="18"/>
  <c r="J183" i="18"/>
  <c r="J90" i="18"/>
  <c r="J145" i="18"/>
  <c r="J271" i="18"/>
  <c r="J121" i="18"/>
  <c r="J167" i="18"/>
  <c r="T634" i="19" l="1"/>
  <c r="T629" i="19"/>
  <c r="T358" i="19"/>
  <c r="T813" i="19"/>
  <c r="T803" i="19"/>
  <c r="T609" i="19"/>
  <c r="T973" i="19"/>
  <c r="T715" i="19"/>
  <c r="T395" i="19"/>
  <c r="T979" i="19"/>
  <c r="T637" i="19"/>
  <c r="T599" i="19"/>
  <c r="T1033" i="19"/>
  <c r="T350" i="19"/>
  <c r="T538" i="19"/>
  <c r="T285" i="19"/>
  <c r="T780" i="19"/>
  <c r="T18" i="19"/>
  <c r="T546" i="19"/>
  <c r="T893" i="19"/>
  <c r="T372" i="19"/>
  <c r="T858" i="19"/>
  <c r="T620" i="19"/>
  <c r="T244" i="19"/>
  <c r="T102" i="19"/>
  <c r="T288" i="19"/>
  <c r="T287" i="19"/>
  <c r="T19" i="19"/>
  <c r="T598" i="19"/>
  <c r="T249" i="19"/>
  <c r="T371" i="19"/>
  <c r="T525" i="19"/>
  <c r="T527" i="19"/>
  <c r="T152" i="19"/>
  <c r="T512" i="19"/>
  <c r="T809" i="19"/>
  <c r="T60" i="19"/>
  <c r="T341" i="19"/>
  <c r="T335" i="19"/>
  <c r="T559" i="19"/>
  <c r="T789" i="19"/>
  <c r="T652" i="19"/>
  <c r="T77" i="19"/>
  <c r="T319" i="19"/>
  <c r="T707" i="19"/>
  <c r="T752" i="19"/>
  <c r="T82" i="19"/>
  <c r="T563" i="19"/>
  <c r="T339" i="19"/>
  <c r="T92" i="19"/>
  <c r="T796" i="19"/>
  <c r="T162" i="19"/>
  <c r="T504" i="19"/>
  <c r="T797" i="19"/>
  <c r="T239" i="19"/>
  <c r="T865" i="19"/>
  <c r="T829" i="19"/>
  <c r="T693" i="19"/>
  <c r="T768" i="19"/>
  <c r="T259" i="19"/>
  <c r="T44" i="19"/>
  <c r="T875" i="19"/>
  <c r="T732" i="19"/>
  <c r="T429" i="19"/>
  <c r="T94" i="19"/>
  <c r="T100" i="19"/>
  <c r="T465" i="19"/>
  <c r="T956" i="19"/>
  <c r="T944" i="19"/>
  <c r="T190" i="19"/>
  <c r="T447" i="19"/>
  <c r="T544" i="19"/>
  <c r="T47" i="19"/>
  <c r="T969" i="19"/>
  <c r="T398" i="19"/>
  <c r="T530" i="19"/>
  <c r="T266" i="19"/>
  <c r="T310" i="19"/>
  <c r="T264" i="19"/>
  <c r="T912" i="19"/>
  <c r="T493" i="19"/>
  <c r="T131" i="19"/>
  <c r="T110" i="19"/>
  <c r="T253" i="19"/>
  <c r="T262" i="19"/>
  <c r="T1001" i="19"/>
  <c r="T685" i="19"/>
  <c r="T184" i="19"/>
  <c r="T1019" i="19"/>
  <c r="T982" i="19"/>
  <c r="T355" i="19"/>
  <c r="T223" i="19"/>
  <c r="T364" i="19"/>
  <c r="T418" i="19"/>
  <c r="T138" i="19"/>
  <c r="T656" i="19"/>
  <c r="T673" i="19"/>
  <c r="T845" i="19"/>
  <c r="T703" i="19"/>
  <c r="T121" i="19"/>
  <c r="T762" i="19"/>
  <c r="T626" i="19"/>
  <c r="T232" i="19"/>
  <c r="T334" i="19"/>
  <c r="T795" i="19"/>
  <c r="T514" i="19"/>
  <c r="T43" i="19"/>
  <c r="T648" i="19"/>
  <c r="T917" i="19"/>
  <c r="T241" i="19"/>
  <c r="T220" i="19"/>
  <c r="T521" i="19"/>
  <c r="T450" i="19"/>
  <c r="T433" i="19"/>
  <c r="T337" i="19"/>
  <c r="T181" i="19"/>
  <c r="T389" i="19"/>
  <c r="T871" i="19"/>
  <c r="T231" i="19"/>
  <c r="T351" i="19"/>
  <c r="T635" i="19"/>
  <c r="T691" i="19"/>
  <c r="T660" i="19"/>
  <c r="T394" i="19"/>
  <c r="T822" i="19"/>
  <c r="T468" i="19"/>
  <c r="T587" i="19"/>
  <c r="T872" i="19"/>
  <c r="T387" i="19"/>
  <c r="T169" i="19"/>
  <c r="T580" i="19"/>
  <c r="T761" i="19"/>
  <c r="T41" i="19"/>
  <c r="T281" i="19"/>
  <c r="T667" i="19"/>
  <c r="T643" i="19"/>
  <c r="T95" i="19"/>
  <c r="T760" i="19"/>
  <c r="T936" i="19"/>
  <c r="T679" i="19"/>
  <c r="T509" i="19"/>
  <c r="T206" i="19"/>
  <c r="T236" i="19"/>
  <c r="T1032" i="19"/>
  <c r="T903" i="19"/>
  <c r="T531" i="19"/>
  <c r="T8" i="19"/>
  <c r="T478" i="19"/>
  <c r="T376" i="19"/>
  <c r="T86" i="19"/>
  <c r="T769" i="19"/>
  <c r="T617" i="19"/>
  <c r="T183" i="19"/>
  <c r="T1025" i="19"/>
  <c r="T428" i="19"/>
  <c r="T112" i="19"/>
  <c r="T441" i="19"/>
  <c r="T930" i="19"/>
  <c r="T76" i="19"/>
  <c r="T473" i="19"/>
  <c r="T343" i="19"/>
  <c r="T396" i="19"/>
  <c r="T548" i="19"/>
  <c r="T20" i="19"/>
  <c r="T311" i="19"/>
  <c r="T197" i="19"/>
  <c r="T32" i="19"/>
  <c r="T619" i="19"/>
  <c r="T641" i="19"/>
  <c r="T814" i="19"/>
  <c r="T219" i="19"/>
  <c r="T250" i="19"/>
  <c r="T14" i="19"/>
  <c r="T277" i="19"/>
  <c r="T570" i="19"/>
  <c r="T625" i="19"/>
  <c r="T920" i="19"/>
  <c r="T646" i="19"/>
  <c r="T297" i="19"/>
  <c r="T677" i="19"/>
  <c r="T855" i="19"/>
  <c r="T837" i="19"/>
  <c r="T248" i="19"/>
  <c r="T397" i="19"/>
  <c r="T2" i="19"/>
  <c r="T5" i="19"/>
  <c r="T999" i="19"/>
  <c r="T700" i="19"/>
  <c r="T536" i="19"/>
  <c r="T456" i="19"/>
  <c r="T3" i="19"/>
  <c r="T576" i="19"/>
  <c r="T654" i="19"/>
  <c r="T1014" i="19"/>
  <c r="T142" i="19"/>
  <c r="T818" i="19"/>
  <c r="T251" i="19"/>
  <c r="T85" i="19"/>
  <c r="T158" i="19"/>
  <c r="T639" i="19"/>
  <c r="T710" i="19"/>
  <c r="T25" i="19"/>
  <c r="T463" i="19"/>
  <c r="T807" i="19"/>
  <c r="T62" i="19"/>
  <c r="T877" i="19"/>
  <c r="T15" i="19"/>
  <c r="T738" i="19"/>
  <c r="T516" i="19"/>
  <c r="T114" i="19"/>
  <c r="T918" i="19"/>
  <c r="T874" i="19"/>
  <c r="T885" i="19"/>
  <c r="T151" i="19"/>
  <c r="T185" i="19"/>
  <c r="T794" i="19"/>
  <c r="T385" i="19"/>
  <c r="T887" i="19"/>
  <c r="T327" i="19"/>
  <c r="T321" i="19"/>
  <c r="T75" i="19"/>
  <c r="T336" i="19"/>
  <c r="T36" i="19"/>
  <c r="T214" i="19"/>
  <c r="T717" i="19"/>
  <c r="T968" i="19"/>
  <c r="T784" i="19"/>
  <c r="T519" i="19"/>
  <c r="T899" i="19"/>
  <c r="W179" i="18"/>
  <c r="W196" i="18"/>
  <c r="W54" i="18"/>
  <c r="W26" i="18"/>
  <c r="W245" i="18"/>
  <c r="W76" i="18"/>
  <c r="W25" i="18"/>
  <c r="W175" i="18"/>
  <c r="W110" i="18"/>
  <c r="W268" i="18"/>
  <c r="W30" i="18"/>
  <c r="W260" i="18"/>
  <c r="W116" i="18"/>
  <c r="W36" i="18"/>
  <c r="W203" i="18"/>
  <c r="W8" i="18"/>
  <c r="W119" i="18"/>
  <c r="W12" i="18"/>
  <c r="W27" i="18"/>
  <c r="W17" i="18"/>
  <c r="W88" i="18"/>
  <c r="W238" i="18"/>
  <c r="W78" i="18"/>
  <c r="W198" i="18"/>
  <c r="W174" i="18"/>
  <c r="W150" i="18"/>
  <c r="W250" i="18"/>
  <c r="W164" i="18"/>
  <c r="W202" i="18"/>
  <c r="W225" i="18"/>
  <c r="W181" i="18"/>
  <c r="W124" i="18"/>
  <c r="W129" i="18"/>
  <c r="W93" i="18"/>
  <c r="W80" i="18"/>
  <c r="W67" i="18"/>
  <c r="W6" i="18"/>
  <c r="W234" i="18"/>
  <c r="W127" i="18"/>
  <c r="W269" i="18"/>
  <c r="W64" i="18"/>
  <c r="W111" i="18"/>
  <c r="W171" i="18"/>
  <c r="W252" i="18"/>
  <c r="W159" i="18"/>
  <c r="W125" i="18"/>
  <c r="W97" i="18"/>
  <c r="W101" i="18"/>
  <c r="W136" i="18"/>
  <c r="W131" i="18"/>
  <c r="W168" i="18"/>
  <c r="W237" i="18"/>
  <c r="W228" i="18"/>
  <c r="W190" i="18"/>
  <c r="W247" i="18"/>
  <c r="W195" i="18"/>
  <c r="W100" i="18"/>
  <c r="W16" i="18"/>
  <c r="T1010" i="19"/>
  <c r="T103" i="19"/>
  <c r="T282" i="19"/>
  <c r="T584" i="19"/>
  <c r="T117" i="19"/>
  <c r="T437" i="19"/>
  <c r="T533" i="19"/>
  <c r="T523" i="19"/>
  <c r="T627" i="19"/>
  <c r="T826" i="19"/>
  <c r="T455" i="19"/>
  <c r="T771" i="19"/>
  <c r="T440" i="19"/>
  <c r="T907" i="19"/>
  <c r="T638" i="19"/>
  <c r="T134" i="19"/>
  <c r="T508" i="19"/>
  <c r="T647" i="19"/>
  <c r="T354" i="19"/>
  <c r="T597" i="19"/>
  <c r="T972" i="19"/>
  <c r="T798" i="19"/>
  <c r="T30" i="19"/>
  <c r="T73" i="19"/>
  <c r="T61" i="19"/>
  <c r="T775" i="19"/>
  <c r="T130" i="19"/>
  <c r="T665" i="19"/>
  <c r="T522" i="19"/>
  <c r="T176" i="19"/>
  <c r="T886" i="19"/>
  <c r="T579" i="19"/>
  <c r="T623" i="19"/>
  <c r="T331" i="19"/>
  <c r="T452" i="19"/>
  <c r="T1035" i="19"/>
  <c r="T218" i="19"/>
  <c r="T58" i="19"/>
  <c r="T233" i="19"/>
  <c r="T705" i="19"/>
  <c r="T69" i="19"/>
  <c r="T572" i="19"/>
  <c r="T333" i="19"/>
  <c r="T97" i="19"/>
  <c r="T155" i="19"/>
  <c r="T317" i="19"/>
  <c r="T442" i="19"/>
  <c r="T107" i="19"/>
  <c r="T34" i="19"/>
  <c r="T645" i="19"/>
  <c r="T655" i="19"/>
  <c r="T71" i="19"/>
  <c r="T606" i="19"/>
  <c r="T767" i="19"/>
  <c r="T54" i="19"/>
  <c r="T383" i="19"/>
  <c r="T338" i="19"/>
  <c r="T443" i="19"/>
  <c r="T229" i="19"/>
  <c r="T80" i="19"/>
  <c r="T640" i="19"/>
  <c r="T1003" i="19"/>
  <c r="T180" i="19"/>
  <c r="T126" i="19"/>
  <c r="T513" i="19"/>
  <c r="T773" i="19"/>
  <c r="T494" i="19"/>
  <c r="T165" i="19"/>
  <c r="T524" i="19"/>
  <c r="T573" i="19"/>
  <c r="T1015" i="19"/>
  <c r="T941" i="19"/>
  <c r="T592" i="19"/>
  <c r="T651" i="19"/>
  <c r="T377" i="19"/>
  <c r="T439" i="19"/>
  <c r="T196" i="19"/>
  <c r="T1034" i="19"/>
  <c r="T701" i="19"/>
  <c r="T324" i="19"/>
  <c r="T659" i="19"/>
  <c r="T24" i="19"/>
  <c r="T746" i="19"/>
  <c r="T105" i="19"/>
  <c r="T474" i="19"/>
  <c r="T360" i="19"/>
  <c r="T115" i="19"/>
  <c r="T136" i="19"/>
  <c r="T416" i="19"/>
  <c r="T859" i="19"/>
  <c r="T725" i="19"/>
  <c r="T182" i="19"/>
  <c r="T306" i="19"/>
  <c r="T644" i="19"/>
  <c r="T374" i="19"/>
  <c r="T990" i="19"/>
  <c r="T11" i="19"/>
  <c r="T26" i="19"/>
  <c r="T779" i="19"/>
  <c r="T657" i="19"/>
  <c r="T326" i="19"/>
  <c r="T690" i="19"/>
  <c r="T927" i="19"/>
  <c r="T49" i="19"/>
  <c r="T528" i="19"/>
  <c r="T393" i="19"/>
  <c r="T821" i="19"/>
  <c r="T13" i="19"/>
  <c r="T192" i="19"/>
  <c r="T391" i="19"/>
  <c r="T268" i="19"/>
  <c r="T74" i="19"/>
  <c r="T108" i="19"/>
  <c r="T943" i="19"/>
  <c r="T808" i="19"/>
  <c r="T720" i="19"/>
  <c r="T831" i="19"/>
  <c r="T949" i="19"/>
  <c r="T408" i="19"/>
  <c r="T610" i="19"/>
  <c r="T106" i="19"/>
  <c r="T998" i="19"/>
  <c r="T154" i="19"/>
  <c r="T812" i="19"/>
  <c r="T687" i="19"/>
  <c r="T425" i="19"/>
  <c r="T392" i="19"/>
  <c r="T99" i="19"/>
  <c r="T240" i="19"/>
  <c r="T733" i="19"/>
  <c r="T828" i="19"/>
  <c r="T46" i="19"/>
  <c r="T558" i="19"/>
  <c r="T947" i="19"/>
  <c r="T454" i="19"/>
  <c r="T133" i="19"/>
  <c r="T547" i="19"/>
  <c r="T234" i="19"/>
  <c r="T379" i="19"/>
  <c r="T863" i="19"/>
  <c r="T873" i="19"/>
  <c r="T109" i="19"/>
  <c r="T529" i="19"/>
  <c r="T344" i="19"/>
  <c r="T650" i="19"/>
  <c r="T860" i="19"/>
  <c r="T457" i="19"/>
  <c r="T699" i="19"/>
  <c r="T663" i="19"/>
  <c r="T369" i="19"/>
  <c r="T261" i="19"/>
  <c r="T263" i="19"/>
  <c r="T438" i="19"/>
  <c r="T751" i="19"/>
  <c r="T475" i="19"/>
  <c r="T479" i="19"/>
  <c r="T964" i="19"/>
  <c r="T1038" i="19"/>
  <c r="T618" i="19"/>
  <c r="T932" i="19"/>
  <c r="T1026" i="19"/>
  <c r="T562" i="19"/>
  <c r="T792" i="19"/>
  <c r="T593" i="19"/>
  <c r="T764" i="19"/>
  <c r="T783" i="19"/>
  <c r="T785" i="19"/>
  <c r="T931" i="19"/>
  <c r="T566" i="19"/>
  <c r="T460" i="19"/>
  <c r="T462" i="19"/>
  <c r="T312" i="19"/>
  <c r="T661" i="19"/>
  <c r="T503" i="19"/>
  <c r="T564" i="19"/>
  <c r="T753" i="19"/>
  <c r="T581" i="19"/>
  <c r="T838" i="19"/>
  <c r="T323" i="19"/>
  <c r="T922" i="19"/>
  <c r="T994" i="19"/>
  <c r="T38" i="19"/>
  <c r="T227" i="19"/>
  <c r="T758" i="19"/>
  <c r="T119" i="19"/>
  <c r="T806" i="19"/>
  <c r="T45" i="19"/>
  <c r="T723" i="19"/>
  <c r="T472" i="19"/>
  <c r="T66" i="19"/>
  <c r="T540" i="19"/>
  <c r="T480" i="19"/>
  <c r="T1011" i="19"/>
  <c r="T490" i="19"/>
  <c r="T567" i="19"/>
  <c r="T542" i="19"/>
  <c r="T434" i="19"/>
  <c r="W66" i="18"/>
  <c r="W7" i="18"/>
  <c r="W109" i="18"/>
  <c r="W57" i="18"/>
  <c r="W154" i="18"/>
  <c r="W240" i="18"/>
  <c r="W21" i="18"/>
  <c r="W19" i="18"/>
  <c r="W74" i="18"/>
  <c r="W60" i="18"/>
  <c r="W172" i="18"/>
  <c r="W242" i="18"/>
  <c r="W90" i="18"/>
  <c r="W183" i="18"/>
  <c r="W209" i="18"/>
  <c r="W145" i="18"/>
  <c r="W72" i="18"/>
  <c r="W200" i="18"/>
  <c r="W14" i="18"/>
  <c r="W236" i="18"/>
  <c r="W189" i="18"/>
  <c r="W50" i="18"/>
  <c r="W152" i="18"/>
  <c r="W255" i="18"/>
  <c r="W173" i="18"/>
  <c r="W208" i="18"/>
  <c r="W205" i="18"/>
  <c r="W98" i="18"/>
  <c r="W178" i="18"/>
  <c r="W94" i="18"/>
  <c r="W143" i="18"/>
  <c r="W273" i="18"/>
  <c r="W199" i="18"/>
  <c r="W267" i="18"/>
  <c r="W140" i="18"/>
  <c r="W40" i="18"/>
  <c r="W75" i="18"/>
  <c r="W130" i="18"/>
  <c r="W37" i="18"/>
  <c r="W106" i="18"/>
  <c r="W241" i="18"/>
  <c r="W42" i="18"/>
  <c r="W68" i="18"/>
  <c r="W35" i="18"/>
  <c r="W230" i="18"/>
  <c r="W217" i="18"/>
  <c r="W107" i="18"/>
  <c r="W243" i="18"/>
  <c r="W138" i="18"/>
  <c r="W141" i="18"/>
  <c r="W262" i="18"/>
  <c r="W126" i="18"/>
  <c r="W167" i="18"/>
  <c r="W39" i="18"/>
  <c r="W232" i="18"/>
  <c r="W264" i="18"/>
  <c r="W155" i="18"/>
  <c r="W96" i="18"/>
  <c r="T65" i="19"/>
  <c r="T359" i="19"/>
  <c r="T737" i="19"/>
  <c r="T81" i="19"/>
  <c r="T451" i="19"/>
  <c r="T340" i="19"/>
  <c r="T124" i="19"/>
  <c r="T35" i="19"/>
  <c r="T417" i="19"/>
  <c r="T195" i="19"/>
  <c r="T532" i="19"/>
  <c r="T518" i="19"/>
  <c r="T888" i="19"/>
  <c r="T388" i="19"/>
  <c r="T128" i="19"/>
  <c r="T847" i="19"/>
  <c r="T375" i="19"/>
  <c r="T595" i="19"/>
  <c r="T267" i="19"/>
  <c r="T497" i="19"/>
  <c r="T188" i="19"/>
  <c r="T111" i="19"/>
  <c r="T911" i="19"/>
  <c r="T426" i="19"/>
  <c r="T380" i="19"/>
  <c r="T243" i="19"/>
  <c r="T150" i="19"/>
  <c r="T365" i="19"/>
  <c r="T950" i="19"/>
  <c r="T774" i="19"/>
  <c r="T384" i="19"/>
  <c r="T431" i="19"/>
  <c r="T193" i="19"/>
  <c r="T280" i="19"/>
  <c r="T96" i="19"/>
  <c r="T265" i="19"/>
  <c r="T636" i="19"/>
  <c r="T78" i="19"/>
  <c r="T827" i="19"/>
  <c r="T286" i="19"/>
  <c r="T163" i="19"/>
  <c r="T879" i="19"/>
  <c r="T104" i="19"/>
  <c r="T749" i="19"/>
  <c r="T757" i="19"/>
  <c r="T800" i="19"/>
  <c r="T88" i="19"/>
  <c r="T488" i="19"/>
  <c r="T709" i="19"/>
  <c r="T582" i="19"/>
  <c r="T799" i="19"/>
  <c r="T901" i="19"/>
  <c r="T98" i="19"/>
  <c r="T662" i="19"/>
  <c r="T430" i="19"/>
  <c r="T600" i="19"/>
  <c r="T332" i="19"/>
  <c r="T466" i="19"/>
  <c r="T210" i="19"/>
  <c r="T221" i="19"/>
  <c r="T676" i="19"/>
  <c r="T118" i="19"/>
  <c r="T179" i="19"/>
  <c r="T6" i="19"/>
  <c r="T649" i="19"/>
  <c r="T166" i="19"/>
  <c r="T491" i="19"/>
  <c r="T900" i="19"/>
  <c r="T224" i="19"/>
  <c r="T589" i="19"/>
  <c r="T839" i="19"/>
  <c r="T594" i="19"/>
  <c r="T935" i="19"/>
  <c r="T252" i="19"/>
  <c r="T781" i="19"/>
  <c r="T90" i="19"/>
  <c r="T489" i="19"/>
  <c r="T541" i="19"/>
  <c r="T29" i="19"/>
  <c r="T537" i="19"/>
  <c r="T279" i="19"/>
  <c r="T729" i="19"/>
  <c r="T788" i="19"/>
  <c r="T766" i="19"/>
  <c r="T313" i="19"/>
  <c r="T171" i="19"/>
  <c r="T370" i="19"/>
  <c r="T445" i="19"/>
  <c r="T40" i="19"/>
  <c r="T127" i="19"/>
  <c r="T461" i="19"/>
  <c r="T905" i="19"/>
  <c r="T348" i="19"/>
  <c r="T449" i="19"/>
  <c r="T511" i="19"/>
  <c r="T362" i="19"/>
  <c r="T711" i="19"/>
  <c r="T724" i="19"/>
  <c r="T974" i="19"/>
  <c r="T361" i="19"/>
  <c r="T464" i="19"/>
  <c r="T539" i="19"/>
  <c r="T144" i="19"/>
  <c r="T207" i="19"/>
  <c r="T978" i="19"/>
  <c r="T601" i="19"/>
  <c r="T615" i="19"/>
  <c r="T39" i="19"/>
  <c r="T695" i="19"/>
  <c r="T966" i="19"/>
  <c r="T101" i="19"/>
  <c r="T436" i="19"/>
  <c r="T591" i="19"/>
  <c r="T404" i="19"/>
  <c r="T12" i="19"/>
  <c r="T782" i="19"/>
  <c r="T844" i="19"/>
  <c r="T680" i="19"/>
  <c r="T906" i="19"/>
  <c r="T970" i="19"/>
  <c r="T787" i="19"/>
  <c r="T53" i="19"/>
  <c r="T330" i="19"/>
  <c r="T70" i="19"/>
  <c r="T765" i="19"/>
  <c r="T630" i="19"/>
  <c r="T571" i="19"/>
  <c r="T72" i="19"/>
  <c r="T247" i="19"/>
  <c r="T980" i="19"/>
  <c r="T583" i="19"/>
  <c r="T410" i="19"/>
  <c r="T476" i="19"/>
  <c r="T694" i="19"/>
  <c r="T345" i="19"/>
  <c r="T459" i="19"/>
  <c r="T786" i="19"/>
  <c r="T278" i="19"/>
  <c r="T346" i="19"/>
  <c r="T861" i="19"/>
  <c r="T120" i="19"/>
  <c r="T17" i="19"/>
  <c r="T804" i="19"/>
  <c r="T575" i="19"/>
  <c r="T588" i="19"/>
  <c r="T89" i="19"/>
  <c r="T897" i="19"/>
  <c r="T820" i="19"/>
  <c r="T386" i="19"/>
  <c r="T777" i="19"/>
  <c r="T91" i="19"/>
  <c r="T270" i="19"/>
  <c r="T79" i="19"/>
  <c r="T735" i="19"/>
  <c r="T957" i="19"/>
  <c r="T7" i="19"/>
  <c r="T552" i="19"/>
  <c r="T704" i="19"/>
  <c r="T520" i="19"/>
  <c r="T557" i="19"/>
  <c r="T770" i="19"/>
  <c r="T603" i="19"/>
  <c r="T137" i="19"/>
  <c r="T688" i="19"/>
  <c r="T27" i="19"/>
  <c r="T671" i="19"/>
  <c r="T205" i="19"/>
  <c r="T937" i="19"/>
  <c r="T366" i="19"/>
  <c r="T315" i="19"/>
  <c r="T269" i="19"/>
  <c r="T469" i="19"/>
  <c r="T486" i="19"/>
  <c r="T191" i="19"/>
  <c r="T666" i="19"/>
  <c r="T409" i="19"/>
  <c r="T290" i="19"/>
  <c r="T616" i="19"/>
  <c r="T116" i="19"/>
  <c r="T633" i="19"/>
  <c r="T31" i="19"/>
  <c r="T734" i="19"/>
  <c r="T955" i="19"/>
  <c r="T157" i="19"/>
  <c r="T254" i="19"/>
  <c r="T63" i="19"/>
  <c r="T1000" i="19"/>
  <c r="T902" i="19"/>
  <c r="T721" i="19"/>
  <c r="T642" i="19"/>
  <c r="T689" i="19"/>
  <c r="T373" i="19"/>
  <c r="T363" i="19"/>
  <c r="T551" i="19"/>
  <c r="W215" i="18"/>
  <c r="W114" i="18"/>
  <c r="W263" i="18"/>
  <c r="W270" i="18"/>
  <c r="W188" i="18"/>
  <c r="W49" i="18"/>
  <c r="W133" i="18"/>
  <c r="W207" i="18"/>
  <c r="W112" i="18"/>
  <c r="W104" i="18"/>
  <c r="W226" i="18"/>
  <c r="W216" i="18"/>
  <c r="W160" i="18"/>
  <c r="W63" i="18"/>
  <c r="W71" i="18"/>
  <c r="W137" i="18"/>
  <c r="W47" i="18"/>
  <c r="W204" i="18"/>
  <c r="W28" i="18"/>
  <c r="W206" i="18"/>
  <c r="W108" i="18"/>
  <c r="W11" i="18"/>
  <c r="W115" i="18"/>
  <c r="W117" i="18"/>
  <c r="W139" i="18"/>
  <c r="W244" i="18"/>
  <c r="W135" i="18"/>
  <c r="W254" i="18"/>
  <c r="W22" i="18"/>
  <c r="W113" i="18"/>
  <c r="W257" i="18"/>
  <c r="W271" i="18"/>
  <c r="W20" i="18"/>
  <c r="W186" i="18"/>
  <c r="W211" i="18"/>
  <c r="W191" i="18"/>
  <c r="W248" i="18"/>
  <c r="W102" i="18"/>
  <c r="W128" i="18"/>
  <c r="W89" i="18"/>
  <c r="W121" i="18"/>
  <c r="W272" i="18"/>
  <c r="W218" i="18"/>
  <c r="W185" i="18"/>
  <c r="W259" i="18"/>
  <c r="W166" i="18"/>
  <c r="W149" i="18"/>
  <c r="W233" i="18"/>
  <c r="W158" i="18"/>
  <c r="W187" i="18"/>
  <c r="W197" i="18"/>
  <c r="W58" i="18"/>
  <c r="W253" i="18"/>
  <c r="W34" i="18"/>
  <c r="W231" i="18"/>
  <c r="W249" i="18"/>
  <c r="W18" i="18"/>
  <c r="T526" i="19"/>
  <c r="T357" i="19"/>
  <c r="T382" i="19"/>
  <c r="T778" i="19"/>
  <c r="T933" i="19"/>
  <c r="T448" i="19"/>
  <c r="T954" i="19"/>
  <c r="T246" i="19"/>
  <c r="T653" i="19"/>
  <c r="T245" i="19"/>
  <c r="T238" i="19"/>
  <c r="T681" i="19"/>
  <c r="T415" i="19"/>
  <c r="T328" i="19"/>
  <c r="T167" i="19"/>
  <c r="T255" i="19"/>
  <c r="T1021" i="19"/>
  <c r="T413" i="19"/>
  <c r="T1012" i="19"/>
  <c r="T132" i="19"/>
  <c r="T577" i="19"/>
  <c r="T492" i="19"/>
  <c r="T561" i="19"/>
  <c r="T347" i="19"/>
  <c r="T574" i="19"/>
  <c r="T921" i="19"/>
  <c r="T586" i="19"/>
  <c r="T487" i="19"/>
  <c r="T830" i="19"/>
  <c r="T213" i="19"/>
  <c r="T242" i="19"/>
  <c r="T569" i="19"/>
  <c r="T810" i="19"/>
  <c r="T891" i="19"/>
  <c r="T222" i="19"/>
  <c r="T467" i="19"/>
  <c r="T550" i="19"/>
  <c r="T739" i="19"/>
  <c r="T225" i="19"/>
  <c r="T848" i="19"/>
  <c r="T125" i="19"/>
  <c r="T403" i="19"/>
  <c r="T260" i="19"/>
  <c r="T48" i="19"/>
  <c r="T568" i="19"/>
  <c r="T611" i="19"/>
  <c r="T113" i="19"/>
  <c r="T763" i="19"/>
  <c r="T596" i="19"/>
  <c r="T226" i="19"/>
  <c r="T793" i="19"/>
  <c r="T496" i="19"/>
  <c r="T367" i="19"/>
  <c r="T22" i="19"/>
  <c r="T381" i="19"/>
  <c r="T153" i="19"/>
  <c r="T21" i="19"/>
  <c r="T407" i="19"/>
  <c r="T590" i="19"/>
  <c r="T368" i="19"/>
  <c r="T883" i="19"/>
  <c r="T352" i="19"/>
  <c r="T1002" i="19"/>
  <c r="T675" i="19"/>
  <c r="T731" i="19"/>
  <c r="T846" i="19"/>
  <c r="T967" i="19"/>
  <c r="T23" i="19"/>
  <c r="T706" i="19"/>
  <c r="T203" i="19"/>
  <c r="T624" i="19"/>
  <c r="T33" i="19"/>
  <c r="T123" i="19"/>
  <c r="T122" i="19"/>
  <c r="T215" i="19"/>
  <c r="T823" i="19"/>
  <c r="T556" i="19"/>
  <c r="T209" i="19"/>
  <c r="T16" i="19"/>
  <c r="T216" i="19"/>
  <c r="T607" i="19"/>
  <c r="T628" i="19"/>
  <c r="T446" i="19"/>
  <c r="T93" i="19"/>
  <c r="T1039" i="19"/>
  <c r="T1016" i="19"/>
  <c r="T1020" i="19"/>
  <c r="T256" i="19"/>
  <c r="T353" i="19"/>
  <c r="T565" i="19"/>
  <c r="T322" i="19"/>
  <c r="T308" i="19"/>
  <c r="T427" i="19"/>
  <c r="T515" i="19"/>
  <c r="T59" i="19"/>
  <c r="T406" i="19"/>
  <c r="T435" i="19"/>
  <c r="T4" i="19"/>
  <c r="T257" i="19"/>
  <c r="T535" i="19"/>
  <c r="T378" i="19"/>
  <c r="T801" i="19"/>
  <c r="T156" i="19"/>
  <c r="T87" i="19"/>
  <c r="T843" i="19"/>
  <c r="T632" i="19"/>
  <c r="T37" i="19"/>
  <c r="T631" i="19"/>
  <c r="T159" i="19"/>
  <c r="T743" i="19"/>
  <c r="T329" i="19"/>
  <c r="T776" i="19"/>
  <c r="T889" i="19"/>
  <c r="T208" i="19"/>
  <c r="T470" i="19"/>
  <c r="T318" i="19"/>
  <c r="T747" i="19"/>
  <c r="T458" i="19"/>
  <c r="T502" i="19"/>
  <c r="T605" i="19"/>
  <c r="T1017" i="19"/>
  <c r="T314" i="19"/>
  <c r="T919" i="19"/>
  <c r="T864" i="19"/>
  <c r="T390" i="19"/>
  <c r="T178" i="19"/>
  <c r="T10" i="19"/>
  <c r="T68" i="19"/>
  <c r="T307" i="19"/>
  <c r="T534" i="19"/>
  <c r="T981" i="19"/>
  <c r="T258" i="19"/>
  <c r="T237" i="19"/>
  <c r="T405" i="19"/>
  <c r="T356" i="19"/>
  <c r="T560" i="19"/>
  <c r="T484" i="19"/>
  <c r="T143" i="19"/>
  <c r="T168" i="19"/>
  <c r="T170" i="19"/>
  <c r="T745" i="19"/>
  <c r="T1029" i="19"/>
  <c r="T857" i="19"/>
  <c r="T929" i="19"/>
  <c r="T83" i="19"/>
  <c r="T453" i="19"/>
  <c r="T57" i="19"/>
  <c r="T28" i="19"/>
  <c r="T342" i="19"/>
  <c r="T517" i="19"/>
  <c r="T217" i="19"/>
  <c r="T349" i="19"/>
  <c r="T500" i="19"/>
  <c r="T772" i="19"/>
  <c r="T802" i="19"/>
  <c r="T945" i="19"/>
  <c r="T444" i="19"/>
  <c r="T305" i="19"/>
  <c r="T164" i="19"/>
  <c r="T64" i="19"/>
  <c r="T177" i="19"/>
  <c r="T298" i="19"/>
  <c r="T510" i="19"/>
  <c r="T228" i="19"/>
  <c r="T401" i="19"/>
  <c r="T674" i="19"/>
  <c r="T485" i="19"/>
  <c r="T9" i="19"/>
  <c r="T316" i="19"/>
  <c r="T499" i="19"/>
  <c r="T84" i="19"/>
  <c r="T892" i="19"/>
  <c r="T585" i="19"/>
  <c r="T719" i="19"/>
  <c r="T235" i="19"/>
  <c r="T604" i="19"/>
  <c r="T545" i="19"/>
  <c r="T718" i="19"/>
  <c r="T946" i="19"/>
  <c r="T759" i="19"/>
  <c r="T325" i="19"/>
  <c r="T230" i="19"/>
  <c r="T414" i="19"/>
  <c r="T748" i="19"/>
  <c r="T204" i="19"/>
  <c r="T869" i="19"/>
  <c r="T320" i="19"/>
  <c r="T309" i="19"/>
  <c r="T1031" i="19"/>
  <c r="T498" i="19"/>
  <c r="T878" i="19"/>
  <c r="T67" i="19"/>
  <c r="T578" i="19"/>
  <c r="T402" i="19"/>
  <c r="T983" i="19"/>
  <c r="T824" i="19"/>
  <c r="T432" i="19"/>
  <c r="T289" i="19"/>
  <c r="W105" i="18"/>
  <c r="W194" i="18"/>
  <c r="W177" i="18"/>
  <c r="W73" i="18"/>
  <c r="W79" i="18"/>
  <c r="W146" i="18"/>
  <c r="W29" i="18"/>
  <c r="W118" i="18"/>
  <c r="W153" i="18"/>
  <c r="W65" i="18"/>
  <c r="W219" i="18"/>
  <c r="W24" i="18"/>
  <c r="W148" i="18"/>
  <c r="W87" i="18"/>
  <c r="W258" i="18"/>
  <c r="W61" i="18"/>
  <c r="W55" i="18"/>
  <c r="W13" i="18"/>
  <c r="W163" i="18"/>
  <c r="W31" i="18"/>
  <c r="W103" i="18"/>
  <c r="W201" i="18"/>
  <c r="W176" i="18"/>
  <c r="W92" i="18"/>
  <c r="W169" i="18"/>
  <c r="W165" i="18"/>
  <c r="W44" i="18"/>
  <c r="W86" i="18"/>
  <c r="W91" i="18"/>
  <c r="W144" i="18"/>
  <c r="W182" i="18"/>
  <c r="W33" i="18"/>
  <c r="W210" i="18"/>
  <c r="W69" i="18"/>
  <c r="W193" i="18"/>
  <c r="W81" i="18"/>
  <c r="W62" i="18"/>
  <c r="W147" i="18"/>
  <c r="W84" i="18"/>
  <c r="W52" i="18"/>
  <c r="W134" i="18"/>
  <c r="W192" i="18"/>
  <c r="W151" i="18"/>
  <c r="W214" i="18"/>
  <c r="W43" i="18"/>
  <c r="W239" i="18"/>
  <c r="W184" i="18"/>
  <c r="W180" i="18"/>
  <c r="W212" i="18"/>
  <c r="W261" i="18"/>
  <c r="W95" i="18"/>
  <c r="W170" i="18"/>
  <c r="W5" i="18"/>
  <c r="W132" i="18"/>
  <c r="W85" i="18"/>
  <c r="W32" i="18"/>
  <c r="W157" i="18"/>
  <c r="A6" i="1"/>
  <c r="C5" i="1"/>
  <c r="E5" i="1"/>
  <c r="D5" i="1"/>
  <c r="B5" i="1"/>
  <c r="A7" i="1" l="1"/>
  <c r="C6" i="1"/>
  <c r="E6" i="1"/>
  <c r="D6" i="1"/>
  <c r="B6" i="1"/>
  <c r="A8" i="1" l="1"/>
  <c r="C7" i="1"/>
  <c r="E7" i="1"/>
  <c r="D7" i="1"/>
  <c r="B7" i="1"/>
  <c r="A9" i="1" l="1"/>
  <c r="C8" i="1"/>
  <c r="E8" i="1"/>
  <c r="D8" i="1"/>
  <c r="B8" i="1"/>
  <c r="A10" i="1" l="1"/>
  <c r="E9" i="1"/>
  <c r="C9" i="1"/>
  <c r="B9" i="1"/>
  <c r="D9" i="1"/>
  <c r="A11" i="1" l="1"/>
  <c r="E10" i="1"/>
  <c r="C10" i="1"/>
  <c r="B10" i="1"/>
  <c r="D10" i="1"/>
  <c r="A12" i="1" l="1"/>
  <c r="E11" i="1"/>
  <c r="D11" i="1"/>
  <c r="C11" i="1"/>
  <c r="B11" i="1"/>
  <c r="A13" i="1" l="1"/>
  <c r="E13" i="1" s="1"/>
  <c r="B12" i="1"/>
  <c r="E12" i="1"/>
  <c r="C12" i="1"/>
  <c r="D12" i="1"/>
  <c r="B13" i="1" l="1"/>
  <c r="D13" i="1"/>
  <c r="C13" i="1"/>
  <c r="A14" i="1"/>
  <c r="A15" i="1" l="1"/>
  <c r="B14" i="1"/>
  <c r="C14" i="1"/>
  <c r="D14" i="1"/>
  <c r="E14" i="1"/>
  <c r="D15" i="1" l="1"/>
  <c r="A16" i="1"/>
  <c r="C15" i="1"/>
  <c r="E15" i="1"/>
  <c r="B15" i="1"/>
  <c r="A17" i="1" l="1"/>
  <c r="D16" i="1"/>
  <c r="E16" i="1"/>
  <c r="C16" i="1"/>
  <c r="B16" i="1"/>
  <c r="A18" i="1" l="1"/>
  <c r="E17" i="1"/>
  <c r="D17" i="1"/>
  <c r="B17" i="1"/>
  <c r="C17" i="1"/>
  <c r="A19" i="1" l="1"/>
  <c r="B18" i="1"/>
  <c r="C18" i="1"/>
  <c r="D18" i="1"/>
  <c r="E18" i="1"/>
  <c r="A20" i="1" l="1"/>
  <c r="Y17" i="14" s="1"/>
  <c r="E19" i="1"/>
  <c r="D19" i="1"/>
  <c r="C19" i="1"/>
  <c r="B19" i="1"/>
  <c r="AI8" i="14"/>
  <c r="AI15" i="14"/>
  <c r="Z14" i="14"/>
  <c r="X14" i="14"/>
  <c r="Z2" i="14"/>
  <c r="Y10" i="14"/>
  <c r="N13" i="14"/>
  <c r="M14" i="14"/>
  <c r="N16" i="14"/>
  <c r="AN6" i="14"/>
  <c r="N4" i="14"/>
  <c r="AB5" i="14"/>
  <c r="AI14" i="14"/>
  <c r="X12" i="14"/>
  <c r="X7" i="14"/>
  <c r="M11" i="14"/>
  <c r="Y4" i="14"/>
  <c r="AN10" i="14"/>
  <c r="Z5" i="14"/>
  <c r="AB16" i="14"/>
  <c r="Z16" i="14"/>
  <c r="X5" i="14"/>
  <c r="AB9" i="14"/>
  <c r="AI17" i="14"/>
  <c r="Y3" i="14"/>
  <c r="Y8" i="14"/>
  <c r="AN13" i="14"/>
  <c r="M4" i="14"/>
  <c r="X9" i="14"/>
  <c r="AN7" i="14"/>
  <c r="M9" i="14"/>
  <c r="Z3" i="14"/>
  <c r="Y5" i="14"/>
  <c r="AI7" i="14"/>
  <c r="AB8" i="14"/>
  <c r="AN17" i="14"/>
  <c r="Y6" i="14"/>
  <c r="Z12" i="14"/>
  <c r="X2" i="14"/>
  <c r="AI2" i="14"/>
  <c r="Z13" i="14"/>
  <c r="M16" i="14"/>
  <c r="M8" i="14"/>
  <c r="AI16" i="14"/>
  <c r="AB4" i="14"/>
  <c r="M6" i="14"/>
  <c r="Z11" i="14"/>
  <c r="Y16" i="14"/>
  <c r="AN14" i="14"/>
  <c r="AN8" i="14"/>
  <c r="AB10" i="14"/>
  <c r="X8" i="14"/>
  <c r="AN2" i="14"/>
  <c r="AI4" i="14"/>
  <c r="AI11" i="14"/>
  <c r="N9" i="14"/>
  <c r="Z9" i="14"/>
  <c r="AN16" i="14"/>
  <c r="Y11" i="14"/>
  <c r="X3" i="14"/>
  <c r="M7" i="14"/>
  <c r="M15" i="14"/>
  <c r="Z6" i="14"/>
  <c r="AI6" i="14"/>
  <c r="AI3" i="14"/>
  <c r="X6" i="14"/>
  <c r="Y2" i="14"/>
  <c r="Y14" i="14"/>
  <c r="AN9" i="14"/>
  <c r="N8" i="14"/>
  <c r="N14" i="14"/>
  <c r="AB13" i="14"/>
  <c r="X4" i="14"/>
  <c r="N11" i="14"/>
  <c r="AI9" i="14"/>
  <c r="AB11" i="14"/>
  <c r="Z4" i="14"/>
  <c r="AN11" i="14"/>
  <c r="AN15" i="14"/>
  <c r="X10" i="14"/>
  <c r="Y12" i="14"/>
  <c r="N2" i="14"/>
  <c r="AI10" i="14"/>
  <c r="X11" i="14"/>
  <c r="AB6" i="14"/>
  <c r="AB12" i="14"/>
  <c r="Z15" i="14"/>
  <c r="Z7" i="14"/>
  <c r="N10" i="14"/>
  <c r="N3" i="14"/>
  <c r="AN12" i="14"/>
  <c r="AB14" i="14"/>
  <c r="X16" i="14"/>
  <c r="N5" i="14"/>
  <c r="AB3" i="14"/>
  <c r="AI12" i="14"/>
  <c r="M5" i="14"/>
  <c r="Y13" i="14"/>
  <c r="N12" i="14"/>
  <c r="X13" i="14"/>
  <c r="N6" i="14"/>
  <c r="M3" i="14"/>
  <c r="AB7" i="14"/>
  <c r="Y15" i="14"/>
  <c r="X15" i="14"/>
  <c r="AB15" i="14"/>
  <c r="AI13" i="14"/>
  <c r="Y7" i="14"/>
  <c r="N7" i="14"/>
  <c r="M10" i="14"/>
  <c r="M2" i="14"/>
  <c r="M12" i="14"/>
  <c r="Z10" i="14"/>
  <c r="Y9" i="14"/>
  <c r="AN5" i="14"/>
  <c r="AB2" i="14"/>
  <c r="AI5" i="14"/>
  <c r="M13" i="14"/>
  <c r="N15" i="14"/>
  <c r="AN4" i="14"/>
  <c r="AN3" i="14"/>
  <c r="Z8" i="14"/>
  <c r="M17" i="14" l="1"/>
  <c r="X17" i="14"/>
  <c r="Z17" i="14"/>
  <c r="AB17" i="14"/>
  <c r="N17" i="14"/>
  <c r="A21" i="1"/>
  <c r="B20" i="1"/>
  <c r="D20" i="1"/>
  <c r="E20" i="1"/>
  <c r="C20" i="1"/>
  <c r="AA15" i="14"/>
  <c r="W16" i="14"/>
  <c r="AA9" i="14"/>
  <c r="W9" i="14"/>
  <c r="AA11" i="14"/>
  <c r="W10" i="14"/>
  <c r="AA14" i="14"/>
  <c r="W3" i="14"/>
  <c r="AA12" i="14"/>
  <c r="AA13" i="14"/>
  <c r="AA6" i="14"/>
  <c r="AA16" i="14"/>
  <c r="AA7" i="14"/>
  <c r="AA4" i="14"/>
  <c r="AA10" i="14"/>
  <c r="W12" i="14"/>
  <c r="W13" i="14"/>
  <c r="W15" i="14"/>
  <c r="AA17" i="14"/>
  <c r="W17" i="14"/>
  <c r="W11" i="14"/>
  <c r="W14" i="14"/>
  <c r="AA3" i="14"/>
  <c r="W4" i="14"/>
  <c r="W2" i="14"/>
  <c r="AA8" i="14"/>
  <c r="AA2" i="14"/>
  <c r="W6" i="14"/>
  <c r="AA5" i="14"/>
  <c r="W5" i="14"/>
  <c r="W7" i="14"/>
  <c r="W8" i="14"/>
  <c r="AO2" i="14"/>
  <c r="AO10" i="14"/>
  <c r="AO6" i="14"/>
  <c r="AO17" i="14"/>
  <c r="AO13" i="14"/>
  <c r="AO3" i="14"/>
  <c r="AO9" i="14"/>
  <c r="AO4" i="14"/>
  <c r="AO15" i="14"/>
  <c r="AO7" i="14"/>
  <c r="AO5" i="14"/>
  <c r="AO16" i="14"/>
  <c r="AO8" i="14"/>
  <c r="AO11" i="14"/>
  <c r="AO14" i="14"/>
  <c r="AO12" i="14"/>
  <c r="R8" i="14" l="1"/>
  <c r="Q8" i="14"/>
  <c r="P8" i="14"/>
  <c r="R4" i="14"/>
  <c r="Q4" i="14"/>
  <c r="P4" i="14"/>
  <c r="Q2" i="14"/>
  <c r="P2" i="14"/>
  <c r="R2" i="14"/>
  <c r="R3" i="14"/>
  <c r="Q3" i="14"/>
  <c r="P3" i="14"/>
  <c r="R17" i="14"/>
  <c r="P17" i="14"/>
  <c r="Q17" i="14"/>
  <c r="Q10" i="14"/>
  <c r="R10" i="14"/>
  <c r="P10" i="14"/>
  <c r="R6" i="14"/>
  <c r="Q6" i="14"/>
  <c r="P6" i="14"/>
  <c r="Q14" i="14"/>
  <c r="R14" i="14"/>
  <c r="P14" i="14"/>
  <c r="R9" i="14"/>
  <c r="Q9" i="14"/>
  <c r="P9" i="14"/>
  <c r="R13" i="14"/>
  <c r="P13" i="14"/>
  <c r="Q13" i="14"/>
  <c r="R5" i="14"/>
  <c r="Q5" i="14"/>
  <c r="P5" i="14"/>
  <c r="R7" i="14"/>
  <c r="Q7" i="14"/>
  <c r="P7" i="14"/>
  <c r="R12" i="14"/>
  <c r="Q12" i="14"/>
  <c r="P12" i="14"/>
  <c r="R11" i="14"/>
  <c r="Q11" i="14"/>
  <c r="P11" i="14"/>
  <c r="R15" i="14"/>
  <c r="Q15" i="14"/>
  <c r="P15" i="14"/>
  <c r="R16" i="14"/>
  <c r="Q16" i="14"/>
  <c r="P16" i="14"/>
  <c r="A22" i="1"/>
  <c r="C21" i="1"/>
  <c r="B21" i="1"/>
  <c r="E21" i="1"/>
  <c r="D21" i="1"/>
  <c r="X19" i="14"/>
  <c r="Y18" i="14"/>
  <c r="X18" i="14"/>
  <c r="AN18" i="14"/>
  <c r="AB18" i="14"/>
  <c r="AB19" i="14"/>
  <c r="AI18" i="14"/>
  <c r="AI19" i="14"/>
  <c r="M18" i="14"/>
  <c r="AN19" i="14"/>
  <c r="N18" i="14"/>
  <c r="Z18" i="14"/>
  <c r="M19" i="14"/>
  <c r="Y19" i="14"/>
  <c r="N19" i="14"/>
  <c r="Z19" i="14"/>
  <c r="O4" i="14" l="1"/>
  <c r="AA18" i="14"/>
  <c r="AA19" i="14"/>
  <c r="W18" i="14"/>
  <c r="W19" i="14"/>
  <c r="D22" i="1"/>
  <c r="C22" i="1"/>
  <c r="E22" i="1"/>
  <c r="A23" i="1"/>
  <c r="B22" i="1"/>
  <c r="O12" i="14"/>
  <c r="O2" i="14"/>
  <c r="O8" i="14"/>
  <c r="O14" i="14"/>
  <c r="O7" i="14"/>
  <c r="O3" i="14"/>
  <c r="O17" i="14"/>
  <c r="O10" i="14"/>
  <c r="O15" i="14"/>
  <c r="O13" i="14"/>
  <c r="O9" i="14"/>
  <c r="O5" i="14"/>
  <c r="O16" i="14"/>
  <c r="O6" i="14"/>
  <c r="O11" i="14"/>
  <c r="AO18" i="14"/>
  <c r="AO19" i="14"/>
  <c r="R19" i="14" l="1"/>
  <c r="Q19" i="14"/>
  <c r="P19" i="14"/>
  <c r="Q18" i="14"/>
  <c r="R18" i="14"/>
  <c r="P18" i="14"/>
  <c r="A24" i="1"/>
  <c r="N21" i="14" s="1"/>
  <c r="E23" i="1"/>
  <c r="D23" i="1"/>
  <c r="C23" i="1"/>
  <c r="B23" i="1"/>
  <c r="X20" i="14"/>
  <c r="M20" i="14"/>
  <c r="AN20" i="14"/>
  <c r="AI20" i="14"/>
  <c r="AB20" i="14"/>
  <c r="Y20" i="14"/>
  <c r="N20" i="14"/>
  <c r="Z20" i="14"/>
  <c r="O18" i="14" l="1"/>
  <c r="O19" i="14"/>
  <c r="W20" i="14"/>
  <c r="AA20" i="14"/>
  <c r="A25" i="1"/>
  <c r="D24" i="1"/>
  <c r="C24" i="1"/>
  <c r="E24" i="1"/>
  <c r="B24" i="1"/>
  <c r="AI21" i="14"/>
  <c r="M21" i="14"/>
  <c r="AO20" i="14"/>
  <c r="AN21" i="14"/>
  <c r="AB21" i="14"/>
  <c r="X21" i="14"/>
  <c r="Z21" i="14"/>
  <c r="Y21" i="14"/>
  <c r="R20" i="14" l="1"/>
  <c r="Q20" i="14"/>
  <c r="P20" i="14"/>
  <c r="W21" i="14"/>
  <c r="AA21" i="14"/>
  <c r="A26" i="1"/>
  <c r="D25" i="1"/>
  <c r="C25" i="1"/>
  <c r="B25" i="1"/>
  <c r="E25" i="1"/>
  <c r="N22" i="14"/>
  <c r="AI22" i="14"/>
  <c r="AI23" i="14"/>
  <c r="X22" i="14"/>
  <c r="AN22" i="14"/>
  <c r="M22" i="14"/>
  <c r="AO21" i="14"/>
  <c r="Z22" i="14"/>
  <c r="AB22" i="14"/>
  <c r="Y22" i="14"/>
  <c r="R21" i="14" l="1"/>
  <c r="Q21" i="14"/>
  <c r="P21" i="14"/>
  <c r="W22" i="14"/>
  <c r="O20" i="14"/>
  <c r="AA22" i="14"/>
  <c r="A27" i="1"/>
  <c r="E26" i="1"/>
  <c r="D26" i="1"/>
  <c r="C26" i="1"/>
  <c r="B26" i="1"/>
  <c r="Y23" i="14"/>
  <c r="N23" i="14"/>
  <c r="AN23" i="14"/>
  <c r="X23" i="14"/>
  <c r="Z23" i="14"/>
  <c r="M23" i="14"/>
  <c r="AB23" i="14"/>
  <c r="AO22" i="14"/>
  <c r="O21" i="14" l="1"/>
  <c r="R22" i="14"/>
  <c r="Q22" i="14"/>
  <c r="P22" i="14"/>
  <c r="W23" i="14"/>
  <c r="AA23" i="14"/>
  <c r="A28" i="1"/>
  <c r="B27" i="1"/>
  <c r="C27" i="1"/>
  <c r="E27" i="1"/>
  <c r="D27" i="1"/>
  <c r="AO23" i="14"/>
  <c r="Y24" i="14"/>
  <c r="X24" i="14"/>
  <c r="AB24" i="14"/>
  <c r="AN24" i="14"/>
  <c r="Z25" i="14"/>
  <c r="AI24" i="14"/>
  <c r="N24" i="14"/>
  <c r="Z24" i="14"/>
  <c r="M24" i="14"/>
  <c r="R23" i="14" l="1"/>
  <c r="Q23" i="14"/>
  <c r="P23" i="14"/>
  <c r="AA24" i="14"/>
  <c r="O22" i="14"/>
  <c r="W24" i="14"/>
  <c r="A29" i="1"/>
  <c r="E28" i="1"/>
  <c r="B28" i="1"/>
  <c r="C28" i="1"/>
  <c r="D28" i="1"/>
  <c r="N25" i="14"/>
  <c r="AI25" i="14"/>
  <c r="M25" i="14"/>
  <c r="AB25" i="14"/>
  <c r="AO24" i="14"/>
  <c r="AN25" i="14"/>
  <c r="Y25" i="14"/>
  <c r="X25" i="14"/>
  <c r="AA25" i="14" l="1"/>
  <c r="R25" i="14" s="1"/>
  <c r="W25" i="14"/>
  <c r="R24" i="14"/>
  <c r="Q24" i="14"/>
  <c r="P24" i="14"/>
  <c r="O23" i="14"/>
  <c r="A30" i="1"/>
  <c r="B29" i="1"/>
  <c r="C29" i="1"/>
  <c r="D29" i="1"/>
  <c r="E29" i="1"/>
  <c r="X26" i="14"/>
  <c r="AN26" i="14"/>
  <c r="AI26" i="14"/>
  <c r="M26" i="14"/>
  <c r="AB26" i="14"/>
  <c r="Z26" i="14"/>
  <c r="Y26" i="14"/>
  <c r="N27" i="14"/>
  <c r="N26" i="14"/>
  <c r="AO25" i="14"/>
  <c r="Q25" i="14" l="1"/>
  <c r="P25" i="14"/>
  <c r="O24" i="14"/>
  <c r="W26" i="14"/>
  <c r="AA26" i="14"/>
  <c r="A31" i="1"/>
  <c r="E30" i="1"/>
  <c r="B30" i="1"/>
  <c r="C30" i="1"/>
  <c r="D30" i="1"/>
  <c r="Z27" i="14"/>
  <c r="AB27" i="14"/>
  <c r="AN27" i="14"/>
  <c r="AI27" i="14"/>
  <c r="Y27" i="14"/>
  <c r="X27" i="14"/>
  <c r="AO26" i="14"/>
  <c r="M27" i="14"/>
  <c r="O25" i="14" l="1"/>
  <c r="Q26" i="14"/>
  <c r="R26" i="14"/>
  <c r="P26" i="14"/>
  <c r="AA27" i="14"/>
  <c r="W27" i="14"/>
  <c r="A32" i="1"/>
  <c r="B31" i="1"/>
  <c r="C31" i="1"/>
  <c r="D31" i="1"/>
  <c r="E31" i="1"/>
  <c r="AO27" i="14"/>
  <c r="R27" i="14" l="1"/>
  <c r="Q27" i="14"/>
  <c r="P27" i="14"/>
  <c r="O26" i="14"/>
  <c r="A33" i="1"/>
  <c r="B32" i="1"/>
  <c r="C32" i="1"/>
  <c r="D32" i="1"/>
  <c r="E32" i="1"/>
  <c r="O27" i="14" l="1"/>
  <c r="A34" i="1"/>
  <c r="E33" i="1"/>
  <c r="B33" i="1"/>
  <c r="C33" i="1"/>
  <c r="D33" i="1"/>
  <c r="A35" i="1" l="1"/>
  <c r="B34" i="1"/>
  <c r="C34" i="1"/>
  <c r="D34" i="1"/>
  <c r="E34" i="1"/>
  <c r="A36" i="1" l="1"/>
  <c r="E35" i="1"/>
  <c r="B35" i="1"/>
  <c r="C35" i="1"/>
  <c r="D35" i="1"/>
  <c r="A37" i="1" l="1"/>
  <c r="E36" i="1"/>
  <c r="B36" i="1"/>
  <c r="C36" i="1"/>
  <c r="D36" i="1"/>
  <c r="A38" i="1" l="1"/>
  <c r="B37" i="1"/>
  <c r="C37" i="1"/>
  <c r="D37" i="1"/>
  <c r="E37" i="1"/>
  <c r="A39" i="1" l="1"/>
  <c r="B38" i="1"/>
  <c r="D38" i="1"/>
  <c r="E38" i="1"/>
  <c r="C38" i="1"/>
  <c r="A40" i="1" l="1"/>
  <c r="E39" i="1"/>
  <c r="B39" i="1"/>
  <c r="C39" i="1"/>
  <c r="D39" i="1"/>
  <c r="A41" i="1" l="1"/>
  <c r="E40" i="1"/>
  <c r="B40" i="1"/>
  <c r="C40" i="1"/>
  <c r="D40" i="1"/>
  <c r="A42" i="1" l="1"/>
  <c r="B41" i="1"/>
  <c r="D41" i="1"/>
  <c r="E41" i="1"/>
  <c r="C41" i="1"/>
  <c r="A43" i="1" l="1"/>
  <c r="A44" i="1" s="1"/>
  <c r="E42" i="1"/>
  <c r="B42" i="1"/>
  <c r="C42" i="1"/>
  <c r="D42" i="1"/>
  <c r="A45" i="1" l="1"/>
  <c r="A46" i="1" s="1"/>
  <c r="A47" i="1" s="1"/>
  <c r="A48" i="1" s="1"/>
  <c r="A49" i="1" s="1"/>
  <c r="A50" i="1" s="1"/>
  <c r="A51" i="1" s="1"/>
  <c r="A52" i="1" s="1"/>
  <c r="A53" i="1" s="1"/>
  <c r="A54" i="1" s="1"/>
  <c r="A55" i="1" s="1"/>
  <c r="E44" i="1"/>
  <c r="B44" i="1"/>
  <c r="D44" i="1"/>
  <c r="C44" i="1"/>
  <c r="B43" i="1"/>
  <c r="C43" i="1"/>
  <c r="D43" i="1"/>
  <c r="E43" i="1"/>
  <c r="Q7" i="15"/>
  <c r="Q25" i="15"/>
  <c r="A56" i="1" l="1"/>
  <c r="A57" i="1" s="1"/>
  <c r="A58" i="1" s="1"/>
  <c r="A59" i="1" s="1"/>
  <c r="A60" i="1" s="1"/>
  <c r="A61" i="1" s="1"/>
  <c r="A62" i="1" s="1"/>
  <c r="A63" i="1" s="1"/>
  <c r="A64" i="1" s="1"/>
  <c r="A65" i="1" s="1"/>
  <c r="A66" i="1" s="1"/>
  <c r="A67" i="1" s="1"/>
  <c r="A68" i="1" s="1"/>
  <c r="A69" i="1" s="1"/>
  <c r="A70" i="1" s="1"/>
  <c r="A71" i="1" s="1"/>
  <c r="E55" i="1"/>
  <c r="C55" i="1"/>
  <c r="B55" i="1"/>
  <c r="D55" i="1"/>
  <c r="B54" i="1"/>
  <c r="C54" i="1"/>
  <c r="D54" i="1"/>
  <c r="E54" i="1"/>
  <c r="D53" i="1"/>
  <c r="E53" i="1"/>
  <c r="B53" i="1"/>
  <c r="C53" i="1"/>
  <c r="B52" i="1"/>
  <c r="C52" i="1"/>
  <c r="D52" i="1"/>
  <c r="E52" i="1"/>
  <c r="B51" i="1"/>
  <c r="C51" i="1"/>
  <c r="D51" i="1"/>
  <c r="E51" i="1"/>
  <c r="B50" i="1"/>
  <c r="C50" i="1"/>
  <c r="D50" i="1"/>
  <c r="E50" i="1"/>
  <c r="B49" i="1"/>
  <c r="C49" i="1"/>
  <c r="D49" i="1"/>
  <c r="E49" i="1"/>
  <c r="B48" i="1"/>
  <c r="C48" i="1"/>
  <c r="D48" i="1"/>
  <c r="E48" i="1"/>
  <c r="B47" i="1"/>
  <c r="C47" i="1"/>
  <c r="D47" i="1"/>
  <c r="E47" i="1"/>
  <c r="B46" i="1"/>
  <c r="C46" i="1"/>
  <c r="D46" i="1"/>
  <c r="E46" i="1"/>
  <c r="B45" i="1"/>
  <c r="C45" i="1"/>
  <c r="D45" i="1"/>
  <c r="E45" i="1"/>
  <c r="U25" i="15"/>
  <c r="X25" i="15" s="1"/>
  <c r="Z25" i="15"/>
  <c r="U7" i="15"/>
  <c r="X7" i="15" s="1"/>
  <c r="Z7" i="15"/>
  <c r="Q22" i="15"/>
  <c r="Q14" i="15"/>
  <c r="Q35" i="15"/>
  <c r="Q29" i="15"/>
  <c r="Q3" i="15"/>
  <c r="Q13" i="15"/>
  <c r="Q19" i="15"/>
  <c r="Q37" i="15"/>
  <c r="Q4" i="15"/>
  <c r="Q30" i="15"/>
  <c r="Q32" i="15"/>
  <c r="Q18" i="15"/>
  <c r="Q24" i="15"/>
  <c r="Q34" i="15"/>
  <c r="Q20" i="15"/>
  <c r="Q27" i="15"/>
  <c r="Q11" i="15"/>
  <c r="Q15" i="15"/>
  <c r="Q17" i="15"/>
  <c r="Q9" i="15"/>
  <c r="Q8" i="15"/>
  <c r="Q31" i="15"/>
  <c r="Q33" i="15"/>
  <c r="Q10" i="15"/>
  <c r="Q28" i="15"/>
  <c r="Q2" i="15"/>
  <c r="Q21" i="15"/>
  <c r="Q36" i="15"/>
  <c r="Q5" i="15"/>
  <c r="Q23" i="15"/>
  <c r="Q6" i="15"/>
  <c r="Q12" i="15"/>
  <c r="Q26" i="15"/>
  <c r="Q16" i="15"/>
  <c r="A72" i="1" l="1"/>
  <c r="E71" i="1"/>
  <c r="C71" i="1"/>
  <c r="D71" i="1"/>
  <c r="B71" i="1"/>
  <c r="B70" i="1"/>
  <c r="C70" i="1"/>
  <c r="D70" i="1"/>
  <c r="E70" i="1"/>
  <c r="B69" i="1"/>
  <c r="C69" i="1"/>
  <c r="D69" i="1"/>
  <c r="E69" i="1"/>
  <c r="B68" i="1"/>
  <c r="C68" i="1"/>
  <c r="D68" i="1"/>
  <c r="E68" i="1"/>
  <c r="E67" i="1"/>
  <c r="D67" i="1"/>
  <c r="B67" i="1"/>
  <c r="C67" i="1"/>
  <c r="B66" i="1"/>
  <c r="C66" i="1"/>
  <c r="D66" i="1"/>
  <c r="E66" i="1"/>
  <c r="C65" i="1"/>
  <c r="B65" i="1"/>
  <c r="E65" i="1"/>
  <c r="D65" i="1"/>
  <c r="B64" i="1"/>
  <c r="E64" i="1"/>
  <c r="D64" i="1"/>
  <c r="C64" i="1"/>
  <c r="E63" i="1"/>
  <c r="D63" i="1"/>
  <c r="B63" i="1"/>
  <c r="C63" i="1"/>
  <c r="D62" i="1"/>
  <c r="B62" i="1"/>
  <c r="C62" i="1"/>
  <c r="E62" i="1"/>
  <c r="E61" i="1"/>
  <c r="B61" i="1"/>
  <c r="D61" i="1"/>
  <c r="C61" i="1"/>
  <c r="D60" i="1"/>
  <c r="C60" i="1"/>
  <c r="B60" i="1"/>
  <c r="E60" i="1"/>
  <c r="E59" i="1"/>
  <c r="B59" i="1"/>
  <c r="D59" i="1"/>
  <c r="C59" i="1"/>
  <c r="E58" i="1"/>
  <c r="D58" i="1"/>
  <c r="C58" i="1"/>
  <c r="B58" i="1"/>
  <c r="B57" i="1"/>
  <c r="C57" i="1"/>
  <c r="D57" i="1"/>
  <c r="E57" i="1"/>
  <c r="E56" i="1"/>
  <c r="D56" i="1"/>
  <c r="C56" i="1"/>
  <c r="B56" i="1"/>
  <c r="U26" i="15"/>
  <c r="Z26" i="15"/>
  <c r="U5" i="15"/>
  <c r="X5" i="15" s="1"/>
  <c r="Z5" i="15"/>
  <c r="U2" i="15"/>
  <c r="Z2" i="15"/>
  <c r="Z37" i="15"/>
  <c r="U37" i="15"/>
  <c r="X37" i="15" s="1"/>
  <c r="U19" i="15"/>
  <c r="X19" i="15" s="1"/>
  <c r="Z19" i="15"/>
  <c r="U14" i="15"/>
  <c r="Z14" i="15"/>
  <c r="U16" i="15"/>
  <c r="X16" i="15" s="1"/>
  <c r="Z16" i="15"/>
  <c r="U31" i="15"/>
  <c r="X31" i="15" s="1"/>
  <c r="Z31" i="15"/>
  <c r="Z8" i="15"/>
  <c r="U8" i="15"/>
  <c r="X8" i="15" s="1"/>
  <c r="U27" i="15"/>
  <c r="X27" i="15" s="1"/>
  <c r="Z27" i="15"/>
  <c r="U23" i="15"/>
  <c r="X23" i="15" s="1"/>
  <c r="Z23" i="15"/>
  <c r="Z21" i="15"/>
  <c r="U21" i="15"/>
  <c r="X21" i="15" s="1"/>
  <c r="Z33" i="15"/>
  <c r="U33" i="15"/>
  <c r="X33" i="15" s="1"/>
  <c r="Z32" i="15"/>
  <c r="U32" i="15"/>
  <c r="X32" i="15" s="1"/>
  <c r="U34" i="15"/>
  <c r="X34" i="15" s="1"/>
  <c r="Z34" i="15"/>
  <c r="Z13" i="15"/>
  <c r="U13" i="15"/>
  <c r="X13" i="15" s="1"/>
  <c r="U12" i="15"/>
  <c r="X12" i="15" s="1"/>
  <c r="Z12" i="15"/>
  <c r="U20" i="15"/>
  <c r="X20" i="15" s="1"/>
  <c r="Z20" i="15"/>
  <c r="Z6" i="15"/>
  <c r="U6" i="15"/>
  <c r="X6" i="15" s="1"/>
  <c r="U28" i="15"/>
  <c r="X28" i="15" s="1"/>
  <c r="Z28" i="15"/>
  <c r="Z10" i="15"/>
  <c r="U10" i="15"/>
  <c r="X10" i="15" s="1"/>
  <c r="U11" i="15"/>
  <c r="X11" i="15" s="1"/>
  <c r="Z11" i="15"/>
  <c r="U35" i="15"/>
  <c r="X35" i="15" s="1"/>
  <c r="Z35" i="15"/>
  <c r="Z9" i="15"/>
  <c r="U9" i="15"/>
  <c r="X9" i="15" s="1"/>
  <c r="U17" i="15"/>
  <c r="X17" i="15" s="1"/>
  <c r="Z17" i="15"/>
  <c r="U24" i="15"/>
  <c r="X24" i="15" s="1"/>
  <c r="Z24" i="15"/>
  <c r="U18" i="15"/>
  <c r="X18" i="15" s="1"/>
  <c r="Z18" i="15"/>
  <c r="U22" i="15"/>
  <c r="X22" i="15" s="1"/>
  <c r="Z22" i="15"/>
  <c r="U36" i="15"/>
  <c r="X36" i="15" s="1"/>
  <c r="Z36" i="15"/>
  <c r="Z30" i="15"/>
  <c r="U30" i="15"/>
  <c r="X30" i="15" s="1"/>
  <c r="U4" i="15"/>
  <c r="X4" i="15" s="1"/>
  <c r="Z4" i="15"/>
  <c r="U3" i="15"/>
  <c r="X3" i="15" s="1"/>
  <c r="Z3" i="15"/>
  <c r="U15" i="15"/>
  <c r="X15" i="15" s="1"/>
  <c r="Z15" i="15"/>
  <c r="U29" i="15"/>
  <c r="X29" i="15" s="1"/>
  <c r="Z29" i="15"/>
  <c r="A73" i="1" l="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E72" i="1"/>
  <c r="C72" i="1"/>
  <c r="D72" i="1"/>
  <c r="B72" i="1"/>
  <c r="CZ62" i="1"/>
  <c r="DH62" i="1" s="1"/>
  <c r="DJ62" i="1" s="1"/>
  <c r="CP62" i="1"/>
  <c r="V20" i="15"/>
  <c r="Y20" i="15" s="1"/>
  <c r="V21" i="15"/>
  <c r="Y21" i="15" s="1"/>
  <c r="V25" i="15"/>
  <c r="Y25" i="15" s="1"/>
  <c r="V15" i="15"/>
  <c r="Y15" i="15" s="1"/>
  <c r="V23" i="15"/>
  <c r="Y23" i="15" s="1"/>
  <c r="V17" i="15"/>
  <c r="Y17" i="15" s="1"/>
  <c r="V14" i="15"/>
  <c r="Y14" i="15" s="1"/>
  <c r="V19" i="15"/>
  <c r="Y19" i="15" s="1"/>
  <c r="V16" i="15"/>
  <c r="Y16" i="15" s="1"/>
  <c r="V24" i="15"/>
  <c r="Y24" i="15" s="1"/>
  <c r="V22" i="15"/>
  <c r="Y22" i="15" s="1"/>
  <c r="X14" i="15"/>
  <c r="V18" i="15"/>
  <c r="Y18" i="15" s="1"/>
  <c r="V27" i="15"/>
  <c r="Y27" i="15" s="1"/>
  <c r="V28" i="15"/>
  <c r="Y28" i="15" s="1"/>
  <c r="X26" i="15"/>
  <c r="V33" i="15"/>
  <c r="Y33" i="15" s="1"/>
  <c r="V35" i="15"/>
  <c r="Y35" i="15" s="1"/>
  <c r="V34" i="15"/>
  <c r="Y34" i="15" s="1"/>
  <c r="V30" i="15"/>
  <c r="Y30" i="15" s="1"/>
  <c r="V31" i="15"/>
  <c r="Y31" i="15" s="1"/>
  <c r="V36" i="15"/>
  <c r="Y36" i="15" s="1"/>
  <c r="V26" i="15"/>
  <c r="Y26" i="15" s="1"/>
  <c r="V29" i="15"/>
  <c r="Y29" i="15" s="1"/>
  <c r="V32" i="15"/>
  <c r="Y32" i="15" s="1"/>
  <c r="V37" i="15"/>
  <c r="Y37" i="15" s="1"/>
  <c r="V12" i="15"/>
  <c r="Y12" i="15" s="1"/>
  <c r="V7" i="15"/>
  <c r="Y7" i="15" s="1"/>
  <c r="V5" i="15"/>
  <c r="Y5" i="15" s="1"/>
  <c r="V3" i="15"/>
  <c r="Y3" i="15" s="1"/>
  <c r="X2" i="15"/>
  <c r="V13" i="15"/>
  <c r="Y13" i="15" s="1"/>
  <c r="V2" i="15"/>
  <c r="Y2" i="15" s="1"/>
  <c r="V6" i="15"/>
  <c r="Y6" i="15" s="1"/>
  <c r="V4" i="15"/>
  <c r="Y4" i="15" s="1"/>
  <c r="V9" i="15"/>
  <c r="Y9" i="15" s="1"/>
  <c r="V8" i="15"/>
  <c r="Y8" i="15" s="1"/>
  <c r="V10" i="15"/>
  <c r="Y10" i="15" s="1"/>
  <c r="V11" i="15"/>
  <c r="Y11" i="15" s="1"/>
  <c r="A103" i="1" l="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B102" i="1"/>
  <c r="E102" i="1"/>
  <c r="C102" i="1"/>
  <c r="D102" i="1"/>
  <c r="B101" i="1"/>
  <c r="C101" i="1"/>
  <c r="D101" i="1"/>
  <c r="E101" i="1"/>
  <c r="B100" i="1"/>
  <c r="C100" i="1"/>
  <c r="D100" i="1"/>
  <c r="E100" i="1"/>
  <c r="C99" i="1"/>
  <c r="D99" i="1"/>
  <c r="E99" i="1"/>
  <c r="B99" i="1"/>
  <c r="E98" i="1"/>
  <c r="D98" i="1"/>
  <c r="C98" i="1"/>
  <c r="B98" i="1"/>
  <c r="E97" i="1"/>
  <c r="D97" i="1"/>
  <c r="B97" i="1"/>
  <c r="C97" i="1"/>
  <c r="E96" i="1"/>
  <c r="D96" i="1"/>
  <c r="C96" i="1"/>
  <c r="B96" i="1"/>
  <c r="B95" i="1"/>
  <c r="C95" i="1"/>
  <c r="D95" i="1"/>
  <c r="E95" i="1"/>
  <c r="B94" i="1"/>
  <c r="C94" i="1"/>
  <c r="D94" i="1"/>
  <c r="E94" i="1"/>
  <c r="B93" i="1"/>
  <c r="D93" i="1"/>
  <c r="E93" i="1"/>
  <c r="C93" i="1"/>
  <c r="B92" i="1"/>
  <c r="C92" i="1"/>
  <c r="D92" i="1"/>
  <c r="E92" i="1"/>
  <c r="B91" i="1"/>
  <c r="C91" i="1"/>
  <c r="D91" i="1"/>
  <c r="E91" i="1"/>
  <c r="C90" i="1"/>
  <c r="D90" i="1"/>
  <c r="E90" i="1"/>
  <c r="B90" i="1"/>
  <c r="E89" i="1"/>
  <c r="B89" i="1"/>
  <c r="C89" i="1"/>
  <c r="D89" i="1"/>
  <c r="E88" i="1"/>
  <c r="B88" i="1"/>
  <c r="C88" i="1"/>
  <c r="D88" i="1"/>
  <c r="B87" i="1"/>
  <c r="C87" i="1"/>
  <c r="D87" i="1"/>
  <c r="E87" i="1"/>
  <c r="B86" i="1"/>
  <c r="C86" i="1"/>
  <c r="D86" i="1"/>
  <c r="E86" i="1"/>
  <c r="E85" i="1"/>
  <c r="D85" i="1"/>
  <c r="C85" i="1"/>
  <c r="B85" i="1"/>
  <c r="B84" i="1"/>
  <c r="C84" i="1"/>
  <c r="D84" i="1"/>
  <c r="E84" i="1"/>
  <c r="B83" i="1"/>
  <c r="D83" i="1"/>
  <c r="E83" i="1"/>
  <c r="C83" i="1"/>
  <c r="B82" i="1"/>
  <c r="C82" i="1"/>
  <c r="D82" i="1"/>
  <c r="E82" i="1"/>
  <c r="B81" i="1"/>
  <c r="C81" i="1"/>
  <c r="D81" i="1"/>
  <c r="E81" i="1"/>
  <c r="B80" i="1"/>
  <c r="C80" i="1"/>
  <c r="D80" i="1"/>
  <c r="E80" i="1"/>
  <c r="B79" i="1"/>
  <c r="C79" i="1"/>
  <c r="D79" i="1"/>
  <c r="E79" i="1"/>
  <c r="B78" i="1"/>
  <c r="C78" i="1"/>
  <c r="D78" i="1"/>
  <c r="E78" i="1"/>
  <c r="B77" i="1"/>
  <c r="C77" i="1"/>
  <c r="D77" i="1"/>
  <c r="E77" i="1"/>
  <c r="B76" i="1"/>
  <c r="C76" i="1"/>
  <c r="D76" i="1"/>
  <c r="E76" i="1"/>
  <c r="B75" i="1"/>
  <c r="C75" i="1"/>
  <c r="D75" i="1"/>
  <c r="E75" i="1"/>
  <c r="B74" i="1"/>
  <c r="C74" i="1"/>
  <c r="D74" i="1"/>
  <c r="E74" i="1"/>
  <c r="B73" i="1"/>
  <c r="C73" i="1"/>
  <c r="D73" i="1"/>
  <c r="E73" i="1"/>
  <c r="DL62" i="1"/>
  <c r="A124" i="1" l="1"/>
  <c r="A125" i="1" s="1"/>
  <c r="A126" i="1" s="1"/>
  <c r="A127" i="1" s="1"/>
  <c r="A128" i="1" s="1"/>
  <c r="A129" i="1" s="1"/>
  <c r="A130" i="1" s="1"/>
  <c r="A131" i="1" s="1"/>
  <c r="D123" i="1"/>
  <c r="E123" i="1"/>
  <c r="C123" i="1"/>
  <c r="B123" i="1"/>
  <c r="B122" i="1"/>
  <c r="C122" i="1"/>
  <c r="D122" i="1"/>
  <c r="E122" i="1"/>
  <c r="B121" i="1"/>
  <c r="C121" i="1"/>
  <c r="D121" i="1"/>
  <c r="E121" i="1"/>
  <c r="B120" i="1"/>
  <c r="C120" i="1"/>
  <c r="D120" i="1"/>
  <c r="E120" i="1"/>
  <c r="B119" i="1"/>
  <c r="C119" i="1"/>
  <c r="D119" i="1"/>
  <c r="E119" i="1"/>
  <c r="B118" i="1"/>
  <c r="C118" i="1"/>
  <c r="D118" i="1"/>
  <c r="E118" i="1"/>
  <c r="B117" i="1"/>
  <c r="C117" i="1"/>
  <c r="D117" i="1"/>
  <c r="E117" i="1"/>
  <c r="B116" i="1"/>
  <c r="C116" i="1"/>
  <c r="D116" i="1"/>
  <c r="E116" i="1"/>
  <c r="B115" i="1"/>
  <c r="C115" i="1"/>
  <c r="D115" i="1"/>
  <c r="E115" i="1"/>
  <c r="B114" i="1"/>
  <c r="C114" i="1"/>
  <c r="D114" i="1"/>
  <c r="E114" i="1"/>
  <c r="B113" i="1"/>
  <c r="D113" i="1"/>
  <c r="E113" i="1"/>
  <c r="C113" i="1"/>
  <c r="B112" i="1"/>
  <c r="C112" i="1"/>
  <c r="D112" i="1"/>
  <c r="E112" i="1"/>
  <c r="B111" i="1"/>
  <c r="C111" i="1"/>
  <c r="D111" i="1"/>
  <c r="E111" i="1"/>
  <c r="B110" i="1"/>
  <c r="D110" i="1"/>
  <c r="E110" i="1"/>
  <c r="C110" i="1"/>
  <c r="B109" i="1"/>
  <c r="D109" i="1"/>
  <c r="E109" i="1"/>
  <c r="C109" i="1"/>
  <c r="B108" i="1"/>
  <c r="C108" i="1"/>
  <c r="D108" i="1"/>
  <c r="E108" i="1"/>
  <c r="B107" i="1"/>
  <c r="C107" i="1"/>
  <c r="D107" i="1"/>
  <c r="E107" i="1"/>
  <c r="B106" i="1"/>
  <c r="C106" i="1"/>
  <c r="D106" i="1"/>
  <c r="E106" i="1"/>
  <c r="B105" i="1"/>
  <c r="C105" i="1"/>
  <c r="D105" i="1"/>
  <c r="E105" i="1"/>
  <c r="B104" i="1"/>
  <c r="C104" i="1"/>
  <c r="D104" i="1"/>
  <c r="E104" i="1"/>
  <c r="B103" i="1"/>
  <c r="D103" i="1"/>
  <c r="E103" i="1"/>
  <c r="C103" i="1"/>
  <c r="E131" i="1" l="1"/>
  <c r="D131" i="1"/>
  <c r="C131" i="1"/>
  <c r="B131" i="1"/>
  <c r="C130" i="1"/>
  <c r="B130" i="1"/>
  <c r="E130" i="1"/>
  <c r="D130" i="1"/>
  <c r="B129" i="1"/>
  <c r="D129" i="1"/>
  <c r="C129" i="1"/>
  <c r="E129" i="1"/>
  <c r="B128" i="1"/>
  <c r="C128" i="1"/>
  <c r="D128" i="1"/>
  <c r="E128" i="1"/>
  <c r="B127" i="1"/>
  <c r="C127" i="1"/>
  <c r="D127" i="1"/>
  <c r="E127" i="1"/>
  <c r="B126" i="1"/>
  <c r="E126" i="1"/>
  <c r="C126" i="1"/>
  <c r="D126" i="1"/>
  <c r="B125" i="1"/>
  <c r="C125" i="1"/>
  <c r="D125" i="1"/>
  <c r="E125" i="1"/>
  <c r="B124" i="1"/>
  <c r="C124" i="1"/>
  <c r="D124" i="1"/>
  <c r="E124" i="1"/>
  <c r="M15" i="12"/>
  <c r="AI15" i="12"/>
  <c r="D21" i="12"/>
  <c r="L21" i="12"/>
  <c r="Q15" i="12"/>
  <c r="AA15" i="12"/>
  <c r="G21" i="12"/>
  <c r="R21" i="12"/>
  <c r="K21" i="12"/>
  <c r="F21" i="12"/>
  <c r="AC21" i="12"/>
  <c r="AS15" i="12"/>
  <c r="P15" i="12"/>
  <c r="AO15" i="12"/>
  <c r="U15" i="12"/>
  <c r="AB21" i="12"/>
  <c r="E21" i="12"/>
  <c r="U21" i="12"/>
  <c r="AG21" i="12"/>
  <c r="AI21" i="12"/>
  <c r="AS21" i="12"/>
  <c r="AD15" i="12"/>
  <c r="Z15" i="12"/>
  <c r="AH15" i="12"/>
  <c r="AF15" i="12"/>
  <c r="AB15" i="12"/>
  <c r="AL15" i="12"/>
  <c r="V15" i="12"/>
  <c r="C21" i="12"/>
  <c r="AR15" i="12"/>
  <c r="AL21" i="12"/>
  <c r="B21" i="12"/>
  <c r="M21" i="12"/>
  <c r="AH21" i="12"/>
  <c r="J15" i="12"/>
  <c r="W15" i="12"/>
  <c r="K15" i="12"/>
  <c r="AG15" i="12"/>
  <c r="N21" i="12"/>
  <c r="Y21" i="12"/>
  <c r="O21" i="12"/>
  <c r="W21" i="12"/>
  <c r="AN21" i="12"/>
  <c r="P21" i="12"/>
  <c r="AE15" i="12"/>
  <c r="AQ21" i="12"/>
  <c r="L15" i="12"/>
  <c r="AM21" i="12"/>
  <c r="B15" i="12"/>
  <c r="G15" i="12"/>
  <c r="AO21" i="12"/>
  <c r="AM15" i="12"/>
  <c r="AD21" i="12"/>
  <c r="AC15" i="12"/>
  <c r="H21" i="12"/>
  <c r="D15" i="12"/>
  <c r="AF21" i="12"/>
  <c r="AJ15" i="12"/>
  <c r="AJ21" i="12"/>
  <c r="AR21" i="12"/>
  <c r="Y15" i="12"/>
  <c r="V21" i="12"/>
  <c r="Q21" i="12"/>
  <c r="AN15" i="12"/>
  <c r="O15" i="12"/>
  <c r="Z21" i="12"/>
  <c r="C15" i="12"/>
  <c r="AQ15" i="12"/>
  <c r="T21" i="12"/>
  <c r="AK21" i="12"/>
  <c r="S4" i="9"/>
  <c r="N15" i="12"/>
  <c r="AP15" i="12"/>
  <c r="I21" i="12"/>
  <c r="X21" i="12"/>
  <c r="Q11" i="9"/>
  <c r="R15" i="12"/>
  <c r="X15" i="12"/>
  <c r="T15" i="12"/>
  <c r="H15" i="12"/>
  <c r="AP21" i="12"/>
  <c r="I15" i="12"/>
  <c r="AE21" i="12"/>
  <c r="AK15" i="12"/>
  <c r="AA21" i="12"/>
  <c r="J21" i="12"/>
  <c r="S15" i="12"/>
  <c r="F15" i="12"/>
  <c r="S21" i="12"/>
  <c r="E15" i="12"/>
  <c r="D3" i="12" l="1"/>
  <c r="AT21" i="12"/>
  <c r="AT15" i="12"/>
  <c r="AI286" i="14"/>
  <c r="AI47" i="14"/>
  <c r="AB106" i="14"/>
  <c r="AI250" i="14"/>
  <c r="AI297" i="14"/>
  <c r="AI93" i="14"/>
  <c r="AI309" i="14"/>
  <c r="AI101" i="14"/>
  <c r="AB248" i="14"/>
  <c r="AB35" i="14"/>
  <c r="AI110" i="14"/>
  <c r="AB85" i="14"/>
  <c r="AB243" i="14"/>
  <c r="AI226" i="14"/>
  <c r="AI103" i="14"/>
  <c r="AB113" i="14"/>
  <c r="AB109" i="14"/>
  <c r="AI102" i="14"/>
  <c r="AB129" i="14"/>
  <c r="AB231" i="14"/>
  <c r="AI246" i="14"/>
  <c r="AB147" i="14"/>
  <c r="AB346" i="14"/>
  <c r="AI53" i="14"/>
  <c r="AI245" i="14"/>
  <c r="AI132" i="14"/>
  <c r="AB49" i="14"/>
  <c r="AI116" i="14"/>
  <c r="AB146" i="14"/>
  <c r="AB280" i="14"/>
  <c r="AB47" i="14"/>
  <c r="AB345" i="14"/>
  <c r="AI209" i="14"/>
  <c r="AI280" i="14"/>
  <c r="AI134" i="14"/>
  <c r="AB284" i="14"/>
  <c r="AB142" i="14"/>
  <c r="AI327" i="14"/>
  <c r="AB239" i="14"/>
  <c r="AI155" i="14"/>
  <c r="AI133" i="14"/>
  <c r="AB135" i="14"/>
  <c r="AB84" i="14"/>
  <c r="AB326" i="14"/>
  <c r="AB183" i="14"/>
  <c r="AB321" i="14"/>
  <c r="AI32" i="14"/>
  <c r="AB54" i="14"/>
  <c r="AI200" i="14"/>
  <c r="AB356" i="14"/>
  <c r="AB92" i="14"/>
  <c r="AB300" i="14"/>
  <c r="AI72" i="14"/>
  <c r="AB338" i="14"/>
  <c r="AB136" i="14"/>
  <c r="AI60" i="14"/>
  <c r="AB254" i="14"/>
  <c r="AI94" i="14"/>
  <c r="AI118" i="14"/>
  <c r="AI355" i="14"/>
  <c r="AI130" i="14"/>
  <c r="AB50" i="14"/>
  <c r="AB244" i="14"/>
  <c r="AI149" i="14"/>
  <c r="AB40" i="14"/>
  <c r="AB176" i="14"/>
  <c r="AB121" i="14"/>
  <c r="AI354" i="14"/>
  <c r="AB114" i="14"/>
  <c r="AB265" i="14"/>
  <c r="AI108" i="14"/>
  <c r="AI35" i="14"/>
  <c r="AB79" i="14"/>
  <c r="AI113" i="14"/>
  <c r="AB34" i="14"/>
  <c r="AB217" i="14"/>
  <c r="AI79" i="14"/>
  <c r="AI71" i="14"/>
  <c r="AI249" i="14"/>
  <c r="AI237" i="14"/>
  <c r="AB97" i="14"/>
  <c r="AB138" i="14"/>
  <c r="AI353" i="14"/>
  <c r="AI315" i="14"/>
  <c r="AB190" i="14"/>
  <c r="AI367" i="14"/>
  <c r="AB187" i="14"/>
  <c r="AI256" i="14"/>
  <c r="AB133" i="14"/>
  <c r="AI218" i="14"/>
  <c r="AI221" i="14"/>
  <c r="AI95" i="14"/>
  <c r="AI190" i="14"/>
  <c r="AB139" i="14"/>
  <c r="AI350" i="14"/>
  <c r="AI282" i="14"/>
  <c r="AB260" i="14"/>
  <c r="AB236" i="14"/>
  <c r="AI202" i="14"/>
  <c r="AB193" i="14"/>
  <c r="AB253" i="14"/>
  <c r="AB334" i="14"/>
  <c r="AI203" i="14"/>
  <c r="AI352" i="14"/>
  <c r="AB61" i="14"/>
  <c r="AI147" i="14"/>
  <c r="AB329" i="14"/>
  <c r="AI296" i="14"/>
  <c r="AI112" i="14"/>
  <c r="AI62" i="14"/>
  <c r="AI335" i="14"/>
  <c r="AI84" i="14"/>
  <c r="AI341" i="14"/>
  <c r="AB278" i="14"/>
  <c r="AB290" i="14"/>
  <c r="AI333" i="14"/>
  <c r="AB44" i="14"/>
  <c r="AI363" i="14"/>
  <c r="AB262" i="14"/>
  <c r="AI139" i="14"/>
  <c r="AI154" i="14"/>
  <c r="AB37" i="14"/>
  <c r="AI325" i="14"/>
  <c r="AB207" i="14"/>
  <c r="AB126" i="14"/>
  <c r="M323" i="14"/>
  <c r="AN120" i="14"/>
  <c r="AI255" i="14"/>
  <c r="AI266" i="14"/>
  <c r="AI39" i="14"/>
  <c r="AI136" i="14"/>
  <c r="AB213" i="14"/>
  <c r="AI292" i="14"/>
  <c r="AI254" i="14"/>
  <c r="AI317" i="14"/>
  <c r="AI360" i="14"/>
  <c r="AI322" i="14"/>
  <c r="AI240" i="14"/>
  <c r="AI289" i="14"/>
  <c r="AB177" i="14"/>
  <c r="AI167" i="14"/>
  <c r="AB220" i="14"/>
  <c r="AB357" i="14"/>
  <c r="AB130" i="14"/>
  <c r="AI230" i="14"/>
  <c r="AI320" i="14"/>
  <c r="AI276" i="14"/>
  <c r="AI306" i="14"/>
  <c r="AB171" i="14"/>
  <c r="AB169" i="14"/>
  <c r="AB303" i="14"/>
  <c r="AI347" i="14"/>
  <c r="AB347" i="14"/>
  <c r="AI362" i="14"/>
  <c r="AI43" i="14"/>
  <c r="AB318" i="14"/>
  <c r="AI166" i="14"/>
  <c r="AI28" i="14"/>
  <c r="AB249" i="14"/>
  <c r="AI109" i="14"/>
  <c r="AB293" i="14"/>
  <c r="AB308" i="14"/>
  <c r="AB255" i="14"/>
  <c r="AI330" i="14"/>
  <c r="AI92" i="14"/>
  <c r="AI188" i="14"/>
  <c r="AB191" i="14"/>
  <c r="AB214" i="14"/>
  <c r="AI302" i="14"/>
  <c r="AI219" i="14"/>
  <c r="AI231" i="14"/>
  <c r="AB119" i="14"/>
  <c r="AB140" i="14"/>
  <c r="AI278" i="14"/>
  <c r="AI185" i="14"/>
  <c r="AB80" i="14"/>
  <c r="AB194" i="14"/>
  <c r="AI232" i="14"/>
  <c r="AB258" i="14"/>
  <c r="AI158" i="14"/>
  <c r="AI127" i="14"/>
  <c r="AB349" i="14"/>
  <c r="AI348" i="14"/>
  <c r="AI204" i="14"/>
  <c r="AI212" i="14"/>
  <c r="AB95" i="14"/>
  <c r="AB313" i="14"/>
  <c r="AB175" i="14"/>
  <c r="AB42" i="14"/>
  <c r="AB354" i="14"/>
  <c r="AB88" i="14"/>
  <c r="AB160" i="14"/>
  <c r="AB323" i="14"/>
  <c r="AI290" i="14"/>
  <c r="AI135" i="14"/>
  <c r="AI364" i="14"/>
  <c r="AI332" i="14"/>
  <c r="AI268" i="14"/>
  <c r="AB273" i="14"/>
  <c r="AI265" i="14"/>
  <c r="AB364" i="14"/>
  <c r="AI70" i="14"/>
  <c r="AB368" i="14"/>
  <c r="AI89" i="14"/>
  <c r="AB48" i="14"/>
  <c r="AI81" i="14"/>
  <c r="AI213" i="14"/>
  <c r="AB181" i="14"/>
  <c r="AB66" i="14"/>
  <c r="AB240" i="14"/>
  <c r="AI174" i="14"/>
  <c r="AB71" i="14"/>
  <c r="AB331" i="14"/>
  <c r="AB209" i="14"/>
  <c r="AB227" i="14"/>
  <c r="AB339" i="14"/>
  <c r="AI178" i="14"/>
  <c r="AI49" i="14"/>
  <c r="AI229" i="14"/>
  <c r="AI243" i="14"/>
  <c r="AI307" i="14"/>
  <c r="AI56" i="14"/>
  <c r="AI215" i="14"/>
  <c r="AB332" i="14"/>
  <c r="AI61" i="14"/>
  <c r="AB309" i="14"/>
  <c r="AB314" i="14"/>
  <c r="AB155" i="14"/>
  <c r="AI344" i="14"/>
  <c r="AI187" i="14"/>
  <c r="AB128" i="14"/>
  <c r="AB203" i="14"/>
  <c r="AI69" i="14"/>
  <c r="AB127" i="14"/>
  <c r="AI299" i="14"/>
  <c r="AB150" i="14"/>
  <c r="AI207" i="14"/>
  <c r="AB145" i="14"/>
  <c r="AB53" i="14"/>
  <c r="AB86" i="14"/>
  <c r="AB59" i="14"/>
  <c r="AB62" i="14"/>
  <c r="AB151" i="14"/>
  <c r="AI293" i="14"/>
  <c r="AB144" i="14"/>
  <c r="AB277" i="14"/>
  <c r="AB153" i="14"/>
  <c r="AB28" i="14"/>
  <c r="AB298" i="14"/>
  <c r="AI169" i="14"/>
  <c r="AI160" i="14"/>
  <c r="M130" i="14"/>
  <c r="N283" i="14"/>
  <c r="X210" i="14"/>
  <c r="AB212" i="14"/>
  <c r="AI186" i="14"/>
  <c r="AB344" i="14"/>
  <c r="AI114" i="14"/>
  <c r="AI236" i="14"/>
  <c r="AI319" i="14"/>
  <c r="AB324" i="14"/>
  <c r="AI228" i="14"/>
  <c r="AB125" i="14"/>
  <c r="AI323" i="14"/>
  <c r="AB33" i="14"/>
  <c r="AI54" i="14"/>
  <c r="AI37" i="14"/>
  <c r="AI273" i="14"/>
  <c r="AI272" i="14"/>
  <c r="AI264" i="14"/>
  <c r="AI223" i="14"/>
  <c r="AB312" i="14"/>
  <c r="AI261" i="14"/>
  <c r="AB105" i="14"/>
  <c r="AB271" i="14"/>
  <c r="AI59" i="14"/>
  <c r="AI281" i="14"/>
  <c r="AI87" i="14"/>
  <c r="AI214" i="14"/>
  <c r="AB132" i="14"/>
  <c r="AI304" i="14"/>
  <c r="AI104" i="14"/>
  <c r="AB101" i="14"/>
  <c r="AB198" i="14"/>
  <c r="AI165" i="14"/>
  <c r="AB87" i="14"/>
  <c r="AI260" i="14"/>
  <c r="AI66" i="14"/>
  <c r="AI191" i="14"/>
  <c r="AB343" i="14"/>
  <c r="AB261" i="14"/>
  <c r="AB276" i="14"/>
  <c r="AB115" i="14"/>
  <c r="AI338" i="14"/>
  <c r="AI197" i="14"/>
  <c r="AB74" i="14"/>
  <c r="AI216" i="14"/>
  <c r="AB173" i="14"/>
  <c r="AB241" i="14"/>
  <c r="AB288" i="14"/>
  <c r="AB219" i="14"/>
  <c r="AI63" i="14"/>
  <c r="AI239" i="14"/>
  <c r="AI176" i="14"/>
  <c r="AB98" i="14"/>
  <c r="AB41" i="14"/>
  <c r="AB197" i="14"/>
  <c r="AB352" i="14"/>
  <c r="AB36" i="14"/>
  <c r="AB205" i="14"/>
  <c r="AI313" i="14"/>
  <c r="AB93" i="14"/>
  <c r="AB182" i="14"/>
  <c r="AI122" i="14"/>
  <c r="AB237" i="14"/>
  <c r="AB348" i="14"/>
  <c r="AB184" i="14"/>
  <c r="AI52" i="14"/>
  <c r="AI366" i="14"/>
  <c r="AI349" i="14"/>
  <c r="AB185" i="14"/>
  <c r="AB168" i="14"/>
  <c r="AI115" i="14"/>
  <c r="AI77" i="14"/>
  <c r="AB369" i="14"/>
  <c r="AB238" i="14"/>
  <c r="AI67" i="14"/>
  <c r="AI44" i="14"/>
  <c r="AI80" i="14"/>
  <c r="AI328" i="14"/>
  <c r="AI294" i="14"/>
  <c r="AI201" i="14"/>
  <c r="AB45" i="14"/>
  <c r="AB295" i="14"/>
  <c r="AB202" i="14"/>
  <c r="AB366" i="14"/>
  <c r="AI141" i="14"/>
  <c r="AI337" i="14"/>
  <c r="AI45" i="14"/>
  <c r="AI368" i="14"/>
  <c r="AI311" i="14"/>
  <c r="AB172" i="14"/>
  <c r="AB67" i="14"/>
  <c r="AI318" i="14"/>
  <c r="AI126" i="14"/>
  <c r="AI40" i="14"/>
  <c r="AB82" i="14"/>
  <c r="AB351" i="14"/>
  <c r="AB76" i="14"/>
  <c r="AB134" i="14"/>
  <c r="AB56" i="14"/>
  <c r="AI358" i="14"/>
  <c r="AB104" i="14"/>
  <c r="AI285" i="14"/>
  <c r="AI42" i="14"/>
  <c r="AI121" i="14"/>
  <c r="AI199" i="14"/>
  <c r="AB291" i="14"/>
  <c r="AI331" i="14"/>
  <c r="AB289" i="14"/>
  <c r="AB362" i="14"/>
  <c r="AI36" i="14"/>
  <c r="AI175" i="14"/>
  <c r="AB319" i="14"/>
  <c r="AI157" i="14"/>
  <c r="AI300" i="14"/>
  <c r="AI148" i="14"/>
  <c r="AB58" i="14"/>
  <c r="AB208" i="14"/>
  <c r="AI90" i="14"/>
  <c r="AI68" i="14"/>
  <c r="AB294" i="14"/>
  <c r="AB165" i="14"/>
  <c r="AI125" i="14"/>
  <c r="AI146" i="14"/>
  <c r="AB91" i="14"/>
  <c r="AI152" i="14"/>
  <c r="AB340" i="14"/>
  <c r="AI211" i="14"/>
  <c r="AI123" i="14"/>
  <c r="AI181" i="14"/>
  <c r="AB235" i="14"/>
  <c r="AB31" i="14"/>
  <c r="AB266" i="14"/>
  <c r="AI30" i="14"/>
  <c r="AI137" i="14"/>
  <c r="AB201" i="14"/>
  <c r="AI238" i="14"/>
  <c r="AB316" i="14"/>
  <c r="AB307" i="14"/>
  <c r="AB310" i="14"/>
  <c r="AB232" i="14"/>
  <c r="AI247" i="14"/>
  <c r="AB292" i="14"/>
  <c r="AI298" i="14"/>
  <c r="AB268" i="14"/>
  <c r="AB46" i="14"/>
  <c r="AI171" i="14"/>
  <c r="AI151" i="14"/>
  <c r="AI248" i="14"/>
  <c r="AI336" i="14"/>
  <c r="AB281" i="14"/>
  <c r="AI301" i="14"/>
  <c r="AB251" i="14"/>
  <c r="AB336" i="14"/>
  <c r="AI365" i="14"/>
  <c r="AB296" i="14"/>
  <c r="AB315" i="14"/>
  <c r="AI41" i="14"/>
  <c r="AI329" i="14"/>
  <c r="AB161" i="14"/>
  <c r="AI314" i="14"/>
  <c r="AB120" i="14"/>
  <c r="AB218" i="14"/>
  <c r="AB269" i="14"/>
  <c r="AI326" i="14"/>
  <c r="AI224" i="14"/>
  <c r="AI258" i="14"/>
  <c r="AB188" i="14"/>
  <c r="AI88" i="14"/>
  <c r="AI345" i="14"/>
  <c r="AI342" i="14"/>
  <c r="AB363" i="14"/>
  <c r="AB264" i="14"/>
  <c r="AB90" i="14"/>
  <c r="AI208" i="14"/>
  <c r="AI233" i="14"/>
  <c r="AB274" i="14"/>
  <c r="AB196" i="14"/>
  <c r="AB206" i="14"/>
  <c r="AB156" i="14"/>
  <c r="AI361" i="14"/>
  <c r="AI334" i="14"/>
  <c r="AB350" i="14"/>
  <c r="AI161" i="14"/>
  <c r="AI124" i="14"/>
  <c r="AI270" i="14"/>
  <c r="AI144" i="14"/>
  <c r="AB72" i="14"/>
  <c r="AB230" i="14"/>
  <c r="AI138" i="14"/>
  <c r="AI222" i="14"/>
  <c r="AI177" i="14"/>
  <c r="AB252" i="14"/>
  <c r="AB228" i="14"/>
  <c r="AI78" i="14"/>
  <c r="AB229" i="14"/>
  <c r="AI192" i="14"/>
  <c r="AB117" i="14"/>
  <c r="AI140" i="14"/>
  <c r="AI143" i="14"/>
  <c r="AB39" i="14"/>
  <c r="AI172" i="14"/>
  <c r="AB170" i="14"/>
  <c r="AB60" i="14"/>
  <c r="AI106" i="14"/>
  <c r="AB123" i="14"/>
  <c r="AB152" i="14"/>
  <c r="AI283" i="14"/>
  <c r="AI170" i="14"/>
  <c r="AB250" i="14"/>
  <c r="AB200" i="14"/>
  <c r="AB259" i="14"/>
  <c r="AB162" i="14"/>
  <c r="AI31" i="14"/>
  <c r="AB157" i="14"/>
  <c r="AB55" i="14"/>
  <c r="AI76" i="14"/>
  <c r="AB257" i="14"/>
  <c r="AI267" i="14"/>
  <c r="AB107" i="14"/>
  <c r="AI356" i="14"/>
  <c r="AB137" i="14"/>
  <c r="AB94" i="14"/>
  <c r="AB359" i="14"/>
  <c r="AI253" i="14"/>
  <c r="AB99" i="14"/>
  <c r="AI150" i="14"/>
  <c r="AB247" i="14"/>
  <c r="AI119" i="14"/>
  <c r="AB337" i="14"/>
  <c r="AI321" i="14"/>
  <c r="AI145" i="14"/>
  <c r="AB122" i="14"/>
  <c r="AB131" i="14"/>
  <c r="AI159" i="14"/>
  <c r="AB299" i="14"/>
  <c r="AB141" i="14"/>
  <c r="AB215" i="14"/>
  <c r="AB297" i="14"/>
  <c r="Y203" i="14"/>
  <c r="Z172" i="14"/>
  <c r="AI284" i="14"/>
  <c r="AB158" i="14"/>
  <c r="AB234" i="14"/>
  <c r="AB306" i="14"/>
  <c r="Z208" i="14"/>
  <c r="N230" i="14"/>
  <c r="Y45" i="14"/>
  <c r="M316" i="14"/>
  <c r="N157" i="14"/>
  <c r="AI257" i="14"/>
  <c r="AB148" i="14"/>
  <c r="AB43" i="14"/>
  <c r="AI98" i="14"/>
  <c r="AB52" i="14"/>
  <c r="AB166" i="14"/>
  <c r="AB242" i="14"/>
  <c r="AB353" i="14"/>
  <c r="AB149" i="14"/>
  <c r="AB195" i="14"/>
  <c r="AI343" i="14"/>
  <c r="AB367" i="14"/>
  <c r="AI217" i="14"/>
  <c r="AI164" i="14"/>
  <c r="AB317" i="14"/>
  <c r="M48" i="14"/>
  <c r="AI91" i="14"/>
  <c r="AB100" i="14"/>
  <c r="AB108" i="14"/>
  <c r="AI287" i="14"/>
  <c r="AB30" i="14"/>
  <c r="AB29" i="14"/>
  <c r="AI274" i="14"/>
  <c r="AB111" i="14"/>
  <c r="AI252" i="14"/>
  <c r="AB311" i="14"/>
  <c r="AB301" i="14"/>
  <c r="AI340" i="14"/>
  <c r="AB226" i="14"/>
  <c r="AI48" i="14"/>
  <c r="AI291" i="14"/>
  <c r="AB365" i="14"/>
  <c r="AI310" i="14"/>
  <c r="AB263" i="14"/>
  <c r="AB233" i="14"/>
  <c r="AI50" i="14"/>
  <c r="AB118" i="14"/>
  <c r="AB325" i="14"/>
  <c r="AB83" i="14"/>
  <c r="AI82" i="14"/>
  <c r="AI271" i="14"/>
  <c r="AI269" i="14"/>
  <c r="AI303" i="14"/>
  <c r="AI51" i="14"/>
  <c r="AI194" i="14"/>
  <c r="N128" i="14"/>
  <c r="N151" i="14"/>
  <c r="N320" i="14"/>
  <c r="Y219" i="14"/>
  <c r="X243" i="14"/>
  <c r="X279" i="14"/>
  <c r="AN55" i="14"/>
  <c r="Z359" i="14"/>
  <c r="M309" i="14"/>
  <c r="Y217" i="14"/>
  <c r="Y136" i="14"/>
  <c r="X172" i="14"/>
  <c r="Y223" i="14"/>
  <c r="N302" i="14"/>
  <c r="X73" i="14"/>
  <c r="N290" i="14"/>
  <c r="AB77" i="14"/>
  <c r="N300" i="14"/>
  <c r="N299" i="14"/>
  <c r="N70" i="14"/>
  <c r="X310" i="14"/>
  <c r="Y357" i="14"/>
  <c r="Z224" i="14"/>
  <c r="M111" i="14"/>
  <c r="M148" i="14"/>
  <c r="Z214" i="14"/>
  <c r="AN328" i="14"/>
  <c r="N261" i="14"/>
  <c r="M40" i="14"/>
  <c r="N298" i="14"/>
  <c r="Z175" i="14"/>
  <c r="Y248" i="14"/>
  <c r="Z368" i="14"/>
  <c r="X170" i="14"/>
  <c r="M335" i="14"/>
  <c r="M141" i="14"/>
  <c r="X67" i="14"/>
  <c r="N156" i="14"/>
  <c r="M97" i="14"/>
  <c r="M33" i="14"/>
  <c r="AN316" i="14"/>
  <c r="Z284" i="14"/>
  <c r="N198" i="14"/>
  <c r="X203" i="14"/>
  <c r="AN355" i="14"/>
  <c r="M336" i="14"/>
  <c r="AN34" i="14"/>
  <c r="X240" i="14"/>
  <c r="AI324" i="14"/>
  <c r="AN175" i="14"/>
  <c r="Y207" i="14"/>
  <c r="AN363" i="14"/>
  <c r="N319" i="14"/>
  <c r="X283" i="14"/>
  <c r="N254" i="14"/>
  <c r="Y166" i="14"/>
  <c r="Z272" i="14"/>
  <c r="N41" i="14"/>
  <c r="Z336" i="14"/>
  <c r="M225" i="14"/>
  <c r="X78" i="14"/>
  <c r="M259" i="14"/>
  <c r="M311" i="14"/>
  <c r="N85" i="14"/>
  <c r="X212" i="14"/>
  <c r="N75" i="14"/>
  <c r="Z153" i="14"/>
  <c r="M333" i="14"/>
  <c r="AN234" i="14"/>
  <c r="AN87" i="14"/>
  <c r="Y105" i="14"/>
  <c r="Y266" i="14"/>
  <c r="N59" i="14"/>
  <c r="Z142" i="14"/>
  <c r="X134" i="14"/>
  <c r="N306" i="14"/>
  <c r="Y293" i="14"/>
  <c r="Y280" i="14"/>
  <c r="Y334" i="14"/>
  <c r="N236" i="14"/>
  <c r="AI57" i="14"/>
  <c r="AN229" i="14"/>
  <c r="Y349" i="14"/>
  <c r="X145" i="14"/>
  <c r="AN86" i="14"/>
  <c r="M89" i="14"/>
  <c r="Y157" i="14"/>
  <c r="Y201" i="14"/>
  <c r="N58" i="14"/>
  <c r="AB163" i="14"/>
  <c r="AI173" i="14"/>
  <c r="AB167" i="14"/>
  <c r="Z104" i="14"/>
  <c r="M287" i="14"/>
  <c r="Y141" i="14"/>
  <c r="M361" i="14"/>
  <c r="Y314" i="14"/>
  <c r="AI220" i="14"/>
  <c r="AB204" i="14"/>
  <c r="AB81" i="14"/>
  <c r="AB124" i="14"/>
  <c r="AB96" i="14"/>
  <c r="AB68" i="14"/>
  <c r="AI263" i="14"/>
  <c r="AI29" i="14"/>
  <c r="AB360" i="14"/>
  <c r="AI196" i="14"/>
  <c r="AI279" i="14"/>
  <c r="AI99" i="14"/>
  <c r="AB335" i="14"/>
  <c r="AI131" i="14"/>
  <c r="AI305" i="14"/>
  <c r="AB73" i="14"/>
  <c r="N143" i="14"/>
  <c r="AB245" i="14"/>
  <c r="AI316" i="14"/>
  <c r="AB224" i="14"/>
  <c r="AI206" i="14"/>
  <c r="AB361" i="14"/>
  <c r="AI235" i="14"/>
  <c r="AI75" i="14"/>
  <c r="AI195" i="14"/>
  <c r="AI120" i="14"/>
  <c r="AB279" i="14"/>
  <c r="AI369" i="14"/>
  <c r="AI227" i="14"/>
  <c r="AB330" i="14"/>
  <c r="AI205" i="14"/>
  <c r="AB304" i="14"/>
  <c r="AI357" i="14"/>
  <c r="AB322" i="14"/>
  <c r="AB222" i="14"/>
  <c r="AB328" i="14"/>
  <c r="AI153" i="14"/>
  <c r="AI241" i="14"/>
  <c r="AI251" i="14"/>
  <c r="AI100" i="14"/>
  <c r="AI193" i="14"/>
  <c r="AB32" i="14"/>
  <c r="AI64" i="14"/>
  <c r="AB287" i="14"/>
  <c r="AI244" i="14"/>
  <c r="AB267" i="14"/>
  <c r="Z177" i="14"/>
  <c r="AN357" i="14"/>
  <c r="N297" i="14"/>
  <c r="AN212" i="14"/>
  <c r="N360" i="14"/>
  <c r="N131" i="14"/>
  <c r="Y364" i="14"/>
  <c r="AN232" i="14"/>
  <c r="M94" i="14"/>
  <c r="Y51" i="14"/>
  <c r="AN139" i="14"/>
  <c r="AN261" i="14"/>
  <c r="N53" i="14"/>
  <c r="Z138" i="14"/>
  <c r="M65" i="14"/>
  <c r="Z234" i="14"/>
  <c r="AB78" i="14"/>
  <c r="Z205" i="14"/>
  <c r="Z101" i="14"/>
  <c r="Z83" i="14"/>
  <c r="AN36" i="14"/>
  <c r="N32" i="14"/>
  <c r="M189" i="14"/>
  <c r="M272" i="14"/>
  <c r="AN267" i="14"/>
  <c r="X247" i="14"/>
  <c r="X141" i="14"/>
  <c r="X335" i="14"/>
  <c r="X357" i="14"/>
  <c r="AN276" i="14"/>
  <c r="Z362" i="14"/>
  <c r="N353" i="14"/>
  <c r="Y294" i="14"/>
  <c r="N60" i="14"/>
  <c r="AN336" i="14"/>
  <c r="M157" i="14"/>
  <c r="M331" i="14"/>
  <c r="Y251" i="14"/>
  <c r="X254" i="14"/>
  <c r="Z251" i="14"/>
  <c r="M255" i="14"/>
  <c r="Z351" i="14"/>
  <c r="Y222" i="14"/>
  <c r="Y311" i="14"/>
  <c r="AN148" i="14"/>
  <c r="X193" i="14"/>
  <c r="X187" i="14"/>
  <c r="Z247" i="14"/>
  <c r="AI117" i="14"/>
  <c r="X280" i="14"/>
  <c r="AN197" i="14"/>
  <c r="N222" i="14"/>
  <c r="M276" i="14"/>
  <c r="AN71" i="14"/>
  <c r="AI105" i="14"/>
  <c r="AI277" i="14"/>
  <c r="AI182" i="14"/>
  <c r="Y149" i="14"/>
  <c r="X110" i="14"/>
  <c r="X288" i="14"/>
  <c r="Y47" i="14"/>
  <c r="X290" i="14"/>
  <c r="AB216" i="14"/>
  <c r="AB174" i="14"/>
  <c r="AB221" i="14"/>
  <c r="AI359" i="14"/>
  <c r="AI163" i="14"/>
  <c r="AI262" i="14"/>
  <c r="AI55" i="14"/>
  <c r="AI162" i="14"/>
  <c r="AI168" i="14"/>
  <c r="AB70" i="14"/>
  <c r="AB159" i="14"/>
  <c r="AB164" i="14"/>
  <c r="AI107" i="14"/>
  <c r="AB112" i="14"/>
  <c r="AI275" i="14"/>
  <c r="AB285" i="14"/>
  <c r="M357" i="14"/>
  <c r="AI308" i="14"/>
  <c r="AB358" i="14"/>
  <c r="AB333" i="14"/>
  <c r="AB286" i="14"/>
  <c r="AB38" i="14"/>
  <c r="AI351" i="14"/>
  <c r="AI179" i="14"/>
  <c r="AB180" i="14"/>
  <c r="AI295" i="14"/>
  <c r="AI65" i="14"/>
  <c r="AB154" i="14"/>
  <c r="AB64" i="14"/>
  <c r="AB342" i="14"/>
  <c r="AB63" i="14"/>
  <c r="AB57" i="14"/>
  <c r="AB192" i="14"/>
  <c r="AI38" i="14"/>
  <c r="AI85" i="14"/>
  <c r="AB210" i="14"/>
  <c r="AB211" i="14"/>
  <c r="AI96" i="14"/>
  <c r="AI74" i="14"/>
  <c r="AI46" i="14"/>
  <c r="AI234" i="14"/>
  <c r="AB270" i="14"/>
  <c r="AB178" i="14"/>
  <c r="AB65" i="14"/>
  <c r="AI142" i="14"/>
  <c r="AB110" i="14"/>
  <c r="X216" i="14"/>
  <c r="Y229" i="14"/>
  <c r="Z327" i="14"/>
  <c r="N141" i="14"/>
  <c r="M51" i="14"/>
  <c r="Z244" i="14"/>
  <c r="X124" i="14"/>
  <c r="Y54" i="14"/>
  <c r="X127" i="14"/>
  <c r="AN347" i="14"/>
  <c r="AN186" i="14"/>
  <c r="N215" i="14"/>
  <c r="Z64" i="14"/>
  <c r="X291" i="14"/>
  <c r="Y113" i="14"/>
  <c r="N365" i="14"/>
  <c r="AI129" i="14"/>
  <c r="M214" i="14"/>
  <c r="M281" i="14"/>
  <c r="Y327" i="14"/>
  <c r="AN260" i="14"/>
  <c r="N295" i="14"/>
  <c r="Y92" i="14"/>
  <c r="M134" i="14"/>
  <c r="N98" i="14"/>
  <c r="M235" i="14"/>
  <c r="Z239" i="14"/>
  <c r="AN57" i="14"/>
  <c r="AN128" i="14"/>
  <c r="N126" i="14"/>
  <c r="Z278" i="14"/>
  <c r="Z155" i="14"/>
  <c r="Z261" i="14"/>
  <c r="AN163" i="14"/>
  <c r="N314" i="14"/>
  <c r="Y289" i="14"/>
  <c r="Z271" i="14"/>
  <c r="Z281" i="14"/>
  <c r="X369" i="14"/>
  <c r="X68" i="14"/>
  <c r="X174" i="14"/>
  <c r="Y232" i="14"/>
  <c r="X245" i="14"/>
  <c r="X53" i="14"/>
  <c r="M181" i="14"/>
  <c r="X86" i="14"/>
  <c r="M123" i="14"/>
  <c r="AN199" i="14"/>
  <c r="AN310" i="14"/>
  <c r="X152" i="14"/>
  <c r="Y88" i="14"/>
  <c r="X268" i="14"/>
  <c r="X228" i="14"/>
  <c r="Y140" i="14"/>
  <c r="X271" i="14"/>
  <c r="X108" i="14"/>
  <c r="M318" i="14"/>
  <c r="AN209" i="14"/>
  <c r="Y211" i="14"/>
  <c r="X217" i="14"/>
  <c r="N73" i="14"/>
  <c r="M237" i="14"/>
  <c r="Y274" i="14"/>
  <c r="Z204" i="14"/>
  <c r="X142" i="14"/>
  <c r="Y192" i="14"/>
  <c r="Z33" i="14"/>
  <c r="X38" i="14"/>
  <c r="M86" i="14"/>
  <c r="X309" i="14"/>
  <c r="AN41" i="14"/>
  <c r="Z117" i="14"/>
  <c r="Z289" i="14"/>
  <c r="AI111" i="14"/>
  <c r="AI86" i="14"/>
  <c r="AB282" i="14"/>
  <c r="Z307" i="14"/>
  <c r="N265" i="14"/>
  <c r="M120" i="14"/>
  <c r="Z60" i="14"/>
  <c r="AN112" i="14"/>
  <c r="AB275" i="14"/>
  <c r="AB355" i="14"/>
  <c r="AI259" i="14"/>
  <c r="AB272" i="14"/>
  <c r="AB189" i="14"/>
  <c r="AI198" i="14"/>
  <c r="AI180" i="14"/>
  <c r="AB179" i="14"/>
  <c r="AI97" i="14"/>
  <c r="AB302" i="14"/>
  <c r="AI242" i="14"/>
  <c r="AB283" i="14"/>
  <c r="AI34" i="14"/>
  <c r="AB102" i="14"/>
  <c r="AB51" i="14"/>
  <c r="M42" i="14"/>
  <c r="N110" i="14"/>
  <c r="AI346" i="14"/>
  <c r="AB186" i="14"/>
  <c r="AI189" i="14"/>
  <c r="AI210" i="14"/>
  <c r="AI183" i="14"/>
  <c r="AB143" i="14"/>
  <c r="AI33" i="14"/>
  <c r="AB320" i="14"/>
  <c r="AB225" i="14"/>
  <c r="AB305" i="14"/>
  <c r="AI73" i="14"/>
  <c r="AB69" i="14"/>
  <c r="AI225" i="14"/>
  <c r="AB199" i="14"/>
  <c r="AI288" i="14"/>
  <c r="AI312" i="14"/>
  <c r="AB256" i="14"/>
  <c r="AB75" i="14"/>
  <c r="AB341" i="14"/>
  <c r="AB89" i="14"/>
  <c r="AI339" i="14"/>
  <c r="AI184" i="14"/>
  <c r="AI156" i="14"/>
  <c r="AI83" i="14"/>
  <c r="AB223" i="14"/>
  <c r="AB116" i="14"/>
  <c r="AB103" i="14"/>
  <c r="AI128" i="14"/>
  <c r="N293" i="14"/>
  <c r="Y299" i="14"/>
  <c r="N334" i="14"/>
  <c r="M81" i="14"/>
  <c r="Z197" i="14"/>
  <c r="X121" i="14"/>
  <c r="X213" i="14"/>
  <c r="Y276" i="14"/>
  <c r="Z130" i="14"/>
  <c r="M219" i="14"/>
  <c r="Y358" i="14"/>
  <c r="M71" i="14"/>
  <c r="N335" i="14"/>
  <c r="M30" i="14"/>
  <c r="Z353" i="14"/>
  <c r="Z28" i="14"/>
  <c r="Y239" i="14"/>
  <c r="Y82" i="14"/>
  <c r="N124" i="14"/>
  <c r="M131" i="14"/>
  <c r="Z87" i="14"/>
  <c r="M367" i="14"/>
  <c r="Y360" i="14"/>
  <c r="AN358" i="14"/>
  <c r="N339" i="14"/>
  <c r="N127" i="14"/>
  <c r="AN142" i="14"/>
  <c r="M79" i="14"/>
  <c r="M57" i="14"/>
  <c r="Z335" i="14"/>
  <c r="Y279" i="14"/>
  <c r="AN345" i="14"/>
  <c r="Z348" i="14"/>
  <c r="M102" i="14"/>
  <c r="M228" i="14"/>
  <c r="Y125" i="14"/>
  <c r="M164" i="14"/>
  <c r="N123" i="14"/>
  <c r="AN273" i="14"/>
  <c r="M31" i="14"/>
  <c r="Y69" i="14"/>
  <c r="AN279" i="14"/>
  <c r="X311" i="14"/>
  <c r="X297" i="14"/>
  <c r="AN264" i="14"/>
  <c r="AN102" i="14"/>
  <c r="M91" i="14"/>
  <c r="N43" i="14"/>
  <c r="Z303" i="14"/>
  <c r="M241" i="14"/>
  <c r="X320" i="14"/>
  <c r="AN219" i="14"/>
  <c r="Y278" i="14"/>
  <c r="N74" i="14"/>
  <c r="Y213" i="14"/>
  <c r="AN32" i="14"/>
  <c r="X261" i="14"/>
  <c r="X135" i="14"/>
  <c r="Z286" i="14"/>
  <c r="X77" i="14"/>
  <c r="Z245" i="14"/>
  <c r="AN69" i="14"/>
  <c r="N142" i="14"/>
  <c r="AN56" i="14"/>
  <c r="AN207" i="14"/>
  <c r="N332" i="14"/>
  <c r="N252" i="14"/>
  <c r="AN64" i="14"/>
  <c r="Z39" i="14"/>
  <c r="Y214" i="14"/>
  <c r="AN121" i="14"/>
  <c r="N175" i="14"/>
  <c r="Z318" i="14"/>
  <c r="Y64" i="14"/>
  <c r="Y361" i="14"/>
  <c r="AN323" i="14"/>
  <c r="Z201" i="14"/>
  <c r="AN256" i="14"/>
  <c r="N267" i="14"/>
  <c r="M58" i="14"/>
  <c r="AI58" i="14"/>
  <c r="N325" i="14"/>
  <c r="M279" i="14"/>
  <c r="Y342" i="14"/>
  <c r="X70" i="14"/>
  <c r="M129" i="14"/>
  <c r="X303" i="14"/>
  <c r="M278" i="14"/>
  <c r="X284" i="14"/>
  <c r="Z237" i="14"/>
  <c r="M41" i="14"/>
  <c r="N336" i="14"/>
  <c r="X94" i="14"/>
  <c r="N214" i="14"/>
  <c r="N312" i="14"/>
  <c r="AN321" i="14"/>
  <c r="X184" i="14"/>
  <c r="N82" i="14"/>
  <c r="Z282" i="14"/>
  <c r="AN289" i="14"/>
  <c r="M95" i="14"/>
  <c r="Z46" i="14"/>
  <c r="Y313" i="14"/>
  <c r="Z315" i="14"/>
  <c r="M104" i="14"/>
  <c r="N45" i="14"/>
  <c r="M121" i="14"/>
  <c r="N145" i="14"/>
  <c r="N149" i="14"/>
  <c r="Z365" i="14"/>
  <c r="N347" i="14"/>
  <c r="N308" i="14"/>
  <c r="X61" i="14"/>
  <c r="Z354" i="14"/>
  <c r="Z160" i="14"/>
  <c r="M114" i="14"/>
  <c r="N362" i="14"/>
  <c r="X65" i="14"/>
  <c r="Z268" i="14"/>
  <c r="Z366" i="14"/>
  <c r="Y252" i="14"/>
  <c r="AN278" i="14"/>
  <c r="N178" i="14"/>
  <c r="Y123" i="14"/>
  <c r="M254" i="14"/>
  <c r="Z288" i="14"/>
  <c r="Z221" i="14"/>
  <c r="M217" i="14"/>
  <c r="AN31" i="14"/>
  <c r="N368" i="14"/>
  <c r="X105" i="14"/>
  <c r="AN196" i="14"/>
  <c r="Z134" i="14"/>
  <c r="M293" i="14"/>
  <c r="N315" i="14"/>
  <c r="M45" i="14"/>
  <c r="N351" i="14"/>
  <c r="X359" i="14"/>
  <c r="M327" i="14"/>
  <c r="M286" i="14"/>
  <c r="AN165" i="14"/>
  <c r="AN368" i="14"/>
  <c r="Y244" i="14"/>
  <c r="Y153" i="14"/>
  <c r="M302" i="14"/>
  <c r="AN119" i="14"/>
  <c r="Y359" i="14"/>
  <c r="Z223" i="14"/>
  <c r="X93" i="14"/>
  <c r="Z250" i="14"/>
  <c r="M78" i="14"/>
  <c r="AN292" i="14"/>
  <c r="Y307" i="14"/>
  <c r="M153" i="14"/>
  <c r="AN324" i="14"/>
  <c r="X277" i="14"/>
  <c r="N204" i="14"/>
  <c r="AN179" i="14"/>
  <c r="AN359" i="14"/>
  <c r="N119" i="14"/>
  <c r="N79" i="14"/>
  <c r="AN178" i="14"/>
  <c r="Z143" i="14"/>
  <c r="N159" i="14"/>
  <c r="M84" i="14"/>
  <c r="X183" i="14"/>
  <c r="Z165" i="14"/>
  <c r="Z48" i="14"/>
  <c r="Z57" i="14"/>
  <c r="Z228" i="14"/>
  <c r="X167" i="14"/>
  <c r="Y216" i="14"/>
  <c r="Z42" i="14"/>
  <c r="Y365" i="14"/>
  <c r="Z126" i="14"/>
  <c r="N305" i="14"/>
  <c r="M322" i="14"/>
  <c r="M133" i="14"/>
  <c r="N280" i="14"/>
  <c r="AN88" i="14"/>
  <c r="M28" i="14"/>
  <c r="X344" i="14"/>
  <c r="AN361" i="14"/>
  <c r="X176" i="14"/>
  <c r="AN288" i="14"/>
  <c r="Z298" i="14"/>
  <c r="M288" i="14"/>
  <c r="X42" i="14"/>
  <c r="Z274" i="14"/>
  <c r="AN224" i="14"/>
  <c r="X196" i="14"/>
  <c r="AN129" i="14"/>
  <c r="M328" i="14"/>
  <c r="Z254" i="14"/>
  <c r="X95" i="14"/>
  <c r="Z342" i="14"/>
  <c r="N318" i="14"/>
  <c r="M178" i="14"/>
  <c r="M359" i="14"/>
  <c r="Y187" i="14"/>
  <c r="Y351" i="14"/>
  <c r="Z260" i="14"/>
  <c r="X74" i="14"/>
  <c r="AN122" i="14"/>
  <c r="N235" i="14"/>
  <c r="Z89" i="14"/>
  <c r="N191" i="14"/>
  <c r="M253" i="14"/>
  <c r="X257" i="14"/>
  <c r="M109" i="14"/>
  <c r="N228" i="14"/>
  <c r="AN147" i="14"/>
  <c r="X286" i="14"/>
  <c r="N248" i="14"/>
  <c r="X233" i="14"/>
  <c r="X226" i="14"/>
  <c r="X367" i="14"/>
  <c r="N138" i="14"/>
  <c r="Z55" i="14"/>
  <c r="AN29" i="14"/>
  <c r="N218" i="14"/>
  <c r="M229" i="14"/>
  <c r="Z340" i="14"/>
  <c r="N232" i="14"/>
  <c r="Y282" i="14"/>
  <c r="X171" i="14"/>
  <c r="Y195" i="14"/>
  <c r="M122" i="14"/>
  <c r="Y121" i="14"/>
  <c r="AN44" i="14"/>
  <c r="Y110" i="14"/>
  <c r="M132" i="14"/>
  <c r="X273" i="14"/>
  <c r="X252" i="14"/>
  <c r="M168" i="14"/>
  <c r="M180" i="14"/>
  <c r="N148" i="14"/>
  <c r="AN335" i="14"/>
  <c r="M263" i="14"/>
  <c r="Z47" i="14"/>
  <c r="Y206" i="14"/>
  <c r="M190" i="14"/>
  <c r="M257" i="14"/>
  <c r="N161" i="14"/>
  <c r="M319" i="14"/>
  <c r="Y306" i="14"/>
  <c r="M266" i="14"/>
  <c r="Z302" i="14"/>
  <c r="AN243" i="14"/>
  <c r="N227" i="14"/>
  <c r="Z58" i="14"/>
  <c r="AN272" i="14"/>
  <c r="X48" i="14"/>
  <c r="Z170" i="14"/>
  <c r="Y233" i="14"/>
  <c r="AN127" i="14"/>
  <c r="M174" i="14"/>
  <c r="Z115" i="14"/>
  <c r="N62" i="14"/>
  <c r="X200" i="14"/>
  <c r="Z276" i="14"/>
  <c r="X250" i="14"/>
  <c r="M248" i="14"/>
  <c r="X208" i="14"/>
  <c r="Y147" i="14"/>
  <c r="AN63" i="14"/>
  <c r="Z183" i="14"/>
  <c r="Y202" i="14"/>
  <c r="Z29" i="14"/>
  <c r="M282" i="14"/>
  <c r="N71" i="14"/>
  <c r="N366" i="14"/>
  <c r="X107" i="14"/>
  <c r="Y124" i="14"/>
  <c r="M125" i="14"/>
  <c r="Z333" i="14"/>
  <c r="Z105" i="14"/>
  <c r="Z312" i="14"/>
  <c r="AN189" i="14"/>
  <c r="Z300" i="14"/>
  <c r="AN125" i="14"/>
  <c r="M116" i="14"/>
  <c r="M144" i="14"/>
  <c r="X64" i="14"/>
  <c r="M167" i="14"/>
  <c r="Y288" i="14"/>
  <c r="AN246" i="14"/>
  <c r="AB246" i="14"/>
  <c r="M119" i="14"/>
  <c r="Z213" i="14"/>
  <c r="N238" i="14"/>
  <c r="N69" i="14"/>
  <c r="N112" i="14"/>
  <c r="M273" i="14"/>
  <c r="X169" i="14"/>
  <c r="Y347" i="14"/>
  <c r="AN311" i="14"/>
  <c r="M245" i="14"/>
  <c r="M61" i="14"/>
  <c r="M87" i="14"/>
  <c r="Y98" i="14"/>
  <c r="X332" i="14"/>
  <c r="X364" i="14"/>
  <c r="Y188" i="14"/>
  <c r="M107" i="14"/>
  <c r="Z220" i="14"/>
  <c r="AN330" i="14"/>
  <c r="AN255" i="14"/>
  <c r="X201" i="14"/>
  <c r="AN81" i="14"/>
  <c r="N272" i="14"/>
  <c r="M38" i="14"/>
  <c r="AN90" i="14"/>
  <c r="X180" i="14"/>
  <c r="N99" i="14"/>
  <c r="Z41" i="14"/>
  <c r="AN39" i="14"/>
  <c r="X263" i="14"/>
  <c r="AN367" i="14"/>
  <c r="Y31" i="14"/>
  <c r="AN123" i="14"/>
  <c r="AN154" i="14"/>
  <c r="X39" i="14"/>
  <c r="M67" i="14"/>
  <c r="M162" i="14"/>
  <c r="Y355" i="14"/>
  <c r="Z248" i="14"/>
  <c r="Z299" i="14"/>
  <c r="AN99" i="14"/>
  <c r="AN124" i="14"/>
  <c r="M269" i="14"/>
  <c r="X191" i="14"/>
  <c r="AN174" i="14"/>
  <c r="AN216" i="14"/>
  <c r="X337" i="14"/>
  <c r="Z338" i="14"/>
  <c r="N212" i="14"/>
  <c r="AN137" i="14"/>
  <c r="Y260" i="14"/>
  <c r="M88" i="14"/>
  <c r="Z195" i="14"/>
  <c r="X113" i="14"/>
  <c r="Y133" i="14"/>
  <c r="M313" i="14"/>
  <c r="M63" i="14"/>
  <c r="X177" i="14"/>
  <c r="Y182" i="14"/>
  <c r="M216" i="14"/>
  <c r="X60" i="14"/>
  <c r="Y143" i="14"/>
  <c r="N136" i="14"/>
  <c r="M103" i="14"/>
  <c r="N266" i="14"/>
  <c r="Y269" i="14"/>
  <c r="Z334" i="14"/>
  <c r="N96" i="14"/>
  <c r="Y296" i="14"/>
  <c r="AN117" i="14"/>
  <c r="M70" i="14"/>
  <c r="X352" i="14"/>
  <c r="N270" i="14"/>
  <c r="M353" i="14"/>
  <c r="N269" i="14"/>
  <c r="X238" i="14"/>
  <c r="M366" i="14"/>
  <c r="N226" i="14"/>
  <c r="X270" i="14"/>
  <c r="M53" i="14"/>
  <c r="AN152" i="14"/>
  <c r="M185" i="14"/>
  <c r="AN92" i="14"/>
  <c r="AN263" i="14"/>
  <c r="Y204" i="14"/>
  <c r="AN265" i="14"/>
  <c r="Y55" i="14"/>
  <c r="X327" i="14"/>
  <c r="X299" i="14"/>
  <c r="AN296" i="14"/>
  <c r="N186" i="14"/>
  <c r="AN281" i="14"/>
  <c r="M297" i="14"/>
  <c r="M295" i="14"/>
  <c r="Y199" i="14"/>
  <c r="M341" i="14"/>
  <c r="Y131" i="14"/>
  <c r="Z343" i="14"/>
  <c r="Z124" i="14"/>
  <c r="N33" i="14"/>
  <c r="X347" i="14"/>
  <c r="AN131" i="14"/>
  <c r="N31" i="14"/>
  <c r="AN334" i="14"/>
  <c r="N301" i="14"/>
  <c r="X328" i="14"/>
  <c r="Z273" i="14"/>
  <c r="N132" i="14"/>
  <c r="Y154" i="14"/>
  <c r="N262" i="14"/>
  <c r="M124" i="14"/>
  <c r="M196" i="14"/>
  <c r="AN162" i="14"/>
  <c r="M250" i="14"/>
  <c r="AN266" i="14"/>
  <c r="Z363" i="14"/>
  <c r="N350" i="14"/>
  <c r="N287" i="14"/>
  <c r="X109" i="14"/>
  <c r="X294" i="14"/>
  <c r="N208" i="14"/>
  <c r="N344" i="14"/>
  <c r="Z344" i="14"/>
  <c r="X41" i="14"/>
  <c r="AN183" i="14"/>
  <c r="AN188" i="14"/>
  <c r="AB327" i="14"/>
  <c r="M301" i="14"/>
  <c r="N172" i="14"/>
  <c r="Y215" i="14"/>
  <c r="M346" i="14"/>
  <c r="N57" i="14"/>
  <c r="N51" i="14"/>
  <c r="M230" i="14"/>
  <c r="AN75" i="14"/>
  <c r="Y350" i="14"/>
  <c r="N200" i="14"/>
  <c r="Y29" i="14"/>
  <c r="M317" i="14"/>
  <c r="Y272" i="14"/>
  <c r="Y231" i="14"/>
  <c r="Y368" i="14"/>
  <c r="Y197" i="14"/>
  <c r="X302" i="14"/>
  <c r="Y33" i="14"/>
  <c r="AN114" i="14"/>
  <c r="AN280" i="14"/>
  <c r="AN182" i="14"/>
  <c r="X161" i="14"/>
  <c r="Z114" i="14"/>
  <c r="N185" i="14"/>
  <c r="X195" i="14"/>
  <c r="AN320" i="14"/>
  <c r="AN89" i="14"/>
  <c r="Y90" i="14"/>
  <c r="Y170" i="14"/>
  <c r="N78" i="14"/>
  <c r="M138" i="14"/>
  <c r="X140" i="14"/>
  <c r="X35" i="14"/>
  <c r="AN242" i="14"/>
  <c r="M191" i="14"/>
  <c r="AN136" i="14"/>
  <c r="Z132" i="14"/>
  <c r="X345" i="14"/>
  <c r="N115" i="14"/>
  <c r="AN360" i="14"/>
  <c r="X329" i="14"/>
  <c r="N193" i="14"/>
  <c r="AN134" i="14"/>
  <c r="Z69" i="14"/>
  <c r="N309" i="14"/>
  <c r="AN78" i="14"/>
  <c r="X168" i="14"/>
  <c r="X178" i="14"/>
  <c r="X306" i="14"/>
  <c r="X82" i="14"/>
  <c r="Z306" i="14"/>
  <c r="AN299" i="14"/>
  <c r="AN159" i="14"/>
  <c r="X146" i="14"/>
  <c r="N279" i="14"/>
  <c r="Y225" i="14"/>
  <c r="X339" i="14"/>
  <c r="AN319" i="14"/>
  <c r="X151" i="14"/>
  <c r="Z275" i="14"/>
  <c r="Y284" i="14"/>
  <c r="M227" i="14"/>
  <c r="Z267" i="14"/>
  <c r="M242" i="14"/>
  <c r="X220" i="14"/>
  <c r="M308" i="14"/>
  <c r="AN126" i="14"/>
  <c r="M32" i="14"/>
  <c r="M365" i="14"/>
  <c r="Y63" i="14"/>
  <c r="M249" i="14"/>
  <c r="Y198" i="14"/>
  <c r="N81" i="14"/>
  <c r="M355" i="14"/>
  <c r="X326" i="14"/>
  <c r="N179" i="14"/>
  <c r="Y156" i="14"/>
  <c r="AN103" i="14"/>
  <c r="Z152" i="14"/>
  <c r="Y155" i="14"/>
  <c r="AN58" i="14"/>
  <c r="AN83" i="14"/>
  <c r="X365" i="14"/>
  <c r="X204" i="14"/>
  <c r="AN290" i="14"/>
  <c r="AN268" i="14"/>
  <c r="N213" i="14"/>
  <c r="Z265" i="14"/>
  <c r="Z211" i="14"/>
  <c r="AN140" i="14"/>
  <c r="Y162" i="14"/>
  <c r="M197" i="14"/>
  <c r="N77" i="14"/>
  <c r="Y101" i="14"/>
  <c r="AN277" i="14"/>
  <c r="X132" i="14"/>
  <c r="X59" i="14"/>
  <c r="Y130" i="14"/>
  <c r="M285" i="14"/>
  <c r="Y148" i="14"/>
  <c r="Y129" i="14"/>
  <c r="X355" i="14"/>
  <c r="Z79" i="14"/>
  <c r="N125" i="14"/>
  <c r="Y168" i="14"/>
  <c r="Z112" i="14"/>
  <c r="AN51" i="14"/>
  <c r="Z252" i="14"/>
  <c r="X241" i="14"/>
  <c r="Z81" i="14"/>
  <c r="Z102" i="14"/>
  <c r="N150" i="14"/>
  <c r="X218" i="14"/>
  <c r="Z45" i="14"/>
  <c r="Z62" i="14"/>
  <c r="N171" i="14"/>
  <c r="Y261" i="14"/>
  <c r="AN293" i="14"/>
  <c r="N369" i="14"/>
  <c r="M240" i="14"/>
  <c r="X79" i="14"/>
  <c r="X262" i="14"/>
  <c r="Y354" i="14"/>
  <c r="Y59" i="14"/>
  <c r="M179" i="14"/>
  <c r="AN245" i="14"/>
  <c r="Z99" i="14"/>
  <c r="X331" i="14"/>
  <c r="X85" i="14"/>
  <c r="AN344" i="14"/>
  <c r="N134" i="14"/>
  <c r="Z331" i="14"/>
  <c r="AN244" i="14"/>
  <c r="N217" i="14"/>
  <c r="AN181" i="14"/>
  <c r="M154" i="14"/>
  <c r="Z364" i="14"/>
  <c r="Z320" i="14"/>
  <c r="AN164" i="14"/>
  <c r="N170" i="14"/>
  <c r="M59" i="14"/>
  <c r="Y322" i="14"/>
  <c r="Z262" i="14"/>
  <c r="Y286" i="14"/>
  <c r="M142" i="14"/>
  <c r="Y71" i="14"/>
  <c r="Y65" i="14"/>
  <c r="Y339" i="14"/>
  <c r="Z326" i="14"/>
  <c r="Z54" i="14"/>
  <c r="Y226" i="14"/>
  <c r="N36" i="14"/>
  <c r="Z82" i="14"/>
  <c r="AN274" i="14"/>
  <c r="M362" i="14"/>
  <c r="AN318" i="14"/>
  <c r="AN237" i="14"/>
  <c r="N113" i="14"/>
  <c r="Y249" i="14"/>
  <c r="X149" i="14"/>
  <c r="Z128" i="14"/>
  <c r="X275" i="14"/>
  <c r="X165" i="14"/>
  <c r="AN28" i="14"/>
  <c r="M324" i="14"/>
  <c r="AN362" i="14"/>
  <c r="M221" i="14"/>
  <c r="Z246" i="14"/>
  <c r="N105" i="14"/>
  <c r="M43" i="14"/>
  <c r="X214" i="14"/>
  <c r="M137" i="14"/>
  <c r="N259" i="14"/>
  <c r="X333" i="14"/>
  <c r="M115" i="14"/>
  <c r="AN341" i="14"/>
  <c r="Z137" i="14"/>
  <c r="Z200" i="14"/>
  <c r="Y40" i="14"/>
  <c r="X314" i="14"/>
  <c r="X128" i="14"/>
  <c r="M92" i="14"/>
  <c r="AN155" i="14"/>
  <c r="N243" i="14"/>
  <c r="M233" i="14"/>
  <c r="Y366" i="14"/>
  <c r="AN62" i="14"/>
  <c r="AN248" i="14"/>
  <c r="X129" i="14"/>
  <c r="Y102" i="14"/>
  <c r="X102" i="14"/>
  <c r="AN93" i="14"/>
  <c r="M169" i="14"/>
  <c r="M139" i="14"/>
  <c r="M192" i="14"/>
  <c r="N240" i="14"/>
  <c r="N91" i="14"/>
  <c r="Z264" i="14"/>
  <c r="M283" i="14"/>
  <c r="AN146" i="14"/>
  <c r="N147" i="14"/>
  <c r="N330" i="14"/>
  <c r="Z347" i="14"/>
  <c r="X248" i="14"/>
  <c r="M206" i="14"/>
  <c r="M177" i="14"/>
  <c r="Z49" i="14"/>
  <c r="Y338" i="14"/>
  <c r="X259" i="14"/>
  <c r="AN168" i="14"/>
  <c r="N100" i="14"/>
  <c r="X96" i="14"/>
  <c r="M173" i="14"/>
  <c r="Z63" i="14"/>
  <c r="Z90" i="14"/>
  <c r="Y319" i="14"/>
  <c r="X232" i="14"/>
  <c r="Y257" i="14"/>
  <c r="AN52" i="14"/>
  <c r="Y362" i="14"/>
  <c r="Z350" i="14"/>
  <c r="Y250" i="14"/>
  <c r="Z106" i="14"/>
  <c r="Y259" i="14"/>
  <c r="X307" i="14"/>
  <c r="Y292" i="14"/>
  <c r="M64" i="14"/>
  <c r="N163" i="14"/>
  <c r="Y245" i="14"/>
  <c r="X175" i="14"/>
  <c r="Z164" i="14"/>
  <c r="Y356" i="14"/>
  <c r="N241" i="14"/>
  <c r="Z140" i="14"/>
  <c r="Y320" i="14"/>
  <c r="X269" i="14"/>
  <c r="Z181" i="14"/>
  <c r="Y50" i="14"/>
  <c r="M176" i="14"/>
  <c r="Y268" i="14"/>
  <c r="Z360" i="14"/>
  <c r="X356" i="14"/>
  <c r="Y161" i="14"/>
  <c r="M342" i="14"/>
  <c r="AN258" i="14"/>
  <c r="X66" i="14"/>
  <c r="Y151" i="14"/>
  <c r="AN42" i="14"/>
  <c r="N120" i="14"/>
  <c r="AN350" i="14"/>
  <c r="Z358" i="14"/>
  <c r="N48" i="14"/>
  <c r="M165" i="14"/>
  <c r="Y106" i="14"/>
  <c r="M170" i="14"/>
  <c r="AN271" i="14"/>
  <c r="Z361" i="14"/>
  <c r="X334" i="14"/>
  <c r="X260" i="14"/>
  <c r="M100" i="14"/>
  <c r="X148" i="14"/>
  <c r="Y95" i="14"/>
  <c r="AN67" i="14"/>
  <c r="Y242" i="14"/>
  <c r="N72" i="14"/>
  <c r="AN82" i="14"/>
  <c r="Z231" i="14"/>
  <c r="M182" i="14"/>
  <c r="Y301" i="14"/>
  <c r="N216" i="14"/>
  <c r="N80" i="14"/>
  <c r="X119" i="14"/>
  <c r="X118" i="14"/>
  <c r="Y144" i="14"/>
  <c r="N44" i="14"/>
  <c r="Y96" i="14"/>
  <c r="M363" i="14"/>
  <c r="Y164" i="14"/>
  <c r="M161" i="14"/>
  <c r="Z32" i="14"/>
  <c r="Z285" i="14"/>
  <c r="M298" i="14"/>
  <c r="N337" i="14"/>
  <c r="N343" i="14"/>
  <c r="Y74" i="14"/>
  <c r="Z136" i="14"/>
  <c r="AN200" i="14"/>
  <c r="AN104" i="14"/>
  <c r="Z215" i="14"/>
  <c r="N211" i="14"/>
  <c r="AN303" i="14"/>
  <c r="N176" i="14"/>
  <c r="X131" i="14"/>
  <c r="AN158" i="14"/>
  <c r="X92" i="14"/>
  <c r="X54" i="14"/>
  <c r="AN161" i="14"/>
  <c r="N251" i="14"/>
  <c r="Z308" i="14"/>
  <c r="Z127" i="14"/>
  <c r="N30" i="14"/>
  <c r="Y165" i="14"/>
  <c r="Z56" i="14"/>
  <c r="N28" i="14"/>
  <c r="Y210" i="14"/>
  <c r="M44" i="14"/>
  <c r="N340" i="14"/>
  <c r="N162" i="14"/>
  <c r="M39" i="14"/>
  <c r="M305" i="14"/>
  <c r="Z92" i="14"/>
  <c r="Y28" i="14"/>
  <c r="X150" i="14"/>
  <c r="N277" i="14"/>
  <c r="M306" i="14"/>
  <c r="X30" i="14"/>
  <c r="Z279" i="14"/>
  <c r="X99" i="14"/>
  <c r="X133" i="14"/>
  <c r="N196" i="14"/>
  <c r="Z118" i="14"/>
  <c r="Z290" i="14"/>
  <c r="M69" i="14"/>
  <c r="AN73" i="14"/>
  <c r="Y303" i="14"/>
  <c r="Z199" i="14"/>
  <c r="Z76" i="14"/>
  <c r="M326" i="14"/>
  <c r="Z129" i="14"/>
  <c r="X358" i="14"/>
  <c r="N324" i="14"/>
  <c r="AN333" i="14"/>
  <c r="Z367" i="14"/>
  <c r="M209" i="14"/>
  <c r="Y227" i="14"/>
  <c r="AN329" i="14"/>
  <c r="Y43" i="14"/>
  <c r="N233" i="14"/>
  <c r="Z227" i="14"/>
  <c r="N144" i="14"/>
  <c r="X80" i="14"/>
  <c r="X56" i="14"/>
  <c r="AN348" i="14"/>
  <c r="N239" i="14"/>
  <c r="AN283" i="14"/>
  <c r="AN115" i="14"/>
  <c r="AN66" i="14"/>
  <c r="AN327" i="14"/>
  <c r="AN291" i="14"/>
  <c r="AN61" i="14"/>
  <c r="Y240" i="14"/>
  <c r="X199" i="14"/>
  <c r="N292" i="14"/>
  <c r="Y126" i="14"/>
  <c r="M136" i="14"/>
  <c r="Z229" i="14"/>
  <c r="Y67" i="14"/>
  <c r="M36" i="14"/>
  <c r="X90" i="14"/>
  <c r="M291" i="14"/>
  <c r="Y175" i="14"/>
  <c r="N221" i="14"/>
  <c r="N106" i="14"/>
  <c r="Z70" i="14"/>
  <c r="Y179" i="14"/>
  <c r="X198" i="14"/>
  <c r="M315" i="14"/>
  <c r="M52" i="14"/>
  <c r="Y273" i="14"/>
  <c r="N111" i="14"/>
  <c r="X215" i="14"/>
  <c r="N46" i="14"/>
  <c r="AN356" i="14"/>
  <c r="Z283" i="14"/>
  <c r="AN190" i="14"/>
  <c r="Z222" i="14"/>
  <c r="M145" i="14"/>
  <c r="N311" i="14"/>
  <c r="Z242" i="14"/>
  <c r="Z329" i="14"/>
  <c r="AN60" i="14"/>
  <c r="Y321" i="14"/>
  <c r="AN110" i="14"/>
  <c r="X360" i="14"/>
  <c r="N229" i="14"/>
  <c r="X267" i="14"/>
  <c r="M294" i="14"/>
  <c r="AN169" i="14"/>
  <c r="Y369" i="14"/>
  <c r="M258" i="14"/>
  <c r="Y258" i="14"/>
  <c r="Y100" i="14"/>
  <c r="N361" i="14"/>
  <c r="Z31" i="14"/>
  <c r="M277" i="14"/>
  <c r="Z163" i="14"/>
  <c r="Y236" i="14"/>
  <c r="M222" i="14"/>
  <c r="M215" i="14"/>
  <c r="AN220" i="14"/>
  <c r="N194" i="14"/>
  <c r="Y326" i="14"/>
  <c r="Y183" i="14"/>
  <c r="X46" i="14"/>
  <c r="M252" i="14"/>
  <c r="Z270" i="14"/>
  <c r="X139" i="14"/>
  <c r="Z36" i="14"/>
  <c r="M159" i="14"/>
  <c r="Y335" i="14"/>
  <c r="Z311" i="14"/>
  <c r="X155" i="14"/>
  <c r="AN366" i="14"/>
  <c r="AN317" i="14"/>
  <c r="X81" i="14"/>
  <c r="X32" i="14"/>
  <c r="X272" i="14"/>
  <c r="Z131" i="14"/>
  <c r="Y97" i="14"/>
  <c r="AN94" i="14"/>
  <c r="M356" i="14"/>
  <c r="M330" i="14"/>
  <c r="Y281" i="14"/>
  <c r="M207" i="14"/>
  <c r="N249" i="14"/>
  <c r="Y128" i="14"/>
  <c r="AN132" i="14"/>
  <c r="Y256" i="14"/>
  <c r="M118" i="14"/>
  <c r="X361" i="14"/>
  <c r="AN252" i="14"/>
  <c r="Y169" i="14"/>
  <c r="X114" i="14"/>
  <c r="X235" i="14"/>
  <c r="N271" i="14"/>
  <c r="X72" i="14"/>
  <c r="M75" i="14"/>
  <c r="X103" i="14"/>
  <c r="AN257" i="14"/>
  <c r="Y49" i="14"/>
  <c r="X251" i="14"/>
  <c r="N345" i="14"/>
  <c r="X223" i="14"/>
  <c r="Z219" i="14"/>
  <c r="AN204" i="14"/>
  <c r="Y135" i="14"/>
  <c r="N260" i="14"/>
  <c r="X173" i="14"/>
  <c r="X164" i="14"/>
  <c r="Y277" i="14"/>
  <c r="Y150" i="14"/>
  <c r="X55" i="14"/>
  <c r="X342" i="14"/>
  <c r="N64" i="14"/>
  <c r="X323" i="14"/>
  <c r="AN138" i="14"/>
  <c r="Z218" i="14"/>
  <c r="Z38" i="14"/>
  <c r="N90" i="14"/>
  <c r="Z51" i="14"/>
  <c r="Z107" i="14"/>
  <c r="N154" i="14"/>
  <c r="Y234" i="14"/>
  <c r="Z317" i="14"/>
  <c r="AN143" i="14"/>
  <c r="Y38" i="14"/>
  <c r="N67" i="14"/>
  <c r="N219" i="14"/>
  <c r="M296" i="14"/>
  <c r="X36" i="14"/>
  <c r="AN315" i="14"/>
  <c r="Z159" i="14"/>
  <c r="M244" i="14"/>
  <c r="X147" i="14"/>
  <c r="Y41" i="14"/>
  <c r="M73" i="14"/>
  <c r="AN97" i="14"/>
  <c r="AN49" i="14"/>
  <c r="Z233" i="14"/>
  <c r="Y78" i="14"/>
  <c r="Z349" i="14"/>
  <c r="Z122" i="14"/>
  <c r="Z301" i="14"/>
  <c r="AN226" i="14"/>
  <c r="X330" i="14"/>
  <c r="N182" i="14"/>
  <c r="Y62" i="14"/>
  <c r="AN235" i="14"/>
  <c r="M155" i="14"/>
  <c r="Z292" i="14"/>
  <c r="AN166" i="14"/>
  <c r="AN144" i="14"/>
  <c r="N358" i="14"/>
  <c r="Y34" i="14"/>
  <c r="N363" i="14"/>
  <c r="M204" i="14"/>
  <c r="N349" i="14"/>
  <c r="M310" i="14"/>
  <c r="Z93" i="14"/>
  <c r="N296" i="14"/>
  <c r="Y325" i="14"/>
  <c r="N276" i="14"/>
  <c r="Y353" i="14"/>
  <c r="Y85" i="14"/>
  <c r="X227" i="14"/>
  <c r="Z356" i="14"/>
  <c r="Z103" i="14"/>
  <c r="M271" i="14"/>
  <c r="Y127" i="14"/>
  <c r="AN240" i="14"/>
  <c r="Y159" i="14"/>
  <c r="Y238" i="14"/>
  <c r="Z43" i="14"/>
  <c r="X281" i="14"/>
  <c r="N88" i="14"/>
  <c r="Y99" i="14"/>
  <c r="Y104" i="14"/>
  <c r="N329" i="14"/>
  <c r="X83" i="14"/>
  <c r="AN191" i="14"/>
  <c r="AN135" i="14"/>
  <c r="M213" i="14"/>
  <c r="Z95" i="14"/>
  <c r="N206" i="14"/>
  <c r="Y329" i="14"/>
  <c r="Y61" i="14"/>
  <c r="Y205" i="14"/>
  <c r="M200" i="14"/>
  <c r="X256" i="14"/>
  <c r="M49" i="14"/>
  <c r="M199" i="14"/>
  <c r="Z73" i="14"/>
  <c r="Z85" i="14"/>
  <c r="Z258" i="14"/>
  <c r="N38" i="14"/>
  <c r="Z146" i="14"/>
  <c r="X338" i="14"/>
  <c r="N264" i="14"/>
  <c r="M352" i="14"/>
  <c r="Y295" i="14"/>
  <c r="M175" i="14"/>
  <c r="X246" i="14"/>
  <c r="M101" i="14"/>
  <c r="M325" i="14"/>
  <c r="Z176" i="14"/>
  <c r="X40" i="14"/>
  <c r="Y310" i="14"/>
  <c r="N352" i="14"/>
  <c r="X58" i="14"/>
  <c r="AN210" i="14"/>
  <c r="N95" i="14"/>
  <c r="Z178" i="14"/>
  <c r="X258" i="14"/>
  <c r="M262" i="14"/>
  <c r="M321" i="14"/>
  <c r="N322" i="14"/>
  <c r="M246" i="14"/>
  <c r="Z156" i="14"/>
  <c r="X45" i="14"/>
  <c r="Z295" i="14"/>
  <c r="M239" i="14"/>
  <c r="N346" i="14"/>
  <c r="M150" i="14"/>
  <c r="AN231" i="14"/>
  <c r="Z309" i="14"/>
  <c r="X100" i="14"/>
  <c r="X321" i="14"/>
  <c r="M172" i="14"/>
  <c r="N117" i="14"/>
  <c r="Z304" i="14"/>
  <c r="AN50" i="14"/>
  <c r="M194" i="14"/>
  <c r="N94" i="14"/>
  <c r="Y190" i="14"/>
  <c r="X115" i="14"/>
  <c r="AN47" i="14"/>
  <c r="N207" i="14"/>
  <c r="AN352" i="14"/>
  <c r="Y174" i="14"/>
  <c r="Z313" i="14"/>
  <c r="Z332" i="14"/>
  <c r="X97" i="14"/>
  <c r="X225" i="14"/>
  <c r="N122" i="14"/>
  <c r="M284" i="14"/>
  <c r="X349" i="14"/>
  <c r="AN254" i="14"/>
  <c r="Z207" i="14"/>
  <c r="Z280" i="14"/>
  <c r="M340" i="14"/>
  <c r="Y309" i="14"/>
  <c r="Z166" i="14"/>
  <c r="M304" i="14"/>
  <c r="Y298" i="14"/>
  <c r="Z162" i="14"/>
  <c r="M156" i="14"/>
  <c r="AN305" i="14"/>
  <c r="Y262" i="14"/>
  <c r="M364" i="14"/>
  <c r="Y208" i="14"/>
  <c r="M290" i="14"/>
  <c r="N209" i="14"/>
  <c r="Y167" i="14"/>
  <c r="N237" i="14"/>
  <c r="Z241" i="14"/>
  <c r="X341" i="14"/>
  <c r="M238" i="14"/>
  <c r="Z263" i="14"/>
  <c r="X28" i="14"/>
  <c r="M349" i="14"/>
  <c r="N130" i="14"/>
  <c r="N317" i="14"/>
  <c r="X301" i="14"/>
  <c r="AN294" i="14"/>
  <c r="Z189" i="14"/>
  <c r="Y363" i="14"/>
  <c r="Y196" i="14"/>
  <c r="Y132" i="14"/>
  <c r="N304" i="14"/>
  <c r="AN230" i="14"/>
  <c r="M208" i="14"/>
  <c r="Z210" i="14"/>
  <c r="Y172" i="14"/>
  <c r="N169" i="14"/>
  <c r="M289" i="14"/>
  <c r="Z116" i="14"/>
  <c r="M54" i="14"/>
  <c r="Z65" i="14"/>
  <c r="Z226" i="14"/>
  <c r="Y265" i="14"/>
  <c r="X143" i="14"/>
  <c r="N68" i="14"/>
  <c r="AN156" i="14"/>
  <c r="AN91" i="14"/>
  <c r="M344" i="14"/>
  <c r="AN285" i="14"/>
  <c r="Y344" i="14"/>
  <c r="M368" i="14"/>
  <c r="M280" i="14"/>
  <c r="X234" i="14"/>
  <c r="AN325" i="14"/>
  <c r="Z154" i="14"/>
  <c r="Y118" i="14"/>
  <c r="Z297" i="14"/>
  <c r="Y263" i="14"/>
  <c r="AN270" i="14"/>
  <c r="Z339" i="14"/>
  <c r="N244" i="14"/>
  <c r="X207" i="14"/>
  <c r="Y200" i="14"/>
  <c r="M50" i="14"/>
  <c r="X84" i="14"/>
  <c r="N220" i="14"/>
  <c r="Z352" i="14"/>
  <c r="AN249" i="14"/>
  <c r="Z145" i="14"/>
  <c r="Z168" i="14"/>
  <c r="Y117" i="14"/>
  <c r="X163" i="14"/>
  <c r="N135" i="14"/>
  <c r="AN48" i="14"/>
  <c r="M149" i="14"/>
  <c r="Y35" i="14"/>
  <c r="Z190" i="14"/>
  <c r="Y212" i="14"/>
  <c r="Z158" i="14"/>
  <c r="Y186" i="14"/>
  <c r="Z249" i="14"/>
  <c r="M350" i="14"/>
  <c r="AN251" i="14"/>
  <c r="N289" i="14"/>
  <c r="Y60" i="14"/>
  <c r="Z53" i="14"/>
  <c r="X29" i="14"/>
  <c r="X156" i="14"/>
  <c r="X324" i="14"/>
  <c r="N168" i="14"/>
  <c r="N294" i="14"/>
  <c r="X222" i="14"/>
  <c r="Y112" i="14"/>
  <c r="N129" i="14"/>
  <c r="M183" i="14"/>
  <c r="Z243" i="14"/>
  <c r="N310" i="14"/>
  <c r="Z86" i="14"/>
  <c r="Z256" i="14"/>
  <c r="M343" i="14"/>
  <c r="M184" i="14"/>
  <c r="M151" i="14"/>
  <c r="AN133" i="14"/>
  <c r="N63" i="14"/>
  <c r="Z232" i="14"/>
  <c r="X49" i="14"/>
  <c r="Z321" i="14"/>
  <c r="AN202" i="14"/>
  <c r="AN43" i="14"/>
  <c r="N42" i="14"/>
  <c r="Y283" i="14"/>
  <c r="Y46" i="14"/>
  <c r="Z259" i="14"/>
  <c r="X87" i="14"/>
  <c r="M108" i="14"/>
  <c r="N155" i="14"/>
  <c r="AN286" i="14"/>
  <c r="N61" i="14"/>
  <c r="M147" i="14"/>
  <c r="Z75" i="14"/>
  <c r="X111" i="14"/>
  <c r="Z266" i="14"/>
  <c r="N158" i="14"/>
  <c r="X50" i="14"/>
  <c r="AN215" i="14"/>
  <c r="X211" i="14"/>
  <c r="N35" i="14"/>
  <c r="N321" i="14"/>
  <c r="Y340" i="14"/>
  <c r="X230" i="14"/>
  <c r="X253" i="14"/>
  <c r="AN76" i="14"/>
  <c r="X244" i="14"/>
  <c r="N87" i="14"/>
  <c r="Z151" i="14"/>
  <c r="N316" i="14"/>
  <c r="N275" i="14"/>
  <c r="AN233" i="14"/>
  <c r="X34" i="14"/>
  <c r="Z144" i="14"/>
  <c r="AN180" i="14"/>
  <c r="Z310" i="14"/>
  <c r="N356" i="14"/>
  <c r="Y318" i="14"/>
  <c r="X157" i="14"/>
  <c r="X266" i="14"/>
  <c r="X319" i="14"/>
  <c r="AN354" i="14"/>
  <c r="AN338" i="14"/>
  <c r="AN238" i="14"/>
  <c r="AN214" i="14"/>
  <c r="AN250" i="14"/>
  <c r="M338" i="14"/>
  <c r="AN30" i="14"/>
  <c r="AN228" i="14"/>
  <c r="M224" i="14"/>
  <c r="M202" i="14"/>
  <c r="AN331" i="14"/>
  <c r="Y52" i="14"/>
  <c r="Y185" i="14"/>
  <c r="N359" i="14"/>
  <c r="AN340" i="14"/>
  <c r="N190" i="14"/>
  <c r="N97" i="14"/>
  <c r="AN65" i="14"/>
  <c r="Z323" i="14"/>
  <c r="X89" i="14"/>
  <c r="X205" i="14"/>
  <c r="Z113" i="14"/>
  <c r="Y346" i="14"/>
  <c r="AN68" i="14"/>
  <c r="N354" i="14"/>
  <c r="Y304" i="14"/>
  <c r="N50" i="14"/>
  <c r="Y331" i="14"/>
  <c r="Y336" i="14"/>
  <c r="AN79" i="14"/>
  <c r="X236" i="14"/>
  <c r="Z206" i="14"/>
  <c r="X130" i="14"/>
  <c r="Z80" i="14"/>
  <c r="AN322" i="14"/>
  <c r="N39" i="14"/>
  <c r="X336" i="14"/>
  <c r="X237" i="14"/>
  <c r="X249" i="14"/>
  <c r="N367" i="14"/>
  <c r="M265" i="14"/>
  <c r="AN308" i="14"/>
  <c r="X71" i="14"/>
  <c r="M188" i="14"/>
  <c r="N83" i="14"/>
  <c r="Z98" i="14"/>
  <c r="Y158" i="14"/>
  <c r="M260" i="14"/>
  <c r="X317" i="14"/>
  <c r="Y173" i="14"/>
  <c r="X308" i="14"/>
  <c r="AN46" i="14"/>
  <c r="AN365" i="14"/>
  <c r="AN100" i="14"/>
  <c r="AN269" i="14"/>
  <c r="X69" i="14"/>
  <c r="Z196" i="14"/>
  <c r="X285" i="14"/>
  <c r="AN211" i="14"/>
  <c r="X265" i="14"/>
  <c r="N278" i="14"/>
  <c r="Z240" i="14"/>
  <c r="X189" i="14"/>
  <c r="N250" i="14"/>
  <c r="Z119" i="14"/>
  <c r="M186" i="14"/>
  <c r="X278" i="14"/>
  <c r="X340" i="14"/>
  <c r="Z61" i="14"/>
  <c r="M234" i="14"/>
  <c r="X182" i="14"/>
  <c r="M274" i="14"/>
  <c r="Y42" i="14"/>
  <c r="N313" i="14"/>
  <c r="Z346" i="14"/>
  <c r="M56" i="14"/>
  <c r="Z167" i="14"/>
  <c r="AN369" i="14"/>
  <c r="Y80" i="14"/>
  <c r="X295" i="14"/>
  <c r="N104" i="14"/>
  <c r="X298" i="14"/>
  <c r="Y184" i="14"/>
  <c r="M37" i="14"/>
  <c r="Y66" i="14"/>
  <c r="Z202" i="14"/>
  <c r="N177" i="14"/>
  <c r="X144" i="14"/>
  <c r="Y341" i="14"/>
  <c r="M113" i="14"/>
  <c r="Z203" i="14"/>
  <c r="AN145" i="14"/>
  <c r="X181" i="14"/>
  <c r="Y108" i="14"/>
  <c r="M29" i="14"/>
  <c r="AN192" i="14"/>
  <c r="Y68" i="14"/>
  <c r="N188" i="14"/>
  <c r="Y337" i="14"/>
  <c r="Z149" i="14"/>
  <c r="X62" i="14"/>
  <c r="X325" i="14"/>
  <c r="Y84" i="14"/>
  <c r="AN153" i="14"/>
  <c r="M96" i="14"/>
  <c r="Y109" i="14"/>
  <c r="N342" i="14"/>
  <c r="Z35" i="14"/>
  <c r="Y94" i="14"/>
  <c r="AN262" i="14"/>
  <c r="Z100" i="14"/>
  <c r="X166" i="14"/>
  <c r="X354" i="14"/>
  <c r="Y267" i="14"/>
  <c r="Z209" i="14"/>
  <c r="Z182" i="14"/>
  <c r="AN343" i="14"/>
  <c r="M243" i="14"/>
  <c r="Z67" i="14"/>
  <c r="M354" i="14"/>
  <c r="X206" i="14"/>
  <c r="AN259" i="14"/>
  <c r="X138" i="14"/>
  <c r="M329" i="14"/>
  <c r="N197" i="14"/>
  <c r="N116" i="14"/>
  <c r="M62" i="14"/>
  <c r="N284" i="14"/>
  <c r="Z328" i="14"/>
  <c r="Z169" i="14"/>
  <c r="Y221" i="14"/>
  <c r="Y79" i="14"/>
  <c r="Z52" i="14"/>
  <c r="AN185" i="14"/>
  <c r="AN221" i="14"/>
  <c r="Z94" i="14"/>
  <c r="M275" i="14"/>
  <c r="N121" i="14"/>
  <c r="AN171" i="14"/>
  <c r="N37" i="14"/>
  <c r="AN300" i="14"/>
  <c r="M320" i="14"/>
  <c r="Y86" i="14"/>
  <c r="X188" i="14"/>
  <c r="Z72" i="14"/>
  <c r="Z296" i="14"/>
  <c r="Z91" i="14"/>
  <c r="Y189" i="14"/>
  <c r="AN38" i="14"/>
  <c r="N102" i="14"/>
  <c r="Z121" i="14"/>
  <c r="Y194" i="14"/>
  <c r="N107" i="14"/>
  <c r="X343" i="14"/>
  <c r="AN74" i="14"/>
  <c r="Y53" i="14"/>
  <c r="Y91" i="14"/>
  <c r="X31" i="14"/>
  <c r="Y343" i="14"/>
  <c r="M68" i="14"/>
  <c r="Z108" i="14"/>
  <c r="N114" i="14"/>
  <c r="M347" i="14"/>
  <c r="M35" i="14"/>
  <c r="X350" i="14"/>
  <c r="X51" i="14"/>
  <c r="Y333" i="14"/>
  <c r="AN85" i="14"/>
  <c r="N40" i="14"/>
  <c r="Y116" i="14"/>
  <c r="N187" i="14"/>
  <c r="M314" i="14"/>
  <c r="Z157" i="14"/>
  <c r="X289" i="14"/>
  <c r="M348" i="14"/>
  <c r="Y114" i="14"/>
  <c r="Y348" i="14"/>
  <c r="AN342" i="14"/>
  <c r="N281" i="14"/>
  <c r="Z139" i="14"/>
  <c r="M292" i="14"/>
  <c r="X296" i="14"/>
  <c r="Z96" i="14"/>
  <c r="Z212" i="14"/>
  <c r="AN337" i="14"/>
  <c r="Y367" i="14"/>
  <c r="M55" i="14"/>
  <c r="M83" i="14"/>
  <c r="AN109" i="14"/>
  <c r="N166" i="14"/>
  <c r="X304" i="14"/>
  <c r="Z238" i="14"/>
  <c r="AN106" i="14"/>
  <c r="AN307" i="14"/>
  <c r="M264" i="14"/>
  <c r="M198" i="14"/>
  <c r="AN177" i="14"/>
  <c r="X219" i="14"/>
  <c r="X125" i="14"/>
  <c r="AN35" i="14"/>
  <c r="Z187" i="14"/>
  <c r="Y44" i="14"/>
  <c r="Y255" i="14"/>
  <c r="N231" i="14"/>
  <c r="AN309" i="14"/>
  <c r="Y246" i="14"/>
  <c r="N181" i="14"/>
  <c r="Z84" i="14"/>
  <c r="N49" i="14"/>
  <c r="N341" i="14"/>
  <c r="X190" i="14"/>
  <c r="Y171" i="14"/>
  <c r="M72" i="14"/>
  <c r="AN314" i="14"/>
  <c r="AN77" i="14"/>
  <c r="Z291" i="14"/>
  <c r="X351" i="14"/>
  <c r="X305" i="14"/>
  <c r="N93" i="14"/>
  <c r="Z171" i="14"/>
  <c r="N173" i="14"/>
  <c r="AN351" i="14"/>
  <c r="Z194" i="14"/>
  <c r="Y142" i="14"/>
  <c r="Y39" i="14"/>
  <c r="N331" i="14"/>
  <c r="M90" i="14"/>
  <c r="Y315" i="14"/>
  <c r="Z322" i="14"/>
  <c r="Z341" i="14"/>
  <c r="X162" i="14"/>
  <c r="AN108" i="14"/>
  <c r="X293" i="14"/>
  <c r="Y253" i="14"/>
  <c r="Z111" i="14"/>
  <c r="N286" i="14"/>
  <c r="N203" i="14"/>
  <c r="N47" i="14"/>
  <c r="Y300" i="14"/>
  <c r="Z191" i="14"/>
  <c r="AN111" i="14"/>
  <c r="M66" i="14"/>
  <c r="AN173" i="14"/>
  <c r="M300" i="14"/>
  <c r="N328" i="14"/>
  <c r="N164" i="14"/>
  <c r="N338" i="14"/>
  <c r="X368" i="14"/>
  <c r="N268" i="14"/>
  <c r="N52" i="14"/>
  <c r="AN157" i="14"/>
  <c r="M337" i="14"/>
  <c r="X276" i="14"/>
  <c r="X185" i="14"/>
  <c r="N245" i="14"/>
  <c r="Y57" i="14"/>
  <c r="Z179" i="14"/>
  <c r="AN53" i="14"/>
  <c r="M358" i="14"/>
  <c r="X106" i="14"/>
  <c r="N195" i="14"/>
  <c r="Z325" i="14"/>
  <c r="X159" i="14"/>
  <c r="AN312" i="14"/>
  <c r="X63" i="14"/>
  <c r="M60" i="14"/>
  <c r="N34" i="14"/>
  <c r="Z110" i="14"/>
  <c r="AN176" i="14"/>
  <c r="Z59" i="14"/>
  <c r="Y317" i="14"/>
  <c r="AN349" i="14"/>
  <c r="Z257" i="14"/>
  <c r="X117" i="14"/>
  <c r="AN45" i="14"/>
  <c r="N152" i="14"/>
  <c r="Y93" i="14"/>
  <c r="AN33" i="14"/>
  <c r="X101" i="14"/>
  <c r="AN339" i="14"/>
  <c r="Y178" i="14"/>
  <c r="Y87" i="14"/>
  <c r="Z337" i="14"/>
  <c r="N242" i="14"/>
  <c r="N137" i="14"/>
  <c r="AN151" i="14"/>
  <c r="AN105" i="14"/>
  <c r="M76" i="14"/>
  <c r="N84" i="14"/>
  <c r="M193" i="14"/>
  <c r="AN239" i="14"/>
  <c r="AN118" i="14"/>
  <c r="M110" i="14"/>
  <c r="AN213" i="14"/>
  <c r="AN107" i="14"/>
  <c r="Z305" i="14"/>
  <c r="X136" i="14"/>
  <c r="N247" i="14"/>
  <c r="M46" i="14"/>
  <c r="M236" i="14"/>
  <c r="N225" i="14"/>
  <c r="Y111" i="14"/>
  <c r="Y228" i="14"/>
  <c r="N153" i="14"/>
  <c r="Y81" i="14"/>
  <c r="AN208" i="14"/>
  <c r="Y58" i="14"/>
  <c r="M195" i="14"/>
  <c r="X255" i="14"/>
  <c r="AN275" i="14"/>
  <c r="Y48" i="14"/>
  <c r="Y139" i="14"/>
  <c r="M203" i="14"/>
  <c r="Z50" i="14"/>
  <c r="Z357" i="14"/>
  <c r="M201" i="14"/>
  <c r="AN295" i="14"/>
  <c r="M351" i="14"/>
  <c r="Y120" i="14"/>
  <c r="AN40" i="14"/>
  <c r="AN141" i="14"/>
  <c r="N189" i="14"/>
  <c r="M160" i="14"/>
  <c r="Y312" i="14"/>
  <c r="Z148" i="14"/>
  <c r="AN84" i="14"/>
  <c r="N133" i="14"/>
  <c r="Y76" i="14"/>
  <c r="M152" i="14"/>
  <c r="N273" i="14"/>
  <c r="N205" i="14"/>
  <c r="Z133" i="14"/>
  <c r="M232" i="14"/>
  <c r="AN223" i="14"/>
  <c r="M98" i="14"/>
  <c r="AN218" i="14"/>
  <c r="X194" i="14"/>
  <c r="AN130" i="14"/>
  <c r="Y323" i="14"/>
  <c r="Z184" i="14"/>
  <c r="AN247" i="14"/>
  <c r="X122" i="14"/>
  <c r="N165" i="14"/>
  <c r="M34" i="14"/>
  <c r="X75" i="14"/>
  <c r="Z217" i="14"/>
  <c r="M268" i="14"/>
  <c r="Y332" i="14"/>
  <c r="AN167" i="14"/>
  <c r="M127" i="14"/>
  <c r="AN72" i="14"/>
  <c r="AN304" i="14"/>
  <c r="N184" i="14"/>
  <c r="N92" i="14"/>
  <c r="M218" i="14"/>
  <c r="Y270" i="14"/>
  <c r="M140" i="14"/>
  <c r="X116" i="14"/>
  <c r="Z40" i="14"/>
  <c r="Y145" i="14"/>
  <c r="AN195" i="14"/>
  <c r="X366" i="14"/>
  <c r="AN298" i="14"/>
  <c r="Z235" i="14"/>
  <c r="M332" i="14"/>
  <c r="N255" i="14"/>
  <c r="X315" i="14"/>
  <c r="Y275" i="14"/>
  <c r="N65" i="14"/>
  <c r="Y115" i="14"/>
  <c r="Y302" i="14"/>
  <c r="X126" i="14"/>
  <c r="Y89" i="14"/>
  <c r="Z294" i="14"/>
  <c r="AN80" i="14"/>
  <c r="Z186" i="14"/>
  <c r="N364" i="14"/>
  <c r="Y77" i="14"/>
  <c r="AN241" i="14"/>
  <c r="X353" i="14"/>
  <c r="M270" i="14"/>
  <c r="M307" i="14"/>
  <c r="Y103" i="14"/>
  <c r="N56" i="14"/>
  <c r="N140" i="14"/>
  <c r="M146" i="14"/>
  <c r="X52" i="14"/>
  <c r="Z369" i="14"/>
  <c r="X91" i="14"/>
  <c r="Y36" i="14"/>
  <c r="Z78" i="14"/>
  <c r="X287" i="14"/>
  <c r="X348" i="14"/>
  <c r="M128" i="14"/>
  <c r="D13" i="11" s="1"/>
  <c r="C37" i="11"/>
  <c r="AN205" i="14"/>
  <c r="Z324" i="14"/>
  <c r="M212" i="14"/>
  <c r="M99" i="14"/>
  <c r="M82" i="14"/>
  <c r="Y30" i="14"/>
  <c r="N118" i="14"/>
  <c r="D31" i="11"/>
  <c r="Y264" i="14"/>
  <c r="X242" i="14"/>
  <c r="N160" i="14"/>
  <c r="AN116" i="14"/>
  <c r="M220" i="14"/>
  <c r="N224" i="14"/>
  <c r="X274" i="14"/>
  <c r="Y290" i="14"/>
  <c r="X313" i="14"/>
  <c r="X322" i="14"/>
  <c r="N307" i="14"/>
  <c r="Z287" i="14"/>
  <c r="AN326" i="14"/>
  <c r="AN150" i="14"/>
  <c r="AN170" i="14"/>
  <c r="Z141" i="14"/>
  <c r="Z330" i="14"/>
  <c r="Z316" i="14"/>
  <c r="N253" i="14"/>
  <c r="X43" i="14"/>
  <c r="M210" i="14"/>
  <c r="Y134" i="14"/>
  <c r="Y191" i="14"/>
  <c r="Y291" i="14"/>
  <c r="M135" i="14"/>
  <c r="M226" i="14"/>
  <c r="Z174" i="14"/>
  <c r="X160" i="14"/>
  <c r="AN302" i="14"/>
  <c r="N357" i="14"/>
  <c r="Z30" i="14"/>
  <c r="Y72" i="14"/>
  <c r="AN284" i="14"/>
  <c r="Z293" i="14"/>
  <c r="X112" i="14"/>
  <c r="N202" i="14"/>
  <c r="X47" i="14"/>
  <c r="Y70" i="14"/>
  <c r="Y119" i="14"/>
  <c r="Z269" i="14"/>
  <c r="Z68" i="14"/>
  <c r="Z66" i="14"/>
  <c r="AN236" i="14"/>
  <c r="N263" i="14"/>
  <c r="Z277" i="14"/>
  <c r="N288" i="14"/>
  <c r="N210" i="14"/>
  <c r="M93" i="14"/>
  <c r="N167" i="14"/>
  <c r="Z345" i="14"/>
  <c r="Y56" i="14"/>
  <c r="N257" i="14"/>
  <c r="M171" i="14"/>
  <c r="N223" i="14"/>
  <c r="X202" i="14"/>
  <c r="Y107" i="14"/>
  <c r="Y243" i="14"/>
  <c r="N303" i="14"/>
  <c r="Y285" i="14"/>
  <c r="AN172" i="14"/>
  <c r="Z150" i="14"/>
  <c r="N355" i="14"/>
  <c r="X44" i="14"/>
  <c r="M267" i="14"/>
  <c r="Y330" i="14"/>
  <c r="AN98" i="14"/>
  <c r="M256" i="14"/>
  <c r="Y230" i="14"/>
  <c r="Z355" i="14"/>
  <c r="Y308" i="14"/>
  <c r="X209" i="14"/>
  <c r="M231" i="14"/>
  <c r="AN332" i="14"/>
  <c r="Y177" i="14"/>
  <c r="M106" i="14"/>
  <c r="N66" i="14"/>
  <c r="AN198" i="14"/>
  <c r="Y209" i="14"/>
  <c r="N109" i="14"/>
  <c r="AN54" i="14"/>
  <c r="X123" i="14"/>
  <c r="Z225" i="14"/>
  <c r="AN364" i="14"/>
  <c r="Z230" i="14"/>
  <c r="AN217" i="14"/>
  <c r="AN193" i="14"/>
  <c r="Y241" i="14"/>
  <c r="AN194" i="14"/>
  <c r="N201" i="14"/>
  <c r="Z123" i="14"/>
  <c r="Z77" i="14"/>
  <c r="M334" i="14"/>
  <c r="N274" i="14"/>
  <c r="M303" i="14"/>
  <c r="Z44" i="14"/>
  <c r="Y138" i="14"/>
  <c r="M369" i="14"/>
  <c r="X137" i="14"/>
  <c r="X197" i="14"/>
  <c r="N180" i="14"/>
  <c r="Z120" i="14"/>
  <c r="N348" i="14"/>
  <c r="M339" i="14"/>
  <c r="Y32" i="14"/>
  <c r="Y37" i="14"/>
  <c r="X318" i="14"/>
  <c r="X98" i="14"/>
  <c r="AN282" i="14"/>
  <c r="M345" i="14"/>
  <c r="Y163" i="14"/>
  <c r="X292" i="14"/>
  <c r="Z97" i="14"/>
  <c r="AN59" i="14"/>
  <c r="X264" i="14"/>
  <c r="Z125" i="14"/>
  <c r="N146" i="14"/>
  <c r="Y218" i="14"/>
  <c r="Z216" i="14"/>
  <c r="Z253" i="14"/>
  <c r="Y271" i="14"/>
  <c r="AN160" i="14"/>
  <c r="X186" i="14"/>
  <c r="Y180" i="14"/>
  <c r="Y247" i="14"/>
  <c r="N103" i="14"/>
  <c r="Z135" i="14"/>
  <c r="Y152" i="14"/>
  <c r="Y328" i="14"/>
  <c r="Y122" i="14"/>
  <c r="N323" i="14"/>
  <c r="Z236" i="14"/>
  <c r="AN306" i="14"/>
  <c r="Z314" i="14"/>
  <c r="Y160" i="14"/>
  <c r="Z74" i="14"/>
  <c r="Y220" i="14"/>
  <c r="Y237" i="14"/>
  <c r="Z109" i="14"/>
  <c r="N199" i="14"/>
  <c r="X282" i="14"/>
  <c r="X120" i="14"/>
  <c r="Y146" i="14"/>
  <c r="X231" i="14"/>
  <c r="N108" i="14"/>
  <c r="AN253" i="14"/>
  <c r="Y73" i="14"/>
  <c r="X88" i="14"/>
  <c r="Z198" i="14"/>
  <c r="N183" i="14"/>
  <c r="AN187" i="14"/>
  <c r="N258" i="14"/>
  <c r="Y305" i="14"/>
  <c r="N285" i="14"/>
  <c r="N282" i="14"/>
  <c r="M205" i="14"/>
  <c r="M80" i="14"/>
  <c r="Y193" i="14"/>
  <c r="M312" i="14"/>
  <c r="AN96" i="14"/>
  <c r="N55" i="14"/>
  <c r="AN184" i="14"/>
  <c r="Y83" i="14"/>
  <c r="Y352" i="14"/>
  <c r="N327" i="14"/>
  <c r="AN70" i="14"/>
  <c r="X229" i="14"/>
  <c r="M126" i="14"/>
  <c r="M166" i="14"/>
  <c r="Z319" i="14"/>
  <c r="AN353" i="14"/>
  <c r="M77" i="14"/>
  <c r="M105" i="14"/>
  <c r="Z188" i="14"/>
  <c r="M158" i="14"/>
  <c r="N246" i="14"/>
  <c r="AN287" i="14"/>
  <c r="Y176" i="14"/>
  <c r="AN201" i="14"/>
  <c r="X158" i="14"/>
  <c r="X316" i="14"/>
  <c r="AN149" i="14"/>
  <c r="Z193" i="14"/>
  <c r="M251" i="14"/>
  <c r="N234" i="14"/>
  <c r="N174" i="14"/>
  <c r="N29" i="14"/>
  <c r="X37" i="14"/>
  <c r="AN203" i="14"/>
  <c r="X363" i="14"/>
  <c r="Y316" i="14"/>
  <c r="Z173" i="14"/>
  <c r="Z185" i="14"/>
  <c r="AN225" i="14"/>
  <c r="N89" i="14"/>
  <c r="X154" i="14"/>
  <c r="AN227" i="14"/>
  <c r="AN297" i="14"/>
  <c r="Z37" i="14"/>
  <c r="Z147" i="14"/>
  <c r="M74" i="14"/>
  <c r="AN95" i="14"/>
  <c r="M223" i="14"/>
  <c r="X179" i="14"/>
  <c r="Z192" i="14"/>
  <c r="N76" i="14"/>
  <c r="M112" i="14"/>
  <c r="N192" i="14"/>
  <c r="Y287" i="14"/>
  <c r="N54" i="14"/>
  <c r="Y181" i="14"/>
  <c r="AN37" i="14"/>
  <c r="Z255" i="14"/>
  <c r="Y297" i="14"/>
  <c r="X221" i="14"/>
  <c r="M299" i="14"/>
  <c r="N101" i="14"/>
  <c r="AN313" i="14"/>
  <c r="M85" i="14"/>
  <c r="X33" i="14"/>
  <c r="X192" i="14"/>
  <c r="Y345" i="14"/>
  <c r="X57" i="14"/>
  <c r="Z161" i="14"/>
  <c r="Y235" i="14"/>
  <c r="Z88" i="14"/>
  <c r="AN101" i="14"/>
  <c r="X104" i="14"/>
  <c r="N291" i="14"/>
  <c r="M187" i="14"/>
  <c r="AN113" i="14"/>
  <c r="M117" i="14"/>
  <c r="Y254" i="14"/>
  <c r="N326" i="14"/>
  <c r="M47" i="14"/>
  <c r="M360" i="14"/>
  <c r="Z180" i="14"/>
  <c r="AN206" i="14"/>
  <c r="X362" i="14"/>
  <c r="N86" i="14"/>
  <c r="AN301" i="14"/>
  <c r="X224" i="14"/>
  <c r="X346" i="14"/>
  <c r="X300" i="14"/>
  <c r="Y324" i="14"/>
  <c r="N256" i="14"/>
  <c r="AN346" i="14"/>
  <c r="Y137" i="14"/>
  <c r="X153" i="14"/>
  <c r="X76" i="14"/>
  <c r="X312" i="14"/>
  <c r="M247" i="14"/>
  <c r="M261" i="14"/>
  <c r="N333" i="14"/>
  <c r="Z71" i="14"/>
  <c r="AN222" i="14"/>
  <c r="N139" i="14"/>
  <c r="M143" i="14"/>
  <c r="Y75" i="14"/>
  <c r="Z34" i="14"/>
  <c r="Y224" i="14"/>
  <c r="M163" i="14"/>
  <c r="M211" i="14"/>
  <c r="X239" i="14"/>
  <c r="D37" i="11"/>
  <c r="E13" i="11" l="1"/>
  <c r="E37" i="11"/>
  <c r="W239" i="14"/>
  <c r="AA224" i="14"/>
  <c r="AA75" i="14"/>
  <c r="W312" i="14"/>
  <c r="W76" i="14"/>
  <c r="W153" i="14"/>
  <c r="AA137" i="14"/>
  <c r="AA324" i="14"/>
  <c r="W300" i="14"/>
  <c r="W346" i="14"/>
  <c r="W224" i="14"/>
  <c r="W362" i="14"/>
  <c r="AA254" i="14"/>
  <c r="W104" i="14"/>
  <c r="AA235" i="14"/>
  <c r="W57" i="14"/>
  <c r="AA345" i="14"/>
  <c r="W192" i="14"/>
  <c r="W33" i="14"/>
  <c r="W221" i="14"/>
  <c r="AA297" i="14"/>
  <c r="AA181" i="14"/>
  <c r="AA287" i="14"/>
  <c r="W179" i="14"/>
  <c r="W154" i="14"/>
  <c r="AA316" i="14"/>
  <c r="W363" i="14"/>
  <c r="W37" i="14"/>
  <c r="W316" i="14"/>
  <c r="W158" i="14"/>
  <c r="AA176" i="14"/>
  <c r="Q43" i="15"/>
  <c r="W229" i="14"/>
  <c r="AA352" i="14"/>
  <c r="AA83" i="14"/>
  <c r="AA193" i="14"/>
  <c r="AA305" i="14"/>
  <c r="W88" i="14"/>
  <c r="AA73" i="14"/>
  <c r="W231" i="14"/>
  <c r="AA146" i="14"/>
  <c r="W120" i="14"/>
  <c r="W282" i="14"/>
  <c r="AA237" i="14"/>
  <c r="AA220" i="14"/>
  <c r="AA160" i="14"/>
  <c r="AA122" i="14"/>
  <c r="AA328" i="14"/>
  <c r="AA152" i="14"/>
  <c r="AA247" i="14"/>
  <c r="AA180" i="14"/>
  <c r="W186" i="14"/>
  <c r="AA271" i="14"/>
  <c r="AA218" i="14"/>
  <c r="W264" i="14"/>
  <c r="W292" i="14"/>
  <c r="AA163" i="14"/>
  <c r="W98" i="14"/>
  <c r="W318" i="14"/>
  <c r="AA37" i="14"/>
  <c r="AA32" i="14"/>
  <c r="Q49" i="15"/>
  <c r="W197" i="14"/>
  <c r="W137" i="14"/>
  <c r="AA138" i="14"/>
  <c r="AA241" i="14"/>
  <c r="W123" i="14"/>
  <c r="AA209" i="14"/>
  <c r="AA177" i="14"/>
  <c r="W209" i="14"/>
  <c r="AA308" i="14"/>
  <c r="AA230" i="14"/>
  <c r="AA330" i="14"/>
  <c r="W44" i="14"/>
  <c r="AA285" i="14"/>
  <c r="AA243" i="14"/>
  <c r="AA107" i="14"/>
  <c r="W202" i="14"/>
  <c r="AA56" i="14"/>
  <c r="AA119" i="14"/>
  <c r="AA70" i="14"/>
  <c r="W47" i="14"/>
  <c r="W112" i="14"/>
  <c r="AA72" i="14"/>
  <c r="W160" i="14"/>
  <c r="AA291" i="14"/>
  <c r="AA191" i="14"/>
  <c r="AA134" i="14"/>
  <c r="W43" i="14"/>
  <c r="W322" i="14"/>
  <c r="W313" i="14"/>
  <c r="AA290" i="14"/>
  <c r="W274" i="14"/>
  <c r="W242" i="14"/>
  <c r="AA264" i="14"/>
  <c r="E31" i="11"/>
  <c r="AA30" i="14"/>
  <c r="D18" i="9"/>
  <c r="W348" i="14"/>
  <c r="W287" i="14"/>
  <c r="AA36" i="14"/>
  <c r="W91" i="14"/>
  <c r="W52" i="14"/>
  <c r="AA103" i="14"/>
  <c r="W353" i="14"/>
  <c r="AA77" i="14"/>
  <c r="AA89" i="14"/>
  <c r="W126" i="14"/>
  <c r="AA302" i="14"/>
  <c r="AA115" i="14"/>
  <c r="AA275" i="14"/>
  <c r="W315" i="14"/>
  <c r="W366" i="14"/>
  <c r="AA145" i="14"/>
  <c r="W116" i="14"/>
  <c r="AA270" i="14"/>
  <c r="Q42" i="15"/>
  <c r="D4" i="9"/>
  <c r="D14" i="11" s="1"/>
  <c r="E14" i="11" s="1"/>
  <c r="AA332" i="14"/>
  <c r="W75" i="14"/>
  <c r="W122" i="14"/>
  <c r="AA323" i="14"/>
  <c r="W194" i="14"/>
  <c r="AA76" i="14"/>
  <c r="AA312" i="14"/>
  <c r="AA120" i="14"/>
  <c r="AA139" i="14"/>
  <c r="AA48" i="14"/>
  <c r="W255" i="14"/>
  <c r="AA58" i="14"/>
  <c r="AA81" i="14"/>
  <c r="AA228" i="14"/>
  <c r="AA111" i="14"/>
  <c r="W136" i="14"/>
  <c r="AA87" i="14"/>
  <c r="AA178" i="14"/>
  <c r="W101" i="14"/>
  <c r="AA93" i="14"/>
  <c r="W117" i="14"/>
  <c r="AA317" i="14"/>
  <c r="W63" i="14"/>
  <c r="W159" i="14"/>
  <c r="W106" i="14"/>
  <c r="AA57" i="14"/>
  <c r="W185" i="14"/>
  <c r="W276" i="14"/>
  <c r="W368" i="14"/>
  <c r="Q40" i="15"/>
  <c r="AA300" i="14"/>
  <c r="AA253" i="14"/>
  <c r="W293" i="14"/>
  <c r="W162" i="14"/>
  <c r="AA315" i="14"/>
  <c r="AA39" i="14"/>
  <c r="AA142" i="14"/>
  <c r="W305" i="14"/>
  <c r="W351" i="14"/>
  <c r="AA171" i="14"/>
  <c r="W190" i="14"/>
  <c r="AA246" i="14"/>
  <c r="AA255" i="14"/>
  <c r="AA44" i="14"/>
  <c r="W125" i="14"/>
  <c r="W219" i="14"/>
  <c r="W304" i="14"/>
  <c r="AA367" i="14"/>
  <c r="W296" i="14"/>
  <c r="AA348" i="14"/>
  <c r="AA114" i="14"/>
  <c r="W289" i="14"/>
  <c r="AA116" i="14"/>
  <c r="AA333" i="14"/>
  <c r="W51" i="14"/>
  <c r="W350" i="14"/>
  <c r="Q39" i="15"/>
  <c r="AA343" i="14"/>
  <c r="W31" i="14"/>
  <c r="AA91" i="14"/>
  <c r="AA53" i="14"/>
  <c r="W343" i="14"/>
  <c r="AA194" i="14"/>
  <c r="AA189" i="14"/>
  <c r="W188" i="14"/>
  <c r="AA86" i="14"/>
  <c r="AA79" i="14"/>
  <c r="AA221" i="14"/>
  <c r="W138" i="14"/>
  <c r="W206" i="14"/>
  <c r="AA267" i="14"/>
  <c r="W354" i="14"/>
  <c r="W166" i="14"/>
  <c r="AA94" i="14"/>
  <c r="AA109" i="14"/>
  <c r="Q41" i="15"/>
  <c r="AA84" i="14"/>
  <c r="W325" i="14"/>
  <c r="W62" i="14"/>
  <c r="AA337" i="14"/>
  <c r="AA68" i="14"/>
  <c r="AA108" i="14"/>
  <c r="W181" i="14"/>
  <c r="AA341" i="14"/>
  <c r="W144" i="14"/>
  <c r="AA66" i="14"/>
  <c r="AA184" i="14"/>
  <c r="W298" i="14"/>
  <c r="W295" i="14"/>
  <c r="AA80" i="14"/>
  <c r="AA42" i="14"/>
  <c r="W182" i="14"/>
  <c r="W340" i="14"/>
  <c r="W278" i="14"/>
  <c r="W189" i="14"/>
  <c r="W265" i="14"/>
  <c r="W285" i="14"/>
  <c r="W69" i="14"/>
  <c r="W308" i="14"/>
  <c r="AA173" i="14"/>
  <c r="W317" i="14"/>
  <c r="AA158" i="14"/>
  <c r="Q44" i="15"/>
  <c r="W71" i="14"/>
  <c r="W249" i="14"/>
  <c r="W237" i="14"/>
  <c r="W336" i="14"/>
  <c r="W130" i="14"/>
  <c r="W236" i="14"/>
  <c r="AA336" i="14"/>
  <c r="AA331" i="14"/>
  <c r="AA304" i="14"/>
  <c r="AA346" i="14"/>
  <c r="W205" i="14"/>
  <c r="W89" i="14"/>
  <c r="AA185" i="14"/>
  <c r="AA52" i="14"/>
  <c r="W319" i="14"/>
  <c r="W266" i="14"/>
  <c r="W157" i="14"/>
  <c r="AA318" i="14"/>
  <c r="W34" i="14"/>
  <c r="W244" i="14"/>
  <c r="W253" i="14"/>
  <c r="W230" i="14"/>
  <c r="AA340" i="14"/>
  <c r="W211" i="14"/>
  <c r="W50" i="14"/>
  <c r="W111" i="14"/>
  <c r="W87" i="14"/>
  <c r="AA46" i="14"/>
  <c r="AA283" i="14"/>
  <c r="W49" i="14"/>
  <c r="AA112" i="14"/>
  <c r="W222" i="14"/>
  <c r="W324" i="14"/>
  <c r="W156" i="14"/>
  <c r="W29" i="14"/>
  <c r="AA60" i="14"/>
  <c r="AA186" i="14"/>
  <c r="AA212" i="14"/>
  <c r="AA35" i="14"/>
  <c r="W163" i="14"/>
  <c r="AA117" i="14"/>
  <c r="W84" i="14"/>
  <c r="AA200" i="14"/>
  <c r="W207" i="14"/>
  <c r="AA263" i="14"/>
  <c r="AA118" i="14"/>
  <c r="W234" i="14"/>
  <c r="Q47" i="15"/>
  <c r="AA344" i="14"/>
  <c r="W143" i="14"/>
  <c r="AA265" i="14"/>
  <c r="AA172" i="14"/>
  <c r="AA132" i="14"/>
  <c r="AA196" i="14"/>
  <c r="AA363" i="14"/>
  <c r="W301" i="14"/>
  <c r="W28" i="14"/>
  <c r="D39" i="11"/>
  <c r="W341" i="14"/>
  <c r="AA167" i="14"/>
  <c r="AA208" i="14"/>
  <c r="AA262" i="14"/>
  <c r="AA298" i="14"/>
  <c r="AA309" i="14"/>
  <c r="W349" i="14"/>
  <c r="W225" i="14"/>
  <c r="W97" i="14"/>
  <c r="AA174" i="14"/>
  <c r="W115" i="14"/>
  <c r="AA190" i="14"/>
  <c r="W321" i="14"/>
  <c r="W100" i="14"/>
  <c r="W45" i="14"/>
  <c r="W258" i="14"/>
  <c r="W58" i="14"/>
  <c r="AA310" i="14"/>
  <c r="W40" i="14"/>
  <c r="W246" i="14"/>
  <c r="AA295" i="14"/>
  <c r="W338" i="14"/>
  <c r="W256" i="14"/>
  <c r="AA205" i="14"/>
  <c r="AA61" i="14"/>
  <c r="AA329" i="14"/>
  <c r="W83" i="14"/>
  <c r="AA104" i="14"/>
  <c r="AA99" i="14"/>
  <c r="W281" i="14"/>
  <c r="AA238" i="14"/>
  <c r="AA159" i="14"/>
  <c r="AA127" i="14"/>
  <c r="W227" i="14"/>
  <c r="AA85" i="14"/>
  <c r="AA353" i="14"/>
  <c r="AA325" i="14"/>
  <c r="AA34" i="14"/>
  <c r="AA62" i="14"/>
  <c r="W330" i="14"/>
  <c r="AA78" i="14"/>
  <c r="AA41" i="14"/>
  <c r="W147" i="14"/>
  <c r="W36" i="14"/>
  <c r="AA38" i="14"/>
  <c r="AA234" i="14"/>
  <c r="W323" i="14"/>
  <c r="W342" i="14"/>
  <c r="W55" i="14"/>
  <c r="AA150" i="14"/>
  <c r="AA277" i="14"/>
  <c r="W164" i="14"/>
  <c r="W173" i="14"/>
  <c r="AA135" i="14"/>
  <c r="W223" i="14"/>
  <c r="W251" i="14"/>
  <c r="AA49" i="14"/>
  <c r="W103" i="14"/>
  <c r="W72" i="14"/>
  <c r="W235" i="14"/>
  <c r="W114" i="14"/>
  <c r="AA169" i="14"/>
  <c r="W361" i="14"/>
  <c r="AA256" i="14"/>
  <c r="AA128" i="14"/>
  <c r="D10" i="11" s="1"/>
  <c r="E10" i="11" s="1"/>
  <c r="AA281" i="14"/>
  <c r="AA97" i="14"/>
  <c r="W272" i="14"/>
  <c r="W32" i="14"/>
  <c r="W81" i="14"/>
  <c r="W155" i="14"/>
  <c r="AA335" i="14"/>
  <c r="W139" i="14"/>
  <c r="W46" i="14"/>
  <c r="AA183" i="14"/>
  <c r="AA326" i="14"/>
  <c r="AA236" i="14"/>
  <c r="AA100" i="14"/>
  <c r="AA258" i="14"/>
  <c r="AA369" i="14"/>
  <c r="W267" i="14"/>
  <c r="W360" i="14"/>
  <c r="AA321" i="14"/>
  <c r="W215" i="14"/>
  <c r="AA273" i="14"/>
  <c r="W198" i="14"/>
  <c r="AA179" i="14"/>
  <c r="AA175" i="14"/>
  <c r="W90" i="14"/>
  <c r="AA67" i="14"/>
  <c r="AA126" i="14"/>
  <c r="W199" i="14"/>
  <c r="AA240" i="14"/>
  <c r="W56" i="14"/>
  <c r="W80" i="14"/>
  <c r="AA43" i="14"/>
  <c r="AA227" i="14"/>
  <c r="W358" i="14"/>
  <c r="AA303" i="14"/>
  <c r="W133" i="14"/>
  <c r="W99" i="14"/>
  <c r="W30" i="14"/>
  <c r="W150" i="14"/>
  <c r="AA28" i="14"/>
  <c r="AA210" i="14"/>
  <c r="AA165" i="14"/>
  <c r="W54" i="14"/>
  <c r="W92" i="14"/>
  <c r="W131" i="14"/>
  <c r="AA74" i="14"/>
  <c r="AA164" i="14"/>
  <c r="AA96" i="14"/>
  <c r="AA144" i="14"/>
  <c r="W118" i="14"/>
  <c r="W119" i="14"/>
  <c r="AA301" i="14"/>
  <c r="AA242" i="14"/>
  <c r="AA95" i="14"/>
  <c r="W148" i="14"/>
  <c r="W260" i="14"/>
  <c r="W334" i="14"/>
  <c r="AA106" i="14"/>
  <c r="AA151" i="14"/>
  <c r="W66" i="14"/>
  <c r="AA161" i="14"/>
  <c r="W356" i="14"/>
  <c r="AA268" i="14"/>
  <c r="AA50" i="14"/>
  <c r="W269" i="14"/>
  <c r="AA320" i="14"/>
  <c r="AA356" i="14"/>
  <c r="W175" i="14"/>
  <c r="AA245" i="14"/>
  <c r="AA292" i="14"/>
  <c r="W307" i="14"/>
  <c r="AA259" i="14"/>
  <c r="AA250" i="14"/>
  <c r="AA362" i="14"/>
  <c r="AA257" i="14"/>
  <c r="W232" i="14"/>
  <c r="AA319" i="14"/>
  <c r="W96" i="14"/>
  <c r="W259" i="14"/>
  <c r="AA338" i="14"/>
  <c r="W248" i="14"/>
  <c r="W102" i="14"/>
  <c r="AA102" i="14"/>
  <c r="W129" i="14"/>
  <c r="AA366" i="14"/>
  <c r="W128" i="14"/>
  <c r="D28" i="11" s="1"/>
  <c r="E28" i="11" s="1"/>
  <c r="W314" i="14"/>
  <c r="AA40" i="14"/>
  <c r="W333" i="14"/>
  <c r="W214" i="14"/>
  <c r="R4" i="10"/>
  <c r="D33" i="11" s="1"/>
  <c r="E33" i="11" s="1"/>
  <c r="W165" i="14"/>
  <c r="W275" i="14"/>
  <c r="W149" i="14"/>
  <c r="AA249" i="14"/>
  <c r="AA226" i="14"/>
  <c r="AA339" i="14"/>
  <c r="AA65" i="14"/>
  <c r="AA71" i="14"/>
  <c r="AA286" i="14"/>
  <c r="AA322" i="14"/>
  <c r="W85" i="14"/>
  <c r="W331" i="14"/>
  <c r="AA59" i="14"/>
  <c r="AA354" i="14"/>
  <c r="W262" i="14"/>
  <c r="W79" i="14"/>
  <c r="AA261" i="14"/>
  <c r="W218" i="14"/>
  <c r="W241" i="14"/>
  <c r="AA168" i="14"/>
  <c r="W355" i="14"/>
  <c r="AA129" i="14"/>
  <c r="AA148" i="14"/>
  <c r="AA130" i="14"/>
  <c r="W59" i="14"/>
  <c r="W132" i="14"/>
  <c r="AA101" i="14"/>
  <c r="AA162" i="14"/>
  <c r="W204" i="14"/>
  <c r="W365" i="14"/>
  <c r="AA155" i="14"/>
  <c r="AA156" i="14"/>
  <c r="W326" i="14"/>
  <c r="AA198" i="14"/>
  <c r="Q46" i="15"/>
  <c r="AA63" i="14"/>
  <c r="W220" i="14"/>
  <c r="AA284" i="14"/>
  <c r="W151" i="14"/>
  <c r="W339" i="14"/>
  <c r="AA225" i="14"/>
  <c r="W146" i="14"/>
  <c r="W82" i="14"/>
  <c r="W306" i="14"/>
  <c r="W178" i="14"/>
  <c r="W168" i="14"/>
  <c r="W329" i="14"/>
  <c r="W345" i="14"/>
  <c r="W35" i="14"/>
  <c r="W140" i="14"/>
  <c r="AA170" i="14"/>
  <c r="AA90" i="14"/>
  <c r="W195" i="14"/>
  <c r="W161" i="14"/>
  <c r="AA33" i="14"/>
  <c r="W302" i="14"/>
  <c r="AA197" i="14"/>
  <c r="AA368" i="14"/>
  <c r="AA231" i="14"/>
  <c r="AA272" i="14"/>
  <c r="AA29" i="14"/>
  <c r="AA350" i="14"/>
  <c r="AA215" i="14"/>
  <c r="W41" i="14"/>
  <c r="W294" i="14"/>
  <c r="W109" i="14"/>
  <c r="AA154" i="14"/>
  <c r="W328" i="14"/>
  <c r="W347" i="14"/>
  <c r="AA131" i="14"/>
  <c r="AA199" i="14"/>
  <c r="W299" i="14"/>
  <c r="W327" i="14"/>
  <c r="AA55" i="14"/>
  <c r="AA204" i="14"/>
  <c r="W270" i="14"/>
  <c r="W238" i="14"/>
  <c r="W352" i="14"/>
  <c r="AA296" i="14"/>
  <c r="AA269" i="14"/>
  <c r="AA143" i="14"/>
  <c r="W60" i="14"/>
  <c r="AA182" i="14"/>
  <c r="W177" i="14"/>
  <c r="AA133" i="14"/>
  <c r="W113" i="14"/>
  <c r="AA260" i="14"/>
  <c r="W337" i="14"/>
  <c r="W191" i="14"/>
  <c r="AA355" i="14"/>
  <c r="W39" i="14"/>
  <c r="AA31" i="14"/>
  <c r="W263" i="14"/>
  <c r="W180" i="14"/>
  <c r="W201" i="14"/>
  <c r="AA188" i="14"/>
  <c r="W364" i="14"/>
  <c r="W332" i="14"/>
  <c r="AA98" i="14"/>
  <c r="AA347" i="14"/>
  <c r="W169" i="14"/>
  <c r="AA288" i="14"/>
  <c r="W64" i="14"/>
  <c r="AA124" i="14"/>
  <c r="W107" i="14"/>
  <c r="AA202" i="14"/>
  <c r="AA147" i="14"/>
  <c r="W208" i="14"/>
  <c r="W250" i="14"/>
  <c r="W200" i="14"/>
  <c r="U4" i="9"/>
  <c r="D32" i="11" s="1"/>
  <c r="E32" i="11" s="1"/>
  <c r="AA233" i="14"/>
  <c r="W48" i="14"/>
  <c r="AA306" i="14"/>
  <c r="AA206" i="14"/>
  <c r="W252" i="14"/>
  <c r="W273" i="14"/>
  <c r="AA110" i="14"/>
  <c r="AA121" i="14"/>
  <c r="D11" i="9"/>
  <c r="AA195" i="14"/>
  <c r="W171" i="14"/>
  <c r="AA282" i="14"/>
  <c r="W367" i="14"/>
  <c r="W226" i="14"/>
  <c r="W233" i="14"/>
  <c r="W286" i="14"/>
  <c r="W257" i="14"/>
  <c r="W74" i="14"/>
  <c r="AA351" i="14"/>
  <c r="AA187" i="14"/>
  <c r="W95" i="14"/>
  <c r="W196" i="14"/>
  <c r="W42" i="14"/>
  <c r="W176" i="14"/>
  <c r="W344" i="14"/>
  <c r="D4" i="10"/>
  <c r="D15" i="11" s="1"/>
  <c r="E15" i="11" s="1"/>
  <c r="Q38" i="15"/>
  <c r="AA365" i="14"/>
  <c r="AA216" i="14"/>
  <c r="W167" i="14"/>
  <c r="W183" i="14"/>
  <c r="W277" i="14"/>
  <c r="AA307" i="14"/>
  <c r="W93" i="14"/>
  <c r="AA359" i="14"/>
  <c r="AA153" i="14"/>
  <c r="AA244" i="14"/>
  <c r="W359" i="14"/>
  <c r="W105" i="14"/>
  <c r="AA123" i="14"/>
  <c r="AA252" i="14"/>
  <c r="W65" i="14"/>
  <c r="W61" i="14"/>
  <c r="AA313" i="14"/>
  <c r="W184" i="14"/>
  <c r="W94" i="14"/>
  <c r="W284" i="14"/>
  <c r="W303" i="14"/>
  <c r="W70" i="14"/>
  <c r="AA342" i="14"/>
  <c r="AA361" i="14"/>
  <c r="AA64" i="14"/>
  <c r="AA214" i="14"/>
  <c r="W77" i="14"/>
  <c r="W135" i="14"/>
  <c r="W261" i="14"/>
  <c r="AA213" i="14"/>
  <c r="AA278" i="14"/>
  <c r="W320" i="14"/>
  <c r="W297" i="14"/>
  <c r="W311" i="14"/>
  <c r="AA69" i="14"/>
  <c r="AA125" i="14"/>
  <c r="AA279" i="14"/>
  <c r="AA360" i="14"/>
  <c r="AA82" i="14"/>
  <c r="AA239" i="14"/>
  <c r="AA358" i="14"/>
  <c r="Q45" i="15"/>
  <c r="AA276" i="14"/>
  <c r="W213" i="14"/>
  <c r="W121" i="14"/>
  <c r="AA299" i="14"/>
  <c r="W309" i="14"/>
  <c r="W38" i="14"/>
  <c r="AA192" i="14"/>
  <c r="W142" i="14"/>
  <c r="AA274" i="14"/>
  <c r="W217" i="14"/>
  <c r="AA211" i="14"/>
  <c r="W108" i="14"/>
  <c r="W271" i="14"/>
  <c r="AA140" i="14"/>
  <c r="W228" i="14"/>
  <c r="W268" i="14"/>
  <c r="AA88" i="14"/>
  <c r="W152" i="14"/>
  <c r="W86" i="14"/>
  <c r="W53" i="14"/>
  <c r="W245" i="14"/>
  <c r="AA232" i="14"/>
  <c r="W174" i="14"/>
  <c r="W68" i="14"/>
  <c r="W369" i="14"/>
  <c r="AA289" i="14"/>
  <c r="AA92" i="14"/>
  <c r="AA327" i="14"/>
  <c r="AA113" i="14"/>
  <c r="W291" i="14"/>
  <c r="W127" i="14"/>
  <c r="D38" i="11"/>
  <c r="Q4" i="9"/>
  <c r="AA54" i="14"/>
  <c r="W124" i="14"/>
  <c r="AA229" i="14"/>
  <c r="W216" i="14"/>
  <c r="W290" i="14"/>
  <c r="AA47" i="14"/>
  <c r="W288" i="14"/>
  <c r="W110" i="14"/>
  <c r="AA149" i="14"/>
  <c r="W280" i="14"/>
  <c r="W187" i="14"/>
  <c r="W193" i="14"/>
  <c r="AA311" i="14"/>
  <c r="AA222" i="14"/>
  <c r="W254" i="14"/>
  <c r="AA251" i="14"/>
  <c r="AA294" i="14"/>
  <c r="W357" i="14"/>
  <c r="W335" i="14"/>
  <c r="W141" i="14"/>
  <c r="W247" i="14"/>
  <c r="AA51" i="14"/>
  <c r="AA364" i="14"/>
  <c r="AA314" i="14"/>
  <c r="AA141" i="14"/>
  <c r="AA201" i="14"/>
  <c r="AA157" i="14"/>
  <c r="W145" i="14"/>
  <c r="AA349" i="14"/>
  <c r="AA334" i="14"/>
  <c r="AA280" i="14"/>
  <c r="AA293" i="14"/>
  <c r="W134" i="14"/>
  <c r="AA266" i="14"/>
  <c r="AA105" i="14"/>
  <c r="W212" i="14"/>
  <c r="Q48" i="15"/>
  <c r="W78" i="14"/>
  <c r="AA166" i="14"/>
  <c r="W283" i="14"/>
  <c r="AA207" i="14"/>
  <c r="W240" i="14"/>
  <c r="W203" i="14"/>
  <c r="W67" i="14"/>
  <c r="W170" i="14"/>
  <c r="AA248" i="14"/>
  <c r="AA357" i="14"/>
  <c r="W310" i="14"/>
  <c r="W73" i="14"/>
  <c r="AA223" i="14"/>
  <c r="W172" i="14"/>
  <c r="AA136" i="14"/>
  <c r="AA217" i="14"/>
  <c r="W279" i="14"/>
  <c r="W243" i="14"/>
  <c r="AA219" i="14"/>
  <c r="AA45" i="14"/>
  <c r="AA203" i="14"/>
  <c r="W210" i="14"/>
  <c r="T4" i="9"/>
  <c r="C38" i="11" s="1"/>
  <c r="Q4" i="10"/>
  <c r="C39" i="11" s="1"/>
  <c r="AO76" i="14"/>
  <c r="AO346" i="14"/>
  <c r="AO362" i="14"/>
  <c r="AO154" i="14"/>
  <c r="AO318" i="14"/>
  <c r="AO44" i="14"/>
  <c r="AO112" i="14"/>
  <c r="AO43" i="14"/>
  <c r="AO313" i="14"/>
  <c r="AO91" i="14"/>
  <c r="AO366" i="14"/>
  <c r="AO185" i="14"/>
  <c r="AO368" i="14"/>
  <c r="AO305" i="14"/>
  <c r="AO219" i="14"/>
  <c r="AO138" i="14"/>
  <c r="AO181" i="14"/>
  <c r="AO249" i="14"/>
  <c r="AO336" i="14"/>
  <c r="AO236" i="14"/>
  <c r="AO89" i="14"/>
  <c r="AO319" i="14"/>
  <c r="AO157" i="14"/>
  <c r="AO211" i="14"/>
  <c r="AO111" i="14"/>
  <c r="AO222" i="14"/>
  <c r="AO84" i="14"/>
  <c r="AO167" i="14"/>
  <c r="AO277" i="14"/>
  <c r="AO359" i="14"/>
  <c r="AO61" i="14"/>
  <c r="AO94" i="14"/>
  <c r="AO303" i="14"/>
  <c r="AO77" i="14"/>
  <c r="AO261" i="14"/>
  <c r="AO320" i="14"/>
  <c r="AO311" i="14"/>
  <c r="AO108" i="14"/>
  <c r="AO86" i="14"/>
  <c r="AO245" i="14"/>
  <c r="AO124" i="14"/>
  <c r="AO288" i="14"/>
  <c r="AO280" i="14"/>
  <c r="AO134" i="14"/>
  <c r="AO78" i="14"/>
  <c r="AO203" i="14"/>
  <c r="AO170" i="14"/>
  <c r="AO310" i="14"/>
  <c r="AO210" i="14"/>
  <c r="AO290" i="14"/>
  <c r="AO193" i="14"/>
  <c r="AO254" i="14"/>
  <c r="AO357" i="14"/>
  <c r="AO141" i="14"/>
  <c r="AO212" i="14"/>
  <c r="AO172" i="14"/>
  <c r="AO279" i="14"/>
  <c r="AO192" i="14"/>
  <c r="AO221" i="14"/>
  <c r="AO37" i="14"/>
  <c r="AO158" i="14"/>
  <c r="AO229" i="14"/>
  <c r="AO120" i="14"/>
  <c r="AO186" i="14"/>
  <c r="AO264" i="14"/>
  <c r="AO197" i="14"/>
  <c r="AO202" i="14"/>
  <c r="AO242" i="14"/>
  <c r="AO287" i="14"/>
  <c r="AO353" i="14"/>
  <c r="AO126" i="14"/>
  <c r="AO75" i="14"/>
  <c r="AO255" i="14"/>
  <c r="AO63" i="14"/>
  <c r="AO106" i="14"/>
  <c r="AO293" i="14"/>
  <c r="AO190" i="14"/>
  <c r="AO296" i="14"/>
  <c r="AO289" i="14"/>
  <c r="AO51" i="14"/>
  <c r="AO354" i="14"/>
  <c r="AO325" i="14"/>
  <c r="AO295" i="14"/>
  <c r="AO182" i="14"/>
  <c r="AO278" i="14"/>
  <c r="AO265" i="14"/>
  <c r="AO69" i="14"/>
  <c r="AO266" i="14"/>
  <c r="AO244" i="14"/>
  <c r="AO230" i="14"/>
  <c r="AO156" i="14"/>
  <c r="AO163" i="14"/>
  <c r="AO28" i="14"/>
  <c r="AO115" i="14"/>
  <c r="AO246" i="14"/>
  <c r="AO36" i="14"/>
  <c r="AO323" i="14"/>
  <c r="AO55" i="14"/>
  <c r="AO164" i="14"/>
  <c r="AO72" i="14"/>
  <c r="AO114" i="14"/>
  <c r="AO46" i="14"/>
  <c r="AO267" i="14"/>
  <c r="AO198" i="14"/>
  <c r="AO90" i="14"/>
  <c r="AO199" i="14"/>
  <c r="AO133" i="14"/>
  <c r="AO30" i="14"/>
  <c r="AO334" i="14"/>
  <c r="AO66" i="14"/>
  <c r="AO96" i="14"/>
  <c r="AO214" i="14"/>
  <c r="AO85" i="14"/>
  <c r="AO79" i="14"/>
  <c r="AO355" i="14"/>
  <c r="AO82" i="14"/>
  <c r="AO178" i="14"/>
  <c r="AO329" i="14"/>
  <c r="AO35" i="14"/>
  <c r="AO41" i="14"/>
  <c r="AO109" i="14"/>
  <c r="AO347" i="14"/>
  <c r="AO60" i="14"/>
  <c r="AO201" i="14"/>
  <c r="AO208" i="14"/>
  <c r="AO200" i="14"/>
  <c r="AO48" i="14"/>
  <c r="AO252" i="14"/>
  <c r="AO171" i="14"/>
  <c r="AO121" i="14"/>
  <c r="AO309" i="14"/>
  <c r="AO142" i="14"/>
  <c r="AO217" i="14"/>
  <c r="AO228" i="14"/>
  <c r="AO68" i="14"/>
  <c r="AO291" i="14"/>
  <c r="AO239" i="14"/>
  <c r="AO312" i="14"/>
  <c r="AO153" i="14"/>
  <c r="AO300" i="14"/>
  <c r="AO224" i="14"/>
  <c r="AO57" i="14"/>
  <c r="AO179" i="14"/>
  <c r="AO231" i="14"/>
  <c r="AO98" i="14"/>
  <c r="AO47" i="14"/>
  <c r="AO322" i="14"/>
  <c r="AO52" i="14"/>
  <c r="AO315" i="14"/>
  <c r="AO194" i="14"/>
  <c r="AO117" i="14"/>
  <c r="AO276" i="14"/>
  <c r="AO351" i="14"/>
  <c r="AO125" i="14"/>
  <c r="AO304" i="14"/>
  <c r="AO206" i="14"/>
  <c r="AO62" i="14"/>
  <c r="AO317" i="14"/>
  <c r="AO71" i="14"/>
  <c r="AO237" i="14"/>
  <c r="AO130" i="14"/>
  <c r="AO205" i="14"/>
  <c r="AO50" i="14"/>
  <c r="AO87" i="14"/>
  <c r="AO49" i="14"/>
  <c r="AO301" i="14"/>
  <c r="AO349" i="14"/>
  <c r="AO97" i="14"/>
  <c r="AO100" i="14"/>
  <c r="AO258" i="14"/>
  <c r="AO256" i="14"/>
  <c r="AO281" i="14"/>
  <c r="AO342" i="14"/>
  <c r="AO223" i="14"/>
  <c r="AO272" i="14"/>
  <c r="AO81" i="14"/>
  <c r="AO215" i="14"/>
  <c r="AO80" i="14"/>
  <c r="AO358" i="14"/>
  <c r="AO92" i="14"/>
  <c r="AO118" i="14"/>
  <c r="AO232" i="14"/>
  <c r="AO259" i="14"/>
  <c r="AO248" i="14"/>
  <c r="AO128" i="14"/>
  <c r="D34" i="11" s="1"/>
  <c r="E34" i="11" s="1"/>
  <c r="AO275" i="14"/>
  <c r="AO241" i="14"/>
  <c r="AO59" i="14"/>
  <c r="AO365" i="14"/>
  <c r="AO326" i="14"/>
  <c r="AO151" i="14"/>
  <c r="AO299" i="14"/>
  <c r="AO238" i="14"/>
  <c r="AO337" i="14"/>
  <c r="AO263" i="14"/>
  <c r="AO64" i="14"/>
  <c r="AO226" i="14"/>
  <c r="AO286" i="14"/>
  <c r="AO74" i="14"/>
  <c r="AO95" i="14"/>
  <c r="AO42" i="14"/>
  <c r="AO344" i="14"/>
  <c r="AO183" i="14"/>
  <c r="AO105" i="14"/>
  <c r="AO65" i="14"/>
  <c r="AO271" i="14"/>
  <c r="AO152" i="14"/>
  <c r="AO53" i="14"/>
  <c r="AO174" i="14"/>
  <c r="AO127" i="14"/>
  <c r="AO110" i="14"/>
  <c r="AO240" i="14"/>
  <c r="AO67" i="14"/>
  <c r="AO73" i="14"/>
  <c r="AO137" i="14"/>
  <c r="AO123" i="14"/>
  <c r="AO209" i="14"/>
  <c r="AO160" i="14"/>
  <c r="AO274" i="14"/>
  <c r="AO348" i="14"/>
  <c r="AO116" i="14"/>
  <c r="AO122" i="14"/>
  <c r="AO136" i="14"/>
  <c r="AO101" i="14"/>
  <c r="AO159" i="14"/>
  <c r="AO162" i="14"/>
  <c r="AO350" i="14"/>
  <c r="AO31" i="14"/>
  <c r="AO343" i="14"/>
  <c r="AO188" i="14"/>
  <c r="AO166" i="14"/>
  <c r="AO144" i="14"/>
  <c r="AO298" i="14"/>
  <c r="AO340" i="14"/>
  <c r="AO189" i="14"/>
  <c r="AO285" i="14"/>
  <c r="AO308" i="14"/>
  <c r="AO34" i="14"/>
  <c r="AO253" i="14"/>
  <c r="AO324" i="14"/>
  <c r="AO29" i="14"/>
  <c r="AO207" i="14"/>
  <c r="AO234" i="14"/>
  <c r="AO143" i="14"/>
  <c r="AO341" i="14"/>
  <c r="AO321" i="14"/>
  <c r="AO40" i="14"/>
  <c r="AO83" i="14"/>
  <c r="AO330" i="14"/>
  <c r="AO147" i="14"/>
  <c r="AO173" i="14"/>
  <c r="AO103" i="14"/>
  <c r="AO235" i="14"/>
  <c r="AO32" i="14"/>
  <c r="AO139" i="14"/>
  <c r="AO360" i="14"/>
  <c r="AO99" i="14"/>
  <c r="AO150" i="14"/>
  <c r="AO131" i="14"/>
  <c r="AO119" i="14"/>
  <c r="AO260" i="14"/>
  <c r="AO129" i="14"/>
  <c r="AO333" i="14"/>
  <c r="AO331" i="14"/>
  <c r="AO262" i="14"/>
  <c r="AO132" i="14"/>
  <c r="AO220" i="14"/>
  <c r="AO339" i="14"/>
  <c r="AO146" i="14"/>
  <c r="AO306" i="14"/>
  <c r="AO168" i="14"/>
  <c r="AO345" i="14"/>
  <c r="AO140" i="14"/>
  <c r="AO195" i="14"/>
  <c r="AO294" i="14"/>
  <c r="AO177" i="14"/>
  <c r="AO113" i="14"/>
  <c r="AO39" i="14"/>
  <c r="AO332" i="14"/>
  <c r="AO169" i="14"/>
  <c r="AO250" i="14"/>
  <c r="AO273" i="14"/>
  <c r="AO233" i="14"/>
  <c r="AO93" i="14"/>
  <c r="AO184" i="14"/>
  <c r="AO284" i="14"/>
  <c r="AO70" i="14"/>
  <c r="AO297" i="14"/>
  <c r="AO213" i="14"/>
  <c r="AO38" i="14"/>
  <c r="AO268" i="14"/>
  <c r="AO369" i="14"/>
  <c r="AO216" i="14"/>
  <c r="AO335" i="14"/>
  <c r="AO247" i="14"/>
  <c r="AO145" i="14"/>
  <c r="AO283" i="14"/>
  <c r="AO243" i="14"/>
  <c r="AO225" i="14"/>
  <c r="AO45" i="14"/>
  <c r="AO58" i="14"/>
  <c r="AO338" i="14"/>
  <c r="AO227" i="14"/>
  <c r="AO251" i="14"/>
  <c r="AO361" i="14"/>
  <c r="AO155" i="14"/>
  <c r="AO56" i="14"/>
  <c r="AO54" i="14"/>
  <c r="AO148" i="14"/>
  <c r="AO356" i="14"/>
  <c r="AO269" i="14"/>
  <c r="AO175" i="14"/>
  <c r="AO307" i="14"/>
  <c r="AO102" i="14"/>
  <c r="AO314" i="14"/>
  <c r="AO165" i="14"/>
  <c r="AO149" i="14"/>
  <c r="AO218" i="14"/>
  <c r="AO204" i="14"/>
  <c r="AO104" i="14"/>
  <c r="AO33" i="14"/>
  <c r="AO363" i="14"/>
  <c r="AO316" i="14"/>
  <c r="AO88" i="14"/>
  <c r="AO282" i="14"/>
  <c r="AO292" i="14"/>
  <c r="AO135" i="14"/>
  <c r="AO187" i="14"/>
  <c r="AO161" i="14"/>
  <c r="AO302" i="14"/>
  <c r="AO328" i="14"/>
  <c r="AO327" i="14"/>
  <c r="AO270" i="14"/>
  <c r="AO352" i="14"/>
  <c r="AO191" i="14"/>
  <c r="AO180" i="14"/>
  <c r="AO364" i="14"/>
  <c r="AO107" i="14"/>
  <c r="AO367" i="14"/>
  <c r="AO257" i="14"/>
  <c r="AO196" i="14"/>
  <c r="AO176" i="14"/>
  <c r="E39" i="11" l="1"/>
  <c r="V4" i="9"/>
  <c r="D35" i="11" s="1"/>
  <c r="E35" i="11" s="1"/>
  <c r="S4" i="10"/>
  <c r="D36" i="11" s="1"/>
  <c r="E36" i="11" s="1"/>
  <c r="Z38" i="15"/>
  <c r="U38" i="15"/>
  <c r="P187" i="14"/>
  <c r="Q187" i="14"/>
  <c r="R187" i="14"/>
  <c r="P110" i="14"/>
  <c r="Q110" i="14"/>
  <c r="R110" i="14"/>
  <c r="R288" i="14"/>
  <c r="P288" i="14"/>
  <c r="Q288" i="14"/>
  <c r="P98" i="14"/>
  <c r="Q98" i="14"/>
  <c r="R98" i="14"/>
  <c r="P31" i="14"/>
  <c r="Q31" i="14"/>
  <c r="R31" i="14"/>
  <c r="P260" i="14"/>
  <c r="R260" i="14"/>
  <c r="Q260" i="14"/>
  <c r="Q199" i="14"/>
  <c r="P199" i="14"/>
  <c r="R199" i="14"/>
  <c r="Q272" i="14"/>
  <c r="R272" i="14"/>
  <c r="P272" i="14"/>
  <c r="Q170" i="14"/>
  <c r="P170" i="14"/>
  <c r="R170" i="14"/>
  <c r="Q284" i="14"/>
  <c r="P284" i="14"/>
  <c r="R284" i="14"/>
  <c r="R363" i="14"/>
  <c r="P363" i="14"/>
  <c r="Q363" i="14"/>
  <c r="U49" i="15"/>
  <c r="X49" i="15" s="1"/>
  <c r="Z49" i="15"/>
  <c r="Q218" i="14"/>
  <c r="P218" i="14"/>
  <c r="R218" i="14"/>
  <c r="R180" i="14"/>
  <c r="P180" i="14"/>
  <c r="Q180" i="14"/>
  <c r="Q122" i="14"/>
  <c r="R122" i="14"/>
  <c r="F11" i="9"/>
  <c r="H11" i="9" s="1"/>
  <c r="P122" i="14"/>
  <c r="Q146" i="14"/>
  <c r="R146" i="14"/>
  <c r="P146" i="14"/>
  <c r="R83" i="14"/>
  <c r="P83" i="14"/>
  <c r="Q83" i="14"/>
  <c r="Z43" i="15"/>
  <c r="U43" i="15"/>
  <c r="X43" i="15" s="1"/>
  <c r="Q181" i="14"/>
  <c r="R181" i="14"/>
  <c r="P181" i="14"/>
  <c r="P345" i="14"/>
  <c r="Q345" i="14"/>
  <c r="R345" i="14"/>
  <c r="Q137" i="14"/>
  <c r="R137" i="14"/>
  <c r="P137" i="14"/>
  <c r="O137" i="14" s="1"/>
  <c r="R224" i="14"/>
  <c r="P224" i="14"/>
  <c r="Q224" i="14"/>
  <c r="U46" i="15"/>
  <c r="X46" i="15" s="1"/>
  <c r="Z46" i="15"/>
  <c r="R156" i="14"/>
  <c r="Q156" i="14"/>
  <c r="P156" i="14"/>
  <c r="R130" i="14"/>
  <c r="Q130" i="14"/>
  <c r="P130" i="14"/>
  <c r="P59" i="14"/>
  <c r="R59" i="14"/>
  <c r="Q59" i="14"/>
  <c r="P65" i="14"/>
  <c r="Q65" i="14"/>
  <c r="R65" i="14"/>
  <c r="Q366" i="14"/>
  <c r="P366" i="14"/>
  <c r="R366" i="14"/>
  <c r="P338" i="14"/>
  <c r="Q338" i="14"/>
  <c r="R338" i="14"/>
  <c r="Q257" i="14"/>
  <c r="P257" i="14"/>
  <c r="R257" i="14"/>
  <c r="Q144" i="14"/>
  <c r="P144" i="14"/>
  <c r="R144" i="14"/>
  <c r="R28" i="14"/>
  <c r="Q28" i="14"/>
  <c r="P28" i="14"/>
  <c r="F4" i="10"/>
  <c r="P227" i="14"/>
  <c r="R227" i="14"/>
  <c r="Q227" i="14"/>
  <c r="R321" i="14"/>
  <c r="P321" i="14"/>
  <c r="Q321" i="14"/>
  <c r="R236" i="14"/>
  <c r="P236" i="14"/>
  <c r="Q236" i="14"/>
  <c r="R97" i="14"/>
  <c r="Q97" i="14"/>
  <c r="P97" i="14"/>
  <c r="R135" i="14"/>
  <c r="Q135" i="14"/>
  <c r="P135" i="14"/>
  <c r="P78" i="14"/>
  <c r="Q78" i="14"/>
  <c r="R78" i="14"/>
  <c r="Q34" i="14"/>
  <c r="P34" i="14"/>
  <c r="R34" i="14"/>
  <c r="R238" i="14"/>
  <c r="Q238" i="14"/>
  <c r="P238" i="14"/>
  <c r="Q104" i="14"/>
  <c r="R104" i="14"/>
  <c r="P104" i="14"/>
  <c r="Q61" i="14"/>
  <c r="R61" i="14"/>
  <c r="P61" i="14"/>
  <c r="O61" i="14" s="1"/>
  <c r="Q309" i="14"/>
  <c r="R309" i="14"/>
  <c r="P309" i="14"/>
  <c r="P167" i="14"/>
  <c r="O167" i="14" s="1"/>
  <c r="R167" i="14"/>
  <c r="Q167" i="14"/>
  <c r="P265" i="14"/>
  <c r="R265" i="14"/>
  <c r="Q265" i="14"/>
  <c r="Q217" i="14"/>
  <c r="P217" i="14"/>
  <c r="R217" i="14"/>
  <c r="Q223" i="14"/>
  <c r="R223" i="14"/>
  <c r="P223" i="14"/>
  <c r="Q105" i="14"/>
  <c r="R105" i="14"/>
  <c r="P105" i="14"/>
  <c r="Q293" i="14"/>
  <c r="P293" i="14"/>
  <c r="R293" i="14"/>
  <c r="P141" i="14"/>
  <c r="Q141" i="14"/>
  <c r="R141" i="14"/>
  <c r="P294" i="14"/>
  <c r="R294" i="14"/>
  <c r="Q294" i="14"/>
  <c r="P222" i="14"/>
  <c r="Q222" i="14"/>
  <c r="R222" i="14"/>
  <c r="R149" i="14"/>
  <c r="P149" i="14"/>
  <c r="Q149" i="14"/>
  <c r="R113" i="14"/>
  <c r="Q113" i="14"/>
  <c r="P113" i="14"/>
  <c r="P140" i="14"/>
  <c r="O140" i="14" s="1"/>
  <c r="Q140" i="14"/>
  <c r="R140" i="14"/>
  <c r="Q274" i="14"/>
  <c r="P274" i="14"/>
  <c r="O274" i="14" s="1"/>
  <c r="R274" i="14"/>
  <c r="Q299" i="14"/>
  <c r="R299" i="14"/>
  <c r="P299" i="14"/>
  <c r="P239" i="14"/>
  <c r="Q239" i="14"/>
  <c r="R239" i="14"/>
  <c r="Q125" i="14"/>
  <c r="P125" i="14"/>
  <c r="R125" i="14"/>
  <c r="Q278" i="14"/>
  <c r="R278" i="14"/>
  <c r="P278" i="14"/>
  <c r="R214" i="14"/>
  <c r="P214" i="14"/>
  <c r="Q214" i="14"/>
  <c r="P123" i="14"/>
  <c r="Q123" i="14"/>
  <c r="R123" i="14"/>
  <c r="R351" i="14"/>
  <c r="Q351" i="14"/>
  <c r="P351" i="14"/>
  <c r="O351" i="14" s="1"/>
  <c r="Q195" i="14"/>
  <c r="R195" i="14"/>
  <c r="P195" i="14"/>
  <c r="P206" i="14"/>
  <c r="R206" i="14"/>
  <c r="Q206" i="14"/>
  <c r="P233" i="14"/>
  <c r="R233" i="14"/>
  <c r="Q233" i="14"/>
  <c r="P147" i="14"/>
  <c r="O147" i="14" s="1"/>
  <c r="Q147" i="14"/>
  <c r="R147" i="14"/>
  <c r="Q124" i="14"/>
  <c r="P124" i="14"/>
  <c r="O124" i="14" s="1"/>
  <c r="R124" i="14"/>
  <c r="Q188" i="14"/>
  <c r="R188" i="14"/>
  <c r="P188" i="14"/>
  <c r="P143" i="14"/>
  <c r="Q143" i="14"/>
  <c r="R143" i="14"/>
  <c r="R131" i="14"/>
  <c r="P131" i="14"/>
  <c r="Q131" i="14"/>
  <c r="P215" i="14"/>
  <c r="O215" i="14" s="1"/>
  <c r="R215" i="14"/>
  <c r="Q215" i="14"/>
  <c r="P231" i="14"/>
  <c r="R231" i="14"/>
  <c r="Q231" i="14"/>
  <c r="P198" i="14"/>
  <c r="R198" i="14"/>
  <c r="Q198" i="14"/>
  <c r="P155" i="14"/>
  <c r="O155" i="14" s="1"/>
  <c r="Q155" i="14"/>
  <c r="R155" i="14"/>
  <c r="R148" i="14"/>
  <c r="Q148" i="14"/>
  <c r="P148" i="14"/>
  <c r="P168" i="14"/>
  <c r="Q168" i="14"/>
  <c r="R168" i="14"/>
  <c r="R322" i="14"/>
  <c r="P322" i="14"/>
  <c r="Q322" i="14"/>
  <c r="R339" i="14"/>
  <c r="Q339" i="14"/>
  <c r="P339" i="14"/>
  <c r="O339" i="14" s="1"/>
  <c r="P319" i="14"/>
  <c r="Q319" i="14"/>
  <c r="R319" i="14"/>
  <c r="Q362" i="14"/>
  <c r="P362" i="14"/>
  <c r="R362" i="14"/>
  <c r="R151" i="14"/>
  <c r="P151" i="14"/>
  <c r="Q151" i="14"/>
  <c r="P95" i="14"/>
  <c r="R95" i="14"/>
  <c r="Q95" i="14"/>
  <c r="P96" i="14"/>
  <c r="R96" i="14"/>
  <c r="Q96" i="14"/>
  <c r="P303" i="14"/>
  <c r="R303" i="14"/>
  <c r="Q303" i="14"/>
  <c r="Q43" i="14"/>
  <c r="P43" i="14"/>
  <c r="O43" i="14" s="1"/>
  <c r="R43" i="14"/>
  <c r="P126" i="14"/>
  <c r="R126" i="14"/>
  <c r="Q126" i="14"/>
  <c r="Q175" i="14"/>
  <c r="R175" i="14"/>
  <c r="P175" i="14"/>
  <c r="P273" i="14"/>
  <c r="Q273" i="14"/>
  <c r="R273" i="14"/>
  <c r="P369" i="14"/>
  <c r="R369" i="14"/>
  <c r="Q369" i="14"/>
  <c r="P326" i="14"/>
  <c r="Q326" i="14"/>
  <c r="R326" i="14"/>
  <c r="Q281" i="14"/>
  <c r="P281" i="14"/>
  <c r="R281" i="14"/>
  <c r="P277" i="14"/>
  <c r="R277" i="14"/>
  <c r="Q277" i="14"/>
  <c r="P234" i="14"/>
  <c r="Q234" i="14"/>
  <c r="R234" i="14"/>
  <c r="P325" i="14"/>
  <c r="R325" i="14"/>
  <c r="Q325" i="14"/>
  <c r="P205" i="14"/>
  <c r="Q205" i="14"/>
  <c r="R205" i="14"/>
  <c r="P174" i="14"/>
  <c r="Q174" i="14"/>
  <c r="R174" i="14"/>
  <c r="P298" i="14"/>
  <c r="Q298" i="14"/>
  <c r="R298" i="14"/>
  <c r="P196" i="14"/>
  <c r="R196" i="14"/>
  <c r="Q196" i="14"/>
  <c r="P35" i="14"/>
  <c r="Q35" i="14"/>
  <c r="R35" i="14"/>
  <c r="Q112" i="14"/>
  <c r="R112" i="14"/>
  <c r="P112" i="14"/>
  <c r="P46" i="14"/>
  <c r="Q46" i="14"/>
  <c r="R46" i="14"/>
  <c r="P304" i="14"/>
  <c r="R304" i="14"/>
  <c r="Q304" i="14"/>
  <c r="Q158" i="14"/>
  <c r="P158" i="14"/>
  <c r="R158" i="14"/>
  <c r="R42" i="14"/>
  <c r="P42" i="14"/>
  <c r="Q42" i="14"/>
  <c r="P84" i="14"/>
  <c r="Q84" i="14"/>
  <c r="R84" i="14"/>
  <c r="P267" i="14"/>
  <c r="Q267" i="14"/>
  <c r="R267" i="14"/>
  <c r="P333" i="14"/>
  <c r="Q333" i="14"/>
  <c r="R333" i="14"/>
  <c r="Q114" i="14"/>
  <c r="R114" i="14"/>
  <c r="P114" i="14"/>
  <c r="R367" i="14"/>
  <c r="Q367" i="14"/>
  <c r="P367" i="14"/>
  <c r="R255" i="14"/>
  <c r="Q255" i="14"/>
  <c r="P255" i="14"/>
  <c r="R171" i="14"/>
  <c r="P171" i="14"/>
  <c r="Q171" i="14"/>
  <c r="R253" i="14"/>
  <c r="P253" i="14"/>
  <c r="Q253" i="14"/>
  <c r="Q317" i="14"/>
  <c r="R317" i="14"/>
  <c r="P317" i="14"/>
  <c r="Q81" i="14"/>
  <c r="R81" i="14"/>
  <c r="P81" i="14"/>
  <c r="Q48" i="14"/>
  <c r="R48" i="14"/>
  <c r="P48" i="14"/>
  <c r="P76" i="14"/>
  <c r="R76" i="14"/>
  <c r="Q76" i="14"/>
  <c r="Q332" i="14"/>
  <c r="P332" i="14"/>
  <c r="R332" i="14"/>
  <c r="P115" i="14"/>
  <c r="Q115" i="14"/>
  <c r="R115" i="14"/>
  <c r="Q89" i="14"/>
  <c r="P89" i="14"/>
  <c r="O89" i="14" s="1"/>
  <c r="R89" i="14"/>
  <c r="P103" i="14"/>
  <c r="Q103" i="14"/>
  <c r="R103" i="14"/>
  <c r="R119" i="14"/>
  <c r="P119" i="14"/>
  <c r="Q119" i="14"/>
  <c r="R107" i="14"/>
  <c r="Q107" i="14"/>
  <c r="P107" i="14"/>
  <c r="R203" i="14"/>
  <c r="Q203" i="14"/>
  <c r="P203" i="14"/>
  <c r="R136" i="14"/>
  <c r="Q136" i="14"/>
  <c r="P136" i="14"/>
  <c r="R357" i="14"/>
  <c r="Q357" i="14"/>
  <c r="P357" i="14"/>
  <c r="U48" i="15"/>
  <c r="X48" i="15" s="1"/>
  <c r="Z48" i="15"/>
  <c r="Q266" i="14"/>
  <c r="P266" i="14"/>
  <c r="R266" i="14"/>
  <c r="Q280" i="14"/>
  <c r="P280" i="14"/>
  <c r="R280" i="14"/>
  <c r="R314" i="14"/>
  <c r="Q314" i="14"/>
  <c r="P314" i="14"/>
  <c r="R251" i="14"/>
  <c r="Q251" i="14"/>
  <c r="P251" i="14"/>
  <c r="P311" i="14"/>
  <c r="Q311" i="14"/>
  <c r="R311" i="14"/>
  <c r="R47" i="14"/>
  <c r="Q47" i="14"/>
  <c r="P47" i="14"/>
  <c r="R54" i="14"/>
  <c r="Q54" i="14"/>
  <c r="P54" i="14"/>
  <c r="Q327" i="14"/>
  <c r="P327" i="14"/>
  <c r="R327" i="14"/>
  <c r="P211" i="14"/>
  <c r="Q211" i="14"/>
  <c r="R211" i="14"/>
  <c r="Q276" i="14"/>
  <c r="R276" i="14"/>
  <c r="P276" i="14"/>
  <c r="R82" i="14"/>
  <c r="P82" i="14"/>
  <c r="Q82" i="14"/>
  <c r="P69" i="14"/>
  <c r="Q69" i="14"/>
  <c r="R69" i="14"/>
  <c r="P213" i="14"/>
  <c r="Q213" i="14"/>
  <c r="R213" i="14"/>
  <c r="Q64" i="14"/>
  <c r="R64" i="14"/>
  <c r="P64" i="14"/>
  <c r="R244" i="14"/>
  <c r="Q244" i="14"/>
  <c r="P244" i="14"/>
  <c r="Q216" i="14"/>
  <c r="R216" i="14"/>
  <c r="P216" i="14"/>
  <c r="P282" i="14"/>
  <c r="R282" i="14"/>
  <c r="Q282" i="14"/>
  <c r="R306" i="14"/>
  <c r="Q306" i="14"/>
  <c r="P306" i="14"/>
  <c r="P202" i="14"/>
  <c r="Q202" i="14"/>
  <c r="R202" i="14"/>
  <c r="Q182" i="14"/>
  <c r="R182" i="14"/>
  <c r="P182" i="14"/>
  <c r="Q269" i="14"/>
  <c r="P269" i="14"/>
  <c r="R269" i="14"/>
  <c r="R204" i="14"/>
  <c r="Q204" i="14"/>
  <c r="P204" i="14"/>
  <c r="R154" i="14"/>
  <c r="P154" i="14"/>
  <c r="Q154" i="14"/>
  <c r="P350" i="14"/>
  <c r="Q350" i="14"/>
  <c r="R350" i="14"/>
  <c r="Q368" i="14"/>
  <c r="P368" i="14"/>
  <c r="R368" i="14"/>
  <c r="P33" i="14"/>
  <c r="Q33" i="14"/>
  <c r="R33" i="14"/>
  <c r="R162" i="14"/>
  <c r="Q162" i="14"/>
  <c r="P162" i="14"/>
  <c r="P129" i="14"/>
  <c r="R129" i="14"/>
  <c r="Q129" i="14"/>
  <c r="R261" i="14"/>
  <c r="Q261" i="14"/>
  <c r="P261" i="14"/>
  <c r="R286" i="14"/>
  <c r="P286" i="14"/>
  <c r="Q286" i="14"/>
  <c r="P226" i="14"/>
  <c r="R226" i="14"/>
  <c r="Q226" i="14"/>
  <c r="P250" i="14"/>
  <c r="R250" i="14"/>
  <c r="Q250" i="14"/>
  <c r="P292" i="14"/>
  <c r="Q292" i="14"/>
  <c r="R292" i="14"/>
  <c r="Q356" i="14"/>
  <c r="P356" i="14"/>
  <c r="R356" i="14"/>
  <c r="R50" i="14"/>
  <c r="Q50" i="14"/>
  <c r="P50" i="14"/>
  <c r="Q161" i="14"/>
  <c r="R161" i="14"/>
  <c r="P161" i="14"/>
  <c r="Q106" i="14"/>
  <c r="R106" i="14"/>
  <c r="P106" i="14"/>
  <c r="Q242" i="14"/>
  <c r="P242" i="14"/>
  <c r="R242" i="14"/>
  <c r="P164" i="14"/>
  <c r="Q164" i="14"/>
  <c r="R164" i="14"/>
  <c r="Q165" i="14"/>
  <c r="R165" i="14"/>
  <c r="P165" i="14"/>
  <c r="R240" i="14"/>
  <c r="P240" i="14"/>
  <c r="Q240" i="14"/>
  <c r="P67" i="14"/>
  <c r="Q67" i="14"/>
  <c r="R67" i="14"/>
  <c r="P179" i="14"/>
  <c r="Q179" i="14"/>
  <c r="R179" i="14"/>
  <c r="R258" i="14"/>
  <c r="P258" i="14"/>
  <c r="Q258" i="14"/>
  <c r="P183" i="14"/>
  <c r="R183" i="14"/>
  <c r="Q183" i="14"/>
  <c r="P128" i="14"/>
  <c r="D25" i="11" s="1"/>
  <c r="E25" i="11" s="1"/>
  <c r="Q128" i="14"/>
  <c r="D22" i="11" s="1"/>
  <c r="E22" i="11" s="1"/>
  <c r="R128" i="14"/>
  <c r="D19" i="11" s="1"/>
  <c r="E19" i="11" s="1"/>
  <c r="P169" i="14"/>
  <c r="Q169" i="14"/>
  <c r="R169" i="14"/>
  <c r="P150" i="14"/>
  <c r="Q150" i="14"/>
  <c r="R150" i="14"/>
  <c r="R38" i="14"/>
  <c r="P38" i="14"/>
  <c r="Q38" i="14"/>
  <c r="R353" i="14"/>
  <c r="Q353" i="14"/>
  <c r="P353" i="14"/>
  <c r="F4" i="9"/>
  <c r="R4" i="9" s="1"/>
  <c r="Q127" i="14"/>
  <c r="R127" i="14"/>
  <c r="P127" i="14"/>
  <c r="P295" i="14"/>
  <c r="Q295" i="14"/>
  <c r="R295" i="14"/>
  <c r="R190" i="14"/>
  <c r="P190" i="14"/>
  <c r="Q190" i="14"/>
  <c r="R262" i="14"/>
  <c r="Q262" i="14"/>
  <c r="P262" i="14"/>
  <c r="R132" i="14"/>
  <c r="Q132" i="14"/>
  <c r="P132" i="14"/>
  <c r="Q117" i="14"/>
  <c r="P117" i="14"/>
  <c r="R117" i="14"/>
  <c r="R212" i="14"/>
  <c r="Q212" i="14"/>
  <c r="P212" i="14"/>
  <c r="P340" i="14"/>
  <c r="Q340" i="14"/>
  <c r="R340" i="14"/>
  <c r="R52" i="14"/>
  <c r="P52" i="14"/>
  <c r="Q52" i="14"/>
  <c r="P331" i="14"/>
  <c r="Q331" i="14"/>
  <c r="R331" i="14"/>
  <c r="Q80" i="14"/>
  <c r="P80" i="14"/>
  <c r="R80" i="14"/>
  <c r="R108" i="14"/>
  <c r="P108" i="14"/>
  <c r="Q108" i="14"/>
  <c r="U41" i="15"/>
  <c r="X41" i="15" s="1"/>
  <c r="Z41" i="15"/>
  <c r="R221" i="14"/>
  <c r="Q221" i="14"/>
  <c r="P221" i="14"/>
  <c r="Q116" i="14"/>
  <c r="P116" i="14"/>
  <c r="R116" i="14"/>
  <c r="R348" i="14"/>
  <c r="P348" i="14"/>
  <c r="Q348" i="14"/>
  <c r="P246" i="14"/>
  <c r="Q246" i="14"/>
  <c r="R246" i="14"/>
  <c r="R142" i="14"/>
  <c r="Q142" i="14"/>
  <c r="P142" i="14"/>
  <c r="P300" i="14"/>
  <c r="R300" i="14"/>
  <c r="Q300" i="14"/>
  <c r="R57" i="14"/>
  <c r="P57" i="14"/>
  <c r="Q57" i="14"/>
  <c r="P58" i="14"/>
  <c r="R58" i="14"/>
  <c r="Q58" i="14"/>
  <c r="R139" i="14"/>
  <c r="Q139" i="14"/>
  <c r="P139" i="14"/>
  <c r="P302" i="14"/>
  <c r="Q302" i="14"/>
  <c r="R302" i="14"/>
  <c r="R77" i="14"/>
  <c r="Q77" i="14"/>
  <c r="P77" i="14"/>
  <c r="R36" i="14"/>
  <c r="P36" i="14"/>
  <c r="Q36" i="14"/>
  <c r="Q264" i="14"/>
  <c r="R264" i="14"/>
  <c r="P264" i="14"/>
  <c r="R134" i="14"/>
  <c r="P134" i="14"/>
  <c r="Q134" i="14"/>
  <c r="P56" i="14"/>
  <c r="Q56" i="14"/>
  <c r="R56" i="14"/>
  <c r="P243" i="14"/>
  <c r="Q243" i="14"/>
  <c r="R243" i="14"/>
  <c r="R330" i="14"/>
  <c r="P330" i="14"/>
  <c r="Q330" i="14"/>
  <c r="R32" i="14"/>
  <c r="Q32" i="14"/>
  <c r="P32" i="14"/>
  <c r="Q271" i="14"/>
  <c r="P271" i="14"/>
  <c r="R271" i="14"/>
  <c r="P247" i="14"/>
  <c r="R247" i="14"/>
  <c r="Q247" i="14"/>
  <c r="Q160" i="14"/>
  <c r="P160" i="14"/>
  <c r="R160" i="14"/>
  <c r="P352" i="14"/>
  <c r="Q352" i="14"/>
  <c r="R352" i="14"/>
  <c r="R176" i="14"/>
  <c r="Q176" i="14"/>
  <c r="P176" i="14"/>
  <c r="Q297" i="14"/>
  <c r="R297" i="14"/>
  <c r="P297" i="14"/>
  <c r="Q92" i="14"/>
  <c r="P92" i="14"/>
  <c r="R92" i="14"/>
  <c r="Q232" i="14"/>
  <c r="R232" i="14"/>
  <c r="P232" i="14"/>
  <c r="U45" i="15"/>
  <c r="X45" i="15" s="1"/>
  <c r="Z45" i="15"/>
  <c r="R360" i="14"/>
  <c r="Q360" i="14"/>
  <c r="P360" i="14"/>
  <c r="Q361" i="14"/>
  <c r="R361" i="14"/>
  <c r="P361" i="14"/>
  <c r="Q313" i="14"/>
  <c r="P313" i="14"/>
  <c r="R313" i="14"/>
  <c r="P153" i="14"/>
  <c r="Q153" i="14"/>
  <c r="R153" i="14"/>
  <c r="Q307" i="14"/>
  <c r="R307" i="14"/>
  <c r="P307" i="14"/>
  <c r="Q365" i="14"/>
  <c r="R365" i="14"/>
  <c r="P365" i="14"/>
  <c r="Q121" i="14"/>
  <c r="R121" i="14"/>
  <c r="P121" i="14"/>
  <c r="Q347" i="14"/>
  <c r="R347" i="14"/>
  <c r="P347" i="14"/>
  <c r="Q355" i="14"/>
  <c r="R355" i="14"/>
  <c r="P355" i="14"/>
  <c r="R133" i="14"/>
  <c r="P133" i="14"/>
  <c r="Q133" i="14"/>
  <c r="Q296" i="14"/>
  <c r="P296" i="14"/>
  <c r="R296" i="14"/>
  <c r="R55" i="14"/>
  <c r="P55" i="14"/>
  <c r="Q55" i="14"/>
  <c r="R29" i="14"/>
  <c r="P29" i="14"/>
  <c r="Q29" i="14"/>
  <c r="Q197" i="14"/>
  <c r="P197" i="14"/>
  <c r="R197" i="14"/>
  <c r="R90" i="14"/>
  <c r="P90" i="14"/>
  <c r="Q90" i="14"/>
  <c r="P225" i="14"/>
  <c r="R225" i="14"/>
  <c r="Q225" i="14"/>
  <c r="Q63" i="14"/>
  <c r="R63" i="14"/>
  <c r="P63" i="14"/>
  <c r="Q101" i="14"/>
  <c r="R101" i="14"/>
  <c r="P101" i="14"/>
  <c r="P354" i="14"/>
  <c r="Q354" i="14"/>
  <c r="R354" i="14"/>
  <c r="Q71" i="14"/>
  <c r="R71" i="14"/>
  <c r="P71" i="14"/>
  <c r="R249" i="14"/>
  <c r="Q249" i="14"/>
  <c r="P249" i="14"/>
  <c r="Q40" i="14"/>
  <c r="P40" i="14"/>
  <c r="R40" i="14"/>
  <c r="P102" i="14"/>
  <c r="Q102" i="14"/>
  <c r="R102" i="14"/>
  <c r="Q259" i="14"/>
  <c r="P259" i="14"/>
  <c r="R259" i="14"/>
  <c r="Q245" i="14"/>
  <c r="P245" i="14"/>
  <c r="R245" i="14"/>
  <c r="P320" i="14"/>
  <c r="R320" i="14"/>
  <c r="Q320" i="14"/>
  <c r="R268" i="14"/>
  <c r="Q268" i="14"/>
  <c r="P268" i="14"/>
  <c r="R301" i="14"/>
  <c r="Q301" i="14"/>
  <c r="P301" i="14"/>
  <c r="R74" i="14"/>
  <c r="Q74" i="14"/>
  <c r="P74" i="14"/>
  <c r="P210" i="14"/>
  <c r="Q210" i="14"/>
  <c r="R210" i="14"/>
  <c r="P100" i="14"/>
  <c r="R100" i="14"/>
  <c r="Q100" i="14"/>
  <c r="Q335" i="14"/>
  <c r="R335" i="14"/>
  <c r="P335" i="14"/>
  <c r="R256" i="14"/>
  <c r="Q256" i="14"/>
  <c r="P256" i="14"/>
  <c r="Q49" i="14"/>
  <c r="R49" i="14"/>
  <c r="P49" i="14"/>
  <c r="P41" i="14"/>
  <c r="R41" i="14"/>
  <c r="Q41" i="14"/>
  <c r="Q62" i="14"/>
  <c r="P62" i="14"/>
  <c r="R62" i="14"/>
  <c r="P85" i="14"/>
  <c r="R85" i="14"/>
  <c r="Q85" i="14"/>
  <c r="P159" i="14"/>
  <c r="Q159" i="14"/>
  <c r="R159" i="14"/>
  <c r="F18" i="9"/>
  <c r="H18" i="9" s="1"/>
  <c r="R99" i="14"/>
  <c r="Q99" i="14"/>
  <c r="P99" i="14"/>
  <c r="Q329" i="14"/>
  <c r="P329" i="14"/>
  <c r="R329" i="14"/>
  <c r="P310" i="14"/>
  <c r="Q310" i="14"/>
  <c r="R310" i="14"/>
  <c r="Q208" i="14"/>
  <c r="P208" i="14"/>
  <c r="R208" i="14"/>
  <c r="P172" i="14"/>
  <c r="Q172" i="14"/>
  <c r="R172" i="14"/>
  <c r="R344" i="14"/>
  <c r="Q344" i="14"/>
  <c r="P344" i="14"/>
  <c r="R118" i="14"/>
  <c r="P118" i="14"/>
  <c r="Q118" i="14"/>
  <c r="P200" i="14"/>
  <c r="Q200" i="14"/>
  <c r="R200" i="14"/>
  <c r="Q186" i="14"/>
  <c r="R186" i="14"/>
  <c r="P186" i="14"/>
  <c r="P318" i="14"/>
  <c r="Q318" i="14"/>
  <c r="R318" i="14"/>
  <c r="Q185" i="14"/>
  <c r="P185" i="14"/>
  <c r="R185" i="14"/>
  <c r="P336" i="14"/>
  <c r="R336" i="14"/>
  <c r="Q336" i="14"/>
  <c r="Q184" i="14"/>
  <c r="R184" i="14"/>
  <c r="P184" i="14"/>
  <c r="Q341" i="14"/>
  <c r="P341" i="14"/>
  <c r="R341" i="14"/>
  <c r="P68" i="14"/>
  <c r="R68" i="14"/>
  <c r="Q68" i="14"/>
  <c r="Q109" i="14"/>
  <c r="R109" i="14"/>
  <c r="P109" i="14"/>
  <c r="Q79" i="14"/>
  <c r="P79" i="14"/>
  <c r="R79" i="14"/>
  <c r="P189" i="14"/>
  <c r="R189" i="14"/>
  <c r="Q189" i="14"/>
  <c r="P53" i="14"/>
  <c r="Q53" i="14"/>
  <c r="R53" i="14"/>
  <c r="P343" i="14"/>
  <c r="Q343" i="14"/>
  <c r="R343" i="14"/>
  <c r="R39" i="14"/>
  <c r="P39" i="14"/>
  <c r="Q39" i="14"/>
  <c r="U40" i="15"/>
  <c r="X40" i="15" s="1"/>
  <c r="Z40" i="15"/>
  <c r="R178" i="14"/>
  <c r="P178" i="14"/>
  <c r="Q178" i="14"/>
  <c r="Q111" i="14"/>
  <c r="P111" i="14"/>
  <c r="R111" i="14"/>
  <c r="R120" i="14"/>
  <c r="Q120" i="14"/>
  <c r="P120" i="14"/>
  <c r="U42" i="15"/>
  <c r="Z42" i="15"/>
  <c r="P145" i="14"/>
  <c r="R145" i="14"/>
  <c r="Q145" i="14"/>
  <c r="R290" i="14"/>
  <c r="P290" i="14"/>
  <c r="Q290" i="14"/>
  <c r="P191" i="14"/>
  <c r="R191" i="14"/>
  <c r="Q191" i="14"/>
  <c r="R72" i="14"/>
  <c r="Q72" i="14"/>
  <c r="P72" i="14"/>
  <c r="P285" i="14"/>
  <c r="R285" i="14"/>
  <c r="Q285" i="14"/>
  <c r="Q230" i="14"/>
  <c r="R230" i="14"/>
  <c r="P230" i="14"/>
  <c r="R177" i="14"/>
  <c r="Q177" i="14"/>
  <c r="P177" i="14"/>
  <c r="Q241" i="14"/>
  <c r="R241" i="14"/>
  <c r="P241" i="14"/>
  <c r="P37" i="14"/>
  <c r="Q37" i="14"/>
  <c r="R37" i="14"/>
  <c r="R152" i="14"/>
  <c r="Q152" i="14"/>
  <c r="P152" i="14"/>
  <c r="P220" i="14"/>
  <c r="R220" i="14"/>
  <c r="Q220" i="14"/>
  <c r="Q305" i="14"/>
  <c r="R305" i="14"/>
  <c r="P305" i="14"/>
  <c r="P316" i="14"/>
  <c r="R316" i="14"/>
  <c r="Q316" i="14"/>
  <c r="P254" i="14"/>
  <c r="Q254" i="14"/>
  <c r="R254" i="14"/>
  <c r="R45" i="14"/>
  <c r="Q45" i="14"/>
  <c r="P45" i="14"/>
  <c r="R248" i="14"/>
  <c r="Q248" i="14"/>
  <c r="P248" i="14"/>
  <c r="P166" i="14"/>
  <c r="R166" i="14"/>
  <c r="Q166" i="14"/>
  <c r="R334" i="14"/>
  <c r="Q334" i="14"/>
  <c r="P334" i="14"/>
  <c r="P157" i="14"/>
  <c r="R157" i="14"/>
  <c r="Q157" i="14"/>
  <c r="R364" i="14"/>
  <c r="P364" i="14"/>
  <c r="Q364" i="14"/>
  <c r="R229" i="14"/>
  <c r="Q229" i="14"/>
  <c r="P229" i="14"/>
  <c r="Q219" i="14"/>
  <c r="R219" i="14"/>
  <c r="P219" i="14"/>
  <c r="P207" i="14"/>
  <c r="Q207" i="14"/>
  <c r="R207" i="14"/>
  <c r="P349" i="14"/>
  <c r="R349" i="14"/>
  <c r="Q349" i="14"/>
  <c r="Q201" i="14"/>
  <c r="P201" i="14"/>
  <c r="R201" i="14"/>
  <c r="Q51" i="14"/>
  <c r="P51" i="14"/>
  <c r="R51" i="14"/>
  <c r="E38" i="11"/>
  <c r="R289" i="14"/>
  <c r="Q289" i="14"/>
  <c r="P289" i="14"/>
  <c r="R88" i="14"/>
  <c r="Q88" i="14"/>
  <c r="P88" i="14"/>
  <c r="R192" i="14"/>
  <c r="P192" i="14"/>
  <c r="Q192" i="14"/>
  <c r="P358" i="14"/>
  <c r="Q358" i="14"/>
  <c r="R358" i="14"/>
  <c r="P279" i="14"/>
  <c r="Q279" i="14"/>
  <c r="R279" i="14"/>
  <c r="Q342" i="14"/>
  <c r="P342" i="14"/>
  <c r="R342" i="14"/>
  <c r="R252" i="14"/>
  <c r="P252" i="14"/>
  <c r="Q252" i="14"/>
  <c r="R359" i="14"/>
  <c r="Q359" i="14"/>
  <c r="P359" i="14"/>
  <c r="U47" i="15"/>
  <c r="X47" i="15" s="1"/>
  <c r="Z47" i="15"/>
  <c r="R263" i="14"/>
  <c r="P263" i="14"/>
  <c r="Q263" i="14"/>
  <c r="R60" i="14"/>
  <c r="P60" i="14"/>
  <c r="Q60" i="14"/>
  <c r="P283" i="14"/>
  <c r="R283" i="14"/>
  <c r="Q283" i="14"/>
  <c r="R346" i="14"/>
  <c r="P346" i="14"/>
  <c r="Q346" i="14"/>
  <c r="Z44" i="15"/>
  <c r="U44" i="15"/>
  <c r="X44" i="15" s="1"/>
  <c r="Q173" i="14"/>
  <c r="R173" i="14"/>
  <c r="P173" i="14"/>
  <c r="Q66" i="14"/>
  <c r="R66" i="14"/>
  <c r="P66" i="14"/>
  <c r="P337" i="14"/>
  <c r="R337" i="14"/>
  <c r="Q337" i="14"/>
  <c r="P94" i="14"/>
  <c r="Q94" i="14"/>
  <c r="R94" i="14"/>
  <c r="P86" i="14"/>
  <c r="Q86" i="14"/>
  <c r="R86" i="14"/>
  <c r="Q194" i="14"/>
  <c r="R194" i="14"/>
  <c r="P194" i="14"/>
  <c r="P91" i="14"/>
  <c r="Q91" i="14"/>
  <c r="R91" i="14"/>
  <c r="Z39" i="15"/>
  <c r="U39" i="15"/>
  <c r="X39" i="15" s="1"/>
  <c r="P44" i="14"/>
  <c r="R44" i="14"/>
  <c r="Q44" i="14"/>
  <c r="P315" i="14"/>
  <c r="Q315" i="14"/>
  <c r="R315" i="14"/>
  <c r="R93" i="14"/>
  <c r="P93" i="14"/>
  <c r="Q93" i="14"/>
  <c r="Q87" i="14"/>
  <c r="R87" i="14"/>
  <c r="P87" i="14"/>
  <c r="P228" i="14"/>
  <c r="Q228" i="14"/>
  <c r="R228" i="14"/>
  <c r="P312" i="14"/>
  <c r="R312" i="14"/>
  <c r="Q312" i="14"/>
  <c r="P323" i="14"/>
  <c r="R323" i="14"/>
  <c r="Q323" i="14"/>
  <c r="R270" i="14"/>
  <c r="P270" i="14"/>
  <c r="Q270" i="14"/>
  <c r="R275" i="14"/>
  <c r="P275" i="14"/>
  <c r="Q275" i="14"/>
  <c r="P30" i="14"/>
  <c r="R30" i="14"/>
  <c r="Q30" i="14"/>
  <c r="P291" i="14"/>
  <c r="Q291" i="14"/>
  <c r="R291" i="14"/>
  <c r="Q70" i="14"/>
  <c r="R70" i="14"/>
  <c r="P70" i="14"/>
  <c r="Q308" i="14"/>
  <c r="P308" i="14"/>
  <c r="R308" i="14"/>
  <c r="P209" i="14"/>
  <c r="Q209" i="14"/>
  <c r="R209" i="14"/>
  <c r="Q138" i="14"/>
  <c r="R138" i="14"/>
  <c r="P138" i="14"/>
  <c r="P163" i="14"/>
  <c r="Q163" i="14"/>
  <c r="R163" i="14"/>
  <c r="Q328" i="14"/>
  <c r="P328" i="14"/>
  <c r="R328" i="14"/>
  <c r="R237" i="14"/>
  <c r="Q237" i="14"/>
  <c r="P237" i="14"/>
  <c r="P73" i="14"/>
  <c r="Q73" i="14"/>
  <c r="R73" i="14"/>
  <c r="Q193" i="14"/>
  <c r="R193" i="14"/>
  <c r="P193" i="14"/>
  <c r="R287" i="14"/>
  <c r="Q287" i="14"/>
  <c r="P287" i="14"/>
  <c r="Q235" i="14"/>
  <c r="P235" i="14"/>
  <c r="R235" i="14"/>
  <c r="P324" i="14"/>
  <c r="R324" i="14"/>
  <c r="Q324" i="14"/>
  <c r="P75" i="14"/>
  <c r="Q75" i="14"/>
  <c r="R75" i="14"/>
  <c r="O96" i="14" l="1"/>
  <c r="X42" i="15"/>
  <c r="G4" i="9" s="1"/>
  <c r="C29" i="11" s="1"/>
  <c r="E4" i="9"/>
  <c r="C11" i="11" s="1"/>
  <c r="O83" i="14"/>
  <c r="O52" i="14"/>
  <c r="O340" i="14"/>
  <c r="J4" i="9"/>
  <c r="D20" i="11" s="1"/>
  <c r="E20" i="11" s="1"/>
  <c r="O311" i="14"/>
  <c r="O103" i="14"/>
  <c r="O217" i="14"/>
  <c r="O330" i="14"/>
  <c r="O243" i="14"/>
  <c r="O246" i="14"/>
  <c r="O202" i="14"/>
  <c r="O115" i="14"/>
  <c r="O171" i="14"/>
  <c r="O267" i="14"/>
  <c r="O326" i="14"/>
  <c r="O250" i="14"/>
  <c r="O129" i="14"/>
  <c r="O64" i="14"/>
  <c r="O276" i="14"/>
  <c r="O317" i="14"/>
  <c r="O237" i="14"/>
  <c r="O328" i="14"/>
  <c r="O308" i="14"/>
  <c r="O342" i="14"/>
  <c r="O248" i="14"/>
  <c r="O63" i="14"/>
  <c r="O355" i="14"/>
  <c r="O307" i="14"/>
  <c r="O271" i="14"/>
  <c r="O183" i="14"/>
  <c r="O242" i="14"/>
  <c r="O50" i="14"/>
  <c r="O356" i="14"/>
  <c r="O162" i="14"/>
  <c r="O244" i="14"/>
  <c r="O54" i="14"/>
  <c r="O314" i="14"/>
  <c r="O280" i="14"/>
  <c r="O107" i="14"/>
  <c r="O332" i="14"/>
  <c r="O255" i="14"/>
  <c r="O98" i="14"/>
  <c r="O292" i="14"/>
  <c r="O286" i="14"/>
  <c r="O135" i="14"/>
  <c r="O144" i="14"/>
  <c r="O156" i="14"/>
  <c r="O170" i="14"/>
  <c r="O213" i="14"/>
  <c r="O211" i="14"/>
  <c r="O119" i="14"/>
  <c r="O55" i="14"/>
  <c r="O104" i="14"/>
  <c r="O59" i="14"/>
  <c r="O130" i="14"/>
  <c r="O218" i="14"/>
  <c r="O284" i="14"/>
  <c r="O366" i="14"/>
  <c r="O299" i="14"/>
  <c r="O294" i="14"/>
  <c r="O37" i="14"/>
  <c r="O290" i="14"/>
  <c r="O210" i="14"/>
  <c r="O283" i="14"/>
  <c r="O109" i="14"/>
  <c r="O352" i="14"/>
  <c r="O302" i="14"/>
  <c r="O57" i="14"/>
  <c r="O348" i="14"/>
  <c r="O331" i="14"/>
  <c r="O295" i="14"/>
  <c r="O179" i="14"/>
  <c r="O164" i="14"/>
  <c r="O241" i="14"/>
  <c r="O190" i="14"/>
  <c r="O169" i="14"/>
  <c r="O258" i="14"/>
  <c r="O240" i="14"/>
  <c r="O189" i="14"/>
  <c r="O41" i="14"/>
  <c r="O100" i="14"/>
  <c r="O297" i="14"/>
  <c r="O159" i="14"/>
  <c r="O305" i="14"/>
  <c r="O300" i="14"/>
  <c r="O282" i="14"/>
  <c r="O172" i="14"/>
  <c r="O90" i="14"/>
  <c r="O279" i="14"/>
  <c r="O346" i="14"/>
  <c r="O76" i="14"/>
  <c r="O81" i="14"/>
  <c r="O86" i="14"/>
  <c r="O209" i="14"/>
  <c r="O93" i="14"/>
  <c r="O315" i="14"/>
  <c r="O91" i="14"/>
  <c r="O60" i="14"/>
  <c r="O327" i="14"/>
  <c r="O136" i="14"/>
  <c r="O158" i="14"/>
  <c r="O281" i="14"/>
  <c r="O31" i="14"/>
  <c r="O174" i="14"/>
  <c r="O273" i="14"/>
  <c r="O151" i="14"/>
  <c r="O322" i="14"/>
  <c r="O168" i="14"/>
  <c r="O163" i="14"/>
  <c r="O138" i="14"/>
  <c r="O44" i="14"/>
  <c r="O157" i="14"/>
  <c r="O220" i="14"/>
  <c r="O191" i="14"/>
  <c r="O178" i="14"/>
  <c r="O53" i="14"/>
  <c r="O68" i="14"/>
  <c r="O184" i="14"/>
  <c r="O186" i="14"/>
  <c r="O208" i="14"/>
  <c r="O310" i="14"/>
  <c r="O49" i="14"/>
  <c r="O245" i="14"/>
  <c r="O101" i="14"/>
  <c r="O225" i="14"/>
  <c r="O29" i="14"/>
  <c r="O365" i="14"/>
  <c r="O153" i="14"/>
  <c r="O361" i="14"/>
  <c r="O232" i="14"/>
  <c r="O92" i="14"/>
  <c r="O75" i="14"/>
  <c r="O275" i="14"/>
  <c r="O289" i="14"/>
  <c r="O201" i="14"/>
  <c r="O219" i="14"/>
  <c r="O334" i="14"/>
  <c r="O325" i="14"/>
  <c r="O126" i="14"/>
  <c r="O95" i="14"/>
  <c r="O188" i="14"/>
  <c r="O177" i="14"/>
  <c r="O341" i="14"/>
  <c r="O329" i="14"/>
  <c r="O301" i="14"/>
  <c r="O134" i="14"/>
  <c r="O108" i="14"/>
  <c r="O38" i="14"/>
  <c r="O150" i="14"/>
  <c r="O350" i="14"/>
  <c r="O193" i="14"/>
  <c r="O70" i="14"/>
  <c r="O87" i="14"/>
  <c r="O349" i="14"/>
  <c r="O99" i="14"/>
  <c r="L18" i="9"/>
  <c r="O277" i="14"/>
  <c r="O303" i="14"/>
  <c r="O231" i="14"/>
  <c r="O206" i="14"/>
  <c r="O223" i="14"/>
  <c r="O265" i="14"/>
  <c r="O309" i="14"/>
  <c r="O321" i="14"/>
  <c r="O227" i="14"/>
  <c r="J4" i="10"/>
  <c r="D21" i="11" s="1"/>
  <c r="E21" i="11" s="1"/>
  <c r="O224" i="14"/>
  <c r="O181" i="14"/>
  <c r="O146" i="14"/>
  <c r="O180" i="14"/>
  <c r="O363" i="14"/>
  <c r="O272" i="14"/>
  <c r="O199" i="14"/>
  <c r="O260" i="14"/>
  <c r="O288" i="14"/>
  <c r="O110" i="14"/>
  <c r="V45" i="15"/>
  <c r="Y45" i="15" s="1"/>
  <c r="V49" i="15"/>
  <c r="Y49" i="15" s="1"/>
  <c r="X38" i="15"/>
  <c r="V40" i="15"/>
  <c r="Y40" i="15" s="1"/>
  <c r="V42" i="15"/>
  <c r="V44" i="15"/>
  <c r="Y44" i="15" s="1"/>
  <c r="V43" i="15"/>
  <c r="Y43" i="15" s="1"/>
  <c r="V41" i="15"/>
  <c r="Y41" i="15" s="1"/>
  <c r="V48" i="15"/>
  <c r="Y48" i="15" s="1"/>
  <c r="V39" i="15"/>
  <c r="Y39" i="15" s="1"/>
  <c r="V38" i="15"/>
  <c r="Y38" i="15" s="1"/>
  <c r="V46" i="15"/>
  <c r="Y46" i="15" s="1"/>
  <c r="V47" i="15"/>
  <c r="Y47" i="15" s="1"/>
  <c r="O235" i="14"/>
  <c r="O30" i="14"/>
  <c r="O312" i="14"/>
  <c r="O337" i="14"/>
  <c r="O173" i="14"/>
  <c r="O324" i="14"/>
  <c r="O287" i="14"/>
  <c r="O73" i="14"/>
  <c r="O291" i="14"/>
  <c r="O270" i="14"/>
  <c r="O323" i="14"/>
  <c r="O194" i="14"/>
  <c r="O94" i="14"/>
  <c r="O66" i="14"/>
  <c r="O358" i="14"/>
  <c r="O88" i="14"/>
  <c r="O51" i="14"/>
  <c r="O166" i="14"/>
  <c r="O45" i="14"/>
  <c r="O152" i="14"/>
  <c r="O230" i="14"/>
  <c r="O120" i="14"/>
  <c r="O111" i="14"/>
  <c r="O39" i="14"/>
  <c r="O343" i="14"/>
  <c r="O79" i="14"/>
  <c r="O336" i="14"/>
  <c r="O200" i="14"/>
  <c r="O344" i="14"/>
  <c r="N18" i="9"/>
  <c r="O85" i="14"/>
  <c r="O268" i="14"/>
  <c r="O40" i="14"/>
  <c r="O197" i="14"/>
  <c r="O133" i="14"/>
  <c r="O121" i="14"/>
  <c r="O56" i="14"/>
  <c r="O264" i="14"/>
  <c r="O36" i="14"/>
  <c r="O139" i="14"/>
  <c r="O142" i="14"/>
  <c r="O221" i="14"/>
  <c r="O212" i="14"/>
  <c r="O117" i="14"/>
  <c r="N4" i="9"/>
  <c r="O128" i="14"/>
  <c r="D16" i="11" s="1"/>
  <c r="E16" i="11" s="1"/>
  <c r="O67" i="14"/>
  <c r="O165" i="14"/>
  <c r="O161" i="14"/>
  <c r="O33" i="14"/>
  <c r="O154" i="14"/>
  <c r="O182" i="14"/>
  <c r="O216" i="14"/>
  <c r="O82" i="14"/>
  <c r="O251" i="14"/>
  <c r="O203" i="14"/>
  <c r="O48" i="14"/>
  <c r="O84" i="14"/>
  <c r="O46" i="14"/>
  <c r="O298" i="14"/>
  <c r="O234" i="14"/>
  <c r="O369" i="14"/>
  <c r="O175" i="14"/>
  <c r="O148" i="14"/>
  <c r="O198" i="14"/>
  <c r="O131" i="14"/>
  <c r="O143" i="14"/>
  <c r="O233" i="14"/>
  <c r="O195" i="14"/>
  <c r="O123" i="14"/>
  <c r="O278" i="14"/>
  <c r="O125" i="14"/>
  <c r="O239" i="14"/>
  <c r="O141" i="14"/>
  <c r="O105" i="14"/>
  <c r="O238" i="14"/>
  <c r="O34" i="14"/>
  <c r="O78" i="14"/>
  <c r="O97" i="14"/>
  <c r="O236" i="14"/>
  <c r="H4" i="10"/>
  <c r="D30" i="11" s="1"/>
  <c r="D12" i="11"/>
  <c r="O257" i="14"/>
  <c r="O338" i="14"/>
  <c r="J11" i="9"/>
  <c r="O316" i="14"/>
  <c r="O285" i="14"/>
  <c r="O145" i="14"/>
  <c r="O335" i="14"/>
  <c r="O320" i="14"/>
  <c r="O71" i="14"/>
  <c r="O296" i="14"/>
  <c r="O347" i="14"/>
  <c r="O313" i="14"/>
  <c r="O160" i="14"/>
  <c r="O247" i="14"/>
  <c r="O32" i="14"/>
  <c r="O58" i="14"/>
  <c r="O80" i="14"/>
  <c r="O262" i="14"/>
  <c r="H4" i="9"/>
  <c r="D29" i="11" s="1"/>
  <c r="E29" i="11" s="1"/>
  <c r="D11" i="11"/>
  <c r="E11" i="11" s="1"/>
  <c r="O106" i="14"/>
  <c r="O226" i="14"/>
  <c r="O261" i="14"/>
  <c r="O114" i="14"/>
  <c r="O304" i="14"/>
  <c r="O112" i="14"/>
  <c r="O196" i="14"/>
  <c r="L4" i="10"/>
  <c r="O28" i="14"/>
  <c r="N11" i="9"/>
  <c r="O228" i="14"/>
  <c r="O263" i="14"/>
  <c r="O359" i="14"/>
  <c r="O252" i="14"/>
  <c r="O192" i="14"/>
  <c r="O207" i="14"/>
  <c r="O229" i="14"/>
  <c r="O364" i="14"/>
  <c r="O254" i="14"/>
  <c r="O72" i="14"/>
  <c r="O185" i="14"/>
  <c r="O318" i="14"/>
  <c r="O118" i="14"/>
  <c r="O62" i="14"/>
  <c r="O256" i="14"/>
  <c r="O74" i="14"/>
  <c r="O259" i="14"/>
  <c r="O102" i="14"/>
  <c r="O249" i="14"/>
  <c r="O354" i="14"/>
  <c r="O360" i="14"/>
  <c r="O176" i="14"/>
  <c r="O77" i="14"/>
  <c r="O116" i="14"/>
  <c r="O132" i="14"/>
  <c r="O127" i="14"/>
  <c r="L4" i="9"/>
  <c r="O353" i="14"/>
  <c r="O368" i="14"/>
  <c r="O204" i="14"/>
  <c r="O269" i="14"/>
  <c r="O306" i="14"/>
  <c r="O69" i="14"/>
  <c r="O47" i="14"/>
  <c r="O266" i="14"/>
  <c r="O357" i="14"/>
  <c r="O253" i="14"/>
  <c r="O367" i="14"/>
  <c r="O333" i="14"/>
  <c r="O42" i="14"/>
  <c r="O35" i="14"/>
  <c r="O205" i="14"/>
  <c r="O362" i="14"/>
  <c r="O319" i="14"/>
  <c r="O214" i="14"/>
  <c r="O113" i="14"/>
  <c r="O149" i="14"/>
  <c r="O222" i="14"/>
  <c r="O293" i="14"/>
  <c r="N4" i="10"/>
  <c r="O65" i="14"/>
  <c r="O345" i="14"/>
  <c r="L11" i="9"/>
  <c r="O122" i="14"/>
  <c r="O187" i="14"/>
  <c r="Y42" i="15" l="1"/>
  <c r="G4" i="10" s="1"/>
  <c r="C30" i="11" s="1"/>
  <c r="E30" i="11" s="1"/>
  <c r="E4" i="10"/>
  <c r="C12" i="11" s="1"/>
  <c r="E12" i="11" s="1"/>
  <c r="P11" i="9"/>
  <c r="D23" i="11"/>
  <c r="E23" i="11" s="1"/>
  <c r="D26" i="11"/>
  <c r="E26" i="11" s="1"/>
  <c r="P4" i="9"/>
  <c r="D17" i="11" s="1"/>
  <c r="E17" i="11" s="1"/>
  <c r="P18" i="9"/>
  <c r="D27" i="11"/>
  <c r="E27" i="11" s="1"/>
  <c r="D24" i="11"/>
  <c r="E24" i="11" s="1"/>
  <c r="P4" i="10"/>
  <c r="D18" i="11" s="1"/>
  <c r="E18" i="11" s="1"/>
</calcChain>
</file>

<file path=xl/sharedStrings.xml><?xml version="1.0" encoding="utf-8"?>
<sst xmlns="http://schemas.openxmlformats.org/spreadsheetml/2006/main" count="12029" uniqueCount="1014">
  <si>
    <t>Performance Summary PWEPL</t>
  </si>
  <si>
    <t xml:space="preserve">Month </t>
  </si>
  <si>
    <t xml:space="preserve">Date </t>
  </si>
  <si>
    <t>Financial Year</t>
  </si>
  <si>
    <t>Year-3</t>
  </si>
  <si>
    <t>Year Start Date</t>
  </si>
  <si>
    <t xml:space="preserve"> </t>
  </si>
  <si>
    <t>Year End Date</t>
  </si>
  <si>
    <t>Sr. No.</t>
  </si>
  <si>
    <t>Particular</t>
  </si>
  <si>
    <t>Target</t>
  </si>
  <si>
    <t>Measured</t>
  </si>
  <si>
    <t>Deviation</t>
  </si>
  <si>
    <t>Remarks</t>
  </si>
  <si>
    <t>E_Grid Daily (MWh)</t>
  </si>
  <si>
    <t>E_Grid MTD(MWh)</t>
  </si>
  <si>
    <t>E_Grid YTD (MWh)</t>
  </si>
  <si>
    <t>Wind Speed Daily</t>
  </si>
  <si>
    <t>Wind Speed MTD</t>
  </si>
  <si>
    <t>Wind Speed YTD</t>
  </si>
  <si>
    <t>PA Daily</t>
  </si>
  <si>
    <t>PA MTD</t>
  </si>
  <si>
    <t>PA YTD</t>
  </si>
  <si>
    <t>EGA Daily</t>
  </si>
  <si>
    <t>EGA MTD</t>
  </si>
  <si>
    <t>EGA YTD</t>
  </si>
  <si>
    <t>IGA Daily</t>
  </si>
  <si>
    <t>IGA MTD</t>
  </si>
  <si>
    <t>IGA YTD</t>
  </si>
  <si>
    <t>MA Daily</t>
  </si>
  <si>
    <t>MA MTD</t>
  </si>
  <si>
    <t>MA YTD</t>
  </si>
  <si>
    <t>CUF Daily</t>
  </si>
  <si>
    <t>CUF MTD</t>
  </si>
  <si>
    <t>CUF YTD</t>
  </si>
  <si>
    <t>Line Loss Daily</t>
  </si>
  <si>
    <t>Line Loss MTD</t>
  </si>
  <si>
    <t>Line Loss YTD</t>
  </si>
  <si>
    <t>Reactive Power Daily</t>
  </si>
  <si>
    <t>Reactive Power MTD</t>
  </si>
  <si>
    <t>Reactive Power YTD</t>
  </si>
  <si>
    <t>Expected Energy Daily</t>
  </si>
  <si>
    <t>Expected Energy MTD</t>
  </si>
  <si>
    <t>Expected Energy YTD</t>
  </si>
  <si>
    <t xml:space="preserve">Feeder4 </t>
  </si>
  <si>
    <t>Till Date</t>
  </si>
  <si>
    <t>PWEPL Performance Summary-YTD</t>
  </si>
  <si>
    <t>Year</t>
  </si>
  <si>
    <t>Days</t>
  </si>
  <si>
    <t>Estimated WS(m/s)</t>
  </si>
  <si>
    <t>Measured WS (m/s)</t>
  </si>
  <si>
    <t>Budgeted Energy (MWh)</t>
  </si>
  <si>
    <t>Measured Energy (MWh)</t>
  </si>
  <si>
    <t>Target CUF (%)</t>
  </si>
  <si>
    <t>Measured CUF (%)</t>
  </si>
  <si>
    <t>Target GA (%)</t>
  </si>
  <si>
    <t>Measured GA (%)</t>
  </si>
  <si>
    <t>Target MA (%)</t>
  </si>
  <si>
    <t>Measured MA (%)</t>
  </si>
  <si>
    <t>Target IGA(%)</t>
  </si>
  <si>
    <t>Measured IGA (%)</t>
  </si>
  <si>
    <t>Target PA(%)</t>
  </si>
  <si>
    <t>Measured PA (%)</t>
  </si>
  <si>
    <t>Expected Energy</t>
  </si>
  <si>
    <t>Loss (%)</t>
  </si>
  <si>
    <t>Reactive Power (%)</t>
  </si>
  <si>
    <t>PWEPL Performance Summary (MTD)</t>
  </si>
  <si>
    <t>Target IGA (%)</t>
  </si>
  <si>
    <t>WTG Total (MWh)</t>
  </si>
  <si>
    <t>Line Losses(%)</t>
  </si>
  <si>
    <t>E_WS_Corrected</t>
  </si>
  <si>
    <t>Start Date</t>
  </si>
  <si>
    <t>End Date</t>
  </si>
  <si>
    <t>PWEPL Performance Summary (WTD)</t>
  </si>
  <si>
    <t>PWEGPL Performance Summary (LTD)</t>
  </si>
  <si>
    <t>WTG No.</t>
  </si>
  <si>
    <t>P-01</t>
  </si>
  <si>
    <t>P-02</t>
  </si>
  <si>
    <t>P-03</t>
  </si>
  <si>
    <t>P-04</t>
  </si>
  <si>
    <t>P-05</t>
  </si>
  <si>
    <t>P-06</t>
  </si>
  <si>
    <t>P-07</t>
  </si>
  <si>
    <t>P-08</t>
  </si>
  <si>
    <t>P-09</t>
  </si>
  <si>
    <t>P-10</t>
  </si>
  <si>
    <t>P-11</t>
  </si>
  <si>
    <t>P-12</t>
  </si>
  <si>
    <t>P-13</t>
  </si>
  <si>
    <t>P-14</t>
  </si>
  <si>
    <t>P-15</t>
  </si>
  <si>
    <t>P-16</t>
  </si>
  <si>
    <t>P-17</t>
  </si>
  <si>
    <t>P-18</t>
  </si>
  <si>
    <t>P-19</t>
  </si>
  <si>
    <t>P-20</t>
  </si>
  <si>
    <t>P-22</t>
  </si>
  <si>
    <t>P-23</t>
  </si>
  <si>
    <t>P-25</t>
  </si>
  <si>
    <t>P-26</t>
  </si>
  <si>
    <t>P-27</t>
  </si>
  <si>
    <t>P-28</t>
  </si>
  <si>
    <t>P-31</t>
  </si>
  <si>
    <t>P-32</t>
  </si>
  <si>
    <t>P-34</t>
  </si>
  <si>
    <t>P-37</t>
  </si>
  <si>
    <t>P-38</t>
  </si>
  <si>
    <t>P-40</t>
  </si>
  <si>
    <t>P-41</t>
  </si>
  <si>
    <t>P-42</t>
  </si>
  <si>
    <t>P-43</t>
  </si>
  <si>
    <t>P-45</t>
  </si>
  <si>
    <t>P-46</t>
  </si>
  <si>
    <t>P-47</t>
  </si>
  <si>
    <t>P-48</t>
  </si>
  <si>
    <t>P-50</t>
  </si>
  <si>
    <t>P-51</t>
  </si>
  <si>
    <t>P-52</t>
  </si>
  <si>
    <t>P-55</t>
  </si>
  <si>
    <t>P-56</t>
  </si>
  <si>
    <t>MA</t>
  </si>
  <si>
    <t>WTG BD Hours</t>
  </si>
  <si>
    <t>IGA</t>
  </si>
  <si>
    <t>METERING YARD</t>
  </si>
  <si>
    <t>FEEDER</t>
  </si>
  <si>
    <t>OG</t>
  </si>
  <si>
    <t>TRANSFER</t>
  </si>
  <si>
    <t>USS</t>
  </si>
  <si>
    <t>EGA</t>
  </si>
  <si>
    <t>External Grid</t>
  </si>
  <si>
    <t>Generation</t>
  </si>
  <si>
    <t>PA</t>
  </si>
  <si>
    <t>Sum of BD</t>
  </si>
  <si>
    <t>Count of BD</t>
  </si>
  <si>
    <t>MTTR WTG</t>
  </si>
  <si>
    <t>MTBF WTG</t>
  </si>
  <si>
    <t>WS (M/S)</t>
  </si>
  <si>
    <t>Line loss (%)</t>
  </si>
  <si>
    <t>Corelation (%)</t>
  </si>
  <si>
    <t>Reactive Power</t>
  </si>
  <si>
    <t>Fault Analysis</t>
  </si>
  <si>
    <t>Put hour Here</t>
  </si>
  <si>
    <t>Default hour for full Data</t>
  </si>
  <si>
    <t>Row Labels</t>
  </si>
  <si>
    <t>Sum of Breakdown Time</t>
  </si>
  <si>
    <t>Count of Error Text</t>
  </si>
  <si>
    <t>MTTR</t>
  </si>
  <si>
    <t>MTBF</t>
  </si>
  <si>
    <t>Gearbox oil overtemperature</t>
  </si>
  <si>
    <t>Line CCU collective faults</t>
  </si>
  <si>
    <t xml:space="preserve"> PLC fault 24V Supply</t>
  </si>
  <si>
    <t>Anemometer defec</t>
  </si>
  <si>
    <t>Line CCU fault current</t>
  </si>
  <si>
    <t>Pitch thyristor 3 fault</t>
  </si>
  <si>
    <t xml:space="preserve">Yaw tooth sensor 1 timeout </t>
  </si>
  <si>
    <t>Rotor speeds not plausible</t>
  </si>
  <si>
    <t>Communication fault wind measurement device</t>
  </si>
  <si>
    <t>No communication Cu</t>
  </si>
  <si>
    <t>Pitch thyristor 1 fault</t>
  </si>
  <si>
    <t>Brake not released secondary brake</t>
  </si>
  <si>
    <t>CCU fault at abnormal grid condition</t>
  </si>
  <si>
    <t>Grid voltage drop CU</t>
  </si>
  <si>
    <t>Pitch thyristor 2 fault</t>
  </si>
  <si>
    <t>Communication fault pitch controller Axis 2</t>
  </si>
  <si>
    <t>Gearbox oil level too low</t>
  </si>
  <si>
    <t>Line CCU fault voltage</t>
  </si>
  <si>
    <t>Timeout yaw counter</t>
  </si>
  <si>
    <t xml:space="preserve">Yaw tooth sensor 2 timeout </t>
  </si>
  <si>
    <t>axis 3 fault pitch controlle</t>
  </si>
  <si>
    <t xml:space="preserve">Yaw Brake Voltage 230Volt not OK </t>
  </si>
  <si>
    <t>Temp. sensor error (shut down)</t>
  </si>
  <si>
    <t xml:space="preserve">System re-initialization after grid outage </t>
  </si>
  <si>
    <t>DTA DIN03 control breaker status</t>
  </si>
  <si>
    <t>Battery voltage not OK axis 1</t>
  </si>
  <si>
    <t>axis 2 fault pitch controller</t>
  </si>
  <si>
    <t>Pitch control deviation Axis 3</t>
  </si>
  <si>
    <t>Yaw Mapping</t>
  </si>
  <si>
    <t>Communication fault Pitch controller</t>
  </si>
  <si>
    <t>Internal Line VCB tripped in over current</t>
  </si>
  <si>
    <t>axis 1 fault pitch controller</t>
  </si>
  <si>
    <t>TopBox DIN21 motor protection aux contact string</t>
  </si>
  <si>
    <t>Ratio generator-/rotor speed</t>
  </si>
  <si>
    <t>Line fault voltage</t>
  </si>
  <si>
    <t>Feedback error circuit breaker</t>
  </si>
  <si>
    <t>Shaft bearing overtemperature</t>
  </si>
  <si>
    <t>No speed reduction with secondary braking</t>
  </si>
  <si>
    <t>Brake does not close</t>
  </si>
  <si>
    <t>Pitch control deviation axis 1</t>
  </si>
  <si>
    <t>Limit switch 90deg-rotorblade defective</t>
  </si>
  <si>
    <t>Safety chain</t>
  </si>
  <si>
    <t>Pitch malfunction 2 or 3 blades</t>
  </si>
  <si>
    <t>Yaw runaway</t>
  </si>
  <si>
    <t xml:space="preserve">Yaw sensor error </t>
  </si>
  <si>
    <t>Secondary braking time too high</t>
  </si>
  <si>
    <t>Secondary brake test</t>
  </si>
  <si>
    <t>Incorrect Error Code</t>
  </si>
  <si>
    <t>Grand Total</t>
  </si>
  <si>
    <t>Date</t>
  </si>
  <si>
    <t>Calendar Year</t>
  </si>
  <si>
    <t>Month Year</t>
  </si>
  <si>
    <t>Operating Hours</t>
  </si>
  <si>
    <t>GHI-UP (KWh/m2)</t>
  </si>
  <si>
    <t>GHI-Down(KWh/m2)</t>
  </si>
  <si>
    <t>POA-UP(KWh/m2)</t>
  </si>
  <si>
    <t>POA-Down(KWh/m2)</t>
  </si>
  <si>
    <t>Amb_Temp(°C)</t>
  </si>
  <si>
    <t>Mod_Temp(°C)</t>
  </si>
  <si>
    <t>WS_Avg(m/s)</t>
  </si>
  <si>
    <t>WS_Max(m/s)</t>
  </si>
  <si>
    <t>PA(%)</t>
  </si>
  <si>
    <t>MA (%)</t>
  </si>
  <si>
    <t>IGA (%)</t>
  </si>
  <si>
    <t>EGA(%)</t>
  </si>
  <si>
    <t>EMA (%)</t>
  </si>
  <si>
    <t>TA (%)</t>
  </si>
  <si>
    <t>PR(%)</t>
  </si>
  <si>
    <t>WPR(%)</t>
  </si>
  <si>
    <t>CUF(%)</t>
  </si>
  <si>
    <t>Gen_Exp (kWh)</t>
  </si>
  <si>
    <t>Mtr_Export (kWh)</t>
  </si>
  <si>
    <t>Mtr_Import (kWh)</t>
  </si>
  <si>
    <t>Mtr_Net_Exp (KWh)</t>
  </si>
  <si>
    <t>Operational Capacity (MW)</t>
  </si>
  <si>
    <t>Bugt_Resource</t>
  </si>
  <si>
    <t>Bugt_Energy</t>
  </si>
  <si>
    <t>Bugt PR</t>
  </si>
  <si>
    <t>Bugt CUF</t>
  </si>
  <si>
    <t>Bugt_PA</t>
  </si>
  <si>
    <t>Bugt_EGA</t>
  </si>
  <si>
    <t>Actual Energy WPR</t>
  </si>
  <si>
    <t>RA (%)</t>
  </si>
  <si>
    <t>Mod Clean Dry (Num)</t>
  </si>
  <si>
    <t>Mod Clean Wet (Num)</t>
  </si>
  <si>
    <t>Line Loss(%)</t>
  </si>
  <si>
    <t>Bugt Line loss (%) (Wind)</t>
  </si>
  <si>
    <t>Bugt Reactive Power (%) (Wind)</t>
  </si>
  <si>
    <t>Bugt Capacity</t>
  </si>
  <si>
    <t>CC*Bugt</t>
  </si>
  <si>
    <t>Energy Generated by individual Turbine</t>
  </si>
  <si>
    <t>Wind Speed (M/s)</t>
  </si>
  <si>
    <t>Meter Readings</t>
  </si>
  <si>
    <t>Calculated Energy Numbers</t>
  </si>
  <si>
    <t>Finacial Year</t>
  </si>
  <si>
    <t>Calendor Year</t>
  </si>
  <si>
    <t>WS_P-01</t>
  </si>
  <si>
    <t>WS_P-02</t>
  </si>
  <si>
    <t>WS_P-03</t>
  </si>
  <si>
    <t>WS_P-04</t>
  </si>
  <si>
    <t>WS_P-05</t>
  </si>
  <si>
    <t>WS_P-06</t>
  </si>
  <si>
    <t>WS_P-07</t>
  </si>
  <si>
    <t>WS_P-08</t>
  </si>
  <si>
    <t>WS_P-09</t>
  </si>
  <si>
    <t>WS_P-10</t>
  </si>
  <si>
    <t>WS_P-11</t>
  </si>
  <si>
    <t>WS_P-12</t>
  </si>
  <si>
    <t>WS_P-13</t>
  </si>
  <si>
    <t>WS_P-14</t>
  </si>
  <si>
    <t>WS_P-15</t>
  </si>
  <si>
    <t>WS_P-16</t>
  </si>
  <si>
    <t>WS_P-17</t>
  </si>
  <si>
    <t>WS_P-18</t>
  </si>
  <si>
    <t>WS_P-19</t>
  </si>
  <si>
    <t>WS_P-20</t>
  </si>
  <si>
    <t>WS_P-22</t>
  </si>
  <si>
    <t>WS_P-23</t>
  </si>
  <si>
    <t>WS_P-25</t>
  </si>
  <si>
    <t>WS_P-26</t>
  </si>
  <si>
    <t>WS_P-27</t>
  </si>
  <si>
    <t>WS_P-28</t>
  </si>
  <si>
    <t>WS_P-31</t>
  </si>
  <si>
    <t>WS_P-32</t>
  </si>
  <si>
    <t>WS_P-34</t>
  </si>
  <si>
    <t>WS_P-37</t>
  </si>
  <si>
    <t>WS_P-38</t>
  </si>
  <si>
    <t>WS_P-40</t>
  </si>
  <si>
    <t>WS_P-41</t>
  </si>
  <si>
    <t>WS_P-42</t>
  </si>
  <si>
    <t>WS_P-43</t>
  </si>
  <si>
    <t>WS_P-45</t>
  </si>
  <si>
    <t>WS_P-46</t>
  </si>
  <si>
    <t>WS_P-47</t>
  </si>
  <si>
    <t>WS_P-48</t>
  </si>
  <si>
    <t>WS_P-50</t>
  </si>
  <si>
    <t>WS_P-51</t>
  </si>
  <si>
    <t>WS_P-52</t>
  </si>
  <si>
    <t>WS_P-55</t>
  </si>
  <si>
    <t>WS_P-56</t>
  </si>
  <si>
    <t>WTG Total Gneration (MWh)</t>
  </si>
  <si>
    <t>Wind Speed Average cumulative (m/S)2</t>
  </si>
  <si>
    <t>Wind Speed Max (m/S)</t>
  </si>
  <si>
    <t>Rain (mm)</t>
  </si>
  <si>
    <t>33 kV_Wind_F1_Export reading</t>
  </si>
  <si>
    <t>33 kV_Wind_F1_Import reading</t>
  </si>
  <si>
    <t>33 kV_Wind_F2_Export_reading</t>
  </si>
  <si>
    <t>33 kV_Wind_F2_Import_reading</t>
  </si>
  <si>
    <t>33 kV_Wind_F3_Export_Reading</t>
  </si>
  <si>
    <t>33 kV_Wind_F3_Import_Reading</t>
  </si>
  <si>
    <t>33 kV_Wind_F4_Export Reading</t>
  </si>
  <si>
    <t>33 kV_Wind_F4_Import Reading</t>
  </si>
  <si>
    <t>33 kV_F1_Total_Export (MWh)</t>
  </si>
  <si>
    <t>33 kV_Wind_F1_Import (MWh)</t>
  </si>
  <si>
    <t>33 kV_F2_Total_Export (MWh)2</t>
  </si>
  <si>
    <t>33 kV_Wind_F2_Import (MWh)</t>
  </si>
  <si>
    <t>33 kV_Wind_F3_Export (MWh)</t>
  </si>
  <si>
    <t>33 kV_Wind_F3_Import (MWh)2</t>
  </si>
  <si>
    <t>33 kV_Wind_F4_Export (MWh)</t>
  </si>
  <si>
    <t>33 kV_Wind_F4_Import (MWh)2</t>
  </si>
  <si>
    <t>33 kV_Wind_Total_Export (MWh)</t>
  </si>
  <si>
    <t>33 kV_Wind_Total_Import (MWh)</t>
  </si>
  <si>
    <t>33 kV Line Loss (%)</t>
  </si>
  <si>
    <t>EbMA(%)</t>
  </si>
  <si>
    <t>Forecasting Data count received on Forecasting Portal</t>
  </si>
  <si>
    <t>Forecasting Penalties (INR)</t>
  </si>
  <si>
    <t>Expected Energy As Per Power Curve  (MWh)</t>
  </si>
  <si>
    <t>Reactive Energy (MVArH)</t>
  </si>
  <si>
    <t>Operational Capacity</t>
  </si>
  <si>
    <t>Month</t>
  </si>
  <si>
    <t>Operating Year</t>
  </si>
  <si>
    <t>Affected WTG</t>
  </si>
  <si>
    <t>SPV</t>
  </si>
  <si>
    <t>Plant Equivalent Weightage</t>
  </si>
  <si>
    <t>Error Code</t>
  </si>
  <si>
    <t>Error Text</t>
  </si>
  <si>
    <t>Breakdown Description</t>
  </si>
  <si>
    <t>Fault Start TimeStamp</t>
  </si>
  <si>
    <t>Work Start TimeStamp</t>
  </si>
  <si>
    <t>Fault Clearance time</t>
  </si>
  <si>
    <t>Response Time</t>
  </si>
  <si>
    <t>Resolution Time</t>
  </si>
  <si>
    <t>Breakdown Time</t>
  </si>
  <si>
    <t>Action taken</t>
  </si>
  <si>
    <t>Status</t>
  </si>
  <si>
    <t>Plant Equivalent breakdown</t>
  </si>
  <si>
    <t>Paired WTG for Enegy based MA</t>
  </si>
  <si>
    <t>Year_2</t>
  </si>
  <si>
    <t>CE100010</t>
  </si>
  <si>
    <t>12th Annual Maintenance Activity</t>
  </si>
  <si>
    <t>12th Annual Maintenance Activity completed</t>
  </si>
  <si>
    <t>Close</t>
  </si>
  <si>
    <t>WTG Scheduled Maintenance</t>
  </si>
  <si>
    <t>Secondary brake pads worn</t>
  </si>
  <si>
    <t xml:space="preserve">Hydraulic Brake Pad Replaced &amp; wtg restored </t>
  </si>
  <si>
    <t>WTG Breakdown Maintenance</t>
  </si>
  <si>
    <t>Year_3</t>
  </si>
  <si>
    <t>Radiator Motor Failure</t>
  </si>
  <si>
    <t>Rediator Motor replaced</t>
  </si>
  <si>
    <t>P-8</t>
  </si>
  <si>
    <t>Turbine Communication fault</t>
  </si>
  <si>
    <t>Hard Rebooted Turbine from down tower assembly</t>
  </si>
  <si>
    <t>DTA Maintenance</t>
  </si>
  <si>
    <t>DTA Maintenance activity completed</t>
  </si>
  <si>
    <t>Radiator motor replaced</t>
  </si>
  <si>
    <t>Rebooted the PLC &amp; reset at scada</t>
  </si>
  <si>
    <t>FT Sensor failure</t>
  </si>
  <si>
    <t>FT sensor replaced.</t>
  </si>
  <si>
    <t>12th Annual Maintenance Day 1 Activity completed</t>
  </si>
  <si>
    <t>Yaw limit switch activated</t>
  </si>
  <si>
    <t xml:space="preserve"> Cable Twist Release &amp; Turbine Restored</t>
  </si>
  <si>
    <t>Manual Stop</t>
  </si>
  <si>
    <t xml:space="preserve"> Gearbox Oil  &amp; Main Bering Grease Sample Collection work </t>
  </si>
  <si>
    <t>OIL &amp; Grease sample collection work completed</t>
  </si>
  <si>
    <t>12th Annual Maintenance Day 2 Activity completed</t>
  </si>
  <si>
    <t>P-3</t>
  </si>
  <si>
    <t>Battery Voltage Not OK</t>
  </si>
  <si>
    <t xml:space="preserve">Axis Box 5 Amp Fuse Replaced &amp; wtg restored </t>
  </si>
  <si>
    <t>IO Card 28V power supply failed</t>
  </si>
  <si>
    <t>WETB card failure</t>
  </si>
  <si>
    <t>Replaced WETB card.</t>
  </si>
  <si>
    <t>Shaft Bearing Over Tempreture</t>
  </si>
  <si>
    <t>Tempreture sensor cable connection tight proparly &amp; turbine restored</t>
  </si>
  <si>
    <t>Hydralic Brake pad &amp; Sensor replaced</t>
  </si>
  <si>
    <t>Grease cleaned from yaw sensor, Yaw teeth, Pinion.</t>
  </si>
  <si>
    <t>Line CCU Collective faults</t>
  </si>
  <si>
    <t>Replaced WEMA card.</t>
  </si>
  <si>
    <t>Hub door open</t>
  </si>
  <si>
    <t>hub door closing work complited</t>
  </si>
  <si>
    <t>Yaw tooth sensor 1 timeout</t>
  </si>
  <si>
    <t>Hydraulic brake test Accumulater pressure error</t>
  </si>
  <si>
    <t>Accumulater reaplaced &amp; turbine restored</t>
  </si>
  <si>
    <t>Generator carbon brush warn</t>
  </si>
  <si>
    <t>generator carbon brush limit switch connection tight properly</t>
  </si>
  <si>
    <t>CE100017</t>
  </si>
  <si>
    <t>UPS fault</t>
  </si>
  <si>
    <t xml:space="preserve">Replaced UPS Battery Bank </t>
  </si>
  <si>
    <t>Grease on sensor</t>
  </si>
  <si>
    <t>Yaw tooth sensor clean &amp; Cable twist release &amp; turbine restored</t>
  </si>
  <si>
    <t>Manual stop for Turbine Ispection</t>
  </si>
  <si>
    <t>Turbine Inspection Completed</t>
  </si>
  <si>
    <t>Pitch Converter failure</t>
  </si>
  <si>
    <t>Replaced Pitch converter</t>
  </si>
  <si>
    <t>Secondary rotor brake does not close</t>
  </si>
  <si>
    <t>A Q A Against PM Audit</t>
  </si>
  <si>
    <t>Audit work completed</t>
  </si>
  <si>
    <t>WTG Unscheduled Maintenance</t>
  </si>
  <si>
    <t>Pitch Motor Oil replacement work done</t>
  </si>
  <si>
    <t>CBM Anomolies</t>
  </si>
  <si>
    <t>CBM sensor interchange &amp; turbine restored</t>
  </si>
  <si>
    <t>Concumaer</t>
  </si>
  <si>
    <t>Wind_F1</t>
  </si>
  <si>
    <t>S/D for SS V.C.B VDR &amp; IR testing work</t>
  </si>
  <si>
    <t>Testing work completed</t>
  </si>
  <si>
    <t>Site Average</t>
  </si>
  <si>
    <t>EG Scheduled Maintenance</t>
  </si>
  <si>
    <t>Wind_F2</t>
  </si>
  <si>
    <t>Wind_F3</t>
  </si>
  <si>
    <t>Wind_F4</t>
  </si>
  <si>
    <t>S/D for Nerale S/S bus bar jump replacement  work</t>
  </si>
  <si>
    <t>Jump replacement work completed</t>
  </si>
  <si>
    <t>Group VCB-02 Yard YPM activity</t>
  </si>
  <si>
    <t>Group VCB-02 Yard YPM activity complated</t>
  </si>
  <si>
    <t>IG Scheduled Maintenance</t>
  </si>
  <si>
    <t>Internal grid shutdown for YPM activity</t>
  </si>
  <si>
    <t>Group VCB-02,CKT-02 Yard YPM activity work</t>
  </si>
  <si>
    <t>Internal grid shutdown for SEM activity</t>
  </si>
  <si>
    <t>CT &amp; PT Installation work</t>
  </si>
  <si>
    <t>IG Unscheduled Maintenance</t>
  </si>
  <si>
    <t>Internal grid shutdown for Relay Removing work</t>
  </si>
  <si>
    <t>Relay Removing work Complated</t>
  </si>
  <si>
    <t>Feeder tripped by E/F</t>
  </si>
  <si>
    <t>Test charged taken charged successfully</t>
  </si>
  <si>
    <t>IG Breakdown Maintenance</t>
  </si>
  <si>
    <t>VCB Tripped</t>
  </si>
  <si>
    <t>VCB reet &amp; Charge</t>
  </si>
  <si>
    <t>VCB reset &amp; Charge</t>
  </si>
  <si>
    <t xml:space="preserve">S/D for Group VCB -03 YPM Work </t>
  </si>
  <si>
    <t>Group VCB-3 YPM Work completed</t>
  </si>
  <si>
    <t>WTG-27 &amp; 28 Isolator shifting work</t>
  </si>
  <si>
    <t>WTG- 28 Isolator shifting work</t>
  </si>
  <si>
    <t>WTG- 20 Isolator shifting work</t>
  </si>
  <si>
    <t>WTG- 19 Isolator shifting work</t>
  </si>
  <si>
    <t xml:space="preserve">S/D for Group VCB -4 YPM Work </t>
  </si>
  <si>
    <t>Group VCB-4 YPM Work completed</t>
  </si>
  <si>
    <t>Internal grid shutdown for MSEB line cross work</t>
  </si>
  <si>
    <t>Work Completed</t>
  </si>
  <si>
    <t>WTG- 01 Isolator shifting work</t>
  </si>
  <si>
    <t>WTG- 01 line jump open work</t>
  </si>
  <si>
    <t>WTG- 01 line jump connecting work</t>
  </si>
  <si>
    <t>WTG- 31 line jump open work</t>
  </si>
  <si>
    <t>WTG- 31 Isolator shifting work</t>
  </si>
  <si>
    <t>WTG- 31 line jump Connect work</t>
  </si>
  <si>
    <t>WTG- 40 Isolator shifting work</t>
  </si>
  <si>
    <t>WTG- 41 Isolator shifting work</t>
  </si>
  <si>
    <t>WTG- 47 line jump Connect work</t>
  </si>
  <si>
    <t>WTG- 47 Isolator shifting work</t>
  </si>
  <si>
    <t>WTG- 48 line jump open work</t>
  </si>
  <si>
    <t>WTG- 48 Isolator shifting work</t>
  </si>
  <si>
    <t>Feeder tripped by O/C</t>
  </si>
  <si>
    <t>WTG- 51 &amp; 52 line jump open work</t>
  </si>
  <si>
    <t>WTG- 51 Isolator shifting work</t>
  </si>
  <si>
    <t>WTG- 52 Isolator shifting work</t>
  </si>
  <si>
    <t>WTG- 51 &amp; 52 line jump Connect work</t>
  </si>
  <si>
    <t>WTG- 32 Isolator shifting work</t>
  </si>
  <si>
    <t>WTG- 37 Isolator shifting work</t>
  </si>
  <si>
    <t>WTG- 32 &amp; 37 line jump open work</t>
  </si>
  <si>
    <t>WTG- 32 &amp; 37 line jump Connect work</t>
  </si>
  <si>
    <t>work in progress</t>
  </si>
  <si>
    <t>CT,PT cabling &amp; tray Installation work</t>
  </si>
  <si>
    <t>Location No.</t>
  </si>
  <si>
    <t>Location Type</t>
  </si>
  <si>
    <t>FY</t>
  </si>
  <si>
    <t>CY</t>
  </si>
  <si>
    <t>Cycle No.</t>
  </si>
  <si>
    <t>Frequency</t>
  </si>
  <si>
    <t>PM Title</t>
  </si>
  <si>
    <t>Day 1 Planned Maintenance Date</t>
  </si>
  <si>
    <t>Day 2 Planned Maintenance Date</t>
  </si>
  <si>
    <t>Day 1 Actual Maintenance Date</t>
  </si>
  <si>
    <t>Day 2 Actual Maintenance Date</t>
  </si>
  <si>
    <t>Delay Day 1</t>
  </si>
  <si>
    <t>Delay Day 2</t>
  </si>
  <si>
    <t>Remark</t>
  </si>
  <si>
    <t>PWEPL-50</t>
  </si>
  <si>
    <t>AM</t>
  </si>
  <si>
    <t>12th Annual Maintenance activity Completed</t>
  </si>
  <si>
    <t>PWEPL-51</t>
  </si>
  <si>
    <t>PWEPL-52</t>
  </si>
  <si>
    <t>PWEPL-31</t>
  </si>
  <si>
    <t>PWEPL-03</t>
  </si>
  <si>
    <t>PWEPL-02</t>
  </si>
  <si>
    <t>PWEPL-18</t>
  </si>
  <si>
    <t>PWEPL-01</t>
  </si>
  <si>
    <t>PWEPL-07</t>
  </si>
  <si>
    <t>PWEPL-56</t>
  </si>
  <si>
    <t>PWEPL-55</t>
  </si>
  <si>
    <t>PWEPL-45</t>
  </si>
  <si>
    <t>PWEPL-46</t>
  </si>
  <si>
    <t>PWEPL-47</t>
  </si>
  <si>
    <t>PWEPL-48</t>
  </si>
  <si>
    <t>PWEPL-42</t>
  </si>
  <si>
    <t>PWEPL-06</t>
  </si>
  <si>
    <t>PWEPL-41</t>
  </si>
  <si>
    <t>PWEPL-05</t>
  </si>
  <si>
    <t>PWEPL-40</t>
  </si>
  <si>
    <t>Total Reactive Power (kVArH)</t>
  </si>
  <si>
    <t>Programstart PLC</t>
  </si>
  <si>
    <t>Generator</t>
  </si>
  <si>
    <t>Consumer</t>
  </si>
  <si>
    <t>Capacity</t>
  </si>
  <si>
    <t>% Plant Equiva. Weightage</t>
  </si>
  <si>
    <t>Feeder Number</t>
  </si>
  <si>
    <t>USS YARD</t>
  </si>
  <si>
    <t>Total Capacity</t>
  </si>
  <si>
    <t>No Errors</t>
  </si>
  <si>
    <t>PWEPL</t>
  </si>
  <si>
    <t>MSEDCL</t>
  </si>
  <si>
    <t>OG1</t>
  </si>
  <si>
    <t>Open</t>
  </si>
  <si>
    <t>PM</t>
  </si>
  <si>
    <t>WTG</t>
  </si>
  <si>
    <t>IG</t>
  </si>
  <si>
    <t>EG</t>
  </si>
  <si>
    <t>BM</t>
  </si>
  <si>
    <t>EG Unscheduled Maintenance</t>
  </si>
  <si>
    <t>System OK</t>
  </si>
  <si>
    <t>EG Breakdown Maintenance</t>
  </si>
  <si>
    <t>Storm shutdown</t>
  </si>
  <si>
    <t>Overvoltage</t>
  </si>
  <si>
    <t xml:space="preserve">WTG Environmental </t>
  </si>
  <si>
    <t>IG Force Major</t>
  </si>
  <si>
    <t>EG Force Major</t>
  </si>
  <si>
    <t>Undervoltage</t>
  </si>
  <si>
    <t>WTG Force Majeure</t>
  </si>
  <si>
    <t>Underfrequency</t>
  </si>
  <si>
    <t>Overfrequency</t>
  </si>
  <si>
    <t>Phase angle error</t>
  </si>
  <si>
    <t>Asymmetric generator current</t>
  </si>
  <si>
    <t>Generator overspeed</t>
  </si>
  <si>
    <t>Rotor overspeed</t>
  </si>
  <si>
    <t>RotorSpeedMonitor</t>
  </si>
  <si>
    <t>Maximum motor power</t>
  </si>
  <si>
    <t>Cable twisting right</t>
  </si>
  <si>
    <t>Cable twisting left</t>
  </si>
  <si>
    <t>Yaw drive stop position</t>
  </si>
  <si>
    <t>PowerExceedPeakValue</t>
  </si>
  <si>
    <t>Primary braking time too high</t>
  </si>
  <si>
    <t>No red. of speed when braking with primarybrake</t>
  </si>
  <si>
    <t>Emergency stop tower base</t>
  </si>
  <si>
    <t>Speed with braked turbine</t>
  </si>
  <si>
    <t>Vibrations sensor Defect</t>
  </si>
  <si>
    <t>Wrong yaw direction of rotation</t>
  </si>
  <si>
    <t>Hydraulic pump time too high</t>
  </si>
  <si>
    <t>Hydraulic pump time too low</t>
  </si>
  <si>
    <t>Service switch hydraulic top cabinet</t>
  </si>
  <si>
    <t>Hydraulic oil level too low</t>
  </si>
  <si>
    <t>Gearbox oil ressure too lo</t>
  </si>
  <si>
    <t>Wind vane defect</t>
  </si>
  <si>
    <t>Rotor impulse sensor defect</t>
  </si>
  <si>
    <t>Generator impulse sensor defect</t>
  </si>
  <si>
    <t>Demand to stop by an external device</t>
  </si>
  <si>
    <t>Vibration switch</t>
  </si>
  <si>
    <t>Main switch released</t>
  </si>
  <si>
    <t>Dirty gearing oil filter</t>
  </si>
  <si>
    <t>Gear oil temperature switching contact</t>
  </si>
  <si>
    <t>Generator bearing A overtemperature</t>
  </si>
  <si>
    <t>Generator bearing B overtemperature</t>
  </si>
  <si>
    <t>Outside temperature too low</t>
  </si>
  <si>
    <t>Yaw motor overtemperature</t>
  </si>
  <si>
    <t>Gearbox oil temperature too low</t>
  </si>
  <si>
    <t>Braking pad of secondary brake worn out</t>
  </si>
  <si>
    <t>Restart time delay</t>
  </si>
  <si>
    <t>Multiple overtemperature switch off</t>
  </si>
  <si>
    <t>Gearbox oil filter dirty (warning)</t>
  </si>
  <si>
    <t>Gearbox running hot in low stage</t>
  </si>
  <si>
    <t>Generator cooling air overtemperature</t>
  </si>
  <si>
    <t>Gearbox bearing overtemperature</t>
  </si>
  <si>
    <t>Generator overtemperature 1</t>
  </si>
  <si>
    <t>Generator overtemperature 2</t>
  </si>
  <si>
    <t>Rotor CCU fault voltage</t>
  </si>
  <si>
    <t>Rotor CCU fault current</t>
  </si>
  <si>
    <t>Rotor CCU fault temperature</t>
  </si>
  <si>
    <t>Rotor locking</t>
  </si>
  <si>
    <t>Speed in the tower resonance range</t>
  </si>
  <si>
    <t>Feedback signal from CCU</t>
  </si>
  <si>
    <t>Line CCU fault temperature</t>
  </si>
  <si>
    <t>Line fault frequency</t>
  </si>
  <si>
    <t>Emergency stop nacelle / hub</t>
  </si>
  <si>
    <t>Collective fault pitch controller</t>
  </si>
  <si>
    <t>Pitch Overrun 0deg</t>
  </si>
  <si>
    <t>Pitch Overrun 90deg</t>
  </si>
  <si>
    <t>Generator power switch</t>
  </si>
  <si>
    <t>Generator speed not plausible</t>
  </si>
  <si>
    <t>Braking time rotor blade 1 too high</t>
  </si>
  <si>
    <t>Braking time rotor blade 2 too high</t>
  </si>
  <si>
    <t>Braking time rotor blade 3 too high</t>
  </si>
  <si>
    <t>Battery charging rotor blade drive</t>
  </si>
  <si>
    <t>Battery charging voltage not OK</t>
  </si>
  <si>
    <t>Battery test</t>
  </si>
  <si>
    <t>Limit switch 0deg-rotorblade angle unclear</t>
  </si>
  <si>
    <t>Temperature warning pitch motor</t>
  </si>
  <si>
    <t>Overtemperature pitch motor</t>
  </si>
  <si>
    <t>Motor protection pitch motor</t>
  </si>
  <si>
    <t>Rotor CCU collective faults</t>
  </si>
  <si>
    <t>Pulse sensor rotor monitor defect</t>
  </si>
  <si>
    <t>Blade angle asymmetry</t>
  </si>
  <si>
    <t>Turbine stopped due to calm</t>
  </si>
  <si>
    <t>Load shutdown</t>
  </si>
  <si>
    <t>Generator fan service switch</t>
  </si>
  <si>
    <t>Obstruction light fault / failure</t>
  </si>
  <si>
    <t>Generator brushes worn</t>
  </si>
  <si>
    <t>Maintenance</t>
  </si>
  <si>
    <t>Repair</t>
  </si>
  <si>
    <t>Overvoltage protection triggered</t>
  </si>
  <si>
    <t>Torque deviation</t>
  </si>
  <si>
    <t>Maintenance switch pitch</t>
  </si>
  <si>
    <t>Service switch pitch</t>
  </si>
  <si>
    <t>Normal operation</t>
  </si>
  <si>
    <t>Voltage limiting activated</t>
  </si>
  <si>
    <t>yaw emergency stop</t>
  </si>
  <si>
    <t>Waiting for gearbox oil pressure</t>
  </si>
  <si>
    <t>Increasing speed with falling blade angle</t>
  </si>
  <si>
    <t>Service key brake release</t>
  </si>
  <si>
    <t>Low-noise operation</t>
  </si>
  <si>
    <t>Overtemperature transformer warning</t>
  </si>
  <si>
    <t>Overtemperature transformer disturbance</t>
  </si>
  <si>
    <t>Drive train vibration</t>
  </si>
  <si>
    <t>Tower vibration</t>
  </si>
  <si>
    <t>Fault battery charge switching shut down</t>
  </si>
  <si>
    <t>Successful battery test is needed</t>
  </si>
  <si>
    <t>Wind deviation</t>
  </si>
  <si>
    <t>Spinning position</t>
  </si>
  <si>
    <t>Start-up</t>
  </si>
  <si>
    <t>Load operation</t>
  </si>
  <si>
    <t>Shut down</t>
  </si>
  <si>
    <t>Manual operation pitch</t>
  </si>
  <si>
    <t>Manual operation speed</t>
  </si>
  <si>
    <t>Manual operation torque</t>
  </si>
  <si>
    <t>Manual operation line separation</t>
  </si>
  <si>
    <t>Manual operation yaw</t>
  </si>
  <si>
    <t>Container / nacelle temp.fault (not for CWE turbines)</t>
  </si>
  <si>
    <t>Manual operation generator fan</t>
  </si>
  <si>
    <t>aviation light system common alarm</t>
  </si>
  <si>
    <t>By-pass filter soiling</t>
  </si>
  <si>
    <t>Gearbox pressure loss by-pass filter</t>
  </si>
  <si>
    <t>Fault temperature measurement</t>
  </si>
  <si>
    <t>Overtemperature cabinet</t>
  </si>
  <si>
    <t>Ground fault LVMD</t>
  </si>
  <si>
    <t>Battery voltage not OK axis 2</t>
  </si>
  <si>
    <t>Battery voltage not OK axis 3</t>
  </si>
  <si>
    <t>Direction dependent shut-down</t>
  </si>
  <si>
    <t>Too Frequent cut-ins</t>
  </si>
  <si>
    <t>External stop caused by curtailment</t>
  </si>
  <si>
    <t>External power limitation</t>
  </si>
  <si>
    <t>Blade angle not plausible axis 1</t>
  </si>
  <si>
    <t>Power circuit breaker CCU released</t>
  </si>
  <si>
    <t>Generator overtemperature 3</t>
  </si>
  <si>
    <t>Temp. sensor error (warning)</t>
  </si>
  <si>
    <t>Temp. not plausible</t>
  </si>
  <si>
    <t>Manual Hydraulic / Brake</t>
  </si>
  <si>
    <t>Reboot PLC</t>
  </si>
  <si>
    <t>Malfunction particle counter</t>
  </si>
  <si>
    <t>Shadow related shut down</t>
  </si>
  <si>
    <t>Too long manual / Service operation</t>
  </si>
  <si>
    <t>Power limitation due to high temperature</t>
  </si>
  <si>
    <t>Shut-down low voltage</t>
  </si>
  <si>
    <t>Low voltage ride through</t>
  </si>
  <si>
    <t>Prepressure error, active brake</t>
  </si>
  <si>
    <t>Prepressure warning, active brake</t>
  </si>
  <si>
    <t>Test prepressure active brake</t>
  </si>
  <si>
    <t>Crow bar triggered CCU</t>
  </si>
  <si>
    <t>Power limitation CCU</t>
  </si>
  <si>
    <t>Response signal interrupt battery driven pitching</t>
  </si>
  <si>
    <t>Test measuring system</t>
  </si>
  <si>
    <t>Idling in speed control</t>
  </si>
  <si>
    <t>Undertemperature Cabinet</t>
  </si>
  <si>
    <t>Warning adv controls sensors</t>
  </si>
  <si>
    <t>Heat up state</t>
  </si>
  <si>
    <t>Turbine heat up error</t>
  </si>
  <si>
    <t>Brake pad worn, warning</t>
  </si>
  <si>
    <t>Manual operation yaw hydraulic</t>
  </si>
  <si>
    <t>Idling command at WTG</t>
  </si>
  <si>
    <t>Fault reset</t>
  </si>
  <si>
    <t>Cabinet overtemperature warning</t>
  </si>
  <si>
    <t>Power limitation freq. dependent</t>
  </si>
  <si>
    <t>Undertemperature slipring</t>
  </si>
  <si>
    <t>Service Switch Rotorlock</t>
  </si>
  <si>
    <t>Activation rotor lock</t>
  </si>
  <si>
    <t>Block restart due to grid frequency</t>
  </si>
  <si>
    <t>Circuit breaker maintenance necessary</t>
  </si>
  <si>
    <t>Generator overspeed 2</t>
  </si>
  <si>
    <t>Rotor overspeed 2</t>
  </si>
  <si>
    <t>Line CCU temperature warning</t>
  </si>
  <si>
    <t>Rotor CCU temperature warning</t>
  </si>
  <si>
    <t>Pitch control deviation Axis 2</t>
  </si>
  <si>
    <t>Blade Angle not plausible Axis 2</t>
  </si>
  <si>
    <t>Blade Angle not plausible Axis 3</t>
  </si>
  <si>
    <t>Battery drive after grid fault</t>
  </si>
  <si>
    <t>Service stop</t>
  </si>
  <si>
    <t>Service stop with fault</t>
  </si>
  <si>
    <t>Malfunction wind measurement device</t>
  </si>
  <si>
    <t>Power limitation fault adv.Controls sensor</t>
  </si>
  <si>
    <t>Internal Pitch Mode</t>
  </si>
  <si>
    <t>Internal Pitch Mode Implausible</t>
  </si>
  <si>
    <t>Power limitation adv Power limitation adv control hub offsets</t>
  </si>
  <si>
    <t>Calibrating ALC gains</t>
  </si>
  <si>
    <t>Mapping ALC hub offsets</t>
  </si>
  <si>
    <t>Service switch pitch unplausible</t>
  </si>
  <si>
    <t>Aero balance worsening</t>
  </si>
  <si>
    <t>MSF bending out of threshold</t>
  </si>
  <si>
    <t>Pitch limitation low power avoidance</t>
  </si>
  <si>
    <t>Communication to the frequency converter is not active</t>
  </si>
  <si>
    <t>Communication fault pitch controller Axis 1</t>
  </si>
  <si>
    <t>Communication fault pitch controller Axis 3</t>
  </si>
  <si>
    <t>Yaw Map pending</t>
  </si>
  <si>
    <t>Yaw Mapping Error</t>
  </si>
  <si>
    <t>New Added</t>
  </si>
  <si>
    <t>VCB_OC</t>
  </si>
  <si>
    <t>Y_Sens_Err</t>
  </si>
  <si>
    <t>CE100001</t>
  </si>
  <si>
    <t>CE100002</t>
  </si>
  <si>
    <t>Major BD - Blade</t>
  </si>
  <si>
    <t>CE100003</t>
  </si>
  <si>
    <t>Major BD - Transformer</t>
  </si>
  <si>
    <t>CE100004</t>
  </si>
  <si>
    <t>Major BD - Generator</t>
  </si>
  <si>
    <t>CE100005</t>
  </si>
  <si>
    <t>Major BD - Gearbox</t>
  </si>
  <si>
    <t>CE100006</t>
  </si>
  <si>
    <t>Major BD - Main Bearing</t>
  </si>
  <si>
    <t>CE100007</t>
  </si>
  <si>
    <t>Transmission Line Related work</t>
  </si>
  <si>
    <t>CE100008</t>
  </si>
  <si>
    <t>General Work Stoppage</t>
  </si>
  <si>
    <t>CE100009</t>
  </si>
  <si>
    <t>Major BD - Power Cable</t>
  </si>
  <si>
    <t>CE100011</t>
  </si>
  <si>
    <t>Major BD - DFIG</t>
  </si>
  <si>
    <t>CE100012</t>
  </si>
  <si>
    <t>Major BD - Foundation</t>
  </si>
  <si>
    <t>CE100013</t>
  </si>
  <si>
    <t>Theft</t>
  </si>
  <si>
    <t>Manual Stop - Preventive Maintenance Activity</t>
  </si>
  <si>
    <t>CE100014</t>
  </si>
  <si>
    <t>Manual Stop - Audit</t>
  </si>
  <si>
    <t>CE100015</t>
  </si>
  <si>
    <t>Manual Stop - Safety Related</t>
  </si>
  <si>
    <t>CE100016</t>
  </si>
  <si>
    <t>Manual Stop - Blade Cleaning</t>
  </si>
  <si>
    <t>UPS breakdown</t>
  </si>
  <si>
    <t>Month Name</t>
  </si>
  <si>
    <t>Month Number</t>
  </si>
  <si>
    <t>No. of Days in Month</t>
  </si>
  <si>
    <t>GHI</t>
  </si>
  <si>
    <t>POA</t>
  </si>
  <si>
    <t>WS</t>
  </si>
  <si>
    <t>Tamb</t>
  </si>
  <si>
    <t>Tmod</t>
  </si>
  <si>
    <t>Egrid (MWh)</t>
  </si>
  <si>
    <t>Bugt_Capacity</t>
  </si>
  <si>
    <t>PR</t>
  </si>
  <si>
    <t>Daily POA</t>
  </si>
  <si>
    <t>Days Operated</t>
  </si>
  <si>
    <t>MTD POA</t>
  </si>
  <si>
    <t>YTD POA</t>
  </si>
  <si>
    <t>Daily Energy (MWh)</t>
  </si>
  <si>
    <t>MTD Energy (MWh)</t>
  </si>
  <si>
    <t>YTD Energy (MWh)</t>
  </si>
  <si>
    <t>Bugt CUF (%)</t>
  </si>
  <si>
    <t>Bugt CUF (%) MTD</t>
  </si>
  <si>
    <t>Bugt CUF (%)YTD</t>
  </si>
  <si>
    <t>Ave. Cap MTD</t>
  </si>
  <si>
    <t>Ave. Cap YTD</t>
  </si>
  <si>
    <t>CC Energy MTD</t>
  </si>
  <si>
    <t>WS MTD</t>
  </si>
  <si>
    <t>WS YTD</t>
  </si>
  <si>
    <t>Bugt PA</t>
  </si>
  <si>
    <t>Bugt EGA</t>
  </si>
  <si>
    <t>Bugt TA</t>
  </si>
  <si>
    <t>Bugt MA</t>
  </si>
  <si>
    <t>Bugt IGA</t>
  </si>
  <si>
    <t>Corelation</t>
  </si>
  <si>
    <t>Bugt Line loss</t>
  </si>
  <si>
    <t>Bugt Reactive Power</t>
  </si>
  <si>
    <t>April</t>
  </si>
  <si>
    <t>FY23</t>
  </si>
  <si>
    <t>May</t>
  </si>
  <si>
    <t>June</t>
  </si>
  <si>
    <t>July</t>
  </si>
  <si>
    <t>August</t>
  </si>
  <si>
    <t>September</t>
  </si>
  <si>
    <t>October</t>
  </si>
  <si>
    <t>November</t>
  </si>
  <si>
    <t>December</t>
  </si>
  <si>
    <t>January</t>
  </si>
  <si>
    <t>February</t>
  </si>
  <si>
    <t>March</t>
  </si>
  <si>
    <t>FY24</t>
  </si>
  <si>
    <t>FY25</t>
  </si>
  <si>
    <t>FY26</t>
  </si>
  <si>
    <t>Pitch Drive Oil replacement work</t>
  </si>
  <si>
    <t>Q1 braker reset</t>
  </si>
  <si>
    <t>hub door closing work completed</t>
  </si>
  <si>
    <t>Foundation Pressure Grouting work</t>
  </si>
  <si>
    <t>Manual stop for Foundation Pressure Grouting work</t>
  </si>
  <si>
    <t>Coolent Top up &amp; turbine restored</t>
  </si>
  <si>
    <t>Foundation Pressure Grouting work completed,waiting for curing</t>
  </si>
  <si>
    <t>Undervoltage fault</t>
  </si>
  <si>
    <t>Yaw tooth sensor 2 timeout</t>
  </si>
  <si>
    <t>Foundation Pressure Grouting work completed</t>
  </si>
  <si>
    <t>Yaw tooth sensor clean &amp; turbine restored</t>
  </si>
  <si>
    <t>Converter rotor current fault</t>
  </si>
  <si>
    <t>Replaced WEOR card</t>
  </si>
  <si>
    <t>Yaw tooth sensor clean &amp; Gap set &amp; turbine restored</t>
  </si>
  <si>
    <t>PWEPL-46 R Phase LA failure</t>
  </si>
  <si>
    <t>LA replaced</t>
  </si>
  <si>
    <t>S/D for Nerale S/S 33kv Side Maintenance &amp; Externel line Maintenance work</t>
  </si>
  <si>
    <t>Side Maintenance &amp; Externel line Maintenance work done</t>
  </si>
  <si>
    <t xml:space="preserve">Circuit braker tripped so reset breaker </t>
  </si>
  <si>
    <t>CP-49 B-Phase Pin insulator failure</t>
  </si>
  <si>
    <t>CP-50 R-Phase Pin insulator failure</t>
  </si>
  <si>
    <t>PP-43 R-Phase Pin insulator failure</t>
  </si>
  <si>
    <t>PP-56 Y-Phase Pin insulator failure</t>
  </si>
  <si>
    <t>Pin Insulator replaced</t>
  </si>
  <si>
    <t>S/D for External line tree trimming work</t>
  </si>
  <si>
    <t>Tree trimming work done</t>
  </si>
  <si>
    <t>S/D for FDR 3 &amp; 4 TP-02 R,Y,B Phase Jump &amp; Pam connector replacement work</t>
  </si>
  <si>
    <t>Jump &amp; Pam connector replacement work done</t>
  </si>
  <si>
    <t>S/D for CRP Panel B Phase O/C Relay replacement work</t>
  </si>
  <si>
    <t>Relay replacement work done</t>
  </si>
  <si>
    <t>S/D for CRP Panel Y &amp; B Phase O/C Relay replacement work</t>
  </si>
  <si>
    <t>S/D for CRP Panel Y &amp; B Phase O/C Relay &amp; Ammeter replacement work</t>
  </si>
  <si>
    <t>Secondary Brake Pad worn</t>
  </si>
  <si>
    <t>Brake Pad replaced</t>
  </si>
  <si>
    <t>Slipring replacement work</t>
  </si>
  <si>
    <t xml:space="preserve">Slipring replacement work completed </t>
  </si>
  <si>
    <t>PWEPL-48 B phase LA failure</t>
  </si>
  <si>
    <t>S/D for CRP Panel Y Phase O/C Relay replacement work</t>
  </si>
  <si>
    <t>S/D for CRP Panel R &amp; Y Phase O/C Relay replacement work</t>
  </si>
  <si>
    <t xml:space="preserve">LA replaced </t>
  </si>
  <si>
    <t>S/D for CRP Panel R &amp; B Phase O/C Relay replacement work</t>
  </si>
  <si>
    <t>S/D for CRP Panel R Phase O/C Relay replacement work</t>
  </si>
  <si>
    <t>QHSE Turbine Audit</t>
  </si>
  <si>
    <t xml:space="preserve">tower vibration sensor failure </t>
  </si>
  <si>
    <t>QHSE turbine audit completed</t>
  </si>
  <si>
    <t>External line cp 186 R phase pin insulator replaced &amp; charge</t>
  </si>
  <si>
    <t>PWEPL-09</t>
  </si>
  <si>
    <t>PWEPL-10</t>
  </si>
  <si>
    <t>PWEPL-11</t>
  </si>
  <si>
    <t>PWEPL-12</t>
  </si>
  <si>
    <t>PWEPL-13</t>
  </si>
  <si>
    <t>PWEPL-14</t>
  </si>
  <si>
    <t>PWEPL-15</t>
  </si>
  <si>
    <t>PWEPL-16</t>
  </si>
  <si>
    <t>PWEPL-17</t>
  </si>
  <si>
    <t>PWEPL-19</t>
  </si>
  <si>
    <t>PWEPL-20</t>
  </si>
  <si>
    <t>PWEPL-38</t>
  </si>
  <si>
    <t>PWEPL-28</t>
  </si>
  <si>
    <t>PWEPL-27</t>
  </si>
  <si>
    <t>PWEPL-26</t>
  </si>
  <si>
    <t>PWEPL-25</t>
  </si>
  <si>
    <t>PWEPL-08</t>
  </si>
  <si>
    <t>PWEPL-43</t>
  </si>
  <si>
    <t>PWEPL-22</t>
  </si>
  <si>
    <t>PWEPL-23</t>
  </si>
  <si>
    <t>PWEPL-04</t>
  </si>
  <si>
    <t>PWEPL-34</t>
  </si>
  <si>
    <t>PWEPL-32</t>
  </si>
  <si>
    <t>PWEPL-37</t>
  </si>
  <si>
    <t>SAM</t>
  </si>
  <si>
    <t>12th Semi Annual Maintenance activity Completed</t>
  </si>
  <si>
    <t>11th Annual Maintenance activity Completed</t>
  </si>
  <si>
    <t>11th Semi Annual Maintenance activity Completed</t>
  </si>
  <si>
    <t>Top box motor protection alarm</t>
  </si>
  <si>
    <t>Anemometer failure</t>
  </si>
  <si>
    <t>PWEPL-61 SEM B Phase PT failed</t>
  </si>
  <si>
    <t>Anemometer signal communucating cable replaced</t>
  </si>
  <si>
    <t>CKT-2 ,PP-43 B phase pin insulator replaced</t>
  </si>
  <si>
    <t>Thermobypass valve replaced &amp; gearbox inspection done.</t>
  </si>
  <si>
    <t>Gearbox inspection</t>
  </si>
  <si>
    <t>Pitch Encoder clean properly &amp; turbine restored</t>
  </si>
  <si>
    <t>Pitch controller communication fault</t>
  </si>
  <si>
    <t>Gearbox oil pressure too low</t>
  </si>
  <si>
    <t>Replaced AEPC card &amp; Top Box to Slipring Lane cable &amp; turbine restored</t>
  </si>
  <si>
    <t>Yaw puck Pistons replacement</t>
  </si>
  <si>
    <t>S/D for SEM B Phase CT replacement work</t>
  </si>
  <si>
    <t>PT replacement work done</t>
  </si>
  <si>
    <t>CT replacement work done</t>
  </si>
  <si>
    <t>S/D for SEM Y Phase PT replacement work</t>
  </si>
  <si>
    <t>Fault Category</t>
  </si>
  <si>
    <t>S/D for SEM Y Phase CT replacement work</t>
  </si>
  <si>
    <t>WET B card failure</t>
  </si>
  <si>
    <t>Replaced WET B card</t>
  </si>
  <si>
    <t>Yaw Puck Pistons 6 nos replaced</t>
  </si>
  <si>
    <t>Yaw Puck Pistons 3 nos  replaced</t>
  </si>
  <si>
    <t>Axis 3 Pitch Battery replaced</t>
  </si>
  <si>
    <t>S/D for SEM R Phase PT replacement work</t>
  </si>
  <si>
    <t>Yaw Puck Pistons 12 nos replaced</t>
  </si>
  <si>
    <t>Replaced Pitch Encoder &amp; Carbon Brushes</t>
  </si>
  <si>
    <t>Audit pending point closing work</t>
  </si>
  <si>
    <t>Manual stop for Customer Audit pending point closing work</t>
  </si>
  <si>
    <t>Pitch Encoder replaced</t>
  </si>
  <si>
    <t>S/D for Nerale S/S 33kv side Maintenance &amp; testing work</t>
  </si>
  <si>
    <t>Side Maintenance &amp; Testing work completed</t>
  </si>
  <si>
    <t>Replaced WET B card &amp; Hydraulic oil top &amp; turbine restored</t>
  </si>
  <si>
    <t>Q13 MCB &amp; Pitch centre box MCB tripped we reset MCB</t>
  </si>
  <si>
    <t>AEPA card failure</t>
  </si>
  <si>
    <t>Replaced AEPA card</t>
  </si>
  <si>
    <t>Yaw Puck Pistons 5 nos replaced</t>
  </si>
  <si>
    <t>WET A card failure</t>
  </si>
  <si>
    <t>Replaced WET A card</t>
  </si>
  <si>
    <t>Yaw Puck Pistons 7 nos replaced</t>
  </si>
  <si>
    <t>Pitch Motor failure</t>
  </si>
  <si>
    <t xml:space="preserve">Replaced Pitch motor </t>
  </si>
  <si>
    <t>DTA/MCC fuse or motor protection alarm</t>
  </si>
  <si>
    <t>Q13 MCB tripped we reset MCB &amp; turbine restored</t>
  </si>
  <si>
    <t>WEMA card failure</t>
  </si>
  <si>
    <t>Replaced WEMA card</t>
  </si>
  <si>
    <t>hydrolic unit valve replace &amp; turbine restored</t>
  </si>
  <si>
    <t>After complete line petrolling &amp; CKT will restored</t>
  </si>
  <si>
    <t>S/D taken for 55 Y phase isolator jaw replacement work</t>
  </si>
  <si>
    <t>Jaw replacement work</t>
  </si>
  <si>
    <t>Secondary Hydraulic brake not released</t>
  </si>
  <si>
    <t>Replaced Hydraulic unit pressure volve &amp; WET C card</t>
  </si>
  <si>
    <t>Pitch Encoder clean &amp; turbine restored</t>
  </si>
  <si>
    <t>Generator over speed</t>
  </si>
  <si>
    <t>Replaced Generator speed proximity sensor</t>
  </si>
  <si>
    <t>Turbine Inspection work done &amp; turbine restored</t>
  </si>
  <si>
    <t>Replaced Hydraulic unit &amp; turbine restored</t>
  </si>
  <si>
    <t>Stoppage Type</t>
  </si>
  <si>
    <t>Paired WTG Generation for loss calculation</t>
  </si>
  <si>
    <t>Estimated Energy Loss (kWh)</t>
  </si>
  <si>
    <t>Special Remarks</t>
  </si>
  <si>
    <t>PTW No.</t>
  </si>
  <si>
    <t>Job Card No.</t>
  </si>
  <si>
    <t>Major Breakdown</t>
  </si>
  <si>
    <t>Breakdown</t>
  </si>
  <si>
    <t>ROW</t>
  </si>
  <si>
    <t xml:space="preserve">Affected Feeder </t>
  </si>
  <si>
    <t>Scope</t>
  </si>
  <si>
    <t>Breakdown Type</t>
  </si>
  <si>
    <t>Curtailment Order imit.</t>
  </si>
  <si>
    <t>EGA_Including_CurtailmentOrder</t>
  </si>
  <si>
    <t>Loss of KWH</t>
  </si>
  <si>
    <t>Y Phase Protection PT bypass work</t>
  </si>
  <si>
    <t>PT bypass work done</t>
  </si>
  <si>
    <t>S/D for Line Stringing work</t>
  </si>
  <si>
    <t>Line Stringing work done</t>
  </si>
  <si>
    <t>Replaced K21 contactor coil &amp; Auxilary &amp; turbine restored</t>
  </si>
  <si>
    <t>Replaced Hydraulic unit pressure volve &amp; WET A card</t>
  </si>
  <si>
    <t>Q1 MCB tripped we reset MCB &amp; turbine restored</t>
  </si>
  <si>
    <t>Manual stop for Foundation Inspection work</t>
  </si>
  <si>
    <t>Rotor side CCU collective faults</t>
  </si>
  <si>
    <t>Gearbox oil over temperature</t>
  </si>
  <si>
    <t xml:space="preserve">Replaced Radiater motor </t>
  </si>
  <si>
    <t>Wind measurment serieal communication fault</t>
  </si>
  <si>
    <t>Replaced WET A card fuse &amp; turbine restored</t>
  </si>
  <si>
    <t>Battery voltage not OK Axis 2</t>
  </si>
  <si>
    <t>Battery charger fuse replaced &amp; turbine restored</t>
  </si>
  <si>
    <t>WETB card &amp; Power supply replaced</t>
  </si>
  <si>
    <t>Manual stop for Tower vibration test</t>
  </si>
  <si>
    <t>Replaced Hydraulic unit pressure volve</t>
  </si>
  <si>
    <t>Manual stop for Gearbox temperature warning</t>
  </si>
  <si>
    <t>Replaced Thermo bypass volve</t>
  </si>
  <si>
    <t>Manual stop for Power curve issue</t>
  </si>
  <si>
    <t>Uploaded CCU &amp; WTG parameter &amp; turbine restored</t>
  </si>
  <si>
    <t>Work in progress</t>
  </si>
  <si>
    <t>Replace 500 Amp fuse &amp; turbine started</t>
  </si>
  <si>
    <t>open</t>
  </si>
  <si>
    <t>Pitch Encoder &amp; AEPA  replaced</t>
  </si>
  <si>
    <t>OPEN</t>
  </si>
  <si>
    <t>WORK IN PROGRESS</t>
  </si>
  <si>
    <t>connection tighght properly &amp; turbine restored</t>
  </si>
  <si>
    <t>replce yaw tooth sensor &amp; turbine restored</t>
  </si>
  <si>
    <t>Q19 MCB tripped we reset MCB &amp; turbine restored</t>
  </si>
  <si>
    <t>Replace Pitch motor bearing &amp; turbine started</t>
  </si>
  <si>
    <t>PWEPL-04 R phase LA failure</t>
  </si>
  <si>
    <t>IO card 28V power supply failed</t>
  </si>
  <si>
    <t>Hub door closing work completed</t>
  </si>
  <si>
    <t>PDC box MCB tripped we reset MCB &amp; turbine restored</t>
  </si>
  <si>
    <t>we check all circuit no deviation observe so Anemometer replaced</t>
  </si>
  <si>
    <t>Pitch slipring to centre box mainson cable ground so use spare cable &amp; WETA card replaced &amp; turbine restored</t>
  </si>
  <si>
    <t>Replaced Radiater motor &amp; contactor</t>
  </si>
  <si>
    <t>Manual stop for Turbine Inspection</t>
  </si>
  <si>
    <t>Turbine Inspection done</t>
  </si>
  <si>
    <t>Pitch thyristor 1,2,3 fault</t>
  </si>
  <si>
    <t>Replaced Anemometer</t>
  </si>
  <si>
    <t>Manual stop for Rectification of Power curve deviation</t>
  </si>
  <si>
    <t>FT sensor replaced</t>
  </si>
  <si>
    <t>WETA card replaced</t>
  </si>
  <si>
    <t>Wind vane failure</t>
  </si>
  <si>
    <t>Replaced wind vane cable &amp; wind vane</t>
  </si>
  <si>
    <t>Replaced Anemometer bearing &amp; turbine restored</t>
  </si>
  <si>
    <t>Manual stop for Generator Carbon brush replacement</t>
  </si>
  <si>
    <t>Replaced Gearbox Pressure Switch &amp; WETC FU-4 fuse</t>
  </si>
  <si>
    <t>Generator Carbon brush replaced</t>
  </si>
  <si>
    <t>Pin Insulator failure near PWEPL-18</t>
  </si>
  <si>
    <t>S/D for Nerale S/S 33kv side Hotspot removing  work</t>
  </si>
  <si>
    <t>Hotspot removing work completed</t>
  </si>
  <si>
    <t>Ground fault</t>
  </si>
  <si>
    <t>Line converter current alarm</t>
  </si>
  <si>
    <t>CCU controller parameter downloaded &amp; turbine restored</t>
  </si>
  <si>
    <t>Coolent &amp; Distilled water top up &amp; turbine restored</t>
  </si>
  <si>
    <t>S/D for SEM work</t>
  </si>
  <si>
    <t>SEM work completed</t>
  </si>
  <si>
    <t>Top Box fuse or Motor protection alarm</t>
  </si>
  <si>
    <t>Generator Fan MCB tripped we reset MCB &amp; turbine restored</t>
  </si>
  <si>
    <t>Pressure switch rectified &amp; WETC card replaced</t>
  </si>
  <si>
    <t xml:space="preserve">Anemometer failure </t>
  </si>
  <si>
    <t>K-21 contactor cable rectified &amp; turbine restored</t>
  </si>
  <si>
    <t>Blade angle not plausible axis-2</t>
  </si>
  <si>
    <t xml:space="preserve">After feeder restored we observed water ingress inside hub so we remove water turbine restored  </t>
  </si>
  <si>
    <t>PP-20 Pole Near Line tree fall on External line</t>
  </si>
  <si>
    <t>Replaced AEPA &amp; WETB card</t>
  </si>
  <si>
    <t>Replaced WETA card &amp; FT sensor</t>
  </si>
  <si>
    <t>Tight connection properly &amp; turbine restored</t>
  </si>
  <si>
    <t>Anemometer replaced</t>
  </si>
  <si>
    <t>Replaced Carbon brush Micro switch &amp; turbine restored</t>
  </si>
  <si>
    <t>Replaced Pitch motor bearing &amp; Encoder</t>
  </si>
  <si>
    <t xml:space="preserve"> reset VCB &amp; B Phase relay replaced</t>
  </si>
  <si>
    <t>Replaced AEPA card fault rectified then Topbox fuse or motor protection alarm  found  generator fan motor 1 phase supply not coming after checking circuit found contactor not working properly so replaced contactor and turbine restored. Delay due to weather issue</t>
  </si>
  <si>
    <t>we check all related circuit found battery voltage FU 03 fuse blown so replaced fuse and during test trial turbine tripped same fault so we checking all circuit and not found abnormalities so replaced AEPA card and 5A fuse &amp; turbine restored 
Delay due to whether issue</t>
  </si>
  <si>
    <t>we check all related circuit found 80A fuse blown,after battery box 80A fuse replaced fault  resolved but during test trail another error pitch thyristor 3 fault triggered so we  found break coil voltage missing, pitch carbon brush &amp; spring tension found ok, contactor functioning checked found ok but during troubleshooting error triggering. After replacing the Brake coil &amp; AEPA card turbine restored 
Delay due to whether issue</t>
  </si>
  <si>
    <t>Tower vibration test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</si>
</sst>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0.0"/>
    <numFmt numFmtId="165" formatCode="[$-409]d/mmm/yy;@"/>
    <numFmt numFmtId="166" formatCode="[$-409]mmm/yy;@"/>
    <numFmt numFmtId="167" formatCode="[$-409]d\-mmm\-yy;@"/>
    <numFmt numFmtId="168" formatCode="_ * #,##0_ ;_ * \-#,##0_ ;_ * &quot;-&quot;??_ ;_ @_ "/>
    <numFmt numFmtId="169" formatCode="0.0%"/>
    <numFmt numFmtId="170" formatCode="h:mm;@"/>
    <numFmt numFmtId="171" formatCode="0.000%"/>
    <numFmt numFmtId="172" formatCode="[$-10409]0;\(0\)"/>
    <numFmt numFmtId="173" formatCode="[h]:mm"/>
  </numFmts>
  <fonts count="54">
    <font>
      <sz val="11"/>
      <color theme="1"/>
      <name val="Calibri"/>
      <family val="2"/>
      <scheme val="minor"/>
    </font>
    <font>
      <sz val="11"/>
      <color theme="1"/>
      <name val="Helvetica Neue"/>
      <family val="2"/>
    </font>
    <font>
      <sz val="11"/>
      <color theme="1"/>
      <name val="Calibri"/>
      <family val="2"/>
      <scheme val="minor"/>
    </font>
    <font>
      <sz val="11"/>
      <color theme="0"/>
      <name val="Calibri"/>
      <family val="2"/>
      <scheme val="minor"/>
    </font>
    <font>
      <b/>
      <sz val="9"/>
      <color theme="0"/>
      <name val="Calibri"/>
      <family val="2"/>
      <scheme val="minor"/>
    </font>
    <font>
      <sz val="11"/>
      <color indexed="8"/>
      <name val="Calibri"/>
      <family val="2"/>
    </font>
    <font>
      <sz val="11"/>
      <name val="Calibri"/>
      <family val="2"/>
      <scheme val="minor"/>
    </font>
    <font>
      <sz val="11"/>
      <color indexed="8"/>
      <name val="Calibri"/>
      <family val="2"/>
      <charset val="134"/>
    </font>
    <font>
      <b/>
      <sz val="11"/>
      <color theme="0"/>
      <name val="Calibri"/>
      <family val="2"/>
      <scheme val="minor"/>
    </font>
    <font>
      <sz val="8"/>
      <name val="Calibri"/>
      <family val="2"/>
      <scheme val="minor"/>
    </font>
    <font>
      <sz val="11"/>
      <color theme="1"/>
      <name val="Cambria"/>
      <family val="1"/>
    </font>
    <font>
      <u/>
      <sz val="11"/>
      <color theme="10"/>
      <name val="Calibri"/>
      <family val="2"/>
      <scheme val="minor"/>
    </font>
    <font>
      <b/>
      <sz val="16"/>
      <color theme="0"/>
      <name val="Calibri"/>
      <family val="2"/>
      <scheme val="minor"/>
    </font>
    <font>
      <b/>
      <sz val="12"/>
      <color theme="0"/>
      <name val="Hadassah Friedlaender"/>
      <family val="1"/>
      <charset val="177"/>
    </font>
    <font>
      <b/>
      <sz val="10"/>
      <color theme="0"/>
      <name val="Hadassah Friedlaender"/>
      <family val="1"/>
      <charset val="177"/>
    </font>
    <font>
      <sz val="10"/>
      <name val="Arial"/>
      <family val="2"/>
    </font>
    <font>
      <sz val="10"/>
      <name val="Hadassah Friedlaender"/>
      <family val="1"/>
      <charset val="177"/>
    </font>
    <font>
      <sz val="10"/>
      <color theme="1"/>
      <name val="Hadassah Friedlaender"/>
      <family val="1"/>
      <charset val="177"/>
    </font>
    <font>
      <b/>
      <sz val="10"/>
      <name val="Hadassah Friedlaender"/>
      <family val="1"/>
      <charset val="177"/>
    </font>
    <font>
      <sz val="10"/>
      <color rgb="FF000000"/>
      <name val="Cambria"/>
      <family val="1"/>
    </font>
    <font>
      <b/>
      <sz val="11"/>
      <color theme="1"/>
      <name val="Calibri"/>
      <family val="2"/>
      <scheme val="minor"/>
    </font>
    <font>
      <b/>
      <i/>
      <u/>
      <sz val="11"/>
      <color theme="1"/>
      <name val="Calibri"/>
      <family val="2"/>
      <scheme val="minor"/>
    </font>
    <font>
      <sz val="11"/>
      <name val="Arial"/>
      <family val="2"/>
    </font>
    <font>
      <sz val="11"/>
      <color theme="1"/>
      <name val="Arial"/>
      <family val="2"/>
    </font>
    <font>
      <sz val="10"/>
      <name val="Palatino Linotype"/>
      <family val="1"/>
    </font>
    <font>
      <sz val="8"/>
      <color indexed="8"/>
      <name val="Arial"/>
      <family val="2"/>
    </font>
    <font>
      <sz val="11"/>
      <color theme="1"/>
      <name val="Calibri"/>
      <family val="2"/>
    </font>
    <font>
      <sz val="11"/>
      <color theme="1"/>
      <name val="Calibri"/>
      <family val="2"/>
      <scheme val="minor"/>
    </font>
    <font>
      <sz val="11"/>
      <name val="Calibri"/>
      <family val="2"/>
      <scheme val="minor"/>
    </font>
    <font>
      <sz val="11"/>
      <name val="Calibri"/>
      <family val="2"/>
      <scheme val="minor"/>
    </font>
    <font>
      <sz val="11"/>
      <name val="Calibri"/>
      <family val="2"/>
      <scheme val="minor"/>
    </font>
    <font>
      <sz val="10"/>
      <color theme="1"/>
      <name val="Arial"/>
      <family val="2"/>
    </font>
    <font>
      <sz val="11"/>
      <name val="Calibri"/>
      <family val="2"/>
      <scheme val="minor"/>
    </font>
    <font>
      <sz val="11"/>
      <name val="Calibri"/>
      <family val="2"/>
      <scheme val="minor"/>
    </font>
    <font>
      <sz val="11"/>
      <name val="Calibri"/>
      <family val="2"/>
      <scheme val="minor"/>
    </font>
    <font>
      <sz val="11"/>
      <color rgb="FF000000"/>
      <name val="Calibri"/>
      <family val="2"/>
    </font>
    <font>
      <sz val="11"/>
      <color theme="1"/>
      <name val="Calibri"/>
      <family val="2"/>
    </font>
    <font>
      <sz val="11"/>
      <color theme="1"/>
      <name val="Cambria"/>
      <family val="1"/>
    </font>
    <font>
      <sz val="11"/>
      <color theme="1"/>
      <name val="Calibri"/>
      <family val="2"/>
      <scheme val="minor"/>
    </font>
    <font>
      <sz val="11"/>
      <name val="Calibri"/>
      <family val="2"/>
      <scheme val="minor"/>
    </font>
    <font>
      <sz val="11"/>
      <color theme="1"/>
      <name val="Calibri"/>
      <family val="2"/>
    </font>
    <font>
      <sz val="11"/>
      <color theme="1"/>
      <name val="Cambria"/>
      <family val="1"/>
    </font>
    <font>
      <sz val="11"/>
      <color theme="1"/>
      <name val="Calibri"/>
      <family val="2"/>
      <scheme val="minor"/>
    </font>
    <font>
      <sz val="11"/>
      <name val="Calibri"/>
      <family val="2"/>
      <scheme val="minor"/>
    </font>
    <font>
      <sz val="11"/>
      <color theme="1"/>
      <name val="Cambria"/>
      <family val="1"/>
    </font>
    <font>
      <sz val="11"/>
      <color theme="1"/>
      <name val="Calibri"/>
      <family val="2"/>
      <scheme val="minor"/>
    </font>
    <font>
      <sz val="11"/>
      <name val="Calibri"/>
      <family val="2"/>
      <scheme val="minor"/>
    </font>
    <font>
      <sz val="11"/>
      <color theme="1"/>
      <name val="Cambria"/>
      <family val="1"/>
    </font>
    <font>
      <sz val="11"/>
      <color theme="1"/>
      <name val="Calibri"/>
      <family val="2"/>
      <scheme val="minor"/>
    </font>
    <font>
      <sz val="11"/>
      <color theme="1"/>
      <name val="Calibri"/>
      <family val="2"/>
    </font>
    <font>
      <sz val="11"/>
      <name val="Calibri"/>
      <scheme val="minor"/>
    </font>
    <font>
      <sz val="11"/>
      <color theme="1"/>
      <name val="Cambria"/>
    </font>
    <font>
      <sz val="11"/>
      <color theme="1"/>
      <name val="Calibri"/>
      <scheme val="minor"/>
    </font>
    <font>
      <sz val="11"/>
      <color theme="1"/>
      <name val="Calibri"/>
    </font>
  </fonts>
  <fills count="21">
    <fill>
      <patternFill patternType="none"/>
    </fill>
    <fill>
      <patternFill patternType="gray125"/>
    </fill>
    <fill>
      <patternFill patternType="solid">
        <fgColor theme="9" tint="0.79998168889431442"/>
        <bgColor indexed="64"/>
      </patternFill>
    </fill>
    <fill>
      <patternFill patternType="solid">
        <fgColor theme="9"/>
        <bgColor indexed="64"/>
      </patternFill>
    </fill>
    <fill>
      <patternFill patternType="solid">
        <fgColor theme="2"/>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7"/>
        <bgColor indexed="64"/>
      </patternFill>
    </fill>
    <fill>
      <patternFill patternType="solid">
        <fgColor theme="2" tint="-9.9978637043366805E-2"/>
        <bgColor indexed="64"/>
      </patternFill>
    </fill>
    <fill>
      <patternFill patternType="solid">
        <fgColor theme="5"/>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0"/>
      </patternFill>
    </fill>
    <fill>
      <patternFill patternType="solid">
        <fgColor theme="9" tint="0.59999389629810485"/>
        <bgColor theme="9" tint="0.59999389629810485"/>
      </patternFill>
    </fill>
    <fill>
      <patternFill patternType="solid">
        <fgColor theme="9" tint="0.79998168889431442"/>
        <bgColor theme="9" tint="0.79998168889431442"/>
      </patternFill>
    </fill>
  </fills>
  <borders count="58">
    <border>
      <left/>
      <right/>
      <top/>
      <bottom/>
      <diagonal/>
    </border>
    <border>
      <left style="dotted">
        <color theme="2" tint="-9.9917600024414813E-2"/>
      </left>
      <right style="dotted">
        <color theme="2" tint="-9.9917600024414813E-2"/>
      </right>
      <top style="dotted">
        <color theme="2" tint="-9.9917600024414813E-2"/>
      </top>
      <bottom style="dotted">
        <color theme="2" tint="-9.9917600024414813E-2"/>
      </bottom>
      <diagonal/>
    </border>
    <border>
      <left/>
      <right style="dotted">
        <color theme="2" tint="-9.9917600024414813E-2"/>
      </right>
      <top/>
      <bottom style="dotted">
        <color theme="2" tint="-9.9917600024414813E-2"/>
      </bottom>
      <diagonal/>
    </border>
    <border>
      <left style="dotted">
        <color theme="2" tint="-9.9917600024414813E-2"/>
      </left>
      <right style="dotted">
        <color theme="2" tint="-9.9917600024414813E-2"/>
      </right>
      <top/>
      <bottom style="dotted">
        <color theme="2" tint="-9.9917600024414813E-2"/>
      </bottom>
      <diagonal/>
    </border>
    <border>
      <left style="dotted">
        <color theme="2" tint="-9.9917600024414813E-2"/>
      </left>
      <right/>
      <top/>
      <bottom style="dotted">
        <color theme="2" tint="-9.9917600024414813E-2"/>
      </bottom>
      <diagonal/>
    </border>
    <border>
      <left/>
      <right style="dotted">
        <color theme="2" tint="-9.9917600024414813E-2"/>
      </right>
      <top style="dotted">
        <color theme="2" tint="-9.9917600024414813E-2"/>
      </top>
      <bottom style="dotted">
        <color theme="2" tint="-9.9917600024414813E-2"/>
      </bottom>
      <diagonal/>
    </border>
    <border>
      <left style="dotted">
        <color theme="2" tint="-9.9917600024414813E-2"/>
      </left>
      <right/>
      <top style="dotted">
        <color theme="2" tint="-9.9917600024414813E-2"/>
      </top>
      <bottom style="dotted">
        <color theme="2" tint="-9.9917600024414813E-2"/>
      </bottom>
      <diagonal/>
    </border>
    <border>
      <left style="dotted">
        <color theme="2" tint="-9.9917600024414813E-2"/>
      </left>
      <right style="dotted">
        <color theme="2" tint="-9.9917600024414813E-2"/>
      </right>
      <top style="dotted">
        <color theme="2" tint="-9.9917600024414813E-2"/>
      </top>
      <bottom/>
      <diagonal/>
    </border>
    <border>
      <left style="dotted">
        <color theme="2" tint="-9.9948118533890809E-2"/>
      </left>
      <right style="dotted">
        <color theme="2" tint="-9.9948118533890809E-2"/>
      </right>
      <top style="dotted">
        <color theme="2" tint="-9.9948118533890809E-2"/>
      </top>
      <bottom style="dotted">
        <color theme="2" tint="-9.9948118533890809E-2"/>
      </bottom>
      <diagonal/>
    </border>
    <border>
      <left style="dotted">
        <color theme="2" tint="-9.9948118533890809E-2"/>
      </left>
      <right style="dotted">
        <color theme="2" tint="-9.9948118533890809E-2"/>
      </right>
      <top/>
      <bottom style="dotted">
        <color theme="2" tint="-9.9948118533890809E-2"/>
      </bottom>
      <diagonal/>
    </border>
    <border>
      <left style="thin">
        <color auto="1"/>
      </left>
      <right/>
      <top/>
      <bottom style="thin">
        <color auto="1"/>
      </bottom>
      <diagonal/>
    </border>
    <border>
      <left/>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hair">
        <color theme="5"/>
      </top>
      <bottom style="hair">
        <color theme="5"/>
      </bottom>
      <diagonal/>
    </border>
    <border>
      <left/>
      <right/>
      <top style="hair">
        <color theme="5"/>
      </top>
      <bottom style="hair">
        <color theme="5"/>
      </bottom>
      <diagonal/>
    </border>
    <border>
      <left/>
      <right style="medium">
        <color indexed="64"/>
      </right>
      <top style="hair">
        <color theme="5"/>
      </top>
      <bottom style="hair">
        <color theme="5"/>
      </bottom>
      <diagonal/>
    </border>
    <border>
      <left style="medium">
        <color indexed="64"/>
      </left>
      <right style="double">
        <color theme="5" tint="0.59996337778862885"/>
      </right>
      <top/>
      <bottom style="medium">
        <color indexed="64"/>
      </bottom>
      <diagonal/>
    </border>
    <border>
      <left style="double">
        <color theme="5" tint="0.59996337778862885"/>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theme="5" tint="0.59996337778862885"/>
      </left>
      <right style="double">
        <color theme="5" tint="0.59996337778862885"/>
      </right>
      <top/>
      <bottom/>
      <diagonal/>
    </border>
    <border>
      <left style="medium">
        <color indexed="64"/>
      </left>
      <right style="hair">
        <color theme="5"/>
      </right>
      <top style="medium">
        <color indexed="64"/>
      </top>
      <bottom style="medium">
        <color indexed="64"/>
      </bottom>
      <diagonal/>
    </border>
    <border>
      <left style="hair">
        <color theme="5"/>
      </left>
      <right style="hair">
        <color theme="5"/>
      </right>
      <top style="medium">
        <color indexed="64"/>
      </top>
      <bottom style="medium">
        <color indexed="64"/>
      </bottom>
      <diagonal/>
    </border>
    <border>
      <left style="hair">
        <color theme="5"/>
      </left>
      <right style="medium">
        <color indexed="64"/>
      </right>
      <top style="medium">
        <color indexed="64"/>
      </top>
      <bottom style="medium">
        <color indexed="64"/>
      </bottom>
      <diagonal/>
    </border>
    <border>
      <left style="medium">
        <color indexed="64"/>
      </left>
      <right style="hair">
        <color theme="5"/>
      </right>
      <top style="medium">
        <color indexed="64"/>
      </top>
      <bottom style="hair">
        <color theme="5"/>
      </bottom>
      <diagonal/>
    </border>
    <border>
      <left style="hair">
        <color theme="5"/>
      </left>
      <right style="hair">
        <color theme="5"/>
      </right>
      <top style="medium">
        <color indexed="64"/>
      </top>
      <bottom style="hair">
        <color theme="5"/>
      </bottom>
      <diagonal/>
    </border>
    <border>
      <left style="hair">
        <color theme="5"/>
      </left>
      <right style="medium">
        <color indexed="64"/>
      </right>
      <top style="medium">
        <color indexed="64"/>
      </top>
      <bottom style="hair">
        <color theme="5"/>
      </bottom>
      <diagonal/>
    </border>
    <border>
      <left style="medium">
        <color indexed="64"/>
      </left>
      <right style="hair">
        <color theme="5"/>
      </right>
      <top style="hair">
        <color theme="5"/>
      </top>
      <bottom style="hair">
        <color theme="5"/>
      </bottom>
      <diagonal/>
    </border>
    <border>
      <left style="hair">
        <color theme="5"/>
      </left>
      <right style="hair">
        <color theme="5"/>
      </right>
      <top style="hair">
        <color theme="5"/>
      </top>
      <bottom style="hair">
        <color theme="5"/>
      </bottom>
      <diagonal/>
    </border>
    <border>
      <left style="hair">
        <color theme="5"/>
      </left>
      <right style="medium">
        <color indexed="64"/>
      </right>
      <top style="hair">
        <color theme="5"/>
      </top>
      <bottom style="hair">
        <color theme="5"/>
      </bottom>
      <diagonal/>
    </border>
    <border>
      <left style="medium">
        <color indexed="64"/>
      </left>
      <right style="hair">
        <color theme="5"/>
      </right>
      <top style="hair">
        <color theme="5"/>
      </top>
      <bottom style="medium">
        <color indexed="64"/>
      </bottom>
      <diagonal/>
    </border>
    <border>
      <left style="hair">
        <color theme="5"/>
      </left>
      <right style="hair">
        <color theme="5"/>
      </right>
      <top style="hair">
        <color theme="5"/>
      </top>
      <bottom style="medium">
        <color indexed="64"/>
      </bottom>
      <diagonal/>
    </border>
    <border>
      <left style="hair">
        <color theme="5"/>
      </left>
      <right style="medium">
        <color indexed="64"/>
      </right>
      <top style="hair">
        <color theme="5"/>
      </top>
      <bottom style="medium">
        <color indexed="64"/>
      </bottom>
      <diagonal/>
    </border>
    <border>
      <left style="medium">
        <color indexed="64"/>
      </left>
      <right style="hair">
        <color theme="5"/>
      </right>
      <top style="medium">
        <color indexed="64"/>
      </top>
      <bottom/>
      <diagonal/>
    </border>
    <border>
      <left style="medium">
        <color indexed="64"/>
      </left>
      <right style="hair">
        <color theme="5"/>
      </right>
      <top/>
      <bottom/>
      <diagonal/>
    </border>
    <border>
      <left style="medium">
        <color indexed="64"/>
      </left>
      <right style="hair">
        <color theme="5"/>
      </right>
      <top/>
      <bottom style="medium">
        <color indexed="64"/>
      </bottom>
      <diagonal/>
    </border>
    <border>
      <left style="medium">
        <color indexed="64"/>
      </left>
      <right style="medium">
        <color indexed="64"/>
      </right>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dotted">
        <color theme="2" tint="-9.9948118533890809E-2"/>
      </left>
      <right style="dotted">
        <color theme="2" tint="-9.9948118533890809E-2"/>
      </right>
      <top/>
      <bottom/>
      <diagonal/>
    </border>
    <border>
      <left style="thin">
        <color indexed="64"/>
      </left>
      <right style="thin">
        <color indexed="64"/>
      </right>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indexed="64"/>
      </top>
      <bottom style="thin">
        <color indexed="64"/>
      </bottom>
      <diagonal/>
    </border>
    <border>
      <left style="dotted">
        <color theme="2" tint="-9.9917600024414813E-2"/>
      </left>
      <right/>
      <top style="dotted">
        <color theme="2" tint="-9.9917600024414813E-2"/>
      </top>
      <bottom/>
      <diagonal/>
    </border>
    <border>
      <left style="hair">
        <color theme="5"/>
      </left>
      <right/>
      <top style="hair">
        <color theme="5"/>
      </top>
      <bottom style="hair">
        <color theme="5"/>
      </bottom>
      <diagonal/>
    </border>
    <border>
      <left style="dotted">
        <color auto="1"/>
      </left>
      <right style="dotted">
        <color auto="1"/>
      </right>
      <top/>
      <bottom style="dotted">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style="dotted">
        <color auto="1"/>
      </right>
      <top/>
      <bottom style="dotted">
        <color auto="1"/>
      </bottom>
      <diagonal/>
    </border>
    <border>
      <left style="thin">
        <color auto="1"/>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s>
  <cellStyleXfs count="1570">
    <xf numFmtId="0" fontId="0"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9" fontId="5" fillId="0" borderId="0" applyFont="0" applyFill="0" applyBorder="0" applyAlignment="0" applyProtection="0"/>
    <xf numFmtId="0" fontId="7" fillId="0" borderId="0">
      <alignment vertical="center"/>
    </xf>
    <xf numFmtId="0" fontId="11" fillId="0" borderId="0" applyNumberFormat="0" applyFill="0" applyBorder="0" applyAlignment="0" applyProtection="0"/>
    <xf numFmtId="0" fontId="2" fillId="0" borderId="0"/>
    <xf numFmtId="0" fontId="15" fillId="0" borderId="0"/>
    <xf numFmtId="9" fontId="7" fillId="0" borderId="0" applyFont="0" applyFill="0" applyBorder="0" applyAlignment="0" applyProtection="0">
      <alignment vertical="center"/>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7" fillId="0" borderId="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cellStyleXfs>
  <cellXfs count="386">
    <xf numFmtId="0" fontId="0" fillId="0" borderId="0" xfId="0"/>
    <xf numFmtId="0" fontId="0" fillId="0" borderId="0" xfId="0" applyAlignment="1">
      <alignment horizontal="center"/>
    </xf>
    <xf numFmtId="164" fontId="0" fillId="0" borderId="0" xfId="0" applyNumberFormat="1" applyAlignment="1">
      <alignment horizontal="center"/>
    </xf>
    <xf numFmtId="1" fontId="0" fillId="0" borderId="0" xfId="0" applyNumberFormat="1"/>
    <xf numFmtId="0" fontId="0" fillId="4" borderId="0" xfId="0" applyFill="1" applyAlignment="1">
      <alignment horizontal="centerContinuous"/>
    </xf>
    <xf numFmtId="0" fontId="6" fillId="8" borderId="0" xfId="0" applyFont="1" applyFill="1" applyAlignment="1">
      <alignment horizontal="centerContinuous"/>
    </xf>
    <xf numFmtId="165" fontId="4" fillId="3" borderId="2" xfId="3" applyNumberFormat="1" applyFont="1" applyFill="1" applyBorder="1" applyAlignment="1">
      <alignment horizontal="center" vertical="center" wrapText="1"/>
    </xf>
    <xf numFmtId="0" fontId="4" fillId="3" borderId="3" xfId="3" applyFont="1" applyFill="1" applyBorder="1" applyAlignment="1">
      <alignment horizontal="center" vertical="center" wrapText="1"/>
    </xf>
    <xf numFmtId="10" fontId="4" fillId="3" borderId="3" xfId="4" applyNumberFormat="1" applyFont="1" applyFill="1" applyBorder="1" applyAlignment="1">
      <alignment horizontal="center" vertical="center" wrapText="1"/>
    </xf>
    <xf numFmtId="10" fontId="4" fillId="3" borderId="4" xfId="4" applyNumberFormat="1" applyFont="1" applyFill="1" applyBorder="1" applyAlignment="1">
      <alignment horizontal="center" vertical="center" wrapText="1"/>
    </xf>
    <xf numFmtId="0" fontId="6" fillId="7" borderId="1" xfId="0" applyFont="1" applyFill="1" applyBorder="1" applyAlignment="1">
      <alignment horizontal="center"/>
    </xf>
    <xf numFmtId="166" fontId="6" fillId="7" borderId="1" xfId="0" applyNumberFormat="1" applyFont="1" applyFill="1" applyBorder="1" applyAlignment="1">
      <alignment horizontal="center"/>
    </xf>
    <xf numFmtId="1" fontId="6" fillId="0" borderId="1" xfId="4" applyNumberFormat="1" applyFont="1" applyFill="1" applyBorder="1" applyAlignment="1">
      <alignment horizontal="center"/>
    </xf>
    <xf numFmtId="168" fontId="6" fillId="7" borderId="1" xfId="1" applyNumberFormat="1" applyFont="1" applyFill="1" applyBorder="1" applyAlignment="1">
      <alignment horizontal="center"/>
    </xf>
    <xf numFmtId="1" fontId="6" fillId="0" borderId="7" xfId="4" applyNumberFormat="1" applyFont="1" applyFill="1" applyBorder="1" applyAlignment="1">
      <alignment horizontal="center"/>
    </xf>
    <xf numFmtId="0" fontId="11" fillId="0" borderId="0" xfId="6"/>
    <xf numFmtId="10" fontId="0" fillId="0" borderId="0" xfId="2" applyNumberFormat="1" applyFont="1" applyAlignment="1">
      <alignment horizontal="center"/>
    </xf>
    <xf numFmtId="0" fontId="4" fillId="3" borderId="9" xfId="3" applyFont="1" applyFill="1" applyBorder="1" applyAlignment="1">
      <alignment horizontal="center" vertical="center" wrapText="1"/>
    </xf>
    <xf numFmtId="2" fontId="10" fillId="7" borderId="8" xfId="0" applyNumberFormat="1" applyFont="1" applyFill="1" applyBorder="1" applyAlignment="1">
      <alignment horizontal="center"/>
    </xf>
    <xf numFmtId="2" fontId="0" fillId="7" borderId="8" xfId="0" applyNumberFormat="1" applyFill="1" applyBorder="1" applyAlignment="1">
      <alignment horizontal="center"/>
    </xf>
    <xf numFmtId="0" fontId="0" fillId="9" borderId="0" xfId="0" applyFill="1" applyAlignment="1">
      <alignment vertical="center"/>
    </xf>
    <xf numFmtId="15" fontId="0" fillId="10" borderId="0" xfId="0" applyNumberFormat="1" applyFill="1" applyAlignment="1">
      <alignment horizontal="center" vertical="center"/>
    </xf>
    <xf numFmtId="0" fontId="3" fillId="0" borderId="0" xfId="0" applyFont="1"/>
    <xf numFmtId="0" fontId="0" fillId="0" borderId="0" xfId="0" applyAlignment="1">
      <alignment vertical="center"/>
    </xf>
    <xf numFmtId="10" fontId="0" fillId="0" borderId="0" xfId="2" applyNumberFormat="1" applyFont="1"/>
    <xf numFmtId="0" fontId="2" fillId="0" borderId="0" xfId="7" applyAlignment="1">
      <alignment horizontal="center"/>
    </xf>
    <xf numFmtId="0" fontId="2" fillId="0" borderId="0" xfId="7"/>
    <xf numFmtId="0" fontId="2" fillId="0" borderId="0" xfId="7" applyAlignment="1">
      <alignment horizontal="right"/>
    </xf>
    <xf numFmtId="0" fontId="14" fillId="15" borderId="15" xfId="0" applyFont="1" applyFill="1" applyBorder="1"/>
    <xf numFmtId="166" fontId="16" fillId="5" borderId="16" xfId="8" applyNumberFormat="1" applyFont="1" applyFill="1" applyBorder="1" applyAlignment="1">
      <alignment horizontal="left" vertical="center"/>
    </xf>
    <xf numFmtId="166" fontId="16" fillId="5" borderId="16" xfId="8" applyNumberFormat="1" applyFont="1" applyFill="1" applyBorder="1" applyAlignment="1">
      <alignment vertical="center"/>
    </xf>
    <xf numFmtId="166" fontId="16" fillId="5" borderId="17" xfId="8" applyNumberFormat="1" applyFont="1" applyFill="1" applyBorder="1" applyAlignment="1">
      <alignment vertical="center"/>
    </xf>
    <xf numFmtId="165" fontId="16" fillId="5" borderId="16" xfId="8" applyNumberFormat="1" applyFont="1" applyFill="1" applyBorder="1" applyAlignment="1">
      <alignment horizontal="left" vertical="center"/>
    </xf>
    <xf numFmtId="0" fontId="9" fillId="0" borderId="0" xfId="8" applyFont="1" applyAlignment="1">
      <alignment horizontal="center" vertical="center"/>
    </xf>
    <xf numFmtId="0" fontId="2" fillId="0" borderId="0" xfId="7" applyAlignment="1">
      <alignment vertical="center"/>
    </xf>
    <xf numFmtId="0" fontId="14" fillId="15" borderId="18" xfId="0" applyFont="1" applyFill="1" applyBorder="1"/>
    <xf numFmtId="165" fontId="16" fillId="5" borderId="19" xfId="8" applyNumberFormat="1" applyFont="1" applyFill="1" applyBorder="1" applyAlignment="1">
      <alignment horizontal="left" vertical="center"/>
    </xf>
    <xf numFmtId="166" fontId="16" fillId="5" borderId="20" xfId="8" applyNumberFormat="1" applyFont="1" applyFill="1" applyBorder="1" applyAlignment="1">
      <alignment vertical="center"/>
    </xf>
    <xf numFmtId="166" fontId="16" fillId="5" borderId="21" xfId="8" applyNumberFormat="1" applyFont="1" applyFill="1" applyBorder="1" applyAlignment="1">
      <alignment vertical="center"/>
    </xf>
    <xf numFmtId="0" fontId="17" fillId="5" borderId="22" xfId="0" applyFont="1" applyFill="1" applyBorder="1"/>
    <xf numFmtId="165" fontId="18" fillId="5" borderId="22" xfId="8" applyNumberFormat="1" applyFont="1" applyFill="1" applyBorder="1" applyAlignment="1">
      <alignment horizontal="left" vertical="center"/>
    </xf>
    <xf numFmtId="0" fontId="14" fillId="15" borderId="23" xfId="0" applyFont="1" applyFill="1" applyBorder="1" applyAlignment="1">
      <alignment horizontal="center" vertical="center" wrapText="1"/>
    </xf>
    <xf numFmtId="0" fontId="14" fillId="15" borderId="24" xfId="0" applyFont="1" applyFill="1" applyBorder="1" applyAlignment="1">
      <alignment horizontal="center" vertical="center" wrapText="1"/>
    </xf>
    <xf numFmtId="0" fontId="14" fillId="15" borderId="25" xfId="0" applyFont="1" applyFill="1" applyBorder="1" applyAlignment="1">
      <alignment horizontal="center" vertical="center" wrapText="1"/>
    </xf>
    <xf numFmtId="0" fontId="17" fillId="5" borderId="27" xfId="0" applyFont="1" applyFill="1" applyBorder="1"/>
    <xf numFmtId="1" fontId="16" fillId="5" borderId="27" xfId="2" applyNumberFormat="1" applyFont="1" applyFill="1" applyBorder="1" applyAlignment="1">
      <alignment horizontal="center" vertical="center"/>
    </xf>
    <xf numFmtId="10" fontId="17" fillId="5" borderId="27" xfId="9" applyNumberFormat="1" applyFont="1" applyFill="1" applyBorder="1" applyAlignment="1">
      <alignment horizontal="center"/>
    </xf>
    <xf numFmtId="0" fontId="17" fillId="5" borderId="30" xfId="0" applyFont="1" applyFill="1" applyBorder="1"/>
    <xf numFmtId="1" fontId="16" fillId="5" borderId="30" xfId="2" applyNumberFormat="1" applyFont="1" applyFill="1" applyBorder="1" applyAlignment="1">
      <alignment horizontal="center" vertical="center"/>
    </xf>
    <xf numFmtId="1" fontId="17" fillId="5" borderId="30" xfId="2" applyNumberFormat="1" applyFont="1" applyFill="1" applyBorder="1" applyAlignment="1">
      <alignment horizontal="center"/>
    </xf>
    <xf numFmtId="10" fontId="17" fillId="5" borderId="30" xfId="9" applyNumberFormat="1" applyFont="1" applyFill="1" applyBorder="1" applyAlignment="1">
      <alignment horizontal="center"/>
    </xf>
    <xf numFmtId="0" fontId="17" fillId="5" borderId="33" xfId="0" applyFont="1" applyFill="1" applyBorder="1"/>
    <xf numFmtId="1" fontId="16" fillId="5" borderId="33" xfId="2" applyNumberFormat="1" applyFont="1" applyFill="1" applyBorder="1" applyAlignment="1">
      <alignment horizontal="center" vertical="center"/>
    </xf>
    <xf numFmtId="1" fontId="17" fillId="5" borderId="33" xfId="2" applyNumberFormat="1" applyFont="1" applyFill="1" applyBorder="1" applyAlignment="1">
      <alignment horizontal="center"/>
    </xf>
    <xf numFmtId="10" fontId="17" fillId="5" borderId="33" xfId="9" applyNumberFormat="1" applyFont="1" applyFill="1" applyBorder="1" applyAlignment="1">
      <alignment horizontal="center"/>
    </xf>
    <xf numFmtId="164" fontId="16" fillId="5" borderId="27" xfId="2" applyNumberFormat="1" applyFont="1" applyFill="1" applyBorder="1" applyAlignment="1">
      <alignment horizontal="center" vertical="center"/>
    </xf>
    <xf numFmtId="164" fontId="17" fillId="5" borderId="27" xfId="2" applyNumberFormat="1" applyFont="1" applyFill="1" applyBorder="1" applyAlignment="1">
      <alignment horizontal="center"/>
    </xf>
    <xf numFmtId="164" fontId="16" fillId="5" borderId="30" xfId="2" applyNumberFormat="1" applyFont="1" applyFill="1" applyBorder="1" applyAlignment="1">
      <alignment horizontal="center" vertical="center"/>
    </xf>
    <xf numFmtId="164" fontId="16" fillId="5" borderId="33" xfId="2" applyNumberFormat="1" applyFont="1" applyFill="1" applyBorder="1" applyAlignment="1">
      <alignment horizontal="center" vertical="center"/>
    </xf>
    <xf numFmtId="164" fontId="17" fillId="5" borderId="33" xfId="2" applyNumberFormat="1" applyFont="1" applyFill="1" applyBorder="1" applyAlignment="1">
      <alignment horizontal="center"/>
    </xf>
    <xf numFmtId="169" fontId="16" fillId="5" borderId="27" xfId="2" applyNumberFormat="1" applyFont="1" applyFill="1" applyBorder="1" applyAlignment="1">
      <alignment horizontal="center" vertical="center"/>
    </xf>
    <xf numFmtId="169" fontId="17" fillId="5" borderId="27" xfId="2" applyNumberFormat="1" applyFont="1" applyFill="1" applyBorder="1" applyAlignment="1">
      <alignment horizontal="center"/>
    </xf>
    <xf numFmtId="169" fontId="16" fillId="5" borderId="30" xfId="2" applyNumberFormat="1" applyFont="1" applyFill="1" applyBorder="1" applyAlignment="1">
      <alignment horizontal="center" vertical="center"/>
    </xf>
    <xf numFmtId="169" fontId="17" fillId="5" borderId="30" xfId="2" applyNumberFormat="1" applyFont="1" applyFill="1" applyBorder="1" applyAlignment="1">
      <alignment horizontal="center"/>
    </xf>
    <xf numFmtId="169" fontId="16" fillId="5" borderId="33" xfId="2" applyNumberFormat="1" applyFont="1" applyFill="1" applyBorder="1" applyAlignment="1">
      <alignment horizontal="center" vertical="center"/>
    </xf>
    <xf numFmtId="169" fontId="17" fillId="5" borderId="33" xfId="2" applyNumberFormat="1" applyFont="1" applyFill="1" applyBorder="1" applyAlignment="1">
      <alignment horizontal="center"/>
    </xf>
    <xf numFmtId="10" fontId="6" fillId="0" borderId="1" xfId="1" applyNumberFormat="1" applyFont="1" applyFill="1" applyBorder="1" applyAlignment="1">
      <alignment horizontal="center"/>
    </xf>
    <xf numFmtId="10" fontId="6" fillId="0" borderId="7" xfId="1" applyNumberFormat="1" applyFont="1" applyFill="1" applyBorder="1" applyAlignment="1">
      <alignment horizontal="center"/>
    </xf>
    <xf numFmtId="10" fontId="4" fillId="3" borderId="3" xfId="0" applyNumberFormat="1" applyFont="1" applyFill="1" applyBorder="1" applyAlignment="1">
      <alignment horizontal="center" vertical="center" wrapText="1"/>
    </xf>
    <xf numFmtId="0" fontId="19" fillId="0" borderId="38" xfId="0" applyFont="1" applyBorder="1" applyAlignment="1">
      <alignment vertical="center"/>
    </xf>
    <xf numFmtId="43" fontId="6" fillId="0" borderId="1" xfId="1" applyFont="1" applyFill="1" applyBorder="1" applyAlignment="1">
      <alignment horizontal="center"/>
    </xf>
    <xf numFmtId="43" fontId="6" fillId="7" borderId="1" xfId="1" applyFont="1" applyFill="1" applyBorder="1" applyAlignment="1">
      <alignment horizontal="center"/>
    </xf>
    <xf numFmtId="43" fontId="0" fillId="0" borderId="0" xfId="1" applyFont="1"/>
    <xf numFmtId="43" fontId="4" fillId="3" borderId="3" xfId="1" applyFont="1" applyFill="1" applyBorder="1" applyAlignment="1">
      <alignment horizontal="center" vertical="center" wrapText="1"/>
    </xf>
    <xf numFmtId="43" fontId="0" fillId="6" borderId="0" xfId="1" applyFont="1" applyFill="1" applyAlignment="1">
      <alignment horizontal="centerContinuous"/>
    </xf>
    <xf numFmtId="43" fontId="0" fillId="0" borderId="0" xfId="0" applyNumberFormat="1"/>
    <xf numFmtId="0" fontId="0" fillId="5" borderId="8" xfId="0" applyFill="1" applyBorder="1"/>
    <xf numFmtId="0" fontId="7" fillId="5" borderId="8" xfId="5" applyFill="1" applyBorder="1" applyAlignment="1">
      <alignment horizontal="left"/>
    </xf>
    <xf numFmtId="0" fontId="6" fillId="5" borderId="8" xfId="0" applyFont="1" applyFill="1" applyBorder="1"/>
    <xf numFmtId="0" fontId="0" fillId="0" borderId="0" xfId="0" applyAlignment="1">
      <alignment horizontal="center" vertical="center"/>
    </xf>
    <xf numFmtId="43" fontId="6" fillId="0" borderId="7" xfId="1" applyFont="1" applyFill="1" applyBorder="1" applyAlignment="1">
      <alignment horizontal="center"/>
    </xf>
    <xf numFmtId="168" fontId="6" fillId="7" borderId="7" xfId="1" applyNumberFormat="1" applyFont="1" applyFill="1" applyBorder="1" applyAlignment="1">
      <alignment horizontal="center"/>
    </xf>
    <xf numFmtId="0" fontId="19" fillId="0" borderId="0" xfId="0" applyFont="1" applyAlignment="1">
      <alignment horizontal="left" vertical="center"/>
    </xf>
    <xf numFmtId="0" fontId="0" fillId="9" borderId="41" xfId="0" applyFill="1" applyBorder="1" applyAlignment="1">
      <alignment vertical="center"/>
    </xf>
    <xf numFmtId="15" fontId="0" fillId="10" borderId="41" xfId="0" applyNumberFormat="1" applyFill="1" applyBorder="1" applyAlignment="1">
      <alignment horizontal="center" vertical="center"/>
    </xf>
    <xf numFmtId="10" fontId="0" fillId="0" borderId="0" xfId="0" applyNumberFormat="1"/>
    <xf numFmtId="2" fontId="0" fillId="0" borderId="0" xfId="0" applyNumberFormat="1"/>
    <xf numFmtId="2" fontId="0" fillId="16" borderId="0" xfId="0" applyNumberFormat="1" applyFill="1"/>
    <xf numFmtId="0" fontId="1" fillId="0" borderId="0" xfId="26"/>
    <xf numFmtId="0" fontId="1" fillId="0" borderId="0" xfId="26" applyAlignment="1">
      <alignment horizontal="center" vertical="center"/>
    </xf>
    <xf numFmtId="0" fontId="1" fillId="0" borderId="0" xfId="26" applyAlignment="1">
      <alignment horizontal="center" vertical="center" wrapText="1"/>
    </xf>
    <xf numFmtId="2" fontId="0" fillId="7" borderId="8" xfId="0" applyNumberFormat="1" applyFill="1" applyBorder="1" applyAlignment="1">
      <alignment horizontal="center" vertical="center"/>
    </xf>
    <xf numFmtId="167" fontId="24" fillId="0" borderId="5" xfId="5" applyNumberFormat="1" applyFont="1" applyBorder="1" applyAlignment="1">
      <alignment horizontal="center" vertical="center"/>
    </xf>
    <xf numFmtId="3" fontId="6" fillId="5" borderId="7" xfId="4" applyNumberFormat="1" applyFont="1" applyFill="1" applyBorder="1" applyAlignment="1">
      <alignment horizontal="center" vertical="center"/>
    </xf>
    <xf numFmtId="0" fontId="0" fillId="2" borderId="0" xfId="0" applyFill="1" applyAlignment="1">
      <alignment horizontal="center" vertical="center"/>
    </xf>
    <xf numFmtId="0" fontId="25" fillId="18" borderId="44" xfId="0" applyFont="1" applyFill="1" applyBorder="1" applyAlignment="1" applyProtection="1">
      <alignment horizontal="right" vertical="top" wrapText="1" readingOrder="1"/>
      <protection locked="0"/>
    </xf>
    <xf numFmtId="0" fontId="25" fillId="18" borderId="44" xfId="0" applyFont="1" applyFill="1" applyBorder="1" applyAlignment="1" applyProtection="1">
      <alignment horizontal="right" vertical="center" wrapText="1" readingOrder="1"/>
      <protection locked="0"/>
    </xf>
    <xf numFmtId="0" fontId="0" fillId="0" borderId="0" xfId="7" applyFont="1"/>
    <xf numFmtId="168" fontId="6" fillId="7" borderId="1" xfId="0" applyNumberFormat="1" applyFont="1" applyFill="1" applyBorder="1" applyAlignment="1">
      <alignment horizontal="center"/>
    </xf>
    <xf numFmtId="1" fontId="6" fillId="5" borderId="1" xfId="0" applyNumberFormat="1" applyFont="1" applyFill="1" applyBorder="1" applyAlignment="1">
      <alignment horizontal="center"/>
    </xf>
    <xf numFmtId="10" fontId="6" fillId="7" borderId="6" xfId="0" applyNumberFormat="1" applyFont="1" applyFill="1" applyBorder="1" applyAlignment="1">
      <alignment horizontal="center"/>
    </xf>
    <xf numFmtId="0" fontId="8" fillId="12" borderId="43" xfId="0" applyFont="1" applyFill="1" applyBorder="1" applyAlignment="1">
      <alignment horizontal="center" vertical="center" wrapText="1"/>
    </xf>
    <xf numFmtId="2" fontId="6" fillId="0" borderId="1" xfId="1" applyNumberFormat="1" applyFont="1" applyFill="1" applyBorder="1" applyAlignment="1">
      <alignment horizontal="center"/>
    </xf>
    <xf numFmtId="164" fontId="17" fillId="5" borderId="47" xfId="2" applyNumberFormat="1" applyFont="1" applyFill="1" applyBorder="1" applyAlignment="1">
      <alignment horizontal="center"/>
    </xf>
    <xf numFmtId="0" fontId="0" fillId="0" borderId="0" xfId="0" applyAlignment="1">
      <alignment horizontal="left" vertical="top"/>
    </xf>
    <xf numFmtId="43" fontId="0" fillId="0" borderId="0" xfId="1" applyFont="1" applyBorder="1"/>
    <xf numFmtId="0" fontId="4" fillId="3" borderId="48" xfId="794" applyFont="1" applyFill="1" applyBorder="1" applyAlignment="1">
      <alignment horizontal="center" vertical="center" wrapText="1"/>
    </xf>
    <xf numFmtId="0" fontId="27" fillId="0" borderId="0" xfId="795"/>
    <xf numFmtId="0" fontId="27" fillId="0" borderId="0" xfId="795" applyAlignment="1">
      <alignment horizontal="center" vertical="center"/>
    </xf>
    <xf numFmtId="2" fontId="0" fillId="0" borderId="0" xfId="796" applyNumberFormat="1" applyFont="1" applyFill="1" applyAlignment="1">
      <alignment horizontal="center" vertical="center"/>
    </xf>
    <xf numFmtId="164" fontId="0" fillId="0" borderId="0" xfId="796" applyNumberFormat="1" applyFont="1" applyFill="1" applyBorder="1" applyAlignment="1">
      <alignment horizontal="center" vertical="center"/>
    </xf>
    <xf numFmtId="2" fontId="0" fillId="0" borderId="0" xfId="796" applyNumberFormat="1" applyFont="1" applyFill="1" applyBorder="1" applyAlignment="1">
      <alignment horizontal="center" vertical="center"/>
    </xf>
    <xf numFmtId="9" fontId="0" fillId="0" borderId="0" xfId="2" applyFont="1"/>
    <xf numFmtId="2" fontId="27" fillId="0" borderId="0" xfId="795" applyNumberFormat="1" applyAlignment="1">
      <alignment horizontal="center" vertical="center"/>
    </xf>
    <xf numFmtId="17" fontId="0" fillId="0" borderId="52" xfId="797" applyNumberFormat="1" applyFont="1" applyFill="1" applyBorder="1" applyAlignment="1">
      <alignment horizontal="center" vertical="center"/>
    </xf>
    <xf numFmtId="0" fontId="0" fillId="0" borderId="52" xfId="797" applyNumberFormat="1" applyFont="1" applyFill="1" applyBorder="1" applyAlignment="1">
      <alignment horizontal="center" vertical="center"/>
    </xf>
    <xf numFmtId="10" fontId="0" fillId="0" borderId="52" xfId="796" applyNumberFormat="1" applyFont="1" applyFill="1" applyBorder="1" applyAlignment="1">
      <alignment horizontal="center" vertical="center"/>
    </xf>
    <xf numFmtId="0" fontId="0" fillId="0" borderId="53" xfId="797" applyNumberFormat="1" applyFont="1" applyFill="1" applyBorder="1" applyAlignment="1">
      <alignment horizontal="center" vertical="center"/>
    </xf>
    <xf numFmtId="10" fontId="0" fillId="0" borderId="53" xfId="796" applyNumberFormat="1" applyFont="1" applyFill="1" applyBorder="1" applyAlignment="1">
      <alignment horizontal="center" vertical="center"/>
    </xf>
    <xf numFmtId="10" fontId="27" fillId="0" borderId="0" xfId="795" applyNumberFormat="1" applyAlignment="1">
      <alignment horizontal="center" vertical="center"/>
    </xf>
    <xf numFmtId="164" fontId="27" fillId="0" borderId="53" xfId="795" applyNumberFormat="1" applyBorder="1" applyAlignment="1">
      <alignment horizontal="center" vertical="center"/>
    </xf>
    <xf numFmtId="0" fontId="8" fillId="0" borderId="51" xfId="795" applyFont="1" applyBorder="1" applyAlignment="1">
      <alignment horizontal="center" vertical="center" wrapText="1"/>
    </xf>
    <xf numFmtId="0" fontId="27" fillId="0" borderId="52" xfId="795" applyBorder="1" applyAlignment="1">
      <alignment horizontal="center" vertical="center"/>
    </xf>
    <xf numFmtId="0" fontId="27" fillId="0" borderId="53" xfId="795" applyBorder="1" applyAlignment="1">
      <alignment horizontal="center" vertical="center"/>
    </xf>
    <xf numFmtId="2" fontId="27" fillId="0" borderId="52" xfId="795" applyNumberFormat="1" applyBorder="1" applyAlignment="1">
      <alignment horizontal="center" vertical="center"/>
    </xf>
    <xf numFmtId="164" fontId="27" fillId="0" borderId="52" xfId="795" applyNumberFormat="1" applyBorder="1" applyAlignment="1">
      <alignment horizontal="center" vertical="center"/>
    </xf>
    <xf numFmtId="1" fontId="27" fillId="0" borderId="52" xfId="795" applyNumberFormat="1" applyBorder="1" applyAlignment="1">
      <alignment horizontal="center" vertical="center"/>
    </xf>
    <xf numFmtId="2" fontId="27" fillId="0" borderId="53" xfId="795" applyNumberFormat="1" applyBorder="1" applyAlignment="1">
      <alignment horizontal="center" vertical="center"/>
    </xf>
    <xf numFmtId="1" fontId="27" fillId="0" borderId="53" xfId="795" applyNumberFormat="1" applyBorder="1" applyAlignment="1">
      <alignment horizontal="center" vertical="center"/>
    </xf>
    <xf numFmtId="1" fontId="0" fillId="0" borderId="53" xfId="795" applyNumberFormat="1" applyFont="1" applyBorder="1" applyAlignment="1">
      <alignment horizontal="center" vertical="center"/>
    </xf>
    <xf numFmtId="2" fontId="0" fillId="0" borderId="53" xfId="795" applyNumberFormat="1" applyFont="1" applyBorder="1" applyAlignment="1">
      <alignment horizontal="center" vertical="center"/>
    </xf>
    <xf numFmtId="164" fontId="0" fillId="0" borderId="53" xfId="795" applyNumberFormat="1" applyFont="1" applyBorder="1" applyAlignment="1">
      <alignment horizontal="center" vertical="center"/>
    </xf>
    <xf numFmtId="9" fontId="0" fillId="0" borderId="0" xfId="2" applyFont="1" applyFill="1" applyAlignment="1">
      <alignment horizontal="center" vertical="center"/>
    </xf>
    <xf numFmtId="165" fontId="4" fillId="0" borderId="48" xfId="794" applyNumberFormat="1" applyFont="1" applyBorder="1" applyAlignment="1">
      <alignment horizontal="center" vertical="center" wrapText="1"/>
    </xf>
    <xf numFmtId="0" fontId="4" fillId="0" borderId="48" xfId="794" applyFont="1" applyBorder="1" applyAlignment="1">
      <alignment horizontal="center" vertical="center" wrapText="1"/>
    </xf>
    <xf numFmtId="0" fontId="8" fillId="0" borderId="48" xfId="795" applyFont="1" applyBorder="1" applyAlignment="1">
      <alignment horizontal="center" vertical="center" wrapText="1"/>
    </xf>
    <xf numFmtId="9" fontId="8" fillId="0" borderId="48" xfId="2" applyFont="1" applyFill="1" applyBorder="1" applyAlignment="1">
      <alignment horizontal="center" vertical="center" wrapText="1"/>
    </xf>
    <xf numFmtId="15" fontId="27" fillId="0" borderId="0" xfId="795" applyNumberFormat="1" applyAlignment="1">
      <alignment horizontal="center" vertical="center"/>
    </xf>
    <xf numFmtId="1" fontId="27" fillId="0" borderId="0" xfId="795" applyNumberFormat="1" applyAlignment="1">
      <alignment horizontal="center" vertical="center"/>
    </xf>
    <xf numFmtId="17" fontId="27" fillId="0" borderId="0" xfId="795" applyNumberFormat="1" applyAlignment="1">
      <alignment horizontal="center" vertical="center"/>
    </xf>
    <xf numFmtId="10" fontId="26" fillId="0" borderId="0" xfId="796" applyNumberFormat="1" applyFont="1" applyFill="1" applyAlignment="1">
      <alignment horizontal="center" vertical="center"/>
    </xf>
    <xf numFmtId="169" fontId="0" fillId="0" borderId="0" xfId="796" applyNumberFormat="1" applyFont="1" applyFill="1" applyAlignment="1">
      <alignment horizontal="center" vertical="center"/>
    </xf>
    <xf numFmtId="10" fontId="0" fillId="0" borderId="0" xfId="796" applyNumberFormat="1" applyFont="1" applyFill="1" applyAlignment="1">
      <alignment horizontal="center" vertical="center"/>
    </xf>
    <xf numFmtId="164" fontId="27" fillId="0" borderId="0" xfId="795" applyNumberFormat="1" applyAlignment="1">
      <alignment horizontal="center" vertical="center"/>
    </xf>
    <xf numFmtId="165" fontId="4" fillId="3" borderId="54" xfId="794" applyNumberFormat="1" applyFont="1" applyFill="1" applyBorder="1" applyAlignment="1">
      <alignment horizontal="center" vertical="center" wrapText="1"/>
    </xf>
    <xf numFmtId="15" fontId="27" fillId="19" borderId="49" xfId="795" applyNumberFormat="1" applyFill="1" applyBorder="1" applyAlignment="1">
      <alignment horizontal="center" vertical="center"/>
    </xf>
    <xf numFmtId="1" fontId="27" fillId="19" borderId="50" xfId="795" applyNumberFormat="1" applyFill="1" applyBorder="1" applyAlignment="1">
      <alignment horizontal="center" vertical="center"/>
    </xf>
    <xf numFmtId="0" fontId="27" fillId="19" borderId="50" xfId="795" applyFill="1" applyBorder="1" applyAlignment="1">
      <alignment horizontal="center" vertical="center"/>
    </xf>
    <xf numFmtId="17" fontId="27" fillId="19" borderId="50" xfId="795" applyNumberFormat="1" applyFill="1" applyBorder="1" applyAlignment="1">
      <alignment horizontal="center" vertical="center"/>
    </xf>
    <xf numFmtId="15" fontId="27" fillId="20" borderId="49" xfId="795" applyNumberFormat="1" applyFill="1" applyBorder="1" applyAlignment="1">
      <alignment horizontal="center" vertical="center"/>
    </xf>
    <xf numFmtId="1" fontId="27" fillId="20" borderId="50" xfId="795" applyNumberFormat="1" applyFill="1" applyBorder="1" applyAlignment="1">
      <alignment horizontal="center" vertical="center"/>
    </xf>
    <xf numFmtId="0" fontId="27" fillId="20" borderId="50" xfId="795" applyFill="1" applyBorder="1" applyAlignment="1">
      <alignment horizontal="center" vertical="center"/>
    </xf>
    <xf numFmtId="17" fontId="27" fillId="20" borderId="50" xfId="795" applyNumberFormat="1" applyFill="1" applyBorder="1" applyAlignment="1">
      <alignment horizontal="center" vertical="center"/>
    </xf>
    <xf numFmtId="17" fontId="3" fillId="12" borderId="45" xfId="0" applyNumberFormat="1" applyFont="1" applyFill="1" applyBorder="1" applyAlignment="1">
      <alignment horizontal="center" vertical="center"/>
    </xf>
    <xf numFmtId="0" fontId="8" fillId="12" borderId="45" xfId="0" applyFont="1" applyFill="1" applyBorder="1" applyAlignment="1">
      <alignment horizontal="center" vertical="center"/>
    </xf>
    <xf numFmtId="0" fontId="8" fillId="12" borderId="45" xfId="0" applyFont="1" applyFill="1" applyBorder="1" applyAlignment="1">
      <alignment horizontal="center" vertical="center" wrapText="1"/>
    </xf>
    <xf numFmtId="1" fontId="3" fillId="12" borderId="45" xfId="0" applyNumberFormat="1" applyFont="1" applyFill="1" applyBorder="1" applyAlignment="1">
      <alignment horizontal="center" vertical="center"/>
    </xf>
    <xf numFmtId="1" fontId="0" fillId="13" borderId="45" xfId="0" applyNumberFormat="1" applyFill="1" applyBorder="1" applyAlignment="1">
      <alignment horizontal="center" vertical="center"/>
    </xf>
    <xf numFmtId="2" fontId="0" fillId="13" borderId="45" xfId="0" applyNumberFormat="1" applyFill="1" applyBorder="1" applyAlignment="1">
      <alignment horizontal="center" vertical="center"/>
    </xf>
    <xf numFmtId="2" fontId="0" fillId="14" borderId="45" xfId="0" applyNumberFormat="1" applyFill="1" applyBorder="1" applyAlignment="1">
      <alignment horizontal="center" vertical="center"/>
    </xf>
    <xf numFmtId="1" fontId="0" fillId="14" borderId="45" xfId="0" applyNumberFormat="1" applyFill="1" applyBorder="1" applyAlignment="1">
      <alignment horizontal="center" vertical="center"/>
    </xf>
    <xf numFmtId="169" fontId="0" fillId="13" borderId="45" xfId="2" applyNumberFormat="1" applyFont="1" applyFill="1" applyBorder="1" applyAlignment="1">
      <alignment horizontal="center" vertical="center"/>
    </xf>
    <xf numFmtId="169" fontId="0" fillId="14" borderId="45" xfId="2" applyNumberFormat="1" applyFont="1" applyFill="1" applyBorder="1" applyAlignment="1">
      <alignment horizontal="center" vertical="center"/>
    </xf>
    <xf numFmtId="10" fontId="0" fillId="14" borderId="45" xfId="2" applyNumberFormat="1" applyFont="1" applyFill="1" applyBorder="1" applyAlignment="1">
      <alignment horizontal="center" vertical="center"/>
    </xf>
    <xf numFmtId="0" fontId="8" fillId="12" borderId="45" xfId="0" applyFont="1" applyFill="1" applyBorder="1" applyAlignment="1">
      <alignment vertical="center"/>
    </xf>
    <xf numFmtId="0" fontId="0" fillId="9" borderId="45" xfId="0" applyFill="1" applyBorder="1" applyAlignment="1">
      <alignment vertical="center"/>
    </xf>
    <xf numFmtId="15" fontId="0" fillId="10" borderId="45" xfId="0" applyNumberFormat="1" applyFill="1" applyBorder="1" applyAlignment="1">
      <alignment horizontal="center" vertical="center"/>
    </xf>
    <xf numFmtId="0" fontId="0" fillId="0" borderId="45" xfId="0" applyBorder="1" applyAlignment="1">
      <alignment horizontal="left" vertical="top"/>
    </xf>
    <xf numFmtId="10" fontId="4" fillId="3" borderId="45" xfId="4" applyNumberFormat="1" applyFont="1" applyFill="1" applyBorder="1" applyAlignment="1">
      <alignment horizontal="center" vertical="center" wrapText="1"/>
    </xf>
    <xf numFmtId="10" fontId="0" fillId="0" borderId="45" xfId="2" applyNumberFormat="1" applyFont="1" applyBorder="1"/>
    <xf numFmtId="0" fontId="0" fillId="16" borderId="45" xfId="0" applyFill="1" applyBorder="1" applyAlignment="1">
      <alignment horizontal="left" vertical="top"/>
    </xf>
    <xf numFmtId="43" fontId="0" fillId="0" borderId="45" xfId="1" applyFont="1" applyBorder="1"/>
    <xf numFmtId="9" fontId="0" fillId="0" borderId="45" xfId="2" applyFont="1" applyBorder="1"/>
    <xf numFmtId="0" fontId="0" fillId="0" borderId="45" xfId="0" applyBorder="1"/>
    <xf numFmtId="169" fontId="0" fillId="0" borderId="45" xfId="2" applyNumberFormat="1" applyFont="1" applyBorder="1"/>
    <xf numFmtId="0" fontId="0" fillId="0" borderId="45" xfId="0" pivotButton="1" applyBorder="1"/>
    <xf numFmtId="0" fontId="20" fillId="17" borderId="45" xfId="0" applyFont="1" applyFill="1" applyBorder="1" applyAlignment="1">
      <alignment horizontal="center" vertical="center"/>
    </xf>
    <xf numFmtId="0" fontId="0" fillId="0" borderId="45" xfId="0" applyBorder="1" applyAlignment="1">
      <alignment horizontal="left"/>
    </xf>
    <xf numFmtId="43" fontId="0" fillId="0" borderId="45" xfId="0" applyNumberFormat="1" applyBorder="1"/>
    <xf numFmtId="43" fontId="0" fillId="0" borderId="45" xfId="1" applyFont="1" applyBorder="1" applyAlignment="1">
      <alignment horizontal="center" vertical="center"/>
    </xf>
    <xf numFmtId="10" fontId="4" fillId="3" borderId="3" xfId="3" applyNumberFormat="1" applyFont="1" applyFill="1" applyBorder="1" applyAlignment="1">
      <alignment horizontal="center" vertical="center" wrapText="1"/>
    </xf>
    <xf numFmtId="0" fontId="6" fillId="0" borderId="3" xfId="1" applyNumberFormat="1" applyFont="1" applyFill="1" applyBorder="1" applyAlignment="1">
      <alignment horizontal="center"/>
    </xf>
    <xf numFmtId="168" fontId="6" fillId="7" borderId="7" xfId="0" applyNumberFormat="1" applyFont="1" applyFill="1" applyBorder="1" applyAlignment="1">
      <alignment horizontal="center"/>
    </xf>
    <xf numFmtId="1" fontId="6" fillId="5" borderId="7" xfId="0" applyNumberFormat="1" applyFont="1" applyFill="1" applyBorder="1" applyAlignment="1">
      <alignment horizontal="center"/>
    </xf>
    <xf numFmtId="10" fontId="6" fillId="7" borderId="46" xfId="0" applyNumberFormat="1" applyFont="1" applyFill="1" applyBorder="1" applyAlignment="1">
      <alignment horizontal="center"/>
    </xf>
    <xf numFmtId="43" fontId="6" fillId="7" borderId="7" xfId="1" applyFont="1" applyFill="1" applyBorder="1" applyAlignment="1">
      <alignment horizontal="center"/>
    </xf>
    <xf numFmtId="1" fontId="6" fillId="0" borderId="1" xfId="798" applyNumberFormat="1" applyFont="1" applyFill="1" applyBorder="1" applyAlignment="1">
      <alignment horizontal="center"/>
    </xf>
    <xf numFmtId="171" fontId="17" fillId="5" borderId="27" xfId="2" applyNumberFormat="1" applyFont="1" applyFill="1" applyBorder="1" applyAlignment="1">
      <alignment horizontal="center"/>
    </xf>
    <xf numFmtId="171" fontId="17" fillId="5" borderId="30" xfId="2" applyNumberFormat="1" applyFont="1" applyFill="1" applyBorder="1" applyAlignment="1">
      <alignment horizontal="center"/>
    </xf>
    <xf numFmtId="171" fontId="17" fillId="5" borderId="33" xfId="2" applyNumberFormat="1" applyFont="1" applyFill="1" applyBorder="1" applyAlignment="1">
      <alignment horizontal="center"/>
    </xf>
    <xf numFmtId="172" fontId="6" fillId="7" borderId="1" xfId="0" applyNumberFormat="1" applyFont="1" applyFill="1" applyBorder="1" applyAlignment="1">
      <alignment horizontal="center"/>
    </xf>
    <xf numFmtId="166" fontId="16" fillId="5" borderId="16" xfId="8" applyNumberFormat="1" applyFont="1" applyFill="1" applyBorder="1" applyAlignment="1" applyProtection="1">
      <alignment horizontal="left" vertical="center"/>
      <protection locked="0"/>
    </xf>
    <xf numFmtId="165" fontId="16" fillId="5" borderId="16" xfId="8" applyNumberFormat="1" applyFont="1" applyFill="1" applyBorder="1" applyAlignment="1" applyProtection="1">
      <alignment horizontal="left" vertical="center"/>
      <protection locked="0"/>
    </xf>
    <xf numFmtId="1" fontId="17" fillId="5" borderId="28" xfId="0" applyNumberFormat="1" applyFont="1" applyFill="1" applyBorder="1" applyProtection="1">
      <protection locked="0"/>
    </xf>
    <xf numFmtId="0" fontId="17" fillId="5" borderId="31" xfId="0" applyFont="1" applyFill="1" applyBorder="1" applyProtection="1">
      <protection locked="0"/>
    </xf>
    <xf numFmtId="0" fontId="17" fillId="5" borderId="34" xfId="0" applyFont="1" applyFill="1" applyBorder="1" applyProtection="1">
      <protection locked="0"/>
    </xf>
    <xf numFmtId="0" fontId="17" fillId="5" borderId="17" xfId="0" applyFont="1" applyFill="1" applyBorder="1" applyProtection="1">
      <protection locked="0"/>
    </xf>
    <xf numFmtId="10" fontId="2" fillId="0" borderId="0" xfId="2" applyNumberFormat="1" applyFont="1" applyAlignment="1">
      <alignment horizontal="center" vertical="center"/>
    </xf>
    <xf numFmtId="1" fontId="6" fillId="0" borderId="0" xfId="795" applyNumberFormat="1" applyFont="1" applyAlignment="1">
      <alignment horizontal="center" vertical="center"/>
    </xf>
    <xf numFmtId="1" fontId="6" fillId="0" borderId="7" xfId="4" applyNumberFormat="1" applyFont="1" applyFill="1" applyBorder="1" applyAlignment="1">
      <alignment horizontal="center" vertical="center"/>
    </xf>
    <xf numFmtId="43" fontId="6" fillId="0" borderId="7" xfId="1" applyFont="1" applyFill="1" applyBorder="1" applyAlignment="1" applyProtection="1">
      <alignment horizontal="center"/>
      <protection locked="0"/>
    </xf>
    <xf numFmtId="168" fontId="28" fillId="7" borderId="1" xfId="0" applyNumberFormat="1" applyFont="1" applyFill="1" applyBorder="1" applyAlignment="1">
      <alignment horizontal="center"/>
    </xf>
    <xf numFmtId="43" fontId="28" fillId="7" borderId="1" xfId="1" applyFont="1" applyFill="1" applyBorder="1" applyAlignment="1">
      <alignment horizontal="center"/>
    </xf>
    <xf numFmtId="1" fontId="28" fillId="5" borderId="1" xfId="0" applyNumberFormat="1" applyFont="1" applyFill="1" applyBorder="1" applyAlignment="1">
      <alignment horizontal="center"/>
    </xf>
    <xf numFmtId="43" fontId="28" fillId="0" borderId="1" xfId="1" applyFont="1" applyFill="1" applyBorder="1" applyAlignment="1">
      <alignment horizontal="center"/>
    </xf>
    <xf numFmtId="1" fontId="28" fillId="0" borderId="1" xfId="4" applyNumberFormat="1" applyFont="1" applyFill="1" applyBorder="1" applyAlignment="1">
      <alignment horizontal="center"/>
    </xf>
    <xf numFmtId="168" fontId="28" fillId="7" borderId="1" xfId="1" applyNumberFormat="1" applyFont="1" applyFill="1" applyBorder="1" applyAlignment="1">
      <alignment horizontal="center"/>
    </xf>
    <xf numFmtId="10" fontId="28" fillId="7" borderId="6" xfId="0" applyNumberFormat="1" applyFont="1" applyFill="1" applyBorder="1" applyAlignment="1">
      <alignment horizontal="center"/>
    </xf>
    <xf numFmtId="10" fontId="28" fillId="0" borderId="1" xfId="1" applyNumberFormat="1" applyFont="1" applyFill="1" applyBorder="1" applyAlignment="1">
      <alignment horizontal="center"/>
    </xf>
    <xf numFmtId="0" fontId="0" fillId="0" borderId="45" xfId="0" applyBorder="1" applyAlignment="1">
      <alignment horizontal="center" vertical="center"/>
    </xf>
    <xf numFmtId="0" fontId="19" fillId="0" borderId="45" xfId="0" applyFont="1" applyBorder="1" applyAlignment="1">
      <alignment horizontal="left" vertical="center"/>
    </xf>
    <xf numFmtId="1" fontId="28" fillId="0" borderId="7" xfId="4" applyNumberFormat="1" applyFont="1" applyFill="1" applyBorder="1" applyAlignment="1">
      <alignment horizontal="center" vertical="center"/>
    </xf>
    <xf numFmtId="43" fontId="28" fillId="0" borderId="7" xfId="1" applyFont="1" applyFill="1" applyBorder="1" applyAlignment="1" applyProtection="1">
      <alignment horizontal="center"/>
      <protection locked="0"/>
    </xf>
    <xf numFmtId="168" fontId="28" fillId="7" borderId="7" xfId="0" applyNumberFormat="1" applyFont="1" applyFill="1" applyBorder="1" applyAlignment="1">
      <alignment horizontal="center"/>
    </xf>
    <xf numFmtId="43" fontId="28" fillId="7" borderId="7" xfId="1" applyFont="1" applyFill="1" applyBorder="1" applyAlignment="1">
      <alignment horizontal="center"/>
    </xf>
    <xf numFmtId="1" fontId="28" fillId="5" borderId="7" xfId="0" applyNumberFormat="1" applyFont="1" applyFill="1" applyBorder="1" applyAlignment="1">
      <alignment horizontal="center"/>
    </xf>
    <xf numFmtId="43" fontId="28" fillId="0" borderId="7" xfId="1" applyFont="1" applyFill="1" applyBorder="1" applyAlignment="1">
      <alignment horizontal="center"/>
    </xf>
    <xf numFmtId="1" fontId="28" fillId="0" borderId="7" xfId="4" applyNumberFormat="1" applyFont="1" applyFill="1" applyBorder="1" applyAlignment="1">
      <alignment horizontal="center"/>
    </xf>
    <xf numFmtId="168" fontId="28" fillId="7" borderId="7" xfId="1" applyNumberFormat="1" applyFont="1" applyFill="1" applyBorder="1" applyAlignment="1">
      <alignment horizontal="center"/>
    </xf>
    <xf numFmtId="10" fontId="28" fillId="7" borderId="46" xfId="0" applyNumberFormat="1" applyFont="1" applyFill="1" applyBorder="1" applyAlignment="1">
      <alignment horizontal="center"/>
    </xf>
    <xf numFmtId="10" fontId="28" fillId="0" borderId="7" xfId="1" applyNumberFormat="1" applyFont="1" applyFill="1" applyBorder="1" applyAlignment="1">
      <alignment horizontal="center"/>
    </xf>
    <xf numFmtId="168" fontId="29" fillId="7" borderId="1" xfId="0" applyNumberFormat="1" applyFont="1" applyFill="1" applyBorder="1" applyAlignment="1">
      <alignment horizontal="center"/>
    </xf>
    <xf numFmtId="43" fontId="29" fillId="7" borderId="1" xfId="1" applyFont="1" applyFill="1" applyBorder="1" applyAlignment="1">
      <alignment horizontal="center"/>
    </xf>
    <xf numFmtId="1" fontId="29" fillId="5" borderId="1" xfId="0" applyNumberFormat="1" applyFont="1" applyFill="1" applyBorder="1" applyAlignment="1">
      <alignment horizontal="center"/>
    </xf>
    <xf numFmtId="43" fontId="29" fillId="0" borderId="1" xfId="1" applyFont="1" applyFill="1" applyBorder="1" applyAlignment="1">
      <alignment horizontal="center"/>
    </xf>
    <xf numFmtId="1" fontId="29" fillId="0" borderId="1" xfId="4" applyNumberFormat="1" applyFont="1" applyFill="1" applyBorder="1" applyAlignment="1">
      <alignment horizontal="center"/>
    </xf>
    <xf numFmtId="168" fontId="29" fillId="7" borderId="1" xfId="1" applyNumberFormat="1" applyFont="1" applyFill="1" applyBorder="1" applyAlignment="1">
      <alignment horizontal="center"/>
    </xf>
    <xf numFmtId="10" fontId="29" fillId="7" borderId="6" xfId="0" applyNumberFormat="1" applyFont="1" applyFill="1" applyBorder="1" applyAlignment="1">
      <alignment horizontal="center"/>
    </xf>
    <xf numFmtId="10" fontId="29" fillId="0" borderId="1" xfId="1" applyNumberFormat="1" applyFont="1" applyFill="1" applyBorder="1" applyAlignment="1">
      <alignment horizontal="center"/>
    </xf>
    <xf numFmtId="168" fontId="30" fillId="7" borderId="7" xfId="0" applyNumberFormat="1" applyFont="1" applyFill="1" applyBorder="1" applyAlignment="1">
      <alignment horizontal="center"/>
    </xf>
    <xf numFmtId="43" fontId="30" fillId="7" borderId="7" xfId="1" applyFont="1" applyFill="1" applyBorder="1" applyAlignment="1">
      <alignment horizontal="center"/>
    </xf>
    <xf numFmtId="1" fontId="30" fillId="5" borderId="7" xfId="0" applyNumberFormat="1" applyFont="1" applyFill="1" applyBorder="1" applyAlignment="1">
      <alignment horizontal="center"/>
    </xf>
    <xf numFmtId="43" fontId="30" fillId="0" borderId="7" xfId="1" applyFont="1" applyFill="1" applyBorder="1" applyAlignment="1">
      <alignment horizontal="center"/>
    </xf>
    <xf numFmtId="1" fontId="30" fillId="0" borderId="7" xfId="4" applyNumberFormat="1" applyFont="1" applyFill="1" applyBorder="1" applyAlignment="1">
      <alignment horizontal="center"/>
    </xf>
    <xf numFmtId="168" fontId="30" fillId="7" borderId="7" xfId="1" applyNumberFormat="1" applyFont="1" applyFill="1" applyBorder="1" applyAlignment="1">
      <alignment horizontal="center"/>
    </xf>
    <xf numFmtId="10" fontId="30" fillId="7" borderId="46" xfId="0" applyNumberFormat="1" applyFont="1" applyFill="1" applyBorder="1" applyAlignment="1">
      <alignment horizontal="center"/>
    </xf>
    <xf numFmtId="10" fontId="30" fillId="0" borderId="7" xfId="1" applyNumberFormat="1" applyFont="1" applyFill="1" applyBorder="1" applyAlignment="1">
      <alignment horizontal="center"/>
    </xf>
    <xf numFmtId="15" fontId="31" fillId="0" borderId="0" xfId="26" applyNumberFormat="1" applyFont="1" applyAlignment="1">
      <alignment horizontal="center" vertical="center"/>
    </xf>
    <xf numFmtId="15" fontId="1" fillId="0" borderId="0" xfId="26" applyNumberFormat="1" applyAlignment="1">
      <alignment horizontal="center" vertical="center"/>
    </xf>
    <xf numFmtId="15" fontId="23" fillId="0" borderId="0" xfId="0" applyNumberFormat="1" applyFont="1" applyAlignment="1">
      <alignment horizontal="center" vertical="center"/>
    </xf>
    <xf numFmtId="15" fontId="31" fillId="0" borderId="0" xfId="0" applyNumberFormat="1" applyFont="1" applyAlignment="1">
      <alignment horizontal="center" vertical="center"/>
    </xf>
    <xf numFmtId="0" fontId="22" fillId="0" borderId="0" xfId="0" applyFont="1" applyAlignment="1">
      <alignment horizontal="center"/>
    </xf>
    <xf numFmtId="15" fontId="22" fillId="0" borderId="0" xfId="0" applyNumberFormat="1" applyFont="1" applyAlignment="1">
      <alignment horizontal="center"/>
    </xf>
    <xf numFmtId="168" fontId="30" fillId="7" borderId="1" xfId="0" applyNumberFormat="1" applyFont="1" applyFill="1" applyBorder="1" applyAlignment="1">
      <alignment horizontal="center"/>
    </xf>
    <xf numFmtId="43" fontId="30" fillId="7" borderId="1" xfId="1" applyFont="1" applyFill="1" applyBorder="1" applyAlignment="1">
      <alignment horizontal="center"/>
    </xf>
    <xf numFmtId="1" fontId="30" fillId="5" borderId="1" xfId="0" applyNumberFormat="1" applyFont="1" applyFill="1" applyBorder="1" applyAlignment="1">
      <alignment horizontal="center"/>
    </xf>
    <xf numFmtId="43" fontId="30" fillId="0" borderId="1" xfId="1" applyFont="1" applyFill="1" applyBorder="1" applyAlignment="1">
      <alignment horizontal="center"/>
    </xf>
    <xf numFmtId="1" fontId="30" fillId="0" borderId="1" xfId="4" applyNumberFormat="1" applyFont="1" applyFill="1" applyBorder="1" applyAlignment="1">
      <alignment horizontal="center"/>
    </xf>
    <xf numFmtId="168" fontId="30" fillId="7" borderId="1" xfId="1" applyNumberFormat="1" applyFont="1" applyFill="1" applyBorder="1" applyAlignment="1">
      <alignment horizontal="center"/>
    </xf>
    <xf numFmtId="10" fontId="30" fillId="7" borderId="6" xfId="0" applyNumberFormat="1" applyFont="1" applyFill="1" applyBorder="1" applyAlignment="1">
      <alignment horizontal="center"/>
    </xf>
    <xf numFmtId="10" fontId="30" fillId="0" borderId="1" xfId="1" applyNumberFormat="1" applyFont="1" applyFill="1" applyBorder="1" applyAlignment="1">
      <alignment horizontal="center"/>
    </xf>
    <xf numFmtId="168" fontId="32" fillId="7" borderId="1" xfId="0" applyNumberFormat="1" applyFont="1" applyFill="1" applyBorder="1" applyAlignment="1">
      <alignment horizontal="center"/>
    </xf>
    <xf numFmtId="43" fontId="32" fillId="7" borderId="1" xfId="1" applyFont="1" applyFill="1" applyBorder="1" applyAlignment="1">
      <alignment horizontal="center"/>
    </xf>
    <xf numFmtId="1" fontId="32" fillId="5" borderId="1" xfId="0" applyNumberFormat="1" applyFont="1" applyFill="1" applyBorder="1" applyAlignment="1">
      <alignment horizontal="center"/>
    </xf>
    <xf numFmtId="43" fontId="32" fillId="0" borderId="1" xfId="1" applyFont="1" applyFill="1" applyBorder="1" applyAlignment="1">
      <alignment horizontal="center"/>
    </xf>
    <xf numFmtId="1" fontId="32" fillId="0" borderId="1" xfId="4" applyNumberFormat="1" applyFont="1" applyFill="1" applyBorder="1" applyAlignment="1">
      <alignment horizontal="center"/>
    </xf>
    <xf numFmtId="168" fontId="32" fillId="7" borderId="1" xfId="1" applyNumberFormat="1" applyFont="1" applyFill="1" applyBorder="1" applyAlignment="1">
      <alignment horizontal="center"/>
    </xf>
    <xf numFmtId="10" fontId="32" fillId="7" borderId="6" xfId="0" applyNumberFormat="1" applyFont="1" applyFill="1" applyBorder="1" applyAlignment="1">
      <alignment horizontal="center"/>
    </xf>
    <xf numFmtId="10" fontId="32" fillId="0" borderId="1" xfId="1" applyNumberFormat="1" applyFont="1" applyFill="1" applyBorder="1" applyAlignment="1">
      <alignment horizontal="center"/>
    </xf>
    <xf numFmtId="168" fontId="33" fillId="7" borderId="1" xfId="0" applyNumberFormat="1" applyFont="1" applyFill="1" applyBorder="1" applyAlignment="1">
      <alignment horizontal="center"/>
    </xf>
    <xf numFmtId="43" fontId="33" fillId="7" borderId="1" xfId="1" applyFont="1" applyFill="1" applyBorder="1" applyAlignment="1">
      <alignment horizontal="center"/>
    </xf>
    <xf numFmtId="1" fontId="33" fillId="5" borderId="1" xfId="0" applyNumberFormat="1" applyFont="1" applyFill="1" applyBorder="1" applyAlignment="1">
      <alignment horizontal="center"/>
    </xf>
    <xf numFmtId="43" fontId="33" fillId="0" borderId="1" xfId="1" applyFont="1" applyFill="1" applyBorder="1" applyAlignment="1">
      <alignment horizontal="center"/>
    </xf>
    <xf numFmtId="1" fontId="33" fillId="0" borderId="1" xfId="4" applyNumberFormat="1" applyFont="1" applyFill="1" applyBorder="1" applyAlignment="1">
      <alignment horizontal="center"/>
    </xf>
    <xf numFmtId="168" fontId="33" fillId="7" borderId="1" xfId="1" applyNumberFormat="1" applyFont="1" applyFill="1" applyBorder="1" applyAlignment="1">
      <alignment horizontal="center"/>
    </xf>
    <xf numFmtId="10" fontId="33" fillId="7" borderId="6" xfId="0" applyNumberFormat="1" applyFont="1" applyFill="1" applyBorder="1" applyAlignment="1">
      <alignment horizontal="center"/>
    </xf>
    <xf numFmtId="10" fontId="33" fillId="0" borderId="1" xfId="1" applyNumberFormat="1" applyFont="1" applyFill="1" applyBorder="1" applyAlignment="1">
      <alignment horizontal="center"/>
    </xf>
    <xf numFmtId="2" fontId="0" fillId="0" borderId="45" xfId="0" applyNumberFormat="1" applyBorder="1"/>
    <xf numFmtId="0" fontId="2" fillId="0" borderId="0" xfId="1567" applyAlignment="1">
      <alignment horizontal="center" vertical="center"/>
    </xf>
    <xf numFmtId="0" fontId="25" fillId="18" borderId="44" xfId="0" applyFont="1" applyFill="1" applyBorder="1" applyAlignment="1" applyProtection="1">
      <alignment vertical="center" wrapText="1" readingOrder="1"/>
      <protection locked="0"/>
    </xf>
    <xf numFmtId="0" fontId="25" fillId="18" borderId="44" xfId="0" applyFont="1" applyFill="1" applyBorder="1" applyAlignment="1" applyProtection="1">
      <alignment vertical="top" wrapText="1" readingOrder="1"/>
      <protection locked="0"/>
    </xf>
    <xf numFmtId="168" fontId="34" fillId="7" borderId="1" xfId="0" applyNumberFormat="1" applyFont="1" applyFill="1" applyBorder="1" applyAlignment="1">
      <alignment horizontal="center"/>
    </xf>
    <xf numFmtId="43" fontId="34" fillId="7" borderId="1" xfId="1" applyFont="1" applyFill="1" applyBorder="1" applyAlignment="1">
      <alignment horizontal="center"/>
    </xf>
    <xf numFmtId="1" fontId="34" fillId="5" borderId="1" xfId="0" applyNumberFormat="1" applyFont="1" applyFill="1" applyBorder="1" applyAlignment="1">
      <alignment horizontal="center"/>
    </xf>
    <xf numFmtId="43" fontId="34" fillId="0" borderId="1" xfId="1" applyFont="1" applyFill="1" applyBorder="1" applyAlignment="1">
      <alignment horizontal="center"/>
    </xf>
    <xf numFmtId="1" fontId="34" fillId="0" borderId="1" xfId="4" applyNumberFormat="1" applyFont="1" applyFill="1" applyBorder="1" applyAlignment="1">
      <alignment horizontal="center"/>
    </xf>
    <xf numFmtId="168" fontId="34" fillId="7" borderId="1" xfId="1" applyNumberFormat="1" applyFont="1" applyFill="1" applyBorder="1" applyAlignment="1">
      <alignment horizontal="center"/>
    </xf>
    <xf numFmtId="10" fontId="34" fillId="7" borderId="6" xfId="0" applyNumberFormat="1" applyFont="1" applyFill="1" applyBorder="1" applyAlignment="1">
      <alignment horizontal="center"/>
    </xf>
    <xf numFmtId="10" fontId="34" fillId="0" borderId="1" xfId="1" applyNumberFormat="1" applyFont="1" applyFill="1" applyBorder="1" applyAlignment="1">
      <alignment horizontal="center"/>
    </xf>
    <xf numFmtId="0" fontId="4" fillId="3" borderId="0" xfId="3" applyFont="1" applyFill="1" applyAlignment="1">
      <alignment horizontal="center" vertical="center" wrapText="1"/>
    </xf>
    <xf numFmtId="165" fontId="4" fillId="3" borderId="0" xfId="3" applyNumberFormat="1" applyFont="1" applyFill="1" applyAlignment="1">
      <alignment horizontal="center" vertical="center" wrapText="1"/>
    </xf>
    <xf numFmtId="43" fontId="4" fillId="3" borderId="0" xfId="1" applyFont="1" applyFill="1" applyAlignment="1">
      <alignment horizontal="center" vertical="center" wrapText="1"/>
    </xf>
    <xf numFmtId="0" fontId="4" fillId="3" borderId="43" xfId="0" applyFont="1" applyFill="1" applyBorder="1" applyAlignment="1">
      <alignment horizontal="center" vertical="center" wrapText="1"/>
    </xf>
    <xf numFmtId="1" fontId="0" fillId="0" borderId="0" xfId="0" applyNumberFormat="1" applyAlignment="1">
      <alignment horizontal="center" vertical="center"/>
    </xf>
    <xf numFmtId="17" fontId="0" fillId="0" borderId="0" xfId="0" applyNumberFormat="1" applyAlignment="1">
      <alignment horizontal="center" vertical="center"/>
    </xf>
    <xf numFmtId="15" fontId="0" fillId="0" borderId="0" xfId="0" applyNumberFormat="1" applyAlignment="1">
      <alignment horizontal="center" vertical="center"/>
    </xf>
    <xf numFmtId="169" fontId="0" fillId="0" borderId="0" xfId="0" applyNumberFormat="1" applyAlignment="1">
      <alignment horizontal="center" vertical="center"/>
    </xf>
    <xf numFmtId="20" fontId="26" fillId="0" borderId="0" xfId="0" applyNumberFormat="1" applyFont="1" applyAlignment="1">
      <alignment horizontal="center" vertical="center"/>
    </xf>
    <xf numFmtId="0" fontId="2" fillId="0" borderId="0" xfId="0" applyFont="1" applyAlignment="1">
      <alignment horizontal="center" vertical="center"/>
    </xf>
    <xf numFmtId="43" fontId="0" fillId="0" borderId="0" xfId="1" applyFont="1" applyFill="1" applyAlignment="1">
      <alignment horizontal="center" vertical="center"/>
    </xf>
    <xf numFmtId="9" fontId="0" fillId="0" borderId="0" xfId="0" applyNumberFormat="1" applyAlignment="1">
      <alignment horizontal="center" vertical="center"/>
    </xf>
    <xf numFmtId="0" fontId="35" fillId="0" borderId="0" xfId="0" applyFont="1"/>
    <xf numFmtId="0" fontId="4" fillId="3" borderId="56" xfId="3" applyFont="1" applyFill="1" applyBorder="1" applyAlignment="1">
      <alignment horizontal="center" vertical="center" wrapText="1"/>
    </xf>
    <xf numFmtId="0" fontId="4" fillId="3" borderId="57" xfId="3" applyFont="1" applyFill="1" applyBorder="1" applyAlignment="1">
      <alignment horizontal="center" vertical="center" wrapText="1"/>
    </xf>
    <xf numFmtId="165" fontId="4" fillId="3" borderId="57" xfId="3" applyNumberFormat="1" applyFont="1" applyFill="1" applyBorder="1" applyAlignment="1">
      <alignment horizontal="center" vertical="center" wrapText="1"/>
    </xf>
    <xf numFmtId="10" fontId="0" fillId="0" borderId="0" xfId="2" applyNumberFormat="1" applyFont="1" applyAlignment="1">
      <alignment horizontal="center" vertical="center"/>
    </xf>
    <xf numFmtId="0" fontId="0" fillId="0" borderId="0" xfId="0" applyAlignment="1">
      <alignment horizontal="left" vertical="center"/>
    </xf>
    <xf numFmtId="170" fontId="0" fillId="0" borderId="0" xfId="0" applyNumberFormat="1" applyAlignment="1">
      <alignment horizontal="center" vertical="center"/>
    </xf>
    <xf numFmtId="2" fontId="0" fillId="0" borderId="0" xfId="0" applyNumberFormat="1" applyAlignment="1">
      <alignment horizontal="center" vertical="center"/>
    </xf>
    <xf numFmtId="170" fontId="0" fillId="0" borderId="0" xfId="0" applyNumberFormat="1" applyAlignment="1">
      <alignment horizontal="center"/>
    </xf>
    <xf numFmtId="20" fontId="0" fillId="0" borderId="0" xfId="0" applyNumberFormat="1" applyAlignment="1">
      <alignment horizontal="center"/>
    </xf>
    <xf numFmtId="0" fontId="10" fillId="0" borderId="0" xfId="0" applyFont="1" applyAlignment="1">
      <alignment horizontal="left"/>
    </xf>
    <xf numFmtId="43" fontId="0" fillId="0" borderId="0" xfId="1" applyFont="1" applyAlignment="1">
      <alignment horizontal="center"/>
    </xf>
    <xf numFmtId="169" fontId="0" fillId="0" borderId="0" xfId="2" applyNumberFormat="1" applyFont="1" applyFill="1" applyAlignment="1">
      <alignment horizontal="center"/>
    </xf>
    <xf numFmtId="0" fontId="4" fillId="3" borderId="42" xfId="3" applyFont="1" applyFill="1" applyBorder="1" applyAlignment="1">
      <alignment horizontal="center" vertical="center" wrapText="1"/>
    </xf>
    <xf numFmtId="2" fontId="0" fillId="7" borderId="0" xfId="0" applyNumberFormat="1" applyFill="1" applyAlignment="1">
      <alignment horizontal="center" vertical="center"/>
    </xf>
    <xf numFmtId="20" fontId="36" fillId="0" borderId="0" xfId="0" applyNumberFormat="1" applyFont="1" applyAlignment="1">
      <alignment horizontal="center" vertical="center"/>
    </xf>
    <xf numFmtId="2" fontId="37" fillId="7" borderId="0" xfId="0" applyNumberFormat="1" applyFont="1" applyFill="1" applyAlignment="1">
      <alignment horizontal="center" vertical="center"/>
    </xf>
    <xf numFmtId="43" fontId="38" fillId="0" borderId="0" xfId="1" applyFont="1" applyFill="1" applyAlignment="1">
      <alignment horizontal="center" vertical="center"/>
    </xf>
    <xf numFmtId="168" fontId="39" fillId="7" borderId="1" xfId="0" applyNumberFormat="1" applyFont="1" applyFill="1" applyBorder="1" applyAlignment="1">
      <alignment horizontal="center"/>
    </xf>
    <xf numFmtId="43" fontId="39" fillId="7" borderId="1" xfId="1" applyFont="1" applyFill="1" applyBorder="1" applyAlignment="1">
      <alignment horizontal="center"/>
    </xf>
    <xf numFmtId="1" fontId="39" fillId="5" borderId="1" xfId="0" applyNumberFormat="1" applyFont="1" applyFill="1" applyBorder="1" applyAlignment="1">
      <alignment horizontal="center"/>
    </xf>
    <xf numFmtId="43" fontId="39" fillId="0" borderId="1" xfId="1" applyFont="1" applyFill="1" applyBorder="1" applyAlignment="1">
      <alignment horizontal="center"/>
    </xf>
    <xf numFmtId="1" fontId="39" fillId="0" borderId="1" xfId="4" applyNumberFormat="1" applyFont="1" applyFill="1" applyBorder="1" applyAlignment="1">
      <alignment horizontal="center"/>
    </xf>
    <xf numFmtId="168" fontId="39" fillId="7" borderId="1" xfId="1" applyNumberFormat="1" applyFont="1" applyFill="1" applyBorder="1" applyAlignment="1">
      <alignment horizontal="center"/>
    </xf>
    <xf numFmtId="10" fontId="39" fillId="7" borderId="6" xfId="0" applyNumberFormat="1" applyFont="1" applyFill="1" applyBorder="1" applyAlignment="1">
      <alignment horizontal="center"/>
    </xf>
    <xf numFmtId="10" fontId="39" fillId="0" borderId="1" xfId="1" applyNumberFormat="1" applyFont="1" applyFill="1" applyBorder="1" applyAlignment="1">
      <alignment horizontal="center"/>
    </xf>
    <xf numFmtId="2" fontId="37" fillId="0" borderId="0" xfId="0" applyNumberFormat="1" applyFont="1" applyAlignment="1">
      <alignment horizontal="center" vertical="center"/>
    </xf>
    <xf numFmtId="20" fontId="40" fillId="0" borderId="0" xfId="0" applyNumberFormat="1" applyFont="1" applyAlignment="1">
      <alignment horizontal="center" vertical="center"/>
    </xf>
    <xf numFmtId="2" fontId="41" fillId="0" borderId="0" xfId="0" applyNumberFormat="1" applyFont="1" applyAlignment="1">
      <alignment horizontal="center" vertical="center"/>
    </xf>
    <xf numFmtId="43" fontId="42" fillId="0" borderId="0" xfId="1" applyFont="1" applyFill="1" applyAlignment="1">
      <alignment horizontal="center" vertical="center"/>
    </xf>
    <xf numFmtId="168" fontId="43" fillId="7" borderId="1" xfId="0" applyNumberFormat="1" applyFont="1" applyFill="1" applyBorder="1" applyAlignment="1">
      <alignment horizontal="center"/>
    </xf>
    <xf numFmtId="43" fontId="43" fillId="7" borderId="1" xfId="1" applyFont="1" applyFill="1" applyBorder="1" applyAlignment="1">
      <alignment horizontal="center"/>
    </xf>
    <xf numFmtId="1" fontId="43" fillId="5" borderId="1" xfId="0" applyNumberFormat="1" applyFont="1" applyFill="1" applyBorder="1" applyAlignment="1">
      <alignment horizontal="center"/>
    </xf>
    <xf numFmtId="43" fontId="43" fillId="0" borderId="1" xfId="1" applyFont="1" applyFill="1" applyBorder="1" applyAlignment="1">
      <alignment horizontal="center"/>
    </xf>
    <xf numFmtId="1" fontId="43" fillId="0" borderId="1" xfId="4" applyNumberFormat="1" applyFont="1" applyFill="1" applyBorder="1" applyAlignment="1">
      <alignment horizontal="center"/>
    </xf>
    <xf numFmtId="168" fontId="43" fillId="7" borderId="1" xfId="1" applyNumberFormat="1" applyFont="1" applyFill="1" applyBorder="1" applyAlignment="1">
      <alignment horizontal="center"/>
    </xf>
    <xf numFmtId="10" fontId="43" fillId="7" borderId="6" xfId="0" applyNumberFormat="1" applyFont="1" applyFill="1" applyBorder="1" applyAlignment="1">
      <alignment horizontal="center"/>
    </xf>
    <xf numFmtId="10" fontId="43" fillId="0" borderId="1" xfId="1" applyNumberFormat="1" applyFont="1" applyFill="1" applyBorder="1" applyAlignment="1">
      <alignment horizontal="center"/>
    </xf>
    <xf numFmtId="2" fontId="10" fillId="0" borderId="0" xfId="0" applyNumberFormat="1" applyFont="1" applyAlignment="1">
      <alignment horizontal="center" vertical="center"/>
    </xf>
    <xf numFmtId="20" fontId="0" fillId="0" borderId="0" xfId="0" applyNumberFormat="1" applyAlignment="1">
      <alignment horizontal="center" vertical="center"/>
    </xf>
    <xf numFmtId="2" fontId="44" fillId="0" borderId="0" xfId="0" applyNumberFormat="1" applyFont="1" applyAlignment="1">
      <alignment horizontal="center" vertical="center"/>
    </xf>
    <xf numFmtId="43" fontId="45" fillId="0" borderId="0" xfId="1" applyFont="1" applyFill="1" applyAlignment="1">
      <alignment horizontal="center" vertical="center"/>
    </xf>
    <xf numFmtId="168" fontId="46" fillId="7" borderId="1" xfId="0" applyNumberFormat="1" applyFont="1" applyFill="1" applyBorder="1" applyAlignment="1">
      <alignment horizontal="center"/>
    </xf>
    <xf numFmtId="43" fontId="46" fillId="7" borderId="1" xfId="1" applyFont="1" applyFill="1" applyBorder="1" applyAlignment="1">
      <alignment horizontal="center"/>
    </xf>
    <xf numFmtId="1" fontId="46" fillId="5" borderId="1" xfId="0" applyNumberFormat="1" applyFont="1" applyFill="1" applyBorder="1" applyAlignment="1">
      <alignment horizontal="center"/>
    </xf>
    <xf numFmtId="43" fontId="46" fillId="0" borderId="1" xfId="1" applyFont="1" applyFill="1" applyBorder="1" applyAlignment="1">
      <alignment horizontal="center"/>
    </xf>
    <xf numFmtId="1" fontId="46" fillId="0" borderId="1" xfId="4" applyNumberFormat="1" applyFont="1" applyFill="1" applyBorder="1" applyAlignment="1">
      <alignment horizontal="center"/>
    </xf>
    <xf numFmtId="168" fontId="46" fillId="7" borderId="1" xfId="1" applyNumberFormat="1" applyFont="1" applyFill="1" applyBorder="1" applyAlignment="1">
      <alignment horizontal="center"/>
    </xf>
    <xf numFmtId="10" fontId="46" fillId="7" borderId="6" xfId="0" applyNumberFormat="1" applyFont="1" applyFill="1" applyBorder="1" applyAlignment="1">
      <alignment horizontal="center"/>
    </xf>
    <xf numFmtId="10" fontId="46" fillId="0" borderId="1" xfId="1" applyNumberFormat="1" applyFont="1" applyFill="1" applyBorder="1" applyAlignment="1">
      <alignment horizontal="center"/>
    </xf>
    <xf numFmtId="173" fontId="0" fillId="0" borderId="0" xfId="0" applyNumberFormat="1" applyAlignment="1">
      <alignment horizontal="center" vertical="center"/>
    </xf>
    <xf numFmtId="2" fontId="47" fillId="0" borderId="0" xfId="0" applyNumberFormat="1" applyFont="1" applyAlignment="1">
      <alignment horizontal="center" vertical="center"/>
    </xf>
    <xf numFmtId="43" fontId="48" fillId="0" borderId="0" xfId="1" applyFont="1" applyFill="1" applyAlignment="1">
      <alignment horizontal="center" vertical="center"/>
    </xf>
    <xf numFmtId="20" fontId="49" fillId="0" borderId="0" xfId="0" applyNumberFormat="1" applyFont="1" applyAlignment="1">
      <alignment horizontal="center" vertical="center"/>
    </xf>
    <xf numFmtId="168" fontId="50" fillId="7" borderId="1" xfId="0" applyNumberFormat="1" applyFont="1" applyFill="1" applyBorder="1" applyAlignment="1">
      <alignment horizontal="center"/>
    </xf>
    <xf numFmtId="43" fontId="50" fillId="7" borderId="1" xfId="1" applyFont="1" applyFill="1" applyBorder="1" applyAlignment="1">
      <alignment horizontal="center"/>
    </xf>
    <xf numFmtId="1" fontId="50" fillId="5" borderId="1" xfId="0" applyNumberFormat="1" applyFont="1" applyFill="1" applyBorder="1" applyAlignment="1">
      <alignment horizontal="center"/>
    </xf>
    <xf numFmtId="43" fontId="50" fillId="0" borderId="1" xfId="1" applyFont="1" applyFill="1" applyBorder="1" applyAlignment="1">
      <alignment horizontal="center"/>
    </xf>
    <xf numFmtId="1" fontId="50" fillId="0" borderId="1" xfId="4" applyNumberFormat="1" applyFont="1" applyFill="1" applyBorder="1" applyAlignment="1">
      <alignment horizontal="center"/>
    </xf>
    <xf numFmtId="168" fontId="50" fillId="7" borderId="1" xfId="1" applyNumberFormat="1" applyFont="1" applyFill="1" applyBorder="1" applyAlignment="1">
      <alignment horizontal="center"/>
    </xf>
    <xf numFmtId="10" fontId="50" fillId="7" borderId="6" xfId="0" applyNumberFormat="1" applyFont="1" applyFill="1" applyBorder="1" applyAlignment="1">
      <alignment horizontal="center"/>
    </xf>
    <xf numFmtId="10" fontId="50" fillId="0" borderId="1" xfId="1" applyNumberFormat="1" applyFont="1" applyFill="1" applyBorder="1" applyAlignment="1">
      <alignment horizontal="center"/>
    </xf>
    <xf numFmtId="2" fontId="51" fillId="0" borderId="0" xfId="0" applyNumberFormat="1" applyFont="1" applyAlignment="1">
      <alignment horizontal="center" vertical="center"/>
    </xf>
    <xf numFmtId="43" fontId="52" fillId="0" borderId="0" xfId="1" applyFont="1" applyFill="1" applyAlignment="1">
      <alignment horizontal="center" vertical="center"/>
    </xf>
    <xf numFmtId="20" fontId="53" fillId="0" borderId="0" xfId="0" applyNumberFormat="1" applyFont="1" applyAlignment="1">
      <alignment horizontal="center" vertical="center"/>
    </xf>
    <xf numFmtId="10" fontId="52" fillId="0" borderId="0" xfId="2" applyNumberFormat="1" applyFont="1" applyFill="1" applyAlignment="1">
      <alignment horizontal="center"/>
    </xf>
    <xf numFmtId="2" fontId="51" fillId="7" borderId="8" xfId="0" applyNumberFormat="1" applyFont="1" applyFill="1" applyBorder="1" applyAlignment="1">
      <alignment horizontal="center"/>
    </xf>
    <xf numFmtId="0" fontId="51" fillId="0" borderId="0" xfId="0" applyFont="1" applyAlignment="1">
      <alignment horizontal="left"/>
    </xf>
    <xf numFmtId="43" fontId="52" fillId="0" borderId="0" xfId="1" applyFont="1" applyAlignment="1">
      <alignment horizontal="center"/>
    </xf>
    <xf numFmtId="168" fontId="50" fillId="7" borderId="7" xfId="0" applyNumberFormat="1" applyFont="1" applyFill="1" applyBorder="1" applyAlignment="1">
      <alignment horizontal="center"/>
    </xf>
    <xf numFmtId="43" fontId="50" fillId="7" borderId="7" xfId="1" applyFont="1" applyFill="1" applyBorder="1" applyAlignment="1">
      <alignment horizontal="center"/>
    </xf>
    <xf numFmtId="1" fontId="50" fillId="5" borderId="7" xfId="0" applyNumberFormat="1" applyFont="1" applyFill="1" applyBorder="1" applyAlignment="1">
      <alignment horizontal="center"/>
    </xf>
    <xf numFmtId="43" fontId="50" fillId="0" borderId="7" xfId="1" applyFont="1" applyFill="1" applyBorder="1" applyAlignment="1">
      <alignment horizontal="center"/>
    </xf>
    <xf numFmtId="1" fontId="50" fillId="0" borderId="7" xfId="4" applyNumberFormat="1" applyFont="1" applyFill="1" applyBorder="1" applyAlignment="1">
      <alignment horizontal="center"/>
    </xf>
    <xf numFmtId="168" fontId="50" fillId="7" borderId="7" xfId="1" applyNumberFormat="1" applyFont="1" applyFill="1" applyBorder="1" applyAlignment="1">
      <alignment horizontal="center"/>
    </xf>
    <xf numFmtId="10" fontId="50" fillId="7" borderId="46" xfId="0" applyNumberFormat="1" applyFont="1" applyFill="1" applyBorder="1" applyAlignment="1">
      <alignment horizontal="center"/>
    </xf>
    <xf numFmtId="10" fontId="50" fillId="0" borderId="7" xfId="1" applyNumberFormat="1" applyFont="1" applyFill="1" applyBorder="1" applyAlignment="1">
      <alignment horizontal="center"/>
    </xf>
    <xf numFmtId="0" fontId="17" fillId="5" borderId="35" xfId="0" applyFont="1" applyFill="1" applyBorder="1" applyAlignment="1">
      <alignment horizontal="center" vertical="center"/>
    </xf>
    <xf numFmtId="0" fontId="17" fillId="5" borderId="36" xfId="0" applyFont="1" applyFill="1" applyBorder="1" applyAlignment="1">
      <alignment horizontal="center" vertical="center"/>
    </xf>
    <xf numFmtId="0" fontId="17" fillId="5" borderId="37" xfId="0" applyFont="1" applyFill="1" applyBorder="1" applyAlignment="1">
      <alignment horizontal="center" vertical="center"/>
    </xf>
    <xf numFmtId="0" fontId="13" fillId="15" borderId="12" xfId="0" applyFont="1" applyFill="1" applyBorder="1" applyAlignment="1">
      <alignment horizontal="center" vertical="center"/>
    </xf>
    <xf numFmtId="0" fontId="13" fillId="15" borderId="13" xfId="0" applyFont="1" applyFill="1" applyBorder="1" applyAlignment="1">
      <alignment horizontal="center" vertical="center"/>
    </xf>
    <xf numFmtId="0" fontId="13" fillId="15" borderId="14" xfId="0" applyFont="1" applyFill="1" applyBorder="1" applyAlignment="1">
      <alignment horizontal="center" vertical="center"/>
    </xf>
    <xf numFmtId="0" fontId="17" fillId="5" borderId="26" xfId="0" applyFont="1" applyFill="1" applyBorder="1" applyAlignment="1">
      <alignment horizontal="center" vertical="center"/>
    </xf>
    <xf numFmtId="0" fontId="17" fillId="5" borderId="29" xfId="0" applyFont="1" applyFill="1" applyBorder="1" applyAlignment="1">
      <alignment horizontal="center" vertical="center"/>
    </xf>
    <xf numFmtId="0" fontId="17" fillId="5" borderId="32" xfId="0" applyFont="1" applyFill="1" applyBorder="1" applyAlignment="1">
      <alignment horizontal="center" vertical="center"/>
    </xf>
    <xf numFmtId="0" fontId="12" fillId="11" borderId="10" xfId="0" applyFont="1" applyFill="1" applyBorder="1" applyAlignment="1">
      <alignment horizontal="center" vertical="center"/>
    </xf>
    <xf numFmtId="0" fontId="12" fillId="11" borderId="11" xfId="0" applyFont="1" applyFill="1" applyBorder="1" applyAlignment="1">
      <alignment horizontal="center" vertical="center"/>
    </xf>
    <xf numFmtId="0" fontId="12" fillId="11" borderId="55" xfId="0" applyFont="1" applyFill="1" applyBorder="1" applyAlignment="1">
      <alignment horizontal="center" vertical="center"/>
    </xf>
    <xf numFmtId="0" fontId="12" fillId="11" borderId="0" xfId="0" applyFont="1" applyFill="1" applyAlignment="1">
      <alignment horizontal="center" vertical="center"/>
    </xf>
    <xf numFmtId="0" fontId="0" fillId="0" borderId="45"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21" fillId="0" borderId="45" xfId="0" applyFont="1" applyBorder="1" applyAlignment="1">
      <alignment horizontal="center" vertical="center"/>
    </xf>
  </cellXfs>
  <cellStyles count="1570">
    <cellStyle name="Comma" xfId="1" builtinId="3"/>
    <cellStyle name="Comma 10" xfId="218" xr:uid="{00000000-0005-0000-0000-000001000000}"/>
    <cellStyle name="Comma 10 2" xfId="602" xr:uid="{00000000-0005-0000-0000-000002000000}"/>
    <cellStyle name="Comma 10 2 2" xfId="1375" xr:uid="{00000000-0005-0000-0000-000003000000}"/>
    <cellStyle name="Comma 10 3" xfId="991" xr:uid="{00000000-0005-0000-0000-000004000000}"/>
    <cellStyle name="Comma 11" xfId="410" xr:uid="{00000000-0005-0000-0000-000005000000}"/>
    <cellStyle name="Comma 11 2" xfId="1183" xr:uid="{00000000-0005-0000-0000-000006000000}"/>
    <cellStyle name="Comma 12" xfId="798" xr:uid="{00000000-0005-0000-0000-000007000000}"/>
    <cellStyle name="Comma 12 2" xfId="1569" xr:uid="{00000000-0005-0000-0000-000008000000}"/>
    <cellStyle name="Comma 13" xfId="799" xr:uid="{00000000-0005-0000-0000-000009000000}"/>
    <cellStyle name="Comma 2" xfId="27" xr:uid="{00000000-0005-0000-0000-00000A000000}"/>
    <cellStyle name="Comma 2 10" xfId="411" xr:uid="{00000000-0005-0000-0000-00000B000000}"/>
    <cellStyle name="Comma 2 10 2" xfId="1184" xr:uid="{00000000-0005-0000-0000-00000C000000}"/>
    <cellStyle name="Comma 2 11" xfId="800" xr:uid="{00000000-0005-0000-0000-00000D000000}"/>
    <cellStyle name="Comma 2 2" xfId="29" xr:uid="{00000000-0005-0000-0000-00000E000000}"/>
    <cellStyle name="Comma 2 2 10" xfId="802" xr:uid="{00000000-0005-0000-0000-00000F000000}"/>
    <cellStyle name="Comma 2 2 2" xfId="33" xr:uid="{00000000-0005-0000-0000-000010000000}"/>
    <cellStyle name="Comma 2 2 2 2" xfId="41" xr:uid="{00000000-0005-0000-0000-000011000000}"/>
    <cellStyle name="Comma 2 2 2 2 2" xfId="65" xr:uid="{00000000-0005-0000-0000-000012000000}"/>
    <cellStyle name="Comma 2 2 2 2 2 2" xfId="113" xr:uid="{00000000-0005-0000-0000-000013000000}"/>
    <cellStyle name="Comma 2 2 2 2 2 2 2" xfId="209" xr:uid="{00000000-0005-0000-0000-000014000000}"/>
    <cellStyle name="Comma 2 2 2 2 2 2 2 2" xfId="401" xr:uid="{00000000-0005-0000-0000-000015000000}"/>
    <cellStyle name="Comma 2 2 2 2 2 2 2 2 2" xfId="785" xr:uid="{00000000-0005-0000-0000-000016000000}"/>
    <cellStyle name="Comma 2 2 2 2 2 2 2 2 2 2" xfId="1558" xr:uid="{00000000-0005-0000-0000-000017000000}"/>
    <cellStyle name="Comma 2 2 2 2 2 2 2 2 3" xfId="1174" xr:uid="{00000000-0005-0000-0000-000018000000}"/>
    <cellStyle name="Comma 2 2 2 2 2 2 2 3" xfId="593" xr:uid="{00000000-0005-0000-0000-000019000000}"/>
    <cellStyle name="Comma 2 2 2 2 2 2 2 3 2" xfId="1366" xr:uid="{00000000-0005-0000-0000-00001A000000}"/>
    <cellStyle name="Comma 2 2 2 2 2 2 2 4" xfId="982" xr:uid="{00000000-0005-0000-0000-00001B000000}"/>
    <cellStyle name="Comma 2 2 2 2 2 2 3" xfId="305" xr:uid="{00000000-0005-0000-0000-00001C000000}"/>
    <cellStyle name="Comma 2 2 2 2 2 2 3 2" xfId="689" xr:uid="{00000000-0005-0000-0000-00001D000000}"/>
    <cellStyle name="Comma 2 2 2 2 2 2 3 2 2" xfId="1462" xr:uid="{00000000-0005-0000-0000-00001E000000}"/>
    <cellStyle name="Comma 2 2 2 2 2 2 3 3" xfId="1078" xr:uid="{00000000-0005-0000-0000-00001F000000}"/>
    <cellStyle name="Comma 2 2 2 2 2 2 4" xfId="497" xr:uid="{00000000-0005-0000-0000-000020000000}"/>
    <cellStyle name="Comma 2 2 2 2 2 2 4 2" xfId="1270" xr:uid="{00000000-0005-0000-0000-000021000000}"/>
    <cellStyle name="Comma 2 2 2 2 2 2 5" xfId="886" xr:uid="{00000000-0005-0000-0000-000022000000}"/>
    <cellStyle name="Comma 2 2 2 2 2 3" xfId="161" xr:uid="{00000000-0005-0000-0000-000023000000}"/>
    <cellStyle name="Comma 2 2 2 2 2 3 2" xfId="353" xr:uid="{00000000-0005-0000-0000-000024000000}"/>
    <cellStyle name="Comma 2 2 2 2 2 3 2 2" xfId="737" xr:uid="{00000000-0005-0000-0000-000025000000}"/>
    <cellStyle name="Comma 2 2 2 2 2 3 2 2 2" xfId="1510" xr:uid="{00000000-0005-0000-0000-000026000000}"/>
    <cellStyle name="Comma 2 2 2 2 2 3 2 3" xfId="1126" xr:uid="{00000000-0005-0000-0000-000027000000}"/>
    <cellStyle name="Comma 2 2 2 2 2 3 3" xfId="545" xr:uid="{00000000-0005-0000-0000-000028000000}"/>
    <cellStyle name="Comma 2 2 2 2 2 3 3 2" xfId="1318" xr:uid="{00000000-0005-0000-0000-000029000000}"/>
    <cellStyle name="Comma 2 2 2 2 2 3 4" xfId="934" xr:uid="{00000000-0005-0000-0000-00002A000000}"/>
    <cellStyle name="Comma 2 2 2 2 2 4" xfId="257" xr:uid="{00000000-0005-0000-0000-00002B000000}"/>
    <cellStyle name="Comma 2 2 2 2 2 4 2" xfId="641" xr:uid="{00000000-0005-0000-0000-00002C000000}"/>
    <cellStyle name="Comma 2 2 2 2 2 4 2 2" xfId="1414" xr:uid="{00000000-0005-0000-0000-00002D000000}"/>
    <cellStyle name="Comma 2 2 2 2 2 4 3" xfId="1030" xr:uid="{00000000-0005-0000-0000-00002E000000}"/>
    <cellStyle name="Comma 2 2 2 2 2 5" xfId="449" xr:uid="{00000000-0005-0000-0000-00002F000000}"/>
    <cellStyle name="Comma 2 2 2 2 2 5 2" xfId="1222" xr:uid="{00000000-0005-0000-0000-000030000000}"/>
    <cellStyle name="Comma 2 2 2 2 2 6" xfId="838" xr:uid="{00000000-0005-0000-0000-000031000000}"/>
    <cellStyle name="Comma 2 2 2 2 3" xfId="89" xr:uid="{00000000-0005-0000-0000-000032000000}"/>
    <cellStyle name="Comma 2 2 2 2 3 2" xfId="185" xr:uid="{00000000-0005-0000-0000-000033000000}"/>
    <cellStyle name="Comma 2 2 2 2 3 2 2" xfId="377" xr:uid="{00000000-0005-0000-0000-000034000000}"/>
    <cellStyle name="Comma 2 2 2 2 3 2 2 2" xfId="761" xr:uid="{00000000-0005-0000-0000-000035000000}"/>
    <cellStyle name="Comma 2 2 2 2 3 2 2 2 2" xfId="1534" xr:uid="{00000000-0005-0000-0000-000036000000}"/>
    <cellStyle name="Comma 2 2 2 2 3 2 2 3" xfId="1150" xr:uid="{00000000-0005-0000-0000-000037000000}"/>
    <cellStyle name="Comma 2 2 2 2 3 2 3" xfId="569" xr:uid="{00000000-0005-0000-0000-000038000000}"/>
    <cellStyle name="Comma 2 2 2 2 3 2 3 2" xfId="1342" xr:uid="{00000000-0005-0000-0000-000039000000}"/>
    <cellStyle name="Comma 2 2 2 2 3 2 4" xfId="958" xr:uid="{00000000-0005-0000-0000-00003A000000}"/>
    <cellStyle name="Comma 2 2 2 2 3 3" xfId="281" xr:uid="{00000000-0005-0000-0000-00003B000000}"/>
    <cellStyle name="Comma 2 2 2 2 3 3 2" xfId="665" xr:uid="{00000000-0005-0000-0000-00003C000000}"/>
    <cellStyle name="Comma 2 2 2 2 3 3 2 2" xfId="1438" xr:uid="{00000000-0005-0000-0000-00003D000000}"/>
    <cellStyle name="Comma 2 2 2 2 3 3 3" xfId="1054" xr:uid="{00000000-0005-0000-0000-00003E000000}"/>
    <cellStyle name="Comma 2 2 2 2 3 4" xfId="473" xr:uid="{00000000-0005-0000-0000-00003F000000}"/>
    <cellStyle name="Comma 2 2 2 2 3 4 2" xfId="1246" xr:uid="{00000000-0005-0000-0000-000040000000}"/>
    <cellStyle name="Comma 2 2 2 2 3 5" xfId="862" xr:uid="{00000000-0005-0000-0000-000041000000}"/>
    <cellStyle name="Comma 2 2 2 2 4" xfId="137" xr:uid="{00000000-0005-0000-0000-000042000000}"/>
    <cellStyle name="Comma 2 2 2 2 4 2" xfId="329" xr:uid="{00000000-0005-0000-0000-000043000000}"/>
    <cellStyle name="Comma 2 2 2 2 4 2 2" xfId="713" xr:uid="{00000000-0005-0000-0000-000044000000}"/>
    <cellStyle name="Comma 2 2 2 2 4 2 2 2" xfId="1486" xr:uid="{00000000-0005-0000-0000-000045000000}"/>
    <cellStyle name="Comma 2 2 2 2 4 2 3" xfId="1102" xr:uid="{00000000-0005-0000-0000-000046000000}"/>
    <cellStyle name="Comma 2 2 2 2 4 3" xfId="521" xr:uid="{00000000-0005-0000-0000-000047000000}"/>
    <cellStyle name="Comma 2 2 2 2 4 3 2" xfId="1294" xr:uid="{00000000-0005-0000-0000-000048000000}"/>
    <cellStyle name="Comma 2 2 2 2 4 4" xfId="910" xr:uid="{00000000-0005-0000-0000-000049000000}"/>
    <cellStyle name="Comma 2 2 2 2 5" xfId="233" xr:uid="{00000000-0005-0000-0000-00004A000000}"/>
    <cellStyle name="Comma 2 2 2 2 5 2" xfId="617" xr:uid="{00000000-0005-0000-0000-00004B000000}"/>
    <cellStyle name="Comma 2 2 2 2 5 2 2" xfId="1390" xr:uid="{00000000-0005-0000-0000-00004C000000}"/>
    <cellStyle name="Comma 2 2 2 2 5 3" xfId="1006" xr:uid="{00000000-0005-0000-0000-00004D000000}"/>
    <cellStyle name="Comma 2 2 2 2 6" xfId="425" xr:uid="{00000000-0005-0000-0000-00004E000000}"/>
    <cellStyle name="Comma 2 2 2 2 6 2" xfId="1198" xr:uid="{00000000-0005-0000-0000-00004F000000}"/>
    <cellStyle name="Comma 2 2 2 2 7" xfId="814" xr:uid="{00000000-0005-0000-0000-000050000000}"/>
    <cellStyle name="Comma 2 2 2 3" xfId="49" xr:uid="{00000000-0005-0000-0000-000051000000}"/>
    <cellStyle name="Comma 2 2 2 3 2" xfId="73" xr:uid="{00000000-0005-0000-0000-000052000000}"/>
    <cellStyle name="Comma 2 2 2 3 2 2" xfId="121" xr:uid="{00000000-0005-0000-0000-000053000000}"/>
    <cellStyle name="Comma 2 2 2 3 2 2 2" xfId="217" xr:uid="{00000000-0005-0000-0000-000054000000}"/>
    <cellStyle name="Comma 2 2 2 3 2 2 2 2" xfId="409" xr:uid="{00000000-0005-0000-0000-000055000000}"/>
    <cellStyle name="Comma 2 2 2 3 2 2 2 2 2" xfId="793" xr:uid="{00000000-0005-0000-0000-000056000000}"/>
    <cellStyle name="Comma 2 2 2 3 2 2 2 2 2 2" xfId="1566" xr:uid="{00000000-0005-0000-0000-000057000000}"/>
    <cellStyle name="Comma 2 2 2 3 2 2 2 2 3" xfId="1182" xr:uid="{00000000-0005-0000-0000-000058000000}"/>
    <cellStyle name="Comma 2 2 2 3 2 2 2 3" xfId="601" xr:uid="{00000000-0005-0000-0000-000059000000}"/>
    <cellStyle name="Comma 2 2 2 3 2 2 2 3 2" xfId="1374" xr:uid="{00000000-0005-0000-0000-00005A000000}"/>
    <cellStyle name="Comma 2 2 2 3 2 2 2 4" xfId="990" xr:uid="{00000000-0005-0000-0000-00005B000000}"/>
    <cellStyle name="Comma 2 2 2 3 2 2 3" xfId="313" xr:uid="{00000000-0005-0000-0000-00005C000000}"/>
    <cellStyle name="Comma 2 2 2 3 2 2 3 2" xfId="697" xr:uid="{00000000-0005-0000-0000-00005D000000}"/>
    <cellStyle name="Comma 2 2 2 3 2 2 3 2 2" xfId="1470" xr:uid="{00000000-0005-0000-0000-00005E000000}"/>
    <cellStyle name="Comma 2 2 2 3 2 2 3 3" xfId="1086" xr:uid="{00000000-0005-0000-0000-00005F000000}"/>
    <cellStyle name="Comma 2 2 2 3 2 2 4" xfId="505" xr:uid="{00000000-0005-0000-0000-000060000000}"/>
    <cellStyle name="Comma 2 2 2 3 2 2 4 2" xfId="1278" xr:uid="{00000000-0005-0000-0000-000061000000}"/>
    <cellStyle name="Comma 2 2 2 3 2 2 5" xfId="894" xr:uid="{00000000-0005-0000-0000-000062000000}"/>
    <cellStyle name="Comma 2 2 2 3 2 3" xfId="169" xr:uid="{00000000-0005-0000-0000-000063000000}"/>
    <cellStyle name="Comma 2 2 2 3 2 3 2" xfId="361" xr:uid="{00000000-0005-0000-0000-000064000000}"/>
    <cellStyle name="Comma 2 2 2 3 2 3 2 2" xfId="745" xr:uid="{00000000-0005-0000-0000-000065000000}"/>
    <cellStyle name="Comma 2 2 2 3 2 3 2 2 2" xfId="1518" xr:uid="{00000000-0005-0000-0000-000066000000}"/>
    <cellStyle name="Comma 2 2 2 3 2 3 2 3" xfId="1134" xr:uid="{00000000-0005-0000-0000-000067000000}"/>
    <cellStyle name="Comma 2 2 2 3 2 3 3" xfId="553" xr:uid="{00000000-0005-0000-0000-000068000000}"/>
    <cellStyle name="Comma 2 2 2 3 2 3 3 2" xfId="1326" xr:uid="{00000000-0005-0000-0000-000069000000}"/>
    <cellStyle name="Comma 2 2 2 3 2 3 4" xfId="942" xr:uid="{00000000-0005-0000-0000-00006A000000}"/>
    <cellStyle name="Comma 2 2 2 3 2 4" xfId="265" xr:uid="{00000000-0005-0000-0000-00006B000000}"/>
    <cellStyle name="Comma 2 2 2 3 2 4 2" xfId="649" xr:uid="{00000000-0005-0000-0000-00006C000000}"/>
    <cellStyle name="Comma 2 2 2 3 2 4 2 2" xfId="1422" xr:uid="{00000000-0005-0000-0000-00006D000000}"/>
    <cellStyle name="Comma 2 2 2 3 2 4 3" xfId="1038" xr:uid="{00000000-0005-0000-0000-00006E000000}"/>
    <cellStyle name="Comma 2 2 2 3 2 5" xfId="457" xr:uid="{00000000-0005-0000-0000-00006F000000}"/>
    <cellStyle name="Comma 2 2 2 3 2 5 2" xfId="1230" xr:uid="{00000000-0005-0000-0000-000070000000}"/>
    <cellStyle name="Comma 2 2 2 3 2 6" xfId="846" xr:uid="{00000000-0005-0000-0000-000071000000}"/>
    <cellStyle name="Comma 2 2 2 3 3" xfId="97" xr:uid="{00000000-0005-0000-0000-000072000000}"/>
    <cellStyle name="Comma 2 2 2 3 3 2" xfId="193" xr:uid="{00000000-0005-0000-0000-000073000000}"/>
    <cellStyle name="Comma 2 2 2 3 3 2 2" xfId="385" xr:uid="{00000000-0005-0000-0000-000074000000}"/>
    <cellStyle name="Comma 2 2 2 3 3 2 2 2" xfId="769" xr:uid="{00000000-0005-0000-0000-000075000000}"/>
    <cellStyle name="Comma 2 2 2 3 3 2 2 2 2" xfId="1542" xr:uid="{00000000-0005-0000-0000-000076000000}"/>
    <cellStyle name="Comma 2 2 2 3 3 2 2 3" xfId="1158" xr:uid="{00000000-0005-0000-0000-000077000000}"/>
    <cellStyle name="Comma 2 2 2 3 3 2 3" xfId="577" xr:uid="{00000000-0005-0000-0000-000078000000}"/>
    <cellStyle name="Comma 2 2 2 3 3 2 3 2" xfId="1350" xr:uid="{00000000-0005-0000-0000-000079000000}"/>
    <cellStyle name="Comma 2 2 2 3 3 2 4" xfId="966" xr:uid="{00000000-0005-0000-0000-00007A000000}"/>
    <cellStyle name="Comma 2 2 2 3 3 3" xfId="289" xr:uid="{00000000-0005-0000-0000-00007B000000}"/>
    <cellStyle name="Comma 2 2 2 3 3 3 2" xfId="673" xr:uid="{00000000-0005-0000-0000-00007C000000}"/>
    <cellStyle name="Comma 2 2 2 3 3 3 2 2" xfId="1446" xr:uid="{00000000-0005-0000-0000-00007D000000}"/>
    <cellStyle name="Comma 2 2 2 3 3 3 3" xfId="1062" xr:uid="{00000000-0005-0000-0000-00007E000000}"/>
    <cellStyle name="Comma 2 2 2 3 3 4" xfId="481" xr:uid="{00000000-0005-0000-0000-00007F000000}"/>
    <cellStyle name="Comma 2 2 2 3 3 4 2" xfId="1254" xr:uid="{00000000-0005-0000-0000-000080000000}"/>
    <cellStyle name="Comma 2 2 2 3 3 5" xfId="870" xr:uid="{00000000-0005-0000-0000-000081000000}"/>
    <cellStyle name="Comma 2 2 2 3 4" xfId="145" xr:uid="{00000000-0005-0000-0000-000082000000}"/>
    <cellStyle name="Comma 2 2 2 3 4 2" xfId="337" xr:uid="{00000000-0005-0000-0000-000083000000}"/>
    <cellStyle name="Comma 2 2 2 3 4 2 2" xfId="721" xr:uid="{00000000-0005-0000-0000-000084000000}"/>
    <cellStyle name="Comma 2 2 2 3 4 2 2 2" xfId="1494" xr:uid="{00000000-0005-0000-0000-000085000000}"/>
    <cellStyle name="Comma 2 2 2 3 4 2 3" xfId="1110" xr:uid="{00000000-0005-0000-0000-000086000000}"/>
    <cellStyle name="Comma 2 2 2 3 4 3" xfId="529" xr:uid="{00000000-0005-0000-0000-000087000000}"/>
    <cellStyle name="Comma 2 2 2 3 4 3 2" xfId="1302" xr:uid="{00000000-0005-0000-0000-000088000000}"/>
    <cellStyle name="Comma 2 2 2 3 4 4" xfId="918" xr:uid="{00000000-0005-0000-0000-000089000000}"/>
    <cellStyle name="Comma 2 2 2 3 5" xfId="241" xr:uid="{00000000-0005-0000-0000-00008A000000}"/>
    <cellStyle name="Comma 2 2 2 3 5 2" xfId="625" xr:uid="{00000000-0005-0000-0000-00008B000000}"/>
    <cellStyle name="Comma 2 2 2 3 5 2 2" xfId="1398" xr:uid="{00000000-0005-0000-0000-00008C000000}"/>
    <cellStyle name="Comma 2 2 2 3 5 3" xfId="1014" xr:uid="{00000000-0005-0000-0000-00008D000000}"/>
    <cellStyle name="Comma 2 2 2 3 6" xfId="433" xr:uid="{00000000-0005-0000-0000-00008E000000}"/>
    <cellStyle name="Comma 2 2 2 3 6 2" xfId="1206" xr:uid="{00000000-0005-0000-0000-00008F000000}"/>
    <cellStyle name="Comma 2 2 2 3 7" xfId="822" xr:uid="{00000000-0005-0000-0000-000090000000}"/>
    <cellStyle name="Comma 2 2 2 4" xfId="57" xr:uid="{00000000-0005-0000-0000-000091000000}"/>
    <cellStyle name="Comma 2 2 2 4 2" xfId="105" xr:uid="{00000000-0005-0000-0000-000092000000}"/>
    <cellStyle name="Comma 2 2 2 4 2 2" xfId="201" xr:uid="{00000000-0005-0000-0000-000093000000}"/>
    <cellStyle name="Comma 2 2 2 4 2 2 2" xfId="393" xr:uid="{00000000-0005-0000-0000-000094000000}"/>
    <cellStyle name="Comma 2 2 2 4 2 2 2 2" xfId="777" xr:uid="{00000000-0005-0000-0000-000095000000}"/>
    <cellStyle name="Comma 2 2 2 4 2 2 2 2 2" xfId="1550" xr:uid="{00000000-0005-0000-0000-000096000000}"/>
    <cellStyle name="Comma 2 2 2 4 2 2 2 3" xfId="1166" xr:uid="{00000000-0005-0000-0000-000097000000}"/>
    <cellStyle name="Comma 2 2 2 4 2 2 3" xfId="585" xr:uid="{00000000-0005-0000-0000-000098000000}"/>
    <cellStyle name="Comma 2 2 2 4 2 2 3 2" xfId="1358" xr:uid="{00000000-0005-0000-0000-000099000000}"/>
    <cellStyle name="Comma 2 2 2 4 2 2 4" xfId="974" xr:uid="{00000000-0005-0000-0000-00009A000000}"/>
    <cellStyle name="Comma 2 2 2 4 2 3" xfId="297" xr:uid="{00000000-0005-0000-0000-00009B000000}"/>
    <cellStyle name="Comma 2 2 2 4 2 3 2" xfId="681" xr:uid="{00000000-0005-0000-0000-00009C000000}"/>
    <cellStyle name="Comma 2 2 2 4 2 3 2 2" xfId="1454" xr:uid="{00000000-0005-0000-0000-00009D000000}"/>
    <cellStyle name="Comma 2 2 2 4 2 3 3" xfId="1070" xr:uid="{00000000-0005-0000-0000-00009E000000}"/>
    <cellStyle name="Comma 2 2 2 4 2 4" xfId="489" xr:uid="{00000000-0005-0000-0000-00009F000000}"/>
    <cellStyle name="Comma 2 2 2 4 2 4 2" xfId="1262" xr:uid="{00000000-0005-0000-0000-0000A0000000}"/>
    <cellStyle name="Comma 2 2 2 4 2 5" xfId="878" xr:uid="{00000000-0005-0000-0000-0000A1000000}"/>
    <cellStyle name="Comma 2 2 2 4 3" xfId="153" xr:uid="{00000000-0005-0000-0000-0000A2000000}"/>
    <cellStyle name="Comma 2 2 2 4 3 2" xfId="345" xr:uid="{00000000-0005-0000-0000-0000A3000000}"/>
    <cellStyle name="Comma 2 2 2 4 3 2 2" xfId="729" xr:uid="{00000000-0005-0000-0000-0000A4000000}"/>
    <cellStyle name="Comma 2 2 2 4 3 2 2 2" xfId="1502" xr:uid="{00000000-0005-0000-0000-0000A5000000}"/>
    <cellStyle name="Comma 2 2 2 4 3 2 3" xfId="1118" xr:uid="{00000000-0005-0000-0000-0000A6000000}"/>
    <cellStyle name="Comma 2 2 2 4 3 3" xfId="537" xr:uid="{00000000-0005-0000-0000-0000A7000000}"/>
    <cellStyle name="Comma 2 2 2 4 3 3 2" xfId="1310" xr:uid="{00000000-0005-0000-0000-0000A8000000}"/>
    <cellStyle name="Comma 2 2 2 4 3 4" xfId="926" xr:uid="{00000000-0005-0000-0000-0000A9000000}"/>
    <cellStyle name="Comma 2 2 2 4 4" xfId="249" xr:uid="{00000000-0005-0000-0000-0000AA000000}"/>
    <cellStyle name="Comma 2 2 2 4 4 2" xfId="633" xr:uid="{00000000-0005-0000-0000-0000AB000000}"/>
    <cellStyle name="Comma 2 2 2 4 4 2 2" xfId="1406" xr:uid="{00000000-0005-0000-0000-0000AC000000}"/>
    <cellStyle name="Comma 2 2 2 4 4 3" xfId="1022" xr:uid="{00000000-0005-0000-0000-0000AD000000}"/>
    <cellStyle name="Comma 2 2 2 4 5" xfId="441" xr:uid="{00000000-0005-0000-0000-0000AE000000}"/>
    <cellStyle name="Comma 2 2 2 4 5 2" xfId="1214" xr:uid="{00000000-0005-0000-0000-0000AF000000}"/>
    <cellStyle name="Comma 2 2 2 4 6" xfId="830" xr:uid="{00000000-0005-0000-0000-0000B0000000}"/>
    <cellStyle name="Comma 2 2 2 5" xfId="81" xr:uid="{00000000-0005-0000-0000-0000B1000000}"/>
    <cellStyle name="Comma 2 2 2 5 2" xfId="177" xr:uid="{00000000-0005-0000-0000-0000B2000000}"/>
    <cellStyle name="Comma 2 2 2 5 2 2" xfId="369" xr:uid="{00000000-0005-0000-0000-0000B3000000}"/>
    <cellStyle name="Comma 2 2 2 5 2 2 2" xfId="753" xr:uid="{00000000-0005-0000-0000-0000B4000000}"/>
    <cellStyle name="Comma 2 2 2 5 2 2 2 2" xfId="1526" xr:uid="{00000000-0005-0000-0000-0000B5000000}"/>
    <cellStyle name="Comma 2 2 2 5 2 2 3" xfId="1142" xr:uid="{00000000-0005-0000-0000-0000B6000000}"/>
    <cellStyle name="Comma 2 2 2 5 2 3" xfId="561" xr:uid="{00000000-0005-0000-0000-0000B7000000}"/>
    <cellStyle name="Comma 2 2 2 5 2 3 2" xfId="1334" xr:uid="{00000000-0005-0000-0000-0000B8000000}"/>
    <cellStyle name="Comma 2 2 2 5 2 4" xfId="950" xr:uid="{00000000-0005-0000-0000-0000B9000000}"/>
    <cellStyle name="Comma 2 2 2 5 3" xfId="273" xr:uid="{00000000-0005-0000-0000-0000BA000000}"/>
    <cellStyle name="Comma 2 2 2 5 3 2" xfId="657" xr:uid="{00000000-0005-0000-0000-0000BB000000}"/>
    <cellStyle name="Comma 2 2 2 5 3 2 2" xfId="1430" xr:uid="{00000000-0005-0000-0000-0000BC000000}"/>
    <cellStyle name="Comma 2 2 2 5 3 3" xfId="1046" xr:uid="{00000000-0005-0000-0000-0000BD000000}"/>
    <cellStyle name="Comma 2 2 2 5 4" xfId="465" xr:uid="{00000000-0005-0000-0000-0000BE000000}"/>
    <cellStyle name="Comma 2 2 2 5 4 2" xfId="1238" xr:uid="{00000000-0005-0000-0000-0000BF000000}"/>
    <cellStyle name="Comma 2 2 2 5 5" xfId="854" xr:uid="{00000000-0005-0000-0000-0000C0000000}"/>
    <cellStyle name="Comma 2 2 2 6" xfId="129" xr:uid="{00000000-0005-0000-0000-0000C1000000}"/>
    <cellStyle name="Comma 2 2 2 6 2" xfId="321" xr:uid="{00000000-0005-0000-0000-0000C2000000}"/>
    <cellStyle name="Comma 2 2 2 6 2 2" xfId="705" xr:uid="{00000000-0005-0000-0000-0000C3000000}"/>
    <cellStyle name="Comma 2 2 2 6 2 2 2" xfId="1478" xr:uid="{00000000-0005-0000-0000-0000C4000000}"/>
    <cellStyle name="Comma 2 2 2 6 2 3" xfId="1094" xr:uid="{00000000-0005-0000-0000-0000C5000000}"/>
    <cellStyle name="Comma 2 2 2 6 3" xfId="513" xr:uid="{00000000-0005-0000-0000-0000C6000000}"/>
    <cellStyle name="Comma 2 2 2 6 3 2" xfId="1286" xr:uid="{00000000-0005-0000-0000-0000C7000000}"/>
    <cellStyle name="Comma 2 2 2 6 4" xfId="902" xr:uid="{00000000-0005-0000-0000-0000C8000000}"/>
    <cellStyle name="Comma 2 2 2 7" xfId="225" xr:uid="{00000000-0005-0000-0000-0000C9000000}"/>
    <cellStyle name="Comma 2 2 2 7 2" xfId="609" xr:uid="{00000000-0005-0000-0000-0000CA000000}"/>
    <cellStyle name="Comma 2 2 2 7 2 2" xfId="1382" xr:uid="{00000000-0005-0000-0000-0000CB000000}"/>
    <cellStyle name="Comma 2 2 2 7 3" xfId="998" xr:uid="{00000000-0005-0000-0000-0000CC000000}"/>
    <cellStyle name="Comma 2 2 2 8" xfId="417" xr:uid="{00000000-0005-0000-0000-0000CD000000}"/>
    <cellStyle name="Comma 2 2 2 8 2" xfId="1190" xr:uid="{00000000-0005-0000-0000-0000CE000000}"/>
    <cellStyle name="Comma 2 2 2 9" xfId="806" xr:uid="{00000000-0005-0000-0000-0000CF000000}"/>
    <cellStyle name="Comma 2 2 3" xfId="37" xr:uid="{00000000-0005-0000-0000-0000D0000000}"/>
    <cellStyle name="Comma 2 2 3 2" xfId="61" xr:uid="{00000000-0005-0000-0000-0000D1000000}"/>
    <cellStyle name="Comma 2 2 3 2 2" xfId="109" xr:uid="{00000000-0005-0000-0000-0000D2000000}"/>
    <cellStyle name="Comma 2 2 3 2 2 2" xfId="205" xr:uid="{00000000-0005-0000-0000-0000D3000000}"/>
    <cellStyle name="Comma 2 2 3 2 2 2 2" xfId="397" xr:uid="{00000000-0005-0000-0000-0000D4000000}"/>
    <cellStyle name="Comma 2 2 3 2 2 2 2 2" xfId="781" xr:uid="{00000000-0005-0000-0000-0000D5000000}"/>
    <cellStyle name="Comma 2 2 3 2 2 2 2 2 2" xfId="1554" xr:uid="{00000000-0005-0000-0000-0000D6000000}"/>
    <cellStyle name="Comma 2 2 3 2 2 2 2 3" xfId="1170" xr:uid="{00000000-0005-0000-0000-0000D7000000}"/>
    <cellStyle name="Comma 2 2 3 2 2 2 3" xfId="589" xr:uid="{00000000-0005-0000-0000-0000D8000000}"/>
    <cellStyle name="Comma 2 2 3 2 2 2 3 2" xfId="1362" xr:uid="{00000000-0005-0000-0000-0000D9000000}"/>
    <cellStyle name="Comma 2 2 3 2 2 2 4" xfId="978" xr:uid="{00000000-0005-0000-0000-0000DA000000}"/>
    <cellStyle name="Comma 2 2 3 2 2 3" xfId="301" xr:uid="{00000000-0005-0000-0000-0000DB000000}"/>
    <cellStyle name="Comma 2 2 3 2 2 3 2" xfId="685" xr:uid="{00000000-0005-0000-0000-0000DC000000}"/>
    <cellStyle name="Comma 2 2 3 2 2 3 2 2" xfId="1458" xr:uid="{00000000-0005-0000-0000-0000DD000000}"/>
    <cellStyle name="Comma 2 2 3 2 2 3 3" xfId="1074" xr:uid="{00000000-0005-0000-0000-0000DE000000}"/>
    <cellStyle name="Comma 2 2 3 2 2 4" xfId="493" xr:uid="{00000000-0005-0000-0000-0000DF000000}"/>
    <cellStyle name="Comma 2 2 3 2 2 4 2" xfId="1266" xr:uid="{00000000-0005-0000-0000-0000E0000000}"/>
    <cellStyle name="Comma 2 2 3 2 2 5" xfId="882" xr:uid="{00000000-0005-0000-0000-0000E1000000}"/>
    <cellStyle name="Comma 2 2 3 2 3" xfId="157" xr:uid="{00000000-0005-0000-0000-0000E2000000}"/>
    <cellStyle name="Comma 2 2 3 2 3 2" xfId="349" xr:uid="{00000000-0005-0000-0000-0000E3000000}"/>
    <cellStyle name="Comma 2 2 3 2 3 2 2" xfId="733" xr:uid="{00000000-0005-0000-0000-0000E4000000}"/>
    <cellStyle name="Comma 2 2 3 2 3 2 2 2" xfId="1506" xr:uid="{00000000-0005-0000-0000-0000E5000000}"/>
    <cellStyle name="Comma 2 2 3 2 3 2 3" xfId="1122" xr:uid="{00000000-0005-0000-0000-0000E6000000}"/>
    <cellStyle name="Comma 2 2 3 2 3 3" xfId="541" xr:uid="{00000000-0005-0000-0000-0000E7000000}"/>
    <cellStyle name="Comma 2 2 3 2 3 3 2" xfId="1314" xr:uid="{00000000-0005-0000-0000-0000E8000000}"/>
    <cellStyle name="Comma 2 2 3 2 3 4" xfId="930" xr:uid="{00000000-0005-0000-0000-0000E9000000}"/>
    <cellStyle name="Comma 2 2 3 2 4" xfId="253" xr:uid="{00000000-0005-0000-0000-0000EA000000}"/>
    <cellStyle name="Comma 2 2 3 2 4 2" xfId="637" xr:uid="{00000000-0005-0000-0000-0000EB000000}"/>
    <cellStyle name="Comma 2 2 3 2 4 2 2" xfId="1410" xr:uid="{00000000-0005-0000-0000-0000EC000000}"/>
    <cellStyle name="Comma 2 2 3 2 4 3" xfId="1026" xr:uid="{00000000-0005-0000-0000-0000ED000000}"/>
    <cellStyle name="Comma 2 2 3 2 5" xfId="445" xr:uid="{00000000-0005-0000-0000-0000EE000000}"/>
    <cellStyle name="Comma 2 2 3 2 5 2" xfId="1218" xr:uid="{00000000-0005-0000-0000-0000EF000000}"/>
    <cellStyle name="Comma 2 2 3 2 6" xfId="834" xr:uid="{00000000-0005-0000-0000-0000F0000000}"/>
    <cellStyle name="Comma 2 2 3 3" xfId="85" xr:uid="{00000000-0005-0000-0000-0000F1000000}"/>
    <cellStyle name="Comma 2 2 3 3 2" xfId="181" xr:uid="{00000000-0005-0000-0000-0000F2000000}"/>
    <cellStyle name="Comma 2 2 3 3 2 2" xfId="373" xr:uid="{00000000-0005-0000-0000-0000F3000000}"/>
    <cellStyle name="Comma 2 2 3 3 2 2 2" xfId="757" xr:uid="{00000000-0005-0000-0000-0000F4000000}"/>
    <cellStyle name="Comma 2 2 3 3 2 2 2 2" xfId="1530" xr:uid="{00000000-0005-0000-0000-0000F5000000}"/>
    <cellStyle name="Comma 2 2 3 3 2 2 3" xfId="1146" xr:uid="{00000000-0005-0000-0000-0000F6000000}"/>
    <cellStyle name="Comma 2 2 3 3 2 3" xfId="565" xr:uid="{00000000-0005-0000-0000-0000F7000000}"/>
    <cellStyle name="Comma 2 2 3 3 2 3 2" xfId="1338" xr:uid="{00000000-0005-0000-0000-0000F8000000}"/>
    <cellStyle name="Comma 2 2 3 3 2 4" xfId="954" xr:uid="{00000000-0005-0000-0000-0000F9000000}"/>
    <cellStyle name="Comma 2 2 3 3 3" xfId="277" xr:uid="{00000000-0005-0000-0000-0000FA000000}"/>
    <cellStyle name="Comma 2 2 3 3 3 2" xfId="661" xr:uid="{00000000-0005-0000-0000-0000FB000000}"/>
    <cellStyle name="Comma 2 2 3 3 3 2 2" xfId="1434" xr:uid="{00000000-0005-0000-0000-0000FC000000}"/>
    <cellStyle name="Comma 2 2 3 3 3 3" xfId="1050" xr:uid="{00000000-0005-0000-0000-0000FD000000}"/>
    <cellStyle name="Comma 2 2 3 3 4" xfId="469" xr:uid="{00000000-0005-0000-0000-0000FE000000}"/>
    <cellStyle name="Comma 2 2 3 3 4 2" xfId="1242" xr:uid="{00000000-0005-0000-0000-0000FF000000}"/>
    <cellStyle name="Comma 2 2 3 3 5" xfId="858" xr:uid="{00000000-0005-0000-0000-000000010000}"/>
    <cellStyle name="Comma 2 2 3 4" xfId="133" xr:uid="{00000000-0005-0000-0000-000001010000}"/>
    <cellStyle name="Comma 2 2 3 4 2" xfId="325" xr:uid="{00000000-0005-0000-0000-000002010000}"/>
    <cellStyle name="Comma 2 2 3 4 2 2" xfId="709" xr:uid="{00000000-0005-0000-0000-000003010000}"/>
    <cellStyle name="Comma 2 2 3 4 2 2 2" xfId="1482" xr:uid="{00000000-0005-0000-0000-000004010000}"/>
    <cellStyle name="Comma 2 2 3 4 2 3" xfId="1098" xr:uid="{00000000-0005-0000-0000-000005010000}"/>
    <cellStyle name="Comma 2 2 3 4 3" xfId="517" xr:uid="{00000000-0005-0000-0000-000006010000}"/>
    <cellStyle name="Comma 2 2 3 4 3 2" xfId="1290" xr:uid="{00000000-0005-0000-0000-000007010000}"/>
    <cellStyle name="Comma 2 2 3 4 4" xfId="906" xr:uid="{00000000-0005-0000-0000-000008010000}"/>
    <cellStyle name="Comma 2 2 3 5" xfId="229" xr:uid="{00000000-0005-0000-0000-000009010000}"/>
    <cellStyle name="Comma 2 2 3 5 2" xfId="613" xr:uid="{00000000-0005-0000-0000-00000A010000}"/>
    <cellStyle name="Comma 2 2 3 5 2 2" xfId="1386" xr:uid="{00000000-0005-0000-0000-00000B010000}"/>
    <cellStyle name="Comma 2 2 3 5 3" xfId="1002" xr:uid="{00000000-0005-0000-0000-00000C010000}"/>
    <cellStyle name="Comma 2 2 3 6" xfId="421" xr:uid="{00000000-0005-0000-0000-00000D010000}"/>
    <cellStyle name="Comma 2 2 3 6 2" xfId="1194" xr:uid="{00000000-0005-0000-0000-00000E010000}"/>
    <cellStyle name="Comma 2 2 3 7" xfId="810" xr:uid="{00000000-0005-0000-0000-00000F010000}"/>
    <cellStyle name="Comma 2 2 4" xfId="45" xr:uid="{00000000-0005-0000-0000-000010010000}"/>
    <cellStyle name="Comma 2 2 4 2" xfId="69" xr:uid="{00000000-0005-0000-0000-000011010000}"/>
    <cellStyle name="Comma 2 2 4 2 2" xfId="117" xr:uid="{00000000-0005-0000-0000-000012010000}"/>
    <cellStyle name="Comma 2 2 4 2 2 2" xfId="213" xr:uid="{00000000-0005-0000-0000-000013010000}"/>
    <cellStyle name="Comma 2 2 4 2 2 2 2" xfId="405" xr:uid="{00000000-0005-0000-0000-000014010000}"/>
    <cellStyle name="Comma 2 2 4 2 2 2 2 2" xfId="789" xr:uid="{00000000-0005-0000-0000-000015010000}"/>
    <cellStyle name="Comma 2 2 4 2 2 2 2 2 2" xfId="1562" xr:uid="{00000000-0005-0000-0000-000016010000}"/>
    <cellStyle name="Comma 2 2 4 2 2 2 2 3" xfId="1178" xr:uid="{00000000-0005-0000-0000-000017010000}"/>
    <cellStyle name="Comma 2 2 4 2 2 2 3" xfId="597" xr:uid="{00000000-0005-0000-0000-000018010000}"/>
    <cellStyle name="Comma 2 2 4 2 2 2 3 2" xfId="1370" xr:uid="{00000000-0005-0000-0000-000019010000}"/>
    <cellStyle name="Comma 2 2 4 2 2 2 4" xfId="986" xr:uid="{00000000-0005-0000-0000-00001A010000}"/>
    <cellStyle name="Comma 2 2 4 2 2 3" xfId="309" xr:uid="{00000000-0005-0000-0000-00001B010000}"/>
    <cellStyle name="Comma 2 2 4 2 2 3 2" xfId="693" xr:uid="{00000000-0005-0000-0000-00001C010000}"/>
    <cellStyle name="Comma 2 2 4 2 2 3 2 2" xfId="1466" xr:uid="{00000000-0005-0000-0000-00001D010000}"/>
    <cellStyle name="Comma 2 2 4 2 2 3 3" xfId="1082" xr:uid="{00000000-0005-0000-0000-00001E010000}"/>
    <cellStyle name="Comma 2 2 4 2 2 4" xfId="501" xr:uid="{00000000-0005-0000-0000-00001F010000}"/>
    <cellStyle name="Comma 2 2 4 2 2 4 2" xfId="1274" xr:uid="{00000000-0005-0000-0000-000020010000}"/>
    <cellStyle name="Comma 2 2 4 2 2 5" xfId="890" xr:uid="{00000000-0005-0000-0000-000021010000}"/>
    <cellStyle name="Comma 2 2 4 2 3" xfId="165" xr:uid="{00000000-0005-0000-0000-000022010000}"/>
    <cellStyle name="Comma 2 2 4 2 3 2" xfId="357" xr:uid="{00000000-0005-0000-0000-000023010000}"/>
    <cellStyle name="Comma 2 2 4 2 3 2 2" xfId="741" xr:uid="{00000000-0005-0000-0000-000024010000}"/>
    <cellStyle name="Comma 2 2 4 2 3 2 2 2" xfId="1514" xr:uid="{00000000-0005-0000-0000-000025010000}"/>
    <cellStyle name="Comma 2 2 4 2 3 2 3" xfId="1130" xr:uid="{00000000-0005-0000-0000-000026010000}"/>
    <cellStyle name="Comma 2 2 4 2 3 3" xfId="549" xr:uid="{00000000-0005-0000-0000-000027010000}"/>
    <cellStyle name="Comma 2 2 4 2 3 3 2" xfId="1322" xr:uid="{00000000-0005-0000-0000-000028010000}"/>
    <cellStyle name="Comma 2 2 4 2 3 4" xfId="938" xr:uid="{00000000-0005-0000-0000-000029010000}"/>
    <cellStyle name="Comma 2 2 4 2 4" xfId="261" xr:uid="{00000000-0005-0000-0000-00002A010000}"/>
    <cellStyle name="Comma 2 2 4 2 4 2" xfId="645" xr:uid="{00000000-0005-0000-0000-00002B010000}"/>
    <cellStyle name="Comma 2 2 4 2 4 2 2" xfId="1418" xr:uid="{00000000-0005-0000-0000-00002C010000}"/>
    <cellStyle name="Comma 2 2 4 2 4 3" xfId="1034" xr:uid="{00000000-0005-0000-0000-00002D010000}"/>
    <cellStyle name="Comma 2 2 4 2 5" xfId="453" xr:uid="{00000000-0005-0000-0000-00002E010000}"/>
    <cellStyle name="Comma 2 2 4 2 5 2" xfId="1226" xr:uid="{00000000-0005-0000-0000-00002F010000}"/>
    <cellStyle name="Comma 2 2 4 2 6" xfId="842" xr:uid="{00000000-0005-0000-0000-000030010000}"/>
    <cellStyle name="Comma 2 2 4 3" xfId="93" xr:uid="{00000000-0005-0000-0000-000031010000}"/>
    <cellStyle name="Comma 2 2 4 3 2" xfId="189" xr:uid="{00000000-0005-0000-0000-000032010000}"/>
    <cellStyle name="Comma 2 2 4 3 2 2" xfId="381" xr:uid="{00000000-0005-0000-0000-000033010000}"/>
    <cellStyle name="Comma 2 2 4 3 2 2 2" xfId="765" xr:uid="{00000000-0005-0000-0000-000034010000}"/>
    <cellStyle name="Comma 2 2 4 3 2 2 2 2" xfId="1538" xr:uid="{00000000-0005-0000-0000-000035010000}"/>
    <cellStyle name="Comma 2 2 4 3 2 2 3" xfId="1154" xr:uid="{00000000-0005-0000-0000-000036010000}"/>
    <cellStyle name="Comma 2 2 4 3 2 3" xfId="573" xr:uid="{00000000-0005-0000-0000-000037010000}"/>
    <cellStyle name="Comma 2 2 4 3 2 3 2" xfId="1346" xr:uid="{00000000-0005-0000-0000-000038010000}"/>
    <cellStyle name="Comma 2 2 4 3 2 4" xfId="962" xr:uid="{00000000-0005-0000-0000-000039010000}"/>
    <cellStyle name="Comma 2 2 4 3 3" xfId="285" xr:uid="{00000000-0005-0000-0000-00003A010000}"/>
    <cellStyle name="Comma 2 2 4 3 3 2" xfId="669" xr:uid="{00000000-0005-0000-0000-00003B010000}"/>
    <cellStyle name="Comma 2 2 4 3 3 2 2" xfId="1442" xr:uid="{00000000-0005-0000-0000-00003C010000}"/>
    <cellStyle name="Comma 2 2 4 3 3 3" xfId="1058" xr:uid="{00000000-0005-0000-0000-00003D010000}"/>
    <cellStyle name="Comma 2 2 4 3 4" xfId="477" xr:uid="{00000000-0005-0000-0000-00003E010000}"/>
    <cellStyle name="Comma 2 2 4 3 4 2" xfId="1250" xr:uid="{00000000-0005-0000-0000-00003F010000}"/>
    <cellStyle name="Comma 2 2 4 3 5" xfId="866" xr:uid="{00000000-0005-0000-0000-000040010000}"/>
    <cellStyle name="Comma 2 2 4 4" xfId="141" xr:uid="{00000000-0005-0000-0000-000041010000}"/>
    <cellStyle name="Comma 2 2 4 4 2" xfId="333" xr:uid="{00000000-0005-0000-0000-000042010000}"/>
    <cellStyle name="Comma 2 2 4 4 2 2" xfId="717" xr:uid="{00000000-0005-0000-0000-000043010000}"/>
    <cellStyle name="Comma 2 2 4 4 2 2 2" xfId="1490" xr:uid="{00000000-0005-0000-0000-000044010000}"/>
    <cellStyle name="Comma 2 2 4 4 2 3" xfId="1106" xr:uid="{00000000-0005-0000-0000-000045010000}"/>
    <cellStyle name="Comma 2 2 4 4 3" xfId="525" xr:uid="{00000000-0005-0000-0000-000046010000}"/>
    <cellStyle name="Comma 2 2 4 4 3 2" xfId="1298" xr:uid="{00000000-0005-0000-0000-000047010000}"/>
    <cellStyle name="Comma 2 2 4 4 4" xfId="914" xr:uid="{00000000-0005-0000-0000-000048010000}"/>
    <cellStyle name="Comma 2 2 4 5" xfId="237" xr:uid="{00000000-0005-0000-0000-000049010000}"/>
    <cellStyle name="Comma 2 2 4 5 2" xfId="621" xr:uid="{00000000-0005-0000-0000-00004A010000}"/>
    <cellStyle name="Comma 2 2 4 5 2 2" xfId="1394" xr:uid="{00000000-0005-0000-0000-00004B010000}"/>
    <cellStyle name="Comma 2 2 4 5 3" xfId="1010" xr:uid="{00000000-0005-0000-0000-00004C010000}"/>
    <cellStyle name="Comma 2 2 4 6" xfId="429" xr:uid="{00000000-0005-0000-0000-00004D010000}"/>
    <cellStyle name="Comma 2 2 4 6 2" xfId="1202" xr:uid="{00000000-0005-0000-0000-00004E010000}"/>
    <cellStyle name="Comma 2 2 4 7" xfId="818" xr:uid="{00000000-0005-0000-0000-00004F010000}"/>
    <cellStyle name="Comma 2 2 5" xfId="53" xr:uid="{00000000-0005-0000-0000-000050010000}"/>
    <cellStyle name="Comma 2 2 5 2" xfId="101" xr:uid="{00000000-0005-0000-0000-000051010000}"/>
    <cellStyle name="Comma 2 2 5 2 2" xfId="197" xr:uid="{00000000-0005-0000-0000-000052010000}"/>
    <cellStyle name="Comma 2 2 5 2 2 2" xfId="389" xr:uid="{00000000-0005-0000-0000-000053010000}"/>
    <cellStyle name="Comma 2 2 5 2 2 2 2" xfId="773" xr:uid="{00000000-0005-0000-0000-000054010000}"/>
    <cellStyle name="Comma 2 2 5 2 2 2 2 2" xfId="1546" xr:uid="{00000000-0005-0000-0000-000055010000}"/>
    <cellStyle name="Comma 2 2 5 2 2 2 3" xfId="1162" xr:uid="{00000000-0005-0000-0000-000056010000}"/>
    <cellStyle name="Comma 2 2 5 2 2 3" xfId="581" xr:uid="{00000000-0005-0000-0000-000057010000}"/>
    <cellStyle name="Comma 2 2 5 2 2 3 2" xfId="1354" xr:uid="{00000000-0005-0000-0000-000058010000}"/>
    <cellStyle name="Comma 2 2 5 2 2 4" xfId="970" xr:uid="{00000000-0005-0000-0000-000059010000}"/>
    <cellStyle name="Comma 2 2 5 2 3" xfId="293" xr:uid="{00000000-0005-0000-0000-00005A010000}"/>
    <cellStyle name="Comma 2 2 5 2 3 2" xfId="677" xr:uid="{00000000-0005-0000-0000-00005B010000}"/>
    <cellStyle name="Comma 2 2 5 2 3 2 2" xfId="1450" xr:uid="{00000000-0005-0000-0000-00005C010000}"/>
    <cellStyle name="Comma 2 2 5 2 3 3" xfId="1066" xr:uid="{00000000-0005-0000-0000-00005D010000}"/>
    <cellStyle name="Comma 2 2 5 2 4" xfId="485" xr:uid="{00000000-0005-0000-0000-00005E010000}"/>
    <cellStyle name="Comma 2 2 5 2 4 2" xfId="1258" xr:uid="{00000000-0005-0000-0000-00005F010000}"/>
    <cellStyle name="Comma 2 2 5 2 5" xfId="874" xr:uid="{00000000-0005-0000-0000-000060010000}"/>
    <cellStyle name="Comma 2 2 5 3" xfId="149" xr:uid="{00000000-0005-0000-0000-000061010000}"/>
    <cellStyle name="Comma 2 2 5 3 2" xfId="341" xr:uid="{00000000-0005-0000-0000-000062010000}"/>
    <cellStyle name="Comma 2 2 5 3 2 2" xfId="725" xr:uid="{00000000-0005-0000-0000-000063010000}"/>
    <cellStyle name="Comma 2 2 5 3 2 2 2" xfId="1498" xr:uid="{00000000-0005-0000-0000-000064010000}"/>
    <cellStyle name="Comma 2 2 5 3 2 3" xfId="1114" xr:uid="{00000000-0005-0000-0000-000065010000}"/>
    <cellStyle name="Comma 2 2 5 3 3" xfId="533" xr:uid="{00000000-0005-0000-0000-000066010000}"/>
    <cellStyle name="Comma 2 2 5 3 3 2" xfId="1306" xr:uid="{00000000-0005-0000-0000-000067010000}"/>
    <cellStyle name="Comma 2 2 5 3 4" xfId="922" xr:uid="{00000000-0005-0000-0000-000068010000}"/>
    <cellStyle name="Comma 2 2 5 4" xfId="245" xr:uid="{00000000-0005-0000-0000-000069010000}"/>
    <cellStyle name="Comma 2 2 5 4 2" xfId="629" xr:uid="{00000000-0005-0000-0000-00006A010000}"/>
    <cellStyle name="Comma 2 2 5 4 2 2" xfId="1402" xr:uid="{00000000-0005-0000-0000-00006B010000}"/>
    <cellStyle name="Comma 2 2 5 4 3" xfId="1018" xr:uid="{00000000-0005-0000-0000-00006C010000}"/>
    <cellStyle name="Comma 2 2 5 5" xfId="437" xr:uid="{00000000-0005-0000-0000-00006D010000}"/>
    <cellStyle name="Comma 2 2 5 5 2" xfId="1210" xr:uid="{00000000-0005-0000-0000-00006E010000}"/>
    <cellStyle name="Comma 2 2 5 6" xfId="826" xr:uid="{00000000-0005-0000-0000-00006F010000}"/>
    <cellStyle name="Comma 2 2 6" xfId="77" xr:uid="{00000000-0005-0000-0000-000070010000}"/>
    <cellStyle name="Comma 2 2 6 2" xfId="173" xr:uid="{00000000-0005-0000-0000-000071010000}"/>
    <cellStyle name="Comma 2 2 6 2 2" xfId="365" xr:uid="{00000000-0005-0000-0000-000072010000}"/>
    <cellStyle name="Comma 2 2 6 2 2 2" xfId="749" xr:uid="{00000000-0005-0000-0000-000073010000}"/>
    <cellStyle name="Comma 2 2 6 2 2 2 2" xfId="1522" xr:uid="{00000000-0005-0000-0000-000074010000}"/>
    <cellStyle name="Comma 2 2 6 2 2 3" xfId="1138" xr:uid="{00000000-0005-0000-0000-000075010000}"/>
    <cellStyle name="Comma 2 2 6 2 3" xfId="557" xr:uid="{00000000-0005-0000-0000-000076010000}"/>
    <cellStyle name="Comma 2 2 6 2 3 2" xfId="1330" xr:uid="{00000000-0005-0000-0000-000077010000}"/>
    <cellStyle name="Comma 2 2 6 2 4" xfId="946" xr:uid="{00000000-0005-0000-0000-000078010000}"/>
    <cellStyle name="Comma 2 2 6 3" xfId="269" xr:uid="{00000000-0005-0000-0000-000079010000}"/>
    <cellStyle name="Comma 2 2 6 3 2" xfId="653" xr:uid="{00000000-0005-0000-0000-00007A010000}"/>
    <cellStyle name="Comma 2 2 6 3 2 2" xfId="1426" xr:uid="{00000000-0005-0000-0000-00007B010000}"/>
    <cellStyle name="Comma 2 2 6 3 3" xfId="1042" xr:uid="{00000000-0005-0000-0000-00007C010000}"/>
    <cellStyle name="Comma 2 2 6 4" xfId="461" xr:uid="{00000000-0005-0000-0000-00007D010000}"/>
    <cellStyle name="Comma 2 2 6 4 2" xfId="1234" xr:uid="{00000000-0005-0000-0000-00007E010000}"/>
    <cellStyle name="Comma 2 2 6 5" xfId="850" xr:uid="{00000000-0005-0000-0000-00007F010000}"/>
    <cellStyle name="Comma 2 2 7" xfId="125" xr:uid="{00000000-0005-0000-0000-000080010000}"/>
    <cellStyle name="Comma 2 2 7 2" xfId="317" xr:uid="{00000000-0005-0000-0000-000081010000}"/>
    <cellStyle name="Comma 2 2 7 2 2" xfId="701" xr:uid="{00000000-0005-0000-0000-000082010000}"/>
    <cellStyle name="Comma 2 2 7 2 2 2" xfId="1474" xr:uid="{00000000-0005-0000-0000-000083010000}"/>
    <cellStyle name="Comma 2 2 7 2 3" xfId="1090" xr:uid="{00000000-0005-0000-0000-000084010000}"/>
    <cellStyle name="Comma 2 2 7 3" xfId="509" xr:uid="{00000000-0005-0000-0000-000085010000}"/>
    <cellStyle name="Comma 2 2 7 3 2" xfId="1282" xr:uid="{00000000-0005-0000-0000-000086010000}"/>
    <cellStyle name="Comma 2 2 7 4" xfId="898" xr:uid="{00000000-0005-0000-0000-000087010000}"/>
    <cellStyle name="Comma 2 2 8" xfId="221" xr:uid="{00000000-0005-0000-0000-000088010000}"/>
    <cellStyle name="Comma 2 2 8 2" xfId="605" xr:uid="{00000000-0005-0000-0000-000089010000}"/>
    <cellStyle name="Comma 2 2 8 2 2" xfId="1378" xr:uid="{00000000-0005-0000-0000-00008A010000}"/>
    <cellStyle name="Comma 2 2 8 3" xfId="994" xr:uid="{00000000-0005-0000-0000-00008B010000}"/>
    <cellStyle name="Comma 2 2 9" xfId="413" xr:uid="{00000000-0005-0000-0000-00008C010000}"/>
    <cellStyle name="Comma 2 2 9 2" xfId="1186" xr:uid="{00000000-0005-0000-0000-00008D010000}"/>
    <cellStyle name="Comma 2 3" xfId="31" xr:uid="{00000000-0005-0000-0000-00008E010000}"/>
    <cellStyle name="Comma 2 3 2" xfId="39" xr:uid="{00000000-0005-0000-0000-00008F010000}"/>
    <cellStyle name="Comma 2 3 2 2" xfId="63" xr:uid="{00000000-0005-0000-0000-000090010000}"/>
    <cellStyle name="Comma 2 3 2 2 2" xfId="111" xr:uid="{00000000-0005-0000-0000-000091010000}"/>
    <cellStyle name="Comma 2 3 2 2 2 2" xfId="207" xr:uid="{00000000-0005-0000-0000-000092010000}"/>
    <cellStyle name="Comma 2 3 2 2 2 2 2" xfId="399" xr:uid="{00000000-0005-0000-0000-000093010000}"/>
    <cellStyle name="Comma 2 3 2 2 2 2 2 2" xfId="783" xr:uid="{00000000-0005-0000-0000-000094010000}"/>
    <cellStyle name="Comma 2 3 2 2 2 2 2 2 2" xfId="1556" xr:uid="{00000000-0005-0000-0000-000095010000}"/>
    <cellStyle name="Comma 2 3 2 2 2 2 2 3" xfId="1172" xr:uid="{00000000-0005-0000-0000-000096010000}"/>
    <cellStyle name="Comma 2 3 2 2 2 2 3" xfId="591" xr:uid="{00000000-0005-0000-0000-000097010000}"/>
    <cellStyle name="Comma 2 3 2 2 2 2 3 2" xfId="1364" xr:uid="{00000000-0005-0000-0000-000098010000}"/>
    <cellStyle name="Comma 2 3 2 2 2 2 4" xfId="980" xr:uid="{00000000-0005-0000-0000-000099010000}"/>
    <cellStyle name="Comma 2 3 2 2 2 3" xfId="303" xr:uid="{00000000-0005-0000-0000-00009A010000}"/>
    <cellStyle name="Comma 2 3 2 2 2 3 2" xfId="687" xr:uid="{00000000-0005-0000-0000-00009B010000}"/>
    <cellStyle name="Comma 2 3 2 2 2 3 2 2" xfId="1460" xr:uid="{00000000-0005-0000-0000-00009C010000}"/>
    <cellStyle name="Comma 2 3 2 2 2 3 3" xfId="1076" xr:uid="{00000000-0005-0000-0000-00009D010000}"/>
    <cellStyle name="Comma 2 3 2 2 2 4" xfId="495" xr:uid="{00000000-0005-0000-0000-00009E010000}"/>
    <cellStyle name="Comma 2 3 2 2 2 4 2" xfId="1268" xr:uid="{00000000-0005-0000-0000-00009F010000}"/>
    <cellStyle name="Comma 2 3 2 2 2 5" xfId="884" xr:uid="{00000000-0005-0000-0000-0000A0010000}"/>
    <cellStyle name="Comma 2 3 2 2 3" xfId="159" xr:uid="{00000000-0005-0000-0000-0000A1010000}"/>
    <cellStyle name="Comma 2 3 2 2 3 2" xfId="351" xr:uid="{00000000-0005-0000-0000-0000A2010000}"/>
    <cellStyle name="Comma 2 3 2 2 3 2 2" xfId="735" xr:uid="{00000000-0005-0000-0000-0000A3010000}"/>
    <cellStyle name="Comma 2 3 2 2 3 2 2 2" xfId="1508" xr:uid="{00000000-0005-0000-0000-0000A4010000}"/>
    <cellStyle name="Comma 2 3 2 2 3 2 3" xfId="1124" xr:uid="{00000000-0005-0000-0000-0000A5010000}"/>
    <cellStyle name="Comma 2 3 2 2 3 3" xfId="543" xr:uid="{00000000-0005-0000-0000-0000A6010000}"/>
    <cellStyle name="Comma 2 3 2 2 3 3 2" xfId="1316" xr:uid="{00000000-0005-0000-0000-0000A7010000}"/>
    <cellStyle name="Comma 2 3 2 2 3 4" xfId="932" xr:uid="{00000000-0005-0000-0000-0000A8010000}"/>
    <cellStyle name="Comma 2 3 2 2 4" xfId="255" xr:uid="{00000000-0005-0000-0000-0000A9010000}"/>
    <cellStyle name="Comma 2 3 2 2 4 2" xfId="639" xr:uid="{00000000-0005-0000-0000-0000AA010000}"/>
    <cellStyle name="Comma 2 3 2 2 4 2 2" xfId="1412" xr:uid="{00000000-0005-0000-0000-0000AB010000}"/>
    <cellStyle name="Comma 2 3 2 2 4 3" xfId="1028" xr:uid="{00000000-0005-0000-0000-0000AC010000}"/>
    <cellStyle name="Comma 2 3 2 2 5" xfId="447" xr:uid="{00000000-0005-0000-0000-0000AD010000}"/>
    <cellStyle name="Comma 2 3 2 2 5 2" xfId="1220" xr:uid="{00000000-0005-0000-0000-0000AE010000}"/>
    <cellStyle name="Comma 2 3 2 2 6" xfId="836" xr:uid="{00000000-0005-0000-0000-0000AF010000}"/>
    <cellStyle name="Comma 2 3 2 3" xfId="87" xr:uid="{00000000-0005-0000-0000-0000B0010000}"/>
    <cellStyle name="Comma 2 3 2 3 2" xfId="183" xr:uid="{00000000-0005-0000-0000-0000B1010000}"/>
    <cellStyle name="Comma 2 3 2 3 2 2" xfId="375" xr:uid="{00000000-0005-0000-0000-0000B2010000}"/>
    <cellStyle name="Comma 2 3 2 3 2 2 2" xfId="759" xr:uid="{00000000-0005-0000-0000-0000B3010000}"/>
    <cellStyle name="Comma 2 3 2 3 2 2 2 2" xfId="1532" xr:uid="{00000000-0005-0000-0000-0000B4010000}"/>
    <cellStyle name="Comma 2 3 2 3 2 2 3" xfId="1148" xr:uid="{00000000-0005-0000-0000-0000B5010000}"/>
    <cellStyle name="Comma 2 3 2 3 2 3" xfId="567" xr:uid="{00000000-0005-0000-0000-0000B6010000}"/>
    <cellStyle name="Comma 2 3 2 3 2 3 2" xfId="1340" xr:uid="{00000000-0005-0000-0000-0000B7010000}"/>
    <cellStyle name="Comma 2 3 2 3 2 4" xfId="956" xr:uid="{00000000-0005-0000-0000-0000B8010000}"/>
    <cellStyle name="Comma 2 3 2 3 3" xfId="279" xr:uid="{00000000-0005-0000-0000-0000B9010000}"/>
    <cellStyle name="Comma 2 3 2 3 3 2" xfId="663" xr:uid="{00000000-0005-0000-0000-0000BA010000}"/>
    <cellStyle name="Comma 2 3 2 3 3 2 2" xfId="1436" xr:uid="{00000000-0005-0000-0000-0000BB010000}"/>
    <cellStyle name="Comma 2 3 2 3 3 3" xfId="1052" xr:uid="{00000000-0005-0000-0000-0000BC010000}"/>
    <cellStyle name="Comma 2 3 2 3 4" xfId="471" xr:uid="{00000000-0005-0000-0000-0000BD010000}"/>
    <cellStyle name="Comma 2 3 2 3 4 2" xfId="1244" xr:uid="{00000000-0005-0000-0000-0000BE010000}"/>
    <cellStyle name="Comma 2 3 2 3 5" xfId="860" xr:uid="{00000000-0005-0000-0000-0000BF010000}"/>
    <cellStyle name="Comma 2 3 2 4" xfId="135" xr:uid="{00000000-0005-0000-0000-0000C0010000}"/>
    <cellStyle name="Comma 2 3 2 4 2" xfId="327" xr:uid="{00000000-0005-0000-0000-0000C1010000}"/>
    <cellStyle name="Comma 2 3 2 4 2 2" xfId="711" xr:uid="{00000000-0005-0000-0000-0000C2010000}"/>
    <cellStyle name="Comma 2 3 2 4 2 2 2" xfId="1484" xr:uid="{00000000-0005-0000-0000-0000C3010000}"/>
    <cellStyle name="Comma 2 3 2 4 2 3" xfId="1100" xr:uid="{00000000-0005-0000-0000-0000C4010000}"/>
    <cellStyle name="Comma 2 3 2 4 3" xfId="519" xr:uid="{00000000-0005-0000-0000-0000C5010000}"/>
    <cellStyle name="Comma 2 3 2 4 3 2" xfId="1292" xr:uid="{00000000-0005-0000-0000-0000C6010000}"/>
    <cellStyle name="Comma 2 3 2 4 4" xfId="908" xr:uid="{00000000-0005-0000-0000-0000C7010000}"/>
    <cellStyle name="Comma 2 3 2 5" xfId="231" xr:uid="{00000000-0005-0000-0000-0000C8010000}"/>
    <cellStyle name="Comma 2 3 2 5 2" xfId="615" xr:uid="{00000000-0005-0000-0000-0000C9010000}"/>
    <cellStyle name="Comma 2 3 2 5 2 2" xfId="1388" xr:uid="{00000000-0005-0000-0000-0000CA010000}"/>
    <cellStyle name="Comma 2 3 2 5 3" xfId="1004" xr:uid="{00000000-0005-0000-0000-0000CB010000}"/>
    <cellStyle name="Comma 2 3 2 6" xfId="423" xr:uid="{00000000-0005-0000-0000-0000CC010000}"/>
    <cellStyle name="Comma 2 3 2 6 2" xfId="1196" xr:uid="{00000000-0005-0000-0000-0000CD010000}"/>
    <cellStyle name="Comma 2 3 2 7" xfId="812" xr:uid="{00000000-0005-0000-0000-0000CE010000}"/>
    <cellStyle name="Comma 2 3 3" xfId="47" xr:uid="{00000000-0005-0000-0000-0000CF010000}"/>
    <cellStyle name="Comma 2 3 3 2" xfId="71" xr:uid="{00000000-0005-0000-0000-0000D0010000}"/>
    <cellStyle name="Comma 2 3 3 2 2" xfId="119" xr:uid="{00000000-0005-0000-0000-0000D1010000}"/>
    <cellStyle name="Comma 2 3 3 2 2 2" xfId="215" xr:uid="{00000000-0005-0000-0000-0000D2010000}"/>
    <cellStyle name="Comma 2 3 3 2 2 2 2" xfId="407" xr:uid="{00000000-0005-0000-0000-0000D3010000}"/>
    <cellStyle name="Comma 2 3 3 2 2 2 2 2" xfId="791" xr:uid="{00000000-0005-0000-0000-0000D4010000}"/>
    <cellStyle name="Comma 2 3 3 2 2 2 2 2 2" xfId="1564" xr:uid="{00000000-0005-0000-0000-0000D5010000}"/>
    <cellStyle name="Comma 2 3 3 2 2 2 2 3" xfId="1180" xr:uid="{00000000-0005-0000-0000-0000D6010000}"/>
    <cellStyle name="Comma 2 3 3 2 2 2 3" xfId="599" xr:uid="{00000000-0005-0000-0000-0000D7010000}"/>
    <cellStyle name="Comma 2 3 3 2 2 2 3 2" xfId="1372" xr:uid="{00000000-0005-0000-0000-0000D8010000}"/>
    <cellStyle name="Comma 2 3 3 2 2 2 4" xfId="988" xr:uid="{00000000-0005-0000-0000-0000D9010000}"/>
    <cellStyle name="Comma 2 3 3 2 2 3" xfId="311" xr:uid="{00000000-0005-0000-0000-0000DA010000}"/>
    <cellStyle name="Comma 2 3 3 2 2 3 2" xfId="695" xr:uid="{00000000-0005-0000-0000-0000DB010000}"/>
    <cellStyle name="Comma 2 3 3 2 2 3 2 2" xfId="1468" xr:uid="{00000000-0005-0000-0000-0000DC010000}"/>
    <cellStyle name="Comma 2 3 3 2 2 3 3" xfId="1084" xr:uid="{00000000-0005-0000-0000-0000DD010000}"/>
    <cellStyle name="Comma 2 3 3 2 2 4" xfId="503" xr:uid="{00000000-0005-0000-0000-0000DE010000}"/>
    <cellStyle name="Comma 2 3 3 2 2 4 2" xfId="1276" xr:uid="{00000000-0005-0000-0000-0000DF010000}"/>
    <cellStyle name="Comma 2 3 3 2 2 5" xfId="892" xr:uid="{00000000-0005-0000-0000-0000E0010000}"/>
    <cellStyle name="Comma 2 3 3 2 3" xfId="167" xr:uid="{00000000-0005-0000-0000-0000E1010000}"/>
    <cellStyle name="Comma 2 3 3 2 3 2" xfId="359" xr:uid="{00000000-0005-0000-0000-0000E2010000}"/>
    <cellStyle name="Comma 2 3 3 2 3 2 2" xfId="743" xr:uid="{00000000-0005-0000-0000-0000E3010000}"/>
    <cellStyle name="Comma 2 3 3 2 3 2 2 2" xfId="1516" xr:uid="{00000000-0005-0000-0000-0000E4010000}"/>
    <cellStyle name="Comma 2 3 3 2 3 2 3" xfId="1132" xr:uid="{00000000-0005-0000-0000-0000E5010000}"/>
    <cellStyle name="Comma 2 3 3 2 3 3" xfId="551" xr:uid="{00000000-0005-0000-0000-0000E6010000}"/>
    <cellStyle name="Comma 2 3 3 2 3 3 2" xfId="1324" xr:uid="{00000000-0005-0000-0000-0000E7010000}"/>
    <cellStyle name="Comma 2 3 3 2 3 4" xfId="940" xr:uid="{00000000-0005-0000-0000-0000E8010000}"/>
    <cellStyle name="Comma 2 3 3 2 4" xfId="263" xr:uid="{00000000-0005-0000-0000-0000E9010000}"/>
    <cellStyle name="Comma 2 3 3 2 4 2" xfId="647" xr:uid="{00000000-0005-0000-0000-0000EA010000}"/>
    <cellStyle name="Comma 2 3 3 2 4 2 2" xfId="1420" xr:uid="{00000000-0005-0000-0000-0000EB010000}"/>
    <cellStyle name="Comma 2 3 3 2 4 3" xfId="1036" xr:uid="{00000000-0005-0000-0000-0000EC010000}"/>
    <cellStyle name="Comma 2 3 3 2 5" xfId="455" xr:uid="{00000000-0005-0000-0000-0000ED010000}"/>
    <cellStyle name="Comma 2 3 3 2 5 2" xfId="1228" xr:uid="{00000000-0005-0000-0000-0000EE010000}"/>
    <cellStyle name="Comma 2 3 3 2 6" xfId="844" xr:uid="{00000000-0005-0000-0000-0000EF010000}"/>
    <cellStyle name="Comma 2 3 3 3" xfId="95" xr:uid="{00000000-0005-0000-0000-0000F0010000}"/>
    <cellStyle name="Comma 2 3 3 3 2" xfId="191" xr:uid="{00000000-0005-0000-0000-0000F1010000}"/>
    <cellStyle name="Comma 2 3 3 3 2 2" xfId="383" xr:uid="{00000000-0005-0000-0000-0000F2010000}"/>
    <cellStyle name="Comma 2 3 3 3 2 2 2" xfId="767" xr:uid="{00000000-0005-0000-0000-0000F3010000}"/>
    <cellStyle name="Comma 2 3 3 3 2 2 2 2" xfId="1540" xr:uid="{00000000-0005-0000-0000-0000F4010000}"/>
    <cellStyle name="Comma 2 3 3 3 2 2 3" xfId="1156" xr:uid="{00000000-0005-0000-0000-0000F5010000}"/>
    <cellStyle name="Comma 2 3 3 3 2 3" xfId="575" xr:uid="{00000000-0005-0000-0000-0000F6010000}"/>
    <cellStyle name="Comma 2 3 3 3 2 3 2" xfId="1348" xr:uid="{00000000-0005-0000-0000-0000F7010000}"/>
    <cellStyle name="Comma 2 3 3 3 2 4" xfId="964" xr:uid="{00000000-0005-0000-0000-0000F8010000}"/>
    <cellStyle name="Comma 2 3 3 3 3" xfId="287" xr:uid="{00000000-0005-0000-0000-0000F9010000}"/>
    <cellStyle name="Comma 2 3 3 3 3 2" xfId="671" xr:uid="{00000000-0005-0000-0000-0000FA010000}"/>
    <cellStyle name="Comma 2 3 3 3 3 2 2" xfId="1444" xr:uid="{00000000-0005-0000-0000-0000FB010000}"/>
    <cellStyle name="Comma 2 3 3 3 3 3" xfId="1060" xr:uid="{00000000-0005-0000-0000-0000FC010000}"/>
    <cellStyle name="Comma 2 3 3 3 4" xfId="479" xr:uid="{00000000-0005-0000-0000-0000FD010000}"/>
    <cellStyle name="Comma 2 3 3 3 4 2" xfId="1252" xr:uid="{00000000-0005-0000-0000-0000FE010000}"/>
    <cellStyle name="Comma 2 3 3 3 5" xfId="868" xr:uid="{00000000-0005-0000-0000-0000FF010000}"/>
    <cellStyle name="Comma 2 3 3 4" xfId="143" xr:uid="{00000000-0005-0000-0000-000000020000}"/>
    <cellStyle name="Comma 2 3 3 4 2" xfId="335" xr:uid="{00000000-0005-0000-0000-000001020000}"/>
    <cellStyle name="Comma 2 3 3 4 2 2" xfId="719" xr:uid="{00000000-0005-0000-0000-000002020000}"/>
    <cellStyle name="Comma 2 3 3 4 2 2 2" xfId="1492" xr:uid="{00000000-0005-0000-0000-000003020000}"/>
    <cellStyle name="Comma 2 3 3 4 2 3" xfId="1108" xr:uid="{00000000-0005-0000-0000-000004020000}"/>
    <cellStyle name="Comma 2 3 3 4 3" xfId="527" xr:uid="{00000000-0005-0000-0000-000005020000}"/>
    <cellStyle name="Comma 2 3 3 4 3 2" xfId="1300" xr:uid="{00000000-0005-0000-0000-000006020000}"/>
    <cellStyle name="Comma 2 3 3 4 4" xfId="916" xr:uid="{00000000-0005-0000-0000-000007020000}"/>
    <cellStyle name="Comma 2 3 3 5" xfId="239" xr:uid="{00000000-0005-0000-0000-000008020000}"/>
    <cellStyle name="Comma 2 3 3 5 2" xfId="623" xr:uid="{00000000-0005-0000-0000-000009020000}"/>
    <cellStyle name="Comma 2 3 3 5 2 2" xfId="1396" xr:uid="{00000000-0005-0000-0000-00000A020000}"/>
    <cellStyle name="Comma 2 3 3 5 3" xfId="1012" xr:uid="{00000000-0005-0000-0000-00000B020000}"/>
    <cellStyle name="Comma 2 3 3 6" xfId="431" xr:uid="{00000000-0005-0000-0000-00000C020000}"/>
    <cellStyle name="Comma 2 3 3 6 2" xfId="1204" xr:uid="{00000000-0005-0000-0000-00000D020000}"/>
    <cellStyle name="Comma 2 3 3 7" xfId="820" xr:uid="{00000000-0005-0000-0000-00000E020000}"/>
    <cellStyle name="Comma 2 3 4" xfId="55" xr:uid="{00000000-0005-0000-0000-00000F020000}"/>
    <cellStyle name="Comma 2 3 4 2" xfId="103" xr:uid="{00000000-0005-0000-0000-000010020000}"/>
    <cellStyle name="Comma 2 3 4 2 2" xfId="199" xr:uid="{00000000-0005-0000-0000-000011020000}"/>
    <cellStyle name="Comma 2 3 4 2 2 2" xfId="391" xr:uid="{00000000-0005-0000-0000-000012020000}"/>
    <cellStyle name="Comma 2 3 4 2 2 2 2" xfId="775" xr:uid="{00000000-0005-0000-0000-000013020000}"/>
    <cellStyle name="Comma 2 3 4 2 2 2 2 2" xfId="1548" xr:uid="{00000000-0005-0000-0000-000014020000}"/>
    <cellStyle name="Comma 2 3 4 2 2 2 3" xfId="1164" xr:uid="{00000000-0005-0000-0000-000015020000}"/>
    <cellStyle name="Comma 2 3 4 2 2 3" xfId="583" xr:uid="{00000000-0005-0000-0000-000016020000}"/>
    <cellStyle name="Comma 2 3 4 2 2 3 2" xfId="1356" xr:uid="{00000000-0005-0000-0000-000017020000}"/>
    <cellStyle name="Comma 2 3 4 2 2 4" xfId="972" xr:uid="{00000000-0005-0000-0000-000018020000}"/>
    <cellStyle name="Comma 2 3 4 2 3" xfId="295" xr:uid="{00000000-0005-0000-0000-000019020000}"/>
    <cellStyle name="Comma 2 3 4 2 3 2" xfId="679" xr:uid="{00000000-0005-0000-0000-00001A020000}"/>
    <cellStyle name="Comma 2 3 4 2 3 2 2" xfId="1452" xr:uid="{00000000-0005-0000-0000-00001B020000}"/>
    <cellStyle name="Comma 2 3 4 2 3 3" xfId="1068" xr:uid="{00000000-0005-0000-0000-00001C020000}"/>
    <cellStyle name="Comma 2 3 4 2 4" xfId="487" xr:uid="{00000000-0005-0000-0000-00001D020000}"/>
    <cellStyle name="Comma 2 3 4 2 4 2" xfId="1260" xr:uid="{00000000-0005-0000-0000-00001E020000}"/>
    <cellStyle name="Comma 2 3 4 2 5" xfId="876" xr:uid="{00000000-0005-0000-0000-00001F020000}"/>
    <cellStyle name="Comma 2 3 4 3" xfId="151" xr:uid="{00000000-0005-0000-0000-000020020000}"/>
    <cellStyle name="Comma 2 3 4 3 2" xfId="343" xr:uid="{00000000-0005-0000-0000-000021020000}"/>
    <cellStyle name="Comma 2 3 4 3 2 2" xfId="727" xr:uid="{00000000-0005-0000-0000-000022020000}"/>
    <cellStyle name="Comma 2 3 4 3 2 2 2" xfId="1500" xr:uid="{00000000-0005-0000-0000-000023020000}"/>
    <cellStyle name="Comma 2 3 4 3 2 3" xfId="1116" xr:uid="{00000000-0005-0000-0000-000024020000}"/>
    <cellStyle name="Comma 2 3 4 3 3" xfId="535" xr:uid="{00000000-0005-0000-0000-000025020000}"/>
    <cellStyle name="Comma 2 3 4 3 3 2" xfId="1308" xr:uid="{00000000-0005-0000-0000-000026020000}"/>
    <cellStyle name="Comma 2 3 4 3 4" xfId="924" xr:uid="{00000000-0005-0000-0000-000027020000}"/>
    <cellStyle name="Comma 2 3 4 4" xfId="247" xr:uid="{00000000-0005-0000-0000-000028020000}"/>
    <cellStyle name="Comma 2 3 4 4 2" xfId="631" xr:uid="{00000000-0005-0000-0000-000029020000}"/>
    <cellStyle name="Comma 2 3 4 4 2 2" xfId="1404" xr:uid="{00000000-0005-0000-0000-00002A020000}"/>
    <cellStyle name="Comma 2 3 4 4 3" xfId="1020" xr:uid="{00000000-0005-0000-0000-00002B020000}"/>
    <cellStyle name="Comma 2 3 4 5" xfId="439" xr:uid="{00000000-0005-0000-0000-00002C020000}"/>
    <cellStyle name="Comma 2 3 4 5 2" xfId="1212" xr:uid="{00000000-0005-0000-0000-00002D020000}"/>
    <cellStyle name="Comma 2 3 4 6" xfId="828" xr:uid="{00000000-0005-0000-0000-00002E020000}"/>
    <cellStyle name="Comma 2 3 5" xfId="79" xr:uid="{00000000-0005-0000-0000-00002F020000}"/>
    <cellStyle name="Comma 2 3 5 2" xfId="175" xr:uid="{00000000-0005-0000-0000-000030020000}"/>
    <cellStyle name="Comma 2 3 5 2 2" xfId="367" xr:uid="{00000000-0005-0000-0000-000031020000}"/>
    <cellStyle name="Comma 2 3 5 2 2 2" xfId="751" xr:uid="{00000000-0005-0000-0000-000032020000}"/>
    <cellStyle name="Comma 2 3 5 2 2 2 2" xfId="1524" xr:uid="{00000000-0005-0000-0000-000033020000}"/>
    <cellStyle name="Comma 2 3 5 2 2 3" xfId="1140" xr:uid="{00000000-0005-0000-0000-000034020000}"/>
    <cellStyle name="Comma 2 3 5 2 3" xfId="559" xr:uid="{00000000-0005-0000-0000-000035020000}"/>
    <cellStyle name="Comma 2 3 5 2 3 2" xfId="1332" xr:uid="{00000000-0005-0000-0000-000036020000}"/>
    <cellStyle name="Comma 2 3 5 2 4" xfId="948" xr:uid="{00000000-0005-0000-0000-000037020000}"/>
    <cellStyle name="Comma 2 3 5 3" xfId="271" xr:uid="{00000000-0005-0000-0000-000038020000}"/>
    <cellStyle name="Comma 2 3 5 3 2" xfId="655" xr:uid="{00000000-0005-0000-0000-000039020000}"/>
    <cellStyle name="Comma 2 3 5 3 2 2" xfId="1428" xr:uid="{00000000-0005-0000-0000-00003A020000}"/>
    <cellStyle name="Comma 2 3 5 3 3" xfId="1044" xr:uid="{00000000-0005-0000-0000-00003B020000}"/>
    <cellStyle name="Comma 2 3 5 4" xfId="463" xr:uid="{00000000-0005-0000-0000-00003C020000}"/>
    <cellStyle name="Comma 2 3 5 4 2" xfId="1236" xr:uid="{00000000-0005-0000-0000-00003D020000}"/>
    <cellStyle name="Comma 2 3 5 5" xfId="852" xr:uid="{00000000-0005-0000-0000-00003E020000}"/>
    <cellStyle name="Comma 2 3 6" xfId="127" xr:uid="{00000000-0005-0000-0000-00003F020000}"/>
    <cellStyle name="Comma 2 3 6 2" xfId="319" xr:uid="{00000000-0005-0000-0000-000040020000}"/>
    <cellStyle name="Comma 2 3 6 2 2" xfId="703" xr:uid="{00000000-0005-0000-0000-000041020000}"/>
    <cellStyle name="Comma 2 3 6 2 2 2" xfId="1476" xr:uid="{00000000-0005-0000-0000-000042020000}"/>
    <cellStyle name="Comma 2 3 6 2 3" xfId="1092" xr:uid="{00000000-0005-0000-0000-000043020000}"/>
    <cellStyle name="Comma 2 3 6 3" xfId="511" xr:uid="{00000000-0005-0000-0000-000044020000}"/>
    <cellStyle name="Comma 2 3 6 3 2" xfId="1284" xr:uid="{00000000-0005-0000-0000-000045020000}"/>
    <cellStyle name="Comma 2 3 6 4" xfId="900" xr:uid="{00000000-0005-0000-0000-000046020000}"/>
    <cellStyle name="Comma 2 3 7" xfId="223" xr:uid="{00000000-0005-0000-0000-000047020000}"/>
    <cellStyle name="Comma 2 3 7 2" xfId="607" xr:uid="{00000000-0005-0000-0000-000048020000}"/>
    <cellStyle name="Comma 2 3 7 2 2" xfId="1380" xr:uid="{00000000-0005-0000-0000-000049020000}"/>
    <cellStyle name="Comma 2 3 7 3" xfId="996" xr:uid="{00000000-0005-0000-0000-00004A020000}"/>
    <cellStyle name="Comma 2 3 8" xfId="415" xr:uid="{00000000-0005-0000-0000-00004B020000}"/>
    <cellStyle name="Comma 2 3 8 2" xfId="1188" xr:uid="{00000000-0005-0000-0000-00004C020000}"/>
    <cellStyle name="Comma 2 3 9" xfId="804" xr:uid="{00000000-0005-0000-0000-00004D020000}"/>
    <cellStyle name="Comma 2 4" xfId="35" xr:uid="{00000000-0005-0000-0000-00004E020000}"/>
    <cellStyle name="Comma 2 4 2" xfId="59" xr:uid="{00000000-0005-0000-0000-00004F020000}"/>
    <cellStyle name="Comma 2 4 2 2" xfId="107" xr:uid="{00000000-0005-0000-0000-000050020000}"/>
    <cellStyle name="Comma 2 4 2 2 2" xfId="203" xr:uid="{00000000-0005-0000-0000-000051020000}"/>
    <cellStyle name="Comma 2 4 2 2 2 2" xfId="395" xr:uid="{00000000-0005-0000-0000-000052020000}"/>
    <cellStyle name="Comma 2 4 2 2 2 2 2" xfId="779" xr:uid="{00000000-0005-0000-0000-000053020000}"/>
    <cellStyle name="Comma 2 4 2 2 2 2 2 2" xfId="1552" xr:uid="{00000000-0005-0000-0000-000054020000}"/>
    <cellStyle name="Comma 2 4 2 2 2 2 3" xfId="1168" xr:uid="{00000000-0005-0000-0000-000055020000}"/>
    <cellStyle name="Comma 2 4 2 2 2 3" xfId="587" xr:uid="{00000000-0005-0000-0000-000056020000}"/>
    <cellStyle name="Comma 2 4 2 2 2 3 2" xfId="1360" xr:uid="{00000000-0005-0000-0000-000057020000}"/>
    <cellStyle name="Comma 2 4 2 2 2 4" xfId="976" xr:uid="{00000000-0005-0000-0000-000058020000}"/>
    <cellStyle name="Comma 2 4 2 2 3" xfId="299" xr:uid="{00000000-0005-0000-0000-000059020000}"/>
    <cellStyle name="Comma 2 4 2 2 3 2" xfId="683" xr:uid="{00000000-0005-0000-0000-00005A020000}"/>
    <cellStyle name="Comma 2 4 2 2 3 2 2" xfId="1456" xr:uid="{00000000-0005-0000-0000-00005B020000}"/>
    <cellStyle name="Comma 2 4 2 2 3 3" xfId="1072" xr:uid="{00000000-0005-0000-0000-00005C020000}"/>
    <cellStyle name="Comma 2 4 2 2 4" xfId="491" xr:uid="{00000000-0005-0000-0000-00005D020000}"/>
    <cellStyle name="Comma 2 4 2 2 4 2" xfId="1264" xr:uid="{00000000-0005-0000-0000-00005E020000}"/>
    <cellStyle name="Comma 2 4 2 2 5" xfId="880" xr:uid="{00000000-0005-0000-0000-00005F020000}"/>
    <cellStyle name="Comma 2 4 2 3" xfId="155" xr:uid="{00000000-0005-0000-0000-000060020000}"/>
    <cellStyle name="Comma 2 4 2 3 2" xfId="347" xr:uid="{00000000-0005-0000-0000-000061020000}"/>
    <cellStyle name="Comma 2 4 2 3 2 2" xfId="731" xr:uid="{00000000-0005-0000-0000-000062020000}"/>
    <cellStyle name="Comma 2 4 2 3 2 2 2" xfId="1504" xr:uid="{00000000-0005-0000-0000-000063020000}"/>
    <cellStyle name="Comma 2 4 2 3 2 3" xfId="1120" xr:uid="{00000000-0005-0000-0000-000064020000}"/>
    <cellStyle name="Comma 2 4 2 3 3" xfId="539" xr:uid="{00000000-0005-0000-0000-000065020000}"/>
    <cellStyle name="Comma 2 4 2 3 3 2" xfId="1312" xr:uid="{00000000-0005-0000-0000-000066020000}"/>
    <cellStyle name="Comma 2 4 2 3 4" xfId="928" xr:uid="{00000000-0005-0000-0000-000067020000}"/>
    <cellStyle name="Comma 2 4 2 4" xfId="251" xr:uid="{00000000-0005-0000-0000-000068020000}"/>
    <cellStyle name="Comma 2 4 2 4 2" xfId="635" xr:uid="{00000000-0005-0000-0000-000069020000}"/>
    <cellStyle name="Comma 2 4 2 4 2 2" xfId="1408" xr:uid="{00000000-0005-0000-0000-00006A020000}"/>
    <cellStyle name="Comma 2 4 2 4 3" xfId="1024" xr:uid="{00000000-0005-0000-0000-00006B020000}"/>
    <cellStyle name="Comma 2 4 2 5" xfId="443" xr:uid="{00000000-0005-0000-0000-00006C020000}"/>
    <cellStyle name="Comma 2 4 2 5 2" xfId="1216" xr:uid="{00000000-0005-0000-0000-00006D020000}"/>
    <cellStyle name="Comma 2 4 2 6" xfId="832" xr:uid="{00000000-0005-0000-0000-00006E020000}"/>
    <cellStyle name="Comma 2 4 3" xfId="83" xr:uid="{00000000-0005-0000-0000-00006F020000}"/>
    <cellStyle name="Comma 2 4 3 2" xfId="179" xr:uid="{00000000-0005-0000-0000-000070020000}"/>
    <cellStyle name="Comma 2 4 3 2 2" xfId="371" xr:uid="{00000000-0005-0000-0000-000071020000}"/>
    <cellStyle name="Comma 2 4 3 2 2 2" xfId="755" xr:uid="{00000000-0005-0000-0000-000072020000}"/>
    <cellStyle name="Comma 2 4 3 2 2 2 2" xfId="1528" xr:uid="{00000000-0005-0000-0000-000073020000}"/>
    <cellStyle name="Comma 2 4 3 2 2 3" xfId="1144" xr:uid="{00000000-0005-0000-0000-000074020000}"/>
    <cellStyle name="Comma 2 4 3 2 3" xfId="563" xr:uid="{00000000-0005-0000-0000-000075020000}"/>
    <cellStyle name="Comma 2 4 3 2 3 2" xfId="1336" xr:uid="{00000000-0005-0000-0000-000076020000}"/>
    <cellStyle name="Comma 2 4 3 2 4" xfId="952" xr:uid="{00000000-0005-0000-0000-000077020000}"/>
    <cellStyle name="Comma 2 4 3 3" xfId="275" xr:uid="{00000000-0005-0000-0000-000078020000}"/>
    <cellStyle name="Comma 2 4 3 3 2" xfId="659" xr:uid="{00000000-0005-0000-0000-000079020000}"/>
    <cellStyle name="Comma 2 4 3 3 2 2" xfId="1432" xr:uid="{00000000-0005-0000-0000-00007A020000}"/>
    <cellStyle name="Comma 2 4 3 3 3" xfId="1048" xr:uid="{00000000-0005-0000-0000-00007B020000}"/>
    <cellStyle name="Comma 2 4 3 4" xfId="467" xr:uid="{00000000-0005-0000-0000-00007C020000}"/>
    <cellStyle name="Comma 2 4 3 4 2" xfId="1240" xr:uid="{00000000-0005-0000-0000-00007D020000}"/>
    <cellStyle name="Comma 2 4 3 5" xfId="856" xr:uid="{00000000-0005-0000-0000-00007E020000}"/>
    <cellStyle name="Comma 2 4 4" xfId="131" xr:uid="{00000000-0005-0000-0000-00007F020000}"/>
    <cellStyle name="Comma 2 4 4 2" xfId="323" xr:uid="{00000000-0005-0000-0000-000080020000}"/>
    <cellStyle name="Comma 2 4 4 2 2" xfId="707" xr:uid="{00000000-0005-0000-0000-000081020000}"/>
    <cellStyle name="Comma 2 4 4 2 2 2" xfId="1480" xr:uid="{00000000-0005-0000-0000-000082020000}"/>
    <cellStyle name="Comma 2 4 4 2 3" xfId="1096" xr:uid="{00000000-0005-0000-0000-000083020000}"/>
    <cellStyle name="Comma 2 4 4 3" xfId="515" xr:uid="{00000000-0005-0000-0000-000084020000}"/>
    <cellStyle name="Comma 2 4 4 3 2" xfId="1288" xr:uid="{00000000-0005-0000-0000-000085020000}"/>
    <cellStyle name="Comma 2 4 4 4" xfId="904" xr:uid="{00000000-0005-0000-0000-000086020000}"/>
    <cellStyle name="Comma 2 4 5" xfId="227" xr:uid="{00000000-0005-0000-0000-000087020000}"/>
    <cellStyle name="Comma 2 4 5 2" xfId="611" xr:uid="{00000000-0005-0000-0000-000088020000}"/>
    <cellStyle name="Comma 2 4 5 2 2" xfId="1384" xr:uid="{00000000-0005-0000-0000-000089020000}"/>
    <cellStyle name="Comma 2 4 5 3" xfId="1000" xr:uid="{00000000-0005-0000-0000-00008A020000}"/>
    <cellStyle name="Comma 2 4 6" xfId="419" xr:uid="{00000000-0005-0000-0000-00008B020000}"/>
    <cellStyle name="Comma 2 4 6 2" xfId="1192" xr:uid="{00000000-0005-0000-0000-00008C020000}"/>
    <cellStyle name="Comma 2 4 7" xfId="808" xr:uid="{00000000-0005-0000-0000-00008D020000}"/>
    <cellStyle name="Comma 2 5" xfId="43" xr:uid="{00000000-0005-0000-0000-00008E020000}"/>
    <cellStyle name="Comma 2 5 2" xfId="67" xr:uid="{00000000-0005-0000-0000-00008F020000}"/>
    <cellStyle name="Comma 2 5 2 2" xfId="115" xr:uid="{00000000-0005-0000-0000-000090020000}"/>
    <cellStyle name="Comma 2 5 2 2 2" xfId="211" xr:uid="{00000000-0005-0000-0000-000091020000}"/>
    <cellStyle name="Comma 2 5 2 2 2 2" xfId="403" xr:uid="{00000000-0005-0000-0000-000092020000}"/>
    <cellStyle name="Comma 2 5 2 2 2 2 2" xfId="787" xr:uid="{00000000-0005-0000-0000-000093020000}"/>
    <cellStyle name="Comma 2 5 2 2 2 2 2 2" xfId="1560" xr:uid="{00000000-0005-0000-0000-000094020000}"/>
    <cellStyle name="Comma 2 5 2 2 2 2 3" xfId="1176" xr:uid="{00000000-0005-0000-0000-000095020000}"/>
    <cellStyle name="Comma 2 5 2 2 2 3" xfId="595" xr:uid="{00000000-0005-0000-0000-000096020000}"/>
    <cellStyle name="Comma 2 5 2 2 2 3 2" xfId="1368" xr:uid="{00000000-0005-0000-0000-000097020000}"/>
    <cellStyle name="Comma 2 5 2 2 2 4" xfId="984" xr:uid="{00000000-0005-0000-0000-000098020000}"/>
    <cellStyle name="Comma 2 5 2 2 3" xfId="307" xr:uid="{00000000-0005-0000-0000-000099020000}"/>
    <cellStyle name="Comma 2 5 2 2 3 2" xfId="691" xr:uid="{00000000-0005-0000-0000-00009A020000}"/>
    <cellStyle name="Comma 2 5 2 2 3 2 2" xfId="1464" xr:uid="{00000000-0005-0000-0000-00009B020000}"/>
    <cellStyle name="Comma 2 5 2 2 3 3" xfId="1080" xr:uid="{00000000-0005-0000-0000-00009C020000}"/>
    <cellStyle name="Comma 2 5 2 2 4" xfId="499" xr:uid="{00000000-0005-0000-0000-00009D020000}"/>
    <cellStyle name="Comma 2 5 2 2 4 2" xfId="1272" xr:uid="{00000000-0005-0000-0000-00009E020000}"/>
    <cellStyle name="Comma 2 5 2 2 5" xfId="888" xr:uid="{00000000-0005-0000-0000-00009F020000}"/>
    <cellStyle name="Comma 2 5 2 3" xfId="163" xr:uid="{00000000-0005-0000-0000-0000A0020000}"/>
    <cellStyle name="Comma 2 5 2 3 2" xfId="355" xr:uid="{00000000-0005-0000-0000-0000A1020000}"/>
    <cellStyle name="Comma 2 5 2 3 2 2" xfId="739" xr:uid="{00000000-0005-0000-0000-0000A2020000}"/>
    <cellStyle name="Comma 2 5 2 3 2 2 2" xfId="1512" xr:uid="{00000000-0005-0000-0000-0000A3020000}"/>
    <cellStyle name="Comma 2 5 2 3 2 3" xfId="1128" xr:uid="{00000000-0005-0000-0000-0000A4020000}"/>
    <cellStyle name="Comma 2 5 2 3 3" xfId="547" xr:uid="{00000000-0005-0000-0000-0000A5020000}"/>
    <cellStyle name="Comma 2 5 2 3 3 2" xfId="1320" xr:uid="{00000000-0005-0000-0000-0000A6020000}"/>
    <cellStyle name="Comma 2 5 2 3 4" xfId="936" xr:uid="{00000000-0005-0000-0000-0000A7020000}"/>
    <cellStyle name="Comma 2 5 2 4" xfId="259" xr:uid="{00000000-0005-0000-0000-0000A8020000}"/>
    <cellStyle name="Comma 2 5 2 4 2" xfId="643" xr:uid="{00000000-0005-0000-0000-0000A9020000}"/>
    <cellStyle name="Comma 2 5 2 4 2 2" xfId="1416" xr:uid="{00000000-0005-0000-0000-0000AA020000}"/>
    <cellStyle name="Comma 2 5 2 4 3" xfId="1032" xr:uid="{00000000-0005-0000-0000-0000AB020000}"/>
    <cellStyle name="Comma 2 5 2 5" xfId="451" xr:uid="{00000000-0005-0000-0000-0000AC020000}"/>
    <cellStyle name="Comma 2 5 2 5 2" xfId="1224" xr:uid="{00000000-0005-0000-0000-0000AD020000}"/>
    <cellStyle name="Comma 2 5 2 6" xfId="840" xr:uid="{00000000-0005-0000-0000-0000AE020000}"/>
    <cellStyle name="Comma 2 5 3" xfId="91" xr:uid="{00000000-0005-0000-0000-0000AF020000}"/>
    <cellStyle name="Comma 2 5 3 2" xfId="187" xr:uid="{00000000-0005-0000-0000-0000B0020000}"/>
    <cellStyle name="Comma 2 5 3 2 2" xfId="379" xr:uid="{00000000-0005-0000-0000-0000B1020000}"/>
    <cellStyle name="Comma 2 5 3 2 2 2" xfId="763" xr:uid="{00000000-0005-0000-0000-0000B2020000}"/>
    <cellStyle name="Comma 2 5 3 2 2 2 2" xfId="1536" xr:uid="{00000000-0005-0000-0000-0000B3020000}"/>
    <cellStyle name="Comma 2 5 3 2 2 3" xfId="1152" xr:uid="{00000000-0005-0000-0000-0000B4020000}"/>
    <cellStyle name="Comma 2 5 3 2 3" xfId="571" xr:uid="{00000000-0005-0000-0000-0000B5020000}"/>
    <cellStyle name="Comma 2 5 3 2 3 2" xfId="1344" xr:uid="{00000000-0005-0000-0000-0000B6020000}"/>
    <cellStyle name="Comma 2 5 3 2 4" xfId="960" xr:uid="{00000000-0005-0000-0000-0000B7020000}"/>
    <cellStyle name="Comma 2 5 3 3" xfId="283" xr:uid="{00000000-0005-0000-0000-0000B8020000}"/>
    <cellStyle name="Comma 2 5 3 3 2" xfId="667" xr:uid="{00000000-0005-0000-0000-0000B9020000}"/>
    <cellStyle name="Comma 2 5 3 3 2 2" xfId="1440" xr:uid="{00000000-0005-0000-0000-0000BA020000}"/>
    <cellStyle name="Comma 2 5 3 3 3" xfId="1056" xr:uid="{00000000-0005-0000-0000-0000BB020000}"/>
    <cellStyle name="Comma 2 5 3 4" xfId="475" xr:uid="{00000000-0005-0000-0000-0000BC020000}"/>
    <cellStyle name="Comma 2 5 3 4 2" xfId="1248" xr:uid="{00000000-0005-0000-0000-0000BD020000}"/>
    <cellStyle name="Comma 2 5 3 5" xfId="864" xr:uid="{00000000-0005-0000-0000-0000BE020000}"/>
    <cellStyle name="Comma 2 5 4" xfId="139" xr:uid="{00000000-0005-0000-0000-0000BF020000}"/>
    <cellStyle name="Comma 2 5 4 2" xfId="331" xr:uid="{00000000-0005-0000-0000-0000C0020000}"/>
    <cellStyle name="Comma 2 5 4 2 2" xfId="715" xr:uid="{00000000-0005-0000-0000-0000C1020000}"/>
    <cellStyle name="Comma 2 5 4 2 2 2" xfId="1488" xr:uid="{00000000-0005-0000-0000-0000C2020000}"/>
    <cellStyle name="Comma 2 5 4 2 3" xfId="1104" xr:uid="{00000000-0005-0000-0000-0000C3020000}"/>
    <cellStyle name="Comma 2 5 4 3" xfId="523" xr:uid="{00000000-0005-0000-0000-0000C4020000}"/>
    <cellStyle name="Comma 2 5 4 3 2" xfId="1296" xr:uid="{00000000-0005-0000-0000-0000C5020000}"/>
    <cellStyle name="Comma 2 5 4 4" xfId="912" xr:uid="{00000000-0005-0000-0000-0000C6020000}"/>
    <cellStyle name="Comma 2 5 5" xfId="235" xr:uid="{00000000-0005-0000-0000-0000C7020000}"/>
    <cellStyle name="Comma 2 5 5 2" xfId="619" xr:uid="{00000000-0005-0000-0000-0000C8020000}"/>
    <cellStyle name="Comma 2 5 5 2 2" xfId="1392" xr:uid="{00000000-0005-0000-0000-0000C9020000}"/>
    <cellStyle name="Comma 2 5 5 3" xfId="1008" xr:uid="{00000000-0005-0000-0000-0000CA020000}"/>
    <cellStyle name="Comma 2 5 6" xfId="427" xr:uid="{00000000-0005-0000-0000-0000CB020000}"/>
    <cellStyle name="Comma 2 5 6 2" xfId="1200" xr:uid="{00000000-0005-0000-0000-0000CC020000}"/>
    <cellStyle name="Comma 2 5 7" xfId="816" xr:uid="{00000000-0005-0000-0000-0000CD020000}"/>
    <cellStyle name="Comma 2 6" xfId="51" xr:uid="{00000000-0005-0000-0000-0000CE020000}"/>
    <cellStyle name="Comma 2 6 2" xfId="99" xr:uid="{00000000-0005-0000-0000-0000CF020000}"/>
    <cellStyle name="Comma 2 6 2 2" xfId="195" xr:uid="{00000000-0005-0000-0000-0000D0020000}"/>
    <cellStyle name="Comma 2 6 2 2 2" xfId="387" xr:uid="{00000000-0005-0000-0000-0000D1020000}"/>
    <cellStyle name="Comma 2 6 2 2 2 2" xfId="771" xr:uid="{00000000-0005-0000-0000-0000D2020000}"/>
    <cellStyle name="Comma 2 6 2 2 2 2 2" xfId="1544" xr:uid="{00000000-0005-0000-0000-0000D3020000}"/>
    <cellStyle name="Comma 2 6 2 2 2 3" xfId="1160" xr:uid="{00000000-0005-0000-0000-0000D4020000}"/>
    <cellStyle name="Comma 2 6 2 2 3" xfId="579" xr:uid="{00000000-0005-0000-0000-0000D5020000}"/>
    <cellStyle name="Comma 2 6 2 2 3 2" xfId="1352" xr:uid="{00000000-0005-0000-0000-0000D6020000}"/>
    <cellStyle name="Comma 2 6 2 2 4" xfId="968" xr:uid="{00000000-0005-0000-0000-0000D7020000}"/>
    <cellStyle name="Comma 2 6 2 3" xfId="291" xr:uid="{00000000-0005-0000-0000-0000D8020000}"/>
    <cellStyle name="Comma 2 6 2 3 2" xfId="675" xr:uid="{00000000-0005-0000-0000-0000D9020000}"/>
    <cellStyle name="Comma 2 6 2 3 2 2" xfId="1448" xr:uid="{00000000-0005-0000-0000-0000DA020000}"/>
    <cellStyle name="Comma 2 6 2 3 3" xfId="1064" xr:uid="{00000000-0005-0000-0000-0000DB020000}"/>
    <cellStyle name="Comma 2 6 2 4" xfId="483" xr:uid="{00000000-0005-0000-0000-0000DC020000}"/>
    <cellStyle name="Comma 2 6 2 4 2" xfId="1256" xr:uid="{00000000-0005-0000-0000-0000DD020000}"/>
    <cellStyle name="Comma 2 6 2 5" xfId="872" xr:uid="{00000000-0005-0000-0000-0000DE020000}"/>
    <cellStyle name="Comma 2 6 3" xfId="147" xr:uid="{00000000-0005-0000-0000-0000DF020000}"/>
    <cellStyle name="Comma 2 6 3 2" xfId="339" xr:uid="{00000000-0005-0000-0000-0000E0020000}"/>
    <cellStyle name="Comma 2 6 3 2 2" xfId="723" xr:uid="{00000000-0005-0000-0000-0000E1020000}"/>
    <cellStyle name="Comma 2 6 3 2 2 2" xfId="1496" xr:uid="{00000000-0005-0000-0000-0000E2020000}"/>
    <cellStyle name="Comma 2 6 3 2 3" xfId="1112" xr:uid="{00000000-0005-0000-0000-0000E3020000}"/>
    <cellStyle name="Comma 2 6 3 3" xfId="531" xr:uid="{00000000-0005-0000-0000-0000E4020000}"/>
    <cellStyle name="Comma 2 6 3 3 2" xfId="1304" xr:uid="{00000000-0005-0000-0000-0000E5020000}"/>
    <cellStyle name="Comma 2 6 3 4" xfId="920" xr:uid="{00000000-0005-0000-0000-0000E6020000}"/>
    <cellStyle name="Comma 2 6 4" xfId="243" xr:uid="{00000000-0005-0000-0000-0000E7020000}"/>
    <cellStyle name="Comma 2 6 4 2" xfId="627" xr:uid="{00000000-0005-0000-0000-0000E8020000}"/>
    <cellStyle name="Comma 2 6 4 2 2" xfId="1400" xr:uid="{00000000-0005-0000-0000-0000E9020000}"/>
    <cellStyle name="Comma 2 6 4 3" xfId="1016" xr:uid="{00000000-0005-0000-0000-0000EA020000}"/>
    <cellStyle name="Comma 2 6 5" xfId="435" xr:uid="{00000000-0005-0000-0000-0000EB020000}"/>
    <cellStyle name="Comma 2 6 5 2" xfId="1208" xr:uid="{00000000-0005-0000-0000-0000EC020000}"/>
    <cellStyle name="Comma 2 6 6" xfId="824" xr:uid="{00000000-0005-0000-0000-0000ED020000}"/>
    <cellStyle name="Comma 2 7" xfId="75" xr:uid="{00000000-0005-0000-0000-0000EE020000}"/>
    <cellStyle name="Comma 2 7 2" xfId="171" xr:uid="{00000000-0005-0000-0000-0000EF020000}"/>
    <cellStyle name="Comma 2 7 2 2" xfId="363" xr:uid="{00000000-0005-0000-0000-0000F0020000}"/>
    <cellStyle name="Comma 2 7 2 2 2" xfId="747" xr:uid="{00000000-0005-0000-0000-0000F1020000}"/>
    <cellStyle name="Comma 2 7 2 2 2 2" xfId="1520" xr:uid="{00000000-0005-0000-0000-0000F2020000}"/>
    <cellStyle name="Comma 2 7 2 2 3" xfId="1136" xr:uid="{00000000-0005-0000-0000-0000F3020000}"/>
    <cellStyle name="Comma 2 7 2 3" xfId="555" xr:uid="{00000000-0005-0000-0000-0000F4020000}"/>
    <cellStyle name="Comma 2 7 2 3 2" xfId="1328" xr:uid="{00000000-0005-0000-0000-0000F5020000}"/>
    <cellStyle name="Comma 2 7 2 4" xfId="944" xr:uid="{00000000-0005-0000-0000-0000F6020000}"/>
    <cellStyle name="Comma 2 7 3" xfId="267" xr:uid="{00000000-0005-0000-0000-0000F7020000}"/>
    <cellStyle name="Comma 2 7 3 2" xfId="651" xr:uid="{00000000-0005-0000-0000-0000F8020000}"/>
    <cellStyle name="Comma 2 7 3 2 2" xfId="1424" xr:uid="{00000000-0005-0000-0000-0000F9020000}"/>
    <cellStyle name="Comma 2 7 3 3" xfId="1040" xr:uid="{00000000-0005-0000-0000-0000FA020000}"/>
    <cellStyle name="Comma 2 7 4" xfId="459" xr:uid="{00000000-0005-0000-0000-0000FB020000}"/>
    <cellStyle name="Comma 2 7 4 2" xfId="1232" xr:uid="{00000000-0005-0000-0000-0000FC020000}"/>
    <cellStyle name="Comma 2 7 5" xfId="848" xr:uid="{00000000-0005-0000-0000-0000FD020000}"/>
    <cellStyle name="Comma 2 8" xfId="123" xr:uid="{00000000-0005-0000-0000-0000FE020000}"/>
    <cellStyle name="Comma 2 8 2" xfId="315" xr:uid="{00000000-0005-0000-0000-0000FF020000}"/>
    <cellStyle name="Comma 2 8 2 2" xfId="699" xr:uid="{00000000-0005-0000-0000-000000030000}"/>
    <cellStyle name="Comma 2 8 2 2 2" xfId="1472" xr:uid="{00000000-0005-0000-0000-000001030000}"/>
    <cellStyle name="Comma 2 8 2 3" xfId="1088" xr:uid="{00000000-0005-0000-0000-000002030000}"/>
    <cellStyle name="Comma 2 8 3" xfId="507" xr:uid="{00000000-0005-0000-0000-000003030000}"/>
    <cellStyle name="Comma 2 8 3 2" xfId="1280" xr:uid="{00000000-0005-0000-0000-000004030000}"/>
    <cellStyle name="Comma 2 8 4" xfId="896" xr:uid="{00000000-0005-0000-0000-000005030000}"/>
    <cellStyle name="Comma 2 9" xfId="219" xr:uid="{00000000-0005-0000-0000-000006030000}"/>
    <cellStyle name="Comma 2 9 2" xfId="603" xr:uid="{00000000-0005-0000-0000-000007030000}"/>
    <cellStyle name="Comma 2 9 2 2" xfId="1376" xr:uid="{00000000-0005-0000-0000-000008030000}"/>
    <cellStyle name="Comma 2 9 3" xfId="992" xr:uid="{00000000-0005-0000-0000-000009030000}"/>
    <cellStyle name="Comma 3" xfId="28" xr:uid="{00000000-0005-0000-0000-00000A030000}"/>
    <cellStyle name="Comma 3 10" xfId="801" xr:uid="{00000000-0005-0000-0000-00000B030000}"/>
    <cellStyle name="Comma 3 2" xfId="32" xr:uid="{00000000-0005-0000-0000-00000C030000}"/>
    <cellStyle name="Comma 3 2 2" xfId="40" xr:uid="{00000000-0005-0000-0000-00000D030000}"/>
    <cellStyle name="Comma 3 2 2 2" xfId="64" xr:uid="{00000000-0005-0000-0000-00000E030000}"/>
    <cellStyle name="Comma 3 2 2 2 2" xfId="112" xr:uid="{00000000-0005-0000-0000-00000F030000}"/>
    <cellStyle name="Comma 3 2 2 2 2 2" xfId="208" xr:uid="{00000000-0005-0000-0000-000010030000}"/>
    <cellStyle name="Comma 3 2 2 2 2 2 2" xfId="400" xr:uid="{00000000-0005-0000-0000-000011030000}"/>
    <cellStyle name="Comma 3 2 2 2 2 2 2 2" xfId="784" xr:uid="{00000000-0005-0000-0000-000012030000}"/>
    <cellStyle name="Comma 3 2 2 2 2 2 2 2 2" xfId="1557" xr:uid="{00000000-0005-0000-0000-000013030000}"/>
    <cellStyle name="Comma 3 2 2 2 2 2 2 3" xfId="1173" xr:uid="{00000000-0005-0000-0000-000014030000}"/>
    <cellStyle name="Comma 3 2 2 2 2 2 3" xfId="592" xr:uid="{00000000-0005-0000-0000-000015030000}"/>
    <cellStyle name="Comma 3 2 2 2 2 2 3 2" xfId="1365" xr:uid="{00000000-0005-0000-0000-000016030000}"/>
    <cellStyle name="Comma 3 2 2 2 2 2 4" xfId="981" xr:uid="{00000000-0005-0000-0000-000017030000}"/>
    <cellStyle name="Comma 3 2 2 2 2 3" xfId="304" xr:uid="{00000000-0005-0000-0000-000018030000}"/>
    <cellStyle name="Comma 3 2 2 2 2 3 2" xfId="688" xr:uid="{00000000-0005-0000-0000-000019030000}"/>
    <cellStyle name="Comma 3 2 2 2 2 3 2 2" xfId="1461" xr:uid="{00000000-0005-0000-0000-00001A030000}"/>
    <cellStyle name="Comma 3 2 2 2 2 3 3" xfId="1077" xr:uid="{00000000-0005-0000-0000-00001B030000}"/>
    <cellStyle name="Comma 3 2 2 2 2 4" xfId="496" xr:uid="{00000000-0005-0000-0000-00001C030000}"/>
    <cellStyle name="Comma 3 2 2 2 2 4 2" xfId="1269" xr:uid="{00000000-0005-0000-0000-00001D030000}"/>
    <cellStyle name="Comma 3 2 2 2 2 5" xfId="885" xr:uid="{00000000-0005-0000-0000-00001E030000}"/>
    <cellStyle name="Comma 3 2 2 2 3" xfId="160" xr:uid="{00000000-0005-0000-0000-00001F030000}"/>
    <cellStyle name="Comma 3 2 2 2 3 2" xfId="352" xr:uid="{00000000-0005-0000-0000-000020030000}"/>
    <cellStyle name="Comma 3 2 2 2 3 2 2" xfId="736" xr:uid="{00000000-0005-0000-0000-000021030000}"/>
    <cellStyle name="Comma 3 2 2 2 3 2 2 2" xfId="1509" xr:uid="{00000000-0005-0000-0000-000022030000}"/>
    <cellStyle name="Comma 3 2 2 2 3 2 3" xfId="1125" xr:uid="{00000000-0005-0000-0000-000023030000}"/>
    <cellStyle name="Comma 3 2 2 2 3 3" xfId="544" xr:uid="{00000000-0005-0000-0000-000024030000}"/>
    <cellStyle name="Comma 3 2 2 2 3 3 2" xfId="1317" xr:uid="{00000000-0005-0000-0000-000025030000}"/>
    <cellStyle name="Comma 3 2 2 2 3 4" xfId="933" xr:uid="{00000000-0005-0000-0000-000026030000}"/>
    <cellStyle name="Comma 3 2 2 2 4" xfId="256" xr:uid="{00000000-0005-0000-0000-000027030000}"/>
    <cellStyle name="Comma 3 2 2 2 4 2" xfId="640" xr:uid="{00000000-0005-0000-0000-000028030000}"/>
    <cellStyle name="Comma 3 2 2 2 4 2 2" xfId="1413" xr:uid="{00000000-0005-0000-0000-000029030000}"/>
    <cellStyle name="Comma 3 2 2 2 4 3" xfId="1029" xr:uid="{00000000-0005-0000-0000-00002A030000}"/>
    <cellStyle name="Comma 3 2 2 2 5" xfId="448" xr:uid="{00000000-0005-0000-0000-00002B030000}"/>
    <cellStyle name="Comma 3 2 2 2 5 2" xfId="1221" xr:uid="{00000000-0005-0000-0000-00002C030000}"/>
    <cellStyle name="Comma 3 2 2 2 6" xfId="837" xr:uid="{00000000-0005-0000-0000-00002D030000}"/>
    <cellStyle name="Comma 3 2 2 3" xfId="88" xr:uid="{00000000-0005-0000-0000-00002E030000}"/>
    <cellStyle name="Comma 3 2 2 3 2" xfId="184" xr:uid="{00000000-0005-0000-0000-00002F030000}"/>
    <cellStyle name="Comma 3 2 2 3 2 2" xfId="376" xr:uid="{00000000-0005-0000-0000-000030030000}"/>
    <cellStyle name="Comma 3 2 2 3 2 2 2" xfId="760" xr:uid="{00000000-0005-0000-0000-000031030000}"/>
    <cellStyle name="Comma 3 2 2 3 2 2 2 2" xfId="1533" xr:uid="{00000000-0005-0000-0000-000032030000}"/>
    <cellStyle name="Comma 3 2 2 3 2 2 3" xfId="1149" xr:uid="{00000000-0005-0000-0000-000033030000}"/>
    <cellStyle name="Comma 3 2 2 3 2 3" xfId="568" xr:uid="{00000000-0005-0000-0000-000034030000}"/>
    <cellStyle name="Comma 3 2 2 3 2 3 2" xfId="1341" xr:uid="{00000000-0005-0000-0000-000035030000}"/>
    <cellStyle name="Comma 3 2 2 3 2 4" xfId="957" xr:uid="{00000000-0005-0000-0000-000036030000}"/>
    <cellStyle name="Comma 3 2 2 3 3" xfId="280" xr:uid="{00000000-0005-0000-0000-000037030000}"/>
    <cellStyle name="Comma 3 2 2 3 3 2" xfId="664" xr:uid="{00000000-0005-0000-0000-000038030000}"/>
    <cellStyle name="Comma 3 2 2 3 3 2 2" xfId="1437" xr:uid="{00000000-0005-0000-0000-000039030000}"/>
    <cellStyle name="Comma 3 2 2 3 3 3" xfId="1053" xr:uid="{00000000-0005-0000-0000-00003A030000}"/>
    <cellStyle name="Comma 3 2 2 3 4" xfId="472" xr:uid="{00000000-0005-0000-0000-00003B030000}"/>
    <cellStyle name="Comma 3 2 2 3 4 2" xfId="1245" xr:uid="{00000000-0005-0000-0000-00003C030000}"/>
    <cellStyle name="Comma 3 2 2 3 5" xfId="861" xr:uid="{00000000-0005-0000-0000-00003D030000}"/>
    <cellStyle name="Comma 3 2 2 4" xfId="136" xr:uid="{00000000-0005-0000-0000-00003E030000}"/>
    <cellStyle name="Comma 3 2 2 4 2" xfId="328" xr:uid="{00000000-0005-0000-0000-00003F030000}"/>
    <cellStyle name="Comma 3 2 2 4 2 2" xfId="712" xr:uid="{00000000-0005-0000-0000-000040030000}"/>
    <cellStyle name="Comma 3 2 2 4 2 2 2" xfId="1485" xr:uid="{00000000-0005-0000-0000-000041030000}"/>
    <cellStyle name="Comma 3 2 2 4 2 3" xfId="1101" xr:uid="{00000000-0005-0000-0000-000042030000}"/>
    <cellStyle name="Comma 3 2 2 4 3" xfId="520" xr:uid="{00000000-0005-0000-0000-000043030000}"/>
    <cellStyle name="Comma 3 2 2 4 3 2" xfId="1293" xr:uid="{00000000-0005-0000-0000-000044030000}"/>
    <cellStyle name="Comma 3 2 2 4 4" xfId="909" xr:uid="{00000000-0005-0000-0000-000045030000}"/>
    <cellStyle name="Comma 3 2 2 5" xfId="232" xr:uid="{00000000-0005-0000-0000-000046030000}"/>
    <cellStyle name="Comma 3 2 2 5 2" xfId="616" xr:uid="{00000000-0005-0000-0000-000047030000}"/>
    <cellStyle name="Comma 3 2 2 5 2 2" xfId="1389" xr:uid="{00000000-0005-0000-0000-000048030000}"/>
    <cellStyle name="Comma 3 2 2 5 3" xfId="1005" xr:uid="{00000000-0005-0000-0000-000049030000}"/>
    <cellStyle name="Comma 3 2 2 6" xfId="424" xr:uid="{00000000-0005-0000-0000-00004A030000}"/>
    <cellStyle name="Comma 3 2 2 6 2" xfId="1197" xr:uid="{00000000-0005-0000-0000-00004B030000}"/>
    <cellStyle name="Comma 3 2 2 7" xfId="813" xr:uid="{00000000-0005-0000-0000-00004C030000}"/>
    <cellStyle name="Comma 3 2 3" xfId="48" xr:uid="{00000000-0005-0000-0000-00004D030000}"/>
    <cellStyle name="Comma 3 2 3 2" xfId="72" xr:uid="{00000000-0005-0000-0000-00004E030000}"/>
    <cellStyle name="Comma 3 2 3 2 2" xfId="120" xr:uid="{00000000-0005-0000-0000-00004F030000}"/>
    <cellStyle name="Comma 3 2 3 2 2 2" xfId="216" xr:uid="{00000000-0005-0000-0000-000050030000}"/>
    <cellStyle name="Comma 3 2 3 2 2 2 2" xfId="408" xr:uid="{00000000-0005-0000-0000-000051030000}"/>
    <cellStyle name="Comma 3 2 3 2 2 2 2 2" xfId="792" xr:uid="{00000000-0005-0000-0000-000052030000}"/>
    <cellStyle name="Comma 3 2 3 2 2 2 2 2 2" xfId="1565" xr:uid="{00000000-0005-0000-0000-000053030000}"/>
    <cellStyle name="Comma 3 2 3 2 2 2 2 3" xfId="1181" xr:uid="{00000000-0005-0000-0000-000054030000}"/>
    <cellStyle name="Comma 3 2 3 2 2 2 3" xfId="600" xr:uid="{00000000-0005-0000-0000-000055030000}"/>
    <cellStyle name="Comma 3 2 3 2 2 2 3 2" xfId="1373" xr:uid="{00000000-0005-0000-0000-000056030000}"/>
    <cellStyle name="Comma 3 2 3 2 2 2 4" xfId="989" xr:uid="{00000000-0005-0000-0000-000057030000}"/>
    <cellStyle name="Comma 3 2 3 2 2 3" xfId="312" xr:uid="{00000000-0005-0000-0000-000058030000}"/>
    <cellStyle name="Comma 3 2 3 2 2 3 2" xfId="696" xr:uid="{00000000-0005-0000-0000-000059030000}"/>
    <cellStyle name="Comma 3 2 3 2 2 3 2 2" xfId="1469" xr:uid="{00000000-0005-0000-0000-00005A030000}"/>
    <cellStyle name="Comma 3 2 3 2 2 3 3" xfId="1085" xr:uid="{00000000-0005-0000-0000-00005B030000}"/>
    <cellStyle name="Comma 3 2 3 2 2 4" xfId="504" xr:uid="{00000000-0005-0000-0000-00005C030000}"/>
    <cellStyle name="Comma 3 2 3 2 2 4 2" xfId="1277" xr:uid="{00000000-0005-0000-0000-00005D030000}"/>
    <cellStyle name="Comma 3 2 3 2 2 5" xfId="893" xr:uid="{00000000-0005-0000-0000-00005E030000}"/>
    <cellStyle name="Comma 3 2 3 2 3" xfId="168" xr:uid="{00000000-0005-0000-0000-00005F030000}"/>
    <cellStyle name="Comma 3 2 3 2 3 2" xfId="360" xr:uid="{00000000-0005-0000-0000-000060030000}"/>
    <cellStyle name="Comma 3 2 3 2 3 2 2" xfId="744" xr:uid="{00000000-0005-0000-0000-000061030000}"/>
    <cellStyle name="Comma 3 2 3 2 3 2 2 2" xfId="1517" xr:uid="{00000000-0005-0000-0000-000062030000}"/>
    <cellStyle name="Comma 3 2 3 2 3 2 3" xfId="1133" xr:uid="{00000000-0005-0000-0000-000063030000}"/>
    <cellStyle name="Comma 3 2 3 2 3 3" xfId="552" xr:uid="{00000000-0005-0000-0000-000064030000}"/>
    <cellStyle name="Comma 3 2 3 2 3 3 2" xfId="1325" xr:uid="{00000000-0005-0000-0000-000065030000}"/>
    <cellStyle name="Comma 3 2 3 2 3 4" xfId="941" xr:uid="{00000000-0005-0000-0000-000066030000}"/>
    <cellStyle name="Comma 3 2 3 2 4" xfId="264" xr:uid="{00000000-0005-0000-0000-000067030000}"/>
    <cellStyle name="Comma 3 2 3 2 4 2" xfId="648" xr:uid="{00000000-0005-0000-0000-000068030000}"/>
    <cellStyle name="Comma 3 2 3 2 4 2 2" xfId="1421" xr:uid="{00000000-0005-0000-0000-000069030000}"/>
    <cellStyle name="Comma 3 2 3 2 4 3" xfId="1037" xr:uid="{00000000-0005-0000-0000-00006A030000}"/>
    <cellStyle name="Comma 3 2 3 2 5" xfId="456" xr:uid="{00000000-0005-0000-0000-00006B030000}"/>
    <cellStyle name="Comma 3 2 3 2 5 2" xfId="1229" xr:uid="{00000000-0005-0000-0000-00006C030000}"/>
    <cellStyle name="Comma 3 2 3 2 6" xfId="845" xr:uid="{00000000-0005-0000-0000-00006D030000}"/>
    <cellStyle name="Comma 3 2 3 3" xfId="96" xr:uid="{00000000-0005-0000-0000-00006E030000}"/>
    <cellStyle name="Comma 3 2 3 3 2" xfId="192" xr:uid="{00000000-0005-0000-0000-00006F030000}"/>
    <cellStyle name="Comma 3 2 3 3 2 2" xfId="384" xr:uid="{00000000-0005-0000-0000-000070030000}"/>
    <cellStyle name="Comma 3 2 3 3 2 2 2" xfId="768" xr:uid="{00000000-0005-0000-0000-000071030000}"/>
    <cellStyle name="Comma 3 2 3 3 2 2 2 2" xfId="1541" xr:uid="{00000000-0005-0000-0000-000072030000}"/>
    <cellStyle name="Comma 3 2 3 3 2 2 3" xfId="1157" xr:uid="{00000000-0005-0000-0000-000073030000}"/>
    <cellStyle name="Comma 3 2 3 3 2 3" xfId="576" xr:uid="{00000000-0005-0000-0000-000074030000}"/>
    <cellStyle name="Comma 3 2 3 3 2 3 2" xfId="1349" xr:uid="{00000000-0005-0000-0000-000075030000}"/>
    <cellStyle name="Comma 3 2 3 3 2 4" xfId="965" xr:uid="{00000000-0005-0000-0000-000076030000}"/>
    <cellStyle name="Comma 3 2 3 3 3" xfId="288" xr:uid="{00000000-0005-0000-0000-000077030000}"/>
    <cellStyle name="Comma 3 2 3 3 3 2" xfId="672" xr:uid="{00000000-0005-0000-0000-000078030000}"/>
    <cellStyle name="Comma 3 2 3 3 3 2 2" xfId="1445" xr:uid="{00000000-0005-0000-0000-000079030000}"/>
    <cellStyle name="Comma 3 2 3 3 3 3" xfId="1061" xr:uid="{00000000-0005-0000-0000-00007A030000}"/>
    <cellStyle name="Comma 3 2 3 3 4" xfId="480" xr:uid="{00000000-0005-0000-0000-00007B030000}"/>
    <cellStyle name="Comma 3 2 3 3 4 2" xfId="1253" xr:uid="{00000000-0005-0000-0000-00007C030000}"/>
    <cellStyle name="Comma 3 2 3 3 5" xfId="869" xr:uid="{00000000-0005-0000-0000-00007D030000}"/>
    <cellStyle name="Comma 3 2 3 4" xfId="144" xr:uid="{00000000-0005-0000-0000-00007E030000}"/>
    <cellStyle name="Comma 3 2 3 4 2" xfId="336" xr:uid="{00000000-0005-0000-0000-00007F030000}"/>
    <cellStyle name="Comma 3 2 3 4 2 2" xfId="720" xr:uid="{00000000-0005-0000-0000-000080030000}"/>
    <cellStyle name="Comma 3 2 3 4 2 2 2" xfId="1493" xr:uid="{00000000-0005-0000-0000-000081030000}"/>
    <cellStyle name="Comma 3 2 3 4 2 3" xfId="1109" xr:uid="{00000000-0005-0000-0000-000082030000}"/>
    <cellStyle name="Comma 3 2 3 4 3" xfId="528" xr:uid="{00000000-0005-0000-0000-000083030000}"/>
    <cellStyle name="Comma 3 2 3 4 3 2" xfId="1301" xr:uid="{00000000-0005-0000-0000-000084030000}"/>
    <cellStyle name="Comma 3 2 3 4 4" xfId="917" xr:uid="{00000000-0005-0000-0000-000085030000}"/>
    <cellStyle name="Comma 3 2 3 5" xfId="240" xr:uid="{00000000-0005-0000-0000-000086030000}"/>
    <cellStyle name="Comma 3 2 3 5 2" xfId="624" xr:uid="{00000000-0005-0000-0000-000087030000}"/>
    <cellStyle name="Comma 3 2 3 5 2 2" xfId="1397" xr:uid="{00000000-0005-0000-0000-000088030000}"/>
    <cellStyle name="Comma 3 2 3 5 3" xfId="1013" xr:uid="{00000000-0005-0000-0000-000089030000}"/>
    <cellStyle name="Comma 3 2 3 6" xfId="432" xr:uid="{00000000-0005-0000-0000-00008A030000}"/>
    <cellStyle name="Comma 3 2 3 6 2" xfId="1205" xr:uid="{00000000-0005-0000-0000-00008B030000}"/>
    <cellStyle name="Comma 3 2 3 7" xfId="821" xr:uid="{00000000-0005-0000-0000-00008C030000}"/>
    <cellStyle name="Comma 3 2 4" xfId="56" xr:uid="{00000000-0005-0000-0000-00008D030000}"/>
    <cellStyle name="Comma 3 2 4 2" xfId="104" xr:uid="{00000000-0005-0000-0000-00008E030000}"/>
    <cellStyle name="Comma 3 2 4 2 2" xfId="200" xr:uid="{00000000-0005-0000-0000-00008F030000}"/>
    <cellStyle name="Comma 3 2 4 2 2 2" xfId="392" xr:uid="{00000000-0005-0000-0000-000090030000}"/>
    <cellStyle name="Comma 3 2 4 2 2 2 2" xfId="776" xr:uid="{00000000-0005-0000-0000-000091030000}"/>
    <cellStyle name="Comma 3 2 4 2 2 2 2 2" xfId="1549" xr:uid="{00000000-0005-0000-0000-000092030000}"/>
    <cellStyle name="Comma 3 2 4 2 2 2 3" xfId="1165" xr:uid="{00000000-0005-0000-0000-000093030000}"/>
    <cellStyle name="Comma 3 2 4 2 2 3" xfId="584" xr:uid="{00000000-0005-0000-0000-000094030000}"/>
    <cellStyle name="Comma 3 2 4 2 2 3 2" xfId="1357" xr:uid="{00000000-0005-0000-0000-000095030000}"/>
    <cellStyle name="Comma 3 2 4 2 2 4" xfId="973" xr:uid="{00000000-0005-0000-0000-000096030000}"/>
    <cellStyle name="Comma 3 2 4 2 3" xfId="296" xr:uid="{00000000-0005-0000-0000-000097030000}"/>
    <cellStyle name="Comma 3 2 4 2 3 2" xfId="680" xr:uid="{00000000-0005-0000-0000-000098030000}"/>
    <cellStyle name="Comma 3 2 4 2 3 2 2" xfId="1453" xr:uid="{00000000-0005-0000-0000-000099030000}"/>
    <cellStyle name="Comma 3 2 4 2 3 3" xfId="1069" xr:uid="{00000000-0005-0000-0000-00009A030000}"/>
    <cellStyle name="Comma 3 2 4 2 4" xfId="488" xr:uid="{00000000-0005-0000-0000-00009B030000}"/>
    <cellStyle name="Comma 3 2 4 2 4 2" xfId="1261" xr:uid="{00000000-0005-0000-0000-00009C030000}"/>
    <cellStyle name="Comma 3 2 4 2 5" xfId="877" xr:uid="{00000000-0005-0000-0000-00009D030000}"/>
    <cellStyle name="Comma 3 2 4 3" xfId="152" xr:uid="{00000000-0005-0000-0000-00009E030000}"/>
    <cellStyle name="Comma 3 2 4 3 2" xfId="344" xr:uid="{00000000-0005-0000-0000-00009F030000}"/>
    <cellStyle name="Comma 3 2 4 3 2 2" xfId="728" xr:uid="{00000000-0005-0000-0000-0000A0030000}"/>
    <cellStyle name="Comma 3 2 4 3 2 2 2" xfId="1501" xr:uid="{00000000-0005-0000-0000-0000A1030000}"/>
    <cellStyle name="Comma 3 2 4 3 2 3" xfId="1117" xr:uid="{00000000-0005-0000-0000-0000A2030000}"/>
    <cellStyle name="Comma 3 2 4 3 3" xfId="536" xr:uid="{00000000-0005-0000-0000-0000A3030000}"/>
    <cellStyle name="Comma 3 2 4 3 3 2" xfId="1309" xr:uid="{00000000-0005-0000-0000-0000A4030000}"/>
    <cellStyle name="Comma 3 2 4 3 4" xfId="925" xr:uid="{00000000-0005-0000-0000-0000A5030000}"/>
    <cellStyle name="Comma 3 2 4 4" xfId="248" xr:uid="{00000000-0005-0000-0000-0000A6030000}"/>
    <cellStyle name="Comma 3 2 4 4 2" xfId="632" xr:uid="{00000000-0005-0000-0000-0000A7030000}"/>
    <cellStyle name="Comma 3 2 4 4 2 2" xfId="1405" xr:uid="{00000000-0005-0000-0000-0000A8030000}"/>
    <cellStyle name="Comma 3 2 4 4 3" xfId="1021" xr:uid="{00000000-0005-0000-0000-0000A9030000}"/>
    <cellStyle name="Comma 3 2 4 5" xfId="440" xr:uid="{00000000-0005-0000-0000-0000AA030000}"/>
    <cellStyle name="Comma 3 2 4 5 2" xfId="1213" xr:uid="{00000000-0005-0000-0000-0000AB030000}"/>
    <cellStyle name="Comma 3 2 4 6" xfId="829" xr:uid="{00000000-0005-0000-0000-0000AC030000}"/>
    <cellStyle name="Comma 3 2 5" xfId="80" xr:uid="{00000000-0005-0000-0000-0000AD030000}"/>
    <cellStyle name="Comma 3 2 5 2" xfId="176" xr:uid="{00000000-0005-0000-0000-0000AE030000}"/>
    <cellStyle name="Comma 3 2 5 2 2" xfId="368" xr:uid="{00000000-0005-0000-0000-0000AF030000}"/>
    <cellStyle name="Comma 3 2 5 2 2 2" xfId="752" xr:uid="{00000000-0005-0000-0000-0000B0030000}"/>
    <cellStyle name="Comma 3 2 5 2 2 2 2" xfId="1525" xr:uid="{00000000-0005-0000-0000-0000B1030000}"/>
    <cellStyle name="Comma 3 2 5 2 2 3" xfId="1141" xr:uid="{00000000-0005-0000-0000-0000B2030000}"/>
    <cellStyle name="Comma 3 2 5 2 3" xfId="560" xr:uid="{00000000-0005-0000-0000-0000B3030000}"/>
    <cellStyle name="Comma 3 2 5 2 3 2" xfId="1333" xr:uid="{00000000-0005-0000-0000-0000B4030000}"/>
    <cellStyle name="Comma 3 2 5 2 4" xfId="949" xr:uid="{00000000-0005-0000-0000-0000B5030000}"/>
    <cellStyle name="Comma 3 2 5 3" xfId="272" xr:uid="{00000000-0005-0000-0000-0000B6030000}"/>
    <cellStyle name="Comma 3 2 5 3 2" xfId="656" xr:uid="{00000000-0005-0000-0000-0000B7030000}"/>
    <cellStyle name="Comma 3 2 5 3 2 2" xfId="1429" xr:uid="{00000000-0005-0000-0000-0000B8030000}"/>
    <cellStyle name="Comma 3 2 5 3 3" xfId="1045" xr:uid="{00000000-0005-0000-0000-0000B9030000}"/>
    <cellStyle name="Comma 3 2 5 4" xfId="464" xr:uid="{00000000-0005-0000-0000-0000BA030000}"/>
    <cellStyle name="Comma 3 2 5 4 2" xfId="1237" xr:uid="{00000000-0005-0000-0000-0000BB030000}"/>
    <cellStyle name="Comma 3 2 5 5" xfId="853" xr:uid="{00000000-0005-0000-0000-0000BC030000}"/>
    <cellStyle name="Comma 3 2 6" xfId="128" xr:uid="{00000000-0005-0000-0000-0000BD030000}"/>
    <cellStyle name="Comma 3 2 6 2" xfId="320" xr:uid="{00000000-0005-0000-0000-0000BE030000}"/>
    <cellStyle name="Comma 3 2 6 2 2" xfId="704" xr:uid="{00000000-0005-0000-0000-0000BF030000}"/>
    <cellStyle name="Comma 3 2 6 2 2 2" xfId="1477" xr:uid="{00000000-0005-0000-0000-0000C0030000}"/>
    <cellStyle name="Comma 3 2 6 2 3" xfId="1093" xr:uid="{00000000-0005-0000-0000-0000C1030000}"/>
    <cellStyle name="Comma 3 2 6 3" xfId="512" xr:uid="{00000000-0005-0000-0000-0000C2030000}"/>
    <cellStyle name="Comma 3 2 6 3 2" xfId="1285" xr:uid="{00000000-0005-0000-0000-0000C3030000}"/>
    <cellStyle name="Comma 3 2 6 4" xfId="901" xr:uid="{00000000-0005-0000-0000-0000C4030000}"/>
    <cellStyle name="Comma 3 2 7" xfId="224" xr:uid="{00000000-0005-0000-0000-0000C5030000}"/>
    <cellStyle name="Comma 3 2 7 2" xfId="608" xr:uid="{00000000-0005-0000-0000-0000C6030000}"/>
    <cellStyle name="Comma 3 2 7 2 2" xfId="1381" xr:uid="{00000000-0005-0000-0000-0000C7030000}"/>
    <cellStyle name="Comma 3 2 7 3" xfId="997" xr:uid="{00000000-0005-0000-0000-0000C8030000}"/>
    <cellStyle name="Comma 3 2 8" xfId="416" xr:uid="{00000000-0005-0000-0000-0000C9030000}"/>
    <cellStyle name="Comma 3 2 8 2" xfId="1189" xr:uid="{00000000-0005-0000-0000-0000CA030000}"/>
    <cellStyle name="Comma 3 2 9" xfId="805" xr:uid="{00000000-0005-0000-0000-0000CB030000}"/>
    <cellStyle name="Comma 3 3" xfId="36" xr:uid="{00000000-0005-0000-0000-0000CC030000}"/>
    <cellStyle name="Comma 3 3 2" xfId="60" xr:uid="{00000000-0005-0000-0000-0000CD030000}"/>
    <cellStyle name="Comma 3 3 2 2" xfId="108" xr:uid="{00000000-0005-0000-0000-0000CE030000}"/>
    <cellStyle name="Comma 3 3 2 2 2" xfId="204" xr:uid="{00000000-0005-0000-0000-0000CF030000}"/>
    <cellStyle name="Comma 3 3 2 2 2 2" xfId="396" xr:uid="{00000000-0005-0000-0000-0000D0030000}"/>
    <cellStyle name="Comma 3 3 2 2 2 2 2" xfId="780" xr:uid="{00000000-0005-0000-0000-0000D1030000}"/>
    <cellStyle name="Comma 3 3 2 2 2 2 2 2" xfId="1553" xr:uid="{00000000-0005-0000-0000-0000D2030000}"/>
    <cellStyle name="Comma 3 3 2 2 2 2 3" xfId="1169" xr:uid="{00000000-0005-0000-0000-0000D3030000}"/>
    <cellStyle name="Comma 3 3 2 2 2 3" xfId="588" xr:uid="{00000000-0005-0000-0000-0000D4030000}"/>
    <cellStyle name="Comma 3 3 2 2 2 3 2" xfId="1361" xr:uid="{00000000-0005-0000-0000-0000D5030000}"/>
    <cellStyle name="Comma 3 3 2 2 2 4" xfId="977" xr:uid="{00000000-0005-0000-0000-0000D6030000}"/>
    <cellStyle name="Comma 3 3 2 2 3" xfId="300" xr:uid="{00000000-0005-0000-0000-0000D7030000}"/>
    <cellStyle name="Comma 3 3 2 2 3 2" xfId="684" xr:uid="{00000000-0005-0000-0000-0000D8030000}"/>
    <cellStyle name="Comma 3 3 2 2 3 2 2" xfId="1457" xr:uid="{00000000-0005-0000-0000-0000D9030000}"/>
    <cellStyle name="Comma 3 3 2 2 3 3" xfId="1073" xr:uid="{00000000-0005-0000-0000-0000DA030000}"/>
    <cellStyle name="Comma 3 3 2 2 4" xfId="492" xr:uid="{00000000-0005-0000-0000-0000DB030000}"/>
    <cellStyle name="Comma 3 3 2 2 4 2" xfId="1265" xr:uid="{00000000-0005-0000-0000-0000DC030000}"/>
    <cellStyle name="Comma 3 3 2 2 5" xfId="881" xr:uid="{00000000-0005-0000-0000-0000DD030000}"/>
    <cellStyle name="Comma 3 3 2 3" xfId="156" xr:uid="{00000000-0005-0000-0000-0000DE030000}"/>
    <cellStyle name="Comma 3 3 2 3 2" xfId="348" xr:uid="{00000000-0005-0000-0000-0000DF030000}"/>
    <cellStyle name="Comma 3 3 2 3 2 2" xfId="732" xr:uid="{00000000-0005-0000-0000-0000E0030000}"/>
    <cellStyle name="Comma 3 3 2 3 2 2 2" xfId="1505" xr:uid="{00000000-0005-0000-0000-0000E1030000}"/>
    <cellStyle name="Comma 3 3 2 3 2 3" xfId="1121" xr:uid="{00000000-0005-0000-0000-0000E2030000}"/>
    <cellStyle name="Comma 3 3 2 3 3" xfId="540" xr:uid="{00000000-0005-0000-0000-0000E3030000}"/>
    <cellStyle name="Comma 3 3 2 3 3 2" xfId="1313" xr:uid="{00000000-0005-0000-0000-0000E4030000}"/>
    <cellStyle name="Comma 3 3 2 3 4" xfId="929" xr:uid="{00000000-0005-0000-0000-0000E5030000}"/>
    <cellStyle name="Comma 3 3 2 4" xfId="252" xr:uid="{00000000-0005-0000-0000-0000E6030000}"/>
    <cellStyle name="Comma 3 3 2 4 2" xfId="636" xr:uid="{00000000-0005-0000-0000-0000E7030000}"/>
    <cellStyle name="Comma 3 3 2 4 2 2" xfId="1409" xr:uid="{00000000-0005-0000-0000-0000E8030000}"/>
    <cellStyle name="Comma 3 3 2 4 3" xfId="1025" xr:uid="{00000000-0005-0000-0000-0000E9030000}"/>
    <cellStyle name="Comma 3 3 2 5" xfId="444" xr:uid="{00000000-0005-0000-0000-0000EA030000}"/>
    <cellStyle name="Comma 3 3 2 5 2" xfId="1217" xr:uid="{00000000-0005-0000-0000-0000EB030000}"/>
    <cellStyle name="Comma 3 3 2 6" xfId="833" xr:uid="{00000000-0005-0000-0000-0000EC030000}"/>
    <cellStyle name="Comma 3 3 3" xfId="84" xr:uid="{00000000-0005-0000-0000-0000ED030000}"/>
    <cellStyle name="Comma 3 3 3 2" xfId="180" xr:uid="{00000000-0005-0000-0000-0000EE030000}"/>
    <cellStyle name="Comma 3 3 3 2 2" xfId="372" xr:uid="{00000000-0005-0000-0000-0000EF030000}"/>
    <cellStyle name="Comma 3 3 3 2 2 2" xfId="756" xr:uid="{00000000-0005-0000-0000-0000F0030000}"/>
    <cellStyle name="Comma 3 3 3 2 2 2 2" xfId="1529" xr:uid="{00000000-0005-0000-0000-0000F1030000}"/>
    <cellStyle name="Comma 3 3 3 2 2 3" xfId="1145" xr:uid="{00000000-0005-0000-0000-0000F2030000}"/>
    <cellStyle name="Comma 3 3 3 2 3" xfId="564" xr:uid="{00000000-0005-0000-0000-0000F3030000}"/>
    <cellStyle name="Comma 3 3 3 2 3 2" xfId="1337" xr:uid="{00000000-0005-0000-0000-0000F4030000}"/>
    <cellStyle name="Comma 3 3 3 2 4" xfId="953" xr:uid="{00000000-0005-0000-0000-0000F5030000}"/>
    <cellStyle name="Comma 3 3 3 3" xfId="276" xr:uid="{00000000-0005-0000-0000-0000F6030000}"/>
    <cellStyle name="Comma 3 3 3 3 2" xfId="660" xr:uid="{00000000-0005-0000-0000-0000F7030000}"/>
    <cellStyle name="Comma 3 3 3 3 2 2" xfId="1433" xr:uid="{00000000-0005-0000-0000-0000F8030000}"/>
    <cellStyle name="Comma 3 3 3 3 3" xfId="1049" xr:uid="{00000000-0005-0000-0000-0000F9030000}"/>
    <cellStyle name="Comma 3 3 3 4" xfId="468" xr:uid="{00000000-0005-0000-0000-0000FA030000}"/>
    <cellStyle name="Comma 3 3 3 4 2" xfId="1241" xr:uid="{00000000-0005-0000-0000-0000FB030000}"/>
    <cellStyle name="Comma 3 3 3 5" xfId="857" xr:uid="{00000000-0005-0000-0000-0000FC030000}"/>
    <cellStyle name="Comma 3 3 4" xfId="132" xr:uid="{00000000-0005-0000-0000-0000FD030000}"/>
    <cellStyle name="Comma 3 3 4 2" xfId="324" xr:uid="{00000000-0005-0000-0000-0000FE030000}"/>
    <cellStyle name="Comma 3 3 4 2 2" xfId="708" xr:uid="{00000000-0005-0000-0000-0000FF030000}"/>
    <cellStyle name="Comma 3 3 4 2 2 2" xfId="1481" xr:uid="{00000000-0005-0000-0000-000000040000}"/>
    <cellStyle name="Comma 3 3 4 2 3" xfId="1097" xr:uid="{00000000-0005-0000-0000-000001040000}"/>
    <cellStyle name="Comma 3 3 4 3" xfId="516" xr:uid="{00000000-0005-0000-0000-000002040000}"/>
    <cellStyle name="Comma 3 3 4 3 2" xfId="1289" xr:uid="{00000000-0005-0000-0000-000003040000}"/>
    <cellStyle name="Comma 3 3 4 4" xfId="905" xr:uid="{00000000-0005-0000-0000-000004040000}"/>
    <cellStyle name="Comma 3 3 5" xfId="228" xr:uid="{00000000-0005-0000-0000-000005040000}"/>
    <cellStyle name="Comma 3 3 5 2" xfId="612" xr:uid="{00000000-0005-0000-0000-000006040000}"/>
    <cellStyle name="Comma 3 3 5 2 2" xfId="1385" xr:uid="{00000000-0005-0000-0000-000007040000}"/>
    <cellStyle name="Comma 3 3 5 3" xfId="1001" xr:uid="{00000000-0005-0000-0000-000008040000}"/>
    <cellStyle name="Comma 3 3 6" xfId="420" xr:uid="{00000000-0005-0000-0000-000009040000}"/>
    <cellStyle name="Comma 3 3 6 2" xfId="1193" xr:uid="{00000000-0005-0000-0000-00000A040000}"/>
    <cellStyle name="Comma 3 3 7" xfId="809" xr:uid="{00000000-0005-0000-0000-00000B040000}"/>
    <cellStyle name="Comma 3 4" xfId="44" xr:uid="{00000000-0005-0000-0000-00000C040000}"/>
    <cellStyle name="Comma 3 4 2" xfId="68" xr:uid="{00000000-0005-0000-0000-00000D040000}"/>
    <cellStyle name="Comma 3 4 2 2" xfId="116" xr:uid="{00000000-0005-0000-0000-00000E040000}"/>
    <cellStyle name="Comma 3 4 2 2 2" xfId="212" xr:uid="{00000000-0005-0000-0000-00000F040000}"/>
    <cellStyle name="Comma 3 4 2 2 2 2" xfId="404" xr:uid="{00000000-0005-0000-0000-000010040000}"/>
    <cellStyle name="Comma 3 4 2 2 2 2 2" xfId="788" xr:uid="{00000000-0005-0000-0000-000011040000}"/>
    <cellStyle name="Comma 3 4 2 2 2 2 2 2" xfId="1561" xr:uid="{00000000-0005-0000-0000-000012040000}"/>
    <cellStyle name="Comma 3 4 2 2 2 2 3" xfId="1177" xr:uid="{00000000-0005-0000-0000-000013040000}"/>
    <cellStyle name="Comma 3 4 2 2 2 3" xfId="596" xr:uid="{00000000-0005-0000-0000-000014040000}"/>
    <cellStyle name="Comma 3 4 2 2 2 3 2" xfId="1369" xr:uid="{00000000-0005-0000-0000-000015040000}"/>
    <cellStyle name="Comma 3 4 2 2 2 4" xfId="985" xr:uid="{00000000-0005-0000-0000-000016040000}"/>
    <cellStyle name="Comma 3 4 2 2 3" xfId="308" xr:uid="{00000000-0005-0000-0000-000017040000}"/>
    <cellStyle name="Comma 3 4 2 2 3 2" xfId="692" xr:uid="{00000000-0005-0000-0000-000018040000}"/>
    <cellStyle name="Comma 3 4 2 2 3 2 2" xfId="1465" xr:uid="{00000000-0005-0000-0000-000019040000}"/>
    <cellStyle name="Comma 3 4 2 2 3 3" xfId="1081" xr:uid="{00000000-0005-0000-0000-00001A040000}"/>
    <cellStyle name="Comma 3 4 2 2 4" xfId="500" xr:uid="{00000000-0005-0000-0000-00001B040000}"/>
    <cellStyle name="Comma 3 4 2 2 4 2" xfId="1273" xr:uid="{00000000-0005-0000-0000-00001C040000}"/>
    <cellStyle name="Comma 3 4 2 2 5" xfId="889" xr:uid="{00000000-0005-0000-0000-00001D040000}"/>
    <cellStyle name="Comma 3 4 2 3" xfId="164" xr:uid="{00000000-0005-0000-0000-00001E040000}"/>
    <cellStyle name="Comma 3 4 2 3 2" xfId="356" xr:uid="{00000000-0005-0000-0000-00001F040000}"/>
    <cellStyle name="Comma 3 4 2 3 2 2" xfId="740" xr:uid="{00000000-0005-0000-0000-000020040000}"/>
    <cellStyle name="Comma 3 4 2 3 2 2 2" xfId="1513" xr:uid="{00000000-0005-0000-0000-000021040000}"/>
    <cellStyle name="Comma 3 4 2 3 2 3" xfId="1129" xr:uid="{00000000-0005-0000-0000-000022040000}"/>
    <cellStyle name="Comma 3 4 2 3 3" xfId="548" xr:uid="{00000000-0005-0000-0000-000023040000}"/>
    <cellStyle name="Comma 3 4 2 3 3 2" xfId="1321" xr:uid="{00000000-0005-0000-0000-000024040000}"/>
    <cellStyle name="Comma 3 4 2 3 4" xfId="937" xr:uid="{00000000-0005-0000-0000-000025040000}"/>
    <cellStyle name="Comma 3 4 2 4" xfId="260" xr:uid="{00000000-0005-0000-0000-000026040000}"/>
    <cellStyle name="Comma 3 4 2 4 2" xfId="644" xr:uid="{00000000-0005-0000-0000-000027040000}"/>
    <cellStyle name="Comma 3 4 2 4 2 2" xfId="1417" xr:uid="{00000000-0005-0000-0000-000028040000}"/>
    <cellStyle name="Comma 3 4 2 4 3" xfId="1033" xr:uid="{00000000-0005-0000-0000-000029040000}"/>
    <cellStyle name="Comma 3 4 2 5" xfId="452" xr:uid="{00000000-0005-0000-0000-00002A040000}"/>
    <cellStyle name="Comma 3 4 2 5 2" xfId="1225" xr:uid="{00000000-0005-0000-0000-00002B040000}"/>
    <cellStyle name="Comma 3 4 2 6" xfId="841" xr:uid="{00000000-0005-0000-0000-00002C040000}"/>
    <cellStyle name="Comma 3 4 3" xfId="92" xr:uid="{00000000-0005-0000-0000-00002D040000}"/>
    <cellStyle name="Comma 3 4 3 2" xfId="188" xr:uid="{00000000-0005-0000-0000-00002E040000}"/>
    <cellStyle name="Comma 3 4 3 2 2" xfId="380" xr:uid="{00000000-0005-0000-0000-00002F040000}"/>
    <cellStyle name="Comma 3 4 3 2 2 2" xfId="764" xr:uid="{00000000-0005-0000-0000-000030040000}"/>
    <cellStyle name="Comma 3 4 3 2 2 2 2" xfId="1537" xr:uid="{00000000-0005-0000-0000-000031040000}"/>
    <cellStyle name="Comma 3 4 3 2 2 3" xfId="1153" xr:uid="{00000000-0005-0000-0000-000032040000}"/>
    <cellStyle name="Comma 3 4 3 2 3" xfId="572" xr:uid="{00000000-0005-0000-0000-000033040000}"/>
    <cellStyle name="Comma 3 4 3 2 3 2" xfId="1345" xr:uid="{00000000-0005-0000-0000-000034040000}"/>
    <cellStyle name="Comma 3 4 3 2 4" xfId="961" xr:uid="{00000000-0005-0000-0000-000035040000}"/>
    <cellStyle name="Comma 3 4 3 3" xfId="284" xr:uid="{00000000-0005-0000-0000-000036040000}"/>
    <cellStyle name="Comma 3 4 3 3 2" xfId="668" xr:uid="{00000000-0005-0000-0000-000037040000}"/>
    <cellStyle name="Comma 3 4 3 3 2 2" xfId="1441" xr:uid="{00000000-0005-0000-0000-000038040000}"/>
    <cellStyle name="Comma 3 4 3 3 3" xfId="1057" xr:uid="{00000000-0005-0000-0000-000039040000}"/>
    <cellStyle name="Comma 3 4 3 4" xfId="476" xr:uid="{00000000-0005-0000-0000-00003A040000}"/>
    <cellStyle name="Comma 3 4 3 4 2" xfId="1249" xr:uid="{00000000-0005-0000-0000-00003B040000}"/>
    <cellStyle name="Comma 3 4 3 5" xfId="865" xr:uid="{00000000-0005-0000-0000-00003C040000}"/>
    <cellStyle name="Comma 3 4 4" xfId="140" xr:uid="{00000000-0005-0000-0000-00003D040000}"/>
    <cellStyle name="Comma 3 4 4 2" xfId="332" xr:uid="{00000000-0005-0000-0000-00003E040000}"/>
    <cellStyle name="Comma 3 4 4 2 2" xfId="716" xr:uid="{00000000-0005-0000-0000-00003F040000}"/>
    <cellStyle name="Comma 3 4 4 2 2 2" xfId="1489" xr:uid="{00000000-0005-0000-0000-000040040000}"/>
    <cellStyle name="Comma 3 4 4 2 3" xfId="1105" xr:uid="{00000000-0005-0000-0000-000041040000}"/>
    <cellStyle name="Comma 3 4 4 3" xfId="524" xr:uid="{00000000-0005-0000-0000-000042040000}"/>
    <cellStyle name="Comma 3 4 4 3 2" xfId="1297" xr:uid="{00000000-0005-0000-0000-000043040000}"/>
    <cellStyle name="Comma 3 4 4 4" xfId="913" xr:uid="{00000000-0005-0000-0000-000044040000}"/>
    <cellStyle name="Comma 3 4 5" xfId="236" xr:uid="{00000000-0005-0000-0000-000045040000}"/>
    <cellStyle name="Comma 3 4 5 2" xfId="620" xr:uid="{00000000-0005-0000-0000-000046040000}"/>
    <cellStyle name="Comma 3 4 5 2 2" xfId="1393" xr:uid="{00000000-0005-0000-0000-000047040000}"/>
    <cellStyle name="Comma 3 4 5 3" xfId="1009" xr:uid="{00000000-0005-0000-0000-000048040000}"/>
    <cellStyle name="Comma 3 4 6" xfId="428" xr:uid="{00000000-0005-0000-0000-000049040000}"/>
    <cellStyle name="Comma 3 4 6 2" xfId="1201" xr:uid="{00000000-0005-0000-0000-00004A040000}"/>
    <cellStyle name="Comma 3 4 7" xfId="817" xr:uid="{00000000-0005-0000-0000-00004B040000}"/>
    <cellStyle name="Comma 3 5" xfId="52" xr:uid="{00000000-0005-0000-0000-00004C040000}"/>
    <cellStyle name="Comma 3 5 2" xfId="100" xr:uid="{00000000-0005-0000-0000-00004D040000}"/>
    <cellStyle name="Comma 3 5 2 2" xfId="196" xr:uid="{00000000-0005-0000-0000-00004E040000}"/>
    <cellStyle name="Comma 3 5 2 2 2" xfId="388" xr:uid="{00000000-0005-0000-0000-00004F040000}"/>
    <cellStyle name="Comma 3 5 2 2 2 2" xfId="772" xr:uid="{00000000-0005-0000-0000-000050040000}"/>
    <cellStyle name="Comma 3 5 2 2 2 2 2" xfId="1545" xr:uid="{00000000-0005-0000-0000-000051040000}"/>
    <cellStyle name="Comma 3 5 2 2 2 3" xfId="1161" xr:uid="{00000000-0005-0000-0000-000052040000}"/>
    <cellStyle name="Comma 3 5 2 2 3" xfId="580" xr:uid="{00000000-0005-0000-0000-000053040000}"/>
    <cellStyle name="Comma 3 5 2 2 3 2" xfId="1353" xr:uid="{00000000-0005-0000-0000-000054040000}"/>
    <cellStyle name="Comma 3 5 2 2 4" xfId="969" xr:uid="{00000000-0005-0000-0000-000055040000}"/>
    <cellStyle name="Comma 3 5 2 3" xfId="292" xr:uid="{00000000-0005-0000-0000-000056040000}"/>
    <cellStyle name="Comma 3 5 2 3 2" xfId="676" xr:uid="{00000000-0005-0000-0000-000057040000}"/>
    <cellStyle name="Comma 3 5 2 3 2 2" xfId="1449" xr:uid="{00000000-0005-0000-0000-000058040000}"/>
    <cellStyle name="Comma 3 5 2 3 3" xfId="1065" xr:uid="{00000000-0005-0000-0000-000059040000}"/>
    <cellStyle name="Comma 3 5 2 4" xfId="484" xr:uid="{00000000-0005-0000-0000-00005A040000}"/>
    <cellStyle name="Comma 3 5 2 4 2" xfId="1257" xr:uid="{00000000-0005-0000-0000-00005B040000}"/>
    <cellStyle name="Comma 3 5 2 5" xfId="873" xr:uid="{00000000-0005-0000-0000-00005C040000}"/>
    <cellStyle name="Comma 3 5 3" xfId="148" xr:uid="{00000000-0005-0000-0000-00005D040000}"/>
    <cellStyle name="Comma 3 5 3 2" xfId="340" xr:uid="{00000000-0005-0000-0000-00005E040000}"/>
    <cellStyle name="Comma 3 5 3 2 2" xfId="724" xr:uid="{00000000-0005-0000-0000-00005F040000}"/>
    <cellStyle name="Comma 3 5 3 2 2 2" xfId="1497" xr:uid="{00000000-0005-0000-0000-000060040000}"/>
    <cellStyle name="Comma 3 5 3 2 3" xfId="1113" xr:uid="{00000000-0005-0000-0000-000061040000}"/>
    <cellStyle name="Comma 3 5 3 3" xfId="532" xr:uid="{00000000-0005-0000-0000-000062040000}"/>
    <cellStyle name="Comma 3 5 3 3 2" xfId="1305" xr:uid="{00000000-0005-0000-0000-000063040000}"/>
    <cellStyle name="Comma 3 5 3 4" xfId="921" xr:uid="{00000000-0005-0000-0000-000064040000}"/>
    <cellStyle name="Comma 3 5 4" xfId="244" xr:uid="{00000000-0005-0000-0000-000065040000}"/>
    <cellStyle name="Comma 3 5 4 2" xfId="628" xr:uid="{00000000-0005-0000-0000-000066040000}"/>
    <cellStyle name="Comma 3 5 4 2 2" xfId="1401" xr:uid="{00000000-0005-0000-0000-000067040000}"/>
    <cellStyle name="Comma 3 5 4 3" xfId="1017" xr:uid="{00000000-0005-0000-0000-000068040000}"/>
    <cellStyle name="Comma 3 5 5" xfId="436" xr:uid="{00000000-0005-0000-0000-000069040000}"/>
    <cellStyle name="Comma 3 5 5 2" xfId="1209" xr:uid="{00000000-0005-0000-0000-00006A040000}"/>
    <cellStyle name="Comma 3 5 6" xfId="825" xr:uid="{00000000-0005-0000-0000-00006B040000}"/>
    <cellStyle name="Comma 3 6" xfId="76" xr:uid="{00000000-0005-0000-0000-00006C040000}"/>
    <cellStyle name="Comma 3 6 2" xfId="172" xr:uid="{00000000-0005-0000-0000-00006D040000}"/>
    <cellStyle name="Comma 3 6 2 2" xfId="364" xr:uid="{00000000-0005-0000-0000-00006E040000}"/>
    <cellStyle name="Comma 3 6 2 2 2" xfId="748" xr:uid="{00000000-0005-0000-0000-00006F040000}"/>
    <cellStyle name="Comma 3 6 2 2 2 2" xfId="1521" xr:uid="{00000000-0005-0000-0000-000070040000}"/>
    <cellStyle name="Comma 3 6 2 2 3" xfId="1137" xr:uid="{00000000-0005-0000-0000-000071040000}"/>
    <cellStyle name="Comma 3 6 2 3" xfId="556" xr:uid="{00000000-0005-0000-0000-000072040000}"/>
    <cellStyle name="Comma 3 6 2 3 2" xfId="1329" xr:uid="{00000000-0005-0000-0000-000073040000}"/>
    <cellStyle name="Comma 3 6 2 4" xfId="945" xr:uid="{00000000-0005-0000-0000-000074040000}"/>
    <cellStyle name="Comma 3 6 3" xfId="268" xr:uid="{00000000-0005-0000-0000-000075040000}"/>
    <cellStyle name="Comma 3 6 3 2" xfId="652" xr:uid="{00000000-0005-0000-0000-000076040000}"/>
    <cellStyle name="Comma 3 6 3 2 2" xfId="1425" xr:uid="{00000000-0005-0000-0000-000077040000}"/>
    <cellStyle name="Comma 3 6 3 3" xfId="1041" xr:uid="{00000000-0005-0000-0000-000078040000}"/>
    <cellStyle name="Comma 3 6 4" xfId="460" xr:uid="{00000000-0005-0000-0000-000079040000}"/>
    <cellStyle name="Comma 3 6 4 2" xfId="1233" xr:uid="{00000000-0005-0000-0000-00007A040000}"/>
    <cellStyle name="Comma 3 6 5" xfId="849" xr:uid="{00000000-0005-0000-0000-00007B040000}"/>
    <cellStyle name="Comma 3 7" xfId="124" xr:uid="{00000000-0005-0000-0000-00007C040000}"/>
    <cellStyle name="Comma 3 7 2" xfId="316" xr:uid="{00000000-0005-0000-0000-00007D040000}"/>
    <cellStyle name="Comma 3 7 2 2" xfId="700" xr:uid="{00000000-0005-0000-0000-00007E040000}"/>
    <cellStyle name="Comma 3 7 2 2 2" xfId="1473" xr:uid="{00000000-0005-0000-0000-00007F040000}"/>
    <cellStyle name="Comma 3 7 2 3" xfId="1089" xr:uid="{00000000-0005-0000-0000-000080040000}"/>
    <cellStyle name="Comma 3 7 3" xfId="508" xr:uid="{00000000-0005-0000-0000-000081040000}"/>
    <cellStyle name="Comma 3 7 3 2" xfId="1281" xr:uid="{00000000-0005-0000-0000-000082040000}"/>
    <cellStyle name="Comma 3 7 4" xfId="897" xr:uid="{00000000-0005-0000-0000-000083040000}"/>
    <cellStyle name="Comma 3 8" xfId="220" xr:uid="{00000000-0005-0000-0000-000084040000}"/>
    <cellStyle name="Comma 3 8 2" xfId="604" xr:uid="{00000000-0005-0000-0000-000085040000}"/>
    <cellStyle name="Comma 3 8 2 2" xfId="1377" xr:uid="{00000000-0005-0000-0000-000086040000}"/>
    <cellStyle name="Comma 3 8 3" xfId="993" xr:uid="{00000000-0005-0000-0000-000087040000}"/>
    <cellStyle name="Comma 3 9" xfId="412" xr:uid="{00000000-0005-0000-0000-000088040000}"/>
    <cellStyle name="Comma 3 9 2" xfId="1185" xr:uid="{00000000-0005-0000-0000-000089040000}"/>
    <cellStyle name="Comma 4" xfId="30" xr:uid="{00000000-0005-0000-0000-00008A040000}"/>
    <cellStyle name="Comma 4 2" xfId="38" xr:uid="{00000000-0005-0000-0000-00008B040000}"/>
    <cellStyle name="Comma 4 2 2" xfId="62" xr:uid="{00000000-0005-0000-0000-00008C040000}"/>
    <cellStyle name="Comma 4 2 2 2" xfId="110" xr:uid="{00000000-0005-0000-0000-00008D040000}"/>
    <cellStyle name="Comma 4 2 2 2 2" xfId="206" xr:uid="{00000000-0005-0000-0000-00008E040000}"/>
    <cellStyle name="Comma 4 2 2 2 2 2" xfId="398" xr:uid="{00000000-0005-0000-0000-00008F040000}"/>
    <cellStyle name="Comma 4 2 2 2 2 2 2" xfId="782" xr:uid="{00000000-0005-0000-0000-000090040000}"/>
    <cellStyle name="Comma 4 2 2 2 2 2 2 2" xfId="1555" xr:uid="{00000000-0005-0000-0000-000091040000}"/>
    <cellStyle name="Comma 4 2 2 2 2 2 3" xfId="1171" xr:uid="{00000000-0005-0000-0000-000092040000}"/>
    <cellStyle name="Comma 4 2 2 2 2 3" xfId="590" xr:uid="{00000000-0005-0000-0000-000093040000}"/>
    <cellStyle name="Comma 4 2 2 2 2 3 2" xfId="1363" xr:uid="{00000000-0005-0000-0000-000094040000}"/>
    <cellStyle name="Comma 4 2 2 2 2 4" xfId="979" xr:uid="{00000000-0005-0000-0000-000095040000}"/>
    <cellStyle name="Comma 4 2 2 2 3" xfId="302" xr:uid="{00000000-0005-0000-0000-000096040000}"/>
    <cellStyle name="Comma 4 2 2 2 3 2" xfId="686" xr:uid="{00000000-0005-0000-0000-000097040000}"/>
    <cellStyle name="Comma 4 2 2 2 3 2 2" xfId="1459" xr:uid="{00000000-0005-0000-0000-000098040000}"/>
    <cellStyle name="Comma 4 2 2 2 3 3" xfId="1075" xr:uid="{00000000-0005-0000-0000-000099040000}"/>
    <cellStyle name="Comma 4 2 2 2 4" xfId="494" xr:uid="{00000000-0005-0000-0000-00009A040000}"/>
    <cellStyle name="Comma 4 2 2 2 4 2" xfId="1267" xr:uid="{00000000-0005-0000-0000-00009B040000}"/>
    <cellStyle name="Comma 4 2 2 2 5" xfId="883" xr:uid="{00000000-0005-0000-0000-00009C040000}"/>
    <cellStyle name="Comma 4 2 2 3" xfId="158" xr:uid="{00000000-0005-0000-0000-00009D040000}"/>
    <cellStyle name="Comma 4 2 2 3 2" xfId="350" xr:uid="{00000000-0005-0000-0000-00009E040000}"/>
    <cellStyle name="Comma 4 2 2 3 2 2" xfId="734" xr:uid="{00000000-0005-0000-0000-00009F040000}"/>
    <cellStyle name="Comma 4 2 2 3 2 2 2" xfId="1507" xr:uid="{00000000-0005-0000-0000-0000A0040000}"/>
    <cellStyle name="Comma 4 2 2 3 2 3" xfId="1123" xr:uid="{00000000-0005-0000-0000-0000A1040000}"/>
    <cellStyle name="Comma 4 2 2 3 3" xfId="542" xr:uid="{00000000-0005-0000-0000-0000A2040000}"/>
    <cellStyle name="Comma 4 2 2 3 3 2" xfId="1315" xr:uid="{00000000-0005-0000-0000-0000A3040000}"/>
    <cellStyle name="Comma 4 2 2 3 4" xfId="931" xr:uid="{00000000-0005-0000-0000-0000A4040000}"/>
    <cellStyle name="Comma 4 2 2 4" xfId="254" xr:uid="{00000000-0005-0000-0000-0000A5040000}"/>
    <cellStyle name="Comma 4 2 2 4 2" xfId="638" xr:uid="{00000000-0005-0000-0000-0000A6040000}"/>
    <cellStyle name="Comma 4 2 2 4 2 2" xfId="1411" xr:uid="{00000000-0005-0000-0000-0000A7040000}"/>
    <cellStyle name="Comma 4 2 2 4 3" xfId="1027" xr:uid="{00000000-0005-0000-0000-0000A8040000}"/>
    <cellStyle name="Comma 4 2 2 5" xfId="446" xr:uid="{00000000-0005-0000-0000-0000A9040000}"/>
    <cellStyle name="Comma 4 2 2 5 2" xfId="1219" xr:uid="{00000000-0005-0000-0000-0000AA040000}"/>
    <cellStyle name="Comma 4 2 2 6" xfId="835" xr:uid="{00000000-0005-0000-0000-0000AB040000}"/>
    <cellStyle name="Comma 4 2 3" xfId="86" xr:uid="{00000000-0005-0000-0000-0000AC040000}"/>
    <cellStyle name="Comma 4 2 3 2" xfId="182" xr:uid="{00000000-0005-0000-0000-0000AD040000}"/>
    <cellStyle name="Comma 4 2 3 2 2" xfId="374" xr:uid="{00000000-0005-0000-0000-0000AE040000}"/>
    <cellStyle name="Comma 4 2 3 2 2 2" xfId="758" xr:uid="{00000000-0005-0000-0000-0000AF040000}"/>
    <cellStyle name="Comma 4 2 3 2 2 2 2" xfId="1531" xr:uid="{00000000-0005-0000-0000-0000B0040000}"/>
    <cellStyle name="Comma 4 2 3 2 2 3" xfId="1147" xr:uid="{00000000-0005-0000-0000-0000B1040000}"/>
    <cellStyle name="Comma 4 2 3 2 3" xfId="566" xr:uid="{00000000-0005-0000-0000-0000B2040000}"/>
    <cellStyle name="Comma 4 2 3 2 3 2" xfId="1339" xr:uid="{00000000-0005-0000-0000-0000B3040000}"/>
    <cellStyle name="Comma 4 2 3 2 4" xfId="955" xr:uid="{00000000-0005-0000-0000-0000B4040000}"/>
    <cellStyle name="Comma 4 2 3 3" xfId="278" xr:uid="{00000000-0005-0000-0000-0000B5040000}"/>
    <cellStyle name="Comma 4 2 3 3 2" xfId="662" xr:uid="{00000000-0005-0000-0000-0000B6040000}"/>
    <cellStyle name="Comma 4 2 3 3 2 2" xfId="1435" xr:uid="{00000000-0005-0000-0000-0000B7040000}"/>
    <cellStyle name="Comma 4 2 3 3 3" xfId="1051" xr:uid="{00000000-0005-0000-0000-0000B8040000}"/>
    <cellStyle name="Comma 4 2 3 4" xfId="470" xr:uid="{00000000-0005-0000-0000-0000B9040000}"/>
    <cellStyle name="Comma 4 2 3 4 2" xfId="1243" xr:uid="{00000000-0005-0000-0000-0000BA040000}"/>
    <cellStyle name="Comma 4 2 3 5" xfId="859" xr:uid="{00000000-0005-0000-0000-0000BB040000}"/>
    <cellStyle name="Comma 4 2 4" xfId="134" xr:uid="{00000000-0005-0000-0000-0000BC040000}"/>
    <cellStyle name="Comma 4 2 4 2" xfId="326" xr:uid="{00000000-0005-0000-0000-0000BD040000}"/>
    <cellStyle name="Comma 4 2 4 2 2" xfId="710" xr:uid="{00000000-0005-0000-0000-0000BE040000}"/>
    <cellStyle name="Comma 4 2 4 2 2 2" xfId="1483" xr:uid="{00000000-0005-0000-0000-0000BF040000}"/>
    <cellStyle name="Comma 4 2 4 2 3" xfId="1099" xr:uid="{00000000-0005-0000-0000-0000C0040000}"/>
    <cellStyle name="Comma 4 2 4 3" xfId="518" xr:uid="{00000000-0005-0000-0000-0000C1040000}"/>
    <cellStyle name="Comma 4 2 4 3 2" xfId="1291" xr:uid="{00000000-0005-0000-0000-0000C2040000}"/>
    <cellStyle name="Comma 4 2 4 4" xfId="907" xr:uid="{00000000-0005-0000-0000-0000C3040000}"/>
    <cellStyle name="Comma 4 2 5" xfId="230" xr:uid="{00000000-0005-0000-0000-0000C4040000}"/>
    <cellStyle name="Comma 4 2 5 2" xfId="614" xr:uid="{00000000-0005-0000-0000-0000C5040000}"/>
    <cellStyle name="Comma 4 2 5 2 2" xfId="1387" xr:uid="{00000000-0005-0000-0000-0000C6040000}"/>
    <cellStyle name="Comma 4 2 5 3" xfId="1003" xr:uid="{00000000-0005-0000-0000-0000C7040000}"/>
    <cellStyle name="Comma 4 2 6" xfId="422" xr:uid="{00000000-0005-0000-0000-0000C8040000}"/>
    <cellStyle name="Comma 4 2 6 2" xfId="1195" xr:uid="{00000000-0005-0000-0000-0000C9040000}"/>
    <cellStyle name="Comma 4 2 7" xfId="811" xr:uid="{00000000-0005-0000-0000-0000CA040000}"/>
    <cellStyle name="Comma 4 3" xfId="46" xr:uid="{00000000-0005-0000-0000-0000CB040000}"/>
    <cellStyle name="Comma 4 3 2" xfId="70" xr:uid="{00000000-0005-0000-0000-0000CC040000}"/>
    <cellStyle name="Comma 4 3 2 2" xfId="118" xr:uid="{00000000-0005-0000-0000-0000CD040000}"/>
    <cellStyle name="Comma 4 3 2 2 2" xfId="214" xr:uid="{00000000-0005-0000-0000-0000CE040000}"/>
    <cellStyle name="Comma 4 3 2 2 2 2" xfId="406" xr:uid="{00000000-0005-0000-0000-0000CF040000}"/>
    <cellStyle name="Comma 4 3 2 2 2 2 2" xfId="790" xr:uid="{00000000-0005-0000-0000-0000D0040000}"/>
    <cellStyle name="Comma 4 3 2 2 2 2 2 2" xfId="1563" xr:uid="{00000000-0005-0000-0000-0000D1040000}"/>
    <cellStyle name="Comma 4 3 2 2 2 2 3" xfId="1179" xr:uid="{00000000-0005-0000-0000-0000D2040000}"/>
    <cellStyle name="Comma 4 3 2 2 2 3" xfId="598" xr:uid="{00000000-0005-0000-0000-0000D3040000}"/>
    <cellStyle name="Comma 4 3 2 2 2 3 2" xfId="1371" xr:uid="{00000000-0005-0000-0000-0000D4040000}"/>
    <cellStyle name="Comma 4 3 2 2 2 4" xfId="987" xr:uid="{00000000-0005-0000-0000-0000D5040000}"/>
    <cellStyle name="Comma 4 3 2 2 3" xfId="310" xr:uid="{00000000-0005-0000-0000-0000D6040000}"/>
    <cellStyle name="Comma 4 3 2 2 3 2" xfId="694" xr:uid="{00000000-0005-0000-0000-0000D7040000}"/>
    <cellStyle name="Comma 4 3 2 2 3 2 2" xfId="1467" xr:uid="{00000000-0005-0000-0000-0000D8040000}"/>
    <cellStyle name="Comma 4 3 2 2 3 3" xfId="1083" xr:uid="{00000000-0005-0000-0000-0000D9040000}"/>
    <cellStyle name="Comma 4 3 2 2 4" xfId="502" xr:uid="{00000000-0005-0000-0000-0000DA040000}"/>
    <cellStyle name="Comma 4 3 2 2 4 2" xfId="1275" xr:uid="{00000000-0005-0000-0000-0000DB040000}"/>
    <cellStyle name="Comma 4 3 2 2 5" xfId="891" xr:uid="{00000000-0005-0000-0000-0000DC040000}"/>
    <cellStyle name="Comma 4 3 2 3" xfId="166" xr:uid="{00000000-0005-0000-0000-0000DD040000}"/>
    <cellStyle name="Comma 4 3 2 3 2" xfId="358" xr:uid="{00000000-0005-0000-0000-0000DE040000}"/>
    <cellStyle name="Comma 4 3 2 3 2 2" xfId="742" xr:uid="{00000000-0005-0000-0000-0000DF040000}"/>
    <cellStyle name="Comma 4 3 2 3 2 2 2" xfId="1515" xr:uid="{00000000-0005-0000-0000-0000E0040000}"/>
    <cellStyle name="Comma 4 3 2 3 2 3" xfId="1131" xr:uid="{00000000-0005-0000-0000-0000E1040000}"/>
    <cellStyle name="Comma 4 3 2 3 3" xfId="550" xr:uid="{00000000-0005-0000-0000-0000E2040000}"/>
    <cellStyle name="Comma 4 3 2 3 3 2" xfId="1323" xr:uid="{00000000-0005-0000-0000-0000E3040000}"/>
    <cellStyle name="Comma 4 3 2 3 4" xfId="939" xr:uid="{00000000-0005-0000-0000-0000E4040000}"/>
    <cellStyle name="Comma 4 3 2 4" xfId="262" xr:uid="{00000000-0005-0000-0000-0000E5040000}"/>
    <cellStyle name="Comma 4 3 2 4 2" xfId="646" xr:uid="{00000000-0005-0000-0000-0000E6040000}"/>
    <cellStyle name="Comma 4 3 2 4 2 2" xfId="1419" xr:uid="{00000000-0005-0000-0000-0000E7040000}"/>
    <cellStyle name="Comma 4 3 2 4 3" xfId="1035" xr:uid="{00000000-0005-0000-0000-0000E8040000}"/>
    <cellStyle name="Comma 4 3 2 5" xfId="454" xr:uid="{00000000-0005-0000-0000-0000E9040000}"/>
    <cellStyle name="Comma 4 3 2 5 2" xfId="1227" xr:uid="{00000000-0005-0000-0000-0000EA040000}"/>
    <cellStyle name="Comma 4 3 2 6" xfId="843" xr:uid="{00000000-0005-0000-0000-0000EB040000}"/>
    <cellStyle name="Comma 4 3 3" xfId="94" xr:uid="{00000000-0005-0000-0000-0000EC040000}"/>
    <cellStyle name="Comma 4 3 3 2" xfId="190" xr:uid="{00000000-0005-0000-0000-0000ED040000}"/>
    <cellStyle name="Comma 4 3 3 2 2" xfId="382" xr:uid="{00000000-0005-0000-0000-0000EE040000}"/>
    <cellStyle name="Comma 4 3 3 2 2 2" xfId="766" xr:uid="{00000000-0005-0000-0000-0000EF040000}"/>
    <cellStyle name="Comma 4 3 3 2 2 2 2" xfId="1539" xr:uid="{00000000-0005-0000-0000-0000F0040000}"/>
    <cellStyle name="Comma 4 3 3 2 2 3" xfId="1155" xr:uid="{00000000-0005-0000-0000-0000F1040000}"/>
    <cellStyle name="Comma 4 3 3 2 3" xfId="574" xr:uid="{00000000-0005-0000-0000-0000F2040000}"/>
    <cellStyle name="Comma 4 3 3 2 3 2" xfId="1347" xr:uid="{00000000-0005-0000-0000-0000F3040000}"/>
    <cellStyle name="Comma 4 3 3 2 4" xfId="963" xr:uid="{00000000-0005-0000-0000-0000F4040000}"/>
    <cellStyle name="Comma 4 3 3 3" xfId="286" xr:uid="{00000000-0005-0000-0000-0000F5040000}"/>
    <cellStyle name="Comma 4 3 3 3 2" xfId="670" xr:uid="{00000000-0005-0000-0000-0000F6040000}"/>
    <cellStyle name="Comma 4 3 3 3 2 2" xfId="1443" xr:uid="{00000000-0005-0000-0000-0000F7040000}"/>
    <cellStyle name="Comma 4 3 3 3 3" xfId="1059" xr:uid="{00000000-0005-0000-0000-0000F8040000}"/>
    <cellStyle name="Comma 4 3 3 4" xfId="478" xr:uid="{00000000-0005-0000-0000-0000F9040000}"/>
    <cellStyle name="Comma 4 3 3 4 2" xfId="1251" xr:uid="{00000000-0005-0000-0000-0000FA040000}"/>
    <cellStyle name="Comma 4 3 3 5" xfId="867" xr:uid="{00000000-0005-0000-0000-0000FB040000}"/>
    <cellStyle name="Comma 4 3 4" xfId="142" xr:uid="{00000000-0005-0000-0000-0000FC040000}"/>
    <cellStyle name="Comma 4 3 4 2" xfId="334" xr:uid="{00000000-0005-0000-0000-0000FD040000}"/>
    <cellStyle name="Comma 4 3 4 2 2" xfId="718" xr:uid="{00000000-0005-0000-0000-0000FE040000}"/>
    <cellStyle name="Comma 4 3 4 2 2 2" xfId="1491" xr:uid="{00000000-0005-0000-0000-0000FF040000}"/>
    <cellStyle name="Comma 4 3 4 2 3" xfId="1107" xr:uid="{00000000-0005-0000-0000-000000050000}"/>
    <cellStyle name="Comma 4 3 4 3" xfId="526" xr:uid="{00000000-0005-0000-0000-000001050000}"/>
    <cellStyle name="Comma 4 3 4 3 2" xfId="1299" xr:uid="{00000000-0005-0000-0000-000002050000}"/>
    <cellStyle name="Comma 4 3 4 4" xfId="915" xr:uid="{00000000-0005-0000-0000-000003050000}"/>
    <cellStyle name="Comma 4 3 5" xfId="238" xr:uid="{00000000-0005-0000-0000-000004050000}"/>
    <cellStyle name="Comma 4 3 5 2" xfId="622" xr:uid="{00000000-0005-0000-0000-000005050000}"/>
    <cellStyle name="Comma 4 3 5 2 2" xfId="1395" xr:uid="{00000000-0005-0000-0000-000006050000}"/>
    <cellStyle name="Comma 4 3 5 3" xfId="1011" xr:uid="{00000000-0005-0000-0000-000007050000}"/>
    <cellStyle name="Comma 4 3 6" xfId="430" xr:uid="{00000000-0005-0000-0000-000008050000}"/>
    <cellStyle name="Comma 4 3 6 2" xfId="1203" xr:uid="{00000000-0005-0000-0000-000009050000}"/>
    <cellStyle name="Comma 4 3 7" xfId="819" xr:uid="{00000000-0005-0000-0000-00000A050000}"/>
    <cellStyle name="Comma 4 4" xfId="54" xr:uid="{00000000-0005-0000-0000-00000B050000}"/>
    <cellStyle name="Comma 4 4 2" xfId="102" xr:uid="{00000000-0005-0000-0000-00000C050000}"/>
    <cellStyle name="Comma 4 4 2 2" xfId="198" xr:uid="{00000000-0005-0000-0000-00000D050000}"/>
    <cellStyle name="Comma 4 4 2 2 2" xfId="390" xr:uid="{00000000-0005-0000-0000-00000E050000}"/>
    <cellStyle name="Comma 4 4 2 2 2 2" xfId="774" xr:uid="{00000000-0005-0000-0000-00000F050000}"/>
    <cellStyle name="Comma 4 4 2 2 2 2 2" xfId="1547" xr:uid="{00000000-0005-0000-0000-000010050000}"/>
    <cellStyle name="Comma 4 4 2 2 2 3" xfId="1163" xr:uid="{00000000-0005-0000-0000-000011050000}"/>
    <cellStyle name="Comma 4 4 2 2 3" xfId="582" xr:uid="{00000000-0005-0000-0000-000012050000}"/>
    <cellStyle name="Comma 4 4 2 2 3 2" xfId="1355" xr:uid="{00000000-0005-0000-0000-000013050000}"/>
    <cellStyle name="Comma 4 4 2 2 4" xfId="971" xr:uid="{00000000-0005-0000-0000-000014050000}"/>
    <cellStyle name="Comma 4 4 2 3" xfId="294" xr:uid="{00000000-0005-0000-0000-000015050000}"/>
    <cellStyle name="Comma 4 4 2 3 2" xfId="678" xr:uid="{00000000-0005-0000-0000-000016050000}"/>
    <cellStyle name="Comma 4 4 2 3 2 2" xfId="1451" xr:uid="{00000000-0005-0000-0000-000017050000}"/>
    <cellStyle name="Comma 4 4 2 3 3" xfId="1067" xr:uid="{00000000-0005-0000-0000-000018050000}"/>
    <cellStyle name="Comma 4 4 2 4" xfId="486" xr:uid="{00000000-0005-0000-0000-000019050000}"/>
    <cellStyle name="Comma 4 4 2 4 2" xfId="1259" xr:uid="{00000000-0005-0000-0000-00001A050000}"/>
    <cellStyle name="Comma 4 4 2 5" xfId="875" xr:uid="{00000000-0005-0000-0000-00001B050000}"/>
    <cellStyle name="Comma 4 4 3" xfId="150" xr:uid="{00000000-0005-0000-0000-00001C050000}"/>
    <cellStyle name="Comma 4 4 3 2" xfId="342" xr:uid="{00000000-0005-0000-0000-00001D050000}"/>
    <cellStyle name="Comma 4 4 3 2 2" xfId="726" xr:uid="{00000000-0005-0000-0000-00001E050000}"/>
    <cellStyle name="Comma 4 4 3 2 2 2" xfId="1499" xr:uid="{00000000-0005-0000-0000-00001F050000}"/>
    <cellStyle name="Comma 4 4 3 2 3" xfId="1115" xr:uid="{00000000-0005-0000-0000-000020050000}"/>
    <cellStyle name="Comma 4 4 3 3" xfId="534" xr:uid="{00000000-0005-0000-0000-000021050000}"/>
    <cellStyle name="Comma 4 4 3 3 2" xfId="1307" xr:uid="{00000000-0005-0000-0000-000022050000}"/>
    <cellStyle name="Comma 4 4 3 4" xfId="923" xr:uid="{00000000-0005-0000-0000-000023050000}"/>
    <cellStyle name="Comma 4 4 4" xfId="246" xr:uid="{00000000-0005-0000-0000-000024050000}"/>
    <cellStyle name="Comma 4 4 4 2" xfId="630" xr:uid="{00000000-0005-0000-0000-000025050000}"/>
    <cellStyle name="Comma 4 4 4 2 2" xfId="1403" xr:uid="{00000000-0005-0000-0000-000026050000}"/>
    <cellStyle name="Comma 4 4 4 3" xfId="1019" xr:uid="{00000000-0005-0000-0000-000027050000}"/>
    <cellStyle name="Comma 4 4 5" xfId="438" xr:uid="{00000000-0005-0000-0000-000028050000}"/>
    <cellStyle name="Comma 4 4 5 2" xfId="1211" xr:uid="{00000000-0005-0000-0000-000029050000}"/>
    <cellStyle name="Comma 4 4 6" xfId="827" xr:uid="{00000000-0005-0000-0000-00002A050000}"/>
    <cellStyle name="Comma 4 5" xfId="78" xr:uid="{00000000-0005-0000-0000-00002B050000}"/>
    <cellStyle name="Comma 4 5 2" xfId="174" xr:uid="{00000000-0005-0000-0000-00002C050000}"/>
    <cellStyle name="Comma 4 5 2 2" xfId="366" xr:uid="{00000000-0005-0000-0000-00002D050000}"/>
    <cellStyle name="Comma 4 5 2 2 2" xfId="750" xr:uid="{00000000-0005-0000-0000-00002E050000}"/>
    <cellStyle name="Comma 4 5 2 2 2 2" xfId="1523" xr:uid="{00000000-0005-0000-0000-00002F050000}"/>
    <cellStyle name="Comma 4 5 2 2 3" xfId="1139" xr:uid="{00000000-0005-0000-0000-000030050000}"/>
    <cellStyle name="Comma 4 5 2 3" xfId="558" xr:uid="{00000000-0005-0000-0000-000031050000}"/>
    <cellStyle name="Comma 4 5 2 3 2" xfId="1331" xr:uid="{00000000-0005-0000-0000-000032050000}"/>
    <cellStyle name="Comma 4 5 2 4" xfId="947" xr:uid="{00000000-0005-0000-0000-000033050000}"/>
    <cellStyle name="Comma 4 5 3" xfId="270" xr:uid="{00000000-0005-0000-0000-000034050000}"/>
    <cellStyle name="Comma 4 5 3 2" xfId="654" xr:uid="{00000000-0005-0000-0000-000035050000}"/>
    <cellStyle name="Comma 4 5 3 2 2" xfId="1427" xr:uid="{00000000-0005-0000-0000-000036050000}"/>
    <cellStyle name="Comma 4 5 3 3" xfId="1043" xr:uid="{00000000-0005-0000-0000-000037050000}"/>
    <cellStyle name="Comma 4 5 4" xfId="462" xr:uid="{00000000-0005-0000-0000-000038050000}"/>
    <cellStyle name="Comma 4 5 4 2" xfId="1235" xr:uid="{00000000-0005-0000-0000-000039050000}"/>
    <cellStyle name="Comma 4 5 5" xfId="851" xr:uid="{00000000-0005-0000-0000-00003A050000}"/>
    <cellStyle name="Comma 4 6" xfId="126" xr:uid="{00000000-0005-0000-0000-00003B050000}"/>
    <cellStyle name="Comma 4 6 2" xfId="318" xr:uid="{00000000-0005-0000-0000-00003C050000}"/>
    <cellStyle name="Comma 4 6 2 2" xfId="702" xr:uid="{00000000-0005-0000-0000-00003D050000}"/>
    <cellStyle name="Comma 4 6 2 2 2" xfId="1475" xr:uid="{00000000-0005-0000-0000-00003E050000}"/>
    <cellStyle name="Comma 4 6 2 3" xfId="1091" xr:uid="{00000000-0005-0000-0000-00003F050000}"/>
    <cellStyle name="Comma 4 6 3" xfId="510" xr:uid="{00000000-0005-0000-0000-000040050000}"/>
    <cellStyle name="Comma 4 6 3 2" xfId="1283" xr:uid="{00000000-0005-0000-0000-000041050000}"/>
    <cellStyle name="Comma 4 6 4" xfId="899" xr:uid="{00000000-0005-0000-0000-000042050000}"/>
    <cellStyle name="Comma 4 7" xfId="222" xr:uid="{00000000-0005-0000-0000-000043050000}"/>
    <cellStyle name="Comma 4 7 2" xfId="606" xr:uid="{00000000-0005-0000-0000-000044050000}"/>
    <cellStyle name="Comma 4 7 2 2" xfId="1379" xr:uid="{00000000-0005-0000-0000-000045050000}"/>
    <cellStyle name="Comma 4 7 3" xfId="995" xr:uid="{00000000-0005-0000-0000-000046050000}"/>
    <cellStyle name="Comma 4 8" xfId="414" xr:uid="{00000000-0005-0000-0000-000047050000}"/>
    <cellStyle name="Comma 4 8 2" xfId="1187" xr:uid="{00000000-0005-0000-0000-000048050000}"/>
    <cellStyle name="Comma 4 9" xfId="803" xr:uid="{00000000-0005-0000-0000-000049050000}"/>
    <cellStyle name="Comma 42" xfId="797" xr:uid="{00000000-0005-0000-0000-00004A050000}"/>
    <cellStyle name="Comma 42 2" xfId="1568" xr:uid="{00000000-0005-0000-0000-00004B050000}"/>
    <cellStyle name="Comma 5" xfId="34" xr:uid="{00000000-0005-0000-0000-00004C050000}"/>
    <cellStyle name="Comma 5 2" xfId="58" xr:uid="{00000000-0005-0000-0000-00004D050000}"/>
    <cellStyle name="Comma 5 2 2" xfId="106" xr:uid="{00000000-0005-0000-0000-00004E050000}"/>
    <cellStyle name="Comma 5 2 2 2" xfId="202" xr:uid="{00000000-0005-0000-0000-00004F050000}"/>
    <cellStyle name="Comma 5 2 2 2 2" xfId="394" xr:uid="{00000000-0005-0000-0000-000050050000}"/>
    <cellStyle name="Comma 5 2 2 2 2 2" xfId="778" xr:uid="{00000000-0005-0000-0000-000051050000}"/>
    <cellStyle name="Comma 5 2 2 2 2 2 2" xfId="1551" xr:uid="{00000000-0005-0000-0000-000052050000}"/>
    <cellStyle name="Comma 5 2 2 2 2 3" xfId="1167" xr:uid="{00000000-0005-0000-0000-000053050000}"/>
    <cellStyle name="Comma 5 2 2 2 3" xfId="586" xr:uid="{00000000-0005-0000-0000-000054050000}"/>
    <cellStyle name="Comma 5 2 2 2 3 2" xfId="1359" xr:uid="{00000000-0005-0000-0000-000055050000}"/>
    <cellStyle name="Comma 5 2 2 2 4" xfId="975" xr:uid="{00000000-0005-0000-0000-000056050000}"/>
    <cellStyle name="Comma 5 2 2 3" xfId="298" xr:uid="{00000000-0005-0000-0000-000057050000}"/>
    <cellStyle name="Comma 5 2 2 3 2" xfId="682" xr:uid="{00000000-0005-0000-0000-000058050000}"/>
    <cellStyle name="Comma 5 2 2 3 2 2" xfId="1455" xr:uid="{00000000-0005-0000-0000-000059050000}"/>
    <cellStyle name="Comma 5 2 2 3 3" xfId="1071" xr:uid="{00000000-0005-0000-0000-00005A050000}"/>
    <cellStyle name="Comma 5 2 2 4" xfId="490" xr:uid="{00000000-0005-0000-0000-00005B050000}"/>
    <cellStyle name="Comma 5 2 2 4 2" xfId="1263" xr:uid="{00000000-0005-0000-0000-00005C050000}"/>
    <cellStyle name="Comma 5 2 2 5" xfId="879" xr:uid="{00000000-0005-0000-0000-00005D050000}"/>
    <cellStyle name="Comma 5 2 3" xfId="154" xr:uid="{00000000-0005-0000-0000-00005E050000}"/>
    <cellStyle name="Comma 5 2 3 2" xfId="346" xr:uid="{00000000-0005-0000-0000-00005F050000}"/>
    <cellStyle name="Comma 5 2 3 2 2" xfId="730" xr:uid="{00000000-0005-0000-0000-000060050000}"/>
    <cellStyle name="Comma 5 2 3 2 2 2" xfId="1503" xr:uid="{00000000-0005-0000-0000-000061050000}"/>
    <cellStyle name="Comma 5 2 3 2 3" xfId="1119" xr:uid="{00000000-0005-0000-0000-000062050000}"/>
    <cellStyle name="Comma 5 2 3 3" xfId="538" xr:uid="{00000000-0005-0000-0000-000063050000}"/>
    <cellStyle name="Comma 5 2 3 3 2" xfId="1311" xr:uid="{00000000-0005-0000-0000-000064050000}"/>
    <cellStyle name="Comma 5 2 3 4" xfId="927" xr:uid="{00000000-0005-0000-0000-000065050000}"/>
    <cellStyle name="Comma 5 2 4" xfId="250" xr:uid="{00000000-0005-0000-0000-000066050000}"/>
    <cellStyle name="Comma 5 2 4 2" xfId="634" xr:uid="{00000000-0005-0000-0000-000067050000}"/>
    <cellStyle name="Comma 5 2 4 2 2" xfId="1407" xr:uid="{00000000-0005-0000-0000-000068050000}"/>
    <cellStyle name="Comma 5 2 4 3" xfId="1023" xr:uid="{00000000-0005-0000-0000-000069050000}"/>
    <cellStyle name="Comma 5 2 5" xfId="442" xr:uid="{00000000-0005-0000-0000-00006A050000}"/>
    <cellStyle name="Comma 5 2 5 2" xfId="1215" xr:uid="{00000000-0005-0000-0000-00006B050000}"/>
    <cellStyle name="Comma 5 2 6" xfId="831" xr:uid="{00000000-0005-0000-0000-00006C050000}"/>
    <cellStyle name="Comma 5 3" xfId="82" xr:uid="{00000000-0005-0000-0000-00006D050000}"/>
    <cellStyle name="Comma 5 3 2" xfId="178" xr:uid="{00000000-0005-0000-0000-00006E050000}"/>
    <cellStyle name="Comma 5 3 2 2" xfId="370" xr:uid="{00000000-0005-0000-0000-00006F050000}"/>
    <cellStyle name="Comma 5 3 2 2 2" xfId="754" xr:uid="{00000000-0005-0000-0000-000070050000}"/>
    <cellStyle name="Comma 5 3 2 2 2 2" xfId="1527" xr:uid="{00000000-0005-0000-0000-000071050000}"/>
    <cellStyle name="Comma 5 3 2 2 3" xfId="1143" xr:uid="{00000000-0005-0000-0000-000072050000}"/>
    <cellStyle name="Comma 5 3 2 3" xfId="562" xr:uid="{00000000-0005-0000-0000-000073050000}"/>
    <cellStyle name="Comma 5 3 2 3 2" xfId="1335" xr:uid="{00000000-0005-0000-0000-000074050000}"/>
    <cellStyle name="Comma 5 3 2 4" xfId="951" xr:uid="{00000000-0005-0000-0000-000075050000}"/>
    <cellStyle name="Comma 5 3 3" xfId="274" xr:uid="{00000000-0005-0000-0000-000076050000}"/>
    <cellStyle name="Comma 5 3 3 2" xfId="658" xr:uid="{00000000-0005-0000-0000-000077050000}"/>
    <cellStyle name="Comma 5 3 3 2 2" xfId="1431" xr:uid="{00000000-0005-0000-0000-000078050000}"/>
    <cellStyle name="Comma 5 3 3 3" xfId="1047" xr:uid="{00000000-0005-0000-0000-000079050000}"/>
    <cellStyle name="Comma 5 3 4" xfId="466" xr:uid="{00000000-0005-0000-0000-00007A050000}"/>
    <cellStyle name="Comma 5 3 4 2" xfId="1239" xr:uid="{00000000-0005-0000-0000-00007B050000}"/>
    <cellStyle name="Comma 5 3 5" xfId="855" xr:uid="{00000000-0005-0000-0000-00007C050000}"/>
    <cellStyle name="Comma 5 4" xfId="130" xr:uid="{00000000-0005-0000-0000-00007D050000}"/>
    <cellStyle name="Comma 5 4 2" xfId="322" xr:uid="{00000000-0005-0000-0000-00007E050000}"/>
    <cellStyle name="Comma 5 4 2 2" xfId="706" xr:uid="{00000000-0005-0000-0000-00007F050000}"/>
    <cellStyle name="Comma 5 4 2 2 2" xfId="1479" xr:uid="{00000000-0005-0000-0000-000080050000}"/>
    <cellStyle name="Comma 5 4 2 3" xfId="1095" xr:uid="{00000000-0005-0000-0000-000081050000}"/>
    <cellStyle name="Comma 5 4 3" xfId="514" xr:uid="{00000000-0005-0000-0000-000082050000}"/>
    <cellStyle name="Comma 5 4 3 2" xfId="1287" xr:uid="{00000000-0005-0000-0000-000083050000}"/>
    <cellStyle name="Comma 5 4 4" xfId="903" xr:uid="{00000000-0005-0000-0000-000084050000}"/>
    <cellStyle name="Comma 5 5" xfId="226" xr:uid="{00000000-0005-0000-0000-000085050000}"/>
    <cellStyle name="Comma 5 5 2" xfId="610" xr:uid="{00000000-0005-0000-0000-000086050000}"/>
    <cellStyle name="Comma 5 5 2 2" xfId="1383" xr:uid="{00000000-0005-0000-0000-000087050000}"/>
    <cellStyle name="Comma 5 5 3" xfId="999" xr:uid="{00000000-0005-0000-0000-000088050000}"/>
    <cellStyle name="Comma 5 6" xfId="418" xr:uid="{00000000-0005-0000-0000-000089050000}"/>
    <cellStyle name="Comma 5 6 2" xfId="1191" xr:uid="{00000000-0005-0000-0000-00008A050000}"/>
    <cellStyle name="Comma 5 7" xfId="807" xr:uid="{00000000-0005-0000-0000-00008B050000}"/>
    <cellStyle name="Comma 6" xfId="42" xr:uid="{00000000-0005-0000-0000-00008C050000}"/>
    <cellStyle name="Comma 6 2" xfId="66" xr:uid="{00000000-0005-0000-0000-00008D050000}"/>
    <cellStyle name="Comma 6 2 2" xfId="114" xr:uid="{00000000-0005-0000-0000-00008E050000}"/>
    <cellStyle name="Comma 6 2 2 2" xfId="210" xr:uid="{00000000-0005-0000-0000-00008F050000}"/>
    <cellStyle name="Comma 6 2 2 2 2" xfId="402" xr:uid="{00000000-0005-0000-0000-000090050000}"/>
    <cellStyle name="Comma 6 2 2 2 2 2" xfId="786" xr:uid="{00000000-0005-0000-0000-000091050000}"/>
    <cellStyle name="Comma 6 2 2 2 2 2 2" xfId="1559" xr:uid="{00000000-0005-0000-0000-000092050000}"/>
    <cellStyle name="Comma 6 2 2 2 2 3" xfId="1175" xr:uid="{00000000-0005-0000-0000-000093050000}"/>
    <cellStyle name="Comma 6 2 2 2 3" xfId="594" xr:uid="{00000000-0005-0000-0000-000094050000}"/>
    <cellStyle name="Comma 6 2 2 2 3 2" xfId="1367" xr:uid="{00000000-0005-0000-0000-000095050000}"/>
    <cellStyle name="Comma 6 2 2 2 4" xfId="983" xr:uid="{00000000-0005-0000-0000-000096050000}"/>
    <cellStyle name="Comma 6 2 2 3" xfId="306" xr:uid="{00000000-0005-0000-0000-000097050000}"/>
    <cellStyle name="Comma 6 2 2 3 2" xfId="690" xr:uid="{00000000-0005-0000-0000-000098050000}"/>
    <cellStyle name="Comma 6 2 2 3 2 2" xfId="1463" xr:uid="{00000000-0005-0000-0000-000099050000}"/>
    <cellStyle name="Comma 6 2 2 3 3" xfId="1079" xr:uid="{00000000-0005-0000-0000-00009A050000}"/>
    <cellStyle name="Comma 6 2 2 4" xfId="498" xr:uid="{00000000-0005-0000-0000-00009B050000}"/>
    <cellStyle name="Comma 6 2 2 4 2" xfId="1271" xr:uid="{00000000-0005-0000-0000-00009C050000}"/>
    <cellStyle name="Comma 6 2 2 5" xfId="887" xr:uid="{00000000-0005-0000-0000-00009D050000}"/>
    <cellStyle name="Comma 6 2 3" xfId="162" xr:uid="{00000000-0005-0000-0000-00009E050000}"/>
    <cellStyle name="Comma 6 2 3 2" xfId="354" xr:uid="{00000000-0005-0000-0000-00009F050000}"/>
    <cellStyle name="Comma 6 2 3 2 2" xfId="738" xr:uid="{00000000-0005-0000-0000-0000A0050000}"/>
    <cellStyle name="Comma 6 2 3 2 2 2" xfId="1511" xr:uid="{00000000-0005-0000-0000-0000A1050000}"/>
    <cellStyle name="Comma 6 2 3 2 3" xfId="1127" xr:uid="{00000000-0005-0000-0000-0000A2050000}"/>
    <cellStyle name="Comma 6 2 3 3" xfId="546" xr:uid="{00000000-0005-0000-0000-0000A3050000}"/>
    <cellStyle name="Comma 6 2 3 3 2" xfId="1319" xr:uid="{00000000-0005-0000-0000-0000A4050000}"/>
    <cellStyle name="Comma 6 2 3 4" xfId="935" xr:uid="{00000000-0005-0000-0000-0000A5050000}"/>
    <cellStyle name="Comma 6 2 4" xfId="258" xr:uid="{00000000-0005-0000-0000-0000A6050000}"/>
    <cellStyle name="Comma 6 2 4 2" xfId="642" xr:uid="{00000000-0005-0000-0000-0000A7050000}"/>
    <cellStyle name="Comma 6 2 4 2 2" xfId="1415" xr:uid="{00000000-0005-0000-0000-0000A8050000}"/>
    <cellStyle name="Comma 6 2 4 3" xfId="1031" xr:uid="{00000000-0005-0000-0000-0000A9050000}"/>
    <cellStyle name="Comma 6 2 5" xfId="450" xr:uid="{00000000-0005-0000-0000-0000AA050000}"/>
    <cellStyle name="Comma 6 2 5 2" xfId="1223" xr:uid="{00000000-0005-0000-0000-0000AB050000}"/>
    <cellStyle name="Comma 6 2 6" xfId="839" xr:uid="{00000000-0005-0000-0000-0000AC050000}"/>
    <cellStyle name="Comma 6 3" xfId="90" xr:uid="{00000000-0005-0000-0000-0000AD050000}"/>
    <cellStyle name="Comma 6 3 2" xfId="186" xr:uid="{00000000-0005-0000-0000-0000AE050000}"/>
    <cellStyle name="Comma 6 3 2 2" xfId="378" xr:uid="{00000000-0005-0000-0000-0000AF050000}"/>
    <cellStyle name="Comma 6 3 2 2 2" xfId="762" xr:uid="{00000000-0005-0000-0000-0000B0050000}"/>
    <cellStyle name="Comma 6 3 2 2 2 2" xfId="1535" xr:uid="{00000000-0005-0000-0000-0000B1050000}"/>
    <cellStyle name="Comma 6 3 2 2 3" xfId="1151" xr:uid="{00000000-0005-0000-0000-0000B2050000}"/>
    <cellStyle name="Comma 6 3 2 3" xfId="570" xr:uid="{00000000-0005-0000-0000-0000B3050000}"/>
    <cellStyle name="Comma 6 3 2 3 2" xfId="1343" xr:uid="{00000000-0005-0000-0000-0000B4050000}"/>
    <cellStyle name="Comma 6 3 2 4" xfId="959" xr:uid="{00000000-0005-0000-0000-0000B5050000}"/>
    <cellStyle name="Comma 6 3 3" xfId="282" xr:uid="{00000000-0005-0000-0000-0000B6050000}"/>
    <cellStyle name="Comma 6 3 3 2" xfId="666" xr:uid="{00000000-0005-0000-0000-0000B7050000}"/>
    <cellStyle name="Comma 6 3 3 2 2" xfId="1439" xr:uid="{00000000-0005-0000-0000-0000B8050000}"/>
    <cellStyle name="Comma 6 3 3 3" xfId="1055" xr:uid="{00000000-0005-0000-0000-0000B9050000}"/>
    <cellStyle name="Comma 6 3 4" xfId="474" xr:uid="{00000000-0005-0000-0000-0000BA050000}"/>
    <cellStyle name="Comma 6 3 4 2" xfId="1247" xr:uid="{00000000-0005-0000-0000-0000BB050000}"/>
    <cellStyle name="Comma 6 3 5" xfId="863" xr:uid="{00000000-0005-0000-0000-0000BC050000}"/>
    <cellStyle name="Comma 6 4" xfId="138" xr:uid="{00000000-0005-0000-0000-0000BD050000}"/>
    <cellStyle name="Comma 6 4 2" xfId="330" xr:uid="{00000000-0005-0000-0000-0000BE050000}"/>
    <cellStyle name="Comma 6 4 2 2" xfId="714" xr:uid="{00000000-0005-0000-0000-0000BF050000}"/>
    <cellStyle name="Comma 6 4 2 2 2" xfId="1487" xr:uid="{00000000-0005-0000-0000-0000C0050000}"/>
    <cellStyle name="Comma 6 4 2 3" xfId="1103" xr:uid="{00000000-0005-0000-0000-0000C1050000}"/>
    <cellStyle name="Comma 6 4 3" xfId="522" xr:uid="{00000000-0005-0000-0000-0000C2050000}"/>
    <cellStyle name="Comma 6 4 3 2" xfId="1295" xr:uid="{00000000-0005-0000-0000-0000C3050000}"/>
    <cellStyle name="Comma 6 4 4" xfId="911" xr:uid="{00000000-0005-0000-0000-0000C4050000}"/>
    <cellStyle name="Comma 6 5" xfId="234" xr:uid="{00000000-0005-0000-0000-0000C5050000}"/>
    <cellStyle name="Comma 6 5 2" xfId="618" xr:uid="{00000000-0005-0000-0000-0000C6050000}"/>
    <cellStyle name="Comma 6 5 2 2" xfId="1391" xr:uid="{00000000-0005-0000-0000-0000C7050000}"/>
    <cellStyle name="Comma 6 5 3" xfId="1007" xr:uid="{00000000-0005-0000-0000-0000C8050000}"/>
    <cellStyle name="Comma 6 6" xfId="426" xr:uid="{00000000-0005-0000-0000-0000C9050000}"/>
    <cellStyle name="Comma 6 6 2" xfId="1199" xr:uid="{00000000-0005-0000-0000-0000CA050000}"/>
    <cellStyle name="Comma 6 7" xfId="815" xr:uid="{00000000-0005-0000-0000-0000CB050000}"/>
    <cellStyle name="Comma 7" xfId="50" xr:uid="{00000000-0005-0000-0000-0000CC050000}"/>
    <cellStyle name="Comma 7 2" xfId="98" xr:uid="{00000000-0005-0000-0000-0000CD050000}"/>
    <cellStyle name="Comma 7 2 2" xfId="194" xr:uid="{00000000-0005-0000-0000-0000CE050000}"/>
    <cellStyle name="Comma 7 2 2 2" xfId="386" xr:uid="{00000000-0005-0000-0000-0000CF050000}"/>
    <cellStyle name="Comma 7 2 2 2 2" xfId="770" xr:uid="{00000000-0005-0000-0000-0000D0050000}"/>
    <cellStyle name="Comma 7 2 2 2 2 2" xfId="1543" xr:uid="{00000000-0005-0000-0000-0000D1050000}"/>
    <cellStyle name="Comma 7 2 2 2 3" xfId="1159" xr:uid="{00000000-0005-0000-0000-0000D2050000}"/>
    <cellStyle name="Comma 7 2 2 3" xfId="578" xr:uid="{00000000-0005-0000-0000-0000D3050000}"/>
    <cellStyle name="Comma 7 2 2 3 2" xfId="1351" xr:uid="{00000000-0005-0000-0000-0000D4050000}"/>
    <cellStyle name="Comma 7 2 2 4" xfId="967" xr:uid="{00000000-0005-0000-0000-0000D5050000}"/>
    <cellStyle name="Comma 7 2 3" xfId="290" xr:uid="{00000000-0005-0000-0000-0000D6050000}"/>
    <cellStyle name="Comma 7 2 3 2" xfId="674" xr:uid="{00000000-0005-0000-0000-0000D7050000}"/>
    <cellStyle name="Comma 7 2 3 2 2" xfId="1447" xr:uid="{00000000-0005-0000-0000-0000D8050000}"/>
    <cellStyle name="Comma 7 2 3 3" xfId="1063" xr:uid="{00000000-0005-0000-0000-0000D9050000}"/>
    <cellStyle name="Comma 7 2 4" xfId="482" xr:uid="{00000000-0005-0000-0000-0000DA050000}"/>
    <cellStyle name="Comma 7 2 4 2" xfId="1255" xr:uid="{00000000-0005-0000-0000-0000DB050000}"/>
    <cellStyle name="Comma 7 2 5" xfId="871" xr:uid="{00000000-0005-0000-0000-0000DC050000}"/>
    <cellStyle name="Comma 7 3" xfId="146" xr:uid="{00000000-0005-0000-0000-0000DD050000}"/>
    <cellStyle name="Comma 7 3 2" xfId="338" xr:uid="{00000000-0005-0000-0000-0000DE050000}"/>
    <cellStyle name="Comma 7 3 2 2" xfId="722" xr:uid="{00000000-0005-0000-0000-0000DF050000}"/>
    <cellStyle name="Comma 7 3 2 2 2" xfId="1495" xr:uid="{00000000-0005-0000-0000-0000E0050000}"/>
    <cellStyle name="Comma 7 3 2 3" xfId="1111" xr:uid="{00000000-0005-0000-0000-0000E1050000}"/>
    <cellStyle name="Comma 7 3 3" xfId="530" xr:uid="{00000000-0005-0000-0000-0000E2050000}"/>
    <cellStyle name="Comma 7 3 3 2" xfId="1303" xr:uid="{00000000-0005-0000-0000-0000E3050000}"/>
    <cellStyle name="Comma 7 3 4" xfId="919" xr:uid="{00000000-0005-0000-0000-0000E4050000}"/>
    <cellStyle name="Comma 7 4" xfId="242" xr:uid="{00000000-0005-0000-0000-0000E5050000}"/>
    <cellStyle name="Comma 7 4 2" xfId="626" xr:uid="{00000000-0005-0000-0000-0000E6050000}"/>
    <cellStyle name="Comma 7 4 2 2" xfId="1399" xr:uid="{00000000-0005-0000-0000-0000E7050000}"/>
    <cellStyle name="Comma 7 4 3" xfId="1015" xr:uid="{00000000-0005-0000-0000-0000E8050000}"/>
    <cellStyle name="Comma 7 5" xfId="434" xr:uid="{00000000-0005-0000-0000-0000E9050000}"/>
    <cellStyle name="Comma 7 5 2" xfId="1207" xr:uid="{00000000-0005-0000-0000-0000EA050000}"/>
    <cellStyle name="Comma 7 6" xfId="823" xr:uid="{00000000-0005-0000-0000-0000EB050000}"/>
    <cellStyle name="Comma 8" xfId="74" xr:uid="{00000000-0005-0000-0000-0000EC050000}"/>
    <cellStyle name="Comma 8 2" xfId="170" xr:uid="{00000000-0005-0000-0000-0000ED050000}"/>
    <cellStyle name="Comma 8 2 2" xfId="362" xr:uid="{00000000-0005-0000-0000-0000EE050000}"/>
    <cellStyle name="Comma 8 2 2 2" xfId="746" xr:uid="{00000000-0005-0000-0000-0000EF050000}"/>
    <cellStyle name="Comma 8 2 2 2 2" xfId="1519" xr:uid="{00000000-0005-0000-0000-0000F0050000}"/>
    <cellStyle name="Comma 8 2 2 3" xfId="1135" xr:uid="{00000000-0005-0000-0000-0000F1050000}"/>
    <cellStyle name="Comma 8 2 3" xfId="554" xr:uid="{00000000-0005-0000-0000-0000F2050000}"/>
    <cellStyle name="Comma 8 2 3 2" xfId="1327" xr:uid="{00000000-0005-0000-0000-0000F3050000}"/>
    <cellStyle name="Comma 8 2 4" xfId="943" xr:uid="{00000000-0005-0000-0000-0000F4050000}"/>
    <cellStyle name="Comma 8 3" xfId="266" xr:uid="{00000000-0005-0000-0000-0000F5050000}"/>
    <cellStyle name="Comma 8 3 2" xfId="650" xr:uid="{00000000-0005-0000-0000-0000F6050000}"/>
    <cellStyle name="Comma 8 3 2 2" xfId="1423" xr:uid="{00000000-0005-0000-0000-0000F7050000}"/>
    <cellStyle name="Comma 8 3 3" xfId="1039" xr:uid="{00000000-0005-0000-0000-0000F8050000}"/>
    <cellStyle name="Comma 8 4" xfId="458" xr:uid="{00000000-0005-0000-0000-0000F9050000}"/>
    <cellStyle name="Comma 8 4 2" xfId="1231" xr:uid="{00000000-0005-0000-0000-0000FA050000}"/>
    <cellStyle name="Comma 8 5" xfId="847" xr:uid="{00000000-0005-0000-0000-0000FB050000}"/>
    <cellStyle name="Comma 9" xfId="122" xr:uid="{00000000-0005-0000-0000-0000FC050000}"/>
    <cellStyle name="Comma 9 2" xfId="314" xr:uid="{00000000-0005-0000-0000-0000FD050000}"/>
    <cellStyle name="Comma 9 2 2" xfId="698" xr:uid="{00000000-0005-0000-0000-0000FE050000}"/>
    <cellStyle name="Comma 9 2 2 2" xfId="1471" xr:uid="{00000000-0005-0000-0000-0000FF050000}"/>
    <cellStyle name="Comma 9 2 3" xfId="1087" xr:uid="{00000000-0005-0000-0000-000000060000}"/>
    <cellStyle name="Comma 9 3" xfId="506" xr:uid="{00000000-0005-0000-0000-000001060000}"/>
    <cellStyle name="Comma 9 3 2" xfId="1279" xr:uid="{00000000-0005-0000-0000-000002060000}"/>
    <cellStyle name="Comma 9 4" xfId="895" xr:uid="{00000000-0005-0000-0000-000003060000}"/>
    <cellStyle name="Hyperlink" xfId="6" builtinId="8"/>
    <cellStyle name="Normal" xfId="0" builtinId="0"/>
    <cellStyle name="Normal 10" xfId="26" xr:uid="{00000000-0005-0000-0000-000006060000}"/>
    <cellStyle name="Normal 11" xfId="795" xr:uid="{00000000-0005-0000-0000-000007060000}"/>
    <cellStyle name="Normal 11 2" xfId="1567" xr:uid="{00000000-0005-0000-0000-000008060000}"/>
    <cellStyle name="Normal 2" xfId="7" xr:uid="{00000000-0005-0000-0000-000009060000}"/>
    <cellStyle name="Normal 2 2" xfId="8" xr:uid="{00000000-0005-0000-0000-00000A060000}"/>
    <cellStyle name="Normal 26" xfId="3" xr:uid="{00000000-0005-0000-0000-00000B060000}"/>
    <cellStyle name="Normal 26 41" xfId="794" xr:uid="{00000000-0005-0000-0000-00000C060000}"/>
    <cellStyle name="Normal 27" xfId="5" xr:uid="{00000000-0005-0000-0000-00000D060000}"/>
    <cellStyle name="Normal 3" xfId="11" xr:uid="{00000000-0005-0000-0000-00000E060000}"/>
    <cellStyle name="Normal 3 2" xfId="12" xr:uid="{00000000-0005-0000-0000-00000F060000}"/>
    <cellStyle name="Normal 3 2 2" xfId="22" xr:uid="{00000000-0005-0000-0000-000010060000}"/>
    <cellStyle name="Normal 3 3" xfId="21" xr:uid="{00000000-0005-0000-0000-000011060000}"/>
    <cellStyle name="Normal 4" xfId="10" xr:uid="{00000000-0005-0000-0000-000012060000}"/>
    <cellStyle name="Normal 4 2" xfId="15" xr:uid="{00000000-0005-0000-0000-000013060000}"/>
    <cellStyle name="Normal 4 2 2" xfId="16" xr:uid="{00000000-0005-0000-0000-000014060000}"/>
    <cellStyle name="Normal 4 3" xfId="17" xr:uid="{00000000-0005-0000-0000-000015060000}"/>
    <cellStyle name="Normal 5" xfId="13" xr:uid="{00000000-0005-0000-0000-000016060000}"/>
    <cellStyle name="Normal 5 2" xfId="18" xr:uid="{00000000-0005-0000-0000-000017060000}"/>
    <cellStyle name="Normal 6" xfId="19" xr:uid="{00000000-0005-0000-0000-000018060000}"/>
    <cellStyle name="Normal 7" xfId="14" xr:uid="{00000000-0005-0000-0000-000019060000}"/>
    <cellStyle name="Normal 7 2" xfId="23" xr:uid="{00000000-0005-0000-0000-00001A060000}"/>
    <cellStyle name="Normal 8" xfId="20" xr:uid="{00000000-0005-0000-0000-00001B060000}"/>
    <cellStyle name="Normal 8 2" xfId="24" xr:uid="{00000000-0005-0000-0000-00001C060000}"/>
    <cellStyle name="Normal 9" xfId="25" xr:uid="{00000000-0005-0000-0000-00001D060000}"/>
    <cellStyle name="Percent" xfId="2" builtinId="5"/>
    <cellStyle name="Percent 2" xfId="4" xr:uid="{00000000-0005-0000-0000-00001F060000}"/>
    <cellStyle name="Percent 4" xfId="9" xr:uid="{00000000-0005-0000-0000-000020060000}"/>
    <cellStyle name="Percent 43" xfId="796" xr:uid="{00000000-0005-0000-0000-000021060000}"/>
  </cellStyles>
  <dxfs count="414">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9C0006"/>
      </font>
      <fill>
        <patternFill>
          <bgColor rgb="FFFFC7CE"/>
        </patternFill>
      </fill>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font>
        <b/>
        <i val="0"/>
        <strike val="0"/>
        <condense val="0"/>
        <extend val="0"/>
        <outline val="0"/>
        <shadow val="0"/>
        <u val="none"/>
        <vertAlign val="baseline"/>
        <sz val="11"/>
        <color theme="0"/>
        <name val="Calibri"/>
        <scheme val="minor"/>
      </font>
      <numFmt numFmtId="164"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64"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2" formatCode="0.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numFmt numFmtId="164"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numFmt numFmtId="14" formatCode="0.00%"/>
      <fill>
        <patternFill patternType="none">
          <fgColor indexed="64"/>
          <bgColor auto="1"/>
        </patternFill>
      </fill>
      <alignment horizontal="center" vertical="center" textRotation="0" wrapText="0" indent="0" justifyLastLine="0" shrinkToFit="0" readingOrder="0"/>
    </dxf>
    <dxf>
      <numFmt numFmtId="14" formatCode="0.00%"/>
      <fill>
        <patternFill patternType="none">
          <fgColor indexed="64"/>
          <bgColor auto="1"/>
        </patternFill>
      </fill>
      <alignment horizontal="center" vertical="center" textRotation="0" wrapText="0" indent="0" justifyLastLine="0" shrinkToFit="0" readingOrder="0"/>
    </dxf>
    <dxf>
      <numFmt numFmtId="14" formatCode="0.00%"/>
      <fill>
        <patternFill patternType="none">
          <fgColor indexed="64"/>
          <bgColor auto="1"/>
        </patternFill>
      </fill>
      <alignment horizontal="center" vertical="center" textRotation="0" wrapText="0" indent="0" justifyLastLine="0" shrinkToFit="0" readingOrder="0"/>
    </dxf>
    <dxf>
      <numFmt numFmtId="1" formatCode="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font>
        <b/>
        <i val="0"/>
        <strike val="0"/>
        <condense val="0"/>
        <extend val="0"/>
        <outline val="0"/>
        <shadow val="0"/>
        <u val="none"/>
        <vertAlign val="baseline"/>
        <sz val="11"/>
        <color theme="0"/>
        <name val="Calibri"/>
        <scheme val="minor"/>
      </font>
      <numFmt numFmtId="164" formatCode="0.0"/>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numFmt numFmtId="1" formatCode="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right/>
        <top style="thin">
          <color theme="4" tint="0.39997558519241921"/>
        </top>
        <bottom/>
      </border>
    </dxf>
    <dxf>
      <font>
        <b/>
        <i val="0"/>
        <strike val="0"/>
        <condense val="0"/>
        <extend val="0"/>
        <outline val="0"/>
        <shadow val="0"/>
        <u val="none"/>
        <vertAlign val="baseline"/>
        <sz val="11"/>
        <color theme="0"/>
        <name val="Calibri"/>
        <scheme val="minor"/>
      </font>
      <numFmt numFmtId="164"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164" formatCode="0.0"/>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22" formatCode="mmm/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22" formatCode="mmm/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numFmt numFmtId="22" formatCode="mmm/yy"/>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right/>
        <top style="thin">
          <color theme="4" tint="0.39997558519241921"/>
        </top>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none">
          <fgColor indexed="64"/>
          <bgColor auto="1"/>
        </patternFill>
      </fill>
      <alignment horizontal="center" vertical="center" textRotation="0" wrapText="1" indent="0" justifyLastLine="0" shrinkToFit="0" readingOrder="0"/>
    </dxf>
    <dxf>
      <numFmt numFmtId="0" formatCode="Genera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scheme val="minor"/>
      </font>
      <numFmt numFmtId="22" formatCode="mmm/yy"/>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numFmt numFmtId="1" formatCode="0"/>
      <fill>
        <patternFill patternType="solid">
          <fgColor theme="9" tint="0.79998168889431442"/>
          <bgColor theme="9" tint="0.79998168889431442"/>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Calibri"/>
        <scheme val="minor"/>
      </font>
      <numFmt numFmtId="20" formatCode="dd/mmm/yy"/>
      <fill>
        <patternFill patternType="solid">
          <fgColor theme="9" tint="0.79998168889431442"/>
          <bgColor theme="9" tint="0.79998168889431442"/>
        </patternFill>
      </fill>
      <alignment horizontal="center" vertical="center" textRotation="0" wrapText="0" indent="0" justifyLastLine="0" shrinkToFit="0" readingOrder="0"/>
      <border diagonalUp="0" diagonalDown="0" outline="0">
        <left/>
        <right style="thin">
          <color theme="0"/>
        </right>
        <top style="thin">
          <color theme="0"/>
        </top>
        <bottom style="thin">
          <color theme="0"/>
        </bottom>
      </border>
    </dxf>
    <dxf>
      <border outline="0">
        <top style="thin">
          <color theme="0"/>
        </top>
      </border>
    </dxf>
    <dxf>
      <border outline="0">
        <left style="dotted">
          <color auto="1"/>
        </left>
        <top style="dotted">
          <color auto="1"/>
        </top>
        <bottom style="thin">
          <color theme="0"/>
        </bottom>
      </border>
    </dxf>
    <dxf>
      <numFmt numFmtId="0" formatCode="General"/>
      <alignment horizontal="center" vertical="center" textRotation="0" indent="0" justifyLastLine="0" shrinkToFit="0" readingOrder="0"/>
    </dxf>
    <dxf>
      <border outline="0">
        <bottom style="dotted">
          <color auto="1"/>
        </bottom>
      </border>
    </dxf>
    <dxf>
      <font>
        <b/>
        <i val="0"/>
        <strike val="0"/>
        <condense val="0"/>
        <extend val="0"/>
        <outline val="0"/>
        <shadow val="0"/>
        <u val="none"/>
        <vertAlign val="baseline"/>
        <sz val="9"/>
        <color theme="0"/>
        <name val="Calibri"/>
        <scheme val="minor"/>
      </font>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dotted">
          <color auto="1"/>
        </left>
        <right style="dotted">
          <color auto="1"/>
        </right>
        <top/>
        <bottom/>
      </border>
    </dxf>
    <dxf>
      <numFmt numFmtId="0" formatCode="General"/>
      <alignment horizontal="center" vertical="center" textRotation="0" wrapText="0" indent="0" justifyLastLine="0" shrinkToFit="0" readingOrder="0"/>
    </dxf>
    <dxf>
      <numFmt numFmtId="0" formatCode="General"/>
    </dxf>
    <dxf>
      <numFmt numFmtId="20" formatCode="dd/mmm/yy"/>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20" formatCode="dd/mmm/yy"/>
      <alignment horizontal="center" vertical="center" textRotation="0" wrapText="0" indent="0" justifyLastLine="0" shrinkToFit="0" readingOrder="0"/>
      <border diagonalUp="0" diagonalDown="0" outline="0">
        <left style="thin">
          <color auto="1"/>
        </left>
        <right style="thin">
          <color auto="1"/>
        </right>
        <top/>
        <bottom style="thin">
          <color auto="1"/>
        </bottom>
      </border>
    </dxf>
    <dxf>
      <font>
        <sz val="10"/>
        <name val="Arial"/>
        <scheme val="none"/>
      </font>
      <numFmt numFmtId="20" formatCode="dd/mmm/yy"/>
      <alignment horizontal="center" vertical="center" textRotation="0" wrapText="0" indent="0" justifyLastLine="0" shrinkToFit="0" readingOrder="0"/>
      <border diagonalUp="0" diagonalDown="0" outline="0">
        <left style="thin">
          <color auto="1"/>
        </left>
        <right style="thin">
          <color auto="1"/>
        </right>
        <top/>
        <bottom style="thin">
          <color auto="1"/>
        </bottom>
      </border>
    </dxf>
    <dxf>
      <alignment horizontal="center" vertical="center" textRotation="0" wrapText="0" indent="0" justifyLastLine="0" shrinkToFit="0" readingOrder="0"/>
    </dxf>
    <dxf>
      <font>
        <strike val="0"/>
        <outline val="0"/>
        <shadow val="0"/>
        <u val="none"/>
        <vertAlign val="baseline"/>
        <sz val="11"/>
      </font>
    </dxf>
    <dxf>
      <alignment horizontal="center" vertical="center" textRotation="0" wrapText="0" indent="0" justifyLastLine="0" shrinkToFit="0" readingOrder="0"/>
    </dxf>
    <dxf>
      <numFmt numFmtId="14" formatCode="0.0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mbria"/>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mbria"/>
        <scheme val="none"/>
      </font>
      <numFmt numFmtId="2" formatCode="0.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1"/>
        <name val="Cambria"/>
        <scheme val="none"/>
      </font>
      <numFmt numFmtId="2" formatCode="0.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font>
        <b val="0"/>
        <i val="0"/>
        <strike val="0"/>
        <condense val="0"/>
        <extend val="0"/>
        <outline val="0"/>
        <shadow val="0"/>
        <u val="none"/>
        <vertAlign val="baseline"/>
        <sz val="11"/>
        <color theme="1"/>
        <name val="Cambria"/>
        <scheme val="none"/>
      </font>
      <numFmt numFmtId="2" formatCode="0.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48118533890809E-2"/>
        </left>
        <right style="dotted">
          <color theme="2" tint="-9.9948118533890809E-2"/>
        </right>
        <top style="dotted">
          <color theme="2" tint="-9.9948118533890809E-2"/>
        </top>
        <bottom style="dotted">
          <color theme="2" tint="-9.9948118533890809E-2"/>
        </bottom>
        <vertical/>
        <horizontal/>
      </border>
    </dxf>
    <dxf>
      <numFmt numFmtId="25" formatCode="hh:mm"/>
      <alignment horizontal="center" vertical="bottom" textRotation="0" wrapText="0" indent="0" justifyLastLine="0" shrinkToFit="0" readingOrder="0"/>
    </dxf>
    <dxf>
      <numFmt numFmtId="25" formatCode="hh:mm"/>
      <alignment horizontal="center" vertical="bottom" textRotation="0" wrapText="0" indent="0" justifyLastLine="0" shrinkToFit="0" readingOrder="0"/>
    </dxf>
    <dxf>
      <numFmt numFmtId="170" formatCode="h:mm;@"/>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4" formatCode="0.00%"/>
      <fill>
        <patternFill patternType="none">
          <fgColor indexed="64"/>
          <bgColor indexed="65"/>
        </patternFill>
      </fill>
      <alignment horizontal="center" vertical="bottom" textRotation="0" wrapText="0" indent="0" justifyLastLine="0" shrinkToFit="0" readingOrder="0"/>
    </dxf>
    <dxf>
      <numFmt numFmtId="0" formatCode="General"/>
    </dxf>
    <dxf>
      <numFmt numFmtId="0" formatCode="General"/>
    </dxf>
    <dxf>
      <numFmt numFmtId="20" formatCode="dd/mmm/yy"/>
      <alignment horizontal="center" vertical="center" textRotation="0" wrapText="0" indent="0" justifyLastLine="0" shrinkToFit="0" readingOrder="0"/>
    </dxf>
    <dxf>
      <numFmt numFmtId="22" formatCode="mmm/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9"/>
        <color theme="0"/>
        <name val="Calibri"/>
        <scheme val="minor"/>
      </font>
      <fill>
        <patternFill patternType="solid">
          <fgColor indexed="64"/>
          <bgColor theme="9"/>
        </patternFill>
      </fill>
      <alignment horizontal="center" vertical="center" textRotation="0" wrapText="1" indent="0" justifyLastLine="0" shrinkToFit="0" readingOrder="0"/>
      <border diagonalUp="0" diagonalDown="0" outline="0">
        <left style="thin">
          <color auto="1"/>
        </left>
        <right style="thin">
          <color auto="1"/>
        </right>
        <top/>
        <bottom/>
      </border>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numFmt numFmtId="2" formatCode="0.00"/>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2" formatCode="0.00"/>
      <alignment horizontal="center" vertical="center" textRotation="0" indent="0" justifyLastLine="0" shrinkToFit="0" readingOrder="0"/>
    </dxf>
    <dxf>
      <numFmt numFmtId="2" formatCode="0.00"/>
      <alignment horizontal="center" vertical="center" textRotation="0" indent="0" justifyLastLine="0" shrinkToFit="0" readingOrder="0"/>
    </dxf>
    <dxf>
      <numFmt numFmtId="2" formatCode="0.00"/>
      <alignment horizontal="center" vertical="center" textRotation="0" indent="0" justifyLastLine="0" shrinkToFit="0" readingOrder="0"/>
    </dxf>
    <dxf>
      <numFmt numFmtId="170" formatCode="h:mm;@"/>
      <alignment horizontal="center" vertical="center" textRotation="0" indent="0" justifyLastLine="0" shrinkToFit="0" readingOrder="0"/>
    </dxf>
    <dxf>
      <numFmt numFmtId="170" formatCode="h:mm;@"/>
      <alignment horizontal="center" vertical="center" textRotation="0" indent="0" justifyLastLine="0" shrinkToFit="0" readingOrder="0"/>
    </dxf>
    <dxf>
      <numFmt numFmtId="170" formatCode="h:mm;@"/>
      <alignment horizontal="center" vertical="center" textRotation="0" indent="0" justifyLastLine="0" shrinkToFit="0" readingOrder="0"/>
    </dxf>
    <dxf>
      <alignment horizontal="left" vertical="center" textRotation="0" wrapText="0" indent="0" justifyLastLine="0" shrinkToFit="0" readingOrder="0"/>
    </dxf>
    <dxf>
      <numFmt numFmtId="14" formatCode="0.00%"/>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indent="0" justifyLastLine="0" shrinkToFit="0" readingOrder="0"/>
    </dxf>
    <dxf>
      <alignment horizontal="center" vertical="center" textRotation="0" indent="0" justifyLastLine="0" shrinkToFit="0" readingOrder="0"/>
    </dxf>
    <dxf>
      <numFmt numFmtId="20" formatCode="dd/mmm/yy"/>
      <alignment horizontal="center" vertical="center" textRotation="0" wrapText="0" indent="0" justifyLastLine="0" shrinkToFit="0" readingOrder="0"/>
    </dxf>
    <dxf>
      <numFmt numFmtId="22" formatCode="mmm/yy"/>
      <alignment horizontal="center" vertical="center" textRotation="0" wrapText="0" indent="0" justifyLastLine="0" shrinkToFit="0" readingOrder="0"/>
    </dxf>
    <dxf>
      <alignment horizontal="center" vertical="center" textRotation="0" indent="0" justifyLastLine="0" shrinkToFit="0" readingOrder="0"/>
    </dxf>
    <dxf>
      <numFmt numFmtId="0" formatCode="General"/>
      <alignment horizontal="center" vertical="center" textRotation="0" indent="0" justifyLastLine="0" shrinkToFit="0" readingOrder="0"/>
    </dxf>
    <dxf>
      <numFmt numFmtId="0" formatCode="General"/>
      <alignment horizontal="center" vertical="center" textRotation="0" indent="0" justifyLastLine="0" shrinkToFit="0" readingOrder="0"/>
    </dxf>
    <dxf>
      <alignment horizontal="center" vertical="center" textRotation="0" indent="0" justifyLastLine="0" shrinkToFit="0" readingOrder="0"/>
    </dxf>
    <dxf>
      <numFmt numFmtId="165" formatCode="[$-409]d/mmm/yy;@"/>
      <alignment horizontal="center" vertical="center" textRotation="0" indent="0" justifyLastLine="0" shrinkToFit="0" readingOrder="0"/>
    </dxf>
    <dxf>
      <border outline="0">
        <bottom style="thick">
          <color theme="0"/>
        </bottom>
      </border>
    </dxf>
    <dxf>
      <font>
        <b/>
        <i val="0"/>
        <strike val="0"/>
        <condense val="0"/>
        <extend val="0"/>
        <outline val="0"/>
        <shadow val="0"/>
        <u val="none"/>
        <vertAlign val="baseline"/>
        <sz val="9"/>
        <color theme="0"/>
        <name val="Calibri"/>
        <scheme val="minor"/>
      </font>
      <numFmt numFmtId="165" formatCode="[$-409]d/mmm/yy;@"/>
      <fill>
        <patternFill patternType="solid">
          <fgColor indexed="64"/>
          <bgColor theme="9"/>
        </patternFill>
      </fill>
      <alignment horizontal="center" vertical="center" textRotation="0" wrapText="1" indent="0" justifyLastLine="0" shrinkToFit="0" readingOrder="0"/>
      <border diagonalUp="0" diagonalDown="0" outline="0">
        <left style="thin">
          <color theme="0"/>
        </left>
        <right style="thin">
          <color theme="0"/>
        </right>
        <top/>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35" formatCode="_ * #,##0.00_ ;_ * \-#,##0.00_ ;_ * &quot;-&quot;??_ ;_ @_ "/>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mbria"/>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Cambria"/>
        <scheme val="none"/>
      </font>
      <numFmt numFmtId="2" formatCode="0.00"/>
      <alignment horizontal="center" vertical="center" textRotation="0" wrapText="0" indent="0" justifyLastLine="0" shrinkToFit="0" readingOrder="0"/>
    </dxf>
    <dxf>
      <numFmt numFmtId="173" formatCode="[h]:mm"/>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25" formatCode="hh:mm"/>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25" formatCode="hh:mm"/>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25" formatCode="hh:mm"/>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center" vertical="center" textRotation="0" wrapText="0" indent="0" justifyLastLine="0" shrinkToFit="0" readingOrder="0"/>
    </dxf>
    <dxf>
      <numFmt numFmtId="20" formatCode="dd/mmm/yy"/>
      <alignment horizontal="center" vertical="center" textRotation="0" wrapText="0" indent="0" justifyLastLine="0" shrinkToFit="0" readingOrder="0"/>
    </dxf>
    <dxf>
      <numFmt numFmtId="22" formatCode="mmm/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9"/>
        <color theme="0"/>
        <name val="Calibri"/>
        <scheme val="minor"/>
      </font>
      <fill>
        <patternFill patternType="solid">
          <fgColor indexed="64"/>
          <bgColor theme="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4" formatCode="0.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solid">
          <fgColor indexed="64"/>
          <bgColor theme="0"/>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solid">
          <fgColor indexed="64"/>
          <bgColor theme="0"/>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68" formatCode="_ * #,##0_ ;_ * \-#,##0_ ;_ * &quot;-&quot;??_ ;_ @_ "/>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horizontal/>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1"/>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theme="2" tint="-9.9917600024414813E-2"/>
        </left>
        <right style="dotted">
          <color theme="2" tint="-9.9917600024414813E-2"/>
        </right>
        <top style="dotted">
          <color theme="2" tint="-9.9917600024414813E-2"/>
        </top>
        <bottom style="dotted">
          <color theme="2" tint="-9.9917600024414813E-2"/>
        </bottom>
      </border>
    </dxf>
    <dxf>
      <font>
        <strike val="0"/>
        <outline val="0"/>
        <shadow val="0"/>
        <u val="none"/>
        <vertAlign val="baseline"/>
        <color auto="1"/>
      </font>
      <numFmt numFmtId="174" formatCode="[$-10409]0.00;\(0.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strike val="0"/>
        <outline val="0"/>
        <shadow val="0"/>
        <u val="none"/>
        <vertAlign val="baseline"/>
        <color auto="1"/>
      </font>
      <numFmt numFmtId="174" formatCode="[$-10409]0.00;\(0.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strike val="0"/>
        <outline val="0"/>
        <shadow val="0"/>
        <u val="none"/>
        <vertAlign val="baseline"/>
        <color auto="1"/>
      </font>
      <numFmt numFmtId="174" formatCode="[$-10409]0.00;\(0.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strike val="0"/>
        <outline val="0"/>
        <shadow val="0"/>
        <u val="none"/>
        <vertAlign val="baseline"/>
        <color auto="1"/>
      </font>
      <numFmt numFmtId="174" formatCode="[$-10409]0.00;\(0.00\)"/>
      <fill>
        <patternFill patternType="solid">
          <fgColor indexed="64"/>
          <bgColor theme="0" tint="-0.14999847407452621"/>
        </patternFill>
      </fill>
      <alignment horizontal="center" vertical="bottom" textRotation="0" wrapText="0" indent="0" justifyLastLine="0" shrinkToFit="0" readingOrder="0"/>
      <border diagonalUp="0" diagonalDown="0">
        <left style="dotted">
          <color theme="2" tint="-9.9917600024414813E-2"/>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font>
        <b val="0"/>
        <i val="0"/>
        <strike val="0"/>
        <condense val="0"/>
        <extend val="0"/>
        <outline val="0"/>
        <shadow val="0"/>
        <u val="none"/>
        <vertAlign val="baseline"/>
        <sz val="10"/>
        <color auto="1"/>
        <name val="Palatino Linotype"/>
        <scheme val="none"/>
      </font>
      <numFmt numFmtId="167" formatCode="[$-409]d\-mmm\-yy;@"/>
      <fill>
        <patternFill patternType="none">
          <fgColor indexed="64"/>
          <bgColor auto="1"/>
        </patternFill>
      </fill>
      <alignment horizontal="center" vertical="center" textRotation="0" wrapText="0" indent="0" justifyLastLine="0" shrinkToFit="0" readingOrder="0"/>
      <border diagonalUp="0" diagonalDown="0">
        <left/>
        <right style="dotted">
          <color theme="2" tint="-9.9917600024414813E-2"/>
        </right>
        <top style="dotted">
          <color theme="2" tint="-9.9917600024414813E-2"/>
        </top>
        <bottom style="dotted">
          <color theme="2" tint="-9.9917600024414813E-2"/>
        </bottom>
        <vertical style="dotted">
          <color theme="2" tint="-9.9917600024414813E-2"/>
        </vertical>
        <horizontal style="dotted">
          <color theme="2" tint="-9.9917600024414813E-2"/>
        </horizontal>
      </border>
    </dxf>
    <dxf>
      <border>
        <top style="dotted">
          <color theme="2" tint="-9.9917600024414813E-2"/>
        </top>
      </border>
    </dxf>
    <dxf>
      <border diagonalUp="0" diagonalDown="0">
        <left style="dotted">
          <color theme="2" tint="-9.9917600024414813E-2"/>
        </left>
        <right style="dotted">
          <color theme="2" tint="-9.9917600024414813E-2"/>
        </right>
        <top style="dotted">
          <color theme="2" tint="-9.9917600024414813E-2"/>
        </top>
        <bottom style="dotted">
          <color theme="2" tint="-9.9917600024414813E-2"/>
        </bottom>
      </border>
    </dxf>
    <dxf>
      <font>
        <b val="0"/>
        <i val="0"/>
        <strike val="0"/>
        <condense val="0"/>
        <extend val="0"/>
        <outline val="0"/>
        <shadow val="0"/>
        <u val="none"/>
        <vertAlign val="baseline"/>
        <sz val="11"/>
        <color auto="1"/>
        <name val="Calibri"/>
        <scheme val="minor"/>
      </font>
      <numFmt numFmtId="14" formatCode="0.00%"/>
      <fill>
        <patternFill patternType="none">
          <fgColor indexed="64"/>
          <bgColor auto="1"/>
        </patternFill>
      </fill>
      <alignment horizontal="center" vertical="bottom" textRotation="0" wrapText="0" indent="0" justifyLastLine="0" shrinkToFit="0" readingOrder="0"/>
    </dxf>
    <dxf>
      <border>
        <bottom style="dotted">
          <color theme="2" tint="-9.9917600024414813E-2"/>
        </bottom>
      </border>
    </dxf>
    <dxf>
      <font>
        <b/>
        <i val="0"/>
        <strike val="0"/>
        <condense val="0"/>
        <extend val="0"/>
        <outline val="0"/>
        <shadow val="0"/>
        <u val="none"/>
        <vertAlign val="baseline"/>
        <sz val="9"/>
        <color theme="0"/>
        <name val="Calibri"/>
        <scheme val="minor"/>
      </font>
      <numFmt numFmtId="14" formatCode="0.00%"/>
      <fill>
        <patternFill patternType="solid">
          <fgColor indexed="64"/>
          <bgColor theme="9"/>
        </patternFill>
      </fill>
      <alignment horizontal="center" vertical="center" textRotation="0" wrapText="1" indent="0" justifyLastLine="0" shrinkToFit="0" readingOrder="0"/>
      <border diagonalUp="0" diagonalDown="0">
        <left style="dotted">
          <color theme="2" tint="-9.9917600024414813E-2"/>
        </left>
        <right style="dotted">
          <color theme="2" tint="-9.9917600024414813E-2"/>
        </right>
        <top/>
        <bottom/>
        <vertical style="dotted">
          <color theme="2" tint="-9.9917600024414813E-2"/>
        </vertical>
        <horizontal style="dotted">
          <color theme="2" tint="-9.9917600024414813E-2"/>
        </horizontal>
      </border>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numFmt numFmtId="1" formatCode="0"/>
      <fill>
        <patternFill patternType="none">
          <fgColor theme="9"/>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auto="1"/>
        <name val="Calibri"/>
        <scheme val="minor"/>
      </font>
      <numFmt numFmtId="1" formatCode="0"/>
      <fill>
        <patternFill patternType="none">
          <fgColor theme="9"/>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numFmt numFmtId="14" formatCode="0.00%"/>
      <fill>
        <patternFill patternType="none">
          <fgColor theme="9"/>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numFmt numFmtId="14" formatCode="0.00%"/>
      <fill>
        <patternFill patternType="none">
          <fgColor theme="9"/>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numFmt numFmtId="14" formatCode="0.00%"/>
      <fill>
        <patternFill patternType="none">
          <fgColor theme="9"/>
          <bgColor auto="1"/>
        </patternFill>
      </fill>
      <alignment horizontal="center" vertical="center" textRotation="0" wrapText="0" indent="0" justifyLastLine="0" shrinkToFit="0" readingOrder="0"/>
      <border diagonalUp="0" diagonalDown="0">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3" formatCode="0%"/>
      <fill>
        <patternFill patternType="none">
          <fgColor theme="9"/>
          <bgColor auto="1"/>
        </patternFill>
      </fill>
      <alignment horizontal="center" vertical="center" textRotation="0" wrapText="0" indent="0" justifyLastLine="0" shrinkToFit="0" readingOrder="0"/>
      <border diagonalUp="0" diagonalDown="0">
        <left style="dotted">
          <color auto="1"/>
        </left>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scheme val="minor"/>
      </font>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none">
          <fgColor theme="9"/>
          <bgColor auto="1"/>
        </patternFill>
      </fill>
      <alignment horizontal="center" vertical="center" textRotation="0" wrapText="0"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2" formatCode="0.00"/>
      <fill>
        <patternFill patternType="none">
          <fgColor theme="9"/>
          <bgColor auto="1"/>
        </patternFill>
      </fill>
      <alignment horizontal="center" vertical="center" textRotation="0" wrapText="0" indent="0" justifyLastLine="0" shrinkToFit="0" readingOrder="0"/>
      <border diagonalUp="0" diagonalDown="0">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4" formatCode="0.00%"/>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4" formatCode="0.00%"/>
      <fill>
        <patternFill patternType="none">
          <fgColor theme="9"/>
          <bgColor auto="1"/>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numFmt numFmtId="14" formatCode="0.00%"/>
      <fill>
        <patternFill patternType="none">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numFmt numFmtId="14" formatCode="0.00%"/>
      <fill>
        <patternFill patternType="none">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 formatCode="0"/>
      <fill>
        <patternFill patternType="none">
          <fgColor theme="9"/>
          <bgColor auto="1"/>
        </patternFill>
      </fill>
      <alignment horizontal="center" vertical="center" textRotation="0" wrapText="0" indent="0" justifyLastLine="0" shrinkToFit="0" readingOrder="0"/>
      <border diagonalUp="0" diagonalDown="0">
        <left/>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0" formatCode="General"/>
      <fill>
        <patternFill patternType="none">
          <fgColor theme="9"/>
          <bgColor auto="1"/>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0" formatCode="General"/>
      <fill>
        <patternFill patternType="none">
          <fgColor theme="9"/>
          <bgColor auto="1"/>
        </patternFill>
      </fill>
      <alignment horizontal="center" vertical="center" textRotation="0" wrapText="0" indent="0" justifyLastLine="0" shrinkToFit="0" readingOrder="0"/>
      <border diagonalUp="0" diagonalDown="0">
        <left/>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 formatCode="0"/>
      <fill>
        <patternFill patternType="none">
          <fgColor theme="9"/>
          <bgColor auto="1"/>
        </patternFill>
      </fill>
      <alignment horizontal="center" vertical="center" textRotation="0" wrapText="0"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 formatCode="0"/>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0" formatCode="General"/>
      <fill>
        <patternFill patternType="none">
          <fgColor theme="9"/>
          <bgColor auto="1"/>
        </patternFill>
      </fill>
      <alignment horizontal="center" vertical="center" textRotation="0" wrapText="0" indent="0" justifyLastLine="0" shrinkToFit="0" readingOrder="0"/>
      <border diagonalUp="0" diagonalDown="0">
        <left style="dotted">
          <color auto="1"/>
        </left>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0" formatCode="General"/>
      <fill>
        <patternFill patternType="none">
          <fgColor theme="9"/>
          <bgColor auto="1"/>
        </patternFill>
      </fill>
      <alignment horizontal="center" vertical="center" textRotation="0" wrapText="0" indent="0" justifyLastLine="0" shrinkToFit="0" readingOrder="0"/>
      <border diagonalUp="0" diagonalDown="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4" formatCode="0.00%"/>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9" formatCode="0.0%"/>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none"/>
      </font>
      <numFmt numFmtId="14" formatCode="0.00%"/>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none">
          <fgColor theme="9"/>
          <bgColor auto="1"/>
        </patternFill>
      </fill>
      <alignment horizontal="center" vertical="center" textRotation="0" wrapText="0"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9" formatCode="0.0%"/>
      <fill>
        <patternFill patternType="none">
          <fgColor theme="9"/>
          <bgColor auto="1"/>
        </patternFill>
      </fill>
      <alignment horizontal="center" vertical="center" textRotation="0" wrapText="0" indent="0" justifyLastLine="0" shrinkToFit="0" readingOrder="0"/>
      <border diagonalUp="0" diagonalDown="0">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4" formatCode="0.00%"/>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none"/>
      </font>
      <numFmt numFmtId="169" formatCode="0.0%"/>
      <fill>
        <patternFill patternType="none">
          <fgColor theme="9"/>
          <bgColor auto="1"/>
        </patternFill>
      </fill>
      <alignment horizontal="center" vertical="center" textRotation="0" wrapText="0" indent="0" justifyLastLine="0" shrinkToFit="0" readingOrder="0"/>
      <border diagonalUp="0" diagonalDown="0">
        <left/>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9" formatCode="0.0%"/>
      <fill>
        <patternFill patternType="none">
          <fgColor theme="9"/>
          <bgColor auto="1"/>
        </patternFill>
      </fill>
      <alignment horizontal="center" vertical="center" textRotation="0" wrapText="0" indent="0" justifyLastLine="0" shrinkToFit="0" readingOrder="0"/>
      <border diagonalUp="0" diagonalDown="0">
        <left/>
        <right/>
        <top style="dotted">
          <color auto="1"/>
        </top>
        <bottom/>
      </border>
    </dxf>
    <dxf>
      <font>
        <b/>
        <i val="0"/>
        <strike val="0"/>
        <condense val="0"/>
        <extend val="0"/>
        <outline val="0"/>
        <shadow val="0"/>
        <u val="none"/>
        <vertAlign val="baseline"/>
        <sz val="11"/>
        <color theme="0"/>
        <name val="Calibri"/>
        <scheme val="minor"/>
      </font>
      <numFmt numFmtId="169" formatCode="0.0%"/>
      <fill>
        <patternFill patternType="none">
          <fgColor theme="9"/>
          <bgColor auto="1"/>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11"/>
        <color theme="0"/>
        <name val="Calibri"/>
        <scheme val="minor"/>
      </font>
      <numFmt numFmtId="164"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4"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4"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2" formatCode="0.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4"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4"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4"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9"/>
          <bgColor theme="9"/>
        </patternFill>
      </fill>
      <alignment horizontal="center" vertical="center" textRotation="0" wrapText="1" indent="0" justifyLastLine="0" shrinkToFit="0" readingOrder="0"/>
      <border diagonalUp="0" diagonalDown="0" outline="0">
        <left/>
        <right style="dotted">
          <color auto="1"/>
        </right>
        <top style="dotted">
          <color auto="1"/>
        </top>
        <bottom/>
      </border>
    </dxf>
    <dxf>
      <font>
        <b/>
        <i val="0"/>
        <strike val="0"/>
        <condense val="0"/>
        <extend val="0"/>
        <outline val="0"/>
        <shadow val="0"/>
        <u val="none"/>
        <vertAlign val="baseline"/>
        <sz val="11"/>
        <color theme="0"/>
        <name val="Calibri"/>
        <scheme val="minor"/>
      </font>
      <numFmt numFmtId="164" formatCode="0.0"/>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scheme val="minor"/>
      </font>
      <numFmt numFmtId="0" formatCode="General"/>
      <fill>
        <patternFill patternType="solid">
          <fgColor indexed="64"/>
          <bgColor theme="9"/>
        </patternFill>
      </fill>
      <alignment horizontal="center" vertical="center" textRotation="0" wrapText="0" indent="0" justifyLastLine="0" shrinkToFit="0" readingOrder="0"/>
      <border diagonalUp="0" diagonalDown="0" outline="0">
        <left style="dotted">
          <color auto="1"/>
        </left>
        <right/>
        <top style="dotted">
          <color auto="1"/>
        </top>
        <bottom/>
      </border>
      <protection locked="1" hidden="0"/>
    </dxf>
    <dxf>
      <font>
        <b/>
        <i val="0"/>
        <strike val="0"/>
        <condense val="0"/>
        <extend val="0"/>
        <outline val="0"/>
        <shadow val="0"/>
        <u val="none"/>
        <vertAlign val="baseline"/>
        <sz val="9"/>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dotted">
          <color auto="1"/>
        </left>
        <right/>
        <top style="dotted">
          <color auto="1"/>
        </top>
        <bottom/>
      </border>
    </dxf>
    <dxf>
      <font>
        <b/>
        <i val="0"/>
        <strike val="0"/>
        <condense val="0"/>
        <extend val="0"/>
        <outline val="0"/>
        <shadow val="0"/>
        <u val="none"/>
        <vertAlign val="baseline"/>
        <sz val="9"/>
        <color theme="0"/>
        <name val="Calibri"/>
        <scheme val="minor"/>
      </font>
      <numFmt numFmtId="22" formatCode="mmm/yy"/>
      <fill>
        <patternFill patternType="solid">
          <fgColor indexed="64"/>
          <bgColor theme="9"/>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protection locked="1" hidden="0"/>
    </dxf>
    <dxf>
      <font>
        <b/>
        <i val="0"/>
        <strike val="0"/>
        <condense val="0"/>
        <extend val="0"/>
        <outline val="0"/>
        <shadow val="0"/>
        <u val="none"/>
        <vertAlign val="baseline"/>
        <sz val="9"/>
        <color theme="0"/>
        <name val="Calibri"/>
        <scheme val="minor"/>
      </font>
      <numFmt numFmtId="22" formatCode="mmm/yy"/>
      <fill>
        <patternFill patternType="none">
          <fgColor indexed="64"/>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scheme val="minor"/>
      </font>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protection locked="1" hidden="0"/>
    </dxf>
    <dxf>
      <font>
        <b/>
        <i val="0"/>
        <strike val="0"/>
        <condense val="0"/>
        <extend val="0"/>
        <outline val="0"/>
        <shadow val="0"/>
        <u val="none"/>
        <vertAlign val="baseline"/>
        <sz val="9"/>
        <color theme="0"/>
        <name val="Calibri"/>
        <scheme val="minor"/>
      </font>
      <fill>
        <patternFill patternType="none">
          <fgColor indexed="64"/>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scheme val="minor"/>
      </font>
      <numFmt numFmtId="0" formatCode="General"/>
      <fill>
        <patternFill patternType="solid">
          <fgColor indexed="64"/>
          <bgColor theme="9"/>
        </patternFill>
      </fill>
      <alignment horizontal="center" vertical="center" textRotation="0" wrapText="1" indent="0" justifyLastLine="0" shrinkToFit="0" readingOrder="0"/>
      <border diagonalUp="0" diagonalDown="0" outline="0">
        <left style="dotted">
          <color auto="1"/>
        </left>
        <right style="dotted">
          <color auto="1"/>
        </right>
        <top style="dotted">
          <color auto="1"/>
        </top>
        <bottom/>
      </border>
      <protection locked="1" hidden="0"/>
    </dxf>
    <dxf>
      <font>
        <b/>
        <i val="0"/>
        <strike val="0"/>
        <condense val="0"/>
        <extend val="0"/>
        <outline val="0"/>
        <shadow val="0"/>
        <u val="none"/>
        <vertAlign val="baseline"/>
        <sz val="9"/>
        <color theme="0"/>
        <name val="Calibri"/>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dotted">
          <color auto="1"/>
        </left>
        <right style="dotted">
          <color auto="1"/>
        </right>
        <top style="dotted">
          <color auto="1"/>
        </top>
        <bottom/>
      </border>
    </dxf>
    <dxf>
      <font>
        <b/>
        <i val="0"/>
        <strike val="0"/>
        <condense val="0"/>
        <extend val="0"/>
        <outline val="0"/>
        <shadow val="0"/>
        <u val="none"/>
        <vertAlign val="baseline"/>
        <sz val="9"/>
        <color theme="0"/>
        <name val="Calibri"/>
        <scheme val="minor"/>
      </font>
      <numFmt numFmtId="165" formatCode="[$-409]d/mmm/yy;@"/>
      <fill>
        <patternFill patternType="solid">
          <fgColor indexed="64"/>
          <bgColor theme="9"/>
        </patternFill>
      </fill>
      <alignment horizontal="center" vertical="bottom" textRotation="0" wrapText="0" indent="0" justifyLastLine="0" shrinkToFit="0" readingOrder="0"/>
      <border diagonalUp="0" diagonalDown="0" outline="0">
        <left/>
        <right style="dotted">
          <color auto="1"/>
        </right>
        <top style="dotted">
          <color auto="1"/>
        </top>
        <bottom/>
      </border>
      <protection locked="1" hidden="0"/>
    </dxf>
    <dxf>
      <font>
        <b/>
        <i val="0"/>
        <strike val="0"/>
        <condense val="0"/>
        <extend val="0"/>
        <outline val="0"/>
        <shadow val="0"/>
        <u val="none"/>
        <vertAlign val="baseline"/>
        <sz val="9"/>
        <color theme="0"/>
        <name val="Calibri"/>
        <scheme val="minor"/>
      </font>
      <numFmt numFmtId="20" formatCode="dd/mmm/yy"/>
      <fill>
        <patternFill patternType="none">
          <fgColor indexed="64"/>
          <bgColor auto="1"/>
        </patternFill>
      </fill>
      <alignment horizontal="center" vertical="center" textRotation="0" wrapText="0" indent="0" justifyLastLine="0" shrinkToFit="0" readingOrder="0"/>
      <border diagonalUp="0" diagonalDown="0" outline="0">
        <left/>
        <right style="dotted">
          <color auto="1"/>
        </right>
        <top style="dotted">
          <color auto="1"/>
        </top>
        <bottom/>
      </border>
    </dxf>
    <dxf>
      <border outline="0">
        <top style="dotted">
          <color auto="1"/>
        </top>
      </border>
    </dxf>
    <dxf>
      <alignment horizontal="center" vertical="center" textRotation="0" wrapText="0" indent="0" justifyLastLine="0" shrinkToFit="0" readingOrder="0"/>
    </dxf>
    <dxf>
      <border outline="0">
        <left style="dotted">
          <color auto="1"/>
        </left>
        <right style="dotted">
          <color auto="1"/>
        </right>
        <top style="dotted">
          <color auto="1"/>
        </top>
        <bottom style="dotted">
          <color auto="1"/>
        </bottom>
      </border>
    </dxf>
    <dxf>
      <font>
        <b/>
        <i val="0"/>
        <strike val="0"/>
        <condense val="0"/>
        <extend val="0"/>
        <outline val="0"/>
        <shadow val="0"/>
        <u val="none"/>
        <vertAlign val="baseline"/>
        <sz val="11"/>
        <color theme="0"/>
        <name val="Calibri"/>
        <scheme val="minor"/>
      </font>
      <fill>
        <patternFill patternType="none">
          <fgColor theme="9"/>
          <bgColor auto="1"/>
        </patternFill>
      </fill>
      <alignment horizontal="center" vertical="center" textRotation="0" wrapText="0" indent="0" justifyLastLine="0" shrinkToFit="0" readingOrder="0"/>
    </dxf>
    <dxf>
      <border outline="0">
        <bottom style="dotted">
          <color auto="1"/>
        </bottom>
      </border>
    </dxf>
    <dxf>
      <font>
        <b/>
        <i val="0"/>
        <strike val="0"/>
        <condense val="0"/>
        <extend val="0"/>
        <outline val="0"/>
        <shadow val="0"/>
        <u val="none"/>
        <vertAlign val="baseline"/>
        <sz val="11"/>
        <color theme="0"/>
        <name val="Calibri"/>
        <scheme val="minor"/>
      </font>
      <fill>
        <patternFill patternType="none">
          <fgColor theme="9"/>
          <bgColor auto="1"/>
        </patternFill>
      </fill>
      <alignment horizontal="center" vertical="center" textRotation="0" wrapText="1" indent="0" justifyLastLine="0" shrinkToFit="0" readingOrder="0"/>
      <border diagonalUp="0" diagonalDown="0" outline="0">
        <left style="dotted">
          <color auto="1"/>
        </left>
        <right style="dotted">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Fault</a:t>
            </a:r>
            <a:r>
              <a:rPr lang="en-GB" baseline="0"/>
              <a: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s>
    <c:plotArea>
      <c:layout/>
      <c:doughnutChart>
        <c:varyColors val="1"/>
        <c:ser>
          <c:idx val="0"/>
          <c:order val="0"/>
          <c:tx>
            <c:strRef>
              <c:f>Analytics!$B$27</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FE-4D6B-8159-C96D1FFFC9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FE-4D6B-8159-C96D1FFFC9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FE-4D6B-8159-C96D1FFFC9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FE-4D6B-8159-C96D1FFFC9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FE-4D6B-8159-C96D1FFFC92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2FE-4D6B-8159-C96D1FFFC92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2FE-4D6B-8159-C96D1FFFC92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2FE-4D6B-8159-C96D1FFFC92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2FE-4D6B-8159-C96D1FFFC92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2FE-4D6B-8159-C96D1FFFC92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2FE-4D6B-8159-C96D1FFFC92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2FE-4D6B-8159-C96D1FFFC92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2FE-4D6B-8159-C96D1FFFC92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2FE-4D6B-8159-C96D1FFFC92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2FE-4D6B-8159-C96D1FFFC92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2FE-4D6B-8159-C96D1FFFC92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2FE-4D6B-8159-C96D1FFFC92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C2FE-4D6B-8159-C96D1FFFC92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C2FE-4D6B-8159-C96D1FFFC92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C2FE-4D6B-8159-C96D1FFFC92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C2FE-4D6B-8159-C96D1FFFC92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C2FE-4D6B-8159-C96D1FFFC92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C2FE-4D6B-8159-C96D1FFFC92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C2FE-4D6B-8159-C96D1FFFC92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C2FE-4D6B-8159-C96D1FFFC92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C2FE-4D6B-8159-C96D1FFFC92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C2FE-4D6B-8159-C96D1FFFC92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C2FE-4D6B-8159-C96D1FFFC92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C2FE-4D6B-8159-C96D1FFFC92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C2FE-4D6B-8159-C96D1FFFC92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C2FE-4D6B-8159-C96D1FFFC925}"/>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C2FE-4D6B-8159-C96D1FFFC925}"/>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C2FE-4D6B-8159-C96D1FFFC925}"/>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C2FE-4D6B-8159-C96D1FFFC925}"/>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C2FE-4D6B-8159-C96D1FFFC925}"/>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C2FE-4D6B-8159-C96D1FFFC925}"/>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C2FE-4D6B-8159-C96D1FFFC925}"/>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C2FE-4D6B-8159-C96D1FFFC925}"/>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C2FE-4D6B-8159-C96D1FFFC925}"/>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C2FE-4D6B-8159-C96D1FFFC925}"/>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C2FE-4D6B-8159-C96D1FFFC925}"/>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C2FE-4D6B-8159-C96D1FFFC925}"/>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C2FE-4D6B-8159-C96D1FFFC925}"/>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C2FE-4D6B-8159-C96D1FFFC925}"/>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C2FE-4D6B-8159-C96D1FFFC925}"/>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C2FE-4D6B-8159-C96D1FFFC925}"/>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C2FE-4D6B-8159-C96D1FFFC925}"/>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C2FE-4D6B-8159-C96D1FFFC925}"/>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C2FE-4D6B-8159-C96D1FFFC925}"/>
              </c:ext>
            </c:extLst>
          </c:dPt>
          <c:cat>
            <c:strLit>
              <c:ptCount val="48"/>
              <c:pt idx="0">
                <c:v>Gearbox oil overtemperature</c:v>
              </c:pt>
              <c:pt idx="1">
                <c:v>Line CCU collective faults</c:v>
              </c:pt>
              <c:pt idx="2">
                <c:v> PLC fault 24V Supply</c:v>
              </c:pt>
              <c:pt idx="3">
                <c:v>Anemometer defec</c:v>
              </c:pt>
              <c:pt idx="4">
                <c:v>Line CCU fault current</c:v>
              </c:pt>
              <c:pt idx="5">
                <c:v>Pitch thyristor 3 fault</c:v>
              </c:pt>
              <c:pt idx="6">
                <c:v>Yaw tooth sensor 1 timeout </c:v>
              </c:pt>
              <c:pt idx="7">
                <c:v>Rotor speeds not plausible</c:v>
              </c:pt>
              <c:pt idx="8">
                <c:v>Communication fault wind measurement device</c:v>
              </c:pt>
              <c:pt idx="9">
                <c:v>No communication Cu</c:v>
              </c:pt>
              <c:pt idx="10">
                <c:v>Pitch thyristor 1 fault</c:v>
              </c:pt>
              <c:pt idx="11">
                <c:v>Brake not released secondary brake</c:v>
              </c:pt>
              <c:pt idx="12">
                <c:v>CCU fault at abnormal grid condition</c:v>
              </c:pt>
              <c:pt idx="13">
                <c:v>Grid voltage drop CU</c:v>
              </c:pt>
              <c:pt idx="14">
                <c:v>Pitch thyristor 2 fault</c:v>
              </c:pt>
              <c:pt idx="15">
                <c:v>Communication fault pitch controller Axis 2</c:v>
              </c:pt>
              <c:pt idx="16">
                <c:v>Gearbox oil level too low</c:v>
              </c:pt>
              <c:pt idx="17">
                <c:v>Line CCU fault voltage</c:v>
              </c:pt>
              <c:pt idx="18">
                <c:v>Timeout yaw counter</c:v>
              </c:pt>
              <c:pt idx="19">
                <c:v>Yaw tooth sensor 2 timeout </c:v>
              </c:pt>
              <c:pt idx="20">
                <c:v>axis 3 fault pitch controlle</c:v>
              </c:pt>
              <c:pt idx="21">
                <c:v>Yaw Brake Voltage 230Volt not OK </c:v>
              </c:pt>
              <c:pt idx="22">
                <c:v>Temp. sensor error (shut down)</c:v>
              </c:pt>
              <c:pt idx="23">
                <c:v>System re-initialization after grid outage </c:v>
              </c:pt>
              <c:pt idx="24">
                <c:v>DTA DIN03 control breaker status</c:v>
              </c:pt>
              <c:pt idx="25">
                <c:v>Battery voltage not OK axis 1</c:v>
              </c:pt>
              <c:pt idx="26">
                <c:v>axis 2 fault pitch controller</c:v>
              </c:pt>
              <c:pt idx="27">
                <c:v>Pitch control deviation Axis 3</c:v>
              </c:pt>
              <c:pt idx="28">
                <c:v>Yaw Mapping</c:v>
              </c:pt>
              <c:pt idx="29">
                <c:v>Communication fault Pitch controller</c:v>
              </c:pt>
              <c:pt idx="30">
                <c:v>Internal Line VCB tripped in over current</c:v>
              </c:pt>
              <c:pt idx="31">
                <c:v>axis 1 fault pitch controller</c:v>
              </c:pt>
              <c:pt idx="32">
                <c:v>TopBox DIN21 motor protection aux contact string</c:v>
              </c:pt>
              <c:pt idx="33">
                <c:v>Ratio generator-/rotor speed</c:v>
              </c:pt>
              <c:pt idx="34">
                <c:v>Line fault voltage</c:v>
              </c:pt>
              <c:pt idx="35">
                <c:v>Feedback error circuit breaker</c:v>
              </c:pt>
              <c:pt idx="36">
                <c:v>Shaft bearing overtemperature</c:v>
              </c:pt>
              <c:pt idx="37">
                <c:v>No speed reduction with secondary braking</c:v>
              </c:pt>
              <c:pt idx="38">
                <c:v>Brake does not close</c:v>
              </c:pt>
              <c:pt idx="39">
                <c:v>Pitch control deviation axis 1</c:v>
              </c:pt>
              <c:pt idx="40">
                <c:v>Limit switch 90deg-rotorblade defective</c:v>
              </c:pt>
              <c:pt idx="41">
                <c:v>Safety chain</c:v>
              </c:pt>
              <c:pt idx="42">
                <c:v>Pitch malfunction 2 or 3 blades</c:v>
              </c:pt>
              <c:pt idx="43">
                <c:v>Yaw runaway</c:v>
              </c:pt>
              <c:pt idx="44">
                <c:v>Yaw sensor error </c:v>
              </c:pt>
              <c:pt idx="45">
                <c:v>Secondary braking time too high</c:v>
              </c:pt>
              <c:pt idx="46">
                <c:v>Secondary brake test</c:v>
              </c:pt>
              <c:pt idx="47">
                <c:v>Incorrect Error Code</c:v>
              </c:pt>
            </c:strLit>
          </c:cat>
          <c:val>
            <c:numLit>
              <c:formatCode>General</c:formatCode>
              <c:ptCount val="48"/>
              <c:pt idx="0">
                <c:v>289.10000000000002</c:v>
              </c:pt>
              <c:pt idx="1">
                <c:v>207.01666666666671</c:v>
              </c:pt>
              <c:pt idx="2">
                <c:v>84.225277777777777</c:v>
              </c:pt>
              <c:pt idx="3">
                <c:v>65.850000000000009</c:v>
              </c:pt>
              <c:pt idx="4">
                <c:v>65.083333333333329</c:v>
              </c:pt>
              <c:pt idx="5">
                <c:v>58.083333333333336</c:v>
              </c:pt>
              <c:pt idx="6">
                <c:v>40.299999999999997</c:v>
              </c:pt>
              <c:pt idx="7">
                <c:v>39.799999999999997</c:v>
              </c:pt>
              <c:pt idx="8">
                <c:v>34.216666666666669</c:v>
              </c:pt>
              <c:pt idx="9">
                <c:v>28.95</c:v>
              </c:pt>
              <c:pt idx="10">
                <c:v>26.983333333333331</c:v>
              </c:pt>
              <c:pt idx="11">
                <c:v>20.25</c:v>
              </c:pt>
              <c:pt idx="12">
                <c:v>18.516666666666666</c:v>
              </c:pt>
              <c:pt idx="13">
                <c:v>18.016666666666676</c:v>
              </c:pt>
              <c:pt idx="14">
                <c:v>17.883333333333333</c:v>
              </c:pt>
              <c:pt idx="15">
                <c:v>15.583333333333332</c:v>
              </c:pt>
              <c:pt idx="16">
                <c:v>14.383333333333336</c:v>
              </c:pt>
              <c:pt idx="17">
                <c:v>13.366666666666665</c:v>
              </c:pt>
              <c:pt idx="18">
                <c:v>6.5666666666666655</c:v>
              </c:pt>
              <c:pt idx="19">
                <c:v>6.5333333333333332</c:v>
              </c:pt>
              <c:pt idx="20">
                <c:v>6.4666666666666686</c:v>
              </c:pt>
              <c:pt idx="21">
                <c:v>6.0333333333333332</c:v>
              </c:pt>
              <c:pt idx="22">
                <c:v>5.8999999999999986</c:v>
              </c:pt>
              <c:pt idx="23">
                <c:v>5.4166666666666741</c:v>
              </c:pt>
              <c:pt idx="24">
                <c:v>5.3333333333333304</c:v>
              </c:pt>
              <c:pt idx="25">
                <c:v>4.6166666666666663</c:v>
              </c:pt>
              <c:pt idx="26">
                <c:v>4.2999999999999989</c:v>
              </c:pt>
              <c:pt idx="27">
                <c:v>4.2499999999999982</c:v>
              </c:pt>
              <c:pt idx="28">
                <c:v>3.833333333333333</c:v>
              </c:pt>
              <c:pt idx="29">
                <c:v>3.1833333333333327</c:v>
              </c:pt>
              <c:pt idx="30">
                <c:v>3.1166666666666649</c:v>
              </c:pt>
              <c:pt idx="31">
                <c:v>2.8499999999999988</c:v>
              </c:pt>
              <c:pt idx="32">
                <c:v>2.7999999999999954</c:v>
              </c:pt>
              <c:pt idx="33">
                <c:v>2.6833333333333331</c:v>
              </c:pt>
              <c:pt idx="34">
                <c:v>2.25</c:v>
              </c:pt>
              <c:pt idx="35">
                <c:v>1.9333333333333331</c:v>
              </c:pt>
              <c:pt idx="36">
                <c:v>1.9000000000000012</c:v>
              </c:pt>
              <c:pt idx="37">
                <c:v>1.2500000000000016</c:v>
              </c:pt>
              <c:pt idx="38">
                <c:v>1.0166666666666664</c:v>
              </c:pt>
              <c:pt idx="39">
                <c:v>1.0000000000000004</c:v>
              </c:pt>
              <c:pt idx="40">
                <c:v>0.6666666666666663</c:v>
              </c:pt>
              <c:pt idx="41">
                <c:v>0.5999999999999992</c:v>
              </c:pt>
              <c:pt idx="42">
                <c:v>0.58333333333333393</c:v>
              </c:pt>
              <c:pt idx="43">
                <c:v>0.48333333333333361</c:v>
              </c:pt>
              <c:pt idx="44">
                <c:v>0.41666666666666785</c:v>
              </c:pt>
              <c:pt idx="45">
                <c:v>0.38333333333333597</c:v>
              </c:pt>
              <c:pt idx="46">
                <c:v>0.13333333333333286</c:v>
              </c:pt>
              <c:pt idx="47">
                <c:v>0</c:v>
              </c:pt>
            </c:numLit>
          </c:val>
          <c:extLst>
            <c:ext xmlns:c16="http://schemas.microsoft.com/office/drawing/2014/chart" uri="{C3380CC4-5D6E-409C-BE32-E72D297353CC}">
              <c16:uniqueId val="{000000CE-5A86-F745-8D95-000213F0F840}"/>
            </c:ext>
          </c:extLst>
        </c:ser>
        <c:ser>
          <c:idx val="1"/>
          <c:order val="1"/>
          <c:tx>
            <c:strRef>
              <c:f>Analytics!$C$27</c:f>
              <c:strCache>
                <c:ptCount val="1"/>
              </c:strCache>
            </c:strRef>
          </c:tx>
          <c:explosion val="7"/>
          <c:dPt>
            <c:idx val="0"/>
            <c:bubble3D val="0"/>
            <c:spPr>
              <a:solidFill>
                <a:schemeClr val="accent1"/>
              </a:solidFill>
              <a:ln w="19050">
                <a:solidFill>
                  <a:schemeClr val="lt1"/>
                </a:solidFill>
              </a:ln>
              <a:effectLst/>
            </c:spPr>
            <c:extLst>
              <c:ext xmlns:c16="http://schemas.microsoft.com/office/drawing/2014/chart" uri="{C3380CC4-5D6E-409C-BE32-E72D297353CC}">
                <c16:uniqueId val="{00000063-C2FE-4D6B-8159-C96D1FFFC9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65-C2FE-4D6B-8159-C96D1FFFC9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67-C2FE-4D6B-8159-C96D1FFFC9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9-C2FE-4D6B-8159-C96D1FFFC92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B-C2FE-4D6B-8159-C96D1FFFC92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D-C2FE-4D6B-8159-C96D1FFFC92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F-C2FE-4D6B-8159-C96D1FFFC92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1-C2FE-4D6B-8159-C96D1FFFC92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3-C2FE-4D6B-8159-C96D1FFFC92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5-C2FE-4D6B-8159-C96D1FFFC92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7-C2FE-4D6B-8159-C96D1FFFC92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9-C2FE-4D6B-8159-C96D1FFFC92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B-C2FE-4D6B-8159-C96D1FFFC92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7D-C2FE-4D6B-8159-C96D1FFFC92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7F-C2FE-4D6B-8159-C96D1FFFC92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1-C2FE-4D6B-8159-C96D1FFFC92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3-C2FE-4D6B-8159-C96D1FFFC92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5-C2FE-4D6B-8159-C96D1FFFC92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87-C2FE-4D6B-8159-C96D1FFFC92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89-C2FE-4D6B-8159-C96D1FFFC92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8B-C2FE-4D6B-8159-C96D1FFFC92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8D-C2FE-4D6B-8159-C96D1FFFC92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8F-C2FE-4D6B-8159-C96D1FFFC92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1-C2FE-4D6B-8159-C96D1FFFC92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3-C2FE-4D6B-8159-C96D1FFFC92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5-C2FE-4D6B-8159-C96D1FFFC92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97-C2FE-4D6B-8159-C96D1FFFC92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99-C2FE-4D6B-8159-C96D1FFFC92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9B-C2FE-4D6B-8159-C96D1FFFC92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9D-C2FE-4D6B-8159-C96D1FFFC92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9F-C2FE-4D6B-8159-C96D1FFFC925}"/>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1-C2FE-4D6B-8159-C96D1FFFC925}"/>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3-C2FE-4D6B-8159-C96D1FFFC925}"/>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5-C2FE-4D6B-8159-C96D1FFFC925}"/>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A7-C2FE-4D6B-8159-C96D1FFFC925}"/>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A9-C2FE-4D6B-8159-C96D1FFFC925}"/>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AB-C2FE-4D6B-8159-C96D1FFFC925}"/>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AD-C2FE-4D6B-8159-C96D1FFFC925}"/>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AF-C2FE-4D6B-8159-C96D1FFFC925}"/>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1-C2FE-4D6B-8159-C96D1FFFC925}"/>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3-C2FE-4D6B-8159-C96D1FFFC925}"/>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5-C2FE-4D6B-8159-C96D1FFFC925}"/>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B7-C2FE-4D6B-8159-C96D1FFFC925}"/>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B9-C2FE-4D6B-8159-C96D1FFFC925}"/>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BB-C2FE-4D6B-8159-C96D1FFFC925}"/>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BD-C2FE-4D6B-8159-C96D1FFFC925}"/>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BF-C2FE-4D6B-8159-C96D1FFFC925}"/>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1-C2FE-4D6B-8159-C96D1FFFC925}"/>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3-C2FE-4D6B-8159-C96D1FFFC925}"/>
              </c:ext>
            </c:extLst>
          </c:dPt>
          <c:cat>
            <c:strLit>
              <c:ptCount val="48"/>
              <c:pt idx="0">
                <c:v>Gearbox oil overtemperature</c:v>
              </c:pt>
              <c:pt idx="1">
                <c:v>Line CCU collective faults</c:v>
              </c:pt>
              <c:pt idx="2">
                <c:v> PLC fault 24V Supply</c:v>
              </c:pt>
              <c:pt idx="3">
                <c:v>Anemometer defec</c:v>
              </c:pt>
              <c:pt idx="4">
                <c:v>Line CCU fault current</c:v>
              </c:pt>
              <c:pt idx="5">
                <c:v>Pitch thyristor 3 fault</c:v>
              </c:pt>
              <c:pt idx="6">
                <c:v>Yaw tooth sensor 1 timeout </c:v>
              </c:pt>
              <c:pt idx="7">
                <c:v>Rotor speeds not plausible</c:v>
              </c:pt>
              <c:pt idx="8">
                <c:v>Communication fault wind measurement device</c:v>
              </c:pt>
              <c:pt idx="9">
                <c:v>No communication Cu</c:v>
              </c:pt>
              <c:pt idx="10">
                <c:v>Pitch thyristor 1 fault</c:v>
              </c:pt>
              <c:pt idx="11">
                <c:v>Brake not released secondary brake</c:v>
              </c:pt>
              <c:pt idx="12">
                <c:v>CCU fault at abnormal grid condition</c:v>
              </c:pt>
              <c:pt idx="13">
                <c:v>Grid voltage drop CU</c:v>
              </c:pt>
              <c:pt idx="14">
                <c:v>Pitch thyristor 2 fault</c:v>
              </c:pt>
              <c:pt idx="15">
                <c:v>Communication fault pitch controller Axis 2</c:v>
              </c:pt>
              <c:pt idx="16">
                <c:v>Gearbox oil level too low</c:v>
              </c:pt>
              <c:pt idx="17">
                <c:v>Line CCU fault voltage</c:v>
              </c:pt>
              <c:pt idx="18">
                <c:v>Timeout yaw counter</c:v>
              </c:pt>
              <c:pt idx="19">
                <c:v>Yaw tooth sensor 2 timeout </c:v>
              </c:pt>
              <c:pt idx="20">
                <c:v>axis 3 fault pitch controlle</c:v>
              </c:pt>
              <c:pt idx="21">
                <c:v>Yaw Brake Voltage 230Volt not OK </c:v>
              </c:pt>
              <c:pt idx="22">
                <c:v>Temp. sensor error (shut down)</c:v>
              </c:pt>
              <c:pt idx="23">
                <c:v>System re-initialization after grid outage </c:v>
              </c:pt>
              <c:pt idx="24">
                <c:v>DTA DIN03 control breaker status</c:v>
              </c:pt>
              <c:pt idx="25">
                <c:v>Battery voltage not OK axis 1</c:v>
              </c:pt>
              <c:pt idx="26">
                <c:v>axis 2 fault pitch controller</c:v>
              </c:pt>
              <c:pt idx="27">
                <c:v>Pitch control deviation Axis 3</c:v>
              </c:pt>
              <c:pt idx="28">
                <c:v>Yaw Mapping</c:v>
              </c:pt>
              <c:pt idx="29">
                <c:v>Communication fault Pitch controller</c:v>
              </c:pt>
              <c:pt idx="30">
                <c:v>Internal Line VCB tripped in over current</c:v>
              </c:pt>
              <c:pt idx="31">
                <c:v>axis 1 fault pitch controller</c:v>
              </c:pt>
              <c:pt idx="32">
                <c:v>TopBox DIN21 motor protection aux contact string</c:v>
              </c:pt>
              <c:pt idx="33">
                <c:v>Ratio generator-/rotor speed</c:v>
              </c:pt>
              <c:pt idx="34">
                <c:v>Line fault voltage</c:v>
              </c:pt>
              <c:pt idx="35">
                <c:v>Feedback error circuit breaker</c:v>
              </c:pt>
              <c:pt idx="36">
                <c:v>Shaft bearing overtemperature</c:v>
              </c:pt>
              <c:pt idx="37">
                <c:v>No speed reduction with secondary braking</c:v>
              </c:pt>
              <c:pt idx="38">
                <c:v>Brake does not close</c:v>
              </c:pt>
              <c:pt idx="39">
                <c:v>Pitch control deviation axis 1</c:v>
              </c:pt>
              <c:pt idx="40">
                <c:v>Limit switch 90deg-rotorblade defective</c:v>
              </c:pt>
              <c:pt idx="41">
                <c:v>Safety chain</c:v>
              </c:pt>
              <c:pt idx="42">
                <c:v>Pitch malfunction 2 or 3 blades</c:v>
              </c:pt>
              <c:pt idx="43">
                <c:v>Yaw runaway</c:v>
              </c:pt>
              <c:pt idx="44">
                <c:v>Yaw sensor error </c:v>
              </c:pt>
              <c:pt idx="45">
                <c:v>Secondary braking time too high</c:v>
              </c:pt>
              <c:pt idx="46">
                <c:v>Secondary brake test</c:v>
              </c:pt>
              <c:pt idx="47">
                <c:v>Incorrect Error Code</c:v>
              </c:pt>
            </c:strLit>
          </c:cat>
          <c:val>
            <c:numLit>
              <c:formatCode>General</c:formatCode>
              <c:ptCount val="48"/>
              <c:pt idx="0">
                <c:v>73</c:v>
              </c:pt>
              <c:pt idx="1">
                <c:v>26</c:v>
              </c:pt>
              <c:pt idx="2">
                <c:v>12</c:v>
              </c:pt>
              <c:pt idx="3">
                <c:v>8</c:v>
              </c:pt>
              <c:pt idx="4">
                <c:v>7</c:v>
              </c:pt>
              <c:pt idx="5">
                <c:v>9</c:v>
              </c:pt>
              <c:pt idx="6">
                <c:v>20</c:v>
              </c:pt>
              <c:pt idx="7">
                <c:v>7</c:v>
              </c:pt>
              <c:pt idx="8">
                <c:v>5</c:v>
              </c:pt>
              <c:pt idx="9">
                <c:v>2</c:v>
              </c:pt>
              <c:pt idx="10">
                <c:v>3</c:v>
              </c:pt>
              <c:pt idx="11">
                <c:v>2</c:v>
              </c:pt>
              <c:pt idx="12">
                <c:v>2</c:v>
              </c:pt>
              <c:pt idx="13">
                <c:v>20</c:v>
              </c:pt>
              <c:pt idx="14">
                <c:v>4</c:v>
              </c:pt>
              <c:pt idx="15">
                <c:v>4</c:v>
              </c:pt>
              <c:pt idx="16">
                <c:v>9</c:v>
              </c:pt>
              <c:pt idx="17">
                <c:v>3</c:v>
              </c:pt>
              <c:pt idx="18">
                <c:v>3</c:v>
              </c:pt>
              <c:pt idx="19">
                <c:v>4</c:v>
              </c:pt>
              <c:pt idx="20">
                <c:v>5</c:v>
              </c:pt>
              <c:pt idx="21">
                <c:v>4</c:v>
              </c:pt>
              <c:pt idx="22">
                <c:v>3</c:v>
              </c:pt>
              <c:pt idx="23">
                <c:v>13</c:v>
              </c:pt>
              <c:pt idx="24">
                <c:v>1</c:v>
              </c:pt>
              <c:pt idx="25">
                <c:v>1</c:v>
              </c:pt>
              <c:pt idx="26">
                <c:v>2</c:v>
              </c:pt>
              <c:pt idx="27">
                <c:v>2</c:v>
              </c:pt>
              <c:pt idx="28">
                <c:v>1</c:v>
              </c:pt>
              <c:pt idx="29">
                <c:v>1</c:v>
              </c:pt>
              <c:pt idx="30">
                <c:v>2</c:v>
              </c:pt>
              <c:pt idx="31">
                <c:v>4</c:v>
              </c:pt>
              <c:pt idx="32">
                <c:v>4</c:v>
              </c:pt>
              <c:pt idx="33">
                <c:v>1</c:v>
              </c:pt>
              <c:pt idx="34">
                <c:v>1</c:v>
              </c:pt>
              <c:pt idx="35">
                <c:v>1</c:v>
              </c:pt>
              <c:pt idx="36">
                <c:v>1</c:v>
              </c:pt>
              <c:pt idx="37">
                <c:v>4</c:v>
              </c:pt>
              <c:pt idx="38">
                <c:v>1</c:v>
              </c:pt>
              <c:pt idx="39">
                <c:v>1</c:v>
              </c:pt>
              <c:pt idx="40">
                <c:v>1</c:v>
              </c:pt>
              <c:pt idx="41">
                <c:v>2</c:v>
              </c:pt>
              <c:pt idx="42">
                <c:v>1</c:v>
              </c:pt>
              <c:pt idx="43">
                <c:v>1</c:v>
              </c:pt>
              <c:pt idx="44">
                <c:v>1</c:v>
              </c:pt>
              <c:pt idx="45">
                <c:v>2</c:v>
              </c:pt>
              <c:pt idx="46">
                <c:v>1</c:v>
              </c:pt>
              <c:pt idx="47">
                <c:v>12</c:v>
              </c:pt>
            </c:numLit>
          </c:val>
          <c:extLst>
            <c:ext xmlns:c16="http://schemas.microsoft.com/office/drawing/2014/chart" uri="{C3380CC4-5D6E-409C-BE32-E72D297353CC}">
              <c16:uniqueId val="{000000CF-5A86-F745-8D95-000213F0F84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876300</xdr:colOff>
      <xdr:row>29</xdr:row>
      <xdr:rowOff>31750</xdr:rowOff>
    </xdr:from>
    <xdr:to>
      <xdr:col>11</xdr:col>
      <xdr:colOff>812800</xdr:colOff>
      <xdr:row>36</xdr:row>
      <xdr:rowOff>196850</xdr:rowOff>
    </xdr:to>
    <xdr:graphicFrame macro="">
      <xdr:nvGraphicFramePr>
        <xdr:cNvPr id="2" name="Chart 1">
          <a:extLst>
            <a:ext uri="{FF2B5EF4-FFF2-40B4-BE49-F238E27FC236}">
              <a16:creationId xmlns:a16="http://schemas.microsoft.com/office/drawing/2014/main" id="{640423F8-AFA0-384B-AAA8-1B89F4EBB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787400</xdr:colOff>
      <xdr:row>27</xdr:row>
      <xdr:rowOff>88900</xdr:rowOff>
    </xdr:from>
    <xdr:to>
      <xdr:col>4</xdr:col>
      <xdr:colOff>977900</xdr:colOff>
      <xdr:row>27</xdr:row>
      <xdr:rowOff>317500</xdr:rowOff>
    </xdr:to>
    <xdr:sp macro="" textlink="">
      <xdr:nvSpPr>
        <xdr:cNvPr id="10" name="Down Arrow 9">
          <a:extLst>
            <a:ext uri="{FF2B5EF4-FFF2-40B4-BE49-F238E27FC236}">
              <a16:creationId xmlns:a16="http://schemas.microsoft.com/office/drawing/2014/main" id="{D6C48563-DCFA-0244-A081-D75ADB8F7F3F}"/>
            </a:ext>
          </a:extLst>
        </xdr:cNvPr>
        <xdr:cNvSpPr/>
      </xdr:nvSpPr>
      <xdr:spPr>
        <a:xfrm>
          <a:off x="7454900" y="14084300"/>
          <a:ext cx="190500" cy="22860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2power-my.sharepoint.com/home/armax/Downloads/https:/sterlingwilsoninfra-my.sharepoint.com/home/operator/Downloads/C:/Users/hp/Downloads/DGR_Giriraj_16MW%20of%2019M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o2power-my.sharepoint.com/home/armax/Downloads/https:/sterlingwilsoninfra-my.sharepoint.com/home/operator/Downloads/C:/Askandra%20DGR%20november/DGR_Guj_Bhadrada%2030-oct_12%20(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o2power-my.sharepoint.com/UpdatedO2_DGR_Panama_Mirkala_80MW.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o2power-my.sharepoint.com/home/armax/Downloads/https:/sterlingwilsoninfra-my.sharepoint.com/home/operator/Downloads/C:/DGR_23052013/DGR_%20Solar/Raj_Askandra_Saidha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powercon/Desktop/DGR_PWEPL%2018.07.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DGR"/>
      <sheetName val="DGR Bkup"/>
      <sheetName val="BD_Report"/>
      <sheetName val="Analog Data"/>
      <sheetName val="Basic_Data"/>
      <sheetName val="string cleaning"/>
      <sheetName val="Basic Data"/>
      <sheetName val="behindScenes"/>
      <sheetName val="Plant Master"/>
      <sheetName val="Dashboard"/>
      <sheetName val="Data entry"/>
      <sheetName val="POA Wtg"/>
      <sheetName val="Monthly"/>
      <sheetName val="INV Performance"/>
      <sheetName val="Breakdown Report"/>
      <sheetName val="DataValidation"/>
      <sheetName val="Module cleaning"/>
      <sheetName val="Equipment"/>
      <sheetName val="Maintenance Details"/>
      <sheetName val="Draft"/>
      <sheetName val="DGR SUMr"/>
      <sheetName val="Abbreviation"/>
      <sheetName val="Ex-Summary"/>
      <sheetName val="DGR Summary"/>
      <sheetName val="Sheet1"/>
      <sheetName val="Sheet2"/>
      <sheetName val="Load Shedding"/>
      <sheetName val="DGR "/>
      <sheetName val="Data_Entry"/>
      <sheetName val="33KV Meter Reading "/>
      <sheetName val="Plant Availability"/>
      <sheetName val="Plant BD"/>
      <sheetName val="Plant BD_35MW"/>
      <sheetName val="Grid Down Report"/>
      <sheetName val="DC Load"/>
      <sheetName val="Ex-Summary Sky Power"/>
      <sheetName val="132KV Meter Reading "/>
      <sheetName val="Tracker Report"/>
      <sheetName val="Tracker Availabilty"/>
      <sheetName val="Availability Report"/>
      <sheetName val="Load Shedding Gen Loss Cal"/>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DGR"/>
      <sheetName val="DGR Bkup"/>
      <sheetName val="BD_Report"/>
      <sheetName val="Analog Data"/>
      <sheetName val="Basic_Data"/>
      <sheetName val="string cleaning"/>
      <sheetName val="Abbreviation"/>
      <sheetName val="Ex-Summary"/>
      <sheetName val="DGR Summary"/>
      <sheetName val="Sheet1"/>
      <sheetName val="Sheet2"/>
      <sheetName val="Load Shedding"/>
      <sheetName val="DGR "/>
      <sheetName val="Data_Entry"/>
      <sheetName val="33KV Meter Reading "/>
      <sheetName val="Basic Data"/>
      <sheetName val="Plant Availability"/>
      <sheetName val="Plant BD"/>
      <sheetName val="Plant BD_35MW"/>
      <sheetName val="Grid Down Report"/>
      <sheetName val="DC Load"/>
      <sheetName val="Ex-Summary Sky Power"/>
      <sheetName val="132KV Meter Reading "/>
      <sheetName val="Tracker Report"/>
      <sheetName val="Tracker Availabilty"/>
      <sheetName val="Availability Report"/>
      <sheetName val="Load Shedding Gen Loss Cal"/>
      <sheetName val="Inverter Wise PR"/>
      <sheetName val="PM Schedule"/>
      <sheetName val="SBE-14 Option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breviation"/>
      <sheetName val="O2_Summary"/>
      <sheetName val="Ex-Summary"/>
      <sheetName val="DGR Summary"/>
      <sheetName val="Modelling"/>
      <sheetName val="Sheet1"/>
      <sheetName val="DGR"/>
      <sheetName val="WTG_SY_Deviation"/>
      <sheetName val="WTG SE"/>
      <sheetName val="Data_Entry"/>
      <sheetName val="Inv PR "/>
      <sheetName val="WS"/>
      <sheetName val="GAR"/>
      <sheetName val="GARd"/>
      <sheetName val="AR"/>
      <sheetName val="MARd2"/>
      <sheetName val="MARd"/>
      <sheetName val="All"/>
      <sheetName val="Plant BD"/>
      <sheetName val="Basic Data"/>
      <sheetName val="Availability report"/>
      <sheetName val="Grid Down Report"/>
      <sheetName val="Load Shedd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DGR"/>
      <sheetName val="DGR Bkup"/>
      <sheetName val="BD_Report"/>
      <sheetName val="Analog Data"/>
      <sheetName val="Basic_Data"/>
      <sheetName val="string cleaning"/>
      <sheetName val="Business"/>
      <sheetName val="Facility"/>
      <sheetName val="Abbreviation"/>
      <sheetName val="Ex-Summary"/>
      <sheetName val="DGR Summary"/>
      <sheetName val="DGR "/>
      <sheetName val="Data_Entry"/>
      <sheetName val="33KV Meter Reading "/>
      <sheetName val="Availability Report"/>
      <sheetName val="Plant BD"/>
      <sheetName val="Plant BD_100MW"/>
      <sheetName val="Basic Data"/>
      <sheetName val="Grid Down Report"/>
      <sheetName val="Load Shedding"/>
      <sheetName val="DC Load"/>
      <sheetName val="Sheet1"/>
      <sheetName val="Sheet2"/>
      <sheetName val="Plant Availability"/>
      <sheetName val="Plant BD_35MW"/>
      <sheetName val="Inverter Wise PR"/>
      <sheetName val="PM Schedule"/>
      <sheetName val="SBE-16 Option1"/>
      <sheetName val="TN State- Employe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2Summary"/>
      <sheetName val="AnnualKPI"/>
      <sheetName val="MonthlyKPI"/>
      <sheetName val="Analytics"/>
      <sheetName val="Daily KPI"/>
      <sheetName val="Input_Raw"/>
      <sheetName val="Sheet1"/>
      <sheetName val="WTG_BD"/>
      <sheetName val="IGA_BD"/>
      <sheetName val="Grid_BD"/>
      <sheetName val="PM"/>
      <sheetName val="Basic Data"/>
      <sheetName val="WTG Reactive Power"/>
      <sheetName val="Meter Reading"/>
      <sheetName val="Modelling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Daily_KPI" displayName="Daily_KPI" ref="A1:AS369" totalsRowShown="0" headerRowDxfId="413" dataDxfId="411" totalsRowDxfId="409" headerRowBorderDxfId="412" tableBorderDxfId="410" totalsRowBorderDxfId="408">
  <autoFilter ref="A1:AS369" xr:uid="{00000000-0009-0000-0100-000008000000}"/>
  <tableColumns count="45">
    <tableColumn id="1" xr3:uid="{00000000-0010-0000-0000-000001000000}" name="Date" dataDxfId="407" totalsRowDxfId="406" dataCellStyle="Normal 26"/>
    <tableColumn id="2" xr3:uid="{00000000-0010-0000-0000-000002000000}" name="Financial Year" dataDxfId="405" totalsRowDxfId="404" dataCellStyle="Normal 26">
      <calculatedColumnFormula>YEAR(Daily_KPI[[#This Row],[Date]])+IF(MONTH(Daily_KPI[[#This Row],[Date]])&gt;=4,1,0)</calculatedColumnFormula>
    </tableColumn>
    <tableColumn id="3" xr3:uid="{00000000-0010-0000-0000-000003000000}" name="Calendar Year" dataDxfId="403" totalsRowDxfId="402" dataCellStyle="Normal 26">
      <calculatedColumnFormula>YEAR(Daily_KPI[[#This Row],[Date]])</calculatedColumnFormula>
    </tableColumn>
    <tableColumn id="4" xr3:uid="{00000000-0010-0000-0000-000004000000}" name="Month Year" dataDxfId="401" totalsRowDxfId="400" dataCellStyle="Normal 26">
      <calculatedColumnFormula>Daily_KPI[[#This Row],[Date]]-DAY(Daily_KPI[[#This Row],[Date]])+1</calculatedColumnFormula>
    </tableColumn>
    <tableColumn id="5" xr3:uid="{00000000-0010-0000-0000-000005000000}" name="Days" dataDxfId="399" totalsRowDxfId="398" dataCellStyle="Normal 26">
      <calculatedColumnFormula>DAY(EOMONTH(A2,0))</calculatedColumnFormula>
    </tableColumn>
    <tableColumn id="6" xr3:uid="{00000000-0010-0000-0000-000006000000}" name="Operating Hours" dataDxfId="397" dataCellStyle="Percent"/>
    <tableColumn id="7" xr3:uid="{00000000-0010-0000-0000-000007000000}" name="GHI-UP (KWh/m2)" dataDxfId="396" totalsRowDxfId="395" dataCellStyle="Percent"/>
    <tableColumn id="8" xr3:uid="{00000000-0010-0000-0000-000008000000}" name="GHI-Down(KWh/m2)" dataDxfId="394" totalsRowDxfId="393" dataCellStyle="Percent"/>
    <tableColumn id="9" xr3:uid="{00000000-0010-0000-0000-000009000000}" name="POA-UP(KWh/m2)" dataDxfId="392" totalsRowDxfId="391" dataCellStyle="Percent"/>
    <tableColumn id="10" xr3:uid="{00000000-0010-0000-0000-00000A000000}" name="POA-Down(KWh/m2)" dataDxfId="390" totalsRowDxfId="389" dataCellStyle="Percent"/>
    <tableColumn id="11" xr3:uid="{00000000-0010-0000-0000-00000B000000}" name="Amb_Temp(°C)" dataDxfId="388" totalsRowDxfId="387" dataCellStyle="Percent"/>
    <tableColumn id="12" xr3:uid="{00000000-0010-0000-0000-00000C000000}" name="Mod_Temp(°C)" dataDxfId="386" totalsRowDxfId="385" dataCellStyle="Percent"/>
    <tableColumn id="13" xr3:uid="{00000000-0010-0000-0000-00000D000000}" name="WS_Avg(m/s)" dataDxfId="384" totalsRowDxfId="383" dataCellStyle="Percent">
      <calculatedColumnFormula>IFERROR(_xlfn.XLOOKUP($A2,Input_Raw!$A:$A,Input_Raw!$CQ:$CQ),"")</calculatedColumnFormula>
    </tableColumn>
    <tableColumn id="14" xr3:uid="{00000000-0010-0000-0000-00000E000000}" name="WS_Max(m/s)" dataDxfId="382" totalsRowDxfId="381" dataCellStyle="Percent">
      <calculatedColumnFormula>IFERROR(_xlfn.XLOOKUP($A2,Input_Raw!$A:$A,Input_Raw!$CR:$CR),"")</calculatedColumnFormula>
    </tableColumn>
    <tableColumn id="15" xr3:uid="{00000000-0010-0000-0000-00000F000000}" name="PA(%)" dataDxfId="380" dataCellStyle="Percent">
      <calculatedColumnFormula>IFERROR(P2*Q2,"")</calculatedColumnFormula>
    </tableColumn>
    <tableColumn id="16" xr3:uid="{00000000-0010-0000-0000-000010000000}" name="MA (%)" dataDxfId="379" totalsRowDxfId="378" dataCellStyle="Percent">
      <calculatedColumnFormula>IFERROR(1-SUMIF(WTG_BD!$F:$F,$A2,WTG_BD!$AA:$AA)/($AA2+SUMIF(WTG_BD!$F:$F,$A2,WTG_BD!$AA:$AA)),"")</calculatedColumnFormula>
    </tableColumn>
    <tableColumn id="17" xr3:uid="{00000000-0010-0000-0000-000011000000}" name="IGA (%)" dataDxfId="377" totalsRowDxfId="376" dataCellStyle="Percent">
      <calculatedColumnFormula>IFERROR(1-SUMIF(IGA_BD!$F:$F,$A2,IGA_BD!$W:$W)/($AA2+SUMIF(IGA_BD!$F:$F,$A2,IGA_BD!$W:$W)),"")</calculatedColumnFormula>
    </tableColumn>
    <tableColumn id="18" xr3:uid="{00000000-0010-0000-0000-000012000000}" name="EGA(%)" dataDxfId="375" totalsRowDxfId="374" dataCellStyle="Percent">
      <calculatedColumnFormula>IFERROR(1-SUMIF(Grid_BD!$F:$F,$A2,Grid_BD!$Y:$Y)/($AA2+SUMIF(Grid_BD!$F:$F,$A2,Grid_BD!$Y:$Y)),"")</calculatedColumnFormula>
    </tableColumn>
    <tableColumn id="19" xr3:uid="{00000000-0010-0000-0000-000013000000}" name="EMA (%)" dataDxfId="373" totalsRowDxfId="372"/>
    <tableColumn id="20" xr3:uid="{00000000-0010-0000-0000-000014000000}" name="TA (%)" dataDxfId="371" totalsRowDxfId="370" dataCellStyle="Percent"/>
    <tableColumn id="21" xr3:uid="{00000000-0010-0000-0000-000015000000}" name="PR(%)" dataDxfId="369" totalsRowDxfId="368" dataCellStyle="Percent"/>
    <tableColumn id="22" xr3:uid="{00000000-0010-0000-0000-000016000000}" name="WPR(%)" dataDxfId="367" totalsRowDxfId="366"/>
    <tableColumn id="23" xr3:uid="{00000000-0010-0000-0000-000017000000}" name="CUF(%)" dataDxfId="365" totalsRowDxfId="364" dataCellStyle="Percent">
      <calculatedColumnFormula>IFERROR(X2/(24*AB2*1000),"")</calculatedColumnFormula>
    </tableColumn>
    <tableColumn id="24" xr3:uid="{00000000-0010-0000-0000-000018000000}" name="Gen_Exp (kWh)" dataDxfId="363" totalsRowDxfId="362">
      <calculatedColumnFormula>IFERROR(_xlfn.XLOOKUP($A2,Input_Raw!$A:$A,Input_Raw!$CP:$CP)*1000,"")</calculatedColumnFormula>
    </tableColumn>
    <tableColumn id="25" xr3:uid="{00000000-0010-0000-0000-000019000000}" name="Mtr_Export (kWh)" dataDxfId="361" totalsRowDxfId="360">
      <calculatedColumnFormula>IFERROR(_xlfn.XLOOKUP($A2,Input_Raw!$A:$A,Input_Raw!DJ:DJ)*1000,"")</calculatedColumnFormula>
    </tableColumn>
    <tableColumn id="26" xr3:uid="{00000000-0010-0000-0000-00001A000000}" name="Mtr_Import (kWh)" dataDxfId="359" totalsRowDxfId="358">
      <calculatedColumnFormula>IFERROR(_xlfn.XLOOKUP($A2,Input_Raw!$A:$A,Input_Raw!DK:DK)*1000,"")</calculatedColumnFormula>
    </tableColumn>
    <tableColumn id="27" xr3:uid="{00000000-0010-0000-0000-00001B000000}" name="Mtr_Net_Exp (KWh)" dataDxfId="357" totalsRowDxfId="356">
      <calculatedColumnFormula>IFERROR(Y2-Z2,"")</calculatedColumnFormula>
    </tableColumn>
    <tableColumn id="28" xr3:uid="{00000000-0010-0000-0000-00001C000000}" name="Operational Capacity (MW)" dataDxfId="355" totalsRowDxfId="354">
      <calculatedColumnFormula>IFERROR(_xlfn.XLOOKUP($A2,Input_Raw!$A:$A,Input_Raw!$DR:$DR),"")</calculatedColumnFormula>
    </tableColumn>
    <tableColumn id="29" xr3:uid="{00000000-0010-0000-0000-00001D000000}" name="Bugt_Resource" dataDxfId="353" totalsRowDxfId="352">
      <calculatedColumnFormula>IFERROR(_xlfn.XLOOKUP($D2,'Modelling New'!$D:$D,'Modelling New'!$J:$J),"")</calculatedColumnFormula>
    </tableColumn>
    <tableColumn id="30" xr3:uid="{00000000-0010-0000-0000-00001E000000}" name="Bugt_Energy" dataDxfId="351" totalsRowDxfId="350">
      <calculatedColumnFormula>IFERROR(_xlfn.XLOOKUP($D2,'Modelling New'!$D:$D,'Modelling New'!$T:$T)*1000,"")</calculatedColumnFormula>
    </tableColumn>
    <tableColumn id="43" xr3:uid="{00000000-0010-0000-0000-00002B000000}" name="Bugt PR" dataDxfId="349" totalsRowDxfId="348" dataCellStyle="Percent"/>
    <tableColumn id="42" xr3:uid="{00000000-0010-0000-0000-00002A000000}" name="Bugt CUF" dataDxfId="347" totalsRowDxfId="346" dataCellStyle="Percent">
      <calculatedColumnFormula>IFERROR(_xlfn.XLOOKUP($D2,'Modelling New'!$D:$D,'Modelling New'!$W:$W),"")</calculatedColumnFormula>
    </tableColumn>
    <tableColumn id="31" xr3:uid="{00000000-0010-0000-0000-00001F000000}" name="Bugt_PA" dataDxfId="345" totalsRowDxfId="344" dataCellStyle="Percent">
      <calculatedColumnFormula>IFERROR(_xlfn.XLOOKUP($D2,'Modelling New'!$D:$D,'Modelling New'!$AE:$AE),"")</calculatedColumnFormula>
    </tableColumn>
    <tableColumn id="32" xr3:uid="{00000000-0010-0000-0000-000020000000}" name="Bugt_EGA" dataDxfId="343" totalsRowDxfId="342" dataCellStyle="Percent">
      <calculatedColumnFormula>IFERROR(_xlfn.XLOOKUP($D2,'Modelling New'!$D:$D,'Modelling New'!$AF:$AF),"")</calculatedColumnFormula>
    </tableColumn>
    <tableColumn id="33" xr3:uid="{00000000-0010-0000-0000-000021000000}" name="Expected Energy" dataDxfId="341" totalsRowDxfId="340">
      <calculatedColumnFormula>IFERROR(_xlfn.XLOOKUP($A2,Input_Raw!$A:$A,Input_Raw!$DP:$DP),"")</calculatedColumnFormula>
    </tableColumn>
    <tableColumn id="34" xr3:uid="{00000000-0010-0000-0000-000022000000}" name="Actual Energy WPR" dataDxfId="339" totalsRowDxfId="338"/>
    <tableColumn id="35" xr3:uid="{00000000-0010-0000-0000-000023000000}" name="RA (%)" dataDxfId="337" totalsRowDxfId="336"/>
    <tableColumn id="36" xr3:uid="{00000000-0010-0000-0000-000024000000}" name="Mod Clean Dry (Num)" dataDxfId="335" totalsRowDxfId="334"/>
    <tableColumn id="37" xr3:uid="{00000000-0010-0000-0000-000025000000}" name="Mod Clean Wet (Num)" dataDxfId="333" totalsRowDxfId="332"/>
    <tableColumn id="38" xr3:uid="{00000000-0010-0000-0000-000026000000}" name="Line Loss(%)" dataDxfId="331" totalsRowDxfId="330" dataCellStyle="Percent">
      <calculatedColumnFormula>IFERROR(_xlfn.XLOOKUP($A2,Input_Raw!$A:$A,Input_Raw!$DL:$DL),"")</calculatedColumnFormula>
    </tableColumn>
    <tableColumn id="39" xr3:uid="{00000000-0010-0000-0000-000027000000}" name="Reactive Power (%)" dataDxfId="329" dataCellStyle="Percent">
      <calculatedColumnFormula>IFERROR((_xlfn.XLOOKUP($A2,'WTG Reactive Power'!$A:$A,'WTG Reactive Power'!$AW:$AW))/X2,"")</calculatedColumnFormula>
    </tableColumn>
    <tableColumn id="40" xr3:uid="{00000000-0010-0000-0000-000028000000}" name="Bugt Line loss (%) (Wind)" dataDxfId="328" totalsRowDxfId="327" dataCellStyle="Percent">
      <calculatedColumnFormula>IFERROR(_xlfn.XLOOKUP($D2,'Modelling New'!$D:$D,'Modelling New'!$AK:$AK),"")</calculatedColumnFormula>
    </tableColumn>
    <tableColumn id="41" xr3:uid="{00000000-0010-0000-0000-000029000000}" name="Bugt Reactive Power (%) (Wind)" dataDxfId="326" totalsRowDxfId="325" dataCellStyle="Percent">
      <calculatedColumnFormula>IFERROR(_xlfn.XLOOKUP($D2,'Modelling New'!$D:$D,'Modelling New'!$AL:$AL),"")</calculatedColumnFormula>
    </tableColumn>
    <tableColumn id="44" xr3:uid="{00000000-0010-0000-0000-00002C000000}" name="Bugt Capacity" dataDxfId="324" totalsRowDxfId="323">
      <calculatedColumnFormula>IFERROR(_xlfn.XLOOKUP($D2,'Modelling New'!$D:$D,'Modelling New'!$N:$N),"")</calculatedColumnFormula>
    </tableColumn>
    <tableColumn id="45" xr3:uid="{00000000-0010-0000-0000-00002D000000}" name="CC*Bugt" dataDxfId="322" totalsRowDxfId="321"/>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Input_Raw" displayName="Input_Raw" ref="A4:DR131" totalsRowShown="0" headerRowDxfId="320" dataDxfId="318" headerRowBorderDxfId="319" tableBorderDxfId="317" totalsRowBorderDxfId="316">
  <tableColumns count="122">
    <tableColumn id="5" xr3:uid="{00000000-0010-0000-0100-000005000000}" name="Date" dataDxfId="315" dataCellStyle="Normal 27"/>
    <tableColumn id="1" xr3:uid="{00000000-0010-0000-0100-000001000000}" name="Finacial Year" dataDxfId="314">
      <calculatedColumnFormula>YEAR(Input_Raw[[#This Row],[Date]])+IF(MONTH(Input_Raw[[#This Row],[Date]])&gt;=4,1,0)</calculatedColumnFormula>
    </tableColumn>
    <tableColumn id="2" xr3:uid="{00000000-0010-0000-0100-000002000000}" name="Calendor Year" dataDxfId="313">
      <calculatedColumnFormula>YEAR(Input_Raw[[#This Row],[Date]])</calculatedColumnFormula>
    </tableColumn>
    <tableColumn id="3" xr3:uid="{00000000-0010-0000-0100-000003000000}" name="Month Year" dataDxfId="312">
      <calculatedColumnFormula>A5-DAY(A5)+1</calculatedColumnFormula>
    </tableColumn>
    <tableColumn id="4" xr3:uid="{00000000-0010-0000-0100-000004000000}" name="Days" dataDxfId="311">
      <calculatedColumnFormula>DAY(EOMONTH(Input_Raw[[#This Row],[Date]],0))</calculatedColumnFormula>
    </tableColumn>
    <tableColumn id="6" xr3:uid="{00000000-0010-0000-0100-000006000000}" name="P-01" dataDxfId="310"/>
    <tableColumn id="7" xr3:uid="{00000000-0010-0000-0100-000007000000}" name="P-02" dataDxfId="309"/>
    <tableColumn id="8" xr3:uid="{00000000-0010-0000-0100-000008000000}" name="P-03" dataDxfId="308"/>
    <tableColumn id="9" xr3:uid="{00000000-0010-0000-0100-000009000000}" name="P-04" dataDxfId="307"/>
    <tableColumn id="10" xr3:uid="{00000000-0010-0000-0100-00000A000000}" name="P-05" dataDxfId="306"/>
    <tableColumn id="11" xr3:uid="{00000000-0010-0000-0100-00000B000000}" name="P-06" dataDxfId="305"/>
    <tableColumn id="12" xr3:uid="{00000000-0010-0000-0100-00000C000000}" name="P-07" dataDxfId="304"/>
    <tableColumn id="13" xr3:uid="{00000000-0010-0000-0100-00000D000000}" name="P-08" dataDxfId="303"/>
    <tableColumn id="14" xr3:uid="{00000000-0010-0000-0100-00000E000000}" name="P-09" dataDxfId="302"/>
    <tableColumn id="15" xr3:uid="{00000000-0010-0000-0100-00000F000000}" name="P-10" dataDxfId="301"/>
    <tableColumn id="16" xr3:uid="{00000000-0010-0000-0100-000010000000}" name="P-11" dataDxfId="300"/>
    <tableColumn id="17" xr3:uid="{00000000-0010-0000-0100-000011000000}" name="P-12" dataDxfId="299"/>
    <tableColumn id="18" xr3:uid="{00000000-0010-0000-0100-000012000000}" name="P-13" dataDxfId="298"/>
    <tableColumn id="19" xr3:uid="{00000000-0010-0000-0100-000013000000}" name="P-14" dataDxfId="297"/>
    <tableColumn id="20" xr3:uid="{00000000-0010-0000-0100-000014000000}" name="P-15" dataDxfId="296"/>
    <tableColumn id="21" xr3:uid="{00000000-0010-0000-0100-000015000000}" name="P-16" dataDxfId="295"/>
    <tableColumn id="22" xr3:uid="{00000000-0010-0000-0100-000016000000}" name="P-17" dataDxfId="294"/>
    <tableColumn id="23" xr3:uid="{00000000-0010-0000-0100-000017000000}" name="P-18" dataDxfId="293"/>
    <tableColumn id="24" xr3:uid="{00000000-0010-0000-0100-000018000000}" name="P-19" dataDxfId="292"/>
    <tableColumn id="25" xr3:uid="{00000000-0010-0000-0100-000019000000}" name="P-20" dataDxfId="291"/>
    <tableColumn id="26" xr3:uid="{00000000-0010-0000-0100-00001A000000}" name="P-22" dataDxfId="290"/>
    <tableColumn id="27" xr3:uid="{00000000-0010-0000-0100-00001B000000}" name="P-23" dataDxfId="289"/>
    <tableColumn id="28" xr3:uid="{00000000-0010-0000-0100-00001C000000}" name="P-25" dataDxfId="288"/>
    <tableColumn id="78" xr3:uid="{00000000-0010-0000-0100-00004E000000}" name="P-26" dataDxfId="287" dataCellStyle="Percent 2"/>
    <tableColumn id="79" xr3:uid="{00000000-0010-0000-0100-00004F000000}" name="P-27" dataDxfId="286" dataCellStyle="Percent 2"/>
    <tableColumn id="80" xr3:uid="{00000000-0010-0000-0100-000050000000}" name="P-28" dataDxfId="285" dataCellStyle="Percent 2"/>
    <tableColumn id="81" xr3:uid="{00000000-0010-0000-0100-000051000000}" name="P-31" dataDxfId="284" dataCellStyle="Percent 2"/>
    <tableColumn id="82" xr3:uid="{00000000-0010-0000-0100-000052000000}" name="P-32" dataDxfId="283" dataCellStyle="Percent 2"/>
    <tableColumn id="83" xr3:uid="{00000000-0010-0000-0100-000053000000}" name="P-34" dataDxfId="282" dataCellStyle="Percent 2"/>
    <tableColumn id="84" xr3:uid="{00000000-0010-0000-0100-000054000000}" name="P-37" dataDxfId="281" dataCellStyle="Percent 2"/>
    <tableColumn id="85" xr3:uid="{00000000-0010-0000-0100-000055000000}" name="P-38" dataDxfId="280" dataCellStyle="Percent 2"/>
    <tableColumn id="110" xr3:uid="{00000000-0010-0000-0100-00006E000000}" name="P-40" dataDxfId="279" dataCellStyle="Percent 2"/>
    <tableColumn id="111" xr3:uid="{00000000-0010-0000-0100-00006F000000}" name="P-41" dataDxfId="278" dataCellStyle="Percent 2"/>
    <tableColumn id="112" xr3:uid="{00000000-0010-0000-0100-000070000000}" name="P-42" dataDxfId="277" dataCellStyle="Percent 2"/>
    <tableColumn id="113" xr3:uid="{00000000-0010-0000-0100-000071000000}" name="P-43" dataDxfId="276" dataCellStyle="Percent 2"/>
    <tableColumn id="114" xr3:uid="{00000000-0010-0000-0100-000072000000}" name="P-45" dataDxfId="275" dataCellStyle="Percent 2"/>
    <tableColumn id="115" xr3:uid="{00000000-0010-0000-0100-000073000000}" name="P-46" dataDxfId="274" dataCellStyle="Percent 2"/>
    <tableColumn id="116" xr3:uid="{00000000-0010-0000-0100-000074000000}" name="P-47" dataDxfId="273" dataCellStyle="Percent 2"/>
    <tableColumn id="117" xr3:uid="{00000000-0010-0000-0100-000075000000}" name="P-48" dataDxfId="272" dataCellStyle="Percent 2"/>
    <tableColumn id="118" xr3:uid="{00000000-0010-0000-0100-000076000000}" name="P-50" dataDxfId="271" dataCellStyle="Percent 2"/>
    <tableColumn id="60" xr3:uid="{00000000-0010-0000-0100-00003C000000}" name="P-51" dataDxfId="270" dataCellStyle="Percent 2"/>
    <tableColumn id="61" xr3:uid="{00000000-0010-0000-0100-00003D000000}" name="P-52" dataDxfId="269" dataCellStyle="Percent 2"/>
    <tableColumn id="62" xr3:uid="{00000000-0010-0000-0100-00003E000000}" name="P-55" dataDxfId="268" dataCellStyle="Percent 2"/>
    <tableColumn id="63" xr3:uid="{00000000-0010-0000-0100-00003F000000}" name="P-56" dataDxfId="267" dataCellStyle="Percent 2"/>
    <tableColumn id="29" xr3:uid="{00000000-0010-0000-0100-00001D000000}" name="WS_P-01" dataDxfId="266" dataCellStyle="Comma"/>
    <tableColumn id="30" xr3:uid="{00000000-0010-0000-0100-00001E000000}" name="WS_P-02" dataDxfId="265" dataCellStyle="Comma"/>
    <tableColumn id="31" xr3:uid="{00000000-0010-0000-0100-00001F000000}" name="WS_P-03" dataDxfId="264" dataCellStyle="Comma"/>
    <tableColumn id="32" xr3:uid="{00000000-0010-0000-0100-000020000000}" name="WS_P-04" dataDxfId="263" dataCellStyle="Comma"/>
    <tableColumn id="33" xr3:uid="{00000000-0010-0000-0100-000021000000}" name="WS_P-05" dataDxfId="262" dataCellStyle="Comma"/>
    <tableColumn id="34" xr3:uid="{00000000-0010-0000-0100-000022000000}" name="WS_P-06" dataDxfId="261" dataCellStyle="Comma"/>
    <tableColumn id="35" xr3:uid="{00000000-0010-0000-0100-000023000000}" name="WS_P-07" dataDxfId="260" dataCellStyle="Comma"/>
    <tableColumn id="36" xr3:uid="{00000000-0010-0000-0100-000024000000}" name="WS_P-08" dataDxfId="259" dataCellStyle="Comma"/>
    <tableColumn id="37" xr3:uid="{00000000-0010-0000-0100-000025000000}" name="WS_P-09" dataDxfId="258" dataCellStyle="Comma"/>
    <tableColumn id="38" xr3:uid="{00000000-0010-0000-0100-000026000000}" name="WS_P-10" dataDxfId="257" dataCellStyle="Comma"/>
    <tableColumn id="39" xr3:uid="{00000000-0010-0000-0100-000027000000}" name="WS_P-11" dataDxfId="256" dataCellStyle="Comma"/>
    <tableColumn id="40" xr3:uid="{00000000-0010-0000-0100-000028000000}" name="WS_P-12" dataDxfId="255" dataCellStyle="Comma"/>
    <tableColumn id="41" xr3:uid="{00000000-0010-0000-0100-000029000000}" name="WS_P-13" dataDxfId="254" dataCellStyle="Comma"/>
    <tableColumn id="42" xr3:uid="{00000000-0010-0000-0100-00002A000000}" name="WS_P-14" dataDxfId="253" dataCellStyle="Comma"/>
    <tableColumn id="43" xr3:uid="{00000000-0010-0000-0100-00002B000000}" name="WS_P-15" dataDxfId="252" dataCellStyle="Comma"/>
    <tableColumn id="44" xr3:uid="{00000000-0010-0000-0100-00002C000000}" name="WS_P-16" dataDxfId="251" dataCellStyle="Comma"/>
    <tableColumn id="45" xr3:uid="{00000000-0010-0000-0100-00002D000000}" name="WS_P-17" dataDxfId="250" dataCellStyle="Comma"/>
    <tableColumn id="46" xr3:uid="{00000000-0010-0000-0100-00002E000000}" name="WS_P-18" dataDxfId="249" dataCellStyle="Comma"/>
    <tableColumn id="47" xr3:uid="{00000000-0010-0000-0100-00002F000000}" name="WS_P-19" dataDxfId="248" dataCellStyle="Comma"/>
    <tableColumn id="48" xr3:uid="{00000000-0010-0000-0100-000030000000}" name="WS_P-20" dataDxfId="247" dataCellStyle="Comma"/>
    <tableColumn id="49" xr3:uid="{00000000-0010-0000-0100-000031000000}" name="WS_P-22" dataDxfId="246" dataCellStyle="Comma"/>
    <tableColumn id="50" xr3:uid="{00000000-0010-0000-0100-000032000000}" name="WS_P-23" dataDxfId="245" dataCellStyle="Comma"/>
    <tableColumn id="51" xr3:uid="{00000000-0010-0000-0100-000033000000}" name="WS_P-25" dataDxfId="244" dataCellStyle="Comma"/>
    <tableColumn id="119" xr3:uid="{00000000-0010-0000-0100-000077000000}" name="WS_P-26" dataDxfId="243" dataCellStyle="Comma"/>
    <tableColumn id="120" xr3:uid="{00000000-0010-0000-0100-000078000000}" name="WS_P-27" dataDxfId="242" dataCellStyle="Comma"/>
    <tableColumn id="121" xr3:uid="{00000000-0010-0000-0100-000079000000}" name="WS_P-28" dataDxfId="241" dataCellStyle="Comma"/>
    <tableColumn id="122" xr3:uid="{00000000-0010-0000-0100-00007A000000}" name="WS_P-31" dataDxfId="240" dataCellStyle="Comma"/>
    <tableColumn id="123" xr3:uid="{00000000-0010-0000-0100-00007B000000}" name="WS_P-32" dataDxfId="239" dataCellStyle="Comma"/>
    <tableColumn id="124" xr3:uid="{00000000-0010-0000-0100-00007C000000}" name="WS_P-34" dataDxfId="238" dataCellStyle="Comma"/>
    <tableColumn id="125" xr3:uid="{00000000-0010-0000-0100-00007D000000}" name="WS_P-37" dataDxfId="237" dataCellStyle="Comma"/>
    <tableColumn id="126" xr3:uid="{00000000-0010-0000-0100-00007E000000}" name="WS_P-38" dataDxfId="236" dataCellStyle="Comma"/>
    <tableColumn id="127" xr3:uid="{00000000-0010-0000-0100-00007F000000}" name="WS_P-40" dataDxfId="235" dataCellStyle="Comma"/>
    <tableColumn id="128" xr3:uid="{00000000-0010-0000-0100-000080000000}" name="WS_P-41" dataDxfId="234" dataCellStyle="Comma"/>
    <tableColumn id="129" xr3:uid="{00000000-0010-0000-0100-000081000000}" name="WS_P-42" dataDxfId="233" dataCellStyle="Comma"/>
    <tableColumn id="130" xr3:uid="{00000000-0010-0000-0100-000082000000}" name="WS_P-43" dataDxfId="232" dataCellStyle="Comma"/>
    <tableColumn id="131" xr3:uid="{00000000-0010-0000-0100-000083000000}" name="WS_P-45" dataDxfId="231" dataCellStyle="Comma"/>
    <tableColumn id="132" xr3:uid="{00000000-0010-0000-0100-000084000000}" name="WS_P-46" dataDxfId="230" dataCellStyle="Comma"/>
    <tableColumn id="133" xr3:uid="{00000000-0010-0000-0100-000085000000}" name="WS_P-47" dataDxfId="229" dataCellStyle="Comma"/>
    <tableColumn id="134" xr3:uid="{00000000-0010-0000-0100-000086000000}" name="WS_P-48" dataDxfId="228" dataCellStyle="Comma"/>
    <tableColumn id="135" xr3:uid="{00000000-0010-0000-0100-000087000000}" name="WS_P-50" dataDxfId="227" dataCellStyle="Comma"/>
    <tableColumn id="56" xr3:uid="{00000000-0010-0000-0100-000038000000}" name="WS_P-51" dataDxfId="226" dataCellStyle="Comma"/>
    <tableColumn id="57" xr3:uid="{00000000-0010-0000-0100-000039000000}" name="WS_P-52" dataDxfId="225" dataCellStyle="Comma"/>
    <tableColumn id="58" xr3:uid="{00000000-0010-0000-0100-00003A000000}" name="WS_P-55" dataDxfId="224" dataCellStyle="Comma"/>
    <tableColumn id="59" xr3:uid="{00000000-0010-0000-0100-00003B000000}" name="WS_P-56" dataDxfId="223" dataCellStyle="Comma"/>
    <tableColumn id="106" xr3:uid="{00000000-0010-0000-0100-00006A000000}" name="WTG Total Gneration (MWh)" dataDxfId="222">
      <calculatedColumnFormula>SUM(Input_Raw[[#This Row],[P-01]:[P-56]])/1000</calculatedColumnFormula>
    </tableColumn>
    <tableColumn id="107" xr3:uid="{00000000-0010-0000-0100-00006B000000}" name="Wind Speed Average cumulative (m/S)2" dataDxfId="221" dataCellStyle="Comma">
      <calculatedColumnFormula>IFERROR(AVERAGEIF(Input_Raw[[#This Row],[WS_P-01]:[WS_P-56]],"&lt;&gt;",Input_Raw[[#This Row],[WS_P-01]:[WS_P-56]]),"")</calculatedColumnFormula>
    </tableColumn>
    <tableColumn id="108" xr3:uid="{00000000-0010-0000-0100-00006C000000}" name="Wind Speed Max (m/S)" dataDxfId="220">
      <calculatedColumnFormula>MAX(Input_Raw[[#This Row],[WS_P-01]:[WS_P-56]])</calculatedColumnFormula>
    </tableColumn>
    <tableColumn id="109" xr3:uid="{00000000-0010-0000-0100-00006D000000}" name="Rain (mm)" dataDxfId="219"/>
    <tableColumn id="52" xr3:uid="{00000000-0010-0000-0100-000034000000}" name="33 kV_Wind_F1_Export reading" dataDxfId="218" dataCellStyle="Comma">
      <calculatedColumnFormula>SUM(Input_Raw[[#This Row],[P-08]:[P-13]],Input_Raw[[#This Row],[P-25]:[P-28]])</calculatedColumnFormula>
    </tableColumn>
    <tableColumn id="145" xr3:uid="{00000000-0010-0000-0100-000091000000}" name="33 kV_Wind_F1_Import reading" dataDxfId="217" dataCellStyle="Comma"/>
    <tableColumn id="53" xr3:uid="{00000000-0010-0000-0100-000035000000}" name="33 kV_Wind_F2_Export_reading" dataDxfId="216" dataCellStyle="Comma">
      <calculatedColumnFormula>SUM(Input_Raw[[#This Row],[P-04]],Input_Raw[[#This Row],[P-14]:[P-17]],Input_Raw[[#This Row],[P-19]:[P-20]],Input_Raw[[#This Row],[P-22]:[P-23]],Input_Raw[[#This Row],[P-34]],Input_Raw[[#This Row],[P-38]],Input_Raw[[#This Row],[P-43]])</calculatedColumnFormula>
    </tableColumn>
    <tableColumn id="146" xr3:uid="{00000000-0010-0000-0100-000092000000}" name="33 kV_Wind_F2_Import_reading" dataDxfId="215" dataCellStyle="Comma"/>
    <tableColumn id="54" xr3:uid="{00000000-0010-0000-0100-000036000000}" name="33 kV_Wind_F3_Export_Reading" dataDxfId="214" dataCellStyle="Comma">
      <calculatedColumnFormula>SUM(Input_Raw[[#This Row],[P-05]:[P-06]],Input_Raw[[#This Row],[P-40]:[P-42]],Input_Raw[[#This Row],[P-45]],Input_Raw[[#This Row],[P-46]],Input_Raw[[#This Row],[P-47]:[P-48]])</calculatedColumnFormula>
    </tableColumn>
    <tableColumn id="147" xr3:uid="{00000000-0010-0000-0100-000093000000}" name="33 kV_Wind_F3_Import_Reading" dataDxfId="213" dataCellStyle="Comma"/>
    <tableColumn id="55" xr3:uid="{00000000-0010-0000-0100-000037000000}" name="33 kV_Wind_F4_Export Reading" dataDxfId="212" dataCellStyle="Comma">
      <calculatedColumnFormula>SUM(Input_Raw[[#This Row],[P-01]:[P-03]],Input_Raw[[#This Row],[P-07]],Input_Raw[[#This Row],[P-18]],Input_Raw[[#This Row],[P-31]:[P-32]],Input_Raw[[#This Row],[P-37]],Input_Raw[[#This Row],[P-50]:[P-56]])</calculatedColumnFormula>
    </tableColumn>
    <tableColumn id="148" xr3:uid="{00000000-0010-0000-0100-000094000000}" name="33 kV_Wind_F4_Import Reading" dataDxfId="211" dataCellStyle="Percent 2"/>
    <tableColumn id="86" xr3:uid="{00000000-0010-0000-0100-000056000000}" name="33 kV_F1_Total_Export (MWh)" dataDxfId="210" dataCellStyle="Comma">
      <calculatedColumnFormula>Input_Raw[[#This Row],[33 kV_Wind_F1_Export reading]]/1000</calculatedColumnFormula>
    </tableColumn>
    <tableColumn id="149" xr3:uid="{00000000-0010-0000-0100-000095000000}" name="33 kV_Wind_F1_Import (MWh)" dataDxfId="209" dataCellStyle="Comma"/>
    <tableColumn id="151" xr3:uid="{00000000-0010-0000-0100-000097000000}" name="33 kV_F2_Total_Export (MWh)2" dataDxfId="208" dataCellStyle="Comma">
      <calculatedColumnFormula>Input_Raw[[#This Row],[33 kV_Wind_F2_Export_reading]]/1000</calculatedColumnFormula>
    </tableColumn>
    <tableColumn id="152" xr3:uid="{00000000-0010-0000-0100-000098000000}" name="33 kV_Wind_F2_Import (MWh)" dataDxfId="207" dataCellStyle="Comma"/>
    <tableColumn id="153" xr3:uid="{00000000-0010-0000-0100-000099000000}" name="33 kV_Wind_F3_Export (MWh)" dataDxfId="206" dataCellStyle="Comma">
      <calculatedColumnFormula>Input_Raw[[#This Row],[33 kV_Wind_F3_Export_Reading]]/1000</calculatedColumnFormula>
    </tableColumn>
    <tableColumn id="154" xr3:uid="{00000000-0010-0000-0100-00009A000000}" name="33 kV_Wind_F3_Import (MWh)2" dataDxfId="205" dataCellStyle="Comma"/>
    <tableColumn id="155" xr3:uid="{00000000-0010-0000-0100-00009B000000}" name="33 kV_Wind_F4_Export (MWh)" dataDxfId="204" dataCellStyle="Comma">
      <calculatedColumnFormula>Input_Raw[[#This Row],[33 kV_Wind_F4_Export Reading]]/1000</calculatedColumnFormula>
    </tableColumn>
    <tableColumn id="156" xr3:uid="{00000000-0010-0000-0100-00009C000000}" name="33 kV_Wind_F4_Import (MWh)2" dataDxfId="203" dataCellStyle="Comma"/>
    <tableColumn id="157" xr3:uid="{00000000-0010-0000-0100-00009D000000}" name="33 kV_Wind_Total_Export (MWh)" dataDxfId="202" dataCellStyle="Comma">
      <calculatedColumnFormula>Input_Raw[[#This Row],[33 kV_F1_Total_Export (MWh)]]+Input_Raw[[#This Row],[33 kV_F2_Total_Export (MWh)2]]+Input_Raw[[#This Row],[33 kV_Wind_F3_Export (MWh)]]+Input_Raw[[#This Row],[33 kV_Wind_F4_Export (MWh)]]</calculatedColumnFormula>
    </tableColumn>
    <tableColumn id="158" xr3:uid="{00000000-0010-0000-0100-00009E000000}" name="33 kV_Wind_Total_Import (MWh)" dataDxfId="201" dataCellStyle="Comma">
      <calculatedColumnFormula>Input_Raw[[#This Row],[33 kV_Wind_F1_Import (MWh)]]+Input_Raw[[#This Row],[33 kV_Wind_F2_Import (MWh)]]+Input_Raw[[#This Row],[33 kV_Wind_F3_Import (MWh)2]]+Input_Raw[[#This Row],[33 kV_Wind_F4_Import (MWh)2]]</calculatedColumnFormula>
    </tableColumn>
    <tableColumn id="105" xr3:uid="{00000000-0010-0000-0100-000069000000}" name="33 kV Line Loss (%)" dataDxfId="200">
      <calculatedColumnFormula>IFERROR(Input_Raw[[#This Row],[33 kV_Wind_Total_Export (MWh)]]/Input_Raw[[#This Row],[WTG Total Gneration (MWh)]]-1,"")</calculatedColumnFormula>
    </tableColumn>
    <tableColumn id="64" xr3:uid="{00000000-0010-0000-0100-000040000000}" name="EbMA(%)" dataDxfId="199" dataCellStyle="Comma"/>
    <tableColumn id="65" xr3:uid="{00000000-0010-0000-0100-000041000000}" name="Forecasting Data count received on Forecasting Portal" dataDxfId="198" dataCellStyle="Comma"/>
    <tableColumn id="66" xr3:uid="{00000000-0010-0000-0100-000042000000}" name="Forecasting Penalties (INR)" dataDxfId="197" dataCellStyle="Comma"/>
    <tableColumn id="67" xr3:uid="{00000000-0010-0000-0100-000043000000}" name="Expected Energy As Per Power Curve  (MWh)" dataDxfId="196" dataCellStyle="Comma"/>
    <tableColumn id="68" xr3:uid="{00000000-0010-0000-0100-000044000000}" name="Reactive Energy (MVArH)" dataDxfId="195" dataCellStyle="Comma"/>
    <tableColumn id="69" xr3:uid="{00000000-0010-0000-0100-000045000000}" name="Operational Capacity" dataDxfId="194"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1:AD415" totalsRowShown="0" headerRowDxfId="193">
  <autoFilter ref="A1:AD415" xr:uid="{00000000-0009-0000-0100-000005000000}"/>
  <tableColumns count="30">
    <tableColumn id="1" xr3:uid="{00000000-0010-0000-0200-000001000000}" name="Sr. No." dataDxfId="192"/>
    <tableColumn id="2" xr3:uid="{00000000-0010-0000-0200-000002000000}" name="Financial Year" dataDxfId="191">
      <calculatedColumnFormula>YEAR(Table5[[#This Row],[Date]])+IF(MONTH(Table5[[#This Row],[Date]])&gt;=4,1,0)</calculatedColumnFormula>
    </tableColumn>
    <tableColumn id="3" xr3:uid="{00000000-0010-0000-0200-000003000000}" name="Calendar Year" dataDxfId="190">
      <calculatedColumnFormula>YEAR(Table5[[#This Row],[Date]])</calculatedColumnFormula>
    </tableColumn>
    <tableColumn id="4" xr3:uid="{00000000-0010-0000-0200-000004000000}" name="Operating Year" dataDxfId="189"/>
    <tableColumn id="5" xr3:uid="{00000000-0010-0000-0200-000005000000}" name="Month" dataDxfId="188">
      <calculatedColumnFormula>Table5[[#This Row],[Date]]-DAY(Table5[[#This Row],[Date]])+1</calculatedColumnFormula>
    </tableColumn>
    <tableColumn id="6" xr3:uid="{00000000-0010-0000-0200-000006000000}" name="Date" dataDxfId="187"/>
    <tableColumn id="7" xr3:uid="{00000000-0010-0000-0200-000007000000}" name="Affected WTG" dataDxfId="186"/>
    <tableColumn id="8" xr3:uid="{00000000-0010-0000-0200-000008000000}" name="SPV" dataDxfId="185">
      <calculatedColumnFormula>IFERROR(_xlfn.XLOOKUP(Table5[[#This Row],[Affected WTG]],'Basic Data'!$A:$A,'Basic Data'!$B:$B),"")</calculatedColumnFormula>
    </tableColumn>
    <tableColumn id="9" xr3:uid="{00000000-0010-0000-0200-000009000000}" name="Consumer" dataDxfId="184">
      <calculatedColumnFormula>IFERROR(_xlfn.XLOOKUP(Table5[[#This Row],[Affected WTG]],'Basic Data'!$A:$A,'Basic Data'!$C:$C),"")</calculatedColumnFormula>
    </tableColumn>
    <tableColumn id="10" xr3:uid="{00000000-0010-0000-0200-00000A000000}" name="Plant Equivalent Weightage" dataDxfId="183">
      <calculatedColumnFormula>IFERROR(_xlfn.XLOOKUP(Table5[[#This Row],[Affected WTG]],'Basic Data'!$A:$A,'Basic Data'!$E:$E),"")</calculatedColumnFormula>
    </tableColumn>
    <tableColumn id="11" xr3:uid="{00000000-0010-0000-0200-00000B000000}" name="Error Code" dataDxfId="182"/>
    <tableColumn id="12" xr3:uid="{00000000-0010-0000-0200-00000C000000}" name="Error Text" dataDxfId="181">
      <calculatedColumnFormula>IFERROR(_xlfn.XLOOKUP(Table5[[#This Row],[Error Code]],'Basic Data'!$W:$W,'Basic Data'!$X:$X),"Incorrect Error Code")</calculatedColumnFormula>
    </tableColumn>
    <tableColumn id="13" xr3:uid="{00000000-0010-0000-0200-00000D000000}" name="Breakdown Description" dataDxfId="180"/>
    <tableColumn id="14" xr3:uid="{00000000-0010-0000-0200-00000E000000}" name="Stoppage Type" dataDxfId="179"/>
    <tableColumn id="15" xr3:uid="{00000000-0010-0000-0200-00000F000000}" name="Fault Start TimeStamp" dataDxfId="178"/>
    <tableColumn id="16" xr3:uid="{00000000-0010-0000-0200-000010000000}" name="Work Start TimeStamp" dataDxfId="177"/>
    <tableColumn id="17" xr3:uid="{00000000-0010-0000-0200-000011000000}" name="Fault Clearance time" dataDxfId="176"/>
    <tableColumn id="18" xr3:uid="{00000000-0010-0000-0200-000012000000}" name="Response Time" dataDxfId="175">
      <calculatedColumnFormula>Q2-O2</calculatedColumnFormula>
    </tableColumn>
    <tableColumn id="19" xr3:uid="{00000000-0010-0000-0200-000013000000}" name="Resolution Time" dataDxfId="174">
      <calculatedColumnFormula>(Table5[[#This Row],[Fault Clearance time]]-Table5[[#This Row],[Work Start TimeStamp]])*24</calculatedColumnFormula>
    </tableColumn>
    <tableColumn id="20" xr3:uid="{00000000-0010-0000-0200-000014000000}" name="Breakdown Time" dataDxfId="173">
      <calculatedColumnFormula>(Table5[[#This Row],[Fault Clearance time]]-Table5[[#This Row],[Fault Start TimeStamp]])*24</calculatedColumnFormula>
    </tableColumn>
    <tableColumn id="21" xr3:uid="{00000000-0010-0000-0200-000015000000}" name="Action taken" dataDxfId="172"/>
    <tableColumn id="22" xr3:uid="{00000000-0010-0000-0200-000016000000}" name="Status" dataDxfId="171"/>
    <tableColumn id="23" xr3:uid="{00000000-0010-0000-0200-000017000000}" name="Plant Equivalent breakdown" dataDxfId="170" dataCellStyle="Comma">
      <calculatedColumnFormula>IFERROR(Table5[[#This Row],[Breakdown Time]]*Table5[[#This Row],[Plant Equivalent Weightage]],"")</calculatedColumnFormula>
    </tableColumn>
    <tableColumn id="24" xr3:uid="{00000000-0010-0000-0200-000018000000}" name="Fault Category" dataDxfId="169" dataCellStyle="Comma"/>
    <tableColumn id="25" xr3:uid="{00000000-0010-0000-0200-000019000000}" name="Paired WTG for Enegy based MA" dataDxfId="168"/>
    <tableColumn id="26" xr3:uid="{00000000-0010-0000-0200-00001A000000}" name="Paired WTG Generation for loss calculation" dataDxfId="167"/>
    <tableColumn id="27" xr3:uid="{00000000-0010-0000-0200-00001B000000}" name="Estimated Energy Loss (kWh)" dataDxfId="166"/>
    <tableColumn id="28" xr3:uid="{00000000-0010-0000-0200-00001C000000}" name="Special Remarks" dataDxfId="165"/>
    <tableColumn id="29" xr3:uid="{00000000-0010-0000-0200-00001D000000}" name="PTW No." dataDxfId="164"/>
    <tableColumn id="30" xr3:uid="{00000000-0010-0000-0200-00001E000000}" name="Job Card No." dataDxfId="163"/>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Z1199" totalsRowShown="0" headerRowDxfId="162" dataDxfId="160" headerRowBorderDxfId="161" headerRowCellStyle="Normal 26">
  <autoFilter ref="A1:Z1199" xr:uid="{00000000-0009-0000-0100-000006000000}"/>
  <tableColumns count="26">
    <tableColumn id="1" xr3:uid="{00000000-0010-0000-0300-000001000000}" name="Sr. No." dataDxfId="159"/>
    <tableColumn id="2" xr3:uid="{00000000-0010-0000-0300-000002000000}" name="Financial Year" dataDxfId="158">
      <calculatedColumnFormula>YEAR(Table6[[#This Row],[Date]])+IF(MONTH(Table6[[#This Row],[Date]])&gt;=4,1,0)</calculatedColumnFormula>
    </tableColumn>
    <tableColumn id="3" xr3:uid="{00000000-0010-0000-0300-000003000000}" name="Calendar Year" dataDxfId="157">
      <calculatedColumnFormula>YEAR(Table6[[#This Row],[Date]])</calculatedColumnFormula>
    </tableColumn>
    <tableColumn id="4" xr3:uid="{00000000-0010-0000-0300-000004000000}" name="Operating Year" dataDxfId="156"/>
    <tableColumn id="5" xr3:uid="{00000000-0010-0000-0300-000005000000}" name="Month" dataDxfId="155">
      <calculatedColumnFormula>Table6[[#This Row],[Date]]-DAY(Table6[[#This Row],[Date]])+1</calculatedColumnFormula>
    </tableColumn>
    <tableColumn id="6" xr3:uid="{00000000-0010-0000-0300-000006000000}" name="Date" dataDxfId="154"/>
    <tableColumn id="7" xr3:uid="{00000000-0010-0000-0300-000007000000}" name="Affected Feeder " dataDxfId="153"/>
    <tableColumn id="8" xr3:uid="{00000000-0010-0000-0300-000008000000}" name="SPV" dataDxfId="152">
      <calculatedColumnFormula>IFERROR(_xlfn.XLOOKUP(Table6[[#This Row],[Affected Feeder ]],'Basic Data'!$A:$A,'Basic Data'!$B:$B),"")</calculatedColumnFormula>
    </tableColumn>
    <tableColumn id="9" xr3:uid="{00000000-0010-0000-0300-000009000000}" name="Consumer" dataDxfId="151">
      <calculatedColumnFormula>IFERROR(_xlfn.XLOOKUP(Table6[[#This Row],[Affected Feeder ]],'Basic Data'!$A:$A,'Basic Data'!$C:$C),"")</calculatedColumnFormula>
    </tableColumn>
    <tableColumn id="10" xr3:uid="{00000000-0010-0000-0300-00000A000000}" name="Plant Equivalent Weightage" dataDxfId="150" dataCellStyle="Percent">
      <calculatedColumnFormula>IFERROR(_xlfn.XLOOKUP(Table6[[#This Row],[Affected Feeder ]],'Basic Data'!$A:$A,'Basic Data'!$E:$E),"")</calculatedColumnFormula>
    </tableColumn>
    <tableColumn id="11" xr3:uid="{00000000-0010-0000-0300-00000B000000}" name="Breakdown Description" dataDxfId="149"/>
    <tableColumn id="12" xr3:uid="{00000000-0010-0000-0300-00000C000000}" name="Fault Start TimeStamp" dataDxfId="148"/>
    <tableColumn id="13" xr3:uid="{00000000-0010-0000-0300-00000D000000}" name="Work Start TimeStamp" dataDxfId="147"/>
    <tableColumn id="14" xr3:uid="{00000000-0010-0000-0300-00000E000000}" name="Fault Clearance time" dataDxfId="146"/>
    <tableColumn id="15" xr3:uid="{00000000-0010-0000-0300-00000F000000}" name="Response Time" dataDxfId="145">
      <calculatedColumnFormula>(Table6[[#This Row],[Work Start TimeStamp]]-Table6[[#This Row],[Fault Start TimeStamp]])*24</calculatedColumnFormula>
    </tableColumn>
    <tableColumn id="16" xr3:uid="{00000000-0010-0000-0300-000010000000}" name="Resolution Time" dataDxfId="144">
      <calculatedColumnFormula>(Table6[[#This Row],[Fault Clearance time]]-Table6[[#This Row],[Fault Start TimeStamp]])*24</calculatedColumnFormula>
    </tableColumn>
    <tableColumn id="17" xr3:uid="{00000000-0010-0000-0300-000011000000}" name="Breakdown Time" dataDxfId="143">
      <calculatedColumnFormula>(Table6[[#This Row],[Fault Clearance time]]-Table6[[#This Row],[Fault Start TimeStamp]])*24</calculatedColumnFormula>
    </tableColumn>
    <tableColumn id="18" xr3:uid="{00000000-0010-0000-0300-000012000000}" name="Action taken" dataDxfId="142"/>
    <tableColumn id="19" xr3:uid="{00000000-0010-0000-0300-000013000000}" name="Status" dataDxfId="141"/>
    <tableColumn id="20" xr3:uid="{00000000-0010-0000-0300-000014000000}" name="Plant Equivalent breakdown" dataDxfId="140">
      <calculatedColumnFormula>IFERROR(Table6[[#This Row],[Breakdown Time]]*Table6[[#This Row],[Plant Equivalent Weightage]],"")</calculatedColumnFormula>
    </tableColumn>
    <tableColumn id="21" xr3:uid="{00000000-0010-0000-0300-000015000000}" name="Fault Category" dataDxfId="139"/>
    <tableColumn id="26" xr3:uid="{00000000-0010-0000-0300-00001A000000}" name="Loss of KWH" dataDxfId="138"/>
    <tableColumn id="22" xr3:uid="{00000000-0010-0000-0300-000016000000}" name="Estimated Energy Loss (kWh)" dataDxfId="137"/>
    <tableColumn id="23" xr3:uid="{00000000-0010-0000-0300-000017000000}" name="Scope" dataDxfId="136"/>
    <tableColumn id="24" xr3:uid="{00000000-0010-0000-0300-000018000000}" name="PTW No." dataDxfId="135"/>
    <tableColumn id="25" xr3:uid="{00000000-0010-0000-0300-000019000000}" name="Job Card No." dataDxfId="134"/>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4000000}" name="Table9" displayName="Table9" ref="A1:AC16" totalsRowShown="0" headerRowDxfId="133">
  <autoFilter ref="A1:AC16" xr:uid="{00000000-0009-0000-0100-00000B000000}"/>
  <tableColumns count="29">
    <tableColumn id="1" xr3:uid="{00000000-0010-0000-0400-000001000000}" name="Sr. No." dataDxfId="132"/>
    <tableColumn id="2" xr3:uid="{00000000-0010-0000-0400-000002000000}" name="Financial Year" dataDxfId="131">
      <calculatedColumnFormula>YEAR(Table9[[#This Row],[Date]])+IF(MONTH(Table9[[#This Row],[Date]])&gt;=4,1,0)</calculatedColumnFormula>
    </tableColumn>
    <tableColumn id="3" xr3:uid="{00000000-0010-0000-0400-000003000000}" name="Calendar Year" dataDxfId="130">
      <calculatedColumnFormula>YEAR(Table9[[#This Row],[Date]])</calculatedColumnFormula>
    </tableColumn>
    <tableColumn id="4" xr3:uid="{00000000-0010-0000-0400-000004000000}" name="Operating Year" dataDxfId="129"/>
    <tableColumn id="5" xr3:uid="{00000000-0010-0000-0400-000005000000}" name="Month" dataDxfId="128">
      <calculatedColumnFormula>Table9[[#This Row],[Date]]-DAY(Table9[[#This Row],[Date]])+1</calculatedColumnFormula>
    </tableColumn>
    <tableColumn id="6" xr3:uid="{00000000-0010-0000-0400-000006000000}" name="Date" dataDxfId="127"/>
    <tableColumn id="7" xr3:uid="{00000000-0010-0000-0400-000007000000}" name="Affected Feeder "/>
    <tableColumn id="8" xr3:uid="{00000000-0010-0000-0400-000008000000}" name="SPV" dataDxfId="126">
      <calculatedColumnFormula>IFERROR(_xlfn.XLOOKUP(Table9[[#This Row],[Affected Feeder ]],'Basic Data'!$A:$A,'Basic Data'!$B:$B),"")</calculatedColumnFormula>
    </tableColumn>
    <tableColumn id="9" xr3:uid="{00000000-0010-0000-0400-000009000000}" name="Concumaer" dataDxfId="125">
      <calculatedColumnFormula>IFERROR(_xlfn.XLOOKUP(Table9[[#This Row],[Affected Feeder ]],'Basic Data'!$A:$A,'Basic Data'!$C:$C),"")</calculatedColumnFormula>
    </tableColumn>
    <tableColumn id="10" xr3:uid="{00000000-0010-0000-0400-00000A000000}" name="Plant Equivalent Weightage" dataDxfId="124" dataCellStyle="Percent">
      <calculatedColumnFormula>IFERROR(_xlfn.XLOOKUP(Table9[[#This Row],[Affected Feeder ]],'Basic Data'!$A:$A,'Basic Data'!$E:$E),"")</calculatedColumnFormula>
    </tableColumn>
    <tableColumn id="11" xr3:uid="{00000000-0010-0000-0400-00000B000000}" name="Breakdown Description"/>
    <tableColumn id="12" xr3:uid="{00000000-0010-0000-0400-00000C000000}" name="Breakdown Type"/>
    <tableColumn id="13" xr3:uid="{00000000-0010-0000-0400-00000D000000}" name="Fault Start TimeStamp" dataDxfId="123"/>
    <tableColumn id="14" xr3:uid="{00000000-0010-0000-0400-00000E000000}" name="Work Start TimeStamp" dataDxfId="122"/>
    <tableColumn id="15" xr3:uid="{00000000-0010-0000-0400-00000F000000}" name="Fault Clearance time" dataDxfId="121"/>
    <tableColumn id="16" xr3:uid="{00000000-0010-0000-0400-000010000000}" name="Response Time" dataDxfId="120">
      <calculatedColumnFormula>(Table9[[#This Row],[Work Start TimeStamp]]-Table9[[#This Row],[Fault Start TimeStamp]])*24</calculatedColumnFormula>
    </tableColumn>
    <tableColumn id="17" xr3:uid="{00000000-0010-0000-0400-000011000000}" name="Resolution Time" dataDxfId="119">
      <calculatedColumnFormula>IF(Table9[[#This Row],[Work Start TimeStamp]]="","",(Table9[[#This Row],[Fault Clearance time]]-Table9[[#This Row],[Work Start TimeStamp]])*24)</calculatedColumnFormula>
    </tableColumn>
    <tableColumn id="18" xr3:uid="{00000000-0010-0000-0400-000012000000}" name="Breakdown Time" dataDxfId="118">
      <calculatedColumnFormula>(Table9[[#This Row],[Fault Clearance time]]-Table9[[#This Row],[Fault Start TimeStamp]])*24</calculatedColumnFormula>
    </tableColumn>
    <tableColumn id="19" xr3:uid="{00000000-0010-0000-0400-000013000000}" name="Action taken" dataDxfId="117"/>
    <tableColumn id="20" xr3:uid="{00000000-0010-0000-0400-000014000000}" name="Status" dataDxfId="116"/>
    <tableColumn id="21" xr3:uid="{00000000-0010-0000-0400-000015000000}" name="Plant Equivalent breakdown" dataDxfId="115" dataCellStyle="Comma">
      <calculatedColumnFormula>IFERROR(Table9[[#This Row],[Breakdown Time]]*Table9[[#This Row],[Plant Equivalent Weightage]],"")</calculatedColumnFormula>
    </tableColumn>
    <tableColumn id="22" xr3:uid="{00000000-0010-0000-0400-000016000000}" name="Fault Category" dataDxfId="114" dataCellStyle="Comma"/>
    <tableColumn id="28" xr3:uid="{00000000-0010-0000-0400-00001C000000}" name="Paired WTG for Enegy based MA" dataDxfId="113" dataCellStyle="Comma"/>
    <tableColumn id="29" xr3:uid="{00000000-0010-0000-0400-00001D000000}" name="Loss of KWH" dataDxfId="112" dataCellStyle="Comma"/>
    <tableColumn id="23" xr3:uid="{00000000-0010-0000-0400-000017000000}" name="Estimated Energy Loss (kWh)"/>
    <tableColumn id="24" xr3:uid="{00000000-0010-0000-0400-000018000000}" name="Curtailment Order imit."/>
    <tableColumn id="25" xr3:uid="{00000000-0010-0000-0400-000019000000}" name="EGA_Including_CurtailmentOrder" dataDxfId="111">
      <calculatedColumnFormula>IF(Table9[[#This Row],[Breakdown Type]]="Curtailment Order",(((100%*(24-Table9[[#This Row],[Plant Equivalent breakdown]]))+(((Table9[[#This Row],[Curtailment Order imit.]])/50.6)*Table9[[#This Row],[Plant Equivalent breakdown]]))/24),1)</calculatedColumnFormula>
    </tableColumn>
    <tableColumn id="26" xr3:uid="{00000000-0010-0000-0400-00001A000000}" name="PTW No."/>
    <tableColumn id="27" xr3:uid="{00000000-0010-0000-0400-00001B000000}" name="Job Card No."/>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198" displayName="Table198" ref="A2:O178" totalsRowShown="0" headerRowDxfId="110">
  <autoFilter ref="A2:O178" xr:uid="{00000000-0009-0000-0100-000007000000}"/>
  <tableColumns count="15">
    <tableColumn id="1" xr3:uid="{00000000-0010-0000-0500-000001000000}" name="Sr. No."/>
    <tableColumn id="2" xr3:uid="{00000000-0010-0000-0500-000002000000}" name="Location No." dataDxfId="109"/>
    <tableColumn id="3" xr3:uid="{00000000-0010-0000-0500-000003000000}" name="Location Type"/>
    <tableColumn id="4" xr3:uid="{00000000-0010-0000-0500-000004000000}" name="FY"/>
    <tableColumn id="5" xr3:uid="{00000000-0010-0000-0500-000005000000}" name="CY" dataDxfId="108" dataCellStyle="Normal 10"/>
    <tableColumn id="6" xr3:uid="{00000000-0010-0000-0500-000006000000}" name="Cycle No."/>
    <tableColumn id="7" xr3:uid="{00000000-0010-0000-0500-000007000000}" name="Frequency"/>
    <tableColumn id="8" xr3:uid="{00000000-0010-0000-0500-000008000000}" name="PM Title"/>
    <tableColumn id="12" xr3:uid="{00000000-0010-0000-0500-00000C000000}" name="Day 1 Planned Maintenance Date" dataDxfId="107" dataCellStyle="Normal 10"/>
    <tableColumn id="9" xr3:uid="{00000000-0010-0000-0500-000009000000}" name="Day 2 Planned Maintenance Date" dataDxfId="106"/>
    <tableColumn id="10" xr3:uid="{00000000-0010-0000-0500-00000A000000}" name="Day 1 Actual Maintenance Date"/>
    <tableColumn id="16" xr3:uid="{00000000-0010-0000-0500-000010000000}" name="Day 2 Actual Maintenance Date" dataDxfId="105" dataCellStyle="Normal 10"/>
    <tableColumn id="11" xr3:uid="{00000000-0010-0000-0500-00000B000000}" name="Delay Day 1" dataDxfId="104"/>
    <tableColumn id="15" xr3:uid="{00000000-0010-0000-0500-00000F000000}" name="Delay Day 2" dataDxfId="103" dataCellStyle="Normal 10"/>
    <tableColumn id="13" xr3:uid="{00000000-0010-0000-0500-00000D000000}" name="Remark"/>
  </tableColumns>
  <tableStyleInfo name="TableStyleMedium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6000000}" name="Table7" displayName="Table7" ref="A2:AW370" totalsRowShown="0" headerRowDxfId="102" dataDxfId="100" headerRowBorderDxfId="101" tableBorderDxfId="99" totalsRowBorderDxfId="98" headerRowCellStyle="Normal 26 41">
  <tableColumns count="49">
    <tableColumn id="1" xr3:uid="{00000000-0010-0000-0600-000001000000}" name="Date" dataDxfId="97"/>
    <tableColumn id="2" xr3:uid="{00000000-0010-0000-0600-000002000000}" name="Financial Year" dataDxfId="96">
      <calculatedColumnFormula>YEAR(Table7[[#This Row],[Date]])+IF(MONTH(Table7[[#This Row],[Date]])&gt;=4,1,0)</calculatedColumnFormula>
    </tableColumn>
    <tableColumn id="3" xr3:uid="{00000000-0010-0000-0600-000003000000}" name="Calendar Year" dataDxfId="95">
      <calculatedColumnFormula>YEAR(Table7[[#This Row],[Date]])</calculatedColumnFormula>
    </tableColumn>
    <tableColumn id="4" xr3:uid="{00000000-0010-0000-0600-000004000000}" name="Month Year" dataDxfId="94">
      <calculatedColumnFormula>Daily_KPI[[#This Row],[Date]]-DAY(Daily_KPI[[#This Row],[Date]])+1</calculatedColumnFormula>
    </tableColumn>
    <tableColumn id="5" xr3:uid="{00000000-0010-0000-0600-000005000000}" name="P-01" dataDxfId="93"/>
    <tableColumn id="6" xr3:uid="{00000000-0010-0000-0600-000006000000}" name="P-02" dataDxfId="92"/>
    <tableColumn id="7" xr3:uid="{00000000-0010-0000-0600-000007000000}" name="P-03" dataDxfId="91"/>
    <tableColumn id="8" xr3:uid="{00000000-0010-0000-0600-000008000000}" name="P-04" dataDxfId="90"/>
    <tableColumn id="9" xr3:uid="{00000000-0010-0000-0600-000009000000}" name="P-05" dataDxfId="89"/>
    <tableColumn id="10" xr3:uid="{00000000-0010-0000-0600-00000A000000}" name="P-06" dataDxfId="88"/>
    <tableColumn id="11" xr3:uid="{00000000-0010-0000-0600-00000B000000}" name="P-07" dataDxfId="87"/>
    <tableColumn id="12" xr3:uid="{00000000-0010-0000-0600-00000C000000}" name="P-08" dataDxfId="86"/>
    <tableColumn id="13" xr3:uid="{00000000-0010-0000-0600-00000D000000}" name="P-09" dataDxfId="85"/>
    <tableColumn id="14" xr3:uid="{00000000-0010-0000-0600-00000E000000}" name="P-10" dataDxfId="84"/>
    <tableColumn id="15" xr3:uid="{00000000-0010-0000-0600-00000F000000}" name="P-11" dataDxfId="83"/>
    <tableColumn id="16" xr3:uid="{00000000-0010-0000-0600-000010000000}" name="P-12" dataDxfId="82"/>
    <tableColumn id="17" xr3:uid="{00000000-0010-0000-0600-000011000000}" name="P-13" dataDxfId="81"/>
    <tableColumn id="18" xr3:uid="{00000000-0010-0000-0600-000012000000}" name="P-14" dataDxfId="80"/>
    <tableColumn id="19" xr3:uid="{00000000-0010-0000-0600-000013000000}" name="P-15" dataDxfId="79"/>
    <tableColumn id="20" xr3:uid="{00000000-0010-0000-0600-000014000000}" name="P-16" dataDxfId="78"/>
    <tableColumn id="21" xr3:uid="{00000000-0010-0000-0600-000015000000}" name="P-17" dataDxfId="77"/>
    <tableColumn id="22" xr3:uid="{00000000-0010-0000-0600-000016000000}" name="P-18" dataDxfId="76"/>
    <tableColumn id="23" xr3:uid="{00000000-0010-0000-0600-000017000000}" name="P-19" dataDxfId="75"/>
    <tableColumn id="24" xr3:uid="{00000000-0010-0000-0600-000018000000}" name="P-20" dataDxfId="74"/>
    <tableColumn id="25" xr3:uid="{00000000-0010-0000-0600-000019000000}" name="P-22" dataDxfId="73"/>
    <tableColumn id="26" xr3:uid="{00000000-0010-0000-0600-00001A000000}" name="P-23" dataDxfId="72"/>
    <tableColumn id="27" xr3:uid="{00000000-0010-0000-0600-00001B000000}" name="P-25" dataDxfId="71"/>
    <tableColumn id="28" xr3:uid="{00000000-0010-0000-0600-00001C000000}" name="P-26" dataDxfId="70"/>
    <tableColumn id="29" xr3:uid="{00000000-0010-0000-0600-00001D000000}" name="P-27" dataDxfId="69"/>
    <tableColumn id="30" xr3:uid="{00000000-0010-0000-0600-00001E000000}" name="P-28" dataDxfId="68"/>
    <tableColumn id="31" xr3:uid="{00000000-0010-0000-0600-00001F000000}" name="P-31" dataDxfId="67"/>
    <tableColumn id="32" xr3:uid="{00000000-0010-0000-0600-000020000000}" name="P-32" dataDxfId="66"/>
    <tableColumn id="33" xr3:uid="{00000000-0010-0000-0600-000021000000}" name="P-34" dataDxfId="65"/>
    <tableColumn id="34" xr3:uid="{00000000-0010-0000-0600-000022000000}" name="P-37" dataDxfId="64"/>
    <tableColumn id="35" xr3:uid="{00000000-0010-0000-0600-000023000000}" name="P-38" dataDxfId="63"/>
    <tableColumn id="36" xr3:uid="{00000000-0010-0000-0600-000024000000}" name="P-40" dataDxfId="62"/>
    <tableColumn id="37" xr3:uid="{00000000-0010-0000-0600-000025000000}" name="P-41" dataDxfId="61"/>
    <tableColumn id="38" xr3:uid="{00000000-0010-0000-0600-000026000000}" name="P-42" dataDxfId="60"/>
    <tableColumn id="39" xr3:uid="{00000000-0010-0000-0600-000027000000}" name="P-43" dataDxfId="59"/>
    <tableColumn id="40" xr3:uid="{00000000-0010-0000-0600-000028000000}" name="P-45" dataDxfId="58"/>
    <tableColumn id="41" xr3:uid="{00000000-0010-0000-0600-000029000000}" name="P-46" dataDxfId="57"/>
    <tableColumn id="42" xr3:uid="{00000000-0010-0000-0600-00002A000000}" name="P-47" dataDxfId="56"/>
    <tableColumn id="43" xr3:uid="{00000000-0010-0000-0600-00002B000000}" name="P-48" dataDxfId="55"/>
    <tableColumn id="44" xr3:uid="{00000000-0010-0000-0600-00002C000000}" name="P-50" dataDxfId="54"/>
    <tableColumn id="45" xr3:uid="{00000000-0010-0000-0600-00002D000000}" name="P-51" dataDxfId="53"/>
    <tableColumn id="46" xr3:uid="{00000000-0010-0000-0600-00002E000000}" name="P-52" dataDxfId="52"/>
    <tableColumn id="47" xr3:uid="{00000000-0010-0000-0600-00002F000000}" name="P-55" dataDxfId="51"/>
    <tableColumn id="48" xr3:uid="{00000000-0010-0000-0600-000030000000}" name="P-56" dataDxfId="50"/>
    <tableColumn id="51" xr3:uid="{00000000-0010-0000-0600-000033000000}" name="Total Reactive Power (kVArH)" dataDxfId="49">
      <calculatedColumnFormula>SUM(E3:AV3)/1000</calculatedColumnFormula>
    </tableColumn>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Modelling_New" displayName="Modelling_New" ref="A1:AL49" totalsRowShown="0" headerRowDxfId="48" dataDxfId="46" headerRowBorderDxfId="47" tableBorderDxfId="45" totalsRowBorderDxfId="44">
  <tableColumns count="38">
    <tableColumn id="1" xr3:uid="{00000000-0010-0000-0700-000001000000}" name="Sr. No." dataDxfId="43"/>
    <tableColumn id="2" xr3:uid="{00000000-0010-0000-0700-000002000000}" name="Month Name" dataDxfId="42" dataCellStyle="Comma 42"/>
    <tableColumn id="3" xr3:uid="{00000000-0010-0000-0700-000003000000}" name="Month Number" dataDxfId="41"/>
    <tableColumn id="4" xr3:uid="{00000000-0010-0000-0700-000004000000}" name="Month" dataDxfId="40" dataCellStyle="Comma 42"/>
    <tableColumn id="5" xr3:uid="{00000000-0010-0000-0700-000005000000}" name="CY" dataDxfId="39">
      <calculatedColumnFormula>YEAR(D2)</calculatedColumnFormula>
    </tableColumn>
    <tableColumn id="6" xr3:uid="{00000000-0010-0000-0700-000006000000}" name="FY" dataDxfId="38"/>
    <tableColumn id="7" xr3:uid="{00000000-0010-0000-0700-000007000000}" name="No. of Days in Month" dataDxfId="37">
      <calculatedColumnFormula>DAY(EOMONTH(D2,0))</calculatedColumnFormula>
    </tableColumn>
    <tableColumn id="8" xr3:uid="{00000000-0010-0000-0700-000008000000}" name="GHI" dataDxfId="36"/>
    <tableColumn id="9" xr3:uid="{00000000-0010-0000-0700-000009000000}" name="POA" dataDxfId="35"/>
    <tableColumn id="10" xr3:uid="{00000000-0010-0000-0700-00000A000000}" name="WS" dataDxfId="34"/>
    <tableColumn id="11" xr3:uid="{00000000-0010-0000-0700-00000B000000}" name="Tamb" dataDxfId="33"/>
    <tableColumn id="12" xr3:uid="{00000000-0010-0000-0700-00000C000000}" name="Tmod" dataDxfId="32"/>
    <tableColumn id="13" xr3:uid="{00000000-0010-0000-0700-00000D000000}" name="Egrid (MWh)" dataDxfId="31"/>
    <tableColumn id="14" xr3:uid="{00000000-0010-0000-0700-00000E000000}" name="Bugt_Capacity" dataDxfId="30"/>
    <tableColumn id="15" xr3:uid="{00000000-0010-0000-0700-00000F000000}" name="PR" dataDxfId="29"/>
    <tableColumn id="16" xr3:uid="{00000000-0010-0000-0700-000010000000}" name="Daily POA" dataDxfId="28"/>
    <tableColumn id="17" xr3:uid="{00000000-0010-0000-0700-000011000000}" name="Days Operated" dataDxfId="27">
      <calculatedColumnFormula>COUNTIFS('Daily KPI'!$D:$D,D2,'Daily KPI'!$M:$M,"&gt;0")</calculatedColumnFormula>
    </tableColumn>
    <tableColumn id="18" xr3:uid="{00000000-0010-0000-0700-000012000000}" name="MTD POA" dataDxfId="26"/>
    <tableColumn id="27" xr3:uid="{00000000-0010-0000-0700-00001B000000}" name="YTD POA" dataDxfId="25"/>
    <tableColumn id="19" xr3:uid="{00000000-0010-0000-0700-000013000000}" name="Daily Energy (MWh)" dataDxfId="24">
      <calculatedColumnFormula>IFERROR(M2/G2,"")</calculatedColumnFormula>
    </tableColumn>
    <tableColumn id="20" xr3:uid="{00000000-0010-0000-0700-000014000000}" name="MTD Energy (MWh)" dataDxfId="23">
      <calculatedColumnFormula>IFERROR(M2/G2*Q2,"")</calculatedColumnFormula>
    </tableColumn>
    <tableColumn id="28" xr3:uid="{00000000-0010-0000-0700-00001C000000}" name="YTD Energy (MWh)" dataDxfId="22">
      <calculatedColumnFormula>SUMIF($F$2:F2,F2,$U$2:U2)</calculatedColumnFormula>
    </tableColumn>
    <tableColumn id="38" xr3:uid="{00000000-0010-0000-0700-000026000000}" name="Bugt CUF (%)" dataDxfId="21" dataCellStyle="Percent">
      <calculatedColumnFormula>IFERROR(T2/(24*N2),"")</calculatedColumnFormula>
    </tableColumn>
    <tableColumn id="37" xr3:uid="{00000000-0010-0000-0700-000025000000}" name="Bugt CUF (%) MTD" dataDxfId="20" dataCellStyle="Percent">
      <calculatedColumnFormula>IFERROR(U2/(24*N2*Q2),"")</calculatedColumnFormula>
    </tableColumn>
    <tableColumn id="36" xr3:uid="{00000000-0010-0000-0700-000024000000}" name="Bugt CUF (%)YTD" dataDxfId="19" dataCellStyle="Percent">
      <calculatedColumnFormula>IFERROR(V2/(24*N2*SUMIFS($Q:$Q,$F:$F,$F2,$D:$D,"&lt;="&amp;D2)),"")</calculatedColumnFormula>
    </tableColumn>
    <tableColumn id="21" xr3:uid="{00000000-0010-0000-0700-000015000000}" name="Ave. Cap MTD" dataDxfId="18">
      <calculatedColumnFormula>IFERROR(N2/G2*Q2,"")</calculatedColumnFormula>
    </tableColumn>
    <tableColumn id="29" xr3:uid="{00000000-0010-0000-0700-00001D000000}" name="Ave. Cap YTD" dataDxfId="17">
      <calculatedColumnFormula>IFERROR(AVERAGEIF($F$2:F2,F2,$N$2:N2),"")</calculatedColumnFormula>
    </tableColumn>
    <tableColumn id="22" xr3:uid="{00000000-0010-0000-0700-000016000000}" name="CC Energy MTD" dataDxfId="16"/>
    <tableColumn id="31" xr3:uid="{00000000-0010-0000-0700-00001F000000}" name="WS MTD" dataDxfId="15"/>
    <tableColumn id="23" xr3:uid="{00000000-0010-0000-0700-000017000000}" name="WS YTD" dataDxfId="14">
      <calculatedColumnFormula>AVERAGEIF($F$2:F2,F2,$AC$2:AC2)</calculatedColumnFormula>
    </tableColumn>
    <tableColumn id="24" xr3:uid="{00000000-0010-0000-0700-000018000000}" name="Bugt PA" dataDxfId="13" dataCellStyle="Percent 43">
      <calculatedColumnFormula>IFERROR(AH2*AI2,"")</calculatedColumnFormula>
    </tableColumn>
    <tableColumn id="25" xr3:uid="{00000000-0010-0000-0700-000019000000}" name="Bugt EGA" dataDxfId="12" dataCellStyle="Percent 43"/>
    <tableColumn id="35" xr3:uid="{00000000-0010-0000-0700-000023000000}" name="Bugt TA" dataDxfId="11" dataCellStyle="Percent"/>
    <tableColumn id="26" xr3:uid="{00000000-0010-0000-0700-00001A000000}" name="Bugt MA" dataDxfId="10" dataCellStyle="Percent"/>
    <tableColumn id="30" xr3:uid="{00000000-0010-0000-0700-00001E000000}" name="Bugt IGA" dataDxfId="9" dataCellStyle="Percent"/>
    <tableColumn id="32" xr3:uid="{00000000-0010-0000-0700-000020000000}" name="Corelation" dataDxfId="8" dataCellStyle="Percent"/>
    <tableColumn id="33" xr3:uid="{00000000-0010-0000-0700-000021000000}" name="Bugt Line loss" dataDxfId="7" dataCellStyle="Percent"/>
    <tableColumn id="34" xr3:uid="{00000000-0010-0000-0700-000022000000}" name="Bugt Reactive Power" dataDxfId="6" dataCellStyle="Percent"/>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3" Type="http://schemas.openxmlformats.org/officeDocument/2006/relationships/hyperlink" Target="mailto:O@R1" TargetMode="External"/><Relationship Id="rId7" Type="http://schemas.openxmlformats.org/officeDocument/2006/relationships/printerSettings" Target="../printerSettings/printerSettings5.bin"/><Relationship Id="rId2" Type="http://schemas.openxmlformats.org/officeDocument/2006/relationships/hyperlink" Target="mailto:O@R1" TargetMode="External"/><Relationship Id="rId1" Type="http://schemas.openxmlformats.org/officeDocument/2006/relationships/hyperlink" Target="mailto:O@R1" TargetMode="External"/><Relationship Id="rId6" Type="http://schemas.openxmlformats.org/officeDocument/2006/relationships/hyperlink" Target="mailto:O@R1" TargetMode="External"/><Relationship Id="rId5" Type="http://schemas.openxmlformats.org/officeDocument/2006/relationships/hyperlink" Target="mailto:O@R1" TargetMode="External"/><Relationship Id="rId4" Type="http://schemas.openxmlformats.org/officeDocument/2006/relationships/hyperlink" Target="mailto:O@R1"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83"/>
  <sheetViews>
    <sheetView showGridLines="0" tabSelected="1" topLeftCell="A2" zoomScale="115" zoomScaleNormal="115" workbookViewId="0">
      <selection activeCell="G5" sqref="G5"/>
    </sheetView>
  </sheetViews>
  <sheetFormatPr defaultColWidth="9" defaultRowHeight="15"/>
  <cols>
    <col min="1" max="1" width="17" style="25" customWidth="1"/>
    <col min="2" max="2" width="22.42578125" style="26" customWidth="1"/>
    <col min="3" max="3" width="13.5703125" style="26" customWidth="1"/>
    <col min="4" max="4" width="12" style="27" customWidth="1"/>
    <col min="5" max="5" width="11" style="25" customWidth="1"/>
    <col min="6" max="6" width="10.85546875" style="26" customWidth="1"/>
    <col min="7" max="7" width="11.42578125" style="26" customWidth="1"/>
    <col min="8" max="8" width="9.42578125" style="26" customWidth="1"/>
    <col min="9" max="9" width="11" style="26" customWidth="1"/>
    <col min="10" max="10" width="11.5703125" style="26" customWidth="1"/>
    <col min="11" max="11" width="10.42578125" style="26" customWidth="1"/>
    <col min="12" max="16384" width="9" style="26"/>
  </cols>
  <sheetData>
    <row r="1" spans="1:18" ht="4.3499999999999996" hidden="1" customHeight="1"/>
    <row r="2" spans="1:18" ht="25.5" customHeight="1">
      <c r="A2" s="371" t="s">
        <v>0</v>
      </c>
      <c r="B2" s="372"/>
      <c r="C2" s="372"/>
      <c r="D2" s="372"/>
      <c r="E2" s="372"/>
      <c r="F2" s="373"/>
    </row>
    <row r="3" spans="1:18">
      <c r="A3" s="28" t="s">
        <v>1</v>
      </c>
      <c r="B3" s="191">
        <v>45870</v>
      </c>
      <c r="C3" s="30"/>
      <c r="D3" s="30"/>
      <c r="E3" s="30"/>
      <c r="F3" s="31"/>
    </row>
    <row r="4" spans="1:18">
      <c r="A4" s="28" t="s">
        <v>2</v>
      </c>
      <c r="B4" s="192">
        <v>45871</v>
      </c>
      <c r="C4" s="30"/>
      <c r="D4" s="30"/>
      <c r="E4" s="30"/>
      <c r="F4" s="31"/>
      <c r="G4" s="33"/>
      <c r="J4" s="33"/>
      <c r="K4" s="33"/>
      <c r="L4" s="33"/>
      <c r="M4" s="33"/>
      <c r="N4" s="33"/>
      <c r="O4" s="33"/>
      <c r="P4" s="33"/>
      <c r="Q4" s="33"/>
      <c r="R4" s="33"/>
    </row>
    <row r="5" spans="1:18" s="34" customFormat="1">
      <c r="A5" s="28" t="s">
        <v>3</v>
      </c>
      <c r="B5" s="29" t="s">
        <v>4</v>
      </c>
      <c r="C5" s="30"/>
      <c r="D5" s="30"/>
      <c r="E5" s="30"/>
      <c r="F5" s="31"/>
      <c r="G5" s="26"/>
      <c r="H5" s="26"/>
      <c r="I5" s="26"/>
      <c r="J5" s="26"/>
      <c r="K5" s="26"/>
      <c r="L5" s="26"/>
      <c r="M5" s="26"/>
      <c r="N5" s="26"/>
      <c r="O5" s="26"/>
      <c r="P5" s="26"/>
    </row>
    <row r="6" spans="1:18">
      <c r="A6" s="28" t="s">
        <v>5</v>
      </c>
      <c r="B6" s="32">
        <v>45748</v>
      </c>
      <c r="C6" s="30"/>
      <c r="D6" s="30"/>
      <c r="E6" s="30"/>
      <c r="F6" s="31"/>
      <c r="H6" s="26" t="s">
        <v>6</v>
      </c>
    </row>
    <row r="7" spans="1:18" ht="15.75" thickBot="1">
      <c r="A7" s="35" t="s">
        <v>7</v>
      </c>
      <c r="B7" s="36">
        <v>46112</v>
      </c>
      <c r="C7" s="37"/>
      <c r="D7" s="37"/>
      <c r="E7" s="37"/>
      <c r="F7" s="38"/>
    </row>
    <row r="8" spans="1:18" ht="4.5" customHeight="1" thickBot="1">
      <c r="A8" s="39"/>
      <c r="B8" s="40"/>
      <c r="C8" s="40"/>
      <c r="D8" s="40"/>
      <c r="E8" s="40"/>
      <c r="F8" s="40"/>
    </row>
    <row r="9" spans="1:18" ht="19.5" customHeight="1" thickBot="1">
      <c r="A9" s="41" t="s">
        <v>8</v>
      </c>
      <c r="B9" s="42" t="s">
        <v>9</v>
      </c>
      <c r="C9" s="42" t="s">
        <v>10</v>
      </c>
      <c r="D9" s="42" t="s">
        <v>11</v>
      </c>
      <c r="E9" s="42" t="s">
        <v>12</v>
      </c>
      <c r="F9" s="43" t="s">
        <v>13</v>
      </c>
    </row>
    <row r="10" spans="1:18">
      <c r="A10" s="374">
        <v>1</v>
      </c>
      <c r="B10" s="44" t="s">
        <v>14</v>
      </c>
      <c r="C10" s="45">
        <f>IFERROR(_xlfn.XLOOKUP($B$4,'Daily KPI'!$A:$A,'Daily KPI'!$AD:$AD)/1000,"")</f>
        <v>1057.470497769533</v>
      </c>
      <c r="D10" s="45">
        <f>IFERROR(_xlfn.XLOOKUP($B$4,'Daily KPI'!$A:$A,'Daily KPI'!$AA:$AA)/1000,"")</f>
        <v>466.77499999999998</v>
      </c>
      <c r="E10" s="46">
        <f>D10/C10-1</f>
        <v>-0.5585928865301264</v>
      </c>
      <c r="F10" s="193"/>
    </row>
    <row r="11" spans="1:18">
      <c r="A11" s="375"/>
      <c r="B11" s="47" t="s">
        <v>15</v>
      </c>
      <c r="C11" s="48">
        <f>MonthlyKPI!E4</f>
        <v>2114.9409955390661</v>
      </c>
      <c r="D11" s="49">
        <f>MonthlyKPI!F4</f>
        <v>1202.3989999999999</v>
      </c>
      <c r="E11" s="50">
        <f t="shared" ref="E11:E12" si="0">D11/C11-1</f>
        <v>-0.43147397372496121</v>
      </c>
      <c r="F11" s="194"/>
    </row>
    <row r="12" spans="1:18" ht="15.75" thickBot="1">
      <c r="A12" s="376"/>
      <c r="B12" s="51" t="s">
        <v>16</v>
      </c>
      <c r="C12" s="52">
        <f>AnnualKPI!E4</f>
        <v>63451.607380680121</v>
      </c>
      <c r="D12" s="53">
        <f>AnnualKPI!F4</f>
        <v>80814.47</v>
      </c>
      <c r="E12" s="54">
        <f t="shared" si="0"/>
        <v>0.27363944486308722</v>
      </c>
      <c r="F12" s="195"/>
    </row>
    <row r="13" spans="1:18">
      <c r="A13" s="374">
        <v>2</v>
      </c>
      <c r="B13" s="44" t="s">
        <v>17</v>
      </c>
      <c r="C13" s="55">
        <f>IFERROR(_xlfn.XLOOKUP($B$3,'Modelling New'!$D:$D,'Modelling New'!J:J),"")</f>
        <v>9.1</v>
      </c>
      <c r="D13" s="56">
        <f>IFERROR(_xlfn.XLOOKUP($B$4,'Daily KPI'!$A:$A,'Daily KPI'!$M:$M),"")</f>
        <v>6.5170454545454533</v>
      </c>
      <c r="E13" s="46">
        <f>(D13-C13)/(C13)</f>
        <v>-0.28384115884115896</v>
      </c>
      <c r="F13" s="193"/>
    </row>
    <row r="14" spans="1:18">
      <c r="A14" s="375"/>
      <c r="B14" s="47" t="s">
        <v>18</v>
      </c>
      <c r="C14" s="57">
        <f>MonthlyKPI!C4</f>
        <v>9.1</v>
      </c>
      <c r="D14" s="103">
        <f>MonthlyKPI!D4</f>
        <v>7.0390909090909091</v>
      </c>
      <c r="E14" s="50">
        <f t="shared" ref="E14:E15" si="1">(D14-C14)/(C14)</f>
        <v>-0.22647352647352645</v>
      </c>
      <c r="F14" s="196"/>
    </row>
    <row r="15" spans="1:18" ht="15.75" thickBot="1">
      <c r="A15" s="376"/>
      <c r="B15" s="51" t="s">
        <v>19</v>
      </c>
      <c r="C15" s="58">
        <f>AnnualKPI!C4</f>
        <v>6.9174961989139749</v>
      </c>
      <c r="D15" s="59">
        <f>AnnualKPI!D4</f>
        <v>7.31576246334311</v>
      </c>
      <c r="E15" s="54">
        <f t="shared" si="1"/>
        <v>5.7573759779103541E-2</v>
      </c>
      <c r="F15" s="195"/>
    </row>
    <row r="16" spans="1:18">
      <c r="A16" s="374">
        <v>3</v>
      </c>
      <c r="B16" s="44" t="s">
        <v>20</v>
      </c>
      <c r="C16" s="60">
        <f>IFERROR(_xlfn.XLOOKUP(B4,'Daily KPI'!$A:$A,'Daily KPI'!$AG:$AG),"")</f>
        <v>0.96029999999999993</v>
      </c>
      <c r="D16" s="61">
        <f>IFERROR(_xlfn.XLOOKUP($B$4,'Daily KPI'!$A:$A,'Daily KPI'!O:O),"")</f>
        <v>0.99919939890698684</v>
      </c>
      <c r="E16" s="46">
        <f t="shared" ref="E16:E21" si="2">(D16-C16)/(C16)</f>
        <v>4.0507548585844953E-2</v>
      </c>
      <c r="F16" s="193"/>
    </row>
    <row r="17" spans="1:6">
      <c r="A17" s="375"/>
      <c r="B17" s="47" t="s">
        <v>21</v>
      </c>
      <c r="C17" s="62">
        <f>IFERROR(_xlfn.XLOOKUP($B$3,'Modelling New'!$D:$D,'Modelling New'!AE:AE),"")</f>
        <v>0.96029999999999993</v>
      </c>
      <c r="D17" s="63">
        <f>MonthlyKPI!P4</f>
        <v>0.99856869330001463</v>
      </c>
      <c r="E17" s="50">
        <f t="shared" si="2"/>
        <v>3.985076882225836E-2</v>
      </c>
      <c r="F17" s="194"/>
    </row>
    <row r="18" spans="1:6" ht="15.75" thickBot="1">
      <c r="A18" s="376"/>
      <c r="B18" s="51" t="s">
        <v>22</v>
      </c>
      <c r="C18" s="62">
        <f>IFERROR(_xlfn.XLOOKUP($B$3,'Modelling New'!$D:$D,'Modelling New'!AE:AE),"")</f>
        <v>0.96029999999999993</v>
      </c>
      <c r="D18" s="65">
        <f>AnnualKPI!P4</f>
        <v>0.97532798113982089</v>
      </c>
      <c r="E18" s="54">
        <f t="shared" si="2"/>
        <v>1.5649256627950595E-2</v>
      </c>
      <c r="F18" s="195"/>
    </row>
    <row r="19" spans="1:6">
      <c r="A19" s="368">
        <v>4</v>
      </c>
      <c r="B19" s="44" t="s">
        <v>23</v>
      </c>
      <c r="C19" s="60">
        <f>IFERROR(_xlfn.XLOOKUP(B7,'Daily KPI'!$A:$A,'Daily KPI'!$AH:$AH),"")</f>
        <v>0.995</v>
      </c>
      <c r="D19" s="61">
        <f>IFERROR(_xlfn.XLOOKUP($B$4,'Daily KPI'!$A:$A,'Daily KPI'!$R:$R),"")</f>
        <v>1</v>
      </c>
      <c r="E19" s="46">
        <f t="shared" si="2"/>
        <v>5.0251256281407079E-3</v>
      </c>
      <c r="F19" s="193"/>
    </row>
    <row r="20" spans="1:6">
      <c r="A20" s="369"/>
      <c r="B20" s="47" t="s">
        <v>24</v>
      </c>
      <c r="C20" s="62">
        <f>IFERROR(_xlfn.XLOOKUP($B$3,'Modelling New'!$D:$D,'Modelling New'!$AF:$AF),"")</f>
        <v>0.995</v>
      </c>
      <c r="D20" s="63">
        <f>MonthlyKPI!J4</f>
        <v>1</v>
      </c>
      <c r="E20" s="50">
        <f t="shared" si="2"/>
        <v>5.0251256281407079E-3</v>
      </c>
      <c r="F20" s="194"/>
    </row>
    <row r="21" spans="1:6" ht="15.75" thickBot="1">
      <c r="A21" s="370"/>
      <c r="B21" s="51" t="s">
        <v>25</v>
      </c>
      <c r="C21" s="62">
        <f>IFERROR(_xlfn.XLOOKUP($B$3,'Modelling New'!$D:$D,'Modelling New'!$AF:$AF),"")</f>
        <v>0.995</v>
      </c>
      <c r="D21" s="65">
        <f>AnnualKPI!J4</f>
        <v>0.99446009734469287</v>
      </c>
      <c r="E21" s="54">
        <f t="shared" si="2"/>
        <v>-5.4261573397700795E-4</v>
      </c>
      <c r="F21" s="195"/>
    </row>
    <row r="22" spans="1:6">
      <c r="A22" s="368">
        <v>5</v>
      </c>
      <c r="B22" s="44" t="s">
        <v>26</v>
      </c>
      <c r="C22" s="61">
        <f>IFERROR(_xlfn.XLOOKUP($B$3,'Modelling New'!$D:$D,'Modelling New'!$AI:$AI),"")</f>
        <v>0.99</v>
      </c>
      <c r="D22" s="61">
        <f>IFERROR(_xlfn.XLOOKUP($B$4,'Daily KPI'!$A:$A,'Daily KPI'!Q:Q),"")</f>
        <v>1</v>
      </c>
      <c r="E22" s="46">
        <f t="shared" ref="E22:E27" si="3">(D22-C22)/(C22)</f>
        <v>1.0101010101010111E-2</v>
      </c>
      <c r="F22" s="193"/>
    </row>
    <row r="23" spans="1:6">
      <c r="A23" s="369"/>
      <c r="B23" s="47" t="s">
        <v>27</v>
      </c>
      <c r="C23" s="63">
        <f>IFERROR(_xlfn.XLOOKUP($B$3,'Modelling New'!$D:$D,'Modelling New'!$AI:$AI),"")</f>
        <v>0.99</v>
      </c>
      <c r="D23" s="63">
        <f>MonthlyKPI!N4</f>
        <v>1</v>
      </c>
      <c r="E23" s="50">
        <f t="shared" si="3"/>
        <v>1.0101010101010111E-2</v>
      </c>
      <c r="F23" s="194"/>
    </row>
    <row r="24" spans="1:6" ht="15.75" thickBot="1">
      <c r="A24" s="370"/>
      <c r="B24" s="51" t="s">
        <v>28</v>
      </c>
      <c r="C24" s="65">
        <f>IFERROR(_xlfn.XLOOKUP($B$3,'Modelling New'!$D:$D,'Modelling New'!$AI:$AI),"")</f>
        <v>0.99</v>
      </c>
      <c r="D24" s="65">
        <f>AnnualKPI!N4</f>
        <v>0.98484246020808863</v>
      </c>
      <c r="E24" s="54">
        <f t="shared" si="3"/>
        <v>-5.2096361534458169E-3</v>
      </c>
      <c r="F24" s="195"/>
    </row>
    <row r="25" spans="1:6">
      <c r="A25" s="368">
        <v>6</v>
      </c>
      <c r="B25" s="44" t="s">
        <v>29</v>
      </c>
      <c r="C25" s="61">
        <f>IFERROR(_xlfn.XLOOKUP($B$3,'Modelling New'!$D:$D,'Modelling New'!$AH:$AH),"")</f>
        <v>0.97</v>
      </c>
      <c r="D25" s="61">
        <f>IFERROR(_xlfn.XLOOKUP($B$4,'Daily KPI'!$A:$A,'Daily KPI'!P:P),"")</f>
        <v>0.99919939890698684</v>
      </c>
      <c r="E25" s="46">
        <f t="shared" si="3"/>
        <v>3.0102473099986458E-2</v>
      </c>
      <c r="F25" s="193"/>
    </row>
    <row r="26" spans="1:6">
      <c r="A26" s="369"/>
      <c r="B26" s="47" t="s">
        <v>30</v>
      </c>
      <c r="C26" s="63">
        <f>IFERROR(_xlfn.XLOOKUP($B$3,'Modelling New'!$D:$D,'Modelling New'!$AH:$AH),"")</f>
        <v>0.97</v>
      </c>
      <c r="D26" s="63">
        <f>MonthlyKPI!N4</f>
        <v>1</v>
      </c>
      <c r="E26" s="50">
        <f t="shared" si="3"/>
        <v>3.0927835051546421E-2</v>
      </c>
      <c r="F26" s="194"/>
    </row>
    <row r="27" spans="1:6" ht="15.75" thickBot="1">
      <c r="A27" s="370"/>
      <c r="B27" s="51" t="s">
        <v>31</v>
      </c>
      <c r="C27" s="65">
        <f>IFERROR(_xlfn.XLOOKUP($B$3,'Modelling New'!$D:$D,'Modelling New'!$AH:$AH),"")</f>
        <v>0.97</v>
      </c>
      <c r="D27" s="65">
        <f>AnnualKPI!N4</f>
        <v>0.98484246020808863</v>
      </c>
      <c r="E27" s="54">
        <f t="shared" si="3"/>
        <v>1.5301505369163566E-2</v>
      </c>
      <c r="F27" s="195"/>
    </row>
    <row r="28" spans="1:6">
      <c r="A28" s="368">
        <v>7</v>
      </c>
      <c r="B28" s="44" t="s">
        <v>32</v>
      </c>
      <c r="C28" s="60">
        <f>IFERROR(_xlfn.XLOOKUP($B$3,'Modelling New'!$D:$D,'Modelling New'!$W:$W),"")</f>
        <v>0.62587032301700574</v>
      </c>
      <c r="D28" s="61">
        <f>IFERROR(_xlfn.XLOOKUP($B$4,'Daily KPI'!$A:$A,'Daily KPI'!$W:$W),"")</f>
        <v>0.27626361268939392</v>
      </c>
      <c r="E28" s="46">
        <f t="shared" ref="E28:E39" si="4">(D28-C28)/(C28)</f>
        <v>-0.5585928865301264</v>
      </c>
      <c r="F28" s="193"/>
    </row>
    <row r="29" spans="1:6">
      <c r="A29" s="369"/>
      <c r="B29" s="47" t="s">
        <v>33</v>
      </c>
      <c r="C29" s="62">
        <f>MonthlyKPI!$G$4</f>
        <v>0.62587032301700574</v>
      </c>
      <c r="D29" s="63">
        <f>MonthlyKPI!$H$4</f>
        <v>0.35582356770833329</v>
      </c>
      <c r="E29" s="50">
        <f t="shared" si="4"/>
        <v>-0.4314739737249611</v>
      </c>
      <c r="F29" s="194"/>
    </row>
    <row r="30" spans="1:6" ht="15.75" thickBot="1">
      <c r="A30" s="370"/>
      <c r="B30" s="51" t="s">
        <v>34</v>
      </c>
      <c r="C30" s="64">
        <f>AnnualKPI!$G$4</f>
        <v>0.30285659986654656</v>
      </c>
      <c r="D30" s="65">
        <f>AnnualKPI!$H$4</f>
        <v>0.38573011172715049</v>
      </c>
      <c r="E30" s="54">
        <f t="shared" si="4"/>
        <v>0.27363944486308722</v>
      </c>
      <c r="F30" s="195"/>
    </row>
    <row r="31" spans="1:6">
      <c r="A31" s="368">
        <v>8</v>
      </c>
      <c r="B31" s="44" t="s">
        <v>35</v>
      </c>
      <c r="C31" s="63">
        <f>_xlfn.XLOOKUP($B$3,'Modelling New'!$D:$D,'Modelling New'!AK:AK)</f>
        <v>0.05</v>
      </c>
      <c r="D31" s="61">
        <f>_xlfn.XLOOKUP($B$4,'Daily KPI'!$A:$A,'Daily KPI'!$AN:$AN)</f>
        <v>0</v>
      </c>
      <c r="E31" s="46">
        <f>-(D31-C31)/(C31)</f>
        <v>1</v>
      </c>
      <c r="F31" s="193"/>
    </row>
    <row r="32" spans="1:6">
      <c r="A32" s="369"/>
      <c r="B32" s="47" t="s">
        <v>36</v>
      </c>
      <c r="C32" s="63">
        <f>_xlfn.XLOOKUP($B$3,'Modelling New'!$D:$D,'Modelling New'!AK:AK)</f>
        <v>0.05</v>
      </c>
      <c r="D32" s="63">
        <f>MonthlyKPI!$U$4</f>
        <v>0</v>
      </c>
      <c r="E32" s="50">
        <f t="shared" ref="E32:E33" si="5">-(D32-C32)/(C32)</f>
        <v>1</v>
      </c>
      <c r="F32" s="194"/>
    </row>
    <row r="33" spans="1:6" ht="15.75" thickBot="1">
      <c r="A33" s="370"/>
      <c r="B33" s="51" t="s">
        <v>37</v>
      </c>
      <c r="C33" s="63">
        <f>_xlfn.XLOOKUP($B$3,'Modelling New'!$D:$D,'Modelling New'!AK:AK)</f>
        <v>0.05</v>
      </c>
      <c r="D33" s="65">
        <f>AnnualKPI!$R$4</f>
        <v>1.2534776084477573E-17</v>
      </c>
      <c r="E33" s="54">
        <f t="shared" si="5"/>
        <v>0.99999999999999978</v>
      </c>
      <c r="F33" s="195"/>
    </row>
    <row r="34" spans="1:6">
      <c r="A34" s="368">
        <v>9</v>
      </c>
      <c r="B34" s="44" t="s">
        <v>38</v>
      </c>
      <c r="C34" s="61">
        <f>_xlfn.XLOOKUP(B4,'Daily KPI'!$A:$A,'Daily KPI'!AQ:AQ)</f>
        <v>0.05</v>
      </c>
      <c r="D34" s="187">
        <f>_xlfn.XLOOKUP($B$4,'Daily KPI'!$A:$A,'Daily KPI'!$AO:$AO)</f>
        <v>1.837300069626694E-4</v>
      </c>
      <c r="E34" s="46">
        <f>-(D34-C34)/(C34)</f>
        <v>0.99632539986074664</v>
      </c>
      <c r="F34" s="193"/>
    </row>
    <row r="35" spans="1:6">
      <c r="A35" s="369"/>
      <c r="B35" s="47" t="s">
        <v>39</v>
      </c>
      <c r="C35" s="63">
        <f>_xlfn.XLOOKUP($B$3,'Modelling New'!$D:$D,'Modelling New'!$AL:$AL)</f>
        <v>0.05</v>
      </c>
      <c r="D35" s="188">
        <f>MonthlyKPI!$V$4</f>
        <v>1.8312401499174396E-4</v>
      </c>
      <c r="E35" s="50">
        <f>-(D35-C35)/(C35)</f>
        <v>0.99633751970016515</v>
      </c>
      <c r="F35" s="194"/>
    </row>
    <row r="36" spans="1:6" ht="15.75" thickBot="1">
      <c r="A36" s="370"/>
      <c r="B36" s="51" t="s">
        <v>40</v>
      </c>
      <c r="C36" s="63">
        <f>_xlfn.XLOOKUP($B$3,'Modelling New'!$D:$D,'Modelling New'!$AL:$AL)</f>
        <v>0.05</v>
      </c>
      <c r="D36" s="189">
        <f>AnnualKPI!$S$4</f>
        <v>1.6297160512984021E-4</v>
      </c>
      <c r="E36" s="54">
        <f>-(D36-C36)/(C36)</f>
        <v>0.99674056789740317</v>
      </c>
      <c r="F36" s="195"/>
    </row>
    <row r="37" spans="1:6">
      <c r="A37" s="368">
        <v>10</v>
      </c>
      <c r="B37" s="44" t="s">
        <v>41</v>
      </c>
      <c r="C37" s="45">
        <f>_xlfn.XLOOKUP($B$4,'Daily KPI'!$A:$A,'Daily KPI'!$AI:$AI)</f>
        <v>416.51</v>
      </c>
      <c r="D37" s="45">
        <f>IFERROR(_xlfn.XLOOKUP($B$4,'Daily KPI'!$A:$A,'Daily KPI'!$X:$X)/1000,"")</f>
        <v>466.77499999999998</v>
      </c>
      <c r="E37" s="46">
        <f t="shared" si="4"/>
        <v>0.12068137619745022</v>
      </c>
      <c r="F37" s="193"/>
    </row>
    <row r="38" spans="1:6">
      <c r="A38" s="369"/>
      <c r="B38" s="47" t="s">
        <v>42</v>
      </c>
      <c r="C38" s="48">
        <f>MonthlyKPI!$T$4</f>
        <v>1081.6100000000001</v>
      </c>
      <c r="D38" s="48">
        <f>IFERROR(SUMIF('Daily KPI'!$D:$D,O2Summary!$B$3,'Daily KPI'!$X:$X)/1000,"")</f>
        <v>1202.3989999999999</v>
      </c>
      <c r="E38" s="50">
        <f t="shared" si="4"/>
        <v>0.11167518791431269</v>
      </c>
      <c r="F38" s="194"/>
    </row>
    <row r="39" spans="1:6" ht="15.75" thickBot="1">
      <c r="A39" s="370"/>
      <c r="B39" s="51" t="s">
        <v>43</v>
      </c>
      <c r="C39" s="52">
        <f>AnnualKPI!$Q$4</f>
        <v>80764.02</v>
      </c>
      <c r="D39" s="52">
        <f>IFERROR(SUMIFS('Daily KPI'!$X:$X,'Daily KPI'!$A:$A,"&gt;="&amp;O2Summary!$B$6,'Daily KPI'!$A:$A,"&lt;="&amp;O2Summary!$B$4)/1000,"")</f>
        <v>80814.47</v>
      </c>
      <c r="E39" s="54">
        <f t="shared" si="4"/>
        <v>6.2465934707060257E-4</v>
      </c>
      <c r="F39" s="195"/>
    </row>
    <row r="483" spans="2:2">
      <c r="B483" s="97" t="s">
        <v>44</v>
      </c>
    </row>
  </sheetData>
  <sheetProtection algorithmName="SHA-512" hashValue="JJvkr5Nbvm5hlzA0xpwQjEhAMPvTOS0VGnnKXeSpbMg3kJF4fg8V/dkpnaguVk5LWKkHgP9HEsUtkpg0sg1IRA==" saltValue="hkaHKu9KbNk9SfgWPe2zCw==" spinCount="100000" sheet="1" objects="1" scenarios="1"/>
  <protectedRanges>
    <protectedRange sqref="A6:B6" name="Range1_1"/>
    <protectedRange sqref="B3:B4" name="Range1_1_2"/>
  </protectedRanges>
  <mergeCells count="11">
    <mergeCell ref="A19:A21"/>
    <mergeCell ref="A2:F2"/>
    <mergeCell ref="A10:A12"/>
    <mergeCell ref="A13:A15"/>
    <mergeCell ref="A16:A18"/>
    <mergeCell ref="A31:A33"/>
    <mergeCell ref="A34:A36"/>
    <mergeCell ref="A37:A39"/>
    <mergeCell ref="A22:A24"/>
    <mergeCell ref="A28:A30"/>
    <mergeCell ref="A25:A27"/>
  </mergeCells>
  <conditionalFormatting sqref="E10:E12">
    <cfRule type="iconSet" priority="7">
      <iconSet iconSet="3Arrows">
        <cfvo type="percent" val="0"/>
        <cfvo type="num" val="-5.0000000000000001E-3"/>
        <cfvo type="num" val="0"/>
      </iconSet>
    </cfRule>
    <cfRule type="dataBar" priority="8">
      <dataBar>
        <cfvo type="min"/>
        <cfvo type="max"/>
        <color theme="4" tint="0.79998168889431442"/>
      </dataBar>
      <extLst>
        <ext xmlns:x14="http://schemas.microsoft.com/office/spreadsheetml/2009/9/main" uri="{B025F937-C7B1-47D3-B67F-A62EFF666E3E}">
          <x14:id>{CADE7444-D02D-4622-B7D0-AD5CC47FFFEF}</x14:id>
        </ext>
      </extLst>
    </cfRule>
  </conditionalFormatting>
  <conditionalFormatting sqref="E13:E18">
    <cfRule type="iconSet" priority="5">
      <iconSet iconSet="3Arrows">
        <cfvo type="percent" val="0"/>
        <cfvo type="num" val="-5.0000000000000001E-3"/>
        <cfvo type="num" val="0"/>
      </iconSet>
    </cfRule>
    <cfRule type="dataBar" priority="6">
      <dataBar>
        <cfvo type="min"/>
        <cfvo type="max"/>
        <color theme="4" tint="0.79998168889431442"/>
      </dataBar>
      <extLst>
        <ext xmlns:x14="http://schemas.microsoft.com/office/spreadsheetml/2009/9/main" uri="{B025F937-C7B1-47D3-B67F-A62EFF666E3E}">
          <x14:id>{D414FD47-2CFC-4B26-BDB5-324AD373DEBD}</x14:id>
        </ext>
      </extLst>
    </cfRule>
  </conditionalFormatting>
  <conditionalFormatting sqref="E19:E30 E37:E39">
    <cfRule type="iconSet" priority="3">
      <iconSet iconSet="3Arrows">
        <cfvo type="percent" val="0"/>
        <cfvo type="num" val="-5.0000000000000001E-3"/>
        <cfvo type="num" val="0"/>
      </iconSet>
    </cfRule>
    <cfRule type="dataBar" priority="4">
      <dataBar>
        <cfvo type="min"/>
        <cfvo type="max"/>
        <color theme="4" tint="0.79998168889431442"/>
      </dataBar>
      <extLst>
        <ext xmlns:x14="http://schemas.microsoft.com/office/spreadsheetml/2009/9/main" uri="{B025F937-C7B1-47D3-B67F-A62EFF666E3E}">
          <x14:id>{41790690-E845-46F0-B02B-ADAC291B6E01}</x14:id>
        </ext>
      </extLst>
    </cfRule>
  </conditionalFormatting>
  <conditionalFormatting sqref="E31:E36">
    <cfRule type="iconSet" priority="1">
      <iconSet iconSet="3Arrows">
        <cfvo type="percent" val="0"/>
        <cfvo type="num" val="-5.0000000000000001E-3"/>
        <cfvo type="num" val="0"/>
      </iconSet>
    </cfRule>
    <cfRule type="dataBar" priority="2">
      <dataBar>
        <cfvo type="min"/>
        <cfvo type="max"/>
        <color theme="4" tint="0.79998168889431442"/>
      </dataBar>
      <extLst>
        <ext xmlns:x14="http://schemas.microsoft.com/office/spreadsheetml/2009/9/main" uri="{B025F937-C7B1-47D3-B67F-A62EFF666E3E}">
          <x14:id>{1C33FC65-3E88-4DEA-BB02-5B0089AA4F4A}</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CADE7444-D02D-4622-B7D0-AD5CC47FFFEF}">
            <x14:dataBar minLength="0" maxLength="100" border="1" negativeBarBorderColorSameAsPositive="0">
              <x14:cfvo type="autoMin"/>
              <x14:cfvo type="autoMax"/>
              <x14:borderColor theme="4" tint="0.79998168889431442"/>
              <x14:negativeFillColor theme="5" tint="0.79998168889431442"/>
              <x14:negativeBorderColor theme="5" tint="0.79998168889431442"/>
              <x14:axisColor rgb="FF000000"/>
            </x14:dataBar>
          </x14:cfRule>
          <xm:sqref>E10:E12</xm:sqref>
        </x14:conditionalFormatting>
        <x14:conditionalFormatting xmlns:xm="http://schemas.microsoft.com/office/excel/2006/main">
          <x14:cfRule type="dataBar" id="{D414FD47-2CFC-4B26-BDB5-324AD373DEBD}">
            <x14:dataBar minLength="0" maxLength="100" border="1" negativeBarBorderColorSameAsPositive="0">
              <x14:cfvo type="autoMin"/>
              <x14:cfvo type="autoMax"/>
              <x14:borderColor theme="4" tint="0.79998168889431442"/>
              <x14:negativeFillColor theme="5" tint="0.79998168889431442"/>
              <x14:negativeBorderColor theme="5" tint="0.79998168889431442"/>
              <x14:axisColor rgb="FF000000"/>
            </x14:dataBar>
          </x14:cfRule>
          <xm:sqref>E13:E18</xm:sqref>
        </x14:conditionalFormatting>
        <x14:conditionalFormatting xmlns:xm="http://schemas.microsoft.com/office/excel/2006/main">
          <x14:cfRule type="dataBar" id="{41790690-E845-46F0-B02B-ADAC291B6E01}">
            <x14:dataBar minLength="0" maxLength="100" border="1" negativeBarBorderColorSameAsPositive="0">
              <x14:cfvo type="autoMin"/>
              <x14:cfvo type="autoMax"/>
              <x14:borderColor theme="4" tint="0.79998168889431442"/>
              <x14:negativeFillColor theme="5" tint="0.79998168889431442"/>
              <x14:negativeBorderColor theme="5" tint="0.79998168889431442"/>
              <x14:axisColor rgb="FF000000"/>
            </x14:dataBar>
          </x14:cfRule>
          <xm:sqref>E19:E30 E37:E39</xm:sqref>
        </x14:conditionalFormatting>
        <x14:conditionalFormatting xmlns:xm="http://schemas.microsoft.com/office/excel/2006/main">
          <x14:cfRule type="dataBar" id="{1C33FC65-3E88-4DEA-BB02-5B0089AA4F4A}">
            <x14:dataBar minLength="0" maxLength="100" border="1" negativeBarBorderColorSameAsPositive="0">
              <x14:cfvo type="autoMin"/>
              <x14:cfvo type="autoMax"/>
              <x14:borderColor theme="4" tint="0.79998168889431442"/>
              <x14:negativeFillColor theme="5" tint="0.79998168889431442"/>
              <x14:negativeBorderColor theme="5" tint="0.79998168889431442"/>
              <x14:axisColor rgb="FF000000"/>
            </x14:dataBar>
          </x14:cfRule>
          <xm:sqref>E31:E36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8"/>
  <sheetViews>
    <sheetView zoomScale="80" zoomScaleNormal="80" workbookViewId="0">
      <selection activeCell="F20" sqref="F20"/>
    </sheetView>
  </sheetViews>
  <sheetFormatPr defaultColWidth="8.5703125" defaultRowHeight="29.1" customHeight="1"/>
  <cols>
    <col min="1" max="1" width="40.42578125" bestFit="1" customWidth="1"/>
    <col min="2" max="2" width="19.5703125" bestFit="1" customWidth="1"/>
    <col min="3" max="3" width="15.42578125" bestFit="1" customWidth="1"/>
    <col min="4" max="4" width="12" customWidth="1"/>
    <col min="5" max="5" width="14.5703125" customWidth="1"/>
    <col min="6" max="16" width="12.42578125" customWidth="1"/>
    <col min="17" max="17" width="12" customWidth="1"/>
    <col min="18" max="18" width="13" bestFit="1" customWidth="1"/>
  </cols>
  <sheetData>
    <row r="1" spans="1:22" ht="29.1" customHeight="1">
      <c r="A1" s="20" t="s">
        <v>45</v>
      </c>
      <c r="B1" s="21">
        <f>O2Summary!B4</f>
        <v>45871</v>
      </c>
      <c r="C1" s="22">
        <v>0</v>
      </c>
      <c r="D1" s="22">
        <v>0</v>
      </c>
      <c r="E1" s="22">
        <v>0</v>
      </c>
      <c r="F1" s="22">
        <v>0</v>
      </c>
    </row>
    <row r="2" spans="1:22" ht="29.1" customHeight="1">
      <c r="A2" s="377" t="s">
        <v>66</v>
      </c>
      <c r="B2" s="378"/>
      <c r="C2" s="378"/>
      <c r="D2" s="378"/>
      <c r="E2" s="378"/>
      <c r="F2" s="378"/>
      <c r="G2" s="378"/>
      <c r="H2" s="378"/>
      <c r="I2" s="378"/>
      <c r="J2" s="378"/>
      <c r="K2" s="378"/>
      <c r="L2" s="378"/>
      <c r="M2" s="378"/>
      <c r="N2" s="378"/>
      <c r="O2" s="378"/>
      <c r="P2" s="378"/>
      <c r="Q2" s="378"/>
      <c r="R2" s="378"/>
    </row>
    <row r="3" spans="1:22" ht="29.1" customHeight="1">
      <c r="A3" s="164" t="s">
        <v>47</v>
      </c>
      <c r="B3" s="164" t="s">
        <v>48</v>
      </c>
      <c r="C3" s="155" t="s">
        <v>49</v>
      </c>
      <c r="D3" s="155" t="s">
        <v>50</v>
      </c>
      <c r="E3" s="155" t="s">
        <v>51</v>
      </c>
      <c r="F3" s="155" t="s">
        <v>52</v>
      </c>
      <c r="G3" s="155" t="s">
        <v>53</v>
      </c>
      <c r="H3" s="155" t="s">
        <v>54</v>
      </c>
      <c r="I3" s="155" t="s">
        <v>55</v>
      </c>
      <c r="J3" s="155" t="s">
        <v>56</v>
      </c>
      <c r="K3" s="155" t="s">
        <v>57</v>
      </c>
      <c r="L3" s="155" t="s">
        <v>58</v>
      </c>
      <c r="M3" s="155" t="s">
        <v>67</v>
      </c>
      <c r="N3" s="155" t="s">
        <v>60</v>
      </c>
      <c r="O3" s="155" t="s">
        <v>61</v>
      </c>
      <c r="P3" s="155" t="s">
        <v>62</v>
      </c>
      <c r="Q3" s="155" t="s">
        <v>68</v>
      </c>
      <c r="R3" s="155" t="s">
        <v>69</v>
      </c>
      <c r="S3" s="101" t="s">
        <v>70</v>
      </c>
      <c r="T3" s="101" t="s">
        <v>63</v>
      </c>
      <c r="U3" s="101" t="s">
        <v>64</v>
      </c>
      <c r="V3" s="101" t="s">
        <v>65</v>
      </c>
    </row>
    <row r="4" spans="1:22" s="23" customFormat="1" ht="29.1" customHeight="1">
      <c r="A4" s="153">
        <f>O2Summary!B3</f>
        <v>45870</v>
      </c>
      <c r="B4" s="157">
        <f>DAY(B1)</f>
        <v>2</v>
      </c>
      <c r="C4" s="158">
        <f>IFERROR(_xlfn.XLOOKUP($A$4,'Modelling New'!$D:$D,'Modelling New'!$J:$J),"")</f>
        <v>9.1</v>
      </c>
      <c r="D4" s="159">
        <f>IFERROR(AVERAGEIF('Daily KPI'!$D:$D,$A$4,'Daily KPI'!$M:$M),"")</f>
        <v>7.0390909090909091</v>
      </c>
      <c r="E4" s="157">
        <f>IFERROR(_xlfn.XLOOKUP($A$4,'Modelling New'!$D:$D,'Modelling New'!$U:$U),"")</f>
        <v>2114.9409955390661</v>
      </c>
      <c r="F4" s="160">
        <f>IFERROR(SUMIFS('Daily KPI'!$AA:$AA,'Daily KPI'!$D:$D,$A$4)/1000,"")</f>
        <v>1202.3989999999999</v>
      </c>
      <c r="G4" s="161">
        <f>IFERROR(_xlfn.XLOOKUP($A$4,'Modelling New'!$D:$D,'Modelling New'!X:X),"")</f>
        <v>0.62587032301700574</v>
      </c>
      <c r="H4" s="162">
        <f>F4/(24*B4*'Basic Data'!$L$2)</f>
        <v>0.35582356770833329</v>
      </c>
      <c r="I4" s="161">
        <f>IFERROR(_xlfn.XLOOKUP($A$4,'Modelling New'!$D:$D,'Modelling New'!AF:AF),"")</f>
        <v>0.995</v>
      </c>
      <c r="J4" s="162">
        <f>IFERROR(AVERAGEIFS('Daily KPI'!$R:$R,'Daily KPI'!$A:$A,"&lt;="&amp;MonthlyKPI!$B$1,'Daily KPI'!$D:$D,$A$4),"")</f>
        <v>1</v>
      </c>
      <c r="K4" s="161">
        <f>IFERROR(_xlfn.XLOOKUP($A$4,'Modelling New'!$D:$D,'Modelling New'!$AH:$AH),"")</f>
        <v>0.97</v>
      </c>
      <c r="L4" s="162">
        <f>IFERROR(AVERAGEIFS('Daily KPI'!$P:$P,'Daily KPI'!$A:$A,"&lt;="&amp;MonthlyKPI!$B$1,'Daily KPI'!$D:$D,$A$4),"")</f>
        <v>0.99856869330001463</v>
      </c>
      <c r="M4" s="161">
        <f>IFERROR(_xlfn.XLOOKUP($A$4,'Modelling New'!$D:$D,'Modelling New'!$AI:$AI),"")</f>
        <v>0.99</v>
      </c>
      <c r="N4" s="162">
        <f>IFERROR(AVERAGEIFS('Daily KPI'!$Q:$Q,'Daily KPI'!$A:$A,"&lt;="&amp;MonthlyKPI!$B$1,'Daily KPI'!$D:$D,$A$4),"")</f>
        <v>1</v>
      </c>
      <c r="O4" s="161">
        <f>IFERROR(_xlfn.XLOOKUP($A$4,'Modelling New'!$D:$D,'Modelling New'!$AE:$AE),"")</f>
        <v>0.96029999999999993</v>
      </c>
      <c r="P4" s="163">
        <f>L4*N4</f>
        <v>0.99856869330001463</v>
      </c>
      <c r="Q4" s="157">
        <f>SUMIFS('Daily KPI'!$X:$X,'Daily KPI'!$D:$D,$A$4)/1000</f>
        <v>1202.3989999999999</v>
      </c>
      <c r="R4" s="163">
        <f>Q4/F4-1</f>
        <v>0</v>
      </c>
      <c r="S4" s="157">
        <f>SUMIFS(Input_Raw!DP:DP,Input_Raw!A:A,"&gt;="&amp;A4,Input_Raw!A:A,"&lt;="&amp;B1)</f>
        <v>1081.6100000000001</v>
      </c>
      <c r="T4" s="160">
        <f>SUMIFS('Daily KPI'!$AI:$AI,'Daily KPI'!$D:$D,$A$4)</f>
        <v>1081.6100000000001</v>
      </c>
      <c r="U4" s="162">
        <f>AVERAGEIFS('Daily KPI'!$AN:$AN,'Daily KPI'!$A:$A,"&lt;="&amp;MonthlyKPI!$B$1,'Daily KPI'!$D:$D,$A$4)</f>
        <v>0</v>
      </c>
      <c r="V4" s="162">
        <f>AVERAGEIFS('Daily KPI'!$AO:$AO,'Daily KPI'!$A:$A,"&lt;="&amp;MonthlyKPI!$B$1,'Daily KPI'!$D:$D,$A$4)</f>
        <v>1.8312401499174396E-4</v>
      </c>
    </row>
    <row r="6" spans="1:22" ht="29.1" customHeight="1">
      <c r="Q6" s="3"/>
    </row>
    <row r="7" spans="1:22" ht="29.1" customHeight="1">
      <c r="A7" s="20" t="s">
        <v>71</v>
      </c>
      <c r="B7" s="21">
        <f>B8-6</f>
        <v>45865</v>
      </c>
      <c r="D7" s="24"/>
      <c r="F7" s="24"/>
    </row>
    <row r="8" spans="1:22" ht="29.1" customHeight="1">
      <c r="A8" s="20" t="s">
        <v>72</v>
      </c>
      <c r="B8" s="21">
        <f>B1</f>
        <v>45871</v>
      </c>
    </row>
    <row r="9" spans="1:22" ht="29.1" customHeight="1">
      <c r="A9" s="377" t="s">
        <v>73</v>
      </c>
      <c r="B9" s="378"/>
      <c r="C9" s="378"/>
      <c r="D9" s="378"/>
      <c r="E9" s="378"/>
      <c r="F9" s="378"/>
      <c r="G9" s="378"/>
      <c r="H9" s="378"/>
      <c r="I9" s="378"/>
      <c r="J9" s="378"/>
      <c r="K9" s="378"/>
      <c r="L9" s="378"/>
      <c r="M9" s="378"/>
      <c r="N9" s="378"/>
      <c r="O9" s="378"/>
      <c r="P9" s="378"/>
    </row>
    <row r="10" spans="1:22" ht="29.1" customHeight="1">
      <c r="A10" s="164" t="s">
        <v>47</v>
      </c>
      <c r="B10" s="164" t="s">
        <v>48</v>
      </c>
      <c r="C10" s="155" t="s">
        <v>49</v>
      </c>
      <c r="D10" s="155" t="s">
        <v>50</v>
      </c>
      <c r="E10" s="155" t="s">
        <v>51</v>
      </c>
      <c r="F10" s="155" t="s">
        <v>52</v>
      </c>
      <c r="G10" s="155" t="s">
        <v>53</v>
      </c>
      <c r="H10" s="155" t="s">
        <v>54</v>
      </c>
      <c r="I10" s="155" t="s">
        <v>55</v>
      </c>
      <c r="J10" s="155" t="s">
        <v>56</v>
      </c>
      <c r="K10" s="155" t="s">
        <v>57</v>
      </c>
      <c r="L10" s="155" t="s">
        <v>58</v>
      </c>
      <c r="M10" s="155" t="s">
        <v>67</v>
      </c>
      <c r="N10" s="155" t="s">
        <v>60</v>
      </c>
      <c r="O10" s="155" t="s">
        <v>61</v>
      </c>
      <c r="P10" s="155" t="s">
        <v>62</v>
      </c>
      <c r="Q10" s="101" t="s">
        <v>70</v>
      </c>
    </row>
    <row r="11" spans="1:22" s="23" customFormat="1" ht="29.1" customHeight="1">
      <c r="A11" s="153">
        <f>A4</f>
        <v>45870</v>
      </c>
      <c r="B11" s="157">
        <f>(B8-B7)+1</f>
        <v>7</v>
      </c>
      <c r="C11" s="158">
        <f>IFERROR(_xlfn.XLOOKUP($A$11,'Modelling New'!$D:$D,'Modelling New'!$J:$J),"")</f>
        <v>9.1</v>
      </c>
      <c r="D11" s="159">
        <f>AVERAGEIFS('Daily KPI'!$M:$M,'Daily KPI'!$A:$A,"&gt;="&amp;$B$7,'Daily KPI'!$A:$A,"&lt;="&amp;$B$8)</f>
        <v>11.111006493506494</v>
      </c>
      <c r="E11" s="157">
        <f>SUMIFS('Daily KPI'!$AD:$AD,'Daily KPI'!$A:$A,"&gt;="&amp;$B$7,'Daily KPI'!$A:$A,"&lt;="&amp;$B$8)/1000</f>
        <v>6639.4110064138476</v>
      </c>
      <c r="F11" s="160">
        <f>SUMIFS('Daily KPI'!$AA:$AA,'Daily KPI'!$A:$A,"&gt;="&amp;$B$7,'Daily KPI'!$A:$A,"&lt;="&amp;$B$8)/1000</f>
        <v>8934.0329999999994</v>
      </c>
      <c r="G11" s="161">
        <f>E11/(24*$B$11*'Basic Data'!$L$2)</f>
        <v>0.56136794900008857</v>
      </c>
      <c r="H11" s="162">
        <f>F11/(24*B11*'Basic Data'!$L$2)</f>
        <v>0.75538022524350645</v>
      </c>
      <c r="I11" s="161">
        <f>IFERROR(_xlfn.XLOOKUP($A$11,'Modelling New'!$D:$D,'Modelling New'!AF:AF),"")</f>
        <v>0.995</v>
      </c>
      <c r="J11" s="162">
        <f>IFERROR(AVERAGEIFS('Daily KPI'!$R:$R,'Daily KPI'!$A:$A,"&gt;="&amp;$B$7,'Daily KPI'!$A:$A,"&lt;="&amp;$B$8),"")</f>
        <v>1</v>
      </c>
      <c r="K11" s="161">
        <f>IFERROR(_xlfn.XLOOKUP($A$11,'Modelling New'!$D:$D,'Modelling New'!$AH:$AH),"")</f>
        <v>0.97</v>
      </c>
      <c r="L11" s="162">
        <f>IFERROR(AVERAGEIFS('Daily KPI'!$P:$P,'Daily KPI'!$A:$A,"&gt;="&amp;$B$7,'Daily KPI'!$A:$A,"&lt;="&amp;$B$8),"")</f>
        <v>0.98830879550710438</v>
      </c>
      <c r="M11" s="161">
        <f>IFERROR(_xlfn.XLOOKUP($A$11,'Modelling New'!$D:$D,'Modelling New'!$AI:$AI),"")</f>
        <v>0.99</v>
      </c>
      <c r="N11" s="162">
        <f>IFERROR(AVERAGEIFS('Daily KPI'!$Q:$Q,'Daily KPI'!$A:$A,"&gt;="&amp;$B$7,'Daily KPI'!$A:$A,"&lt;="&amp;$B$8),"")</f>
        <v>0.99966340309782076</v>
      </c>
      <c r="O11" s="161">
        <f>IFERROR(_xlfn.XLOOKUP($A$11,'Modelling New'!$D:$D,'Modelling New'!$AE:$AE),"")</f>
        <v>0.96029999999999993</v>
      </c>
      <c r="P11" s="163">
        <f>L11*N11</f>
        <v>0.9879761338281402</v>
      </c>
      <c r="Q11" s="157">
        <f>SUMIFS(Input_Raw!DP:DP,Input_Raw!A:A,"&gt;="&amp;B7,Input_Raw!A:A,"&lt;="&amp;B8)</f>
        <v>9005.3900000000012</v>
      </c>
      <c r="R11"/>
    </row>
    <row r="14" spans="1:22" ht="29.1" customHeight="1">
      <c r="A14" s="20" t="s">
        <v>71</v>
      </c>
      <c r="B14" s="21">
        <f>B15-29</f>
        <v>45842</v>
      </c>
      <c r="D14" s="24"/>
      <c r="F14" s="24"/>
    </row>
    <row r="15" spans="1:22" ht="29.1" customHeight="1">
      <c r="A15" s="20" t="s">
        <v>72</v>
      </c>
      <c r="B15" s="21">
        <f>B8</f>
        <v>45871</v>
      </c>
    </row>
    <row r="16" spans="1:22" ht="29.1" customHeight="1">
      <c r="A16" s="377" t="s">
        <v>74</v>
      </c>
      <c r="B16" s="378"/>
      <c r="C16" s="378"/>
      <c r="D16" s="378"/>
      <c r="E16" s="378"/>
      <c r="F16" s="378"/>
      <c r="G16" s="378"/>
      <c r="H16" s="378"/>
      <c r="I16" s="378"/>
      <c r="J16" s="378"/>
      <c r="K16" s="378"/>
      <c r="L16" s="378"/>
      <c r="M16" s="378"/>
      <c r="N16" s="378"/>
      <c r="O16" s="378"/>
      <c r="P16" s="378"/>
    </row>
    <row r="17" spans="1:18" ht="29.1" customHeight="1">
      <c r="A17" s="164" t="s">
        <v>47</v>
      </c>
      <c r="B17" s="164" t="s">
        <v>48</v>
      </c>
      <c r="C17" s="155" t="s">
        <v>49</v>
      </c>
      <c r="D17" s="155" t="s">
        <v>50</v>
      </c>
      <c r="E17" s="155" t="s">
        <v>51</v>
      </c>
      <c r="F17" s="155" t="s">
        <v>52</v>
      </c>
      <c r="G17" s="155" t="s">
        <v>53</v>
      </c>
      <c r="H17" s="155" t="s">
        <v>54</v>
      </c>
      <c r="I17" s="155" t="s">
        <v>55</v>
      </c>
      <c r="J17" s="155" t="s">
        <v>56</v>
      </c>
      <c r="K17" s="155" t="s">
        <v>57</v>
      </c>
      <c r="L17" s="155" t="s">
        <v>58</v>
      </c>
      <c r="M17" s="155" t="s">
        <v>67</v>
      </c>
      <c r="N17" s="155" t="s">
        <v>60</v>
      </c>
      <c r="O17" s="155" t="s">
        <v>61</v>
      </c>
      <c r="P17" s="155" t="s">
        <v>62</v>
      </c>
    </row>
    <row r="18" spans="1:18" s="23" customFormat="1" ht="29.1" customHeight="1">
      <c r="A18" s="153">
        <f>A11</f>
        <v>45870</v>
      </c>
      <c r="B18" s="157">
        <f>(B15-B14)+1</f>
        <v>30</v>
      </c>
      <c r="C18" s="158">
        <f>_xlfn.XLOOKUP($A$18,'Modelling New'!$D:$D,'Modelling New'!$AC:$AC)</f>
        <v>9.4530328665332952</v>
      </c>
      <c r="D18" s="159">
        <f>AVERAGEIFS('Daily KPI'!$M:$M,'Daily KPI'!$A:$A,"&gt;="&amp;$B$14,'Daily KPI'!$A:$A,"&lt;="&amp;$B$15)</f>
        <v>9.5638939393939388</v>
      </c>
      <c r="E18" s="157">
        <f>SUMIFS('Daily KPI'!$AD:$AD,'Daily KPI'!$A:$A,"&gt;="&amp;$B$14,'Daily KPI'!$A:$A,"&lt;="&amp;$B$15)/1000</f>
        <v>27451.973056437841</v>
      </c>
      <c r="F18" s="160">
        <f>SUMIFS('Daily KPI'!$AA:$AA,'Daily KPI'!$A:$A,"&gt;="&amp;$B$14,'Daily KPI'!$A:$A,"&lt;="&amp;$B$15)/1000</f>
        <v>30955.576000000001</v>
      </c>
      <c r="G18" s="161">
        <f>E18/(24*$B$18*'Basic Data'!$L$2)</f>
        <v>0.54158722096823386</v>
      </c>
      <c r="H18" s="162">
        <f>F18/(24*B18*'Basic Data'!$L$2)</f>
        <v>0.61070817550505041</v>
      </c>
      <c r="I18" s="161">
        <v>0.997</v>
      </c>
      <c r="J18" s="162">
        <f>AVERAGEIFS('Daily KPI'!$AH:$AH,'Daily KPI'!$A:$A,"&gt;="&amp;$B$14,'Daily KPI'!$A:$A,"&lt;="&amp;$B$15)</f>
        <v>0.99500000000000033</v>
      </c>
      <c r="K18" s="161">
        <v>0.98599999999999999</v>
      </c>
      <c r="L18" s="162">
        <f>AVERAGEIFS('Daily KPI'!$P:$P,'Daily KPI'!$A:$A,"&gt;="&amp;$B$14,'Daily KPI'!$A:$A,"&lt;="&amp;$B$15)</f>
        <v>0.99220952636904691</v>
      </c>
      <c r="M18" s="161">
        <v>0.995</v>
      </c>
      <c r="N18" s="162">
        <f>AVERAGEIFS('Daily KPI'!$Q:$Q,'Daily KPI'!$A:$A,"&gt;="&amp;$B$14,'Daily KPI'!$A:$A,"&lt;="&amp;$B$15)</f>
        <v>0.99022387659962285</v>
      </c>
      <c r="O18" s="161">
        <f>K18*M18</f>
        <v>0.98107</v>
      </c>
      <c r="P18" s="163">
        <f>L18*N18</f>
        <v>0.98250956360023334</v>
      </c>
      <c r="Q18"/>
      <c r="R18"/>
    </row>
  </sheetData>
  <sheetProtection algorithmName="SHA-512" hashValue="ol5xbBaJMgyaq5cGXOlCe843kPR3Ehgy+HQWVDUwZH9OyX3YhFvEVlA/412qqP/08otKWVnu7VFNSNRQ9KEbiQ==" saltValue="RSI1svTXobxDYOYJHTlOFw==" spinCount="100000" sheet="1" objects="1" scenarios="1"/>
  <mergeCells count="3">
    <mergeCell ref="A2:R2"/>
    <mergeCell ref="A9:P9"/>
    <mergeCell ref="A16:P1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
  <sheetViews>
    <sheetView workbookViewId="0">
      <selection activeCell="D13" sqref="D13"/>
    </sheetView>
  </sheetViews>
  <sheetFormatPr defaultColWidth="8.5703125" defaultRowHeight="15"/>
  <cols>
    <col min="1" max="1" width="11" customWidth="1"/>
    <col min="2" max="2" width="10.42578125" customWidth="1"/>
    <col min="3" max="5" width="13.42578125" customWidth="1"/>
    <col min="6" max="6" width="14" customWidth="1"/>
    <col min="7" max="7" width="9.5703125" customWidth="1"/>
    <col min="8" max="8" width="10.42578125" customWidth="1"/>
    <col min="10" max="10" width="9.42578125" customWidth="1"/>
    <col min="11" max="11" width="9" customWidth="1"/>
    <col min="12" max="12" width="9.42578125" customWidth="1"/>
    <col min="14" max="14" width="9.42578125" customWidth="1"/>
    <col min="16" max="16" width="10.42578125" customWidth="1"/>
    <col min="19" max="19" width="10.140625" customWidth="1"/>
  </cols>
  <sheetData>
    <row r="1" spans="1:19">
      <c r="A1" s="20" t="s">
        <v>45</v>
      </c>
      <c r="B1" s="21">
        <f>O2Summary!B4</f>
        <v>45871</v>
      </c>
      <c r="C1" s="153">
        <f>O2Summary!B3</f>
        <v>45870</v>
      </c>
    </row>
    <row r="2" spans="1:19" ht="21">
      <c r="A2" s="379" t="s">
        <v>46</v>
      </c>
      <c r="B2" s="380"/>
      <c r="C2" s="380"/>
      <c r="D2" s="380"/>
      <c r="E2" s="380"/>
      <c r="F2" s="380"/>
      <c r="G2" s="380"/>
      <c r="H2" s="380"/>
      <c r="I2" s="380"/>
      <c r="J2" s="380"/>
      <c r="K2" s="380"/>
      <c r="L2" s="380"/>
      <c r="M2" s="380"/>
      <c r="N2" s="380"/>
      <c r="O2" s="380"/>
      <c r="P2" s="380"/>
      <c r="Q2" s="380"/>
      <c r="R2" s="380"/>
      <c r="S2" s="380"/>
    </row>
    <row r="3" spans="1:19" ht="31.35" customHeight="1">
      <c r="A3" s="154" t="s">
        <v>47</v>
      </c>
      <c r="B3" s="154" t="s">
        <v>48</v>
      </c>
      <c r="C3" s="155" t="s">
        <v>49</v>
      </c>
      <c r="D3" s="155" t="s">
        <v>50</v>
      </c>
      <c r="E3" s="155" t="s">
        <v>51</v>
      </c>
      <c r="F3" s="155" t="s">
        <v>52</v>
      </c>
      <c r="G3" s="155" t="s">
        <v>53</v>
      </c>
      <c r="H3" s="155" t="s">
        <v>54</v>
      </c>
      <c r="I3" s="155" t="s">
        <v>55</v>
      </c>
      <c r="J3" s="155" t="s">
        <v>56</v>
      </c>
      <c r="K3" s="155" t="s">
        <v>57</v>
      </c>
      <c r="L3" s="155" t="s">
        <v>58</v>
      </c>
      <c r="M3" s="155" t="s">
        <v>59</v>
      </c>
      <c r="N3" s="155" t="s">
        <v>60</v>
      </c>
      <c r="O3" s="155" t="s">
        <v>61</v>
      </c>
      <c r="P3" s="155" t="s">
        <v>62</v>
      </c>
      <c r="Q3" s="101" t="s">
        <v>63</v>
      </c>
      <c r="R3" s="101" t="s">
        <v>64</v>
      </c>
      <c r="S3" s="101" t="s">
        <v>65</v>
      </c>
    </row>
    <row r="4" spans="1:19" s="23" customFormat="1" ht="15.75" customHeight="1">
      <c r="A4" s="156">
        <f>YEAR(B1)+IF(MONTH(B1)&gt;=4,1,0)</f>
        <v>2026</v>
      </c>
      <c r="B4" s="157">
        <f>($B$1-O2Summary!$B$6)+1</f>
        <v>124</v>
      </c>
      <c r="C4" s="158">
        <f>IFERROR(_xlfn.XLOOKUP($C$1,'Modelling New'!$D:$D,'Modelling New'!$AD:$AD),"")</f>
        <v>6.9174961989139749</v>
      </c>
      <c r="D4" s="159">
        <f>AVERAGEIFS('Daily KPI'!$M:$M,'Daily KPI'!$A:$A,"&gt;="&amp;O2Summary!$B$6,'Daily KPI'!$A:$A,"&lt;="&amp;AnnualKPI!$B$1)</f>
        <v>7.31576246334311</v>
      </c>
      <c r="E4" s="157">
        <f>_xlfn.XLOOKUP($C$1,'Modelling New'!$D:$D,'Modelling New'!$V:$V)</f>
        <v>63451.607380680121</v>
      </c>
      <c r="F4" s="160">
        <f>SUMIFS('Daily KPI'!$AA:$AA,'Daily KPI'!$A:$A,"&gt;="&amp;O2Summary!$B$6,'Daily KPI'!$A:$A,"&lt;="&amp;AnnualKPI!$B$1)/1000</f>
        <v>80814.47</v>
      </c>
      <c r="G4" s="161">
        <f>_xlfn.XLOOKUP($C$1,'Modelling New'!$D:$D,'Modelling New'!$Y:$Y)</f>
        <v>0.30285659986654656</v>
      </c>
      <c r="H4" s="162">
        <f>IFERROR(F4/(B4*24*'Basic Data'!$L$2),"")</f>
        <v>0.38573011172715049</v>
      </c>
      <c r="I4" s="161">
        <f>IFERROR(_xlfn.XLOOKUP($C$1,'Modelling New'!$D:$D,'Modelling New'!AF:AF),"")</f>
        <v>0.995</v>
      </c>
      <c r="J4" s="163">
        <f>AVERAGEIFS('Daily KPI'!$R:$R,'Daily KPI'!$A:$A,"&gt;="&amp;O2Summary!$B$6,'Daily KPI'!$A:$A,"&lt;="&amp;AnnualKPI!$B$1)</f>
        <v>0.99446009734469287</v>
      </c>
      <c r="K4" s="161">
        <f>IFERROR(_xlfn.XLOOKUP($C$1,'Modelling New'!$D:$D,'Modelling New'!$AH:$AH),"")</f>
        <v>0.97</v>
      </c>
      <c r="L4" s="163">
        <f>AVERAGEIFS('Daily KPI'!$P:$P,'Daily KPI'!$A:$A,"&gt;="&amp;O2Summary!$B$6,'Daily KPI'!$A:$A,"&lt;="&amp;AnnualKPI!$B$1)</f>
        <v>0.99033908523170555</v>
      </c>
      <c r="M4" s="161">
        <f>IFERROR(_xlfn.XLOOKUP($C$1,'Modelling New'!$D:$D,'Modelling New'!$AI:$AI),"")</f>
        <v>0.99</v>
      </c>
      <c r="N4" s="163">
        <f>AVERAGEIFS('Daily KPI'!$Q:$Q,'Daily KPI'!$A:$A,"&gt;="&amp;O2Summary!$B$6,'Daily KPI'!$A:$A,"&lt;="&amp;AnnualKPI!$B$1)</f>
        <v>0.98484246020808863</v>
      </c>
      <c r="O4" s="161">
        <f>K4*M4</f>
        <v>0.96029999999999993</v>
      </c>
      <c r="P4" s="163">
        <f>L4*N4</f>
        <v>0.97532798113982089</v>
      </c>
      <c r="Q4" s="160">
        <f>SUMIFS('Daily KPI'!$AI:$AI,'Daily KPI'!$A:$A,"&gt;="&amp;O2Summary!$B$6,'Daily KPI'!$A:$A,"&lt;="&amp;AnnualKPI!$B$1)</f>
        <v>80764.02</v>
      </c>
      <c r="R4" s="163">
        <f>AVERAGEIFS('Daily KPI'!AN:AN,'Daily KPI'!$A:$A,"&gt;="&amp;O2Summary!$B$6,'Daily KPI'!$A:$A,"&lt;="&amp;AnnualKPI!$B$1)</f>
        <v>1.2534776084477573E-17</v>
      </c>
      <c r="S4" s="163">
        <f>AVERAGEIFS('Daily KPI'!AO:AO,'Daily KPI'!$A:$A,"&gt;="&amp;O2Summary!$B$6,'Daily KPI'!$A:$A,"&lt;="&amp;AnnualKPI!$B$1)</f>
        <v>1.6297160512984021E-4</v>
      </c>
    </row>
    <row r="5" spans="1:19" ht="26.25" customHeight="1"/>
  </sheetData>
  <sheetProtection algorithmName="SHA-512" hashValue="X4SImZ9lQggnuedAqsmCiyGBhrZROP6nQRt08UsEKlXvLfigQ9S1hqJPl2f5z2qKebPdiFQcMgNGwWg9HZ5PVg==" saltValue="9pPUoAPjKekqUq4luMCjsQ==" spinCount="100000" sheet="1" objects="1" scenarios="1"/>
  <mergeCells count="1">
    <mergeCell ref="A2:S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92"/>
  <sheetViews>
    <sheetView workbookViewId="0">
      <selection activeCell="A15" sqref="A15"/>
    </sheetView>
  </sheetViews>
  <sheetFormatPr defaultColWidth="8.5703125" defaultRowHeight="29.1" customHeight="1"/>
  <cols>
    <col min="1" max="1" width="45.5703125" bestFit="1" customWidth="1"/>
    <col min="2" max="2" width="22.5703125" bestFit="1" customWidth="1"/>
    <col min="3" max="3" width="17.5703125" bestFit="1" customWidth="1"/>
    <col min="4" max="4" width="12" customWidth="1"/>
    <col min="5" max="5" width="14.5703125" customWidth="1"/>
    <col min="6" max="16" width="12.42578125" customWidth="1"/>
    <col min="17" max="17" width="12" customWidth="1"/>
    <col min="18" max="45" width="10.5703125" bestFit="1" customWidth="1"/>
    <col min="46" max="46" width="14.42578125" bestFit="1" customWidth="1"/>
  </cols>
  <sheetData>
    <row r="1" spans="1:46" ht="15" customHeight="1"/>
    <row r="2" spans="1:46" ht="29.1" customHeight="1">
      <c r="A2" s="165" t="s">
        <v>71</v>
      </c>
      <c r="B2" s="166">
        <f>B3-27</f>
        <v>45844</v>
      </c>
    </row>
    <row r="3" spans="1:46" ht="29.1" customHeight="1">
      <c r="A3" s="83" t="s">
        <v>72</v>
      </c>
      <c r="B3" s="84">
        <f>O2Summary!B4</f>
        <v>45871</v>
      </c>
      <c r="C3">
        <f>((B3-B2)*1)*24</f>
        <v>648</v>
      </c>
      <c r="D3" s="75">
        <f>MEDIAN(B21:X21)</f>
        <v>9.2371428571428567</v>
      </c>
    </row>
    <row r="4" spans="1:46" ht="29.1" customHeight="1">
      <c r="A4" s="167" t="s">
        <v>75</v>
      </c>
      <c r="B4" s="168" t="s">
        <v>76</v>
      </c>
      <c r="C4" s="168" t="s">
        <v>77</v>
      </c>
      <c r="D4" s="168" t="s">
        <v>78</v>
      </c>
      <c r="E4" s="168" t="s">
        <v>79</v>
      </c>
      <c r="F4" s="168" t="s">
        <v>80</v>
      </c>
      <c r="G4" s="168" t="s">
        <v>81</v>
      </c>
      <c r="H4" s="168" t="s">
        <v>82</v>
      </c>
      <c r="I4" s="168" t="s">
        <v>83</v>
      </c>
      <c r="J4" s="168" t="s">
        <v>84</v>
      </c>
      <c r="K4" s="168" t="s">
        <v>85</v>
      </c>
      <c r="L4" s="168" t="s">
        <v>86</v>
      </c>
      <c r="M4" s="168" t="s">
        <v>87</v>
      </c>
      <c r="N4" s="168" t="s">
        <v>88</v>
      </c>
      <c r="O4" s="168" t="s">
        <v>89</v>
      </c>
      <c r="P4" s="168" t="s">
        <v>90</v>
      </c>
      <c r="Q4" s="168" t="s">
        <v>91</v>
      </c>
      <c r="R4" s="168" t="s">
        <v>92</v>
      </c>
      <c r="S4" s="168" t="s">
        <v>93</v>
      </c>
      <c r="T4" s="168" t="s">
        <v>94</v>
      </c>
      <c r="U4" s="168" t="s">
        <v>95</v>
      </c>
      <c r="V4" s="168" t="s">
        <v>96</v>
      </c>
      <c r="W4" s="168" t="s">
        <v>97</v>
      </c>
      <c r="X4" s="168" t="s">
        <v>98</v>
      </c>
      <c r="Y4" s="168" t="s">
        <v>99</v>
      </c>
      <c r="Z4" s="168" t="s">
        <v>100</v>
      </c>
      <c r="AA4" s="168" t="s">
        <v>101</v>
      </c>
      <c r="AB4" s="168" t="s">
        <v>102</v>
      </c>
      <c r="AC4" s="168" t="s">
        <v>103</v>
      </c>
      <c r="AD4" s="168" t="s">
        <v>104</v>
      </c>
      <c r="AE4" s="168" t="s">
        <v>105</v>
      </c>
      <c r="AF4" s="168" t="s">
        <v>106</v>
      </c>
      <c r="AG4" s="168" t="s">
        <v>107</v>
      </c>
      <c r="AH4" s="168" t="s">
        <v>108</v>
      </c>
      <c r="AI4" s="168" t="s">
        <v>109</v>
      </c>
      <c r="AJ4" s="168" t="s">
        <v>110</v>
      </c>
      <c r="AK4" s="168" t="s">
        <v>111</v>
      </c>
      <c r="AL4" s="168" t="s">
        <v>112</v>
      </c>
      <c r="AM4" s="168" t="s">
        <v>113</v>
      </c>
      <c r="AN4" s="168" t="s">
        <v>114</v>
      </c>
      <c r="AO4" s="168" t="s">
        <v>115</v>
      </c>
      <c r="AP4" s="168" t="s">
        <v>116</v>
      </c>
      <c r="AQ4" s="168" t="s">
        <v>117</v>
      </c>
      <c r="AR4" s="168" t="s">
        <v>118</v>
      </c>
      <c r="AS4" s="168" t="s">
        <v>119</v>
      </c>
    </row>
    <row r="5" spans="1:46" ht="15">
      <c r="A5" s="167" t="s">
        <v>120</v>
      </c>
      <c r="B5" s="169">
        <f>($C$3-B6)/$C$3</f>
        <v>0.99140946502057625</v>
      </c>
      <c r="C5" s="169">
        <f t="shared" ref="C5:AS5" si="0">($C$3-C6)/$C$3</f>
        <v>1</v>
      </c>
      <c r="D5" s="169">
        <f t="shared" si="0"/>
        <v>0.99737654320987645</v>
      </c>
      <c r="E5" s="169">
        <f t="shared" si="0"/>
        <v>0.95100308641975306</v>
      </c>
      <c r="F5" s="169">
        <f t="shared" si="0"/>
        <v>1</v>
      </c>
      <c r="G5" s="169">
        <f t="shared" si="0"/>
        <v>0.98058127572016451</v>
      </c>
      <c r="H5" s="169">
        <f t="shared" si="0"/>
        <v>0.96327160493827169</v>
      </c>
      <c r="I5" s="169">
        <f t="shared" si="0"/>
        <v>0.9945987654320988</v>
      </c>
      <c r="J5" s="169">
        <f t="shared" si="0"/>
        <v>0.99804526748971201</v>
      </c>
      <c r="K5" s="169">
        <f t="shared" si="0"/>
        <v>0.99110082304526748</v>
      </c>
      <c r="L5" s="169">
        <f t="shared" si="0"/>
        <v>0.9975823045267489</v>
      </c>
      <c r="M5" s="169">
        <f t="shared" si="0"/>
        <v>0.99832818930041145</v>
      </c>
      <c r="N5" s="169">
        <f t="shared" si="0"/>
        <v>0.98523662551440316</v>
      </c>
      <c r="O5" s="169">
        <f t="shared" si="0"/>
        <v>0.99804526748971201</v>
      </c>
      <c r="P5" s="169">
        <f t="shared" si="0"/>
        <v>0.99745370370370379</v>
      </c>
      <c r="Q5" s="169">
        <f t="shared" si="0"/>
        <v>1</v>
      </c>
      <c r="R5" s="169">
        <f t="shared" si="0"/>
        <v>1</v>
      </c>
      <c r="S5" s="169">
        <f t="shared" si="0"/>
        <v>1</v>
      </c>
      <c r="T5" s="169">
        <f t="shared" si="0"/>
        <v>0.94645061728395052</v>
      </c>
      <c r="U5" s="169">
        <f t="shared" si="0"/>
        <v>0.99992283950617289</v>
      </c>
      <c r="V5" s="169">
        <f t="shared" si="0"/>
        <v>0.99603909465020568</v>
      </c>
      <c r="W5" s="169">
        <f t="shared" si="0"/>
        <v>0.98083847736625518</v>
      </c>
      <c r="X5" s="169">
        <f t="shared" si="0"/>
        <v>0.99881687242798356</v>
      </c>
      <c r="Y5" s="169">
        <f t="shared" si="0"/>
        <v>0.99827674897119345</v>
      </c>
      <c r="Z5" s="169">
        <f t="shared" si="0"/>
        <v>0.99742798353909468</v>
      </c>
      <c r="AA5" s="169">
        <f t="shared" si="0"/>
        <v>0.99994855967078189</v>
      </c>
      <c r="AB5" s="169">
        <f t="shared" si="0"/>
        <v>1</v>
      </c>
      <c r="AC5" s="169">
        <f t="shared" si="0"/>
        <v>0.99866255144032923</v>
      </c>
      <c r="AD5" s="169">
        <f t="shared" si="0"/>
        <v>0.99411008230452669</v>
      </c>
      <c r="AE5" s="169">
        <f t="shared" si="0"/>
        <v>0.99292695473251025</v>
      </c>
      <c r="AF5" s="169">
        <f t="shared" si="0"/>
        <v>1</v>
      </c>
      <c r="AG5" s="169">
        <f t="shared" si="0"/>
        <v>0.99814814814814812</v>
      </c>
      <c r="AH5" s="169">
        <f t="shared" si="0"/>
        <v>0.99981995884773667</v>
      </c>
      <c r="AI5" s="169">
        <f t="shared" si="0"/>
        <v>0.99760802469135812</v>
      </c>
      <c r="AJ5" s="169">
        <f t="shared" si="0"/>
        <v>0.99560185185185179</v>
      </c>
      <c r="AK5" s="169">
        <f t="shared" si="0"/>
        <v>0.99675925925925923</v>
      </c>
      <c r="AL5" s="169">
        <f t="shared" si="0"/>
        <v>0.99930555555555545</v>
      </c>
      <c r="AM5" s="169">
        <f t="shared" si="0"/>
        <v>0.99673353909465023</v>
      </c>
      <c r="AN5" s="169">
        <f t="shared" si="0"/>
        <v>0.999022633744856</v>
      </c>
      <c r="AO5" s="169">
        <f t="shared" si="0"/>
        <v>0.99933127572016467</v>
      </c>
      <c r="AP5" s="169">
        <f t="shared" si="0"/>
        <v>0.99894547325102889</v>
      </c>
      <c r="AQ5" s="169">
        <f t="shared" si="0"/>
        <v>0.9936471193415638</v>
      </c>
      <c r="AR5" s="169">
        <f t="shared" si="0"/>
        <v>0.99989711934156367</v>
      </c>
      <c r="AS5" s="169">
        <f t="shared" si="0"/>
        <v>0.99187242798353914</v>
      </c>
      <c r="AT5" s="85">
        <f>AVERAGE(B5:AS5)</f>
        <v>0.99350332023943122</v>
      </c>
    </row>
    <row r="6" spans="1:46" ht="15" hidden="1">
      <c r="A6" s="170" t="s">
        <v>121</v>
      </c>
      <c r="B6" s="171">
        <f>(SUMIFS(WTG_BD!$T:$T,WTG_BD!$G:$G,Analytics!B$4,WTG_BD!$F:$F,"&gt;="&amp;Analytics!$B$2,WTG_BD!$F:$F,"&lt;="&amp;Analytics!$B$3))</f>
        <v>5.5666666666666629</v>
      </c>
      <c r="C6" s="171">
        <f>(SUMIFS(WTG_BD!$T:$T,WTG_BD!$G:$G,Analytics!C$4,WTG_BD!$F:$F,"&gt;="&amp;Analytics!$B$2,WTG_BD!$F:$F,"&lt;="&amp;Analytics!$B$3))</f>
        <v>0</v>
      </c>
      <c r="D6" s="171">
        <f>(SUMIFS(WTG_BD!$T:$T,WTG_BD!$G:$G,Analytics!D$4,WTG_BD!$F:$F,"&gt;="&amp;Analytics!$B$2,WTG_BD!$F:$F,"&lt;="&amp;Analytics!$B$3))</f>
        <v>1.6999999999999993</v>
      </c>
      <c r="E6" s="171">
        <f>(SUMIFS(WTG_BD!$T:$T,WTG_BD!$G:$G,Analytics!E$4,WTG_BD!$F:$F,"&gt;="&amp;Analytics!$B$2,WTG_BD!$F:$F,"&lt;="&amp;Analytics!$B$3))</f>
        <v>31.749999999999993</v>
      </c>
      <c r="F6" s="171">
        <f>(SUMIFS(WTG_BD!$T:$T,WTG_BD!$G:$G,Analytics!F$4,WTG_BD!$F:$F,"&gt;="&amp;Analytics!$B$2,WTG_BD!$F:$F,"&lt;="&amp;Analytics!$B$3))</f>
        <v>0</v>
      </c>
      <c r="G6" s="171">
        <f>(SUMIFS(WTG_BD!$T:$T,WTG_BD!$G:$G,Analytics!G$4,WTG_BD!$F:$F,"&gt;="&amp;Analytics!$B$2,WTG_BD!$F:$F,"&lt;="&amp;Analytics!$B$3))</f>
        <v>12.583333333333332</v>
      </c>
      <c r="H6" s="171">
        <f>(SUMIFS(WTG_BD!$T:$T,WTG_BD!$G:$G,Analytics!H$4,WTG_BD!$F:$F,"&gt;="&amp;Analytics!$B$2,WTG_BD!$F:$F,"&lt;="&amp;Analytics!$B$3))</f>
        <v>23.8</v>
      </c>
      <c r="I6" s="171">
        <f>(SUMIFS(WTG_BD!$T:$T,WTG_BD!$G:$G,Analytics!I$4,WTG_BD!$F:$F,"&gt;="&amp;Analytics!$B$2,WTG_BD!$F:$F,"&lt;="&amp;Analytics!$B$3))</f>
        <v>3.5</v>
      </c>
      <c r="J6" s="171">
        <f>(SUMIFS(WTG_BD!$T:$T,WTG_BD!$G:$G,Analytics!J$4,WTG_BD!$F:$F,"&gt;="&amp;Analytics!$B$2,WTG_BD!$F:$F,"&lt;="&amp;Analytics!$B$3))</f>
        <v>1.2666666666666648</v>
      </c>
      <c r="K6" s="171">
        <f>(SUMIFS(WTG_BD!$T:$T,WTG_BD!$G:$G,Analytics!K$4,WTG_BD!$F:$F,"&gt;="&amp;Analytics!$B$2,WTG_BD!$F:$F,"&lt;="&amp;Analytics!$B$3))</f>
        <v>5.7666666666666657</v>
      </c>
      <c r="L6" s="171">
        <f>(SUMIFS(WTG_BD!$T:$T,WTG_BD!$G:$G,Analytics!L$4,WTG_BD!$F:$F,"&gt;="&amp;Analytics!$B$2,WTG_BD!$F:$F,"&lt;="&amp;Analytics!$B$3))</f>
        <v>1.5666666666666664</v>
      </c>
      <c r="M6" s="171">
        <f>(SUMIFS(WTG_BD!$T:$T,WTG_BD!$G:$G,Analytics!M$4,WTG_BD!$F:$F,"&gt;="&amp;Analytics!$B$2,WTG_BD!$F:$F,"&lt;="&amp;Analytics!$B$3))</f>
        <v>1.0833333333333348</v>
      </c>
      <c r="N6" s="171">
        <f>(SUMIFS(WTG_BD!$T:$T,WTG_BD!$G:$G,Analytics!N$4,WTG_BD!$F:$F,"&gt;="&amp;Analytics!$B$2,WTG_BD!$F:$F,"&lt;="&amp;Analytics!$B$3))</f>
        <v>9.5666666666666664</v>
      </c>
      <c r="O6" s="171">
        <f>(SUMIFS(WTG_BD!$T:$T,WTG_BD!$G:$G,Analytics!O$4,WTG_BD!$F:$F,"&gt;="&amp;Analytics!$B$2,WTG_BD!$F:$F,"&lt;="&amp;Analytics!$B$3))</f>
        <v>1.2666666666666702</v>
      </c>
      <c r="P6" s="171">
        <f>(SUMIFS(WTG_BD!$T:$T,WTG_BD!$G:$G,Analytics!P$4,WTG_BD!$F:$F,"&gt;="&amp;Analytics!$B$2,WTG_BD!$F:$F,"&lt;="&amp;Analytics!$B$3))</f>
        <v>1.6500000000000021</v>
      </c>
      <c r="Q6" s="171">
        <f>(SUMIFS(WTG_BD!$T:$T,WTG_BD!$G:$G,Analytics!Q$4,WTG_BD!$F:$F,"&gt;="&amp;Analytics!$B$2,WTG_BD!$F:$F,"&lt;="&amp;Analytics!$B$3))</f>
        <v>0</v>
      </c>
      <c r="R6" s="171">
        <f>(SUMIFS(WTG_BD!$T:$T,WTG_BD!$G:$G,Analytics!R$4,WTG_BD!$F:$F,"&gt;="&amp;Analytics!$B$2,WTG_BD!$F:$F,"&lt;="&amp;Analytics!$B$3))</f>
        <v>0</v>
      </c>
      <c r="S6" s="171">
        <f>(SUMIFS(WTG_BD!$T:$T,WTG_BD!$G:$G,Analytics!S$4,WTG_BD!$F:$F,"&gt;="&amp;Analytics!$B$2,WTG_BD!$F:$F,"&lt;="&amp;Analytics!$B$3))</f>
        <v>0</v>
      </c>
      <c r="T6" s="171">
        <f>(SUMIFS(WTG_BD!$T:$T,WTG_BD!$G:$G,Analytics!T$4,WTG_BD!$F:$F,"&gt;="&amp;Analytics!$B$2,WTG_BD!$F:$F,"&lt;="&amp;Analytics!$B$3))</f>
        <v>34.700000000000003</v>
      </c>
      <c r="U6" s="171">
        <f>(SUMIFS(WTG_BD!$T:$T,WTG_BD!$G:$G,Analytics!U$4,WTG_BD!$F:$F,"&gt;="&amp;Analytics!$B$2,WTG_BD!$F:$F,"&lt;="&amp;Analytics!$B$3))</f>
        <v>5.0000000000002487E-2</v>
      </c>
      <c r="V6" s="171">
        <f>(SUMIFS(WTG_BD!$T:$T,WTG_BD!$G:$G,Analytics!V$4,WTG_BD!$F:$F,"&gt;="&amp;Analytics!$B$2,WTG_BD!$F:$F,"&lt;="&amp;Analytics!$B$3))</f>
        <v>2.5666666666666655</v>
      </c>
      <c r="W6" s="171">
        <f>(SUMIFS(WTG_BD!$T:$T,WTG_BD!$G:$G,Analytics!W$4,WTG_BD!$F:$F,"&gt;="&amp;Analytics!$B$2,WTG_BD!$F:$F,"&lt;="&amp;Analytics!$B$3))</f>
        <v>12.416666666666668</v>
      </c>
      <c r="X6" s="171">
        <f>(SUMIFS(WTG_BD!$T:$T,WTG_BD!$G:$G,Analytics!X$4,WTG_BD!$F:$F,"&gt;="&amp;Analytics!$B$2,WTG_BD!$F:$F,"&lt;="&amp;Analytics!$B$3))</f>
        <v>0.76666666666666661</v>
      </c>
      <c r="Y6" s="171">
        <f>(SUMIFS(WTG_BD!$T:$T,WTG_BD!$G:$G,Analytics!Y$4,WTG_BD!$F:$F,"&gt;="&amp;Analytics!$B$2,WTG_BD!$F:$F,"&lt;="&amp;Analytics!$B$3))</f>
        <v>1.116666666666668</v>
      </c>
      <c r="Z6" s="171">
        <f>(SUMIFS(WTG_BD!$T:$T,WTG_BD!$G:$G,Analytics!Z$4,WTG_BD!$F:$F,"&gt;="&amp;Analytics!$B$2,WTG_BD!$F:$F,"&lt;="&amp;Analytics!$B$3))</f>
        <v>1.6666666666666687</v>
      </c>
      <c r="AA6" s="171">
        <f>(SUMIFS(WTG_BD!$T:$T,WTG_BD!$G:$G,Analytics!AA$4,WTG_BD!$F:$F,"&gt;="&amp;Analytics!$B$2,WTG_BD!$F:$F,"&lt;="&amp;Analytics!$B$3))</f>
        <v>3.3333333333333215E-2</v>
      </c>
      <c r="AB6" s="171">
        <f>(SUMIFS(WTG_BD!$T:$T,WTG_BD!$G:$G,Analytics!AB$4,WTG_BD!$F:$F,"&gt;="&amp;Analytics!$B$2,WTG_BD!$F:$F,"&lt;="&amp;Analytics!$B$3))</f>
        <v>0</v>
      </c>
      <c r="AC6" s="171">
        <f>(SUMIFS(WTG_BD!$T:$T,WTG_BD!$G:$G,Analytics!AC$4,WTG_BD!$F:$F,"&gt;="&amp;Analytics!$B$2,WTG_BD!$F:$F,"&lt;="&amp;Analytics!$B$3))</f>
        <v>0.86666666666666625</v>
      </c>
      <c r="AD6" s="171">
        <f>(SUMIFS(WTG_BD!$T:$T,WTG_BD!$G:$G,Analytics!AD$4,WTG_BD!$F:$F,"&gt;="&amp;Analytics!$B$2,WTG_BD!$F:$F,"&lt;="&amp;Analytics!$B$3))</f>
        <v>3.8166666666666638</v>
      </c>
      <c r="AE6" s="171">
        <f>(SUMIFS(WTG_BD!$T:$T,WTG_BD!$G:$G,Analytics!AE$4,WTG_BD!$F:$F,"&gt;="&amp;Analytics!$B$2,WTG_BD!$F:$F,"&lt;="&amp;Analytics!$B$3))</f>
        <v>4.5833333333333321</v>
      </c>
      <c r="AF6" s="171">
        <f>(SUMIFS(WTG_BD!$T:$T,WTG_BD!$G:$G,Analytics!AF$4,WTG_BD!$F:$F,"&gt;="&amp;Analytics!$B$2,WTG_BD!$F:$F,"&lt;="&amp;Analytics!$B$3))</f>
        <v>0</v>
      </c>
      <c r="AG6" s="171">
        <f>(SUMIFS(WTG_BD!$T:$T,WTG_BD!$G:$G,Analytics!AG$4,WTG_BD!$F:$F,"&gt;="&amp;Analytics!$B$2,WTG_BD!$F:$F,"&lt;="&amp;Analytics!$B$3))</f>
        <v>1.2000000000000011</v>
      </c>
      <c r="AH6" s="171">
        <f>(SUMIFS(WTG_BD!$T:$T,WTG_BD!$G:$G,Analytics!AH$4,WTG_BD!$F:$F,"&gt;="&amp;Analytics!$B$2,WTG_BD!$F:$F,"&lt;="&amp;Analytics!$B$3))</f>
        <v>0.11666666666666892</v>
      </c>
      <c r="AI6" s="171">
        <f>(SUMIFS(WTG_BD!$T:$T,WTG_BD!$G:$G,Analytics!AI$4,WTG_BD!$F:$F,"&gt;="&amp;Analytics!$B$2,WTG_BD!$F:$F,"&lt;="&amp;Analytics!$B$3))</f>
        <v>1.5500000000000052</v>
      </c>
      <c r="AJ6" s="171">
        <f>(SUMIFS(WTG_BD!$T:$T,WTG_BD!$G:$G,Analytics!AJ$4,WTG_BD!$F:$F,"&gt;="&amp;Analytics!$B$2,WTG_BD!$F:$F,"&lt;="&amp;Analytics!$B$3))</f>
        <v>2.8500000000000005</v>
      </c>
      <c r="AK6" s="171">
        <f>(SUMIFS(WTG_BD!$T:$T,WTG_BD!$G:$G,Analytics!AK$4,WTG_BD!$F:$F,"&gt;="&amp;Analytics!$B$2,WTG_BD!$F:$F,"&lt;="&amp;Analytics!$B$3))</f>
        <v>2.1000000000000032</v>
      </c>
      <c r="AL6" s="171">
        <f>(SUMIFS(WTG_BD!$T:$T,WTG_BD!$G:$G,Analytics!AL$4,WTG_BD!$F:$F,"&gt;="&amp;Analytics!$B$2,WTG_BD!$F:$F,"&lt;="&amp;Analytics!$B$3))</f>
        <v>0.44999999999999973</v>
      </c>
      <c r="AM6" s="171">
        <f>(SUMIFS(WTG_BD!$T:$T,WTG_BD!$G:$G,Analytics!AM$4,WTG_BD!$F:$F,"&gt;="&amp;Analytics!$B$2,WTG_BD!$F:$F,"&lt;="&amp;Analytics!$B$3))</f>
        <v>2.1166666666666671</v>
      </c>
      <c r="AN6" s="171">
        <f>(SUMIFS(WTG_BD!$T:$T,WTG_BD!$G:$G,Analytics!AN$4,WTG_BD!$F:$F,"&gt;="&amp;Analytics!$B$2,WTG_BD!$F:$F,"&lt;="&amp;Analytics!$B$3))</f>
        <v>0.63333333333333242</v>
      </c>
      <c r="AO6" s="171">
        <f>(SUMIFS(WTG_BD!$T:$T,WTG_BD!$G:$G,Analytics!AO$4,WTG_BD!$F:$F,"&gt;="&amp;Analytics!$B$2,WTG_BD!$F:$F,"&lt;="&amp;Analytics!$B$3))</f>
        <v>0.43333333333333446</v>
      </c>
      <c r="AP6" s="171">
        <f>(SUMIFS(WTG_BD!$T:$T,WTG_BD!$G:$G,Analytics!AP$4,WTG_BD!$F:$F,"&gt;="&amp;Analytics!$B$2,WTG_BD!$F:$F,"&lt;="&amp;Analytics!$B$3))</f>
        <v>0.68333333333333357</v>
      </c>
      <c r="AQ6" s="171">
        <f>(SUMIFS(WTG_BD!$T:$T,WTG_BD!$G:$G,Analytics!AQ$4,WTG_BD!$F:$F,"&gt;="&amp;Analytics!$B$2,WTG_BD!$F:$F,"&lt;="&amp;Analytics!$B$3))</f>
        <v>4.1166666666666654</v>
      </c>
      <c r="AR6" s="171">
        <f>(SUMIFS(WTG_BD!$T:$T,WTG_BD!$G:$G,Analytics!AR$4,WTG_BD!$F:$F,"&gt;="&amp;Analytics!$B$2,WTG_BD!$F:$F,"&lt;="&amp;Analytics!$B$3))</f>
        <v>6.666666666666643E-2</v>
      </c>
      <c r="AS6" s="171">
        <f>(SUMIFS(WTG_BD!$T:$T,WTG_BD!$G:$G,Analytics!AS$4,WTG_BD!$F:$F,"&gt;="&amp;Analytics!$B$2,WTG_BD!$F:$F,"&lt;="&amp;Analytics!$B$3))</f>
        <v>5.2666666666666693</v>
      </c>
      <c r="AT6" s="171">
        <f>(SUMIFS(WTG_BD!$T:$T,WTG_BD!$G:$G,Analytics!AT$4,WTG_BD!$F:$F,"&gt;="&amp;Analytics!$B$2,WTG_BD!$F:$F,"&lt;="&amp;Analytics!$B$3))</f>
        <v>0</v>
      </c>
    </row>
    <row r="7" spans="1:46" ht="15">
      <c r="A7" s="167" t="s">
        <v>122</v>
      </c>
      <c r="B7" s="172">
        <f>($C$3-SUM(B8:B12))/$C$3</f>
        <v>0.9804526748971194</v>
      </c>
      <c r="C7" s="172">
        <f t="shared" ref="C7:AS7" si="1">($C$3-SUM(C8:C12))/$C$3</f>
        <v>0.9804526748971194</v>
      </c>
      <c r="D7" s="172">
        <f t="shared" si="1"/>
        <v>0.9804526748971194</v>
      </c>
      <c r="E7" s="172">
        <f t="shared" si="1"/>
        <v>0.99891975308641967</v>
      </c>
      <c r="F7" s="172">
        <f t="shared" si="1"/>
        <v>0.99768518518518523</v>
      </c>
      <c r="G7" s="172">
        <f t="shared" si="1"/>
        <v>0.99768518518518523</v>
      </c>
      <c r="H7" s="172">
        <f t="shared" si="1"/>
        <v>0.9804526748971194</v>
      </c>
      <c r="I7" s="172">
        <f t="shared" si="1"/>
        <v>1</v>
      </c>
      <c r="J7" s="172">
        <f t="shared" si="1"/>
        <v>1</v>
      </c>
      <c r="K7" s="172">
        <f t="shared" si="1"/>
        <v>1</v>
      </c>
      <c r="L7" s="172">
        <f t="shared" si="1"/>
        <v>1</v>
      </c>
      <c r="M7" s="172">
        <f t="shared" si="1"/>
        <v>1</v>
      </c>
      <c r="N7" s="172">
        <f t="shared" si="1"/>
        <v>1</v>
      </c>
      <c r="O7" s="172">
        <f t="shared" si="1"/>
        <v>0.99891975308641967</v>
      </c>
      <c r="P7" s="172">
        <f t="shared" si="1"/>
        <v>0.99891975308641967</v>
      </c>
      <c r="Q7" s="172">
        <f t="shared" si="1"/>
        <v>0.99891975308641967</v>
      </c>
      <c r="R7" s="172">
        <f t="shared" si="1"/>
        <v>0.99891975308641967</v>
      </c>
      <c r="S7" s="172">
        <f t="shared" si="1"/>
        <v>0.9804526748971194</v>
      </c>
      <c r="T7" s="172">
        <f t="shared" si="1"/>
        <v>0.99891975308641967</v>
      </c>
      <c r="U7" s="172">
        <f t="shared" si="1"/>
        <v>0.99891975308641967</v>
      </c>
      <c r="V7" s="172">
        <f t="shared" si="1"/>
        <v>0.99891975308641967</v>
      </c>
      <c r="W7" s="172">
        <f t="shared" si="1"/>
        <v>0.99891975308641967</v>
      </c>
      <c r="X7" s="172">
        <f t="shared" si="1"/>
        <v>1</v>
      </c>
      <c r="Y7" s="172">
        <f t="shared" si="1"/>
        <v>1</v>
      </c>
      <c r="Z7" s="172">
        <f t="shared" si="1"/>
        <v>1</v>
      </c>
      <c r="AA7" s="172">
        <f t="shared" si="1"/>
        <v>1</v>
      </c>
      <c r="AB7" s="172">
        <f t="shared" si="1"/>
        <v>0.9804526748971194</v>
      </c>
      <c r="AC7" s="172">
        <f t="shared" si="1"/>
        <v>0.9804526748971194</v>
      </c>
      <c r="AD7" s="172">
        <f t="shared" si="1"/>
        <v>0.99891975308641967</v>
      </c>
      <c r="AE7" s="172">
        <f t="shared" si="1"/>
        <v>0.9804526748971194</v>
      </c>
      <c r="AF7" s="172">
        <f t="shared" si="1"/>
        <v>0.99891975308641967</v>
      </c>
      <c r="AG7" s="172">
        <f t="shared" si="1"/>
        <v>0.99768518518518523</v>
      </c>
      <c r="AH7" s="172">
        <f t="shared" si="1"/>
        <v>0.99768518518518523</v>
      </c>
      <c r="AI7" s="172">
        <f t="shared" si="1"/>
        <v>0.99768518518518523</v>
      </c>
      <c r="AJ7" s="172">
        <f t="shared" si="1"/>
        <v>0.99891975308641967</v>
      </c>
      <c r="AK7" s="172">
        <f t="shared" si="1"/>
        <v>0.99768518518518523</v>
      </c>
      <c r="AL7" s="172">
        <f t="shared" si="1"/>
        <v>0.99768518518518523</v>
      </c>
      <c r="AM7" s="172">
        <f t="shared" si="1"/>
        <v>0.99768518518518523</v>
      </c>
      <c r="AN7" s="172">
        <f t="shared" si="1"/>
        <v>0.99768518518518523</v>
      </c>
      <c r="AO7" s="172">
        <f t="shared" si="1"/>
        <v>0.9804526748971194</v>
      </c>
      <c r="AP7" s="172">
        <f t="shared" si="1"/>
        <v>0.9804526748971194</v>
      </c>
      <c r="AQ7" s="172">
        <f t="shared" si="1"/>
        <v>0.9804526748971194</v>
      </c>
      <c r="AR7" s="172">
        <f t="shared" si="1"/>
        <v>0.9804526748971194</v>
      </c>
      <c r="AS7" s="172">
        <f t="shared" si="1"/>
        <v>0.9804526748971194</v>
      </c>
      <c r="AT7" s="85">
        <f t="shared" ref="AT7:AT21" si="2">AVERAGE(B7:AS7)</f>
        <v>0.9934565563037786</v>
      </c>
    </row>
    <row r="8" spans="1:46" ht="15" hidden="1" customHeight="1">
      <c r="A8" s="170" t="s">
        <v>123</v>
      </c>
      <c r="B8" s="173"/>
      <c r="C8" s="173"/>
      <c r="D8" s="173"/>
      <c r="E8" s="173"/>
      <c r="F8" s="173"/>
      <c r="G8" s="173"/>
      <c r="H8" s="173"/>
      <c r="I8" s="173"/>
      <c r="J8" s="173"/>
      <c r="K8" s="173"/>
      <c r="L8" s="173"/>
      <c r="M8" s="173"/>
      <c r="N8" s="173"/>
      <c r="O8" s="173"/>
      <c r="P8" s="173"/>
      <c r="Q8" s="173"/>
      <c r="R8" s="173"/>
      <c r="S8" s="173"/>
      <c r="T8" s="173"/>
      <c r="U8" s="173"/>
      <c r="V8" s="173"/>
      <c r="W8" s="173"/>
      <c r="X8" s="173"/>
      <c r="Y8" s="173"/>
      <c r="Z8" s="173"/>
      <c r="AA8" s="173"/>
      <c r="AB8" s="173"/>
      <c r="AC8" s="173"/>
      <c r="AD8" s="173"/>
      <c r="AE8" s="173"/>
      <c r="AF8" s="173"/>
      <c r="AG8" s="173"/>
      <c r="AH8" s="173"/>
      <c r="AI8" s="173"/>
      <c r="AJ8" s="173"/>
      <c r="AK8" s="173"/>
      <c r="AL8" s="173"/>
      <c r="AM8" s="173"/>
      <c r="AN8" s="173"/>
      <c r="AO8" s="173"/>
      <c r="AP8" s="173"/>
      <c r="AQ8" s="173"/>
      <c r="AR8" s="173"/>
      <c r="AS8" s="173"/>
      <c r="AT8" s="85" t="e">
        <f t="shared" si="2"/>
        <v>#DIV/0!</v>
      </c>
    </row>
    <row r="9" spans="1:46" ht="15" hidden="1" customHeight="1">
      <c r="A9" s="170" t="s">
        <v>124</v>
      </c>
      <c r="B9" s="267">
        <f>SUMIFS(IGA_BD!$Q:$Q,IGA_BD!$G:$G,(VLOOKUP(B$4,'Basic Data'!$A:$F,6,0)),IGA_BD!$F:$F,"&gt;="&amp;Analytics!$B$2,IGA_BD!$F:$F,"&lt;="&amp;Analytics!$B$3)</f>
        <v>12.666666666666668</v>
      </c>
      <c r="C9" s="267">
        <f>SUMIFS(IGA_BD!$Q:$Q,IGA_BD!$G:$G,(VLOOKUP(C$4,'Basic Data'!$A:$F,6,0)),IGA_BD!$F:$F,"&gt;="&amp;Analytics!$B$2,IGA_BD!$F:$F,"&lt;="&amp;Analytics!$B$3)</f>
        <v>12.666666666666668</v>
      </c>
      <c r="D9" s="267">
        <f>SUMIFS(IGA_BD!$Q:$Q,IGA_BD!$G:$G,(VLOOKUP(D$4,'Basic Data'!$A:$F,6,0)),IGA_BD!$F:$F,"&gt;="&amp;Analytics!$B$2,IGA_BD!$F:$F,"&lt;="&amp;Analytics!$B$3)</f>
        <v>12.666666666666668</v>
      </c>
      <c r="E9" s="267">
        <f>SUMIFS(IGA_BD!$Q:$Q,IGA_BD!$G:$G,(VLOOKUP(E$4,'Basic Data'!$A:$F,6,0)),IGA_BD!$F:$F,"&gt;="&amp;Analytics!$B$2,IGA_BD!$F:$F,"&lt;="&amp;Analytics!$B$3)</f>
        <v>0.70000000000000018</v>
      </c>
      <c r="F9" s="267">
        <f>SUMIFS(IGA_BD!$Q:$Q,IGA_BD!$G:$G,(VLOOKUP(F$4,'Basic Data'!$A:$F,6,0)),IGA_BD!$F:$F,"&gt;="&amp;Analytics!$B$2,IGA_BD!$F:$F,"&lt;="&amp;Analytics!$B$3)</f>
        <v>1.5000000000000013</v>
      </c>
      <c r="G9" s="267">
        <f>SUMIFS(IGA_BD!$Q:$Q,IGA_BD!$G:$G,(VLOOKUP(G$4,'Basic Data'!$A:$F,6,0)),IGA_BD!$F:$F,"&gt;="&amp;Analytics!$B$2,IGA_BD!$F:$F,"&lt;="&amp;Analytics!$B$3)</f>
        <v>1.5000000000000013</v>
      </c>
      <c r="H9" s="267">
        <f>SUMIFS(IGA_BD!$Q:$Q,IGA_BD!$G:$G,(VLOOKUP(H$4,'Basic Data'!$A:$F,6,0)),IGA_BD!$F:$F,"&gt;="&amp;Analytics!$B$2,IGA_BD!$F:$F,"&lt;="&amp;Analytics!$B$3)</f>
        <v>12.666666666666668</v>
      </c>
      <c r="I9" s="267">
        <f>SUMIFS(IGA_BD!$Q:$Q,IGA_BD!$G:$G,(VLOOKUP(I$4,'Basic Data'!$A:$F,6,0)),IGA_BD!$F:$F,"&gt;="&amp;Analytics!$B$2,IGA_BD!$F:$F,"&lt;="&amp;Analytics!$B$3)</f>
        <v>0</v>
      </c>
      <c r="J9" s="267">
        <f>SUMIFS(IGA_BD!$Q:$Q,IGA_BD!$G:$G,(VLOOKUP(J$4,'Basic Data'!$A:$F,6,0)),IGA_BD!$F:$F,"&gt;="&amp;Analytics!$B$2,IGA_BD!$F:$F,"&lt;="&amp;Analytics!$B$3)</f>
        <v>0</v>
      </c>
      <c r="K9" s="267">
        <f>SUMIFS(IGA_BD!$Q:$Q,IGA_BD!$G:$G,(VLOOKUP(K$4,'Basic Data'!$A:$F,6,0)),IGA_BD!$F:$F,"&gt;="&amp;Analytics!$B$2,IGA_BD!$F:$F,"&lt;="&amp;Analytics!$B$3)</f>
        <v>0</v>
      </c>
      <c r="L9" s="267">
        <f>SUMIFS(IGA_BD!$Q:$Q,IGA_BD!$G:$G,(VLOOKUP(L$4,'Basic Data'!$A:$F,6,0)),IGA_BD!$F:$F,"&gt;="&amp;Analytics!$B$2,IGA_BD!$F:$F,"&lt;="&amp;Analytics!$B$3)</f>
        <v>0</v>
      </c>
      <c r="M9" s="267">
        <f>SUMIFS(IGA_BD!$Q:$Q,IGA_BD!$G:$G,(VLOOKUP(M$4,'Basic Data'!$A:$F,6,0)),IGA_BD!$F:$F,"&gt;="&amp;Analytics!$B$2,IGA_BD!$F:$F,"&lt;="&amp;Analytics!$B$3)</f>
        <v>0</v>
      </c>
      <c r="N9" s="267">
        <f>SUMIFS(IGA_BD!$Q:$Q,IGA_BD!$G:$G,(VLOOKUP(N$4,'Basic Data'!$A:$F,6,0)),IGA_BD!$F:$F,"&gt;="&amp;Analytics!$B$2,IGA_BD!$F:$F,"&lt;="&amp;Analytics!$B$3)</f>
        <v>0</v>
      </c>
      <c r="O9" s="267">
        <f>SUMIFS(IGA_BD!$Q:$Q,IGA_BD!$G:$G,(VLOOKUP(O$4,'Basic Data'!$A:$F,6,0)),IGA_BD!$F:$F,"&gt;="&amp;Analytics!$B$2,IGA_BD!$F:$F,"&lt;="&amp;Analytics!$B$3)</f>
        <v>0.70000000000000018</v>
      </c>
      <c r="P9" s="267">
        <f>SUMIFS(IGA_BD!$Q:$Q,IGA_BD!$G:$G,(VLOOKUP(P$4,'Basic Data'!$A:$F,6,0)),IGA_BD!$F:$F,"&gt;="&amp;Analytics!$B$2,IGA_BD!$F:$F,"&lt;="&amp;Analytics!$B$3)</f>
        <v>0.70000000000000018</v>
      </c>
      <c r="Q9" s="267">
        <f>SUMIFS(IGA_BD!$Q:$Q,IGA_BD!$G:$G,(VLOOKUP(Q$4,'Basic Data'!$A:$F,6,0)),IGA_BD!$F:$F,"&gt;="&amp;Analytics!$B$2,IGA_BD!$F:$F,"&lt;="&amp;Analytics!$B$3)</f>
        <v>0.70000000000000018</v>
      </c>
      <c r="R9" s="267">
        <f>SUMIFS(IGA_BD!$Q:$Q,IGA_BD!$G:$G,(VLOOKUP(R$4,'Basic Data'!$A:$F,6,0)),IGA_BD!$F:$F,"&gt;="&amp;Analytics!$B$2,IGA_BD!$F:$F,"&lt;="&amp;Analytics!$B$3)</f>
        <v>0.70000000000000018</v>
      </c>
      <c r="S9" s="267">
        <f>SUMIFS(IGA_BD!$Q:$Q,IGA_BD!$G:$G,(VLOOKUP(S$4,'Basic Data'!$A:$F,6,0)),IGA_BD!$F:$F,"&gt;="&amp;Analytics!$B$2,IGA_BD!$F:$F,"&lt;="&amp;Analytics!$B$3)</f>
        <v>12.666666666666668</v>
      </c>
      <c r="T9" s="267">
        <f>SUMIFS(IGA_BD!$Q:$Q,IGA_BD!$G:$G,(VLOOKUP(T$4,'Basic Data'!$A:$F,6,0)),IGA_BD!$F:$F,"&gt;="&amp;Analytics!$B$2,IGA_BD!$F:$F,"&lt;="&amp;Analytics!$B$3)</f>
        <v>0.70000000000000018</v>
      </c>
      <c r="U9" s="267">
        <f>SUMIFS(IGA_BD!$Q:$Q,IGA_BD!$G:$G,(VLOOKUP(U$4,'Basic Data'!$A:$F,6,0)),IGA_BD!$F:$F,"&gt;="&amp;Analytics!$B$2,IGA_BD!$F:$F,"&lt;="&amp;Analytics!$B$3)</f>
        <v>0.70000000000000018</v>
      </c>
      <c r="V9" s="267">
        <f>SUMIFS(IGA_BD!$Q:$Q,IGA_BD!$G:$G,(VLOOKUP(V$4,'Basic Data'!$A:$F,6,0)),IGA_BD!$F:$F,"&gt;="&amp;Analytics!$B$2,IGA_BD!$F:$F,"&lt;="&amp;Analytics!$B$3)</f>
        <v>0.70000000000000018</v>
      </c>
      <c r="W9" s="267">
        <f>SUMIFS(IGA_BD!$Q:$Q,IGA_BD!$G:$G,(VLOOKUP(W$4,'Basic Data'!$A:$F,6,0)),IGA_BD!$F:$F,"&gt;="&amp;Analytics!$B$2,IGA_BD!$F:$F,"&lt;="&amp;Analytics!$B$3)</f>
        <v>0.70000000000000018</v>
      </c>
      <c r="X9" s="267">
        <f>SUMIFS(IGA_BD!$Q:$Q,IGA_BD!$G:$G,(VLOOKUP(X$4,'Basic Data'!$A:$F,6,0)),IGA_BD!$F:$F,"&gt;="&amp;Analytics!$B$2,IGA_BD!$F:$F,"&lt;="&amp;Analytics!$B$3)</f>
        <v>0</v>
      </c>
      <c r="Y9" s="267">
        <f>SUMIFS(IGA_BD!$Q:$Q,IGA_BD!$G:$G,(VLOOKUP(Y$4,'Basic Data'!$A:$F,6,0)),IGA_BD!$F:$F,"&gt;="&amp;Analytics!$B$2,IGA_BD!$F:$F,"&lt;="&amp;Analytics!$B$3)</f>
        <v>0</v>
      </c>
      <c r="Z9" s="267">
        <f>SUMIFS(IGA_BD!$Q:$Q,IGA_BD!$G:$G,(VLOOKUP(Z$4,'Basic Data'!$A:$F,6,0)),IGA_BD!$F:$F,"&gt;="&amp;Analytics!$B$2,IGA_BD!$F:$F,"&lt;="&amp;Analytics!$B$3)</f>
        <v>0</v>
      </c>
      <c r="AA9" s="267">
        <f>SUMIFS(IGA_BD!$Q:$Q,IGA_BD!$G:$G,(VLOOKUP(AA$4,'Basic Data'!$A:$F,6,0)),IGA_BD!$F:$F,"&gt;="&amp;Analytics!$B$2,IGA_BD!$F:$F,"&lt;="&amp;Analytics!$B$3)</f>
        <v>0</v>
      </c>
      <c r="AB9" s="267">
        <f>SUMIFS(IGA_BD!$Q:$Q,IGA_BD!$G:$G,(VLOOKUP(AB$4,'Basic Data'!$A:$F,6,0)),IGA_BD!$F:$F,"&gt;="&amp;Analytics!$B$2,IGA_BD!$F:$F,"&lt;="&amp;Analytics!$B$3)</f>
        <v>12.666666666666668</v>
      </c>
      <c r="AC9" s="267">
        <f>SUMIFS(IGA_BD!$Q:$Q,IGA_BD!$G:$G,(VLOOKUP(AC$4,'Basic Data'!$A:$F,6,0)),IGA_BD!$F:$F,"&gt;="&amp;Analytics!$B$2,IGA_BD!$F:$F,"&lt;="&amp;Analytics!$B$3)</f>
        <v>12.666666666666668</v>
      </c>
      <c r="AD9" s="267">
        <f>SUMIFS(IGA_BD!$Q:$Q,IGA_BD!$G:$G,(VLOOKUP(AD$4,'Basic Data'!$A:$F,6,0)),IGA_BD!$F:$F,"&gt;="&amp;Analytics!$B$2,IGA_BD!$F:$F,"&lt;="&amp;Analytics!$B$3)</f>
        <v>0.70000000000000018</v>
      </c>
      <c r="AE9" s="267">
        <f>SUMIFS(IGA_BD!$Q:$Q,IGA_BD!$G:$G,(VLOOKUP(AE$4,'Basic Data'!$A:$F,6,0)),IGA_BD!$F:$F,"&gt;="&amp;Analytics!$B$2,IGA_BD!$F:$F,"&lt;="&amp;Analytics!$B$3)</f>
        <v>12.666666666666668</v>
      </c>
      <c r="AF9" s="267">
        <f>SUMIFS(IGA_BD!$Q:$Q,IGA_BD!$G:$G,(VLOOKUP(AF$4,'Basic Data'!$A:$F,6,0)),IGA_BD!$F:$F,"&gt;="&amp;Analytics!$B$2,IGA_BD!$F:$F,"&lt;="&amp;Analytics!$B$3)</f>
        <v>0.70000000000000018</v>
      </c>
      <c r="AG9" s="267">
        <f>SUMIFS(IGA_BD!$Q:$Q,IGA_BD!$G:$G,(VLOOKUP(AG$4,'Basic Data'!$A:$F,6,0)),IGA_BD!$F:$F,"&gt;="&amp;Analytics!$B$2,IGA_BD!$F:$F,"&lt;="&amp;Analytics!$B$3)</f>
        <v>1.5000000000000013</v>
      </c>
      <c r="AH9" s="267">
        <f>SUMIFS(IGA_BD!$Q:$Q,IGA_BD!$G:$G,(VLOOKUP(AH$4,'Basic Data'!$A:$F,6,0)),IGA_BD!$F:$F,"&gt;="&amp;Analytics!$B$2,IGA_BD!$F:$F,"&lt;="&amp;Analytics!$B$3)</f>
        <v>1.5000000000000013</v>
      </c>
      <c r="AI9" s="267">
        <f>SUMIFS(IGA_BD!$Q:$Q,IGA_BD!$G:$G,(VLOOKUP(AI$4,'Basic Data'!$A:$F,6,0)),IGA_BD!$F:$F,"&gt;="&amp;Analytics!$B$2,IGA_BD!$F:$F,"&lt;="&amp;Analytics!$B$3)</f>
        <v>1.5000000000000013</v>
      </c>
      <c r="AJ9" s="267">
        <f>SUMIFS(IGA_BD!$Q:$Q,IGA_BD!$G:$G,(VLOOKUP(AJ$4,'Basic Data'!$A:$F,6,0)),IGA_BD!$F:$F,"&gt;="&amp;Analytics!$B$2,IGA_BD!$F:$F,"&lt;="&amp;Analytics!$B$3)</f>
        <v>0.70000000000000018</v>
      </c>
      <c r="AK9" s="267">
        <f>SUMIFS(IGA_BD!$Q:$Q,IGA_BD!$G:$G,(VLOOKUP(AK$4,'Basic Data'!$A:$F,6,0)),IGA_BD!$F:$F,"&gt;="&amp;Analytics!$B$2,IGA_BD!$F:$F,"&lt;="&amp;Analytics!$B$3)</f>
        <v>1.5000000000000013</v>
      </c>
      <c r="AL9" s="267">
        <f>SUMIFS(IGA_BD!$Q:$Q,IGA_BD!$G:$G,(VLOOKUP(AL$4,'Basic Data'!$A:$F,6,0)),IGA_BD!$F:$F,"&gt;="&amp;Analytics!$B$2,IGA_BD!$F:$F,"&lt;="&amp;Analytics!$B$3)</f>
        <v>1.5000000000000013</v>
      </c>
      <c r="AM9" s="267">
        <f>SUMIFS(IGA_BD!$Q:$Q,IGA_BD!$G:$G,(VLOOKUP(AM$4,'Basic Data'!$A:$F,6,0)),IGA_BD!$F:$F,"&gt;="&amp;Analytics!$B$2,IGA_BD!$F:$F,"&lt;="&amp;Analytics!$B$3)</f>
        <v>1.5000000000000013</v>
      </c>
      <c r="AN9" s="267">
        <f>SUMIFS(IGA_BD!$Q:$Q,IGA_BD!$G:$G,(VLOOKUP(AN$4,'Basic Data'!$A:$F,6,0)),IGA_BD!$F:$F,"&gt;="&amp;Analytics!$B$2,IGA_BD!$F:$F,"&lt;="&amp;Analytics!$B$3)</f>
        <v>1.5000000000000013</v>
      </c>
      <c r="AO9" s="267">
        <f>SUMIFS(IGA_BD!$Q:$Q,IGA_BD!$G:$G,(VLOOKUP(AO$4,'Basic Data'!$A:$F,6,0)),IGA_BD!$F:$F,"&gt;="&amp;Analytics!$B$2,IGA_BD!$F:$F,"&lt;="&amp;Analytics!$B$3)</f>
        <v>12.666666666666668</v>
      </c>
      <c r="AP9" s="267">
        <f>SUMIFS(IGA_BD!$Q:$Q,IGA_BD!$G:$G,(VLOOKUP(AP$4,'Basic Data'!$A:$F,6,0)),IGA_BD!$F:$F,"&gt;="&amp;Analytics!$B$2,IGA_BD!$F:$F,"&lt;="&amp;Analytics!$B$3)</f>
        <v>12.666666666666668</v>
      </c>
      <c r="AQ9" s="267">
        <f>SUMIFS(IGA_BD!$Q:$Q,IGA_BD!$G:$G,(VLOOKUP(AQ$4,'Basic Data'!$A:$F,6,0)),IGA_BD!$F:$F,"&gt;="&amp;Analytics!$B$2,IGA_BD!$F:$F,"&lt;="&amp;Analytics!$B$3)</f>
        <v>12.666666666666668</v>
      </c>
      <c r="AR9" s="267">
        <f>SUMIFS(IGA_BD!$Q:$Q,IGA_BD!$G:$G,(VLOOKUP(AR$4,'Basic Data'!$A:$F,6,0)),IGA_BD!$F:$F,"&gt;="&amp;Analytics!$B$2,IGA_BD!$F:$F,"&lt;="&amp;Analytics!$B$3)</f>
        <v>12.666666666666668</v>
      </c>
      <c r="AS9" s="267">
        <f>SUMIFS(IGA_BD!$Q:$Q,IGA_BD!$G:$G,(VLOOKUP(AS$4,'Basic Data'!$A:$F,6,0)),IGA_BD!$F:$F,"&gt;="&amp;Analytics!$B$2,IGA_BD!$F:$F,"&lt;="&amp;Analytics!$B$3)</f>
        <v>12.666666666666668</v>
      </c>
      <c r="AT9" s="267">
        <f>SUMIFS(IGA_BD!$Q:$Q,IGA_BD!$G:$G,(VLOOKUP(AT$4,'Basic Data'!$A:$F,6,0)),IGA_BD!$F:$F,"&gt;="&amp;Analytics!$B$2,IGA_BD!$F:$F,"&lt;="&amp;Analytics!$B$3)</f>
        <v>0</v>
      </c>
    </row>
    <row r="10" spans="1:46" ht="15" hidden="1" customHeight="1">
      <c r="A10" s="170" t="s">
        <v>125</v>
      </c>
      <c r="B10" s="173"/>
      <c r="C10" s="173"/>
      <c r="D10" s="173"/>
      <c r="E10" s="173"/>
      <c r="F10" s="173"/>
      <c r="G10" s="173"/>
      <c r="H10" s="173"/>
      <c r="I10" s="173"/>
      <c r="J10" s="173"/>
      <c r="K10" s="173"/>
      <c r="L10" s="173"/>
      <c r="M10" s="173"/>
      <c r="N10" s="173"/>
      <c r="O10" s="173"/>
      <c r="P10" s="173"/>
      <c r="Q10" s="173"/>
      <c r="R10" s="173"/>
      <c r="S10" s="173"/>
      <c r="T10" s="173"/>
      <c r="U10" s="173"/>
      <c r="V10" s="173"/>
      <c r="W10" s="173"/>
      <c r="X10" s="173"/>
      <c r="Y10" s="173"/>
      <c r="Z10" s="173"/>
      <c r="AA10" s="173"/>
      <c r="AB10" s="173"/>
      <c r="AC10" s="173"/>
      <c r="AD10" s="173"/>
      <c r="AE10" s="173"/>
      <c r="AF10" s="173"/>
      <c r="AG10" s="173"/>
      <c r="AH10" s="173"/>
      <c r="AI10" s="173"/>
      <c r="AJ10" s="173"/>
      <c r="AK10" s="173"/>
      <c r="AL10" s="173"/>
      <c r="AM10" s="173"/>
      <c r="AN10" s="173"/>
      <c r="AO10" s="173"/>
      <c r="AP10" s="173"/>
      <c r="AQ10" s="173"/>
      <c r="AR10" s="173"/>
      <c r="AS10" s="173"/>
      <c r="AT10" s="85" t="e">
        <f t="shared" si="2"/>
        <v>#DIV/0!</v>
      </c>
    </row>
    <row r="11" spans="1:46" ht="15" hidden="1" customHeight="1">
      <c r="A11" s="170" t="s">
        <v>126</v>
      </c>
      <c r="B11" s="173"/>
      <c r="C11" s="173"/>
      <c r="D11" s="173"/>
      <c r="E11" s="173"/>
      <c r="F11" s="173"/>
      <c r="G11" s="173"/>
      <c r="H11" s="173"/>
      <c r="I11" s="173"/>
      <c r="J11" s="173"/>
      <c r="K11" s="173"/>
      <c r="L11" s="173"/>
      <c r="M11" s="173"/>
      <c r="N11" s="173"/>
      <c r="O11" s="173"/>
      <c r="P11" s="173"/>
      <c r="Q11" s="173"/>
      <c r="R11" s="173"/>
      <c r="S11" s="173"/>
      <c r="T11" s="173"/>
      <c r="U11" s="173"/>
      <c r="V11" s="173"/>
      <c r="W11" s="173"/>
      <c r="X11" s="173"/>
      <c r="Y11" s="173"/>
      <c r="Z11" s="173"/>
      <c r="AA11" s="173"/>
      <c r="AB11" s="173"/>
      <c r="AC11" s="173"/>
      <c r="AD11" s="173"/>
      <c r="AE11" s="173"/>
      <c r="AF11" s="173"/>
      <c r="AG11" s="173"/>
      <c r="AH11" s="173"/>
      <c r="AI11" s="173"/>
      <c r="AJ11" s="173"/>
      <c r="AK11" s="173"/>
      <c r="AL11" s="173"/>
      <c r="AM11" s="173"/>
      <c r="AN11" s="173"/>
      <c r="AO11" s="173"/>
      <c r="AP11" s="173"/>
      <c r="AQ11" s="173"/>
      <c r="AR11" s="173"/>
      <c r="AS11" s="173"/>
      <c r="AT11" s="85" t="e">
        <f t="shared" si="2"/>
        <v>#DIV/0!</v>
      </c>
    </row>
    <row r="12" spans="1:46" ht="15" hidden="1" customHeight="1">
      <c r="A12" s="170" t="s">
        <v>127</v>
      </c>
      <c r="B12" s="173"/>
      <c r="C12" s="173"/>
      <c r="D12" s="173"/>
      <c r="E12" s="173"/>
      <c r="F12" s="173"/>
      <c r="G12" s="173"/>
      <c r="H12" s="173"/>
      <c r="I12" s="173"/>
      <c r="J12" s="173"/>
      <c r="K12" s="173"/>
      <c r="L12" s="173"/>
      <c r="M12" s="173"/>
      <c r="N12" s="173"/>
      <c r="O12" s="173"/>
      <c r="P12" s="173"/>
      <c r="Q12" s="173"/>
      <c r="R12" s="173"/>
      <c r="S12" s="173"/>
      <c r="T12" s="173"/>
      <c r="U12" s="173"/>
      <c r="V12" s="173"/>
      <c r="W12" s="173"/>
      <c r="X12" s="173"/>
      <c r="Y12" s="173"/>
      <c r="Z12" s="173"/>
      <c r="AA12" s="173"/>
      <c r="AB12" s="173"/>
      <c r="AC12" s="173"/>
      <c r="AD12" s="173"/>
      <c r="AE12" s="173"/>
      <c r="AF12" s="173"/>
      <c r="AG12" s="173"/>
      <c r="AH12" s="173"/>
      <c r="AI12" s="173"/>
      <c r="AJ12" s="173"/>
      <c r="AK12" s="173"/>
      <c r="AL12" s="173"/>
      <c r="AM12" s="173"/>
      <c r="AN12" s="173"/>
      <c r="AO12" s="173"/>
      <c r="AP12" s="173"/>
      <c r="AQ12" s="173"/>
      <c r="AR12" s="173"/>
      <c r="AS12" s="173"/>
      <c r="AT12" s="85" t="e">
        <f t="shared" si="2"/>
        <v>#DIV/0!</v>
      </c>
    </row>
    <row r="13" spans="1:46" ht="29.1" customHeight="1">
      <c r="A13" s="167" t="s">
        <v>128</v>
      </c>
      <c r="B13" s="174">
        <f>($C$3-B14)/$C$3</f>
        <v>0.99830246913580245</v>
      </c>
      <c r="C13" s="174">
        <f t="shared" ref="C13:F13" si="3">($C$3-C14)/$C$3</f>
        <v>0.99830246913580245</v>
      </c>
      <c r="D13" s="174">
        <f t="shared" si="3"/>
        <v>0.99830246913580245</v>
      </c>
      <c r="E13" s="174">
        <f t="shared" si="3"/>
        <v>1</v>
      </c>
      <c r="F13" s="174">
        <f t="shared" si="3"/>
        <v>0.99742798353909468</v>
      </c>
      <c r="G13" s="174">
        <f t="shared" ref="G13" si="4">($C$3-G14)/$C$3</f>
        <v>0.99742798353909468</v>
      </c>
      <c r="H13" s="174">
        <f t="shared" ref="H13" si="5">($C$3-H14)/$C$3</f>
        <v>0.99830246913580245</v>
      </c>
      <c r="I13" s="174">
        <f t="shared" ref="I13:J13" si="6">($C$3-I14)/$C$3</f>
        <v>1</v>
      </c>
      <c r="J13" s="174">
        <f t="shared" si="6"/>
        <v>1</v>
      </c>
      <c r="K13" s="174">
        <f t="shared" ref="K13" si="7">($C$3-K14)/$C$3</f>
        <v>1</v>
      </c>
      <c r="L13" s="174">
        <f t="shared" ref="L13" si="8">($C$3-L14)/$C$3</f>
        <v>1</v>
      </c>
      <c r="M13" s="174">
        <f t="shared" ref="M13:N13" si="9">($C$3-M14)/$C$3</f>
        <v>1</v>
      </c>
      <c r="N13" s="174">
        <f t="shared" si="9"/>
        <v>1</v>
      </c>
      <c r="O13" s="174">
        <f t="shared" ref="O13" si="10">($C$3-O14)/$C$3</f>
        <v>1</v>
      </c>
      <c r="P13" s="174">
        <f t="shared" ref="P13" si="11">($C$3-P14)/$C$3</f>
        <v>1</v>
      </c>
      <c r="Q13" s="174">
        <f t="shared" ref="Q13:R13" si="12">($C$3-Q14)/$C$3</f>
        <v>1</v>
      </c>
      <c r="R13" s="174">
        <f t="shared" si="12"/>
        <v>1</v>
      </c>
      <c r="S13" s="174">
        <f t="shared" ref="S13" si="13">($C$3-S14)/$C$3</f>
        <v>0.99830246913580245</v>
      </c>
      <c r="T13" s="174">
        <f t="shared" ref="T13" si="14">($C$3-T14)/$C$3</f>
        <v>1</v>
      </c>
      <c r="U13" s="174">
        <f t="shared" ref="U13:V13" si="15">($C$3-U14)/$C$3</f>
        <v>1</v>
      </c>
      <c r="V13" s="174">
        <f t="shared" si="15"/>
        <v>1</v>
      </c>
      <c r="W13" s="174">
        <f t="shared" ref="W13" si="16">($C$3-W14)/$C$3</f>
        <v>1</v>
      </c>
      <c r="X13" s="174">
        <f t="shared" ref="X13" si="17">($C$3-X14)/$C$3</f>
        <v>1</v>
      </c>
      <c r="Y13" s="174">
        <f t="shared" ref="Y13:Z13" si="18">($C$3-Y14)/$C$3</f>
        <v>1</v>
      </c>
      <c r="Z13" s="174">
        <f t="shared" si="18"/>
        <v>1</v>
      </c>
      <c r="AA13" s="174">
        <f t="shared" ref="AA13" si="19">($C$3-AA14)/$C$3</f>
        <v>1</v>
      </c>
      <c r="AB13" s="174">
        <f t="shared" ref="AB13" si="20">($C$3-AB14)/$C$3</f>
        <v>0.99830246913580245</v>
      </c>
      <c r="AC13" s="174">
        <f t="shared" ref="AC13:AD13" si="21">($C$3-AC14)/$C$3</f>
        <v>0.99830246913580245</v>
      </c>
      <c r="AD13" s="174">
        <f t="shared" si="21"/>
        <v>1</v>
      </c>
      <c r="AE13" s="174">
        <f t="shared" ref="AE13" si="22">($C$3-AE14)/$C$3</f>
        <v>0.99830246913580245</v>
      </c>
      <c r="AF13" s="174">
        <f t="shared" ref="AF13" si="23">($C$3-AF14)/$C$3</f>
        <v>1</v>
      </c>
      <c r="AG13" s="174">
        <f t="shared" ref="AG13:AH13" si="24">($C$3-AG14)/$C$3</f>
        <v>0.99742798353909468</v>
      </c>
      <c r="AH13" s="174">
        <f t="shared" si="24"/>
        <v>0.99742798353909468</v>
      </c>
      <c r="AI13" s="174">
        <f t="shared" ref="AI13" si="25">($C$3-AI14)/$C$3</f>
        <v>0.99742798353909468</v>
      </c>
      <c r="AJ13" s="174">
        <f t="shared" ref="AJ13" si="26">($C$3-AJ14)/$C$3</f>
        <v>1</v>
      </c>
      <c r="AK13" s="174">
        <f t="shared" ref="AK13:AL13" si="27">($C$3-AK14)/$C$3</f>
        <v>0.99742798353909468</v>
      </c>
      <c r="AL13" s="174">
        <f t="shared" si="27"/>
        <v>0.99742798353909468</v>
      </c>
      <c r="AM13" s="174">
        <f t="shared" ref="AM13" si="28">($C$3-AM14)/$C$3</f>
        <v>0.99742798353909468</v>
      </c>
      <c r="AN13" s="174">
        <f t="shared" ref="AN13" si="29">($C$3-AN14)/$C$3</f>
        <v>0.99742798353909468</v>
      </c>
      <c r="AO13" s="174">
        <f t="shared" ref="AO13:AP13" si="30">($C$3-AO14)/$C$3</f>
        <v>0.99830246913580245</v>
      </c>
      <c r="AP13" s="174">
        <f t="shared" si="30"/>
        <v>0.99830246913580245</v>
      </c>
      <c r="AQ13" s="174">
        <f t="shared" ref="AQ13" si="31">($C$3-AQ14)/$C$3</f>
        <v>0.99830246913580245</v>
      </c>
      <c r="AR13" s="174">
        <f t="shared" ref="AR13" si="32">($C$3-AR14)/$C$3</f>
        <v>0.99830246913580245</v>
      </c>
      <c r="AS13" s="174">
        <f t="shared" ref="AS13" si="33">($C$3-AS14)/$C$3</f>
        <v>0.99830246913580245</v>
      </c>
      <c r="AT13" s="85">
        <f t="shared" si="2"/>
        <v>0.99897236251402921</v>
      </c>
    </row>
    <row r="14" spans="1:46" ht="29.1" hidden="1" customHeight="1">
      <c r="A14" s="170" t="s">
        <v>129</v>
      </c>
      <c r="B14" s="267">
        <f>SUMIFS(Grid_BD!$R:$R,Grid_BD!$G:$G,(VLOOKUP(B$4,'Basic Data'!$A:$F,6,0)),Grid_BD!$F:$F,"&gt;="&amp;Analytics!$B$2,Grid_BD!$F:$F,"&lt;="&amp;Analytics!$B$3)</f>
        <v>1.1000000000000028</v>
      </c>
      <c r="C14" s="267">
        <f>SUMIFS(Grid_BD!$R:$R,Grid_BD!$G:$G,(VLOOKUP(C$4,'Basic Data'!$A:$F,6,0)),Grid_BD!$F:$F,"&gt;="&amp;Analytics!$B$2,Grid_BD!$F:$F,"&lt;="&amp;Analytics!$B$3)</f>
        <v>1.1000000000000028</v>
      </c>
      <c r="D14" s="267">
        <f>SUMIFS(Grid_BD!$R:$R,Grid_BD!$G:$G,(VLOOKUP(D$4,'Basic Data'!$A:$F,6,0)),Grid_BD!$F:$F,"&gt;="&amp;Analytics!$B$2,Grid_BD!$F:$F,"&lt;="&amp;Analytics!$B$3)</f>
        <v>1.1000000000000028</v>
      </c>
      <c r="E14" s="267">
        <f>SUMIFS(Grid_BD!$R:$R,Grid_BD!$G:$G,(VLOOKUP(E$4,'Basic Data'!$A:$F,6,0)),Grid_BD!$F:$F,"&gt;="&amp;Analytics!$B$2,Grid_BD!$F:$F,"&lt;="&amp;Analytics!$B$3)</f>
        <v>0</v>
      </c>
      <c r="F14" s="267">
        <f>SUMIFS(Grid_BD!$R:$R,Grid_BD!$G:$G,(VLOOKUP(F$4,'Basic Data'!$A:$F,6,0)),Grid_BD!$F:$F,"&gt;="&amp;Analytics!$B$2,Grid_BD!$F:$F,"&lt;="&amp;Analytics!$B$3)</f>
        <v>1.6666666666666647</v>
      </c>
      <c r="G14" s="267">
        <f>SUMIFS(Grid_BD!$R:$R,Grid_BD!$G:$G,(VLOOKUP(G$4,'Basic Data'!$A:$F,6,0)),Grid_BD!$F:$F,"&gt;="&amp;Analytics!$B$2,Grid_BD!$F:$F,"&lt;="&amp;Analytics!$B$3)</f>
        <v>1.6666666666666647</v>
      </c>
      <c r="H14" s="267">
        <f>SUMIFS(Grid_BD!$R:$R,Grid_BD!$G:$G,(VLOOKUP(H$4,'Basic Data'!$A:$F,6,0)),Grid_BD!$F:$F,"&gt;="&amp;Analytics!$B$2,Grid_BD!$F:$F,"&lt;="&amp;Analytics!$B$3)</f>
        <v>1.1000000000000028</v>
      </c>
      <c r="I14" s="267">
        <f>SUMIFS(Grid_BD!$R:$R,Grid_BD!$G:$G,(VLOOKUP(I$4,'Basic Data'!$A:$F,6,0)),Grid_BD!$F:$F,"&gt;="&amp;Analytics!$B$2,Grid_BD!$F:$F,"&lt;="&amp;Analytics!$B$3)</f>
        <v>0</v>
      </c>
      <c r="J14" s="267">
        <f>SUMIFS(Grid_BD!$R:$R,Grid_BD!$G:$G,(VLOOKUP(J$4,'Basic Data'!$A:$F,6,0)),Grid_BD!$F:$F,"&gt;="&amp;Analytics!$B$2,Grid_BD!$F:$F,"&lt;="&amp;Analytics!$B$3)</f>
        <v>0</v>
      </c>
      <c r="K14" s="267">
        <f>SUMIFS(Grid_BD!$R:$R,Grid_BD!$G:$G,(VLOOKUP(K$4,'Basic Data'!$A:$F,6,0)),Grid_BD!$F:$F,"&gt;="&amp;Analytics!$B$2,Grid_BD!$F:$F,"&lt;="&amp;Analytics!$B$3)</f>
        <v>0</v>
      </c>
      <c r="L14" s="267">
        <f>SUMIFS(Grid_BD!$R:$R,Grid_BD!$G:$G,(VLOOKUP(L$4,'Basic Data'!$A:$F,6,0)),Grid_BD!$F:$F,"&gt;="&amp;Analytics!$B$2,Grid_BD!$F:$F,"&lt;="&amp;Analytics!$B$3)</f>
        <v>0</v>
      </c>
      <c r="M14" s="267">
        <f>SUMIFS(Grid_BD!$R:$R,Grid_BD!$G:$G,(VLOOKUP(M$4,'Basic Data'!$A:$F,6,0)),Grid_BD!$F:$F,"&gt;="&amp;Analytics!$B$2,Grid_BD!$F:$F,"&lt;="&amp;Analytics!$B$3)</f>
        <v>0</v>
      </c>
      <c r="N14" s="267">
        <f>SUMIFS(Grid_BD!$R:$R,Grid_BD!$G:$G,(VLOOKUP(N$4,'Basic Data'!$A:$F,6,0)),Grid_BD!$F:$F,"&gt;="&amp;Analytics!$B$2,Grid_BD!$F:$F,"&lt;="&amp;Analytics!$B$3)</f>
        <v>0</v>
      </c>
      <c r="O14" s="267">
        <f>SUMIFS(Grid_BD!$R:$R,Grid_BD!$G:$G,(VLOOKUP(O$4,'Basic Data'!$A:$F,6,0)),Grid_BD!$F:$F,"&gt;="&amp;Analytics!$B$2,Grid_BD!$F:$F,"&lt;="&amp;Analytics!$B$3)</f>
        <v>0</v>
      </c>
      <c r="P14" s="267">
        <f>SUMIFS(Grid_BD!$R:$R,Grid_BD!$G:$G,(VLOOKUP(P$4,'Basic Data'!$A:$F,6,0)),Grid_BD!$F:$F,"&gt;="&amp;Analytics!$B$2,Grid_BD!$F:$F,"&lt;="&amp;Analytics!$B$3)</f>
        <v>0</v>
      </c>
      <c r="Q14" s="267">
        <f>SUMIFS(Grid_BD!$R:$R,Grid_BD!$G:$G,(VLOOKUP(Q$4,'Basic Data'!$A:$F,6,0)),Grid_BD!$F:$F,"&gt;="&amp;Analytics!$B$2,Grid_BD!$F:$F,"&lt;="&amp;Analytics!$B$3)</f>
        <v>0</v>
      </c>
      <c r="R14" s="267">
        <f>SUMIFS(Grid_BD!$R:$R,Grid_BD!$G:$G,(VLOOKUP(R$4,'Basic Data'!$A:$F,6,0)),Grid_BD!$F:$F,"&gt;="&amp;Analytics!$B$2,Grid_BD!$F:$F,"&lt;="&amp;Analytics!$B$3)</f>
        <v>0</v>
      </c>
      <c r="S14" s="267">
        <f>SUMIFS(Grid_BD!$R:$R,Grid_BD!$G:$G,(VLOOKUP(S$4,'Basic Data'!$A:$F,6,0)),Grid_BD!$F:$F,"&gt;="&amp;Analytics!$B$2,Grid_BD!$F:$F,"&lt;="&amp;Analytics!$B$3)</f>
        <v>1.1000000000000028</v>
      </c>
      <c r="T14" s="267">
        <f>SUMIFS(Grid_BD!$R:$R,Grid_BD!$G:$G,(VLOOKUP(T$4,'Basic Data'!$A:$F,6,0)),Grid_BD!$F:$F,"&gt;="&amp;Analytics!$B$2,Grid_BD!$F:$F,"&lt;="&amp;Analytics!$B$3)</f>
        <v>0</v>
      </c>
      <c r="U14" s="267">
        <f>SUMIFS(Grid_BD!$R:$R,Grid_BD!$G:$G,(VLOOKUP(U$4,'Basic Data'!$A:$F,6,0)),Grid_BD!$F:$F,"&gt;="&amp;Analytics!$B$2,Grid_BD!$F:$F,"&lt;="&amp;Analytics!$B$3)</f>
        <v>0</v>
      </c>
      <c r="V14" s="267">
        <f>SUMIFS(Grid_BD!$R:$R,Grid_BD!$G:$G,(VLOOKUP(V$4,'Basic Data'!$A:$F,6,0)),Grid_BD!$F:$F,"&gt;="&amp;Analytics!$B$2,Grid_BD!$F:$F,"&lt;="&amp;Analytics!$B$3)</f>
        <v>0</v>
      </c>
      <c r="W14" s="267">
        <f>SUMIFS(Grid_BD!$R:$R,Grid_BD!$G:$G,(VLOOKUP(W$4,'Basic Data'!$A:$F,6,0)),Grid_BD!$F:$F,"&gt;="&amp;Analytics!$B$2,Grid_BD!$F:$F,"&lt;="&amp;Analytics!$B$3)</f>
        <v>0</v>
      </c>
      <c r="X14" s="267">
        <f>SUMIFS(Grid_BD!$R:$R,Grid_BD!$G:$G,(VLOOKUP(X$4,'Basic Data'!$A:$F,6,0)),Grid_BD!$F:$F,"&gt;="&amp;Analytics!$B$2,Grid_BD!$F:$F,"&lt;="&amp;Analytics!$B$3)</f>
        <v>0</v>
      </c>
      <c r="Y14" s="267">
        <f>SUMIFS(Grid_BD!$R:$R,Grid_BD!$G:$G,(VLOOKUP(Y$4,'Basic Data'!$A:$F,6,0)),Grid_BD!$F:$F,"&gt;="&amp;Analytics!$B$2,Grid_BD!$F:$F,"&lt;="&amp;Analytics!$B$3)</f>
        <v>0</v>
      </c>
      <c r="Z14" s="267">
        <f>SUMIFS(Grid_BD!$R:$R,Grid_BD!$G:$G,(VLOOKUP(Z$4,'Basic Data'!$A:$F,6,0)),Grid_BD!$F:$F,"&gt;="&amp;Analytics!$B$2,Grid_BD!$F:$F,"&lt;="&amp;Analytics!$B$3)</f>
        <v>0</v>
      </c>
      <c r="AA14" s="267">
        <f>SUMIFS(Grid_BD!$R:$R,Grid_BD!$G:$G,(VLOOKUP(AA$4,'Basic Data'!$A:$F,6,0)),Grid_BD!$F:$F,"&gt;="&amp;Analytics!$B$2,Grid_BD!$F:$F,"&lt;="&amp;Analytics!$B$3)</f>
        <v>0</v>
      </c>
      <c r="AB14" s="267">
        <f>SUMIFS(Grid_BD!$R:$R,Grid_BD!$G:$G,(VLOOKUP(AB$4,'Basic Data'!$A:$F,6,0)),Grid_BD!$F:$F,"&gt;="&amp;Analytics!$B$2,Grid_BD!$F:$F,"&lt;="&amp;Analytics!$B$3)</f>
        <v>1.1000000000000028</v>
      </c>
      <c r="AC14" s="267">
        <f>SUMIFS(Grid_BD!$R:$R,Grid_BD!$G:$G,(VLOOKUP(AC$4,'Basic Data'!$A:$F,6,0)),Grid_BD!$F:$F,"&gt;="&amp;Analytics!$B$2,Grid_BD!$F:$F,"&lt;="&amp;Analytics!$B$3)</f>
        <v>1.1000000000000028</v>
      </c>
      <c r="AD14" s="267">
        <f>SUMIFS(Grid_BD!$R:$R,Grid_BD!$G:$G,(VLOOKUP(AD$4,'Basic Data'!$A:$F,6,0)),Grid_BD!$F:$F,"&gt;="&amp;Analytics!$B$2,Grid_BD!$F:$F,"&lt;="&amp;Analytics!$B$3)</f>
        <v>0</v>
      </c>
      <c r="AE14" s="267">
        <f>SUMIFS(Grid_BD!$R:$R,Grid_BD!$G:$G,(VLOOKUP(AE$4,'Basic Data'!$A:$F,6,0)),Grid_BD!$F:$F,"&gt;="&amp;Analytics!$B$2,Grid_BD!$F:$F,"&lt;="&amp;Analytics!$B$3)</f>
        <v>1.1000000000000028</v>
      </c>
      <c r="AF14" s="267">
        <f>SUMIFS(Grid_BD!$R:$R,Grid_BD!$G:$G,(VLOOKUP(AF$4,'Basic Data'!$A:$F,6,0)),Grid_BD!$F:$F,"&gt;="&amp;Analytics!$B$2,Grid_BD!$F:$F,"&lt;="&amp;Analytics!$B$3)</f>
        <v>0</v>
      </c>
      <c r="AG14" s="267">
        <f>SUMIFS(Grid_BD!$R:$R,Grid_BD!$G:$G,(VLOOKUP(AG$4,'Basic Data'!$A:$F,6,0)),Grid_BD!$F:$F,"&gt;="&amp;Analytics!$B$2,Grid_BD!$F:$F,"&lt;="&amp;Analytics!$B$3)</f>
        <v>1.6666666666666647</v>
      </c>
      <c r="AH14" s="267">
        <f>SUMIFS(Grid_BD!$R:$R,Grid_BD!$G:$G,(VLOOKUP(AH$4,'Basic Data'!$A:$F,6,0)),Grid_BD!$F:$F,"&gt;="&amp;Analytics!$B$2,Grid_BD!$F:$F,"&lt;="&amp;Analytics!$B$3)</f>
        <v>1.6666666666666647</v>
      </c>
      <c r="AI14" s="267">
        <f>SUMIFS(Grid_BD!$R:$R,Grid_BD!$G:$G,(VLOOKUP(AI$4,'Basic Data'!$A:$F,6,0)),Grid_BD!$F:$F,"&gt;="&amp;Analytics!$B$2,Grid_BD!$F:$F,"&lt;="&amp;Analytics!$B$3)</f>
        <v>1.6666666666666647</v>
      </c>
      <c r="AJ14" s="267">
        <f>SUMIFS(Grid_BD!$R:$R,Grid_BD!$G:$G,(VLOOKUP(AJ$4,'Basic Data'!$A:$F,6,0)),Grid_BD!$F:$F,"&gt;="&amp;Analytics!$B$2,Grid_BD!$F:$F,"&lt;="&amp;Analytics!$B$3)</f>
        <v>0</v>
      </c>
      <c r="AK14" s="267">
        <f>SUMIFS(Grid_BD!$R:$R,Grid_BD!$G:$G,(VLOOKUP(AK$4,'Basic Data'!$A:$F,6,0)),Grid_BD!$F:$F,"&gt;="&amp;Analytics!$B$2,Grid_BD!$F:$F,"&lt;="&amp;Analytics!$B$3)</f>
        <v>1.6666666666666647</v>
      </c>
      <c r="AL14" s="267">
        <f>SUMIFS(Grid_BD!$R:$R,Grid_BD!$G:$G,(VLOOKUP(AL$4,'Basic Data'!$A:$F,6,0)),Grid_BD!$F:$F,"&gt;="&amp;Analytics!$B$2,Grid_BD!$F:$F,"&lt;="&amp;Analytics!$B$3)</f>
        <v>1.6666666666666647</v>
      </c>
      <c r="AM14" s="267">
        <f>SUMIFS(Grid_BD!$R:$R,Grid_BD!$G:$G,(VLOOKUP(AM$4,'Basic Data'!$A:$F,6,0)),Grid_BD!$F:$F,"&gt;="&amp;Analytics!$B$2,Grid_BD!$F:$F,"&lt;="&amp;Analytics!$B$3)</f>
        <v>1.6666666666666647</v>
      </c>
      <c r="AN14" s="267">
        <f>SUMIFS(Grid_BD!$R:$R,Grid_BD!$G:$G,(VLOOKUP(AN$4,'Basic Data'!$A:$F,6,0)),Grid_BD!$F:$F,"&gt;="&amp;Analytics!$B$2,Grid_BD!$F:$F,"&lt;="&amp;Analytics!$B$3)</f>
        <v>1.6666666666666647</v>
      </c>
      <c r="AO14" s="267">
        <f>SUMIFS(Grid_BD!$R:$R,Grid_BD!$G:$G,(VLOOKUP(AO$4,'Basic Data'!$A:$F,6,0)),Grid_BD!$F:$F,"&gt;="&amp;Analytics!$B$2,Grid_BD!$F:$F,"&lt;="&amp;Analytics!$B$3)</f>
        <v>1.1000000000000028</v>
      </c>
      <c r="AP14" s="267">
        <f>SUMIFS(Grid_BD!$R:$R,Grid_BD!$G:$G,(VLOOKUP(AP$4,'Basic Data'!$A:$F,6,0)),Grid_BD!$F:$F,"&gt;="&amp;Analytics!$B$2,Grid_BD!$F:$F,"&lt;="&amp;Analytics!$B$3)</f>
        <v>1.1000000000000028</v>
      </c>
      <c r="AQ14" s="267">
        <f>SUMIFS(Grid_BD!$R:$R,Grid_BD!$G:$G,(VLOOKUP(AQ$4,'Basic Data'!$A:$F,6,0)),Grid_BD!$F:$F,"&gt;="&amp;Analytics!$B$2,Grid_BD!$F:$F,"&lt;="&amp;Analytics!$B$3)</f>
        <v>1.1000000000000028</v>
      </c>
      <c r="AR14" s="267">
        <f>SUMIFS(Grid_BD!$R:$R,Grid_BD!$G:$G,(VLOOKUP(AR$4,'Basic Data'!$A:$F,6,0)),Grid_BD!$F:$F,"&gt;="&amp;Analytics!$B$2,Grid_BD!$F:$F,"&lt;="&amp;Analytics!$B$3)</f>
        <v>1.1000000000000028</v>
      </c>
      <c r="AS14" s="267">
        <f>SUMIFS(Grid_BD!$R:$R,Grid_BD!$G:$G,(VLOOKUP(AS$4,'Basic Data'!$A:$F,6,0)),Grid_BD!$F:$F,"&gt;="&amp;Analytics!$B$2,Grid_BD!$F:$F,"&lt;="&amp;Analytics!$B$3)</f>
        <v>1.1000000000000028</v>
      </c>
      <c r="AT14" s="267">
        <f>SUMIFS(Grid_BD!$R:$R,Grid_BD!$G:$G,(VLOOKUP(AT$4,'Basic Data'!$A:$F,6,0)),Grid_BD!$F:$F,"&gt;="&amp;Analytics!$B$2,Grid_BD!$F:$F,"&lt;="&amp;Analytics!$B$3)</f>
        <v>0</v>
      </c>
    </row>
    <row r="15" spans="1:46" ht="29.1" customHeight="1">
      <c r="A15" s="167" t="s">
        <v>130</v>
      </c>
      <c r="B15" s="173">
        <f>SUMIFS(Input_Raw!F:F,Input_Raw!$A:$A,"&gt;="&amp;Analytics!$B$2,Input_Raw!$A:$A,"&lt;="&amp;Analytics!$B$3)</f>
        <v>723356</v>
      </c>
      <c r="C15" s="173">
        <f>SUMIFS(Input_Raw!G:G,Input_Raw!$A:$A,"&gt;="&amp;Analytics!$B$2,Input_Raw!$A:$A,"&lt;="&amp;Analytics!$B$3)</f>
        <v>633204</v>
      </c>
      <c r="D15" s="173">
        <f>SUMIFS(Input_Raw!H:H,Input_Raw!$A:$A,"&gt;="&amp;Analytics!$B$2,Input_Raw!$A:$A,"&lt;="&amp;Analytics!$B$3)</f>
        <v>615756</v>
      </c>
      <c r="E15" s="173">
        <f>SUMIFS(Input_Raw!I:I,Input_Raw!$A:$A,"&gt;="&amp;Analytics!$B$2,Input_Raw!$A:$A,"&lt;="&amp;Analytics!$B$3)</f>
        <v>618122</v>
      </c>
      <c r="F15" s="173">
        <f>SUMIFS(Input_Raw!J:J,Input_Raw!$A:$A,"&gt;="&amp;Analytics!$B$2,Input_Raw!$A:$A,"&lt;="&amp;Analytics!$B$3)</f>
        <v>739816</v>
      </c>
      <c r="G15" s="173">
        <f>SUMIFS(Input_Raw!K:K,Input_Raw!$A:$A,"&gt;="&amp;Analytics!$B$2,Input_Raw!$A:$A,"&lt;="&amp;Analytics!$B$3)</f>
        <v>654028</v>
      </c>
      <c r="H15" s="173">
        <f>SUMIFS(Input_Raw!L:L,Input_Raw!$A:$A,"&gt;="&amp;Analytics!$B$2,Input_Raw!$A:$A,"&lt;="&amp;Analytics!$B$3)</f>
        <v>598880</v>
      </c>
      <c r="I15" s="173">
        <f>SUMIFS(Input_Raw!M:M,Input_Raw!$A:$A,"&gt;="&amp;Analytics!$B$2,Input_Raw!$A:$A,"&lt;="&amp;Analytics!$B$3)</f>
        <v>582088</v>
      </c>
      <c r="J15" s="173">
        <f>SUMIFS(Input_Raw!N:N,Input_Raw!$A:$A,"&gt;="&amp;Analytics!$B$2,Input_Raw!$A:$A,"&lt;="&amp;Analytics!$B$3)</f>
        <v>485484</v>
      </c>
      <c r="K15" s="173">
        <f>SUMIFS(Input_Raw!O:O,Input_Raw!$A:$A,"&gt;="&amp;Analytics!$B$2,Input_Raw!$A:$A,"&lt;="&amp;Analytics!$B$3)</f>
        <v>540244</v>
      </c>
      <c r="L15" s="173">
        <f>SUMIFS(Input_Raw!P:P,Input_Raw!$A:$A,"&gt;="&amp;Analytics!$B$2,Input_Raw!$A:$A,"&lt;="&amp;Analytics!$B$3)</f>
        <v>647054</v>
      </c>
      <c r="M15" s="173">
        <f>SUMIFS(Input_Raw!Q:Q,Input_Raw!$A:$A,"&gt;="&amp;Analytics!$B$2,Input_Raw!$A:$A,"&lt;="&amp;Analytics!$B$3)</f>
        <v>683012</v>
      </c>
      <c r="N15" s="173">
        <f>SUMIFS(Input_Raw!R:R,Input_Raw!$A:$A,"&gt;="&amp;Analytics!$B$2,Input_Raw!$A:$A,"&lt;="&amp;Analytics!$B$3)</f>
        <v>646092</v>
      </c>
      <c r="O15" s="173">
        <f>SUMIFS(Input_Raw!S:S,Input_Raw!$A:$A,"&gt;="&amp;Analytics!$B$2,Input_Raw!$A:$A,"&lt;="&amp;Analytics!$B$3)</f>
        <v>592062</v>
      </c>
      <c r="P15" s="173">
        <f>SUMIFS(Input_Raw!T:T,Input_Raw!$A:$A,"&gt;="&amp;Analytics!$B$2,Input_Raw!$A:$A,"&lt;="&amp;Analytics!$B$3)</f>
        <v>562630</v>
      </c>
      <c r="Q15" s="173">
        <f>SUMIFS(Input_Raw!U:U,Input_Raw!$A:$A,"&gt;="&amp;Analytics!$B$2,Input_Raw!$A:$A,"&lt;="&amp;Analytics!$B$3)</f>
        <v>614230</v>
      </c>
      <c r="R15" s="173">
        <f>SUMIFS(Input_Raw!V:V,Input_Raw!$A:$A,"&gt;="&amp;Analytics!$B$2,Input_Raw!$A:$A,"&lt;="&amp;Analytics!$B$3)</f>
        <v>640014</v>
      </c>
      <c r="S15" s="173">
        <f>SUMIFS(Input_Raw!W:W,Input_Raw!$A:$A,"&gt;="&amp;Analytics!$B$2,Input_Raw!$A:$A,"&lt;="&amp;Analytics!$B$3)</f>
        <v>624916</v>
      </c>
      <c r="T15" s="173">
        <f>SUMIFS(Input_Raw!X:X,Input_Raw!$A:$A,"&gt;="&amp;Analytics!$B$2,Input_Raw!$A:$A,"&lt;="&amp;Analytics!$B$3)</f>
        <v>523880</v>
      </c>
      <c r="U15" s="173">
        <f>SUMIFS(Input_Raw!Y:Y,Input_Raw!$A:$A,"&gt;="&amp;Analytics!$B$2,Input_Raw!$A:$A,"&lt;="&amp;Analytics!$B$3)</f>
        <v>528256</v>
      </c>
      <c r="V15" s="173">
        <f>SUMIFS(Input_Raw!Z:Z,Input_Raw!$A:$A,"&gt;="&amp;Analytics!$B$2,Input_Raw!$A:$A,"&lt;="&amp;Analytics!$B$3)</f>
        <v>659840</v>
      </c>
      <c r="W15" s="173">
        <f>SUMIFS(Input_Raw!AA:AA,Input_Raw!$A:$A,"&gt;="&amp;Analytics!$B$2,Input_Raw!$A:$A,"&lt;="&amp;Analytics!$B$3)</f>
        <v>591032</v>
      </c>
      <c r="X15" s="173">
        <f>SUMIFS(Input_Raw!AB:AB,Input_Raw!$A:$A,"&gt;="&amp;Analytics!$B$2,Input_Raw!$A:$A,"&lt;="&amp;Analytics!$B$3)</f>
        <v>604848</v>
      </c>
      <c r="Y15" s="173">
        <f>SUMIFS(Input_Raw!AC:AC,Input_Raw!$A:$A,"&gt;="&amp;Analytics!$B$2,Input_Raw!$A:$A,"&lt;="&amp;Analytics!$B$3)</f>
        <v>645624</v>
      </c>
      <c r="Z15" s="173">
        <f>SUMIFS(Input_Raw!AD:AD,Input_Raw!$A:$A,"&gt;="&amp;Analytics!$B$2,Input_Raw!$A:$A,"&lt;="&amp;Analytics!$B$3)</f>
        <v>655340</v>
      </c>
      <c r="AA15" s="173">
        <f>SUMIFS(Input_Raw!AE:AE,Input_Raw!$A:$A,"&gt;="&amp;Analytics!$B$2,Input_Raw!$A:$A,"&lt;="&amp;Analytics!$B$3)</f>
        <v>613768</v>
      </c>
      <c r="AB15" s="173">
        <f>SUMIFS(Input_Raw!AF:AF,Input_Raw!$A:$A,"&gt;="&amp;Analytics!$B$2,Input_Raw!$A:$A,"&lt;="&amp;Analytics!$B$3)</f>
        <v>556026</v>
      </c>
      <c r="AC15" s="173">
        <f>SUMIFS(Input_Raw!AG:AG,Input_Raw!$A:$A,"&gt;="&amp;Analytics!$B$2,Input_Raw!$A:$A,"&lt;="&amp;Analytics!$B$3)</f>
        <v>546588</v>
      </c>
      <c r="AD15" s="173">
        <f>SUMIFS(Input_Raw!AH:AH,Input_Raw!$A:$A,"&gt;="&amp;Analytics!$B$2,Input_Raw!$A:$A,"&lt;="&amp;Analytics!$B$3)</f>
        <v>674220</v>
      </c>
      <c r="AE15" s="173">
        <f>SUMIFS(Input_Raw!AI:AI,Input_Raw!$A:$A,"&gt;="&amp;Analytics!$B$2,Input_Raw!$A:$A,"&lt;="&amp;Analytics!$B$3)</f>
        <v>611120</v>
      </c>
      <c r="AF15" s="173">
        <f>SUMIFS(Input_Raw!AJ:AJ,Input_Raw!$A:$A,"&gt;="&amp;Analytics!$B$2,Input_Raw!$A:$A,"&lt;="&amp;Analytics!$B$3)</f>
        <v>620028</v>
      </c>
      <c r="AG15" s="173">
        <f>SUMIFS(Input_Raw!AK:AK,Input_Raw!$A:$A,"&gt;="&amp;Analytics!$B$2,Input_Raw!$A:$A,"&lt;="&amp;Analytics!$B$3)</f>
        <v>534746</v>
      </c>
      <c r="AH15" s="173">
        <f>SUMIFS(Input_Raw!AL:AL,Input_Raw!$A:$A,"&gt;="&amp;Analytics!$B$2,Input_Raw!$A:$A,"&lt;="&amp;Analytics!$B$3)</f>
        <v>726500</v>
      </c>
      <c r="AI15" s="173">
        <f>SUMIFS(Input_Raw!AM:AM,Input_Raw!$A:$A,"&gt;="&amp;Analytics!$B$2,Input_Raw!$A:$A,"&lt;="&amp;Analytics!$B$3)</f>
        <v>703996</v>
      </c>
      <c r="AJ15" s="173">
        <f>SUMIFS(Input_Raw!AN:AN,Input_Raw!$A:$A,"&gt;="&amp;Analytics!$B$2,Input_Raw!$A:$A,"&lt;="&amp;Analytics!$B$3)</f>
        <v>537788</v>
      </c>
      <c r="AK15" s="173">
        <f>SUMIFS(Input_Raw!AO:AO,Input_Raw!$A:$A,"&gt;="&amp;Analytics!$B$2,Input_Raw!$A:$A,"&lt;="&amp;Analytics!$B$3)</f>
        <v>763904</v>
      </c>
      <c r="AL15" s="173">
        <f>SUMIFS(Input_Raw!AP:AP,Input_Raw!$A:$A,"&gt;="&amp;Analytics!$B$2,Input_Raw!$A:$A,"&lt;="&amp;Analytics!$B$3)</f>
        <v>760840</v>
      </c>
      <c r="AM15" s="173">
        <f>SUMIFS(Input_Raw!AQ:AQ,Input_Raw!$A:$A,"&gt;="&amp;Analytics!$B$2,Input_Raw!$A:$A,"&lt;="&amp;Analytics!$B$3)</f>
        <v>718520</v>
      </c>
      <c r="AN15" s="173">
        <f>SUMIFS(Input_Raw!AR:AR,Input_Raw!$A:$A,"&gt;="&amp;Analytics!$B$2,Input_Raw!$A:$A,"&lt;="&amp;Analytics!$B$3)</f>
        <v>752948</v>
      </c>
      <c r="AO15" s="173">
        <f>SUMIFS(Input_Raw!AS:AS,Input_Raw!$A:$A,"&gt;="&amp;Analytics!$B$2,Input_Raw!$A:$A,"&lt;="&amp;Analytics!$B$3)</f>
        <v>619734</v>
      </c>
      <c r="AP15" s="173">
        <f>SUMIFS(Input_Raw!AT:AT,Input_Raw!$A:$A,"&gt;="&amp;Analytics!$B$2,Input_Raw!$A:$A,"&lt;="&amp;Analytics!$B$3)</f>
        <v>677744</v>
      </c>
      <c r="AQ15" s="173">
        <f>SUMIFS(Input_Raw!AU:AU,Input_Raw!$A:$A,"&gt;="&amp;Analytics!$B$2,Input_Raw!$A:$A,"&lt;="&amp;Analytics!$B$3)</f>
        <v>658484</v>
      </c>
      <c r="AR15" s="173">
        <f>SUMIFS(Input_Raw!AV:AV,Input_Raw!$A:$A,"&gt;="&amp;Analytics!$B$2,Input_Raw!$A:$A,"&lt;="&amp;Analytics!$B$3)</f>
        <v>755984</v>
      </c>
      <c r="AS15" s="173">
        <f>SUMIFS(Input_Raw!AW:AW,Input_Raw!$A:$A,"&gt;="&amp;Analytics!$B$2,Input_Raw!$A:$A,"&lt;="&amp;Analytics!$B$3)</f>
        <v>698540</v>
      </c>
      <c r="AT15">
        <f>SUM(B15:AS15)</f>
        <v>27941286</v>
      </c>
    </row>
    <row r="16" spans="1:46" ht="29.1" customHeight="1">
      <c r="A16" s="167" t="s">
        <v>131</v>
      </c>
      <c r="B16" s="172">
        <f>($C$3-(SUM(B8:B12,B14,B6)))/$C$3</f>
        <v>0.97016460905349788</v>
      </c>
      <c r="C16" s="172">
        <f t="shared" ref="C16:AS16" si="34">($C$3-(SUM(C8:C12,C14,C6)))/$C$3</f>
        <v>0.97875514403292185</v>
      </c>
      <c r="D16" s="172">
        <f t="shared" si="34"/>
        <v>0.97613168724279831</v>
      </c>
      <c r="E16" s="172">
        <f t="shared" si="34"/>
        <v>0.94992283950617273</v>
      </c>
      <c r="F16" s="172">
        <f t="shared" si="34"/>
        <v>0.99511316872427991</v>
      </c>
      <c r="G16" s="172">
        <f t="shared" si="34"/>
        <v>0.97569444444444442</v>
      </c>
      <c r="H16" s="172">
        <f t="shared" si="34"/>
        <v>0.94202674897119332</v>
      </c>
      <c r="I16" s="172">
        <f t="shared" si="34"/>
        <v>0.9945987654320988</v>
      </c>
      <c r="J16" s="172">
        <f t="shared" si="34"/>
        <v>0.99804526748971201</v>
      </c>
      <c r="K16" s="172">
        <f t="shared" si="34"/>
        <v>0.99110082304526748</v>
      </c>
      <c r="L16" s="172">
        <f t="shared" si="34"/>
        <v>0.9975823045267489</v>
      </c>
      <c r="M16" s="172">
        <f t="shared" si="34"/>
        <v>0.99832818930041145</v>
      </c>
      <c r="N16" s="172">
        <f t="shared" si="34"/>
        <v>0.98523662551440316</v>
      </c>
      <c r="O16" s="172">
        <f t="shared" si="34"/>
        <v>0.99696502057613168</v>
      </c>
      <c r="P16" s="172">
        <f t="shared" si="34"/>
        <v>0.99637345679012346</v>
      </c>
      <c r="Q16" s="172">
        <f t="shared" si="34"/>
        <v>0.99891975308641967</v>
      </c>
      <c r="R16" s="172">
        <f t="shared" si="34"/>
        <v>0.99891975308641967</v>
      </c>
      <c r="S16" s="172">
        <f t="shared" si="34"/>
        <v>0.97875514403292185</v>
      </c>
      <c r="T16" s="172">
        <f t="shared" si="34"/>
        <v>0.94537037037037042</v>
      </c>
      <c r="U16" s="172">
        <f t="shared" si="34"/>
        <v>0.99884259259259256</v>
      </c>
      <c r="V16" s="172">
        <f t="shared" si="34"/>
        <v>0.99495884773662557</v>
      </c>
      <c r="W16" s="172">
        <f t="shared" si="34"/>
        <v>0.97975823045267485</v>
      </c>
      <c r="X16" s="172">
        <f t="shared" si="34"/>
        <v>0.99881687242798356</v>
      </c>
      <c r="Y16" s="172">
        <f t="shared" si="34"/>
        <v>0.99827674897119345</v>
      </c>
      <c r="Z16" s="172">
        <f t="shared" si="34"/>
        <v>0.99742798353909468</v>
      </c>
      <c r="AA16" s="172">
        <f t="shared" si="34"/>
        <v>0.99994855967078189</v>
      </c>
      <c r="AB16" s="172">
        <f t="shared" si="34"/>
        <v>0.97875514403292185</v>
      </c>
      <c r="AC16" s="172">
        <f t="shared" si="34"/>
        <v>0.97741769547325108</v>
      </c>
      <c r="AD16" s="172">
        <f t="shared" si="34"/>
        <v>0.99302983539094658</v>
      </c>
      <c r="AE16" s="172">
        <f t="shared" si="34"/>
        <v>0.9716820987654321</v>
      </c>
      <c r="AF16" s="172">
        <f t="shared" si="34"/>
        <v>0.99891975308641967</v>
      </c>
      <c r="AG16" s="172">
        <f t="shared" si="34"/>
        <v>0.99326131687242802</v>
      </c>
      <c r="AH16" s="172">
        <f t="shared" si="34"/>
        <v>0.99493312757201646</v>
      </c>
      <c r="AI16" s="172">
        <f t="shared" si="34"/>
        <v>0.9927211934156378</v>
      </c>
      <c r="AJ16" s="172">
        <f t="shared" si="34"/>
        <v>0.99452160493827169</v>
      </c>
      <c r="AK16" s="172">
        <f t="shared" si="34"/>
        <v>0.99187242798353914</v>
      </c>
      <c r="AL16" s="172">
        <f t="shared" si="34"/>
        <v>0.99441872427983535</v>
      </c>
      <c r="AM16" s="172">
        <f t="shared" si="34"/>
        <v>0.99184670781893014</v>
      </c>
      <c r="AN16" s="172">
        <f t="shared" si="34"/>
        <v>0.99413580246913591</v>
      </c>
      <c r="AO16" s="172">
        <f t="shared" si="34"/>
        <v>0.9780864197530863</v>
      </c>
      <c r="AP16" s="172">
        <f t="shared" si="34"/>
        <v>0.97770061728395052</v>
      </c>
      <c r="AQ16" s="172">
        <f t="shared" si="34"/>
        <v>0.97240226337448565</v>
      </c>
      <c r="AR16" s="172">
        <f t="shared" si="34"/>
        <v>0.97865226337448552</v>
      </c>
      <c r="AS16" s="172">
        <f t="shared" si="34"/>
        <v>0.97062757201646099</v>
      </c>
      <c r="AT16" s="85">
        <f t="shared" si="2"/>
        <v>0.9859322390572387</v>
      </c>
    </row>
    <row r="17" spans="1:46" ht="29.1" hidden="1" customHeight="1">
      <c r="A17" s="170" t="s">
        <v>132</v>
      </c>
      <c r="B17" s="171">
        <f>SUMIFS(WTG_BD!$T:$T,WTG_BD!$G:$G,Analytics!B$4,WTG_BD!$F:$F,"&gt;="&amp;Analytics!$B$2,WTG_BD!$F:$F,"&lt;="&amp;Analytics!$B$3)</f>
        <v>5.5666666666666629</v>
      </c>
      <c r="C17" s="171">
        <f>SUMIFS(WTG_BD!$T:$T,WTG_BD!$G:$G,Analytics!C$4,WTG_BD!$F:$F,"&gt;="&amp;Analytics!$B$2,WTG_BD!$F:$F,"&lt;="&amp;Analytics!$B$3)</f>
        <v>0</v>
      </c>
      <c r="D17" s="171">
        <f>SUMIFS(WTG_BD!$T:$T,WTG_BD!$G:$G,Analytics!D$4,WTG_BD!$F:$F,"&gt;="&amp;Analytics!$B$2,WTG_BD!$F:$F,"&lt;="&amp;Analytics!$B$3)</f>
        <v>1.6999999999999993</v>
      </c>
      <c r="E17" s="171">
        <f>SUMIFS(WTG_BD!$T:$T,WTG_BD!$G:$G,Analytics!E$4,WTG_BD!$F:$F,"&gt;="&amp;Analytics!$B$2,WTG_BD!$F:$F,"&lt;="&amp;Analytics!$B$3)</f>
        <v>31.749999999999993</v>
      </c>
      <c r="F17" s="171">
        <f>SUMIFS(WTG_BD!$T:$T,WTG_BD!$G:$G,Analytics!F$4,WTG_BD!$F:$F,"&gt;="&amp;Analytics!$B$2,WTG_BD!$F:$F,"&lt;="&amp;Analytics!$B$3)</f>
        <v>0</v>
      </c>
      <c r="G17" s="171">
        <f>SUMIFS(WTG_BD!$T:$T,WTG_BD!$G:$G,Analytics!G$4,WTG_BD!$F:$F,"&gt;="&amp;Analytics!$B$2,WTG_BD!$F:$F,"&lt;="&amp;Analytics!$B$3)</f>
        <v>12.583333333333332</v>
      </c>
      <c r="H17" s="171">
        <f>SUMIFS(WTG_BD!$T:$T,WTG_BD!$G:$G,Analytics!H$4,WTG_BD!$F:$F,"&gt;="&amp;Analytics!$B$2,WTG_BD!$F:$F,"&lt;="&amp;Analytics!$B$3)</f>
        <v>23.8</v>
      </c>
      <c r="I17" s="171">
        <f>SUMIFS(WTG_BD!$T:$T,WTG_BD!$G:$G,Analytics!I$4,WTG_BD!$F:$F,"&gt;="&amp;Analytics!$B$2,WTG_BD!$F:$F,"&lt;="&amp;Analytics!$B$3)</f>
        <v>3.5</v>
      </c>
      <c r="J17" s="171">
        <f>SUMIFS(WTG_BD!$T:$T,WTG_BD!$G:$G,Analytics!J$4,WTG_BD!$F:$F,"&gt;="&amp;Analytics!$B$2,WTG_BD!$F:$F,"&lt;="&amp;Analytics!$B$3)</f>
        <v>1.2666666666666648</v>
      </c>
      <c r="K17" s="171">
        <f>SUMIFS(WTG_BD!$T:$T,WTG_BD!$G:$G,Analytics!K$4,WTG_BD!$F:$F,"&gt;="&amp;Analytics!$B$2,WTG_BD!$F:$F,"&lt;="&amp;Analytics!$B$3)</f>
        <v>5.7666666666666657</v>
      </c>
      <c r="L17" s="171">
        <f>SUMIFS(WTG_BD!$T:$T,WTG_BD!$G:$G,Analytics!L$4,WTG_BD!$F:$F,"&gt;="&amp;Analytics!$B$2,WTG_BD!$F:$F,"&lt;="&amp;Analytics!$B$3)</f>
        <v>1.5666666666666664</v>
      </c>
      <c r="M17" s="171">
        <f>SUMIFS(WTG_BD!$T:$T,WTG_BD!$G:$G,Analytics!M$4,WTG_BD!$F:$F,"&gt;="&amp;Analytics!$B$2,WTG_BD!$F:$F,"&lt;="&amp;Analytics!$B$3)</f>
        <v>1.0833333333333348</v>
      </c>
      <c r="N17" s="171">
        <f>SUMIFS(WTG_BD!$T:$T,WTG_BD!$G:$G,Analytics!N$4,WTG_BD!$F:$F,"&gt;="&amp;Analytics!$B$2,WTG_BD!$F:$F,"&lt;="&amp;Analytics!$B$3)</f>
        <v>9.5666666666666664</v>
      </c>
      <c r="O17" s="171">
        <f>SUMIFS(WTG_BD!$T:$T,WTG_BD!$G:$G,Analytics!O$4,WTG_BD!$F:$F,"&gt;="&amp;Analytics!$B$2,WTG_BD!$F:$F,"&lt;="&amp;Analytics!$B$3)</f>
        <v>1.2666666666666702</v>
      </c>
      <c r="P17" s="171">
        <f>SUMIFS(WTG_BD!$T:$T,WTG_BD!$G:$G,Analytics!P$4,WTG_BD!$F:$F,"&gt;="&amp;Analytics!$B$2,WTG_BD!$F:$F,"&lt;="&amp;Analytics!$B$3)</f>
        <v>1.6500000000000021</v>
      </c>
      <c r="Q17" s="171">
        <f>SUMIFS(WTG_BD!$T:$T,WTG_BD!$G:$G,Analytics!Q$4,WTG_BD!$F:$F,"&gt;="&amp;Analytics!$B$2,WTG_BD!$F:$F,"&lt;="&amp;Analytics!$B$3)</f>
        <v>0</v>
      </c>
      <c r="R17" s="171">
        <f>SUMIFS(WTG_BD!$T:$T,WTG_BD!$G:$G,Analytics!R$4,WTG_BD!$F:$F,"&gt;="&amp;Analytics!$B$2,WTG_BD!$F:$F,"&lt;="&amp;Analytics!$B$3)</f>
        <v>0</v>
      </c>
      <c r="S17" s="171">
        <f>SUMIFS(WTG_BD!$T:$T,WTG_BD!$G:$G,Analytics!S$4,WTG_BD!$F:$F,"&gt;="&amp;Analytics!$B$2,WTG_BD!$F:$F,"&lt;="&amp;Analytics!$B$3)</f>
        <v>0</v>
      </c>
      <c r="T17" s="171">
        <f>SUMIFS(WTG_BD!$T:$T,WTG_BD!$G:$G,Analytics!T$4,WTG_BD!$F:$F,"&gt;="&amp;Analytics!$B$2,WTG_BD!$F:$F,"&lt;="&amp;Analytics!$B$3)</f>
        <v>34.700000000000003</v>
      </c>
      <c r="U17" s="171">
        <f>SUMIFS(WTG_BD!$T:$T,WTG_BD!$G:$G,Analytics!U$4,WTG_BD!$F:$F,"&gt;="&amp;Analytics!$B$2,WTG_BD!$F:$F,"&lt;="&amp;Analytics!$B$3)</f>
        <v>5.0000000000002487E-2</v>
      </c>
      <c r="V17" s="171">
        <f>SUMIFS(WTG_BD!$T:$T,WTG_BD!$G:$G,Analytics!V$4,WTG_BD!$F:$F,"&gt;="&amp;Analytics!$B$2,WTG_BD!$F:$F,"&lt;="&amp;Analytics!$B$3)</f>
        <v>2.5666666666666655</v>
      </c>
      <c r="W17" s="171">
        <f>SUMIFS(WTG_BD!$T:$T,WTG_BD!$G:$G,Analytics!W$4,WTG_BD!$F:$F,"&gt;="&amp;Analytics!$B$2,WTG_BD!$F:$F,"&lt;="&amp;Analytics!$B$3)</f>
        <v>12.416666666666668</v>
      </c>
      <c r="X17" s="171">
        <f>SUMIFS(WTG_BD!$T:$T,WTG_BD!$G:$G,Analytics!X$4,WTG_BD!$F:$F,"&gt;="&amp;Analytics!$B$2,WTG_BD!$F:$F,"&lt;="&amp;Analytics!$B$3)</f>
        <v>0.76666666666666661</v>
      </c>
      <c r="Y17" s="171">
        <f>SUMIFS(WTG_BD!$T:$T,WTG_BD!$G:$G,Analytics!Y$4,WTG_BD!$F:$F,"&gt;="&amp;Analytics!$B$2,WTG_BD!$F:$F,"&lt;="&amp;Analytics!$B$3)</f>
        <v>1.116666666666668</v>
      </c>
      <c r="Z17" s="171">
        <f>SUMIFS(WTG_BD!$T:$T,WTG_BD!$G:$G,Analytics!Z$4,WTG_BD!$F:$F,"&gt;="&amp;Analytics!$B$2,WTG_BD!$F:$F,"&lt;="&amp;Analytics!$B$3)</f>
        <v>1.6666666666666687</v>
      </c>
      <c r="AA17" s="171">
        <f>SUMIFS(WTG_BD!$T:$T,WTG_BD!$G:$G,Analytics!AA$4,WTG_BD!$F:$F,"&gt;="&amp;Analytics!$B$2,WTG_BD!$F:$F,"&lt;="&amp;Analytics!$B$3)</f>
        <v>3.3333333333333215E-2</v>
      </c>
      <c r="AB17" s="171">
        <f>SUMIFS(WTG_BD!$T:$T,WTG_BD!$G:$G,Analytics!AB$4,WTG_BD!$F:$F,"&gt;="&amp;Analytics!$B$2,WTG_BD!$F:$F,"&lt;="&amp;Analytics!$B$3)</f>
        <v>0</v>
      </c>
      <c r="AC17" s="171">
        <f>SUMIFS(WTG_BD!$T:$T,WTG_BD!$G:$G,Analytics!AC$4,WTG_BD!$F:$F,"&gt;="&amp;Analytics!$B$2,WTG_BD!$F:$F,"&lt;="&amp;Analytics!$B$3)</f>
        <v>0.86666666666666625</v>
      </c>
      <c r="AD17" s="171">
        <f>SUMIFS(WTG_BD!$T:$T,WTG_BD!$G:$G,Analytics!AD$4,WTG_BD!$F:$F,"&gt;="&amp;Analytics!$B$2,WTG_BD!$F:$F,"&lt;="&amp;Analytics!$B$3)</f>
        <v>3.8166666666666638</v>
      </c>
      <c r="AE17" s="171">
        <f>SUMIFS(WTG_BD!$T:$T,WTG_BD!$G:$G,Analytics!AE$4,WTG_BD!$F:$F,"&gt;="&amp;Analytics!$B$2,WTG_BD!$F:$F,"&lt;="&amp;Analytics!$B$3)</f>
        <v>4.5833333333333321</v>
      </c>
      <c r="AF17" s="171">
        <f>SUMIFS(WTG_BD!$T:$T,WTG_BD!$G:$G,Analytics!AF$4,WTG_BD!$F:$F,"&gt;="&amp;Analytics!$B$2,WTG_BD!$F:$F,"&lt;="&amp;Analytics!$B$3)</f>
        <v>0</v>
      </c>
      <c r="AG17" s="171">
        <f>SUMIFS(WTG_BD!$T:$T,WTG_BD!$G:$G,Analytics!AG$4,WTG_BD!$F:$F,"&gt;="&amp;Analytics!$B$2,WTG_BD!$F:$F,"&lt;="&amp;Analytics!$B$3)</f>
        <v>1.2000000000000011</v>
      </c>
      <c r="AH17" s="171">
        <f>SUMIFS(WTG_BD!$T:$T,WTG_BD!$G:$G,Analytics!AH$4,WTG_BD!$F:$F,"&gt;="&amp;Analytics!$B$2,WTG_BD!$F:$F,"&lt;="&amp;Analytics!$B$3)</f>
        <v>0.11666666666666892</v>
      </c>
      <c r="AI17" s="171">
        <f>SUMIFS(WTG_BD!$T:$T,WTG_BD!$G:$G,Analytics!AI$4,WTG_BD!$F:$F,"&gt;="&amp;Analytics!$B$2,WTG_BD!$F:$F,"&lt;="&amp;Analytics!$B$3)</f>
        <v>1.5500000000000052</v>
      </c>
      <c r="AJ17" s="171">
        <f>SUMIFS(WTG_BD!$T:$T,WTG_BD!$G:$G,Analytics!AJ$4,WTG_BD!$F:$F,"&gt;="&amp;Analytics!$B$2,WTG_BD!$F:$F,"&lt;="&amp;Analytics!$B$3)</f>
        <v>2.8500000000000005</v>
      </c>
      <c r="AK17" s="171">
        <f>SUMIFS(WTG_BD!$T:$T,WTG_BD!$G:$G,Analytics!AK$4,WTG_BD!$F:$F,"&gt;="&amp;Analytics!$B$2,WTG_BD!$F:$F,"&lt;="&amp;Analytics!$B$3)</f>
        <v>2.1000000000000032</v>
      </c>
      <c r="AL17" s="171">
        <f>SUMIFS(WTG_BD!$T:$T,WTG_BD!$G:$G,Analytics!AL$4,WTG_BD!$F:$F,"&gt;="&amp;Analytics!$B$2,WTG_BD!$F:$F,"&lt;="&amp;Analytics!$B$3)</f>
        <v>0.44999999999999973</v>
      </c>
      <c r="AM17" s="171">
        <f>SUMIFS(WTG_BD!$T:$T,WTG_BD!$G:$G,Analytics!AM$4,WTG_BD!$F:$F,"&gt;="&amp;Analytics!$B$2,WTG_BD!$F:$F,"&lt;="&amp;Analytics!$B$3)</f>
        <v>2.1166666666666671</v>
      </c>
      <c r="AN17" s="171">
        <f>SUMIFS(WTG_BD!$T:$T,WTG_BD!$G:$G,Analytics!AN$4,WTG_BD!$F:$F,"&gt;="&amp;Analytics!$B$2,WTG_BD!$F:$F,"&lt;="&amp;Analytics!$B$3)</f>
        <v>0.63333333333333242</v>
      </c>
      <c r="AO17" s="171">
        <f>SUMIFS(WTG_BD!$T:$T,WTG_BD!$G:$G,Analytics!AO$4,WTG_BD!$F:$F,"&gt;="&amp;Analytics!$B$2,WTG_BD!$F:$F,"&lt;="&amp;Analytics!$B$3)</f>
        <v>0.43333333333333446</v>
      </c>
      <c r="AP17" s="171">
        <f>SUMIFS(WTG_BD!$T:$T,WTG_BD!$G:$G,Analytics!AP$4,WTG_BD!$F:$F,"&gt;="&amp;Analytics!$B$2,WTG_BD!$F:$F,"&lt;="&amp;Analytics!$B$3)</f>
        <v>0.68333333333333357</v>
      </c>
      <c r="AQ17" s="171">
        <f>SUMIFS(WTG_BD!$T:$T,WTG_BD!$G:$G,Analytics!AQ$4,WTG_BD!$F:$F,"&gt;="&amp;Analytics!$B$2,WTG_BD!$F:$F,"&lt;="&amp;Analytics!$B$3)</f>
        <v>4.1166666666666654</v>
      </c>
      <c r="AR17" s="171">
        <f>SUMIFS(WTG_BD!$T:$T,WTG_BD!$G:$G,Analytics!AR$4,WTG_BD!$F:$F,"&gt;="&amp;Analytics!$B$2,WTG_BD!$F:$F,"&lt;="&amp;Analytics!$B$3)</f>
        <v>6.666666666666643E-2</v>
      </c>
      <c r="AS17" s="171">
        <f>SUMIFS(WTG_BD!$T:$T,WTG_BD!$G:$G,Analytics!AS$4,WTG_BD!$F:$F,"&gt;="&amp;Analytics!$B$2,WTG_BD!$F:$F,"&lt;="&amp;Analytics!$B$3)</f>
        <v>5.2666666666666693</v>
      </c>
      <c r="AT17" s="171">
        <f>SUMIFS(WTG_BD!$T:$T,WTG_BD!$G:$G,Analytics!AT$4,WTG_BD!$F:$F,"&gt;="&amp;Analytics!$B$2,WTG_BD!$F:$F,"&lt;="&amp;Analytics!$B$3)</f>
        <v>0</v>
      </c>
    </row>
    <row r="18" spans="1:46" ht="29.1" hidden="1" customHeight="1">
      <c r="A18" s="170" t="s">
        <v>133</v>
      </c>
      <c r="B18" s="171">
        <f>COUNTIFS(WTG_BD!$G:$G,Analytics!B$4,WTG_BD!$F:$F,"&gt;="&amp;Analytics!$B$2,WTG_BD!$F:$F,"&lt;="&amp;Analytics!$B$3)</f>
        <v>4</v>
      </c>
      <c r="C18" s="171">
        <f>COUNTIFS(WTG_BD!$G:$G,Analytics!C$4,WTG_BD!$F:$F,"&gt;="&amp;Analytics!$B$2,WTG_BD!$F:$F,"&lt;="&amp;Analytics!$B$3)</f>
        <v>0</v>
      </c>
      <c r="D18" s="171">
        <f>COUNTIFS(WTG_BD!$G:$G,Analytics!D$4,WTG_BD!$F:$F,"&gt;="&amp;Analytics!$B$2,WTG_BD!$F:$F,"&lt;="&amp;Analytics!$B$3)</f>
        <v>1</v>
      </c>
      <c r="E18" s="171">
        <f>COUNTIFS(WTG_BD!$G:$G,Analytics!E$4,WTG_BD!$F:$F,"&gt;="&amp;Analytics!$B$2,WTG_BD!$F:$F,"&lt;="&amp;Analytics!$B$3)</f>
        <v>9</v>
      </c>
      <c r="F18" s="171">
        <f>COUNTIFS(WTG_BD!$G:$G,Analytics!F$4,WTG_BD!$F:$F,"&gt;="&amp;Analytics!$B$2,WTG_BD!$F:$F,"&lt;="&amp;Analytics!$B$3)</f>
        <v>0</v>
      </c>
      <c r="G18" s="171">
        <f>COUNTIFS(WTG_BD!$G:$G,Analytics!G$4,WTG_BD!$F:$F,"&gt;="&amp;Analytics!$B$2,WTG_BD!$F:$F,"&lt;="&amp;Analytics!$B$3)</f>
        <v>3</v>
      </c>
      <c r="H18" s="171">
        <f>COUNTIFS(WTG_BD!$G:$G,Analytics!H$4,WTG_BD!$F:$F,"&gt;="&amp;Analytics!$B$2,WTG_BD!$F:$F,"&lt;="&amp;Analytics!$B$3)</f>
        <v>4</v>
      </c>
      <c r="I18" s="171">
        <f>COUNTIFS(WTG_BD!$G:$G,Analytics!I$4,WTG_BD!$F:$F,"&gt;="&amp;Analytics!$B$2,WTG_BD!$F:$F,"&lt;="&amp;Analytics!$B$3)</f>
        <v>6</v>
      </c>
      <c r="J18" s="171">
        <f>COUNTIFS(WTG_BD!$G:$G,Analytics!J$4,WTG_BD!$F:$F,"&gt;="&amp;Analytics!$B$2,WTG_BD!$F:$F,"&lt;="&amp;Analytics!$B$3)</f>
        <v>2</v>
      </c>
      <c r="K18" s="171">
        <f>COUNTIFS(WTG_BD!$G:$G,Analytics!K$4,WTG_BD!$F:$F,"&gt;="&amp;Analytics!$B$2,WTG_BD!$F:$F,"&lt;="&amp;Analytics!$B$3)</f>
        <v>2</v>
      </c>
      <c r="L18" s="171">
        <f>COUNTIFS(WTG_BD!$G:$G,Analytics!L$4,WTG_BD!$F:$F,"&gt;="&amp;Analytics!$B$2,WTG_BD!$F:$F,"&lt;="&amp;Analytics!$B$3)</f>
        <v>2</v>
      </c>
      <c r="M18" s="171">
        <f>COUNTIFS(WTG_BD!$G:$G,Analytics!M$4,WTG_BD!$F:$F,"&gt;="&amp;Analytics!$B$2,WTG_BD!$F:$F,"&lt;="&amp;Analytics!$B$3)</f>
        <v>2</v>
      </c>
      <c r="N18" s="171">
        <f>COUNTIFS(WTG_BD!$G:$G,Analytics!N$4,WTG_BD!$F:$F,"&gt;="&amp;Analytics!$B$2,WTG_BD!$F:$F,"&lt;="&amp;Analytics!$B$3)</f>
        <v>6</v>
      </c>
      <c r="O18" s="171">
        <f>COUNTIFS(WTG_BD!$G:$G,Analytics!O$4,WTG_BD!$F:$F,"&gt;="&amp;Analytics!$B$2,WTG_BD!$F:$F,"&lt;="&amp;Analytics!$B$3)</f>
        <v>1</v>
      </c>
      <c r="P18" s="171">
        <f>COUNTIFS(WTG_BD!$G:$G,Analytics!P$4,WTG_BD!$F:$F,"&gt;="&amp;Analytics!$B$2,WTG_BD!$F:$F,"&lt;="&amp;Analytics!$B$3)</f>
        <v>1</v>
      </c>
      <c r="Q18" s="171">
        <f>COUNTIFS(WTG_BD!$G:$G,Analytics!Q$4,WTG_BD!$F:$F,"&gt;="&amp;Analytics!$B$2,WTG_BD!$F:$F,"&lt;="&amp;Analytics!$B$3)</f>
        <v>0</v>
      </c>
      <c r="R18" s="171">
        <f>COUNTIFS(WTG_BD!$G:$G,Analytics!R$4,WTG_BD!$F:$F,"&gt;="&amp;Analytics!$B$2,WTG_BD!$F:$F,"&lt;="&amp;Analytics!$B$3)</f>
        <v>0</v>
      </c>
      <c r="S18" s="171">
        <f>COUNTIFS(WTG_BD!$G:$G,Analytics!S$4,WTG_BD!$F:$F,"&gt;="&amp;Analytics!$B$2,WTG_BD!$F:$F,"&lt;="&amp;Analytics!$B$3)</f>
        <v>0</v>
      </c>
      <c r="T18" s="171">
        <f>COUNTIFS(WTG_BD!$G:$G,Analytics!T$4,WTG_BD!$F:$F,"&gt;="&amp;Analytics!$B$2,WTG_BD!$F:$F,"&lt;="&amp;Analytics!$B$3)</f>
        <v>3</v>
      </c>
      <c r="U18" s="171">
        <f>COUNTIFS(WTG_BD!$G:$G,Analytics!U$4,WTG_BD!$F:$F,"&gt;="&amp;Analytics!$B$2,WTG_BD!$F:$F,"&lt;="&amp;Analytics!$B$3)</f>
        <v>1</v>
      </c>
      <c r="V18" s="171">
        <f>COUNTIFS(WTG_BD!$G:$G,Analytics!V$4,WTG_BD!$F:$F,"&gt;="&amp;Analytics!$B$2,WTG_BD!$F:$F,"&lt;="&amp;Analytics!$B$3)</f>
        <v>1</v>
      </c>
      <c r="W18" s="171">
        <f>COUNTIFS(WTG_BD!$G:$G,Analytics!W$4,WTG_BD!$F:$F,"&gt;="&amp;Analytics!$B$2,WTG_BD!$F:$F,"&lt;="&amp;Analytics!$B$3)</f>
        <v>6</v>
      </c>
      <c r="X18" s="171">
        <f>COUNTIFS(WTG_BD!$G:$G,Analytics!X$4,WTG_BD!$F:$F,"&gt;="&amp;Analytics!$B$2,WTG_BD!$F:$F,"&lt;="&amp;Analytics!$B$3)</f>
        <v>1</v>
      </c>
      <c r="Y18" s="171">
        <f>COUNTIFS(WTG_BD!$G:$G,Analytics!Y$4,WTG_BD!$F:$F,"&gt;="&amp;Analytics!$B$2,WTG_BD!$F:$F,"&lt;="&amp;Analytics!$B$3)</f>
        <v>1</v>
      </c>
      <c r="Z18" s="171">
        <f>COUNTIFS(WTG_BD!$G:$G,Analytics!Z$4,WTG_BD!$F:$F,"&gt;="&amp;Analytics!$B$2,WTG_BD!$F:$F,"&lt;="&amp;Analytics!$B$3)</f>
        <v>2</v>
      </c>
      <c r="AA18" s="171">
        <f>COUNTIFS(WTG_BD!$G:$G,Analytics!AA$4,WTG_BD!$F:$F,"&gt;="&amp;Analytics!$B$2,WTG_BD!$F:$F,"&lt;="&amp;Analytics!$B$3)</f>
        <v>1</v>
      </c>
      <c r="AB18" s="171">
        <f>COUNTIFS(WTG_BD!$G:$G,Analytics!AB$4,WTG_BD!$F:$F,"&gt;="&amp;Analytics!$B$2,WTG_BD!$F:$F,"&lt;="&amp;Analytics!$B$3)</f>
        <v>0</v>
      </c>
      <c r="AC18" s="171">
        <f>COUNTIFS(WTG_BD!$G:$G,Analytics!AC$4,WTG_BD!$F:$F,"&gt;="&amp;Analytics!$B$2,WTG_BD!$F:$F,"&lt;="&amp;Analytics!$B$3)</f>
        <v>1</v>
      </c>
      <c r="AD18" s="171">
        <f>COUNTIFS(WTG_BD!$G:$G,Analytics!AD$4,WTG_BD!$F:$F,"&gt;="&amp;Analytics!$B$2,WTG_BD!$F:$F,"&lt;="&amp;Analytics!$B$3)</f>
        <v>2</v>
      </c>
      <c r="AE18" s="171">
        <f>COUNTIFS(WTG_BD!$G:$G,Analytics!AE$4,WTG_BD!$F:$F,"&gt;="&amp;Analytics!$B$2,WTG_BD!$F:$F,"&lt;="&amp;Analytics!$B$3)</f>
        <v>3</v>
      </c>
      <c r="AF18" s="171">
        <f>COUNTIFS(WTG_BD!$G:$G,Analytics!AF$4,WTG_BD!$F:$F,"&gt;="&amp;Analytics!$B$2,WTG_BD!$F:$F,"&lt;="&amp;Analytics!$B$3)</f>
        <v>0</v>
      </c>
      <c r="AG18" s="171">
        <f>COUNTIFS(WTG_BD!$G:$G,Analytics!AG$4,WTG_BD!$F:$F,"&gt;="&amp;Analytics!$B$2,WTG_BD!$F:$F,"&lt;="&amp;Analytics!$B$3)</f>
        <v>1</v>
      </c>
      <c r="AH18" s="171">
        <f>COUNTIFS(WTG_BD!$G:$G,Analytics!AH$4,WTG_BD!$F:$F,"&gt;="&amp;Analytics!$B$2,WTG_BD!$F:$F,"&lt;="&amp;Analytics!$B$3)</f>
        <v>1</v>
      </c>
      <c r="AI18" s="171">
        <f>COUNTIFS(WTG_BD!$G:$G,Analytics!AI$4,WTG_BD!$F:$F,"&gt;="&amp;Analytics!$B$2,WTG_BD!$F:$F,"&lt;="&amp;Analytics!$B$3)</f>
        <v>5</v>
      </c>
      <c r="AJ18" s="171">
        <f>COUNTIFS(WTG_BD!$G:$G,Analytics!AJ$4,WTG_BD!$F:$F,"&gt;="&amp;Analytics!$B$2,WTG_BD!$F:$F,"&lt;="&amp;Analytics!$B$3)</f>
        <v>2</v>
      </c>
      <c r="AK18" s="171">
        <f>COUNTIFS(WTG_BD!$G:$G,Analytics!AK$4,WTG_BD!$F:$F,"&gt;="&amp;Analytics!$B$2,WTG_BD!$F:$F,"&lt;="&amp;Analytics!$B$3)</f>
        <v>3</v>
      </c>
      <c r="AL18" s="171">
        <f>COUNTIFS(WTG_BD!$G:$G,Analytics!AL$4,WTG_BD!$F:$F,"&gt;="&amp;Analytics!$B$2,WTG_BD!$F:$F,"&lt;="&amp;Analytics!$B$3)</f>
        <v>2</v>
      </c>
      <c r="AM18" s="171">
        <f>COUNTIFS(WTG_BD!$G:$G,Analytics!AM$4,WTG_BD!$F:$F,"&gt;="&amp;Analytics!$B$2,WTG_BD!$F:$F,"&lt;="&amp;Analytics!$B$3)</f>
        <v>3</v>
      </c>
      <c r="AN18" s="171">
        <f>COUNTIFS(WTG_BD!$G:$G,Analytics!AN$4,WTG_BD!$F:$F,"&gt;="&amp;Analytics!$B$2,WTG_BD!$F:$F,"&lt;="&amp;Analytics!$B$3)</f>
        <v>2</v>
      </c>
      <c r="AO18" s="171">
        <f>COUNTIFS(WTG_BD!$G:$G,Analytics!AO$4,WTG_BD!$F:$F,"&gt;="&amp;Analytics!$B$2,WTG_BD!$F:$F,"&lt;="&amp;Analytics!$B$3)</f>
        <v>1</v>
      </c>
      <c r="AP18" s="171">
        <f>COUNTIFS(WTG_BD!$G:$G,Analytics!AP$4,WTG_BD!$F:$F,"&gt;="&amp;Analytics!$B$2,WTG_BD!$F:$F,"&lt;="&amp;Analytics!$B$3)</f>
        <v>1</v>
      </c>
      <c r="AQ18" s="171">
        <f>COUNTIFS(WTG_BD!$G:$G,Analytics!AQ$4,WTG_BD!$F:$F,"&gt;="&amp;Analytics!$B$2,WTG_BD!$F:$F,"&lt;="&amp;Analytics!$B$3)</f>
        <v>4</v>
      </c>
      <c r="AR18" s="171">
        <f>COUNTIFS(WTG_BD!$G:$G,Analytics!AR$4,WTG_BD!$F:$F,"&gt;="&amp;Analytics!$B$2,WTG_BD!$F:$F,"&lt;="&amp;Analytics!$B$3)</f>
        <v>1</v>
      </c>
      <c r="AS18" s="171">
        <f>COUNTIFS(WTG_BD!$G:$G,Analytics!AS$4,WTG_BD!$F:$F,"&gt;="&amp;Analytics!$B$2,WTG_BD!$F:$F,"&lt;="&amp;Analytics!$B$3)</f>
        <v>3</v>
      </c>
      <c r="AT18" s="171">
        <f>COUNTIFS(WTG_BD!$G:$G,Analytics!AT$4,WTG_BD!$F:$F,"&gt;="&amp;Analytics!$B$2,WTG_BD!$F:$F,"&lt;="&amp;Analytics!$B$3)</f>
        <v>0</v>
      </c>
    </row>
    <row r="19" spans="1:46" ht="29.1" customHeight="1">
      <c r="A19" s="167" t="s">
        <v>134</v>
      </c>
      <c r="B19" s="171">
        <f>IFERROR(B17/B18,0)</f>
        <v>1.3916666666666657</v>
      </c>
      <c r="C19" s="171">
        <f t="shared" ref="C19:AS19" si="35">IFERROR(C17/C18,0)</f>
        <v>0</v>
      </c>
      <c r="D19" s="171">
        <f t="shared" si="35"/>
        <v>1.6999999999999993</v>
      </c>
      <c r="E19" s="171">
        <f t="shared" si="35"/>
        <v>3.5277777777777768</v>
      </c>
      <c r="F19" s="171">
        <f t="shared" si="35"/>
        <v>0</v>
      </c>
      <c r="G19" s="171">
        <f t="shared" si="35"/>
        <v>4.1944444444444438</v>
      </c>
      <c r="H19" s="171">
        <f t="shared" si="35"/>
        <v>5.95</v>
      </c>
      <c r="I19" s="171">
        <f t="shared" si="35"/>
        <v>0.58333333333333337</v>
      </c>
      <c r="J19" s="171">
        <f t="shared" si="35"/>
        <v>0.63333333333333242</v>
      </c>
      <c r="K19" s="171">
        <f t="shared" si="35"/>
        <v>2.8833333333333329</v>
      </c>
      <c r="L19" s="171">
        <f t="shared" si="35"/>
        <v>0.78333333333333321</v>
      </c>
      <c r="M19" s="171">
        <f t="shared" si="35"/>
        <v>0.54166666666666741</v>
      </c>
      <c r="N19" s="171">
        <f t="shared" si="35"/>
        <v>1.5944444444444443</v>
      </c>
      <c r="O19" s="171">
        <f t="shared" si="35"/>
        <v>1.2666666666666702</v>
      </c>
      <c r="P19" s="171">
        <f t="shared" si="35"/>
        <v>1.6500000000000021</v>
      </c>
      <c r="Q19" s="171">
        <f t="shared" si="35"/>
        <v>0</v>
      </c>
      <c r="R19" s="171">
        <f t="shared" si="35"/>
        <v>0</v>
      </c>
      <c r="S19" s="171">
        <f t="shared" si="35"/>
        <v>0</v>
      </c>
      <c r="T19" s="171">
        <f t="shared" si="35"/>
        <v>11.566666666666668</v>
      </c>
      <c r="U19" s="171">
        <f t="shared" si="35"/>
        <v>5.0000000000002487E-2</v>
      </c>
      <c r="V19" s="171">
        <f t="shared" si="35"/>
        <v>2.5666666666666655</v>
      </c>
      <c r="W19" s="171">
        <f t="shared" si="35"/>
        <v>2.0694444444444446</v>
      </c>
      <c r="X19" s="171">
        <f t="shared" si="35"/>
        <v>0.76666666666666661</v>
      </c>
      <c r="Y19" s="171">
        <f>IFERROR(Y17/Y18,0)</f>
        <v>1.116666666666668</v>
      </c>
      <c r="Z19" s="171">
        <f t="shared" si="35"/>
        <v>0.83333333333333437</v>
      </c>
      <c r="AA19" s="171">
        <f t="shared" si="35"/>
        <v>3.3333333333333215E-2</v>
      </c>
      <c r="AB19" s="171">
        <f t="shared" si="35"/>
        <v>0</v>
      </c>
      <c r="AC19" s="171">
        <f t="shared" si="35"/>
        <v>0.86666666666666625</v>
      </c>
      <c r="AD19" s="171">
        <f t="shared" si="35"/>
        <v>1.9083333333333319</v>
      </c>
      <c r="AE19" s="171">
        <f t="shared" si="35"/>
        <v>1.5277777777777775</v>
      </c>
      <c r="AF19" s="171">
        <f t="shared" si="35"/>
        <v>0</v>
      </c>
      <c r="AG19" s="171">
        <f t="shared" si="35"/>
        <v>1.2000000000000011</v>
      </c>
      <c r="AH19" s="171">
        <f t="shared" si="35"/>
        <v>0.11666666666666892</v>
      </c>
      <c r="AI19" s="171">
        <f t="shared" si="35"/>
        <v>0.31000000000000105</v>
      </c>
      <c r="AJ19" s="171">
        <f t="shared" si="35"/>
        <v>1.4250000000000003</v>
      </c>
      <c r="AK19" s="171">
        <f t="shared" si="35"/>
        <v>0.70000000000000107</v>
      </c>
      <c r="AL19" s="171">
        <f t="shared" si="35"/>
        <v>0.22499999999999987</v>
      </c>
      <c r="AM19" s="171">
        <f t="shared" si="35"/>
        <v>0.70555555555555571</v>
      </c>
      <c r="AN19" s="171">
        <f t="shared" si="35"/>
        <v>0.31666666666666621</v>
      </c>
      <c r="AO19" s="171">
        <f t="shared" si="35"/>
        <v>0.43333333333333446</v>
      </c>
      <c r="AP19" s="171">
        <f t="shared" si="35"/>
        <v>0.68333333333333357</v>
      </c>
      <c r="AQ19" s="171">
        <f t="shared" si="35"/>
        <v>1.0291666666666663</v>
      </c>
      <c r="AR19" s="171">
        <f t="shared" si="35"/>
        <v>6.666666666666643E-2</v>
      </c>
      <c r="AS19" s="171">
        <f t="shared" si="35"/>
        <v>1.7555555555555564</v>
      </c>
      <c r="AT19" s="87">
        <f t="shared" si="2"/>
        <v>1.3402840909090912</v>
      </c>
    </row>
    <row r="20" spans="1:46" ht="29.1" customHeight="1">
      <c r="A20" s="167" t="s">
        <v>135</v>
      </c>
      <c r="B20" s="171">
        <f>IFERROR(($C$3-B17)/B18,$C$3)</f>
        <v>160.60833333333335</v>
      </c>
      <c r="C20" s="171">
        <f t="shared" ref="C20:AS20" si="36">IFERROR(($C$3-C17)/C18,$C$3)</f>
        <v>648</v>
      </c>
      <c r="D20" s="171">
        <f t="shared" si="36"/>
        <v>646.29999999999995</v>
      </c>
      <c r="E20" s="171">
        <f t="shared" si="36"/>
        <v>68.472222222222229</v>
      </c>
      <c r="F20" s="171">
        <f t="shared" si="36"/>
        <v>648</v>
      </c>
      <c r="G20" s="171">
        <f t="shared" si="36"/>
        <v>211.80555555555554</v>
      </c>
      <c r="H20" s="171">
        <f t="shared" si="36"/>
        <v>156.05000000000001</v>
      </c>
      <c r="I20" s="171">
        <f t="shared" si="36"/>
        <v>107.41666666666667</v>
      </c>
      <c r="J20" s="171">
        <f t="shared" si="36"/>
        <v>323.36666666666667</v>
      </c>
      <c r="K20" s="171">
        <f t="shared" si="36"/>
        <v>321.11666666666667</v>
      </c>
      <c r="L20" s="171">
        <f t="shared" si="36"/>
        <v>323.21666666666664</v>
      </c>
      <c r="M20" s="171">
        <f t="shared" si="36"/>
        <v>323.45833333333331</v>
      </c>
      <c r="N20" s="171">
        <f t="shared" si="36"/>
        <v>106.40555555555555</v>
      </c>
      <c r="O20" s="171">
        <f t="shared" si="36"/>
        <v>646.73333333333335</v>
      </c>
      <c r="P20" s="171">
        <f t="shared" si="36"/>
        <v>646.35</v>
      </c>
      <c r="Q20" s="171">
        <f t="shared" si="36"/>
        <v>648</v>
      </c>
      <c r="R20" s="171">
        <f t="shared" si="36"/>
        <v>648</v>
      </c>
      <c r="S20" s="171">
        <f t="shared" si="36"/>
        <v>648</v>
      </c>
      <c r="T20" s="171">
        <f t="shared" si="36"/>
        <v>204.43333333333331</v>
      </c>
      <c r="U20" s="171">
        <f t="shared" si="36"/>
        <v>647.95000000000005</v>
      </c>
      <c r="V20" s="171">
        <f t="shared" si="36"/>
        <v>645.43333333333328</v>
      </c>
      <c r="W20" s="171">
        <f t="shared" si="36"/>
        <v>105.93055555555556</v>
      </c>
      <c r="X20" s="171">
        <f t="shared" si="36"/>
        <v>647.23333333333335</v>
      </c>
      <c r="Y20" s="171">
        <f t="shared" si="36"/>
        <v>646.88333333333333</v>
      </c>
      <c r="Z20" s="171">
        <f t="shared" si="36"/>
        <v>323.16666666666669</v>
      </c>
      <c r="AA20" s="171">
        <f t="shared" si="36"/>
        <v>647.9666666666667</v>
      </c>
      <c r="AB20" s="171">
        <f t="shared" si="36"/>
        <v>648</v>
      </c>
      <c r="AC20" s="171">
        <f t="shared" si="36"/>
        <v>647.13333333333333</v>
      </c>
      <c r="AD20" s="171">
        <f t="shared" si="36"/>
        <v>322.09166666666664</v>
      </c>
      <c r="AE20" s="171">
        <f t="shared" si="36"/>
        <v>214.4722222222222</v>
      </c>
      <c r="AF20" s="171">
        <f t="shared" si="36"/>
        <v>648</v>
      </c>
      <c r="AG20" s="171">
        <f t="shared" si="36"/>
        <v>646.79999999999995</v>
      </c>
      <c r="AH20" s="171">
        <f t="shared" si="36"/>
        <v>647.88333333333333</v>
      </c>
      <c r="AI20" s="171">
        <f t="shared" si="36"/>
        <v>129.29000000000002</v>
      </c>
      <c r="AJ20" s="171">
        <f t="shared" si="36"/>
        <v>322.57499999999999</v>
      </c>
      <c r="AK20" s="171">
        <f t="shared" si="36"/>
        <v>215.29999999999998</v>
      </c>
      <c r="AL20" s="171">
        <f t="shared" si="36"/>
        <v>323.77499999999998</v>
      </c>
      <c r="AM20" s="171">
        <f t="shared" si="36"/>
        <v>215.29444444444445</v>
      </c>
      <c r="AN20" s="171">
        <f t="shared" si="36"/>
        <v>323.68333333333334</v>
      </c>
      <c r="AO20" s="171">
        <f t="shared" si="36"/>
        <v>647.56666666666672</v>
      </c>
      <c r="AP20" s="171">
        <f t="shared" si="36"/>
        <v>647.31666666666672</v>
      </c>
      <c r="AQ20" s="171">
        <f t="shared" si="36"/>
        <v>160.97083333333333</v>
      </c>
      <c r="AR20" s="171">
        <f t="shared" si="36"/>
        <v>647.93333333333328</v>
      </c>
      <c r="AS20" s="171">
        <f t="shared" si="36"/>
        <v>214.24444444444444</v>
      </c>
      <c r="AT20" s="87">
        <f t="shared" si="2"/>
        <v>426.65062499999999</v>
      </c>
    </row>
    <row r="21" spans="1:46" ht="29.1" customHeight="1">
      <c r="A21" s="167" t="s">
        <v>136</v>
      </c>
      <c r="B21" s="171">
        <f>AVERAGEIFS(Input_Raw!AX:AX,Input_Raw!$A:$A,"&gt;="&amp;Analytics!$B$2,Input_Raw!$A:$A,"&lt;="&amp;Analytics!$B$3)</f>
        <v>9.8292857142857155</v>
      </c>
      <c r="C21" s="171">
        <f>AVERAGEIFS(Input_Raw!AY:AY,Input_Raw!$A:$A,"&gt;="&amp;Analytics!$B$2,Input_Raw!$A:$A,"&lt;="&amp;Analytics!$B$3)</f>
        <v>9.4014285714285712</v>
      </c>
      <c r="D21" s="171">
        <f>AVERAGEIFS(Input_Raw!AZ:AZ,Input_Raw!$A:$A,"&gt;="&amp;Analytics!$B$2,Input_Raw!$A:$A,"&lt;="&amp;Analytics!$B$3)</f>
        <v>9.1957142857142848</v>
      </c>
      <c r="E21" s="171">
        <f>AVERAGEIFS(Input_Raw!BA:BA,Input_Raw!$A:$A,"&gt;="&amp;Analytics!$B$2,Input_Raw!$A:$A,"&lt;="&amp;Analytics!$B$3)</f>
        <v>9.6135714285714293</v>
      </c>
      <c r="F21" s="171">
        <f>AVERAGEIFS(Input_Raw!BB:BB,Input_Raw!$A:$A,"&gt;="&amp;Analytics!$B$2,Input_Raw!$A:$A,"&lt;="&amp;Analytics!$B$3)</f>
        <v>9.800714285714287</v>
      </c>
      <c r="G21" s="171">
        <f>AVERAGEIFS(Input_Raw!BC:BC,Input_Raw!$A:$A,"&gt;="&amp;Analytics!$B$2,Input_Raw!$A:$A,"&lt;="&amp;Analytics!$B$3)</f>
        <v>10.048214285714286</v>
      </c>
      <c r="H21" s="171">
        <f>AVERAGEIFS(Input_Raw!BD:BD,Input_Raw!$A:$A,"&gt;="&amp;Analytics!$B$2,Input_Raw!$A:$A,"&lt;="&amp;Analytics!$B$3)</f>
        <v>9.2371428571428567</v>
      </c>
      <c r="I21" s="171">
        <f>AVERAGEIFS(Input_Raw!BE:BE,Input_Raw!$A:$A,"&gt;="&amp;Analytics!$B$2,Input_Raw!$A:$A,"&lt;="&amp;Analytics!$B$3)</f>
        <v>8.7728571428571449</v>
      </c>
      <c r="J21" s="171">
        <f>AVERAGEIFS(Input_Raw!BF:BF,Input_Raw!$A:$A,"&gt;="&amp;Analytics!$B$2,Input_Raw!$A:$A,"&lt;="&amp;Analytics!$B$3)</f>
        <v>8.1271428571428572</v>
      </c>
      <c r="K21" s="171">
        <f>AVERAGEIFS(Input_Raw!BG:BG,Input_Raw!$A:$A,"&gt;="&amp;Analytics!$B$2,Input_Raw!$A:$A,"&lt;="&amp;Analytics!$B$3)</f>
        <v>8.8946428571428555</v>
      </c>
      <c r="L21" s="171">
        <f>AVERAGEIFS(Input_Raw!BH:BH,Input_Raw!$A:$A,"&gt;="&amp;Analytics!$B$2,Input_Raw!$A:$A,"&lt;="&amp;Analytics!$B$3)</f>
        <v>9.328571428571431</v>
      </c>
      <c r="M21" s="171">
        <f>AVERAGEIFS(Input_Raw!BI:BI,Input_Raw!$A:$A,"&gt;="&amp;Analytics!$B$2,Input_Raw!$A:$A,"&lt;="&amp;Analytics!$B$3)</f>
        <v>10.217857142857145</v>
      </c>
      <c r="N21" s="171">
        <f>AVERAGEIFS(Input_Raw!BJ:BJ,Input_Raw!$A:$A,"&gt;="&amp;Analytics!$B$2,Input_Raw!$A:$A,"&lt;="&amp;Analytics!$B$3)</f>
        <v>8.9771428571428569</v>
      </c>
      <c r="O21" s="171">
        <f>AVERAGEIFS(Input_Raw!BK:BK,Input_Raw!$A:$A,"&gt;="&amp;Analytics!$B$2,Input_Raw!$A:$A,"&lt;="&amp;Analytics!$B$3)</f>
        <v>9.0421428571428564</v>
      </c>
      <c r="P21" s="171">
        <f>AVERAGEIFS(Input_Raw!BL:BL,Input_Raw!$A:$A,"&gt;="&amp;Analytics!$B$2,Input_Raw!$A:$A,"&lt;="&amp;Analytics!$B$3)</f>
        <v>9.2871428571428556</v>
      </c>
      <c r="Q21" s="171">
        <f>AVERAGEIFS(Input_Raw!BM:BM,Input_Raw!$A:$A,"&gt;="&amp;Analytics!$B$2,Input_Raw!$A:$A,"&lt;="&amp;Analytics!$B$3)</f>
        <v>9.2667857142857137</v>
      </c>
      <c r="R21" s="171">
        <f>AVERAGEIFS(Input_Raw!BN:BN,Input_Raw!$A:$A,"&gt;="&amp;Analytics!$B$2,Input_Raw!$A:$A,"&lt;="&amp;Analytics!$B$3)</f>
        <v>9.7657142857142851</v>
      </c>
      <c r="S21" s="171">
        <f>AVERAGEIFS(Input_Raw!BO:BO,Input_Raw!$A:$A,"&gt;="&amp;Analytics!$B$2,Input_Raw!$A:$A,"&lt;="&amp;Analytics!$B$3)</f>
        <v>9.1685714285714273</v>
      </c>
      <c r="T21" s="171">
        <f>AVERAGEIFS(Input_Raw!BP:BP,Input_Raw!$A:$A,"&gt;="&amp;Analytics!$B$2,Input_Raw!$A:$A,"&lt;="&amp;Analytics!$B$3)</f>
        <v>8.7328571428571422</v>
      </c>
      <c r="U21" s="171">
        <f>AVERAGEIFS(Input_Raw!BQ:BQ,Input_Raw!$A:$A,"&gt;="&amp;Analytics!$B$2,Input_Raw!$A:$A,"&lt;="&amp;Analytics!$B$3)</f>
        <v>8.0157142857142851</v>
      </c>
      <c r="V21" s="171">
        <f>AVERAGEIFS(Input_Raw!BR:BR,Input_Raw!$A:$A,"&gt;="&amp;Analytics!$B$2,Input_Raw!$A:$A,"&lt;="&amp;Analytics!$B$3)</f>
        <v>9.4321428571428587</v>
      </c>
      <c r="W21" s="171">
        <f>AVERAGEIFS(Input_Raw!BS:BS,Input_Raw!$A:$A,"&gt;="&amp;Analytics!$B$2,Input_Raw!$A:$A,"&lt;="&amp;Analytics!$B$3)</f>
        <v>8.7592857142857152</v>
      </c>
      <c r="X21" s="171">
        <f>AVERAGEIFS(Input_Raw!BT:BT,Input_Raw!$A:$A,"&gt;="&amp;Analytics!$B$2,Input_Raw!$A:$A,"&lt;="&amp;Analytics!$B$3)</f>
        <v>8.5807142857142829</v>
      </c>
      <c r="Y21" s="171">
        <f>AVERAGEIFS(Input_Raw!BU:BU,Input_Raw!$A:$A,"&gt;="&amp;Analytics!$B$2,Input_Raw!$A:$A,"&lt;="&amp;Analytics!$B$3)</f>
        <v>9.4557142857142846</v>
      </c>
      <c r="Z21" s="171">
        <f>AVERAGEIFS(Input_Raw!BV:BV,Input_Raw!$A:$A,"&gt;="&amp;Analytics!$B$2,Input_Raw!$A:$A,"&lt;="&amp;Analytics!$B$3)</f>
        <v>9.0500000000000007</v>
      </c>
      <c r="AA21" s="171">
        <f>AVERAGEIFS(Input_Raw!BW:BW,Input_Raw!$A:$A,"&gt;="&amp;Analytics!$B$2,Input_Raw!$A:$A,"&lt;="&amp;Analytics!$B$3)</f>
        <v>9.3335714285714282</v>
      </c>
      <c r="AB21" s="171">
        <f>AVERAGEIFS(Input_Raw!BX:BX,Input_Raw!$A:$A,"&gt;="&amp;Analytics!$B$2,Input_Raw!$A:$A,"&lt;="&amp;Analytics!$B$3)</f>
        <v>8.3792857142857127</v>
      </c>
      <c r="AC21" s="171">
        <f>AVERAGEIFS(Input_Raw!BY:BY,Input_Raw!$A:$A,"&gt;="&amp;Analytics!$B$2,Input_Raw!$A:$A,"&lt;="&amp;Analytics!$B$3)</f>
        <v>8.4135714285714283</v>
      </c>
      <c r="AD21" s="171">
        <f>AVERAGEIFS(Input_Raw!BZ:BZ,Input_Raw!$A:$A,"&gt;="&amp;Analytics!$B$2,Input_Raw!$A:$A,"&lt;="&amp;Analytics!$B$3)</f>
        <v>9.6450000000000014</v>
      </c>
      <c r="AE21" s="171">
        <f>AVERAGEIFS(Input_Raw!CA:CA,Input_Raw!$A:$A,"&gt;="&amp;Analytics!$B$2,Input_Raw!$A:$A,"&lt;="&amp;Analytics!$B$3)</f>
        <v>9.0025000000000013</v>
      </c>
      <c r="AF21" s="171">
        <f>AVERAGEIFS(Input_Raw!CB:CB,Input_Raw!$A:$A,"&gt;="&amp;Analytics!$B$2,Input_Raw!$A:$A,"&lt;="&amp;Analytics!$B$3)</f>
        <v>9.3749999999999982</v>
      </c>
      <c r="AG21" s="171">
        <f>AVERAGEIFS(Input_Raw!CC:CC,Input_Raw!$A:$A,"&gt;="&amp;Analytics!$B$2,Input_Raw!$A:$A,"&lt;="&amp;Analytics!$B$3)</f>
        <v>8.5410714285714295</v>
      </c>
      <c r="AH21" s="171">
        <f>AVERAGEIFS(Input_Raw!CD:CD,Input_Raw!$A:$A,"&gt;="&amp;Analytics!$B$2,Input_Raw!$A:$A,"&lt;="&amp;Analytics!$B$3)</f>
        <v>10.08714285714286</v>
      </c>
      <c r="AI21" s="171">
        <f>AVERAGEIFS(Input_Raw!CE:CE,Input_Raw!$A:$A,"&gt;="&amp;Analytics!$B$2,Input_Raw!$A:$A,"&lt;="&amp;Analytics!$B$3)</f>
        <v>9.9978571428571428</v>
      </c>
      <c r="AJ21" s="171">
        <f>AVERAGEIFS(Input_Raw!CF:CF,Input_Raw!$A:$A,"&gt;="&amp;Analytics!$B$2,Input_Raw!$A:$A,"&lt;="&amp;Analytics!$B$3)</f>
        <v>8.2642857142857125</v>
      </c>
      <c r="AK21" s="171">
        <f>AVERAGEIFS(Input_Raw!CG:CG,Input_Raw!$A:$A,"&gt;="&amp;Analytics!$B$2,Input_Raw!$A:$A,"&lt;="&amp;Analytics!$B$3)</f>
        <v>11.179642857142861</v>
      </c>
      <c r="AL21" s="171">
        <f>AVERAGEIFS(Input_Raw!CH:CH,Input_Raw!$A:$A,"&gt;="&amp;Analytics!$B$2,Input_Raw!$A:$A,"&lt;="&amp;Analytics!$B$3)</f>
        <v>10.766071428571427</v>
      </c>
      <c r="AM21" s="171">
        <f>AVERAGEIFS(Input_Raw!CI:CI,Input_Raw!$A:$A,"&gt;="&amp;Analytics!$B$2,Input_Raw!$A:$A,"&lt;="&amp;Analytics!$B$3)</f>
        <v>10.0025</v>
      </c>
      <c r="AN21" s="171">
        <f>AVERAGEIFS(Input_Raw!CJ:CJ,Input_Raw!$A:$A,"&gt;="&amp;Analytics!$B$2,Input_Raw!$A:$A,"&lt;="&amp;Analytics!$B$3)</f>
        <v>10.398214285714285</v>
      </c>
      <c r="AO21" s="171">
        <f>AVERAGEIFS(Input_Raw!CK:CK,Input_Raw!$A:$A,"&gt;="&amp;Analytics!$B$2,Input_Raw!$A:$A,"&lt;="&amp;Analytics!$B$3)</f>
        <v>9.1785714285714288</v>
      </c>
      <c r="AP21" s="171">
        <f>AVERAGEIFS(Input_Raw!CL:CL,Input_Raw!$A:$A,"&gt;="&amp;Analytics!$B$2,Input_Raw!$A:$A,"&lt;="&amp;Analytics!$B$3)</f>
        <v>9.8778571428571418</v>
      </c>
      <c r="AQ21" s="171">
        <f>AVERAGEIFS(Input_Raw!CM:CM,Input_Raw!$A:$A,"&gt;="&amp;Analytics!$B$2,Input_Raw!$A:$A,"&lt;="&amp;Analytics!$B$3)</f>
        <v>9.6150000000000002</v>
      </c>
      <c r="AR21" s="171">
        <f>AVERAGEIFS(Input_Raw!CN:CN,Input_Raw!$A:$A,"&gt;="&amp;Analytics!$B$2,Input_Raw!$A:$A,"&lt;="&amp;Analytics!$B$3)</f>
        <v>11.095357142857141</v>
      </c>
      <c r="AS21" s="171">
        <f>AVERAGEIFS(Input_Raw!CO:CO,Input_Raw!$A:$A,"&gt;="&amp;Analytics!$B$2,Input_Raw!$A:$A,"&lt;="&amp;Analytics!$B$3)</f>
        <v>9.9664285714285707</v>
      </c>
      <c r="AT21" s="86">
        <f t="shared" si="2"/>
        <v>9.3890909090909105</v>
      </c>
    </row>
    <row r="22" spans="1:46" ht="29.1" customHeight="1">
      <c r="A22" s="104" t="s">
        <v>137</v>
      </c>
      <c r="B22" s="105"/>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05"/>
      <c r="AO22" s="105"/>
      <c r="AP22" s="105"/>
      <c r="AQ22" s="105"/>
      <c r="AR22" s="105"/>
      <c r="AS22" s="105"/>
      <c r="AT22" s="86"/>
    </row>
    <row r="23" spans="1:46" ht="29.1" customHeight="1">
      <c r="A23" s="104" t="s">
        <v>138</v>
      </c>
    </row>
    <row r="24" spans="1:46" ht="29.1" customHeight="1">
      <c r="A24" s="104" t="s">
        <v>139</v>
      </c>
    </row>
    <row r="25" spans="1:46" ht="29.1" customHeight="1">
      <c r="A25" s="104"/>
    </row>
    <row r="26" spans="1:46" ht="29.1" customHeight="1">
      <c r="A26" s="385" t="s">
        <v>140</v>
      </c>
      <c r="B26" s="385"/>
      <c r="C26" s="385"/>
      <c r="D26" s="385"/>
      <c r="E26" s="385"/>
      <c r="F26" s="385"/>
      <c r="G26" s="385"/>
    </row>
    <row r="28" spans="1:46" ht="29.1" customHeight="1">
      <c r="D28" s="381" t="s">
        <v>141</v>
      </c>
      <c r="E28" s="381"/>
      <c r="F28" s="382" t="s">
        <v>142</v>
      </c>
      <c r="G28" s="383"/>
    </row>
    <row r="29" spans="1:46" ht="29.1" customHeight="1">
      <c r="D29" s="384" t="e">
        <f>(MAX(#REF!)-#REF!)*24</f>
        <v>#REF!</v>
      </c>
      <c r="E29" s="384"/>
      <c r="F29" s="381" t="e">
        <f>(MAX(#REF!)-#REF!)*24</f>
        <v>#REF!</v>
      </c>
      <c r="G29" s="381"/>
    </row>
    <row r="30" spans="1:46" ht="29.1" customHeight="1">
      <c r="A30" s="175" t="s">
        <v>143</v>
      </c>
      <c r="B30" s="173" t="s">
        <v>144</v>
      </c>
      <c r="C30" s="173" t="s">
        <v>145</v>
      </c>
      <c r="D30" s="176" t="s">
        <v>146</v>
      </c>
      <c r="E30" s="176" t="s">
        <v>147</v>
      </c>
    </row>
    <row r="31" spans="1:46" ht="29.1" customHeight="1">
      <c r="A31" s="177" t="s">
        <v>148</v>
      </c>
      <c r="B31" s="178">
        <v>289.10000000000002</v>
      </c>
      <c r="C31" s="178">
        <v>73</v>
      </c>
      <c r="D31" s="179">
        <f>B31/C31</f>
        <v>3.9602739726027401</v>
      </c>
      <c r="E31" s="179" t="e">
        <f>($D$29-B31)/C31</f>
        <v>#REF!</v>
      </c>
    </row>
    <row r="32" spans="1:46" ht="29.1" customHeight="1">
      <c r="A32" s="177" t="s">
        <v>149</v>
      </c>
      <c r="B32" s="178">
        <v>207.01666666666671</v>
      </c>
      <c r="C32" s="178">
        <v>26</v>
      </c>
      <c r="D32" s="179">
        <f t="shared" ref="D32:D80" si="37">B32/C32</f>
        <v>7.9621794871794886</v>
      </c>
      <c r="E32" s="179" t="e">
        <f t="shared" ref="E32:E80" si="38">($D$29-B32)/C32</f>
        <v>#REF!</v>
      </c>
    </row>
    <row r="33" spans="1:5" ht="29.1" customHeight="1">
      <c r="A33" s="177" t="s">
        <v>150</v>
      </c>
      <c r="B33" s="178">
        <v>84.225277777777777</v>
      </c>
      <c r="C33" s="178">
        <v>12</v>
      </c>
      <c r="D33" s="179">
        <f t="shared" si="37"/>
        <v>7.0187731481481483</v>
      </c>
      <c r="E33" s="179" t="e">
        <f t="shared" si="38"/>
        <v>#REF!</v>
      </c>
    </row>
    <row r="34" spans="1:5" ht="29.1" customHeight="1">
      <c r="A34" s="177" t="s">
        <v>151</v>
      </c>
      <c r="B34" s="178">
        <v>65.850000000000009</v>
      </c>
      <c r="C34" s="178">
        <v>8</v>
      </c>
      <c r="D34" s="179">
        <f t="shared" si="37"/>
        <v>8.2312500000000011</v>
      </c>
      <c r="E34" s="179" t="e">
        <f t="shared" si="38"/>
        <v>#REF!</v>
      </c>
    </row>
    <row r="35" spans="1:5" ht="29.1" customHeight="1">
      <c r="A35" s="177" t="s">
        <v>152</v>
      </c>
      <c r="B35" s="178">
        <v>65.083333333333329</v>
      </c>
      <c r="C35" s="178">
        <v>7</v>
      </c>
      <c r="D35" s="179">
        <f t="shared" si="37"/>
        <v>9.2976190476190474</v>
      </c>
      <c r="E35" s="179" t="e">
        <f t="shared" si="38"/>
        <v>#REF!</v>
      </c>
    </row>
    <row r="36" spans="1:5" ht="29.1" customHeight="1">
      <c r="A36" s="177" t="s">
        <v>153</v>
      </c>
      <c r="B36" s="178">
        <v>58.083333333333336</v>
      </c>
      <c r="C36" s="178">
        <v>9</v>
      </c>
      <c r="D36" s="179">
        <f t="shared" si="37"/>
        <v>6.4537037037037042</v>
      </c>
      <c r="E36" s="179" t="e">
        <f t="shared" si="38"/>
        <v>#REF!</v>
      </c>
    </row>
    <row r="37" spans="1:5" ht="29.1" customHeight="1">
      <c r="A37" s="177" t="s">
        <v>154</v>
      </c>
      <c r="B37" s="178">
        <v>40.299999999999997</v>
      </c>
      <c r="C37" s="178">
        <v>20</v>
      </c>
      <c r="D37" s="179">
        <f t="shared" si="37"/>
        <v>2.0149999999999997</v>
      </c>
      <c r="E37" s="179" t="e">
        <f t="shared" si="38"/>
        <v>#REF!</v>
      </c>
    </row>
    <row r="38" spans="1:5" ht="29.1" customHeight="1">
      <c r="A38" s="177" t="s">
        <v>155</v>
      </c>
      <c r="B38" s="178">
        <v>39.799999999999997</v>
      </c>
      <c r="C38" s="178">
        <v>7</v>
      </c>
      <c r="D38" s="179">
        <f t="shared" si="37"/>
        <v>5.6857142857142851</v>
      </c>
      <c r="E38" s="179" t="e">
        <f t="shared" si="38"/>
        <v>#REF!</v>
      </c>
    </row>
    <row r="39" spans="1:5" ht="29.1" customHeight="1">
      <c r="A39" s="177" t="s">
        <v>156</v>
      </c>
      <c r="B39" s="178">
        <v>34.216666666666669</v>
      </c>
      <c r="C39" s="178">
        <v>5</v>
      </c>
      <c r="D39" s="179">
        <f t="shared" si="37"/>
        <v>6.8433333333333337</v>
      </c>
      <c r="E39" s="179" t="e">
        <f t="shared" si="38"/>
        <v>#REF!</v>
      </c>
    </row>
    <row r="40" spans="1:5" ht="29.1" customHeight="1">
      <c r="A40" s="177" t="s">
        <v>157</v>
      </c>
      <c r="B40" s="178">
        <v>28.95</v>
      </c>
      <c r="C40" s="178">
        <v>2</v>
      </c>
      <c r="D40" s="179">
        <f t="shared" si="37"/>
        <v>14.475</v>
      </c>
      <c r="E40" s="179" t="e">
        <f t="shared" si="38"/>
        <v>#REF!</v>
      </c>
    </row>
    <row r="41" spans="1:5" ht="29.1" customHeight="1">
      <c r="A41" s="177" t="s">
        <v>158</v>
      </c>
      <c r="B41" s="178">
        <v>26.983333333333331</v>
      </c>
      <c r="C41" s="178">
        <v>3</v>
      </c>
      <c r="D41" s="179">
        <f t="shared" si="37"/>
        <v>8.9944444444444436</v>
      </c>
      <c r="E41" s="179" t="e">
        <f t="shared" si="38"/>
        <v>#REF!</v>
      </c>
    </row>
    <row r="42" spans="1:5" ht="29.1" customHeight="1">
      <c r="A42" s="177" t="s">
        <v>159</v>
      </c>
      <c r="B42" s="178">
        <v>20.25</v>
      </c>
      <c r="C42" s="178">
        <v>2</v>
      </c>
      <c r="D42" s="179">
        <f t="shared" si="37"/>
        <v>10.125</v>
      </c>
      <c r="E42" s="179" t="e">
        <f t="shared" si="38"/>
        <v>#REF!</v>
      </c>
    </row>
    <row r="43" spans="1:5" ht="29.1" customHeight="1">
      <c r="A43" s="177" t="s">
        <v>160</v>
      </c>
      <c r="B43" s="178">
        <v>18.516666666666666</v>
      </c>
      <c r="C43" s="178">
        <v>2</v>
      </c>
      <c r="D43" s="179">
        <f t="shared" si="37"/>
        <v>9.2583333333333329</v>
      </c>
      <c r="E43" s="179" t="e">
        <f t="shared" si="38"/>
        <v>#REF!</v>
      </c>
    </row>
    <row r="44" spans="1:5" ht="29.1" customHeight="1">
      <c r="A44" s="177" t="s">
        <v>161</v>
      </c>
      <c r="B44" s="178">
        <v>18.016666666666676</v>
      </c>
      <c r="C44" s="178">
        <v>20</v>
      </c>
      <c r="D44" s="179">
        <f t="shared" si="37"/>
        <v>0.90083333333333382</v>
      </c>
      <c r="E44" s="179" t="e">
        <f t="shared" si="38"/>
        <v>#REF!</v>
      </c>
    </row>
    <row r="45" spans="1:5" ht="29.1" customHeight="1">
      <c r="A45" s="177" t="s">
        <v>162</v>
      </c>
      <c r="B45" s="178">
        <v>17.883333333333333</v>
      </c>
      <c r="C45" s="178">
        <v>4</v>
      </c>
      <c r="D45" s="179">
        <f t="shared" si="37"/>
        <v>4.4708333333333332</v>
      </c>
      <c r="E45" s="179" t="e">
        <f t="shared" si="38"/>
        <v>#REF!</v>
      </c>
    </row>
    <row r="46" spans="1:5" ht="29.1" customHeight="1">
      <c r="A46" s="177" t="s">
        <v>163</v>
      </c>
      <c r="B46" s="178">
        <v>15.583333333333332</v>
      </c>
      <c r="C46" s="178">
        <v>4</v>
      </c>
      <c r="D46" s="179">
        <f t="shared" si="37"/>
        <v>3.895833333333333</v>
      </c>
      <c r="E46" s="179" t="e">
        <f t="shared" si="38"/>
        <v>#REF!</v>
      </c>
    </row>
    <row r="47" spans="1:5" ht="29.1" customHeight="1">
      <c r="A47" s="177" t="s">
        <v>164</v>
      </c>
      <c r="B47" s="178">
        <v>14.383333333333336</v>
      </c>
      <c r="C47" s="178">
        <v>9</v>
      </c>
      <c r="D47" s="179">
        <f t="shared" si="37"/>
        <v>1.5981481481481485</v>
      </c>
      <c r="E47" s="179" t="e">
        <f t="shared" si="38"/>
        <v>#REF!</v>
      </c>
    </row>
    <row r="48" spans="1:5" ht="29.1" customHeight="1">
      <c r="A48" s="177" t="s">
        <v>165</v>
      </c>
      <c r="B48" s="178">
        <v>13.366666666666665</v>
      </c>
      <c r="C48" s="178">
        <v>3</v>
      </c>
      <c r="D48" s="179">
        <f t="shared" si="37"/>
        <v>4.4555555555555548</v>
      </c>
      <c r="E48" s="179" t="e">
        <f t="shared" si="38"/>
        <v>#REF!</v>
      </c>
    </row>
    <row r="49" spans="1:5" ht="29.1" customHeight="1">
      <c r="A49" s="177" t="s">
        <v>166</v>
      </c>
      <c r="B49" s="178">
        <v>6.5666666666666655</v>
      </c>
      <c r="C49" s="178">
        <v>3</v>
      </c>
      <c r="D49" s="179">
        <f t="shared" si="37"/>
        <v>2.1888888888888887</v>
      </c>
      <c r="E49" s="179" t="e">
        <f t="shared" si="38"/>
        <v>#REF!</v>
      </c>
    </row>
    <row r="50" spans="1:5" ht="29.1" customHeight="1">
      <c r="A50" s="177" t="s">
        <v>167</v>
      </c>
      <c r="B50" s="178">
        <v>6.5333333333333332</v>
      </c>
      <c r="C50" s="178">
        <v>4</v>
      </c>
      <c r="D50" s="179">
        <f t="shared" si="37"/>
        <v>1.6333333333333333</v>
      </c>
      <c r="E50" s="179" t="e">
        <f t="shared" si="38"/>
        <v>#REF!</v>
      </c>
    </row>
    <row r="51" spans="1:5" ht="29.1" customHeight="1">
      <c r="A51" s="177" t="s">
        <v>168</v>
      </c>
      <c r="B51" s="178">
        <v>6.4666666666666686</v>
      </c>
      <c r="C51" s="178">
        <v>5</v>
      </c>
      <c r="D51" s="179">
        <f t="shared" si="37"/>
        <v>1.2933333333333337</v>
      </c>
      <c r="E51" s="179" t="e">
        <f t="shared" si="38"/>
        <v>#REF!</v>
      </c>
    </row>
    <row r="52" spans="1:5" ht="29.1" customHeight="1">
      <c r="A52" s="177" t="s">
        <v>169</v>
      </c>
      <c r="B52" s="178">
        <v>6.0333333333333332</v>
      </c>
      <c r="C52" s="178">
        <v>4</v>
      </c>
      <c r="D52" s="179">
        <f t="shared" si="37"/>
        <v>1.5083333333333333</v>
      </c>
      <c r="E52" s="179" t="e">
        <f t="shared" si="38"/>
        <v>#REF!</v>
      </c>
    </row>
    <row r="53" spans="1:5" ht="29.1" customHeight="1">
      <c r="A53" s="177" t="s">
        <v>170</v>
      </c>
      <c r="B53" s="178">
        <v>5.8999999999999986</v>
      </c>
      <c r="C53" s="178">
        <v>3</v>
      </c>
      <c r="D53" s="179">
        <f t="shared" si="37"/>
        <v>1.9666666666666661</v>
      </c>
      <c r="E53" s="179" t="e">
        <f t="shared" si="38"/>
        <v>#REF!</v>
      </c>
    </row>
    <row r="54" spans="1:5" ht="29.1" customHeight="1">
      <c r="A54" s="177" t="s">
        <v>171</v>
      </c>
      <c r="B54" s="178">
        <v>5.4166666666666741</v>
      </c>
      <c r="C54" s="178">
        <v>13</v>
      </c>
      <c r="D54" s="179">
        <f t="shared" si="37"/>
        <v>0.41666666666666724</v>
      </c>
      <c r="E54" s="179" t="e">
        <f t="shared" si="38"/>
        <v>#REF!</v>
      </c>
    </row>
    <row r="55" spans="1:5" ht="29.1" customHeight="1">
      <c r="A55" s="177" t="s">
        <v>172</v>
      </c>
      <c r="B55" s="178">
        <v>5.3333333333333304</v>
      </c>
      <c r="C55" s="178">
        <v>1</v>
      </c>
      <c r="D55" s="179">
        <f t="shared" si="37"/>
        <v>5.3333333333333304</v>
      </c>
      <c r="E55" s="179" t="e">
        <f t="shared" si="38"/>
        <v>#REF!</v>
      </c>
    </row>
    <row r="56" spans="1:5" ht="29.1" customHeight="1">
      <c r="A56" s="177" t="s">
        <v>173</v>
      </c>
      <c r="B56" s="178">
        <v>4.6166666666666663</v>
      </c>
      <c r="C56" s="178">
        <v>1</v>
      </c>
      <c r="D56" s="179">
        <f t="shared" si="37"/>
        <v>4.6166666666666663</v>
      </c>
      <c r="E56" s="179" t="e">
        <f t="shared" si="38"/>
        <v>#REF!</v>
      </c>
    </row>
    <row r="57" spans="1:5" ht="29.1" customHeight="1">
      <c r="A57" s="177" t="s">
        <v>174</v>
      </c>
      <c r="B57" s="178">
        <v>4.2999999999999989</v>
      </c>
      <c r="C57" s="178">
        <v>2</v>
      </c>
      <c r="D57" s="179">
        <f t="shared" si="37"/>
        <v>2.1499999999999995</v>
      </c>
      <c r="E57" s="179" t="e">
        <f t="shared" si="38"/>
        <v>#REF!</v>
      </c>
    </row>
    <row r="58" spans="1:5" ht="29.1" customHeight="1">
      <c r="A58" s="177" t="s">
        <v>175</v>
      </c>
      <c r="B58" s="178">
        <v>4.2499999999999982</v>
      </c>
      <c r="C58" s="178">
        <v>2</v>
      </c>
      <c r="D58" s="179">
        <f t="shared" si="37"/>
        <v>2.1249999999999991</v>
      </c>
      <c r="E58" s="179" t="e">
        <f t="shared" si="38"/>
        <v>#REF!</v>
      </c>
    </row>
    <row r="59" spans="1:5" ht="29.1" customHeight="1">
      <c r="A59" s="177" t="s">
        <v>176</v>
      </c>
      <c r="B59" s="178">
        <v>3.833333333333333</v>
      </c>
      <c r="C59" s="178">
        <v>1</v>
      </c>
      <c r="D59" s="179">
        <f t="shared" si="37"/>
        <v>3.833333333333333</v>
      </c>
      <c r="E59" s="179" t="e">
        <f t="shared" si="38"/>
        <v>#REF!</v>
      </c>
    </row>
    <row r="60" spans="1:5" ht="29.1" customHeight="1">
      <c r="A60" s="177" t="s">
        <v>177</v>
      </c>
      <c r="B60" s="178">
        <v>3.1833333333333327</v>
      </c>
      <c r="C60" s="178">
        <v>1</v>
      </c>
      <c r="D60" s="179">
        <f t="shared" si="37"/>
        <v>3.1833333333333327</v>
      </c>
      <c r="E60" s="179" t="e">
        <f t="shared" si="38"/>
        <v>#REF!</v>
      </c>
    </row>
    <row r="61" spans="1:5" ht="29.1" customHeight="1">
      <c r="A61" s="177" t="s">
        <v>178</v>
      </c>
      <c r="B61" s="178">
        <v>3.1166666666666649</v>
      </c>
      <c r="C61" s="178">
        <v>2</v>
      </c>
      <c r="D61" s="179">
        <f t="shared" si="37"/>
        <v>1.5583333333333325</v>
      </c>
      <c r="E61" s="179" t="e">
        <f t="shared" si="38"/>
        <v>#REF!</v>
      </c>
    </row>
    <row r="62" spans="1:5" ht="29.1" customHeight="1">
      <c r="A62" s="177" t="s">
        <v>179</v>
      </c>
      <c r="B62" s="178">
        <v>2.8499999999999988</v>
      </c>
      <c r="C62" s="178">
        <v>4</v>
      </c>
      <c r="D62" s="179">
        <f t="shared" si="37"/>
        <v>0.71249999999999969</v>
      </c>
      <c r="E62" s="179" t="e">
        <f t="shared" si="38"/>
        <v>#REF!</v>
      </c>
    </row>
    <row r="63" spans="1:5" ht="29.1" customHeight="1">
      <c r="A63" s="177" t="s">
        <v>180</v>
      </c>
      <c r="B63" s="178">
        <v>2.7999999999999954</v>
      </c>
      <c r="C63" s="178">
        <v>4</v>
      </c>
      <c r="D63" s="179">
        <f t="shared" si="37"/>
        <v>0.69999999999999885</v>
      </c>
      <c r="E63" s="179" t="e">
        <f t="shared" si="38"/>
        <v>#REF!</v>
      </c>
    </row>
    <row r="64" spans="1:5" ht="29.1" customHeight="1">
      <c r="A64" s="177" t="s">
        <v>181</v>
      </c>
      <c r="B64" s="178">
        <v>2.6833333333333331</v>
      </c>
      <c r="C64" s="178">
        <v>1</v>
      </c>
      <c r="D64" s="179">
        <f t="shared" si="37"/>
        <v>2.6833333333333331</v>
      </c>
      <c r="E64" s="179" t="e">
        <f t="shared" si="38"/>
        <v>#REF!</v>
      </c>
    </row>
    <row r="65" spans="1:5" ht="29.1" customHeight="1">
      <c r="A65" s="177" t="s">
        <v>182</v>
      </c>
      <c r="B65" s="178">
        <v>2.25</v>
      </c>
      <c r="C65" s="178">
        <v>1</v>
      </c>
      <c r="D65" s="179">
        <f t="shared" si="37"/>
        <v>2.25</v>
      </c>
      <c r="E65" s="179" t="e">
        <f t="shared" si="38"/>
        <v>#REF!</v>
      </c>
    </row>
    <row r="66" spans="1:5" ht="29.1" customHeight="1">
      <c r="A66" s="177" t="s">
        <v>183</v>
      </c>
      <c r="B66" s="178">
        <v>1.9333333333333331</v>
      </c>
      <c r="C66" s="178">
        <v>1</v>
      </c>
      <c r="D66" s="179">
        <f t="shared" si="37"/>
        <v>1.9333333333333331</v>
      </c>
      <c r="E66" s="179" t="e">
        <f t="shared" si="38"/>
        <v>#REF!</v>
      </c>
    </row>
    <row r="67" spans="1:5" ht="29.1" customHeight="1">
      <c r="A67" s="177" t="s">
        <v>184</v>
      </c>
      <c r="B67" s="178">
        <v>1.9000000000000012</v>
      </c>
      <c r="C67" s="178">
        <v>1</v>
      </c>
      <c r="D67" s="179">
        <f t="shared" si="37"/>
        <v>1.9000000000000012</v>
      </c>
      <c r="E67" s="179" t="e">
        <f t="shared" si="38"/>
        <v>#REF!</v>
      </c>
    </row>
    <row r="68" spans="1:5" ht="29.1" customHeight="1">
      <c r="A68" s="177" t="s">
        <v>185</v>
      </c>
      <c r="B68" s="178">
        <v>1.2500000000000016</v>
      </c>
      <c r="C68" s="178">
        <v>4</v>
      </c>
      <c r="D68" s="179">
        <f t="shared" si="37"/>
        <v>0.31250000000000039</v>
      </c>
      <c r="E68" s="179" t="e">
        <f t="shared" si="38"/>
        <v>#REF!</v>
      </c>
    </row>
    <row r="69" spans="1:5" ht="29.1" customHeight="1">
      <c r="A69" s="177" t="s">
        <v>186</v>
      </c>
      <c r="B69" s="178">
        <v>1.0166666666666664</v>
      </c>
      <c r="C69" s="178">
        <v>1</v>
      </c>
      <c r="D69" s="179">
        <f t="shared" si="37"/>
        <v>1.0166666666666664</v>
      </c>
      <c r="E69" s="179" t="e">
        <f t="shared" si="38"/>
        <v>#REF!</v>
      </c>
    </row>
    <row r="70" spans="1:5" ht="29.1" customHeight="1">
      <c r="A70" s="177" t="s">
        <v>187</v>
      </c>
      <c r="B70" s="178">
        <v>1.0000000000000004</v>
      </c>
      <c r="C70" s="178">
        <v>1</v>
      </c>
      <c r="D70" s="179">
        <f t="shared" si="37"/>
        <v>1.0000000000000004</v>
      </c>
      <c r="E70" s="179" t="e">
        <f t="shared" si="38"/>
        <v>#REF!</v>
      </c>
    </row>
    <row r="71" spans="1:5" ht="29.1" customHeight="1">
      <c r="A71" s="177" t="s">
        <v>188</v>
      </c>
      <c r="B71" s="178">
        <v>0.6666666666666663</v>
      </c>
      <c r="C71" s="178">
        <v>1</v>
      </c>
      <c r="D71" s="179">
        <f t="shared" si="37"/>
        <v>0.6666666666666663</v>
      </c>
      <c r="E71" s="179" t="e">
        <f t="shared" si="38"/>
        <v>#REF!</v>
      </c>
    </row>
    <row r="72" spans="1:5" ht="29.1" customHeight="1">
      <c r="A72" s="177" t="s">
        <v>189</v>
      </c>
      <c r="B72" s="178">
        <v>0.5999999999999992</v>
      </c>
      <c r="C72" s="178">
        <v>2</v>
      </c>
      <c r="D72" s="179">
        <f t="shared" si="37"/>
        <v>0.2999999999999996</v>
      </c>
      <c r="E72" s="179" t="e">
        <f t="shared" si="38"/>
        <v>#REF!</v>
      </c>
    </row>
    <row r="73" spans="1:5" ht="29.1" customHeight="1">
      <c r="A73" s="177" t="s">
        <v>190</v>
      </c>
      <c r="B73" s="178">
        <v>0.58333333333333393</v>
      </c>
      <c r="C73" s="178">
        <v>1</v>
      </c>
      <c r="D73" s="179">
        <f t="shared" si="37"/>
        <v>0.58333333333333393</v>
      </c>
      <c r="E73" s="179" t="e">
        <f t="shared" si="38"/>
        <v>#REF!</v>
      </c>
    </row>
    <row r="74" spans="1:5" ht="29.1" customHeight="1">
      <c r="A74" s="177" t="s">
        <v>191</v>
      </c>
      <c r="B74" s="178">
        <v>0.48333333333333361</v>
      </c>
      <c r="C74" s="178">
        <v>1</v>
      </c>
      <c r="D74" s="179">
        <f t="shared" si="37"/>
        <v>0.48333333333333361</v>
      </c>
      <c r="E74" s="179" t="e">
        <f t="shared" si="38"/>
        <v>#REF!</v>
      </c>
    </row>
    <row r="75" spans="1:5" ht="29.1" customHeight="1">
      <c r="A75" s="177" t="s">
        <v>192</v>
      </c>
      <c r="B75" s="178">
        <v>0.41666666666666785</v>
      </c>
      <c r="C75" s="178">
        <v>1</v>
      </c>
      <c r="D75" s="179">
        <f t="shared" si="37"/>
        <v>0.41666666666666785</v>
      </c>
      <c r="E75" s="179" t="e">
        <f t="shared" si="38"/>
        <v>#REF!</v>
      </c>
    </row>
    <row r="76" spans="1:5" ht="29.1" customHeight="1">
      <c r="A76" s="177" t="s">
        <v>193</v>
      </c>
      <c r="B76" s="178">
        <v>0.38333333333333597</v>
      </c>
      <c r="C76" s="178">
        <v>2</v>
      </c>
      <c r="D76" s="179">
        <f t="shared" si="37"/>
        <v>0.19166666666666798</v>
      </c>
      <c r="E76" s="179" t="e">
        <f t="shared" si="38"/>
        <v>#REF!</v>
      </c>
    </row>
    <row r="77" spans="1:5" ht="29.1" customHeight="1">
      <c r="A77" s="177" t="s">
        <v>194</v>
      </c>
      <c r="B77" s="178">
        <v>0.13333333333333286</v>
      </c>
      <c r="C77" s="178">
        <v>1</v>
      </c>
      <c r="D77" s="179">
        <f t="shared" si="37"/>
        <v>0.13333333333333286</v>
      </c>
      <c r="E77" s="179" t="e">
        <f t="shared" si="38"/>
        <v>#REF!</v>
      </c>
    </row>
    <row r="78" spans="1:5" ht="29.1" customHeight="1">
      <c r="A78" s="177" t="s">
        <v>195</v>
      </c>
      <c r="B78" s="178">
        <v>0</v>
      </c>
      <c r="C78" s="178">
        <v>12</v>
      </c>
      <c r="D78" s="179">
        <f t="shared" si="37"/>
        <v>0</v>
      </c>
      <c r="E78" s="179" t="e">
        <f t="shared" si="38"/>
        <v>#REF!</v>
      </c>
    </row>
    <row r="79" spans="1:5" ht="29.1" customHeight="1">
      <c r="A79" s="177" t="s">
        <v>196</v>
      </c>
      <c r="B79" s="178">
        <v>1144.1086111111126</v>
      </c>
      <c r="C79" s="178">
        <v>297</v>
      </c>
      <c r="D79" s="179">
        <f t="shared" si="37"/>
        <v>3.8522175458286618</v>
      </c>
      <c r="E79" s="179" t="e">
        <f t="shared" si="38"/>
        <v>#REF!</v>
      </c>
    </row>
    <row r="80" spans="1:5" ht="29.1" customHeight="1">
      <c r="D80" s="179" t="e">
        <f t="shared" si="37"/>
        <v>#DIV/0!</v>
      </c>
      <c r="E80" s="179" t="e">
        <f t="shared" si="38"/>
        <v>#REF!</v>
      </c>
    </row>
    <row r="81" spans="1:5" ht="29.1" customHeight="1">
      <c r="D81" s="173"/>
      <c r="E81" s="173"/>
    </row>
    <row r="82" spans="1:5" ht="29.1" customHeight="1">
      <c r="D82" s="173"/>
      <c r="E82" s="173"/>
    </row>
    <row r="83" spans="1:5" ht="29.1" customHeight="1">
      <c r="A83" s="173"/>
      <c r="B83" s="173"/>
      <c r="C83" s="173"/>
      <c r="D83" s="173"/>
      <c r="E83" s="173"/>
    </row>
    <row r="84" spans="1:5" ht="29.1" customHeight="1">
      <c r="A84" s="173"/>
      <c r="B84" s="173"/>
      <c r="C84" s="173"/>
      <c r="D84" s="173"/>
      <c r="E84" s="173"/>
    </row>
    <row r="85" spans="1:5" ht="29.1" customHeight="1">
      <c r="A85" s="173"/>
      <c r="B85" s="173"/>
      <c r="C85" s="173"/>
      <c r="D85" s="173"/>
      <c r="E85" s="173"/>
    </row>
    <row r="86" spans="1:5" ht="29.1" customHeight="1">
      <c r="A86" s="173"/>
      <c r="B86" s="173"/>
      <c r="C86" s="173"/>
      <c r="D86" s="173"/>
      <c r="E86" s="173"/>
    </row>
    <row r="87" spans="1:5" ht="29.1" customHeight="1">
      <c r="A87" s="173"/>
      <c r="B87" s="173"/>
      <c r="C87" s="173"/>
      <c r="D87" s="173"/>
      <c r="E87" s="173"/>
    </row>
    <row r="88" spans="1:5" ht="29.1" customHeight="1">
      <c r="A88" s="173"/>
      <c r="B88" s="173"/>
      <c r="C88" s="173"/>
      <c r="D88" s="173"/>
      <c r="E88" s="173"/>
    </row>
    <row r="89" spans="1:5" ht="29.1" customHeight="1">
      <c r="A89" s="173"/>
      <c r="B89" s="173"/>
      <c r="C89" s="173"/>
      <c r="D89" s="173"/>
      <c r="E89" s="173"/>
    </row>
    <row r="90" spans="1:5" ht="29.1" customHeight="1">
      <c r="A90" s="173"/>
      <c r="B90" s="173"/>
      <c r="C90" s="173"/>
      <c r="D90" s="173"/>
      <c r="E90" s="173"/>
    </row>
    <row r="91" spans="1:5" ht="29.1" customHeight="1">
      <c r="A91" s="173"/>
      <c r="B91" s="173"/>
      <c r="C91" s="173"/>
      <c r="D91" s="173"/>
      <c r="E91" s="173"/>
    </row>
    <row r="92" spans="1:5" ht="29.1" customHeight="1">
      <c r="A92" s="173"/>
      <c r="B92" s="173"/>
      <c r="C92" s="173"/>
      <c r="D92" s="173"/>
      <c r="E92" s="173"/>
    </row>
  </sheetData>
  <mergeCells count="5">
    <mergeCell ref="D28:E28"/>
    <mergeCell ref="F28:G28"/>
    <mergeCell ref="D29:E29"/>
    <mergeCell ref="F29:G29"/>
    <mergeCell ref="A26:G26"/>
  </mergeCells>
  <conditionalFormatting sqref="B5:AS5">
    <cfRule type="colorScale" priority="4">
      <colorScale>
        <cfvo type="min"/>
        <cfvo type="percentile" val="50"/>
        <cfvo type="max"/>
        <color rgb="FFF8696B"/>
        <color rgb="FFFFEB84"/>
        <color rgb="FF63BE7B"/>
      </colorScale>
    </cfRule>
  </conditionalFormatting>
  <conditionalFormatting sqref="B7:AS7">
    <cfRule type="colorScale" priority="5">
      <colorScale>
        <cfvo type="min"/>
        <cfvo type="percentile" val="50"/>
        <cfvo type="max"/>
        <color rgb="FFF8696B"/>
        <color rgb="FFFFEB84"/>
        <color rgb="FF63BE7B"/>
      </colorScale>
    </cfRule>
  </conditionalFormatting>
  <conditionalFormatting sqref="B13:AS13">
    <cfRule type="colorScale" priority="8">
      <colorScale>
        <cfvo type="min"/>
        <cfvo type="percentile" val="50"/>
        <cfvo type="max"/>
        <color rgb="FFF8696B"/>
        <color rgb="FFFFEB84"/>
        <color rgb="FF63BE7B"/>
      </colorScale>
    </cfRule>
  </conditionalFormatting>
  <conditionalFormatting sqref="B15:AS15">
    <cfRule type="colorScale" priority="11">
      <colorScale>
        <cfvo type="min"/>
        <cfvo type="percentile" val="50"/>
        <cfvo type="max"/>
        <color rgb="FFF8696B"/>
        <color rgb="FFFFEB84"/>
        <color rgb="FF63BE7B"/>
      </colorScale>
    </cfRule>
  </conditionalFormatting>
  <conditionalFormatting sqref="B16:AS16">
    <cfRule type="colorScale" priority="3">
      <colorScale>
        <cfvo type="min"/>
        <cfvo type="percentile" val="50"/>
        <cfvo type="max"/>
        <color rgb="FFF8696B"/>
        <color rgb="FFFFEB84"/>
        <color rgb="FF63BE7B"/>
      </colorScale>
    </cfRule>
  </conditionalFormatting>
  <conditionalFormatting sqref="B19:AS19">
    <cfRule type="colorScale" priority="10">
      <colorScale>
        <cfvo type="min"/>
        <cfvo type="percentile" val="50"/>
        <cfvo type="max"/>
        <color rgb="FF63BE7B"/>
        <color rgb="FFFFEB84"/>
        <color rgb="FFF8696B"/>
      </colorScale>
    </cfRule>
  </conditionalFormatting>
  <conditionalFormatting sqref="B20:AS20">
    <cfRule type="colorScale" priority="9">
      <colorScale>
        <cfvo type="min"/>
        <cfvo type="percentile" val="50"/>
        <cfvo type="max"/>
        <color rgb="FFF8696B"/>
        <color rgb="FFFFEB84"/>
        <color rgb="FF63BE7B"/>
      </colorScale>
    </cfRule>
  </conditionalFormatting>
  <conditionalFormatting sqref="B21:AS22">
    <cfRule type="cellIs" dxfId="5" priority="6" operator="lessThan">
      <formula>$D$3</formula>
    </cfRule>
    <cfRule type="cellIs" dxfId="4" priority="7" operator="greaterThan">
      <formula>$D$3</formula>
    </cfRule>
  </conditionalFormatting>
  <conditionalFormatting sqref="D31:D80">
    <cfRule type="colorScale" priority="1">
      <colorScale>
        <cfvo type="min"/>
        <cfvo type="percentile" val="50"/>
        <cfvo type="max"/>
        <color rgb="FF63BE7B"/>
        <color rgb="FFFFEB84"/>
        <color rgb="FFF8696B"/>
      </colorScale>
    </cfRule>
  </conditionalFormatting>
  <conditionalFormatting sqref="E31:E80">
    <cfRule type="colorScale" priority="2">
      <colorScale>
        <cfvo type="min"/>
        <cfvo type="percentile" val="50"/>
        <cfvo type="max"/>
        <color rgb="FFF8696B"/>
        <color rgb="FFFFEB84"/>
        <color rgb="FF63BE7B"/>
      </colorScale>
    </cfRule>
  </conditionalFormatting>
  <dataValidations count="2">
    <dataValidation allowBlank="1" showInputMessage="1" showErrorMessage="1" prompt="All breakdown including FM, EGA, IGA etc." sqref="A16" xr:uid="{00000000-0002-0000-0300-000000000000}"/>
    <dataValidation allowBlank="1" showInputMessage="1" showErrorMessage="1" prompt="Change the hours if you select specific period using Pivot Table." sqref="D29:E29" xr:uid="{00000000-0002-0000-0300-000001000000}"/>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369"/>
  <sheetViews>
    <sheetView workbookViewId="0">
      <pane xSplit="1" ySplit="1" topLeftCell="AF100" activePane="bottomRight" state="frozen"/>
      <selection pane="topRight" activeCell="AB39" sqref="AB39"/>
      <selection pane="bottomLeft" activeCell="AB39" sqref="AB39"/>
      <selection pane="bottomRight" activeCell="AK122" sqref="AK122"/>
    </sheetView>
  </sheetViews>
  <sheetFormatPr defaultColWidth="8.5703125" defaultRowHeight="15"/>
  <cols>
    <col min="1" max="1" width="10.140625" style="107" bestFit="1" customWidth="1"/>
    <col min="2" max="5" width="9" style="107" customWidth="1"/>
    <col min="6" max="9" width="10.42578125" style="107" customWidth="1"/>
    <col min="10" max="12" width="11.42578125" style="107" customWidth="1"/>
    <col min="13" max="13" width="15.140625" style="107" bestFit="1" customWidth="1"/>
    <col min="14" max="39" width="11.42578125" style="107" customWidth="1"/>
    <col min="40" max="40" width="11.42578125" style="112" customWidth="1"/>
    <col min="41" max="43" width="11.42578125" style="107" customWidth="1"/>
    <col min="44" max="16384" width="8.5703125" style="107"/>
  </cols>
  <sheetData>
    <row r="1" spans="1:45" ht="60">
      <c r="A1" s="133" t="s">
        <v>197</v>
      </c>
      <c r="B1" s="134" t="s">
        <v>3</v>
      </c>
      <c r="C1" s="134" t="s">
        <v>198</v>
      </c>
      <c r="D1" s="134" t="s">
        <v>199</v>
      </c>
      <c r="E1" s="134" t="s">
        <v>48</v>
      </c>
      <c r="F1" s="135" t="s">
        <v>200</v>
      </c>
      <c r="G1" s="135" t="s">
        <v>201</v>
      </c>
      <c r="H1" s="135" t="s">
        <v>202</v>
      </c>
      <c r="I1" s="135" t="s">
        <v>203</v>
      </c>
      <c r="J1" s="135" t="s">
        <v>204</v>
      </c>
      <c r="K1" s="135" t="s">
        <v>205</v>
      </c>
      <c r="L1" s="135" t="s">
        <v>206</v>
      </c>
      <c r="M1" s="135" t="s">
        <v>207</v>
      </c>
      <c r="N1" s="135" t="s">
        <v>208</v>
      </c>
      <c r="O1" s="135" t="s">
        <v>209</v>
      </c>
      <c r="P1" s="135" t="s">
        <v>210</v>
      </c>
      <c r="Q1" s="135" t="s">
        <v>211</v>
      </c>
      <c r="R1" s="135" t="s">
        <v>212</v>
      </c>
      <c r="S1" s="135" t="s">
        <v>213</v>
      </c>
      <c r="T1" s="135" t="s">
        <v>214</v>
      </c>
      <c r="U1" s="135" t="s">
        <v>215</v>
      </c>
      <c r="V1" s="135" t="s">
        <v>216</v>
      </c>
      <c r="W1" s="135" t="s">
        <v>217</v>
      </c>
      <c r="X1" s="135" t="s">
        <v>218</v>
      </c>
      <c r="Y1" s="135" t="s">
        <v>219</v>
      </c>
      <c r="Z1" s="135" t="s">
        <v>220</v>
      </c>
      <c r="AA1" s="135" t="s">
        <v>221</v>
      </c>
      <c r="AB1" s="135" t="s">
        <v>222</v>
      </c>
      <c r="AC1" s="135" t="s">
        <v>223</v>
      </c>
      <c r="AD1" s="135" t="s">
        <v>224</v>
      </c>
      <c r="AE1" s="135" t="s">
        <v>225</v>
      </c>
      <c r="AF1" s="135" t="s">
        <v>226</v>
      </c>
      <c r="AG1" s="135" t="s">
        <v>227</v>
      </c>
      <c r="AH1" s="135" t="s">
        <v>228</v>
      </c>
      <c r="AI1" s="135" t="s">
        <v>63</v>
      </c>
      <c r="AJ1" s="135" t="s">
        <v>229</v>
      </c>
      <c r="AK1" s="135" t="s">
        <v>230</v>
      </c>
      <c r="AL1" s="135" t="s">
        <v>231</v>
      </c>
      <c r="AM1" s="135" t="s">
        <v>232</v>
      </c>
      <c r="AN1" s="136" t="s">
        <v>233</v>
      </c>
      <c r="AO1" s="135" t="s">
        <v>65</v>
      </c>
      <c r="AP1" s="135" t="s">
        <v>234</v>
      </c>
      <c r="AQ1" s="135" t="s">
        <v>235</v>
      </c>
      <c r="AR1" s="135" t="s">
        <v>236</v>
      </c>
      <c r="AS1" s="135" t="s">
        <v>237</v>
      </c>
    </row>
    <row r="2" spans="1:45">
      <c r="A2" s="137">
        <v>45745</v>
      </c>
      <c r="B2" s="138">
        <f>YEAR(Daily_KPI[[#This Row],[Date]])+IF(MONTH(Daily_KPI[[#This Row],[Date]])&gt;=4,1,0)</f>
        <v>2025</v>
      </c>
      <c r="C2" s="108">
        <f>YEAR(Daily_KPI[[#This Row],[Date]])</f>
        <v>2025</v>
      </c>
      <c r="D2" s="139">
        <f>Daily_KPI[[#This Row],[Date]]-DAY(Daily_KPI[[#This Row],[Date]])+1</f>
        <v>45717</v>
      </c>
      <c r="E2" s="108">
        <f t="shared" ref="E2:E60" si="0">DAY(EOMONTH(A2,0))</f>
        <v>31</v>
      </c>
      <c r="F2" s="109"/>
      <c r="G2" s="143"/>
      <c r="H2" s="143"/>
      <c r="I2" s="143"/>
      <c r="J2" s="143"/>
      <c r="K2" s="111"/>
      <c r="L2" s="110"/>
      <c r="M2" s="110">
        <f>IFERROR(_xlfn.XLOOKUP($A2,Input_Raw!$A:$A,Input_Raw!$CQ:$CQ),"")</f>
        <v>4.6409090909090915</v>
      </c>
      <c r="N2" s="110">
        <f>IFERROR(_xlfn.XLOOKUP($A2,Input_Raw!$A:$A,Input_Raw!$CR:$CR),"")</f>
        <v>5.68</v>
      </c>
      <c r="O2" s="141">
        <f t="shared" ref="O2:O60" si="1">IFERROR(P2*Q2,"")</f>
        <v>0.96851330160491766</v>
      </c>
      <c r="P2" s="141">
        <f>IFERROR(1-SUMIF(WTG_BD!$F:$F,$A2,WTG_BD!$AA:$AA)/($AA2+SUMIF(WTG_BD!$F:$F,$A2,WTG_BD!$AA:$AA)),"")</f>
        <v>0.99330875565198473</v>
      </c>
      <c r="Q2" s="141">
        <f>IFERROR(1-SUMIF(IGA_BD!$F:$F,$A2,IGA_BD!$W:$W)/($AA2+SUMIF(IGA_BD!$F:$F,$A2,IGA_BD!$W:$W)),"")</f>
        <v>0.97503751587209975</v>
      </c>
      <c r="R2" s="141">
        <f>IFERROR(1-SUMIF(Grid_BD!$F:$F,$A2,Grid_BD!$Y:$Y)/($AA2+SUMIF(Grid_BD!$F:$F,$A2,Grid_BD!$Y:$Y)),"")</f>
        <v>1</v>
      </c>
      <c r="S2" s="108"/>
      <c r="T2" s="140"/>
      <c r="U2" s="141"/>
      <c r="V2" s="108"/>
      <c r="W2" s="142">
        <f t="shared" ref="W2:W60" si="2">IFERROR(X2/(24*AB2*1000),"")</f>
        <v>9.998520359848484E-2</v>
      </c>
      <c r="X2" s="108">
        <f>IFERROR(_xlfn.XLOOKUP($A2,Input_Raw!$A:$A,Input_Raw!$CP:$CP)*1000,"")</f>
        <v>168935</v>
      </c>
      <c r="Y2" s="108">
        <f>IFERROR(_xlfn.XLOOKUP($A2,Input_Raw!$A:$A,Input_Raw!DJ:DJ)*1000,"")</f>
        <v>168935</v>
      </c>
      <c r="Z2" s="108">
        <f>IFERROR(_xlfn.XLOOKUP($A2,Input_Raw!$A:$A,Input_Raw!DK:DK)*1000,"")</f>
        <v>0</v>
      </c>
      <c r="AA2" s="138">
        <f t="shared" ref="AA2:AA60" si="3">IFERROR(Y2-Z2,"")</f>
        <v>168935</v>
      </c>
      <c r="AB2" s="108">
        <f>IFERROR(_xlfn.XLOOKUP($A2,Input_Raw!$A:$A,Input_Raw!$DR:$DR),"")</f>
        <v>70.400000000000006</v>
      </c>
      <c r="AC2" s="143">
        <f>IFERROR(_xlfn.XLOOKUP($D2,'Modelling New'!$D:$D,'Modelling New'!$J:$J),"")</f>
        <v>4.5649999999999995</v>
      </c>
      <c r="AD2" s="138">
        <f>IFERROR(_xlfn.XLOOKUP($D2,'Modelling New'!$D:$D,'Modelling New'!$T:$T)*1000,"")</f>
        <v>177354.83870967739</v>
      </c>
      <c r="AE2" s="142"/>
      <c r="AF2" s="142">
        <f>IFERROR(_xlfn.XLOOKUP($D2,'Modelling New'!$D:$D,'Modelling New'!$W:$W),"")</f>
        <v>0.10496853616813293</v>
      </c>
      <c r="AG2" s="142">
        <f>IFERROR(_xlfn.XLOOKUP($D2,'Modelling New'!$D:$D,'Modelling New'!$AE:$AE),"")</f>
        <v>0.96029999999999993</v>
      </c>
      <c r="AH2" s="142">
        <f>IFERROR(_xlfn.XLOOKUP($D2,'Modelling New'!$D:$D,'Modelling New'!$AF:$AF),"")</f>
        <v>0.995</v>
      </c>
      <c r="AI2" s="109">
        <f>IFERROR(_xlfn.XLOOKUP($A2,Input_Raw!$A:$A,Input_Raw!$DP:$DP),"")</f>
        <v>156.79</v>
      </c>
      <c r="AJ2" s="108"/>
      <c r="AK2" s="108"/>
      <c r="AL2" s="108"/>
      <c r="AM2" s="108"/>
      <c r="AN2" s="132">
        <f>IFERROR(_xlfn.XLOOKUP($A2,Input_Raw!$A:$A,Input_Raw!$DL:$DL),"")</f>
        <v>0</v>
      </c>
      <c r="AO2" s="142">
        <f>IFERROR((_xlfn.XLOOKUP($A2,'WTG Reactive Power'!$A:$A,'WTG Reactive Power'!$AW:$AW))/X2,"")</f>
        <v>0</v>
      </c>
      <c r="AP2" s="142">
        <f>IFERROR(_xlfn.XLOOKUP($D2,'Modelling New'!$D:$D,'Modelling New'!$AK:$AK),"")</f>
        <v>0.05</v>
      </c>
      <c r="AQ2" s="142">
        <f>IFERROR(_xlfn.XLOOKUP($D2,'Modelling New'!$D:$D,'Modelling New'!$AL:$AL),"")</f>
        <v>0.05</v>
      </c>
      <c r="AR2" s="198">
        <f>IFERROR(_xlfn.XLOOKUP($D2,'Modelling New'!$D:$D,'Modelling New'!$N:$N),"")</f>
        <v>70.400000000000006</v>
      </c>
      <c r="AS2" s="198"/>
    </row>
    <row r="3" spans="1:45">
      <c r="A3" s="137">
        <f t="shared" ref="A3:A62" si="4">A2+1</f>
        <v>45746</v>
      </c>
      <c r="B3" s="138">
        <f>YEAR(Daily_KPI[[#This Row],[Date]])+IF(MONTH(Daily_KPI[[#This Row],[Date]])&gt;=4,1,0)</f>
        <v>2025</v>
      </c>
      <c r="C3" s="108">
        <f>YEAR(Daily_KPI[[#This Row],[Date]])</f>
        <v>2025</v>
      </c>
      <c r="D3" s="139">
        <f>Daily_KPI[[#This Row],[Date]]-DAY(Daily_KPI[[#This Row],[Date]])+1</f>
        <v>45717</v>
      </c>
      <c r="E3" s="108">
        <f t="shared" si="0"/>
        <v>31</v>
      </c>
      <c r="F3" s="109"/>
      <c r="G3" s="110"/>
      <c r="H3" s="110"/>
      <c r="I3" s="110"/>
      <c r="J3" s="110"/>
      <c r="K3" s="111"/>
      <c r="L3" s="110"/>
      <c r="M3" s="110">
        <f>IFERROR(_xlfn.XLOOKUP($A3,Input_Raw!$A:$A,Input_Raw!$CQ:$CQ),"")</f>
        <v>4.932500000000001</v>
      </c>
      <c r="N3" s="110">
        <f>IFERROR(_xlfn.XLOOKUP($A3,Input_Raw!$A:$A,Input_Raw!$CR:$CR),"")</f>
        <v>6.15</v>
      </c>
      <c r="O3" s="141">
        <f t="shared" si="1"/>
        <v>0.99496952896974911</v>
      </c>
      <c r="P3" s="141">
        <f>IFERROR(1-SUMIF(WTG_BD!$F:$F,$A3,WTG_BD!$AA:$AA)/($AA3+SUMIF(WTG_BD!$F:$F,$A3,WTG_BD!$AA:$AA)),"")</f>
        <v>1</v>
      </c>
      <c r="Q3" s="141">
        <f>IFERROR(1-SUMIF(IGA_BD!$F:$F,$A3,IGA_BD!$W:$W)/($AA3+SUMIF(IGA_BD!$F:$F,$A3,IGA_BD!$W:$W)),"")</f>
        <v>0.99496952896974911</v>
      </c>
      <c r="R3" s="141">
        <f>IFERROR(1-SUMIF(Grid_BD!$F:$F,$A3,Grid_BD!$Y:$Y)/($AA3+SUMIF(Grid_BD!$F:$F,$A3,Grid_BD!$Y:$Y)),"")</f>
        <v>1</v>
      </c>
      <c r="S3" s="108"/>
      <c r="T3" s="140"/>
      <c r="U3" s="141"/>
      <c r="V3" s="108"/>
      <c r="W3" s="142">
        <f t="shared" si="2"/>
        <v>0.11237985321969696</v>
      </c>
      <c r="X3" s="108">
        <f>IFERROR(_xlfn.XLOOKUP($A3,Input_Raw!$A:$A,Input_Raw!$CP:$CP)*1000,"")</f>
        <v>189877</v>
      </c>
      <c r="Y3" s="108">
        <f>IFERROR(_xlfn.XLOOKUP($A3,Input_Raw!$A:$A,Input_Raw!DJ:DJ)*1000,"")</f>
        <v>189877</v>
      </c>
      <c r="Z3" s="108">
        <f>IFERROR(_xlfn.XLOOKUP($A3,Input_Raw!$A:$A,Input_Raw!DK:DK)*1000,"")</f>
        <v>0</v>
      </c>
      <c r="AA3" s="138">
        <f t="shared" si="3"/>
        <v>189877</v>
      </c>
      <c r="AB3" s="108">
        <f>IFERROR(_xlfn.XLOOKUP($A3,Input_Raw!$A:$A,Input_Raw!$DR:$DR),"")</f>
        <v>70.400000000000006</v>
      </c>
      <c r="AC3" s="143">
        <f>IFERROR(_xlfn.XLOOKUP($D3,'Modelling New'!$D:$D,'Modelling New'!$J:$J),"")</f>
        <v>4.5649999999999995</v>
      </c>
      <c r="AD3" s="138">
        <f>IFERROR(_xlfn.XLOOKUP($D3,'Modelling New'!$D:$D,'Modelling New'!$T:$T)*1000,"")</f>
        <v>177354.83870967739</v>
      </c>
      <c r="AE3" s="142"/>
      <c r="AF3" s="142">
        <f>IFERROR(_xlfn.XLOOKUP($D3,'Modelling New'!$D:$D,'Modelling New'!$W:$W),"")</f>
        <v>0.10496853616813293</v>
      </c>
      <c r="AG3" s="142">
        <f>IFERROR(_xlfn.XLOOKUP($D3,'Modelling New'!$D:$D,'Modelling New'!$AE:$AE),"")</f>
        <v>0.96029999999999993</v>
      </c>
      <c r="AH3" s="142">
        <f>IFERROR(_xlfn.XLOOKUP($D3,'Modelling New'!$D:$D,'Modelling New'!$AF:$AF),"")</f>
        <v>0.995</v>
      </c>
      <c r="AI3" s="109">
        <f>IFERROR(_xlfn.XLOOKUP($A3,Input_Raw!$A:$A,Input_Raw!$DP:$DP),"")</f>
        <v>162.74</v>
      </c>
      <c r="AJ3" s="108"/>
      <c r="AK3" s="108"/>
      <c r="AL3" s="108"/>
      <c r="AM3" s="108"/>
      <c r="AN3" s="132">
        <f>IFERROR(_xlfn.XLOOKUP($A3,Input_Raw!$A:$A,Input_Raw!$DL:$DL),"")</f>
        <v>0</v>
      </c>
      <c r="AO3" s="142">
        <f>IFERROR((_xlfn.XLOOKUP($A3,'WTG Reactive Power'!$A:$A,'WTG Reactive Power'!$AW:$AW))/X3,"")</f>
        <v>0</v>
      </c>
      <c r="AP3" s="142">
        <f>IFERROR(_xlfn.XLOOKUP($D3,'Modelling New'!$D:$D,'Modelling New'!$AK:$AK),"")</f>
        <v>0.05</v>
      </c>
      <c r="AQ3" s="142">
        <f>IFERROR(_xlfn.XLOOKUP($D3,'Modelling New'!$D:$D,'Modelling New'!$AL:$AL),"")</f>
        <v>0.05</v>
      </c>
      <c r="AR3" s="198">
        <f>IFERROR(_xlfn.XLOOKUP($D3,'Modelling New'!$D:$D,'Modelling New'!$N:$N),"")</f>
        <v>70.400000000000006</v>
      </c>
      <c r="AS3" s="198"/>
    </row>
    <row r="4" spans="1:45">
      <c r="A4" s="137">
        <f t="shared" si="4"/>
        <v>45747</v>
      </c>
      <c r="B4" s="138">
        <f>YEAR(Daily_KPI[[#This Row],[Date]])+IF(MONTH(Daily_KPI[[#This Row],[Date]])&gt;=4,1,0)</f>
        <v>2025</v>
      </c>
      <c r="C4" s="108">
        <f>YEAR(Daily_KPI[[#This Row],[Date]])</f>
        <v>2025</v>
      </c>
      <c r="D4" s="139">
        <f>Daily_KPI[[#This Row],[Date]]-DAY(Daily_KPI[[#This Row],[Date]])+1</f>
        <v>45717</v>
      </c>
      <c r="E4" s="108">
        <f t="shared" si="0"/>
        <v>31</v>
      </c>
      <c r="F4" s="109"/>
      <c r="G4" s="143"/>
      <c r="H4" s="143"/>
      <c r="I4" s="143"/>
      <c r="J4" s="143"/>
      <c r="K4" s="111"/>
      <c r="L4" s="110"/>
      <c r="M4" s="110">
        <f>IFERROR(_xlfn.XLOOKUP($A4,Input_Raw!$A:$A,Input_Raw!$CQ:$CQ),"")</f>
        <v>3.7163636363636368</v>
      </c>
      <c r="N4" s="110">
        <f>IFERROR(_xlfn.XLOOKUP($A4,Input_Raw!$A:$A,Input_Raw!$CR:$CR),"")</f>
        <v>4.75</v>
      </c>
      <c r="O4" s="141">
        <f t="shared" si="1"/>
        <v>0.95403199405568484</v>
      </c>
      <c r="P4" s="141">
        <f>IFERROR(1-SUMIF(WTG_BD!$F:$F,$A4,WTG_BD!$AA:$AA)/($AA4+SUMIF(WTG_BD!$F:$F,$A4,WTG_BD!$AA:$AA)),"")</f>
        <v>0.99594967154899539</v>
      </c>
      <c r="Q4" s="141">
        <f>IFERROR(1-SUMIF(IGA_BD!$F:$F,$A4,IGA_BD!$W:$W)/($AA4+SUMIF(IGA_BD!$F:$F,$A4,IGA_BD!$W:$W)),"")</f>
        <v>0.95791185168210735</v>
      </c>
      <c r="R4" s="141">
        <f>IFERROR(1-SUMIF(Grid_BD!$F:$F,$A4,Grid_BD!$Y:$Y)/($AA4+SUMIF(Grid_BD!$F:$F,$A4,Grid_BD!$Y:$Y)),"")</f>
        <v>1</v>
      </c>
      <c r="S4" s="108"/>
      <c r="T4" s="140"/>
      <c r="U4" s="141"/>
      <c r="V4" s="108"/>
      <c r="W4" s="142">
        <f t="shared" si="2"/>
        <v>5.1955492424242418E-2</v>
      </c>
      <c r="X4" s="108">
        <f>IFERROR(_xlfn.XLOOKUP($A4,Input_Raw!$A:$A,Input_Raw!$CP:$CP)*1000,"")</f>
        <v>87784</v>
      </c>
      <c r="Y4" s="108">
        <f>IFERROR(_xlfn.XLOOKUP($A4,Input_Raw!$A:$A,Input_Raw!DJ:DJ)*1000,"")</f>
        <v>87783.999999999985</v>
      </c>
      <c r="Z4" s="108">
        <f>IFERROR(_xlfn.XLOOKUP($A4,Input_Raw!$A:$A,Input_Raw!DK:DK)*1000,"")</f>
        <v>0</v>
      </c>
      <c r="AA4" s="138">
        <f t="shared" si="3"/>
        <v>87783.999999999985</v>
      </c>
      <c r="AB4" s="108">
        <f>IFERROR(_xlfn.XLOOKUP($A4,Input_Raw!$A:$A,Input_Raw!$DR:$DR),"")</f>
        <v>70.400000000000006</v>
      </c>
      <c r="AC4" s="143">
        <f>IFERROR(_xlfn.XLOOKUP($D4,'Modelling New'!$D:$D,'Modelling New'!$J:$J),"")</f>
        <v>4.5649999999999995</v>
      </c>
      <c r="AD4" s="138">
        <f>IFERROR(_xlfn.XLOOKUP($D4,'Modelling New'!$D:$D,'Modelling New'!$T:$T)*1000,"")</f>
        <v>177354.83870967739</v>
      </c>
      <c r="AE4" s="142"/>
      <c r="AF4" s="142">
        <f>IFERROR(_xlfn.XLOOKUP($D4,'Modelling New'!$D:$D,'Modelling New'!$W:$W),"")</f>
        <v>0.10496853616813293</v>
      </c>
      <c r="AG4" s="142">
        <f>IFERROR(_xlfn.XLOOKUP($D4,'Modelling New'!$D:$D,'Modelling New'!$AE:$AE),"")</f>
        <v>0.96029999999999993</v>
      </c>
      <c r="AH4" s="142">
        <f>IFERROR(_xlfn.XLOOKUP($D4,'Modelling New'!$D:$D,'Modelling New'!$AF:$AF),"")</f>
        <v>0.995</v>
      </c>
      <c r="AI4" s="109">
        <f>IFERROR(_xlfn.XLOOKUP($A4,Input_Raw!$A:$A,Input_Raw!$DP:$DP),"")</f>
        <v>66.47</v>
      </c>
      <c r="AJ4" s="108"/>
      <c r="AK4" s="108"/>
      <c r="AL4" s="108"/>
      <c r="AM4" s="108"/>
      <c r="AN4" s="132">
        <f>IFERROR(_xlfn.XLOOKUP($A4,Input_Raw!$A:$A,Input_Raw!$DL:$DL),"")</f>
        <v>-1.1102230246251565E-16</v>
      </c>
      <c r="AO4" s="142">
        <f>IFERROR((_xlfn.XLOOKUP($A4,'WTG Reactive Power'!$A:$A,'WTG Reactive Power'!$AW:$AW))/X4,"")</f>
        <v>0</v>
      </c>
      <c r="AP4" s="142">
        <f>IFERROR(_xlfn.XLOOKUP($D4,'Modelling New'!$D:$D,'Modelling New'!$AK:$AK),"")</f>
        <v>0.05</v>
      </c>
      <c r="AQ4" s="142">
        <f>IFERROR(_xlfn.XLOOKUP($D4,'Modelling New'!$D:$D,'Modelling New'!$AL:$AL),"")</f>
        <v>0.05</v>
      </c>
      <c r="AR4" s="198">
        <f>IFERROR(_xlfn.XLOOKUP($D4,'Modelling New'!$D:$D,'Modelling New'!$N:$N),"")</f>
        <v>70.400000000000006</v>
      </c>
      <c r="AS4" s="198"/>
    </row>
    <row r="5" spans="1:45">
      <c r="A5" s="137">
        <f t="shared" si="4"/>
        <v>45748</v>
      </c>
      <c r="B5" s="138">
        <f>YEAR(Daily_KPI[[#This Row],[Date]])+IF(MONTH(Daily_KPI[[#This Row],[Date]])&gt;=4,1,0)</f>
        <v>2026</v>
      </c>
      <c r="C5" s="108">
        <f>YEAR(Daily_KPI[[#This Row],[Date]])</f>
        <v>2025</v>
      </c>
      <c r="D5" s="139">
        <f>Daily_KPI[[#This Row],[Date]]-DAY(Daily_KPI[[#This Row],[Date]])+1</f>
        <v>45748</v>
      </c>
      <c r="E5" s="108">
        <f t="shared" si="0"/>
        <v>30</v>
      </c>
      <c r="F5" s="109"/>
      <c r="G5" s="110"/>
      <c r="H5" s="110"/>
      <c r="I5" s="110"/>
      <c r="J5" s="110"/>
      <c r="K5" s="111"/>
      <c r="L5" s="110"/>
      <c r="M5" s="110">
        <f>IFERROR(_xlfn.XLOOKUP($A5,Input_Raw!$A:$A,Input_Raw!$CQ:$CQ),"")</f>
        <v>5.0677272727272733</v>
      </c>
      <c r="N5" s="110">
        <f>IFERROR(_xlfn.XLOOKUP($A5,Input_Raw!$A:$A,Input_Raw!$CR:$CR),"")</f>
        <v>6.47</v>
      </c>
      <c r="O5" s="141">
        <f t="shared" si="1"/>
        <v>0.85430305868208722</v>
      </c>
      <c r="P5" s="141">
        <f>IFERROR(1-SUMIF(WTG_BD!$F:$F,$A5,WTG_BD!$AA:$AA)/($AA5+SUMIF(WTG_BD!$F:$F,$A5,WTG_BD!$AA:$AA)),"")</f>
        <v>0.98556093470978767</v>
      </c>
      <c r="Q5" s="141">
        <f>IFERROR(1-SUMIF(IGA_BD!$F:$F,$A5,IGA_BD!$W:$W)/($AA5+SUMIF(IGA_BD!$F:$F,$A5,IGA_BD!$W:$W)),"")</f>
        <v>0.8668191165000354</v>
      </c>
      <c r="R5" s="141">
        <f>IFERROR(1-SUMIF(Grid_BD!$F:$F,$A5,Grid_BD!$Y:$Y)/($AA5+SUMIF(Grid_BD!$F:$F,$A5,Grid_BD!$Y:$Y)),"")</f>
        <v>1</v>
      </c>
      <c r="S5" s="108"/>
      <c r="T5" s="140"/>
      <c r="U5" s="141"/>
      <c r="V5" s="108"/>
      <c r="W5" s="142">
        <f t="shared" si="2"/>
        <v>0.14470584753787877</v>
      </c>
      <c r="X5" s="108">
        <f>IFERROR(_xlfn.XLOOKUP($A5,Input_Raw!$A:$A,Input_Raw!$CP:$CP)*1000,"")</f>
        <v>244495</v>
      </c>
      <c r="Y5" s="108">
        <f>IFERROR(_xlfn.XLOOKUP($A5,Input_Raw!$A:$A,Input_Raw!DJ:DJ)*1000,"")</f>
        <v>244494.99999999997</v>
      </c>
      <c r="Z5" s="108">
        <f>IFERROR(_xlfn.XLOOKUP($A5,Input_Raw!$A:$A,Input_Raw!DK:DK)*1000,"")</f>
        <v>0</v>
      </c>
      <c r="AA5" s="138">
        <f t="shared" si="3"/>
        <v>244494.99999999997</v>
      </c>
      <c r="AB5" s="108">
        <f>IFERROR(_xlfn.XLOOKUP($A5,Input_Raw!$A:$A,Input_Raw!$DR:$DR),"")</f>
        <v>70.400000000000006</v>
      </c>
      <c r="AC5" s="143">
        <f>IFERROR(_xlfn.XLOOKUP($D5,'Modelling New'!$D:$D,'Modelling New'!$J:$J),"")</f>
        <v>5.22</v>
      </c>
      <c r="AD5" s="138">
        <f>IFERROR(_xlfn.XLOOKUP($D5,'Modelling New'!$D:$D,'Modelling New'!$T:$T)*1000,"")</f>
        <v>228113.28141262796</v>
      </c>
      <c r="AE5" s="142"/>
      <c r="AF5" s="142">
        <f>IFERROR(_xlfn.XLOOKUP($D5,'Modelling New'!$D:$D,'Modelling New'!$W:$W),"")</f>
        <v>0.13501022810879967</v>
      </c>
      <c r="AG5" s="142">
        <f>IFERROR(_xlfn.XLOOKUP($D5,'Modelling New'!$D:$D,'Modelling New'!$AE:$AE),"")</f>
        <v>0.96029999999999993</v>
      </c>
      <c r="AH5" s="142">
        <f>IFERROR(_xlfn.XLOOKUP($D5,'Modelling New'!$D:$D,'Modelling New'!$AF:$AF),"")</f>
        <v>0.995</v>
      </c>
      <c r="AI5" s="109">
        <f>IFERROR(_xlfn.XLOOKUP($A5,Input_Raw!$A:$A,Input_Raw!$DP:$DP),"")</f>
        <v>261.94</v>
      </c>
      <c r="AJ5" s="108"/>
      <c r="AK5" s="108"/>
      <c r="AL5" s="108"/>
      <c r="AM5" s="108"/>
      <c r="AN5" s="132">
        <f>IFERROR(_xlfn.XLOOKUP($A5,Input_Raw!$A:$A,Input_Raw!$DL:$DL),"")</f>
        <v>-1.1102230246251565E-16</v>
      </c>
      <c r="AO5" s="142">
        <f>IFERROR((_xlfn.XLOOKUP($A5,'WTG Reactive Power'!$A:$A,'WTG Reactive Power'!$AW:$AW))/X5,"")</f>
        <v>1.5263607503902596E-4</v>
      </c>
      <c r="AP5" s="142">
        <f>IFERROR(_xlfn.XLOOKUP($D5,'Modelling New'!$D:$D,'Modelling New'!$AK:$AK),"")</f>
        <v>0.05</v>
      </c>
      <c r="AQ5" s="142">
        <f>IFERROR(_xlfn.XLOOKUP($D5,'Modelling New'!$D:$D,'Modelling New'!$AL:$AL),"")</f>
        <v>0.05</v>
      </c>
      <c r="AR5" s="198">
        <f>IFERROR(_xlfn.XLOOKUP($D5,'Modelling New'!$D:$D,'Modelling New'!$N:$N),"")</f>
        <v>70.400000000000006</v>
      </c>
      <c r="AS5" s="198"/>
    </row>
    <row r="6" spans="1:45">
      <c r="A6" s="137">
        <f t="shared" si="4"/>
        <v>45749</v>
      </c>
      <c r="B6" s="138">
        <f>YEAR(Daily_KPI[[#This Row],[Date]])+IF(MONTH(Daily_KPI[[#This Row],[Date]])&gt;=4,1,0)</f>
        <v>2026</v>
      </c>
      <c r="C6" s="108">
        <f>YEAR(Daily_KPI[[#This Row],[Date]])</f>
        <v>2025</v>
      </c>
      <c r="D6" s="139">
        <f>Daily_KPI[[#This Row],[Date]]-DAY(Daily_KPI[[#This Row],[Date]])+1</f>
        <v>45748</v>
      </c>
      <c r="E6" s="108">
        <f t="shared" si="0"/>
        <v>30</v>
      </c>
      <c r="F6" s="109"/>
      <c r="G6" s="143"/>
      <c r="H6" s="143"/>
      <c r="I6" s="143"/>
      <c r="J6" s="143"/>
      <c r="K6" s="111"/>
      <c r="L6" s="110"/>
      <c r="M6" s="110">
        <f>IFERROR(_xlfn.XLOOKUP($A6,Input_Raw!$A:$A,Input_Raw!$CQ:$CQ),"")</f>
        <v>5.4718181818181808</v>
      </c>
      <c r="N6" s="110">
        <f>IFERROR(_xlfn.XLOOKUP($A6,Input_Raw!$A:$A,Input_Raw!$CR:$CR),"")</f>
        <v>6.87</v>
      </c>
      <c r="O6" s="141">
        <f t="shared" si="1"/>
        <v>0.96843539957284519</v>
      </c>
      <c r="P6" s="141">
        <f>IFERROR(1-SUMIF(WTG_BD!$F:$F,$A6,WTG_BD!$AA:$AA)/($AA6+SUMIF(WTG_BD!$F:$F,$A6,WTG_BD!$AA:$AA)),"")</f>
        <v>0.99116238913743038</v>
      </c>
      <c r="Q6" s="141">
        <f>IFERROR(1-SUMIF(IGA_BD!$F:$F,$A6,IGA_BD!$W:$W)/($AA6+SUMIF(IGA_BD!$F:$F,$A6,IGA_BD!$W:$W)),"")</f>
        <v>0.97707036726407304</v>
      </c>
      <c r="R6" s="141">
        <f>IFERROR(1-SUMIF(Grid_BD!$F:$F,$A6,Grid_BD!$Y:$Y)/($AA6+SUMIF(Grid_BD!$F:$F,$A6,Grid_BD!$Y:$Y)),"")</f>
        <v>1</v>
      </c>
      <c r="S6" s="108"/>
      <c r="T6" s="140"/>
      <c r="U6" s="141"/>
      <c r="V6" s="108"/>
      <c r="W6" s="142">
        <f t="shared" si="2"/>
        <v>0.18685487689393937</v>
      </c>
      <c r="X6" s="108">
        <f>IFERROR(_xlfn.XLOOKUP($A6,Input_Raw!$A:$A,Input_Raw!$CP:$CP)*1000,"")</f>
        <v>315710</v>
      </c>
      <c r="Y6" s="108">
        <f>IFERROR(_xlfn.XLOOKUP($A6,Input_Raw!$A:$A,Input_Raw!DJ:DJ)*1000,"")</f>
        <v>315710.00000000006</v>
      </c>
      <c r="Z6" s="108">
        <f>IFERROR(_xlfn.XLOOKUP($A6,Input_Raw!$A:$A,Input_Raw!DK:DK)*1000,"")</f>
        <v>0</v>
      </c>
      <c r="AA6" s="138">
        <f t="shared" si="3"/>
        <v>315710.00000000006</v>
      </c>
      <c r="AB6" s="108">
        <f>IFERROR(_xlfn.XLOOKUP($A6,Input_Raw!$A:$A,Input_Raw!$DR:$DR),"")</f>
        <v>70.400000000000006</v>
      </c>
      <c r="AC6" s="143">
        <f>IFERROR(_xlfn.XLOOKUP($D6,'Modelling New'!$D:$D,'Modelling New'!$J:$J),"")</f>
        <v>5.22</v>
      </c>
      <c r="AD6" s="138">
        <f>IFERROR(_xlfn.XLOOKUP($D6,'Modelling New'!$D:$D,'Modelling New'!$T:$T)*1000,"")</f>
        <v>228113.28141262796</v>
      </c>
      <c r="AE6" s="142"/>
      <c r="AF6" s="142">
        <f>IFERROR(_xlfn.XLOOKUP($D6,'Modelling New'!$D:$D,'Modelling New'!$W:$W),"")</f>
        <v>0.13501022810879967</v>
      </c>
      <c r="AG6" s="142">
        <f>IFERROR(_xlfn.XLOOKUP($D6,'Modelling New'!$D:$D,'Modelling New'!$AE:$AE),"")</f>
        <v>0.96029999999999993</v>
      </c>
      <c r="AH6" s="142">
        <f>IFERROR(_xlfn.XLOOKUP($D6,'Modelling New'!$D:$D,'Modelling New'!$AF:$AF),"")</f>
        <v>0.995</v>
      </c>
      <c r="AI6" s="109">
        <f>IFERROR(_xlfn.XLOOKUP($A6,Input_Raw!$A:$A,Input_Raw!$DP:$DP),"")</f>
        <v>310.38</v>
      </c>
      <c r="AJ6" s="108"/>
      <c r="AK6" s="108"/>
      <c r="AL6" s="108"/>
      <c r="AM6" s="108"/>
      <c r="AN6" s="132">
        <f>IFERROR(_xlfn.XLOOKUP($A6,Input_Raw!$A:$A,Input_Raw!$DL:$DL),"")</f>
        <v>2.2204460492503131E-16</v>
      </c>
      <c r="AO6" s="142">
        <f>IFERROR((_xlfn.XLOOKUP($A6,'WTG Reactive Power'!$A:$A,'WTG Reactive Power'!$AW:$AW))/X6,"")</f>
        <v>2.0143081097631792E-4</v>
      </c>
      <c r="AP6" s="142">
        <f>IFERROR(_xlfn.XLOOKUP($D6,'Modelling New'!$D:$D,'Modelling New'!$AK:$AK),"")</f>
        <v>0.05</v>
      </c>
      <c r="AQ6" s="142">
        <f>IFERROR(_xlfn.XLOOKUP($D6,'Modelling New'!$D:$D,'Modelling New'!$AL:$AL),"")</f>
        <v>0.05</v>
      </c>
      <c r="AR6" s="198">
        <f>IFERROR(_xlfn.XLOOKUP($D6,'Modelling New'!$D:$D,'Modelling New'!$N:$N),"")</f>
        <v>70.400000000000006</v>
      </c>
      <c r="AS6" s="198"/>
    </row>
    <row r="7" spans="1:45">
      <c r="A7" s="137">
        <f t="shared" si="4"/>
        <v>45750</v>
      </c>
      <c r="B7" s="138">
        <f>YEAR(Daily_KPI[[#This Row],[Date]])+IF(MONTH(Daily_KPI[[#This Row],[Date]])&gt;=4,1,0)</f>
        <v>2026</v>
      </c>
      <c r="C7" s="108">
        <f>YEAR(Daily_KPI[[#This Row],[Date]])</f>
        <v>2025</v>
      </c>
      <c r="D7" s="139">
        <f>Daily_KPI[[#This Row],[Date]]-DAY(Daily_KPI[[#This Row],[Date]])+1</f>
        <v>45748</v>
      </c>
      <c r="E7" s="108">
        <f t="shared" si="0"/>
        <v>30</v>
      </c>
      <c r="F7" s="109"/>
      <c r="G7" s="110"/>
      <c r="H7" s="110"/>
      <c r="I7" s="110"/>
      <c r="J7" s="110"/>
      <c r="K7" s="111"/>
      <c r="L7" s="110"/>
      <c r="M7" s="110">
        <f>IFERROR(_xlfn.XLOOKUP($A7,Input_Raw!$A:$A,Input_Raw!$CQ:$CQ),"")</f>
        <v>3.5081818181818183</v>
      </c>
      <c r="N7" s="110">
        <f>IFERROR(_xlfn.XLOOKUP($A7,Input_Raw!$A:$A,Input_Raw!$CR:$CR),"")</f>
        <v>4.18</v>
      </c>
      <c r="O7" s="141">
        <f t="shared" si="1"/>
        <v>0.94448318856277558</v>
      </c>
      <c r="P7" s="141">
        <f>IFERROR(1-SUMIF(WTG_BD!$F:$F,$A7,WTG_BD!$AA:$AA)/($AA7+SUMIF(WTG_BD!$F:$F,$A7,WTG_BD!$AA:$AA)),"")</f>
        <v>0.98408338975256437</v>
      </c>
      <c r="Q7" s="141">
        <f>IFERROR(1-SUMIF(IGA_BD!$F:$F,$A7,IGA_BD!$W:$W)/($AA7+SUMIF(IGA_BD!$F:$F,$A7,IGA_BD!$W:$W)),"")</f>
        <v>0.95975930332515236</v>
      </c>
      <c r="R7" s="141">
        <f>IFERROR(1-SUMIF(Grid_BD!$F:$F,$A7,Grid_BD!$Y:$Y)/($AA7+SUMIF(Grid_BD!$F:$F,$A7,Grid_BD!$Y:$Y)),"")</f>
        <v>1</v>
      </c>
      <c r="S7" s="108"/>
      <c r="T7" s="140"/>
      <c r="U7" s="141"/>
      <c r="V7" s="108"/>
      <c r="W7" s="142">
        <f t="shared" si="2"/>
        <v>4.5594815340909083E-2</v>
      </c>
      <c r="X7" s="108">
        <f>IFERROR(_xlfn.XLOOKUP($A7,Input_Raw!$A:$A,Input_Raw!$CP:$CP)*1000,"")</f>
        <v>77037</v>
      </c>
      <c r="Y7" s="108">
        <f>IFERROR(_xlfn.XLOOKUP($A7,Input_Raw!$A:$A,Input_Raw!DJ:DJ)*1000,"")</f>
        <v>77037</v>
      </c>
      <c r="Z7" s="108">
        <f>IFERROR(_xlfn.XLOOKUP($A7,Input_Raw!$A:$A,Input_Raw!DK:DK)*1000,"")</f>
        <v>0</v>
      </c>
      <c r="AA7" s="138">
        <f t="shared" si="3"/>
        <v>77037</v>
      </c>
      <c r="AB7" s="108">
        <f>IFERROR(_xlfn.XLOOKUP($A7,Input_Raw!$A:$A,Input_Raw!$DR:$DR),"")</f>
        <v>70.400000000000006</v>
      </c>
      <c r="AC7" s="143">
        <f>IFERROR(_xlfn.XLOOKUP($D7,'Modelling New'!$D:$D,'Modelling New'!$J:$J),"")</f>
        <v>5.22</v>
      </c>
      <c r="AD7" s="138">
        <f>IFERROR(_xlfn.XLOOKUP($D7,'Modelling New'!$D:$D,'Modelling New'!$T:$T)*1000,"")</f>
        <v>228113.28141262796</v>
      </c>
      <c r="AE7" s="142"/>
      <c r="AF7" s="142">
        <f>IFERROR(_xlfn.XLOOKUP($D7,'Modelling New'!$D:$D,'Modelling New'!$W:$W),"")</f>
        <v>0.13501022810879967</v>
      </c>
      <c r="AG7" s="142">
        <f>IFERROR(_xlfn.XLOOKUP($D7,'Modelling New'!$D:$D,'Modelling New'!$AE:$AE),"")</f>
        <v>0.96029999999999993</v>
      </c>
      <c r="AH7" s="142">
        <f>IFERROR(_xlfn.XLOOKUP($D7,'Modelling New'!$D:$D,'Modelling New'!$AF:$AF),"")</f>
        <v>0.995</v>
      </c>
      <c r="AI7" s="109">
        <f>IFERROR(_xlfn.XLOOKUP($A7,Input_Raw!$A:$A,Input_Raw!$DP:$DP),"")</f>
        <v>72.739999999999995</v>
      </c>
      <c r="AJ7" s="108"/>
      <c r="AK7" s="108"/>
      <c r="AL7" s="108"/>
      <c r="AM7" s="108"/>
      <c r="AN7" s="132">
        <f>IFERROR(_xlfn.XLOOKUP($A7,Input_Raw!$A:$A,Input_Raw!$DL:$DL),"")</f>
        <v>0</v>
      </c>
      <c r="AO7" s="142">
        <f>IFERROR((_xlfn.XLOOKUP($A7,'WTG Reactive Power'!$A:$A,'WTG Reactive Power'!$AW:$AW))/X7,"")</f>
        <v>1.9425753209496732E-4</v>
      </c>
      <c r="AP7" s="142">
        <f>IFERROR(_xlfn.XLOOKUP($D7,'Modelling New'!$D:$D,'Modelling New'!$AK:$AK),"")</f>
        <v>0.05</v>
      </c>
      <c r="AQ7" s="142">
        <f>IFERROR(_xlfn.XLOOKUP($D7,'Modelling New'!$D:$D,'Modelling New'!$AL:$AL),"")</f>
        <v>0.05</v>
      </c>
      <c r="AR7" s="198">
        <f>IFERROR(_xlfn.XLOOKUP($D7,'Modelling New'!$D:$D,'Modelling New'!$N:$N),"")</f>
        <v>70.400000000000006</v>
      </c>
      <c r="AS7" s="198"/>
    </row>
    <row r="8" spans="1:45">
      <c r="A8" s="137">
        <f t="shared" si="4"/>
        <v>45751</v>
      </c>
      <c r="B8" s="138">
        <f>YEAR(Daily_KPI[[#This Row],[Date]])+IF(MONTH(Daily_KPI[[#This Row],[Date]])&gt;=4,1,0)</f>
        <v>2026</v>
      </c>
      <c r="C8" s="108">
        <f>YEAR(Daily_KPI[[#This Row],[Date]])</f>
        <v>2025</v>
      </c>
      <c r="D8" s="139">
        <f>Daily_KPI[[#This Row],[Date]]-DAY(Daily_KPI[[#This Row],[Date]])+1</f>
        <v>45748</v>
      </c>
      <c r="E8" s="108">
        <f t="shared" si="0"/>
        <v>30</v>
      </c>
      <c r="F8" s="109"/>
      <c r="G8" s="143"/>
      <c r="H8" s="143"/>
      <c r="I8" s="143"/>
      <c r="J8" s="143"/>
      <c r="K8" s="111"/>
      <c r="L8" s="110"/>
      <c r="M8" s="110">
        <f>IFERROR(_xlfn.XLOOKUP($A8,Input_Raw!$A:$A,Input_Raw!$CQ:$CQ),"")</f>
        <v>4.1436363636363627</v>
      </c>
      <c r="N8" s="110">
        <f>IFERROR(_xlfn.XLOOKUP($A8,Input_Raw!$A:$A,Input_Raw!$CR:$CR),"")</f>
        <v>5.01</v>
      </c>
      <c r="O8" s="141">
        <f t="shared" si="1"/>
        <v>0.93438565394741213</v>
      </c>
      <c r="P8" s="141">
        <f>IFERROR(1-SUMIF(WTG_BD!$F:$F,$A8,WTG_BD!$AA:$AA)/($AA8+SUMIF(WTG_BD!$F:$F,$A8,WTG_BD!$AA:$AA)),"")</f>
        <v>0.99976115940051014</v>
      </c>
      <c r="Q8" s="141">
        <f>IFERROR(1-SUMIF(IGA_BD!$F:$F,$A8,IGA_BD!$W:$W)/($AA8+SUMIF(IGA_BD!$F:$F,$A8,IGA_BD!$W:$W)),"")</f>
        <v>0.93460887649176194</v>
      </c>
      <c r="R8" s="141">
        <f>IFERROR(1-SUMIF(Grid_BD!$F:$F,$A8,Grid_BD!$Y:$Y)/($AA8+SUMIF(Grid_BD!$F:$F,$A8,Grid_BD!$Y:$Y)),"")</f>
        <v>1</v>
      </c>
      <c r="S8" s="108"/>
      <c r="T8" s="140"/>
      <c r="U8" s="141"/>
      <c r="V8" s="108"/>
      <c r="W8" s="142">
        <f t="shared" si="2"/>
        <v>6.9368489583333318E-2</v>
      </c>
      <c r="X8" s="108">
        <f>IFERROR(_xlfn.XLOOKUP($A8,Input_Raw!$A:$A,Input_Raw!$CP:$CP)*1000,"")</f>
        <v>117205</v>
      </c>
      <c r="Y8" s="108">
        <f>IFERROR(_xlfn.XLOOKUP($A8,Input_Raw!$A:$A,Input_Raw!DJ:DJ)*1000,"")</f>
        <v>117205</v>
      </c>
      <c r="Z8" s="108">
        <f>IFERROR(_xlfn.XLOOKUP($A8,Input_Raw!$A:$A,Input_Raw!DK:DK)*1000,"")</f>
        <v>0</v>
      </c>
      <c r="AA8" s="138">
        <f t="shared" si="3"/>
        <v>117205</v>
      </c>
      <c r="AB8" s="108">
        <f>IFERROR(_xlfn.XLOOKUP($A8,Input_Raw!$A:$A,Input_Raw!$DR:$DR),"")</f>
        <v>70.400000000000006</v>
      </c>
      <c r="AC8" s="143">
        <f>IFERROR(_xlfn.XLOOKUP($D8,'Modelling New'!$D:$D,'Modelling New'!$J:$J),"")</f>
        <v>5.22</v>
      </c>
      <c r="AD8" s="138">
        <f>IFERROR(_xlfn.XLOOKUP($D8,'Modelling New'!$D:$D,'Modelling New'!$T:$T)*1000,"")</f>
        <v>228113.28141262796</v>
      </c>
      <c r="AE8" s="142"/>
      <c r="AF8" s="142">
        <f>IFERROR(_xlfn.XLOOKUP($D8,'Modelling New'!$D:$D,'Modelling New'!$W:$W),"")</f>
        <v>0.13501022810879967</v>
      </c>
      <c r="AG8" s="142">
        <f>IFERROR(_xlfn.XLOOKUP($D8,'Modelling New'!$D:$D,'Modelling New'!$AE:$AE),"")</f>
        <v>0.96029999999999993</v>
      </c>
      <c r="AH8" s="142">
        <f>IFERROR(_xlfn.XLOOKUP($D8,'Modelling New'!$D:$D,'Modelling New'!$AF:$AF),"")</f>
        <v>0.995</v>
      </c>
      <c r="AI8" s="109">
        <f>IFERROR(_xlfn.XLOOKUP($A8,Input_Raw!$A:$A,Input_Raw!$DP:$DP),"")</f>
        <v>115.35</v>
      </c>
      <c r="AJ8" s="108"/>
      <c r="AK8" s="108"/>
      <c r="AL8" s="108"/>
      <c r="AM8" s="108"/>
      <c r="AN8" s="132">
        <f>IFERROR(_xlfn.XLOOKUP($A8,Input_Raw!$A:$A,Input_Raw!$DL:$DL),"")</f>
        <v>0</v>
      </c>
      <c r="AO8" s="142">
        <f>IFERROR((_xlfn.XLOOKUP($A8,'WTG Reactive Power'!$A:$A,'WTG Reactive Power'!$AW:$AW))/X8,"")</f>
        <v>1.7643350824054723E-4</v>
      </c>
      <c r="AP8" s="142">
        <f>IFERROR(_xlfn.XLOOKUP($D8,'Modelling New'!$D:$D,'Modelling New'!$AK:$AK),"")</f>
        <v>0.05</v>
      </c>
      <c r="AQ8" s="142">
        <f>IFERROR(_xlfn.XLOOKUP($D8,'Modelling New'!$D:$D,'Modelling New'!$AL:$AL),"")</f>
        <v>0.05</v>
      </c>
      <c r="AR8" s="198">
        <f>IFERROR(_xlfn.XLOOKUP($D8,'Modelling New'!$D:$D,'Modelling New'!$N:$N),"")</f>
        <v>70.400000000000006</v>
      </c>
      <c r="AS8" s="198"/>
    </row>
    <row r="9" spans="1:45">
      <c r="A9" s="137">
        <f t="shared" si="4"/>
        <v>45752</v>
      </c>
      <c r="B9" s="138">
        <f>YEAR(Daily_KPI[[#This Row],[Date]])+IF(MONTH(Daily_KPI[[#This Row],[Date]])&gt;=4,1,0)</f>
        <v>2026</v>
      </c>
      <c r="C9" s="108">
        <f>YEAR(Daily_KPI[[#This Row],[Date]])</f>
        <v>2025</v>
      </c>
      <c r="D9" s="139">
        <f>Daily_KPI[[#This Row],[Date]]-DAY(Daily_KPI[[#This Row],[Date]])+1</f>
        <v>45748</v>
      </c>
      <c r="E9" s="108">
        <f t="shared" si="0"/>
        <v>30</v>
      </c>
      <c r="F9" s="109"/>
      <c r="G9" s="110"/>
      <c r="H9" s="110"/>
      <c r="I9" s="110"/>
      <c r="J9" s="110"/>
      <c r="K9" s="111"/>
      <c r="L9" s="110"/>
      <c r="M9" s="110">
        <f>IFERROR(_xlfn.XLOOKUP($A9,Input_Raw!$A:$A,Input_Raw!$CQ:$CQ),"")</f>
        <v>4.4490909090909092</v>
      </c>
      <c r="N9" s="110">
        <f>IFERROR(_xlfn.XLOOKUP($A9,Input_Raw!$A:$A,Input_Raw!$CR:$CR),"")</f>
        <v>5.5</v>
      </c>
      <c r="O9" s="141">
        <f t="shared" si="1"/>
        <v>0.93031776034129809</v>
      </c>
      <c r="P9" s="141">
        <f>IFERROR(1-SUMIF(WTG_BD!$F:$F,$A9,WTG_BD!$AA:$AA)/($AA9+SUMIF(WTG_BD!$F:$F,$A9,WTG_BD!$AA:$AA)),"")</f>
        <v>0.94991092791496778</v>
      </c>
      <c r="Q9" s="141">
        <f>IFERROR(1-SUMIF(IGA_BD!$F:$F,$A9,IGA_BD!$W:$W)/($AA9+SUMIF(IGA_BD!$F:$F,$A9,IGA_BD!$W:$W)),"")</f>
        <v>0.979373679154659</v>
      </c>
      <c r="R9" s="141">
        <f>IFERROR(1-SUMIF(Grid_BD!$F:$F,$A9,Grid_BD!$Y:$Y)/($AA9+SUMIF(Grid_BD!$F:$F,$A9,Grid_BD!$Y:$Y)),"")</f>
        <v>1</v>
      </c>
      <c r="S9" s="108"/>
      <c r="T9" s="140"/>
      <c r="U9" s="141"/>
      <c r="V9" s="108"/>
      <c r="W9" s="142">
        <f t="shared" si="2"/>
        <v>7.5426728219696954E-2</v>
      </c>
      <c r="X9" s="108">
        <f>IFERROR(_xlfn.XLOOKUP($A9,Input_Raw!$A:$A,Input_Raw!$CP:$CP)*1000,"")</f>
        <v>127441</v>
      </c>
      <c r="Y9" s="108">
        <f>IFERROR(_xlfn.XLOOKUP($A9,Input_Raw!$A:$A,Input_Raw!DJ:DJ)*1000,"")</f>
        <v>127441</v>
      </c>
      <c r="Z9" s="108">
        <f>IFERROR(_xlfn.XLOOKUP($A9,Input_Raw!$A:$A,Input_Raw!DK:DK)*1000,"")</f>
        <v>0</v>
      </c>
      <c r="AA9" s="138">
        <f t="shared" si="3"/>
        <v>127441</v>
      </c>
      <c r="AB9" s="108">
        <f>IFERROR(_xlfn.XLOOKUP($A9,Input_Raw!$A:$A,Input_Raw!$DR:$DR),"")</f>
        <v>70.400000000000006</v>
      </c>
      <c r="AC9" s="143">
        <f>IFERROR(_xlfn.XLOOKUP($D9,'Modelling New'!$D:$D,'Modelling New'!$J:$J),"")</f>
        <v>5.22</v>
      </c>
      <c r="AD9" s="138">
        <f>IFERROR(_xlfn.XLOOKUP($D9,'Modelling New'!$D:$D,'Modelling New'!$T:$T)*1000,"")</f>
        <v>228113.28141262796</v>
      </c>
      <c r="AE9" s="142"/>
      <c r="AF9" s="142">
        <f>IFERROR(_xlfn.XLOOKUP($D9,'Modelling New'!$D:$D,'Modelling New'!$W:$W),"")</f>
        <v>0.13501022810879967</v>
      </c>
      <c r="AG9" s="142">
        <f>IFERROR(_xlfn.XLOOKUP($D9,'Modelling New'!$D:$D,'Modelling New'!$AE:$AE),"")</f>
        <v>0.96029999999999993</v>
      </c>
      <c r="AH9" s="142">
        <f>IFERROR(_xlfn.XLOOKUP($D9,'Modelling New'!$D:$D,'Modelling New'!$AF:$AF),"")</f>
        <v>0.995</v>
      </c>
      <c r="AI9" s="109">
        <f>IFERROR(_xlfn.XLOOKUP($A9,Input_Raw!$A:$A,Input_Raw!$DP:$DP),"")</f>
        <v>127.87</v>
      </c>
      <c r="AJ9" s="108"/>
      <c r="AK9" s="108"/>
      <c r="AL9" s="108"/>
      <c r="AM9" s="108"/>
      <c r="AN9" s="132">
        <f>IFERROR(_xlfn.XLOOKUP($A9,Input_Raw!$A:$A,Input_Raw!$DL:$DL),"")</f>
        <v>0</v>
      </c>
      <c r="AO9" s="142">
        <f>IFERROR((_xlfn.XLOOKUP($A9,'WTG Reactive Power'!$A:$A,'WTG Reactive Power'!$AW:$AW))/X9,"")</f>
        <v>2.7043742245867157E-5</v>
      </c>
      <c r="AP9" s="142">
        <f>IFERROR(_xlfn.XLOOKUP($D9,'Modelling New'!$D:$D,'Modelling New'!$AK:$AK),"")</f>
        <v>0.05</v>
      </c>
      <c r="AQ9" s="142">
        <f>IFERROR(_xlfn.XLOOKUP($D9,'Modelling New'!$D:$D,'Modelling New'!$AL:$AL),"")</f>
        <v>0.05</v>
      </c>
      <c r="AR9" s="198">
        <f>IFERROR(_xlfn.XLOOKUP($D9,'Modelling New'!$D:$D,'Modelling New'!$N:$N),"")</f>
        <v>70.400000000000006</v>
      </c>
      <c r="AS9" s="198"/>
    </row>
    <row r="10" spans="1:45">
      <c r="A10" s="137">
        <f t="shared" si="4"/>
        <v>45753</v>
      </c>
      <c r="B10" s="138">
        <f>YEAR(Daily_KPI[[#This Row],[Date]])+IF(MONTH(Daily_KPI[[#This Row],[Date]])&gt;=4,1,0)</f>
        <v>2026</v>
      </c>
      <c r="C10" s="108">
        <f>YEAR(Daily_KPI[[#This Row],[Date]])</f>
        <v>2025</v>
      </c>
      <c r="D10" s="139">
        <f>Daily_KPI[[#This Row],[Date]]-DAY(Daily_KPI[[#This Row],[Date]])+1</f>
        <v>45748</v>
      </c>
      <c r="E10" s="108">
        <f t="shared" si="0"/>
        <v>30</v>
      </c>
      <c r="F10" s="109"/>
      <c r="G10" s="143"/>
      <c r="H10" s="143"/>
      <c r="I10" s="143"/>
      <c r="J10" s="143"/>
      <c r="K10" s="111"/>
      <c r="L10" s="110"/>
      <c r="M10" s="110">
        <f>IFERROR(_xlfn.XLOOKUP($A10,Input_Raw!$A:$A,Input_Raw!$CQ:$CQ),"")</f>
        <v>3.815227272727272</v>
      </c>
      <c r="N10" s="110">
        <f>IFERROR(_xlfn.XLOOKUP($A10,Input_Raw!$A:$A,Input_Raw!$CR:$CR),"")</f>
        <v>4.7</v>
      </c>
      <c r="O10" s="141">
        <f t="shared" si="1"/>
        <v>0.96942977404384256</v>
      </c>
      <c r="P10" s="141">
        <f>IFERROR(1-SUMIF(WTG_BD!$F:$F,$A10,WTG_BD!$AA:$AA)/($AA10+SUMIF(WTG_BD!$F:$F,$A10,WTG_BD!$AA:$AA)),"")</f>
        <v>0.99866337651655357</v>
      </c>
      <c r="Q10" s="141">
        <f>IFERROR(1-SUMIF(IGA_BD!$F:$F,$A10,IGA_BD!$W:$W)/($AA10+SUMIF(IGA_BD!$F:$F,$A10,IGA_BD!$W:$W)),"")</f>
        <v>0.97072727091016298</v>
      </c>
      <c r="R10" s="141">
        <f>IFERROR(1-SUMIF(Grid_BD!$F:$F,$A10,Grid_BD!$Y:$Y)/($AA10+SUMIF(Grid_BD!$F:$F,$A10,Grid_BD!$Y:$Y)),"")</f>
        <v>1</v>
      </c>
      <c r="S10" s="108"/>
      <c r="T10" s="140"/>
      <c r="U10" s="141"/>
      <c r="V10" s="108"/>
      <c r="W10" s="142">
        <f t="shared" si="2"/>
        <v>5.748697916666666E-2</v>
      </c>
      <c r="X10" s="108">
        <f>IFERROR(_xlfn.XLOOKUP($A10,Input_Raw!$A:$A,Input_Raw!$CP:$CP)*1000,"")</f>
        <v>97130</v>
      </c>
      <c r="Y10" s="108">
        <f>IFERROR(_xlfn.XLOOKUP($A10,Input_Raw!$A:$A,Input_Raw!DJ:DJ)*1000,"")</f>
        <v>97130</v>
      </c>
      <c r="Z10" s="108">
        <f>IFERROR(_xlfn.XLOOKUP($A10,Input_Raw!$A:$A,Input_Raw!DK:DK)*1000,"")</f>
        <v>0</v>
      </c>
      <c r="AA10" s="138">
        <f t="shared" si="3"/>
        <v>97130</v>
      </c>
      <c r="AB10" s="108">
        <f>IFERROR(_xlfn.XLOOKUP($A10,Input_Raw!$A:$A,Input_Raw!$DR:$DR),"")</f>
        <v>70.400000000000006</v>
      </c>
      <c r="AC10" s="143">
        <f>IFERROR(_xlfn.XLOOKUP($D10,'Modelling New'!$D:$D,'Modelling New'!$J:$J),"")</f>
        <v>5.22</v>
      </c>
      <c r="AD10" s="138">
        <f>IFERROR(_xlfn.XLOOKUP($D10,'Modelling New'!$D:$D,'Modelling New'!$T:$T)*1000,"")</f>
        <v>228113.28141262796</v>
      </c>
      <c r="AE10" s="142"/>
      <c r="AF10" s="142">
        <f>IFERROR(_xlfn.XLOOKUP($D10,'Modelling New'!$D:$D,'Modelling New'!$W:$W),"")</f>
        <v>0.13501022810879967</v>
      </c>
      <c r="AG10" s="142">
        <f>IFERROR(_xlfn.XLOOKUP($D10,'Modelling New'!$D:$D,'Modelling New'!$AE:$AE),"")</f>
        <v>0.96029999999999993</v>
      </c>
      <c r="AH10" s="142">
        <f>IFERROR(_xlfn.XLOOKUP($D10,'Modelling New'!$D:$D,'Modelling New'!$AF:$AF),"")</f>
        <v>0.995</v>
      </c>
      <c r="AI10" s="109">
        <f>IFERROR(_xlfn.XLOOKUP($A10,Input_Raw!$A:$A,Input_Raw!$DP:$DP),"")</f>
        <v>89.31</v>
      </c>
      <c r="AJ10" s="108"/>
      <c r="AK10" s="108"/>
      <c r="AL10" s="108"/>
      <c r="AM10" s="108"/>
      <c r="AN10" s="132">
        <f>IFERROR(_xlfn.XLOOKUP($A10,Input_Raw!$A:$A,Input_Raw!$DL:$DL),"")</f>
        <v>0</v>
      </c>
      <c r="AO10" s="142">
        <f>IFERROR((_xlfn.XLOOKUP($A10,'WTG Reactive Power'!$A:$A,'WTG Reactive Power'!$AW:$AW))/X10,"")</f>
        <v>5.9138638174878247E-6</v>
      </c>
      <c r="AP10" s="142">
        <f>IFERROR(_xlfn.XLOOKUP($D10,'Modelling New'!$D:$D,'Modelling New'!$AK:$AK),"")</f>
        <v>0.05</v>
      </c>
      <c r="AQ10" s="142">
        <f>IFERROR(_xlfn.XLOOKUP($D10,'Modelling New'!$D:$D,'Modelling New'!$AL:$AL),"")</f>
        <v>0.05</v>
      </c>
      <c r="AR10" s="198">
        <f>IFERROR(_xlfn.XLOOKUP($D10,'Modelling New'!$D:$D,'Modelling New'!$N:$N),"")</f>
        <v>70.400000000000006</v>
      </c>
      <c r="AS10" s="198"/>
    </row>
    <row r="11" spans="1:45">
      <c r="A11" s="137">
        <f t="shared" si="4"/>
        <v>45754</v>
      </c>
      <c r="B11" s="138">
        <f>YEAR(Daily_KPI[[#This Row],[Date]])+IF(MONTH(Daily_KPI[[#This Row],[Date]])&gt;=4,1,0)</f>
        <v>2026</v>
      </c>
      <c r="C11" s="108">
        <f>YEAR(Daily_KPI[[#This Row],[Date]])</f>
        <v>2025</v>
      </c>
      <c r="D11" s="139">
        <f>Daily_KPI[[#This Row],[Date]]-DAY(Daily_KPI[[#This Row],[Date]])+1</f>
        <v>45748</v>
      </c>
      <c r="E11" s="108">
        <f t="shared" si="0"/>
        <v>30</v>
      </c>
      <c r="F11" s="109"/>
      <c r="G11" s="110"/>
      <c r="H11" s="110"/>
      <c r="I11" s="110"/>
      <c r="J11" s="110"/>
      <c r="K11" s="111"/>
      <c r="L11" s="110"/>
      <c r="M11" s="110">
        <f>IFERROR(_xlfn.XLOOKUP($A11,Input_Raw!$A:$A,Input_Raw!$CQ:$CQ),"")</f>
        <v>4.3709090909090911</v>
      </c>
      <c r="N11" s="110">
        <f>IFERROR(_xlfn.XLOOKUP($A11,Input_Raw!$A:$A,Input_Raw!$CR:$CR),"")</f>
        <v>5.5</v>
      </c>
      <c r="O11" s="141">
        <f t="shared" si="1"/>
        <v>0.97313982593342108</v>
      </c>
      <c r="P11" s="141">
        <f>IFERROR(1-SUMIF(WTG_BD!$F:$F,$A11,WTG_BD!$AA:$AA)/($AA11+SUMIF(WTG_BD!$F:$F,$A11,WTG_BD!$AA:$AA)),"")</f>
        <v>0.98978639568643711</v>
      </c>
      <c r="Q11" s="141">
        <f>IFERROR(1-SUMIF(IGA_BD!$F:$F,$A11,IGA_BD!$W:$W)/($AA11+SUMIF(IGA_BD!$F:$F,$A11,IGA_BD!$W:$W)),"")</f>
        <v>0.98318165431898941</v>
      </c>
      <c r="R11" s="141">
        <f>IFERROR(1-SUMIF(Grid_BD!$F:$F,$A11,Grid_BD!$Y:$Y)/($AA11+SUMIF(Grid_BD!$F:$F,$A11,Grid_BD!$Y:$Y)),"")</f>
        <v>1</v>
      </c>
      <c r="S11" s="108"/>
      <c r="T11" s="140"/>
      <c r="U11" s="141"/>
      <c r="V11" s="108"/>
      <c r="W11" s="142">
        <f t="shared" si="2"/>
        <v>7.9093868371212114E-2</v>
      </c>
      <c r="X11" s="108">
        <f>IFERROR(_xlfn.XLOOKUP($A11,Input_Raw!$A:$A,Input_Raw!$CP:$CP)*1000,"")</f>
        <v>133637</v>
      </c>
      <c r="Y11" s="108">
        <f>IFERROR(_xlfn.XLOOKUP($A11,Input_Raw!$A:$A,Input_Raw!DJ:DJ)*1000,"")</f>
        <v>133637</v>
      </c>
      <c r="Z11" s="108">
        <f>IFERROR(_xlfn.XLOOKUP($A11,Input_Raw!$A:$A,Input_Raw!DK:DK)*1000,"")</f>
        <v>0</v>
      </c>
      <c r="AA11" s="138">
        <f t="shared" si="3"/>
        <v>133637</v>
      </c>
      <c r="AB11" s="108">
        <f>IFERROR(_xlfn.XLOOKUP($A11,Input_Raw!$A:$A,Input_Raw!$DR:$DR),"")</f>
        <v>70.400000000000006</v>
      </c>
      <c r="AC11" s="143">
        <f>IFERROR(_xlfn.XLOOKUP($D11,'Modelling New'!$D:$D,'Modelling New'!$J:$J),"")</f>
        <v>5.22</v>
      </c>
      <c r="AD11" s="138">
        <f>IFERROR(_xlfn.XLOOKUP($D11,'Modelling New'!$D:$D,'Modelling New'!$T:$T)*1000,"")</f>
        <v>228113.28141262796</v>
      </c>
      <c r="AE11" s="142"/>
      <c r="AF11" s="142">
        <f>IFERROR(_xlfn.XLOOKUP($D11,'Modelling New'!$D:$D,'Modelling New'!$W:$W),"")</f>
        <v>0.13501022810879967</v>
      </c>
      <c r="AG11" s="142">
        <f>IFERROR(_xlfn.XLOOKUP($D11,'Modelling New'!$D:$D,'Modelling New'!$AE:$AE),"")</f>
        <v>0.96029999999999993</v>
      </c>
      <c r="AH11" s="142">
        <f>IFERROR(_xlfn.XLOOKUP($D11,'Modelling New'!$D:$D,'Modelling New'!$AF:$AF),"")</f>
        <v>0.995</v>
      </c>
      <c r="AI11" s="109">
        <f>IFERROR(_xlfn.XLOOKUP($A11,Input_Raw!$A:$A,Input_Raw!$DP:$DP),"")</f>
        <v>120.74</v>
      </c>
      <c r="AJ11" s="108"/>
      <c r="AK11" s="108"/>
      <c r="AL11" s="108"/>
      <c r="AM11" s="108"/>
      <c r="AN11" s="132">
        <f>IFERROR(_xlfn.XLOOKUP($A11,Input_Raw!$A:$A,Input_Raw!$DL:$DL),"")</f>
        <v>0</v>
      </c>
      <c r="AO11" s="142">
        <f>IFERROR((_xlfn.XLOOKUP($A11,'WTG Reactive Power'!$A:$A,'WTG Reactive Power'!$AW:$AW))/X11,"")</f>
        <v>1.4224650608239732E-4</v>
      </c>
      <c r="AP11" s="142">
        <f>IFERROR(_xlfn.XLOOKUP($D11,'Modelling New'!$D:$D,'Modelling New'!$AK:$AK),"")</f>
        <v>0.05</v>
      </c>
      <c r="AQ11" s="142">
        <f>IFERROR(_xlfn.XLOOKUP($D11,'Modelling New'!$D:$D,'Modelling New'!$AL:$AL),"")</f>
        <v>0.05</v>
      </c>
      <c r="AR11" s="198">
        <f>IFERROR(_xlfn.XLOOKUP($D11,'Modelling New'!$D:$D,'Modelling New'!$N:$N),"")</f>
        <v>70.400000000000006</v>
      </c>
      <c r="AS11" s="198"/>
    </row>
    <row r="12" spans="1:45">
      <c r="A12" s="137">
        <f t="shared" si="4"/>
        <v>45755</v>
      </c>
      <c r="B12" s="138">
        <f>YEAR(Daily_KPI[[#This Row],[Date]])+IF(MONTH(Daily_KPI[[#This Row],[Date]])&gt;=4,1,0)</f>
        <v>2026</v>
      </c>
      <c r="C12" s="108">
        <f>YEAR(Daily_KPI[[#This Row],[Date]])</f>
        <v>2025</v>
      </c>
      <c r="D12" s="139">
        <f>Daily_KPI[[#This Row],[Date]]-DAY(Daily_KPI[[#This Row],[Date]])+1</f>
        <v>45748</v>
      </c>
      <c r="E12" s="108">
        <f t="shared" si="0"/>
        <v>30</v>
      </c>
      <c r="F12" s="109"/>
      <c r="G12" s="143"/>
      <c r="H12" s="143"/>
      <c r="I12" s="143"/>
      <c r="J12" s="143"/>
      <c r="K12" s="111"/>
      <c r="L12" s="110"/>
      <c r="M12" s="110">
        <f>IFERROR(_xlfn.XLOOKUP($A12,Input_Raw!$A:$A,Input_Raw!$CQ:$CQ),"")</f>
        <v>4.1109090909090931</v>
      </c>
      <c r="N12" s="110">
        <f>IFERROR(_xlfn.XLOOKUP($A12,Input_Raw!$A:$A,Input_Raw!$CR:$CR),"")</f>
        <v>4.8600000000000003</v>
      </c>
      <c r="O12" s="141">
        <f>IFERROR(P12*Q12,"")</f>
        <v>0.96653005963234606</v>
      </c>
      <c r="P12" s="141">
        <f>IFERROR(1-SUMIF(WTG_BD!$F:$F,$A12,WTG_BD!$AA:$AA)/($AA12+SUMIF(WTG_BD!$F:$F,$A12,WTG_BD!$AA:$AA)),"")</f>
        <v>0.97862666286883782</v>
      </c>
      <c r="Q12" s="141">
        <f>IFERROR(1-SUMIF(IGA_BD!$F:$F,$A12,IGA_BD!$W:$W)/($AA12+SUMIF(IGA_BD!$F:$F,$A12,IGA_BD!$W:$W)),"")</f>
        <v>0.98763920533185701</v>
      </c>
      <c r="R12" s="141">
        <f>IFERROR(1-SUMIF(Grid_BD!$F:$F,$A12,Grid_BD!$Y:$Y)/($AA12+SUMIF(Grid_BD!$F:$F,$A12,Grid_BD!$Y:$Y)),"")</f>
        <v>0.83439020660748175</v>
      </c>
      <c r="S12" s="108"/>
      <c r="T12" s="140"/>
      <c r="U12" s="141"/>
      <c r="V12" s="108"/>
      <c r="W12" s="142">
        <f t="shared" si="2"/>
        <v>5.4903527462121203E-2</v>
      </c>
      <c r="X12" s="108">
        <f>IFERROR(_xlfn.XLOOKUP($A12,Input_Raw!$A:$A,Input_Raw!$CP:$CP)*1000,"")</f>
        <v>92765</v>
      </c>
      <c r="Y12" s="108">
        <f>IFERROR(_xlfn.XLOOKUP($A12,Input_Raw!$A:$A,Input_Raw!DJ:DJ)*1000,"")</f>
        <v>92765.000000000015</v>
      </c>
      <c r="Z12" s="108">
        <f>IFERROR(_xlfn.XLOOKUP($A12,Input_Raw!$A:$A,Input_Raw!DK:DK)*1000,"")</f>
        <v>0</v>
      </c>
      <c r="AA12" s="138">
        <f t="shared" si="3"/>
        <v>92765.000000000015</v>
      </c>
      <c r="AB12" s="108">
        <f>IFERROR(_xlfn.XLOOKUP($A12,Input_Raw!$A:$A,Input_Raw!$DR:$DR),"")</f>
        <v>70.400000000000006</v>
      </c>
      <c r="AC12" s="143">
        <f>IFERROR(_xlfn.XLOOKUP($D12,'Modelling New'!$D:$D,'Modelling New'!$J:$J),"")</f>
        <v>5.22</v>
      </c>
      <c r="AD12" s="138">
        <f>IFERROR(_xlfn.XLOOKUP($D12,'Modelling New'!$D:$D,'Modelling New'!$T:$T)*1000,"")</f>
        <v>228113.28141262796</v>
      </c>
      <c r="AE12" s="142"/>
      <c r="AF12" s="142">
        <f>IFERROR(_xlfn.XLOOKUP($D12,'Modelling New'!$D:$D,'Modelling New'!$W:$W),"")</f>
        <v>0.13501022810879967</v>
      </c>
      <c r="AG12" s="142">
        <f>IFERROR(_xlfn.XLOOKUP($D12,'Modelling New'!$D:$D,'Modelling New'!$AE:$AE),"")</f>
        <v>0.96029999999999993</v>
      </c>
      <c r="AH12" s="142">
        <f>IFERROR(_xlfn.XLOOKUP($D12,'Modelling New'!$D:$D,'Modelling New'!$AF:$AF),"")</f>
        <v>0.995</v>
      </c>
      <c r="AI12" s="109">
        <f>IFERROR(_xlfn.XLOOKUP($A12,Input_Raw!$A:$A,Input_Raw!$DP:$DP),"")</f>
        <v>98.25</v>
      </c>
      <c r="AJ12" s="108"/>
      <c r="AK12" s="108"/>
      <c r="AL12" s="108"/>
      <c r="AM12" s="108"/>
      <c r="AN12" s="132">
        <f>IFERROR(_xlfn.XLOOKUP($A12,Input_Raw!$A:$A,Input_Raw!$DL:$DL),"")</f>
        <v>2.2204460492503131E-16</v>
      </c>
      <c r="AO12" s="142">
        <f>IFERROR((_xlfn.XLOOKUP($A12,'WTG Reactive Power'!$A:$A,'WTG Reactive Power'!$AW:$AW))/X12,"")</f>
        <v>8.6019806320630996E-5</v>
      </c>
      <c r="AP12" s="142">
        <f>IFERROR(_xlfn.XLOOKUP($D12,'Modelling New'!$D:$D,'Modelling New'!$AK:$AK),"")</f>
        <v>0.05</v>
      </c>
      <c r="AQ12" s="142">
        <f>IFERROR(_xlfn.XLOOKUP($D12,'Modelling New'!$D:$D,'Modelling New'!$AL:$AL),"")</f>
        <v>0.05</v>
      </c>
      <c r="AR12" s="198">
        <f>IFERROR(_xlfn.XLOOKUP($D12,'Modelling New'!$D:$D,'Modelling New'!$N:$N),"")</f>
        <v>70.400000000000006</v>
      </c>
      <c r="AS12" s="198"/>
    </row>
    <row r="13" spans="1:45">
      <c r="A13" s="137">
        <f t="shared" si="4"/>
        <v>45756</v>
      </c>
      <c r="B13" s="138">
        <f>YEAR(Daily_KPI[[#This Row],[Date]])+IF(MONTH(Daily_KPI[[#This Row],[Date]])&gt;=4,1,0)</f>
        <v>2026</v>
      </c>
      <c r="C13" s="108">
        <f>YEAR(Daily_KPI[[#This Row],[Date]])</f>
        <v>2025</v>
      </c>
      <c r="D13" s="139">
        <f>Daily_KPI[[#This Row],[Date]]-DAY(Daily_KPI[[#This Row],[Date]])+1</f>
        <v>45748</v>
      </c>
      <c r="E13" s="108">
        <f t="shared" si="0"/>
        <v>30</v>
      </c>
      <c r="F13" s="109"/>
      <c r="G13" s="110"/>
      <c r="H13" s="110"/>
      <c r="I13" s="110"/>
      <c r="J13" s="110"/>
      <c r="K13" s="111"/>
      <c r="L13" s="110"/>
      <c r="M13" s="110">
        <f>IFERROR(_xlfn.XLOOKUP($A13,Input_Raw!$A:$A,Input_Raw!$CQ:$CQ),"")</f>
        <v>4.2959090909090909</v>
      </c>
      <c r="N13" s="110">
        <f>IFERROR(_xlfn.XLOOKUP($A13,Input_Raw!$A:$A,Input_Raw!$CR:$CR),"")</f>
        <v>5.39</v>
      </c>
      <c r="O13" s="141">
        <f t="shared" si="1"/>
        <v>0.96556540889593867</v>
      </c>
      <c r="P13" s="141">
        <f>IFERROR(1-SUMIF(WTG_BD!$F:$F,$A13,WTG_BD!$AA:$AA)/($AA13+SUMIF(WTG_BD!$F:$F,$A13,WTG_BD!$AA:$AA)),"")</f>
        <v>0.98814078311847198</v>
      </c>
      <c r="Q13" s="141">
        <f>IFERROR(1-SUMIF(IGA_BD!$F:$F,$A13,IGA_BD!$W:$W)/($AA13+SUMIF(IGA_BD!$F:$F,$A13,IGA_BD!$W:$W)),"")</f>
        <v>0.97715368638941535</v>
      </c>
      <c r="R13" s="141">
        <f>IFERROR(1-SUMIF(Grid_BD!$F:$F,$A13,Grid_BD!$Y:$Y)/($AA13+SUMIF(Grid_BD!$F:$F,$A13,Grid_BD!$Y:$Y)),"")</f>
        <v>1</v>
      </c>
      <c r="S13" s="108"/>
      <c r="T13" s="140"/>
      <c r="U13" s="141"/>
      <c r="V13" s="108"/>
      <c r="W13" s="142">
        <f t="shared" si="2"/>
        <v>8.2701231060606048E-2</v>
      </c>
      <c r="X13" s="108">
        <f>IFERROR(_xlfn.XLOOKUP($A13,Input_Raw!$A:$A,Input_Raw!$CP:$CP)*1000,"")</f>
        <v>139732</v>
      </c>
      <c r="Y13" s="108">
        <f>IFERROR(_xlfn.XLOOKUP($A13,Input_Raw!$A:$A,Input_Raw!DJ:DJ)*1000,"")</f>
        <v>139732</v>
      </c>
      <c r="Z13" s="108">
        <f>IFERROR(_xlfn.XLOOKUP($A13,Input_Raw!$A:$A,Input_Raw!DK:DK)*1000,"")</f>
        <v>0</v>
      </c>
      <c r="AA13" s="138">
        <f t="shared" si="3"/>
        <v>139732</v>
      </c>
      <c r="AB13" s="108">
        <f>IFERROR(_xlfn.XLOOKUP($A13,Input_Raw!$A:$A,Input_Raw!$DR:$DR),"")</f>
        <v>70.400000000000006</v>
      </c>
      <c r="AC13" s="143">
        <f>IFERROR(_xlfn.XLOOKUP($D13,'Modelling New'!$D:$D,'Modelling New'!$J:$J),"")</f>
        <v>5.22</v>
      </c>
      <c r="AD13" s="138">
        <f>IFERROR(_xlfn.XLOOKUP($D13,'Modelling New'!$D:$D,'Modelling New'!$T:$T)*1000,"")</f>
        <v>228113.28141262796</v>
      </c>
      <c r="AE13" s="142"/>
      <c r="AF13" s="142">
        <f>IFERROR(_xlfn.XLOOKUP($D13,'Modelling New'!$D:$D,'Modelling New'!$W:$W),"")</f>
        <v>0.13501022810879967</v>
      </c>
      <c r="AG13" s="142">
        <f>IFERROR(_xlfn.XLOOKUP($D13,'Modelling New'!$D:$D,'Modelling New'!$AE:$AE),"")</f>
        <v>0.96029999999999993</v>
      </c>
      <c r="AH13" s="142">
        <f>IFERROR(_xlfn.XLOOKUP($D13,'Modelling New'!$D:$D,'Modelling New'!$AF:$AF),"")</f>
        <v>0.995</v>
      </c>
      <c r="AI13" s="109">
        <f>IFERROR(_xlfn.XLOOKUP($A13,Input_Raw!$A:$A,Input_Raw!$DP:$DP),"")</f>
        <v>137.01</v>
      </c>
      <c r="AJ13" s="108"/>
      <c r="AK13" s="108"/>
      <c r="AL13" s="108"/>
      <c r="AM13" s="108"/>
      <c r="AN13" s="132">
        <f>IFERROR(_xlfn.XLOOKUP($A13,Input_Raw!$A:$A,Input_Raw!$DL:$DL),"")</f>
        <v>0</v>
      </c>
      <c r="AO13" s="142">
        <f>IFERROR((_xlfn.XLOOKUP($A13,'WTG Reactive Power'!$A:$A,'WTG Reactive Power'!$AW:$AW))/X13,"")</f>
        <v>1.468272490672621E-4</v>
      </c>
      <c r="AP13" s="142">
        <f>IFERROR(_xlfn.XLOOKUP($D13,'Modelling New'!$D:$D,'Modelling New'!$AK:$AK),"")</f>
        <v>0.05</v>
      </c>
      <c r="AQ13" s="142">
        <f>IFERROR(_xlfn.XLOOKUP($D13,'Modelling New'!$D:$D,'Modelling New'!$AL:$AL),"")</f>
        <v>0.05</v>
      </c>
      <c r="AR13" s="198">
        <f>IFERROR(_xlfn.XLOOKUP($D13,'Modelling New'!$D:$D,'Modelling New'!$N:$N),"")</f>
        <v>70.400000000000006</v>
      </c>
      <c r="AS13" s="198"/>
    </row>
    <row r="14" spans="1:45">
      <c r="A14" s="137">
        <f t="shared" si="4"/>
        <v>45757</v>
      </c>
      <c r="B14" s="138">
        <f>YEAR(Daily_KPI[[#This Row],[Date]])+IF(MONTH(Daily_KPI[[#This Row],[Date]])&gt;=4,1,0)</f>
        <v>2026</v>
      </c>
      <c r="C14" s="108">
        <f>YEAR(Daily_KPI[[#This Row],[Date]])</f>
        <v>2025</v>
      </c>
      <c r="D14" s="139">
        <f>Daily_KPI[[#This Row],[Date]]-DAY(Daily_KPI[[#This Row],[Date]])+1</f>
        <v>45748</v>
      </c>
      <c r="E14" s="108">
        <f t="shared" si="0"/>
        <v>30</v>
      </c>
      <c r="F14" s="109"/>
      <c r="G14" s="143"/>
      <c r="H14" s="143"/>
      <c r="I14" s="143"/>
      <c r="J14" s="143"/>
      <c r="K14" s="111"/>
      <c r="L14" s="110"/>
      <c r="M14" s="110">
        <f>IFERROR(_xlfn.XLOOKUP($A14,Input_Raw!$A:$A,Input_Raw!$CQ:$CQ),"")</f>
        <v>5.3872727272727268</v>
      </c>
      <c r="N14" s="110">
        <f>IFERROR(_xlfn.XLOOKUP($A14,Input_Raw!$A:$A,Input_Raw!$CR:$CR),"")</f>
        <v>6.9</v>
      </c>
      <c r="O14" s="141">
        <f t="shared" si="1"/>
        <v>0.9649837034130534</v>
      </c>
      <c r="P14" s="141">
        <f>IFERROR(1-SUMIF(WTG_BD!$F:$F,$A14,WTG_BD!$AA:$AA)/($AA14+SUMIF(WTG_BD!$F:$F,$A14,WTG_BD!$AA:$AA)),"")</f>
        <v>0.99494849520735151</v>
      </c>
      <c r="Q14" s="141">
        <f>IFERROR(1-SUMIF(IGA_BD!$F:$F,$A14,IGA_BD!$W:$W)/($AA14+SUMIF(IGA_BD!$F:$F,$A14,IGA_BD!$W:$W)),"")</f>
        <v>0.96988307240159866</v>
      </c>
      <c r="R14" s="141">
        <f>IFERROR(1-SUMIF(Grid_BD!$F:$F,$A14,Grid_BD!$Y:$Y)/($AA14+SUMIF(Grid_BD!$F:$F,$A14,Grid_BD!$Y:$Y)),"")</f>
        <v>1</v>
      </c>
      <c r="S14" s="108"/>
      <c r="T14" s="140"/>
      <c r="U14" s="141"/>
      <c r="V14" s="108"/>
      <c r="W14" s="142">
        <f t="shared" si="2"/>
        <v>0.15469164299242424</v>
      </c>
      <c r="X14" s="108">
        <f>IFERROR(_xlfn.XLOOKUP($A14,Input_Raw!$A:$A,Input_Raw!$CP:$CP)*1000,"")</f>
        <v>261367.00000000003</v>
      </c>
      <c r="Y14" s="108">
        <f>IFERROR(_xlfn.XLOOKUP($A14,Input_Raw!$A:$A,Input_Raw!DJ:DJ)*1000,"")</f>
        <v>261366.99999999997</v>
      </c>
      <c r="Z14" s="108">
        <f>IFERROR(_xlfn.XLOOKUP($A14,Input_Raw!$A:$A,Input_Raw!DK:DK)*1000,"")</f>
        <v>0</v>
      </c>
      <c r="AA14" s="138">
        <f t="shared" si="3"/>
        <v>261366.99999999997</v>
      </c>
      <c r="AB14" s="108">
        <f>IFERROR(_xlfn.XLOOKUP($A14,Input_Raw!$A:$A,Input_Raw!$DR:$DR),"")</f>
        <v>70.400000000000006</v>
      </c>
      <c r="AC14" s="143">
        <f>IFERROR(_xlfn.XLOOKUP($D14,'Modelling New'!$D:$D,'Modelling New'!$J:$J),"")</f>
        <v>5.22</v>
      </c>
      <c r="AD14" s="138">
        <f>IFERROR(_xlfn.XLOOKUP($D14,'Modelling New'!$D:$D,'Modelling New'!$T:$T)*1000,"")</f>
        <v>228113.28141262796</v>
      </c>
      <c r="AE14" s="142"/>
      <c r="AF14" s="142">
        <f>IFERROR(_xlfn.XLOOKUP($D14,'Modelling New'!$D:$D,'Modelling New'!$W:$W),"")</f>
        <v>0.13501022810879967</v>
      </c>
      <c r="AG14" s="142">
        <f>IFERROR(_xlfn.XLOOKUP($D14,'Modelling New'!$D:$D,'Modelling New'!$AE:$AE),"")</f>
        <v>0.96029999999999993</v>
      </c>
      <c r="AH14" s="142">
        <f>IFERROR(_xlfn.XLOOKUP($D14,'Modelling New'!$D:$D,'Modelling New'!$AF:$AF),"")</f>
        <v>0.995</v>
      </c>
      <c r="AI14" s="109">
        <f>IFERROR(_xlfn.XLOOKUP($A14,Input_Raw!$A:$A,Input_Raw!$DP:$DP),"")</f>
        <v>246.08</v>
      </c>
      <c r="AJ14" s="108"/>
      <c r="AK14" s="108"/>
      <c r="AL14" s="108"/>
      <c r="AM14" s="108"/>
      <c r="AN14" s="132">
        <f>IFERROR(_xlfn.XLOOKUP($A14,Input_Raw!$A:$A,Input_Raw!$DL:$DL),"")</f>
        <v>-2.2204460492503131E-16</v>
      </c>
      <c r="AO14" s="142">
        <f>IFERROR((_xlfn.XLOOKUP($A14,'WTG Reactive Power'!$A:$A,'WTG Reactive Power'!$AW:$AW))/X14,"")</f>
        <v>1.972764420654992E-4</v>
      </c>
      <c r="AP14" s="142">
        <f>IFERROR(_xlfn.XLOOKUP($D14,'Modelling New'!$D:$D,'Modelling New'!$AK:$AK),"")</f>
        <v>0.05</v>
      </c>
      <c r="AQ14" s="142">
        <f>IFERROR(_xlfn.XLOOKUP($D14,'Modelling New'!$D:$D,'Modelling New'!$AL:$AL),"")</f>
        <v>0.05</v>
      </c>
      <c r="AR14" s="198">
        <f>IFERROR(_xlfn.XLOOKUP($D14,'Modelling New'!$D:$D,'Modelling New'!$N:$N),"")</f>
        <v>70.400000000000006</v>
      </c>
      <c r="AS14" s="198"/>
    </row>
    <row r="15" spans="1:45">
      <c r="A15" s="137">
        <f t="shared" si="4"/>
        <v>45758</v>
      </c>
      <c r="B15" s="138">
        <f>YEAR(Daily_KPI[[#This Row],[Date]])+IF(MONTH(Daily_KPI[[#This Row],[Date]])&gt;=4,1,0)</f>
        <v>2026</v>
      </c>
      <c r="C15" s="108">
        <f>YEAR(Daily_KPI[[#This Row],[Date]])</f>
        <v>2025</v>
      </c>
      <c r="D15" s="139">
        <f>Daily_KPI[[#This Row],[Date]]-DAY(Daily_KPI[[#This Row],[Date]])+1</f>
        <v>45748</v>
      </c>
      <c r="E15" s="108">
        <f t="shared" si="0"/>
        <v>30</v>
      </c>
      <c r="F15" s="109"/>
      <c r="G15" s="110"/>
      <c r="H15" s="110"/>
      <c r="I15" s="110"/>
      <c r="J15" s="110"/>
      <c r="K15" s="111"/>
      <c r="L15" s="110"/>
      <c r="M15" s="110">
        <f>IFERROR(_xlfn.XLOOKUP($A15,Input_Raw!$A:$A,Input_Raw!$CQ:$CQ),"")</f>
        <v>5.1159090909090912</v>
      </c>
      <c r="N15" s="110">
        <f>IFERROR(_xlfn.XLOOKUP($A15,Input_Raw!$A:$A,Input_Raw!$CR:$CR),"")</f>
        <v>6.04</v>
      </c>
      <c r="O15" s="141">
        <f t="shared" si="1"/>
        <v>0.96046536815834216</v>
      </c>
      <c r="P15" s="141">
        <f>IFERROR(1-SUMIF(WTG_BD!$F:$F,$A15,WTG_BD!$AA:$AA)/($AA15+SUMIF(WTG_BD!$F:$F,$A15,WTG_BD!$AA:$AA)),"")</f>
        <v>0.98753518125466799</v>
      </c>
      <c r="Q15" s="141">
        <f>IFERROR(1-SUMIF(IGA_BD!$F:$F,$A15,IGA_BD!$W:$W)/($AA15+SUMIF(IGA_BD!$F:$F,$A15,IGA_BD!$W:$W)),"")</f>
        <v>0.97258850761961357</v>
      </c>
      <c r="R15" s="141">
        <f>IFERROR(1-SUMIF(Grid_BD!$F:$F,$A15,Grid_BD!$Y:$Y)/($AA15+SUMIF(Grid_BD!$F:$F,$A15,Grid_BD!$Y:$Y)),"")</f>
        <v>1</v>
      </c>
      <c r="S15" s="108"/>
      <c r="T15" s="140"/>
      <c r="U15" s="141"/>
      <c r="V15" s="108"/>
      <c r="W15" s="142">
        <f t="shared" si="2"/>
        <v>0.13851384943181816</v>
      </c>
      <c r="X15" s="108">
        <f>IFERROR(_xlfn.XLOOKUP($A15,Input_Raw!$A:$A,Input_Raw!$CP:$CP)*1000,"")</f>
        <v>234033</v>
      </c>
      <c r="Y15" s="108">
        <f>IFERROR(_xlfn.XLOOKUP($A15,Input_Raw!$A:$A,Input_Raw!DJ:DJ)*1000,"")</f>
        <v>234033</v>
      </c>
      <c r="Z15" s="108">
        <f>IFERROR(_xlfn.XLOOKUP($A15,Input_Raw!$A:$A,Input_Raw!DK:DK)*1000,"")</f>
        <v>0</v>
      </c>
      <c r="AA15" s="138">
        <f t="shared" si="3"/>
        <v>234033</v>
      </c>
      <c r="AB15" s="108">
        <f>IFERROR(_xlfn.XLOOKUP($A15,Input_Raw!$A:$A,Input_Raw!$DR:$DR),"")</f>
        <v>70.400000000000006</v>
      </c>
      <c r="AC15" s="143">
        <f>IFERROR(_xlfn.XLOOKUP($D15,'Modelling New'!$D:$D,'Modelling New'!$J:$J),"")</f>
        <v>5.22</v>
      </c>
      <c r="AD15" s="138">
        <f>IFERROR(_xlfn.XLOOKUP($D15,'Modelling New'!$D:$D,'Modelling New'!$T:$T)*1000,"")</f>
        <v>228113.28141262796</v>
      </c>
      <c r="AE15" s="142"/>
      <c r="AF15" s="142">
        <f>IFERROR(_xlfn.XLOOKUP($D15,'Modelling New'!$D:$D,'Modelling New'!$W:$W),"")</f>
        <v>0.13501022810879967</v>
      </c>
      <c r="AG15" s="142">
        <f>IFERROR(_xlfn.XLOOKUP($D15,'Modelling New'!$D:$D,'Modelling New'!$AE:$AE),"")</f>
        <v>0.96029999999999993</v>
      </c>
      <c r="AH15" s="142">
        <f>IFERROR(_xlfn.XLOOKUP($D15,'Modelling New'!$D:$D,'Modelling New'!$AF:$AF),"")</f>
        <v>0.995</v>
      </c>
      <c r="AI15" s="109">
        <f>IFERROR(_xlfn.XLOOKUP($A15,Input_Raw!$A:$A,Input_Raw!$DP:$DP),"")</f>
        <v>228.85</v>
      </c>
      <c r="AJ15" s="108"/>
      <c r="AK15" s="108"/>
      <c r="AL15" s="108"/>
      <c r="AM15" s="108"/>
      <c r="AN15" s="132">
        <f>IFERROR(_xlfn.XLOOKUP($A15,Input_Raw!$A:$A,Input_Raw!$DL:$DL),"")</f>
        <v>0</v>
      </c>
      <c r="AO15" s="142">
        <f>IFERROR((_xlfn.XLOOKUP($A15,'WTG Reactive Power'!$A:$A,'WTG Reactive Power'!$AW:$AW))/X15,"")</f>
        <v>2.0084855412128488E-4</v>
      </c>
      <c r="AP15" s="142">
        <f>IFERROR(_xlfn.XLOOKUP($D15,'Modelling New'!$D:$D,'Modelling New'!$AK:$AK),"")</f>
        <v>0.05</v>
      </c>
      <c r="AQ15" s="142">
        <f>IFERROR(_xlfn.XLOOKUP($D15,'Modelling New'!$D:$D,'Modelling New'!$AL:$AL),"")</f>
        <v>0.05</v>
      </c>
      <c r="AR15" s="198">
        <f>IFERROR(_xlfn.XLOOKUP($D15,'Modelling New'!$D:$D,'Modelling New'!$N:$N),"")</f>
        <v>70.400000000000006</v>
      </c>
      <c r="AS15" s="198"/>
    </row>
    <row r="16" spans="1:45">
      <c r="A16" s="137">
        <f t="shared" si="4"/>
        <v>45759</v>
      </c>
      <c r="B16" s="138">
        <f>YEAR(Daily_KPI[[#This Row],[Date]])+IF(MONTH(Daily_KPI[[#This Row],[Date]])&gt;=4,1,0)</f>
        <v>2026</v>
      </c>
      <c r="C16" s="108">
        <f>YEAR(Daily_KPI[[#This Row],[Date]])</f>
        <v>2025</v>
      </c>
      <c r="D16" s="139">
        <f>Daily_KPI[[#This Row],[Date]]-DAY(Daily_KPI[[#This Row],[Date]])+1</f>
        <v>45748</v>
      </c>
      <c r="E16" s="108">
        <f t="shared" si="0"/>
        <v>30</v>
      </c>
      <c r="F16" s="109"/>
      <c r="G16" s="143"/>
      <c r="H16" s="143"/>
      <c r="I16" s="143"/>
      <c r="J16" s="143"/>
      <c r="K16" s="111"/>
      <c r="L16" s="110"/>
      <c r="M16" s="110">
        <f>IFERROR(_xlfn.XLOOKUP($A16,Input_Raw!$A:$A,Input_Raw!$CQ:$CQ),"")</f>
        <v>5.4290909090909096</v>
      </c>
      <c r="N16" s="110">
        <f>IFERROR(_xlfn.XLOOKUP($A16,Input_Raw!$A:$A,Input_Raw!$CR:$CR),"")</f>
        <v>6.85</v>
      </c>
      <c r="O16" s="141">
        <f t="shared" si="1"/>
        <v>0.98981970561869348</v>
      </c>
      <c r="P16" s="141">
        <f>IFERROR(1-SUMIF(WTG_BD!$F:$F,$A16,WTG_BD!$AA:$AA)/($AA16+SUMIF(WTG_BD!$F:$F,$A16,WTG_BD!$AA:$AA)),"")</f>
        <v>0.99131671394764309</v>
      </c>
      <c r="Q16" s="141">
        <f>IFERROR(1-SUMIF(IGA_BD!$F:$F,$A16,IGA_BD!$W:$W)/($AA16+SUMIF(IGA_BD!$F:$F,$A16,IGA_BD!$W:$W)),"")</f>
        <v>0.99848987885719365</v>
      </c>
      <c r="R16" s="141">
        <f>IFERROR(1-SUMIF(Grid_BD!$F:$F,$A16,Grid_BD!$Y:$Y)/($AA16+SUMIF(Grid_BD!$F:$F,$A16,Grid_BD!$Y:$Y)),"")</f>
        <v>1</v>
      </c>
      <c r="S16" s="108"/>
      <c r="T16" s="140"/>
      <c r="U16" s="141"/>
      <c r="V16" s="108"/>
      <c r="W16" s="142">
        <f t="shared" si="2"/>
        <v>0.15966441761363634</v>
      </c>
      <c r="X16" s="108">
        <f>IFERROR(_xlfn.XLOOKUP($A16,Input_Raw!$A:$A,Input_Raw!$CP:$CP)*1000,"")</f>
        <v>269769</v>
      </c>
      <c r="Y16" s="108">
        <f>IFERROR(_xlfn.XLOOKUP($A16,Input_Raw!$A:$A,Input_Raw!DJ:DJ)*1000,"")</f>
        <v>269769</v>
      </c>
      <c r="Z16" s="108">
        <f>IFERROR(_xlfn.XLOOKUP($A16,Input_Raw!$A:$A,Input_Raw!DK:DK)*1000,"")</f>
        <v>0</v>
      </c>
      <c r="AA16" s="138">
        <f t="shared" si="3"/>
        <v>269769</v>
      </c>
      <c r="AB16" s="108">
        <f>IFERROR(_xlfn.XLOOKUP($A16,Input_Raw!$A:$A,Input_Raw!$DR:$DR),"")</f>
        <v>70.400000000000006</v>
      </c>
      <c r="AC16" s="143">
        <f>IFERROR(_xlfn.XLOOKUP($D16,'Modelling New'!$D:$D,'Modelling New'!$J:$J),"")</f>
        <v>5.22</v>
      </c>
      <c r="AD16" s="138">
        <f>IFERROR(_xlfn.XLOOKUP($D16,'Modelling New'!$D:$D,'Modelling New'!$T:$T)*1000,"")</f>
        <v>228113.28141262796</v>
      </c>
      <c r="AE16" s="142"/>
      <c r="AF16" s="142">
        <f>IFERROR(_xlfn.XLOOKUP($D16,'Modelling New'!$D:$D,'Modelling New'!$W:$W),"")</f>
        <v>0.13501022810879967</v>
      </c>
      <c r="AG16" s="142">
        <f>IFERROR(_xlfn.XLOOKUP($D16,'Modelling New'!$D:$D,'Modelling New'!$AE:$AE),"")</f>
        <v>0.96029999999999993</v>
      </c>
      <c r="AH16" s="142">
        <f>IFERROR(_xlfn.XLOOKUP($D16,'Modelling New'!$D:$D,'Modelling New'!$AF:$AF),"")</f>
        <v>0.995</v>
      </c>
      <c r="AI16" s="109">
        <f>IFERROR(_xlfn.XLOOKUP($A16,Input_Raw!$A:$A,Input_Raw!$DP:$DP),"")</f>
        <v>262.35000000000002</v>
      </c>
      <c r="AJ16" s="108"/>
      <c r="AK16" s="108"/>
      <c r="AL16" s="108"/>
      <c r="AM16" s="108"/>
      <c r="AN16" s="132">
        <f>IFERROR(_xlfn.XLOOKUP($A16,Input_Raw!$A:$A,Input_Raw!$DL:$DL),"")</f>
        <v>0</v>
      </c>
      <c r="AO16" s="142">
        <f>IFERROR((_xlfn.XLOOKUP($A16,'WTG Reactive Power'!$A:$A,'WTG Reactive Power'!$AW:$AW))/X16,"")</f>
        <v>2.0207430493002034E-4</v>
      </c>
      <c r="AP16" s="142">
        <f>IFERROR(_xlfn.XLOOKUP($D16,'Modelling New'!$D:$D,'Modelling New'!$AK:$AK),"")</f>
        <v>0.05</v>
      </c>
      <c r="AQ16" s="142">
        <f>IFERROR(_xlfn.XLOOKUP($D16,'Modelling New'!$D:$D,'Modelling New'!$AL:$AL),"")</f>
        <v>0.05</v>
      </c>
      <c r="AR16" s="198">
        <f>IFERROR(_xlfn.XLOOKUP($D16,'Modelling New'!$D:$D,'Modelling New'!$N:$N),"")</f>
        <v>70.400000000000006</v>
      </c>
      <c r="AS16" s="198"/>
    </row>
    <row r="17" spans="1:45">
      <c r="A17" s="137">
        <f t="shared" si="4"/>
        <v>45760</v>
      </c>
      <c r="B17" s="138">
        <f>YEAR(Daily_KPI[[#This Row],[Date]])+IF(MONTH(Daily_KPI[[#This Row],[Date]])&gt;=4,1,0)</f>
        <v>2026</v>
      </c>
      <c r="C17" s="108">
        <f>YEAR(Daily_KPI[[#This Row],[Date]])</f>
        <v>2025</v>
      </c>
      <c r="D17" s="139">
        <f>Daily_KPI[[#This Row],[Date]]-DAY(Daily_KPI[[#This Row],[Date]])+1</f>
        <v>45748</v>
      </c>
      <c r="E17" s="108">
        <f t="shared" si="0"/>
        <v>30</v>
      </c>
      <c r="F17" s="109"/>
      <c r="G17" s="110"/>
      <c r="H17" s="110"/>
      <c r="I17" s="110"/>
      <c r="J17" s="110"/>
      <c r="K17" s="111"/>
      <c r="L17" s="110"/>
      <c r="M17" s="110">
        <f>IFERROR(_xlfn.XLOOKUP($A17,Input_Raw!$A:$A,Input_Raw!$CQ:$CQ),"")</f>
        <v>4.9427272727272724</v>
      </c>
      <c r="N17" s="110">
        <f>IFERROR(_xlfn.XLOOKUP($A17,Input_Raw!$A:$A,Input_Raw!$CR:$CR),"")</f>
        <v>6.62</v>
      </c>
      <c r="O17" s="141">
        <f t="shared" si="1"/>
        <v>1</v>
      </c>
      <c r="P17" s="141">
        <f>IFERROR(1-SUMIF(WTG_BD!$F:$F,$A17,WTG_BD!$AA:$AA)/($AA17+SUMIF(WTG_BD!$F:$F,$A17,WTG_BD!$AA:$AA)),"")</f>
        <v>1</v>
      </c>
      <c r="Q17" s="141">
        <f>IFERROR(1-SUMIF(IGA_BD!$F:$F,$A17,IGA_BD!$W:$W)/($AA17+SUMIF(IGA_BD!$F:$F,$A17,IGA_BD!$W:$W)),"")</f>
        <v>1</v>
      </c>
      <c r="R17" s="141">
        <f>IFERROR(1-SUMIF(Grid_BD!$F:$F,$A17,Grid_BD!$Y:$Y)/($AA17+SUMIF(Grid_BD!$F:$F,$A17,Grid_BD!$Y:$Y)),"")</f>
        <v>1</v>
      </c>
      <c r="S17" s="108"/>
      <c r="T17" s="140"/>
      <c r="U17" s="141"/>
      <c r="V17" s="108"/>
      <c r="W17" s="142">
        <f t="shared" si="2"/>
        <v>0.13469460227272725</v>
      </c>
      <c r="X17" s="108">
        <f>IFERROR(_xlfn.XLOOKUP($A17,Input_Raw!$A:$A,Input_Raw!$CP:$CP)*1000,"")</f>
        <v>227580</v>
      </c>
      <c r="Y17" s="108">
        <f>IFERROR(_xlfn.XLOOKUP($A17,Input_Raw!$A:$A,Input_Raw!DJ:DJ)*1000,"")</f>
        <v>227579.99999999997</v>
      </c>
      <c r="Z17" s="108">
        <f>IFERROR(_xlfn.XLOOKUP($A17,Input_Raw!$A:$A,Input_Raw!DK:DK)*1000,"")</f>
        <v>0</v>
      </c>
      <c r="AA17" s="138">
        <f t="shared" si="3"/>
        <v>227579.99999999997</v>
      </c>
      <c r="AB17" s="108">
        <f>IFERROR(_xlfn.XLOOKUP($A17,Input_Raw!$A:$A,Input_Raw!$DR:$DR),"")</f>
        <v>70.400000000000006</v>
      </c>
      <c r="AC17" s="143">
        <f>IFERROR(_xlfn.XLOOKUP($D17,'Modelling New'!$D:$D,'Modelling New'!$J:$J),"")</f>
        <v>5.22</v>
      </c>
      <c r="AD17" s="138">
        <f>IFERROR(_xlfn.XLOOKUP($D17,'Modelling New'!$D:$D,'Modelling New'!$T:$T)*1000,"")</f>
        <v>228113.28141262796</v>
      </c>
      <c r="AE17" s="142"/>
      <c r="AF17" s="142">
        <f>IFERROR(_xlfn.XLOOKUP($D17,'Modelling New'!$D:$D,'Modelling New'!$W:$W),"")</f>
        <v>0.13501022810879967</v>
      </c>
      <c r="AG17" s="142">
        <f>IFERROR(_xlfn.XLOOKUP($D17,'Modelling New'!$D:$D,'Modelling New'!$AE:$AE),"")</f>
        <v>0.96029999999999993</v>
      </c>
      <c r="AH17" s="142">
        <f>IFERROR(_xlfn.XLOOKUP($D17,'Modelling New'!$D:$D,'Modelling New'!$AF:$AF),"")</f>
        <v>0.995</v>
      </c>
      <c r="AI17" s="109">
        <f>IFERROR(_xlfn.XLOOKUP($A17,Input_Raw!$A:$A,Input_Raw!$DP:$DP),"")</f>
        <v>219.75</v>
      </c>
      <c r="AJ17" s="108"/>
      <c r="AK17" s="108"/>
      <c r="AL17" s="108"/>
      <c r="AM17" s="108"/>
      <c r="AN17" s="132">
        <f>IFERROR(_xlfn.XLOOKUP($A17,Input_Raw!$A:$A,Input_Raw!$DL:$DL),"")</f>
        <v>-1.1102230246251565E-16</v>
      </c>
      <c r="AO17" s="142">
        <f>IFERROR((_xlfn.XLOOKUP($A17,'WTG Reactive Power'!$A:$A,'WTG Reactive Power'!$AW:$AW))/X17,"")</f>
        <v>2.0160297477810001E-4</v>
      </c>
      <c r="AP17" s="142">
        <f>IFERROR(_xlfn.XLOOKUP($D17,'Modelling New'!$D:$D,'Modelling New'!$AK:$AK),"")</f>
        <v>0.05</v>
      </c>
      <c r="AQ17" s="142">
        <f>IFERROR(_xlfn.XLOOKUP($D17,'Modelling New'!$D:$D,'Modelling New'!$AL:$AL),"")</f>
        <v>0.05</v>
      </c>
      <c r="AR17" s="198">
        <f>IFERROR(_xlfn.XLOOKUP($D17,'Modelling New'!$D:$D,'Modelling New'!$N:$N),"")</f>
        <v>70.400000000000006</v>
      </c>
      <c r="AS17" s="198"/>
    </row>
    <row r="18" spans="1:45">
      <c r="A18" s="137">
        <f t="shared" si="4"/>
        <v>45761</v>
      </c>
      <c r="B18" s="138">
        <f>YEAR(Daily_KPI[[#This Row],[Date]])+IF(MONTH(Daily_KPI[[#This Row],[Date]])&gt;=4,1,0)</f>
        <v>2026</v>
      </c>
      <c r="C18" s="108">
        <f>YEAR(Daily_KPI[[#This Row],[Date]])</f>
        <v>2025</v>
      </c>
      <c r="D18" s="139">
        <f>Daily_KPI[[#This Row],[Date]]-DAY(Daily_KPI[[#This Row],[Date]])+1</f>
        <v>45748</v>
      </c>
      <c r="E18" s="108">
        <f t="shared" si="0"/>
        <v>30</v>
      </c>
      <c r="F18" s="109"/>
      <c r="G18" s="143"/>
      <c r="H18" s="143"/>
      <c r="I18" s="143"/>
      <c r="J18" s="143"/>
      <c r="K18" s="111"/>
      <c r="L18" s="110"/>
      <c r="M18" s="110">
        <f>IFERROR(_xlfn.XLOOKUP($A18,Input_Raw!$A:$A,Input_Raw!$CQ:$CQ),"")</f>
        <v>4.9261363636363651</v>
      </c>
      <c r="N18" s="110">
        <f>IFERROR(_xlfn.XLOOKUP($A18,Input_Raw!$A:$A,Input_Raw!$CR:$CR),"")</f>
        <v>6.46</v>
      </c>
      <c r="O18" s="141">
        <f t="shared" si="1"/>
        <v>0.99893730074388953</v>
      </c>
      <c r="P18" s="141">
        <f>IFERROR(1-SUMIF(WTG_BD!$F:$F,$A18,WTG_BD!$AA:$AA)/($AA18+SUMIF(WTG_BD!$F:$F,$A18,WTG_BD!$AA:$AA)),"")</f>
        <v>0.99893730074388953</v>
      </c>
      <c r="Q18" s="141">
        <f>IFERROR(1-SUMIF(IGA_BD!$F:$F,$A18,IGA_BD!$W:$W)/($AA18+SUMIF(IGA_BD!$F:$F,$A18,IGA_BD!$W:$W)),"")</f>
        <v>1</v>
      </c>
      <c r="R18" s="141">
        <f>IFERROR(1-SUMIF(Grid_BD!$F:$F,$A18,Grid_BD!$Y:$Y)/($AA18+SUMIF(Grid_BD!$F:$F,$A18,Grid_BD!$Y:$Y)),"")</f>
        <v>1</v>
      </c>
      <c r="S18" s="108"/>
      <c r="T18" s="140"/>
      <c r="U18" s="141"/>
      <c r="V18" s="108"/>
      <c r="W18" s="142">
        <f t="shared" si="2"/>
        <v>0.13686079545454544</v>
      </c>
      <c r="X18" s="108">
        <f>IFERROR(_xlfn.XLOOKUP($A18,Input_Raw!$A:$A,Input_Raw!$CP:$CP)*1000,"")</f>
        <v>231240</v>
      </c>
      <c r="Y18" s="108">
        <f>IFERROR(_xlfn.XLOOKUP($A18,Input_Raw!$A:$A,Input_Raw!DJ:DJ)*1000,"")</f>
        <v>231240</v>
      </c>
      <c r="Z18" s="108">
        <f>IFERROR(_xlfn.XLOOKUP($A18,Input_Raw!$A:$A,Input_Raw!DK:DK)*1000,"")</f>
        <v>0</v>
      </c>
      <c r="AA18" s="138">
        <f t="shared" si="3"/>
        <v>231240</v>
      </c>
      <c r="AB18" s="108">
        <f>IFERROR(_xlfn.XLOOKUP($A18,Input_Raw!$A:$A,Input_Raw!$DR:$DR),"")</f>
        <v>70.400000000000006</v>
      </c>
      <c r="AC18" s="143">
        <f>IFERROR(_xlfn.XLOOKUP($D18,'Modelling New'!$D:$D,'Modelling New'!$J:$J),"")</f>
        <v>5.22</v>
      </c>
      <c r="AD18" s="138">
        <f>IFERROR(_xlfn.XLOOKUP($D18,'Modelling New'!$D:$D,'Modelling New'!$T:$T)*1000,"")</f>
        <v>228113.28141262796</v>
      </c>
      <c r="AE18" s="142"/>
      <c r="AF18" s="142">
        <f>IFERROR(_xlfn.XLOOKUP($D18,'Modelling New'!$D:$D,'Modelling New'!$W:$W),"")</f>
        <v>0.13501022810879967</v>
      </c>
      <c r="AG18" s="142">
        <f>IFERROR(_xlfn.XLOOKUP($D18,'Modelling New'!$D:$D,'Modelling New'!$AE:$AE),"")</f>
        <v>0.96029999999999993</v>
      </c>
      <c r="AH18" s="142">
        <f>IFERROR(_xlfn.XLOOKUP($D18,'Modelling New'!$D:$D,'Modelling New'!$AF:$AF),"")</f>
        <v>0.995</v>
      </c>
      <c r="AI18" s="109">
        <f>IFERROR(_xlfn.XLOOKUP($A18,Input_Raw!$A:$A,Input_Raw!$DP:$DP),"")</f>
        <v>223.32</v>
      </c>
      <c r="AJ18" s="108"/>
      <c r="AK18" s="108"/>
      <c r="AL18" s="108"/>
      <c r="AM18" s="108"/>
      <c r="AN18" s="132">
        <f>IFERROR(_xlfn.XLOOKUP($A18,Input_Raw!$A:$A,Input_Raw!$DL:$DL),"")</f>
        <v>0</v>
      </c>
      <c r="AO18" s="142">
        <f>IFERROR((_xlfn.XLOOKUP($A18,'WTG Reactive Power'!$A:$A,'WTG Reactive Power'!$AW:$AW))/X18,"")</f>
        <v>2.0074877832554927E-4</v>
      </c>
      <c r="AP18" s="142">
        <f>IFERROR(_xlfn.XLOOKUP($D18,'Modelling New'!$D:$D,'Modelling New'!$AK:$AK),"")</f>
        <v>0.05</v>
      </c>
      <c r="AQ18" s="142">
        <f>IFERROR(_xlfn.XLOOKUP($D18,'Modelling New'!$D:$D,'Modelling New'!$AL:$AL),"")</f>
        <v>0.05</v>
      </c>
      <c r="AR18" s="198">
        <f>IFERROR(_xlfn.XLOOKUP($D18,'Modelling New'!$D:$D,'Modelling New'!$N:$N),"")</f>
        <v>70.400000000000006</v>
      </c>
      <c r="AS18" s="198"/>
    </row>
    <row r="19" spans="1:45">
      <c r="A19" s="137">
        <f t="shared" si="4"/>
        <v>45762</v>
      </c>
      <c r="B19" s="138">
        <f>YEAR(Daily_KPI[[#This Row],[Date]])+IF(MONTH(Daily_KPI[[#This Row],[Date]])&gt;=4,1,0)</f>
        <v>2026</v>
      </c>
      <c r="C19" s="108">
        <f>YEAR(Daily_KPI[[#This Row],[Date]])</f>
        <v>2025</v>
      </c>
      <c r="D19" s="139">
        <f>Daily_KPI[[#This Row],[Date]]-DAY(Daily_KPI[[#This Row],[Date]])+1</f>
        <v>45748</v>
      </c>
      <c r="E19" s="108">
        <f t="shared" si="0"/>
        <v>30</v>
      </c>
      <c r="F19" s="109"/>
      <c r="G19" s="110"/>
      <c r="H19" s="110"/>
      <c r="I19" s="110"/>
      <c r="J19" s="110"/>
      <c r="K19" s="111"/>
      <c r="L19" s="110"/>
      <c r="M19" s="110">
        <f>IFERROR(_xlfn.XLOOKUP($A19,Input_Raw!$A:$A,Input_Raw!$CQ:$CQ),"")</f>
        <v>5.0938636363636354</v>
      </c>
      <c r="N19" s="110">
        <f>IFERROR(_xlfn.XLOOKUP($A19,Input_Raw!$A:$A,Input_Raw!$CR:$CR),"")</f>
        <v>6.81</v>
      </c>
      <c r="O19" s="141">
        <f t="shared" si="1"/>
        <v>0.99146097138744627</v>
      </c>
      <c r="P19" s="141">
        <f>IFERROR(1-SUMIF(WTG_BD!$F:$F,$A19,WTG_BD!$AA:$AA)/($AA19+SUMIF(WTG_BD!$F:$F,$A19,WTG_BD!$AA:$AA)),"")</f>
        <v>0.99146097138744627</v>
      </c>
      <c r="Q19" s="141">
        <f>IFERROR(1-SUMIF(IGA_BD!$F:$F,$A19,IGA_BD!$W:$W)/($AA19+SUMIF(IGA_BD!$F:$F,$A19,IGA_BD!$W:$W)),"")</f>
        <v>1</v>
      </c>
      <c r="R19" s="141">
        <f>IFERROR(1-SUMIF(Grid_BD!$F:$F,$A19,Grid_BD!$Y:$Y)/($AA19+SUMIF(Grid_BD!$F:$F,$A19,Grid_BD!$Y:$Y)),"")</f>
        <v>0.83043336591723693</v>
      </c>
      <c r="S19" s="108"/>
      <c r="T19" s="140"/>
      <c r="U19" s="141"/>
      <c r="V19" s="108"/>
      <c r="W19" s="142">
        <f t="shared" si="2"/>
        <v>0.15084043560606059</v>
      </c>
      <c r="X19" s="108">
        <f>IFERROR(_xlfn.XLOOKUP($A19,Input_Raw!$A:$A,Input_Raw!$CP:$CP)*1000,"")</f>
        <v>254860</v>
      </c>
      <c r="Y19" s="108">
        <f>IFERROR(_xlfn.XLOOKUP($A19,Input_Raw!$A:$A,Input_Raw!DJ:DJ)*1000,"")</f>
        <v>254859.99999999997</v>
      </c>
      <c r="Z19" s="108">
        <f>IFERROR(_xlfn.XLOOKUP($A19,Input_Raw!$A:$A,Input_Raw!DK:DK)*1000,"")</f>
        <v>0</v>
      </c>
      <c r="AA19" s="138">
        <f t="shared" si="3"/>
        <v>254859.99999999997</v>
      </c>
      <c r="AB19" s="108">
        <f>IFERROR(_xlfn.XLOOKUP($A19,Input_Raw!$A:$A,Input_Raw!$DR:$DR),"")</f>
        <v>70.400000000000006</v>
      </c>
      <c r="AC19" s="143">
        <f>IFERROR(_xlfn.XLOOKUP($D19,'Modelling New'!$D:$D,'Modelling New'!$J:$J),"")</f>
        <v>5.22</v>
      </c>
      <c r="AD19" s="138">
        <f>IFERROR(_xlfn.XLOOKUP($D19,'Modelling New'!$D:$D,'Modelling New'!$T:$T)*1000,"")</f>
        <v>228113.28141262796</v>
      </c>
      <c r="AE19" s="142"/>
      <c r="AF19" s="142">
        <f>IFERROR(_xlfn.XLOOKUP($D19,'Modelling New'!$D:$D,'Modelling New'!$W:$W),"")</f>
        <v>0.13501022810879967</v>
      </c>
      <c r="AG19" s="142">
        <f>IFERROR(_xlfn.XLOOKUP($D19,'Modelling New'!$D:$D,'Modelling New'!$AE:$AE),"")</f>
        <v>0.96029999999999993</v>
      </c>
      <c r="AH19" s="142">
        <f>IFERROR(_xlfn.XLOOKUP($D19,'Modelling New'!$D:$D,'Modelling New'!$AF:$AF),"")</f>
        <v>0.995</v>
      </c>
      <c r="AI19" s="109">
        <f>IFERROR(_xlfn.XLOOKUP($A19,Input_Raw!$A:$A,Input_Raw!$DP:$DP),"")</f>
        <v>249.16</v>
      </c>
      <c r="AJ19" s="108"/>
      <c r="AK19" s="108"/>
      <c r="AL19" s="108"/>
      <c r="AM19" s="108"/>
      <c r="AN19" s="132">
        <f>IFERROR(_xlfn.XLOOKUP($A19,Input_Raw!$A:$A,Input_Raw!$DL:$DL),"")</f>
        <v>-1.1102230246251565E-16</v>
      </c>
      <c r="AO19" s="142">
        <f>IFERROR((_xlfn.XLOOKUP($A19,'WTG Reactive Power'!$A:$A,'WTG Reactive Power'!$AW:$AW))/X19,"")</f>
        <v>8.9586697925658529E-5</v>
      </c>
      <c r="AP19" s="142">
        <f>IFERROR(_xlfn.XLOOKUP($D19,'Modelling New'!$D:$D,'Modelling New'!$AK:$AK),"")</f>
        <v>0.05</v>
      </c>
      <c r="AQ19" s="142">
        <f>IFERROR(_xlfn.XLOOKUP($D19,'Modelling New'!$D:$D,'Modelling New'!$AL:$AL),"")</f>
        <v>0.05</v>
      </c>
      <c r="AR19" s="198">
        <f>IFERROR(_xlfn.XLOOKUP($D19,'Modelling New'!$D:$D,'Modelling New'!$N:$N),"")</f>
        <v>70.400000000000006</v>
      </c>
      <c r="AS19" s="198"/>
    </row>
    <row r="20" spans="1:45">
      <c r="A20" s="137">
        <f t="shared" si="4"/>
        <v>45763</v>
      </c>
      <c r="B20" s="138">
        <f>YEAR(Daily_KPI[[#This Row],[Date]])+IF(MONTH(Daily_KPI[[#This Row],[Date]])&gt;=4,1,0)</f>
        <v>2026</v>
      </c>
      <c r="C20" s="108">
        <f>YEAR(Daily_KPI[[#This Row],[Date]])</f>
        <v>2025</v>
      </c>
      <c r="D20" s="139">
        <f>Daily_KPI[[#This Row],[Date]]-DAY(Daily_KPI[[#This Row],[Date]])+1</f>
        <v>45748</v>
      </c>
      <c r="E20" s="108">
        <f t="shared" si="0"/>
        <v>30</v>
      </c>
      <c r="F20" s="109"/>
      <c r="G20" s="143"/>
      <c r="H20" s="143"/>
      <c r="I20" s="143"/>
      <c r="J20" s="143"/>
      <c r="K20" s="111"/>
      <c r="L20" s="110"/>
      <c r="M20" s="110">
        <f>IFERROR(_xlfn.XLOOKUP($A20,Input_Raw!$A:$A,Input_Raw!$CQ:$CQ),"")</f>
        <v>5.2597727272727273</v>
      </c>
      <c r="N20" s="110">
        <f>IFERROR(_xlfn.XLOOKUP($A20,Input_Raw!$A:$A,Input_Raw!$CR:$CR),"")</f>
        <v>6.18</v>
      </c>
      <c r="O20" s="141">
        <f t="shared" si="1"/>
        <v>0.99172409711444875</v>
      </c>
      <c r="P20" s="141">
        <f>IFERROR(1-SUMIF(WTG_BD!$F:$F,$A20,WTG_BD!$AA:$AA)/($AA20+SUMIF(WTG_BD!$F:$F,$A20,WTG_BD!$AA:$AA)),"")</f>
        <v>0.99172409711444875</v>
      </c>
      <c r="Q20" s="141">
        <f>IFERROR(1-SUMIF(IGA_BD!$F:$F,$A20,IGA_BD!$W:$W)/($AA20+SUMIF(IGA_BD!$F:$F,$A20,IGA_BD!$W:$W)),"")</f>
        <v>1</v>
      </c>
      <c r="R20" s="141">
        <f>IFERROR(1-SUMIF(Grid_BD!$F:$F,$A20,Grid_BD!$Y:$Y)/($AA20+SUMIF(Grid_BD!$F:$F,$A20,Grid_BD!$Y:$Y)),"")</f>
        <v>1</v>
      </c>
      <c r="S20" s="108"/>
      <c r="T20" s="140"/>
      <c r="U20" s="141"/>
      <c r="V20" s="108"/>
      <c r="W20" s="142">
        <f t="shared" si="2"/>
        <v>0.17851503314393938</v>
      </c>
      <c r="X20" s="108">
        <f>IFERROR(_xlfn.XLOOKUP($A20,Input_Raw!$A:$A,Input_Raw!$CP:$CP)*1000,"")</f>
        <v>301619</v>
      </c>
      <c r="Y20" s="108">
        <f>IFERROR(_xlfn.XLOOKUP($A20,Input_Raw!$A:$A,Input_Raw!DJ:DJ)*1000,"")</f>
        <v>301619</v>
      </c>
      <c r="Z20" s="108">
        <f>IFERROR(_xlfn.XLOOKUP($A20,Input_Raw!$A:$A,Input_Raw!DK:DK)*1000,"")</f>
        <v>0</v>
      </c>
      <c r="AA20" s="138">
        <f t="shared" si="3"/>
        <v>301619</v>
      </c>
      <c r="AB20" s="108">
        <f>IFERROR(_xlfn.XLOOKUP($A20,Input_Raw!$A:$A,Input_Raw!$DR:$DR),"")</f>
        <v>70.400000000000006</v>
      </c>
      <c r="AC20" s="143">
        <f>IFERROR(_xlfn.XLOOKUP($D20,'Modelling New'!$D:$D,'Modelling New'!$J:$J),"")</f>
        <v>5.22</v>
      </c>
      <c r="AD20" s="138">
        <f>IFERROR(_xlfn.XLOOKUP($D20,'Modelling New'!$D:$D,'Modelling New'!$T:$T)*1000,"")</f>
        <v>228113.28141262796</v>
      </c>
      <c r="AE20" s="142"/>
      <c r="AF20" s="142">
        <f>IFERROR(_xlfn.XLOOKUP($D20,'Modelling New'!$D:$D,'Modelling New'!$W:$W),"")</f>
        <v>0.13501022810879967</v>
      </c>
      <c r="AG20" s="142">
        <f>IFERROR(_xlfn.XLOOKUP($D20,'Modelling New'!$D:$D,'Modelling New'!$AE:$AE),"")</f>
        <v>0.96029999999999993</v>
      </c>
      <c r="AH20" s="142">
        <f>IFERROR(_xlfn.XLOOKUP($D20,'Modelling New'!$D:$D,'Modelling New'!$AF:$AF),"")</f>
        <v>0.995</v>
      </c>
      <c r="AI20" s="109">
        <f>IFERROR(_xlfn.XLOOKUP($A20,Input_Raw!$A:$A,Input_Raw!$DP:$DP),"")</f>
        <v>288.87</v>
      </c>
      <c r="AJ20" s="108"/>
      <c r="AK20" s="108"/>
      <c r="AL20" s="108"/>
      <c r="AM20" s="108"/>
      <c r="AN20" s="132">
        <f>IFERROR(_xlfn.XLOOKUP($A20,Input_Raw!$A:$A,Input_Raw!$DL:$DL),"")</f>
        <v>0</v>
      </c>
      <c r="AO20" s="142">
        <f>IFERROR((_xlfn.XLOOKUP($A20,'WTG Reactive Power'!$A:$A,'WTG Reactive Power'!$AW:$AW))/X20,"")</f>
        <v>4.1539583602712912E-5</v>
      </c>
      <c r="AP20" s="142">
        <f>IFERROR(_xlfn.XLOOKUP($D20,'Modelling New'!$D:$D,'Modelling New'!$AK:$AK),"")</f>
        <v>0.05</v>
      </c>
      <c r="AQ20" s="142">
        <f>IFERROR(_xlfn.XLOOKUP($D20,'Modelling New'!$D:$D,'Modelling New'!$AL:$AL),"")</f>
        <v>0.05</v>
      </c>
      <c r="AR20" s="198">
        <f>IFERROR(_xlfn.XLOOKUP($D20,'Modelling New'!$D:$D,'Modelling New'!$N:$N),"")</f>
        <v>70.400000000000006</v>
      </c>
      <c r="AS20" s="198"/>
    </row>
    <row r="21" spans="1:45">
      <c r="A21" s="137">
        <f t="shared" si="4"/>
        <v>45764</v>
      </c>
      <c r="B21" s="138">
        <f>YEAR(Daily_KPI[[#This Row],[Date]])+IF(MONTH(Daily_KPI[[#This Row],[Date]])&gt;=4,1,0)</f>
        <v>2026</v>
      </c>
      <c r="C21" s="108">
        <f>YEAR(Daily_KPI[[#This Row],[Date]])</f>
        <v>2025</v>
      </c>
      <c r="D21" s="139">
        <f>Daily_KPI[[#This Row],[Date]]-DAY(Daily_KPI[[#This Row],[Date]])+1</f>
        <v>45748</v>
      </c>
      <c r="E21" s="108">
        <f t="shared" si="0"/>
        <v>30</v>
      </c>
      <c r="F21" s="109"/>
      <c r="G21" s="110"/>
      <c r="H21" s="110"/>
      <c r="I21" s="110"/>
      <c r="J21" s="110"/>
      <c r="K21" s="111"/>
      <c r="L21" s="110"/>
      <c r="M21" s="110">
        <f>IFERROR(_xlfn.XLOOKUP($A21,Input_Raw!$A:$A,Input_Raw!$CQ:$CQ),"")</f>
        <v>6.2409090909090903</v>
      </c>
      <c r="N21" s="110">
        <f>IFERROR(_xlfn.XLOOKUP($A21,Input_Raw!$A:$A,Input_Raw!$CR:$CR),"")</f>
        <v>8.07</v>
      </c>
      <c r="O21" s="141">
        <f t="shared" si="1"/>
        <v>0.98684221195953592</v>
      </c>
      <c r="P21" s="141">
        <f>IFERROR(1-SUMIF(WTG_BD!$F:$F,$A21,WTG_BD!$AA:$AA)/($AA21+SUMIF(WTG_BD!$F:$F,$A21,WTG_BD!$AA:$AA)),"")</f>
        <v>0.99082508443846595</v>
      </c>
      <c r="Q21" s="141">
        <f>IFERROR(1-SUMIF(IGA_BD!$F:$F,$A21,IGA_BD!$W:$W)/($AA21+SUMIF(IGA_BD!$F:$F,$A21,IGA_BD!$W:$W)),"")</f>
        <v>0.99598024662326023</v>
      </c>
      <c r="R21" s="141">
        <f>IFERROR(1-SUMIF(Grid_BD!$F:$F,$A21,Grid_BD!$Y:$Y)/($AA21+SUMIF(Grid_BD!$F:$F,$A21,Grid_BD!$Y:$Y)),"")</f>
        <v>1</v>
      </c>
      <c r="S21" s="108"/>
      <c r="T21" s="140"/>
      <c r="U21" s="141"/>
      <c r="V21" s="108"/>
      <c r="W21" s="142">
        <f t="shared" si="2"/>
        <v>0.24064453124999996</v>
      </c>
      <c r="X21" s="108">
        <f>IFERROR(_xlfn.XLOOKUP($A21,Input_Raw!$A:$A,Input_Raw!$CP:$CP)*1000,"")</f>
        <v>406593</v>
      </c>
      <c r="Y21" s="108">
        <f>IFERROR(_xlfn.XLOOKUP($A21,Input_Raw!$A:$A,Input_Raw!DJ:DJ)*1000,"")</f>
        <v>406592.99999999994</v>
      </c>
      <c r="Z21" s="108">
        <f>IFERROR(_xlfn.XLOOKUP($A21,Input_Raw!$A:$A,Input_Raw!DK:DK)*1000,"")</f>
        <v>0</v>
      </c>
      <c r="AA21" s="138">
        <f t="shared" si="3"/>
        <v>406592.99999999994</v>
      </c>
      <c r="AB21" s="108">
        <f>IFERROR(_xlfn.XLOOKUP($A21,Input_Raw!$A:$A,Input_Raw!$DR:$DR),"")</f>
        <v>70.400000000000006</v>
      </c>
      <c r="AC21" s="143">
        <f>IFERROR(_xlfn.XLOOKUP($D21,'Modelling New'!$D:$D,'Modelling New'!$J:$J),"")</f>
        <v>5.22</v>
      </c>
      <c r="AD21" s="138">
        <f>IFERROR(_xlfn.XLOOKUP($D21,'Modelling New'!$D:$D,'Modelling New'!$T:$T)*1000,"")</f>
        <v>228113.28141262796</v>
      </c>
      <c r="AE21" s="142"/>
      <c r="AF21" s="142">
        <f>IFERROR(_xlfn.XLOOKUP($D21,'Modelling New'!$D:$D,'Modelling New'!$W:$W),"")</f>
        <v>0.13501022810879967</v>
      </c>
      <c r="AG21" s="142">
        <f>IFERROR(_xlfn.XLOOKUP($D21,'Modelling New'!$D:$D,'Modelling New'!$AE:$AE),"")</f>
        <v>0.96029999999999993</v>
      </c>
      <c r="AH21" s="142">
        <f>IFERROR(_xlfn.XLOOKUP($D21,'Modelling New'!$D:$D,'Modelling New'!$AF:$AF),"")</f>
        <v>0.995</v>
      </c>
      <c r="AI21" s="109">
        <f>IFERROR(_xlfn.XLOOKUP($A21,Input_Raw!$A:$A,Input_Raw!$DP:$DP),"")</f>
        <v>398.35</v>
      </c>
      <c r="AJ21" s="108"/>
      <c r="AK21" s="108"/>
      <c r="AL21" s="108"/>
      <c r="AM21" s="108"/>
      <c r="AN21" s="132">
        <f>IFERROR(_xlfn.XLOOKUP($A21,Input_Raw!$A:$A,Input_Raw!$DL:$DL),"")</f>
        <v>-1.1102230246251565E-16</v>
      </c>
      <c r="AO21" s="142">
        <f>IFERROR((_xlfn.XLOOKUP($A21,'WTG Reactive Power'!$A:$A,'WTG Reactive Power'!$AW:$AW))/X21,"")</f>
        <v>1.3052633181912456E-4</v>
      </c>
      <c r="AP21" s="142">
        <f>IFERROR(_xlfn.XLOOKUP($D21,'Modelling New'!$D:$D,'Modelling New'!$AK:$AK),"")</f>
        <v>0.05</v>
      </c>
      <c r="AQ21" s="142">
        <f>IFERROR(_xlfn.XLOOKUP($D21,'Modelling New'!$D:$D,'Modelling New'!$AL:$AL),"")</f>
        <v>0.05</v>
      </c>
      <c r="AR21" s="198">
        <f>IFERROR(_xlfn.XLOOKUP($D21,'Modelling New'!$D:$D,'Modelling New'!$N:$N),"")</f>
        <v>70.400000000000006</v>
      </c>
      <c r="AS21" s="198"/>
    </row>
    <row r="22" spans="1:45">
      <c r="A22" s="137">
        <f t="shared" si="4"/>
        <v>45765</v>
      </c>
      <c r="B22" s="138">
        <f>YEAR(Daily_KPI[[#This Row],[Date]])+IF(MONTH(Daily_KPI[[#This Row],[Date]])&gt;=4,1,0)</f>
        <v>2026</v>
      </c>
      <c r="C22" s="108">
        <f>YEAR(Daily_KPI[[#This Row],[Date]])</f>
        <v>2025</v>
      </c>
      <c r="D22" s="139">
        <f>Daily_KPI[[#This Row],[Date]]-DAY(Daily_KPI[[#This Row],[Date]])+1</f>
        <v>45748</v>
      </c>
      <c r="E22" s="108">
        <f t="shared" si="0"/>
        <v>30</v>
      </c>
      <c r="F22" s="109"/>
      <c r="G22" s="143"/>
      <c r="H22" s="143"/>
      <c r="I22" s="143"/>
      <c r="J22" s="143"/>
      <c r="K22" s="111"/>
      <c r="L22" s="110"/>
      <c r="M22" s="110">
        <f>IFERROR(_xlfn.XLOOKUP($A22,Input_Raw!$A:$A,Input_Raw!$CQ:$CQ),"")</f>
        <v>5.7127272727272747</v>
      </c>
      <c r="N22" s="110">
        <f>IFERROR(_xlfn.XLOOKUP($A22,Input_Raw!$A:$A,Input_Raw!$CR:$CR),"")</f>
        <v>7.18</v>
      </c>
      <c r="O22" s="141">
        <f t="shared" si="1"/>
        <v>0.99063381739348322</v>
      </c>
      <c r="P22" s="141">
        <f>IFERROR(1-SUMIF(WTG_BD!$F:$F,$A22,WTG_BD!$AA:$AA)/($AA22+SUMIF(WTG_BD!$F:$F,$A22,WTG_BD!$AA:$AA)),"")</f>
        <v>0.99063381739348322</v>
      </c>
      <c r="Q22" s="141">
        <f>IFERROR(1-SUMIF(IGA_BD!$F:$F,$A22,IGA_BD!$W:$W)/($AA22+SUMIF(IGA_BD!$F:$F,$A22,IGA_BD!$W:$W)),"")</f>
        <v>1</v>
      </c>
      <c r="R22" s="141">
        <f>IFERROR(1-SUMIF(Grid_BD!$F:$F,$A22,Grid_BD!$Y:$Y)/($AA22+SUMIF(Grid_BD!$F:$F,$A22,Grid_BD!$Y:$Y)),"")</f>
        <v>1</v>
      </c>
      <c r="S22" s="108"/>
      <c r="T22" s="140"/>
      <c r="U22" s="141"/>
      <c r="V22" s="108"/>
      <c r="W22" s="142">
        <f t="shared" si="2"/>
        <v>0.21527758049242421</v>
      </c>
      <c r="X22" s="108">
        <f>IFERROR(_xlfn.XLOOKUP($A22,Input_Raw!$A:$A,Input_Raw!$CP:$CP)*1000,"")</f>
        <v>363733</v>
      </c>
      <c r="Y22" s="108">
        <f>IFERROR(_xlfn.XLOOKUP($A22,Input_Raw!$A:$A,Input_Raw!DJ:DJ)*1000,"")</f>
        <v>363733</v>
      </c>
      <c r="Z22" s="108">
        <f>IFERROR(_xlfn.XLOOKUP($A22,Input_Raw!$A:$A,Input_Raw!DK:DK)*1000,"")</f>
        <v>0</v>
      </c>
      <c r="AA22" s="138">
        <f t="shared" si="3"/>
        <v>363733</v>
      </c>
      <c r="AB22" s="108">
        <f>IFERROR(_xlfn.XLOOKUP($A22,Input_Raw!$A:$A,Input_Raw!$DR:$DR),"")</f>
        <v>70.400000000000006</v>
      </c>
      <c r="AC22" s="143">
        <f>IFERROR(_xlfn.XLOOKUP($D22,'Modelling New'!$D:$D,'Modelling New'!$J:$J),"")</f>
        <v>5.22</v>
      </c>
      <c r="AD22" s="138">
        <f>IFERROR(_xlfn.XLOOKUP($D22,'Modelling New'!$D:$D,'Modelling New'!$T:$T)*1000,"")</f>
        <v>228113.28141262796</v>
      </c>
      <c r="AE22" s="142"/>
      <c r="AF22" s="142">
        <f>IFERROR(_xlfn.XLOOKUP($D22,'Modelling New'!$D:$D,'Modelling New'!$W:$W),"")</f>
        <v>0.13501022810879967</v>
      </c>
      <c r="AG22" s="142">
        <f>IFERROR(_xlfn.XLOOKUP($D22,'Modelling New'!$D:$D,'Modelling New'!$AE:$AE),"")</f>
        <v>0.96029999999999993</v>
      </c>
      <c r="AH22" s="142">
        <f>IFERROR(_xlfn.XLOOKUP($D22,'Modelling New'!$D:$D,'Modelling New'!$AF:$AF),"")</f>
        <v>0.995</v>
      </c>
      <c r="AI22" s="109">
        <f>IFERROR(_xlfn.XLOOKUP($A22,Input_Raw!$A:$A,Input_Raw!$DP:$DP),"")</f>
        <v>353.43</v>
      </c>
      <c r="AJ22" s="108"/>
      <c r="AK22" s="108"/>
      <c r="AL22" s="108"/>
      <c r="AM22" s="108"/>
      <c r="AN22" s="132">
        <f>IFERROR(_xlfn.XLOOKUP($A22,Input_Raw!$A:$A,Input_Raw!$DL:$DL),"")</f>
        <v>0</v>
      </c>
      <c r="AO22" s="142">
        <f>IFERROR((_xlfn.XLOOKUP($A22,'WTG Reactive Power'!$A:$A,'WTG Reactive Power'!$AW:$AW))/X22,"")</f>
        <v>1.3843645247108916E-4</v>
      </c>
      <c r="AP22" s="142">
        <f>IFERROR(_xlfn.XLOOKUP($D22,'Modelling New'!$D:$D,'Modelling New'!$AK:$AK),"")</f>
        <v>0.05</v>
      </c>
      <c r="AQ22" s="142">
        <f>IFERROR(_xlfn.XLOOKUP($D22,'Modelling New'!$D:$D,'Modelling New'!$AL:$AL),"")</f>
        <v>0.05</v>
      </c>
      <c r="AR22" s="198">
        <f>IFERROR(_xlfn.XLOOKUP($D22,'Modelling New'!$D:$D,'Modelling New'!$N:$N),"")</f>
        <v>70.400000000000006</v>
      </c>
      <c r="AS22" s="198"/>
    </row>
    <row r="23" spans="1:45">
      <c r="A23" s="137">
        <f t="shared" si="4"/>
        <v>45766</v>
      </c>
      <c r="B23" s="138">
        <f>YEAR(Daily_KPI[[#This Row],[Date]])+IF(MONTH(Daily_KPI[[#This Row],[Date]])&gt;=4,1,0)</f>
        <v>2026</v>
      </c>
      <c r="C23" s="108">
        <f>YEAR(Daily_KPI[[#This Row],[Date]])</f>
        <v>2025</v>
      </c>
      <c r="D23" s="139">
        <f>Daily_KPI[[#This Row],[Date]]-DAY(Daily_KPI[[#This Row],[Date]])+1</f>
        <v>45748</v>
      </c>
      <c r="E23" s="108">
        <f t="shared" si="0"/>
        <v>30</v>
      </c>
      <c r="F23" s="109"/>
      <c r="G23" s="110"/>
      <c r="H23" s="110"/>
      <c r="I23" s="110"/>
      <c r="J23" s="110"/>
      <c r="K23" s="111"/>
      <c r="L23" s="110"/>
      <c r="M23" s="110">
        <f>IFERROR(_xlfn.XLOOKUP($A23,Input_Raw!$A:$A,Input_Raw!$CQ:$CQ),"")</f>
        <v>5.7152272727272724</v>
      </c>
      <c r="N23" s="110">
        <f>IFERROR(_xlfn.XLOOKUP($A23,Input_Raw!$A:$A,Input_Raw!$CR:$CR),"")</f>
        <v>7.01</v>
      </c>
      <c r="O23" s="141">
        <f t="shared" si="1"/>
        <v>0.99078840252990164</v>
      </c>
      <c r="P23" s="141">
        <f>IFERROR(1-SUMIF(WTG_BD!$F:$F,$A23,WTG_BD!$AA:$AA)/($AA23+SUMIF(WTG_BD!$F:$F,$A23,WTG_BD!$AA:$AA)),"")</f>
        <v>0.99078840252990164</v>
      </c>
      <c r="Q23" s="141">
        <f>IFERROR(1-SUMIF(IGA_BD!$F:$F,$A23,IGA_BD!$W:$W)/($AA23+SUMIF(IGA_BD!$F:$F,$A23,IGA_BD!$W:$W)),"")</f>
        <v>1</v>
      </c>
      <c r="R23" s="141">
        <f>IFERROR(1-SUMIF(Grid_BD!$F:$F,$A23,Grid_BD!$Y:$Y)/($AA23+SUMIF(Grid_BD!$F:$F,$A23,Grid_BD!$Y:$Y)),"")</f>
        <v>1</v>
      </c>
      <c r="S23" s="108"/>
      <c r="T23" s="140"/>
      <c r="U23" s="141"/>
      <c r="V23" s="108"/>
      <c r="W23" s="142">
        <f t="shared" si="2"/>
        <v>0.18728574810606058</v>
      </c>
      <c r="X23" s="108">
        <f>IFERROR(_xlfn.XLOOKUP($A23,Input_Raw!$A:$A,Input_Raw!$CP:$CP)*1000,"")</f>
        <v>316438</v>
      </c>
      <c r="Y23" s="108">
        <f>IFERROR(_xlfn.XLOOKUP($A23,Input_Raw!$A:$A,Input_Raw!DJ:DJ)*1000,"")</f>
        <v>316438</v>
      </c>
      <c r="Z23" s="108">
        <f>IFERROR(_xlfn.XLOOKUP($A23,Input_Raw!$A:$A,Input_Raw!DK:DK)*1000,"")</f>
        <v>0</v>
      </c>
      <c r="AA23" s="138">
        <f t="shared" si="3"/>
        <v>316438</v>
      </c>
      <c r="AB23" s="108">
        <f>IFERROR(_xlfn.XLOOKUP($A23,Input_Raw!$A:$A,Input_Raw!$DR:$DR),"")</f>
        <v>70.400000000000006</v>
      </c>
      <c r="AC23" s="143">
        <f>IFERROR(_xlfn.XLOOKUP($D23,'Modelling New'!$D:$D,'Modelling New'!$J:$J),"")</f>
        <v>5.22</v>
      </c>
      <c r="AD23" s="138">
        <f>IFERROR(_xlfn.XLOOKUP($D23,'Modelling New'!$D:$D,'Modelling New'!$T:$T)*1000,"")</f>
        <v>228113.28141262796</v>
      </c>
      <c r="AE23" s="142"/>
      <c r="AF23" s="142">
        <f>IFERROR(_xlfn.XLOOKUP($D23,'Modelling New'!$D:$D,'Modelling New'!$W:$W),"")</f>
        <v>0.13501022810879967</v>
      </c>
      <c r="AG23" s="142">
        <f>IFERROR(_xlfn.XLOOKUP($D23,'Modelling New'!$D:$D,'Modelling New'!$AE:$AE),"")</f>
        <v>0.96029999999999993</v>
      </c>
      <c r="AH23" s="142">
        <f>IFERROR(_xlfn.XLOOKUP($D23,'Modelling New'!$D:$D,'Modelling New'!$AF:$AF),"")</f>
        <v>0.995</v>
      </c>
      <c r="AI23" s="109">
        <f>IFERROR(_xlfn.XLOOKUP($A23,Input_Raw!$A:$A,Input_Raw!$DP:$DP),"")</f>
        <v>305.33</v>
      </c>
      <c r="AJ23" s="108"/>
      <c r="AK23" s="108"/>
      <c r="AL23" s="108"/>
      <c r="AM23" s="108"/>
      <c r="AN23" s="132">
        <f>IFERROR(_xlfn.XLOOKUP($A23,Input_Raw!$A:$A,Input_Raw!$DL:$DL),"")</f>
        <v>0</v>
      </c>
      <c r="AO23" s="142">
        <f>IFERROR((_xlfn.XLOOKUP($A23,'WTG Reactive Power'!$A:$A,'WTG Reactive Power'!$AW:$AW))/X23,"")</f>
        <v>1.9998683891736565E-4</v>
      </c>
      <c r="AP23" s="142">
        <f>IFERROR(_xlfn.XLOOKUP($D23,'Modelling New'!$D:$D,'Modelling New'!$AK:$AK),"")</f>
        <v>0.05</v>
      </c>
      <c r="AQ23" s="142">
        <f>IFERROR(_xlfn.XLOOKUP($D23,'Modelling New'!$D:$D,'Modelling New'!$AL:$AL),"")</f>
        <v>0.05</v>
      </c>
      <c r="AR23" s="198">
        <f>IFERROR(_xlfn.XLOOKUP($D23,'Modelling New'!$D:$D,'Modelling New'!$N:$N),"")</f>
        <v>70.400000000000006</v>
      </c>
      <c r="AS23" s="198"/>
    </row>
    <row r="24" spans="1:45">
      <c r="A24" s="137">
        <f t="shared" si="4"/>
        <v>45767</v>
      </c>
      <c r="B24" s="138">
        <f>YEAR(Daily_KPI[[#This Row],[Date]])+IF(MONTH(Daily_KPI[[#This Row],[Date]])&gt;=4,1,0)</f>
        <v>2026</v>
      </c>
      <c r="C24" s="108">
        <f>YEAR(Daily_KPI[[#This Row],[Date]])</f>
        <v>2025</v>
      </c>
      <c r="D24" s="139">
        <f>Daily_KPI[[#This Row],[Date]]-DAY(Daily_KPI[[#This Row],[Date]])+1</f>
        <v>45748</v>
      </c>
      <c r="E24" s="108">
        <f t="shared" ref="E24" si="5">DAY(EOMONTH(A24,0))</f>
        <v>30</v>
      </c>
      <c r="F24" s="109"/>
      <c r="G24" s="110"/>
      <c r="H24" s="110"/>
      <c r="I24" s="110"/>
      <c r="J24" s="110"/>
      <c r="K24" s="111"/>
      <c r="L24" s="110"/>
      <c r="M24" s="110">
        <f>IFERROR(_xlfn.XLOOKUP($A24,Input_Raw!$A:$A,Input_Raw!$CQ:$CQ),"")</f>
        <v>5.1234090909090906</v>
      </c>
      <c r="N24" s="110">
        <f>IFERROR(_xlfn.XLOOKUP($A24,Input_Raw!$A:$A,Input_Raw!$CR:$CR),"")</f>
        <v>6.58</v>
      </c>
      <c r="O24" s="141">
        <f t="shared" ref="O24" si="6">IFERROR(P24*Q24,"")</f>
        <v>1</v>
      </c>
      <c r="P24" s="141">
        <f>IFERROR(1-SUMIF(WTG_BD!$F:$F,$A24,WTG_BD!$AA:$AA)/($AA24+SUMIF(WTG_BD!$F:$F,$A24,WTG_BD!$AA:$AA)),"")</f>
        <v>1</v>
      </c>
      <c r="Q24" s="141">
        <f>IFERROR(1-SUMIF(IGA_BD!$F:$F,$A24,IGA_BD!$W:$W)/($AA24+SUMIF(IGA_BD!$F:$F,$A24,IGA_BD!$W:$W)),"")</f>
        <v>1</v>
      </c>
      <c r="R24" s="141">
        <f>IFERROR(1-SUMIF(Grid_BD!$F:$F,$A24,Grid_BD!$Y:$Y)/($AA24+SUMIF(Grid_BD!$F:$F,$A24,Grid_BD!$Y:$Y)),"")</f>
        <v>1</v>
      </c>
      <c r="S24" s="108"/>
      <c r="T24" s="140"/>
      <c r="U24" s="141"/>
      <c r="V24" s="108"/>
      <c r="W24" s="142">
        <f t="shared" ref="W24" si="7">IFERROR(X24/(24*AB24*1000),"")</f>
        <v>0.18021129261363633</v>
      </c>
      <c r="X24" s="108">
        <f>IFERROR(_xlfn.XLOOKUP($A24,Input_Raw!$A:$A,Input_Raw!$CP:$CP)*1000,"")</f>
        <v>304485</v>
      </c>
      <c r="Y24" s="108">
        <f>IFERROR(_xlfn.XLOOKUP($A24,Input_Raw!$A:$A,Input_Raw!DJ:DJ)*1000,"")</f>
        <v>304485</v>
      </c>
      <c r="Z24" s="108">
        <f>IFERROR(_xlfn.XLOOKUP($A24,Input_Raw!$A:$A,Input_Raw!DK:DK)*1000,"")</f>
        <v>0</v>
      </c>
      <c r="AA24" s="138">
        <f t="shared" ref="AA24" si="8">IFERROR(Y24-Z24,"")</f>
        <v>304485</v>
      </c>
      <c r="AB24" s="108">
        <f>IFERROR(_xlfn.XLOOKUP($A24,Input_Raw!$A:$A,Input_Raw!$DR:$DR),"")</f>
        <v>70.400000000000006</v>
      </c>
      <c r="AC24" s="143">
        <f>IFERROR(_xlfn.XLOOKUP($D24,'Modelling New'!$D:$D,'Modelling New'!$J:$J),"")</f>
        <v>5.22</v>
      </c>
      <c r="AD24" s="138">
        <f>IFERROR(_xlfn.XLOOKUP($D24,'Modelling New'!$D:$D,'Modelling New'!$T:$T)*1000,"")</f>
        <v>228113.28141262796</v>
      </c>
      <c r="AE24" s="142"/>
      <c r="AF24" s="142">
        <f>IFERROR(_xlfn.XLOOKUP($D24,'Modelling New'!$D:$D,'Modelling New'!$W:$W),"")</f>
        <v>0.13501022810879967</v>
      </c>
      <c r="AG24" s="142">
        <f>IFERROR(_xlfn.XLOOKUP($D24,'Modelling New'!$D:$D,'Modelling New'!$AE:$AE),"")</f>
        <v>0.96029999999999993</v>
      </c>
      <c r="AH24" s="142">
        <f>IFERROR(_xlfn.XLOOKUP($D24,'Modelling New'!$D:$D,'Modelling New'!$AF:$AF),"")</f>
        <v>0.995</v>
      </c>
      <c r="AI24" s="109">
        <f>IFERROR(_xlfn.XLOOKUP($A24,Input_Raw!$A:$A,Input_Raw!$DP:$DP),"")</f>
        <v>290.89999999999998</v>
      </c>
      <c r="AJ24" s="108"/>
      <c r="AK24" s="108"/>
      <c r="AL24" s="108"/>
      <c r="AM24" s="108"/>
      <c r="AN24" s="132">
        <f>IFERROR(_xlfn.XLOOKUP($A24,Input_Raw!$A:$A,Input_Raw!$DL:$DL),"")</f>
        <v>0</v>
      </c>
      <c r="AO24" s="142">
        <f>IFERROR((_xlfn.XLOOKUP($A24,'WTG Reactive Power'!$A:$A,'WTG Reactive Power'!$AW:$AW))/X24,"")</f>
        <v>1.9918635181809724E-4</v>
      </c>
      <c r="AP24" s="142">
        <f>IFERROR(_xlfn.XLOOKUP($D24,'Modelling New'!$D:$D,'Modelling New'!$AK:$AK),"")</f>
        <v>0.05</v>
      </c>
      <c r="AQ24" s="142">
        <f>IFERROR(_xlfn.XLOOKUP($D24,'Modelling New'!$D:$D,'Modelling New'!$AL:$AL),"")</f>
        <v>0.05</v>
      </c>
      <c r="AR24" s="198">
        <f>IFERROR(_xlfn.XLOOKUP($D24,'Modelling New'!$D:$D,'Modelling New'!$N:$N),"")</f>
        <v>70.400000000000006</v>
      </c>
      <c r="AS24" s="198"/>
    </row>
    <row r="25" spans="1:45">
      <c r="A25" s="137">
        <f t="shared" si="4"/>
        <v>45768</v>
      </c>
      <c r="B25" s="138">
        <f>YEAR(Daily_KPI[[#This Row],[Date]])+IF(MONTH(Daily_KPI[[#This Row],[Date]])&gt;=4,1,0)</f>
        <v>2026</v>
      </c>
      <c r="C25" s="108">
        <f>YEAR(Daily_KPI[[#This Row],[Date]])</f>
        <v>2025</v>
      </c>
      <c r="D25" s="139">
        <f>Daily_KPI[[#This Row],[Date]]-DAY(Daily_KPI[[#This Row],[Date]])+1</f>
        <v>45748</v>
      </c>
      <c r="E25" s="108">
        <f t="shared" si="0"/>
        <v>30</v>
      </c>
      <c r="F25" s="109"/>
      <c r="G25" s="110"/>
      <c r="H25" s="110"/>
      <c r="I25" s="110"/>
      <c r="J25" s="110"/>
      <c r="K25" s="111"/>
      <c r="L25" s="110"/>
      <c r="M25" s="110">
        <f>IFERROR(_xlfn.XLOOKUP($A25,Input_Raw!$A:$A,Input_Raw!$CQ:$CQ),"")</f>
        <v>4.497727272727273</v>
      </c>
      <c r="N25" s="110">
        <f>IFERROR(_xlfn.XLOOKUP($A25,Input_Raw!$A:$A,Input_Raw!$CR:$CR),"")</f>
        <v>5.55</v>
      </c>
      <c r="O25" s="141">
        <f t="shared" si="1"/>
        <v>0.9820672619711871</v>
      </c>
      <c r="P25" s="141">
        <f>IFERROR(1-SUMIF(WTG_BD!$F:$F,$A25,WTG_BD!$AA:$AA)/($AA25+SUMIF(WTG_BD!$F:$F,$A25,WTG_BD!$AA:$AA)),"")</f>
        <v>0.99996329351553737</v>
      </c>
      <c r="Q25" s="141">
        <f>IFERROR(1-SUMIF(IGA_BD!$F:$F,$A25,IGA_BD!$W:$W)/($AA25+SUMIF(IGA_BD!$F:$F,$A25,IGA_BD!$W:$W)),"")</f>
        <v>0.98210331153113251</v>
      </c>
      <c r="R25" s="141">
        <f>IFERROR(1-SUMIF(Grid_BD!$F:$F,$A25,Grid_BD!$Y:$Y)/($AA25+SUMIF(Grid_BD!$F:$F,$A25,Grid_BD!$Y:$Y)),"")</f>
        <v>1</v>
      </c>
      <c r="S25" s="108"/>
      <c r="T25" s="140"/>
      <c r="U25" s="141"/>
      <c r="V25" s="108"/>
      <c r="W25" s="142">
        <f t="shared" si="2"/>
        <v>0.11286399147727272</v>
      </c>
      <c r="X25" s="108">
        <f>IFERROR(_xlfn.XLOOKUP($A25,Input_Raw!$A:$A,Input_Raw!$CP:$CP)*1000,"")</f>
        <v>190695</v>
      </c>
      <c r="Y25" s="108">
        <f>IFERROR(_xlfn.XLOOKUP($A25,Input_Raw!$A:$A,Input_Raw!DJ:DJ)*1000,"")</f>
        <v>190695</v>
      </c>
      <c r="Z25" s="108">
        <f>IFERROR(_xlfn.XLOOKUP($A25,Input_Raw!$A:$A,Input_Raw!DK:DK)*1000,"")</f>
        <v>0</v>
      </c>
      <c r="AA25" s="138">
        <f t="shared" si="3"/>
        <v>190695</v>
      </c>
      <c r="AB25" s="108">
        <f>IFERROR(_xlfn.XLOOKUP($A25,Input_Raw!$A:$A,Input_Raw!$DR:$DR),"")</f>
        <v>70.400000000000006</v>
      </c>
      <c r="AC25" s="143">
        <f>IFERROR(_xlfn.XLOOKUP($D25,'Modelling New'!$D:$D,'Modelling New'!$J:$J),"")</f>
        <v>5.22</v>
      </c>
      <c r="AD25" s="138">
        <f>IFERROR(_xlfn.XLOOKUP($D25,'Modelling New'!$D:$D,'Modelling New'!$T:$T)*1000,"")</f>
        <v>228113.28141262796</v>
      </c>
      <c r="AE25" s="142"/>
      <c r="AF25" s="142">
        <f>IFERROR(_xlfn.XLOOKUP($D25,'Modelling New'!$D:$D,'Modelling New'!$W:$W),"")</f>
        <v>0.13501022810879967</v>
      </c>
      <c r="AG25" s="142">
        <f>IFERROR(_xlfn.XLOOKUP($D25,'Modelling New'!$D:$D,'Modelling New'!$AE:$AE),"")</f>
        <v>0.96029999999999993</v>
      </c>
      <c r="AH25" s="142">
        <f>IFERROR(_xlfn.XLOOKUP($D25,'Modelling New'!$D:$D,'Modelling New'!$AF:$AF),"")</f>
        <v>0.995</v>
      </c>
      <c r="AI25" s="109">
        <f>IFERROR(_xlfn.XLOOKUP($A25,Input_Raw!$A:$A,Input_Raw!$DP:$DP),"")</f>
        <v>186.07</v>
      </c>
      <c r="AJ25" s="108"/>
      <c r="AK25" s="108"/>
      <c r="AL25" s="108"/>
      <c r="AM25" s="108"/>
      <c r="AN25" s="132">
        <f>IFERROR(_xlfn.XLOOKUP($A25,Input_Raw!$A:$A,Input_Raw!$DL:$DL),"")</f>
        <v>0</v>
      </c>
      <c r="AO25" s="142">
        <f>IFERROR((_xlfn.XLOOKUP($A25,'WTG Reactive Power'!$A:$A,'WTG Reactive Power'!$AW:$AW))/X25,"")</f>
        <v>2.0274299273709319E-4</v>
      </c>
      <c r="AP25" s="142">
        <f>IFERROR(_xlfn.XLOOKUP($D25,'Modelling New'!$D:$D,'Modelling New'!$AK:$AK),"")</f>
        <v>0.05</v>
      </c>
      <c r="AQ25" s="142">
        <f>IFERROR(_xlfn.XLOOKUP($D25,'Modelling New'!$D:$D,'Modelling New'!$AL:$AL),"")</f>
        <v>0.05</v>
      </c>
      <c r="AR25" s="198">
        <f>IFERROR(_xlfn.XLOOKUP($D25,'Modelling New'!$D:$D,'Modelling New'!$N:$N),"")</f>
        <v>70.400000000000006</v>
      </c>
      <c r="AS25" s="198"/>
    </row>
    <row r="26" spans="1:45">
      <c r="A26" s="137">
        <f t="shared" si="4"/>
        <v>45769</v>
      </c>
      <c r="B26" s="138">
        <f>YEAR(Daily_KPI[[#This Row],[Date]])+IF(MONTH(Daily_KPI[[#This Row],[Date]])&gt;=4,1,0)</f>
        <v>2026</v>
      </c>
      <c r="C26" s="108">
        <f>YEAR(Daily_KPI[[#This Row],[Date]])</f>
        <v>2025</v>
      </c>
      <c r="D26" s="139">
        <f>Daily_KPI[[#This Row],[Date]]-DAY(Daily_KPI[[#This Row],[Date]])+1</f>
        <v>45748</v>
      </c>
      <c r="E26" s="108">
        <f t="shared" si="0"/>
        <v>30</v>
      </c>
      <c r="F26" s="109"/>
      <c r="G26" s="143"/>
      <c r="H26" s="143"/>
      <c r="I26" s="143"/>
      <c r="J26" s="143"/>
      <c r="K26" s="111"/>
      <c r="L26" s="110"/>
      <c r="M26" s="110">
        <f>IFERROR(_xlfn.XLOOKUP($A26,Input_Raw!$A:$A,Input_Raw!$CQ:$CQ),"")</f>
        <v>4.2565909090909084</v>
      </c>
      <c r="N26" s="110">
        <f>IFERROR(_xlfn.XLOOKUP($A26,Input_Raw!$A:$A,Input_Raw!$CR:$CR),"")</f>
        <v>5.27</v>
      </c>
      <c r="O26" s="141">
        <f t="shared" si="1"/>
        <v>0.9795493214941482</v>
      </c>
      <c r="P26" s="141">
        <f>IFERROR(1-SUMIF(WTG_BD!$F:$F,$A26,WTG_BD!$AA:$AA)/($AA26+SUMIF(WTG_BD!$F:$F,$A26,WTG_BD!$AA:$AA)),"")</f>
        <v>0.99559825241604305</v>
      </c>
      <c r="Q26" s="141">
        <f>IFERROR(1-SUMIF(IGA_BD!$F:$F,$A26,IGA_BD!$W:$W)/($AA26+SUMIF(IGA_BD!$F:$F,$A26,IGA_BD!$W:$W)),"")</f>
        <v>0.98388011340623738</v>
      </c>
      <c r="R26" s="141">
        <f>IFERROR(1-SUMIF(Grid_BD!$F:$F,$A26,Grid_BD!$Y:$Y)/($AA26+SUMIF(Grid_BD!$F:$F,$A26,Grid_BD!$Y:$Y)),"")</f>
        <v>0.85187263290784121</v>
      </c>
      <c r="S26" s="108"/>
      <c r="T26" s="140"/>
      <c r="U26" s="141"/>
      <c r="V26" s="108"/>
      <c r="W26" s="142">
        <f t="shared" si="2"/>
        <v>7.1886837121212105E-2</v>
      </c>
      <c r="X26" s="108">
        <f>IFERROR(_xlfn.XLOOKUP($A26,Input_Raw!$A:$A,Input_Raw!$CP:$CP)*1000,"")</f>
        <v>121460</v>
      </c>
      <c r="Y26" s="108">
        <f>IFERROR(_xlfn.XLOOKUP($A26,Input_Raw!$A:$A,Input_Raw!DJ:DJ)*1000,"")</f>
        <v>121460.00000000001</v>
      </c>
      <c r="Z26" s="108">
        <f>IFERROR(_xlfn.XLOOKUP($A26,Input_Raw!$A:$A,Input_Raw!DK:DK)*1000,"")</f>
        <v>0</v>
      </c>
      <c r="AA26" s="138">
        <f t="shared" si="3"/>
        <v>121460.00000000001</v>
      </c>
      <c r="AB26" s="108">
        <f>IFERROR(_xlfn.XLOOKUP($A26,Input_Raw!$A:$A,Input_Raw!$DR:$DR),"")</f>
        <v>70.400000000000006</v>
      </c>
      <c r="AC26" s="143">
        <f>IFERROR(_xlfn.XLOOKUP($D26,'Modelling New'!$D:$D,'Modelling New'!$J:$J),"")</f>
        <v>5.22</v>
      </c>
      <c r="AD26" s="138">
        <f>IFERROR(_xlfn.XLOOKUP($D26,'Modelling New'!$D:$D,'Modelling New'!$T:$T)*1000,"")</f>
        <v>228113.28141262796</v>
      </c>
      <c r="AE26" s="142"/>
      <c r="AF26" s="142">
        <f>IFERROR(_xlfn.XLOOKUP($D26,'Modelling New'!$D:$D,'Modelling New'!$W:$W),"")</f>
        <v>0.13501022810879967</v>
      </c>
      <c r="AG26" s="142">
        <f>IFERROR(_xlfn.XLOOKUP($D26,'Modelling New'!$D:$D,'Modelling New'!$AE:$AE),"")</f>
        <v>0.96029999999999993</v>
      </c>
      <c r="AH26" s="142">
        <f>IFERROR(_xlfn.XLOOKUP($D26,'Modelling New'!$D:$D,'Modelling New'!$AF:$AF),"")</f>
        <v>0.995</v>
      </c>
      <c r="AI26" s="109">
        <f>IFERROR(_xlfn.XLOOKUP($A26,Input_Raw!$A:$A,Input_Raw!$DP:$DP),"")</f>
        <v>123.66</v>
      </c>
      <c r="AJ26" s="108"/>
      <c r="AK26" s="108"/>
      <c r="AL26" s="108"/>
      <c r="AM26" s="108"/>
      <c r="AN26" s="132">
        <f>IFERROR(_xlfn.XLOOKUP($A26,Input_Raw!$A:$A,Input_Raw!$DL:$DL),"")</f>
        <v>2.2204460492503131E-16</v>
      </c>
      <c r="AO26" s="142">
        <f>IFERROR((_xlfn.XLOOKUP($A26,'WTG Reactive Power'!$A:$A,'WTG Reactive Power'!$AW:$AW))/X26,"")</f>
        <v>1.9907701438059169E-4</v>
      </c>
      <c r="AP26" s="142">
        <f>IFERROR(_xlfn.XLOOKUP($D26,'Modelling New'!$D:$D,'Modelling New'!$AK:$AK),"")</f>
        <v>0.05</v>
      </c>
      <c r="AQ26" s="142">
        <f>IFERROR(_xlfn.XLOOKUP($D26,'Modelling New'!$D:$D,'Modelling New'!$AL:$AL),"")</f>
        <v>0.05</v>
      </c>
      <c r="AR26" s="198">
        <f>IFERROR(_xlfn.XLOOKUP($D26,'Modelling New'!$D:$D,'Modelling New'!$N:$N),"")</f>
        <v>70.400000000000006</v>
      </c>
      <c r="AS26" s="198"/>
    </row>
    <row r="27" spans="1:45">
      <c r="A27" s="137">
        <f t="shared" si="4"/>
        <v>45770</v>
      </c>
      <c r="B27" s="138">
        <f>YEAR(Daily_KPI[[#This Row],[Date]])+IF(MONTH(Daily_KPI[[#This Row],[Date]])&gt;=4,1,0)</f>
        <v>2026</v>
      </c>
      <c r="C27" s="108">
        <f>YEAR(Daily_KPI[[#This Row],[Date]])</f>
        <v>2025</v>
      </c>
      <c r="D27" s="139">
        <f>Daily_KPI[[#This Row],[Date]]-DAY(Daily_KPI[[#This Row],[Date]])+1</f>
        <v>45748</v>
      </c>
      <c r="E27" s="108">
        <f t="shared" si="0"/>
        <v>30</v>
      </c>
      <c r="F27" s="109"/>
      <c r="G27" s="110"/>
      <c r="H27" s="110"/>
      <c r="I27" s="110"/>
      <c r="J27" s="110"/>
      <c r="K27" s="111"/>
      <c r="L27" s="110"/>
      <c r="M27" s="110">
        <f>IFERROR(_xlfn.XLOOKUP($A27,Input_Raw!$A:$A,Input_Raw!$CQ:$CQ),"")</f>
        <v>4.6352272727272723</v>
      </c>
      <c r="N27" s="110">
        <f>IFERROR(_xlfn.XLOOKUP($A27,Input_Raw!$A:$A,Input_Raw!$CR:$CR),"")</f>
        <v>5.79</v>
      </c>
      <c r="O27" s="141">
        <f t="shared" si="1"/>
        <v>0.93984720427751012</v>
      </c>
      <c r="P27" s="141">
        <f>IFERROR(1-SUMIF(WTG_BD!$F:$F,$A27,WTG_BD!$AA:$AA)/($AA27+SUMIF(WTG_BD!$F:$F,$A27,WTG_BD!$AA:$AA)),"")</f>
        <v>0.98417001320933883</v>
      </c>
      <c r="Q27" s="141">
        <f>IFERROR(1-SUMIF(IGA_BD!$F:$F,$A27,IGA_BD!$W:$W)/($AA27+SUMIF(IGA_BD!$F:$F,$A27,IGA_BD!$W:$W)),"")</f>
        <v>0.95496427615459056</v>
      </c>
      <c r="R27" s="141">
        <f>IFERROR(1-SUMIF(Grid_BD!$F:$F,$A27,Grid_BD!$Y:$Y)/($AA27+SUMIF(Grid_BD!$F:$F,$A27,Grid_BD!$Y:$Y)),"")</f>
        <v>1</v>
      </c>
      <c r="S27" s="108"/>
      <c r="T27" s="140"/>
      <c r="U27" s="141"/>
      <c r="V27" s="108"/>
      <c r="W27" s="142">
        <f t="shared" si="2"/>
        <v>0.10980054450757575</v>
      </c>
      <c r="X27" s="108">
        <f>IFERROR(_xlfn.XLOOKUP($A27,Input_Raw!$A:$A,Input_Raw!$CP:$CP)*1000,"")</f>
        <v>185519</v>
      </c>
      <c r="Y27" s="108">
        <f>IFERROR(_xlfn.XLOOKUP($A27,Input_Raw!$A:$A,Input_Raw!DJ:DJ)*1000,"")</f>
        <v>185519</v>
      </c>
      <c r="Z27" s="108">
        <f>IFERROR(_xlfn.XLOOKUP($A27,Input_Raw!$A:$A,Input_Raw!DK:DK)*1000,"")</f>
        <v>0</v>
      </c>
      <c r="AA27" s="138">
        <f t="shared" si="3"/>
        <v>185519</v>
      </c>
      <c r="AB27" s="108">
        <f>IFERROR(_xlfn.XLOOKUP($A27,Input_Raw!$A:$A,Input_Raw!$DR:$DR),"")</f>
        <v>70.400000000000006</v>
      </c>
      <c r="AC27" s="143">
        <f>IFERROR(_xlfn.XLOOKUP($D27,'Modelling New'!$D:$D,'Modelling New'!$J:$J),"")</f>
        <v>5.22</v>
      </c>
      <c r="AD27" s="138">
        <f>IFERROR(_xlfn.XLOOKUP($D27,'Modelling New'!$D:$D,'Modelling New'!$T:$T)*1000,"")</f>
        <v>228113.28141262796</v>
      </c>
      <c r="AE27" s="142"/>
      <c r="AF27" s="142">
        <f>IFERROR(_xlfn.XLOOKUP($D27,'Modelling New'!$D:$D,'Modelling New'!$W:$W),"")</f>
        <v>0.13501022810879967</v>
      </c>
      <c r="AG27" s="142">
        <f>IFERROR(_xlfn.XLOOKUP($D27,'Modelling New'!$D:$D,'Modelling New'!$AE:$AE),"")</f>
        <v>0.96029999999999993</v>
      </c>
      <c r="AH27" s="142">
        <f>IFERROR(_xlfn.XLOOKUP($D27,'Modelling New'!$D:$D,'Modelling New'!$AF:$AF),"")</f>
        <v>0.995</v>
      </c>
      <c r="AI27" s="109">
        <f>IFERROR(_xlfn.XLOOKUP($A27,Input_Raw!$A:$A,Input_Raw!$DP:$DP),"")</f>
        <v>185.49</v>
      </c>
      <c r="AJ27" s="108"/>
      <c r="AK27" s="108"/>
      <c r="AL27" s="108"/>
      <c r="AM27" s="108"/>
      <c r="AN27" s="132">
        <f>IFERROR(_xlfn.XLOOKUP($A27,Input_Raw!$A:$A,Input_Raw!$DL:$DL),"")</f>
        <v>0</v>
      </c>
      <c r="AO27" s="142">
        <f>IFERROR((_xlfn.XLOOKUP($A27,'WTG Reactive Power'!$A:$A,'WTG Reactive Power'!$AW:$AW))/X27,"")</f>
        <v>1.8483451739893667E-4</v>
      </c>
      <c r="AP27" s="142">
        <f>IFERROR(_xlfn.XLOOKUP($D27,'Modelling New'!$D:$D,'Modelling New'!$AK:$AK),"")</f>
        <v>0.05</v>
      </c>
      <c r="AQ27" s="142">
        <f>IFERROR(_xlfn.XLOOKUP($D27,'Modelling New'!$D:$D,'Modelling New'!$AL:$AL),"")</f>
        <v>0.05</v>
      </c>
      <c r="AR27" s="198">
        <f>IFERROR(_xlfn.XLOOKUP($D27,'Modelling New'!$D:$D,'Modelling New'!$N:$N),"")</f>
        <v>70.400000000000006</v>
      </c>
      <c r="AS27" s="198"/>
    </row>
    <row r="28" spans="1:45">
      <c r="A28" s="137">
        <f t="shared" si="4"/>
        <v>45771</v>
      </c>
      <c r="B28" s="138">
        <f>YEAR(Daily_KPI[[#This Row],[Date]])+IF(MONTH(Daily_KPI[[#This Row],[Date]])&gt;=4,1,0)</f>
        <v>2026</v>
      </c>
      <c r="C28" s="108">
        <f>YEAR(Daily_KPI[[#This Row],[Date]])</f>
        <v>2025</v>
      </c>
      <c r="D28" s="139">
        <f>Daily_KPI[[#This Row],[Date]]-DAY(Daily_KPI[[#This Row],[Date]])+1</f>
        <v>45748</v>
      </c>
      <c r="E28" s="108">
        <f t="shared" si="0"/>
        <v>30</v>
      </c>
      <c r="F28" s="109"/>
      <c r="G28" s="143"/>
      <c r="H28" s="143"/>
      <c r="I28" s="143"/>
      <c r="J28" s="143"/>
      <c r="K28" s="111"/>
      <c r="L28" s="110"/>
      <c r="M28" s="110">
        <f>IFERROR(_xlfn.XLOOKUP($A28,Input_Raw!$A:$A,Input_Raw!$CQ:$CQ),"")</f>
        <v>4.6136363636363633</v>
      </c>
      <c r="N28" s="110">
        <f>IFERROR(_xlfn.XLOOKUP($A28,Input_Raw!$A:$A,Input_Raw!$CR:$CR),"")</f>
        <v>5.65</v>
      </c>
      <c r="O28" s="141">
        <f t="shared" si="1"/>
        <v>0.94428950008137524</v>
      </c>
      <c r="P28" s="141">
        <f>IFERROR(1-SUMIF(WTG_BD!$F:$F,$A28,WTG_BD!$AA:$AA)/($AA28+SUMIF(WTG_BD!$F:$F,$A28,WTG_BD!$AA:$AA)),"")</f>
        <v>0.99177260560462466</v>
      </c>
      <c r="Q28" s="141">
        <f>IFERROR(1-SUMIF(IGA_BD!$F:$F,$A28,IGA_BD!$W:$W)/($AA28+SUMIF(IGA_BD!$F:$F,$A28,IGA_BD!$W:$W)),"")</f>
        <v>0.95212299144489698</v>
      </c>
      <c r="R28" s="141">
        <f>IFERROR(1-SUMIF(Grid_BD!$F:$F,$A28,Grid_BD!$Y:$Y)/($AA28+SUMIF(Grid_BD!$F:$F,$A28,Grid_BD!$Y:$Y)),"")</f>
        <v>1</v>
      </c>
      <c r="S28" s="108"/>
      <c r="T28" s="140"/>
      <c r="U28" s="141"/>
      <c r="V28" s="108"/>
      <c r="W28" s="142">
        <f t="shared" si="2"/>
        <v>8.9253077651515134E-2</v>
      </c>
      <c r="X28" s="108">
        <f>IFERROR(_xlfn.XLOOKUP($A28,Input_Raw!$A:$A,Input_Raw!$CP:$CP)*1000,"")</f>
        <v>150802</v>
      </c>
      <c r="Y28" s="108">
        <f>IFERROR(_xlfn.XLOOKUP($A28,Input_Raw!$A:$A,Input_Raw!DJ:DJ)*1000,"")</f>
        <v>150802.00000000003</v>
      </c>
      <c r="Z28" s="108">
        <f>IFERROR(_xlfn.XLOOKUP($A28,Input_Raw!$A:$A,Input_Raw!DK:DK)*1000,"")</f>
        <v>0</v>
      </c>
      <c r="AA28" s="138">
        <f t="shared" si="3"/>
        <v>150802.00000000003</v>
      </c>
      <c r="AB28" s="108">
        <f>IFERROR(_xlfn.XLOOKUP($A28,Input_Raw!$A:$A,Input_Raw!$DR:$DR),"")</f>
        <v>70.400000000000006</v>
      </c>
      <c r="AC28" s="143">
        <f>IFERROR(_xlfn.XLOOKUP($D28,'Modelling New'!$D:$D,'Modelling New'!$J:$J),"")</f>
        <v>5.22</v>
      </c>
      <c r="AD28" s="138">
        <f>IFERROR(_xlfn.XLOOKUP($D28,'Modelling New'!$D:$D,'Modelling New'!$T:$T)*1000,"")</f>
        <v>228113.28141262796</v>
      </c>
      <c r="AE28" s="142"/>
      <c r="AF28" s="142">
        <f>IFERROR(_xlfn.XLOOKUP($D28,'Modelling New'!$D:$D,'Modelling New'!$W:$W),"")</f>
        <v>0.13501022810879967</v>
      </c>
      <c r="AG28" s="142">
        <f>IFERROR(_xlfn.XLOOKUP($D28,'Modelling New'!$D:$D,'Modelling New'!$AE:$AE),"")</f>
        <v>0.96029999999999993</v>
      </c>
      <c r="AH28" s="142">
        <f>IFERROR(_xlfn.XLOOKUP($D28,'Modelling New'!$D:$D,'Modelling New'!$AF:$AF),"")</f>
        <v>0.995</v>
      </c>
      <c r="AI28" s="109">
        <f>IFERROR(_xlfn.XLOOKUP($A28,Input_Raw!$A:$A,Input_Raw!$DP:$DP),"")</f>
        <v>152.06</v>
      </c>
      <c r="AJ28" s="108"/>
      <c r="AK28" s="108"/>
      <c r="AL28" s="108"/>
      <c r="AM28" s="108"/>
      <c r="AN28" s="132">
        <f>IFERROR(_xlfn.XLOOKUP($A28,Input_Raw!$A:$A,Input_Raw!$DL:$DL),"")</f>
        <v>2.2204460492503131E-16</v>
      </c>
      <c r="AO28" s="142">
        <f>IFERROR((_xlfn.XLOOKUP($A28,'WTG Reactive Power'!$A:$A,'WTG Reactive Power'!$AW:$AW))/X28,"")</f>
        <v>2.2738633992475785E-4</v>
      </c>
      <c r="AP28" s="142">
        <f>IFERROR(_xlfn.XLOOKUP($D28,'Modelling New'!$D:$D,'Modelling New'!$AK:$AK),"")</f>
        <v>0.05</v>
      </c>
      <c r="AQ28" s="142">
        <f>IFERROR(_xlfn.XLOOKUP($D28,'Modelling New'!$D:$D,'Modelling New'!$AL:$AL),"")</f>
        <v>0.05</v>
      </c>
      <c r="AR28" s="198">
        <f>IFERROR(_xlfn.XLOOKUP($D28,'Modelling New'!$D:$D,'Modelling New'!$N:$N),"")</f>
        <v>70.400000000000006</v>
      </c>
      <c r="AS28" s="198"/>
    </row>
    <row r="29" spans="1:45">
      <c r="A29" s="137">
        <f t="shared" si="4"/>
        <v>45772</v>
      </c>
      <c r="B29" s="138">
        <f>YEAR(Daily_KPI[[#This Row],[Date]])+IF(MONTH(Daily_KPI[[#This Row],[Date]])&gt;=4,1,0)</f>
        <v>2026</v>
      </c>
      <c r="C29" s="108">
        <f>YEAR(Daily_KPI[[#This Row],[Date]])</f>
        <v>2025</v>
      </c>
      <c r="D29" s="139">
        <f>Daily_KPI[[#This Row],[Date]]-DAY(Daily_KPI[[#This Row],[Date]])+1</f>
        <v>45748</v>
      </c>
      <c r="E29" s="108">
        <f t="shared" si="0"/>
        <v>30</v>
      </c>
      <c r="F29" s="109"/>
      <c r="G29" s="110"/>
      <c r="H29" s="110"/>
      <c r="I29" s="110"/>
      <c r="J29" s="110"/>
      <c r="K29" s="111"/>
      <c r="L29" s="110"/>
      <c r="M29" s="110">
        <f>IFERROR(_xlfn.XLOOKUP($A29,Input_Raw!$A:$A,Input_Raw!$CQ:$CQ),"")</f>
        <v>4.5420454545454554</v>
      </c>
      <c r="N29" s="110">
        <f>IFERROR(_xlfn.XLOOKUP($A29,Input_Raw!$A:$A,Input_Raw!$CR:$CR),"")</f>
        <v>5.76</v>
      </c>
      <c r="O29" s="141">
        <f t="shared" si="1"/>
        <v>0.97236999594266282</v>
      </c>
      <c r="P29" s="141">
        <f>IFERROR(1-SUMIF(WTG_BD!$F:$F,$A29,WTG_BD!$AA:$AA)/($AA29+SUMIF(WTG_BD!$F:$F,$A29,WTG_BD!$AA:$AA)),"")</f>
        <v>0.98557413884963752</v>
      </c>
      <c r="Q29" s="141">
        <f>IFERROR(1-SUMIF(IGA_BD!$F:$F,$A29,IGA_BD!$W:$W)/($AA29+SUMIF(IGA_BD!$F:$F,$A29,IGA_BD!$W:$W)),"")</f>
        <v>0.98660258788609589</v>
      </c>
      <c r="R29" s="141">
        <f>IFERROR(1-SUMIF(Grid_BD!$F:$F,$A29,Grid_BD!$Y:$Y)/($AA29+SUMIF(Grid_BD!$F:$F,$A29,Grid_BD!$Y:$Y)),"")</f>
        <v>1</v>
      </c>
      <c r="S29" s="108"/>
      <c r="T29" s="140"/>
      <c r="U29" s="141"/>
      <c r="V29" s="108"/>
      <c r="W29" s="142">
        <f t="shared" si="2"/>
        <v>0.10072502367424241</v>
      </c>
      <c r="X29" s="108">
        <f>IFERROR(_xlfn.XLOOKUP($A29,Input_Raw!$A:$A,Input_Raw!$CP:$CP)*1000,"")</f>
        <v>170185</v>
      </c>
      <c r="Y29" s="108">
        <f>IFERROR(_xlfn.XLOOKUP($A29,Input_Raw!$A:$A,Input_Raw!DJ:DJ)*1000,"")</f>
        <v>170185</v>
      </c>
      <c r="Z29" s="108">
        <f>IFERROR(_xlfn.XLOOKUP($A29,Input_Raw!$A:$A,Input_Raw!DK:DK)*1000,"")</f>
        <v>0</v>
      </c>
      <c r="AA29" s="138">
        <f t="shared" si="3"/>
        <v>170185</v>
      </c>
      <c r="AB29" s="108">
        <f>IFERROR(_xlfn.XLOOKUP($A29,Input_Raw!$A:$A,Input_Raw!$DR:$DR),"")</f>
        <v>70.400000000000006</v>
      </c>
      <c r="AC29" s="143">
        <f>IFERROR(_xlfn.XLOOKUP($D29,'Modelling New'!$D:$D,'Modelling New'!$J:$J),"")</f>
        <v>5.22</v>
      </c>
      <c r="AD29" s="138">
        <f>IFERROR(_xlfn.XLOOKUP($D29,'Modelling New'!$D:$D,'Modelling New'!$T:$T)*1000,"")</f>
        <v>228113.28141262796</v>
      </c>
      <c r="AE29" s="142"/>
      <c r="AF29" s="142">
        <f>IFERROR(_xlfn.XLOOKUP($D29,'Modelling New'!$D:$D,'Modelling New'!$W:$W),"")</f>
        <v>0.13501022810879967</v>
      </c>
      <c r="AG29" s="142">
        <f>IFERROR(_xlfn.XLOOKUP($D29,'Modelling New'!$D:$D,'Modelling New'!$AE:$AE),"")</f>
        <v>0.96029999999999993</v>
      </c>
      <c r="AH29" s="142">
        <f>IFERROR(_xlfn.XLOOKUP($D29,'Modelling New'!$D:$D,'Modelling New'!$AF:$AF),"")</f>
        <v>0.995</v>
      </c>
      <c r="AI29" s="109">
        <f>IFERROR(_xlfn.XLOOKUP($A29,Input_Raw!$A:$A,Input_Raw!$DP:$DP),"")</f>
        <v>173.65</v>
      </c>
      <c r="AJ29" s="108"/>
      <c r="AK29" s="108"/>
      <c r="AL29" s="108"/>
      <c r="AM29" s="108"/>
      <c r="AN29" s="132">
        <f>IFERROR(_xlfn.XLOOKUP($A29,Input_Raw!$A:$A,Input_Raw!$DL:$DL),"")</f>
        <v>0</v>
      </c>
      <c r="AO29" s="142">
        <f>IFERROR((_xlfn.XLOOKUP($A29,'WTG Reactive Power'!$A:$A,'WTG Reactive Power'!$AW:$AW))/X29,"")</f>
        <v>2.0267898953100068E-4</v>
      </c>
      <c r="AP29" s="142">
        <f>IFERROR(_xlfn.XLOOKUP($D29,'Modelling New'!$D:$D,'Modelling New'!$AK:$AK),"")</f>
        <v>0.05</v>
      </c>
      <c r="AQ29" s="142">
        <f>IFERROR(_xlfn.XLOOKUP($D29,'Modelling New'!$D:$D,'Modelling New'!$AL:$AL),"")</f>
        <v>0.05</v>
      </c>
      <c r="AR29" s="198">
        <f>IFERROR(_xlfn.XLOOKUP($D29,'Modelling New'!$D:$D,'Modelling New'!$N:$N),"")</f>
        <v>70.400000000000006</v>
      </c>
      <c r="AS29" s="198"/>
    </row>
    <row r="30" spans="1:45">
      <c r="A30" s="137">
        <f t="shared" si="4"/>
        <v>45773</v>
      </c>
      <c r="B30" s="138">
        <f>YEAR(Daily_KPI[[#This Row],[Date]])+IF(MONTH(Daily_KPI[[#This Row],[Date]])&gt;=4,1,0)</f>
        <v>2026</v>
      </c>
      <c r="C30" s="108">
        <f>YEAR(Daily_KPI[[#This Row],[Date]])</f>
        <v>2025</v>
      </c>
      <c r="D30" s="139">
        <f>Daily_KPI[[#This Row],[Date]]-DAY(Daily_KPI[[#This Row],[Date]])+1</f>
        <v>45748</v>
      </c>
      <c r="E30" s="108">
        <f t="shared" si="0"/>
        <v>30</v>
      </c>
      <c r="F30" s="109"/>
      <c r="G30" s="143"/>
      <c r="H30" s="143"/>
      <c r="I30" s="143"/>
      <c r="J30" s="143"/>
      <c r="K30" s="111"/>
      <c r="L30" s="110"/>
      <c r="M30" s="110">
        <f>IFERROR(_xlfn.XLOOKUP($A30,Input_Raw!$A:$A,Input_Raw!$CQ:$CQ),"")</f>
        <v>4.3224999999999998</v>
      </c>
      <c r="N30" s="110">
        <f>IFERROR(_xlfn.XLOOKUP($A30,Input_Raw!$A:$A,Input_Raw!$CR:$CR),"")</f>
        <v>5.12</v>
      </c>
      <c r="O30" s="141">
        <f t="shared" si="1"/>
        <v>0.90954621949039627</v>
      </c>
      <c r="P30" s="141">
        <f>IFERROR(1-SUMIF(WTG_BD!$F:$F,$A30,WTG_BD!$AA:$AA)/($AA30+SUMIF(WTG_BD!$F:$F,$A30,WTG_BD!$AA:$AA)),"")</f>
        <v>0.97984736546288087</v>
      </c>
      <c r="Q30" s="141">
        <f>IFERROR(1-SUMIF(IGA_BD!$F:$F,$A30,IGA_BD!$W:$W)/($AA30+SUMIF(IGA_BD!$F:$F,$A30,IGA_BD!$W:$W)),"")</f>
        <v>0.92825296219552089</v>
      </c>
      <c r="R30" s="141">
        <f>IFERROR(1-SUMIF(Grid_BD!$F:$F,$A30,Grid_BD!$Y:$Y)/($AA30+SUMIF(Grid_BD!$F:$F,$A30,Grid_BD!$Y:$Y)),"")</f>
        <v>1</v>
      </c>
      <c r="S30" s="108"/>
      <c r="T30" s="140"/>
      <c r="U30" s="141"/>
      <c r="V30" s="108"/>
      <c r="W30" s="142">
        <f t="shared" si="2"/>
        <v>8.5639796401515145E-2</v>
      </c>
      <c r="X30" s="108">
        <f>IFERROR(_xlfn.XLOOKUP($A30,Input_Raw!$A:$A,Input_Raw!$CP:$CP)*1000,"")</f>
        <v>144697</v>
      </c>
      <c r="Y30" s="108">
        <f>IFERROR(_xlfn.XLOOKUP($A30,Input_Raw!$A:$A,Input_Raw!DJ:DJ)*1000,"")</f>
        <v>144697</v>
      </c>
      <c r="Z30" s="108">
        <f>IFERROR(_xlfn.XLOOKUP($A30,Input_Raw!$A:$A,Input_Raw!DK:DK)*1000,"")</f>
        <v>0</v>
      </c>
      <c r="AA30" s="138">
        <f t="shared" si="3"/>
        <v>144697</v>
      </c>
      <c r="AB30" s="108">
        <f>IFERROR(_xlfn.XLOOKUP($A30,Input_Raw!$A:$A,Input_Raw!$DR:$DR),"")</f>
        <v>70.400000000000006</v>
      </c>
      <c r="AC30" s="143">
        <f>IFERROR(_xlfn.XLOOKUP($D30,'Modelling New'!$D:$D,'Modelling New'!$J:$J),"")</f>
        <v>5.22</v>
      </c>
      <c r="AD30" s="138">
        <f>IFERROR(_xlfn.XLOOKUP($D30,'Modelling New'!$D:$D,'Modelling New'!$T:$T)*1000,"")</f>
        <v>228113.28141262796</v>
      </c>
      <c r="AE30" s="142"/>
      <c r="AF30" s="142">
        <f>IFERROR(_xlfn.XLOOKUP($D30,'Modelling New'!$D:$D,'Modelling New'!$W:$W),"")</f>
        <v>0.13501022810879967</v>
      </c>
      <c r="AG30" s="142">
        <f>IFERROR(_xlfn.XLOOKUP($D30,'Modelling New'!$D:$D,'Modelling New'!$AE:$AE),"")</f>
        <v>0.96029999999999993</v>
      </c>
      <c r="AH30" s="142">
        <f>IFERROR(_xlfn.XLOOKUP($D30,'Modelling New'!$D:$D,'Modelling New'!$AF:$AF),"")</f>
        <v>0.995</v>
      </c>
      <c r="AI30" s="109">
        <f>IFERROR(_xlfn.XLOOKUP($A30,Input_Raw!$A:$A,Input_Raw!$DP:$DP),"")</f>
        <v>143.44999999999999</v>
      </c>
      <c r="AJ30" s="108"/>
      <c r="AK30" s="108"/>
      <c r="AL30" s="108"/>
      <c r="AM30" s="108"/>
      <c r="AN30" s="132">
        <f>IFERROR(_xlfn.XLOOKUP($A30,Input_Raw!$A:$A,Input_Raw!$DL:$DL),"")</f>
        <v>0</v>
      </c>
      <c r="AO30" s="142">
        <f>IFERROR((_xlfn.XLOOKUP($A30,'WTG Reactive Power'!$A:$A,'WTG Reactive Power'!$AW:$AW))/X30,"")</f>
        <v>2.0084328170821326E-4</v>
      </c>
      <c r="AP30" s="142">
        <f>IFERROR(_xlfn.XLOOKUP($D30,'Modelling New'!$D:$D,'Modelling New'!$AK:$AK),"")</f>
        <v>0.05</v>
      </c>
      <c r="AQ30" s="142">
        <f>IFERROR(_xlfn.XLOOKUP($D30,'Modelling New'!$D:$D,'Modelling New'!$AL:$AL),"")</f>
        <v>0.05</v>
      </c>
      <c r="AR30" s="198">
        <f>IFERROR(_xlfn.XLOOKUP($D30,'Modelling New'!$D:$D,'Modelling New'!$N:$N),"")</f>
        <v>70.400000000000006</v>
      </c>
      <c r="AS30" s="198"/>
    </row>
    <row r="31" spans="1:45">
      <c r="A31" s="137">
        <f t="shared" si="4"/>
        <v>45774</v>
      </c>
      <c r="B31" s="138">
        <f>YEAR(Daily_KPI[[#This Row],[Date]])+IF(MONTH(Daily_KPI[[#This Row],[Date]])&gt;=4,1,0)</f>
        <v>2026</v>
      </c>
      <c r="C31" s="108">
        <f>YEAR(Daily_KPI[[#This Row],[Date]])</f>
        <v>2025</v>
      </c>
      <c r="D31" s="139">
        <f>Daily_KPI[[#This Row],[Date]]-DAY(Daily_KPI[[#This Row],[Date]])+1</f>
        <v>45748</v>
      </c>
      <c r="E31" s="108">
        <f t="shared" si="0"/>
        <v>30</v>
      </c>
      <c r="F31" s="109"/>
      <c r="G31" s="110"/>
      <c r="H31" s="110"/>
      <c r="I31" s="110"/>
      <c r="J31" s="110"/>
      <c r="K31" s="111"/>
      <c r="L31" s="110"/>
      <c r="M31" s="110">
        <f>IFERROR(_xlfn.XLOOKUP($A31,Input_Raw!$A:$A,Input_Raw!$CQ:$CQ),"")</f>
        <v>3.9584090909090914</v>
      </c>
      <c r="N31" s="110">
        <f>IFERROR(_xlfn.XLOOKUP($A31,Input_Raw!$A:$A,Input_Raw!$CR:$CR),"")</f>
        <v>4.59</v>
      </c>
      <c r="O31" s="141">
        <f t="shared" si="1"/>
        <v>0.98980605363584084</v>
      </c>
      <c r="P31" s="141">
        <f>IFERROR(1-SUMIF(WTG_BD!$F:$F,$A31,WTG_BD!$AA:$AA)/($AA31+SUMIF(WTG_BD!$F:$F,$A31,WTG_BD!$AA:$AA)),"")</f>
        <v>0.98980605363584084</v>
      </c>
      <c r="Q31" s="141">
        <f>IFERROR(1-SUMIF(IGA_BD!$F:$F,$A31,IGA_BD!$W:$W)/($AA31+SUMIF(IGA_BD!$F:$F,$A31,IGA_BD!$W:$W)),"")</f>
        <v>1</v>
      </c>
      <c r="R31" s="141">
        <f>IFERROR(1-SUMIF(Grid_BD!$F:$F,$A31,Grid_BD!$Y:$Y)/($AA31+SUMIF(Grid_BD!$F:$F,$A31,Grid_BD!$Y:$Y)),"")</f>
        <v>1</v>
      </c>
      <c r="S31" s="108"/>
      <c r="T31" s="140"/>
      <c r="U31" s="141"/>
      <c r="V31" s="108"/>
      <c r="W31" s="142">
        <f t="shared" si="2"/>
        <v>6.7237215909090903E-2</v>
      </c>
      <c r="X31" s="108">
        <f>IFERROR(_xlfn.XLOOKUP($A31,Input_Raw!$A:$A,Input_Raw!$CP:$CP)*1000,"")</f>
        <v>113604</v>
      </c>
      <c r="Y31" s="108">
        <f>IFERROR(_xlfn.XLOOKUP($A31,Input_Raw!$A:$A,Input_Raw!DJ:DJ)*1000,"")</f>
        <v>113603.99999999999</v>
      </c>
      <c r="Z31" s="108">
        <f>IFERROR(_xlfn.XLOOKUP($A31,Input_Raw!$A:$A,Input_Raw!DK:DK)*1000,"")</f>
        <v>0</v>
      </c>
      <c r="AA31" s="138">
        <f t="shared" si="3"/>
        <v>113603.99999999999</v>
      </c>
      <c r="AB31" s="108">
        <f>IFERROR(_xlfn.XLOOKUP($A31,Input_Raw!$A:$A,Input_Raw!$DR:$DR),"")</f>
        <v>70.400000000000006</v>
      </c>
      <c r="AC31" s="143">
        <f>IFERROR(_xlfn.XLOOKUP($D31,'Modelling New'!$D:$D,'Modelling New'!$J:$J),"")</f>
        <v>5.22</v>
      </c>
      <c r="AD31" s="138">
        <f>IFERROR(_xlfn.XLOOKUP($D31,'Modelling New'!$D:$D,'Modelling New'!$T:$T)*1000,"")</f>
        <v>228113.28141262796</v>
      </c>
      <c r="AE31" s="142"/>
      <c r="AF31" s="142">
        <f>IFERROR(_xlfn.XLOOKUP($D31,'Modelling New'!$D:$D,'Modelling New'!$W:$W),"")</f>
        <v>0.13501022810879967</v>
      </c>
      <c r="AG31" s="142">
        <f>IFERROR(_xlfn.XLOOKUP($D31,'Modelling New'!$D:$D,'Modelling New'!$AE:$AE),"")</f>
        <v>0.96029999999999993</v>
      </c>
      <c r="AH31" s="142">
        <f>IFERROR(_xlfn.XLOOKUP($D31,'Modelling New'!$D:$D,'Modelling New'!$AF:$AF),"")</f>
        <v>0.995</v>
      </c>
      <c r="AI31" s="109">
        <f>IFERROR(_xlfn.XLOOKUP($A31,Input_Raw!$A:$A,Input_Raw!$DP:$DP),"")</f>
        <v>110.6</v>
      </c>
      <c r="AJ31" s="108"/>
      <c r="AK31" s="108"/>
      <c r="AL31" s="108"/>
      <c r="AM31" s="108"/>
      <c r="AN31" s="132">
        <f>IFERROR(_xlfn.XLOOKUP($A31,Input_Raw!$A:$A,Input_Raw!$DL:$DL),"")</f>
        <v>-1.1102230246251565E-16</v>
      </c>
      <c r="AO31" s="142">
        <f>IFERROR((_xlfn.XLOOKUP($A31,'WTG Reactive Power'!$A:$A,'WTG Reactive Power'!$AW:$AW))/X31,"")</f>
        <v>2.0169959977935043E-4</v>
      </c>
      <c r="AP31" s="142">
        <f>IFERROR(_xlfn.XLOOKUP($D31,'Modelling New'!$D:$D,'Modelling New'!$AK:$AK),"")</f>
        <v>0.05</v>
      </c>
      <c r="AQ31" s="142">
        <f>IFERROR(_xlfn.XLOOKUP($D31,'Modelling New'!$D:$D,'Modelling New'!$AL:$AL),"")</f>
        <v>0.05</v>
      </c>
      <c r="AR31" s="198">
        <f>IFERROR(_xlfn.XLOOKUP($D31,'Modelling New'!$D:$D,'Modelling New'!$N:$N),"")</f>
        <v>70.400000000000006</v>
      </c>
      <c r="AS31" s="198"/>
    </row>
    <row r="32" spans="1:45">
      <c r="A32" s="137">
        <f t="shared" si="4"/>
        <v>45775</v>
      </c>
      <c r="B32" s="138">
        <f>YEAR(Daily_KPI[[#This Row],[Date]])+IF(MONTH(Daily_KPI[[#This Row],[Date]])&gt;=4,1,0)</f>
        <v>2026</v>
      </c>
      <c r="C32" s="108">
        <f>YEAR(Daily_KPI[[#This Row],[Date]])</f>
        <v>2025</v>
      </c>
      <c r="D32" s="139">
        <f>Daily_KPI[[#This Row],[Date]]-DAY(Daily_KPI[[#This Row],[Date]])+1</f>
        <v>45748</v>
      </c>
      <c r="E32" s="108">
        <f t="shared" si="0"/>
        <v>30</v>
      </c>
      <c r="F32" s="109"/>
      <c r="G32" s="143"/>
      <c r="H32" s="143"/>
      <c r="I32" s="143"/>
      <c r="J32" s="143"/>
      <c r="K32" s="111"/>
      <c r="L32" s="110"/>
      <c r="M32" s="110">
        <f>IFERROR(_xlfn.XLOOKUP($A32,Input_Raw!$A:$A,Input_Raw!$CQ:$CQ),"")</f>
        <v>4.1515909090909089</v>
      </c>
      <c r="N32" s="110">
        <f>IFERROR(_xlfn.XLOOKUP($A32,Input_Raw!$A:$A,Input_Raw!$CR:$CR),"")</f>
        <v>5.13</v>
      </c>
      <c r="O32" s="141">
        <f t="shared" si="1"/>
        <v>0.98359333577280095</v>
      </c>
      <c r="P32" s="141">
        <f>IFERROR(1-SUMIF(WTG_BD!$F:$F,$A32,WTG_BD!$AA:$AA)/($AA32+SUMIF(WTG_BD!$F:$F,$A32,WTG_BD!$AA:$AA)),"")</f>
        <v>0.98359333577280095</v>
      </c>
      <c r="Q32" s="141">
        <f>IFERROR(1-SUMIF(IGA_BD!$F:$F,$A32,IGA_BD!$W:$W)/($AA32+SUMIF(IGA_BD!$F:$F,$A32,IGA_BD!$W:$W)),"")</f>
        <v>1</v>
      </c>
      <c r="R32" s="141">
        <f>IFERROR(1-SUMIF(Grid_BD!$F:$F,$A32,Grid_BD!$Y:$Y)/($AA32+SUMIF(Grid_BD!$F:$F,$A32,Grid_BD!$Y:$Y)),"")</f>
        <v>1</v>
      </c>
      <c r="S32" s="108"/>
      <c r="T32" s="140"/>
      <c r="U32" s="141"/>
      <c r="V32" s="108"/>
      <c r="W32" s="142">
        <f t="shared" si="2"/>
        <v>7.7954545454545443E-2</v>
      </c>
      <c r="X32" s="108">
        <f>IFERROR(_xlfn.XLOOKUP($A32,Input_Raw!$A:$A,Input_Raw!$CP:$CP)*1000,"")</f>
        <v>131712</v>
      </c>
      <c r="Y32" s="108">
        <f>IFERROR(_xlfn.XLOOKUP($A32,Input_Raw!$A:$A,Input_Raw!DJ:DJ)*1000,"")</f>
        <v>131712</v>
      </c>
      <c r="Z32" s="108">
        <f>IFERROR(_xlfn.XLOOKUP($A32,Input_Raw!$A:$A,Input_Raw!DK:DK)*1000,"")</f>
        <v>0</v>
      </c>
      <c r="AA32" s="138">
        <f t="shared" si="3"/>
        <v>131712</v>
      </c>
      <c r="AB32" s="108">
        <f>IFERROR(_xlfn.XLOOKUP($A32,Input_Raw!$A:$A,Input_Raw!$DR:$DR),"")</f>
        <v>70.400000000000006</v>
      </c>
      <c r="AC32" s="143">
        <f>IFERROR(_xlfn.XLOOKUP($D32,'Modelling New'!$D:$D,'Modelling New'!$J:$J),"")</f>
        <v>5.22</v>
      </c>
      <c r="AD32" s="138">
        <f>IFERROR(_xlfn.XLOOKUP($D32,'Modelling New'!$D:$D,'Modelling New'!$T:$T)*1000,"")</f>
        <v>228113.28141262796</v>
      </c>
      <c r="AE32" s="142"/>
      <c r="AF32" s="142">
        <f>IFERROR(_xlfn.XLOOKUP($D32,'Modelling New'!$D:$D,'Modelling New'!$W:$W),"")</f>
        <v>0.13501022810879967</v>
      </c>
      <c r="AG32" s="142">
        <f>IFERROR(_xlfn.XLOOKUP($D32,'Modelling New'!$D:$D,'Modelling New'!$AE:$AE),"")</f>
        <v>0.96029999999999993</v>
      </c>
      <c r="AH32" s="142">
        <f>IFERROR(_xlfn.XLOOKUP($D32,'Modelling New'!$D:$D,'Modelling New'!$AF:$AF),"")</f>
        <v>0.995</v>
      </c>
      <c r="AI32" s="109">
        <f>IFERROR(_xlfn.XLOOKUP($A32,Input_Raw!$A:$A,Input_Raw!$DP:$DP),"")</f>
        <v>131.18</v>
      </c>
      <c r="AJ32" s="108"/>
      <c r="AK32" s="108"/>
      <c r="AL32" s="108"/>
      <c r="AM32" s="108"/>
      <c r="AN32" s="132">
        <f>IFERROR(_xlfn.XLOOKUP($A32,Input_Raw!$A:$A,Input_Raw!$DL:$DL),"")</f>
        <v>0</v>
      </c>
      <c r="AO32" s="142">
        <f>IFERROR((_xlfn.XLOOKUP($A32,'WTG Reactive Power'!$A:$A,'WTG Reactive Power'!$AW:$AW))/X32,"")</f>
        <v>1.7396958009394228E-4</v>
      </c>
      <c r="AP32" s="142">
        <f>IFERROR(_xlfn.XLOOKUP($D32,'Modelling New'!$D:$D,'Modelling New'!$AK:$AK),"")</f>
        <v>0.05</v>
      </c>
      <c r="AQ32" s="142">
        <f>IFERROR(_xlfn.XLOOKUP($D32,'Modelling New'!$D:$D,'Modelling New'!$AL:$AL),"")</f>
        <v>0.05</v>
      </c>
      <c r="AR32" s="198">
        <f>IFERROR(_xlfn.XLOOKUP($D32,'Modelling New'!$D:$D,'Modelling New'!$N:$N),"")</f>
        <v>70.400000000000006</v>
      </c>
      <c r="AS32" s="198"/>
    </row>
    <row r="33" spans="1:45">
      <c r="A33" s="137">
        <f t="shared" si="4"/>
        <v>45776</v>
      </c>
      <c r="B33" s="138">
        <f>YEAR(Daily_KPI[[#This Row],[Date]])+IF(MONTH(Daily_KPI[[#This Row],[Date]])&gt;=4,1,0)</f>
        <v>2026</v>
      </c>
      <c r="C33" s="108">
        <f>YEAR(Daily_KPI[[#This Row],[Date]])</f>
        <v>2025</v>
      </c>
      <c r="D33" s="139">
        <f>Daily_KPI[[#This Row],[Date]]-DAY(Daily_KPI[[#This Row],[Date]])+1</f>
        <v>45748</v>
      </c>
      <c r="E33" s="108">
        <f t="shared" si="0"/>
        <v>30</v>
      </c>
      <c r="F33" s="109"/>
      <c r="G33" s="110"/>
      <c r="H33" s="110"/>
      <c r="I33" s="110"/>
      <c r="J33" s="110"/>
      <c r="K33" s="111"/>
      <c r="L33" s="110"/>
      <c r="M33" s="110">
        <f>IFERROR(_xlfn.XLOOKUP($A33,Input_Raw!$A:$A,Input_Raw!$CQ:$CQ),"")</f>
        <v>4.8640909090909084</v>
      </c>
      <c r="N33" s="110">
        <f>IFERROR(_xlfn.XLOOKUP($A33,Input_Raw!$A:$A,Input_Raw!$CR:$CR),"")</f>
        <v>5.78</v>
      </c>
      <c r="O33" s="141">
        <f t="shared" si="1"/>
        <v>0.99196870748957966</v>
      </c>
      <c r="P33" s="141">
        <f>IFERROR(1-SUMIF(WTG_BD!$F:$F,$A33,WTG_BD!$AA:$AA)/($AA33+SUMIF(WTG_BD!$F:$F,$A33,WTG_BD!$AA:$AA)),"")</f>
        <v>0.99196870748957966</v>
      </c>
      <c r="Q33" s="141">
        <f>IFERROR(1-SUMIF(IGA_BD!$F:$F,$A33,IGA_BD!$W:$W)/($AA33+SUMIF(IGA_BD!$F:$F,$A33,IGA_BD!$W:$W)),"")</f>
        <v>1</v>
      </c>
      <c r="R33" s="141">
        <f>IFERROR(1-SUMIF(Grid_BD!$F:$F,$A33,Grid_BD!$Y:$Y)/($AA33+SUMIF(Grid_BD!$F:$F,$A33,Grid_BD!$Y:$Y)),"")</f>
        <v>1</v>
      </c>
      <c r="S33" s="108"/>
      <c r="T33" s="140"/>
      <c r="U33" s="141"/>
      <c r="V33" s="108"/>
      <c r="W33" s="142">
        <f t="shared" si="2"/>
        <v>0.12127604166666665</v>
      </c>
      <c r="X33" s="108">
        <f>IFERROR(_xlfn.XLOOKUP($A33,Input_Raw!$A:$A,Input_Raw!$CP:$CP)*1000,"")</f>
        <v>204908</v>
      </c>
      <c r="Y33" s="108">
        <f>IFERROR(_xlfn.XLOOKUP($A33,Input_Raw!$A:$A,Input_Raw!DJ:DJ)*1000,"")</f>
        <v>204908</v>
      </c>
      <c r="Z33" s="108">
        <f>IFERROR(_xlfn.XLOOKUP($A33,Input_Raw!$A:$A,Input_Raw!DK:DK)*1000,"")</f>
        <v>0</v>
      </c>
      <c r="AA33" s="138">
        <f t="shared" si="3"/>
        <v>204908</v>
      </c>
      <c r="AB33" s="108">
        <f>IFERROR(_xlfn.XLOOKUP($A33,Input_Raw!$A:$A,Input_Raw!$DR:$DR),"")</f>
        <v>70.400000000000006</v>
      </c>
      <c r="AC33" s="143">
        <f>IFERROR(_xlfn.XLOOKUP($D33,'Modelling New'!$D:$D,'Modelling New'!$J:$J),"")</f>
        <v>5.22</v>
      </c>
      <c r="AD33" s="138">
        <f>IFERROR(_xlfn.XLOOKUP($D33,'Modelling New'!$D:$D,'Modelling New'!$T:$T)*1000,"")</f>
        <v>228113.28141262796</v>
      </c>
      <c r="AE33" s="142"/>
      <c r="AF33" s="142">
        <f>IFERROR(_xlfn.XLOOKUP($D33,'Modelling New'!$D:$D,'Modelling New'!$W:$W),"")</f>
        <v>0.13501022810879967</v>
      </c>
      <c r="AG33" s="142">
        <f>IFERROR(_xlfn.XLOOKUP($D33,'Modelling New'!$D:$D,'Modelling New'!$AE:$AE),"")</f>
        <v>0.96029999999999993</v>
      </c>
      <c r="AH33" s="142">
        <f>IFERROR(_xlfn.XLOOKUP($D33,'Modelling New'!$D:$D,'Modelling New'!$AF:$AF),"")</f>
        <v>0.995</v>
      </c>
      <c r="AI33" s="109">
        <f>IFERROR(_xlfn.XLOOKUP($A33,Input_Raw!$A:$A,Input_Raw!$DP:$DP),"")</f>
        <v>201.28</v>
      </c>
      <c r="AJ33" s="108"/>
      <c r="AK33" s="108"/>
      <c r="AL33" s="108"/>
      <c r="AM33" s="108"/>
      <c r="AN33" s="132">
        <f>IFERROR(_xlfn.XLOOKUP($A33,Input_Raw!$A:$A,Input_Raw!$DL:$DL),"")</f>
        <v>0</v>
      </c>
      <c r="AO33" s="142">
        <f>IFERROR((_xlfn.XLOOKUP($A33,'WTG Reactive Power'!$A:$A,'WTG Reactive Power'!$AW:$AW))/X33,"")</f>
        <v>2.0215607004118926E-4</v>
      </c>
      <c r="AP33" s="142">
        <f>IFERROR(_xlfn.XLOOKUP($D33,'Modelling New'!$D:$D,'Modelling New'!$AK:$AK),"")</f>
        <v>0.05</v>
      </c>
      <c r="AQ33" s="142">
        <f>IFERROR(_xlfn.XLOOKUP($D33,'Modelling New'!$D:$D,'Modelling New'!$AL:$AL),"")</f>
        <v>0.05</v>
      </c>
      <c r="AR33" s="198">
        <f>IFERROR(_xlfn.XLOOKUP($D33,'Modelling New'!$D:$D,'Modelling New'!$N:$N),"")</f>
        <v>70.400000000000006</v>
      </c>
      <c r="AS33" s="198"/>
    </row>
    <row r="34" spans="1:45">
      <c r="A34" s="137">
        <f t="shared" si="4"/>
        <v>45777</v>
      </c>
      <c r="B34" s="138">
        <f>YEAR(Daily_KPI[[#This Row],[Date]])+IF(MONTH(Daily_KPI[[#This Row],[Date]])&gt;=4,1,0)</f>
        <v>2026</v>
      </c>
      <c r="C34" s="108">
        <f>YEAR(Daily_KPI[[#This Row],[Date]])</f>
        <v>2025</v>
      </c>
      <c r="D34" s="139">
        <f>Daily_KPI[[#This Row],[Date]]-DAY(Daily_KPI[[#This Row],[Date]])+1</f>
        <v>45748</v>
      </c>
      <c r="E34" s="108">
        <f t="shared" si="0"/>
        <v>30</v>
      </c>
      <c r="F34" s="109"/>
      <c r="G34" s="143"/>
      <c r="H34" s="143"/>
      <c r="I34" s="143"/>
      <c r="J34" s="143"/>
      <c r="K34" s="111"/>
      <c r="L34" s="110"/>
      <c r="M34" s="110">
        <f>IFERROR(_xlfn.XLOOKUP($A34,Input_Raw!$A:$A,Input_Raw!$CQ:$CQ),"")</f>
        <v>5.6724999999999994</v>
      </c>
      <c r="N34" s="110">
        <f>IFERROR(_xlfn.XLOOKUP($A34,Input_Raw!$A:$A,Input_Raw!$CR:$CR),"")</f>
        <v>7.02</v>
      </c>
      <c r="O34" s="141">
        <f t="shared" si="1"/>
        <v>0.99324405996713505</v>
      </c>
      <c r="P34" s="141">
        <f>IFERROR(1-SUMIF(WTG_BD!$F:$F,$A34,WTG_BD!$AA:$AA)/($AA34+SUMIF(WTG_BD!$F:$F,$A34,WTG_BD!$AA:$AA)),"")</f>
        <v>0.99324405996713505</v>
      </c>
      <c r="Q34" s="141">
        <f>IFERROR(1-SUMIF(IGA_BD!$F:$F,$A34,IGA_BD!$W:$W)/($AA34+SUMIF(IGA_BD!$F:$F,$A34,IGA_BD!$W:$W)),"")</f>
        <v>1</v>
      </c>
      <c r="R34" s="141">
        <f>IFERROR(1-SUMIF(Grid_BD!$F:$F,$A34,Grid_BD!$Y:$Y)/($AA34+SUMIF(Grid_BD!$F:$F,$A34,Grid_BD!$Y:$Y)),"")</f>
        <v>1</v>
      </c>
      <c r="S34" s="108"/>
      <c r="T34" s="140"/>
      <c r="U34" s="141"/>
      <c r="V34" s="108"/>
      <c r="W34" s="142">
        <f t="shared" si="2"/>
        <v>0.17994377367424241</v>
      </c>
      <c r="X34" s="108">
        <f>IFERROR(_xlfn.XLOOKUP($A34,Input_Raw!$A:$A,Input_Raw!$CP:$CP)*1000,"")</f>
        <v>304033</v>
      </c>
      <c r="Y34" s="108">
        <f>IFERROR(_xlfn.XLOOKUP($A34,Input_Raw!$A:$A,Input_Raw!DJ:DJ)*1000,"")</f>
        <v>304033</v>
      </c>
      <c r="Z34" s="108">
        <f>IFERROR(_xlfn.XLOOKUP($A34,Input_Raw!$A:$A,Input_Raw!DK:DK)*1000,"")</f>
        <v>0</v>
      </c>
      <c r="AA34" s="138">
        <f t="shared" si="3"/>
        <v>304033</v>
      </c>
      <c r="AB34" s="108">
        <f>IFERROR(_xlfn.XLOOKUP($A34,Input_Raw!$A:$A,Input_Raw!$DR:$DR),"")</f>
        <v>70.400000000000006</v>
      </c>
      <c r="AC34" s="143">
        <f>IFERROR(_xlfn.XLOOKUP($D34,'Modelling New'!$D:$D,'Modelling New'!$J:$J),"")</f>
        <v>5.22</v>
      </c>
      <c r="AD34" s="138">
        <f>IFERROR(_xlfn.XLOOKUP($D34,'Modelling New'!$D:$D,'Modelling New'!$T:$T)*1000,"")</f>
        <v>228113.28141262796</v>
      </c>
      <c r="AE34" s="142"/>
      <c r="AF34" s="142">
        <f>IFERROR(_xlfn.XLOOKUP($D34,'Modelling New'!$D:$D,'Modelling New'!$W:$W),"")</f>
        <v>0.13501022810879967</v>
      </c>
      <c r="AG34" s="142">
        <f>IFERROR(_xlfn.XLOOKUP($D34,'Modelling New'!$D:$D,'Modelling New'!$AE:$AE),"")</f>
        <v>0.96029999999999993</v>
      </c>
      <c r="AH34" s="142">
        <f>IFERROR(_xlfn.XLOOKUP($D34,'Modelling New'!$D:$D,'Modelling New'!$AF:$AF),"")</f>
        <v>0.995</v>
      </c>
      <c r="AI34" s="109">
        <f>IFERROR(_xlfn.XLOOKUP($A34,Input_Raw!$A:$A,Input_Raw!$DP:$DP),"")</f>
        <v>294.64</v>
      </c>
      <c r="AJ34" s="108"/>
      <c r="AK34" s="108"/>
      <c r="AL34" s="108"/>
      <c r="AM34" s="108"/>
      <c r="AN34" s="132">
        <f>IFERROR(_xlfn.XLOOKUP($A34,Input_Raw!$A:$A,Input_Raw!$DL:$DL),"")</f>
        <v>0</v>
      </c>
      <c r="AO34" s="142">
        <f>IFERROR((_xlfn.XLOOKUP($A34,'WTG Reactive Power'!$A:$A,'WTG Reactive Power'!$AW:$AW))/X34,"")</f>
        <v>2.0231427070964891E-4</v>
      </c>
      <c r="AP34" s="142">
        <f>IFERROR(_xlfn.XLOOKUP($D34,'Modelling New'!$D:$D,'Modelling New'!$AK:$AK),"")</f>
        <v>0.05</v>
      </c>
      <c r="AQ34" s="142">
        <f>IFERROR(_xlfn.XLOOKUP($D34,'Modelling New'!$D:$D,'Modelling New'!$AL:$AL),"")</f>
        <v>0.05</v>
      </c>
      <c r="AR34" s="198">
        <f>IFERROR(_xlfn.XLOOKUP($D34,'Modelling New'!$D:$D,'Modelling New'!$N:$N),"")</f>
        <v>70.400000000000006</v>
      </c>
      <c r="AS34" s="198"/>
    </row>
    <row r="35" spans="1:45">
      <c r="A35" s="137">
        <f t="shared" si="4"/>
        <v>45778</v>
      </c>
      <c r="B35" s="138">
        <f>YEAR(Daily_KPI[[#This Row],[Date]])+IF(MONTH(Daily_KPI[[#This Row],[Date]])&gt;=4,1,0)</f>
        <v>2026</v>
      </c>
      <c r="C35" s="108">
        <f>YEAR(Daily_KPI[[#This Row],[Date]])</f>
        <v>2025</v>
      </c>
      <c r="D35" s="139">
        <f>Daily_KPI[[#This Row],[Date]]-DAY(Daily_KPI[[#This Row],[Date]])+1</f>
        <v>45778</v>
      </c>
      <c r="E35" s="108">
        <f t="shared" si="0"/>
        <v>31</v>
      </c>
      <c r="F35" s="109"/>
      <c r="G35" s="110"/>
      <c r="H35" s="110"/>
      <c r="I35" s="110"/>
      <c r="J35" s="110"/>
      <c r="K35" s="111"/>
      <c r="L35" s="110"/>
      <c r="M35" s="110">
        <f>IFERROR(_xlfn.XLOOKUP($A35,Input_Raw!$A:$A,Input_Raw!$CQ:$CQ),"")</f>
        <v>5.5465909090909093</v>
      </c>
      <c r="N35" s="110">
        <f>IFERROR(_xlfn.XLOOKUP($A35,Input_Raw!$A:$A,Input_Raw!$CR:$CR),"")</f>
        <v>7.19</v>
      </c>
      <c r="O35" s="141">
        <f t="shared" si="1"/>
        <v>0.99869841853404573</v>
      </c>
      <c r="P35" s="141">
        <f>IFERROR(1-SUMIF(WTG_BD!$F:$F,$A35,WTG_BD!$AA:$AA)/($AA35+SUMIF(WTG_BD!$F:$F,$A35,WTG_BD!$AA:$AA)),"")</f>
        <v>0.99869841853404573</v>
      </c>
      <c r="Q35" s="141">
        <f>IFERROR(1-SUMIF(IGA_BD!$F:$F,$A35,IGA_BD!$W:$W)/($AA35+SUMIF(IGA_BD!$F:$F,$A35,IGA_BD!$W:$W)),"")</f>
        <v>1</v>
      </c>
      <c r="R35" s="141">
        <f>IFERROR(1-SUMIF(Grid_BD!$F:$F,$A35,Grid_BD!$Y:$Y)/($AA35+SUMIF(Grid_BD!$F:$F,$A35,Grid_BD!$Y:$Y)),"")</f>
        <v>1</v>
      </c>
      <c r="S35" s="108"/>
      <c r="T35" s="140"/>
      <c r="U35" s="141"/>
      <c r="V35" s="108"/>
      <c r="W35" s="142">
        <f t="shared" si="2"/>
        <v>0.19936257102272725</v>
      </c>
      <c r="X35" s="108">
        <f>IFERROR(_xlfn.XLOOKUP($A35,Input_Raw!$A:$A,Input_Raw!$CP:$CP)*1000,"")</f>
        <v>336843</v>
      </c>
      <c r="Y35" s="108">
        <f>IFERROR(_xlfn.XLOOKUP($A35,Input_Raw!$A:$A,Input_Raw!DJ:DJ)*1000,"")</f>
        <v>336842.99999999994</v>
      </c>
      <c r="Z35" s="108">
        <f>IFERROR(_xlfn.XLOOKUP($A35,Input_Raw!$A:$A,Input_Raw!DK:DK)*1000,"")</f>
        <v>0</v>
      </c>
      <c r="AA35" s="138">
        <f t="shared" si="3"/>
        <v>336842.99999999994</v>
      </c>
      <c r="AB35" s="108">
        <f>IFERROR(_xlfn.XLOOKUP($A35,Input_Raw!$A:$A,Input_Raw!$DR:$DR),"")</f>
        <v>70.400000000000006</v>
      </c>
      <c r="AC35" s="143">
        <f>IFERROR(_xlfn.XLOOKUP($D35,'Modelling New'!$D:$D,'Modelling New'!$J:$J),"")</f>
        <v>5.7233333333333336</v>
      </c>
      <c r="AD35" s="138">
        <f>IFERROR(_xlfn.XLOOKUP($D35,'Modelling New'!$D:$D,'Modelling New'!$T:$T)*1000,"")</f>
        <v>349950.51476253523</v>
      </c>
      <c r="AE35" s="142"/>
      <c r="AF35" s="142">
        <f>IFERROR(_xlfn.XLOOKUP($D35,'Modelling New'!$D:$D,'Modelling New'!$W:$W),"")</f>
        <v>0.20712033307441716</v>
      </c>
      <c r="AG35" s="142">
        <f>IFERROR(_xlfn.XLOOKUP($D35,'Modelling New'!$D:$D,'Modelling New'!$AE:$AE),"")</f>
        <v>0.96029999999999993</v>
      </c>
      <c r="AH35" s="142">
        <f>IFERROR(_xlfn.XLOOKUP($D35,'Modelling New'!$D:$D,'Modelling New'!$AF:$AF),"")</f>
        <v>0.995</v>
      </c>
      <c r="AI35" s="109">
        <f>IFERROR(_xlfn.XLOOKUP($A35,Input_Raw!$A:$A,Input_Raw!$DP:$DP),"")</f>
        <v>324.42</v>
      </c>
      <c r="AJ35" s="108"/>
      <c r="AK35" s="108"/>
      <c r="AL35" s="108"/>
      <c r="AM35" s="108"/>
      <c r="AN35" s="132">
        <f>IFERROR(_xlfn.XLOOKUP($A35,Input_Raw!$A:$A,Input_Raw!$DL:$DL),"")</f>
        <v>-2.2204460492503131E-16</v>
      </c>
      <c r="AO35" s="142">
        <f>IFERROR((_xlfn.XLOOKUP($A35,'WTG Reactive Power'!$A:$A,'WTG Reactive Power'!$AW:$AW))/X35,"")</f>
        <v>1.9888348973656373E-4</v>
      </c>
      <c r="AP35" s="142">
        <f>IFERROR(_xlfn.XLOOKUP($D35,'Modelling New'!$D:$D,'Modelling New'!$AK:$AK),"")</f>
        <v>0.05</v>
      </c>
      <c r="AQ35" s="142">
        <f>IFERROR(_xlfn.XLOOKUP($D35,'Modelling New'!$D:$D,'Modelling New'!$AL:$AL),"")</f>
        <v>0.05</v>
      </c>
      <c r="AR35" s="198">
        <f>IFERROR(_xlfn.XLOOKUP($D35,'Modelling New'!$D:$D,'Modelling New'!$N:$N),"")</f>
        <v>70.400000000000006</v>
      </c>
      <c r="AS35" s="198"/>
    </row>
    <row r="36" spans="1:45">
      <c r="A36" s="137">
        <f t="shared" si="4"/>
        <v>45779</v>
      </c>
      <c r="B36" s="138">
        <f>YEAR(Daily_KPI[[#This Row],[Date]])+IF(MONTH(Daily_KPI[[#This Row],[Date]])&gt;=4,1,0)</f>
        <v>2026</v>
      </c>
      <c r="C36" s="108">
        <f>YEAR(Daily_KPI[[#This Row],[Date]])</f>
        <v>2025</v>
      </c>
      <c r="D36" s="139">
        <f>Daily_KPI[[#This Row],[Date]]-DAY(Daily_KPI[[#This Row],[Date]])+1</f>
        <v>45778</v>
      </c>
      <c r="E36" s="108">
        <f t="shared" si="0"/>
        <v>31</v>
      </c>
      <c r="F36" s="109"/>
      <c r="G36" s="143"/>
      <c r="H36" s="143"/>
      <c r="I36" s="143"/>
      <c r="J36" s="143"/>
      <c r="K36" s="111"/>
      <c r="L36" s="110"/>
      <c r="M36" s="110">
        <f>IFERROR(_xlfn.XLOOKUP($A36,Input_Raw!$A:$A,Input_Raw!$CQ:$CQ),"")</f>
        <v>6.2659090909090907</v>
      </c>
      <c r="N36" s="110">
        <f>IFERROR(_xlfn.XLOOKUP($A36,Input_Raw!$A:$A,Input_Raw!$CR:$CR),"")</f>
        <v>8.36</v>
      </c>
      <c r="O36" s="141">
        <f t="shared" si="1"/>
        <v>0.99206432287053292</v>
      </c>
      <c r="P36" s="141">
        <f>IFERROR(1-SUMIF(WTG_BD!$F:$F,$A36,WTG_BD!$AA:$AA)/($AA36+SUMIF(WTG_BD!$F:$F,$A36,WTG_BD!$AA:$AA)),"")</f>
        <v>0.99206432287053292</v>
      </c>
      <c r="Q36" s="141">
        <f>IFERROR(1-SUMIF(IGA_BD!$F:$F,$A36,IGA_BD!$W:$W)/($AA36+SUMIF(IGA_BD!$F:$F,$A36,IGA_BD!$W:$W)),"")</f>
        <v>1</v>
      </c>
      <c r="R36" s="141">
        <f>IFERROR(1-SUMIF(Grid_BD!$F:$F,$A36,Grid_BD!$Y:$Y)/($AA36+SUMIF(Grid_BD!$F:$F,$A36,Grid_BD!$Y:$Y)),"")</f>
        <v>1</v>
      </c>
      <c r="S36" s="108"/>
      <c r="T36" s="140"/>
      <c r="U36" s="141"/>
      <c r="V36" s="108"/>
      <c r="W36" s="142">
        <f t="shared" si="2"/>
        <v>0.29166785037878784</v>
      </c>
      <c r="X36" s="108">
        <f>IFERROR(_xlfn.XLOOKUP($A36,Input_Raw!$A:$A,Input_Raw!$CP:$CP)*1000,"")</f>
        <v>492802</v>
      </c>
      <c r="Y36" s="108">
        <f>IFERROR(_xlfn.XLOOKUP($A36,Input_Raw!$A:$A,Input_Raw!DJ:DJ)*1000,"")</f>
        <v>492802</v>
      </c>
      <c r="Z36" s="108">
        <f>IFERROR(_xlfn.XLOOKUP($A36,Input_Raw!$A:$A,Input_Raw!DK:DK)*1000,"")</f>
        <v>0</v>
      </c>
      <c r="AA36" s="138">
        <f t="shared" si="3"/>
        <v>492802</v>
      </c>
      <c r="AB36" s="108">
        <f>IFERROR(_xlfn.XLOOKUP($A36,Input_Raw!$A:$A,Input_Raw!$DR:$DR),"")</f>
        <v>70.400000000000006</v>
      </c>
      <c r="AC36" s="143">
        <f>IFERROR(_xlfn.XLOOKUP($D36,'Modelling New'!$D:$D,'Modelling New'!$J:$J),"")</f>
        <v>5.7233333333333336</v>
      </c>
      <c r="AD36" s="138">
        <f>IFERROR(_xlfn.XLOOKUP($D36,'Modelling New'!$D:$D,'Modelling New'!$T:$T)*1000,"")</f>
        <v>349950.51476253523</v>
      </c>
      <c r="AE36" s="142"/>
      <c r="AF36" s="142">
        <f>IFERROR(_xlfn.XLOOKUP($D36,'Modelling New'!$D:$D,'Modelling New'!$W:$W),"")</f>
        <v>0.20712033307441716</v>
      </c>
      <c r="AG36" s="142">
        <f>IFERROR(_xlfn.XLOOKUP($D36,'Modelling New'!$D:$D,'Modelling New'!$AE:$AE),"")</f>
        <v>0.96029999999999993</v>
      </c>
      <c r="AH36" s="142">
        <f>IFERROR(_xlfn.XLOOKUP($D36,'Modelling New'!$D:$D,'Modelling New'!$AF:$AF),"")</f>
        <v>0.995</v>
      </c>
      <c r="AI36" s="109">
        <f>IFERROR(_xlfn.XLOOKUP($A36,Input_Raw!$A:$A,Input_Raw!$DP:$DP),"")</f>
        <v>481.71</v>
      </c>
      <c r="AJ36" s="108"/>
      <c r="AK36" s="108"/>
      <c r="AL36" s="108"/>
      <c r="AM36" s="108"/>
      <c r="AN36" s="132">
        <f>IFERROR(_xlfn.XLOOKUP($A36,Input_Raw!$A:$A,Input_Raw!$DL:$DL),"")</f>
        <v>0</v>
      </c>
      <c r="AO36" s="142">
        <f>IFERROR((_xlfn.XLOOKUP($A36,'WTG Reactive Power'!$A:$A,'WTG Reactive Power'!$AW:$AW))/X36,"")</f>
        <v>2.0244112510365899E-4</v>
      </c>
      <c r="AP36" s="142">
        <f>IFERROR(_xlfn.XLOOKUP($D36,'Modelling New'!$D:$D,'Modelling New'!$AK:$AK),"")</f>
        <v>0.05</v>
      </c>
      <c r="AQ36" s="142">
        <f>IFERROR(_xlfn.XLOOKUP($D36,'Modelling New'!$D:$D,'Modelling New'!$AL:$AL),"")</f>
        <v>0.05</v>
      </c>
      <c r="AR36" s="198">
        <f>IFERROR(_xlfn.XLOOKUP($D36,'Modelling New'!$D:$D,'Modelling New'!$N:$N),"")</f>
        <v>70.400000000000006</v>
      </c>
      <c r="AS36" s="198"/>
    </row>
    <row r="37" spans="1:45">
      <c r="A37" s="137">
        <f t="shared" si="4"/>
        <v>45780</v>
      </c>
      <c r="B37" s="138">
        <f>YEAR(Daily_KPI[[#This Row],[Date]])+IF(MONTH(Daily_KPI[[#This Row],[Date]])&gt;=4,1,0)</f>
        <v>2026</v>
      </c>
      <c r="C37" s="108">
        <f>YEAR(Daily_KPI[[#This Row],[Date]])</f>
        <v>2025</v>
      </c>
      <c r="D37" s="139">
        <f>Daily_KPI[[#This Row],[Date]]-DAY(Daily_KPI[[#This Row],[Date]])+1</f>
        <v>45778</v>
      </c>
      <c r="E37" s="108">
        <f t="shared" si="0"/>
        <v>31</v>
      </c>
      <c r="F37" s="109"/>
      <c r="G37" s="110"/>
      <c r="H37" s="110"/>
      <c r="I37" s="110"/>
      <c r="J37" s="110"/>
      <c r="K37" s="111"/>
      <c r="L37" s="110"/>
      <c r="M37" s="110">
        <f>IFERROR(_xlfn.XLOOKUP($A37,Input_Raw!$A:$A,Input_Raw!$CQ:$CQ),"")</f>
        <v>6.4045454545454552</v>
      </c>
      <c r="N37" s="110">
        <f>IFERROR(_xlfn.XLOOKUP($A37,Input_Raw!$A:$A,Input_Raw!$CR:$CR),"")</f>
        <v>8.31</v>
      </c>
      <c r="O37" s="141">
        <f t="shared" si="1"/>
        <v>0.95878106521865192</v>
      </c>
      <c r="P37" s="141">
        <f>IFERROR(1-SUMIF(WTG_BD!$F:$F,$A37,WTG_BD!$AA:$AA)/($AA37+SUMIF(WTG_BD!$F:$F,$A37,WTG_BD!$AA:$AA)),"")</f>
        <v>0.99855005753739934</v>
      </c>
      <c r="Q37" s="141">
        <f>IFERROR(1-SUMIF(IGA_BD!$F:$F,$A37,IGA_BD!$W:$W)/($AA37+SUMIF(IGA_BD!$F:$F,$A37,IGA_BD!$W:$W)),"")</f>
        <v>0.9601732612015218</v>
      </c>
      <c r="R37" s="141">
        <f>IFERROR(1-SUMIF(Grid_BD!$F:$F,$A37,Grid_BD!$Y:$Y)/($AA37+SUMIF(Grid_BD!$F:$F,$A37,Grid_BD!$Y:$Y)),"")</f>
        <v>1</v>
      </c>
      <c r="S37" s="108"/>
      <c r="T37" s="140"/>
      <c r="U37" s="141"/>
      <c r="V37" s="108"/>
      <c r="W37" s="142">
        <f t="shared" si="2"/>
        <v>0.28246744791666661</v>
      </c>
      <c r="X37" s="108">
        <f>IFERROR(_xlfn.XLOOKUP($A37,Input_Raw!$A:$A,Input_Raw!$CP:$CP)*1000,"")</f>
        <v>477257</v>
      </c>
      <c r="Y37" s="108">
        <f>IFERROR(_xlfn.XLOOKUP($A37,Input_Raw!$A:$A,Input_Raw!DJ:DJ)*1000,"")</f>
        <v>477257.00000000006</v>
      </c>
      <c r="Z37" s="108">
        <f>IFERROR(_xlfn.XLOOKUP($A37,Input_Raw!$A:$A,Input_Raw!DK:DK)*1000,"")</f>
        <v>0</v>
      </c>
      <c r="AA37" s="138">
        <f t="shared" si="3"/>
        <v>477257.00000000006</v>
      </c>
      <c r="AB37" s="108">
        <f>IFERROR(_xlfn.XLOOKUP($A37,Input_Raw!$A:$A,Input_Raw!$DR:$DR),"")</f>
        <v>70.400000000000006</v>
      </c>
      <c r="AC37" s="143">
        <f>IFERROR(_xlfn.XLOOKUP($D37,'Modelling New'!$D:$D,'Modelling New'!$J:$J),"")</f>
        <v>5.7233333333333336</v>
      </c>
      <c r="AD37" s="138">
        <f>IFERROR(_xlfn.XLOOKUP($D37,'Modelling New'!$D:$D,'Modelling New'!$T:$T)*1000,"")</f>
        <v>349950.51476253523</v>
      </c>
      <c r="AE37" s="142"/>
      <c r="AF37" s="142">
        <f>IFERROR(_xlfn.XLOOKUP($D37,'Modelling New'!$D:$D,'Modelling New'!$W:$W),"")</f>
        <v>0.20712033307441716</v>
      </c>
      <c r="AG37" s="142">
        <f>IFERROR(_xlfn.XLOOKUP($D37,'Modelling New'!$D:$D,'Modelling New'!$AE:$AE),"")</f>
        <v>0.96029999999999993</v>
      </c>
      <c r="AH37" s="142">
        <f>IFERROR(_xlfn.XLOOKUP($D37,'Modelling New'!$D:$D,'Modelling New'!$AF:$AF),"")</f>
        <v>0.995</v>
      </c>
      <c r="AI37" s="109">
        <f>IFERROR(_xlfn.XLOOKUP($A37,Input_Raw!$A:$A,Input_Raw!$DP:$DP),"")</f>
        <v>477.26</v>
      </c>
      <c r="AJ37" s="108"/>
      <c r="AK37" s="108"/>
      <c r="AL37" s="108"/>
      <c r="AM37" s="108"/>
      <c r="AN37" s="132">
        <f>IFERROR(_xlfn.XLOOKUP($A37,Input_Raw!$A:$A,Input_Raw!$DL:$DL),"")</f>
        <v>2.2204460492503131E-16</v>
      </c>
      <c r="AO37" s="142">
        <f>IFERROR((_xlfn.XLOOKUP($A37,'WTG Reactive Power'!$A:$A,'WTG Reactive Power'!$AW:$AW))/X37,"")</f>
        <v>2.0282768333762871E-4</v>
      </c>
      <c r="AP37" s="142">
        <f>IFERROR(_xlfn.XLOOKUP($D37,'Modelling New'!$D:$D,'Modelling New'!$AK:$AK),"")</f>
        <v>0.05</v>
      </c>
      <c r="AQ37" s="142">
        <f>IFERROR(_xlfn.XLOOKUP($D37,'Modelling New'!$D:$D,'Modelling New'!$AL:$AL),"")</f>
        <v>0.05</v>
      </c>
      <c r="AR37" s="198">
        <f>IFERROR(_xlfn.XLOOKUP($D37,'Modelling New'!$D:$D,'Modelling New'!$N:$N),"")</f>
        <v>70.400000000000006</v>
      </c>
      <c r="AS37" s="198"/>
    </row>
    <row r="38" spans="1:45">
      <c r="A38" s="137">
        <f t="shared" si="4"/>
        <v>45781</v>
      </c>
      <c r="B38" s="138">
        <f>YEAR(Daily_KPI[[#This Row],[Date]])+IF(MONTH(Daily_KPI[[#This Row],[Date]])&gt;=4,1,0)</f>
        <v>2026</v>
      </c>
      <c r="C38" s="108">
        <f>YEAR(Daily_KPI[[#This Row],[Date]])</f>
        <v>2025</v>
      </c>
      <c r="D38" s="139">
        <f>Daily_KPI[[#This Row],[Date]]-DAY(Daily_KPI[[#This Row],[Date]])+1</f>
        <v>45778</v>
      </c>
      <c r="E38" s="108">
        <f t="shared" si="0"/>
        <v>31</v>
      </c>
      <c r="F38" s="109"/>
      <c r="G38" s="143"/>
      <c r="H38" s="143"/>
      <c r="I38" s="143"/>
      <c r="J38" s="143"/>
      <c r="K38" s="111"/>
      <c r="L38" s="110"/>
      <c r="M38" s="110">
        <f>IFERROR(_xlfn.XLOOKUP($A38,Input_Raw!$A:$A,Input_Raw!$CQ:$CQ),"")</f>
        <v>6.760909090909089</v>
      </c>
      <c r="N38" s="110">
        <f>IFERROR(_xlfn.XLOOKUP($A38,Input_Raw!$A:$A,Input_Raw!$CR:$CR),"")</f>
        <v>9.1300000000000008</v>
      </c>
      <c r="O38" s="141">
        <f t="shared" si="1"/>
        <v>1</v>
      </c>
      <c r="P38" s="141">
        <f>IFERROR(1-SUMIF(WTG_BD!$F:$F,$A38,WTG_BD!$AA:$AA)/($AA38+SUMIF(WTG_BD!$F:$F,$A38,WTG_BD!$AA:$AA)),"")</f>
        <v>1</v>
      </c>
      <c r="Q38" s="141">
        <f>IFERROR(1-SUMIF(IGA_BD!$F:$F,$A38,IGA_BD!$W:$W)/($AA38+SUMIF(IGA_BD!$F:$F,$A38,IGA_BD!$W:$W)),"")</f>
        <v>1</v>
      </c>
      <c r="R38" s="141">
        <f>IFERROR(1-SUMIF(Grid_BD!$F:$F,$A38,Grid_BD!$Y:$Y)/($AA38+SUMIF(Grid_BD!$F:$F,$A38,Grid_BD!$Y:$Y)),"")</f>
        <v>1</v>
      </c>
      <c r="S38" s="108"/>
      <c r="T38" s="140"/>
      <c r="U38" s="141"/>
      <c r="V38" s="108"/>
      <c r="W38" s="142">
        <f t="shared" si="2"/>
        <v>0.29444543087121205</v>
      </c>
      <c r="X38" s="108">
        <f>IFERROR(_xlfn.XLOOKUP($A38,Input_Raw!$A:$A,Input_Raw!$CP:$CP)*1000,"")</f>
        <v>497495</v>
      </c>
      <c r="Y38" s="108">
        <f>IFERROR(_xlfn.XLOOKUP($A38,Input_Raw!$A:$A,Input_Raw!DJ:DJ)*1000,"")</f>
        <v>497495</v>
      </c>
      <c r="Z38" s="108">
        <f>IFERROR(_xlfn.XLOOKUP($A38,Input_Raw!$A:$A,Input_Raw!DK:DK)*1000,"")</f>
        <v>0</v>
      </c>
      <c r="AA38" s="138">
        <f t="shared" si="3"/>
        <v>497495</v>
      </c>
      <c r="AB38" s="108">
        <f>IFERROR(_xlfn.XLOOKUP($A38,Input_Raw!$A:$A,Input_Raw!$DR:$DR),"")</f>
        <v>70.400000000000006</v>
      </c>
      <c r="AC38" s="143">
        <f>IFERROR(_xlfn.XLOOKUP($D38,'Modelling New'!$D:$D,'Modelling New'!$J:$J),"")</f>
        <v>5.7233333333333336</v>
      </c>
      <c r="AD38" s="138">
        <f>IFERROR(_xlfn.XLOOKUP($D38,'Modelling New'!$D:$D,'Modelling New'!$T:$T)*1000,"")</f>
        <v>349950.51476253523</v>
      </c>
      <c r="AE38" s="142"/>
      <c r="AF38" s="142">
        <f>IFERROR(_xlfn.XLOOKUP($D38,'Modelling New'!$D:$D,'Modelling New'!$W:$W),"")</f>
        <v>0.20712033307441716</v>
      </c>
      <c r="AG38" s="142">
        <f>IFERROR(_xlfn.XLOOKUP($D38,'Modelling New'!$D:$D,'Modelling New'!$AE:$AE),"")</f>
        <v>0.96029999999999993</v>
      </c>
      <c r="AH38" s="142">
        <f>IFERROR(_xlfn.XLOOKUP($D38,'Modelling New'!$D:$D,'Modelling New'!$AF:$AF),"")</f>
        <v>0.995</v>
      </c>
      <c r="AI38" s="109">
        <f>IFERROR(_xlfn.XLOOKUP($A38,Input_Raw!$A:$A,Input_Raw!$DP:$DP),"")</f>
        <v>490.15</v>
      </c>
      <c r="AJ38" s="108"/>
      <c r="AK38" s="108"/>
      <c r="AL38" s="108"/>
      <c r="AM38" s="108"/>
      <c r="AN38" s="132">
        <f>IFERROR(_xlfn.XLOOKUP($A38,Input_Raw!$A:$A,Input_Raw!$DL:$DL),"")</f>
        <v>0</v>
      </c>
      <c r="AO38" s="142">
        <f>IFERROR((_xlfn.XLOOKUP($A38,'WTG Reactive Power'!$A:$A,'WTG Reactive Power'!$AW:$AW))/X38,"")</f>
        <v>2.0272485686623312E-4</v>
      </c>
      <c r="AP38" s="142">
        <f>IFERROR(_xlfn.XLOOKUP($D38,'Modelling New'!$D:$D,'Modelling New'!$AK:$AK),"")</f>
        <v>0.05</v>
      </c>
      <c r="AQ38" s="142">
        <f>IFERROR(_xlfn.XLOOKUP($D38,'Modelling New'!$D:$D,'Modelling New'!$AL:$AL),"")</f>
        <v>0.05</v>
      </c>
      <c r="AR38" s="198">
        <f>IFERROR(_xlfn.XLOOKUP($D38,'Modelling New'!$D:$D,'Modelling New'!$N:$N),"")</f>
        <v>70.400000000000006</v>
      </c>
      <c r="AS38" s="198"/>
    </row>
    <row r="39" spans="1:45">
      <c r="A39" s="137">
        <f t="shared" si="4"/>
        <v>45782</v>
      </c>
      <c r="B39" s="138">
        <f>YEAR(Daily_KPI[[#This Row],[Date]])+IF(MONTH(Daily_KPI[[#This Row],[Date]])&gt;=4,1,0)</f>
        <v>2026</v>
      </c>
      <c r="C39" s="108">
        <f>YEAR(Daily_KPI[[#This Row],[Date]])</f>
        <v>2025</v>
      </c>
      <c r="D39" s="139">
        <f>Daily_KPI[[#This Row],[Date]]-DAY(Daily_KPI[[#This Row],[Date]])+1</f>
        <v>45778</v>
      </c>
      <c r="E39" s="108">
        <f t="shared" si="0"/>
        <v>31</v>
      </c>
      <c r="F39" s="109"/>
      <c r="G39" s="110"/>
      <c r="H39" s="110"/>
      <c r="I39" s="110"/>
      <c r="J39" s="110"/>
      <c r="K39" s="111"/>
      <c r="L39" s="110"/>
      <c r="M39" s="110">
        <f>IFERROR(_xlfn.XLOOKUP($A39,Input_Raw!$A:$A,Input_Raw!$CQ:$CQ),"")</f>
        <v>6.3179545454545458</v>
      </c>
      <c r="N39" s="110">
        <f>IFERROR(_xlfn.XLOOKUP($A39,Input_Raw!$A:$A,Input_Raw!$CR:$CR),"")</f>
        <v>7.96</v>
      </c>
      <c r="O39" s="141">
        <f t="shared" si="1"/>
        <v>0.99469932212692669</v>
      </c>
      <c r="P39" s="141">
        <f>IFERROR(1-SUMIF(WTG_BD!$F:$F,$A39,WTG_BD!$AA:$AA)/($AA39+SUMIF(WTG_BD!$F:$F,$A39,WTG_BD!$AA:$AA)),"")</f>
        <v>0.99469932212692669</v>
      </c>
      <c r="Q39" s="141">
        <f>IFERROR(1-SUMIF(IGA_BD!$F:$F,$A39,IGA_BD!$W:$W)/($AA39+SUMIF(IGA_BD!$F:$F,$A39,IGA_BD!$W:$W)),"")</f>
        <v>1</v>
      </c>
      <c r="R39" s="141">
        <f>IFERROR(1-SUMIF(Grid_BD!$F:$F,$A39,Grid_BD!$Y:$Y)/($AA39+SUMIF(Grid_BD!$F:$F,$A39,Grid_BD!$Y:$Y)),"")</f>
        <v>1</v>
      </c>
      <c r="S39" s="108"/>
      <c r="T39" s="140"/>
      <c r="U39" s="141"/>
      <c r="V39" s="108"/>
      <c r="W39" s="142">
        <f t="shared" si="2"/>
        <v>0.27244199810606057</v>
      </c>
      <c r="X39" s="108">
        <f>IFERROR(_xlfn.XLOOKUP($A39,Input_Raw!$A:$A,Input_Raw!$CP:$CP)*1000,"")</f>
        <v>460318</v>
      </c>
      <c r="Y39" s="108">
        <f>IFERROR(_xlfn.XLOOKUP($A39,Input_Raw!$A:$A,Input_Raw!DJ:DJ)*1000,"")</f>
        <v>460318</v>
      </c>
      <c r="Z39" s="108">
        <f>IFERROR(_xlfn.XLOOKUP($A39,Input_Raw!$A:$A,Input_Raw!DK:DK)*1000,"")</f>
        <v>0</v>
      </c>
      <c r="AA39" s="138">
        <f t="shared" si="3"/>
        <v>460318</v>
      </c>
      <c r="AB39" s="108">
        <f>IFERROR(_xlfn.XLOOKUP($A39,Input_Raw!$A:$A,Input_Raw!$DR:$DR),"")</f>
        <v>70.400000000000006</v>
      </c>
      <c r="AC39" s="143">
        <f>IFERROR(_xlfn.XLOOKUP($D39,'Modelling New'!$D:$D,'Modelling New'!$J:$J),"")</f>
        <v>5.7233333333333336</v>
      </c>
      <c r="AD39" s="138">
        <f>IFERROR(_xlfn.XLOOKUP($D39,'Modelling New'!$D:$D,'Modelling New'!$T:$T)*1000,"")</f>
        <v>349950.51476253523</v>
      </c>
      <c r="AE39" s="142"/>
      <c r="AF39" s="142">
        <f>IFERROR(_xlfn.XLOOKUP($D39,'Modelling New'!$D:$D,'Modelling New'!$W:$W),"")</f>
        <v>0.20712033307441716</v>
      </c>
      <c r="AG39" s="142">
        <f>IFERROR(_xlfn.XLOOKUP($D39,'Modelling New'!$D:$D,'Modelling New'!$AE:$AE),"")</f>
        <v>0.96029999999999993</v>
      </c>
      <c r="AH39" s="142">
        <f>IFERROR(_xlfn.XLOOKUP($D39,'Modelling New'!$D:$D,'Modelling New'!$AF:$AF),"")</f>
        <v>0.995</v>
      </c>
      <c r="AI39" s="109">
        <f>IFERROR(_xlfn.XLOOKUP($A39,Input_Raw!$A:$A,Input_Raw!$DP:$DP),"")</f>
        <v>461.99</v>
      </c>
      <c r="AJ39" s="108"/>
      <c r="AK39" s="108"/>
      <c r="AL39" s="108"/>
      <c r="AM39" s="108"/>
      <c r="AN39" s="132">
        <f>IFERROR(_xlfn.XLOOKUP($A39,Input_Raw!$A:$A,Input_Raw!$DL:$DL),"")</f>
        <v>0</v>
      </c>
      <c r="AO39" s="142">
        <f>IFERROR((_xlfn.XLOOKUP($A39,'WTG Reactive Power'!$A:$A,'WTG Reactive Power'!$AW:$AW))/X39,"")</f>
        <v>2.0253471078689083E-4</v>
      </c>
      <c r="AP39" s="142">
        <f>IFERROR(_xlfn.XLOOKUP($D39,'Modelling New'!$D:$D,'Modelling New'!$AK:$AK),"")</f>
        <v>0.05</v>
      </c>
      <c r="AQ39" s="142">
        <f>IFERROR(_xlfn.XLOOKUP($D39,'Modelling New'!$D:$D,'Modelling New'!$AL:$AL),"")</f>
        <v>0.05</v>
      </c>
      <c r="AR39" s="198">
        <f>IFERROR(_xlfn.XLOOKUP($D39,'Modelling New'!$D:$D,'Modelling New'!$N:$N),"")</f>
        <v>70.400000000000006</v>
      </c>
      <c r="AS39" s="198"/>
    </row>
    <row r="40" spans="1:45">
      <c r="A40" s="137">
        <f t="shared" si="4"/>
        <v>45783</v>
      </c>
      <c r="B40" s="138">
        <f>YEAR(Daily_KPI[[#This Row],[Date]])+IF(MONTH(Daily_KPI[[#This Row],[Date]])&gt;=4,1,0)</f>
        <v>2026</v>
      </c>
      <c r="C40" s="108">
        <f>YEAR(Daily_KPI[[#This Row],[Date]])</f>
        <v>2025</v>
      </c>
      <c r="D40" s="139">
        <f>Daily_KPI[[#This Row],[Date]]-DAY(Daily_KPI[[#This Row],[Date]])+1</f>
        <v>45778</v>
      </c>
      <c r="E40" s="108">
        <f t="shared" si="0"/>
        <v>31</v>
      </c>
      <c r="F40" s="109"/>
      <c r="G40" s="143"/>
      <c r="H40" s="143"/>
      <c r="I40" s="143"/>
      <c r="J40" s="143"/>
      <c r="K40" s="111"/>
      <c r="L40" s="110"/>
      <c r="M40" s="110">
        <f>IFERROR(_xlfn.XLOOKUP($A40,Input_Raw!$A:$A,Input_Raw!$CQ:$CQ),"")</f>
        <v>5.9804545454545464</v>
      </c>
      <c r="N40" s="110">
        <f>IFERROR(_xlfn.XLOOKUP($A40,Input_Raw!$A:$A,Input_Raw!$CR:$CR),"")</f>
        <v>7.49</v>
      </c>
      <c r="O40" s="141">
        <f t="shared" si="1"/>
        <v>0.99999214085680377</v>
      </c>
      <c r="P40" s="141">
        <f>IFERROR(1-SUMIF(WTG_BD!$F:$F,$A40,WTG_BD!$AA:$AA)/($AA40+SUMIF(WTG_BD!$F:$F,$A40,WTG_BD!$AA:$AA)),"")</f>
        <v>0.99999214085680377</v>
      </c>
      <c r="Q40" s="141">
        <f>IFERROR(1-SUMIF(IGA_BD!$F:$F,$A40,IGA_BD!$W:$W)/($AA40+SUMIF(IGA_BD!$F:$F,$A40,IGA_BD!$W:$W)),"")</f>
        <v>1</v>
      </c>
      <c r="R40" s="141">
        <f>IFERROR(1-SUMIF(Grid_BD!$F:$F,$A40,Grid_BD!$Y:$Y)/($AA40+SUMIF(Grid_BD!$F:$F,$A40,Grid_BD!$Y:$Y)),"")</f>
        <v>1</v>
      </c>
      <c r="S40" s="108"/>
      <c r="T40" s="140"/>
      <c r="U40" s="141"/>
      <c r="V40" s="108"/>
      <c r="W40" s="142">
        <f t="shared" si="2"/>
        <v>0.22592211174242421</v>
      </c>
      <c r="X40" s="108">
        <f>IFERROR(_xlfn.XLOOKUP($A40,Input_Raw!$A:$A,Input_Raw!$CP:$CP)*1000,"")</f>
        <v>381718</v>
      </c>
      <c r="Y40" s="108">
        <f>IFERROR(_xlfn.XLOOKUP($A40,Input_Raw!$A:$A,Input_Raw!DJ:DJ)*1000,"")</f>
        <v>381718</v>
      </c>
      <c r="Z40" s="108">
        <f>IFERROR(_xlfn.XLOOKUP($A40,Input_Raw!$A:$A,Input_Raw!DK:DK)*1000,"")</f>
        <v>0</v>
      </c>
      <c r="AA40" s="138">
        <f t="shared" si="3"/>
        <v>381718</v>
      </c>
      <c r="AB40" s="108">
        <f>IFERROR(_xlfn.XLOOKUP($A40,Input_Raw!$A:$A,Input_Raw!$DR:$DR),"")</f>
        <v>70.400000000000006</v>
      </c>
      <c r="AC40" s="143">
        <f>IFERROR(_xlfn.XLOOKUP($D40,'Modelling New'!$D:$D,'Modelling New'!$J:$J),"")</f>
        <v>5.7233333333333336</v>
      </c>
      <c r="AD40" s="138">
        <f>IFERROR(_xlfn.XLOOKUP($D40,'Modelling New'!$D:$D,'Modelling New'!$T:$T)*1000,"")</f>
        <v>349950.51476253523</v>
      </c>
      <c r="AE40" s="142"/>
      <c r="AF40" s="142">
        <f>IFERROR(_xlfn.XLOOKUP($D40,'Modelling New'!$D:$D,'Modelling New'!$W:$W),"")</f>
        <v>0.20712033307441716</v>
      </c>
      <c r="AG40" s="142">
        <f>IFERROR(_xlfn.XLOOKUP($D40,'Modelling New'!$D:$D,'Modelling New'!$AE:$AE),"")</f>
        <v>0.96029999999999993</v>
      </c>
      <c r="AH40" s="142">
        <f>IFERROR(_xlfn.XLOOKUP($D40,'Modelling New'!$D:$D,'Modelling New'!$AF:$AF),"")</f>
        <v>0.995</v>
      </c>
      <c r="AI40" s="109">
        <f>IFERROR(_xlfn.XLOOKUP($A40,Input_Raw!$A:$A,Input_Raw!$DP:$DP),"")</f>
        <v>378.83</v>
      </c>
      <c r="AJ40" s="108"/>
      <c r="AK40" s="108"/>
      <c r="AL40" s="108"/>
      <c r="AM40" s="108"/>
      <c r="AN40" s="132">
        <f>IFERROR(_xlfn.XLOOKUP($A40,Input_Raw!$A:$A,Input_Raw!$DL:$DL),"")</f>
        <v>0</v>
      </c>
      <c r="AO40" s="142">
        <f>IFERROR((_xlfn.XLOOKUP($A40,'WTG Reactive Power'!$A:$A,'WTG Reactive Power'!$AW:$AW))/X40,"")</f>
        <v>2.0203142415779884E-4</v>
      </c>
      <c r="AP40" s="142">
        <f>IFERROR(_xlfn.XLOOKUP($D40,'Modelling New'!$D:$D,'Modelling New'!$AK:$AK),"")</f>
        <v>0.05</v>
      </c>
      <c r="AQ40" s="142">
        <f>IFERROR(_xlfn.XLOOKUP($D40,'Modelling New'!$D:$D,'Modelling New'!$AL:$AL),"")</f>
        <v>0.05</v>
      </c>
      <c r="AR40" s="198">
        <f>IFERROR(_xlfn.XLOOKUP($D40,'Modelling New'!$D:$D,'Modelling New'!$N:$N),"")</f>
        <v>70.400000000000006</v>
      </c>
      <c r="AS40" s="198"/>
    </row>
    <row r="41" spans="1:45">
      <c r="A41" s="137">
        <f t="shared" si="4"/>
        <v>45784</v>
      </c>
      <c r="B41" s="138">
        <f>YEAR(Daily_KPI[[#This Row],[Date]])+IF(MONTH(Daily_KPI[[#This Row],[Date]])&gt;=4,1,0)</f>
        <v>2026</v>
      </c>
      <c r="C41" s="108">
        <f>YEAR(Daily_KPI[[#This Row],[Date]])</f>
        <v>2025</v>
      </c>
      <c r="D41" s="139">
        <f>Daily_KPI[[#This Row],[Date]]-DAY(Daily_KPI[[#This Row],[Date]])+1</f>
        <v>45778</v>
      </c>
      <c r="E41" s="108">
        <f t="shared" si="0"/>
        <v>31</v>
      </c>
      <c r="F41" s="109"/>
      <c r="G41" s="110"/>
      <c r="H41" s="110"/>
      <c r="I41" s="110"/>
      <c r="J41" s="110"/>
      <c r="K41" s="111"/>
      <c r="L41" s="110"/>
      <c r="M41" s="110">
        <f>IFERROR(_xlfn.XLOOKUP($A41,Input_Raw!$A:$A,Input_Raw!$CQ:$CQ),"")</f>
        <v>6.8956818181818171</v>
      </c>
      <c r="N41" s="110">
        <f>IFERROR(_xlfn.XLOOKUP($A41,Input_Raw!$A:$A,Input_Raw!$CR:$CR),"")</f>
        <v>8.7100000000000009</v>
      </c>
      <c r="O41" s="141">
        <f t="shared" si="1"/>
        <v>1</v>
      </c>
      <c r="P41" s="141">
        <f>IFERROR(1-SUMIF(WTG_BD!$F:$F,$A41,WTG_BD!$AA:$AA)/($AA41+SUMIF(WTG_BD!$F:$F,$A41,WTG_BD!$AA:$AA)),"")</f>
        <v>1</v>
      </c>
      <c r="Q41" s="141">
        <f>IFERROR(1-SUMIF(IGA_BD!$F:$F,$A41,IGA_BD!$W:$W)/($AA41+SUMIF(IGA_BD!$F:$F,$A41,IGA_BD!$W:$W)),"")</f>
        <v>1</v>
      </c>
      <c r="R41" s="141">
        <f>IFERROR(1-SUMIF(Grid_BD!$F:$F,$A41,Grid_BD!$Y:$Y)/($AA41+SUMIF(Grid_BD!$F:$F,$A41,Grid_BD!$Y:$Y)),"")</f>
        <v>1</v>
      </c>
      <c r="S41" s="108"/>
      <c r="T41" s="140"/>
      <c r="U41" s="141"/>
      <c r="V41" s="108"/>
      <c r="W41" s="142">
        <f t="shared" si="2"/>
        <v>0.31087239583333331</v>
      </c>
      <c r="X41" s="108">
        <f>IFERROR(_xlfn.XLOOKUP($A41,Input_Raw!$A:$A,Input_Raw!$CP:$CP)*1000,"")</f>
        <v>525250</v>
      </c>
      <c r="Y41" s="108">
        <f>IFERROR(_xlfn.XLOOKUP($A41,Input_Raw!$A:$A,Input_Raw!DJ:DJ)*1000,"")</f>
        <v>525250</v>
      </c>
      <c r="Z41" s="108">
        <f>IFERROR(_xlfn.XLOOKUP($A41,Input_Raw!$A:$A,Input_Raw!DK:DK)*1000,"")</f>
        <v>0</v>
      </c>
      <c r="AA41" s="138">
        <f t="shared" si="3"/>
        <v>525250</v>
      </c>
      <c r="AB41" s="108">
        <f>IFERROR(_xlfn.XLOOKUP($A41,Input_Raw!$A:$A,Input_Raw!$DR:$DR),"")</f>
        <v>70.400000000000006</v>
      </c>
      <c r="AC41" s="143">
        <f>IFERROR(_xlfn.XLOOKUP($D41,'Modelling New'!$D:$D,'Modelling New'!$J:$J),"")</f>
        <v>5.7233333333333336</v>
      </c>
      <c r="AD41" s="138">
        <f>IFERROR(_xlfn.XLOOKUP($D41,'Modelling New'!$D:$D,'Modelling New'!$T:$T)*1000,"")</f>
        <v>349950.51476253523</v>
      </c>
      <c r="AE41" s="142"/>
      <c r="AF41" s="142">
        <f>IFERROR(_xlfn.XLOOKUP($D41,'Modelling New'!$D:$D,'Modelling New'!$W:$W),"")</f>
        <v>0.20712033307441716</v>
      </c>
      <c r="AG41" s="142">
        <f>IFERROR(_xlfn.XLOOKUP($D41,'Modelling New'!$D:$D,'Modelling New'!$AE:$AE),"")</f>
        <v>0.96029999999999993</v>
      </c>
      <c r="AH41" s="142">
        <f>IFERROR(_xlfn.XLOOKUP($D41,'Modelling New'!$D:$D,'Modelling New'!$AF:$AF),"")</f>
        <v>0.995</v>
      </c>
      <c r="AI41" s="109">
        <f>IFERROR(_xlfn.XLOOKUP($A41,Input_Raw!$A:$A,Input_Raw!$DP:$DP),"")</f>
        <v>517.71</v>
      </c>
      <c r="AJ41" s="108"/>
      <c r="AK41" s="108"/>
      <c r="AL41" s="108"/>
      <c r="AM41" s="108"/>
      <c r="AN41" s="132">
        <f>IFERROR(_xlfn.XLOOKUP($A41,Input_Raw!$A:$A,Input_Raw!$DL:$DL),"")</f>
        <v>0</v>
      </c>
      <c r="AO41" s="142">
        <f>IFERROR((_xlfn.XLOOKUP($A41,'WTG Reactive Power'!$A:$A,'WTG Reactive Power'!$AW:$AW))/X41,"")</f>
        <v>2.0277871838806917E-4</v>
      </c>
      <c r="AP41" s="142">
        <f>IFERROR(_xlfn.XLOOKUP($D41,'Modelling New'!$D:$D,'Modelling New'!$AK:$AK),"")</f>
        <v>0.05</v>
      </c>
      <c r="AQ41" s="142">
        <f>IFERROR(_xlfn.XLOOKUP($D41,'Modelling New'!$D:$D,'Modelling New'!$AL:$AL),"")</f>
        <v>0.05</v>
      </c>
      <c r="AR41" s="198">
        <f>IFERROR(_xlfn.XLOOKUP($D41,'Modelling New'!$D:$D,'Modelling New'!$N:$N),"")</f>
        <v>70.400000000000006</v>
      </c>
      <c r="AS41" s="198"/>
    </row>
    <row r="42" spans="1:45">
      <c r="A42" s="137">
        <f t="shared" si="4"/>
        <v>45785</v>
      </c>
      <c r="B42" s="138">
        <f>YEAR(Daily_KPI[[#This Row],[Date]])+IF(MONTH(Daily_KPI[[#This Row],[Date]])&gt;=4,1,0)</f>
        <v>2026</v>
      </c>
      <c r="C42" s="108">
        <f>YEAR(Daily_KPI[[#This Row],[Date]])</f>
        <v>2025</v>
      </c>
      <c r="D42" s="139">
        <f>Daily_KPI[[#This Row],[Date]]-DAY(Daily_KPI[[#This Row],[Date]])+1</f>
        <v>45778</v>
      </c>
      <c r="E42" s="108">
        <f t="shared" si="0"/>
        <v>31</v>
      </c>
      <c r="F42" s="109"/>
      <c r="G42" s="143"/>
      <c r="H42" s="143"/>
      <c r="I42" s="143"/>
      <c r="J42" s="143"/>
      <c r="K42" s="111"/>
      <c r="L42" s="110"/>
      <c r="M42" s="110">
        <f>IFERROR(_xlfn.XLOOKUP($A42,Input_Raw!$A:$A,Input_Raw!$CQ:$CQ),"")</f>
        <v>7.2265909090909108</v>
      </c>
      <c r="N42" s="110">
        <f>IFERROR(_xlfn.XLOOKUP($A42,Input_Raw!$A:$A,Input_Raw!$CR:$CR),"")</f>
        <v>9.5500000000000007</v>
      </c>
      <c r="O42" s="141">
        <f t="shared" si="1"/>
        <v>0.9850828208533795</v>
      </c>
      <c r="P42" s="141">
        <f>IFERROR(1-SUMIF(WTG_BD!$F:$F,$A42,WTG_BD!$AA:$AA)/($AA42+SUMIF(WTG_BD!$F:$F,$A42,WTG_BD!$AA:$AA)),"")</f>
        <v>0.98696850588944829</v>
      </c>
      <c r="Q42" s="141">
        <f>IFERROR(1-SUMIF(IGA_BD!$F:$F,$A42,IGA_BD!$W:$W)/($AA42+SUMIF(IGA_BD!$F:$F,$A42,IGA_BD!$W:$W)),"")</f>
        <v>0.99808941721562894</v>
      </c>
      <c r="R42" s="141">
        <f>IFERROR(1-SUMIF(Grid_BD!$F:$F,$A42,Grid_BD!$Y:$Y)/($AA42+SUMIF(Grid_BD!$F:$F,$A42,Grid_BD!$Y:$Y)),"")</f>
        <v>1</v>
      </c>
      <c r="S42" s="108"/>
      <c r="T42" s="140"/>
      <c r="U42" s="141"/>
      <c r="V42" s="108"/>
      <c r="W42" s="142">
        <f t="shared" si="2"/>
        <v>0.36514855587121209</v>
      </c>
      <c r="X42" s="108">
        <f>IFERROR(_xlfn.XLOOKUP($A42,Input_Raw!$A:$A,Input_Raw!$CP:$CP)*1000,"")</f>
        <v>616955</v>
      </c>
      <c r="Y42" s="108">
        <f>IFERROR(_xlfn.XLOOKUP($A42,Input_Raw!$A:$A,Input_Raw!DJ:DJ)*1000,"")</f>
        <v>616955</v>
      </c>
      <c r="Z42" s="108">
        <f>IFERROR(_xlfn.XLOOKUP($A42,Input_Raw!$A:$A,Input_Raw!DK:DK)*1000,"")</f>
        <v>0</v>
      </c>
      <c r="AA42" s="138">
        <f t="shared" si="3"/>
        <v>616955</v>
      </c>
      <c r="AB42" s="108">
        <f>IFERROR(_xlfn.XLOOKUP($A42,Input_Raw!$A:$A,Input_Raw!$DR:$DR),"")</f>
        <v>70.400000000000006</v>
      </c>
      <c r="AC42" s="143">
        <f>IFERROR(_xlfn.XLOOKUP($D42,'Modelling New'!$D:$D,'Modelling New'!$J:$J),"")</f>
        <v>5.7233333333333336</v>
      </c>
      <c r="AD42" s="138">
        <f>IFERROR(_xlfn.XLOOKUP($D42,'Modelling New'!$D:$D,'Modelling New'!$T:$T)*1000,"")</f>
        <v>349950.51476253523</v>
      </c>
      <c r="AE42" s="142"/>
      <c r="AF42" s="142">
        <f>IFERROR(_xlfn.XLOOKUP($D42,'Modelling New'!$D:$D,'Modelling New'!$W:$W),"")</f>
        <v>0.20712033307441716</v>
      </c>
      <c r="AG42" s="142">
        <f>IFERROR(_xlfn.XLOOKUP($D42,'Modelling New'!$D:$D,'Modelling New'!$AE:$AE),"")</f>
        <v>0.96029999999999993</v>
      </c>
      <c r="AH42" s="142">
        <f>IFERROR(_xlfn.XLOOKUP($D42,'Modelling New'!$D:$D,'Modelling New'!$AF:$AF),"")</f>
        <v>0.995</v>
      </c>
      <c r="AI42" s="109">
        <f>IFERROR(_xlfn.XLOOKUP($A42,Input_Raw!$A:$A,Input_Raw!$DP:$DP),"")</f>
        <v>589.61</v>
      </c>
      <c r="AJ42" s="108"/>
      <c r="AK42" s="108"/>
      <c r="AL42" s="108"/>
      <c r="AM42" s="108"/>
      <c r="AN42" s="132">
        <f>IFERROR(_xlfn.XLOOKUP($A42,Input_Raw!$A:$A,Input_Raw!$DL:$DL),"")</f>
        <v>0</v>
      </c>
      <c r="AO42" s="142">
        <f>IFERROR((_xlfn.XLOOKUP($A42,'WTG Reactive Power'!$A:$A,'WTG Reactive Power'!$AW:$AW))/X42,"")</f>
        <v>2.0302704600281486E-4</v>
      </c>
      <c r="AP42" s="142">
        <f>IFERROR(_xlfn.XLOOKUP($D42,'Modelling New'!$D:$D,'Modelling New'!$AK:$AK),"")</f>
        <v>0.05</v>
      </c>
      <c r="AQ42" s="142">
        <f>IFERROR(_xlfn.XLOOKUP($D42,'Modelling New'!$D:$D,'Modelling New'!$AL:$AL),"")</f>
        <v>0.05</v>
      </c>
      <c r="AR42" s="198">
        <f>IFERROR(_xlfn.XLOOKUP($D42,'Modelling New'!$D:$D,'Modelling New'!$N:$N),"")</f>
        <v>70.400000000000006</v>
      </c>
      <c r="AS42" s="198"/>
    </row>
    <row r="43" spans="1:45">
      <c r="A43" s="137">
        <f t="shared" si="4"/>
        <v>45786</v>
      </c>
      <c r="B43" s="138">
        <f>YEAR(Daily_KPI[[#This Row],[Date]])+IF(MONTH(Daily_KPI[[#This Row],[Date]])&gt;=4,1,0)</f>
        <v>2026</v>
      </c>
      <c r="C43" s="108">
        <f>YEAR(Daily_KPI[[#This Row],[Date]])</f>
        <v>2025</v>
      </c>
      <c r="D43" s="139">
        <f>Daily_KPI[[#This Row],[Date]]-DAY(Daily_KPI[[#This Row],[Date]])+1</f>
        <v>45778</v>
      </c>
      <c r="E43" s="108">
        <f t="shared" si="0"/>
        <v>31</v>
      </c>
      <c r="F43" s="109"/>
      <c r="G43" s="110"/>
      <c r="H43" s="110"/>
      <c r="I43" s="110"/>
      <c r="J43" s="110"/>
      <c r="K43" s="111"/>
      <c r="L43" s="110"/>
      <c r="M43" s="110">
        <f>IFERROR(_xlfn.XLOOKUP($A43,Input_Raw!$A:$A,Input_Raw!$CQ:$CQ),"")</f>
        <v>5.0365909090909078</v>
      </c>
      <c r="N43" s="110">
        <f>IFERROR(_xlfn.XLOOKUP($A43,Input_Raw!$A:$A,Input_Raw!$CR:$CR),"")</f>
        <v>6.73</v>
      </c>
      <c r="O43" s="141">
        <f t="shared" si="1"/>
        <v>0.93001648861650532</v>
      </c>
      <c r="P43" s="141">
        <f>IFERROR(1-SUMIF(WTG_BD!$F:$F,$A43,WTG_BD!$AA:$AA)/($AA43+SUMIF(WTG_BD!$F:$F,$A43,WTG_BD!$AA:$AA)),"")</f>
        <v>0.95480393048858159</v>
      </c>
      <c r="Q43" s="141">
        <f>IFERROR(1-SUMIF(IGA_BD!$F:$F,$A43,IGA_BD!$W:$W)/($AA43+SUMIF(IGA_BD!$F:$F,$A43,IGA_BD!$W:$W)),"")</f>
        <v>0.97403923352159605</v>
      </c>
      <c r="R43" s="141">
        <f>IFERROR(1-SUMIF(Grid_BD!$F:$F,$A43,Grid_BD!$Y:$Y)/($AA43+SUMIF(Grid_BD!$F:$F,$A43,Grid_BD!$Y:$Y)),"")</f>
        <v>1</v>
      </c>
      <c r="S43" s="108"/>
      <c r="T43" s="140"/>
      <c r="U43" s="141"/>
      <c r="V43" s="108"/>
      <c r="W43" s="142">
        <f t="shared" si="2"/>
        <v>0.12422170928030302</v>
      </c>
      <c r="X43" s="108">
        <f>IFERROR(_xlfn.XLOOKUP($A43,Input_Raw!$A:$A,Input_Raw!$CP:$CP)*1000,"")</f>
        <v>209885</v>
      </c>
      <c r="Y43" s="108">
        <f>IFERROR(_xlfn.XLOOKUP($A43,Input_Raw!$A:$A,Input_Raw!DJ:DJ)*1000,"")</f>
        <v>209885</v>
      </c>
      <c r="Z43" s="108">
        <f>IFERROR(_xlfn.XLOOKUP($A43,Input_Raw!$A:$A,Input_Raw!DK:DK)*1000,"")</f>
        <v>0</v>
      </c>
      <c r="AA43" s="138">
        <f t="shared" si="3"/>
        <v>209885</v>
      </c>
      <c r="AB43" s="108">
        <f>IFERROR(_xlfn.XLOOKUP($A43,Input_Raw!$A:$A,Input_Raw!$DR:$DR),"")</f>
        <v>70.400000000000006</v>
      </c>
      <c r="AC43" s="143">
        <f>IFERROR(_xlfn.XLOOKUP($D43,'Modelling New'!$D:$D,'Modelling New'!$J:$J),"")</f>
        <v>5.7233333333333336</v>
      </c>
      <c r="AD43" s="138">
        <f>IFERROR(_xlfn.XLOOKUP($D43,'Modelling New'!$D:$D,'Modelling New'!$T:$T)*1000,"")</f>
        <v>349950.51476253523</v>
      </c>
      <c r="AE43" s="142"/>
      <c r="AF43" s="142">
        <f>IFERROR(_xlfn.XLOOKUP($D43,'Modelling New'!$D:$D,'Modelling New'!$W:$W),"")</f>
        <v>0.20712033307441716</v>
      </c>
      <c r="AG43" s="142">
        <f>IFERROR(_xlfn.XLOOKUP($D43,'Modelling New'!$D:$D,'Modelling New'!$AE:$AE),"")</f>
        <v>0.96029999999999993</v>
      </c>
      <c r="AH43" s="142">
        <f>IFERROR(_xlfn.XLOOKUP($D43,'Modelling New'!$D:$D,'Modelling New'!$AF:$AF),"")</f>
        <v>0.995</v>
      </c>
      <c r="AI43" s="109">
        <f>IFERROR(_xlfn.XLOOKUP($A43,Input_Raw!$A:$A,Input_Raw!$DP:$DP),"")</f>
        <v>197.15</v>
      </c>
      <c r="AJ43" s="108"/>
      <c r="AK43" s="108"/>
      <c r="AL43" s="108"/>
      <c r="AM43" s="108"/>
      <c r="AN43" s="132">
        <f>IFERROR(_xlfn.XLOOKUP($A43,Input_Raw!$A:$A,Input_Raw!$DL:$DL),"")</f>
        <v>0</v>
      </c>
      <c r="AO43" s="142">
        <f>IFERROR((_xlfn.XLOOKUP($A43,'WTG Reactive Power'!$A:$A,'WTG Reactive Power'!$AW:$AW))/X43,"")</f>
        <v>2.0175149724849324E-4</v>
      </c>
      <c r="AP43" s="142">
        <f>IFERROR(_xlfn.XLOOKUP($D43,'Modelling New'!$D:$D,'Modelling New'!$AK:$AK),"")</f>
        <v>0.05</v>
      </c>
      <c r="AQ43" s="142">
        <f>IFERROR(_xlfn.XLOOKUP($D43,'Modelling New'!$D:$D,'Modelling New'!$AL:$AL),"")</f>
        <v>0.05</v>
      </c>
      <c r="AR43" s="198">
        <f>IFERROR(_xlfn.XLOOKUP($D43,'Modelling New'!$D:$D,'Modelling New'!$N:$N),"")</f>
        <v>70.400000000000006</v>
      </c>
      <c r="AS43" s="198"/>
    </row>
    <row r="44" spans="1:45">
      <c r="A44" s="137">
        <f t="shared" si="4"/>
        <v>45787</v>
      </c>
      <c r="B44" s="138">
        <f>YEAR(Daily_KPI[[#This Row],[Date]])+IF(MONTH(Daily_KPI[[#This Row],[Date]])&gt;=4,1,0)</f>
        <v>2026</v>
      </c>
      <c r="C44" s="108">
        <f>YEAR(Daily_KPI[[#This Row],[Date]])</f>
        <v>2025</v>
      </c>
      <c r="D44" s="139">
        <f>Daily_KPI[[#This Row],[Date]]-DAY(Daily_KPI[[#This Row],[Date]])+1</f>
        <v>45778</v>
      </c>
      <c r="E44" s="108">
        <f t="shared" si="0"/>
        <v>31</v>
      </c>
      <c r="F44" s="109"/>
      <c r="G44" s="143"/>
      <c r="H44" s="143"/>
      <c r="I44" s="143"/>
      <c r="J44" s="143"/>
      <c r="K44" s="111"/>
      <c r="L44" s="110"/>
      <c r="M44" s="110">
        <f>IFERROR(_xlfn.XLOOKUP($A44,Input_Raw!$A:$A,Input_Raw!$CQ:$CQ),"")</f>
        <v>4.4363636363636365</v>
      </c>
      <c r="N44" s="110">
        <f>IFERROR(_xlfn.XLOOKUP($A44,Input_Raw!$A:$A,Input_Raw!$CR:$CR),"")</f>
        <v>6.13</v>
      </c>
      <c r="O44" s="141">
        <f t="shared" si="1"/>
        <v>0.90968238691291836</v>
      </c>
      <c r="P44" s="141">
        <f>IFERROR(1-SUMIF(WTG_BD!$F:$F,$A44,WTG_BD!$AA:$AA)/($AA44+SUMIF(WTG_BD!$F:$F,$A44,WTG_BD!$AA:$AA)),"")</f>
        <v>0.94868009356298799</v>
      </c>
      <c r="Q44" s="141">
        <f>IFERROR(1-SUMIF(IGA_BD!$F:$F,$A44,IGA_BD!$W:$W)/($AA44+SUMIF(IGA_BD!$F:$F,$A44,IGA_BD!$W:$W)),"")</f>
        <v>0.95889266896746539</v>
      </c>
      <c r="R44" s="141">
        <f>IFERROR(1-SUMIF(Grid_BD!$F:$F,$A44,Grid_BD!$Y:$Y)/($AA44+SUMIF(Grid_BD!$F:$F,$A44,Grid_BD!$Y:$Y)),"")</f>
        <v>1</v>
      </c>
      <c r="S44" s="108"/>
      <c r="T44" s="140"/>
      <c r="U44" s="141"/>
      <c r="V44" s="108"/>
      <c r="W44" s="142">
        <f t="shared" si="2"/>
        <v>9.2417140151515142E-2</v>
      </c>
      <c r="X44" s="108">
        <f>IFERROR(_xlfn.XLOOKUP($A44,Input_Raw!$A:$A,Input_Raw!$CP:$CP)*1000,"")</f>
        <v>156148</v>
      </c>
      <c r="Y44" s="108">
        <f>IFERROR(_xlfn.XLOOKUP($A44,Input_Raw!$A:$A,Input_Raw!DJ:DJ)*1000,"")</f>
        <v>156148.00000000003</v>
      </c>
      <c r="Z44" s="108">
        <f>IFERROR(_xlfn.XLOOKUP($A44,Input_Raw!$A:$A,Input_Raw!DK:DK)*1000,"")</f>
        <v>0</v>
      </c>
      <c r="AA44" s="138">
        <f t="shared" si="3"/>
        <v>156148.00000000003</v>
      </c>
      <c r="AB44" s="108">
        <f>IFERROR(_xlfn.XLOOKUP($A44,Input_Raw!$A:$A,Input_Raw!$DR:$DR),"")</f>
        <v>70.400000000000006</v>
      </c>
      <c r="AC44" s="143">
        <f>IFERROR(_xlfn.XLOOKUP($D44,'Modelling New'!$D:$D,'Modelling New'!$J:$J),"")</f>
        <v>5.7233333333333336</v>
      </c>
      <c r="AD44" s="138">
        <f>IFERROR(_xlfn.XLOOKUP($D44,'Modelling New'!$D:$D,'Modelling New'!$T:$T)*1000,"")</f>
        <v>349950.51476253523</v>
      </c>
      <c r="AE44" s="142"/>
      <c r="AF44" s="142">
        <f>IFERROR(_xlfn.XLOOKUP($D44,'Modelling New'!$D:$D,'Modelling New'!$W:$W),"")</f>
        <v>0.20712033307441716</v>
      </c>
      <c r="AG44" s="142">
        <f>IFERROR(_xlfn.XLOOKUP($D44,'Modelling New'!$D:$D,'Modelling New'!$AE:$AE),"")</f>
        <v>0.96029999999999993</v>
      </c>
      <c r="AH44" s="142">
        <f>IFERROR(_xlfn.XLOOKUP($D44,'Modelling New'!$D:$D,'Modelling New'!$AF:$AF),"")</f>
        <v>0.995</v>
      </c>
      <c r="AI44" s="109">
        <f>IFERROR(_xlfn.XLOOKUP($A44,Input_Raw!$A:$A,Input_Raw!$DP:$DP),"")</f>
        <v>148.4</v>
      </c>
      <c r="AJ44" s="108"/>
      <c r="AK44" s="108"/>
      <c r="AL44" s="108"/>
      <c r="AM44" s="108"/>
      <c r="AN44" s="132">
        <f>IFERROR(_xlfn.XLOOKUP($A44,Input_Raw!$A:$A,Input_Raw!$DL:$DL),"")</f>
        <v>2.2204460492503131E-16</v>
      </c>
      <c r="AO44" s="142">
        <f>IFERROR((_xlfn.XLOOKUP($A44,'WTG Reactive Power'!$A:$A,'WTG Reactive Power'!$AW:$AW))/X44,"")</f>
        <v>1.9308928601924669E-4</v>
      </c>
      <c r="AP44" s="142">
        <f>IFERROR(_xlfn.XLOOKUP($D44,'Modelling New'!$D:$D,'Modelling New'!$AK:$AK),"")</f>
        <v>0.05</v>
      </c>
      <c r="AQ44" s="142">
        <f>IFERROR(_xlfn.XLOOKUP($D44,'Modelling New'!$D:$D,'Modelling New'!$AL:$AL),"")</f>
        <v>0.05</v>
      </c>
      <c r="AR44" s="198">
        <f>IFERROR(_xlfn.XLOOKUP($D44,'Modelling New'!$D:$D,'Modelling New'!$N:$N),"")</f>
        <v>70.400000000000006</v>
      </c>
      <c r="AS44" s="198"/>
    </row>
    <row r="45" spans="1:45">
      <c r="A45" s="137">
        <f t="shared" si="4"/>
        <v>45788</v>
      </c>
      <c r="B45" s="138">
        <f>YEAR(Daily_KPI[[#This Row],[Date]])+IF(MONTH(Daily_KPI[[#This Row],[Date]])&gt;=4,1,0)</f>
        <v>2026</v>
      </c>
      <c r="C45" s="108">
        <f>YEAR(Daily_KPI[[#This Row],[Date]])</f>
        <v>2025</v>
      </c>
      <c r="D45" s="139">
        <f>Daily_KPI[[#This Row],[Date]]-DAY(Daily_KPI[[#This Row],[Date]])+1</f>
        <v>45778</v>
      </c>
      <c r="E45" s="108">
        <f t="shared" si="0"/>
        <v>31</v>
      </c>
      <c r="F45" s="109"/>
      <c r="G45" s="110"/>
      <c r="H45" s="110"/>
      <c r="I45" s="110"/>
      <c r="J45" s="110"/>
      <c r="K45" s="111"/>
      <c r="L45" s="110"/>
      <c r="M45" s="110">
        <f>IFERROR(_xlfn.XLOOKUP($A45,Input_Raw!$A:$A,Input_Raw!$CQ:$CQ),"")</f>
        <v>3.9070454545454556</v>
      </c>
      <c r="N45" s="110">
        <f>IFERROR(_xlfn.XLOOKUP($A45,Input_Raw!$A:$A,Input_Raw!$CR:$CR),"")</f>
        <v>4.99</v>
      </c>
      <c r="O45" s="141">
        <f t="shared" si="1"/>
        <v>0.96570300355566674</v>
      </c>
      <c r="P45" s="141">
        <f>IFERROR(1-SUMIF(WTG_BD!$F:$F,$A45,WTG_BD!$AA:$AA)/($AA45+SUMIF(WTG_BD!$F:$F,$A45,WTG_BD!$AA:$AA)),"")</f>
        <v>0.96570300355566674</v>
      </c>
      <c r="Q45" s="141">
        <f>IFERROR(1-SUMIF(IGA_BD!$F:$F,$A45,IGA_BD!$W:$W)/($AA45+SUMIF(IGA_BD!$F:$F,$A45,IGA_BD!$W:$W)),"")</f>
        <v>1</v>
      </c>
      <c r="R45" s="141">
        <f>IFERROR(1-SUMIF(Grid_BD!$F:$F,$A45,Grid_BD!$Y:$Y)/($AA45+SUMIF(Grid_BD!$F:$F,$A45,Grid_BD!$Y:$Y)),"")</f>
        <v>1</v>
      </c>
      <c r="S45" s="108"/>
      <c r="T45" s="140"/>
      <c r="U45" s="141"/>
      <c r="V45" s="108"/>
      <c r="W45" s="142">
        <f t="shared" si="2"/>
        <v>6.397668087121211E-2</v>
      </c>
      <c r="X45" s="108">
        <f>IFERROR(_xlfn.XLOOKUP($A45,Input_Raw!$A:$A,Input_Raw!$CP:$CP)*1000,"")</f>
        <v>108095</v>
      </c>
      <c r="Y45" s="108">
        <f>IFERROR(_xlfn.XLOOKUP($A45,Input_Raw!$A:$A,Input_Raw!DJ:DJ)*1000,"")</f>
        <v>108095</v>
      </c>
      <c r="Z45" s="108">
        <f>IFERROR(_xlfn.XLOOKUP($A45,Input_Raw!$A:$A,Input_Raw!DK:DK)*1000,"")</f>
        <v>0</v>
      </c>
      <c r="AA45" s="138">
        <f t="shared" si="3"/>
        <v>108095</v>
      </c>
      <c r="AB45" s="108">
        <f>IFERROR(_xlfn.XLOOKUP($A45,Input_Raw!$A:$A,Input_Raw!$DR:$DR),"")</f>
        <v>70.400000000000006</v>
      </c>
      <c r="AC45" s="143">
        <f>IFERROR(_xlfn.XLOOKUP($D45,'Modelling New'!$D:$D,'Modelling New'!$J:$J),"")</f>
        <v>5.7233333333333336</v>
      </c>
      <c r="AD45" s="138">
        <f>IFERROR(_xlfn.XLOOKUP($D45,'Modelling New'!$D:$D,'Modelling New'!$T:$T)*1000,"")</f>
        <v>349950.51476253523</v>
      </c>
      <c r="AE45" s="142"/>
      <c r="AF45" s="142">
        <f>IFERROR(_xlfn.XLOOKUP($D45,'Modelling New'!$D:$D,'Modelling New'!$W:$W),"")</f>
        <v>0.20712033307441716</v>
      </c>
      <c r="AG45" s="142">
        <f>IFERROR(_xlfn.XLOOKUP($D45,'Modelling New'!$D:$D,'Modelling New'!$AE:$AE),"")</f>
        <v>0.96029999999999993</v>
      </c>
      <c r="AH45" s="142">
        <f>IFERROR(_xlfn.XLOOKUP($D45,'Modelling New'!$D:$D,'Modelling New'!$AF:$AF),"")</f>
        <v>0.995</v>
      </c>
      <c r="AI45" s="109">
        <f>IFERROR(_xlfn.XLOOKUP($A45,Input_Raw!$A:$A,Input_Raw!$DP:$DP),"")</f>
        <v>102.44</v>
      </c>
      <c r="AJ45" s="108"/>
      <c r="AK45" s="108"/>
      <c r="AL45" s="108"/>
      <c r="AM45" s="108"/>
      <c r="AN45" s="132">
        <f>IFERROR(_xlfn.XLOOKUP($A45,Input_Raw!$A:$A,Input_Raw!$DL:$DL),"")</f>
        <v>0</v>
      </c>
      <c r="AO45" s="142">
        <f>IFERROR((_xlfn.XLOOKUP($A45,'WTG Reactive Power'!$A:$A,'WTG Reactive Power'!$AW:$AW))/X45,"")</f>
        <v>2.0009992444917275E-4</v>
      </c>
      <c r="AP45" s="142">
        <f>IFERROR(_xlfn.XLOOKUP($D45,'Modelling New'!$D:$D,'Modelling New'!$AK:$AK),"")</f>
        <v>0.05</v>
      </c>
      <c r="AQ45" s="142">
        <f>IFERROR(_xlfn.XLOOKUP($D45,'Modelling New'!$D:$D,'Modelling New'!$AL:$AL),"")</f>
        <v>0.05</v>
      </c>
      <c r="AR45" s="198">
        <f>IFERROR(_xlfn.XLOOKUP($D45,'Modelling New'!$D:$D,'Modelling New'!$N:$N),"")</f>
        <v>70.400000000000006</v>
      </c>
      <c r="AS45" s="198"/>
    </row>
    <row r="46" spans="1:45">
      <c r="A46" s="137">
        <f t="shared" si="4"/>
        <v>45789</v>
      </c>
      <c r="B46" s="138">
        <f>YEAR(Daily_KPI[[#This Row],[Date]])+IF(MONTH(Daily_KPI[[#This Row],[Date]])&gt;=4,1,0)</f>
        <v>2026</v>
      </c>
      <c r="C46" s="108">
        <f>YEAR(Daily_KPI[[#This Row],[Date]])</f>
        <v>2025</v>
      </c>
      <c r="D46" s="139">
        <f>Daily_KPI[[#This Row],[Date]]-DAY(Daily_KPI[[#This Row],[Date]])+1</f>
        <v>45778</v>
      </c>
      <c r="E46" s="108">
        <f t="shared" si="0"/>
        <v>31</v>
      </c>
      <c r="F46" s="109"/>
      <c r="G46" s="143"/>
      <c r="H46" s="143"/>
      <c r="I46" s="143"/>
      <c r="J46" s="143"/>
      <c r="K46" s="111"/>
      <c r="L46" s="110"/>
      <c r="M46" s="110">
        <f>IFERROR(_xlfn.XLOOKUP($A46,Input_Raw!$A:$A,Input_Raw!$CQ:$CQ),"")</f>
        <v>3.514318181818183</v>
      </c>
      <c r="N46" s="110">
        <f>IFERROR(_xlfn.XLOOKUP($A46,Input_Raw!$A:$A,Input_Raw!$CR:$CR),"")</f>
        <v>4.8</v>
      </c>
      <c r="O46" s="141">
        <f t="shared" si="1"/>
        <v>0.8732534828294104</v>
      </c>
      <c r="P46" s="141">
        <f>IFERROR(1-SUMIF(WTG_BD!$F:$F,$A46,WTG_BD!$AA:$AA)/($AA46+SUMIF(WTG_BD!$F:$F,$A46,WTG_BD!$AA:$AA)),"")</f>
        <v>0.95839163029632257</v>
      </c>
      <c r="Q46" s="141">
        <f>IFERROR(1-SUMIF(IGA_BD!$F:$F,$A46,IGA_BD!$W:$W)/($AA46+SUMIF(IGA_BD!$F:$F,$A46,IGA_BD!$W:$W)),"")</f>
        <v>0.91116559788758955</v>
      </c>
      <c r="R46" s="141">
        <f>IFERROR(1-SUMIF(Grid_BD!$F:$F,$A46,Grid_BD!$Y:$Y)/($AA46+SUMIF(Grid_BD!$F:$F,$A46,Grid_BD!$Y:$Y)),"")</f>
        <v>1</v>
      </c>
      <c r="S46" s="108"/>
      <c r="T46" s="140"/>
      <c r="U46" s="141"/>
      <c r="V46" s="108"/>
      <c r="W46" s="142">
        <f t="shared" si="2"/>
        <v>5.4325875946969693E-2</v>
      </c>
      <c r="X46" s="108">
        <f>IFERROR(_xlfn.XLOOKUP($A46,Input_Raw!$A:$A,Input_Raw!$CP:$CP)*1000,"")</f>
        <v>91789</v>
      </c>
      <c r="Y46" s="108">
        <f>IFERROR(_xlfn.XLOOKUP($A46,Input_Raw!$A:$A,Input_Raw!DJ:DJ)*1000,"")</f>
        <v>91789</v>
      </c>
      <c r="Z46" s="108">
        <f>IFERROR(_xlfn.XLOOKUP($A46,Input_Raw!$A:$A,Input_Raw!DK:DK)*1000,"")</f>
        <v>0</v>
      </c>
      <c r="AA46" s="138">
        <f t="shared" si="3"/>
        <v>91789</v>
      </c>
      <c r="AB46" s="108">
        <f>IFERROR(_xlfn.XLOOKUP($A46,Input_Raw!$A:$A,Input_Raw!$DR:$DR),"")</f>
        <v>70.400000000000006</v>
      </c>
      <c r="AC46" s="143">
        <f>IFERROR(_xlfn.XLOOKUP($D46,'Modelling New'!$D:$D,'Modelling New'!$J:$J),"")</f>
        <v>5.7233333333333336</v>
      </c>
      <c r="AD46" s="138">
        <f>IFERROR(_xlfn.XLOOKUP($D46,'Modelling New'!$D:$D,'Modelling New'!$T:$T)*1000,"")</f>
        <v>349950.51476253523</v>
      </c>
      <c r="AE46" s="142"/>
      <c r="AF46" s="142">
        <f>IFERROR(_xlfn.XLOOKUP($D46,'Modelling New'!$D:$D,'Modelling New'!$W:$W),"")</f>
        <v>0.20712033307441716</v>
      </c>
      <c r="AG46" s="142">
        <f>IFERROR(_xlfn.XLOOKUP($D46,'Modelling New'!$D:$D,'Modelling New'!$AE:$AE),"")</f>
        <v>0.96029999999999993</v>
      </c>
      <c r="AH46" s="142">
        <f>IFERROR(_xlfn.XLOOKUP($D46,'Modelling New'!$D:$D,'Modelling New'!$AF:$AF),"")</f>
        <v>0.995</v>
      </c>
      <c r="AI46" s="109">
        <f>IFERROR(_xlfn.XLOOKUP($A46,Input_Raw!$A:$A,Input_Raw!$DP:$DP),"")</f>
        <v>97.92</v>
      </c>
      <c r="AJ46" s="108"/>
      <c r="AK46" s="108"/>
      <c r="AL46" s="108"/>
      <c r="AM46" s="108"/>
      <c r="AN46" s="132">
        <f>IFERROR(_xlfn.XLOOKUP($A46,Input_Raw!$A:$A,Input_Raw!$DL:$DL),"")</f>
        <v>0</v>
      </c>
      <c r="AO46" s="142">
        <f>IFERROR((_xlfn.XLOOKUP($A46,'WTG Reactive Power'!$A:$A,'WTG Reactive Power'!$AW:$AW))/X46,"")</f>
        <v>2.4339971202068511E-4</v>
      </c>
      <c r="AP46" s="142">
        <f>IFERROR(_xlfn.XLOOKUP($D46,'Modelling New'!$D:$D,'Modelling New'!$AK:$AK),"")</f>
        <v>0.05</v>
      </c>
      <c r="AQ46" s="142">
        <f>IFERROR(_xlfn.XLOOKUP($D46,'Modelling New'!$D:$D,'Modelling New'!$AL:$AL),"")</f>
        <v>0.05</v>
      </c>
      <c r="AR46" s="198">
        <f>IFERROR(_xlfn.XLOOKUP($D46,'Modelling New'!$D:$D,'Modelling New'!$N:$N),"")</f>
        <v>70.400000000000006</v>
      </c>
      <c r="AS46" s="198"/>
    </row>
    <row r="47" spans="1:45">
      <c r="A47" s="137">
        <f t="shared" si="4"/>
        <v>45790</v>
      </c>
      <c r="B47" s="138">
        <f>YEAR(Daily_KPI[[#This Row],[Date]])+IF(MONTH(Daily_KPI[[#This Row],[Date]])&gt;=4,1,0)</f>
        <v>2026</v>
      </c>
      <c r="C47" s="108">
        <f>YEAR(Daily_KPI[[#This Row],[Date]])</f>
        <v>2025</v>
      </c>
      <c r="D47" s="139">
        <f>Daily_KPI[[#This Row],[Date]]-DAY(Daily_KPI[[#This Row],[Date]])+1</f>
        <v>45778</v>
      </c>
      <c r="E47" s="108">
        <f t="shared" si="0"/>
        <v>31</v>
      </c>
      <c r="F47" s="109"/>
      <c r="G47" s="110"/>
      <c r="H47" s="110"/>
      <c r="I47" s="110"/>
      <c r="J47" s="110"/>
      <c r="K47" s="111"/>
      <c r="L47" s="110"/>
      <c r="M47" s="110">
        <f>IFERROR(_xlfn.XLOOKUP($A47,Input_Raw!$A:$A,Input_Raw!$CQ:$CQ),"")</f>
        <v>3.3979545454545454</v>
      </c>
      <c r="N47" s="110">
        <f>IFERROR(_xlfn.XLOOKUP($A47,Input_Raw!$A:$A,Input_Raw!$CR:$CR),"")</f>
        <v>4.01</v>
      </c>
      <c r="O47" s="141">
        <f t="shared" si="1"/>
        <v>0.96443077637228736</v>
      </c>
      <c r="P47" s="141">
        <f>IFERROR(1-SUMIF(WTG_BD!$F:$F,$A47,WTG_BD!$AA:$AA)/($AA47+SUMIF(WTG_BD!$F:$F,$A47,WTG_BD!$AA:$AA)),"")</f>
        <v>0.96443077637228736</v>
      </c>
      <c r="Q47" s="141">
        <f>IFERROR(1-SUMIF(IGA_BD!$F:$F,$A47,IGA_BD!$W:$W)/($AA47+SUMIF(IGA_BD!$F:$F,$A47,IGA_BD!$W:$W)),"")</f>
        <v>1</v>
      </c>
      <c r="R47" s="141">
        <f>IFERROR(1-SUMIF(Grid_BD!$F:$F,$A47,Grid_BD!$Y:$Y)/($AA47+SUMIF(Grid_BD!$F:$F,$A47,Grid_BD!$Y:$Y)),"")</f>
        <v>0.87880422139035175</v>
      </c>
      <c r="S47" s="108"/>
      <c r="T47" s="140"/>
      <c r="U47" s="141"/>
      <c r="V47" s="108"/>
      <c r="W47" s="142">
        <f t="shared" si="2"/>
        <v>4.918619791666666E-2</v>
      </c>
      <c r="X47" s="108">
        <f>IFERROR(_xlfn.XLOOKUP($A47,Input_Raw!$A:$A,Input_Raw!$CP:$CP)*1000,"")</f>
        <v>83105</v>
      </c>
      <c r="Y47" s="108">
        <f>IFERROR(_xlfn.XLOOKUP($A47,Input_Raw!$A:$A,Input_Raw!DJ:DJ)*1000,"")</f>
        <v>83104.999999999985</v>
      </c>
      <c r="Z47" s="108">
        <f>IFERROR(_xlfn.XLOOKUP($A47,Input_Raw!$A:$A,Input_Raw!DK:DK)*1000,"")</f>
        <v>0</v>
      </c>
      <c r="AA47" s="138">
        <f t="shared" si="3"/>
        <v>83104.999999999985</v>
      </c>
      <c r="AB47" s="108">
        <f>IFERROR(_xlfn.XLOOKUP($A47,Input_Raw!$A:$A,Input_Raw!$DR:$DR),"")</f>
        <v>70.400000000000006</v>
      </c>
      <c r="AC47" s="143">
        <f>IFERROR(_xlfn.XLOOKUP($D47,'Modelling New'!$D:$D,'Modelling New'!$J:$J),"")</f>
        <v>5.7233333333333336</v>
      </c>
      <c r="AD47" s="138">
        <f>IFERROR(_xlfn.XLOOKUP($D47,'Modelling New'!$D:$D,'Modelling New'!$T:$T)*1000,"")</f>
        <v>349950.51476253523</v>
      </c>
      <c r="AE47" s="142"/>
      <c r="AF47" s="142">
        <f>IFERROR(_xlfn.XLOOKUP($D47,'Modelling New'!$D:$D,'Modelling New'!$W:$W),"")</f>
        <v>0.20712033307441716</v>
      </c>
      <c r="AG47" s="142">
        <f>IFERROR(_xlfn.XLOOKUP($D47,'Modelling New'!$D:$D,'Modelling New'!$AE:$AE),"")</f>
        <v>0.96029999999999993</v>
      </c>
      <c r="AH47" s="142">
        <f>IFERROR(_xlfn.XLOOKUP($D47,'Modelling New'!$D:$D,'Modelling New'!$AF:$AF),"")</f>
        <v>0.995</v>
      </c>
      <c r="AI47" s="109">
        <f>IFERROR(_xlfn.XLOOKUP($A47,Input_Raw!$A:$A,Input_Raw!$DP:$DP),"")</f>
        <v>82.79</v>
      </c>
      <c r="AJ47" s="108"/>
      <c r="AK47" s="108"/>
      <c r="AL47" s="108"/>
      <c r="AM47" s="108"/>
      <c r="AN47" s="132">
        <f>IFERROR(_xlfn.XLOOKUP($A47,Input_Raw!$A:$A,Input_Raw!$DL:$DL),"")</f>
        <v>-2.2204460492503131E-16</v>
      </c>
      <c r="AO47" s="142">
        <f>IFERROR((_xlfn.XLOOKUP($A47,'WTG Reactive Power'!$A:$A,'WTG Reactive Power'!$AW:$AW))/X47,"")</f>
        <v>1.8511663357599823E-4</v>
      </c>
      <c r="AP47" s="142">
        <f>IFERROR(_xlfn.XLOOKUP($D47,'Modelling New'!$D:$D,'Modelling New'!$AK:$AK),"")</f>
        <v>0.05</v>
      </c>
      <c r="AQ47" s="142">
        <f>IFERROR(_xlfn.XLOOKUP($D47,'Modelling New'!$D:$D,'Modelling New'!$AL:$AL),"")</f>
        <v>0.05</v>
      </c>
      <c r="AR47" s="198">
        <f>IFERROR(_xlfn.XLOOKUP($D47,'Modelling New'!$D:$D,'Modelling New'!$N:$N),"")</f>
        <v>70.400000000000006</v>
      </c>
      <c r="AS47" s="198"/>
    </row>
    <row r="48" spans="1:45">
      <c r="A48" s="137">
        <f t="shared" si="4"/>
        <v>45791</v>
      </c>
      <c r="B48" s="138">
        <f>YEAR(Daily_KPI[[#This Row],[Date]])+IF(MONTH(Daily_KPI[[#This Row],[Date]])&gt;=4,1,0)</f>
        <v>2026</v>
      </c>
      <c r="C48" s="108">
        <f>YEAR(Daily_KPI[[#This Row],[Date]])</f>
        <v>2025</v>
      </c>
      <c r="D48" s="139">
        <f>Daily_KPI[[#This Row],[Date]]-DAY(Daily_KPI[[#This Row],[Date]])+1</f>
        <v>45778</v>
      </c>
      <c r="E48" s="108">
        <f t="shared" si="0"/>
        <v>31</v>
      </c>
      <c r="F48" s="109"/>
      <c r="G48" s="143"/>
      <c r="H48" s="143"/>
      <c r="I48" s="143"/>
      <c r="J48" s="143"/>
      <c r="K48" s="111"/>
      <c r="L48" s="110"/>
      <c r="M48" s="110">
        <f>IFERROR(_xlfn.XLOOKUP($A48,Input_Raw!$A:$A,Input_Raw!$CQ:$CQ),"")</f>
        <v>3.7081818181818189</v>
      </c>
      <c r="N48" s="110">
        <f>IFERROR(_xlfn.XLOOKUP($A48,Input_Raw!$A:$A,Input_Raw!$CR:$CR),"")</f>
        <v>4.6900000000000004</v>
      </c>
      <c r="O48" s="141">
        <f t="shared" si="1"/>
        <v>0.85412763511784251</v>
      </c>
      <c r="P48" s="141">
        <f>IFERROR(1-SUMIF(WTG_BD!$F:$F,$A48,WTG_BD!$AA:$AA)/($AA48+SUMIF(WTG_BD!$F:$F,$A48,WTG_BD!$AA:$AA)),"")</f>
        <v>0.95992465639194369</v>
      </c>
      <c r="Q48" s="141">
        <f>IFERROR(1-SUMIF(IGA_BD!$F:$F,$A48,IGA_BD!$W:$W)/($AA48+SUMIF(IGA_BD!$F:$F,$A48,IGA_BD!$W:$W)),"")</f>
        <v>0.88978611959842868</v>
      </c>
      <c r="R48" s="141">
        <f>IFERROR(1-SUMIF(Grid_BD!$F:$F,$A48,Grid_BD!$Y:$Y)/($AA48+SUMIF(Grid_BD!$F:$F,$A48,Grid_BD!$Y:$Y)),"")</f>
        <v>1</v>
      </c>
      <c r="S48" s="108"/>
      <c r="T48" s="140"/>
      <c r="U48" s="141"/>
      <c r="V48" s="108"/>
      <c r="W48" s="142">
        <f t="shared" si="2"/>
        <v>5.7911931818181807E-2</v>
      </c>
      <c r="X48" s="108">
        <f>IFERROR(_xlfn.XLOOKUP($A48,Input_Raw!$A:$A,Input_Raw!$CP:$CP)*1000,"")</f>
        <v>97848</v>
      </c>
      <c r="Y48" s="108">
        <f>IFERROR(_xlfn.XLOOKUP($A48,Input_Raw!$A:$A,Input_Raw!DJ:DJ)*1000,"")</f>
        <v>97848</v>
      </c>
      <c r="Z48" s="108">
        <f>IFERROR(_xlfn.XLOOKUP($A48,Input_Raw!$A:$A,Input_Raw!DK:DK)*1000,"")</f>
        <v>0</v>
      </c>
      <c r="AA48" s="138">
        <f t="shared" si="3"/>
        <v>97848</v>
      </c>
      <c r="AB48" s="108">
        <f>IFERROR(_xlfn.XLOOKUP($A48,Input_Raw!$A:$A,Input_Raw!$DR:$DR),"")</f>
        <v>70.400000000000006</v>
      </c>
      <c r="AC48" s="143">
        <f>IFERROR(_xlfn.XLOOKUP($D48,'Modelling New'!$D:$D,'Modelling New'!$J:$J),"")</f>
        <v>5.7233333333333336</v>
      </c>
      <c r="AD48" s="138">
        <f>IFERROR(_xlfn.XLOOKUP($D48,'Modelling New'!$D:$D,'Modelling New'!$T:$T)*1000,"")</f>
        <v>349950.51476253523</v>
      </c>
      <c r="AE48" s="142"/>
      <c r="AF48" s="142">
        <f>IFERROR(_xlfn.XLOOKUP($D48,'Modelling New'!$D:$D,'Modelling New'!$W:$W),"")</f>
        <v>0.20712033307441716</v>
      </c>
      <c r="AG48" s="142">
        <f>IFERROR(_xlfn.XLOOKUP($D48,'Modelling New'!$D:$D,'Modelling New'!$AE:$AE),"")</f>
        <v>0.96029999999999993</v>
      </c>
      <c r="AH48" s="142">
        <f>IFERROR(_xlfn.XLOOKUP($D48,'Modelling New'!$D:$D,'Modelling New'!$AF:$AF),"")</f>
        <v>0.995</v>
      </c>
      <c r="AI48" s="109">
        <f>IFERROR(_xlfn.XLOOKUP($A48,Input_Raw!$A:$A,Input_Raw!$DP:$DP),"")</f>
        <v>104.47</v>
      </c>
      <c r="AJ48" s="108"/>
      <c r="AK48" s="108"/>
      <c r="AL48" s="108"/>
      <c r="AM48" s="108"/>
      <c r="AN48" s="132">
        <f>IFERROR(_xlfn.XLOOKUP($A48,Input_Raw!$A:$A,Input_Raw!$DL:$DL),"")</f>
        <v>0</v>
      </c>
      <c r="AO48" s="142">
        <f>IFERROR((_xlfn.XLOOKUP($A48,'WTG Reactive Power'!$A:$A,'WTG Reactive Power'!$AW:$AW))/X48,"")</f>
        <v>1.9716171681247107E-4</v>
      </c>
      <c r="AP48" s="142">
        <f>IFERROR(_xlfn.XLOOKUP($D48,'Modelling New'!$D:$D,'Modelling New'!$AK:$AK),"")</f>
        <v>0.05</v>
      </c>
      <c r="AQ48" s="142">
        <f>IFERROR(_xlfn.XLOOKUP($D48,'Modelling New'!$D:$D,'Modelling New'!$AL:$AL),"")</f>
        <v>0.05</v>
      </c>
      <c r="AR48" s="198">
        <f>IFERROR(_xlfn.XLOOKUP($D48,'Modelling New'!$D:$D,'Modelling New'!$N:$N),"")</f>
        <v>70.400000000000006</v>
      </c>
      <c r="AS48" s="198"/>
    </row>
    <row r="49" spans="1:45">
      <c r="A49" s="137">
        <f t="shared" si="4"/>
        <v>45792</v>
      </c>
      <c r="B49" s="138">
        <f>YEAR(Daily_KPI[[#This Row],[Date]])+IF(MONTH(Daily_KPI[[#This Row],[Date]])&gt;=4,1,0)</f>
        <v>2026</v>
      </c>
      <c r="C49" s="108">
        <f>YEAR(Daily_KPI[[#This Row],[Date]])</f>
        <v>2025</v>
      </c>
      <c r="D49" s="139">
        <f>Daily_KPI[[#This Row],[Date]]-DAY(Daily_KPI[[#This Row],[Date]])+1</f>
        <v>45778</v>
      </c>
      <c r="E49" s="108">
        <f t="shared" si="0"/>
        <v>31</v>
      </c>
      <c r="F49" s="109"/>
      <c r="G49" s="110"/>
      <c r="H49" s="110"/>
      <c r="I49" s="110"/>
      <c r="J49" s="110"/>
      <c r="K49" s="111"/>
      <c r="L49" s="110"/>
      <c r="M49" s="110">
        <f>IFERROR(_xlfn.XLOOKUP($A49,Input_Raw!$A:$A,Input_Raw!$CQ:$CQ),"")</f>
        <v>4.0220454545454549</v>
      </c>
      <c r="N49" s="110">
        <f>IFERROR(_xlfn.XLOOKUP($A49,Input_Raw!$A:$A,Input_Raw!$CR:$CR),"")</f>
        <v>5.43</v>
      </c>
      <c r="O49" s="141">
        <f t="shared" si="1"/>
        <v>0.94095050583888029</v>
      </c>
      <c r="P49" s="141">
        <f>IFERROR(1-SUMIF(WTG_BD!$F:$F,$A49,WTG_BD!$AA:$AA)/($AA49+SUMIF(WTG_BD!$F:$F,$A49,WTG_BD!$AA:$AA)),"")</f>
        <v>0.97686674968866749</v>
      </c>
      <c r="Q49" s="141">
        <f>IFERROR(1-SUMIF(IGA_BD!$F:$F,$A49,IGA_BD!$W:$W)/($AA49+SUMIF(IGA_BD!$F:$F,$A49,IGA_BD!$W:$W)),"")</f>
        <v>0.96323322104961207</v>
      </c>
      <c r="R49" s="141">
        <f>IFERROR(1-SUMIF(Grid_BD!$F:$F,$A49,Grid_BD!$Y:$Y)/($AA49+SUMIF(Grid_BD!$F:$F,$A49,Grid_BD!$Y:$Y)),"")</f>
        <v>1</v>
      </c>
      <c r="S49" s="108"/>
      <c r="T49" s="140"/>
      <c r="U49" s="141"/>
      <c r="V49" s="108"/>
      <c r="W49" s="142">
        <f t="shared" si="2"/>
        <v>5.803326231060605E-2</v>
      </c>
      <c r="X49" s="108">
        <f>IFERROR(_xlfn.XLOOKUP($A49,Input_Raw!$A:$A,Input_Raw!$CP:$CP)*1000,"")</f>
        <v>98053</v>
      </c>
      <c r="Y49" s="108">
        <f>IFERROR(_xlfn.XLOOKUP($A49,Input_Raw!$A:$A,Input_Raw!DJ:DJ)*1000,"")</f>
        <v>98053</v>
      </c>
      <c r="Z49" s="108">
        <f>IFERROR(_xlfn.XLOOKUP($A49,Input_Raw!$A:$A,Input_Raw!DK:DK)*1000,"")</f>
        <v>0</v>
      </c>
      <c r="AA49" s="138">
        <f t="shared" si="3"/>
        <v>98053</v>
      </c>
      <c r="AB49" s="108">
        <f>IFERROR(_xlfn.XLOOKUP($A49,Input_Raw!$A:$A,Input_Raw!$DR:$DR),"")</f>
        <v>70.400000000000006</v>
      </c>
      <c r="AC49" s="143">
        <f>IFERROR(_xlfn.XLOOKUP($D49,'Modelling New'!$D:$D,'Modelling New'!$J:$J),"")</f>
        <v>5.7233333333333336</v>
      </c>
      <c r="AD49" s="138">
        <f>IFERROR(_xlfn.XLOOKUP($D49,'Modelling New'!$D:$D,'Modelling New'!$T:$T)*1000,"")</f>
        <v>349950.51476253523</v>
      </c>
      <c r="AE49" s="142"/>
      <c r="AF49" s="142">
        <f>IFERROR(_xlfn.XLOOKUP($D49,'Modelling New'!$D:$D,'Modelling New'!$W:$W),"")</f>
        <v>0.20712033307441716</v>
      </c>
      <c r="AG49" s="142">
        <f>IFERROR(_xlfn.XLOOKUP($D49,'Modelling New'!$D:$D,'Modelling New'!$AE:$AE),"")</f>
        <v>0.96029999999999993</v>
      </c>
      <c r="AH49" s="142">
        <f>IFERROR(_xlfn.XLOOKUP($D49,'Modelling New'!$D:$D,'Modelling New'!$AF:$AF),"")</f>
        <v>0.995</v>
      </c>
      <c r="AI49" s="109">
        <f>IFERROR(_xlfn.XLOOKUP($A49,Input_Raw!$A:$A,Input_Raw!$DP:$DP),"")</f>
        <v>98.72</v>
      </c>
      <c r="AJ49" s="108"/>
      <c r="AK49" s="108"/>
      <c r="AL49" s="108"/>
      <c r="AM49" s="108"/>
      <c r="AN49" s="132">
        <f>IFERROR(_xlfn.XLOOKUP($A49,Input_Raw!$A:$A,Input_Raw!$DL:$DL),"")</f>
        <v>0</v>
      </c>
      <c r="AO49" s="142">
        <f>IFERROR((_xlfn.XLOOKUP($A49,'WTG Reactive Power'!$A:$A,'WTG Reactive Power'!$AW:$AW))/X49,"")</f>
        <v>2.0189911068503767E-4</v>
      </c>
      <c r="AP49" s="142">
        <f>IFERROR(_xlfn.XLOOKUP($D49,'Modelling New'!$D:$D,'Modelling New'!$AK:$AK),"")</f>
        <v>0.05</v>
      </c>
      <c r="AQ49" s="142">
        <f>IFERROR(_xlfn.XLOOKUP($D49,'Modelling New'!$D:$D,'Modelling New'!$AL:$AL),"")</f>
        <v>0.05</v>
      </c>
      <c r="AR49" s="198">
        <f>IFERROR(_xlfn.XLOOKUP($D49,'Modelling New'!$D:$D,'Modelling New'!$N:$N),"")</f>
        <v>70.400000000000006</v>
      </c>
      <c r="AS49" s="198"/>
    </row>
    <row r="50" spans="1:45">
      <c r="A50" s="137">
        <f t="shared" si="4"/>
        <v>45793</v>
      </c>
      <c r="B50" s="138">
        <f>YEAR(Daily_KPI[[#This Row],[Date]])+IF(MONTH(Daily_KPI[[#This Row],[Date]])&gt;=4,1,0)</f>
        <v>2026</v>
      </c>
      <c r="C50" s="108">
        <f>YEAR(Daily_KPI[[#This Row],[Date]])</f>
        <v>2025</v>
      </c>
      <c r="D50" s="139">
        <f>Daily_KPI[[#This Row],[Date]]-DAY(Daily_KPI[[#This Row],[Date]])+1</f>
        <v>45778</v>
      </c>
      <c r="E50" s="108">
        <f t="shared" si="0"/>
        <v>31</v>
      </c>
      <c r="F50" s="109"/>
      <c r="G50" s="143"/>
      <c r="H50" s="143"/>
      <c r="I50" s="143"/>
      <c r="J50" s="143"/>
      <c r="K50" s="111"/>
      <c r="L50" s="110"/>
      <c r="M50" s="110">
        <f>IFERROR(_xlfn.XLOOKUP($A50,Input_Raw!$A:$A,Input_Raw!$CQ:$CQ),"")</f>
        <v>3.5484090909090908</v>
      </c>
      <c r="N50" s="110">
        <f>IFERROR(_xlfn.XLOOKUP($A50,Input_Raw!$A:$A,Input_Raw!$CR:$CR),"")</f>
        <v>4.28</v>
      </c>
      <c r="O50" s="141">
        <f t="shared" si="1"/>
        <v>0.99224825671761308</v>
      </c>
      <c r="P50" s="141">
        <f>IFERROR(1-SUMIF(WTG_BD!$F:$F,$A50,WTG_BD!$AA:$AA)/($AA50+SUMIF(WTG_BD!$F:$F,$A50,WTG_BD!$AA:$AA)),"")</f>
        <v>0.9995572252784114</v>
      </c>
      <c r="Q50" s="141">
        <f>IFERROR(1-SUMIF(IGA_BD!$F:$F,$A50,IGA_BD!$W:$W)/($AA50+SUMIF(IGA_BD!$F:$F,$A50,IGA_BD!$W:$W)),"")</f>
        <v>0.99268779377912808</v>
      </c>
      <c r="R50" s="141">
        <f>IFERROR(1-SUMIF(Grid_BD!$F:$F,$A50,Grid_BD!$Y:$Y)/($AA50+SUMIF(Grid_BD!$F:$F,$A50,Grid_BD!$Y:$Y)),"")</f>
        <v>1</v>
      </c>
      <c r="S50" s="108"/>
      <c r="T50" s="140"/>
      <c r="U50" s="141"/>
      <c r="V50" s="108"/>
      <c r="W50" s="142">
        <f t="shared" si="2"/>
        <v>4.4091500946969689E-2</v>
      </c>
      <c r="X50" s="108">
        <f>IFERROR(_xlfn.XLOOKUP($A50,Input_Raw!$A:$A,Input_Raw!$CP:$CP)*1000,"")</f>
        <v>74497</v>
      </c>
      <c r="Y50" s="108">
        <f>IFERROR(_xlfn.XLOOKUP($A50,Input_Raw!$A:$A,Input_Raw!DJ:DJ)*1000,"")</f>
        <v>74497</v>
      </c>
      <c r="Z50" s="108">
        <f>IFERROR(_xlfn.XLOOKUP($A50,Input_Raw!$A:$A,Input_Raw!DK:DK)*1000,"")</f>
        <v>0</v>
      </c>
      <c r="AA50" s="138">
        <f t="shared" si="3"/>
        <v>74497</v>
      </c>
      <c r="AB50" s="108">
        <f>IFERROR(_xlfn.XLOOKUP($A50,Input_Raw!$A:$A,Input_Raw!$DR:$DR),"")</f>
        <v>70.400000000000006</v>
      </c>
      <c r="AC50" s="143">
        <f>IFERROR(_xlfn.XLOOKUP($D50,'Modelling New'!$D:$D,'Modelling New'!$J:$J),"")</f>
        <v>5.7233333333333336</v>
      </c>
      <c r="AD50" s="138">
        <f>IFERROR(_xlfn.XLOOKUP($D50,'Modelling New'!$D:$D,'Modelling New'!$T:$T)*1000,"")</f>
        <v>349950.51476253523</v>
      </c>
      <c r="AE50" s="142"/>
      <c r="AF50" s="142">
        <f>IFERROR(_xlfn.XLOOKUP($D50,'Modelling New'!$D:$D,'Modelling New'!$W:$W),"")</f>
        <v>0.20712033307441716</v>
      </c>
      <c r="AG50" s="142">
        <f>IFERROR(_xlfn.XLOOKUP($D50,'Modelling New'!$D:$D,'Modelling New'!$AE:$AE),"")</f>
        <v>0.96029999999999993</v>
      </c>
      <c r="AH50" s="142">
        <f>IFERROR(_xlfn.XLOOKUP($D50,'Modelling New'!$D:$D,'Modelling New'!$AF:$AF),"")</f>
        <v>0.995</v>
      </c>
      <c r="AI50" s="109">
        <f>IFERROR(_xlfn.XLOOKUP($A50,Input_Raw!$A:$A,Input_Raw!$DP:$DP),"")</f>
        <v>74.53</v>
      </c>
      <c r="AJ50" s="108"/>
      <c r="AK50" s="108"/>
      <c r="AL50" s="108"/>
      <c r="AM50" s="108"/>
      <c r="AN50" s="132">
        <f>IFERROR(_xlfn.XLOOKUP($A50,Input_Raw!$A:$A,Input_Raw!$DL:$DL),"")</f>
        <v>0</v>
      </c>
      <c r="AO50" s="142">
        <f>IFERROR((_xlfn.XLOOKUP($A50,'WTG Reactive Power'!$A:$A,'WTG Reactive Power'!$AW:$AW))/X50,"")</f>
        <v>9.5011745439413622E-6</v>
      </c>
      <c r="AP50" s="142">
        <f>IFERROR(_xlfn.XLOOKUP($D50,'Modelling New'!$D:$D,'Modelling New'!$AK:$AK),"")</f>
        <v>0.05</v>
      </c>
      <c r="AQ50" s="142">
        <f>IFERROR(_xlfn.XLOOKUP($D50,'Modelling New'!$D:$D,'Modelling New'!$AL:$AL),"")</f>
        <v>0.05</v>
      </c>
      <c r="AR50" s="198">
        <f>IFERROR(_xlfn.XLOOKUP($D50,'Modelling New'!$D:$D,'Modelling New'!$N:$N),"")</f>
        <v>70.400000000000006</v>
      </c>
      <c r="AS50" s="198"/>
    </row>
    <row r="51" spans="1:45">
      <c r="A51" s="137">
        <f t="shared" si="4"/>
        <v>45794</v>
      </c>
      <c r="B51" s="138">
        <f>YEAR(Daily_KPI[[#This Row],[Date]])+IF(MONTH(Daily_KPI[[#This Row],[Date]])&gt;=4,1,0)</f>
        <v>2026</v>
      </c>
      <c r="C51" s="108">
        <f>YEAR(Daily_KPI[[#This Row],[Date]])</f>
        <v>2025</v>
      </c>
      <c r="D51" s="139">
        <f>Daily_KPI[[#This Row],[Date]]-DAY(Daily_KPI[[#This Row],[Date]])+1</f>
        <v>45778</v>
      </c>
      <c r="E51" s="108">
        <f t="shared" si="0"/>
        <v>31</v>
      </c>
      <c r="F51" s="109"/>
      <c r="G51" s="110"/>
      <c r="H51" s="110"/>
      <c r="I51" s="110"/>
      <c r="J51" s="110"/>
      <c r="K51" s="111"/>
      <c r="L51" s="110"/>
      <c r="M51" s="110">
        <f>IFERROR(_xlfn.XLOOKUP($A51,Input_Raw!$A:$A,Input_Raw!$CQ:$CQ),"")</f>
        <v>4.8418181818181827</v>
      </c>
      <c r="N51" s="110">
        <f>IFERROR(_xlfn.XLOOKUP($A51,Input_Raw!$A:$A,Input_Raw!$CR:$CR),"")</f>
        <v>6.14</v>
      </c>
      <c r="O51" s="141">
        <f t="shared" si="1"/>
        <v>0.99252810500229738</v>
      </c>
      <c r="P51" s="141">
        <f>IFERROR(1-SUMIF(WTG_BD!$F:$F,$A51,WTG_BD!$AA:$AA)/($AA51+SUMIF(WTG_BD!$F:$F,$A51,WTG_BD!$AA:$AA)),"")</f>
        <v>0.9946249348648587</v>
      </c>
      <c r="Q51" s="141">
        <f>IFERROR(1-SUMIF(IGA_BD!$F:$F,$A51,IGA_BD!$W:$W)/($AA51+SUMIF(IGA_BD!$F:$F,$A51,IGA_BD!$W:$W)),"")</f>
        <v>0.99789183863277442</v>
      </c>
      <c r="R51" s="141">
        <f>IFERROR(1-SUMIF(Grid_BD!$F:$F,$A51,Grid_BD!$Y:$Y)/($AA51+SUMIF(Grid_BD!$F:$F,$A51,Grid_BD!$Y:$Y)),"")</f>
        <v>1</v>
      </c>
      <c r="S51" s="108"/>
      <c r="T51" s="140"/>
      <c r="U51" s="141"/>
      <c r="V51" s="108"/>
      <c r="W51" s="142">
        <f t="shared" si="2"/>
        <v>0.10393406723484847</v>
      </c>
      <c r="X51" s="108">
        <f>IFERROR(_xlfn.XLOOKUP($A51,Input_Raw!$A:$A,Input_Raw!$CP:$CP)*1000,"")</f>
        <v>175607</v>
      </c>
      <c r="Y51" s="108">
        <f>IFERROR(_xlfn.XLOOKUP($A51,Input_Raw!$A:$A,Input_Raw!DJ:DJ)*1000,"")</f>
        <v>175607</v>
      </c>
      <c r="Z51" s="108">
        <f>IFERROR(_xlfn.XLOOKUP($A51,Input_Raw!$A:$A,Input_Raw!DK:DK)*1000,"")</f>
        <v>0</v>
      </c>
      <c r="AA51" s="138">
        <f t="shared" si="3"/>
        <v>175607</v>
      </c>
      <c r="AB51" s="108">
        <f>IFERROR(_xlfn.XLOOKUP($A51,Input_Raw!$A:$A,Input_Raw!$DR:$DR),"")</f>
        <v>70.400000000000006</v>
      </c>
      <c r="AC51" s="143">
        <f>IFERROR(_xlfn.XLOOKUP($D51,'Modelling New'!$D:$D,'Modelling New'!$J:$J),"")</f>
        <v>5.7233333333333336</v>
      </c>
      <c r="AD51" s="138">
        <f>IFERROR(_xlfn.XLOOKUP($D51,'Modelling New'!$D:$D,'Modelling New'!$T:$T)*1000,"")</f>
        <v>349950.51476253523</v>
      </c>
      <c r="AE51" s="142"/>
      <c r="AF51" s="142">
        <f>IFERROR(_xlfn.XLOOKUP($D51,'Modelling New'!$D:$D,'Modelling New'!$W:$W),"")</f>
        <v>0.20712033307441716</v>
      </c>
      <c r="AG51" s="142">
        <f>IFERROR(_xlfn.XLOOKUP($D51,'Modelling New'!$D:$D,'Modelling New'!$AE:$AE),"")</f>
        <v>0.96029999999999993</v>
      </c>
      <c r="AH51" s="142">
        <f>IFERROR(_xlfn.XLOOKUP($D51,'Modelling New'!$D:$D,'Modelling New'!$AF:$AF),"")</f>
        <v>0.995</v>
      </c>
      <c r="AI51" s="109">
        <f>IFERROR(_xlfn.XLOOKUP($A51,Input_Raw!$A:$A,Input_Raw!$DP:$DP),"")</f>
        <v>167.61</v>
      </c>
      <c r="AJ51" s="108"/>
      <c r="AK51" s="108"/>
      <c r="AL51" s="108"/>
      <c r="AM51" s="108"/>
      <c r="AN51" s="132">
        <f>IFERROR(_xlfn.XLOOKUP($A51,Input_Raw!$A:$A,Input_Raw!$DL:$DL),"")</f>
        <v>0</v>
      </c>
      <c r="AO51" s="142">
        <f>IFERROR((_xlfn.XLOOKUP($A51,'WTG Reactive Power'!$A:$A,'WTG Reactive Power'!$AW:$AW))/X51,"")</f>
        <v>8.7605379246461315E-5</v>
      </c>
      <c r="AP51" s="142">
        <f>IFERROR(_xlfn.XLOOKUP($D51,'Modelling New'!$D:$D,'Modelling New'!$AK:$AK),"")</f>
        <v>0.05</v>
      </c>
      <c r="AQ51" s="142">
        <f>IFERROR(_xlfn.XLOOKUP($D51,'Modelling New'!$D:$D,'Modelling New'!$AL:$AL),"")</f>
        <v>0.05</v>
      </c>
      <c r="AR51" s="198">
        <f>IFERROR(_xlfn.XLOOKUP($D51,'Modelling New'!$D:$D,'Modelling New'!$N:$N),"")</f>
        <v>70.400000000000006</v>
      </c>
      <c r="AS51" s="198"/>
    </row>
    <row r="52" spans="1:45">
      <c r="A52" s="137">
        <f t="shared" si="4"/>
        <v>45795</v>
      </c>
      <c r="B52" s="138">
        <f>YEAR(Daily_KPI[[#This Row],[Date]])+IF(MONTH(Daily_KPI[[#This Row],[Date]])&gt;=4,1,0)</f>
        <v>2026</v>
      </c>
      <c r="C52" s="108">
        <f>YEAR(Daily_KPI[[#This Row],[Date]])</f>
        <v>2025</v>
      </c>
      <c r="D52" s="139">
        <f>Daily_KPI[[#This Row],[Date]]-DAY(Daily_KPI[[#This Row],[Date]])+1</f>
        <v>45778</v>
      </c>
      <c r="E52" s="108">
        <f t="shared" si="0"/>
        <v>31</v>
      </c>
      <c r="F52" s="109"/>
      <c r="G52" s="143"/>
      <c r="H52" s="143"/>
      <c r="I52" s="143"/>
      <c r="J52" s="143"/>
      <c r="K52" s="111"/>
      <c r="L52" s="110"/>
      <c r="M52" s="110">
        <f>IFERROR(_xlfn.XLOOKUP($A52,Input_Raw!$A:$A,Input_Raw!$CQ:$CQ),"")</f>
        <v>5.518409090909091</v>
      </c>
      <c r="N52" s="110">
        <f>IFERROR(_xlfn.XLOOKUP($A52,Input_Raw!$A:$A,Input_Raw!$CR:$CR),"")</f>
        <v>6.98</v>
      </c>
      <c r="O52" s="141">
        <f t="shared" si="1"/>
        <v>0.96908085890440088</v>
      </c>
      <c r="P52" s="141">
        <f>IFERROR(1-SUMIF(WTG_BD!$F:$F,$A52,WTG_BD!$AA:$AA)/($AA52+SUMIF(WTG_BD!$F:$F,$A52,WTG_BD!$AA:$AA)),"")</f>
        <v>1</v>
      </c>
      <c r="Q52" s="141">
        <f>IFERROR(1-SUMIF(IGA_BD!$F:$F,$A52,IGA_BD!$W:$W)/($AA52+SUMIF(IGA_BD!$F:$F,$A52,IGA_BD!$W:$W)),"")</f>
        <v>0.96908085890440088</v>
      </c>
      <c r="R52" s="141">
        <f>IFERROR(1-SUMIF(Grid_BD!$F:$F,$A52,Grid_BD!$Y:$Y)/($AA52+SUMIF(Grid_BD!$F:$F,$A52,Grid_BD!$Y:$Y)),"")</f>
        <v>1</v>
      </c>
      <c r="S52" s="108"/>
      <c r="T52" s="140"/>
      <c r="U52" s="141"/>
      <c r="V52" s="108"/>
      <c r="W52" s="142">
        <f t="shared" si="2"/>
        <v>8.0934540719696954E-2</v>
      </c>
      <c r="X52" s="108">
        <f>IFERROR(_xlfn.XLOOKUP($A52,Input_Raw!$A:$A,Input_Raw!$CP:$CP)*1000,"")</f>
        <v>136747</v>
      </c>
      <c r="Y52" s="108">
        <f>IFERROR(_xlfn.XLOOKUP($A52,Input_Raw!$A:$A,Input_Raw!DJ:DJ)*1000,"")</f>
        <v>136747</v>
      </c>
      <c r="Z52" s="108">
        <f>IFERROR(_xlfn.XLOOKUP($A52,Input_Raw!$A:$A,Input_Raw!DK:DK)*1000,"")</f>
        <v>0</v>
      </c>
      <c r="AA52" s="138">
        <f t="shared" si="3"/>
        <v>136747</v>
      </c>
      <c r="AB52" s="108">
        <f>IFERROR(_xlfn.XLOOKUP($A52,Input_Raw!$A:$A,Input_Raw!$DR:$DR),"")</f>
        <v>70.400000000000006</v>
      </c>
      <c r="AC52" s="143">
        <f>IFERROR(_xlfn.XLOOKUP($D52,'Modelling New'!$D:$D,'Modelling New'!$J:$J),"")</f>
        <v>5.7233333333333336</v>
      </c>
      <c r="AD52" s="138">
        <f>IFERROR(_xlfn.XLOOKUP($D52,'Modelling New'!$D:$D,'Modelling New'!$T:$T)*1000,"")</f>
        <v>349950.51476253523</v>
      </c>
      <c r="AE52" s="142"/>
      <c r="AF52" s="142">
        <f>IFERROR(_xlfn.XLOOKUP($D52,'Modelling New'!$D:$D,'Modelling New'!$W:$W),"")</f>
        <v>0.20712033307441716</v>
      </c>
      <c r="AG52" s="142">
        <f>IFERROR(_xlfn.XLOOKUP($D52,'Modelling New'!$D:$D,'Modelling New'!$AE:$AE),"")</f>
        <v>0.96029999999999993</v>
      </c>
      <c r="AH52" s="142">
        <f>IFERROR(_xlfn.XLOOKUP($D52,'Modelling New'!$D:$D,'Modelling New'!$AF:$AF),"")</f>
        <v>0.995</v>
      </c>
      <c r="AI52" s="109">
        <f>IFERROR(_xlfn.XLOOKUP($A52,Input_Raw!$A:$A,Input_Raw!$DP:$DP),"")</f>
        <v>82.84</v>
      </c>
      <c r="AJ52" s="108"/>
      <c r="AK52" s="108"/>
      <c r="AL52" s="108"/>
      <c r="AM52" s="108"/>
      <c r="AN52" s="132">
        <f>IFERROR(_xlfn.XLOOKUP($A52,Input_Raw!$A:$A,Input_Raw!$DL:$DL),"")</f>
        <v>0</v>
      </c>
      <c r="AO52" s="142">
        <f>IFERROR((_xlfn.XLOOKUP($A52,'WTG Reactive Power'!$A:$A,'WTG Reactive Power'!$AW:$AW))/X52,"")</f>
        <v>1.8750097909927746E-5</v>
      </c>
      <c r="AP52" s="142">
        <f>IFERROR(_xlfn.XLOOKUP($D52,'Modelling New'!$D:$D,'Modelling New'!$AK:$AK),"")</f>
        <v>0.05</v>
      </c>
      <c r="AQ52" s="142">
        <f>IFERROR(_xlfn.XLOOKUP($D52,'Modelling New'!$D:$D,'Modelling New'!$AL:$AL),"")</f>
        <v>0.05</v>
      </c>
      <c r="AR52" s="198">
        <f>IFERROR(_xlfn.XLOOKUP($D52,'Modelling New'!$D:$D,'Modelling New'!$N:$N),"")</f>
        <v>70.400000000000006</v>
      </c>
      <c r="AS52" s="198"/>
    </row>
    <row r="53" spans="1:45">
      <c r="A53" s="137">
        <f t="shared" si="4"/>
        <v>45796</v>
      </c>
      <c r="B53" s="138">
        <f>YEAR(Daily_KPI[[#This Row],[Date]])+IF(MONTH(Daily_KPI[[#This Row],[Date]])&gt;=4,1,0)</f>
        <v>2026</v>
      </c>
      <c r="C53" s="108">
        <f>YEAR(Daily_KPI[[#This Row],[Date]])</f>
        <v>2025</v>
      </c>
      <c r="D53" s="139">
        <f>Daily_KPI[[#This Row],[Date]]-DAY(Daily_KPI[[#This Row],[Date]])+1</f>
        <v>45778</v>
      </c>
      <c r="E53" s="108">
        <f t="shared" si="0"/>
        <v>31</v>
      </c>
      <c r="F53" s="109"/>
      <c r="G53" s="110"/>
      <c r="H53" s="110"/>
      <c r="I53" s="110"/>
      <c r="J53" s="110"/>
      <c r="K53" s="111"/>
      <c r="L53" s="110"/>
      <c r="M53" s="110">
        <f>IFERROR(_xlfn.XLOOKUP($A53,Input_Raw!$A:$A,Input_Raw!$CQ:$CQ),"")</f>
        <v>4.940681818181818</v>
      </c>
      <c r="N53" s="110">
        <f>IFERROR(_xlfn.XLOOKUP($A53,Input_Raw!$A:$A,Input_Raw!$CR:$CR),"")</f>
        <v>5.89</v>
      </c>
      <c r="O53" s="141">
        <f t="shared" si="1"/>
        <v>0.98127618742571521</v>
      </c>
      <c r="P53" s="141">
        <f>IFERROR(1-SUMIF(WTG_BD!$F:$F,$A53,WTG_BD!$AA:$AA)/($AA53+SUMIF(WTG_BD!$F:$F,$A53,WTG_BD!$AA:$AA)),"")</f>
        <v>0.99779292123789731</v>
      </c>
      <c r="Q53" s="141">
        <f>IFERROR(1-SUMIF(IGA_BD!$F:$F,$A53,IGA_BD!$W:$W)/($AA53+SUMIF(IGA_BD!$F:$F,$A53,IGA_BD!$W:$W)),"")</f>
        <v>0.98344673182117703</v>
      </c>
      <c r="R53" s="141">
        <f>IFERROR(1-SUMIF(Grid_BD!$F:$F,$A53,Grid_BD!$Y:$Y)/($AA53+SUMIF(Grid_BD!$F:$F,$A53,Grid_BD!$Y:$Y)),"")</f>
        <v>1</v>
      </c>
      <c r="S53" s="108"/>
      <c r="T53" s="140"/>
      <c r="U53" s="141"/>
      <c r="V53" s="108"/>
      <c r="W53" s="142">
        <f t="shared" si="2"/>
        <v>7.3314393939393929E-2</v>
      </c>
      <c r="X53" s="108">
        <f>IFERROR(_xlfn.XLOOKUP($A53,Input_Raw!$A:$A,Input_Raw!$CP:$CP)*1000,"")</f>
        <v>123872</v>
      </c>
      <c r="Y53" s="108">
        <f>IFERROR(_xlfn.XLOOKUP($A53,Input_Raw!$A:$A,Input_Raw!DJ:DJ)*1000,"")</f>
        <v>123871.99999999999</v>
      </c>
      <c r="Z53" s="108">
        <f>IFERROR(_xlfn.XLOOKUP($A53,Input_Raw!$A:$A,Input_Raw!DK:DK)*1000,"")</f>
        <v>0</v>
      </c>
      <c r="AA53" s="138">
        <f t="shared" si="3"/>
        <v>123871.99999999999</v>
      </c>
      <c r="AB53" s="108">
        <f>IFERROR(_xlfn.XLOOKUP($A53,Input_Raw!$A:$A,Input_Raw!$DR:$DR),"")</f>
        <v>70.400000000000006</v>
      </c>
      <c r="AC53" s="143">
        <f>IFERROR(_xlfn.XLOOKUP($D53,'Modelling New'!$D:$D,'Modelling New'!$J:$J),"")</f>
        <v>5.7233333333333336</v>
      </c>
      <c r="AD53" s="138">
        <f>IFERROR(_xlfn.XLOOKUP($D53,'Modelling New'!$D:$D,'Modelling New'!$T:$T)*1000,"")</f>
        <v>349950.51476253523</v>
      </c>
      <c r="AE53" s="142"/>
      <c r="AF53" s="142">
        <f>IFERROR(_xlfn.XLOOKUP($D53,'Modelling New'!$D:$D,'Modelling New'!$W:$W),"")</f>
        <v>0.20712033307441716</v>
      </c>
      <c r="AG53" s="142">
        <f>IFERROR(_xlfn.XLOOKUP($D53,'Modelling New'!$D:$D,'Modelling New'!$AE:$AE),"")</f>
        <v>0.96029999999999993</v>
      </c>
      <c r="AH53" s="142">
        <f>IFERROR(_xlfn.XLOOKUP($D53,'Modelling New'!$D:$D,'Modelling New'!$AF:$AF),"")</f>
        <v>0.995</v>
      </c>
      <c r="AI53" s="109">
        <f>IFERROR(_xlfn.XLOOKUP($A53,Input_Raw!$A:$A,Input_Raw!$DP:$DP),"")</f>
        <v>13.38</v>
      </c>
      <c r="AJ53" s="108"/>
      <c r="AK53" s="108"/>
      <c r="AL53" s="108"/>
      <c r="AM53" s="108"/>
      <c r="AN53" s="132">
        <f>IFERROR(_xlfn.XLOOKUP($A53,Input_Raw!$A:$A,Input_Raw!$DL:$DL),"")</f>
        <v>-1.1102230246251565E-16</v>
      </c>
      <c r="AO53" s="142">
        <f>IFERROR((_xlfn.XLOOKUP($A53,'WTG Reactive Power'!$A:$A,'WTG Reactive Power'!$AW:$AW))/X53,"")</f>
        <v>1.3070284245027123E-5</v>
      </c>
      <c r="AP53" s="142">
        <f>IFERROR(_xlfn.XLOOKUP($D53,'Modelling New'!$D:$D,'Modelling New'!$AK:$AK),"")</f>
        <v>0.05</v>
      </c>
      <c r="AQ53" s="142">
        <f>IFERROR(_xlfn.XLOOKUP($D53,'Modelling New'!$D:$D,'Modelling New'!$AL:$AL),"")</f>
        <v>0.05</v>
      </c>
      <c r="AR53" s="198">
        <f>IFERROR(_xlfn.XLOOKUP($D53,'Modelling New'!$D:$D,'Modelling New'!$N:$N),"")</f>
        <v>70.400000000000006</v>
      </c>
      <c r="AS53" s="198"/>
    </row>
    <row r="54" spans="1:45">
      <c r="A54" s="137">
        <f t="shared" si="4"/>
        <v>45797</v>
      </c>
      <c r="B54" s="138">
        <f>YEAR(Daily_KPI[[#This Row],[Date]])+IF(MONTH(Daily_KPI[[#This Row],[Date]])&gt;=4,1,0)</f>
        <v>2026</v>
      </c>
      <c r="C54" s="108">
        <f>YEAR(Daily_KPI[[#This Row],[Date]])</f>
        <v>2025</v>
      </c>
      <c r="D54" s="139">
        <f>Daily_KPI[[#This Row],[Date]]-DAY(Daily_KPI[[#This Row],[Date]])+1</f>
        <v>45778</v>
      </c>
      <c r="E54" s="108">
        <f t="shared" si="0"/>
        <v>31</v>
      </c>
      <c r="F54" s="109"/>
      <c r="G54" s="143"/>
      <c r="H54" s="143"/>
      <c r="I54" s="143"/>
      <c r="J54" s="143"/>
      <c r="K54" s="111"/>
      <c r="L54" s="110"/>
      <c r="M54" s="110">
        <f>IFERROR(_xlfn.XLOOKUP($A54,Input_Raw!$A:$A,Input_Raw!$CQ:$CQ),"")</f>
        <v>4.4509090909090903</v>
      </c>
      <c r="N54" s="110">
        <f>IFERROR(_xlfn.XLOOKUP($A54,Input_Raw!$A:$A,Input_Raw!$CR:$CR),"")</f>
        <v>5.38</v>
      </c>
      <c r="O54" s="141">
        <f t="shared" si="1"/>
        <v>0.91036861444462824</v>
      </c>
      <c r="P54" s="141">
        <f>IFERROR(1-SUMIF(WTG_BD!$F:$F,$A54,WTG_BD!$AA:$AA)/($AA54+SUMIF(WTG_BD!$F:$F,$A54,WTG_BD!$AA:$AA)),"")</f>
        <v>0.97965411129639501</v>
      </c>
      <c r="Q54" s="141">
        <f>IFERROR(1-SUMIF(IGA_BD!$F:$F,$A54,IGA_BD!$W:$W)/($AA54+SUMIF(IGA_BD!$F:$F,$A54,IGA_BD!$W:$W)),"")</f>
        <v>0.92927555138815277</v>
      </c>
      <c r="R54" s="141">
        <f>IFERROR(1-SUMIF(Grid_BD!$F:$F,$A54,Grid_BD!$Y:$Y)/($AA54+SUMIF(Grid_BD!$F:$F,$A54,Grid_BD!$Y:$Y)),"")</f>
        <v>1</v>
      </c>
      <c r="S54" s="108"/>
      <c r="T54" s="140"/>
      <c r="U54" s="141"/>
      <c r="V54" s="108"/>
      <c r="W54" s="142">
        <f t="shared" si="2"/>
        <v>6.7454427083333324E-2</v>
      </c>
      <c r="X54" s="108">
        <f>IFERROR(_xlfn.XLOOKUP($A54,Input_Raw!$A:$A,Input_Raw!$CP:$CP)*1000,"")</f>
        <v>113971</v>
      </c>
      <c r="Y54" s="108">
        <f>IFERROR(_xlfn.XLOOKUP($A54,Input_Raw!$A:$A,Input_Raw!DJ:DJ)*1000,"")</f>
        <v>113970.99999999999</v>
      </c>
      <c r="Z54" s="108">
        <f>IFERROR(_xlfn.XLOOKUP($A54,Input_Raw!$A:$A,Input_Raw!DK:DK)*1000,"")</f>
        <v>0</v>
      </c>
      <c r="AA54" s="138">
        <f t="shared" si="3"/>
        <v>113970.99999999999</v>
      </c>
      <c r="AB54" s="108">
        <f>IFERROR(_xlfn.XLOOKUP($A54,Input_Raw!$A:$A,Input_Raw!$DR:$DR),"")</f>
        <v>70.400000000000006</v>
      </c>
      <c r="AC54" s="143">
        <f>IFERROR(_xlfn.XLOOKUP($D54,'Modelling New'!$D:$D,'Modelling New'!$J:$J),"")</f>
        <v>5.7233333333333336</v>
      </c>
      <c r="AD54" s="138">
        <f>IFERROR(_xlfn.XLOOKUP($D54,'Modelling New'!$D:$D,'Modelling New'!$T:$T)*1000,"")</f>
        <v>349950.51476253523</v>
      </c>
      <c r="AE54" s="142"/>
      <c r="AF54" s="142">
        <f>IFERROR(_xlfn.XLOOKUP($D54,'Modelling New'!$D:$D,'Modelling New'!$W:$W),"")</f>
        <v>0.20712033307441716</v>
      </c>
      <c r="AG54" s="142">
        <f>IFERROR(_xlfn.XLOOKUP($D54,'Modelling New'!$D:$D,'Modelling New'!$AE:$AE),"")</f>
        <v>0.96029999999999993</v>
      </c>
      <c r="AH54" s="142">
        <f>IFERROR(_xlfn.XLOOKUP($D54,'Modelling New'!$D:$D,'Modelling New'!$AF:$AF),"")</f>
        <v>0.995</v>
      </c>
      <c r="AI54" s="109">
        <f>IFERROR(_xlfn.XLOOKUP($A54,Input_Raw!$A:$A,Input_Raw!$DP:$DP),"")</f>
        <v>114.6</v>
      </c>
      <c r="AJ54" s="108"/>
      <c r="AK54" s="108"/>
      <c r="AL54" s="108"/>
      <c r="AM54" s="108"/>
      <c r="AN54" s="132">
        <f>IFERROR(_xlfn.XLOOKUP($A54,Input_Raw!$A:$A,Input_Raw!$DL:$DL),"")</f>
        <v>-1.1102230246251565E-16</v>
      </c>
      <c r="AO54" s="142">
        <f>IFERROR((_xlfn.XLOOKUP($A54,'WTG Reactive Power'!$A:$A,'WTG Reactive Power'!$AW:$AW))/X54,"")</f>
        <v>3.1046231058778117E-6</v>
      </c>
      <c r="AP54" s="142">
        <f>IFERROR(_xlfn.XLOOKUP($D54,'Modelling New'!$D:$D,'Modelling New'!$AK:$AK),"")</f>
        <v>0.05</v>
      </c>
      <c r="AQ54" s="142">
        <f>IFERROR(_xlfn.XLOOKUP($D54,'Modelling New'!$D:$D,'Modelling New'!$AL:$AL),"")</f>
        <v>0.05</v>
      </c>
      <c r="AR54" s="198">
        <f>IFERROR(_xlfn.XLOOKUP($D54,'Modelling New'!$D:$D,'Modelling New'!$N:$N),"")</f>
        <v>70.400000000000006</v>
      </c>
      <c r="AS54" s="198"/>
    </row>
    <row r="55" spans="1:45">
      <c r="A55" s="137">
        <f t="shared" si="4"/>
        <v>45798</v>
      </c>
      <c r="B55" s="138">
        <f>YEAR(Daily_KPI[[#This Row],[Date]])+IF(MONTH(Daily_KPI[[#This Row],[Date]])&gt;=4,1,0)</f>
        <v>2026</v>
      </c>
      <c r="C55" s="108">
        <f>YEAR(Daily_KPI[[#This Row],[Date]])</f>
        <v>2025</v>
      </c>
      <c r="D55" s="139">
        <f>Daily_KPI[[#This Row],[Date]]-DAY(Daily_KPI[[#This Row],[Date]])+1</f>
        <v>45778</v>
      </c>
      <c r="E55" s="108">
        <f t="shared" si="0"/>
        <v>31</v>
      </c>
      <c r="F55" s="109"/>
      <c r="G55" s="110"/>
      <c r="H55" s="110"/>
      <c r="I55" s="110"/>
      <c r="J55" s="110"/>
      <c r="K55" s="111"/>
      <c r="L55" s="110"/>
      <c r="M55" s="110">
        <f>IFERROR(_xlfn.XLOOKUP($A55,Input_Raw!$A:$A,Input_Raw!$CQ:$CQ),"")</f>
        <v>4.4890909090909101</v>
      </c>
      <c r="N55" s="110">
        <f>IFERROR(_xlfn.XLOOKUP($A55,Input_Raw!$A:$A,Input_Raw!$CR:$CR),"")</f>
        <v>6.25</v>
      </c>
      <c r="O55" s="141">
        <f t="shared" si="1"/>
        <v>1</v>
      </c>
      <c r="P55" s="141">
        <f>IFERROR(1-SUMIF(WTG_BD!$F:$F,$A55,WTG_BD!$AA:$AA)/($AA55+SUMIF(WTG_BD!$F:$F,$A55,WTG_BD!$AA:$AA)),"")</f>
        <v>1</v>
      </c>
      <c r="Q55" s="141">
        <f>IFERROR(1-SUMIF(IGA_BD!$F:$F,$A55,IGA_BD!$W:$W)/($AA55+SUMIF(IGA_BD!$F:$F,$A55,IGA_BD!$W:$W)),"")</f>
        <v>1</v>
      </c>
      <c r="R55" s="141">
        <f>IFERROR(1-SUMIF(Grid_BD!$F:$F,$A55,Grid_BD!$Y:$Y)/($AA55+SUMIF(Grid_BD!$F:$F,$A55,Grid_BD!$Y:$Y)),"")</f>
        <v>1</v>
      </c>
      <c r="S55" s="108"/>
      <c r="T55" s="140"/>
      <c r="U55" s="141"/>
      <c r="V55" s="108"/>
      <c r="W55" s="142">
        <f t="shared" si="2"/>
        <v>9.2910156249999987E-2</v>
      </c>
      <c r="X55" s="108">
        <f>IFERROR(_xlfn.XLOOKUP($A55,Input_Raw!$A:$A,Input_Raw!$CP:$CP)*1000,"")</f>
        <v>156981</v>
      </c>
      <c r="Y55" s="108">
        <f>IFERROR(_xlfn.XLOOKUP($A55,Input_Raw!$A:$A,Input_Raw!DJ:DJ)*1000,"")</f>
        <v>156981</v>
      </c>
      <c r="Z55" s="108">
        <f>IFERROR(_xlfn.XLOOKUP($A55,Input_Raw!$A:$A,Input_Raw!DK:DK)*1000,"")</f>
        <v>0</v>
      </c>
      <c r="AA55" s="138">
        <f t="shared" si="3"/>
        <v>156981</v>
      </c>
      <c r="AB55" s="108">
        <f>IFERROR(_xlfn.XLOOKUP($A55,Input_Raw!$A:$A,Input_Raw!$DR:$DR),"")</f>
        <v>70.400000000000006</v>
      </c>
      <c r="AC55" s="143">
        <f>IFERROR(_xlfn.XLOOKUP($D55,'Modelling New'!$D:$D,'Modelling New'!$J:$J),"")</f>
        <v>5.7233333333333336</v>
      </c>
      <c r="AD55" s="138">
        <f>IFERROR(_xlfn.XLOOKUP($D55,'Modelling New'!$D:$D,'Modelling New'!$T:$T)*1000,"")</f>
        <v>349950.51476253523</v>
      </c>
      <c r="AE55" s="142"/>
      <c r="AF55" s="142">
        <f>IFERROR(_xlfn.XLOOKUP($D55,'Modelling New'!$D:$D,'Modelling New'!$W:$W),"")</f>
        <v>0.20712033307441716</v>
      </c>
      <c r="AG55" s="142">
        <f>IFERROR(_xlfn.XLOOKUP($D55,'Modelling New'!$D:$D,'Modelling New'!$AE:$AE),"")</f>
        <v>0.96029999999999993</v>
      </c>
      <c r="AH55" s="142">
        <f>IFERROR(_xlfn.XLOOKUP($D55,'Modelling New'!$D:$D,'Modelling New'!$AF:$AF),"")</f>
        <v>0.995</v>
      </c>
      <c r="AI55" s="109">
        <f>IFERROR(_xlfn.XLOOKUP($A55,Input_Raw!$A:$A,Input_Raw!$DP:$DP),"")</f>
        <v>143.72999999999999</v>
      </c>
      <c r="AJ55" s="108"/>
      <c r="AK55" s="108"/>
      <c r="AL55" s="108"/>
      <c r="AM55" s="108"/>
      <c r="AN55" s="132">
        <f>IFERROR(_xlfn.XLOOKUP($A55,Input_Raw!$A:$A,Input_Raw!$DL:$DL),"")</f>
        <v>0</v>
      </c>
      <c r="AO55" s="142">
        <f>IFERROR((_xlfn.XLOOKUP($A55,'WTG Reactive Power'!$A:$A,'WTG Reactive Power'!$AW:$AW))/X55,"")</f>
        <v>0</v>
      </c>
      <c r="AP55" s="142">
        <f>IFERROR(_xlfn.XLOOKUP($D55,'Modelling New'!$D:$D,'Modelling New'!$AK:$AK),"")</f>
        <v>0.05</v>
      </c>
      <c r="AQ55" s="142">
        <f>IFERROR(_xlfn.XLOOKUP($D55,'Modelling New'!$D:$D,'Modelling New'!$AL:$AL),"")</f>
        <v>0.05</v>
      </c>
      <c r="AR55" s="198">
        <f>IFERROR(_xlfn.XLOOKUP($D55,'Modelling New'!$D:$D,'Modelling New'!$N:$N),"")</f>
        <v>70.400000000000006</v>
      </c>
      <c r="AS55" s="198"/>
    </row>
    <row r="56" spans="1:45">
      <c r="A56" s="137">
        <f t="shared" si="4"/>
        <v>45799</v>
      </c>
      <c r="B56" s="138">
        <f>YEAR(Daily_KPI[[#This Row],[Date]])+IF(MONTH(Daily_KPI[[#This Row],[Date]])&gt;=4,1,0)</f>
        <v>2026</v>
      </c>
      <c r="C56" s="108">
        <f>YEAR(Daily_KPI[[#This Row],[Date]])</f>
        <v>2025</v>
      </c>
      <c r="D56" s="139">
        <f>Daily_KPI[[#This Row],[Date]]-DAY(Daily_KPI[[#This Row],[Date]])+1</f>
        <v>45778</v>
      </c>
      <c r="E56" s="108">
        <f t="shared" si="0"/>
        <v>31</v>
      </c>
      <c r="F56" s="109"/>
      <c r="G56" s="143"/>
      <c r="H56" s="143"/>
      <c r="I56" s="143"/>
      <c r="J56" s="143"/>
      <c r="K56" s="111"/>
      <c r="L56" s="110"/>
      <c r="M56" s="110">
        <f>IFERROR(_xlfn.XLOOKUP($A56,Input_Raw!$A:$A,Input_Raw!$CQ:$CQ),"")</f>
        <v>4.5872727272727269</v>
      </c>
      <c r="N56" s="110">
        <f>IFERROR(_xlfn.XLOOKUP($A56,Input_Raw!$A:$A,Input_Raw!$CR:$CR),"")</f>
        <v>6.51</v>
      </c>
      <c r="O56" s="141">
        <f t="shared" si="1"/>
        <v>0.98389374177336364</v>
      </c>
      <c r="P56" s="141">
        <f>IFERROR(1-SUMIF(WTG_BD!$F:$F,$A56,WTG_BD!$AA:$AA)/($AA56+SUMIF(WTG_BD!$F:$F,$A56,WTG_BD!$AA:$AA)),"")</f>
        <v>1</v>
      </c>
      <c r="Q56" s="141">
        <f>IFERROR(1-SUMIF(IGA_BD!$F:$F,$A56,IGA_BD!$W:$W)/($AA56+SUMIF(IGA_BD!$F:$F,$A56,IGA_BD!$W:$W)),"")</f>
        <v>0.98389374177336364</v>
      </c>
      <c r="R56" s="141">
        <f>IFERROR(1-SUMIF(Grid_BD!$F:$F,$A56,Grid_BD!$Y:$Y)/($AA56+SUMIF(Grid_BD!$F:$F,$A56,Grid_BD!$Y:$Y)),"")</f>
        <v>1</v>
      </c>
      <c r="S56" s="108"/>
      <c r="T56" s="140"/>
      <c r="U56" s="141"/>
      <c r="V56" s="108"/>
      <c r="W56" s="142">
        <f t="shared" si="2"/>
        <v>9.7329545454545446E-2</v>
      </c>
      <c r="X56" s="108">
        <f>IFERROR(_xlfn.XLOOKUP($A56,Input_Raw!$A:$A,Input_Raw!$CP:$CP)*1000,"")</f>
        <v>164448</v>
      </c>
      <c r="Y56" s="108">
        <f>IFERROR(_xlfn.XLOOKUP($A56,Input_Raw!$A:$A,Input_Raw!DJ:DJ)*1000,"")</f>
        <v>164448</v>
      </c>
      <c r="Z56" s="108">
        <f>IFERROR(_xlfn.XLOOKUP($A56,Input_Raw!$A:$A,Input_Raw!DK:DK)*1000,"")</f>
        <v>0</v>
      </c>
      <c r="AA56" s="138">
        <f t="shared" si="3"/>
        <v>164448</v>
      </c>
      <c r="AB56" s="108">
        <f>IFERROR(_xlfn.XLOOKUP($A56,Input_Raw!$A:$A,Input_Raw!$DR:$DR),"")</f>
        <v>70.400000000000006</v>
      </c>
      <c r="AC56" s="143">
        <f>IFERROR(_xlfn.XLOOKUP($D56,'Modelling New'!$D:$D,'Modelling New'!$J:$J),"")</f>
        <v>5.7233333333333336</v>
      </c>
      <c r="AD56" s="138">
        <f>IFERROR(_xlfn.XLOOKUP($D56,'Modelling New'!$D:$D,'Modelling New'!$T:$T)*1000,"")</f>
        <v>349950.51476253523</v>
      </c>
      <c r="AE56" s="142"/>
      <c r="AF56" s="142">
        <f>IFERROR(_xlfn.XLOOKUP($D56,'Modelling New'!$D:$D,'Modelling New'!$W:$W),"")</f>
        <v>0.20712033307441716</v>
      </c>
      <c r="AG56" s="142">
        <f>IFERROR(_xlfn.XLOOKUP($D56,'Modelling New'!$D:$D,'Modelling New'!$AE:$AE),"")</f>
        <v>0.96029999999999993</v>
      </c>
      <c r="AH56" s="142">
        <f>IFERROR(_xlfn.XLOOKUP($D56,'Modelling New'!$D:$D,'Modelling New'!$AF:$AF),"")</f>
        <v>0.995</v>
      </c>
      <c r="AI56" s="109">
        <f>IFERROR(_xlfn.XLOOKUP($A56,Input_Raw!$A:$A,Input_Raw!$DP:$DP),"")</f>
        <v>146.37</v>
      </c>
      <c r="AJ56" s="108"/>
      <c r="AK56" s="108"/>
      <c r="AL56" s="108"/>
      <c r="AM56" s="108"/>
      <c r="AN56" s="132">
        <f>IFERROR(_xlfn.XLOOKUP($A56,Input_Raw!$A:$A,Input_Raw!$DL:$DL),"")</f>
        <v>0</v>
      </c>
      <c r="AO56" s="142">
        <f>IFERROR((_xlfn.XLOOKUP($A56,'WTG Reactive Power'!$A:$A,'WTG Reactive Power'!$AW:$AW))/X56,"")</f>
        <v>1.091078983427386E-4</v>
      </c>
      <c r="AP56" s="142">
        <f>IFERROR(_xlfn.XLOOKUP($D56,'Modelling New'!$D:$D,'Modelling New'!$AK:$AK),"")</f>
        <v>0.05</v>
      </c>
      <c r="AQ56" s="142">
        <f>IFERROR(_xlfn.XLOOKUP($D56,'Modelling New'!$D:$D,'Modelling New'!$AL:$AL),"")</f>
        <v>0.05</v>
      </c>
      <c r="AR56" s="198">
        <f>IFERROR(_xlfn.XLOOKUP($D56,'Modelling New'!$D:$D,'Modelling New'!$N:$N),"")</f>
        <v>70.400000000000006</v>
      </c>
      <c r="AS56" s="198"/>
    </row>
    <row r="57" spans="1:45">
      <c r="A57" s="137">
        <f t="shared" si="4"/>
        <v>45800</v>
      </c>
      <c r="B57" s="138">
        <f>YEAR(Daily_KPI[[#This Row],[Date]])+IF(MONTH(Daily_KPI[[#This Row],[Date]])&gt;=4,1,0)</f>
        <v>2026</v>
      </c>
      <c r="C57" s="108">
        <f>YEAR(Daily_KPI[[#This Row],[Date]])</f>
        <v>2025</v>
      </c>
      <c r="D57" s="139">
        <f>Daily_KPI[[#This Row],[Date]]-DAY(Daily_KPI[[#This Row],[Date]])+1</f>
        <v>45778</v>
      </c>
      <c r="E57" s="108">
        <f t="shared" si="0"/>
        <v>31</v>
      </c>
      <c r="F57" s="109"/>
      <c r="G57" s="110"/>
      <c r="H57" s="110"/>
      <c r="I57" s="110"/>
      <c r="J57" s="110"/>
      <c r="K57" s="111"/>
      <c r="L57" s="110"/>
      <c r="M57" s="110">
        <f>IFERROR(_xlfn.XLOOKUP($A57,Input_Raw!$A:$A,Input_Raw!$CQ:$CQ),"")</f>
        <v>4.4518181818181803</v>
      </c>
      <c r="N57" s="110">
        <f>IFERROR(_xlfn.XLOOKUP($A57,Input_Raw!$A:$A,Input_Raw!$CR:$CR),"")</f>
        <v>6.17</v>
      </c>
      <c r="O57" s="141">
        <f t="shared" si="1"/>
        <v>0.86219164942793114</v>
      </c>
      <c r="P57" s="141">
        <f>IFERROR(1-SUMIF(WTG_BD!$F:$F,$A57,WTG_BD!$AA:$AA)/($AA57+SUMIF(WTG_BD!$F:$F,$A57,WTG_BD!$AA:$AA)),"")</f>
        <v>0.99604681333758993</v>
      </c>
      <c r="Q57" s="141">
        <f>IFERROR(1-SUMIF(IGA_BD!$F:$F,$A57,IGA_BD!$W:$W)/($AA57+SUMIF(IGA_BD!$F:$F,$A57,IGA_BD!$W:$W)),"")</f>
        <v>0.86561358149309064</v>
      </c>
      <c r="R57" s="141">
        <f>IFERROR(1-SUMIF(Grid_BD!$F:$F,$A57,Grid_BD!$Y:$Y)/($AA57+SUMIF(Grid_BD!$F:$F,$A57,Grid_BD!$Y:$Y)),"")</f>
        <v>1</v>
      </c>
      <c r="S57" s="108"/>
      <c r="T57" s="140"/>
      <c r="U57" s="141"/>
      <c r="V57" s="108"/>
      <c r="W57" s="142">
        <f t="shared" si="2"/>
        <v>8.6790364583333321E-2</v>
      </c>
      <c r="X57" s="108">
        <f>IFERROR(_xlfn.XLOOKUP($A57,Input_Raw!$A:$A,Input_Raw!$CP:$CP)*1000,"")</f>
        <v>146641</v>
      </c>
      <c r="Y57" s="108">
        <f>IFERROR(_xlfn.XLOOKUP($A57,Input_Raw!$A:$A,Input_Raw!DJ:DJ)*1000,"")</f>
        <v>146641</v>
      </c>
      <c r="Z57" s="108">
        <f>IFERROR(_xlfn.XLOOKUP($A57,Input_Raw!$A:$A,Input_Raw!DK:DK)*1000,"")</f>
        <v>0</v>
      </c>
      <c r="AA57" s="138">
        <f t="shared" si="3"/>
        <v>146641</v>
      </c>
      <c r="AB57" s="108">
        <f>IFERROR(_xlfn.XLOOKUP($A57,Input_Raw!$A:$A,Input_Raw!$DR:$DR),"")</f>
        <v>70.400000000000006</v>
      </c>
      <c r="AC57" s="143">
        <f>IFERROR(_xlfn.XLOOKUP($D57,'Modelling New'!$D:$D,'Modelling New'!$J:$J),"")</f>
        <v>5.7233333333333336</v>
      </c>
      <c r="AD57" s="138">
        <f>IFERROR(_xlfn.XLOOKUP($D57,'Modelling New'!$D:$D,'Modelling New'!$T:$T)*1000,"")</f>
        <v>349950.51476253523</v>
      </c>
      <c r="AE57" s="142"/>
      <c r="AF57" s="142">
        <f>IFERROR(_xlfn.XLOOKUP($D57,'Modelling New'!$D:$D,'Modelling New'!$W:$W),"")</f>
        <v>0.20712033307441716</v>
      </c>
      <c r="AG57" s="142">
        <f>IFERROR(_xlfn.XLOOKUP($D57,'Modelling New'!$D:$D,'Modelling New'!$AE:$AE),"")</f>
        <v>0.96029999999999993</v>
      </c>
      <c r="AH57" s="142">
        <f>IFERROR(_xlfn.XLOOKUP($D57,'Modelling New'!$D:$D,'Modelling New'!$AF:$AF),"")</f>
        <v>0.995</v>
      </c>
      <c r="AI57" s="109">
        <f>IFERROR(_xlfn.XLOOKUP($A57,Input_Raw!$A:$A,Input_Raw!$DP:$DP),"")</f>
        <v>140.63</v>
      </c>
      <c r="AJ57" s="108"/>
      <c r="AK57" s="108"/>
      <c r="AL57" s="108"/>
      <c r="AM57" s="108"/>
      <c r="AN57" s="132">
        <f>IFERROR(_xlfn.XLOOKUP($A57,Input_Raw!$A:$A,Input_Raw!$DL:$DL),"")</f>
        <v>0</v>
      </c>
      <c r="AO57" s="142">
        <f>IFERROR((_xlfn.XLOOKUP($A57,'WTG Reactive Power'!$A:$A,'WTG Reactive Power'!$AW:$AW))/X57,"")</f>
        <v>1.5106214496627814E-4</v>
      </c>
      <c r="AP57" s="142">
        <f>IFERROR(_xlfn.XLOOKUP($D57,'Modelling New'!$D:$D,'Modelling New'!$AK:$AK),"")</f>
        <v>0.05</v>
      </c>
      <c r="AQ57" s="142">
        <f>IFERROR(_xlfn.XLOOKUP($D57,'Modelling New'!$D:$D,'Modelling New'!$AL:$AL),"")</f>
        <v>0.05</v>
      </c>
      <c r="AR57" s="198">
        <f>IFERROR(_xlfn.XLOOKUP($D57,'Modelling New'!$D:$D,'Modelling New'!$N:$N),"")</f>
        <v>70.400000000000006</v>
      </c>
      <c r="AS57" s="198"/>
    </row>
    <row r="58" spans="1:45">
      <c r="A58" s="137">
        <f t="shared" si="4"/>
        <v>45801</v>
      </c>
      <c r="B58" s="138">
        <f>YEAR(Daily_KPI[[#This Row],[Date]])+IF(MONTH(Daily_KPI[[#This Row],[Date]])&gt;=4,1,0)</f>
        <v>2026</v>
      </c>
      <c r="C58" s="108">
        <f>YEAR(Daily_KPI[[#This Row],[Date]])</f>
        <v>2025</v>
      </c>
      <c r="D58" s="139">
        <f>Daily_KPI[[#This Row],[Date]]-DAY(Daily_KPI[[#This Row],[Date]])+1</f>
        <v>45778</v>
      </c>
      <c r="E58" s="108">
        <f t="shared" si="0"/>
        <v>31</v>
      </c>
      <c r="F58" s="109"/>
      <c r="G58" s="143"/>
      <c r="H58" s="143"/>
      <c r="I58" s="143"/>
      <c r="J58" s="143"/>
      <c r="K58" s="111"/>
      <c r="L58" s="110"/>
      <c r="M58" s="110">
        <f>IFERROR(_xlfn.XLOOKUP($A58,Input_Raw!$A:$A,Input_Raw!$CQ:$CQ),"")</f>
        <v>2.8849999999999998</v>
      </c>
      <c r="N58" s="110">
        <f>IFERROR(_xlfn.XLOOKUP($A58,Input_Raw!$A:$A,Input_Raw!$CR:$CR),"")</f>
        <v>3.79</v>
      </c>
      <c r="O58" s="141">
        <f t="shared" si="1"/>
        <v>0.99638310769852501</v>
      </c>
      <c r="P58" s="141">
        <f>IFERROR(1-SUMIF(WTG_BD!$F:$F,$A58,WTG_BD!$AA:$AA)/($AA58+SUMIF(WTG_BD!$F:$F,$A58,WTG_BD!$AA:$AA)),"")</f>
        <v>0.99638310769852501</v>
      </c>
      <c r="Q58" s="141">
        <f>IFERROR(1-SUMIF(IGA_BD!$F:$F,$A58,IGA_BD!$W:$W)/($AA58+SUMIF(IGA_BD!$F:$F,$A58,IGA_BD!$W:$W)),"")</f>
        <v>1</v>
      </c>
      <c r="R58" s="141">
        <f>IFERROR(1-SUMIF(Grid_BD!$F:$F,$A58,Grid_BD!$Y:$Y)/($AA58+SUMIF(Grid_BD!$F:$F,$A58,Grid_BD!$Y:$Y)),"")</f>
        <v>1</v>
      </c>
      <c r="S58" s="108"/>
      <c r="T58" s="140"/>
      <c r="U58" s="141"/>
      <c r="V58" s="108"/>
      <c r="W58" s="142">
        <f t="shared" si="2"/>
        <v>2.9185014204545452E-2</v>
      </c>
      <c r="X58" s="108">
        <f>IFERROR(_xlfn.XLOOKUP($A58,Input_Raw!$A:$A,Input_Raw!$CP:$CP)*1000,"")</f>
        <v>49311</v>
      </c>
      <c r="Y58" s="108">
        <f>IFERROR(_xlfn.XLOOKUP($A58,Input_Raw!$A:$A,Input_Raw!DJ:DJ)*1000,"")</f>
        <v>49311</v>
      </c>
      <c r="Z58" s="108">
        <f>IFERROR(_xlfn.XLOOKUP($A58,Input_Raw!$A:$A,Input_Raw!DK:DK)*1000,"")</f>
        <v>0</v>
      </c>
      <c r="AA58" s="138">
        <f t="shared" si="3"/>
        <v>49311</v>
      </c>
      <c r="AB58" s="108">
        <f>IFERROR(_xlfn.XLOOKUP($A58,Input_Raw!$A:$A,Input_Raw!$DR:$DR),"")</f>
        <v>70.400000000000006</v>
      </c>
      <c r="AC58" s="143">
        <f>IFERROR(_xlfn.XLOOKUP($D58,'Modelling New'!$D:$D,'Modelling New'!$J:$J),"")</f>
        <v>5.7233333333333336</v>
      </c>
      <c r="AD58" s="138">
        <f>IFERROR(_xlfn.XLOOKUP($D58,'Modelling New'!$D:$D,'Modelling New'!$T:$T)*1000,"")</f>
        <v>349950.51476253523</v>
      </c>
      <c r="AE58" s="142"/>
      <c r="AF58" s="142">
        <f>IFERROR(_xlfn.XLOOKUP($D58,'Modelling New'!$D:$D,'Modelling New'!$W:$W),"")</f>
        <v>0.20712033307441716</v>
      </c>
      <c r="AG58" s="142">
        <f>IFERROR(_xlfn.XLOOKUP($D58,'Modelling New'!$D:$D,'Modelling New'!$AE:$AE),"")</f>
        <v>0.96029999999999993</v>
      </c>
      <c r="AH58" s="142">
        <f>IFERROR(_xlfn.XLOOKUP($D58,'Modelling New'!$D:$D,'Modelling New'!$AF:$AF),"")</f>
        <v>0.995</v>
      </c>
      <c r="AI58" s="109">
        <f>IFERROR(_xlfn.XLOOKUP($A58,Input_Raw!$A:$A,Input_Raw!$DP:$DP),"")</f>
        <v>45.49</v>
      </c>
      <c r="AJ58" s="108"/>
      <c r="AK58" s="108"/>
      <c r="AL58" s="108"/>
      <c r="AM58" s="108"/>
      <c r="AN58" s="132">
        <f>IFERROR(_xlfn.XLOOKUP($A58,Input_Raw!$A:$A,Input_Raw!$DL:$DL),"")</f>
        <v>0</v>
      </c>
      <c r="AO58" s="142">
        <f>IFERROR((_xlfn.XLOOKUP($A58,'WTG Reactive Power'!$A:$A,'WTG Reactive Power'!$AW:$AW))/X58,"")</f>
        <v>4.4922844801362764E-4</v>
      </c>
      <c r="AP58" s="142">
        <f>IFERROR(_xlfn.XLOOKUP($D58,'Modelling New'!$D:$D,'Modelling New'!$AK:$AK),"")</f>
        <v>0.05</v>
      </c>
      <c r="AQ58" s="142">
        <f>IFERROR(_xlfn.XLOOKUP($D58,'Modelling New'!$D:$D,'Modelling New'!$AL:$AL),"")</f>
        <v>0.05</v>
      </c>
      <c r="AR58" s="198">
        <f>IFERROR(_xlfn.XLOOKUP($D58,'Modelling New'!$D:$D,'Modelling New'!$N:$N),"")</f>
        <v>70.400000000000006</v>
      </c>
      <c r="AS58" s="198"/>
    </row>
    <row r="59" spans="1:45">
      <c r="A59" s="137">
        <f t="shared" si="4"/>
        <v>45802</v>
      </c>
      <c r="B59" s="138">
        <f>YEAR(Daily_KPI[[#This Row],[Date]])+IF(MONTH(Daily_KPI[[#This Row],[Date]])&gt;=4,1,0)</f>
        <v>2026</v>
      </c>
      <c r="C59" s="108">
        <f>YEAR(Daily_KPI[[#This Row],[Date]])</f>
        <v>2025</v>
      </c>
      <c r="D59" s="139">
        <f>Daily_KPI[[#This Row],[Date]]-DAY(Daily_KPI[[#This Row],[Date]])+1</f>
        <v>45778</v>
      </c>
      <c r="E59" s="108">
        <f t="shared" si="0"/>
        <v>31</v>
      </c>
      <c r="F59" s="109"/>
      <c r="G59" s="110"/>
      <c r="H59" s="110"/>
      <c r="I59" s="110"/>
      <c r="J59" s="110"/>
      <c r="K59" s="111"/>
      <c r="L59" s="110"/>
      <c r="M59" s="110">
        <f>IFERROR(_xlfn.XLOOKUP($A59,Input_Raw!$A:$A,Input_Raw!$CQ:$CQ),"")</f>
        <v>6.3202272727272719</v>
      </c>
      <c r="N59" s="110">
        <f>IFERROR(_xlfn.XLOOKUP($A59,Input_Raw!$A:$A,Input_Raw!$CR:$CR),"")</f>
        <v>8.5500000000000007</v>
      </c>
      <c r="O59" s="141">
        <f t="shared" si="1"/>
        <v>0.99014414857359245</v>
      </c>
      <c r="P59" s="141">
        <f>IFERROR(1-SUMIF(WTG_BD!$F:$F,$A59,WTG_BD!$AA:$AA)/($AA59+SUMIF(WTG_BD!$F:$F,$A59,WTG_BD!$AA:$AA)),"")</f>
        <v>0.99245470022619908</v>
      </c>
      <c r="Q59" s="141">
        <f>IFERROR(1-SUMIF(IGA_BD!$F:$F,$A59,IGA_BD!$W:$W)/($AA59+SUMIF(IGA_BD!$F:$F,$A59,IGA_BD!$W:$W)),"")</f>
        <v>0.99767188199916834</v>
      </c>
      <c r="R59" s="141">
        <f>IFERROR(1-SUMIF(Grid_BD!$F:$F,$A59,Grid_BD!$Y:$Y)/($AA59+SUMIF(Grid_BD!$F:$F,$A59,Grid_BD!$Y:$Y)),"")</f>
        <v>1</v>
      </c>
      <c r="S59" s="108"/>
      <c r="T59" s="140"/>
      <c r="U59" s="141"/>
      <c r="V59" s="108"/>
      <c r="W59" s="142">
        <f t="shared" si="2"/>
        <v>0.29395596590909084</v>
      </c>
      <c r="X59" s="108">
        <f>IFERROR(_xlfn.XLOOKUP($A59,Input_Raw!$A:$A,Input_Raw!$CP:$CP)*1000,"")</f>
        <v>496668</v>
      </c>
      <c r="Y59" s="108">
        <f>IFERROR(_xlfn.XLOOKUP($A59,Input_Raw!$A:$A,Input_Raw!DJ:DJ)*1000,"")</f>
        <v>496668</v>
      </c>
      <c r="Z59" s="108">
        <f>IFERROR(_xlfn.XLOOKUP($A59,Input_Raw!$A:$A,Input_Raw!DK:DK)*1000,"")</f>
        <v>0</v>
      </c>
      <c r="AA59" s="138">
        <f t="shared" si="3"/>
        <v>496668</v>
      </c>
      <c r="AB59" s="108">
        <f>IFERROR(_xlfn.XLOOKUP($A59,Input_Raw!$A:$A,Input_Raw!$DR:$DR),"")</f>
        <v>70.400000000000006</v>
      </c>
      <c r="AC59" s="143">
        <f>IFERROR(_xlfn.XLOOKUP($D59,'Modelling New'!$D:$D,'Modelling New'!$J:$J),"")</f>
        <v>5.7233333333333336</v>
      </c>
      <c r="AD59" s="138">
        <f>IFERROR(_xlfn.XLOOKUP($D59,'Modelling New'!$D:$D,'Modelling New'!$T:$T)*1000,"")</f>
        <v>349950.51476253523</v>
      </c>
      <c r="AE59" s="142"/>
      <c r="AF59" s="142">
        <f>IFERROR(_xlfn.XLOOKUP($D59,'Modelling New'!$D:$D,'Modelling New'!$W:$W),"")</f>
        <v>0.20712033307441716</v>
      </c>
      <c r="AG59" s="142">
        <f>IFERROR(_xlfn.XLOOKUP($D59,'Modelling New'!$D:$D,'Modelling New'!$AE:$AE),"")</f>
        <v>0.96029999999999993</v>
      </c>
      <c r="AH59" s="142">
        <f>IFERROR(_xlfn.XLOOKUP($D59,'Modelling New'!$D:$D,'Modelling New'!$AF:$AF),"")</f>
        <v>0.995</v>
      </c>
      <c r="AI59" s="109">
        <f>IFERROR(_xlfn.XLOOKUP($A59,Input_Raw!$A:$A,Input_Raw!$DP:$DP),"")</f>
        <v>464.94</v>
      </c>
      <c r="AJ59" s="108"/>
      <c r="AK59" s="108"/>
      <c r="AL59" s="108"/>
      <c r="AM59" s="108"/>
      <c r="AN59" s="132">
        <f>IFERROR(_xlfn.XLOOKUP($A59,Input_Raw!$A:$A,Input_Raw!$DL:$DL),"")</f>
        <v>0</v>
      </c>
      <c r="AO59" s="142">
        <f>IFERROR((_xlfn.XLOOKUP($A59,'WTG Reactive Power'!$A:$A,'WTG Reactive Power'!$AW:$AW))/X59,"")</f>
        <v>4.4601029258981836E-5</v>
      </c>
      <c r="AP59" s="142">
        <f>IFERROR(_xlfn.XLOOKUP($D59,'Modelling New'!$D:$D,'Modelling New'!$AK:$AK),"")</f>
        <v>0.05</v>
      </c>
      <c r="AQ59" s="142">
        <f>IFERROR(_xlfn.XLOOKUP($D59,'Modelling New'!$D:$D,'Modelling New'!$AL:$AL),"")</f>
        <v>0.05</v>
      </c>
      <c r="AR59" s="198">
        <f>IFERROR(_xlfn.XLOOKUP($D59,'Modelling New'!$D:$D,'Modelling New'!$N:$N),"")</f>
        <v>70.400000000000006</v>
      </c>
      <c r="AS59" s="198"/>
    </row>
    <row r="60" spans="1:45">
      <c r="A60" s="137">
        <f t="shared" si="4"/>
        <v>45803</v>
      </c>
      <c r="B60" s="138">
        <f>YEAR(Daily_KPI[[#This Row],[Date]])+IF(MONTH(Daily_KPI[[#This Row],[Date]])&gt;=4,1,0)</f>
        <v>2026</v>
      </c>
      <c r="C60" s="108">
        <f>YEAR(Daily_KPI[[#This Row],[Date]])</f>
        <v>2025</v>
      </c>
      <c r="D60" s="139">
        <f>Daily_KPI[[#This Row],[Date]]-DAY(Daily_KPI[[#This Row],[Date]])+1</f>
        <v>45778</v>
      </c>
      <c r="E60" s="108">
        <f t="shared" si="0"/>
        <v>31</v>
      </c>
      <c r="F60" s="109"/>
      <c r="G60" s="143"/>
      <c r="H60" s="143"/>
      <c r="I60" s="143"/>
      <c r="J60" s="143"/>
      <c r="K60" s="111"/>
      <c r="L60" s="110"/>
      <c r="M60" s="110">
        <f>IFERROR(_xlfn.XLOOKUP($A60,Input_Raw!$A:$A,Input_Raw!$CQ:$CQ),"")</f>
        <v>7.1618181818181803</v>
      </c>
      <c r="N60" s="110">
        <f>IFERROR(_xlfn.XLOOKUP($A60,Input_Raw!$A:$A,Input_Raw!$CR:$CR),"")</f>
        <v>9.75</v>
      </c>
      <c r="O60" s="141">
        <f t="shared" si="1"/>
        <v>0.94939434424593794</v>
      </c>
      <c r="P60" s="141">
        <f>IFERROR(1-SUMIF(WTG_BD!$F:$F,$A60,WTG_BD!$AA:$AA)/($AA60+SUMIF(WTG_BD!$F:$F,$A60,WTG_BD!$AA:$AA)),"")</f>
        <v>0.99182576506680864</v>
      </c>
      <c r="Q60" s="141">
        <f>IFERROR(1-SUMIF(IGA_BD!$F:$F,$A60,IGA_BD!$W:$W)/($AA60+SUMIF(IGA_BD!$F:$F,$A60,IGA_BD!$W:$W)),"")</f>
        <v>0.95721887622266744</v>
      </c>
      <c r="R60" s="141">
        <f>IFERROR(1-SUMIF(Grid_BD!$F:$F,$A60,Grid_BD!$Y:$Y)/($AA60+SUMIF(Grid_BD!$F:$F,$A60,Grid_BD!$Y:$Y)),"")</f>
        <v>1</v>
      </c>
      <c r="S60" s="108"/>
      <c r="T60" s="140"/>
      <c r="U60" s="141"/>
      <c r="V60" s="108"/>
      <c r="W60" s="142">
        <f t="shared" si="2"/>
        <v>0.34728870738636358</v>
      </c>
      <c r="X60" s="108">
        <f>IFERROR(_xlfn.XLOOKUP($A60,Input_Raw!$A:$A,Input_Raw!$CP:$CP)*1000,"")</f>
        <v>586779</v>
      </c>
      <c r="Y60" s="108">
        <f>IFERROR(_xlfn.XLOOKUP($A60,Input_Raw!$A:$A,Input_Raw!DJ:DJ)*1000,"")</f>
        <v>586779</v>
      </c>
      <c r="Z60" s="108">
        <f>IFERROR(_xlfn.XLOOKUP($A60,Input_Raw!$A:$A,Input_Raw!DK:DK)*1000,"")</f>
        <v>0</v>
      </c>
      <c r="AA60" s="138">
        <f t="shared" si="3"/>
        <v>586779</v>
      </c>
      <c r="AB60" s="108">
        <f>IFERROR(_xlfn.XLOOKUP($A60,Input_Raw!$A:$A,Input_Raw!$DR:$DR),"")</f>
        <v>70.400000000000006</v>
      </c>
      <c r="AC60" s="143">
        <f>IFERROR(_xlfn.XLOOKUP($D60,'Modelling New'!$D:$D,'Modelling New'!$J:$J),"")</f>
        <v>5.7233333333333336</v>
      </c>
      <c r="AD60" s="138">
        <f>IFERROR(_xlfn.XLOOKUP($D60,'Modelling New'!$D:$D,'Modelling New'!$T:$T)*1000,"")</f>
        <v>349950.51476253523</v>
      </c>
      <c r="AE60" s="142"/>
      <c r="AF60" s="142">
        <f>IFERROR(_xlfn.XLOOKUP($D60,'Modelling New'!$D:$D,'Modelling New'!$W:$W),"")</f>
        <v>0.20712033307441716</v>
      </c>
      <c r="AG60" s="142">
        <f>IFERROR(_xlfn.XLOOKUP($D60,'Modelling New'!$D:$D,'Modelling New'!$AE:$AE),"")</f>
        <v>0.96029999999999993</v>
      </c>
      <c r="AH60" s="142">
        <f>IFERROR(_xlfn.XLOOKUP($D60,'Modelling New'!$D:$D,'Modelling New'!$AF:$AF),"")</f>
        <v>0.995</v>
      </c>
      <c r="AI60" s="109">
        <f>IFERROR(_xlfn.XLOOKUP($A60,Input_Raw!$A:$A,Input_Raw!$DP:$DP),"")</f>
        <v>576.94000000000005</v>
      </c>
      <c r="AJ60" s="108"/>
      <c r="AK60" s="108"/>
      <c r="AL60" s="108"/>
      <c r="AM60" s="108"/>
      <c r="AN60" s="132">
        <f>IFERROR(_xlfn.XLOOKUP($A60,Input_Raw!$A:$A,Input_Raw!$DL:$DL),"")</f>
        <v>0</v>
      </c>
      <c r="AO60" s="142">
        <f>IFERROR((_xlfn.XLOOKUP($A60,'WTG Reactive Power'!$A:$A,'WTG Reactive Power'!$AW:$AW))/X60,"")</f>
        <v>3.7751698680423106E-5</v>
      </c>
      <c r="AP60" s="142">
        <f>IFERROR(_xlfn.XLOOKUP($D60,'Modelling New'!$D:$D,'Modelling New'!$AK:$AK),"")</f>
        <v>0.05</v>
      </c>
      <c r="AQ60" s="142">
        <f>IFERROR(_xlfn.XLOOKUP($D60,'Modelling New'!$D:$D,'Modelling New'!$AL:$AL),"")</f>
        <v>0.05</v>
      </c>
      <c r="AR60" s="198">
        <f>IFERROR(_xlfn.XLOOKUP($D60,'Modelling New'!$D:$D,'Modelling New'!$N:$N),"")</f>
        <v>70.400000000000006</v>
      </c>
      <c r="AS60" s="198"/>
    </row>
    <row r="61" spans="1:45">
      <c r="A61" s="137">
        <f t="shared" si="4"/>
        <v>45804</v>
      </c>
      <c r="B61" s="138">
        <f>YEAR(Daily_KPI[[#This Row],[Date]])+IF(MONTH(Daily_KPI[[#This Row],[Date]])&gt;=4,1,0)</f>
        <v>2026</v>
      </c>
      <c r="C61" s="108">
        <f>YEAR(Daily_KPI[[#This Row],[Date]])</f>
        <v>2025</v>
      </c>
      <c r="D61" s="139">
        <f>Daily_KPI[[#This Row],[Date]]-DAY(Daily_KPI[[#This Row],[Date]])+1</f>
        <v>45778</v>
      </c>
      <c r="E61" s="108">
        <f t="shared" ref="E61:E124" si="9">DAY(EOMONTH(A61,0))</f>
        <v>31</v>
      </c>
      <c r="F61" s="109"/>
      <c r="G61" s="110"/>
      <c r="H61" s="110"/>
      <c r="I61" s="110"/>
      <c r="J61" s="110"/>
      <c r="K61" s="111"/>
      <c r="L61" s="110"/>
      <c r="M61" s="110">
        <f>IFERROR(_xlfn.XLOOKUP($A61,Input_Raw!$A:$A,Input_Raw!$CQ:$CQ),"")</f>
        <v>6.39840909090909</v>
      </c>
      <c r="N61" s="110">
        <f>IFERROR(_xlfn.XLOOKUP($A61,Input_Raw!$A:$A,Input_Raw!$CR:$CR),"")</f>
        <v>8.17</v>
      </c>
      <c r="O61" s="141">
        <f t="shared" ref="O61:O124" si="10">IFERROR(P61*Q61,"")</f>
        <v>1</v>
      </c>
      <c r="P61" s="141">
        <f>IFERROR(1-SUMIF(WTG_BD!$F:$F,$A61,WTG_BD!$AA:$AA)/($AA61+SUMIF(WTG_BD!$F:$F,$A61,WTG_BD!$AA:$AA)),"")</f>
        <v>1</v>
      </c>
      <c r="Q61" s="141">
        <f>IFERROR(1-SUMIF(IGA_BD!$F:$F,$A61,IGA_BD!$W:$W)/($AA61+SUMIF(IGA_BD!$F:$F,$A61,IGA_BD!$W:$W)),"")</f>
        <v>1</v>
      </c>
      <c r="R61" s="141">
        <f>IFERROR(1-SUMIF(Grid_BD!$F:$F,$A61,Grid_BD!$Y:$Y)/($AA61+SUMIF(Grid_BD!$F:$F,$A61,Grid_BD!$Y:$Y)),"")</f>
        <v>1</v>
      </c>
      <c r="S61" s="108"/>
      <c r="T61" s="140"/>
      <c r="U61" s="141"/>
      <c r="V61" s="108"/>
      <c r="W61" s="142">
        <f t="shared" ref="W61:W124" si="11">IFERROR(X61/(24*AB61*1000),"")</f>
        <v>0.29865589488636357</v>
      </c>
      <c r="X61" s="108">
        <f>IFERROR(_xlfn.XLOOKUP($A61,Input_Raw!$A:$A,Input_Raw!$CP:$CP)*1000,"")</f>
        <v>504609</v>
      </c>
      <c r="Y61" s="108">
        <f>IFERROR(_xlfn.XLOOKUP($A61,Input_Raw!$A:$A,Input_Raw!DJ:DJ)*1000,"")</f>
        <v>504609.00000000006</v>
      </c>
      <c r="Z61" s="108">
        <f>IFERROR(_xlfn.XLOOKUP($A61,Input_Raw!$A:$A,Input_Raw!DK:DK)*1000,"")</f>
        <v>0</v>
      </c>
      <c r="AA61" s="138">
        <f t="shared" ref="AA61:AA124" si="12">IFERROR(Y61-Z61,"")</f>
        <v>504609.00000000006</v>
      </c>
      <c r="AB61" s="108">
        <f>IFERROR(_xlfn.XLOOKUP($A61,Input_Raw!$A:$A,Input_Raw!$DR:$DR),"")</f>
        <v>70.400000000000006</v>
      </c>
      <c r="AC61" s="143">
        <f>IFERROR(_xlfn.XLOOKUP($D61,'Modelling New'!$D:$D,'Modelling New'!$J:$J),"")</f>
        <v>5.7233333333333336</v>
      </c>
      <c r="AD61" s="138">
        <f>IFERROR(_xlfn.XLOOKUP($D61,'Modelling New'!$D:$D,'Modelling New'!$T:$T)*1000,"")</f>
        <v>349950.51476253523</v>
      </c>
      <c r="AE61" s="142"/>
      <c r="AF61" s="142">
        <f>IFERROR(_xlfn.XLOOKUP($D61,'Modelling New'!$D:$D,'Modelling New'!$W:$W),"")</f>
        <v>0.20712033307441716</v>
      </c>
      <c r="AG61" s="142">
        <f>IFERROR(_xlfn.XLOOKUP($D61,'Modelling New'!$D:$D,'Modelling New'!$AE:$AE),"")</f>
        <v>0.96029999999999993</v>
      </c>
      <c r="AH61" s="142">
        <f>IFERROR(_xlfn.XLOOKUP($D61,'Modelling New'!$D:$D,'Modelling New'!$AF:$AF),"")</f>
        <v>0.995</v>
      </c>
      <c r="AI61" s="109">
        <f>IFERROR(_xlfn.XLOOKUP($A61,Input_Raw!$A:$A,Input_Raw!$DP:$DP),"")</f>
        <v>485.57</v>
      </c>
      <c r="AJ61" s="108"/>
      <c r="AK61" s="108"/>
      <c r="AL61" s="108"/>
      <c r="AM61" s="108"/>
      <c r="AN61" s="132">
        <f>IFERROR(_xlfn.XLOOKUP($A61,Input_Raw!$A:$A,Input_Raw!$DL:$DL),"")</f>
        <v>2.2204460492503131E-16</v>
      </c>
      <c r="AO61" s="142">
        <f>IFERROR((_xlfn.XLOOKUP($A61,'WTG Reactive Power'!$A:$A,'WTG Reactive Power'!$AW:$AW))/X61,"")</f>
        <v>4.3899145675166301E-5</v>
      </c>
      <c r="AP61" s="142">
        <f>IFERROR(_xlfn.XLOOKUP($D61,'Modelling New'!$D:$D,'Modelling New'!$AK:$AK),"")</f>
        <v>0.05</v>
      </c>
      <c r="AQ61" s="142">
        <f>IFERROR(_xlfn.XLOOKUP($D61,'Modelling New'!$D:$D,'Modelling New'!$AL:$AL),"")</f>
        <v>0.05</v>
      </c>
      <c r="AR61" s="198">
        <f>IFERROR(_xlfn.XLOOKUP($D61,'Modelling New'!$D:$D,'Modelling New'!$N:$N),"")</f>
        <v>70.400000000000006</v>
      </c>
      <c r="AS61" s="198"/>
    </row>
    <row r="62" spans="1:45">
      <c r="A62" s="137">
        <f t="shared" si="4"/>
        <v>45805</v>
      </c>
      <c r="B62" s="138">
        <f>YEAR(Daily_KPI[[#This Row],[Date]])+IF(MONTH(Daily_KPI[[#This Row],[Date]])&gt;=4,1,0)</f>
        <v>2026</v>
      </c>
      <c r="C62" s="108">
        <f>YEAR(Daily_KPI[[#This Row],[Date]])</f>
        <v>2025</v>
      </c>
      <c r="D62" s="139">
        <f>Daily_KPI[[#This Row],[Date]]-DAY(Daily_KPI[[#This Row],[Date]])+1</f>
        <v>45778</v>
      </c>
      <c r="E62" s="108">
        <f t="shared" si="9"/>
        <v>31</v>
      </c>
      <c r="F62" s="109"/>
      <c r="G62" s="143"/>
      <c r="H62" s="143"/>
      <c r="I62" s="143"/>
      <c r="J62" s="143"/>
      <c r="K62" s="111"/>
      <c r="L62" s="110"/>
      <c r="M62" s="110">
        <f>IFERROR(_xlfn.XLOOKUP($A62,Input_Raw!$A:$A,Input_Raw!$CQ:$CQ),"")</f>
        <v>7.1456818181818189</v>
      </c>
      <c r="N62" s="110">
        <f>IFERROR(_xlfn.XLOOKUP($A62,Input_Raw!$A:$A,Input_Raw!$CR:$CR),"")</f>
        <v>8.91</v>
      </c>
      <c r="O62" s="141">
        <f t="shared" si="10"/>
        <v>0.96675587918675965</v>
      </c>
      <c r="P62" s="141">
        <f>IFERROR(1-SUMIF(WTG_BD!$F:$F,$A62,WTG_BD!$AA:$AA)/($AA62+SUMIF(WTG_BD!$F:$F,$A62,WTG_BD!$AA:$AA)),"")</f>
        <v>0.99738560965101253</v>
      </c>
      <c r="Q62" s="141">
        <f>IFERROR(1-SUMIF(IGA_BD!$F:$F,$A62,IGA_BD!$W:$W)/($AA62+SUMIF(IGA_BD!$F:$F,$A62,IGA_BD!$W:$W)),"")</f>
        <v>0.96928998155992019</v>
      </c>
      <c r="R62" s="141">
        <f>IFERROR(1-SUMIF(Grid_BD!$F:$F,$A62,Grid_BD!$Y:$Y)/($AA62+SUMIF(Grid_BD!$F:$F,$A62,Grid_BD!$Y:$Y)),"")</f>
        <v>1</v>
      </c>
      <c r="S62" s="108"/>
      <c r="T62" s="140"/>
      <c r="U62" s="141"/>
      <c r="V62" s="108"/>
      <c r="W62" s="142">
        <f t="shared" si="11"/>
        <v>0.34252663352272722</v>
      </c>
      <c r="X62" s="108">
        <f>IFERROR(_xlfn.XLOOKUP($A62,Input_Raw!$A:$A,Input_Raw!$CP:$CP)*1000,"")</f>
        <v>578733</v>
      </c>
      <c r="Y62" s="108">
        <f>IFERROR(_xlfn.XLOOKUP($A62,Input_Raw!$A:$A,Input_Raw!DJ:DJ)*1000,"")</f>
        <v>578733</v>
      </c>
      <c r="Z62" s="108">
        <f>IFERROR(_xlfn.XLOOKUP($A62,Input_Raw!$A:$A,Input_Raw!DK:DK)*1000,"")</f>
        <v>0</v>
      </c>
      <c r="AA62" s="138">
        <f t="shared" si="12"/>
        <v>578733</v>
      </c>
      <c r="AB62" s="108">
        <f>IFERROR(_xlfn.XLOOKUP($A62,Input_Raw!$A:$A,Input_Raw!$DR:$DR),"")</f>
        <v>70.400000000000006</v>
      </c>
      <c r="AC62" s="143">
        <f>IFERROR(_xlfn.XLOOKUP($D62,'Modelling New'!$D:$D,'Modelling New'!$J:$J),"")</f>
        <v>5.7233333333333336</v>
      </c>
      <c r="AD62" s="138">
        <f>IFERROR(_xlfn.XLOOKUP($D62,'Modelling New'!$D:$D,'Modelling New'!$T:$T)*1000,"")</f>
        <v>349950.51476253523</v>
      </c>
      <c r="AE62" s="142"/>
      <c r="AF62" s="142">
        <f>IFERROR(_xlfn.XLOOKUP($D62,'Modelling New'!$D:$D,'Modelling New'!$W:$W),"")</f>
        <v>0.20712033307441716</v>
      </c>
      <c r="AG62" s="142">
        <f>IFERROR(_xlfn.XLOOKUP($D62,'Modelling New'!$D:$D,'Modelling New'!$AE:$AE),"")</f>
        <v>0.96029999999999993</v>
      </c>
      <c r="AH62" s="142">
        <f>IFERROR(_xlfn.XLOOKUP($D62,'Modelling New'!$D:$D,'Modelling New'!$AF:$AF),"")</f>
        <v>0.995</v>
      </c>
      <c r="AI62" s="109">
        <f>IFERROR(_xlfn.XLOOKUP($A62,Input_Raw!$A:$A,Input_Raw!$DP:$DP),"")</f>
        <v>558.98</v>
      </c>
      <c r="AJ62" s="108"/>
      <c r="AK62" s="108"/>
      <c r="AL62" s="108"/>
      <c r="AM62" s="108"/>
      <c r="AN62" s="132">
        <f>IFERROR(_xlfn.XLOOKUP($A62,Input_Raw!$A:$A,Input_Raw!$DL:$DL),"")</f>
        <v>0</v>
      </c>
      <c r="AO62" s="142">
        <f>IFERROR((_xlfn.XLOOKUP($A62,'WTG Reactive Power'!$A:$A,'WTG Reactive Power'!$AW:$AW))/X62,"")</f>
        <v>3.8276552399811295E-5</v>
      </c>
      <c r="AP62" s="142">
        <f>IFERROR(_xlfn.XLOOKUP($D62,'Modelling New'!$D:$D,'Modelling New'!$AK:$AK),"")</f>
        <v>0.05</v>
      </c>
      <c r="AQ62" s="142">
        <f>IFERROR(_xlfn.XLOOKUP($D62,'Modelling New'!$D:$D,'Modelling New'!$AL:$AL),"")</f>
        <v>0.05</v>
      </c>
      <c r="AR62" s="198">
        <f>IFERROR(_xlfn.XLOOKUP($D62,'Modelling New'!$D:$D,'Modelling New'!$N:$N),"")</f>
        <v>70.400000000000006</v>
      </c>
      <c r="AS62" s="198"/>
    </row>
    <row r="63" spans="1:45">
      <c r="A63" s="137">
        <f t="shared" ref="A63:A126" si="13">A62+1</f>
        <v>45806</v>
      </c>
      <c r="B63" s="138">
        <f>YEAR(Daily_KPI[[#This Row],[Date]])+IF(MONTH(Daily_KPI[[#This Row],[Date]])&gt;=4,1,0)</f>
        <v>2026</v>
      </c>
      <c r="C63" s="108">
        <f>YEAR(Daily_KPI[[#This Row],[Date]])</f>
        <v>2025</v>
      </c>
      <c r="D63" s="139">
        <f>Daily_KPI[[#This Row],[Date]]-DAY(Daily_KPI[[#This Row],[Date]])+1</f>
        <v>45778</v>
      </c>
      <c r="E63" s="108">
        <f t="shared" si="9"/>
        <v>31</v>
      </c>
      <c r="F63" s="109"/>
      <c r="G63" s="110"/>
      <c r="H63" s="110"/>
      <c r="I63" s="110"/>
      <c r="J63" s="110"/>
      <c r="K63" s="111"/>
      <c r="L63" s="110"/>
      <c r="M63" s="110">
        <f>IFERROR(_xlfn.XLOOKUP($A63,Input_Raw!$A:$A,Input_Raw!$CQ:$CQ),"")</f>
        <v>7.6143181818181809</v>
      </c>
      <c r="N63" s="110">
        <f>IFERROR(_xlfn.XLOOKUP($A63,Input_Raw!$A:$A,Input_Raw!$CR:$CR),"")</f>
        <v>9.6199999999999992</v>
      </c>
      <c r="O63" s="141">
        <f t="shared" si="10"/>
        <v>0.9972711218254191</v>
      </c>
      <c r="P63" s="141">
        <f>IFERROR(1-SUMIF(WTG_BD!$F:$F,$A63,WTG_BD!$AA:$AA)/($AA63+SUMIF(WTG_BD!$F:$F,$A63,WTG_BD!$AA:$AA)),"")</f>
        <v>0.9972711218254191</v>
      </c>
      <c r="Q63" s="141">
        <f>IFERROR(1-SUMIF(IGA_BD!$F:$F,$A63,IGA_BD!$W:$W)/($AA63+SUMIF(IGA_BD!$F:$F,$A63,IGA_BD!$W:$W)),"")</f>
        <v>1</v>
      </c>
      <c r="R63" s="141">
        <f>IFERROR(1-SUMIF(Grid_BD!$F:$F,$A63,Grid_BD!$Y:$Y)/($AA63+SUMIF(Grid_BD!$F:$F,$A63,Grid_BD!$Y:$Y)),"")</f>
        <v>1</v>
      </c>
      <c r="S63" s="108"/>
      <c r="T63" s="140"/>
      <c r="U63" s="141"/>
      <c r="V63" s="108"/>
      <c r="W63" s="142">
        <f t="shared" si="11"/>
        <v>0.42112511837121208</v>
      </c>
      <c r="X63" s="108">
        <f>IFERROR(_xlfn.XLOOKUP($A63,Input_Raw!$A:$A,Input_Raw!$CP:$CP)*1000,"")</f>
        <v>711533</v>
      </c>
      <c r="Y63" s="108">
        <f>IFERROR(_xlfn.XLOOKUP($A63,Input_Raw!$A:$A,Input_Raw!DJ:DJ)*1000,"")</f>
        <v>711533</v>
      </c>
      <c r="Z63" s="108">
        <f>IFERROR(_xlfn.XLOOKUP($A63,Input_Raw!$A:$A,Input_Raw!DK:DK)*1000,"")</f>
        <v>0</v>
      </c>
      <c r="AA63" s="138">
        <f t="shared" si="12"/>
        <v>711533</v>
      </c>
      <c r="AB63" s="108">
        <f>IFERROR(_xlfn.XLOOKUP($A63,Input_Raw!$A:$A,Input_Raw!$DR:$DR),"")</f>
        <v>70.400000000000006</v>
      </c>
      <c r="AC63" s="143">
        <f>IFERROR(_xlfn.XLOOKUP($D63,'Modelling New'!$D:$D,'Modelling New'!$J:$J),"")</f>
        <v>5.7233333333333336</v>
      </c>
      <c r="AD63" s="138">
        <f>IFERROR(_xlfn.XLOOKUP($D63,'Modelling New'!$D:$D,'Modelling New'!$T:$T)*1000,"")</f>
        <v>349950.51476253523</v>
      </c>
      <c r="AE63" s="142"/>
      <c r="AF63" s="142">
        <f>IFERROR(_xlfn.XLOOKUP($D63,'Modelling New'!$D:$D,'Modelling New'!$W:$W),"")</f>
        <v>0.20712033307441716</v>
      </c>
      <c r="AG63" s="142">
        <f>IFERROR(_xlfn.XLOOKUP($D63,'Modelling New'!$D:$D,'Modelling New'!$AE:$AE),"")</f>
        <v>0.96029999999999993</v>
      </c>
      <c r="AH63" s="142">
        <f>IFERROR(_xlfn.XLOOKUP($D63,'Modelling New'!$D:$D,'Modelling New'!$AF:$AF),"")</f>
        <v>0.995</v>
      </c>
      <c r="AI63" s="109">
        <f>IFERROR(_xlfn.XLOOKUP($A63,Input_Raw!$A:$A,Input_Raw!$DP:$DP),"")</f>
        <v>691.97</v>
      </c>
      <c r="AJ63" s="108"/>
      <c r="AK63" s="108"/>
      <c r="AL63" s="108"/>
      <c r="AM63" s="108"/>
      <c r="AN63" s="132">
        <f>IFERROR(_xlfn.XLOOKUP($A63,Input_Raw!$A:$A,Input_Raw!$DL:$DL),"")</f>
        <v>0</v>
      </c>
      <c r="AO63" s="142">
        <f>IFERROR((_xlfn.XLOOKUP($A63,'WTG Reactive Power'!$A:$A,'WTG Reactive Power'!$AW:$AW))/X63,"")</f>
        <v>3.1132644585704378E-5</v>
      </c>
      <c r="AP63" s="142">
        <f>IFERROR(_xlfn.XLOOKUP($D63,'Modelling New'!$D:$D,'Modelling New'!$AK:$AK),"")</f>
        <v>0.05</v>
      </c>
      <c r="AQ63" s="142">
        <f>IFERROR(_xlfn.XLOOKUP($D63,'Modelling New'!$D:$D,'Modelling New'!$AL:$AL),"")</f>
        <v>0.05</v>
      </c>
      <c r="AR63" s="198">
        <f>IFERROR(_xlfn.XLOOKUP($D63,'Modelling New'!$D:$D,'Modelling New'!$N:$N),"")</f>
        <v>70.400000000000006</v>
      </c>
      <c r="AS63" s="198"/>
    </row>
    <row r="64" spans="1:45">
      <c r="A64" s="137">
        <f t="shared" si="13"/>
        <v>45807</v>
      </c>
      <c r="B64" s="138">
        <f>YEAR(Daily_KPI[[#This Row],[Date]])+IF(MONTH(Daily_KPI[[#This Row],[Date]])&gt;=4,1,0)</f>
        <v>2026</v>
      </c>
      <c r="C64" s="108">
        <f>YEAR(Daily_KPI[[#This Row],[Date]])</f>
        <v>2025</v>
      </c>
      <c r="D64" s="139">
        <f>Daily_KPI[[#This Row],[Date]]-DAY(Daily_KPI[[#This Row],[Date]])+1</f>
        <v>45778</v>
      </c>
      <c r="E64" s="108">
        <f t="shared" si="9"/>
        <v>31</v>
      </c>
      <c r="F64" s="109"/>
      <c r="G64" s="143"/>
      <c r="H64" s="143"/>
      <c r="I64" s="143"/>
      <c r="J64" s="143"/>
      <c r="K64" s="111"/>
      <c r="L64" s="110"/>
      <c r="M64" s="110">
        <f>IFERROR(_xlfn.XLOOKUP($A64,Input_Raw!$A:$A,Input_Raw!$CQ:$CQ),"")</f>
        <v>10.235909090909091</v>
      </c>
      <c r="N64" s="110">
        <f>IFERROR(_xlfn.XLOOKUP($A64,Input_Raw!$A:$A,Input_Raw!$CR:$CR),"")</f>
        <v>12.39</v>
      </c>
      <c r="O64" s="141">
        <f t="shared" si="10"/>
        <v>0.99546303345298215</v>
      </c>
      <c r="P64" s="141">
        <f>IFERROR(1-SUMIF(WTG_BD!$F:$F,$A64,WTG_BD!$AA:$AA)/($AA64+SUMIF(WTG_BD!$F:$F,$A64,WTG_BD!$AA:$AA)),"")</f>
        <v>0.99661141947754528</v>
      </c>
      <c r="Q64" s="141">
        <f>IFERROR(1-SUMIF(IGA_BD!$F:$F,$A64,IGA_BD!$W:$W)/($AA64+SUMIF(IGA_BD!$F:$F,$A64,IGA_BD!$W:$W)),"")</f>
        <v>0.99884770934576972</v>
      </c>
      <c r="R64" s="141">
        <f>IFERROR(1-SUMIF(Grid_BD!$F:$F,$A64,Grid_BD!$Y:$Y)/($AA64+SUMIF(Grid_BD!$F:$F,$A64,Grid_BD!$Y:$Y)),"")</f>
        <v>1</v>
      </c>
      <c r="S64" s="108"/>
      <c r="T64" s="140"/>
      <c r="U64" s="141"/>
      <c r="V64" s="108"/>
      <c r="W64" s="142">
        <f t="shared" si="11"/>
        <v>0.75981593276515136</v>
      </c>
      <c r="X64" s="108">
        <f>IFERROR(_xlfn.XLOOKUP($A64,Input_Raw!$A:$A,Input_Raw!$CP:$CP)*1000,"")</f>
        <v>1283785</v>
      </c>
      <c r="Y64" s="108">
        <f>IFERROR(_xlfn.XLOOKUP($A64,Input_Raw!$A:$A,Input_Raw!DJ:DJ)*1000,"")</f>
        <v>1283785</v>
      </c>
      <c r="Z64" s="108">
        <f>IFERROR(_xlfn.XLOOKUP($A64,Input_Raw!$A:$A,Input_Raw!DK:DK)*1000,"")</f>
        <v>0</v>
      </c>
      <c r="AA64" s="138">
        <f t="shared" si="12"/>
        <v>1283785</v>
      </c>
      <c r="AB64" s="108">
        <f>IFERROR(_xlfn.XLOOKUP($A64,Input_Raw!$A:$A,Input_Raw!$DR:$DR),"")</f>
        <v>70.400000000000006</v>
      </c>
      <c r="AC64" s="143">
        <f>IFERROR(_xlfn.XLOOKUP($D64,'Modelling New'!$D:$D,'Modelling New'!$J:$J),"")</f>
        <v>5.7233333333333336</v>
      </c>
      <c r="AD64" s="138">
        <f>IFERROR(_xlfn.XLOOKUP($D64,'Modelling New'!$D:$D,'Modelling New'!$T:$T)*1000,"")</f>
        <v>349950.51476253523</v>
      </c>
      <c r="AE64" s="142"/>
      <c r="AF64" s="142">
        <f>IFERROR(_xlfn.XLOOKUP($D64,'Modelling New'!$D:$D,'Modelling New'!$W:$W),"")</f>
        <v>0.20712033307441716</v>
      </c>
      <c r="AG64" s="142">
        <f>IFERROR(_xlfn.XLOOKUP($D64,'Modelling New'!$D:$D,'Modelling New'!$AE:$AE),"")</f>
        <v>0.96029999999999993</v>
      </c>
      <c r="AH64" s="142">
        <f>IFERROR(_xlfn.XLOOKUP($D64,'Modelling New'!$D:$D,'Modelling New'!$AF:$AF),"")</f>
        <v>0.995</v>
      </c>
      <c r="AI64" s="109">
        <f>IFERROR(_xlfn.XLOOKUP($A64,Input_Raw!$A:$A,Input_Raw!$DP:$DP),"")</f>
        <v>1292.9100000000001</v>
      </c>
      <c r="AJ64" s="108"/>
      <c r="AK64" s="108"/>
      <c r="AL64" s="108"/>
      <c r="AM64" s="108"/>
      <c r="AN64" s="132">
        <f>IFERROR(_xlfn.XLOOKUP($A64,Input_Raw!$A:$A,Input_Raw!$DL:$DL),"")</f>
        <v>0</v>
      </c>
      <c r="AO64" s="142">
        <f>IFERROR((_xlfn.XLOOKUP($A64,'WTG Reactive Power'!$A:$A,'WTG Reactive Power'!$AW:$AW))/X64,"")</f>
        <v>1.7255150979330644E-5</v>
      </c>
      <c r="AP64" s="142">
        <f>IFERROR(_xlfn.XLOOKUP($D64,'Modelling New'!$D:$D,'Modelling New'!$AK:$AK),"")</f>
        <v>0.05</v>
      </c>
      <c r="AQ64" s="142">
        <f>IFERROR(_xlfn.XLOOKUP($D64,'Modelling New'!$D:$D,'Modelling New'!$AL:$AL),"")</f>
        <v>0.05</v>
      </c>
      <c r="AR64" s="198">
        <f>IFERROR(_xlfn.XLOOKUP($D64,'Modelling New'!$D:$D,'Modelling New'!$N:$N),"")</f>
        <v>70.400000000000006</v>
      </c>
      <c r="AS64" s="198"/>
    </row>
    <row r="65" spans="1:45">
      <c r="A65" s="137">
        <f t="shared" si="13"/>
        <v>45808</v>
      </c>
      <c r="B65" s="138">
        <f>YEAR(Daily_KPI[[#This Row],[Date]])+IF(MONTH(Daily_KPI[[#This Row],[Date]])&gt;=4,1,0)</f>
        <v>2026</v>
      </c>
      <c r="C65" s="108">
        <f>YEAR(Daily_KPI[[#This Row],[Date]])</f>
        <v>2025</v>
      </c>
      <c r="D65" s="139">
        <f>Daily_KPI[[#This Row],[Date]]-DAY(Daily_KPI[[#This Row],[Date]])+1</f>
        <v>45778</v>
      </c>
      <c r="E65" s="108">
        <f t="shared" si="9"/>
        <v>31</v>
      </c>
      <c r="F65" s="109"/>
      <c r="G65" s="110"/>
      <c r="H65" s="110"/>
      <c r="I65" s="110"/>
      <c r="J65" s="110"/>
      <c r="K65" s="111"/>
      <c r="L65" s="110"/>
      <c r="M65" s="110">
        <f>IFERROR(_xlfn.XLOOKUP($A65,Input_Raw!$A:$A,Input_Raw!$CQ:$CQ),"")</f>
        <v>8.8631818181818183</v>
      </c>
      <c r="N65" s="110">
        <f>IFERROR(_xlfn.XLOOKUP($A65,Input_Raw!$A:$A,Input_Raw!$CR:$CR),"")</f>
        <v>11.18</v>
      </c>
      <c r="O65" s="141">
        <f t="shared" si="10"/>
        <v>0.99864062007789101</v>
      </c>
      <c r="P65" s="141">
        <f>IFERROR(1-SUMIF(WTG_BD!$F:$F,$A65,WTG_BD!$AA:$AA)/($AA65+SUMIF(WTG_BD!$F:$F,$A65,WTG_BD!$AA:$AA)),"")</f>
        <v>1</v>
      </c>
      <c r="Q65" s="141">
        <f>IFERROR(1-SUMIF(IGA_BD!$F:$F,$A65,IGA_BD!$W:$W)/($AA65+SUMIF(IGA_BD!$F:$F,$A65,IGA_BD!$W:$W)),"")</f>
        <v>0.99864062007789101</v>
      </c>
      <c r="R65" s="141">
        <f>IFERROR(1-SUMIF(Grid_BD!$F:$F,$A65,Grid_BD!$Y:$Y)/($AA65+SUMIF(Grid_BD!$F:$F,$A65,Grid_BD!$Y:$Y)),"")</f>
        <v>1</v>
      </c>
      <c r="S65" s="108"/>
      <c r="T65" s="140"/>
      <c r="U65" s="141"/>
      <c r="V65" s="108"/>
      <c r="W65" s="142">
        <f t="shared" si="11"/>
        <v>0.58914713541666663</v>
      </c>
      <c r="X65" s="108">
        <f>IFERROR(_xlfn.XLOOKUP($A65,Input_Raw!$A:$A,Input_Raw!$CP:$CP)*1000,"")</f>
        <v>995423</v>
      </c>
      <c r="Y65" s="108">
        <f>IFERROR(_xlfn.XLOOKUP($A65,Input_Raw!$A:$A,Input_Raw!DJ:DJ)*1000,"")</f>
        <v>995423</v>
      </c>
      <c r="Z65" s="108">
        <f>IFERROR(_xlfn.XLOOKUP($A65,Input_Raw!$A:$A,Input_Raw!DK:DK)*1000,"")</f>
        <v>0</v>
      </c>
      <c r="AA65" s="138">
        <f t="shared" si="12"/>
        <v>995423</v>
      </c>
      <c r="AB65" s="108">
        <f>IFERROR(_xlfn.XLOOKUP($A65,Input_Raw!$A:$A,Input_Raw!$DR:$DR),"")</f>
        <v>70.400000000000006</v>
      </c>
      <c r="AC65" s="143">
        <f>IFERROR(_xlfn.XLOOKUP($D65,'Modelling New'!$D:$D,'Modelling New'!$J:$J),"")</f>
        <v>5.7233333333333336</v>
      </c>
      <c r="AD65" s="138">
        <f>IFERROR(_xlfn.XLOOKUP($D65,'Modelling New'!$D:$D,'Modelling New'!$T:$T)*1000,"")</f>
        <v>349950.51476253523</v>
      </c>
      <c r="AE65" s="142"/>
      <c r="AF65" s="142">
        <f>IFERROR(_xlfn.XLOOKUP($D65,'Modelling New'!$D:$D,'Modelling New'!$W:$W),"")</f>
        <v>0.20712033307441716</v>
      </c>
      <c r="AG65" s="142">
        <f>IFERROR(_xlfn.XLOOKUP($D65,'Modelling New'!$D:$D,'Modelling New'!$AE:$AE),"")</f>
        <v>0.96029999999999993</v>
      </c>
      <c r="AH65" s="142">
        <f>IFERROR(_xlfn.XLOOKUP($D65,'Modelling New'!$D:$D,'Modelling New'!$AF:$AF),"")</f>
        <v>0.995</v>
      </c>
      <c r="AI65" s="109">
        <f>IFERROR(_xlfn.XLOOKUP($A65,Input_Raw!$A:$A,Input_Raw!$DP:$DP),"")</f>
        <v>983.09</v>
      </c>
      <c r="AJ65" s="108"/>
      <c r="AK65" s="108"/>
      <c r="AL65" s="108"/>
      <c r="AM65" s="108"/>
      <c r="AN65" s="132">
        <f>IFERROR(_xlfn.XLOOKUP($A65,Input_Raw!$A:$A,Input_Raw!$DL:$DL),"")</f>
        <v>0</v>
      </c>
      <c r="AO65" s="142">
        <f>IFERROR((_xlfn.XLOOKUP($A65,'WTG Reactive Power'!$A:$A,'WTG Reactive Power'!$AW:$AW))/X65,"")</f>
        <v>2.2253759457034839E-5</v>
      </c>
      <c r="AP65" s="142">
        <f>IFERROR(_xlfn.XLOOKUP($D65,'Modelling New'!$D:$D,'Modelling New'!$AK:$AK),"")</f>
        <v>0.05</v>
      </c>
      <c r="AQ65" s="142">
        <f>IFERROR(_xlfn.XLOOKUP($D65,'Modelling New'!$D:$D,'Modelling New'!$AL:$AL),"")</f>
        <v>0.05</v>
      </c>
      <c r="AR65" s="198">
        <f>IFERROR(_xlfn.XLOOKUP($D65,'Modelling New'!$D:$D,'Modelling New'!$N:$N),"")</f>
        <v>70.400000000000006</v>
      </c>
      <c r="AS65" s="198"/>
    </row>
    <row r="66" spans="1:45">
      <c r="A66" s="137">
        <f t="shared" si="13"/>
        <v>45809</v>
      </c>
      <c r="B66" s="138">
        <f>YEAR(Daily_KPI[[#This Row],[Date]])+IF(MONTH(Daily_KPI[[#This Row],[Date]])&gt;=4,1,0)</f>
        <v>2026</v>
      </c>
      <c r="C66" s="108">
        <f>YEAR(Daily_KPI[[#This Row],[Date]])</f>
        <v>2025</v>
      </c>
      <c r="D66" s="139">
        <f>Daily_KPI[[#This Row],[Date]]-DAY(Daily_KPI[[#This Row],[Date]])+1</f>
        <v>45809</v>
      </c>
      <c r="E66" s="108">
        <f t="shared" si="9"/>
        <v>30</v>
      </c>
      <c r="F66" s="109"/>
      <c r="G66" s="143"/>
      <c r="H66" s="143"/>
      <c r="I66" s="143"/>
      <c r="J66" s="143"/>
      <c r="K66" s="111"/>
      <c r="L66" s="110"/>
      <c r="M66" s="110">
        <f>IFERROR(_xlfn.XLOOKUP($A66,Input_Raw!$A:$A,Input_Raw!$CQ:$CQ),"")</f>
        <v>6.521136363636364</v>
      </c>
      <c r="N66" s="110">
        <f>IFERROR(_xlfn.XLOOKUP($A66,Input_Raw!$A:$A,Input_Raw!$CR:$CR),"")</f>
        <v>8.93</v>
      </c>
      <c r="O66" s="141">
        <f t="shared" si="10"/>
        <v>1</v>
      </c>
      <c r="P66" s="141">
        <f>IFERROR(1-SUMIF(WTG_BD!$F:$F,$A66,WTG_BD!$AA:$AA)/($AA66+SUMIF(WTG_BD!$F:$F,$A66,WTG_BD!$AA:$AA)),"")</f>
        <v>1</v>
      </c>
      <c r="Q66" s="141">
        <f>IFERROR(1-SUMIF(IGA_BD!$F:$F,$A66,IGA_BD!$W:$W)/($AA66+SUMIF(IGA_BD!$F:$F,$A66,IGA_BD!$W:$W)),"")</f>
        <v>1</v>
      </c>
      <c r="R66" s="141">
        <f>IFERROR(1-SUMIF(Grid_BD!$F:$F,$A66,Grid_BD!$Y:$Y)/($AA66+SUMIF(Grid_BD!$F:$F,$A66,Grid_BD!$Y:$Y)),"")</f>
        <v>1</v>
      </c>
      <c r="S66" s="108"/>
      <c r="T66" s="140"/>
      <c r="U66" s="141"/>
      <c r="V66" s="108"/>
      <c r="W66" s="142">
        <f t="shared" si="11"/>
        <v>0.28235026041666661</v>
      </c>
      <c r="X66" s="108">
        <f>IFERROR(_xlfn.XLOOKUP($A66,Input_Raw!$A:$A,Input_Raw!$CP:$CP)*1000,"")</f>
        <v>477059</v>
      </c>
      <c r="Y66" s="108">
        <f>IFERROR(_xlfn.XLOOKUP($A66,Input_Raw!$A:$A,Input_Raw!DJ:DJ)*1000,"")</f>
        <v>477058.99999999994</v>
      </c>
      <c r="Z66" s="108">
        <f>IFERROR(_xlfn.XLOOKUP($A66,Input_Raw!$A:$A,Input_Raw!DK:DK)*1000,"")</f>
        <v>0</v>
      </c>
      <c r="AA66" s="138">
        <f t="shared" si="12"/>
        <v>477058.99999999994</v>
      </c>
      <c r="AB66" s="108">
        <f>IFERROR(_xlfn.XLOOKUP($A66,Input_Raw!$A:$A,Input_Raw!$DR:$DR),"")</f>
        <v>70.400000000000006</v>
      </c>
      <c r="AC66" s="143">
        <f>IFERROR(_xlfn.XLOOKUP($D66,'Modelling New'!$D:$D,'Modelling New'!$J:$J),"")</f>
        <v>6.81</v>
      </c>
      <c r="AD66" s="138">
        <f>IFERROR(_xlfn.XLOOKUP($D66,'Modelling New'!$D:$D,'Modelling New'!$T:$T)*1000,"")</f>
        <v>519769.59725666587</v>
      </c>
      <c r="AE66" s="142"/>
      <c r="AF66" s="142">
        <f>IFERROR(_xlfn.XLOOKUP($D66,'Modelling New'!$D:$D,'Modelling New'!$W:$W),"")</f>
        <v>0.30762878625512891</v>
      </c>
      <c r="AG66" s="142">
        <f>IFERROR(_xlfn.XLOOKUP($D66,'Modelling New'!$D:$D,'Modelling New'!$AE:$AE),"")</f>
        <v>0.96029999999999993</v>
      </c>
      <c r="AH66" s="142">
        <f>IFERROR(_xlfn.XLOOKUP($D66,'Modelling New'!$D:$D,'Modelling New'!$AF:$AF),"")</f>
        <v>0.995</v>
      </c>
      <c r="AI66" s="109">
        <f>IFERROR(_xlfn.XLOOKUP($A66,Input_Raw!$A:$A,Input_Raw!$DP:$DP),"")</f>
        <v>430.77</v>
      </c>
      <c r="AJ66" s="108"/>
      <c r="AK66" s="108"/>
      <c r="AL66" s="108"/>
      <c r="AM66" s="108"/>
      <c r="AN66" s="132">
        <f>IFERROR(_xlfn.XLOOKUP($A66,Input_Raw!$A:$A,Input_Raw!$DL:$DL),"")</f>
        <v>-1.1102230246251565E-16</v>
      </c>
      <c r="AO66" s="142">
        <f>IFERROR((_xlfn.XLOOKUP($A66,'WTG Reactive Power'!$A:$A,'WTG Reactive Power'!$AW:$AW))/X66,"")</f>
        <v>4.6434306867703973E-5</v>
      </c>
      <c r="AP66" s="142">
        <f>IFERROR(_xlfn.XLOOKUP($D66,'Modelling New'!$D:$D,'Modelling New'!$AK:$AK),"")</f>
        <v>0.05</v>
      </c>
      <c r="AQ66" s="142">
        <f>IFERROR(_xlfn.XLOOKUP($D66,'Modelling New'!$D:$D,'Modelling New'!$AL:$AL),"")</f>
        <v>0.05</v>
      </c>
      <c r="AR66" s="198">
        <f>IFERROR(_xlfn.XLOOKUP($D66,'Modelling New'!$D:$D,'Modelling New'!$N:$N),"")</f>
        <v>70.400000000000006</v>
      </c>
      <c r="AS66" s="198"/>
    </row>
    <row r="67" spans="1:45">
      <c r="A67" s="137">
        <f t="shared" si="13"/>
        <v>45810</v>
      </c>
      <c r="B67" s="138">
        <f>YEAR(Daily_KPI[[#This Row],[Date]])+IF(MONTH(Daily_KPI[[#This Row],[Date]])&gt;=4,1,0)</f>
        <v>2026</v>
      </c>
      <c r="C67" s="108">
        <f>YEAR(Daily_KPI[[#This Row],[Date]])</f>
        <v>2025</v>
      </c>
      <c r="D67" s="139">
        <f>Daily_KPI[[#This Row],[Date]]-DAY(Daily_KPI[[#This Row],[Date]])+1</f>
        <v>45809</v>
      </c>
      <c r="E67" s="108">
        <f t="shared" si="9"/>
        <v>30</v>
      </c>
      <c r="F67" s="109"/>
      <c r="G67" s="110"/>
      <c r="H67" s="110"/>
      <c r="I67" s="110"/>
      <c r="J67" s="110"/>
      <c r="K67" s="111"/>
      <c r="L67" s="110"/>
      <c r="M67" s="110">
        <f>IFERROR(_xlfn.XLOOKUP($A67,Input_Raw!$A:$A,Input_Raw!$CQ:$CQ),"")</f>
        <v>6.6449999999999996</v>
      </c>
      <c r="N67" s="110">
        <f>IFERROR(_xlfn.XLOOKUP($A67,Input_Raw!$A:$A,Input_Raw!$CR:$CR),"")</f>
        <v>8.89</v>
      </c>
      <c r="O67" s="141">
        <f t="shared" si="10"/>
        <v>0.98013447842847257</v>
      </c>
      <c r="P67" s="141">
        <f>IFERROR(1-SUMIF(WTG_BD!$F:$F,$A67,WTG_BD!$AA:$AA)/($AA67+SUMIF(WTG_BD!$F:$F,$A67,WTG_BD!$AA:$AA)),"")</f>
        <v>0.98770484374779721</v>
      </c>
      <c r="Q67" s="141">
        <f>IFERROR(1-SUMIF(IGA_BD!$F:$F,$A67,IGA_BD!$W:$W)/($AA67+SUMIF(IGA_BD!$F:$F,$A67,IGA_BD!$W:$W)),"")</f>
        <v>0.99233539719153419</v>
      </c>
      <c r="R67" s="141">
        <f>IFERROR(1-SUMIF(Grid_BD!$F:$F,$A67,Grid_BD!$Y:$Y)/($AA67+SUMIF(Grid_BD!$F:$F,$A67,Grid_BD!$Y:$Y)),"")</f>
        <v>1</v>
      </c>
      <c r="S67" s="108"/>
      <c r="T67" s="140"/>
      <c r="U67" s="141"/>
      <c r="V67" s="108"/>
      <c r="W67" s="142">
        <f t="shared" si="11"/>
        <v>0.29026515151515148</v>
      </c>
      <c r="X67" s="108">
        <f>IFERROR(_xlfn.XLOOKUP($A67,Input_Raw!$A:$A,Input_Raw!$CP:$CP)*1000,"")</f>
        <v>490432</v>
      </c>
      <c r="Y67" s="108">
        <f>IFERROR(_xlfn.XLOOKUP($A67,Input_Raw!$A:$A,Input_Raw!DJ:DJ)*1000,"")</f>
        <v>490432</v>
      </c>
      <c r="Z67" s="108">
        <f>IFERROR(_xlfn.XLOOKUP($A67,Input_Raw!$A:$A,Input_Raw!DK:DK)*1000,"")</f>
        <v>0</v>
      </c>
      <c r="AA67" s="138">
        <f t="shared" si="12"/>
        <v>490432</v>
      </c>
      <c r="AB67" s="108">
        <f>IFERROR(_xlfn.XLOOKUP($A67,Input_Raw!$A:$A,Input_Raw!$DR:$DR),"")</f>
        <v>70.400000000000006</v>
      </c>
      <c r="AC67" s="143">
        <f>IFERROR(_xlfn.XLOOKUP($D67,'Modelling New'!$D:$D,'Modelling New'!$J:$J),"")</f>
        <v>6.81</v>
      </c>
      <c r="AD67" s="138">
        <f>IFERROR(_xlfn.XLOOKUP($D67,'Modelling New'!$D:$D,'Modelling New'!$T:$T)*1000,"")</f>
        <v>519769.59725666587</v>
      </c>
      <c r="AE67" s="142"/>
      <c r="AF67" s="142">
        <f>IFERROR(_xlfn.XLOOKUP($D67,'Modelling New'!$D:$D,'Modelling New'!$W:$W),"")</f>
        <v>0.30762878625512891</v>
      </c>
      <c r="AG67" s="142">
        <f>IFERROR(_xlfn.XLOOKUP($D67,'Modelling New'!$D:$D,'Modelling New'!$AE:$AE),"")</f>
        <v>0.96029999999999993</v>
      </c>
      <c r="AH67" s="142">
        <f>IFERROR(_xlfn.XLOOKUP($D67,'Modelling New'!$D:$D,'Modelling New'!$AF:$AF),"")</f>
        <v>0.995</v>
      </c>
      <c r="AI67" s="109">
        <f>IFERROR(_xlfn.XLOOKUP($A67,Input_Raw!$A:$A,Input_Raw!$DP:$DP),"")</f>
        <v>453.43</v>
      </c>
      <c r="AJ67" s="108"/>
      <c r="AK67" s="108"/>
      <c r="AL67" s="108"/>
      <c r="AM67" s="108"/>
      <c r="AN67" s="132">
        <f>IFERROR(_xlfn.XLOOKUP($A67,Input_Raw!$A:$A,Input_Raw!$DL:$DL),"")</f>
        <v>0</v>
      </c>
      <c r="AO67" s="142">
        <f>IFERROR((_xlfn.XLOOKUP($A67,'WTG Reactive Power'!$A:$A,'WTG Reactive Power'!$AW:$AW))/X67,"")</f>
        <v>6.8644836593044503E-5</v>
      </c>
      <c r="AP67" s="142">
        <f>IFERROR(_xlfn.XLOOKUP($D67,'Modelling New'!$D:$D,'Modelling New'!$AK:$AK),"")</f>
        <v>0.05</v>
      </c>
      <c r="AQ67" s="142">
        <f>IFERROR(_xlfn.XLOOKUP($D67,'Modelling New'!$D:$D,'Modelling New'!$AL:$AL),"")</f>
        <v>0.05</v>
      </c>
      <c r="AR67" s="198">
        <f>IFERROR(_xlfn.XLOOKUP($D67,'Modelling New'!$D:$D,'Modelling New'!$N:$N),"")</f>
        <v>70.400000000000006</v>
      </c>
      <c r="AS67" s="198"/>
    </row>
    <row r="68" spans="1:45">
      <c r="A68" s="137">
        <f t="shared" si="13"/>
        <v>45811</v>
      </c>
      <c r="B68" s="138">
        <f>YEAR(Daily_KPI[[#This Row],[Date]])+IF(MONTH(Daily_KPI[[#This Row],[Date]])&gt;=4,1,0)</f>
        <v>2026</v>
      </c>
      <c r="C68" s="108">
        <f>YEAR(Daily_KPI[[#This Row],[Date]])</f>
        <v>2025</v>
      </c>
      <c r="D68" s="139">
        <f>Daily_KPI[[#This Row],[Date]]-DAY(Daily_KPI[[#This Row],[Date]])+1</f>
        <v>45809</v>
      </c>
      <c r="E68" s="108">
        <f t="shared" si="9"/>
        <v>30</v>
      </c>
      <c r="F68" s="109"/>
      <c r="G68" s="143"/>
      <c r="H68" s="143"/>
      <c r="I68" s="143"/>
      <c r="J68" s="143"/>
      <c r="K68" s="111"/>
      <c r="L68" s="110"/>
      <c r="M68" s="110">
        <f>IFERROR(_xlfn.XLOOKUP($A68,Input_Raw!$A:$A,Input_Raw!$CQ:$CQ),"")</f>
        <v>6.731590909090909</v>
      </c>
      <c r="N68" s="110">
        <f>IFERROR(_xlfn.XLOOKUP($A68,Input_Raw!$A:$A,Input_Raw!$CR:$CR),"")</f>
        <v>8.99</v>
      </c>
      <c r="O68" s="141">
        <f t="shared" si="10"/>
        <v>0.99217066657295561</v>
      </c>
      <c r="P68" s="141">
        <f>IFERROR(1-SUMIF(WTG_BD!$F:$F,$A68,WTG_BD!$AA:$AA)/($AA68+SUMIF(WTG_BD!$F:$F,$A68,WTG_BD!$AA:$AA)),"")</f>
        <v>0.99521034837794642</v>
      </c>
      <c r="Q68" s="141">
        <f>IFERROR(1-SUMIF(IGA_BD!$F:$F,$A68,IGA_BD!$W:$W)/($AA68+SUMIF(IGA_BD!$F:$F,$A68,IGA_BD!$W:$W)),"")</f>
        <v>0.99694568910990011</v>
      </c>
      <c r="R68" s="141">
        <f>IFERROR(1-SUMIF(Grid_BD!$F:$F,$A68,Grid_BD!$Y:$Y)/($AA68+SUMIF(Grid_BD!$F:$F,$A68,Grid_BD!$Y:$Y)),"")</f>
        <v>1</v>
      </c>
      <c r="S68" s="108"/>
      <c r="T68" s="140"/>
      <c r="U68" s="141"/>
      <c r="V68" s="108"/>
      <c r="W68" s="142">
        <f t="shared" si="11"/>
        <v>0.31064216382575754</v>
      </c>
      <c r="X68" s="108">
        <f>IFERROR(_xlfn.XLOOKUP($A68,Input_Raw!$A:$A,Input_Raw!$CP:$CP)*1000,"")</f>
        <v>524861</v>
      </c>
      <c r="Y68" s="108">
        <f>IFERROR(_xlfn.XLOOKUP($A68,Input_Raw!$A:$A,Input_Raw!DJ:DJ)*1000,"")</f>
        <v>524861</v>
      </c>
      <c r="Z68" s="108">
        <f>IFERROR(_xlfn.XLOOKUP($A68,Input_Raw!$A:$A,Input_Raw!DK:DK)*1000,"")</f>
        <v>0</v>
      </c>
      <c r="AA68" s="138">
        <f t="shared" si="12"/>
        <v>524861</v>
      </c>
      <c r="AB68" s="108">
        <f>IFERROR(_xlfn.XLOOKUP($A68,Input_Raw!$A:$A,Input_Raw!$DR:$DR),"")</f>
        <v>70.400000000000006</v>
      </c>
      <c r="AC68" s="143">
        <f>IFERROR(_xlfn.XLOOKUP($D68,'Modelling New'!$D:$D,'Modelling New'!$J:$J),"")</f>
        <v>6.81</v>
      </c>
      <c r="AD68" s="138">
        <f>IFERROR(_xlfn.XLOOKUP($D68,'Modelling New'!$D:$D,'Modelling New'!$T:$T)*1000,"")</f>
        <v>519769.59725666587</v>
      </c>
      <c r="AE68" s="142"/>
      <c r="AF68" s="142">
        <f>IFERROR(_xlfn.XLOOKUP($D68,'Modelling New'!$D:$D,'Modelling New'!$W:$W),"")</f>
        <v>0.30762878625512891</v>
      </c>
      <c r="AG68" s="142">
        <f>IFERROR(_xlfn.XLOOKUP($D68,'Modelling New'!$D:$D,'Modelling New'!$AE:$AE),"")</f>
        <v>0.96029999999999993</v>
      </c>
      <c r="AH68" s="142">
        <f>IFERROR(_xlfn.XLOOKUP($D68,'Modelling New'!$D:$D,'Modelling New'!$AF:$AF),"")</f>
        <v>0.995</v>
      </c>
      <c r="AI68" s="109">
        <f>IFERROR(_xlfn.XLOOKUP($A68,Input_Raw!$A:$A,Input_Raw!$DP:$DP),"")</f>
        <v>482.41</v>
      </c>
      <c r="AJ68" s="108"/>
      <c r="AK68" s="108"/>
      <c r="AL68" s="108"/>
      <c r="AM68" s="108"/>
      <c r="AN68" s="132">
        <f>IFERROR(_xlfn.XLOOKUP($A68,Input_Raw!$A:$A,Input_Raw!$DL:$DL),"")</f>
        <v>0</v>
      </c>
      <c r="AO68" s="142">
        <f>IFERROR((_xlfn.XLOOKUP($A68,'WTG Reactive Power'!$A:$A,'WTG Reactive Power'!$AW:$AW))/X68,"")</f>
        <v>1.8108273809637224E-4</v>
      </c>
      <c r="AP68" s="142">
        <f>IFERROR(_xlfn.XLOOKUP($D68,'Modelling New'!$D:$D,'Modelling New'!$AK:$AK),"")</f>
        <v>0.05</v>
      </c>
      <c r="AQ68" s="142">
        <f>IFERROR(_xlfn.XLOOKUP($D68,'Modelling New'!$D:$D,'Modelling New'!$AL:$AL),"")</f>
        <v>0.05</v>
      </c>
      <c r="AR68" s="198">
        <f>IFERROR(_xlfn.XLOOKUP($D68,'Modelling New'!$D:$D,'Modelling New'!$N:$N),"")</f>
        <v>70.400000000000006</v>
      </c>
      <c r="AS68" s="198"/>
    </row>
    <row r="69" spans="1:45">
      <c r="A69" s="137">
        <f t="shared" si="13"/>
        <v>45812</v>
      </c>
      <c r="B69" s="138">
        <f>YEAR(Daily_KPI[[#This Row],[Date]])+IF(MONTH(Daily_KPI[[#This Row],[Date]])&gt;=4,1,0)</f>
        <v>2026</v>
      </c>
      <c r="C69" s="108">
        <f>YEAR(Daily_KPI[[#This Row],[Date]])</f>
        <v>2025</v>
      </c>
      <c r="D69" s="139">
        <f>Daily_KPI[[#This Row],[Date]]-DAY(Daily_KPI[[#This Row],[Date]])+1</f>
        <v>45809</v>
      </c>
      <c r="E69" s="108">
        <f t="shared" si="9"/>
        <v>30</v>
      </c>
      <c r="F69" s="109"/>
      <c r="G69" s="110"/>
      <c r="H69" s="110"/>
      <c r="I69" s="110"/>
      <c r="J69" s="110"/>
      <c r="K69" s="111"/>
      <c r="L69" s="110"/>
      <c r="M69" s="110">
        <f>IFERROR(_xlfn.XLOOKUP($A69,Input_Raw!$A:$A,Input_Raw!$CQ:$CQ),"")</f>
        <v>6.6354545454545466</v>
      </c>
      <c r="N69" s="110">
        <f>IFERROR(_xlfn.XLOOKUP($A69,Input_Raw!$A:$A,Input_Raw!$CR:$CR),"")</f>
        <v>9.1</v>
      </c>
      <c r="O69" s="141">
        <f t="shared" si="10"/>
        <v>0.98759818106072195</v>
      </c>
      <c r="P69" s="141">
        <f>IFERROR(1-SUMIF(WTG_BD!$F:$F,$A69,WTG_BD!$AA:$AA)/($AA69+SUMIF(WTG_BD!$F:$F,$A69,WTG_BD!$AA:$AA)),"")</f>
        <v>0.98799870695745928</v>
      </c>
      <c r="Q69" s="141">
        <f>IFERROR(1-SUMIF(IGA_BD!$F:$F,$A69,IGA_BD!$W:$W)/($AA69+SUMIF(IGA_BD!$F:$F,$A69,IGA_BD!$W:$W)),"")</f>
        <v>0.99959460888570317</v>
      </c>
      <c r="R69" s="141">
        <f>IFERROR(1-SUMIF(Grid_BD!$F:$F,$A69,Grid_BD!$Y:$Y)/($AA69+SUMIF(Grid_BD!$F:$F,$A69,Grid_BD!$Y:$Y)),"")</f>
        <v>1</v>
      </c>
      <c r="S69" s="108"/>
      <c r="T69" s="140"/>
      <c r="U69" s="141"/>
      <c r="V69" s="108"/>
      <c r="W69" s="142">
        <f t="shared" si="11"/>
        <v>0.30208984374999998</v>
      </c>
      <c r="X69" s="108">
        <f>IFERROR(_xlfn.XLOOKUP($A69,Input_Raw!$A:$A,Input_Raw!$CP:$CP)*1000,"")</f>
        <v>510411</v>
      </c>
      <c r="Y69" s="108">
        <f>IFERROR(_xlfn.XLOOKUP($A69,Input_Raw!$A:$A,Input_Raw!DJ:DJ)*1000,"")</f>
        <v>510411.00000000006</v>
      </c>
      <c r="Z69" s="108">
        <f>IFERROR(_xlfn.XLOOKUP($A69,Input_Raw!$A:$A,Input_Raw!DK:DK)*1000,"")</f>
        <v>0</v>
      </c>
      <c r="AA69" s="138">
        <f t="shared" si="12"/>
        <v>510411.00000000006</v>
      </c>
      <c r="AB69" s="108">
        <f>IFERROR(_xlfn.XLOOKUP($A69,Input_Raw!$A:$A,Input_Raw!$DR:$DR),"")</f>
        <v>70.400000000000006</v>
      </c>
      <c r="AC69" s="143">
        <f>IFERROR(_xlfn.XLOOKUP($D69,'Modelling New'!$D:$D,'Modelling New'!$J:$J),"")</f>
        <v>6.81</v>
      </c>
      <c r="AD69" s="138">
        <f>IFERROR(_xlfn.XLOOKUP($D69,'Modelling New'!$D:$D,'Modelling New'!$T:$T)*1000,"")</f>
        <v>519769.59725666587</v>
      </c>
      <c r="AE69" s="142"/>
      <c r="AF69" s="142">
        <f>IFERROR(_xlfn.XLOOKUP($D69,'Modelling New'!$D:$D,'Modelling New'!$W:$W),"")</f>
        <v>0.30762878625512891</v>
      </c>
      <c r="AG69" s="142">
        <f>IFERROR(_xlfn.XLOOKUP($D69,'Modelling New'!$D:$D,'Modelling New'!$AE:$AE),"")</f>
        <v>0.96029999999999993</v>
      </c>
      <c r="AH69" s="142">
        <f>IFERROR(_xlfn.XLOOKUP($D69,'Modelling New'!$D:$D,'Modelling New'!$AF:$AF),"")</f>
        <v>0.995</v>
      </c>
      <c r="AI69" s="109">
        <f>IFERROR(_xlfn.XLOOKUP($A69,Input_Raw!$A:$A,Input_Raw!$DP:$DP),"")</f>
        <v>475.81</v>
      </c>
      <c r="AJ69" s="108"/>
      <c r="AK69" s="108"/>
      <c r="AL69" s="108"/>
      <c r="AM69" s="108"/>
      <c r="AN69" s="132">
        <f>IFERROR(_xlfn.XLOOKUP($A69,Input_Raw!$A:$A,Input_Raw!$DL:$DL),"")</f>
        <v>2.2204460492503131E-16</v>
      </c>
      <c r="AO69" s="142">
        <f>IFERROR((_xlfn.XLOOKUP($A69,'WTG Reactive Power'!$A:$A,'WTG Reactive Power'!$AW:$AW))/X69,"")</f>
        <v>1.8933637891816591E-4</v>
      </c>
      <c r="AP69" s="142">
        <f>IFERROR(_xlfn.XLOOKUP($D69,'Modelling New'!$D:$D,'Modelling New'!$AK:$AK),"")</f>
        <v>0.05</v>
      </c>
      <c r="AQ69" s="142">
        <f>IFERROR(_xlfn.XLOOKUP($D69,'Modelling New'!$D:$D,'Modelling New'!$AL:$AL),"")</f>
        <v>0.05</v>
      </c>
      <c r="AR69" s="198">
        <f>IFERROR(_xlfn.XLOOKUP($D69,'Modelling New'!$D:$D,'Modelling New'!$N:$N),"")</f>
        <v>70.400000000000006</v>
      </c>
      <c r="AS69" s="198"/>
    </row>
    <row r="70" spans="1:45">
      <c r="A70" s="137">
        <f t="shared" si="13"/>
        <v>45813</v>
      </c>
      <c r="B70" s="138">
        <f>YEAR(Daily_KPI[[#This Row],[Date]])+IF(MONTH(Daily_KPI[[#This Row],[Date]])&gt;=4,1,0)</f>
        <v>2026</v>
      </c>
      <c r="C70" s="108">
        <f>YEAR(Daily_KPI[[#This Row],[Date]])</f>
        <v>2025</v>
      </c>
      <c r="D70" s="139">
        <f>Daily_KPI[[#This Row],[Date]]-DAY(Daily_KPI[[#This Row],[Date]])+1</f>
        <v>45809</v>
      </c>
      <c r="E70" s="108">
        <f t="shared" si="9"/>
        <v>30</v>
      </c>
      <c r="F70" s="109"/>
      <c r="G70" s="143"/>
      <c r="H70" s="143"/>
      <c r="I70" s="143"/>
      <c r="J70" s="143"/>
      <c r="K70" s="111"/>
      <c r="L70" s="110"/>
      <c r="M70" s="110">
        <f>IFERROR(_xlfn.XLOOKUP($A70,Input_Raw!$A:$A,Input_Raw!$CQ:$CQ),"")</f>
        <v>6.1284090909090914</v>
      </c>
      <c r="N70" s="110">
        <f>IFERROR(_xlfn.XLOOKUP($A70,Input_Raw!$A:$A,Input_Raw!$CR:$CR),"")</f>
        <v>7.6</v>
      </c>
      <c r="O70" s="141">
        <f t="shared" si="10"/>
        <v>0.98503766042827523</v>
      </c>
      <c r="P70" s="141">
        <f>IFERROR(1-SUMIF(WTG_BD!$F:$F,$A70,WTG_BD!$AA:$AA)/($AA70+SUMIF(WTG_BD!$F:$F,$A70,WTG_BD!$AA:$AA)),"")</f>
        <v>0.99371828627079362</v>
      </c>
      <c r="Q70" s="141">
        <f>IFERROR(1-SUMIF(IGA_BD!$F:$F,$A70,IGA_BD!$W:$W)/($AA70+SUMIF(IGA_BD!$F:$F,$A70,IGA_BD!$W:$W)),"")</f>
        <v>0.99126450024876278</v>
      </c>
      <c r="R70" s="141">
        <f>IFERROR(1-SUMIF(Grid_BD!$F:$F,$A70,Grid_BD!$Y:$Y)/($AA70+SUMIF(Grid_BD!$F:$F,$A70,Grid_BD!$Y:$Y)),"")</f>
        <v>1</v>
      </c>
      <c r="S70" s="108"/>
      <c r="T70" s="140"/>
      <c r="U70" s="141"/>
      <c r="V70" s="108"/>
      <c r="W70" s="142">
        <f t="shared" si="11"/>
        <v>0.22404947916666665</v>
      </c>
      <c r="X70" s="108">
        <f>IFERROR(_xlfn.XLOOKUP($A70,Input_Raw!$A:$A,Input_Raw!$CP:$CP)*1000,"")</f>
        <v>378554</v>
      </c>
      <c r="Y70" s="108">
        <f>IFERROR(_xlfn.XLOOKUP($A70,Input_Raw!$A:$A,Input_Raw!DJ:DJ)*1000,"")</f>
        <v>378554</v>
      </c>
      <c r="Z70" s="108">
        <f>IFERROR(_xlfn.XLOOKUP($A70,Input_Raw!$A:$A,Input_Raw!DK:DK)*1000,"")</f>
        <v>0</v>
      </c>
      <c r="AA70" s="138">
        <f t="shared" si="12"/>
        <v>378554</v>
      </c>
      <c r="AB70" s="108">
        <f>IFERROR(_xlfn.XLOOKUP($A70,Input_Raw!$A:$A,Input_Raw!$DR:$DR),"")</f>
        <v>70.400000000000006</v>
      </c>
      <c r="AC70" s="143">
        <f>IFERROR(_xlfn.XLOOKUP($D70,'Modelling New'!$D:$D,'Modelling New'!$J:$J),"")</f>
        <v>6.81</v>
      </c>
      <c r="AD70" s="138">
        <f>IFERROR(_xlfn.XLOOKUP($D70,'Modelling New'!$D:$D,'Modelling New'!$T:$T)*1000,"")</f>
        <v>519769.59725666587</v>
      </c>
      <c r="AE70" s="142"/>
      <c r="AF70" s="142">
        <f>IFERROR(_xlfn.XLOOKUP($D70,'Modelling New'!$D:$D,'Modelling New'!$W:$W),"")</f>
        <v>0.30762878625512891</v>
      </c>
      <c r="AG70" s="142">
        <f>IFERROR(_xlfn.XLOOKUP($D70,'Modelling New'!$D:$D,'Modelling New'!$AE:$AE),"")</f>
        <v>0.96029999999999993</v>
      </c>
      <c r="AH70" s="142">
        <f>IFERROR(_xlfn.XLOOKUP($D70,'Modelling New'!$D:$D,'Modelling New'!$AF:$AF),"")</f>
        <v>0.995</v>
      </c>
      <c r="AI70" s="109">
        <f>IFERROR(_xlfn.XLOOKUP($A70,Input_Raw!$A:$A,Input_Raw!$DP:$DP),"")</f>
        <v>361.89</v>
      </c>
      <c r="AJ70" s="108"/>
      <c r="AK70" s="108"/>
      <c r="AL70" s="108"/>
      <c r="AM70" s="108"/>
      <c r="AN70" s="132">
        <f>IFERROR(_xlfn.XLOOKUP($A70,Input_Raw!$A:$A,Input_Raw!$DL:$DL),"")</f>
        <v>0</v>
      </c>
      <c r="AO70" s="142">
        <f>IFERROR((_xlfn.XLOOKUP($A70,'WTG Reactive Power'!$A:$A,'WTG Reactive Power'!$AW:$AW))/X70,"")</f>
        <v>1.7881528482946516E-4</v>
      </c>
      <c r="AP70" s="142">
        <f>IFERROR(_xlfn.XLOOKUP($D70,'Modelling New'!$D:$D,'Modelling New'!$AK:$AK),"")</f>
        <v>0.05</v>
      </c>
      <c r="AQ70" s="142">
        <f>IFERROR(_xlfn.XLOOKUP($D70,'Modelling New'!$D:$D,'Modelling New'!$AL:$AL),"")</f>
        <v>0.05</v>
      </c>
      <c r="AR70" s="198">
        <f>IFERROR(_xlfn.XLOOKUP($D70,'Modelling New'!$D:$D,'Modelling New'!$N:$N),"")</f>
        <v>70.400000000000006</v>
      </c>
      <c r="AS70" s="198"/>
    </row>
    <row r="71" spans="1:45">
      <c r="A71" s="137">
        <f t="shared" si="13"/>
        <v>45814</v>
      </c>
      <c r="B71" s="138">
        <f>YEAR(Daily_KPI[[#This Row],[Date]])+IF(MONTH(Daily_KPI[[#This Row],[Date]])&gt;=4,1,0)</f>
        <v>2026</v>
      </c>
      <c r="C71" s="108">
        <f>YEAR(Daily_KPI[[#This Row],[Date]])</f>
        <v>2025</v>
      </c>
      <c r="D71" s="139">
        <f>Daily_KPI[[#This Row],[Date]]-DAY(Daily_KPI[[#This Row],[Date]])+1</f>
        <v>45809</v>
      </c>
      <c r="E71" s="108">
        <f t="shared" si="9"/>
        <v>30</v>
      </c>
      <c r="F71" s="109"/>
      <c r="G71" s="110"/>
      <c r="H71" s="110"/>
      <c r="I71" s="110"/>
      <c r="J71" s="110"/>
      <c r="K71" s="111"/>
      <c r="L71" s="110"/>
      <c r="M71" s="110">
        <f>IFERROR(_xlfn.XLOOKUP($A71,Input_Raw!$A:$A,Input_Raw!$CQ:$CQ),"")</f>
        <v>5.317045454545454</v>
      </c>
      <c r="N71" s="110">
        <f>IFERROR(_xlfn.XLOOKUP($A71,Input_Raw!$A:$A,Input_Raw!$CR:$CR),"")</f>
        <v>6.84</v>
      </c>
      <c r="O71" s="141">
        <f t="shared" si="10"/>
        <v>0.98672813974989049</v>
      </c>
      <c r="P71" s="141">
        <f>IFERROR(1-SUMIF(WTG_BD!$F:$F,$A71,WTG_BD!$AA:$AA)/($AA71+SUMIF(WTG_BD!$F:$F,$A71,WTG_BD!$AA:$AA)),"")</f>
        <v>0.98672813974989049</v>
      </c>
      <c r="Q71" s="141">
        <f>IFERROR(1-SUMIF(IGA_BD!$F:$F,$A71,IGA_BD!$W:$W)/($AA71+SUMIF(IGA_BD!$F:$F,$A71,IGA_BD!$W:$W)),"")</f>
        <v>1</v>
      </c>
      <c r="R71" s="141">
        <f>IFERROR(1-SUMIF(Grid_BD!$F:$F,$A71,Grid_BD!$Y:$Y)/($AA71+SUMIF(Grid_BD!$F:$F,$A71,Grid_BD!$Y:$Y)),"")</f>
        <v>1</v>
      </c>
      <c r="S71" s="108"/>
      <c r="T71" s="140"/>
      <c r="U71" s="141"/>
      <c r="V71" s="108"/>
      <c r="W71" s="142">
        <f t="shared" si="11"/>
        <v>0.14402166193181817</v>
      </c>
      <c r="X71" s="108">
        <f>IFERROR(_xlfn.XLOOKUP($A71,Input_Raw!$A:$A,Input_Raw!$CP:$CP)*1000,"")</f>
        <v>243339</v>
      </c>
      <c r="Y71" s="108">
        <f>IFERROR(_xlfn.XLOOKUP($A71,Input_Raw!$A:$A,Input_Raw!DJ:DJ)*1000,"")</f>
        <v>243339</v>
      </c>
      <c r="Z71" s="108">
        <f>IFERROR(_xlfn.XLOOKUP($A71,Input_Raw!$A:$A,Input_Raw!DK:DK)*1000,"")</f>
        <v>0</v>
      </c>
      <c r="AA71" s="138">
        <f t="shared" si="12"/>
        <v>243339</v>
      </c>
      <c r="AB71" s="108">
        <f>IFERROR(_xlfn.XLOOKUP($A71,Input_Raw!$A:$A,Input_Raw!$DR:$DR),"")</f>
        <v>70.400000000000006</v>
      </c>
      <c r="AC71" s="143">
        <f>IFERROR(_xlfn.XLOOKUP($D71,'Modelling New'!$D:$D,'Modelling New'!$J:$J),"")</f>
        <v>6.81</v>
      </c>
      <c r="AD71" s="138">
        <f>IFERROR(_xlfn.XLOOKUP($D71,'Modelling New'!$D:$D,'Modelling New'!$T:$T)*1000,"")</f>
        <v>519769.59725666587</v>
      </c>
      <c r="AE71" s="142"/>
      <c r="AF71" s="142">
        <f>IFERROR(_xlfn.XLOOKUP($D71,'Modelling New'!$D:$D,'Modelling New'!$W:$W),"")</f>
        <v>0.30762878625512891</v>
      </c>
      <c r="AG71" s="142">
        <f>IFERROR(_xlfn.XLOOKUP($D71,'Modelling New'!$D:$D,'Modelling New'!$AE:$AE),"")</f>
        <v>0.96029999999999993</v>
      </c>
      <c r="AH71" s="142">
        <f>IFERROR(_xlfn.XLOOKUP($D71,'Modelling New'!$D:$D,'Modelling New'!$AF:$AF),"")</f>
        <v>0.995</v>
      </c>
      <c r="AI71" s="109">
        <f>IFERROR(_xlfn.XLOOKUP($A71,Input_Raw!$A:$A,Input_Raw!$DP:$DP),"")</f>
        <v>238.66</v>
      </c>
      <c r="AJ71" s="108"/>
      <c r="AK71" s="108"/>
      <c r="AL71" s="108"/>
      <c r="AM71" s="108"/>
      <c r="AN71" s="132">
        <f>IFERROR(_xlfn.XLOOKUP($A71,Input_Raw!$A:$A,Input_Raw!$DL:$DL),"")</f>
        <v>0</v>
      </c>
      <c r="AO71" s="142">
        <f>IFERROR((_xlfn.XLOOKUP($A71,'WTG Reactive Power'!$A:$A,'WTG Reactive Power'!$AW:$AW))/X71,"")</f>
        <v>1.7782447395060664E-4</v>
      </c>
      <c r="AP71" s="142">
        <f>IFERROR(_xlfn.XLOOKUP($D71,'Modelling New'!$D:$D,'Modelling New'!$AK:$AK),"")</f>
        <v>0.05</v>
      </c>
      <c r="AQ71" s="142">
        <f>IFERROR(_xlfn.XLOOKUP($D71,'Modelling New'!$D:$D,'Modelling New'!$AL:$AL),"")</f>
        <v>0.05</v>
      </c>
      <c r="AR71" s="198">
        <f>IFERROR(_xlfn.XLOOKUP($D71,'Modelling New'!$D:$D,'Modelling New'!$N:$N),"")</f>
        <v>70.400000000000006</v>
      </c>
      <c r="AS71" s="198"/>
    </row>
    <row r="72" spans="1:45">
      <c r="A72" s="137">
        <f t="shared" si="13"/>
        <v>45815</v>
      </c>
      <c r="B72" s="138">
        <f>YEAR(Daily_KPI[[#This Row],[Date]])+IF(MONTH(Daily_KPI[[#This Row],[Date]])&gt;=4,1,0)</f>
        <v>2026</v>
      </c>
      <c r="C72" s="108">
        <f>YEAR(Daily_KPI[[#This Row],[Date]])</f>
        <v>2025</v>
      </c>
      <c r="D72" s="139">
        <f>Daily_KPI[[#This Row],[Date]]-DAY(Daily_KPI[[#This Row],[Date]])+1</f>
        <v>45809</v>
      </c>
      <c r="E72" s="108">
        <f t="shared" si="9"/>
        <v>30</v>
      </c>
      <c r="F72" s="109"/>
      <c r="G72" s="143"/>
      <c r="H72" s="143"/>
      <c r="I72" s="143"/>
      <c r="J72" s="143"/>
      <c r="K72" s="111"/>
      <c r="L72" s="110"/>
      <c r="M72" s="110">
        <f>IFERROR(_xlfn.XLOOKUP($A72,Input_Raw!$A:$A,Input_Raw!$CQ:$CQ),"")</f>
        <v>5.6863636363636347</v>
      </c>
      <c r="N72" s="110">
        <f>IFERROR(_xlfn.XLOOKUP($A72,Input_Raw!$A:$A,Input_Raw!$CR:$CR),"")</f>
        <v>7.26</v>
      </c>
      <c r="O72" s="141">
        <f t="shared" si="10"/>
        <v>0.99718737638200727</v>
      </c>
      <c r="P72" s="141">
        <f>IFERROR(1-SUMIF(WTG_BD!$F:$F,$A72,WTG_BD!$AA:$AA)/($AA72+SUMIF(WTG_BD!$F:$F,$A72,WTG_BD!$AA:$AA)),"")</f>
        <v>0.99718737638200727</v>
      </c>
      <c r="Q72" s="141">
        <f>IFERROR(1-SUMIF(IGA_BD!$F:$F,$A72,IGA_BD!$W:$W)/($AA72+SUMIF(IGA_BD!$F:$F,$A72,IGA_BD!$W:$W)),"")</f>
        <v>1</v>
      </c>
      <c r="R72" s="141">
        <f>IFERROR(1-SUMIF(Grid_BD!$F:$F,$A72,Grid_BD!$Y:$Y)/($AA72+SUMIF(Grid_BD!$F:$F,$A72,Grid_BD!$Y:$Y)),"")</f>
        <v>1</v>
      </c>
      <c r="S72" s="108"/>
      <c r="T72" s="140"/>
      <c r="U72" s="141"/>
      <c r="V72" s="108"/>
      <c r="W72" s="142">
        <f t="shared" si="11"/>
        <v>0.17605291193181816</v>
      </c>
      <c r="X72" s="108">
        <f>IFERROR(_xlfn.XLOOKUP($A72,Input_Raw!$A:$A,Input_Raw!$CP:$CP)*1000,"")</f>
        <v>297459</v>
      </c>
      <c r="Y72" s="108">
        <f>IFERROR(_xlfn.XLOOKUP($A72,Input_Raw!$A:$A,Input_Raw!DJ:DJ)*1000,"")</f>
        <v>297459</v>
      </c>
      <c r="Z72" s="108">
        <f>IFERROR(_xlfn.XLOOKUP($A72,Input_Raw!$A:$A,Input_Raw!DK:DK)*1000,"")</f>
        <v>0</v>
      </c>
      <c r="AA72" s="138">
        <f t="shared" si="12"/>
        <v>297459</v>
      </c>
      <c r="AB72" s="108">
        <f>IFERROR(_xlfn.XLOOKUP($A72,Input_Raw!$A:$A,Input_Raw!$DR:$DR),"")</f>
        <v>70.400000000000006</v>
      </c>
      <c r="AC72" s="143">
        <f>IFERROR(_xlfn.XLOOKUP($D72,'Modelling New'!$D:$D,'Modelling New'!$J:$J),"")</f>
        <v>6.81</v>
      </c>
      <c r="AD72" s="138">
        <f>IFERROR(_xlfn.XLOOKUP($D72,'Modelling New'!$D:$D,'Modelling New'!$T:$T)*1000,"")</f>
        <v>519769.59725666587</v>
      </c>
      <c r="AE72" s="142"/>
      <c r="AF72" s="142">
        <f>IFERROR(_xlfn.XLOOKUP($D72,'Modelling New'!$D:$D,'Modelling New'!$W:$W),"")</f>
        <v>0.30762878625512891</v>
      </c>
      <c r="AG72" s="142">
        <f>IFERROR(_xlfn.XLOOKUP($D72,'Modelling New'!$D:$D,'Modelling New'!$AE:$AE),"")</f>
        <v>0.96029999999999993</v>
      </c>
      <c r="AH72" s="142">
        <f>IFERROR(_xlfn.XLOOKUP($D72,'Modelling New'!$D:$D,'Modelling New'!$AF:$AF),"")</f>
        <v>0.995</v>
      </c>
      <c r="AI72" s="109">
        <f>IFERROR(_xlfn.XLOOKUP($A72,Input_Raw!$A:$A,Input_Raw!$DP:$DP),"")</f>
        <v>290.06</v>
      </c>
      <c r="AJ72" s="108"/>
      <c r="AK72" s="108"/>
      <c r="AL72" s="108"/>
      <c r="AM72" s="108"/>
      <c r="AN72" s="132">
        <f>IFERROR(_xlfn.XLOOKUP($A72,Input_Raw!$A:$A,Input_Raw!$DL:$DL),"")</f>
        <v>0</v>
      </c>
      <c r="AO72" s="142">
        <f>IFERROR((_xlfn.XLOOKUP($A72,'WTG Reactive Power'!$A:$A,'WTG Reactive Power'!$AW:$AW))/X72,"")</f>
        <v>1.7966252491940056E-4</v>
      </c>
      <c r="AP72" s="142">
        <f>IFERROR(_xlfn.XLOOKUP($D72,'Modelling New'!$D:$D,'Modelling New'!$AK:$AK),"")</f>
        <v>0.05</v>
      </c>
      <c r="AQ72" s="142">
        <f>IFERROR(_xlfn.XLOOKUP($D72,'Modelling New'!$D:$D,'Modelling New'!$AL:$AL),"")</f>
        <v>0.05</v>
      </c>
      <c r="AR72" s="198">
        <f>IFERROR(_xlfn.XLOOKUP($D72,'Modelling New'!$D:$D,'Modelling New'!$N:$N),"")</f>
        <v>70.400000000000006</v>
      </c>
      <c r="AS72" s="198"/>
    </row>
    <row r="73" spans="1:45">
      <c r="A73" s="137">
        <f t="shared" si="13"/>
        <v>45816</v>
      </c>
      <c r="B73" s="138">
        <f>YEAR(Daily_KPI[[#This Row],[Date]])+IF(MONTH(Daily_KPI[[#This Row],[Date]])&gt;=4,1,0)</f>
        <v>2026</v>
      </c>
      <c r="C73" s="108">
        <f>YEAR(Daily_KPI[[#This Row],[Date]])</f>
        <v>2025</v>
      </c>
      <c r="D73" s="139">
        <f>Daily_KPI[[#This Row],[Date]]-DAY(Daily_KPI[[#This Row],[Date]])+1</f>
        <v>45809</v>
      </c>
      <c r="E73" s="108">
        <f t="shared" si="9"/>
        <v>30</v>
      </c>
      <c r="F73" s="109"/>
      <c r="G73" s="110"/>
      <c r="H73" s="110"/>
      <c r="I73" s="110"/>
      <c r="J73" s="110"/>
      <c r="K73" s="111"/>
      <c r="L73" s="110"/>
      <c r="M73" s="110">
        <f>IFERROR(_xlfn.XLOOKUP($A73,Input_Raw!$A:$A,Input_Raw!$CQ:$CQ),"")</f>
        <v>6.8177272727272742</v>
      </c>
      <c r="N73" s="110">
        <f>IFERROR(_xlfn.XLOOKUP($A73,Input_Raw!$A:$A,Input_Raw!$CR:$CR),"")</f>
        <v>8.57</v>
      </c>
      <c r="O73" s="141">
        <f t="shared" si="10"/>
        <v>0.99879211191371664</v>
      </c>
      <c r="P73" s="141">
        <f>IFERROR(1-SUMIF(WTG_BD!$F:$F,$A73,WTG_BD!$AA:$AA)/($AA73+SUMIF(WTG_BD!$F:$F,$A73,WTG_BD!$AA:$AA)),"")</f>
        <v>0.99879211191371664</v>
      </c>
      <c r="Q73" s="141">
        <f>IFERROR(1-SUMIF(IGA_BD!$F:$F,$A73,IGA_BD!$W:$W)/($AA73+SUMIF(IGA_BD!$F:$F,$A73,IGA_BD!$W:$W)),"")</f>
        <v>1</v>
      </c>
      <c r="R73" s="141">
        <f>IFERROR(1-SUMIF(Grid_BD!$F:$F,$A73,Grid_BD!$Y:$Y)/($AA73+SUMIF(Grid_BD!$F:$F,$A73,Grid_BD!$Y:$Y)),"")</f>
        <v>1</v>
      </c>
      <c r="S73" s="108"/>
      <c r="T73" s="140"/>
      <c r="U73" s="141"/>
      <c r="V73" s="108"/>
      <c r="W73" s="142">
        <f t="shared" si="11"/>
        <v>0.29706616950757569</v>
      </c>
      <c r="X73" s="108">
        <f>IFERROR(_xlfn.XLOOKUP($A73,Input_Raw!$A:$A,Input_Raw!$CP:$CP)*1000,"")</f>
        <v>501923</v>
      </c>
      <c r="Y73" s="108">
        <f>IFERROR(_xlfn.XLOOKUP($A73,Input_Raw!$A:$A,Input_Raw!DJ:DJ)*1000,"")</f>
        <v>501923</v>
      </c>
      <c r="Z73" s="108">
        <f>IFERROR(_xlfn.XLOOKUP($A73,Input_Raw!$A:$A,Input_Raw!DK:DK)*1000,"")</f>
        <v>0</v>
      </c>
      <c r="AA73" s="138">
        <f t="shared" si="12"/>
        <v>501923</v>
      </c>
      <c r="AB73" s="108">
        <f>IFERROR(_xlfn.XLOOKUP($A73,Input_Raw!$A:$A,Input_Raw!$DR:$DR),"")</f>
        <v>70.400000000000006</v>
      </c>
      <c r="AC73" s="143">
        <f>IFERROR(_xlfn.XLOOKUP($D73,'Modelling New'!$D:$D,'Modelling New'!$J:$J),"")</f>
        <v>6.81</v>
      </c>
      <c r="AD73" s="138">
        <f>IFERROR(_xlfn.XLOOKUP($D73,'Modelling New'!$D:$D,'Modelling New'!$T:$T)*1000,"")</f>
        <v>519769.59725666587</v>
      </c>
      <c r="AE73" s="142"/>
      <c r="AF73" s="142">
        <f>IFERROR(_xlfn.XLOOKUP($D73,'Modelling New'!$D:$D,'Modelling New'!$W:$W),"")</f>
        <v>0.30762878625512891</v>
      </c>
      <c r="AG73" s="142">
        <f>IFERROR(_xlfn.XLOOKUP($D73,'Modelling New'!$D:$D,'Modelling New'!$AE:$AE),"")</f>
        <v>0.96029999999999993</v>
      </c>
      <c r="AH73" s="142">
        <f>IFERROR(_xlfn.XLOOKUP($D73,'Modelling New'!$D:$D,'Modelling New'!$AF:$AF),"")</f>
        <v>0.995</v>
      </c>
      <c r="AI73" s="109">
        <f>IFERROR(_xlfn.XLOOKUP($A73,Input_Raw!$A:$A,Input_Raw!$DP:$DP),"")</f>
        <v>485.96</v>
      </c>
      <c r="AJ73" s="108"/>
      <c r="AK73" s="108"/>
      <c r="AL73" s="108"/>
      <c r="AM73" s="108"/>
      <c r="AN73" s="132">
        <f>IFERROR(_xlfn.XLOOKUP($A73,Input_Raw!$A:$A,Input_Raw!$DL:$DL),"")</f>
        <v>0</v>
      </c>
      <c r="AO73" s="142">
        <f>IFERROR((_xlfn.XLOOKUP($A73,'WTG Reactive Power'!$A:$A,'WTG Reactive Power'!$AW:$AW))/X73,"")</f>
        <v>1.8802163014380025E-4</v>
      </c>
      <c r="AP73" s="142">
        <f>IFERROR(_xlfn.XLOOKUP($D73,'Modelling New'!$D:$D,'Modelling New'!$AK:$AK),"")</f>
        <v>0.05</v>
      </c>
      <c r="AQ73" s="142">
        <f>IFERROR(_xlfn.XLOOKUP($D73,'Modelling New'!$D:$D,'Modelling New'!$AL:$AL),"")</f>
        <v>0.05</v>
      </c>
      <c r="AR73" s="198">
        <f>IFERROR(_xlfn.XLOOKUP($D73,'Modelling New'!$D:$D,'Modelling New'!$N:$N),"")</f>
        <v>70.400000000000006</v>
      </c>
      <c r="AS73" s="198"/>
    </row>
    <row r="74" spans="1:45">
      <c r="A74" s="137">
        <f t="shared" si="13"/>
        <v>45817</v>
      </c>
      <c r="B74" s="138">
        <f>YEAR(Daily_KPI[[#This Row],[Date]])+IF(MONTH(Daily_KPI[[#This Row],[Date]])&gt;=4,1,0)</f>
        <v>2026</v>
      </c>
      <c r="C74" s="108">
        <f>YEAR(Daily_KPI[[#This Row],[Date]])</f>
        <v>2025</v>
      </c>
      <c r="D74" s="139">
        <f>Daily_KPI[[#This Row],[Date]]-DAY(Daily_KPI[[#This Row],[Date]])+1</f>
        <v>45809</v>
      </c>
      <c r="E74" s="108">
        <f t="shared" si="9"/>
        <v>30</v>
      </c>
      <c r="F74" s="109"/>
      <c r="G74" s="143"/>
      <c r="H74" s="143"/>
      <c r="I74" s="143"/>
      <c r="J74" s="143"/>
      <c r="K74" s="111"/>
      <c r="L74" s="110"/>
      <c r="M74" s="110">
        <f>IFERROR(_xlfn.XLOOKUP($A74,Input_Raw!$A:$A,Input_Raw!$CQ:$CQ),"")</f>
        <v>7.3813636363636359</v>
      </c>
      <c r="N74" s="110">
        <f>IFERROR(_xlfn.XLOOKUP($A74,Input_Raw!$A:$A,Input_Raw!$CR:$CR),"")</f>
        <v>9.48</v>
      </c>
      <c r="O74" s="141">
        <f t="shared" si="10"/>
        <v>0.99972753122698077</v>
      </c>
      <c r="P74" s="141">
        <f>IFERROR(1-SUMIF(WTG_BD!$F:$F,$A74,WTG_BD!$AA:$AA)/($AA74+SUMIF(WTG_BD!$F:$F,$A74,WTG_BD!$AA:$AA)),"")</f>
        <v>0.99972753122698077</v>
      </c>
      <c r="Q74" s="141">
        <f>IFERROR(1-SUMIF(IGA_BD!$F:$F,$A74,IGA_BD!$W:$W)/($AA74+SUMIF(IGA_BD!$F:$F,$A74,IGA_BD!$W:$W)),"")</f>
        <v>1</v>
      </c>
      <c r="R74" s="141">
        <f>IFERROR(1-SUMIF(Grid_BD!$F:$F,$A74,Grid_BD!$Y:$Y)/($AA74+SUMIF(Grid_BD!$F:$F,$A74,Grid_BD!$Y:$Y)),"")</f>
        <v>1</v>
      </c>
      <c r="S74" s="108"/>
      <c r="T74" s="140"/>
      <c r="U74" s="141"/>
      <c r="V74" s="108"/>
      <c r="W74" s="142">
        <f t="shared" si="11"/>
        <v>0.37351621685606057</v>
      </c>
      <c r="X74" s="108">
        <f>IFERROR(_xlfn.XLOOKUP($A74,Input_Raw!$A:$A,Input_Raw!$CP:$CP)*1000,"")</f>
        <v>631093</v>
      </c>
      <c r="Y74" s="108">
        <f>IFERROR(_xlfn.XLOOKUP($A74,Input_Raw!$A:$A,Input_Raw!DJ:DJ)*1000,"")</f>
        <v>631093.00000000012</v>
      </c>
      <c r="Z74" s="108">
        <f>IFERROR(_xlfn.XLOOKUP($A74,Input_Raw!$A:$A,Input_Raw!DK:DK)*1000,"")</f>
        <v>0</v>
      </c>
      <c r="AA74" s="138">
        <f t="shared" si="12"/>
        <v>631093.00000000012</v>
      </c>
      <c r="AB74" s="108">
        <f>IFERROR(_xlfn.XLOOKUP($A74,Input_Raw!$A:$A,Input_Raw!$DR:$DR),"")</f>
        <v>70.400000000000006</v>
      </c>
      <c r="AC74" s="143">
        <f>IFERROR(_xlfn.XLOOKUP($D74,'Modelling New'!$D:$D,'Modelling New'!$J:$J),"")</f>
        <v>6.81</v>
      </c>
      <c r="AD74" s="138">
        <f>IFERROR(_xlfn.XLOOKUP($D74,'Modelling New'!$D:$D,'Modelling New'!$T:$T)*1000,"")</f>
        <v>519769.59725666587</v>
      </c>
      <c r="AE74" s="142"/>
      <c r="AF74" s="142">
        <f>IFERROR(_xlfn.XLOOKUP($D74,'Modelling New'!$D:$D,'Modelling New'!$W:$W),"")</f>
        <v>0.30762878625512891</v>
      </c>
      <c r="AG74" s="142">
        <f>IFERROR(_xlfn.XLOOKUP($D74,'Modelling New'!$D:$D,'Modelling New'!$AE:$AE),"")</f>
        <v>0.96029999999999993</v>
      </c>
      <c r="AH74" s="142">
        <f>IFERROR(_xlfn.XLOOKUP($D74,'Modelling New'!$D:$D,'Modelling New'!$AF:$AF),"")</f>
        <v>0.995</v>
      </c>
      <c r="AI74" s="109">
        <f>IFERROR(_xlfn.XLOOKUP($A74,Input_Raw!$A:$A,Input_Raw!$DP:$DP),"")</f>
        <v>615.65</v>
      </c>
      <c r="AJ74" s="108"/>
      <c r="AK74" s="108"/>
      <c r="AL74" s="108"/>
      <c r="AM74" s="108"/>
      <c r="AN74" s="132">
        <f>IFERROR(_xlfn.XLOOKUP($A74,Input_Raw!$A:$A,Input_Raw!$DL:$DL),"")</f>
        <v>2.2204460492503131E-16</v>
      </c>
      <c r="AO74" s="142">
        <f>IFERROR((_xlfn.XLOOKUP($A74,'WTG Reactive Power'!$A:$A,'WTG Reactive Power'!$AW:$AW))/X74,"")</f>
        <v>1.8677250949279001E-4</v>
      </c>
      <c r="AP74" s="142">
        <f>IFERROR(_xlfn.XLOOKUP($D74,'Modelling New'!$D:$D,'Modelling New'!$AK:$AK),"")</f>
        <v>0.05</v>
      </c>
      <c r="AQ74" s="142">
        <f>IFERROR(_xlfn.XLOOKUP($D74,'Modelling New'!$D:$D,'Modelling New'!$AL:$AL),"")</f>
        <v>0.05</v>
      </c>
      <c r="AR74" s="198">
        <f>IFERROR(_xlfn.XLOOKUP($D74,'Modelling New'!$D:$D,'Modelling New'!$N:$N),"")</f>
        <v>70.400000000000006</v>
      </c>
      <c r="AS74" s="198"/>
    </row>
    <row r="75" spans="1:45">
      <c r="A75" s="137">
        <f t="shared" si="13"/>
        <v>45818</v>
      </c>
      <c r="B75" s="138">
        <f>YEAR(Daily_KPI[[#This Row],[Date]])+IF(MONTH(Daily_KPI[[#This Row],[Date]])&gt;=4,1,0)</f>
        <v>2026</v>
      </c>
      <c r="C75" s="108">
        <f>YEAR(Daily_KPI[[#This Row],[Date]])</f>
        <v>2025</v>
      </c>
      <c r="D75" s="139">
        <f>Daily_KPI[[#This Row],[Date]]-DAY(Daily_KPI[[#This Row],[Date]])+1</f>
        <v>45809</v>
      </c>
      <c r="E75" s="108">
        <f t="shared" si="9"/>
        <v>30</v>
      </c>
      <c r="F75" s="109"/>
      <c r="G75" s="110"/>
      <c r="H75" s="110"/>
      <c r="I75" s="110"/>
      <c r="J75" s="110"/>
      <c r="K75" s="111"/>
      <c r="L75" s="110"/>
      <c r="M75" s="110">
        <f>IFERROR(_xlfn.XLOOKUP($A75,Input_Raw!$A:$A,Input_Raw!$CQ:$CQ),"")</f>
        <v>7.9763636363636357</v>
      </c>
      <c r="N75" s="110">
        <f>IFERROR(_xlfn.XLOOKUP($A75,Input_Raw!$A:$A,Input_Raw!$CR:$CR),"")</f>
        <v>10.029999999999999</v>
      </c>
      <c r="O75" s="141">
        <f t="shared" si="10"/>
        <v>0.99795447738441723</v>
      </c>
      <c r="P75" s="141">
        <f>IFERROR(1-SUMIF(WTG_BD!$F:$F,$A75,WTG_BD!$AA:$AA)/($AA75+SUMIF(WTG_BD!$F:$F,$A75,WTG_BD!$AA:$AA)),"")</f>
        <v>0.99795447738441723</v>
      </c>
      <c r="Q75" s="141">
        <f>IFERROR(1-SUMIF(IGA_BD!$F:$F,$A75,IGA_BD!$W:$W)/($AA75+SUMIF(IGA_BD!$F:$F,$A75,IGA_BD!$W:$W)),"")</f>
        <v>1</v>
      </c>
      <c r="R75" s="141">
        <f>IFERROR(1-SUMIF(Grid_BD!$F:$F,$A75,Grid_BD!$Y:$Y)/($AA75+SUMIF(Grid_BD!$F:$F,$A75,Grid_BD!$Y:$Y)),"")</f>
        <v>0.9434259326271256</v>
      </c>
      <c r="S75" s="108"/>
      <c r="T75" s="140"/>
      <c r="U75" s="141"/>
      <c r="V75" s="108"/>
      <c r="W75" s="142">
        <f t="shared" si="11"/>
        <v>0.43976680871212115</v>
      </c>
      <c r="X75" s="108">
        <f>IFERROR(_xlfn.XLOOKUP($A75,Input_Raw!$A:$A,Input_Raw!$CP:$CP)*1000,"")</f>
        <v>743030</v>
      </c>
      <c r="Y75" s="108">
        <f>IFERROR(_xlfn.XLOOKUP($A75,Input_Raw!$A:$A,Input_Raw!DJ:DJ)*1000,"")</f>
        <v>743030</v>
      </c>
      <c r="Z75" s="108">
        <f>IFERROR(_xlfn.XLOOKUP($A75,Input_Raw!$A:$A,Input_Raw!DK:DK)*1000,"")</f>
        <v>0</v>
      </c>
      <c r="AA75" s="138">
        <f t="shared" si="12"/>
        <v>743030</v>
      </c>
      <c r="AB75" s="108">
        <f>IFERROR(_xlfn.XLOOKUP($A75,Input_Raw!$A:$A,Input_Raw!$DR:$DR),"")</f>
        <v>70.400000000000006</v>
      </c>
      <c r="AC75" s="143">
        <f>IFERROR(_xlfn.XLOOKUP($D75,'Modelling New'!$D:$D,'Modelling New'!$J:$J),"")</f>
        <v>6.81</v>
      </c>
      <c r="AD75" s="138">
        <f>IFERROR(_xlfn.XLOOKUP($D75,'Modelling New'!$D:$D,'Modelling New'!$T:$T)*1000,"")</f>
        <v>519769.59725666587</v>
      </c>
      <c r="AE75" s="142"/>
      <c r="AF75" s="142">
        <f>IFERROR(_xlfn.XLOOKUP($D75,'Modelling New'!$D:$D,'Modelling New'!$W:$W),"")</f>
        <v>0.30762878625512891</v>
      </c>
      <c r="AG75" s="142">
        <f>IFERROR(_xlfn.XLOOKUP($D75,'Modelling New'!$D:$D,'Modelling New'!$AE:$AE),"")</f>
        <v>0.96029999999999993</v>
      </c>
      <c r="AH75" s="142">
        <f>IFERROR(_xlfn.XLOOKUP($D75,'Modelling New'!$D:$D,'Modelling New'!$AF:$AF),"")</f>
        <v>0.995</v>
      </c>
      <c r="AI75" s="109">
        <f>IFERROR(_xlfn.XLOOKUP($A75,Input_Raw!$A:$A,Input_Raw!$DP:$DP),"")</f>
        <v>754.1</v>
      </c>
      <c r="AJ75" s="108"/>
      <c r="AK75" s="108"/>
      <c r="AL75" s="108"/>
      <c r="AM75" s="108"/>
      <c r="AN75" s="132">
        <f>IFERROR(_xlfn.XLOOKUP($A75,Input_Raw!$A:$A,Input_Raw!$DL:$DL),"")</f>
        <v>0</v>
      </c>
      <c r="AO75" s="142">
        <f>IFERROR((_xlfn.XLOOKUP($A75,'WTG Reactive Power'!$A:$A,'WTG Reactive Power'!$AW:$AW))/X75,"")</f>
        <v>9.0793481869282984E-5</v>
      </c>
      <c r="AP75" s="142">
        <f>IFERROR(_xlfn.XLOOKUP($D75,'Modelling New'!$D:$D,'Modelling New'!$AK:$AK),"")</f>
        <v>0.05</v>
      </c>
      <c r="AQ75" s="142">
        <f>IFERROR(_xlfn.XLOOKUP($D75,'Modelling New'!$D:$D,'Modelling New'!$AL:$AL),"")</f>
        <v>0.05</v>
      </c>
      <c r="AR75" s="198">
        <f>IFERROR(_xlfn.XLOOKUP($D75,'Modelling New'!$D:$D,'Modelling New'!$N:$N),"")</f>
        <v>70.400000000000006</v>
      </c>
      <c r="AS75" s="198"/>
    </row>
    <row r="76" spans="1:45">
      <c r="A76" s="137">
        <f t="shared" si="13"/>
        <v>45819</v>
      </c>
      <c r="B76" s="138">
        <f>YEAR(Daily_KPI[[#This Row],[Date]])+IF(MONTH(Daily_KPI[[#This Row],[Date]])&gt;=4,1,0)</f>
        <v>2026</v>
      </c>
      <c r="C76" s="108">
        <f>YEAR(Daily_KPI[[#This Row],[Date]])</f>
        <v>2025</v>
      </c>
      <c r="D76" s="139">
        <f>Daily_KPI[[#This Row],[Date]]-DAY(Daily_KPI[[#This Row],[Date]])+1</f>
        <v>45809</v>
      </c>
      <c r="E76" s="108">
        <f t="shared" si="9"/>
        <v>30</v>
      </c>
      <c r="F76" s="109"/>
      <c r="G76" s="143"/>
      <c r="H76" s="143"/>
      <c r="I76" s="143"/>
      <c r="J76" s="143"/>
      <c r="K76" s="111"/>
      <c r="L76" s="110"/>
      <c r="M76" s="110">
        <f>IFERROR(_xlfn.XLOOKUP($A76,Input_Raw!$A:$A,Input_Raw!$CQ:$CQ),"")</f>
        <v>8.4359090909090906</v>
      </c>
      <c r="N76" s="110">
        <f>IFERROR(_xlfn.XLOOKUP($A76,Input_Raw!$A:$A,Input_Raw!$CR:$CR),"")</f>
        <v>10.56</v>
      </c>
      <c r="O76" s="141">
        <f t="shared" si="10"/>
        <v>0.9964548758633649</v>
      </c>
      <c r="P76" s="141">
        <f>IFERROR(1-SUMIF(WTG_BD!$F:$F,$A76,WTG_BD!$AA:$AA)/($AA76+SUMIF(WTG_BD!$F:$F,$A76,WTG_BD!$AA:$AA)),"")</f>
        <v>0.9964548758633649</v>
      </c>
      <c r="Q76" s="141">
        <f>IFERROR(1-SUMIF(IGA_BD!$F:$F,$A76,IGA_BD!$W:$W)/($AA76+SUMIF(IGA_BD!$F:$F,$A76,IGA_BD!$W:$W)),"")</f>
        <v>1</v>
      </c>
      <c r="R76" s="141">
        <f>IFERROR(1-SUMIF(Grid_BD!$F:$F,$A76,Grid_BD!$Y:$Y)/($AA76+SUMIF(Grid_BD!$F:$F,$A76,Grid_BD!$Y:$Y)),"")</f>
        <v>1</v>
      </c>
      <c r="S76" s="108"/>
      <c r="T76" s="140"/>
      <c r="U76" s="141"/>
      <c r="V76" s="108"/>
      <c r="W76" s="142">
        <f t="shared" si="11"/>
        <v>0.51470999053030297</v>
      </c>
      <c r="X76" s="108">
        <f>IFERROR(_xlfn.XLOOKUP($A76,Input_Raw!$A:$A,Input_Raw!$CP:$CP)*1000,"")</f>
        <v>869654</v>
      </c>
      <c r="Y76" s="108">
        <f>IFERROR(_xlfn.XLOOKUP($A76,Input_Raw!$A:$A,Input_Raw!DJ:DJ)*1000,"")</f>
        <v>869654</v>
      </c>
      <c r="Z76" s="108">
        <f>IFERROR(_xlfn.XLOOKUP($A76,Input_Raw!$A:$A,Input_Raw!DK:DK)*1000,"")</f>
        <v>0</v>
      </c>
      <c r="AA76" s="138">
        <f t="shared" si="12"/>
        <v>869654</v>
      </c>
      <c r="AB76" s="108">
        <f>IFERROR(_xlfn.XLOOKUP($A76,Input_Raw!$A:$A,Input_Raw!$DR:$DR),"")</f>
        <v>70.400000000000006</v>
      </c>
      <c r="AC76" s="143">
        <f>IFERROR(_xlfn.XLOOKUP($D76,'Modelling New'!$D:$D,'Modelling New'!$J:$J),"")</f>
        <v>6.81</v>
      </c>
      <c r="AD76" s="138">
        <f>IFERROR(_xlfn.XLOOKUP($D76,'Modelling New'!$D:$D,'Modelling New'!$T:$T)*1000,"")</f>
        <v>519769.59725666587</v>
      </c>
      <c r="AE76" s="142"/>
      <c r="AF76" s="142">
        <f>IFERROR(_xlfn.XLOOKUP($D76,'Modelling New'!$D:$D,'Modelling New'!$W:$W),"")</f>
        <v>0.30762878625512891</v>
      </c>
      <c r="AG76" s="142">
        <f>IFERROR(_xlfn.XLOOKUP($D76,'Modelling New'!$D:$D,'Modelling New'!$AE:$AE),"")</f>
        <v>0.96029999999999993</v>
      </c>
      <c r="AH76" s="142">
        <f>IFERROR(_xlfn.XLOOKUP($D76,'Modelling New'!$D:$D,'Modelling New'!$AF:$AF),"")</f>
        <v>0.995</v>
      </c>
      <c r="AI76" s="109">
        <f>IFERROR(_xlfn.XLOOKUP($A76,Input_Raw!$A:$A,Input_Raw!$DP:$DP),"")</f>
        <v>869.19</v>
      </c>
      <c r="AJ76" s="108"/>
      <c r="AK76" s="108"/>
      <c r="AL76" s="108"/>
      <c r="AM76" s="108"/>
      <c r="AN76" s="132">
        <f>IFERROR(_xlfn.XLOOKUP($A76,Input_Raw!$A:$A,Input_Raw!$DL:$DL),"")</f>
        <v>0</v>
      </c>
      <c r="AO76" s="142">
        <f>IFERROR((_xlfn.XLOOKUP($A76,'WTG Reactive Power'!$A:$A,'WTG Reactive Power'!$AW:$AW))/X76,"")</f>
        <v>7.5600471183558826E-5</v>
      </c>
      <c r="AP76" s="142">
        <f>IFERROR(_xlfn.XLOOKUP($D76,'Modelling New'!$D:$D,'Modelling New'!$AK:$AK),"")</f>
        <v>0.05</v>
      </c>
      <c r="AQ76" s="142">
        <f>IFERROR(_xlfn.XLOOKUP($D76,'Modelling New'!$D:$D,'Modelling New'!$AL:$AL),"")</f>
        <v>0.05</v>
      </c>
      <c r="AR76" s="198">
        <f>IFERROR(_xlfn.XLOOKUP($D76,'Modelling New'!$D:$D,'Modelling New'!$N:$N),"")</f>
        <v>70.400000000000006</v>
      </c>
      <c r="AS76" s="198"/>
    </row>
    <row r="77" spans="1:45">
      <c r="A77" s="137">
        <f t="shared" si="13"/>
        <v>45820</v>
      </c>
      <c r="B77" s="138">
        <f>YEAR(Daily_KPI[[#This Row],[Date]])+IF(MONTH(Daily_KPI[[#This Row],[Date]])&gt;=4,1,0)</f>
        <v>2026</v>
      </c>
      <c r="C77" s="108">
        <f>YEAR(Daily_KPI[[#This Row],[Date]])</f>
        <v>2025</v>
      </c>
      <c r="D77" s="139">
        <f>Daily_KPI[[#This Row],[Date]]-DAY(Daily_KPI[[#This Row],[Date]])+1</f>
        <v>45809</v>
      </c>
      <c r="E77" s="108">
        <f t="shared" si="9"/>
        <v>30</v>
      </c>
      <c r="F77" s="109"/>
      <c r="G77" s="110"/>
      <c r="H77" s="110"/>
      <c r="I77" s="110"/>
      <c r="J77" s="110"/>
      <c r="K77" s="111"/>
      <c r="L77" s="110"/>
      <c r="M77" s="110">
        <f>IFERROR(_xlfn.XLOOKUP($A77,Input_Raw!$A:$A,Input_Raw!$CQ:$CQ),"")</f>
        <v>7.3545454545454554</v>
      </c>
      <c r="N77" s="110">
        <f>IFERROR(_xlfn.XLOOKUP($A77,Input_Raw!$A:$A,Input_Raw!$CR:$CR),"")</f>
        <v>9.94</v>
      </c>
      <c r="O77" s="141">
        <f t="shared" si="10"/>
        <v>1</v>
      </c>
      <c r="P77" s="141">
        <f>IFERROR(1-SUMIF(WTG_BD!$F:$F,$A77,WTG_BD!$AA:$AA)/($AA77+SUMIF(WTG_BD!$F:$F,$A77,WTG_BD!$AA:$AA)),"")</f>
        <v>1</v>
      </c>
      <c r="Q77" s="141">
        <f>IFERROR(1-SUMIF(IGA_BD!$F:$F,$A77,IGA_BD!$W:$W)/($AA77+SUMIF(IGA_BD!$F:$F,$A77,IGA_BD!$W:$W)),"")</f>
        <v>1</v>
      </c>
      <c r="R77" s="141">
        <f>IFERROR(1-SUMIF(Grid_BD!$F:$F,$A77,Grid_BD!$Y:$Y)/($AA77+SUMIF(Grid_BD!$F:$F,$A77,Grid_BD!$Y:$Y)),"")</f>
        <v>1</v>
      </c>
      <c r="S77" s="108"/>
      <c r="T77" s="140"/>
      <c r="U77" s="141"/>
      <c r="V77" s="108"/>
      <c r="W77" s="142">
        <f t="shared" si="11"/>
        <v>0.38220466382575752</v>
      </c>
      <c r="X77" s="108">
        <f>IFERROR(_xlfn.XLOOKUP($A77,Input_Raw!$A:$A,Input_Raw!$CP:$CP)*1000,"")</f>
        <v>645773</v>
      </c>
      <c r="Y77" s="108">
        <f>IFERROR(_xlfn.XLOOKUP($A77,Input_Raw!$A:$A,Input_Raw!DJ:DJ)*1000,"")</f>
        <v>645772.99999999988</v>
      </c>
      <c r="Z77" s="108">
        <f>IFERROR(_xlfn.XLOOKUP($A77,Input_Raw!$A:$A,Input_Raw!DK:DK)*1000,"")</f>
        <v>0</v>
      </c>
      <c r="AA77" s="138">
        <f t="shared" si="12"/>
        <v>645772.99999999988</v>
      </c>
      <c r="AB77" s="108">
        <f>IFERROR(_xlfn.XLOOKUP($A77,Input_Raw!$A:$A,Input_Raw!$DR:$DR),"")</f>
        <v>70.400000000000006</v>
      </c>
      <c r="AC77" s="143">
        <f>IFERROR(_xlfn.XLOOKUP($D77,'Modelling New'!$D:$D,'Modelling New'!$J:$J),"")</f>
        <v>6.81</v>
      </c>
      <c r="AD77" s="138">
        <f>IFERROR(_xlfn.XLOOKUP($D77,'Modelling New'!$D:$D,'Modelling New'!$T:$T)*1000,"")</f>
        <v>519769.59725666587</v>
      </c>
      <c r="AE77" s="142"/>
      <c r="AF77" s="142">
        <f>IFERROR(_xlfn.XLOOKUP($D77,'Modelling New'!$D:$D,'Modelling New'!$W:$W),"")</f>
        <v>0.30762878625512891</v>
      </c>
      <c r="AG77" s="142">
        <f>IFERROR(_xlfn.XLOOKUP($D77,'Modelling New'!$D:$D,'Modelling New'!$AE:$AE),"")</f>
        <v>0.96029999999999993</v>
      </c>
      <c r="AH77" s="142">
        <f>IFERROR(_xlfn.XLOOKUP($D77,'Modelling New'!$D:$D,'Modelling New'!$AF:$AF),"")</f>
        <v>0.995</v>
      </c>
      <c r="AI77" s="109">
        <f>IFERROR(_xlfn.XLOOKUP($A77,Input_Raw!$A:$A,Input_Raw!$DP:$DP),"")</f>
        <v>630.85</v>
      </c>
      <c r="AJ77" s="108"/>
      <c r="AK77" s="108"/>
      <c r="AL77" s="108"/>
      <c r="AM77" s="108"/>
      <c r="AN77" s="132">
        <f>IFERROR(_xlfn.XLOOKUP($A77,Input_Raw!$A:$A,Input_Raw!$DL:$DL),"")</f>
        <v>-2.2204460492503131E-16</v>
      </c>
      <c r="AO77" s="142">
        <f>IFERROR((_xlfn.XLOOKUP($A77,'WTG Reactive Power'!$A:$A,'WTG Reactive Power'!$AW:$AW))/X77,"")</f>
        <v>2.0167793068668607E-4</v>
      </c>
      <c r="AP77" s="142">
        <f>IFERROR(_xlfn.XLOOKUP($D77,'Modelling New'!$D:$D,'Modelling New'!$AK:$AK),"")</f>
        <v>0.05</v>
      </c>
      <c r="AQ77" s="142">
        <f>IFERROR(_xlfn.XLOOKUP($D77,'Modelling New'!$D:$D,'Modelling New'!$AL:$AL),"")</f>
        <v>0.05</v>
      </c>
      <c r="AR77" s="198">
        <f>IFERROR(_xlfn.XLOOKUP($D77,'Modelling New'!$D:$D,'Modelling New'!$N:$N),"")</f>
        <v>70.400000000000006</v>
      </c>
      <c r="AS77" s="198"/>
    </row>
    <row r="78" spans="1:45">
      <c r="A78" s="137">
        <f t="shared" si="13"/>
        <v>45821</v>
      </c>
      <c r="B78" s="138">
        <f>YEAR(Daily_KPI[[#This Row],[Date]])+IF(MONTH(Daily_KPI[[#This Row],[Date]])&gt;=4,1,0)</f>
        <v>2026</v>
      </c>
      <c r="C78" s="108">
        <f>YEAR(Daily_KPI[[#This Row],[Date]])</f>
        <v>2025</v>
      </c>
      <c r="D78" s="139">
        <f>Daily_KPI[[#This Row],[Date]]-DAY(Daily_KPI[[#This Row],[Date]])+1</f>
        <v>45809</v>
      </c>
      <c r="E78" s="108">
        <f t="shared" si="9"/>
        <v>30</v>
      </c>
      <c r="F78" s="109"/>
      <c r="G78" s="143"/>
      <c r="H78" s="143"/>
      <c r="I78" s="143"/>
      <c r="J78" s="143"/>
      <c r="K78" s="111"/>
      <c r="L78" s="110"/>
      <c r="M78" s="110">
        <f>IFERROR(_xlfn.XLOOKUP($A78,Input_Raw!$A:$A,Input_Raw!$CQ:$CQ),"")</f>
        <v>2.4861363636363634</v>
      </c>
      <c r="N78" s="110">
        <f>IFERROR(_xlfn.XLOOKUP($A78,Input_Raw!$A:$A,Input_Raw!$CR:$CR),"")</f>
        <v>3.02</v>
      </c>
      <c r="O78" s="141">
        <f t="shared" si="10"/>
        <v>0.9778919758042931</v>
      </c>
      <c r="P78" s="141">
        <f>IFERROR(1-SUMIF(WTG_BD!$F:$F,$A78,WTG_BD!$AA:$AA)/($AA78+SUMIF(WTG_BD!$F:$F,$A78,WTG_BD!$AA:$AA)),"")</f>
        <v>0.9778919758042931</v>
      </c>
      <c r="Q78" s="141">
        <f>IFERROR(1-SUMIF(IGA_BD!$F:$F,$A78,IGA_BD!$W:$W)/($AA78+SUMIF(IGA_BD!$F:$F,$A78,IGA_BD!$W:$W)),"")</f>
        <v>1</v>
      </c>
      <c r="R78" s="141">
        <f>IFERROR(1-SUMIF(Grid_BD!$F:$F,$A78,Grid_BD!$Y:$Y)/($AA78+SUMIF(Grid_BD!$F:$F,$A78,Grid_BD!$Y:$Y)),"")</f>
        <v>1</v>
      </c>
      <c r="S78" s="108"/>
      <c r="T78" s="140"/>
      <c r="U78" s="141"/>
      <c r="V78" s="108"/>
      <c r="W78" s="142">
        <f t="shared" si="11"/>
        <v>1.0812026515151514E-2</v>
      </c>
      <c r="X78" s="108">
        <f>IFERROR(_xlfn.XLOOKUP($A78,Input_Raw!$A:$A,Input_Raw!$CP:$CP)*1000,"")</f>
        <v>18268</v>
      </c>
      <c r="Y78" s="108">
        <f>IFERROR(_xlfn.XLOOKUP($A78,Input_Raw!$A:$A,Input_Raw!DJ:DJ)*1000,"")</f>
        <v>18268</v>
      </c>
      <c r="Z78" s="108">
        <f>IFERROR(_xlfn.XLOOKUP($A78,Input_Raw!$A:$A,Input_Raw!DK:DK)*1000,"")</f>
        <v>0</v>
      </c>
      <c r="AA78" s="138">
        <f t="shared" si="12"/>
        <v>18268</v>
      </c>
      <c r="AB78" s="108">
        <f>IFERROR(_xlfn.XLOOKUP($A78,Input_Raw!$A:$A,Input_Raw!$DR:$DR),"")</f>
        <v>70.400000000000006</v>
      </c>
      <c r="AC78" s="143">
        <f>IFERROR(_xlfn.XLOOKUP($D78,'Modelling New'!$D:$D,'Modelling New'!$J:$J),"")</f>
        <v>6.81</v>
      </c>
      <c r="AD78" s="138">
        <f>IFERROR(_xlfn.XLOOKUP($D78,'Modelling New'!$D:$D,'Modelling New'!$T:$T)*1000,"")</f>
        <v>519769.59725666587</v>
      </c>
      <c r="AE78" s="142"/>
      <c r="AF78" s="142">
        <f>IFERROR(_xlfn.XLOOKUP($D78,'Modelling New'!$D:$D,'Modelling New'!$W:$W),"")</f>
        <v>0.30762878625512891</v>
      </c>
      <c r="AG78" s="142">
        <f>IFERROR(_xlfn.XLOOKUP($D78,'Modelling New'!$D:$D,'Modelling New'!$AE:$AE),"")</f>
        <v>0.96029999999999993</v>
      </c>
      <c r="AH78" s="142">
        <f>IFERROR(_xlfn.XLOOKUP($D78,'Modelling New'!$D:$D,'Modelling New'!$AF:$AF),"")</f>
        <v>0.995</v>
      </c>
      <c r="AI78" s="109">
        <f>IFERROR(_xlfn.XLOOKUP($A78,Input_Raw!$A:$A,Input_Raw!$DP:$DP),"")</f>
        <v>15.97</v>
      </c>
      <c r="AJ78" s="108"/>
      <c r="AK78" s="108"/>
      <c r="AL78" s="108"/>
      <c r="AM78" s="108"/>
      <c r="AN78" s="132">
        <f>IFERROR(_xlfn.XLOOKUP($A78,Input_Raw!$A:$A,Input_Raw!$DL:$DL),"")</f>
        <v>0</v>
      </c>
      <c r="AO78" s="142">
        <f>IFERROR((_xlfn.XLOOKUP($A78,'WTG Reactive Power'!$A:$A,'WTG Reactive Power'!$AW:$AW))/X78,"")</f>
        <v>1.8013861214509892E-4</v>
      </c>
      <c r="AP78" s="142">
        <f>IFERROR(_xlfn.XLOOKUP($D78,'Modelling New'!$D:$D,'Modelling New'!$AK:$AK),"")</f>
        <v>0.05</v>
      </c>
      <c r="AQ78" s="142">
        <f>IFERROR(_xlfn.XLOOKUP($D78,'Modelling New'!$D:$D,'Modelling New'!$AL:$AL),"")</f>
        <v>0.05</v>
      </c>
      <c r="AR78" s="198">
        <f>IFERROR(_xlfn.XLOOKUP($D78,'Modelling New'!$D:$D,'Modelling New'!$N:$N),"")</f>
        <v>70.400000000000006</v>
      </c>
      <c r="AS78" s="198"/>
    </row>
    <row r="79" spans="1:45">
      <c r="A79" s="137">
        <f t="shared" si="13"/>
        <v>45822</v>
      </c>
      <c r="B79" s="138">
        <f>YEAR(Daily_KPI[[#This Row],[Date]])+IF(MONTH(Daily_KPI[[#This Row],[Date]])&gt;=4,1,0)</f>
        <v>2026</v>
      </c>
      <c r="C79" s="108">
        <f>YEAR(Daily_KPI[[#This Row],[Date]])</f>
        <v>2025</v>
      </c>
      <c r="D79" s="139">
        <f>Daily_KPI[[#This Row],[Date]]-DAY(Daily_KPI[[#This Row],[Date]])+1</f>
        <v>45809</v>
      </c>
      <c r="E79" s="108">
        <f t="shared" si="9"/>
        <v>30</v>
      </c>
      <c r="F79" s="109"/>
      <c r="G79" s="110"/>
      <c r="H79" s="110"/>
      <c r="I79" s="110"/>
      <c r="J79" s="110"/>
      <c r="K79" s="111"/>
      <c r="L79" s="110"/>
      <c r="M79" s="110">
        <f>IFERROR(_xlfn.XLOOKUP($A79,Input_Raw!$A:$A,Input_Raw!$CQ:$CQ),"")</f>
        <v>3.1106818181818174</v>
      </c>
      <c r="N79" s="110">
        <f>IFERROR(_xlfn.XLOOKUP($A79,Input_Raw!$A:$A,Input_Raw!$CR:$CR),"")</f>
        <v>3.77</v>
      </c>
      <c r="O79" s="141">
        <f t="shared" si="10"/>
        <v>0.99424053104256149</v>
      </c>
      <c r="P79" s="141">
        <f>IFERROR(1-SUMIF(WTG_BD!$F:$F,$A79,WTG_BD!$AA:$AA)/($AA79+SUMIF(WTG_BD!$F:$F,$A79,WTG_BD!$AA:$AA)),"")</f>
        <v>0.99424053104256149</v>
      </c>
      <c r="Q79" s="141">
        <f>IFERROR(1-SUMIF(IGA_BD!$F:$F,$A79,IGA_BD!$W:$W)/($AA79+SUMIF(IGA_BD!$F:$F,$A79,IGA_BD!$W:$W)),"")</f>
        <v>1</v>
      </c>
      <c r="R79" s="141">
        <f>IFERROR(1-SUMIF(Grid_BD!$F:$F,$A79,Grid_BD!$Y:$Y)/($AA79+SUMIF(Grid_BD!$F:$F,$A79,Grid_BD!$Y:$Y)),"")</f>
        <v>1</v>
      </c>
      <c r="S79" s="108"/>
      <c r="T79" s="140"/>
      <c r="U79" s="141"/>
      <c r="V79" s="108"/>
      <c r="W79" s="142">
        <f t="shared" si="11"/>
        <v>4.2196377840909086E-2</v>
      </c>
      <c r="X79" s="108">
        <f>IFERROR(_xlfn.XLOOKUP($A79,Input_Raw!$A:$A,Input_Raw!$CP:$CP)*1000,"")</f>
        <v>71295</v>
      </c>
      <c r="Y79" s="108">
        <f>IFERROR(_xlfn.XLOOKUP($A79,Input_Raw!$A:$A,Input_Raw!DJ:DJ)*1000,"")</f>
        <v>71295</v>
      </c>
      <c r="Z79" s="108">
        <f>IFERROR(_xlfn.XLOOKUP($A79,Input_Raw!$A:$A,Input_Raw!DK:DK)*1000,"")</f>
        <v>0</v>
      </c>
      <c r="AA79" s="138">
        <f t="shared" si="12"/>
        <v>71295</v>
      </c>
      <c r="AB79" s="108">
        <f>IFERROR(_xlfn.XLOOKUP($A79,Input_Raw!$A:$A,Input_Raw!$DR:$DR),"")</f>
        <v>70.400000000000006</v>
      </c>
      <c r="AC79" s="143">
        <f>IFERROR(_xlfn.XLOOKUP($D79,'Modelling New'!$D:$D,'Modelling New'!$J:$J),"")</f>
        <v>6.81</v>
      </c>
      <c r="AD79" s="138">
        <f>IFERROR(_xlfn.XLOOKUP($D79,'Modelling New'!$D:$D,'Modelling New'!$T:$T)*1000,"")</f>
        <v>519769.59725666587</v>
      </c>
      <c r="AE79" s="142"/>
      <c r="AF79" s="142">
        <f>IFERROR(_xlfn.XLOOKUP($D79,'Modelling New'!$D:$D,'Modelling New'!$W:$W),"")</f>
        <v>0.30762878625512891</v>
      </c>
      <c r="AG79" s="142">
        <f>IFERROR(_xlfn.XLOOKUP($D79,'Modelling New'!$D:$D,'Modelling New'!$AE:$AE),"")</f>
        <v>0.96029999999999993</v>
      </c>
      <c r="AH79" s="142">
        <f>IFERROR(_xlfn.XLOOKUP($D79,'Modelling New'!$D:$D,'Modelling New'!$AF:$AF),"")</f>
        <v>0.995</v>
      </c>
      <c r="AI79" s="109">
        <f>IFERROR(_xlfn.XLOOKUP($A79,Input_Raw!$A:$A,Input_Raw!$DP:$DP),"")</f>
        <v>65.28</v>
      </c>
      <c r="AJ79" s="108"/>
      <c r="AK79" s="108"/>
      <c r="AL79" s="108"/>
      <c r="AM79" s="108"/>
      <c r="AN79" s="132">
        <f>IFERROR(_xlfn.XLOOKUP($A79,Input_Raw!$A:$A,Input_Raw!$DL:$DL),"")</f>
        <v>0</v>
      </c>
      <c r="AO79" s="142">
        <f>IFERROR((_xlfn.XLOOKUP($A79,'WTG Reactive Power'!$A:$A,'WTG Reactive Power'!$AW:$AW))/X79,"")</f>
        <v>1.9316404609953942E-4</v>
      </c>
      <c r="AP79" s="142">
        <f>IFERROR(_xlfn.XLOOKUP($D79,'Modelling New'!$D:$D,'Modelling New'!$AK:$AK),"")</f>
        <v>0.05</v>
      </c>
      <c r="AQ79" s="142">
        <f>IFERROR(_xlfn.XLOOKUP($D79,'Modelling New'!$D:$D,'Modelling New'!$AL:$AL),"")</f>
        <v>0.05</v>
      </c>
      <c r="AR79" s="198">
        <f>IFERROR(_xlfn.XLOOKUP($D79,'Modelling New'!$D:$D,'Modelling New'!$N:$N),"")</f>
        <v>70.400000000000006</v>
      </c>
      <c r="AS79" s="198"/>
    </row>
    <row r="80" spans="1:45">
      <c r="A80" s="137">
        <f t="shared" si="13"/>
        <v>45823</v>
      </c>
      <c r="B80" s="138">
        <f>YEAR(Daily_KPI[[#This Row],[Date]])+IF(MONTH(Daily_KPI[[#This Row],[Date]])&gt;=4,1,0)</f>
        <v>2026</v>
      </c>
      <c r="C80" s="108">
        <f>YEAR(Daily_KPI[[#This Row],[Date]])</f>
        <v>2025</v>
      </c>
      <c r="D80" s="139">
        <f>Daily_KPI[[#This Row],[Date]]-DAY(Daily_KPI[[#This Row],[Date]])+1</f>
        <v>45809</v>
      </c>
      <c r="E80" s="108">
        <f t="shared" si="9"/>
        <v>30</v>
      </c>
      <c r="F80" s="109"/>
      <c r="G80" s="143"/>
      <c r="H80" s="143"/>
      <c r="I80" s="143"/>
      <c r="J80" s="143"/>
      <c r="K80" s="111"/>
      <c r="L80" s="110"/>
      <c r="M80" s="110">
        <f>IFERROR(_xlfn.XLOOKUP($A80,Input_Raw!$A:$A,Input_Raw!$CQ:$CQ),"")</f>
        <v>6.2652272727272722</v>
      </c>
      <c r="N80" s="110">
        <f>IFERROR(_xlfn.XLOOKUP($A80,Input_Raw!$A:$A,Input_Raw!$CR:$CR),"")</f>
        <v>8.49</v>
      </c>
      <c r="O80" s="141">
        <f t="shared" si="10"/>
        <v>0.99426727975541573</v>
      </c>
      <c r="P80" s="141">
        <f>IFERROR(1-SUMIF(WTG_BD!$F:$F,$A80,WTG_BD!$AA:$AA)/($AA80+SUMIF(WTG_BD!$F:$F,$A80,WTG_BD!$AA:$AA)),"")</f>
        <v>0.99426727975541573</v>
      </c>
      <c r="Q80" s="141">
        <f>IFERROR(1-SUMIF(IGA_BD!$F:$F,$A80,IGA_BD!$W:$W)/($AA80+SUMIF(IGA_BD!$F:$F,$A80,IGA_BD!$W:$W)),"")</f>
        <v>1</v>
      </c>
      <c r="R80" s="141">
        <f>IFERROR(1-SUMIF(Grid_BD!$F:$F,$A80,Grid_BD!$Y:$Y)/($AA80+SUMIF(Grid_BD!$F:$F,$A80,Grid_BD!$Y:$Y)),"")</f>
        <v>1</v>
      </c>
      <c r="S80" s="108"/>
      <c r="T80" s="140"/>
      <c r="U80" s="141"/>
      <c r="V80" s="108"/>
      <c r="W80" s="142">
        <f t="shared" si="11"/>
        <v>0.26504202178030301</v>
      </c>
      <c r="X80" s="108">
        <f>IFERROR(_xlfn.XLOOKUP($A80,Input_Raw!$A:$A,Input_Raw!$CP:$CP)*1000,"")</f>
        <v>447815</v>
      </c>
      <c r="Y80" s="108">
        <f>IFERROR(_xlfn.XLOOKUP($A80,Input_Raw!$A:$A,Input_Raw!DJ:DJ)*1000,"")</f>
        <v>447815</v>
      </c>
      <c r="Z80" s="108">
        <f>IFERROR(_xlfn.XLOOKUP($A80,Input_Raw!$A:$A,Input_Raw!DK:DK)*1000,"")</f>
        <v>0</v>
      </c>
      <c r="AA80" s="138">
        <f t="shared" si="12"/>
        <v>447815</v>
      </c>
      <c r="AB80" s="108">
        <f>IFERROR(_xlfn.XLOOKUP($A80,Input_Raw!$A:$A,Input_Raw!$DR:$DR),"")</f>
        <v>70.400000000000006</v>
      </c>
      <c r="AC80" s="143">
        <f>IFERROR(_xlfn.XLOOKUP($D80,'Modelling New'!$D:$D,'Modelling New'!$J:$J),"")</f>
        <v>6.81</v>
      </c>
      <c r="AD80" s="138">
        <f>IFERROR(_xlfn.XLOOKUP($D80,'Modelling New'!$D:$D,'Modelling New'!$T:$T)*1000,"")</f>
        <v>519769.59725666587</v>
      </c>
      <c r="AE80" s="142"/>
      <c r="AF80" s="142">
        <f>IFERROR(_xlfn.XLOOKUP($D80,'Modelling New'!$D:$D,'Modelling New'!$W:$W),"")</f>
        <v>0.30762878625512891</v>
      </c>
      <c r="AG80" s="142">
        <f>IFERROR(_xlfn.XLOOKUP($D80,'Modelling New'!$D:$D,'Modelling New'!$AE:$AE),"")</f>
        <v>0.96029999999999993</v>
      </c>
      <c r="AH80" s="142">
        <f>IFERROR(_xlfn.XLOOKUP($D80,'Modelling New'!$D:$D,'Modelling New'!$AF:$AF),"")</f>
        <v>0.995</v>
      </c>
      <c r="AI80" s="109">
        <f>IFERROR(_xlfn.XLOOKUP($A80,Input_Raw!$A:$A,Input_Raw!$DP:$DP),"")</f>
        <v>413.48</v>
      </c>
      <c r="AJ80" s="108"/>
      <c r="AK80" s="108"/>
      <c r="AL80" s="108"/>
      <c r="AM80" s="108"/>
      <c r="AN80" s="132">
        <f>IFERROR(_xlfn.XLOOKUP($A80,Input_Raw!$A:$A,Input_Raw!$DL:$DL),"")</f>
        <v>0</v>
      </c>
      <c r="AO80" s="142">
        <f>IFERROR((_xlfn.XLOOKUP($A80,'WTG Reactive Power'!$A:$A,'WTG Reactive Power'!$AW:$AW))/X80,"")</f>
        <v>1.8688608986597887E-4</v>
      </c>
      <c r="AP80" s="142">
        <f>IFERROR(_xlfn.XLOOKUP($D80,'Modelling New'!$D:$D,'Modelling New'!$AK:$AK),"")</f>
        <v>0.05</v>
      </c>
      <c r="AQ80" s="142">
        <f>IFERROR(_xlfn.XLOOKUP($D80,'Modelling New'!$D:$D,'Modelling New'!$AL:$AL),"")</f>
        <v>0.05</v>
      </c>
      <c r="AR80" s="198">
        <f>IFERROR(_xlfn.XLOOKUP($D80,'Modelling New'!$D:$D,'Modelling New'!$N:$N),"")</f>
        <v>70.400000000000006</v>
      </c>
      <c r="AS80" s="198"/>
    </row>
    <row r="81" spans="1:45">
      <c r="A81" s="137">
        <f t="shared" si="13"/>
        <v>45824</v>
      </c>
      <c r="B81" s="138">
        <f>YEAR(Daily_KPI[[#This Row],[Date]])+IF(MONTH(Daily_KPI[[#This Row],[Date]])&gt;=4,1,0)</f>
        <v>2026</v>
      </c>
      <c r="C81" s="108">
        <f>YEAR(Daily_KPI[[#This Row],[Date]])</f>
        <v>2025</v>
      </c>
      <c r="D81" s="139">
        <f>Daily_KPI[[#This Row],[Date]]-DAY(Daily_KPI[[#This Row],[Date]])+1</f>
        <v>45809</v>
      </c>
      <c r="E81" s="108">
        <f t="shared" si="9"/>
        <v>30</v>
      </c>
      <c r="F81" s="109"/>
      <c r="G81" s="110"/>
      <c r="H81" s="110"/>
      <c r="I81" s="110"/>
      <c r="J81" s="110"/>
      <c r="K81" s="111"/>
      <c r="L81" s="110"/>
      <c r="M81" s="110">
        <f>IFERROR(_xlfn.XLOOKUP($A81,Input_Raw!$A:$A,Input_Raw!$CQ:$CQ),"")</f>
        <v>11.971590909090908</v>
      </c>
      <c r="N81" s="110">
        <f>IFERROR(_xlfn.XLOOKUP($A81,Input_Raw!$A:$A,Input_Raw!$CR:$CR),"")</f>
        <v>14.99</v>
      </c>
      <c r="O81" s="141">
        <f t="shared" si="10"/>
        <v>0.97903189631150045</v>
      </c>
      <c r="P81" s="141">
        <f>IFERROR(1-SUMIF(WTG_BD!$F:$F,$A81,WTG_BD!$AA:$AA)/($AA81+SUMIF(WTG_BD!$F:$F,$A81,WTG_BD!$AA:$AA)),"")</f>
        <v>0.97903189631150045</v>
      </c>
      <c r="Q81" s="141">
        <f>IFERROR(1-SUMIF(IGA_BD!$F:$F,$A81,IGA_BD!$W:$W)/($AA81+SUMIF(IGA_BD!$F:$F,$A81,IGA_BD!$W:$W)),"")</f>
        <v>1</v>
      </c>
      <c r="R81" s="141">
        <f>IFERROR(1-SUMIF(Grid_BD!$F:$F,$A81,Grid_BD!$Y:$Y)/($AA81+SUMIF(Grid_BD!$F:$F,$A81,Grid_BD!$Y:$Y)),"")</f>
        <v>1</v>
      </c>
      <c r="S81" s="108"/>
      <c r="T81" s="140"/>
      <c r="U81" s="141"/>
      <c r="V81" s="108"/>
      <c r="W81" s="142">
        <f t="shared" si="11"/>
        <v>0.85255622632575745</v>
      </c>
      <c r="X81" s="108">
        <f>IFERROR(_xlfn.XLOOKUP($A81,Input_Raw!$A:$A,Input_Raw!$CP:$CP)*1000,"")</f>
        <v>1440479</v>
      </c>
      <c r="Y81" s="108">
        <f>IFERROR(_xlfn.XLOOKUP($A81,Input_Raw!$A:$A,Input_Raw!DJ:DJ)*1000,"")</f>
        <v>1440479</v>
      </c>
      <c r="Z81" s="108">
        <f>IFERROR(_xlfn.XLOOKUP($A81,Input_Raw!$A:$A,Input_Raw!DK:DK)*1000,"")</f>
        <v>0</v>
      </c>
      <c r="AA81" s="138">
        <f t="shared" si="12"/>
        <v>1440479</v>
      </c>
      <c r="AB81" s="108">
        <f>IFERROR(_xlfn.XLOOKUP($A81,Input_Raw!$A:$A,Input_Raw!$DR:$DR),"")</f>
        <v>70.400000000000006</v>
      </c>
      <c r="AC81" s="143">
        <f>IFERROR(_xlfn.XLOOKUP($D81,'Modelling New'!$D:$D,'Modelling New'!$J:$J),"")</f>
        <v>6.81</v>
      </c>
      <c r="AD81" s="138">
        <f>IFERROR(_xlfn.XLOOKUP($D81,'Modelling New'!$D:$D,'Modelling New'!$T:$T)*1000,"")</f>
        <v>519769.59725666587</v>
      </c>
      <c r="AE81" s="142"/>
      <c r="AF81" s="142">
        <f>IFERROR(_xlfn.XLOOKUP($D81,'Modelling New'!$D:$D,'Modelling New'!$W:$W),"")</f>
        <v>0.30762878625512891</v>
      </c>
      <c r="AG81" s="142">
        <f>IFERROR(_xlfn.XLOOKUP($D81,'Modelling New'!$D:$D,'Modelling New'!$AE:$AE),"")</f>
        <v>0.96029999999999993</v>
      </c>
      <c r="AH81" s="142">
        <f>IFERROR(_xlfn.XLOOKUP($D81,'Modelling New'!$D:$D,'Modelling New'!$AF:$AF),"")</f>
        <v>0.995</v>
      </c>
      <c r="AI81" s="109">
        <f>IFERROR(_xlfn.XLOOKUP($A81,Input_Raw!$A:$A,Input_Raw!$DP:$DP),"")</f>
        <v>1482.58</v>
      </c>
      <c r="AJ81" s="108"/>
      <c r="AK81" s="108"/>
      <c r="AL81" s="108"/>
      <c r="AM81" s="108"/>
      <c r="AN81" s="132">
        <f>IFERROR(_xlfn.XLOOKUP($A81,Input_Raw!$A:$A,Input_Raw!$DL:$DL),"")</f>
        <v>0</v>
      </c>
      <c r="AO81" s="142">
        <f>IFERROR((_xlfn.XLOOKUP($A81,'WTG Reactive Power'!$A:$A,'WTG Reactive Power'!$AW:$AW))/X81,"")</f>
        <v>1.8249680638639414E-4</v>
      </c>
      <c r="AP81" s="142">
        <f>IFERROR(_xlfn.XLOOKUP($D81,'Modelling New'!$D:$D,'Modelling New'!$AK:$AK),"")</f>
        <v>0.05</v>
      </c>
      <c r="AQ81" s="142">
        <f>IFERROR(_xlfn.XLOOKUP($D81,'Modelling New'!$D:$D,'Modelling New'!$AL:$AL),"")</f>
        <v>0.05</v>
      </c>
      <c r="AR81" s="198">
        <f>IFERROR(_xlfn.XLOOKUP($D81,'Modelling New'!$D:$D,'Modelling New'!$N:$N),"")</f>
        <v>70.400000000000006</v>
      </c>
      <c r="AS81" s="198"/>
    </row>
    <row r="82" spans="1:45">
      <c r="A82" s="137">
        <f t="shared" si="13"/>
        <v>45825</v>
      </c>
      <c r="B82" s="138">
        <f>YEAR(Daily_KPI[[#This Row],[Date]])+IF(MONTH(Daily_KPI[[#This Row],[Date]])&gt;=4,1,0)</f>
        <v>2026</v>
      </c>
      <c r="C82" s="108">
        <f>YEAR(Daily_KPI[[#This Row],[Date]])</f>
        <v>2025</v>
      </c>
      <c r="D82" s="139">
        <f>Daily_KPI[[#This Row],[Date]]-DAY(Daily_KPI[[#This Row],[Date]])+1</f>
        <v>45809</v>
      </c>
      <c r="E82" s="108">
        <f t="shared" si="9"/>
        <v>30</v>
      </c>
      <c r="F82" s="109"/>
      <c r="G82" s="143"/>
      <c r="H82" s="143"/>
      <c r="I82" s="143"/>
      <c r="J82" s="143"/>
      <c r="K82" s="111"/>
      <c r="L82" s="110"/>
      <c r="M82" s="110">
        <f>IFERROR(_xlfn.XLOOKUP($A82,Input_Raw!$A:$A,Input_Raw!$CQ:$CQ),"")</f>
        <v>11.752272727272727</v>
      </c>
      <c r="N82" s="110">
        <f>IFERROR(_xlfn.XLOOKUP($A82,Input_Raw!$A:$A,Input_Raw!$CR:$CR),"")</f>
        <v>14.63</v>
      </c>
      <c r="O82" s="141">
        <f t="shared" si="10"/>
        <v>0.95384934967754564</v>
      </c>
      <c r="P82" s="141">
        <f>IFERROR(1-SUMIF(WTG_BD!$F:$F,$A82,WTG_BD!$AA:$AA)/($AA82+SUMIF(WTG_BD!$F:$F,$A82,WTG_BD!$AA:$AA)),"")</f>
        <v>0.99490422427029934</v>
      </c>
      <c r="Q82" s="141">
        <f>IFERROR(1-SUMIF(IGA_BD!$F:$F,$A82,IGA_BD!$W:$W)/($AA82+SUMIF(IGA_BD!$F:$F,$A82,IGA_BD!$W:$W)),"")</f>
        <v>0.95873484744437099</v>
      </c>
      <c r="R82" s="141">
        <f>IFERROR(1-SUMIF(Grid_BD!$F:$F,$A82,Grid_BD!$Y:$Y)/($AA82+SUMIF(Grid_BD!$F:$F,$A82,Grid_BD!$Y:$Y)),"")</f>
        <v>1</v>
      </c>
      <c r="S82" s="108"/>
      <c r="T82" s="140"/>
      <c r="U82" s="141"/>
      <c r="V82" s="108"/>
      <c r="W82" s="142">
        <f t="shared" si="11"/>
        <v>0.83869495738636357</v>
      </c>
      <c r="X82" s="108">
        <f>IFERROR(_xlfn.XLOOKUP($A82,Input_Raw!$A:$A,Input_Raw!$CP:$CP)*1000,"")</f>
        <v>1417059</v>
      </c>
      <c r="Y82" s="108">
        <f>IFERROR(_xlfn.XLOOKUP($A82,Input_Raw!$A:$A,Input_Raw!DJ:DJ)*1000,"")</f>
        <v>1417059</v>
      </c>
      <c r="Z82" s="108">
        <f>IFERROR(_xlfn.XLOOKUP($A82,Input_Raw!$A:$A,Input_Raw!DK:DK)*1000,"")</f>
        <v>0</v>
      </c>
      <c r="AA82" s="138">
        <f t="shared" si="12"/>
        <v>1417059</v>
      </c>
      <c r="AB82" s="108">
        <f>IFERROR(_xlfn.XLOOKUP($A82,Input_Raw!$A:$A,Input_Raw!$DR:$DR),"")</f>
        <v>70.400000000000006</v>
      </c>
      <c r="AC82" s="143">
        <f>IFERROR(_xlfn.XLOOKUP($D82,'Modelling New'!$D:$D,'Modelling New'!$J:$J),"")</f>
        <v>6.81</v>
      </c>
      <c r="AD82" s="138">
        <f>IFERROR(_xlfn.XLOOKUP($D82,'Modelling New'!$D:$D,'Modelling New'!$T:$T)*1000,"")</f>
        <v>519769.59725666587</v>
      </c>
      <c r="AE82" s="142"/>
      <c r="AF82" s="142">
        <f>IFERROR(_xlfn.XLOOKUP($D82,'Modelling New'!$D:$D,'Modelling New'!$W:$W),"")</f>
        <v>0.30762878625512891</v>
      </c>
      <c r="AG82" s="142">
        <f>IFERROR(_xlfn.XLOOKUP($D82,'Modelling New'!$D:$D,'Modelling New'!$AE:$AE),"")</f>
        <v>0.96029999999999993</v>
      </c>
      <c r="AH82" s="142">
        <f>IFERROR(_xlfn.XLOOKUP($D82,'Modelling New'!$D:$D,'Modelling New'!$AF:$AF),"")</f>
        <v>0.995</v>
      </c>
      <c r="AI82" s="109">
        <f>IFERROR(_xlfn.XLOOKUP($A82,Input_Raw!$A:$A,Input_Raw!$DP:$DP),"")</f>
        <v>1496.89</v>
      </c>
      <c r="AJ82" s="108"/>
      <c r="AK82" s="108"/>
      <c r="AL82" s="108"/>
      <c r="AM82" s="108"/>
      <c r="AN82" s="132">
        <f>IFERROR(_xlfn.XLOOKUP($A82,Input_Raw!$A:$A,Input_Raw!$DL:$DL),"")</f>
        <v>0</v>
      </c>
      <c r="AO82" s="142">
        <f>IFERROR((_xlfn.XLOOKUP($A82,'WTG Reactive Power'!$A:$A,'WTG Reactive Power'!$AW:$AW))/X82,"")</f>
        <v>7.4457651081100596E-5</v>
      </c>
      <c r="AP82" s="142">
        <f>IFERROR(_xlfn.XLOOKUP($D82,'Modelling New'!$D:$D,'Modelling New'!$AK:$AK),"")</f>
        <v>0.05</v>
      </c>
      <c r="AQ82" s="142">
        <f>IFERROR(_xlfn.XLOOKUP($D82,'Modelling New'!$D:$D,'Modelling New'!$AL:$AL),"")</f>
        <v>0.05</v>
      </c>
      <c r="AR82" s="198">
        <f>IFERROR(_xlfn.XLOOKUP($D82,'Modelling New'!$D:$D,'Modelling New'!$N:$N),"")</f>
        <v>70.400000000000006</v>
      </c>
      <c r="AS82" s="198"/>
    </row>
    <row r="83" spans="1:45">
      <c r="A83" s="137">
        <f t="shared" si="13"/>
        <v>45826</v>
      </c>
      <c r="B83" s="138">
        <f>YEAR(Daily_KPI[[#This Row],[Date]])+IF(MONTH(Daily_KPI[[#This Row],[Date]])&gt;=4,1,0)</f>
        <v>2026</v>
      </c>
      <c r="C83" s="108">
        <f>YEAR(Daily_KPI[[#This Row],[Date]])</f>
        <v>2025</v>
      </c>
      <c r="D83" s="139">
        <f>Daily_KPI[[#This Row],[Date]]-DAY(Daily_KPI[[#This Row],[Date]])+1</f>
        <v>45809</v>
      </c>
      <c r="E83" s="108">
        <f t="shared" si="9"/>
        <v>30</v>
      </c>
      <c r="F83" s="109"/>
      <c r="G83" s="110"/>
      <c r="H83" s="110"/>
      <c r="I83" s="110"/>
      <c r="J83" s="110"/>
      <c r="K83" s="111"/>
      <c r="L83" s="110"/>
      <c r="M83" s="110">
        <f>IFERROR(_xlfn.XLOOKUP($A83,Input_Raw!$A:$A,Input_Raw!$CQ:$CQ),"")</f>
        <v>12.69090909090909</v>
      </c>
      <c r="N83" s="110">
        <f>IFERROR(_xlfn.XLOOKUP($A83,Input_Raw!$A:$A,Input_Raw!$CR:$CR),"")</f>
        <v>15.89</v>
      </c>
      <c r="O83" s="141">
        <f t="shared" si="10"/>
        <v>0.95973300639641113</v>
      </c>
      <c r="P83" s="141">
        <f>IFERROR(1-SUMIF(WTG_BD!$F:$F,$A83,WTG_BD!$AA:$AA)/($AA83+SUMIF(WTG_BD!$F:$F,$A83,WTG_BD!$AA:$AA)),"")</f>
        <v>0.97287578433288502</v>
      </c>
      <c r="Q83" s="141">
        <f>IFERROR(1-SUMIF(IGA_BD!$F:$F,$A83,IGA_BD!$W:$W)/($AA83+SUMIF(IGA_BD!$F:$F,$A83,IGA_BD!$W:$W)),"")</f>
        <v>0.98649079548681939</v>
      </c>
      <c r="R83" s="141">
        <f>IFERROR(1-SUMIF(Grid_BD!$F:$F,$A83,Grid_BD!$Y:$Y)/($AA83+SUMIF(Grid_BD!$F:$F,$A83,Grid_BD!$Y:$Y)),"")</f>
        <v>1</v>
      </c>
      <c r="S83" s="108"/>
      <c r="T83" s="140"/>
      <c r="U83" s="141"/>
      <c r="V83" s="108"/>
      <c r="W83" s="142">
        <f t="shared" si="11"/>
        <v>0.90454012784090898</v>
      </c>
      <c r="X83" s="108">
        <f>IFERROR(_xlfn.XLOOKUP($A83,Input_Raw!$A:$A,Input_Raw!$CP:$CP)*1000,"")</f>
        <v>1528311</v>
      </c>
      <c r="Y83" s="108">
        <f>IFERROR(_xlfn.XLOOKUP($A83,Input_Raw!$A:$A,Input_Raw!DJ:DJ)*1000,"")</f>
        <v>1528311</v>
      </c>
      <c r="Z83" s="108">
        <f>IFERROR(_xlfn.XLOOKUP($A83,Input_Raw!$A:$A,Input_Raw!DK:DK)*1000,"")</f>
        <v>0</v>
      </c>
      <c r="AA83" s="138">
        <f t="shared" si="12"/>
        <v>1528311</v>
      </c>
      <c r="AB83" s="108">
        <f>IFERROR(_xlfn.XLOOKUP($A83,Input_Raw!$A:$A,Input_Raw!$DR:$DR),"")</f>
        <v>70.400000000000006</v>
      </c>
      <c r="AC83" s="143">
        <f>IFERROR(_xlfn.XLOOKUP($D83,'Modelling New'!$D:$D,'Modelling New'!$J:$J),"")</f>
        <v>6.81</v>
      </c>
      <c r="AD83" s="138">
        <f>IFERROR(_xlfn.XLOOKUP($D83,'Modelling New'!$D:$D,'Modelling New'!$T:$T)*1000,"")</f>
        <v>519769.59725666587</v>
      </c>
      <c r="AE83" s="142"/>
      <c r="AF83" s="142">
        <f>IFERROR(_xlfn.XLOOKUP($D83,'Modelling New'!$D:$D,'Modelling New'!$W:$W),"")</f>
        <v>0.30762878625512891</v>
      </c>
      <c r="AG83" s="142">
        <f>IFERROR(_xlfn.XLOOKUP($D83,'Modelling New'!$D:$D,'Modelling New'!$AE:$AE),"")</f>
        <v>0.96029999999999993</v>
      </c>
      <c r="AH83" s="142">
        <f>IFERROR(_xlfn.XLOOKUP($D83,'Modelling New'!$D:$D,'Modelling New'!$AF:$AF),"")</f>
        <v>0.995</v>
      </c>
      <c r="AI83" s="109">
        <f>IFERROR(_xlfn.XLOOKUP($A83,Input_Raw!$A:$A,Input_Raw!$DP:$DP),"")</f>
        <v>1619.39</v>
      </c>
      <c r="AJ83" s="108"/>
      <c r="AK83" s="108"/>
      <c r="AL83" s="108"/>
      <c r="AM83" s="108"/>
      <c r="AN83" s="132">
        <f>IFERROR(_xlfn.XLOOKUP($A83,Input_Raw!$A:$A,Input_Raw!$DL:$DL),"")</f>
        <v>0</v>
      </c>
      <c r="AO83" s="142">
        <f>IFERROR((_xlfn.XLOOKUP($A83,'WTG Reactive Power'!$A:$A,'WTG Reactive Power'!$AW:$AW))/X83,"")</f>
        <v>1.9126108429501587E-4</v>
      </c>
      <c r="AP83" s="142">
        <f>IFERROR(_xlfn.XLOOKUP($D83,'Modelling New'!$D:$D,'Modelling New'!$AK:$AK),"")</f>
        <v>0.05</v>
      </c>
      <c r="AQ83" s="142">
        <f>IFERROR(_xlfn.XLOOKUP($D83,'Modelling New'!$D:$D,'Modelling New'!$AL:$AL),"")</f>
        <v>0.05</v>
      </c>
      <c r="AR83" s="198">
        <f>IFERROR(_xlfn.XLOOKUP($D83,'Modelling New'!$D:$D,'Modelling New'!$N:$N),"")</f>
        <v>70.400000000000006</v>
      </c>
      <c r="AS83" s="198"/>
    </row>
    <row r="84" spans="1:45">
      <c r="A84" s="137">
        <f t="shared" si="13"/>
        <v>45827</v>
      </c>
      <c r="B84" s="138">
        <f>YEAR(Daily_KPI[[#This Row],[Date]])+IF(MONTH(Daily_KPI[[#This Row],[Date]])&gt;=4,1,0)</f>
        <v>2026</v>
      </c>
      <c r="C84" s="108">
        <f>YEAR(Daily_KPI[[#This Row],[Date]])</f>
        <v>2025</v>
      </c>
      <c r="D84" s="139">
        <f>Daily_KPI[[#This Row],[Date]]-DAY(Daily_KPI[[#This Row],[Date]])+1</f>
        <v>45809</v>
      </c>
      <c r="E84" s="108">
        <f t="shared" si="9"/>
        <v>30</v>
      </c>
      <c r="F84" s="109"/>
      <c r="G84" s="143"/>
      <c r="H84" s="143"/>
      <c r="I84" s="143"/>
      <c r="J84" s="143"/>
      <c r="K84" s="111"/>
      <c r="L84" s="110"/>
      <c r="M84" s="110">
        <f>IFERROR(_xlfn.XLOOKUP($A84,Input_Raw!$A:$A,Input_Raw!$CQ:$CQ),"")</f>
        <v>12.536136363636365</v>
      </c>
      <c r="N84" s="110">
        <f>IFERROR(_xlfn.XLOOKUP($A84,Input_Raw!$A:$A,Input_Raw!$CR:$CR),"")</f>
        <v>15.54</v>
      </c>
      <c r="O84" s="141">
        <f t="shared" si="10"/>
        <v>0.91891489935798387</v>
      </c>
      <c r="P84" s="141">
        <f>IFERROR(1-SUMIF(WTG_BD!$F:$F,$A84,WTG_BD!$AA:$AA)/($AA84+SUMIF(WTG_BD!$F:$F,$A84,WTG_BD!$AA:$AA)),"")</f>
        <v>0.96401576759271079</v>
      </c>
      <c r="Q84" s="141">
        <f>IFERROR(1-SUMIF(IGA_BD!$F:$F,$A84,IGA_BD!$W:$W)/($AA84+SUMIF(IGA_BD!$F:$F,$A84,IGA_BD!$W:$W)),"")</f>
        <v>0.95321563220137939</v>
      </c>
      <c r="R84" s="141">
        <f>IFERROR(1-SUMIF(Grid_BD!$F:$F,$A84,Grid_BD!$Y:$Y)/($AA84+SUMIF(Grid_BD!$F:$F,$A84,Grid_BD!$Y:$Y)),"")</f>
        <v>1</v>
      </c>
      <c r="S84" s="108"/>
      <c r="T84" s="140"/>
      <c r="U84" s="141"/>
      <c r="V84" s="108"/>
      <c r="W84" s="142">
        <f t="shared" si="11"/>
        <v>0.83139855587121203</v>
      </c>
      <c r="X84" s="108">
        <f>IFERROR(_xlfn.XLOOKUP($A84,Input_Raw!$A:$A,Input_Raw!$CP:$CP)*1000,"")</f>
        <v>1404731</v>
      </c>
      <c r="Y84" s="108">
        <f>IFERROR(_xlfn.XLOOKUP($A84,Input_Raw!$A:$A,Input_Raw!DJ:DJ)*1000,"")</f>
        <v>1404731.0000000002</v>
      </c>
      <c r="Z84" s="108">
        <f>IFERROR(_xlfn.XLOOKUP($A84,Input_Raw!$A:$A,Input_Raw!DK:DK)*1000,"")</f>
        <v>0</v>
      </c>
      <c r="AA84" s="138">
        <f t="shared" si="12"/>
        <v>1404731.0000000002</v>
      </c>
      <c r="AB84" s="108">
        <f>IFERROR(_xlfn.XLOOKUP($A84,Input_Raw!$A:$A,Input_Raw!$DR:$DR),"")</f>
        <v>70.400000000000006</v>
      </c>
      <c r="AC84" s="143">
        <f>IFERROR(_xlfn.XLOOKUP($D84,'Modelling New'!$D:$D,'Modelling New'!$J:$J),"")</f>
        <v>6.81</v>
      </c>
      <c r="AD84" s="138">
        <f>IFERROR(_xlfn.XLOOKUP($D84,'Modelling New'!$D:$D,'Modelling New'!$T:$T)*1000,"")</f>
        <v>519769.59725666587</v>
      </c>
      <c r="AE84" s="142"/>
      <c r="AF84" s="142">
        <f>IFERROR(_xlfn.XLOOKUP($D84,'Modelling New'!$D:$D,'Modelling New'!$W:$W),"")</f>
        <v>0.30762878625512891</v>
      </c>
      <c r="AG84" s="142">
        <f>IFERROR(_xlfn.XLOOKUP($D84,'Modelling New'!$D:$D,'Modelling New'!$AE:$AE),"")</f>
        <v>0.96029999999999993</v>
      </c>
      <c r="AH84" s="142">
        <f>IFERROR(_xlfn.XLOOKUP($D84,'Modelling New'!$D:$D,'Modelling New'!$AF:$AF),"")</f>
        <v>0.995</v>
      </c>
      <c r="AI84" s="109">
        <f>IFERROR(_xlfn.XLOOKUP($A84,Input_Raw!$A:$A,Input_Raw!$DP:$DP),"")</f>
        <v>1534.29</v>
      </c>
      <c r="AJ84" s="108"/>
      <c r="AK84" s="108"/>
      <c r="AL84" s="108"/>
      <c r="AM84" s="108"/>
      <c r="AN84" s="132">
        <f>IFERROR(_xlfn.XLOOKUP($A84,Input_Raw!$A:$A,Input_Raw!$DL:$DL),"")</f>
        <v>2.2204460492503131E-16</v>
      </c>
      <c r="AO84" s="142">
        <f>IFERROR((_xlfn.XLOOKUP($A84,'WTG Reactive Power'!$A:$A,'WTG Reactive Power'!$AW:$AW))/X84,"")</f>
        <v>1.9265196456355938E-4</v>
      </c>
      <c r="AP84" s="142">
        <f>IFERROR(_xlfn.XLOOKUP($D84,'Modelling New'!$D:$D,'Modelling New'!$AK:$AK),"")</f>
        <v>0.05</v>
      </c>
      <c r="AQ84" s="142">
        <f>IFERROR(_xlfn.XLOOKUP($D84,'Modelling New'!$D:$D,'Modelling New'!$AL:$AL),"")</f>
        <v>0.05</v>
      </c>
      <c r="AR84" s="198">
        <f>IFERROR(_xlfn.XLOOKUP($D84,'Modelling New'!$D:$D,'Modelling New'!$N:$N),"")</f>
        <v>70.400000000000006</v>
      </c>
      <c r="AS84" s="198"/>
    </row>
    <row r="85" spans="1:45">
      <c r="A85" s="137">
        <f t="shared" si="13"/>
        <v>45828</v>
      </c>
      <c r="B85" s="138">
        <f>YEAR(Daily_KPI[[#This Row],[Date]])+IF(MONTH(Daily_KPI[[#This Row],[Date]])&gt;=4,1,0)</f>
        <v>2026</v>
      </c>
      <c r="C85" s="108">
        <f>YEAR(Daily_KPI[[#This Row],[Date]])</f>
        <v>2025</v>
      </c>
      <c r="D85" s="139">
        <f>Daily_KPI[[#This Row],[Date]]-DAY(Daily_KPI[[#This Row],[Date]])+1</f>
        <v>45809</v>
      </c>
      <c r="E85" s="108">
        <f t="shared" si="9"/>
        <v>30</v>
      </c>
      <c r="F85" s="109"/>
      <c r="G85" s="110"/>
      <c r="H85" s="110"/>
      <c r="I85" s="110"/>
      <c r="J85" s="110"/>
      <c r="K85" s="111"/>
      <c r="L85" s="110"/>
      <c r="M85" s="110">
        <f>IFERROR(_xlfn.XLOOKUP($A85,Input_Raw!$A:$A,Input_Raw!$CQ:$CQ),"")</f>
        <v>11.052954545454549</v>
      </c>
      <c r="N85" s="110">
        <f>IFERROR(_xlfn.XLOOKUP($A85,Input_Raw!$A:$A,Input_Raw!$CR:$CR),"")</f>
        <v>13.77</v>
      </c>
      <c r="O85" s="141">
        <f t="shared" si="10"/>
        <v>0.94936123178378096</v>
      </c>
      <c r="P85" s="141">
        <f>IFERROR(1-SUMIF(WTG_BD!$F:$F,$A85,WTG_BD!$AA:$AA)/($AA85+SUMIF(WTG_BD!$F:$F,$A85,WTG_BD!$AA:$AA)),"")</f>
        <v>0.98942280022719775</v>
      </c>
      <c r="Q85" s="141">
        <f>IFERROR(1-SUMIF(IGA_BD!$F:$F,$A85,IGA_BD!$W:$W)/($AA85+SUMIF(IGA_BD!$F:$F,$A85,IGA_BD!$W:$W)),"")</f>
        <v>0.9595101624561132</v>
      </c>
      <c r="R85" s="141">
        <f>IFERROR(1-SUMIF(Grid_BD!$F:$F,$A85,Grid_BD!$Y:$Y)/($AA85+SUMIF(Grid_BD!$F:$F,$A85,Grid_BD!$Y:$Y)),"")</f>
        <v>1</v>
      </c>
      <c r="S85" s="108"/>
      <c r="T85" s="140"/>
      <c r="U85" s="141"/>
      <c r="V85" s="108"/>
      <c r="W85" s="142">
        <f t="shared" si="11"/>
        <v>0.77736564867424229</v>
      </c>
      <c r="X85" s="108">
        <f>IFERROR(_xlfn.XLOOKUP($A85,Input_Raw!$A:$A,Input_Raw!$CP:$CP)*1000,"")</f>
        <v>1313437</v>
      </c>
      <c r="Y85" s="108">
        <f>IFERROR(_xlfn.XLOOKUP($A85,Input_Raw!$A:$A,Input_Raw!DJ:DJ)*1000,"")</f>
        <v>1313437</v>
      </c>
      <c r="Z85" s="108">
        <f>IFERROR(_xlfn.XLOOKUP($A85,Input_Raw!$A:$A,Input_Raw!DK:DK)*1000,"")</f>
        <v>0</v>
      </c>
      <c r="AA85" s="138">
        <f t="shared" si="12"/>
        <v>1313437</v>
      </c>
      <c r="AB85" s="108">
        <f>IFERROR(_xlfn.XLOOKUP($A85,Input_Raw!$A:$A,Input_Raw!$DR:$DR),"")</f>
        <v>70.400000000000006</v>
      </c>
      <c r="AC85" s="143">
        <f>IFERROR(_xlfn.XLOOKUP($D85,'Modelling New'!$D:$D,'Modelling New'!$J:$J),"")</f>
        <v>6.81</v>
      </c>
      <c r="AD85" s="138">
        <f>IFERROR(_xlfn.XLOOKUP($D85,'Modelling New'!$D:$D,'Modelling New'!$T:$T)*1000,"")</f>
        <v>519769.59725666587</v>
      </c>
      <c r="AE85" s="142"/>
      <c r="AF85" s="142">
        <f>IFERROR(_xlfn.XLOOKUP($D85,'Modelling New'!$D:$D,'Modelling New'!$W:$W),"")</f>
        <v>0.30762878625512891</v>
      </c>
      <c r="AG85" s="142">
        <f>IFERROR(_xlfn.XLOOKUP($D85,'Modelling New'!$D:$D,'Modelling New'!$AE:$AE),"")</f>
        <v>0.96029999999999993</v>
      </c>
      <c r="AH85" s="142">
        <f>IFERROR(_xlfn.XLOOKUP($D85,'Modelling New'!$D:$D,'Modelling New'!$AF:$AF),"")</f>
        <v>0.995</v>
      </c>
      <c r="AI85" s="109">
        <f>IFERROR(_xlfn.XLOOKUP($A85,Input_Raw!$A:$A,Input_Raw!$DP:$DP),"")</f>
        <v>1387.29</v>
      </c>
      <c r="AJ85" s="108"/>
      <c r="AK85" s="108"/>
      <c r="AL85" s="108"/>
      <c r="AM85" s="108"/>
      <c r="AN85" s="132">
        <f>IFERROR(_xlfn.XLOOKUP($A85,Input_Raw!$A:$A,Input_Raw!$DL:$DL),"")</f>
        <v>0</v>
      </c>
      <c r="AO85" s="142">
        <f>IFERROR((_xlfn.XLOOKUP($A85,'WTG Reactive Power'!$A:$A,'WTG Reactive Power'!$AW:$AW))/X85,"")</f>
        <v>2.0604276172616831E-4</v>
      </c>
      <c r="AP85" s="142">
        <f>IFERROR(_xlfn.XLOOKUP($D85,'Modelling New'!$D:$D,'Modelling New'!$AK:$AK),"")</f>
        <v>0.05</v>
      </c>
      <c r="AQ85" s="142">
        <f>IFERROR(_xlfn.XLOOKUP($D85,'Modelling New'!$D:$D,'Modelling New'!$AL:$AL),"")</f>
        <v>0.05</v>
      </c>
      <c r="AR85" s="198">
        <f>IFERROR(_xlfn.XLOOKUP($D85,'Modelling New'!$D:$D,'Modelling New'!$N:$N),"")</f>
        <v>70.400000000000006</v>
      </c>
      <c r="AS85" s="198"/>
    </row>
    <row r="86" spans="1:45">
      <c r="A86" s="137">
        <f t="shared" si="13"/>
        <v>45829</v>
      </c>
      <c r="B86" s="138">
        <f>YEAR(Daily_KPI[[#This Row],[Date]])+IF(MONTH(Daily_KPI[[#This Row],[Date]])&gt;=4,1,0)</f>
        <v>2026</v>
      </c>
      <c r="C86" s="108">
        <f>YEAR(Daily_KPI[[#This Row],[Date]])</f>
        <v>2025</v>
      </c>
      <c r="D86" s="139">
        <f>Daily_KPI[[#This Row],[Date]]-DAY(Daily_KPI[[#This Row],[Date]])+1</f>
        <v>45809</v>
      </c>
      <c r="E86" s="108">
        <f t="shared" si="9"/>
        <v>30</v>
      </c>
      <c r="F86" s="109"/>
      <c r="G86" s="143"/>
      <c r="H86" s="143"/>
      <c r="I86" s="143"/>
      <c r="J86" s="143"/>
      <c r="K86" s="111"/>
      <c r="L86" s="110"/>
      <c r="M86" s="110">
        <f>IFERROR(_xlfn.XLOOKUP($A86,Input_Raw!$A:$A,Input_Raw!$CQ:$CQ),"")</f>
        <v>10.391363636363637</v>
      </c>
      <c r="N86" s="110">
        <f>IFERROR(_xlfn.XLOOKUP($A86,Input_Raw!$A:$A,Input_Raw!$CR:$CR),"")</f>
        <v>12.93</v>
      </c>
      <c r="O86" s="141">
        <f t="shared" si="10"/>
        <v>0.99619326919961448</v>
      </c>
      <c r="P86" s="141">
        <f>IFERROR(1-SUMIF(WTG_BD!$F:$F,$A86,WTG_BD!$AA:$AA)/($AA86+SUMIF(WTG_BD!$F:$F,$A86,WTG_BD!$AA:$AA)),"")</f>
        <v>0.99619326919961448</v>
      </c>
      <c r="Q86" s="141">
        <f>IFERROR(1-SUMIF(IGA_BD!$F:$F,$A86,IGA_BD!$W:$W)/($AA86+SUMIF(IGA_BD!$F:$F,$A86,IGA_BD!$W:$W)),"")</f>
        <v>1</v>
      </c>
      <c r="R86" s="141">
        <f>IFERROR(1-SUMIF(Grid_BD!$F:$F,$A86,Grid_BD!$Y:$Y)/($AA86+SUMIF(Grid_BD!$F:$F,$A86,Grid_BD!$Y:$Y)),"")</f>
        <v>1</v>
      </c>
      <c r="S86" s="108"/>
      <c r="T86" s="140"/>
      <c r="U86" s="141"/>
      <c r="V86" s="108"/>
      <c r="W86" s="142">
        <f t="shared" si="11"/>
        <v>0.78247573390151504</v>
      </c>
      <c r="X86" s="108">
        <f>IFERROR(_xlfn.XLOOKUP($A86,Input_Raw!$A:$A,Input_Raw!$CP:$CP)*1000,"")</f>
        <v>1322071</v>
      </c>
      <c r="Y86" s="108">
        <f>IFERROR(_xlfn.XLOOKUP($A86,Input_Raw!$A:$A,Input_Raw!DJ:DJ)*1000,"")</f>
        <v>1322071</v>
      </c>
      <c r="Z86" s="108">
        <f>IFERROR(_xlfn.XLOOKUP($A86,Input_Raw!$A:$A,Input_Raw!DK:DK)*1000,"")</f>
        <v>0</v>
      </c>
      <c r="AA86" s="138">
        <f t="shared" si="12"/>
        <v>1322071</v>
      </c>
      <c r="AB86" s="108">
        <f>IFERROR(_xlfn.XLOOKUP($A86,Input_Raw!$A:$A,Input_Raw!$DR:$DR),"")</f>
        <v>70.400000000000006</v>
      </c>
      <c r="AC86" s="143">
        <f>IFERROR(_xlfn.XLOOKUP($D86,'Modelling New'!$D:$D,'Modelling New'!$J:$J),"")</f>
        <v>6.81</v>
      </c>
      <c r="AD86" s="138">
        <f>IFERROR(_xlfn.XLOOKUP($D86,'Modelling New'!$D:$D,'Modelling New'!$T:$T)*1000,"")</f>
        <v>519769.59725666587</v>
      </c>
      <c r="AE86" s="142"/>
      <c r="AF86" s="142">
        <f>IFERROR(_xlfn.XLOOKUP($D86,'Modelling New'!$D:$D,'Modelling New'!$W:$W),"")</f>
        <v>0.30762878625512891</v>
      </c>
      <c r="AG86" s="142">
        <f>IFERROR(_xlfn.XLOOKUP($D86,'Modelling New'!$D:$D,'Modelling New'!$AE:$AE),"")</f>
        <v>0.96029999999999993</v>
      </c>
      <c r="AH86" s="142">
        <f>IFERROR(_xlfn.XLOOKUP($D86,'Modelling New'!$D:$D,'Modelling New'!$AF:$AF),"")</f>
        <v>0.995</v>
      </c>
      <c r="AI86" s="109">
        <f>IFERROR(_xlfn.XLOOKUP($A86,Input_Raw!$A:$A,Input_Raw!$DP:$DP),"")</f>
        <v>1337.29</v>
      </c>
      <c r="AJ86" s="108"/>
      <c r="AK86" s="108"/>
      <c r="AL86" s="108"/>
      <c r="AM86" s="108"/>
      <c r="AN86" s="132">
        <f>IFERROR(_xlfn.XLOOKUP($A86,Input_Raw!$A:$A,Input_Raw!$DL:$DL),"")</f>
        <v>0</v>
      </c>
      <c r="AO86" s="142">
        <f>IFERROR((_xlfn.XLOOKUP($A86,'WTG Reactive Power'!$A:$A,'WTG Reactive Power'!$AW:$AW))/X86,"")</f>
        <v>1.9884167882562031E-4</v>
      </c>
      <c r="AP86" s="142">
        <f>IFERROR(_xlfn.XLOOKUP($D86,'Modelling New'!$D:$D,'Modelling New'!$AK:$AK),"")</f>
        <v>0.05</v>
      </c>
      <c r="AQ86" s="142">
        <f>IFERROR(_xlfn.XLOOKUP($D86,'Modelling New'!$D:$D,'Modelling New'!$AL:$AL),"")</f>
        <v>0.05</v>
      </c>
      <c r="AR86" s="198">
        <f>IFERROR(_xlfn.XLOOKUP($D86,'Modelling New'!$D:$D,'Modelling New'!$N:$N),"")</f>
        <v>70.400000000000006</v>
      </c>
      <c r="AS86" s="198"/>
    </row>
    <row r="87" spans="1:45">
      <c r="A87" s="137">
        <f t="shared" si="13"/>
        <v>45830</v>
      </c>
      <c r="B87" s="138">
        <f>YEAR(Daily_KPI[[#This Row],[Date]])+IF(MONTH(Daily_KPI[[#This Row],[Date]])&gt;=4,1,0)</f>
        <v>2026</v>
      </c>
      <c r="C87" s="108">
        <f>YEAR(Daily_KPI[[#This Row],[Date]])</f>
        <v>2025</v>
      </c>
      <c r="D87" s="139">
        <f>Daily_KPI[[#This Row],[Date]]-DAY(Daily_KPI[[#This Row],[Date]])+1</f>
        <v>45809</v>
      </c>
      <c r="E87" s="108">
        <f t="shared" si="9"/>
        <v>30</v>
      </c>
      <c r="F87" s="109"/>
      <c r="G87" s="110"/>
      <c r="H87" s="110"/>
      <c r="I87" s="110"/>
      <c r="J87" s="110"/>
      <c r="K87" s="111"/>
      <c r="L87" s="110"/>
      <c r="M87" s="110">
        <f>IFERROR(_xlfn.XLOOKUP($A87,Input_Raw!$A:$A,Input_Raw!$CQ:$CQ),"")</f>
        <v>10.809090909090912</v>
      </c>
      <c r="N87" s="110">
        <f>IFERROR(_xlfn.XLOOKUP($A87,Input_Raw!$A:$A,Input_Raw!$CR:$CR),"")</f>
        <v>13.14</v>
      </c>
      <c r="O87" s="141">
        <f t="shared" si="10"/>
        <v>0.99619548762431509</v>
      </c>
      <c r="P87" s="141">
        <f>IFERROR(1-SUMIF(WTG_BD!$F:$F,$A87,WTG_BD!$AA:$AA)/($AA87+SUMIF(WTG_BD!$F:$F,$A87,WTG_BD!$AA:$AA)),"")</f>
        <v>0.99619548762431509</v>
      </c>
      <c r="Q87" s="141">
        <f>IFERROR(1-SUMIF(IGA_BD!$F:$F,$A87,IGA_BD!$W:$W)/($AA87+SUMIF(IGA_BD!$F:$F,$A87,IGA_BD!$W:$W)),"")</f>
        <v>1</v>
      </c>
      <c r="R87" s="141">
        <f>IFERROR(1-SUMIF(Grid_BD!$F:$F,$A87,Grid_BD!$Y:$Y)/($AA87+SUMIF(Grid_BD!$F:$F,$A87,Grid_BD!$Y:$Y)),"")</f>
        <v>1</v>
      </c>
      <c r="S87" s="108"/>
      <c r="T87" s="140"/>
      <c r="U87" s="141"/>
      <c r="V87" s="108"/>
      <c r="W87" s="142">
        <f t="shared" si="11"/>
        <v>0.81594341856060593</v>
      </c>
      <c r="X87" s="108">
        <f>IFERROR(_xlfn.XLOOKUP($A87,Input_Raw!$A:$A,Input_Raw!$CP:$CP)*1000,"")</f>
        <v>1378618</v>
      </c>
      <c r="Y87" s="108">
        <f>IFERROR(_xlfn.XLOOKUP($A87,Input_Raw!$A:$A,Input_Raw!DJ:DJ)*1000,"")</f>
        <v>1378618.0000000002</v>
      </c>
      <c r="Z87" s="108">
        <f>IFERROR(_xlfn.XLOOKUP($A87,Input_Raw!$A:$A,Input_Raw!DK:DK)*1000,"")</f>
        <v>0</v>
      </c>
      <c r="AA87" s="138">
        <f t="shared" si="12"/>
        <v>1378618.0000000002</v>
      </c>
      <c r="AB87" s="108">
        <f>IFERROR(_xlfn.XLOOKUP($A87,Input_Raw!$A:$A,Input_Raw!$DR:$DR),"")</f>
        <v>70.400000000000006</v>
      </c>
      <c r="AC87" s="143">
        <f>IFERROR(_xlfn.XLOOKUP($D87,'Modelling New'!$D:$D,'Modelling New'!$J:$J),"")</f>
        <v>6.81</v>
      </c>
      <c r="AD87" s="138">
        <f>IFERROR(_xlfn.XLOOKUP($D87,'Modelling New'!$D:$D,'Modelling New'!$T:$T)*1000,"")</f>
        <v>519769.59725666587</v>
      </c>
      <c r="AE87" s="142"/>
      <c r="AF87" s="142">
        <f>IFERROR(_xlfn.XLOOKUP($D87,'Modelling New'!$D:$D,'Modelling New'!$W:$W),"")</f>
        <v>0.30762878625512891</v>
      </c>
      <c r="AG87" s="142">
        <f>IFERROR(_xlfn.XLOOKUP($D87,'Modelling New'!$D:$D,'Modelling New'!$AE:$AE),"")</f>
        <v>0.96029999999999993</v>
      </c>
      <c r="AH87" s="142">
        <f>IFERROR(_xlfn.XLOOKUP($D87,'Modelling New'!$D:$D,'Modelling New'!$AF:$AF),"")</f>
        <v>0.995</v>
      </c>
      <c r="AI87" s="109">
        <f>IFERROR(_xlfn.XLOOKUP($A87,Input_Raw!$A:$A,Input_Raw!$DP:$DP),"")</f>
        <v>1411.15</v>
      </c>
      <c r="AJ87" s="108"/>
      <c r="AK87" s="108"/>
      <c r="AL87" s="108"/>
      <c r="AM87" s="108"/>
      <c r="AN87" s="132">
        <f>IFERROR(_xlfn.XLOOKUP($A87,Input_Raw!$A:$A,Input_Raw!$DL:$DL),"")</f>
        <v>2.2204460492503131E-16</v>
      </c>
      <c r="AO87" s="142">
        <f>IFERROR((_xlfn.XLOOKUP($A87,'WTG Reactive Power'!$A:$A,'WTG Reactive Power'!$AW:$AW))/X87,"")</f>
        <v>1.8699702431468809E-4</v>
      </c>
      <c r="AP87" s="142">
        <f>IFERROR(_xlfn.XLOOKUP($D87,'Modelling New'!$D:$D,'Modelling New'!$AK:$AK),"")</f>
        <v>0.05</v>
      </c>
      <c r="AQ87" s="142">
        <f>IFERROR(_xlfn.XLOOKUP($D87,'Modelling New'!$D:$D,'Modelling New'!$AL:$AL),"")</f>
        <v>0.05</v>
      </c>
      <c r="AR87" s="198">
        <f>IFERROR(_xlfn.XLOOKUP($D87,'Modelling New'!$D:$D,'Modelling New'!$N:$N),"")</f>
        <v>70.400000000000006</v>
      </c>
      <c r="AS87" s="198"/>
    </row>
    <row r="88" spans="1:45">
      <c r="A88" s="137">
        <f t="shared" si="13"/>
        <v>45831</v>
      </c>
      <c r="B88" s="138">
        <f>YEAR(Daily_KPI[[#This Row],[Date]])+IF(MONTH(Daily_KPI[[#This Row],[Date]])&gt;=4,1,0)</f>
        <v>2026</v>
      </c>
      <c r="C88" s="108">
        <f>YEAR(Daily_KPI[[#This Row],[Date]])</f>
        <v>2025</v>
      </c>
      <c r="D88" s="139">
        <f>Daily_KPI[[#This Row],[Date]]-DAY(Daily_KPI[[#This Row],[Date]])+1</f>
        <v>45809</v>
      </c>
      <c r="E88" s="108">
        <f t="shared" si="9"/>
        <v>30</v>
      </c>
      <c r="F88" s="109"/>
      <c r="G88" s="143"/>
      <c r="H88" s="143"/>
      <c r="I88" s="143"/>
      <c r="J88" s="143"/>
      <c r="K88" s="111"/>
      <c r="L88" s="110"/>
      <c r="M88" s="110">
        <f>IFERROR(_xlfn.XLOOKUP($A88,Input_Raw!$A:$A,Input_Raw!$CQ:$CQ),"")</f>
        <v>13.445681818181821</v>
      </c>
      <c r="N88" s="110">
        <f>IFERROR(_xlfn.XLOOKUP($A88,Input_Raw!$A:$A,Input_Raw!$CR:$CR),"")</f>
        <v>16.41</v>
      </c>
      <c r="O88" s="141">
        <f t="shared" si="10"/>
        <v>0.96122442016445231</v>
      </c>
      <c r="P88" s="141">
        <f>IFERROR(1-SUMIF(WTG_BD!$F:$F,$A88,WTG_BD!$AA:$AA)/($AA88+SUMIF(WTG_BD!$F:$F,$A88,WTG_BD!$AA:$AA)),"")</f>
        <v>0.99184829368115357</v>
      </c>
      <c r="Q88" s="141">
        <f>IFERROR(1-SUMIF(IGA_BD!$F:$F,$A88,IGA_BD!$W:$W)/($AA88+SUMIF(IGA_BD!$F:$F,$A88,IGA_BD!$W:$W)),"")</f>
        <v>0.96912443796919423</v>
      </c>
      <c r="R88" s="141">
        <f>IFERROR(1-SUMIF(Grid_BD!$F:$F,$A88,Grid_BD!$Y:$Y)/($AA88+SUMIF(Grid_BD!$F:$F,$A88,Grid_BD!$Y:$Y)),"")</f>
        <v>1</v>
      </c>
      <c r="S88" s="108"/>
      <c r="T88" s="140"/>
      <c r="U88" s="141"/>
      <c r="V88" s="108"/>
      <c r="W88" s="142">
        <f t="shared" si="11"/>
        <v>0.88698804450757562</v>
      </c>
      <c r="X88" s="108">
        <f>IFERROR(_xlfn.XLOOKUP($A88,Input_Raw!$A:$A,Input_Raw!$CP:$CP)*1000,"")</f>
        <v>1498655</v>
      </c>
      <c r="Y88" s="108">
        <f>IFERROR(_xlfn.XLOOKUP($A88,Input_Raw!$A:$A,Input_Raw!DJ:DJ)*1000,"")</f>
        <v>1498655</v>
      </c>
      <c r="Z88" s="108">
        <f>IFERROR(_xlfn.XLOOKUP($A88,Input_Raw!$A:$A,Input_Raw!DK:DK)*1000,"")</f>
        <v>0</v>
      </c>
      <c r="AA88" s="138">
        <f t="shared" si="12"/>
        <v>1498655</v>
      </c>
      <c r="AB88" s="108">
        <f>IFERROR(_xlfn.XLOOKUP($A88,Input_Raw!$A:$A,Input_Raw!$DR:$DR),"")</f>
        <v>70.400000000000006</v>
      </c>
      <c r="AC88" s="143">
        <f>IFERROR(_xlfn.XLOOKUP($D88,'Modelling New'!$D:$D,'Modelling New'!$J:$J),"")</f>
        <v>6.81</v>
      </c>
      <c r="AD88" s="138">
        <f>IFERROR(_xlfn.XLOOKUP($D88,'Modelling New'!$D:$D,'Modelling New'!$T:$T)*1000,"")</f>
        <v>519769.59725666587</v>
      </c>
      <c r="AE88" s="142"/>
      <c r="AF88" s="142">
        <f>IFERROR(_xlfn.XLOOKUP($D88,'Modelling New'!$D:$D,'Modelling New'!$W:$W),"")</f>
        <v>0.30762878625512891</v>
      </c>
      <c r="AG88" s="142">
        <f>IFERROR(_xlfn.XLOOKUP($D88,'Modelling New'!$D:$D,'Modelling New'!$AE:$AE),"")</f>
        <v>0.96029999999999993</v>
      </c>
      <c r="AH88" s="142">
        <f>IFERROR(_xlfn.XLOOKUP($D88,'Modelling New'!$D:$D,'Modelling New'!$AF:$AF),"")</f>
        <v>0.995</v>
      </c>
      <c r="AI88" s="109">
        <f>IFERROR(_xlfn.XLOOKUP($A88,Input_Raw!$A:$A,Input_Raw!$DP:$DP),"")</f>
        <v>1581.51</v>
      </c>
      <c r="AJ88" s="108"/>
      <c r="AK88" s="108"/>
      <c r="AL88" s="108"/>
      <c r="AM88" s="108"/>
      <c r="AN88" s="132">
        <f>IFERROR(_xlfn.XLOOKUP($A88,Input_Raw!$A:$A,Input_Raw!$DL:$DL),"")</f>
        <v>0</v>
      </c>
      <c r="AO88" s="142">
        <f>IFERROR((_xlfn.XLOOKUP($A88,'WTG Reactive Power'!$A:$A,'WTG Reactive Power'!$AW:$AW))/X88,"")</f>
        <v>1.8012104320207125E-4</v>
      </c>
      <c r="AP88" s="142">
        <f>IFERROR(_xlfn.XLOOKUP($D88,'Modelling New'!$D:$D,'Modelling New'!$AK:$AK),"")</f>
        <v>0.05</v>
      </c>
      <c r="AQ88" s="142">
        <f>IFERROR(_xlfn.XLOOKUP($D88,'Modelling New'!$D:$D,'Modelling New'!$AL:$AL),"")</f>
        <v>0.05</v>
      </c>
      <c r="AR88" s="198">
        <f>IFERROR(_xlfn.XLOOKUP($D88,'Modelling New'!$D:$D,'Modelling New'!$N:$N),"")</f>
        <v>70.400000000000006</v>
      </c>
      <c r="AS88" s="198"/>
    </row>
    <row r="89" spans="1:45">
      <c r="A89" s="137">
        <f t="shared" si="13"/>
        <v>45832</v>
      </c>
      <c r="B89" s="138">
        <f>YEAR(Daily_KPI[[#This Row],[Date]])+IF(MONTH(Daily_KPI[[#This Row],[Date]])&gt;=4,1,0)</f>
        <v>2026</v>
      </c>
      <c r="C89" s="108">
        <f>YEAR(Daily_KPI[[#This Row],[Date]])</f>
        <v>2025</v>
      </c>
      <c r="D89" s="139">
        <f>Daily_KPI[[#This Row],[Date]]-DAY(Daily_KPI[[#This Row],[Date]])+1</f>
        <v>45809</v>
      </c>
      <c r="E89" s="108">
        <f t="shared" si="9"/>
        <v>30</v>
      </c>
      <c r="F89" s="109"/>
      <c r="G89" s="110"/>
      <c r="H89" s="110"/>
      <c r="I89" s="110"/>
      <c r="J89" s="110"/>
      <c r="K89" s="111"/>
      <c r="L89" s="110"/>
      <c r="M89" s="110">
        <f>IFERROR(_xlfn.XLOOKUP($A89,Input_Raw!$A:$A,Input_Raw!$CQ:$CQ),"")</f>
        <v>13.354318181818174</v>
      </c>
      <c r="N89" s="110">
        <f>IFERROR(_xlfn.XLOOKUP($A89,Input_Raw!$A:$A,Input_Raw!$CR:$CR),"")</f>
        <v>15.91</v>
      </c>
      <c r="O89" s="141">
        <f t="shared" si="10"/>
        <v>0.97225174747371135</v>
      </c>
      <c r="P89" s="141">
        <f>IFERROR(1-SUMIF(WTG_BD!$F:$F,$A89,WTG_BD!$AA:$AA)/($AA89+SUMIF(WTG_BD!$F:$F,$A89,WTG_BD!$AA:$AA)),"")</f>
        <v>0.98652051652431372</v>
      </c>
      <c r="Q89" s="141">
        <f>IFERROR(1-SUMIF(IGA_BD!$F:$F,$A89,IGA_BD!$W:$W)/($AA89+SUMIF(IGA_BD!$F:$F,$A89,IGA_BD!$W:$W)),"")</f>
        <v>0.98553626730351862</v>
      </c>
      <c r="R89" s="141">
        <f>IFERROR(1-SUMIF(Grid_BD!$F:$F,$A89,Grid_BD!$Y:$Y)/($AA89+SUMIF(Grid_BD!$F:$F,$A89,Grid_BD!$Y:$Y)),"")</f>
        <v>1</v>
      </c>
      <c r="S89" s="108"/>
      <c r="T89" s="140"/>
      <c r="U89" s="141"/>
      <c r="V89" s="108"/>
      <c r="W89" s="142">
        <f t="shared" si="11"/>
        <v>0.91028705018939382</v>
      </c>
      <c r="X89" s="108">
        <f>IFERROR(_xlfn.XLOOKUP($A89,Input_Raw!$A:$A,Input_Raw!$CP:$CP)*1000,"")</f>
        <v>1538021</v>
      </c>
      <c r="Y89" s="108">
        <f>IFERROR(_xlfn.XLOOKUP($A89,Input_Raw!$A:$A,Input_Raw!DJ:DJ)*1000,"")</f>
        <v>1538021.0000000002</v>
      </c>
      <c r="Z89" s="108">
        <f>IFERROR(_xlfn.XLOOKUP($A89,Input_Raw!$A:$A,Input_Raw!DK:DK)*1000,"")</f>
        <v>0</v>
      </c>
      <c r="AA89" s="138">
        <f t="shared" si="12"/>
        <v>1538021.0000000002</v>
      </c>
      <c r="AB89" s="108">
        <f>IFERROR(_xlfn.XLOOKUP($A89,Input_Raw!$A:$A,Input_Raw!$DR:$DR),"")</f>
        <v>70.400000000000006</v>
      </c>
      <c r="AC89" s="143">
        <f>IFERROR(_xlfn.XLOOKUP($D89,'Modelling New'!$D:$D,'Modelling New'!$J:$J),"")</f>
        <v>6.81</v>
      </c>
      <c r="AD89" s="138">
        <f>IFERROR(_xlfn.XLOOKUP($D89,'Modelling New'!$D:$D,'Modelling New'!$T:$T)*1000,"")</f>
        <v>519769.59725666587</v>
      </c>
      <c r="AE89" s="142"/>
      <c r="AF89" s="142">
        <f>IFERROR(_xlfn.XLOOKUP($D89,'Modelling New'!$D:$D,'Modelling New'!$W:$W),"")</f>
        <v>0.30762878625512891</v>
      </c>
      <c r="AG89" s="142">
        <f>IFERROR(_xlfn.XLOOKUP($D89,'Modelling New'!$D:$D,'Modelling New'!$AE:$AE),"")</f>
        <v>0.96029999999999993</v>
      </c>
      <c r="AH89" s="142">
        <f>IFERROR(_xlfn.XLOOKUP($D89,'Modelling New'!$D:$D,'Modelling New'!$AF:$AF),"")</f>
        <v>0.995</v>
      </c>
      <c r="AI89" s="109">
        <f>IFERROR(_xlfn.XLOOKUP($A89,Input_Raw!$A:$A,Input_Raw!$DP:$DP),"")</f>
        <v>1618.54</v>
      </c>
      <c r="AJ89" s="108"/>
      <c r="AK89" s="108"/>
      <c r="AL89" s="108"/>
      <c r="AM89" s="108"/>
      <c r="AN89" s="132">
        <f>IFERROR(_xlfn.XLOOKUP($A89,Input_Raw!$A:$A,Input_Raw!$DL:$DL),"")</f>
        <v>2.2204460492503131E-16</v>
      </c>
      <c r="AO89" s="142">
        <f>IFERROR((_xlfn.XLOOKUP($A89,'WTG Reactive Power'!$A:$A,'WTG Reactive Power'!$AW:$AW))/X89,"")</f>
        <v>1.9863152128612026E-4</v>
      </c>
      <c r="AP89" s="142">
        <f>IFERROR(_xlfn.XLOOKUP($D89,'Modelling New'!$D:$D,'Modelling New'!$AK:$AK),"")</f>
        <v>0.05</v>
      </c>
      <c r="AQ89" s="142">
        <f>IFERROR(_xlfn.XLOOKUP($D89,'Modelling New'!$D:$D,'Modelling New'!$AL:$AL),"")</f>
        <v>0.05</v>
      </c>
      <c r="AR89" s="198">
        <f>IFERROR(_xlfn.XLOOKUP($D89,'Modelling New'!$D:$D,'Modelling New'!$N:$N),"")</f>
        <v>70.400000000000006</v>
      </c>
      <c r="AS89" s="198"/>
    </row>
    <row r="90" spans="1:45">
      <c r="A90" s="137">
        <f t="shared" si="13"/>
        <v>45833</v>
      </c>
      <c r="B90" s="138">
        <f>YEAR(Daily_KPI[[#This Row],[Date]])+IF(MONTH(Daily_KPI[[#This Row],[Date]])&gt;=4,1,0)</f>
        <v>2026</v>
      </c>
      <c r="C90" s="108">
        <f>YEAR(Daily_KPI[[#This Row],[Date]])</f>
        <v>2025</v>
      </c>
      <c r="D90" s="139">
        <f>Daily_KPI[[#This Row],[Date]]-DAY(Daily_KPI[[#This Row],[Date]])+1</f>
        <v>45809</v>
      </c>
      <c r="E90" s="108">
        <f t="shared" si="9"/>
        <v>30</v>
      </c>
      <c r="F90" s="109"/>
      <c r="G90" s="143"/>
      <c r="H90" s="143"/>
      <c r="I90" s="143"/>
      <c r="J90" s="143"/>
      <c r="K90" s="111"/>
      <c r="L90" s="110"/>
      <c r="M90" s="110">
        <f>IFERROR(_xlfn.XLOOKUP($A90,Input_Raw!$A:$A,Input_Raw!$CQ:$CQ),"")</f>
        <v>12.225227272727274</v>
      </c>
      <c r="N90" s="110">
        <f>IFERROR(_xlfn.XLOOKUP($A90,Input_Raw!$A:$A,Input_Raw!$CR:$CR),"")</f>
        <v>14.81</v>
      </c>
      <c r="O90" s="141">
        <f t="shared" si="10"/>
        <v>0.99072607890236297</v>
      </c>
      <c r="P90" s="141">
        <f>IFERROR(1-SUMIF(WTG_BD!$F:$F,$A90,WTG_BD!$AA:$AA)/($AA90+SUMIF(WTG_BD!$F:$F,$A90,WTG_BD!$AA:$AA)),"")</f>
        <v>0.99072607890236297</v>
      </c>
      <c r="Q90" s="141">
        <f>IFERROR(1-SUMIF(IGA_BD!$F:$F,$A90,IGA_BD!$W:$W)/($AA90+SUMIF(IGA_BD!$F:$F,$A90,IGA_BD!$W:$W)),"")</f>
        <v>1</v>
      </c>
      <c r="R90" s="141">
        <f>IFERROR(1-SUMIF(Grid_BD!$F:$F,$A90,Grid_BD!$Y:$Y)/($AA90+SUMIF(Grid_BD!$F:$F,$A90,Grid_BD!$Y:$Y)),"")</f>
        <v>1</v>
      </c>
      <c r="S90" s="108"/>
      <c r="T90" s="140"/>
      <c r="U90" s="141"/>
      <c r="V90" s="108"/>
      <c r="W90" s="142">
        <f t="shared" si="11"/>
        <v>0.90687263257575745</v>
      </c>
      <c r="X90" s="108">
        <f>IFERROR(_xlfn.XLOOKUP($A90,Input_Raw!$A:$A,Input_Raw!$CP:$CP)*1000,"")</f>
        <v>1532252</v>
      </c>
      <c r="Y90" s="108">
        <f>IFERROR(_xlfn.XLOOKUP($A90,Input_Raw!$A:$A,Input_Raw!DJ:DJ)*1000,"")</f>
        <v>1532252.0000000002</v>
      </c>
      <c r="Z90" s="108">
        <f>IFERROR(_xlfn.XLOOKUP($A90,Input_Raw!$A:$A,Input_Raw!DK:DK)*1000,"")</f>
        <v>0</v>
      </c>
      <c r="AA90" s="138">
        <f t="shared" si="12"/>
        <v>1532252.0000000002</v>
      </c>
      <c r="AB90" s="108">
        <f>IFERROR(_xlfn.XLOOKUP($A90,Input_Raw!$A:$A,Input_Raw!$DR:$DR),"")</f>
        <v>70.400000000000006</v>
      </c>
      <c r="AC90" s="143">
        <f>IFERROR(_xlfn.XLOOKUP($D90,'Modelling New'!$D:$D,'Modelling New'!$J:$J),"")</f>
        <v>6.81</v>
      </c>
      <c r="AD90" s="138">
        <f>IFERROR(_xlfn.XLOOKUP($D90,'Modelling New'!$D:$D,'Modelling New'!$T:$T)*1000,"")</f>
        <v>519769.59725666587</v>
      </c>
      <c r="AE90" s="142"/>
      <c r="AF90" s="142">
        <f>IFERROR(_xlfn.XLOOKUP($D90,'Modelling New'!$D:$D,'Modelling New'!$W:$W),"")</f>
        <v>0.30762878625512891</v>
      </c>
      <c r="AG90" s="142">
        <f>IFERROR(_xlfn.XLOOKUP($D90,'Modelling New'!$D:$D,'Modelling New'!$AE:$AE),"")</f>
        <v>0.96029999999999993</v>
      </c>
      <c r="AH90" s="142">
        <f>IFERROR(_xlfn.XLOOKUP($D90,'Modelling New'!$D:$D,'Modelling New'!$AF:$AF),"")</f>
        <v>0.995</v>
      </c>
      <c r="AI90" s="109">
        <f>IFERROR(_xlfn.XLOOKUP($A90,Input_Raw!$A:$A,Input_Raw!$DP:$DP),"")</f>
        <v>1590.42</v>
      </c>
      <c r="AJ90" s="108"/>
      <c r="AK90" s="108"/>
      <c r="AL90" s="108"/>
      <c r="AM90" s="108"/>
      <c r="AN90" s="132">
        <f>IFERROR(_xlfn.XLOOKUP($A90,Input_Raw!$A:$A,Input_Raw!$DL:$DL),"")</f>
        <v>2.2204460492503131E-16</v>
      </c>
      <c r="AO90" s="142">
        <f>IFERROR((_xlfn.XLOOKUP($A90,'WTG Reactive Power'!$A:$A,'WTG Reactive Power'!$AW:$AW))/X90,"")</f>
        <v>1.8337769396504835E-4</v>
      </c>
      <c r="AP90" s="142">
        <f>IFERROR(_xlfn.XLOOKUP($D90,'Modelling New'!$D:$D,'Modelling New'!$AK:$AK),"")</f>
        <v>0.05</v>
      </c>
      <c r="AQ90" s="142">
        <f>IFERROR(_xlfn.XLOOKUP($D90,'Modelling New'!$D:$D,'Modelling New'!$AL:$AL),"")</f>
        <v>0.05</v>
      </c>
      <c r="AR90" s="198">
        <f>IFERROR(_xlfn.XLOOKUP($D90,'Modelling New'!$D:$D,'Modelling New'!$N:$N),"")</f>
        <v>70.400000000000006</v>
      </c>
      <c r="AS90" s="198"/>
    </row>
    <row r="91" spans="1:45">
      <c r="A91" s="137">
        <f t="shared" si="13"/>
        <v>45834</v>
      </c>
      <c r="B91" s="138">
        <f>YEAR(Daily_KPI[[#This Row],[Date]])+IF(MONTH(Daily_KPI[[#This Row],[Date]])&gt;=4,1,0)</f>
        <v>2026</v>
      </c>
      <c r="C91" s="108">
        <f>YEAR(Daily_KPI[[#This Row],[Date]])</f>
        <v>2025</v>
      </c>
      <c r="D91" s="139">
        <f>Daily_KPI[[#This Row],[Date]]-DAY(Daily_KPI[[#This Row],[Date]])+1</f>
        <v>45809</v>
      </c>
      <c r="E91" s="108">
        <f t="shared" si="9"/>
        <v>30</v>
      </c>
      <c r="F91" s="109"/>
      <c r="G91" s="110"/>
      <c r="H91" s="110"/>
      <c r="I91" s="110"/>
      <c r="J91" s="110"/>
      <c r="K91" s="111"/>
      <c r="L91" s="110"/>
      <c r="M91" s="110">
        <f>IFERROR(_xlfn.XLOOKUP($A91,Input_Raw!$A:$A,Input_Raw!$CQ:$CQ),"")</f>
        <v>11.651818181818184</v>
      </c>
      <c r="N91" s="110">
        <f>IFERROR(_xlfn.XLOOKUP($A91,Input_Raw!$A:$A,Input_Raw!$CR:$CR),"")</f>
        <v>14.81</v>
      </c>
      <c r="O91" s="141">
        <f t="shared" si="10"/>
        <v>0.98671412039371065</v>
      </c>
      <c r="P91" s="141">
        <f>IFERROR(1-SUMIF(WTG_BD!$F:$F,$A91,WTG_BD!$AA:$AA)/($AA91+SUMIF(WTG_BD!$F:$F,$A91,WTG_BD!$AA:$AA)),"")</f>
        <v>0.99395022723455118</v>
      </c>
      <c r="Q91" s="141">
        <f>IFERROR(1-SUMIF(IGA_BD!$F:$F,$A91,IGA_BD!$W:$W)/($AA91+SUMIF(IGA_BD!$F:$F,$A91,IGA_BD!$W:$W)),"")</f>
        <v>0.99271984990538875</v>
      </c>
      <c r="R91" s="141">
        <f>IFERROR(1-SUMIF(Grid_BD!$F:$F,$A91,Grid_BD!$Y:$Y)/($AA91+SUMIF(Grid_BD!$F:$F,$A91,Grid_BD!$Y:$Y)),"")</f>
        <v>1</v>
      </c>
      <c r="S91" s="108"/>
      <c r="T91" s="140"/>
      <c r="U91" s="141"/>
      <c r="V91" s="108"/>
      <c r="W91" s="142">
        <f t="shared" si="11"/>
        <v>0.87904296874999988</v>
      </c>
      <c r="X91" s="108">
        <f>IFERROR(_xlfn.XLOOKUP($A91,Input_Raw!$A:$A,Input_Raw!$CP:$CP)*1000,"")</f>
        <v>1485231</v>
      </c>
      <c r="Y91" s="108">
        <f>IFERROR(_xlfn.XLOOKUP($A91,Input_Raw!$A:$A,Input_Raw!DJ:DJ)*1000,"")</f>
        <v>1485231</v>
      </c>
      <c r="Z91" s="108">
        <f>IFERROR(_xlfn.XLOOKUP($A91,Input_Raw!$A:$A,Input_Raw!DK:DK)*1000,"")</f>
        <v>0</v>
      </c>
      <c r="AA91" s="138">
        <f t="shared" si="12"/>
        <v>1485231</v>
      </c>
      <c r="AB91" s="108">
        <f>IFERROR(_xlfn.XLOOKUP($A91,Input_Raw!$A:$A,Input_Raw!$DR:$DR),"")</f>
        <v>70.400000000000006</v>
      </c>
      <c r="AC91" s="143">
        <f>IFERROR(_xlfn.XLOOKUP($D91,'Modelling New'!$D:$D,'Modelling New'!$J:$J),"")</f>
        <v>6.81</v>
      </c>
      <c r="AD91" s="138">
        <f>IFERROR(_xlfn.XLOOKUP($D91,'Modelling New'!$D:$D,'Modelling New'!$T:$T)*1000,"")</f>
        <v>519769.59725666587</v>
      </c>
      <c r="AE91" s="142"/>
      <c r="AF91" s="142">
        <f>IFERROR(_xlfn.XLOOKUP($D91,'Modelling New'!$D:$D,'Modelling New'!$W:$W),"")</f>
        <v>0.30762878625512891</v>
      </c>
      <c r="AG91" s="142">
        <f>IFERROR(_xlfn.XLOOKUP($D91,'Modelling New'!$D:$D,'Modelling New'!$AE:$AE),"")</f>
        <v>0.96029999999999993</v>
      </c>
      <c r="AH91" s="142">
        <f>IFERROR(_xlfn.XLOOKUP($D91,'Modelling New'!$D:$D,'Modelling New'!$AF:$AF),"")</f>
        <v>0.995</v>
      </c>
      <c r="AI91" s="109">
        <f>IFERROR(_xlfn.XLOOKUP($A91,Input_Raw!$A:$A,Input_Raw!$DP:$DP),"")</f>
        <v>1539.71</v>
      </c>
      <c r="AJ91" s="108"/>
      <c r="AK91" s="108"/>
      <c r="AL91" s="108"/>
      <c r="AM91" s="108"/>
      <c r="AN91" s="132">
        <f>IFERROR(_xlfn.XLOOKUP($A91,Input_Raw!$A:$A,Input_Raw!$DL:$DL),"")</f>
        <v>0</v>
      </c>
      <c r="AO91" s="142">
        <f>IFERROR((_xlfn.XLOOKUP($A91,'WTG Reactive Power'!$A:$A,'WTG Reactive Power'!$AW:$AW))/X91,"")</f>
        <v>1.8789767023895043E-4</v>
      </c>
      <c r="AP91" s="142">
        <f>IFERROR(_xlfn.XLOOKUP($D91,'Modelling New'!$D:$D,'Modelling New'!$AK:$AK),"")</f>
        <v>0.05</v>
      </c>
      <c r="AQ91" s="142">
        <f>IFERROR(_xlfn.XLOOKUP($D91,'Modelling New'!$D:$D,'Modelling New'!$AL:$AL),"")</f>
        <v>0.05</v>
      </c>
      <c r="AR91" s="198">
        <f>IFERROR(_xlfn.XLOOKUP($D91,'Modelling New'!$D:$D,'Modelling New'!$N:$N),"")</f>
        <v>70.400000000000006</v>
      </c>
      <c r="AS91" s="198"/>
    </row>
    <row r="92" spans="1:45">
      <c r="A92" s="137">
        <f t="shared" si="13"/>
        <v>45835</v>
      </c>
      <c r="B92" s="138">
        <f>YEAR(Daily_KPI[[#This Row],[Date]])+IF(MONTH(Daily_KPI[[#This Row],[Date]])&gt;=4,1,0)</f>
        <v>2026</v>
      </c>
      <c r="C92" s="108">
        <f>YEAR(Daily_KPI[[#This Row],[Date]])</f>
        <v>2025</v>
      </c>
      <c r="D92" s="139">
        <f>Daily_KPI[[#This Row],[Date]]-DAY(Daily_KPI[[#This Row],[Date]])+1</f>
        <v>45809</v>
      </c>
      <c r="E92" s="108">
        <f t="shared" si="9"/>
        <v>30</v>
      </c>
      <c r="F92" s="109"/>
      <c r="G92" s="143"/>
      <c r="H92" s="143"/>
      <c r="I92" s="143"/>
      <c r="J92" s="143"/>
      <c r="K92" s="111"/>
      <c r="L92" s="110"/>
      <c r="M92" s="110">
        <f>IFERROR(_xlfn.XLOOKUP($A92,Input_Raw!$A:$A,Input_Raw!$CQ:$CQ),"")</f>
        <v>10.357045454545455</v>
      </c>
      <c r="N92" s="110">
        <f>IFERROR(_xlfn.XLOOKUP($A92,Input_Raw!$A:$A,Input_Raw!$CR:$CR),"")</f>
        <v>13.37</v>
      </c>
      <c r="O92" s="141">
        <f t="shared" si="10"/>
        <v>0.99689265072288091</v>
      </c>
      <c r="P92" s="141">
        <f>IFERROR(1-SUMIF(WTG_BD!$F:$F,$A92,WTG_BD!$AA:$AA)/($AA92+SUMIF(WTG_BD!$F:$F,$A92,WTG_BD!$AA:$AA)),"")</f>
        <v>0.99689265072288091</v>
      </c>
      <c r="Q92" s="141">
        <f>IFERROR(1-SUMIF(IGA_BD!$F:$F,$A92,IGA_BD!$W:$W)/($AA92+SUMIF(IGA_BD!$F:$F,$A92,IGA_BD!$W:$W)),"")</f>
        <v>1</v>
      </c>
      <c r="R92" s="141">
        <f>IFERROR(1-SUMIF(Grid_BD!$F:$F,$A92,Grid_BD!$Y:$Y)/($AA92+SUMIF(Grid_BD!$F:$F,$A92,Grid_BD!$Y:$Y)),"")</f>
        <v>1</v>
      </c>
      <c r="S92" s="108"/>
      <c r="T92" s="140"/>
      <c r="U92" s="141"/>
      <c r="V92" s="108"/>
      <c r="W92" s="142">
        <f t="shared" si="11"/>
        <v>0.78951231060606053</v>
      </c>
      <c r="X92" s="108">
        <f>IFERROR(_xlfn.XLOOKUP($A92,Input_Raw!$A:$A,Input_Raw!$CP:$CP)*1000,"")</f>
        <v>1333960</v>
      </c>
      <c r="Y92" s="108">
        <f>IFERROR(_xlfn.XLOOKUP($A92,Input_Raw!$A:$A,Input_Raw!DJ:DJ)*1000,"")</f>
        <v>1333960</v>
      </c>
      <c r="Z92" s="108">
        <f>IFERROR(_xlfn.XLOOKUP($A92,Input_Raw!$A:$A,Input_Raw!DK:DK)*1000,"")</f>
        <v>0</v>
      </c>
      <c r="AA92" s="138">
        <f t="shared" si="12"/>
        <v>1333960</v>
      </c>
      <c r="AB92" s="108">
        <f>IFERROR(_xlfn.XLOOKUP($A92,Input_Raw!$A:$A,Input_Raw!$DR:$DR),"")</f>
        <v>70.400000000000006</v>
      </c>
      <c r="AC92" s="143">
        <f>IFERROR(_xlfn.XLOOKUP($D92,'Modelling New'!$D:$D,'Modelling New'!$J:$J),"")</f>
        <v>6.81</v>
      </c>
      <c r="AD92" s="138">
        <f>IFERROR(_xlfn.XLOOKUP($D92,'Modelling New'!$D:$D,'Modelling New'!$T:$T)*1000,"")</f>
        <v>519769.59725666587</v>
      </c>
      <c r="AE92" s="142"/>
      <c r="AF92" s="142">
        <f>IFERROR(_xlfn.XLOOKUP($D92,'Modelling New'!$D:$D,'Modelling New'!$W:$W),"")</f>
        <v>0.30762878625512891</v>
      </c>
      <c r="AG92" s="142">
        <f>IFERROR(_xlfn.XLOOKUP($D92,'Modelling New'!$D:$D,'Modelling New'!$AE:$AE),"")</f>
        <v>0.96029999999999993</v>
      </c>
      <c r="AH92" s="142">
        <f>IFERROR(_xlfn.XLOOKUP($D92,'Modelling New'!$D:$D,'Modelling New'!$AF:$AF),"")</f>
        <v>0.995</v>
      </c>
      <c r="AI92" s="109">
        <f>IFERROR(_xlfn.XLOOKUP($A92,Input_Raw!$A:$A,Input_Raw!$DP:$DP),"")</f>
        <v>1342.98</v>
      </c>
      <c r="AJ92" s="108"/>
      <c r="AK92" s="108"/>
      <c r="AL92" s="108"/>
      <c r="AM92" s="108"/>
      <c r="AN92" s="132">
        <f>IFERROR(_xlfn.XLOOKUP($A92,Input_Raw!$A:$A,Input_Raw!$DL:$DL),"")</f>
        <v>0</v>
      </c>
      <c r="AO92" s="142">
        <f>IFERROR((_xlfn.XLOOKUP($A92,'WTG Reactive Power'!$A:$A,'WTG Reactive Power'!$AW:$AW))/X92,"")</f>
        <v>2.0208877477585532E-4</v>
      </c>
      <c r="AP92" s="142">
        <f>IFERROR(_xlfn.XLOOKUP($D92,'Modelling New'!$D:$D,'Modelling New'!$AK:$AK),"")</f>
        <v>0.05</v>
      </c>
      <c r="AQ92" s="142">
        <f>IFERROR(_xlfn.XLOOKUP($D92,'Modelling New'!$D:$D,'Modelling New'!$AL:$AL),"")</f>
        <v>0.05</v>
      </c>
      <c r="AR92" s="198">
        <f>IFERROR(_xlfn.XLOOKUP($D92,'Modelling New'!$D:$D,'Modelling New'!$N:$N),"")</f>
        <v>70.400000000000006</v>
      </c>
      <c r="AS92" s="198"/>
    </row>
    <row r="93" spans="1:45">
      <c r="A93" s="137">
        <f t="shared" si="13"/>
        <v>45836</v>
      </c>
      <c r="B93" s="138">
        <f>YEAR(Daily_KPI[[#This Row],[Date]])+IF(MONTH(Daily_KPI[[#This Row],[Date]])&gt;=4,1,0)</f>
        <v>2026</v>
      </c>
      <c r="C93" s="108">
        <f>YEAR(Daily_KPI[[#This Row],[Date]])</f>
        <v>2025</v>
      </c>
      <c r="D93" s="139">
        <f>Daily_KPI[[#This Row],[Date]]-DAY(Daily_KPI[[#This Row],[Date]])+1</f>
        <v>45809</v>
      </c>
      <c r="E93" s="108">
        <f t="shared" si="9"/>
        <v>30</v>
      </c>
      <c r="F93" s="109"/>
      <c r="G93" s="110"/>
      <c r="H93" s="110"/>
      <c r="I93" s="110"/>
      <c r="J93" s="110"/>
      <c r="K93" s="111"/>
      <c r="L93" s="110"/>
      <c r="M93" s="110">
        <f>IFERROR(_xlfn.XLOOKUP($A93,Input_Raw!$A:$A,Input_Raw!$CQ:$CQ),"")</f>
        <v>10.577727272727271</v>
      </c>
      <c r="N93" s="110">
        <f>IFERROR(_xlfn.XLOOKUP($A93,Input_Raw!$A:$A,Input_Raw!$CR:$CR),"")</f>
        <v>13.4</v>
      </c>
      <c r="O93" s="141">
        <f t="shared" si="10"/>
        <v>0.99618650445482948</v>
      </c>
      <c r="P93" s="141">
        <f>IFERROR(1-SUMIF(WTG_BD!$F:$F,$A93,WTG_BD!$AA:$AA)/($AA93+SUMIF(WTG_BD!$F:$F,$A93,WTG_BD!$AA:$AA)),"")</f>
        <v>0.99618650445482948</v>
      </c>
      <c r="Q93" s="141">
        <f>IFERROR(1-SUMIF(IGA_BD!$F:$F,$A93,IGA_BD!$W:$W)/($AA93+SUMIF(IGA_BD!$F:$F,$A93,IGA_BD!$W:$W)),"")</f>
        <v>1</v>
      </c>
      <c r="R93" s="141">
        <f>IFERROR(1-SUMIF(Grid_BD!$F:$F,$A93,Grid_BD!$Y:$Y)/($AA93+SUMIF(Grid_BD!$F:$F,$A93,Grid_BD!$Y:$Y)),"")</f>
        <v>1</v>
      </c>
      <c r="S93" s="108"/>
      <c r="T93" s="140"/>
      <c r="U93" s="141"/>
      <c r="V93" s="108"/>
      <c r="W93" s="142">
        <f t="shared" si="11"/>
        <v>0.80303681344696953</v>
      </c>
      <c r="X93" s="108">
        <f>IFERROR(_xlfn.XLOOKUP($A93,Input_Raw!$A:$A,Input_Raw!$CP:$CP)*1000,"")</f>
        <v>1356811</v>
      </c>
      <c r="Y93" s="108">
        <f>IFERROR(_xlfn.XLOOKUP($A93,Input_Raw!$A:$A,Input_Raw!DJ:DJ)*1000,"")</f>
        <v>1356811</v>
      </c>
      <c r="Z93" s="108">
        <f>IFERROR(_xlfn.XLOOKUP($A93,Input_Raw!$A:$A,Input_Raw!DK:DK)*1000,"")</f>
        <v>0</v>
      </c>
      <c r="AA93" s="138">
        <f t="shared" si="12"/>
        <v>1356811</v>
      </c>
      <c r="AB93" s="108">
        <f>IFERROR(_xlfn.XLOOKUP($A93,Input_Raw!$A:$A,Input_Raw!$DR:$DR),"")</f>
        <v>70.400000000000006</v>
      </c>
      <c r="AC93" s="143">
        <f>IFERROR(_xlfn.XLOOKUP($D93,'Modelling New'!$D:$D,'Modelling New'!$J:$J),"")</f>
        <v>6.81</v>
      </c>
      <c r="AD93" s="138">
        <f>IFERROR(_xlfn.XLOOKUP($D93,'Modelling New'!$D:$D,'Modelling New'!$T:$T)*1000,"")</f>
        <v>519769.59725666587</v>
      </c>
      <c r="AE93" s="142"/>
      <c r="AF93" s="142">
        <f>IFERROR(_xlfn.XLOOKUP($D93,'Modelling New'!$D:$D,'Modelling New'!$W:$W),"")</f>
        <v>0.30762878625512891</v>
      </c>
      <c r="AG93" s="142">
        <f>IFERROR(_xlfn.XLOOKUP($D93,'Modelling New'!$D:$D,'Modelling New'!$AE:$AE),"")</f>
        <v>0.96029999999999993</v>
      </c>
      <c r="AH93" s="142">
        <f>IFERROR(_xlfn.XLOOKUP($D93,'Modelling New'!$D:$D,'Modelling New'!$AF:$AF),"")</f>
        <v>0.995</v>
      </c>
      <c r="AI93" s="109">
        <f>IFERROR(_xlfn.XLOOKUP($A93,Input_Raw!$A:$A,Input_Raw!$DP:$DP),"")</f>
        <v>1368.72</v>
      </c>
      <c r="AJ93" s="108"/>
      <c r="AK93" s="108"/>
      <c r="AL93" s="108"/>
      <c r="AM93" s="108"/>
      <c r="AN93" s="132">
        <f>IFERROR(_xlfn.XLOOKUP($A93,Input_Raw!$A:$A,Input_Raw!$DL:$DL),"")</f>
        <v>0</v>
      </c>
      <c r="AO93" s="142">
        <f>IFERROR((_xlfn.XLOOKUP($A93,'WTG Reactive Power'!$A:$A,'WTG Reactive Power'!$AW:$AW))/X93,"")</f>
        <v>1.9949250558847184E-4</v>
      </c>
      <c r="AP93" s="142">
        <f>IFERROR(_xlfn.XLOOKUP($D93,'Modelling New'!$D:$D,'Modelling New'!$AK:$AK),"")</f>
        <v>0.05</v>
      </c>
      <c r="AQ93" s="142">
        <f>IFERROR(_xlfn.XLOOKUP($D93,'Modelling New'!$D:$D,'Modelling New'!$AL:$AL),"")</f>
        <v>0.05</v>
      </c>
      <c r="AR93" s="198">
        <f>IFERROR(_xlfn.XLOOKUP($D93,'Modelling New'!$D:$D,'Modelling New'!$N:$N),"")</f>
        <v>70.400000000000006</v>
      </c>
      <c r="AS93" s="198"/>
    </row>
    <row r="94" spans="1:45">
      <c r="A94" s="137">
        <f t="shared" si="13"/>
        <v>45837</v>
      </c>
      <c r="B94" s="138">
        <f>YEAR(Daily_KPI[[#This Row],[Date]])+IF(MONTH(Daily_KPI[[#This Row],[Date]])&gt;=4,1,0)</f>
        <v>2026</v>
      </c>
      <c r="C94" s="108">
        <f>YEAR(Daily_KPI[[#This Row],[Date]])</f>
        <v>2025</v>
      </c>
      <c r="D94" s="139">
        <f>Daily_KPI[[#This Row],[Date]]-DAY(Daily_KPI[[#This Row],[Date]])+1</f>
        <v>45809</v>
      </c>
      <c r="E94" s="108">
        <f t="shared" si="9"/>
        <v>30</v>
      </c>
      <c r="F94" s="109"/>
      <c r="G94" s="143"/>
      <c r="H94" s="143"/>
      <c r="I94" s="143"/>
      <c r="J94" s="143"/>
      <c r="K94" s="111"/>
      <c r="L94" s="110"/>
      <c r="M94" s="110">
        <f>IFERROR(_xlfn.XLOOKUP($A94,Input_Raw!$A:$A,Input_Raw!$CQ:$CQ),"")</f>
        <v>10.847954545454543</v>
      </c>
      <c r="N94" s="110">
        <f>IFERROR(_xlfn.XLOOKUP($A94,Input_Raw!$A:$A,Input_Raw!$CR:$CR),"")</f>
        <v>13.28</v>
      </c>
      <c r="O94" s="141">
        <f t="shared" si="10"/>
        <v>0.98732951502586097</v>
      </c>
      <c r="P94" s="141">
        <f>IFERROR(1-SUMIF(WTG_BD!$F:$F,$A94,WTG_BD!$AA:$AA)/($AA94+SUMIF(WTG_BD!$F:$F,$A94,WTG_BD!$AA:$AA)),"")</f>
        <v>0.99216109801584862</v>
      </c>
      <c r="Q94" s="141">
        <f>IFERROR(1-SUMIF(IGA_BD!$F:$F,$A94,IGA_BD!$W:$W)/($AA94+SUMIF(IGA_BD!$F:$F,$A94,IGA_BD!$W:$W)),"")</f>
        <v>0.99513024346585455</v>
      </c>
      <c r="R94" s="141">
        <f>IFERROR(1-SUMIF(Grid_BD!$F:$F,$A94,Grid_BD!$Y:$Y)/($AA94+SUMIF(Grid_BD!$F:$F,$A94,Grid_BD!$Y:$Y)),"")</f>
        <v>1</v>
      </c>
      <c r="S94" s="108"/>
      <c r="T94" s="140"/>
      <c r="U94" s="141"/>
      <c r="V94" s="108"/>
      <c r="W94" s="142">
        <f t="shared" si="11"/>
        <v>0.80416489109848477</v>
      </c>
      <c r="X94" s="108">
        <f>IFERROR(_xlfn.XLOOKUP($A94,Input_Raw!$A:$A,Input_Raw!$CP:$CP)*1000,"")</f>
        <v>1358717</v>
      </c>
      <c r="Y94" s="108">
        <f>IFERROR(_xlfn.XLOOKUP($A94,Input_Raw!$A:$A,Input_Raw!DJ:DJ)*1000,"")</f>
        <v>1358717</v>
      </c>
      <c r="Z94" s="108">
        <f>IFERROR(_xlfn.XLOOKUP($A94,Input_Raw!$A:$A,Input_Raw!DK:DK)*1000,"")</f>
        <v>0</v>
      </c>
      <c r="AA94" s="138">
        <f t="shared" si="12"/>
        <v>1358717</v>
      </c>
      <c r="AB94" s="108">
        <f>IFERROR(_xlfn.XLOOKUP($A94,Input_Raw!$A:$A,Input_Raw!$DR:$DR),"")</f>
        <v>70.400000000000006</v>
      </c>
      <c r="AC94" s="143">
        <f>IFERROR(_xlfn.XLOOKUP($D94,'Modelling New'!$D:$D,'Modelling New'!$J:$J),"")</f>
        <v>6.81</v>
      </c>
      <c r="AD94" s="138">
        <f>IFERROR(_xlfn.XLOOKUP($D94,'Modelling New'!$D:$D,'Modelling New'!$T:$T)*1000,"")</f>
        <v>519769.59725666587</v>
      </c>
      <c r="AE94" s="142"/>
      <c r="AF94" s="142">
        <f>IFERROR(_xlfn.XLOOKUP($D94,'Modelling New'!$D:$D,'Modelling New'!$W:$W),"")</f>
        <v>0.30762878625512891</v>
      </c>
      <c r="AG94" s="142">
        <f>IFERROR(_xlfn.XLOOKUP($D94,'Modelling New'!$D:$D,'Modelling New'!$AE:$AE),"")</f>
        <v>0.96029999999999993</v>
      </c>
      <c r="AH94" s="142">
        <f>IFERROR(_xlfn.XLOOKUP($D94,'Modelling New'!$D:$D,'Modelling New'!$AF:$AF),"")</f>
        <v>0.995</v>
      </c>
      <c r="AI94" s="109">
        <f>IFERROR(_xlfn.XLOOKUP($A94,Input_Raw!$A:$A,Input_Raw!$DP:$DP),"")</f>
        <v>1400.72</v>
      </c>
      <c r="AJ94" s="108"/>
      <c r="AK94" s="108"/>
      <c r="AL94" s="108"/>
      <c r="AM94" s="108"/>
      <c r="AN94" s="132">
        <f>IFERROR(_xlfn.XLOOKUP($A94,Input_Raw!$A:$A,Input_Raw!$DL:$DL),"")</f>
        <v>0</v>
      </c>
      <c r="AO94" s="142">
        <f>IFERROR((_xlfn.XLOOKUP($A94,'WTG Reactive Power'!$A:$A,'WTG Reactive Power'!$AW:$AW))/X94,"")</f>
        <v>1.9864036501591819E-4</v>
      </c>
      <c r="AP94" s="142">
        <f>IFERROR(_xlfn.XLOOKUP($D94,'Modelling New'!$D:$D,'Modelling New'!$AK:$AK),"")</f>
        <v>0.05</v>
      </c>
      <c r="AQ94" s="142">
        <f>IFERROR(_xlfn.XLOOKUP($D94,'Modelling New'!$D:$D,'Modelling New'!$AL:$AL),"")</f>
        <v>0.05</v>
      </c>
      <c r="AR94" s="198">
        <f>IFERROR(_xlfn.XLOOKUP($D94,'Modelling New'!$D:$D,'Modelling New'!$N:$N),"")</f>
        <v>70.400000000000006</v>
      </c>
      <c r="AS94" s="198"/>
    </row>
    <row r="95" spans="1:45">
      <c r="A95" s="137">
        <f t="shared" si="13"/>
        <v>45838</v>
      </c>
      <c r="B95" s="138">
        <f>YEAR(Daily_KPI[[#This Row],[Date]])+IF(MONTH(Daily_KPI[[#This Row],[Date]])&gt;=4,1,0)</f>
        <v>2026</v>
      </c>
      <c r="C95" s="108">
        <f>YEAR(Daily_KPI[[#This Row],[Date]])</f>
        <v>2025</v>
      </c>
      <c r="D95" s="139">
        <f>Daily_KPI[[#This Row],[Date]]-DAY(Daily_KPI[[#This Row],[Date]])+1</f>
        <v>45809</v>
      </c>
      <c r="E95" s="108">
        <f t="shared" si="9"/>
        <v>30</v>
      </c>
      <c r="F95" s="109"/>
      <c r="G95" s="110"/>
      <c r="H95" s="110"/>
      <c r="I95" s="110"/>
      <c r="J95" s="110"/>
      <c r="K95" s="111"/>
      <c r="L95" s="110"/>
      <c r="M95" s="110">
        <f>IFERROR(_xlfn.XLOOKUP($A95,Input_Raw!$A:$A,Input_Raw!$CQ:$CQ),"")</f>
        <v>12.068409090909093</v>
      </c>
      <c r="N95" s="110">
        <f>IFERROR(_xlfn.XLOOKUP($A95,Input_Raw!$A:$A,Input_Raw!$CR:$CR),"")</f>
        <v>14.72</v>
      </c>
      <c r="O95" s="141">
        <f t="shared" si="10"/>
        <v>0.98104656066052387</v>
      </c>
      <c r="P95" s="141">
        <f>IFERROR(1-SUMIF(WTG_BD!$F:$F,$A95,WTG_BD!$AA:$AA)/($AA95+SUMIF(WTG_BD!$F:$F,$A95,WTG_BD!$AA:$AA)),"")</f>
        <v>0.98348516546710174</v>
      </c>
      <c r="Q95" s="141">
        <f>IFERROR(1-SUMIF(IGA_BD!$F:$F,$A95,IGA_BD!$W:$W)/($AA95+SUMIF(IGA_BD!$F:$F,$A95,IGA_BD!$W:$W)),"")</f>
        <v>0.99752044576552445</v>
      </c>
      <c r="R95" s="141">
        <f>IFERROR(1-SUMIF(Grid_BD!$F:$F,$A95,Grid_BD!$Y:$Y)/($AA95+SUMIF(Grid_BD!$F:$F,$A95,Grid_BD!$Y:$Y)),"")</f>
        <v>1</v>
      </c>
      <c r="S95" s="108"/>
      <c r="T95" s="140"/>
      <c r="U95" s="141"/>
      <c r="V95" s="108"/>
      <c r="W95" s="142">
        <f t="shared" si="11"/>
        <v>0.89478989109848472</v>
      </c>
      <c r="X95" s="108">
        <f>IFERROR(_xlfn.XLOOKUP($A95,Input_Raw!$A:$A,Input_Raw!$CP:$CP)*1000,"")</f>
        <v>1511837</v>
      </c>
      <c r="Y95" s="108">
        <f>IFERROR(_xlfn.XLOOKUP($A95,Input_Raw!$A:$A,Input_Raw!DJ:DJ)*1000,"")</f>
        <v>1511837</v>
      </c>
      <c r="Z95" s="108">
        <f>IFERROR(_xlfn.XLOOKUP($A95,Input_Raw!$A:$A,Input_Raw!DK:DK)*1000,"")</f>
        <v>0</v>
      </c>
      <c r="AA95" s="138">
        <f t="shared" si="12"/>
        <v>1511837</v>
      </c>
      <c r="AB95" s="108">
        <f>IFERROR(_xlfn.XLOOKUP($A95,Input_Raw!$A:$A,Input_Raw!$DR:$DR),"")</f>
        <v>70.400000000000006</v>
      </c>
      <c r="AC95" s="143">
        <f>IFERROR(_xlfn.XLOOKUP($D95,'Modelling New'!$D:$D,'Modelling New'!$J:$J),"")</f>
        <v>6.81</v>
      </c>
      <c r="AD95" s="138">
        <f>IFERROR(_xlfn.XLOOKUP($D95,'Modelling New'!$D:$D,'Modelling New'!$T:$T)*1000,"")</f>
        <v>519769.59725666587</v>
      </c>
      <c r="AE95" s="142"/>
      <c r="AF95" s="142">
        <f>IFERROR(_xlfn.XLOOKUP($D95,'Modelling New'!$D:$D,'Modelling New'!$W:$W),"")</f>
        <v>0.30762878625512891</v>
      </c>
      <c r="AG95" s="142">
        <f>IFERROR(_xlfn.XLOOKUP($D95,'Modelling New'!$D:$D,'Modelling New'!$AE:$AE),"")</f>
        <v>0.96029999999999993</v>
      </c>
      <c r="AH95" s="142">
        <f>IFERROR(_xlfn.XLOOKUP($D95,'Modelling New'!$D:$D,'Modelling New'!$AF:$AF),"")</f>
        <v>0.995</v>
      </c>
      <c r="AI95" s="109">
        <f>IFERROR(_xlfn.XLOOKUP($A95,Input_Raw!$A:$A,Input_Raw!$DP:$DP),"")</f>
        <v>1574.47</v>
      </c>
      <c r="AJ95" s="108"/>
      <c r="AK95" s="108"/>
      <c r="AL95" s="108"/>
      <c r="AM95" s="108"/>
      <c r="AN95" s="132">
        <f>IFERROR(_xlfn.XLOOKUP($A95,Input_Raw!$A:$A,Input_Raw!$DL:$DL),"")</f>
        <v>0</v>
      </c>
      <c r="AO95" s="142">
        <f>IFERROR((_xlfn.XLOOKUP($A95,'WTG Reactive Power'!$A:$A,'WTG Reactive Power'!$AW:$AW))/X95,"")</f>
        <v>1.8934165334402232E-4</v>
      </c>
      <c r="AP95" s="142">
        <f>IFERROR(_xlfn.XLOOKUP($D95,'Modelling New'!$D:$D,'Modelling New'!$AK:$AK),"")</f>
        <v>0.05</v>
      </c>
      <c r="AQ95" s="142">
        <f>IFERROR(_xlfn.XLOOKUP($D95,'Modelling New'!$D:$D,'Modelling New'!$AL:$AL),"")</f>
        <v>0.05</v>
      </c>
      <c r="AR95" s="198">
        <f>IFERROR(_xlfn.XLOOKUP($D95,'Modelling New'!$D:$D,'Modelling New'!$N:$N),"")</f>
        <v>70.400000000000006</v>
      </c>
      <c r="AS95" s="198"/>
    </row>
    <row r="96" spans="1:45">
      <c r="A96" s="137">
        <f t="shared" si="13"/>
        <v>45839</v>
      </c>
      <c r="B96" s="138">
        <f>YEAR(Daily_KPI[[#This Row],[Date]])+IF(MONTH(Daily_KPI[[#This Row],[Date]])&gt;=4,1,0)</f>
        <v>2026</v>
      </c>
      <c r="C96" s="108">
        <f>YEAR(Daily_KPI[[#This Row],[Date]])</f>
        <v>2025</v>
      </c>
      <c r="D96" s="139">
        <f>Daily_KPI[[#This Row],[Date]]-DAY(Daily_KPI[[#This Row],[Date]])+1</f>
        <v>45839</v>
      </c>
      <c r="E96" s="108">
        <f t="shared" si="9"/>
        <v>31</v>
      </c>
      <c r="F96" s="109"/>
      <c r="G96" s="143"/>
      <c r="H96" s="143"/>
      <c r="I96" s="143"/>
      <c r="J96" s="143"/>
      <c r="K96" s="111"/>
      <c r="L96" s="110"/>
      <c r="M96" s="110">
        <f>IFERROR(_xlfn.XLOOKUP($A96,Input_Raw!$A:$A,Input_Raw!$CQ:$CQ),"")</f>
        <v>10.836590909090908</v>
      </c>
      <c r="N96" s="110">
        <f>IFERROR(_xlfn.XLOOKUP($A96,Input_Raw!$A:$A,Input_Raw!$CR:$CR),"")</f>
        <v>12.97</v>
      </c>
      <c r="O96" s="141">
        <f t="shared" si="10"/>
        <v>0.97772223941542125</v>
      </c>
      <c r="P96" s="141">
        <f>IFERROR(1-SUMIF(WTG_BD!$F:$F,$A96,WTG_BD!$AA:$AA)/($AA96+SUMIF(WTG_BD!$F:$F,$A96,WTG_BD!$AA:$AA)),"")</f>
        <v>0.98203848164155361</v>
      </c>
      <c r="Q96" s="141">
        <f>IFERROR(1-SUMIF(IGA_BD!$F:$F,$A96,IGA_BD!$W:$W)/($AA96+SUMIF(IGA_BD!$F:$F,$A96,IGA_BD!$W:$W)),"")</f>
        <v>0.99560481355178931</v>
      </c>
      <c r="R96" s="141">
        <f>IFERROR(1-SUMIF(Grid_BD!$F:$F,$A96,Grid_BD!$Y:$Y)/($AA96+SUMIF(Grid_BD!$F:$F,$A96,Grid_BD!$Y:$Y)),"")</f>
        <v>1</v>
      </c>
      <c r="S96" s="108"/>
      <c r="T96" s="140"/>
      <c r="U96" s="141"/>
      <c r="V96" s="108"/>
      <c r="W96" s="142">
        <f t="shared" si="11"/>
        <v>0.82733487215909085</v>
      </c>
      <c r="X96" s="108">
        <f>IFERROR(_xlfn.XLOOKUP($A96,Input_Raw!$A:$A,Input_Raw!$CP:$CP)*1000,"")</f>
        <v>1397865</v>
      </c>
      <c r="Y96" s="108">
        <f>IFERROR(_xlfn.XLOOKUP($A96,Input_Raw!$A:$A,Input_Raw!DJ:DJ)*1000,"")</f>
        <v>1397865</v>
      </c>
      <c r="Z96" s="108">
        <f>IFERROR(_xlfn.XLOOKUP($A96,Input_Raw!$A:$A,Input_Raw!DK:DK)*1000,"")</f>
        <v>0</v>
      </c>
      <c r="AA96" s="138">
        <f t="shared" si="12"/>
        <v>1397865</v>
      </c>
      <c r="AB96" s="108">
        <f>IFERROR(_xlfn.XLOOKUP($A96,Input_Raw!$A:$A,Input_Raw!$DR:$DR),"")</f>
        <v>70.400000000000006</v>
      </c>
      <c r="AC96" s="143">
        <f>IFERROR(_xlfn.XLOOKUP($D96,'Modelling New'!$D:$D,'Modelling New'!$J:$J),"")</f>
        <v>9.8233333333333324</v>
      </c>
      <c r="AD96" s="138">
        <f>IFERROR(_xlfn.XLOOKUP($D96,'Modelling New'!$D:$D,'Modelling New'!$T:$T)*1000,"")</f>
        <v>904894.00217495637</v>
      </c>
      <c r="AE96" s="142"/>
      <c r="AF96" s="142">
        <f>IFERROR(_xlfn.XLOOKUP($D96,'Modelling New'!$D:$D,'Modelling New'!$W:$W),"")</f>
        <v>0.53556699939332175</v>
      </c>
      <c r="AG96" s="142">
        <f>IFERROR(_xlfn.XLOOKUP($D96,'Modelling New'!$D:$D,'Modelling New'!$AE:$AE),"")</f>
        <v>0.96029999999999993</v>
      </c>
      <c r="AH96" s="142">
        <f>IFERROR(_xlfn.XLOOKUP($D96,'Modelling New'!$D:$D,'Modelling New'!$AF:$AF),"")</f>
        <v>0.995</v>
      </c>
      <c r="AI96" s="109">
        <f>IFERROR(_xlfn.XLOOKUP($A96,Input_Raw!$A:$A,Input_Raw!$DP:$DP),"")</f>
        <v>1440.43</v>
      </c>
      <c r="AJ96" s="108"/>
      <c r="AK96" s="108"/>
      <c r="AL96" s="108"/>
      <c r="AM96" s="108"/>
      <c r="AN96" s="132">
        <f>IFERROR(_xlfn.XLOOKUP($A96,Input_Raw!$A:$A,Input_Raw!$DL:$DL),"")</f>
        <v>0</v>
      </c>
      <c r="AO96" s="142">
        <f>IFERROR((_xlfn.XLOOKUP($A96,'WTG Reactive Power'!$A:$A,'WTG Reactive Power'!$AW:$AW))/X96,"")</f>
        <v>1.9684951932649674E-4</v>
      </c>
      <c r="AP96" s="142">
        <f>IFERROR(_xlfn.XLOOKUP($D96,'Modelling New'!$D:$D,'Modelling New'!$AK:$AK),"")</f>
        <v>0.05</v>
      </c>
      <c r="AQ96" s="142">
        <f>IFERROR(_xlfn.XLOOKUP($D96,'Modelling New'!$D:$D,'Modelling New'!$AL:$AL),"")</f>
        <v>0.05</v>
      </c>
      <c r="AR96" s="198">
        <f>IFERROR(_xlfn.XLOOKUP($D96,'Modelling New'!$D:$D,'Modelling New'!$N:$N),"")</f>
        <v>70.400000000000006</v>
      </c>
      <c r="AS96" s="198"/>
    </row>
    <row r="97" spans="1:45">
      <c r="A97" s="137">
        <f t="shared" si="13"/>
        <v>45840</v>
      </c>
      <c r="B97" s="138">
        <f>YEAR(Daily_KPI[[#This Row],[Date]])+IF(MONTH(Daily_KPI[[#This Row],[Date]])&gt;=4,1,0)</f>
        <v>2026</v>
      </c>
      <c r="C97" s="108">
        <f>YEAR(Daily_KPI[[#This Row],[Date]])</f>
        <v>2025</v>
      </c>
      <c r="D97" s="139">
        <f>Daily_KPI[[#This Row],[Date]]-DAY(Daily_KPI[[#This Row],[Date]])+1</f>
        <v>45839</v>
      </c>
      <c r="E97" s="108">
        <f t="shared" si="9"/>
        <v>31</v>
      </c>
      <c r="F97" s="109"/>
      <c r="G97" s="110"/>
      <c r="H97" s="110"/>
      <c r="I97" s="110"/>
      <c r="J97" s="110"/>
      <c r="K97" s="111"/>
      <c r="L97" s="110"/>
      <c r="M97" s="110">
        <f>IFERROR(_xlfn.XLOOKUP($A97,Input_Raw!$A:$A,Input_Raw!$CQ:$CQ),"")</f>
        <v>11.855681818181818</v>
      </c>
      <c r="N97" s="110">
        <f>IFERROR(_xlfn.XLOOKUP($A97,Input_Raw!$A:$A,Input_Raw!$CR:$CR),"")</f>
        <v>14.15</v>
      </c>
      <c r="O97" s="141">
        <f t="shared" si="10"/>
        <v>0.97680022934277189</v>
      </c>
      <c r="P97" s="141">
        <f>IFERROR(1-SUMIF(WTG_BD!$F:$F,$A97,WTG_BD!$AA:$AA)/($AA97+SUMIF(WTG_BD!$F:$F,$A97,WTG_BD!$AA:$AA)),"")</f>
        <v>0.99497004303787318</v>
      </c>
      <c r="Q97" s="141">
        <f>IFERROR(1-SUMIF(IGA_BD!$F:$F,$A97,IGA_BD!$W:$W)/($AA97+SUMIF(IGA_BD!$F:$F,$A97,IGA_BD!$W:$W)),"")</f>
        <v>0.9817383308952452</v>
      </c>
      <c r="R97" s="141">
        <f>IFERROR(1-SUMIF(Grid_BD!$F:$F,$A97,Grid_BD!$Y:$Y)/($AA97+SUMIF(Grid_BD!$F:$F,$A97,Grid_BD!$Y:$Y)),"")</f>
        <v>1</v>
      </c>
      <c r="S97" s="108"/>
      <c r="T97" s="140"/>
      <c r="U97" s="141"/>
      <c r="V97" s="108"/>
      <c r="W97" s="142">
        <f t="shared" si="11"/>
        <v>0.89608723958333325</v>
      </c>
      <c r="X97" s="108">
        <f>IFERROR(_xlfn.XLOOKUP($A97,Input_Raw!$A:$A,Input_Raw!$CP:$CP)*1000,"")</f>
        <v>1514029</v>
      </c>
      <c r="Y97" s="108">
        <f>IFERROR(_xlfn.XLOOKUP($A97,Input_Raw!$A:$A,Input_Raw!DJ:DJ)*1000,"")</f>
        <v>1514029</v>
      </c>
      <c r="Z97" s="108">
        <f>IFERROR(_xlfn.XLOOKUP($A97,Input_Raw!$A:$A,Input_Raw!DK:DK)*1000,"")</f>
        <v>0</v>
      </c>
      <c r="AA97" s="138">
        <f t="shared" si="12"/>
        <v>1514029</v>
      </c>
      <c r="AB97" s="108">
        <f>IFERROR(_xlfn.XLOOKUP($A97,Input_Raw!$A:$A,Input_Raw!$DR:$DR),"")</f>
        <v>70.400000000000006</v>
      </c>
      <c r="AC97" s="143">
        <f>IFERROR(_xlfn.XLOOKUP($D97,'Modelling New'!$D:$D,'Modelling New'!$J:$J),"")</f>
        <v>9.8233333333333324</v>
      </c>
      <c r="AD97" s="138">
        <f>IFERROR(_xlfn.XLOOKUP($D97,'Modelling New'!$D:$D,'Modelling New'!$T:$T)*1000,"")</f>
        <v>904894.00217495637</v>
      </c>
      <c r="AE97" s="142"/>
      <c r="AF97" s="142">
        <f>IFERROR(_xlfn.XLOOKUP($D97,'Modelling New'!$D:$D,'Modelling New'!$W:$W),"")</f>
        <v>0.53556699939332175</v>
      </c>
      <c r="AG97" s="142">
        <f>IFERROR(_xlfn.XLOOKUP($D97,'Modelling New'!$D:$D,'Modelling New'!$AE:$AE),"")</f>
        <v>0.96029999999999993</v>
      </c>
      <c r="AH97" s="142">
        <f>IFERROR(_xlfn.XLOOKUP($D97,'Modelling New'!$D:$D,'Modelling New'!$AF:$AF),"")</f>
        <v>0.995</v>
      </c>
      <c r="AI97" s="109">
        <f>IFERROR(_xlfn.XLOOKUP($A97,Input_Raw!$A:$A,Input_Raw!$DP:$DP),"")</f>
        <v>1569.18</v>
      </c>
      <c r="AJ97" s="108"/>
      <c r="AK97" s="108"/>
      <c r="AL97" s="108"/>
      <c r="AM97" s="108"/>
      <c r="AN97" s="132">
        <f>IFERROR(_xlfn.XLOOKUP($A97,Input_Raw!$A:$A,Input_Raw!$DL:$DL),"")</f>
        <v>0</v>
      </c>
      <c r="AO97" s="142">
        <f>IFERROR((_xlfn.XLOOKUP($A97,'WTG Reactive Power'!$A:$A,'WTG Reactive Power'!$AW:$AW))/X97,"")</f>
        <v>1.9512196573953785E-4</v>
      </c>
      <c r="AP97" s="142">
        <f>IFERROR(_xlfn.XLOOKUP($D97,'Modelling New'!$D:$D,'Modelling New'!$AK:$AK),"")</f>
        <v>0.05</v>
      </c>
      <c r="AQ97" s="142">
        <f>IFERROR(_xlfn.XLOOKUP($D97,'Modelling New'!$D:$D,'Modelling New'!$AL:$AL),"")</f>
        <v>0.05</v>
      </c>
      <c r="AR97" s="198">
        <f>IFERROR(_xlfn.XLOOKUP($D97,'Modelling New'!$D:$D,'Modelling New'!$N:$N),"")</f>
        <v>70.400000000000006</v>
      </c>
      <c r="AS97" s="198"/>
    </row>
    <row r="98" spans="1:45">
      <c r="A98" s="137">
        <f t="shared" si="13"/>
        <v>45841</v>
      </c>
      <c r="B98" s="138">
        <f>YEAR(Daily_KPI[[#This Row],[Date]])+IF(MONTH(Daily_KPI[[#This Row],[Date]])&gt;=4,1,0)</f>
        <v>2026</v>
      </c>
      <c r="C98" s="108">
        <f>YEAR(Daily_KPI[[#This Row],[Date]])</f>
        <v>2025</v>
      </c>
      <c r="D98" s="139">
        <f>Daily_KPI[[#This Row],[Date]]-DAY(Daily_KPI[[#This Row],[Date]])+1</f>
        <v>45839</v>
      </c>
      <c r="E98" s="108">
        <f t="shared" si="9"/>
        <v>31</v>
      </c>
      <c r="F98" s="109"/>
      <c r="G98" s="143"/>
      <c r="H98" s="143"/>
      <c r="I98" s="143"/>
      <c r="J98" s="143"/>
      <c r="K98" s="111"/>
      <c r="L98" s="110"/>
      <c r="M98" s="110">
        <f>IFERROR(_xlfn.XLOOKUP($A98,Input_Raw!$A:$A,Input_Raw!$CQ:$CQ),"")</f>
        <v>11.751136363636364</v>
      </c>
      <c r="N98" s="110">
        <f>IFERROR(_xlfn.XLOOKUP($A98,Input_Raw!$A:$A,Input_Raw!$CR:$CR),"")</f>
        <v>14.58</v>
      </c>
      <c r="O98" s="141">
        <f t="shared" si="10"/>
        <v>0.99582801539826993</v>
      </c>
      <c r="P98" s="141">
        <f>IFERROR(1-SUMIF(WTG_BD!$F:$F,$A98,WTG_BD!$AA:$AA)/($AA98+SUMIF(WTG_BD!$F:$F,$A98,WTG_BD!$AA:$AA)),"")</f>
        <v>0.99768075676390822</v>
      </c>
      <c r="Q98" s="141">
        <f>IFERROR(1-SUMIF(IGA_BD!$F:$F,$A98,IGA_BD!$W:$W)/($AA98+SUMIF(IGA_BD!$F:$F,$A98,IGA_BD!$W:$W)),"")</f>
        <v>0.99814295168762412</v>
      </c>
      <c r="R98" s="141">
        <f>IFERROR(1-SUMIF(Grid_BD!$F:$F,$A98,Grid_BD!$Y:$Y)/($AA98+SUMIF(Grid_BD!$F:$F,$A98,Grid_BD!$Y:$Y)),"")</f>
        <v>1</v>
      </c>
      <c r="S98" s="108"/>
      <c r="T98" s="140"/>
      <c r="U98" s="141"/>
      <c r="V98" s="108"/>
      <c r="W98" s="142">
        <f t="shared" si="11"/>
        <v>0.89263375946969681</v>
      </c>
      <c r="X98" s="108">
        <f>IFERROR(_xlfn.XLOOKUP($A98,Input_Raw!$A:$A,Input_Raw!$CP:$CP)*1000,"")</f>
        <v>1508194</v>
      </c>
      <c r="Y98" s="108">
        <f>IFERROR(_xlfn.XLOOKUP($A98,Input_Raw!$A:$A,Input_Raw!DJ:DJ)*1000,"")</f>
        <v>1508194</v>
      </c>
      <c r="Z98" s="108">
        <f>IFERROR(_xlfn.XLOOKUP($A98,Input_Raw!$A:$A,Input_Raw!DK:DK)*1000,"")</f>
        <v>0</v>
      </c>
      <c r="AA98" s="138">
        <f t="shared" si="12"/>
        <v>1508194</v>
      </c>
      <c r="AB98" s="108">
        <f>IFERROR(_xlfn.XLOOKUP($A98,Input_Raw!$A:$A,Input_Raw!$DR:$DR),"")</f>
        <v>70.400000000000006</v>
      </c>
      <c r="AC98" s="143">
        <f>IFERROR(_xlfn.XLOOKUP($D98,'Modelling New'!$D:$D,'Modelling New'!$J:$J),"")</f>
        <v>9.8233333333333324</v>
      </c>
      <c r="AD98" s="138">
        <f>IFERROR(_xlfn.XLOOKUP($D98,'Modelling New'!$D:$D,'Modelling New'!$T:$T)*1000,"")</f>
        <v>904894.00217495637</v>
      </c>
      <c r="AE98" s="142"/>
      <c r="AF98" s="142">
        <f>IFERROR(_xlfn.XLOOKUP($D98,'Modelling New'!$D:$D,'Modelling New'!$W:$W),"")</f>
        <v>0.53556699939332175</v>
      </c>
      <c r="AG98" s="142">
        <f>IFERROR(_xlfn.XLOOKUP($D98,'Modelling New'!$D:$D,'Modelling New'!$AE:$AE),"")</f>
        <v>0.96029999999999993</v>
      </c>
      <c r="AH98" s="142">
        <f>IFERROR(_xlfn.XLOOKUP($D98,'Modelling New'!$D:$D,'Modelling New'!$AF:$AF),"")</f>
        <v>0.995</v>
      </c>
      <c r="AI98" s="109">
        <f>IFERROR(_xlfn.XLOOKUP($A98,Input_Raw!$A:$A,Input_Raw!$DP:$DP),"")</f>
        <v>1538.95</v>
      </c>
      <c r="AJ98" s="108"/>
      <c r="AK98" s="108"/>
      <c r="AL98" s="108"/>
      <c r="AM98" s="108"/>
      <c r="AN98" s="132">
        <f>IFERROR(_xlfn.XLOOKUP($A98,Input_Raw!$A:$A,Input_Raw!$DL:$DL),"")</f>
        <v>0</v>
      </c>
      <c r="AO98" s="142">
        <f>IFERROR((_xlfn.XLOOKUP($A98,'WTG Reactive Power'!$A:$A,'WTG Reactive Power'!$AW:$AW))/X98,"")</f>
        <v>1.9381487516415878E-4</v>
      </c>
      <c r="AP98" s="142">
        <f>IFERROR(_xlfn.XLOOKUP($D98,'Modelling New'!$D:$D,'Modelling New'!$AK:$AK),"")</f>
        <v>0.05</v>
      </c>
      <c r="AQ98" s="142">
        <f>IFERROR(_xlfn.XLOOKUP($D98,'Modelling New'!$D:$D,'Modelling New'!$AL:$AL),"")</f>
        <v>0.05</v>
      </c>
      <c r="AR98" s="198">
        <f>IFERROR(_xlfn.XLOOKUP($D98,'Modelling New'!$D:$D,'Modelling New'!$N:$N),"")</f>
        <v>70.400000000000006</v>
      </c>
      <c r="AS98" s="198"/>
    </row>
    <row r="99" spans="1:45">
      <c r="A99" s="137">
        <f t="shared" si="13"/>
        <v>45842</v>
      </c>
      <c r="B99" s="138">
        <f>YEAR(Daily_KPI[[#This Row],[Date]])+IF(MONTH(Daily_KPI[[#This Row],[Date]])&gt;=4,1,0)</f>
        <v>2026</v>
      </c>
      <c r="C99" s="108">
        <f>YEAR(Daily_KPI[[#This Row],[Date]])</f>
        <v>2025</v>
      </c>
      <c r="D99" s="139">
        <f>Daily_KPI[[#This Row],[Date]]-DAY(Daily_KPI[[#This Row],[Date]])+1</f>
        <v>45839</v>
      </c>
      <c r="E99" s="108">
        <f t="shared" si="9"/>
        <v>31</v>
      </c>
      <c r="F99" s="109"/>
      <c r="G99" s="110"/>
      <c r="H99" s="110"/>
      <c r="I99" s="110"/>
      <c r="J99" s="110"/>
      <c r="K99" s="111"/>
      <c r="L99" s="110"/>
      <c r="M99" s="110">
        <f>IFERROR(_xlfn.XLOOKUP($A99,Input_Raw!$A:$A,Input_Raw!$CQ:$CQ),"")</f>
        <v>11.649545454545455</v>
      </c>
      <c r="N99" s="110">
        <f>IFERROR(_xlfn.XLOOKUP($A99,Input_Raw!$A:$A,Input_Raw!$CR:$CR),"")</f>
        <v>14.66</v>
      </c>
      <c r="O99" s="141">
        <f t="shared" si="10"/>
        <v>0.99775082156833073</v>
      </c>
      <c r="P99" s="141">
        <f>IFERROR(1-SUMIF(WTG_BD!$F:$F,$A99,WTG_BD!$AA:$AA)/($AA99+SUMIF(WTG_BD!$F:$F,$A99,WTG_BD!$AA:$AA)),"")</f>
        <v>0.99775082156833073</v>
      </c>
      <c r="Q99" s="141">
        <f>IFERROR(1-SUMIF(IGA_BD!$F:$F,$A99,IGA_BD!$W:$W)/($AA99+SUMIF(IGA_BD!$F:$F,$A99,IGA_BD!$W:$W)),"")</f>
        <v>1</v>
      </c>
      <c r="R99" s="141">
        <f>IFERROR(1-SUMIF(Grid_BD!$F:$F,$A99,Grid_BD!$Y:$Y)/($AA99+SUMIF(Grid_BD!$F:$F,$A99,Grid_BD!$Y:$Y)),"")</f>
        <v>1</v>
      </c>
      <c r="S99" s="108"/>
      <c r="T99" s="140"/>
      <c r="U99" s="141"/>
      <c r="V99" s="108"/>
      <c r="W99" s="142">
        <f t="shared" si="11"/>
        <v>0.87403349905303018</v>
      </c>
      <c r="X99" s="108">
        <f>IFERROR(_xlfn.XLOOKUP($A99,Input_Raw!$A:$A,Input_Raw!$CP:$CP)*1000,"")</f>
        <v>1476767</v>
      </c>
      <c r="Y99" s="108">
        <f>IFERROR(_xlfn.XLOOKUP($A99,Input_Raw!$A:$A,Input_Raw!DJ:DJ)*1000,"")</f>
        <v>1476767</v>
      </c>
      <c r="Z99" s="108">
        <f>IFERROR(_xlfn.XLOOKUP($A99,Input_Raw!$A:$A,Input_Raw!DK:DK)*1000,"")</f>
        <v>0</v>
      </c>
      <c r="AA99" s="138">
        <f t="shared" si="12"/>
        <v>1476767</v>
      </c>
      <c r="AB99" s="108">
        <f>IFERROR(_xlfn.XLOOKUP($A99,Input_Raw!$A:$A,Input_Raw!$DR:$DR),"")</f>
        <v>70.400000000000006</v>
      </c>
      <c r="AC99" s="143">
        <f>IFERROR(_xlfn.XLOOKUP($D99,'Modelling New'!$D:$D,'Modelling New'!$J:$J),"")</f>
        <v>9.8233333333333324</v>
      </c>
      <c r="AD99" s="138">
        <f>IFERROR(_xlfn.XLOOKUP($D99,'Modelling New'!$D:$D,'Modelling New'!$T:$T)*1000,"")</f>
        <v>904894.00217495637</v>
      </c>
      <c r="AE99" s="142"/>
      <c r="AF99" s="142">
        <f>IFERROR(_xlfn.XLOOKUP($D99,'Modelling New'!$D:$D,'Modelling New'!$W:$W),"")</f>
        <v>0.53556699939332175</v>
      </c>
      <c r="AG99" s="142">
        <f>IFERROR(_xlfn.XLOOKUP($D99,'Modelling New'!$D:$D,'Modelling New'!$AE:$AE),"")</f>
        <v>0.96029999999999993</v>
      </c>
      <c r="AH99" s="142">
        <f>IFERROR(_xlfn.XLOOKUP($D99,'Modelling New'!$D:$D,'Modelling New'!$AF:$AF),"")</f>
        <v>0.995</v>
      </c>
      <c r="AI99" s="109">
        <f>IFERROR(_xlfn.XLOOKUP($A99,Input_Raw!$A:$A,Input_Raw!$DP:$DP),"")</f>
        <v>1498.97</v>
      </c>
      <c r="AJ99" s="108"/>
      <c r="AK99" s="108"/>
      <c r="AL99" s="108"/>
      <c r="AM99" s="108"/>
      <c r="AN99" s="132">
        <f>IFERROR(_xlfn.XLOOKUP($A99,Input_Raw!$A:$A,Input_Raw!$DL:$DL),"")</f>
        <v>0</v>
      </c>
      <c r="AO99" s="142">
        <f>IFERROR((_xlfn.XLOOKUP($A99,'WTG Reactive Power'!$A:$A,'WTG Reactive Power'!$AW:$AW))/X99,"")</f>
        <v>1.8639741870811935E-4</v>
      </c>
      <c r="AP99" s="142">
        <f>IFERROR(_xlfn.XLOOKUP($D99,'Modelling New'!$D:$D,'Modelling New'!$AK:$AK),"")</f>
        <v>0.05</v>
      </c>
      <c r="AQ99" s="142">
        <f>IFERROR(_xlfn.XLOOKUP($D99,'Modelling New'!$D:$D,'Modelling New'!$AL:$AL),"")</f>
        <v>0.05</v>
      </c>
      <c r="AR99" s="198">
        <f>IFERROR(_xlfn.XLOOKUP($D99,'Modelling New'!$D:$D,'Modelling New'!$N:$N),"")</f>
        <v>70.400000000000006</v>
      </c>
      <c r="AS99" s="198"/>
    </row>
    <row r="100" spans="1:45">
      <c r="A100" s="137">
        <f t="shared" si="13"/>
        <v>45843</v>
      </c>
      <c r="B100" s="138">
        <f>YEAR(Daily_KPI[[#This Row],[Date]])+IF(MONTH(Daily_KPI[[#This Row],[Date]])&gt;=4,1,0)</f>
        <v>2026</v>
      </c>
      <c r="C100" s="108">
        <f>YEAR(Daily_KPI[[#This Row],[Date]])</f>
        <v>2025</v>
      </c>
      <c r="D100" s="139">
        <f>Daily_KPI[[#This Row],[Date]]-DAY(Daily_KPI[[#This Row],[Date]])+1</f>
        <v>45839</v>
      </c>
      <c r="E100" s="108">
        <f t="shared" si="9"/>
        <v>31</v>
      </c>
      <c r="F100" s="109"/>
      <c r="G100" s="143"/>
      <c r="H100" s="143"/>
      <c r="I100" s="143"/>
      <c r="J100" s="143"/>
      <c r="K100" s="111"/>
      <c r="L100" s="110"/>
      <c r="M100" s="110">
        <f>IFERROR(_xlfn.XLOOKUP($A100,Input_Raw!$A:$A,Input_Raw!$CQ:$CQ),"")</f>
        <v>12.372727272727269</v>
      </c>
      <c r="N100" s="110">
        <f>IFERROR(_xlfn.XLOOKUP($A100,Input_Raw!$A:$A,Input_Raw!$CR:$CR),"")</f>
        <v>15.35</v>
      </c>
      <c r="O100" s="141">
        <f t="shared" si="10"/>
        <v>0.97766505918679836</v>
      </c>
      <c r="P100" s="141">
        <f>IFERROR(1-SUMIF(WTG_BD!$F:$F,$A100,WTG_BD!$AA:$AA)/($AA100+SUMIF(WTG_BD!$F:$F,$A100,WTG_BD!$AA:$AA)),"")</f>
        <v>0.97766505918679836</v>
      </c>
      <c r="Q100" s="141">
        <f>IFERROR(1-SUMIF(IGA_BD!$F:$F,$A100,IGA_BD!$W:$W)/($AA100+SUMIF(IGA_BD!$F:$F,$A100,IGA_BD!$W:$W)),"")</f>
        <v>1</v>
      </c>
      <c r="R100" s="141">
        <f>IFERROR(1-SUMIF(Grid_BD!$F:$F,$A100,Grid_BD!$Y:$Y)/($AA100+SUMIF(Grid_BD!$F:$F,$A100,Grid_BD!$Y:$Y)),"")</f>
        <v>1</v>
      </c>
      <c r="S100" s="108"/>
      <c r="T100" s="140"/>
      <c r="U100" s="141"/>
      <c r="V100" s="108"/>
      <c r="W100" s="142">
        <f t="shared" si="11"/>
        <v>0.90999230587121205</v>
      </c>
      <c r="X100" s="108">
        <f>IFERROR(_xlfn.XLOOKUP($A100,Input_Raw!$A:$A,Input_Raw!$CP:$CP)*1000,"")</f>
        <v>1537523</v>
      </c>
      <c r="Y100" s="108">
        <f>IFERROR(_xlfn.XLOOKUP($A100,Input_Raw!$A:$A,Input_Raw!DJ:DJ)*1000,"")</f>
        <v>1537523</v>
      </c>
      <c r="Z100" s="108">
        <f>IFERROR(_xlfn.XLOOKUP($A100,Input_Raw!$A:$A,Input_Raw!DK:DK)*1000,"")</f>
        <v>0</v>
      </c>
      <c r="AA100" s="138">
        <f t="shared" si="12"/>
        <v>1537523</v>
      </c>
      <c r="AB100" s="108">
        <f>IFERROR(_xlfn.XLOOKUP($A100,Input_Raw!$A:$A,Input_Raw!$DR:$DR),"")</f>
        <v>70.400000000000006</v>
      </c>
      <c r="AC100" s="143">
        <f>IFERROR(_xlfn.XLOOKUP($D100,'Modelling New'!$D:$D,'Modelling New'!$J:$J),"")</f>
        <v>9.8233333333333324</v>
      </c>
      <c r="AD100" s="138">
        <f>IFERROR(_xlfn.XLOOKUP($D100,'Modelling New'!$D:$D,'Modelling New'!$T:$T)*1000,"")</f>
        <v>904894.00217495637</v>
      </c>
      <c r="AE100" s="142"/>
      <c r="AF100" s="142">
        <f>IFERROR(_xlfn.XLOOKUP($D100,'Modelling New'!$D:$D,'Modelling New'!$W:$W),"")</f>
        <v>0.53556699939332175</v>
      </c>
      <c r="AG100" s="142">
        <f>IFERROR(_xlfn.XLOOKUP($D100,'Modelling New'!$D:$D,'Modelling New'!$AE:$AE),"")</f>
        <v>0.96029999999999993</v>
      </c>
      <c r="AH100" s="142">
        <f>IFERROR(_xlfn.XLOOKUP($D100,'Modelling New'!$D:$D,'Modelling New'!$AF:$AF),"")</f>
        <v>0.995</v>
      </c>
      <c r="AI100" s="109">
        <f>IFERROR(_xlfn.XLOOKUP($A100,Input_Raw!$A:$A,Input_Raw!$DP:$DP),"")</f>
        <v>1597.99</v>
      </c>
      <c r="AJ100" s="108"/>
      <c r="AK100" s="108"/>
      <c r="AL100" s="108"/>
      <c r="AM100" s="108"/>
      <c r="AN100" s="132">
        <f>IFERROR(_xlfn.XLOOKUP($A100,Input_Raw!$A:$A,Input_Raw!$DL:$DL),"")</f>
        <v>0</v>
      </c>
      <c r="AO100" s="142">
        <f>IFERROR((_xlfn.XLOOKUP($A100,'WTG Reactive Power'!$A:$A,'WTG Reactive Power'!$AW:$AW))/X100,"")</f>
        <v>1.9325879580337987E-4</v>
      </c>
      <c r="AP100" s="142">
        <f>IFERROR(_xlfn.XLOOKUP($D100,'Modelling New'!$D:$D,'Modelling New'!$AK:$AK),"")</f>
        <v>0.05</v>
      </c>
      <c r="AQ100" s="142">
        <f>IFERROR(_xlfn.XLOOKUP($D100,'Modelling New'!$D:$D,'Modelling New'!$AL:$AL),"")</f>
        <v>0.05</v>
      </c>
      <c r="AR100" s="198">
        <f>IFERROR(_xlfn.XLOOKUP($D100,'Modelling New'!$D:$D,'Modelling New'!$N:$N),"")</f>
        <v>70.400000000000006</v>
      </c>
      <c r="AS100" s="198"/>
    </row>
    <row r="101" spans="1:45">
      <c r="A101" s="137">
        <f t="shared" si="13"/>
        <v>45844</v>
      </c>
      <c r="B101" s="138">
        <f>YEAR(Daily_KPI[[#This Row],[Date]])+IF(MONTH(Daily_KPI[[#This Row],[Date]])&gt;=4,1,0)</f>
        <v>2026</v>
      </c>
      <c r="C101" s="108">
        <f>YEAR(Daily_KPI[[#This Row],[Date]])</f>
        <v>2025</v>
      </c>
      <c r="D101" s="139">
        <f>Daily_KPI[[#This Row],[Date]]-DAY(Daily_KPI[[#This Row],[Date]])+1</f>
        <v>45839</v>
      </c>
      <c r="E101" s="108">
        <f t="shared" si="9"/>
        <v>31</v>
      </c>
      <c r="F101" s="109"/>
      <c r="G101" s="110"/>
      <c r="H101" s="110"/>
      <c r="I101" s="110"/>
      <c r="J101" s="110"/>
      <c r="K101" s="111"/>
      <c r="L101" s="110"/>
      <c r="M101" s="110">
        <f>IFERROR(_xlfn.XLOOKUP($A101,Input_Raw!$A:$A,Input_Raw!$CQ:$CQ),"")</f>
        <v>13.3775</v>
      </c>
      <c r="N101" s="110">
        <f>IFERROR(_xlfn.XLOOKUP($A101,Input_Raw!$A:$A,Input_Raw!$CR:$CR),"")</f>
        <v>16.28</v>
      </c>
      <c r="O101" s="141">
        <f t="shared" si="10"/>
        <v>0.99971432434036145</v>
      </c>
      <c r="P101" s="141">
        <f>IFERROR(1-SUMIF(WTG_BD!$F:$F,$A101,WTG_BD!$AA:$AA)/($AA101+SUMIF(WTG_BD!$F:$F,$A101,WTG_BD!$AA:$AA)),"")</f>
        <v>0.99971432434036145</v>
      </c>
      <c r="Q101" s="141">
        <f>IFERROR(1-SUMIF(IGA_BD!$F:$F,$A101,IGA_BD!$W:$W)/($AA101+SUMIF(IGA_BD!$F:$F,$A101,IGA_BD!$W:$W)),"")</f>
        <v>1</v>
      </c>
      <c r="R101" s="141">
        <f>IFERROR(1-SUMIF(Grid_BD!$F:$F,$A101,Grid_BD!$Y:$Y)/($AA101+SUMIF(Grid_BD!$F:$F,$A101,Grid_BD!$Y:$Y)),"")</f>
        <v>1</v>
      </c>
      <c r="S101" s="108"/>
      <c r="T101" s="140"/>
      <c r="U101" s="141"/>
      <c r="V101" s="108"/>
      <c r="W101" s="142">
        <f t="shared" si="11"/>
        <v>0.96724313446969679</v>
      </c>
      <c r="X101" s="108">
        <f>IFERROR(_xlfn.XLOOKUP($A101,Input_Raw!$A:$A,Input_Raw!$CP:$CP)*1000,"")</f>
        <v>1634254</v>
      </c>
      <c r="Y101" s="108">
        <f>IFERROR(_xlfn.XLOOKUP($A101,Input_Raw!$A:$A,Input_Raw!DJ:DJ)*1000,"")</f>
        <v>1634254</v>
      </c>
      <c r="Z101" s="108">
        <f>IFERROR(_xlfn.XLOOKUP($A101,Input_Raw!$A:$A,Input_Raw!DK:DK)*1000,"")</f>
        <v>0</v>
      </c>
      <c r="AA101" s="138">
        <f t="shared" si="12"/>
        <v>1634254</v>
      </c>
      <c r="AB101" s="108">
        <f>IFERROR(_xlfn.XLOOKUP($A101,Input_Raw!$A:$A,Input_Raw!$DR:$DR),"")</f>
        <v>70.400000000000006</v>
      </c>
      <c r="AC101" s="143">
        <f>IFERROR(_xlfn.XLOOKUP($D101,'Modelling New'!$D:$D,'Modelling New'!$J:$J),"")</f>
        <v>9.8233333333333324</v>
      </c>
      <c r="AD101" s="138">
        <f>IFERROR(_xlfn.XLOOKUP($D101,'Modelling New'!$D:$D,'Modelling New'!$T:$T)*1000,"")</f>
        <v>904894.00217495637</v>
      </c>
      <c r="AE101" s="142"/>
      <c r="AF101" s="142">
        <f>IFERROR(_xlfn.XLOOKUP($D101,'Modelling New'!$D:$D,'Modelling New'!$W:$W),"")</f>
        <v>0.53556699939332175</v>
      </c>
      <c r="AG101" s="142">
        <f>IFERROR(_xlfn.XLOOKUP($D101,'Modelling New'!$D:$D,'Modelling New'!$AE:$AE),"")</f>
        <v>0.96029999999999993</v>
      </c>
      <c r="AH101" s="142">
        <f>IFERROR(_xlfn.XLOOKUP($D101,'Modelling New'!$D:$D,'Modelling New'!$AF:$AF),"")</f>
        <v>0.995</v>
      </c>
      <c r="AI101" s="109">
        <f>IFERROR(_xlfn.XLOOKUP($A101,Input_Raw!$A:$A,Input_Raw!$DP:$DP),"")</f>
        <v>1671.39</v>
      </c>
      <c r="AJ101" s="108"/>
      <c r="AK101" s="108"/>
      <c r="AL101" s="108"/>
      <c r="AM101" s="108"/>
      <c r="AN101" s="132">
        <f>IFERROR(_xlfn.XLOOKUP($A101,Input_Raw!$A:$A,Input_Raw!$DL:$DL),"")</f>
        <v>0</v>
      </c>
      <c r="AO101" s="142">
        <f>IFERROR((_xlfn.XLOOKUP($A101,'WTG Reactive Power'!$A:$A,'WTG Reactive Power'!$AW:$AW))/X101,"")</f>
        <v>1.9148682354966443E-4</v>
      </c>
      <c r="AP101" s="142">
        <f>IFERROR(_xlfn.XLOOKUP($D101,'Modelling New'!$D:$D,'Modelling New'!$AK:$AK),"")</f>
        <v>0.05</v>
      </c>
      <c r="AQ101" s="142">
        <f>IFERROR(_xlfn.XLOOKUP($D101,'Modelling New'!$D:$D,'Modelling New'!$AL:$AL),"")</f>
        <v>0.05</v>
      </c>
      <c r="AR101" s="198">
        <f>IFERROR(_xlfn.XLOOKUP($D101,'Modelling New'!$D:$D,'Modelling New'!$N:$N),"")</f>
        <v>70.400000000000006</v>
      </c>
      <c r="AS101" s="198"/>
    </row>
    <row r="102" spans="1:45">
      <c r="A102" s="137">
        <f t="shared" si="13"/>
        <v>45845</v>
      </c>
      <c r="B102" s="138">
        <f>YEAR(Daily_KPI[[#This Row],[Date]])+IF(MONTH(Daily_KPI[[#This Row],[Date]])&gt;=4,1,0)</f>
        <v>2026</v>
      </c>
      <c r="C102" s="108">
        <f>YEAR(Daily_KPI[[#This Row],[Date]])</f>
        <v>2025</v>
      </c>
      <c r="D102" s="139">
        <f>Daily_KPI[[#This Row],[Date]]-DAY(Daily_KPI[[#This Row],[Date]])+1</f>
        <v>45839</v>
      </c>
      <c r="E102" s="108">
        <f t="shared" si="9"/>
        <v>31</v>
      </c>
      <c r="F102" s="109"/>
      <c r="G102" s="143"/>
      <c r="H102" s="143"/>
      <c r="I102" s="143"/>
      <c r="J102" s="143"/>
      <c r="K102" s="111"/>
      <c r="L102" s="110"/>
      <c r="M102" s="110">
        <f>IFERROR(_xlfn.XLOOKUP($A102,Input_Raw!$A:$A,Input_Raw!$CQ:$CQ),"")</f>
        <v>12.243181818181817</v>
      </c>
      <c r="N102" s="110">
        <f>IFERROR(_xlfn.XLOOKUP($A102,Input_Raw!$A:$A,Input_Raw!$CR:$CR),"")</f>
        <v>14.69</v>
      </c>
      <c r="O102" s="141">
        <f t="shared" si="10"/>
        <v>0.99147718540492091</v>
      </c>
      <c r="P102" s="141">
        <f>IFERROR(1-SUMIF(WTG_BD!$F:$F,$A102,WTG_BD!$AA:$AA)/($AA102+SUMIF(WTG_BD!$F:$F,$A102,WTG_BD!$AA:$AA)),"")</f>
        <v>0.99550511388388585</v>
      </c>
      <c r="Q102" s="141">
        <f>IFERROR(1-SUMIF(IGA_BD!$F:$F,$A102,IGA_BD!$W:$W)/($AA102+SUMIF(IGA_BD!$F:$F,$A102,IGA_BD!$W:$W)),"")</f>
        <v>0.99595388469351975</v>
      </c>
      <c r="R102" s="141">
        <f>IFERROR(1-SUMIF(Grid_BD!$F:$F,$A102,Grid_BD!$Y:$Y)/($AA102+SUMIF(Grid_BD!$F:$F,$A102,Grid_BD!$Y:$Y)),"")</f>
        <v>1</v>
      </c>
      <c r="S102" s="108"/>
      <c r="T102" s="140"/>
      <c r="U102" s="141"/>
      <c r="V102" s="108"/>
      <c r="W102" s="142">
        <f t="shared" si="11"/>
        <v>0.90616536458333319</v>
      </c>
      <c r="X102" s="108">
        <f>IFERROR(_xlfn.XLOOKUP($A102,Input_Raw!$A:$A,Input_Raw!$CP:$CP)*1000,"")</f>
        <v>1531057</v>
      </c>
      <c r="Y102" s="108">
        <f>IFERROR(_xlfn.XLOOKUP($A102,Input_Raw!$A:$A,Input_Raw!DJ:DJ)*1000,"")</f>
        <v>1531056.9999999998</v>
      </c>
      <c r="Z102" s="108">
        <f>IFERROR(_xlfn.XLOOKUP($A102,Input_Raw!$A:$A,Input_Raw!DK:DK)*1000,"")</f>
        <v>0</v>
      </c>
      <c r="AA102" s="138">
        <f t="shared" si="12"/>
        <v>1531056.9999999998</v>
      </c>
      <c r="AB102" s="108">
        <f>IFERROR(_xlfn.XLOOKUP($A102,Input_Raw!$A:$A,Input_Raw!$DR:$DR),"")</f>
        <v>70.400000000000006</v>
      </c>
      <c r="AC102" s="143">
        <f>IFERROR(_xlfn.XLOOKUP($D102,'Modelling New'!$D:$D,'Modelling New'!$J:$J),"")</f>
        <v>9.8233333333333324</v>
      </c>
      <c r="AD102" s="138">
        <f>IFERROR(_xlfn.XLOOKUP($D102,'Modelling New'!$D:$D,'Modelling New'!$T:$T)*1000,"")</f>
        <v>904894.00217495637</v>
      </c>
      <c r="AE102" s="142"/>
      <c r="AF102" s="142">
        <f>IFERROR(_xlfn.XLOOKUP($D102,'Modelling New'!$D:$D,'Modelling New'!$W:$W),"")</f>
        <v>0.53556699939332175</v>
      </c>
      <c r="AG102" s="142">
        <f>IFERROR(_xlfn.XLOOKUP($D102,'Modelling New'!$D:$D,'Modelling New'!$AE:$AE),"")</f>
        <v>0.96029999999999993</v>
      </c>
      <c r="AH102" s="142">
        <f>IFERROR(_xlfn.XLOOKUP($D102,'Modelling New'!$D:$D,'Modelling New'!$AF:$AF),"")</f>
        <v>0.995</v>
      </c>
      <c r="AI102" s="109">
        <f>IFERROR(_xlfn.XLOOKUP($A102,Input_Raw!$A:$A,Input_Raw!$DP:$DP),"")</f>
        <v>1571.27</v>
      </c>
      <c r="AJ102" s="108"/>
      <c r="AK102" s="108"/>
      <c r="AL102" s="108"/>
      <c r="AM102" s="108"/>
      <c r="AN102" s="132">
        <f>IFERROR(_xlfn.XLOOKUP($A102,Input_Raw!$A:$A,Input_Raw!$DL:$DL),"")</f>
        <v>-1.1102230246251565E-16</v>
      </c>
      <c r="AO102" s="142">
        <f>IFERROR((_xlfn.XLOOKUP($A102,'WTG Reactive Power'!$A:$A,'WTG Reactive Power'!$AW:$AW))/X102,"")</f>
        <v>1.7385946234094044E-4</v>
      </c>
      <c r="AP102" s="142">
        <f>IFERROR(_xlfn.XLOOKUP($D102,'Modelling New'!$D:$D,'Modelling New'!$AK:$AK),"")</f>
        <v>0.05</v>
      </c>
      <c r="AQ102" s="142">
        <f>IFERROR(_xlfn.XLOOKUP($D102,'Modelling New'!$D:$D,'Modelling New'!$AL:$AL),"")</f>
        <v>0.05</v>
      </c>
      <c r="AR102" s="198">
        <f>IFERROR(_xlfn.XLOOKUP($D102,'Modelling New'!$D:$D,'Modelling New'!$N:$N),"")</f>
        <v>70.400000000000006</v>
      </c>
      <c r="AS102" s="198"/>
    </row>
    <row r="103" spans="1:45">
      <c r="A103" s="137">
        <f t="shared" si="13"/>
        <v>45846</v>
      </c>
      <c r="B103" s="138">
        <f>YEAR(Daily_KPI[[#This Row],[Date]])+IF(MONTH(Daily_KPI[[#This Row],[Date]])&gt;=4,1,0)</f>
        <v>2026</v>
      </c>
      <c r="C103" s="108">
        <f>YEAR(Daily_KPI[[#This Row],[Date]])</f>
        <v>2025</v>
      </c>
      <c r="D103" s="139">
        <f>Daily_KPI[[#This Row],[Date]]-DAY(Daily_KPI[[#This Row],[Date]])+1</f>
        <v>45839</v>
      </c>
      <c r="E103" s="108">
        <f t="shared" si="9"/>
        <v>31</v>
      </c>
      <c r="F103" s="109"/>
      <c r="G103" s="110"/>
      <c r="H103" s="110"/>
      <c r="I103" s="110"/>
      <c r="J103" s="110"/>
      <c r="K103" s="111"/>
      <c r="L103" s="110"/>
      <c r="M103" s="110">
        <f>IFERROR(_xlfn.XLOOKUP($A103,Input_Raw!$A:$A,Input_Raw!$CQ:$CQ),"")</f>
        <v>11.197499999999998</v>
      </c>
      <c r="N103" s="110">
        <f>IFERROR(_xlfn.XLOOKUP($A103,Input_Raw!$A:$A,Input_Raw!$CR:$CR),"")</f>
        <v>13.29</v>
      </c>
      <c r="O103" s="141">
        <f t="shared" si="10"/>
        <v>0.99297998364669093</v>
      </c>
      <c r="P103" s="141">
        <f>IFERROR(1-SUMIF(WTG_BD!$F:$F,$A103,WTG_BD!$AA:$AA)/($AA103+SUMIF(WTG_BD!$F:$F,$A103,WTG_BD!$AA:$AA)),"")</f>
        <v>0.99613080947377786</v>
      </c>
      <c r="Q103" s="141">
        <f>IFERROR(1-SUMIF(IGA_BD!$F:$F,$A103,IGA_BD!$W:$W)/($AA103+SUMIF(IGA_BD!$F:$F,$A103,IGA_BD!$W:$W)),"")</f>
        <v>0.99683693567439058</v>
      </c>
      <c r="R103" s="141">
        <f>IFERROR(1-SUMIF(Grid_BD!$F:$F,$A103,Grid_BD!$Y:$Y)/($AA103+SUMIF(Grid_BD!$F:$F,$A103,Grid_BD!$Y:$Y)),"")</f>
        <v>1</v>
      </c>
      <c r="S103" s="108"/>
      <c r="T103" s="140"/>
      <c r="U103" s="141"/>
      <c r="V103" s="108"/>
      <c r="W103" s="142">
        <f t="shared" si="11"/>
        <v>0.86807765151515137</v>
      </c>
      <c r="X103" s="108">
        <f>IFERROR(_xlfn.XLOOKUP($A103,Input_Raw!$A:$A,Input_Raw!$CP:$CP)*1000,"")</f>
        <v>1466704</v>
      </c>
      <c r="Y103" s="108">
        <f>IFERROR(_xlfn.XLOOKUP($A103,Input_Raw!$A:$A,Input_Raw!DJ:DJ)*1000,"")</f>
        <v>1466704</v>
      </c>
      <c r="Z103" s="108">
        <f>IFERROR(_xlfn.XLOOKUP($A103,Input_Raw!$A:$A,Input_Raw!DK:DK)*1000,"")</f>
        <v>0</v>
      </c>
      <c r="AA103" s="138">
        <f t="shared" si="12"/>
        <v>1466704</v>
      </c>
      <c r="AB103" s="108">
        <f>IFERROR(_xlfn.XLOOKUP($A103,Input_Raw!$A:$A,Input_Raw!$DR:$DR),"")</f>
        <v>70.400000000000006</v>
      </c>
      <c r="AC103" s="143">
        <f>IFERROR(_xlfn.XLOOKUP($D103,'Modelling New'!$D:$D,'Modelling New'!$J:$J),"")</f>
        <v>9.8233333333333324</v>
      </c>
      <c r="AD103" s="138">
        <f>IFERROR(_xlfn.XLOOKUP($D103,'Modelling New'!$D:$D,'Modelling New'!$T:$T)*1000,"")</f>
        <v>904894.00217495637</v>
      </c>
      <c r="AE103" s="142"/>
      <c r="AF103" s="142">
        <f>IFERROR(_xlfn.XLOOKUP($D103,'Modelling New'!$D:$D,'Modelling New'!$W:$W),"")</f>
        <v>0.53556699939332175</v>
      </c>
      <c r="AG103" s="142">
        <f>IFERROR(_xlfn.XLOOKUP($D103,'Modelling New'!$D:$D,'Modelling New'!$AE:$AE),"")</f>
        <v>0.96029999999999993</v>
      </c>
      <c r="AH103" s="142">
        <f>IFERROR(_xlfn.XLOOKUP($D103,'Modelling New'!$D:$D,'Modelling New'!$AF:$AF),"")</f>
        <v>0.995</v>
      </c>
      <c r="AI103" s="109">
        <f>IFERROR(_xlfn.XLOOKUP($A103,Input_Raw!$A:$A,Input_Raw!$DP:$DP),"")</f>
        <v>1492.04</v>
      </c>
      <c r="AJ103" s="108"/>
      <c r="AK103" s="108"/>
      <c r="AL103" s="108"/>
      <c r="AM103" s="108"/>
      <c r="AN103" s="132">
        <f>IFERROR(_xlfn.XLOOKUP($A103,Input_Raw!$A:$A,Input_Raw!$DL:$DL),"")</f>
        <v>0</v>
      </c>
      <c r="AO103" s="142">
        <f>IFERROR((_xlfn.XLOOKUP($A103,'WTG Reactive Power'!$A:$A,'WTG Reactive Power'!$AW:$AW))/X103,"")</f>
        <v>1.8757214691353307E-4</v>
      </c>
      <c r="AP103" s="142">
        <f>IFERROR(_xlfn.XLOOKUP($D103,'Modelling New'!$D:$D,'Modelling New'!$AK:$AK),"")</f>
        <v>0.05</v>
      </c>
      <c r="AQ103" s="142">
        <f>IFERROR(_xlfn.XLOOKUP($D103,'Modelling New'!$D:$D,'Modelling New'!$AL:$AL),"")</f>
        <v>0.05</v>
      </c>
      <c r="AR103" s="198">
        <f>IFERROR(_xlfn.XLOOKUP($D103,'Modelling New'!$D:$D,'Modelling New'!$N:$N),"")</f>
        <v>70.400000000000006</v>
      </c>
      <c r="AS103" s="198"/>
    </row>
    <row r="104" spans="1:45">
      <c r="A104" s="137">
        <f t="shared" si="13"/>
        <v>45847</v>
      </c>
      <c r="B104" s="138">
        <f>YEAR(Daily_KPI[[#This Row],[Date]])+IF(MONTH(Daily_KPI[[#This Row],[Date]])&gt;=4,1,0)</f>
        <v>2026</v>
      </c>
      <c r="C104" s="108">
        <f>YEAR(Daily_KPI[[#This Row],[Date]])</f>
        <v>2025</v>
      </c>
      <c r="D104" s="139">
        <f>Daily_KPI[[#This Row],[Date]]-DAY(Daily_KPI[[#This Row],[Date]])+1</f>
        <v>45839</v>
      </c>
      <c r="E104" s="108">
        <f t="shared" si="9"/>
        <v>31</v>
      </c>
      <c r="F104" s="109"/>
      <c r="G104" s="143"/>
      <c r="H104" s="143"/>
      <c r="I104" s="143"/>
      <c r="J104" s="143"/>
      <c r="K104" s="111"/>
      <c r="L104" s="110"/>
      <c r="M104" s="110">
        <f>IFERROR(_xlfn.XLOOKUP($A104,Input_Raw!$A:$A,Input_Raw!$CQ:$CQ),"")</f>
        <v>9.8275000000000023</v>
      </c>
      <c r="N104" s="110">
        <f>IFERROR(_xlfn.XLOOKUP($A104,Input_Raw!$A:$A,Input_Raw!$CR:$CR),"")</f>
        <v>12.01</v>
      </c>
      <c r="O104" s="141">
        <f t="shared" si="10"/>
        <v>1</v>
      </c>
      <c r="P104" s="141">
        <f>IFERROR(1-SUMIF(WTG_BD!$F:$F,$A104,WTG_BD!$AA:$AA)/($AA104+SUMIF(WTG_BD!$F:$F,$A104,WTG_BD!$AA:$AA)),"")</f>
        <v>1</v>
      </c>
      <c r="Q104" s="141">
        <f>IFERROR(1-SUMIF(IGA_BD!$F:$F,$A104,IGA_BD!$W:$W)/($AA104+SUMIF(IGA_BD!$F:$F,$A104,IGA_BD!$W:$W)),"")</f>
        <v>1</v>
      </c>
      <c r="R104" s="141">
        <f>IFERROR(1-SUMIF(Grid_BD!$F:$F,$A104,Grid_BD!$Y:$Y)/($AA104+SUMIF(Grid_BD!$F:$F,$A104,Grid_BD!$Y:$Y)),"")</f>
        <v>1</v>
      </c>
      <c r="S104" s="108"/>
      <c r="T104" s="140"/>
      <c r="U104" s="141"/>
      <c r="V104" s="108"/>
      <c r="W104" s="142">
        <f t="shared" si="11"/>
        <v>0.72571200284090898</v>
      </c>
      <c r="X104" s="108">
        <f>IFERROR(_xlfn.XLOOKUP($A104,Input_Raw!$A:$A,Input_Raw!$CP:$CP)*1000,"")</f>
        <v>1226163</v>
      </c>
      <c r="Y104" s="108">
        <f>IFERROR(_xlfn.XLOOKUP($A104,Input_Raw!$A:$A,Input_Raw!DJ:DJ)*1000,"")</f>
        <v>1226163</v>
      </c>
      <c r="Z104" s="108">
        <f>IFERROR(_xlfn.XLOOKUP($A104,Input_Raw!$A:$A,Input_Raw!DK:DK)*1000,"")</f>
        <v>0</v>
      </c>
      <c r="AA104" s="138">
        <f t="shared" si="12"/>
        <v>1226163</v>
      </c>
      <c r="AB104" s="108">
        <f>IFERROR(_xlfn.XLOOKUP($A104,Input_Raw!$A:$A,Input_Raw!$DR:$DR),"")</f>
        <v>70.400000000000006</v>
      </c>
      <c r="AC104" s="143">
        <f>IFERROR(_xlfn.XLOOKUP($D104,'Modelling New'!$D:$D,'Modelling New'!$J:$J),"")</f>
        <v>9.8233333333333324</v>
      </c>
      <c r="AD104" s="138">
        <f>IFERROR(_xlfn.XLOOKUP($D104,'Modelling New'!$D:$D,'Modelling New'!$T:$T)*1000,"")</f>
        <v>904894.00217495637</v>
      </c>
      <c r="AE104" s="142"/>
      <c r="AF104" s="142">
        <f>IFERROR(_xlfn.XLOOKUP($D104,'Modelling New'!$D:$D,'Modelling New'!$W:$W),"")</f>
        <v>0.53556699939332175</v>
      </c>
      <c r="AG104" s="142">
        <f>IFERROR(_xlfn.XLOOKUP($D104,'Modelling New'!$D:$D,'Modelling New'!$AE:$AE),"")</f>
        <v>0.96029999999999993</v>
      </c>
      <c r="AH104" s="142">
        <f>IFERROR(_xlfn.XLOOKUP($D104,'Modelling New'!$D:$D,'Modelling New'!$AF:$AF),"")</f>
        <v>0.995</v>
      </c>
      <c r="AI104" s="109">
        <f>IFERROR(_xlfn.XLOOKUP($A104,Input_Raw!$A:$A,Input_Raw!$DP:$DP),"")</f>
        <v>1190.71</v>
      </c>
      <c r="AJ104" s="108"/>
      <c r="AK104" s="108"/>
      <c r="AL104" s="108"/>
      <c r="AM104" s="108"/>
      <c r="AN104" s="132">
        <f>IFERROR(_xlfn.XLOOKUP($A104,Input_Raw!$A:$A,Input_Raw!$DL:$DL),"")</f>
        <v>0</v>
      </c>
      <c r="AO104" s="142">
        <f>IFERROR((_xlfn.XLOOKUP($A104,'WTG Reactive Power'!$A:$A,'WTG Reactive Power'!$AW:$AW))/X104,"")</f>
        <v>1.8550016039194355E-4</v>
      </c>
      <c r="AP104" s="142">
        <f>IFERROR(_xlfn.XLOOKUP($D104,'Modelling New'!$D:$D,'Modelling New'!$AK:$AK),"")</f>
        <v>0.05</v>
      </c>
      <c r="AQ104" s="142">
        <f>IFERROR(_xlfn.XLOOKUP($D104,'Modelling New'!$D:$D,'Modelling New'!$AL:$AL),"")</f>
        <v>0.05</v>
      </c>
      <c r="AR104" s="198">
        <f>IFERROR(_xlfn.XLOOKUP($D104,'Modelling New'!$D:$D,'Modelling New'!$N:$N),"")</f>
        <v>70.400000000000006</v>
      </c>
      <c r="AS104" s="198"/>
    </row>
    <row r="105" spans="1:45">
      <c r="A105" s="137">
        <f t="shared" si="13"/>
        <v>45848</v>
      </c>
      <c r="B105" s="138">
        <f>YEAR(Daily_KPI[[#This Row],[Date]])+IF(MONTH(Daily_KPI[[#This Row],[Date]])&gt;=4,1,0)</f>
        <v>2026</v>
      </c>
      <c r="C105" s="108">
        <f>YEAR(Daily_KPI[[#This Row],[Date]])</f>
        <v>2025</v>
      </c>
      <c r="D105" s="139">
        <f>Daily_KPI[[#This Row],[Date]]-DAY(Daily_KPI[[#This Row],[Date]])+1</f>
        <v>45839</v>
      </c>
      <c r="E105" s="108">
        <f t="shared" si="9"/>
        <v>31</v>
      </c>
      <c r="F105" s="109"/>
      <c r="G105" s="110"/>
      <c r="H105" s="110"/>
      <c r="I105" s="110"/>
      <c r="J105" s="110"/>
      <c r="K105" s="111"/>
      <c r="L105" s="110"/>
      <c r="M105" s="110">
        <f>IFERROR(_xlfn.XLOOKUP($A105,Input_Raw!$A:$A,Input_Raw!$CQ:$CQ),"")</f>
        <v>7.388863636363638</v>
      </c>
      <c r="N105" s="110">
        <f>IFERROR(_xlfn.XLOOKUP($A105,Input_Raw!$A:$A,Input_Raw!$CR:$CR),"")</f>
        <v>9.25</v>
      </c>
      <c r="O105" s="141">
        <f t="shared" si="10"/>
        <v>0.99837876991770402</v>
      </c>
      <c r="P105" s="141">
        <f>IFERROR(1-SUMIF(WTG_BD!$F:$F,$A105,WTG_BD!$AA:$AA)/($AA105+SUMIF(WTG_BD!$F:$F,$A105,WTG_BD!$AA:$AA)),"")</f>
        <v>0.99837876991770402</v>
      </c>
      <c r="Q105" s="141">
        <f>IFERROR(1-SUMIF(IGA_BD!$F:$F,$A105,IGA_BD!$W:$W)/($AA105+SUMIF(IGA_BD!$F:$F,$A105,IGA_BD!$W:$W)),"")</f>
        <v>1</v>
      </c>
      <c r="R105" s="141">
        <f>IFERROR(1-SUMIF(Grid_BD!$F:$F,$A105,Grid_BD!$Y:$Y)/($AA105+SUMIF(Grid_BD!$F:$F,$A105,Grid_BD!$Y:$Y)),"")</f>
        <v>1</v>
      </c>
      <c r="S105" s="108"/>
      <c r="T105" s="140"/>
      <c r="U105" s="141"/>
      <c r="V105" s="108"/>
      <c r="W105" s="142">
        <f t="shared" si="11"/>
        <v>0.39727687026515146</v>
      </c>
      <c r="X105" s="108">
        <f>IFERROR(_xlfn.XLOOKUP($A105,Input_Raw!$A:$A,Input_Raw!$CP:$CP)*1000,"")</f>
        <v>671239</v>
      </c>
      <c r="Y105" s="108">
        <f>IFERROR(_xlfn.XLOOKUP($A105,Input_Raw!$A:$A,Input_Raw!DJ:DJ)*1000,"")</f>
        <v>671238.99999999988</v>
      </c>
      <c r="Z105" s="108">
        <f>IFERROR(_xlfn.XLOOKUP($A105,Input_Raw!$A:$A,Input_Raw!DK:DK)*1000,"")</f>
        <v>0</v>
      </c>
      <c r="AA105" s="138">
        <f t="shared" si="12"/>
        <v>671238.99999999988</v>
      </c>
      <c r="AB105" s="108">
        <f>IFERROR(_xlfn.XLOOKUP($A105,Input_Raw!$A:$A,Input_Raw!$DR:$DR),"")</f>
        <v>70.400000000000006</v>
      </c>
      <c r="AC105" s="143">
        <f>IFERROR(_xlfn.XLOOKUP($D105,'Modelling New'!$D:$D,'Modelling New'!$J:$J),"")</f>
        <v>9.8233333333333324</v>
      </c>
      <c r="AD105" s="138">
        <f>IFERROR(_xlfn.XLOOKUP($D105,'Modelling New'!$D:$D,'Modelling New'!$T:$T)*1000,"")</f>
        <v>904894.00217495637</v>
      </c>
      <c r="AE105" s="142"/>
      <c r="AF105" s="142">
        <f>IFERROR(_xlfn.XLOOKUP($D105,'Modelling New'!$D:$D,'Modelling New'!$W:$W),"")</f>
        <v>0.53556699939332175</v>
      </c>
      <c r="AG105" s="142">
        <f>IFERROR(_xlfn.XLOOKUP($D105,'Modelling New'!$D:$D,'Modelling New'!$AE:$AE),"")</f>
        <v>0.96029999999999993</v>
      </c>
      <c r="AH105" s="142">
        <f>IFERROR(_xlfn.XLOOKUP($D105,'Modelling New'!$D:$D,'Modelling New'!$AF:$AF),"")</f>
        <v>0.995</v>
      </c>
      <c r="AI105" s="109">
        <f>IFERROR(_xlfn.XLOOKUP($A105,Input_Raw!$A:$A,Input_Raw!$DP:$DP),"")</f>
        <v>595.65</v>
      </c>
      <c r="AJ105" s="108"/>
      <c r="AK105" s="108"/>
      <c r="AL105" s="108"/>
      <c r="AM105" s="108"/>
      <c r="AN105" s="132">
        <f>IFERROR(_xlfn.XLOOKUP($A105,Input_Raw!$A:$A,Input_Raw!$DL:$DL),"")</f>
        <v>-2.2204460492503131E-16</v>
      </c>
      <c r="AO105" s="142">
        <f>IFERROR((_xlfn.XLOOKUP($A105,'WTG Reactive Power'!$A:$A,'WTG Reactive Power'!$AW:$AW))/X105,"")</f>
        <v>1.9101769513789668E-4</v>
      </c>
      <c r="AP105" s="142">
        <f>IFERROR(_xlfn.XLOOKUP($D105,'Modelling New'!$D:$D,'Modelling New'!$AK:$AK),"")</f>
        <v>0.05</v>
      </c>
      <c r="AQ105" s="142">
        <f>IFERROR(_xlfn.XLOOKUP($D105,'Modelling New'!$D:$D,'Modelling New'!$AL:$AL),"")</f>
        <v>0.05</v>
      </c>
      <c r="AR105" s="198">
        <f>IFERROR(_xlfn.XLOOKUP($D105,'Modelling New'!$D:$D,'Modelling New'!$N:$N),"")</f>
        <v>70.400000000000006</v>
      </c>
      <c r="AS105" s="198"/>
    </row>
    <row r="106" spans="1:45">
      <c r="A106" s="137">
        <f t="shared" si="13"/>
        <v>45849</v>
      </c>
      <c r="B106" s="138">
        <f>YEAR(Daily_KPI[[#This Row],[Date]])+IF(MONTH(Daily_KPI[[#This Row],[Date]])&gt;=4,1,0)</f>
        <v>2026</v>
      </c>
      <c r="C106" s="108">
        <f>YEAR(Daily_KPI[[#This Row],[Date]])</f>
        <v>2025</v>
      </c>
      <c r="D106" s="139">
        <f>Daily_KPI[[#This Row],[Date]]-DAY(Daily_KPI[[#This Row],[Date]])+1</f>
        <v>45839</v>
      </c>
      <c r="E106" s="108">
        <f t="shared" si="9"/>
        <v>31</v>
      </c>
      <c r="F106" s="109"/>
      <c r="G106" s="143"/>
      <c r="H106" s="143"/>
      <c r="I106" s="143"/>
      <c r="J106" s="143"/>
      <c r="K106" s="111"/>
      <c r="L106" s="110"/>
      <c r="M106" s="110">
        <f>IFERROR(_xlfn.XLOOKUP($A106,Input_Raw!$A:$A,Input_Raw!$CQ:$CQ),"")</f>
        <v>6.842727272727271</v>
      </c>
      <c r="N106" s="110">
        <f>IFERROR(_xlfn.XLOOKUP($A106,Input_Raw!$A:$A,Input_Raw!$CR:$CR),"")</f>
        <v>8.66</v>
      </c>
      <c r="O106" s="141">
        <f t="shared" si="10"/>
        <v>0.99903184646838483</v>
      </c>
      <c r="P106" s="141">
        <f>IFERROR(1-SUMIF(WTG_BD!$F:$F,$A106,WTG_BD!$AA:$AA)/($AA106+SUMIF(WTG_BD!$F:$F,$A106,WTG_BD!$AA:$AA)),"")</f>
        <v>0.99903184646838483</v>
      </c>
      <c r="Q106" s="141">
        <f>IFERROR(1-SUMIF(IGA_BD!$F:$F,$A106,IGA_BD!$W:$W)/($AA106+SUMIF(IGA_BD!$F:$F,$A106,IGA_BD!$W:$W)),"")</f>
        <v>1</v>
      </c>
      <c r="R106" s="141">
        <f>IFERROR(1-SUMIF(Grid_BD!$F:$F,$A106,Grid_BD!$Y:$Y)/($AA106+SUMIF(Grid_BD!$F:$F,$A106,Grid_BD!$Y:$Y)),"")</f>
        <v>1</v>
      </c>
      <c r="S106" s="108"/>
      <c r="T106" s="140"/>
      <c r="U106" s="141"/>
      <c r="V106" s="108"/>
      <c r="W106" s="142">
        <f t="shared" si="11"/>
        <v>0.31697028882575751</v>
      </c>
      <c r="X106" s="108">
        <f>IFERROR(_xlfn.XLOOKUP($A106,Input_Raw!$A:$A,Input_Raw!$CP:$CP)*1000,"")</f>
        <v>535553</v>
      </c>
      <c r="Y106" s="108">
        <f>IFERROR(_xlfn.XLOOKUP($A106,Input_Raw!$A:$A,Input_Raw!DJ:DJ)*1000,"")</f>
        <v>535553</v>
      </c>
      <c r="Z106" s="108">
        <f>IFERROR(_xlfn.XLOOKUP($A106,Input_Raw!$A:$A,Input_Raw!DK:DK)*1000,"")</f>
        <v>0</v>
      </c>
      <c r="AA106" s="138">
        <f t="shared" si="12"/>
        <v>535553</v>
      </c>
      <c r="AB106" s="108">
        <f>IFERROR(_xlfn.XLOOKUP($A106,Input_Raw!$A:$A,Input_Raw!$DR:$DR),"")</f>
        <v>70.400000000000006</v>
      </c>
      <c r="AC106" s="143">
        <f>IFERROR(_xlfn.XLOOKUP($D106,'Modelling New'!$D:$D,'Modelling New'!$J:$J),"")</f>
        <v>9.8233333333333324</v>
      </c>
      <c r="AD106" s="138">
        <f>IFERROR(_xlfn.XLOOKUP($D106,'Modelling New'!$D:$D,'Modelling New'!$T:$T)*1000,"")</f>
        <v>904894.00217495637</v>
      </c>
      <c r="AE106" s="142"/>
      <c r="AF106" s="142">
        <f>IFERROR(_xlfn.XLOOKUP($D106,'Modelling New'!$D:$D,'Modelling New'!$W:$W),"")</f>
        <v>0.53556699939332175</v>
      </c>
      <c r="AG106" s="142">
        <f>IFERROR(_xlfn.XLOOKUP($D106,'Modelling New'!$D:$D,'Modelling New'!$AE:$AE),"")</f>
        <v>0.96029999999999993</v>
      </c>
      <c r="AH106" s="142">
        <f>IFERROR(_xlfn.XLOOKUP($D106,'Modelling New'!$D:$D,'Modelling New'!$AF:$AF),"")</f>
        <v>0.995</v>
      </c>
      <c r="AI106" s="109">
        <f>IFERROR(_xlfn.XLOOKUP($A106,Input_Raw!$A:$A,Input_Raw!$DP:$DP),"")</f>
        <v>489.06</v>
      </c>
      <c r="AJ106" s="108"/>
      <c r="AK106" s="108"/>
      <c r="AL106" s="108"/>
      <c r="AM106" s="108"/>
      <c r="AN106" s="132">
        <f>IFERROR(_xlfn.XLOOKUP($A106,Input_Raw!$A:$A,Input_Raw!$DL:$DL),"")</f>
        <v>0</v>
      </c>
      <c r="AO106" s="142">
        <f>IFERROR((_xlfn.XLOOKUP($A106,'WTG Reactive Power'!$A:$A,'WTG Reactive Power'!$AW:$AW))/X106,"")</f>
        <v>1.9371638350141509E-4</v>
      </c>
      <c r="AP106" s="142">
        <f>IFERROR(_xlfn.XLOOKUP($D106,'Modelling New'!$D:$D,'Modelling New'!$AK:$AK),"")</f>
        <v>0.05</v>
      </c>
      <c r="AQ106" s="142">
        <f>IFERROR(_xlfn.XLOOKUP($D106,'Modelling New'!$D:$D,'Modelling New'!$AL:$AL),"")</f>
        <v>0.05</v>
      </c>
      <c r="AR106" s="198">
        <f>IFERROR(_xlfn.XLOOKUP($D106,'Modelling New'!$D:$D,'Modelling New'!$N:$N),"")</f>
        <v>70.400000000000006</v>
      </c>
      <c r="AS106" s="198"/>
    </row>
    <row r="107" spans="1:45">
      <c r="A107" s="137">
        <f t="shared" si="13"/>
        <v>45850</v>
      </c>
      <c r="B107" s="138">
        <f>YEAR(Daily_KPI[[#This Row],[Date]])+IF(MONTH(Daily_KPI[[#This Row],[Date]])&gt;=4,1,0)</f>
        <v>2026</v>
      </c>
      <c r="C107" s="108">
        <f>YEAR(Daily_KPI[[#This Row],[Date]])</f>
        <v>2025</v>
      </c>
      <c r="D107" s="139">
        <f>Daily_KPI[[#This Row],[Date]]-DAY(Daily_KPI[[#This Row],[Date]])+1</f>
        <v>45839</v>
      </c>
      <c r="E107" s="108">
        <f t="shared" si="9"/>
        <v>31</v>
      </c>
      <c r="F107" s="109"/>
      <c r="G107" s="110"/>
      <c r="H107" s="110"/>
      <c r="I107" s="110"/>
      <c r="J107" s="110"/>
      <c r="K107" s="111"/>
      <c r="L107" s="110"/>
      <c r="M107" s="110">
        <f>IFERROR(_xlfn.XLOOKUP($A107,Input_Raw!$A:$A,Input_Raw!$CQ:$CQ),"")</f>
        <v>7.510909090909089</v>
      </c>
      <c r="N107" s="110">
        <f>IFERROR(_xlfn.XLOOKUP($A107,Input_Raw!$A:$A,Input_Raw!$CR:$CR),"")</f>
        <v>9.09</v>
      </c>
      <c r="O107" s="141">
        <f t="shared" si="10"/>
        <v>0.99789742779588964</v>
      </c>
      <c r="P107" s="141">
        <f>IFERROR(1-SUMIF(WTG_BD!$F:$F,$A107,WTG_BD!$AA:$AA)/($AA107+SUMIF(WTG_BD!$F:$F,$A107,WTG_BD!$AA:$AA)),"")</f>
        <v>0.99789742779588964</v>
      </c>
      <c r="Q107" s="141">
        <f>IFERROR(1-SUMIF(IGA_BD!$F:$F,$A107,IGA_BD!$W:$W)/($AA107+SUMIF(IGA_BD!$F:$F,$A107,IGA_BD!$W:$W)),"")</f>
        <v>1</v>
      </c>
      <c r="R107" s="141">
        <f>IFERROR(1-SUMIF(Grid_BD!$F:$F,$A107,Grid_BD!$Y:$Y)/($AA107+SUMIF(Grid_BD!$F:$F,$A107,Grid_BD!$Y:$Y)),"")</f>
        <v>1</v>
      </c>
      <c r="S107" s="108"/>
      <c r="T107" s="140"/>
      <c r="U107" s="141"/>
      <c r="V107" s="108"/>
      <c r="W107" s="142">
        <f t="shared" si="11"/>
        <v>0.41123697916666663</v>
      </c>
      <c r="X107" s="108">
        <f>IFERROR(_xlfn.XLOOKUP($A107,Input_Raw!$A:$A,Input_Raw!$CP:$CP)*1000,"")</f>
        <v>694826</v>
      </c>
      <c r="Y107" s="108">
        <f>IFERROR(_xlfn.XLOOKUP($A107,Input_Raw!$A:$A,Input_Raw!DJ:DJ)*1000,"")</f>
        <v>694826</v>
      </c>
      <c r="Z107" s="108">
        <f>IFERROR(_xlfn.XLOOKUP($A107,Input_Raw!$A:$A,Input_Raw!DK:DK)*1000,"")</f>
        <v>0</v>
      </c>
      <c r="AA107" s="138">
        <f t="shared" si="12"/>
        <v>694826</v>
      </c>
      <c r="AB107" s="108">
        <f>IFERROR(_xlfn.XLOOKUP($A107,Input_Raw!$A:$A,Input_Raw!$DR:$DR),"")</f>
        <v>70.400000000000006</v>
      </c>
      <c r="AC107" s="143">
        <f>IFERROR(_xlfn.XLOOKUP($D107,'Modelling New'!$D:$D,'Modelling New'!$J:$J),"")</f>
        <v>9.8233333333333324</v>
      </c>
      <c r="AD107" s="138">
        <f>IFERROR(_xlfn.XLOOKUP($D107,'Modelling New'!$D:$D,'Modelling New'!$T:$T)*1000,"")</f>
        <v>904894.00217495637</v>
      </c>
      <c r="AE107" s="142"/>
      <c r="AF107" s="142">
        <f>IFERROR(_xlfn.XLOOKUP($D107,'Modelling New'!$D:$D,'Modelling New'!$W:$W),"")</f>
        <v>0.53556699939332175</v>
      </c>
      <c r="AG107" s="142">
        <f>IFERROR(_xlfn.XLOOKUP($D107,'Modelling New'!$D:$D,'Modelling New'!$AE:$AE),"")</f>
        <v>0.96029999999999993</v>
      </c>
      <c r="AH107" s="142">
        <f>IFERROR(_xlfn.XLOOKUP($D107,'Modelling New'!$D:$D,'Modelling New'!$AF:$AF),"")</f>
        <v>0.995</v>
      </c>
      <c r="AI107" s="109">
        <f>IFERROR(_xlfn.XLOOKUP($A107,Input_Raw!$A:$A,Input_Raw!$DP:$DP),"")</f>
        <v>637.99</v>
      </c>
      <c r="AJ107" s="108"/>
      <c r="AK107" s="108"/>
      <c r="AL107" s="108"/>
      <c r="AM107" s="108"/>
      <c r="AN107" s="132">
        <f>IFERROR(_xlfn.XLOOKUP($A107,Input_Raw!$A:$A,Input_Raw!$DL:$DL),"")</f>
        <v>0</v>
      </c>
      <c r="AO107" s="142">
        <f>IFERROR((_xlfn.XLOOKUP($A107,'WTG Reactive Power'!$A:$A,'WTG Reactive Power'!$AW:$AW))/X107,"")</f>
        <v>1.4748992361636817E-4</v>
      </c>
      <c r="AP107" s="142">
        <f>IFERROR(_xlfn.XLOOKUP($D107,'Modelling New'!$D:$D,'Modelling New'!$AK:$AK),"")</f>
        <v>0.05</v>
      </c>
      <c r="AQ107" s="142">
        <f>IFERROR(_xlfn.XLOOKUP($D107,'Modelling New'!$D:$D,'Modelling New'!$AL:$AL),"")</f>
        <v>0.05</v>
      </c>
      <c r="AR107" s="198">
        <f>IFERROR(_xlfn.XLOOKUP($D107,'Modelling New'!$D:$D,'Modelling New'!$N:$N),"")</f>
        <v>70.400000000000006</v>
      </c>
      <c r="AS107" s="198"/>
    </row>
    <row r="108" spans="1:45">
      <c r="A108" s="137">
        <f t="shared" si="13"/>
        <v>45851</v>
      </c>
      <c r="B108" s="138">
        <f>YEAR(Daily_KPI[[#This Row],[Date]])+IF(MONTH(Daily_KPI[[#This Row],[Date]])&gt;=4,1,0)</f>
        <v>2026</v>
      </c>
      <c r="C108" s="108">
        <f>YEAR(Daily_KPI[[#This Row],[Date]])</f>
        <v>2025</v>
      </c>
      <c r="D108" s="139">
        <f>Daily_KPI[[#This Row],[Date]]-DAY(Daily_KPI[[#This Row],[Date]])+1</f>
        <v>45839</v>
      </c>
      <c r="E108" s="108">
        <f t="shared" si="9"/>
        <v>31</v>
      </c>
      <c r="F108" s="109"/>
      <c r="G108" s="143"/>
      <c r="H108" s="143"/>
      <c r="I108" s="143"/>
      <c r="J108" s="143"/>
      <c r="K108" s="111"/>
      <c r="L108" s="110"/>
      <c r="M108" s="110">
        <f>IFERROR(_xlfn.XLOOKUP($A108,Input_Raw!$A:$A,Input_Raw!$CQ:$CQ),"")</f>
        <v>8.043181818181818</v>
      </c>
      <c r="N108" s="110">
        <f>IFERROR(_xlfn.XLOOKUP($A108,Input_Raw!$A:$A,Input_Raw!$CR:$CR),"")</f>
        <v>10.06</v>
      </c>
      <c r="O108" s="141">
        <f t="shared" si="10"/>
        <v>0.99222448285531883</v>
      </c>
      <c r="P108" s="141">
        <f>IFERROR(1-SUMIF(WTG_BD!$F:$F,$A108,WTG_BD!$AA:$AA)/($AA108+SUMIF(WTG_BD!$F:$F,$A108,WTG_BD!$AA:$AA)),"")</f>
        <v>0.99222448285531883</v>
      </c>
      <c r="Q108" s="141">
        <f>IFERROR(1-SUMIF(IGA_BD!$F:$F,$A108,IGA_BD!$W:$W)/($AA108+SUMIF(IGA_BD!$F:$F,$A108,IGA_BD!$W:$W)),"")</f>
        <v>1</v>
      </c>
      <c r="R108" s="141">
        <f>IFERROR(1-SUMIF(Grid_BD!$F:$F,$A108,Grid_BD!$Y:$Y)/($AA108+SUMIF(Grid_BD!$F:$F,$A108,Grid_BD!$Y:$Y)),"")</f>
        <v>1</v>
      </c>
      <c r="S108" s="108"/>
      <c r="T108" s="140"/>
      <c r="U108" s="141"/>
      <c r="V108" s="108"/>
      <c r="W108" s="142">
        <f t="shared" si="11"/>
        <v>0.49212772253787873</v>
      </c>
      <c r="X108" s="108">
        <f>IFERROR(_xlfn.XLOOKUP($A108,Input_Raw!$A:$A,Input_Raw!$CP:$CP)*1000,"")</f>
        <v>831499</v>
      </c>
      <c r="Y108" s="108">
        <f>IFERROR(_xlfn.XLOOKUP($A108,Input_Raw!$A:$A,Input_Raw!DJ:DJ)*1000,"")</f>
        <v>831499</v>
      </c>
      <c r="Z108" s="108">
        <f>IFERROR(_xlfn.XLOOKUP($A108,Input_Raw!$A:$A,Input_Raw!DK:DK)*1000,"")</f>
        <v>0</v>
      </c>
      <c r="AA108" s="138">
        <f t="shared" si="12"/>
        <v>831499</v>
      </c>
      <c r="AB108" s="108">
        <f>IFERROR(_xlfn.XLOOKUP($A108,Input_Raw!$A:$A,Input_Raw!$DR:$DR),"")</f>
        <v>70.400000000000006</v>
      </c>
      <c r="AC108" s="143">
        <f>IFERROR(_xlfn.XLOOKUP($D108,'Modelling New'!$D:$D,'Modelling New'!$J:$J),"")</f>
        <v>9.8233333333333324</v>
      </c>
      <c r="AD108" s="138">
        <f>IFERROR(_xlfn.XLOOKUP($D108,'Modelling New'!$D:$D,'Modelling New'!$T:$T)*1000,"")</f>
        <v>904894.00217495637</v>
      </c>
      <c r="AE108" s="142"/>
      <c r="AF108" s="142">
        <f>IFERROR(_xlfn.XLOOKUP($D108,'Modelling New'!$D:$D,'Modelling New'!$W:$W),"")</f>
        <v>0.53556699939332175</v>
      </c>
      <c r="AG108" s="142">
        <f>IFERROR(_xlfn.XLOOKUP($D108,'Modelling New'!$D:$D,'Modelling New'!$AE:$AE),"")</f>
        <v>0.96029999999999993</v>
      </c>
      <c r="AH108" s="142">
        <f>IFERROR(_xlfn.XLOOKUP($D108,'Modelling New'!$D:$D,'Modelling New'!$AF:$AF),"")</f>
        <v>0.995</v>
      </c>
      <c r="AI108" s="109">
        <f>IFERROR(_xlfn.XLOOKUP($A108,Input_Raw!$A:$A,Input_Raw!$DP:$DP),"")</f>
        <v>774.94</v>
      </c>
      <c r="AJ108" s="108"/>
      <c r="AK108" s="108"/>
      <c r="AL108" s="108"/>
      <c r="AM108" s="108"/>
      <c r="AN108" s="132">
        <f>IFERROR(_xlfn.XLOOKUP($A108,Input_Raw!$A:$A,Input_Raw!$DL:$DL),"")</f>
        <v>0</v>
      </c>
      <c r="AO108" s="142">
        <f>IFERROR((_xlfn.XLOOKUP($A108,'WTG Reactive Power'!$A:$A,'WTG Reactive Power'!$AW:$AW))/X108,"")</f>
        <v>2.0047302321870908E-4</v>
      </c>
      <c r="AP108" s="142">
        <f>IFERROR(_xlfn.XLOOKUP($D108,'Modelling New'!$D:$D,'Modelling New'!$AK:$AK),"")</f>
        <v>0.05</v>
      </c>
      <c r="AQ108" s="142">
        <f>IFERROR(_xlfn.XLOOKUP($D108,'Modelling New'!$D:$D,'Modelling New'!$AL:$AL),"")</f>
        <v>0.05</v>
      </c>
      <c r="AR108" s="198">
        <f>IFERROR(_xlfn.XLOOKUP($D108,'Modelling New'!$D:$D,'Modelling New'!$N:$N),"")</f>
        <v>70.400000000000006</v>
      </c>
      <c r="AS108" s="198"/>
    </row>
    <row r="109" spans="1:45">
      <c r="A109" s="137">
        <f t="shared" si="13"/>
        <v>45852</v>
      </c>
      <c r="B109" s="138">
        <f>YEAR(Daily_KPI[[#This Row],[Date]])+IF(MONTH(Daily_KPI[[#This Row],[Date]])&gt;=4,1,0)</f>
        <v>2026</v>
      </c>
      <c r="C109" s="108">
        <f>YEAR(Daily_KPI[[#This Row],[Date]])</f>
        <v>2025</v>
      </c>
      <c r="D109" s="139">
        <f>Daily_KPI[[#This Row],[Date]]-DAY(Daily_KPI[[#This Row],[Date]])+1</f>
        <v>45839</v>
      </c>
      <c r="E109" s="108">
        <f t="shared" si="9"/>
        <v>31</v>
      </c>
      <c r="F109" s="109"/>
      <c r="G109" s="110"/>
      <c r="H109" s="110"/>
      <c r="I109" s="110"/>
      <c r="J109" s="110"/>
      <c r="K109" s="111"/>
      <c r="L109" s="110"/>
      <c r="M109" s="110">
        <f>IFERROR(_xlfn.XLOOKUP($A109,Input_Raw!$A:$A,Input_Raw!$CQ:$CQ),"")</f>
        <v>9.3120454545454532</v>
      </c>
      <c r="N109" s="110">
        <f>IFERROR(_xlfn.XLOOKUP($A109,Input_Raw!$A:$A,Input_Raw!$CR:$CR),"")</f>
        <v>11.75</v>
      </c>
      <c r="O109" s="141">
        <f t="shared" si="10"/>
        <v>0.99989464775476811</v>
      </c>
      <c r="P109" s="141">
        <f>IFERROR(1-SUMIF(WTG_BD!$F:$F,$A109,WTG_BD!$AA:$AA)/($AA109+SUMIF(WTG_BD!$F:$F,$A109,WTG_BD!$AA:$AA)),"")</f>
        <v>0.99989464775476811</v>
      </c>
      <c r="Q109" s="141">
        <f>IFERROR(1-SUMIF(IGA_BD!$F:$F,$A109,IGA_BD!$W:$W)/($AA109+SUMIF(IGA_BD!$F:$F,$A109,IGA_BD!$W:$W)),"")</f>
        <v>1</v>
      </c>
      <c r="R109" s="141">
        <f>IFERROR(1-SUMIF(Grid_BD!$F:$F,$A109,Grid_BD!$Y:$Y)/($AA109+SUMIF(Grid_BD!$F:$F,$A109,Grid_BD!$Y:$Y)),"")</f>
        <v>1</v>
      </c>
      <c r="S109" s="108"/>
      <c r="T109" s="140"/>
      <c r="U109" s="141"/>
      <c r="V109" s="108"/>
      <c r="W109" s="142">
        <f t="shared" si="11"/>
        <v>0.67407433712121201</v>
      </c>
      <c r="X109" s="108">
        <f>IFERROR(_xlfn.XLOOKUP($A109,Input_Raw!$A:$A,Input_Raw!$CP:$CP)*1000,"")</f>
        <v>1138916</v>
      </c>
      <c r="Y109" s="108">
        <f>IFERROR(_xlfn.XLOOKUP($A109,Input_Raw!$A:$A,Input_Raw!DJ:DJ)*1000,"")</f>
        <v>1138916.0000000002</v>
      </c>
      <c r="Z109" s="108">
        <f>IFERROR(_xlfn.XLOOKUP($A109,Input_Raw!$A:$A,Input_Raw!DK:DK)*1000,"")</f>
        <v>0</v>
      </c>
      <c r="AA109" s="138">
        <f t="shared" si="12"/>
        <v>1138916.0000000002</v>
      </c>
      <c r="AB109" s="108">
        <f>IFERROR(_xlfn.XLOOKUP($A109,Input_Raw!$A:$A,Input_Raw!$DR:$DR),"")</f>
        <v>70.400000000000006</v>
      </c>
      <c r="AC109" s="143">
        <f>IFERROR(_xlfn.XLOOKUP($D109,'Modelling New'!$D:$D,'Modelling New'!$J:$J),"")</f>
        <v>9.8233333333333324</v>
      </c>
      <c r="AD109" s="138">
        <f>IFERROR(_xlfn.XLOOKUP($D109,'Modelling New'!$D:$D,'Modelling New'!$T:$T)*1000,"")</f>
        <v>904894.00217495637</v>
      </c>
      <c r="AE109" s="142"/>
      <c r="AF109" s="142">
        <f>IFERROR(_xlfn.XLOOKUP($D109,'Modelling New'!$D:$D,'Modelling New'!$W:$W),"")</f>
        <v>0.53556699939332175</v>
      </c>
      <c r="AG109" s="142">
        <f>IFERROR(_xlfn.XLOOKUP($D109,'Modelling New'!$D:$D,'Modelling New'!$AE:$AE),"")</f>
        <v>0.96029999999999993</v>
      </c>
      <c r="AH109" s="142">
        <f>IFERROR(_xlfn.XLOOKUP($D109,'Modelling New'!$D:$D,'Modelling New'!$AF:$AF),"")</f>
        <v>0.995</v>
      </c>
      <c r="AI109" s="109">
        <f>IFERROR(_xlfn.XLOOKUP($A109,Input_Raw!$A:$A,Input_Raw!$DP:$DP),"")</f>
        <v>1097.81</v>
      </c>
      <c r="AJ109" s="108"/>
      <c r="AK109" s="108"/>
      <c r="AL109" s="108"/>
      <c r="AM109" s="108"/>
      <c r="AN109" s="132">
        <f>IFERROR(_xlfn.XLOOKUP($A109,Input_Raw!$A:$A,Input_Raw!$DL:$DL),"")</f>
        <v>2.2204460492503131E-16</v>
      </c>
      <c r="AO109" s="142">
        <f>IFERROR((_xlfn.XLOOKUP($A109,'WTG Reactive Power'!$A:$A,'WTG Reactive Power'!$AW:$AW))/X109,"")</f>
        <v>1.9351331353673138E-4</v>
      </c>
      <c r="AP109" s="142">
        <f>IFERROR(_xlfn.XLOOKUP($D109,'Modelling New'!$D:$D,'Modelling New'!$AK:$AK),"")</f>
        <v>0.05</v>
      </c>
      <c r="AQ109" s="142">
        <f>IFERROR(_xlfn.XLOOKUP($D109,'Modelling New'!$D:$D,'Modelling New'!$AL:$AL),"")</f>
        <v>0.05</v>
      </c>
      <c r="AR109" s="198">
        <f>IFERROR(_xlfn.XLOOKUP($D109,'Modelling New'!$D:$D,'Modelling New'!$N:$N),"")</f>
        <v>70.400000000000006</v>
      </c>
      <c r="AS109" s="198"/>
    </row>
    <row r="110" spans="1:45">
      <c r="A110" s="137">
        <f t="shared" si="13"/>
        <v>45853</v>
      </c>
      <c r="B110" s="138">
        <f>YEAR(Daily_KPI[[#This Row],[Date]])+IF(MONTH(Daily_KPI[[#This Row],[Date]])&gt;=4,1,0)</f>
        <v>2026</v>
      </c>
      <c r="C110" s="108">
        <f>YEAR(Daily_KPI[[#This Row],[Date]])</f>
        <v>2025</v>
      </c>
      <c r="D110" s="139">
        <f>Daily_KPI[[#This Row],[Date]]-DAY(Daily_KPI[[#This Row],[Date]])+1</f>
        <v>45839</v>
      </c>
      <c r="E110" s="108">
        <f t="shared" si="9"/>
        <v>31</v>
      </c>
      <c r="F110" s="109"/>
      <c r="G110" s="143"/>
      <c r="H110" s="143"/>
      <c r="I110" s="143"/>
      <c r="J110" s="143"/>
      <c r="K110" s="111"/>
      <c r="L110" s="110"/>
      <c r="M110" s="110">
        <f>IFERROR(_xlfn.XLOOKUP($A110,Input_Raw!$A:$A,Input_Raw!$CQ:$CQ),"")</f>
        <v>8.5631818181818193</v>
      </c>
      <c r="N110" s="110">
        <f>IFERROR(_xlfn.XLOOKUP($A110,Input_Raw!$A:$A,Input_Raw!$CR:$CR),"")</f>
        <v>10.9</v>
      </c>
      <c r="O110" s="141">
        <f t="shared" si="10"/>
        <v>0.99291139614767698</v>
      </c>
      <c r="P110" s="141">
        <f>IFERROR(1-SUMIF(WTG_BD!$F:$F,$A110,WTG_BD!$AA:$AA)/($AA110+SUMIF(WTG_BD!$F:$F,$A110,WTG_BD!$AA:$AA)),"")</f>
        <v>0.99291139614767698</v>
      </c>
      <c r="Q110" s="141">
        <f>IFERROR(1-SUMIF(IGA_BD!$F:$F,$A110,IGA_BD!$W:$W)/($AA110+SUMIF(IGA_BD!$F:$F,$A110,IGA_BD!$W:$W)),"")</f>
        <v>1</v>
      </c>
      <c r="R110" s="141">
        <f>IFERROR(1-SUMIF(Grid_BD!$F:$F,$A110,Grid_BD!$Y:$Y)/($AA110+SUMIF(Grid_BD!$F:$F,$A110,Grid_BD!$Y:$Y)),"")</f>
        <v>1</v>
      </c>
      <c r="S110" s="108"/>
      <c r="T110" s="140"/>
      <c r="U110" s="141"/>
      <c r="V110" s="108"/>
      <c r="W110" s="142">
        <f t="shared" si="11"/>
        <v>0.55652225378787867</v>
      </c>
      <c r="X110" s="108">
        <f>IFERROR(_xlfn.XLOOKUP($A110,Input_Raw!$A:$A,Input_Raw!$CP:$CP)*1000,"")</f>
        <v>940300</v>
      </c>
      <c r="Y110" s="108">
        <f>IFERROR(_xlfn.XLOOKUP($A110,Input_Raw!$A:$A,Input_Raw!DJ:DJ)*1000,"")</f>
        <v>940300.00000000023</v>
      </c>
      <c r="Z110" s="108">
        <f>IFERROR(_xlfn.XLOOKUP($A110,Input_Raw!$A:$A,Input_Raw!DK:DK)*1000,"")</f>
        <v>0</v>
      </c>
      <c r="AA110" s="138">
        <f t="shared" si="12"/>
        <v>940300.00000000023</v>
      </c>
      <c r="AB110" s="108">
        <f>IFERROR(_xlfn.XLOOKUP($A110,Input_Raw!$A:$A,Input_Raw!$DR:$DR),"")</f>
        <v>70.400000000000006</v>
      </c>
      <c r="AC110" s="143">
        <f>IFERROR(_xlfn.XLOOKUP($D110,'Modelling New'!$D:$D,'Modelling New'!$J:$J),"")</f>
        <v>9.8233333333333324</v>
      </c>
      <c r="AD110" s="138">
        <f>IFERROR(_xlfn.XLOOKUP($D110,'Modelling New'!$D:$D,'Modelling New'!$T:$T)*1000,"")</f>
        <v>904894.00217495637</v>
      </c>
      <c r="AE110" s="142"/>
      <c r="AF110" s="142">
        <f>IFERROR(_xlfn.XLOOKUP($D110,'Modelling New'!$D:$D,'Modelling New'!$W:$W),"")</f>
        <v>0.53556699939332175</v>
      </c>
      <c r="AG110" s="142">
        <f>IFERROR(_xlfn.XLOOKUP($D110,'Modelling New'!$D:$D,'Modelling New'!$AE:$AE),"")</f>
        <v>0.96029999999999993</v>
      </c>
      <c r="AH110" s="142">
        <f>IFERROR(_xlfn.XLOOKUP($D110,'Modelling New'!$D:$D,'Modelling New'!$AF:$AF),"")</f>
        <v>0.995</v>
      </c>
      <c r="AI110" s="109">
        <f>IFERROR(_xlfn.XLOOKUP($A110,Input_Raw!$A:$A,Input_Raw!$DP:$DP),"")</f>
        <v>908.66</v>
      </c>
      <c r="AJ110" s="108"/>
      <c r="AK110" s="108"/>
      <c r="AL110" s="108"/>
      <c r="AM110" s="108"/>
      <c r="AN110" s="132">
        <f>IFERROR(_xlfn.XLOOKUP($A110,Input_Raw!$A:$A,Input_Raw!$DL:$DL),"")</f>
        <v>2.2204460492503131E-16</v>
      </c>
      <c r="AO110" s="142">
        <f>IFERROR((_xlfn.XLOOKUP($A110,'WTG Reactive Power'!$A:$A,'WTG Reactive Power'!$AW:$AW))/X110,"")</f>
        <v>2.012106643269879E-4</v>
      </c>
      <c r="AP110" s="142">
        <f>IFERROR(_xlfn.XLOOKUP($D110,'Modelling New'!$D:$D,'Modelling New'!$AK:$AK),"")</f>
        <v>0.05</v>
      </c>
      <c r="AQ110" s="142">
        <f>IFERROR(_xlfn.XLOOKUP($D110,'Modelling New'!$D:$D,'Modelling New'!$AL:$AL),"")</f>
        <v>0.05</v>
      </c>
      <c r="AR110" s="198">
        <f>IFERROR(_xlfn.XLOOKUP($D110,'Modelling New'!$D:$D,'Modelling New'!$N:$N),"")</f>
        <v>70.400000000000006</v>
      </c>
      <c r="AS110" s="198"/>
    </row>
    <row r="111" spans="1:45">
      <c r="A111" s="137">
        <f t="shared" si="13"/>
        <v>45854</v>
      </c>
      <c r="B111" s="138">
        <f>YEAR(Daily_KPI[[#This Row],[Date]])+IF(MONTH(Daily_KPI[[#This Row],[Date]])&gt;=4,1,0)</f>
        <v>2026</v>
      </c>
      <c r="C111" s="108">
        <f>YEAR(Daily_KPI[[#This Row],[Date]])</f>
        <v>2025</v>
      </c>
      <c r="D111" s="139">
        <f>Daily_KPI[[#This Row],[Date]]-DAY(Daily_KPI[[#This Row],[Date]])+1</f>
        <v>45839</v>
      </c>
      <c r="E111" s="108">
        <f t="shared" si="9"/>
        <v>31</v>
      </c>
      <c r="F111" s="109"/>
      <c r="G111" s="110"/>
      <c r="H111" s="110"/>
      <c r="I111" s="110"/>
      <c r="J111" s="110"/>
      <c r="K111" s="111"/>
      <c r="L111" s="110"/>
      <c r="M111" s="110">
        <f>IFERROR(_xlfn.XLOOKUP($A111,Input_Raw!$A:$A,Input_Raw!$CQ:$CQ),"")</f>
        <v>7.1997727272727268</v>
      </c>
      <c r="N111" s="110">
        <f>IFERROR(_xlfn.XLOOKUP($A111,Input_Raw!$A:$A,Input_Raw!$CR:$CR),"")</f>
        <v>8.94</v>
      </c>
      <c r="O111" s="141">
        <f t="shared" si="10"/>
        <v>0.99839590476403506</v>
      </c>
      <c r="P111" s="141">
        <f>IFERROR(1-SUMIF(WTG_BD!$F:$F,$A111,WTG_BD!$AA:$AA)/($AA111+SUMIF(WTG_BD!$F:$F,$A111,WTG_BD!$AA:$AA)),"")</f>
        <v>0.99839590476403506</v>
      </c>
      <c r="Q111" s="141">
        <f>IFERROR(1-SUMIF(IGA_BD!$F:$F,$A111,IGA_BD!$W:$W)/($AA111+SUMIF(IGA_BD!$F:$F,$A111,IGA_BD!$W:$W)),"")</f>
        <v>1</v>
      </c>
      <c r="R111" s="141">
        <f>IFERROR(1-SUMIF(Grid_BD!$F:$F,$A111,Grid_BD!$Y:$Y)/($AA111+SUMIF(Grid_BD!$F:$F,$A111,Grid_BD!$Y:$Y)),"")</f>
        <v>1</v>
      </c>
      <c r="S111" s="108"/>
      <c r="T111" s="140"/>
      <c r="U111" s="141"/>
      <c r="V111" s="108"/>
      <c r="W111" s="142">
        <f t="shared" si="11"/>
        <v>0.3698473011363636</v>
      </c>
      <c r="X111" s="108">
        <f>IFERROR(_xlfn.XLOOKUP($A111,Input_Raw!$A:$A,Input_Raw!$CP:$CP)*1000,"")</f>
        <v>624894</v>
      </c>
      <c r="Y111" s="108">
        <f>IFERROR(_xlfn.XLOOKUP($A111,Input_Raw!$A:$A,Input_Raw!DJ:DJ)*1000,"")</f>
        <v>624894</v>
      </c>
      <c r="Z111" s="108">
        <f>IFERROR(_xlfn.XLOOKUP($A111,Input_Raw!$A:$A,Input_Raw!DK:DK)*1000,"")</f>
        <v>0</v>
      </c>
      <c r="AA111" s="138">
        <f t="shared" si="12"/>
        <v>624894</v>
      </c>
      <c r="AB111" s="108">
        <f>IFERROR(_xlfn.XLOOKUP($A111,Input_Raw!$A:$A,Input_Raw!$DR:$DR),"")</f>
        <v>70.400000000000006</v>
      </c>
      <c r="AC111" s="143">
        <f>IFERROR(_xlfn.XLOOKUP($D111,'Modelling New'!$D:$D,'Modelling New'!$J:$J),"")</f>
        <v>9.8233333333333324</v>
      </c>
      <c r="AD111" s="138">
        <f>IFERROR(_xlfn.XLOOKUP($D111,'Modelling New'!$D:$D,'Modelling New'!$T:$T)*1000,"")</f>
        <v>904894.00217495637</v>
      </c>
      <c r="AE111" s="142"/>
      <c r="AF111" s="142">
        <f>IFERROR(_xlfn.XLOOKUP($D111,'Modelling New'!$D:$D,'Modelling New'!$W:$W),"")</f>
        <v>0.53556699939332175</v>
      </c>
      <c r="AG111" s="142">
        <f>IFERROR(_xlfn.XLOOKUP($D111,'Modelling New'!$D:$D,'Modelling New'!$AE:$AE),"")</f>
        <v>0.96029999999999993</v>
      </c>
      <c r="AH111" s="142">
        <f>IFERROR(_xlfn.XLOOKUP($D111,'Modelling New'!$D:$D,'Modelling New'!$AF:$AF),"")</f>
        <v>0.995</v>
      </c>
      <c r="AI111" s="109">
        <f>IFERROR(_xlfn.XLOOKUP($A111,Input_Raw!$A:$A,Input_Raw!$DP:$DP),"")</f>
        <v>573.70000000000005</v>
      </c>
      <c r="AJ111" s="108"/>
      <c r="AK111" s="108"/>
      <c r="AL111" s="108"/>
      <c r="AM111" s="108"/>
      <c r="AN111" s="132">
        <f>IFERROR(_xlfn.XLOOKUP($A111,Input_Raw!$A:$A,Input_Raw!$DL:$DL),"")</f>
        <v>0</v>
      </c>
      <c r="AO111" s="142">
        <f>IFERROR((_xlfn.XLOOKUP($A111,'WTG Reactive Power'!$A:$A,'WTG Reactive Power'!$AW:$AW))/X111,"")</f>
        <v>1.9566968211141942E-4</v>
      </c>
      <c r="AP111" s="142">
        <f>IFERROR(_xlfn.XLOOKUP($D111,'Modelling New'!$D:$D,'Modelling New'!$AK:$AK),"")</f>
        <v>0.05</v>
      </c>
      <c r="AQ111" s="142">
        <f>IFERROR(_xlfn.XLOOKUP($D111,'Modelling New'!$D:$D,'Modelling New'!$AL:$AL),"")</f>
        <v>0.05</v>
      </c>
      <c r="AR111" s="198">
        <f>IFERROR(_xlfn.XLOOKUP($D111,'Modelling New'!$D:$D,'Modelling New'!$N:$N),"")</f>
        <v>70.400000000000006</v>
      </c>
      <c r="AS111" s="198"/>
    </row>
    <row r="112" spans="1:45">
      <c r="A112" s="137">
        <f t="shared" si="13"/>
        <v>45855</v>
      </c>
      <c r="B112" s="138">
        <f>YEAR(Daily_KPI[[#This Row],[Date]])+IF(MONTH(Daily_KPI[[#This Row],[Date]])&gt;=4,1,0)</f>
        <v>2026</v>
      </c>
      <c r="C112" s="108">
        <f>YEAR(Daily_KPI[[#This Row],[Date]])</f>
        <v>2025</v>
      </c>
      <c r="D112" s="139">
        <f>Daily_KPI[[#This Row],[Date]]-DAY(Daily_KPI[[#This Row],[Date]])+1</f>
        <v>45839</v>
      </c>
      <c r="E112" s="108">
        <f t="shared" si="9"/>
        <v>31</v>
      </c>
      <c r="F112" s="109"/>
      <c r="G112" s="143"/>
      <c r="H112" s="143"/>
      <c r="I112" s="143"/>
      <c r="J112" s="143"/>
      <c r="K112" s="111"/>
      <c r="L112" s="110"/>
      <c r="M112" s="110">
        <f>IFERROR(_xlfn.XLOOKUP($A112,Input_Raw!$A:$A,Input_Raw!$CQ:$CQ),"")</f>
        <v>5.8559090909090905</v>
      </c>
      <c r="N112" s="110">
        <f>IFERROR(_xlfn.XLOOKUP($A112,Input_Raw!$A:$A,Input_Raw!$CR:$CR),"")</f>
        <v>7.4</v>
      </c>
      <c r="O112" s="141">
        <f t="shared" si="10"/>
        <v>0.99816216753201603</v>
      </c>
      <c r="P112" s="141">
        <f>IFERROR(1-SUMIF(WTG_BD!$F:$F,$A112,WTG_BD!$AA:$AA)/($AA112+SUMIF(WTG_BD!$F:$F,$A112,WTG_BD!$AA:$AA)),"")</f>
        <v>0.99816216753201603</v>
      </c>
      <c r="Q112" s="141">
        <f>IFERROR(1-SUMIF(IGA_BD!$F:$F,$A112,IGA_BD!$W:$W)/($AA112+SUMIF(IGA_BD!$F:$F,$A112,IGA_BD!$W:$W)),"")</f>
        <v>1</v>
      </c>
      <c r="R112" s="141">
        <f>IFERROR(1-SUMIF(Grid_BD!$F:$F,$A112,Grid_BD!$Y:$Y)/($AA112+SUMIF(Grid_BD!$F:$F,$A112,Grid_BD!$Y:$Y)),"")</f>
        <v>1</v>
      </c>
      <c r="S112" s="108"/>
      <c r="T112" s="140"/>
      <c r="U112" s="141"/>
      <c r="V112" s="108"/>
      <c r="W112" s="142">
        <f t="shared" si="11"/>
        <v>0.2021910511363636</v>
      </c>
      <c r="X112" s="108">
        <f>IFERROR(_xlfn.XLOOKUP($A112,Input_Raw!$A:$A,Input_Raw!$CP:$CP)*1000,"")</f>
        <v>341622</v>
      </c>
      <c r="Y112" s="108">
        <f>IFERROR(_xlfn.XLOOKUP($A112,Input_Raw!$A:$A,Input_Raw!DJ:DJ)*1000,"")</f>
        <v>341622</v>
      </c>
      <c r="Z112" s="108">
        <f>IFERROR(_xlfn.XLOOKUP($A112,Input_Raw!$A:$A,Input_Raw!DK:DK)*1000,"")</f>
        <v>0</v>
      </c>
      <c r="AA112" s="138">
        <f t="shared" si="12"/>
        <v>341622</v>
      </c>
      <c r="AB112" s="108">
        <f>IFERROR(_xlfn.XLOOKUP($A112,Input_Raw!$A:$A,Input_Raw!$DR:$DR),"")</f>
        <v>70.400000000000006</v>
      </c>
      <c r="AC112" s="143">
        <f>IFERROR(_xlfn.XLOOKUP($D112,'Modelling New'!$D:$D,'Modelling New'!$J:$J),"")</f>
        <v>9.8233333333333324</v>
      </c>
      <c r="AD112" s="138">
        <f>IFERROR(_xlfn.XLOOKUP($D112,'Modelling New'!$D:$D,'Modelling New'!$T:$T)*1000,"")</f>
        <v>904894.00217495637</v>
      </c>
      <c r="AE112" s="142"/>
      <c r="AF112" s="142">
        <f>IFERROR(_xlfn.XLOOKUP($D112,'Modelling New'!$D:$D,'Modelling New'!$W:$W),"")</f>
        <v>0.53556699939332175</v>
      </c>
      <c r="AG112" s="142">
        <f>IFERROR(_xlfn.XLOOKUP($D112,'Modelling New'!$D:$D,'Modelling New'!$AE:$AE),"")</f>
        <v>0.96029999999999993</v>
      </c>
      <c r="AH112" s="142">
        <f>IFERROR(_xlfn.XLOOKUP($D112,'Modelling New'!$D:$D,'Modelling New'!$AF:$AF),"")</f>
        <v>0.995</v>
      </c>
      <c r="AI112" s="109">
        <f>IFERROR(_xlfn.XLOOKUP($A112,Input_Raw!$A:$A,Input_Raw!$DP:$DP),"")</f>
        <v>317.69</v>
      </c>
      <c r="AJ112" s="108"/>
      <c r="AK112" s="108"/>
      <c r="AL112" s="108"/>
      <c r="AM112" s="108"/>
      <c r="AN112" s="132">
        <f>IFERROR(_xlfn.XLOOKUP($A112,Input_Raw!$A:$A,Input_Raw!$DL:$DL),"")</f>
        <v>0</v>
      </c>
      <c r="AO112" s="142">
        <f>IFERROR((_xlfn.XLOOKUP($A112,'WTG Reactive Power'!$A:$A,'WTG Reactive Power'!$AW:$AW))/X112,"")</f>
        <v>1.9977797829179625E-4</v>
      </c>
      <c r="AP112" s="142">
        <f>IFERROR(_xlfn.XLOOKUP($D112,'Modelling New'!$D:$D,'Modelling New'!$AK:$AK),"")</f>
        <v>0.05</v>
      </c>
      <c r="AQ112" s="142">
        <f>IFERROR(_xlfn.XLOOKUP($D112,'Modelling New'!$D:$D,'Modelling New'!$AL:$AL),"")</f>
        <v>0.05</v>
      </c>
      <c r="AR112" s="198">
        <f>IFERROR(_xlfn.XLOOKUP($D112,'Modelling New'!$D:$D,'Modelling New'!$N:$N),"")</f>
        <v>70.400000000000006</v>
      </c>
      <c r="AS112" s="198"/>
    </row>
    <row r="113" spans="1:45">
      <c r="A113" s="137">
        <f t="shared" si="13"/>
        <v>45856</v>
      </c>
      <c r="B113" s="138">
        <f>YEAR(Daily_KPI[[#This Row],[Date]])+IF(MONTH(Daily_KPI[[#This Row],[Date]])&gt;=4,1,0)</f>
        <v>2026</v>
      </c>
      <c r="C113" s="108">
        <f>YEAR(Daily_KPI[[#This Row],[Date]])</f>
        <v>2025</v>
      </c>
      <c r="D113" s="139">
        <f>Daily_KPI[[#This Row],[Date]]-DAY(Daily_KPI[[#This Row],[Date]])+1</f>
        <v>45839</v>
      </c>
      <c r="E113" s="108">
        <f t="shared" si="9"/>
        <v>31</v>
      </c>
      <c r="F113" s="109"/>
      <c r="G113" s="110"/>
      <c r="H113" s="110"/>
      <c r="I113" s="110"/>
      <c r="J113" s="110"/>
      <c r="K113" s="111"/>
      <c r="L113" s="110"/>
      <c r="M113" s="110">
        <f>IFERROR(_xlfn.XLOOKUP($A113,Input_Raw!$A:$A,Input_Raw!$CQ:$CQ),"")</f>
        <v>6.1327272727272719</v>
      </c>
      <c r="N113" s="110">
        <f>IFERROR(_xlfn.XLOOKUP($A113,Input_Raw!$A:$A,Input_Raw!$CR:$CR),"")</f>
        <v>7.6</v>
      </c>
      <c r="O113" s="141">
        <f t="shared" si="10"/>
        <v>0.99228765672719355</v>
      </c>
      <c r="P113" s="141">
        <f>IFERROR(1-SUMIF(WTG_BD!$F:$F,$A113,WTG_BD!$AA:$AA)/($AA113+SUMIF(WTG_BD!$F:$F,$A113,WTG_BD!$AA:$AA)),"")</f>
        <v>0.99244868377986628</v>
      </c>
      <c r="Q113" s="141">
        <f>IFERROR(1-SUMIF(IGA_BD!$F:$F,$A113,IGA_BD!$W:$W)/($AA113+SUMIF(IGA_BD!$F:$F,$A113,IGA_BD!$W:$W)),"")</f>
        <v>0.99983774772912248</v>
      </c>
      <c r="R113" s="141">
        <f>IFERROR(1-SUMIF(Grid_BD!$F:$F,$A113,Grid_BD!$Y:$Y)/($AA113+SUMIF(Grid_BD!$F:$F,$A113,Grid_BD!$Y:$Y)),"")</f>
        <v>1</v>
      </c>
      <c r="S113" s="108"/>
      <c r="T113" s="140"/>
      <c r="U113" s="141"/>
      <c r="V113" s="108"/>
      <c r="W113" s="142">
        <f t="shared" si="11"/>
        <v>0.22612393465909089</v>
      </c>
      <c r="X113" s="108">
        <f>IFERROR(_xlfn.XLOOKUP($A113,Input_Raw!$A:$A,Input_Raw!$CP:$CP)*1000,"")</f>
        <v>382059</v>
      </c>
      <c r="Y113" s="108">
        <f>IFERROR(_xlfn.XLOOKUP($A113,Input_Raw!$A:$A,Input_Raw!DJ:DJ)*1000,"")</f>
        <v>382058.99999999994</v>
      </c>
      <c r="Z113" s="108">
        <f>IFERROR(_xlfn.XLOOKUP($A113,Input_Raw!$A:$A,Input_Raw!DK:DK)*1000,"")</f>
        <v>0</v>
      </c>
      <c r="AA113" s="138">
        <f t="shared" si="12"/>
        <v>382058.99999999994</v>
      </c>
      <c r="AB113" s="108">
        <f>IFERROR(_xlfn.XLOOKUP($A113,Input_Raw!$A:$A,Input_Raw!$DR:$DR),"")</f>
        <v>70.400000000000006</v>
      </c>
      <c r="AC113" s="143">
        <f>IFERROR(_xlfn.XLOOKUP($D113,'Modelling New'!$D:$D,'Modelling New'!$J:$J),"")</f>
        <v>9.8233333333333324</v>
      </c>
      <c r="AD113" s="138">
        <f>IFERROR(_xlfn.XLOOKUP($D113,'Modelling New'!$D:$D,'Modelling New'!$T:$T)*1000,"")</f>
        <v>904894.00217495637</v>
      </c>
      <c r="AE113" s="142"/>
      <c r="AF113" s="142">
        <f>IFERROR(_xlfn.XLOOKUP($D113,'Modelling New'!$D:$D,'Modelling New'!$W:$W),"")</f>
        <v>0.53556699939332175</v>
      </c>
      <c r="AG113" s="142">
        <f>IFERROR(_xlfn.XLOOKUP($D113,'Modelling New'!$D:$D,'Modelling New'!$AE:$AE),"")</f>
        <v>0.96029999999999993</v>
      </c>
      <c r="AH113" s="142">
        <f>IFERROR(_xlfn.XLOOKUP($D113,'Modelling New'!$D:$D,'Modelling New'!$AF:$AF),"")</f>
        <v>0.995</v>
      </c>
      <c r="AI113" s="109">
        <f>IFERROR(_xlfn.XLOOKUP($A113,Input_Raw!$A:$A,Input_Raw!$DP:$DP),"")</f>
        <v>351.02</v>
      </c>
      <c r="AJ113" s="108"/>
      <c r="AK113" s="108"/>
      <c r="AL113" s="108"/>
      <c r="AM113" s="108"/>
      <c r="AN113" s="132">
        <f>IFERROR(_xlfn.XLOOKUP($A113,Input_Raw!$A:$A,Input_Raw!$DL:$DL),"")</f>
        <v>-1.1102230246251565E-16</v>
      </c>
      <c r="AO113" s="142">
        <f>IFERROR((_xlfn.XLOOKUP($A113,'WTG Reactive Power'!$A:$A,'WTG Reactive Power'!$AW:$AW))/X113,"")</f>
        <v>2.0024524353568437E-4</v>
      </c>
      <c r="AP113" s="142">
        <f>IFERROR(_xlfn.XLOOKUP($D113,'Modelling New'!$D:$D,'Modelling New'!$AK:$AK),"")</f>
        <v>0.05</v>
      </c>
      <c r="AQ113" s="142">
        <f>IFERROR(_xlfn.XLOOKUP($D113,'Modelling New'!$D:$D,'Modelling New'!$AL:$AL),"")</f>
        <v>0.05</v>
      </c>
      <c r="AR113" s="198">
        <f>IFERROR(_xlfn.XLOOKUP($D113,'Modelling New'!$D:$D,'Modelling New'!$N:$N),"")</f>
        <v>70.400000000000006</v>
      </c>
      <c r="AS113" s="198"/>
    </row>
    <row r="114" spans="1:45">
      <c r="A114" s="137">
        <f t="shared" si="13"/>
        <v>45857</v>
      </c>
      <c r="B114" s="138">
        <f>YEAR(Daily_KPI[[#This Row],[Date]])+IF(MONTH(Daily_KPI[[#This Row],[Date]])&gt;=4,1,0)</f>
        <v>2026</v>
      </c>
      <c r="C114" s="108">
        <f>YEAR(Daily_KPI[[#This Row],[Date]])</f>
        <v>2025</v>
      </c>
      <c r="D114" s="139">
        <f>Daily_KPI[[#This Row],[Date]]-DAY(Daily_KPI[[#This Row],[Date]])+1</f>
        <v>45839</v>
      </c>
      <c r="E114" s="108">
        <f t="shared" si="9"/>
        <v>31</v>
      </c>
      <c r="F114" s="109"/>
      <c r="G114" s="143"/>
      <c r="H114" s="143"/>
      <c r="I114" s="143"/>
      <c r="J114" s="143"/>
      <c r="K114" s="111"/>
      <c r="L114" s="110"/>
      <c r="M114" s="110">
        <f>IFERROR(_xlfn.XLOOKUP($A114,Input_Raw!$A:$A,Input_Raw!$CQ:$CQ),"")</f>
        <v>6.5904545454545431</v>
      </c>
      <c r="N114" s="110">
        <f>IFERROR(_xlfn.XLOOKUP($A114,Input_Raw!$A:$A,Input_Raw!$CR:$CR),"")</f>
        <v>8.26</v>
      </c>
      <c r="O114" s="141">
        <f t="shared" si="10"/>
        <v>0.91482562553369562</v>
      </c>
      <c r="P114" s="141">
        <f>IFERROR(1-SUMIF(WTG_BD!$F:$F,$A114,WTG_BD!$AA:$AA)/($AA114+SUMIF(WTG_BD!$F:$F,$A114,WTG_BD!$AA:$AA)),"")</f>
        <v>0.98729273641999071</v>
      </c>
      <c r="Q114" s="141">
        <f>IFERROR(1-SUMIF(IGA_BD!$F:$F,$A114,IGA_BD!$W:$W)/($AA114+SUMIF(IGA_BD!$F:$F,$A114,IGA_BD!$W:$W)),"")</f>
        <v>0.92660017823177032</v>
      </c>
      <c r="R114" s="141">
        <f>IFERROR(1-SUMIF(Grid_BD!$F:$F,$A114,Grid_BD!$Y:$Y)/($AA114+SUMIF(Grid_BD!$F:$F,$A114,Grid_BD!$Y:$Y)),"")</f>
        <v>1</v>
      </c>
      <c r="S114" s="108"/>
      <c r="T114" s="140"/>
      <c r="U114" s="141"/>
      <c r="V114" s="108"/>
      <c r="W114" s="142">
        <f t="shared" si="11"/>
        <v>0.2701580255681818</v>
      </c>
      <c r="X114" s="108">
        <f>IFERROR(_xlfn.XLOOKUP($A114,Input_Raw!$A:$A,Input_Raw!$CP:$CP)*1000,"")</f>
        <v>456459</v>
      </c>
      <c r="Y114" s="108">
        <f>IFERROR(_xlfn.XLOOKUP($A114,Input_Raw!$A:$A,Input_Raw!DJ:DJ)*1000,"")</f>
        <v>456459</v>
      </c>
      <c r="Z114" s="108">
        <f>IFERROR(_xlfn.XLOOKUP($A114,Input_Raw!$A:$A,Input_Raw!DK:DK)*1000,"")</f>
        <v>0</v>
      </c>
      <c r="AA114" s="138">
        <f t="shared" si="12"/>
        <v>456459</v>
      </c>
      <c r="AB114" s="108">
        <f>IFERROR(_xlfn.XLOOKUP($A114,Input_Raw!$A:$A,Input_Raw!$DR:$DR),"")</f>
        <v>70.400000000000006</v>
      </c>
      <c r="AC114" s="143">
        <f>IFERROR(_xlfn.XLOOKUP($D114,'Modelling New'!$D:$D,'Modelling New'!$J:$J),"")</f>
        <v>9.8233333333333324</v>
      </c>
      <c r="AD114" s="138">
        <f>IFERROR(_xlfn.XLOOKUP($D114,'Modelling New'!$D:$D,'Modelling New'!$T:$T)*1000,"")</f>
        <v>904894.00217495637</v>
      </c>
      <c r="AE114" s="142"/>
      <c r="AF114" s="142">
        <f>IFERROR(_xlfn.XLOOKUP($D114,'Modelling New'!$D:$D,'Modelling New'!$W:$W),"")</f>
        <v>0.53556699939332175</v>
      </c>
      <c r="AG114" s="142">
        <f>IFERROR(_xlfn.XLOOKUP($D114,'Modelling New'!$D:$D,'Modelling New'!$AE:$AE),"")</f>
        <v>0.96029999999999993</v>
      </c>
      <c r="AH114" s="142">
        <f>IFERROR(_xlfn.XLOOKUP($D114,'Modelling New'!$D:$D,'Modelling New'!$AF:$AF),"")</f>
        <v>0.995</v>
      </c>
      <c r="AI114" s="109">
        <f>IFERROR(_xlfn.XLOOKUP($A114,Input_Raw!$A:$A,Input_Raw!$DP:$DP),"")</f>
        <v>425.82</v>
      </c>
      <c r="AJ114" s="108"/>
      <c r="AK114" s="108"/>
      <c r="AL114" s="108"/>
      <c r="AM114" s="108"/>
      <c r="AN114" s="132">
        <f>IFERROR(_xlfn.XLOOKUP($A114,Input_Raw!$A:$A,Input_Raw!$DL:$DL),"")</f>
        <v>0</v>
      </c>
      <c r="AO114" s="142">
        <f>IFERROR((_xlfn.XLOOKUP($A114,'WTG Reactive Power'!$A:$A,'WTG Reactive Power'!$AW:$AW))/X114,"")</f>
        <v>1.9854636816596152E-4</v>
      </c>
      <c r="AP114" s="142">
        <f>IFERROR(_xlfn.XLOOKUP($D114,'Modelling New'!$D:$D,'Modelling New'!$AK:$AK),"")</f>
        <v>0.05</v>
      </c>
      <c r="AQ114" s="142">
        <f>IFERROR(_xlfn.XLOOKUP($D114,'Modelling New'!$D:$D,'Modelling New'!$AL:$AL),"")</f>
        <v>0.05</v>
      </c>
      <c r="AR114" s="198">
        <f>IFERROR(_xlfn.XLOOKUP($D114,'Modelling New'!$D:$D,'Modelling New'!$N:$N),"")</f>
        <v>70.400000000000006</v>
      </c>
      <c r="AS114" s="198"/>
    </row>
    <row r="115" spans="1:45">
      <c r="A115" s="137">
        <f t="shared" si="13"/>
        <v>45858</v>
      </c>
      <c r="B115" s="138">
        <f>YEAR(Daily_KPI[[#This Row],[Date]])+IF(MONTH(Daily_KPI[[#This Row],[Date]])&gt;=4,1,0)</f>
        <v>2026</v>
      </c>
      <c r="C115" s="108">
        <f>YEAR(Daily_KPI[[#This Row],[Date]])</f>
        <v>2025</v>
      </c>
      <c r="D115" s="139">
        <f>Daily_KPI[[#This Row],[Date]]-DAY(Daily_KPI[[#This Row],[Date]])+1</f>
        <v>45839</v>
      </c>
      <c r="E115" s="108">
        <f t="shared" si="9"/>
        <v>31</v>
      </c>
      <c r="F115" s="109"/>
      <c r="G115" s="110"/>
      <c r="H115" s="110"/>
      <c r="I115" s="110"/>
      <c r="J115" s="110"/>
      <c r="K115" s="111"/>
      <c r="L115" s="110"/>
      <c r="M115" s="110">
        <f>IFERROR(_xlfn.XLOOKUP($A115,Input_Raw!$A:$A,Input_Raw!$CQ:$CQ),"")</f>
        <v>6.4499999999999993</v>
      </c>
      <c r="N115" s="110">
        <f>IFERROR(_xlfn.XLOOKUP($A115,Input_Raw!$A:$A,Input_Raw!$CR:$CR),"")</f>
        <v>7.75</v>
      </c>
      <c r="O115" s="141">
        <f t="shared" si="10"/>
        <v>0.99755101861357753</v>
      </c>
      <c r="P115" s="141">
        <f>IFERROR(1-SUMIF(WTG_BD!$F:$F,$A115,WTG_BD!$AA:$AA)/($AA115+SUMIF(WTG_BD!$F:$F,$A115,WTG_BD!$AA:$AA)),"")</f>
        <v>0.99755101861357753</v>
      </c>
      <c r="Q115" s="141">
        <f>IFERROR(1-SUMIF(IGA_BD!$F:$F,$A115,IGA_BD!$W:$W)/($AA115+SUMIF(IGA_BD!$F:$F,$A115,IGA_BD!$W:$W)),"")</f>
        <v>1</v>
      </c>
      <c r="R115" s="141">
        <f>IFERROR(1-SUMIF(Grid_BD!$F:$F,$A115,Grid_BD!$Y:$Y)/($AA115+SUMIF(Grid_BD!$F:$F,$A115,Grid_BD!$Y:$Y)),"")</f>
        <v>1</v>
      </c>
      <c r="S115" s="108"/>
      <c r="T115" s="140"/>
      <c r="U115" s="141"/>
      <c r="V115" s="108"/>
      <c r="W115" s="142">
        <f t="shared" si="11"/>
        <v>0.2685659327651515</v>
      </c>
      <c r="X115" s="108">
        <f>IFERROR(_xlfn.XLOOKUP($A115,Input_Raw!$A:$A,Input_Raw!$CP:$CP)*1000,"")</f>
        <v>453769</v>
      </c>
      <c r="Y115" s="108">
        <f>IFERROR(_xlfn.XLOOKUP($A115,Input_Raw!$A:$A,Input_Raw!DJ:DJ)*1000,"")</f>
        <v>453769</v>
      </c>
      <c r="Z115" s="108">
        <f>IFERROR(_xlfn.XLOOKUP($A115,Input_Raw!$A:$A,Input_Raw!DK:DK)*1000,"")</f>
        <v>0</v>
      </c>
      <c r="AA115" s="138">
        <f t="shared" si="12"/>
        <v>453769</v>
      </c>
      <c r="AB115" s="108">
        <f>IFERROR(_xlfn.XLOOKUP($A115,Input_Raw!$A:$A,Input_Raw!$DR:$DR),"")</f>
        <v>70.400000000000006</v>
      </c>
      <c r="AC115" s="143">
        <f>IFERROR(_xlfn.XLOOKUP($D115,'Modelling New'!$D:$D,'Modelling New'!$J:$J),"")</f>
        <v>9.8233333333333324</v>
      </c>
      <c r="AD115" s="138">
        <f>IFERROR(_xlfn.XLOOKUP($D115,'Modelling New'!$D:$D,'Modelling New'!$T:$T)*1000,"")</f>
        <v>904894.00217495637</v>
      </c>
      <c r="AE115" s="142"/>
      <c r="AF115" s="142">
        <f>IFERROR(_xlfn.XLOOKUP($D115,'Modelling New'!$D:$D,'Modelling New'!$W:$W),"")</f>
        <v>0.53556699939332175</v>
      </c>
      <c r="AG115" s="142">
        <f>IFERROR(_xlfn.XLOOKUP($D115,'Modelling New'!$D:$D,'Modelling New'!$AE:$AE),"")</f>
        <v>0.96029999999999993</v>
      </c>
      <c r="AH115" s="142">
        <f>IFERROR(_xlfn.XLOOKUP($D115,'Modelling New'!$D:$D,'Modelling New'!$AF:$AF),"")</f>
        <v>0.995</v>
      </c>
      <c r="AI115" s="109">
        <f>IFERROR(_xlfn.XLOOKUP($A115,Input_Raw!$A:$A,Input_Raw!$DP:$DP),"")</f>
        <v>412.91</v>
      </c>
      <c r="AJ115" s="108"/>
      <c r="AK115" s="108"/>
      <c r="AL115" s="108"/>
      <c r="AM115" s="108"/>
      <c r="AN115" s="132">
        <f>IFERROR(_xlfn.XLOOKUP($A115,Input_Raw!$A:$A,Input_Raw!$DL:$DL),"")</f>
        <v>0</v>
      </c>
      <c r="AO115" s="142">
        <f>IFERROR((_xlfn.XLOOKUP($A115,'WTG Reactive Power'!$A:$A,'WTG Reactive Power'!$AW:$AW))/X115,"")</f>
        <v>1.8234636749829395E-4</v>
      </c>
      <c r="AP115" s="142">
        <f>IFERROR(_xlfn.XLOOKUP($D115,'Modelling New'!$D:$D,'Modelling New'!$AK:$AK),"")</f>
        <v>0.05</v>
      </c>
      <c r="AQ115" s="142">
        <f>IFERROR(_xlfn.XLOOKUP($D115,'Modelling New'!$D:$D,'Modelling New'!$AL:$AL),"")</f>
        <v>0.05</v>
      </c>
      <c r="AR115" s="198">
        <f>IFERROR(_xlfn.XLOOKUP($D115,'Modelling New'!$D:$D,'Modelling New'!$N:$N),"")</f>
        <v>70.400000000000006</v>
      </c>
      <c r="AS115" s="198"/>
    </row>
    <row r="116" spans="1:45">
      <c r="A116" s="137">
        <f t="shared" si="13"/>
        <v>45859</v>
      </c>
      <c r="B116" s="138">
        <f>YEAR(Daily_KPI[[#This Row],[Date]])+IF(MONTH(Daily_KPI[[#This Row],[Date]])&gt;=4,1,0)</f>
        <v>2026</v>
      </c>
      <c r="C116" s="108">
        <f>YEAR(Daily_KPI[[#This Row],[Date]])</f>
        <v>2025</v>
      </c>
      <c r="D116" s="139">
        <f>Daily_KPI[[#This Row],[Date]]-DAY(Daily_KPI[[#This Row],[Date]])+1</f>
        <v>45839</v>
      </c>
      <c r="E116" s="108">
        <f t="shared" si="9"/>
        <v>31</v>
      </c>
      <c r="F116" s="109"/>
      <c r="G116" s="143"/>
      <c r="H116" s="143"/>
      <c r="I116" s="143"/>
      <c r="J116" s="143"/>
      <c r="K116" s="111"/>
      <c r="L116" s="110"/>
      <c r="M116" s="110">
        <f>IFERROR(_xlfn.XLOOKUP($A116,Input_Raw!$A:$A,Input_Raw!$CQ:$CQ),"")</f>
        <v>6.8604545454545445</v>
      </c>
      <c r="N116" s="110">
        <f>IFERROR(_xlfn.XLOOKUP($A116,Input_Raw!$A:$A,Input_Raw!$CR:$CR),"")</f>
        <v>8.51</v>
      </c>
      <c r="O116" s="141">
        <f t="shared" si="10"/>
        <v>0.99943526857746356</v>
      </c>
      <c r="P116" s="141">
        <f>IFERROR(1-SUMIF(WTG_BD!$F:$F,$A116,WTG_BD!$AA:$AA)/($AA116+SUMIF(WTG_BD!$F:$F,$A116,WTG_BD!$AA:$AA)),"")</f>
        <v>0.99943526857746356</v>
      </c>
      <c r="Q116" s="141">
        <f>IFERROR(1-SUMIF(IGA_BD!$F:$F,$A116,IGA_BD!$W:$W)/($AA116+SUMIF(IGA_BD!$F:$F,$A116,IGA_BD!$W:$W)),"")</f>
        <v>1</v>
      </c>
      <c r="R116" s="141">
        <f>IFERROR(1-SUMIF(Grid_BD!$F:$F,$A116,Grid_BD!$Y:$Y)/($AA116+SUMIF(Grid_BD!$F:$F,$A116,Grid_BD!$Y:$Y)),"")</f>
        <v>1</v>
      </c>
      <c r="S116" s="108"/>
      <c r="T116" s="140"/>
      <c r="U116" s="141"/>
      <c r="V116" s="108"/>
      <c r="W116" s="142">
        <f t="shared" si="11"/>
        <v>0.3226112689393939</v>
      </c>
      <c r="X116" s="108">
        <f>IFERROR(_xlfn.XLOOKUP($A116,Input_Raw!$A:$A,Input_Raw!$CP:$CP)*1000,"")</f>
        <v>545084</v>
      </c>
      <c r="Y116" s="108">
        <f>IFERROR(_xlfn.XLOOKUP($A116,Input_Raw!$A:$A,Input_Raw!DJ:DJ)*1000,"")</f>
        <v>545084</v>
      </c>
      <c r="Z116" s="108">
        <f>IFERROR(_xlfn.XLOOKUP($A116,Input_Raw!$A:$A,Input_Raw!DK:DK)*1000,"")</f>
        <v>0</v>
      </c>
      <c r="AA116" s="138">
        <f t="shared" si="12"/>
        <v>545084</v>
      </c>
      <c r="AB116" s="108">
        <f>IFERROR(_xlfn.XLOOKUP($A116,Input_Raw!$A:$A,Input_Raw!$DR:$DR),"")</f>
        <v>70.400000000000006</v>
      </c>
      <c r="AC116" s="143">
        <f>IFERROR(_xlfn.XLOOKUP($D116,'Modelling New'!$D:$D,'Modelling New'!$J:$J),"")</f>
        <v>9.8233333333333324</v>
      </c>
      <c r="AD116" s="138">
        <f>IFERROR(_xlfn.XLOOKUP($D116,'Modelling New'!$D:$D,'Modelling New'!$T:$T)*1000,"")</f>
        <v>904894.00217495637</v>
      </c>
      <c r="AE116" s="142"/>
      <c r="AF116" s="142">
        <f>IFERROR(_xlfn.XLOOKUP($D116,'Modelling New'!$D:$D,'Modelling New'!$W:$W),"")</f>
        <v>0.53556699939332175</v>
      </c>
      <c r="AG116" s="142">
        <f>IFERROR(_xlfn.XLOOKUP($D116,'Modelling New'!$D:$D,'Modelling New'!$AE:$AE),"")</f>
        <v>0.96029999999999993</v>
      </c>
      <c r="AH116" s="142">
        <f>IFERROR(_xlfn.XLOOKUP($D116,'Modelling New'!$D:$D,'Modelling New'!$AF:$AF),"")</f>
        <v>0.995</v>
      </c>
      <c r="AI116" s="109">
        <f>IFERROR(_xlfn.XLOOKUP($A116,Input_Raw!$A:$A,Input_Raw!$DP:$DP),"")</f>
        <v>501.72</v>
      </c>
      <c r="AJ116" s="108"/>
      <c r="AK116" s="108"/>
      <c r="AL116" s="108"/>
      <c r="AM116" s="108"/>
      <c r="AN116" s="132">
        <f>IFERROR(_xlfn.XLOOKUP($A116,Input_Raw!$A:$A,Input_Raw!$DL:$DL),"")</f>
        <v>0</v>
      </c>
      <c r="AO116" s="142">
        <f>IFERROR((_xlfn.XLOOKUP($A116,'WTG Reactive Power'!$A:$A,'WTG Reactive Power'!$AW:$AW))/X116,"")</f>
        <v>1.6360140333110737E-4</v>
      </c>
      <c r="AP116" s="142">
        <f>IFERROR(_xlfn.XLOOKUP($D116,'Modelling New'!$D:$D,'Modelling New'!$AK:$AK),"")</f>
        <v>0.05</v>
      </c>
      <c r="AQ116" s="142">
        <f>IFERROR(_xlfn.XLOOKUP($D116,'Modelling New'!$D:$D,'Modelling New'!$AL:$AL),"")</f>
        <v>0.05</v>
      </c>
      <c r="AR116" s="198">
        <f>IFERROR(_xlfn.XLOOKUP($D116,'Modelling New'!$D:$D,'Modelling New'!$N:$N),"")</f>
        <v>70.400000000000006</v>
      </c>
      <c r="AS116" s="198"/>
    </row>
    <row r="117" spans="1:45">
      <c r="A117" s="137">
        <f t="shared" si="13"/>
        <v>45860</v>
      </c>
      <c r="B117" s="138">
        <f>YEAR(Daily_KPI[[#This Row],[Date]])+IF(MONTH(Daily_KPI[[#This Row],[Date]])&gt;=4,1,0)</f>
        <v>2026</v>
      </c>
      <c r="C117" s="108">
        <f>YEAR(Daily_KPI[[#This Row],[Date]])</f>
        <v>2025</v>
      </c>
      <c r="D117" s="139">
        <f>Daily_KPI[[#This Row],[Date]]-DAY(Daily_KPI[[#This Row],[Date]])+1</f>
        <v>45839</v>
      </c>
      <c r="E117" s="108">
        <f t="shared" si="9"/>
        <v>31</v>
      </c>
      <c r="F117" s="109"/>
      <c r="G117" s="110"/>
      <c r="H117" s="110"/>
      <c r="I117" s="110"/>
      <c r="J117" s="110"/>
      <c r="K117" s="111"/>
      <c r="L117" s="110"/>
      <c r="M117" s="110">
        <f>IFERROR(_xlfn.XLOOKUP($A117,Input_Raw!$A:$A,Input_Raw!$CQ:$CQ),"")</f>
        <v>7.4715909090909092</v>
      </c>
      <c r="N117" s="110">
        <f>IFERROR(_xlfn.XLOOKUP($A117,Input_Raw!$A:$A,Input_Raw!$CR:$CR),"")</f>
        <v>9.0299999999999994</v>
      </c>
      <c r="O117" s="141">
        <f t="shared" si="10"/>
        <v>0.9991267822597979</v>
      </c>
      <c r="P117" s="141">
        <f>IFERROR(1-SUMIF(WTG_BD!$F:$F,$A117,WTG_BD!$AA:$AA)/($AA117+SUMIF(WTG_BD!$F:$F,$A117,WTG_BD!$AA:$AA)),"")</f>
        <v>0.9991267822597979</v>
      </c>
      <c r="Q117" s="141">
        <f>IFERROR(1-SUMIF(IGA_BD!$F:$F,$A117,IGA_BD!$W:$W)/($AA117+SUMIF(IGA_BD!$F:$F,$A117,IGA_BD!$W:$W)),"")</f>
        <v>1</v>
      </c>
      <c r="R117" s="141">
        <f>IFERROR(1-SUMIF(Grid_BD!$F:$F,$A117,Grid_BD!$Y:$Y)/($AA117+SUMIF(Grid_BD!$F:$F,$A117,Grid_BD!$Y:$Y)),"")</f>
        <v>0.97412571129189529</v>
      </c>
      <c r="S117" s="108"/>
      <c r="T117" s="140"/>
      <c r="U117" s="141"/>
      <c r="V117" s="108"/>
      <c r="W117" s="142">
        <f t="shared" si="11"/>
        <v>0.39615944602272724</v>
      </c>
      <c r="X117" s="108">
        <f>IFERROR(_xlfn.XLOOKUP($A117,Input_Raw!$A:$A,Input_Raw!$CP:$CP)*1000,"")</f>
        <v>669351</v>
      </c>
      <c r="Y117" s="108">
        <f>IFERROR(_xlfn.XLOOKUP($A117,Input_Raw!$A:$A,Input_Raw!DJ:DJ)*1000,"")</f>
        <v>669351</v>
      </c>
      <c r="Z117" s="108">
        <f>IFERROR(_xlfn.XLOOKUP($A117,Input_Raw!$A:$A,Input_Raw!DK:DK)*1000,"")</f>
        <v>0</v>
      </c>
      <c r="AA117" s="138">
        <f t="shared" si="12"/>
        <v>669351</v>
      </c>
      <c r="AB117" s="108">
        <f>IFERROR(_xlfn.XLOOKUP($A117,Input_Raw!$A:$A,Input_Raw!$DR:$DR),"")</f>
        <v>70.400000000000006</v>
      </c>
      <c r="AC117" s="143">
        <f>IFERROR(_xlfn.XLOOKUP($D117,'Modelling New'!$D:$D,'Modelling New'!$J:$J),"")</f>
        <v>9.8233333333333324</v>
      </c>
      <c r="AD117" s="138">
        <f>IFERROR(_xlfn.XLOOKUP($D117,'Modelling New'!$D:$D,'Modelling New'!$T:$T)*1000,"")</f>
        <v>904894.00217495637</v>
      </c>
      <c r="AE117" s="142"/>
      <c r="AF117" s="142">
        <f>IFERROR(_xlfn.XLOOKUP($D117,'Modelling New'!$D:$D,'Modelling New'!$W:$W),"")</f>
        <v>0.53556699939332175</v>
      </c>
      <c r="AG117" s="142">
        <f>IFERROR(_xlfn.XLOOKUP($D117,'Modelling New'!$D:$D,'Modelling New'!$AE:$AE),"")</f>
        <v>0.96029999999999993</v>
      </c>
      <c r="AH117" s="142">
        <f>IFERROR(_xlfn.XLOOKUP($D117,'Modelling New'!$D:$D,'Modelling New'!$AF:$AF),"")</f>
        <v>0.995</v>
      </c>
      <c r="AI117" s="109">
        <f>IFERROR(_xlfn.XLOOKUP($A117,Input_Raw!$A:$A,Input_Raw!$DP:$DP),"")</f>
        <v>626.04</v>
      </c>
      <c r="AJ117" s="108"/>
      <c r="AK117" s="108"/>
      <c r="AL117" s="108"/>
      <c r="AM117" s="108"/>
      <c r="AN117" s="132">
        <f>IFERROR(_xlfn.XLOOKUP($A117,Input_Raw!$A:$A,Input_Raw!$DL:$DL),"")</f>
        <v>0</v>
      </c>
      <c r="AO117" s="142">
        <f>IFERROR((_xlfn.XLOOKUP($A117,'WTG Reactive Power'!$A:$A,'WTG Reactive Power'!$AW:$AW))/X117,"")</f>
        <v>1.9579603401902239E-4</v>
      </c>
      <c r="AP117" s="142">
        <f>IFERROR(_xlfn.XLOOKUP($D117,'Modelling New'!$D:$D,'Modelling New'!$AK:$AK),"")</f>
        <v>0.05</v>
      </c>
      <c r="AQ117" s="142">
        <f>IFERROR(_xlfn.XLOOKUP($D117,'Modelling New'!$D:$D,'Modelling New'!$AL:$AL),"")</f>
        <v>0.05</v>
      </c>
      <c r="AR117" s="198">
        <f>IFERROR(_xlfn.XLOOKUP($D117,'Modelling New'!$D:$D,'Modelling New'!$N:$N),"")</f>
        <v>70.400000000000006</v>
      </c>
      <c r="AS117" s="198"/>
    </row>
    <row r="118" spans="1:45">
      <c r="A118" s="137">
        <f t="shared" si="13"/>
        <v>45861</v>
      </c>
      <c r="B118" s="138">
        <f>YEAR(Daily_KPI[[#This Row],[Date]])+IF(MONTH(Daily_KPI[[#This Row],[Date]])&gt;=4,1,0)</f>
        <v>2026</v>
      </c>
      <c r="C118" s="108">
        <f>YEAR(Daily_KPI[[#This Row],[Date]])</f>
        <v>2025</v>
      </c>
      <c r="D118" s="139">
        <f>Daily_KPI[[#This Row],[Date]]-DAY(Daily_KPI[[#This Row],[Date]])+1</f>
        <v>45839</v>
      </c>
      <c r="E118" s="108">
        <f t="shared" si="9"/>
        <v>31</v>
      </c>
      <c r="F118" s="109"/>
      <c r="G118" s="143"/>
      <c r="H118" s="143"/>
      <c r="I118" s="143"/>
      <c r="J118" s="143"/>
      <c r="K118" s="111"/>
      <c r="L118" s="110"/>
      <c r="M118" s="110">
        <f>IFERROR(_xlfn.XLOOKUP($A118,Input_Raw!$A:$A,Input_Raw!$CQ:$CQ),"")</f>
        <v>8.9670454545454543</v>
      </c>
      <c r="N118" s="110">
        <f>IFERROR(_xlfn.XLOOKUP($A118,Input_Raw!$A:$A,Input_Raw!$CR:$CR),"")</f>
        <v>10.45</v>
      </c>
      <c r="O118" s="141">
        <f t="shared" si="10"/>
        <v>0.99971164523579681</v>
      </c>
      <c r="P118" s="141">
        <f>IFERROR(1-SUMIF(WTG_BD!$F:$F,$A118,WTG_BD!$AA:$AA)/($AA118+SUMIF(WTG_BD!$F:$F,$A118,WTG_BD!$AA:$AA)),"")</f>
        <v>0.99971164523579681</v>
      </c>
      <c r="Q118" s="141">
        <f>IFERROR(1-SUMIF(IGA_BD!$F:$F,$A118,IGA_BD!$W:$W)/($AA118+SUMIF(IGA_BD!$F:$F,$A118,IGA_BD!$W:$W)),"")</f>
        <v>1</v>
      </c>
      <c r="R118" s="141">
        <f>IFERROR(1-SUMIF(Grid_BD!$F:$F,$A118,Grid_BD!$Y:$Y)/($AA118+SUMIF(Grid_BD!$F:$F,$A118,Grid_BD!$Y:$Y)),"")</f>
        <v>1</v>
      </c>
      <c r="S118" s="108"/>
      <c r="T118" s="140"/>
      <c r="U118" s="141"/>
      <c r="V118" s="108"/>
      <c r="W118" s="142">
        <f t="shared" si="11"/>
        <v>0.61968454071969692</v>
      </c>
      <c r="X118" s="108">
        <f>IFERROR(_xlfn.XLOOKUP($A118,Input_Raw!$A:$A,Input_Raw!$CP:$CP)*1000,"")</f>
        <v>1047019</v>
      </c>
      <c r="Y118" s="108">
        <f>IFERROR(_xlfn.XLOOKUP($A118,Input_Raw!$A:$A,Input_Raw!DJ:DJ)*1000,"")</f>
        <v>1047019</v>
      </c>
      <c r="Z118" s="108">
        <f>IFERROR(_xlfn.XLOOKUP($A118,Input_Raw!$A:$A,Input_Raw!DK:DK)*1000,"")</f>
        <v>0</v>
      </c>
      <c r="AA118" s="138">
        <f t="shared" si="12"/>
        <v>1047019</v>
      </c>
      <c r="AB118" s="108">
        <f>IFERROR(_xlfn.XLOOKUP($A118,Input_Raw!$A:$A,Input_Raw!$DR:$DR),"")</f>
        <v>70.400000000000006</v>
      </c>
      <c r="AC118" s="143">
        <f>IFERROR(_xlfn.XLOOKUP($D118,'Modelling New'!$D:$D,'Modelling New'!$J:$J),"")</f>
        <v>9.8233333333333324</v>
      </c>
      <c r="AD118" s="138">
        <f>IFERROR(_xlfn.XLOOKUP($D118,'Modelling New'!$D:$D,'Modelling New'!$T:$T)*1000,"")</f>
        <v>904894.00217495637</v>
      </c>
      <c r="AE118" s="142"/>
      <c r="AF118" s="142">
        <f>IFERROR(_xlfn.XLOOKUP($D118,'Modelling New'!$D:$D,'Modelling New'!$W:$W),"")</f>
        <v>0.53556699939332175</v>
      </c>
      <c r="AG118" s="142">
        <f>IFERROR(_xlfn.XLOOKUP($D118,'Modelling New'!$D:$D,'Modelling New'!$AE:$AE),"")</f>
        <v>0.96029999999999993</v>
      </c>
      <c r="AH118" s="142">
        <f>IFERROR(_xlfn.XLOOKUP($D118,'Modelling New'!$D:$D,'Modelling New'!$AF:$AF),"")</f>
        <v>0.995</v>
      </c>
      <c r="AI118" s="109">
        <f>IFERROR(_xlfn.XLOOKUP($A118,Input_Raw!$A:$A,Input_Raw!$DP:$DP),"")</f>
        <v>1010.49</v>
      </c>
      <c r="AJ118" s="108"/>
      <c r="AK118" s="108"/>
      <c r="AL118" s="108"/>
      <c r="AM118" s="108"/>
      <c r="AN118" s="132">
        <f>IFERROR(_xlfn.XLOOKUP($A118,Input_Raw!$A:$A,Input_Raw!$DL:$DL),"")</f>
        <v>0</v>
      </c>
      <c r="AO118" s="142">
        <f>IFERROR((_xlfn.XLOOKUP($A118,'WTG Reactive Power'!$A:$A,'WTG Reactive Power'!$AW:$AW))/X118,"")</f>
        <v>1.9398774536724417E-4</v>
      </c>
      <c r="AP118" s="142">
        <f>IFERROR(_xlfn.XLOOKUP($D118,'Modelling New'!$D:$D,'Modelling New'!$AK:$AK),"")</f>
        <v>0.05</v>
      </c>
      <c r="AQ118" s="142">
        <f>IFERROR(_xlfn.XLOOKUP($D118,'Modelling New'!$D:$D,'Modelling New'!$AL:$AL),"")</f>
        <v>0.05</v>
      </c>
      <c r="AR118" s="198">
        <f>IFERROR(_xlfn.XLOOKUP($D118,'Modelling New'!$D:$D,'Modelling New'!$N:$N),"")</f>
        <v>70.400000000000006</v>
      </c>
      <c r="AS118" s="198"/>
    </row>
    <row r="119" spans="1:45">
      <c r="A119" s="137">
        <f t="shared" si="13"/>
        <v>45862</v>
      </c>
      <c r="B119" s="138">
        <f>YEAR(Daily_KPI[[#This Row],[Date]])+IF(MONTH(Daily_KPI[[#This Row],[Date]])&gt;=4,1,0)</f>
        <v>2026</v>
      </c>
      <c r="C119" s="108">
        <f>YEAR(Daily_KPI[[#This Row],[Date]])</f>
        <v>2025</v>
      </c>
      <c r="D119" s="139">
        <f>Daily_KPI[[#This Row],[Date]]-DAY(Daily_KPI[[#This Row],[Date]])+1</f>
        <v>45839</v>
      </c>
      <c r="E119" s="108">
        <f t="shared" si="9"/>
        <v>31</v>
      </c>
      <c r="F119" s="109"/>
      <c r="G119" s="110"/>
      <c r="H119" s="110"/>
      <c r="I119" s="110"/>
      <c r="J119" s="110"/>
      <c r="K119" s="111"/>
      <c r="L119" s="110"/>
      <c r="M119" s="110">
        <f>IFERROR(_xlfn.XLOOKUP($A119,Input_Raw!$A:$A,Input_Raw!$CQ:$CQ),"")</f>
        <v>9.5636363636363608</v>
      </c>
      <c r="N119" s="110">
        <f>IFERROR(_xlfn.XLOOKUP($A119,Input_Raw!$A:$A,Input_Raw!$CR:$CR),"")</f>
        <v>11.49</v>
      </c>
      <c r="O119" s="141">
        <f t="shared" si="10"/>
        <v>0.99606382525980008</v>
      </c>
      <c r="P119" s="141">
        <f>IFERROR(1-SUMIF(WTG_BD!$F:$F,$A119,WTG_BD!$AA:$AA)/($AA119+SUMIF(WTG_BD!$F:$F,$A119,WTG_BD!$AA:$AA)),"")</f>
        <v>0.99857904264469588</v>
      </c>
      <c r="Q119" s="141">
        <f>IFERROR(1-SUMIF(IGA_BD!$F:$F,$A119,IGA_BD!$W:$W)/($AA119+SUMIF(IGA_BD!$F:$F,$A119,IGA_BD!$W:$W)),"")</f>
        <v>0.99748120351270908</v>
      </c>
      <c r="R119" s="141">
        <f>IFERROR(1-SUMIF(Grid_BD!$F:$F,$A119,Grid_BD!$Y:$Y)/($AA119+SUMIF(Grid_BD!$F:$F,$A119,Grid_BD!$Y:$Y)),"")</f>
        <v>1</v>
      </c>
      <c r="S119" s="108"/>
      <c r="T119" s="140"/>
      <c r="U119" s="141"/>
      <c r="V119" s="108"/>
      <c r="W119" s="142">
        <f t="shared" si="11"/>
        <v>0.70291725852272713</v>
      </c>
      <c r="X119" s="108">
        <f>IFERROR(_xlfn.XLOOKUP($A119,Input_Raw!$A:$A,Input_Raw!$CP:$CP)*1000,"")</f>
        <v>1187649</v>
      </c>
      <c r="Y119" s="108">
        <f>IFERROR(_xlfn.XLOOKUP($A119,Input_Raw!$A:$A,Input_Raw!DJ:DJ)*1000,"")</f>
        <v>1187649</v>
      </c>
      <c r="Z119" s="108">
        <f>IFERROR(_xlfn.XLOOKUP($A119,Input_Raw!$A:$A,Input_Raw!DK:DK)*1000,"")</f>
        <v>0</v>
      </c>
      <c r="AA119" s="138">
        <f t="shared" si="12"/>
        <v>1187649</v>
      </c>
      <c r="AB119" s="108">
        <f>IFERROR(_xlfn.XLOOKUP($A119,Input_Raw!$A:$A,Input_Raw!$DR:$DR),"")</f>
        <v>70.400000000000006</v>
      </c>
      <c r="AC119" s="143">
        <f>IFERROR(_xlfn.XLOOKUP($D119,'Modelling New'!$D:$D,'Modelling New'!$J:$J),"")</f>
        <v>9.8233333333333324</v>
      </c>
      <c r="AD119" s="138">
        <f>IFERROR(_xlfn.XLOOKUP($D119,'Modelling New'!$D:$D,'Modelling New'!$T:$T)*1000,"")</f>
        <v>904894.00217495637</v>
      </c>
      <c r="AE119" s="142"/>
      <c r="AF119" s="142">
        <f>IFERROR(_xlfn.XLOOKUP($D119,'Modelling New'!$D:$D,'Modelling New'!$W:$W),"")</f>
        <v>0.53556699939332175</v>
      </c>
      <c r="AG119" s="142">
        <f>IFERROR(_xlfn.XLOOKUP($D119,'Modelling New'!$D:$D,'Modelling New'!$AE:$AE),"")</f>
        <v>0.96029999999999993</v>
      </c>
      <c r="AH119" s="142">
        <f>IFERROR(_xlfn.XLOOKUP($D119,'Modelling New'!$D:$D,'Modelling New'!$AF:$AF),"")</f>
        <v>0.995</v>
      </c>
      <c r="AI119" s="109">
        <f>IFERROR(_xlfn.XLOOKUP($A119,Input_Raw!$A:$A,Input_Raw!$DP:$DP),"")</f>
        <v>1150.5899999999999</v>
      </c>
      <c r="AJ119" s="108"/>
      <c r="AK119" s="108"/>
      <c r="AL119" s="108"/>
      <c r="AM119" s="108"/>
      <c r="AN119" s="132">
        <f>IFERROR(_xlfn.XLOOKUP($A119,Input_Raw!$A:$A,Input_Raw!$DL:$DL),"")</f>
        <v>2.2204460492503131E-16</v>
      </c>
      <c r="AO119" s="142">
        <f>IFERROR((_xlfn.XLOOKUP($A119,'WTG Reactive Power'!$A:$A,'WTG Reactive Power'!$AW:$AW))/X119,"")</f>
        <v>1.9526266107803457E-4</v>
      </c>
      <c r="AP119" s="142">
        <f>IFERROR(_xlfn.XLOOKUP($D119,'Modelling New'!$D:$D,'Modelling New'!$AK:$AK),"")</f>
        <v>0.05</v>
      </c>
      <c r="AQ119" s="142">
        <f>IFERROR(_xlfn.XLOOKUP($D119,'Modelling New'!$D:$D,'Modelling New'!$AL:$AL),"")</f>
        <v>0.05</v>
      </c>
      <c r="AR119" s="198">
        <f>IFERROR(_xlfn.XLOOKUP($D119,'Modelling New'!$D:$D,'Modelling New'!$N:$N),"")</f>
        <v>70.400000000000006</v>
      </c>
      <c r="AS119" s="198"/>
    </row>
    <row r="120" spans="1:45">
      <c r="A120" s="137">
        <f t="shared" si="13"/>
        <v>45863</v>
      </c>
      <c r="B120" s="138">
        <f>YEAR(Daily_KPI[[#This Row],[Date]])+IF(MONTH(Daily_KPI[[#This Row],[Date]])&gt;=4,1,0)</f>
        <v>2026</v>
      </c>
      <c r="C120" s="108">
        <f>YEAR(Daily_KPI[[#This Row],[Date]])</f>
        <v>2025</v>
      </c>
      <c r="D120" s="139">
        <f>Daily_KPI[[#This Row],[Date]]-DAY(Daily_KPI[[#This Row],[Date]])+1</f>
        <v>45839</v>
      </c>
      <c r="E120" s="108">
        <f t="shared" si="9"/>
        <v>31</v>
      </c>
      <c r="F120" s="109"/>
      <c r="G120" s="143"/>
      <c r="H120" s="143"/>
      <c r="I120" s="143"/>
      <c r="J120" s="143"/>
      <c r="K120" s="111"/>
      <c r="L120" s="110"/>
      <c r="M120" s="110">
        <f>IFERROR(_xlfn.XLOOKUP($A120,Input_Raw!$A:$A,Input_Raw!$CQ:$CQ),"")</f>
        <v>11.19</v>
      </c>
      <c r="N120" s="110">
        <f>IFERROR(_xlfn.XLOOKUP($A120,Input_Raw!$A:$A,Input_Raw!$CR:$CR),"")</f>
        <v>13.38</v>
      </c>
      <c r="O120" s="141">
        <f t="shared" si="10"/>
        <v>0.93214363134462952</v>
      </c>
      <c r="P120" s="141">
        <f>IFERROR(1-SUMIF(WTG_BD!$F:$F,$A120,WTG_BD!$AA:$AA)/($AA120+SUMIF(WTG_BD!$F:$F,$A120,WTG_BD!$AA:$AA)),"")</f>
        <v>0.97287829245112234</v>
      </c>
      <c r="Q120" s="141">
        <f>IFERROR(1-SUMIF(IGA_BD!$F:$F,$A120,IGA_BD!$W:$W)/($AA120+SUMIF(IGA_BD!$F:$F,$A120,IGA_BD!$W:$W)),"")</f>
        <v>0.95812974611257518</v>
      </c>
      <c r="R120" s="141">
        <f>IFERROR(1-SUMIF(Grid_BD!$F:$F,$A120,Grid_BD!$Y:$Y)/($AA120+SUMIF(Grid_BD!$F:$F,$A120,Grid_BD!$Y:$Y)),"")</f>
        <v>1</v>
      </c>
      <c r="S120" s="108"/>
      <c r="T120" s="140"/>
      <c r="U120" s="141"/>
      <c r="V120" s="108"/>
      <c r="W120" s="142">
        <f t="shared" si="11"/>
        <v>0.81426964962121196</v>
      </c>
      <c r="X120" s="108">
        <f>IFERROR(_xlfn.XLOOKUP($A120,Input_Raw!$A:$A,Input_Raw!$CP:$CP)*1000,"")</f>
        <v>1375790</v>
      </c>
      <c r="Y120" s="108">
        <f>IFERROR(_xlfn.XLOOKUP($A120,Input_Raw!$A:$A,Input_Raw!DJ:DJ)*1000,"")</f>
        <v>1375790</v>
      </c>
      <c r="Z120" s="108">
        <f>IFERROR(_xlfn.XLOOKUP($A120,Input_Raw!$A:$A,Input_Raw!DK:DK)*1000,"")</f>
        <v>0</v>
      </c>
      <c r="AA120" s="138">
        <f t="shared" si="12"/>
        <v>1375790</v>
      </c>
      <c r="AB120" s="108">
        <f>IFERROR(_xlfn.XLOOKUP($A120,Input_Raw!$A:$A,Input_Raw!$DR:$DR),"")</f>
        <v>70.400000000000006</v>
      </c>
      <c r="AC120" s="143">
        <f>IFERROR(_xlfn.XLOOKUP($D120,'Modelling New'!$D:$D,'Modelling New'!$J:$J),"")</f>
        <v>9.8233333333333324</v>
      </c>
      <c r="AD120" s="138">
        <f>IFERROR(_xlfn.XLOOKUP($D120,'Modelling New'!$D:$D,'Modelling New'!$T:$T)*1000,"")</f>
        <v>904894.00217495637</v>
      </c>
      <c r="AE120" s="142"/>
      <c r="AF120" s="142">
        <f>IFERROR(_xlfn.XLOOKUP($D120,'Modelling New'!$D:$D,'Modelling New'!$W:$W),"")</f>
        <v>0.53556699939332175</v>
      </c>
      <c r="AG120" s="142">
        <f>IFERROR(_xlfn.XLOOKUP($D120,'Modelling New'!$D:$D,'Modelling New'!$AE:$AE),"")</f>
        <v>0.96029999999999993</v>
      </c>
      <c r="AH120" s="142">
        <f>IFERROR(_xlfn.XLOOKUP($D120,'Modelling New'!$D:$D,'Modelling New'!$AF:$AF),"")</f>
        <v>0.995</v>
      </c>
      <c r="AI120" s="109">
        <f>IFERROR(_xlfn.XLOOKUP($A120,Input_Raw!$A:$A,Input_Raw!$DP:$DP),"")</f>
        <v>1434.22</v>
      </c>
      <c r="AJ120" s="108"/>
      <c r="AK120" s="108"/>
      <c r="AL120" s="108"/>
      <c r="AM120" s="108"/>
      <c r="AN120" s="132">
        <f>IFERROR(_xlfn.XLOOKUP($A120,Input_Raw!$A:$A,Input_Raw!$DL:$DL),"")</f>
        <v>0</v>
      </c>
      <c r="AO120" s="142">
        <f>IFERROR((_xlfn.XLOOKUP($A120,'WTG Reactive Power'!$A:$A,'WTG Reactive Power'!$AW:$AW))/X120,"")</f>
        <v>1.9353887051560683E-4</v>
      </c>
      <c r="AP120" s="142">
        <f>IFERROR(_xlfn.XLOOKUP($D120,'Modelling New'!$D:$D,'Modelling New'!$AK:$AK),"")</f>
        <v>0.05</v>
      </c>
      <c r="AQ120" s="142">
        <f>IFERROR(_xlfn.XLOOKUP($D120,'Modelling New'!$D:$D,'Modelling New'!$AL:$AL),"")</f>
        <v>0.05</v>
      </c>
      <c r="AR120" s="198">
        <f>IFERROR(_xlfn.XLOOKUP($D120,'Modelling New'!$D:$D,'Modelling New'!$N:$N),"")</f>
        <v>70.400000000000006</v>
      </c>
      <c r="AS120" s="198"/>
    </row>
    <row r="121" spans="1:45">
      <c r="A121" s="137">
        <f t="shared" si="13"/>
        <v>45864</v>
      </c>
      <c r="B121" s="138">
        <f>YEAR(Daily_KPI[[#This Row],[Date]])+IF(MONTH(Daily_KPI[[#This Row],[Date]])&gt;=4,1,0)</f>
        <v>2026</v>
      </c>
      <c r="C121" s="108">
        <f>YEAR(Daily_KPI[[#This Row],[Date]])</f>
        <v>2025</v>
      </c>
      <c r="D121" s="139">
        <f>Daily_KPI[[#This Row],[Date]]-DAY(Daily_KPI[[#This Row],[Date]])+1</f>
        <v>45839</v>
      </c>
      <c r="E121" s="108">
        <f t="shared" si="9"/>
        <v>31</v>
      </c>
      <c r="F121" s="109"/>
      <c r="G121" s="110"/>
      <c r="H121" s="110"/>
      <c r="I121" s="110"/>
      <c r="J121" s="110"/>
      <c r="K121" s="111"/>
      <c r="L121" s="110"/>
      <c r="M121" s="110">
        <f>IFERROR(_xlfn.XLOOKUP($A121,Input_Raw!$A:$A,Input_Raw!$CQ:$CQ),"")</f>
        <v>14.529318181818178</v>
      </c>
      <c r="N121" s="110">
        <f>IFERROR(_xlfn.XLOOKUP($A121,Input_Raw!$A:$A,Input_Raw!$CR:$CR),"")</f>
        <v>17.649999999999999</v>
      </c>
      <c r="O121" s="141">
        <f t="shared" si="10"/>
        <v>0.79872614877738413</v>
      </c>
      <c r="P121" s="141">
        <f>IFERROR(1-SUMIF(WTG_BD!$F:$F,$A121,WTG_BD!$AA:$AA)/($AA121+SUMIF(WTG_BD!$F:$F,$A121,WTG_BD!$AA:$AA)),"")</f>
        <v>0.9574379808504152</v>
      </c>
      <c r="Q121" s="141">
        <f>IFERROR(1-SUMIF(IGA_BD!$F:$F,$A121,IGA_BD!$W:$W)/($AA121+SUMIF(IGA_BD!$F:$F,$A121,IGA_BD!$W:$W)),"")</f>
        <v>0.8342327803498456</v>
      </c>
      <c r="R121" s="141">
        <f>IFERROR(1-SUMIF(Grid_BD!$F:$F,$A121,Grid_BD!$Y:$Y)/($AA121+SUMIF(Grid_BD!$F:$F,$A121,Grid_BD!$Y:$Y)),"")</f>
        <v>1</v>
      </c>
      <c r="S121" s="108"/>
      <c r="T121" s="140"/>
      <c r="U121" s="141"/>
      <c r="V121" s="108"/>
      <c r="W121" s="142">
        <f t="shared" si="11"/>
        <v>0.74162286931818167</v>
      </c>
      <c r="X121" s="108">
        <f>IFERROR(_xlfn.XLOOKUP($A121,Input_Raw!$A:$A,Input_Raw!$CP:$CP)*1000,"")</f>
        <v>1253046</v>
      </c>
      <c r="Y121" s="108">
        <f>IFERROR(_xlfn.XLOOKUP($A121,Input_Raw!$A:$A,Input_Raw!DJ:DJ)*1000,"")</f>
        <v>1253046</v>
      </c>
      <c r="Z121" s="108">
        <f>IFERROR(_xlfn.XLOOKUP($A121,Input_Raw!$A:$A,Input_Raw!DK:DK)*1000,"")</f>
        <v>0</v>
      </c>
      <c r="AA121" s="138">
        <f t="shared" si="12"/>
        <v>1253046</v>
      </c>
      <c r="AB121" s="108">
        <f>IFERROR(_xlfn.XLOOKUP($A121,Input_Raw!$A:$A,Input_Raw!$DR:$DR),"")</f>
        <v>70.400000000000006</v>
      </c>
      <c r="AC121" s="143">
        <f>IFERROR(_xlfn.XLOOKUP($D121,'Modelling New'!$D:$D,'Modelling New'!$J:$J),"")</f>
        <v>9.8233333333333324</v>
      </c>
      <c r="AD121" s="138">
        <f>IFERROR(_xlfn.XLOOKUP($D121,'Modelling New'!$D:$D,'Modelling New'!$T:$T)*1000,"")</f>
        <v>904894.00217495637</v>
      </c>
      <c r="AE121" s="142"/>
      <c r="AF121" s="142">
        <f>IFERROR(_xlfn.XLOOKUP($D121,'Modelling New'!$D:$D,'Modelling New'!$W:$W),"")</f>
        <v>0.53556699939332175</v>
      </c>
      <c r="AG121" s="142">
        <f>IFERROR(_xlfn.XLOOKUP($D121,'Modelling New'!$D:$D,'Modelling New'!$AE:$AE),"")</f>
        <v>0.96029999999999993</v>
      </c>
      <c r="AH121" s="142">
        <f>IFERROR(_xlfn.XLOOKUP($D121,'Modelling New'!$D:$D,'Modelling New'!$AF:$AF),"")</f>
        <v>0.995</v>
      </c>
      <c r="AI121" s="109">
        <f>IFERROR(_xlfn.XLOOKUP($A121,Input_Raw!$A:$A,Input_Raw!$DP:$DP),"")</f>
        <v>1370.72</v>
      </c>
      <c r="AJ121" s="108"/>
      <c r="AK121" s="108"/>
      <c r="AL121" s="108"/>
      <c r="AM121" s="108"/>
      <c r="AN121" s="132">
        <f>IFERROR(_xlfn.XLOOKUP($A121,Input_Raw!$A:$A,Input_Raw!$DL:$DL),"")</f>
        <v>0</v>
      </c>
      <c r="AO121" s="142">
        <f>IFERROR((_xlfn.XLOOKUP($A121,'WTG Reactive Power'!$A:$A,'WTG Reactive Power'!$AW:$AW))/X121,"")</f>
        <v>2.0334295083074893E-4</v>
      </c>
      <c r="AP121" s="142">
        <f>IFERROR(_xlfn.XLOOKUP($D121,'Modelling New'!$D:$D,'Modelling New'!$AK:$AK),"")</f>
        <v>0.05</v>
      </c>
      <c r="AQ121" s="142">
        <f>IFERROR(_xlfn.XLOOKUP($D121,'Modelling New'!$D:$D,'Modelling New'!$AL:$AL),"")</f>
        <v>0.05</v>
      </c>
      <c r="AR121" s="198">
        <f>IFERROR(_xlfn.XLOOKUP($D121,'Modelling New'!$D:$D,'Modelling New'!$N:$N),"")</f>
        <v>70.400000000000006</v>
      </c>
      <c r="AS121" s="198"/>
    </row>
    <row r="122" spans="1:45">
      <c r="A122" s="137">
        <f t="shared" si="13"/>
        <v>45865</v>
      </c>
      <c r="B122" s="138">
        <f>YEAR(Daily_KPI[[#This Row],[Date]])+IF(MONTH(Daily_KPI[[#This Row],[Date]])&gt;=4,1,0)</f>
        <v>2026</v>
      </c>
      <c r="C122" s="108">
        <f>YEAR(Daily_KPI[[#This Row],[Date]])</f>
        <v>2025</v>
      </c>
      <c r="D122" s="139">
        <f>Daily_KPI[[#This Row],[Date]]-DAY(Daily_KPI[[#This Row],[Date]])+1</f>
        <v>45839</v>
      </c>
      <c r="E122" s="108">
        <f t="shared" si="9"/>
        <v>31</v>
      </c>
      <c r="F122" s="109"/>
      <c r="G122" s="143"/>
      <c r="H122" s="143"/>
      <c r="I122" s="143"/>
      <c r="J122" s="143"/>
      <c r="K122" s="111"/>
      <c r="L122" s="110"/>
      <c r="M122" s="110">
        <f>IFERROR(_xlfn.XLOOKUP($A122,Input_Raw!$A:$A,Input_Raw!$CQ:$CQ),"")</f>
        <v>14.096363636363636</v>
      </c>
      <c r="N122" s="110">
        <f>IFERROR(_xlfn.XLOOKUP($A122,Input_Raw!$A:$A,Input_Raw!$CR:$CR),"")</f>
        <v>16.73</v>
      </c>
      <c r="O122" s="141">
        <f t="shared" si="10"/>
        <v>0.98763264757032687</v>
      </c>
      <c r="P122" s="141">
        <f>IFERROR(1-SUMIF(WTG_BD!$F:$F,$A122,WTG_BD!$AA:$AA)/($AA122+SUMIF(WTG_BD!$F:$F,$A122,WTG_BD!$AA:$AA)),"")</f>
        <v>0.98763264757032687</v>
      </c>
      <c r="Q122" s="141">
        <f>IFERROR(1-SUMIF(IGA_BD!$F:$F,$A122,IGA_BD!$W:$W)/($AA122+SUMIF(IGA_BD!$F:$F,$A122,IGA_BD!$W:$W)),"")</f>
        <v>1</v>
      </c>
      <c r="R122" s="141">
        <f>IFERROR(1-SUMIF(Grid_BD!$F:$F,$A122,Grid_BD!$Y:$Y)/($AA122+SUMIF(Grid_BD!$F:$F,$A122,Grid_BD!$Y:$Y)),"")</f>
        <v>1</v>
      </c>
      <c r="S122" s="108"/>
      <c r="T122" s="140"/>
      <c r="U122" s="141"/>
      <c r="V122" s="108"/>
      <c r="W122" s="142">
        <f t="shared" si="11"/>
        <v>0.96027225378787862</v>
      </c>
      <c r="X122" s="108">
        <f>IFERROR(_xlfn.XLOOKUP($A122,Input_Raw!$A:$A,Input_Raw!$CP:$CP)*1000,"")</f>
        <v>1622476</v>
      </c>
      <c r="Y122" s="108">
        <f>IFERROR(_xlfn.XLOOKUP($A122,Input_Raw!$A:$A,Input_Raw!DJ:DJ)*1000,"")</f>
        <v>1622476</v>
      </c>
      <c r="Z122" s="108">
        <f>IFERROR(_xlfn.XLOOKUP($A122,Input_Raw!$A:$A,Input_Raw!DK:DK)*1000,"")</f>
        <v>0</v>
      </c>
      <c r="AA122" s="138">
        <f t="shared" si="12"/>
        <v>1622476</v>
      </c>
      <c r="AB122" s="108">
        <f>IFERROR(_xlfn.XLOOKUP($A122,Input_Raw!$A:$A,Input_Raw!$DR:$DR),"")</f>
        <v>70.400000000000006</v>
      </c>
      <c r="AC122" s="143">
        <f>IFERROR(_xlfn.XLOOKUP($D122,'Modelling New'!$D:$D,'Modelling New'!$J:$J),"")</f>
        <v>9.8233333333333324</v>
      </c>
      <c r="AD122" s="138">
        <f>IFERROR(_xlfn.XLOOKUP($D122,'Modelling New'!$D:$D,'Modelling New'!$T:$T)*1000,"")</f>
        <v>904894.00217495637</v>
      </c>
      <c r="AE122" s="142"/>
      <c r="AF122" s="142">
        <f>IFERROR(_xlfn.XLOOKUP($D122,'Modelling New'!$D:$D,'Modelling New'!$W:$W),"")</f>
        <v>0.53556699939332175</v>
      </c>
      <c r="AG122" s="142">
        <f>IFERROR(_xlfn.XLOOKUP($D122,'Modelling New'!$D:$D,'Modelling New'!$AE:$AE),"")</f>
        <v>0.96029999999999993</v>
      </c>
      <c r="AH122" s="142">
        <f>IFERROR(_xlfn.XLOOKUP($D122,'Modelling New'!$D:$D,'Modelling New'!$AF:$AF),"")</f>
        <v>0.995</v>
      </c>
      <c r="AI122" s="109">
        <f>IFERROR(_xlfn.XLOOKUP($A122,Input_Raw!$A:$A,Input_Raw!$DP:$DP),"")</f>
        <v>1666.19</v>
      </c>
      <c r="AJ122" s="108"/>
      <c r="AK122" s="108"/>
      <c r="AL122" s="108"/>
      <c r="AM122" s="108"/>
      <c r="AN122" s="132">
        <f>IFERROR(_xlfn.XLOOKUP($A122,Input_Raw!$A:$A,Input_Raw!$DL:$DL),"")</f>
        <v>0</v>
      </c>
      <c r="AO122" s="142">
        <f>IFERROR((_xlfn.XLOOKUP($A122,'WTG Reactive Power'!$A:$A,'WTG Reactive Power'!$AW:$AW))/X122,"")</f>
        <v>1.888282723442442E-4</v>
      </c>
      <c r="AP122" s="142">
        <f>IFERROR(_xlfn.XLOOKUP($D122,'Modelling New'!$D:$D,'Modelling New'!$AK:$AK),"")</f>
        <v>0.05</v>
      </c>
      <c r="AQ122" s="142">
        <f>IFERROR(_xlfn.XLOOKUP($D122,'Modelling New'!$D:$D,'Modelling New'!$AL:$AL),"")</f>
        <v>0.05</v>
      </c>
      <c r="AR122" s="198">
        <f>IFERROR(_xlfn.XLOOKUP($D122,'Modelling New'!$D:$D,'Modelling New'!$N:$N),"")</f>
        <v>70.400000000000006</v>
      </c>
      <c r="AS122" s="198"/>
    </row>
    <row r="123" spans="1:45">
      <c r="A123" s="137">
        <f t="shared" si="13"/>
        <v>45866</v>
      </c>
      <c r="B123" s="138">
        <f>YEAR(Daily_KPI[[#This Row],[Date]])+IF(MONTH(Daily_KPI[[#This Row],[Date]])&gt;=4,1,0)</f>
        <v>2026</v>
      </c>
      <c r="C123" s="108">
        <f>YEAR(Daily_KPI[[#This Row],[Date]])</f>
        <v>2025</v>
      </c>
      <c r="D123" s="139">
        <f>Daily_KPI[[#This Row],[Date]]-DAY(Daily_KPI[[#This Row],[Date]])+1</f>
        <v>45839</v>
      </c>
      <c r="E123" s="108">
        <f t="shared" si="9"/>
        <v>31</v>
      </c>
      <c r="F123" s="109"/>
      <c r="G123" s="110"/>
      <c r="H123" s="110"/>
      <c r="I123" s="110"/>
      <c r="J123" s="110"/>
      <c r="K123" s="111"/>
      <c r="L123" s="110"/>
      <c r="M123" s="110">
        <f>IFERROR(_xlfn.XLOOKUP($A123,Input_Raw!$A:$A,Input_Raw!$CQ:$CQ),"")</f>
        <v>13.031818181818181</v>
      </c>
      <c r="N123" s="110">
        <f>IFERROR(_xlfn.XLOOKUP($A123,Input_Raw!$A:$A,Input_Raw!$CR:$CR),"")</f>
        <v>15.15</v>
      </c>
      <c r="O123" s="141">
        <f t="shared" si="10"/>
        <v>0.98044622994538499</v>
      </c>
      <c r="P123" s="141">
        <f>IFERROR(1-SUMIF(WTG_BD!$F:$F,$A123,WTG_BD!$AA:$AA)/($AA123+SUMIF(WTG_BD!$F:$F,$A123,WTG_BD!$AA:$AA)),"")</f>
        <v>0.98211680961549686</v>
      </c>
      <c r="Q123" s="141">
        <f>IFERROR(1-SUMIF(IGA_BD!$F:$F,$A123,IGA_BD!$W:$W)/($AA123+SUMIF(IGA_BD!$F:$F,$A123,IGA_BD!$W:$W)),"")</f>
        <v>0.99829900104167257</v>
      </c>
      <c r="R123" s="141">
        <f>IFERROR(1-SUMIF(Grid_BD!$F:$F,$A123,Grid_BD!$Y:$Y)/($AA123+SUMIF(Grid_BD!$F:$F,$A123,Grid_BD!$Y:$Y)),"")</f>
        <v>1</v>
      </c>
      <c r="S123" s="108"/>
      <c r="T123" s="140"/>
      <c r="U123" s="141"/>
      <c r="V123" s="108"/>
      <c r="W123" s="142">
        <f t="shared" si="11"/>
        <v>0.93646721117424225</v>
      </c>
      <c r="X123" s="108">
        <f>IFERROR(_xlfn.XLOOKUP($A123,Input_Raw!$A:$A,Input_Raw!$CP:$CP)*1000,"")</f>
        <v>1582255</v>
      </c>
      <c r="Y123" s="108">
        <f>IFERROR(_xlfn.XLOOKUP($A123,Input_Raw!$A:$A,Input_Raw!DJ:DJ)*1000,"")</f>
        <v>1582255</v>
      </c>
      <c r="Z123" s="108">
        <f>IFERROR(_xlfn.XLOOKUP($A123,Input_Raw!$A:$A,Input_Raw!DK:DK)*1000,"")</f>
        <v>0</v>
      </c>
      <c r="AA123" s="138">
        <f t="shared" si="12"/>
        <v>1582255</v>
      </c>
      <c r="AB123" s="108">
        <f>IFERROR(_xlfn.XLOOKUP($A123,Input_Raw!$A:$A,Input_Raw!$DR:$DR),"")</f>
        <v>70.400000000000006</v>
      </c>
      <c r="AC123" s="143">
        <f>IFERROR(_xlfn.XLOOKUP($D123,'Modelling New'!$D:$D,'Modelling New'!$J:$J),"")</f>
        <v>9.8233333333333324</v>
      </c>
      <c r="AD123" s="138">
        <f>IFERROR(_xlfn.XLOOKUP($D123,'Modelling New'!$D:$D,'Modelling New'!$T:$T)*1000,"")</f>
        <v>904894.00217495637</v>
      </c>
      <c r="AE123" s="142"/>
      <c r="AF123" s="142">
        <f>IFERROR(_xlfn.XLOOKUP($D123,'Modelling New'!$D:$D,'Modelling New'!$W:$W),"")</f>
        <v>0.53556699939332175</v>
      </c>
      <c r="AG123" s="142">
        <f>IFERROR(_xlfn.XLOOKUP($D123,'Modelling New'!$D:$D,'Modelling New'!$AE:$AE),"")</f>
        <v>0.96029999999999993</v>
      </c>
      <c r="AH123" s="142">
        <f>IFERROR(_xlfn.XLOOKUP($D123,'Modelling New'!$D:$D,'Modelling New'!$AF:$AF),"")</f>
        <v>0.995</v>
      </c>
      <c r="AI123" s="109">
        <f>IFERROR(_xlfn.XLOOKUP($A123,Input_Raw!$A:$A,Input_Raw!$DP:$DP),"")</f>
        <v>1643.41</v>
      </c>
      <c r="AJ123" s="108"/>
      <c r="AK123" s="108"/>
      <c r="AL123" s="108"/>
      <c r="AM123" s="108"/>
      <c r="AN123" s="132">
        <f>IFERROR(_xlfn.XLOOKUP($A123,Input_Raw!$A:$A,Input_Raw!$DL:$DL),"")</f>
        <v>0</v>
      </c>
      <c r="AO123" s="142">
        <f>IFERROR((_xlfn.XLOOKUP($A123,'WTG Reactive Power'!$A:$A,'WTG Reactive Power'!$AW:$AW))/X123,"")</f>
        <v>5.4383594616544111E-5</v>
      </c>
      <c r="AP123" s="142">
        <f>IFERROR(_xlfn.XLOOKUP($D123,'Modelling New'!$D:$D,'Modelling New'!$AK:$AK),"")</f>
        <v>0.05</v>
      </c>
      <c r="AQ123" s="142">
        <f>IFERROR(_xlfn.XLOOKUP($D123,'Modelling New'!$D:$D,'Modelling New'!$AL:$AL),"")</f>
        <v>0.05</v>
      </c>
      <c r="AR123" s="198">
        <f>IFERROR(_xlfn.XLOOKUP($D123,'Modelling New'!$D:$D,'Modelling New'!$N:$N),"")</f>
        <v>70.400000000000006</v>
      </c>
      <c r="AS123" s="198"/>
    </row>
    <row r="124" spans="1:45">
      <c r="A124" s="137">
        <f t="shared" si="13"/>
        <v>45867</v>
      </c>
      <c r="B124" s="138">
        <f>YEAR(Daily_KPI[[#This Row],[Date]])+IF(MONTH(Daily_KPI[[#This Row],[Date]])&gt;=4,1,0)</f>
        <v>2026</v>
      </c>
      <c r="C124" s="108">
        <f>YEAR(Daily_KPI[[#This Row],[Date]])</f>
        <v>2025</v>
      </c>
      <c r="D124" s="139">
        <f>Daily_KPI[[#This Row],[Date]]-DAY(Daily_KPI[[#This Row],[Date]])+1</f>
        <v>45839</v>
      </c>
      <c r="E124" s="108">
        <f t="shared" si="9"/>
        <v>31</v>
      </c>
      <c r="F124" s="109"/>
      <c r="G124" s="143"/>
      <c r="H124" s="143"/>
      <c r="I124" s="143"/>
      <c r="J124" s="143"/>
      <c r="K124" s="111"/>
      <c r="L124" s="110"/>
      <c r="M124" s="110">
        <f>IFERROR(_xlfn.XLOOKUP($A124,Input_Raw!$A:$A,Input_Raw!$CQ:$CQ),"")</f>
        <v>14.139090909090909</v>
      </c>
      <c r="N124" s="110">
        <f>IFERROR(_xlfn.XLOOKUP($A124,Input_Raw!$A:$A,Input_Raw!$CR:$CR),"")</f>
        <v>16.170000000000002</v>
      </c>
      <c r="O124" s="141">
        <f t="shared" si="10"/>
        <v>0.95775266239764634</v>
      </c>
      <c r="P124" s="141">
        <f>IFERROR(1-SUMIF(WTG_BD!$F:$F,$A124,WTG_BD!$AA:$AA)/($AA124+SUMIF(WTG_BD!$F:$F,$A124,WTG_BD!$AA:$AA)),"")</f>
        <v>0.95838057356552631</v>
      </c>
      <c r="Q124" s="141">
        <f>IFERROR(1-SUMIF(IGA_BD!$F:$F,$A124,IGA_BD!$W:$W)/($AA124+SUMIF(IGA_BD!$F:$F,$A124,IGA_BD!$W:$W)),"")</f>
        <v>0.99934482064307306</v>
      </c>
      <c r="R124" s="141">
        <f>IFERROR(1-SUMIF(Grid_BD!$F:$F,$A124,Grid_BD!$Y:$Y)/($AA124+SUMIF(Grid_BD!$F:$F,$A124,Grid_BD!$Y:$Y)),"")</f>
        <v>1</v>
      </c>
      <c r="S124" s="108"/>
      <c r="T124" s="140"/>
      <c r="U124" s="141"/>
      <c r="V124" s="108"/>
      <c r="W124" s="142">
        <f t="shared" si="11"/>
        <v>0.93706261837121196</v>
      </c>
      <c r="X124" s="108">
        <f>IFERROR(_xlfn.XLOOKUP($A124,Input_Raw!$A:$A,Input_Raw!$CP:$CP)*1000,"")</f>
        <v>1583261</v>
      </c>
      <c r="Y124" s="108">
        <f>IFERROR(_xlfn.XLOOKUP($A124,Input_Raw!$A:$A,Input_Raw!DJ:DJ)*1000,"")</f>
        <v>1583261</v>
      </c>
      <c r="Z124" s="108">
        <f>IFERROR(_xlfn.XLOOKUP($A124,Input_Raw!$A:$A,Input_Raw!DK:DK)*1000,"")</f>
        <v>0</v>
      </c>
      <c r="AA124" s="138">
        <f t="shared" si="12"/>
        <v>1583261</v>
      </c>
      <c r="AB124" s="108">
        <f>IFERROR(_xlfn.XLOOKUP($A124,Input_Raw!$A:$A,Input_Raw!$DR:$DR),"")</f>
        <v>70.400000000000006</v>
      </c>
      <c r="AC124" s="143">
        <f>IFERROR(_xlfn.XLOOKUP($D124,'Modelling New'!$D:$D,'Modelling New'!$J:$J),"")</f>
        <v>9.8233333333333324</v>
      </c>
      <c r="AD124" s="138">
        <f>IFERROR(_xlfn.XLOOKUP($D124,'Modelling New'!$D:$D,'Modelling New'!$T:$T)*1000,"")</f>
        <v>904894.00217495637</v>
      </c>
      <c r="AE124" s="142"/>
      <c r="AF124" s="142">
        <f>IFERROR(_xlfn.XLOOKUP($D124,'Modelling New'!$D:$D,'Modelling New'!$W:$W),"")</f>
        <v>0.53556699939332175</v>
      </c>
      <c r="AG124" s="142">
        <f>IFERROR(_xlfn.XLOOKUP($D124,'Modelling New'!$D:$D,'Modelling New'!$AE:$AE),"")</f>
        <v>0.96029999999999993</v>
      </c>
      <c r="AH124" s="142">
        <f>IFERROR(_xlfn.XLOOKUP($D124,'Modelling New'!$D:$D,'Modelling New'!$AF:$AF),"")</f>
        <v>0.995</v>
      </c>
      <c r="AI124" s="109">
        <f>IFERROR(_xlfn.XLOOKUP($A124,Input_Raw!$A:$A,Input_Raw!$DP:$DP),"")</f>
        <v>1672.34</v>
      </c>
      <c r="AJ124" s="108"/>
      <c r="AK124" s="108"/>
      <c r="AL124" s="108"/>
      <c r="AM124" s="108"/>
      <c r="AN124" s="132">
        <f>IFERROR(_xlfn.XLOOKUP($A124,Input_Raw!$A:$A,Input_Raw!$DL:$DL),"")</f>
        <v>0</v>
      </c>
      <c r="AO124" s="142">
        <f>IFERROR((_xlfn.XLOOKUP($A124,'WTG Reactive Power'!$A:$A,'WTG Reactive Power'!$AW:$AW))/X124,"")</f>
        <v>1.2278013290291368E-4</v>
      </c>
      <c r="AP124" s="142">
        <f>IFERROR(_xlfn.XLOOKUP($D124,'Modelling New'!$D:$D,'Modelling New'!$AK:$AK),"")</f>
        <v>0.05</v>
      </c>
      <c r="AQ124" s="142">
        <f>IFERROR(_xlfn.XLOOKUP($D124,'Modelling New'!$D:$D,'Modelling New'!$AL:$AL),"")</f>
        <v>0.05</v>
      </c>
      <c r="AR124" s="198">
        <f>IFERROR(_xlfn.XLOOKUP($D124,'Modelling New'!$D:$D,'Modelling New'!$N:$N),"")</f>
        <v>70.400000000000006</v>
      </c>
      <c r="AS124" s="198"/>
    </row>
    <row r="125" spans="1:45">
      <c r="A125" s="137">
        <f t="shared" si="13"/>
        <v>45868</v>
      </c>
      <c r="B125" s="138">
        <f>YEAR(Daily_KPI[[#This Row],[Date]])+IF(MONTH(Daily_KPI[[#This Row],[Date]])&gt;=4,1,0)</f>
        <v>2026</v>
      </c>
      <c r="C125" s="108">
        <f>YEAR(Daily_KPI[[#This Row],[Date]])</f>
        <v>2025</v>
      </c>
      <c r="D125" s="139">
        <f>Daily_KPI[[#This Row],[Date]]-DAY(Daily_KPI[[#This Row],[Date]])+1</f>
        <v>45839</v>
      </c>
      <c r="E125" s="108">
        <f t="shared" ref="E125:E188" si="14">DAY(EOMONTH(A125,0))</f>
        <v>31</v>
      </c>
      <c r="F125" s="109"/>
      <c r="G125" s="110"/>
      <c r="H125" s="110"/>
      <c r="I125" s="110"/>
      <c r="J125" s="110"/>
      <c r="K125" s="111"/>
      <c r="L125" s="110"/>
      <c r="M125" s="110">
        <f>IFERROR(_xlfn.XLOOKUP($A125,Input_Raw!$A:$A,Input_Raw!$CQ:$CQ),"")</f>
        <v>11.553636363636365</v>
      </c>
      <c r="N125" s="110">
        <f>IFERROR(_xlfn.XLOOKUP($A125,Input_Raw!$A:$A,Input_Raw!$CR:$CR),"")</f>
        <v>13.28</v>
      </c>
      <c r="O125" s="141">
        <f t="shared" ref="O125:O188" si="15">IFERROR(P125*Q125,"")</f>
        <v>0.99917312006128489</v>
      </c>
      <c r="P125" s="141">
        <f>IFERROR(1-SUMIF(WTG_BD!$F:$F,$A125,WTG_BD!$AA:$AA)/($AA125+SUMIF(WTG_BD!$F:$F,$A125,WTG_BD!$AA:$AA)),"")</f>
        <v>0.99917312006128489</v>
      </c>
      <c r="Q125" s="141">
        <f>IFERROR(1-SUMIF(IGA_BD!$F:$F,$A125,IGA_BD!$W:$W)/($AA125+SUMIF(IGA_BD!$F:$F,$A125,IGA_BD!$W:$W)),"")</f>
        <v>1</v>
      </c>
      <c r="R125" s="141">
        <f>IFERROR(1-SUMIF(Grid_BD!$F:$F,$A125,Grid_BD!$Y:$Y)/($AA125+SUMIF(Grid_BD!$F:$F,$A125,Grid_BD!$Y:$Y)),"")</f>
        <v>1</v>
      </c>
      <c r="S125" s="108"/>
      <c r="T125" s="140"/>
      <c r="U125" s="141"/>
      <c r="V125" s="108"/>
      <c r="W125" s="142">
        <f t="shared" ref="W125:W188" si="16">IFERROR(X125/(24*AB125*1000),"")</f>
        <v>0.91399798768939378</v>
      </c>
      <c r="X125" s="108">
        <f>IFERROR(_xlfn.XLOOKUP($A125,Input_Raw!$A:$A,Input_Raw!$CP:$CP)*1000,"")</f>
        <v>1544291</v>
      </c>
      <c r="Y125" s="108">
        <f>IFERROR(_xlfn.XLOOKUP($A125,Input_Raw!$A:$A,Input_Raw!DJ:DJ)*1000,"")</f>
        <v>1544291.0000000002</v>
      </c>
      <c r="Z125" s="108">
        <f>IFERROR(_xlfn.XLOOKUP($A125,Input_Raw!$A:$A,Input_Raw!DK:DK)*1000,"")</f>
        <v>0</v>
      </c>
      <c r="AA125" s="138">
        <f t="shared" ref="AA125:AA188" si="17">IFERROR(Y125-Z125,"")</f>
        <v>1544291.0000000002</v>
      </c>
      <c r="AB125" s="108">
        <f>IFERROR(_xlfn.XLOOKUP($A125,Input_Raw!$A:$A,Input_Raw!$DR:$DR),"")</f>
        <v>70.400000000000006</v>
      </c>
      <c r="AC125" s="143">
        <f>IFERROR(_xlfn.XLOOKUP($D125,'Modelling New'!$D:$D,'Modelling New'!$J:$J),"")</f>
        <v>9.8233333333333324</v>
      </c>
      <c r="AD125" s="138">
        <f>IFERROR(_xlfn.XLOOKUP($D125,'Modelling New'!$D:$D,'Modelling New'!$T:$T)*1000,"")</f>
        <v>904894.00217495637</v>
      </c>
      <c r="AE125" s="142"/>
      <c r="AF125" s="142">
        <f>IFERROR(_xlfn.XLOOKUP($D125,'Modelling New'!$D:$D,'Modelling New'!$W:$W),"")</f>
        <v>0.53556699939332175</v>
      </c>
      <c r="AG125" s="142">
        <f>IFERROR(_xlfn.XLOOKUP($D125,'Modelling New'!$D:$D,'Modelling New'!$AE:$AE),"")</f>
        <v>0.96029999999999993</v>
      </c>
      <c r="AH125" s="142">
        <f>IFERROR(_xlfn.XLOOKUP($D125,'Modelling New'!$D:$D,'Modelling New'!$AF:$AF),"")</f>
        <v>0.995</v>
      </c>
      <c r="AI125" s="109">
        <f>IFERROR(_xlfn.XLOOKUP($A125,Input_Raw!$A:$A,Input_Raw!$DP:$DP),"")</f>
        <v>1555.74</v>
      </c>
      <c r="AJ125" s="108"/>
      <c r="AK125" s="108"/>
      <c r="AL125" s="108"/>
      <c r="AM125" s="108"/>
      <c r="AN125" s="132">
        <f>IFERROR(_xlfn.XLOOKUP($A125,Input_Raw!$A:$A,Input_Raw!$DL:$DL),"")</f>
        <v>2.2204460492503131E-16</v>
      </c>
      <c r="AO125" s="142">
        <f>IFERROR((_xlfn.XLOOKUP($A125,'WTG Reactive Power'!$A:$A,'WTG Reactive Power'!$AW:$AW))/X125,"")</f>
        <v>1.8844605043134136E-4</v>
      </c>
      <c r="AP125" s="142">
        <f>IFERROR(_xlfn.XLOOKUP($D125,'Modelling New'!$D:$D,'Modelling New'!$AK:$AK),"")</f>
        <v>0.05</v>
      </c>
      <c r="AQ125" s="142">
        <f>IFERROR(_xlfn.XLOOKUP($D125,'Modelling New'!$D:$D,'Modelling New'!$AL:$AL),"")</f>
        <v>0.05</v>
      </c>
      <c r="AR125" s="198">
        <f>IFERROR(_xlfn.XLOOKUP($D125,'Modelling New'!$D:$D,'Modelling New'!$N:$N),"")</f>
        <v>70.400000000000006</v>
      </c>
      <c r="AS125" s="198"/>
    </row>
    <row r="126" spans="1:45">
      <c r="A126" s="137">
        <f t="shared" si="13"/>
        <v>45869</v>
      </c>
      <c r="B126" s="138">
        <f>YEAR(Daily_KPI[[#This Row],[Date]])+IF(MONTH(Daily_KPI[[#This Row],[Date]])&gt;=4,1,0)</f>
        <v>2026</v>
      </c>
      <c r="C126" s="108">
        <f>YEAR(Daily_KPI[[#This Row],[Date]])</f>
        <v>2025</v>
      </c>
      <c r="D126" s="139">
        <f>Daily_KPI[[#This Row],[Date]]-DAY(Daily_KPI[[#This Row],[Date]])+1</f>
        <v>45839</v>
      </c>
      <c r="E126" s="108">
        <f t="shared" si="14"/>
        <v>31</v>
      </c>
      <c r="F126" s="109"/>
      <c r="G126" s="143"/>
      <c r="H126" s="143"/>
      <c r="I126" s="143"/>
      <c r="J126" s="143"/>
      <c r="K126" s="111"/>
      <c r="L126" s="110"/>
      <c r="M126" s="110">
        <f>IFERROR(_xlfn.XLOOKUP($A126,Input_Raw!$A:$A,Input_Raw!$CQ:$CQ),"")</f>
        <v>10.877954545454546</v>
      </c>
      <c r="N126" s="110">
        <f>IFERROR(_xlfn.XLOOKUP($A126,Input_Raw!$A:$A,Input_Raw!$CR:$CR),"")</f>
        <v>13.31</v>
      </c>
      <c r="O126" s="141">
        <f t="shared" si="15"/>
        <v>0.99372103113706711</v>
      </c>
      <c r="P126" s="141">
        <f>IFERROR(1-SUMIF(WTG_BD!$F:$F,$A126,WTG_BD!$AA:$AA)/($AA126+SUMIF(WTG_BD!$F:$F,$A126,WTG_BD!$AA:$AA)),"")</f>
        <v>0.99372103113706711</v>
      </c>
      <c r="Q126" s="141">
        <f>IFERROR(1-SUMIF(IGA_BD!$F:$F,$A126,IGA_BD!$W:$W)/($AA126+SUMIF(IGA_BD!$F:$F,$A126,IGA_BD!$W:$W)),"")</f>
        <v>1</v>
      </c>
      <c r="R126" s="141">
        <f>IFERROR(1-SUMIF(Grid_BD!$F:$F,$A126,Grid_BD!$Y:$Y)/($AA126+SUMIF(Grid_BD!$F:$F,$A126,Grid_BD!$Y:$Y)),"")</f>
        <v>1</v>
      </c>
      <c r="S126" s="108"/>
      <c r="T126" s="140"/>
      <c r="U126" s="141"/>
      <c r="V126" s="108"/>
      <c r="W126" s="142">
        <f t="shared" si="16"/>
        <v>0.82821437026515143</v>
      </c>
      <c r="X126" s="108">
        <f>IFERROR(_xlfn.XLOOKUP($A126,Input_Raw!$A:$A,Input_Raw!$CP:$CP)*1000,"")</f>
        <v>1399351</v>
      </c>
      <c r="Y126" s="108">
        <f>IFERROR(_xlfn.XLOOKUP($A126,Input_Raw!$A:$A,Input_Raw!DJ:DJ)*1000,"")</f>
        <v>1399351</v>
      </c>
      <c r="Z126" s="108">
        <f>IFERROR(_xlfn.XLOOKUP($A126,Input_Raw!$A:$A,Input_Raw!DK:DK)*1000,"")</f>
        <v>0</v>
      </c>
      <c r="AA126" s="138">
        <f t="shared" si="17"/>
        <v>1399351</v>
      </c>
      <c r="AB126" s="108">
        <f>IFERROR(_xlfn.XLOOKUP($A126,Input_Raw!$A:$A,Input_Raw!$DR:$DR),"")</f>
        <v>70.400000000000006</v>
      </c>
      <c r="AC126" s="143">
        <f>IFERROR(_xlfn.XLOOKUP($D126,'Modelling New'!$D:$D,'Modelling New'!$J:$J),"")</f>
        <v>9.8233333333333324</v>
      </c>
      <c r="AD126" s="138">
        <f>IFERROR(_xlfn.XLOOKUP($D126,'Modelling New'!$D:$D,'Modelling New'!$T:$T)*1000,"")</f>
        <v>904894.00217495637</v>
      </c>
      <c r="AE126" s="142"/>
      <c r="AF126" s="142">
        <f>IFERROR(_xlfn.XLOOKUP($D126,'Modelling New'!$D:$D,'Modelling New'!$W:$W),"")</f>
        <v>0.53556699939332175</v>
      </c>
      <c r="AG126" s="142">
        <f>IFERROR(_xlfn.XLOOKUP($D126,'Modelling New'!$D:$D,'Modelling New'!$AE:$AE),"")</f>
        <v>0.96029999999999993</v>
      </c>
      <c r="AH126" s="142">
        <f>IFERROR(_xlfn.XLOOKUP($D126,'Modelling New'!$D:$D,'Modelling New'!$AF:$AF),"")</f>
        <v>0.995</v>
      </c>
      <c r="AI126" s="109">
        <f>IFERROR(_xlfn.XLOOKUP($A126,Input_Raw!$A:$A,Input_Raw!$DP:$DP),"")</f>
        <v>1386.1</v>
      </c>
      <c r="AJ126" s="108"/>
      <c r="AK126" s="108"/>
      <c r="AL126" s="108"/>
      <c r="AM126" s="108"/>
      <c r="AN126" s="132">
        <f>IFERROR(_xlfn.XLOOKUP($A126,Input_Raw!$A:$A,Input_Raw!$DL:$DL),"")</f>
        <v>0</v>
      </c>
      <c r="AO126" s="142">
        <f>IFERROR((_xlfn.XLOOKUP($A126,'WTG Reactive Power'!$A:$A,'WTG Reactive Power'!$AW:$AW))/X126,"")</f>
        <v>1.8850793796552836E-4</v>
      </c>
      <c r="AP126" s="142">
        <f>IFERROR(_xlfn.XLOOKUP($D126,'Modelling New'!$D:$D,'Modelling New'!$AK:$AK),"")</f>
        <v>0.05</v>
      </c>
      <c r="AQ126" s="142">
        <f>IFERROR(_xlfn.XLOOKUP($D126,'Modelling New'!$D:$D,'Modelling New'!$AL:$AL),"")</f>
        <v>0.05</v>
      </c>
      <c r="AR126" s="198">
        <f>IFERROR(_xlfn.XLOOKUP($D126,'Modelling New'!$D:$D,'Modelling New'!$N:$N),"")</f>
        <v>70.400000000000006</v>
      </c>
      <c r="AS126" s="198"/>
    </row>
    <row r="127" spans="1:45">
      <c r="A127" s="137">
        <f t="shared" ref="A127:A190" si="18">A126+1</f>
        <v>45870</v>
      </c>
      <c r="B127" s="138">
        <f>YEAR(Daily_KPI[[#This Row],[Date]])+IF(MONTH(Daily_KPI[[#This Row],[Date]])&gt;=4,1,0)</f>
        <v>2026</v>
      </c>
      <c r="C127" s="108">
        <f>YEAR(Daily_KPI[[#This Row],[Date]])</f>
        <v>2025</v>
      </c>
      <c r="D127" s="139">
        <f>Daily_KPI[[#This Row],[Date]]-DAY(Daily_KPI[[#This Row],[Date]])+1</f>
        <v>45870</v>
      </c>
      <c r="E127" s="108">
        <f t="shared" si="14"/>
        <v>31</v>
      </c>
      <c r="F127" s="109"/>
      <c r="G127" s="110"/>
      <c r="H127" s="110"/>
      <c r="I127" s="110"/>
      <c r="J127" s="110"/>
      <c r="K127" s="111"/>
      <c r="L127" s="110"/>
      <c r="M127" s="110">
        <f>IFERROR(_xlfn.XLOOKUP($A127,Input_Raw!$A:$A,Input_Raw!$CQ:$CQ),"")</f>
        <v>7.561136363636364</v>
      </c>
      <c r="N127" s="110">
        <f>IFERROR(_xlfn.XLOOKUP($A127,Input_Raw!$A:$A,Input_Raw!$CR:$CR),"")</f>
        <v>9.0500000000000007</v>
      </c>
      <c r="O127" s="141">
        <f t="shared" si="15"/>
        <v>0.99793798769304232</v>
      </c>
      <c r="P127" s="141">
        <f>IFERROR(1-SUMIF(WTG_BD!$F:$F,$A127,WTG_BD!$AA:$AA)/($AA127+SUMIF(WTG_BD!$F:$F,$A127,WTG_BD!$AA:$AA)),"")</f>
        <v>0.99793798769304232</v>
      </c>
      <c r="Q127" s="141">
        <f>IFERROR(1-SUMIF(IGA_BD!$F:$F,$A127,IGA_BD!$W:$W)/($AA127+SUMIF(IGA_BD!$F:$F,$A127,IGA_BD!$W:$W)),"")</f>
        <v>1</v>
      </c>
      <c r="R127" s="141">
        <f>IFERROR(1-SUMIF(Grid_BD!$F:$F,$A127,Grid_BD!$Y:$Y)/($AA127+SUMIF(Grid_BD!$F:$F,$A127,Grid_BD!$Y:$Y)),"")</f>
        <v>1</v>
      </c>
      <c r="S127" s="108"/>
      <c r="T127" s="140"/>
      <c r="U127" s="141"/>
      <c r="V127" s="108"/>
      <c r="W127" s="142">
        <f t="shared" si="16"/>
        <v>0.43538352272727265</v>
      </c>
      <c r="X127" s="108">
        <f>IFERROR(_xlfn.XLOOKUP($A127,Input_Raw!$A:$A,Input_Raw!$CP:$CP)*1000,"")</f>
        <v>735624</v>
      </c>
      <c r="Y127" s="108">
        <f>IFERROR(_xlfn.XLOOKUP($A127,Input_Raw!$A:$A,Input_Raw!DJ:DJ)*1000,"")</f>
        <v>735624</v>
      </c>
      <c r="Z127" s="108">
        <f>IFERROR(_xlfn.XLOOKUP($A127,Input_Raw!$A:$A,Input_Raw!DK:DK)*1000,"")</f>
        <v>0</v>
      </c>
      <c r="AA127" s="138">
        <f t="shared" si="17"/>
        <v>735624</v>
      </c>
      <c r="AB127" s="108">
        <f>IFERROR(_xlfn.XLOOKUP($A127,Input_Raw!$A:$A,Input_Raw!$DR:$DR),"")</f>
        <v>70.400000000000006</v>
      </c>
      <c r="AC127" s="143">
        <f>IFERROR(_xlfn.XLOOKUP($D127,'Modelling New'!$D:$D,'Modelling New'!$J:$J),"")</f>
        <v>9.1</v>
      </c>
      <c r="AD127" s="138">
        <f>IFERROR(_xlfn.XLOOKUP($D127,'Modelling New'!$D:$D,'Modelling New'!$T:$T)*1000,"")</f>
        <v>1057470.497769533</v>
      </c>
      <c r="AE127" s="142"/>
      <c r="AF127" s="142">
        <f>IFERROR(_xlfn.XLOOKUP($D127,'Modelling New'!$D:$D,'Modelling New'!$W:$W),"")</f>
        <v>0.62587032301700574</v>
      </c>
      <c r="AG127" s="142">
        <f>IFERROR(_xlfn.XLOOKUP($D127,'Modelling New'!$D:$D,'Modelling New'!$AE:$AE),"")</f>
        <v>0.96029999999999993</v>
      </c>
      <c r="AH127" s="142">
        <f>IFERROR(_xlfn.XLOOKUP($D127,'Modelling New'!$D:$D,'Modelling New'!$AF:$AF),"")</f>
        <v>0.995</v>
      </c>
      <c r="AI127" s="109">
        <f>IFERROR(_xlfn.XLOOKUP($A127,Input_Raw!$A:$A,Input_Raw!$DP:$DP),"")</f>
        <v>665.1</v>
      </c>
      <c r="AJ127" s="108"/>
      <c r="AK127" s="108"/>
      <c r="AL127" s="108"/>
      <c r="AM127" s="108"/>
      <c r="AN127" s="132">
        <f>IFERROR(_xlfn.XLOOKUP($A127,Input_Raw!$A:$A,Input_Raw!$DL:$DL),"")</f>
        <v>0</v>
      </c>
      <c r="AO127" s="142">
        <f>IFERROR((_xlfn.XLOOKUP($A127,'WTG Reactive Power'!$A:$A,'WTG Reactive Power'!$AW:$AW))/X127,"")</f>
        <v>1.8251802302081854E-4</v>
      </c>
      <c r="AP127" s="142">
        <f>IFERROR(_xlfn.XLOOKUP($D127,'Modelling New'!$D:$D,'Modelling New'!$AK:$AK),"")</f>
        <v>0.05</v>
      </c>
      <c r="AQ127" s="142">
        <f>IFERROR(_xlfn.XLOOKUP($D127,'Modelling New'!$D:$D,'Modelling New'!$AL:$AL),"")</f>
        <v>0.05</v>
      </c>
      <c r="AR127" s="198">
        <f>IFERROR(_xlfn.XLOOKUP($D127,'Modelling New'!$D:$D,'Modelling New'!$N:$N),"")</f>
        <v>70.400000000000006</v>
      </c>
      <c r="AS127" s="198"/>
    </row>
    <row r="128" spans="1:45">
      <c r="A128" s="137">
        <f t="shared" si="18"/>
        <v>45871</v>
      </c>
      <c r="B128" s="138">
        <f>YEAR(Daily_KPI[[#This Row],[Date]])+IF(MONTH(Daily_KPI[[#This Row],[Date]])&gt;=4,1,0)</f>
        <v>2026</v>
      </c>
      <c r="C128" s="108">
        <f>YEAR(Daily_KPI[[#This Row],[Date]])</f>
        <v>2025</v>
      </c>
      <c r="D128" s="139">
        <f>Daily_KPI[[#This Row],[Date]]-DAY(Daily_KPI[[#This Row],[Date]])+1</f>
        <v>45870</v>
      </c>
      <c r="E128" s="108">
        <f t="shared" si="14"/>
        <v>31</v>
      </c>
      <c r="F128" s="109"/>
      <c r="G128" s="143"/>
      <c r="H128" s="143"/>
      <c r="I128" s="143"/>
      <c r="J128" s="143"/>
      <c r="K128" s="111"/>
      <c r="L128" s="110"/>
      <c r="M128" s="110">
        <f>IFERROR(_xlfn.XLOOKUP($A128,Input_Raw!$A:$A,Input_Raw!$CQ:$CQ),"")</f>
        <v>6.5170454545454533</v>
      </c>
      <c r="N128" s="110">
        <f>IFERROR(_xlfn.XLOOKUP($A128,Input_Raw!$A:$A,Input_Raw!$CR:$CR),"")</f>
        <v>7.92</v>
      </c>
      <c r="O128" s="141">
        <f t="shared" si="15"/>
        <v>0.99919939890698684</v>
      </c>
      <c r="P128" s="141">
        <f>IFERROR(1-SUMIF(WTG_BD!$F:$F,$A128,WTG_BD!$AA:$AA)/($AA128+SUMIF(WTG_BD!$F:$F,$A128,WTG_BD!$AA:$AA)),"")</f>
        <v>0.99919939890698684</v>
      </c>
      <c r="Q128" s="141">
        <f>IFERROR(1-SUMIF(IGA_BD!$F:$F,$A128,IGA_BD!$W:$W)/($AA128+SUMIF(IGA_BD!$F:$F,$A128,IGA_BD!$W:$W)),"")</f>
        <v>1</v>
      </c>
      <c r="R128" s="141">
        <f>IFERROR(1-SUMIF(Grid_BD!$F:$F,$A128,Grid_BD!$Y:$Y)/($AA128+SUMIF(Grid_BD!$F:$F,$A128,Grid_BD!$Y:$Y)),"")</f>
        <v>1</v>
      </c>
      <c r="S128" s="108"/>
      <c r="T128" s="140"/>
      <c r="U128" s="141"/>
      <c r="V128" s="108"/>
      <c r="W128" s="142">
        <f t="shared" si="16"/>
        <v>0.27626361268939392</v>
      </c>
      <c r="X128" s="108">
        <f>IFERROR(_xlfn.XLOOKUP($A128,Input_Raw!$A:$A,Input_Raw!$CP:$CP)*1000,"")</f>
        <v>466775</v>
      </c>
      <c r="Y128" s="108">
        <f>IFERROR(_xlfn.XLOOKUP($A128,Input_Raw!$A:$A,Input_Raw!DJ:DJ)*1000,"")</f>
        <v>466775</v>
      </c>
      <c r="Z128" s="108">
        <f>IFERROR(_xlfn.XLOOKUP($A128,Input_Raw!$A:$A,Input_Raw!DK:DK)*1000,"")</f>
        <v>0</v>
      </c>
      <c r="AA128" s="138">
        <f t="shared" si="17"/>
        <v>466775</v>
      </c>
      <c r="AB128" s="108">
        <f>IFERROR(_xlfn.XLOOKUP($A128,Input_Raw!$A:$A,Input_Raw!$DR:$DR),"")</f>
        <v>70.400000000000006</v>
      </c>
      <c r="AC128" s="143">
        <f>IFERROR(_xlfn.XLOOKUP($D128,'Modelling New'!$D:$D,'Modelling New'!$J:$J),"")</f>
        <v>9.1</v>
      </c>
      <c r="AD128" s="138">
        <f>IFERROR(_xlfn.XLOOKUP($D128,'Modelling New'!$D:$D,'Modelling New'!$T:$T)*1000,"")</f>
        <v>1057470.497769533</v>
      </c>
      <c r="AE128" s="142"/>
      <c r="AF128" s="142">
        <f>IFERROR(_xlfn.XLOOKUP($D128,'Modelling New'!$D:$D,'Modelling New'!$W:$W),"")</f>
        <v>0.62587032301700574</v>
      </c>
      <c r="AG128" s="142">
        <f>IFERROR(_xlfn.XLOOKUP($D128,'Modelling New'!$D:$D,'Modelling New'!$AE:$AE),"")</f>
        <v>0.96029999999999993</v>
      </c>
      <c r="AH128" s="142">
        <f>IFERROR(_xlfn.XLOOKUP($D128,'Modelling New'!$D:$D,'Modelling New'!$AF:$AF),"")</f>
        <v>0.995</v>
      </c>
      <c r="AI128" s="109">
        <f>IFERROR(_xlfn.XLOOKUP($A128,Input_Raw!$A:$A,Input_Raw!$DP:$DP),"")</f>
        <v>416.51</v>
      </c>
      <c r="AJ128" s="108"/>
      <c r="AK128" s="108"/>
      <c r="AL128" s="108"/>
      <c r="AM128" s="108"/>
      <c r="AN128" s="132">
        <f>IFERROR(_xlfn.XLOOKUP($A128,Input_Raw!$A:$A,Input_Raw!$DL:$DL),"")</f>
        <v>0</v>
      </c>
      <c r="AO128" s="142">
        <f>IFERROR((_xlfn.XLOOKUP($A128,'WTG Reactive Power'!$A:$A,'WTG Reactive Power'!$AW:$AW))/X128,"")</f>
        <v>1.837300069626694E-4</v>
      </c>
      <c r="AP128" s="142">
        <f>IFERROR(_xlfn.XLOOKUP($D128,'Modelling New'!$D:$D,'Modelling New'!$AK:$AK),"")</f>
        <v>0.05</v>
      </c>
      <c r="AQ128" s="142">
        <f>IFERROR(_xlfn.XLOOKUP($D128,'Modelling New'!$D:$D,'Modelling New'!$AL:$AL),"")</f>
        <v>0.05</v>
      </c>
      <c r="AR128" s="198">
        <f>IFERROR(_xlfn.XLOOKUP($D128,'Modelling New'!$D:$D,'Modelling New'!$N:$N),"")</f>
        <v>70.400000000000006</v>
      </c>
      <c r="AS128" s="198"/>
    </row>
    <row r="129" spans="1:45">
      <c r="A129" s="137">
        <f t="shared" si="18"/>
        <v>45872</v>
      </c>
      <c r="B129" s="138">
        <f>YEAR(Daily_KPI[[#This Row],[Date]])+IF(MONTH(Daily_KPI[[#This Row],[Date]])&gt;=4,1,0)</f>
        <v>2026</v>
      </c>
      <c r="C129" s="108">
        <f>YEAR(Daily_KPI[[#This Row],[Date]])</f>
        <v>2025</v>
      </c>
      <c r="D129" s="139">
        <f>Daily_KPI[[#This Row],[Date]]-DAY(Daily_KPI[[#This Row],[Date]])+1</f>
        <v>45870</v>
      </c>
      <c r="E129" s="108">
        <f t="shared" si="14"/>
        <v>31</v>
      </c>
      <c r="F129" s="109"/>
      <c r="G129" s="110"/>
      <c r="H129" s="110"/>
      <c r="I129" s="110"/>
      <c r="J129" s="110"/>
      <c r="K129" s="111"/>
      <c r="L129" s="110"/>
      <c r="M129" s="110" t="str">
        <f>IFERROR(_xlfn.XLOOKUP($A129,Input_Raw!$A:$A,Input_Raw!$CQ:$CQ),"")</f>
        <v/>
      </c>
      <c r="N129" s="110" t="str">
        <f>IFERROR(_xlfn.XLOOKUP($A129,Input_Raw!$A:$A,Input_Raw!$CR:$CR),"")</f>
        <v/>
      </c>
      <c r="O129" s="141" t="str">
        <f t="shared" si="15"/>
        <v/>
      </c>
      <c r="P129" s="141" t="str">
        <f>IFERROR(1-SUMIF(WTG_BD!$F:$F,$A129,WTG_BD!$AA:$AA)/($AA129+SUMIF(WTG_BD!$F:$F,$A129,WTG_BD!$AA:$AA)),"")</f>
        <v/>
      </c>
      <c r="Q129" s="141" t="str">
        <f>IFERROR(1-SUMIF(IGA_BD!$F:$F,$A129,IGA_BD!$W:$W)/($AA129+SUMIF(IGA_BD!$F:$F,$A129,IGA_BD!$W:$W)),"")</f>
        <v/>
      </c>
      <c r="R129" s="141" t="str">
        <f>IFERROR(1-SUMIF(Grid_BD!$F:$F,$A129,Grid_BD!$Y:$Y)/($AA129+SUMIF(Grid_BD!$F:$F,$A129,Grid_BD!$Y:$Y)),"")</f>
        <v/>
      </c>
      <c r="S129" s="108"/>
      <c r="T129" s="140"/>
      <c r="U129" s="141"/>
      <c r="V129" s="108"/>
      <c r="W129" s="142" t="str">
        <f t="shared" si="16"/>
        <v/>
      </c>
      <c r="X129" s="108" t="str">
        <f>IFERROR(_xlfn.XLOOKUP($A129,Input_Raw!$A:$A,Input_Raw!$CP:$CP)*1000,"")</f>
        <v/>
      </c>
      <c r="Y129" s="108" t="str">
        <f>IFERROR(_xlfn.XLOOKUP($A129,Input_Raw!$A:$A,Input_Raw!DJ:DJ)*1000,"")</f>
        <v/>
      </c>
      <c r="Z129" s="108" t="str">
        <f>IFERROR(_xlfn.XLOOKUP($A129,Input_Raw!$A:$A,Input_Raw!DK:DK)*1000,"")</f>
        <v/>
      </c>
      <c r="AA129" s="138" t="str">
        <f t="shared" si="17"/>
        <v/>
      </c>
      <c r="AB129" s="108" t="str">
        <f>IFERROR(_xlfn.XLOOKUP($A129,Input_Raw!$A:$A,Input_Raw!$DR:$DR),"")</f>
        <v/>
      </c>
      <c r="AC129" s="143">
        <f>IFERROR(_xlfn.XLOOKUP($D129,'Modelling New'!$D:$D,'Modelling New'!$J:$J),"")</f>
        <v>9.1</v>
      </c>
      <c r="AD129" s="138">
        <f>IFERROR(_xlfn.XLOOKUP($D129,'Modelling New'!$D:$D,'Modelling New'!$T:$T)*1000,"")</f>
        <v>1057470.497769533</v>
      </c>
      <c r="AE129" s="142"/>
      <c r="AF129" s="142">
        <f>IFERROR(_xlfn.XLOOKUP($D129,'Modelling New'!$D:$D,'Modelling New'!$W:$W),"")</f>
        <v>0.62587032301700574</v>
      </c>
      <c r="AG129" s="142">
        <f>IFERROR(_xlfn.XLOOKUP($D129,'Modelling New'!$D:$D,'Modelling New'!$AE:$AE),"")</f>
        <v>0.96029999999999993</v>
      </c>
      <c r="AH129" s="142">
        <f>IFERROR(_xlfn.XLOOKUP($D129,'Modelling New'!$D:$D,'Modelling New'!$AF:$AF),"")</f>
        <v>0.995</v>
      </c>
      <c r="AI129" s="109" t="str">
        <f>IFERROR(_xlfn.XLOOKUP($A129,Input_Raw!$A:$A,Input_Raw!$DP:$DP),"")</f>
        <v/>
      </c>
      <c r="AJ129" s="108"/>
      <c r="AK129" s="108"/>
      <c r="AL129" s="108"/>
      <c r="AM129" s="108"/>
      <c r="AN129" s="132" t="str">
        <f>IFERROR(_xlfn.XLOOKUP($A129,Input_Raw!$A:$A,Input_Raw!$DL:$DL),"")</f>
        <v/>
      </c>
      <c r="AO129" s="142" t="str">
        <f>IFERROR((_xlfn.XLOOKUP($A129,'WTG Reactive Power'!$A:$A,'WTG Reactive Power'!$AW:$AW))/X129,"")</f>
        <v/>
      </c>
      <c r="AP129" s="142">
        <f>IFERROR(_xlfn.XLOOKUP($D129,'Modelling New'!$D:$D,'Modelling New'!$AK:$AK),"")</f>
        <v>0.05</v>
      </c>
      <c r="AQ129" s="142">
        <f>IFERROR(_xlfn.XLOOKUP($D129,'Modelling New'!$D:$D,'Modelling New'!$AL:$AL),"")</f>
        <v>0.05</v>
      </c>
      <c r="AR129" s="198">
        <f>IFERROR(_xlfn.XLOOKUP($D129,'Modelling New'!$D:$D,'Modelling New'!$N:$N),"")</f>
        <v>70.400000000000006</v>
      </c>
      <c r="AS129" s="198"/>
    </row>
    <row r="130" spans="1:45">
      <c r="A130" s="137">
        <f t="shared" si="18"/>
        <v>45873</v>
      </c>
      <c r="B130" s="138">
        <f>YEAR(Daily_KPI[[#This Row],[Date]])+IF(MONTH(Daily_KPI[[#This Row],[Date]])&gt;=4,1,0)</f>
        <v>2026</v>
      </c>
      <c r="C130" s="108">
        <f>YEAR(Daily_KPI[[#This Row],[Date]])</f>
        <v>2025</v>
      </c>
      <c r="D130" s="139">
        <f>Daily_KPI[[#This Row],[Date]]-DAY(Daily_KPI[[#This Row],[Date]])+1</f>
        <v>45870</v>
      </c>
      <c r="E130" s="108">
        <f t="shared" si="14"/>
        <v>31</v>
      </c>
      <c r="F130" s="109"/>
      <c r="G130" s="143"/>
      <c r="H130" s="143"/>
      <c r="I130" s="143"/>
      <c r="J130" s="143"/>
      <c r="K130" s="111"/>
      <c r="L130" s="110"/>
      <c r="M130" s="110" t="str">
        <f>IFERROR(_xlfn.XLOOKUP($A130,Input_Raw!$A:$A,Input_Raw!$CQ:$CQ),"")</f>
        <v/>
      </c>
      <c r="N130" s="110" t="str">
        <f>IFERROR(_xlfn.XLOOKUP($A130,Input_Raw!$A:$A,Input_Raw!$CR:$CR),"")</f>
        <v/>
      </c>
      <c r="O130" s="141" t="str">
        <f t="shared" si="15"/>
        <v/>
      </c>
      <c r="P130" s="141" t="str">
        <f>IFERROR(1-SUMIF(WTG_BD!$F:$F,$A130,WTG_BD!$AA:$AA)/($AA130+SUMIF(WTG_BD!$F:$F,$A130,WTG_BD!$AA:$AA)),"")</f>
        <v/>
      </c>
      <c r="Q130" s="141" t="str">
        <f>IFERROR(1-SUMIF(IGA_BD!$F:$F,$A130,IGA_BD!$W:$W)/($AA130+SUMIF(IGA_BD!$F:$F,$A130,IGA_BD!$W:$W)),"")</f>
        <v/>
      </c>
      <c r="R130" s="141" t="str">
        <f>IFERROR(1-SUMIF(Grid_BD!$F:$F,$A130,Grid_BD!$Y:$Y)/($AA130+SUMIF(Grid_BD!$F:$F,$A130,Grid_BD!$Y:$Y)),"")</f>
        <v/>
      </c>
      <c r="S130" s="108"/>
      <c r="T130" s="140"/>
      <c r="U130" s="141"/>
      <c r="V130" s="108"/>
      <c r="W130" s="142" t="str">
        <f t="shared" si="16"/>
        <v/>
      </c>
      <c r="X130" s="108" t="str">
        <f>IFERROR(_xlfn.XLOOKUP($A130,Input_Raw!$A:$A,Input_Raw!$CP:$CP)*1000,"")</f>
        <v/>
      </c>
      <c r="Y130" s="108" t="str">
        <f>IFERROR(_xlfn.XLOOKUP($A130,Input_Raw!$A:$A,Input_Raw!DJ:DJ)*1000,"")</f>
        <v/>
      </c>
      <c r="Z130" s="108" t="str">
        <f>IFERROR(_xlfn.XLOOKUP($A130,Input_Raw!$A:$A,Input_Raw!DK:DK)*1000,"")</f>
        <v/>
      </c>
      <c r="AA130" s="138" t="str">
        <f t="shared" si="17"/>
        <v/>
      </c>
      <c r="AB130" s="108" t="str">
        <f>IFERROR(_xlfn.XLOOKUP($A130,Input_Raw!$A:$A,Input_Raw!$DR:$DR),"")</f>
        <v/>
      </c>
      <c r="AC130" s="143">
        <f>IFERROR(_xlfn.XLOOKUP($D130,'Modelling New'!$D:$D,'Modelling New'!$J:$J),"")</f>
        <v>9.1</v>
      </c>
      <c r="AD130" s="138">
        <f>IFERROR(_xlfn.XLOOKUP($D130,'Modelling New'!$D:$D,'Modelling New'!$T:$T)*1000,"")</f>
        <v>1057470.497769533</v>
      </c>
      <c r="AE130" s="142"/>
      <c r="AF130" s="142">
        <f>IFERROR(_xlfn.XLOOKUP($D130,'Modelling New'!$D:$D,'Modelling New'!$W:$W),"")</f>
        <v>0.62587032301700574</v>
      </c>
      <c r="AG130" s="142">
        <f>IFERROR(_xlfn.XLOOKUP($D130,'Modelling New'!$D:$D,'Modelling New'!$AE:$AE),"")</f>
        <v>0.96029999999999993</v>
      </c>
      <c r="AH130" s="142">
        <f>IFERROR(_xlfn.XLOOKUP($D130,'Modelling New'!$D:$D,'Modelling New'!$AF:$AF),"")</f>
        <v>0.995</v>
      </c>
      <c r="AI130" s="109" t="str">
        <f>IFERROR(_xlfn.XLOOKUP($A130,Input_Raw!$A:$A,Input_Raw!$DP:$DP),"")</f>
        <v/>
      </c>
      <c r="AJ130" s="108"/>
      <c r="AK130" s="108"/>
      <c r="AL130" s="108"/>
      <c r="AM130" s="108"/>
      <c r="AN130" s="132" t="str">
        <f>IFERROR(_xlfn.XLOOKUP($A130,Input_Raw!$A:$A,Input_Raw!$DL:$DL),"")</f>
        <v/>
      </c>
      <c r="AO130" s="142" t="str">
        <f>IFERROR((_xlfn.XLOOKUP($A130,'WTG Reactive Power'!$A:$A,'WTG Reactive Power'!$AW:$AW))/X130,"")</f>
        <v/>
      </c>
      <c r="AP130" s="142">
        <f>IFERROR(_xlfn.XLOOKUP($D130,'Modelling New'!$D:$D,'Modelling New'!$AK:$AK),"")</f>
        <v>0.05</v>
      </c>
      <c r="AQ130" s="142">
        <f>IFERROR(_xlfn.XLOOKUP($D130,'Modelling New'!$D:$D,'Modelling New'!$AL:$AL),"")</f>
        <v>0.05</v>
      </c>
      <c r="AR130" s="198">
        <f>IFERROR(_xlfn.XLOOKUP($D130,'Modelling New'!$D:$D,'Modelling New'!$N:$N),"")</f>
        <v>70.400000000000006</v>
      </c>
      <c r="AS130" s="198"/>
    </row>
    <row r="131" spans="1:45">
      <c r="A131" s="137">
        <f t="shared" si="18"/>
        <v>45874</v>
      </c>
      <c r="B131" s="138">
        <f>YEAR(Daily_KPI[[#This Row],[Date]])+IF(MONTH(Daily_KPI[[#This Row],[Date]])&gt;=4,1,0)</f>
        <v>2026</v>
      </c>
      <c r="C131" s="108">
        <f>YEAR(Daily_KPI[[#This Row],[Date]])</f>
        <v>2025</v>
      </c>
      <c r="D131" s="139">
        <f>Daily_KPI[[#This Row],[Date]]-DAY(Daily_KPI[[#This Row],[Date]])+1</f>
        <v>45870</v>
      </c>
      <c r="E131" s="108">
        <f t="shared" si="14"/>
        <v>31</v>
      </c>
      <c r="F131" s="109"/>
      <c r="G131" s="110"/>
      <c r="H131" s="110"/>
      <c r="I131" s="110"/>
      <c r="J131" s="110"/>
      <c r="K131" s="111"/>
      <c r="L131" s="110"/>
      <c r="M131" s="110" t="str">
        <f>IFERROR(_xlfn.XLOOKUP($A131,Input_Raw!$A:$A,Input_Raw!$CQ:$CQ),"")</f>
        <v/>
      </c>
      <c r="N131" s="110" t="str">
        <f>IFERROR(_xlfn.XLOOKUP($A131,Input_Raw!$A:$A,Input_Raw!$CR:$CR),"")</f>
        <v/>
      </c>
      <c r="O131" s="141" t="str">
        <f t="shared" si="15"/>
        <v/>
      </c>
      <c r="P131" s="141" t="str">
        <f>IFERROR(1-SUMIF(WTG_BD!$F:$F,$A131,WTG_BD!$AA:$AA)/($AA131+SUMIF(WTG_BD!$F:$F,$A131,WTG_BD!$AA:$AA)),"")</f>
        <v/>
      </c>
      <c r="Q131" s="141" t="str">
        <f>IFERROR(1-SUMIF(IGA_BD!$F:$F,$A131,IGA_BD!$W:$W)/($AA131+SUMIF(IGA_BD!$F:$F,$A131,IGA_BD!$W:$W)),"")</f>
        <v/>
      </c>
      <c r="R131" s="141" t="str">
        <f>IFERROR(1-SUMIF(Grid_BD!$F:$F,$A131,Grid_BD!$Y:$Y)/($AA131+SUMIF(Grid_BD!$F:$F,$A131,Grid_BD!$Y:$Y)),"")</f>
        <v/>
      </c>
      <c r="S131" s="108"/>
      <c r="T131" s="140"/>
      <c r="U131" s="141"/>
      <c r="V131" s="108"/>
      <c r="W131" s="142" t="str">
        <f t="shared" si="16"/>
        <v/>
      </c>
      <c r="X131" s="108" t="str">
        <f>IFERROR(_xlfn.XLOOKUP($A131,Input_Raw!$A:$A,Input_Raw!$CP:$CP)*1000,"")</f>
        <v/>
      </c>
      <c r="Y131" s="108" t="str">
        <f>IFERROR(_xlfn.XLOOKUP($A131,Input_Raw!$A:$A,Input_Raw!DJ:DJ)*1000,"")</f>
        <v/>
      </c>
      <c r="Z131" s="108" t="str">
        <f>IFERROR(_xlfn.XLOOKUP($A131,Input_Raw!$A:$A,Input_Raw!DK:DK)*1000,"")</f>
        <v/>
      </c>
      <c r="AA131" s="138" t="str">
        <f t="shared" si="17"/>
        <v/>
      </c>
      <c r="AB131" s="108" t="str">
        <f>IFERROR(_xlfn.XLOOKUP($A131,Input_Raw!$A:$A,Input_Raw!$DR:$DR),"")</f>
        <v/>
      </c>
      <c r="AC131" s="143">
        <f>IFERROR(_xlfn.XLOOKUP($D131,'Modelling New'!$D:$D,'Modelling New'!$J:$J),"")</f>
        <v>9.1</v>
      </c>
      <c r="AD131" s="138">
        <f>IFERROR(_xlfn.XLOOKUP($D131,'Modelling New'!$D:$D,'Modelling New'!$T:$T)*1000,"")</f>
        <v>1057470.497769533</v>
      </c>
      <c r="AE131" s="142"/>
      <c r="AF131" s="142">
        <f>IFERROR(_xlfn.XLOOKUP($D131,'Modelling New'!$D:$D,'Modelling New'!$W:$W),"")</f>
        <v>0.62587032301700574</v>
      </c>
      <c r="AG131" s="142">
        <f>IFERROR(_xlfn.XLOOKUP($D131,'Modelling New'!$D:$D,'Modelling New'!$AE:$AE),"")</f>
        <v>0.96029999999999993</v>
      </c>
      <c r="AH131" s="142">
        <f>IFERROR(_xlfn.XLOOKUP($D131,'Modelling New'!$D:$D,'Modelling New'!$AF:$AF),"")</f>
        <v>0.995</v>
      </c>
      <c r="AI131" s="109" t="str">
        <f>IFERROR(_xlfn.XLOOKUP($A131,Input_Raw!$A:$A,Input_Raw!$DP:$DP),"")</f>
        <v/>
      </c>
      <c r="AJ131" s="108"/>
      <c r="AK131" s="108"/>
      <c r="AL131" s="108"/>
      <c r="AM131" s="108"/>
      <c r="AN131" s="132" t="str">
        <f>IFERROR(_xlfn.XLOOKUP($A131,Input_Raw!$A:$A,Input_Raw!$DL:$DL),"")</f>
        <v/>
      </c>
      <c r="AO131" s="142" t="str">
        <f>IFERROR((_xlfn.XLOOKUP($A131,'WTG Reactive Power'!$A:$A,'WTG Reactive Power'!$AW:$AW))/X131,"")</f>
        <v/>
      </c>
      <c r="AP131" s="142">
        <f>IFERROR(_xlfn.XLOOKUP($D131,'Modelling New'!$D:$D,'Modelling New'!$AK:$AK),"")</f>
        <v>0.05</v>
      </c>
      <c r="AQ131" s="142">
        <f>IFERROR(_xlfn.XLOOKUP($D131,'Modelling New'!$D:$D,'Modelling New'!$AL:$AL),"")</f>
        <v>0.05</v>
      </c>
      <c r="AR131" s="198">
        <f>IFERROR(_xlfn.XLOOKUP($D131,'Modelling New'!$D:$D,'Modelling New'!$N:$N),"")</f>
        <v>70.400000000000006</v>
      </c>
      <c r="AS131" s="198"/>
    </row>
    <row r="132" spans="1:45">
      <c r="A132" s="137">
        <f t="shared" si="18"/>
        <v>45875</v>
      </c>
      <c r="B132" s="138">
        <f>YEAR(Daily_KPI[[#This Row],[Date]])+IF(MONTH(Daily_KPI[[#This Row],[Date]])&gt;=4,1,0)</f>
        <v>2026</v>
      </c>
      <c r="C132" s="108">
        <f>YEAR(Daily_KPI[[#This Row],[Date]])</f>
        <v>2025</v>
      </c>
      <c r="D132" s="139">
        <f>Daily_KPI[[#This Row],[Date]]-DAY(Daily_KPI[[#This Row],[Date]])+1</f>
        <v>45870</v>
      </c>
      <c r="E132" s="108">
        <f t="shared" si="14"/>
        <v>31</v>
      </c>
      <c r="F132" s="109"/>
      <c r="G132" s="143"/>
      <c r="H132" s="143"/>
      <c r="I132" s="143"/>
      <c r="J132" s="143"/>
      <c r="K132" s="111"/>
      <c r="L132" s="110"/>
      <c r="M132" s="110" t="str">
        <f>IFERROR(_xlfn.XLOOKUP($A132,Input_Raw!$A:$A,Input_Raw!$CQ:$CQ),"")</f>
        <v/>
      </c>
      <c r="N132" s="110" t="str">
        <f>IFERROR(_xlfn.XLOOKUP($A132,Input_Raw!$A:$A,Input_Raw!$CR:$CR),"")</f>
        <v/>
      </c>
      <c r="O132" s="141" t="str">
        <f t="shared" si="15"/>
        <v/>
      </c>
      <c r="P132" s="141" t="str">
        <f>IFERROR(1-SUMIF(WTG_BD!$F:$F,$A132,WTG_BD!$AA:$AA)/($AA132+SUMIF(WTG_BD!$F:$F,$A132,WTG_BD!$AA:$AA)),"")</f>
        <v/>
      </c>
      <c r="Q132" s="141" t="str">
        <f>IFERROR(1-SUMIF(IGA_BD!$F:$F,$A132,IGA_BD!$W:$W)/($AA132+SUMIF(IGA_BD!$F:$F,$A132,IGA_BD!$W:$W)),"")</f>
        <v/>
      </c>
      <c r="R132" s="141" t="str">
        <f>IFERROR(1-SUMIF(Grid_BD!$F:$F,$A132,Grid_BD!$Y:$Y)/($AA132+SUMIF(Grid_BD!$F:$F,$A132,Grid_BD!$Y:$Y)),"")</f>
        <v/>
      </c>
      <c r="S132" s="108"/>
      <c r="T132" s="140"/>
      <c r="U132" s="141"/>
      <c r="V132" s="108"/>
      <c r="W132" s="142" t="str">
        <f t="shared" si="16"/>
        <v/>
      </c>
      <c r="X132" s="108" t="str">
        <f>IFERROR(_xlfn.XLOOKUP($A132,Input_Raw!$A:$A,Input_Raw!$CP:$CP)*1000,"")</f>
        <v/>
      </c>
      <c r="Y132" s="108" t="str">
        <f>IFERROR(_xlfn.XLOOKUP($A132,Input_Raw!$A:$A,Input_Raw!DJ:DJ)*1000,"")</f>
        <v/>
      </c>
      <c r="Z132" s="108" t="str">
        <f>IFERROR(_xlfn.XLOOKUP($A132,Input_Raw!$A:$A,Input_Raw!DK:DK)*1000,"")</f>
        <v/>
      </c>
      <c r="AA132" s="138" t="str">
        <f t="shared" si="17"/>
        <v/>
      </c>
      <c r="AB132" s="108" t="str">
        <f>IFERROR(_xlfn.XLOOKUP($A132,Input_Raw!$A:$A,Input_Raw!$DR:$DR),"")</f>
        <v/>
      </c>
      <c r="AC132" s="143">
        <f>IFERROR(_xlfn.XLOOKUP($D132,'Modelling New'!$D:$D,'Modelling New'!$J:$J),"")</f>
        <v>9.1</v>
      </c>
      <c r="AD132" s="138">
        <f>IFERROR(_xlfn.XLOOKUP($D132,'Modelling New'!$D:$D,'Modelling New'!$T:$T)*1000,"")</f>
        <v>1057470.497769533</v>
      </c>
      <c r="AE132" s="142"/>
      <c r="AF132" s="142">
        <f>IFERROR(_xlfn.XLOOKUP($D132,'Modelling New'!$D:$D,'Modelling New'!$W:$W),"")</f>
        <v>0.62587032301700574</v>
      </c>
      <c r="AG132" s="142">
        <f>IFERROR(_xlfn.XLOOKUP($D132,'Modelling New'!$D:$D,'Modelling New'!$AE:$AE),"")</f>
        <v>0.96029999999999993</v>
      </c>
      <c r="AH132" s="142">
        <f>IFERROR(_xlfn.XLOOKUP($D132,'Modelling New'!$D:$D,'Modelling New'!$AF:$AF),"")</f>
        <v>0.995</v>
      </c>
      <c r="AI132" s="109" t="str">
        <f>IFERROR(_xlfn.XLOOKUP($A132,Input_Raw!$A:$A,Input_Raw!$DP:$DP),"")</f>
        <v/>
      </c>
      <c r="AJ132" s="108"/>
      <c r="AK132" s="108"/>
      <c r="AL132" s="108"/>
      <c r="AM132" s="108"/>
      <c r="AN132" s="132" t="str">
        <f>IFERROR(_xlfn.XLOOKUP($A132,Input_Raw!$A:$A,Input_Raw!$DL:$DL),"")</f>
        <v/>
      </c>
      <c r="AO132" s="142" t="str">
        <f>IFERROR((_xlfn.XLOOKUP($A132,'WTG Reactive Power'!$A:$A,'WTG Reactive Power'!$AW:$AW))/X132,"")</f>
        <v/>
      </c>
      <c r="AP132" s="142">
        <f>IFERROR(_xlfn.XLOOKUP($D132,'Modelling New'!$D:$D,'Modelling New'!$AK:$AK),"")</f>
        <v>0.05</v>
      </c>
      <c r="AQ132" s="142">
        <f>IFERROR(_xlfn.XLOOKUP($D132,'Modelling New'!$D:$D,'Modelling New'!$AL:$AL),"")</f>
        <v>0.05</v>
      </c>
      <c r="AR132" s="198">
        <f>IFERROR(_xlfn.XLOOKUP($D132,'Modelling New'!$D:$D,'Modelling New'!$N:$N),"")</f>
        <v>70.400000000000006</v>
      </c>
      <c r="AS132" s="198"/>
    </row>
    <row r="133" spans="1:45">
      <c r="A133" s="137">
        <f t="shared" si="18"/>
        <v>45876</v>
      </c>
      <c r="B133" s="138">
        <f>YEAR(Daily_KPI[[#This Row],[Date]])+IF(MONTH(Daily_KPI[[#This Row],[Date]])&gt;=4,1,0)</f>
        <v>2026</v>
      </c>
      <c r="C133" s="108">
        <f>YEAR(Daily_KPI[[#This Row],[Date]])</f>
        <v>2025</v>
      </c>
      <c r="D133" s="139">
        <f>Daily_KPI[[#This Row],[Date]]-DAY(Daily_KPI[[#This Row],[Date]])+1</f>
        <v>45870</v>
      </c>
      <c r="E133" s="108">
        <f t="shared" si="14"/>
        <v>31</v>
      </c>
      <c r="F133" s="109"/>
      <c r="G133" s="110"/>
      <c r="H133" s="110"/>
      <c r="I133" s="110"/>
      <c r="J133" s="110"/>
      <c r="K133" s="111"/>
      <c r="L133" s="110"/>
      <c r="M133" s="110" t="str">
        <f>IFERROR(_xlfn.XLOOKUP($A133,Input_Raw!$A:$A,Input_Raw!$CQ:$CQ),"")</f>
        <v/>
      </c>
      <c r="N133" s="110" t="str">
        <f>IFERROR(_xlfn.XLOOKUP($A133,Input_Raw!$A:$A,Input_Raw!$CR:$CR),"")</f>
        <v/>
      </c>
      <c r="O133" s="141" t="str">
        <f t="shared" si="15"/>
        <v/>
      </c>
      <c r="P133" s="141" t="str">
        <f>IFERROR(1-SUMIF(WTG_BD!$F:$F,$A133,WTG_BD!$AA:$AA)/($AA133+SUMIF(WTG_BD!$F:$F,$A133,WTG_BD!$AA:$AA)),"")</f>
        <v/>
      </c>
      <c r="Q133" s="141" t="str">
        <f>IFERROR(1-SUMIF(IGA_BD!$F:$F,$A133,IGA_BD!$W:$W)/($AA133+SUMIF(IGA_BD!$F:$F,$A133,IGA_BD!$W:$W)),"")</f>
        <v/>
      </c>
      <c r="R133" s="141" t="str">
        <f>IFERROR(1-SUMIF(Grid_BD!$F:$F,$A133,Grid_BD!$Y:$Y)/($AA133+SUMIF(Grid_BD!$F:$F,$A133,Grid_BD!$Y:$Y)),"")</f>
        <v/>
      </c>
      <c r="S133" s="108"/>
      <c r="T133" s="140"/>
      <c r="U133" s="141"/>
      <c r="V133" s="108"/>
      <c r="W133" s="142" t="str">
        <f t="shared" si="16"/>
        <v/>
      </c>
      <c r="X133" s="108" t="str">
        <f>IFERROR(_xlfn.XLOOKUP($A133,Input_Raw!$A:$A,Input_Raw!$CP:$CP)*1000,"")</f>
        <v/>
      </c>
      <c r="Y133" s="108" t="str">
        <f>IFERROR(_xlfn.XLOOKUP($A133,Input_Raw!$A:$A,Input_Raw!DJ:DJ)*1000,"")</f>
        <v/>
      </c>
      <c r="Z133" s="108" t="str">
        <f>IFERROR(_xlfn.XLOOKUP($A133,Input_Raw!$A:$A,Input_Raw!DK:DK)*1000,"")</f>
        <v/>
      </c>
      <c r="AA133" s="138" t="str">
        <f t="shared" si="17"/>
        <v/>
      </c>
      <c r="AB133" s="108" t="str">
        <f>IFERROR(_xlfn.XLOOKUP($A133,Input_Raw!$A:$A,Input_Raw!$DR:$DR),"")</f>
        <v/>
      </c>
      <c r="AC133" s="143">
        <f>IFERROR(_xlfn.XLOOKUP($D133,'Modelling New'!$D:$D,'Modelling New'!$J:$J),"")</f>
        <v>9.1</v>
      </c>
      <c r="AD133" s="138">
        <f>IFERROR(_xlfn.XLOOKUP($D133,'Modelling New'!$D:$D,'Modelling New'!$T:$T)*1000,"")</f>
        <v>1057470.497769533</v>
      </c>
      <c r="AE133" s="142"/>
      <c r="AF133" s="142">
        <f>IFERROR(_xlfn.XLOOKUP($D133,'Modelling New'!$D:$D,'Modelling New'!$W:$W),"")</f>
        <v>0.62587032301700574</v>
      </c>
      <c r="AG133" s="142">
        <f>IFERROR(_xlfn.XLOOKUP($D133,'Modelling New'!$D:$D,'Modelling New'!$AE:$AE),"")</f>
        <v>0.96029999999999993</v>
      </c>
      <c r="AH133" s="142">
        <f>IFERROR(_xlfn.XLOOKUP($D133,'Modelling New'!$D:$D,'Modelling New'!$AF:$AF),"")</f>
        <v>0.995</v>
      </c>
      <c r="AI133" s="109" t="str">
        <f>IFERROR(_xlfn.XLOOKUP($A133,Input_Raw!$A:$A,Input_Raw!$DP:$DP),"")</f>
        <v/>
      </c>
      <c r="AJ133" s="108"/>
      <c r="AK133" s="108"/>
      <c r="AL133" s="108"/>
      <c r="AM133" s="108"/>
      <c r="AN133" s="132" t="str">
        <f>IFERROR(_xlfn.XLOOKUP($A133,Input_Raw!$A:$A,Input_Raw!$DL:$DL),"")</f>
        <v/>
      </c>
      <c r="AO133" s="142" t="str">
        <f>IFERROR((_xlfn.XLOOKUP($A133,'WTG Reactive Power'!$A:$A,'WTG Reactive Power'!$AW:$AW))/X133,"")</f>
        <v/>
      </c>
      <c r="AP133" s="142">
        <f>IFERROR(_xlfn.XLOOKUP($D133,'Modelling New'!$D:$D,'Modelling New'!$AK:$AK),"")</f>
        <v>0.05</v>
      </c>
      <c r="AQ133" s="142">
        <f>IFERROR(_xlfn.XLOOKUP($D133,'Modelling New'!$D:$D,'Modelling New'!$AL:$AL),"")</f>
        <v>0.05</v>
      </c>
      <c r="AR133" s="198">
        <f>IFERROR(_xlfn.XLOOKUP($D133,'Modelling New'!$D:$D,'Modelling New'!$N:$N),"")</f>
        <v>70.400000000000006</v>
      </c>
      <c r="AS133" s="198"/>
    </row>
    <row r="134" spans="1:45">
      <c r="A134" s="137">
        <f t="shared" si="18"/>
        <v>45877</v>
      </c>
      <c r="B134" s="138">
        <f>YEAR(Daily_KPI[[#This Row],[Date]])+IF(MONTH(Daily_KPI[[#This Row],[Date]])&gt;=4,1,0)</f>
        <v>2026</v>
      </c>
      <c r="C134" s="108">
        <f>YEAR(Daily_KPI[[#This Row],[Date]])</f>
        <v>2025</v>
      </c>
      <c r="D134" s="139">
        <f>Daily_KPI[[#This Row],[Date]]-DAY(Daily_KPI[[#This Row],[Date]])+1</f>
        <v>45870</v>
      </c>
      <c r="E134" s="108">
        <f t="shared" si="14"/>
        <v>31</v>
      </c>
      <c r="F134" s="109"/>
      <c r="G134" s="143"/>
      <c r="H134" s="143"/>
      <c r="I134" s="143"/>
      <c r="J134" s="143"/>
      <c r="K134" s="111"/>
      <c r="L134" s="110"/>
      <c r="M134" s="110" t="str">
        <f>IFERROR(_xlfn.XLOOKUP($A134,Input_Raw!$A:$A,Input_Raw!$CQ:$CQ),"")</f>
        <v/>
      </c>
      <c r="N134" s="110" t="str">
        <f>IFERROR(_xlfn.XLOOKUP($A134,Input_Raw!$A:$A,Input_Raw!$CR:$CR),"")</f>
        <v/>
      </c>
      <c r="O134" s="141" t="str">
        <f t="shared" si="15"/>
        <v/>
      </c>
      <c r="P134" s="141" t="str">
        <f>IFERROR(1-SUMIF(WTG_BD!$F:$F,$A134,WTG_BD!$AA:$AA)/($AA134+SUMIF(WTG_BD!$F:$F,$A134,WTG_BD!$AA:$AA)),"")</f>
        <v/>
      </c>
      <c r="Q134" s="141" t="str">
        <f>IFERROR(1-SUMIF(IGA_BD!$F:$F,$A134,IGA_BD!$W:$W)/($AA134+SUMIF(IGA_BD!$F:$F,$A134,IGA_BD!$W:$W)),"")</f>
        <v/>
      </c>
      <c r="R134" s="141" t="str">
        <f>IFERROR(1-SUMIF(Grid_BD!$F:$F,$A134,Grid_BD!$Y:$Y)/($AA134+SUMIF(Grid_BD!$F:$F,$A134,Grid_BD!$Y:$Y)),"")</f>
        <v/>
      </c>
      <c r="S134" s="108"/>
      <c r="T134" s="140"/>
      <c r="U134" s="141"/>
      <c r="V134" s="108"/>
      <c r="W134" s="142" t="str">
        <f t="shared" si="16"/>
        <v/>
      </c>
      <c r="X134" s="108" t="str">
        <f>IFERROR(_xlfn.XLOOKUP($A134,Input_Raw!$A:$A,Input_Raw!$CP:$CP)*1000,"")</f>
        <v/>
      </c>
      <c r="Y134" s="108" t="str">
        <f>IFERROR(_xlfn.XLOOKUP($A134,Input_Raw!$A:$A,Input_Raw!DJ:DJ)*1000,"")</f>
        <v/>
      </c>
      <c r="Z134" s="108" t="str">
        <f>IFERROR(_xlfn.XLOOKUP($A134,Input_Raw!$A:$A,Input_Raw!DK:DK)*1000,"")</f>
        <v/>
      </c>
      <c r="AA134" s="138" t="str">
        <f t="shared" si="17"/>
        <v/>
      </c>
      <c r="AB134" s="108" t="str">
        <f>IFERROR(_xlfn.XLOOKUP($A134,Input_Raw!$A:$A,Input_Raw!$DR:$DR),"")</f>
        <v/>
      </c>
      <c r="AC134" s="143">
        <f>IFERROR(_xlfn.XLOOKUP($D134,'Modelling New'!$D:$D,'Modelling New'!$J:$J),"")</f>
        <v>9.1</v>
      </c>
      <c r="AD134" s="138">
        <f>IFERROR(_xlfn.XLOOKUP($D134,'Modelling New'!$D:$D,'Modelling New'!$T:$T)*1000,"")</f>
        <v>1057470.497769533</v>
      </c>
      <c r="AE134" s="142"/>
      <c r="AF134" s="142">
        <f>IFERROR(_xlfn.XLOOKUP($D134,'Modelling New'!$D:$D,'Modelling New'!$W:$W),"")</f>
        <v>0.62587032301700574</v>
      </c>
      <c r="AG134" s="142">
        <f>IFERROR(_xlfn.XLOOKUP($D134,'Modelling New'!$D:$D,'Modelling New'!$AE:$AE),"")</f>
        <v>0.96029999999999993</v>
      </c>
      <c r="AH134" s="142">
        <f>IFERROR(_xlfn.XLOOKUP($D134,'Modelling New'!$D:$D,'Modelling New'!$AF:$AF),"")</f>
        <v>0.995</v>
      </c>
      <c r="AI134" s="109" t="str">
        <f>IFERROR(_xlfn.XLOOKUP($A134,Input_Raw!$A:$A,Input_Raw!$DP:$DP),"")</f>
        <v/>
      </c>
      <c r="AJ134" s="108"/>
      <c r="AK134" s="108"/>
      <c r="AL134" s="108"/>
      <c r="AM134" s="108"/>
      <c r="AN134" s="132" t="str">
        <f>IFERROR(_xlfn.XLOOKUP($A134,Input_Raw!$A:$A,Input_Raw!$DL:$DL),"")</f>
        <v/>
      </c>
      <c r="AO134" s="142" t="str">
        <f>IFERROR((_xlfn.XLOOKUP($A134,'WTG Reactive Power'!$A:$A,'WTG Reactive Power'!$AW:$AW))/X134,"")</f>
        <v/>
      </c>
      <c r="AP134" s="142">
        <f>IFERROR(_xlfn.XLOOKUP($D134,'Modelling New'!$D:$D,'Modelling New'!$AK:$AK),"")</f>
        <v>0.05</v>
      </c>
      <c r="AQ134" s="142">
        <f>IFERROR(_xlfn.XLOOKUP($D134,'Modelling New'!$D:$D,'Modelling New'!$AL:$AL),"")</f>
        <v>0.05</v>
      </c>
      <c r="AR134" s="198">
        <f>IFERROR(_xlfn.XLOOKUP($D134,'Modelling New'!$D:$D,'Modelling New'!$N:$N),"")</f>
        <v>70.400000000000006</v>
      </c>
      <c r="AS134" s="198"/>
    </row>
    <row r="135" spans="1:45">
      <c r="A135" s="137">
        <f t="shared" si="18"/>
        <v>45878</v>
      </c>
      <c r="B135" s="138">
        <f>YEAR(Daily_KPI[[#This Row],[Date]])+IF(MONTH(Daily_KPI[[#This Row],[Date]])&gt;=4,1,0)</f>
        <v>2026</v>
      </c>
      <c r="C135" s="108">
        <f>YEAR(Daily_KPI[[#This Row],[Date]])</f>
        <v>2025</v>
      </c>
      <c r="D135" s="139">
        <f>Daily_KPI[[#This Row],[Date]]-DAY(Daily_KPI[[#This Row],[Date]])+1</f>
        <v>45870</v>
      </c>
      <c r="E135" s="108">
        <f t="shared" si="14"/>
        <v>31</v>
      </c>
      <c r="F135" s="109"/>
      <c r="G135" s="110"/>
      <c r="H135" s="110"/>
      <c r="I135" s="110"/>
      <c r="J135" s="110"/>
      <c r="K135" s="111"/>
      <c r="L135" s="110"/>
      <c r="M135" s="110" t="str">
        <f>IFERROR(_xlfn.XLOOKUP($A135,Input_Raw!$A:$A,Input_Raw!$CQ:$CQ),"")</f>
        <v/>
      </c>
      <c r="N135" s="110" t="str">
        <f>IFERROR(_xlfn.XLOOKUP($A135,Input_Raw!$A:$A,Input_Raw!$CR:$CR),"")</f>
        <v/>
      </c>
      <c r="O135" s="141" t="str">
        <f t="shared" si="15"/>
        <v/>
      </c>
      <c r="P135" s="141" t="str">
        <f>IFERROR(1-SUMIF(WTG_BD!$F:$F,$A135,WTG_BD!$AA:$AA)/($AA135+SUMIF(WTG_BD!$F:$F,$A135,WTG_BD!$AA:$AA)),"")</f>
        <v/>
      </c>
      <c r="Q135" s="141" t="str">
        <f>IFERROR(1-SUMIF(IGA_BD!$F:$F,$A135,IGA_BD!$W:$W)/($AA135+SUMIF(IGA_BD!$F:$F,$A135,IGA_BD!$W:$W)),"")</f>
        <v/>
      </c>
      <c r="R135" s="141" t="str">
        <f>IFERROR(1-SUMIF(Grid_BD!$F:$F,$A135,Grid_BD!$Y:$Y)/($AA135+SUMIF(Grid_BD!$F:$F,$A135,Grid_BD!$Y:$Y)),"")</f>
        <v/>
      </c>
      <c r="S135" s="108"/>
      <c r="T135" s="140"/>
      <c r="U135" s="141"/>
      <c r="V135" s="108"/>
      <c r="W135" s="142" t="str">
        <f t="shared" si="16"/>
        <v/>
      </c>
      <c r="X135" s="108" t="str">
        <f>IFERROR(_xlfn.XLOOKUP($A135,Input_Raw!$A:$A,Input_Raw!$CP:$CP)*1000,"")</f>
        <v/>
      </c>
      <c r="Y135" s="108" t="str">
        <f>IFERROR(_xlfn.XLOOKUP($A135,Input_Raw!$A:$A,Input_Raw!DJ:DJ)*1000,"")</f>
        <v/>
      </c>
      <c r="Z135" s="108" t="str">
        <f>IFERROR(_xlfn.XLOOKUP($A135,Input_Raw!$A:$A,Input_Raw!DK:DK)*1000,"")</f>
        <v/>
      </c>
      <c r="AA135" s="138" t="str">
        <f t="shared" si="17"/>
        <v/>
      </c>
      <c r="AB135" s="108" t="str">
        <f>IFERROR(_xlfn.XLOOKUP($A135,Input_Raw!$A:$A,Input_Raw!$DR:$DR),"")</f>
        <v/>
      </c>
      <c r="AC135" s="143">
        <f>IFERROR(_xlfn.XLOOKUP($D135,'Modelling New'!$D:$D,'Modelling New'!$J:$J),"")</f>
        <v>9.1</v>
      </c>
      <c r="AD135" s="138">
        <f>IFERROR(_xlfn.XLOOKUP($D135,'Modelling New'!$D:$D,'Modelling New'!$T:$T)*1000,"")</f>
        <v>1057470.497769533</v>
      </c>
      <c r="AE135" s="142"/>
      <c r="AF135" s="142">
        <f>IFERROR(_xlfn.XLOOKUP($D135,'Modelling New'!$D:$D,'Modelling New'!$W:$W),"")</f>
        <v>0.62587032301700574</v>
      </c>
      <c r="AG135" s="142">
        <f>IFERROR(_xlfn.XLOOKUP($D135,'Modelling New'!$D:$D,'Modelling New'!$AE:$AE),"")</f>
        <v>0.96029999999999993</v>
      </c>
      <c r="AH135" s="142">
        <f>IFERROR(_xlfn.XLOOKUP($D135,'Modelling New'!$D:$D,'Modelling New'!$AF:$AF),"")</f>
        <v>0.995</v>
      </c>
      <c r="AI135" s="109" t="str">
        <f>IFERROR(_xlfn.XLOOKUP($A135,Input_Raw!$A:$A,Input_Raw!$DP:$DP),"")</f>
        <v/>
      </c>
      <c r="AJ135" s="108"/>
      <c r="AK135" s="108"/>
      <c r="AL135" s="108"/>
      <c r="AM135" s="108"/>
      <c r="AN135" s="132" t="str">
        <f>IFERROR(_xlfn.XLOOKUP($A135,Input_Raw!$A:$A,Input_Raw!$DL:$DL),"")</f>
        <v/>
      </c>
      <c r="AO135" s="142" t="str">
        <f>IFERROR((_xlfn.XLOOKUP($A135,'WTG Reactive Power'!$A:$A,'WTG Reactive Power'!$AW:$AW))/X135,"")</f>
        <v/>
      </c>
      <c r="AP135" s="142">
        <f>IFERROR(_xlfn.XLOOKUP($D135,'Modelling New'!$D:$D,'Modelling New'!$AK:$AK),"")</f>
        <v>0.05</v>
      </c>
      <c r="AQ135" s="142">
        <f>IFERROR(_xlfn.XLOOKUP($D135,'Modelling New'!$D:$D,'Modelling New'!$AL:$AL),"")</f>
        <v>0.05</v>
      </c>
      <c r="AR135" s="198">
        <f>IFERROR(_xlfn.XLOOKUP($D135,'Modelling New'!$D:$D,'Modelling New'!$N:$N),"")</f>
        <v>70.400000000000006</v>
      </c>
      <c r="AS135" s="198"/>
    </row>
    <row r="136" spans="1:45">
      <c r="A136" s="137">
        <f t="shared" si="18"/>
        <v>45879</v>
      </c>
      <c r="B136" s="138">
        <f>YEAR(Daily_KPI[[#This Row],[Date]])+IF(MONTH(Daily_KPI[[#This Row],[Date]])&gt;=4,1,0)</f>
        <v>2026</v>
      </c>
      <c r="C136" s="108">
        <f>YEAR(Daily_KPI[[#This Row],[Date]])</f>
        <v>2025</v>
      </c>
      <c r="D136" s="139">
        <f>Daily_KPI[[#This Row],[Date]]-DAY(Daily_KPI[[#This Row],[Date]])+1</f>
        <v>45870</v>
      </c>
      <c r="E136" s="108">
        <f t="shared" si="14"/>
        <v>31</v>
      </c>
      <c r="F136" s="109"/>
      <c r="G136" s="143"/>
      <c r="H136" s="143"/>
      <c r="I136" s="143"/>
      <c r="J136" s="143"/>
      <c r="K136" s="111"/>
      <c r="L136" s="110"/>
      <c r="M136" s="110" t="str">
        <f>IFERROR(_xlfn.XLOOKUP($A136,Input_Raw!$A:$A,Input_Raw!$CQ:$CQ),"")</f>
        <v/>
      </c>
      <c r="N136" s="110" t="str">
        <f>IFERROR(_xlfn.XLOOKUP($A136,Input_Raw!$A:$A,Input_Raw!$CR:$CR),"")</f>
        <v/>
      </c>
      <c r="O136" s="141" t="str">
        <f t="shared" si="15"/>
        <v/>
      </c>
      <c r="P136" s="141" t="str">
        <f>IFERROR(1-SUMIF(WTG_BD!$F:$F,$A136,WTG_BD!$AA:$AA)/($AA136+SUMIF(WTG_BD!$F:$F,$A136,WTG_BD!$AA:$AA)),"")</f>
        <v/>
      </c>
      <c r="Q136" s="141" t="str">
        <f>IFERROR(1-SUMIF(IGA_BD!$F:$F,$A136,IGA_BD!$W:$W)/($AA136+SUMIF(IGA_BD!$F:$F,$A136,IGA_BD!$W:$W)),"")</f>
        <v/>
      </c>
      <c r="R136" s="141" t="str">
        <f>IFERROR(1-SUMIF(Grid_BD!$F:$F,$A136,Grid_BD!$Y:$Y)/($AA136+SUMIF(Grid_BD!$F:$F,$A136,Grid_BD!$Y:$Y)),"")</f>
        <v/>
      </c>
      <c r="S136" s="108"/>
      <c r="T136" s="140"/>
      <c r="U136" s="141"/>
      <c r="V136" s="108"/>
      <c r="W136" s="142" t="str">
        <f t="shared" si="16"/>
        <v/>
      </c>
      <c r="X136" s="108" t="str">
        <f>IFERROR(_xlfn.XLOOKUP($A136,Input_Raw!$A:$A,Input_Raw!$CP:$CP)*1000,"")</f>
        <v/>
      </c>
      <c r="Y136" s="108" t="str">
        <f>IFERROR(_xlfn.XLOOKUP($A136,Input_Raw!$A:$A,Input_Raw!DJ:DJ)*1000,"")</f>
        <v/>
      </c>
      <c r="Z136" s="108" t="str">
        <f>IFERROR(_xlfn.XLOOKUP($A136,Input_Raw!$A:$A,Input_Raw!DK:DK)*1000,"")</f>
        <v/>
      </c>
      <c r="AA136" s="138" t="str">
        <f t="shared" si="17"/>
        <v/>
      </c>
      <c r="AB136" s="108" t="str">
        <f>IFERROR(_xlfn.XLOOKUP($A136,Input_Raw!$A:$A,Input_Raw!$DR:$DR),"")</f>
        <v/>
      </c>
      <c r="AC136" s="143">
        <f>IFERROR(_xlfn.XLOOKUP($D136,'Modelling New'!$D:$D,'Modelling New'!$J:$J),"")</f>
        <v>9.1</v>
      </c>
      <c r="AD136" s="138">
        <f>IFERROR(_xlfn.XLOOKUP($D136,'Modelling New'!$D:$D,'Modelling New'!$T:$T)*1000,"")</f>
        <v>1057470.497769533</v>
      </c>
      <c r="AE136" s="142"/>
      <c r="AF136" s="142">
        <f>IFERROR(_xlfn.XLOOKUP($D136,'Modelling New'!$D:$D,'Modelling New'!$W:$W),"")</f>
        <v>0.62587032301700574</v>
      </c>
      <c r="AG136" s="142">
        <f>IFERROR(_xlfn.XLOOKUP($D136,'Modelling New'!$D:$D,'Modelling New'!$AE:$AE),"")</f>
        <v>0.96029999999999993</v>
      </c>
      <c r="AH136" s="142">
        <f>IFERROR(_xlfn.XLOOKUP($D136,'Modelling New'!$D:$D,'Modelling New'!$AF:$AF),"")</f>
        <v>0.995</v>
      </c>
      <c r="AI136" s="109" t="str">
        <f>IFERROR(_xlfn.XLOOKUP($A136,Input_Raw!$A:$A,Input_Raw!$DP:$DP),"")</f>
        <v/>
      </c>
      <c r="AJ136" s="108"/>
      <c r="AK136" s="108"/>
      <c r="AL136" s="108"/>
      <c r="AM136" s="108"/>
      <c r="AN136" s="132" t="str">
        <f>IFERROR(_xlfn.XLOOKUP($A136,Input_Raw!$A:$A,Input_Raw!$DL:$DL),"")</f>
        <v/>
      </c>
      <c r="AO136" s="142" t="str">
        <f>IFERROR((_xlfn.XLOOKUP($A136,'WTG Reactive Power'!$A:$A,'WTG Reactive Power'!$AW:$AW))/X136,"")</f>
        <v/>
      </c>
      <c r="AP136" s="142">
        <f>IFERROR(_xlfn.XLOOKUP($D136,'Modelling New'!$D:$D,'Modelling New'!$AK:$AK),"")</f>
        <v>0.05</v>
      </c>
      <c r="AQ136" s="142">
        <f>IFERROR(_xlfn.XLOOKUP($D136,'Modelling New'!$D:$D,'Modelling New'!$AL:$AL),"")</f>
        <v>0.05</v>
      </c>
      <c r="AR136" s="198">
        <f>IFERROR(_xlfn.XLOOKUP($D136,'Modelling New'!$D:$D,'Modelling New'!$N:$N),"")</f>
        <v>70.400000000000006</v>
      </c>
      <c r="AS136" s="198"/>
    </row>
    <row r="137" spans="1:45">
      <c r="A137" s="137">
        <f t="shared" si="18"/>
        <v>45880</v>
      </c>
      <c r="B137" s="138">
        <f>YEAR(Daily_KPI[[#This Row],[Date]])+IF(MONTH(Daily_KPI[[#This Row],[Date]])&gt;=4,1,0)</f>
        <v>2026</v>
      </c>
      <c r="C137" s="108">
        <f>YEAR(Daily_KPI[[#This Row],[Date]])</f>
        <v>2025</v>
      </c>
      <c r="D137" s="139">
        <f>Daily_KPI[[#This Row],[Date]]-DAY(Daily_KPI[[#This Row],[Date]])+1</f>
        <v>45870</v>
      </c>
      <c r="E137" s="108">
        <f t="shared" si="14"/>
        <v>31</v>
      </c>
      <c r="F137" s="109"/>
      <c r="G137" s="110"/>
      <c r="H137" s="110"/>
      <c r="I137" s="110"/>
      <c r="J137" s="110"/>
      <c r="K137" s="111"/>
      <c r="L137" s="110"/>
      <c r="M137" s="110" t="str">
        <f>IFERROR(_xlfn.XLOOKUP($A137,Input_Raw!$A:$A,Input_Raw!$CQ:$CQ),"")</f>
        <v/>
      </c>
      <c r="N137" s="110" t="str">
        <f>IFERROR(_xlfn.XLOOKUP($A137,Input_Raw!$A:$A,Input_Raw!$CR:$CR),"")</f>
        <v/>
      </c>
      <c r="O137" s="141" t="str">
        <f t="shared" si="15"/>
        <v/>
      </c>
      <c r="P137" s="141" t="str">
        <f>IFERROR(1-SUMIF(WTG_BD!$F:$F,$A137,WTG_BD!$AA:$AA)/($AA137+SUMIF(WTG_BD!$F:$F,$A137,WTG_BD!$AA:$AA)),"")</f>
        <v/>
      </c>
      <c r="Q137" s="141" t="str">
        <f>IFERROR(1-SUMIF(IGA_BD!$F:$F,$A137,IGA_BD!$W:$W)/($AA137+SUMIF(IGA_BD!$F:$F,$A137,IGA_BD!$W:$W)),"")</f>
        <v/>
      </c>
      <c r="R137" s="141" t="str">
        <f>IFERROR(1-SUMIF(Grid_BD!$F:$F,$A137,Grid_BD!$Y:$Y)/($AA137+SUMIF(Grid_BD!$F:$F,$A137,Grid_BD!$Y:$Y)),"")</f>
        <v/>
      </c>
      <c r="S137" s="108"/>
      <c r="T137" s="140"/>
      <c r="U137" s="141"/>
      <c r="V137" s="108"/>
      <c r="W137" s="142" t="str">
        <f t="shared" si="16"/>
        <v/>
      </c>
      <c r="X137" s="108" t="str">
        <f>IFERROR(_xlfn.XLOOKUP($A137,Input_Raw!$A:$A,Input_Raw!$CP:$CP)*1000,"")</f>
        <v/>
      </c>
      <c r="Y137" s="108" t="str">
        <f>IFERROR(_xlfn.XLOOKUP($A137,Input_Raw!$A:$A,Input_Raw!DJ:DJ)*1000,"")</f>
        <v/>
      </c>
      <c r="Z137" s="108" t="str">
        <f>IFERROR(_xlfn.XLOOKUP($A137,Input_Raw!$A:$A,Input_Raw!DK:DK)*1000,"")</f>
        <v/>
      </c>
      <c r="AA137" s="138" t="str">
        <f t="shared" si="17"/>
        <v/>
      </c>
      <c r="AB137" s="108" t="str">
        <f>IFERROR(_xlfn.XLOOKUP($A137,Input_Raw!$A:$A,Input_Raw!$DR:$DR),"")</f>
        <v/>
      </c>
      <c r="AC137" s="143">
        <f>IFERROR(_xlfn.XLOOKUP($D137,'Modelling New'!$D:$D,'Modelling New'!$J:$J),"")</f>
        <v>9.1</v>
      </c>
      <c r="AD137" s="138">
        <f>IFERROR(_xlfn.XLOOKUP($D137,'Modelling New'!$D:$D,'Modelling New'!$T:$T)*1000,"")</f>
        <v>1057470.497769533</v>
      </c>
      <c r="AE137" s="142"/>
      <c r="AF137" s="142">
        <f>IFERROR(_xlfn.XLOOKUP($D137,'Modelling New'!$D:$D,'Modelling New'!$W:$W),"")</f>
        <v>0.62587032301700574</v>
      </c>
      <c r="AG137" s="142">
        <f>IFERROR(_xlfn.XLOOKUP($D137,'Modelling New'!$D:$D,'Modelling New'!$AE:$AE),"")</f>
        <v>0.96029999999999993</v>
      </c>
      <c r="AH137" s="142">
        <f>IFERROR(_xlfn.XLOOKUP($D137,'Modelling New'!$D:$D,'Modelling New'!$AF:$AF),"")</f>
        <v>0.995</v>
      </c>
      <c r="AI137" s="109" t="str">
        <f>IFERROR(_xlfn.XLOOKUP($A137,Input_Raw!$A:$A,Input_Raw!$DP:$DP),"")</f>
        <v/>
      </c>
      <c r="AJ137" s="108"/>
      <c r="AK137" s="108"/>
      <c r="AL137" s="108"/>
      <c r="AM137" s="108"/>
      <c r="AN137" s="132" t="str">
        <f>IFERROR(_xlfn.XLOOKUP($A137,Input_Raw!$A:$A,Input_Raw!$DL:$DL),"")</f>
        <v/>
      </c>
      <c r="AO137" s="142" t="str">
        <f>IFERROR((_xlfn.XLOOKUP($A137,'WTG Reactive Power'!$A:$A,'WTG Reactive Power'!$AW:$AW))/X137,"")</f>
        <v/>
      </c>
      <c r="AP137" s="142">
        <f>IFERROR(_xlfn.XLOOKUP($D137,'Modelling New'!$D:$D,'Modelling New'!$AK:$AK),"")</f>
        <v>0.05</v>
      </c>
      <c r="AQ137" s="142">
        <f>IFERROR(_xlfn.XLOOKUP($D137,'Modelling New'!$D:$D,'Modelling New'!$AL:$AL),"")</f>
        <v>0.05</v>
      </c>
      <c r="AR137" s="198">
        <f>IFERROR(_xlfn.XLOOKUP($D137,'Modelling New'!$D:$D,'Modelling New'!$N:$N),"")</f>
        <v>70.400000000000006</v>
      </c>
      <c r="AS137" s="198"/>
    </row>
    <row r="138" spans="1:45">
      <c r="A138" s="137">
        <f t="shared" si="18"/>
        <v>45881</v>
      </c>
      <c r="B138" s="138">
        <f>YEAR(Daily_KPI[[#This Row],[Date]])+IF(MONTH(Daily_KPI[[#This Row],[Date]])&gt;=4,1,0)</f>
        <v>2026</v>
      </c>
      <c r="C138" s="108">
        <f>YEAR(Daily_KPI[[#This Row],[Date]])</f>
        <v>2025</v>
      </c>
      <c r="D138" s="139">
        <f>Daily_KPI[[#This Row],[Date]]-DAY(Daily_KPI[[#This Row],[Date]])+1</f>
        <v>45870</v>
      </c>
      <c r="E138" s="108">
        <f t="shared" si="14"/>
        <v>31</v>
      </c>
      <c r="F138" s="109"/>
      <c r="G138" s="143"/>
      <c r="H138" s="143"/>
      <c r="I138" s="143"/>
      <c r="J138" s="143"/>
      <c r="K138" s="111"/>
      <c r="L138" s="110"/>
      <c r="M138" s="110" t="str">
        <f>IFERROR(_xlfn.XLOOKUP($A138,Input_Raw!$A:$A,Input_Raw!$CQ:$CQ),"")</f>
        <v/>
      </c>
      <c r="N138" s="110" t="str">
        <f>IFERROR(_xlfn.XLOOKUP($A138,Input_Raw!$A:$A,Input_Raw!$CR:$CR),"")</f>
        <v/>
      </c>
      <c r="O138" s="141" t="str">
        <f t="shared" si="15"/>
        <v/>
      </c>
      <c r="P138" s="141" t="str">
        <f>IFERROR(1-SUMIF(WTG_BD!$F:$F,$A138,WTG_BD!$AA:$AA)/($AA138+SUMIF(WTG_BD!$F:$F,$A138,WTG_BD!$AA:$AA)),"")</f>
        <v/>
      </c>
      <c r="Q138" s="141" t="str">
        <f>IFERROR(1-SUMIF(IGA_BD!$F:$F,$A138,IGA_BD!$W:$W)/($AA138+SUMIF(IGA_BD!$F:$F,$A138,IGA_BD!$W:$W)),"")</f>
        <v/>
      </c>
      <c r="R138" s="141" t="str">
        <f>IFERROR(1-SUMIF(Grid_BD!$F:$F,$A138,Grid_BD!$Y:$Y)/($AA138+SUMIF(Grid_BD!$F:$F,$A138,Grid_BD!$Y:$Y)),"")</f>
        <v/>
      </c>
      <c r="S138" s="108"/>
      <c r="T138" s="140"/>
      <c r="U138" s="141"/>
      <c r="V138" s="108"/>
      <c r="W138" s="142" t="str">
        <f t="shared" si="16"/>
        <v/>
      </c>
      <c r="X138" s="108" t="str">
        <f>IFERROR(_xlfn.XLOOKUP($A138,Input_Raw!$A:$A,Input_Raw!$CP:$CP)*1000,"")</f>
        <v/>
      </c>
      <c r="Y138" s="108" t="str">
        <f>IFERROR(_xlfn.XLOOKUP($A138,Input_Raw!$A:$A,Input_Raw!DJ:DJ)*1000,"")</f>
        <v/>
      </c>
      <c r="Z138" s="108" t="str">
        <f>IFERROR(_xlfn.XLOOKUP($A138,Input_Raw!$A:$A,Input_Raw!DK:DK)*1000,"")</f>
        <v/>
      </c>
      <c r="AA138" s="138" t="str">
        <f t="shared" si="17"/>
        <v/>
      </c>
      <c r="AB138" s="108" t="str">
        <f>IFERROR(_xlfn.XLOOKUP($A138,Input_Raw!$A:$A,Input_Raw!$DR:$DR),"")</f>
        <v/>
      </c>
      <c r="AC138" s="143">
        <f>IFERROR(_xlfn.XLOOKUP($D138,'Modelling New'!$D:$D,'Modelling New'!$J:$J),"")</f>
        <v>9.1</v>
      </c>
      <c r="AD138" s="138">
        <f>IFERROR(_xlfn.XLOOKUP($D138,'Modelling New'!$D:$D,'Modelling New'!$T:$T)*1000,"")</f>
        <v>1057470.497769533</v>
      </c>
      <c r="AE138" s="142"/>
      <c r="AF138" s="142">
        <f>IFERROR(_xlfn.XLOOKUP($D138,'Modelling New'!$D:$D,'Modelling New'!$W:$W),"")</f>
        <v>0.62587032301700574</v>
      </c>
      <c r="AG138" s="142">
        <f>IFERROR(_xlfn.XLOOKUP($D138,'Modelling New'!$D:$D,'Modelling New'!$AE:$AE),"")</f>
        <v>0.96029999999999993</v>
      </c>
      <c r="AH138" s="142">
        <f>IFERROR(_xlfn.XLOOKUP($D138,'Modelling New'!$D:$D,'Modelling New'!$AF:$AF),"")</f>
        <v>0.995</v>
      </c>
      <c r="AI138" s="109" t="str">
        <f>IFERROR(_xlfn.XLOOKUP($A138,Input_Raw!$A:$A,Input_Raw!$DP:$DP),"")</f>
        <v/>
      </c>
      <c r="AJ138" s="108"/>
      <c r="AK138" s="108"/>
      <c r="AL138" s="108"/>
      <c r="AM138" s="108"/>
      <c r="AN138" s="132" t="str">
        <f>IFERROR(_xlfn.XLOOKUP($A138,Input_Raw!$A:$A,Input_Raw!$DL:$DL),"")</f>
        <v/>
      </c>
      <c r="AO138" s="142" t="str">
        <f>IFERROR((_xlfn.XLOOKUP($A138,'WTG Reactive Power'!$A:$A,'WTG Reactive Power'!$AW:$AW))/X138,"")</f>
        <v/>
      </c>
      <c r="AP138" s="142">
        <f>IFERROR(_xlfn.XLOOKUP($D138,'Modelling New'!$D:$D,'Modelling New'!$AK:$AK),"")</f>
        <v>0.05</v>
      </c>
      <c r="AQ138" s="142">
        <f>IFERROR(_xlfn.XLOOKUP($D138,'Modelling New'!$D:$D,'Modelling New'!$AL:$AL),"")</f>
        <v>0.05</v>
      </c>
      <c r="AR138" s="198">
        <f>IFERROR(_xlfn.XLOOKUP($D138,'Modelling New'!$D:$D,'Modelling New'!$N:$N),"")</f>
        <v>70.400000000000006</v>
      </c>
      <c r="AS138" s="198"/>
    </row>
    <row r="139" spans="1:45">
      <c r="A139" s="137">
        <f t="shared" si="18"/>
        <v>45882</v>
      </c>
      <c r="B139" s="138">
        <f>YEAR(Daily_KPI[[#This Row],[Date]])+IF(MONTH(Daily_KPI[[#This Row],[Date]])&gt;=4,1,0)</f>
        <v>2026</v>
      </c>
      <c r="C139" s="108">
        <f>YEAR(Daily_KPI[[#This Row],[Date]])</f>
        <v>2025</v>
      </c>
      <c r="D139" s="139">
        <f>Daily_KPI[[#This Row],[Date]]-DAY(Daily_KPI[[#This Row],[Date]])+1</f>
        <v>45870</v>
      </c>
      <c r="E139" s="108">
        <f t="shared" si="14"/>
        <v>31</v>
      </c>
      <c r="F139" s="109"/>
      <c r="G139" s="110"/>
      <c r="H139" s="110"/>
      <c r="I139" s="110"/>
      <c r="J139" s="110"/>
      <c r="K139" s="111"/>
      <c r="L139" s="110"/>
      <c r="M139" s="110" t="str">
        <f>IFERROR(_xlfn.XLOOKUP($A139,Input_Raw!$A:$A,Input_Raw!$CQ:$CQ),"")</f>
        <v/>
      </c>
      <c r="N139" s="110" t="str">
        <f>IFERROR(_xlfn.XLOOKUP($A139,Input_Raw!$A:$A,Input_Raw!$CR:$CR),"")</f>
        <v/>
      </c>
      <c r="O139" s="141" t="str">
        <f t="shared" si="15"/>
        <v/>
      </c>
      <c r="P139" s="141" t="str">
        <f>IFERROR(1-SUMIF(WTG_BD!$F:$F,$A139,WTG_BD!$AA:$AA)/($AA139+SUMIF(WTG_BD!$F:$F,$A139,WTG_BD!$AA:$AA)),"")</f>
        <v/>
      </c>
      <c r="Q139" s="141" t="str">
        <f>IFERROR(1-SUMIF(IGA_BD!$F:$F,$A139,IGA_BD!$W:$W)/($AA139+SUMIF(IGA_BD!$F:$F,$A139,IGA_BD!$W:$W)),"")</f>
        <v/>
      </c>
      <c r="R139" s="141" t="str">
        <f>IFERROR(1-SUMIF(Grid_BD!$F:$F,$A139,Grid_BD!$Y:$Y)/($AA139+SUMIF(Grid_BD!$F:$F,$A139,Grid_BD!$Y:$Y)),"")</f>
        <v/>
      </c>
      <c r="S139" s="108"/>
      <c r="T139" s="140"/>
      <c r="U139" s="141"/>
      <c r="V139" s="108"/>
      <c r="W139" s="142" t="str">
        <f t="shared" si="16"/>
        <v/>
      </c>
      <c r="X139" s="108" t="str">
        <f>IFERROR(_xlfn.XLOOKUP($A139,Input_Raw!$A:$A,Input_Raw!$CP:$CP)*1000,"")</f>
        <v/>
      </c>
      <c r="Y139" s="108" t="str">
        <f>IFERROR(_xlfn.XLOOKUP($A139,Input_Raw!$A:$A,Input_Raw!DJ:DJ)*1000,"")</f>
        <v/>
      </c>
      <c r="Z139" s="108" t="str">
        <f>IFERROR(_xlfn.XLOOKUP($A139,Input_Raw!$A:$A,Input_Raw!DK:DK)*1000,"")</f>
        <v/>
      </c>
      <c r="AA139" s="138" t="str">
        <f t="shared" si="17"/>
        <v/>
      </c>
      <c r="AB139" s="108" t="str">
        <f>IFERROR(_xlfn.XLOOKUP($A139,Input_Raw!$A:$A,Input_Raw!$DR:$DR),"")</f>
        <v/>
      </c>
      <c r="AC139" s="143">
        <f>IFERROR(_xlfn.XLOOKUP($D139,'Modelling New'!$D:$D,'Modelling New'!$J:$J),"")</f>
        <v>9.1</v>
      </c>
      <c r="AD139" s="138">
        <f>IFERROR(_xlfn.XLOOKUP($D139,'Modelling New'!$D:$D,'Modelling New'!$T:$T)*1000,"")</f>
        <v>1057470.497769533</v>
      </c>
      <c r="AE139" s="142"/>
      <c r="AF139" s="142">
        <f>IFERROR(_xlfn.XLOOKUP($D139,'Modelling New'!$D:$D,'Modelling New'!$W:$W),"")</f>
        <v>0.62587032301700574</v>
      </c>
      <c r="AG139" s="142">
        <f>IFERROR(_xlfn.XLOOKUP($D139,'Modelling New'!$D:$D,'Modelling New'!$AE:$AE),"")</f>
        <v>0.96029999999999993</v>
      </c>
      <c r="AH139" s="142">
        <f>IFERROR(_xlfn.XLOOKUP($D139,'Modelling New'!$D:$D,'Modelling New'!$AF:$AF),"")</f>
        <v>0.995</v>
      </c>
      <c r="AI139" s="109" t="str">
        <f>IFERROR(_xlfn.XLOOKUP($A139,Input_Raw!$A:$A,Input_Raw!$DP:$DP),"")</f>
        <v/>
      </c>
      <c r="AJ139" s="108"/>
      <c r="AK139" s="108"/>
      <c r="AL139" s="108"/>
      <c r="AM139" s="108"/>
      <c r="AN139" s="132" t="str">
        <f>IFERROR(_xlfn.XLOOKUP($A139,Input_Raw!$A:$A,Input_Raw!$DL:$DL),"")</f>
        <v/>
      </c>
      <c r="AO139" s="142" t="str">
        <f>IFERROR((_xlfn.XLOOKUP($A139,'WTG Reactive Power'!$A:$A,'WTG Reactive Power'!$AW:$AW))/X139,"")</f>
        <v/>
      </c>
      <c r="AP139" s="142">
        <f>IFERROR(_xlfn.XLOOKUP($D139,'Modelling New'!$D:$D,'Modelling New'!$AK:$AK),"")</f>
        <v>0.05</v>
      </c>
      <c r="AQ139" s="142">
        <f>IFERROR(_xlfn.XLOOKUP($D139,'Modelling New'!$D:$D,'Modelling New'!$AL:$AL),"")</f>
        <v>0.05</v>
      </c>
      <c r="AR139" s="198">
        <f>IFERROR(_xlfn.XLOOKUP($D139,'Modelling New'!$D:$D,'Modelling New'!$N:$N),"")</f>
        <v>70.400000000000006</v>
      </c>
      <c r="AS139" s="198"/>
    </row>
    <row r="140" spans="1:45">
      <c r="A140" s="137">
        <f t="shared" si="18"/>
        <v>45883</v>
      </c>
      <c r="B140" s="138">
        <f>YEAR(Daily_KPI[[#This Row],[Date]])+IF(MONTH(Daily_KPI[[#This Row],[Date]])&gt;=4,1,0)</f>
        <v>2026</v>
      </c>
      <c r="C140" s="108">
        <f>YEAR(Daily_KPI[[#This Row],[Date]])</f>
        <v>2025</v>
      </c>
      <c r="D140" s="139">
        <f>Daily_KPI[[#This Row],[Date]]-DAY(Daily_KPI[[#This Row],[Date]])+1</f>
        <v>45870</v>
      </c>
      <c r="E140" s="108">
        <f t="shared" si="14"/>
        <v>31</v>
      </c>
      <c r="F140" s="109"/>
      <c r="G140" s="143"/>
      <c r="H140" s="143"/>
      <c r="I140" s="143"/>
      <c r="J140" s="143"/>
      <c r="K140" s="111"/>
      <c r="L140" s="110"/>
      <c r="M140" s="110" t="str">
        <f>IFERROR(_xlfn.XLOOKUP($A140,Input_Raw!$A:$A,Input_Raw!$CQ:$CQ),"")</f>
        <v/>
      </c>
      <c r="N140" s="110" t="str">
        <f>IFERROR(_xlfn.XLOOKUP($A140,Input_Raw!$A:$A,Input_Raw!$CR:$CR),"")</f>
        <v/>
      </c>
      <c r="O140" s="141" t="str">
        <f t="shared" si="15"/>
        <v/>
      </c>
      <c r="P140" s="141" t="str">
        <f>IFERROR(1-SUMIF(WTG_BD!$F:$F,$A140,WTG_BD!$AA:$AA)/($AA140+SUMIF(WTG_BD!$F:$F,$A140,WTG_BD!$AA:$AA)),"")</f>
        <v/>
      </c>
      <c r="Q140" s="141" t="str">
        <f>IFERROR(1-SUMIF(IGA_BD!$F:$F,$A140,IGA_BD!$W:$W)/($AA140+SUMIF(IGA_BD!$F:$F,$A140,IGA_BD!$W:$W)),"")</f>
        <v/>
      </c>
      <c r="R140" s="141" t="str">
        <f>IFERROR(1-SUMIF(Grid_BD!$F:$F,$A140,Grid_BD!$Y:$Y)/($AA140+SUMIF(Grid_BD!$F:$F,$A140,Grid_BD!$Y:$Y)),"")</f>
        <v/>
      </c>
      <c r="S140" s="108"/>
      <c r="T140" s="140"/>
      <c r="U140" s="141"/>
      <c r="V140" s="108"/>
      <c r="W140" s="142" t="str">
        <f t="shared" si="16"/>
        <v/>
      </c>
      <c r="X140" s="108" t="str">
        <f>IFERROR(_xlfn.XLOOKUP($A140,Input_Raw!$A:$A,Input_Raw!$CP:$CP)*1000,"")</f>
        <v/>
      </c>
      <c r="Y140" s="108" t="str">
        <f>IFERROR(_xlfn.XLOOKUP($A140,Input_Raw!$A:$A,Input_Raw!DJ:DJ)*1000,"")</f>
        <v/>
      </c>
      <c r="Z140" s="108" t="str">
        <f>IFERROR(_xlfn.XLOOKUP($A140,Input_Raw!$A:$A,Input_Raw!DK:DK)*1000,"")</f>
        <v/>
      </c>
      <c r="AA140" s="138" t="str">
        <f t="shared" si="17"/>
        <v/>
      </c>
      <c r="AB140" s="108" t="str">
        <f>IFERROR(_xlfn.XLOOKUP($A140,Input_Raw!$A:$A,Input_Raw!$DR:$DR),"")</f>
        <v/>
      </c>
      <c r="AC140" s="143">
        <f>IFERROR(_xlfn.XLOOKUP($D140,'Modelling New'!$D:$D,'Modelling New'!$J:$J),"")</f>
        <v>9.1</v>
      </c>
      <c r="AD140" s="138">
        <f>IFERROR(_xlfn.XLOOKUP($D140,'Modelling New'!$D:$D,'Modelling New'!$T:$T)*1000,"")</f>
        <v>1057470.497769533</v>
      </c>
      <c r="AE140" s="142"/>
      <c r="AF140" s="142">
        <f>IFERROR(_xlfn.XLOOKUP($D140,'Modelling New'!$D:$D,'Modelling New'!$W:$W),"")</f>
        <v>0.62587032301700574</v>
      </c>
      <c r="AG140" s="142">
        <f>IFERROR(_xlfn.XLOOKUP($D140,'Modelling New'!$D:$D,'Modelling New'!$AE:$AE),"")</f>
        <v>0.96029999999999993</v>
      </c>
      <c r="AH140" s="142">
        <f>IFERROR(_xlfn.XLOOKUP($D140,'Modelling New'!$D:$D,'Modelling New'!$AF:$AF),"")</f>
        <v>0.995</v>
      </c>
      <c r="AI140" s="109" t="str">
        <f>IFERROR(_xlfn.XLOOKUP($A140,Input_Raw!$A:$A,Input_Raw!$DP:$DP),"")</f>
        <v/>
      </c>
      <c r="AJ140" s="108"/>
      <c r="AK140" s="108"/>
      <c r="AL140" s="108"/>
      <c r="AM140" s="108"/>
      <c r="AN140" s="132" t="str">
        <f>IFERROR(_xlfn.XLOOKUP($A140,Input_Raw!$A:$A,Input_Raw!$DL:$DL),"")</f>
        <v/>
      </c>
      <c r="AO140" s="142" t="str">
        <f>IFERROR((_xlfn.XLOOKUP($A140,'WTG Reactive Power'!$A:$A,'WTG Reactive Power'!$AW:$AW))/X140,"")</f>
        <v/>
      </c>
      <c r="AP140" s="142">
        <f>IFERROR(_xlfn.XLOOKUP($D140,'Modelling New'!$D:$D,'Modelling New'!$AK:$AK),"")</f>
        <v>0.05</v>
      </c>
      <c r="AQ140" s="142">
        <f>IFERROR(_xlfn.XLOOKUP($D140,'Modelling New'!$D:$D,'Modelling New'!$AL:$AL),"")</f>
        <v>0.05</v>
      </c>
      <c r="AR140" s="198">
        <f>IFERROR(_xlfn.XLOOKUP($D140,'Modelling New'!$D:$D,'Modelling New'!$N:$N),"")</f>
        <v>70.400000000000006</v>
      </c>
      <c r="AS140" s="198"/>
    </row>
    <row r="141" spans="1:45">
      <c r="A141" s="137">
        <f t="shared" si="18"/>
        <v>45884</v>
      </c>
      <c r="B141" s="138">
        <f>YEAR(Daily_KPI[[#This Row],[Date]])+IF(MONTH(Daily_KPI[[#This Row],[Date]])&gt;=4,1,0)</f>
        <v>2026</v>
      </c>
      <c r="C141" s="108">
        <f>YEAR(Daily_KPI[[#This Row],[Date]])</f>
        <v>2025</v>
      </c>
      <c r="D141" s="139">
        <f>Daily_KPI[[#This Row],[Date]]-DAY(Daily_KPI[[#This Row],[Date]])+1</f>
        <v>45870</v>
      </c>
      <c r="E141" s="108">
        <f t="shared" si="14"/>
        <v>31</v>
      </c>
      <c r="F141" s="109"/>
      <c r="G141" s="110"/>
      <c r="H141" s="110"/>
      <c r="I141" s="110"/>
      <c r="J141" s="110"/>
      <c r="K141" s="111"/>
      <c r="L141" s="110"/>
      <c r="M141" s="110" t="str">
        <f>IFERROR(_xlfn.XLOOKUP($A141,Input_Raw!$A:$A,Input_Raw!$CQ:$CQ),"")</f>
        <v/>
      </c>
      <c r="N141" s="110" t="str">
        <f>IFERROR(_xlfn.XLOOKUP($A141,Input_Raw!$A:$A,Input_Raw!$CR:$CR),"")</f>
        <v/>
      </c>
      <c r="O141" s="141" t="str">
        <f t="shared" si="15"/>
        <v/>
      </c>
      <c r="P141" s="141" t="str">
        <f>IFERROR(1-SUMIF(WTG_BD!$F:$F,$A141,WTG_BD!$AA:$AA)/($AA141+SUMIF(WTG_BD!$F:$F,$A141,WTG_BD!$AA:$AA)),"")</f>
        <v/>
      </c>
      <c r="Q141" s="141" t="str">
        <f>IFERROR(1-SUMIF(IGA_BD!$F:$F,$A141,IGA_BD!$W:$W)/($AA141+SUMIF(IGA_BD!$F:$F,$A141,IGA_BD!$W:$W)),"")</f>
        <v/>
      </c>
      <c r="R141" s="141" t="str">
        <f>IFERROR(1-SUMIF(Grid_BD!$F:$F,$A141,Grid_BD!$Y:$Y)/($AA141+SUMIF(Grid_BD!$F:$F,$A141,Grid_BD!$Y:$Y)),"")</f>
        <v/>
      </c>
      <c r="S141" s="108"/>
      <c r="T141" s="140"/>
      <c r="U141" s="141"/>
      <c r="V141" s="108"/>
      <c r="W141" s="142" t="str">
        <f t="shared" si="16"/>
        <v/>
      </c>
      <c r="X141" s="108" t="str">
        <f>IFERROR(_xlfn.XLOOKUP($A141,Input_Raw!$A:$A,Input_Raw!$CP:$CP)*1000,"")</f>
        <v/>
      </c>
      <c r="Y141" s="108" t="str">
        <f>IFERROR(_xlfn.XLOOKUP($A141,Input_Raw!$A:$A,Input_Raw!DJ:DJ)*1000,"")</f>
        <v/>
      </c>
      <c r="Z141" s="108" t="str">
        <f>IFERROR(_xlfn.XLOOKUP($A141,Input_Raw!$A:$A,Input_Raw!DK:DK)*1000,"")</f>
        <v/>
      </c>
      <c r="AA141" s="138" t="str">
        <f t="shared" si="17"/>
        <v/>
      </c>
      <c r="AB141" s="108" t="str">
        <f>IFERROR(_xlfn.XLOOKUP($A141,Input_Raw!$A:$A,Input_Raw!$DR:$DR),"")</f>
        <v/>
      </c>
      <c r="AC141" s="143">
        <f>IFERROR(_xlfn.XLOOKUP($D141,'Modelling New'!$D:$D,'Modelling New'!$J:$J),"")</f>
        <v>9.1</v>
      </c>
      <c r="AD141" s="138">
        <f>IFERROR(_xlfn.XLOOKUP($D141,'Modelling New'!$D:$D,'Modelling New'!$T:$T)*1000,"")</f>
        <v>1057470.497769533</v>
      </c>
      <c r="AE141" s="142"/>
      <c r="AF141" s="142">
        <f>IFERROR(_xlfn.XLOOKUP($D141,'Modelling New'!$D:$D,'Modelling New'!$W:$W),"")</f>
        <v>0.62587032301700574</v>
      </c>
      <c r="AG141" s="142">
        <f>IFERROR(_xlfn.XLOOKUP($D141,'Modelling New'!$D:$D,'Modelling New'!$AE:$AE),"")</f>
        <v>0.96029999999999993</v>
      </c>
      <c r="AH141" s="142">
        <f>IFERROR(_xlfn.XLOOKUP($D141,'Modelling New'!$D:$D,'Modelling New'!$AF:$AF),"")</f>
        <v>0.995</v>
      </c>
      <c r="AI141" s="109" t="str">
        <f>IFERROR(_xlfn.XLOOKUP($A141,Input_Raw!$A:$A,Input_Raw!$DP:$DP),"")</f>
        <v/>
      </c>
      <c r="AJ141" s="108"/>
      <c r="AK141" s="108"/>
      <c r="AL141" s="108"/>
      <c r="AM141" s="108"/>
      <c r="AN141" s="132" t="str">
        <f>IFERROR(_xlfn.XLOOKUP($A141,Input_Raw!$A:$A,Input_Raw!$DL:$DL),"")</f>
        <v/>
      </c>
      <c r="AO141" s="142" t="str">
        <f>IFERROR((_xlfn.XLOOKUP($A141,'WTG Reactive Power'!$A:$A,'WTG Reactive Power'!$AW:$AW))/X141,"")</f>
        <v/>
      </c>
      <c r="AP141" s="142">
        <f>IFERROR(_xlfn.XLOOKUP($D141,'Modelling New'!$D:$D,'Modelling New'!$AK:$AK),"")</f>
        <v>0.05</v>
      </c>
      <c r="AQ141" s="142">
        <f>IFERROR(_xlfn.XLOOKUP($D141,'Modelling New'!$D:$D,'Modelling New'!$AL:$AL),"")</f>
        <v>0.05</v>
      </c>
      <c r="AR141" s="198">
        <f>IFERROR(_xlfn.XLOOKUP($D141,'Modelling New'!$D:$D,'Modelling New'!$N:$N),"")</f>
        <v>70.400000000000006</v>
      </c>
      <c r="AS141" s="198"/>
    </row>
    <row r="142" spans="1:45">
      <c r="A142" s="137">
        <f t="shared" si="18"/>
        <v>45885</v>
      </c>
      <c r="B142" s="138">
        <f>YEAR(Daily_KPI[[#This Row],[Date]])+IF(MONTH(Daily_KPI[[#This Row],[Date]])&gt;=4,1,0)</f>
        <v>2026</v>
      </c>
      <c r="C142" s="108">
        <f>YEAR(Daily_KPI[[#This Row],[Date]])</f>
        <v>2025</v>
      </c>
      <c r="D142" s="139">
        <f>Daily_KPI[[#This Row],[Date]]-DAY(Daily_KPI[[#This Row],[Date]])+1</f>
        <v>45870</v>
      </c>
      <c r="E142" s="108">
        <f t="shared" si="14"/>
        <v>31</v>
      </c>
      <c r="F142" s="109"/>
      <c r="G142" s="143"/>
      <c r="H142" s="143"/>
      <c r="I142" s="143"/>
      <c r="J142" s="143"/>
      <c r="K142" s="111"/>
      <c r="L142" s="110"/>
      <c r="M142" s="110" t="str">
        <f>IFERROR(_xlfn.XLOOKUP($A142,Input_Raw!$A:$A,Input_Raw!$CQ:$CQ),"")</f>
        <v/>
      </c>
      <c r="N142" s="110" t="str">
        <f>IFERROR(_xlfn.XLOOKUP($A142,Input_Raw!$A:$A,Input_Raw!$CR:$CR),"")</f>
        <v/>
      </c>
      <c r="O142" s="141" t="str">
        <f t="shared" si="15"/>
        <v/>
      </c>
      <c r="P142" s="141" t="str">
        <f>IFERROR(1-SUMIF(WTG_BD!$F:$F,$A142,WTG_BD!$AA:$AA)/($AA142+SUMIF(WTG_BD!$F:$F,$A142,WTG_BD!$AA:$AA)),"")</f>
        <v/>
      </c>
      <c r="Q142" s="141" t="str">
        <f>IFERROR(1-SUMIF(IGA_BD!$F:$F,$A142,IGA_BD!$W:$W)/($AA142+SUMIF(IGA_BD!$F:$F,$A142,IGA_BD!$W:$W)),"")</f>
        <v/>
      </c>
      <c r="R142" s="141" t="str">
        <f>IFERROR(1-SUMIF(Grid_BD!$F:$F,$A142,Grid_BD!$Y:$Y)/($AA142+SUMIF(Grid_BD!$F:$F,$A142,Grid_BD!$Y:$Y)),"")</f>
        <v/>
      </c>
      <c r="S142" s="108"/>
      <c r="T142" s="140"/>
      <c r="U142" s="141"/>
      <c r="V142" s="108"/>
      <c r="W142" s="142" t="str">
        <f t="shared" si="16"/>
        <v/>
      </c>
      <c r="X142" s="108" t="str">
        <f>IFERROR(_xlfn.XLOOKUP($A142,Input_Raw!$A:$A,Input_Raw!$CP:$CP)*1000,"")</f>
        <v/>
      </c>
      <c r="Y142" s="108" t="str">
        <f>IFERROR(_xlfn.XLOOKUP($A142,Input_Raw!$A:$A,Input_Raw!DJ:DJ)*1000,"")</f>
        <v/>
      </c>
      <c r="Z142" s="108" t="str">
        <f>IFERROR(_xlfn.XLOOKUP($A142,Input_Raw!$A:$A,Input_Raw!DK:DK)*1000,"")</f>
        <v/>
      </c>
      <c r="AA142" s="138" t="str">
        <f t="shared" si="17"/>
        <v/>
      </c>
      <c r="AB142" s="108" t="str">
        <f>IFERROR(_xlfn.XLOOKUP($A142,Input_Raw!$A:$A,Input_Raw!$DR:$DR),"")</f>
        <v/>
      </c>
      <c r="AC142" s="143">
        <f>IFERROR(_xlfn.XLOOKUP($D142,'Modelling New'!$D:$D,'Modelling New'!$J:$J),"")</f>
        <v>9.1</v>
      </c>
      <c r="AD142" s="138">
        <f>IFERROR(_xlfn.XLOOKUP($D142,'Modelling New'!$D:$D,'Modelling New'!$T:$T)*1000,"")</f>
        <v>1057470.497769533</v>
      </c>
      <c r="AE142" s="142"/>
      <c r="AF142" s="142">
        <f>IFERROR(_xlfn.XLOOKUP($D142,'Modelling New'!$D:$D,'Modelling New'!$W:$W),"")</f>
        <v>0.62587032301700574</v>
      </c>
      <c r="AG142" s="142">
        <f>IFERROR(_xlfn.XLOOKUP($D142,'Modelling New'!$D:$D,'Modelling New'!$AE:$AE),"")</f>
        <v>0.96029999999999993</v>
      </c>
      <c r="AH142" s="142">
        <f>IFERROR(_xlfn.XLOOKUP($D142,'Modelling New'!$D:$D,'Modelling New'!$AF:$AF),"")</f>
        <v>0.995</v>
      </c>
      <c r="AI142" s="109" t="str">
        <f>IFERROR(_xlfn.XLOOKUP($A142,Input_Raw!$A:$A,Input_Raw!$DP:$DP),"")</f>
        <v/>
      </c>
      <c r="AJ142" s="108"/>
      <c r="AK142" s="108"/>
      <c r="AL142" s="108"/>
      <c r="AM142" s="108"/>
      <c r="AN142" s="132" t="str">
        <f>IFERROR(_xlfn.XLOOKUP($A142,Input_Raw!$A:$A,Input_Raw!$DL:$DL),"")</f>
        <v/>
      </c>
      <c r="AO142" s="142" t="str">
        <f>IFERROR((_xlfn.XLOOKUP($A142,'WTG Reactive Power'!$A:$A,'WTG Reactive Power'!$AW:$AW))/X142,"")</f>
        <v/>
      </c>
      <c r="AP142" s="142">
        <f>IFERROR(_xlfn.XLOOKUP($D142,'Modelling New'!$D:$D,'Modelling New'!$AK:$AK),"")</f>
        <v>0.05</v>
      </c>
      <c r="AQ142" s="142">
        <f>IFERROR(_xlfn.XLOOKUP($D142,'Modelling New'!$D:$D,'Modelling New'!$AL:$AL),"")</f>
        <v>0.05</v>
      </c>
      <c r="AR142" s="198">
        <f>IFERROR(_xlfn.XLOOKUP($D142,'Modelling New'!$D:$D,'Modelling New'!$N:$N),"")</f>
        <v>70.400000000000006</v>
      </c>
      <c r="AS142" s="198"/>
    </row>
    <row r="143" spans="1:45">
      <c r="A143" s="137">
        <f t="shared" si="18"/>
        <v>45886</v>
      </c>
      <c r="B143" s="138">
        <f>YEAR(Daily_KPI[[#This Row],[Date]])+IF(MONTH(Daily_KPI[[#This Row],[Date]])&gt;=4,1,0)</f>
        <v>2026</v>
      </c>
      <c r="C143" s="108">
        <f>YEAR(Daily_KPI[[#This Row],[Date]])</f>
        <v>2025</v>
      </c>
      <c r="D143" s="139">
        <f>Daily_KPI[[#This Row],[Date]]-DAY(Daily_KPI[[#This Row],[Date]])+1</f>
        <v>45870</v>
      </c>
      <c r="E143" s="108">
        <f t="shared" si="14"/>
        <v>31</v>
      </c>
      <c r="F143" s="109"/>
      <c r="G143" s="110"/>
      <c r="H143" s="110"/>
      <c r="I143" s="110"/>
      <c r="J143" s="110"/>
      <c r="K143" s="111"/>
      <c r="L143" s="110"/>
      <c r="M143" s="110" t="str">
        <f>IFERROR(_xlfn.XLOOKUP($A143,Input_Raw!$A:$A,Input_Raw!$CQ:$CQ),"")</f>
        <v/>
      </c>
      <c r="N143" s="110" t="str">
        <f>IFERROR(_xlfn.XLOOKUP($A143,Input_Raw!$A:$A,Input_Raw!$CR:$CR),"")</f>
        <v/>
      </c>
      <c r="O143" s="141" t="str">
        <f t="shared" si="15"/>
        <v/>
      </c>
      <c r="P143" s="141" t="str">
        <f>IFERROR(1-SUMIF(WTG_BD!$F:$F,$A143,WTG_BD!$AA:$AA)/($AA143+SUMIF(WTG_BD!$F:$F,$A143,WTG_BD!$AA:$AA)),"")</f>
        <v/>
      </c>
      <c r="Q143" s="141" t="str">
        <f>IFERROR(1-SUMIF(IGA_BD!$F:$F,$A143,IGA_BD!$W:$W)/($AA143+SUMIF(IGA_BD!$F:$F,$A143,IGA_BD!$W:$W)),"")</f>
        <v/>
      </c>
      <c r="R143" s="141" t="str">
        <f>IFERROR(1-SUMIF(Grid_BD!$F:$F,$A143,Grid_BD!$Y:$Y)/($AA143+SUMIF(Grid_BD!$F:$F,$A143,Grid_BD!$Y:$Y)),"")</f>
        <v/>
      </c>
      <c r="S143" s="108"/>
      <c r="T143" s="140"/>
      <c r="U143" s="141"/>
      <c r="V143" s="108"/>
      <c r="W143" s="142" t="str">
        <f t="shared" si="16"/>
        <v/>
      </c>
      <c r="X143" s="108" t="str">
        <f>IFERROR(_xlfn.XLOOKUP($A143,Input_Raw!$A:$A,Input_Raw!$CP:$CP)*1000,"")</f>
        <v/>
      </c>
      <c r="Y143" s="108" t="str">
        <f>IFERROR(_xlfn.XLOOKUP($A143,Input_Raw!$A:$A,Input_Raw!DJ:DJ)*1000,"")</f>
        <v/>
      </c>
      <c r="Z143" s="108" t="str">
        <f>IFERROR(_xlfn.XLOOKUP($A143,Input_Raw!$A:$A,Input_Raw!DK:DK)*1000,"")</f>
        <v/>
      </c>
      <c r="AA143" s="138" t="str">
        <f t="shared" si="17"/>
        <v/>
      </c>
      <c r="AB143" s="108" t="str">
        <f>IFERROR(_xlfn.XLOOKUP($A143,Input_Raw!$A:$A,Input_Raw!$DR:$DR),"")</f>
        <v/>
      </c>
      <c r="AC143" s="143">
        <f>IFERROR(_xlfn.XLOOKUP($D143,'Modelling New'!$D:$D,'Modelling New'!$J:$J),"")</f>
        <v>9.1</v>
      </c>
      <c r="AD143" s="138">
        <f>IFERROR(_xlfn.XLOOKUP($D143,'Modelling New'!$D:$D,'Modelling New'!$T:$T)*1000,"")</f>
        <v>1057470.497769533</v>
      </c>
      <c r="AE143" s="142"/>
      <c r="AF143" s="142">
        <f>IFERROR(_xlfn.XLOOKUP($D143,'Modelling New'!$D:$D,'Modelling New'!$W:$W),"")</f>
        <v>0.62587032301700574</v>
      </c>
      <c r="AG143" s="142">
        <f>IFERROR(_xlfn.XLOOKUP($D143,'Modelling New'!$D:$D,'Modelling New'!$AE:$AE),"")</f>
        <v>0.96029999999999993</v>
      </c>
      <c r="AH143" s="142">
        <f>IFERROR(_xlfn.XLOOKUP($D143,'Modelling New'!$D:$D,'Modelling New'!$AF:$AF),"")</f>
        <v>0.995</v>
      </c>
      <c r="AI143" s="109" t="str">
        <f>IFERROR(_xlfn.XLOOKUP($A143,Input_Raw!$A:$A,Input_Raw!$DP:$DP),"")</f>
        <v/>
      </c>
      <c r="AJ143" s="108"/>
      <c r="AK143" s="108"/>
      <c r="AL143" s="108"/>
      <c r="AM143" s="108"/>
      <c r="AN143" s="132" t="str">
        <f>IFERROR(_xlfn.XLOOKUP($A143,Input_Raw!$A:$A,Input_Raw!$DL:$DL),"")</f>
        <v/>
      </c>
      <c r="AO143" s="142" t="str">
        <f>IFERROR((_xlfn.XLOOKUP($A143,'WTG Reactive Power'!$A:$A,'WTG Reactive Power'!$AW:$AW))/X143,"")</f>
        <v/>
      </c>
      <c r="AP143" s="142">
        <f>IFERROR(_xlfn.XLOOKUP($D143,'Modelling New'!$D:$D,'Modelling New'!$AK:$AK),"")</f>
        <v>0.05</v>
      </c>
      <c r="AQ143" s="142">
        <f>IFERROR(_xlfn.XLOOKUP($D143,'Modelling New'!$D:$D,'Modelling New'!$AL:$AL),"")</f>
        <v>0.05</v>
      </c>
      <c r="AR143" s="198">
        <f>IFERROR(_xlfn.XLOOKUP($D143,'Modelling New'!$D:$D,'Modelling New'!$N:$N),"")</f>
        <v>70.400000000000006</v>
      </c>
      <c r="AS143" s="198"/>
    </row>
    <row r="144" spans="1:45">
      <c r="A144" s="137">
        <f t="shared" si="18"/>
        <v>45887</v>
      </c>
      <c r="B144" s="138">
        <f>YEAR(Daily_KPI[[#This Row],[Date]])+IF(MONTH(Daily_KPI[[#This Row],[Date]])&gt;=4,1,0)</f>
        <v>2026</v>
      </c>
      <c r="C144" s="108">
        <f>YEAR(Daily_KPI[[#This Row],[Date]])</f>
        <v>2025</v>
      </c>
      <c r="D144" s="139">
        <f>Daily_KPI[[#This Row],[Date]]-DAY(Daily_KPI[[#This Row],[Date]])+1</f>
        <v>45870</v>
      </c>
      <c r="E144" s="108">
        <f t="shared" si="14"/>
        <v>31</v>
      </c>
      <c r="F144" s="109"/>
      <c r="G144" s="143"/>
      <c r="H144" s="143"/>
      <c r="I144" s="143"/>
      <c r="J144" s="143"/>
      <c r="K144" s="111"/>
      <c r="L144" s="110"/>
      <c r="M144" s="110" t="str">
        <f>IFERROR(_xlfn.XLOOKUP($A144,Input_Raw!$A:$A,Input_Raw!$CQ:$CQ),"")</f>
        <v/>
      </c>
      <c r="N144" s="110" t="str">
        <f>IFERROR(_xlfn.XLOOKUP($A144,Input_Raw!$A:$A,Input_Raw!$CR:$CR),"")</f>
        <v/>
      </c>
      <c r="O144" s="141" t="str">
        <f t="shared" si="15"/>
        <v/>
      </c>
      <c r="P144" s="141" t="str">
        <f>IFERROR(1-SUMIF(WTG_BD!$F:$F,$A144,WTG_BD!$AA:$AA)/($AA144+SUMIF(WTG_BD!$F:$F,$A144,WTG_BD!$AA:$AA)),"")</f>
        <v/>
      </c>
      <c r="Q144" s="141" t="str">
        <f>IFERROR(1-SUMIF(IGA_BD!$F:$F,$A144,IGA_BD!$W:$W)/($AA144+SUMIF(IGA_BD!$F:$F,$A144,IGA_BD!$W:$W)),"")</f>
        <v/>
      </c>
      <c r="R144" s="141" t="str">
        <f>IFERROR(1-SUMIF(Grid_BD!$F:$F,$A144,Grid_BD!$Y:$Y)/($AA144+SUMIF(Grid_BD!$F:$F,$A144,Grid_BD!$Y:$Y)),"")</f>
        <v/>
      </c>
      <c r="S144" s="108"/>
      <c r="T144" s="140"/>
      <c r="U144" s="141"/>
      <c r="V144" s="108"/>
      <c r="W144" s="142" t="str">
        <f t="shared" si="16"/>
        <v/>
      </c>
      <c r="X144" s="108" t="str">
        <f>IFERROR(_xlfn.XLOOKUP($A144,Input_Raw!$A:$A,Input_Raw!$CP:$CP)*1000,"")</f>
        <v/>
      </c>
      <c r="Y144" s="108" t="str">
        <f>IFERROR(_xlfn.XLOOKUP($A144,Input_Raw!$A:$A,Input_Raw!DJ:DJ)*1000,"")</f>
        <v/>
      </c>
      <c r="Z144" s="108" t="str">
        <f>IFERROR(_xlfn.XLOOKUP($A144,Input_Raw!$A:$A,Input_Raw!DK:DK)*1000,"")</f>
        <v/>
      </c>
      <c r="AA144" s="138" t="str">
        <f t="shared" si="17"/>
        <v/>
      </c>
      <c r="AB144" s="108" t="str">
        <f>IFERROR(_xlfn.XLOOKUP($A144,Input_Raw!$A:$A,Input_Raw!$DR:$DR),"")</f>
        <v/>
      </c>
      <c r="AC144" s="143">
        <f>IFERROR(_xlfn.XLOOKUP($D144,'Modelling New'!$D:$D,'Modelling New'!$J:$J),"")</f>
        <v>9.1</v>
      </c>
      <c r="AD144" s="138">
        <f>IFERROR(_xlfn.XLOOKUP($D144,'Modelling New'!$D:$D,'Modelling New'!$T:$T)*1000,"")</f>
        <v>1057470.497769533</v>
      </c>
      <c r="AE144" s="142"/>
      <c r="AF144" s="142">
        <f>IFERROR(_xlfn.XLOOKUP($D144,'Modelling New'!$D:$D,'Modelling New'!$W:$W),"")</f>
        <v>0.62587032301700574</v>
      </c>
      <c r="AG144" s="142">
        <f>IFERROR(_xlfn.XLOOKUP($D144,'Modelling New'!$D:$D,'Modelling New'!$AE:$AE),"")</f>
        <v>0.96029999999999993</v>
      </c>
      <c r="AH144" s="142">
        <f>IFERROR(_xlfn.XLOOKUP($D144,'Modelling New'!$D:$D,'Modelling New'!$AF:$AF),"")</f>
        <v>0.995</v>
      </c>
      <c r="AI144" s="109" t="str">
        <f>IFERROR(_xlfn.XLOOKUP($A144,Input_Raw!$A:$A,Input_Raw!$DP:$DP),"")</f>
        <v/>
      </c>
      <c r="AJ144" s="108"/>
      <c r="AK144" s="108"/>
      <c r="AL144" s="108"/>
      <c r="AM144" s="108"/>
      <c r="AN144" s="132" t="str">
        <f>IFERROR(_xlfn.XLOOKUP($A144,Input_Raw!$A:$A,Input_Raw!$DL:$DL),"")</f>
        <v/>
      </c>
      <c r="AO144" s="142" t="str">
        <f>IFERROR((_xlfn.XLOOKUP($A144,'WTG Reactive Power'!$A:$A,'WTG Reactive Power'!$AW:$AW))/X144,"")</f>
        <v/>
      </c>
      <c r="AP144" s="142">
        <f>IFERROR(_xlfn.XLOOKUP($D144,'Modelling New'!$D:$D,'Modelling New'!$AK:$AK),"")</f>
        <v>0.05</v>
      </c>
      <c r="AQ144" s="142">
        <f>IFERROR(_xlfn.XLOOKUP($D144,'Modelling New'!$D:$D,'Modelling New'!$AL:$AL),"")</f>
        <v>0.05</v>
      </c>
      <c r="AR144" s="198">
        <f>IFERROR(_xlfn.XLOOKUP($D144,'Modelling New'!$D:$D,'Modelling New'!$N:$N),"")</f>
        <v>70.400000000000006</v>
      </c>
      <c r="AS144" s="198"/>
    </row>
    <row r="145" spans="1:45">
      <c r="A145" s="137">
        <f t="shared" si="18"/>
        <v>45888</v>
      </c>
      <c r="B145" s="138">
        <f>YEAR(Daily_KPI[[#This Row],[Date]])+IF(MONTH(Daily_KPI[[#This Row],[Date]])&gt;=4,1,0)</f>
        <v>2026</v>
      </c>
      <c r="C145" s="108">
        <f>YEAR(Daily_KPI[[#This Row],[Date]])</f>
        <v>2025</v>
      </c>
      <c r="D145" s="139">
        <f>Daily_KPI[[#This Row],[Date]]-DAY(Daily_KPI[[#This Row],[Date]])+1</f>
        <v>45870</v>
      </c>
      <c r="E145" s="108">
        <f t="shared" si="14"/>
        <v>31</v>
      </c>
      <c r="F145" s="109"/>
      <c r="G145" s="110"/>
      <c r="H145" s="110"/>
      <c r="I145" s="110"/>
      <c r="J145" s="110"/>
      <c r="K145" s="111"/>
      <c r="L145" s="110"/>
      <c r="M145" s="110" t="str">
        <f>IFERROR(_xlfn.XLOOKUP($A145,Input_Raw!$A:$A,Input_Raw!$CQ:$CQ),"")</f>
        <v/>
      </c>
      <c r="N145" s="110" t="str">
        <f>IFERROR(_xlfn.XLOOKUP($A145,Input_Raw!$A:$A,Input_Raw!$CR:$CR),"")</f>
        <v/>
      </c>
      <c r="O145" s="141" t="str">
        <f t="shared" si="15"/>
        <v/>
      </c>
      <c r="P145" s="141" t="str">
        <f>IFERROR(1-SUMIF(WTG_BD!$F:$F,$A145,WTG_BD!$AA:$AA)/($AA145+SUMIF(WTG_BD!$F:$F,$A145,WTG_BD!$AA:$AA)),"")</f>
        <v/>
      </c>
      <c r="Q145" s="141" t="str">
        <f>IFERROR(1-SUMIF(IGA_BD!$F:$F,$A145,IGA_BD!$W:$W)/($AA145+SUMIF(IGA_BD!$F:$F,$A145,IGA_BD!$W:$W)),"")</f>
        <v/>
      </c>
      <c r="R145" s="141" t="str">
        <f>IFERROR(1-SUMIF(Grid_BD!$F:$F,$A145,Grid_BD!$Y:$Y)/($AA145+SUMIF(Grid_BD!$F:$F,$A145,Grid_BD!$Y:$Y)),"")</f>
        <v/>
      </c>
      <c r="S145" s="108"/>
      <c r="T145" s="140"/>
      <c r="U145" s="141"/>
      <c r="V145" s="108"/>
      <c r="W145" s="142" t="str">
        <f t="shared" si="16"/>
        <v/>
      </c>
      <c r="X145" s="108" t="str">
        <f>IFERROR(_xlfn.XLOOKUP($A145,Input_Raw!$A:$A,Input_Raw!$CP:$CP)*1000,"")</f>
        <v/>
      </c>
      <c r="Y145" s="108" t="str">
        <f>IFERROR(_xlfn.XLOOKUP($A145,Input_Raw!$A:$A,Input_Raw!DJ:DJ)*1000,"")</f>
        <v/>
      </c>
      <c r="Z145" s="108" t="str">
        <f>IFERROR(_xlfn.XLOOKUP($A145,Input_Raw!$A:$A,Input_Raw!DK:DK)*1000,"")</f>
        <v/>
      </c>
      <c r="AA145" s="138" t="str">
        <f t="shared" si="17"/>
        <v/>
      </c>
      <c r="AB145" s="108" t="str">
        <f>IFERROR(_xlfn.XLOOKUP($A145,Input_Raw!$A:$A,Input_Raw!$DR:$DR),"")</f>
        <v/>
      </c>
      <c r="AC145" s="143">
        <f>IFERROR(_xlfn.XLOOKUP($D145,'Modelling New'!$D:$D,'Modelling New'!$J:$J),"")</f>
        <v>9.1</v>
      </c>
      <c r="AD145" s="138">
        <f>IFERROR(_xlfn.XLOOKUP($D145,'Modelling New'!$D:$D,'Modelling New'!$T:$T)*1000,"")</f>
        <v>1057470.497769533</v>
      </c>
      <c r="AE145" s="142"/>
      <c r="AF145" s="142">
        <f>IFERROR(_xlfn.XLOOKUP($D145,'Modelling New'!$D:$D,'Modelling New'!$W:$W),"")</f>
        <v>0.62587032301700574</v>
      </c>
      <c r="AG145" s="142">
        <f>IFERROR(_xlfn.XLOOKUP($D145,'Modelling New'!$D:$D,'Modelling New'!$AE:$AE),"")</f>
        <v>0.96029999999999993</v>
      </c>
      <c r="AH145" s="142">
        <f>IFERROR(_xlfn.XLOOKUP($D145,'Modelling New'!$D:$D,'Modelling New'!$AF:$AF),"")</f>
        <v>0.995</v>
      </c>
      <c r="AI145" s="109" t="str">
        <f>IFERROR(_xlfn.XLOOKUP($A145,Input_Raw!$A:$A,Input_Raw!$DP:$DP),"")</f>
        <v/>
      </c>
      <c r="AJ145" s="108"/>
      <c r="AK145" s="108"/>
      <c r="AL145" s="108"/>
      <c r="AM145" s="108"/>
      <c r="AN145" s="132" t="str">
        <f>IFERROR(_xlfn.XLOOKUP($A145,Input_Raw!$A:$A,Input_Raw!$DL:$DL),"")</f>
        <v/>
      </c>
      <c r="AO145" s="142" t="str">
        <f>IFERROR((_xlfn.XLOOKUP($A145,'WTG Reactive Power'!$A:$A,'WTG Reactive Power'!$AW:$AW))/X145,"")</f>
        <v/>
      </c>
      <c r="AP145" s="142">
        <f>IFERROR(_xlfn.XLOOKUP($D145,'Modelling New'!$D:$D,'Modelling New'!$AK:$AK),"")</f>
        <v>0.05</v>
      </c>
      <c r="AQ145" s="142">
        <f>IFERROR(_xlfn.XLOOKUP($D145,'Modelling New'!$D:$D,'Modelling New'!$AL:$AL),"")</f>
        <v>0.05</v>
      </c>
      <c r="AR145" s="198">
        <f>IFERROR(_xlfn.XLOOKUP($D145,'Modelling New'!$D:$D,'Modelling New'!$N:$N),"")</f>
        <v>70.400000000000006</v>
      </c>
      <c r="AS145" s="198"/>
    </row>
    <row r="146" spans="1:45">
      <c r="A146" s="137">
        <f t="shared" si="18"/>
        <v>45889</v>
      </c>
      <c r="B146" s="138">
        <f>YEAR(Daily_KPI[[#This Row],[Date]])+IF(MONTH(Daily_KPI[[#This Row],[Date]])&gt;=4,1,0)</f>
        <v>2026</v>
      </c>
      <c r="C146" s="108">
        <f>YEAR(Daily_KPI[[#This Row],[Date]])</f>
        <v>2025</v>
      </c>
      <c r="D146" s="139">
        <f>Daily_KPI[[#This Row],[Date]]-DAY(Daily_KPI[[#This Row],[Date]])+1</f>
        <v>45870</v>
      </c>
      <c r="E146" s="108">
        <f t="shared" si="14"/>
        <v>31</v>
      </c>
      <c r="F146" s="109"/>
      <c r="G146" s="143"/>
      <c r="H146" s="143"/>
      <c r="I146" s="143"/>
      <c r="J146" s="143"/>
      <c r="K146" s="111"/>
      <c r="L146" s="110"/>
      <c r="M146" s="110" t="str">
        <f>IFERROR(_xlfn.XLOOKUP($A146,Input_Raw!$A:$A,Input_Raw!$CQ:$CQ),"")</f>
        <v/>
      </c>
      <c r="N146" s="110" t="str">
        <f>IFERROR(_xlfn.XLOOKUP($A146,Input_Raw!$A:$A,Input_Raw!$CR:$CR),"")</f>
        <v/>
      </c>
      <c r="O146" s="141" t="str">
        <f t="shared" si="15"/>
        <v/>
      </c>
      <c r="P146" s="141" t="str">
        <f>IFERROR(1-SUMIF(WTG_BD!$F:$F,$A146,WTG_BD!$AA:$AA)/($AA146+SUMIF(WTG_BD!$F:$F,$A146,WTG_BD!$AA:$AA)),"")</f>
        <v/>
      </c>
      <c r="Q146" s="141" t="str">
        <f>IFERROR(1-SUMIF(IGA_BD!$F:$F,$A146,IGA_BD!$W:$W)/($AA146+SUMIF(IGA_BD!$F:$F,$A146,IGA_BD!$W:$W)),"")</f>
        <v/>
      </c>
      <c r="R146" s="141" t="str">
        <f>IFERROR(1-SUMIF(Grid_BD!$F:$F,$A146,Grid_BD!$Y:$Y)/($AA146+SUMIF(Grid_BD!$F:$F,$A146,Grid_BD!$Y:$Y)),"")</f>
        <v/>
      </c>
      <c r="S146" s="108"/>
      <c r="T146" s="140"/>
      <c r="U146" s="141"/>
      <c r="V146" s="108"/>
      <c r="W146" s="142" t="str">
        <f t="shared" si="16"/>
        <v/>
      </c>
      <c r="X146" s="108" t="str">
        <f>IFERROR(_xlfn.XLOOKUP($A146,Input_Raw!$A:$A,Input_Raw!$CP:$CP)*1000,"")</f>
        <v/>
      </c>
      <c r="Y146" s="108" t="str">
        <f>IFERROR(_xlfn.XLOOKUP($A146,Input_Raw!$A:$A,Input_Raw!DJ:DJ)*1000,"")</f>
        <v/>
      </c>
      <c r="Z146" s="108" t="str">
        <f>IFERROR(_xlfn.XLOOKUP($A146,Input_Raw!$A:$A,Input_Raw!DK:DK)*1000,"")</f>
        <v/>
      </c>
      <c r="AA146" s="138" t="str">
        <f t="shared" si="17"/>
        <v/>
      </c>
      <c r="AB146" s="108" t="str">
        <f>IFERROR(_xlfn.XLOOKUP($A146,Input_Raw!$A:$A,Input_Raw!$DR:$DR),"")</f>
        <v/>
      </c>
      <c r="AC146" s="143">
        <f>IFERROR(_xlfn.XLOOKUP($D146,'Modelling New'!$D:$D,'Modelling New'!$J:$J),"")</f>
        <v>9.1</v>
      </c>
      <c r="AD146" s="138">
        <f>IFERROR(_xlfn.XLOOKUP($D146,'Modelling New'!$D:$D,'Modelling New'!$T:$T)*1000,"")</f>
        <v>1057470.497769533</v>
      </c>
      <c r="AE146" s="142"/>
      <c r="AF146" s="142">
        <f>IFERROR(_xlfn.XLOOKUP($D146,'Modelling New'!$D:$D,'Modelling New'!$W:$W),"")</f>
        <v>0.62587032301700574</v>
      </c>
      <c r="AG146" s="142">
        <f>IFERROR(_xlfn.XLOOKUP($D146,'Modelling New'!$D:$D,'Modelling New'!$AE:$AE),"")</f>
        <v>0.96029999999999993</v>
      </c>
      <c r="AH146" s="142">
        <f>IFERROR(_xlfn.XLOOKUP($D146,'Modelling New'!$D:$D,'Modelling New'!$AF:$AF),"")</f>
        <v>0.995</v>
      </c>
      <c r="AI146" s="109" t="str">
        <f>IFERROR(_xlfn.XLOOKUP($A146,Input_Raw!$A:$A,Input_Raw!$DP:$DP),"")</f>
        <v/>
      </c>
      <c r="AJ146" s="108"/>
      <c r="AK146" s="108"/>
      <c r="AL146" s="108"/>
      <c r="AM146" s="108"/>
      <c r="AN146" s="132" t="str">
        <f>IFERROR(_xlfn.XLOOKUP($A146,Input_Raw!$A:$A,Input_Raw!$DL:$DL),"")</f>
        <v/>
      </c>
      <c r="AO146" s="142" t="str">
        <f>IFERROR((_xlfn.XLOOKUP($A146,'WTG Reactive Power'!$A:$A,'WTG Reactive Power'!$AW:$AW))/X146,"")</f>
        <v/>
      </c>
      <c r="AP146" s="142">
        <f>IFERROR(_xlfn.XLOOKUP($D146,'Modelling New'!$D:$D,'Modelling New'!$AK:$AK),"")</f>
        <v>0.05</v>
      </c>
      <c r="AQ146" s="142">
        <f>IFERROR(_xlfn.XLOOKUP($D146,'Modelling New'!$D:$D,'Modelling New'!$AL:$AL),"")</f>
        <v>0.05</v>
      </c>
      <c r="AR146" s="198">
        <f>IFERROR(_xlfn.XLOOKUP($D146,'Modelling New'!$D:$D,'Modelling New'!$N:$N),"")</f>
        <v>70.400000000000006</v>
      </c>
      <c r="AS146" s="198"/>
    </row>
    <row r="147" spans="1:45">
      <c r="A147" s="137">
        <f t="shared" si="18"/>
        <v>45890</v>
      </c>
      <c r="B147" s="138">
        <f>YEAR(Daily_KPI[[#This Row],[Date]])+IF(MONTH(Daily_KPI[[#This Row],[Date]])&gt;=4,1,0)</f>
        <v>2026</v>
      </c>
      <c r="C147" s="108">
        <f>YEAR(Daily_KPI[[#This Row],[Date]])</f>
        <v>2025</v>
      </c>
      <c r="D147" s="139">
        <f>Daily_KPI[[#This Row],[Date]]-DAY(Daily_KPI[[#This Row],[Date]])+1</f>
        <v>45870</v>
      </c>
      <c r="E147" s="108">
        <f t="shared" si="14"/>
        <v>31</v>
      </c>
      <c r="F147" s="109"/>
      <c r="G147" s="110"/>
      <c r="H147" s="110"/>
      <c r="I147" s="110"/>
      <c r="J147" s="110"/>
      <c r="K147" s="111"/>
      <c r="L147" s="110"/>
      <c r="M147" s="110" t="str">
        <f>IFERROR(_xlfn.XLOOKUP($A147,Input_Raw!$A:$A,Input_Raw!$CQ:$CQ),"")</f>
        <v/>
      </c>
      <c r="N147" s="110" t="str">
        <f>IFERROR(_xlfn.XLOOKUP($A147,Input_Raw!$A:$A,Input_Raw!$CR:$CR),"")</f>
        <v/>
      </c>
      <c r="O147" s="141" t="str">
        <f t="shared" si="15"/>
        <v/>
      </c>
      <c r="P147" s="141" t="str">
        <f>IFERROR(1-SUMIF(WTG_BD!$F:$F,$A147,WTG_BD!$AA:$AA)/($AA147+SUMIF(WTG_BD!$F:$F,$A147,WTG_BD!$AA:$AA)),"")</f>
        <v/>
      </c>
      <c r="Q147" s="141" t="str">
        <f>IFERROR(1-SUMIF(IGA_BD!$F:$F,$A147,IGA_BD!$W:$W)/($AA147+SUMIF(IGA_BD!$F:$F,$A147,IGA_BD!$W:$W)),"")</f>
        <v/>
      </c>
      <c r="R147" s="141" t="str">
        <f>IFERROR(1-SUMIF(Grid_BD!$F:$F,$A147,Grid_BD!$Y:$Y)/($AA147+SUMIF(Grid_BD!$F:$F,$A147,Grid_BD!$Y:$Y)),"")</f>
        <v/>
      </c>
      <c r="S147" s="108"/>
      <c r="T147" s="140"/>
      <c r="U147" s="141"/>
      <c r="V147" s="108"/>
      <c r="W147" s="142" t="str">
        <f t="shared" si="16"/>
        <v/>
      </c>
      <c r="X147" s="108" t="str">
        <f>IFERROR(_xlfn.XLOOKUP($A147,Input_Raw!$A:$A,Input_Raw!$CP:$CP)*1000,"")</f>
        <v/>
      </c>
      <c r="Y147" s="108" t="str">
        <f>IFERROR(_xlfn.XLOOKUP($A147,Input_Raw!$A:$A,Input_Raw!DJ:DJ)*1000,"")</f>
        <v/>
      </c>
      <c r="Z147" s="108" t="str">
        <f>IFERROR(_xlfn.XLOOKUP($A147,Input_Raw!$A:$A,Input_Raw!DK:DK)*1000,"")</f>
        <v/>
      </c>
      <c r="AA147" s="138" t="str">
        <f t="shared" si="17"/>
        <v/>
      </c>
      <c r="AB147" s="108" t="str">
        <f>IFERROR(_xlfn.XLOOKUP($A147,Input_Raw!$A:$A,Input_Raw!$DR:$DR),"")</f>
        <v/>
      </c>
      <c r="AC147" s="143">
        <f>IFERROR(_xlfn.XLOOKUP($D147,'Modelling New'!$D:$D,'Modelling New'!$J:$J),"")</f>
        <v>9.1</v>
      </c>
      <c r="AD147" s="138">
        <f>IFERROR(_xlfn.XLOOKUP($D147,'Modelling New'!$D:$D,'Modelling New'!$T:$T)*1000,"")</f>
        <v>1057470.497769533</v>
      </c>
      <c r="AE147" s="142"/>
      <c r="AF147" s="142">
        <f>IFERROR(_xlfn.XLOOKUP($D147,'Modelling New'!$D:$D,'Modelling New'!$W:$W),"")</f>
        <v>0.62587032301700574</v>
      </c>
      <c r="AG147" s="142">
        <f>IFERROR(_xlfn.XLOOKUP($D147,'Modelling New'!$D:$D,'Modelling New'!$AE:$AE),"")</f>
        <v>0.96029999999999993</v>
      </c>
      <c r="AH147" s="142">
        <f>IFERROR(_xlfn.XLOOKUP($D147,'Modelling New'!$D:$D,'Modelling New'!$AF:$AF),"")</f>
        <v>0.995</v>
      </c>
      <c r="AI147" s="109" t="str">
        <f>IFERROR(_xlfn.XLOOKUP($A147,Input_Raw!$A:$A,Input_Raw!$DP:$DP),"")</f>
        <v/>
      </c>
      <c r="AJ147" s="108"/>
      <c r="AK147" s="108"/>
      <c r="AL147" s="108"/>
      <c r="AM147" s="108"/>
      <c r="AN147" s="132" t="str">
        <f>IFERROR(_xlfn.XLOOKUP($A147,Input_Raw!$A:$A,Input_Raw!$DL:$DL),"")</f>
        <v/>
      </c>
      <c r="AO147" s="142" t="str">
        <f>IFERROR((_xlfn.XLOOKUP($A147,'WTG Reactive Power'!$A:$A,'WTG Reactive Power'!$AW:$AW))/X147,"")</f>
        <v/>
      </c>
      <c r="AP147" s="142">
        <f>IFERROR(_xlfn.XLOOKUP($D147,'Modelling New'!$D:$D,'Modelling New'!$AK:$AK),"")</f>
        <v>0.05</v>
      </c>
      <c r="AQ147" s="142">
        <f>IFERROR(_xlfn.XLOOKUP($D147,'Modelling New'!$D:$D,'Modelling New'!$AL:$AL),"")</f>
        <v>0.05</v>
      </c>
      <c r="AR147" s="198">
        <f>IFERROR(_xlfn.XLOOKUP($D147,'Modelling New'!$D:$D,'Modelling New'!$N:$N),"")</f>
        <v>70.400000000000006</v>
      </c>
      <c r="AS147" s="198"/>
    </row>
    <row r="148" spans="1:45">
      <c r="A148" s="137">
        <f t="shared" si="18"/>
        <v>45891</v>
      </c>
      <c r="B148" s="138">
        <f>YEAR(Daily_KPI[[#This Row],[Date]])+IF(MONTH(Daily_KPI[[#This Row],[Date]])&gt;=4,1,0)</f>
        <v>2026</v>
      </c>
      <c r="C148" s="108">
        <f>YEAR(Daily_KPI[[#This Row],[Date]])</f>
        <v>2025</v>
      </c>
      <c r="D148" s="139">
        <f>Daily_KPI[[#This Row],[Date]]-DAY(Daily_KPI[[#This Row],[Date]])+1</f>
        <v>45870</v>
      </c>
      <c r="E148" s="108">
        <f t="shared" si="14"/>
        <v>31</v>
      </c>
      <c r="F148" s="109"/>
      <c r="G148" s="143"/>
      <c r="H148" s="143"/>
      <c r="I148" s="143"/>
      <c r="J148" s="143"/>
      <c r="K148" s="111"/>
      <c r="L148" s="110"/>
      <c r="M148" s="110" t="str">
        <f>IFERROR(_xlfn.XLOOKUP($A148,Input_Raw!$A:$A,Input_Raw!$CQ:$CQ),"")</f>
        <v/>
      </c>
      <c r="N148" s="110" t="str">
        <f>IFERROR(_xlfn.XLOOKUP($A148,Input_Raw!$A:$A,Input_Raw!$CR:$CR),"")</f>
        <v/>
      </c>
      <c r="O148" s="141" t="str">
        <f t="shared" si="15"/>
        <v/>
      </c>
      <c r="P148" s="141" t="str">
        <f>IFERROR(1-SUMIF(WTG_BD!$F:$F,$A148,WTG_BD!$AA:$AA)/($AA148+SUMIF(WTG_BD!$F:$F,$A148,WTG_BD!$AA:$AA)),"")</f>
        <v/>
      </c>
      <c r="Q148" s="141" t="str">
        <f>IFERROR(1-SUMIF(IGA_BD!$F:$F,$A148,IGA_BD!$W:$W)/($AA148+SUMIF(IGA_BD!$F:$F,$A148,IGA_BD!$W:$W)),"")</f>
        <v/>
      </c>
      <c r="R148" s="141" t="str">
        <f>IFERROR(1-SUMIF(Grid_BD!$F:$F,$A148,Grid_BD!$Y:$Y)/($AA148+SUMIF(Grid_BD!$F:$F,$A148,Grid_BD!$Y:$Y)),"")</f>
        <v/>
      </c>
      <c r="S148" s="108"/>
      <c r="T148" s="140"/>
      <c r="U148" s="141"/>
      <c r="V148" s="108"/>
      <c r="W148" s="142" t="str">
        <f t="shared" si="16"/>
        <v/>
      </c>
      <c r="X148" s="108" t="str">
        <f>IFERROR(_xlfn.XLOOKUP($A148,Input_Raw!$A:$A,Input_Raw!$CP:$CP)*1000,"")</f>
        <v/>
      </c>
      <c r="Y148" s="108" t="str">
        <f>IFERROR(_xlfn.XLOOKUP($A148,Input_Raw!$A:$A,Input_Raw!DJ:DJ)*1000,"")</f>
        <v/>
      </c>
      <c r="Z148" s="108" t="str">
        <f>IFERROR(_xlfn.XLOOKUP($A148,Input_Raw!$A:$A,Input_Raw!DK:DK)*1000,"")</f>
        <v/>
      </c>
      <c r="AA148" s="138" t="str">
        <f t="shared" si="17"/>
        <v/>
      </c>
      <c r="AB148" s="108" t="str">
        <f>IFERROR(_xlfn.XLOOKUP($A148,Input_Raw!$A:$A,Input_Raw!$DR:$DR),"")</f>
        <v/>
      </c>
      <c r="AC148" s="143">
        <f>IFERROR(_xlfn.XLOOKUP($D148,'Modelling New'!$D:$D,'Modelling New'!$J:$J),"")</f>
        <v>9.1</v>
      </c>
      <c r="AD148" s="138">
        <f>IFERROR(_xlfn.XLOOKUP($D148,'Modelling New'!$D:$D,'Modelling New'!$T:$T)*1000,"")</f>
        <v>1057470.497769533</v>
      </c>
      <c r="AE148" s="142"/>
      <c r="AF148" s="142">
        <f>IFERROR(_xlfn.XLOOKUP($D148,'Modelling New'!$D:$D,'Modelling New'!$W:$W),"")</f>
        <v>0.62587032301700574</v>
      </c>
      <c r="AG148" s="142">
        <f>IFERROR(_xlfn.XLOOKUP($D148,'Modelling New'!$D:$D,'Modelling New'!$AE:$AE),"")</f>
        <v>0.96029999999999993</v>
      </c>
      <c r="AH148" s="142">
        <f>IFERROR(_xlfn.XLOOKUP($D148,'Modelling New'!$D:$D,'Modelling New'!$AF:$AF),"")</f>
        <v>0.995</v>
      </c>
      <c r="AI148" s="109" t="str">
        <f>IFERROR(_xlfn.XLOOKUP($A148,Input_Raw!$A:$A,Input_Raw!$DP:$DP),"")</f>
        <v/>
      </c>
      <c r="AJ148" s="108"/>
      <c r="AK148" s="108"/>
      <c r="AL148" s="108"/>
      <c r="AM148" s="108"/>
      <c r="AN148" s="132" t="str">
        <f>IFERROR(_xlfn.XLOOKUP($A148,Input_Raw!$A:$A,Input_Raw!$DL:$DL),"")</f>
        <v/>
      </c>
      <c r="AO148" s="142" t="str">
        <f>IFERROR((_xlfn.XLOOKUP($A148,'WTG Reactive Power'!$A:$A,'WTG Reactive Power'!$AW:$AW))/X148,"")</f>
        <v/>
      </c>
      <c r="AP148" s="142">
        <f>IFERROR(_xlfn.XLOOKUP($D148,'Modelling New'!$D:$D,'Modelling New'!$AK:$AK),"")</f>
        <v>0.05</v>
      </c>
      <c r="AQ148" s="142">
        <f>IFERROR(_xlfn.XLOOKUP($D148,'Modelling New'!$D:$D,'Modelling New'!$AL:$AL),"")</f>
        <v>0.05</v>
      </c>
      <c r="AR148" s="198">
        <f>IFERROR(_xlfn.XLOOKUP($D148,'Modelling New'!$D:$D,'Modelling New'!$N:$N),"")</f>
        <v>70.400000000000006</v>
      </c>
      <c r="AS148" s="198"/>
    </row>
    <row r="149" spans="1:45">
      <c r="A149" s="137">
        <f t="shared" si="18"/>
        <v>45892</v>
      </c>
      <c r="B149" s="138">
        <f>YEAR(Daily_KPI[[#This Row],[Date]])+IF(MONTH(Daily_KPI[[#This Row],[Date]])&gt;=4,1,0)</f>
        <v>2026</v>
      </c>
      <c r="C149" s="108">
        <f>YEAR(Daily_KPI[[#This Row],[Date]])</f>
        <v>2025</v>
      </c>
      <c r="D149" s="139">
        <f>Daily_KPI[[#This Row],[Date]]-DAY(Daily_KPI[[#This Row],[Date]])+1</f>
        <v>45870</v>
      </c>
      <c r="E149" s="108">
        <f t="shared" si="14"/>
        <v>31</v>
      </c>
      <c r="F149" s="109"/>
      <c r="G149" s="110"/>
      <c r="H149" s="110"/>
      <c r="I149" s="110"/>
      <c r="J149" s="110"/>
      <c r="K149" s="111"/>
      <c r="L149" s="110"/>
      <c r="M149" s="110" t="str">
        <f>IFERROR(_xlfn.XLOOKUP($A149,Input_Raw!$A:$A,Input_Raw!$CQ:$CQ),"")</f>
        <v/>
      </c>
      <c r="N149" s="110" t="str">
        <f>IFERROR(_xlfn.XLOOKUP($A149,Input_Raw!$A:$A,Input_Raw!$CR:$CR),"")</f>
        <v/>
      </c>
      <c r="O149" s="141" t="str">
        <f t="shared" si="15"/>
        <v/>
      </c>
      <c r="P149" s="141" t="str">
        <f>IFERROR(1-SUMIF(WTG_BD!$F:$F,$A149,WTG_BD!$AA:$AA)/($AA149+SUMIF(WTG_BD!$F:$F,$A149,WTG_BD!$AA:$AA)),"")</f>
        <v/>
      </c>
      <c r="Q149" s="141" t="str">
        <f>IFERROR(1-SUMIF(IGA_BD!$F:$F,$A149,IGA_BD!$W:$W)/($AA149+SUMIF(IGA_BD!$F:$F,$A149,IGA_BD!$W:$W)),"")</f>
        <v/>
      </c>
      <c r="R149" s="141" t="str">
        <f>IFERROR(1-SUMIF(Grid_BD!$F:$F,$A149,Grid_BD!$Y:$Y)/($AA149+SUMIF(Grid_BD!$F:$F,$A149,Grid_BD!$Y:$Y)),"")</f>
        <v/>
      </c>
      <c r="S149" s="108"/>
      <c r="T149" s="140"/>
      <c r="U149" s="141"/>
      <c r="V149" s="108"/>
      <c r="W149" s="142" t="str">
        <f t="shared" si="16"/>
        <v/>
      </c>
      <c r="X149" s="108" t="str">
        <f>IFERROR(_xlfn.XLOOKUP($A149,Input_Raw!$A:$A,Input_Raw!$CP:$CP)*1000,"")</f>
        <v/>
      </c>
      <c r="Y149" s="108" t="str">
        <f>IFERROR(_xlfn.XLOOKUP($A149,Input_Raw!$A:$A,Input_Raw!DJ:DJ)*1000,"")</f>
        <v/>
      </c>
      <c r="Z149" s="108" t="str">
        <f>IFERROR(_xlfn.XLOOKUP($A149,Input_Raw!$A:$A,Input_Raw!DK:DK)*1000,"")</f>
        <v/>
      </c>
      <c r="AA149" s="138" t="str">
        <f t="shared" si="17"/>
        <v/>
      </c>
      <c r="AB149" s="108" t="str">
        <f>IFERROR(_xlfn.XLOOKUP($A149,Input_Raw!$A:$A,Input_Raw!$DR:$DR),"")</f>
        <v/>
      </c>
      <c r="AC149" s="143">
        <f>IFERROR(_xlfn.XLOOKUP($D149,'Modelling New'!$D:$D,'Modelling New'!$J:$J),"")</f>
        <v>9.1</v>
      </c>
      <c r="AD149" s="138">
        <f>IFERROR(_xlfn.XLOOKUP($D149,'Modelling New'!$D:$D,'Modelling New'!$T:$T)*1000,"")</f>
        <v>1057470.497769533</v>
      </c>
      <c r="AE149" s="142"/>
      <c r="AF149" s="142">
        <f>IFERROR(_xlfn.XLOOKUP($D149,'Modelling New'!$D:$D,'Modelling New'!$W:$W),"")</f>
        <v>0.62587032301700574</v>
      </c>
      <c r="AG149" s="142">
        <f>IFERROR(_xlfn.XLOOKUP($D149,'Modelling New'!$D:$D,'Modelling New'!$AE:$AE),"")</f>
        <v>0.96029999999999993</v>
      </c>
      <c r="AH149" s="142">
        <f>IFERROR(_xlfn.XLOOKUP($D149,'Modelling New'!$D:$D,'Modelling New'!$AF:$AF),"")</f>
        <v>0.995</v>
      </c>
      <c r="AI149" s="109" t="str">
        <f>IFERROR(_xlfn.XLOOKUP($A149,Input_Raw!$A:$A,Input_Raw!$DP:$DP),"")</f>
        <v/>
      </c>
      <c r="AJ149" s="108"/>
      <c r="AK149" s="108"/>
      <c r="AL149" s="108"/>
      <c r="AM149" s="108"/>
      <c r="AN149" s="132" t="str">
        <f>IFERROR(_xlfn.XLOOKUP($A149,Input_Raw!$A:$A,Input_Raw!$DL:$DL),"")</f>
        <v/>
      </c>
      <c r="AO149" s="142" t="str">
        <f>IFERROR((_xlfn.XLOOKUP($A149,'WTG Reactive Power'!$A:$A,'WTG Reactive Power'!$AW:$AW))/X149,"")</f>
        <v/>
      </c>
      <c r="AP149" s="142">
        <f>IFERROR(_xlfn.XLOOKUP($D149,'Modelling New'!$D:$D,'Modelling New'!$AK:$AK),"")</f>
        <v>0.05</v>
      </c>
      <c r="AQ149" s="142">
        <f>IFERROR(_xlfn.XLOOKUP($D149,'Modelling New'!$D:$D,'Modelling New'!$AL:$AL),"")</f>
        <v>0.05</v>
      </c>
      <c r="AR149" s="198">
        <f>IFERROR(_xlfn.XLOOKUP($D149,'Modelling New'!$D:$D,'Modelling New'!$N:$N),"")</f>
        <v>70.400000000000006</v>
      </c>
      <c r="AS149" s="198"/>
    </row>
    <row r="150" spans="1:45">
      <c r="A150" s="137">
        <f t="shared" si="18"/>
        <v>45893</v>
      </c>
      <c r="B150" s="138">
        <f>YEAR(Daily_KPI[[#This Row],[Date]])+IF(MONTH(Daily_KPI[[#This Row],[Date]])&gt;=4,1,0)</f>
        <v>2026</v>
      </c>
      <c r="C150" s="108">
        <f>YEAR(Daily_KPI[[#This Row],[Date]])</f>
        <v>2025</v>
      </c>
      <c r="D150" s="139">
        <f>Daily_KPI[[#This Row],[Date]]-DAY(Daily_KPI[[#This Row],[Date]])+1</f>
        <v>45870</v>
      </c>
      <c r="E150" s="108">
        <f t="shared" si="14"/>
        <v>31</v>
      </c>
      <c r="F150" s="109"/>
      <c r="G150" s="143"/>
      <c r="H150" s="143"/>
      <c r="I150" s="143"/>
      <c r="J150" s="143"/>
      <c r="K150" s="111"/>
      <c r="L150" s="110"/>
      <c r="M150" s="110" t="str">
        <f>IFERROR(_xlfn.XLOOKUP($A150,Input_Raw!$A:$A,Input_Raw!$CQ:$CQ),"")</f>
        <v/>
      </c>
      <c r="N150" s="110" t="str">
        <f>IFERROR(_xlfn.XLOOKUP($A150,Input_Raw!$A:$A,Input_Raw!$CR:$CR),"")</f>
        <v/>
      </c>
      <c r="O150" s="141" t="str">
        <f t="shared" si="15"/>
        <v/>
      </c>
      <c r="P150" s="141" t="str">
        <f>IFERROR(1-SUMIF(WTG_BD!$F:$F,$A150,WTG_BD!$AA:$AA)/($AA150+SUMIF(WTG_BD!$F:$F,$A150,WTG_BD!$AA:$AA)),"")</f>
        <v/>
      </c>
      <c r="Q150" s="141" t="str">
        <f>IFERROR(1-SUMIF(IGA_BD!$F:$F,$A150,IGA_BD!$W:$W)/($AA150+SUMIF(IGA_BD!$F:$F,$A150,IGA_BD!$W:$W)),"")</f>
        <v/>
      </c>
      <c r="R150" s="141" t="str">
        <f>IFERROR(1-SUMIF(Grid_BD!$F:$F,$A150,Grid_BD!$Y:$Y)/($AA150+SUMIF(Grid_BD!$F:$F,$A150,Grid_BD!$Y:$Y)),"")</f>
        <v/>
      </c>
      <c r="S150" s="108"/>
      <c r="T150" s="140"/>
      <c r="U150" s="141"/>
      <c r="V150" s="108"/>
      <c r="W150" s="142" t="str">
        <f t="shared" si="16"/>
        <v/>
      </c>
      <c r="X150" s="108" t="str">
        <f>IFERROR(_xlfn.XLOOKUP($A150,Input_Raw!$A:$A,Input_Raw!$CP:$CP)*1000,"")</f>
        <v/>
      </c>
      <c r="Y150" s="108" t="str">
        <f>IFERROR(_xlfn.XLOOKUP($A150,Input_Raw!$A:$A,Input_Raw!DJ:DJ)*1000,"")</f>
        <v/>
      </c>
      <c r="Z150" s="108" t="str">
        <f>IFERROR(_xlfn.XLOOKUP($A150,Input_Raw!$A:$A,Input_Raw!DK:DK)*1000,"")</f>
        <v/>
      </c>
      <c r="AA150" s="138" t="str">
        <f t="shared" si="17"/>
        <v/>
      </c>
      <c r="AB150" s="108" t="str">
        <f>IFERROR(_xlfn.XLOOKUP($A150,Input_Raw!$A:$A,Input_Raw!$DR:$DR),"")</f>
        <v/>
      </c>
      <c r="AC150" s="143">
        <f>IFERROR(_xlfn.XLOOKUP($D150,'Modelling New'!$D:$D,'Modelling New'!$J:$J),"")</f>
        <v>9.1</v>
      </c>
      <c r="AD150" s="138">
        <f>IFERROR(_xlfn.XLOOKUP($D150,'Modelling New'!$D:$D,'Modelling New'!$T:$T)*1000,"")</f>
        <v>1057470.497769533</v>
      </c>
      <c r="AE150" s="142"/>
      <c r="AF150" s="142">
        <f>IFERROR(_xlfn.XLOOKUP($D150,'Modelling New'!$D:$D,'Modelling New'!$W:$W),"")</f>
        <v>0.62587032301700574</v>
      </c>
      <c r="AG150" s="142">
        <f>IFERROR(_xlfn.XLOOKUP($D150,'Modelling New'!$D:$D,'Modelling New'!$AE:$AE),"")</f>
        <v>0.96029999999999993</v>
      </c>
      <c r="AH150" s="142">
        <f>IFERROR(_xlfn.XLOOKUP($D150,'Modelling New'!$D:$D,'Modelling New'!$AF:$AF),"")</f>
        <v>0.995</v>
      </c>
      <c r="AI150" s="109" t="str">
        <f>IFERROR(_xlfn.XLOOKUP($A150,Input_Raw!$A:$A,Input_Raw!$DP:$DP),"")</f>
        <v/>
      </c>
      <c r="AJ150" s="108"/>
      <c r="AK150" s="108"/>
      <c r="AL150" s="108"/>
      <c r="AM150" s="108"/>
      <c r="AN150" s="132" t="str">
        <f>IFERROR(_xlfn.XLOOKUP($A150,Input_Raw!$A:$A,Input_Raw!$DL:$DL),"")</f>
        <v/>
      </c>
      <c r="AO150" s="142" t="str">
        <f>IFERROR((_xlfn.XLOOKUP($A150,'WTG Reactive Power'!$A:$A,'WTG Reactive Power'!$AW:$AW))/X150,"")</f>
        <v/>
      </c>
      <c r="AP150" s="142">
        <f>IFERROR(_xlfn.XLOOKUP($D150,'Modelling New'!$D:$D,'Modelling New'!$AK:$AK),"")</f>
        <v>0.05</v>
      </c>
      <c r="AQ150" s="142">
        <f>IFERROR(_xlfn.XLOOKUP($D150,'Modelling New'!$D:$D,'Modelling New'!$AL:$AL),"")</f>
        <v>0.05</v>
      </c>
      <c r="AR150" s="198">
        <f>IFERROR(_xlfn.XLOOKUP($D150,'Modelling New'!$D:$D,'Modelling New'!$N:$N),"")</f>
        <v>70.400000000000006</v>
      </c>
      <c r="AS150" s="198"/>
    </row>
    <row r="151" spans="1:45">
      <c r="A151" s="137">
        <f t="shared" si="18"/>
        <v>45894</v>
      </c>
      <c r="B151" s="138">
        <f>YEAR(Daily_KPI[[#This Row],[Date]])+IF(MONTH(Daily_KPI[[#This Row],[Date]])&gt;=4,1,0)</f>
        <v>2026</v>
      </c>
      <c r="C151" s="108">
        <f>YEAR(Daily_KPI[[#This Row],[Date]])</f>
        <v>2025</v>
      </c>
      <c r="D151" s="139">
        <f>Daily_KPI[[#This Row],[Date]]-DAY(Daily_KPI[[#This Row],[Date]])+1</f>
        <v>45870</v>
      </c>
      <c r="E151" s="108">
        <f t="shared" si="14"/>
        <v>31</v>
      </c>
      <c r="F151" s="109"/>
      <c r="G151" s="110"/>
      <c r="H151" s="110"/>
      <c r="I151" s="110"/>
      <c r="J151" s="110"/>
      <c r="K151" s="111"/>
      <c r="L151" s="110"/>
      <c r="M151" s="110" t="str">
        <f>IFERROR(_xlfn.XLOOKUP($A151,Input_Raw!$A:$A,Input_Raw!$CQ:$CQ),"")</f>
        <v/>
      </c>
      <c r="N151" s="110" t="str">
        <f>IFERROR(_xlfn.XLOOKUP($A151,Input_Raw!$A:$A,Input_Raw!$CR:$CR),"")</f>
        <v/>
      </c>
      <c r="O151" s="141" t="str">
        <f t="shared" si="15"/>
        <v/>
      </c>
      <c r="P151" s="141" t="str">
        <f>IFERROR(1-SUMIF(WTG_BD!$F:$F,$A151,WTG_BD!$AA:$AA)/($AA151+SUMIF(WTG_BD!$F:$F,$A151,WTG_BD!$AA:$AA)),"")</f>
        <v/>
      </c>
      <c r="Q151" s="141" t="str">
        <f>IFERROR(1-SUMIF(IGA_BD!$F:$F,$A151,IGA_BD!$W:$W)/($AA151+SUMIF(IGA_BD!$F:$F,$A151,IGA_BD!$W:$W)),"")</f>
        <v/>
      </c>
      <c r="R151" s="141" t="str">
        <f>IFERROR(1-SUMIF(Grid_BD!$F:$F,$A151,Grid_BD!$Y:$Y)/($AA151+SUMIF(Grid_BD!$F:$F,$A151,Grid_BD!$Y:$Y)),"")</f>
        <v/>
      </c>
      <c r="S151" s="108"/>
      <c r="T151" s="140"/>
      <c r="U151" s="141"/>
      <c r="V151" s="108"/>
      <c r="W151" s="142" t="str">
        <f t="shared" si="16"/>
        <v/>
      </c>
      <c r="X151" s="108" t="str">
        <f>IFERROR(_xlfn.XLOOKUP($A151,Input_Raw!$A:$A,Input_Raw!$CP:$CP)*1000,"")</f>
        <v/>
      </c>
      <c r="Y151" s="108" t="str">
        <f>IFERROR(_xlfn.XLOOKUP($A151,Input_Raw!$A:$A,Input_Raw!DJ:DJ)*1000,"")</f>
        <v/>
      </c>
      <c r="Z151" s="108" t="str">
        <f>IFERROR(_xlfn.XLOOKUP($A151,Input_Raw!$A:$A,Input_Raw!DK:DK)*1000,"")</f>
        <v/>
      </c>
      <c r="AA151" s="138" t="str">
        <f t="shared" si="17"/>
        <v/>
      </c>
      <c r="AB151" s="108" t="str">
        <f>IFERROR(_xlfn.XLOOKUP($A151,Input_Raw!$A:$A,Input_Raw!$DR:$DR),"")</f>
        <v/>
      </c>
      <c r="AC151" s="143">
        <f>IFERROR(_xlfn.XLOOKUP($D151,'Modelling New'!$D:$D,'Modelling New'!$J:$J),"")</f>
        <v>9.1</v>
      </c>
      <c r="AD151" s="138">
        <f>IFERROR(_xlfn.XLOOKUP($D151,'Modelling New'!$D:$D,'Modelling New'!$T:$T)*1000,"")</f>
        <v>1057470.497769533</v>
      </c>
      <c r="AE151" s="142"/>
      <c r="AF151" s="142">
        <f>IFERROR(_xlfn.XLOOKUP($D151,'Modelling New'!$D:$D,'Modelling New'!$W:$W),"")</f>
        <v>0.62587032301700574</v>
      </c>
      <c r="AG151" s="142">
        <f>IFERROR(_xlfn.XLOOKUP($D151,'Modelling New'!$D:$D,'Modelling New'!$AE:$AE),"")</f>
        <v>0.96029999999999993</v>
      </c>
      <c r="AH151" s="142">
        <f>IFERROR(_xlfn.XLOOKUP($D151,'Modelling New'!$D:$D,'Modelling New'!$AF:$AF),"")</f>
        <v>0.995</v>
      </c>
      <c r="AI151" s="109" t="str">
        <f>IFERROR(_xlfn.XLOOKUP($A151,Input_Raw!$A:$A,Input_Raw!$DP:$DP),"")</f>
        <v/>
      </c>
      <c r="AJ151" s="108"/>
      <c r="AK151" s="108"/>
      <c r="AL151" s="108"/>
      <c r="AM151" s="108"/>
      <c r="AN151" s="132" t="str">
        <f>IFERROR(_xlfn.XLOOKUP($A151,Input_Raw!$A:$A,Input_Raw!$DL:$DL),"")</f>
        <v/>
      </c>
      <c r="AO151" s="142" t="str">
        <f>IFERROR((_xlfn.XLOOKUP($A151,'WTG Reactive Power'!$A:$A,'WTG Reactive Power'!$AW:$AW))/X151,"")</f>
        <v/>
      </c>
      <c r="AP151" s="142">
        <f>IFERROR(_xlfn.XLOOKUP($D151,'Modelling New'!$D:$D,'Modelling New'!$AK:$AK),"")</f>
        <v>0.05</v>
      </c>
      <c r="AQ151" s="142">
        <f>IFERROR(_xlfn.XLOOKUP($D151,'Modelling New'!$D:$D,'Modelling New'!$AL:$AL),"")</f>
        <v>0.05</v>
      </c>
      <c r="AR151" s="198">
        <f>IFERROR(_xlfn.XLOOKUP($D151,'Modelling New'!$D:$D,'Modelling New'!$N:$N),"")</f>
        <v>70.400000000000006</v>
      </c>
      <c r="AS151" s="198"/>
    </row>
    <row r="152" spans="1:45">
      <c r="A152" s="137">
        <f t="shared" si="18"/>
        <v>45895</v>
      </c>
      <c r="B152" s="138">
        <f>YEAR(Daily_KPI[[#This Row],[Date]])+IF(MONTH(Daily_KPI[[#This Row],[Date]])&gt;=4,1,0)</f>
        <v>2026</v>
      </c>
      <c r="C152" s="108">
        <f>YEAR(Daily_KPI[[#This Row],[Date]])</f>
        <v>2025</v>
      </c>
      <c r="D152" s="139">
        <f>Daily_KPI[[#This Row],[Date]]-DAY(Daily_KPI[[#This Row],[Date]])+1</f>
        <v>45870</v>
      </c>
      <c r="E152" s="108">
        <f t="shared" si="14"/>
        <v>31</v>
      </c>
      <c r="F152" s="109"/>
      <c r="G152" s="143"/>
      <c r="H152" s="143"/>
      <c r="I152" s="143"/>
      <c r="J152" s="143"/>
      <c r="K152" s="111"/>
      <c r="L152" s="110"/>
      <c r="M152" s="110" t="str">
        <f>IFERROR(_xlfn.XLOOKUP($A152,Input_Raw!$A:$A,Input_Raw!$CQ:$CQ),"")</f>
        <v/>
      </c>
      <c r="N152" s="110" t="str">
        <f>IFERROR(_xlfn.XLOOKUP($A152,Input_Raw!$A:$A,Input_Raw!$CR:$CR),"")</f>
        <v/>
      </c>
      <c r="O152" s="141" t="str">
        <f t="shared" si="15"/>
        <v/>
      </c>
      <c r="P152" s="141" t="str">
        <f>IFERROR(1-SUMIF(WTG_BD!$F:$F,$A152,WTG_BD!$AA:$AA)/($AA152+SUMIF(WTG_BD!$F:$F,$A152,WTG_BD!$AA:$AA)),"")</f>
        <v/>
      </c>
      <c r="Q152" s="141" t="str">
        <f>IFERROR(1-SUMIF(IGA_BD!$F:$F,$A152,IGA_BD!$W:$W)/($AA152+SUMIF(IGA_BD!$F:$F,$A152,IGA_BD!$W:$W)),"")</f>
        <v/>
      </c>
      <c r="R152" s="141" t="str">
        <f>IFERROR(1-SUMIF(Grid_BD!$F:$F,$A152,Grid_BD!$Y:$Y)/($AA152+SUMIF(Grid_BD!$F:$F,$A152,Grid_BD!$Y:$Y)),"")</f>
        <v/>
      </c>
      <c r="S152" s="108"/>
      <c r="T152" s="140"/>
      <c r="U152" s="141"/>
      <c r="V152" s="108"/>
      <c r="W152" s="142" t="str">
        <f t="shared" si="16"/>
        <v/>
      </c>
      <c r="X152" s="108" t="str">
        <f>IFERROR(_xlfn.XLOOKUP($A152,Input_Raw!$A:$A,Input_Raw!$CP:$CP)*1000,"")</f>
        <v/>
      </c>
      <c r="Y152" s="108" t="str">
        <f>IFERROR(_xlfn.XLOOKUP($A152,Input_Raw!$A:$A,Input_Raw!DJ:DJ)*1000,"")</f>
        <v/>
      </c>
      <c r="Z152" s="108" t="str">
        <f>IFERROR(_xlfn.XLOOKUP($A152,Input_Raw!$A:$A,Input_Raw!DK:DK)*1000,"")</f>
        <v/>
      </c>
      <c r="AA152" s="138" t="str">
        <f t="shared" si="17"/>
        <v/>
      </c>
      <c r="AB152" s="108" t="str">
        <f>IFERROR(_xlfn.XLOOKUP($A152,Input_Raw!$A:$A,Input_Raw!$DR:$DR),"")</f>
        <v/>
      </c>
      <c r="AC152" s="143">
        <f>IFERROR(_xlfn.XLOOKUP($D152,'Modelling New'!$D:$D,'Modelling New'!$J:$J),"")</f>
        <v>9.1</v>
      </c>
      <c r="AD152" s="138">
        <f>IFERROR(_xlfn.XLOOKUP($D152,'Modelling New'!$D:$D,'Modelling New'!$T:$T)*1000,"")</f>
        <v>1057470.497769533</v>
      </c>
      <c r="AE152" s="142"/>
      <c r="AF152" s="142">
        <f>IFERROR(_xlfn.XLOOKUP($D152,'Modelling New'!$D:$D,'Modelling New'!$W:$W),"")</f>
        <v>0.62587032301700574</v>
      </c>
      <c r="AG152" s="142">
        <f>IFERROR(_xlfn.XLOOKUP($D152,'Modelling New'!$D:$D,'Modelling New'!$AE:$AE),"")</f>
        <v>0.96029999999999993</v>
      </c>
      <c r="AH152" s="142">
        <f>IFERROR(_xlfn.XLOOKUP($D152,'Modelling New'!$D:$D,'Modelling New'!$AF:$AF),"")</f>
        <v>0.995</v>
      </c>
      <c r="AI152" s="109" t="str">
        <f>IFERROR(_xlfn.XLOOKUP($A152,Input_Raw!$A:$A,Input_Raw!$DP:$DP),"")</f>
        <v/>
      </c>
      <c r="AJ152" s="108"/>
      <c r="AK152" s="108"/>
      <c r="AL152" s="108"/>
      <c r="AM152" s="108"/>
      <c r="AN152" s="132" t="str">
        <f>IFERROR(_xlfn.XLOOKUP($A152,Input_Raw!$A:$A,Input_Raw!$DL:$DL),"")</f>
        <v/>
      </c>
      <c r="AO152" s="142" t="str">
        <f>IFERROR((_xlfn.XLOOKUP($A152,'WTG Reactive Power'!$A:$A,'WTG Reactive Power'!$AW:$AW))/X152,"")</f>
        <v/>
      </c>
      <c r="AP152" s="142">
        <f>IFERROR(_xlfn.XLOOKUP($D152,'Modelling New'!$D:$D,'Modelling New'!$AK:$AK),"")</f>
        <v>0.05</v>
      </c>
      <c r="AQ152" s="142">
        <f>IFERROR(_xlfn.XLOOKUP($D152,'Modelling New'!$D:$D,'Modelling New'!$AL:$AL),"")</f>
        <v>0.05</v>
      </c>
      <c r="AR152" s="198">
        <f>IFERROR(_xlfn.XLOOKUP($D152,'Modelling New'!$D:$D,'Modelling New'!$N:$N),"")</f>
        <v>70.400000000000006</v>
      </c>
      <c r="AS152" s="198"/>
    </row>
    <row r="153" spans="1:45">
      <c r="A153" s="137">
        <f t="shared" si="18"/>
        <v>45896</v>
      </c>
      <c r="B153" s="138">
        <f>YEAR(Daily_KPI[[#This Row],[Date]])+IF(MONTH(Daily_KPI[[#This Row],[Date]])&gt;=4,1,0)</f>
        <v>2026</v>
      </c>
      <c r="C153" s="108">
        <f>YEAR(Daily_KPI[[#This Row],[Date]])</f>
        <v>2025</v>
      </c>
      <c r="D153" s="139">
        <f>Daily_KPI[[#This Row],[Date]]-DAY(Daily_KPI[[#This Row],[Date]])+1</f>
        <v>45870</v>
      </c>
      <c r="E153" s="108">
        <f t="shared" si="14"/>
        <v>31</v>
      </c>
      <c r="F153" s="109"/>
      <c r="G153" s="110"/>
      <c r="H153" s="110"/>
      <c r="I153" s="110"/>
      <c r="J153" s="110"/>
      <c r="K153" s="111"/>
      <c r="L153" s="110"/>
      <c r="M153" s="110" t="str">
        <f>IFERROR(_xlfn.XLOOKUP($A153,Input_Raw!$A:$A,Input_Raw!$CQ:$CQ),"")</f>
        <v/>
      </c>
      <c r="N153" s="110" t="str">
        <f>IFERROR(_xlfn.XLOOKUP($A153,Input_Raw!$A:$A,Input_Raw!$CR:$CR),"")</f>
        <v/>
      </c>
      <c r="O153" s="141" t="str">
        <f t="shared" si="15"/>
        <v/>
      </c>
      <c r="P153" s="141" t="str">
        <f>IFERROR(1-SUMIF(WTG_BD!$F:$F,$A153,WTG_BD!$AA:$AA)/($AA153+SUMIF(WTG_BD!$F:$F,$A153,WTG_BD!$AA:$AA)),"")</f>
        <v/>
      </c>
      <c r="Q153" s="141" t="str">
        <f>IFERROR(1-SUMIF(IGA_BD!$F:$F,$A153,IGA_BD!$W:$W)/($AA153+SUMIF(IGA_BD!$F:$F,$A153,IGA_BD!$W:$W)),"")</f>
        <v/>
      </c>
      <c r="R153" s="141" t="str">
        <f>IFERROR(1-SUMIF(Grid_BD!$F:$F,$A153,Grid_BD!$Y:$Y)/($AA153+SUMIF(Grid_BD!$F:$F,$A153,Grid_BD!$Y:$Y)),"")</f>
        <v/>
      </c>
      <c r="S153" s="108"/>
      <c r="T153" s="140"/>
      <c r="U153" s="141"/>
      <c r="V153" s="108"/>
      <c r="W153" s="142" t="str">
        <f t="shared" si="16"/>
        <v/>
      </c>
      <c r="X153" s="108" t="str">
        <f>IFERROR(_xlfn.XLOOKUP($A153,Input_Raw!$A:$A,Input_Raw!$CP:$CP)*1000,"")</f>
        <v/>
      </c>
      <c r="Y153" s="108" t="str">
        <f>IFERROR(_xlfn.XLOOKUP($A153,Input_Raw!$A:$A,Input_Raw!DJ:DJ)*1000,"")</f>
        <v/>
      </c>
      <c r="Z153" s="108" t="str">
        <f>IFERROR(_xlfn.XLOOKUP($A153,Input_Raw!$A:$A,Input_Raw!DK:DK)*1000,"")</f>
        <v/>
      </c>
      <c r="AA153" s="138" t="str">
        <f t="shared" si="17"/>
        <v/>
      </c>
      <c r="AB153" s="108" t="str">
        <f>IFERROR(_xlfn.XLOOKUP($A153,Input_Raw!$A:$A,Input_Raw!$DR:$DR),"")</f>
        <v/>
      </c>
      <c r="AC153" s="143">
        <f>IFERROR(_xlfn.XLOOKUP($D153,'Modelling New'!$D:$D,'Modelling New'!$J:$J),"")</f>
        <v>9.1</v>
      </c>
      <c r="AD153" s="138">
        <f>IFERROR(_xlfn.XLOOKUP($D153,'Modelling New'!$D:$D,'Modelling New'!$T:$T)*1000,"")</f>
        <v>1057470.497769533</v>
      </c>
      <c r="AE153" s="142"/>
      <c r="AF153" s="142">
        <f>IFERROR(_xlfn.XLOOKUP($D153,'Modelling New'!$D:$D,'Modelling New'!$W:$W),"")</f>
        <v>0.62587032301700574</v>
      </c>
      <c r="AG153" s="142">
        <f>IFERROR(_xlfn.XLOOKUP($D153,'Modelling New'!$D:$D,'Modelling New'!$AE:$AE),"")</f>
        <v>0.96029999999999993</v>
      </c>
      <c r="AH153" s="142">
        <f>IFERROR(_xlfn.XLOOKUP($D153,'Modelling New'!$D:$D,'Modelling New'!$AF:$AF),"")</f>
        <v>0.995</v>
      </c>
      <c r="AI153" s="109" t="str">
        <f>IFERROR(_xlfn.XLOOKUP($A153,Input_Raw!$A:$A,Input_Raw!$DP:$DP),"")</f>
        <v/>
      </c>
      <c r="AJ153" s="108"/>
      <c r="AK153" s="108"/>
      <c r="AL153" s="108"/>
      <c r="AM153" s="108"/>
      <c r="AN153" s="132" t="str">
        <f>IFERROR(_xlfn.XLOOKUP($A153,Input_Raw!$A:$A,Input_Raw!$DL:$DL),"")</f>
        <v/>
      </c>
      <c r="AO153" s="142" t="str">
        <f>IFERROR((_xlfn.XLOOKUP($A153,'WTG Reactive Power'!$A:$A,'WTG Reactive Power'!$AW:$AW))/X153,"")</f>
        <v/>
      </c>
      <c r="AP153" s="142">
        <f>IFERROR(_xlfn.XLOOKUP($D153,'Modelling New'!$D:$D,'Modelling New'!$AK:$AK),"")</f>
        <v>0.05</v>
      </c>
      <c r="AQ153" s="142">
        <f>IFERROR(_xlfn.XLOOKUP($D153,'Modelling New'!$D:$D,'Modelling New'!$AL:$AL),"")</f>
        <v>0.05</v>
      </c>
      <c r="AR153" s="198">
        <f>IFERROR(_xlfn.XLOOKUP($D153,'Modelling New'!$D:$D,'Modelling New'!$N:$N),"")</f>
        <v>70.400000000000006</v>
      </c>
      <c r="AS153" s="198"/>
    </row>
    <row r="154" spans="1:45">
      <c r="A154" s="137">
        <f t="shared" si="18"/>
        <v>45897</v>
      </c>
      <c r="B154" s="138">
        <f>YEAR(Daily_KPI[[#This Row],[Date]])+IF(MONTH(Daily_KPI[[#This Row],[Date]])&gt;=4,1,0)</f>
        <v>2026</v>
      </c>
      <c r="C154" s="108">
        <f>YEAR(Daily_KPI[[#This Row],[Date]])</f>
        <v>2025</v>
      </c>
      <c r="D154" s="139">
        <f>Daily_KPI[[#This Row],[Date]]-DAY(Daily_KPI[[#This Row],[Date]])+1</f>
        <v>45870</v>
      </c>
      <c r="E154" s="108">
        <f t="shared" si="14"/>
        <v>31</v>
      </c>
      <c r="F154" s="109"/>
      <c r="G154" s="143"/>
      <c r="H154" s="143"/>
      <c r="I154" s="143"/>
      <c r="J154" s="143"/>
      <c r="K154" s="111"/>
      <c r="L154" s="110"/>
      <c r="M154" s="110" t="str">
        <f>IFERROR(_xlfn.XLOOKUP($A154,Input_Raw!$A:$A,Input_Raw!$CQ:$CQ),"")</f>
        <v/>
      </c>
      <c r="N154" s="110" t="str">
        <f>IFERROR(_xlfn.XLOOKUP($A154,Input_Raw!$A:$A,Input_Raw!$CR:$CR),"")</f>
        <v/>
      </c>
      <c r="O154" s="141" t="str">
        <f t="shared" si="15"/>
        <v/>
      </c>
      <c r="P154" s="141" t="str">
        <f>IFERROR(1-SUMIF(WTG_BD!$F:$F,$A154,WTG_BD!$AA:$AA)/($AA154+SUMIF(WTG_BD!$F:$F,$A154,WTG_BD!$AA:$AA)),"")</f>
        <v/>
      </c>
      <c r="Q154" s="141" t="str">
        <f>IFERROR(1-SUMIF(IGA_BD!$F:$F,$A154,IGA_BD!$W:$W)/($AA154+SUMIF(IGA_BD!$F:$F,$A154,IGA_BD!$W:$W)),"")</f>
        <v/>
      </c>
      <c r="R154" s="141" t="str">
        <f>IFERROR(1-SUMIF(Grid_BD!$F:$F,$A154,Grid_BD!$Y:$Y)/($AA154+SUMIF(Grid_BD!$F:$F,$A154,Grid_BD!$Y:$Y)),"")</f>
        <v/>
      </c>
      <c r="S154" s="108"/>
      <c r="T154" s="140"/>
      <c r="U154" s="141"/>
      <c r="V154" s="108"/>
      <c r="W154" s="142" t="str">
        <f t="shared" si="16"/>
        <v/>
      </c>
      <c r="X154" s="108" t="str">
        <f>IFERROR(_xlfn.XLOOKUP($A154,Input_Raw!$A:$A,Input_Raw!$CP:$CP)*1000,"")</f>
        <v/>
      </c>
      <c r="Y154" s="108" t="str">
        <f>IFERROR(_xlfn.XLOOKUP($A154,Input_Raw!$A:$A,Input_Raw!DJ:DJ)*1000,"")</f>
        <v/>
      </c>
      <c r="Z154" s="108" t="str">
        <f>IFERROR(_xlfn.XLOOKUP($A154,Input_Raw!$A:$A,Input_Raw!DK:DK)*1000,"")</f>
        <v/>
      </c>
      <c r="AA154" s="138" t="str">
        <f t="shared" si="17"/>
        <v/>
      </c>
      <c r="AB154" s="108" t="str">
        <f>IFERROR(_xlfn.XLOOKUP($A154,Input_Raw!$A:$A,Input_Raw!$DR:$DR),"")</f>
        <v/>
      </c>
      <c r="AC154" s="143">
        <f>IFERROR(_xlfn.XLOOKUP($D154,'Modelling New'!$D:$D,'Modelling New'!$J:$J),"")</f>
        <v>9.1</v>
      </c>
      <c r="AD154" s="138">
        <f>IFERROR(_xlfn.XLOOKUP($D154,'Modelling New'!$D:$D,'Modelling New'!$T:$T)*1000,"")</f>
        <v>1057470.497769533</v>
      </c>
      <c r="AE154" s="142"/>
      <c r="AF154" s="142">
        <f>IFERROR(_xlfn.XLOOKUP($D154,'Modelling New'!$D:$D,'Modelling New'!$W:$W),"")</f>
        <v>0.62587032301700574</v>
      </c>
      <c r="AG154" s="142">
        <f>IFERROR(_xlfn.XLOOKUP($D154,'Modelling New'!$D:$D,'Modelling New'!$AE:$AE),"")</f>
        <v>0.96029999999999993</v>
      </c>
      <c r="AH154" s="142">
        <f>IFERROR(_xlfn.XLOOKUP($D154,'Modelling New'!$D:$D,'Modelling New'!$AF:$AF),"")</f>
        <v>0.995</v>
      </c>
      <c r="AI154" s="109" t="str">
        <f>IFERROR(_xlfn.XLOOKUP($A154,Input_Raw!$A:$A,Input_Raw!$DP:$DP),"")</f>
        <v/>
      </c>
      <c r="AJ154" s="108"/>
      <c r="AK154" s="108"/>
      <c r="AL154" s="108"/>
      <c r="AM154" s="108"/>
      <c r="AN154" s="132" t="str">
        <f>IFERROR(_xlfn.XLOOKUP($A154,Input_Raw!$A:$A,Input_Raw!$DL:$DL),"")</f>
        <v/>
      </c>
      <c r="AO154" s="142" t="str">
        <f>IFERROR((_xlfn.XLOOKUP($A154,'WTG Reactive Power'!$A:$A,'WTG Reactive Power'!$AW:$AW))/X154,"")</f>
        <v/>
      </c>
      <c r="AP154" s="142">
        <f>IFERROR(_xlfn.XLOOKUP($D154,'Modelling New'!$D:$D,'Modelling New'!$AK:$AK),"")</f>
        <v>0.05</v>
      </c>
      <c r="AQ154" s="142">
        <f>IFERROR(_xlfn.XLOOKUP($D154,'Modelling New'!$D:$D,'Modelling New'!$AL:$AL),"")</f>
        <v>0.05</v>
      </c>
      <c r="AR154" s="198">
        <f>IFERROR(_xlfn.XLOOKUP($D154,'Modelling New'!$D:$D,'Modelling New'!$N:$N),"")</f>
        <v>70.400000000000006</v>
      </c>
      <c r="AS154" s="198"/>
    </row>
    <row r="155" spans="1:45">
      <c r="A155" s="137">
        <f t="shared" si="18"/>
        <v>45898</v>
      </c>
      <c r="B155" s="138">
        <f>YEAR(Daily_KPI[[#This Row],[Date]])+IF(MONTH(Daily_KPI[[#This Row],[Date]])&gt;=4,1,0)</f>
        <v>2026</v>
      </c>
      <c r="C155" s="108">
        <f>YEAR(Daily_KPI[[#This Row],[Date]])</f>
        <v>2025</v>
      </c>
      <c r="D155" s="139">
        <f>Daily_KPI[[#This Row],[Date]]-DAY(Daily_KPI[[#This Row],[Date]])+1</f>
        <v>45870</v>
      </c>
      <c r="E155" s="108">
        <f t="shared" si="14"/>
        <v>31</v>
      </c>
      <c r="F155" s="109"/>
      <c r="G155" s="110"/>
      <c r="H155" s="110"/>
      <c r="I155" s="110"/>
      <c r="J155" s="110"/>
      <c r="K155" s="111"/>
      <c r="L155" s="110"/>
      <c r="M155" s="110" t="str">
        <f>IFERROR(_xlfn.XLOOKUP($A155,Input_Raw!$A:$A,Input_Raw!$CQ:$CQ),"")</f>
        <v/>
      </c>
      <c r="N155" s="110" t="str">
        <f>IFERROR(_xlfn.XLOOKUP($A155,Input_Raw!$A:$A,Input_Raw!$CR:$CR),"")</f>
        <v/>
      </c>
      <c r="O155" s="141" t="str">
        <f t="shared" si="15"/>
        <v/>
      </c>
      <c r="P155" s="141" t="str">
        <f>IFERROR(1-SUMIF(WTG_BD!$F:$F,$A155,WTG_BD!$AA:$AA)/($AA155+SUMIF(WTG_BD!$F:$F,$A155,WTG_BD!$AA:$AA)),"")</f>
        <v/>
      </c>
      <c r="Q155" s="141" t="str">
        <f>IFERROR(1-SUMIF(IGA_BD!$F:$F,$A155,IGA_BD!$W:$W)/($AA155+SUMIF(IGA_BD!$F:$F,$A155,IGA_BD!$W:$W)),"")</f>
        <v/>
      </c>
      <c r="R155" s="141" t="str">
        <f>IFERROR(1-SUMIF(Grid_BD!$F:$F,$A155,Grid_BD!$Y:$Y)/($AA155+SUMIF(Grid_BD!$F:$F,$A155,Grid_BD!$Y:$Y)),"")</f>
        <v/>
      </c>
      <c r="S155" s="108"/>
      <c r="T155" s="140"/>
      <c r="U155" s="141"/>
      <c r="V155" s="108"/>
      <c r="W155" s="142" t="str">
        <f t="shared" si="16"/>
        <v/>
      </c>
      <c r="X155" s="108" t="str">
        <f>IFERROR(_xlfn.XLOOKUP($A155,Input_Raw!$A:$A,Input_Raw!$CP:$CP)*1000,"")</f>
        <v/>
      </c>
      <c r="Y155" s="108" t="str">
        <f>IFERROR(_xlfn.XLOOKUP($A155,Input_Raw!$A:$A,Input_Raw!DJ:DJ)*1000,"")</f>
        <v/>
      </c>
      <c r="Z155" s="108" t="str">
        <f>IFERROR(_xlfn.XLOOKUP($A155,Input_Raw!$A:$A,Input_Raw!DK:DK)*1000,"")</f>
        <v/>
      </c>
      <c r="AA155" s="138" t="str">
        <f t="shared" si="17"/>
        <v/>
      </c>
      <c r="AB155" s="108" t="str">
        <f>IFERROR(_xlfn.XLOOKUP($A155,Input_Raw!$A:$A,Input_Raw!$DR:$DR),"")</f>
        <v/>
      </c>
      <c r="AC155" s="143">
        <f>IFERROR(_xlfn.XLOOKUP($D155,'Modelling New'!$D:$D,'Modelling New'!$J:$J),"")</f>
        <v>9.1</v>
      </c>
      <c r="AD155" s="138">
        <f>IFERROR(_xlfn.XLOOKUP($D155,'Modelling New'!$D:$D,'Modelling New'!$T:$T)*1000,"")</f>
        <v>1057470.497769533</v>
      </c>
      <c r="AE155" s="142"/>
      <c r="AF155" s="142">
        <f>IFERROR(_xlfn.XLOOKUP($D155,'Modelling New'!$D:$D,'Modelling New'!$W:$W),"")</f>
        <v>0.62587032301700574</v>
      </c>
      <c r="AG155" s="142">
        <f>IFERROR(_xlfn.XLOOKUP($D155,'Modelling New'!$D:$D,'Modelling New'!$AE:$AE),"")</f>
        <v>0.96029999999999993</v>
      </c>
      <c r="AH155" s="142">
        <f>IFERROR(_xlfn.XLOOKUP($D155,'Modelling New'!$D:$D,'Modelling New'!$AF:$AF),"")</f>
        <v>0.995</v>
      </c>
      <c r="AI155" s="109" t="str">
        <f>IFERROR(_xlfn.XLOOKUP($A155,Input_Raw!$A:$A,Input_Raw!$DP:$DP),"")</f>
        <v/>
      </c>
      <c r="AJ155" s="108"/>
      <c r="AK155" s="108"/>
      <c r="AL155" s="108"/>
      <c r="AM155" s="108"/>
      <c r="AN155" s="132" t="str">
        <f>IFERROR(_xlfn.XLOOKUP($A155,Input_Raw!$A:$A,Input_Raw!$DL:$DL),"")</f>
        <v/>
      </c>
      <c r="AO155" s="142" t="str">
        <f>IFERROR((_xlfn.XLOOKUP($A155,'WTG Reactive Power'!$A:$A,'WTG Reactive Power'!$AW:$AW))/X155,"")</f>
        <v/>
      </c>
      <c r="AP155" s="142">
        <f>IFERROR(_xlfn.XLOOKUP($D155,'Modelling New'!$D:$D,'Modelling New'!$AK:$AK),"")</f>
        <v>0.05</v>
      </c>
      <c r="AQ155" s="142">
        <f>IFERROR(_xlfn.XLOOKUP($D155,'Modelling New'!$D:$D,'Modelling New'!$AL:$AL),"")</f>
        <v>0.05</v>
      </c>
      <c r="AR155" s="198">
        <f>IFERROR(_xlfn.XLOOKUP($D155,'Modelling New'!$D:$D,'Modelling New'!$N:$N),"")</f>
        <v>70.400000000000006</v>
      </c>
      <c r="AS155" s="198"/>
    </row>
    <row r="156" spans="1:45">
      <c r="A156" s="137">
        <f t="shared" si="18"/>
        <v>45899</v>
      </c>
      <c r="B156" s="138">
        <f>YEAR(Daily_KPI[[#This Row],[Date]])+IF(MONTH(Daily_KPI[[#This Row],[Date]])&gt;=4,1,0)</f>
        <v>2026</v>
      </c>
      <c r="C156" s="108">
        <f>YEAR(Daily_KPI[[#This Row],[Date]])</f>
        <v>2025</v>
      </c>
      <c r="D156" s="139">
        <f>Daily_KPI[[#This Row],[Date]]-DAY(Daily_KPI[[#This Row],[Date]])+1</f>
        <v>45870</v>
      </c>
      <c r="E156" s="108">
        <f t="shared" si="14"/>
        <v>31</v>
      </c>
      <c r="F156" s="109"/>
      <c r="G156" s="143"/>
      <c r="H156" s="143"/>
      <c r="I156" s="143"/>
      <c r="J156" s="143"/>
      <c r="K156" s="111"/>
      <c r="L156" s="110"/>
      <c r="M156" s="110" t="str">
        <f>IFERROR(_xlfn.XLOOKUP($A156,Input_Raw!$A:$A,Input_Raw!$CQ:$CQ),"")</f>
        <v/>
      </c>
      <c r="N156" s="110" t="str">
        <f>IFERROR(_xlfn.XLOOKUP($A156,Input_Raw!$A:$A,Input_Raw!$CR:$CR),"")</f>
        <v/>
      </c>
      <c r="O156" s="141" t="str">
        <f t="shared" si="15"/>
        <v/>
      </c>
      <c r="P156" s="141" t="str">
        <f>IFERROR(1-SUMIF(WTG_BD!$F:$F,$A156,WTG_BD!$AA:$AA)/($AA156+SUMIF(WTG_BD!$F:$F,$A156,WTG_BD!$AA:$AA)),"")</f>
        <v/>
      </c>
      <c r="Q156" s="141" t="str">
        <f>IFERROR(1-SUMIF(IGA_BD!$F:$F,$A156,IGA_BD!$W:$W)/($AA156+SUMIF(IGA_BD!$F:$F,$A156,IGA_BD!$W:$W)),"")</f>
        <v/>
      </c>
      <c r="R156" s="141" t="str">
        <f>IFERROR(1-SUMIF(Grid_BD!$F:$F,$A156,Grid_BD!$Y:$Y)/($AA156+SUMIF(Grid_BD!$F:$F,$A156,Grid_BD!$Y:$Y)),"")</f>
        <v/>
      </c>
      <c r="S156" s="108"/>
      <c r="T156" s="140"/>
      <c r="U156" s="141"/>
      <c r="V156" s="108"/>
      <c r="W156" s="142" t="str">
        <f t="shared" si="16"/>
        <v/>
      </c>
      <c r="X156" s="108" t="str">
        <f>IFERROR(_xlfn.XLOOKUP($A156,Input_Raw!$A:$A,Input_Raw!$CP:$CP)*1000,"")</f>
        <v/>
      </c>
      <c r="Y156" s="108" t="str">
        <f>IFERROR(_xlfn.XLOOKUP($A156,Input_Raw!$A:$A,Input_Raw!DJ:DJ)*1000,"")</f>
        <v/>
      </c>
      <c r="Z156" s="108" t="str">
        <f>IFERROR(_xlfn.XLOOKUP($A156,Input_Raw!$A:$A,Input_Raw!DK:DK)*1000,"")</f>
        <v/>
      </c>
      <c r="AA156" s="138" t="str">
        <f t="shared" si="17"/>
        <v/>
      </c>
      <c r="AB156" s="108" t="str">
        <f>IFERROR(_xlfn.XLOOKUP($A156,Input_Raw!$A:$A,Input_Raw!$DR:$DR),"")</f>
        <v/>
      </c>
      <c r="AC156" s="143">
        <f>IFERROR(_xlfn.XLOOKUP($D156,'Modelling New'!$D:$D,'Modelling New'!$J:$J),"")</f>
        <v>9.1</v>
      </c>
      <c r="AD156" s="138">
        <f>IFERROR(_xlfn.XLOOKUP($D156,'Modelling New'!$D:$D,'Modelling New'!$T:$T)*1000,"")</f>
        <v>1057470.497769533</v>
      </c>
      <c r="AE156" s="142"/>
      <c r="AF156" s="142">
        <f>IFERROR(_xlfn.XLOOKUP($D156,'Modelling New'!$D:$D,'Modelling New'!$W:$W),"")</f>
        <v>0.62587032301700574</v>
      </c>
      <c r="AG156" s="142">
        <f>IFERROR(_xlfn.XLOOKUP($D156,'Modelling New'!$D:$D,'Modelling New'!$AE:$AE),"")</f>
        <v>0.96029999999999993</v>
      </c>
      <c r="AH156" s="142">
        <f>IFERROR(_xlfn.XLOOKUP($D156,'Modelling New'!$D:$D,'Modelling New'!$AF:$AF),"")</f>
        <v>0.995</v>
      </c>
      <c r="AI156" s="109" t="str">
        <f>IFERROR(_xlfn.XLOOKUP($A156,Input_Raw!$A:$A,Input_Raw!$DP:$DP),"")</f>
        <v/>
      </c>
      <c r="AJ156" s="108"/>
      <c r="AK156" s="108"/>
      <c r="AL156" s="108"/>
      <c r="AM156" s="108"/>
      <c r="AN156" s="132" t="str">
        <f>IFERROR(_xlfn.XLOOKUP($A156,Input_Raw!$A:$A,Input_Raw!$DL:$DL),"")</f>
        <v/>
      </c>
      <c r="AO156" s="142" t="str">
        <f>IFERROR((_xlfn.XLOOKUP($A156,'WTG Reactive Power'!$A:$A,'WTG Reactive Power'!$AW:$AW))/X156,"")</f>
        <v/>
      </c>
      <c r="AP156" s="142">
        <f>IFERROR(_xlfn.XLOOKUP($D156,'Modelling New'!$D:$D,'Modelling New'!$AK:$AK),"")</f>
        <v>0.05</v>
      </c>
      <c r="AQ156" s="142">
        <f>IFERROR(_xlfn.XLOOKUP($D156,'Modelling New'!$D:$D,'Modelling New'!$AL:$AL),"")</f>
        <v>0.05</v>
      </c>
      <c r="AR156" s="198">
        <f>IFERROR(_xlfn.XLOOKUP($D156,'Modelling New'!$D:$D,'Modelling New'!$N:$N),"")</f>
        <v>70.400000000000006</v>
      </c>
      <c r="AS156" s="198"/>
    </row>
    <row r="157" spans="1:45">
      <c r="A157" s="137">
        <f t="shared" si="18"/>
        <v>45900</v>
      </c>
      <c r="B157" s="138">
        <f>YEAR(Daily_KPI[[#This Row],[Date]])+IF(MONTH(Daily_KPI[[#This Row],[Date]])&gt;=4,1,0)</f>
        <v>2026</v>
      </c>
      <c r="C157" s="108">
        <f>YEAR(Daily_KPI[[#This Row],[Date]])</f>
        <v>2025</v>
      </c>
      <c r="D157" s="139">
        <f>Daily_KPI[[#This Row],[Date]]-DAY(Daily_KPI[[#This Row],[Date]])+1</f>
        <v>45870</v>
      </c>
      <c r="E157" s="108">
        <f t="shared" si="14"/>
        <v>31</v>
      </c>
      <c r="F157" s="109"/>
      <c r="G157" s="110"/>
      <c r="H157" s="110"/>
      <c r="I157" s="110"/>
      <c r="J157" s="110"/>
      <c r="K157" s="111"/>
      <c r="L157" s="110"/>
      <c r="M157" s="110" t="str">
        <f>IFERROR(_xlfn.XLOOKUP($A157,Input_Raw!$A:$A,Input_Raw!$CQ:$CQ),"")</f>
        <v/>
      </c>
      <c r="N157" s="110" t="str">
        <f>IFERROR(_xlfn.XLOOKUP($A157,Input_Raw!$A:$A,Input_Raw!$CR:$CR),"")</f>
        <v/>
      </c>
      <c r="O157" s="141" t="str">
        <f t="shared" si="15"/>
        <v/>
      </c>
      <c r="P157" s="141" t="str">
        <f>IFERROR(1-SUMIF(WTG_BD!$F:$F,$A157,WTG_BD!$AA:$AA)/($AA157+SUMIF(WTG_BD!$F:$F,$A157,WTG_BD!$AA:$AA)),"")</f>
        <v/>
      </c>
      <c r="Q157" s="141" t="str">
        <f>IFERROR(1-SUMIF(IGA_BD!$F:$F,$A157,IGA_BD!$W:$W)/($AA157+SUMIF(IGA_BD!$F:$F,$A157,IGA_BD!$W:$W)),"")</f>
        <v/>
      </c>
      <c r="R157" s="141" t="str">
        <f>IFERROR(1-SUMIF(Grid_BD!$F:$F,$A157,Grid_BD!$Y:$Y)/($AA157+SUMIF(Grid_BD!$F:$F,$A157,Grid_BD!$Y:$Y)),"")</f>
        <v/>
      </c>
      <c r="S157" s="108"/>
      <c r="T157" s="140"/>
      <c r="U157" s="141"/>
      <c r="V157" s="108"/>
      <c r="W157" s="142" t="str">
        <f t="shared" si="16"/>
        <v/>
      </c>
      <c r="X157" s="108" t="str">
        <f>IFERROR(_xlfn.XLOOKUP($A157,Input_Raw!$A:$A,Input_Raw!$CP:$CP)*1000,"")</f>
        <v/>
      </c>
      <c r="Y157" s="108" t="str">
        <f>IFERROR(_xlfn.XLOOKUP($A157,Input_Raw!$A:$A,Input_Raw!DJ:DJ)*1000,"")</f>
        <v/>
      </c>
      <c r="Z157" s="108" t="str">
        <f>IFERROR(_xlfn.XLOOKUP($A157,Input_Raw!$A:$A,Input_Raw!DK:DK)*1000,"")</f>
        <v/>
      </c>
      <c r="AA157" s="138" t="str">
        <f t="shared" si="17"/>
        <v/>
      </c>
      <c r="AB157" s="108" t="str">
        <f>IFERROR(_xlfn.XLOOKUP($A157,Input_Raw!$A:$A,Input_Raw!$DR:$DR),"")</f>
        <v/>
      </c>
      <c r="AC157" s="143">
        <f>IFERROR(_xlfn.XLOOKUP($D157,'Modelling New'!$D:$D,'Modelling New'!$J:$J),"")</f>
        <v>9.1</v>
      </c>
      <c r="AD157" s="138">
        <f>IFERROR(_xlfn.XLOOKUP($D157,'Modelling New'!$D:$D,'Modelling New'!$T:$T)*1000,"")</f>
        <v>1057470.497769533</v>
      </c>
      <c r="AE157" s="142"/>
      <c r="AF157" s="142">
        <f>IFERROR(_xlfn.XLOOKUP($D157,'Modelling New'!$D:$D,'Modelling New'!$W:$W),"")</f>
        <v>0.62587032301700574</v>
      </c>
      <c r="AG157" s="142">
        <f>IFERROR(_xlfn.XLOOKUP($D157,'Modelling New'!$D:$D,'Modelling New'!$AE:$AE),"")</f>
        <v>0.96029999999999993</v>
      </c>
      <c r="AH157" s="142">
        <f>IFERROR(_xlfn.XLOOKUP($D157,'Modelling New'!$D:$D,'Modelling New'!$AF:$AF),"")</f>
        <v>0.995</v>
      </c>
      <c r="AI157" s="109" t="str">
        <f>IFERROR(_xlfn.XLOOKUP($A157,Input_Raw!$A:$A,Input_Raw!$DP:$DP),"")</f>
        <v/>
      </c>
      <c r="AJ157" s="108"/>
      <c r="AK157" s="108"/>
      <c r="AL157" s="108"/>
      <c r="AM157" s="108"/>
      <c r="AN157" s="132" t="str">
        <f>IFERROR(_xlfn.XLOOKUP($A157,Input_Raw!$A:$A,Input_Raw!$DL:$DL),"")</f>
        <v/>
      </c>
      <c r="AO157" s="142" t="str">
        <f>IFERROR((_xlfn.XLOOKUP($A157,'WTG Reactive Power'!$A:$A,'WTG Reactive Power'!$AW:$AW))/X157,"")</f>
        <v/>
      </c>
      <c r="AP157" s="142">
        <f>IFERROR(_xlfn.XLOOKUP($D157,'Modelling New'!$D:$D,'Modelling New'!$AK:$AK),"")</f>
        <v>0.05</v>
      </c>
      <c r="AQ157" s="142">
        <f>IFERROR(_xlfn.XLOOKUP($D157,'Modelling New'!$D:$D,'Modelling New'!$AL:$AL),"")</f>
        <v>0.05</v>
      </c>
      <c r="AR157" s="198">
        <f>IFERROR(_xlfn.XLOOKUP($D157,'Modelling New'!$D:$D,'Modelling New'!$N:$N),"")</f>
        <v>70.400000000000006</v>
      </c>
      <c r="AS157" s="198"/>
    </row>
    <row r="158" spans="1:45">
      <c r="A158" s="137">
        <f t="shared" si="18"/>
        <v>45901</v>
      </c>
      <c r="B158" s="138">
        <f>YEAR(Daily_KPI[[#This Row],[Date]])+IF(MONTH(Daily_KPI[[#This Row],[Date]])&gt;=4,1,0)</f>
        <v>2026</v>
      </c>
      <c r="C158" s="108">
        <f>YEAR(Daily_KPI[[#This Row],[Date]])</f>
        <v>2025</v>
      </c>
      <c r="D158" s="139">
        <f>Daily_KPI[[#This Row],[Date]]-DAY(Daily_KPI[[#This Row],[Date]])+1</f>
        <v>45901</v>
      </c>
      <c r="E158" s="108">
        <f t="shared" si="14"/>
        <v>30</v>
      </c>
      <c r="F158" s="109"/>
      <c r="G158" s="143"/>
      <c r="H158" s="143"/>
      <c r="I158" s="143"/>
      <c r="J158" s="143"/>
      <c r="K158" s="111"/>
      <c r="L158" s="110"/>
      <c r="M158" s="110" t="str">
        <f>IFERROR(_xlfn.XLOOKUP($A158,Input_Raw!$A:$A,Input_Raw!$CQ:$CQ),"")</f>
        <v/>
      </c>
      <c r="N158" s="110" t="str">
        <f>IFERROR(_xlfn.XLOOKUP($A158,Input_Raw!$A:$A,Input_Raw!$CR:$CR),"")</f>
        <v/>
      </c>
      <c r="O158" s="141" t="str">
        <f t="shared" si="15"/>
        <v/>
      </c>
      <c r="P158" s="141" t="str">
        <f>IFERROR(1-SUMIF(WTG_BD!$F:$F,$A158,WTG_BD!$AA:$AA)/($AA158+SUMIF(WTG_BD!$F:$F,$A158,WTG_BD!$AA:$AA)),"")</f>
        <v/>
      </c>
      <c r="Q158" s="141" t="str">
        <f>IFERROR(1-SUMIF(IGA_BD!$F:$F,$A158,IGA_BD!$W:$W)/($AA158+SUMIF(IGA_BD!$F:$F,$A158,IGA_BD!$W:$W)),"")</f>
        <v/>
      </c>
      <c r="R158" s="141" t="str">
        <f>IFERROR(1-SUMIF(Grid_BD!$F:$F,$A158,Grid_BD!$Y:$Y)/($AA158+SUMIF(Grid_BD!$F:$F,$A158,Grid_BD!$Y:$Y)),"")</f>
        <v/>
      </c>
      <c r="S158" s="108"/>
      <c r="T158" s="140"/>
      <c r="U158" s="141"/>
      <c r="V158" s="108"/>
      <c r="W158" s="142" t="str">
        <f t="shared" si="16"/>
        <v/>
      </c>
      <c r="X158" s="108" t="str">
        <f>IFERROR(_xlfn.XLOOKUP($A158,Input_Raw!$A:$A,Input_Raw!$CP:$CP)*1000,"")</f>
        <v/>
      </c>
      <c r="Y158" s="108" t="str">
        <f>IFERROR(_xlfn.XLOOKUP($A158,Input_Raw!$A:$A,Input_Raw!DJ:DJ)*1000,"")</f>
        <v/>
      </c>
      <c r="Z158" s="108" t="str">
        <f>IFERROR(_xlfn.XLOOKUP($A158,Input_Raw!$A:$A,Input_Raw!DK:DK)*1000,"")</f>
        <v/>
      </c>
      <c r="AA158" s="138" t="str">
        <f t="shared" si="17"/>
        <v/>
      </c>
      <c r="AB158" s="108" t="str">
        <f>IFERROR(_xlfn.XLOOKUP($A158,Input_Raw!$A:$A,Input_Raw!$DR:$DR),"")</f>
        <v/>
      </c>
      <c r="AC158" s="143">
        <f>IFERROR(_xlfn.XLOOKUP($D158,'Modelling New'!$D:$D,'Modelling New'!$J:$J),"")</f>
        <v>5.56</v>
      </c>
      <c r="AD158" s="138">
        <f>IFERROR(_xlfn.XLOOKUP($D158,'Modelling New'!$D:$D,'Modelling New'!$T:$T)*1000,"")</f>
        <v>373388.45693317999</v>
      </c>
      <c r="AE158" s="142"/>
      <c r="AF158" s="142">
        <f>IFERROR(_xlfn.XLOOKUP($D158,'Modelling New'!$D:$D,'Modelling New'!$W:$W),"")</f>
        <v>0.22099222119624762</v>
      </c>
      <c r="AG158" s="142">
        <f>IFERROR(_xlfn.XLOOKUP($D158,'Modelling New'!$D:$D,'Modelling New'!$AE:$AE),"")</f>
        <v>0.96029999999999993</v>
      </c>
      <c r="AH158" s="142">
        <f>IFERROR(_xlfn.XLOOKUP($D158,'Modelling New'!$D:$D,'Modelling New'!$AF:$AF),"")</f>
        <v>0.995</v>
      </c>
      <c r="AI158" s="109" t="str">
        <f>IFERROR(_xlfn.XLOOKUP($A158,Input_Raw!$A:$A,Input_Raw!$DP:$DP),"")</f>
        <v/>
      </c>
      <c r="AJ158" s="108"/>
      <c r="AK158" s="108"/>
      <c r="AL158" s="108"/>
      <c r="AM158" s="108"/>
      <c r="AN158" s="132" t="str">
        <f>IFERROR(_xlfn.XLOOKUP($A158,Input_Raw!$A:$A,Input_Raw!$DL:$DL),"")</f>
        <v/>
      </c>
      <c r="AO158" s="142" t="str">
        <f>IFERROR((_xlfn.XLOOKUP($A158,'WTG Reactive Power'!$A:$A,'WTG Reactive Power'!$AW:$AW))/X158,"")</f>
        <v/>
      </c>
      <c r="AP158" s="142">
        <f>IFERROR(_xlfn.XLOOKUP($D158,'Modelling New'!$D:$D,'Modelling New'!$AK:$AK),"")</f>
        <v>0.05</v>
      </c>
      <c r="AQ158" s="142">
        <f>IFERROR(_xlfn.XLOOKUP($D158,'Modelling New'!$D:$D,'Modelling New'!$AL:$AL),"")</f>
        <v>0.05</v>
      </c>
      <c r="AR158" s="198">
        <f>IFERROR(_xlfn.XLOOKUP($D158,'Modelling New'!$D:$D,'Modelling New'!$N:$N),"")</f>
        <v>70.400000000000006</v>
      </c>
      <c r="AS158" s="198"/>
    </row>
    <row r="159" spans="1:45">
      <c r="A159" s="137">
        <f t="shared" si="18"/>
        <v>45902</v>
      </c>
      <c r="B159" s="138">
        <f>YEAR(Daily_KPI[[#This Row],[Date]])+IF(MONTH(Daily_KPI[[#This Row],[Date]])&gt;=4,1,0)</f>
        <v>2026</v>
      </c>
      <c r="C159" s="108">
        <f>YEAR(Daily_KPI[[#This Row],[Date]])</f>
        <v>2025</v>
      </c>
      <c r="D159" s="139">
        <f>Daily_KPI[[#This Row],[Date]]-DAY(Daily_KPI[[#This Row],[Date]])+1</f>
        <v>45901</v>
      </c>
      <c r="E159" s="108">
        <f t="shared" si="14"/>
        <v>30</v>
      </c>
      <c r="F159" s="109"/>
      <c r="G159" s="110"/>
      <c r="H159" s="110"/>
      <c r="I159" s="110"/>
      <c r="J159" s="110"/>
      <c r="K159" s="111"/>
      <c r="L159" s="110"/>
      <c r="M159" s="110" t="str">
        <f>IFERROR(_xlfn.XLOOKUP($A159,Input_Raw!$A:$A,Input_Raw!$CQ:$CQ),"")</f>
        <v/>
      </c>
      <c r="N159" s="110" t="str">
        <f>IFERROR(_xlfn.XLOOKUP($A159,Input_Raw!$A:$A,Input_Raw!$CR:$CR),"")</f>
        <v/>
      </c>
      <c r="O159" s="141" t="str">
        <f t="shared" si="15"/>
        <v/>
      </c>
      <c r="P159" s="141" t="str">
        <f>IFERROR(1-SUMIF(WTG_BD!$F:$F,$A159,WTG_BD!$AA:$AA)/($AA159+SUMIF(WTG_BD!$F:$F,$A159,WTG_BD!$AA:$AA)),"")</f>
        <v/>
      </c>
      <c r="Q159" s="141" t="str">
        <f>IFERROR(1-SUMIF(IGA_BD!$F:$F,$A159,IGA_BD!$W:$W)/($AA159+SUMIF(IGA_BD!$F:$F,$A159,IGA_BD!$W:$W)),"")</f>
        <v/>
      </c>
      <c r="R159" s="141" t="str">
        <f>IFERROR(1-SUMIF(Grid_BD!$F:$F,$A159,Grid_BD!$Y:$Y)/($AA159+SUMIF(Grid_BD!$F:$F,$A159,Grid_BD!$Y:$Y)),"")</f>
        <v/>
      </c>
      <c r="S159" s="108"/>
      <c r="T159" s="140"/>
      <c r="U159" s="141"/>
      <c r="V159" s="108"/>
      <c r="W159" s="142" t="str">
        <f t="shared" si="16"/>
        <v/>
      </c>
      <c r="X159" s="108" t="str">
        <f>IFERROR(_xlfn.XLOOKUP($A159,Input_Raw!$A:$A,Input_Raw!$CP:$CP)*1000,"")</f>
        <v/>
      </c>
      <c r="Y159" s="108" t="str">
        <f>IFERROR(_xlfn.XLOOKUP($A159,Input_Raw!$A:$A,Input_Raw!DJ:DJ)*1000,"")</f>
        <v/>
      </c>
      <c r="Z159" s="108" t="str">
        <f>IFERROR(_xlfn.XLOOKUP($A159,Input_Raw!$A:$A,Input_Raw!DK:DK)*1000,"")</f>
        <v/>
      </c>
      <c r="AA159" s="138" t="str">
        <f t="shared" si="17"/>
        <v/>
      </c>
      <c r="AB159" s="108" t="str">
        <f>IFERROR(_xlfn.XLOOKUP($A159,Input_Raw!$A:$A,Input_Raw!$DR:$DR),"")</f>
        <v/>
      </c>
      <c r="AC159" s="143">
        <f>IFERROR(_xlfn.XLOOKUP($D159,'Modelling New'!$D:$D,'Modelling New'!$J:$J),"")</f>
        <v>5.56</v>
      </c>
      <c r="AD159" s="138">
        <f>IFERROR(_xlfn.XLOOKUP($D159,'Modelling New'!$D:$D,'Modelling New'!$T:$T)*1000,"")</f>
        <v>373388.45693317999</v>
      </c>
      <c r="AE159" s="142"/>
      <c r="AF159" s="142">
        <f>IFERROR(_xlfn.XLOOKUP($D159,'Modelling New'!$D:$D,'Modelling New'!$W:$W),"")</f>
        <v>0.22099222119624762</v>
      </c>
      <c r="AG159" s="142">
        <f>IFERROR(_xlfn.XLOOKUP($D159,'Modelling New'!$D:$D,'Modelling New'!$AE:$AE),"")</f>
        <v>0.96029999999999993</v>
      </c>
      <c r="AH159" s="142">
        <f>IFERROR(_xlfn.XLOOKUP($D159,'Modelling New'!$D:$D,'Modelling New'!$AF:$AF),"")</f>
        <v>0.995</v>
      </c>
      <c r="AI159" s="109" t="str">
        <f>IFERROR(_xlfn.XLOOKUP($A159,Input_Raw!$A:$A,Input_Raw!$DP:$DP),"")</f>
        <v/>
      </c>
      <c r="AJ159" s="108"/>
      <c r="AK159" s="108"/>
      <c r="AL159" s="108"/>
      <c r="AM159" s="108"/>
      <c r="AN159" s="132" t="str">
        <f>IFERROR(_xlfn.XLOOKUP($A159,Input_Raw!$A:$A,Input_Raw!$DL:$DL),"")</f>
        <v/>
      </c>
      <c r="AO159" s="142" t="str">
        <f>IFERROR((_xlfn.XLOOKUP($A159,'WTG Reactive Power'!$A:$A,'WTG Reactive Power'!$AW:$AW))/X159,"")</f>
        <v/>
      </c>
      <c r="AP159" s="142">
        <f>IFERROR(_xlfn.XLOOKUP($D159,'Modelling New'!$D:$D,'Modelling New'!$AK:$AK),"")</f>
        <v>0.05</v>
      </c>
      <c r="AQ159" s="142">
        <f>IFERROR(_xlfn.XLOOKUP($D159,'Modelling New'!$D:$D,'Modelling New'!$AL:$AL),"")</f>
        <v>0.05</v>
      </c>
      <c r="AR159" s="198">
        <f>IFERROR(_xlfn.XLOOKUP($D159,'Modelling New'!$D:$D,'Modelling New'!$N:$N),"")</f>
        <v>70.400000000000006</v>
      </c>
      <c r="AS159" s="198"/>
    </row>
    <row r="160" spans="1:45">
      <c r="A160" s="137">
        <f t="shared" si="18"/>
        <v>45903</v>
      </c>
      <c r="B160" s="138">
        <f>YEAR(Daily_KPI[[#This Row],[Date]])+IF(MONTH(Daily_KPI[[#This Row],[Date]])&gt;=4,1,0)</f>
        <v>2026</v>
      </c>
      <c r="C160" s="108">
        <f>YEAR(Daily_KPI[[#This Row],[Date]])</f>
        <v>2025</v>
      </c>
      <c r="D160" s="139">
        <f>Daily_KPI[[#This Row],[Date]]-DAY(Daily_KPI[[#This Row],[Date]])+1</f>
        <v>45901</v>
      </c>
      <c r="E160" s="108">
        <f t="shared" si="14"/>
        <v>30</v>
      </c>
      <c r="F160" s="109"/>
      <c r="G160" s="143"/>
      <c r="H160" s="143"/>
      <c r="I160" s="143"/>
      <c r="J160" s="143"/>
      <c r="K160" s="111"/>
      <c r="L160" s="110"/>
      <c r="M160" s="110" t="str">
        <f>IFERROR(_xlfn.XLOOKUP($A160,Input_Raw!$A:$A,Input_Raw!$CQ:$CQ),"")</f>
        <v/>
      </c>
      <c r="N160" s="110" t="str">
        <f>IFERROR(_xlfn.XLOOKUP($A160,Input_Raw!$A:$A,Input_Raw!$CR:$CR),"")</f>
        <v/>
      </c>
      <c r="O160" s="141" t="str">
        <f t="shared" si="15"/>
        <v/>
      </c>
      <c r="P160" s="141" t="str">
        <f>IFERROR(1-SUMIF(WTG_BD!$F:$F,$A160,WTG_BD!$AA:$AA)/($AA160+SUMIF(WTG_BD!$F:$F,$A160,WTG_BD!$AA:$AA)),"")</f>
        <v/>
      </c>
      <c r="Q160" s="141" t="str">
        <f>IFERROR(1-SUMIF(IGA_BD!$F:$F,$A160,IGA_BD!$W:$W)/($AA160+SUMIF(IGA_BD!$F:$F,$A160,IGA_BD!$W:$W)),"")</f>
        <v/>
      </c>
      <c r="R160" s="141" t="str">
        <f>IFERROR(1-SUMIF(Grid_BD!$F:$F,$A160,Grid_BD!$Y:$Y)/($AA160+SUMIF(Grid_BD!$F:$F,$A160,Grid_BD!$Y:$Y)),"")</f>
        <v/>
      </c>
      <c r="S160" s="108"/>
      <c r="T160" s="140"/>
      <c r="U160" s="141"/>
      <c r="V160" s="108"/>
      <c r="W160" s="142" t="str">
        <f t="shared" si="16"/>
        <v/>
      </c>
      <c r="X160" s="108" t="str">
        <f>IFERROR(_xlfn.XLOOKUP($A160,Input_Raw!$A:$A,Input_Raw!$CP:$CP)*1000,"")</f>
        <v/>
      </c>
      <c r="Y160" s="108" t="str">
        <f>IFERROR(_xlfn.XLOOKUP($A160,Input_Raw!$A:$A,Input_Raw!DJ:DJ)*1000,"")</f>
        <v/>
      </c>
      <c r="Z160" s="108" t="str">
        <f>IFERROR(_xlfn.XLOOKUP($A160,Input_Raw!$A:$A,Input_Raw!DK:DK)*1000,"")</f>
        <v/>
      </c>
      <c r="AA160" s="138" t="str">
        <f t="shared" si="17"/>
        <v/>
      </c>
      <c r="AB160" s="108" t="str">
        <f>IFERROR(_xlfn.XLOOKUP($A160,Input_Raw!$A:$A,Input_Raw!$DR:$DR),"")</f>
        <v/>
      </c>
      <c r="AC160" s="143">
        <f>IFERROR(_xlfn.XLOOKUP($D160,'Modelling New'!$D:$D,'Modelling New'!$J:$J),"")</f>
        <v>5.56</v>
      </c>
      <c r="AD160" s="138">
        <f>IFERROR(_xlfn.XLOOKUP($D160,'Modelling New'!$D:$D,'Modelling New'!$T:$T)*1000,"")</f>
        <v>373388.45693317999</v>
      </c>
      <c r="AE160" s="142"/>
      <c r="AF160" s="142">
        <f>IFERROR(_xlfn.XLOOKUP($D160,'Modelling New'!$D:$D,'Modelling New'!$W:$W),"")</f>
        <v>0.22099222119624762</v>
      </c>
      <c r="AG160" s="142">
        <f>IFERROR(_xlfn.XLOOKUP($D160,'Modelling New'!$D:$D,'Modelling New'!$AE:$AE),"")</f>
        <v>0.96029999999999993</v>
      </c>
      <c r="AH160" s="142">
        <f>IFERROR(_xlfn.XLOOKUP($D160,'Modelling New'!$D:$D,'Modelling New'!$AF:$AF),"")</f>
        <v>0.995</v>
      </c>
      <c r="AI160" s="109" t="str">
        <f>IFERROR(_xlfn.XLOOKUP($A160,Input_Raw!$A:$A,Input_Raw!$DP:$DP),"")</f>
        <v/>
      </c>
      <c r="AJ160" s="108"/>
      <c r="AK160" s="108"/>
      <c r="AL160" s="108"/>
      <c r="AM160" s="108"/>
      <c r="AN160" s="132" t="str">
        <f>IFERROR(_xlfn.XLOOKUP($A160,Input_Raw!$A:$A,Input_Raw!$DL:$DL),"")</f>
        <v/>
      </c>
      <c r="AO160" s="142" t="str">
        <f>IFERROR((_xlfn.XLOOKUP($A160,'WTG Reactive Power'!$A:$A,'WTG Reactive Power'!$AW:$AW))/X160,"")</f>
        <v/>
      </c>
      <c r="AP160" s="142">
        <f>IFERROR(_xlfn.XLOOKUP($D160,'Modelling New'!$D:$D,'Modelling New'!$AK:$AK),"")</f>
        <v>0.05</v>
      </c>
      <c r="AQ160" s="142">
        <f>IFERROR(_xlfn.XLOOKUP($D160,'Modelling New'!$D:$D,'Modelling New'!$AL:$AL),"")</f>
        <v>0.05</v>
      </c>
      <c r="AR160" s="198">
        <f>IFERROR(_xlfn.XLOOKUP($D160,'Modelling New'!$D:$D,'Modelling New'!$N:$N),"")</f>
        <v>70.400000000000006</v>
      </c>
      <c r="AS160" s="198"/>
    </row>
    <row r="161" spans="1:45">
      <c r="A161" s="137">
        <f t="shared" si="18"/>
        <v>45904</v>
      </c>
      <c r="B161" s="138">
        <f>YEAR(Daily_KPI[[#This Row],[Date]])+IF(MONTH(Daily_KPI[[#This Row],[Date]])&gt;=4,1,0)</f>
        <v>2026</v>
      </c>
      <c r="C161" s="108">
        <f>YEAR(Daily_KPI[[#This Row],[Date]])</f>
        <v>2025</v>
      </c>
      <c r="D161" s="139">
        <f>Daily_KPI[[#This Row],[Date]]-DAY(Daily_KPI[[#This Row],[Date]])+1</f>
        <v>45901</v>
      </c>
      <c r="E161" s="108">
        <f t="shared" si="14"/>
        <v>30</v>
      </c>
      <c r="F161" s="109"/>
      <c r="G161" s="110"/>
      <c r="H161" s="110"/>
      <c r="I161" s="110"/>
      <c r="J161" s="110"/>
      <c r="K161" s="111"/>
      <c r="L161" s="110"/>
      <c r="M161" s="110" t="str">
        <f>IFERROR(_xlfn.XLOOKUP($A161,Input_Raw!$A:$A,Input_Raw!$CQ:$CQ),"")</f>
        <v/>
      </c>
      <c r="N161" s="110" t="str">
        <f>IFERROR(_xlfn.XLOOKUP($A161,Input_Raw!$A:$A,Input_Raw!$CR:$CR),"")</f>
        <v/>
      </c>
      <c r="O161" s="141" t="str">
        <f t="shared" si="15"/>
        <v/>
      </c>
      <c r="P161" s="141" t="str">
        <f>IFERROR(1-SUMIF(WTG_BD!$F:$F,$A161,WTG_BD!$AA:$AA)/($AA161+SUMIF(WTG_BD!$F:$F,$A161,WTG_BD!$AA:$AA)),"")</f>
        <v/>
      </c>
      <c r="Q161" s="141" t="str">
        <f>IFERROR(1-SUMIF(IGA_BD!$F:$F,$A161,IGA_BD!$W:$W)/($AA161+SUMIF(IGA_BD!$F:$F,$A161,IGA_BD!$W:$W)),"")</f>
        <v/>
      </c>
      <c r="R161" s="141" t="str">
        <f>IFERROR(1-SUMIF(Grid_BD!$F:$F,$A161,Grid_BD!$Y:$Y)/($AA161+SUMIF(Grid_BD!$F:$F,$A161,Grid_BD!$Y:$Y)),"")</f>
        <v/>
      </c>
      <c r="S161" s="108"/>
      <c r="T161" s="140"/>
      <c r="U161" s="141"/>
      <c r="V161" s="108"/>
      <c r="W161" s="142" t="str">
        <f t="shared" si="16"/>
        <v/>
      </c>
      <c r="X161" s="108" t="str">
        <f>IFERROR(_xlfn.XLOOKUP($A161,Input_Raw!$A:$A,Input_Raw!$CP:$CP)*1000,"")</f>
        <v/>
      </c>
      <c r="Y161" s="108" t="str">
        <f>IFERROR(_xlfn.XLOOKUP($A161,Input_Raw!$A:$A,Input_Raw!DJ:DJ)*1000,"")</f>
        <v/>
      </c>
      <c r="Z161" s="108" t="str">
        <f>IFERROR(_xlfn.XLOOKUP($A161,Input_Raw!$A:$A,Input_Raw!DK:DK)*1000,"")</f>
        <v/>
      </c>
      <c r="AA161" s="138" t="str">
        <f t="shared" si="17"/>
        <v/>
      </c>
      <c r="AB161" s="108" t="str">
        <f>IFERROR(_xlfn.XLOOKUP($A161,Input_Raw!$A:$A,Input_Raw!$DR:$DR),"")</f>
        <v/>
      </c>
      <c r="AC161" s="143">
        <f>IFERROR(_xlfn.XLOOKUP($D161,'Modelling New'!$D:$D,'Modelling New'!$J:$J),"")</f>
        <v>5.56</v>
      </c>
      <c r="AD161" s="138">
        <f>IFERROR(_xlfn.XLOOKUP($D161,'Modelling New'!$D:$D,'Modelling New'!$T:$T)*1000,"")</f>
        <v>373388.45693317999</v>
      </c>
      <c r="AE161" s="142"/>
      <c r="AF161" s="142">
        <f>IFERROR(_xlfn.XLOOKUP($D161,'Modelling New'!$D:$D,'Modelling New'!$W:$W),"")</f>
        <v>0.22099222119624762</v>
      </c>
      <c r="AG161" s="142">
        <f>IFERROR(_xlfn.XLOOKUP($D161,'Modelling New'!$D:$D,'Modelling New'!$AE:$AE),"")</f>
        <v>0.96029999999999993</v>
      </c>
      <c r="AH161" s="142">
        <f>IFERROR(_xlfn.XLOOKUP($D161,'Modelling New'!$D:$D,'Modelling New'!$AF:$AF),"")</f>
        <v>0.995</v>
      </c>
      <c r="AI161" s="109" t="str">
        <f>IFERROR(_xlfn.XLOOKUP($A161,Input_Raw!$A:$A,Input_Raw!$DP:$DP),"")</f>
        <v/>
      </c>
      <c r="AJ161" s="108"/>
      <c r="AK161" s="108"/>
      <c r="AL161" s="108"/>
      <c r="AM161" s="108"/>
      <c r="AN161" s="132" t="str">
        <f>IFERROR(_xlfn.XLOOKUP($A161,Input_Raw!$A:$A,Input_Raw!$DL:$DL),"")</f>
        <v/>
      </c>
      <c r="AO161" s="142" t="str">
        <f>IFERROR((_xlfn.XLOOKUP($A161,'WTG Reactive Power'!$A:$A,'WTG Reactive Power'!$AW:$AW))/X161,"")</f>
        <v/>
      </c>
      <c r="AP161" s="142">
        <f>IFERROR(_xlfn.XLOOKUP($D161,'Modelling New'!$D:$D,'Modelling New'!$AK:$AK),"")</f>
        <v>0.05</v>
      </c>
      <c r="AQ161" s="142">
        <f>IFERROR(_xlfn.XLOOKUP($D161,'Modelling New'!$D:$D,'Modelling New'!$AL:$AL),"")</f>
        <v>0.05</v>
      </c>
      <c r="AR161" s="198">
        <f>IFERROR(_xlfn.XLOOKUP($D161,'Modelling New'!$D:$D,'Modelling New'!$N:$N),"")</f>
        <v>70.400000000000006</v>
      </c>
      <c r="AS161" s="198"/>
    </row>
    <row r="162" spans="1:45">
      <c r="A162" s="137">
        <f t="shared" si="18"/>
        <v>45905</v>
      </c>
      <c r="B162" s="138">
        <f>YEAR(Daily_KPI[[#This Row],[Date]])+IF(MONTH(Daily_KPI[[#This Row],[Date]])&gt;=4,1,0)</f>
        <v>2026</v>
      </c>
      <c r="C162" s="108">
        <f>YEAR(Daily_KPI[[#This Row],[Date]])</f>
        <v>2025</v>
      </c>
      <c r="D162" s="139">
        <f>Daily_KPI[[#This Row],[Date]]-DAY(Daily_KPI[[#This Row],[Date]])+1</f>
        <v>45901</v>
      </c>
      <c r="E162" s="108">
        <f t="shared" si="14"/>
        <v>30</v>
      </c>
      <c r="F162" s="109"/>
      <c r="G162" s="143"/>
      <c r="H162" s="143"/>
      <c r="I162" s="143"/>
      <c r="J162" s="143"/>
      <c r="K162" s="111"/>
      <c r="L162" s="110"/>
      <c r="M162" s="110" t="str">
        <f>IFERROR(_xlfn.XLOOKUP($A162,Input_Raw!$A:$A,Input_Raw!$CQ:$CQ),"")</f>
        <v/>
      </c>
      <c r="N162" s="110" t="str">
        <f>IFERROR(_xlfn.XLOOKUP($A162,Input_Raw!$A:$A,Input_Raw!$CR:$CR),"")</f>
        <v/>
      </c>
      <c r="O162" s="141" t="str">
        <f t="shared" si="15"/>
        <v/>
      </c>
      <c r="P162" s="141" t="str">
        <f>IFERROR(1-SUMIF(WTG_BD!$F:$F,$A162,WTG_BD!$AA:$AA)/($AA162+SUMIF(WTG_BD!$F:$F,$A162,WTG_BD!$AA:$AA)),"")</f>
        <v/>
      </c>
      <c r="Q162" s="141" t="str">
        <f>IFERROR(1-SUMIF(IGA_BD!$F:$F,$A162,IGA_BD!$W:$W)/($AA162+SUMIF(IGA_BD!$F:$F,$A162,IGA_BD!$W:$W)),"")</f>
        <v/>
      </c>
      <c r="R162" s="141" t="str">
        <f>IFERROR(1-SUMIF(Grid_BD!$F:$F,$A162,Grid_BD!$Y:$Y)/($AA162+SUMIF(Grid_BD!$F:$F,$A162,Grid_BD!$Y:$Y)),"")</f>
        <v/>
      </c>
      <c r="S162" s="108"/>
      <c r="T162" s="140"/>
      <c r="U162" s="141"/>
      <c r="V162" s="108"/>
      <c r="W162" s="142" t="str">
        <f t="shared" si="16"/>
        <v/>
      </c>
      <c r="X162" s="108" t="str">
        <f>IFERROR(_xlfn.XLOOKUP($A162,Input_Raw!$A:$A,Input_Raw!$CP:$CP)*1000,"")</f>
        <v/>
      </c>
      <c r="Y162" s="108" t="str">
        <f>IFERROR(_xlfn.XLOOKUP($A162,Input_Raw!$A:$A,Input_Raw!DJ:DJ)*1000,"")</f>
        <v/>
      </c>
      <c r="Z162" s="108" t="str">
        <f>IFERROR(_xlfn.XLOOKUP($A162,Input_Raw!$A:$A,Input_Raw!DK:DK)*1000,"")</f>
        <v/>
      </c>
      <c r="AA162" s="138" t="str">
        <f t="shared" si="17"/>
        <v/>
      </c>
      <c r="AB162" s="108" t="str">
        <f>IFERROR(_xlfn.XLOOKUP($A162,Input_Raw!$A:$A,Input_Raw!$DR:$DR),"")</f>
        <v/>
      </c>
      <c r="AC162" s="143">
        <f>IFERROR(_xlfn.XLOOKUP($D162,'Modelling New'!$D:$D,'Modelling New'!$J:$J),"")</f>
        <v>5.56</v>
      </c>
      <c r="AD162" s="138">
        <f>IFERROR(_xlfn.XLOOKUP($D162,'Modelling New'!$D:$D,'Modelling New'!$T:$T)*1000,"")</f>
        <v>373388.45693317999</v>
      </c>
      <c r="AE162" s="142"/>
      <c r="AF162" s="142">
        <f>IFERROR(_xlfn.XLOOKUP($D162,'Modelling New'!$D:$D,'Modelling New'!$W:$W),"")</f>
        <v>0.22099222119624762</v>
      </c>
      <c r="AG162" s="142">
        <f>IFERROR(_xlfn.XLOOKUP($D162,'Modelling New'!$D:$D,'Modelling New'!$AE:$AE),"")</f>
        <v>0.96029999999999993</v>
      </c>
      <c r="AH162" s="142">
        <f>IFERROR(_xlfn.XLOOKUP($D162,'Modelling New'!$D:$D,'Modelling New'!$AF:$AF),"")</f>
        <v>0.995</v>
      </c>
      <c r="AI162" s="109" t="str">
        <f>IFERROR(_xlfn.XLOOKUP($A162,Input_Raw!$A:$A,Input_Raw!$DP:$DP),"")</f>
        <v/>
      </c>
      <c r="AJ162" s="108"/>
      <c r="AK162" s="108"/>
      <c r="AL162" s="108"/>
      <c r="AM162" s="108"/>
      <c r="AN162" s="132" t="str">
        <f>IFERROR(_xlfn.XLOOKUP($A162,Input_Raw!$A:$A,Input_Raw!$DL:$DL),"")</f>
        <v/>
      </c>
      <c r="AO162" s="142" t="str">
        <f>IFERROR((_xlfn.XLOOKUP($A162,'WTG Reactive Power'!$A:$A,'WTG Reactive Power'!$AW:$AW))/X162,"")</f>
        <v/>
      </c>
      <c r="AP162" s="142">
        <f>IFERROR(_xlfn.XLOOKUP($D162,'Modelling New'!$D:$D,'Modelling New'!$AK:$AK),"")</f>
        <v>0.05</v>
      </c>
      <c r="AQ162" s="142">
        <f>IFERROR(_xlfn.XLOOKUP($D162,'Modelling New'!$D:$D,'Modelling New'!$AL:$AL),"")</f>
        <v>0.05</v>
      </c>
      <c r="AR162" s="198">
        <f>IFERROR(_xlfn.XLOOKUP($D162,'Modelling New'!$D:$D,'Modelling New'!$N:$N),"")</f>
        <v>70.400000000000006</v>
      </c>
      <c r="AS162" s="198"/>
    </row>
    <row r="163" spans="1:45">
      <c r="A163" s="137">
        <f t="shared" si="18"/>
        <v>45906</v>
      </c>
      <c r="B163" s="138">
        <f>YEAR(Daily_KPI[[#This Row],[Date]])+IF(MONTH(Daily_KPI[[#This Row],[Date]])&gt;=4,1,0)</f>
        <v>2026</v>
      </c>
      <c r="C163" s="108">
        <f>YEAR(Daily_KPI[[#This Row],[Date]])</f>
        <v>2025</v>
      </c>
      <c r="D163" s="139">
        <f>Daily_KPI[[#This Row],[Date]]-DAY(Daily_KPI[[#This Row],[Date]])+1</f>
        <v>45901</v>
      </c>
      <c r="E163" s="108">
        <f t="shared" si="14"/>
        <v>30</v>
      </c>
      <c r="F163" s="109"/>
      <c r="G163" s="110"/>
      <c r="H163" s="110"/>
      <c r="I163" s="110"/>
      <c r="J163" s="110"/>
      <c r="K163" s="111"/>
      <c r="L163" s="110"/>
      <c r="M163" s="110" t="str">
        <f>IFERROR(_xlfn.XLOOKUP($A163,Input_Raw!$A:$A,Input_Raw!$CQ:$CQ),"")</f>
        <v/>
      </c>
      <c r="N163" s="110" t="str">
        <f>IFERROR(_xlfn.XLOOKUP($A163,Input_Raw!$A:$A,Input_Raw!$CR:$CR),"")</f>
        <v/>
      </c>
      <c r="O163" s="141" t="str">
        <f t="shared" si="15"/>
        <v/>
      </c>
      <c r="P163" s="141" t="str">
        <f>IFERROR(1-SUMIF(WTG_BD!$F:$F,$A163,WTG_BD!$AA:$AA)/($AA163+SUMIF(WTG_BD!$F:$F,$A163,WTG_BD!$AA:$AA)),"")</f>
        <v/>
      </c>
      <c r="Q163" s="141" t="str">
        <f>IFERROR(1-SUMIF(IGA_BD!$F:$F,$A163,IGA_BD!$W:$W)/($AA163+SUMIF(IGA_BD!$F:$F,$A163,IGA_BD!$W:$W)),"")</f>
        <v/>
      </c>
      <c r="R163" s="141" t="str">
        <f>IFERROR(1-SUMIF(Grid_BD!$F:$F,$A163,Grid_BD!$Y:$Y)/($AA163+SUMIF(Grid_BD!$F:$F,$A163,Grid_BD!$Y:$Y)),"")</f>
        <v/>
      </c>
      <c r="S163" s="108"/>
      <c r="T163" s="140"/>
      <c r="U163" s="141"/>
      <c r="V163" s="108"/>
      <c r="W163" s="142" t="str">
        <f t="shared" si="16"/>
        <v/>
      </c>
      <c r="X163" s="108" t="str">
        <f>IFERROR(_xlfn.XLOOKUP($A163,Input_Raw!$A:$A,Input_Raw!$CP:$CP)*1000,"")</f>
        <v/>
      </c>
      <c r="Y163" s="108" t="str">
        <f>IFERROR(_xlfn.XLOOKUP($A163,Input_Raw!$A:$A,Input_Raw!DJ:DJ)*1000,"")</f>
        <v/>
      </c>
      <c r="Z163" s="108" t="str">
        <f>IFERROR(_xlfn.XLOOKUP($A163,Input_Raw!$A:$A,Input_Raw!DK:DK)*1000,"")</f>
        <v/>
      </c>
      <c r="AA163" s="138" t="str">
        <f t="shared" si="17"/>
        <v/>
      </c>
      <c r="AB163" s="108" t="str">
        <f>IFERROR(_xlfn.XLOOKUP($A163,Input_Raw!$A:$A,Input_Raw!$DR:$DR),"")</f>
        <v/>
      </c>
      <c r="AC163" s="143">
        <f>IFERROR(_xlfn.XLOOKUP($D163,'Modelling New'!$D:$D,'Modelling New'!$J:$J),"")</f>
        <v>5.56</v>
      </c>
      <c r="AD163" s="138">
        <f>IFERROR(_xlfn.XLOOKUP($D163,'Modelling New'!$D:$D,'Modelling New'!$T:$T)*1000,"")</f>
        <v>373388.45693317999</v>
      </c>
      <c r="AE163" s="142"/>
      <c r="AF163" s="142">
        <f>IFERROR(_xlfn.XLOOKUP($D163,'Modelling New'!$D:$D,'Modelling New'!$W:$W),"")</f>
        <v>0.22099222119624762</v>
      </c>
      <c r="AG163" s="142">
        <f>IFERROR(_xlfn.XLOOKUP($D163,'Modelling New'!$D:$D,'Modelling New'!$AE:$AE),"")</f>
        <v>0.96029999999999993</v>
      </c>
      <c r="AH163" s="142">
        <f>IFERROR(_xlfn.XLOOKUP($D163,'Modelling New'!$D:$D,'Modelling New'!$AF:$AF),"")</f>
        <v>0.995</v>
      </c>
      <c r="AI163" s="109" t="str">
        <f>IFERROR(_xlfn.XLOOKUP($A163,Input_Raw!$A:$A,Input_Raw!$DP:$DP),"")</f>
        <v/>
      </c>
      <c r="AJ163" s="108"/>
      <c r="AK163" s="108"/>
      <c r="AL163" s="108"/>
      <c r="AM163" s="108"/>
      <c r="AN163" s="132" t="str">
        <f>IFERROR(_xlfn.XLOOKUP($A163,Input_Raw!$A:$A,Input_Raw!$DL:$DL),"")</f>
        <v/>
      </c>
      <c r="AO163" s="142" t="str">
        <f>IFERROR((_xlfn.XLOOKUP($A163,'WTG Reactive Power'!$A:$A,'WTG Reactive Power'!$AW:$AW))/X163,"")</f>
        <v/>
      </c>
      <c r="AP163" s="142">
        <f>IFERROR(_xlfn.XLOOKUP($D163,'Modelling New'!$D:$D,'Modelling New'!$AK:$AK),"")</f>
        <v>0.05</v>
      </c>
      <c r="AQ163" s="142">
        <f>IFERROR(_xlfn.XLOOKUP($D163,'Modelling New'!$D:$D,'Modelling New'!$AL:$AL),"")</f>
        <v>0.05</v>
      </c>
      <c r="AR163" s="198">
        <f>IFERROR(_xlfn.XLOOKUP($D163,'Modelling New'!$D:$D,'Modelling New'!$N:$N),"")</f>
        <v>70.400000000000006</v>
      </c>
      <c r="AS163" s="198"/>
    </row>
    <row r="164" spans="1:45">
      <c r="A164" s="137">
        <f t="shared" si="18"/>
        <v>45907</v>
      </c>
      <c r="B164" s="138">
        <f>YEAR(Daily_KPI[[#This Row],[Date]])+IF(MONTH(Daily_KPI[[#This Row],[Date]])&gt;=4,1,0)</f>
        <v>2026</v>
      </c>
      <c r="C164" s="108">
        <f>YEAR(Daily_KPI[[#This Row],[Date]])</f>
        <v>2025</v>
      </c>
      <c r="D164" s="139">
        <f>Daily_KPI[[#This Row],[Date]]-DAY(Daily_KPI[[#This Row],[Date]])+1</f>
        <v>45901</v>
      </c>
      <c r="E164" s="108">
        <f t="shared" si="14"/>
        <v>30</v>
      </c>
      <c r="F164" s="109"/>
      <c r="G164" s="143"/>
      <c r="H164" s="143"/>
      <c r="I164" s="143"/>
      <c r="J164" s="143"/>
      <c r="K164" s="111"/>
      <c r="L164" s="110"/>
      <c r="M164" s="110" t="str">
        <f>IFERROR(_xlfn.XLOOKUP($A164,Input_Raw!$A:$A,Input_Raw!$CQ:$CQ),"")</f>
        <v/>
      </c>
      <c r="N164" s="110" t="str">
        <f>IFERROR(_xlfn.XLOOKUP($A164,Input_Raw!$A:$A,Input_Raw!$CR:$CR),"")</f>
        <v/>
      </c>
      <c r="O164" s="141" t="str">
        <f t="shared" si="15"/>
        <v/>
      </c>
      <c r="P164" s="141" t="str">
        <f>IFERROR(1-SUMIF(WTG_BD!$F:$F,$A164,WTG_BD!$AA:$AA)/($AA164+SUMIF(WTG_BD!$F:$F,$A164,WTG_BD!$AA:$AA)),"")</f>
        <v/>
      </c>
      <c r="Q164" s="141" t="str">
        <f>IFERROR(1-SUMIF(IGA_BD!$F:$F,$A164,IGA_BD!$W:$W)/($AA164+SUMIF(IGA_BD!$F:$F,$A164,IGA_BD!$W:$W)),"")</f>
        <v/>
      </c>
      <c r="R164" s="141" t="str">
        <f>IFERROR(1-SUMIF(Grid_BD!$F:$F,$A164,Grid_BD!$Y:$Y)/($AA164+SUMIF(Grid_BD!$F:$F,$A164,Grid_BD!$Y:$Y)),"")</f>
        <v/>
      </c>
      <c r="S164" s="108"/>
      <c r="T164" s="140"/>
      <c r="U164" s="141"/>
      <c r="V164" s="108"/>
      <c r="W164" s="142" t="str">
        <f t="shared" si="16"/>
        <v/>
      </c>
      <c r="X164" s="108" t="str">
        <f>IFERROR(_xlfn.XLOOKUP($A164,Input_Raw!$A:$A,Input_Raw!$CP:$CP)*1000,"")</f>
        <v/>
      </c>
      <c r="Y164" s="108" t="str">
        <f>IFERROR(_xlfn.XLOOKUP($A164,Input_Raw!$A:$A,Input_Raw!DJ:DJ)*1000,"")</f>
        <v/>
      </c>
      <c r="Z164" s="108" t="str">
        <f>IFERROR(_xlfn.XLOOKUP($A164,Input_Raw!$A:$A,Input_Raw!DK:DK)*1000,"")</f>
        <v/>
      </c>
      <c r="AA164" s="138" t="str">
        <f t="shared" si="17"/>
        <v/>
      </c>
      <c r="AB164" s="108" t="str">
        <f>IFERROR(_xlfn.XLOOKUP($A164,Input_Raw!$A:$A,Input_Raw!$DR:$DR),"")</f>
        <v/>
      </c>
      <c r="AC164" s="143">
        <f>IFERROR(_xlfn.XLOOKUP($D164,'Modelling New'!$D:$D,'Modelling New'!$J:$J),"")</f>
        <v>5.56</v>
      </c>
      <c r="AD164" s="138">
        <f>IFERROR(_xlfn.XLOOKUP($D164,'Modelling New'!$D:$D,'Modelling New'!$T:$T)*1000,"")</f>
        <v>373388.45693317999</v>
      </c>
      <c r="AE164" s="142"/>
      <c r="AF164" s="142">
        <f>IFERROR(_xlfn.XLOOKUP($D164,'Modelling New'!$D:$D,'Modelling New'!$W:$W),"")</f>
        <v>0.22099222119624762</v>
      </c>
      <c r="AG164" s="142">
        <f>IFERROR(_xlfn.XLOOKUP($D164,'Modelling New'!$D:$D,'Modelling New'!$AE:$AE),"")</f>
        <v>0.96029999999999993</v>
      </c>
      <c r="AH164" s="142">
        <f>IFERROR(_xlfn.XLOOKUP($D164,'Modelling New'!$D:$D,'Modelling New'!$AF:$AF),"")</f>
        <v>0.995</v>
      </c>
      <c r="AI164" s="109" t="str">
        <f>IFERROR(_xlfn.XLOOKUP($A164,Input_Raw!$A:$A,Input_Raw!$DP:$DP),"")</f>
        <v/>
      </c>
      <c r="AJ164" s="108"/>
      <c r="AK164" s="108"/>
      <c r="AL164" s="108"/>
      <c r="AM164" s="108"/>
      <c r="AN164" s="132" t="str">
        <f>IFERROR(_xlfn.XLOOKUP($A164,Input_Raw!$A:$A,Input_Raw!$DL:$DL),"")</f>
        <v/>
      </c>
      <c r="AO164" s="142" t="str">
        <f>IFERROR((_xlfn.XLOOKUP($A164,'WTG Reactive Power'!$A:$A,'WTG Reactive Power'!$AW:$AW))/X164,"")</f>
        <v/>
      </c>
      <c r="AP164" s="142">
        <f>IFERROR(_xlfn.XLOOKUP($D164,'Modelling New'!$D:$D,'Modelling New'!$AK:$AK),"")</f>
        <v>0.05</v>
      </c>
      <c r="AQ164" s="142">
        <f>IFERROR(_xlfn.XLOOKUP($D164,'Modelling New'!$D:$D,'Modelling New'!$AL:$AL),"")</f>
        <v>0.05</v>
      </c>
      <c r="AR164" s="198">
        <f>IFERROR(_xlfn.XLOOKUP($D164,'Modelling New'!$D:$D,'Modelling New'!$N:$N),"")</f>
        <v>70.400000000000006</v>
      </c>
      <c r="AS164" s="198"/>
    </row>
    <row r="165" spans="1:45">
      <c r="A165" s="137">
        <f t="shared" si="18"/>
        <v>45908</v>
      </c>
      <c r="B165" s="138">
        <f>YEAR(Daily_KPI[[#This Row],[Date]])+IF(MONTH(Daily_KPI[[#This Row],[Date]])&gt;=4,1,0)</f>
        <v>2026</v>
      </c>
      <c r="C165" s="108">
        <f>YEAR(Daily_KPI[[#This Row],[Date]])</f>
        <v>2025</v>
      </c>
      <c r="D165" s="139">
        <f>Daily_KPI[[#This Row],[Date]]-DAY(Daily_KPI[[#This Row],[Date]])+1</f>
        <v>45901</v>
      </c>
      <c r="E165" s="108">
        <f t="shared" si="14"/>
        <v>30</v>
      </c>
      <c r="F165" s="109"/>
      <c r="G165" s="110"/>
      <c r="H165" s="110"/>
      <c r="I165" s="110"/>
      <c r="J165" s="110"/>
      <c r="K165" s="111"/>
      <c r="L165" s="110"/>
      <c r="M165" s="110" t="str">
        <f>IFERROR(_xlfn.XLOOKUP($A165,Input_Raw!$A:$A,Input_Raw!$CQ:$CQ),"")</f>
        <v/>
      </c>
      <c r="N165" s="110" t="str">
        <f>IFERROR(_xlfn.XLOOKUP($A165,Input_Raw!$A:$A,Input_Raw!$CR:$CR),"")</f>
        <v/>
      </c>
      <c r="O165" s="141" t="str">
        <f t="shared" si="15"/>
        <v/>
      </c>
      <c r="P165" s="141" t="str">
        <f>IFERROR(1-SUMIF(WTG_BD!$F:$F,$A165,WTG_BD!$AA:$AA)/($AA165+SUMIF(WTG_BD!$F:$F,$A165,WTG_BD!$AA:$AA)),"")</f>
        <v/>
      </c>
      <c r="Q165" s="141" t="str">
        <f>IFERROR(1-SUMIF(IGA_BD!$F:$F,$A165,IGA_BD!$W:$W)/($AA165+SUMIF(IGA_BD!$F:$F,$A165,IGA_BD!$W:$W)),"")</f>
        <v/>
      </c>
      <c r="R165" s="141" t="str">
        <f>IFERROR(1-SUMIF(Grid_BD!$F:$F,$A165,Grid_BD!$Y:$Y)/($AA165+SUMIF(Grid_BD!$F:$F,$A165,Grid_BD!$Y:$Y)),"")</f>
        <v/>
      </c>
      <c r="S165" s="108"/>
      <c r="T165" s="140"/>
      <c r="U165" s="141"/>
      <c r="V165" s="108"/>
      <c r="W165" s="142" t="str">
        <f t="shared" si="16"/>
        <v/>
      </c>
      <c r="X165" s="108" t="str">
        <f>IFERROR(_xlfn.XLOOKUP($A165,Input_Raw!$A:$A,Input_Raw!$CP:$CP)*1000,"")</f>
        <v/>
      </c>
      <c r="Y165" s="108" t="str">
        <f>IFERROR(_xlfn.XLOOKUP($A165,Input_Raw!$A:$A,Input_Raw!DJ:DJ)*1000,"")</f>
        <v/>
      </c>
      <c r="Z165" s="108" t="str">
        <f>IFERROR(_xlfn.XLOOKUP($A165,Input_Raw!$A:$A,Input_Raw!DK:DK)*1000,"")</f>
        <v/>
      </c>
      <c r="AA165" s="138" t="str">
        <f t="shared" si="17"/>
        <v/>
      </c>
      <c r="AB165" s="108" t="str">
        <f>IFERROR(_xlfn.XLOOKUP($A165,Input_Raw!$A:$A,Input_Raw!$DR:$DR),"")</f>
        <v/>
      </c>
      <c r="AC165" s="143">
        <f>IFERROR(_xlfn.XLOOKUP($D165,'Modelling New'!$D:$D,'Modelling New'!$J:$J),"")</f>
        <v>5.56</v>
      </c>
      <c r="AD165" s="138">
        <f>IFERROR(_xlfn.XLOOKUP($D165,'Modelling New'!$D:$D,'Modelling New'!$T:$T)*1000,"")</f>
        <v>373388.45693317999</v>
      </c>
      <c r="AE165" s="142"/>
      <c r="AF165" s="142">
        <f>IFERROR(_xlfn.XLOOKUP($D165,'Modelling New'!$D:$D,'Modelling New'!$W:$W),"")</f>
        <v>0.22099222119624762</v>
      </c>
      <c r="AG165" s="142">
        <f>IFERROR(_xlfn.XLOOKUP($D165,'Modelling New'!$D:$D,'Modelling New'!$AE:$AE),"")</f>
        <v>0.96029999999999993</v>
      </c>
      <c r="AH165" s="142">
        <f>IFERROR(_xlfn.XLOOKUP($D165,'Modelling New'!$D:$D,'Modelling New'!$AF:$AF),"")</f>
        <v>0.995</v>
      </c>
      <c r="AI165" s="109" t="str">
        <f>IFERROR(_xlfn.XLOOKUP($A165,Input_Raw!$A:$A,Input_Raw!$DP:$DP),"")</f>
        <v/>
      </c>
      <c r="AJ165" s="108"/>
      <c r="AK165" s="108"/>
      <c r="AL165" s="108"/>
      <c r="AM165" s="108"/>
      <c r="AN165" s="132" t="str">
        <f>IFERROR(_xlfn.XLOOKUP($A165,Input_Raw!$A:$A,Input_Raw!$DL:$DL),"")</f>
        <v/>
      </c>
      <c r="AO165" s="142" t="str">
        <f>IFERROR((_xlfn.XLOOKUP($A165,'WTG Reactive Power'!$A:$A,'WTG Reactive Power'!$AW:$AW))/X165,"")</f>
        <v/>
      </c>
      <c r="AP165" s="142">
        <f>IFERROR(_xlfn.XLOOKUP($D165,'Modelling New'!$D:$D,'Modelling New'!$AK:$AK),"")</f>
        <v>0.05</v>
      </c>
      <c r="AQ165" s="142">
        <f>IFERROR(_xlfn.XLOOKUP($D165,'Modelling New'!$D:$D,'Modelling New'!$AL:$AL),"")</f>
        <v>0.05</v>
      </c>
      <c r="AR165" s="198">
        <f>IFERROR(_xlfn.XLOOKUP($D165,'Modelling New'!$D:$D,'Modelling New'!$N:$N),"")</f>
        <v>70.400000000000006</v>
      </c>
      <c r="AS165" s="198"/>
    </row>
    <row r="166" spans="1:45">
      <c r="A166" s="137">
        <f t="shared" si="18"/>
        <v>45909</v>
      </c>
      <c r="B166" s="138">
        <f>YEAR(Daily_KPI[[#This Row],[Date]])+IF(MONTH(Daily_KPI[[#This Row],[Date]])&gt;=4,1,0)</f>
        <v>2026</v>
      </c>
      <c r="C166" s="108">
        <f>YEAR(Daily_KPI[[#This Row],[Date]])</f>
        <v>2025</v>
      </c>
      <c r="D166" s="139">
        <f>Daily_KPI[[#This Row],[Date]]-DAY(Daily_KPI[[#This Row],[Date]])+1</f>
        <v>45901</v>
      </c>
      <c r="E166" s="108">
        <f t="shared" si="14"/>
        <v>30</v>
      </c>
      <c r="F166" s="109"/>
      <c r="G166" s="143"/>
      <c r="H166" s="143"/>
      <c r="I166" s="143"/>
      <c r="J166" s="143"/>
      <c r="K166" s="111"/>
      <c r="L166" s="110"/>
      <c r="M166" s="110" t="str">
        <f>IFERROR(_xlfn.XLOOKUP($A166,Input_Raw!$A:$A,Input_Raw!$CQ:$CQ),"")</f>
        <v/>
      </c>
      <c r="N166" s="110" t="str">
        <f>IFERROR(_xlfn.XLOOKUP($A166,Input_Raw!$A:$A,Input_Raw!$CR:$CR),"")</f>
        <v/>
      </c>
      <c r="O166" s="141" t="str">
        <f t="shared" si="15"/>
        <v/>
      </c>
      <c r="P166" s="141" t="str">
        <f>IFERROR(1-SUMIF(WTG_BD!$F:$F,$A166,WTG_BD!$AA:$AA)/($AA166+SUMIF(WTG_BD!$F:$F,$A166,WTG_BD!$AA:$AA)),"")</f>
        <v/>
      </c>
      <c r="Q166" s="141" t="str">
        <f>IFERROR(1-SUMIF(IGA_BD!$F:$F,$A166,IGA_BD!$W:$W)/($AA166+SUMIF(IGA_BD!$F:$F,$A166,IGA_BD!$W:$W)),"")</f>
        <v/>
      </c>
      <c r="R166" s="141" t="str">
        <f>IFERROR(1-SUMIF(Grid_BD!$F:$F,$A166,Grid_BD!$Y:$Y)/($AA166+SUMIF(Grid_BD!$F:$F,$A166,Grid_BD!$Y:$Y)),"")</f>
        <v/>
      </c>
      <c r="S166" s="108"/>
      <c r="T166" s="140"/>
      <c r="U166" s="141"/>
      <c r="V166" s="108"/>
      <c r="W166" s="142" t="str">
        <f t="shared" si="16"/>
        <v/>
      </c>
      <c r="X166" s="108" t="str">
        <f>IFERROR(_xlfn.XLOOKUP($A166,Input_Raw!$A:$A,Input_Raw!$CP:$CP)*1000,"")</f>
        <v/>
      </c>
      <c r="Y166" s="108" t="str">
        <f>IFERROR(_xlfn.XLOOKUP($A166,Input_Raw!$A:$A,Input_Raw!DJ:DJ)*1000,"")</f>
        <v/>
      </c>
      <c r="Z166" s="108" t="str">
        <f>IFERROR(_xlfn.XLOOKUP($A166,Input_Raw!$A:$A,Input_Raw!DK:DK)*1000,"")</f>
        <v/>
      </c>
      <c r="AA166" s="138" t="str">
        <f t="shared" si="17"/>
        <v/>
      </c>
      <c r="AB166" s="108" t="str">
        <f>IFERROR(_xlfn.XLOOKUP($A166,Input_Raw!$A:$A,Input_Raw!$DR:$DR),"")</f>
        <v/>
      </c>
      <c r="AC166" s="143">
        <f>IFERROR(_xlfn.XLOOKUP($D166,'Modelling New'!$D:$D,'Modelling New'!$J:$J),"")</f>
        <v>5.56</v>
      </c>
      <c r="AD166" s="138">
        <f>IFERROR(_xlfn.XLOOKUP($D166,'Modelling New'!$D:$D,'Modelling New'!$T:$T)*1000,"")</f>
        <v>373388.45693317999</v>
      </c>
      <c r="AE166" s="142"/>
      <c r="AF166" s="142">
        <f>IFERROR(_xlfn.XLOOKUP($D166,'Modelling New'!$D:$D,'Modelling New'!$W:$W),"")</f>
        <v>0.22099222119624762</v>
      </c>
      <c r="AG166" s="142">
        <f>IFERROR(_xlfn.XLOOKUP($D166,'Modelling New'!$D:$D,'Modelling New'!$AE:$AE),"")</f>
        <v>0.96029999999999993</v>
      </c>
      <c r="AH166" s="142">
        <f>IFERROR(_xlfn.XLOOKUP($D166,'Modelling New'!$D:$D,'Modelling New'!$AF:$AF),"")</f>
        <v>0.995</v>
      </c>
      <c r="AI166" s="109" t="str">
        <f>IFERROR(_xlfn.XLOOKUP($A166,Input_Raw!$A:$A,Input_Raw!$DP:$DP),"")</f>
        <v/>
      </c>
      <c r="AJ166" s="108"/>
      <c r="AK166" s="108"/>
      <c r="AL166" s="108"/>
      <c r="AM166" s="108"/>
      <c r="AN166" s="132" t="str">
        <f>IFERROR(_xlfn.XLOOKUP($A166,Input_Raw!$A:$A,Input_Raw!$DL:$DL),"")</f>
        <v/>
      </c>
      <c r="AO166" s="142" t="str">
        <f>IFERROR((_xlfn.XLOOKUP($A166,'WTG Reactive Power'!$A:$A,'WTG Reactive Power'!$AW:$AW))/X166,"")</f>
        <v/>
      </c>
      <c r="AP166" s="142">
        <f>IFERROR(_xlfn.XLOOKUP($D166,'Modelling New'!$D:$D,'Modelling New'!$AK:$AK),"")</f>
        <v>0.05</v>
      </c>
      <c r="AQ166" s="142">
        <f>IFERROR(_xlfn.XLOOKUP($D166,'Modelling New'!$D:$D,'Modelling New'!$AL:$AL),"")</f>
        <v>0.05</v>
      </c>
      <c r="AR166" s="198">
        <f>IFERROR(_xlfn.XLOOKUP($D166,'Modelling New'!$D:$D,'Modelling New'!$N:$N),"")</f>
        <v>70.400000000000006</v>
      </c>
      <c r="AS166" s="198"/>
    </row>
    <row r="167" spans="1:45">
      <c r="A167" s="137">
        <f t="shared" si="18"/>
        <v>45910</v>
      </c>
      <c r="B167" s="138">
        <f>YEAR(Daily_KPI[[#This Row],[Date]])+IF(MONTH(Daily_KPI[[#This Row],[Date]])&gt;=4,1,0)</f>
        <v>2026</v>
      </c>
      <c r="C167" s="108">
        <f>YEAR(Daily_KPI[[#This Row],[Date]])</f>
        <v>2025</v>
      </c>
      <c r="D167" s="139">
        <f>Daily_KPI[[#This Row],[Date]]-DAY(Daily_KPI[[#This Row],[Date]])+1</f>
        <v>45901</v>
      </c>
      <c r="E167" s="108">
        <f t="shared" si="14"/>
        <v>30</v>
      </c>
      <c r="F167" s="109"/>
      <c r="G167" s="110"/>
      <c r="H167" s="110"/>
      <c r="I167" s="110"/>
      <c r="J167" s="110"/>
      <c r="K167" s="111"/>
      <c r="L167" s="110"/>
      <c r="M167" s="110" t="str">
        <f>IFERROR(_xlfn.XLOOKUP($A167,Input_Raw!$A:$A,Input_Raw!$CQ:$CQ),"")</f>
        <v/>
      </c>
      <c r="N167" s="110" t="str">
        <f>IFERROR(_xlfn.XLOOKUP($A167,Input_Raw!$A:$A,Input_Raw!$CR:$CR),"")</f>
        <v/>
      </c>
      <c r="O167" s="141" t="str">
        <f t="shared" si="15"/>
        <v/>
      </c>
      <c r="P167" s="141" t="str">
        <f>IFERROR(1-SUMIF(WTG_BD!$F:$F,$A167,WTG_BD!$AA:$AA)/($AA167+SUMIF(WTG_BD!$F:$F,$A167,WTG_BD!$AA:$AA)),"")</f>
        <v/>
      </c>
      <c r="Q167" s="141" t="str">
        <f>IFERROR(1-SUMIF(IGA_BD!$F:$F,$A167,IGA_BD!$W:$W)/($AA167+SUMIF(IGA_BD!$F:$F,$A167,IGA_BD!$W:$W)),"")</f>
        <v/>
      </c>
      <c r="R167" s="141" t="str">
        <f>IFERROR(1-SUMIF(Grid_BD!$F:$F,$A167,Grid_BD!$Y:$Y)/($AA167+SUMIF(Grid_BD!$F:$F,$A167,Grid_BD!$Y:$Y)),"")</f>
        <v/>
      </c>
      <c r="S167" s="108"/>
      <c r="T167" s="140"/>
      <c r="U167" s="141"/>
      <c r="V167" s="108"/>
      <c r="W167" s="142" t="str">
        <f t="shared" si="16"/>
        <v/>
      </c>
      <c r="X167" s="108" t="str">
        <f>IFERROR(_xlfn.XLOOKUP($A167,Input_Raw!$A:$A,Input_Raw!$CP:$CP)*1000,"")</f>
        <v/>
      </c>
      <c r="Y167" s="108" t="str">
        <f>IFERROR(_xlfn.XLOOKUP($A167,Input_Raw!$A:$A,Input_Raw!DJ:DJ)*1000,"")</f>
        <v/>
      </c>
      <c r="Z167" s="108" t="str">
        <f>IFERROR(_xlfn.XLOOKUP($A167,Input_Raw!$A:$A,Input_Raw!DK:DK)*1000,"")</f>
        <v/>
      </c>
      <c r="AA167" s="138" t="str">
        <f t="shared" si="17"/>
        <v/>
      </c>
      <c r="AB167" s="108" t="str">
        <f>IFERROR(_xlfn.XLOOKUP($A167,Input_Raw!$A:$A,Input_Raw!$DR:$DR),"")</f>
        <v/>
      </c>
      <c r="AC167" s="143">
        <f>IFERROR(_xlfn.XLOOKUP($D167,'Modelling New'!$D:$D,'Modelling New'!$J:$J),"")</f>
        <v>5.56</v>
      </c>
      <c r="AD167" s="138">
        <f>IFERROR(_xlfn.XLOOKUP($D167,'Modelling New'!$D:$D,'Modelling New'!$T:$T)*1000,"")</f>
        <v>373388.45693317999</v>
      </c>
      <c r="AE167" s="142"/>
      <c r="AF167" s="142">
        <f>IFERROR(_xlfn.XLOOKUP($D167,'Modelling New'!$D:$D,'Modelling New'!$W:$W),"")</f>
        <v>0.22099222119624762</v>
      </c>
      <c r="AG167" s="142">
        <f>IFERROR(_xlfn.XLOOKUP($D167,'Modelling New'!$D:$D,'Modelling New'!$AE:$AE),"")</f>
        <v>0.96029999999999993</v>
      </c>
      <c r="AH167" s="142">
        <f>IFERROR(_xlfn.XLOOKUP($D167,'Modelling New'!$D:$D,'Modelling New'!$AF:$AF),"")</f>
        <v>0.995</v>
      </c>
      <c r="AI167" s="109" t="str">
        <f>IFERROR(_xlfn.XLOOKUP($A167,Input_Raw!$A:$A,Input_Raw!$DP:$DP),"")</f>
        <v/>
      </c>
      <c r="AJ167" s="108"/>
      <c r="AK167" s="108"/>
      <c r="AL167" s="108"/>
      <c r="AM167" s="108"/>
      <c r="AN167" s="132" t="str">
        <f>IFERROR(_xlfn.XLOOKUP($A167,Input_Raw!$A:$A,Input_Raw!$DL:$DL),"")</f>
        <v/>
      </c>
      <c r="AO167" s="142" t="str">
        <f>IFERROR((_xlfn.XLOOKUP($A167,'WTG Reactive Power'!$A:$A,'WTG Reactive Power'!$AW:$AW))/X167,"")</f>
        <v/>
      </c>
      <c r="AP167" s="142">
        <f>IFERROR(_xlfn.XLOOKUP($D167,'Modelling New'!$D:$D,'Modelling New'!$AK:$AK),"")</f>
        <v>0.05</v>
      </c>
      <c r="AQ167" s="142">
        <f>IFERROR(_xlfn.XLOOKUP($D167,'Modelling New'!$D:$D,'Modelling New'!$AL:$AL),"")</f>
        <v>0.05</v>
      </c>
      <c r="AR167" s="198">
        <f>IFERROR(_xlfn.XLOOKUP($D167,'Modelling New'!$D:$D,'Modelling New'!$N:$N),"")</f>
        <v>70.400000000000006</v>
      </c>
      <c r="AS167" s="198"/>
    </row>
    <row r="168" spans="1:45">
      <c r="A168" s="137">
        <f t="shared" si="18"/>
        <v>45911</v>
      </c>
      <c r="B168" s="138">
        <f>YEAR(Daily_KPI[[#This Row],[Date]])+IF(MONTH(Daily_KPI[[#This Row],[Date]])&gt;=4,1,0)</f>
        <v>2026</v>
      </c>
      <c r="C168" s="108">
        <f>YEAR(Daily_KPI[[#This Row],[Date]])</f>
        <v>2025</v>
      </c>
      <c r="D168" s="139">
        <f>Daily_KPI[[#This Row],[Date]]-DAY(Daily_KPI[[#This Row],[Date]])+1</f>
        <v>45901</v>
      </c>
      <c r="E168" s="108">
        <f t="shared" si="14"/>
        <v>30</v>
      </c>
      <c r="F168" s="109"/>
      <c r="G168" s="143"/>
      <c r="H168" s="143"/>
      <c r="I168" s="143"/>
      <c r="J168" s="143"/>
      <c r="K168" s="111"/>
      <c r="L168" s="110"/>
      <c r="M168" s="110" t="str">
        <f>IFERROR(_xlfn.XLOOKUP($A168,Input_Raw!$A:$A,Input_Raw!$CQ:$CQ),"")</f>
        <v/>
      </c>
      <c r="N168" s="110" t="str">
        <f>IFERROR(_xlfn.XLOOKUP($A168,Input_Raw!$A:$A,Input_Raw!$CR:$CR),"")</f>
        <v/>
      </c>
      <c r="O168" s="141" t="str">
        <f t="shared" si="15"/>
        <v/>
      </c>
      <c r="P168" s="141" t="str">
        <f>IFERROR(1-SUMIF(WTG_BD!$F:$F,$A168,WTG_BD!$AA:$AA)/($AA168+SUMIF(WTG_BD!$F:$F,$A168,WTG_BD!$AA:$AA)),"")</f>
        <v/>
      </c>
      <c r="Q168" s="141" t="str">
        <f>IFERROR(1-SUMIF(IGA_BD!$F:$F,$A168,IGA_BD!$W:$W)/($AA168+SUMIF(IGA_BD!$F:$F,$A168,IGA_BD!$W:$W)),"")</f>
        <v/>
      </c>
      <c r="R168" s="141" t="str">
        <f>IFERROR(1-SUMIF(Grid_BD!$F:$F,$A168,Grid_BD!$Y:$Y)/($AA168+SUMIF(Grid_BD!$F:$F,$A168,Grid_BD!$Y:$Y)),"")</f>
        <v/>
      </c>
      <c r="S168" s="108"/>
      <c r="T168" s="140"/>
      <c r="U168" s="141"/>
      <c r="V168" s="108"/>
      <c r="W168" s="142" t="str">
        <f t="shared" si="16"/>
        <v/>
      </c>
      <c r="X168" s="108" t="str">
        <f>IFERROR(_xlfn.XLOOKUP($A168,Input_Raw!$A:$A,Input_Raw!$CP:$CP)*1000,"")</f>
        <v/>
      </c>
      <c r="Y168" s="108" t="str">
        <f>IFERROR(_xlfn.XLOOKUP($A168,Input_Raw!$A:$A,Input_Raw!DJ:DJ)*1000,"")</f>
        <v/>
      </c>
      <c r="Z168" s="108" t="str">
        <f>IFERROR(_xlfn.XLOOKUP($A168,Input_Raw!$A:$A,Input_Raw!DK:DK)*1000,"")</f>
        <v/>
      </c>
      <c r="AA168" s="138" t="str">
        <f t="shared" si="17"/>
        <v/>
      </c>
      <c r="AB168" s="108" t="str">
        <f>IFERROR(_xlfn.XLOOKUP($A168,Input_Raw!$A:$A,Input_Raw!$DR:$DR),"")</f>
        <v/>
      </c>
      <c r="AC168" s="143">
        <f>IFERROR(_xlfn.XLOOKUP($D168,'Modelling New'!$D:$D,'Modelling New'!$J:$J),"")</f>
        <v>5.56</v>
      </c>
      <c r="AD168" s="138">
        <f>IFERROR(_xlfn.XLOOKUP($D168,'Modelling New'!$D:$D,'Modelling New'!$T:$T)*1000,"")</f>
        <v>373388.45693317999</v>
      </c>
      <c r="AE168" s="142"/>
      <c r="AF168" s="142">
        <f>IFERROR(_xlfn.XLOOKUP($D168,'Modelling New'!$D:$D,'Modelling New'!$W:$W),"")</f>
        <v>0.22099222119624762</v>
      </c>
      <c r="AG168" s="142">
        <f>IFERROR(_xlfn.XLOOKUP($D168,'Modelling New'!$D:$D,'Modelling New'!$AE:$AE),"")</f>
        <v>0.96029999999999993</v>
      </c>
      <c r="AH168" s="142">
        <f>IFERROR(_xlfn.XLOOKUP($D168,'Modelling New'!$D:$D,'Modelling New'!$AF:$AF),"")</f>
        <v>0.995</v>
      </c>
      <c r="AI168" s="109" t="str">
        <f>IFERROR(_xlfn.XLOOKUP($A168,Input_Raw!$A:$A,Input_Raw!$DP:$DP),"")</f>
        <v/>
      </c>
      <c r="AJ168" s="108"/>
      <c r="AK168" s="108"/>
      <c r="AL168" s="108"/>
      <c r="AM168" s="108"/>
      <c r="AN168" s="132" t="str">
        <f>IFERROR(_xlfn.XLOOKUP($A168,Input_Raw!$A:$A,Input_Raw!$DL:$DL),"")</f>
        <v/>
      </c>
      <c r="AO168" s="142" t="str">
        <f>IFERROR((_xlfn.XLOOKUP($A168,'WTG Reactive Power'!$A:$A,'WTG Reactive Power'!$AW:$AW))/X168,"")</f>
        <v/>
      </c>
      <c r="AP168" s="142">
        <f>IFERROR(_xlfn.XLOOKUP($D168,'Modelling New'!$D:$D,'Modelling New'!$AK:$AK),"")</f>
        <v>0.05</v>
      </c>
      <c r="AQ168" s="142">
        <f>IFERROR(_xlfn.XLOOKUP($D168,'Modelling New'!$D:$D,'Modelling New'!$AL:$AL),"")</f>
        <v>0.05</v>
      </c>
      <c r="AR168" s="198">
        <f>IFERROR(_xlfn.XLOOKUP($D168,'Modelling New'!$D:$D,'Modelling New'!$N:$N),"")</f>
        <v>70.400000000000006</v>
      </c>
      <c r="AS168" s="198"/>
    </row>
    <row r="169" spans="1:45">
      <c r="A169" s="137">
        <f t="shared" si="18"/>
        <v>45912</v>
      </c>
      <c r="B169" s="138">
        <f>YEAR(Daily_KPI[[#This Row],[Date]])+IF(MONTH(Daily_KPI[[#This Row],[Date]])&gt;=4,1,0)</f>
        <v>2026</v>
      </c>
      <c r="C169" s="108">
        <f>YEAR(Daily_KPI[[#This Row],[Date]])</f>
        <v>2025</v>
      </c>
      <c r="D169" s="139">
        <f>Daily_KPI[[#This Row],[Date]]-DAY(Daily_KPI[[#This Row],[Date]])+1</f>
        <v>45901</v>
      </c>
      <c r="E169" s="108">
        <f t="shared" si="14"/>
        <v>30</v>
      </c>
      <c r="F169" s="109"/>
      <c r="G169" s="110"/>
      <c r="H169" s="110"/>
      <c r="I169" s="110"/>
      <c r="J169" s="110"/>
      <c r="K169" s="111"/>
      <c r="L169" s="110"/>
      <c r="M169" s="110" t="str">
        <f>IFERROR(_xlfn.XLOOKUP($A169,Input_Raw!$A:$A,Input_Raw!$CQ:$CQ),"")</f>
        <v/>
      </c>
      <c r="N169" s="110" t="str">
        <f>IFERROR(_xlfn.XLOOKUP($A169,Input_Raw!$A:$A,Input_Raw!$CR:$CR),"")</f>
        <v/>
      </c>
      <c r="O169" s="141" t="str">
        <f t="shared" si="15"/>
        <v/>
      </c>
      <c r="P169" s="141" t="str">
        <f>IFERROR(1-SUMIF(WTG_BD!$F:$F,$A169,WTG_BD!$AA:$AA)/($AA169+SUMIF(WTG_BD!$F:$F,$A169,WTG_BD!$AA:$AA)),"")</f>
        <v/>
      </c>
      <c r="Q169" s="141" t="str">
        <f>IFERROR(1-SUMIF(IGA_BD!$F:$F,$A169,IGA_BD!$W:$W)/($AA169+SUMIF(IGA_BD!$F:$F,$A169,IGA_BD!$W:$W)),"")</f>
        <v/>
      </c>
      <c r="R169" s="141" t="str">
        <f>IFERROR(1-SUMIF(Grid_BD!$F:$F,$A169,Grid_BD!$Y:$Y)/($AA169+SUMIF(Grid_BD!$F:$F,$A169,Grid_BD!$Y:$Y)),"")</f>
        <v/>
      </c>
      <c r="S169" s="108"/>
      <c r="T169" s="140"/>
      <c r="U169" s="141"/>
      <c r="V169" s="108"/>
      <c r="W169" s="142" t="str">
        <f t="shared" si="16"/>
        <v/>
      </c>
      <c r="X169" s="108" t="str">
        <f>IFERROR(_xlfn.XLOOKUP($A169,Input_Raw!$A:$A,Input_Raw!$CP:$CP)*1000,"")</f>
        <v/>
      </c>
      <c r="Y169" s="108" t="str">
        <f>IFERROR(_xlfn.XLOOKUP($A169,Input_Raw!$A:$A,Input_Raw!DJ:DJ)*1000,"")</f>
        <v/>
      </c>
      <c r="Z169" s="108" t="str">
        <f>IFERROR(_xlfn.XLOOKUP($A169,Input_Raw!$A:$A,Input_Raw!DK:DK)*1000,"")</f>
        <v/>
      </c>
      <c r="AA169" s="138" t="str">
        <f t="shared" si="17"/>
        <v/>
      </c>
      <c r="AB169" s="108" t="str">
        <f>IFERROR(_xlfn.XLOOKUP($A169,Input_Raw!$A:$A,Input_Raw!$DR:$DR),"")</f>
        <v/>
      </c>
      <c r="AC169" s="143">
        <f>IFERROR(_xlfn.XLOOKUP($D169,'Modelling New'!$D:$D,'Modelling New'!$J:$J),"")</f>
        <v>5.56</v>
      </c>
      <c r="AD169" s="138">
        <f>IFERROR(_xlfn.XLOOKUP($D169,'Modelling New'!$D:$D,'Modelling New'!$T:$T)*1000,"")</f>
        <v>373388.45693317999</v>
      </c>
      <c r="AE169" s="142"/>
      <c r="AF169" s="142">
        <f>IFERROR(_xlfn.XLOOKUP($D169,'Modelling New'!$D:$D,'Modelling New'!$W:$W),"")</f>
        <v>0.22099222119624762</v>
      </c>
      <c r="AG169" s="142">
        <f>IFERROR(_xlfn.XLOOKUP($D169,'Modelling New'!$D:$D,'Modelling New'!$AE:$AE),"")</f>
        <v>0.96029999999999993</v>
      </c>
      <c r="AH169" s="142">
        <f>IFERROR(_xlfn.XLOOKUP($D169,'Modelling New'!$D:$D,'Modelling New'!$AF:$AF),"")</f>
        <v>0.995</v>
      </c>
      <c r="AI169" s="109" t="str">
        <f>IFERROR(_xlfn.XLOOKUP($A169,Input_Raw!$A:$A,Input_Raw!$DP:$DP),"")</f>
        <v/>
      </c>
      <c r="AJ169" s="108"/>
      <c r="AK169" s="108"/>
      <c r="AL169" s="108"/>
      <c r="AM169" s="108"/>
      <c r="AN169" s="132" t="str">
        <f>IFERROR(_xlfn.XLOOKUP($A169,Input_Raw!$A:$A,Input_Raw!$DL:$DL),"")</f>
        <v/>
      </c>
      <c r="AO169" s="142" t="str">
        <f>IFERROR((_xlfn.XLOOKUP($A169,'WTG Reactive Power'!$A:$A,'WTG Reactive Power'!$AW:$AW))/X169,"")</f>
        <v/>
      </c>
      <c r="AP169" s="142">
        <f>IFERROR(_xlfn.XLOOKUP($D169,'Modelling New'!$D:$D,'Modelling New'!$AK:$AK),"")</f>
        <v>0.05</v>
      </c>
      <c r="AQ169" s="142">
        <f>IFERROR(_xlfn.XLOOKUP($D169,'Modelling New'!$D:$D,'Modelling New'!$AL:$AL),"")</f>
        <v>0.05</v>
      </c>
      <c r="AR169" s="198">
        <f>IFERROR(_xlfn.XLOOKUP($D169,'Modelling New'!$D:$D,'Modelling New'!$N:$N),"")</f>
        <v>70.400000000000006</v>
      </c>
      <c r="AS169" s="198"/>
    </row>
    <row r="170" spans="1:45">
      <c r="A170" s="137">
        <f t="shared" si="18"/>
        <v>45913</v>
      </c>
      <c r="B170" s="138">
        <f>YEAR(Daily_KPI[[#This Row],[Date]])+IF(MONTH(Daily_KPI[[#This Row],[Date]])&gt;=4,1,0)</f>
        <v>2026</v>
      </c>
      <c r="C170" s="108">
        <f>YEAR(Daily_KPI[[#This Row],[Date]])</f>
        <v>2025</v>
      </c>
      <c r="D170" s="139">
        <f>Daily_KPI[[#This Row],[Date]]-DAY(Daily_KPI[[#This Row],[Date]])+1</f>
        <v>45901</v>
      </c>
      <c r="E170" s="108">
        <f t="shared" si="14"/>
        <v>30</v>
      </c>
      <c r="F170" s="109"/>
      <c r="G170" s="143"/>
      <c r="H170" s="143"/>
      <c r="I170" s="143"/>
      <c r="J170" s="143"/>
      <c r="K170" s="111"/>
      <c r="L170" s="110"/>
      <c r="M170" s="110" t="str">
        <f>IFERROR(_xlfn.XLOOKUP($A170,Input_Raw!$A:$A,Input_Raw!$CQ:$CQ),"")</f>
        <v/>
      </c>
      <c r="N170" s="110" t="str">
        <f>IFERROR(_xlfn.XLOOKUP($A170,Input_Raw!$A:$A,Input_Raw!$CR:$CR),"")</f>
        <v/>
      </c>
      <c r="O170" s="141" t="str">
        <f t="shared" si="15"/>
        <v/>
      </c>
      <c r="P170" s="141" t="str">
        <f>IFERROR(1-SUMIF(WTG_BD!$F:$F,$A170,WTG_BD!$AA:$AA)/($AA170+SUMIF(WTG_BD!$F:$F,$A170,WTG_BD!$AA:$AA)),"")</f>
        <v/>
      </c>
      <c r="Q170" s="141" t="str">
        <f>IFERROR(1-SUMIF(IGA_BD!$F:$F,$A170,IGA_BD!$W:$W)/($AA170+SUMIF(IGA_BD!$F:$F,$A170,IGA_BD!$W:$W)),"")</f>
        <v/>
      </c>
      <c r="R170" s="141" t="str">
        <f>IFERROR(1-SUMIF(Grid_BD!$F:$F,$A170,Grid_BD!$Y:$Y)/($AA170+SUMIF(Grid_BD!$F:$F,$A170,Grid_BD!$Y:$Y)),"")</f>
        <v/>
      </c>
      <c r="S170" s="108"/>
      <c r="T170" s="140"/>
      <c r="U170" s="141"/>
      <c r="V170" s="108"/>
      <c r="W170" s="142" t="str">
        <f t="shared" si="16"/>
        <v/>
      </c>
      <c r="X170" s="108" t="str">
        <f>IFERROR(_xlfn.XLOOKUP($A170,Input_Raw!$A:$A,Input_Raw!$CP:$CP)*1000,"")</f>
        <v/>
      </c>
      <c r="Y170" s="108" t="str">
        <f>IFERROR(_xlfn.XLOOKUP($A170,Input_Raw!$A:$A,Input_Raw!DJ:DJ)*1000,"")</f>
        <v/>
      </c>
      <c r="Z170" s="108" t="str">
        <f>IFERROR(_xlfn.XLOOKUP($A170,Input_Raw!$A:$A,Input_Raw!DK:DK)*1000,"")</f>
        <v/>
      </c>
      <c r="AA170" s="138" t="str">
        <f t="shared" si="17"/>
        <v/>
      </c>
      <c r="AB170" s="108" t="str">
        <f>IFERROR(_xlfn.XLOOKUP($A170,Input_Raw!$A:$A,Input_Raw!$DR:$DR),"")</f>
        <v/>
      </c>
      <c r="AC170" s="143">
        <f>IFERROR(_xlfn.XLOOKUP($D170,'Modelling New'!$D:$D,'Modelling New'!$J:$J),"")</f>
        <v>5.56</v>
      </c>
      <c r="AD170" s="138">
        <f>IFERROR(_xlfn.XLOOKUP($D170,'Modelling New'!$D:$D,'Modelling New'!$T:$T)*1000,"")</f>
        <v>373388.45693317999</v>
      </c>
      <c r="AE170" s="142"/>
      <c r="AF170" s="142">
        <f>IFERROR(_xlfn.XLOOKUP($D170,'Modelling New'!$D:$D,'Modelling New'!$W:$W),"")</f>
        <v>0.22099222119624762</v>
      </c>
      <c r="AG170" s="142">
        <f>IFERROR(_xlfn.XLOOKUP($D170,'Modelling New'!$D:$D,'Modelling New'!$AE:$AE),"")</f>
        <v>0.96029999999999993</v>
      </c>
      <c r="AH170" s="142">
        <f>IFERROR(_xlfn.XLOOKUP($D170,'Modelling New'!$D:$D,'Modelling New'!$AF:$AF),"")</f>
        <v>0.995</v>
      </c>
      <c r="AI170" s="109" t="str">
        <f>IFERROR(_xlfn.XLOOKUP($A170,Input_Raw!$A:$A,Input_Raw!$DP:$DP),"")</f>
        <v/>
      </c>
      <c r="AJ170" s="108"/>
      <c r="AK170" s="108"/>
      <c r="AL170" s="108"/>
      <c r="AM170" s="108"/>
      <c r="AN170" s="132" t="str">
        <f>IFERROR(_xlfn.XLOOKUP($A170,Input_Raw!$A:$A,Input_Raw!$DL:$DL),"")</f>
        <v/>
      </c>
      <c r="AO170" s="142" t="str">
        <f>IFERROR((_xlfn.XLOOKUP($A170,'WTG Reactive Power'!$A:$A,'WTG Reactive Power'!$AW:$AW))/X170,"")</f>
        <v/>
      </c>
      <c r="AP170" s="142">
        <f>IFERROR(_xlfn.XLOOKUP($D170,'Modelling New'!$D:$D,'Modelling New'!$AK:$AK),"")</f>
        <v>0.05</v>
      </c>
      <c r="AQ170" s="142">
        <f>IFERROR(_xlfn.XLOOKUP($D170,'Modelling New'!$D:$D,'Modelling New'!$AL:$AL),"")</f>
        <v>0.05</v>
      </c>
      <c r="AR170" s="198">
        <f>IFERROR(_xlfn.XLOOKUP($D170,'Modelling New'!$D:$D,'Modelling New'!$N:$N),"")</f>
        <v>70.400000000000006</v>
      </c>
      <c r="AS170" s="198"/>
    </row>
    <row r="171" spans="1:45">
      <c r="A171" s="137">
        <f t="shared" si="18"/>
        <v>45914</v>
      </c>
      <c r="B171" s="138">
        <f>YEAR(Daily_KPI[[#This Row],[Date]])+IF(MONTH(Daily_KPI[[#This Row],[Date]])&gt;=4,1,0)</f>
        <v>2026</v>
      </c>
      <c r="C171" s="108">
        <f>YEAR(Daily_KPI[[#This Row],[Date]])</f>
        <v>2025</v>
      </c>
      <c r="D171" s="139">
        <f>Daily_KPI[[#This Row],[Date]]-DAY(Daily_KPI[[#This Row],[Date]])+1</f>
        <v>45901</v>
      </c>
      <c r="E171" s="108">
        <f t="shared" si="14"/>
        <v>30</v>
      </c>
      <c r="F171" s="109"/>
      <c r="G171" s="110"/>
      <c r="H171" s="110"/>
      <c r="I171" s="110"/>
      <c r="J171" s="110"/>
      <c r="K171" s="111"/>
      <c r="L171" s="110"/>
      <c r="M171" s="110" t="str">
        <f>IFERROR(_xlfn.XLOOKUP($A171,Input_Raw!$A:$A,Input_Raw!$CQ:$CQ),"")</f>
        <v/>
      </c>
      <c r="N171" s="110" t="str">
        <f>IFERROR(_xlfn.XLOOKUP($A171,Input_Raw!$A:$A,Input_Raw!$CR:$CR),"")</f>
        <v/>
      </c>
      <c r="O171" s="141" t="str">
        <f t="shared" si="15"/>
        <v/>
      </c>
      <c r="P171" s="141" t="str">
        <f>IFERROR(1-SUMIF(WTG_BD!$F:$F,$A171,WTG_BD!$AA:$AA)/($AA171+SUMIF(WTG_BD!$F:$F,$A171,WTG_BD!$AA:$AA)),"")</f>
        <v/>
      </c>
      <c r="Q171" s="141" t="str">
        <f>IFERROR(1-SUMIF(IGA_BD!$F:$F,$A171,IGA_BD!$W:$W)/($AA171+SUMIF(IGA_BD!$F:$F,$A171,IGA_BD!$W:$W)),"")</f>
        <v/>
      </c>
      <c r="R171" s="141" t="str">
        <f>IFERROR(1-SUMIF(Grid_BD!$F:$F,$A171,Grid_BD!$Y:$Y)/($AA171+SUMIF(Grid_BD!$F:$F,$A171,Grid_BD!$Y:$Y)),"")</f>
        <v/>
      </c>
      <c r="S171" s="108"/>
      <c r="T171" s="140"/>
      <c r="U171" s="141"/>
      <c r="V171" s="108"/>
      <c r="W171" s="142" t="str">
        <f t="shared" si="16"/>
        <v/>
      </c>
      <c r="X171" s="108" t="str">
        <f>IFERROR(_xlfn.XLOOKUP($A171,Input_Raw!$A:$A,Input_Raw!$CP:$CP)*1000,"")</f>
        <v/>
      </c>
      <c r="Y171" s="108" t="str">
        <f>IFERROR(_xlfn.XLOOKUP($A171,Input_Raw!$A:$A,Input_Raw!DJ:DJ)*1000,"")</f>
        <v/>
      </c>
      <c r="Z171" s="108" t="str">
        <f>IFERROR(_xlfn.XLOOKUP($A171,Input_Raw!$A:$A,Input_Raw!DK:DK)*1000,"")</f>
        <v/>
      </c>
      <c r="AA171" s="138" t="str">
        <f t="shared" si="17"/>
        <v/>
      </c>
      <c r="AB171" s="108" t="str">
        <f>IFERROR(_xlfn.XLOOKUP($A171,Input_Raw!$A:$A,Input_Raw!$DR:$DR),"")</f>
        <v/>
      </c>
      <c r="AC171" s="143">
        <f>IFERROR(_xlfn.XLOOKUP($D171,'Modelling New'!$D:$D,'Modelling New'!$J:$J),"")</f>
        <v>5.56</v>
      </c>
      <c r="AD171" s="138">
        <f>IFERROR(_xlfn.XLOOKUP($D171,'Modelling New'!$D:$D,'Modelling New'!$T:$T)*1000,"")</f>
        <v>373388.45693317999</v>
      </c>
      <c r="AE171" s="142"/>
      <c r="AF171" s="142">
        <f>IFERROR(_xlfn.XLOOKUP($D171,'Modelling New'!$D:$D,'Modelling New'!$W:$W),"")</f>
        <v>0.22099222119624762</v>
      </c>
      <c r="AG171" s="142">
        <f>IFERROR(_xlfn.XLOOKUP($D171,'Modelling New'!$D:$D,'Modelling New'!$AE:$AE),"")</f>
        <v>0.96029999999999993</v>
      </c>
      <c r="AH171" s="142">
        <f>IFERROR(_xlfn.XLOOKUP($D171,'Modelling New'!$D:$D,'Modelling New'!$AF:$AF),"")</f>
        <v>0.995</v>
      </c>
      <c r="AI171" s="109" t="str">
        <f>IFERROR(_xlfn.XLOOKUP($A171,Input_Raw!$A:$A,Input_Raw!$DP:$DP),"")</f>
        <v/>
      </c>
      <c r="AJ171" s="108"/>
      <c r="AK171" s="108"/>
      <c r="AL171" s="108"/>
      <c r="AM171" s="108"/>
      <c r="AN171" s="132" t="str">
        <f>IFERROR(_xlfn.XLOOKUP($A171,Input_Raw!$A:$A,Input_Raw!$DL:$DL),"")</f>
        <v/>
      </c>
      <c r="AO171" s="142" t="str">
        <f>IFERROR((_xlfn.XLOOKUP($A171,'WTG Reactive Power'!$A:$A,'WTG Reactive Power'!$AW:$AW))/X171,"")</f>
        <v/>
      </c>
      <c r="AP171" s="142">
        <f>IFERROR(_xlfn.XLOOKUP($D171,'Modelling New'!$D:$D,'Modelling New'!$AK:$AK),"")</f>
        <v>0.05</v>
      </c>
      <c r="AQ171" s="142">
        <f>IFERROR(_xlfn.XLOOKUP($D171,'Modelling New'!$D:$D,'Modelling New'!$AL:$AL),"")</f>
        <v>0.05</v>
      </c>
      <c r="AR171" s="198">
        <f>IFERROR(_xlfn.XLOOKUP($D171,'Modelling New'!$D:$D,'Modelling New'!$N:$N),"")</f>
        <v>70.400000000000006</v>
      </c>
      <c r="AS171" s="198"/>
    </row>
    <row r="172" spans="1:45">
      <c r="A172" s="137">
        <f t="shared" si="18"/>
        <v>45915</v>
      </c>
      <c r="B172" s="138">
        <f>YEAR(Daily_KPI[[#This Row],[Date]])+IF(MONTH(Daily_KPI[[#This Row],[Date]])&gt;=4,1,0)</f>
        <v>2026</v>
      </c>
      <c r="C172" s="108">
        <f>YEAR(Daily_KPI[[#This Row],[Date]])</f>
        <v>2025</v>
      </c>
      <c r="D172" s="139">
        <f>Daily_KPI[[#This Row],[Date]]-DAY(Daily_KPI[[#This Row],[Date]])+1</f>
        <v>45901</v>
      </c>
      <c r="E172" s="108">
        <f t="shared" si="14"/>
        <v>30</v>
      </c>
      <c r="F172" s="109"/>
      <c r="G172" s="143"/>
      <c r="H172" s="143"/>
      <c r="I172" s="143"/>
      <c r="J172" s="143"/>
      <c r="K172" s="111"/>
      <c r="L172" s="110"/>
      <c r="M172" s="110" t="str">
        <f>IFERROR(_xlfn.XLOOKUP($A172,Input_Raw!$A:$A,Input_Raw!$CQ:$CQ),"")</f>
        <v/>
      </c>
      <c r="N172" s="110" t="str">
        <f>IFERROR(_xlfn.XLOOKUP($A172,Input_Raw!$A:$A,Input_Raw!$CR:$CR),"")</f>
        <v/>
      </c>
      <c r="O172" s="141" t="str">
        <f t="shared" si="15"/>
        <v/>
      </c>
      <c r="P172" s="141" t="str">
        <f>IFERROR(1-SUMIF(WTG_BD!$F:$F,$A172,WTG_BD!$AA:$AA)/($AA172+SUMIF(WTG_BD!$F:$F,$A172,WTG_BD!$AA:$AA)),"")</f>
        <v/>
      </c>
      <c r="Q172" s="141" t="str">
        <f>IFERROR(1-SUMIF(IGA_BD!$F:$F,$A172,IGA_BD!$W:$W)/($AA172+SUMIF(IGA_BD!$F:$F,$A172,IGA_BD!$W:$W)),"")</f>
        <v/>
      </c>
      <c r="R172" s="141" t="str">
        <f>IFERROR(1-SUMIF(Grid_BD!$F:$F,$A172,Grid_BD!$Y:$Y)/($AA172+SUMIF(Grid_BD!$F:$F,$A172,Grid_BD!$Y:$Y)),"")</f>
        <v/>
      </c>
      <c r="S172" s="108"/>
      <c r="T172" s="140"/>
      <c r="U172" s="141"/>
      <c r="V172" s="108"/>
      <c r="W172" s="142" t="str">
        <f t="shared" si="16"/>
        <v/>
      </c>
      <c r="X172" s="108" t="str">
        <f>IFERROR(_xlfn.XLOOKUP($A172,Input_Raw!$A:$A,Input_Raw!$CP:$CP)*1000,"")</f>
        <v/>
      </c>
      <c r="Y172" s="108" t="str">
        <f>IFERROR(_xlfn.XLOOKUP($A172,Input_Raw!$A:$A,Input_Raw!DJ:DJ)*1000,"")</f>
        <v/>
      </c>
      <c r="Z172" s="108" t="str">
        <f>IFERROR(_xlfn.XLOOKUP($A172,Input_Raw!$A:$A,Input_Raw!DK:DK)*1000,"")</f>
        <v/>
      </c>
      <c r="AA172" s="138" t="str">
        <f t="shared" si="17"/>
        <v/>
      </c>
      <c r="AB172" s="108" t="str">
        <f>IFERROR(_xlfn.XLOOKUP($A172,Input_Raw!$A:$A,Input_Raw!$DR:$DR),"")</f>
        <v/>
      </c>
      <c r="AC172" s="143">
        <f>IFERROR(_xlfn.XLOOKUP($D172,'Modelling New'!$D:$D,'Modelling New'!$J:$J),"")</f>
        <v>5.56</v>
      </c>
      <c r="AD172" s="138">
        <f>IFERROR(_xlfn.XLOOKUP($D172,'Modelling New'!$D:$D,'Modelling New'!$T:$T)*1000,"")</f>
        <v>373388.45693317999</v>
      </c>
      <c r="AE172" s="142"/>
      <c r="AF172" s="142">
        <f>IFERROR(_xlfn.XLOOKUP($D172,'Modelling New'!$D:$D,'Modelling New'!$W:$W),"")</f>
        <v>0.22099222119624762</v>
      </c>
      <c r="AG172" s="142">
        <f>IFERROR(_xlfn.XLOOKUP($D172,'Modelling New'!$D:$D,'Modelling New'!$AE:$AE),"")</f>
        <v>0.96029999999999993</v>
      </c>
      <c r="AH172" s="142">
        <f>IFERROR(_xlfn.XLOOKUP($D172,'Modelling New'!$D:$D,'Modelling New'!$AF:$AF),"")</f>
        <v>0.995</v>
      </c>
      <c r="AI172" s="109" t="str">
        <f>IFERROR(_xlfn.XLOOKUP($A172,Input_Raw!$A:$A,Input_Raw!$DP:$DP),"")</f>
        <v/>
      </c>
      <c r="AJ172" s="108"/>
      <c r="AK172" s="108"/>
      <c r="AL172" s="108"/>
      <c r="AM172" s="108"/>
      <c r="AN172" s="132" t="str">
        <f>IFERROR(_xlfn.XLOOKUP($A172,Input_Raw!$A:$A,Input_Raw!$DL:$DL),"")</f>
        <v/>
      </c>
      <c r="AO172" s="142" t="str">
        <f>IFERROR((_xlfn.XLOOKUP($A172,'WTG Reactive Power'!$A:$A,'WTG Reactive Power'!$AW:$AW))/X172,"")</f>
        <v/>
      </c>
      <c r="AP172" s="142">
        <f>IFERROR(_xlfn.XLOOKUP($D172,'Modelling New'!$D:$D,'Modelling New'!$AK:$AK),"")</f>
        <v>0.05</v>
      </c>
      <c r="AQ172" s="142">
        <f>IFERROR(_xlfn.XLOOKUP($D172,'Modelling New'!$D:$D,'Modelling New'!$AL:$AL),"")</f>
        <v>0.05</v>
      </c>
      <c r="AR172" s="198">
        <f>IFERROR(_xlfn.XLOOKUP($D172,'Modelling New'!$D:$D,'Modelling New'!$N:$N),"")</f>
        <v>70.400000000000006</v>
      </c>
      <c r="AS172" s="198"/>
    </row>
    <row r="173" spans="1:45">
      <c r="A173" s="137">
        <f t="shared" si="18"/>
        <v>45916</v>
      </c>
      <c r="B173" s="138">
        <f>YEAR(Daily_KPI[[#This Row],[Date]])+IF(MONTH(Daily_KPI[[#This Row],[Date]])&gt;=4,1,0)</f>
        <v>2026</v>
      </c>
      <c r="C173" s="108">
        <f>YEAR(Daily_KPI[[#This Row],[Date]])</f>
        <v>2025</v>
      </c>
      <c r="D173" s="139">
        <f>Daily_KPI[[#This Row],[Date]]-DAY(Daily_KPI[[#This Row],[Date]])+1</f>
        <v>45901</v>
      </c>
      <c r="E173" s="108">
        <f t="shared" si="14"/>
        <v>30</v>
      </c>
      <c r="F173" s="109"/>
      <c r="G173" s="110"/>
      <c r="H173" s="110"/>
      <c r="I173" s="110"/>
      <c r="J173" s="110"/>
      <c r="K173" s="111"/>
      <c r="L173" s="110"/>
      <c r="M173" s="110" t="str">
        <f>IFERROR(_xlfn.XLOOKUP($A173,Input_Raw!$A:$A,Input_Raw!$CQ:$CQ),"")</f>
        <v/>
      </c>
      <c r="N173" s="110" t="str">
        <f>IFERROR(_xlfn.XLOOKUP($A173,Input_Raw!$A:$A,Input_Raw!$CR:$CR),"")</f>
        <v/>
      </c>
      <c r="O173" s="141" t="str">
        <f t="shared" si="15"/>
        <v/>
      </c>
      <c r="P173" s="141" t="str">
        <f>IFERROR(1-SUMIF(WTG_BD!$F:$F,$A173,WTG_BD!$AA:$AA)/($AA173+SUMIF(WTG_BD!$F:$F,$A173,WTG_BD!$AA:$AA)),"")</f>
        <v/>
      </c>
      <c r="Q173" s="141" t="str">
        <f>IFERROR(1-SUMIF(IGA_BD!$F:$F,$A173,IGA_BD!$W:$W)/($AA173+SUMIF(IGA_BD!$F:$F,$A173,IGA_BD!$W:$W)),"")</f>
        <v/>
      </c>
      <c r="R173" s="141" t="str">
        <f>IFERROR(1-SUMIF(Grid_BD!$F:$F,$A173,Grid_BD!$Y:$Y)/($AA173+SUMIF(Grid_BD!$F:$F,$A173,Grid_BD!$Y:$Y)),"")</f>
        <v/>
      </c>
      <c r="S173" s="108"/>
      <c r="T173" s="140"/>
      <c r="U173" s="141"/>
      <c r="V173" s="108"/>
      <c r="W173" s="142" t="str">
        <f t="shared" si="16"/>
        <v/>
      </c>
      <c r="X173" s="108" t="str">
        <f>IFERROR(_xlfn.XLOOKUP($A173,Input_Raw!$A:$A,Input_Raw!$CP:$CP)*1000,"")</f>
        <v/>
      </c>
      <c r="Y173" s="108" t="str">
        <f>IFERROR(_xlfn.XLOOKUP($A173,Input_Raw!$A:$A,Input_Raw!DJ:DJ)*1000,"")</f>
        <v/>
      </c>
      <c r="Z173" s="108" t="str">
        <f>IFERROR(_xlfn.XLOOKUP($A173,Input_Raw!$A:$A,Input_Raw!DK:DK)*1000,"")</f>
        <v/>
      </c>
      <c r="AA173" s="138" t="str">
        <f t="shared" si="17"/>
        <v/>
      </c>
      <c r="AB173" s="108" t="str">
        <f>IFERROR(_xlfn.XLOOKUP($A173,Input_Raw!$A:$A,Input_Raw!$DR:$DR),"")</f>
        <v/>
      </c>
      <c r="AC173" s="143">
        <f>IFERROR(_xlfn.XLOOKUP($D173,'Modelling New'!$D:$D,'Modelling New'!$J:$J),"")</f>
        <v>5.56</v>
      </c>
      <c r="AD173" s="138">
        <f>IFERROR(_xlfn.XLOOKUP($D173,'Modelling New'!$D:$D,'Modelling New'!$T:$T)*1000,"")</f>
        <v>373388.45693317999</v>
      </c>
      <c r="AE173" s="142"/>
      <c r="AF173" s="142">
        <f>IFERROR(_xlfn.XLOOKUP($D173,'Modelling New'!$D:$D,'Modelling New'!$W:$W),"")</f>
        <v>0.22099222119624762</v>
      </c>
      <c r="AG173" s="142">
        <f>IFERROR(_xlfn.XLOOKUP($D173,'Modelling New'!$D:$D,'Modelling New'!$AE:$AE),"")</f>
        <v>0.96029999999999993</v>
      </c>
      <c r="AH173" s="142">
        <f>IFERROR(_xlfn.XLOOKUP($D173,'Modelling New'!$D:$D,'Modelling New'!$AF:$AF),"")</f>
        <v>0.995</v>
      </c>
      <c r="AI173" s="109" t="str">
        <f>IFERROR(_xlfn.XLOOKUP($A173,Input_Raw!$A:$A,Input_Raw!$DP:$DP),"")</f>
        <v/>
      </c>
      <c r="AJ173" s="108"/>
      <c r="AK173" s="108"/>
      <c r="AL173" s="108"/>
      <c r="AM173" s="108"/>
      <c r="AN173" s="132" t="str">
        <f>IFERROR(_xlfn.XLOOKUP($A173,Input_Raw!$A:$A,Input_Raw!$DL:$DL),"")</f>
        <v/>
      </c>
      <c r="AO173" s="142" t="str">
        <f>IFERROR((_xlfn.XLOOKUP($A173,'WTG Reactive Power'!$A:$A,'WTG Reactive Power'!$AW:$AW))/X173,"")</f>
        <v/>
      </c>
      <c r="AP173" s="142">
        <f>IFERROR(_xlfn.XLOOKUP($D173,'Modelling New'!$D:$D,'Modelling New'!$AK:$AK),"")</f>
        <v>0.05</v>
      </c>
      <c r="AQ173" s="142">
        <f>IFERROR(_xlfn.XLOOKUP($D173,'Modelling New'!$D:$D,'Modelling New'!$AL:$AL),"")</f>
        <v>0.05</v>
      </c>
      <c r="AR173" s="198">
        <f>IFERROR(_xlfn.XLOOKUP($D173,'Modelling New'!$D:$D,'Modelling New'!$N:$N),"")</f>
        <v>70.400000000000006</v>
      </c>
      <c r="AS173" s="198"/>
    </row>
    <row r="174" spans="1:45">
      <c r="A174" s="137">
        <f t="shared" si="18"/>
        <v>45917</v>
      </c>
      <c r="B174" s="138">
        <f>YEAR(Daily_KPI[[#This Row],[Date]])+IF(MONTH(Daily_KPI[[#This Row],[Date]])&gt;=4,1,0)</f>
        <v>2026</v>
      </c>
      <c r="C174" s="108">
        <f>YEAR(Daily_KPI[[#This Row],[Date]])</f>
        <v>2025</v>
      </c>
      <c r="D174" s="139">
        <f>Daily_KPI[[#This Row],[Date]]-DAY(Daily_KPI[[#This Row],[Date]])+1</f>
        <v>45901</v>
      </c>
      <c r="E174" s="108">
        <f t="shared" si="14"/>
        <v>30</v>
      </c>
      <c r="F174" s="109"/>
      <c r="G174" s="143"/>
      <c r="H174" s="143"/>
      <c r="I174" s="143"/>
      <c r="J174" s="143"/>
      <c r="K174" s="111"/>
      <c r="L174" s="110"/>
      <c r="M174" s="110" t="str">
        <f>IFERROR(_xlfn.XLOOKUP($A174,Input_Raw!$A:$A,Input_Raw!$CQ:$CQ),"")</f>
        <v/>
      </c>
      <c r="N174" s="110" t="str">
        <f>IFERROR(_xlfn.XLOOKUP($A174,Input_Raw!$A:$A,Input_Raw!$CR:$CR),"")</f>
        <v/>
      </c>
      <c r="O174" s="141" t="str">
        <f t="shared" si="15"/>
        <v/>
      </c>
      <c r="P174" s="141" t="str">
        <f>IFERROR(1-SUMIF(WTG_BD!$F:$F,$A174,WTG_BD!$AA:$AA)/($AA174+SUMIF(WTG_BD!$F:$F,$A174,WTG_BD!$AA:$AA)),"")</f>
        <v/>
      </c>
      <c r="Q174" s="141" t="str">
        <f>IFERROR(1-SUMIF(IGA_BD!$F:$F,$A174,IGA_BD!$W:$W)/($AA174+SUMIF(IGA_BD!$F:$F,$A174,IGA_BD!$W:$W)),"")</f>
        <v/>
      </c>
      <c r="R174" s="141" t="str">
        <f>IFERROR(1-SUMIF(Grid_BD!$F:$F,$A174,Grid_BD!$Y:$Y)/($AA174+SUMIF(Grid_BD!$F:$F,$A174,Grid_BD!$Y:$Y)),"")</f>
        <v/>
      </c>
      <c r="S174" s="108"/>
      <c r="T174" s="140"/>
      <c r="U174" s="141"/>
      <c r="V174" s="108"/>
      <c r="W174" s="142" t="str">
        <f t="shared" si="16"/>
        <v/>
      </c>
      <c r="X174" s="108" t="str">
        <f>IFERROR(_xlfn.XLOOKUP($A174,Input_Raw!$A:$A,Input_Raw!$CP:$CP)*1000,"")</f>
        <v/>
      </c>
      <c r="Y174" s="108" t="str">
        <f>IFERROR(_xlfn.XLOOKUP($A174,Input_Raw!$A:$A,Input_Raw!DJ:DJ)*1000,"")</f>
        <v/>
      </c>
      <c r="Z174" s="108" t="str">
        <f>IFERROR(_xlfn.XLOOKUP($A174,Input_Raw!$A:$A,Input_Raw!DK:DK)*1000,"")</f>
        <v/>
      </c>
      <c r="AA174" s="138" t="str">
        <f t="shared" si="17"/>
        <v/>
      </c>
      <c r="AB174" s="108" t="str">
        <f>IFERROR(_xlfn.XLOOKUP($A174,Input_Raw!$A:$A,Input_Raw!$DR:$DR),"")</f>
        <v/>
      </c>
      <c r="AC174" s="143">
        <f>IFERROR(_xlfn.XLOOKUP($D174,'Modelling New'!$D:$D,'Modelling New'!$J:$J),"")</f>
        <v>5.56</v>
      </c>
      <c r="AD174" s="138">
        <f>IFERROR(_xlfn.XLOOKUP($D174,'Modelling New'!$D:$D,'Modelling New'!$T:$T)*1000,"")</f>
        <v>373388.45693317999</v>
      </c>
      <c r="AE174" s="142"/>
      <c r="AF174" s="142">
        <f>IFERROR(_xlfn.XLOOKUP($D174,'Modelling New'!$D:$D,'Modelling New'!$W:$W),"")</f>
        <v>0.22099222119624762</v>
      </c>
      <c r="AG174" s="142">
        <f>IFERROR(_xlfn.XLOOKUP($D174,'Modelling New'!$D:$D,'Modelling New'!$AE:$AE),"")</f>
        <v>0.96029999999999993</v>
      </c>
      <c r="AH174" s="142">
        <f>IFERROR(_xlfn.XLOOKUP($D174,'Modelling New'!$D:$D,'Modelling New'!$AF:$AF),"")</f>
        <v>0.995</v>
      </c>
      <c r="AI174" s="109" t="str">
        <f>IFERROR(_xlfn.XLOOKUP($A174,Input_Raw!$A:$A,Input_Raw!$DP:$DP),"")</f>
        <v/>
      </c>
      <c r="AJ174" s="108"/>
      <c r="AK174" s="108"/>
      <c r="AL174" s="108"/>
      <c r="AM174" s="108"/>
      <c r="AN174" s="132" t="str">
        <f>IFERROR(_xlfn.XLOOKUP($A174,Input_Raw!$A:$A,Input_Raw!$DL:$DL),"")</f>
        <v/>
      </c>
      <c r="AO174" s="142" t="str">
        <f>IFERROR((_xlfn.XLOOKUP($A174,'WTG Reactive Power'!$A:$A,'WTG Reactive Power'!$AW:$AW))/X174,"")</f>
        <v/>
      </c>
      <c r="AP174" s="142">
        <f>IFERROR(_xlfn.XLOOKUP($D174,'Modelling New'!$D:$D,'Modelling New'!$AK:$AK),"")</f>
        <v>0.05</v>
      </c>
      <c r="AQ174" s="142">
        <f>IFERROR(_xlfn.XLOOKUP($D174,'Modelling New'!$D:$D,'Modelling New'!$AL:$AL),"")</f>
        <v>0.05</v>
      </c>
      <c r="AR174" s="198">
        <f>IFERROR(_xlfn.XLOOKUP($D174,'Modelling New'!$D:$D,'Modelling New'!$N:$N),"")</f>
        <v>70.400000000000006</v>
      </c>
      <c r="AS174" s="198"/>
    </row>
    <row r="175" spans="1:45">
      <c r="A175" s="137">
        <f t="shared" si="18"/>
        <v>45918</v>
      </c>
      <c r="B175" s="138">
        <f>YEAR(Daily_KPI[[#This Row],[Date]])+IF(MONTH(Daily_KPI[[#This Row],[Date]])&gt;=4,1,0)</f>
        <v>2026</v>
      </c>
      <c r="C175" s="108">
        <f>YEAR(Daily_KPI[[#This Row],[Date]])</f>
        <v>2025</v>
      </c>
      <c r="D175" s="139">
        <f>Daily_KPI[[#This Row],[Date]]-DAY(Daily_KPI[[#This Row],[Date]])+1</f>
        <v>45901</v>
      </c>
      <c r="E175" s="108">
        <f t="shared" si="14"/>
        <v>30</v>
      </c>
      <c r="F175" s="109"/>
      <c r="G175" s="110"/>
      <c r="H175" s="110"/>
      <c r="I175" s="110"/>
      <c r="J175" s="110"/>
      <c r="K175" s="111"/>
      <c r="L175" s="110"/>
      <c r="M175" s="110" t="str">
        <f>IFERROR(_xlfn.XLOOKUP($A175,Input_Raw!$A:$A,Input_Raw!$CQ:$CQ),"")</f>
        <v/>
      </c>
      <c r="N175" s="110" t="str">
        <f>IFERROR(_xlfn.XLOOKUP($A175,Input_Raw!$A:$A,Input_Raw!$CR:$CR),"")</f>
        <v/>
      </c>
      <c r="O175" s="141" t="str">
        <f t="shared" si="15"/>
        <v/>
      </c>
      <c r="P175" s="141" t="str">
        <f>IFERROR(1-SUMIF(WTG_BD!$F:$F,$A175,WTG_BD!$AA:$AA)/($AA175+SUMIF(WTG_BD!$F:$F,$A175,WTG_BD!$AA:$AA)),"")</f>
        <v/>
      </c>
      <c r="Q175" s="141" t="str">
        <f>IFERROR(1-SUMIF(IGA_BD!$F:$F,$A175,IGA_BD!$W:$W)/($AA175+SUMIF(IGA_BD!$F:$F,$A175,IGA_BD!$W:$W)),"")</f>
        <v/>
      </c>
      <c r="R175" s="141" t="str">
        <f>IFERROR(1-SUMIF(Grid_BD!$F:$F,$A175,Grid_BD!$Y:$Y)/($AA175+SUMIF(Grid_BD!$F:$F,$A175,Grid_BD!$Y:$Y)),"")</f>
        <v/>
      </c>
      <c r="S175" s="108"/>
      <c r="T175" s="140"/>
      <c r="U175" s="141"/>
      <c r="V175" s="108"/>
      <c r="W175" s="142" t="str">
        <f t="shared" si="16"/>
        <v/>
      </c>
      <c r="X175" s="108" t="str">
        <f>IFERROR(_xlfn.XLOOKUP($A175,Input_Raw!$A:$A,Input_Raw!$CP:$CP)*1000,"")</f>
        <v/>
      </c>
      <c r="Y175" s="108" t="str">
        <f>IFERROR(_xlfn.XLOOKUP($A175,Input_Raw!$A:$A,Input_Raw!DJ:DJ)*1000,"")</f>
        <v/>
      </c>
      <c r="Z175" s="108" t="str">
        <f>IFERROR(_xlfn.XLOOKUP($A175,Input_Raw!$A:$A,Input_Raw!DK:DK)*1000,"")</f>
        <v/>
      </c>
      <c r="AA175" s="138" t="str">
        <f t="shared" si="17"/>
        <v/>
      </c>
      <c r="AB175" s="108" t="str">
        <f>IFERROR(_xlfn.XLOOKUP($A175,Input_Raw!$A:$A,Input_Raw!$DR:$DR),"")</f>
        <v/>
      </c>
      <c r="AC175" s="143">
        <f>IFERROR(_xlfn.XLOOKUP($D175,'Modelling New'!$D:$D,'Modelling New'!$J:$J),"")</f>
        <v>5.56</v>
      </c>
      <c r="AD175" s="138">
        <f>IFERROR(_xlfn.XLOOKUP($D175,'Modelling New'!$D:$D,'Modelling New'!$T:$T)*1000,"")</f>
        <v>373388.45693317999</v>
      </c>
      <c r="AE175" s="142"/>
      <c r="AF175" s="142">
        <f>IFERROR(_xlfn.XLOOKUP($D175,'Modelling New'!$D:$D,'Modelling New'!$W:$W),"")</f>
        <v>0.22099222119624762</v>
      </c>
      <c r="AG175" s="142">
        <f>IFERROR(_xlfn.XLOOKUP($D175,'Modelling New'!$D:$D,'Modelling New'!$AE:$AE),"")</f>
        <v>0.96029999999999993</v>
      </c>
      <c r="AH175" s="142">
        <f>IFERROR(_xlfn.XLOOKUP($D175,'Modelling New'!$D:$D,'Modelling New'!$AF:$AF),"")</f>
        <v>0.995</v>
      </c>
      <c r="AI175" s="109" t="str">
        <f>IFERROR(_xlfn.XLOOKUP($A175,Input_Raw!$A:$A,Input_Raw!$DP:$DP),"")</f>
        <v/>
      </c>
      <c r="AJ175" s="108"/>
      <c r="AK175" s="108"/>
      <c r="AL175" s="108"/>
      <c r="AM175" s="108"/>
      <c r="AN175" s="132" t="str">
        <f>IFERROR(_xlfn.XLOOKUP($A175,Input_Raw!$A:$A,Input_Raw!$DL:$DL),"")</f>
        <v/>
      </c>
      <c r="AO175" s="142" t="str">
        <f>IFERROR((_xlfn.XLOOKUP($A175,'WTG Reactive Power'!$A:$A,'WTG Reactive Power'!$AW:$AW))/X175,"")</f>
        <v/>
      </c>
      <c r="AP175" s="142">
        <f>IFERROR(_xlfn.XLOOKUP($D175,'Modelling New'!$D:$D,'Modelling New'!$AK:$AK),"")</f>
        <v>0.05</v>
      </c>
      <c r="AQ175" s="142">
        <f>IFERROR(_xlfn.XLOOKUP($D175,'Modelling New'!$D:$D,'Modelling New'!$AL:$AL),"")</f>
        <v>0.05</v>
      </c>
      <c r="AR175" s="198">
        <f>IFERROR(_xlfn.XLOOKUP($D175,'Modelling New'!$D:$D,'Modelling New'!$N:$N),"")</f>
        <v>70.400000000000006</v>
      </c>
      <c r="AS175" s="198"/>
    </row>
    <row r="176" spans="1:45">
      <c r="A176" s="137">
        <f t="shared" si="18"/>
        <v>45919</v>
      </c>
      <c r="B176" s="138">
        <f>YEAR(Daily_KPI[[#This Row],[Date]])+IF(MONTH(Daily_KPI[[#This Row],[Date]])&gt;=4,1,0)</f>
        <v>2026</v>
      </c>
      <c r="C176" s="108">
        <f>YEAR(Daily_KPI[[#This Row],[Date]])</f>
        <v>2025</v>
      </c>
      <c r="D176" s="139">
        <f>Daily_KPI[[#This Row],[Date]]-DAY(Daily_KPI[[#This Row],[Date]])+1</f>
        <v>45901</v>
      </c>
      <c r="E176" s="108">
        <f t="shared" si="14"/>
        <v>30</v>
      </c>
      <c r="F176" s="109"/>
      <c r="G176" s="143"/>
      <c r="H176" s="143"/>
      <c r="I176" s="143"/>
      <c r="J176" s="143"/>
      <c r="K176" s="111"/>
      <c r="L176" s="110"/>
      <c r="M176" s="110" t="str">
        <f>IFERROR(_xlfn.XLOOKUP($A176,Input_Raw!$A:$A,Input_Raw!$CQ:$CQ),"")</f>
        <v/>
      </c>
      <c r="N176" s="110" t="str">
        <f>IFERROR(_xlfn.XLOOKUP($A176,Input_Raw!$A:$A,Input_Raw!$CR:$CR),"")</f>
        <v/>
      </c>
      <c r="O176" s="141" t="str">
        <f t="shared" si="15"/>
        <v/>
      </c>
      <c r="P176" s="141" t="str">
        <f>IFERROR(1-SUMIF(WTG_BD!$F:$F,$A176,WTG_BD!$AA:$AA)/($AA176+SUMIF(WTG_BD!$F:$F,$A176,WTG_BD!$AA:$AA)),"")</f>
        <v/>
      </c>
      <c r="Q176" s="141" t="str">
        <f>IFERROR(1-SUMIF(IGA_BD!$F:$F,$A176,IGA_BD!$W:$W)/($AA176+SUMIF(IGA_BD!$F:$F,$A176,IGA_BD!$W:$W)),"")</f>
        <v/>
      </c>
      <c r="R176" s="141" t="str">
        <f>IFERROR(1-SUMIF(Grid_BD!$F:$F,$A176,Grid_BD!$Y:$Y)/($AA176+SUMIF(Grid_BD!$F:$F,$A176,Grid_BD!$Y:$Y)),"")</f>
        <v/>
      </c>
      <c r="S176" s="108"/>
      <c r="T176" s="140"/>
      <c r="U176" s="141"/>
      <c r="V176" s="108"/>
      <c r="W176" s="142" t="str">
        <f t="shared" si="16"/>
        <v/>
      </c>
      <c r="X176" s="108" t="str">
        <f>IFERROR(_xlfn.XLOOKUP($A176,Input_Raw!$A:$A,Input_Raw!$CP:$CP)*1000,"")</f>
        <v/>
      </c>
      <c r="Y176" s="108" t="str">
        <f>IFERROR(_xlfn.XLOOKUP($A176,Input_Raw!$A:$A,Input_Raw!DJ:DJ)*1000,"")</f>
        <v/>
      </c>
      <c r="Z176" s="108" t="str">
        <f>IFERROR(_xlfn.XLOOKUP($A176,Input_Raw!$A:$A,Input_Raw!DK:DK)*1000,"")</f>
        <v/>
      </c>
      <c r="AA176" s="138" t="str">
        <f t="shared" si="17"/>
        <v/>
      </c>
      <c r="AB176" s="108" t="str">
        <f>IFERROR(_xlfn.XLOOKUP($A176,Input_Raw!$A:$A,Input_Raw!$DR:$DR),"")</f>
        <v/>
      </c>
      <c r="AC176" s="143">
        <f>IFERROR(_xlfn.XLOOKUP($D176,'Modelling New'!$D:$D,'Modelling New'!$J:$J),"")</f>
        <v>5.56</v>
      </c>
      <c r="AD176" s="138">
        <f>IFERROR(_xlfn.XLOOKUP($D176,'Modelling New'!$D:$D,'Modelling New'!$T:$T)*1000,"")</f>
        <v>373388.45693317999</v>
      </c>
      <c r="AE176" s="142"/>
      <c r="AF176" s="142">
        <f>IFERROR(_xlfn.XLOOKUP($D176,'Modelling New'!$D:$D,'Modelling New'!$W:$W),"")</f>
        <v>0.22099222119624762</v>
      </c>
      <c r="AG176" s="142">
        <f>IFERROR(_xlfn.XLOOKUP($D176,'Modelling New'!$D:$D,'Modelling New'!$AE:$AE),"")</f>
        <v>0.96029999999999993</v>
      </c>
      <c r="AH176" s="142">
        <f>IFERROR(_xlfn.XLOOKUP($D176,'Modelling New'!$D:$D,'Modelling New'!$AF:$AF),"")</f>
        <v>0.995</v>
      </c>
      <c r="AI176" s="109" t="str">
        <f>IFERROR(_xlfn.XLOOKUP($A176,Input_Raw!$A:$A,Input_Raw!$DP:$DP),"")</f>
        <v/>
      </c>
      <c r="AJ176" s="108"/>
      <c r="AK176" s="108"/>
      <c r="AL176" s="108"/>
      <c r="AM176" s="108"/>
      <c r="AN176" s="132" t="str">
        <f>IFERROR(_xlfn.XLOOKUP($A176,Input_Raw!$A:$A,Input_Raw!$DL:$DL),"")</f>
        <v/>
      </c>
      <c r="AO176" s="142" t="str">
        <f>IFERROR((_xlfn.XLOOKUP($A176,'WTG Reactive Power'!$A:$A,'WTG Reactive Power'!$AW:$AW))/X176,"")</f>
        <v/>
      </c>
      <c r="AP176" s="142">
        <f>IFERROR(_xlfn.XLOOKUP($D176,'Modelling New'!$D:$D,'Modelling New'!$AK:$AK),"")</f>
        <v>0.05</v>
      </c>
      <c r="AQ176" s="142">
        <f>IFERROR(_xlfn.XLOOKUP($D176,'Modelling New'!$D:$D,'Modelling New'!$AL:$AL),"")</f>
        <v>0.05</v>
      </c>
      <c r="AR176" s="198">
        <f>IFERROR(_xlfn.XLOOKUP($D176,'Modelling New'!$D:$D,'Modelling New'!$N:$N),"")</f>
        <v>70.400000000000006</v>
      </c>
      <c r="AS176" s="198"/>
    </row>
    <row r="177" spans="1:45">
      <c r="A177" s="137">
        <f t="shared" si="18"/>
        <v>45920</v>
      </c>
      <c r="B177" s="138">
        <f>YEAR(Daily_KPI[[#This Row],[Date]])+IF(MONTH(Daily_KPI[[#This Row],[Date]])&gt;=4,1,0)</f>
        <v>2026</v>
      </c>
      <c r="C177" s="108">
        <f>YEAR(Daily_KPI[[#This Row],[Date]])</f>
        <v>2025</v>
      </c>
      <c r="D177" s="139">
        <f>Daily_KPI[[#This Row],[Date]]-DAY(Daily_KPI[[#This Row],[Date]])+1</f>
        <v>45901</v>
      </c>
      <c r="E177" s="108">
        <f t="shared" si="14"/>
        <v>30</v>
      </c>
      <c r="F177" s="109"/>
      <c r="G177" s="110"/>
      <c r="H177" s="110"/>
      <c r="I177" s="110"/>
      <c r="J177" s="110"/>
      <c r="K177" s="111"/>
      <c r="L177" s="110"/>
      <c r="M177" s="110" t="str">
        <f>IFERROR(_xlfn.XLOOKUP($A177,Input_Raw!$A:$A,Input_Raw!$CQ:$CQ),"")</f>
        <v/>
      </c>
      <c r="N177" s="110" t="str">
        <f>IFERROR(_xlfn.XLOOKUP($A177,Input_Raw!$A:$A,Input_Raw!$CR:$CR),"")</f>
        <v/>
      </c>
      <c r="O177" s="141" t="str">
        <f t="shared" si="15"/>
        <v/>
      </c>
      <c r="P177" s="141" t="str">
        <f>IFERROR(1-SUMIF(WTG_BD!$F:$F,$A177,WTG_BD!$AA:$AA)/($AA177+SUMIF(WTG_BD!$F:$F,$A177,WTG_BD!$AA:$AA)),"")</f>
        <v/>
      </c>
      <c r="Q177" s="141" t="str">
        <f>IFERROR(1-SUMIF(IGA_BD!$F:$F,$A177,IGA_BD!$W:$W)/($AA177+SUMIF(IGA_BD!$F:$F,$A177,IGA_BD!$W:$W)),"")</f>
        <v/>
      </c>
      <c r="R177" s="141" t="str">
        <f>IFERROR(1-SUMIF(Grid_BD!$F:$F,$A177,Grid_BD!$Y:$Y)/($AA177+SUMIF(Grid_BD!$F:$F,$A177,Grid_BD!$Y:$Y)),"")</f>
        <v/>
      </c>
      <c r="S177" s="108"/>
      <c r="T177" s="140"/>
      <c r="U177" s="141"/>
      <c r="V177" s="108"/>
      <c r="W177" s="142" t="str">
        <f t="shared" si="16"/>
        <v/>
      </c>
      <c r="X177" s="108" t="str">
        <f>IFERROR(_xlfn.XLOOKUP($A177,Input_Raw!$A:$A,Input_Raw!$CP:$CP)*1000,"")</f>
        <v/>
      </c>
      <c r="Y177" s="108" t="str">
        <f>IFERROR(_xlfn.XLOOKUP($A177,Input_Raw!$A:$A,Input_Raw!DJ:DJ)*1000,"")</f>
        <v/>
      </c>
      <c r="Z177" s="108" t="str">
        <f>IFERROR(_xlfn.XLOOKUP($A177,Input_Raw!$A:$A,Input_Raw!DK:DK)*1000,"")</f>
        <v/>
      </c>
      <c r="AA177" s="138" t="str">
        <f t="shared" si="17"/>
        <v/>
      </c>
      <c r="AB177" s="108" t="str">
        <f>IFERROR(_xlfn.XLOOKUP($A177,Input_Raw!$A:$A,Input_Raw!$DR:$DR),"")</f>
        <v/>
      </c>
      <c r="AC177" s="143">
        <f>IFERROR(_xlfn.XLOOKUP($D177,'Modelling New'!$D:$D,'Modelling New'!$J:$J),"")</f>
        <v>5.56</v>
      </c>
      <c r="AD177" s="138">
        <f>IFERROR(_xlfn.XLOOKUP($D177,'Modelling New'!$D:$D,'Modelling New'!$T:$T)*1000,"")</f>
        <v>373388.45693317999</v>
      </c>
      <c r="AE177" s="142"/>
      <c r="AF177" s="142">
        <f>IFERROR(_xlfn.XLOOKUP($D177,'Modelling New'!$D:$D,'Modelling New'!$W:$W),"")</f>
        <v>0.22099222119624762</v>
      </c>
      <c r="AG177" s="142">
        <f>IFERROR(_xlfn.XLOOKUP($D177,'Modelling New'!$D:$D,'Modelling New'!$AE:$AE),"")</f>
        <v>0.96029999999999993</v>
      </c>
      <c r="AH177" s="142">
        <f>IFERROR(_xlfn.XLOOKUP($D177,'Modelling New'!$D:$D,'Modelling New'!$AF:$AF),"")</f>
        <v>0.995</v>
      </c>
      <c r="AI177" s="109" t="str">
        <f>IFERROR(_xlfn.XLOOKUP($A177,Input_Raw!$A:$A,Input_Raw!$DP:$DP),"")</f>
        <v/>
      </c>
      <c r="AJ177" s="108"/>
      <c r="AK177" s="108"/>
      <c r="AL177" s="108"/>
      <c r="AM177" s="108"/>
      <c r="AN177" s="132" t="str">
        <f>IFERROR(_xlfn.XLOOKUP($A177,Input_Raw!$A:$A,Input_Raw!$DL:$DL),"")</f>
        <v/>
      </c>
      <c r="AO177" s="142" t="str">
        <f>IFERROR((_xlfn.XLOOKUP($A177,'WTG Reactive Power'!$A:$A,'WTG Reactive Power'!$AW:$AW))/X177,"")</f>
        <v/>
      </c>
      <c r="AP177" s="142">
        <f>IFERROR(_xlfn.XLOOKUP($D177,'Modelling New'!$D:$D,'Modelling New'!$AK:$AK),"")</f>
        <v>0.05</v>
      </c>
      <c r="AQ177" s="142">
        <f>IFERROR(_xlfn.XLOOKUP($D177,'Modelling New'!$D:$D,'Modelling New'!$AL:$AL),"")</f>
        <v>0.05</v>
      </c>
      <c r="AR177" s="198">
        <f>IFERROR(_xlfn.XLOOKUP($D177,'Modelling New'!$D:$D,'Modelling New'!$N:$N),"")</f>
        <v>70.400000000000006</v>
      </c>
      <c r="AS177" s="198"/>
    </row>
    <row r="178" spans="1:45">
      <c r="A178" s="137">
        <f t="shared" si="18"/>
        <v>45921</v>
      </c>
      <c r="B178" s="138">
        <f>YEAR(Daily_KPI[[#This Row],[Date]])+IF(MONTH(Daily_KPI[[#This Row],[Date]])&gt;=4,1,0)</f>
        <v>2026</v>
      </c>
      <c r="C178" s="108">
        <f>YEAR(Daily_KPI[[#This Row],[Date]])</f>
        <v>2025</v>
      </c>
      <c r="D178" s="139">
        <f>Daily_KPI[[#This Row],[Date]]-DAY(Daily_KPI[[#This Row],[Date]])+1</f>
        <v>45901</v>
      </c>
      <c r="E178" s="108">
        <f t="shared" si="14"/>
        <v>30</v>
      </c>
      <c r="F178" s="109"/>
      <c r="G178" s="143"/>
      <c r="H178" s="143"/>
      <c r="I178" s="143"/>
      <c r="J178" s="143"/>
      <c r="K178" s="111"/>
      <c r="L178" s="110"/>
      <c r="M178" s="110" t="str">
        <f>IFERROR(_xlfn.XLOOKUP($A178,Input_Raw!$A:$A,Input_Raw!$CQ:$CQ),"")</f>
        <v/>
      </c>
      <c r="N178" s="110" t="str">
        <f>IFERROR(_xlfn.XLOOKUP($A178,Input_Raw!$A:$A,Input_Raw!$CR:$CR),"")</f>
        <v/>
      </c>
      <c r="O178" s="141" t="str">
        <f t="shared" si="15"/>
        <v/>
      </c>
      <c r="P178" s="141" t="str">
        <f>IFERROR(1-SUMIF(WTG_BD!$F:$F,$A178,WTG_BD!$AA:$AA)/($AA178+SUMIF(WTG_BD!$F:$F,$A178,WTG_BD!$AA:$AA)),"")</f>
        <v/>
      </c>
      <c r="Q178" s="141" t="str">
        <f>IFERROR(1-SUMIF(IGA_BD!$F:$F,$A178,IGA_BD!$W:$W)/($AA178+SUMIF(IGA_BD!$F:$F,$A178,IGA_BD!$W:$W)),"")</f>
        <v/>
      </c>
      <c r="R178" s="141" t="str">
        <f>IFERROR(1-SUMIF(Grid_BD!$F:$F,$A178,Grid_BD!$Y:$Y)/($AA178+SUMIF(Grid_BD!$F:$F,$A178,Grid_BD!$Y:$Y)),"")</f>
        <v/>
      </c>
      <c r="S178" s="108"/>
      <c r="T178" s="140"/>
      <c r="U178" s="141"/>
      <c r="V178" s="108"/>
      <c r="W178" s="142" t="str">
        <f t="shared" si="16"/>
        <v/>
      </c>
      <c r="X178" s="108" t="str">
        <f>IFERROR(_xlfn.XLOOKUP($A178,Input_Raw!$A:$A,Input_Raw!$CP:$CP)*1000,"")</f>
        <v/>
      </c>
      <c r="Y178" s="108" t="str">
        <f>IFERROR(_xlfn.XLOOKUP($A178,Input_Raw!$A:$A,Input_Raw!DJ:DJ)*1000,"")</f>
        <v/>
      </c>
      <c r="Z178" s="108" t="str">
        <f>IFERROR(_xlfn.XLOOKUP($A178,Input_Raw!$A:$A,Input_Raw!DK:DK)*1000,"")</f>
        <v/>
      </c>
      <c r="AA178" s="138" t="str">
        <f t="shared" si="17"/>
        <v/>
      </c>
      <c r="AB178" s="108" t="str">
        <f>IFERROR(_xlfn.XLOOKUP($A178,Input_Raw!$A:$A,Input_Raw!$DR:$DR),"")</f>
        <v/>
      </c>
      <c r="AC178" s="143">
        <f>IFERROR(_xlfn.XLOOKUP($D178,'Modelling New'!$D:$D,'Modelling New'!$J:$J),"")</f>
        <v>5.56</v>
      </c>
      <c r="AD178" s="138">
        <f>IFERROR(_xlfn.XLOOKUP($D178,'Modelling New'!$D:$D,'Modelling New'!$T:$T)*1000,"")</f>
        <v>373388.45693317999</v>
      </c>
      <c r="AE178" s="142"/>
      <c r="AF178" s="142">
        <f>IFERROR(_xlfn.XLOOKUP($D178,'Modelling New'!$D:$D,'Modelling New'!$W:$W),"")</f>
        <v>0.22099222119624762</v>
      </c>
      <c r="AG178" s="142">
        <f>IFERROR(_xlfn.XLOOKUP($D178,'Modelling New'!$D:$D,'Modelling New'!$AE:$AE),"")</f>
        <v>0.96029999999999993</v>
      </c>
      <c r="AH178" s="142">
        <f>IFERROR(_xlfn.XLOOKUP($D178,'Modelling New'!$D:$D,'Modelling New'!$AF:$AF),"")</f>
        <v>0.995</v>
      </c>
      <c r="AI178" s="109" t="str">
        <f>IFERROR(_xlfn.XLOOKUP($A178,Input_Raw!$A:$A,Input_Raw!$DP:$DP),"")</f>
        <v/>
      </c>
      <c r="AJ178" s="108"/>
      <c r="AK178" s="108"/>
      <c r="AL178" s="108"/>
      <c r="AM178" s="108"/>
      <c r="AN178" s="132" t="str">
        <f>IFERROR(_xlfn.XLOOKUP($A178,Input_Raw!$A:$A,Input_Raw!$DL:$DL),"")</f>
        <v/>
      </c>
      <c r="AO178" s="142" t="str">
        <f>IFERROR((_xlfn.XLOOKUP($A178,'WTG Reactive Power'!$A:$A,'WTG Reactive Power'!$AW:$AW))/X178,"")</f>
        <v/>
      </c>
      <c r="AP178" s="142">
        <f>IFERROR(_xlfn.XLOOKUP($D178,'Modelling New'!$D:$D,'Modelling New'!$AK:$AK),"")</f>
        <v>0.05</v>
      </c>
      <c r="AQ178" s="142">
        <f>IFERROR(_xlfn.XLOOKUP($D178,'Modelling New'!$D:$D,'Modelling New'!$AL:$AL),"")</f>
        <v>0.05</v>
      </c>
      <c r="AR178" s="198">
        <f>IFERROR(_xlfn.XLOOKUP($D178,'Modelling New'!$D:$D,'Modelling New'!$N:$N),"")</f>
        <v>70.400000000000006</v>
      </c>
      <c r="AS178" s="198"/>
    </row>
    <row r="179" spans="1:45">
      <c r="A179" s="137">
        <f t="shared" si="18"/>
        <v>45922</v>
      </c>
      <c r="B179" s="138">
        <f>YEAR(Daily_KPI[[#This Row],[Date]])+IF(MONTH(Daily_KPI[[#This Row],[Date]])&gt;=4,1,0)</f>
        <v>2026</v>
      </c>
      <c r="C179" s="108">
        <f>YEAR(Daily_KPI[[#This Row],[Date]])</f>
        <v>2025</v>
      </c>
      <c r="D179" s="139">
        <f>Daily_KPI[[#This Row],[Date]]-DAY(Daily_KPI[[#This Row],[Date]])+1</f>
        <v>45901</v>
      </c>
      <c r="E179" s="108">
        <f t="shared" si="14"/>
        <v>30</v>
      </c>
      <c r="F179" s="109"/>
      <c r="G179" s="110"/>
      <c r="H179" s="110"/>
      <c r="I179" s="110"/>
      <c r="J179" s="110"/>
      <c r="K179" s="111"/>
      <c r="L179" s="110"/>
      <c r="M179" s="110" t="str">
        <f>IFERROR(_xlfn.XLOOKUP($A179,Input_Raw!$A:$A,Input_Raw!$CQ:$CQ),"")</f>
        <v/>
      </c>
      <c r="N179" s="110" t="str">
        <f>IFERROR(_xlfn.XLOOKUP($A179,Input_Raw!$A:$A,Input_Raw!$CR:$CR),"")</f>
        <v/>
      </c>
      <c r="O179" s="141" t="str">
        <f t="shared" si="15"/>
        <v/>
      </c>
      <c r="P179" s="141" t="str">
        <f>IFERROR(1-SUMIF(WTG_BD!$F:$F,$A179,WTG_BD!$AA:$AA)/($AA179+SUMIF(WTG_BD!$F:$F,$A179,WTG_BD!$AA:$AA)),"")</f>
        <v/>
      </c>
      <c r="Q179" s="141" t="str">
        <f>IFERROR(1-SUMIF(IGA_BD!$F:$F,$A179,IGA_BD!$W:$W)/($AA179+SUMIF(IGA_BD!$F:$F,$A179,IGA_BD!$W:$W)),"")</f>
        <v/>
      </c>
      <c r="R179" s="141" t="str">
        <f>IFERROR(1-SUMIF(Grid_BD!$F:$F,$A179,Grid_BD!$Y:$Y)/($AA179+SUMIF(Grid_BD!$F:$F,$A179,Grid_BD!$Y:$Y)),"")</f>
        <v/>
      </c>
      <c r="S179" s="108"/>
      <c r="T179" s="140"/>
      <c r="U179" s="141"/>
      <c r="V179" s="108"/>
      <c r="W179" s="142" t="str">
        <f t="shared" si="16"/>
        <v/>
      </c>
      <c r="X179" s="108" t="str">
        <f>IFERROR(_xlfn.XLOOKUP($A179,Input_Raw!$A:$A,Input_Raw!$CP:$CP)*1000,"")</f>
        <v/>
      </c>
      <c r="Y179" s="108" t="str">
        <f>IFERROR(_xlfn.XLOOKUP($A179,Input_Raw!$A:$A,Input_Raw!DJ:DJ)*1000,"")</f>
        <v/>
      </c>
      <c r="Z179" s="108" t="str">
        <f>IFERROR(_xlfn.XLOOKUP($A179,Input_Raw!$A:$A,Input_Raw!DK:DK)*1000,"")</f>
        <v/>
      </c>
      <c r="AA179" s="138" t="str">
        <f t="shared" si="17"/>
        <v/>
      </c>
      <c r="AB179" s="108" t="str">
        <f>IFERROR(_xlfn.XLOOKUP($A179,Input_Raw!$A:$A,Input_Raw!$DR:$DR),"")</f>
        <v/>
      </c>
      <c r="AC179" s="143">
        <f>IFERROR(_xlfn.XLOOKUP($D179,'Modelling New'!$D:$D,'Modelling New'!$J:$J),"")</f>
        <v>5.56</v>
      </c>
      <c r="AD179" s="138">
        <f>IFERROR(_xlfn.XLOOKUP($D179,'Modelling New'!$D:$D,'Modelling New'!$T:$T)*1000,"")</f>
        <v>373388.45693317999</v>
      </c>
      <c r="AE179" s="142"/>
      <c r="AF179" s="142">
        <f>IFERROR(_xlfn.XLOOKUP($D179,'Modelling New'!$D:$D,'Modelling New'!$W:$W),"")</f>
        <v>0.22099222119624762</v>
      </c>
      <c r="AG179" s="142">
        <f>IFERROR(_xlfn.XLOOKUP($D179,'Modelling New'!$D:$D,'Modelling New'!$AE:$AE),"")</f>
        <v>0.96029999999999993</v>
      </c>
      <c r="AH179" s="142">
        <f>IFERROR(_xlfn.XLOOKUP($D179,'Modelling New'!$D:$D,'Modelling New'!$AF:$AF),"")</f>
        <v>0.995</v>
      </c>
      <c r="AI179" s="109" t="str">
        <f>IFERROR(_xlfn.XLOOKUP($A179,Input_Raw!$A:$A,Input_Raw!$DP:$DP),"")</f>
        <v/>
      </c>
      <c r="AJ179" s="108"/>
      <c r="AK179" s="108"/>
      <c r="AL179" s="108"/>
      <c r="AM179" s="108"/>
      <c r="AN179" s="132" t="str">
        <f>IFERROR(_xlfn.XLOOKUP($A179,Input_Raw!$A:$A,Input_Raw!$DL:$DL),"")</f>
        <v/>
      </c>
      <c r="AO179" s="142" t="str">
        <f>IFERROR((_xlfn.XLOOKUP($A179,'WTG Reactive Power'!$A:$A,'WTG Reactive Power'!$AW:$AW))/X179,"")</f>
        <v/>
      </c>
      <c r="AP179" s="142">
        <f>IFERROR(_xlfn.XLOOKUP($D179,'Modelling New'!$D:$D,'Modelling New'!$AK:$AK),"")</f>
        <v>0.05</v>
      </c>
      <c r="AQ179" s="142">
        <f>IFERROR(_xlfn.XLOOKUP($D179,'Modelling New'!$D:$D,'Modelling New'!$AL:$AL),"")</f>
        <v>0.05</v>
      </c>
      <c r="AR179" s="198">
        <f>IFERROR(_xlfn.XLOOKUP($D179,'Modelling New'!$D:$D,'Modelling New'!$N:$N),"")</f>
        <v>70.400000000000006</v>
      </c>
      <c r="AS179" s="198"/>
    </row>
    <row r="180" spans="1:45">
      <c r="A180" s="137">
        <f t="shared" si="18"/>
        <v>45923</v>
      </c>
      <c r="B180" s="138">
        <f>YEAR(Daily_KPI[[#This Row],[Date]])+IF(MONTH(Daily_KPI[[#This Row],[Date]])&gt;=4,1,0)</f>
        <v>2026</v>
      </c>
      <c r="C180" s="108">
        <f>YEAR(Daily_KPI[[#This Row],[Date]])</f>
        <v>2025</v>
      </c>
      <c r="D180" s="139">
        <f>Daily_KPI[[#This Row],[Date]]-DAY(Daily_KPI[[#This Row],[Date]])+1</f>
        <v>45901</v>
      </c>
      <c r="E180" s="108">
        <f t="shared" si="14"/>
        <v>30</v>
      </c>
      <c r="F180" s="109"/>
      <c r="G180" s="143"/>
      <c r="H180" s="143"/>
      <c r="I180" s="143"/>
      <c r="J180" s="143"/>
      <c r="K180" s="111"/>
      <c r="L180" s="110"/>
      <c r="M180" s="110" t="str">
        <f>IFERROR(_xlfn.XLOOKUP($A180,Input_Raw!$A:$A,Input_Raw!$CQ:$CQ),"")</f>
        <v/>
      </c>
      <c r="N180" s="110" t="str">
        <f>IFERROR(_xlfn.XLOOKUP($A180,Input_Raw!$A:$A,Input_Raw!$CR:$CR),"")</f>
        <v/>
      </c>
      <c r="O180" s="141" t="str">
        <f t="shared" si="15"/>
        <v/>
      </c>
      <c r="P180" s="141" t="str">
        <f>IFERROR(1-SUMIF(WTG_BD!$F:$F,$A180,WTG_BD!$AA:$AA)/($AA180+SUMIF(WTG_BD!$F:$F,$A180,WTG_BD!$AA:$AA)),"")</f>
        <v/>
      </c>
      <c r="Q180" s="141" t="str">
        <f>IFERROR(1-SUMIF(IGA_BD!$F:$F,$A180,IGA_BD!$W:$W)/($AA180+SUMIF(IGA_BD!$F:$F,$A180,IGA_BD!$W:$W)),"")</f>
        <v/>
      </c>
      <c r="R180" s="141" t="str">
        <f>IFERROR(1-SUMIF(Grid_BD!$F:$F,$A180,Grid_BD!$Y:$Y)/($AA180+SUMIF(Grid_BD!$F:$F,$A180,Grid_BD!$Y:$Y)),"")</f>
        <v/>
      </c>
      <c r="S180" s="108"/>
      <c r="T180" s="140"/>
      <c r="U180" s="141"/>
      <c r="V180" s="108"/>
      <c r="W180" s="142" t="str">
        <f t="shared" si="16"/>
        <v/>
      </c>
      <c r="X180" s="108" t="str">
        <f>IFERROR(_xlfn.XLOOKUP($A180,Input_Raw!$A:$A,Input_Raw!$CP:$CP)*1000,"")</f>
        <v/>
      </c>
      <c r="Y180" s="108" t="str">
        <f>IFERROR(_xlfn.XLOOKUP($A180,Input_Raw!$A:$A,Input_Raw!DJ:DJ)*1000,"")</f>
        <v/>
      </c>
      <c r="Z180" s="108" t="str">
        <f>IFERROR(_xlfn.XLOOKUP($A180,Input_Raw!$A:$A,Input_Raw!DK:DK)*1000,"")</f>
        <v/>
      </c>
      <c r="AA180" s="138" t="str">
        <f t="shared" si="17"/>
        <v/>
      </c>
      <c r="AB180" s="108" t="str">
        <f>IFERROR(_xlfn.XLOOKUP($A180,Input_Raw!$A:$A,Input_Raw!$DR:$DR),"")</f>
        <v/>
      </c>
      <c r="AC180" s="143">
        <f>IFERROR(_xlfn.XLOOKUP($D180,'Modelling New'!$D:$D,'Modelling New'!$J:$J),"")</f>
        <v>5.56</v>
      </c>
      <c r="AD180" s="138">
        <f>IFERROR(_xlfn.XLOOKUP($D180,'Modelling New'!$D:$D,'Modelling New'!$T:$T)*1000,"")</f>
        <v>373388.45693317999</v>
      </c>
      <c r="AE180" s="142"/>
      <c r="AF180" s="142">
        <f>IFERROR(_xlfn.XLOOKUP($D180,'Modelling New'!$D:$D,'Modelling New'!$W:$W),"")</f>
        <v>0.22099222119624762</v>
      </c>
      <c r="AG180" s="142">
        <f>IFERROR(_xlfn.XLOOKUP($D180,'Modelling New'!$D:$D,'Modelling New'!$AE:$AE),"")</f>
        <v>0.96029999999999993</v>
      </c>
      <c r="AH180" s="142">
        <f>IFERROR(_xlfn.XLOOKUP($D180,'Modelling New'!$D:$D,'Modelling New'!$AF:$AF),"")</f>
        <v>0.995</v>
      </c>
      <c r="AI180" s="109" t="str">
        <f>IFERROR(_xlfn.XLOOKUP($A180,Input_Raw!$A:$A,Input_Raw!$DP:$DP),"")</f>
        <v/>
      </c>
      <c r="AJ180" s="108"/>
      <c r="AK180" s="108"/>
      <c r="AL180" s="108"/>
      <c r="AM180" s="108"/>
      <c r="AN180" s="132" t="str">
        <f>IFERROR(_xlfn.XLOOKUP($A180,Input_Raw!$A:$A,Input_Raw!$DL:$DL),"")</f>
        <v/>
      </c>
      <c r="AO180" s="142" t="str">
        <f>IFERROR((_xlfn.XLOOKUP($A180,'WTG Reactive Power'!$A:$A,'WTG Reactive Power'!$AW:$AW))/X180,"")</f>
        <v/>
      </c>
      <c r="AP180" s="142">
        <f>IFERROR(_xlfn.XLOOKUP($D180,'Modelling New'!$D:$D,'Modelling New'!$AK:$AK),"")</f>
        <v>0.05</v>
      </c>
      <c r="AQ180" s="142">
        <f>IFERROR(_xlfn.XLOOKUP($D180,'Modelling New'!$D:$D,'Modelling New'!$AL:$AL),"")</f>
        <v>0.05</v>
      </c>
      <c r="AR180" s="198">
        <f>IFERROR(_xlfn.XLOOKUP($D180,'Modelling New'!$D:$D,'Modelling New'!$N:$N),"")</f>
        <v>70.400000000000006</v>
      </c>
      <c r="AS180" s="198"/>
    </row>
    <row r="181" spans="1:45">
      <c r="A181" s="137">
        <f t="shared" si="18"/>
        <v>45924</v>
      </c>
      <c r="B181" s="138">
        <f>YEAR(Daily_KPI[[#This Row],[Date]])+IF(MONTH(Daily_KPI[[#This Row],[Date]])&gt;=4,1,0)</f>
        <v>2026</v>
      </c>
      <c r="C181" s="108">
        <f>YEAR(Daily_KPI[[#This Row],[Date]])</f>
        <v>2025</v>
      </c>
      <c r="D181" s="139">
        <f>Daily_KPI[[#This Row],[Date]]-DAY(Daily_KPI[[#This Row],[Date]])+1</f>
        <v>45901</v>
      </c>
      <c r="E181" s="108">
        <f t="shared" si="14"/>
        <v>30</v>
      </c>
      <c r="F181" s="109"/>
      <c r="G181" s="110"/>
      <c r="H181" s="110"/>
      <c r="I181" s="110"/>
      <c r="J181" s="110"/>
      <c r="K181" s="111"/>
      <c r="L181" s="110"/>
      <c r="M181" s="110" t="str">
        <f>IFERROR(_xlfn.XLOOKUP($A181,Input_Raw!$A:$A,Input_Raw!$CQ:$CQ),"")</f>
        <v/>
      </c>
      <c r="N181" s="110" t="str">
        <f>IFERROR(_xlfn.XLOOKUP($A181,Input_Raw!$A:$A,Input_Raw!$CR:$CR),"")</f>
        <v/>
      </c>
      <c r="O181" s="141" t="str">
        <f t="shared" si="15"/>
        <v/>
      </c>
      <c r="P181" s="141" t="str">
        <f>IFERROR(1-SUMIF(WTG_BD!$F:$F,$A181,WTG_BD!$AA:$AA)/($AA181+SUMIF(WTG_BD!$F:$F,$A181,WTG_BD!$AA:$AA)),"")</f>
        <v/>
      </c>
      <c r="Q181" s="141" t="str">
        <f>IFERROR(1-SUMIF(IGA_BD!$F:$F,$A181,IGA_BD!$W:$W)/($AA181+SUMIF(IGA_BD!$F:$F,$A181,IGA_BD!$W:$W)),"")</f>
        <v/>
      </c>
      <c r="R181" s="141" t="str">
        <f>IFERROR(1-SUMIF(Grid_BD!$F:$F,$A181,Grid_BD!$Y:$Y)/($AA181+SUMIF(Grid_BD!$F:$F,$A181,Grid_BD!$Y:$Y)),"")</f>
        <v/>
      </c>
      <c r="S181" s="108"/>
      <c r="T181" s="140"/>
      <c r="U181" s="141"/>
      <c r="V181" s="108"/>
      <c r="W181" s="142" t="str">
        <f t="shared" si="16"/>
        <v/>
      </c>
      <c r="X181" s="108" t="str">
        <f>IFERROR(_xlfn.XLOOKUP($A181,Input_Raw!$A:$A,Input_Raw!$CP:$CP)*1000,"")</f>
        <v/>
      </c>
      <c r="Y181" s="108" t="str">
        <f>IFERROR(_xlfn.XLOOKUP($A181,Input_Raw!$A:$A,Input_Raw!DJ:DJ)*1000,"")</f>
        <v/>
      </c>
      <c r="Z181" s="108" t="str">
        <f>IFERROR(_xlfn.XLOOKUP($A181,Input_Raw!$A:$A,Input_Raw!DK:DK)*1000,"")</f>
        <v/>
      </c>
      <c r="AA181" s="138" t="str">
        <f t="shared" si="17"/>
        <v/>
      </c>
      <c r="AB181" s="108" t="str">
        <f>IFERROR(_xlfn.XLOOKUP($A181,Input_Raw!$A:$A,Input_Raw!$DR:$DR),"")</f>
        <v/>
      </c>
      <c r="AC181" s="143">
        <f>IFERROR(_xlfn.XLOOKUP($D181,'Modelling New'!$D:$D,'Modelling New'!$J:$J),"")</f>
        <v>5.56</v>
      </c>
      <c r="AD181" s="138">
        <f>IFERROR(_xlfn.XLOOKUP($D181,'Modelling New'!$D:$D,'Modelling New'!$T:$T)*1000,"")</f>
        <v>373388.45693317999</v>
      </c>
      <c r="AE181" s="142"/>
      <c r="AF181" s="142">
        <f>IFERROR(_xlfn.XLOOKUP($D181,'Modelling New'!$D:$D,'Modelling New'!$W:$W),"")</f>
        <v>0.22099222119624762</v>
      </c>
      <c r="AG181" s="142">
        <f>IFERROR(_xlfn.XLOOKUP($D181,'Modelling New'!$D:$D,'Modelling New'!$AE:$AE),"")</f>
        <v>0.96029999999999993</v>
      </c>
      <c r="AH181" s="142">
        <f>IFERROR(_xlfn.XLOOKUP($D181,'Modelling New'!$D:$D,'Modelling New'!$AF:$AF),"")</f>
        <v>0.995</v>
      </c>
      <c r="AI181" s="109" t="str">
        <f>IFERROR(_xlfn.XLOOKUP($A181,Input_Raw!$A:$A,Input_Raw!$DP:$DP),"")</f>
        <v/>
      </c>
      <c r="AJ181" s="108"/>
      <c r="AK181" s="108"/>
      <c r="AL181" s="108"/>
      <c r="AM181" s="108"/>
      <c r="AN181" s="132" t="str">
        <f>IFERROR(_xlfn.XLOOKUP($A181,Input_Raw!$A:$A,Input_Raw!$DL:$DL),"")</f>
        <v/>
      </c>
      <c r="AO181" s="142" t="str">
        <f>IFERROR((_xlfn.XLOOKUP($A181,'WTG Reactive Power'!$A:$A,'WTG Reactive Power'!$AW:$AW))/X181,"")</f>
        <v/>
      </c>
      <c r="AP181" s="142">
        <f>IFERROR(_xlfn.XLOOKUP($D181,'Modelling New'!$D:$D,'Modelling New'!$AK:$AK),"")</f>
        <v>0.05</v>
      </c>
      <c r="AQ181" s="142">
        <f>IFERROR(_xlfn.XLOOKUP($D181,'Modelling New'!$D:$D,'Modelling New'!$AL:$AL),"")</f>
        <v>0.05</v>
      </c>
      <c r="AR181" s="198">
        <f>IFERROR(_xlfn.XLOOKUP($D181,'Modelling New'!$D:$D,'Modelling New'!$N:$N),"")</f>
        <v>70.400000000000006</v>
      </c>
      <c r="AS181" s="198"/>
    </row>
    <row r="182" spans="1:45">
      <c r="A182" s="137">
        <f t="shared" si="18"/>
        <v>45925</v>
      </c>
      <c r="B182" s="138">
        <f>YEAR(Daily_KPI[[#This Row],[Date]])+IF(MONTH(Daily_KPI[[#This Row],[Date]])&gt;=4,1,0)</f>
        <v>2026</v>
      </c>
      <c r="C182" s="108">
        <f>YEAR(Daily_KPI[[#This Row],[Date]])</f>
        <v>2025</v>
      </c>
      <c r="D182" s="139">
        <f>Daily_KPI[[#This Row],[Date]]-DAY(Daily_KPI[[#This Row],[Date]])+1</f>
        <v>45901</v>
      </c>
      <c r="E182" s="108">
        <f t="shared" si="14"/>
        <v>30</v>
      </c>
      <c r="F182" s="109"/>
      <c r="G182" s="143"/>
      <c r="H182" s="143"/>
      <c r="I182" s="143"/>
      <c r="J182" s="143"/>
      <c r="K182" s="111"/>
      <c r="L182" s="110"/>
      <c r="M182" s="110" t="str">
        <f>IFERROR(_xlfn.XLOOKUP($A182,Input_Raw!$A:$A,Input_Raw!$CQ:$CQ),"")</f>
        <v/>
      </c>
      <c r="N182" s="110" t="str">
        <f>IFERROR(_xlfn.XLOOKUP($A182,Input_Raw!$A:$A,Input_Raw!$CR:$CR),"")</f>
        <v/>
      </c>
      <c r="O182" s="141" t="str">
        <f t="shared" si="15"/>
        <v/>
      </c>
      <c r="P182" s="141" t="str">
        <f>IFERROR(1-SUMIF(WTG_BD!$F:$F,$A182,WTG_BD!$AA:$AA)/($AA182+SUMIF(WTG_BD!$F:$F,$A182,WTG_BD!$AA:$AA)),"")</f>
        <v/>
      </c>
      <c r="Q182" s="141" t="str">
        <f>IFERROR(1-SUMIF(IGA_BD!$F:$F,$A182,IGA_BD!$W:$W)/($AA182+SUMIF(IGA_BD!$F:$F,$A182,IGA_BD!$W:$W)),"")</f>
        <v/>
      </c>
      <c r="R182" s="141" t="str">
        <f>IFERROR(1-SUMIF(Grid_BD!$F:$F,$A182,Grid_BD!$Y:$Y)/($AA182+SUMIF(Grid_BD!$F:$F,$A182,Grid_BD!$Y:$Y)),"")</f>
        <v/>
      </c>
      <c r="S182" s="108"/>
      <c r="T182" s="140"/>
      <c r="U182" s="141"/>
      <c r="V182" s="108"/>
      <c r="W182" s="142" t="str">
        <f t="shared" si="16"/>
        <v/>
      </c>
      <c r="X182" s="108" t="str">
        <f>IFERROR(_xlfn.XLOOKUP($A182,Input_Raw!$A:$A,Input_Raw!$CP:$CP)*1000,"")</f>
        <v/>
      </c>
      <c r="Y182" s="108" t="str">
        <f>IFERROR(_xlfn.XLOOKUP($A182,Input_Raw!$A:$A,Input_Raw!DJ:DJ)*1000,"")</f>
        <v/>
      </c>
      <c r="Z182" s="108" t="str">
        <f>IFERROR(_xlfn.XLOOKUP($A182,Input_Raw!$A:$A,Input_Raw!DK:DK)*1000,"")</f>
        <v/>
      </c>
      <c r="AA182" s="138" t="str">
        <f t="shared" si="17"/>
        <v/>
      </c>
      <c r="AB182" s="108" t="str">
        <f>IFERROR(_xlfn.XLOOKUP($A182,Input_Raw!$A:$A,Input_Raw!$DR:$DR),"")</f>
        <v/>
      </c>
      <c r="AC182" s="143">
        <f>IFERROR(_xlfn.XLOOKUP($D182,'Modelling New'!$D:$D,'Modelling New'!$J:$J),"")</f>
        <v>5.56</v>
      </c>
      <c r="AD182" s="138">
        <f>IFERROR(_xlfn.XLOOKUP($D182,'Modelling New'!$D:$D,'Modelling New'!$T:$T)*1000,"")</f>
        <v>373388.45693317999</v>
      </c>
      <c r="AE182" s="142"/>
      <c r="AF182" s="142">
        <f>IFERROR(_xlfn.XLOOKUP($D182,'Modelling New'!$D:$D,'Modelling New'!$W:$W),"")</f>
        <v>0.22099222119624762</v>
      </c>
      <c r="AG182" s="142">
        <f>IFERROR(_xlfn.XLOOKUP($D182,'Modelling New'!$D:$D,'Modelling New'!$AE:$AE),"")</f>
        <v>0.96029999999999993</v>
      </c>
      <c r="AH182" s="142">
        <f>IFERROR(_xlfn.XLOOKUP($D182,'Modelling New'!$D:$D,'Modelling New'!$AF:$AF),"")</f>
        <v>0.995</v>
      </c>
      <c r="AI182" s="109" t="str">
        <f>IFERROR(_xlfn.XLOOKUP($A182,Input_Raw!$A:$A,Input_Raw!$DP:$DP),"")</f>
        <v/>
      </c>
      <c r="AJ182" s="108"/>
      <c r="AK182" s="108"/>
      <c r="AL182" s="108"/>
      <c r="AM182" s="108"/>
      <c r="AN182" s="132" t="str">
        <f>IFERROR(_xlfn.XLOOKUP($A182,Input_Raw!$A:$A,Input_Raw!$DL:$DL),"")</f>
        <v/>
      </c>
      <c r="AO182" s="142" t="str">
        <f>IFERROR((_xlfn.XLOOKUP($A182,'WTG Reactive Power'!$A:$A,'WTG Reactive Power'!$AW:$AW))/X182,"")</f>
        <v/>
      </c>
      <c r="AP182" s="142">
        <f>IFERROR(_xlfn.XLOOKUP($D182,'Modelling New'!$D:$D,'Modelling New'!$AK:$AK),"")</f>
        <v>0.05</v>
      </c>
      <c r="AQ182" s="142">
        <f>IFERROR(_xlfn.XLOOKUP($D182,'Modelling New'!$D:$D,'Modelling New'!$AL:$AL),"")</f>
        <v>0.05</v>
      </c>
      <c r="AR182" s="198">
        <f>IFERROR(_xlfn.XLOOKUP($D182,'Modelling New'!$D:$D,'Modelling New'!$N:$N),"")</f>
        <v>70.400000000000006</v>
      </c>
      <c r="AS182" s="198"/>
    </row>
    <row r="183" spans="1:45">
      <c r="A183" s="137">
        <f t="shared" si="18"/>
        <v>45926</v>
      </c>
      <c r="B183" s="138">
        <f>YEAR(Daily_KPI[[#This Row],[Date]])+IF(MONTH(Daily_KPI[[#This Row],[Date]])&gt;=4,1,0)</f>
        <v>2026</v>
      </c>
      <c r="C183" s="108">
        <f>YEAR(Daily_KPI[[#This Row],[Date]])</f>
        <v>2025</v>
      </c>
      <c r="D183" s="139">
        <f>Daily_KPI[[#This Row],[Date]]-DAY(Daily_KPI[[#This Row],[Date]])+1</f>
        <v>45901</v>
      </c>
      <c r="E183" s="108">
        <f t="shared" si="14"/>
        <v>30</v>
      </c>
      <c r="F183" s="109"/>
      <c r="G183" s="110"/>
      <c r="H183" s="110"/>
      <c r="I183" s="110"/>
      <c r="J183" s="110"/>
      <c r="K183" s="111"/>
      <c r="L183" s="110"/>
      <c r="M183" s="110" t="str">
        <f>IFERROR(_xlfn.XLOOKUP($A183,Input_Raw!$A:$A,Input_Raw!$CQ:$CQ),"")</f>
        <v/>
      </c>
      <c r="N183" s="110" t="str">
        <f>IFERROR(_xlfn.XLOOKUP($A183,Input_Raw!$A:$A,Input_Raw!$CR:$CR),"")</f>
        <v/>
      </c>
      <c r="O183" s="141" t="str">
        <f t="shared" si="15"/>
        <v/>
      </c>
      <c r="P183" s="141" t="str">
        <f>IFERROR(1-SUMIF(WTG_BD!$F:$F,$A183,WTG_BD!$AA:$AA)/($AA183+SUMIF(WTG_BD!$F:$F,$A183,WTG_BD!$AA:$AA)),"")</f>
        <v/>
      </c>
      <c r="Q183" s="141" t="str">
        <f>IFERROR(1-SUMIF(IGA_BD!$F:$F,$A183,IGA_BD!$W:$W)/($AA183+SUMIF(IGA_BD!$F:$F,$A183,IGA_BD!$W:$W)),"")</f>
        <v/>
      </c>
      <c r="R183" s="141" t="str">
        <f>IFERROR(1-SUMIF(Grid_BD!$F:$F,$A183,Grid_BD!$Y:$Y)/($AA183+SUMIF(Grid_BD!$F:$F,$A183,Grid_BD!$Y:$Y)),"")</f>
        <v/>
      </c>
      <c r="S183" s="108"/>
      <c r="T183" s="140"/>
      <c r="U183" s="141"/>
      <c r="V183" s="108"/>
      <c r="W183" s="142" t="str">
        <f t="shared" si="16"/>
        <v/>
      </c>
      <c r="X183" s="108" t="str">
        <f>IFERROR(_xlfn.XLOOKUP($A183,Input_Raw!$A:$A,Input_Raw!$CP:$CP)*1000,"")</f>
        <v/>
      </c>
      <c r="Y183" s="108" t="str">
        <f>IFERROR(_xlfn.XLOOKUP($A183,Input_Raw!$A:$A,Input_Raw!DJ:DJ)*1000,"")</f>
        <v/>
      </c>
      <c r="Z183" s="108" t="str">
        <f>IFERROR(_xlfn.XLOOKUP($A183,Input_Raw!$A:$A,Input_Raw!DK:DK)*1000,"")</f>
        <v/>
      </c>
      <c r="AA183" s="138" t="str">
        <f t="shared" si="17"/>
        <v/>
      </c>
      <c r="AB183" s="108" t="str">
        <f>IFERROR(_xlfn.XLOOKUP($A183,Input_Raw!$A:$A,Input_Raw!$DR:$DR),"")</f>
        <v/>
      </c>
      <c r="AC183" s="143">
        <f>IFERROR(_xlfn.XLOOKUP($D183,'Modelling New'!$D:$D,'Modelling New'!$J:$J),"")</f>
        <v>5.56</v>
      </c>
      <c r="AD183" s="138">
        <f>IFERROR(_xlfn.XLOOKUP($D183,'Modelling New'!$D:$D,'Modelling New'!$T:$T)*1000,"")</f>
        <v>373388.45693317999</v>
      </c>
      <c r="AE183" s="142"/>
      <c r="AF183" s="142">
        <f>IFERROR(_xlfn.XLOOKUP($D183,'Modelling New'!$D:$D,'Modelling New'!$W:$W),"")</f>
        <v>0.22099222119624762</v>
      </c>
      <c r="AG183" s="142">
        <f>IFERROR(_xlfn.XLOOKUP($D183,'Modelling New'!$D:$D,'Modelling New'!$AE:$AE),"")</f>
        <v>0.96029999999999993</v>
      </c>
      <c r="AH183" s="142">
        <f>IFERROR(_xlfn.XLOOKUP($D183,'Modelling New'!$D:$D,'Modelling New'!$AF:$AF),"")</f>
        <v>0.995</v>
      </c>
      <c r="AI183" s="109" t="str">
        <f>IFERROR(_xlfn.XLOOKUP($A183,Input_Raw!$A:$A,Input_Raw!$DP:$DP),"")</f>
        <v/>
      </c>
      <c r="AJ183" s="108"/>
      <c r="AK183" s="108"/>
      <c r="AL183" s="108"/>
      <c r="AM183" s="108"/>
      <c r="AN183" s="132" t="str">
        <f>IFERROR(_xlfn.XLOOKUP($A183,Input_Raw!$A:$A,Input_Raw!$DL:$DL),"")</f>
        <v/>
      </c>
      <c r="AO183" s="142" t="str">
        <f>IFERROR((_xlfn.XLOOKUP($A183,'WTG Reactive Power'!$A:$A,'WTG Reactive Power'!$AW:$AW))/X183,"")</f>
        <v/>
      </c>
      <c r="AP183" s="142">
        <f>IFERROR(_xlfn.XLOOKUP($D183,'Modelling New'!$D:$D,'Modelling New'!$AK:$AK),"")</f>
        <v>0.05</v>
      </c>
      <c r="AQ183" s="142">
        <f>IFERROR(_xlfn.XLOOKUP($D183,'Modelling New'!$D:$D,'Modelling New'!$AL:$AL),"")</f>
        <v>0.05</v>
      </c>
      <c r="AR183" s="198">
        <f>IFERROR(_xlfn.XLOOKUP($D183,'Modelling New'!$D:$D,'Modelling New'!$N:$N),"")</f>
        <v>70.400000000000006</v>
      </c>
      <c r="AS183" s="198"/>
    </row>
    <row r="184" spans="1:45">
      <c r="A184" s="137">
        <f t="shared" si="18"/>
        <v>45927</v>
      </c>
      <c r="B184" s="138">
        <f>YEAR(Daily_KPI[[#This Row],[Date]])+IF(MONTH(Daily_KPI[[#This Row],[Date]])&gt;=4,1,0)</f>
        <v>2026</v>
      </c>
      <c r="C184" s="108">
        <f>YEAR(Daily_KPI[[#This Row],[Date]])</f>
        <v>2025</v>
      </c>
      <c r="D184" s="139">
        <f>Daily_KPI[[#This Row],[Date]]-DAY(Daily_KPI[[#This Row],[Date]])+1</f>
        <v>45901</v>
      </c>
      <c r="E184" s="108">
        <f t="shared" si="14"/>
        <v>30</v>
      </c>
      <c r="F184" s="109"/>
      <c r="G184" s="143"/>
      <c r="H184" s="143"/>
      <c r="I184" s="143"/>
      <c r="J184" s="143"/>
      <c r="K184" s="111"/>
      <c r="L184" s="110"/>
      <c r="M184" s="110" t="str">
        <f>IFERROR(_xlfn.XLOOKUP($A184,Input_Raw!$A:$A,Input_Raw!$CQ:$CQ),"")</f>
        <v/>
      </c>
      <c r="N184" s="110" t="str">
        <f>IFERROR(_xlfn.XLOOKUP($A184,Input_Raw!$A:$A,Input_Raw!$CR:$CR),"")</f>
        <v/>
      </c>
      <c r="O184" s="141" t="str">
        <f t="shared" si="15"/>
        <v/>
      </c>
      <c r="P184" s="141" t="str">
        <f>IFERROR(1-SUMIF(WTG_BD!$F:$F,$A184,WTG_BD!$AA:$AA)/($AA184+SUMIF(WTG_BD!$F:$F,$A184,WTG_BD!$AA:$AA)),"")</f>
        <v/>
      </c>
      <c r="Q184" s="141" t="str">
        <f>IFERROR(1-SUMIF(IGA_BD!$F:$F,$A184,IGA_BD!$W:$W)/($AA184+SUMIF(IGA_BD!$F:$F,$A184,IGA_BD!$W:$W)),"")</f>
        <v/>
      </c>
      <c r="R184" s="141" t="str">
        <f>IFERROR(1-SUMIF(Grid_BD!$F:$F,$A184,Grid_BD!$Y:$Y)/($AA184+SUMIF(Grid_BD!$F:$F,$A184,Grid_BD!$Y:$Y)),"")</f>
        <v/>
      </c>
      <c r="S184" s="108"/>
      <c r="T184" s="140"/>
      <c r="U184" s="141"/>
      <c r="V184" s="108"/>
      <c r="W184" s="142" t="str">
        <f t="shared" si="16"/>
        <v/>
      </c>
      <c r="X184" s="108" t="str">
        <f>IFERROR(_xlfn.XLOOKUP($A184,Input_Raw!$A:$A,Input_Raw!$CP:$CP)*1000,"")</f>
        <v/>
      </c>
      <c r="Y184" s="108" t="str">
        <f>IFERROR(_xlfn.XLOOKUP($A184,Input_Raw!$A:$A,Input_Raw!DJ:DJ)*1000,"")</f>
        <v/>
      </c>
      <c r="Z184" s="108" t="str">
        <f>IFERROR(_xlfn.XLOOKUP($A184,Input_Raw!$A:$A,Input_Raw!DK:DK)*1000,"")</f>
        <v/>
      </c>
      <c r="AA184" s="138" t="str">
        <f t="shared" si="17"/>
        <v/>
      </c>
      <c r="AB184" s="108" t="str">
        <f>IFERROR(_xlfn.XLOOKUP($A184,Input_Raw!$A:$A,Input_Raw!$DR:$DR),"")</f>
        <v/>
      </c>
      <c r="AC184" s="143">
        <f>IFERROR(_xlfn.XLOOKUP($D184,'Modelling New'!$D:$D,'Modelling New'!$J:$J),"")</f>
        <v>5.56</v>
      </c>
      <c r="AD184" s="138">
        <f>IFERROR(_xlfn.XLOOKUP($D184,'Modelling New'!$D:$D,'Modelling New'!$T:$T)*1000,"")</f>
        <v>373388.45693317999</v>
      </c>
      <c r="AE184" s="142"/>
      <c r="AF184" s="142">
        <f>IFERROR(_xlfn.XLOOKUP($D184,'Modelling New'!$D:$D,'Modelling New'!$W:$W),"")</f>
        <v>0.22099222119624762</v>
      </c>
      <c r="AG184" s="142">
        <f>IFERROR(_xlfn.XLOOKUP($D184,'Modelling New'!$D:$D,'Modelling New'!$AE:$AE),"")</f>
        <v>0.96029999999999993</v>
      </c>
      <c r="AH184" s="142">
        <f>IFERROR(_xlfn.XLOOKUP($D184,'Modelling New'!$D:$D,'Modelling New'!$AF:$AF),"")</f>
        <v>0.995</v>
      </c>
      <c r="AI184" s="109" t="str">
        <f>IFERROR(_xlfn.XLOOKUP($A184,Input_Raw!$A:$A,Input_Raw!$DP:$DP),"")</f>
        <v/>
      </c>
      <c r="AJ184" s="108"/>
      <c r="AK184" s="108"/>
      <c r="AL184" s="108"/>
      <c r="AM184" s="108"/>
      <c r="AN184" s="132" t="str">
        <f>IFERROR(_xlfn.XLOOKUP($A184,Input_Raw!$A:$A,Input_Raw!$DL:$DL),"")</f>
        <v/>
      </c>
      <c r="AO184" s="142" t="str">
        <f>IFERROR((_xlfn.XLOOKUP($A184,'WTG Reactive Power'!$A:$A,'WTG Reactive Power'!$AW:$AW))/X184,"")</f>
        <v/>
      </c>
      <c r="AP184" s="142">
        <f>IFERROR(_xlfn.XLOOKUP($D184,'Modelling New'!$D:$D,'Modelling New'!$AK:$AK),"")</f>
        <v>0.05</v>
      </c>
      <c r="AQ184" s="142">
        <f>IFERROR(_xlfn.XLOOKUP($D184,'Modelling New'!$D:$D,'Modelling New'!$AL:$AL),"")</f>
        <v>0.05</v>
      </c>
      <c r="AR184" s="198">
        <f>IFERROR(_xlfn.XLOOKUP($D184,'Modelling New'!$D:$D,'Modelling New'!$N:$N),"")</f>
        <v>70.400000000000006</v>
      </c>
      <c r="AS184" s="198"/>
    </row>
    <row r="185" spans="1:45">
      <c r="A185" s="137">
        <f t="shared" si="18"/>
        <v>45928</v>
      </c>
      <c r="B185" s="138">
        <f>YEAR(Daily_KPI[[#This Row],[Date]])+IF(MONTH(Daily_KPI[[#This Row],[Date]])&gt;=4,1,0)</f>
        <v>2026</v>
      </c>
      <c r="C185" s="108">
        <f>YEAR(Daily_KPI[[#This Row],[Date]])</f>
        <v>2025</v>
      </c>
      <c r="D185" s="139">
        <f>Daily_KPI[[#This Row],[Date]]-DAY(Daily_KPI[[#This Row],[Date]])+1</f>
        <v>45901</v>
      </c>
      <c r="E185" s="108">
        <f t="shared" si="14"/>
        <v>30</v>
      </c>
      <c r="F185" s="109"/>
      <c r="G185" s="110"/>
      <c r="H185" s="110"/>
      <c r="I185" s="110"/>
      <c r="J185" s="110"/>
      <c r="K185" s="111"/>
      <c r="L185" s="110"/>
      <c r="M185" s="110" t="str">
        <f>IFERROR(_xlfn.XLOOKUP($A185,Input_Raw!$A:$A,Input_Raw!$CQ:$CQ),"")</f>
        <v/>
      </c>
      <c r="N185" s="110" t="str">
        <f>IFERROR(_xlfn.XLOOKUP($A185,Input_Raw!$A:$A,Input_Raw!$CR:$CR),"")</f>
        <v/>
      </c>
      <c r="O185" s="141" t="str">
        <f t="shared" si="15"/>
        <v/>
      </c>
      <c r="P185" s="141" t="str">
        <f>IFERROR(1-SUMIF(WTG_BD!$F:$F,$A185,WTG_BD!$AA:$AA)/($AA185+SUMIF(WTG_BD!$F:$F,$A185,WTG_BD!$AA:$AA)),"")</f>
        <v/>
      </c>
      <c r="Q185" s="141" t="str">
        <f>IFERROR(1-SUMIF(IGA_BD!$F:$F,$A185,IGA_BD!$W:$W)/($AA185+SUMIF(IGA_BD!$F:$F,$A185,IGA_BD!$W:$W)),"")</f>
        <v/>
      </c>
      <c r="R185" s="141" t="str">
        <f>IFERROR(1-SUMIF(Grid_BD!$F:$F,$A185,Grid_BD!$Y:$Y)/($AA185+SUMIF(Grid_BD!$F:$F,$A185,Grid_BD!$Y:$Y)),"")</f>
        <v/>
      </c>
      <c r="S185" s="108"/>
      <c r="T185" s="140"/>
      <c r="U185" s="141"/>
      <c r="V185" s="108"/>
      <c r="W185" s="142" t="str">
        <f t="shared" si="16"/>
        <v/>
      </c>
      <c r="X185" s="108" t="str">
        <f>IFERROR(_xlfn.XLOOKUP($A185,Input_Raw!$A:$A,Input_Raw!$CP:$CP)*1000,"")</f>
        <v/>
      </c>
      <c r="Y185" s="108" t="str">
        <f>IFERROR(_xlfn.XLOOKUP($A185,Input_Raw!$A:$A,Input_Raw!DJ:DJ)*1000,"")</f>
        <v/>
      </c>
      <c r="Z185" s="108" t="str">
        <f>IFERROR(_xlfn.XLOOKUP($A185,Input_Raw!$A:$A,Input_Raw!DK:DK)*1000,"")</f>
        <v/>
      </c>
      <c r="AA185" s="138" t="str">
        <f t="shared" si="17"/>
        <v/>
      </c>
      <c r="AB185" s="108" t="str">
        <f>IFERROR(_xlfn.XLOOKUP($A185,Input_Raw!$A:$A,Input_Raw!$DR:$DR),"")</f>
        <v/>
      </c>
      <c r="AC185" s="143">
        <f>IFERROR(_xlfn.XLOOKUP($D185,'Modelling New'!$D:$D,'Modelling New'!$J:$J),"")</f>
        <v>5.56</v>
      </c>
      <c r="AD185" s="138">
        <f>IFERROR(_xlfn.XLOOKUP($D185,'Modelling New'!$D:$D,'Modelling New'!$T:$T)*1000,"")</f>
        <v>373388.45693317999</v>
      </c>
      <c r="AE185" s="142"/>
      <c r="AF185" s="142">
        <f>IFERROR(_xlfn.XLOOKUP($D185,'Modelling New'!$D:$D,'Modelling New'!$W:$W),"")</f>
        <v>0.22099222119624762</v>
      </c>
      <c r="AG185" s="142">
        <f>IFERROR(_xlfn.XLOOKUP($D185,'Modelling New'!$D:$D,'Modelling New'!$AE:$AE),"")</f>
        <v>0.96029999999999993</v>
      </c>
      <c r="AH185" s="142">
        <f>IFERROR(_xlfn.XLOOKUP($D185,'Modelling New'!$D:$D,'Modelling New'!$AF:$AF),"")</f>
        <v>0.995</v>
      </c>
      <c r="AI185" s="109" t="str">
        <f>IFERROR(_xlfn.XLOOKUP($A185,Input_Raw!$A:$A,Input_Raw!$DP:$DP),"")</f>
        <v/>
      </c>
      <c r="AJ185" s="108"/>
      <c r="AK185" s="108"/>
      <c r="AL185" s="108"/>
      <c r="AM185" s="108"/>
      <c r="AN185" s="132" t="str">
        <f>IFERROR(_xlfn.XLOOKUP($A185,Input_Raw!$A:$A,Input_Raw!$DL:$DL),"")</f>
        <v/>
      </c>
      <c r="AO185" s="142" t="str">
        <f>IFERROR((_xlfn.XLOOKUP($A185,'WTG Reactive Power'!$A:$A,'WTG Reactive Power'!$AW:$AW))/X185,"")</f>
        <v/>
      </c>
      <c r="AP185" s="142">
        <f>IFERROR(_xlfn.XLOOKUP($D185,'Modelling New'!$D:$D,'Modelling New'!$AK:$AK),"")</f>
        <v>0.05</v>
      </c>
      <c r="AQ185" s="142">
        <f>IFERROR(_xlfn.XLOOKUP($D185,'Modelling New'!$D:$D,'Modelling New'!$AL:$AL),"")</f>
        <v>0.05</v>
      </c>
      <c r="AR185" s="198">
        <f>IFERROR(_xlfn.XLOOKUP($D185,'Modelling New'!$D:$D,'Modelling New'!$N:$N),"")</f>
        <v>70.400000000000006</v>
      </c>
      <c r="AS185" s="198"/>
    </row>
    <row r="186" spans="1:45">
      <c r="A186" s="137">
        <f t="shared" si="18"/>
        <v>45929</v>
      </c>
      <c r="B186" s="138">
        <f>YEAR(Daily_KPI[[#This Row],[Date]])+IF(MONTH(Daily_KPI[[#This Row],[Date]])&gt;=4,1,0)</f>
        <v>2026</v>
      </c>
      <c r="C186" s="108">
        <f>YEAR(Daily_KPI[[#This Row],[Date]])</f>
        <v>2025</v>
      </c>
      <c r="D186" s="139">
        <f>Daily_KPI[[#This Row],[Date]]-DAY(Daily_KPI[[#This Row],[Date]])+1</f>
        <v>45901</v>
      </c>
      <c r="E186" s="108">
        <f t="shared" si="14"/>
        <v>30</v>
      </c>
      <c r="F186" s="109"/>
      <c r="G186" s="143"/>
      <c r="H186" s="143"/>
      <c r="I186" s="143"/>
      <c r="J186" s="143"/>
      <c r="K186" s="111"/>
      <c r="L186" s="110"/>
      <c r="M186" s="110" t="str">
        <f>IFERROR(_xlfn.XLOOKUP($A186,Input_Raw!$A:$A,Input_Raw!$CQ:$CQ),"")</f>
        <v/>
      </c>
      <c r="N186" s="110" t="str">
        <f>IFERROR(_xlfn.XLOOKUP($A186,Input_Raw!$A:$A,Input_Raw!$CR:$CR),"")</f>
        <v/>
      </c>
      <c r="O186" s="141" t="str">
        <f t="shared" si="15"/>
        <v/>
      </c>
      <c r="P186" s="141" t="str">
        <f>IFERROR(1-SUMIF(WTG_BD!$F:$F,$A186,WTG_BD!$AA:$AA)/($AA186+SUMIF(WTG_BD!$F:$F,$A186,WTG_BD!$AA:$AA)),"")</f>
        <v/>
      </c>
      <c r="Q186" s="141" t="str">
        <f>IFERROR(1-SUMIF(IGA_BD!$F:$F,$A186,IGA_BD!$W:$W)/($AA186+SUMIF(IGA_BD!$F:$F,$A186,IGA_BD!$W:$W)),"")</f>
        <v/>
      </c>
      <c r="R186" s="141" t="str">
        <f>IFERROR(1-SUMIF(Grid_BD!$F:$F,$A186,Grid_BD!$Y:$Y)/($AA186+SUMIF(Grid_BD!$F:$F,$A186,Grid_BD!$Y:$Y)),"")</f>
        <v/>
      </c>
      <c r="S186" s="108"/>
      <c r="T186" s="140"/>
      <c r="U186" s="141"/>
      <c r="V186" s="108"/>
      <c r="W186" s="142" t="str">
        <f t="shared" si="16"/>
        <v/>
      </c>
      <c r="X186" s="108" t="str">
        <f>IFERROR(_xlfn.XLOOKUP($A186,Input_Raw!$A:$A,Input_Raw!$CP:$CP)*1000,"")</f>
        <v/>
      </c>
      <c r="Y186" s="108" t="str">
        <f>IFERROR(_xlfn.XLOOKUP($A186,Input_Raw!$A:$A,Input_Raw!DJ:DJ)*1000,"")</f>
        <v/>
      </c>
      <c r="Z186" s="108" t="str">
        <f>IFERROR(_xlfn.XLOOKUP($A186,Input_Raw!$A:$A,Input_Raw!DK:DK)*1000,"")</f>
        <v/>
      </c>
      <c r="AA186" s="138" t="str">
        <f t="shared" si="17"/>
        <v/>
      </c>
      <c r="AB186" s="108" t="str">
        <f>IFERROR(_xlfn.XLOOKUP($A186,Input_Raw!$A:$A,Input_Raw!$DR:$DR),"")</f>
        <v/>
      </c>
      <c r="AC186" s="143">
        <f>IFERROR(_xlfn.XLOOKUP($D186,'Modelling New'!$D:$D,'Modelling New'!$J:$J),"")</f>
        <v>5.56</v>
      </c>
      <c r="AD186" s="138">
        <f>IFERROR(_xlfn.XLOOKUP($D186,'Modelling New'!$D:$D,'Modelling New'!$T:$T)*1000,"")</f>
        <v>373388.45693317999</v>
      </c>
      <c r="AE186" s="142"/>
      <c r="AF186" s="142">
        <f>IFERROR(_xlfn.XLOOKUP($D186,'Modelling New'!$D:$D,'Modelling New'!$W:$W),"")</f>
        <v>0.22099222119624762</v>
      </c>
      <c r="AG186" s="142">
        <f>IFERROR(_xlfn.XLOOKUP($D186,'Modelling New'!$D:$D,'Modelling New'!$AE:$AE),"")</f>
        <v>0.96029999999999993</v>
      </c>
      <c r="AH186" s="142">
        <f>IFERROR(_xlfn.XLOOKUP($D186,'Modelling New'!$D:$D,'Modelling New'!$AF:$AF),"")</f>
        <v>0.995</v>
      </c>
      <c r="AI186" s="109" t="str">
        <f>IFERROR(_xlfn.XLOOKUP($A186,Input_Raw!$A:$A,Input_Raw!$DP:$DP),"")</f>
        <v/>
      </c>
      <c r="AJ186" s="108"/>
      <c r="AK186" s="108"/>
      <c r="AL186" s="108"/>
      <c r="AM186" s="108"/>
      <c r="AN186" s="132" t="str">
        <f>IFERROR(_xlfn.XLOOKUP($A186,Input_Raw!$A:$A,Input_Raw!$DL:$DL),"")</f>
        <v/>
      </c>
      <c r="AO186" s="142" t="str">
        <f>IFERROR((_xlfn.XLOOKUP($A186,'WTG Reactive Power'!$A:$A,'WTG Reactive Power'!$AW:$AW))/X186,"")</f>
        <v/>
      </c>
      <c r="AP186" s="142">
        <f>IFERROR(_xlfn.XLOOKUP($D186,'Modelling New'!$D:$D,'Modelling New'!$AK:$AK),"")</f>
        <v>0.05</v>
      </c>
      <c r="AQ186" s="142">
        <f>IFERROR(_xlfn.XLOOKUP($D186,'Modelling New'!$D:$D,'Modelling New'!$AL:$AL),"")</f>
        <v>0.05</v>
      </c>
      <c r="AR186" s="198">
        <f>IFERROR(_xlfn.XLOOKUP($D186,'Modelling New'!$D:$D,'Modelling New'!$N:$N),"")</f>
        <v>70.400000000000006</v>
      </c>
      <c r="AS186" s="198"/>
    </row>
    <row r="187" spans="1:45">
      <c r="A187" s="137">
        <f t="shared" si="18"/>
        <v>45930</v>
      </c>
      <c r="B187" s="138">
        <f>YEAR(Daily_KPI[[#This Row],[Date]])+IF(MONTH(Daily_KPI[[#This Row],[Date]])&gt;=4,1,0)</f>
        <v>2026</v>
      </c>
      <c r="C187" s="108">
        <f>YEAR(Daily_KPI[[#This Row],[Date]])</f>
        <v>2025</v>
      </c>
      <c r="D187" s="139">
        <f>Daily_KPI[[#This Row],[Date]]-DAY(Daily_KPI[[#This Row],[Date]])+1</f>
        <v>45901</v>
      </c>
      <c r="E187" s="108">
        <f t="shared" si="14"/>
        <v>30</v>
      </c>
      <c r="F187" s="109"/>
      <c r="G187" s="110"/>
      <c r="H187" s="110"/>
      <c r="I187" s="110"/>
      <c r="J187" s="110"/>
      <c r="K187" s="111"/>
      <c r="L187" s="110"/>
      <c r="M187" s="110" t="str">
        <f>IFERROR(_xlfn.XLOOKUP($A187,Input_Raw!$A:$A,Input_Raw!$CQ:$CQ),"")</f>
        <v/>
      </c>
      <c r="N187" s="110" t="str">
        <f>IFERROR(_xlfn.XLOOKUP($A187,Input_Raw!$A:$A,Input_Raw!$CR:$CR),"")</f>
        <v/>
      </c>
      <c r="O187" s="141" t="str">
        <f t="shared" si="15"/>
        <v/>
      </c>
      <c r="P187" s="141" t="str">
        <f>IFERROR(1-SUMIF(WTG_BD!$F:$F,$A187,WTG_BD!$AA:$AA)/($AA187+SUMIF(WTG_BD!$F:$F,$A187,WTG_BD!$AA:$AA)),"")</f>
        <v/>
      </c>
      <c r="Q187" s="141" t="str">
        <f>IFERROR(1-SUMIF(IGA_BD!$F:$F,$A187,IGA_BD!$W:$W)/($AA187+SUMIF(IGA_BD!$F:$F,$A187,IGA_BD!$W:$W)),"")</f>
        <v/>
      </c>
      <c r="R187" s="141" t="str">
        <f>IFERROR(1-SUMIF(Grid_BD!$F:$F,$A187,Grid_BD!$Y:$Y)/($AA187+SUMIF(Grid_BD!$F:$F,$A187,Grid_BD!$Y:$Y)),"")</f>
        <v/>
      </c>
      <c r="S187" s="108"/>
      <c r="T187" s="140"/>
      <c r="U187" s="141"/>
      <c r="V187" s="108"/>
      <c r="W187" s="142" t="str">
        <f t="shared" si="16"/>
        <v/>
      </c>
      <c r="X187" s="108" t="str">
        <f>IFERROR(_xlfn.XLOOKUP($A187,Input_Raw!$A:$A,Input_Raw!$CP:$CP)*1000,"")</f>
        <v/>
      </c>
      <c r="Y187" s="108" t="str">
        <f>IFERROR(_xlfn.XLOOKUP($A187,Input_Raw!$A:$A,Input_Raw!DJ:DJ)*1000,"")</f>
        <v/>
      </c>
      <c r="Z187" s="108" t="str">
        <f>IFERROR(_xlfn.XLOOKUP($A187,Input_Raw!$A:$A,Input_Raw!DK:DK)*1000,"")</f>
        <v/>
      </c>
      <c r="AA187" s="138" t="str">
        <f t="shared" si="17"/>
        <v/>
      </c>
      <c r="AB187" s="108" t="str">
        <f>IFERROR(_xlfn.XLOOKUP($A187,Input_Raw!$A:$A,Input_Raw!$DR:$DR),"")</f>
        <v/>
      </c>
      <c r="AC187" s="143">
        <f>IFERROR(_xlfn.XLOOKUP($D187,'Modelling New'!$D:$D,'Modelling New'!$J:$J),"")</f>
        <v>5.56</v>
      </c>
      <c r="AD187" s="138">
        <f>IFERROR(_xlfn.XLOOKUP($D187,'Modelling New'!$D:$D,'Modelling New'!$T:$T)*1000,"")</f>
        <v>373388.45693317999</v>
      </c>
      <c r="AE187" s="142"/>
      <c r="AF187" s="142">
        <f>IFERROR(_xlfn.XLOOKUP($D187,'Modelling New'!$D:$D,'Modelling New'!$W:$W),"")</f>
        <v>0.22099222119624762</v>
      </c>
      <c r="AG187" s="142">
        <f>IFERROR(_xlfn.XLOOKUP($D187,'Modelling New'!$D:$D,'Modelling New'!$AE:$AE),"")</f>
        <v>0.96029999999999993</v>
      </c>
      <c r="AH187" s="142">
        <f>IFERROR(_xlfn.XLOOKUP($D187,'Modelling New'!$D:$D,'Modelling New'!$AF:$AF),"")</f>
        <v>0.995</v>
      </c>
      <c r="AI187" s="109" t="str">
        <f>IFERROR(_xlfn.XLOOKUP($A187,Input_Raw!$A:$A,Input_Raw!$DP:$DP),"")</f>
        <v/>
      </c>
      <c r="AJ187" s="108"/>
      <c r="AK187" s="108"/>
      <c r="AL187" s="108"/>
      <c r="AM187" s="108"/>
      <c r="AN187" s="132" t="str">
        <f>IFERROR(_xlfn.XLOOKUP($A187,Input_Raw!$A:$A,Input_Raw!$DL:$DL),"")</f>
        <v/>
      </c>
      <c r="AO187" s="142" t="str">
        <f>IFERROR((_xlfn.XLOOKUP($A187,'WTG Reactive Power'!$A:$A,'WTG Reactive Power'!$AW:$AW))/X187,"")</f>
        <v/>
      </c>
      <c r="AP187" s="142">
        <f>IFERROR(_xlfn.XLOOKUP($D187,'Modelling New'!$D:$D,'Modelling New'!$AK:$AK),"")</f>
        <v>0.05</v>
      </c>
      <c r="AQ187" s="142">
        <f>IFERROR(_xlfn.XLOOKUP($D187,'Modelling New'!$D:$D,'Modelling New'!$AL:$AL),"")</f>
        <v>0.05</v>
      </c>
      <c r="AR187" s="198">
        <f>IFERROR(_xlfn.XLOOKUP($D187,'Modelling New'!$D:$D,'Modelling New'!$N:$N),"")</f>
        <v>70.400000000000006</v>
      </c>
      <c r="AS187" s="198"/>
    </row>
    <row r="188" spans="1:45">
      <c r="A188" s="137">
        <f t="shared" si="18"/>
        <v>45931</v>
      </c>
      <c r="B188" s="138">
        <f>YEAR(Daily_KPI[[#This Row],[Date]])+IF(MONTH(Daily_KPI[[#This Row],[Date]])&gt;=4,1,0)</f>
        <v>2026</v>
      </c>
      <c r="C188" s="108">
        <f>YEAR(Daily_KPI[[#This Row],[Date]])</f>
        <v>2025</v>
      </c>
      <c r="D188" s="139">
        <f>Daily_KPI[[#This Row],[Date]]-DAY(Daily_KPI[[#This Row],[Date]])+1</f>
        <v>45931</v>
      </c>
      <c r="E188" s="108">
        <f t="shared" si="14"/>
        <v>31</v>
      </c>
      <c r="F188" s="109"/>
      <c r="G188" s="143"/>
      <c r="H188" s="143"/>
      <c r="I188" s="143"/>
      <c r="J188" s="143"/>
      <c r="K188" s="111"/>
      <c r="L188" s="110"/>
      <c r="M188" s="110" t="str">
        <f>IFERROR(_xlfn.XLOOKUP($A188,Input_Raw!$A:$A,Input_Raw!$CQ:$CQ),"")</f>
        <v/>
      </c>
      <c r="N188" s="110" t="str">
        <f>IFERROR(_xlfn.XLOOKUP($A188,Input_Raw!$A:$A,Input_Raw!$CR:$CR),"")</f>
        <v/>
      </c>
      <c r="O188" s="141" t="str">
        <f t="shared" si="15"/>
        <v/>
      </c>
      <c r="P188" s="141" t="str">
        <f>IFERROR(1-SUMIF(WTG_BD!$F:$F,$A188,WTG_BD!$AA:$AA)/($AA188+SUMIF(WTG_BD!$F:$F,$A188,WTG_BD!$AA:$AA)),"")</f>
        <v/>
      </c>
      <c r="Q188" s="141" t="str">
        <f>IFERROR(1-SUMIF(IGA_BD!$F:$F,$A188,IGA_BD!$W:$W)/($AA188+SUMIF(IGA_BD!$F:$F,$A188,IGA_BD!$W:$W)),"")</f>
        <v/>
      </c>
      <c r="R188" s="141" t="str">
        <f>IFERROR(1-SUMIF(Grid_BD!$F:$F,$A188,Grid_BD!$Y:$Y)/($AA188+SUMIF(Grid_BD!$F:$F,$A188,Grid_BD!$Y:$Y)),"")</f>
        <v/>
      </c>
      <c r="S188" s="108"/>
      <c r="T188" s="140"/>
      <c r="U188" s="141"/>
      <c r="V188" s="108"/>
      <c r="W188" s="142" t="str">
        <f t="shared" si="16"/>
        <v/>
      </c>
      <c r="X188" s="108" t="str">
        <f>IFERROR(_xlfn.XLOOKUP($A188,Input_Raw!$A:$A,Input_Raw!$CP:$CP)*1000,"")</f>
        <v/>
      </c>
      <c r="Y188" s="108" t="str">
        <f>IFERROR(_xlfn.XLOOKUP($A188,Input_Raw!$A:$A,Input_Raw!DJ:DJ)*1000,"")</f>
        <v/>
      </c>
      <c r="Z188" s="108" t="str">
        <f>IFERROR(_xlfn.XLOOKUP($A188,Input_Raw!$A:$A,Input_Raw!DK:DK)*1000,"")</f>
        <v/>
      </c>
      <c r="AA188" s="138" t="str">
        <f t="shared" si="17"/>
        <v/>
      </c>
      <c r="AB188" s="108" t="str">
        <f>IFERROR(_xlfn.XLOOKUP($A188,Input_Raw!$A:$A,Input_Raw!$DR:$DR),"")</f>
        <v/>
      </c>
      <c r="AC188" s="143">
        <f>IFERROR(_xlfn.XLOOKUP($D188,'Modelling New'!$D:$D,'Modelling New'!$J:$J),"")</f>
        <v>4.1733333333333329</v>
      </c>
      <c r="AD188" s="138">
        <f>IFERROR(_xlfn.XLOOKUP($D188,'Modelling New'!$D:$D,'Modelling New'!$T:$T)*1000,"")</f>
        <v>150264.62742866005</v>
      </c>
      <c r="AE188" s="142"/>
      <c r="AF188" s="142">
        <f>IFERROR(_xlfn.XLOOKUP($D188,'Modelling New'!$D:$D,'Modelling New'!$W:$W),"")</f>
        <v>8.8935030438364135E-2</v>
      </c>
      <c r="AG188" s="142">
        <f>IFERROR(_xlfn.XLOOKUP($D188,'Modelling New'!$D:$D,'Modelling New'!$AE:$AE),"")</f>
        <v>0.96029999999999993</v>
      </c>
      <c r="AH188" s="142">
        <f>IFERROR(_xlfn.XLOOKUP($D188,'Modelling New'!$D:$D,'Modelling New'!$AF:$AF),"")</f>
        <v>0.995</v>
      </c>
      <c r="AI188" s="109" t="str">
        <f>IFERROR(_xlfn.XLOOKUP($A188,Input_Raw!$A:$A,Input_Raw!$DP:$DP),"")</f>
        <v/>
      </c>
      <c r="AJ188" s="108"/>
      <c r="AK188" s="108"/>
      <c r="AL188" s="108"/>
      <c r="AM188" s="108"/>
      <c r="AN188" s="132" t="str">
        <f>IFERROR(_xlfn.XLOOKUP($A188,Input_Raw!$A:$A,Input_Raw!$DL:$DL),"")</f>
        <v/>
      </c>
      <c r="AO188" s="142" t="str">
        <f>IFERROR((_xlfn.XLOOKUP($A188,'WTG Reactive Power'!$A:$A,'WTG Reactive Power'!$AW:$AW))/X188,"")</f>
        <v/>
      </c>
      <c r="AP188" s="142">
        <f>IFERROR(_xlfn.XLOOKUP($D188,'Modelling New'!$D:$D,'Modelling New'!$AK:$AK),"")</f>
        <v>0.05</v>
      </c>
      <c r="AQ188" s="142">
        <f>IFERROR(_xlfn.XLOOKUP($D188,'Modelling New'!$D:$D,'Modelling New'!$AL:$AL),"")</f>
        <v>0.05</v>
      </c>
      <c r="AR188" s="198">
        <f>IFERROR(_xlfn.XLOOKUP($D188,'Modelling New'!$D:$D,'Modelling New'!$N:$N),"")</f>
        <v>70.400000000000006</v>
      </c>
      <c r="AS188" s="198"/>
    </row>
    <row r="189" spans="1:45">
      <c r="A189" s="137">
        <f t="shared" si="18"/>
        <v>45932</v>
      </c>
      <c r="B189" s="138">
        <f>YEAR(Daily_KPI[[#This Row],[Date]])+IF(MONTH(Daily_KPI[[#This Row],[Date]])&gt;=4,1,0)</f>
        <v>2026</v>
      </c>
      <c r="C189" s="108">
        <f>YEAR(Daily_KPI[[#This Row],[Date]])</f>
        <v>2025</v>
      </c>
      <c r="D189" s="139">
        <f>Daily_KPI[[#This Row],[Date]]-DAY(Daily_KPI[[#This Row],[Date]])+1</f>
        <v>45931</v>
      </c>
      <c r="E189" s="108">
        <f t="shared" ref="E189:E252" si="19">DAY(EOMONTH(A189,0))</f>
        <v>31</v>
      </c>
      <c r="F189" s="109"/>
      <c r="G189" s="110"/>
      <c r="H189" s="110"/>
      <c r="I189" s="110"/>
      <c r="J189" s="110"/>
      <c r="K189" s="111"/>
      <c r="L189" s="110"/>
      <c r="M189" s="110" t="str">
        <f>IFERROR(_xlfn.XLOOKUP($A189,Input_Raw!$A:$A,Input_Raw!$CQ:$CQ),"")</f>
        <v/>
      </c>
      <c r="N189" s="110" t="str">
        <f>IFERROR(_xlfn.XLOOKUP($A189,Input_Raw!$A:$A,Input_Raw!$CR:$CR),"")</f>
        <v/>
      </c>
      <c r="O189" s="141" t="str">
        <f t="shared" ref="O189:O252" si="20">IFERROR(P189*Q189,"")</f>
        <v/>
      </c>
      <c r="P189" s="141" t="str">
        <f>IFERROR(1-SUMIF(WTG_BD!$F:$F,$A189,WTG_BD!$AA:$AA)/($AA189+SUMIF(WTG_BD!$F:$F,$A189,WTG_BD!$AA:$AA)),"")</f>
        <v/>
      </c>
      <c r="Q189" s="141" t="str">
        <f>IFERROR(1-SUMIF(IGA_BD!$F:$F,$A189,IGA_BD!$W:$W)/($AA189+SUMIF(IGA_BD!$F:$F,$A189,IGA_BD!$W:$W)),"")</f>
        <v/>
      </c>
      <c r="R189" s="141" t="str">
        <f>IFERROR(1-SUMIF(Grid_BD!$F:$F,$A189,Grid_BD!$Y:$Y)/($AA189+SUMIF(Grid_BD!$F:$F,$A189,Grid_BD!$Y:$Y)),"")</f>
        <v/>
      </c>
      <c r="S189" s="108"/>
      <c r="T189" s="140"/>
      <c r="U189" s="141"/>
      <c r="V189" s="108"/>
      <c r="W189" s="142" t="str">
        <f t="shared" ref="W189:W252" si="21">IFERROR(X189/(24*AB189*1000),"")</f>
        <v/>
      </c>
      <c r="X189" s="108" t="str">
        <f>IFERROR(_xlfn.XLOOKUP($A189,Input_Raw!$A:$A,Input_Raw!$CP:$CP)*1000,"")</f>
        <v/>
      </c>
      <c r="Y189" s="108" t="str">
        <f>IFERROR(_xlfn.XLOOKUP($A189,Input_Raw!$A:$A,Input_Raw!DJ:DJ)*1000,"")</f>
        <v/>
      </c>
      <c r="Z189" s="108" t="str">
        <f>IFERROR(_xlfn.XLOOKUP($A189,Input_Raw!$A:$A,Input_Raw!DK:DK)*1000,"")</f>
        <v/>
      </c>
      <c r="AA189" s="138" t="str">
        <f t="shared" ref="AA189:AA252" si="22">IFERROR(Y189-Z189,"")</f>
        <v/>
      </c>
      <c r="AB189" s="108" t="str">
        <f>IFERROR(_xlfn.XLOOKUP($A189,Input_Raw!$A:$A,Input_Raw!$DR:$DR),"")</f>
        <v/>
      </c>
      <c r="AC189" s="143">
        <f>IFERROR(_xlfn.XLOOKUP($D189,'Modelling New'!$D:$D,'Modelling New'!$J:$J),"")</f>
        <v>4.1733333333333329</v>
      </c>
      <c r="AD189" s="138">
        <f>IFERROR(_xlfn.XLOOKUP($D189,'Modelling New'!$D:$D,'Modelling New'!$T:$T)*1000,"")</f>
        <v>150264.62742866005</v>
      </c>
      <c r="AE189" s="142"/>
      <c r="AF189" s="142">
        <f>IFERROR(_xlfn.XLOOKUP($D189,'Modelling New'!$D:$D,'Modelling New'!$W:$W),"")</f>
        <v>8.8935030438364135E-2</v>
      </c>
      <c r="AG189" s="142">
        <f>IFERROR(_xlfn.XLOOKUP($D189,'Modelling New'!$D:$D,'Modelling New'!$AE:$AE),"")</f>
        <v>0.96029999999999993</v>
      </c>
      <c r="AH189" s="142">
        <f>IFERROR(_xlfn.XLOOKUP($D189,'Modelling New'!$D:$D,'Modelling New'!$AF:$AF),"")</f>
        <v>0.995</v>
      </c>
      <c r="AI189" s="109" t="str">
        <f>IFERROR(_xlfn.XLOOKUP($A189,Input_Raw!$A:$A,Input_Raw!$DP:$DP),"")</f>
        <v/>
      </c>
      <c r="AJ189" s="108"/>
      <c r="AK189" s="108"/>
      <c r="AL189" s="108"/>
      <c r="AM189" s="108"/>
      <c r="AN189" s="132" t="str">
        <f>IFERROR(_xlfn.XLOOKUP($A189,Input_Raw!$A:$A,Input_Raw!$DL:$DL),"")</f>
        <v/>
      </c>
      <c r="AO189" s="142" t="str">
        <f>IFERROR((_xlfn.XLOOKUP($A189,'WTG Reactive Power'!$A:$A,'WTG Reactive Power'!$AW:$AW))/X189,"")</f>
        <v/>
      </c>
      <c r="AP189" s="142">
        <f>IFERROR(_xlfn.XLOOKUP($D189,'Modelling New'!$D:$D,'Modelling New'!$AK:$AK),"")</f>
        <v>0.05</v>
      </c>
      <c r="AQ189" s="142">
        <f>IFERROR(_xlfn.XLOOKUP($D189,'Modelling New'!$D:$D,'Modelling New'!$AL:$AL),"")</f>
        <v>0.05</v>
      </c>
      <c r="AR189" s="198">
        <f>IFERROR(_xlfn.XLOOKUP($D189,'Modelling New'!$D:$D,'Modelling New'!$N:$N),"")</f>
        <v>70.400000000000006</v>
      </c>
      <c r="AS189" s="198"/>
    </row>
    <row r="190" spans="1:45">
      <c r="A190" s="137">
        <f t="shared" si="18"/>
        <v>45933</v>
      </c>
      <c r="B190" s="138">
        <f>YEAR(Daily_KPI[[#This Row],[Date]])+IF(MONTH(Daily_KPI[[#This Row],[Date]])&gt;=4,1,0)</f>
        <v>2026</v>
      </c>
      <c r="C190" s="108">
        <f>YEAR(Daily_KPI[[#This Row],[Date]])</f>
        <v>2025</v>
      </c>
      <c r="D190" s="139">
        <f>Daily_KPI[[#This Row],[Date]]-DAY(Daily_KPI[[#This Row],[Date]])+1</f>
        <v>45931</v>
      </c>
      <c r="E190" s="108">
        <f t="shared" si="19"/>
        <v>31</v>
      </c>
      <c r="F190" s="109"/>
      <c r="G190" s="143"/>
      <c r="H190" s="143"/>
      <c r="I190" s="143"/>
      <c r="J190" s="143"/>
      <c r="K190" s="111"/>
      <c r="L190" s="110"/>
      <c r="M190" s="110" t="str">
        <f>IFERROR(_xlfn.XLOOKUP($A190,Input_Raw!$A:$A,Input_Raw!$CQ:$CQ),"")</f>
        <v/>
      </c>
      <c r="N190" s="110" t="str">
        <f>IFERROR(_xlfn.XLOOKUP($A190,Input_Raw!$A:$A,Input_Raw!$CR:$CR),"")</f>
        <v/>
      </c>
      <c r="O190" s="141" t="str">
        <f t="shared" si="20"/>
        <v/>
      </c>
      <c r="P190" s="141" t="str">
        <f>IFERROR(1-SUMIF(WTG_BD!$F:$F,$A190,WTG_BD!$AA:$AA)/($AA190+SUMIF(WTG_BD!$F:$F,$A190,WTG_BD!$AA:$AA)),"")</f>
        <v/>
      </c>
      <c r="Q190" s="141" t="str">
        <f>IFERROR(1-SUMIF(IGA_BD!$F:$F,$A190,IGA_BD!$W:$W)/($AA190+SUMIF(IGA_BD!$F:$F,$A190,IGA_BD!$W:$W)),"")</f>
        <v/>
      </c>
      <c r="R190" s="141" t="str">
        <f>IFERROR(1-SUMIF(Grid_BD!$F:$F,$A190,Grid_BD!$Y:$Y)/($AA190+SUMIF(Grid_BD!$F:$F,$A190,Grid_BD!$Y:$Y)),"")</f>
        <v/>
      </c>
      <c r="S190" s="108"/>
      <c r="T190" s="140"/>
      <c r="U190" s="141"/>
      <c r="V190" s="108"/>
      <c r="W190" s="142" t="str">
        <f t="shared" si="21"/>
        <v/>
      </c>
      <c r="X190" s="108" t="str">
        <f>IFERROR(_xlfn.XLOOKUP($A190,Input_Raw!$A:$A,Input_Raw!$CP:$CP)*1000,"")</f>
        <v/>
      </c>
      <c r="Y190" s="108" t="str">
        <f>IFERROR(_xlfn.XLOOKUP($A190,Input_Raw!$A:$A,Input_Raw!DJ:DJ)*1000,"")</f>
        <v/>
      </c>
      <c r="Z190" s="108" t="str">
        <f>IFERROR(_xlfn.XLOOKUP($A190,Input_Raw!$A:$A,Input_Raw!DK:DK)*1000,"")</f>
        <v/>
      </c>
      <c r="AA190" s="138" t="str">
        <f t="shared" si="22"/>
        <v/>
      </c>
      <c r="AB190" s="108" t="str">
        <f>IFERROR(_xlfn.XLOOKUP($A190,Input_Raw!$A:$A,Input_Raw!$DR:$DR),"")</f>
        <v/>
      </c>
      <c r="AC190" s="143">
        <f>IFERROR(_xlfn.XLOOKUP($D190,'Modelling New'!$D:$D,'Modelling New'!$J:$J),"")</f>
        <v>4.1733333333333329</v>
      </c>
      <c r="AD190" s="138">
        <f>IFERROR(_xlfn.XLOOKUP($D190,'Modelling New'!$D:$D,'Modelling New'!$T:$T)*1000,"")</f>
        <v>150264.62742866005</v>
      </c>
      <c r="AE190" s="142"/>
      <c r="AF190" s="142">
        <f>IFERROR(_xlfn.XLOOKUP($D190,'Modelling New'!$D:$D,'Modelling New'!$W:$W),"")</f>
        <v>8.8935030438364135E-2</v>
      </c>
      <c r="AG190" s="142">
        <f>IFERROR(_xlfn.XLOOKUP($D190,'Modelling New'!$D:$D,'Modelling New'!$AE:$AE),"")</f>
        <v>0.96029999999999993</v>
      </c>
      <c r="AH190" s="142">
        <f>IFERROR(_xlfn.XLOOKUP($D190,'Modelling New'!$D:$D,'Modelling New'!$AF:$AF),"")</f>
        <v>0.995</v>
      </c>
      <c r="AI190" s="109" t="str">
        <f>IFERROR(_xlfn.XLOOKUP($A190,Input_Raw!$A:$A,Input_Raw!$DP:$DP),"")</f>
        <v/>
      </c>
      <c r="AJ190" s="108"/>
      <c r="AK190" s="108"/>
      <c r="AL190" s="108"/>
      <c r="AM190" s="108"/>
      <c r="AN190" s="132" t="str">
        <f>IFERROR(_xlfn.XLOOKUP($A190,Input_Raw!$A:$A,Input_Raw!$DL:$DL),"")</f>
        <v/>
      </c>
      <c r="AO190" s="142" t="str">
        <f>IFERROR((_xlfn.XLOOKUP($A190,'WTG Reactive Power'!$A:$A,'WTG Reactive Power'!$AW:$AW))/X190,"")</f>
        <v/>
      </c>
      <c r="AP190" s="142">
        <f>IFERROR(_xlfn.XLOOKUP($D190,'Modelling New'!$D:$D,'Modelling New'!$AK:$AK),"")</f>
        <v>0.05</v>
      </c>
      <c r="AQ190" s="142">
        <f>IFERROR(_xlfn.XLOOKUP($D190,'Modelling New'!$D:$D,'Modelling New'!$AL:$AL),"")</f>
        <v>0.05</v>
      </c>
      <c r="AR190" s="198">
        <f>IFERROR(_xlfn.XLOOKUP($D190,'Modelling New'!$D:$D,'Modelling New'!$N:$N),"")</f>
        <v>70.400000000000006</v>
      </c>
      <c r="AS190" s="198"/>
    </row>
    <row r="191" spans="1:45">
      <c r="A191" s="137">
        <f t="shared" ref="A191:A254" si="23">A190+1</f>
        <v>45934</v>
      </c>
      <c r="B191" s="138">
        <f>YEAR(Daily_KPI[[#This Row],[Date]])+IF(MONTH(Daily_KPI[[#This Row],[Date]])&gt;=4,1,0)</f>
        <v>2026</v>
      </c>
      <c r="C191" s="108">
        <f>YEAR(Daily_KPI[[#This Row],[Date]])</f>
        <v>2025</v>
      </c>
      <c r="D191" s="139">
        <f>Daily_KPI[[#This Row],[Date]]-DAY(Daily_KPI[[#This Row],[Date]])+1</f>
        <v>45931</v>
      </c>
      <c r="E191" s="108">
        <f t="shared" si="19"/>
        <v>31</v>
      </c>
      <c r="F191" s="109"/>
      <c r="G191" s="110"/>
      <c r="H191" s="110"/>
      <c r="I191" s="110"/>
      <c r="J191" s="110"/>
      <c r="K191" s="111"/>
      <c r="L191" s="110"/>
      <c r="M191" s="110" t="str">
        <f>IFERROR(_xlfn.XLOOKUP($A191,Input_Raw!$A:$A,Input_Raw!$CQ:$CQ),"")</f>
        <v/>
      </c>
      <c r="N191" s="110" t="str">
        <f>IFERROR(_xlfn.XLOOKUP($A191,Input_Raw!$A:$A,Input_Raw!$CR:$CR),"")</f>
        <v/>
      </c>
      <c r="O191" s="141" t="str">
        <f t="shared" si="20"/>
        <v/>
      </c>
      <c r="P191" s="141" t="str">
        <f>IFERROR(1-SUMIF(WTG_BD!$F:$F,$A191,WTG_BD!$AA:$AA)/($AA191+SUMIF(WTG_BD!$F:$F,$A191,WTG_BD!$AA:$AA)),"")</f>
        <v/>
      </c>
      <c r="Q191" s="141" t="str">
        <f>IFERROR(1-SUMIF(IGA_BD!$F:$F,$A191,IGA_BD!$W:$W)/($AA191+SUMIF(IGA_BD!$F:$F,$A191,IGA_BD!$W:$W)),"")</f>
        <v/>
      </c>
      <c r="R191" s="141" t="str">
        <f>IFERROR(1-SUMIF(Grid_BD!$F:$F,$A191,Grid_BD!$Y:$Y)/($AA191+SUMIF(Grid_BD!$F:$F,$A191,Grid_BD!$Y:$Y)),"")</f>
        <v/>
      </c>
      <c r="S191" s="108"/>
      <c r="T191" s="140"/>
      <c r="U191" s="141"/>
      <c r="V191" s="108"/>
      <c r="W191" s="142" t="str">
        <f t="shared" si="21"/>
        <v/>
      </c>
      <c r="X191" s="108" t="str">
        <f>IFERROR(_xlfn.XLOOKUP($A191,Input_Raw!$A:$A,Input_Raw!$CP:$CP)*1000,"")</f>
        <v/>
      </c>
      <c r="Y191" s="108" t="str">
        <f>IFERROR(_xlfn.XLOOKUP($A191,Input_Raw!$A:$A,Input_Raw!DJ:DJ)*1000,"")</f>
        <v/>
      </c>
      <c r="Z191" s="108" t="str">
        <f>IFERROR(_xlfn.XLOOKUP($A191,Input_Raw!$A:$A,Input_Raw!DK:DK)*1000,"")</f>
        <v/>
      </c>
      <c r="AA191" s="138" t="str">
        <f t="shared" si="22"/>
        <v/>
      </c>
      <c r="AB191" s="108" t="str">
        <f>IFERROR(_xlfn.XLOOKUP($A191,Input_Raw!$A:$A,Input_Raw!$DR:$DR),"")</f>
        <v/>
      </c>
      <c r="AC191" s="143">
        <f>IFERROR(_xlfn.XLOOKUP($D191,'Modelling New'!$D:$D,'Modelling New'!$J:$J),"")</f>
        <v>4.1733333333333329</v>
      </c>
      <c r="AD191" s="138">
        <f>IFERROR(_xlfn.XLOOKUP($D191,'Modelling New'!$D:$D,'Modelling New'!$T:$T)*1000,"")</f>
        <v>150264.62742866005</v>
      </c>
      <c r="AE191" s="142"/>
      <c r="AF191" s="142">
        <f>IFERROR(_xlfn.XLOOKUP($D191,'Modelling New'!$D:$D,'Modelling New'!$W:$W),"")</f>
        <v>8.8935030438364135E-2</v>
      </c>
      <c r="AG191" s="142">
        <f>IFERROR(_xlfn.XLOOKUP($D191,'Modelling New'!$D:$D,'Modelling New'!$AE:$AE),"")</f>
        <v>0.96029999999999993</v>
      </c>
      <c r="AH191" s="142">
        <f>IFERROR(_xlfn.XLOOKUP($D191,'Modelling New'!$D:$D,'Modelling New'!$AF:$AF),"")</f>
        <v>0.995</v>
      </c>
      <c r="AI191" s="109" t="str">
        <f>IFERROR(_xlfn.XLOOKUP($A191,Input_Raw!$A:$A,Input_Raw!$DP:$DP),"")</f>
        <v/>
      </c>
      <c r="AJ191" s="108"/>
      <c r="AK191" s="108"/>
      <c r="AL191" s="108"/>
      <c r="AM191" s="108"/>
      <c r="AN191" s="132" t="str">
        <f>IFERROR(_xlfn.XLOOKUP($A191,Input_Raw!$A:$A,Input_Raw!$DL:$DL),"")</f>
        <v/>
      </c>
      <c r="AO191" s="142" t="str">
        <f>IFERROR((_xlfn.XLOOKUP($A191,'WTG Reactive Power'!$A:$A,'WTG Reactive Power'!$AW:$AW))/X191,"")</f>
        <v/>
      </c>
      <c r="AP191" s="142">
        <f>IFERROR(_xlfn.XLOOKUP($D191,'Modelling New'!$D:$D,'Modelling New'!$AK:$AK),"")</f>
        <v>0.05</v>
      </c>
      <c r="AQ191" s="142">
        <f>IFERROR(_xlfn.XLOOKUP($D191,'Modelling New'!$D:$D,'Modelling New'!$AL:$AL),"")</f>
        <v>0.05</v>
      </c>
      <c r="AR191" s="198">
        <f>IFERROR(_xlfn.XLOOKUP($D191,'Modelling New'!$D:$D,'Modelling New'!$N:$N),"")</f>
        <v>70.400000000000006</v>
      </c>
      <c r="AS191" s="198"/>
    </row>
    <row r="192" spans="1:45">
      <c r="A192" s="137">
        <f t="shared" si="23"/>
        <v>45935</v>
      </c>
      <c r="B192" s="138">
        <f>YEAR(Daily_KPI[[#This Row],[Date]])+IF(MONTH(Daily_KPI[[#This Row],[Date]])&gt;=4,1,0)</f>
        <v>2026</v>
      </c>
      <c r="C192" s="108">
        <f>YEAR(Daily_KPI[[#This Row],[Date]])</f>
        <v>2025</v>
      </c>
      <c r="D192" s="139">
        <f>Daily_KPI[[#This Row],[Date]]-DAY(Daily_KPI[[#This Row],[Date]])+1</f>
        <v>45931</v>
      </c>
      <c r="E192" s="108">
        <f t="shared" si="19"/>
        <v>31</v>
      </c>
      <c r="F192" s="109"/>
      <c r="G192" s="143"/>
      <c r="H192" s="143"/>
      <c r="I192" s="143"/>
      <c r="J192" s="143"/>
      <c r="K192" s="111"/>
      <c r="L192" s="110"/>
      <c r="M192" s="110" t="str">
        <f>IFERROR(_xlfn.XLOOKUP($A192,Input_Raw!$A:$A,Input_Raw!$CQ:$CQ),"")</f>
        <v/>
      </c>
      <c r="N192" s="110" t="str">
        <f>IFERROR(_xlfn.XLOOKUP($A192,Input_Raw!$A:$A,Input_Raw!$CR:$CR),"")</f>
        <v/>
      </c>
      <c r="O192" s="141" t="str">
        <f t="shared" si="20"/>
        <v/>
      </c>
      <c r="P192" s="141" t="str">
        <f>IFERROR(1-SUMIF(WTG_BD!$F:$F,$A192,WTG_BD!$AA:$AA)/($AA192+SUMIF(WTG_BD!$F:$F,$A192,WTG_BD!$AA:$AA)),"")</f>
        <v/>
      </c>
      <c r="Q192" s="141" t="str">
        <f>IFERROR(1-SUMIF(IGA_BD!$F:$F,$A192,IGA_BD!$W:$W)/($AA192+SUMIF(IGA_BD!$F:$F,$A192,IGA_BD!$W:$W)),"")</f>
        <v/>
      </c>
      <c r="R192" s="141" t="str">
        <f>IFERROR(1-SUMIF(Grid_BD!$F:$F,$A192,Grid_BD!$Y:$Y)/($AA192+SUMIF(Grid_BD!$F:$F,$A192,Grid_BD!$Y:$Y)),"")</f>
        <v/>
      </c>
      <c r="S192" s="108"/>
      <c r="T192" s="140"/>
      <c r="U192" s="141"/>
      <c r="V192" s="108"/>
      <c r="W192" s="142" t="str">
        <f t="shared" si="21"/>
        <v/>
      </c>
      <c r="X192" s="108" t="str">
        <f>IFERROR(_xlfn.XLOOKUP($A192,Input_Raw!$A:$A,Input_Raw!$CP:$CP)*1000,"")</f>
        <v/>
      </c>
      <c r="Y192" s="108" t="str">
        <f>IFERROR(_xlfn.XLOOKUP($A192,Input_Raw!$A:$A,Input_Raw!DJ:DJ)*1000,"")</f>
        <v/>
      </c>
      <c r="Z192" s="108" t="str">
        <f>IFERROR(_xlfn.XLOOKUP($A192,Input_Raw!$A:$A,Input_Raw!DK:DK)*1000,"")</f>
        <v/>
      </c>
      <c r="AA192" s="138" t="str">
        <f t="shared" si="22"/>
        <v/>
      </c>
      <c r="AB192" s="108" t="str">
        <f>IFERROR(_xlfn.XLOOKUP($A192,Input_Raw!$A:$A,Input_Raw!$DR:$DR),"")</f>
        <v/>
      </c>
      <c r="AC192" s="143">
        <f>IFERROR(_xlfn.XLOOKUP($D192,'Modelling New'!$D:$D,'Modelling New'!$J:$J),"")</f>
        <v>4.1733333333333329</v>
      </c>
      <c r="AD192" s="138">
        <f>IFERROR(_xlfn.XLOOKUP($D192,'Modelling New'!$D:$D,'Modelling New'!$T:$T)*1000,"")</f>
        <v>150264.62742866005</v>
      </c>
      <c r="AE192" s="142"/>
      <c r="AF192" s="142">
        <f>IFERROR(_xlfn.XLOOKUP($D192,'Modelling New'!$D:$D,'Modelling New'!$W:$W),"")</f>
        <v>8.8935030438364135E-2</v>
      </c>
      <c r="AG192" s="142">
        <f>IFERROR(_xlfn.XLOOKUP($D192,'Modelling New'!$D:$D,'Modelling New'!$AE:$AE),"")</f>
        <v>0.96029999999999993</v>
      </c>
      <c r="AH192" s="142">
        <f>IFERROR(_xlfn.XLOOKUP($D192,'Modelling New'!$D:$D,'Modelling New'!$AF:$AF),"")</f>
        <v>0.995</v>
      </c>
      <c r="AI192" s="109" t="str">
        <f>IFERROR(_xlfn.XLOOKUP($A192,Input_Raw!$A:$A,Input_Raw!$DP:$DP),"")</f>
        <v/>
      </c>
      <c r="AJ192" s="108"/>
      <c r="AK192" s="108"/>
      <c r="AL192" s="108"/>
      <c r="AM192" s="108"/>
      <c r="AN192" s="132" t="str">
        <f>IFERROR(_xlfn.XLOOKUP($A192,Input_Raw!$A:$A,Input_Raw!$DL:$DL),"")</f>
        <v/>
      </c>
      <c r="AO192" s="142" t="str">
        <f>IFERROR((_xlfn.XLOOKUP($A192,'WTG Reactive Power'!$A:$A,'WTG Reactive Power'!$AW:$AW))/X192,"")</f>
        <v/>
      </c>
      <c r="AP192" s="142">
        <f>IFERROR(_xlfn.XLOOKUP($D192,'Modelling New'!$D:$D,'Modelling New'!$AK:$AK),"")</f>
        <v>0.05</v>
      </c>
      <c r="AQ192" s="142">
        <f>IFERROR(_xlfn.XLOOKUP($D192,'Modelling New'!$D:$D,'Modelling New'!$AL:$AL),"")</f>
        <v>0.05</v>
      </c>
      <c r="AR192" s="198">
        <f>IFERROR(_xlfn.XLOOKUP($D192,'Modelling New'!$D:$D,'Modelling New'!$N:$N),"")</f>
        <v>70.400000000000006</v>
      </c>
      <c r="AS192" s="198"/>
    </row>
    <row r="193" spans="1:45">
      <c r="A193" s="137">
        <f t="shared" si="23"/>
        <v>45936</v>
      </c>
      <c r="B193" s="138">
        <f>YEAR(Daily_KPI[[#This Row],[Date]])+IF(MONTH(Daily_KPI[[#This Row],[Date]])&gt;=4,1,0)</f>
        <v>2026</v>
      </c>
      <c r="C193" s="108">
        <f>YEAR(Daily_KPI[[#This Row],[Date]])</f>
        <v>2025</v>
      </c>
      <c r="D193" s="139">
        <f>Daily_KPI[[#This Row],[Date]]-DAY(Daily_KPI[[#This Row],[Date]])+1</f>
        <v>45931</v>
      </c>
      <c r="E193" s="108">
        <f t="shared" si="19"/>
        <v>31</v>
      </c>
      <c r="F193" s="109"/>
      <c r="G193" s="110"/>
      <c r="H193" s="110"/>
      <c r="I193" s="110"/>
      <c r="J193" s="110"/>
      <c r="K193" s="111"/>
      <c r="L193" s="110"/>
      <c r="M193" s="110" t="str">
        <f>IFERROR(_xlfn.XLOOKUP($A193,Input_Raw!$A:$A,Input_Raw!$CQ:$CQ),"")</f>
        <v/>
      </c>
      <c r="N193" s="110" t="str">
        <f>IFERROR(_xlfn.XLOOKUP($A193,Input_Raw!$A:$A,Input_Raw!$CR:$CR),"")</f>
        <v/>
      </c>
      <c r="O193" s="141" t="str">
        <f t="shared" si="20"/>
        <v/>
      </c>
      <c r="P193" s="141" t="str">
        <f>IFERROR(1-SUMIF(WTG_BD!$F:$F,$A193,WTG_BD!$AA:$AA)/($AA193+SUMIF(WTG_BD!$F:$F,$A193,WTG_BD!$AA:$AA)),"")</f>
        <v/>
      </c>
      <c r="Q193" s="141" t="str">
        <f>IFERROR(1-SUMIF(IGA_BD!$F:$F,$A193,IGA_BD!$W:$W)/($AA193+SUMIF(IGA_BD!$F:$F,$A193,IGA_BD!$W:$W)),"")</f>
        <v/>
      </c>
      <c r="R193" s="141" t="str">
        <f>IFERROR(1-SUMIF(Grid_BD!$F:$F,$A193,Grid_BD!$Y:$Y)/($AA193+SUMIF(Grid_BD!$F:$F,$A193,Grid_BD!$Y:$Y)),"")</f>
        <v/>
      </c>
      <c r="S193" s="108"/>
      <c r="T193" s="140"/>
      <c r="U193" s="141"/>
      <c r="V193" s="108"/>
      <c r="W193" s="142" t="str">
        <f t="shared" si="21"/>
        <v/>
      </c>
      <c r="X193" s="108" t="str">
        <f>IFERROR(_xlfn.XLOOKUP($A193,Input_Raw!$A:$A,Input_Raw!$CP:$CP)*1000,"")</f>
        <v/>
      </c>
      <c r="Y193" s="108" t="str">
        <f>IFERROR(_xlfn.XLOOKUP($A193,Input_Raw!$A:$A,Input_Raw!DJ:DJ)*1000,"")</f>
        <v/>
      </c>
      <c r="Z193" s="108" t="str">
        <f>IFERROR(_xlfn.XLOOKUP($A193,Input_Raw!$A:$A,Input_Raw!DK:DK)*1000,"")</f>
        <v/>
      </c>
      <c r="AA193" s="138" t="str">
        <f t="shared" si="22"/>
        <v/>
      </c>
      <c r="AB193" s="108" t="str">
        <f>IFERROR(_xlfn.XLOOKUP($A193,Input_Raw!$A:$A,Input_Raw!$DR:$DR),"")</f>
        <v/>
      </c>
      <c r="AC193" s="143">
        <f>IFERROR(_xlfn.XLOOKUP($D193,'Modelling New'!$D:$D,'Modelling New'!$J:$J),"")</f>
        <v>4.1733333333333329</v>
      </c>
      <c r="AD193" s="138">
        <f>IFERROR(_xlfn.XLOOKUP($D193,'Modelling New'!$D:$D,'Modelling New'!$T:$T)*1000,"")</f>
        <v>150264.62742866005</v>
      </c>
      <c r="AE193" s="142"/>
      <c r="AF193" s="142">
        <f>IFERROR(_xlfn.XLOOKUP($D193,'Modelling New'!$D:$D,'Modelling New'!$W:$W),"")</f>
        <v>8.8935030438364135E-2</v>
      </c>
      <c r="AG193" s="142">
        <f>IFERROR(_xlfn.XLOOKUP($D193,'Modelling New'!$D:$D,'Modelling New'!$AE:$AE),"")</f>
        <v>0.96029999999999993</v>
      </c>
      <c r="AH193" s="142">
        <f>IFERROR(_xlfn.XLOOKUP($D193,'Modelling New'!$D:$D,'Modelling New'!$AF:$AF),"")</f>
        <v>0.995</v>
      </c>
      <c r="AI193" s="109" t="str">
        <f>IFERROR(_xlfn.XLOOKUP($A193,Input_Raw!$A:$A,Input_Raw!$DP:$DP),"")</f>
        <v/>
      </c>
      <c r="AJ193" s="108"/>
      <c r="AK193" s="108"/>
      <c r="AL193" s="108"/>
      <c r="AM193" s="108"/>
      <c r="AN193" s="132" t="str">
        <f>IFERROR(_xlfn.XLOOKUP($A193,Input_Raw!$A:$A,Input_Raw!$DL:$DL),"")</f>
        <v/>
      </c>
      <c r="AO193" s="142" t="str">
        <f>IFERROR((_xlfn.XLOOKUP($A193,'WTG Reactive Power'!$A:$A,'WTG Reactive Power'!$AW:$AW))/X193,"")</f>
        <v/>
      </c>
      <c r="AP193" s="142">
        <f>IFERROR(_xlfn.XLOOKUP($D193,'Modelling New'!$D:$D,'Modelling New'!$AK:$AK),"")</f>
        <v>0.05</v>
      </c>
      <c r="AQ193" s="142">
        <f>IFERROR(_xlfn.XLOOKUP($D193,'Modelling New'!$D:$D,'Modelling New'!$AL:$AL),"")</f>
        <v>0.05</v>
      </c>
      <c r="AR193" s="198">
        <f>IFERROR(_xlfn.XLOOKUP($D193,'Modelling New'!$D:$D,'Modelling New'!$N:$N),"")</f>
        <v>70.400000000000006</v>
      </c>
      <c r="AS193" s="198"/>
    </row>
    <row r="194" spans="1:45">
      <c r="A194" s="137">
        <f t="shared" si="23"/>
        <v>45937</v>
      </c>
      <c r="B194" s="138">
        <f>YEAR(Daily_KPI[[#This Row],[Date]])+IF(MONTH(Daily_KPI[[#This Row],[Date]])&gt;=4,1,0)</f>
        <v>2026</v>
      </c>
      <c r="C194" s="108">
        <f>YEAR(Daily_KPI[[#This Row],[Date]])</f>
        <v>2025</v>
      </c>
      <c r="D194" s="139">
        <f>Daily_KPI[[#This Row],[Date]]-DAY(Daily_KPI[[#This Row],[Date]])+1</f>
        <v>45931</v>
      </c>
      <c r="E194" s="108">
        <f t="shared" si="19"/>
        <v>31</v>
      </c>
      <c r="F194" s="109"/>
      <c r="G194" s="143"/>
      <c r="H194" s="143"/>
      <c r="I194" s="143"/>
      <c r="J194" s="143"/>
      <c r="K194" s="111"/>
      <c r="L194" s="110"/>
      <c r="M194" s="110" t="str">
        <f>IFERROR(_xlfn.XLOOKUP($A194,Input_Raw!$A:$A,Input_Raw!$CQ:$CQ),"")</f>
        <v/>
      </c>
      <c r="N194" s="110" t="str">
        <f>IFERROR(_xlfn.XLOOKUP($A194,Input_Raw!$A:$A,Input_Raw!$CR:$CR),"")</f>
        <v/>
      </c>
      <c r="O194" s="141" t="str">
        <f t="shared" si="20"/>
        <v/>
      </c>
      <c r="P194" s="141" t="str">
        <f>IFERROR(1-SUMIF(WTG_BD!$F:$F,$A194,WTG_BD!$AA:$AA)/($AA194+SUMIF(WTG_BD!$F:$F,$A194,WTG_BD!$AA:$AA)),"")</f>
        <v/>
      </c>
      <c r="Q194" s="141" t="str">
        <f>IFERROR(1-SUMIF(IGA_BD!$F:$F,$A194,IGA_BD!$W:$W)/($AA194+SUMIF(IGA_BD!$F:$F,$A194,IGA_BD!$W:$W)),"")</f>
        <v/>
      </c>
      <c r="R194" s="141" t="str">
        <f>IFERROR(1-SUMIF(Grid_BD!$F:$F,$A194,Grid_BD!$Y:$Y)/($AA194+SUMIF(Grid_BD!$F:$F,$A194,Grid_BD!$Y:$Y)),"")</f>
        <v/>
      </c>
      <c r="S194" s="108"/>
      <c r="T194" s="140"/>
      <c r="U194" s="141"/>
      <c r="V194" s="108"/>
      <c r="W194" s="142" t="str">
        <f t="shared" si="21"/>
        <v/>
      </c>
      <c r="X194" s="108" t="str">
        <f>IFERROR(_xlfn.XLOOKUP($A194,Input_Raw!$A:$A,Input_Raw!$CP:$CP)*1000,"")</f>
        <v/>
      </c>
      <c r="Y194" s="108" t="str">
        <f>IFERROR(_xlfn.XLOOKUP($A194,Input_Raw!$A:$A,Input_Raw!DJ:DJ)*1000,"")</f>
        <v/>
      </c>
      <c r="Z194" s="108" t="str">
        <f>IFERROR(_xlfn.XLOOKUP($A194,Input_Raw!$A:$A,Input_Raw!DK:DK)*1000,"")</f>
        <v/>
      </c>
      <c r="AA194" s="138" t="str">
        <f t="shared" si="22"/>
        <v/>
      </c>
      <c r="AB194" s="108" t="str">
        <f>IFERROR(_xlfn.XLOOKUP($A194,Input_Raw!$A:$A,Input_Raw!$DR:$DR),"")</f>
        <v/>
      </c>
      <c r="AC194" s="143">
        <f>IFERROR(_xlfn.XLOOKUP($D194,'Modelling New'!$D:$D,'Modelling New'!$J:$J),"")</f>
        <v>4.1733333333333329</v>
      </c>
      <c r="AD194" s="138">
        <f>IFERROR(_xlfn.XLOOKUP($D194,'Modelling New'!$D:$D,'Modelling New'!$T:$T)*1000,"")</f>
        <v>150264.62742866005</v>
      </c>
      <c r="AE194" s="142"/>
      <c r="AF194" s="142">
        <f>IFERROR(_xlfn.XLOOKUP($D194,'Modelling New'!$D:$D,'Modelling New'!$W:$W),"")</f>
        <v>8.8935030438364135E-2</v>
      </c>
      <c r="AG194" s="142">
        <f>IFERROR(_xlfn.XLOOKUP($D194,'Modelling New'!$D:$D,'Modelling New'!$AE:$AE),"")</f>
        <v>0.96029999999999993</v>
      </c>
      <c r="AH194" s="142">
        <f>IFERROR(_xlfn.XLOOKUP($D194,'Modelling New'!$D:$D,'Modelling New'!$AF:$AF),"")</f>
        <v>0.995</v>
      </c>
      <c r="AI194" s="109" t="str">
        <f>IFERROR(_xlfn.XLOOKUP($A194,Input_Raw!$A:$A,Input_Raw!$DP:$DP),"")</f>
        <v/>
      </c>
      <c r="AJ194" s="108"/>
      <c r="AK194" s="108"/>
      <c r="AL194" s="108"/>
      <c r="AM194" s="108"/>
      <c r="AN194" s="132" t="str">
        <f>IFERROR(_xlfn.XLOOKUP($A194,Input_Raw!$A:$A,Input_Raw!$DL:$DL),"")</f>
        <v/>
      </c>
      <c r="AO194" s="142" t="str">
        <f>IFERROR((_xlfn.XLOOKUP($A194,'WTG Reactive Power'!$A:$A,'WTG Reactive Power'!$AW:$AW))/X194,"")</f>
        <v/>
      </c>
      <c r="AP194" s="142">
        <f>IFERROR(_xlfn.XLOOKUP($D194,'Modelling New'!$D:$D,'Modelling New'!$AK:$AK),"")</f>
        <v>0.05</v>
      </c>
      <c r="AQ194" s="142">
        <f>IFERROR(_xlfn.XLOOKUP($D194,'Modelling New'!$D:$D,'Modelling New'!$AL:$AL),"")</f>
        <v>0.05</v>
      </c>
      <c r="AR194" s="198">
        <f>IFERROR(_xlfn.XLOOKUP($D194,'Modelling New'!$D:$D,'Modelling New'!$N:$N),"")</f>
        <v>70.400000000000006</v>
      </c>
      <c r="AS194" s="198"/>
    </row>
    <row r="195" spans="1:45">
      <c r="A195" s="137">
        <f t="shared" si="23"/>
        <v>45938</v>
      </c>
      <c r="B195" s="138">
        <f>YEAR(Daily_KPI[[#This Row],[Date]])+IF(MONTH(Daily_KPI[[#This Row],[Date]])&gt;=4,1,0)</f>
        <v>2026</v>
      </c>
      <c r="C195" s="108">
        <f>YEAR(Daily_KPI[[#This Row],[Date]])</f>
        <v>2025</v>
      </c>
      <c r="D195" s="139">
        <f>Daily_KPI[[#This Row],[Date]]-DAY(Daily_KPI[[#This Row],[Date]])+1</f>
        <v>45931</v>
      </c>
      <c r="E195" s="108">
        <f t="shared" si="19"/>
        <v>31</v>
      </c>
      <c r="F195" s="109"/>
      <c r="G195" s="110"/>
      <c r="H195" s="110"/>
      <c r="I195" s="110"/>
      <c r="J195" s="110"/>
      <c r="K195" s="111"/>
      <c r="L195" s="110"/>
      <c r="M195" s="110" t="str">
        <f>IFERROR(_xlfn.XLOOKUP($A195,Input_Raw!$A:$A,Input_Raw!$CQ:$CQ),"")</f>
        <v/>
      </c>
      <c r="N195" s="110" t="str">
        <f>IFERROR(_xlfn.XLOOKUP($A195,Input_Raw!$A:$A,Input_Raw!$CR:$CR),"")</f>
        <v/>
      </c>
      <c r="O195" s="141" t="str">
        <f t="shared" si="20"/>
        <v/>
      </c>
      <c r="P195" s="141" t="str">
        <f>IFERROR(1-SUMIF(WTG_BD!$F:$F,$A195,WTG_BD!$AA:$AA)/($AA195+SUMIF(WTG_BD!$F:$F,$A195,WTG_BD!$AA:$AA)),"")</f>
        <v/>
      </c>
      <c r="Q195" s="141" t="str">
        <f>IFERROR(1-SUMIF(IGA_BD!$F:$F,$A195,IGA_BD!$W:$W)/($AA195+SUMIF(IGA_BD!$F:$F,$A195,IGA_BD!$W:$W)),"")</f>
        <v/>
      </c>
      <c r="R195" s="141" t="str">
        <f>IFERROR(1-SUMIF(Grid_BD!$F:$F,$A195,Grid_BD!$Y:$Y)/($AA195+SUMIF(Grid_BD!$F:$F,$A195,Grid_BD!$Y:$Y)),"")</f>
        <v/>
      </c>
      <c r="S195" s="108"/>
      <c r="T195" s="140"/>
      <c r="U195" s="141"/>
      <c r="V195" s="108"/>
      <c r="W195" s="142" t="str">
        <f t="shared" si="21"/>
        <v/>
      </c>
      <c r="X195" s="108" t="str">
        <f>IFERROR(_xlfn.XLOOKUP($A195,Input_Raw!$A:$A,Input_Raw!$CP:$CP)*1000,"")</f>
        <v/>
      </c>
      <c r="Y195" s="108" t="str">
        <f>IFERROR(_xlfn.XLOOKUP($A195,Input_Raw!$A:$A,Input_Raw!DJ:DJ)*1000,"")</f>
        <v/>
      </c>
      <c r="Z195" s="108" t="str">
        <f>IFERROR(_xlfn.XLOOKUP($A195,Input_Raw!$A:$A,Input_Raw!DK:DK)*1000,"")</f>
        <v/>
      </c>
      <c r="AA195" s="138" t="str">
        <f t="shared" si="22"/>
        <v/>
      </c>
      <c r="AB195" s="108" t="str">
        <f>IFERROR(_xlfn.XLOOKUP($A195,Input_Raw!$A:$A,Input_Raw!$DR:$DR),"")</f>
        <v/>
      </c>
      <c r="AC195" s="143">
        <f>IFERROR(_xlfn.XLOOKUP($D195,'Modelling New'!$D:$D,'Modelling New'!$J:$J),"")</f>
        <v>4.1733333333333329</v>
      </c>
      <c r="AD195" s="138">
        <f>IFERROR(_xlfn.XLOOKUP($D195,'Modelling New'!$D:$D,'Modelling New'!$T:$T)*1000,"")</f>
        <v>150264.62742866005</v>
      </c>
      <c r="AE195" s="142"/>
      <c r="AF195" s="142">
        <f>IFERROR(_xlfn.XLOOKUP($D195,'Modelling New'!$D:$D,'Modelling New'!$W:$W),"")</f>
        <v>8.8935030438364135E-2</v>
      </c>
      <c r="AG195" s="142">
        <f>IFERROR(_xlfn.XLOOKUP($D195,'Modelling New'!$D:$D,'Modelling New'!$AE:$AE),"")</f>
        <v>0.96029999999999993</v>
      </c>
      <c r="AH195" s="142">
        <f>IFERROR(_xlfn.XLOOKUP($D195,'Modelling New'!$D:$D,'Modelling New'!$AF:$AF),"")</f>
        <v>0.995</v>
      </c>
      <c r="AI195" s="109" t="str">
        <f>IFERROR(_xlfn.XLOOKUP($A195,Input_Raw!$A:$A,Input_Raw!$DP:$DP),"")</f>
        <v/>
      </c>
      <c r="AJ195" s="108"/>
      <c r="AK195" s="108"/>
      <c r="AL195" s="108"/>
      <c r="AM195" s="108"/>
      <c r="AN195" s="132" t="str">
        <f>IFERROR(_xlfn.XLOOKUP($A195,Input_Raw!$A:$A,Input_Raw!$DL:$DL),"")</f>
        <v/>
      </c>
      <c r="AO195" s="142" t="str">
        <f>IFERROR((_xlfn.XLOOKUP($A195,'WTG Reactive Power'!$A:$A,'WTG Reactive Power'!$AW:$AW))/X195,"")</f>
        <v/>
      </c>
      <c r="AP195" s="142">
        <f>IFERROR(_xlfn.XLOOKUP($D195,'Modelling New'!$D:$D,'Modelling New'!$AK:$AK),"")</f>
        <v>0.05</v>
      </c>
      <c r="AQ195" s="142">
        <f>IFERROR(_xlfn.XLOOKUP($D195,'Modelling New'!$D:$D,'Modelling New'!$AL:$AL),"")</f>
        <v>0.05</v>
      </c>
      <c r="AR195" s="198">
        <f>IFERROR(_xlfn.XLOOKUP($D195,'Modelling New'!$D:$D,'Modelling New'!$N:$N),"")</f>
        <v>70.400000000000006</v>
      </c>
      <c r="AS195" s="198"/>
    </row>
    <row r="196" spans="1:45">
      <c r="A196" s="137">
        <f t="shared" si="23"/>
        <v>45939</v>
      </c>
      <c r="B196" s="138">
        <f>YEAR(Daily_KPI[[#This Row],[Date]])+IF(MONTH(Daily_KPI[[#This Row],[Date]])&gt;=4,1,0)</f>
        <v>2026</v>
      </c>
      <c r="C196" s="108">
        <f>YEAR(Daily_KPI[[#This Row],[Date]])</f>
        <v>2025</v>
      </c>
      <c r="D196" s="139">
        <f>Daily_KPI[[#This Row],[Date]]-DAY(Daily_KPI[[#This Row],[Date]])+1</f>
        <v>45931</v>
      </c>
      <c r="E196" s="108">
        <f t="shared" si="19"/>
        <v>31</v>
      </c>
      <c r="F196" s="109"/>
      <c r="G196" s="143"/>
      <c r="H196" s="143"/>
      <c r="I196" s="143"/>
      <c r="J196" s="143"/>
      <c r="K196" s="111"/>
      <c r="L196" s="110"/>
      <c r="M196" s="110" t="str">
        <f>IFERROR(_xlfn.XLOOKUP($A196,Input_Raw!$A:$A,Input_Raw!$CQ:$CQ),"")</f>
        <v/>
      </c>
      <c r="N196" s="110" t="str">
        <f>IFERROR(_xlfn.XLOOKUP($A196,Input_Raw!$A:$A,Input_Raw!$CR:$CR),"")</f>
        <v/>
      </c>
      <c r="O196" s="141" t="str">
        <f t="shared" si="20"/>
        <v/>
      </c>
      <c r="P196" s="141" t="str">
        <f>IFERROR(1-SUMIF(WTG_BD!$F:$F,$A196,WTG_BD!$AA:$AA)/($AA196+SUMIF(WTG_BD!$F:$F,$A196,WTG_BD!$AA:$AA)),"")</f>
        <v/>
      </c>
      <c r="Q196" s="141" t="str">
        <f>IFERROR(1-SUMIF(IGA_BD!$F:$F,$A196,IGA_BD!$W:$W)/($AA196+SUMIF(IGA_BD!$F:$F,$A196,IGA_BD!$W:$W)),"")</f>
        <v/>
      </c>
      <c r="R196" s="141" t="str">
        <f>IFERROR(1-SUMIF(Grid_BD!$F:$F,$A196,Grid_BD!$Y:$Y)/($AA196+SUMIF(Grid_BD!$F:$F,$A196,Grid_BD!$Y:$Y)),"")</f>
        <v/>
      </c>
      <c r="S196" s="108"/>
      <c r="T196" s="140"/>
      <c r="U196" s="141"/>
      <c r="V196" s="108"/>
      <c r="W196" s="142" t="str">
        <f t="shared" si="21"/>
        <v/>
      </c>
      <c r="X196" s="108" t="str">
        <f>IFERROR(_xlfn.XLOOKUP($A196,Input_Raw!$A:$A,Input_Raw!$CP:$CP)*1000,"")</f>
        <v/>
      </c>
      <c r="Y196" s="108" t="str">
        <f>IFERROR(_xlfn.XLOOKUP($A196,Input_Raw!$A:$A,Input_Raw!DJ:DJ)*1000,"")</f>
        <v/>
      </c>
      <c r="Z196" s="108" t="str">
        <f>IFERROR(_xlfn.XLOOKUP($A196,Input_Raw!$A:$A,Input_Raw!DK:DK)*1000,"")</f>
        <v/>
      </c>
      <c r="AA196" s="138" t="str">
        <f t="shared" si="22"/>
        <v/>
      </c>
      <c r="AB196" s="108" t="str">
        <f>IFERROR(_xlfn.XLOOKUP($A196,Input_Raw!$A:$A,Input_Raw!$DR:$DR),"")</f>
        <v/>
      </c>
      <c r="AC196" s="143">
        <f>IFERROR(_xlfn.XLOOKUP($D196,'Modelling New'!$D:$D,'Modelling New'!$J:$J),"")</f>
        <v>4.1733333333333329</v>
      </c>
      <c r="AD196" s="138">
        <f>IFERROR(_xlfn.XLOOKUP($D196,'Modelling New'!$D:$D,'Modelling New'!$T:$T)*1000,"")</f>
        <v>150264.62742866005</v>
      </c>
      <c r="AE196" s="142"/>
      <c r="AF196" s="142">
        <f>IFERROR(_xlfn.XLOOKUP($D196,'Modelling New'!$D:$D,'Modelling New'!$W:$W),"")</f>
        <v>8.8935030438364135E-2</v>
      </c>
      <c r="AG196" s="142">
        <f>IFERROR(_xlfn.XLOOKUP($D196,'Modelling New'!$D:$D,'Modelling New'!$AE:$AE),"")</f>
        <v>0.96029999999999993</v>
      </c>
      <c r="AH196" s="142">
        <f>IFERROR(_xlfn.XLOOKUP($D196,'Modelling New'!$D:$D,'Modelling New'!$AF:$AF),"")</f>
        <v>0.995</v>
      </c>
      <c r="AI196" s="109" t="str">
        <f>IFERROR(_xlfn.XLOOKUP($A196,Input_Raw!$A:$A,Input_Raw!$DP:$DP),"")</f>
        <v/>
      </c>
      <c r="AJ196" s="108"/>
      <c r="AK196" s="108"/>
      <c r="AL196" s="108"/>
      <c r="AM196" s="108"/>
      <c r="AN196" s="132" t="str">
        <f>IFERROR(_xlfn.XLOOKUP($A196,Input_Raw!$A:$A,Input_Raw!$DL:$DL),"")</f>
        <v/>
      </c>
      <c r="AO196" s="142" t="str">
        <f>IFERROR((_xlfn.XLOOKUP($A196,'WTG Reactive Power'!$A:$A,'WTG Reactive Power'!$AW:$AW))/X196,"")</f>
        <v/>
      </c>
      <c r="AP196" s="142">
        <f>IFERROR(_xlfn.XLOOKUP($D196,'Modelling New'!$D:$D,'Modelling New'!$AK:$AK),"")</f>
        <v>0.05</v>
      </c>
      <c r="AQ196" s="142">
        <f>IFERROR(_xlfn.XLOOKUP($D196,'Modelling New'!$D:$D,'Modelling New'!$AL:$AL),"")</f>
        <v>0.05</v>
      </c>
      <c r="AR196" s="198">
        <f>IFERROR(_xlfn.XLOOKUP($D196,'Modelling New'!$D:$D,'Modelling New'!$N:$N),"")</f>
        <v>70.400000000000006</v>
      </c>
      <c r="AS196" s="198"/>
    </row>
    <row r="197" spans="1:45">
      <c r="A197" s="137">
        <f t="shared" si="23"/>
        <v>45940</v>
      </c>
      <c r="B197" s="138">
        <f>YEAR(Daily_KPI[[#This Row],[Date]])+IF(MONTH(Daily_KPI[[#This Row],[Date]])&gt;=4,1,0)</f>
        <v>2026</v>
      </c>
      <c r="C197" s="108">
        <f>YEAR(Daily_KPI[[#This Row],[Date]])</f>
        <v>2025</v>
      </c>
      <c r="D197" s="139">
        <f>Daily_KPI[[#This Row],[Date]]-DAY(Daily_KPI[[#This Row],[Date]])+1</f>
        <v>45931</v>
      </c>
      <c r="E197" s="108">
        <f t="shared" si="19"/>
        <v>31</v>
      </c>
      <c r="F197" s="109"/>
      <c r="G197" s="110"/>
      <c r="H197" s="110"/>
      <c r="I197" s="110"/>
      <c r="J197" s="110"/>
      <c r="K197" s="111"/>
      <c r="L197" s="110"/>
      <c r="M197" s="110" t="str">
        <f>IFERROR(_xlfn.XLOOKUP($A197,Input_Raw!$A:$A,Input_Raw!$CQ:$CQ),"")</f>
        <v/>
      </c>
      <c r="N197" s="110" t="str">
        <f>IFERROR(_xlfn.XLOOKUP($A197,Input_Raw!$A:$A,Input_Raw!$CR:$CR),"")</f>
        <v/>
      </c>
      <c r="O197" s="141" t="str">
        <f t="shared" si="20"/>
        <v/>
      </c>
      <c r="P197" s="141" t="str">
        <f>IFERROR(1-SUMIF(WTG_BD!$F:$F,$A197,WTG_BD!$AA:$AA)/($AA197+SUMIF(WTG_BD!$F:$F,$A197,WTG_BD!$AA:$AA)),"")</f>
        <v/>
      </c>
      <c r="Q197" s="141" t="str">
        <f>IFERROR(1-SUMIF(IGA_BD!$F:$F,$A197,IGA_BD!$W:$W)/($AA197+SUMIF(IGA_BD!$F:$F,$A197,IGA_BD!$W:$W)),"")</f>
        <v/>
      </c>
      <c r="R197" s="141" t="str">
        <f>IFERROR(1-SUMIF(Grid_BD!$F:$F,$A197,Grid_BD!$Y:$Y)/($AA197+SUMIF(Grid_BD!$F:$F,$A197,Grid_BD!$Y:$Y)),"")</f>
        <v/>
      </c>
      <c r="S197" s="108"/>
      <c r="T197" s="140"/>
      <c r="U197" s="141"/>
      <c r="V197" s="108"/>
      <c r="W197" s="142" t="str">
        <f t="shared" si="21"/>
        <v/>
      </c>
      <c r="X197" s="108" t="str">
        <f>IFERROR(_xlfn.XLOOKUP($A197,Input_Raw!$A:$A,Input_Raw!$CP:$CP)*1000,"")</f>
        <v/>
      </c>
      <c r="Y197" s="108" t="str">
        <f>IFERROR(_xlfn.XLOOKUP($A197,Input_Raw!$A:$A,Input_Raw!DJ:DJ)*1000,"")</f>
        <v/>
      </c>
      <c r="Z197" s="108" t="str">
        <f>IFERROR(_xlfn.XLOOKUP($A197,Input_Raw!$A:$A,Input_Raw!DK:DK)*1000,"")</f>
        <v/>
      </c>
      <c r="AA197" s="138" t="str">
        <f t="shared" si="22"/>
        <v/>
      </c>
      <c r="AB197" s="108" t="str">
        <f>IFERROR(_xlfn.XLOOKUP($A197,Input_Raw!$A:$A,Input_Raw!$DR:$DR),"")</f>
        <v/>
      </c>
      <c r="AC197" s="143">
        <f>IFERROR(_xlfn.XLOOKUP($D197,'Modelling New'!$D:$D,'Modelling New'!$J:$J),"")</f>
        <v>4.1733333333333329</v>
      </c>
      <c r="AD197" s="138">
        <f>IFERROR(_xlfn.XLOOKUP($D197,'Modelling New'!$D:$D,'Modelling New'!$T:$T)*1000,"")</f>
        <v>150264.62742866005</v>
      </c>
      <c r="AE197" s="142"/>
      <c r="AF197" s="142">
        <f>IFERROR(_xlfn.XLOOKUP($D197,'Modelling New'!$D:$D,'Modelling New'!$W:$W),"")</f>
        <v>8.8935030438364135E-2</v>
      </c>
      <c r="AG197" s="142">
        <f>IFERROR(_xlfn.XLOOKUP($D197,'Modelling New'!$D:$D,'Modelling New'!$AE:$AE),"")</f>
        <v>0.96029999999999993</v>
      </c>
      <c r="AH197" s="142">
        <f>IFERROR(_xlfn.XLOOKUP($D197,'Modelling New'!$D:$D,'Modelling New'!$AF:$AF),"")</f>
        <v>0.995</v>
      </c>
      <c r="AI197" s="109" t="str">
        <f>IFERROR(_xlfn.XLOOKUP($A197,Input_Raw!$A:$A,Input_Raw!$DP:$DP),"")</f>
        <v/>
      </c>
      <c r="AJ197" s="108"/>
      <c r="AK197" s="108"/>
      <c r="AL197" s="108"/>
      <c r="AM197" s="108"/>
      <c r="AN197" s="132" t="str">
        <f>IFERROR(_xlfn.XLOOKUP($A197,Input_Raw!$A:$A,Input_Raw!$DL:$DL),"")</f>
        <v/>
      </c>
      <c r="AO197" s="142" t="str">
        <f>IFERROR((_xlfn.XLOOKUP($A197,'WTG Reactive Power'!$A:$A,'WTG Reactive Power'!$AW:$AW))/X197,"")</f>
        <v/>
      </c>
      <c r="AP197" s="142">
        <f>IFERROR(_xlfn.XLOOKUP($D197,'Modelling New'!$D:$D,'Modelling New'!$AK:$AK),"")</f>
        <v>0.05</v>
      </c>
      <c r="AQ197" s="142">
        <f>IFERROR(_xlfn.XLOOKUP($D197,'Modelling New'!$D:$D,'Modelling New'!$AL:$AL),"")</f>
        <v>0.05</v>
      </c>
      <c r="AR197" s="198">
        <f>IFERROR(_xlfn.XLOOKUP($D197,'Modelling New'!$D:$D,'Modelling New'!$N:$N),"")</f>
        <v>70.400000000000006</v>
      </c>
      <c r="AS197" s="198"/>
    </row>
    <row r="198" spans="1:45">
      <c r="A198" s="137">
        <f t="shared" si="23"/>
        <v>45941</v>
      </c>
      <c r="B198" s="138">
        <f>YEAR(Daily_KPI[[#This Row],[Date]])+IF(MONTH(Daily_KPI[[#This Row],[Date]])&gt;=4,1,0)</f>
        <v>2026</v>
      </c>
      <c r="C198" s="108">
        <f>YEAR(Daily_KPI[[#This Row],[Date]])</f>
        <v>2025</v>
      </c>
      <c r="D198" s="139">
        <f>Daily_KPI[[#This Row],[Date]]-DAY(Daily_KPI[[#This Row],[Date]])+1</f>
        <v>45931</v>
      </c>
      <c r="E198" s="108">
        <f t="shared" si="19"/>
        <v>31</v>
      </c>
      <c r="F198" s="109"/>
      <c r="G198" s="143"/>
      <c r="H198" s="143"/>
      <c r="I198" s="143"/>
      <c r="J198" s="143"/>
      <c r="K198" s="111"/>
      <c r="L198" s="110"/>
      <c r="M198" s="110" t="str">
        <f>IFERROR(_xlfn.XLOOKUP($A198,Input_Raw!$A:$A,Input_Raw!$CQ:$CQ),"")</f>
        <v/>
      </c>
      <c r="N198" s="110" t="str">
        <f>IFERROR(_xlfn.XLOOKUP($A198,Input_Raw!$A:$A,Input_Raw!$CR:$CR),"")</f>
        <v/>
      </c>
      <c r="O198" s="141" t="str">
        <f t="shared" si="20"/>
        <v/>
      </c>
      <c r="P198" s="141" t="str">
        <f>IFERROR(1-SUMIF(WTG_BD!$F:$F,$A198,WTG_BD!$AA:$AA)/($AA198+SUMIF(WTG_BD!$F:$F,$A198,WTG_BD!$AA:$AA)),"")</f>
        <v/>
      </c>
      <c r="Q198" s="141" t="str">
        <f>IFERROR(1-SUMIF(IGA_BD!$F:$F,$A198,IGA_BD!$W:$W)/($AA198+SUMIF(IGA_BD!$F:$F,$A198,IGA_BD!$W:$W)),"")</f>
        <v/>
      </c>
      <c r="R198" s="141" t="str">
        <f>IFERROR(1-SUMIF(Grid_BD!$F:$F,$A198,Grid_BD!$Y:$Y)/($AA198+SUMIF(Grid_BD!$F:$F,$A198,Grid_BD!$Y:$Y)),"")</f>
        <v/>
      </c>
      <c r="S198" s="108"/>
      <c r="T198" s="140"/>
      <c r="U198" s="141"/>
      <c r="V198" s="108"/>
      <c r="W198" s="142" t="str">
        <f t="shared" si="21"/>
        <v/>
      </c>
      <c r="X198" s="108" t="str">
        <f>IFERROR(_xlfn.XLOOKUP($A198,Input_Raw!$A:$A,Input_Raw!$CP:$CP)*1000,"")</f>
        <v/>
      </c>
      <c r="Y198" s="108" t="str">
        <f>IFERROR(_xlfn.XLOOKUP($A198,Input_Raw!$A:$A,Input_Raw!DJ:DJ)*1000,"")</f>
        <v/>
      </c>
      <c r="Z198" s="108" t="str">
        <f>IFERROR(_xlfn.XLOOKUP($A198,Input_Raw!$A:$A,Input_Raw!DK:DK)*1000,"")</f>
        <v/>
      </c>
      <c r="AA198" s="138" t="str">
        <f t="shared" si="22"/>
        <v/>
      </c>
      <c r="AB198" s="108" t="str">
        <f>IFERROR(_xlfn.XLOOKUP($A198,Input_Raw!$A:$A,Input_Raw!$DR:$DR),"")</f>
        <v/>
      </c>
      <c r="AC198" s="143">
        <f>IFERROR(_xlfn.XLOOKUP($D198,'Modelling New'!$D:$D,'Modelling New'!$J:$J),"")</f>
        <v>4.1733333333333329</v>
      </c>
      <c r="AD198" s="138">
        <f>IFERROR(_xlfn.XLOOKUP($D198,'Modelling New'!$D:$D,'Modelling New'!$T:$T)*1000,"")</f>
        <v>150264.62742866005</v>
      </c>
      <c r="AE198" s="142"/>
      <c r="AF198" s="142">
        <f>IFERROR(_xlfn.XLOOKUP($D198,'Modelling New'!$D:$D,'Modelling New'!$W:$W),"")</f>
        <v>8.8935030438364135E-2</v>
      </c>
      <c r="AG198" s="142">
        <f>IFERROR(_xlfn.XLOOKUP($D198,'Modelling New'!$D:$D,'Modelling New'!$AE:$AE),"")</f>
        <v>0.96029999999999993</v>
      </c>
      <c r="AH198" s="142">
        <f>IFERROR(_xlfn.XLOOKUP($D198,'Modelling New'!$D:$D,'Modelling New'!$AF:$AF),"")</f>
        <v>0.995</v>
      </c>
      <c r="AI198" s="109" t="str">
        <f>IFERROR(_xlfn.XLOOKUP($A198,Input_Raw!$A:$A,Input_Raw!$DP:$DP),"")</f>
        <v/>
      </c>
      <c r="AJ198" s="108"/>
      <c r="AK198" s="108"/>
      <c r="AL198" s="108"/>
      <c r="AM198" s="108"/>
      <c r="AN198" s="132" t="str">
        <f>IFERROR(_xlfn.XLOOKUP($A198,Input_Raw!$A:$A,Input_Raw!$DL:$DL),"")</f>
        <v/>
      </c>
      <c r="AO198" s="142" t="str">
        <f>IFERROR((_xlfn.XLOOKUP($A198,'WTG Reactive Power'!$A:$A,'WTG Reactive Power'!$AW:$AW))/X198,"")</f>
        <v/>
      </c>
      <c r="AP198" s="142">
        <f>IFERROR(_xlfn.XLOOKUP($D198,'Modelling New'!$D:$D,'Modelling New'!$AK:$AK),"")</f>
        <v>0.05</v>
      </c>
      <c r="AQ198" s="142">
        <f>IFERROR(_xlfn.XLOOKUP($D198,'Modelling New'!$D:$D,'Modelling New'!$AL:$AL),"")</f>
        <v>0.05</v>
      </c>
      <c r="AR198" s="198">
        <f>IFERROR(_xlfn.XLOOKUP($D198,'Modelling New'!$D:$D,'Modelling New'!$N:$N),"")</f>
        <v>70.400000000000006</v>
      </c>
      <c r="AS198" s="198"/>
    </row>
    <row r="199" spans="1:45">
      <c r="A199" s="137">
        <f t="shared" si="23"/>
        <v>45942</v>
      </c>
      <c r="B199" s="138">
        <f>YEAR(Daily_KPI[[#This Row],[Date]])+IF(MONTH(Daily_KPI[[#This Row],[Date]])&gt;=4,1,0)</f>
        <v>2026</v>
      </c>
      <c r="C199" s="108">
        <f>YEAR(Daily_KPI[[#This Row],[Date]])</f>
        <v>2025</v>
      </c>
      <c r="D199" s="139">
        <f>Daily_KPI[[#This Row],[Date]]-DAY(Daily_KPI[[#This Row],[Date]])+1</f>
        <v>45931</v>
      </c>
      <c r="E199" s="108">
        <f t="shared" si="19"/>
        <v>31</v>
      </c>
      <c r="F199" s="109"/>
      <c r="G199" s="110"/>
      <c r="H199" s="110"/>
      <c r="I199" s="110"/>
      <c r="J199" s="110"/>
      <c r="K199" s="111"/>
      <c r="L199" s="110"/>
      <c r="M199" s="110" t="str">
        <f>IFERROR(_xlfn.XLOOKUP($A199,Input_Raw!$A:$A,Input_Raw!$CQ:$CQ),"")</f>
        <v/>
      </c>
      <c r="N199" s="110" t="str">
        <f>IFERROR(_xlfn.XLOOKUP($A199,Input_Raw!$A:$A,Input_Raw!$CR:$CR),"")</f>
        <v/>
      </c>
      <c r="O199" s="141" t="str">
        <f t="shared" si="20"/>
        <v/>
      </c>
      <c r="P199" s="141" t="str">
        <f>IFERROR(1-SUMIF(WTG_BD!$F:$F,$A199,WTG_BD!$AA:$AA)/($AA199+SUMIF(WTG_BD!$F:$F,$A199,WTG_BD!$AA:$AA)),"")</f>
        <v/>
      </c>
      <c r="Q199" s="141" t="str">
        <f>IFERROR(1-SUMIF(IGA_BD!$F:$F,$A199,IGA_BD!$W:$W)/($AA199+SUMIF(IGA_BD!$F:$F,$A199,IGA_BD!$W:$W)),"")</f>
        <v/>
      </c>
      <c r="R199" s="141" t="str">
        <f>IFERROR(1-SUMIF(Grid_BD!$F:$F,$A199,Grid_BD!$Y:$Y)/($AA199+SUMIF(Grid_BD!$F:$F,$A199,Grid_BD!$Y:$Y)),"")</f>
        <v/>
      </c>
      <c r="S199" s="108"/>
      <c r="T199" s="140"/>
      <c r="U199" s="141"/>
      <c r="V199" s="108"/>
      <c r="W199" s="142" t="str">
        <f t="shared" si="21"/>
        <v/>
      </c>
      <c r="X199" s="108" t="str">
        <f>IFERROR(_xlfn.XLOOKUP($A199,Input_Raw!$A:$A,Input_Raw!$CP:$CP)*1000,"")</f>
        <v/>
      </c>
      <c r="Y199" s="108" t="str">
        <f>IFERROR(_xlfn.XLOOKUP($A199,Input_Raw!$A:$A,Input_Raw!DJ:DJ)*1000,"")</f>
        <v/>
      </c>
      <c r="Z199" s="108" t="str">
        <f>IFERROR(_xlfn.XLOOKUP($A199,Input_Raw!$A:$A,Input_Raw!DK:DK)*1000,"")</f>
        <v/>
      </c>
      <c r="AA199" s="138" t="str">
        <f t="shared" si="22"/>
        <v/>
      </c>
      <c r="AB199" s="108" t="str">
        <f>IFERROR(_xlfn.XLOOKUP($A199,Input_Raw!$A:$A,Input_Raw!$DR:$DR),"")</f>
        <v/>
      </c>
      <c r="AC199" s="143">
        <f>IFERROR(_xlfn.XLOOKUP($D199,'Modelling New'!$D:$D,'Modelling New'!$J:$J),"")</f>
        <v>4.1733333333333329</v>
      </c>
      <c r="AD199" s="138">
        <f>IFERROR(_xlfn.XLOOKUP($D199,'Modelling New'!$D:$D,'Modelling New'!$T:$T)*1000,"")</f>
        <v>150264.62742866005</v>
      </c>
      <c r="AE199" s="142"/>
      <c r="AF199" s="142">
        <f>IFERROR(_xlfn.XLOOKUP($D199,'Modelling New'!$D:$D,'Modelling New'!$W:$W),"")</f>
        <v>8.8935030438364135E-2</v>
      </c>
      <c r="AG199" s="142">
        <f>IFERROR(_xlfn.XLOOKUP($D199,'Modelling New'!$D:$D,'Modelling New'!$AE:$AE),"")</f>
        <v>0.96029999999999993</v>
      </c>
      <c r="AH199" s="142">
        <f>IFERROR(_xlfn.XLOOKUP($D199,'Modelling New'!$D:$D,'Modelling New'!$AF:$AF),"")</f>
        <v>0.995</v>
      </c>
      <c r="AI199" s="109" t="str">
        <f>IFERROR(_xlfn.XLOOKUP($A199,Input_Raw!$A:$A,Input_Raw!$DP:$DP),"")</f>
        <v/>
      </c>
      <c r="AJ199" s="108"/>
      <c r="AK199" s="108"/>
      <c r="AL199" s="108"/>
      <c r="AM199" s="108"/>
      <c r="AN199" s="132" t="str">
        <f>IFERROR(_xlfn.XLOOKUP($A199,Input_Raw!$A:$A,Input_Raw!$DL:$DL),"")</f>
        <v/>
      </c>
      <c r="AO199" s="142" t="str">
        <f>IFERROR((_xlfn.XLOOKUP($A199,'WTG Reactive Power'!$A:$A,'WTG Reactive Power'!$AW:$AW))/X199,"")</f>
        <v/>
      </c>
      <c r="AP199" s="142">
        <f>IFERROR(_xlfn.XLOOKUP($D199,'Modelling New'!$D:$D,'Modelling New'!$AK:$AK),"")</f>
        <v>0.05</v>
      </c>
      <c r="AQ199" s="142">
        <f>IFERROR(_xlfn.XLOOKUP($D199,'Modelling New'!$D:$D,'Modelling New'!$AL:$AL),"")</f>
        <v>0.05</v>
      </c>
      <c r="AR199" s="198">
        <f>IFERROR(_xlfn.XLOOKUP($D199,'Modelling New'!$D:$D,'Modelling New'!$N:$N),"")</f>
        <v>70.400000000000006</v>
      </c>
      <c r="AS199" s="198"/>
    </row>
    <row r="200" spans="1:45">
      <c r="A200" s="137">
        <f t="shared" si="23"/>
        <v>45943</v>
      </c>
      <c r="B200" s="138">
        <f>YEAR(Daily_KPI[[#This Row],[Date]])+IF(MONTH(Daily_KPI[[#This Row],[Date]])&gt;=4,1,0)</f>
        <v>2026</v>
      </c>
      <c r="C200" s="108">
        <f>YEAR(Daily_KPI[[#This Row],[Date]])</f>
        <v>2025</v>
      </c>
      <c r="D200" s="139">
        <f>Daily_KPI[[#This Row],[Date]]-DAY(Daily_KPI[[#This Row],[Date]])+1</f>
        <v>45931</v>
      </c>
      <c r="E200" s="108">
        <f t="shared" si="19"/>
        <v>31</v>
      </c>
      <c r="F200" s="109"/>
      <c r="G200" s="143"/>
      <c r="H200" s="143"/>
      <c r="I200" s="143"/>
      <c r="J200" s="143"/>
      <c r="K200" s="111"/>
      <c r="L200" s="110"/>
      <c r="M200" s="110" t="str">
        <f>IFERROR(_xlfn.XLOOKUP($A200,Input_Raw!$A:$A,Input_Raw!$CQ:$CQ),"")</f>
        <v/>
      </c>
      <c r="N200" s="110" t="str">
        <f>IFERROR(_xlfn.XLOOKUP($A200,Input_Raw!$A:$A,Input_Raw!$CR:$CR),"")</f>
        <v/>
      </c>
      <c r="O200" s="141" t="str">
        <f t="shared" si="20"/>
        <v/>
      </c>
      <c r="P200" s="141" t="str">
        <f>IFERROR(1-SUMIF(WTG_BD!$F:$F,$A200,WTG_BD!$AA:$AA)/($AA200+SUMIF(WTG_BD!$F:$F,$A200,WTG_BD!$AA:$AA)),"")</f>
        <v/>
      </c>
      <c r="Q200" s="141" t="str">
        <f>IFERROR(1-SUMIF(IGA_BD!$F:$F,$A200,IGA_BD!$W:$W)/($AA200+SUMIF(IGA_BD!$F:$F,$A200,IGA_BD!$W:$W)),"")</f>
        <v/>
      </c>
      <c r="R200" s="141" t="str">
        <f>IFERROR(1-SUMIF(Grid_BD!$F:$F,$A200,Grid_BD!$Y:$Y)/($AA200+SUMIF(Grid_BD!$F:$F,$A200,Grid_BD!$Y:$Y)),"")</f>
        <v/>
      </c>
      <c r="S200" s="108"/>
      <c r="T200" s="140"/>
      <c r="U200" s="141"/>
      <c r="V200" s="108"/>
      <c r="W200" s="142" t="str">
        <f t="shared" si="21"/>
        <v/>
      </c>
      <c r="X200" s="108" t="str">
        <f>IFERROR(_xlfn.XLOOKUP($A200,Input_Raw!$A:$A,Input_Raw!$CP:$CP)*1000,"")</f>
        <v/>
      </c>
      <c r="Y200" s="108" t="str">
        <f>IFERROR(_xlfn.XLOOKUP($A200,Input_Raw!$A:$A,Input_Raw!DJ:DJ)*1000,"")</f>
        <v/>
      </c>
      <c r="Z200" s="108" t="str">
        <f>IFERROR(_xlfn.XLOOKUP($A200,Input_Raw!$A:$A,Input_Raw!DK:DK)*1000,"")</f>
        <v/>
      </c>
      <c r="AA200" s="138" t="str">
        <f t="shared" si="22"/>
        <v/>
      </c>
      <c r="AB200" s="108" t="str">
        <f>IFERROR(_xlfn.XLOOKUP($A200,Input_Raw!$A:$A,Input_Raw!$DR:$DR),"")</f>
        <v/>
      </c>
      <c r="AC200" s="143">
        <f>IFERROR(_xlfn.XLOOKUP($D200,'Modelling New'!$D:$D,'Modelling New'!$J:$J),"")</f>
        <v>4.1733333333333329</v>
      </c>
      <c r="AD200" s="138">
        <f>IFERROR(_xlfn.XLOOKUP($D200,'Modelling New'!$D:$D,'Modelling New'!$T:$T)*1000,"")</f>
        <v>150264.62742866005</v>
      </c>
      <c r="AE200" s="142"/>
      <c r="AF200" s="142">
        <f>IFERROR(_xlfn.XLOOKUP($D200,'Modelling New'!$D:$D,'Modelling New'!$W:$W),"")</f>
        <v>8.8935030438364135E-2</v>
      </c>
      <c r="AG200" s="142">
        <f>IFERROR(_xlfn.XLOOKUP($D200,'Modelling New'!$D:$D,'Modelling New'!$AE:$AE),"")</f>
        <v>0.96029999999999993</v>
      </c>
      <c r="AH200" s="142">
        <f>IFERROR(_xlfn.XLOOKUP($D200,'Modelling New'!$D:$D,'Modelling New'!$AF:$AF),"")</f>
        <v>0.995</v>
      </c>
      <c r="AI200" s="109" t="str">
        <f>IFERROR(_xlfn.XLOOKUP($A200,Input_Raw!$A:$A,Input_Raw!$DP:$DP),"")</f>
        <v/>
      </c>
      <c r="AJ200" s="108"/>
      <c r="AK200" s="108"/>
      <c r="AL200" s="108"/>
      <c r="AM200" s="108"/>
      <c r="AN200" s="132" t="str">
        <f>IFERROR(_xlfn.XLOOKUP($A200,Input_Raw!$A:$A,Input_Raw!$DL:$DL),"")</f>
        <v/>
      </c>
      <c r="AO200" s="142" t="str">
        <f>IFERROR((_xlfn.XLOOKUP($A200,'WTG Reactive Power'!$A:$A,'WTG Reactive Power'!$AW:$AW))/X200,"")</f>
        <v/>
      </c>
      <c r="AP200" s="142">
        <f>IFERROR(_xlfn.XLOOKUP($D200,'Modelling New'!$D:$D,'Modelling New'!$AK:$AK),"")</f>
        <v>0.05</v>
      </c>
      <c r="AQ200" s="142">
        <f>IFERROR(_xlfn.XLOOKUP($D200,'Modelling New'!$D:$D,'Modelling New'!$AL:$AL),"")</f>
        <v>0.05</v>
      </c>
      <c r="AR200" s="198">
        <f>IFERROR(_xlfn.XLOOKUP($D200,'Modelling New'!$D:$D,'Modelling New'!$N:$N),"")</f>
        <v>70.400000000000006</v>
      </c>
      <c r="AS200" s="198"/>
    </row>
    <row r="201" spans="1:45">
      <c r="A201" s="137">
        <f t="shared" si="23"/>
        <v>45944</v>
      </c>
      <c r="B201" s="138">
        <f>YEAR(Daily_KPI[[#This Row],[Date]])+IF(MONTH(Daily_KPI[[#This Row],[Date]])&gt;=4,1,0)</f>
        <v>2026</v>
      </c>
      <c r="C201" s="108">
        <f>YEAR(Daily_KPI[[#This Row],[Date]])</f>
        <v>2025</v>
      </c>
      <c r="D201" s="139">
        <f>Daily_KPI[[#This Row],[Date]]-DAY(Daily_KPI[[#This Row],[Date]])+1</f>
        <v>45931</v>
      </c>
      <c r="E201" s="108">
        <f t="shared" si="19"/>
        <v>31</v>
      </c>
      <c r="F201" s="109"/>
      <c r="G201" s="110"/>
      <c r="H201" s="110"/>
      <c r="I201" s="110"/>
      <c r="J201" s="110"/>
      <c r="K201" s="111"/>
      <c r="L201" s="110"/>
      <c r="M201" s="110" t="str">
        <f>IFERROR(_xlfn.XLOOKUP($A201,Input_Raw!$A:$A,Input_Raw!$CQ:$CQ),"")</f>
        <v/>
      </c>
      <c r="N201" s="110" t="str">
        <f>IFERROR(_xlfn.XLOOKUP($A201,Input_Raw!$A:$A,Input_Raw!$CR:$CR),"")</f>
        <v/>
      </c>
      <c r="O201" s="141" t="str">
        <f t="shared" si="20"/>
        <v/>
      </c>
      <c r="P201" s="141" t="str">
        <f>IFERROR(1-SUMIF(WTG_BD!$F:$F,$A201,WTG_BD!$AA:$AA)/($AA201+SUMIF(WTG_BD!$F:$F,$A201,WTG_BD!$AA:$AA)),"")</f>
        <v/>
      </c>
      <c r="Q201" s="141" t="str">
        <f>IFERROR(1-SUMIF(IGA_BD!$F:$F,$A201,IGA_BD!$W:$W)/($AA201+SUMIF(IGA_BD!$F:$F,$A201,IGA_BD!$W:$W)),"")</f>
        <v/>
      </c>
      <c r="R201" s="141" t="str">
        <f>IFERROR(1-SUMIF(Grid_BD!$F:$F,$A201,Grid_BD!$Y:$Y)/($AA201+SUMIF(Grid_BD!$F:$F,$A201,Grid_BD!$Y:$Y)),"")</f>
        <v/>
      </c>
      <c r="S201" s="108"/>
      <c r="T201" s="140"/>
      <c r="U201" s="141"/>
      <c r="V201" s="108"/>
      <c r="W201" s="142" t="str">
        <f t="shared" si="21"/>
        <v/>
      </c>
      <c r="X201" s="108" t="str">
        <f>IFERROR(_xlfn.XLOOKUP($A201,Input_Raw!$A:$A,Input_Raw!$CP:$CP)*1000,"")</f>
        <v/>
      </c>
      <c r="Y201" s="108" t="str">
        <f>IFERROR(_xlfn.XLOOKUP($A201,Input_Raw!$A:$A,Input_Raw!DJ:DJ)*1000,"")</f>
        <v/>
      </c>
      <c r="Z201" s="108" t="str">
        <f>IFERROR(_xlfn.XLOOKUP($A201,Input_Raw!$A:$A,Input_Raw!DK:DK)*1000,"")</f>
        <v/>
      </c>
      <c r="AA201" s="138" t="str">
        <f t="shared" si="22"/>
        <v/>
      </c>
      <c r="AB201" s="108" t="str">
        <f>IFERROR(_xlfn.XLOOKUP($A201,Input_Raw!$A:$A,Input_Raw!$DR:$DR),"")</f>
        <v/>
      </c>
      <c r="AC201" s="143">
        <f>IFERROR(_xlfn.XLOOKUP($D201,'Modelling New'!$D:$D,'Modelling New'!$J:$J),"")</f>
        <v>4.1733333333333329</v>
      </c>
      <c r="AD201" s="138">
        <f>IFERROR(_xlfn.XLOOKUP($D201,'Modelling New'!$D:$D,'Modelling New'!$T:$T)*1000,"")</f>
        <v>150264.62742866005</v>
      </c>
      <c r="AE201" s="142"/>
      <c r="AF201" s="142">
        <f>IFERROR(_xlfn.XLOOKUP($D201,'Modelling New'!$D:$D,'Modelling New'!$W:$W),"")</f>
        <v>8.8935030438364135E-2</v>
      </c>
      <c r="AG201" s="142">
        <f>IFERROR(_xlfn.XLOOKUP($D201,'Modelling New'!$D:$D,'Modelling New'!$AE:$AE),"")</f>
        <v>0.96029999999999993</v>
      </c>
      <c r="AH201" s="142">
        <f>IFERROR(_xlfn.XLOOKUP($D201,'Modelling New'!$D:$D,'Modelling New'!$AF:$AF),"")</f>
        <v>0.995</v>
      </c>
      <c r="AI201" s="109" t="str">
        <f>IFERROR(_xlfn.XLOOKUP($A201,Input_Raw!$A:$A,Input_Raw!$DP:$DP),"")</f>
        <v/>
      </c>
      <c r="AJ201" s="108"/>
      <c r="AK201" s="108"/>
      <c r="AL201" s="108"/>
      <c r="AM201" s="108"/>
      <c r="AN201" s="132" t="str">
        <f>IFERROR(_xlfn.XLOOKUP($A201,Input_Raw!$A:$A,Input_Raw!$DL:$DL),"")</f>
        <v/>
      </c>
      <c r="AO201" s="142" t="str">
        <f>IFERROR((_xlfn.XLOOKUP($A201,'WTG Reactive Power'!$A:$A,'WTG Reactive Power'!$AW:$AW))/X201,"")</f>
        <v/>
      </c>
      <c r="AP201" s="142">
        <f>IFERROR(_xlfn.XLOOKUP($D201,'Modelling New'!$D:$D,'Modelling New'!$AK:$AK),"")</f>
        <v>0.05</v>
      </c>
      <c r="AQ201" s="142">
        <f>IFERROR(_xlfn.XLOOKUP($D201,'Modelling New'!$D:$D,'Modelling New'!$AL:$AL),"")</f>
        <v>0.05</v>
      </c>
      <c r="AR201" s="198">
        <f>IFERROR(_xlfn.XLOOKUP($D201,'Modelling New'!$D:$D,'Modelling New'!$N:$N),"")</f>
        <v>70.400000000000006</v>
      </c>
      <c r="AS201" s="198"/>
    </row>
    <row r="202" spans="1:45">
      <c r="A202" s="137">
        <f t="shared" si="23"/>
        <v>45945</v>
      </c>
      <c r="B202" s="138">
        <f>YEAR(Daily_KPI[[#This Row],[Date]])+IF(MONTH(Daily_KPI[[#This Row],[Date]])&gt;=4,1,0)</f>
        <v>2026</v>
      </c>
      <c r="C202" s="108">
        <f>YEAR(Daily_KPI[[#This Row],[Date]])</f>
        <v>2025</v>
      </c>
      <c r="D202" s="139">
        <f>Daily_KPI[[#This Row],[Date]]-DAY(Daily_KPI[[#This Row],[Date]])+1</f>
        <v>45931</v>
      </c>
      <c r="E202" s="108">
        <f t="shared" si="19"/>
        <v>31</v>
      </c>
      <c r="F202" s="109"/>
      <c r="G202" s="143"/>
      <c r="H202" s="143"/>
      <c r="I202" s="143"/>
      <c r="J202" s="143"/>
      <c r="K202" s="111"/>
      <c r="L202" s="110"/>
      <c r="M202" s="110" t="str">
        <f>IFERROR(_xlfn.XLOOKUP($A202,Input_Raw!$A:$A,Input_Raw!$CQ:$CQ),"")</f>
        <v/>
      </c>
      <c r="N202" s="110" t="str">
        <f>IFERROR(_xlfn.XLOOKUP($A202,Input_Raw!$A:$A,Input_Raw!$CR:$CR),"")</f>
        <v/>
      </c>
      <c r="O202" s="141" t="str">
        <f t="shared" si="20"/>
        <v/>
      </c>
      <c r="P202" s="141" t="str">
        <f>IFERROR(1-SUMIF(WTG_BD!$F:$F,$A202,WTG_BD!$AA:$AA)/($AA202+SUMIF(WTG_BD!$F:$F,$A202,WTG_BD!$AA:$AA)),"")</f>
        <v/>
      </c>
      <c r="Q202" s="141" t="str">
        <f>IFERROR(1-SUMIF(IGA_BD!$F:$F,$A202,IGA_BD!$W:$W)/($AA202+SUMIF(IGA_BD!$F:$F,$A202,IGA_BD!$W:$W)),"")</f>
        <v/>
      </c>
      <c r="R202" s="141" t="str">
        <f>IFERROR(1-SUMIF(Grid_BD!$F:$F,$A202,Grid_BD!$Y:$Y)/($AA202+SUMIF(Grid_BD!$F:$F,$A202,Grid_BD!$Y:$Y)),"")</f>
        <v/>
      </c>
      <c r="S202" s="108"/>
      <c r="T202" s="140"/>
      <c r="U202" s="141"/>
      <c r="V202" s="108"/>
      <c r="W202" s="142" t="str">
        <f t="shared" si="21"/>
        <v/>
      </c>
      <c r="X202" s="108" t="str">
        <f>IFERROR(_xlfn.XLOOKUP($A202,Input_Raw!$A:$A,Input_Raw!$CP:$CP)*1000,"")</f>
        <v/>
      </c>
      <c r="Y202" s="108" t="str">
        <f>IFERROR(_xlfn.XLOOKUP($A202,Input_Raw!$A:$A,Input_Raw!DJ:DJ)*1000,"")</f>
        <v/>
      </c>
      <c r="Z202" s="108" t="str">
        <f>IFERROR(_xlfn.XLOOKUP($A202,Input_Raw!$A:$A,Input_Raw!DK:DK)*1000,"")</f>
        <v/>
      </c>
      <c r="AA202" s="138" t="str">
        <f t="shared" si="22"/>
        <v/>
      </c>
      <c r="AB202" s="108" t="str">
        <f>IFERROR(_xlfn.XLOOKUP($A202,Input_Raw!$A:$A,Input_Raw!$DR:$DR),"")</f>
        <v/>
      </c>
      <c r="AC202" s="143">
        <f>IFERROR(_xlfn.XLOOKUP($D202,'Modelling New'!$D:$D,'Modelling New'!$J:$J),"")</f>
        <v>4.1733333333333329</v>
      </c>
      <c r="AD202" s="138">
        <f>IFERROR(_xlfn.XLOOKUP($D202,'Modelling New'!$D:$D,'Modelling New'!$T:$T)*1000,"")</f>
        <v>150264.62742866005</v>
      </c>
      <c r="AE202" s="142"/>
      <c r="AF202" s="142">
        <f>IFERROR(_xlfn.XLOOKUP($D202,'Modelling New'!$D:$D,'Modelling New'!$W:$W),"")</f>
        <v>8.8935030438364135E-2</v>
      </c>
      <c r="AG202" s="142">
        <f>IFERROR(_xlfn.XLOOKUP($D202,'Modelling New'!$D:$D,'Modelling New'!$AE:$AE),"")</f>
        <v>0.96029999999999993</v>
      </c>
      <c r="AH202" s="142">
        <f>IFERROR(_xlfn.XLOOKUP($D202,'Modelling New'!$D:$D,'Modelling New'!$AF:$AF),"")</f>
        <v>0.995</v>
      </c>
      <c r="AI202" s="109" t="str">
        <f>IFERROR(_xlfn.XLOOKUP($A202,Input_Raw!$A:$A,Input_Raw!$DP:$DP),"")</f>
        <v/>
      </c>
      <c r="AJ202" s="108"/>
      <c r="AK202" s="108"/>
      <c r="AL202" s="108"/>
      <c r="AM202" s="108"/>
      <c r="AN202" s="132" t="str">
        <f>IFERROR(_xlfn.XLOOKUP($A202,Input_Raw!$A:$A,Input_Raw!$DL:$DL),"")</f>
        <v/>
      </c>
      <c r="AO202" s="142" t="str">
        <f>IFERROR((_xlfn.XLOOKUP($A202,'WTG Reactive Power'!$A:$A,'WTG Reactive Power'!$AW:$AW))/X202,"")</f>
        <v/>
      </c>
      <c r="AP202" s="142">
        <f>IFERROR(_xlfn.XLOOKUP($D202,'Modelling New'!$D:$D,'Modelling New'!$AK:$AK),"")</f>
        <v>0.05</v>
      </c>
      <c r="AQ202" s="142">
        <f>IFERROR(_xlfn.XLOOKUP($D202,'Modelling New'!$D:$D,'Modelling New'!$AL:$AL),"")</f>
        <v>0.05</v>
      </c>
      <c r="AR202" s="198">
        <f>IFERROR(_xlfn.XLOOKUP($D202,'Modelling New'!$D:$D,'Modelling New'!$N:$N),"")</f>
        <v>70.400000000000006</v>
      </c>
      <c r="AS202" s="198"/>
    </row>
    <row r="203" spans="1:45">
      <c r="A203" s="137">
        <f t="shared" si="23"/>
        <v>45946</v>
      </c>
      <c r="B203" s="138">
        <f>YEAR(Daily_KPI[[#This Row],[Date]])+IF(MONTH(Daily_KPI[[#This Row],[Date]])&gt;=4,1,0)</f>
        <v>2026</v>
      </c>
      <c r="C203" s="108">
        <f>YEAR(Daily_KPI[[#This Row],[Date]])</f>
        <v>2025</v>
      </c>
      <c r="D203" s="139">
        <f>Daily_KPI[[#This Row],[Date]]-DAY(Daily_KPI[[#This Row],[Date]])+1</f>
        <v>45931</v>
      </c>
      <c r="E203" s="108">
        <f t="shared" si="19"/>
        <v>31</v>
      </c>
      <c r="F203" s="109"/>
      <c r="G203" s="110"/>
      <c r="H203" s="110"/>
      <c r="I203" s="110"/>
      <c r="J203" s="110"/>
      <c r="K203" s="111"/>
      <c r="L203" s="110"/>
      <c r="M203" s="110" t="str">
        <f>IFERROR(_xlfn.XLOOKUP($A203,Input_Raw!$A:$A,Input_Raw!$CQ:$CQ),"")</f>
        <v/>
      </c>
      <c r="N203" s="110" t="str">
        <f>IFERROR(_xlfn.XLOOKUP($A203,Input_Raw!$A:$A,Input_Raw!$CR:$CR),"")</f>
        <v/>
      </c>
      <c r="O203" s="141" t="str">
        <f t="shared" si="20"/>
        <v/>
      </c>
      <c r="P203" s="141" t="str">
        <f>IFERROR(1-SUMIF(WTG_BD!$F:$F,$A203,WTG_BD!$AA:$AA)/($AA203+SUMIF(WTG_BD!$F:$F,$A203,WTG_BD!$AA:$AA)),"")</f>
        <v/>
      </c>
      <c r="Q203" s="141" t="str">
        <f>IFERROR(1-SUMIF(IGA_BD!$F:$F,$A203,IGA_BD!$W:$W)/($AA203+SUMIF(IGA_BD!$F:$F,$A203,IGA_BD!$W:$W)),"")</f>
        <v/>
      </c>
      <c r="R203" s="141" t="str">
        <f>IFERROR(1-SUMIF(Grid_BD!$F:$F,$A203,Grid_BD!$Y:$Y)/($AA203+SUMIF(Grid_BD!$F:$F,$A203,Grid_BD!$Y:$Y)),"")</f>
        <v/>
      </c>
      <c r="S203" s="108"/>
      <c r="T203" s="140"/>
      <c r="U203" s="141"/>
      <c r="V203" s="108"/>
      <c r="W203" s="142" t="str">
        <f t="shared" si="21"/>
        <v/>
      </c>
      <c r="X203" s="108" t="str">
        <f>IFERROR(_xlfn.XLOOKUP($A203,Input_Raw!$A:$A,Input_Raw!$CP:$CP)*1000,"")</f>
        <v/>
      </c>
      <c r="Y203" s="108" t="str">
        <f>IFERROR(_xlfn.XLOOKUP($A203,Input_Raw!$A:$A,Input_Raw!DJ:DJ)*1000,"")</f>
        <v/>
      </c>
      <c r="Z203" s="108" t="str">
        <f>IFERROR(_xlfn.XLOOKUP($A203,Input_Raw!$A:$A,Input_Raw!DK:DK)*1000,"")</f>
        <v/>
      </c>
      <c r="AA203" s="138" t="str">
        <f t="shared" si="22"/>
        <v/>
      </c>
      <c r="AB203" s="108" t="str">
        <f>IFERROR(_xlfn.XLOOKUP($A203,Input_Raw!$A:$A,Input_Raw!$DR:$DR),"")</f>
        <v/>
      </c>
      <c r="AC203" s="143">
        <f>IFERROR(_xlfn.XLOOKUP($D203,'Modelling New'!$D:$D,'Modelling New'!$J:$J),"")</f>
        <v>4.1733333333333329</v>
      </c>
      <c r="AD203" s="138">
        <f>IFERROR(_xlfn.XLOOKUP($D203,'Modelling New'!$D:$D,'Modelling New'!$T:$T)*1000,"")</f>
        <v>150264.62742866005</v>
      </c>
      <c r="AE203" s="142"/>
      <c r="AF203" s="142">
        <f>IFERROR(_xlfn.XLOOKUP($D203,'Modelling New'!$D:$D,'Modelling New'!$W:$W),"")</f>
        <v>8.8935030438364135E-2</v>
      </c>
      <c r="AG203" s="142">
        <f>IFERROR(_xlfn.XLOOKUP($D203,'Modelling New'!$D:$D,'Modelling New'!$AE:$AE),"")</f>
        <v>0.96029999999999993</v>
      </c>
      <c r="AH203" s="142">
        <f>IFERROR(_xlfn.XLOOKUP($D203,'Modelling New'!$D:$D,'Modelling New'!$AF:$AF),"")</f>
        <v>0.995</v>
      </c>
      <c r="AI203" s="109" t="str">
        <f>IFERROR(_xlfn.XLOOKUP($A203,Input_Raw!$A:$A,Input_Raw!$DP:$DP),"")</f>
        <v/>
      </c>
      <c r="AJ203" s="108"/>
      <c r="AK203" s="108"/>
      <c r="AL203" s="108"/>
      <c r="AM203" s="108"/>
      <c r="AN203" s="132" t="str">
        <f>IFERROR(_xlfn.XLOOKUP($A203,Input_Raw!$A:$A,Input_Raw!$DL:$DL),"")</f>
        <v/>
      </c>
      <c r="AO203" s="142" t="str">
        <f>IFERROR((_xlfn.XLOOKUP($A203,'WTG Reactive Power'!$A:$A,'WTG Reactive Power'!$AW:$AW))/X203,"")</f>
        <v/>
      </c>
      <c r="AP203" s="142">
        <f>IFERROR(_xlfn.XLOOKUP($D203,'Modelling New'!$D:$D,'Modelling New'!$AK:$AK),"")</f>
        <v>0.05</v>
      </c>
      <c r="AQ203" s="142">
        <f>IFERROR(_xlfn.XLOOKUP($D203,'Modelling New'!$D:$D,'Modelling New'!$AL:$AL),"")</f>
        <v>0.05</v>
      </c>
      <c r="AR203" s="198">
        <f>IFERROR(_xlfn.XLOOKUP($D203,'Modelling New'!$D:$D,'Modelling New'!$N:$N),"")</f>
        <v>70.400000000000006</v>
      </c>
      <c r="AS203" s="198"/>
    </row>
    <row r="204" spans="1:45">
      <c r="A204" s="137">
        <f t="shared" si="23"/>
        <v>45947</v>
      </c>
      <c r="B204" s="138">
        <f>YEAR(Daily_KPI[[#This Row],[Date]])+IF(MONTH(Daily_KPI[[#This Row],[Date]])&gt;=4,1,0)</f>
        <v>2026</v>
      </c>
      <c r="C204" s="108">
        <f>YEAR(Daily_KPI[[#This Row],[Date]])</f>
        <v>2025</v>
      </c>
      <c r="D204" s="139">
        <f>Daily_KPI[[#This Row],[Date]]-DAY(Daily_KPI[[#This Row],[Date]])+1</f>
        <v>45931</v>
      </c>
      <c r="E204" s="108">
        <f t="shared" si="19"/>
        <v>31</v>
      </c>
      <c r="F204" s="109"/>
      <c r="G204" s="143"/>
      <c r="H204" s="143"/>
      <c r="I204" s="143"/>
      <c r="J204" s="143"/>
      <c r="K204" s="111"/>
      <c r="L204" s="110"/>
      <c r="M204" s="110" t="str">
        <f>IFERROR(_xlfn.XLOOKUP($A204,Input_Raw!$A:$A,Input_Raw!$CQ:$CQ),"")</f>
        <v/>
      </c>
      <c r="N204" s="110" t="str">
        <f>IFERROR(_xlfn.XLOOKUP($A204,Input_Raw!$A:$A,Input_Raw!$CR:$CR),"")</f>
        <v/>
      </c>
      <c r="O204" s="141" t="str">
        <f t="shared" si="20"/>
        <v/>
      </c>
      <c r="P204" s="141" t="str">
        <f>IFERROR(1-SUMIF(WTG_BD!$F:$F,$A204,WTG_BD!$AA:$AA)/($AA204+SUMIF(WTG_BD!$F:$F,$A204,WTG_BD!$AA:$AA)),"")</f>
        <v/>
      </c>
      <c r="Q204" s="141" t="str">
        <f>IFERROR(1-SUMIF(IGA_BD!$F:$F,$A204,IGA_BD!$W:$W)/($AA204+SUMIF(IGA_BD!$F:$F,$A204,IGA_BD!$W:$W)),"")</f>
        <v/>
      </c>
      <c r="R204" s="141" t="str">
        <f>IFERROR(1-SUMIF(Grid_BD!$F:$F,$A204,Grid_BD!$Y:$Y)/($AA204+SUMIF(Grid_BD!$F:$F,$A204,Grid_BD!$Y:$Y)),"")</f>
        <v/>
      </c>
      <c r="S204" s="108"/>
      <c r="T204" s="140"/>
      <c r="U204" s="141"/>
      <c r="V204" s="108"/>
      <c r="W204" s="142" t="str">
        <f t="shared" si="21"/>
        <v/>
      </c>
      <c r="X204" s="108" t="str">
        <f>IFERROR(_xlfn.XLOOKUP($A204,Input_Raw!$A:$A,Input_Raw!$CP:$CP)*1000,"")</f>
        <v/>
      </c>
      <c r="Y204" s="108" t="str">
        <f>IFERROR(_xlfn.XLOOKUP($A204,Input_Raw!$A:$A,Input_Raw!DJ:DJ)*1000,"")</f>
        <v/>
      </c>
      <c r="Z204" s="108" t="str">
        <f>IFERROR(_xlfn.XLOOKUP($A204,Input_Raw!$A:$A,Input_Raw!DK:DK)*1000,"")</f>
        <v/>
      </c>
      <c r="AA204" s="138" t="str">
        <f t="shared" si="22"/>
        <v/>
      </c>
      <c r="AB204" s="108" t="str">
        <f>IFERROR(_xlfn.XLOOKUP($A204,Input_Raw!$A:$A,Input_Raw!$DR:$DR),"")</f>
        <v/>
      </c>
      <c r="AC204" s="143">
        <f>IFERROR(_xlfn.XLOOKUP($D204,'Modelling New'!$D:$D,'Modelling New'!$J:$J),"")</f>
        <v>4.1733333333333329</v>
      </c>
      <c r="AD204" s="138">
        <f>IFERROR(_xlfn.XLOOKUP($D204,'Modelling New'!$D:$D,'Modelling New'!$T:$T)*1000,"")</f>
        <v>150264.62742866005</v>
      </c>
      <c r="AE204" s="142"/>
      <c r="AF204" s="142">
        <f>IFERROR(_xlfn.XLOOKUP($D204,'Modelling New'!$D:$D,'Modelling New'!$W:$W),"")</f>
        <v>8.8935030438364135E-2</v>
      </c>
      <c r="AG204" s="142">
        <f>IFERROR(_xlfn.XLOOKUP($D204,'Modelling New'!$D:$D,'Modelling New'!$AE:$AE),"")</f>
        <v>0.96029999999999993</v>
      </c>
      <c r="AH204" s="142">
        <f>IFERROR(_xlfn.XLOOKUP($D204,'Modelling New'!$D:$D,'Modelling New'!$AF:$AF),"")</f>
        <v>0.995</v>
      </c>
      <c r="AI204" s="109" t="str">
        <f>IFERROR(_xlfn.XLOOKUP($A204,Input_Raw!$A:$A,Input_Raw!$DP:$DP),"")</f>
        <v/>
      </c>
      <c r="AJ204" s="108"/>
      <c r="AK204" s="108"/>
      <c r="AL204" s="108"/>
      <c r="AM204" s="108"/>
      <c r="AN204" s="132" t="str">
        <f>IFERROR(_xlfn.XLOOKUP($A204,Input_Raw!$A:$A,Input_Raw!$DL:$DL),"")</f>
        <v/>
      </c>
      <c r="AO204" s="142" t="str">
        <f>IFERROR((_xlfn.XLOOKUP($A204,'WTG Reactive Power'!$A:$A,'WTG Reactive Power'!$AW:$AW))/X204,"")</f>
        <v/>
      </c>
      <c r="AP204" s="142">
        <f>IFERROR(_xlfn.XLOOKUP($D204,'Modelling New'!$D:$D,'Modelling New'!$AK:$AK),"")</f>
        <v>0.05</v>
      </c>
      <c r="AQ204" s="142">
        <f>IFERROR(_xlfn.XLOOKUP($D204,'Modelling New'!$D:$D,'Modelling New'!$AL:$AL),"")</f>
        <v>0.05</v>
      </c>
      <c r="AR204" s="198">
        <f>IFERROR(_xlfn.XLOOKUP($D204,'Modelling New'!$D:$D,'Modelling New'!$N:$N),"")</f>
        <v>70.400000000000006</v>
      </c>
      <c r="AS204" s="198"/>
    </row>
    <row r="205" spans="1:45">
      <c r="A205" s="137">
        <f t="shared" si="23"/>
        <v>45948</v>
      </c>
      <c r="B205" s="138">
        <f>YEAR(Daily_KPI[[#This Row],[Date]])+IF(MONTH(Daily_KPI[[#This Row],[Date]])&gt;=4,1,0)</f>
        <v>2026</v>
      </c>
      <c r="C205" s="108">
        <f>YEAR(Daily_KPI[[#This Row],[Date]])</f>
        <v>2025</v>
      </c>
      <c r="D205" s="139">
        <f>Daily_KPI[[#This Row],[Date]]-DAY(Daily_KPI[[#This Row],[Date]])+1</f>
        <v>45931</v>
      </c>
      <c r="E205" s="108">
        <f t="shared" si="19"/>
        <v>31</v>
      </c>
      <c r="F205" s="109"/>
      <c r="G205" s="110"/>
      <c r="H205" s="110"/>
      <c r="I205" s="110"/>
      <c r="J205" s="110"/>
      <c r="K205" s="111"/>
      <c r="L205" s="110"/>
      <c r="M205" s="110" t="str">
        <f>IFERROR(_xlfn.XLOOKUP($A205,Input_Raw!$A:$A,Input_Raw!$CQ:$CQ),"")</f>
        <v/>
      </c>
      <c r="N205" s="110" t="str">
        <f>IFERROR(_xlfn.XLOOKUP($A205,Input_Raw!$A:$A,Input_Raw!$CR:$CR),"")</f>
        <v/>
      </c>
      <c r="O205" s="141" t="str">
        <f t="shared" si="20"/>
        <v/>
      </c>
      <c r="P205" s="141" t="str">
        <f>IFERROR(1-SUMIF(WTG_BD!$F:$F,$A205,WTG_BD!$AA:$AA)/($AA205+SUMIF(WTG_BD!$F:$F,$A205,WTG_BD!$AA:$AA)),"")</f>
        <v/>
      </c>
      <c r="Q205" s="141" t="str">
        <f>IFERROR(1-SUMIF(IGA_BD!$F:$F,$A205,IGA_BD!$W:$W)/($AA205+SUMIF(IGA_BD!$F:$F,$A205,IGA_BD!$W:$W)),"")</f>
        <v/>
      </c>
      <c r="R205" s="141" t="str">
        <f>IFERROR(1-SUMIF(Grid_BD!$F:$F,$A205,Grid_BD!$Y:$Y)/($AA205+SUMIF(Grid_BD!$F:$F,$A205,Grid_BD!$Y:$Y)),"")</f>
        <v/>
      </c>
      <c r="S205" s="108"/>
      <c r="T205" s="140"/>
      <c r="U205" s="141"/>
      <c r="V205" s="108"/>
      <c r="W205" s="142" t="str">
        <f t="shared" si="21"/>
        <v/>
      </c>
      <c r="X205" s="108" t="str">
        <f>IFERROR(_xlfn.XLOOKUP($A205,Input_Raw!$A:$A,Input_Raw!$CP:$CP)*1000,"")</f>
        <v/>
      </c>
      <c r="Y205" s="108" t="str">
        <f>IFERROR(_xlfn.XLOOKUP($A205,Input_Raw!$A:$A,Input_Raw!DJ:DJ)*1000,"")</f>
        <v/>
      </c>
      <c r="Z205" s="108" t="str">
        <f>IFERROR(_xlfn.XLOOKUP($A205,Input_Raw!$A:$A,Input_Raw!DK:DK)*1000,"")</f>
        <v/>
      </c>
      <c r="AA205" s="138" t="str">
        <f t="shared" si="22"/>
        <v/>
      </c>
      <c r="AB205" s="108" t="str">
        <f>IFERROR(_xlfn.XLOOKUP($A205,Input_Raw!$A:$A,Input_Raw!$DR:$DR),"")</f>
        <v/>
      </c>
      <c r="AC205" s="143">
        <f>IFERROR(_xlfn.XLOOKUP($D205,'Modelling New'!$D:$D,'Modelling New'!$J:$J),"")</f>
        <v>4.1733333333333329</v>
      </c>
      <c r="AD205" s="138">
        <f>IFERROR(_xlfn.XLOOKUP($D205,'Modelling New'!$D:$D,'Modelling New'!$T:$T)*1000,"")</f>
        <v>150264.62742866005</v>
      </c>
      <c r="AE205" s="142"/>
      <c r="AF205" s="142">
        <f>IFERROR(_xlfn.XLOOKUP($D205,'Modelling New'!$D:$D,'Modelling New'!$W:$W),"")</f>
        <v>8.8935030438364135E-2</v>
      </c>
      <c r="AG205" s="142">
        <f>IFERROR(_xlfn.XLOOKUP($D205,'Modelling New'!$D:$D,'Modelling New'!$AE:$AE),"")</f>
        <v>0.96029999999999993</v>
      </c>
      <c r="AH205" s="142">
        <f>IFERROR(_xlfn.XLOOKUP($D205,'Modelling New'!$D:$D,'Modelling New'!$AF:$AF),"")</f>
        <v>0.995</v>
      </c>
      <c r="AI205" s="109" t="str">
        <f>IFERROR(_xlfn.XLOOKUP($A205,Input_Raw!$A:$A,Input_Raw!$DP:$DP),"")</f>
        <v/>
      </c>
      <c r="AJ205" s="108"/>
      <c r="AK205" s="108"/>
      <c r="AL205" s="108"/>
      <c r="AM205" s="108"/>
      <c r="AN205" s="132" t="str">
        <f>IFERROR(_xlfn.XLOOKUP($A205,Input_Raw!$A:$A,Input_Raw!$DL:$DL),"")</f>
        <v/>
      </c>
      <c r="AO205" s="142" t="str">
        <f>IFERROR((_xlfn.XLOOKUP($A205,'WTG Reactive Power'!$A:$A,'WTG Reactive Power'!$AW:$AW))/X205,"")</f>
        <v/>
      </c>
      <c r="AP205" s="142">
        <f>IFERROR(_xlfn.XLOOKUP($D205,'Modelling New'!$D:$D,'Modelling New'!$AK:$AK),"")</f>
        <v>0.05</v>
      </c>
      <c r="AQ205" s="142">
        <f>IFERROR(_xlfn.XLOOKUP($D205,'Modelling New'!$D:$D,'Modelling New'!$AL:$AL),"")</f>
        <v>0.05</v>
      </c>
      <c r="AR205" s="198">
        <f>IFERROR(_xlfn.XLOOKUP($D205,'Modelling New'!$D:$D,'Modelling New'!$N:$N),"")</f>
        <v>70.400000000000006</v>
      </c>
      <c r="AS205" s="198"/>
    </row>
    <row r="206" spans="1:45">
      <c r="A206" s="137">
        <f t="shared" si="23"/>
        <v>45949</v>
      </c>
      <c r="B206" s="138">
        <f>YEAR(Daily_KPI[[#This Row],[Date]])+IF(MONTH(Daily_KPI[[#This Row],[Date]])&gt;=4,1,0)</f>
        <v>2026</v>
      </c>
      <c r="C206" s="108">
        <f>YEAR(Daily_KPI[[#This Row],[Date]])</f>
        <v>2025</v>
      </c>
      <c r="D206" s="139">
        <f>Daily_KPI[[#This Row],[Date]]-DAY(Daily_KPI[[#This Row],[Date]])+1</f>
        <v>45931</v>
      </c>
      <c r="E206" s="108">
        <f t="shared" si="19"/>
        <v>31</v>
      </c>
      <c r="F206" s="109"/>
      <c r="G206" s="143"/>
      <c r="H206" s="143"/>
      <c r="I206" s="143"/>
      <c r="J206" s="143"/>
      <c r="K206" s="111"/>
      <c r="L206" s="110"/>
      <c r="M206" s="110" t="str">
        <f>IFERROR(_xlfn.XLOOKUP($A206,Input_Raw!$A:$A,Input_Raw!$CQ:$CQ),"")</f>
        <v/>
      </c>
      <c r="N206" s="110" t="str">
        <f>IFERROR(_xlfn.XLOOKUP($A206,Input_Raw!$A:$A,Input_Raw!$CR:$CR),"")</f>
        <v/>
      </c>
      <c r="O206" s="141" t="str">
        <f t="shared" si="20"/>
        <v/>
      </c>
      <c r="P206" s="141" t="str">
        <f>IFERROR(1-SUMIF(WTG_BD!$F:$F,$A206,WTG_BD!$AA:$AA)/($AA206+SUMIF(WTG_BD!$F:$F,$A206,WTG_BD!$AA:$AA)),"")</f>
        <v/>
      </c>
      <c r="Q206" s="141" t="str">
        <f>IFERROR(1-SUMIF(IGA_BD!$F:$F,$A206,IGA_BD!$W:$W)/($AA206+SUMIF(IGA_BD!$F:$F,$A206,IGA_BD!$W:$W)),"")</f>
        <v/>
      </c>
      <c r="R206" s="141" t="str">
        <f>IFERROR(1-SUMIF(Grid_BD!$F:$F,$A206,Grid_BD!$Y:$Y)/($AA206+SUMIF(Grid_BD!$F:$F,$A206,Grid_BD!$Y:$Y)),"")</f>
        <v/>
      </c>
      <c r="S206" s="108"/>
      <c r="T206" s="140"/>
      <c r="U206" s="141"/>
      <c r="V206" s="108"/>
      <c r="W206" s="142" t="str">
        <f t="shared" si="21"/>
        <v/>
      </c>
      <c r="X206" s="108" t="str">
        <f>IFERROR(_xlfn.XLOOKUP($A206,Input_Raw!$A:$A,Input_Raw!$CP:$CP)*1000,"")</f>
        <v/>
      </c>
      <c r="Y206" s="108" t="str">
        <f>IFERROR(_xlfn.XLOOKUP($A206,Input_Raw!$A:$A,Input_Raw!DJ:DJ)*1000,"")</f>
        <v/>
      </c>
      <c r="Z206" s="108" t="str">
        <f>IFERROR(_xlfn.XLOOKUP($A206,Input_Raw!$A:$A,Input_Raw!DK:DK)*1000,"")</f>
        <v/>
      </c>
      <c r="AA206" s="138" t="str">
        <f t="shared" si="22"/>
        <v/>
      </c>
      <c r="AB206" s="108" t="str">
        <f>IFERROR(_xlfn.XLOOKUP($A206,Input_Raw!$A:$A,Input_Raw!$DR:$DR),"")</f>
        <v/>
      </c>
      <c r="AC206" s="143">
        <f>IFERROR(_xlfn.XLOOKUP($D206,'Modelling New'!$D:$D,'Modelling New'!$J:$J),"")</f>
        <v>4.1733333333333329</v>
      </c>
      <c r="AD206" s="138">
        <f>IFERROR(_xlfn.XLOOKUP($D206,'Modelling New'!$D:$D,'Modelling New'!$T:$T)*1000,"")</f>
        <v>150264.62742866005</v>
      </c>
      <c r="AE206" s="142"/>
      <c r="AF206" s="142">
        <f>IFERROR(_xlfn.XLOOKUP($D206,'Modelling New'!$D:$D,'Modelling New'!$W:$W),"")</f>
        <v>8.8935030438364135E-2</v>
      </c>
      <c r="AG206" s="142">
        <f>IFERROR(_xlfn.XLOOKUP($D206,'Modelling New'!$D:$D,'Modelling New'!$AE:$AE),"")</f>
        <v>0.96029999999999993</v>
      </c>
      <c r="AH206" s="142">
        <f>IFERROR(_xlfn.XLOOKUP($D206,'Modelling New'!$D:$D,'Modelling New'!$AF:$AF),"")</f>
        <v>0.995</v>
      </c>
      <c r="AI206" s="109" t="str">
        <f>IFERROR(_xlfn.XLOOKUP($A206,Input_Raw!$A:$A,Input_Raw!$DP:$DP),"")</f>
        <v/>
      </c>
      <c r="AJ206" s="108"/>
      <c r="AK206" s="108"/>
      <c r="AL206" s="108"/>
      <c r="AM206" s="108"/>
      <c r="AN206" s="132" t="str">
        <f>IFERROR(_xlfn.XLOOKUP($A206,Input_Raw!$A:$A,Input_Raw!$DL:$DL),"")</f>
        <v/>
      </c>
      <c r="AO206" s="142" t="str">
        <f>IFERROR((_xlfn.XLOOKUP($A206,'WTG Reactive Power'!$A:$A,'WTG Reactive Power'!$AW:$AW))/X206,"")</f>
        <v/>
      </c>
      <c r="AP206" s="142">
        <f>IFERROR(_xlfn.XLOOKUP($D206,'Modelling New'!$D:$D,'Modelling New'!$AK:$AK),"")</f>
        <v>0.05</v>
      </c>
      <c r="AQ206" s="142">
        <f>IFERROR(_xlfn.XLOOKUP($D206,'Modelling New'!$D:$D,'Modelling New'!$AL:$AL),"")</f>
        <v>0.05</v>
      </c>
      <c r="AR206" s="198">
        <f>IFERROR(_xlfn.XLOOKUP($D206,'Modelling New'!$D:$D,'Modelling New'!$N:$N),"")</f>
        <v>70.400000000000006</v>
      </c>
      <c r="AS206" s="198"/>
    </row>
    <row r="207" spans="1:45">
      <c r="A207" s="137">
        <f t="shared" si="23"/>
        <v>45950</v>
      </c>
      <c r="B207" s="138">
        <f>YEAR(Daily_KPI[[#This Row],[Date]])+IF(MONTH(Daily_KPI[[#This Row],[Date]])&gt;=4,1,0)</f>
        <v>2026</v>
      </c>
      <c r="C207" s="108">
        <f>YEAR(Daily_KPI[[#This Row],[Date]])</f>
        <v>2025</v>
      </c>
      <c r="D207" s="139">
        <f>Daily_KPI[[#This Row],[Date]]-DAY(Daily_KPI[[#This Row],[Date]])+1</f>
        <v>45931</v>
      </c>
      <c r="E207" s="108">
        <f t="shared" si="19"/>
        <v>31</v>
      </c>
      <c r="F207" s="109"/>
      <c r="G207" s="110"/>
      <c r="H207" s="110"/>
      <c r="I207" s="110"/>
      <c r="J207" s="110"/>
      <c r="K207" s="111"/>
      <c r="L207" s="110"/>
      <c r="M207" s="110" t="str">
        <f>IFERROR(_xlfn.XLOOKUP($A207,Input_Raw!$A:$A,Input_Raw!$CQ:$CQ),"")</f>
        <v/>
      </c>
      <c r="N207" s="110" t="str">
        <f>IFERROR(_xlfn.XLOOKUP($A207,Input_Raw!$A:$A,Input_Raw!$CR:$CR),"")</f>
        <v/>
      </c>
      <c r="O207" s="141" t="str">
        <f t="shared" si="20"/>
        <v/>
      </c>
      <c r="P207" s="141" t="str">
        <f>IFERROR(1-SUMIF(WTG_BD!$F:$F,$A207,WTG_BD!$AA:$AA)/($AA207+SUMIF(WTG_BD!$F:$F,$A207,WTG_BD!$AA:$AA)),"")</f>
        <v/>
      </c>
      <c r="Q207" s="141" t="str">
        <f>IFERROR(1-SUMIF(IGA_BD!$F:$F,$A207,IGA_BD!$W:$W)/($AA207+SUMIF(IGA_BD!$F:$F,$A207,IGA_BD!$W:$W)),"")</f>
        <v/>
      </c>
      <c r="R207" s="141" t="str">
        <f>IFERROR(1-SUMIF(Grid_BD!$F:$F,$A207,Grid_BD!$Y:$Y)/($AA207+SUMIF(Grid_BD!$F:$F,$A207,Grid_BD!$Y:$Y)),"")</f>
        <v/>
      </c>
      <c r="S207" s="108"/>
      <c r="T207" s="140"/>
      <c r="U207" s="141"/>
      <c r="V207" s="108"/>
      <c r="W207" s="142" t="str">
        <f t="shared" si="21"/>
        <v/>
      </c>
      <c r="X207" s="108" t="str">
        <f>IFERROR(_xlfn.XLOOKUP($A207,Input_Raw!$A:$A,Input_Raw!$CP:$CP)*1000,"")</f>
        <v/>
      </c>
      <c r="Y207" s="108" t="str">
        <f>IFERROR(_xlfn.XLOOKUP($A207,Input_Raw!$A:$A,Input_Raw!DJ:DJ)*1000,"")</f>
        <v/>
      </c>
      <c r="Z207" s="108" t="str">
        <f>IFERROR(_xlfn.XLOOKUP($A207,Input_Raw!$A:$A,Input_Raw!DK:DK)*1000,"")</f>
        <v/>
      </c>
      <c r="AA207" s="138" t="str">
        <f t="shared" si="22"/>
        <v/>
      </c>
      <c r="AB207" s="108" t="str">
        <f>IFERROR(_xlfn.XLOOKUP($A207,Input_Raw!$A:$A,Input_Raw!$DR:$DR),"")</f>
        <v/>
      </c>
      <c r="AC207" s="143">
        <f>IFERROR(_xlfn.XLOOKUP($D207,'Modelling New'!$D:$D,'Modelling New'!$J:$J),"")</f>
        <v>4.1733333333333329</v>
      </c>
      <c r="AD207" s="138">
        <f>IFERROR(_xlfn.XLOOKUP($D207,'Modelling New'!$D:$D,'Modelling New'!$T:$T)*1000,"")</f>
        <v>150264.62742866005</v>
      </c>
      <c r="AE207" s="142"/>
      <c r="AF207" s="142">
        <f>IFERROR(_xlfn.XLOOKUP($D207,'Modelling New'!$D:$D,'Modelling New'!$W:$W),"")</f>
        <v>8.8935030438364135E-2</v>
      </c>
      <c r="AG207" s="142">
        <f>IFERROR(_xlfn.XLOOKUP($D207,'Modelling New'!$D:$D,'Modelling New'!$AE:$AE),"")</f>
        <v>0.96029999999999993</v>
      </c>
      <c r="AH207" s="142">
        <f>IFERROR(_xlfn.XLOOKUP($D207,'Modelling New'!$D:$D,'Modelling New'!$AF:$AF),"")</f>
        <v>0.995</v>
      </c>
      <c r="AI207" s="109" t="str">
        <f>IFERROR(_xlfn.XLOOKUP($A207,Input_Raw!$A:$A,Input_Raw!$DP:$DP),"")</f>
        <v/>
      </c>
      <c r="AJ207" s="108"/>
      <c r="AK207" s="108"/>
      <c r="AL207" s="108"/>
      <c r="AM207" s="108"/>
      <c r="AN207" s="132" t="str">
        <f>IFERROR(_xlfn.XLOOKUP($A207,Input_Raw!$A:$A,Input_Raw!$DL:$DL),"")</f>
        <v/>
      </c>
      <c r="AO207" s="142" t="str">
        <f>IFERROR((_xlfn.XLOOKUP($A207,'WTG Reactive Power'!$A:$A,'WTG Reactive Power'!$AW:$AW))/X207,"")</f>
        <v/>
      </c>
      <c r="AP207" s="142">
        <f>IFERROR(_xlfn.XLOOKUP($D207,'Modelling New'!$D:$D,'Modelling New'!$AK:$AK),"")</f>
        <v>0.05</v>
      </c>
      <c r="AQ207" s="142">
        <f>IFERROR(_xlfn.XLOOKUP($D207,'Modelling New'!$D:$D,'Modelling New'!$AL:$AL),"")</f>
        <v>0.05</v>
      </c>
      <c r="AR207" s="198">
        <f>IFERROR(_xlfn.XLOOKUP($D207,'Modelling New'!$D:$D,'Modelling New'!$N:$N),"")</f>
        <v>70.400000000000006</v>
      </c>
      <c r="AS207" s="198"/>
    </row>
    <row r="208" spans="1:45">
      <c r="A208" s="137">
        <f t="shared" si="23"/>
        <v>45951</v>
      </c>
      <c r="B208" s="138">
        <f>YEAR(Daily_KPI[[#This Row],[Date]])+IF(MONTH(Daily_KPI[[#This Row],[Date]])&gt;=4,1,0)</f>
        <v>2026</v>
      </c>
      <c r="C208" s="108">
        <f>YEAR(Daily_KPI[[#This Row],[Date]])</f>
        <v>2025</v>
      </c>
      <c r="D208" s="139">
        <f>Daily_KPI[[#This Row],[Date]]-DAY(Daily_KPI[[#This Row],[Date]])+1</f>
        <v>45931</v>
      </c>
      <c r="E208" s="108">
        <f t="shared" si="19"/>
        <v>31</v>
      </c>
      <c r="F208" s="109"/>
      <c r="G208" s="143"/>
      <c r="H208" s="143"/>
      <c r="I208" s="143"/>
      <c r="J208" s="143"/>
      <c r="K208" s="111"/>
      <c r="L208" s="110"/>
      <c r="M208" s="110" t="str">
        <f>IFERROR(_xlfn.XLOOKUP($A208,Input_Raw!$A:$A,Input_Raw!$CQ:$CQ),"")</f>
        <v/>
      </c>
      <c r="N208" s="110" t="str">
        <f>IFERROR(_xlfn.XLOOKUP($A208,Input_Raw!$A:$A,Input_Raw!$CR:$CR),"")</f>
        <v/>
      </c>
      <c r="O208" s="141" t="str">
        <f t="shared" si="20"/>
        <v/>
      </c>
      <c r="P208" s="141" t="str">
        <f>IFERROR(1-SUMIF(WTG_BD!$F:$F,$A208,WTG_BD!$AA:$AA)/($AA208+SUMIF(WTG_BD!$F:$F,$A208,WTG_BD!$AA:$AA)),"")</f>
        <v/>
      </c>
      <c r="Q208" s="141" t="str">
        <f>IFERROR(1-SUMIF(IGA_BD!$F:$F,$A208,IGA_BD!$W:$W)/($AA208+SUMIF(IGA_BD!$F:$F,$A208,IGA_BD!$W:$W)),"")</f>
        <v/>
      </c>
      <c r="R208" s="141" t="str">
        <f>IFERROR(1-SUMIF(Grid_BD!$F:$F,$A208,Grid_BD!$Y:$Y)/($AA208+SUMIF(Grid_BD!$F:$F,$A208,Grid_BD!$Y:$Y)),"")</f>
        <v/>
      </c>
      <c r="S208" s="108"/>
      <c r="T208" s="140"/>
      <c r="U208" s="141"/>
      <c r="V208" s="108"/>
      <c r="W208" s="142" t="str">
        <f t="shared" si="21"/>
        <v/>
      </c>
      <c r="X208" s="108" t="str">
        <f>IFERROR(_xlfn.XLOOKUP($A208,Input_Raw!$A:$A,Input_Raw!$CP:$CP)*1000,"")</f>
        <v/>
      </c>
      <c r="Y208" s="108" t="str">
        <f>IFERROR(_xlfn.XLOOKUP($A208,Input_Raw!$A:$A,Input_Raw!DJ:DJ)*1000,"")</f>
        <v/>
      </c>
      <c r="Z208" s="108" t="str">
        <f>IFERROR(_xlfn.XLOOKUP($A208,Input_Raw!$A:$A,Input_Raw!DK:DK)*1000,"")</f>
        <v/>
      </c>
      <c r="AA208" s="138" t="str">
        <f t="shared" si="22"/>
        <v/>
      </c>
      <c r="AB208" s="108" t="str">
        <f>IFERROR(_xlfn.XLOOKUP($A208,Input_Raw!$A:$A,Input_Raw!$DR:$DR),"")</f>
        <v/>
      </c>
      <c r="AC208" s="143">
        <f>IFERROR(_xlfn.XLOOKUP($D208,'Modelling New'!$D:$D,'Modelling New'!$J:$J),"")</f>
        <v>4.1733333333333329</v>
      </c>
      <c r="AD208" s="138">
        <f>IFERROR(_xlfn.XLOOKUP($D208,'Modelling New'!$D:$D,'Modelling New'!$T:$T)*1000,"")</f>
        <v>150264.62742866005</v>
      </c>
      <c r="AE208" s="142"/>
      <c r="AF208" s="142">
        <f>IFERROR(_xlfn.XLOOKUP($D208,'Modelling New'!$D:$D,'Modelling New'!$W:$W),"")</f>
        <v>8.8935030438364135E-2</v>
      </c>
      <c r="AG208" s="142">
        <f>IFERROR(_xlfn.XLOOKUP($D208,'Modelling New'!$D:$D,'Modelling New'!$AE:$AE),"")</f>
        <v>0.96029999999999993</v>
      </c>
      <c r="AH208" s="142">
        <f>IFERROR(_xlfn.XLOOKUP($D208,'Modelling New'!$D:$D,'Modelling New'!$AF:$AF),"")</f>
        <v>0.995</v>
      </c>
      <c r="AI208" s="109" t="str">
        <f>IFERROR(_xlfn.XLOOKUP($A208,Input_Raw!$A:$A,Input_Raw!$DP:$DP),"")</f>
        <v/>
      </c>
      <c r="AJ208" s="108"/>
      <c r="AK208" s="108"/>
      <c r="AL208" s="108"/>
      <c r="AM208" s="108"/>
      <c r="AN208" s="132" t="str">
        <f>IFERROR(_xlfn.XLOOKUP($A208,Input_Raw!$A:$A,Input_Raw!$DL:$DL),"")</f>
        <v/>
      </c>
      <c r="AO208" s="142" t="str">
        <f>IFERROR((_xlfn.XLOOKUP($A208,'WTG Reactive Power'!$A:$A,'WTG Reactive Power'!$AW:$AW))/X208,"")</f>
        <v/>
      </c>
      <c r="AP208" s="142">
        <f>IFERROR(_xlfn.XLOOKUP($D208,'Modelling New'!$D:$D,'Modelling New'!$AK:$AK),"")</f>
        <v>0.05</v>
      </c>
      <c r="AQ208" s="142">
        <f>IFERROR(_xlfn.XLOOKUP($D208,'Modelling New'!$D:$D,'Modelling New'!$AL:$AL),"")</f>
        <v>0.05</v>
      </c>
      <c r="AR208" s="198">
        <f>IFERROR(_xlfn.XLOOKUP($D208,'Modelling New'!$D:$D,'Modelling New'!$N:$N),"")</f>
        <v>70.400000000000006</v>
      </c>
      <c r="AS208" s="198"/>
    </row>
    <row r="209" spans="1:45">
      <c r="A209" s="137">
        <f t="shared" si="23"/>
        <v>45952</v>
      </c>
      <c r="B209" s="138">
        <f>YEAR(Daily_KPI[[#This Row],[Date]])+IF(MONTH(Daily_KPI[[#This Row],[Date]])&gt;=4,1,0)</f>
        <v>2026</v>
      </c>
      <c r="C209" s="108">
        <f>YEAR(Daily_KPI[[#This Row],[Date]])</f>
        <v>2025</v>
      </c>
      <c r="D209" s="139">
        <f>Daily_KPI[[#This Row],[Date]]-DAY(Daily_KPI[[#This Row],[Date]])+1</f>
        <v>45931</v>
      </c>
      <c r="E209" s="108">
        <f t="shared" si="19"/>
        <v>31</v>
      </c>
      <c r="F209" s="109"/>
      <c r="G209" s="110"/>
      <c r="H209" s="110"/>
      <c r="I209" s="110"/>
      <c r="J209" s="110"/>
      <c r="K209" s="111"/>
      <c r="L209" s="110"/>
      <c r="M209" s="110" t="str">
        <f>IFERROR(_xlfn.XLOOKUP($A209,Input_Raw!$A:$A,Input_Raw!$CQ:$CQ),"")</f>
        <v/>
      </c>
      <c r="N209" s="110" t="str">
        <f>IFERROR(_xlfn.XLOOKUP($A209,Input_Raw!$A:$A,Input_Raw!$CR:$CR),"")</f>
        <v/>
      </c>
      <c r="O209" s="141" t="str">
        <f t="shared" si="20"/>
        <v/>
      </c>
      <c r="P209" s="141" t="str">
        <f>IFERROR(1-SUMIF(WTG_BD!$F:$F,$A209,WTG_BD!$AA:$AA)/($AA209+SUMIF(WTG_BD!$F:$F,$A209,WTG_BD!$AA:$AA)),"")</f>
        <v/>
      </c>
      <c r="Q209" s="141" t="str">
        <f>IFERROR(1-SUMIF(IGA_BD!$F:$F,$A209,IGA_BD!$W:$W)/($AA209+SUMIF(IGA_BD!$F:$F,$A209,IGA_BD!$W:$W)),"")</f>
        <v/>
      </c>
      <c r="R209" s="141" t="str">
        <f>IFERROR(1-SUMIF(Grid_BD!$F:$F,$A209,Grid_BD!$Y:$Y)/($AA209+SUMIF(Grid_BD!$F:$F,$A209,Grid_BD!$Y:$Y)),"")</f>
        <v/>
      </c>
      <c r="S209" s="108"/>
      <c r="T209" s="140"/>
      <c r="U209" s="141"/>
      <c r="V209" s="108"/>
      <c r="W209" s="142" t="str">
        <f t="shared" si="21"/>
        <v/>
      </c>
      <c r="X209" s="108" t="str">
        <f>IFERROR(_xlfn.XLOOKUP($A209,Input_Raw!$A:$A,Input_Raw!$CP:$CP)*1000,"")</f>
        <v/>
      </c>
      <c r="Y209" s="108" t="str">
        <f>IFERROR(_xlfn.XLOOKUP($A209,Input_Raw!$A:$A,Input_Raw!DJ:DJ)*1000,"")</f>
        <v/>
      </c>
      <c r="Z209" s="108" t="str">
        <f>IFERROR(_xlfn.XLOOKUP($A209,Input_Raw!$A:$A,Input_Raw!DK:DK)*1000,"")</f>
        <v/>
      </c>
      <c r="AA209" s="138" t="str">
        <f t="shared" si="22"/>
        <v/>
      </c>
      <c r="AB209" s="108" t="str">
        <f>IFERROR(_xlfn.XLOOKUP($A209,Input_Raw!$A:$A,Input_Raw!$DR:$DR),"")</f>
        <v/>
      </c>
      <c r="AC209" s="143">
        <f>IFERROR(_xlfn.XLOOKUP($D209,'Modelling New'!$D:$D,'Modelling New'!$J:$J),"")</f>
        <v>4.1733333333333329</v>
      </c>
      <c r="AD209" s="138">
        <f>IFERROR(_xlfn.XLOOKUP($D209,'Modelling New'!$D:$D,'Modelling New'!$T:$T)*1000,"")</f>
        <v>150264.62742866005</v>
      </c>
      <c r="AE209" s="142"/>
      <c r="AF209" s="142">
        <f>IFERROR(_xlfn.XLOOKUP($D209,'Modelling New'!$D:$D,'Modelling New'!$W:$W),"")</f>
        <v>8.8935030438364135E-2</v>
      </c>
      <c r="AG209" s="142">
        <f>IFERROR(_xlfn.XLOOKUP($D209,'Modelling New'!$D:$D,'Modelling New'!$AE:$AE),"")</f>
        <v>0.96029999999999993</v>
      </c>
      <c r="AH209" s="142">
        <f>IFERROR(_xlfn.XLOOKUP($D209,'Modelling New'!$D:$D,'Modelling New'!$AF:$AF),"")</f>
        <v>0.995</v>
      </c>
      <c r="AI209" s="109" t="str">
        <f>IFERROR(_xlfn.XLOOKUP($A209,Input_Raw!$A:$A,Input_Raw!$DP:$DP),"")</f>
        <v/>
      </c>
      <c r="AJ209" s="108"/>
      <c r="AK209" s="108"/>
      <c r="AL209" s="108"/>
      <c r="AM209" s="108"/>
      <c r="AN209" s="132" t="str">
        <f>IFERROR(_xlfn.XLOOKUP($A209,Input_Raw!$A:$A,Input_Raw!$DL:$DL),"")</f>
        <v/>
      </c>
      <c r="AO209" s="142" t="str">
        <f>IFERROR((_xlfn.XLOOKUP($A209,'WTG Reactive Power'!$A:$A,'WTG Reactive Power'!$AW:$AW))/X209,"")</f>
        <v/>
      </c>
      <c r="AP209" s="142">
        <f>IFERROR(_xlfn.XLOOKUP($D209,'Modelling New'!$D:$D,'Modelling New'!$AK:$AK),"")</f>
        <v>0.05</v>
      </c>
      <c r="AQ209" s="142">
        <f>IFERROR(_xlfn.XLOOKUP($D209,'Modelling New'!$D:$D,'Modelling New'!$AL:$AL),"")</f>
        <v>0.05</v>
      </c>
      <c r="AR209" s="198">
        <f>IFERROR(_xlfn.XLOOKUP($D209,'Modelling New'!$D:$D,'Modelling New'!$N:$N),"")</f>
        <v>70.400000000000006</v>
      </c>
      <c r="AS209" s="198"/>
    </row>
    <row r="210" spans="1:45">
      <c r="A210" s="137">
        <f t="shared" si="23"/>
        <v>45953</v>
      </c>
      <c r="B210" s="138">
        <f>YEAR(Daily_KPI[[#This Row],[Date]])+IF(MONTH(Daily_KPI[[#This Row],[Date]])&gt;=4,1,0)</f>
        <v>2026</v>
      </c>
      <c r="C210" s="108">
        <f>YEAR(Daily_KPI[[#This Row],[Date]])</f>
        <v>2025</v>
      </c>
      <c r="D210" s="139">
        <f>Daily_KPI[[#This Row],[Date]]-DAY(Daily_KPI[[#This Row],[Date]])+1</f>
        <v>45931</v>
      </c>
      <c r="E210" s="108">
        <f t="shared" si="19"/>
        <v>31</v>
      </c>
      <c r="F210" s="109"/>
      <c r="G210" s="143"/>
      <c r="H210" s="143"/>
      <c r="I210" s="143"/>
      <c r="J210" s="143"/>
      <c r="K210" s="111"/>
      <c r="L210" s="110"/>
      <c r="M210" s="110" t="str">
        <f>IFERROR(_xlfn.XLOOKUP($A210,Input_Raw!$A:$A,Input_Raw!$CQ:$CQ),"")</f>
        <v/>
      </c>
      <c r="N210" s="110" t="str">
        <f>IFERROR(_xlfn.XLOOKUP($A210,Input_Raw!$A:$A,Input_Raw!$CR:$CR),"")</f>
        <v/>
      </c>
      <c r="O210" s="141" t="str">
        <f t="shared" si="20"/>
        <v/>
      </c>
      <c r="P210" s="141" t="str">
        <f>IFERROR(1-SUMIF(WTG_BD!$F:$F,$A210,WTG_BD!$AA:$AA)/($AA210+SUMIF(WTG_BD!$F:$F,$A210,WTG_BD!$AA:$AA)),"")</f>
        <v/>
      </c>
      <c r="Q210" s="141" t="str">
        <f>IFERROR(1-SUMIF(IGA_BD!$F:$F,$A210,IGA_BD!$W:$W)/($AA210+SUMIF(IGA_BD!$F:$F,$A210,IGA_BD!$W:$W)),"")</f>
        <v/>
      </c>
      <c r="R210" s="141" t="str">
        <f>IFERROR(1-SUMIF(Grid_BD!$F:$F,$A210,Grid_BD!$Y:$Y)/($AA210+SUMIF(Grid_BD!$F:$F,$A210,Grid_BD!$Y:$Y)),"")</f>
        <v/>
      </c>
      <c r="S210" s="108"/>
      <c r="T210" s="140"/>
      <c r="U210" s="141"/>
      <c r="V210" s="108"/>
      <c r="W210" s="142" t="str">
        <f t="shared" si="21"/>
        <v/>
      </c>
      <c r="X210" s="108" t="str">
        <f>IFERROR(_xlfn.XLOOKUP($A210,Input_Raw!$A:$A,Input_Raw!$CP:$CP)*1000,"")</f>
        <v/>
      </c>
      <c r="Y210" s="108" t="str">
        <f>IFERROR(_xlfn.XLOOKUP($A210,Input_Raw!$A:$A,Input_Raw!DJ:DJ)*1000,"")</f>
        <v/>
      </c>
      <c r="Z210" s="108" t="str">
        <f>IFERROR(_xlfn.XLOOKUP($A210,Input_Raw!$A:$A,Input_Raw!DK:DK)*1000,"")</f>
        <v/>
      </c>
      <c r="AA210" s="138" t="str">
        <f t="shared" si="22"/>
        <v/>
      </c>
      <c r="AB210" s="108" t="str">
        <f>IFERROR(_xlfn.XLOOKUP($A210,Input_Raw!$A:$A,Input_Raw!$DR:$DR),"")</f>
        <v/>
      </c>
      <c r="AC210" s="143">
        <f>IFERROR(_xlfn.XLOOKUP($D210,'Modelling New'!$D:$D,'Modelling New'!$J:$J),"")</f>
        <v>4.1733333333333329</v>
      </c>
      <c r="AD210" s="138">
        <f>IFERROR(_xlfn.XLOOKUP($D210,'Modelling New'!$D:$D,'Modelling New'!$T:$T)*1000,"")</f>
        <v>150264.62742866005</v>
      </c>
      <c r="AE210" s="142"/>
      <c r="AF210" s="142">
        <f>IFERROR(_xlfn.XLOOKUP($D210,'Modelling New'!$D:$D,'Modelling New'!$W:$W),"")</f>
        <v>8.8935030438364135E-2</v>
      </c>
      <c r="AG210" s="142">
        <f>IFERROR(_xlfn.XLOOKUP($D210,'Modelling New'!$D:$D,'Modelling New'!$AE:$AE),"")</f>
        <v>0.96029999999999993</v>
      </c>
      <c r="AH210" s="142">
        <f>IFERROR(_xlfn.XLOOKUP($D210,'Modelling New'!$D:$D,'Modelling New'!$AF:$AF),"")</f>
        <v>0.995</v>
      </c>
      <c r="AI210" s="109" t="str">
        <f>IFERROR(_xlfn.XLOOKUP($A210,Input_Raw!$A:$A,Input_Raw!$DP:$DP),"")</f>
        <v/>
      </c>
      <c r="AJ210" s="108"/>
      <c r="AK210" s="108"/>
      <c r="AL210" s="108"/>
      <c r="AM210" s="108"/>
      <c r="AN210" s="132" t="str">
        <f>IFERROR(_xlfn.XLOOKUP($A210,Input_Raw!$A:$A,Input_Raw!$DL:$DL),"")</f>
        <v/>
      </c>
      <c r="AO210" s="142" t="str">
        <f>IFERROR((_xlfn.XLOOKUP($A210,'WTG Reactive Power'!$A:$A,'WTG Reactive Power'!$AW:$AW))/X210,"")</f>
        <v/>
      </c>
      <c r="AP210" s="142">
        <f>IFERROR(_xlfn.XLOOKUP($D210,'Modelling New'!$D:$D,'Modelling New'!$AK:$AK),"")</f>
        <v>0.05</v>
      </c>
      <c r="AQ210" s="142">
        <f>IFERROR(_xlfn.XLOOKUP($D210,'Modelling New'!$D:$D,'Modelling New'!$AL:$AL),"")</f>
        <v>0.05</v>
      </c>
      <c r="AR210" s="198">
        <f>IFERROR(_xlfn.XLOOKUP($D210,'Modelling New'!$D:$D,'Modelling New'!$N:$N),"")</f>
        <v>70.400000000000006</v>
      </c>
      <c r="AS210" s="198"/>
    </row>
    <row r="211" spans="1:45">
      <c r="A211" s="137">
        <f t="shared" si="23"/>
        <v>45954</v>
      </c>
      <c r="B211" s="138">
        <f>YEAR(Daily_KPI[[#This Row],[Date]])+IF(MONTH(Daily_KPI[[#This Row],[Date]])&gt;=4,1,0)</f>
        <v>2026</v>
      </c>
      <c r="C211" s="108">
        <f>YEAR(Daily_KPI[[#This Row],[Date]])</f>
        <v>2025</v>
      </c>
      <c r="D211" s="139">
        <f>Daily_KPI[[#This Row],[Date]]-DAY(Daily_KPI[[#This Row],[Date]])+1</f>
        <v>45931</v>
      </c>
      <c r="E211" s="108">
        <f t="shared" si="19"/>
        <v>31</v>
      </c>
      <c r="F211" s="109"/>
      <c r="G211" s="110"/>
      <c r="H211" s="110"/>
      <c r="I211" s="110"/>
      <c r="J211" s="110"/>
      <c r="K211" s="111"/>
      <c r="L211" s="110"/>
      <c r="M211" s="110" t="str">
        <f>IFERROR(_xlfn.XLOOKUP($A211,Input_Raw!$A:$A,Input_Raw!$CQ:$CQ),"")</f>
        <v/>
      </c>
      <c r="N211" s="110" t="str">
        <f>IFERROR(_xlfn.XLOOKUP($A211,Input_Raw!$A:$A,Input_Raw!$CR:$CR),"")</f>
        <v/>
      </c>
      <c r="O211" s="141" t="str">
        <f t="shared" si="20"/>
        <v/>
      </c>
      <c r="P211" s="141" t="str">
        <f>IFERROR(1-SUMIF(WTG_BD!$F:$F,$A211,WTG_BD!$AA:$AA)/($AA211+SUMIF(WTG_BD!$F:$F,$A211,WTG_BD!$AA:$AA)),"")</f>
        <v/>
      </c>
      <c r="Q211" s="141" t="str">
        <f>IFERROR(1-SUMIF(IGA_BD!$F:$F,$A211,IGA_BD!$W:$W)/($AA211+SUMIF(IGA_BD!$F:$F,$A211,IGA_BD!$W:$W)),"")</f>
        <v/>
      </c>
      <c r="R211" s="141" t="str">
        <f>IFERROR(1-SUMIF(Grid_BD!$F:$F,$A211,Grid_BD!$Y:$Y)/($AA211+SUMIF(Grid_BD!$F:$F,$A211,Grid_BD!$Y:$Y)),"")</f>
        <v/>
      </c>
      <c r="S211" s="108"/>
      <c r="T211" s="140"/>
      <c r="U211" s="141"/>
      <c r="V211" s="108"/>
      <c r="W211" s="142" t="str">
        <f t="shared" si="21"/>
        <v/>
      </c>
      <c r="X211" s="108" t="str">
        <f>IFERROR(_xlfn.XLOOKUP($A211,Input_Raw!$A:$A,Input_Raw!$CP:$CP)*1000,"")</f>
        <v/>
      </c>
      <c r="Y211" s="108" t="str">
        <f>IFERROR(_xlfn.XLOOKUP($A211,Input_Raw!$A:$A,Input_Raw!DJ:DJ)*1000,"")</f>
        <v/>
      </c>
      <c r="Z211" s="108" t="str">
        <f>IFERROR(_xlfn.XLOOKUP($A211,Input_Raw!$A:$A,Input_Raw!DK:DK)*1000,"")</f>
        <v/>
      </c>
      <c r="AA211" s="138" t="str">
        <f t="shared" si="22"/>
        <v/>
      </c>
      <c r="AB211" s="108" t="str">
        <f>IFERROR(_xlfn.XLOOKUP($A211,Input_Raw!$A:$A,Input_Raw!$DR:$DR),"")</f>
        <v/>
      </c>
      <c r="AC211" s="143">
        <f>IFERROR(_xlfn.XLOOKUP($D211,'Modelling New'!$D:$D,'Modelling New'!$J:$J),"")</f>
        <v>4.1733333333333329</v>
      </c>
      <c r="AD211" s="138">
        <f>IFERROR(_xlfn.XLOOKUP($D211,'Modelling New'!$D:$D,'Modelling New'!$T:$T)*1000,"")</f>
        <v>150264.62742866005</v>
      </c>
      <c r="AE211" s="142"/>
      <c r="AF211" s="142">
        <f>IFERROR(_xlfn.XLOOKUP($D211,'Modelling New'!$D:$D,'Modelling New'!$W:$W),"")</f>
        <v>8.8935030438364135E-2</v>
      </c>
      <c r="AG211" s="142">
        <f>IFERROR(_xlfn.XLOOKUP($D211,'Modelling New'!$D:$D,'Modelling New'!$AE:$AE),"")</f>
        <v>0.96029999999999993</v>
      </c>
      <c r="AH211" s="142">
        <f>IFERROR(_xlfn.XLOOKUP($D211,'Modelling New'!$D:$D,'Modelling New'!$AF:$AF),"")</f>
        <v>0.995</v>
      </c>
      <c r="AI211" s="109" t="str">
        <f>IFERROR(_xlfn.XLOOKUP($A211,Input_Raw!$A:$A,Input_Raw!$DP:$DP),"")</f>
        <v/>
      </c>
      <c r="AJ211" s="108"/>
      <c r="AK211" s="108"/>
      <c r="AL211" s="108"/>
      <c r="AM211" s="108"/>
      <c r="AN211" s="132" t="str">
        <f>IFERROR(_xlfn.XLOOKUP($A211,Input_Raw!$A:$A,Input_Raw!$DL:$DL),"")</f>
        <v/>
      </c>
      <c r="AO211" s="142" t="str">
        <f>IFERROR((_xlfn.XLOOKUP($A211,'WTG Reactive Power'!$A:$A,'WTG Reactive Power'!$AW:$AW))/X211,"")</f>
        <v/>
      </c>
      <c r="AP211" s="142">
        <f>IFERROR(_xlfn.XLOOKUP($D211,'Modelling New'!$D:$D,'Modelling New'!$AK:$AK),"")</f>
        <v>0.05</v>
      </c>
      <c r="AQ211" s="142">
        <f>IFERROR(_xlfn.XLOOKUP($D211,'Modelling New'!$D:$D,'Modelling New'!$AL:$AL),"")</f>
        <v>0.05</v>
      </c>
      <c r="AR211" s="198">
        <f>IFERROR(_xlfn.XLOOKUP($D211,'Modelling New'!$D:$D,'Modelling New'!$N:$N),"")</f>
        <v>70.400000000000006</v>
      </c>
      <c r="AS211" s="198"/>
    </row>
    <row r="212" spans="1:45">
      <c r="A212" s="137">
        <f t="shared" si="23"/>
        <v>45955</v>
      </c>
      <c r="B212" s="138">
        <f>YEAR(Daily_KPI[[#This Row],[Date]])+IF(MONTH(Daily_KPI[[#This Row],[Date]])&gt;=4,1,0)</f>
        <v>2026</v>
      </c>
      <c r="C212" s="108">
        <f>YEAR(Daily_KPI[[#This Row],[Date]])</f>
        <v>2025</v>
      </c>
      <c r="D212" s="139">
        <f>Daily_KPI[[#This Row],[Date]]-DAY(Daily_KPI[[#This Row],[Date]])+1</f>
        <v>45931</v>
      </c>
      <c r="E212" s="108">
        <f t="shared" si="19"/>
        <v>31</v>
      </c>
      <c r="F212" s="109"/>
      <c r="G212" s="143"/>
      <c r="H212" s="143"/>
      <c r="I212" s="143"/>
      <c r="J212" s="143"/>
      <c r="K212" s="111"/>
      <c r="L212" s="110"/>
      <c r="M212" s="110" t="str">
        <f>IFERROR(_xlfn.XLOOKUP($A212,Input_Raw!$A:$A,Input_Raw!$CQ:$CQ),"")</f>
        <v/>
      </c>
      <c r="N212" s="110" t="str">
        <f>IFERROR(_xlfn.XLOOKUP($A212,Input_Raw!$A:$A,Input_Raw!$CR:$CR),"")</f>
        <v/>
      </c>
      <c r="O212" s="141" t="str">
        <f t="shared" si="20"/>
        <v/>
      </c>
      <c r="P212" s="141" t="str">
        <f>IFERROR(1-SUMIF(WTG_BD!$F:$F,$A212,WTG_BD!$AA:$AA)/($AA212+SUMIF(WTG_BD!$F:$F,$A212,WTG_BD!$AA:$AA)),"")</f>
        <v/>
      </c>
      <c r="Q212" s="141" t="str">
        <f>IFERROR(1-SUMIF(IGA_BD!$F:$F,$A212,IGA_BD!$W:$W)/($AA212+SUMIF(IGA_BD!$F:$F,$A212,IGA_BD!$W:$W)),"")</f>
        <v/>
      </c>
      <c r="R212" s="141" t="str">
        <f>IFERROR(1-SUMIF(Grid_BD!$F:$F,$A212,Grid_BD!$Y:$Y)/($AA212+SUMIF(Grid_BD!$F:$F,$A212,Grid_BD!$Y:$Y)),"")</f>
        <v/>
      </c>
      <c r="S212" s="108"/>
      <c r="T212" s="140"/>
      <c r="U212" s="141"/>
      <c r="V212" s="108"/>
      <c r="W212" s="142" t="str">
        <f t="shared" si="21"/>
        <v/>
      </c>
      <c r="X212" s="108" t="str">
        <f>IFERROR(_xlfn.XLOOKUP($A212,Input_Raw!$A:$A,Input_Raw!$CP:$CP)*1000,"")</f>
        <v/>
      </c>
      <c r="Y212" s="108" t="str">
        <f>IFERROR(_xlfn.XLOOKUP($A212,Input_Raw!$A:$A,Input_Raw!DJ:DJ)*1000,"")</f>
        <v/>
      </c>
      <c r="Z212" s="108" t="str">
        <f>IFERROR(_xlfn.XLOOKUP($A212,Input_Raw!$A:$A,Input_Raw!DK:DK)*1000,"")</f>
        <v/>
      </c>
      <c r="AA212" s="138" t="str">
        <f t="shared" si="22"/>
        <v/>
      </c>
      <c r="AB212" s="108" t="str">
        <f>IFERROR(_xlfn.XLOOKUP($A212,Input_Raw!$A:$A,Input_Raw!$DR:$DR),"")</f>
        <v/>
      </c>
      <c r="AC212" s="143">
        <f>IFERROR(_xlfn.XLOOKUP($D212,'Modelling New'!$D:$D,'Modelling New'!$J:$J),"")</f>
        <v>4.1733333333333329</v>
      </c>
      <c r="AD212" s="138">
        <f>IFERROR(_xlfn.XLOOKUP($D212,'Modelling New'!$D:$D,'Modelling New'!$T:$T)*1000,"")</f>
        <v>150264.62742866005</v>
      </c>
      <c r="AE212" s="142"/>
      <c r="AF212" s="142">
        <f>IFERROR(_xlfn.XLOOKUP($D212,'Modelling New'!$D:$D,'Modelling New'!$W:$W),"")</f>
        <v>8.8935030438364135E-2</v>
      </c>
      <c r="AG212" s="142">
        <f>IFERROR(_xlfn.XLOOKUP($D212,'Modelling New'!$D:$D,'Modelling New'!$AE:$AE),"")</f>
        <v>0.96029999999999993</v>
      </c>
      <c r="AH212" s="142">
        <f>IFERROR(_xlfn.XLOOKUP($D212,'Modelling New'!$D:$D,'Modelling New'!$AF:$AF),"")</f>
        <v>0.995</v>
      </c>
      <c r="AI212" s="109" t="str">
        <f>IFERROR(_xlfn.XLOOKUP($A212,Input_Raw!$A:$A,Input_Raw!$DP:$DP),"")</f>
        <v/>
      </c>
      <c r="AJ212" s="108"/>
      <c r="AK212" s="108"/>
      <c r="AL212" s="108"/>
      <c r="AM212" s="108"/>
      <c r="AN212" s="132" t="str">
        <f>IFERROR(_xlfn.XLOOKUP($A212,Input_Raw!$A:$A,Input_Raw!$DL:$DL),"")</f>
        <v/>
      </c>
      <c r="AO212" s="142" t="str">
        <f>IFERROR((_xlfn.XLOOKUP($A212,'WTG Reactive Power'!$A:$A,'WTG Reactive Power'!$AW:$AW))/X212,"")</f>
        <v/>
      </c>
      <c r="AP212" s="142">
        <f>IFERROR(_xlfn.XLOOKUP($D212,'Modelling New'!$D:$D,'Modelling New'!$AK:$AK),"")</f>
        <v>0.05</v>
      </c>
      <c r="AQ212" s="142">
        <f>IFERROR(_xlfn.XLOOKUP($D212,'Modelling New'!$D:$D,'Modelling New'!$AL:$AL),"")</f>
        <v>0.05</v>
      </c>
      <c r="AR212" s="198">
        <f>IFERROR(_xlfn.XLOOKUP($D212,'Modelling New'!$D:$D,'Modelling New'!$N:$N),"")</f>
        <v>70.400000000000006</v>
      </c>
      <c r="AS212" s="198"/>
    </row>
    <row r="213" spans="1:45">
      <c r="A213" s="137">
        <f t="shared" si="23"/>
        <v>45956</v>
      </c>
      <c r="B213" s="138">
        <f>YEAR(Daily_KPI[[#This Row],[Date]])+IF(MONTH(Daily_KPI[[#This Row],[Date]])&gt;=4,1,0)</f>
        <v>2026</v>
      </c>
      <c r="C213" s="108">
        <f>YEAR(Daily_KPI[[#This Row],[Date]])</f>
        <v>2025</v>
      </c>
      <c r="D213" s="139">
        <f>Daily_KPI[[#This Row],[Date]]-DAY(Daily_KPI[[#This Row],[Date]])+1</f>
        <v>45931</v>
      </c>
      <c r="E213" s="108">
        <f t="shared" si="19"/>
        <v>31</v>
      </c>
      <c r="F213" s="109"/>
      <c r="G213" s="110"/>
      <c r="H213" s="110"/>
      <c r="I213" s="110"/>
      <c r="J213" s="110"/>
      <c r="K213" s="111"/>
      <c r="L213" s="110"/>
      <c r="M213" s="110" t="str">
        <f>IFERROR(_xlfn.XLOOKUP($A213,Input_Raw!$A:$A,Input_Raw!$CQ:$CQ),"")</f>
        <v/>
      </c>
      <c r="N213" s="110" t="str">
        <f>IFERROR(_xlfn.XLOOKUP($A213,Input_Raw!$A:$A,Input_Raw!$CR:$CR),"")</f>
        <v/>
      </c>
      <c r="O213" s="141" t="str">
        <f t="shared" si="20"/>
        <v/>
      </c>
      <c r="P213" s="141" t="str">
        <f>IFERROR(1-SUMIF(WTG_BD!$F:$F,$A213,WTG_BD!$AA:$AA)/($AA213+SUMIF(WTG_BD!$F:$F,$A213,WTG_BD!$AA:$AA)),"")</f>
        <v/>
      </c>
      <c r="Q213" s="141" t="str">
        <f>IFERROR(1-SUMIF(IGA_BD!$F:$F,$A213,IGA_BD!$W:$W)/($AA213+SUMIF(IGA_BD!$F:$F,$A213,IGA_BD!$W:$W)),"")</f>
        <v/>
      </c>
      <c r="R213" s="141" t="str">
        <f>IFERROR(1-SUMIF(Grid_BD!$F:$F,$A213,Grid_BD!$Y:$Y)/($AA213+SUMIF(Grid_BD!$F:$F,$A213,Grid_BD!$Y:$Y)),"")</f>
        <v/>
      </c>
      <c r="S213" s="108"/>
      <c r="T213" s="140"/>
      <c r="U213" s="141"/>
      <c r="V213" s="108"/>
      <c r="W213" s="142" t="str">
        <f t="shared" si="21"/>
        <v/>
      </c>
      <c r="X213" s="108" t="str">
        <f>IFERROR(_xlfn.XLOOKUP($A213,Input_Raw!$A:$A,Input_Raw!$CP:$CP)*1000,"")</f>
        <v/>
      </c>
      <c r="Y213" s="108" t="str">
        <f>IFERROR(_xlfn.XLOOKUP($A213,Input_Raw!$A:$A,Input_Raw!DJ:DJ)*1000,"")</f>
        <v/>
      </c>
      <c r="Z213" s="108" t="str">
        <f>IFERROR(_xlfn.XLOOKUP($A213,Input_Raw!$A:$A,Input_Raw!DK:DK)*1000,"")</f>
        <v/>
      </c>
      <c r="AA213" s="138" t="str">
        <f t="shared" si="22"/>
        <v/>
      </c>
      <c r="AB213" s="108" t="str">
        <f>IFERROR(_xlfn.XLOOKUP($A213,Input_Raw!$A:$A,Input_Raw!$DR:$DR),"")</f>
        <v/>
      </c>
      <c r="AC213" s="143">
        <f>IFERROR(_xlfn.XLOOKUP($D213,'Modelling New'!$D:$D,'Modelling New'!$J:$J),"")</f>
        <v>4.1733333333333329</v>
      </c>
      <c r="AD213" s="138">
        <f>IFERROR(_xlfn.XLOOKUP($D213,'Modelling New'!$D:$D,'Modelling New'!$T:$T)*1000,"")</f>
        <v>150264.62742866005</v>
      </c>
      <c r="AE213" s="142"/>
      <c r="AF213" s="142">
        <f>IFERROR(_xlfn.XLOOKUP($D213,'Modelling New'!$D:$D,'Modelling New'!$W:$W),"")</f>
        <v>8.8935030438364135E-2</v>
      </c>
      <c r="AG213" s="142">
        <f>IFERROR(_xlfn.XLOOKUP($D213,'Modelling New'!$D:$D,'Modelling New'!$AE:$AE),"")</f>
        <v>0.96029999999999993</v>
      </c>
      <c r="AH213" s="142">
        <f>IFERROR(_xlfn.XLOOKUP($D213,'Modelling New'!$D:$D,'Modelling New'!$AF:$AF),"")</f>
        <v>0.995</v>
      </c>
      <c r="AI213" s="109" t="str">
        <f>IFERROR(_xlfn.XLOOKUP($A213,Input_Raw!$A:$A,Input_Raw!$DP:$DP),"")</f>
        <v/>
      </c>
      <c r="AJ213" s="108"/>
      <c r="AK213" s="108"/>
      <c r="AL213" s="108"/>
      <c r="AM213" s="108"/>
      <c r="AN213" s="132" t="str">
        <f>IFERROR(_xlfn.XLOOKUP($A213,Input_Raw!$A:$A,Input_Raw!$DL:$DL),"")</f>
        <v/>
      </c>
      <c r="AO213" s="142" t="str">
        <f>IFERROR((_xlfn.XLOOKUP($A213,'WTG Reactive Power'!$A:$A,'WTG Reactive Power'!$AW:$AW))/X213,"")</f>
        <v/>
      </c>
      <c r="AP213" s="142">
        <f>IFERROR(_xlfn.XLOOKUP($D213,'Modelling New'!$D:$D,'Modelling New'!$AK:$AK),"")</f>
        <v>0.05</v>
      </c>
      <c r="AQ213" s="142">
        <f>IFERROR(_xlfn.XLOOKUP($D213,'Modelling New'!$D:$D,'Modelling New'!$AL:$AL),"")</f>
        <v>0.05</v>
      </c>
      <c r="AR213" s="198">
        <f>IFERROR(_xlfn.XLOOKUP($D213,'Modelling New'!$D:$D,'Modelling New'!$N:$N),"")</f>
        <v>70.400000000000006</v>
      </c>
      <c r="AS213" s="198"/>
    </row>
    <row r="214" spans="1:45">
      <c r="A214" s="137">
        <f t="shared" si="23"/>
        <v>45957</v>
      </c>
      <c r="B214" s="138">
        <f>YEAR(Daily_KPI[[#This Row],[Date]])+IF(MONTH(Daily_KPI[[#This Row],[Date]])&gt;=4,1,0)</f>
        <v>2026</v>
      </c>
      <c r="C214" s="108">
        <f>YEAR(Daily_KPI[[#This Row],[Date]])</f>
        <v>2025</v>
      </c>
      <c r="D214" s="139">
        <f>Daily_KPI[[#This Row],[Date]]-DAY(Daily_KPI[[#This Row],[Date]])+1</f>
        <v>45931</v>
      </c>
      <c r="E214" s="108">
        <f t="shared" si="19"/>
        <v>31</v>
      </c>
      <c r="F214" s="109"/>
      <c r="G214" s="143"/>
      <c r="H214" s="143"/>
      <c r="I214" s="143"/>
      <c r="J214" s="143"/>
      <c r="K214" s="111"/>
      <c r="L214" s="110"/>
      <c r="M214" s="110" t="str">
        <f>IFERROR(_xlfn.XLOOKUP($A214,Input_Raw!$A:$A,Input_Raw!$CQ:$CQ),"")</f>
        <v/>
      </c>
      <c r="N214" s="110" t="str">
        <f>IFERROR(_xlfn.XLOOKUP($A214,Input_Raw!$A:$A,Input_Raw!$CR:$CR),"")</f>
        <v/>
      </c>
      <c r="O214" s="141" t="str">
        <f t="shared" si="20"/>
        <v/>
      </c>
      <c r="P214" s="141" t="str">
        <f>IFERROR(1-SUMIF(WTG_BD!$F:$F,$A214,WTG_BD!$AA:$AA)/($AA214+SUMIF(WTG_BD!$F:$F,$A214,WTG_BD!$AA:$AA)),"")</f>
        <v/>
      </c>
      <c r="Q214" s="141" t="str">
        <f>IFERROR(1-SUMIF(IGA_BD!$F:$F,$A214,IGA_BD!$W:$W)/($AA214+SUMIF(IGA_BD!$F:$F,$A214,IGA_BD!$W:$W)),"")</f>
        <v/>
      </c>
      <c r="R214" s="141" t="str">
        <f>IFERROR(1-SUMIF(Grid_BD!$F:$F,$A214,Grid_BD!$Y:$Y)/($AA214+SUMIF(Grid_BD!$F:$F,$A214,Grid_BD!$Y:$Y)),"")</f>
        <v/>
      </c>
      <c r="S214" s="108"/>
      <c r="T214" s="140"/>
      <c r="U214" s="141"/>
      <c r="V214" s="108"/>
      <c r="W214" s="142" t="str">
        <f t="shared" si="21"/>
        <v/>
      </c>
      <c r="X214" s="108" t="str">
        <f>IFERROR(_xlfn.XLOOKUP($A214,Input_Raw!$A:$A,Input_Raw!$CP:$CP)*1000,"")</f>
        <v/>
      </c>
      <c r="Y214" s="108" t="str">
        <f>IFERROR(_xlfn.XLOOKUP($A214,Input_Raw!$A:$A,Input_Raw!DJ:DJ)*1000,"")</f>
        <v/>
      </c>
      <c r="Z214" s="108" t="str">
        <f>IFERROR(_xlfn.XLOOKUP($A214,Input_Raw!$A:$A,Input_Raw!DK:DK)*1000,"")</f>
        <v/>
      </c>
      <c r="AA214" s="138" t="str">
        <f t="shared" si="22"/>
        <v/>
      </c>
      <c r="AB214" s="108" t="str">
        <f>IFERROR(_xlfn.XLOOKUP($A214,Input_Raw!$A:$A,Input_Raw!$DR:$DR),"")</f>
        <v/>
      </c>
      <c r="AC214" s="143">
        <f>IFERROR(_xlfn.XLOOKUP($D214,'Modelling New'!$D:$D,'Modelling New'!$J:$J),"")</f>
        <v>4.1733333333333329</v>
      </c>
      <c r="AD214" s="138">
        <f>IFERROR(_xlfn.XLOOKUP($D214,'Modelling New'!$D:$D,'Modelling New'!$T:$T)*1000,"")</f>
        <v>150264.62742866005</v>
      </c>
      <c r="AE214" s="142"/>
      <c r="AF214" s="142">
        <f>IFERROR(_xlfn.XLOOKUP($D214,'Modelling New'!$D:$D,'Modelling New'!$W:$W),"")</f>
        <v>8.8935030438364135E-2</v>
      </c>
      <c r="AG214" s="142">
        <f>IFERROR(_xlfn.XLOOKUP($D214,'Modelling New'!$D:$D,'Modelling New'!$AE:$AE),"")</f>
        <v>0.96029999999999993</v>
      </c>
      <c r="AH214" s="142">
        <f>IFERROR(_xlfn.XLOOKUP($D214,'Modelling New'!$D:$D,'Modelling New'!$AF:$AF),"")</f>
        <v>0.995</v>
      </c>
      <c r="AI214" s="109" t="str">
        <f>IFERROR(_xlfn.XLOOKUP($A214,Input_Raw!$A:$A,Input_Raw!$DP:$DP),"")</f>
        <v/>
      </c>
      <c r="AJ214" s="108"/>
      <c r="AK214" s="108"/>
      <c r="AL214" s="108"/>
      <c r="AM214" s="108"/>
      <c r="AN214" s="132" t="str">
        <f>IFERROR(_xlfn.XLOOKUP($A214,Input_Raw!$A:$A,Input_Raw!$DL:$DL),"")</f>
        <v/>
      </c>
      <c r="AO214" s="142" t="str">
        <f>IFERROR((_xlfn.XLOOKUP($A214,'WTG Reactive Power'!$A:$A,'WTG Reactive Power'!$AW:$AW))/X214,"")</f>
        <v/>
      </c>
      <c r="AP214" s="142">
        <f>IFERROR(_xlfn.XLOOKUP($D214,'Modelling New'!$D:$D,'Modelling New'!$AK:$AK),"")</f>
        <v>0.05</v>
      </c>
      <c r="AQ214" s="142">
        <f>IFERROR(_xlfn.XLOOKUP($D214,'Modelling New'!$D:$D,'Modelling New'!$AL:$AL),"")</f>
        <v>0.05</v>
      </c>
      <c r="AR214" s="198">
        <f>IFERROR(_xlfn.XLOOKUP($D214,'Modelling New'!$D:$D,'Modelling New'!$N:$N),"")</f>
        <v>70.400000000000006</v>
      </c>
      <c r="AS214" s="198"/>
    </row>
    <row r="215" spans="1:45">
      <c r="A215" s="137">
        <f t="shared" si="23"/>
        <v>45958</v>
      </c>
      <c r="B215" s="138">
        <f>YEAR(Daily_KPI[[#This Row],[Date]])+IF(MONTH(Daily_KPI[[#This Row],[Date]])&gt;=4,1,0)</f>
        <v>2026</v>
      </c>
      <c r="C215" s="108">
        <f>YEAR(Daily_KPI[[#This Row],[Date]])</f>
        <v>2025</v>
      </c>
      <c r="D215" s="139">
        <f>Daily_KPI[[#This Row],[Date]]-DAY(Daily_KPI[[#This Row],[Date]])+1</f>
        <v>45931</v>
      </c>
      <c r="E215" s="108">
        <f t="shared" si="19"/>
        <v>31</v>
      </c>
      <c r="F215" s="109"/>
      <c r="G215" s="110"/>
      <c r="H215" s="110"/>
      <c r="I215" s="110"/>
      <c r="J215" s="110"/>
      <c r="K215" s="111"/>
      <c r="L215" s="110"/>
      <c r="M215" s="110" t="str">
        <f>IFERROR(_xlfn.XLOOKUP($A215,Input_Raw!$A:$A,Input_Raw!$CQ:$CQ),"")</f>
        <v/>
      </c>
      <c r="N215" s="110" t="str">
        <f>IFERROR(_xlfn.XLOOKUP($A215,Input_Raw!$A:$A,Input_Raw!$CR:$CR),"")</f>
        <v/>
      </c>
      <c r="O215" s="141" t="str">
        <f t="shared" si="20"/>
        <v/>
      </c>
      <c r="P215" s="141" t="str">
        <f>IFERROR(1-SUMIF(WTG_BD!$F:$F,$A215,WTG_BD!$AA:$AA)/($AA215+SUMIF(WTG_BD!$F:$F,$A215,WTG_BD!$AA:$AA)),"")</f>
        <v/>
      </c>
      <c r="Q215" s="141" t="str">
        <f>IFERROR(1-SUMIF(IGA_BD!$F:$F,$A215,IGA_BD!$W:$W)/($AA215+SUMIF(IGA_BD!$F:$F,$A215,IGA_BD!$W:$W)),"")</f>
        <v/>
      </c>
      <c r="R215" s="141" t="str">
        <f>IFERROR(1-SUMIF(Grid_BD!$F:$F,$A215,Grid_BD!$Y:$Y)/($AA215+SUMIF(Grid_BD!$F:$F,$A215,Grid_BD!$Y:$Y)),"")</f>
        <v/>
      </c>
      <c r="S215" s="108"/>
      <c r="T215" s="140"/>
      <c r="U215" s="141"/>
      <c r="V215" s="108"/>
      <c r="W215" s="142" t="str">
        <f t="shared" si="21"/>
        <v/>
      </c>
      <c r="X215" s="108" t="str">
        <f>IFERROR(_xlfn.XLOOKUP($A215,Input_Raw!$A:$A,Input_Raw!$CP:$CP)*1000,"")</f>
        <v/>
      </c>
      <c r="Y215" s="108" t="str">
        <f>IFERROR(_xlfn.XLOOKUP($A215,Input_Raw!$A:$A,Input_Raw!DJ:DJ)*1000,"")</f>
        <v/>
      </c>
      <c r="Z215" s="108" t="str">
        <f>IFERROR(_xlfn.XLOOKUP($A215,Input_Raw!$A:$A,Input_Raw!DK:DK)*1000,"")</f>
        <v/>
      </c>
      <c r="AA215" s="138" t="str">
        <f t="shared" si="22"/>
        <v/>
      </c>
      <c r="AB215" s="108" t="str">
        <f>IFERROR(_xlfn.XLOOKUP($A215,Input_Raw!$A:$A,Input_Raw!$DR:$DR),"")</f>
        <v/>
      </c>
      <c r="AC215" s="143">
        <f>IFERROR(_xlfn.XLOOKUP($D215,'Modelling New'!$D:$D,'Modelling New'!$J:$J),"")</f>
        <v>4.1733333333333329</v>
      </c>
      <c r="AD215" s="138">
        <f>IFERROR(_xlfn.XLOOKUP($D215,'Modelling New'!$D:$D,'Modelling New'!$T:$T)*1000,"")</f>
        <v>150264.62742866005</v>
      </c>
      <c r="AE215" s="142"/>
      <c r="AF215" s="142">
        <f>IFERROR(_xlfn.XLOOKUP($D215,'Modelling New'!$D:$D,'Modelling New'!$W:$W),"")</f>
        <v>8.8935030438364135E-2</v>
      </c>
      <c r="AG215" s="142">
        <f>IFERROR(_xlfn.XLOOKUP($D215,'Modelling New'!$D:$D,'Modelling New'!$AE:$AE),"")</f>
        <v>0.96029999999999993</v>
      </c>
      <c r="AH215" s="142">
        <f>IFERROR(_xlfn.XLOOKUP($D215,'Modelling New'!$D:$D,'Modelling New'!$AF:$AF),"")</f>
        <v>0.995</v>
      </c>
      <c r="AI215" s="109" t="str">
        <f>IFERROR(_xlfn.XLOOKUP($A215,Input_Raw!$A:$A,Input_Raw!$DP:$DP),"")</f>
        <v/>
      </c>
      <c r="AJ215" s="108"/>
      <c r="AK215" s="108"/>
      <c r="AL215" s="108"/>
      <c r="AM215" s="108"/>
      <c r="AN215" s="132" t="str">
        <f>IFERROR(_xlfn.XLOOKUP($A215,Input_Raw!$A:$A,Input_Raw!$DL:$DL),"")</f>
        <v/>
      </c>
      <c r="AO215" s="142" t="str">
        <f>IFERROR((_xlfn.XLOOKUP($A215,'WTG Reactive Power'!$A:$A,'WTG Reactive Power'!$AW:$AW))/X215,"")</f>
        <v/>
      </c>
      <c r="AP215" s="142">
        <f>IFERROR(_xlfn.XLOOKUP($D215,'Modelling New'!$D:$D,'Modelling New'!$AK:$AK),"")</f>
        <v>0.05</v>
      </c>
      <c r="AQ215" s="142">
        <f>IFERROR(_xlfn.XLOOKUP($D215,'Modelling New'!$D:$D,'Modelling New'!$AL:$AL),"")</f>
        <v>0.05</v>
      </c>
      <c r="AR215" s="198">
        <f>IFERROR(_xlfn.XLOOKUP($D215,'Modelling New'!$D:$D,'Modelling New'!$N:$N),"")</f>
        <v>70.400000000000006</v>
      </c>
      <c r="AS215" s="198"/>
    </row>
    <row r="216" spans="1:45">
      <c r="A216" s="137">
        <f t="shared" si="23"/>
        <v>45959</v>
      </c>
      <c r="B216" s="138">
        <f>YEAR(Daily_KPI[[#This Row],[Date]])+IF(MONTH(Daily_KPI[[#This Row],[Date]])&gt;=4,1,0)</f>
        <v>2026</v>
      </c>
      <c r="C216" s="108">
        <f>YEAR(Daily_KPI[[#This Row],[Date]])</f>
        <v>2025</v>
      </c>
      <c r="D216" s="139">
        <f>Daily_KPI[[#This Row],[Date]]-DAY(Daily_KPI[[#This Row],[Date]])+1</f>
        <v>45931</v>
      </c>
      <c r="E216" s="108">
        <f t="shared" si="19"/>
        <v>31</v>
      </c>
      <c r="F216" s="109"/>
      <c r="G216" s="143"/>
      <c r="H216" s="143"/>
      <c r="I216" s="143"/>
      <c r="J216" s="143"/>
      <c r="K216" s="111"/>
      <c r="L216" s="110"/>
      <c r="M216" s="110" t="str">
        <f>IFERROR(_xlfn.XLOOKUP($A216,Input_Raw!$A:$A,Input_Raw!$CQ:$CQ),"")</f>
        <v/>
      </c>
      <c r="N216" s="110" t="str">
        <f>IFERROR(_xlfn.XLOOKUP($A216,Input_Raw!$A:$A,Input_Raw!$CR:$CR),"")</f>
        <v/>
      </c>
      <c r="O216" s="141" t="str">
        <f t="shared" si="20"/>
        <v/>
      </c>
      <c r="P216" s="141" t="str">
        <f>IFERROR(1-SUMIF(WTG_BD!$F:$F,$A216,WTG_BD!$AA:$AA)/($AA216+SUMIF(WTG_BD!$F:$F,$A216,WTG_BD!$AA:$AA)),"")</f>
        <v/>
      </c>
      <c r="Q216" s="141" t="str">
        <f>IFERROR(1-SUMIF(IGA_BD!$F:$F,$A216,IGA_BD!$W:$W)/($AA216+SUMIF(IGA_BD!$F:$F,$A216,IGA_BD!$W:$W)),"")</f>
        <v/>
      </c>
      <c r="R216" s="141" t="str">
        <f>IFERROR(1-SUMIF(Grid_BD!$F:$F,$A216,Grid_BD!$Y:$Y)/($AA216+SUMIF(Grid_BD!$F:$F,$A216,Grid_BD!$Y:$Y)),"")</f>
        <v/>
      </c>
      <c r="S216" s="108"/>
      <c r="T216" s="140"/>
      <c r="U216" s="141"/>
      <c r="V216" s="108"/>
      <c r="W216" s="142" t="str">
        <f t="shared" si="21"/>
        <v/>
      </c>
      <c r="X216" s="108" t="str">
        <f>IFERROR(_xlfn.XLOOKUP($A216,Input_Raw!$A:$A,Input_Raw!$CP:$CP)*1000,"")</f>
        <v/>
      </c>
      <c r="Y216" s="108" t="str">
        <f>IFERROR(_xlfn.XLOOKUP($A216,Input_Raw!$A:$A,Input_Raw!DJ:DJ)*1000,"")</f>
        <v/>
      </c>
      <c r="Z216" s="108" t="str">
        <f>IFERROR(_xlfn.XLOOKUP($A216,Input_Raw!$A:$A,Input_Raw!DK:DK)*1000,"")</f>
        <v/>
      </c>
      <c r="AA216" s="138" t="str">
        <f t="shared" si="22"/>
        <v/>
      </c>
      <c r="AB216" s="108" t="str">
        <f>IFERROR(_xlfn.XLOOKUP($A216,Input_Raw!$A:$A,Input_Raw!$DR:$DR),"")</f>
        <v/>
      </c>
      <c r="AC216" s="143">
        <f>IFERROR(_xlfn.XLOOKUP($D216,'Modelling New'!$D:$D,'Modelling New'!$J:$J),"")</f>
        <v>4.1733333333333329</v>
      </c>
      <c r="AD216" s="138">
        <f>IFERROR(_xlfn.XLOOKUP($D216,'Modelling New'!$D:$D,'Modelling New'!$T:$T)*1000,"")</f>
        <v>150264.62742866005</v>
      </c>
      <c r="AE216" s="142"/>
      <c r="AF216" s="142">
        <f>IFERROR(_xlfn.XLOOKUP($D216,'Modelling New'!$D:$D,'Modelling New'!$W:$W),"")</f>
        <v>8.8935030438364135E-2</v>
      </c>
      <c r="AG216" s="142">
        <f>IFERROR(_xlfn.XLOOKUP($D216,'Modelling New'!$D:$D,'Modelling New'!$AE:$AE),"")</f>
        <v>0.96029999999999993</v>
      </c>
      <c r="AH216" s="142">
        <f>IFERROR(_xlfn.XLOOKUP($D216,'Modelling New'!$D:$D,'Modelling New'!$AF:$AF),"")</f>
        <v>0.995</v>
      </c>
      <c r="AI216" s="109" t="str">
        <f>IFERROR(_xlfn.XLOOKUP($A216,Input_Raw!$A:$A,Input_Raw!$DP:$DP),"")</f>
        <v/>
      </c>
      <c r="AJ216" s="108"/>
      <c r="AK216" s="108"/>
      <c r="AL216" s="108"/>
      <c r="AM216" s="108"/>
      <c r="AN216" s="132" t="str">
        <f>IFERROR(_xlfn.XLOOKUP($A216,Input_Raw!$A:$A,Input_Raw!$DL:$DL),"")</f>
        <v/>
      </c>
      <c r="AO216" s="142" t="str">
        <f>IFERROR((_xlfn.XLOOKUP($A216,'WTG Reactive Power'!$A:$A,'WTG Reactive Power'!$AW:$AW))/X216,"")</f>
        <v/>
      </c>
      <c r="AP216" s="142">
        <f>IFERROR(_xlfn.XLOOKUP($D216,'Modelling New'!$D:$D,'Modelling New'!$AK:$AK),"")</f>
        <v>0.05</v>
      </c>
      <c r="AQ216" s="142">
        <f>IFERROR(_xlfn.XLOOKUP($D216,'Modelling New'!$D:$D,'Modelling New'!$AL:$AL),"")</f>
        <v>0.05</v>
      </c>
      <c r="AR216" s="198">
        <f>IFERROR(_xlfn.XLOOKUP($D216,'Modelling New'!$D:$D,'Modelling New'!$N:$N),"")</f>
        <v>70.400000000000006</v>
      </c>
      <c r="AS216" s="198"/>
    </row>
    <row r="217" spans="1:45">
      <c r="A217" s="137">
        <f t="shared" si="23"/>
        <v>45960</v>
      </c>
      <c r="B217" s="138">
        <f>YEAR(Daily_KPI[[#This Row],[Date]])+IF(MONTH(Daily_KPI[[#This Row],[Date]])&gt;=4,1,0)</f>
        <v>2026</v>
      </c>
      <c r="C217" s="108">
        <f>YEAR(Daily_KPI[[#This Row],[Date]])</f>
        <v>2025</v>
      </c>
      <c r="D217" s="139">
        <f>Daily_KPI[[#This Row],[Date]]-DAY(Daily_KPI[[#This Row],[Date]])+1</f>
        <v>45931</v>
      </c>
      <c r="E217" s="108">
        <f t="shared" si="19"/>
        <v>31</v>
      </c>
      <c r="F217" s="109"/>
      <c r="G217" s="110"/>
      <c r="H217" s="110"/>
      <c r="I217" s="110"/>
      <c r="J217" s="110"/>
      <c r="K217" s="111"/>
      <c r="L217" s="110"/>
      <c r="M217" s="110" t="str">
        <f>IFERROR(_xlfn.XLOOKUP($A217,Input_Raw!$A:$A,Input_Raw!$CQ:$CQ),"")</f>
        <v/>
      </c>
      <c r="N217" s="110" t="str">
        <f>IFERROR(_xlfn.XLOOKUP($A217,Input_Raw!$A:$A,Input_Raw!$CR:$CR),"")</f>
        <v/>
      </c>
      <c r="O217" s="141" t="str">
        <f t="shared" si="20"/>
        <v/>
      </c>
      <c r="P217" s="141" t="str">
        <f>IFERROR(1-SUMIF(WTG_BD!$F:$F,$A217,WTG_BD!$AA:$AA)/($AA217+SUMIF(WTG_BD!$F:$F,$A217,WTG_BD!$AA:$AA)),"")</f>
        <v/>
      </c>
      <c r="Q217" s="141" t="str">
        <f>IFERROR(1-SUMIF(IGA_BD!$F:$F,$A217,IGA_BD!$W:$W)/($AA217+SUMIF(IGA_BD!$F:$F,$A217,IGA_BD!$W:$W)),"")</f>
        <v/>
      </c>
      <c r="R217" s="141" t="str">
        <f>IFERROR(1-SUMIF(Grid_BD!$F:$F,$A217,Grid_BD!$Y:$Y)/($AA217+SUMIF(Grid_BD!$F:$F,$A217,Grid_BD!$Y:$Y)),"")</f>
        <v/>
      </c>
      <c r="S217" s="108"/>
      <c r="T217" s="140"/>
      <c r="U217" s="141"/>
      <c r="V217" s="108"/>
      <c r="W217" s="142" t="str">
        <f t="shared" si="21"/>
        <v/>
      </c>
      <c r="X217" s="108" t="str">
        <f>IFERROR(_xlfn.XLOOKUP($A217,Input_Raw!$A:$A,Input_Raw!$CP:$CP)*1000,"")</f>
        <v/>
      </c>
      <c r="Y217" s="108" t="str">
        <f>IFERROR(_xlfn.XLOOKUP($A217,Input_Raw!$A:$A,Input_Raw!DJ:DJ)*1000,"")</f>
        <v/>
      </c>
      <c r="Z217" s="108" t="str">
        <f>IFERROR(_xlfn.XLOOKUP($A217,Input_Raw!$A:$A,Input_Raw!DK:DK)*1000,"")</f>
        <v/>
      </c>
      <c r="AA217" s="138" t="str">
        <f t="shared" si="22"/>
        <v/>
      </c>
      <c r="AB217" s="108" t="str">
        <f>IFERROR(_xlfn.XLOOKUP($A217,Input_Raw!$A:$A,Input_Raw!$DR:$DR),"")</f>
        <v/>
      </c>
      <c r="AC217" s="143">
        <f>IFERROR(_xlfn.XLOOKUP($D217,'Modelling New'!$D:$D,'Modelling New'!$J:$J),"")</f>
        <v>4.1733333333333329</v>
      </c>
      <c r="AD217" s="138">
        <f>IFERROR(_xlfn.XLOOKUP($D217,'Modelling New'!$D:$D,'Modelling New'!$T:$T)*1000,"")</f>
        <v>150264.62742866005</v>
      </c>
      <c r="AE217" s="142"/>
      <c r="AF217" s="142">
        <f>IFERROR(_xlfn.XLOOKUP($D217,'Modelling New'!$D:$D,'Modelling New'!$W:$W),"")</f>
        <v>8.8935030438364135E-2</v>
      </c>
      <c r="AG217" s="142">
        <f>IFERROR(_xlfn.XLOOKUP($D217,'Modelling New'!$D:$D,'Modelling New'!$AE:$AE),"")</f>
        <v>0.96029999999999993</v>
      </c>
      <c r="AH217" s="142">
        <f>IFERROR(_xlfn.XLOOKUP($D217,'Modelling New'!$D:$D,'Modelling New'!$AF:$AF),"")</f>
        <v>0.995</v>
      </c>
      <c r="AI217" s="109" t="str">
        <f>IFERROR(_xlfn.XLOOKUP($A217,Input_Raw!$A:$A,Input_Raw!$DP:$DP),"")</f>
        <v/>
      </c>
      <c r="AJ217" s="108"/>
      <c r="AK217" s="108"/>
      <c r="AL217" s="108"/>
      <c r="AM217" s="108"/>
      <c r="AN217" s="132" t="str">
        <f>IFERROR(_xlfn.XLOOKUP($A217,Input_Raw!$A:$A,Input_Raw!$DL:$DL),"")</f>
        <v/>
      </c>
      <c r="AO217" s="142" t="str">
        <f>IFERROR((_xlfn.XLOOKUP($A217,'WTG Reactive Power'!$A:$A,'WTG Reactive Power'!$AW:$AW))/X217,"")</f>
        <v/>
      </c>
      <c r="AP217" s="142">
        <f>IFERROR(_xlfn.XLOOKUP($D217,'Modelling New'!$D:$D,'Modelling New'!$AK:$AK),"")</f>
        <v>0.05</v>
      </c>
      <c r="AQ217" s="142">
        <f>IFERROR(_xlfn.XLOOKUP($D217,'Modelling New'!$D:$D,'Modelling New'!$AL:$AL),"")</f>
        <v>0.05</v>
      </c>
      <c r="AR217" s="198">
        <f>IFERROR(_xlfn.XLOOKUP($D217,'Modelling New'!$D:$D,'Modelling New'!$N:$N),"")</f>
        <v>70.400000000000006</v>
      </c>
      <c r="AS217" s="198"/>
    </row>
    <row r="218" spans="1:45">
      <c r="A218" s="137">
        <f t="shared" si="23"/>
        <v>45961</v>
      </c>
      <c r="B218" s="138">
        <f>YEAR(Daily_KPI[[#This Row],[Date]])+IF(MONTH(Daily_KPI[[#This Row],[Date]])&gt;=4,1,0)</f>
        <v>2026</v>
      </c>
      <c r="C218" s="108">
        <f>YEAR(Daily_KPI[[#This Row],[Date]])</f>
        <v>2025</v>
      </c>
      <c r="D218" s="139">
        <f>Daily_KPI[[#This Row],[Date]]-DAY(Daily_KPI[[#This Row],[Date]])+1</f>
        <v>45931</v>
      </c>
      <c r="E218" s="108">
        <f t="shared" si="19"/>
        <v>31</v>
      </c>
      <c r="F218" s="109"/>
      <c r="G218" s="143"/>
      <c r="H218" s="143"/>
      <c r="I218" s="143"/>
      <c r="J218" s="143"/>
      <c r="K218" s="111"/>
      <c r="L218" s="110"/>
      <c r="M218" s="110" t="str">
        <f>IFERROR(_xlfn.XLOOKUP($A218,Input_Raw!$A:$A,Input_Raw!$CQ:$CQ),"")</f>
        <v/>
      </c>
      <c r="N218" s="110" t="str">
        <f>IFERROR(_xlfn.XLOOKUP($A218,Input_Raw!$A:$A,Input_Raw!$CR:$CR),"")</f>
        <v/>
      </c>
      <c r="O218" s="141" t="str">
        <f t="shared" si="20"/>
        <v/>
      </c>
      <c r="P218" s="141" t="str">
        <f>IFERROR(1-SUMIF(WTG_BD!$F:$F,$A218,WTG_BD!$AA:$AA)/($AA218+SUMIF(WTG_BD!$F:$F,$A218,WTG_BD!$AA:$AA)),"")</f>
        <v/>
      </c>
      <c r="Q218" s="141" t="str">
        <f>IFERROR(1-SUMIF(IGA_BD!$F:$F,$A218,IGA_BD!$W:$W)/($AA218+SUMIF(IGA_BD!$F:$F,$A218,IGA_BD!$W:$W)),"")</f>
        <v/>
      </c>
      <c r="R218" s="141" t="str">
        <f>IFERROR(1-SUMIF(Grid_BD!$F:$F,$A218,Grid_BD!$Y:$Y)/($AA218+SUMIF(Grid_BD!$F:$F,$A218,Grid_BD!$Y:$Y)),"")</f>
        <v/>
      </c>
      <c r="S218" s="108"/>
      <c r="T218" s="140"/>
      <c r="U218" s="141"/>
      <c r="V218" s="108"/>
      <c r="W218" s="142" t="str">
        <f t="shared" si="21"/>
        <v/>
      </c>
      <c r="X218" s="108" t="str">
        <f>IFERROR(_xlfn.XLOOKUP($A218,Input_Raw!$A:$A,Input_Raw!$CP:$CP)*1000,"")</f>
        <v/>
      </c>
      <c r="Y218" s="108" t="str">
        <f>IFERROR(_xlfn.XLOOKUP($A218,Input_Raw!$A:$A,Input_Raw!DJ:DJ)*1000,"")</f>
        <v/>
      </c>
      <c r="Z218" s="108" t="str">
        <f>IFERROR(_xlfn.XLOOKUP($A218,Input_Raw!$A:$A,Input_Raw!DK:DK)*1000,"")</f>
        <v/>
      </c>
      <c r="AA218" s="138" t="str">
        <f t="shared" si="22"/>
        <v/>
      </c>
      <c r="AB218" s="108" t="str">
        <f>IFERROR(_xlfn.XLOOKUP($A218,Input_Raw!$A:$A,Input_Raw!$DR:$DR),"")</f>
        <v/>
      </c>
      <c r="AC218" s="143">
        <f>IFERROR(_xlfn.XLOOKUP($D218,'Modelling New'!$D:$D,'Modelling New'!$J:$J),"")</f>
        <v>4.1733333333333329</v>
      </c>
      <c r="AD218" s="138">
        <f>IFERROR(_xlfn.XLOOKUP($D218,'Modelling New'!$D:$D,'Modelling New'!$T:$T)*1000,"")</f>
        <v>150264.62742866005</v>
      </c>
      <c r="AE218" s="142"/>
      <c r="AF218" s="142">
        <f>IFERROR(_xlfn.XLOOKUP($D218,'Modelling New'!$D:$D,'Modelling New'!$W:$W),"")</f>
        <v>8.8935030438364135E-2</v>
      </c>
      <c r="AG218" s="142">
        <f>IFERROR(_xlfn.XLOOKUP($D218,'Modelling New'!$D:$D,'Modelling New'!$AE:$AE),"")</f>
        <v>0.96029999999999993</v>
      </c>
      <c r="AH218" s="142">
        <f>IFERROR(_xlfn.XLOOKUP($D218,'Modelling New'!$D:$D,'Modelling New'!$AF:$AF),"")</f>
        <v>0.995</v>
      </c>
      <c r="AI218" s="109" t="str">
        <f>IFERROR(_xlfn.XLOOKUP($A218,Input_Raw!$A:$A,Input_Raw!$DP:$DP),"")</f>
        <v/>
      </c>
      <c r="AJ218" s="108"/>
      <c r="AK218" s="108"/>
      <c r="AL218" s="108"/>
      <c r="AM218" s="108"/>
      <c r="AN218" s="132" t="str">
        <f>IFERROR(_xlfn.XLOOKUP($A218,Input_Raw!$A:$A,Input_Raw!$DL:$DL),"")</f>
        <v/>
      </c>
      <c r="AO218" s="142" t="str">
        <f>IFERROR((_xlfn.XLOOKUP($A218,'WTG Reactive Power'!$A:$A,'WTG Reactive Power'!$AW:$AW))/X218,"")</f>
        <v/>
      </c>
      <c r="AP218" s="142">
        <f>IFERROR(_xlfn.XLOOKUP($D218,'Modelling New'!$D:$D,'Modelling New'!$AK:$AK),"")</f>
        <v>0.05</v>
      </c>
      <c r="AQ218" s="142">
        <f>IFERROR(_xlfn.XLOOKUP($D218,'Modelling New'!$D:$D,'Modelling New'!$AL:$AL),"")</f>
        <v>0.05</v>
      </c>
      <c r="AR218" s="198">
        <f>IFERROR(_xlfn.XLOOKUP($D218,'Modelling New'!$D:$D,'Modelling New'!$N:$N),"")</f>
        <v>70.400000000000006</v>
      </c>
      <c r="AS218" s="198"/>
    </row>
    <row r="219" spans="1:45">
      <c r="A219" s="137">
        <f t="shared" si="23"/>
        <v>45962</v>
      </c>
      <c r="B219" s="138">
        <f>YEAR(Daily_KPI[[#This Row],[Date]])+IF(MONTH(Daily_KPI[[#This Row],[Date]])&gt;=4,1,0)</f>
        <v>2026</v>
      </c>
      <c r="C219" s="108">
        <f>YEAR(Daily_KPI[[#This Row],[Date]])</f>
        <v>2025</v>
      </c>
      <c r="D219" s="139">
        <f>Daily_KPI[[#This Row],[Date]]-DAY(Daily_KPI[[#This Row],[Date]])+1</f>
        <v>45962</v>
      </c>
      <c r="E219" s="108">
        <f t="shared" si="19"/>
        <v>30</v>
      </c>
      <c r="F219" s="109"/>
      <c r="G219" s="110"/>
      <c r="H219" s="110"/>
      <c r="I219" s="110"/>
      <c r="J219" s="110"/>
      <c r="K219" s="111"/>
      <c r="L219" s="110"/>
      <c r="M219" s="110" t="str">
        <f>IFERROR(_xlfn.XLOOKUP($A219,Input_Raw!$A:$A,Input_Raw!$CQ:$CQ),"")</f>
        <v/>
      </c>
      <c r="N219" s="110" t="str">
        <f>IFERROR(_xlfn.XLOOKUP($A219,Input_Raw!$A:$A,Input_Raw!$CR:$CR),"")</f>
        <v/>
      </c>
      <c r="O219" s="141" t="str">
        <f t="shared" si="20"/>
        <v/>
      </c>
      <c r="P219" s="141" t="str">
        <f>IFERROR(1-SUMIF(WTG_BD!$F:$F,$A219,WTG_BD!$AA:$AA)/($AA219+SUMIF(WTG_BD!$F:$F,$A219,WTG_BD!$AA:$AA)),"")</f>
        <v/>
      </c>
      <c r="Q219" s="141" t="str">
        <f>IFERROR(1-SUMIF(IGA_BD!$F:$F,$A219,IGA_BD!$W:$W)/($AA219+SUMIF(IGA_BD!$F:$F,$A219,IGA_BD!$W:$W)),"")</f>
        <v/>
      </c>
      <c r="R219" s="141" t="str">
        <f>IFERROR(1-SUMIF(Grid_BD!$F:$F,$A219,Grid_BD!$Y:$Y)/($AA219+SUMIF(Grid_BD!$F:$F,$A219,Grid_BD!$Y:$Y)),"")</f>
        <v/>
      </c>
      <c r="S219" s="108"/>
      <c r="T219" s="140"/>
      <c r="U219" s="141"/>
      <c r="V219" s="108"/>
      <c r="W219" s="142" t="str">
        <f t="shared" si="21"/>
        <v/>
      </c>
      <c r="X219" s="108" t="str">
        <f>IFERROR(_xlfn.XLOOKUP($A219,Input_Raw!$A:$A,Input_Raw!$CP:$CP)*1000,"")</f>
        <v/>
      </c>
      <c r="Y219" s="108" t="str">
        <f>IFERROR(_xlfn.XLOOKUP($A219,Input_Raw!$A:$A,Input_Raw!DJ:DJ)*1000,"")</f>
        <v/>
      </c>
      <c r="Z219" s="108" t="str">
        <f>IFERROR(_xlfn.XLOOKUP($A219,Input_Raw!$A:$A,Input_Raw!DK:DK)*1000,"")</f>
        <v/>
      </c>
      <c r="AA219" s="138" t="str">
        <f t="shared" si="22"/>
        <v/>
      </c>
      <c r="AB219" s="108" t="str">
        <f>IFERROR(_xlfn.XLOOKUP($A219,Input_Raw!$A:$A,Input_Raw!$DR:$DR),"")</f>
        <v/>
      </c>
      <c r="AC219" s="143">
        <f>IFERROR(_xlfn.XLOOKUP($D219,'Modelling New'!$D:$D,'Modelling New'!$J:$J),"")</f>
        <v>4.4633333333333338</v>
      </c>
      <c r="AD219" s="138">
        <f>IFERROR(_xlfn.XLOOKUP($D219,'Modelling New'!$D:$D,'Modelling New'!$T:$T)*1000,"")</f>
        <v>240102.5114009853</v>
      </c>
      <c r="AE219" s="142"/>
      <c r="AF219" s="142">
        <f>IFERROR(_xlfn.XLOOKUP($D219,'Modelling New'!$D:$D,'Modelling New'!$W:$W),"")</f>
        <v>0.14210612653940891</v>
      </c>
      <c r="AG219" s="142">
        <f>IFERROR(_xlfn.XLOOKUP($D219,'Modelling New'!$D:$D,'Modelling New'!$AE:$AE),"")</f>
        <v>0.96029999999999993</v>
      </c>
      <c r="AH219" s="142">
        <f>IFERROR(_xlfn.XLOOKUP($D219,'Modelling New'!$D:$D,'Modelling New'!$AF:$AF),"")</f>
        <v>0.995</v>
      </c>
      <c r="AI219" s="109" t="str">
        <f>IFERROR(_xlfn.XLOOKUP($A219,Input_Raw!$A:$A,Input_Raw!$DP:$DP),"")</f>
        <v/>
      </c>
      <c r="AJ219" s="108"/>
      <c r="AK219" s="108"/>
      <c r="AL219" s="108"/>
      <c r="AM219" s="108"/>
      <c r="AN219" s="132" t="str">
        <f>IFERROR(_xlfn.XLOOKUP($A219,Input_Raw!$A:$A,Input_Raw!$DL:$DL),"")</f>
        <v/>
      </c>
      <c r="AO219" s="142" t="str">
        <f>IFERROR((_xlfn.XLOOKUP($A219,'WTG Reactive Power'!$A:$A,'WTG Reactive Power'!$AW:$AW))/X219,"")</f>
        <v/>
      </c>
      <c r="AP219" s="142">
        <f>IFERROR(_xlfn.XLOOKUP($D219,'Modelling New'!$D:$D,'Modelling New'!$AK:$AK),"")</f>
        <v>0.05</v>
      </c>
      <c r="AQ219" s="142">
        <f>IFERROR(_xlfn.XLOOKUP($D219,'Modelling New'!$D:$D,'Modelling New'!$AL:$AL),"")</f>
        <v>0.05</v>
      </c>
      <c r="AR219" s="198">
        <f>IFERROR(_xlfn.XLOOKUP($D219,'Modelling New'!$D:$D,'Modelling New'!$N:$N),"")</f>
        <v>70.400000000000006</v>
      </c>
      <c r="AS219" s="198"/>
    </row>
    <row r="220" spans="1:45">
      <c r="A220" s="137">
        <f t="shared" si="23"/>
        <v>45963</v>
      </c>
      <c r="B220" s="138">
        <f>YEAR(Daily_KPI[[#This Row],[Date]])+IF(MONTH(Daily_KPI[[#This Row],[Date]])&gt;=4,1,0)</f>
        <v>2026</v>
      </c>
      <c r="C220" s="108">
        <f>YEAR(Daily_KPI[[#This Row],[Date]])</f>
        <v>2025</v>
      </c>
      <c r="D220" s="139">
        <f>Daily_KPI[[#This Row],[Date]]-DAY(Daily_KPI[[#This Row],[Date]])+1</f>
        <v>45962</v>
      </c>
      <c r="E220" s="108">
        <f t="shared" si="19"/>
        <v>30</v>
      </c>
      <c r="F220" s="109"/>
      <c r="G220" s="143"/>
      <c r="H220" s="143"/>
      <c r="I220" s="143"/>
      <c r="J220" s="143"/>
      <c r="K220" s="111"/>
      <c r="L220" s="110"/>
      <c r="M220" s="110" t="str">
        <f>IFERROR(_xlfn.XLOOKUP($A220,Input_Raw!$A:$A,Input_Raw!$CQ:$CQ),"")</f>
        <v/>
      </c>
      <c r="N220" s="110" t="str">
        <f>IFERROR(_xlfn.XLOOKUP($A220,Input_Raw!$A:$A,Input_Raw!$CR:$CR),"")</f>
        <v/>
      </c>
      <c r="O220" s="141" t="str">
        <f t="shared" si="20"/>
        <v/>
      </c>
      <c r="P220" s="141" t="str">
        <f>IFERROR(1-SUMIF(WTG_BD!$F:$F,$A220,WTG_BD!$AA:$AA)/($AA220+SUMIF(WTG_BD!$F:$F,$A220,WTG_BD!$AA:$AA)),"")</f>
        <v/>
      </c>
      <c r="Q220" s="141" t="str">
        <f>IFERROR(1-SUMIF(IGA_BD!$F:$F,$A220,IGA_BD!$W:$W)/($AA220+SUMIF(IGA_BD!$F:$F,$A220,IGA_BD!$W:$W)),"")</f>
        <v/>
      </c>
      <c r="R220" s="141" t="str">
        <f>IFERROR(1-SUMIF(Grid_BD!$F:$F,$A220,Grid_BD!$Y:$Y)/($AA220+SUMIF(Grid_BD!$F:$F,$A220,Grid_BD!$Y:$Y)),"")</f>
        <v/>
      </c>
      <c r="S220" s="108"/>
      <c r="T220" s="140"/>
      <c r="U220" s="141"/>
      <c r="V220" s="108"/>
      <c r="W220" s="142" t="str">
        <f t="shared" si="21"/>
        <v/>
      </c>
      <c r="X220" s="108" t="str">
        <f>IFERROR(_xlfn.XLOOKUP($A220,Input_Raw!$A:$A,Input_Raw!$CP:$CP)*1000,"")</f>
        <v/>
      </c>
      <c r="Y220" s="108" t="str">
        <f>IFERROR(_xlfn.XLOOKUP($A220,Input_Raw!$A:$A,Input_Raw!DJ:DJ)*1000,"")</f>
        <v/>
      </c>
      <c r="Z220" s="108" t="str">
        <f>IFERROR(_xlfn.XLOOKUP($A220,Input_Raw!$A:$A,Input_Raw!DK:DK)*1000,"")</f>
        <v/>
      </c>
      <c r="AA220" s="138" t="str">
        <f t="shared" si="22"/>
        <v/>
      </c>
      <c r="AB220" s="108" t="str">
        <f>IFERROR(_xlfn.XLOOKUP($A220,Input_Raw!$A:$A,Input_Raw!$DR:$DR),"")</f>
        <v/>
      </c>
      <c r="AC220" s="143">
        <f>IFERROR(_xlfn.XLOOKUP($D220,'Modelling New'!$D:$D,'Modelling New'!$J:$J),"")</f>
        <v>4.4633333333333338</v>
      </c>
      <c r="AD220" s="138">
        <f>IFERROR(_xlfn.XLOOKUP($D220,'Modelling New'!$D:$D,'Modelling New'!$T:$T)*1000,"")</f>
        <v>240102.5114009853</v>
      </c>
      <c r="AE220" s="142"/>
      <c r="AF220" s="142">
        <f>IFERROR(_xlfn.XLOOKUP($D220,'Modelling New'!$D:$D,'Modelling New'!$W:$W),"")</f>
        <v>0.14210612653940891</v>
      </c>
      <c r="AG220" s="142">
        <f>IFERROR(_xlfn.XLOOKUP($D220,'Modelling New'!$D:$D,'Modelling New'!$AE:$AE),"")</f>
        <v>0.96029999999999993</v>
      </c>
      <c r="AH220" s="142">
        <f>IFERROR(_xlfn.XLOOKUP($D220,'Modelling New'!$D:$D,'Modelling New'!$AF:$AF),"")</f>
        <v>0.995</v>
      </c>
      <c r="AI220" s="109" t="str">
        <f>IFERROR(_xlfn.XLOOKUP($A220,Input_Raw!$A:$A,Input_Raw!$DP:$DP),"")</f>
        <v/>
      </c>
      <c r="AJ220" s="108"/>
      <c r="AK220" s="108"/>
      <c r="AL220" s="108"/>
      <c r="AM220" s="108"/>
      <c r="AN220" s="132" t="str">
        <f>IFERROR(_xlfn.XLOOKUP($A220,Input_Raw!$A:$A,Input_Raw!$DL:$DL),"")</f>
        <v/>
      </c>
      <c r="AO220" s="142" t="str">
        <f>IFERROR((_xlfn.XLOOKUP($A220,'WTG Reactive Power'!$A:$A,'WTG Reactive Power'!$AW:$AW))/X220,"")</f>
        <v/>
      </c>
      <c r="AP220" s="142">
        <f>IFERROR(_xlfn.XLOOKUP($D220,'Modelling New'!$D:$D,'Modelling New'!$AK:$AK),"")</f>
        <v>0.05</v>
      </c>
      <c r="AQ220" s="142">
        <f>IFERROR(_xlfn.XLOOKUP($D220,'Modelling New'!$D:$D,'Modelling New'!$AL:$AL),"")</f>
        <v>0.05</v>
      </c>
      <c r="AR220" s="198">
        <f>IFERROR(_xlfn.XLOOKUP($D220,'Modelling New'!$D:$D,'Modelling New'!$N:$N),"")</f>
        <v>70.400000000000006</v>
      </c>
      <c r="AS220" s="198"/>
    </row>
    <row r="221" spans="1:45">
      <c r="A221" s="137">
        <f t="shared" si="23"/>
        <v>45964</v>
      </c>
      <c r="B221" s="138">
        <f>YEAR(Daily_KPI[[#This Row],[Date]])+IF(MONTH(Daily_KPI[[#This Row],[Date]])&gt;=4,1,0)</f>
        <v>2026</v>
      </c>
      <c r="C221" s="108">
        <f>YEAR(Daily_KPI[[#This Row],[Date]])</f>
        <v>2025</v>
      </c>
      <c r="D221" s="139">
        <f>Daily_KPI[[#This Row],[Date]]-DAY(Daily_KPI[[#This Row],[Date]])+1</f>
        <v>45962</v>
      </c>
      <c r="E221" s="108">
        <f t="shared" si="19"/>
        <v>30</v>
      </c>
      <c r="F221" s="109"/>
      <c r="G221" s="110"/>
      <c r="H221" s="110"/>
      <c r="I221" s="110"/>
      <c r="J221" s="110"/>
      <c r="K221" s="111"/>
      <c r="L221" s="110"/>
      <c r="M221" s="110" t="str">
        <f>IFERROR(_xlfn.XLOOKUP($A221,Input_Raw!$A:$A,Input_Raw!$CQ:$CQ),"")</f>
        <v/>
      </c>
      <c r="N221" s="110" t="str">
        <f>IFERROR(_xlfn.XLOOKUP($A221,Input_Raw!$A:$A,Input_Raw!$CR:$CR),"")</f>
        <v/>
      </c>
      <c r="O221" s="141" t="str">
        <f t="shared" si="20"/>
        <v/>
      </c>
      <c r="P221" s="141" t="str">
        <f>IFERROR(1-SUMIF(WTG_BD!$F:$F,$A221,WTG_BD!$AA:$AA)/($AA221+SUMIF(WTG_BD!$F:$F,$A221,WTG_BD!$AA:$AA)),"")</f>
        <v/>
      </c>
      <c r="Q221" s="141" t="str">
        <f>IFERROR(1-SUMIF(IGA_BD!$F:$F,$A221,IGA_BD!$W:$W)/($AA221+SUMIF(IGA_BD!$F:$F,$A221,IGA_BD!$W:$W)),"")</f>
        <v/>
      </c>
      <c r="R221" s="141" t="str">
        <f>IFERROR(1-SUMIF(Grid_BD!$F:$F,$A221,Grid_BD!$Y:$Y)/($AA221+SUMIF(Grid_BD!$F:$F,$A221,Grid_BD!$Y:$Y)),"")</f>
        <v/>
      </c>
      <c r="S221" s="108"/>
      <c r="T221" s="140"/>
      <c r="U221" s="141"/>
      <c r="V221" s="108"/>
      <c r="W221" s="142" t="str">
        <f t="shared" si="21"/>
        <v/>
      </c>
      <c r="X221" s="108" t="str">
        <f>IFERROR(_xlfn.XLOOKUP($A221,Input_Raw!$A:$A,Input_Raw!$CP:$CP)*1000,"")</f>
        <v/>
      </c>
      <c r="Y221" s="108" t="str">
        <f>IFERROR(_xlfn.XLOOKUP($A221,Input_Raw!$A:$A,Input_Raw!DJ:DJ)*1000,"")</f>
        <v/>
      </c>
      <c r="Z221" s="108" t="str">
        <f>IFERROR(_xlfn.XLOOKUP($A221,Input_Raw!$A:$A,Input_Raw!DK:DK)*1000,"")</f>
        <v/>
      </c>
      <c r="AA221" s="138" t="str">
        <f t="shared" si="22"/>
        <v/>
      </c>
      <c r="AB221" s="108" t="str">
        <f>IFERROR(_xlfn.XLOOKUP($A221,Input_Raw!$A:$A,Input_Raw!$DR:$DR),"")</f>
        <v/>
      </c>
      <c r="AC221" s="143">
        <f>IFERROR(_xlfn.XLOOKUP($D221,'Modelling New'!$D:$D,'Modelling New'!$J:$J),"")</f>
        <v>4.4633333333333338</v>
      </c>
      <c r="AD221" s="138">
        <f>IFERROR(_xlfn.XLOOKUP($D221,'Modelling New'!$D:$D,'Modelling New'!$T:$T)*1000,"")</f>
        <v>240102.5114009853</v>
      </c>
      <c r="AE221" s="142"/>
      <c r="AF221" s="142">
        <f>IFERROR(_xlfn.XLOOKUP($D221,'Modelling New'!$D:$D,'Modelling New'!$W:$W),"")</f>
        <v>0.14210612653940891</v>
      </c>
      <c r="AG221" s="142">
        <f>IFERROR(_xlfn.XLOOKUP($D221,'Modelling New'!$D:$D,'Modelling New'!$AE:$AE),"")</f>
        <v>0.96029999999999993</v>
      </c>
      <c r="AH221" s="142">
        <f>IFERROR(_xlfn.XLOOKUP($D221,'Modelling New'!$D:$D,'Modelling New'!$AF:$AF),"")</f>
        <v>0.995</v>
      </c>
      <c r="AI221" s="109" t="str">
        <f>IFERROR(_xlfn.XLOOKUP($A221,Input_Raw!$A:$A,Input_Raw!$DP:$DP),"")</f>
        <v/>
      </c>
      <c r="AJ221" s="108"/>
      <c r="AK221" s="108"/>
      <c r="AL221" s="108"/>
      <c r="AM221" s="108"/>
      <c r="AN221" s="132" t="str">
        <f>IFERROR(_xlfn.XLOOKUP($A221,Input_Raw!$A:$A,Input_Raw!$DL:$DL),"")</f>
        <v/>
      </c>
      <c r="AO221" s="142" t="str">
        <f>IFERROR((_xlfn.XLOOKUP($A221,'WTG Reactive Power'!$A:$A,'WTG Reactive Power'!$AW:$AW))/X221,"")</f>
        <v/>
      </c>
      <c r="AP221" s="142">
        <f>IFERROR(_xlfn.XLOOKUP($D221,'Modelling New'!$D:$D,'Modelling New'!$AK:$AK),"")</f>
        <v>0.05</v>
      </c>
      <c r="AQ221" s="142">
        <f>IFERROR(_xlfn.XLOOKUP($D221,'Modelling New'!$D:$D,'Modelling New'!$AL:$AL),"")</f>
        <v>0.05</v>
      </c>
      <c r="AR221" s="198">
        <f>IFERROR(_xlfn.XLOOKUP($D221,'Modelling New'!$D:$D,'Modelling New'!$N:$N),"")</f>
        <v>70.400000000000006</v>
      </c>
      <c r="AS221" s="198"/>
    </row>
    <row r="222" spans="1:45">
      <c r="A222" s="137">
        <f t="shared" si="23"/>
        <v>45965</v>
      </c>
      <c r="B222" s="138">
        <f>YEAR(Daily_KPI[[#This Row],[Date]])+IF(MONTH(Daily_KPI[[#This Row],[Date]])&gt;=4,1,0)</f>
        <v>2026</v>
      </c>
      <c r="C222" s="108">
        <f>YEAR(Daily_KPI[[#This Row],[Date]])</f>
        <v>2025</v>
      </c>
      <c r="D222" s="139">
        <f>Daily_KPI[[#This Row],[Date]]-DAY(Daily_KPI[[#This Row],[Date]])+1</f>
        <v>45962</v>
      </c>
      <c r="E222" s="108">
        <f t="shared" si="19"/>
        <v>30</v>
      </c>
      <c r="F222" s="109"/>
      <c r="G222" s="143"/>
      <c r="H222" s="143"/>
      <c r="I222" s="143"/>
      <c r="J222" s="143"/>
      <c r="K222" s="111"/>
      <c r="L222" s="110"/>
      <c r="M222" s="110" t="str">
        <f>IFERROR(_xlfn.XLOOKUP($A222,Input_Raw!$A:$A,Input_Raw!$CQ:$CQ),"")</f>
        <v/>
      </c>
      <c r="N222" s="110" t="str">
        <f>IFERROR(_xlfn.XLOOKUP($A222,Input_Raw!$A:$A,Input_Raw!$CR:$CR),"")</f>
        <v/>
      </c>
      <c r="O222" s="141" t="str">
        <f t="shared" si="20"/>
        <v/>
      </c>
      <c r="P222" s="141" t="str">
        <f>IFERROR(1-SUMIF(WTG_BD!$F:$F,$A222,WTG_BD!$AA:$AA)/($AA222+SUMIF(WTG_BD!$F:$F,$A222,WTG_BD!$AA:$AA)),"")</f>
        <v/>
      </c>
      <c r="Q222" s="141" t="str">
        <f>IFERROR(1-SUMIF(IGA_BD!$F:$F,$A222,IGA_BD!$W:$W)/($AA222+SUMIF(IGA_BD!$F:$F,$A222,IGA_BD!$W:$W)),"")</f>
        <v/>
      </c>
      <c r="R222" s="141" t="str">
        <f>IFERROR(1-SUMIF(Grid_BD!$F:$F,$A222,Grid_BD!$Y:$Y)/($AA222+SUMIF(Grid_BD!$F:$F,$A222,Grid_BD!$Y:$Y)),"")</f>
        <v/>
      </c>
      <c r="S222" s="108"/>
      <c r="T222" s="140"/>
      <c r="U222" s="141"/>
      <c r="V222" s="108"/>
      <c r="W222" s="142" t="str">
        <f t="shared" si="21"/>
        <v/>
      </c>
      <c r="X222" s="108" t="str">
        <f>IFERROR(_xlfn.XLOOKUP($A222,Input_Raw!$A:$A,Input_Raw!$CP:$CP)*1000,"")</f>
        <v/>
      </c>
      <c r="Y222" s="108" t="str">
        <f>IFERROR(_xlfn.XLOOKUP($A222,Input_Raw!$A:$A,Input_Raw!DJ:DJ)*1000,"")</f>
        <v/>
      </c>
      <c r="Z222" s="108" t="str">
        <f>IFERROR(_xlfn.XLOOKUP($A222,Input_Raw!$A:$A,Input_Raw!DK:DK)*1000,"")</f>
        <v/>
      </c>
      <c r="AA222" s="138" t="str">
        <f t="shared" si="22"/>
        <v/>
      </c>
      <c r="AB222" s="108" t="str">
        <f>IFERROR(_xlfn.XLOOKUP($A222,Input_Raw!$A:$A,Input_Raw!$DR:$DR),"")</f>
        <v/>
      </c>
      <c r="AC222" s="143">
        <f>IFERROR(_xlfn.XLOOKUP($D222,'Modelling New'!$D:$D,'Modelling New'!$J:$J),"")</f>
        <v>4.4633333333333338</v>
      </c>
      <c r="AD222" s="138">
        <f>IFERROR(_xlfn.XLOOKUP($D222,'Modelling New'!$D:$D,'Modelling New'!$T:$T)*1000,"")</f>
        <v>240102.5114009853</v>
      </c>
      <c r="AE222" s="142"/>
      <c r="AF222" s="142">
        <f>IFERROR(_xlfn.XLOOKUP($D222,'Modelling New'!$D:$D,'Modelling New'!$W:$W),"")</f>
        <v>0.14210612653940891</v>
      </c>
      <c r="AG222" s="142">
        <f>IFERROR(_xlfn.XLOOKUP($D222,'Modelling New'!$D:$D,'Modelling New'!$AE:$AE),"")</f>
        <v>0.96029999999999993</v>
      </c>
      <c r="AH222" s="142">
        <f>IFERROR(_xlfn.XLOOKUP($D222,'Modelling New'!$D:$D,'Modelling New'!$AF:$AF),"")</f>
        <v>0.995</v>
      </c>
      <c r="AI222" s="109" t="str">
        <f>IFERROR(_xlfn.XLOOKUP($A222,Input_Raw!$A:$A,Input_Raw!$DP:$DP),"")</f>
        <v/>
      </c>
      <c r="AJ222" s="108"/>
      <c r="AK222" s="108"/>
      <c r="AL222" s="108"/>
      <c r="AM222" s="108"/>
      <c r="AN222" s="132" t="str">
        <f>IFERROR(_xlfn.XLOOKUP($A222,Input_Raw!$A:$A,Input_Raw!$DL:$DL),"")</f>
        <v/>
      </c>
      <c r="AO222" s="142" t="str">
        <f>IFERROR((_xlfn.XLOOKUP($A222,'WTG Reactive Power'!$A:$A,'WTG Reactive Power'!$AW:$AW))/X222,"")</f>
        <v/>
      </c>
      <c r="AP222" s="142">
        <f>IFERROR(_xlfn.XLOOKUP($D222,'Modelling New'!$D:$D,'Modelling New'!$AK:$AK),"")</f>
        <v>0.05</v>
      </c>
      <c r="AQ222" s="142">
        <f>IFERROR(_xlfn.XLOOKUP($D222,'Modelling New'!$D:$D,'Modelling New'!$AL:$AL),"")</f>
        <v>0.05</v>
      </c>
      <c r="AR222" s="198">
        <f>IFERROR(_xlfn.XLOOKUP($D222,'Modelling New'!$D:$D,'Modelling New'!$N:$N),"")</f>
        <v>70.400000000000006</v>
      </c>
      <c r="AS222" s="198"/>
    </row>
    <row r="223" spans="1:45">
      <c r="A223" s="137">
        <f t="shared" si="23"/>
        <v>45966</v>
      </c>
      <c r="B223" s="138">
        <f>YEAR(Daily_KPI[[#This Row],[Date]])+IF(MONTH(Daily_KPI[[#This Row],[Date]])&gt;=4,1,0)</f>
        <v>2026</v>
      </c>
      <c r="C223" s="108">
        <f>YEAR(Daily_KPI[[#This Row],[Date]])</f>
        <v>2025</v>
      </c>
      <c r="D223" s="139">
        <f>Daily_KPI[[#This Row],[Date]]-DAY(Daily_KPI[[#This Row],[Date]])+1</f>
        <v>45962</v>
      </c>
      <c r="E223" s="108">
        <f t="shared" si="19"/>
        <v>30</v>
      </c>
      <c r="F223" s="109"/>
      <c r="G223" s="110"/>
      <c r="H223" s="110"/>
      <c r="I223" s="110"/>
      <c r="J223" s="110"/>
      <c r="K223" s="111"/>
      <c r="L223" s="110"/>
      <c r="M223" s="110" t="str">
        <f>IFERROR(_xlfn.XLOOKUP($A223,Input_Raw!$A:$A,Input_Raw!$CQ:$CQ),"")</f>
        <v/>
      </c>
      <c r="N223" s="110" t="str">
        <f>IFERROR(_xlfn.XLOOKUP($A223,Input_Raw!$A:$A,Input_Raw!$CR:$CR),"")</f>
        <v/>
      </c>
      <c r="O223" s="141" t="str">
        <f t="shared" si="20"/>
        <v/>
      </c>
      <c r="P223" s="141" t="str">
        <f>IFERROR(1-SUMIF(WTG_BD!$F:$F,$A223,WTG_BD!$AA:$AA)/($AA223+SUMIF(WTG_BD!$F:$F,$A223,WTG_BD!$AA:$AA)),"")</f>
        <v/>
      </c>
      <c r="Q223" s="141" t="str">
        <f>IFERROR(1-SUMIF(IGA_BD!$F:$F,$A223,IGA_BD!$W:$W)/($AA223+SUMIF(IGA_BD!$F:$F,$A223,IGA_BD!$W:$W)),"")</f>
        <v/>
      </c>
      <c r="R223" s="141" t="str">
        <f>IFERROR(1-SUMIF(Grid_BD!$F:$F,$A223,Grid_BD!$Y:$Y)/($AA223+SUMIF(Grid_BD!$F:$F,$A223,Grid_BD!$Y:$Y)),"")</f>
        <v/>
      </c>
      <c r="S223" s="108"/>
      <c r="T223" s="140"/>
      <c r="U223" s="141"/>
      <c r="V223" s="108"/>
      <c r="W223" s="142" t="str">
        <f t="shared" si="21"/>
        <v/>
      </c>
      <c r="X223" s="108" t="str">
        <f>IFERROR(_xlfn.XLOOKUP($A223,Input_Raw!$A:$A,Input_Raw!$CP:$CP)*1000,"")</f>
        <v/>
      </c>
      <c r="Y223" s="108" t="str">
        <f>IFERROR(_xlfn.XLOOKUP($A223,Input_Raw!$A:$A,Input_Raw!DJ:DJ)*1000,"")</f>
        <v/>
      </c>
      <c r="Z223" s="108" t="str">
        <f>IFERROR(_xlfn.XLOOKUP($A223,Input_Raw!$A:$A,Input_Raw!DK:DK)*1000,"")</f>
        <v/>
      </c>
      <c r="AA223" s="138" t="str">
        <f t="shared" si="22"/>
        <v/>
      </c>
      <c r="AB223" s="108" t="str">
        <f>IFERROR(_xlfn.XLOOKUP($A223,Input_Raw!$A:$A,Input_Raw!$DR:$DR),"")</f>
        <v/>
      </c>
      <c r="AC223" s="143">
        <f>IFERROR(_xlfn.XLOOKUP($D223,'Modelling New'!$D:$D,'Modelling New'!$J:$J),"")</f>
        <v>4.4633333333333338</v>
      </c>
      <c r="AD223" s="138">
        <f>IFERROR(_xlfn.XLOOKUP($D223,'Modelling New'!$D:$D,'Modelling New'!$T:$T)*1000,"")</f>
        <v>240102.5114009853</v>
      </c>
      <c r="AE223" s="142"/>
      <c r="AF223" s="142">
        <f>IFERROR(_xlfn.XLOOKUP($D223,'Modelling New'!$D:$D,'Modelling New'!$W:$W),"")</f>
        <v>0.14210612653940891</v>
      </c>
      <c r="AG223" s="142">
        <f>IFERROR(_xlfn.XLOOKUP($D223,'Modelling New'!$D:$D,'Modelling New'!$AE:$AE),"")</f>
        <v>0.96029999999999993</v>
      </c>
      <c r="AH223" s="142">
        <f>IFERROR(_xlfn.XLOOKUP($D223,'Modelling New'!$D:$D,'Modelling New'!$AF:$AF),"")</f>
        <v>0.995</v>
      </c>
      <c r="AI223" s="109" t="str">
        <f>IFERROR(_xlfn.XLOOKUP($A223,Input_Raw!$A:$A,Input_Raw!$DP:$DP),"")</f>
        <v/>
      </c>
      <c r="AJ223" s="108"/>
      <c r="AK223" s="108"/>
      <c r="AL223" s="108"/>
      <c r="AM223" s="108"/>
      <c r="AN223" s="132" t="str">
        <f>IFERROR(_xlfn.XLOOKUP($A223,Input_Raw!$A:$A,Input_Raw!$DL:$DL),"")</f>
        <v/>
      </c>
      <c r="AO223" s="142" t="str">
        <f>IFERROR((_xlfn.XLOOKUP($A223,'WTG Reactive Power'!$A:$A,'WTG Reactive Power'!$AW:$AW))/X223,"")</f>
        <v/>
      </c>
      <c r="AP223" s="142">
        <f>IFERROR(_xlfn.XLOOKUP($D223,'Modelling New'!$D:$D,'Modelling New'!$AK:$AK),"")</f>
        <v>0.05</v>
      </c>
      <c r="AQ223" s="142">
        <f>IFERROR(_xlfn.XLOOKUP($D223,'Modelling New'!$D:$D,'Modelling New'!$AL:$AL),"")</f>
        <v>0.05</v>
      </c>
      <c r="AR223" s="198">
        <f>IFERROR(_xlfn.XLOOKUP($D223,'Modelling New'!$D:$D,'Modelling New'!$N:$N),"")</f>
        <v>70.400000000000006</v>
      </c>
      <c r="AS223" s="198"/>
    </row>
    <row r="224" spans="1:45">
      <c r="A224" s="137">
        <f t="shared" si="23"/>
        <v>45967</v>
      </c>
      <c r="B224" s="138">
        <f>YEAR(Daily_KPI[[#This Row],[Date]])+IF(MONTH(Daily_KPI[[#This Row],[Date]])&gt;=4,1,0)</f>
        <v>2026</v>
      </c>
      <c r="C224" s="108">
        <f>YEAR(Daily_KPI[[#This Row],[Date]])</f>
        <v>2025</v>
      </c>
      <c r="D224" s="139">
        <f>Daily_KPI[[#This Row],[Date]]-DAY(Daily_KPI[[#This Row],[Date]])+1</f>
        <v>45962</v>
      </c>
      <c r="E224" s="108">
        <f t="shared" si="19"/>
        <v>30</v>
      </c>
      <c r="F224" s="109"/>
      <c r="G224" s="143"/>
      <c r="H224" s="143"/>
      <c r="I224" s="143"/>
      <c r="J224" s="143"/>
      <c r="K224" s="111"/>
      <c r="L224" s="110"/>
      <c r="M224" s="110" t="str">
        <f>IFERROR(_xlfn.XLOOKUP($A224,Input_Raw!$A:$A,Input_Raw!$CQ:$CQ),"")</f>
        <v/>
      </c>
      <c r="N224" s="110" t="str">
        <f>IFERROR(_xlfn.XLOOKUP($A224,Input_Raw!$A:$A,Input_Raw!$CR:$CR),"")</f>
        <v/>
      </c>
      <c r="O224" s="141" t="str">
        <f t="shared" si="20"/>
        <v/>
      </c>
      <c r="P224" s="141" t="str">
        <f>IFERROR(1-SUMIF(WTG_BD!$F:$F,$A224,WTG_BD!$AA:$AA)/($AA224+SUMIF(WTG_BD!$F:$F,$A224,WTG_BD!$AA:$AA)),"")</f>
        <v/>
      </c>
      <c r="Q224" s="141" t="str">
        <f>IFERROR(1-SUMIF(IGA_BD!$F:$F,$A224,IGA_BD!$W:$W)/($AA224+SUMIF(IGA_BD!$F:$F,$A224,IGA_BD!$W:$W)),"")</f>
        <v/>
      </c>
      <c r="R224" s="141" t="str">
        <f>IFERROR(1-SUMIF(Grid_BD!$F:$F,$A224,Grid_BD!$Y:$Y)/($AA224+SUMIF(Grid_BD!$F:$F,$A224,Grid_BD!$Y:$Y)),"")</f>
        <v/>
      </c>
      <c r="S224" s="108"/>
      <c r="T224" s="140"/>
      <c r="U224" s="141"/>
      <c r="V224" s="108"/>
      <c r="W224" s="142" t="str">
        <f t="shared" si="21"/>
        <v/>
      </c>
      <c r="X224" s="108" t="str">
        <f>IFERROR(_xlfn.XLOOKUP($A224,Input_Raw!$A:$A,Input_Raw!$CP:$CP)*1000,"")</f>
        <v/>
      </c>
      <c r="Y224" s="108" t="str">
        <f>IFERROR(_xlfn.XLOOKUP($A224,Input_Raw!$A:$A,Input_Raw!DJ:DJ)*1000,"")</f>
        <v/>
      </c>
      <c r="Z224" s="108" t="str">
        <f>IFERROR(_xlfn.XLOOKUP($A224,Input_Raw!$A:$A,Input_Raw!DK:DK)*1000,"")</f>
        <v/>
      </c>
      <c r="AA224" s="138" t="str">
        <f t="shared" si="22"/>
        <v/>
      </c>
      <c r="AB224" s="108" t="str">
        <f>IFERROR(_xlfn.XLOOKUP($A224,Input_Raw!$A:$A,Input_Raw!$DR:$DR),"")</f>
        <v/>
      </c>
      <c r="AC224" s="143">
        <f>IFERROR(_xlfn.XLOOKUP($D224,'Modelling New'!$D:$D,'Modelling New'!$J:$J),"")</f>
        <v>4.4633333333333338</v>
      </c>
      <c r="AD224" s="138">
        <f>IFERROR(_xlfn.XLOOKUP($D224,'Modelling New'!$D:$D,'Modelling New'!$T:$T)*1000,"")</f>
        <v>240102.5114009853</v>
      </c>
      <c r="AE224" s="142"/>
      <c r="AF224" s="142">
        <f>IFERROR(_xlfn.XLOOKUP($D224,'Modelling New'!$D:$D,'Modelling New'!$W:$W),"")</f>
        <v>0.14210612653940891</v>
      </c>
      <c r="AG224" s="142">
        <f>IFERROR(_xlfn.XLOOKUP($D224,'Modelling New'!$D:$D,'Modelling New'!$AE:$AE),"")</f>
        <v>0.96029999999999993</v>
      </c>
      <c r="AH224" s="142">
        <f>IFERROR(_xlfn.XLOOKUP($D224,'Modelling New'!$D:$D,'Modelling New'!$AF:$AF),"")</f>
        <v>0.995</v>
      </c>
      <c r="AI224" s="109" t="str">
        <f>IFERROR(_xlfn.XLOOKUP($A224,Input_Raw!$A:$A,Input_Raw!$DP:$DP),"")</f>
        <v/>
      </c>
      <c r="AJ224" s="108"/>
      <c r="AK224" s="108"/>
      <c r="AL224" s="108"/>
      <c r="AM224" s="108"/>
      <c r="AN224" s="132" t="str">
        <f>IFERROR(_xlfn.XLOOKUP($A224,Input_Raw!$A:$A,Input_Raw!$DL:$DL),"")</f>
        <v/>
      </c>
      <c r="AO224" s="142" t="str">
        <f>IFERROR((_xlfn.XLOOKUP($A224,'WTG Reactive Power'!$A:$A,'WTG Reactive Power'!$AW:$AW))/X224,"")</f>
        <v/>
      </c>
      <c r="AP224" s="142">
        <f>IFERROR(_xlfn.XLOOKUP($D224,'Modelling New'!$D:$D,'Modelling New'!$AK:$AK),"")</f>
        <v>0.05</v>
      </c>
      <c r="AQ224" s="142">
        <f>IFERROR(_xlfn.XLOOKUP($D224,'Modelling New'!$D:$D,'Modelling New'!$AL:$AL),"")</f>
        <v>0.05</v>
      </c>
      <c r="AR224" s="198">
        <f>IFERROR(_xlfn.XLOOKUP($D224,'Modelling New'!$D:$D,'Modelling New'!$N:$N),"")</f>
        <v>70.400000000000006</v>
      </c>
      <c r="AS224" s="198"/>
    </row>
    <row r="225" spans="1:45">
      <c r="A225" s="137">
        <f t="shared" si="23"/>
        <v>45968</v>
      </c>
      <c r="B225" s="138">
        <f>YEAR(Daily_KPI[[#This Row],[Date]])+IF(MONTH(Daily_KPI[[#This Row],[Date]])&gt;=4,1,0)</f>
        <v>2026</v>
      </c>
      <c r="C225" s="108">
        <f>YEAR(Daily_KPI[[#This Row],[Date]])</f>
        <v>2025</v>
      </c>
      <c r="D225" s="139">
        <f>Daily_KPI[[#This Row],[Date]]-DAY(Daily_KPI[[#This Row],[Date]])+1</f>
        <v>45962</v>
      </c>
      <c r="E225" s="108">
        <f t="shared" si="19"/>
        <v>30</v>
      </c>
      <c r="F225" s="109"/>
      <c r="G225" s="110"/>
      <c r="H225" s="110"/>
      <c r="I225" s="110"/>
      <c r="J225" s="110"/>
      <c r="K225" s="111"/>
      <c r="L225" s="110"/>
      <c r="M225" s="110" t="str">
        <f>IFERROR(_xlfn.XLOOKUP($A225,Input_Raw!$A:$A,Input_Raw!$CQ:$CQ),"")</f>
        <v/>
      </c>
      <c r="N225" s="110" t="str">
        <f>IFERROR(_xlfn.XLOOKUP($A225,Input_Raw!$A:$A,Input_Raw!$CR:$CR),"")</f>
        <v/>
      </c>
      <c r="O225" s="141" t="str">
        <f t="shared" si="20"/>
        <v/>
      </c>
      <c r="P225" s="141" t="str">
        <f>IFERROR(1-SUMIF(WTG_BD!$F:$F,$A225,WTG_BD!$AA:$AA)/($AA225+SUMIF(WTG_BD!$F:$F,$A225,WTG_BD!$AA:$AA)),"")</f>
        <v/>
      </c>
      <c r="Q225" s="141" t="str">
        <f>IFERROR(1-SUMIF(IGA_BD!$F:$F,$A225,IGA_BD!$W:$W)/($AA225+SUMIF(IGA_BD!$F:$F,$A225,IGA_BD!$W:$W)),"")</f>
        <v/>
      </c>
      <c r="R225" s="141" t="str">
        <f>IFERROR(1-SUMIF(Grid_BD!$F:$F,$A225,Grid_BD!$Y:$Y)/($AA225+SUMIF(Grid_BD!$F:$F,$A225,Grid_BD!$Y:$Y)),"")</f>
        <v/>
      </c>
      <c r="S225" s="108"/>
      <c r="T225" s="140"/>
      <c r="U225" s="141"/>
      <c r="V225" s="108"/>
      <c r="W225" s="142" t="str">
        <f t="shared" si="21"/>
        <v/>
      </c>
      <c r="X225" s="108" t="str">
        <f>IFERROR(_xlfn.XLOOKUP($A225,Input_Raw!$A:$A,Input_Raw!$CP:$CP)*1000,"")</f>
        <v/>
      </c>
      <c r="Y225" s="108" t="str">
        <f>IFERROR(_xlfn.XLOOKUP($A225,Input_Raw!$A:$A,Input_Raw!DJ:DJ)*1000,"")</f>
        <v/>
      </c>
      <c r="Z225" s="108" t="str">
        <f>IFERROR(_xlfn.XLOOKUP($A225,Input_Raw!$A:$A,Input_Raw!DK:DK)*1000,"")</f>
        <v/>
      </c>
      <c r="AA225" s="138" t="str">
        <f t="shared" si="22"/>
        <v/>
      </c>
      <c r="AB225" s="108" t="str">
        <f>IFERROR(_xlfn.XLOOKUP($A225,Input_Raw!$A:$A,Input_Raw!$DR:$DR),"")</f>
        <v/>
      </c>
      <c r="AC225" s="143">
        <f>IFERROR(_xlfn.XLOOKUP($D225,'Modelling New'!$D:$D,'Modelling New'!$J:$J),"")</f>
        <v>4.4633333333333338</v>
      </c>
      <c r="AD225" s="138">
        <f>IFERROR(_xlfn.XLOOKUP($D225,'Modelling New'!$D:$D,'Modelling New'!$T:$T)*1000,"")</f>
        <v>240102.5114009853</v>
      </c>
      <c r="AE225" s="142"/>
      <c r="AF225" s="142">
        <f>IFERROR(_xlfn.XLOOKUP($D225,'Modelling New'!$D:$D,'Modelling New'!$W:$W),"")</f>
        <v>0.14210612653940891</v>
      </c>
      <c r="AG225" s="142">
        <f>IFERROR(_xlfn.XLOOKUP($D225,'Modelling New'!$D:$D,'Modelling New'!$AE:$AE),"")</f>
        <v>0.96029999999999993</v>
      </c>
      <c r="AH225" s="142">
        <f>IFERROR(_xlfn.XLOOKUP($D225,'Modelling New'!$D:$D,'Modelling New'!$AF:$AF),"")</f>
        <v>0.995</v>
      </c>
      <c r="AI225" s="109" t="str">
        <f>IFERROR(_xlfn.XLOOKUP($A225,Input_Raw!$A:$A,Input_Raw!$DP:$DP),"")</f>
        <v/>
      </c>
      <c r="AJ225" s="108"/>
      <c r="AK225" s="108"/>
      <c r="AL225" s="108"/>
      <c r="AM225" s="108"/>
      <c r="AN225" s="132" t="str">
        <f>IFERROR(_xlfn.XLOOKUP($A225,Input_Raw!$A:$A,Input_Raw!$DL:$DL),"")</f>
        <v/>
      </c>
      <c r="AO225" s="142" t="str">
        <f>IFERROR((_xlfn.XLOOKUP($A225,'WTG Reactive Power'!$A:$A,'WTG Reactive Power'!$AW:$AW))/X225,"")</f>
        <v/>
      </c>
      <c r="AP225" s="142">
        <f>IFERROR(_xlfn.XLOOKUP($D225,'Modelling New'!$D:$D,'Modelling New'!$AK:$AK),"")</f>
        <v>0.05</v>
      </c>
      <c r="AQ225" s="142">
        <f>IFERROR(_xlfn.XLOOKUP($D225,'Modelling New'!$D:$D,'Modelling New'!$AL:$AL),"")</f>
        <v>0.05</v>
      </c>
      <c r="AR225" s="198">
        <f>IFERROR(_xlfn.XLOOKUP($D225,'Modelling New'!$D:$D,'Modelling New'!$N:$N),"")</f>
        <v>70.400000000000006</v>
      </c>
      <c r="AS225" s="198"/>
    </row>
    <row r="226" spans="1:45">
      <c r="A226" s="137">
        <f t="shared" si="23"/>
        <v>45969</v>
      </c>
      <c r="B226" s="138">
        <f>YEAR(Daily_KPI[[#This Row],[Date]])+IF(MONTH(Daily_KPI[[#This Row],[Date]])&gt;=4,1,0)</f>
        <v>2026</v>
      </c>
      <c r="C226" s="108">
        <f>YEAR(Daily_KPI[[#This Row],[Date]])</f>
        <v>2025</v>
      </c>
      <c r="D226" s="139">
        <f>Daily_KPI[[#This Row],[Date]]-DAY(Daily_KPI[[#This Row],[Date]])+1</f>
        <v>45962</v>
      </c>
      <c r="E226" s="108">
        <f t="shared" si="19"/>
        <v>30</v>
      </c>
      <c r="F226" s="109"/>
      <c r="G226" s="143"/>
      <c r="H226" s="143"/>
      <c r="I226" s="143"/>
      <c r="J226" s="143"/>
      <c r="K226" s="111"/>
      <c r="L226" s="110"/>
      <c r="M226" s="110" t="str">
        <f>IFERROR(_xlfn.XLOOKUP($A226,Input_Raw!$A:$A,Input_Raw!$CQ:$CQ),"")</f>
        <v/>
      </c>
      <c r="N226" s="110" t="str">
        <f>IFERROR(_xlfn.XLOOKUP($A226,Input_Raw!$A:$A,Input_Raw!$CR:$CR),"")</f>
        <v/>
      </c>
      <c r="O226" s="141" t="str">
        <f t="shared" si="20"/>
        <v/>
      </c>
      <c r="P226" s="141" t="str">
        <f>IFERROR(1-SUMIF(WTG_BD!$F:$F,$A226,WTG_BD!$AA:$AA)/($AA226+SUMIF(WTG_BD!$F:$F,$A226,WTG_BD!$AA:$AA)),"")</f>
        <v/>
      </c>
      <c r="Q226" s="141" t="str">
        <f>IFERROR(1-SUMIF(IGA_BD!$F:$F,$A226,IGA_BD!$W:$W)/($AA226+SUMIF(IGA_BD!$F:$F,$A226,IGA_BD!$W:$W)),"")</f>
        <v/>
      </c>
      <c r="R226" s="141" t="str">
        <f>IFERROR(1-SUMIF(Grid_BD!$F:$F,$A226,Grid_BD!$Y:$Y)/($AA226+SUMIF(Grid_BD!$F:$F,$A226,Grid_BD!$Y:$Y)),"")</f>
        <v/>
      </c>
      <c r="S226" s="108"/>
      <c r="T226" s="140"/>
      <c r="U226" s="141"/>
      <c r="V226" s="108"/>
      <c r="W226" s="142" t="str">
        <f t="shared" si="21"/>
        <v/>
      </c>
      <c r="X226" s="108" t="str">
        <f>IFERROR(_xlfn.XLOOKUP($A226,Input_Raw!$A:$A,Input_Raw!$CP:$CP)*1000,"")</f>
        <v/>
      </c>
      <c r="Y226" s="108" t="str">
        <f>IFERROR(_xlfn.XLOOKUP($A226,Input_Raw!$A:$A,Input_Raw!DJ:DJ)*1000,"")</f>
        <v/>
      </c>
      <c r="Z226" s="108" t="str">
        <f>IFERROR(_xlfn.XLOOKUP($A226,Input_Raw!$A:$A,Input_Raw!DK:DK)*1000,"")</f>
        <v/>
      </c>
      <c r="AA226" s="138" t="str">
        <f t="shared" si="22"/>
        <v/>
      </c>
      <c r="AB226" s="108" t="str">
        <f>IFERROR(_xlfn.XLOOKUP($A226,Input_Raw!$A:$A,Input_Raw!$DR:$DR),"")</f>
        <v/>
      </c>
      <c r="AC226" s="143">
        <f>IFERROR(_xlfn.XLOOKUP($D226,'Modelling New'!$D:$D,'Modelling New'!$J:$J),"")</f>
        <v>4.4633333333333338</v>
      </c>
      <c r="AD226" s="138">
        <f>IFERROR(_xlfn.XLOOKUP($D226,'Modelling New'!$D:$D,'Modelling New'!$T:$T)*1000,"")</f>
        <v>240102.5114009853</v>
      </c>
      <c r="AE226" s="142"/>
      <c r="AF226" s="142">
        <f>IFERROR(_xlfn.XLOOKUP($D226,'Modelling New'!$D:$D,'Modelling New'!$W:$W),"")</f>
        <v>0.14210612653940891</v>
      </c>
      <c r="AG226" s="142">
        <f>IFERROR(_xlfn.XLOOKUP($D226,'Modelling New'!$D:$D,'Modelling New'!$AE:$AE),"")</f>
        <v>0.96029999999999993</v>
      </c>
      <c r="AH226" s="142">
        <f>IFERROR(_xlfn.XLOOKUP($D226,'Modelling New'!$D:$D,'Modelling New'!$AF:$AF),"")</f>
        <v>0.995</v>
      </c>
      <c r="AI226" s="109" t="str">
        <f>IFERROR(_xlfn.XLOOKUP($A226,Input_Raw!$A:$A,Input_Raw!$DP:$DP),"")</f>
        <v/>
      </c>
      <c r="AJ226" s="108"/>
      <c r="AK226" s="108"/>
      <c r="AL226" s="108"/>
      <c r="AM226" s="108"/>
      <c r="AN226" s="132" t="str">
        <f>IFERROR(_xlfn.XLOOKUP($A226,Input_Raw!$A:$A,Input_Raw!$DL:$DL),"")</f>
        <v/>
      </c>
      <c r="AO226" s="142" t="str">
        <f>IFERROR((_xlfn.XLOOKUP($A226,'WTG Reactive Power'!$A:$A,'WTG Reactive Power'!$AW:$AW))/X226,"")</f>
        <v/>
      </c>
      <c r="AP226" s="142">
        <f>IFERROR(_xlfn.XLOOKUP($D226,'Modelling New'!$D:$D,'Modelling New'!$AK:$AK),"")</f>
        <v>0.05</v>
      </c>
      <c r="AQ226" s="142">
        <f>IFERROR(_xlfn.XLOOKUP($D226,'Modelling New'!$D:$D,'Modelling New'!$AL:$AL),"")</f>
        <v>0.05</v>
      </c>
      <c r="AR226" s="198">
        <f>IFERROR(_xlfn.XLOOKUP($D226,'Modelling New'!$D:$D,'Modelling New'!$N:$N),"")</f>
        <v>70.400000000000006</v>
      </c>
      <c r="AS226" s="198"/>
    </row>
    <row r="227" spans="1:45">
      <c r="A227" s="137">
        <f t="shared" si="23"/>
        <v>45970</v>
      </c>
      <c r="B227" s="138">
        <f>YEAR(Daily_KPI[[#This Row],[Date]])+IF(MONTH(Daily_KPI[[#This Row],[Date]])&gt;=4,1,0)</f>
        <v>2026</v>
      </c>
      <c r="C227" s="108">
        <f>YEAR(Daily_KPI[[#This Row],[Date]])</f>
        <v>2025</v>
      </c>
      <c r="D227" s="139">
        <f>Daily_KPI[[#This Row],[Date]]-DAY(Daily_KPI[[#This Row],[Date]])+1</f>
        <v>45962</v>
      </c>
      <c r="E227" s="108">
        <f t="shared" si="19"/>
        <v>30</v>
      </c>
      <c r="F227" s="109"/>
      <c r="G227" s="110"/>
      <c r="H227" s="110"/>
      <c r="I227" s="110"/>
      <c r="J227" s="110"/>
      <c r="K227" s="111"/>
      <c r="L227" s="110"/>
      <c r="M227" s="110" t="str">
        <f>IFERROR(_xlfn.XLOOKUP($A227,Input_Raw!$A:$A,Input_Raw!$CQ:$CQ),"")</f>
        <v/>
      </c>
      <c r="N227" s="110" t="str">
        <f>IFERROR(_xlfn.XLOOKUP($A227,Input_Raw!$A:$A,Input_Raw!$CR:$CR),"")</f>
        <v/>
      </c>
      <c r="O227" s="141" t="str">
        <f t="shared" si="20"/>
        <v/>
      </c>
      <c r="P227" s="141" t="str">
        <f>IFERROR(1-SUMIF(WTG_BD!$F:$F,$A227,WTG_BD!$AA:$AA)/($AA227+SUMIF(WTG_BD!$F:$F,$A227,WTG_BD!$AA:$AA)),"")</f>
        <v/>
      </c>
      <c r="Q227" s="141" t="str">
        <f>IFERROR(1-SUMIF(IGA_BD!$F:$F,$A227,IGA_BD!$W:$W)/($AA227+SUMIF(IGA_BD!$F:$F,$A227,IGA_BD!$W:$W)),"")</f>
        <v/>
      </c>
      <c r="R227" s="141" t="str">
        <f>IFERROR(1-SUMIF(Grid_BD!$F:$F,$A227,Grid_BD!$Y:$Y)/($AA227+SUMIF(Grid_BD!$F:$F,$A227,Grid_BD!$Y:$Y)),"")</f>
        <v/>
      </c>
      <c r="S227" s="108"/>
      <c r="T227" s="140"/>
      <c r="U227" s="141"/>
      <c r="V227" s="108"/>
      <c r="W227" s="142" t="str">
        <f t="shared" si="21"/>
        <v/>
      </c>
      <c r="X227" s="108" t="str">
        <f>IFERROR(_xlfn.XLOOKUP($A227,Input_Raw!$A:$A,Input_Raw!$CP:$CP)*1000,"")</f>
        <v/>
      </c>
      <c r="Y227" s="108" t="str">
        <f>IFERROR(_xlfn.XLOOKUP($A227,Input_Raw!$A:$A,Input_Raw!DJ:DJ)*1000,"")</f>
        <v/>
      </c>
      <c r="Z227" s="108" t="str">
        <f>IFERROR(_xlfn.XLOOKUP($A227,Input_Raw!$A:$A,Input_Raw!DK:DK)*1000,"")</f>
        <v/>
      </c>
      <c r="AA227" s="138" t="str">
        <f t="shared" si="22"/>
        <v/>
      </c>
      <c r="AB227" s="108" t="str">
        <f>IFERROR(_xlfn.XLOOKUP($A227,Input_Raw!$A:$A,Input_Raw!$DR:$DR),"")</f>
        <v/>
      </c>
      <c r="AC227" s="143">
        <f>IFERROR(_xlfn.XLOOKUP($D227,'Modelling New'!$D:$D,'Modelling New'!$J:$J),"")</f>
        <v>4.4633333333333338</v>
      </c>
      <c r="AD227" s="138">
        <f>IFERROR(_xlfn.XLOOKUP($D227,'Modelling New'!$D:$D,'Modelling New'!$T:$T)*1000,"")</f>
        <v>240102.5114009853</v>
      </c>
      <c r="AE227" s="142"/>
      <c r="AF227" s="142">
        <f>IFERROR(_xlfn.XLOOKUP($D227,'Modelling New'!$D:$D,'Modelling New'!$W:$W),"")</f>
        <v>0.14210612653940891</v>
      </c>
      <c r="AG227" s="142">
        <f>IFERROR(_xlfn.XLOOKUP($D227,'Modelling New'!$D:$D,'Modelling New'!$AE:$AE),"")</f>
        <v>0.96029999999999993</v>
      </c>
      <c r="AH227" s="142">
        <f>IFERROR(_xlfn.XLOOKUP($D227,'Modelling New'!$D:$D,'Modelling New'!$AF:$AF),"")</f>
        <v>0.995</v>
      </c>
      <c r="AI227" s="109" t="str">
        <f>IFERROR(_xlfn.XLOOKUP($A227,Input_Raw!$A:$A,Input_Raw!$DP:$DP),"")</f>
        <v/>
      </c>
      <c r="AJ227" s="108"/>
      <c r="AK227" s="108"/>
      <c r="AL227" s="108"/>
      <c r="AM227" s="108"/>
      <c r="AN227" s="132" t="str">
        <f>IFERROR(_xlfn.XLOOKUP($A227,Input_Raw!$A:$A,Input_Raw!$DL:$DL),"")</f>
        <v/>
      </c>
      <c r="AO227" s="142" t="str">
        <f>IFERROR((_xlfn.XLOOKUP($A227,'WTG Reactive Power'!$A:$A,'WTG Reactive Power'!$AW:$AW))/X227,"")</f>
        <v/>
      </c>
      <c r="AP227" s="142">
        <f>IFERROR(_xlfn.XLOOKUP($D227,'Modelling New'!$D:$D,'Modelling New'!$AK:$AK),"")</f>
        <v>0.05</v>
      </c>
      <c r="AQ227" s="142">
        <f>IFERROR(_xlfn.XLOOKUP($D227,'Modelling New'!$D:$D,'Modelling New'!$AL:$AL),"")</f>
        <v>0.05</v>
      </c>
      <c r="AR227" s="198">
        <f>IFERROR(_xlfn.XLOOKUP($D227,'Modelling New'!$D:$D,'Modelling New'!$N:$N),"")</f>
        <v>70.400000000000006</v>
      </c>
      <c r="AS227" s="198"/>
    </row>
    <row r="228" spans="1:45">
      <c r="A228" s="137">
        <f t="shared" si="23"/>
        <v>45971</v>
      </c>
      <c r="B228" s="138">
        <f>YEAR(Daily_KPI[[#This Row],[Date]])+IF(MONTH(Daily_KPI[[#This Row],[Date]])&gt;=4,1,0)</f>
        <v>2026</v>
      </c>
      <c r="C228" s="108">
        <f>YEAR(Daily_KPI[[#This Row],[Date]])</f>
        <v>2025</v>
      </c>
      <c r="D228" s="139">
        <f>Daily_KPI[[#This Row],[Date]]-DAY(Daily_KPI[[#This Row],[Date]])+1</f>
        <v>45962</v>
      </c>
      <c r="E228" s="108">
        <f t="shared" si="19"/>
        <v>30</v>
      </c>
      <c r="F228" s="109"/>
      <c r="G228" s="143"/>
      <c r="H228" s="143"/>
      <c r="I228" s="143"/>
      <c r="J228" s="143"/>
      <c r="K228" s="111"/>
      <c r="L228" s="110"/>
      <c r="M228" s="110" t="str">
        <f>IFERROR(_xlfn.XLOOKUP($A228,Input_Raw!$A:$A,Input_Raw!$CQ:$CQ),"")</f>
        <v/>
      </c>
      <c r="N228" s="110" t="str">
        <f>IFERROR(_xlfn.XLOOKUP($A228,Input_Raw!$A:$A,Input_Raw!$CR:$CR),"")</f>
        <v/>
      </c>
      <c r="O228" s="141" t="str">
        <f t="shared" si="20"/>
        <v/>
      </c>
      <c r="P228" s="141" t="str">
        <f>IFERROR(1-SUMIF(WTG_BD!$F:$F,$A228,WTG_BD!$AA:$AA)/($AA228+SUMIF(WTG_BD!$F:$F,$A228,WTG_BD!$AA:$AA)),"")</f>
        <v/>
      </c>
      <c r="Q228" s="141" t="str">
        <f>IFERROR(1-SUMIF(IGA_BD!$F:$F,$A228,IGA_BD!$W:$W)/($AA228+SUMIF(IGA_BD!$F:$F,$A228,IGA_BD!$W:$W)),"")</f>
        <v/>
      </c>
      <c r="R228" s="141" t="str">
        <f>IFERROR(1-SUMIF(Grid_BD!$F:$F,$A228,Grid_BD!$Y:$Y)/($AA228+SUMIF(Grid_BD!$F:$F,$A228,Grid_BD!$Y:$Y)),"")</f>
        <v/>
      </c>
      <c r="S228" s="108"/>
      <c r="T228" s="140"/>
      <c r="U228" s="141"/>
      <c r="V228" s="108"/>
      <c r="W228" s="142" t="str">
        <f t="shared" si="21"/>
        <v/>
      </c>
      <c r="X228" s="108" t="str">
        <f>IFERROR(_xlfn.XLOOKUP($A228,Input_Raw!$A:$A,Input_Raw!$CP:$CP)*1000,"")</f>
        <v/>
      </c>
      <c r="Y228" s="108" t="str">
        <f>IFERROR(_xlfn.XLOOKUP($A228,Input_Raw!$A:$A,Input_Raw!DJ:DJ)*1000,"")</f>
        <v/>
      </c>
      <c r="Z228" s="108" t="str">
        <f>IFERROR(_xlfn.XLOOKUP($A228,Input_Raw!$A:$A,Input_Raw!DK:DK)*1000,"")</f>
        <v/>
      </c>
      <c r="AA228" s="138" t="str">
        <f t="shared" si="22"/>
        <v/>
      </c>
      <c r="AB228" s="108" t="str">
        <f>IFERROR(_xlfn.XLOOKUP($A228,Input_Raw!$A:$A,Input_Raw!$DR:$DR),"")</f>
        <v/>
      </c>
      <c r="AC228" s="143">
        <f>IFERROR(_xlfn.XLOOKUP($D228,'Modelling New'!$D:$D,'Modelling New'!$J:$J),"")</f>
        <v>4.4633333333333338</v>
      </c>
      <c r="AD228" s="138">
        <f>IFERROR(_xlfn.XLOOKUP($D228,'Modelling New'!$D:$D,'Modelling New'!$T:$T)*1000,"")</f>
        <v>240102.5114009853</v>
      </c>
      <c r="AE228" s="142"/>
      <c r="AF228" s="142">
        <f>IFERROR(_xlfn.XLOOKUP($D228,'Modelling New'!$D:$D,'Modelling New'!$W:$W),"")</f>
        <v>0.14210612653940891</v>
      </c>
      <c r="AG228" s="142">
        <f>IFERROR(_xlfn.XLOOKUP($D228,'Modelling New'!$D:$D,'Modelling New'!$AE:$AE),"")</f>
        <v>0.96029999999999993</v>
      </c>
      <c r="AH228" s="142">
        <f>IFERROR(_xlfn.XLOOKUP($D228,'Modelling New'!$D:$D,'Modelling New'!$AF:$AF),"")</f>
        <v>0.995</v>
      </c>
      <c r="AI228" s="109" t="str">
        <f>IFERROR(_xlfn.XLOOKUP($A228,Input_Raw!$A:$A,Input_Raw!$DP:$DP),"")</f>
        <v/>
      </c>
      <c r="AJ228" s="108"/>
      <c r="AK228" s="108"/>
      <c r="AL228" s="108"/>
      <c r="AM228" s="108"/>
      <c r="AN228" s="132" t="str">
        <f>IFERROR(_xlfn.XLOOKUP($A228,Input_Raw!$A:$A,Input_Raw!$DL:$DL),"")</f>
        <v/>
      </c>
      <c r="AO228" s="142" t="str">
        <f>IFERROR((_xlfn.XLOOKUP($A228,'WTG Reactive Power'!$A:$A,'WTG Reactive Power'!$AW:$AW))/X228,"")</f>
        <v/>
      </c>
      <c r="AP228" s="142">
        <f>IFERROR(_xlfn.XLOOKUP($D228,'Modelling New'!$D:$D,'Modelling New'!$AK:$AK),"")</f>
        <v>0.05</v>
      </c>
      <c r="AQ228" s="142">
        <f>IFERROR(_xlfn.XLOOKUP($D228,'Modelling New'!$D:$D,'Modelling New'!$AL:$AL),"")</f>
        <v>0.05</v>
      </c>
      <c r="AR228" s="198">
        <f>IFERROR(_xlfn.XLOOKUP($D228,'Modelling New'!$D:$D,'Modelling New'!$N:$N),"")</f>
        <v>70.400000000000006</v>
      </c>
      <c r="AS228" s="198"/>
    </row>
    <row r="229" spans="1:45">
      <c r="A229" s="137">
        <f t="shared" si="23"/>
        <v>45972</v>
      </c>
      <c r="B229" s="138">
        <f>YEAR(Daily_KPI[[#This Row],[Date]])+IF(MONTH(Daily_KPI[[#This Row],[Date]])&gt;=4,1,0)</f>
        <v>2026</v>
      </c>
      <c r="C229" s="108">
        <f>YEAR(Daily_KPI[[#This Row],[Date]])</f>
        <v>2025</v>
      </c>
      <c r="D229" s="139">
        <f>Daily_KPI[[#This Row],[Date]]-DAY(Daily_KPI[[#This Row],[Date]])+1</f>
        <v>45962</v>
      </c>
      <c r="E229" s="108">
        <f t="shared" si="19"/>
        <v>30</v>
      </c>
      <c r="F229" s="109"/>
      <c r="G229" s="110"/>
      <c r="H229" s="110"/>
      <c r="I229" s="110"/>
      <c r="J229" s="110"/>
      <c r="K229" s="111"/>
      <c r="L229" s="110"/>
      <c r="M229" s="110" t="str">
        <f>IFERROR(_xlfn.XLOOKUP($A229,Input_Raw!$A:$A,Input_Raw!$CQ:$CQ),"")</f>
        <v/>
      </c>
      <c r="N229" s="110" t="str">
        <f>IFERROR(_xlfn.XLOOKUP($A229,Input_Raw!$A:$A,Input_Raw!$CR:$CR),"")</f>
        <v/>
      </c>
      <c r="O229" s="141" t="str">
        <f t="shared" si="20"/>
        <v/>
      </c>
      <c r="P229" s="141" t="str">
        <f>IFERROR(1-SUMIF(WTG_BD!$F:$F,$A229,WTG_BD!$AA:$AA)/($AA229+SUMIF(WTG_BD!$F:$F,$A229,WTG_BD!$AA:$AA)),"")</f>
        <v/>
      </c>
      <c r="Q229" s="141" t="str">
        <f>IFERROR(1-SUMIF(IGA_BD!$F:$F,$A229,IGA_BD!$W:$W)/($AA229+SUMIF(IGA_BD!$F:$F,$A229,IGA_BD!$W:$W)),"")</f>
        <v/>
      </c>
      <c r="R229" s="141" t="str">
        <f>IFERROR(1-SUMIF(Grid_BD!$F:$F,$A229,Grid_BD!$Y:$Y)/($AA229+SUMIF(Grid_BD!$F:$F,$A229,Grid_BD!$Y:$Y)),"")</f>
        <v/>
      </c>
      <c r="S229" s="108"/>
      <c r="T229" s="140"/>
      <c r="U229" s="141"/>
      <c r="V229" s="108"/>
      <c r="W229" s="142" t="str">
        <f t="shared" si="21"/>
        <v/>
      </c>
      <c r="X229" s="108" t="str">
        <f>IFERROR(_xlfn.XLOOKUP($A229,Input_Raw!$A:$A,Input_Raw!$CP:$CP)*1000,"")</f>
        <v/>
      </c>
      <c r="Y229" s="108" t="str">
        <f>IFERROR(_xlfn.XLOOKUP($A229,Input_Raw!$A:$A,Input_Raw!DJ:DJ)*1000,"")</f>
        <v/>
      </c>
      <c r="Z229" s="108" t="str">
        <f>IFERROR(_xlfn.XLOOKUP($A229,Input_Raw!$A:$A,Input_Raw!DK:DK)*1000,"")</f>
        <v/>
      </c>
      <c r="AA229" s="138" t="str">
        <f t="shared" si="22"/>
        <v/>
      </c>
      <c r="AB229" s="108" t="str">
        <f>IFERROR(_xlfn.XLOOKUP($A229,Input_Raw!$A:$A,Input_Raw!$DR:$DR),"")</f>
        <v/>
      </c>
      <c r="AC229" s="143">
        <f>IFERROR(_xlfn.XLOOKUP($D229,'Modelling New'!$D:$D,'Modelling New'!$J:$J),"")</f>
        <v>4.4633333333333338</v>
      </c>
      <c r="AD229" s="138">
        <f>IFERROR(_xlfn.XLOOKUP($D229,'Modelling New'!$D:$D,'Modelling New'!$T:$T)*1000,"")</f>
        <v>240102.5114009853</v>
      </c>
      <c r="AE229" s="142"/>
      <c r="AF229" s="142">
        <f>IFERROR(_xlfn.XLOOKUP($D229,'Modelling New'!$D:$D,'Modelling New'!$W:$W),"")</f>
        <v>0.14210612653940891</v>
      </c>
      <c r="AG229" s="142">
        <f>IFERROR(_xlfn.XLOOKUP($D229,'Modelling New'!$D:$D,'Modelling New'!$AE:$AE),"")</f>
        <v>0.96029999999999993</v>
      </c>
      <c r="AH229" s="142">
        <f>IFERROR(_xlfn.XLOOKUP($D229,'Modelling New'!$D:$D,'Modelling New'!$AF:$AF),"")</f>
        <v>0.995</v>
      </c>
      <c r="AI229" s="109" t="str">
        <f>IFERROR(_xlfn.XLOOKUP($A229,Input_Raw!$A:$A,Input_Raw!$DP:$DP),"")</f>
        <v/>
      </c>
      <c r="AJ229" s="108"/>
      <c r="AK229" s="108"/>
      <c r="AL229" s="108"/>
      <c r="AM229" s="108"/>
      <c r="AN229" s="132" t="str">
        <f>IFERROR(_xlfn.XLOOKUP($A229,Input_Raw!$A:$A,Input_Raw!$DL:$DL),"")</f>
        <v/>
      </c>
      <c r="AO229" s="142" t="str">
        <f>IFERROR((_xlfn.XLOOKUP($A229,'WTG Reactive Power'!$A:$A,'WTG Reactive Power'!$AW:$AW))/X229,"")</f>
        <v/>
      </c>
      <c r="AP229" s="142">
        <f>IFERROR(_xlfn.XLOOKUP($D229,'Modelling New'!$D:$D,'Modelling New'!$AK:$AK),"")</f>
        <v>0.05</v>
      </c>
      <c r="AQ229" s="142">
        <f>IFERROR(_xlfn.XLOOKUP($D229,'Modelling New'!$D:$D,'Modelling New'!$AL:$AL),"")</f>
        <v>0.05</v>
      </c>
      <c r="AR229" s="198">
        <f>IFERROR(_xlfn.XLOOKUP($D229,'Modelling New'!$D:$D,'Modelling New'!$N:$N),"")</f>
        <v>70.400000000000006</v>
      </c>
      <c r="AS229" s="198"/>
    </row>
    <row r="230" spans="1:45">
      <c r="A230" s="137">
        <f t="shared" si="23"/>
        <v>45973</v>
      </c>
      <c r="B230" s="138">
        <f>YEAR(Daily_KPI[[#This Row],[Date]])+IF(MONTH(Daily_KPI[[#This Row],[Date]])&gt;=4,1,0)</f>
        <v>2026</v>
      </c>
      <c r="C230" s="108">
        <f>YEAR(Daily_KPI[[#This Row],[Date]])</f>
        <v>2025</v>
      </c>
      <c r="D230" s="139">
        <f>Daily_KPI[[#This Row],[Date]]-DAY(Daily_KPI[[#This Row],[Date]])+1</f>
        <v>45962</v>
      </c>
      <c r="E230" s="108">
        <f t="shared" si="19"/>
        <v>30</v>
      </c>
      <c r="F230" s="109"/>
      <c r="G230" s="143"/>
      <c r="H230" s="143"/>
      <c r="I230" s="143"/>
      <c r="J230" s="143"/>
      <c r="K230" s="111"/>
      <c r="L230" s="110"/>
      <c r="M230" s="110" t="str">
        <f>IFERROR(_xlfn.XLOOKUP($A230,Input_Raw!$A:$A,Input_Raw!$CQ:$CQ),"")</f>
        <v/>
      </c>
      <c r="N230" s="110" t="str">
        <f>IFERROR(_xlfn.XLOOKUP($A230,Input_Raw!$A:$A,Input_Raw!$CR:$CR),"")</f>
        <v/>
      </c>
      <c r="O230" s="141" t="str">
        <f t="shared" si="20"/>
        <v/>
      </c>
      <c r="P230" s="141" t="str">
        <f>IFERROR(1-SUMIF(WTG_BD!$F:$F,$A230,WTG_BD!$AA:$AA)/($AA230+SUMIF(WTG_BD!$F:$F,$A230,WTG_BD!$AA:$AA)),"")</f>
        <v/>
      </c>
      <c r="Q230" s="141" t="str">
        <f>IFERROR(1-SUMIF(IGA_BD!$F:$F,$A230,IGA_BD!$W:$W)/($AA230+SUMIF(IGA_BD!$F:$F,$A230,IGA_BD!$W:$W)),"")</f>
        <v/>
      </c>
      <c r="R230" s="141" t="str">
        <f>IFERROR(1-SUMIF(Grid_BD!$F:$F,$A230,Grid_BD!$Y:$Y)/($AA230+SUMIF(Grid_BD!$F:$F,$A230,Grid_BD!$Y:$Y)),"")</f>
        <v/>
      </c>
      <c r="S230" s="108"/>
      <c r="T230" s="140"/>
      <c r="U230" s="141"/>
      <c r="V230" s="108"/>
      <c r="W230" s="142" t="str">
        <f t="shared" si="21"/>
        <v/>
      </c>
      <c r="X230" s="108" t="str">
        <f>IFERROR(_xlfn.XLOOKUP($A230,Input_Raw!$A:$A,Input_Raw!$CP:$CP)*1000,"")</f>
        <v/>
      </c>
      <c r="Y230" s="108" t="str">
        <f>IFERROR(_xlfn.XLOOKUP($A230,Input_Raw!$A:$A,Input_Raw!DJ:DJ)*1000,"")</f>
        <v/>
      </c>
      <c r="Z230" s="108" t="str">
        <f>IFERROR(_xlfn.XLOOKUP($A230,Input_Raw!$A:$A,Input_Raw!DK:DK)*1000,"")</f>
        <v/>
      </c>
      <c r="AA230" s="138" t="str">
        <f t="shared" si="22"/>
        <v/>
      </c>
      <c r="AB230" s="108" t="str">
        <f>IFERROR(_xlfn.XLOOKUP($A230,Input_Raw!$A:$A,Input_Raw!$DR:$DR),"")</f>
        <v/>
      </c>
      <c r="AC230" s="143">
        <f>IFERROR(_xlfn.XLOOKUP($D230,'Modelling New'!$D:$D,'Modelling New'!$J:$J),"")</f>
        <v>4.4633333333333338</v>
      </c>
      <c r="AD230" s="138">
        <f>IFERROR(_xlfn.XLOOKUP($D230,'Modelling New'!$D:$D,'Modelling New'!$T:$T)*1000,"")</f>
        <v>240102.5114009853</v>
      </c>
      <c r="AE230" s="142"/>
      <c r="AF230" s="142">
        <f>IFERROR(_xlfn.XLOOKUP($D230,'Modelling New'!$D:$D,'Modelling New'!$W:$W),"")</f>
        <v>0.14210612653940891</v>
      </c>
      <c r="AG230" s="142">
        <f>IFERROR(_xlfn.XLOOKUP($D230,'Modelling New'!$D:$D,'Modelling New'!$AE:$AE),"")</f>
        <v>0.96029999999999993</v>
      </c>
      <c r="AH230" s="142">
        <f>IFERROR(_xlfn.XLOOKUP($D230,'Modelling New'!$D:$D,'Modelling New'!$AF:$AF),"")</f>
        <v>0.995</v>
      </c>
      <c r="AI230" s="109" t="str">
        <f>IFERROR(_xlfn.XLOOKUP($A230,Input_Raw!$A:$A,Input_Raw!$DP:$DP),"")</f>
        <v/>
      </c>
      <c r="AJ230" s="108"/>
      <c r="AK230" s="108"/>
      <c r="AL230" s="108"/>
      <c r="AM230" s="108"/>
      <c r="AN230" s="132" t="str">
        <f>IFERROR(_xlfn.XLOOKUP($A230,Input_Raw!$A:$A,Input_Raw!$DL:$DL),"")</f>
        <v/>
      </c>
      <c r="AO230" s="142" t="str">
        <f>IFERROR((_xlfn.XLOOKUP($A230,'WTG Reactive Power'!$A:$A,'WTG Reactive Power'!$AW:$AW))/X230,"")</f>
        <v/>
      </c>
      <c r="AP230" s="142">
        <f>IFERROR(_xlfn.XLOOKUP($D230,'Modelling New'!$D:$D,'Modelling New'!$AK:$AK),"")</f>
        <v>0.05</v>
      </c>
      <c r="AQ230" s="142">
        <f>IFERROR(_xlfn.XLOOKUP($D230,'Modelling New'!$D:$D,'Modelling New'!$AL:$AL),"")</f>
        <v>0.05</v>
      </c>
      <c r="AR230" s="198">
        <f>IFERROR(_xlfn.XLOOKUP($D230,'Modelling New'!$D:$D,'Modelling New'!$N:$N),"")</f>
        <v>70.400000000000006</v>
      </c>
      <c r="AS230" s="198"/>
    </row>
    <row r="231" spans="1:45">
      <c r="A231" s="137">
        <f t="shared" si="23"/>
        <v>45974</v>
      </c>
      <c r="B231" s="138">
        <f>YEAR(Daily_KPI[[#This Row],[Date]])+IF(MONTH(Daily_KPI[[#This Row],[Date]])&gt;=4,1,0)</f>
        <v>2026</v>
      </c>
      <c r="C231" s="108">
        <f>YEAR(Daily_KPI[[#This Row],[Date]])</f>
        <v>2025</v>
      </c>
      <c r="D231" s="139">
        <f>Daily_KPI[[#This Row],[Date]]-DAY(Daily_KPI[[#This Row],[Date]])+1</f>
        <v>45962</v>
      </c>
      <c r="E231" s="108">
        <f t="shared" si="19"/>
        <v>30</v>
      </c>
      <c r="F231" s="109"/>
      <c r="G231" s="110"/>
      <c r="H231" s="110"/>
      <c r="I231" s="110"/>
      <c r="J231" s="110"/>
      <c r="K231" s="111"/>
      <c r="L231" s="110"/>
      <c r="M231" s="110" t="str">
        <f>IFERROR(_xlfn.XLOOKUP($A231,Input_Raw!$A:$A,Input_Raw!$CQ:$CQ),"")</f>
        <v/>
      </c>
      <c r="N231" s="110" t="str">
        <f>IFERROR(_xlfn.XLOOKUP($A231,Input_Raw!$A:$A,Input_Raw!$CR:$CR),"")</f>
        <v/>
      </c>
      <c r="O231" s="141" t="str">
        <f t="shared" si="20"/>
        <v/>
      </c>
      <c r="P231" s="141" t="str">
        <f>IFERROR(1-SUMIF(WTG_BD!$F:$F,$A231,WTG_BD!$AA:$AA)/($AA231+SUMIF(WTG_BD!$F:$F,$A231,WTG_BD!$AA:$AA)),"")</f>
        <v/>
      </c>
      <c r="Q231" s="141" t="str">
        <f>IFERROR(1-SUMIF(IGA_BD!$F:$F,$A231,IGA_BD!$W:$W)/($AA231+SUMIF(IGA_BD!$F:$F,$A231,IGA_BD!$W:$W)),"")</f>
        <v/>
      </c>
      <c r="R231" s="141" t="str">
        <f>IFERROR(1-SUMIF(Grid_BD!$F:$F,$A231,Grid_BD!$Y:$Y)/($AA231+SUMIF(Grid_BD!$F:$F,$A231,Grid_BD!$Y:$Y)),"")</f>
        <v/>
      </c>
      <c r="S231" s="108"/>
      <c r="T231" s="140"/>
      <c r="U231" s="141"/>
      <c r="V231" s="108"/>
      <c r="W231" s="142" t="str">
        <f t="shared" si="21"/>
        <v/>
      </c>
      <c r="X231" s="108" t="str">
        <f>IFERROR(_xlfn.XLOOKUP($A231,Input_Raw!$A:$A,Input_Raw!$CP:$CP)*1000,"")</f>
        <v/>
      </c>
      <c r="Y231" s="108" t="str">
        <f>IFERROR(_xlfn.XLOOKUP($A231,Input_Raw!$A:$A,Input_Raw!DJ:DJ)*1000,"")</f>
        <v/>
      </c>
      <c r="Z231" s="108" t="str">
        <f>IFERROR(_xlfn.XLOOKUP($A231,Input_Raw!$A:$A,Input_Raw!DK:DK)*1000,"")</f>
        <v/>
      </c>
      <c r="AA231" s="138" t="str">
        <f t="shared" si="22"/>
        <v/>
      </c>
      <c r="AB231" s="108" t="str">
        <f>IFERROR(_xlfn.XLOOKUP($A231,Input_Raw!$A:$A,Input_Raw!$DR:$DR),"")</f>
        <v/>
      </c>
      <c r="AC231" s="143">
        <f>IFERROR(_xlfn.XLOOKUP($D231,'Modelling New'!$D:$D,'Modelling New'!$J:$J),"")</f>
        <v>4.4633333333333338</v>
      </c>
      <c r="AD231" s="138">
        <f>IFERROR(_xlfn.XLOOKUP($D231,'Modelling New'!$D:$D,'Modelling New'!$T:$T)*1000,"")</f>
        <v>240102.5114009853</v>
      </c>
      <c r="AE231" s="142"/>
      <c r="AF231" s="142">
        <f>IFERROR(_xlfn.XLOOKUP($D231,'Modelling New'!$D:$D,'Modelling New'!$W:$W),"")</f>
        <v>0.14210612653940891</v>
      </c>
      <c r="AG231" s="142">
        <f>IFERROR(_xlfn.XLOOKUP($D231,'Modelling New'!$D:$D,'Modelling New'!$AE:$AE),"")</f>
        <v>0.96029999999999993</v>
      </c>
      <c r="AH231" s="142">
        <f>IFERROR(_xlfn.XLOOKUP($D231,'Modelling New'!$D:$D,'Modelling New'!$AF:$AF),"")</f>
        <v>0.995</v>
      </c>
      <c r="AI231" s="109" t="str">
        <f>IFERROR(_xlfn.XLOOKUP($A231,Input_Raw!$A:$A,Input_Raw!$DP:$DP),"")</f>
        <v/>
      </c>
      <c r="AJ231" s="108"/>
      <c r="AK231" s="108"/>
      <c r="AL231" s="108"/>
      <c r="AM231" s="108"/>
      <c r="AN231" s="132" t="str">
        <f>IFERROR(_xlfn.XLOOKUP($A231,Input_Raw!$A:$A,Input_Raw!$DL:$DL),"")</f>
        <v/>
      </c>
      <c r="AO231" s="142" t="str">
        <f>IFERROR((_xlfn.XLOOKUP($A231,'WTG Reactive Power'!$A:$A,'WTG Reactive Power'!$AW:$AW))/X231,"")</f>
        <v/>
      </c>
      <c r="AP231" s="142">
        <f>IFERROR(_xlfn.XLOOKUP($D231,'Modelling New'!$D:$D,'Modelling New'!$AK:$AK),"")</f>
        <v>0.05</v>
      </c>
      <c r="AQ231" s="142">
        <f>IFERROR(_xlfn.XLOOKUP($D231,'Modelling New'!$D:$D,'Modelling New'!$AL:$AL),"")</f>
        <v>0.05</v>
      </c>
      <c r="AR231" s="198">
        <f>IFERROR(_xlfn.XLOOKUP($D231,'Modelling New'!$D:$D,'Modelling New'!$N:$N),"")</f>
        <v>70.400000000000006</v>
      </c>
      <c r="AS231" s="198"/>
    </row>
    <row r="232" spans="1:45">
      <c r="A232" s="137">
        <f t="shared" si="23"/>
        <v>45975</v>
      </c>
      <c r="B232" s="138">
        <f>YEAR(Daily_KPI[[#This Row],[Date]])+IF(MONTH(Daily_KPI[[#This Row],[Date]])&gt;=4,1,0)</f>
        <v>2026</v>
      </c>
      <c r="C232" s="108">
        <f>YEAR(Daily_KPI[[#This Row],[Date]])</f>
        <v>2025</v>
      </c>
      <c r="D232" s="139">
        <f>Daily_KPI[[#This Row],[Date]]-DAY(Daily_KPI[[#This Row],[Date]])+1</f>
        <v>45962</v>
      </c>
      <c r="E232" s="108">
        <f t="shared" si="19"/>
        <v>30</v>
      </c>
      <c r="F232" s="109"/>
      <c r="G232" s="143"/>
      <c r="H232" s="143"/>
      <c r="I232" s="143"/>
      <c r="J232" s="143"/>
      <c r="K232" s="111"/>
      <c r="L232" s="110"/>
      <c r="M232" s="110" t="str">
        <f>IFERROR(_xlfn.XLOOKUP($A232,Input_Raw!$A:$A,Input_Raw!$CQ:$CQ),"")</f>
        <v/>
      </c>
      <c r="N232" s="110" t="str">
        <f>IFERROR(_xlfn.XLOOKUP($A232,Input_Raw!$A:$A,Input_Raw!$CR:$CR),"")</f>
        <v/>
      </c>
      <c r="O232" s="141" t="str">
        <f t="shared" si="20"/>
        <v/>
      </c>
      <c r="P232" s="141" t="str">
        <f>IFERROR(1-SUMIF(WTG_BD!$F:$F,$A232,WTG_BD!$AA:$AA)/($AA232+SUMIF(WTG_BD!$F:$F,$A232,WTG_BD!$AA:$AA)),"")</f>
        <v/>
      </c>
      <c r="Q232" s="141" t="str">
        <f>IFERROR(1-SUMIF(IGA_BD!$F:$F,$A232,IGA_BD!$W:$W)/($AA232+SUMIF(IGA_BD!$F:$F,$A232,IGA_BD!$W:$W)),"")</f>
        <v/>
      </c>
      <c r="R232" s="141" t="str">
        <f>IFERROR(1-SUMIF(Grid_BD!$F:$F,$A232,Grid_BD!$Y:$Y)/($AA232+SUMIF(Grid_BD!$F:$F,$A232,Grid_BD!$Y:$Y)),"")</f>
        <v/>
      </c>
      <c r="S232" s="108"/>
      <c r="T232" s="140"/>
      <c r="U232" s="141"/>
      <c r="V232" s="108"/>
      <c r="W232" s="142" t="str">
        <f t="shared" si="21"/>
        <v/>
      </c>
      <c r="X232" s="108" t="str">
        <f>IFERROR(_xlfn.XLOOKUP($A232,Input_Raw!$A:$A,Input_Raw!$CP:$CP)*1000,"")</f>
        <v/>
      </c>
      <c r="Y232" s="108" t="str">
        <f>IFERROR(_xlfn.XLOOKUP($A232,Input_Raw!$A:$A,Input_Raw!DJ:DJ)*1000,"")</f>
        <v/>
      </c>
      <c r="Z232" s="108" t="str">
        <f>IFERROR(_xlfn.XLOOKUP($A232,Input_Raw!$A:$A,Input_Raw!DK:DK)*1000,"")</f>
        <v/>
      </c>
      <c r="AA232" s="138" t="str">
        <f t="shared" si="22"/>
        <v/>
      </c>
      <c r="AB232" s="108" t="str">
        <f>IFERROR(_xlfn.XLOOKUP($A232,Input_Raw!$A:$A,Input_Raw!$DR:$DR),"")</f>
        <v/>
      </c>
      <c r="AC232" s="143">
        <f>IFERROR(_xlfn.XLOOKUP($D232,'Modelling New'!$D:$D,'Modelling New'!$J:$J),"")</f>
        <v>4.4633333333333338</v>
      </c>
      <c r="AD232" s="138">
        <f>IFERROR(_xlfn.XLOOKUP($D232,'Modelling New'!$D:$D,'Modelling New'!$T:$T)*1000,"")</f>
        <v>240102.5114009853</v>
      </c>
      <c r="AE232" s="142"/>
      <c r="AF232" s="142">
        <f>IFERROR(_xlfn.XLOOKUP($D232,'Modelling New'!$D:$D,'Modelling New'!$W:$W),"")</f>
        <v>0.14210612653940891</v>
      </c>
      <c r="AG232" s="142">
        <f>IFERROR(_xlfn.XLOOKUP($D232,'Modelling New'!$D:$D,'Modelling New'!$AE:$AE),"")</f>
        <v>0.96029999999999993</v>
      </c>
      <c r="AH232" s="142">
        <f>IFERROR(_xlfn.XLOOKUP($D232,'Modelling New'!$D:$D,'Modelling New'!$AF:$AF),"")</f>
        <v>0.995</v>
      </c>
      <c r="AI232" s="109" t="str">
        <f>IFERROR(_xlfn.XLOOKUP($A232,Input_Raw!$A:$A,Input_Raw!$DP:$DP),"")</f>
        <v/>
      </c>
      <c r="AJ232" s="108"/>
      <c r="AK232" s="108"/>
      <c r="AL232" s="108"/>
      <c r="AM232" s="108"/>
      <c r="AN232" s="132" t="str">
        <f>IFERROR(_xlfn.XLOOKUP($A232,Input_Raw!$A:$A,Input_Raw!$DL:$DL),"")</f>
        <v/>
      </c>
      <c r="AO232" s="142" t="str">
        <f>IFERROR((_xlfn.XLOOKUP($A232,'WTG Reactive Power'!$A:$A,'WTG Reactive Power'!$AW:$AW))/X232,"")</f>
        <v/>
      </c>
      <c r="AP232" s="142">
        <f>IFERROR(_xlfn.XLOOKUP($D232,'Modelling New'!$D:$D,'Modelling New'!$AK:$AK),"")</f>
        <v>0.05</v>
      </c>
      <c r="AQ232" s="142">
        <f>IFERROR(_xlfn.XLOOKUP($D232,'Modelling New'!$D:$D,'Modelling New'!$AL:$AL),"")</f>
        <v>0.05</v>
      </c>
      <c r="AR232" s="198">
        <f>IFERROR(_xlfn.XLOOKUP($D232,'Modelling New'!$D:$D,'Modelling New'!$N:$N),"")</f>
        <v>70.400000000000006</v>
      </c>
      <c r="AS232" s="198"/>
    </row>
    <row r="233" spans="1:45">
      <c r="A233" s="137">
        <f t="shared" si="23"/>
        <v>45976</v>
      </c>
      <c r="B233" s="138">
        <f>YEAR(Daily_KPI[[#This Row],[Date]])+IF(MONTH(Daily_KPI[[#This Row],[Date]])&gt;=4,1,0)</f>
        <v>2026</v>
      </c>
      <c r="C233" s="108">
        <f>YEAR(Daily_KPI[[#This Row],[Date]])</f>
        <v>2025</v>
      </c>
      <c r="D233" s="139">
        <f>Daily_KPI[[#This Row],[Date]]-DAY(Daily_KPI[[#This Row],[Date]])+1</f>
        <v>45962</v>
      </c>
      <c r="E233" s="108">
        <f t="shared" si="19"/>
        <v>30</v>
      </c>
      <c r="F233" s="109"/>
      <c r="G233" s="110"/>
      <c r="H233" s="110"/>
      <c r="I233" s="110"/>
      <c r="J233" s="110"/>
      <c r="K233" s="111"/>
      <c r="L233" s="110"/>
      <c r="M233" s="110" t="str">
        <f>IFERROR(_xlfn.XLOOKUP($A233,Input_Raw!$A:$A,Input_Raw!$CQ:$CQ),"")</f>
        <v/>
      </c>
      <c r="N233" s="110" t="str">
        <f>IFERROR(_xlfn.XLOOKUP($A233,Input_Raw!$A:$A,Input_Raw!$CR:$CR),"")</f>
        <v/>
      </c>
      <c r="O233" s="141" t="str">
        <f t="shared" si="20"/>
        <v/>
      </c>
      <c r="P233" s="141" t="str">
        <f>IFERROR(1-SUMIF(WTG_BD!$F:$F,$A233,WTG_BD!$AA:$AA)/($AA233+SUMIF(WTG_BD!$F:$F,$A233,WTG_BD!$AA:$AA)),"")</f>
        <v/>
      </c>
      <c r="Q233" s="141" t="str">
        <f>IFERROR(1-SUMIF(IGA_BD!$F:$F,$A233,IGA_BD!$W:$W)/($AA233+SUMIF(IGA_BD!$F:$F,$A233,IGA_BD!$W:$W)),"")</f>
        <v/>
      </c>
      <c r="R233" s="141" t="str">
        <f>IFERROR(1-SUMIF(Grid_BD!$F:$F,$A233,Grid_BD!$Y:$Y)/($AA233+SUMIF(Grid_BD!$F:$F,$A233,Grid_BD!$Y:$Y)),"")</f>
        <v/>
      </c>
      <c r="S233" s="108"/>
      <c r="T233" s="140"/>
      <c r="U233" s="141"/>
      <c r="V233" s="108"/>
      <c r="W233" s="142" t="str">
        <f t="shared" si="21"/>
        <v/>
      </c>
      <c r="X233" s="108" t="str">
        <f>IFERROR(_xlfn.XLOOKUP($A233,Input_Raw!$A:$A,Input_Raw!$CP:$CP)*1000,"")</f>
        <v/>
      </c>
      <c r="Y233" s="108" t="str">
        <f>IFERROR(_xlfn.XLOOKUP($A233,Input_Raw!$A:$A,Input_Raw!DJ:DJ)*1000,"")</f>
        <v/>
      </c>
      <c r="Z233" s="108" t="str">
        <f>IFERROR(_xlfn.XLOOKUP($A233,Input_Raw!$A:$A,Input_Raw!DK:DK)*1000,"")</f>
        <v/>
      </c>
      <c r="AA233" s="138" t="str">
        <f t="shared" si="22"/>
        <v/>
      </c>
      <c r="AB233" s="108" t="str">
        <f>IFERROR(_xlfn.XLOOKUP($A233,Input_Raw!$A:$A,Input_Raw!$DR:$DR),"")</f>
        <v/>
      </c>
      <c r="AC233" s="143">
        <f>IFERROR(_xlfn.XLOOKUP($D233,'Modelling New'!$D:$D,'Modelling New'!$J:$J),"")</f>
        <v>4.4633333333333338</v>
      </c>
      <c r="AD233" s="138">
        <f>IFERROR(_xlfn.XLOOKUP($D233,'Modelling New'!$D:$D,'Modelling New'!$T:$T)*1000,"")</f>
        <v>240102.5114009853</v>
      </c>
      <c r="AE233" s="142"/>
      <c r="AF233" s="142">
        <f>IFERROR(_xlfn.XLOOKUP($D233,'Modelling New'!$D:$D,'Modelling New'!$W:$W),"")</f>
        <v>0.14210612653940891</v>
      </c>
      <c r="AG233" s="142">
        <f>IFERROR(_xlfn.XLOOKUP($D233,'Modelling New'!$D:$D,'Modelling New'!$AE:$AE),"")</f>
        <v>0.96029999999999993</v>
      </c>
      <c r="AH233" s="142">
        <f>IFERROR(_xlfn.XLOOKUP($D233,'Modelling New'!$D:$D,'Modelling New'!$AF:$AF),"")</f>
        <v>0.995</v>
      </c>
      <c r="AI233" s="109" t="str">
        <f>IFERROR(_xlfn.XLOOKUP($A233,Input_Raw!$A:$A,Input_Raw!$DP:$DP),"")</f>
        <v/>
      </c>
      <c r="AJ233" s="108"/>
      <c r="AK233" s="108"/>
      <c r="AL233" s="108"/>
      <c r="AM233" s="108"/>
      <c r="AN233" s="132" t="str">
        <f>IFERROR(_xlfn.XLOOKUP($A233,Input_Raw!$A:$A,Input_Raw!$DL:$DL),"")</f>
        <v/>
      </c>
      <c r="AO233" s="142" t="str">
        <f>IFERROR((_xlfn.XLOOKUP($A233,'WTG Reactive Power'!$A:$A,'WTG Reactive Power'!$AW:$AW))/X233,"")</f>
        <v/>
      </c>
      <c r="AP233" s="142">
        <f>IFERROR(_xlfn.XLOOKUP($D233,'Modelling New'!$D:$D,'Modelling New'!$AK:$AK),"")</f>
        <v>0.05</v>
      </c>
      <c r="AQ233" s="142">
        <f>IFERROR(_xlfn.XLOOKUP($D233,'Modelling New'!$D:$D,'Modelling New'!$AL:$AL),"")</f>
        <v>0.05</v>
      </c>
      <c r="AR233" s="198">
        <f>IFERROR(_xlfn.XLOOKUP($D233,'Modelling New'!$D:$D,'Modelling New'!$N:$N),"")</f>
        <v>70.400000000000006</v>
      </c>
      <c r="AS233" s="198"/>
    </row>
    <row r="234" spans="1:45">
      <c r="A234" s="137">
        <f t="shared" si="23"/>
        <v>45977</v>
      </c>
      <c r="B234" s="138">
        <f>YEAR(Daily_KPI[[#This Row],[Date]])+IF(MONTH(Daily_KPI[[#This Row],[Date]])&gt;=4,1,0)</f>
        <v>2026</v>
      </c>
      <c r="C234" s="108">
        <f>YEAR(Daily_KPI[[#This Row],[Date]])</f>
        <v>2025</v>
      </c>
      <c r="D234" s="139">
        <f>Daily_KPI[[#This Row],[Date]]-DAY(Daily_KPI[[#This Row],[Date]])+1</f>
        <v>45962</v>
      </c>
      <c r="E234" s="108">
        <f t="shared" si="19"/>
        <v>30</v>
      </c>
      <c r="F234" s="109"/>
      <c r="G234" s="143"/>
      <c r="H234" s="143"/>
      <c r="I234" s="143"/>
      <c r="J234" s="143"/>
      <c r="K234" s="111"/>
      <c r="L234" s="110"/>
      <c r="M234" s="110" t="str">
        <f>IFERROR(_xlfn.XLOOKUP($A234,Input_Raw!$A:$A,Input_Raw!$CQ:$CQ),"")</f>
        <v/>
      </c>
      <c r="N234" s="110" t="str">
        <f>IFERROR(_xlfn.XLOOKUP($A234,Input_Raw!$A:$A,Input_Raw!$CR:$CR),"")</f>
        <v/>
      </c>
      <c r="O234" s="141" t="str">
        <f t="shared" si="20"/>
        <v/>
      </c>
      <c r="P234" s="141" t="str">
        <f>IFERROR(1-SUMIF(WTG_BD!$F:$F,$A234,WTG_BD!$AA:$AA)/($AA234+SUMIF(WTG_BD!$F:$F,$A234,WTG_BD!$AA:$AA)),"")</f>
        <v/>
      </c>
      <c r="Q234" s="141" t="str">
        <f>IFERROR(1-SUMIF(IGA_BD!$F:$F,$A234,IGA_BD!$W:$W)/($AA234+SUMIF(IGA_BD!$F:$F,$A234,IGA_BD!$W:$W)),"")</f>
        <v/>
      </c>
      <c r="R234" s="141" t="str">
        <f>IFERROR(1-SUMIF(Grid_BD!$F:$F,$A234,Grid_BD!$Y:$Y)/($AA234+SUMIF(Grid_BD!$F:$F,$A234,Grid_BD!$Y:$Y)),"")</f>
        <v/>
      </c>
      <c r="S234" s="108"/>
      <c r="T234" s="140"/>
      <c r="U234" s="141"/>
      <c r="V234" s="108"/>
      <c r="W234" s="142" t="str">
        <f t="shared" si="21"/>
        <v/>
      </c>
      <c r="X234" s="108" t="str">
        <f>IFERROR(_xlfn.XLOOKUP($A234,Input_Raw!$A:$A,Input_Raw!$CP:$CP)*1000,"")</f>
        <v/>
      </c>
      <c r="Y234" s="108" t="str">
        <f>IFERROR(_xlfn.XLOOKUP($A234,Input_Raw!$A:$A,Input_Raw!DJ:DJ)*1000,"")</f>
        <v/>
      </c>
      <c r="Z234" s="108" t="str">
        <f>IFERROR(_xlfn.XLOOKUP($A234,Input_Raw!$A:$A,Input_Raw!DK:DK)*1000,"")</f>
        <v/>
      </c>
      <c r="AA234" s="138" t="str">
        <f t="shared" si="22"/>
        <v/>
      </c>
      <c r="AB234" s="108" t="str">
        <f>IFERROR(_xlfn.XLOOKUP($A234,Input_Raw!$A:$A,Input_Raw!$DR:$DR),"")</f>
        <v/>
      </c>
      <c r="AC234" s="143">
        <f>IFERROR(_xlfn.XLOOKUP($D234,'Modelling New'!$D:$D,'Modelling New'!$J:$J),"")</f>
        <v>4.4633333333333338</v>
      </c>
      <c r="AD234" s="138">
        <f>IFERROR(_xlfn.XLOOKUP($D234,'Modelling New'!$D:$D,'Modelling New'!$T:$T)*1000,"")</f>
        <v>240102.5114009853</v>
      </c>
      <c r="AE234" s="142"/>
      <c r="AF234" s="142">
        <f>IFERROR(_xlfn.XLOOKUP($D234,'Modelling New'!$D:$D,'Modelling New'!$W:$W),"")</f>
        <v>0.14210612653940891</v>
      </c>
      <c r="AG234" s="142">
        <f>IFERROR(_xlfn.XLOOKUP($D234,'Modelling New'!$D:$D,'Modelling New'!$AE:$AE),"")</f>
        <v>0.96029999999999993</v>
      </c>
      <c r="AH234" s="142">
        <f>IFERROR(_xlfn.XLOOKUP($D234,'Modelling New'!$D:$D,'Modelling New'!$AF:$AF),"")</f>
        <v>0.995</v>
      </c>
      <c r="AI234" s="109" t="str">
        <f>IFERROR(_xlfn.XLOOKUP($A234,Input_Raw!$A:$A,Input_Raw!$DP:$DP),"")</f>
        <v/>
      </c>
      <c r="AJ234" s="108"/>
      <c r="AK234" s="108"/>
      <c r="AL234" s="108"/>
      <c r="AM234" s="108"/>
      <c r="AN234" s="132" t="str">
        <f>IFERROR(_xlfn.XLOOKUP($A234,Input_Raw!$A:$A,Input_Raw!$DL:$DL),"")</f>
        <v/>
      </c>
      <c r="AO234" s="142" t="str">
        <f>IFERROR((_xlfn.XLOOKUP($A234,'WTG Reactive Power'!$A:$A,'WTG Reactive Power'!$AW:$AW))/X234,"")</f>
        <v/>
      </c>
      <c r="AP234" s="142">
        <f>IFERROR(_xlfn.XLOOKUP($D234,'Modelling New'!$D:$D,'Modelling New'!$AK:$AK),"")</f>
        <v>0.05</v>
      </c>
      <c r="AQ234" s="142">
        <f>IFERROR(_xlfn.XLOOKUP($D234,'Modelling New'!$D:$D,'Modelling New'!$AL:$AL),"")</f>
        <v>0.05</v>
      </c>
      <c r="AR234" s="198">
        <f>IFERROR(_xlfn.XLOOKUP($D234,'Modelling New'!$D:$D,'Modelling New'!$N:$N),"")</f>
        <v>70.400000000000006</v>
      </c>
      <c r="AS234" s="198"/>
    </row>
    <row r="235" spans="1:45">
      <c r="A235" s="137">
        <f t="shared" si="23"/>
        <v>45978</v>
      </c>
      <c r="B235" s="138">
        <f>YEAR(Daily_KPI[[#This Row],[Date]])+IF(MONTH(Daily_KPI[[#This Row],[Date]])&gt;=4,1,0)</f>
        <v>2026</v>
      </c>
      <c r="C235" s="108">
        <f>YEAR(Daily_KPI[[#This Row],[Date]])</f>
        <v>2025</v>
      </c>
      <c r="D235" s="139">
        <f>Daily_KPI[[#This Row],[Date]]-DAY(Daily_KPI[[#This Row],[Date]])+1</f>
        <v>45962</v>
      </c>
      <c r="E235" s="108">
        <f t="shared" si="19"/>
        <v>30</v>
      </c>
      <c r="F235" s="109"/>
      <c r="G235" s="110"/>
      <c r="H235" s="110"/>
      <c r="I235" s="110"/>
      <c r="J235" s="110"/>
      <c r="K235" s="111"/>
      <c r="L235" s="110"/>
      <c r="M235" s="110" t="str">
        <f>IFERROR(_xlfn.XLOOKUP($A235,Input_Raw!$A:$A,Input_Raw!$CQ:$CQ),"")</f>
        <v/>
      </c>
      <c r="N235" s="110" t="str">
        <f>IFERROR(_xlfn.XLOOKUP($A235,Input_Raw!$A:$A,Input_Raw!$CR:$CR),"")</f>
        <v/>
      </c>
      <c r="O235" s="141" t="str">
        <f t="shared" si="20"/>
        <v/>
      </c>
      <c r="P235" s="141" t="str">
        <f>IFERROR(1-SUMIF(WTG_BD!$F:$F,$A235,WTG_BD!$AA:$AA)/($AA235+SUMIF(WTG_BD!$F:$F,$A235,WTG_BD!$AA:$AA)),"")</f>
        <v/>
      </c>
      <c r="Q235" s="141" t="str">
        <f>IFERROR(1-SUMIF(IGA_BD!$F:$F,$A235,IGA_BD!$W:$W)/($AA235+SUMIF(IGA_BD!$F:$F,$A235,IGA_BD!$W:$W)),"")</f>
        <v/>
      </c>
      <c r="R235" s="141" t="str">
        <f>IFERROR(1-SUMIF(Grid_BD!$F:$F,$A235,Grid_BD!$Y:$Y)/($AA235+SUMIF(Grid_BD!$F:$F,$A235,Grid_BD!$Y:$Y)),"")</f>
        <v/>
      </c>
      <c r="S235" s="108"/>
      <c r="T235" s="140"/>
      <c r="U235" s="141"/>
      <c r="V235" s="108"/>
      <c r="W235" s="142" t="str">
        <f t="shared" si="21"/>
        <v/>
      </c>
      <c r="X235" s="108" t="str">
        <f>IFERROR(_xlfn.XLOOKUP($A235,Input_Raw!$A:$A,Input_Raw!$CP:$CP)*1000,"")</f>
        <v/>
      </c>
      <c r="Y235" s="108" t="str">
        <f>IFERROR(_xlfn.XLOOKUP($A235,Input_Raw!$A:$A,Input_Raw!DJ:DJ)*1000,"")</f>
        <v/>
      </c>
      <c r="Z235" s="108" t="str">
        <f>IFERROR(_xlfn.XLOOKUP($A235,Input_Raw!$A:$A,Input_Raw!DK:DK)*1000,"")</f>
        <v/>
      </c>
      <c r="AA235" s="138" t="str">
        <f t="shared" si="22"/>
        <v/>
      </c>
      <c r="AB235" s="108" t="str">
        <f>IFERROR(_xlfn.XLOOKUP($A235,Input_Raw!$A:$A,Input_Raw!$DR:$DR),"")</f>
        <v/>
      </c>
      <c r="AC235" s="143">
        <f>IFERROR(_xlfn.XLOOKUP($D235,'Modelling New'!$D:$D,'Modelling New'!$J:$J),"")</f>
        <v>4.4633333333333338</v>
      </c>
      <c r="AD235" s="138">
        <f>IFERROR(_xlfn.XLOOKUP($D235,'Modelling New'!$D:$D,'Modelling New'!$T:$T)*1000,"")</f>
        <v>240102.5114009853</v>
      </c>
      <c r="AE235" s="142"/>
      <c r="AF235" s="142">
        <f>IFERROR(_xlfn.XLOOKUP($D235,'Modelling New'!$D:$D,'Modelling New'!$W:$W),"")</f>
        <v>0.14210612653940891</v>
      </c>
      <c r="AG235" s="142">
        <f>IFERROR(_xlfn.XLOOKUP($D235,'Modelling New'!$D:$D,'Modelling New'!$AE:$AE),"")</f>
        <v>0.96029999999999993</v>
      </c>
      <c r="AH235" s="142">
        <f>IFERROR(_xlfn.XLOOKUP($D235,'Modelling New'!$D:$D,'Modelling New'!$AF:$AF),"")</f>
        <v>0.995</v>
      </c>
      <c r="AI235" s="109" t="str">
        <f>IFERROR(_xlfn.XLOOKUP($A235,Input_Raw!$A:$A,Input_Raw!$DP:$DP),"")</f>
        <v/>
      </c>
      <c r="AJ235" s="108"/>
      <c r="AK235" s="108"/>
      <c r="AL235" s="108"/>
      <c r="AM235" s="108"/>
      <c r="AN235" s="132" t="str">
        <f>IFERROR(_xlfn.XLOOKUP($A235,Input_Raw!$A:$A,Input_Raw!$DL:$DL),"")</f>
        <v/>
      </c>
      <c r="AO235" s="142" t="str">
        <f>IFERROR((_xlfn.XLOOKUP($A235,'WTG Reactive Power'!$A:$A,'WTG Reactive Power'!$AW:$AW))/X235,"")</f>
        <v/>
      </c>
      <c r="AP235" s="142">
        <f>IFERROR(_xlfn.XLOOKUP($D235,'Modelling New'!$D:$D,'Modelling New'!$AK:$AK),"")</f>
        <v>0.05</v>
      </c>
      <c r="AQ235" s="142">
        <f>IFERROR(_xlfn.XLOOKUP($D235,'Modelling New'!$D:$D,'Modelling New'!$AL:$AL),"")</f>
        <v>0.05</v>
      </c>
      <c r="AR235" s="198">
        <f>IFERROR(_xlfn.XLOOKUP($D235,'Modelling New'!$D:$D,'Modelling New'!$N:$N),"")</f>
        <v>70.400000000000006</v>
      </c>
      <c r="AS235" s="198"/>
    </row>
    <row r="236" spans="1:45">
      <c r="A236" s="137">
        <f t="shared" si="23"/>
        <v>45979</v>
      </c>
      <c r="B236" s="138">
        <f>YEAR(Daily_KPI[[#This Row],[Date]])+IF(MONTH(Daily_KPI[[#This Row],[Date]])&gt;=4,1,0)</f>
        <v>2026</v>
      </c>
      <c r="C236" s="108">
        <f>YEAR(Daily_KPI[[#This Row],[Date]])</f>
        <v>2025</v>
      </c>
      <c r="D236" s="139">
        <f>Daily_KPI[[#This Row],[Date]]-DAY(Daily_KPI[[#This Row],[Date]])+1</f>
        <v>45962</v>
      </c>
      <c r="E236" s="108">
        <f t="shared" si="19"/>
        <v>30</v>
      </c>
      <c r="F236" s="109"/>
      <c r="G236" s="143"/>
      <c r="H236" s="143"/>
      <c r="I236" s="143"/>
      <c r="J236" s="143"/>
      <c r="K236" s="111"/>
      <c r="L236" s="110"/>
      <c r="M236" s="110" t="str">
        <f>IFERROR(_xlfn.XLOOKUP($A236,Input_Raw!$A:$A,Input_Raw!$CQ:$CQ),"")</f>
        <v/>
      </c>
      <c r="N236" s="110" t="str">
        <f>IFERROR(_xlfn.XLOOKUP($A236,Input_Raw!$A:$A,Input_Raw!$CR:$CR),"")</f>
        <v/>
      </c>
      <c r="O236" s="141" t="str">
        <f t="shared" si="20"/>
        <v/>
      </c>
      <c r="P236" s="141" t="str">
        <f>IFERROR(1-SUMIF(WTG_BD!$F:$F,$A236,WTG_BD!$AA:$AA)/($AA236+SUMIF(WTG_BD!$F:$F,$A236,WTG_BD!$AA:$AA)),"")</f>
        <v/>
      </c>
      <c r="Q236" s="141" t="str">
        <f>IFERROR(1-SUMIF(IGA_BD!$F:$F,$A236,IGA_BD!$W:$W)/($AA236+SUMIF(IGA_BD!$F:$F,$A236,IGA_BD!$W:$W)),"")</f>
        <v/>
      </c>
      <c r="R236" s="141" t="str">
        <f>IFERROR(1-SUMIF(Grid_BD!$F:$F,$A236,Grid_BD!$Y:$Y)/($AA236+SUMIF(Grid_BD!$F:$F,$A236,Grid_BD!$Y:$Y)),"")</f>
        <v/>
      </c>
      <c r="S236" s="108"/>
      <c r="T236" s="140"/>
      <c r="U236" s="141"/>
      <c r="V236" s="108"/>
      <c r="W236" s="142" t="str">
        <f t="shared" si="21"/>
        <v/>
      </c>
      <c r="X236" s="108" t="str">
        <f>IFERROR(_xlfn.XLOOKUP($A236,Input_Raw!$A:$A,Input_Raw!$CP:$CP)*1000,"")</f>
        <v/>
      </c>
      <c r="Y236" s="108" t="str">
        <f>IFERROR(_xlfn.XLOOKUP($A236,Input_Raw!$A:$A,Input_Raw!DJ:DJ)*1000,"")</f>
        <v/>
      </c>
      <c r="Z236" s="108" t="str">
        <f>IFERROR(_xlfn.XLOOKUP($A236,Input_Raw!$A:$A,Input_Raw!DK:DK)*1000,"")</f>
        <v/>
      </c>
      <c r="AA236" s="138" t="str">
        <f t="shared" si="22"/>
        <v/>
      </c>
      <c r="AB236" s="108" t="str">
        <f>IFERROR(_xlfn.XLOOKUP($A236,Input_Raw!$A:$A,Input_Raw!$DR:$DR),"")</f>
        <v/>
      </c>
      <c r="AC236" s="143">
        <f>IFERROR(_xlfn.XLOOKUP($D236,'Modelling New'!$D:$D,'Modelling New'!$J:$J),"")</f>
        <v>4.4633333333333338</v>
      </c>
      <c r="AD236" s="138">
        <f>IFERROR(_xlfn.XLOOKUP($D236,'Modelling New'!$D:$D,'Modelling New'!$T:$T)*1000,"")</f>
        <v>240102.5114009853</v>
      </c>
      <c r="AE236" s="142"/>
      <c r="AF236" s="142">
        <f>IFERROR(_xlfn.XLOOKUP($D236,'Modelling New'!$D:$D,'Modelling New'!$W:$W),"")</f>
        <v>0.14210612653940891</v>
      </c>
      <c r="AG236" s="142">
        <f>IFERROR(_xlfn.XLOOKUP($D236,'Modelling New'!$D:$D,'Modelling New'!$AE:$AE),"")</f>
        <v>0.96029999999999993</v>
      </c>
      <c r="AH236" s="142">
        <f>IFERROR(_xlfn.XLOOKUP($D236,'Modelling New'!$D:$D,'Modelling New'!$AF:$AF),"")</f>
        <v>0.995</v>
      </c>
      <c r="AI236" s="109" t="str">
        <f>IFERROR(_xlfn.XLOOKUP($A236,Input_Raw!$A:$A,Input_Raw!$DP:$DP),"")</f>
        <v/>
      </c>
      <c r="AJ236" s="108"/>
      <c r="AK236" s="108"/>
      <c r="AL236" s="108"/>
      <c r="AM236" s="108"/>
      <c r="AN236" s="132" t="str">
        <f>IFERROR(_xlfn.XLOOKUP($A236,Input_Raw!$A:$A,Input_Raw!$DL:$DL),"")</f>
        <v/>
      </c>
      <c r="AO236" s="142" t="str">
        <f>IFERROR((_xlfn.XLOOKUP($A236,'WTG Reactive Power'!$A:$A,'WTG Reactive Power'!$AW:$AW))/X236,"")</f>
        <v/>
      </c>
      <c r="AP236" s="142">
        <f>IFERROR(_xlfn.XLOOKUP($D236,'Modelling New'!$D:$D,'Modelling New'!$AK:$AK),"")</f>
        <v>0.05</v>
      </c>
      <c r="AQ236" s="142">
        <f>IFERROR(_xlfn.XLOOKUP($D236,'Modelling New'!$D:$D,'Modelling New'!$AL:$AL),"")</f>
        <v>0.05</v>
      </c>
      <c r="AR236" s="198">
        <f>IFERROR(_xlfn.XLOOKUP($D236,'Modelling New'!$D:$D,'Modelling New'!$N:$N),"")</f>
        <v>70.400000000000006</v>
      </c>
      <c r="AS236" s="198"/>
    </row>
    <row r="237" spans="1:45">
      <c r="A237" s="137">
        <f t="shared" si="23"/>
        <v>45980</v>
      </c>
      <c r="B237" s="138">
        <f>YEAR(Daily_KPI[[#This Row],[Date]])+IF(MONTH(Daily_KPI[[#This Row],[Date]])&gt;=4,1,0)</f>
        <v>2026</v>
      </c>
      <c r="C237" s="108">
        <f>YEAR(Daily_KPI[[#This Row],[Date]])</f>
        <v>2025</v>
      </c>
      <c r="D237" s="139">
        <f>Daily_KPI[[#This Row],[Date]]-DAY(Daily_KPI[[#This Row],[Date]])+1</f>
        <v>45962</v>
      </c>
      <c r="E237" s="108">
        <f t="shared" si="19"/>
        <v>30</v>
      </c>
      <c r="F237" s="109"/>
      <c r="G237" s="110"/>
      <c r="H237" s="110"/>
      <c r="I237" s="110"/>
      <c r="J237" s="110"/>
      <c r="K237" s="111"/>
      <c r="L237" s="110"/>
      <c r="M237" s="110" t="str">
        <f>IFERROR(_xlfn.XLOOKUP($A237,Input_Raw!$A:$A,Input_Raw!$CQ:$CQ),"")</f>
        <v/>
      </c>
      <c r="N237" s="110" t="str">
        <f>IFERROR(_xlfn.XLOOKUP($A237,Input_Raw!$A:$A,Input_Raw!$CR:$CR),"")</f>
        <v/>
      </c>
      <c r="O237" s="141" t="str">
        <f t="shared" si="20"/>
        <v/>
      </c>
      <c r="P237" s="141" t="str">
        <f>IFERROR(1-SUMIF(WTG_BD!$F:$F,$A237,WTG_BD!$AA:$AA)/($AA237+SUMIF(WTG_BD!$F:$F,$A237,WTG_BD!$AA:$AA)),"")</f>
        <v/>
      </c>
      <c r="Q237" s="141" t="str">
        <f>IFERROR(1-SUMIF(IGA_BD!$F:$F,$A237,IGA_BD!$W:$W)/($AA237+SUMIF(IGA_BD!$F:$F,$A237,IGA_BD!$W:$W)),"")</f>
        <v/>
      </c>
      <c r="R237" s="141" t="str">
        <f>IFERROR(1-SUMIF(Grid_BD!$F:$F,$A237,Grid_BD!$Y:$Y)/($AA237+SUMIF(Grid_BD!$F:$F,$A237,Grid_BD!$Y:$Y)),"")</f>
        <v/>
      </c>
      <c r="S237" s="108"/>
      <c r="T237" s="140"/>
      <c r="U237" s="141"/>
      <c r="V237" s="108"/>
      <c r="W237" s="142" t="str">
        <f t="shared" si="21"/>
        <v/>
      </c>
      <c r="X237" s="108" t="str">
        <f>IFERROR(_xlfn.XLOOKUP($A237,Input_Raw!$A:$A,Input_Raw!$CP:$CP)*1000,"")</f>
        <v/>
      </c>
      <c r="Y237" s="108" t="str">
        <f>IFERROR(_xlfn.XLOOKUP($A237,Input_Raw!$A:$A,Input_Raw!DJ:DJ)*1000,"")</f>
        <v/>
      </c>
      <c r="Z237" s="108" t="str">
        <f>IFERROR(_xlfn.XLOOKUP($A237,Input_Raw!$A:$A,Input_Raw!DK:DK)*1000,"")</f>
        <v/>
      </c>
      <c r="AA237" s="138" t="str">
        <f t="shared" si="22"/>
        <v/>
      </c>
      <c r="AB237" s="108" t="str">
        <f>IFERROR(_xlfn.XLOOKUP($A237,Input_Raw!$A:$A,Input_Raw!$DR:$DR),"")</f>
        <v/>
      </c>
      <c r="AC237" s="143">
        <f>IFERROR(_xlfn.XLOOKUP($D237,'Modelling New'!$D:$D,'Modelling New'!$J:$J),"")</f>
        <v>4.4633333333333338</v>
      </c>
      <c r="AD237" s="138">
        <f>IFERROR(_xlfn.XLOOKUP($D237,'Modelling New'!$D:$D,'Modelling New'!$T:$T)*1000,"")</f>
        <v>240102.5114009853</v>
      </c>
      <c r="AE237" s="142"/>
      <c r="AF237" s="142">
        <f>IFERROR(_xlfn.XLOOKUP($D237,'Modelling New'!$D:$D,'Modelling New'!$W:$W),"")</f>
        <v>0.14210612653940891</v>
      </c>
      <c r="AG237" s="142">
        <f>IFERROR(_xlfn.XLOOKUP($D237,'Modelling New'!$D:$D,'Modelling New'!$AE:$AE),"")</f>
        <v>0.96029999999999993</v>
      </c>
      <c r="AH237" s="142">
        <f>IFERROR(_xlfn.XLOOKUP($D237,'Modelling New'!$D:$D,'Modelling New'!$AF:$AF),"")</f>
        <v>0.995</v>
      </c>
      <c r="AI237" s="109" t="str">
        <f>IFERROR(_xlfn.XLOOKUP($A237,Input_Raw!$A:$A,Input_Raw!$DP:$DP),"")</f>
        <v/>
      </c>
      <c r="AJ237" s="108"/>
      <c r="AK237" s="108"/>
      <c r="AL237" s="108"/>
      <c r="AM237" s="108"/>
      <c r="AN237" s="132" t="str">
        <f>IFERROR(_xlfn.XLOOKUP($A237,Input_Raw!$A:$A,Input_Raw!$DL:$DL),"")</f>
        <v/>
      </c>
      <c r="AO237" s="142" t="str">
        <f>IFERROR((_xlfn.XLOOKUP($A237,'WTG Reactive Power'!$A:$A,'WTG Reactive Power'!$AW:$AW))/X237,"")</f>
        <v/>
      </c>
      <c r="AP237" s="142">
        <f>IFERROR(_xlfn.XLOOKUP($D237,'Modelling New'!$D:$D,'Modelling New'!$AK:$AK),"")</f>
        <v>0.05</v>
      </c>
      <c r="AQ237" s="142">
        <f>IFERROR(_xlfn.XLOOKUP($D237,'Modelling New'!$D:$D,'Modelling New'!$AL:$AL),"")</f>
        <v>0.05</v>
      </c>
      <c r="AR237" s="198">
        <f>IFERROR(_xlfn.XLOOKUP($D237,'Modelling New'!$D:$D,'Modelling New'!$N:$N),"")</f>
        <v>70.400000000000006</v>
      </c>
      <c r="AS237" s="198"/>
    </row>
    <row r="238" spans="1:45">
      <c r="A238" s="137">
        <f t="shared" si="23"/>
        <v>45981</v>
      </c>
      <c r="B238" s="138">
        <f>YEAR(Daily_KPI[[#This Row],[Date]])+IF(MONTH(Daily_KPI[[#This Row],[Date]])&gt;=4,1,0)</f>
        <v>2026</v>
      </c>
      <c r="C238" s="108">
        <f>YEAR(Daily_KPI[[#This Row],[Date]])</f>
        <v>2025</v>
      </c>
      <c r="D238" s="139">
        <f>Daily_KPI[[#This Row],[Date]]-DAY(Daily_KPI[[#This Row],[Date]])+1</f>
        <v>45962</v>
      </c>
      <c r="E238" s="108">
        <f t="shared" si="19"/>
        <v>30</v>
      </c>
      <c r="F238" s="109"/>
      <c r="G238" s="143"/>
      <c r="H238" s="143"/>
      <c r="I238" s="143"/>
      <c r="J238" s="143"/>
      <c r="K238" s="111"/>
      <c r="L238" s="110"/>
      <c r="M238" s="110" t="str">
        <f>IFERROR(_xlfn.XLOOKUP($A238,Input_Raw!$A:$A,Input_Raw!$CQ:$CQ),"")</f>
        <v/>
      </c>
      <c r="N238" s="110" t="str">
        <f>IFERROR(_xlfn.XLOOKUP($A238,Input_Raw!$A:$A,Input_Raw!$CR:$CR),"")</f>
        <v/>
      </c>
      <c r="O238" s="141" t="str">
        <f t="shared" si="20"/>
        <v/>
      </c>
      <c r="P238" s="141" t="str">
        <f>IFERROR(1-SUMIF(WTG_BD!$F:$F,$A238,WTG_BD!$AA:$AA)/($AA238+SUMIF(WTG_BD!$F:$F,$A238,WTG_BD!$AA:$AA)),"")</f>
        <v/>
      </c>
      <c r="Q238" s="141" t="str">
        <f>IFERROR(1-SUMIF(IGA_BD!$F:$F,$A238,IGA_BD!$W:$W)/($AA238+SUMIF(IGA_BD!$F:$F,$A238,IGA_BD!$W:$W)),"")</f>
        <v/>
      </c>
      <c r="R238" s="141" t="str">
        <f>IFERROR(1-SUMIF(Grid_BD!$F:$F,$A238,Grid_BD!$Y:$Y)/($AA238+SUMIF(Grid_BD!$F:$F,$A238,Grid_BD!$Y:$Y)),"")</f>
        <v/>
      </c>
      <c r="S238" s="108"/>
      <c r="T238" s="140"/>
      <c r="U238" s="141"/>
      <c r="V238" s="108"/>
      <c r="W238" s="142" t="str">
        <f t="shared" si="21"/>
        <v/>
      </c>
      <c r="X238" s="108" t="str">
        <f>IFERROR(_xlfn.XLOOKUP($A238,Input_Raw!$A:$A,Input_Raw!$CP:$CP)*1000,"")</f>
        <v/>
      </c>
      <c r="Y238" s="108" t="str">
        <f>IFERROR(_xlfn.XLOOKUP($A238,Input_Raw!$A:$A,Input_Raw!DJ:DJ)*1000,"")</f>
        <v/>
      </c>
      <c r="Z238" s="108" t="str">
        <f>IFERROR(_xlfn.XLOOKUP($A238,Input_Raw!$A:$A,Input_Raw!DK:DK)*1000,"")</f>
        <v/>
      </c>
      <c r="AA238" s="138" t="str">
        <f t="shared" si="22"/>
        <v/>
      </c>
      <c r="AB238" s="108" t="str">
        <f>IFERROR(_xlfn.XLOOKUP($A238,Input_Raw!$A:$A,Input_Raw!$DR:$DR),"")</f>
        <v/>
      </c>
      <c r="AC238" s="143">
        <f>IFERROR(_xlfn.XLOOKUP($D238,'Modelling New'!$D:$D,'Modelling New'!$J:$J),"")</f>
        <v>4.4633333333333338</v>
      </c>
      <c r="AD238" s="138">
        <f>IFERROR(_xlfn.XLOOKUP($D238,'Modelling New'!$D:$D,'Modelling New'!$T:$T)*1000,"")</f>
        <v>240102.5114009853</v>
      </c>
      <c r="AE238" s="142"/>
      <c r="AF238" s="142">
        <f>IFERROR(_xlfn.XLOOKUP($D238,'Modelling New'!$D:$D,'Modelling New'!$W:$W),"")</f>
        <v>0.14210612653940891</v>
      </c>
      <c r="AG238" s="142">
        <f>IFERROR(_xlfn.XLOOKUP($D238,'Modelling New'!$D:$D,'Modelling New'!$AE:$AE),"")</f>
        <v>0.96029999999999993</v>
      </c>
      <c r="AH238" s="142">
        <f>IFERROR(_xlfn.XLOOKUP($D238,'Modelling New'!$D:$D,'Modelling New'!$AF:$AF),"")</f>
        <v>0.995</v>
      </c>
      <c r="AI238" s="109" t="str">
        <f>IFERROR(_xlfn.XLOOKUP($A238,Input_Raw!$A:$A,Input_Raw!$DP:$DP),"")</f>
        <v/>
      </c>
      <c r="AJ238" s="108"/>
      <c r="AK238" s="108"/>
      <c r="AL238" s="108"/>
      <c r="AM238" s="108"/>
      <c r="AN238" s="132" t="str">
        <f>IFERROR(_xlfn.XLOOKUP($A238,Input_Raw!$A:$A,Input_Raw!$DL:$DL),"")</f>
        <v/>
      </c>
      <c r="AO238" s="142" t="str">
        <f>IFERROR((_xlfn.XLOOKUP($A238,'WTG Reactive Power'!$A:$A,'WTG Reactive Power'!$AW:$AW))/X238,"")</f>
        <v/>
      </c>
      <c r="AP238" s="142">
        <f>IFERROR(_xlfn.XLOOKUP($D238,'Modelling New'!$D:$D,'Modelling New'!$AK:$AK),"")</f>
        <v>0.05</v>
      </c>
      <c r="AQ238" s="142">
        <f>IFERROR(_xlfn.XLOOKUP($D238,'Modelling New'!$D:$D,'Modelling New'!$AL:$AL),"")</f>
        <v>0.05</v>
      </c>
      <c r="AR238" s="198">
        <f>IFERROR(_xlfn.XLOOKUP($D238,'Modelling New'!$D:$D,'Modelling New'!$N:$N),"")</f>
        <v>70.400000000000006</v>
      </c>
      <c r="AS238" s="198"/>
    </row>
    <row r="239" spans="1:45">
      <c r="A239" s="137">
        <f t="shared" si="23"/>
        <v>45982</v>
      </c>
      <c r="B239" s="138">
        <f>YEAR(Daily_KPI[[#This Row],[Date]])+IF(MONTH(Daily_KPI[[#This Row],[Date]])&gt;=4,1,0)</f>
        <v>2026</v>
      </c>
      <c r="C239" s="108">
        <f>YEAR(Daily_KPI[[#This Row],[Date]])</f>
        <v>2025</v>
      </c>
      <c r="D239" s="139">
        <f>Daily_KPI[[#This Row],[Date]]-DAY(Daily_KPI[[#This Row],[Date]])+1</f>
        <v>45962</v>
      </c>
      <c r="E239" s="108">
        <f t="shared" si="19"/>
        <v>30</v>
      </c>
      <c r="F239" s="109"/>
      <c r="G239" s="110"/>
      <c r="H239" s="110"/>
      <c r="I239" s="110"/>
      <c r="J239" s="110"/>
      <c r="K239" s="111"/>
      <c r="L239" s="110"/>
      <c r="M239" s="110" t="str">
        <f>IFERROR(_xlfn.XLOOKUP($A239,Input_Raw!$A:$A,Input_Raw!$CQ:$CQ),"")</f>
        <v/>
      </c>
      <c r="N239" s="110" t="str">
        <f>IFERROR(_xlfn.XLOOKUP($A239,Input_Raw!$A:$A,Input_Raw!$CR:$CR),"")</f>
        <v/>
      </c>
      <c r="O239" s="141" t="str">
        <f t="shared" si="20"/>
        <v/>
      </c>
      <c r="P239" s="141" t="str">
        <f>IFERROR(1-SUMIF(WTG_BD!$F:$F,$A239,WTG_BD!$AA:$AA)/($AA239+SUMIF(WTG_BD!$F:$F,$A239,WTG_BD!$AA:$AA)),"")</f>
        <v/>
      </c>
      <c r="Q239" s="141" t="str">
        <f>IFERROR(1-SUMIF(IGA_BD!$F:$F,$A239,IGA_BD!$W:$W)/($AA239+SUMIF(IGA_BD!$F:$F,$A239,IGA_BD!$W:$W)),"")</f>
        <v/>
      </c>
      <c r="R239" s="141" t="str">
        <f>IFERROR(1-SUMIF(Grid_BD!$F:$F,$A239,Grid_BD!$Y:$Y)/($AA239+SUMIF(Grid_BD!$F:$F,$A239,Grid_BD!$Y:$Y)),"")</f>
        <v/>
      </c>
      <c r="S239" s="108"/>
      <c r="T239" s="140"/>
      <c r="U239" s="141"/>
      <c r="V239" s="108"/>
      <c r="W239" s="142" t="str">
        <f t="shared" si="21"/>
        <v/>
      </c>
      <c r="X239" s="108" t="str">
        <f>IFERROR(_xlfn.XLOOKUP($A239,Input_Raw!$A:$A,Input_Raw!$CP:$CP)*1000,"")</f>
        <v/>
      </c>
      <c r="Y239" s="108" t="str">
        <f>IFERROR(_xlfn.XLOOKUP($A239,Input_Raw!$A:$A,Input_Raw!DJ:DJ)*1000,"")</f>
        <v/>
      </c>
      <c r="Z239" s="108" t="str">
        <f>IFERROR(_xlfn.XLOOKUP($A239,Input_Raw!$A:$A,Input_Raw!DK:DK)*1000,"")</f>
        <v/>
      </c>
      <c r="AA239" s="138" t="str">
        <f t="shared" si="22"/>
        <v/>
      </c>
      <c r="AB239" s="108" t="str">
        <f>IFERROR(_xlfn.XLOOKUP($A239,Input_Raw!$A:$A,Input_Raw!$DR:$DR),"")</f>
        <v/>
      </c>
      <c r="AC239" s="143">
        <f>IFERROR(_xlfn.XLOOKUP($D239,'Modelling New'!$D:$D,'Modelling New'!$J:$J),"")</f>
        <v>4.4633333333333338</v>
      </c>
      <c r="AD239" s="138">
        <f>IFERROR(_xlfn.XLOOKUP($D239,'Modelling New'!$D:$D,'Modelling New'!$T:$T)*1000,"")</f>
        <v>240102.5114009853</v>
      </c>
      <c r="AE239" s="142"/>
      <c r="AF239" s="142">
        <f>IFERROR(_xlfn.XLOOKUP($D239,'Modelling New'!$D:$D,'Modelling New'!$W:$W),"")</f>
        <v>0.14210612653940891</v>
      </c>
      <c r="AG239" s="142">
        <f>IFERROR(_xlfn.XLOOKUP($D239,'Modelling New'!$D:$D,'Modelling New'!$AE:$AE),"")</f>
        <v>0.96029999999999993</v>
      </c>
      <c r="AH239" s="142">
        <f>IFERROR(_xlfn.XLOOKUP($D239,'Modelling New'!$D:$D,'Modelling New'!$AF:$AF),"")</f>
        <v>0.995</v>
      </c>
      <c r="AI239" s="109" t="str">
        <f>IFERROR(_xlfn.XLOOKUP($A239,Input_Raw!$A:$A,Input_Raw!$DP:$DP),"")</f>
        <v/>
      </c>
      <c r="AJ239" s="108"/>
      <c r="AK239" s="108"/>
      <c r="AL239" s="108"/>
      <c r="AM239" s="108"/>
      <c r="AN239" s="132" t="str">
        <f>IFERROR(_xlfn.XLOOKUP($A239,Input_Raw!$A:$A,Input_Raw!$DL:$DL),"")</f>
        <v/>
      </c>
      <c r="AO239" s="142" t="str">
        <f>IFERROR((_xlfn.XLOOKUP($A239,'WTG Reactive Power'!$A:$A,'WTG Reactive Power'!$AW:$AW))/X239,"")</f>
        <v/>
      </c>
      <c r="AP239" s="142">
        <f>IFERROR(_xlfn.XLOOKUP($D239,'Modelling New'!$D:$D,'Modelling New'!$AK:$AK),"")</f>
        <v>0.05</v>
      </c>
      <c r="AQ239" s="142">
        <f>IFERROR(_xlfn.XLOOKUP($D239,'Modelling New'!$D:$D,'Modelling New'!$AL:$AL),"")</f>
        <v>0.05</v>
      </c>
      <c r="AR239" s="198">
        <f>IFERROR(_xlfn.XLOOKUP($D239,'Modelling New'!$D:$D,'Modelling New'!$N:$N),"")</f>
        <v>70.400000000000006</v>
      </c>
      <c r="AS239" s="198"/>
    </row>
    <row r="240" spans="1:45">
      <c r="A240" s="137">
        <f t="shared" si="23"/>
        <v>45983</v>
      </c>
      <c r="B240" s="138">
        <f>YEAR(Daily_KPI[[#This Row],[Date]])+IF(MONTH(Daily_KPI[[#This Row],[Date]])&gt;=4,1,0)</f>
        <v>2026</v>
      </c>
      <c r="C240" s="108">
        <f>YEAR(Daily_KPI[[#This Row],[Date]])</f>
        <v>2025</v>
      </c>
      <c r="D240" s="139">
        <f>Daily_KPI[[#This Row],[Date]]-DAY(Daily_KPI[[#This Row],[Date]])+1</f>
        <v>45962</v>
      </c>
      <c r="E240" s="108">
        <f t="shared" si="19"/>
        <v>30</v>
      </c>
      <c r="F240" s="109"/>
      <c r="G240" s="143"/>
      <c r="H240" s="143"/>
      <c r="I240" s="143"/>
      <c r="J240" s="143"/>
      <c r="K240" s="111"/>
      <c r="L240" s="110"/>
      <c r="M240" s="110" t="str">
        <f>IFERROR(_xlfn.XLOOKUP($A240,Input_Raw!$A:$A,Input_Raw!$CQ:$CQ),"")</f>
        <v/>
      </c>
      <c r="N240" s="110" t="str">
        <f>IFERROR(_xlfn.XLOOKUP($A240,Input_Raw!$A:$A,Input_Raw!$CR:$CR),"")</f>
        <v/>
      </c>
      <c r="O240" s="141" t="str">
        <f t="shared" si="20"/>
        <v/>
      </c>
      <c r="P240" s="141" t="str">
        <f>IFERROR(1-SUMIF(WTG_BD!$F:$F,$A240,WTG_BD!$AA:$AA)/($AA240+SUMIF(WTG_BD!$F:$F,$A240,WTG_BD!$AA:$AA)),"")</f>
        <v/>
      </c>
      <c r="Q240" s="141" t="str">
        <f>IFERROR(1-SUMIF(IGA_BD!$F:$F,$A240,IGA_BD!$W:$W)/($AA240+SUMIF(IGA_BD!$F:$F,$A240,IGA_BD!$W:$W)),"")</f>
        <v/>
      </c>
      <c r="R240" s="141" t="str">
        <f>IFERROR(1-SUMIF(Grid_BD!$F:$F,$A240,Grid_BD!$Y:$Y)/($AA240+SUMIF(Grid_BD!$F:$F,$A240,Grid_BD!$Y:$Y)),"")</f>
        <v/>
      </c>
      <c r="S240" s="108"/>
      <c r="T240" s="140"/>
      <c r="U240" s="141"/>
      <c r="V240" s="108"/>
      <c r="W240" s="142" t="str">
        <f t="shared" si="21"/>
        <v/>
      </c>
      <c r="X240" s="108" t="str">
        <f>IFERROR(_xlfn.XLOOKUP($A240,Input_Raw!$A:$A,Input_Raw!$CP:$CP)*1000,"")</f>
        <v/>
      </c>
      <c r="Y240" s="108" t="str">
        <f>IFERROR(_xlfn.XLOOKUP($A240,Input_Raw!$A:$A,Input_Raw!DJ:DJ)*1000,"")</f>
        <v/>
      </c>
      <c r="Z240" s="108" t="str">
        <f>IFERROR(_xlfn.XLOOKUP($A240,Input_Raw!$A:$A,Input_Raw!DK:DK)*1000,"")</f>
        <v/>
      </c>
      <c r="AA240" s="138" t="str">
        <f t="shared" si="22"/>
        <v/>
      </c>
      <c r="AB240" s="108" t="str">
        <f>IFERROR(_xlfn.XLOOKUP($A240,Input_Raw!$A:$A,Input_Raw!$DR:$DR),"")</f>
        <v/>
      </c>
      <c r="AC240" s="143">
        <f>IFERROR(_xlfn.XLOOKUP($D240,'Modelling New'!$D:$D,'Modelling New'!$J:$J),"")</f>
        <v>4.4633333333333338</v>
      </c>
      <c r="AD240" s="138">
        <f>IFERROR(_xlfn.XLOOKUP($D240,'Modelling New'!$D:$D,'Modelling New'!$T:$T)*1000,"")</f>
        <v>240102.5114009853</v>
      </c>
      <c r="AE240" s="142"/>
      <c r="AF240" s="142">
        <f>IFERROR(_xlfn.XLOOKUP($D240,'Modelling New'!$D:$D,'Modelling New'!$W:$W),"")</f>
        <v>0.14210612653940891</v>
      </c>
      <c r="AG240" s="142">
        <f>IFERROR(_xlfn.XLOOKUP($D240,'Modelling New'!$D:$D,'Modelling New'!$AE:$AE),"")</f>
        <v>0.96029999999999993</v>
      </c>
      <c r="AH240" s="142">
        <f>IFERROR(_xlfn.XLOOKUP($D240,'Modelling New'!$D:$D,'Modelling New'!$AF:$AF),"")</f>
        <v>0.995</v>
      </c>
      <c r="AI240" s="109" t="str">
        <f>IFERROR(_xlfn.XLOOKUP($A240,Input_Raw!$A:$A,Input_Raw!$DP:$DP),"")</f>
        <v/>
      </c>
      <c r="AJ240" s="108"/>
      <c r="AK240" s="108"/>
      <c r="AL240" s="108"/>
      <c r="AM240" s="108"/>
      <c r="AN240" s="132" t="str">
        <f>IFERROR(_xlfn.XLOOKUP($A240,Input_Raw!$A:$A,Input_Raw!$DL:$DL),"")</f>
        <v/>
      </c>
      <c r="AO240" s="142" t="str">
        <f>IFERROR((_xlfn.XLOOKUP($A240,'WTG Reactive Power'!$A:$A,'WTG Reactive Power'!$AW:$AW))/X240,"")</f>
        <v/>
      </c>
      <c r="AP240" s="142">
        <f>IFERROR(_xlfn.XLOOKUP($D240,'Modelling New'!$D:$D,'Modelling New'!$AK:$AK),"")</f>
        <v>0.05</v>
      </c>
      <c r="AQ240" s="142">
        <f>IFERROR(_xlfn.XLOOKUP($D240,'Modelling New'!$D:$D,'Modelling New'!$AL:$AL),"")</f>
        <v>0.05</v>
      </c>
      <c r="AR240" s="198">
        <f>IFERROR(_xlfn.XLOOKUP($D240,'Modelling New'!$D:$D,'Modelling New'!$N:$N),"")</f>
        <v>70.400000000000006</v>
      </c>
      <c r="AS240" s="198"/>
    </row>
    <row r="241" spans="1:45">
      <c r="A241" s="137">
        <f t="shared" si="23"/>
        <v>45984</v>
      </c>
      <c r="B241" s="138">
        <f>YEAR(Daily_KPI[[#This Row],[Date]])+IF(MONTH(Daily_KPI[[#This Row],[Date]])&gt;=4,1,0)</f>
        <v>2026</v>
      </c>
      <c r="C241" s="108">
        <f>YEAR(Daily_KPI[[#This Row],[Date]])</f>
        <v>2025</v>
      </c>
      <c r="D241" s="139">
        <f>Daily_KPI[[#This Row],[Date]]-DAY(Daily_KPI[[#This Row],[Date]])+1</f>
        <v>45962</v>
      </c>
      <c r="E241" s="108">
        <f t="shared" si="19"/>
        <v>30</v>
      </c>
      <c r="F241" s="109"/>
      <c r="G241" s="110"/>
      <c r="H241" s="110"/>
      <c r="I241" s="110"/>
      <c r="J241" s="110"/>
      <c r="K241" s="111"/>
      <c r="L241" s="110"/>
      <c r="M241" s="110" t="str">
        <f>IFERROR(_xlfn.XLOOKUP($A241,Input_Raw!$A:$A,Input_Raw!$CQ:$CQ),"")</f>
        <v/>
      </c>
      <c r="N241" s="110" t="str">
        <f>IFERROR(_xlfn.XLOOKUP($A241,Input_Raw!$A:$A,Input_Raw!$CR:$CR),"")</f>
        <v/>
      </c>
      <c r="O241" s="141" t="str">
        <f t="shared" si="20"/>
        <v/>
      </c>
      <c r="P241" s="141" t="str">
        <f>IFERROR(1-SUMIF(WTG_BD!$F:$F,$A241,WTG_BD!$AA:$AA)/($AA241+SUMIF(WTG_BD!$F:$F,$A241,WTG_BD!$AA:$AA)),"")</f>
        <v/>
      </c>
      <c r="Q241" s="141" t="str">
        <f>IFERROR(1-SUMIF(IGA_BD!$F:$F,$A241,IGA_BD!$W:$W)/($AA241+SUMIF(IGA_BD!$F:$F,$A241,IGA_BD!$W:$W)),"")</f>
        <v/>
      </c>
      <c r="R241" s="141" t="str">
        <f>IFERROR(1-SUMIF(Grid_BD!$F:$F,$A241,Grid_BD!$Y:$Y)/($AA241+SUMIF(Grid_BD!$F:$F,$A241,Grid_BD!$Y:$Y)),"")</f>
        <v/>
      </c>
      <c r="S241" s="108"/>
      <c r="T241" s="140"/>
      <c r="U241" s="141"/>
      <c r="V241" s="108"/>
      <c r="W241" s="142" t="str">
        <f t="shared" si="21"/>
        <v/>
      </c>
      <c r="X241" s="108" t="str">
        <f>IFERROR(_xlfn.XLOOKUP($A241,Input_Raw!$A:$A,Input_Raw!$CP:$CP)*1000,"")</f>
        <v/>
      </c>
      <c r="Y241" s="108" t="str">
        <f>IFERROR(_xlfn.XLOOKUP($A241,Input_Raw!$A:$A,Input_Raw!DJ:DJ)*1000,"")</f>
        <v/>
      </c>
      <c r="Z241" s="108" t="str">
        <f>IFERROR(_xlfn.XLOOKUP($A241,Input_Raw!$A:$A,Input_Raw!DK:DK)*1000,"")</f>
        <v/>
      </c>
      <c r="AA241" s="138" t="str">
        <f t="shared" si="22"/>
        <v/>
      </c>
      <c r="AB241" s="108" t="str">
        <f>IFERROR(_xlfn.XLOOKUP($A241,Input_Raw!$A:$A,Input_Raw!$DR:$DR),"")</f>
        <v/>
      </c>
      <c r="AC241" s="143">
        <f>IFERROR(_xlfn.XLOOKUP($D241,'Modelling New'!$D:$D,'Modelling New'!$J:$J),"")</f>
        <v>4.4633333333333338</v>
      </c>
      <c r="AD241" s="138">
        <f>IFERROR(_xlfn.XLOOKUP($D241,'Modelling New'!$D:$D,'Modelling New'!$T:$T)*1000,"")</f>
        <v>240102.5114009853</v>
      </c>
      <c r="AE241" s="142"/>
      <c r="AF241" s="142">
        <f>IFERROR(_xlfn.XLOOKUP($D241,'Modelling New'!$D:$D,'Modelling New'!$W:$W),"")</f>
        <v>0.14210612653940891</v>
      </c>
      <c r="AG241" s="142">
        <f>IFERROR(_xlfn.XLOOKUP($D241,'Modelling New'!$D:$D,'Modelling New'!$AE:$AE),"")</f>
        <v>0.96029999999999993</v>
      </c>
      <c r="AH241" s="142">
        <f>IFERROR(_xlfn.XLOOKUP($D241,'Modelling New'!$D:$D,'Modelling New'!$AF:$AF),"")</f>
        <v>0.995</v>
      </c>
      <c r="AI241" s="109" t="str">
        <f>IFERROR(_xlfn.XLOOKUP($A241,Input_Raw!$A:$A,Input_Raw!$DP:$DP),"")</f>
        <v/>
      </c>
      <c r="AJ241" s="108"/>
      <c r="AK241" s="108"/>
      <c r="AL241" s="108"/>
      <c r="AM241" s="108"/>
      <c r="AN241" s="132" t="str">
        <f>IFERROR(_xlfn.XLOOKUP($A241,Input_Raw!$A:$A,Input_Raw!$DL:$DL),"")</f>
        <v/>
      </c>
      <c r="AO241" s="142" t="str">
        <f>IFERROR((_xlfn.XLOOKUP($A241,'WTG Reactive Power'!$A:$A,'WTG Reactive Power'!$AW:$AW))/X241,"")</f>
        <v/>
      </c>
      <c r="AP241" s="142">
        <f>IFERROR(_xlfn.XLOOKUP($D241,'Modelling New'!$D:$D,'Modelling New'!$AK:$AK),"")</f>
        <v>0.05</v>
      </c>
      <c r="AQ241" s="142">
        <f>IFERROR(_xlfn.XLOOKUP($D241,'Modelling New'!$D:$D,'Modelling New'!$AL:$AL),"")</f>
        <v>0.05</v>
      </c>
      <c r="AR241" s="198">
        <f>IFERROR(_xlfn.XLOOKUP($D241,'Modelling New'!$D:$D,'Modelling New'!$N:$N),"")</f>
        <v>70.400000000000006</v>
      </c>
      <c r="AS241" s="198"/>
    </row>
    <row r="242" spans="1:45">
      <c r="A242" s="137">
        <f t="shared" si="23"/>
        <v>45985</v>
      </c>
      <c r="B242" s="138">
        <f>YEAR(Daily_KPI[[#This Row],[Date]])+IF(MONTH(Daily_KPI[[#This Row],[Date]])&gt;=4,1,0)</f>
        <v>2026</v>
      </c>
      <c r="C242" s="108">
        <f>YEAR(Daily_KPI[[#This Row],[Date]])</f>
        <v>2025</v>
      </c>
      <c r="D242" s="139">
        <f>Daily_KPI[[#This Row],[Date]]-DAY(Daily_KPI[[#This Row],[Date]])+1</f>
        <v>45962</v>
      </c>
      <c r="E242" s="108">
        <f t="shared" si="19"/>
        <v>30</v>
      </c>
      <c r="F242" s="109"/>
      <c r="G242" s="143"/>
      <c r="H242" s="143"/>
      <c r="I242" s="143"/>
      <c r="J242" s="143"/>
      <c r="K242" s="111"/>
      <c r="L242" s="110"/>
      <c r="M242" s="110" t="str">
        <f>IFERROR(_xlfn.XLOOKUP($A242,Input_Raw!$A:$A,Input_Raw!$CQ:$CQ),"")</f>
        <v/>
      </c>
      <c r="N242" s="110" t="str">
        <f>IFERROR(_xlfn.XLOOKUP($A242,Input_Raw!$A:$A,Input_Raw!$CR:$CR),"")</f>
        <v/>
      </c>
      <c r="O242" s="141" t="str">
        <f t="shared" si="20"/>
        <v/>
      </c>
      <c r="P242" s="141" t="str">
        <f>IFERROR(1-SUMIF(WTG_BD!$F:$F,$A242,WTG_BD!$AA:$AA)/($AA242+SUMIF(WTG_BD!$F:$F,$A242,WTG_BD!$AA:$AA)),"")</f>
        <v/>
      </c>
      <c r="Q242" s="141" t="str">
        <f>IFERROR(1-SUMIF(IGA_BD!$F:$F,$A242,IGA_BD!$W:$W)/($AA242+SUMIF(IGA_BD!$F:$F,$A242,IGA_BD!$W:$W)),"")</f>
        <v/>
      </c>
      <c r="R242" s="141" t="str">
        <f>IFERROR(1-SUMIF(Grid_BD!$F:$F,$A242,Grid_BD!$Y:$Y)/($AA242+SUMIF(Grid_BD!$F:$F,$A242,Grid_BD!$Y:$Y)),"")</f>
        <v/>
      </c>
      <c r="S242" s="108"/>
      <c r="T242" s="140"/>
      <c r="U242" s="141"/>
      <c r="V242" s="108"/>
      <c r="W242" s="142" t="str">
        <f t="shared" si="21"/>
        <v/>
      </c>
      <c r="X242" s="108" t="str">
        <f>IFERROR(_xlfn.XLOOKUP($A242,Input_Raw!$A:$A,Input_Raw!$CP:$CP)*1000,"")</f>
        <v/>
      </c>
      <c r="Y242" s="108" t="str">
        <f>IFERROR(_xlfn.XLOOKUP($A242,Input_Raw!$A:$A,Input_Raw!DJ:DJ)*1000,"")</f>
        <v/>
      </c>
      <c r="Z242" s="108" t="str">
        <f>IFERROR(_xlfn.XLOOKUP($A242,Input_Raw!$A:$A,Input_Raw!DK:DK)*1000,"")</f>
        <v/>
      </c>
      <c r="AA242" s="138" t="str">
        <f t="shared" si="22"/>
        <v/>
      </c>
      <c r="AB242" s="108" t="str">
        <f>IFERROR(_xlfn.XLOOKUP($A242,Input_Raw!$A:$A,Input_Raw!$DR:$DR),"")</f>
        <v/>
      </c>
      <c r="AC242" s="143">
        <f>IFERROR(_xlfn.XLOOKUP($D242,'Modelling New'!$D:$D,'Modelling New'!$J:$J),"")</f>
        <v>4.4633333333333338</v>
      </c>
      <c r="AD242" s="138">
        <f>IFERROR(_xlfn.XLOOKUP($D242,'Modelling New'!$D:$D,'Modelling New'!$T:$T)*1000,"")</f>
        <v>240102.5114009853</v>
      </c>
      <c r="AE242" s="142"/>
      <c r="AF242" s="142">
        <f>IFERROR(_xlfn.XLOOKUP($D242,'Modelling New'!$D:$D,'Modelling New'!$W:$W),"")</f>
        <v>0.14210612653940891</v>
      </c>
      <c r="AG242" s="142">
        <f>IFERROR(_xlfn.XLOOKUP($D242,'Modelling New'!$D:$D,'Modelling New'!$AE:$AE),"")</f>
        <v>0.96029999999999993</v>
      </c>
      <c r="AH242" s="142">
        <f>IFERROR(_xlfn.XLOOKUP($D242,'Modelling New'!$D:$D,'Modelling New'!$AF:$AF),"")</f>
        <v>0.995</v>
      </c>
      <c r="AI242" s="109" t="str">
        <f>IFERROR(_xlfn.XLOOKUP($A242,Input_Raw!$A:$A,Input_Raw!$DP:$DP),"")</f>
        <v/>
      </c>
      <c r="AJ242" s="108"/>
      <c r="AK242" s="108"/>
      <c r="AL242" s="108"/>
      <c r="AM242" s="108"/>
      <c r="AN242" s="132" t="str">
        <f>IFERROR(_xlfn.XLOOKUP($A242,Input_Raw!$A:$A,Input_Raw!$DL:$DL),"")</f>
        <v/>
      </c>
      <c r="AO242" s="142" t="str">
        <f>IFERROR((_xlfn.XLOOKUP($A242,'WTG Reactive Power'!$A:$A,'WTG Reactive Power'!$AW:$AW))/X242,"")</f>
        <v/>
      </c>
      <c r="AP242" s="142">
        <f>IFERROR(_xlfn.XLOOKUP($D242,'Modelling New'!$D:$D,'Modelling New'!$AK:$AK),"")</f>
        <v>0.05</v>
      </c>
      <c r="AQ242" s="142">
        <f>IFERROR(_xlfn.XLOOKUP($D242,'Modelling New'!$D:$D,'Modelling New'!$AL:$AL),"")</f>
        <v>0.05</v>
      </c>
      <c r="AR242" s="198">
        <f>IFERROR(_xlfn.XLOOKUP($D242,'Modelling New'!$D:$D,'Modelling New'!$N:$N),"")</f>
        <v>70.400000000000006</v>
      </c>
      <c r="AS242" s="198"/>
    </row>
    <row r="243" spans="1:45">
      <c r="A243" s="137">
        <f t="shared" si="23"/>
        <v>45986</v>
      </c>
      <c r="B243" s="138">
        <f>YEAR(Daily_KPI[[#This Row],[Date]])+IF(MONTH(Daily_KPI[[#This Row],[Date]])&gt;=4,1,0)</f>
        <v>2026</v>
      </c>
      <c r="C243" s="108">
        <f>YEAR(Daily_KPI[[#This Row],[Date]])</f>
        <v>2025</v>
      </c>
      <c r="D243" s="139">
        <f>Daily_KPI[[#This Row],[Date]]-DAY(Daily_KPI[[#This Row],[Date]])+1</f>
        <v>45962</v>
      </c>
      <c r="E243" s="108">
        <f t="shared" si="19"/>
        <v>30</v>
      </c>
      <c r="F243" s="109"/>
      <c r="G243" s="110"/>
      <c r="H243" s="110"/>
      <c r="I243" s="110"/>
      <c r="J243" s="110"/>
      <c r="K243" s="111"/>
      <c r="L243" s="110"/>
      <c r="M243" s="110" t="str">
        <f>IFERROR(_xlfn.XLOOKUP($A243,Input_Raw!$A:$A,Input_Raw!$CQ:$CQ),"")</f>
        <v/>
      </c>
      <c r="N243" s="110" t="str">
        <f>IFERROR(_xlfn.XLOOKUP($A243,Input_Raw!$A:$A,Input_Raw!$CR:$CR),"")</f>
        <v/>
      </c>
      <c r="O243" s="141" t="str">
        <f t="shared" si="20"/>
        <v/>
      </c>
      <c r="P243" s="141" t="str">
        <f>IFERROR(1-SUMIF(WTG_BD!$F:$F,$A243,WTG_BD!$AA:$AA)/($AA243+SUMIF(WTG_BD!$F:$F,$A243,WTG_BD!$AA:$AA)),"")</f>
        <v/>
      </c>
      <c r="Q243" s="141" t="str">
        <f>IFERROR(1-SUMIF(IGA_BD!$F:$F,$A243,IGA_BD!$W:$W)/($AA243+SUMIF(IGA_BD!$F:$F,$A243,IGA_BD!$W:$W)),"")</f>
        <v/>
      </c>
      <c r="R243" s="141" t="str">
        <f>IFERROR(1-SUMIF(Grid_BD!$F:$F,$A243,Grid_BD!$Y:$Y)/($AA243+SUMIF(Grid_BD!$F:$F,$A243,Grid_BD!$Y:$Y)),"")</f>
        <v/>
      </c>
      <c r="S243" s="108"/>
      <c r="T243" s="140"/>
      <c r="U243" s="141"/>
      <c r="V243" s="108"/>
      <c r="W243" s="142" t="str">
        <f t="shared" si="21"/>
        <v/>
      </c>
      <c r="X243" s="108" t="str">
        <f>IFERROR(_xlfn.XLOOKUP($A243,Input_Raw!$A:$A,Input_Raw!$CP:$CP)*1000,"")</f>
        <v/>
      </c>
      <c r="Y243" s="108" t="str">
        <f>IFERROR(_xlfn.XLOOKUP($A243,Input_Raw!$A:$A,Input_Raw!DJ:DJ)*1000,"")</f>
        <v/>
      </c>
      <c r="Z243" s="108" t="str">
        <f>IFERROR(_xlfn.XLOOKUP($A243,Input_Raw!$A:$A,Input_Raw!DK:DK)*1000,"")</f>
        <v/>
      </c>
      <c r="AA243" s="138" t="str">
        <f t="shared" si="22"/>
        <v/>
      </c>
      <c r="AB243" s="108" t="str">
        <f>IFERROR(_xlfn.XLOOKUP($A243,Input_Raw!$A:$A,Input_Raw!$DR:$DR),"")</f>
        <v/>
      </c>
      <c r="AC243" s="143">
        <f>IFERROR(_xlfn.XLOOKUP($D243,'Modelling New'!$D:$D,'Modelling New'!$J:$J),"")</f>
        <v>4.4633333333333338</v>
      </c>
      <c r="AD243" s="138">
        <f>IFERROR(_xlfn.XLOOKUP($D243,'Modelling New'!$D:$D,'Modelling New'!$T:$T)*1000,"")</f>
        <v>240102.5114009853</v>
      </c>
      <c r="AE243" s="142"/>
      <c r="AF243" s="142">
        <f>IFERROR(_xlfn.XLOOKUP($D243,'Modelling New'!$D:$D,'Modelling New'!$W:$W),"")</f>
        <v>0.14210612653940891</v>
      </c>
      <c r="AG243" s="142">
        <f>IFERROR(_xlfn.XLOOKUP($D243,'Modelling New'!$D:$D,'Modelling New'!$AE:$AE),"")</f>
        <v>0.96029999999999993</v>
      </c>
      <c r="AH243" s="142">
        <f>IFERROR(_xlfn.XLOOKUP($D243,'Modelling New'!$D:$D,'Modelling New'!$AF:$AF),"")</f>
        <v>0.995</v>
      </c>
      <c r="AI243" s="109" t="str">
        <f>IFERROR(_xlfn.XLOOKUP($A243,Input_Raw!$A:$A,Input_Raw!$DP:$DP),"")</f>
        <v/>
      </c>
      <c r="AJ243" s="108"/>
      <c r="AK243" s="108"/>
      <c r="AL243" s="108"/>
      <c r="AM243" s="108"/>
      <c r="AN243" s="132" t="str">
        <f>IFERROR(_xlfn.XLOOKUP($A243,Input_Raw!$A:$A,Input_Raw!$DL:$DL),"")</f>
        <v/>
      </c>
      <c r="AO243" s="142" t="str">
        <f>IFERROR((_xlfn.XLOOKUP($A243,'WTG Reactive Power'!$A:$A,'WTG Reactive Power'!$AW:$AW))/X243,"")</f>
        <v/>
      </c>
      <c r="AP243" s="142">
        <f>IFERROR(_xlfn.XLOOKUP($D243,'Modelling New'!$D:$D,'Modelling New'!$AK:$AK),"")</f>
        <v>0.05</v>
      </c>
      <c r="AQ243" s="142">
        <f>IFERROR(_xlfn.XLOOKUP($D243,'Modelling New'!$D:$D,'Modelling New'!$AL:$AL),"")</f>
        <v>0.05</v>
      </c>
      <c r="AR243" s="198">
        <f>IFERROR(_xlfn.XLOOKUP($D243,'Modelling New'!$D:$D,'Modelling New'!$N:$N),"")</f>
        <v>70.400000000000006</v>
      </c>
      <c r="AS243" s="198"/>
    </row>
    <row r="244" spans="1:45">
      <c r="A244" s="137">
        <f t="shared" si="23"/>
        <v>45987</v>
      </c>
      <c r="B244" s="138">
        <f>YEAR(Daily_KPI[[#This Row],[Date]])+IF(MONTH(Daily_KPI[[#This Row],[Date]])&gt;=4,1,0)</f>
        <v>2026</v>
      </c>
      <c r="C244" s="108">
        <f>YEAR(Daily_KPI[[#This Row],[Date]])</f>
        <v>2025</v>
      </c>
      <c r="D244" s="139">
        <f>Daily_KPI[[#This Row],[Date]]-DAY(Daily_KPI[[#This Row],[Date]])+1</f>
        <v>45962</v>
      </c>
      <c r="E244" s="108">
        <f t="shared" si="19"/>
        <v>30</v>
      </c>
      <c r="F244" s="109"/>
      <c r="G244" s="143"/>
      <c r="H244" s="143"/>
      <c r="I244" s="143"/>
      <c r="J244" s="143"/>
      <c r="K244" s="111"/>
      <c r="L244" s="110"/>
      <c r="M244" s="110" t="str">
        <f>IFERROR(_xlfn.XLOOKUP($A244,Input_Raw!$A:$A,Input_Raw!$CQ:$CQ),"")</f>
        <v/>
      </c>
      <c r="N244" s="110" t="str">
        <f>IFERROR(_xlfn.XLOOKUP($A244,Input_Raw!$A:$A,Input_Raw!$CR:$CR),"")</f>
        <v/>
      </c>
      <c r="O244" s="141" t="str">
        <f t="shared" si="20"/>
        <v/>
      </c>
      <c r="P244" s="141" t="str">
        <f>IFERROR(1-SUMIF(WTG_BD!$F:$F,$A244,WTG_BD!$AA:$AA)/($AA244+SUMIF(WTG_BD!$F:$F,$A244,WTG_BD!$AA:$AA)),"")</f>
        <v/>
      </c>
      <c r="Q244" s="141" t="str">
        <f>IFERROR(1-SUMIF(IGA_BD!$F:$F,$A244,IGA_BD!$W:$W)/($AA244+SUMIF(IGA_BD!$F:$F,$A244,IGA_BD!$W:$W)),"")</f>
        <v/>
      </c>
      <c r="R244" s="141" t="str">
        <f>IFERROR(1-SUMIF(Grid_BD!$F:$F,$A244,Grid_BD!$Y:$Y)/($AA244+SUMIF(Grid_BD!$F:$F,$A244,Grid_BD!$Y:$Y)),"")</f>
        <v/>
      </c>
      <c r="S244" s="108"/>
      <c r="T244" s="140"/>
      <c r="U244" s="141"/>
      <c r="V244" s="108"/>
      <c r="W244" s="142" t="str">
        <f t="shared" si="21"/>
        <v/>
      </c>
      <c r="X244" s="108" t="str">
        <f>IFERROR(_xlfn.XLOOKUP($A244,Input_Raw!$A:$A,Input_Raw!$CP:$CP)*1000,"")</f>
        <v/>
      </c>
      <c r="Y244" s="108" t="str">
        <f>IFERROR(_xlfn.XLOOKUP($A244,Input_Raw!$A:$A,Input_Raw!DJ:DJ)*1000,"")</f>
        <v/>
      </c>
      <c r="Z244" s="108" t="str">
        <f>IFERROR(_xlfn.XLOOKUP($A244,Input_Raw!$A:$A,Input_Raw!DK:DK)*1000,"")</f>
        <v/>
      </c>
      <c r="AA244" s="138" t="str">
        <f t="shared" si="22"/>
        <v/>
      </c>
      <c r="AB244" s="108" t="str">
        <f>IFERROR(_xlfn.XLOOKUP($A244,Input_Raw!$A:$A,Input_Raw!$DR:$DR),"")</f>
        <v/>
      </c>
      <c r="AC244" s="143">
        <f>IFERROR(_xlfn.XLOOKUP($D244,'Modelling New'!$D:$D,'Modelling New'!$J:$J),"")</f>
        <v>4.4633333333333338</v>
      </c>
      <c r="AD244" s="138">
        <f>IFERROR(_xlfn.XLOOKUP($D244,'Modelling New'!$D:$D,'Modelling New'!$T:$T)*1000,"")</f>
        <v>240102.5114009853</v>
      </c>
      <c r="AE244" s="142"/>
      <c r="AF244" s="142">
        <f>IFERROR(_xlfn.XLOOKUP($D244,'Modelling New'!$D:$D,'Modelling New'!$W:$W),"")</f>
        <v>0.14210612653940891</v>
      </c>
      <c r="AG244" s="142">
        <f>IFERROR(_xlfn.XLOOKUP($D244,'Modelling New'!$D:$D,'Modelling New'!$AE:$AE),"")</f>
        <v>0.96029999999999993</v>
      </c>
      <c r="AH244" s="142">
        <f>IFERROR(_xlfn.XLOOKUP($D244,'Modelling New'!$D:$D,'Modelling New'!$AF:$AF),"")</f>
        <v>0.995</v>
      </c>
      <c r="AI244" s="109" t="str">
        <f>IFERROR(_xlfn.XLOOKUP($A244,Input_Raw!$A:$A,Input_Raw!$DP:$DP),"")</f>
        <v/>
      </c>
      <c r="AJ244" s="108"/>
      <c r="AK244" s="108"/>
      <c r="AL244" s="108"/>
      <c r="AM244" s="108"/>
      <c r="AN244" s="132" t="str">
        <f>IFERROR(_xlfn.XLOOKUP($A244,Input_Raw!$A:$A,Input_Raw!$DL:$DL),"")</f>
        <v/>
      </c>
      <c r="AO244" s="142" t="str">
        <f>IFERROR((_xlfn.XLOOKUP($A244,'WTG Reactive Power'!$A:$A,'WTG Reactive Power'!$AW:$AW))/X244,"")</f>
        <v/>
      </c>
      <c r="AP244" s="142">
        <f>IFERROR(_xlfn.XLOOKUP($D244,'Modelling New'!$D:$D,'Modelling New'!$AK:$AK),"")</f>
        <v>0.05</v>
      </c>
      <c r="AQ244" s="142">
        <f>IFERROR(_xlfn.XLOOKUP($D244,'Modelling New'!$D:$D,'Modelling New'!$AL:$AL),"")</f>
        <v>0.05</v>
      </c>
      <c r="AR244" s="198">
        <f>IFERROR(_xlfn.XLOOKUP($D244,'Modelling New'!$D:$D,'Modelling New'!$N:$N),"")</f>
        <v>70.400000000000006</v>
      </c>
      <c r="AS244" s="198"/>
    </row>
    <row r="245" spans="1:45">
      <c r="A245" s="137">
        <f t="shared" si="23"/>
        <v>45988</v>
      </c>
      <c r="B245" s="138">
        <f>YEAR(Daily_KPI[[#This Row],[Date]])+IF(MONTH(Daily_KPI[[#This Row],[Date]])&gt;=4,1,0)</f>
        <v>2026</v>
      </c>
      <c r="C245" s="108">
        <f>YEAR(Daily_KPI[[#This Row],[Date]])</f>
        <v>2025</v>
      </c>
      <c r="D245" s="139">
        <f>Daily_KPI[[#This Row],[Date]]-DAY(Daily_KPI[[#This Row],[Date]])+1</f>
        <v>45962</v>
      </c>
      <c r="E245" s="108">
        <f t="shared" si="19"/>
        <v>30</v>
      </c>
      <c r="F245" s="109"/>
      <c r="G245" s="110"/>
      <c r="H245" s="110"/>
      <c r="I245" s="110"/>
      <c r="J245" s="110"/>
      <c r="K245" s="111"/>
      <c r="L245" s="110"/>
      <c r="M245" s="110" t="str">
        <f>IFERROR(_xlfn.XLOOKUP($A245,Input_Raw!$A:$A,Input_Raw!$CQ:$CQ),"")</f>
        <v/>
      </c>
      <c r="N245" s="110" t="str">
        <f>IFERROR(_xlfn.XLOOKUP($A245,Input_Raw!$A:$A,Input_Raw!$CR:$CR),"")</f>
        <v/>
      </c>
      <c r="O245" s="141" t="str">
        <f t="shared" si="20"/>
        <v/>
      </c>
      <c r="P245" s="141" t="str">
        <f>IFERROR(1-SUMIF(WTG_BD!$F:$F,$A245,WTG_BD!$AA:$AA)/($AA245+SUMIF(WTG_BD!$F:$F,$A245,WTG_BD!$AA:$AA)),"")</f>
        <v/>
      </c>
      <c r="Q245" s="141" t="str">
        <f>IFERROR(1-SUMIF(IGA_BD!$F:$F,$A245,IGA_BD!$W:$W)/($AA245+SUMIF(IGA_BD!$F:$F,$A245,IGA_BD!$W:$W)),"")</f>
        <v/>
      </c>
      <c r="R245" s="141" t="str">
        <f>IFERROR(1-SUMIF(Grid_BD!$F:$F,$A245,Grid_BD!$Y:$Y)/($AA245+SUMIF(Grid_BD!$F:$F,$A245,Grid_BD!$Y:$Y)),"")</f>
        <v/>
      </c>
      <c r="S245" s="108"/>
      <c r="T245" s="140"/>
      <c r="U245" s="141"/>
      <c r="V245" s="108"/>
      <c r="W245" s="142" t="str">
        <f t="shared" si="21"/>
        <v/>
      </c>
      <c r="X245" s="108" t="str">
        <f>IFERROR(_xlfn.XLOOKUP($A245,Input_Raw!$A:$A,Input_Raw!$CP:$CP)*1000,"")</f>
        <v/>
      </c>
      <c r="Y245" s="108" t="str">
        <f>IFERROR(_xlfn.XLOOKUP($A245,Input_Raw!$A:$A,Input_Raw!DJ:DJ)*1000,"")</f>
        <v/>
      </c>
      <c r="Z245" s="108" t="str">
        <f>IFERROR(_xlfn.XLOOKUP($A245,Input_Raw!$A:$A,Input_Raw!DK:DK)*1000,"")</f>
        <v/>
      </c>
      <c r="AA245" s="138" t="str">
        <f t="shared" si="22"/>
        <v/>
      </c>
      <c r="AB245" s="108" t="str">
        <f>IFERROR(_xlfn.XLOOKUP($A245,Input_Raw!$A:$A,Input_Raw!$DR:$DR),"")</f>
        <v/>
      </c>
      <c r="AC245" s="143">
        <f>IFERROR(_xlfn.XLOOKUP($D245,'Modelling New'!$D:$D,'Modelling New'!$J:$J),"")</f>
        <v>4.4633333333333338</v>
      </c>
      <c r="AD245" s="138">
        <f>IFERROR(_xlfn.XLOOKUP($D245,'Modelling New'!$D:$D,'Modelling New'!$T:$T)*1000,"")</f>
        <v>240102.5114009853</v>
      </c>
      <c r="AE245" s="142"/>
      <c r="AF245" s="142">
        <f>IFERROR(_xlfn.XLOOKUP($D245,'Modelling New'!$D:$D,'Modelling New'!$W:$W),"")</f>
        <v>0.14210612653940891</v>
      </c>
      <c r="AG245" s="142">
        <f>IFERROR(_xlfn.XLOOKUP($D245,'Modelling New'!$D:$D,'Modelling New'!$AE:$AE),"")</f>
        <v>0.96029999999999993</v>
      </c>
      <c r="AH245" s="142">
        <f>IFERROR(_xlfn.XLOOKUP($D245,'Modelling New'!$D:$D,'Modelling New'!$AF:$AF),"")</f>
        <v>0.995</v>
      </c>
      <c r="AI245" s="109" t="str">
        <f>IFERROR(_xlfn.XLOOKUP($A245,Input_Raw!$A:$A,Input_Raw!$DP:$DP),"")</f>
        <v/>
      </c>
      <c r="AJ245" s="108"/>
      <c r="AK245" s="108"/>
      <c r="AL245" s="108"/>
      <c r="AM245" s="108"/>
      <c r="AN245" s="132" t="str">
        <f>IFERROR(_xlfn.XLOOKUP($A245,Input_Raw!$A:$A,Input_Raw!$DL:$DL),"")</f>
        <v/>
      </c>
      <c r="AO245" s="142" t="str">
        <f>IFERROR((_xlfn.XLOOKUP($A245,'WTG Reactive Power'!$A:$A,'WTG Reactive Power'!$AW:$AW))/X245,"")</f>
        <v/>
      </c>
      <c r="AP245" s="142">
        <f>IFERROR(_xlfn.XLOOKUP($D245,'Modelling New'!$D:$D,'Modelling New'!$AK:$AK),"")</f>
        <v>0.05</v>
      </c>
      <c r="AQ245" s="142">
        <f>IFERROR(_xlfn.XLOOKUP($D245,'Modelling New'!$D:$D,'Modelling New'!$AL:$AL),"")</f>
        <v>0.05</v>
      </c>
      <c r="AR245" s="198">
        <f>IFERROR(_xlfn.XLOOKUP($D245,'Modelling New'!$D:$D,'Modelling New'!$N:$N),"")</f>
        <v>70.400000000000006</v>
      </c>
      <c r="AS245" s="198"/>
    </row>
    <row r="246" spans="1:45">
      <c r="A246" s="137">
        <f t="shared" si="23"/>
        <v>45989</v>
      </c>
      <c r="B246" s="138">
        <f>YEAR(Daily_KPI[[#This Row],[Date]])+IF(MONTH(Daily_KPI[[#This Row],[Date]])&gt;=4,1,0)</f>
        <v>2026</v>
      </c>
      <c r="C246" s="108">
        <f>YEAR(Daily_KPI[[#This Row],[Date]])</f>
        <v>2025</v>
      </c>
      <c r="D246" s="139">
        <f>Daily_KPI[[#This Row],[Date]]-DAY(Daily_KPI[[#This Row],[Date]])+1</f>
        <v>45962</v>
      </c>
      <c r="E246" s="108">
        <f t="shared" si="19"/>
        <v>30</v>
      </c>
      <c r="F246" s="109"/>
      <c r="G246" s="143"/>
      <c r="H246" s="143"/>
      <c r="I246" s="143"/>
      <c r="J246" s="143"/>
      <c r="K246" s="111"/>
      <c r="L246" s="110"/>
      <c r="M246" s="110" t="str">
        <f>IFERROR(_xlfn.XLOOKUP($A246,Input_Raw!$A:$A,Input_Raw!$CQ:$CQ),"")</f>
        <v/>
      </c>
      <c r="N246" s="110" t="str">
        <f>IFERROR(_xlfn.XLOOKUP($A246,Input_Raw!$A:$A,Input_Raw!$CR:$CR),"")</f>
        <v/>
      </c>
      <c r="O246" s="141" t="str">
        <f t="shared" si="20"/>
        <v/>
      </c>
      <c r="P246" s="141" t="str">
        <f>IFERROR(1-SUMIF(WTG_BD!$F:$F,$A246,WTG_BD!$AA:$AA)/($AA246+SUMIF(WTG_BD!$F:$F,$A246,WTG_BD!$AA:$AA)),"")</f>
        <v/>
      </c>
      <c r="Q246" s="141" t="str">
        <f>IFERROR(1-SUMIF(IGA_BD!$F:$F,$A246,IGA_BD!$W:$W)/($AA246+SUMIF(IGA_BD!$F:$F,$A246,IGA_BD!$W:$W)),"")</f>
        <v/>
      </c>
      <c r="R246" s="141" t="str">
        <f>IFERROR(1-SUMIF(Grid_BD!$F:$F,$A246,Grid_BD!$Y:$Y)/($AA246+SUMIF(Grid_BD!$F:$F,$A246,Grid_BD!$Y:$Y)),"")</f>
        <v/>
      </c>
      <c r="S246" s="108"/>
      <c r="T246" s="140"/>
      <c r="U246" s="141"/>
      <c r="V246" s="108"/>
      <c r="W246" s="142" t="str">
        <f t="shared" si="21"/>
        <v/>
      </c>
      <c r="X246" s="108" t="str">
        <f>IFERROR(_xlfn.XLOOKUP($A246,Input_Raw!$A:$A,Input_Raw!$CP:$CP)*1000,"")</f>
        <v/>
      </c>
      <c r="Y246" s="108" t="str">
        <f>IFERROR(_xlfn.XLOOKUP($A246,Input_Raw!$A:$A,Input_Raw!DJ:DJ)*1000,"")</f>
        <v/>
      </c>
      <c r="Z246" s="108" t="str">
        <f>IFERROR(_xlfn.XLOOKUP($A246,Input_Raw!$A:$A,Input_Raw!DK:DK)*1000,"")</f>
        <v/>
      </c>
      <c r="AA246" s="138" t="str">
        <f t="shared" si="22"/>
        <v/>
      </c>
      <c r="AB246" s="108" t="str">
        <f>IFERROR(_xlfn.XLOOKUP($A246,Input_Raw!$A:$A,Input_Raw!$DR:$DR),"")</f>
        <v/>
      </c>
      <c r="AC246" s="143">
        <f>IFERROR(_xlfn.XLOOKUP($D246,'Modelling New'!$D:$D,'Modelling New'!$J:$J),"")</f>
        <v>4.4633333333333338</v>
      </c>
      <c r="AD246" s="138">
        <f>IFERROR(_xlfn.XLOOKUP($D246,'Modelling New'!$D:$D,'Modelling New'!$T:$T)*1000,"")</f>
        <v>240102.5114009853</v>
      </c>
      <c r="AE246" s="142"/>
      <c r="AF246" s="142">
        <f>IFERROR(_xlfn.XLOOKUP($D246,'Modelling New'!$D:$D,'Modelling New'!$W:$W),"")</f>
        <v>0.14210612653940891</v>
      </c>
      <c r="AG246" s="142">
        <f>IFERROR(_xlfn.XLOOKUP($D246,'Modelling New'!$D:$D,'Modelling New'!$AE:$AE),"")</f>
        <v>0.96029999999999993</v>
      </c>
      <c r="AH246" s="142">
        <f>IFERROR(_xlfn.XLOOKUP($D246,'Modelling New'!$D:$D,'Modelling New'!$AF:$AF),"")</f>
        <v>0.995</v>
      </c>
      <c r="AI246" s="109" t="str">
        <f>IFERROR(_xlfn.XLOOKUP($A246,Input_Raw!$A:$A,Input_Raw!$DP:$DP),"")</f>
        <v/>
      </c>
      <c r="AJ246" s="108"/>
      <c r="AK246" s="108"/>
      <c r="AL246" s="108"/>
      <c r="AM246" s="108"/>
      <c r="AN246" s="132" t="str">
        <f>IFERROR(_xlfn.XLOOKUP($A246,Input_Raw!$A:$A,Input_Raw!$DL:$DL),"")</f>
        <v/>
      </c>
      <c r="AO246" s="142" t="str">
        <f>IFERROR((_xlfn.XLOOKUP($A246,'WTG Reactive Power'!$A:$A,'WTG Reactive Power'!$AW:$AW))/X246,"")</f>
        <v/>
      </c>
      <c r="AP246" s="142">
        <f>IFERROR(_xlfn.XLOOKUP($D246,'Modelling New'!$D:$D,'Modelling New'!$AK:$AK),"")</f>
        <v>0.05</v>
      </c>
      <c r="AQ246" s="142">
        <f>IFERROR(_xlfn.XLOOKUP($D246,'Modelling New'!$D:$D,'Modelling New'!$AL:$AL),"")</f>
        <v>0.05</v>
      </c>
      <c r="AR246" s="198">
        <f>IFERROR(_xlfn.XLOOKUP($D246,'Modelling New'!$D:$D,'Modelling New'!$N:$N),"")</f>
        <v>70.400000000000006</v>
      </c>
      <c r="AS246" s="198"/>
    </row>
    <row r="247" spans="1:45">
      <c r="A247" s="137">
        <f t="shared" si="23"/>
        <v>45990</v>
      </c>
      <c r="B247" s="138">
        <f>YEAR(Daily_KPI[[#This Row],[Date]])+IF(MONTH(Daily_KPI[[#This Row],[Date]])&gt;=4,1,0)</f>
        <v>2026</v>
      </c>
      <c r="C247" s="108">
        <f>YEAR(Daily_KPI[[#This Row],[Date]])</f>
        <v>2025</v>
      </c>
      <c r="D247" s="139">
        <f>Daily_KPI[[#This Row],[Date]]-DAY(Daily_KPI[[#This Row],[Date]])+1</f>
        <v>45962</v>
      </c>
      <c r="E247" s="108">
        <f t="shared" si="19"/>
        <v>30</v>
      </c>
      <c r="F247" s="109"/>
      <c r="G247" s="110"/>
      <c r="H247" s="110"/>
      <c r="I247" s="110"/>
      <c r="J247" s="110"/>
      <c r="K247" s="111"/>
      <c r="L247" s="110"/>
      <c r="M247" s="110" t="str">
        <f>IFERROR(_xlfn.XLOOKUP($A247,Input_Raw!$A:$A,Input_Raw!$CQ:$CQ),"")</f>
        <v/>
      </c>
      <c r="N247" s="110" t="str">
        <f>IFERROR(_xlfn.XLOOKUP($A247,Input_Raw!$A:$A,Input_Raw!$CR:$CR),"")</f>
        <v/>
      </c>
      <c r="O247" s="141" t="str">
        <f t="shared" si="20"/>
        <v/>
      </c>
      <c r="P247" s="141" t="str">
        <f>IFERROR(1-SUMIF(WTG_BD!$F:$F,$A247,WTG_BD!$AA:$AA)/($AA247+SUMIF(WTG_BD!$F:$F,$A247,WTG_BD!$AA:$AA)),"")</f>
        <v/>
      </c>
      <c r="Q247" s="141" t="str">
        <f>IFERROR(1-SUMIF(IGA_BD!$F:$F,$A247,IGA_BD!$W:$W)/($AA247+SUMIF(IGA_BD!$F:$F,$A247,IGA_BD!$W:$W)),"")</f>
        <v/>
      </c>
      <c r="R247" s="141" t="str">
        <f>IFERROR(1-SUMIF(Grid_BD!$F:$F,$A247,Grid_BD!$Y:$Y)/($AA247+SUMIF(Grid_BD!$F:$F,$A247,Grid_BD!$Y:$Y)),"")</f>
        <v/>
      </c>
      <c r="S247" s="108"/>
      <c r="T247" s="140"/>
      <c r="U247" s="141"/>
      <c r="V247" s="108"/>
      <c r="W247" s="142" t="str">
        <f t="shared" si="21"/>
        <v/>
      </c>
      <c r="X247" s="108" t="str">
        <f>IFERROR(_xlfn.XLOOKUP($A247,Input_Raw!$A:$A,Input_Raw!$CP:$CP)*1000,"")</f>
        <v/>
      </c>
      <c r="Y247" s="108" t="str">
        <f>IFERROR(_xlfn.XLOOKUP($A247,Input_Raw!$A:$A,Input_Raw!DJ:DJ)*1000,"")</f>
        <v/>
      </c>
      <c r="Z247" s="108" t="str">
        <f>IFERROR(_xlfn.XLOOKUP($A247,Input_Raw!$A:$A,Input_Raw!DK:DK)*1000,"")</f>
        <v/>
      </c>
      <c r="AA247" s="138" t="str">
        <f t="shared" si="22"/>
        <v/>
      </c>
      <c r="AB247" s="108" t="str">
        <f>IFERROR(_xlfn.XLOOKUP($A247,Input_Raw!$A:$A,Input_Raw!$DR:$DR),"")</f>
        <v/>
      </c>
      <c r="AC247" s="143">
        <f>IFERROR(_xlfn.XLOOKUP($D247,'Modelling New'!$D:$D,'Modelling New'!$J:$J),"")</f>
        <v>4.4633333333333338</v>
      </c>
      <c r="AD247" s="138">
        <f>IFERROR(_xlfn.XLOOKUP($D247,'Modelling New'!$D:$D,'Modelling New'!$T:$T)*1000,"")</f>
        <v>240102.5114009853</v>
      </c>
      <c r="AE247" s="142"/>
      <c r="AF247" s="142">
        <f>IFERROR(_xlfn.XLOOKUP($D247,'Modelling New'!$D:$D,'Modelling New'!$W:$W),"")</f>
        <v>0.14210612653940891</v>
      </c>
      <c r="AG247" s="142">
        <f>IFERROR(_xlfn.XLOOKUP($D247,'Modelling New'!$D:$D,'Modelling New'!$AE:$AE),"")</f>
        <v>0.96029999999999993</v>
      </c>
      <c r="AH247" s="142">
        <f>IFERROR(_xlfn.XLOOKUP($D247,'Modelling New'!$D:$D,'Modelling New'!$AF:$AF),"")</f>
        <v>0.995</v>
      </c>
      <c r="AI247" s="109" t="str">
        <f>IFERROR(_xlfn.XLOOKUP($A247,Input_Raw!$A:$A,Input_Raw!$DP:$DP),"")</f>
        <v/>
      </c>
      <c r="AJ247" s="108"/>
      <c r="AK247" s="108"/>
      <c r="AL247" s="108"/>
      <c r="AM247" s="108"/>
      <c r="AN247" s="132" t="str">
        <f>IFERROR(_xlfn.XLOOKUP($A247,Input_Raw!$A:$A,Input_Raw!$DL:$DL),"")</f>
        <v/>
      </c>
      <c r="AO247" s="142" t="str">
        <f>IFERROR((_xlfn.XLOOKUP($A247,'WTG Reactive Power'!$A:$A,'WTG Reactive Power'!$AW:$AW))/X247,"")</f>
        <v/>
      </c>
      <c r="AP247" s="142">
        <f>IFERROR(_xlfn.XLOOKUP($D247,'Modelling New'!$D:$D,'Modelling New'!$AK:$AK),"")</f>
        <v>0.05</v>
      </c>
      <c r="AQ247" s="142">
        <f>IFERROR(_xlfn.XLOOKUP($D247,'Modelling New'!$D:$D,'Modelling New'!$AL:$AL),"")</f>
        <v>0.05</v>
      </c>
      <c r="AR247" s="198">
        <f>IFERROR(_xlfn.XLOOKUP($D247,'Modelling New'!$D:$D,'Modelling New'!$N:$N),"")</f>
        <v>70.400000000000006</v>
      </c>
      <c r="AS247" s="198"/>
    </row>
    <row r="248" spans="1:45">
      <c r="A248" s="137">
        <f t="shared" si="23"/>
        <v>45991</v>
      </c>
      <c r="B248" s="138">
        <f>YEAR(Daily_KPI[[#This Row],[Date]])+IF(MONTH(Daily_KPI[[#This Row],[Date]])&gt;=4,1,0)</f>
        <v>2026</v>
      </c>
      <c r="C248" s="108">
        <f>YEAR(Daily_KPI[[#This Row],[Date]])</f>
        <v>2025</v>
      </c>
      <c r="D248" s="139">
        <f>Daily_KPI[[#This Row],[Date]]-DAY(Daily_KPI[[#This Row],[Date]])+1</f>
        <v>45962</v>
      </c>
      <c r="E248" s="108">
        <f t="shared" si="19"/>
        <v>30</v>
      </c>
      <c r="F248" s="109"/>
      <c r="G248" s="143"/>
      <c r="H248" s="143"/>
      <c r="I248" s="143"/>
      <c r="J248" s="143"/>
      <c r="K248" s="111"/>
      <c r="L248" s="110"/>
      <c r="M248" s="110" t="str">
        <f>IFERROR(_xlfn.XLOOKUP($A248,Input_Raw!$A:$A,Input_Raw!$CQ:$CQ),"")</f>
        <v/>
      </c>
      <c r="N248" s="110" t="str">
        <f>IFERROR(_xlfn.XLOOKUP($A248,Input_Raw!$A:$A,Input_Raw!$CR:$CR),"")</f>
        <v/>
      </c>
      <c r="O248" s="141" t="str">
        <f t="shared" si="20"/>
        <v/>
      </c>
      <c r="P248" s="141" t="str">
        <f>IFERROR(1-SUMIF(WTG_BD!$F:$F,$A248,WTG_BD!$AA:$AA)/($AA248+SUMIF(WTG_BD!$F:$F,$A248,WTG_BD!$AA:$AA)),"")</f>
        <v/>
      </c>
      <c r="Q248" s="141" t="str">
        <f>IFERROR(1-SUMIF(IGA_BD!$F:$F,$A248,IGA_BD!$W:$W)/($AA248+SUMIF(IGA_BD!$F:$F,$A248,IGA_BD!$W:$W)),"")</f>
        <v/>
      </c>
      <c r="R248" s="141" t="str">
        <f>IFERROR(1-SUMIF(Grid_BD!$F:$F,$A248,Grid_BD!$Y:$Y)/($AA248+SUMIF(Grid_BD!$F:$F,$A248,Grid_BD!$Y:$Y)),"")</f>
        <v/>
      </c>
      <c r="S248" s="108"/>
      <c r="T248" s="140"/>
      <c r="U248" s="141"/>
      <c r="V248" s="108"/>
      <c r="W248" s="142" t="str">
        <f t="shared" si="21"/>
        <v/>
      </c>
      <c r="X248" s="108" t="str">
        <f>IFERROR(_xlfn.XLOOKUP($A248,Input_Raw!$A:$A,Input_Raw!$CP:$CP)*1000,"")</f>
        <v/>
      </c>
      <c r="Y248" s="108" t="str">
        <f>IFERROR(_xlfn.XLOOKUP($A248,Input_Raw!$A:$A,Input_Raw!DJ:DJ)*1000,"")</f>
        <v/>
      </c>
      <c r="Z248" s="108" t="str">
        <f>IFERROR(_xlfn.XLOOKUP($A248,Input_Raw!$A:$A,Input_Raw!DK:DK)*1000,"")</f>
        <v/>
      </c>
      <c r="AA248" s="138" t="str">
        <f t="shared" si="22"/>
        <v/>
      </c>
      <c r="AB248" s="108" t="str">
        <f>IFERROR(_xlfn.XLOOKUP($A248,Input_Raw!$A:$A,Input_Raw!$DR:$DR),"")</f>
        <v/>
      </c>
      <c r="AC248" s="143">
        <f>IFERROR(_xlfn.XLOOKUP($D248,'Modelling New'!$D:$D,'Modelling New'!$J:$J),"")</f>
        <v>4.4633333333333338</v>
      </c>
      <c r="AD248" s="138">
        <f>IFERROR(_xlfn.XLOOKUP($D248,'Modelling New'!$D:$D,'Modelling New'!$T:$T)*1000,"")</f>
        <v>240102.5114009853</v>
      </c>
      <c r="AE248" s="142"/>
      <c r="AF248" s="142">
        <f>IFERROR(_xlfn.XLOOKUP($D248,'Modelling New'!$D:$D,'Modelling New'!$W:$W),"")</f>
        <v>0.14210612653940891</v>
      </c>
      <c r="AG248" s="142">
        <f>IFERROR(_xlfn.XLOOKUP($D248,'Modelling New'!$D:$D,'Modelling New'!$AE:$AE),"")</f>
        <v>0.96029999999999993</v>
      </c>
      <c r="AH248" s="142">
        <f>IFERROR(_xlfn.XLOOKUP($D248,'Modelling New'!$D:$D,'Modelling New'!$AF:$AF),"")</f>
        <v>0.995</v>
      </c>
      <c r="AI248" s="109" t="str">
        <f>IFERROR(_xlfn.XLOOKUP($A248,Input_Raw!$A:$A,Input_Raw!$DP:$DP),"")</f>
        <v/>
      </c>
      <c r="AJ248" s="108"/>
      <c r="AK248" s="108"/>
      <c r="AL248" s="108"/>
      <c r="AM248" s="108"/>
      <c r="AN248" s="132" t="str">
        <f>IFERROR(_xlfn.XLOOKUP($A248,Input_Raw!$A:$A,Input_Raw!$DL:$DL),"")</f>
        <v/>
      </c>
      <c r="AO248" s="142" t="str">
        <f>IFERROR((_xlfn.XLOOKUP($A248,'WTG Reactive Power'!$A:$A,'WTG Reactive Power'!$AW:$AW))/X248,"")</f>
        <v/>
      </c>
      <c r="AP248" s="142">
        <f>IFERROR(_xlfn.XLOOKUP($D248,'Modelling New'!$D:$D,'Modelling New'!$AK:$AK),"")</f>
        <v>0.05</v>
      </c>
      <c r="AQ248" s="142">
        <f>IFERROR(_xlfn.XLOOKUP($D248,'Modelling New'!$D:$D,'Modelling New'!$AL:$AL),"")</f>
        <v>0.05</v>
      </c>
      <c r="AR248" s="198">
        <f>IFERROR(_xlfn.XLOOKUP($D248,'Modelling New'!$D:$D,'Modelling New'!$N:$N),"")</f>
        <v>70.400000000000006</v>
      </c>
      <c r="AS248" s="198"/>
    </row>
    <row r="249" spans="1:45">
      <c r="A249" s="137">
        <f t="shared" si="23"/>
        <v>45992</v>
      </c>
      <c r="B249" s="138">
        <f>YEAR(Daily_KPI[[#This Row],[Date]])+IF(MONTH(Daily_KPI[[#This Row],[Date]])&gt;=4,1,0)</f>
        <v>2026</v>
      </c>
      <c r="C249" s="108">
        <f>YEAR(Daily_KPI[[#This Row],[Date]])</f>
        <v>2025</v>
      </c>
      <c r="D249" s="139">
        <f>Daily_KPI[[#This Row],[Date]]-DAY(Daily_KPI[[#This Row],[Date]])+1</f>
        <v>45992</v>
      </c>
      <c r="E249" s="108">
        <f t="shared" si="19"/>
        <v>31</v>
      </c>
      <c r="F249" s="109"/>
      <c r="G249" s="110"/>
      <c r="H249" s="110"/>
      <c r="I249" s="110"/>
      <c r="J249" s="110"/>
      <c r="K249" s="111"/>
      <c r="L249" s="110"/>
      <c r="M249" s="110" t="str">
        <f>IFERROR(_xlfn.XLOOKUP($A249,Input_Raw!$A:$A,Input_Raw!$CQ:$CQ),"")</f>
        <v/>
      </c>
      <c r="N249" s="110" t="str">
        <f>IFERROR(_xlfn.XLOOKUP($A249,Input_Raw!$A:$A,Input_Raw!$CR:$CR),"")</f>
        <v/>
      </c>
      <c r="O249" s="141" t="str">
        <f t="shared" si="20"/>
        <v/>
      </c>
      <c r="P249" s="141" t="str">
        <f>IFERROR(1-SUMIF(WTG_BD!$F:$F,$A249,WTG_BD!$AA:$AA)/($AA249+SUMIF(WTG_BD!$F:$F,$A249,WTG_BD!$AA:$AA)),"")</f>
        <v/>
      </c>
      <c r="Q249" s="141" t="str">
        <f>IFERROR(1-SUMIF(IGA_BD!$F:$F,$A249,IGA_BD!$W:$W)/($AA249+SUMIF(IGA_BD!$F:$F,$A249,IGA_BD!$W:$W)),"")</f>
        <v/>
      </c>
      <c r="R249" s="141" t="str">
        <f>IFERROR(1-SUMIF(Grid_BD!$F:$F,$A249,Grid_BD!$Y:$Y)/($AA249+SUMIF(Grid_BD!$F:$F,$A249,Grid_BD!$Y:$Y)),"")</f>
        <v/>
      </c>
      <c r="S249" s="108"/>
      <c r="T249" s="140"/>
      <c r="U249" s="141"/>
      <c r="V249" s="108"/>
      <c r="W249" s="142" t="str">
        <f t="shared" si="21"/>
        <v/>
      </c>
      <c r="X249" s="108" t="str">
        <f>IFERROR(_xlfn.XLOOKUP($A249,Input_Raw!$A:$A,Input_Raw!$CP:$CP)*1000,"")</f>
        <v/>
      </c>
      <c r="Y249" s="108" t="str">
        <f>IFERROR(_xlfn.XLOOKUP($A249,Input_Raw!$A:$A,Input_Raw!DJ:DJ)*1000,"")</f>
        <v/>
      </c>
      <c r="Z249" s="108" t="str">
        <f>IFERROR(_xlfn.XLOOKUP($A249,Input_Raw!$A:$A,Input_Raw!DK:DK)*1000,"")</f>
        <v/>
      </c>
      <c r="AA249" s="138" t="str">
        <f t="shared" si="22"/>
        <v/>
      </c>
      <c r="AB249" s="108" t="str">
        <f>IFERROR(_xlfn.XLOOKUP($A249,Input_Raw!$A:$A,Input_Raw!$DR:$DR),"")</f>
        <v/>
      </c>
      <c r="AC249" s="143">
        <f>IFERROR(_xlfn.XLOOKUP($D249,'Modelling New'!$D:$D,'Modelling New'!$J:$J),"")</f>
        <v>4.79</v>
      </c>
      <c r="AD249" s="138">
        <f>IFERROR(_xlfn.XLOOKUP($D249,'Modelling New'!$D:$D,'Modelling New'!$T:$T)*1000,"")</f>
        <v>233936.54337157667</v>
      </c>
      <c r="AE249" s="142"/>
      <c r="AF249" s="142">
        <f>IFERROR(_xlfn.XLOOKUP($D249,'Modelling New'!$D:$D,'Modelling New'!$W:$W),"")</f>
        <v>0.13845676099170021</v>
      </c>
      <c r="AG249" s="142">
        <f>IFERROR(_xlfn.XLOOKUP($D249,'Modelling New'!$D:$D,'Modelling New'!$AE:$AE),"")</f>
        <v>0.96029999999999993</v>
      </c>
      <c r="AH249" s="142">
        <f>IFERROR(_xlfn.XLOOKUP($D249,'Modelling New'!$D:$D,'Modelling New'!$AF:$AF),"")</f>
        <v>0.995</v>
      </c>
      <c r="AI249" s="109" t="str">
        <f>IFERROR(_xlfn.XLOOKUP($A249,Input_Raw!$A:$A,Input_Raw!$DP:$DP),"")</f>
        <v/>
      </c>
      <c r="AJ249" s="108"/>
      <c r="AK249" s="108"/>
      <c r="AL249" s="108"/>
      <c r="AM249" s="108"/>
      <c r="AN249" s="132" t="str">
        <f>IFERROR(_xlfn.XLOOKUP($A249,Input_Raw!$A:$A,Input_Raw!$DL:$DL),"")</f>
        <v/>
      </c>
      <c r="AO249" s="142" t="str">
        <f>IFERROR((_xlfn.XLOOKUP($A249,'WTG Reactive Power'!$A:$A,'WTG Reactive Power'!$AW:$AW))/X249,"")</f>
        <v/>
      </c>
      <c r="AP249" s="142">
        <f>IFERROR(_xlfn.XLOOKUP($D249,'Modelling New'!$D:$D,'Modelling New'!$AK:$AK),"")</f>
        <v>0.05</v>
      </c>
      <c r="AQ249" s="142">
        <f>IFERROR(_xlfn.XLOOKUP($D249,'Modelling New'!$D:$D,'Modelling New'!$AL:$AL),"")</f>
        <v>0.05</v>
      </c>
      <c r="AR249" s="198">
        <f>IFERROR(_xlfn.XLOOKUP($D249,'Modelling New'!$D:$D,'Modelling New'!$N:$N),"")</f>
        <v>70.400000000000006</v>
      </c>
      <c r="AS249" s="198"/>
    </row>
    <row r="250" spans="1:45">
      <c r="A250" s="137">
        <f t="shared" si="23"/>
        <v>45993</v>
      </c>
      <c r="B250" s="138">
        <f>YEAR(Daily_KPI[[#This Row],[Date]])+IF(MONTH(Daily_KPI[[#This Row],[Date]])&gt;=4,1,0)</f>
        <v>2026</v>
      </c>
      <c r="C250" s="108">
        <f>YEAR(Daily_KPI[[#This Row],[Date]])</f>
        <v>2025</v>
      </c>
      <c r="D250" s="139">
        <f>Daily_KPI[[#This Row],[Date]]-DAY(Daily_KPI[[#This Row],[Date]])+1</f>
        <v>45992</v>
      </c>
      <c r="E250" s="108">
        <f t="shared" si="19"/>
        <v>31</v>
      </c>
      <c r="F250" s="109"/>
      <c r="G250" s="143"/>
      <c r="H250" s="143"/>
      <c r="I250" s="143"/>
      <c r="J250" s="143"/>
      <c r="K250" s="111"/>
      <c r="L250" s="110"/>
      <c r="M250" s="110" t="str">
        <f>IFERROR(_xlfn.XLOOKUP($A250,Input_Raw!$A:$A,Input_Raw!$CQ:$CQ),"")</f>
        <v/>
      </c>
      <c r="N250" s="110" t="str">
        <f>IFERROR(_xlfn.XLOOKUP($A250,Input_Raw!$A:$A,Input_Raw!$CR:$CR),"")</f>
        <v/>
      </c>
      <c r="O250" s="141" t="str">
        <f t="shared" si="20"/>
        <v/>
      </c>
      <c r="P250" s="141" t="str">
        <f>IFERROR(1-SUMIF(WTG_BD!$F:$F,$A250,WTG_BD!$AA:$AA)/($AA250+SUMIF(WTG_BD!$F:$F,$A250,WTG_BD!$AA:$AA)),"")</f>
        <v/>
      </c>
      <c r="Q250" s="141" t="str">
        <f>IFERROR(1-SUMIF(IGA_BD!$F:$F,$A250,IGA_BD!$W:$W)/($AA250+SUMIF(IGA_BD!$F:$F,$A250,IGA_BD!$W:$W)),"")</f>
        <v/>
      </c>
      <c r="R250" s="141" t="str">
        <f>IFERROR(1-SUMIF(Grid_BD!$F:$F,$A250,Grid_BD!$Y:$Y)/($AA250+SUMIF(Grid_BD!$F:$F,$A250,Grid_BD!$Y:$Y)),"")</f>
        <v/>
      </c>
      <c r="S250" s="108"/>
      <c r="T250" s="140"/>
      <c r="U250" s="141"/>
      <c r="V250" s="108"/>
      <c r="W250" s="142" t="str">
        <f t="shared" si="21"/>
        <v/>
      </c>
      <c r="X250" s="108" t="str">
        <f>IFERROR(_xlfn.XLOOKUP($A250,Input_Raw!$A:$A,Input_Raw!$CP:$CP)*1000,"")</f>
        <v/>
      </c>
      <c r="Y250" s="108" t="str">
        <f>IFERROR(_xlfn.XLOOKUP($A250,Input_Raw!$A:$A,Input_Raw!DJ:DJ)*1000,"")</f>
        <v/>
      </c>
      <c r="Z250" s="108" t="str">
        <f>IFERROR(_xlfn.XLOOKUP($A250,Input_Raw!$A:$A,Input_Raw!DK:DK)*1000,"")</f>
        <v/>
      </c>
      <c r="AA250" s="138" t="str">
        <f t="shared" si="22"/>
        <v/>
      </c>
      <c r="AB250" s="108" t="str">
        <f>IFERROR(_xlfn.XLOOKUP($A250,Input_Raw!$A:$A,Input_Raw!$DR:$DR),"")</f>
        <v/>
      </c>
      <c r="AC250" s="143">
        <f>IFERROR(_xlfn.XLOOKUP($D250,'Modelling New'!$D:$D,'Modelling New'!$J:$J),"")</f>
        <v>4.79</v>
      </c>
      <c r="AD250" s="138">
        <f>IFERROR(_xlfn.XLOOKUP($D250,'Modelling New'!$D:$D,'Modelling New'!$T:$T)*1000,"")</f>
        <v>233936.54337157667</v>
      </c>
      <c r="AE250" s="142"/>
      <c r="AF250" s="142">
        <f>IFERROR(_xlfn.XLOOKUP($D250,'Modelling New'!$D:$D,'Modelling New'!$W:$W),"")</f>
        <v>0.13845676099170021</v>
      </c>
      <c r="AG250" s="142">
        <f>IFERROR(_xlfn.XLOOKUP($D250,'Modelling New'!$D:$D,'Modelling New'!$AE:$AE),"")</f>
        <v>0.96029999999999993</v>
      </c>
      <c r="AH250" s="142">
        <f>IFERROR(_xlfn.XLOOKUP($D250,'Modelling New'!$D:$D,'Modelling New'!$AF:$AF),"")</f>
        <v>0.995</v>
      </c>
      <c r="AI250" s="109" t="str">
        <f>IFERROR(_xlfn.XLOOKUP($A250,Input_Raw!$A:$A,Input_Raw!$DP:$DP),"")</f>
        <v/>
      </c>
      <c r="AJ250" s="108"/>
      <c r="AK250" s="108"/>
      <c r="AL250" s="108"/>
      <c r="AM250" s="108"/>
      <c r="AN250" s="132" t="str">
        <f>IFERROR(_xlfn.XLOOKUP($A250,Input_Raw!$A:$A,Input_Raw!$DL:$DL),"")</f>
        <v/>
      </c>
      <c r="AO250" s="142" t="str">
        <f>IFERROR((_xlfn.XLOOKUP($A250,'WTG Reactive Power'!$A:$A,'WTG Reactive Power'!$AW:$AW))/X250,"")</f>
        <v/>
      </c>
      <c r="AP250" s="142">
        <f>IFERROR(_xlfn.XLOOKUP($D250,'Modelling New'!$D:$D,'Modelling New'!$AK:$AK),"")</f>
        <v>0.05</v>
      </c>
      <c r="AQ250" s="142">
        <f>IFERROR(_xlfn.XLOOKUP($D250,'Modelling New'!$D:$D,'Modelling New'!$AL:$AL),"")</f>
        <v>0.05</v>
      </c>
      <c r="AR250" s="198">
        <f>IFERROR(_xlfn.XLOOKUP($D250,'Modelling New'!$D:$D,'Modelling New'!$N:$N),"")</f>
        <v>70.400000000000006</v>
      </c>
      <c r="AS250" s="198"/>
    </row>
    <row r="251" spans="1:45">
      <c r="A251" s="137">
        <f t="shared" si="23"/>
        <v>45994</v>
      </c>
      <c r="B251" s="138">
        <f>YEAR(Daily_KPI[[#This Row],[Date]])+IF(MONTH(Daily_KPI[[#This Row],[Date]])&gt;=4,1,0)</f>
        <v>2026</v>
      </c>
      <c r="C251" s="108">
        <f>YEAR(Daily_KPI[[#This Row],[Date]])</f>
        <v>2025</v>
      </c>
      <c r="D251" s="139">
        <f>Daily_KPI[[#This Row],[Date]]-DAY(Daily_KPI[[#This Row],[Date]])+1</f>
        <v>45992</v>
      </c>
      <c r="E251" s="108">
        <f t="shared" si="19"/>
        <v>31</v>
      </c>
      <c r="F251" s="109"/>
      <c r="G251" s="110"/>
      <c r="H251" s="110"/>
      <c r="I251" s="110"/>
      <c r="J251" s="110"/>
      <c r="K251" s="111"/>
      <c r="L251" s="110"/>
      <c r="M251" s="110" t="str">
        <f>IFERROR(_xlfn.XLOOKUP($A251,Input_Raw!$A:$A,Input_Raw!$CQ:$CQ),"")</f>
        <v/>
      </c>
      <c r="N251" s="110" t="str">
        <f>IFERROR(_xlfn.XLOOKUP($A251,Input_Raw!$A:$A,Input_Raw!$CR:$CR),"")</f>
        <v/>
      </c>
      <c r="O251" s="141" t="str">
        <f t="shared" si="20"/>
        <v/>
      </c>
      <c r="P251" s="141" t="str">
        <f>IFERROR(1-SUMIF(WTG_BD!$F:$F,$A251,WTG_BD!$AA:$AA)/($AA251+SUMIF(WTG_BD!$F:$F,$A251,WTG_BD!$AA:$AA)),"")</f>
        <v/>
      </c>
      <c r="Q251" s="141" t="str">
        <f>IFERROR(1-SUMIF(IGA_BD!$F:$F,$A251,IGA_BD!$W:$W)/($AA251+SUMIF(IGA_BD!$F:$F,$A251,IGA_BD!$W:$W)),"")</f>
        <v/>
      </c>
      <c r="R251" s="141" t="str">
        <f>IFERROR(1-SUMIF(Grid_BD!$F:$F,$A251,Grid_BD!$Y:$Y)/($AA251+SUMIF(Grid_BD!$F:$F,$A251,Grid_BD!$Y:$Y)),"")</f>
        <v/>
      </c>
      <c r="S251" s="108"/>
      <c r="T251" s="140"/>
      <c r="U251" s="141"/>
      <c r="V251" s="108"/>
      <c r="W251" s="142" t="str">
        <f t="shared" si="21"/>
        <v/>
      </c>
      <c r="X251" s="108" t="str">
        <f>IFERROR(_xlfn.XLOOKUP($A251,Input_Raw!$A:$A,Input_Raw!$CP:$CP)*1000,"")</f>
        <v/>
      </c>
      <c r="Y251" s="108" t="str">
        <f>IFERROR(_xlfn.XLOOKUP($A251,Input_Raw!$A:$A,Input_Raw!DJ:DJ)*1000,"")</f>
        <v/>
      </c>
      <c r="Z251" s="108" t="str">
        <f>IFERROR(_xlfn.XLOOKUP($A251,Input_Raw!$A:$A,Input_Raw!DK:DK)*1000,"")</f>
        <v/>
      </c>
      <c r="AA251" s="138" t="str">
        <f t="shared" si="22"/>
        <v/>
      </c>
      <c r="AB251" s="108" t="str">
        <f>IFERROR(_xlfn.XLOOKUP($A251,Input_Raw!$A:$A,Input_Raw!$DR:$DR),"")</f>
        <v/>
      </c>
      <c r="AC251" s="143">
        <f>IFERROR(_xlfn.XLOOKUP($D251,'Modelling New'!$D:$D,'Modelling New'!$J:$J),"")</f>
        <v>4.79</v>
      </c>
      <c r="AD251" s="138">
        <f>IFERROR(_xlfn.XLOOKUP($D251,'Modelling New'!$D:$D,'Modelling New'!$T:$T)*1000,"")</f>
        <v>233936.54337157667</v>
      </c>
      <c r="AE251" s="142"/>
      <c r="AF251" s="142">
        <f>IFERROR(_xlfn.XLOOKUP($D251,'Modelling New'!$D:$D,'Modelling New'!$W:$W),"")</f>
        <v>0.13845676099170021</v>
      </c>
      <c r="AG251" s="142">
        <f>IFERROR(_xlfn.XLOOKUP($D251,'Modelling New'!$D:$D,'Modelling New'!$AE:$AE),"")</f>
        <v>0.96029999999999993</v>
      </c>
      <c r="AH251" s="142">
        <f>IFERROR(_xlfn.XLOOKUP($D251,'Modelling New'!$D:$D,'Modelling New'!$AF:$AF),"")</f>
        <v>0.995</v>
      </c>
      <c r="AI251" s="109" t="str">
        <f>IFERROR(_xlfn.XLOOKUP($A251,Input_Raw!$A:$A,Input_Raw!$DP:$DP),"")</f>
        <v/>
      </c>
      <c r="AJ251" s="108"/>
      <c r="AK251" s="108"/>
      <c r="AL251" s="108"/>
      <c r="AM251" s="108"/>
      <c r="AN251" s="132" t="str">
        <f>IFERROR(_xlfn.XLOOKUP($A251,Input_Raw!$A:$A,Input_Raw!$DL:$DL),"")</f>
        <v/>
      </c>
      <c r="AO251" s="142" t="str">
        <f>IFERROR((_xlfn.XLOOKUP($A251,'WTG Reactive Power'!$A:$A,'WTG Reactive Power'!$AW:$AW))/X251,"")</f>
        <v/>
      </c>
      <c r="AP251" s="142">
        <f>IFERROR(_xlfn.XLOOKUP($D251,'Modelling New'!$D:$D,'Modelling New'!$AK:$AK),"")</f>
        <v>0.05</v>
      </c>
      <c r="AQ251" s="142">
        <f>IFERROR(_xlfn.XLOOKUP($D251,'Modelling New'!$D:$D,'Modelling New'!$AL:$AL),"")</f>
        <v>0.05</v>
      </c>
      <c r="AR251" s="198">
        <f>IFERROR(_xlfn.XLOOKUP($D251,'Modelling New'!$D:$D,'Modelling New'!$N:$N),"")</f>
        <v>70.400000000000006</v>
      </c>
      <c r="AS251" s="198"/>
    </row>
    <row r="252" spans="1:45">
      <c r="A252" s="137">
        <f t="shared" si="23"/>
        <v>45995</v>
      </c>
      <c r="B252" s="138">
        <f>YEAR(Daily_KPI[[#This Row],[Date]])+IF(MONTH(Daily_KPI[[#This Row],[Date]])&gt;=4,1,0)</f>
        <v>2026</v>
      </c>
      <c r="C252" s="108">
        <f>YEAR(Daily_KPI[[#This Row],[Date]])</f>
        <v>2025</v>
      </c>
      <c r="D252" s="139">
        <f>Daily_KPI[[#This Row],[Date]]-DAY(Daily_KPI[[#This Row],[Date]])+1</f>
        <v>45992</v>
      </c>
      <c r="E252" s="108">
        <f t="shared" si="19"/>
        <v>31</v>
      </c>
      <c r="F252" s="109"/>
      <c r="G252" s="143"/>
      <c r="H252" s="143"/>
      <c r="I252" s="143"/>
      <c r="J252" s="143"/>
      <c r="K252" s="111"/>
      <c r="L252" s="110"/>
      <c r="M252" s="110" t="str">
        <f>IFERROR(_xlfn.XLOOKUP($A252,Input_Raw!$A:$A,Input_Raw!$CQ:$CQ),"")</f>
        <v/>
      </c>
      <c r="N252" s="110" t="str">
        <f>IFERROR(_xlfn.XLOOKUP($A252,Input_Raw!$A:$A,Input_Raw!$CR:$CR),"")</f>
        <v/>
      </c>
      <c r="O252" s="141" t="str">
        <f t="shared" si="20"/>
        <v/>
      </c>
      <c r="P252" s="141" t="str">
        <f>IFERROR(1-SUMIF(WTG_BD!$F:$F,$A252,WTG_BD!$AA:$AA)/($AA252+SUMIF(WTG_BD!$F:$F,$A252,WTG_BD!$AA:$AA)),"")</f>
        <v/>
      </c>
      <c r="Q252" s="141" t="str">
        <f>IFERROR(1-SUMIF(IGA_BD!$F:$F,$A252,IGA_BD!$W:$W)/($AA252+SUMIF(IGA_BD!$F:$F,$A252,IGA_BD!$W:$W)),"")</f>
        <v/>
      </c>
      <c r="R252" s="141" t="str">
        <f>IFERROR(1-SUMIF(Grid_BD!$F:$F,$A252,Grid_BD!$Y:$Y)/($AA252+SUMIF(Grid_BD!$F:$F,$A252,Grid_BD!$Y:$Y)),"")</f>
        <v/>
      </c>
      <c r="S252" s="108"/>
      <c r="T252" s="140"/>
      <c r="U252" s="141"/>
      <c r="V252" s="108"/>
      <c r="W252" s="142" t="str">
        <f t="shared" si="21"/>
        <v/>
      </c>
      <c r="X252" s="108" t="str">
        <f>IFERROR(_xlfn.XLOOKUP($A252,Input_Raw!$A:$A,Input_Raw!$CP:$CP)*1000,"")</f>
        <v/>
      </c>
      <c r="Y252" s="108" t="str">
        <f>IFERROR(_xlfn.XLOOKUP($A252,Input_Raw!$A:$A,Input_Raw!DJ:DJ)*1000,"")</f>
        <v/>
      </c>
      <c r="Z252" s="108" t="str">
        <f>IFERROR(_xlfn.XLOOKUP($A252,Input_Raw!$A:$A,Input_Raw!DK:DK)*1000,"")</f>
        <v/>
      </c>
      <c r="AA252" s="138" t="str">
        <f t="shared" si="22"/>
        <v/>
      </c>
      <c r="AB252" s="108" t="str">
        <f>IFERROR(_xlfn.XLOOKUP($A252,Input_Raw!$A:$A,Input_Raw!$DR:$DR),"")</f>
        <v/>
      </c>
      <c r="AC252" s="143">
        <f>IFERROR(_xlfn.XLOOKUP($D252,'Modelling New'!$D:$D,'Modelling New'!$J:$J),"")</f>
        <v>4.79</v>
      </c>
      <c r="AD252" s="138">
        <f>IFERROR(_xlfn.XLOOKUP($D252,'Modelling New'!$D:$D,'Modelling New'!$T:$T)*1000,"")</f>
        <v>233936.54337157667</v>
      </c>
      <c r="AE252" s="142"/>
      <c r="AF252" s="142">
        <f>IFERROR(_xlfn.XLOOKUP($D252,'Modelling New'!$D:$D,'Modelling New'!$W:$W),"")</f>
        <v>0.13845676099170021</v>
      </c>
      <c r="AG252" s="142">
        <f>IFERROR(_xlfn.XLOOKUP($D252,'Modelling New'!$D:$D,'Modelling New'!$AE:$AE),"")</f>
        <v>0.96029999999999993</v>
      </c>
      <c r="AH252" s="142">
        <f>IFERROR(_xlfn.XLOOKUP($D252,'Modelling New'!$D:$D,'Modelling New'!$AF:$AF),"")</f>
        <v>0.995</v>
      </c>
      <c r="AI252" s="109" t="str">
        <f>IFERROR(_xlfn.XLOOKUP($A252,Input_Raw!$A:$A,Input_Raw!$DP:$DP),"")</f>
        <v/>
      </c>
      <c r="AJ252" s="108"/>
      <c r="AK252" s="108"/>
      <c r="AL252" s="108"/>
      <c r="AM252" s="108"/>
      <c r="AN252" s="132" t="str">
        <f>IFERROR(_xlfn.XLOOKUP($A252,Input_Raw!$A:$A,Input_Raw!$DL:$DL),"")</f>
        <v/>
      </c>
      <c r="AO252" s="142" t="str">
        <f>IFERROR((_xlfn.XLOOKUP($A252,'WTG Reactive Power'!$A:$A,'WTG Reactive Power'!$AW:$AW))/X252,"")</f>
        <v/>
      </c>
      <c r="AP252" s="142">
        <f>IFERROR(_xlfn.XLOOKUP($D252,'Modelling New'!$D:$D,'Modelling New'!$AK:$AK),"")</f>
        <v>0.05</v>
      </c>
      <c r="AQ252" s="142">
        <f>IFERROR(_xlfn.XLOOKUP($D252,'Modelling New'!$D:$D,'Modelling New'!$AL:$AL),"")</f>
        <v>0.05</v>
      </c>
      <c r="AR252" s="198">
        <f>IFERROR(_xlfn.XLOOKUP($D252,'Modelling New'!$D:$D,'Modelling New'!$N:$N),"")</f>
        <v>70.400000000000006</v>
      </c>
      <c r="AS252" s="198"/>
    </row>
    <row r="253" spans="1:45">
      <c r="A253" s="137">
        <f t="shared" si="23"/>
        <v>45996</v>
      </c>
      <c r="B253" s="138">
        <f>YEAR(Daily_KPI[[#This Row],[Date]])+IF(MONTH(Daily_KPI[[#This Row],[Date]])&gt;=4,1,0)</f>
        <v>2026</v>
      </c>
      <c r="C253" s="108">
        <f>YEAR(Daily_KPI[[#This Row],[Date]])</f>
        <v>2025</v>
      </c>
      <c r="D253" s="139">
        <f>Daily_KPI[[#This Row],[Date]]-DAY(Daily_KPI[[#This Row],[Date]])+1</f>
        <v>45992</v>
      </c>
      <c r="E253" s="108">
        <f t="shared" ref="E253:E279" si="24">DAY(EOMONTH(A253,0))</f>
        <v>31</v>
      </c>
      <c r="F253" s="109"/>
      <c r="G253" s="110"/>
      <c r="H253" s="110"/>
      <c r="I253" s="110"/>
      <c r="J253" s="110"/>
      <c r="K253" s="111"/>
      <c r="L253" s="110"/>
      <c r="M253" s="110" t="str">
        <f>IFERROR(_xlfn.XLOOKUP($A253,Input_Raw!$A:$A,Input_Raw!$CQ:$CQ),"")</f>
        <v/>
      </c>
      <c r="N253" s="110" t="str">
        <f>IFERROR(_xlfn.XLOOKUP($A253,Input_Raw!$A:$A,Input_Raw!$CR:$CR),"")</f>
        <v/>
      </c>
      <c r="O253" s="141" t="str">
        <f t="shared" ref="O253:O279" si="25">IFERROR(P253*Q253,"")</f>
        <v/>
      </c>
      <c r="P253" s="141" t="str">
        <f>IFERROR(1-SUMIF(WTG_BD!$F:$F,$A253,WTG_BD!$AA:$AA)/($AA253+SUMIF(WTG_BD!$F:$F,$A253,WTG_BD!$AA:$AA)),"")</f>
        <v/>
      </c>
      <c r="Q253" s="141" t="str">
        <f>IFERROR(1-SUMIF(IGA_BD!$F:$F,$A253,IGA_BD!$W:$W)/($AA253+SUMIF(IGA_BD!$F:$F,$A253,IGA_BD!$W:$W)),"")</f>
        <v/>
      </c>
      <c r="R253" s="141" t="str">
        <f>IFERROR(1-SUMIF(Grid_BD!$F:$F,$A253,Grid_BD!$Y:$Y)/($AA253+SUMIF(Grid_BD!$F:$F,$A253,Grid_BD!$Y:$Y)),"")</f>
        <v/>
      </c>
      <c r="S253" s="108"/>
      <c r="T253" s="140"/>
      <c r="U253" s="141"/>
      <c r="V253" s="108"/>
      <c r="W253" s="142" t="str">
        <f t="shared" ref="W253:W279" si="26">IFERROR(X253/(24*AB253*1000),"")</f>
        <v/>
      </c>
      <c r="X253" s="108" t="str">
        <f>IFERROR(_xlfn.XLOOKUP($A253,Input_Raw!$A:$A,Input_Raw!$CP:$CP)*1000,"")</f>
        <v/>
      </c>
      <c r="Y253" s="108" t="str">
        <f>IFERROR(_xlfn.XLOOKUP($A253,Input_Raw!$A:$A,Input_Raw!DJ:DJ)*1000,"")</f>
        <v/>
      </c>
      <c r="Z253" s="108" t="str">
        <f>IFERROR(_xlfn.XLOOKUP($A253,Input_Raw!$A:$A,Input_Raw!DK:DK)*1000,"")</f>
        <v/>
      </c>
      <c r="AA253" s="138" t="str">
        <f t="shared" ref="AA253:AA279" si="27">IFERROR(Y253-Z253,"")</f>
        <v/>
      </c>
      <c r="AB253" s="108" t="str">
        <f>IFERROR(_xlfn.XLOOKUP($A253,Input_Raw!$A:$A,Input_Raw!$DR:$DR),"")</f>
        <v/>
      </c>
      <c r="AC253" s="143">
        <f>IFERROR(_xlfn.XLOOKUP($D253,'Modelling New'!$D:$D,'Modelling New'!$J:$J),"")</f>
        <v>4.79</v>
      </c>
      <c r="AD253" s="138">
        <f>IFERROR(_xlfn.XLOOKUP($D253,'Modelling New'!$D:$D,'Modelling New'!$T:$T)*1000,"")</f>
        <v>233936.54337157667</v>
      </c>
      <c r="AE253" s="142"/>
      <c r="AF253" s="142">
        <f>IFERROR(_xlfn.XLOOKUP($D253,'Modelling New'!$D:$D,'Modelling New'!$W:$W),"")</f>
        <v>0.13845676099170021</v>
      </c>
      <c r="AG253" s="142">
        <f>IFERROR(_xlfn.XLOOKUP($D253,'Modelling New'!$D:$D,'Modelling New'!$AE:$AE),"")</f>
        <v>0.96029999999999993</v>
      </c>
      <c r="AH253" s="142">
        <f>IFERROR(_xlfn.XLOOKUP($D253,'Modelling New'!$D:$D,'Modelling New'!$AF:$AF),"")</f>
        <v>0.995</v>
      </c>
      <c r="AI253" s="109" t="str">
        <f>IFERROR(_xlfn.XLOOKUP($A253,Input_Raw!$A:$A,Input_Raw!$DP:$DP),"")</f>
        <v/>
      </c>
      <c r="AJ253" s="108"/>
      <c r="AK253" s="108"/>
      <c r="AL253" s="108"/>
      <c r="AM253" s="108"/>
      <c r="AN253" s="132" t="str">
        <f>IFERROR(_xlfn.XLOOKUP($A253,Input_Raw!$A:$A,Input_Raw!$DL:$DL),"")</f>
        <v/>
      </c>
      <c r="AO253" s="142" t="str">
        <f>IFERROR((_xlfn.XLOOKUP($A253,'WTG Reactive Power'!$A:$A,'WTG Reactive Power'!$AW:$AW))/X253,"")</f>
        <v/>
      </c>
      <c r="AP253" s="142">
        <f>IFERROR(_xlfn.XLOOKUP($D253,'Modelling New'!$D:$D,'Modelling New'!$AK:$AK),"")</f>
        <v>0.05</v>
      </c>
      <c r="AQ253" s="142">
        <f>IFERROR(_xlfn.XLOOKUP($D253,'Modelling New'!$D:$D,'Modelling New'!$AL:$AL),"")</f>
        <v>0.05</v>
      </c>
      <c r="AR253" s="198">
        <f>IFERROR(_xlfn.XLOOKUP($D253,'Modelling New'!$D:$D,'Modelling New'!$N:$N),"")</f>
        <v>70.400000000000006</v>
      </c>
      <c r="AS253" s="198"/>
    </row>
    <row r="254" spans="1:45">
      <c r="A254" s="137">
        <f t="shared" si="23"/>
        <v>45997</v>
      </c>
      <c r="B254" s="138">
        <f>YEAR(Daily_KPI[[#This Row],[Date]])+IF(MONTH(Daily_KPI[[#This Row],[Date]])&gt;=4,1,0)</f>
        <v>2026</v>
      </c>
      <c r="C254" s="108">
        <f>YEAR(Daily_KPI[[#This Row],[Date]])</f>
        <v>2025</v>
      </c>
      <c r="D254" s="139">
        <f>Daily_KPI[[#This Row],[Date]]-DAY(Daily_KPI[[#This Row],[Date]])+1</f>
        <v>45992</v>
      </c>
      <c r="E254" s="108">
        <f t="shared" si="24"/>
        <v>31</v>
      </c>
      <c r="F254" s="109"/>
      <c r="G254" s="143"/>
      <c r="H254" s="143"/>
      <c r="I254" s="143"/>
      <c r="J254" s="143"/>
      <c r="K254" s="111"/>
      <c r="L254" s="110"/>
      <c r="M254" s="110" t="str">
        <f>IFERROR(_xlfn.XLOOKUP($A254,Input_Raw!$A:$A,Input_Raw!$CQ:$CQ),"")</f>
        <v/>
      </c>
      <c r="N254" s="110" t="str">
        <f>IFERROR(_xlfn.XLOOKUP($A254,Input_Raw!$A:$A,Input_Raw!$CR:$CR),"")</f>
        <v/>
      </c>
      <c r="O254" s="141" t="str">
        <f t="shared" si="25"/>
        <v/>
      </c>
      <c r="P254" s="141" t="str">
        <f>IFERROR(1-SUMIF(WTG_BD!$F:$F,$A254,WTG_BD!$AA:$AA)/($AA254+SUMIF(WTG_BD!$F:$F,$A254,WTG_BD!$AA:$AA)),"")</f>
        <v/>
      </c>
      <c r="Q254" s="141" t="str">
        <f>IFERROR(1-SUMIF(IGA_BD!$F:$F,$A254,IGA_BD!$W:$W)/($AA254+SUMIF(IGA_BD!$F:$F,$A254,IGA_BD!$W:$W)),"")</f>
        <v/>
      </c>
      <c r="R254" s="141" t="str">
        <f>IFERROR(1-SUMIF(Grid_BD!$F:$F,$A254,Grid_BD!$Y:$Y)/($AA254+SUMIF(Grid_BD!$F:$F,$A254,Grid_BD!$Y:$Y)),"")</f>
        <v/>
      </c>
      <c r="S254" s="108"/>
      <c r="T254" s="140"/>
      <c r="U254" s="141"/>
      <c r="V254" s="108"/>
      <c r="W254" s="142" t="str">
        <f t="shared" si="26"/>
        <v/>
      </c>
      <c r="X254" s="108" t="str">
        <f>IFERROR(_xlfn.XLOOKUP($A254,Input_Raw!$A:$A,Input_Raw!$CP:$CP)*1000,"")</f>
        <v/>
      </c>
      <c r="Y254" s="108" t="str">
        <f>IFERROR(_xlfn.XLOOKUP($A254,Input_Raw!$A:$A,Input_Raw!DJ:DJ)*1000,"")</f>
        <v/>
      </c>
      <c r="Z254" s="108" t="str">
        <f>IFERROR(_xlfn.XLOOKUP($A254,Input_Raw!$A:$A,Input_Raw!DK:DK)*1000,"")</f>
        <v/>
      </c>
      <c r="AA254" s="138" t="str">
        <f t="shared" si="27"/>
        <v/>
      </c>
      <c r="AB254" s="108" t="str">
        <f>IFERROR(_xlfn.XLOOKUP($A254,Input_Raw!$A:$A,Input_Raw!$DR:$DR),"")</f>
        <v/>
      </c>
      <c r="AC254" s="143">
        <f>IFERROR(_xlfn.XLOOKUP($D254,'Modelling New'!$D:$D,'Modelling New'!$J:$J),"")</f>
        <v>4.79</v>
      </c>
      <c r="AD254" s="138">
        <f>IFERROR(_xlfn.XLOOKUP($D254,'Modelling New'!$D:$D,'Modelling New'!$T:$T)*1000,"")</f>
        <v>233936.54337157667</v>
      </c>
      <c r="AE254" s="142"/>
      <c r="AF254" s="142">
        <f>IFERROR(_xlfn.XLOOKUP($D254,'Modelling New'!$D:$D,'Modelling New'!$W:$W),"")</f>
        <v>0.13845676099170021</v>
      </c>
      <c r="AG254" s="142">
        <f>IFERROR(_xlfn.XLOOKUP($D254,'Modelling New'!$D:$D,'Modelling New'!$AE:$AE),"")</f>
        <v>0.96029999999999993</v>
      </c>
      <c r="AH254" s="142">
        <f>IFERROR(_xlfn.XLOOKUP($D254,'Modelling New'!$D:$D,'Modelling New'!$AF:$AF),"")</f>
        <v>0.995</v>
      </c>
      <c r="AI254" s="109" t="str">
        <f>IFERROR(_xlfn.XLOOKUP($A254,Input_Raw!$A:$A,Input_Raw!$DP:$DP),"")</f>
        <v/>
      </c>
      <c r="AJ254" s="108"/>
      <c r="AK254" s="108"/>
      <c r="AL254" s="108"/>
      <c r="AM254" s="108"/>
      <c r="AN254" s="132" t="str">
        <f>IFERROR(_xlfn.XLOOKUP($A254,Input_Raw!$A:$A,Input_Raw!$DL:$DL),"")</f>
        <v/>
      </c>
      <c r="AO254" s="142" t="str">
        <f>IFERROR((_xlfn.XLOOKUP($A254,'WTG Reactive Power'!$A:$A,'WTG Reactive Power'!$AW:$AW))/X254,"")</f>
        <v/>
      </c>
      <c r="AP254" s="142">
        <f>IFERROR(_xlfn.XLOOKUP($D254,'Modelling New'!$D:$D,'Modelling New'!$AK:$AK),"")</f>
        <v>0.05</v>
      </c>
      <c r="AQ254" s="142">
        <f>IFERROR(_xlfn.XLOOKUP($D254,'Modelling New'!$D:$D,'Modelling New'!$AL:$AL),"")</f>
        <v>0.05</v>
      </c>
      <c r="AR254" s="198">
        <f>IFERROR(_xlfn.XLOOKUP($D254,'Modelling New'!$D:$D,'Modelling New'!$N:$N),"")</f>
        <v>70.400000000000006</v>
      </c>
      <c r="AS254" s="198"/>
    </row>
    <row r="255" spans="1:45">
      <c r="A255" s="137">
        <f t="shared" ref="A255:A318" si="28">A254+1</f>
        <v>45998</v>
      </c>
      <c r="B255" s="138">
        <f>YEAR(Daily_KPI[[#This Row],[Date]])+IF(MONTH(Daily_KPI[[#This Row],[Date]])&gt;=4,1,0)</f>
        <v>2026</v>
      </c>
      <c r="C255" s="108">
        <f>YEAR(Daily_KPI[[#This Row],[Date]])</f>
        <v>2025</v>
      </c>
      <c r="D255" s="139">
        <f>Daily_KPI[[#This Row],[Date]]-DAY(Daily_KPI[[#This Row],[Date]])+1</f>
        <v>45992</v>
      </c>
      <c r="E255" s="108">
        <f t="shared" si="24"/>
        <v>31</v>
      </c>
      <c r="F255" s="109"/>
      <c r="G255" s="110"/>
      <c r="H255" s="110"/>
      <c r="I255" s="110"/>
      <c r="J255" s="110"/>
      <c r="K255" s="111"/>
      <c r="L255" s="110"/>
      <c r="M255" s="110" t="str">
        <f>IFERROR(_xlfn.XLOOKUP($A255,Input_Raw!$A:$A,Input_Raw!$CQ:$CQ),"")</f>
        <v/>
      </c>
      <c r="N255" s="110" t="str">
        <f>IFERROR(_xlfn.XLOOKUP($A255,Input_Raw!$A:$A,Input_Raw!$CR:$CR),"")</f>
        <v/>
      </c>
      <c r="O255" s="141" t="str">
        <f t="shared" si="25"/>
        <v/>
      </c>
      <c r="P255" s="141" t="str">
        <f>IFERROR(1-SUMIF(WTG_BD!$F:$F,$A255,WTG_BD!$AA:$AA)/($AA255+SUMIF(WTG_BD!$F:$F,$A255,WTG_BD!$AA:$AA)),"")</f>
        <v/>
      </c>
      <c r="Q255" s="141" t="str">
        <f>IFERROR(1-SUMIF(IGA_BD!$F:$F,$A255,IGA_BD!$W:$W)/($AA255+SUMIF(IGA_BD!$F:$F,$A255,IGA_BD!$W:$W)),"")</f>
        <v/>
      </c>
      <c r="R255" s="141" t="str">
        <f>IFERROR(1-SUMIF(Grid_BD!$F:$F,$A255,Grid_BD!$Y:$Y)/($AA255+SUMIF(Grid_BD!$F:$F,$A255,Grid_BD!$Y:$Y)),"")</f>
        <v/>
      </c>
      <c r="S255" s="108"/>
      <c r="T255" s="140"/>
      <c r="U255" s="141"/>
      <c r="V255" s="108"/>
      <c r="W255" s="142" t="str">
        <f t="shared" si="26"/>
        <v/>
      </c>
      <c r="X255" s="108" t="str">
        <f>IFERROR(_xlfn.XLOOKUP($A255,Input_Raw!$A:$A,Input_Raw!$CP:$CP)*1000,"")</f>
        <v/>
      </c>
      <c r="Y255" s="108" t="str">
        <f>IFERROR(_xlfn.XLOOKUP($A255,Input_Raw!$A:$A,Input_Raw!DJ:DJ)*1000,"")</f>
        <v/>
      </c>
      <c r="Z255" s="108" t="str">
        <f>IFERROR(_xlfn.XLOOKUP($A255,Input_Raw!$A:$A,Input_Raw!DK:DK)*1000,"")</f>
        <v/>
      </c>
      <c r="AA255" s="138" t="str">
        <f t="shared" si="27"/>
        <v/>
      </c>
      <c r="AB255" s="108" t="str">
        <f>IFERROR(_xlfn.XLOOKUP($A255,Input_Raw!$A:$A,Input_Raw!$DR:$DR),"")</f>
        <v/>
      </c>
      <c r="AC255" s="143">
        <f>IFERROR(_xlfn.XLOOKUP($D255,'Modelling New'!$D:$D,'Modelling New'!$J:$J),"")</f>
        <v>4.79</v>
      </c>
      <c r="AD255" s="138">
        <f>IFERROR(_xlfn.XLOOKUP($D255,'Modelling New'!$D:$D,'Modelling New'!$T:$T)*1000,"")</f>
        <v>233936.54337157667</v>
      </c>
      <c r="AE255" s="142"/>
      <c r="AF255" s="142">
        <f>IFERROR(_xlfn.XLOOKUP($D255,'Modelling New'!$D:$D,'Modelling New'!$W:$W),"")</f>
        <v>0.13845676099170021</v>
      </c>
      <c r="AG255" s="142">
        <f>IFERROR(_xlfn.XLOOKUP($D255,'Modelling New'!$D:$D,'Modelling New'!$AE:$AE),"")</f>
        <v>0.96029999999999993</v>
      </c>
      <c r="AH255" s="142">
        <f>IFERROR(_xlfn.XLOOKUP($D255,'Modelling New'!$D:$D,'Modelling New'!$AF:$AF),"")</f>
        <v>0.995</v>
      </c>
      <c r="AI255" s="109" t="str">
        <f>IFERROR(_xlfn.XLOOKUP($A255,Input_Raw!$A:$A,Input_Raw!$DP:$DP),"")</f>
        <v/>
      </c>
      <c r="AJ255" s="108"/>
      <c r="AK255" s="108"/>
      <c r="AL255" s="108"/>
      <c r="AM255" s="108"/>
      <c r="AN255" s="132" t="str">
        <f>IFERROR(_xlfn.XLOOKUP($A255,Input_Raw!$A:$A,Input_Raw!$DL:$DL),"")</f>
        <v/>
      </c>
      <c r="AO255" s="142" t="str">
        <f>IFERROR((_xlfn.XLOOKUP($A255,'WTG Reactive Power'!$A:$A,'WTG Reactive Power'!$AW:$AW))/X255,"")</f>
        <v/>
      </c>
      <c r="AP255" s="142">
        <f>IFERROR(_xlfn.XLOOKUP($D255,'Modelling New'!$D:$D,'Modelling New'!$AK:$AK),"")</f>
        <v>0.05</v>
      </c>
      <c r="AQ255" s="142">
        <f>IFERROR(_xlfn.XLOOKUP($D255,'Modelling New'!$D:$D,'Modelling New'!$AL:$AL),"")</f>
        <v>0.05</v>
      </c>
      <c r="AR255" s="198">
        <f>IFERROR(_xlfn.XLOOKUP($D255,'Modelling New'!$D:$D,'Modelling New'!$N:$N),"")</f>
        <v>70.400000000000006</v>
      </c>
      <c r="AS255" s="198"/>
    </row>
    <row r="256" spans="1:45">
      <c r="A256" s="137">
        <f t="shared" si="28"/>
        <v>45999</v>
      </c>
      <c r="B256" s="138">
        <f>YEAR(Daily_KPI[[#This Row],[Date]])+IF(MONTH(Daily_KPI[[#This Row],[Date]])&gt;=4,1,0)</f>
        <v>2026</v>
      </c>
      <c r="C256" s="108">
        <f>YEAR(Daily_KPI[[#This Row],[Date]])</f>
        <v>2025</v>
      </c>
      <c r="D256" s="139">
        <f>Daily_KPI[[#This Row],[Date]]-DAY(Daily_KPI[[#This Row],[Date]])+1</f>
        <v>45992</v>
      </c>
      <c r="E256" s="108">
        <f t="shared" si="24"/>
        <v>31</v>
      </c>
      <c r="F256" s="109"/>
      <c r="G256" s="143"/>
      <c r="H256" s="143"/>
      <c r="I256" s="143"/>
      <c r="J256" s="143"/>
      <c r="K256" s="111"/>
      <c r="L256" s="110"/>
      <c r="M256" s="110" t="str">
        <f>IFERROR(_xlfn.XLOOKUP($A256,Input_Raw!$A:$A,Input_Raw!$CQ:$CQ),"")</f>
        <v/>
      </c>
      <c r="N256" s="110" t="str">
        <f>IFERROR(_xlfn.XLOOKUP($A256,Input_Raw!$A:$A,Input_Raw!$CR:$CR),"")</f>
        <v/>
      </c>
      <c r="O256" s="141" t="str">
        <f t="shared" si="25"/>
        <v/>
      </c>
      <c r="P256" s="141" t="str">
        <f>IFERROR(1-SUMIF(WTG_BD!$F:$F,$A256,WTG_BD!$AA:$AA)/($AA256+SUMIF(WTG_BD!$F:$F,$A256,WTG_BD!$AA:$AA)),"")</f>
        <v/>
      </c>
      <c r="Q256" s="141" t="str">
        <f>IFERROR(1-SUMIF(IGA_BD!$F:$F,$A256,IGA_BD!$W:$W)/($AA256+SUMIF(IGA_BD!$F:$F,$A256,IGA_BD!$W:$W)),"")</f>
        <v/>
      </c>
      <c r="R256" s="141" t="str">
        <f>IFERROR(1-SUMIF(Grid_BD!$F:$F,$A256,Grid_BD!$Y:$Y)/($AA256+SUMIF(Grid_BD!$F:$F,$A256,Grid_BD!$Y:$Y)),"")</f>
        <v/>
      </c>
      <c r="S256" s="108"/>
      <c r="T256" s="140"/>
      <c r="U256" s="141"/>
      <c r="V256" s="108"/>
      <c r="W256" s="142" t="str">
        <f t="shared" si="26"/>
        <v/>
      </c>
      <c r="X256" s="108" t="str">
        <f>IFERROR(_xlfn.XLOOKUP($A256,Input_Raw!$A:$A,Input_Raw!$CP:$CP)*1000,"")</f>
        <v/>
      </c>
      <c r="Y256" s="108" t="str">
        <f>IFERROR(_xlfn.XLOOKUP($A256,Input_Raw!$A:$A,Input_Raw!DJ:DJ)*1000,"")</f>
        <v/>
      </c>
      <c r="Z256" s="108" t="str">
        <f>IFERROR(_xlfn.XLOOKUP($A256,Input_Raw!$A:$A,Input_Raw!DK:DK)*1000,"")</f>
        <v/>
      </c>
      <c r="AA256" s="138" t="str">
        <f t="shared" si="27"/>
        <v/>
      </c>
      <c r="AB256" s="108" t="str">
        <f>IFERROR(_xlfn.XLOOKUP($A256,Input_Raw!$A:$A,Input_Raw!$DR:$DR),"")</f>
        <v/>
      </c>
      <c r="AC256" s="143">
        <f>IFERROR(_xlfn.XLOOKUP($D256,'Modelling New'!$D:$D,'Modelling New'!$J:$J),"")</f>
        <v>4.79</v>
      </c>
      <c r="AD256" s="138">
        <f>IFERROR(_xlfn.XLOOKUP($D256,'Modelling New'!$D:$D,'Modelling New'!$T:$T)*1000,"")</f>
        <v>233936.54337157667</v>
      </c>
      <c r="AE256" s="142"/>
      <c r="AF256" s="142">
        <f>IFERROR(_xlfn.XLOOKUP($D256,'Modelling New'!$D:$D,'Modelling New'!$W:$W),"")</f>
        <v>0.13845676099170021</v>
      </c>
      <c r="AG256" s="142">
        <f>IFERROR(_xlfn.XLOOKUP($D256,'Modelling New'!$D:$D,'Modelling New'!$AE:$AE),"")</f>
        <v>0.96029999999999993</v>
      </c>
      <c r="AH256" s="142">
        <f>IFERROR(_xlfn.XLOOKUP($D256,'Modelling New'!$D:$D,'Modelling New'!$AF:$AF),"")</f>
        <v>0.995</v>
      </c>
      <c r="AI256" s="109" t="str">
        <f>IFERROR(_xlfn.XLOOKUP($A256,Input_Raw!$A:$A,Input_Raw!$DP:$DP),"")</f>
        <v/>
      </c>
      <c r="AJ256" s="108"/>
      <c r="AK256" s="108"/>
      <c r="AL256" s="108"/>
      <c r="AM256" s="108"/>
      <c r="AN256" s="132" t="str">
        <f>IFERROR(_xlfn.XLOOKUP($A256,Input_Raw!$A:$A,Input_Raw!$DL:$DL),"")</f>
        <v/>
      </c>
      <c r="AO256" s="142" t="str">
        <f>IFERROR((_xlfn.XLOOKUP($A256,'WTG Reactive Power'!$A:$A,'WTG Reactive Power'!$AW:$AW))/X256,"")</f>
        <v/>
      </c>
      <c r="AP256" s="142">
        <f>IFERROR(_xlfn.XLOOKUP($D256,'Modelling New'!$D:$D,'Modelling New'!$AK:$AK),"")</f>
        <v>0.05</v>
      </c>
      <c r="AQ256" s="142">
        <f>IFERROR(_xlfn.XLOOKUP($D256,'Modelling New'!$D:$D,'Modelling New'!$AL:$AL),"")</f>
        <v>0.05</v>
      </c>
      <c r="AR256" s="198">
        <f>IFERROR(_xlfn.XLOOKUP($D256,'Modelling New'!$D:$D,'Modelling New'!$N:$N),"")</f>
        <v>70.400000000000006</v>
      </c>
      <c r="AS256" s="198"/>
    </row>
    <row r="257" spans="1:45">
      <c r="A257" s="137">
        <f t="shared" si="28"/>
        <v>46000</v>
      </c>
      <c r="B257" s="138">
        <f>YEAR(Daily_KPI[[#This Row],[Date]])+IF(MONTH(Daily_KPI[[#This Row],[Date]])&gt;=4,1,0)</f>
        <v>2026</v>
      </c>
      <c r="C257" s="108">
        <f>YEAR(Daily_KPI[[#This Row],[Date]])</f>
        <v>2025</v>
      </c>
      <c r="D257" s="139">
        <f>Daily_KPI[[#This Row],[Date]]-DAY(Daily_KPI[[#This Row],[Date]])+1</f>
        <v>45992</v>
      </c>
      <c r="E257" s="108">
        <f t="shared" si="24"/>
        <v>31</v>
      </c>
      <c r="F257" s="109"/>
      <c r="G257" s="110"/>
      <c r="H257" s="110"/>
      <c r="I257" s="110"/>
      <c r="J257" s="110"/>
      <c r="K257" s="111"/>
      <c r="L257" s="110"/>
      <c r="M257" s="110" t="str">
        <f>IFERROR(_xlfn.XLOOKUP($A257,Input_Raw!$A:$A,Input_Raw!$CQ:$CQ),"")</f>
        <v/>
      </c>
      <c r="N257" s="110" t="str">
        <f>IFERROR(_xlfn.XLOOKUP($A257,Input_Raw!$A:$A,Input_Raw!$CR:$CR),"")</f>
        <v/>
      </c>
      <c r="O257" s="141" t="str">
        <f t="shared" si="25"/>
        <v/>
      </c>
      <c r="P257" s="141" t="str">
        <f>IFERROR(1-SUMIF(WTG_BD!$F:$F,$A257,WTG_BD!$AA:$AA)/($AA257+SUMIF(WTG_BD!$F:$F,$A257,WTG_BD!$AA:$AA)),"")</f>
        <v/>
      </c>
      <c r="Q257" s="141" t="str">
        <f>IFERROR(1-SUMIF(IGA_BD!$F:$F,$A257,IGA_BD!$W:$W)/($AA257+SUMIF(IGA_BD!$F:$F,$A257,IGA_BD!$W:$W)),"")</f>
        <v/>
      </c>
      <c r="R257" s="141" t="str">
        <f>IFERROR(1-SUMIF(Grid_BD!$F:$F,$A257,Grid_BD!$Y:$Y)/($AA257+SUMIF(Grid_BD!$F:$F,$A257,Grid_BD!$Y:$Y)),"")</f>
        <v/>
      </c>
      <c r="S257" s="108"/>
      <c r="T257" s="140"/>
      <c r="U257" s="141"/>
      <c r="V257" s="108"/>
      <c r="W257" s="142" t="str">
        <f t="shared" si="26"/>
        <v/>
      </c>
      <c r="X257" s="108" t="str">
        <f>IFERROR(_xlfn.XLOOKUP($A257,Input_Raw!$A:$A,Input_Raw!$CP:$CP)*1000,"")</f>
        <v/>
      </c>
      <c r="Y257" s="108" t="str">
        <f>IFERROR(_xlfn.XLOOKUP($A257,Input_Raw!$A:$A,Input_Raw!DJ:DJ)*1000,"")</f>
        <v/>
      </c>
      <c r="Z257" s="108" t="str">
        <f>IFERROR(_xlfn.XLOOKUP($A257,Input_Raw!$A:$A,Input_Raw!DK:DK)*1000,"")</f>
        <v/>
      </c>
      <c r="AA257" s="138" t="str">
        <f t="shared" si="27"/>
        <v/>
      </c>
      <c r="AB257" s="108" t="str">
        <f>IFERROR(_xlfn.XLOOKUP($A257,Input_Raw!$A:$A,Input_Raw!$DR:$DR),"")</f>
        <v/>
      </c>
      <c r="AC257" s="143">
        <f>IFERROR(_xlfn.XLOOKUP($D257,'Modelling New'!$D:$D,'Modelling New'!$J:$J),"")</f>
        <v>4.79</v>
      </c>
      <c r="AD257" s="138">
        <f>IFERROR(_xlfn.XLOOKUP($D257,'Modelling New'!$D:$D,'Modelling New'!$T:$T)*1000,"")</f>
        <v>233936.54337157667</v>
      </c>
      <c r="AE257" s="142"/>
      <c r="AF257" s="142">
        <f>IFERROR(_xlfn.XLOOKUP($D257,'Modelling New'!$D:$D,'Modelling New'!$W:$W),"")</f>
        <v>0.13845676099170021</v>
      </c>
      <c r="AG257" s="142">
        <f>IFERROR(_xlfn.XLOOKUP($D257,'Modelling New'!$D:$D,'Modelling New'!$AE:$AE),"")</f>
        <v>0.96029999999999993</v>
      </c>
      <c r="AH257" s="142">
        <f>IFERROR(_xlfn.XLOOKUP($D257,'Modelling New'!$D:$D,'Modelling New'!$AF:$AF),"")</f>
        <v>0.995</v>
      </c>
      <c r="AI257" s="109" t="str">
        <f>IFERROR(_xlfn.XLOOKUP($A257,Input_Raw!$A:$A,Input_Raw!$DP:$DP),"")</f>
        <v/>
      </c>
      <c r="AJ257" s="108"/>
      <c r="AK257" s="108"/>
      <c r="AL257" s="108"/>
      <c r="AM257" s="108"/>
      <c r="AN257" s="132" t="str">
        <f>IFERROR(_xlfn.XLOOKUP($A257,Input_Raw!$A:$A,Input_Raw!$DL:$DL),"")</f>
        <v/>
      </c>
      <c r="AO257" s="142" t="str">
        <f>IFERROR((_xlfn.XLOOKUP($A257,'WTG Reactive Power'!$A:$A,'WTG Reactive Power'!$AW:$AW))/X257,"")</f>
        <v/>
      </c>
      <c r="AP257" s="142">
        <f>IFERROR(_xlfn.XLOOKUP($D257,'Modelling New'!$D:$D,'Modelling New'!$AK:$AK),"")</f>
        <v>0.05</v>
      </c>
      <c r="AQ257" s="142">
        <f>IFERROR(_xlfn.XLOOKUP($D257,'Modelling New'!$D:$D,'Modelling New'!$AL:$AL),"")</f>
        <v>0.05</v>
      </c>
      <c r="AR257" s="198">
        <f>IFERROR(_xlfn.XLOOKUP($D257,'Modelling New'!$D:$D,'Modelling New'!$N:$N),"")</f>
        <v>70.400000000000006</v>
      </c>
      <c r="AS257" s="198"/>
    </row>
    <row r="258" spans="1:45">
      <c r="A258" s="137">
        <f t="shared" si="28"/>
        <v>46001</v>
      </c>
      <c r="B258" s="138">
        <f>YEAR(Daily_KPI[[#This Row],[Date]])+IF(MONTH(Daily_KPI[[#This Row],[Date]])&gt;=4,1,0)</f>
        <v>2026</v>
      </c>
      <c r="C258" s="108">
        <f>YEAR(Daily_KPI[[#This Row],[Date]])</f>
        <v>2025</v>
      </c>
      <c r="D258" s="139">
        <f>Daily_KPI[[#This Row],[Date]]-DAY(Daily_KPI[[#This Row],[Date]])+1</f>
        <v>45992</v>
      </c>
      <c r="E258" s="108">
        <f t="shared" si="24"/>
        <v>31</v>
      </c>
      <c r="F258" s="109"/>
      <c r="G258" s="143"/>
      <c r="H258" s="143"/>
      <c r="I258" s="143"/>
      <c r="J258" s="143"/>
      <c r="K258" s="111"/>
      <c r="L258" s="110"/>
      <c r="M258" s="110" t="str">
        <f>IFERROR(_xlfn.XLOOKUP($A258,Input_Raw!$A:$A,Input_Raw!$CQ:$CQ),"")</f>
        <v/>
      </c>
      <c r="N258" s="110" t="str">
        <f>IFERROR(_xlfn.XLOOKUP($A258,Input_Raw!$A:$A,Input_Raw!$CR:$CR),"")</f>
        <v/>
      </c>
      <c r="O258" s="141" t="str">
        <f t="shared" si="25"/>
        <v/>
      </c>
      <c r="P258" s="141" t="str">
        <f>IFERROR(1-SUMIF(WTG_BD!$F:$F,$A258,WTG_BD!$AA:$AA)/($AA258+SUMIF(WTG_BD!$F:$F,$A258,WTG_BD!$AA:$AA)),"")</f>
        <v/>
      </c>
      <c r="Q258" s="141" t="str">
        <f>IFERROR(1-SUMIF(IGA_BD!$F:$F,$A258,IGA_BD!$W:$W)/($AA258+SUMIF(IGA_BD!$F:$F,$A258,IGA_BD!$W:$W)),"")</f>
        <v/>
      </c>
      <c r="R258" s="141" t="str">
        <f>IFERROR(1-SUMIF(Grid_BD!$F:$F,$A258,Grid_BD!$Y:$Y)/($AA258+SUMIF(Grid_BD!$F:$F,$A258,Grid_BD!$Y:$Y)),"")</f>
        <v/>
      </c>
      <c r="S258" s="108"/>
      <c r="T258" s="140"/>
      <c r="U258" s="141"/>
      <c r="V258" s="108"/>
      <c r="W258" s="142" t="str">
        <f t="shared" si="26"/>
        <v/>
      </c>
      <c r="X258" s="108" t="str">
        <f>IFERROR(_xlfn.XLOOKUP($A258,Input_Raw!$A:$A,Input_Raw!$CP:$CP)*1000,"")</f>
        <v/>
      </c>
      <c r="Y258" s="108" t="str">
        <f>IFERROR(_xlfn.XLOOKUP($A258,Input_Raw!$A:$A,Input_Raw!DJ:DJ)*1000,"")</f>
        <v/>
      </c>
      <c r="Z258" s="108" t="str">
        <f>IFERROR(_xlfn.XLOOKUP($A258,Input_Raw!$A:$A,Input_Raw!DK:DK)*1000,"")</f>
        <v/>
      </c>
      <c r="AA258" s="138" t="str">
        <f t="shared" si="27"/>
        <v/>
      </c>
      <c r="AB258" s="108" t="str">
        <f>IFERROR(_xlfn.XLOOKUP($A258,Input_Raw!$A:$A,Input_Raw!$DR:$DR),"")</f>
        <v/>
      </c>
      <c r="AC258" s="143">
        <f>IFERROR(_xlfn.XLOOKUP($D258,'Modelling New'!$D:$D,'Modelling New'!$J:$J),"")</f>
        <v>4.79</v>
      </c>
      <c r="AD258" s="138">
        <f>IFERROR(_xlfn.XLOOKUP($D258,'Modelling New'!$D:$D,'Modelling New'!$T:$T)*1000,"")</f>
        <v>233936.54337157667</v>
      </c>
      <c r="AE258" s="142"/>
      <c r="AF258" s="142">
        <f>IFERROR(_xlfn.XLOOKUP($D258,'Modelling New'!$D:$D,'Modelling New'!$W:$W),"")</f>
        <v>0.13845676099170021</v>
      </c>
      <c r="AG258" s="142">
        <f>IFERROR(_xlfn.XLOOKUP($D258,'Modelling New'!$D:$D,'Modelling New'!$AE:$AE),"")</f>
        <v>0.96029999999999993</v>
      </c>
      <c r="AH258" s="142">
        <f>IFERROR(_xlfn.XLOOKUP($D258,'Modelling New'!$D:$D,'Modelling New'!$AF:$AF),"")</f>
        <v>0.995</v>
      </c>
      <c r="AI258" s="109" t="str">
        <f>IFERROR(_xlfn.XLOOKUP($A258,Input_Raw!$A:$A,Input_Raw!$DP:$DP),"")</f>
        <v/>
      </c>
      <c r="AJ258" s="108"/>
      <c r="AK258" s="108"/>
      <c r="AL258" s="108"/>
      <c r="AM258" s="108"/>
      <c r="AN258" s="132" t="str">
        <f>IFERROR(_xlfn.XLOOKUP($A258,Input_Raw!$A:$A,Input_Raw!$DL:$DL),"")</f>
        <v/>
      </c>
      <c r="AO258" s="142" t="str">
        <f>IFERROR((_xlfn.XLOOKUP($A258,'WTG Reactive Power'!$A:$A,'WTG Reactive Power'!$AW:$AW))/X258,"")</f>
        <v/>
      </c>
      <c r="AP258" s="142">
        <f>IFERROR(_xlfn.XLOOKUP($D258,'Modelling New'!$D:$D,'Modelling New'!$AK:$AK),"")</f>
        <v>0.05</v>
      </c>
      <c r="AQ258" s="142">
        <f>IFERROR(_xlfn.XLOOKUP($D258,'Modelling New'!$D:$D,'Modelling New'!$AL:$AL),"")</f>
        <v>0.05</v>
      </c>
      <c r="AR258" s="198">
        <f>IFERROR(_xlfn.XLOOKUP($D258,'Modelling New'!$D:$D,'Modelling New'!$N:$N),"")</f>
        <v>70.400000000000006</v>
      </c>
      <c r="AS258" s="198"/>
    </row>
    <row r="259" spans="1:45">
      <c r="A259" s="137">
        <f t="shared" si="28"/>
        <v>46002</v>
      </c>
      <c r="B259" s="138">
        <f>YEAR(Daily_KPI[[#This Row],[Date]])+IF(MONTH(Daily_KPI[[#This Row],[Date]])&gt;=4,1,0)</f>
        <v>2026</v>
      </c>
      <c r="C259" s="108">
        <f>YEAR(Daily_KPI[[#This Row],[Date]])</f>
        <v>2025</v>
      </c>
      <c r="D259" s="139">
        <f>Daily_KPI[[#This Row],[Date]]-DAY(Daily_KPI[[#This Row],[Date]])+1</f>
        <v>45992</v>
      </c>
      <c r="E259" s="108">
        <f t="shared" si="24"/>
        <v>31</v>
      </c>
      <c r="F259" s="109"/>
      <c r="G259" s="110"/>
      <c r="H259" s="110"/>
      <c r="I259" s="110"/>
      <c r="J259" s="110"/>
      <c r="K259" s="111"/>
      <c r="L259" s="110"/>
      <c r="M259" s="110" t="str">
        <f>IFERROR(_xlfn.XLOOKUP($A259,Input_Raw!$A:$A,Input_Raw!$CQ:$CQ),"")</f>
        <v/>
      </c>
      <c r="N259" s="110" t="str">
        <f>IFERROR(_xlfn.XLOOKUP($A259,Input_Raw!$A:$A,Input_Raw!$CR:$CR),"")</f>
        <v/>
      </c>
      <c r="O259" s="141" t="str">
        <f t="shared" si="25"/>
        <v/>
      </c>
      <c r="P259" s="141" t="str">
        <f>IFERROR(1-SUMIF(WTG_BD!$F:$F,$A259,WTG_BD!$AA:$AA)/($AA259+SUMIF(WTG_BD!$F:$F,$A259,WTG_BD!$AA:$AA)),"")</f>
        <v/>
      </c>
      <c r="Q259" s="141" t="str">
        <f>IFERROR(1-SUMIF(IGA_BD!$F:$F,$A259,IGA_BD!$W:$W)/($AA259+SUMIF(IGA_BD!$F:$F,$A259,IGA_BD!$W:$W)),"")</f>
        <v/>
      </c>
      <c r="R259" s="141" t="str">
        <f>IFERROR(1-SUMIF(Grid_BD!$F:$F,$A259,Grid_BD!$Y:$Y)/($AA259+SUMIF(Grid_BD!$F:$F,$A259,Grid_BD!$Y:$Y)),"")</f>
        <v/>
      </c>
      <c r="S259" s="108"/>
      <c r="T259" s="140"/>
      <c r="U259" s="141"/>
      <c r="V259" s="108"/>
      <c r="W259" s="142" t="str">
        <f t="shared" si="26"/>
        <v/>
      </c>
      <c r="X259" s="108" t="str">
        <f>IFERROR(_xlfn.XLOOKUP($A259,Input_Raw!$A:$A,Input_Raw!$CP:$CP)*1000,"")</f>
        <v/>
      </c>
      <c r="Y259" s="108" t="str">
        <f>IFERROR(_xlfn.XLOOKUP($A259,Input_Raw!$A:$A,Input_Raw!DJ:DJ)*1000,"")</f>
        <v/>
      </c>
      <c r="Z259" s="108" t="str">
        <f>IFERROR(_xlfn.XLOOKUP($A259,Input_Raw!$A:$A,Input_Raw!DK:DK)*1000,"")</f>
        <v/>
      </c>
      <c r="AA259" s="138" t="str">
        <f t="shared" si="27"/>
        <v/>
      </c>
      <c r="AB259" s="108" t="str">
        <f>IFERROR(_xlfn.XLOOKUP($A259,Input_Raw!$A:$A,Input_Raw!$DR:$DR),"")</f>
        <v/>
      </c>
      <c r="AC259" s="143">
        <f>IFERROR(_xlfn.XLOOKUP($D259,'Modelling New'!$D:$D,'Modelling New'!$J:$J),"")</f>
        <v>4.79</v>
      </c>
      <c r="AD259" s="138">
        <f>IFERROR(_xlfn.XLOOKUP($D259,'Modelling New'!$D:$D,'Modelling New'!$T:$T)*1000,"")</f>
        <v>233936.54337157667</v>
      </c>
      <c r="AE259" s="142"/>
      <c r="AF259" s="142">
        <f>IFERROR(_xlfn.XLOOKUP($D259,'Modelling New'!$D:$D,'Modelling New'!$W:$W),"")</f>
        <v>0.13845676099170021</v>
      </c>
      <c r="AG259" s="142">
        <f>IFERROR(_xlfn.XLOOKUP($D259,'Modelling New'!$D:$D,'Modelling New'!$AE:$AE),"")</f>
        <v>0.96029999999999993</v>
      </c>
      <c r="AH259" s="142">
        <f>IFERROR(_xlfn.XLOOKUP($D259,'Modelling New'!$D:$D,'Modelling New'!$AF:$AF),"")</f>
        <v>0.995</v>
      </c>
      <c r="AI259" s="109" t="str">
        <f>IFERROR(_xlfn.XLOOKUP($A259,Input_Raw!$A:$A,Input_Raw!$DP:$DP),"")</f>
        <v/>
      </c>
      <c r="AJ259" s="108"/>
      <c r="AK259" s="108"/>
      <c r="AL259" s="108"/>
      <c r="AM259" s="108"/>
      <c r="AN259" s="132" t="str">
        <f>IFERROR(_xlfn.XLOOKUP($A259,Input_Raw!$A:$A,Input_Raw!$DL:$DL),"")</f>
        <v/>
      </c>
      <c r="AO259" s="142" t="str">
        <f>IFERROR((_xlfn.XLOOKUP($A259,'WTG Reactive Power'!$A:$A,'WTG Reactive Power'!$AW:$AW))/X259,"")</f>
        <v/>
      </c>
      <c r="AP259" s="142">
        <f>IFERROR(_xlfn.XLOOKUP($D259,'Modelling New'!$D:$D,'Modelling New'!$AK:$AK),"")</f>
        <v>0.05</v>
      </c>
      <c r="AQ259" s="142">
        <f>IFERROR(_xlfn.XLOOKUP($D259,'Modelling New'!$D:$D,'Modelling New'!$AL:$AL),"")</f>
        <v>0.05</v>
      </c>
      <c r="AR259" s="198">
        <f>IFERROR(_xlfn.XLOOKUP($D259,'Modelling New'!$D:$D,'Modelling New'!$N:$N),"")</f>
        <v>70.400000000000006</v>
      </c>
      <c r="AS259" s="198"/>
    </row>
    <row r="260" spans="1:45">
      <c r="A260" s="137">
        <f t="shared" si="28"/>
        <v>46003</v>
      </c>
      <c r="B260" s="138">
        <f>YEAR(Daily_KPI[[#This Row],[Date]])+IF(MONTH(Daily_KPI[[#This Row],[Date]])&gt;=4,1,0)</f>
        <v>2026</v>
      </c>
      <c r="C260" s="108">
        <f>YEAR(Daily_KPI[[#This Row],[Date]])</f>
        <v>2025</v>
      </c>
      <c r="D260" s="139">
        <f>Daily_KPI[[#This Row],[Date]]-DAY(Daily_KPI[[#This Row],[Date]])+1</f>
        <v>45992</v>
      </c>
      <c r="E260" s="108">
        <f t="shared" si="24"/>
        <v>31</v>
      </c>
      <c r="F260" s="109"/>
      <c r="G260" s="143"/>
      <c r="H260" s="143"/>
      <c r="I260" s="143"/>
      <c r="J260" s="143"/>
      <c r="K260" s="111"/>
      <c r="L260" s="110"/>
      <c r="M260" s="110" t="str">
        <f>IFERROR(_xlfn.XLOOKUP($A260,Input_Raw!$A:$A,Input_Raw!$CQ:$CQ),"")</f>
        <v/>
      </c>
      <c r="N260" s="110" t="str">
        <f>IFERROR(_xlfn.XLOOKUP($A260,Input_Raw!$A:$A,Input_Raw!$CR:$CR),"")</f>
        <v/>
      </c>
      <c r="O260" s="141" t="str">
        <f t="shared" si="25"/>
        <v/>
      </c>
      <c r="P260" s="141" t="str">
        <f>IFERROR(1-SUMIF(WTG_BD!$F:$F,$A260,WTG_BD!$AA:$AA)/($AA260+SUMIF(WTG_BD!$F:$F,$A260,WTG_BD!$AA:$AA)),"")</f>
        <v/>
      </c>
      <c r="Q260" s="141" t="str">
        <f>IFERROR(1-SUMIF(IGA_BD!$F:$F,$A260,IGA_BD!$W:$W)/($AA260+SUMIF(IGA_BD!$F:$F,$A260,IGA_BD!$W:$W)),"")</f>
        <v/>
      </c>
      <c r="R260" s="141" t="str">
        <f>IFERROR(1-SUMIF(Grid_BD!$F:$F,$A260,Grid_BD!$Y:$Y)/($AA260+SUMIF(Grid_BD!$F:$F,$A260,Grid_BD!$Y:$Y)),"")</f>
        <v/>
      </c>
      <c r="S260" s="108"/>
      <c r="T260" s="140"/>
      <c r="U260" s="141"/>
      <c r="V260" s="108"/>
      <c r="W260" s="142" t="str">
        <f t="shared" si="26"/>
        <v/>
      </c>
      <c r="X260" s="108" t="str">
        <f>IFERROR(_xlfn.XLOOKUP($A260,Input_Raw!$A:$A,Input_Raw!$CP:$CP)*1000,"")</f>
        <v/>
      </c>
      <c r="Y260" s="108" t="str">
        <f>IFERROR(_xlfn.XLOOKUP($A260,Input_Raw!$A:$A,Input_Raw!DJ:DJ)*1000,"")</f>
        <v/>
      </c>
      <c r="Z260" s="108" t="str">
        <f>IFERROR(_xlfn.XLOOKUP($A260,Input_Raw!$A:$A,Input_Raw!DK:DK)*1000,"")</f>
        <v/>
      </c>
      <c r="AA260" s="138" t="str">
        <f t="shared" si="27"/>
        <v/>
      </c>
      <c r="AB260" s="108" t="str">
        <f>IFERROR(_xlfn.XLOOKUP($A260,Input_Raw!$A:$A,Input_Raw!$DR:$DR),"")</f>
        <v/>
      </c>
      <c r="AC260" s="143">
        <f>IFERROR(_xlfn.XLOOKUP($D260,'Modelling New'!$D:$D,'Modelling New'!$J:$J),"")</f>
        <v>4.79</v>
      </c>
      <c r="AD260" s="138">
        <f>IFERROR(_xlfn.XLOOKUP($D260,'Modelling New'!$D:$D,'Modelling New'!$T:$T)*1000,"")</f>
        <v>233936.54337157667</v>
      </c>
      <c r="AE260" s="142"/>
      <c r="AF260" s="142">
        <f>IFERROR(_xlfn.XLOOKUP($D260,'Modelling New'!$D:$D,'Modelling New'!$W:$W),"")</f>
        <v>0.13845676099170021</v>
      </c>
      <c r="AG260" s="142">
        <f>IFERROR(_xlfn.XLOOKUP($D260,'Modelling New'!$D:$D,'Modelling New'!$AE:$AE),"")</f>
        <v>0.96029999999999993</v>
      </c>
      <c r="AH260" s="142">
        <f>IFERROR(_xlfn.XLOOKUP($D260,'Modelling New'!$D:$D,'Modelling New'!$AF:$AF),"")</f>
        <v>0.995</v>
      </c>
      <c r="AI260" s="109" t="str">
        <f>IFERROR(_xlfn.XLOOKUP($A260,Input_Raw!$A:$A,Input_Raw!$DP:$DP),"")</f>
        <v/>
      </c>
      <c r="AJ260" s="108"/>
      <c r="AK260" s="108"/>
      <c r="AL260" s="108"/>
      <c r="AM260" s="108"/>
      <c r="AN260" s="132" t="str">
        <f>IFERROR(_xlfn.XLOOKUP($A260,Input_Raw!$A:$A,Input_Raw!$DL:$DL),"")</f>
        <v/>
      </c>
      <c r="AO260" s="142" t="str">
        <f>IFERROR((_xlfn.XLOOKUP($A260,'WTG Reactive Power'!$A:$A,'WTG Reactive Power'!$AW:$AW))/X260,"")</f>
        <v/>
      </c>
      <c r="AP260" s="142">
        <f>IFERROR(_xlfn.XLOOKUP($D260,'Modelling New'!$D:$D,'Modelling New'!$AK:$AK),"")</f>
        <v>0.05</v>
      </c>
      <c r="AQ260" s="142">
        <f>IFERROR(_xlfn.XLOOKUP($D260,'Modelling New'!$D:$D,'Modelling New'!$AL:$AL),"")</f>
        <v>0.05</v>
      </c>
      <c r="AR260" s="198">
        <f>IFERROR(_xlfn.XLOOKUP($D260,'Modelling New'!$D:$D,'Modelling New'!$N:$N),"")</f>
        <v>70.400000000000006</v>
      </c>
      <c r="AS260" s="198"/>
    </row>
    <row r="261" spans="1:45">
      <c r="A261" s="137">
        <f t="shared" si="28"/>
        <v>46004</v>
      </c>
      <c r="B261" s="138">
        <f>YEAR(Daily_KPI[[#This Row],[Date]])+IF(MONTH(Daily_KPI[[#This Row],[Date]])&gt;=4,1,0)</f>
        <v>2026</v>
      </c>
      <c r="C261" s="108">
        <f>YEAR(Daily_KPI[[#This Row],[Date]])</f>
        <v>2025</v>
      </c>
      <c r="D261" s="139">
        <f>Daily_KPI[[#This Row],[Date]]-DAY(Daily_KPI[[#This Row],[Date]])+1</f>
        <v>45992</v>
      </c>
      <c r="E261" s="108">
        <f t="shared" si="24"/>
        <v>31</v>
      </c>
      <c r="F261" s="109"/>
      <c r="G261" s="110"/>
      <c r="H261" s="110"/>
      <c r="I261" s="110"/>
      <c r="J261" s="110"/>
      <c r="K261" s="111"/>
      <c r="L261" s="110"/>
      <c r="M261" s="110" t="str">
        <f>IFERROR(_xlfn.XLOOKUP($A261,Input_Raw!$A:$A,Input_Raw!$CQ:$CQ),"")</f>
        <v/>
      </c>
      <c r="N261" s="110" t="str">
        <f>IFERROR(_xlfn.XLOOKUP($A261,Input_Raw!$A:$A,Input_Raw!$CR:$CR),"")</f>
        <v/>
      </c>
      <c r="O261" s="141" t="str">
        <f t="shared" si="25"/>
        <v/>
      </c>
      <c r="P261" s="141" t="str">
        <f>IFERROR(1-SUMIF(WTG_BD!$F:$F,$A261,WTG_BD!$AA:$AA)/($AA261+SUMIF(WTG_BD!$F:$F,$A261,WTG_BD!$AA:$AA)),"")</f>
        <v/>
      </c>
      <c r="Q261" s="141" t="str">
        <f>IFERROR(1-SUMIF(IGA_BD!$F:$F,$A261,IGA_BD!$W:$W)/($AA261+SUMIF(IGA_BD!$F:$F,$A261,IGA_BD!$W:$W)),"")</f>
        <v/>
      </c>
      <c r="R261" s="141" t="str">
        <f>IFERROR(1-SUMIF(Grid_BD!$F:$F,$A261,Grid_BD!$Y:$Y)/($AA261+SUMIF(Grid_BD!$F:$F,$A261,Grid_BD!$Y:$Y)),"")</f>
        <v/>
      </c>
      <c r="S261" s="108"/>
      <c r="T261" s="140"/>
      <c r="U261" s="141"/>
      <c r="V261" s="108"/>
      <c r="W261" s="142" t="str">
        <f t="shared" si="26"/>
        <v/>
      </c>
      <c r="X261" s="108" t="str">
        <f>IFERROR(_xlfn.XLOOKUP($A261,Input_Raw!$A:$A,Input_Raw!$CP:$CP)*1000,"")</f>
        <v/>
      </c>
      <c r="Y261" s="108" t="str">
        <f>IFERROR(_xlfn.XLOOKUP($A261,Input_Raw!$A:$A,Input_Raw!DJ:DJ)*1000,"")</f>
        <v/>
      </c>
      <c r="Z261" s="108" t="str">
        <f>IFERROR(_xlfn.XLOOKUP($A261,Input_Raw!$A:$A,Input_Raw!DK:DK)*1000,"")</f>
        <v/>
      </c>
      <c r="AA261" s="138" t="str">
        <f t="shared" si="27"/>
        <v/>
      </c>
      <c r="AB261" s="108" t="str">
        <f>IFERROR(_xlfn.XLOOKUP($A261,Input_Raw!$A:$A,Input_Raw!$DR:$DR),"")</f>
        <v/>
      </c>
      <c r="AC261" s="143">
        <f>IFERROR(_xlfn.XLOOKUP($D261,'Modelling New'!$D:$D,'Modelling New'!$J:$J),"")</f>
        <v>4.79</v>
      </c>
      <c r="AD261" s="138">
        <f>IFERROR(_xlfn.XLOOKUP($D261,'Modelling New'!$D:$D,'Modelling New'!$T:$T)*1000,"")</f>
        <v>233936.54337157667</v>
      </c>
      <c r="AE261" s="142"/>
      <c r="AF261" s="142">
        <f>IFERROR(_xlfn.XLOOKUP($D261,'Modelling New'!$D:$D,'Modelling New'!$W:$W),"")</f>
        <v>0.13845676099170021</v>
      </c>
      <c r="AG261" s="142">
        <f>IFERROR(_xlfn.XLOOKUP($D261,'Modelling New'!$D:$D,'Modelling New'!$AE:$AE),"")</f>
        <v>0.96029999999999993</v>
      </c>
      <c r="AH261" s="142">
        <f>IFERROR(_xlfn.XLOOKUP($D261,'Modelling New'!$D:$D,'Modelling New'!$AF:$AF),"")</f>
        <v>0.995</v>
      </c>
      <c r="AI261" s="109" t="str">
        <f>IFERROR(_xlfn.XLOOKUP($A261,Input_Raw!$A:$A,Input_Raw!$DP:$DP),"")</f>
        <v/>
      </c>
      <c r="AJ261" s="108"/>
      <c r="AK261" s="108"/>
      <c r="AL261" s="108"/>
      <c r="AM261" s="108"/>
      <c r="AN261" s="132" t="str">
        <f>IFERROR(_xlfn.XLOOKUP($A261,Input_Raw!$A:$A,Input_Raw!$DL:$DL),"")</f>
        <v/>
      </c>
      <c r="AO261" s="142" t="str">
        <f>IFERROR((_xlfn.XLOOKUP($A261,'WTG Reactive Power'!$A:$A,'WTG Reactive Power'!$AW:$AW))/X261,"")</f>
        <v/>
      </c>
      <c r="AP261" s="142">
        <f>IFERROR(_xlfn.XLOOKUP($D261,'Modelling New'!$D:$D,'Modelling New'!$AK:$AK),"")</f>
        <v>0.05</v>
      </c>
      <c r="AQ261" s="142">
        <f>IFERROR(_xlfn.XLOOKUP($D261,'Modelling New'!$D:$D,'Modelling New'!$AL:$AL),"")</f>
        <v>0.05</v>
      </c>
      <c r="AR261" s="198">
        <f>IFERROR(_xlfn.XLOOKUP($D261,'Modelling New'!$D:$D,'Modelling New'!$N:$N),"")</f>
        <v>70.400000000000006</v>
      </c>
      <c r="AS261" s="198"/>
    </row>
    <row r="262" spans="1:45">
      <c r="A262" s="137">
        <f t="shared" si="28"/>
        <v>46005</v>
      </c>
      <c r="B262" s="138">
        <f>YEAR(Daily_KPI[[#This Row],[Date]])+IF(MONTH(Daily_KPI[[#This Row],[Date]])&gt;=4,1,0)</f>
        <v>2026</v>
      </c>
      <c r="C262" s="108">
        <f>YEAR(Daily_KPI[[#This Row],[Date]])</f>
        <v>2025</v>
      </c>
      <c r="D262" s="139">
        <f>Daily_KPI[[#This Row],[Date]]-DAY(Daily_KPI[[#This Row],[Date]])+1</f>
        <v>45992</v>
      </c>
      <c r="E262" s="108">
        <f t="shared" si="24"/>
        <v>31</v>
      </c>
      <c r="F262" s="109"/>
      <c r="G262" s="143"/>
      <c r="H262" s="143"/>
      <c r="I262" s="143"/>
      <c r="J262" s="143"/>
      <c r="K262" s="111"/>
      <c r="L262" s="110"/>
      <c r="M262" s="110" t="str">
        <f>IFERROR(_xlfn.XLOOKUP($A262,Input_Raw!$A:$A,Input_Raw!$CQ:$CQ),"")</f>
        <v/>
      </c>
      <c r="N262" s="110" t="str">
        <f>IFERROR(_xlfn.XLOOKUP($A262,Input_Raw!$A:$A,Input_Raw!$CR:$CR),"")</f>
        <v/>
      </c>
      <c r="O262" s="141" t="str">
        <f t="shared" si="25"/>
        <v/>
      </c>
      <c r="P262" s="141" t="str">
        <f>IFERROR(1-SUMIF(WTG_BD!$F:$F,$A262,WTG_BD!$AA:$AA)/($AA262+SUMIF(WTG_BD!$F:$F,$A262,WTG_BD!$AA:$AA)),"")</f>
        <v/>
      </c>
      <c r="Q262" s="141" t="str">
        <f>IFERROR(1-SUMIF(IGA_BD!$F:$F,$A262,IGA_BD!$W:$W)/($AA262+SUMIF(IGA_BD!$F:$F,$A262,IGA_BD!$W:$W)),"")</f>
        <v/>
      </c>
      <c r="R262" s="141" t="str">
        <f>IFERROR(1-SUMIF(Grid_BD!$F:$F,$A262,Grid_BD!$Y:$Y)/($AA262+SUMIF(Grid_BD!$F:$F,$A262,Grid_BD!$Y:$Y)),"")</f>
        <v/>
      </c>
      <c r="S262" s="108"/>
      <c r="T262" s="140"/>
      <c r="U262" s="141"/>
      <c r="V262" s="108"/>
      <c r="W262" s="142" t="str">
        <f t="shared" si="26"/>
        <v/>
      </c>
      <c r="X262" s="108" t="str">
        <f>IFERROR(_xlfn.XLOOKUP($A262,Input_Raw!$A:$A,Input_Raw!$CP:$CP)*1000,"")</f>
        <v/>
      </c>
      <c r="Y262" s="108" t="str">
        <f>IFERROR(_xlfn.XLOOKUP($A262,Input_Raw!$A:$A,Input_Raw!DJ:DJ)*1000,"")</f>
        <v/>
      </c>
      <c r="Z262" s="108" t="str">
        <f>IFERROR(_xlfn.XLOOKUP($A262,Input_Raw!$A:$A,Input_Raw!DK:DK)*1000,"")</f>
        <v/>
      </c>
      <c r="AA262" s="138" t="str">
        <f t="shared" si="27"/>
        <v/>
      </c>
      <c r="AB262" s="108" t="str">
        <f>IFERROR(_xlfn.XLOOKUP($A262,Input_Raw!$A:$A,Input_Raw!$DR:$DR),"")</f>
        <v/>
      </c>
      <c r="AC262" s="143">
        <f>IFERROR(_xlfn.XLOOKUP($D262,'Modelling New'!$D:$D,'Modelling New'!$J:$J),"")</f>
        <v>4.79</v>
      </c>
      <c r="AD262" s="138">
        <f>IFERROR(_xlfn.XLOOKUP($D262,'Modelling New'!$D:$D,'Modelling New'!$T:$T)*1000,"")</f>
        <v>233936.54337157667</v>
      </c>
      <c r="AE262" s="142"/>
      <c r="AF262" s="142">
        <f>IFERROR(_xlfn.XLOOKUP($D262,'Modelling New'!$D:$D,'Modelling New'!$W:$W),"")</f>
        <v>0.13845676099170021</v>
      </c>
      <c r="AG262" s="142">
        <f>IFERROR(_xlfn.XLOOKUP($D262,'Modelling New'!$D:$D,'Modelling New'!$AE:$AE),"")</f>
        <v>0.96029999999999993</v>
      </c>
      <c r="AH262" s="142">
        <f>IFERROR(_xlfn.XLOOKUP($D262,'Modelling New'!$D:$D,'Modelling New'!$AF:$AF),"")</f>
        <v>0.995</v>
      </c>
      <c r="AI262" s="109" t="str">
        <f>IFERROR(_xlfn.XLOOKUP($A262,Input_Raw!$A:$A,Input_Raw!$DP:$DP),"")</f>
        <v/>
      </c>
      <c r="AJ262" s="108"/>
      <c r="AK262" s="108"/>
      <c r="AL262" s="108"/>
      <c r="AM262" s="108"/>
      <c r="AN262" s="132" t="str">
        <f>IFERROR(_xlfn.XLOOKUP($A262,Input_Raw!$A:$A,Input_Raw!$DL:$DL),"")</f>
        <v/>
      </c>
      <c r="AO262" s="142" t="str">
        <f>IFERROR((_xlfn.XLOOKUP($A262,'WTG Reactive Power'!$A:$A,'WTG Reactive Power'!$AW:$AW))/X262,"")</f>
        <v/>
      </c>
      <c r="AP262" s="142">
        <f>IFERROR(_xlfn.XLOOKUP($D262,'Modelling New'!$D:$D,'Modelling New'!$AK:$AK),"")</f>
        <v>0.05</v>
      </c>
      <c r="AQ262" s="142">
        <f>IFERROR(_xlfn.XLOOKUP($D262,'Modelling New'!$D:$D,'Modelling New'!$AL:$AL),"")</f>
        <v>0.05</v>
      </c>
      <c r="AR262" s="198">
        <f>IFERROR(_xlfn.XLOOKUP($D262,'Modelling New'!$D:$D,'Modelling New'!$N:$N),"")</f>
        <v>70.400000000000006</v>
      </c>
      <c r="AS262" s="198"/>
    </row>
    <row r="263" spans="1:45">
      <c r="A263" s="137">
        <f t="shared" si="28"/>
        <v>46006</v>
      </c>
      <c r="B263" s="138">
        <f>YEAR(Daily_KPI[[#This Row],[Date]])+IF(MONTH(Daily_KPI[[#This Row],[Date]])&gt;=4,1,0)</f>
        <v>2026</v>
      </c>
      <c r="C263" s="108">
        <f>YEAR(Daily_KPI[[#This Row],[Date]])</f>
        <v>2025</v>
      </c>
      <c r="D263" s="139">
        <f>Daily_KPI[[#This Row],[Date]]-DAY(Daily_KPI[[#This Row],[Date]])+1</f>
        <v>45992</v>
      </c>
      <c r="E263" s="108">
        <f t="shared" si="24"/>
        <v>31</v>
      </c>
      <c r="F263" s="109"/>
      <c r="G263" s="110"/>
      <c r="H263" s="110"/>
      <c r="I263" s="110"/>
      <c r="J263" s="110"/>
      <c r="K263" s="111"/>
      <c r="L263" s="110"/>
      <c r="M263" s="110" t="str">
        <f>IFERROR(_xlfn.XLOOKUP($A263,Input_Raw!$A:$A,Input_Raw!$CQ:$CQ),"")</f>
        <v/>
      </c>
      <c r="N263" s="110" t="str">
        <f>IFERROR(_xlfn.XLOOKUP($A263,Input_Raw!$A:$A,Input_Raw!$CR:$CR),"")</f>
        <v/>
      </c>
      <c r="O263" s="141" t="str">
        <f t="shared" si="25"/>
        <v/>
      </c>
      <c r="P263" s="141" t="str">
        <f>IFERROR(1-SUMIF(WTG_BD!$F:$F,$A263,WTG_BD!$AA:$AA)/($AA263+SUMIF(WTG_BD!$F:$F,$A263,WTG_BD!$AA:$AA)),"")</f>
        <v/>
      </c>
      <c r="Q263" s="141" t="str">
        <f>IFERROR(1-SUMIF(IGA_BD!$F:$F,$A263,IGA_BD!$W:$W)/($AA263+SUMIF(IGA_BD!$F:$F,$A263,IGA_BD!$W:$W)),"")</f>
        <v/>
      </c>
      <c r="R263" s="141" t="str">
        <f>IFERROR(1-SUMIF(Grid_BD!$F:$F,$A263,Grid_BD!$Y:$Y)/($AA263+SUMIF(Grid_BD!$F:$F,$A263,Grid_BD!$Y:$Y)),"")</f>
        <v/>
      </c>
      <c r="S263" s="108"/>
      <c r="T263" s="140"/>
      <c r="U263" s="141"/>
      <c r="V263" s="108"/>
      <c r="W263" s="142" t="str">
        <f t="shared" si="26"/>
        <v/>
      </c>
      <c r="X263" s="108" t="str">
        <f>IFERROR(_xlfn.XLOOKUP($A263,Input_Raw!$A:$A,Input_Raw!$CP:$CP)*1000,"")</f>
        <v/>
      </c>
      <c r="Y263" s="108" t="str">
        <f>IFERROR(_xlfn.XLOOKUP($A263,Input_Raw!$A:$A,Input_Raw!DJ:DJ)*1000,"")</f>
        <v/>
      </c>
      <c r="Z263" s="108" t="str">
        <f>IFERROR(_xlfn.XLOOKUP($A263,Input_Raw!$A:$A,Input_Raw!DK:DK)*1000,"")</f>
        <v/>
      </c>
      <c r="AA263" s="138" t="str">
        <f t="shared" si="27"/>
        <v/>
      </c>
      <c r="AB263" s="108" t="str">
        <f>IFERROR(_xlfn.XLOOKUP($A263,Input_Raw!$A:$A,Input_Raw!$DR:$DR),"")</f>
        <v/>
      </c>
      <c r="AC263" s="143">
        <f>IFERROR(_xlfn.XLOOKUP($D263,'Modelling New'!$D:$D,'Modelling New'!$J:$J),"")</f>
        <v>4.79</v>
      </c>
      <c r="AD263" s="138">
        <f>IFERROR(_xlfn.XLOOKUP($D263,'Modelling New'!$D:$D,'Modelling New'!$T:$T)*1000,"")</f>
        <v>233936.54337157667</v>
      </c>
      <c r="AE263" s="142"/>
      <c r="AF263" s="142">
        <f>IFERROR(_xlfn.XLOOKUP($D263,'Modelling New'!$D:$D,'Modelling New'!$W:$W),"")</f>
        <v>0.13845676099170021</v>
      </c>
      <c r="AG263" s="142">
        <f>IFERROR(_xlfn.XLOOKUP($D263,'Modelling New'!$D:$D,'Modelling New'!$AE:$AE),"")</f>
        <v>0.96029999999999993</v>
      </c>
      <c r="AH263" s="142">
        <f>IFERROR(_xlfn.XLOOKUP($D263,'Modelling New'!$D:$D,'Modelling New'!$AF:$AF),"")</f>
        <v>0.995</v>
      </c>
      <c r="AI263" s="109" t="str">
        <f>IFERROR(_xlfn.XLOOKUP($A263,Input_Raw!$A:$A,Input_Raw!$DP:$DP),"")</f>
        <v/>
      </c>
      <c r="AJ263" s="108"/>
      <c r="AK263" s="108"/>
      <c r="AL263" s="108"/>
      <c r="AM263" s="108"/>
      <c r="AN263" s="132" t="str">
        <f>IFERROR(_xlfn.XLOOKUP($A263,Input_Raw!$A:$A,Input_Raw!$DL:$DL),"")</f>
        <v/>
      </c>
      <c r="AO263" s="142" t="str">
        <f>IFERROR((_xlfn.XLOOKUP($A263,'WTG Reactive Power'!$A:$A,'WTG Reactive Power'!$AW:$AW))/X263,"")</f>
        <v/>
      </c>
      <c r="AP263" s="142">
        <f>IFERROR(_xlfn.XLOOKUP($D263,'Modelling New'!$D:$D,'Modelling New'!$AK:$AK),"")</f>
        <v>0.05</v>
      </c>
      <c r="AQ263" s="142">
        <f>IFERROR(_xlfn.XLOOKUP($D263,'Modelling New'!$D:$D,'Modelling New'!$AL:$AL),"")</f>
        <v>0.05</v>
      </c>
      <c r="AR263" s="198">
        <f>IFERROR(_xlfn.XLOOKUP($D263,'Modelling New'!$D:$D,'Modelling New'!$N:$N),"")</f>
        <v>70.400000000000006</v>
      </c>
      <c r="AS263" s="198"/>
    </row>
    <row r="264" spans="1:45">
      <c r="A264" s="137">
        <f t="shared" si="28"/>
        <v>46007</v>
      </c>
      <c r="B264" s="138">
        <f>YEAR(Daily_KPI[[#This Row],[Date]])+IF(MONTH(Daily_KPI[[#This Row],[Date]])&gt;=4,1,0)</f>
        <v>2026</v>
      </c>
      <c r="C264" s="108">
        <f>YEAR(Daily_KPI[[#This Row],[Date]])</f>
        <v>2025</v>
      </c>
      <c r="D264" s="139">
        <f>Daily_KPI[[#This Row],[Date]]-DAY(Daily_KPI[[#This Row],[Date]])+1</f>
        <v>45992</v>
      </c>
      <c r="E264" s="108">
        <f t="shared" si="24"/>
        <v>31</v>
      </c>
      <c r="F264" s="109"/>
      <c r="G264" s="143"/>
      <c r="H264" s="143"/>
      <c r="I264" s="143"/>
      <c r="J264" s="143"/>
      <c r="K264" s="111"/>
      <c r="L264" s="110"/>
      <c r="M264" s="110" t="str">
        <f>IFERROR(_xlfn.XLOOKUP($A264,Input_Raw!$A:$A,Input_Raw!$CQ:$CQ),"")</f>
        <v/>
      </c>
      <c r="N264" s="110" t="str">
        <f>IFERROR(_xlfn.XLOOKUP($A264,Input_Raw!$A:$A,Input_Raw!$CR:$CR),"")</f>
        <v/>
      </c>
      <c r="O264" s="141" t="str">
        <f t="shared" si="25"/>
        <v/>
      </c>
      <c r="P264" s="141" t="str">
        <f>IFERROR(1-SUMIF(WTG_BD!$F:$F,$A264,WTG_BD!$AA:$AA)/($AA264+SUMIF(WTG_BD!$F:$F,$A264,WTG_BD!$AA:$AA)),"")</f>
        <v/>
      </c>
      <c r="Q264" s="141" t="str">
        <f>IFERROR(1-SUMIF(IGA_BD!$F:$F,$A264,IGA_BD!$W:$W)/($AA264+SUMIF(IGA_BD!$F:$F,$A264,IGA_BD!$W:$W)),"")</f>
        <v/>
      </c>
      <c r="R264" s="141" t="str">
        <f>IFERROR(1-SUMIF(Grid_BD!$F:$F,$A264,Grid_BD!$Y:$Y)/($AA264+SUMIF(Grid_BD!$F:$F,$A264,Grid_BD!$Y:$Y)),"")</f>
        <v/>
      </c>
      <c r="S264" s="108"/>
      <c r="T264" s="140"/>
      <c r="U264" s="141"/>
      <c r="V264" s="108"/>
      <c r="W264" s="142" t="str">
        <f t="shared" si="26"/>
        <v/>
      </c>
      <c r="X264" s="108" t="str">
        <f>IFERROR(_xlfn.XLOOKUP($A264,Input_Raw!$A:$A,Input_Raw!$CP:$CP)*1000,"")</f>
        <v/>
      </c>
      <c r="Y264" s="108" t="str">
        <f>IFERROR(_xlfn.XLOOKUP($A264,Input_Raw!$A:$A,Input_Raw!DJ:DJ)*1000,"")</f>
        <v/>
      </c>
      <c r="Z264" s="108" t="str">
        <f>IFERROR(_xlfn.XLOOKUP($A264,Input_Raw!$A:$A,Input_Raw!DK:DK)*1000,"")</f>
        <v/>
      </c>
      <c r="AA264" s="138" t="str">
        <f t="shared" si="27"/>
        <v/>
      </c>
      <c r="AB264" s="108" t="str">
        <f>IFERROR(_xlfn.XLOOKUP($A264,Input_Raw!$A:$A,Input_Raw!$DR:$DR),"")</f>
        <v/>
      </c>
      <c r="AC264" s="143">
        <f>IFERROR(_xlfn.XLOOKUP($D264,'Modelling New'!$D:$D,'Modelling New'!$J:$J),"")</f>
        <v>4.79</v>
      </c>
      <c r="AD264" s="138">
        <f>IFERROR(_xlfn.XLOOKUP($D264,'Modelling New'!$D:$D,'Modelling New'!$T:$T)*1000,"")</f>
        <v>233936.54337157667</v>
      </c>
      <c r="AE264" s="142"/>
      <c r="AF264" s="142">
        <f>IFERROR(_xlfn.XLOOKUP($D264,'Modelling New'!$D:$D,'Modelling New'!$W:$W),"")</f>
        <v>0.13845676099170021</v>
      </c>
      <c r="AG264" s="142">
        <f>IFERROR(_xlfn.XLOOKUP($D264,'Modelling New'!$D:$D,'Modelling New'!$AE:$AE),"")</f>
        <v>0.96029999999999993</v>
      </c>
      <c r="AH264" s="142">
        <f>IFERROR(_xlfn.XLOOKUP($D264,'Modelling New'!$D:$D,'Modelling New'!$AF:$AF),"")</f>
        <v>0.995</v>
      </c>
      <c r="AI264" s="109" t="str">
        <f>IFERROR(_xlfn.XLOOKUP($A264,Input_Raw!$A:$A,Input_Raw!$DP:$DP),"")</f>
        <v/>
      </c>
      <c r="AJ264" s="108"/>
      <c r="AK264" s="108"/>
      <c r="AL264" s="108"/>
      <c r="AM264" s="108"/>
      <c r="AN264" s="132" t="str">
        <f>IFERROR(_xlfn.XLOOKUP($A264,Input_Raw!$A:$A,Input_Raw!$DL:$DL),"")</f>
        <v/>
      </c>
      <c r="AO264" s="142" t="str">
        <f>IFERROR((_xlfn.XLOOKUP($A264,'WTG Reactive Power'!$A:$A,'WTG Reactive Power'!$AW:$AW))/X264,"")</f>
        <v/>
      </c>
      <c r="AP264" s="142">
        <f>IFERROR(_xlfn.XLOOKUP($D264,'Modelling New'!$D:$D,'Modelling New'!$AK:$AK),"")</f>
        <v>0.05</v>
      </c>
      <c r="AQ264" s="142">
        <f>IFERROR(_xlfn.XLOOKUP($D264,'Modelling New'!$D:$D,'Modelling New'!$AL:$AL),"")</f>
        <v>0.05</v>
      </c>
      <c r="AR264" s="198">
        <f>IFERROR(_xlfn.XLOOKUP($D264,'Modelling New'!$D:$D,'Modelling New'!$N:$N),"")</f>
        <v>70.400000000000006</v>
      </c>
      <c r="AS264" s="198"/>
    </row>
    <row r="265" spans="1:45">
      <c r="A265" s="137">
        <f t="shared" si="28"/>
        <v>46008</v>
      </c>
      <c r="B265" s="138">
        <f>YEAR(Daily_KPI[[#This Row],[Date]])+IF(MONTH(Daily_KPI[[#This Row],[Date]])&gt;=4,1,0)</f>
        <v>2026</v>
      </c>
      <c r="C265" s="108">
        <f>YEAR(Daily_KPI[[#This Row],[Date]])</f>
        <v>2025</v>
      </c>
      <c r="D265" s="139">
        <f>Daily_KPI[[#This Row],[Date]]-DAY(Daily_KPI[[#This Row],[Date]])+1</f>
        <v>45992</v>
      </c>
      <c r="E265" s="108">
        <f t="shared" si="24"/>
        <v>31</v>
      </c>
      <c r="F265" s="109"/>
      <c r="G265" s="110"/>
      <c r="H265" s="110"/>
      <c r="I265" s="110"/>
      <c r="J265" s="110"/>
      <c r="K265" s="111"/>
      <c r="L265" s="110"/>
      <c r="M265" s="110" t="str">
        <f>IFERROR(_xlfn.XLOOKUP($A265,Input_Raw!$A:$A,Input_Raw!$CQ:$CQ),"")</f>
        <v/>
      </c>
      <c r="N265" s="110" t="str">
        <f>IFERROR(_xlfn.XLOOKUP($A265,Input_Raw!$A:$A,Input_Raw!$CR:$CR),"")</f>
        <v/>
      </c>
      <c r="O265" s="141" t="str">
        <f t="shared" si="25"/>
        <v/>
      </c>
      <c r="P265" s="141" t="str">
        <f>IFERROR(1-SUMIF(WTG_BD!$F:$F,$A265,WTG_BD!$AA:$AA)/($AA265+SUMIF(WTG_BD!$F:$F,$A265,WTG_BD!$AA:$AA)),"")</f>
        <v/>
      </c>
      <c r="Q265" s="141" t="str">
        <f>IFERROR(1-SUMIF(IGA_BD!$F:$F,$A265,IGA_BD!$W:$W)/($AA265+SUMIF(IGA_BD!$F:$F,$A265,IGA_BD!$W:$W)),"")</f>
        <v/>
      </c>
      <c r="R265" s="141" t="str">
        <f>IFERROR(1-SUMIF(Grid_BD!$F:$F,$A265,Grid_BD!$Y:$Y)/($AA265+SUMIF(Grid_BD!$F:$F,$A265,Grid_BD!$Y:$Y)),"")</f>
        <v/>
      </c>
      <c r="S265" s="108"/>
      <c r="T265" s="140"/>
      <c r="U265" s="141"/>
      <c r="V265" s="108"/>
      <c r="W265" s="142" t="str">
        <f t="shared" si="26"/>
        <v/>
      </c>
      <c r="X265" s="108" t="str">
        <f>IFERROR(_xlfn.XLOOKUP($A265,Input_Raw!$A:$A,Input_Raw!$CP:$CP)*1000,"")</f>
        <v/>
      </c>
      <c r="Y265" s="108" t="str">
        <f>IFERROR(_xlfn.XLOOKUP($A265,Input_Raw!$A:$A,Input_Raw!DJ:DJ)*1000,"")</f>
        <v/>
      </c>
      <c r="Z265" s="108" t="str">
        <f>IFERROR(_xlfn.XLOOKUP($A265,Input_Raw!$A:$A,Input_Raw!DK:DK)*1000,"")</f>
        <v/>
      </c>
      <c r="AA265" s="138" t="str">
        <f t="shared" si="27"/>
        <v/>
      </c>
      <c r="AB265" s="108" t="str">
        <f>IFERROR(_xlfn.XLOOKUP($A265,Input_Raw!$A:$A,Input_Raw!$DR:$DR),"")</f>
        <v/>
      </c>
      <c r="AC265" s="143">
        <f>IFERROR(_xlfn.XLOOKUP($D265,'Modelling New'!$D:$D,'Modelling New'!$J:$J),"")</f>
        <v>4.79</v>
      </c>
      <c r="AD265" s="138">
        <f>IFERROR(_xlfn.XLOOKUP($D265,'Modelling New'!$D:$D,'Modelling New'!$T:$T)*1000,"")</f>
        <v>233936.54337157667</v>
      </c>
      <c r="AE265" s="142"/>
      <c r="AF265" s="142">
        <f>IFERROR(_xlfn.XLOOKUP($D265,'Modelling New'!$D:$D,'Modelling New'!$W:$W),"")</f>
        <v>0.13845676099170021</v>
      </c>
      <c r="AG265" s="142">
        <f>IFERROR(_xlfn.XLOOKUP($D265,'Modelling New'!$D:$D,'Modelling New'!$AE:$AE),"")</f>
        <v>0.96029999999999993</v>
      </c>
      <c r="AH265" s="142">
        <f>IFERROR(_xlfn.XLOOKUP($D265,'Modelling New'!$D:$D,'Modelling New'!$AF:$AF),"")</f>
        <v>0.995</v>
      </c>
      <c r="AI265" s="109" t="str">
        <f>IFERROR(_xlfn.XLOOKUP($A265,Input_Raw!$A:$A,Input_Raw!$DP:$DP),"")</f>
        <v/>
      </c>
      <c r="AJ265" s="108"/>
      <c r="AK265" s="108"/>
      <c r="AL265" s="108"/>
      <c r="AM265" s="108"/>
      <c r="AN265" s="132" t="str">
        <f>IFERROR(_xlfn.XLOOKUP($A265,Input_Raw!$A:$A,Input_Raw!$DL:$DL),"")</f>
        <v/>
      </c>
      <c r="AO265" s="142" t="str">
        <f>IFERROR((_xlfn.XLOOKUP($A265,'WTG Reactive Power'!$A:$A,'WTG Reactive Power'!$AW:$AW))/X265,"")</f>
        <v/>
      </c>
      <c r="AP265" s="142">
        <f>IFERROR(_xlfn.XLOOKUP($D265,'Modelling New'!$D:$D,'Modelling New'!$AK:$AK),"")</f>
        <v>0.05</v>
      </c>
      <c r="AQ265" s="142">
        <f>IFERROR(_xlfn.XLOOKUP($D265,'Modelling New'!$D:$D,'Modelling New'!$AL:$AL),"")</f>
        <v>0.05</v>
      </c>
      <c r="AR265" s="198">
        <f>IFERROR(_xlfn.XLOOKUP($D265,'Modelling New'!$D:$D,'Modelling New'!$N:$N),"")</f>
        <v>70.400000000000006</v>
      </c>
      <c r="AS265" s="198"/>
    </row>
    <row r="266" spans="1:45">
      <c r="A266" s="137">
        <f t="shared" si="28"/>
        <v>46009</v>
      </c>
      <c r="B266" s="138">
        <f>YEAR(Daily_KPI[[#This Row],[Date]])+IF(MONTH(Daily_KPI[[#This Row],[Date]])&gt;=4,1,0)</f>
        <v>2026</v>
      </c>
      <c r="C266" s="108">
        <f>YEAR(Daily_KPI[[#This Row],[Date]])</f>
        <v>2025</v>
      </c>
      <c r="D266" s="139">
        <f>Daily_KPI[[#This Row],[Date]]-DAY(Daily_KPI[[#This Row],[Date]])+1</f>
        <v>45992</v>
      </c>
      <c r="E266" s="108">
        <f t="shared" si="24"/>
        <v>31</v>
      </c>
      <c r="F266" s="109"/>
      <c r="G266" s="143"/>
      <c r="H266" s="143"/>
      <c r="I266" s="143"/>
      <c r="J266" s="143"/>
      <c r="K266" s="111"/>
      <c r="L266" s="110"/>
      <c r="M266" s="110" t="str">
        <f>IFERROR(_xlfn.XLOOKUP($A266,Input_Raw!$A:$A,Input_Raw!$CQ:$CQ),"")</f>
        <v/>
      </c>
      <c r="N266" s="110" t="str">
        <f>IFERROR(_xlfn.XLOOKUP($A266,Input_Raw!$A:$A,Input_Raw!$CR:$CR),"")</f>
        <v/>
      </c>
      <c r="O266" s="141" t="str">
        <f t="shared" si="25"/>
        <v/>
      </c>
      <c r="P266" s="141" t="str">
        <f>IFERROR(1-SUMIF(WTG_BD!$F:$F,$A266,WTG_BD!$AA:$AA)/($AA266+SUMIF(WTG_BD!$F:$F,$A266,WTG_BD!$AA:$AA)),"")</f>
        <v/>
      </c>
      <c r="Q266" s="141" t="str">
        <f>IFERROR(1-SUMIF(IGA_BD!$F:$F,$A266,IGA_BD!$W:$W)/($AA266+SUMIF(IGA_BD!$F:$F,$A266,IGA_BD!$W:$W)),"")</f>
        <v/>
      </c>
      <c r="R266" s="141" t="str">
        <f>IFERROR(1-SUMIF(Grid_BD!$F:$F,$A266,Grid_BD!$Y:$Y)/($AA266+SUMIF(Grid_BD!$F:$F,$A266,Grid_BD!$Y:$Y)),"")</f>
        <v/>
      </c>
      <c r="S266" s="108"/>
      <c r="T266" s="140"/>
      <c r="U266" s="141"/>
      <c r="V266" s="108"/>
      <c r="W266" s="142" t="str">
        <f t="shared" si="26"/>
        <v/>
      </c>
      <c r="X266" s="108" t="str">
        <f>IFERROR(_xlfn.XLOOKUP($A266,Input_Raw!$A:$A,Input_Raw!$CP:$CP)*1000,"")</f>
        <v/>
      </c>
      <c r="Y266" s="108" t="str">
        <f>IFERROR(_xlfn.XLOOKUP($A266,Input_Raw!$A:$A,Input_Raw!DJ:DJ)*1000,"")</f>
        <v/>
      </c>
      <c r="Z266" s="108" t="str">
        <f>IFERROR(_xlfn.XLOOKUP($A266,Input_Raw!$A:$A,Input_Raw!DK:DK)*1000,"")</f>
        <v/>
      </c>
      <c r="AA266" s="138" t="str">
        <f t="shared" si="27"/>
        <v/>
      </c>
      <c r="AB266" s="108" t="str">
        <f>IFERROR(_xlfn.XLOOKUP($A266,Input_Raw!$A:$A,Input_Raw!$DR:$DR),"")</f>
        <v/>
      </c>
      <c r="AC266" s="143">
        <f>IFERROR(_xlfn.XLOOKUP($D266,'Modelling New'!$D:$D,'Modelling New'!$J:$J),"")</f>
        <v>4.79</v>
      </c>
      <c r="AD266" s="138">
        <f>IFERROR(_xlfn.XLOOKUP($D266,'Modelling New'!$D:$D,'Modelling New'!$T:$T)*1000,"")</f>
        <v>233936.54337157667</v>
      </c>
      <c r="AE266" s="142"/>
      <c r="AF266" s="142">
        <f>IFERROR(_xlfn.XLOOKUP($D266,'Modelling New'!$D:$D,'Modelling New'!$W:$W),"")</f>
        <v>0.13845676099170021</v>
      </c>
      <c r="AG266" s="142">
        <f>IFERROR(_xlfn.XLOOKUP($D266,'Modelling New'!$D:$D,'Modelling New'!$AE:$AE),"")</f>
        <v>0.96029999999999993</v>
      </c>
      <c r="AH266" s="142">
        <f>IFERROR(_xlfn.XLOOKUP($D266,'Modelling New'!$D:$D,'Modelling New'!$AF:$AF),"")</f>
        <v>0.995</v>
      </c>
      <c r="AI266" s="109" t="str">
        <f>IFERROR(_xlfn.XLOOKUP($A266,Input_Raw!$A:$A,Input_Raw!$DP:$DP),"")</f>
        <v/>
      </c>
      <c r="AJ266" s="108"/>
      <c r="AK266" s="108"/>
      <c r="AL266" s="108"/>
      <c r="AM266" s="108"/>
      <c r="AN266" s="132" t="str">
        <f>IFERROR(_xlfn.XLOOKUP($A266,Input_Raw!$A:$A,Input_Raw!$DL:$DL),"")</f>
        <v/>
      </c>
      <c r="AO266" s="142" t="str">
        <f>IFERROR((_xlfn.XLOOKUP($A266,'WTG Reactive Power'!$A:$A,'WTG Reactive Power'!$AW:$AW))/X266,"")</f>
        <v/>
      </c>
      <c r="AP266" s="142">
        <f>IFERROR(_xlfn.XLOOKUP($D266,'Modelling New'!$D:$D,'Modelling New'!$AK:$AK),"")</f>
        <v>0.05</v>
      </c>
      <c r="AQ266" s="142">
        <f>IFERROR(_xlfn.XLOOKUP($D266,'Modelling New'!$D:$D,'Modelling New'!$AL:$AL),"")</f>
        <v>0.05</v>
      </c>
      <c r="AR266" s="198">
        <f>IFERROR(_xlfn.XLOOKUP($D266,'Modelling New'!$D:$D,'Modelling New'!$N:$N),"")</f>
        <v>70.400000000000006</v>
      </c>
      <c r="AS266" s="198"/>
    </row>
    <row r="267" spans="1:45">
      <c r="A267" s="137">
        <f t="shared" si="28"/>
        <v>46010</v>
      </c>
      <c r="B267" s="138">
        <f>YEAR(Daily_KPI[[#This Row],[Date]])+IF(MONTH(Daily_KPI[[#This Row],[Date]])&gt;=4,1,0)</f>
        <v>2026</v>
      </c>
      <c r="C267" s="108">
        <f>YEAR(Daily_KPI[[#This Row],[Date]])</f>
        <v>2025</v>
      </c>
      <c r="D267" s="139">
        <f>Daily_KPI[[#This Row],[Date]]-DAY(Daily_KPI[[#This Row],[Date]])+1</f>
        <v>45992</v>
      </c>
      <c r="E267" s="108">
        <f t="shared" si="24"/>
        <v>31</v>
      </c>
      <c r="F267" s="109"/>
      <c r="G267" s="110"/>
      <c r="H267" s="110"/>
      <c r="I267" s="110"/>
      <c r="J267" s="110"/>
      <c r="K267" s="111"/>
      <c r="L267" s="110"/>
      <c r="M267" s="110" t="str">
        <f>IFERROR(_xlfn.XLOOKUP($A267,Input_Raw!$A:$A,Input_Raw!$CQ:$CQ),"")</f>
        <v/>
      </c>
      <c r="N267" s="110" t="str">
        <f>IFERROR(_xlfn.XLOOKUP($A267,Input_Raw!$A:$A,Input_Raw!$CR:$CR),"")</f>
        <v/>
      </c>
      <c r="O267" s="141" t="str">
        <f t="shared" si="25"/>
        <v/>
      </c>
      <c r="P267" s="141" t="str">
        <f>IFERROR(1-SUMIF(WTG_BD!$F:$F,$A267,WTG_BD!$AA:$AA)/($AA267+SUMIF(WTG_BD!$F:$F,$A267,WTG_BD!$AA:$AA)),"")</f>
        <v/>
      </c>
      <c r="Q267" s="141" t="str">
        <f>IFERROR(1-SUMIF(IGA_BD!$F:$F,$A267,IGA_BD!$W:$W)/($AA267+SUMIF(IGA_BD!$F:$F,$A267,IGA_BD!$W:$W)),"")</f>
        <v/>
      </c>
      <c r="R267" s="141" t="str">
        <f>IFERROR(1-SUMIF(Grid_BD!$F:$F,$A267,Grid_BD!$Y:$Y)/($AA267+SUMIF(Grid_BD!$F:$F,$A267,Grid_BD!$Y:$Y)),"")</f>
        <v/>
      </c>
      <c r="S267" s="108"/>
      <c r="T267" s="140"/>
      <c r="U267" s="141"/>
      <c r="V267" s="108"/>
      <c r="W267" s="142" t="str">
        <f t="shared" si="26"/>
        <v/>
      </c>
      <c r="X267" s="108" t="str">
        <f>IFERROR(_xlfn.XLOOKUP($A267,Input_Raw!$A:$A,Input_Raw!$CP:$CP)*1000,"")</f>
        <v/>
      </c>
      <c r="Y267" s="108" t="str">
        <f>IFERROR(_xlfn.XLOOKUP($A267,Input_Raw!$A:$A,Input_Raw!DJ:DJ)*1000,"")</f>
        <v/>
      </c>
      <c r="Z267" s="108" t="str">
        <f>IFERROR(_xlfn.XLOOKUP($A267,Input_Raw!$A:$A,Input_Raw!DK:DK)*1000,"")</f>
        <v/>
      </c>
      <c r="AA267" s="138" t="str">
        <f t="shared" si="27"/>
        <v/>
      </c>
      <c r="AB267" s="108" t="str">
        <f>IFERROR(_xlfn.XLOOKUP($A267,Input_Raw!$A:$A,Input_Raw!$DR:$DR),"")</f>
        <v/>
      </c>
      <c r="AC267" s="143">
        <f>IFERROR(_xlfn.XLOOKUP($D267,'Modelling New'!$D:$D,'Modelling New'!$J:$J),"")</f>
        <v>4.79</v>
      </c>
      <c r="AD267" s="138">
        <f>IFERROR(_xlfn.XLOOKUP($D267,'Modelling New'!$D:$D,'Modelling New'!$T:$T)*1000,"")</f>
        <v>233936.54337157667</v>
      </c>
      <c r="AE267" s="142"/>
      <c r="AF267" s="142">
        <f>IFERROR(_xlfn.XLOOKUP($D267,'Modelling New'!$D:$D,'Modelling New'!$W:$W),"")</f>
        <v>0.13845676099170021</v>
      </c>
      <c r="AG267" s="142">
        <f>IFERROR(_xlfn.XLOOKUP($D267,'Modelling New'!$D:$D,'Modelling New'!$AE:$AE),"")</f>
        <v>0.96029999999999993</v>
      </c>
      <c r="AH267" s="142">
        <f>IFERROR(_xlfn.XLOOKUP($D267,'Modelling New'!$D:$D,'Modelling New'!$AF:$AF),"")</f>
        <v>0.995</v>
      </c>
      <c r="AI267" s="109" t="str">
        <f>IFERROR(_xlfn.XLOOKUP($A267,Input_Raw!$A:$A,Input_Raw!$DP:$DP),"")</f>
        <v/>
      </c>
      <c r="AJ267" s="108"/>
      <c r="AK267" s="108"/>
      <c r="AL267" s="108"/>
      <c r="AM267" s="108"/>
      <c r="AN267" s="132" t="str">
        <f>IFERROR(_xlfn.XLOOKUP($A267,Input_Raw!$A:$A,Input_Raw!$DL:$DL),"")</f>
        <v/>
      </c>
      <c r="AO267" s="142" t="str">
        <f>IFERROR((_xlfn.XLOOKUP($A267,'WTG Reactive Power'!$A:$A,'WTG Reactive Power'!$AW:$AW))/X267,"")</f>
        <v/>
      </c>
      <c r="AP267" s="142">
        <f>IFERROR(_xlfn.XLOOKUP($D267,'Modelling New'!$D:$D,'Modelling New'!$AK:$AK),"")</f>
        <v>0.05</v>
      </c>
      <c r="AQ267" s="142">
        <f>IFERROR(_xlfn.XLOOKUP($D267,'Modelling New'!$D:$D,'Modelling New'!$AL:$AL),"")</f>
        <v>0.05</v>
      </c>
      <c r="AR267" s="198">
        <f>IFERROR(_xlfn.XLOOKUP($D267,'Modelling New'!$D:$D,'Modelling New'!$N:$N),"")</f>
        <v>70.400000000000006</v>
      </c>
      <c r="AS267" s="198"/>
    </row>
    <row r="268" spans="1:45">
      <c r="A268" s="137">
        <f t="shared" si="28"/>
        <v>46011</v>
      </c>
      <c r="B268" s="138">
        <f>YEAR(Daily_KPI[[#This Row],[Date]])+IF(MONTH(Daily_KPI[[#This Row],[Date]])&gt;=4,1,0)</f>
        <v>2026</v>
      </c>
      <c r="C268" s="108">
        <f>YEAR(Daily_KPI[[#This Row],[Date]])</f>
        <v>2025</v>
      </c>
      <c r="D268" s="139">
        <f>Daily_KPI[[#This Row],[Date]]-DAY(Daily_KPI[[#This Row],[Date]])+1</f>
        <v>45992</v>
      </c>
      <c r="E268" s="108">
        <f t="shared" si="24"/>
        <v>31</v>
      </c>
      <c r="F268" s="109"/>
      <c r="G268" s="143"/>
      <c r="H268" s="143"/>
      <c r="I268" s="143"/>
      <c r="J268" s="143"/>
      <c r="K268" s="111"/>
      <c r="L268" s="110"/>
      <c r="M268" s="110" t="str">
        <f>IFERROR(_xlfn.XLOOKUP($A268,Input_Raw!$A:$A,Input_Raw!$CQ:$CQ),"")</f>
        <v/>
      </c>
      <c r="N268" s="110" t="str">
        <f>IFERROR(_xlfn.XLOOKUP($A268,Input_Raw!$A:$A,Input_Raw!$CR:$CR),"")</f>
        <v/>
      </c>
      <c r="O268" s="141" t="str">
        <f t="shared" si="25"/>
        <v/>
      </c>
      <c r="P268" s="141" t="str">
        <f>IFERROR(1-SUMIF(WTG_BD!$F:$F,$A268,WTG_BD!$AA:$AA)/($AA268+SUMIF(WTG_BD!$F:$F,$A268,WTG_BD!$AA:$AA)),"")</f>
        <v/>
      </c>
      <c r="Q268" s="141" t="str">
        <f>IFERROR(1-SUMIF(IGA_BD!$F:$F,$A268,IGA_BD!$W:$W)/($AA268+SUMIF(IGA_BD!$F:$F,$A268,IGA_BD!$W:$W)),"")</f>
        <v/>
      </c>
      <c r="R268" s="141" t="str">
        <f>IFERROR(1-SUMIF(Grid_BD!$F:$F,$A268,Grid_BD!$Y:$Y)/($AA268+SUMIF(Grid_BD!$F:$F,$A268,Grid_BD!$Y:$Y)),"")</f>
        <v/>
      </c>
      <c r="S268" s="108"/>
      <c r="T268" s="140"/>
      <c r="U268" s="141"/>
      <c r="V268" s="108"/>
      <c r="W268" s="142" t="str">
        <f t="shared" si="26"/>
        <v/>
      </c>
      <c r="X268" s="108" t="str">
        <f>IFERROR(_xlfn.XLOOKUP($A268,Input_Raw!$A:$A,Input_Raw!$CP:$CP)*1000,"")</f>
        <v/>
      </c>
      <c r="Y268" s="108" t="str">
        <f>IFERROR(_xlfn.XLOOKUP($A268,Input_Raw!$A:$A,Input_Raw!DJ:DJ)*1000,"")</f>
        <v/>
      </c>
      <c r="Z268" s="108" t="str">
        <f>IFERROR(_xlfn.XLOOKUP($A268,Input_Raw!$A:$A,Input_Raw!DK:DK)*1000,"")</f>
        <v/>
      </c>
      <c r="AA268" s="138" t="str">
        <f t="shared" si="27"/>
        <v/>
      </c>
      <c r="AB268" s="108" t="str">
        <f>IFERROR(_xlfn.XLOOKUP($A268,Input_Raw!$A:$A,Input_Raw!$DR:$DR),"")</f>
        <v/>
      </c>
      <c r="AC268" s="143">
        <f>IFERROR(_xlfn.XLOOKUP($D268,'Modelling New'!$D:$D,'Modelling New'!$J:$J),"")</f>
        <v>4.79</v>
      </c>
      <c r="AD268" s="138">
        <f>IFERROR(_xlfn.XLOOKUP($D268,'Modelling New'!$D:$D,'Modelling New'!$T:$T)*1000,"")</f>
        <v>233936.54337157667</v>
      </c>
      <c r="AE268" s="142"/>
      <c r="AF268" s="142">
        <f>IFERROR(_xlfn.XLOOKUP($D268,'Modelling New'!$D:$D,'Modelling New'!$W:$W),"")</f>
        <v>0.13845676099170021</v>
      </c>
      <c r="AG268" s="142">
        <f>IFERROR(_xlfn.XLOOKUP($D268,'Modelling New'!$D:$D,'Modelling New'!$AE:$AE),"")</f>
        <v>0.96029999999999993</v>
      </c>
      <c r="AH268" s="142">
        <f>IFERROR(_xlfn.XLOOKUP($D268,'Modelling New'!$D:$D,'Modelling New'!$AF:$AF),"")</f>
        <v>0.995</v>
      </c>
      <c r="AI268" s="109" t="str">
        <f>IFERROR(_xlfn.XLOOKUP($A268,Input_Raw!$A:$A,Input_Raw!$DP:$DP),"")</f>
        <v/>
      </c>
      <c r="AJ268" s="108"/>
      <c r="AK268" s="108"/>
      <c r="AL268" s="108"/>
      <c r="AM268" s="108"/>
      <c r="AN268" s="132" t="str">
        <f>IFERROR(_xlfn.XLOOKUP($A268,Input_Raw!$A:$A,Input_Raw!$DL:$DL),"")</f>
        <v/>
      </c>
      <c r="AO268" s="142" t="str">
        <f>IFERROR((_xlfn.XLOOKUP($A268,'WTG Reactive Power'!$A:$A,'WTG Reactive Power'!$AW:$AW))/X268,"")</f>
        <v/>
      </c>
      <c r="AP268" s="142">
        <f>IFERROR(_xlfn.XLOOKUP($D268,'Modelling New'!$D:$D,'Modelling New'!$AK:$AK),"")</f>
        <v>0.05</v>
      </c>
      <c r="AQ268" s="142">
        <f>IFERROR(_xlfn.XLOOKUP($D268,'Modelling New'!$D:$D,'Modelling New'!$AL:$AL),"")</f>
        <v>0.05</v>
      </c>
      <c r="AR268" s="198">
        <f>IFERROR(_xlfn.XLOOKUP($D268,'Modelling New'!$D:$D,'Modelling New'!$N:$N),"")</f>
        <v>70.400000000000006</v>
      </c>
      <c r="AS268" s="198"/>
    </row>
    <row r="269" spans="1:45">
      <c r="A269" s="137">
        <f t="shared" si="28"/>
        <v>46012</v>
      </c>
      <c r="B269" s="138">
        <f>YEAR(Daily_KPI[[#This Row],[Date]])+IF(MONTH(Daily_KPI[[#This Row],[Date]])&gt;=4,1,0)</f>
        <v>2026</v>
      </c>
      <c r="C269" s="108">
        <f>YEAR(Daily_KPI[[#This Row],[Date]])</f>
        <v>2025</v>
      </c>
      <c r="D269" s="139">
        <f>Daily_KPI[[#This Row],[Date]]-DAY(Daily_KPI[[#This Row],[Date]])+1</f>
        <v>45992</v>
      </c>
      <c r="E269" s="108">
        <f t="shared" si="24"/>
        <v>31</v>
      </c>
      <c r="F269" s="109"/>
      <c r="G269" s="110"/>
      <c r="H269" s="110"/>
      <c r="I269" s="110"/>
      <c r="J269" s="110"/>
      <c r="K269" s="111"/>
      <c r="L269" s="110"/>
      <c r="M269" s="110" t="str">
        <f>IFERROR(_xlfn.XLOOKUP($A269,Input_Raw!$A:$A,Input_Raw!$CQ:$CQ),"")</f>
        <v/>
      </c>
      <c r="N269" s="110" t="str">
        <f>IFERROR(_xlfn.XLOOKUP($A269,Input_Raw!$A:$A,Input_Raw!$CR:$CR),"")</f>
        <v/>
      </c>
      <c r="O269" s="141" t="str">
        <f t="shared" si="25"/>
        <v/>
      </c>
      <c r="P269" s="141" t="str">
        <f>IFERROR(1-SUMIF(WTG_BD!$F:$F,$A269,WTG_BD!$AA:$AA)/($AA269+SUMIF(WTG_BD!$F:$F,$A269,WTG_BD!$AA:$AA)),"")</f>
        <v/>
      </c>
      <c r="Q269" s="141" t="str">
        <f>IFERROR(1-SUMIF(IGA_BD!$F:$F,$A269,IGA_BD!$W:$W)/($AA269+SUMIF(IGA_BD!$F:$F,$A269,IGA_BD!$W:$W)),"")</f>
        <v/>
      </c>
      <c r="R269" s="141" t="str">
        <f>IFERROR(1-SUMIF(Grid_BD!$F:$F,$A269,Grid_BD!$Y:$Y)/($AA269+SUMIF(Grid_BD!$F:$F,$A269,Grid_BD!$Y:$Y)),"")</f>
        <v/>
      </c>
      <c r="S269" s="108"/>
      <c r="T269" s="140"/>
      <c r="U269" s="141"/>
      <c r="V269" s="108"/>
      <c r="W269" s="142" t="str">
        <f t="shared" si="26"/>
        <v/>
      </c>
      <c r="X269" s="108" t="str">
        <f>IFERROR(_xlfn.XLOOKUP($A269,Input_Raw!$A:$A,Input_Raw!$CP:$CP)*1000,"")</f>
        <v/>
      </c>
      <c r="Y269" s="108" t="str">
        <f>IFERROR(_xlfn.XLOOKUP($A269,Input_Raw!$A:$A,Input_Raw!DJ:DJ)*1000,"")</f>
        <v/>
      </c>
      <c r="Z269" s="108" t="str">
        <f>IFERROR(_xlfn.XLOOKUP($A269,Input_Raw!$A:$A,Input_Raw!DK:DK)*1000,"")</f>
        <v/>
      </c>
      <c r="AA269" s="138" t="str">
        <f t="shared" si="27"/>
        <v/>
      </c>
      <c r="AB269" s="108" t="str">
        <f>IFERROR(_xlfn.XLOOKUP($A269,Input_Raw!$A:$A,Input_Raw!$DR:$DR),"")</f>
        <v/>
      </c>
      <c r="AC269" s="143">
        <f>IFERROR(_xlfn.XLOOKUP($D269,'Modelling New'!$D:$D,'Modelling New'!$J:$J),"")</f>
        <v>4.79</v>
      </c>
      <c r="AD269" s="138">
        <f>IFERROR(_xlfn.XLOOKUP($D269,'Modelling New'!$D:$D,'Modelling New'!$T:$T)*1000,"")</f>
        <v>233936.54337157667</v>
      </c>
      <c r="AE269" s="142"/>
      <c r="AF269" s="142">
        <f>IFERROR(_xlfn.XLOOKUP($D269,'Modelling New'!$D:$D,'Modelling New'!$W:$W),"")</f>
        <v>0.13845676099170021</v>
      </c>
      <c r="AG269" s="142">
        <f>IFERROR(_xlfn.XLOOKUP($D269,'Modelling New'!$D:$D,'Modelling New'!$AE:$AE),"")</f>
        <v>0.96029999999999993</v>
      </c>
      <c r="AH269" s="142">
        <f>IFERROR(_xlfn.XLOOKUP($D269,'Modelling New'!$D:$D,'Modelling New'!$AF:$AF),"")</f>
        <v>0.995</v>
      </c>
      <c r="AI269" s="109" t="str">
        <f>IFERROR(_xlfn.XLOOKUP($A269,Input_Raw!$A:$A,Input_Raw!$DP:$DP),"")</f>
        <v/>
      </c>
      <c r="AJ269" s="108"/>
      <c r="AK269" s="108"/>
      <c r="AL269" s="108"/>
      <c r="AM269" s="108"/>
      <c r="AN269" s="132" t="str">
        <f>IFERROR(_xlfn.XLOOKUP($A269,Input_Raw!$A:$A,Input_Raw!$DL:$DL),"")</f>
        <v/>
      </c>
      <c r="AO269" s="142" t="str">
        <f>IFERROR((_xlfn.XLOOKUP($A269,'WTG Reactive Power'!$A:$A,'WTG Reactive Power'!$AW:$AW))/X269,"")</f>
        <v/>
      </c>
      <c r="AP269" s="142">
        <f>IFERROR(_xlfn.XLOOKUP($D269,'Modelling New'!$D:$D,'Modelling New'!$AK:$AK),"")</f>
        <v>0.05</v>
      </c>
      <c r="AQ269" s="142">
        <f>IFERROR(_xlfn.XLOOKUP($D269,'Modelling New'!$D:$D,'Modelling New'!$AL:$AL),"")</f>
        <v>0.05</v>
      </c>
      <c r="AR269" s="198">
        <f>IFERROR(_xlfn.XLOOKUP($D269,'Modelling New'!$D:$D,'Modelling New'!$N:$N),"")</f>
        <v>70.400000000000006</v>
      </c>
      <c r="AS269" s="198"/>
    </row>
    <row r="270" spans="1:45">
      <c r="A270" s="137">
        <f t="shared" si="28"/>
        <v>46013</v>
      </c>
      <c r="B270" s="138">
        <f>YEAR(Daily_KPI[[#This Row],[Date]])+IF(MONTH(Daily_KPI[[#This Row],[Date]])&gt;=4,1,0)</f>
        <v>2026</v>
      </c>
      <c r="C270" s="108">
        <f>YEAR(Daily_KPI[[#This Row],[Date]])</f>
        <v>2025</v>
      </c>
      <c r="D270" s="139">
        <f>Daily_KPI[[#This Row],[Date]]-DAY(Daily_KPI[[#This Row],[Date]])+1</f>
        <v>45992</v>
      </c>
      <c r="E270" s="108">
        <f t="shared" si="24"/>
        <v>31</v>
      </c>
      <c r="F270" s="109"/>
      <c r="G270" s="143"/>
      <c r="H270" s="143"/>
      <c r="I270" s="143"/>
      <c r="J270" s="143"/>
      <c r="K270" s="111"/>
      <c r="L270" s="110"/>
      <c r="M270" s="110" t="str">
        <f>IFERROR(_xlfn.XLOOKUP($A270,Input_Raw!$A:$A,Input_Raw!$CQ:$CQ),"")</f>
        <v/>
      </c>
      <c r="N270" s="110" t="str">
        <f>IFERROR(_xlfn.XLOOKUP($A270,Input_Raw!$A:$A,Input_Raw!$CR:$CR),"")</f>
        <v/>
      </c>
      <c r="O270" s="141" t="str">
        <f t="shared" si="25"/>
        <v/>
      </c>
      <c r="P270" s="141" t="str">
        <f>IFERROR(1-SUMIF(WTG_BD!$F:$F,$A270,WTG_BD!$AA:$AA)/($AA270+SUMIF(WTG_BD!$F:$F,$A270,WTG_BD!$AA:$AA)),"")</f>
        <v/>
      </c>
      <c r="Q270" s="141" t="str">
        <f>IFERROR(1-SUMIF(IGA_BD!$F:$F,$A270,IGA_BD!$W:$W)/($AA270+SUMIF(IGA_BD!$F:$F,$A270,IGA_BD!$W:$W)),"")</f>
        <v/>
      </c>
      <c r="R270" s="141" t="str">
        <f>IFERROR(1-SUMIF(Grid_BD!$F:$F,$A270,Grid_BD!$Y:$Y)/($AA270+SUMIF(Grid_BD!$F:$F,$A270,Grid_BD!$Y:$Y)),"")</f>
        <v/>
      </c>
      <c r="S270" s="108"/>
      <c r="T270" s="140"/>
      <c r="U270" s="141"/>
      <c r="V270" s="108"/>
      <c r="W270" s="142" t="str">
        <f t="shared" si="26"/>
        <v/>
      </c>
      <c r="X270" s="108" t="str">
        <f>IFERROR(_xlfn.XLOOKUP($A270,Input_Raw!$A:$A,Input_Raw!$CP:$CP)*1000,"")</f>
        <v/>
      </c>
      <c r="Y270" s="108" t="str">
        <f>IFERROR(_xlfn.XLOOKUP($A270,Input_Raw!$A:$A,Input_Raw!DJ:DJ)*1000,"")</f>
        <v/>
      </c>
      <c r="Z270" s="108" t="str">
        <f>IFERROR(_xlfn.XLOOKUP($A270,Input_Raw!$A:$A,Input_Raw!DK:DK)*1000,"")</f>
        <v/>
      </c>
      <c r="AA270" s="138" t="str">
        <f t="shared" si="27"/>
        <v/>
      </c>
      <c r="AB270" s="108" t="str">
        <f>IFERROR(_xlfn.XLOOKUP($A270,Input_Raw!$A:$A,Input_Raw!$DR:$DR),"")</f>
        <v/>
      </c>
      <c r="AC270" s="143">
        <f>IFERROR(_xlfn.XLOOKUP($D270,'Modelling New'!$D:$D,'Modelling New'!$J:$J),"")</f>
        <v>4.79</v>
      </c>
      <c r="AD270" s="138">
        <f>IFERROR(_xlfn.XLOOKUP($D270,'Modelling New'!$D:$D,'Modelling New'!$T:$T)*1000,"")</f>
        <v>233936.54337157667</v>
      </c>
      <c r="AE270" s="142"/>
      <c r="AF270" s="142">
        <f>IFERROR(_xlfn.XLOOKUP($D270,'Modelling New'!$D:$D,'Modelling New'!$W:$W),"")</f>
        <v>0.13845676099170021</v>
      </c>
      <c r="AG270" s="142">
        <f>IFERROR(_xlfn.XLOOKUP($D270,'Modelling New'!$D:$D,'Modelling New'!$AE:$AE),"")</f>
        <v>0.96029999999999993</v>
      </c>
      <c r="AH270" s="142">
        <f>IFERROR(_xlfn.XLOOKUP($D270,'Modelling New'!$D:$D,'Modelling New'!$AF:$AF),"")</f>
        <v>0.995</v>
      </c>
      <c r="AI270" s="109" t="str">
        <f>IFERROR(_xlfn.XLOOKUP($A270,Input_Raw!$A:$A,Input_Raw!$DP:$DP),"")</f>
        <v/>
      </c>
      <c r="AJ270" s="108"/>
      <c r="AK270" s="108"/>
      <c r="AL270" s="108"/>
      <c r="AM270" s="108"/>
      <c r="AN270" s="132" t="str">
        <f>IFERROR(_xlfn.XLOOKUP($A270,Input_Raw!$A:$A,Input_Raw!$DL:$DL),"")</f>
        <v/>
      </c>
      <c r="AO270" s="142" t="str">
        <f>IFERROR((_xlfn.XLOOKUP($A270,'WTG Reactive Power'!$A:$A,'WTG Reactive Power'!$AW:$AW))/X270,"")</f>
        <v/>
      </c>
      <c r="AP270" s="142">
        <f>IFERROR(_xlfn.XLOOKUP($D270,'Modelling New'!$D:$D,'Modelling New'!$AK:$AK),"")</f>
        <v>0.05</v>
      </c>
      <c r="AQ270" s="142">
        <f>IFERROR(_xlfn.XLOOKUP($D270,'Modelling New'!$D:$D,'Modelling New'!$AL:$AL),"")</f>
        <v>0.05</v>
      </c>
      <c r="AR270" s="198">
        <f>IFERROR(_xlfn.XLOOKUP($D270,'Modelling New'!$D:$D,'Modelling New'!$N:$N),"")</f>
        <v>70.400000000000006</v>
      </c>
      <c r="AS270" s="198"/>
    </row>
    <row r="271" spans="1:45">
      <c r="A271" s="137">
        <f t="shared" si="28"/>
        <v>46014</v>
      </c>
      <c r="B271" s="138">
        <f>YEAR(Daily_KPI[[#This Row],[Date]])+IF(MONTH(Daily_KPI[[#This Row],[Date]])&gt;=4,1,0)</f>
        <v>2026</v>
      </c>
      <c r="C271" s="108">
        <f>YEAR(Daily_KPI[[#This Row],[Date]])</f>
        <v>2025</v>
      </c>
      <c r="D271" s="139">
        <f>Daily_KPI[[#This Row],[Date]]-DAY(Daily_KPI[[#This Row],[Date]])+1</f>
        <v>45992</v>
      </c>
      <c r="E271" s="108">
        <f t="shared" si="24"/>
        <v>31</v>
      </c>
      <c r="F271" s="109"/>
      <c r="G271" s="110"/>
      <c r="H271" s="110"/>
      <c r="I271" s="110"/>
      <c r="J271" s="110"/>
      <c r="K271" s="111"/>
      <c r="L271" s="110"/>
      <c r="M271" s="110" t="str">
        <f>IFERROR(_xlfn.XLOOKUP($A271,Input_Raw!$A:$A,Input_Raw!$CQ:$CQ),"")</f>
        <v/>
      </c>
      <c r="N271" s="110" t="str">
        <f>IFERROR(_xlfn.XLOOKUP($A271,Input_Raw!$A:$A,Input_Raw!$CR:$CR),"")</f>
        <v/>
      </c>
      <c r="O271" s="141" t="str">
        <f t="shared" si="25"/>
        <v/>
      </c>
      <c r="P271" s="141" t="str">
        <f>IFERROR(1-SUMIF(WTG_BD!$F:$F,$A271,WTG_BD!$AA:$AA)/($AA271+SUMIF(WTG_BD!$F:$F,$A271,WTG_BD!$AA:$AA)),"")</f>
        <v/>
      </c>
      <c r="Q271" s="141" t="str">
        <f>IFERROR(1-SUMIF(IGA_BD!$F:$F,$A271,IGA_BD!$W:$W)/($AA271+SUMIF(IGA_BD!$F:$F,$A271,IGA_BD!$W:$W)),"")</f>
        <v/>
      </c>
      <c r="R271" s="141" t="str">
        <f>IFERROR(1-SUMIF(Grid_BD!$F:$F,$A271,Grid_BD!$Y:$Y)/($AA271+SUMIF(Grid_BD!$F:$F,$A271,Grid_BD!$Y:$Y)),"")</f>
        <v/>
      </c>
      <c r="S271" s="108"/>
      <c r="T271" s="140"/>
      <c r="U271" s="141"/>
      <c r="V271" s="108"/>
      <c r="W271" s="142" t="str">
        <f t="shared" si="26"/>
        <v/>
      </c>
      <c r="X271" s="108" t="str">
        <f>IFERROR(_xlfn.XLOOKUP($A271,Input_Raw!$A:$A,Input_Raw!$CP:$CP)*1000,"")</f>
        <v/>
      </c>
      <c r="Y271" s="108" t="str">
        <f>IFERROR(_xlfn.XLOOKUP($A271,Input_Raw!$A:$A,Input_Raw!DJ:DJ)*1000,"")</f>
        <v/>
      </c>
      <c r="Z271" s="108" t="str">
        <f>IFERROR(_xlfn.XLOOKUP($A271,Input_Raw!$A:$A,Input_Raw!DK:DK)*1000,"")</f>
        <v/>
      </c>
      <c r="AA271" s="138" t="str">
        <f t="shared" si="27"/>
        <v/>
      </c>
      <c r="AB271" s="108" t="str">
        <f>IFERROR(_xlfn.XLOOKUP($A271,Input_Raw!$A:$A,Input_Raw!$DR:$DR),"")</f>
        <v/>
      </c>
      <c r="AC271" s="143">
        <f>IFERROR(_xlfn.XLOOKUP($D271,'Modelling New'!$D:$D,'Modelling New'!$J:$J),"")</f>
        <v>4.79</v>
      </c>
      <c r="AD271" s="138">
        <f>IFERROR(_xlfn.XLOOKUP($D271,'Modelling New'!$D:$D,'Modelling New'!$T:$T)*1000,"")</f>
        <v>233936.54337157667</v>
      </c>
      <c r="AE271" s="142"/>
      <c r="AF271" s="142">
        <f>IFERROR(_xlfn.XLOOKUP($D271,'Modelling New'!$D:$D,'Modelling New'!$W:$W),"")</f>
        <v>0.13845676099170021</v>
      </c>
      <c r="AG271" s="142">
        <f>IFERROR(_xlfn.XLOOKUP($D271,'Modelling New'!$D:$D,'Modelling New'!$AE:$AE),"")</f>
        <v>0.96029999999999993</v>
      </c>
      <c r="AH271" s="142">
        <f>IFERROR(_xlfn.XLOOKUP($D271,'Modelling New'!$D:$D,'Modelling New'!$AF:$AF),"")</f>
        <v>0.995</v>
      </c>
      <c r="AI271" s="109" t="str">
        <f>IFERROR(_xlfn.XLOOKUP($A271,Input_Raw!$A:$A,Input_Raw!$DP:$DP),"")</f>
        <v/>
      </c>
      <c r="AJ271" s="108"/>
      <c r="AK271" s="108"/>
      <c r="AL271" s="108"/>
      <c r="AM271" s="108"/>
      <c r="AN271" s="132" t="str">
        <f>IFERROR(_xlfn.XLOOKUP($A271,Input_Raw!$A:$A,Input_Raw!$DL:$DL),"")</f>
        <v/>
      </c>
      <c r="AO271" s="142" t="str">
        <f>IFERROR((_xlfn.XLOOKUP($A271,'WTG Reactive Power'!$A:$A,'WTG Reactive Power'!$AW:$AW))/X271,"")</f>
        <v/>
      </c>
      <c r="AP271" s="142">
        <f>IFERROR(_xlfn.XLOOKUP($D271,'Modelling New'!$D:$D,'Modelling New'!$AK:$AK),"")</f>
        <v>0.05</v>
      </c>
      <c r="AQ271" s="142">
        <f>IFERROR(_xlfn.XLOOKUP($D271,'Modelling New'!$D:$D,'Modelling New'!$AL:$AL),"")</f>
        <v>0.05</v>
      </c>
      <c r="AR271" s="198">
        <f>IFERROR(_xlfn.XLOOKUP($D271,'Modelling New'!$D:$D,'Modelling New'!$N:$N),"")</f>
        <v>70.400000000000006</v>
      </c>
      <c r="AS271" s="198"/>
    </row>
    <row r="272" spans="1:45">
      <c r="A272" s="137">
        <f t="shared" si="28"/>
        <v>46015</v>
      </c>
      <c r="B272" s="138">
        <f>YEAR(Daily_KPI[[#This Row],[Date]])+IF(MONTH(Daily_KPI[[#This Row],[Date]])&gt;=4,1,0)</f>
        <v>2026</v>
      </c>
      <c r="C272" s="108">
        <f>YEAR(Daily_KPI[[#This Row],[Date]])</f>
        <v>2025</v>
      </c>
      <c r="D272" s="139">
        <f>Daily_KPI[[#This Row],[Date]]-DAY(Daily_KPI[[#This Row],[Date]])+1</f>
        <v>45992</v>
      </c>
      <c r="E272" s="108">
        <f t="shared" si="24"/>
        <v>31</v>
      </c>
      <c r="F272" s="109"/>
      <c r="G272" s="143"/>
      <c r="H272" s="143"/>
      <c r="I272" s="143"/>
      <c r="J272" s="143"/>
      <c r="K272" s="111"/>
      <c r="L272" s="110"/>
      <c r="M272" s="110" t="str">
        <f>IFERROR(_xlfn.XLOOKUP($A272,Input_Raw!$A:$A,Input_Raw!$CQ:$CQ),"")</f>
        <v/>
      </c>
      <c r="N272" s="110" t="str">
        <f>IFERROR(_xlfn.XLOOKUP($A272,Input_Raw!$A:$A,Input_Raw!$CR:$CR),"")</f>
        <v/>
      </c>
      <c r="O272" s="141" t="str">
        <f t="shared" si="25"/>
        <v/>
      </c>
      <c r="P272" s="141" t="str">
        <f>IFERROR(1-SUMIF(WTG_BD!$F:$F,$A272,WTG_BD!$AA:$AA)/($AA272+SUMIF(WTG_BD!$F:$F,$A272,WTG_BD!$AA:$AA)),"")</f>
        <v/>
      </c>
      <c r="Q272" s="141" t="str">
        <f>IFERROR(1-SUMIF(IGA_BD!$F:$F,$A272,IGA_BD!$W:$W)/($AA272+SUMIF(IGA_BD!$F:$F,$A272,IGA_BD!$W:$W)),"")</f>
        <v/>
      </c>
      <c r="R272" s="141" t="str">
        <f>IFERROR(1-SUMIF(Grid_BD!$F:$F,$A272,Grid_BD!$Y:$Y)/($AA272+SUMIF(Grid_BD!$F:$F,$A272,Grid_BD!$Y:$Y)),"")</f>
        <v/>
      </c>
      <c r="S272" s="108"/>
      <c r="T272" s="140"/>
      <c r="U272" s="141"/>
      <c r="V272" s="108"/>
      <c r="W272" s="142" t="str">
        <f t="shared" si="26"/>
        <v/>
      </c>
      <c r="X272" s="108" t="str">
        <f>IFERROR(_xlfn.XLOOKUP($A272,Input_Raw!$A:$A,Input_Raw!$CP:$CP)*1000,"")</f>
        <v/>
      </c>
      <c r="Y272" s="108" t="str">
        <f>IFERROR(_xlfn.XLOOKUP($A272,Input_Raw!$A:$A,Input_Raw!DJ:DJ)*1000,"")</f>
        <v/>
      </c>
      <c r="Z272" s="108" t="str">
        <f>IFERROR(_xlfn.XLOOKUP($A272,Input_Raw!$A:$A,Input_Raw!DK:DK)*1000,"")</f>
        <v/>
      </c>
      <c r="AA272" s="138" t="str">
        <f t="shared" si="27"/>
        <v/>
      </c>
      <c r="AB272" s="108" t="str">
        <f>IFERROR(_xlfn.XLOOKUP($A272,Input_Raw!$A:$A,Input_Raw!$DR:$DR),"")</f>
        <v/>
      </c>
      <c r="AC272" s="143">
        <f>IFERROR(_xlfn.XLOOKUP($D272,'Modelling New'!$D:$D,'Modelling New'!$J:$J),"")</f>
        <v>4.79</v>
      </c>
      <c r="AD272" s="138">
        <f>IFERROR(_xlfn.XLOOKUP($D272,'Modelling New'!$D:$D,'Modelling New'!$T:$T)*1000,"")</f>
        <v>233936.54337157667</v>
      </c>
      <c r="AE272" s="142"/>
      <c r="AF272" s="142">
        <f>IFERROR(_xlfn.XLOOKUP($D272,'Modelling New'!$D:$D,'Modelling New'!$W:$W),"")</f>
        <v>0.13845676099170021</v>
      </c>
      <c r="AG272" s="142">
        <f>IFERROR(_xlfn.XLOOKUP($D272,'Modelling New'!$D:$D,'Modelling New'!$AE:$AE),"")</f>
        <v>0.96029999999999993</v>
      </c>
      <c r="AH272" s="142">
        <f>IFERROR(_xlfn.XLOOKUP($D272,'Modelling New'!$D:$D,'Modelling New'!$AF:$AF),"")</f>
        <v>0.995</v>
      </c>
      <c r="AI272" s="109" t="str">
        <f>IFERROR(_xlfn.XLOOKUP($A272,Input_Raw!$A:$A,Input_Raw!$DP:$DP),"")</f>
        <v/>
      </c>
      <c r="AJ272" s="108"/>
      <c r="AK272" s="108"/>
      <c r="AL272" s="108"/>
      <c r="AM272" s="108"/>
      <c r="AN272" s="132" t="str">
        <f>IFERROR(_xlfn.XLOOKUP($A272,Input_Raw!$A:$A,Input_Raw!$DL:$DL),"")</f>
        <v/>
      </c>
      <c r="AO272" s="142" t="str">
        <f>IFERROR((_xlfn.XLOOKUP($A272,'WTG Reactive Power'!$A:$A,'WTG Reactive Power'!$AW:$AW))/X272,"")</f>
        <v/>
      </c>
      <c r="AP272" s="142">
        <f>IFERROR(_xlfn.XLOOKUP($D272,'Modelling New'!$D:$D,'Modelling New'!$AK:$AK),"")</f>
        <v>0.05</v>
      </c>
      <c r="AQ272" s="142">
        <f>IFERROR(_xlfn.XLOOKUP($D272,'Modelling New'!$D:$D,'Modelling New'!$AL:$AL),"")</f>
        <v>0.05</v>
      </c>
      <c r="AR272" s="198">
        <f>IFERROR(_xlfn.XLOOKUP($D272,'Modelling New'!$D:$D,'Modelling New'!$N:$N),"")</f>
        <v>70.400000000000006</v>
      </c>
      <c r="AS272" s="198"/>
    </row>
    <row r="273" spans="1:45">
      <c r="A273" s="137">
        <f t="shared" si="28"/>
        <v>46016</v>
      </c>
      <c r="B273" s="138">
        <f>YEAR(Daily_KPI[[#This Row],[Date]])+IF(MONTH(Daily_KPI[[#This Row],[Date]])&gt;=4,1,0)</f>
        <v>2026</v>
      </c>
      <c r="C273" s="108">
        <f>YEAR(Daily_KPI[[#This Row],[Date]])</f>
        <v>2025</v>
      </c>
      <c r="D273" s="139">
        <f>Daily_KPI[[#This Row],[Date]]-DAY(Daily_KPI[[#This Row],[Date]])+1</f>
        <v>45992</v>
      </c>
      <c r="E273" s="108">
        <f t="shared" si="24"/>
        <v>31</v>
      </c>
      <c r="F273" s="109"/>
      <c r="G273" s="110"/>
      <c r="H273" s="110"/>
      <c r="I273" s="110"/>
      <c r="J273" s="110"/>
      <c r="K273" s="111"/>
      <c r="L273" s="110"/>
      <c r="M273" s="110" t="str">
        <f>IFERROR(_xlfn.XLOOKUP($A273,Input_Raw!$A:$A,Input_Raw!$CQ:$CQ),"")</f>
        <v/>
      </c>
      <c r="N273" s="110" t="str">
        <f>IFERROR(_xlfn.XLOOKUP($A273,Input_Raw!$A:$A,Input_Raw!$CR:$CR),"")</f>
        <v/>
      </c>
      <c r="O273" s="141" t="str">
        <f t="shared" si="25"/>
        <v/>
      </c>
      <c r="P273" s="141" t="str">
        <f>IFERROR(1-SUMIF(WTG_BD!$F:$F,$A273,WTG_BD!$AA:$AA)/($AA273+SUMIF(WTG_BD!$F:$F,$A273,WTG_BD!$AA:$AA)),"")</f>
        <v/>
      </c>
      <c r="Q273" s="141" t="str">
        <f>IFERROR(1-SUMIF(IGA_BD!$F:$F,$A273,IGA_BD!$W:$W)/($AA273+SUMIF(IGA_BD!$F:$F,$A273,IGA_BD!$W:$W)),"")</f>
        <v/>
      </c>
      <c r="R273" s="141" t="str">
        <f>IFERROR(1-SUMIF(Grid_BD!$F:$F,$A273,Grid_BD!$Y:$Y)/($AA273+SUMIF(Grid_BD!$F:$F,$A273,Grid_BD!$Y:$Y)),"")</f>
        <v/>
      </c>
      <c r="S273" s="108"/>
      <c r="T273" s="140"/>
      <c r="U273" s="141"/>
      <c r="V273" s="108"/>
      <c r="W273" s="142" t="str">
        <f t="shared" si="26"/>
        <v/>
      </c>
      <c r="X273" s="108" t="str">
        <f>IFERROR(_xlfn.XLOOKUP($A273,Input_Raw!$A:$A,Input_Raw!$CP:$CP)*1000,"")</f>
        <v/>
      </c>
      <c r="Y273" s="108" t="str">
        <f>IFERROR(_xlfn.XLOOKUP($A273,Input_Raw!$A:$A,Input_Raw!DJ:DJ)*1000,"")</f>
        <v/>
      </c>
      <c r="Z273" s="108" t="str">
        <f>IFERROR(_xlfn.XLOOKUP($A273,Input_Raw!$A:$A,Input_Raw!DK:DK)*1000,"")</f>
        <v/>
      </c>
      <c r="AA273" s="138" t="str">
        <f t="shared" si="27"/>
        <v/>
      </c>
      <c r="AB273" s="108" t="str">
        <f>IFERROR(_xlfn.XLOOKUP($A273,Input_Raw!$A:$A,Input_Raw!$DR:$DR),"")</f>
        <v/>
      </c>
      <c r="AC273" s="143">
        <f>IFERROR(_xlfn.XLOOKUP($D273,'Modelling New'!$D:$D,'Modelling New'!$J:$J),"")</f>
        <v>4.79</v>
      </c>
      <c r="AD273" s="138">
        <f>IFERROR(_xlfn.XLOOKUP($D273,'Modelling New'!$D:$D,'Modelling New'!$T:$T)*1000,"")</f>
        <v>233936.54337157667</v>
      </c>
      <c r="AE273" s="142"/>
      <c r="AF273" s="142">
        <f>IFERROR(_xlfn.XLOOKUP($D273,'Modelling New'!$D:$D,'Modelling New'!$W:$W),"")</f>
        <v>0.13845676099170021</v>
      </c>
      <c r="AG273" s="142">
        <f>IFERROR(_xlfn.XLOOKUP($D273,'Modelling New'!$D:$D,'Modelling New'!$AE:$AE),"")</f>
        <v>0.96029999999999993</v>
      </c>
      <c r="AH273" s="142">
        <f>IFERROR(_xlfn.XLOOKUP($D273,'Modelling New'!$D:$D,'Modelling New'!$AF:$AF),"")</f>
        <v>0.995</v>
      </c>
      <c r="AI273" s="109" t="str">
        <f>IFERROR(_xlfn.XLOOKUP($A273,Input_Raw!$A:$A,Input_Raw!$DP:$DP),"")</f>
        <v/>
      </c>
      <c r="AJ273" s="108"/>
      <c r="AK273" s="108"/>
      <c r="AL273" s="108"/>
      <c r="AM273" s="108"/>
      <c r="AN273" s="132" t="str">
        <f>IFERROR(_xlfn.XLOOKUP($A273,Input_Raw!$A:$A,Input_Raw!$DL:$DL),"")</f>
        <v/>
      </c>
      <c r="AO273" s="142" t="str">
        <f>IFERROR((_xlfn.XLOOKUP($A273,'WTG Reactive Power'!$A:$A,'WTG Reactive Power'!$AW:$AW))/X273,"")</f>
        <v/>
      </c>
      <c r="AP273" s="142">
        <f>IFERROR(_xlfn.XLOOKUP($D273,'Modelling New'!$D:$D,'Modelling New'!$AK:$AK),"")</f>
        <v>0.05</v>
      </c>
      <c r="AQ273" s="142">
        <f>IFERROR(_xlfn.XLOOKUP($D273,'Modelling New'!$D:$D,'Modelling New'!$AL:$AL),"")</f>
        <v>0.05</v>
      </c>
      <c r="AR273" s="198">
        <f>IFERROR(_xlfn.XLOOKUP($D273,'Modelling New'!$D:$D,'Modelling New'!$N:$N),"")</f>
        <v>70.400000000000006</v>
      </c>
      <c r="AS273" s="198"/>
    </row>
    <row r="274" spans="1:45">
      <c r="A274" s="137">
        <f t="shared" si="28"/>
        <v>46017</v>
      </c>
      <c r="B274" s="138">
        <f>YEAR(Daily_KPI[[#This Row],[Date]])+IF(MONTH(Daily_KPI[[#This Row],[Date]])&gt;=4,1,0)</f>
        <v>2026</v>
      </c>
      <c r="C274" s="108">
        <f>YEAR(Daily_KPI[[#This Row],[Date]])</f>
        <v>2025</v>
      </c>
      <c r="D274" s="139">
        <f>Daily_KPI[[#This Row],[Date]]-DAY(Daily_KPI[[#This Row],[Date]])+1</f>
        <v>45992</v>
      </c>
      <c r="E274" s="108">
        <f t="shared" si="24"/>
        <v>31</v>
      </c>
      <c r="F274" s="109"/>
      <c r="G274" s="143"/>
      <c r="H274" s="143"/>
      <c r="I274" s="143"/>
      <c r="J274" s="143"/>
      <c r="K274" s="111"/>
      <c r="L274" s="110"/>
      <c r="M274" s="110" t="str">
        <f>IFERROR(_xlfn.XLOOKUP($A274,Input_Raw!$A:$A,Input_Raw!$CQ:$CQ),"")</f>
        <v/>
      </c>
      <c r="N274" s="110" t="str">
        <f>IFERROR(_xlfn.XLOOKUP($A274,Input_Raw!$A:$A,Input_Raw!$CR:$CR),"")</f>
        <v/>
      </c>
      <c r="O274" s="141" t="str">
        <f t="shared" si="25"/>
        <v/>
      </c>
      <c r="P274" s="141" t="str">
        <f>IFERROR(1-SUMIF(WTG_BD!$F:$F,$A274,WTG_BD!$AA:$AA)/($AA274+SUMIF(WTG_BD!$F:$F,$A274,WTG_BD!$AA:$AA)),"")</f>
        <v/>
      </c>
      <c r="Q274" s="141" t="str">
        <f>IFERROR(1-SUMIF(IGA_BD!$F:$F,$A274,IGA_BD!$W:$W)/($AA274+SUMIF(IGA_BD!$F:$F,$A274,IGA_BD!$W:$W)),"")</f>
        <v/>
      </c>
      <c r="R274" s="141" t="str">
        <f>IFERROR(1-SUMIF(Grid_BD!$F:$F,$A274,Grid_BD!$Y:$Y)/($AA274+SUMIF(Grid_BD!$F:$F,$A274,Grid_BD!$Y:$Y)),"")</f>
        <v/>
      </c>
      <c r="S274" s="108"/>
      <c r="T274" s="140"/>
      <c r="U274" s="141"/>
      <c r="V274" s="108"/>
      <c r="W274" s="142" t="str">
        <f t="shared" si="26"/>
        <v/>
      </c>
      <c r="X274" s="108" t="str">
        <f>IFERROR(_xlfn.XLOOKUP($A274,Input_Raw!$A:$A,Input_Raw!$CP:$CP)*1000,"")</f>
        <v/>
      </c>
      <c r="Y274" s="108" t="str">
        <f>IFERROR(_xlfn.XLOOKUP($A274,Input_Raw!$A:$A,Input_Raw!DJ:DJ)*1000,"")</f>
        <v/>
      </c>
      <c r="Z274" s="108" t="str">
        <f>IFERROR(_xlfn.XLOOKUP($A274,Input_Raw!$A:$A,Input_Raw!DK:DK)*1000,"")</f>
        <v/>
      </c>
      <c r="AA274" s="138" t="str">
        <f t="shared" si="27"/>
        <v/>
      </c>
      <c r="AB274" s="108" t="str">
        <f>IFERROR(_xlfn.XLOOKUP($A274,Input_Raw!$A:$A,Input_Raw!$DR:$DR),"")</f>
        <v/>
      </c>
      <c r="AC274" s="143">
        <f>IFERROR(_xlfn.XLOOKUP($D274,'Modelling New'!$D:$D,'Modelling New'!$J:$J),"")</f>
        <v>4.79</v>
      </c>
      <c r="AD274" s="138">
        <f>IFERROR(_xlfn.XLOOKUP($D274,'Modelling New'!$D:$D,'Modelling New'!$T:$T)*1000,"")</f>
        <v>233936.54337157667</v>
      </c>
      <c r="AE274" s="142"/>
      <c r="AF274" s="142">
        <f>IFERROR(_xlfn.XLOOKUP($D274,'Modelling New'!$D:$D,'Modelling New'!$W:$W),"")</f>
        <v>0.13845676099170021</v>
      </c>
      <c r="AG274" s="142">
        <f>IFERROR(_xlfn.XLOOKUP($D274,'Modelling New'!$D:$D,'Modelling New'!$AE:$AE),"")</f>
        <v>0.96029999999999993</v>
      </c>
      <c r="AH274" s="142">
        <f>IFERROR(_xlfn.XLOOKUP($D274,'Modelling New'!$D:$D,'Modelling New'!$AF:$AF),"")</f>
        <v>0.995</v>
      </c>
      <c r="AI274" s="109" t="str">
        <f>IFERROR(_xlfn.XLOOKUP($A274,Input_Raw!$A:$A,Input_Raw!$DP:$DP),"")</f>
        <v/>
      </c>
      <c r="AJ274" s="108"/>
      <c r="AK274" s="108"/>
      <c r="AL274" s="108"/>
      <c r="AM274" s="108"/>
      <c r="AN274" s="132" t="str">
        <f>IFERROR(_xlfn.XLOOKUP($A274,Input_Raw!$A:$A,Input_Raw!$DL:$DL),"")</f>
        <v/>
      </c>
      <c r="AO274" s="142" t="str">
        <f>IFERROR((_xlfn.XLOOKUP($A274,'WTG Reactive Power'!$A:$A,'WTG Reactive Power'!$AW:$AW))/X274,"")</f>
        <v/>
      </c>
      <c r="AP274" s="142">
        <f>IFERROR(_xlfn.XLOOKUP($D274,'Modelling New'!$D:$D,'Modelling New'!$AK:$AK),"")</f>
        <v>0.05</v>
      </c>
      <c r="AQ274" s="142">
        <f>IFERROR(_xlfn.XLOOKUP($D274,'Modelling New'!$D:$D,'Modelling New'!$AL:$AL),"")</f>
        <v>0.05</v>
      </c>
      <c r="AR274" s="198">
        <f>IFERROR(_xlfn.XLOOKUP($D274,'Modelling New'!$D:$D,'Modelling New'!$N:$N),"")</f>
        <v>70.400000000000006</v>
      </c>
      <c r="AS274" s="198"/>
    </row>
    <row r="275" spans="1:45">
      <c r="A275" s="137">
        <f t="shared" si="28"/>
        <v>46018</v>
      </c>
      <c r="B275" s="138">
        <f>YEAR(Daily_KPI[[#This Row],[Date]])+IF(MONTH(Daily_KPI[[#This Row],[Date]])&gt;=4,1,0)</f>
        <v>2026</v>
      </c>
      <c r="C275" s="108">
        <f>YEAR(Daily_KPI[[#This Row],[Date]])</f>
        <v>2025</v>
      </c>
      <c r="D275" s="139">
        <f>Daily_KPI[[#This Row],[Date]]-DAY(Daily_KPI[[#This Row],[Date]])+1</f>
        <v>45992</v>
      </c>
      <c r="E275" s="108">
        <f t="shared" si="24"/>
        <v>31</v>
      </c>
      <c r="F275" s="109"/>
      <c r="G275" s="110"/>
      <c r="H275" s="110"/>
      <c r="I275" s="110"/>
      <c r="J275" s="110"/>
      <c r="K275" s="111"/>
      <c r="L275" s="110"/>
      <c r="M275" s="110" t="str">
        <f>IFERROR(_xlfn.XLOOKUP($A275,Input_Raw!$A:$A,Input_Raw!$CQ:$CQ),"")</f>
        <v/>
      </c>
      <c r="N275" s="110" t="str">
        <f>IFERROR(_xlfn.XLOOKUP($A275,Input_Raw!$A:$A,Input_Raw!$CR:$CR),"")</f>
        <v/>
      </c>
      <c r="O275" s="141" t="str">
        <f t="shared" si="25"/>
        <v/>
      </c>
      <c r="P275" s="141" t="str">
        <f>IFERROR(1-SUMIF(WTG_BD!$F:$F,$A275,WTG_BD!$AA:$AA)/($AA275+SUMIF(WTG_BD!$F:$F,$A275,WTG_BD!$AA:$AA)),"")</f>
        <v/>
      </c>
      <c r="Q275" s="141" t="str">
        <f>IFERROR(1-SUMIF(IGA_BD!$F:$F,$A275,IGA_BD!$W:$W)/($AA275+SUMIF(IGA_BD!$F:$F,$A275,IGA_BD!$W:$W)),"")</f>
        <v/>
      </c>
      <c r="R275" s="141" t="str">
        <f>IFERROR(1-SUMIF(Grid_BD!$F:$F,$A275,Grid_BD!$Y:$Y)/($AA275+SUMIF(Grid_BD!$F:$F,$A275,Grid_BD!$Y:$Y)),"")</f>
        <v/>
      </c>
      <c r="S275" s="108"/>
      <c r="T275" s="140"/>
      <c r="U275" s="141"/>
      <c r="V275" s="108"/>
      <c r="W275" s="142" t="str">
        <f t="shared" si="26"/>
        <v/>
      </c>
      <c r="X275" s="108" t="str">
        <f>IFERROR(_xlfn.XLOOKUP($A275,Input_Raw!$A:$A,Input_Raw!$CP:$CP)*1000,"")</f>
        <v/>
      </c>
      <c r="Y275" s="108" t="str">
        <f>IFERROR(_xlfn.XLOOKUP($A275,Input_Raw!$A:$A,Input_Raw!DJ:DJ)*1000,"")</f>
        <v/>
      </c>
      <c r="Z275" s="108" t="str">
        <f>IFERROR(_xlfn.XLOOKUP($A275,Input_Raw!$A:$A,Input_Raw!DK:DK)*1000,"")</f>
        <v/>
      </c>
      <c r="AA275" s="138" t="str">
        <f t="shared" si="27"/>
        <v/>
      </c>
      <c r="AB275" s="108" t="str">
        <f>IFERROR(_xlfn.XLOOKUP($A275,Input_Raw!$A:$A,Input_Raw!$DR:$DR),"")</f>
        <v/>
      </c>
      <c r="AC275" s="143">
        <f>IFERROR(_xlfn.XLOOKUP($D275,'Modelling New'!$D:$D,'Modelling New'!$J:$J),"")</f>
        <v>4.79</v>
      </c>
      <c r="AD275" s="138">
        <f>IFERROR(_xlfn.XLOOKUP($D275,'Modelling New'!$D:$D,'Modelling New'!$T:$T)*1000,"")</f>
        <v>233936.54337157667</v>
      </c>
      <c r="AE275" s="142"/>
      <c r="AF275" s="142">
        <f>IFERROR(_xlfn.XLOOKUP($D275,'Modelling New'!$D:$D,'Modelling New'!$W:$W),"")</f>
        <v>0.13845676099170021</v>
      </c>
      <c r="AG275" s="142">
        <f>IFERROR(_xlfn.XLOOKUP($D275,'Modelling New'!$D:$D,'Modelling New'!$AE:$AE),"")</f>
        <v>0.96029999999999993</v>
      </c>
      <c r="AH275" s="142">
        <f>IFERROR(_xlfn.XLOOKUP($D275,'Modelling New'!$D:$D,'Modelling New'!$AF:$AF),"")</f>
        <v>0.995</v>
      </c>
      <c r="AI275" s="109" t="str">
        <f>IFERROR(_xlfn.XLOOKUP($A275,Input_Raw!$A:$A,Input_Raw!$DP:$DP),"")</f>
        <v/>
      </c>
      <c r="AJ275" s="108"/>
      <c r="AK275" s="108"/>
      <c r="AL275" s="108"/>
      <c r="AM275" s="108"/>
      <c r="AN275" s="132" t="str">
        <f>IFERROR(_xlfn.XLOOKUP($A275,Input_Raw!$A:$A,Input_Raw!$DL:$DL),"")</f>
        <v/>
      </c>
      <c r="AO275" s="142" t="str">
        <f>IFERROR((_xlfn.XLOOKUP($A275,'WTG Reactive Power'!$A:$A,'WTG Reactive Power'!$AW:$AW))/X275,"")</f>
        <v/>
      </c>
      <c r="AP275" s="142">
        <f>IFERROR(_xlfn.XLOOKUP($D275,'Modelling New'!$D:$D,'Modelling New'!$AK:$AK),"")</f>
        <v>0.05</v>
      </c>
      <c r="AQ275" s="142">
        <f>IFERROR(_xlfn.XLOOKUP($D275,'Modelling New'!$D:$D,'Modelling New'!$AL:$AL),"")</f>
        <v>0.05</v>
      </c>
      <c r="AR275" s="198">
        <f>IFERROR(_xlfn.XLOOKUP($D275,'Modelling New'!$D:$D,'Modelling New'!$N:$N),"")</f>
        <v>70.400000000000006</v>
      </c>
      <c r="AS275" s="198"/>
    </row>
    <row r="276" spans="1:45">
      <c r="A276" s="137">
        <f t="shared" si="28"/>
        <v>46019</v>
      </c>
      <c r="B276" s="138">
        <f>YEAR(Daily_KPI[[#This Row],[Date]])+IF(MONTH(Daily_KPI[[#This Row],[Date]])&gt;=4,1,0)</f>
        <v>2026</v>
      </c>
      <c r="C276" s="108">
        <f>YEAR(Daily_KPI[[#This Row],[Date]])</f>
        <v>2025</v>
      </c>
      <c r="D276" s="139">
        <f>Daily_KPI[[#This Row],[Date]]-DAY(Daily_KPI[[#This Row],[Date]])+1</f>
        <v>45992</v>
      </c>
      <c r="E276" s="108">
        <f t="shared" si="24"/>
        <v>31</v>
      </c>
      <c r="F276" s="109"/>
      <c r="G276" s="143"/>
      <c r="H276" s="143"/>
      <c r="I276" s="143"/>
      <c r="J276" s="143"/>
      <c r="K276" s="111"/>
      <c r="L276" s="110"/>
      <c r="M276" s="110" t="str">
        <f>IFERROR(_xlfn.XLOOKUP($A276,Input_Raw!$A:$A,Input_Raw!$CQ:$CQ),"")</f>
        <v/>
      </c>
      <c r="N276" s="110" t="str">
        <f>IFERROR(_xlfn.XLOOKUP($A276,Input_Raw!$A:$A,Input_Raw!$CR:$CR),"")</f>
        <v/>
      </c>
      <c r="O276" s="141" t="str">
        <f t="shared" si="25"/>
        <v/>
      </c>
      <c r="P276" s="141" t="str">
        <f>IFERROR(1-SUMIF(WTG_BD!$F:$F,$A276,WTG_BD!$AA:$AA)/($AA276+SUMIF(WTG_BD!$F:$F,$A276,WTG_BD!$AA:$AA)),"")</f>
        <v/>
      </c>
      <c r="Q276" s="141" t="str">
        <f>IFERROR(1-SUMIF(IGA_BD!$F:$F,$A276,IGA_BD!$W:$W)/($AA276+SUMIF(IGA_BD!$F:$F,$A276,IGA_BD!$W:$W)),"")</f>
        <v/>
      </c>
      <c r="R276" s="141" t="str">
        <f>IFERROR(1-SUMIF(Grid_BD!$F:$F,$A276,Grid_BD!$Y:$Y)/($AA276+SUMIF(Grid_BD!$F:$F,$A276,Grid_BD!$Y:$Y)),"")</f>
        <v/>
      </c>
      <c r="S276" s="108"/>
      <c r="T276" s="140"/>
      <c r="U276" s="141"/>
      <c r="V276" s="108"/>
      <c r="W276" s="142" t="str">
        <f t="shared" si="26"/>
        <v/>
      </c>
      <c r="X276" s="108" t="str">
        <f>IFERROR(_xlfn.XLOOKUP($A276,Input_Raw!$A:$A,Input_Raw!$CP:$CP)*1000,"")</f>
        <v/>
      </c>
      <c r="Y276" s="108" t="str">
        <f>IFERROR(_xlfn.XLOOKUP($A276,Input_Raw!$A:$A,Input_Raw!DJ:DJ)*1000,"")</f>
        <v/>
      </c>
      <c r="Z276" s="108" t="str">
        <f>IFERROR(_xlfn.XLOOKUP($A276,Input_Raw!$A:$A,Input_Raw!DK:DK)*1000,"")</f>
        <v/>
      </c>
      <c r="AA276" s="138" t="str">
        <f t="shared" si="27"/>
        <v/>
      </c>
      <c r="AB276" s="108" t="str">
        <f>IFERROR(_xlfn.XLOOKUP($A276,Input_Raw!$A:$A,Input_Raw!$DR:$DR),"")</f>
        <v/>
      </c>
      <c r="AC276" s="143">
        <f>IFERROR(_xlfn.XLOOKUP($D276,'Modelling New'!$D:$D,'Modelling New'!$J:$J),"")</f>
        <v>4.79</v>
      </c>
      <c r="AD276" s="138">
        <f>IFERROR(_xlfn.XLOOKUP($D276,'Modelling New'!$D:$D,'Modelling New'!$T:$T)*1000,"")</f>
        <v>233936.54337157667</v>
      </c>
      <c r="AE276" s="142"/>
      <c r="AF276" s="142">
        <f>IFERROR(_xlfn.XLOOKUP($D276,'Modelling New'!$D:$D,'Modelling New'!$W:$W),"")</f>
        <v>0.13845676099170021</v>
      </c>
      <c r="AG276" s="142">
        <f>IFERROR(_xlfn.XLOOKUP($D276,'Modelling New'!$D:$D,'Modelling New'!$AE:$AE),"")</f>
        <v>0.96029999999999993</v>
      </c>
      <c r="AH276" s="142">
        <f>IFERROR(_xlfn.XLOOKUP($D276,'Modelling New'!$D:$D,'Modelling New'!$AF:$AF),"")</f>
        <v>0.995</v>
      </c>
      <c r="AI276" s="109" t="str">
        <f>IFERROR(_xlfn.XLOOKUP($A276,Input_Raw!$A:$A,Input_Raw!$DP:$DP),"")</f>
        <v/>
      </c>
      <c r="AJ276" s="108"/>
      <c r="AK276" s="108"/>
      <c r="AL276" s="108"/>
      <c r="AM276" s="108"/>
      <c r="AN276" s="132" t="str">
        <f>IFERROR(_xlfn.XLOOKUP($A276,Input_Raw!$A:$A,Input_Raw!$DL:$DL),"")</f>
        <v/>
      </c>
      <c r="AO276" s="142" t="str">
        <f>IFERROR((_xlfn.XLOOKUP($A276,'WTG Reactive Power'!$A:$A,'WTG Reactive Power'!$AW:$AW))/X276,"")</f>
        <v/>
      </c>
      <c r="AP276" s="142">
        <f>IFERROR(_xlfn.XLOOKUP($D276,'Modelling New'!$D:$D,'Modelling New'!$AK:$AK),"")</f>
        <v>0.05</v>
      </c>
      <c r="AQ276" s="142">
        <f>IFERROR(_xlfn.XLOOKUP($D276,'Modelling New'!$D:$D,'Modelling New'!$AL:$AL),"")</f>
        <v>0.05</v>
      </c>
      <c r="AR276" s="198">
        <f>IFERROR(_xlfn.XLOOKUP($D276,'Modelling New'!$D:$D,'Modelling New'!$N:$N),"")</f>
        <v>70.400000000000006</v>
      </c>
      <c r="AS276" s="198"/>
    </row>
    <row r="277" spans="1:45">
      <c r="A277" s="137">
        <f t="shared" si="28"/>
        <v>46020</v>
      </c>
      <c r="B277" s="138">
        <f>YEAR(Daily_KPI[[#This Row],[Date]])+IF(MONTH(Daily_KPI[[#This Row],[Date]])&gt;=4,1,0)</f>
        <v>2026</v>
      </c>
      <c r="C277" s="108">
        <f>YEAR(Daily_KPI[[#This Row],[Date]])</f>
        <v>2025</v>
      </c>
      <c r="D277" s="139">
        <f>Daily_KPI[[#This Row],[Date]]-DAY(Daily_KPI[[#This Row],[Date]])+1</f>
        <v>45992</v>
      </c>
      <c r="E277" s="108">
        <f t="shared" si="24"/>
        <v>31</v>
      </c>
      <c r="F277" s="109"/>
      <c r="G277" s="110"/>
      <c r="H277" s="110"/>
      <c r="I277" s="110"/>
      <c r="J277" s="110"/>
      <c r="K277" s="111"/>
      <c r="L277" s="110"/>
      <c r="M277" s="110" t="str">
        <f>IFERROR(_xlfn.XLOOKUP($A277,Input_Raw!$A:$A,Input_Raw!$CQ:$CQ),"")</f>
        <v/>
      </c>
      <c r="N277" s="110" t="str">
        <f>IFERROR(_xlfn.XLOOKUP($A277,Input_Raw!$A:$A,Input_Raw!$CR:$CR),"")</f>
        <v/>
      </c>
      <c r="O277" s="141" t="str">
        <f t="shared" si="25"/>
        <v/>
      </c>
      <c r="P277" s="141" t="str">
        <f>IFERROR(1-SUMIF(WTG_BD!$F:$F,$A277,WTG_BD!$AA:$AA)/($AA277+SUMIF(WTG_BD!$F:$F,$A277,WTG_BD!$AA:$AA)),"")</f>
        <v/>
      </c>
      <c r="Q277" s="141" t="str">
        <f>IFERROR(1-SUMIF(IGA_BD!$F:$F,$A277,IGA_BD!$W:$W)/($AA277+SUMIF(IGA_BD!$F:$F,$A277,IGA_BD!$W:$W)),"")</f>
        <v/>
      </c>
      <c r="R277" s="141" t="str">
        <f>IFERROR(1-SUMIF(Grid_BD!$F:$F,$A277,Grid_BD!$Y:$Y)/($AA277+SUMIF(Grid_BD!$F:$F,$A277,Grid_BD!$Y:$Y)),"")</f>
        <v/>
      </c>
      <c r="S277" s="108"/>
      <c r="T277" s="140"/>
      <c r="U277" s="141"/>
      <c r="V277" s="108"/>
      <c r="W277" s="142" t="str">
        <f t="shared" si="26"/>
        <v/>
      </c>
      <c r="X277" s="108" t="str">
        <f>IFERROR(_xlfn.XLOOKUP($A277,Input_Raw!$A:$A,Input_Raw!$CP:$CP)*1000,"")</f>
        <v/>
      </c>
      <c r="Y277" s="108" t="str">
        <f>IFERROR(_xlfn.XLOOKUP($A277,Input_Raw!$A:$A,Input_Raw!DJ:DJ)*1000,"")</f>
        <v/>
      </c>
      <c r="Z277" s="108" t="str">
        <f>IFERROR(_xlfn.XLOOKUP($A277,Input_Raw!$A:$A,Input_Raw!DK:DK)*1000,"")</f>
        <v/>
      </c>
      <c r="AA277" s="138" t="str">
        <f t="shared" si="27"/>
        <v/>
      </c>
      <c r="AB277" s="108" t="str">
        <f>IFERROR(_xlfn.XLOOKUP($A277,Input_Raw!$A:$A,Input_Raw!$DR:$DR),"")</f>
        <v/>
      </c>
      <c r="AC277" s="143">
        <f>IFERROR(_xlfn.XLOOKUP($D277,'Modelling New'!$D:$D,'Modelling New'!$J:$J),"")</f>
        <v>4.79</v>
      </c>
      <c r="AD277" s="138">
        <f>IFERROR(_xlfn.XLOOKUP($D277,'Modelling New'!$D:$D,'Modelling New'!$T:$T)*1000,"")</f>
        <v>233936.54337157667</v>
      </c>
      <c r="AE277" s="142"/>
      <c r="AF277" s="142">
        <f>IFERROR(_xlfn.XLOOKUP($D277,'Modelling New'!$D:$D,'Modelling New'!$W:$W),"")</f>
        <v>0.13845676099170021</v>
      </c>
      <c r="AG277" s="142">
        <f>IFERROR(_xlfn.XLOOKUP($D277,'Modelling New'!$D:$D,'Modelling New'!$AE:$AE),"")</f>
        <v>0.96029999999999993</v>
      </c>
      <c r="AH277" s="142">
        <f>IFERROR(_xlfn.XLOOKUP($D277,'Modelling New'!$D:$D,'Modelling New'!$AF:$AF),"")</f>
        <v>0.995</v>
      </c>
      <c r="AI277" s="109" t="str">
        <f>IFERROR(_xlfn.XLOOKUP($A277,Input_Raw!$A:$A,Input_Raw!$DP:$DP),"")</f>
        <v/>
      </c>
      <c r="AJ277" s="108"/>
      <c r="AK277" s="108"/>
      <c r="AL277" s="108"/>
      <c r="AM277" s="108"/>
      <c r="AN277" s="132" t="str">
        <f>IFERROR(_xlfn.XLOOKUP($A277,Input_Raw!$A:$A,Input_Raw!$DL:$DL),"")</f>
        <v/>
      </c>
      <c r="AO277" s="142" t="str">
        <f>IFERROR((_xlfn.XLOOKUP($A277,'WTG Reactive Power'!$A:$A,'WTG Reactive Power'!$AW:$AW))/X277,"")</f>
        <v/>
      </c>
      <c r="AP277" s="142">
        <f>IFERROR(_xlfn.XLOOKUP($D277,'Modelling New'!$D:$D,'Modelling New'!$AK:$AK),"")</f>
        <v>0.05</v>
      </c>
      <c r="AQ277" s="142">
        <f>IFERROR(_xlfn.XLOOKUP($D277,'Modelling New'!$D:$D,'Modelling New'!$AL:$AL),"")</f>
        <v>0.05</v>
      </c>
      <c r="AR277" s="198">
        <f>IFERROR(_xlfn.XLOOKUP($D277,'Modelling New'!$D:$D,'Modelling New'!$N:$N),"")</f>
        <v>70.400000000000006</v>
      </c>
      <c r="AS277" s="198"/>
    </row>
    <row r="278" spans="1:45">
      <c r="A278" s="137">
        <f t="shared" si="28"/>
        <v>46021</v>
      </c>
      <c r="B278" s="138">
        <f>YEAR(Daily_KPI[[#This Row],[Date]])+IF(MONTH(Daily_KPI[[#This Row],[Date]])&gt;=4,1,0)</f>
        <v>2026</v>
      </c>
      <c r="C278" s="108">
        <f>YEAR(Daily_KPI[[#This Row],[Date]])</f>
        <v>2025</v>
      </c>
      <c r="D278" s="139">
        <f>Daily_KPI[[#This Row],[Date]]-DAY(Daily_KPI[[#This Row],[Date]])+1</f>
        <v>45992</v>
      </c>
      <c r="E278" s="108">
        <f t="shared" si="24"/>
        <v>31</v>
      </c>
      <c r="F278" s="109"/>
      <c r="G278" s="143"/>
      <c r="H278" s="143"/>
      <c r="I278" s="143"/>
      <c r="J278" s="143"/>
      <c r="K278" s="111"/>
      <c r="L278" s="110"/>
      <c r="M278" s="110" t="str">
        <f>IFERROR(_xlfn.XLOOKUP($A278,Input_Raw!$A:$A,Input_Raw!$CQ:$CQ),"")</f>
        <v/>
      </c>
      <c r="N278" s="110" t="str">
        <f>IFERROR(_xlfn.XLOOKUP($A278,Input_Raw!$A:$A,Input_Raw!$CR:$CR),"")</f>
        <v/>
      </c>
      <c r="O278" s="141" t="str">
        <f t="shared" si="25"/>
        <v/>
      </c>
      <c r="P278" s="141" t="str">
        <f>IFERROR(1-SUMIF(WTG_BD!$F:$F,$A278,WTG_BD!$AA:$AA)/($AA278+SUMIF(WTG_BD!$F:$F,$A278,WTG_BD!$AA:$AA)),"")</f>
        <v/>
      </c>
      <c r="Q278" s="141" t="str">
        <f>IFERROR(1-SUMIF(IGA_BD!$F:$F,$A278,IGA_BD!$W:$W)/($AA278+SUMIF(IGA_BD!$F:$F,$A278,IGA_BD!$W:$W)),"")</f>
        <v/>
      </c>
      <c r="R278" s="141" t="str">
        <f>IFERROR(1-SUMIF(Grid_BD!$F:$F,$A278,Grid_BD!$Y:$Y)/($AA278+SUMIF(Grid_BD!$F:$F,$A278,Grid_BD!$Y:$Y)),"")</f>
        <v/>
      </c>
      <c r="S278" s="108"/>
      <c r="T278" s="140"/>
      <c r="U278" s="141"/>
      <c r="V278" s="108"/>
      <c r="W278" s="142" t="str">
        <f t="shared" si="26"/>
        <v/>
      </c>
      <c r="X278" s="108" t="str">
        <f>IFERROR(_xlfn.XLOOKUP($A278,Input_Raw!$A:$A,Input_Raw!$CP:$CP)*1000,"")</f>
        <v/>
      </c>
      <c r="Y278" s="108" t="str">
        <f>IFERROR(_xlfn.XLOOKUP($A278,Input_Raw!$A:$A,Input_Raw!DJ:DJ)*1000,"")</f>
        <v/>
      </c>
      <c r="Z278" s="108" t="str">
        <f>IFERROR(_xlfn.XLOOKUP($A278,Input_Raw!$A:$A,Input_Raw!DK:DK)*1000,"")</f>
        <v/>
      </c>
      <c r="AA278" s="138" t="str">
        <f t="shared" si="27"/>
        <v/>
      </c>
      <c r="AB278" s="108" t="str">
        <f>IFERROR(_xlfn.XLOOKUP($A278,Input_Raw!$A:$A,Input_Raw!$DR:$DR),"")</f>
        <v/>
      </c>
      <c r="AC278" s="143">
        <f>IFERROR(_xlfn.XLOOKUP($D278,'Modelling New'!$D:$D,'Modelling New'!$J:$J),"")</f>
        <v>4.79</v>
      </c>
      <c r="AD278" s="138">
        <f>IFERROR(_xlfn.XLOOKUP($D278,'Modelling New'!$D:$D,'Modelling New'!$T:$T)*1000,"")</f>
        <v>233936.54337157667</v>
      </c>
      <c r="AE278" s="142"/>
      <c r="AF278" s="142">
        <f>IFERROR(_xlfn.XLOOKUP($D278,'Modelling New'!$D:$D,'Modelling New'!$W:$W),"")</f>
        <v>0.13845676099170021</v>
      </c>
      <c r="AG278" s="142">
        <f>IFERROR(_xlfn.XLOOKUP($D278,'Modelling New'!$D:$D,'Modelling New'!$AE:$AE),"")</f>
        <v>0.96029999999999993</v>
      </c>
      <c r="AH278" s="142">
        <f>IFERROR(_xlfn.XLOOKUP($D278,'Modelling New'!$D:$D,'Modelling New'!$AF:$AF),"")</f>
        <v>0.995</v>
      </c>
      <c r="AI278" s="109" t="str">
        <f>IFERROR(_xlfn.XLOOKUP($A278,Input_Raw!$A:$A,Input_Raw!$DP:$DP),"")</f>
        <v/>
      </c>
      <c r="AJ278" s="108"/>
      <c r="AK278" s="108"/>
      <c r="AL278" s="108"/>
      <c r="AM278" s="108"/>
      <c r="AN278" s="132" t="str">
        <f>IFERROR(_xlfn.XLOOKUP($A278,Input_Raw!$A:$A,Input_Raw!$DL:$DL),"")</f>
        <v/>
      </c>
      <c r="AO278" s="142" t="str">
        <f>IFERROR((_xlfn.XLOOKUP($A278,'WTG Reactive Power'!$A:$A,'WTG Reactive Power'!$AW:$AW))/X278,"")</f>
        <v/>
      </c>
      <c r="AP278" s="142">
        <f>IFERROR(_xlfn.XLOOKUP($D278,'Modelling New'!$D:$D,'Modelling New'!$AK:$AK),"")</f>
        <v>0.05</v>
      </c>
      <c r="AQ278" s="142">
        <f>IFERROR(_xlfn.XLOOKUP($D278,'Modelling New'!$D:$D,'Modelling New'!$AL:$AL),"")</f>
        <v>0.05</v>
      </c>
      <c r="AR278" s="198">
        <f>IFERROR(_xlfn.XLOOKUP($D278,'Modelling New'!$D:$D,'Modelling New'!$N:$N),"")</f>
        <v>70.400000000000006</v>
      </c>
      <c r="AS278" s="198"/>
    </row>
    <row r="279" spans="1:45">
      <c r="A279" s="137">
        <f t="shared" si="28"/>
        <v>46022</v>
      </c>
      <c r="B279" s="138">
        <f>YEAR(Daily_KPI[[#This Row],[Date]])+IF(MONTH(Daily_KPI[[#This Row],[Date]])&gt;=4,1,0)</f>
        <v>2026</v>
      </c>
      <c r="C279" s="108">
        <f>YEAR(Daily_KPI[[#This Row],[Date]])</f>
        <v>2025</v>
      </c>
      <c r="D279" s="139">
        <f>Daily_KPI[[#This Row],[Date]]-DAY(Daily_KPI[[#This Row],[Date]])+1</f>
        <v>45992</v>
      </c>
      <c r="E279" s="108">
        <f t="shared" si="24"/>
        <v>31</v>
      </c>
      <c r="F279" s="109"/>
      <c r="G279" s="110"/>
      <c r="H279" s="110"/>
      <c r="I279" s="110"/>
      <c r="J279" s="110"/>
      <c r="K279" s="111"/>
      <c r="L279" s="110"/>
      <c r="M279" s="110" t="str">
        <f>IFERROR(_xlfn.XLOOKUP($A279,Input_Raw!$A:$A,Input_Raw!$CQ:$CQ),"")</f>
        <v/>
      </c>
      <c r="N279" s="110" t="str">
        <f>IFERROR(_xlfn.XLOOKUP($A279,Input_Raw!$A:$A,Input_Raw!$CR:$CR),"")</f>
        <v/>
      </c>
      <c r="O279" s="141" t="str">
        <f t="shared" si="25"/>
        <v/>
      </c>
      <c r="P279" s="141" t="str">
        <f>IFERROR(1-SUMIF(WTG_BD!$F:$F,$A279,WTG_BD!$AA:$AA)/($AA279+SUMIF(WTG_BD!$F:$F,$A279,WTG_BD!$AA:$AA)),"")</f>
        <v/>
      </c>
      <c r="Q279" s="141" t="str">
        <f>IFERROR(1-SUMIF(IGA_BD!$F:$F,$A279,IGA_BD!$W:$W)/($AA279+SUMIF(IGA_BD!$F:$F,$A279,IGA_BD!$W:$W)),"")</f>
        <v/>
      </c>
      <c r="R279" s="141" t="str">
        <f>IFERROR(1-SUMIF(Grid_BD!$F:$F,$A279,Grid_BD!$Y:$Y)/($AA279+SUMIF(Grid_BD!$F:$F,$A279,Grid_BD!$Y:$Y)),"")</f>
        <v/>
      </c>
      <c r="S279" s="108"/>
      <c r="T279" s="140"/>
      <c r="U279" s="141"/>
      <c r="V279" s="108"/>
      <c r="W279" s="142" t="str">
        <f t="shared" si="26"/>
        <v/>
      </c>
      <c r="X279" s="108" t="str">
        <f>IFERROR(_xlfn.XLOOKUP($A279,Input_Raw!$A:$A,Input_Raw!$CP:$CP)*1000,"")</f>
        <v/>
      </c>
      <c r="Y279" s="108" t="str">
        <f>IFERROR(_xlfn.XLOOKUP($A279,Input_Raw!$A:$A,Input_Raw!DJ:DJ)*1000,"")</f>
        <v/>
      </c>
      <c r="Z279" s="108" t="str">
        <f>IFERROR(_xlfn.XLOOKUP($A279,Input_Raw!$A:$A,Input_Raw!DK:DK)*1000,"")</f>
        <v/>
      </c>
      <c r="AA279" s="138" t="str">
        <f t="shared" si="27"/>
        <v/>
      </c>
      <c r="AB279" s="108" t="str">
        <f>IFERROR(_xlfn.XLOOKUP($A279,Input_Raw!$A:$A,Input_Raw!$DR:$DR),"")</f>
        <v/>
      </c>
      <c r="AC279" s="143">
        <f>IFERROR(_xlfn.XLOOKUP($D279,'Modelling New'!$D:$D,'Modelling New'!$J:$J),"")</f>
        <v>4.79</v>
      </c>
      <c r="AD279" s="138">
        <f>IFERROR(_xlfn.XLOOKUP($D279,'Modelling New'!$D:$D,'Modelling New'!$T:$T)*1000,"")</f>
        <v>233936.54337157667</v>
      </c>
      <c r="AE279" s="142"/>
      <c r="AF279" s="142">
        <f>IFERROR(_xlfn.XLOOKUP($D279,'Modelling New'!$D:$D,'Modelling New'!$W:$W),"")</f>
        <v>0.13845676099170021</v>
      </c>
      <c r="AG279" s="142">
        <f>IFERROR(_xlfn.XLOOKUP($D279,'Modelling New'!$D:$D,'Modelling New'!$AE:$AE),"")</f>
        <v>0.96029999999999993</v>
      </c>
      <c r="AH279" s="142">
        <f>IFERROR(_xlfn.XLOOKUP($D279,'Modelling New'!$D:$D,'Modelling New'!$AF:$AF),"")</f>
        <v>0.995</v>
      </c>
      <c r="AI279" s="109" t="str">
        <f>IFERROR(_xlfn.XLOOKUP($A279,Input_Raw!$A:$A,Input_Raw!$DP:$DP),"")</f>
        <v/>
      </c>
      <c r="AJ279" s="108"/>
      <c r="AK279" s="108"/>
      <c r="AL279" s="108"/>
      <c r="AM279" s="108"/>
      <c r="AN279" s="132" t="str">
        <f>IFERROR(_xlfn.XLOOKUP($A279,Input_Raw!$A:$A,Input_Raw!$DL:$DL),"")</f>
        <v/>
      </c>
      <c r="AO279" s="142" t="str">
        <f>IFERROR((_xlfn.XLOOKUP($A279,'WTG Reactive Power'!$A:$A,'WTG Reactive Power'!$AW:$AW))/X279,"")</f>
        <v/>
      </c>
      <c r="AP279" s="142">
        <f>IFERROR(_xlfn.XLOOKUP($D279,'Modelling New'!$D:$D,'Modelling New'!$AK:$AK),"")</f>
        <v>0.05</v>
      </c>
      <c r="AQ279" s="142">
        <f>IFERROR(_xlfn.XLOOKUP($D279,'Modelling New'!$D:$D,'Modelling New'!$AL:$AL),"")</f>
        <v>0.05</v>
      </c>
      <c r="AR279" s="198">
        <f>IFERROR(_xlfn.XLOOKUP($D279,'Modelling New'!$D:$D,'Modelling New'!$N:$N),"")</f>
        <v>70.400000000000006</v>
      </c>
      <c r="AS279" s="198"/>
    </row>
    <row r="280" spans="1:45">
      <c r="A280" s="137">
        <f t="shared" si="28"/>
        <v>46023</v>
      </c>
      <c r="B280" s="138">
        <f>YEAR(Daily_KPI[[#This Row],[Date]])+IF(MONTH(Daily_KPI[[#This Row],[Date]])&gt;=4,1,0)</f>
        <v>2026</v>
      </c>
      <c r="C280" s="108">
        <f>YEAR(Daily_KPI[[#This Row],[Date]])</f>
        <v>2026</v>
      </c>
      <c r="D280" s="139">
        <f>Daily_KPI[[#This Row],[Date]]-DAY(Daily_KPI[[#This Row],[Date]])+1</f>
        <v>46023</v>
      </c>
      <c r="E280" s="108">
        <f t="shared" ref="E280:E311" si="29">DAY(EOMONTH(A280,0))</f>
        <v>31</v>
      </c>
      <c r="F280" s="109"/>
      <c r="G280" s="110"/>
      <c r="H280" s="110"/>
      <c r="I280" s="110"/>
      <c r="J280" s="110"/>
      <c r="K280" s="111"/>
      <c r="L280" s="110"/>
      <c r="M280" s="110" t="str">
        <f>IFERROR(_xlfn.XLOOKUP($A280,Input_Raw!$A:$A,Input_Raw!$CQ:$CQ),"")</f>
        <v/>
      </c>
      <c r="N280" s="110" t="str">
        <f>IFERROR(_xlfn.XLOOKUP($A280,Input_Raw!$A:$A,Input_Raw!$CR:$CR),"")</f>
        <v/>
      </c>
      <c r="O280" s="141" t="str">
        <f t="shared" ref="O280:O311" si="30">IFERROR(P280*Q280,"")</f>
        <v/>
      </c>
      <c r="P280" s="141" t="str">
        <f>IFERROR(1-SUMIF(WTG_BD!$F:$F,$A280,WTG_BD!$AA:$AA)/($AA280+SUMIF(WTG_BD!$F:$F,$A280,WTG_BD!$AA:$AA)),"")</f>
        <v/>
      </c>
      <c r="Q280" s="141" t="str">
        <f>IFERROR(1-SUMIF(IGA_BD!$F:$F,$A280,IGA_BD!$W:$W)/($AA280+SUMIF(IGA_BD!$F:$F,$A280,IGA_BD!$W:$W)),"")</f>
        <v/>
      </c>
      <c r="R280" s="141" t="str">
        <f>IFERROR(1-SUMIF(Grid_BD!$F:$F,$A280,Grid_BD!$Y:$Y)/($AA280+SUMIF(Grid_BD!$F:$F,$A280,Grid_BD!$Y:$Y)),"")</f>
        <v/>
      </c>
      <c r="S280" s="108"/>
      <c r="T280" s="140"/>
      <c r="U280" s="141"/>
      <c r="V280" s="108"/>
      <c r="W280" s="142" t="str">
        <f t="shared" ref="W280:W311" si="31">IFERROR(X280/(24*AB280*1000),"")</f>
        <v/>
      </c>
      <c r="X280" s="108" t="str">
        <f>IFERROR(_xlfn.XLOOKUP($A280,Input_Raw!$A:$A,Input_Raw!$CP:$CP)*1000,"")</f>
        <v/>
      </c>
      <c r="Y280" s="108" t="str">
        <f>IFERROR(_xlfn.XLOOKUP($A280,Input_Raw!$A:$A,Input_Raw!DJ:DJ)*1000,"")</f>
        <v/>
      </c>
      <c r="Z280" s="108" t="str">
        <f>IFERROR(_xlfn.XLOOKUP($A280,Input_Raw!$A:$A,Input_Raw!DK:DK)*1000,"")</f>
        <v/>
      </c>
      <c r="AA280" s="138" t="str">
        <f t="shared" ref="AA280:AA311" si="32">IFERROR(Y280-Z280,"")</f>
        <v/>
      </c>
      <c r="AB280" s="108" t="str">
        <f>IFERROR(_xlfn.XLOOKUP($A280,Input_Raw!$A:$A,Input_Raw!$DR:$DR),"")</f>
        <v/>
      </c>
      <c r="AC280" s="143">
        <f>IFERROR(_xlfn.XLOOKUP($D280,'Modelling New'!$D:$D,'Modelling New'!$J:$J),"")</f>
        <v>3.75</v>
      </c>
      <c r="AD280" s="138">
        <f>IFERROR(_xlfn.XLOOKUP($D280,'Modelling New'!$D:$D,'Modelling New'!$T:$T)*1000,"")</f>
        <v>106720.09220527501</v>
      </c>
      <c r="AE280" s="142"/>
      <c r="AF280" s="142">
        <f>IFERROR(_xlfn.XLOOKUP($D280,'Modelling New'!$D:$D,'Modelling New'!$W:$W),"")</f>
        <v>6.3162933360129611E-2</v>
      </c>
      <c r="AG280" s="142">
        <f>IFERROR(_xlfn.XLOOKUP($D280,'Modelling New'!$D:$D,'Modelling New'!$AE:$AE),"")</f>
        <v>0.96029999999999993</v>
      </c>
      <c r="AH280" s="142">
        <f>IFERROR(_xlfn.XLOOKUP($D280,'Modelling New'!$D:$D,'Modelling New'!$AF:$AF),"")</f>
        <v>0.995</v>
      </c>
      <c r="AI280" s="109" t="str">
        <f>IFERROR(_xlfn.XLOOKUP($A280,Input_Raw!$A:$A,Input_Raw!$DP:$DP),"")</f>
        <v/>
      </c>
      <c r="AJ280" s="108"/>
      <c r="AK280" s="108"/>
      <c r="AL280" s="108"/>
      <c r="AM280" s="108"/>
      <c r="AN280" s="132" t="str">
        <f>IFERROR(_xlfn.XLOOKUP($A280,Input_Raw!$A:$A,Input_Raw!$DL:$DL),"")</f>
        <v/>
      </c>
      <c r="AO280" s="142" t="str">
        <f>IFERROR((_xlfn.XLOOKUP($A280,'WTG Reactive Power'!$A:$A,'WTG Reactive Power'!$AW:$AW))/X280,"")</f>
        <v/>
      </c>
      <c r="AP280" s="142">
        <f>IFERROR(_xlfn.XLOOKUP($D280,'Modelling New'!$D:$D,'Modelling New'!$AK:$AK),"")</f>
        <v>0.05</v>
      </c>
      <c r="AQ280" s="142">
        <f>IFERROR(_xlfn.XLOOKUP($D280,'Modelling New'!$D:$D,'Modelling New'!$AL:$AL),"")</f>
        <v>0.05</v>
      </c>
      <c r="AR280" s="198">
        <f>IFERROR(_xlfn.XLOOKUP($D280,'Modelling New'!$D:$D,'Modelling New'!$N:$N),"")</f>
        <v>70.400000000000006</v>
      </c>
      <c r="AS280" s="198"/>
    </row>
    <row r="281" spans="1:45">
      <c r="A281" s="137">
        <f t="shared" si="28"/>
        <v>46024</v>
      </c>
      <c r="B281" s="138">
        <f>YEAR(Daily_KPI[[#This Row],[Date]])+IF(MONTH(Daily_KPI[[#This Row],[Date]])&gt;=4,1,0)</f>
        <v>2026</v>
      </c>
      <c r="C281" s="108">
        <f>YEAR(Daily_KPI[[#This Row],[Date]])</f>
        <v>2026</v>
      </c>
      <c r="D281" s="139">
        <f>Daily_KPI[[#This Row],[Date]]-DAY(Daily_KPI[[#This Row],[Date]])+1</f>
        <v>46023</v>
      </c>
      <c r="E281" s="108">
        <f t="shared" si="29"/>
        <v>31</v>
      </c>
      <c r="F281" s="109"/>
      <c r="G281" s="110"/>
      <c r="H281" s="110"/>
      <c r="I281" s="110"/>
      <c r="J281" s="110"/>
      <c r="K281" s="111"/>
      <c r="L281" s="110"/>
      <c r="M281" s="110" t="str">
        <f>IFERROR(_xlfn.XLOOKUP($A281,Input_Raw!$A:$A,Input_Raw!$CQ:$CQ),"")</f>
        <v/>
      </c>
      <c r="N281" s="110" t="str">
        <f>IFERROR(_xlfn.XLOOKUP($A281,Input_Raw!$A:$A,Input_Raw!$CR:$CR),"")</f>
        <v/>
      </c>
      <c r="O281" s="141" t="str">
        <f t="shared" si="30"/>
        <v/>
      </c>
      <c r="P281" s="141" t="str">
        <f>IFERROR(1-SUMIF(WTG_BD!$F:$F,$A281,WTG_BD!$AA:$AA)/($AA281+SUMIF(WTG_BD!$F:$F,$A281,WTG_BD!$AA:$AA)),"")</f>
        <v/>
      </c>
      <c r="Q281" s="141" t="str">
        <f>IFERROR(1-SUMIF(IGA_BD!$F:$F,$A281,IGA_BD!$W:$W)/($AA281+SUMIF(IGA_BD!$F:$F,$A281,IGA_BD!$W:$W)),"")</f>
        <v/>
      </c>
      <c r="R281" s="141" t="str">
        <f>IFERROR(1-SUMIF(Grid_BD!$F:$F,$A281,Grid_BD!$Y:$Y)/($AA281+SUMIF(Grid_BD!$F:$F,$A281,Grid_BD!$Y:$Y)),"")</f>
        <v/>
      </c>
      <c r="S281" s="108"/>
      <c r="T281" s="140"/>
      <c r="U281" s="141"/>
      <c r="V281" s="108"/>
      <c r="W281" s="142" t="str">
        <f t="shared" si="31"/>
        <v/>
      </c>
      <c r="X281" s="108" t="str">
        <f>IFERROR(_xlfn.XLOOKUP($A281,Input_Raw!$A:$A,Input_Raw!$CP:$CP)*1000,"")</f>
        <v/>
      </c>
      <c r="Y281" s="108" t="str">
        <f>IFERROR(_xlfn.XLOOKUP($A281,Input_Raw!$A:$A,Input_Raw!DJ:DJ)*1000,"")</f>
        <v/>
      </c>
      <c r="Z281" s="108" t="str">
        <f>IFERROR(_xlfn.XLOOKUP($A281,Input_Raw!$A:$A,Input_Raw!DK:DK)*1000,"")</f>
        <v/>
      </c>
      <c r="AA281" s="138" t="str">
        <f t="shared" si="32"/>
        <v/>
      </c>
      <c r="AB281" s="108" t="str">
        <f>IFERROR(_xlfn.XLOOKUP($A281,Input_Raw!$A:$A,Input_Raw!$DR:$DR),"")</f>
        <v/>
      </c>
      <c r="AC281" s="143">
        <f>IFERROR(_xlfn.XLOOKUP($D281,'Modelling New'!$D:$D,'Modelling New'!$J:$J),"")</f>
        <v>3.75</v>
      </c>
      <c r="AD281" s="138">
        <f>IFERROR(_xlfn.XLOOKUP($D281,'Modelling New'!$D:$D,'Modelling New'!$T:$T)*1000,"")</f>
        <v>106720.09220527501</v>
      </c>
      <c r="AE281" s="142"/>
      <c r="AF281" s="142">
        <f>IFERROR(_xlfn.XLOOKUP($D281,'Modelling New'!$D:$D,'Modelling New'!$W:$W),"")</f>
        <v>6.3162933360129611E-2</v>
      </c>
      <c r="AG281" s="142">
        <f>IFERROR(_xlfn.XLOOKUP($D281,'Modelling New'!$D:$D,'Modelling New'!$AE:$AE),"")</f>
        <v>0.96029999999999993</v>
      </c>
      <c r="AH281" s="142">
        <f>IFERROR(_xlfn.XLOOKUP($D281,'Modelling New'!$D:$D,'Modelling New'!$AF:$AF),"")</f>
        <v>0.995</v>
      </c>
      <c r="AI281" s="109" t="str">
        <f>IFERROR(_xlfn.XLOOKUP($A281,Input_Raw!$A:$A,Input_Raw!$DP:$DP),"")</f>
        <v/>
      </c>
      <c r="AJ281" s="108"/>
      <c r="AK281" s="108"/>
      <c r="AL281" s="108"/>
      <c r="AM281" s="108"/>
      <c r="AN281" s="132" t="str">
        <f>IFERROR(_xlfn.XLOOKUP($A281,Input_Raw!$A:$A,Input_Raw!$DL:$DL),"")</f>
        <v/>
      </c>
      <c r="AO281" s="142" t="str">
        <f>IFERROR((_xlfn.XLOOKUP($A281,'WTG Reactive Power'!$A:$A,'WTG Reactive Power'!$AW:$AW))/X281,"")</f>
        <v/>
      </c>
      <c r="AP281" s="142">
        <f>IFERROR(_xlfn.XLOOKUP($D281,'Modelling New'!$D:$D,'Modelling New'!$AK:$AK),"")</f>
        <v>0.05</v>
      </c>
      <c r="AQ281" s="142">
        <f>IFERROR(_xlfn.XLOOKUP($D281,'Modelling New'!$D:$D,'Modelling New'!$AL:$AL),"")</f>
        <v>0.05</v>
      </c>
      <c r="AR281" s="198">
        <f>IFERROR(_xlfn.XLOOKUP($D281,'Modelling New'!$D:$D,'Modelling New'!$N:$N),"")</f>
        <v>70.400000000000006</v>
      </c>
      <c r="AS281" s="198"/>
    </row>
    <row r="282" spans="1:45">
      <c r="A282" s="137">
        <f t="shared" si="28"/>
        <v>46025</v>
      </c>
      <c r="B282" s="138">
        <f>YEAR(Daily_KPI[[#This Row],[Date]])+IF(MONTH(Daily_KPI[[#This Row],[Date]])&gt;=4,1,0)</f>
        <v>2026</v>
      </c>
      <c r="C282" s="108">
        <f>YEAR(Daily_KPI[[#This Row],[Date]])</f>
        <v>2026</v>
      </c>
      <c r="D282" s="139">
        <f>Daily_KPI[[#This Row],[Date]]-DAY(Daily_KPI[[#This Row],[Date]])+1</f>
        <v>46023</v>
      </c>
      <c r="E282" s="108">
        <f t="shared" si="29"/>
        <v>31</v>
      </c>
      <c r="F282" s="109"/>
      <c r="G282" s="110"/>
      <c r="H282" s="110"/>
      <c r="I282" s="110"/>
      <c r="J282" s="110"/>
      <c r="K282" s="111"/>
      <c r="L282" s="110"/>
      <c r="M282" s="110" t="str">
        <f>IFERROR(_xlfn.XLOOKUP($A282,Input_Raw!$A:$A,Input_Raw!$CQ:$CQ),"")</f>
        <v/>
      </c>
      <c r="N282" s="110" t="str">
        <f>IFERROR(_xlfn.XLOOKUP($A282,Input_Raw!$A:$A,Input_Raw!$CR:$CR),"")</f>
        <v/>
      </c>
      <c r="O282" s="141" t="str">
        <f t="shared" si="30"/>
        <v/>
      </c>
      <c r="P282" s="141" t="str">
        <f>IFERROR(1-SUMIF(WTG_BD!$F:$F,$A282,WTG_BD!$AA:$AA)/($AA282+SUMIF(WTG_BD!$F:$F,$A282,WTG_BD!$AA:$AA)),"")</f>
        <v/>
      </c>
      <c r="Q282" s="141" t="str">
        <f>IFERROR(1-SUMIF(IGA_BD!$F:$F,$A282,IGA_BD!$W:$W)/($AA282+SUMIF(IGA_BD!$F:$F,$A282,IGA_BD!$W:$W)),"")</f>
        <v/>
      </c>
      <c r="R282" s="141" t="str">
        <f>IFERROR(1-SUMIF(Grid_BD!$F:$F,$A282,Grid_BD!$Y:$Y)/($AA282+SUMIF(Grid_BD!$F:$F,$A282,Grid_BD!$Y:$Y)),"")</f>
        <v/>
      </c>
      <c r="S282" s="108"/>
      <c r="T282" s="140"/>
      <c r="U282" s="141"/>
      <c r="V282" s="108"/>
      <c r="W282" s="142" t="str">
        <f t="shared" si="31"/>
        <v/>
      </c>
      <c r="X282" s="108" t="str">
        <f>IFERROR(_xlfn.XLOOKUP($A282,Input_Raw!$A:$A,Input_Raw!$CP:$CP)*1000,"")</f>
        <v/>
      </c>
      <c r="Y282" s="108" t="str">
        <f>IFERROR(_xlfn.XLOOKUP($A282,Input_Raw!$A:$A,Input_Raw!DJ:DJ)*1000,"")</f>
        <v/>
      </c>
      <c r="Z282" s="108" t="str">
        <f>IFERROR(_xlfn.XLOOKUP($A282,Input_Raw!$A:$A,Input_Raw!DK:DK)*1000,"")</f>
        <v/>
      </c>
      <c r="AA282" s="138" t="str">
        <f t="shared" si="32"/>
        <v/>
      </c>
      <c r="AB282" s="108" t="str">
        <f>IFERROR(_xlfn.XLOOKUP($A282,Input_Raw!$A:$A,Input_Raw!$DR:$DR),"")</f>
        <v/>
      </c>
      <c r="AC282" s="143">
        <f>IFERROR(_xlfn.XLOOKUP($D282,'Modelling New'!$D:$D,'Modelling New'!$J:$J),"")</f>
        <v>3.75</v>
      </c>
      <c r="AD282" s="138">
        <f>IFERROR(_xlfn.XLOOKUP($D282,'Modelling New'!$D:$D,'Modelling New'!$T:$T)*1000,"")</f>
        <v>106720.09220527501</v>
      </c>
      <c r="AE282" s="142"/>
      <c r="AF282" s="142">
        <f>IFERROR(_xlfn.XLOOKUP($D282,'Modelling New'!$D:$D,'Modelling New'!$W:$W),"")</f>
        <v>6.3162933360129611E-2</v>
      </c>
      <c r="AG282" s="142">
        <f>IFERROR(_xlfn.XLOOKUP($D282,'Modelling New'!$D:$D,'Modelling New'!$AE:$AE),"")</f>
        <v>0.96029999999999993</v>
      </c>
      <c r="AH282" s="142">
        <f>IFERROR(_xlfn.XLOOKUP($D282,'Modelling New'!$D:$D,'Modelling New'!$AF:$AF),"")</f>
        <v>0.995</v>
      </c>
      <c r="AI282" s="109" t="str">
        <f>IFERROR(_xlfn.XLOOKUP($A282,Input_Raw!$A:$A,Input_Raw!$DP:$DP),"")</f>
        <v/>
      </c>
      <c r="AJ282" s="108"/>
      <c r="AK282" s="108"/>
      <c r="AL282" s="108"/>
      <c r="AM282" s="108"/>
      <c r="AN282" s="132" t="str">
        <f>IFERROR(_xlfn.XLOOKUP($A282,Input_Raw!$A:$A,Input_Raw!$DL:$DL),"")</f>
        <v/>
      </c>
      <c r="AO282" s="142" t="str">
        <f>IFERROR((_xlfn.XLOOKUP($A282,'WTG Reactive Power'!$A:$A,'WTG Reactive Power'!$AW:$AW))/X282,"")</f>
        <v/>
      </c>
      <c r="AP282" s="142">
        <f>IFERROR(_xlfn.XLOOKUP($D282,'Modelling New'!$D:$D,'Modelling New'!$AK:$AK),"")</f>
        <v>0.05</v>
      </c>
      <c r="AQ282" s="142">
        <f>IFERROR(_xlfn.XLOOKUP($D282,'Modelling New'!$D:$D,'Modelling New'!$AL:$AL),"")</f>
        <v>0.05</v>
      </c>
      <c r="AR282" s="198">
        <f>IFERROR(_xlfn.XLOOKUP($D282,'Modelling New'!$D:$D,'Modelling New'!$N:$N),"")</f>
        <v>70.400000000000006</v>
      </c>
      <c r="AS282" s="198"/>
    </row>
    <row r="283" spans="1:45">
      <c r="A283" s="137">
        <f t="shared" si="28"/>
        <v>46026</v>
      </c>
      <c r="B283" s="138">
        <f>YEAR(Daily_KPI[[#This Row],[Date]])+IF(MONTH(Daily_KPI[[#This Row],[Date]])&gt;=4,1,0)</f>
        <v>2026</v>
      </c>
      <c r="C283" s="108">
        <f>YEAR(Daily_KPI[[#This Row],[Date]])</f>
        <v>2026</v>
      </c>
      <c r="D283" s="139">
        <f>Daily_KPI[[#This Row],[Date]]-DAY(Daily_KPI[[#This Row],[Date]])+1</f>
        <v>46023</v>
      </c>
      <c r="E283" s="108">
        <f t="shared" si="29"/>
        <v>31</v>
      </c>
      <c r="F283" s="109"/>
      <c r="G283" s="110"/>
      <c r="H283" s="110"/>
      <c r="I283" s="110"/>
      <c r="J283" s="110"/>
      <c r="K283" s="111"/>
      <c r="L283" s="110"/>
      <c r="M283" s="110" t="str">
        <f>IFERROR(_xlfn.XLOOKUP($A283,Input_Raw!$A:$A,Input_Raw!$CQ:$CQ),"")</f>
        <v/>
      </c>
      <c r="N283" s="110" t="str">
        <f>IFERROR(_xlfn.XLOOKUP($A283,Input_Raw!$A:$A,Input_Raw!$CR:$CR),"")</f>
        <v/>
      </c>
      <c r="O283" s="141" t="str">
        <f t="shared" si="30"/>
        <v/>
      </c>
      <c r="P283" s="141" t="str">
        <f>IFERROR(1-SUMIF(WTG_BD!$F:$F,$A283,WTG_BD!$AA:$AA)/($AA283+SUMIF(WTG_BD!$F:$F,$A283,WTG_BD!$AA:$AA)),"")</f>
        <v/>
      </c>
      <c r="Q283" s="141" t="str">
        <f>IFERROR(1-SUMIF(IGA_BD!$F:$F,$A283,IGA_BD!$W:$W)/($AA283+SUMIF(IGA_BD!$F:$F,$A283,IGA_BD!$W:$W)),"")</f>
        <v/>
      </c>
      <c r="R283" s="141" t="str">
        <f>IFERROR(1-SUMIF(Grid_BD!$F:$F,$A283,Grid_BD!$Y:$Y)/($AA283+SUMIF(Grid_BD!$F:$F,$A283,Grid_BD!$Y:$Y)),"")</f>
        <v/>
      </c>
      <c r="S283" s="108"/>
      <c r="T283" s="140"/>
      <c r="U283" s="141"/>
      <c r="V283" s="108"/>
      <c r="W283" s="142" t="str">
        <f t="shared" si="31"/>
        <v/>
      </c>
      <c r="X283" s="108" t="str">
        <f>IFERROR(_xlfn.XLOOKUP($A283,Input_Raw!$A:$A,Input_Raw!$CP:$CP)*1000,"")</f>
        <v/>
      </c>
      <c r="Y283" s="108" t="str">
        <f>IFERROR(_xlfn.XLOOKUP($A283,Input_Raw!$A:$A,Input_Raw!DJ:DJ)*1000,"")</f>
        <v/>
      </c>
      <c r="Z283" s="108" t="str">
        <f>IFERROR(_xlfn.XLOOKUP($A283,Input_Raw!$A:$A,Input_Raw!DK:DK)*1000,"")</f>
        <v/>
      </c>
      <c r="AA283" s="138" t="str">
        <f t="shared" si="32"/>
        <v/>
      </c>
      <c r="AB283" s="108" t="str">
        <f>IFERROR(_xlfn.XLOOKUP($A283,Input_Raw!$A:$A,Input_Raw!$DR:$DR),"")</f>
        <v/>
      </c>
      <c r="AC283" s="143">
        <f>IFERROR(_xlfn.XLOOKUP($D283,'Modelling New'!$D:$D,'Modelling New'!$J:$J),"")</f>
        <v>3.75</v>
      </c>
      <c r="AD283" s="138">
        <f>IFERROR(_xlfn.XLOOKUP($D283,'Modelling New'!$D:$D,'Modelling New'!$T:$T)*1000,"")</f>
        <v>106720.09220527501</v>
      </c>
      <c r="AE283" s="142"/>
      <c r="AF283" s="142">
        <f>IFERROR(_xlfn.XLOOKUP($D283,'Modelling New'!$D:$D,'Modelling New'!$W:$W),"")</f>
        <v>6.3162933360129611E-2</v>
      </c>
      <c r="AG283" s="142">
        <f>IFERROR(_xlfn.XLOOKUP($D283,'Modelling New'!$D:$D,'Modelling New'!$AE:$AE),"")</f>
        <v>0.96029999999999993</v>
      </c>
      <c r="AH283" s="142">
        <f>IFERROR(_xlfn.XLOOKUP($D283,'Modelling New'!$D:$D,'Modelling New'!$AF:$AF),"")</f>
        <v>0.995</v>
      </c>
      <c r="AI283" s="109" t="str">
        <f>IFERROR(_xlfn.XLOOKUP($A283,Input_Raw!$A:$A,Input_Raw!$DP:$DP),"")</f>
        <v/>
      </c>
      <c r="AJ283" s="108"/>
      <c r="AK283" s="108"/>
      <c r="AL283" s="108"/>
      <c r="AM283" s="108"/>
      <c r="AN283" s="132" t="str">
        <f>IFERROR(_xlfn.XLOOKUP($A283,Input_Raw!$A:$A,Input_Raw!$DL:$DL),"")</f>
        <v/>
      </c>
      <c r="AO283" s="142" t="str">
        <f>IFERROR((_xlfn.XLOOKUP($A283,'WTG Reactive Power'!$A:$A,'WTG Reactive Power'!$AW:$AW))/X283,"")</f>
        <v/>
      </c>
      <c r="AP283" s="142">
        <f>IFERROR(_xlfn.XLOOKUP($D283,'Modelling New'!$D:$D,'Modelling New'!$AK:$AK),"")</f>
        <v>0.05</v>
      </c>
      <c r="AQ283" s="142">
        <f>IFERROR(_xlfn.XLOOKUP($D283,'Modelling New'!$D:$D,'Modelling New'!$AL:$AL),"")</f>
        <v>0.05</v>
      </c>
      <c r="AR283" s="198">
        <f>IFERROR(_xlfn.XLOOKUP($D283,'Modelling New'!$D:$D,'Modelling New'!$N:$N),"")</f>
        <v>70.400000000000006</v>
      </c>
      <c r="AS283" s="198"/>
    </row>
    <row r="284" spans="1:45">
      <c r="A284" s="137">
        <f t="shared" si="28"/>
        <v>46027</v>
      </c>
      <c r="B284" s="138">
        <f>YEAR(Daily_KPI[[#This Row],[Date]])+IF(MONTH(Daily_KPI[[#This Row],[Date]])&gt;=4,1,0)</f>
        <v>2026</v>
      </c>
      <c r="C284" s="108">
        <f>YEAR(Daily_KPI[[#This Row],[Date]])</f>
        <v>2026</v>
      </c>
      <c r="D284" s="139">
        <f>Daily_KPI[[#This Row],[Date]]-DAY(Daily_KPI[[#This Row],[Date]])+1</f>
        <v>46023</v>
      </c>
      <c r="E284" s="108">
        <f t="shared" si="29"/>
        <v>31</v>
      </c>
      <c r="F284" s="109"/>
      <c r="G284" s="110"/>
      <c r="H284" s="110"/>
      <c r="I284" s="110"/>
      <c r="J284" s="110"/>
      <c r="K284" s="111"/>
      <c r="L284" s="110"/>
      <c r="M284" s="110" t="str">
        <f>IFERROR(_xlfn.XLOOKUP($A284,Input_Raw!$A:$A,Input_Raw!$CQ:$CQ),"")</f>
        <v/>
      </c>
      <c r="N284" s="110" t="str">
        <f>IFERROR(_xlfn.XLOOKUP($A284,Input_Raw!$A:$A,Input_Raw!$CR:$CR),"")</f>
        <v/>
      </c>
      <c r="O284" s="141" t="str">
        <f t="shared" si="30"/>
        <v/>
      </c>
      <c r="P284" s="141" t="str">
        <f>IFERROR(1-SUMIF(WTG_BD!$F:$F,$A284,WTG_BD!$AA:$AA)/($AA284+SUMIF(WTG_BD!$F:$F,$A284,WTG_BD!$AA:$AA)),"")</f>
        <v/>
      </c>
      <c r="Q284" s="141" t="str">
        <f>IFERROR(1-SUMIF(IGA_BD!$F:$F,$A284,IGA_BD!$W:$W)/($AA284+SUMIF(IGA_BD!$F:$F,$A284,IGA_BD!$W:$W)),"")</f>
        <v/>
      </c>
      <c r="R284" s="141" t="str">
        <f>IFERROR(1-SUMIF(Grid_BD!$F:$F,$A284,Grid_BD!$Y:$Y)/($AA284+SUMIF(Grid_BD!$F:$F,$A284,Grid_BD!$Y:$Y)),"")</f>
        <v/>
      </c>
      <c r="S284" s="108"/>
      <c r="T284" s="140"/>
      <c r="U284" s="141"/>
      <c r="V284" s="108"/>
      <c r="W284" s="142" t="str">
        <f t="shared" si="31"/>
        <v/>
      </c>
      <c r="X284" s="108" t="str">
        <f>IFERROR(_xlfn.XLOOKUP($A284,Input_Raw!$A:$A,Input_Raw!$CP:$CP)*1000,"")</f>
        <v/>
      </c>
      <c r="Y284" s="108" t="str">
        <f>IFERROR(_xlfn.XLOOKUP($A284,Input_Raw!$A:$A,Input_Raw!DJ:DJ)*1000,"")</f>
        <v/>
      </c>
      <c r="Z284" s="108" t="str">
        <f>IFERROR(_xlfn.XLOOKUP($A284,Input_Raw!$A:$A,Input_Raw!DK:DK)*1000,"")</f>
        <v/>
      </c>
      <c r="AA284" s="138" t="str">
        <f t="shared" si="32"/>
        <v/>
      </c>
      <c r="AB284" s="108" t="str">
        <f>IFERROR(_xlfn.XLOOKUP($A284,Input_Raw!$A:$A,Input_Raw!$DR:$DR),"")</f>
        <v/>
      </c>
      <c r="AC284" s="143">
        <f>IFERROR(_xlfn.XLOOKUP($D284,'Modelling New'!$D:$D,'Modelling New'!$J:$J),"")</f>
        <v>3.75</v>
      </c>
      <c r="AD284" s="138">
        <f>IFERROR(_xlfn.XLOOKUP($D284,'Modelling New'!$D:$D,'Modelling New'!$T:$T)*1000,"")</f>
        <v>106720.09220527501</v>
      </c>
      <c r="AE284" s="142"/>
      <c r="AF284" s="142">
        <f>IFERROR(_xlfn.XLOOKUP($D284,'Modelling New'!$D:$D,'Modelling New'!$W:$W),"")</f>
        <v>6.3162933360129611E-2</v>
      </c>
      <c r="AG284" s="142">
        <f>IFERROR(_xlfn.XLOOKUP($D284,'Modelling New'!$D:$D,'Modelling New'!$AE:$AE),"")</f>
        <v>0.96029999999999993</v>
      </c>
      <c r="AH284" s="142">
        <f>IFERROR(_xlfn.XLOOKUP($D284,'Modelling New'!$D:$D,'Modelling New'!$AF:$AF),"")</f>
        <v>0.995</v>
      </c>
      <c r="AI284" s="109" t="str">
        <f>IFERROR(_xlfn.XLOOKUP($A284,Input_Raw!$A:$A,Input_Raw!$DP:$DP),"")</f>
        <v/>
      </c>
      <c r="AJ284" s="108"/>
      <c r="AK284" s="108"/>
      <c r="AL284" s="108"/>
      <c r="AM284" s="108"/>
      <c r="AN284" s="132" t="str">
        <f>IFERROR(_xlfn.XLOOKUP($A284,Input_Raw!$A:$A,Input_Raw!$DL:$DL),"")</f>
        <v/>
      </c>
      <c r="AO284" s="142" t="str">
        <f>IFERROR((_xlfn.XLOOKUP($A284,'WTG Reactive Power'!$A:$A,'WTG Reactive Power'!$AW:$AW))/X284,"")</f>
        <v/>
      </c>
      <c r="AP284" s="142">
        <f>IFERROR(_xlfn.XLOOKUP($D284,'Modelling New'!$D:$D,'Modelling New'!$AK:$AK),"")</f>
        <v>0.05</v>
      </c>
      <c r="AQ284" s="142">
        <f>IFERROR(_xlfn.XLOOKUP($D284,'Modelling New'!$D:$D,'Modelling New'!$AL:$AL),"")</f>
        <v>0.05</v>
      </c>
      <c r="AR284" s="198">
        <f>IFERROR(_xlfn.XLOOKUP($D284,'Modelling New'!$D:$D,'Modelling New'!$N:$N),"")</f>
        <v>70.400000000000006</v>
      </c>
      <c r="AS284" s="198"/>
    </row>
    <row r="285" spans="1:45">
      <c r="A285" s="137">
        <f t="shared" si="28"/>
        <v>46028</v>
      </c>
      <c r="B285" s="138">
        <f>YEAR(Daily_KPI[[#This Row],[Date]])+IF(MONTH(Daily_KPI[[#This Row],[Date]])&gt;=4,1,0)</f>
        <v>2026</v>
      </c>
      <c r="C285" s="108">
        <f>YEAR(Daily_KPI[[#This Row],[Date]])</f>
        <v>2026</v>
      </c>
      <c r="D285" s="139">
        <f>Daily_KPI[[#This Row],[Date]]-DAY(Daily_KPI[[#This Row],[Date]])+1</f>
        <v>46023</v>
      </c>
      <c r="E285" s="108">
        <f t="shared" si="29"/>
        <v>31</v>
      </c>
      <c r="F285" s="109"/>
      <c r="G285" s="110"/>
      <c r="H285" s="110"/>
      <c r="I285" s="110"/>
      <c r="J285" s="110"/>
      <c r="K285" s="111"/>
      <c r="L285" s="110"/>
      <c r="M285" s="110" t="str">
        <f>IFERROR(_xlfn.XLOOKUP($A285,Input_Raw!$A:$A,Input_Raw!$CQ:$CQ),"")</f>
        <v/>
      </c>
      <c r="N285" s="110" t="str">
        <f>IFERROR(_xlfn.XLOOKUP($A285,Input_Raw!$A:$A,Input_Raw!$CR:$CR),"")</f>
        <v/>
      </c>
      <c r="O285" s="141" t="str">
        <f t="shared" si="30"/>
        <v/>
      </c>
      <c r="P285" s="141" t="str">
        <f>IFERROR(1-SUMIF(WTG_BD!$F:$F,$A285,WTG_BD!$AA:$AA)/($AA285+SUMIF(WTG_BD!$F:$F,$A285,WTG_BD!$AA:$AA)),"")</f>
        <v/>
      </c>
      <c r="Q285" s="141" t="str">
        <f>IFERROR(1-SUMIF(IGA_BD!$F:$F,$A285,IGA_BD!$W:$W)/($AA285+SUMIF(IGA_BD!$F:$F,$A285,IGA_BD!$W:$W)),"")</f>
        <v/>
      </c>
      <c r="R285" s="141" t="str">
        <f>IFERROR(1-SUMIF(Grid_BD!$F:$F,$A285,Grid_BD!$Y:$Y)/($AA285+SUMIF(Grid_BD!$F:$F,$A285,Grid_BD!$Y:$Y)),"")</f>
        <v/>
      </c>
      <c r="S285" s="108"/>
      <c r="T285" s="140"/>
      <c r="U285" s="141"/>
      <c r="V285" s="108"/>
      <c r="W285" s="142" t="str">
        <f t="shared" si="31"/>
        <v/>
      </c>
      <c r="X285" s="108" t="str">
        <f>IFERROR(_xlfn.XLOOKUP($A285,Input_Raw!$A:$A,Input_Raw!$CP:$CP)*1000,"")</f>
        <v/>
      </c>
      <c r="Y285" s="108" t="str">
        <f>IFERROR(_xlfn.XLOOKUP($A285,Input_Raw!$A:$A,Input_Raw!DJ:DJ)*1000,"")</f>
        <v/>
      </c>
      <c r="Z285" s="108" t="str">
        <f>IFERROR(_xlfn.XLOOKUP($A285,Input_Raw!$A:$A,Input_Raw!DK:DK)*1000,"")</f>
        <v/>
      </c>
      <c r="AA285" s="138" t="str">
        <f t="shared" si="32"/>
        <v/>
      </c>
      <c r="AB285" s="108" t="str">
        <f>IFERROR(_xlfn.XLOOKUP($A285,Input_Raw!$A:$A,Input_Raw!$DR:$DR),"")</f>
        <v/>
      </c>
      <c r="AC285" s="143">
        <f>IFERROR(_xlfn.XLOOKUP($D285,'Modelling New'!$D:$D,'Modelling New'!$J:$J),"")</f>
        <v>3.75</v>
      </c>
      <c r="AD285" s="138">
        <f>IFERROR(_xlfn.XLOOKUP($D285,'Modelling New'!$D:$D,'Modelling New'!$T:$T)*1000,"")</f>
        <v>106720.09220527501</v>
      </c>
      <c r="AE285" s="142"/>
      <c r="AF285" s="142">
        <f>IFERROR(_xlfn.XLOOKUP($D285,'Modelling New'!$D:$D,'Modelling New'!$W:$W),"")</f>
        <v>6.3162933360129611E-2</v>
      </c>
      <c r="AG285" s="142">
        <f>IFERROR(_xlfn.XLOOKUP($D285,'Modelling New'!$D:$D,'Modelling New'!$AE:$AE),"")</f>
        <v>0.96029999999999993</v>
      </c>
      <c r="AH285" s="142">
        <f>IFERROR(_xlfn.XLOOKUP($D285,'Modelling New'!$D:$D,'Modelling New'!$AF:$AF),"")</f>
        <v>0.995</v>
      </c>
      <c r="AI285" s="109" t="str">
        <f>IFERROR(_xlfn.XLOOKUP($A285,Input_Raw!$A:$A,Input_Raw!$DP:$DP),"")</f>
        <v/>
      </c>
      <c r="AJ285" s="108"/>
      <c r="AK285" s="108"/>
      <c r="AL285" s="108"/>
      <c r="AM285" s="108"/>
      <c r="AN285" s="132" t="str">
        <f>IFERROR(_xlfn.XLOOKUP($A285,Input_Raw!$A:$A,Input_Raw!$DL:$DL),"")</f>
        <v/>
      </c>
      <c r="AO285" s="142" t="str">
        <f>IFERROR((_xlfn.XLOOKUP($A285,'WTG Reactive Power'!$A:$A,'WTG Reactive Power'!$AW:$AW))/X285,"")</f>
        <v/>
      </c>
      <c r="AP285" s="142">
        <f>IFERROR(_xlfn.XLOOKUP($D285,'Modelling New'!$D:$D,'Modelling New'!$AK:$AK),"")</f>
        <v>0.05</v>
      </c>
      <c r="AQ285" s="142">
        <f>IFERROR(_xlfn.XLOOKUP($D285,'Modelling New'!$D:$D,'Modelling New'!$AL:$AL),"")</f>
        <v>0.05</v>
      </c>
      <c r="AR285" s="198">
        <f>IFERROR(_xlfn.XLOOKUP($D285,'Modelling New'!$D:$D,'Modelling New'!$N:$N),"")</f>
        <v>70.400000000000006</v>
      </c>
      <c r="AS285" s="198"/>
    </row>
    <row r="286" spans="1:45">
      <c r="A286" s="137">
        <f t="shared" si="28"/>
        <v>46029</v>
      </c>
      <c r="B286" s="138">
        <f>YEAR(Daily_KPI[[#This Row],[Date]])+IF(MONTH(Daily_KPI[[#This Row],[Date]])&gt;=4,1,0)</f>
        <v>2026</v>
      </c>
      <c r="C286" s="108">
        <f>YEAR(Daily_KPI[[#This Row],[Date]])</f>
        <v>2026</v>
      </c>
      <c r="D286" s="139">
        <f>Daily_KPI[[#This Row],[Date]]-DAY(Daily_KPI[[#This Row],[Date]])+1</f>
        <v>46023</v>
      </c>
      <c r="E286" s="108">
        <f t="shared" si="29"/>
        <v>31</v>
      </c>
      <c r="F286" s="109"/>
      <c r="G286" s="110"/>
      <c r="H286" s="110"/>
      <c r="I286" s="110"/>
      <c r="J286" s="110"/>
      <c r="K286" s="111"/>
      <c r="L286" s="110"/>
      <c r="M286" s="110" t="str">
        <f>IFERROR(_xlfn.XLOOKUP($A286,Input_Raw!$A:$A,Input_Raw!$CQ:$CQ),"")</f>
        <v/>
      </c>
      <c r="N286" s="110" t="str">
        <f>IFERROR(_xlfn.XLOOKUP($A286,Input_Raw!$A:$A,Input_Raw!$CR:$CR),"")</f>
        <v/>
      </c>
      <c r="O286" s="141" t="str">
        <f t="shared" si="30"/>
        <v/>
      </c>
      <c r="P286" s="141" t="str">
        <f>IFERROR(1-SUMIF(WTG_BD!$F:$F,$A286,WTG_BD!$AA:$AA)/($AA286+SUMIF(WTG_BD!$F:$F,$A286,WTG_BD!$AA:$AA)),"")</f>
        <v/>
      </c>
      <c r="Q286" s="141" t="str">
        <f>IFERROR(1-SUMIF(IGA_BD!$F:$F,$A286,IGA_BD!$W:$W)/($AA286+SUMIF(IGA_BD!$F:$F,$A286,IGA_BD!$W:$W)),"")</f>
        <v/>
      </c>
      <c r="R286" s="141" t="str">
        <f>IFERROR(1-SUMIF(Grid_BD!$F:$F,$A286,Grid_BD!$Y:$Y)/($AA286+SUMIF(Grid_BD!$F:$F,$A286,Grid_BD!$Y:$Y)),"")</f>
        <v/>
      </c>
      <c r="S286" s="108"/>
      <c r="T286" s="140"/>
      <c r="U286" s="141"/>
      <c r="V286" s="108"/>
      <c r="W286" s="142" t="str">
        <f t="shared" si="31"/>
        <v/>
      </c>
      <c r="X286" s="108" t="str">
        <f>IFERROR(_xlfn.XLOOKUP($A286,Input_Raw!$A:$A,Input_Raw!$CP:$CP)*1000,"")</f>
        <v/>
      </c>
      <c r="Y286" s="108" t="str">
        <f>IFERROR(_xlfn.XLOOKUP($A286,Input_Raw!$A:$A,Input_Raw!DJ:DJ)*1000,"")</f>
        <v/>
      </c>
      <c r="Z286" s="108" t="str">
        <f>IFERROR(_xlfn.XLOOKUP($A286,Input_Raw!$A:$A,Input_Raw!DK:DK)*1000,"")</f>
        <v/>
      </c>
      <c r="AA286" s="138" t="str">
        <f t="shared" si="32"/>
        <v/>
      </c>
      <c r="AB286" s="108" t="str">
        <f>IFERROR(_xlfn.XLOOKUP($A286,Input_Raw!$A:$A,Input_Raw!$DR:$DR),"")</f>
        <v/>
      </c>
      <c r="AC286" s="143">
        <f>IFERROR(_xlfn.XLOOKUP($D286,'Modelling New'!$D:$D,'Modelling New'!$J:$J),"")</f>
        <v>3.75</v>
      </c>
      <c r="AD286" s="138">
        <f>IFERROR(_xlfn.XLOOKUP($D286,'Modelling New'!$D:$D,'Modelling New'!$T:$T)*1000,"")</f>
        <v>106720.09220527501</v>
      </c>
      <c r="AE286" s="142"/>
      <c r="AF286" s="142">
        <f>IFERROR(_xlfn.XLOOKUP($D286,'Modelling New'!$D:$D,'Modelling New'!$W:$W),"")</f>
        <v>6.3162933360129611E-2</v>
      </c>
      <c r="AG286" s="142">
        <f>IFERROR(_xlfn.XLOOKUP($D286,'Modelling New'!$D:$D,'Modelling New'!$AE:$AE),"")</f>
        <v>0.96029999999999993</v>
      </c>
      <c r="AH286" s="142">
        <f>IFERROR(_xlfn.XLOOKUP($D286,'Modelling New'!$D:$D,'Modelling New'!$AF:$AF),"")</f>
        <v>0.995</v>
      </c>
      <c r="AI286" s="109" t="str">
        <f>IFERROR(_xlfn.XLOOKUP($A286,Input_Raw!$A:$A,Input_Raw!$DP:$DP),"")</f>
        <v/>
      </c>
      <c r="AJ286" s="108"/>
      <c r="AK286" s="108"/>
      <c r="AL286" s="108"/>
      <c r="AM286" s="108"/>
      <c r="AN286" s="132" t="str">
        <f>IFERROR(_xlfn.XLOOKUP($A286,Input_Raw!$A:$A,Input_Raw!$DL:$DL),"")</f>
        <v/>
      </c>
      <c r="AO286" s="142" t="str">
        <f>IFERROR((_xlfn.XLOOKUP($A286,'WTG Reactive Power'!$A:$A,'WTG Reactive Power'!$AW:$AW))/X286,"")</f>
        <v/>
      </c>
      <c r="AP286" s="142">
        <f>IFERROR(_xlfn.XLOOKUP($D286,'Modelling New'!$D:$D,'Modelling New'!$AK:$AK),"")</f>
        <v>0.05</v>
      </c>
      <c r="AQ286" s="142">
        <f>IFERROR(_xlfn.XLOOKUP($D286,'Modelling New'!$D:$D,'Modelling New'!$AL:$AL),"")</f>
        <v>0.05</v>
      </c>
      <c r="AR286" s="198">
        <f>IFERROR(_xlfn.XLOOKUP($D286,'Modelling New'!$D:$D,'Modelling New'!$N:$N),"")</f>
        <v>70.400000000000006</v>
      </c>
      <c r="AS286" s="198"/>
    </row>
    <row r="287" spans="1:45">
      <c r="A287" s="137">
        <f t="shared" si="28"/>
        <v>46030</v>
      </c>
      <c r="B287" s="138">
        <f>YEAR(Daily_KPI[[#This Row],[Date]])+IF(MONTH(Daily_KPI[[#This Row],[Date]])&gt;=4,1,0)</f>
        <v>2026</v>
      </c>
      <c r="C287" s="108">
        <f>YEAR(Daily_KPI[[#This Row],[Date]])</f>
        <v>2026</v>
      </c>
      <c r="D287" s="139">
        <f>Daily_KPI[[#This Row],[Date]]-DAY(Daily_KPI[[#This Row],[Date]])+1</f>
        <v>46023</v>
      </c>
      <c r="E287" s="108">
        <f t="shared" si="29"/>
        <v>31</v>
      </c>
      <c r="F287" s="109"/>
      <c r="G287" s="110"/>
      <c r="H287" s="110"/>
      <c r="I287" s="110"/>
      <c r="J287" s="110"/>
      <c r="K287" s="111"/>
      <c r="L287" s="110"/>
      <c r="M287" s="110" t="str">
        <f>IFERROR(_xlfn.XLOOKUP($A287,Input_Raw!$A:$A,Input_Raw!$CQ:$CQ),"")</f>
        <v/>
      </c>
      <c r="N287" s="110" t="str">
        <f>IFERROR(_xlfn.XLOOKUP($A287,Input_Raw!$A:$A,Input_Raw!$CR:$CR),"")</f>
        <v/>
      </c>
      <c r="O287" s="141" t="str">
        <f t="shared" si="30"/>
        <v/>
      </c>
      <c r="P287" s="141" t="str">
        <f>IFERROR(1-SUMIF(WTG_BD!$F:$F,$A287,WTG_BD!$AA:$AA)/($AA287+SUMIF(WTG_BD!$F:$F,$A287,WTG_BD!$AA:$AA)),"")</f>
        <v/>
      </c>
      <c r="Q287" s="141" t="str">
        <f>IFERROR(1-SUMIF(IGA_BD!$F:$F,$A287,IGA_BD!$W:$W)/($AA287+SUMIF(IGA_BD!$F:$F,$A287,IGA_BD!$W:$W)),"")</f>
        <v/>
      </c>
      <c r="R287" s="141" t="str">
        <f>IFERROR(1-SUMIF(Grid_BD!$F:$F,$A287,Grid_BD!$Y:$Y)/($AA287+SUMIF(Grid_BD!$F:$F,$A287,Grid_BD!$Y:$Y)),"")</f>
        <v/>
      </c>
      <c r="S287" s="108"/>
      <c r="T287" s="140"/>
      <c r="U287" s="141"/>
      <c r="V287" s="108"/>
      <c r="W287" s="142" t="str">
        <f t="shared" si="31"/>
        <v/>
      </c>
      <c r="X287" s="108" t="str">
        <f>IFERROR(_xlfn.XLOOKUP($A287,Input_Raw!$A:$A,Input_Raw!$CP:$CP)*1000,"")</f>
        <v/>
      </c>
      <c r="Y287" s="108" t="str">
        <f>IFERROR(_xlfn.XLOOKUP($A287,Input_Raw!$A:$A,Input_Raw!DJ:DJ)*1000,"")</f>
        <v/>
      </c>
      <c r="Z287" s="108" t="str">
        <f>IFERROR(_xlfn.XLOOKUP($A287,Input_Raw!$A:$A,Input_Raw!DK:DK)*1000,"")</f>
        <v/>
      </c>
      <c r="AA287" s="138" t="str">
        <f t="shared" si="32"/>
        <v/>
      </c>
      <c r="AB287" s="108" t="str">
        <f>IFERROR(_xlfn.XLOOKUP($A287,Input_Raw!$A:$A,Input_Raw!$DR:$DR),"")</f>
        <v/>
      </c>
      <c r="AC287" s="143">
        <f>IFERROR(_xlfn.XLOOKUP($D287,'Modelling New'!$D:$D,'Modelling New'!$J:$J),"")</f>
        <v>3.75</v>
      </c>
      <c r="AD287" s="138">
        <f>IFERROR(_xlfn.XLOOKUP($D287,'Modelling New'!$D:$D,'Modelling New'!$T:$T)*1000,"")</f>
        <v>106720.09220527501</v>
      </c>
      <c r="AE287" s="142"/>
      <c r="AF287" s="142">
        <f>IFERROR(_xlfn.XLOOKUP($D287,'Modelling New'!$D:$D,'Modelling New'!$W:$W),"")</f>
        <v>6.3162933360129611E-2</v>
      </c>
      <c r="AG287" s="142">
        <f>IFERROR(_xlfn.XLOOKUP($D287,'Modelling New'!$D:$D,'Modelling New'!$AE:$AE),"")</f>
        <v>0.96029999999999993</v>
      </c>
      <c r="AH287" s="142">
        <f>IFERROR(_xlfn.XLOOKUP($D287,'Modelling New'!$D:$D,'Modelling New'!$AF:$AF),"")</f>
        <v>0.995</v>
      </c>
      <c r="AI287" s="109" t="str">
        <f>IFERROR(_xlfn.XLOOKUP($A287,Input_Raw!$A:$A,Input_Raw!$DP:$DP),"")</f>
        <v/>
      </c>
      <c r="AJ287" s="108"/>
      <c r="AK287" s="108"/>
      <c r="AL287" s="108"/>
      <c r="AM287" s="108"/>
      <c r="AN287" s="132" t="str">
        <f>IFERROR(_xlfn.XLOOKUP($A287,Input_Raw!$A:$A,Input_Raw!$DL:$DL),"")</f>
        <v/>
      </c>
      <c r="AO287" s="142" t="str">
        <f>IFERROR((_xlfn.XLOOKUP($A287,'WTG Reactive Power'!$A:$A,'WTG Reactive Power'!$AW:$AW))/X287,"")</f>
        <v/>
      </c>
      <c r="AP287" s="142">
        <f>IFERROR(_xlfn.XLOOKUP($D287,'Modelling New'!$D:$D,'Modelling New'!$AK:$AK),"")</f>
        <v>0.05</v>
      </c>
      <c r="AQ287" s="142">
        <f>IFERROR(_xlfn.XLOOKUP($D287,'Modelling New'!$D:$D,'Modelling New'!$AL:$AL),"")</f>
        <v>0.05</v>
      </c>
      <c r="AR287" s="198">
        <f>IFERROR(_xlfn.XLOOKUP($D287,'Modelling New'!$D:$D,'Modelling New'!$N:$N),"")</f>
        <v>70.400000000000006</v>
      </c>
      <c r="AS287" s="198"/>
    </row>
    <row r="288" spans="1:45">
      <c r="A288" s="137">
        <f t="shared" si="28"/>
        <v>46031</v>
      </c>
      <c r="B288" s="138">
        <f>YEAR(Daily_KPI[[#This Row],[Date]])+IF(MONTH(Daily_KPI[[#This Row],[Date]])&gt;=4,1,0)</f>
        <v>2026</v>
      </c>
      <c r="C288" s="108">
        <f>YEAR(Daily_KPI[[#This Row],[Date]])</f>
        <v>2026</v>
      </c>
      <c r="D288" s="139">
        <f>Daily_KPI[[#This Row],[Date]]-DAY(Daily_KPI[[#This Row],[Date]])+1</f>
        <v>46023</v>
      </c>
      <c r="E288" s="108">
        <f t="shared" si="29"/>
        <v>31</v>
      </c>
      <c r="F288" s="109"/>
      <c r="G288" s="110"/>
      <c r="H288" s="110"/>
      <c r="I288" s="110"/>
      <c r="J288" s="110"/>
      <c r="K288" s="111"/>
      <c r="L288" s="110"/>
      <c r="M288" s="110" t="str">
        <f>IFERROR(_xlfn.XLOOKUP($A288,Input_Raw!$A:$A,Input_Raw!$CQ:$CQ),"")</f>
        <v/>
      </c>
      <c r="N288" s="110" t="str">
        <f>IFERROR(_xlfn.XLOOKUP($A288,Input_Raw!$A:$A,Input_Raw!$CR:$CR),"")</f>
        <v/>
      </c>
      <c r="O288" s="141" t="str">
        <f t="shared" si="30"/>
        <v/>
      </c>
      <c r="P288" s="141" t="str">
        <f>IFERROR(1-SUMIF(WTG_BD!$F:$F,$A288,WTG_BD!$AA:$AA)/($AA288+SUMIF(WTG_BD!$F:$F,$A288,WTG_BD!$AA:$AA)),"")</f>
        <v/>
      </c>
      <c r="Q288" s="141" t="str">
        <f>IFERROR(1-SUMIF(IGA_BD!$F:$F,$A288,IGA_BD!$W:$W)/($AA288+SUMIF(IGA_BD!$F:$F,$A288,IGA_BD!$W:$W)),"")</f>
        <v/>
      </c>
      <c r="R288" s="141" t="str">
        <f>IFERROR(1-SUMIF(Grid_BD!$F:$F,$A288,Grid_BD!$Y:$Y)/($AA288+SUMIF(Grid_BD!$F:$F,$A288,Grid_BD!$Y:$Y)),"")</f>
        <v/>
      </c>
      <c r="S288" s="108"/>
      <c r="T288" s="140"/>
      <c r="U288" s="141"/>
      <c r="V288" s="108"/>
      <c r="W288" s="142" t="str">
        <f t="shared" si="31"/>
        <v/>
      </c>
      <c r="X288" s="108" t="str">
        <f>IFERROR(_xlfn.XLOOKUP($A288,Input_Raw!$A:$A,Input_Raw!$CP:$CP)*1000,"")</f>
        <v/>
      </c>
      <c r="Y288" s="108" t="str">
        <f>IFERROR(_xlfn.XLOOKUP($A288,Input_Raw!$A:$A,Input_Raw!DJ:DJ)*1000,"")</f>
        <v/>
      </c>
      <c r="Z288" s="108" t="str">
        <f>IFERROR(_xlfn.XLOOKUP($A288,Input_Raw!$A:$A,Input_Raw!DK:DK)*1000,"")</f>
        <v/>
      </c>
      <c r="AA288" s="138" t="str">
        <f t="shared" si="32"/>
        <v/>
      </c>
      <c r="AB288" s="108" t="str">
        <f>IFERROR(_xlfn.XLOOKUP($A288,Input_Raw!$A:$A,Input_Raw!$DR:$DR),"")</f>
        <v/>
      </c>
      <c r="AC288" s="143">
        <f>IFERROR(_xlfn.XLOOKUP($D288,'Modelling New'!$D:$D,'Modelling New'!$J:$J),"")</f>
        <v>3.75</v>
      </c>
      <c r="AD288" s="138">
        <f>IFERROR(_xlfn.XLOOKUP($D288,'Modelling New'!$D:$D,'Modelling New'!$T:$T)*1000,"")</f>
        <v>106720.09220527501</v>
      </c>
      <c r="AE288" s="142"/>
      <c r="AF288" s="142">
        <f>IFERROR(_xlfn.XLOOKUP($D288,'Modelling New'!$D:$D,'Modelling New'!$W:$W),"")</f>
        <v>6.3162933360129611E-2</v>
      </c>
      <c r="AG288" s="142">
        <f>IFERROR(_xlfn.XLOOKUP($D288,'Modelling New'!$D:$D,'Modelling New'!$AE:$AE),"")</f>
        <v>0.96029999999999993</v>
      </c>
      <c r="AH288" s="142">
        <f>IFERROR(_xlfn.XLOOKUP($D288,'Modelling New'!$D:$D,'Modelling New'!$AF:$AF),"")</f>
        <v>0.995</v>
      </c>
      <c r="AI288" s="109" t="str">
        <f>IFERROR(_xlfn.XLOOKUP($A288,Input_Raw!$A:$A,Input_Raw!$DP:$DP),"")</f>
        <v/>
      </c>
      <c r="AJ288" s="108"/>
      <c r="AK288" s="108"/>
      <c r="AL288" s="108"/>
      <c r="AM288" s="108"/>
      <c r="AN288" s="132" t="str">
        <f>IFERROR(_xlfn.XLOOKUP($A288,Input_Raw!$A:$A,Input_Raw!$DL:$DL),"")</f>
        <v/>
      </c>
      <c r="AO288" s="142" t="str">
        <f>IFERROR((_xlfn.XLOOKUP($A288,'WTG Reactive Power'!$A:$A,'WTG Reactive Power'!$AW:$AW))/X288,"")</f>
        <v/>
      </c>
      <c r="AP288" s="142">
        <f>IFERROR(_xlfn.XLOOKUP($D288,'Modelling New'!$D:$D,'Modelling New'!$AK:$AK),"")</f>
        <v>0.05</v>
      </c>
      <c r="AQ288" s="142">
        <f>IFERROR(_xlfn.XLOOKUP($D288,'Modelling New'!$D:$D,'Modelling New'!$AL:$AL),"")</f>
        <v>0.05</v>
      </c>
      <c r="AR288" s="198">
        <f>IFERROR(_xlfn.XLOOKUP($D288,'Modelling New'!$D:$D,'Modelling New'!$N:$N),"")</f>
        <v>70.400000000000006</v>
      </c>
      <c r="AS288" s="198"/>
    </row>
    <row r="289" spans="1:45">
      <c r="A289" s="137">
        <f t="shared" si="28"/>
        <v>46032</v>
      </c>
      <c r="B289" s="138">
        <f>YEAR(Daily_KPI[[#This Row],[Date]])+IF(MONTH(Daily_KPI[[#This Row],[Date]])&gt;=4,1,0)</f>
        <v>2026</v>
      </c>
      <c r="C289" s="108">
        <f>YEAR(Daily_KPI[[#This Row],[Date]])</f>
        <v>2026</v>
      </c>
      <c r="D289" s="139">
        <f>Daily_KPI[[#This Row],[Date]]-DAY(Daily_KPI[[#This Row],[Date]])+1</f>
        <v>46023</v>
      </c>
      <c r="E289" s="108">
        <f t="shared" si="29"/>
        <v>31</v>
      </c>
      <c r="F289" s="109"/>
      <c r="G289" s="110"/>
      <c r="H289" s="110"/>
      <c r="I289" s="110"/>
      <c r="J289" s="110"/>
      <c r="K289" s="111"/>
      <c r="L289" s="110"/>
      <c r="M289" s="110" t="str">
        <f>IFERROR(_xlfn.XLOOKUP($A289,Input_Raw!$A:$A,Input_Raw!$CQ:$CQ),"")</f>
        <v/>
      </c>
      <c r="N289" s="110" t="str">
        <f>IFERROR(_xlfn.XLOOKUP($A289,Input_Raw!$A:$A,Input_Raw!$CR:$CR),"")</f>
        <v/>
      </c>
      <c r="O289" s="141" t="str">
        <f t="shared" si="30"/>
        <v/>
      </c>
      <c r="P289" s="141" t="str">
        <f>IFERROR(1-SUMIF(WTG_BD!$F:$F,$A289,WTG_BD!$AA:$AA)/($AA289+SUMIF(WTG_BD!$F:$F,$A289,WTG_BD!$AA:$AA)),"")</f>
        <v/>
      </c>
      <c r="Q289" s="141" t="str">
        <f>IFERROR(1-SUMIF(IGA_BD!$F:$F,$A289,IGA_BD!$W:$W)/($AA289+SUMIF(IGA_BD!$F:$F,$A289,IGA_BD!$W:$W)),"")</f>
        <v/>
      </c>
      <c r="R289" s="141" t="str">
        <f>IFERROR(1-SUMIF(Grid_BD!$F:$F,$A289,Grid_BD!$Y:$Y)/($AA289+SUMIF(Grid_BD!$F:$F,$A289,Grid_BD!$Y:$Y)),"")</f>
        <v/>
      </c>
      <c r="S289" s="108"/>
      <c r="T289" s="140"/>
      <c r="U289" s="141"/>
      <c r="V289" s="108"/>
      <c r="W289" s="142" t="str">
        <f t="shared" si="31"/>
        <v/>
      </c>
      <c r="X289" s="108" t="str">
        <f>IFERROR(_xlfn.XLOOKUP($A289,Input_Raw!$A:$A,Input_Raw!$CP:$CP)*1000,"")</f>
        <v/>
      </c>
      <c r="Y289" s="108" t="str">
        <f>IFERROR(_xlfn.XLOOKUP($A289,Input_Raw!$A:$A,Input_Raw!DJ:DJ)*1000,"")</f>
        <v/>
      </c>
      <c r="Z289" s="108" t="str">
        <f>IFERROR(_xlfn.XLOOKUP($A289,Input_Raw!$A:$A,Input_Raw!DK:DK)*1000,"")</f>
        <v/>
      </c>
      <c r="AA289" s="138" t="str">
        <f t="shared" si="32"/>
        <v/>
      </c>
      <c r="AB289" s="108" t="str">
        <f>IFERROR(_xlfn.XLOOKUP($A289,Input_Raw!$A:$A,Input_Raw!$DR:$DR),"")</f>
        <v/>
      </c>
      <c r="AC289" s="143">
        <f>IFERROR(_xlfn.XLOOKUP($D289,'Modelling New'!$D:$D,'Modelling New'!$J:$J),"")</f>
        <v>3.75</v>
      </c>
      <c r="AD289" s="138">
        <f>IFERROR(_xlfn.XLOOKUP($D289,'Modelling New'!$D:$D,'Modelling New'!$T:$T)*1000,"")</f>
        <v>106720.09220527501</v>
      </c>
      <c r="AE289" s="142"/>
      <c r="AF289" s="142">
        <f>IFERROR(_xlfn.XLOOKUP($D289,'Modelling New'!$D:$D,'Modelling New'!$W:$W),"")</f>
        <v>6.3162933360129611E-2</v>
      </c>
      <c r="AG289" s="142">
        <f>IFERROR(_xlfn.XLOOKUP($D289,'Modelling New'!$D:$D,'Modelling New'!$AE:$AE),"")</f>
        <v>0.96029999999999993</v>
      </c>
      <c r="AH289" s="142">
        <f>IFERROR(_xlfn.XLOOKUP($D289,'Modelling New'!$D:$D,'Modelling New'!$AF:$AF),"")</f>
        <v>0.995</v>
      </c>
      <c r="AI289" s="109" t="str">
        <f>IFERROR(_xlfn.XLOOKUP($A289,Input_Raw!$A:$A,Input_Raw!$DP:$DP),"")</f>
        <v/>
      </c>
      <c r="AJ289" s="108"/>
      <c r="AK289" s="108"/>
      <c r="AL289" s="108"/>
      <c r="AM289" s="108"/>
      <c r="AN289" s="132" t="str">
        <f>IFERROR(_xlfn.XLOOKUP($A289,Input_Raw!$A:$A,Input_Raw!$DL:$DL),"")</f>
        <v/>
      </c>
      <c r="AO289" s="142" t="str">
        <f>IFERROR((_xlfn.XLOOKUP($A289,'WTG Reactive Power'!$A:$A,'WTG Reactive Power'!$AW:$AW))/X289,"")</f>
        <v/>
      </c>
      <c r="AP289" s="142">
        <f>IFERROR(_xlfn.XLOOKUP($D289,'Modelling New'!$D:$D,'Modelling New'!$AK:$AK),"")</f>
        <v>0.05</v>
      </c>
      <c r="AQ289" s="142">
        <f>IFERROR(_xlfn.XLOOKUP($D289,'Modelling New'!$D:$D,'Modelling New'!$AL:$AL),"")</f>
        <v>0.05</v>
      </c>
      <c r="AR289" s="198">
        <f>IFERROR(_xlfn.XLOOKUP($D289,'Modelling New'!$D:$D,'Modelling New'!$N:$N),"")</f>
        <v>70.400000000000006</v>
      </c>
      <c r="AS289" s="198"/>
    </row>
    <row r="290" spans="1:45">
      <c r="A290" s="137">
        <f t="shared" si="28"/>
        <v>46033</v>
      </c>
      <c r="B290" s="138">
        <f>YEAR(Daily_KPI[[#This Row],[Date]])+IF(MONTH(Daily_KPI[[#This Row],[Date]])&gt;=4,1,0)</f>
        <v>2026</v>
      </c>
      <c r="C290" s="108">
        <f>YEAR(Daily_KPI[[#This Row],[Date]])</f>
        <v>2026</v>
      </c>
      <c r="D290" s="139">
        <f>Daily_KPI[[#This Row],[Date]]-DAY(Daily_KPI[[#This Row],[Date]])+1</f>
        <v>46023</v>
      </c>
      <c r="E290" s="108">
        <f t="shared" si="29"/>
        <v>31</v>
      </c>
      <c r="F290" s="109"/>
      <c r="G290" s="110"/>
      <c r="H290" s="110"/>
      <c r="I290" s="110"/>
      <c r="J290" s="110"/>
      <c r="K290" s="111"/>
      <c r="L290" s="110"/>
      <c r="M290" s="110" t="str">
        <f>IFERROR(_xlfn.XLOOKUP($A290,Input_Raw!$A:$A,Input_Raw!$CQ:$CQ),"")</f>
        <v/>
      </c>
      <c r="N290" s="110" t="str">
        <f>IFERROR(_xlfn.XLOOKUP($A290,Input_Raw!$A:$A,Input_Raw!$CR:$CR),"")</f>
        <v/>
      </c>
      <c r="O290" s="141" t="str">
        <f t="shared" si="30"/>
        <v/>
      </c>
      <c r="P290" s="141" t="str">
        <f>IFERROR(1-SUMIF(WTG_BD!$F:$F,$A290,WTG_BD!$AA:$AA)/($AA290+SUMIF(WTG_BD!$F:$F,$A290,WTG_BD!$AA:$AA)),"")</f>
        <v/>
      </c>
      <c r="Q290" s="141" t="str">
        <f>IFERROR(1-SUMIF(IGA_BD!$F:$F,$A290,IGA_BD!$W:$W)/($AA290+SUMIF(IGA_BD!$F:$F,$A290,IGA_BD!$W:$W)),"")</f>
        <v/>
      </c>
      <c r="R290" s="141" t="str">
        <f>IFERROR(1-SUMIF(Grid_BD!$F:$F,$A290,Grid_BD!$Y:$Y)/($AA290+SUMIF(Grid_BD!$F:$F,$A290,Grid_BD!$Y:$Y)),"")</f>
        <v/>
      </c>
      <c r="S290" s="108"/>
      <c r="T290" s="140"/>
      <c r="U290" s="141"/>
      <c r="V290" s="108"/>
      <c r="W290" s="142" t="str">
        <f t="shared" si="31"/>
        <v/>
      </c>
      <c r="X290" s="108" t="str">
        <f>IFERROR(_xlfn.XLOOKUP($A290,Input_Raw!$A:$A,Input_Raw!$CP:$CP)*1000,"")</f>
        <v/>
      </c>
      <c r="Y290" s="108" t="str">
        <f>IFERROR(_xlfn.XLOOKUP($A290,Input_Raw!$A:$A,Input_Raw!DJ:DJ)*1000,"")</f>
        <v/>
      </c>
      <c r="Z290" s="108" t="str">
        <f>IFERROR(_xlfn.XLOOKUP($A290,Input_Raw!$A:$A,Input_Raw!DK:DK)*1000,"")</f>
        <v/>
      </c>
      <c r="AA290" s="138" t="str">
        <f t="shared" si="32"/>
        <v/>
      </c>
      <c r="AB290" s="108" t="str">
        <f>IFERROR(_xlfn.XLOOKUP($A290,Input_Raw!$A:$A,Input_Raw!$DR:$DR),"")</f>
        <v/>
      </c>
      <c r="AC290" s="143">
        <f>IFERROR(_xlfn.XLOOKUP($D290,'Modelling New'!$D:$D,'Modelling New'!$J:$J),"")</f>
        <v>3.75</v>
      </c>
      <c r="AD290" s="138">
        <f>IFERROR(_xlfn.XLOOKUP($D290,'Modelling New'!$D:$D,'Modelling New'!$T:$T)*1000,"")</f>
        <v>106720.09220527501</v>
      </c>
      <c r="AE290" s="142"/>
      <c r="AF290" s="142">
        <f>IFERROR(_xlfn.XLOOKUP($D290,'Modelling New'!$D:$D,'Modelling New'!$W:$W),"")</f>
        <v>6.3162933360129611E-2</v>
      </c>
      <c r="AG290" s="142">
        <f>IFERROR(_xlfn.XLOOKUP($D290,'Modelling New'!$D:$D,'Modelling New'!$AE:$AE),"")</f>
        <v>0.96029999999999993</v>
      </c>
      <c r="AH290" s="142">
        <f>IFERROR(_xlfn.XLOOKUP($D290,'Modelling New'!$D:$D,'Modelling New'!$AF:$AF),"")</f>
        <v>0.995</v>
      </c>
      <c r="AI290" s="109" t="str">
        <f>IFERROR(_xlfn.XLOOKUP($A290,Input_Raw!$A:$A,Input_Raw!$DP:$DP),"")</f>
        <v/>
      </c>
      <c r="AJ290" s="108"/>
      <c r="AK290" s="108"/>
      <c r="AL290" s="108"/>
      <c r="AM290" s="108"/>
      <c r="AN290" s="132" t="str">
        <f>IFERROR(_xlfn.XLOOKUP($A290,Input_Raw!$A:$A,Input_Raw!$DL:$DL),"")</f>
        <v/>
      </c>
      <c r="AO290" s="142" t="str">
        <f>IFERROR((_xlfn.XLOOKUP($A290,'WTG Reactive Power'!$A:$A,'WTG Reactive Power'!$AW:$AW))/X290,"")</f>
        <v/>
      </c>
      <c r="AP290" s="142">
        <f>IFERROR(_xlfn.XLOOKUP($D290,'Modelling New'!$D:$D,'Modelling New'!$AK:$AK),"")</f>
        <v>0.05</v>
      </c>
      <c r="AQ290" s="142">
        <f>IFERROR(_xlfn.XLOOKUP($D290,'Modelling New'!$D:$D,'Modelling New'!$AL:$AL),"")</f>
        <v>0.05</v>
      </c>
      <c r="AR290" s="198">
        <f>IFERROR(_xlfn.XLOOKUP($D290,'Modelling New'!$D:$D,'Modelling New'!$N:$N),"")</f>
        <v>70.400000000000006</v>
      </c>
      <c r="AS290" s="198"/>
    </row>
    <row r="291" spans="1:45">
      <c r="A291" s="137">
        <f t="shared" si="28"/>
        <v>46034</v>
      </c>
      <c r="B291" s="138">
        <f>YEAR(Daily_KPI[[#This Row],[Date]])+IF(MONTH(Daily_KPI[[#This Row],[Date]])&gt;=4,1,0)</f>
        <v>2026</v>
      </c>
      <c r="C291" s="108">
        <f>YEAR(Daily_KPI[[#This Row],[Date]])</f>
        <v>2026</v>
      </c>
      <c r="D291" s="139">
        <f>Daily_KPI[[#This Row],[Date]]-DAY(Daily_KPI[[#This Row],[Date]])+1</f>
        <v>46023</v>
      </c>
      <c r="E291" s="108">
        <f t="shared" si="29"/>
        <v>31</v>
      </c>
      <c r="F291" s="109"/>
      <c r="G291" s="110"/>
      <c r="H291" s="110"/>
      <c r="I291" s="110"/>
      <c r="J291" s="110"/>
      <c r="K291" s="111"/>
      <c r="L291" s="110"/>
      <c r="M291" s="110" t="str">
        <f>IFERROR(_xlfn.XLOOKUP($A291,Input_Raw!$A:$A,Input_Raw!$CQ:$CQ),"")</f>
        <v/>
      </c>
      <c r="N291" s="110" t="str">
        <f>IFERROR(_xlfn.XLOOKUP($A291,Input_Raw!$A:$A,Input_Raw!$CR:$CR),"")</f>
        <v/>
      </c>
      <c r="O291" s="141" t="str">
        <f t="shared" si="30"/>
        <v/>
      </c>
      <c r="P291" s="141" t="str">
        <f>IFERROR(1-SUMIF(WTG_BD!$F:$F,$A291,WTG_BD!$AA:$AA)/($AA291+SUMIF(WTG_BD!$F:$F,$A291,WTG_BD!$AA:$AA)),"")</f>
        <v/>
      </c>
      <c r="Q291" s="141" t="str">
        <f>IFERROR(1-SUMIF(IGA_BD!$F:$F,$A291,IGA_BD!$W:$W)/($AA291+SUMIF(IGA_BD!$F:$F,$A291,IGA_BD!$W:$W)),"")</f>
        <v/>
      </c>
      <c r="R291" s="141" t="str">
        <f>IFERROR(1-SUMIF(Grid_BD!$F:$F,$A291,Grid_BD!$Y:$Y)/($AA291+SUMIF(Grid_BD!$F:$F,$A291,Grid_BD!$Y:$Y)),"")</f>
        <v/>
      </c>
      <c r="S291" s="108"/>
      <c r="T291" s="140"/>
      <c r="U291" s="141"/>
      <c r="V291" s="108"/>
      <c r="W291" s="142" t="str">
        <f t="shared" si="31"/>
        <v/>
      </c>
      <c r="X291" s="108" t="str">
        <f>IFERROR(_xlfn.XLOOKUP($A291,Input_Raw!$A:$A,Input_Raw!$CP:$CP)*1000,"")</f>
        <v/>
      </c>
      <c r="Y291" s="108" t="str">
        <f>IFERROR(_xlfn.XLOOKUP($A291,Input_Raw!$A:$A,Input_Raw!DJ:DJ)*1000,"")</f>
        <v/>
      </c>
      <c r="Z291" s="108" t="str">
        <f>IFERROR(_xlfn.XLOOKUP($A291,Input_Raw!$A:$A,Input_Raw!DK:DK)*1000,"")</f>
        <v/>
      </c>
      <c r="AA291" s="138" t="str">
        <f t="shared" si="32"/>
        <v/>
      </c>
      <c r="AB291" s="108" t="str">
        <f>IFERROR(_xlfn.XLOOKUP($A291,Input_Raw!$A:$A,Input_Raw!$DR:$DR),"")</f>
        <v/>
      </c>
      <c r="AC291" s="143">
        <f>IFERROR(_xlfn.XLOOKUP($D291,'Modelling New'!$D:$D,'Modelling New'!$J:$J),"")</f>
        <v>3.75</v>
      </c>
      <c r="AD291" s="138">
        <f>IFERROR(_xlfn.XLOOKUP($D291,'Modelling New'!$D:$D,'Modelling New'!$T:$T)*1000,"")</f>
        <v>106720.09220527501</v>
      </c>
      <c r="AE291" s="142"/>
      <c r="AF291" s="142">
        <f>IFERROR(_xlfn.XLOOKUP($D291,'Modelling New'!$D:$D,'Modelling New'!$W:$W),"")</f>
        <v>6.3162933360129611E-2</v>
      </c>
      <c r="AG291" s="142">
        <f>IFERROR(_xlfn.XLOOKUP($D291,'Modelling New'!$D:$D,'Modelling New'!$AE:$AE),"")</f>
        <v>0.96029999999999993</v>
      </c>
      <c r="AH291" s="142">
        <f>IFERROR(_xlfn.XLOOKUP($D291,'Modelling New'!$D:$D,'Modelling New'!$AF:$AF),"")</f>
        <v>0.995</v>
      </c>
      <c r="AI291" s="109" t="str">
        <f>IFERROR(_xlfn.XLOOKUP($A291,Input_Raw!$A:$A,Input_Raw!$DP:$DP),"")</f>
        <v/>
      </c>
      <c r="AJ291" s="108"/>
      <c r="AK291" s="108"/>
      <c r="AL291" s="108"/>
      <c r="AM291" s="108"/>
      <c r="AN291" s="132" t="str">
        <f>IFERROR(_xlfn.XLOOKUP($A291,Input_Raw!$A:$A,Input_Raw!$DL:$DL),"")</f>
        <v/>
      </c>
      <c r="AO291" s="142" t="str">
        <f>IFERROR((_xlfn.XLOOKUP($A291,'WTG Reactive Power'!$A:$A,'WTG Reactive Power'!$AW:$AW))/X291,"")</f>
        <v/>
      </c>
      <c r="AP291" s="142">
        <f>IFERROR(_xlfn.XLOOKUP($D291,'Modelling New'!$D:$D,'Modelling New'!$AK:$AK),"")</f>
        <v>0.05</v>
      </c>
      <c r="AQ291" s="142">
        <f>IFERROR(_xlfn.XLOOKUP($D291,'Modelling New'!$D:$D,'Modelling New'!$AL:$AL),"")</f>
        <v>0.05</v>
      </c>
      <c r="AR291" s="198">
        <f>IFERROR(_xlfn.XLOOKUP($D291,'Modelling New'!$D:$D,'Modelling New'!$N:$N),"")</f>
        <v>70.400000000000006</v>
      </c>
      <c r="AS291" s="198"/>
    </row>
    <row r="292" spans="1:45">
      <c r="A292" s="137">
        <f t="shared" si="28"/>
        <v>46035</v>
      </c>
      <c r="B292" s="138">
        <f>YEAR(Daily_KPI[[#This Row],[Date]])+IF(MONTH(Daily_KPI[[#This Row],[Date]])&gt;=4,1,0)</f>
        <v>2026</v>
      </c>
      <c r="C292" s="108">
        <f>YEAR(Daily_KPI[[#This Row],[Date]])</f>
        <v>2026</v>
      </c>
      <c r="D292" s="139">
        <f>Daily_KPI[[#This Row],[Date]]-DAY(Daily_KPI[[#This Row],[Date]])+1</f>
        <v>46023</v>
      </c>
      <c r="E292" s="108">
        <f t="shared" si="29"/>
        <v>31</v>
      </c>
      <c r="F292" s="109"/>
      <c r="G292" s="110"/>
      <c r="H292" s="110"/>
      <c r="I292" s="110"/>
      <c r="J292" s="110"/>
      <c r="K292" s="111"/>
      <c r="L292" s="110"/>
      <c r="M292" s="110" t="str">
        <f>IFERROR(_xlfn.XLOOKUP($A292,Input_Raw!$A:$A,Input_Raw!$CQ:$CQ),"")</f>
        <v/>
      </c>
      <c r="N292" s="110" t="str">
        <f>IFERROR(_xlfn.XLOOKUP($A292,Input_Raw!$A:$A,Input_Raw!$CR:$CR),"")</f>
        <v/>
      </c>
      <c r="O292" s="141" t="str">
        <f t="shared" si="30"/>
        <v/>
      </c>
      <c r="P292" s="141" t="str">
        <f>IFERROR(1-SUMIF(WTG_BD!$F:$F,$A292,WTG_BD!$AA:$AA)/($AA292+SUMIF(WTG_BD!$F:$F,$A292,WTG_BD!$AA:$AA)),"")</f>
        <v/>
      </c>
      <c r="Q292" s="141" t="str">
        <f>IFERROR(1-SUMIF(IGA_BD!$F:$F,$A292,IGA_BD!$W:$W)/($AA292+SUMIF(IGA_BD!$F:$F,$A292,IGA_BD!$W:$W)),"")</f>
        <v/>
      </c>
      <c r="R292" s="141" t="str">
        <f>IFERROR(1-SUMIF(Grid_BD!$F:$F,$A292,Grid_BD!$Y:$Y)/($AA292+SUMIF(Grid_BD!$F:$F,$A292,Grid_BD!$Y:$Y)),"")</f>
        <v/>
      </c>
      <c r="S292" s="108"/>
      <c r="T292" s="140"/>
      <c r="U292" s="141"/>
      <c r="V292" s="108"/>
      <c r="W292" s="142" t="str">
        <f t="shared" si="31"/>
        <v/>
      </c>
      <c r="X292" s="108" t="str">
        <f>IFERROR(_xlfn.XLOOKUP($A292,Input_Raw!$A:$A,Input_Raw!$CP:$CP)*1000,"")</f>
        <v/>
      </c>
      <c r="Y292" s="108" t="str">
        <f>IFERROR(_xlfn.XLOOKUP($A292,Input_Raw!$A:$A,Input_Raw!DJ:DJ)*1000,"")</f>
        <v/>
      </c>
      <c r="Z292" s="108" t="str">
        <f>IFERROR(_xlfn.XLOOKUP($A292,Input_Raw!$A:$A,Input_Raw!DK:DK)*1000,"")</f>
        <v/>
      </c>
      <c r="AA292" s="138" t="str">
        <f t="shared" si="32"/>
        <v/>
      </c>
      <c r="AB292" s="108" t="str">
        <f>IFERROR(_xlfn.XLOOKUP($A292,Input_Raw!$A:$A,Input_Raw!$DR:$DR),"")</f>
        <v/>
      </c>
      <c r="AC292" s="143">
        <f>IFERROR(_xlfn.XLOOKUP($D292,'Modelling New'!$D:$D,'Modelling New'!$J:$J),"")</f>
        <v>3.75</v>
      </c>
      <c r="AD292" s="138">
        <f>IFERROR(_xlfn.XLOOKUP($D292,'Modelling New'!$D:$D,'Modelling New'!$T:$T)*1000,"")</f>
        <v>106720.09220527501</v>
      </c>
      <c r="AE292" s="142"/>
      <c r="AF292" s="142">
        <f>IFERROR(_xlfn.XLOOKUP($D292,'Modelling New'!$D:$D,'Modelling New'!$W:$W),"")</f>
        <v>6.3162933360129611E-2</v>
      </c>
      <c r="AG292" s="142">
        <f>IFERROR(_xlfn.XLOOKUP($D292,'Modelling New'!$D:$D,'Modelling New'!$AE:$AE),"")</f>
        <v>0.96029999999999993</v>
      </c>
      <c r="AH292" s="142">
        <f>IFERROR(_xlfn.XLOOKUP($D292,'Modelling New'!$D:$D,'Modelling New'!$AF:$AF),"")</f>
        <v>0.995</v>
      </c>
      <c r="AI292" s="109" t="str">
        <f>IFERROR(_xlfn.XLOOKUP($A292,Input_Raw!$A:$A,Input_Raw!$DP:$DP),"")</f>
        <v/>
      </c>
      <c r="AJ292" s="108"/>
      <c r="AK292" s="108"/>
      <c r="AL292" s="108"/>
      <c r="AM292" s="108"/>
      <c r="AN292" s="132" t="str">
        <f>IFERROR(_xlfn.XLOOKUP($A292,Input_Raw!$A:$A,Input_Raw!$DL:$DL),"")</f>
        <v/>
      </c>
      <c r="AO292" s="142" t="str">
        <f>IFERROR((_xlfn.XLOOKUP($A292,'WTG Reactive Power'!$A:$A,'WTG Reactive Power'!$AW:$AW))/X292,"")</f>
        <v/>
      </c>
      <c r="AP292" s="142">
        <f>IFERROR(_xlfn.XLOOKUP($D292,'Modelling New'!$D:$D,'Modelling New'!$AK:$AK),"")</f>
        <v>0.05</v>
      </c>
      <c r="AQ292" s="142">
        <f>IFERROR(_xlfn.XLOOKUP($D292,'Modelling New'!$D:$D,'Modelling New'!$AL:$AL),"")</f>
        <v>0.05</v>
      </c>
      <c r="AR292" s="198">
        <f>IFERROR(_xlfn.XLOOKUP($D292,'Modelling New'!$D:$D,'Modelling New'!$N:$N),"")</f>
        <v>70.400000000000006</v>
      </c>
      <c r="AS292" s="198"/>
    </row>
    <row r="293" spans="1:45">
      <c r="A293" s="137">
        <f t="shared" si="28"/>
        <v>46036</v>
      </c>
      <c r="B293" s="138">
        <f>YEAR(Daily_KPI[[#This Row],[Date]])+IF(MONTH(Daily_KPI[[#This Row],[Date]])&gt;=4,1,0)</f>
        <v>2026</v>
      </c>
      <c r="C293" s="108">
        <f>YEAR(Daily_KPI[[#This Row],[Date]])</f>
        <v>2026</v>
      </c>
      <c r="D293" s="139">
        <f>Daily_KPI[[#This Row],[Date]]-DAY(Daily_KPI[[#This Row],[Date]])+1</f>
        <v>46023</v>
      </c>
      <c r="E293" s="108">
        <f t="shared" si="29"/>
        <v>31</v>
      </c>
      <c r="F293" s="109"/>
      <c r="G293" s="110"/>
      <c r="H293" s="110"/>
      <c r="I293" s="110"/>
      <c r="J293" s="110"/>
      <c r="K293" s="111"/>
      <c r="L293" s="110"/>
      <c r="M293" s="110" t="str">
        <f>IFERROR(_xlfn.XLOOKUP($A293,Input_Raw!$A:$A,Input_Raw!$CQ:$CQ),"")</f>
        <v/>
      </c>
      <c r="N293" s="110" t="str">
        <f>IFERROR(_xlfn.XLOOKUP($A293,Input_Raw!$A:$A,Input_Raw!$CR:$CR),"")</f>
        <v/>
      </c>
      <c r="O293" s="141" t="str">
        <f t="shared" si="30"/>
        <v/>
      </c>
      <c r="P293" s="141" t="str">
        <f>IFERROR(1-SUMIF(WTG_BD!$F:$F,$A293,WTG_BD!$AA:$AA)/($AA293+SUMIF(WTG_BD!$F:$F,$A293,WTG_BD!$AA:$AA)),"")</f>
        <v/>
      </c>
      <c r="Q293" s="141" t="str">
        <f>IFERROR(1-SUMIF(IGA_BD!$F:$F,$A293,IGA_BD!$W:$W)/($AA293+SUMIF(IGA_BD!$F:$F,$A293,IGA_BD!$W:$W)),"")</f>
        <v/>
      </c>
      <c r="R293" s="141" t="str">
        <f>IFERROR(1-SUMIF(Grid_BD!$F:$F,$A293,Grid_BD!$Y:$Y)/($AA293+SUMIF(Grid_BD!$F:$F,$A293,Grid_BD!$Y:$Y)),"")</f>
        <v/>
      </c>
      <c r="S293" s="108"/>
      <c r="T293" s="140"/>
      <c r="U293" s="141"/>
      <c r="V293" s="108"/>
      <c r="W293" s="142" t="str">
        <f t="shared" si="31"/>
        <v/>
      </c>
      <c r="X293" s="108" t="str">
        <f>IFERROR(_xlfn.XLOOKUP($A293,Input_Raw!$A:$A,Input_Raw!$CP:$CP)*1000,"")</f>
        <v/>
      </c>
      <c r="Y293" s="108" t="str">
        <f>IFERROR(_xlfn.XLOOKUP($A293,Input_Raw!$A:$A,Input_Raw!DJ:DJ)*1000,"")</f>
        <v/>
      </c>
      <c r="Z293" s="108" t="str">
        <f>IFERROR(_xlfn.XLOOKUP($A293,Input_Raw!$A:$A,Input_Raw!DK:DK)*1000,"")</f>
        <v/>
      </c>
      <c r="AA293" s="138" t="str">
        <f t="shared" si="32"/>
        <v/>
      </c>
      <c r="AB293" s="108" t="str">
        <f>IFERROR(_xlfn.XLOOKUP($A293,Input_Raw!$A:$A,Input_Raw!$DR:$DR),"")</f>
        <v/>
      </c>
      <c r="AC293" s="143">
        <f>IFERROR(_xlfn.XLOOKUP($D293,'Modelling New'!$D:$D,'Modelling New'!$J:$J),"")</f>
        <v>3.75</v>
      </c>
      <c r="AD293" s="138">
        <f>IFERROR(_xlfn.XLOOKUP($D293,'Modelling New'!$D:$D,'Modelling New'!$T:$T)*1000,"")</f>
        <v>106720.09220527501</v>
      </c>
      <c r="AE293" s="142"/>
      <c r="AF293" s="142">
        <f>IFERROR(_xlfn.XLOOKUP($D293,'Modelling New'!$D:$D,'Modelling New'!$W:$W),"")</f>
        <v>6.3162933360129611E-2</v>
      </c>
      <c r="AG293" s="142">
        <f>IFERROR(_xlfn.XLOOKUP($D293,'Modelling New'!$D:$D,'Modelling New'!$AE:$AE),"")</f>
        <v>0.96029999999999993</v>
      </c>
      <c r="AH293" s="142">
        <f>IFERROR(_xlfn.XLOOKUP($D293,'Modelling New'!$D:$D,'Modelling New'!$AF:$AF),"")</f>
        <v>0.995</v>
      </c>
      <c r="AI293" s="109" t="str">
        <f>IFERROR(_xlfn.XLOOKUP($A293,Input_Raw!$A:$A,Input_Raw!$DP:$DP),"")</f>
        <v/>
      </c>
      <c r="AJ293" s="108"/>
      <c r="AK293" s="108"/>
      <c r="AL293" s="108"/>
      <c r="AM293" s="108"/>
      <c r="AN293" s="132" t="str">
        <f>IFERROR(_xlfn.XLOOKUP($A293,Input_Raw!$A:$A,Input_Raw!$DL:$DL),"")</f>
        <v/>
      </c>
      <c r="AO293" s="142" t="str">
        <f>IFERROR((_xlfn.XLOOKUP($A293,'WTG Reactive Power'!$A:$A,'WTG Reactive Power'!$AW:$AW))/X293,"")</f>
        <v/>
      </c>
      <c r="AP293" s="142">
        <f>IFERROR(_xlfn.XLOOKUP($D293,'Modelling New'!$D:$D,'Modelling New'!$AK:$AK),"")</f>
        <v>0.05</v>
      </c>
      <c r="AQ293" s="142">
        <f>IFERROR(_xlfn.XLOOKUP($D293,'Modelling New'!$D:$D,'Modelling New'!$AL:$AL),"")</f>
        <v>0.05</v>
      </c>
      <c r="AR293" s="198">
        <f>IFERROR(_xlfn.XLOOKUP($D293,'Modelling New'!$D:$D,'Modelling New'!$N:$N),"")</f>
        <v>70.400000000000006</v>
      </c>
      <c r="AS293" s="198"/>
    </row>
    <row r="294" spans="1:45">
      <c r="A294" s="137">
        <f t="shared" si="28"/>
        <v>46037</v>
      </c>
      <c r="B294" s="138">
        <f>YEAR(Daily_KPI[[#This Row],[Date]])+IF(MONTH(Daily_KPI[[#This Row],[Date]])&gt;=4,1,0)</f>
        <v>2026</v>
      </c>
      <c r="C294" s="108">
        <f>YEAR(Daily_KPI[[#This Row],[Date]])</f>
        <v>2026</v>
      </c>
      <c r="D294" s="139">
        <f>Daily_KPI[[#This Row],[Date]]-DAY(Daily_KPI[[#This Row],[Date]])+1</f>
        <v>46023</v>
      </c>
      <c r="E294" s="108">
        <f t="shared" si="29"/>
        <v>31</v>
      </c>
      <c r="F294" s="109"/>
      <c r="G294" s="110"/>
      <c r="H294" s="110"/>
      <c r="I294" s="110"/>
      <c r="J294" s="110"/>
      <c r="K294" s="111"/>
      <c r="L294" s="110"/>
      <c r="M294" s="110" t="str">
        <f>IFERROR(_xlfn.XLOOKUP($A294,Input_Raw!$A:$A,Input_Raw!$CQ:$CQ),"")</f>
        <v/>
      </c>
      <c r="N294" s="110" t="str">
        <f>IFERROR(_xlfn.XLOOKUP($A294,Input_Raw!$A:$A,Input_Raw!$CR:$CR),"")</f>
        <v/>
      </c>
      <c r="O294" s="141" t="str">
        <f t="shared" si="30"/>
        <v/>
      </c>
      <c r="P294" s="141" t="str">
        <f>IFERROR(1-SUMIF(WTG_BD!$F:$F,$A294,WTG_BD!$AA:$AA)/($AA294+SUMIF(WTG_BD!$F:$F,$A294,WTG_BD!$AA:$AA)),"")</f>
        <v/>
      </c>
      <c r="Q294" s="141" t="str">
        <f>IFERROR(1-SUMIF(IGA_BD!$F:$F,$A294,IGA_BD!$W:$W)/($AA294+SUMIF(IGA_BD!$F:$F,$A294,IGA_BD!$W:$W)),"")</f>
        <v/>
      </c>
      <c r="R294" s="141" t="str">
        <f>IFERROR(1-SUMIF(Grid_BD!$F:$F,$A294,Grid_BD!$Y:$Y)/($AA294+SUMIF(Grid_BD!$F:$F,$A294,Grid_BD!$Y:$Y)),"")</f>
        <v/>
      </c>
      <c r="S294" s="108"/>
      <c r="T294" s="140"/>
      <c r="U294" s="141"/>
      <c r="V294" s="108"/>
      <c r="W294" s="142" t="str">
        <f t="shared" si="31"/>
        <v/>
      </c>
      <c r="X294" s="108" t="str">
        <f>IFERROR(_xlfn.XLOOKUP($A294,Input_Raw!$A:$A,Input_Raw!$CP:$CP)*1000,"")</f>
        <v/>
      </c>
      <c r="Y294" s="108" t="str">
        <f>IFERROR(_xlfn.XLOOKUP($A294,Input_Raw!$A:$A,Input_Raw!DJ:DJ)*1000,"")</f>
        <v/>
      </c>
      <c r="Z294" s="108" t="str">
        <f>IFERROR(_xlfn.XLOOKUP($A294,Input_Raw!$A:$A,Input_Raw!DK:DK)*1000,"")</f>
        <v/>
      </c>
      <c r="AA294" s="138" t="str">
        <f t="shared" si="32"/>
        <v/>
      </c>
      <c r="AB294" s="108" t="str">
        <f>IFERROR(_xlfn.XLOOKUP($A294,Input_Raw!$A:$A,Input_Raw!$DR:$DR),"")</f>
        <v/>
      </c>
      <c r="AC294" s="143">
        <f>IFERROR(_xlfn.XLOOKUP($D294,'Modelling New'!$D:$D,'Modelling New'!$J:$J),"")</f>
        <v>3.75</v>
      </c>
      <c r="AD294" s="138">
        <f>IFERROR(_xlfn.XLOOKUP($D294,'Modelling New'!$D:$D,'Modelling New'!$T:$T)*1000,"")</f>
        <v>106720.09220527501</v>
      </c>
      <c r="AE294" s="142"/>
      <c r="AF294" s="142">
        <f>IFERROR(_xlfn.XLOOKUP($D294,'Modelling New'!$D:$D,'Modelling New'!$W:$W),"")</f>
        <v>6.3162933360129611E-2</v>
      </c>
      <c r="AG294" s="142">
        <f>IFERROR(_xlfn.XLOOKUP($D294,'Modelling New'!$D:$D,'Modelling New'!$AE:$AE),"")</f>
        <v>0.96029999999999993</v>
      </c>
      <c r="AH294" s="142">
        <f>IFERROR(_xlfn.XLOOKUP($D294,'Modelling New'!$D:$D,'Modelling New'!$AF:$AF),"")</f>
        <v>0.995</v>
      </c>
      <c r="AI294" s="109" t="str">
        <f>IFERROR(_xlfn.XLOOKUP($A294,Input_Raw!$A:$A,Input_Raw!$DP:$DP),"")</f>
        <v/>
      </c>
      <c r="AJ294" s="108"/>
      <c r="AK294" s="108"/>
      <c r="AL294" s="108"/>
      <c r="AM294" s="108"/>
      <c r="AN294" s="132" t="str">
        <f>IFERROR(_xlfn.XLOOKUP($A294,Input_Raw!$A:$A,Input_Raw!$DL:$DL),"")</f>
        <v/>
      </c>
      <c r="AO294" s="142" t="str">
        <f>IFERROR((_xlfn.XLOOKUP($A294,'WTG Reactive Power'!$A:$A,'WTG Reactive Power'!$AW:$AW))/X294,"")</f>
        <v/>
      </c>
      <c r="AP294" s="142">
        <f>IFERROR(_xlfn.XLOOKUP($D294,'Modelling New'!$D:$D,'Modelling New'!$AK:$AK),"")</f>
        <v>0.05</v>
      </c>
      <c r="AQ294" s="142">
        <f>IFERROR(_xlfn.XLOOKUP($D294,'Modelling New'!$D:$D,'Modelling New'!$AL:$AL),"")</f>
        <v>0.05</v>
      </c>
      <c r="AR294" s="198">
        <f>IFERROR(_xlfn.XLOOKUP($D294,'Modelling New'!$D:$D,'Modelling New'!$N:$N),"")</f>
        <v>70.400000000000006</v>
      </c>
      <c r="AS294" s="198"/>
    </row>
    <row r="295" spans="1:45">
      <c r="A295" s="137">
        <f t="shared" si="28"/>
        <v>46038</v>
      </c>
      <c r="B295" s="138">
        <f>YEAR(Daily_KPI[[#This Row],[Date]])+IF(MONTH(Daily_KPI[[#This Row],[Date]])&gt;=4,1,0)</f>
        <v>2026</v>
      </c>
      <c r="C295" s="108">
        <f>YEAR(Daily_KPI[[#This Row],[Date]])</f>
        <v>2026</v>
      </c>
      <c r="D295" s="139">
        <f>Daily_KPI[[#This Row],[Date]]-DAY(Daily_KPI[[#This Row],[Date]])+1</f>
        <v>46023</v>
      </c>
      <c r="E295" s="108">
        <f t="shared" si="29"/>
        <v>31</v>
      </c>
      <c r="F295" s="109"/>
      <c r="G295" s="110"/>
      <c r="H295" s="110"/>
      <c r="I295" s="110"/>
      <c r="J295" s="110"/>
      <c r="K295" s="111"/>
      <c r="L295" s="110"/>
      <c r="M295" s="110" t="str">
        <f>IFERROR(_xlfn.XLOOKUP($A295,Input_Raw!$A:$A,Input_Raw!$CQ:$CQ),"")</f>
        <v/>
      </c>
      <c r="N295" s="110" t="str">
        <f>IFERROR(_xlfn.XLOOKUP($A295,Input_Raw!$A:$A,Input_Raw!$CR:$CR),"")</f>
        <v/>
      </c>
      <c r="O295" s="141" t="str">
        <f t="shared" si="30"/>
        <v/>
      </c>
      <c r="P295" s="141" t="str">
        <f>IFERROR(1-SUMIF(WTG_BD!$F:$F,$A295,WTG_BD!$AA:$AA)/($AA295+SUMIF(WTG_BD!$F:$F,$A295,WTG_BD!$AA:$AA)),"")</f>
        <v/>
      </c>
      <c r="Q295" s="141" t="str">
        <f>IFERROR(1-SUMIF(IGA_BD!$F:$F,$A295,IGA_BD!$W:$W)/($AA295+SUMIF(IGA_BD!$F:$F,$A295,IGA_BD!$W:$W)),"")</f>
        <v/>
      </c>
      <c r="R295" s="141" t="str">
        <f>IFERROR(1-SUMIF(Grid_BD!$F:$F,$A295,Grid_BD!$Y:$Y)/($AA295+SUMIF(Grid_BD!$F:$F,$A295,Grid_BD!$Y:$Y)),"")</f>
        <v/>
      </c>
      <c r="S295" s="108"/>
      <c r="T295" s="140"/>
      <c r="U295" s="141"/>
      <c r="V295" s="108"/>
      <c r="W295" s="142" t="str">
        <f t="shared" si="31"/>
        <v/>
      </c>
      <c r="X295" s="108" t="str">
        <f>IFERROR(_xlfn.XLOOKUP($A295,Input_Raw!$A:$A,Input_Raw!$CP:$CP)*1000,"")</f>
        <v/>
      </c>
      <c r="Y295" s="108" t="str">
        <f>IFERROR(_xlfn.XLOOKUP($A295,Input_Raw!$A:$A,Input_Raw!DJ:DJ)*1000,"")</f>
        <v/>
      </c>
      <c r="Z295" s="108" t="str">
        <f>IFERROR(_xlfn.XLOOKUP($A295,Input_Raw!$A:$A,Input_Raw!DK:DK)*1000,"")</f>
        <v/>
      </c>
      <c r="AA295" s="138" t="str">
        <f t="shared" si="32"/>
        <v/>
      </c>
      <c r="AB295" s="108" t="str">
        <f>IFERROR(_xlfn.XLOOKUP($A295,Input_Raw!$A:$A,Input_Raw!$DR:$DR),"")</f>
        <v/>
      </c>
      <c r="AC295" s="143">
        <f>IFERROR(_xlfn.XLOOKUP($D295,'Modelling New'!$D:$D,'Modelling New'!$J:$J),"")</f>
        <v>3.75</v>
      </c>
      <c r="AD295" s="138">
        <f>IFERROR(_xlfn.XLOOKUP($D295,'Modelling New'!$D:$D,'Modelling New'!$T:$T)*1000,"")</f>
        <v>106720.09220527501</v>
      </c>
      <c r="AE295" s="142"/>
      <c r="AF295" s="142">
        <f>IFERROR(_xlfn.XLOOKUP($D295,'Modelling New'!$D:$D,'Modelling New'!$W:$W),"")</f>
        <v>6.3162933360129611E-2</v>
      </c>
      <c r="AG295" s="142">
        <f>IFERROR(_xlfn.XLOOKUP($D295,'Modelling New'!$D:$D,'Modelling New'!$AE:$AE),"")</f>
        <v>0.96029999999999993</v>
      </c>
      <c r="AH295" s="142">
        <f>IFERROR(_xlfn.XLOOKUP($D295,'Modelling New'!$D:$D,'Modelling New'!$AF:$AF),"")</f>
        <v>0.995</v>
      </c>
      <c r="AI295" s="109" t="str">
        <f>IFERROR(_xlfn.XLOOKUP($A295,Input_Raw!$A:$A,Input_Raw!$DP:$DP),"")</f>
        <v/>
      </c>
      <c r="AJ295" s="108"/>
      <c r="AK295" s="108"/>
      <c r="AL295" s="108"/>
      <c r="AM295" s="108"/>
      <c r="AN295" s="132" t="str">
        <f>IFERROR(_xlfn.XLOOKUP($A295,Input_Raw!$A:$A,Input_Raw!$DL:$DL),"")</f>
        <v/>
      </c>
      <c r="AO295" s="142" t="str">
        <f>IFERROR((_xlfn.XLOOKUP($A295,'WTG Reactive Power'!$A:$A,'WTG Reactive Power'!$AW:$AW))/X295,"")</f>
        <v/>
      </c>
      <c r="AP295" s="142">
        <f>IFERROR(_xlfn.XLOOKUP($D295,'Modelling New'!$D:$D,'Modelling New'!$AK:$AK),"")</f>
        <v>0.05</v>
      </c>
      <c r="AQ295" s="142">
        <f>IFERROR(_xlfn.XLOOKUP($D295,'Modelling New'!$D:$D,'Modelling New'!$AL:$AL),"")</f>
        <v>0.05</v>
      </c>
      <c r="AR295" s="198">
        <f>IFERROR(_xlfn.XLOOKUP($D295,'Modelling New'!$D:$D,'Modelling New'!$N:$N),"")</f>
        <v>70.400000000000006</v>
      </c>
      <c r="AS295" s="198"/>
    </row>
    <row r="296" spans="1:45">
      <c r="A296" s="137">
        <f t="shared" si="28"/>
        <v>46039</v>
      </c>
      <c r="B296" s="138">
        <f>YEAR(Daily_KPI[[#This Row],[Date]])+IF(MONTH(Daily_KPI[[#This Row],[Date]])&gt;=4,1,0)</f>
        <v>2026</v>
      </c>
      <c r="C296" s="108">
        <f>YEAR(Daily_KPI[[#This Row],[Date]])</f>
        <v>2026</v>
      </c>
      <c r="D296" s="139">
        <f>Daily_KPI[[#This Row],[Date]]-DAY(Daily_KPI[[#This Row],[Date]])+1</f>
        <v>46023</v>
      </c>
      <c r="E296" s="108">
        <f t="shared" si="29"/>
        <v>31</v>
      </c>
      <c r="F296" s="109"/>
      <c r="G296" s="110"/>
      <c r="H296" s="110"/>
      <c r="I296" s="110"/>
      <c r="J296" s="110"/>
      <c r="K296" s="111"/>
      <c r="L296" s="110"/>
      <c r="M296" s="110" t="str">
        <f>IFERROR(_xlfn.XLOOKUP($A296,Input_Raw!$A:$A,Input_Raw!$CQ:$CQ),"")</f>
        <v/>
      </c>
      <c r="N296" s="110" t="str">
        <f>IFERROR(_xlfn.XLOOKUP($A296,Input_Raw!$A:$A,Input_Raw!$CR:$CR),"")</f>
        <v/>
      </c>
      <c r="O296" s="141" t="str">
        <f t="shared" si="30"/>
        <v/>
      </c>
      <c r="P296" s="141" t="str">
        <f>IFERROR(1-SUMIF(WTG_BD!$F:$F,$A296,WTG_BD!$AA:$AA)/($AA296+SUMIF(WTG_BD!$F:$F,$A296,WTG_BD!$AA:$AA)),"")</f>
        <v/>
      </c>
      <c r="Q296" s="141" t="str">
        <f>IFERROR(1-SUMIF(IGA_BD!$F:$F,$A296,IGA_BD!$W:$W)/($AA296+SUMIF(IGA_BD!$F:$F,$A296,IGA_BD!$W:$W)),"")</f>
        <v/>
      </c>
      <c r="R296" s="141" t="str">
        <f>IFERROR(1-SUMIF(Grid_BD!$F:$F,$A296,Grid_BD!$Y:$Y)/($AA296+SUMIF(Grid_BD!$F:$F,$A296,Grid_BD!$Y:$Y)),"")</f>
        <v/>
      </c>
      <c r="S296" s="108"/>
      <c r="T296" s="140"/>
      <c r="U296" s="141"/>
      <c r="V296" s="108"/>
      <c r="W296" s="142" t="str">
        <f t="shared" si="31"/>
        <v/>
      </c>
      <c r="X296" s="108" t="str">
        <f>IFERROR(_xlfn.XLOOKUP($A296,Input_Raw!$A:$A,Input_Raw!$CP:$CP)*1000,"")</f>
        <v/>
      </c>
      <c r="Y296" s="108" t="str">
        <f>IFERROR(_xlfn.XLOOKUP($A296,Input_Raw!$A:$A,Input_Raw!DJ:DJ)*1000,"")</f>
        <v/>
      </c>
      <c r="Z296" s="108" t="str">
        <f>IFERROR(_xlfn.XLOOKUP($A296,Input_Raw!$A:$A,Input_Raw!DK:DK)*1000,"")</f>
        <v/>
      </c>
      <c r="AA296" s="138" t="str">
        <f t="shared" si="32"/>
        <v/>
      </c>
      <c r="AB296" s="108" t="str">
        <f>IFERROR(_xlfn.XLOOKUP($A296,Input_Raw!$A:$A,Input_Raw!$DR:$DR),"")</f>
        <v/>
      </c>
      <c r="AC296" s="143">
        <f>IFERROR(_xlfn.XLOOKUP($D296,'Modelling New'!$D:$D,'Modelling New'!$J:$J),"")</f>
        <v>3.75</v>
      </c>
      <c r="AD296" s="138">
        <f>IFERROR(_xlfn.XLOOKUP($D296,'Modelling New'!$D:$D,'Modelling New'!$T:$T)*1000,"")</f>
        <v>106720.09220527501</v>
      </c>
      <c r="AE296" s="142"/>
      <c r="AF296" s="142">
        <f>IFERROR(_xlfn.XLOOKUP($D296,'Modelling New'!$D:$D,'Modelling New'!$W:$W),"")</f>
        <v>6.3162933360129611E-2</v>
      </c>
      <c r="AG296" s="142">
        <f>IFERROR(_xlfn.XLOOKUP($D296,'Modelling New'!$D:$D,'Modelling New'!$AE:$AE),"")</f>
        <v>0.96029999999999993</v>
      </c>
      <c r="AH296" s="142">
        <f>IFERROR(_xlfn.XLOOKUP($D296,'Modelling New'!$D:$D,'Modelling New'!$AF:$AF),"")</f>
        <v>0.995</v>
      </c>
      <c r="AI296" s="109" t="str">
        <f>IFERROR(_xlfn.XLOOKUP($A296,Input_Raw!$A:$A,Input_Raw!$DP:$DP),"")</f>
        <v/>
      </c>
      <c r="AJ296" s="108"/>
      <c r="AK296" s="108"/>
      <c r="AL296" s="108"/>
      <c r="AM296" s="108"/>
      <c r="AN296" s="132" t="str">
        <f>IFERROR(_xlfn.XLOOKUP($A296,Input_Raw!$A:$A,Input_Raw!$DL:$DL),"")</f>
        <v/>
      </c>
      <c r="AO296" s="142" t="str">
        <f>IFERROR((_xlfn.XLOOKUP($A296,'WTG Reactive Power'!$A:$A,'WTG Reactive Power'!$AW:$AW))/X296,"")</f>
        <v/>
      </c>
      <c r="AP296" s="142">
        <f>IFERROR(_xlfn.XLOOKUP($D296,'Modelling New'!$D:$D,'Modelling New'!$AK:$AK),"")</f>
        <v>0.05</v>
      </c>
      <c r="AQ296" s="142">
        <f>IFERROR(_xlfn.XLOOKUP($D296,'Modelling New'!$D:$D,'Modelling New'!$AL:$AL),"")</f>
        <v>0.05</v>
      </c>
      <c r="AR296" s="198">
        <f>IFERROR(_xlfn.XLOOKUP($D296,'Modelling New'!$D:$D,'Modelling New'!$N:$N),"")</f>
        <v>70.400000000000006</v>
      </c>
      <c r="AS296" s="198"/>
    </row>
    <row r="297" spans="1:45">
      <c r="A297" s="137">
        <f t="shared" si="28"/>
        <v>46040</v>
      </c>
      <c r="B297" s="138">
        <f>YEAR(Daily_KPI[[#This Row],[Date]])+IF(MONTH(Daily_KPI[[#This Row],[Date]])&gt;=4,1,0)</f>
        <v>2026</v>
      </c>
      <c r="C297" s="108">
        <f>YEAR(Daily_KPI[[#This Row],[Date]])</f>
        <v>2026</v>
      </c>
      <c r="D297" s="139">
        <f>Daily_KPI[[#This Row],[Date]]-DAY(Daily_KPI[[#This Row],[Date]])+1</f>
        <v>46023</v>
      </c>
      <c r="E297" s="108">
        <f t="shared" si="29"/>
        <v>31</v>
      </c>
      <c r="F297" s="109"/>
      <c r="G297" s="110"/>
      <c r="H297" s="110"/>
      <c r="I297" s="110"/>
      <c r="J297" s="110"/>
      <c r="K297" s="111"/>
      <c r="L297" s="110"/>
      <c r="M297" s="110" t="str">
        <f>IFERROR(_xlfn.XLOOKUP($A297,Input_Raw!$A:$A,Input_Raw!$CQ:$CQ),"")</f>
        <v/>
      </c>
      <c r="N297" s="110" t="str">
        <f>IFERROR(_xlfn.XLOOKUP($A297,Input_Raw!$A:$A,Input_Raw!$CR:$CR),"")</f>
        <v/>
      </c>
      <c r="O297" s="141" t="str">
        <f t="shared" si="30"/>
        <v/>
      </c>
      <c r="P297" s="141" t="str">
        <f>IFERROR(1-SUMIF(WTG_BD!$F:$F,$A297,WTG_BD!$AA:$AA)/($AA297+SUMIF(WTG_BD!$F:$F,$A297,WTG_BD!$AA:$AA)),"")</f>
        <v/>
      </c>
      <c r="Q297" s="141" t="str">
        <f>IFERROR(1-SUMIF(IGA_BD!$F:$F,$A297,IGA_BD!$W:$W)/($AA297+SUMIF(IGA_BD!$F:$F,$A297,IGA_BD!$W:$W)),"")</f>
        <v/>
      </c>
      <c r="R297" s="141" t="str">
        <f>IFERROR(1-SUMIF(Grid_BD!$F:$F,$A297,Grid_BD!$Y:$Y)/($AA297+SUMIF(Grid_BD!$F:$F,$A297,Grid_BD!$Y:$Y)),"")</f>
        <v/>
      </c>
      <c r="S297" s="108"/>
      <c r="T297" s="140"/>
      <c r="U297" s="141"/>
      <c r="V297" s="108"/>
      <c r="W297" s="142" t="str">
        <f t="shared" si="31"/>
        <v/>
      </c>
      <c r="X297" s="108" t="str">
        <f>IFERROR(_xlfn.XLOOKUP($A297,Input_Raw!$A:$A,Input_Raw!$CP:$CP)*1000,"")</f>
        <v/>
      </c>
      <c r="Y297" s="108" t="str">
        <f>IFERROR(_xlfn.XLOOKUP($A297,Input_Raw!$A:$A,Input_Raw!DJ:DJ)*1000,"")</f>
        <v/>
      </c>
      <c r="Z297" s="108" t="str">
        <f>IFERROR(_xlfn.XLOOKUP($A297,Input_Raw!$A:$A,Input_Raw!DK:DK)*1000,"")</f>
        <v/>
      </c>
      <c r="AA297" s="138" t="str">
        <f t="shared" si="32"/>
        <v/>
      </c>
      <c r="AB297" s="108" t="str">
        <f>IFERROR(_xlfn.XLOOKUP($A297,Input_Raw!$A:$A,Input_Raw!$DR:$DR),"")</f>
        <v/>
      </c>
      <c r="AC297" s="143">
        <f>IFERROR(_xlfn.XLOOKUP($D297,'Modelling New'!$D:$D,'Modelling New'!$J:$J),"")</f>
        <v>3.75</v>
      </c>
      <c r="AD297" s="138">
        <f>IFERROR(_xlfn.XLOOKUP($D297,'Modelling New'!$D:$D,'Modelling New'!$T:$T)*1000,"")</f>
        <v>106720.09220527501</v>
      </c>
      <c r="AE297" s="142"/>
      <c r="AF297" s="142">
        <f>IFERROR(_xlfn.XLOOKUP($D297,'Modelling New'!$D:$D,'Modelling New'!$W:$W),"")</f>
        <v>6.3162933360129611E-2</v>
      </c>
      <c r="AG297" s="142">
        <f>IFERROR(_xlfn.XLOOKUP($D297,'Modelling New'!$D:$D,'Modelling New'!$AE:$AE),"")</f>
        <v>0.96029999999999993</v>
      </c>
      <c r="AH297" s="142">
        <f>IFERROR(_xlfn.XLOOKUP($D297,'Modelling New'!$D:$D,'Modelling New'!$AF:$AF),"")</f>
        <v>0.995</v>
      </c>
      <c r="AI297" s="109" t="str">
        <f>IFERROR(_xlfn.XLOOKUP($A297,Input_Raw!$A:$A,Input_Raw!$DP:$DP),"")</f>
        <v/>
      </c>
      <c r="AJ297" s="108"/>
      <c r="AK297" s="108"/>
      <c r="AL297" s="108"/>
      <c r="AM297" s="108"/>
      <c r="AN297" s="132" t="str">
        <f>IFERROR(_xlfn.XLOOKUP($A297,Input_Raw!$A:$A,Input_Raw!$DL:$DL),"")</f>
        <v/>
      </c>
      <c r="AO297" s="142" t="str">
        <f>IFERROR((_xlfn.XLOOKUP($A297,'WTG Reactive Power'!$A:$A,'WTG Reactive Power'!$AW:$AW))/X297,"")</f>
        <v/>
      </c>
      <c r="AP297" s="142">
        <f>IFERROR(_xlfn.XLOOKUP($D297,'Modelling New'!$D:$D,'Modelling New'!$AK:$AK),"")</f>
        <v>0.05</v>
      </c>
      <c r="AQ297" s="142">
        <f>IFERROR(_xlfn.XLOOKUP($D297,'Modelling New'!$D:$D,'Modelling New'!$AL:$AL),"")</f>
        <v>0.05</v>
      </c>
      <c r="AR297" s="198">
        <f>IFERROR(_xlfn.XLOOKUP($D297,'Modelling New'!$D:$D,'Modelling New'!$N:$N),"")</f>
        <v>70.400000000000006</v>
      </c>
      <c r="AS297" s="198"/>
    </row>
    <row r="298" spans="1:45">
      <c r="A298" s="137">
        <f t="shared" si="28"/>
        <v>46041</v>
      </c>
      <c r="B298" s="138">
        <f>YEAR(Daily_KPI[[#This Row],[Date]])+IF(MONTH(Daily_KPI[[#This Row],[Date]])&gt;=4,1,0)</f>
        <v>2026</v>
      </c>
      <c r="C298" s="108">
        <f>YEAR(Daily_KPI[[#This Row],[Date]])</f>
        <v>2026</v>
      </c>
      <c r="D298" s="139">
        <f>Daily_KPI[[#This Row],[Date]]-DAY(Daily_KPI[[#This Row],[Date]])+1</f>
        <v>46023</v>
      </c>
      <c r="E298" s="108">
        <f t="shared" si="29"/>
        <v>31</v>
      </c>
      <c r="F298" s="109"/>
      <c r="G298" s="110"/>
      <c r="H298" s="110"/>
      <c r="I298" s="110"/>
      <c r="J298" s="110"/>
      <c r="K298" s="111"/>
      <c r="L298" s="110"/>
      <c r="M298" s="110" t="str">
        <f>IFERROR(_xlfn.XLOOKUP($A298,Input_Raw!$A:$A,Input_Raw!$CQ:$CQ),"")</f>
        <v/>
      </c>
      <c r="N298" s="110" t="str">
        <f>IFERROR(_xlfn.XLOOKUP($A298,Input_Raw!$A:$A,Input_Raw!$CR:$CR),"")</f>
        <v/>
      </c>
      <c r="O298" s="141" t="str">
        <f t="shared" si="30"/>
        <v/>
      </c>
      <c r="P298" s="141" t="str">
        <f>IFERROR(1-SUMIF(WTG_BD!$F:$F,$A298,WTG_BD!$AA:$AA)/($AA298+SUMIF(WTG_BD!$F:$F,$A298,WTG_BD!$AA:$AA)),"")</f>
        <v/>
      </c>
      <c r="Q298" s="141" t="str">
        <f>IFERROR(1-SUMIF(IGA_BD!$F:$F,$A298,IGA_BD!$W:$W)/($AA298+SUMIF(IGA_BD!$F:$F,$A298,IGA_BD!$W:$W)),"")</f>
        <v/>
      </c>
      <c r="R298" s="141" t="str">
        <f>IFERROR(1-SUMIF(Grid_BD!$F:$F,$A298,Grid_BD!$Y:$Y)/($AA298+SUMIF(Grid_BD!$F:$F,$A298,Grid_BD!$Y:$Y)),"")</f>
        <v/>
      </c>
      <c r="S298" s="108"/>
      <c r="T298" s="140"/>
      <c r="U298" s="141"/>
      <c r="V298" s="108"/>
      <c r="W298" s="142" t="str">
        <f t="shared" si="31"/>
        <v/>
      </c>
      <c r="X298" s="108" t="str">
        <f>IFERROR(_xlfn.XLOOKUP($A298,Input_Raw!$A:$A,Input_Raw!$CP:$CP)*1000,"")</f>
        <v/>
      </c>
      <c r="Y298" s="108" t="str">
        <f>IFERROR(_xlfn.XLOOKUP($A298,Input_Raw!$A:$A,Input_Raw!DJ:DJ)*1000,"")</f>
        <v/>
      </c>
      <c r="Z298" s="108" t="str">
        <f>IFERROR(_xlfn.XLOOKUP($A298,Input_Raw!$A:$A,Input_Raw!DK:DK)*1000,"")</f>
        <v/>
      </c>
      <c r="AA298" s="138" t="str">
        <f t="shared" si="32"/>
        <v/>
      </c>
      <c r="AB298" s="108" t="str">
        <f>IFERROR(_xlfn.XLOOKUP($A298,Input_Raw!$A:$A,Input_Raw!$DR:$DR),"")</f>
        <v/>
      </c>
      <c r="AC298" s="143">
        <f>IFERROR(_xlfn.XLOOKUP($D298,'Modelling New'!$D:$D,'Modelling New'!$J:$J),"")</f>
        <v>3.75</v>
      </c>
      <c r="AD298" s="138">
        <f>IFERROR(_xlfn.XLOOKUP($D298,'Modelling New'!$D:$D,'Modelling New'!$T:$T)*1000,"")</f>
        <v>106720.09220527501</v>
      </c>
      <c r="AE298" s="142"/>
      <c r="AF298" s="142">
        <f>IFERROR(_xlfn.XLOOKUP($D298,'Modelling New'!$D:$D,'Modelling New'!$W:$W),"")</f>
        <v>6.3162933360129611E-2</v>
      </c>
      <c r="AG298" s="142">
        <f>IFERROR(_xlfn.XLOOKUP($D298,'Modelling New'!$D:$D,'Modelling New'!$AE:$AE),"")</f>
        <v>0.96029999999999993</v>
      </c>
      <c r="AH298" s="142">
        <f>IFERROR(_xlfn.XLOOKUP($D298,'Modelling New'!$D:$D,'Modelling New'!$AF:$AF),"")</f>
        <v>0.995</v>
      </c>
      <c r="AI298" s="109" t="str">
        <f>IFERROR(_xlfn.XLOOKUP($A298,Input_Raw!$A:$A,Input_Raw!$DP:$DP),"")</f>
        <v/>
      </c>
      <c r="AJ298" s="108"/>
      <c r="AK298" s="108"/>
      <c r="AL298" s="108"/>
      <c r="AM298" s="108"/>
      <c r="AN298" s="132" t="str">
        <f>IFERROR(_xlfn.XLOOKUP($A298,Input_Raw!$A:$A,Input_Raw!$DL:$DL),"")</f>
        <v/>
      </c>
      <c r="AO298" s="142" t="str">
        <f>IFERROR((_xlfn.XLOOKUP($A298,'WTG Reactive Power'!$A:$A,'WTG Reactive Power'!$AW:$AW))/X298,"")</f>
        <v/>
      </c>
      <c r="AP298" s="142">
        <f>IFERROR(_xlfn.XLOOKUP($D298,'Modelling New'!$D:$D,'Modelling New'!$AK:$AK),"")</f>
        <v>0.05</v>
      </c>
      <c r="AQ298" s="142">
        <f>IFERROR(_xlfn.XLOOKUP($D298,'Modelling New'!$D:$D,'Modelling New'!$AL:$AL),"")</f>
        <v>0.05</v>
      </c>
      <c r="AR298" s="198">
        <f>IFERROR(_xlfn.XLOOKUP($D298,'Modelling New'!$D:$D,'Modelling New'!$N:$N),"")</f>
        <v>70.400000000000006</v>
      </c>
      <c r="AS298" s="198"/>
    </row>
    <row r="299" spans="1:45">
      <c r="A299" s="137">
        <f t="shared" si="28"/>
        <v>46042</v>
      </c>
      <c r="B299" s="138">
        <f>YEAR(Daily_KPI[[#This Row],[Date]])+IF(MONTH(Daily_KPI[[#This Row],[Date]])&gt;=4,1,0)</f>
        <v>2026</v>
      </c>
      <c r="C299" s="108">
        <f>YEAR(Daily_KPI[[#This Row],[Date]])</f>
        <v>2026</v>
      </c>
      <c r="D299" s="139">
        <f>Daily_KPI[[#This Row],[Date]]-DAY(Daily_KPI[[#This Row],[Date]])+1</f>
        <v>46023</v>
      </c>
      <c r="E299" s="108">
        <f t="shared" si="29"/>
        <v>31</v>
      </c>
      <c r="F299" s="109"/>
      <c r="G299" s="110"/>
      <c r="H299" s="110"/>
      <c r="I299" s="110"/>
      <c r="J299" s="110"/>
      <c r="K299" s="111"/>
      <c r="L299" s="110"/>
      <c r="M299" s="110" t="str">
        <f>IFERROR(_xlfn.XLOOKUP($A299,Input_Raw!$A:$A,Input_Raw!$CQ:$CQ),"")</f>
        <v/>
      </c>
      <c r="N299" s="110" t="str">
        <f>IFERROR(_xlfn.XLOOKUP($A299,Input_Raw!$A:$A,Input_Raw!$CR:$CR),"")</f>
        <v/>
      </c>
      <c r="O299" s="141" t="str">
        <f t="shared" si="30"/>
        <v/>
      </c>
      <c r="P299" s="141" t="str">
        <f>IFERROR(1-SUMIF(WTG_BD!$F:$F,$A299,WTG_BD!$AA:$AA)/($AA299+SUMIF(WTG_BD!$F:$F,$A299,WTG_BD!$AA:$AA)),"")</f>
        <v/>
      </c>
      <c r="Q299" s="141" t="str">
        <f>IFERROR(1-SUMIF(IGA_BD!$F:$F,$A299,IGA_BD!$W:$W)/($AA299+SUMIF(IGA_BD!$F:$F,$A299,IGA_BD!$W:$W)),"")</f>
        <v/>
      </c>
      <c r="R299" s="141" t="str">
        <f>IFERROR(1-SUMIF(Grid_BD!$F:$F,$A299,Grid_BD!$Y:$Y)/($AA299+SUMIF(Grid_BD!$F:$F,$A299,Grid_BD!$Y:$Y)),"")</f>
        <v/>
      </c>
      <c r="S299" s="108"/>
      <c r="T299" s="140"/>
      <c r="U299" s="141"/>
      <c r="V299" s="108"/>
      <c r="W299" s="142" t="str">
        <f t="shared" si="31"/>
        <v/>
      </c>
      <c r="X299" s="108" t="str">
        <f>IFERROR(_xlfn.XLOOKUP($A299,Input_Raw!$A:$A,Input_Raw!$CP:$CP)*1000,"")</f>
        <v/>
      </c>
      <c r="Y299" s="108" t="str">
        <f>IFERROR(_xlfn.XLOOKUP($A299,Input_Raw!$A:$A,Input_Raw!DJ:DJ)*1000,"")</f>
        <v/>
      </c>
      <c r="Z299" s="108" t="str">
        <f>IFERROR(_xlfn.XLOOKUP($A299,Input_Raw!$A:$A,Input_Raw!DK:DK)*1000,"")</f>
        <v/>
      </c>
      <c r="AA299" s="138" t="str">
        <f t="shared" si="32"/>
        <v/>
      </c>
      <c r="AB299" s="108" t="str">
        <f>IFERROR(_xlfn.XLOOKUP($A299,Input_Raw!$A:$A,Input_Raw!$DR:$DR),"")</f>
        <v/>
      </c>
      <c r="AC299" s="143">
        <f>IFERROR(_xlfn.XLOOKUP($D299,'Modelling New'!$D:$D,'Modelling New'!$J:$J),"")</f>
        <v>3.75</v>
      </c>
      <c r="AD299" s="138">
        <f>IFERROR(_xlfn.XLOOKUP($D299,'Modelling New'!$D:$D,'Modelling New'!$T:$T)*1000,"")</f>
        <v>106720.09220527501</v>
      </c>
      <c r="AE299" s="142"/>
      <c r="AF299" s="142">
        <f>IFERROR(_xlfn.XLOOKUP($D299,'Modelling New'!$D:$D,'Modelling New'!$W:$W),"")</f>
        <v>6.3162933360129611E-2</v>
      </c>
      <c r="AG299" s="142">
        <f>IFERROR(_xlfn.XLOOKUP($D299,'Modelling New'!$D:$D,'Modelling New'!$AE:$AE),"")</f>
        <v>0.96029999999999993</v>
      </c>
      <c r="AH299" s="142">
        <f>IFERROR(_xlfn.XLOOKUP($D299,'Modelling New'!$D:$D,'Modelling New'!$AF:$AF),"")</f>
        <v>0.995</v>
      </c>
      <c r="AI299" s="109" t="str">
        <f>IFERROR(_xlfn.XLOOKUP($A299,Input_Raw!$A:$A,Input_Raw!$DP:$DP),"")</f>
        <v/>
      </c>
      <c r="AJ299" s="108"/>
      <c r="AK299" s="108"/>
      <c r="AL299" s="108"/>
      <c r="AM299" s="108"/>
      <c r="AN299" s="132" t="str">
        <f>IFERROR(_xlfn.XLOOKUP($A299,Input_Raw!$A:$A,Input_Raw!$DL:$DL),"")</f>
        <v/>
      </c>
      <c r="AO299" s="142" t="str">
        <f>IFERROR((_xlfn.XLOOKUP($A299,'WTG Reactive Power'!$A:$A,'WTG Reactive Power'!$AW:$AW))/X299,"")</f>
        <v/>
      </c>
      <c r="AP299" s="142">
        <f>IFERROR(_xlfn.XLOOKUP($D299,'Modelling New'!$D:$D,'Modelling New'!$AK:$AK),"")</f>
        <v>0.05</v>
      </c>
      <c r="AQ299" s="142">
        <f>IFERROR(_xlfn.XLOOKUP($D299,'Modelling New'!$D:$D,'Modelling New'!$AL:$AL),"")</f>
        <v>0.05</v>
      </c>
      <c r="AR299" s="198">
        <f>IFERROR(_xlfn.XLOOKUP($D299,'Modelling New'!$D:$D,'Modelling New'!$N:$N),"")</f>
        <v>70.400000000000006</v>
      </c>
      <c r="AS299" s="198"/>
    </row>
    <row r="300" spans="1:45">
      <c r="A300" s="137">
        <f t="shared" si="28"/>
        <v>46043</v>
      </c>
      <c r="B300" s="138">
        <f>YEAR(Daily_KPI[[#This Row],[Date]])+IF(MONTH(Daily_KPI[[#This Row],[Date]])&gt;=4,1,0)</f>
        <v>2026</v>
      </c>
      <c r="C300" s="108">
        <f>YEAR(Daily_KPI[[#This Row],[Date]])</f>
        <v>2026</v>
      </c>
      <c r="D300" s="139">
        <f>Daily_KPI[[#This Row],[Date]]-DAY(Daily_KPI[[#This Row],[Date]])+1</f>
        <v>46023</v>
      </c>
      <c r="E300" s="108">
        <f t="shared" si="29"/>
        <v>31</v>
      </c>
      <c r="F300" s="109"/>
      <c r="G300" s="110"/>
      <c r="H300" s="110"/>
      <c r="I300" s="110"/>
      <c r="J300" s="110"/>
      <c r="K300" s="111"/>
      <c r="L300" s="110"/>
      <c r="M300" s="110" t="str">
        <f>IFERROR(_xlfn.XLOOKUP($A300,Input_Raw!$A:$A,Input_Raw!$CQ:$CQ),"")</f>
        <v/>
      </c>
      <c r="N300" s="110" t="str">
        <f>IFERROR(_xlfn.XLOOKUP($A300,Input_Raw!$A:$A,Input_Raw!$CR:$CR),"")</f>
        <v/>
      </c>
      <c r="O300" s="141" t="str">
        <f t="shared" si="30"/>
        <v/>
      </c>
      <c r="P300" s="141" t="str">
        <f>IFERROR(1-SUMIF(WTG_BD!$F:$F,$A300,WTG_BD!$AA:$AA)/($AA300+SUMIF(WTG_BD!$F:$F,$A300,WTG_BD!$AA:$AA)),"")</f>
        <v/>
      </c>
      <c r="Q300" s="141" t="str">
        <f>IFERROR(1-SUMIF(IGA_BD!$F:$F,$A300,IGA_BD!$W:$W)/($AA300+SUMIF(IGA_BD!$F:$F,$A300,IGA_BD!$W:$W)),"")</f>
        <v/>
      </c>
      <c r="R300" s="141" t="str">
        <f>IFERROR(1-SUMIF(Grid_BD!$F:$F,$A300,Grid_BD!$Y:$Y)/($AA300+SUMIF(Grid_BD!$F:$F,$A300,Grid_BD!$Y:$Y)),"")</f>
        <v/>
      </c>
      <c r="S300" s="108"/>
      <c r="T300" s="140"/>
      <c r="U300" s="141"/>
      <c r="V300" s="108"/>
      <c r="W300" s="142" t="str">
        <f t="shared" si="31"/>
        <v/>
      </c>
      <c r="X300" s="108" t="str">
        <f>IFERROR(_xlfn.XLOOKUP($A300,Input_Raw!$A:$A,Input_Raw!$CP:$CP)*1000,"")</f>
        <v/>
      </c>
      <c r="Y300" s="108" t="str">
        <f>IFERROR(_xlfn.XLOOKUP($A300,Input_Raw!$A:$A,Input_Raw!DJ:DJ)*1000,"")</f>
        <v/>
      </c>
      <c r="Z300" s="108" t="str">
        <f>IFERROR(_xlfn.XLOOKUP($A300,Input_Raw!$A:$A,Input_Raw!DK:DK)*1000,"")</f>
        <v/>
      </c>
      <c r="AA300" s="138" t="str">
        <f t="shared" si="32"/>
        <v/>
      </c>
      <c r="AB300" s="108" t="str">
        <f>IFERROR(_xlfn.XLOOKUP($A300,Input_Raw!$A:$A,Input_Raw!$DR:$DR),"")</f>
        <v/>
      </c>
      <c r="AC300" s="143">
        <f>IFERROR(_xlfn.XLOOKUP($D300,'Modelling New'!$D:$D,'Modelling New'!$J:$J),"")</f>
        <v>3.75</v>
      </c>
      <c r="AD300" s="138">
        <f>IFERROR(_xlfn.XLOOKUP($D300,'Modelling New'!$D:$D,'Modelling New'!$T:$T)*1000,"")</f>
        <v>106720.09220527501</v>
      </c>
      <c r="AE300" s="142"/>
      <c r="AF300" s="142">
        <f>IFERROR(_xlfn.XLOOKUP($D300,'Modelling New'!$D:$D,'Modelling New'!$W:$W),"")</f>
        <v>6.3162933360129611E-2</v>
      </c>
      <c r="AG300" s="142">
        <f>IFERROR(_xlfn.XLOOKUP($D300,'Modelling New'!$D:$D,'Modelling New'!$AE:$AE),"")</f>
        <v>0.96029999999999993</v>
      </c>
      <c r="AH300" s="142">
        <f>IFERROR(_xlfn.XLOOKUP($D300,'Modelling New'!$D:$D,'Modelling New'!$AF:$AF),"")</f>
        <v>0.995</v>
      </c>
      <c r="AI300" s="109" t="str">
        <f>IFERROR(_xlfn.XLOOKUP($A300,Input_Raw!$A:$A,Input_Raw!$DP:$DP),"")</f>
        <v/>
      </c>
      <c r="AJ300" s="108"/>
      <c r="AK300" s="108"/>
      <c r="AL300" s="108"/>
      <c r="AM300" s="108"/>
      <c r="AN300" s="132" t="str">
        <f>IFERROR(_xlfn.XLOOKUP($A300,Input_Raw!$A:$A,Input_Raw!$DL:$DL),"")</f>
        <v/>
      </c>
      <c r="AO300" s="142" t="str">
        <f>IFERROR((_xlfn.XLOOKUP($A300,'WTG Reactive Power'!$A:$A,'WTG Reactive Power'!$AW:$AW))/X300,"")</f>
        <v/>
      </c>
      <c r="AP300" s="142">
        <f>IFERROR(_xlfn.XLOOKUP($D300,'Modelling New'!$D:$D,'Modelling New'!$AK:$AK),"")</f>
        <v>0.05</v>
      </c>
      <c r="AQ300" s="142">
        <f>IFERROR(_xlfn.XLOOKUP($D300,'Modelling New'!$D:$D,'Modelling New'!$AL:$AL),"")</f>
        <v>0.05</v>
      </c>
      <c r="AR300" s="198">
        <f>IFERROR(_xlfn.XLOOKUP($D300,'Modelling New'!$D:$D,'Modelling New'!$N:$N),"")</f>
        <v>70.400000000000006</v>
      </c>
      <c r="AS300" s="198"/>
    </row>
    <row r="301" spans="1:45">
      <c r="A301" s="137">
        <f t="shared" si="28"/>
        <v>46044</v>
      </c>
      <c r="B301" s="138">
        <f>YEAR(Daily_KPI[[#This Row],[Date]])+IF(MONTH(Daily_KPI[[#This Row],[Date]])&gt;=4,1,0)</f>
        <v>2026</v>
      </c>
      <c r="C301" s="108">
        <f>YEAR(Daily_KPI[[#This Row],[Date]])</f>
        <v>2026</v>
      </c>
      <c r="D301" s="139">
        <f>Daily_KPI[[#This Row],[Date]]-DAY(Daily_KPI[[#This Row],[Date]])+1</f>
        <v>46023</v>
      </c>
      <c r="E301" s="108">
        <f t="shared" si="29"/>
        <v>31</v>
      </c>
      <c r="F301" s="109"/>
      <c r="G301" s="110"/>
      <c r="H301" s="110"/>
      <c r="I301" s="110"/>
      <c r="J301" s="110"/>
      <c r="K301" s="111"/>
      <c r="L301" s="110"/>
      <c r="M301" s="110" t="str">
        <f>IFERROR(_xlfn.XLOOKUP($A301,Input_Raw!$A:$A,Input_Raw!$CQ:$CQ),"")</f>
        <v/>
      </c>
      <c r="N301" s="110" t="str">
        <f>IFERROR(_xlfn.XLOOKUP($A301,Input_Raw!$A:$A,Input_Raw!$CR:$CR),"")</f>
        <v/>
      </c>
      <c r="O301" s="141" t="str">
        <f t="shared" si="30"/>
        <v/>
      </c>
      <c r="P301" s="141" t="str">
        <f>IFERROR(1-SUMIF(WTG_BD!$F:$F,$A301,WTG_BD!$AA:$AA)/($AA301+SUMIF(WTG_BD!$F:$F,$A301,WTG_BD!$AA:$AA)),"")</f>
        <v/>
      </c>
      <c r="Q301" s="141" t="str">
        <f>IFERROR(1-SUMIF(IGA_BD!$F:$F,$A301,IGA_BD!$W:$W)/($AA301+SUMIF(IGA_BD!$F:$F,$A301,IGA_BD!$W:$W)),"")</f>
        <v/>
      </c>
      <c r="R301" s="141" t="str">
        <f>IFERROR(1-SUMIF(Grid_BD!$F:$F,$A301,Grid_BD!$Y:$Y)/($AA301+SUMIF(Grid_BD!$F:$F,$A301,Grid_BD!$Y:$Y)),"")</f>
        <v/>
      </c>
      <c r="S301" s="108"/>
      <c r="T301" s="140"/>
      <c r="U301" s="141"/>
      <c r="V301" s="108"/>
      <c r="W301" s="142" t="str">
        <f t="shared" si="31"/>
        <v/>
      </c>
      <c r="X301" s="108" t="str">
        <f>IFERROR(_xlfn.XLOOKUP($A301,Input_Raw!$A:$A,Input_Raw!$CP:$CP)*1000,"")</f>
        <v/>
      </c>
      <c r="Y301" s="108" t="str">
        <f>IFERROR(_xlfn.XLOOKUP($A301,Input_Raw!$A:$A,Input_Raw!DJ:DJ)*1000,"")</f>
        <v/>
      </c>
      <c r="Z301" s="108" t="str">
        <f>IFERROR(_xlfn.XLOOKUP($A301,Input_Raw!$A:$A,Input_Raw!DK:DK)*1000,"")</f>
        <v/>
      </c>
      <c r="AA301" s="138" t="str">
        <f t="shared" si="32"/>
        <v/>
      </c>
      <c r="AB301" s="108" t="str">
        <f>IFERROR(_xlfn.XLOOKUP($A301,Input_Raw!$A:$A,Input_Raw!$DR:$DR),"")</f>
        <v/>
      </c>
      <c r="AC301" s="143">
        <f>IFERROR(_xlfn.XLOOKUP($D301,'Modelling New'!$D:$D,'Modelling New'!$J:$J),"")</f>
        <v>3.75</v>
      </c>
      <c r="AD301" s="138">
        <f>IFERROR(_xlfn.XLOOKUP($D301,'Modelling New'!$D:$D,'Modelling New'!$T:$T)*1000,"")</f>
        <v>106720.09220527501</v>
      </c>
      <c r="AE301" s="142"/>
      <c r="AF301" s="142">
        <f>IFERROR(_xlfn.XLOOKUP($D301,'Modelling New'!$D:$D,'Modelling New'!$W:$W),"")</f>
        <v>6.3162933360129611E-2</v>
      </c>
      <c r="AG301" s="142">
        <f>IFERROR(_xlfn.XLOOKUP($D301,'Modelling New'!$D:$D,'Modelling New'!$AE:$AE),"")</f>
        <v>0.96029999999999993</v>
      </c>
      <c r="AH301" s="142">
        <f>IFERROR(_xlfn.XLOOKUP($D301,'Modelling New'!$D:$D,'Modelling New'!$AF:$AF),"")</f>
        <v>0.995</v>
      </c>
      <c r="AI301" s="109" t="str">
        <f>IFERROR(_xlfn.XLOOKUP($A301,Input_Raw!$A:$A,Input_Raw!$DP:$DP),"")</f>
        <v/>
      </c>
      <c r="AJ301" s="108"/>
      <c r="AK301" s="108"/>
      <c r="AL301" s="108"/>
      <c r="AM301" s="108"/>
      <c r="AN301" s="132" t="str">
        <f>IFERROR(_xlfn.XLOOKUP($A301,Input_Raw!$A:$A,Input_Raw!$DL:$DL),"")</f>
        <v/>
      </c>
      <c r="AO301" s="142" t="str">
        <f>IFERROR((_xlfn.XLOOKUP($A301,'WTG Reactive Power'!$A:$A,'WTG Reactive Power'!$AW:$AW))/X301,"")</f>
        <v/>
      </c>
      <c r="AP301" s="142">
        <f>IFERROR(_xlfn.XLOOKUP($D301,'Modelling New'!$D:$D,'Modelling New'!$AK:$AK),"")</f>
        <v>0.05</v>
      </c>
      <c r="AQ301" s="142">
        <f>IFERROR(_xlfn.XLOOKUP($D301,'Modelling New'!$D:$D,'Modelling New'!$AL:$AL),"")</f>
        <v>0.05</v>
      </c>
      <c r="AR301" s="198">
        <f>IFERROR(_xlfn.XLOOKUP($D301,'Modelling New'!$D:$D,'Modelling New'!$N:$N),"")</f>
        <v>70.400000000000006</v>
      </c>
      <c r="AS301" s="198"/>
    </row>
    <row r="302" spans="1:45">
      <c r="A302" s="137">
        <f t="shared" si="28"/>
        <v>46045</v>
      </c>
      <c r="B302" s="138">
        <f>YEAR(Daily_KPI[[#This Row],[Date]])+IF(MONTH(Daily_KPI[[#This Row],[Date]])&gt;=4,1,0)</f>
        <v>2026</v>
      </c>
      <c r="C302" s="108">
        <f>YEAR(Daily_KPI[[#This Row],[Date]])</f>
        <v>2026</v>
      </c>
      <c r="D302" s="139">
        <f>Daily_KPI[[#This Row],[Date]]-DAY(Daily_KPI[[#This Row],[Date]])+1</f>
        <v>46023</v>
      </c>
      <c r="E302" s="108">
        <f t="shared" si="29"/>
        <v>31</v>
      </c>
      <c r="F302" s="109"/>
      <c r="G302" s="110"/>
      <c r="H302" s="110"/>
      <c r="I302" s="110"/>
      <c r="J302" s="110"/>
      <c r="K302" s="111"/>
      <c r="L302" s="110"/>
      <c r="M302" s="110" t="str">
        <f>IFERROR(_xlfn.XLOOKUP($A302,Input_Raw!$A:$A,Input_Raw!$CQ:$CQ),"")</f>
        <v/>
      </c>
      <c r="N302" s="110" t="str">
        <f>IFERROR(_xlfn.XLOOKUP($A302,Input_Raw!$A:$A,Input_Raw!$CR:$CR),"")</f>
        <v/>
      </c>
      <c r="O302" s="141" t="str">
        <f t="shared" si="30"/>
        <v/>
      </c>
      <c r="P302" s="141" t="str">
        <f>IFERROR(1-SUMIF(WTG_BD!$F:$F,$A302,WTG_BD!$AA:$AA)/($AA302+SUMIF(WTG_BD!$F:$F,$A302,WTG_BD!$AA:$AA)),"")</f>
        <v/>
      </c>
      <c r="Q302" s="141" t="str">
        <f>IFERROR(1-SUMIF(IGA_BD!$F:$F,$A302,IGA_BD!$W:$W)/($AA302+SUMIF(IGA_BD!$F:$F,$A302,IGA_BD!$W:$W)),"")</f>
        <v/>
      </c>
      <c r="R302" s="141" t="str">
        <f>IFERROR(1-SUMIF(Grid_BD!$F:$F,$A302,Grid_BD!$Y:$Y)/($AA302+SUMIF(Grid_BD!$F:$F,$A302,Grid_BD!$Y:$Y)),"")</f>
        <v/>
      </c>
      <c r="S302" s="108"/>
      <c r="T302" s="140"/>
      <c r="U302" s="141"/>
      <c r="V302" s="108"/>
      <c r="W302" s="142" t="str">
        <f t="shared" si="31"/>
        <v/>
      </c>
      <c r="X302" s="108" t="str">
        <f>IFERROR(_xlfn.XLOOKUP($A302,Input_Raw!$A:$A,Input_Raw!$CP:$CP)*1000,"")</f>
        <v/>
      </c>
      <c r="Y302" s="108" t="str">
        <f>IFERROR(_xlfn.XLOOKUP($A302,Input_Raw!$A:$A,Input_Raw!DJ:DJ)*1000,"")</f>
        <v/>
      </c>
      <c r="Z302" s="108" t="str">
        <f>IFERROR(_xlfn.XLOOKUP($A302,Input_Raw!$A:$A,Input_Raw!DK:DK)*1000,"")</f>
        <v/>
      </c>
      <c r="AA302" s="138" t="str">
        <f t="shared" si="32"/>
        <v/>
      </c>
      <c r="AB302" s="108" t="str">
        <f>IFERROR(_xlfn.XLOOKUP($A302,Input_Raw!$A:$A,Input_Raw!$DR:$DR),"")</f>
        <v/>
      </c>
      <c r="AC302" s="143">
        <f>IFERROR(_xlfn.XLOOKUP($D302,'Modelling New'!$D:$D,'Modelling New'!$J:$J),"")</f>
        <v>3.75</v>
      </c>
      <c r="AD302" s="138">
        <f>IFERROR(_xlfn.XLOOKUP($D302,'Modelling New'!$D:$D,'Modelling New'!$T:$T)*1000,"")</f>
        <v>106720.09220527501</v>
      </c>
      <c r="AE302" s="142"/>
      <c r="AF302" s="142">
        <f>IFERROR(_xlfn.XLOOKUP($D302,'Modelling New'!$D:$D,'Modelling New'!$W:$W),"")</f>
        <v>6.3162933360129611E-2</v>
      </c>
      <c r="AG302" s="142">
        <f>IFERROR(_xlfn.XLOOKUP($D302,'Modelling New'!$D:$D,'Modelling New'!$AE:$AE),"")</f>
        <v>0.96029999999999993</v>
      </c>
      <c r="AH302" s="142">
        <f>IFERROR(_xlfn.XLOOKUP($D302,'Modelling New'!$D:$D,'Modelling New'!$AF:$AF),"")</f>
        <v>0.995</v>
      </c>
      <c r="AI302" s="109" t="str">
        <f>IFERROR(_xlfn.XLOOKUP($A302,Input_Raw!$A:$A,Input_Raw!$DP:$DP),"")</f>
        <v/>
      </c>
      <c r="AJ302" s="108"/>
      <c r="AK302" s="108"/>
      <c r="AL302" s="108"/>
      <c r="AM302" s="108"/>
      <c r="AN302" s="132" t="str">
        <f>IFERROR(_xlfn.XLOOKUP($A302,Input_Raw!$A:$A,Input_Raw!$DL:$DL),"")</f>
        <v/>
      </c>
      <c r="AO302" s="142" t="str">
        <f>IFERROR((_xlfn.XLOOKUP($A302,'WTG Reactive Power'!$A:$A,'WTG Reactive Power'!$AW:$AW))/X302,"")</f>
        <v/>
      </c>
      <c r="AP302" s="142">
        <f>IFERROR(_xlfn.XLOOKUP($D302,'Modelling New'!$D:$D,'Modelling New'!$AK:$AK),"")</f>
        <v>0.05</v>
      </c>
      <c r="AQ302" s="142">
        <f>IFERROR(_xlfn.XLOOKUP($D302,'Modelling New'!$D:$D,'Modelling New'!$AL:$AL),"")</f>
        <v>0.05</v>
      </c>
      <c r="AR302" s="198">
        <f>IFERROR(_xlfn.XLOOKUP($D302,'Modelling New'!$D:$D,'Modelling New'!$N:$N),"")</f>
        <v>70.400000000000006</v>
      </c>
      <c r="AS302" s="198"/>
    </row>
    <row r="303" spans="1:45">
      <c r="A303" s="137">
        <f t="shared" si="28"/>
        <v>46046</v>
      </c>
      <c r="B303" s="138">
        <f>YEAR(Daily_KPI[[#This Row],[Date]])+IF(MONTH(Daily_KPI[[#This Row],[Date]])&gt;=4,1,0)</f>
        <v>2026</v>
      </c>
      <c r="C303" s="108">
        <f>YEAR(Daily_KPI[[#This Row],[Date]])</f>
        <v>2026</v>
      </c>
      <c r="D303" s="139">
        <f>Daily_KPI[[#This Row],[Date]]-DAY(Daily_KPI[[#This Row],[Date]])+1</f>
        <v>46023</v>
      </c>
      <c r="E303" s="108">
        <f t="shared" si="29"/>
        <v>31</v>
      </c>
      <c r="F303" s="109"/>
      <c r="G303" s="110"/>
      <c r="H303" s="110"/>
      <c r="I303" s="110"/>
      <c r="J303" s="110"/>
      <c r="K303" s="111"/>
      <c r="L303" s="110"/>
      <c r="M303" s="110" t="str">
        <f>IFERROR(_xlfn.XLOOKUP($A303,Input_Raw!$A:$A,Input_Raw!$CQ:$CQ),"")</f>
        <v/>
      </c>
      <c r="N303" s="110" t="str">
        <f>IFERROR(_xlfn.XLOOKUP($A303,Input_Raw!$A:$A,Input_Raw!$CR:$CR),"")</f>
        <v/>
      </c>
      <c r="O303" s="141" t="str">
        <f t="shared" si="30"/>
        <v/>
      </c>
      <c r="P303" s="141" t="str">
        <f>IFERROR(1-SUMIF(WTG_BD!$F:$F,$A303,WTG_BD!$AA:$AA)/($AA303+SUMIF(WTG_BD!$F:$F,$A303,WTG_BD!$AA:$AA)),"")</f>
        <v/>
      </c>
      <c r="Q303" s="141" t="str">
        <f>IFERROR(1-SUMIF(IGA_BD!$F:$F,$A303,IGA_BD!$W:$W)/($AA303+SUMIF(IGA_BD!$F:$F,$A303,IGA_BD!$W:$W)),"")</f>
        <v/>
      </c>
      <c r="R303" s="141" t="str">
        <f>IFERROR(1-SUMIF(Grid_BD!$F:$F,$A303,Grid_BD!$Y:$Y)/($AA303+SUMIF(Grid_BD!$F:$F,$A303,Grid_BD!$Y:$Y)),"")</f>
        <v/>
      </c>
      <c r="S303" s="108"/>
      <c r="T303" s="140"/>
      <c r="U303" s="141"/>
      <c r="V303" s="108"/>
      <c r="W303" s="142" t="str">
        <f t="shared" si="31"/>
        <v/>
      </c>
      <c r="X303" s="108" t="str">
        <f>IFERROR(_xlfn.XLOOKUP($A303,Input_Raw!$A:$A,Input_Raw!$CP:$CP)*1000,"")</f>
        <v/>
      </c>
      <c r="Y303" s="108" t="str">
        <f>IFERROR(_xlfn.XLOOKUP($A303,Input_Raw!$A:$A,Input_Raw!DJ:DJ)*1000,"")</f>
        <v/>
      </c>
      <c r="Z303" s="108" t="str">
        <f>IFERROR(_xlfn.XLOOKUP($A303,Input_Raw!$A:$A,Input_Raw!DK:DK)*1000,"")</f>
        <v/>
      </c>
      <c r="AA303" s="138" t="str">
        <f t="shared" si="32"/>
        <v/>
      </c>
      <c r="AB303" s="108" t="str">
        <f>IFERROR(_xlfn.XLOOKUP($A303,Input_Raw!$A:$A,Input_Raw!$DR:$DR),"")</f>
        <v/>
      </c>
      <c r="AC303" s="143">
        <f>IFERROR(_xlfn.XLOOKUP($D303,'Modelling New'!$D:$D,'Modelling New'!$J:$J),"")</f>
        <v>3.75</v>
      </c>
      <c r="AD303" s="138">
        <f>IFERROR(_xlfn.XLOOKUP($D303,'Modelling New'!$D:$D,'Modelling New'!$T:$T)*1000,"")</f>
        <v>106720.09220527501</v>
      </c>
      <c r="AE303" s="142"/>
      <c r="AF303" s="142">
        <f>IFERROR(_xlfn.XLOOKUP($D303,'Modelling New'!$D:$D,'Modelling New'!$W:$W),"")</f>
        <v>6.3162933360129611E-2</v>
      </c>
      <c r="AG303" s="142">
        <f>IFERROR(_xlfn.XLOOKUP($D303,'Modelling New'!$D:$D,'Modelling New'!$AE:$AE),"")</f>
        <v>0.96029999999999993</v>
      </c>
      <c r="AH303" s="142">
        <f>IFERROR(_xlfn.XLOOKUP($D303,'Modelling New'!$D:$D,'Modelling New'!$AF:$AF),"")</f>
        <v>0.995</v>
      </c>
      <c r="AI303" s="109" t="str">
        <f>IFERROR(_xlfn.XLOOKUP($A303,Input_Raw!$A:$A,Input_Raw!$DP:$DP),"")</f>
        <v/>
      </c>
      <c r="AJ303" s="108"/>
      <c r="AK303" s="108"/>
      <c r="AL303" s="108"/>
      <c r="AM303" s="108"/>
      <c r="AN303" s="132" t="str">
        <f>IFERROR(_xlfn.XLOOKUP($A303,Input_Raw!$A:$A,Input_Raw!$DL:$DL),"")</f>
        <v/>
      </c>
      <c r="AO303" s="142" t="str">
        <f>IFERROR((_xlfn.XLOOKUP($A303,'WTG Reactive Power'!$A:$A,'WTG Reactive Power'!$AW:$AW))/X303,"")</f>
        <v/>
      </c>
      <c r="AP303" s="142">
        <f>IFERROR(_xlfn.XLOOKUP($D303,'Modelling New'!$D:$D,'Modelling New'!$AK:$AK),"")</f>
        <v>0.05</v>
      </c>
      <c r="AQ303" s="142">
        <f>IFERROR(_xlfn.XLOOKUP($D303,'Modelling New'!$D:$D,'Modelling New'!$AL:$AL),"")</f>
        <v>0.05</v>
      </c>
      <c r="AR303" s="198">
        <f>IFERROR(_xlfn.XLOOKUP($D303,'Modelling New'!$D:$D,'Modelling New'!$N:$N),"")</f>
        <v>70.400000000000006</v>
      </c>
      <c r="AS303" s="198"/>
    </row>
    <row r="304" spans="1:45">
      <c r="A304" s="137">
        <f t="shared" si="28"/>
        <v>46047</v>
      </c>
      <c r="B304" s="138">
        <f>YEAR(Daily_KPI[[#This Row],[Date]])+IF(MONTH(Daily_KPI[[#This Row],[Date]])&gt;=4,1,0)</f>
        <v>2026</v>
      </c>
      <c r="C304" s="108">
        <f>YEAR(Daily_KPI[[#This Row],[Date]])</f>
        <v>2026</v>
      </c>
      <c r="D304" s="139">
        <f>Daily_KPI[[#This Row],[Date]]-DAY(Daily_KPI[[#This Row],[Date]])+1</f>
        <v>46023</v>
      </c>
      <c r="E304" s="108">
        <f t="shared" si="29"/>
        <v>31</v>
      </c>
      <c r="F304" s="109"/>
      <c r="G304" s="110"/>
      <c r="H304" s="110"/>
      <c r="I304" s="110"/>
      <c r="J304" s="110"/>
      <c r="K304" s="111"/>
      <c r="L304" s="110"/>
      <c r="M304" s="110" t="str">
        <f>IFERROR(_xlfn.XLOOKUP($A304,Input_Raw!$A:$A,Input_Raw!$CQ:$CQ),"")</f>
        <v/>
      </c>
      <c r="N304" s="110" t="str">
        <f>IFERROR(_xlfn.XLOOKUP($A304,Input_Raw!$A:$A,Input_Raw!$CR:$CR),"")</f>
        <v/>
      </c>
      <c r="O304" s="141" t="str">
        <f t="shared" si="30"/>
        <v/>
      </c>
      <c r="P304" s="141" t="str">
        <f>IFERROR(1-SUMIF(WTG_BD!$F:$F,$A304,WTG_BD!$AA:$AA)/($AA304+SUMIF(WTG_BD!$F:$F,$A304,WTG_BD!$AA:$AA)),"")</f>
        <v/>
      </c>
      <c r="Q304" s="141" t="str">
        <f>IFERROR(1-SUMIF(IGA_BD!$F:$F,$A304,IGA_BD!$W:$W)/($AA304+SUMIF(IGA_BD!$F:$F,$A304,IGA_BD!$W:$W)),"")</f>
        <v/>
      </c>
      <c r="R304" s="141" t="str">
        <f>IFERROR(1-SUMIF(Grid_BD!$F:$F,$A304,Grid_BD!$Y:$Y)/($AA304+SUMIF(Grid_BD!$F:$F,$A304,Grid_BD!$Y:$Y)),"")</f>
        <v/>
      </c>
      <c r="S304" s="108"/>
      <c r="T304" s="140"/>
      <c r="U304" s="141"/>
      <c r="V304" s="108"/>
      <c r="W304" s="142" t="str">
        <f t="shared" si="31"/>
        <v/>
      </c>
      <c r="X304" s="108" t="str">
        <f>IFERROR(_xlfn.XLOOKUP($A304,Input_Raw!$A:$A,Input_Raw!$CP:$CP)*1000,"")</f>
        <v/>
      </c>
      <c r="Y304" s="108" t="str">
        <f>IFERROR(_xlfn.XLOOKUP($A304,Input_Raw!$A:$A,Input_Raw!DJ:DJ)*1000,"")</f>
        <v/>
      </c>
      <c r="Z304" s="108" t="str">
        <f>IFERROR(_xlfn.XLOOKUP($A304,Input_Raw!$A:$A,Input_Raw!DK:DK)*1000,"")</f>
        <v/>
      </c>
      <c r="AA304" s="138" t="str">
        <f t="shared" si="32"/>
        <v/>
      </c>
      <c r="AB304" s="108" t="str">
        <f>IFERROR(_xlfn.XLOOKUP($A304,Input_Raw!$A:$A,Input_Raw!$DR:$DR),"")</f>
        <v/>
      </c>
      <c r="AC304" s="143">
        <f>IFERROR(_xlfn.XLOOKUP($D304,'Modelling New'!$D:$D,'Modelling New'!$J:$J),"")</f>
        <v>3.75</v>
      </c>
      <c r="AD304" s="138">
        <f>IFERROR(_xlfn.XLOOKUP($D304,'Modelling New'!$D:$D,'Modelling New'!$T:$T)*1000,"")</f>
        <v>106720.09220527501</v>
      </c>
      <c r="AE304" s="142"/>
      <c r="AF304" s="142">
        <f>IFERROR(_xlfn.XLOOKUP($D304,'Modelling New'!$D:$D,'Modelling New'!$W:$W),"")</f>
        <v>6.3162933360129611E-2</v>
      </c>
      <c r="AG304" s="142">
        <f>IFERROR(_xlfn.XLOOKUP($D304,'Modelling New'!$D:$D,'Modelling New'!$AE:$AE),"")</f>
        <v>0.96029999999999993</v>
      </c>
      <c r="AH304" s="142">
        <f>IFERROR(_xlfn.XLOOKUP($D304,'Modelling New'!$D:$D,'Modelling New'!$AF:$AF),"")</f>
        <v>0.995</v>
      </c>
      <c r="AI304" s="109" t="str">
        <f>IFERROR(_xlfn.XLOOKUP($A304,Input_Raw!$A:$A,Input_Raw!$DP:$DP),"")</f>
        <v/>
      </c>
      <c r="AJ304" s="108"/>
      <c r="AK304" s="108"/>
      <c r="AL304" s="108"/>
      <c r="AM304" s="108"/>
      <c r="AN304" s="132" t="str">
        <f>IFERROR(_xlfn.XLOOKUP($A304,Input_Raw!$A:$A,Input_Raw!$DL:$DL),"")</f>
        <v/>
      </c>
      <c r="AO304" s="142" t="str">
        <f>IFERROR((_xlfn.XLOOKUP($A304,'WTG Reactive Power'!$A:$A,'WTG Reactive Power'!$AW:$AW))/X304,"")</f>
        <v/>
      </c>
      <c r="AP304" s="142">
        <f>IFERROR(_xlfn.XLOOKUP($D304,'Modelling New'!$D:$D,'Modelling New'!$AK:$AK),"")</f>
        <v>0.05</v>
      </c>
      <c r="AQ304" s="142">
        <f>IFERROR(_xlfn.XLOOKUP($D304,'Modelling New'!$D:$D,'Modelling New'!$AL:$AL),"")</f>
        <v>0.05</v>
      </c>
      <c r="AR304" s="198">
        <f>IFERROR(_xlfn.XLOOKUP($D304,'Modelling New'!$D:$D,'Modelling New'!$N:$N),"")</f>
        <v>70.400000000000006</v>
      </c>
      <c r="AS304" s="198"/>
    </row>
    <row r="305" spans="1:45">
      <c r="A305" s="137">
        <f t="shared" si="28"/>
        <v>46048</v>
      </c>
      <c r="B305" s="138">
        <f>YEAR(Daily_KPI[[#This Row],[Date]])+IF(MONTH(Daily_KPI[[#This Row],[Date]])&gt;=4,1,0)</f>
        <v>2026</v>
      </c>
      <c r="C305" s="108">
        <f>YEAR(Daily_KPI[[#This Row],[Date]])</f>
        <v>2026</v>
      </c>
      <c r="D305" s="139">
        <f>Daily_KPI[[#This Row],[Date]]-DAY(Daily_KPI[[#This Row],[Date]])+1</f>
        <v>46023</v>
      </c>
      <c r="E305" s="108">
        <f t="shared" si="29"/>
        <v>31</v>
      </c>
      <c r="F305" s="109"/>
      <c r="G305" s="110"/>
      <c r="H305" s="110"/>
      <c r="I305" s="110"/>
      <c r="J305" s="110"/>
      <c r="K305" s="111"/>
      <c r="L305" s="110"/>
      <c r="M305" s="110" t="str">
        <f>IFERROR(_xlfn.XLOOKUP($A305,Input_Raw!$A:$A,Input_Raw!$CQ:$CQ),"")</f>
        <v/>
      </c>
      <c r="N305" s="110" t="str">
        <f>IFERROR(_xlfn.XLOOKUP($A305,Input_Raw!$A:$A,Input_Raw!$CR:$CR),"")</f>
        <v/>
      </c>
      <c r="O305" s="141" t="str">
        <f t="shared" si="30"/>
        <v/>
      </c>
      <c r="P305" s="141" t="str">
        <f>IFERROR(1-SUMIF(WTG_BD!$F:$F,$A305,WTG_BD!$AA:$AA)/($AA305+SUMIF(WTG_BD!$F:$F,$A305,WTG_BD!$AA:$AA)),"")</f>
        <v/>
      </c>
      <c r="Q305" s="141" t="str">
        <f>IFERROR(1-SUMIF(IGA_BD!$F:$F,$A305,IGA_BD!$W:$W)/($AA305+SUMIF(IGA_BD!$F:$F,$A305,IGA_BD!$W:$W)),"")</f>
        <v/>
      </c>
      <c r="R305" s="141" t="str">
        <f>IFERROR(1-SUMIF(Grid_BD!$F:$F,$A305,Grid_BD!$Y:$Y)/($AA305+SUMIF(Grid_BD!$F:$F,$A305,Grid_BD!$Y:$Y)),"")</f>
        <v/>
      </c>
      <c r="S305" s="108"/>
      <c r="T305" s="140"/>
      <c r="U305" s="141"/>
      <c r="V305" s="108"/>
      <c r="W305" s="142" t="str">
        <f t="shared" si="31"/>
        <v/>
      </c>
      <c r="X305" s="108" t="str">
        <f>IFERROR(_xlfn.XLOOKUP($A305,Input_Raw!$A:$A,Input_Raw!$CP:$CP)*1000,"")</f>
        <v/>
      </c>
      <c r="Y305" s="108" t="str">
        <f>IFERROR(_xlfn.XLOOKUP($A305,Input_Raw!$A:$A,Input_Raw!DJ:DJ)*1000,"")</f>
        <v/>
      </c>
      <c r="Z305" s="108" t="str">
        <f>IFERROR(_xlfn.XLOOKUP($A305,Input_Raw!$A:$A,Input_Raw!DK:DK)*1000,"")</f>
        <v/>
      </c>
      <c r="AA305" s="138" t="str">
        <f t="shared" si="32"/>
        <v/>
      </c>
      <c r="AB305" s="108" t="str">
        <f>IFERROR(_xlfn.XLOOKUP($A305,Input_Raw!$A:$A,Input_Raw!$DR:$DR),"")</f>
        <v/>
      </c>
      <c r="AC305" s="143">
        <f>IFERROR(_xlfn.XLOOKUP($D305,'Modelling New'!$D:$D,'Modelling New'!$J:$J),"")</f>
        <v>3.75</v>
      </c>
      <c r="AD305" s="138">
        <f>IFERROR(_xlfn.XLOOKUP($D305,'Modelling New'!$D:$D,'Modelling New'!$T:$T)*1000,"")</f>
        <v>106720.09220527501</v>
      </c>
      <c r="AE305" s="142"/>
      <c r="AF305" s="142">
        <f>IFERROR(_xlfn.XLOOKUP($D305,'Modelling New'!$D:$D,'Modelling New'!$W:$W),"")</f>
        <v>6.3162933360129611E-2</v>
      </c>
      <c r="AG305" s="142">
        <f>IFERROR(_xlfn.XLOOKUP($D305,'Modelling New'!$D:$D,'Modelling New'!$AE:$AE),"")</f>
        <v>0.96029999999999993</v>
      </c>
      <c r="AH305" s="142">
        <f>IFERROR(_xlfn.XLOOKUP($D305,'Modelling New'!$D:$D,'Modelling New'!$AF:$AF),"")</f>
        <v>0.995</v>
      </c>
      <c r="AI305" s="109" t="str">
        <f>IFERROR(_xlfn.XLOOKUP($A305,Input_Raw!$A:$A,Input_Raw!$DP:$DP),"")</f>
        <v/>
      </c>
      <c r="AJ305" s="108"/>
      <c r="AK305" s="108"/>
      <c r="AL305" s="108"/>
      <c r="AM305" s="108"/>
      <c r="AN305" s="132" t="str">
        <f>IFERROR(_xlfn.XLOOKUP($A305,Input_Raw!$A:$A,Input_Raw!$DL:$DL),"")</f>
        <v/>
      </c>
      <c r="AO305" s="142" t="str">
        <f>IFERROR((_xlfn.XLOOKUP($A305,'WTG Reactive Power'!$A:$A,'WTG Reactive Power'!$AW:$AW))/X305,"")</f>
        <v/>
      </c>
      <c r="AP305" s="142">
        <f>IFERROR(_xlfn.XLOOKUP($D305,'Modelling New'!$D:$D,'Modelling New'!$AK:$AK),"")</f>
        <v>0.05</v>
      </c>
      <c r="AQ305" s="142">
        <f>IFERROR(_xlfn.XLOOKUP($D305,'Modelling New'!$D:$D,'Modelling New'!$AL:$AL),"")</f>
        <v>0.05</v>
      </c>
      <c r="AR305" s="198">
        <f>IFERROR(_xlfn.XLOOKUP($D305,'Modelling New'!$D:$D,'Modelling New'!$N:$N),"")</f>
        <v>70.400000000000006</v>
      </c>
      <c r="AS305" s="198"/>
    </row>
    <row r="306" spans="1:45">
      <c r="A306" s="137">
        <f t="shared" si="28"/>
        <v>46049</v>
      </c>
      <c r="B306" s="138">
        <f>YEAR(Daily_KPI[[#This Row],[Date]])+IF(MONTH(Daily_KPI[[#This Row],[Date]])&gt;=4,1,0)</f>
        <v>2026</v>
      </c>
      <c r="C306" s="108">
        <f>YEAR(Daily_KPI[[#This Row],[Date]])</f>
        <v>2026</v>
      </c>
      <c r="D306" s="139">
        <f>Daily_KPI[[#This Row],[Date]]-DAY(Daily_KPI[[#This Row],[Date]])+1</f>
        <v>46023</v>
      </c>
      <c r="E306" s="108">
        <f t="shared" si="29"/>
        <v>31</v>
      </c>
      <c r="F306" s="109"/>
      <c r="G306" s="110"/>
      <c r="H306" s="110"/>
      <c r="I306" s="110"/>
      <c r="J306" s="110"/>
      <c r="K306" s="111"/>
      <c r="L306" s="110"/>
      <c r="M306" s="110" t="str">
        <f>IFERROR(_xlfn.XLOOKUP($A306,Input_Raw!$A:$A,Input_Raw!$CQ:$CQ),"")</f>
        <v/>
      </c>
      <c r="N306" s="110" t="str">
        <f>IFERROR(_xlfn.XLOOKUP($A306,Input_Raw!$A:$A,Input_Raw!$CR:$CR),"")</f>
        <v/>
      </c>
      <c r="O306" s="141" t="str">
        <f t="shared" si="30"/>
        <v/>
      </c>
      <c r="P306" s="141" t="str">
        <f>IFERROR(1-SUMIF(WTG_BD!$F:$F,$A306,WTG_BD!$AA:$AA)/($AA306+SUMIF(WTG_BD!$F:$F,$A306,WTG_BD!$AA:$AA)),"")</f>
        <v/>
      </c>
      <c r="Q306" s="141" t="str">
        <f>IFERROR(1-SUMIF(IGA_BD!$F:$F,$A306,IGA_BD!$W:$W)/($AA306+SUMIF(IGA_BD!$F:$F,$A306,IGA_BD!$W:$W)),"")</f>
        <v/>
      </c>
      <c r="R306" s="141" t="str">
        <f>IFERROR(1-SUMIF(Grid_BD!$F:$F,$A306,Grid_BD!$Y:$Y)/($AA306+SUMIF(Grid_BD!$F:$F,$A306,Grid_BD!$Y:$Y)),"")</f>
        <v/>
      </c>
      <c r="S306" s="108"/>
      <c r="T306" s="140"/>
      <c r="U306" s="141"/>
      <c r="V306" s="108"/>
      <c r="W306" s="142" t="str">
        <f t="shared" si="31"/>
        <v/>
      </c>
      <c r="X306" s="108" t="str">
        <f>IFERROR(_xlfn.XLOOKUP($A306,Input_Raw!$A:$A,Input_Raw!$CP:$CP)*1000,"")</f>
        <v/>
      </c>
      <c r="Y306" s="108" t="str">
        <f>IFERROR(_xlfn.XLOOKUP($A306,Input_Raw!$A:$A,Input_Raw!DJ:DJ)*1000,"")</f>
        <v/>
      </c>
      <c r="Z306" s="108" t="str">
        <f>IFERROR(_xlfn.XLOOKUP($A306,Input_Raw!$A:$A,Input_Raw!DK:DK)*1000,"")</f>
        <v/>
      </c>
      <c r="AA306" s="138" t="str">
        <f t="shared" si="32"/>
        <v/>
      </c>
      <c r="AB306" s="108" t="str">
        <f>IFERROR(_xlfn.XLOOKUP($A306,Input_Raw!$A:$A,Input_Raw!$DR:$DR),"")</f>
        <v/>
      </c>
      <c r="AC306" s="143">
        <f>IFERROR(_xlfn.XLOOKUP($D306,'Modelling New'!$D:$D,'Modelling New'!$J:$J),"")</f>
        <v>3.75</v>
      </c>
      <c r="AD306" s="138">
        <f>IFERROR(_xlfn.XLOOKUP($D306,'Modelling New'!$D:$D,'Modelling New'!$T:$T)*1000,"")</f>
        <v>106720.09220527501</v>
      </c>
      <c r="AE306" s="142"/>
      <c r="AF306" s="142">
        <f>IFERROR(_xlfn.XLOOKUP($D306,'Modelling New'!$D:$D,'Modelling New'!$W:$W),"")</f>
        <v>6.3162933360129611E-2</v>
      </c>
      <c r="AG306" s="142">
        <f>IFERROR(_xlfn.XLOOKUP($D306,'Modelling New'!$D:$D,'Modelling New'!$AE:$AE),"")</f>
        <v>0.96029999999999993</v>
      </c>
      <c r="AH306" s="142">
        <f>IFERROR(_xlfn.XLOOKUP($D306,'Modelling New'!$D:$D,'Modelling New'!$AF:$AF),"")</f>
        <v>0.995</v>
      </c>
      <c r="AI306" s="109" t="str">
        <f>IFERROR(_xlfn.XLOOKUP($A306,Input_Raw!$A:$A,Input_Raw!$DP:$DP),"")</f>
        <v/>
      </c>
      <c r="AJ306" s="108"/>
      <c r="AK306" s="108"/>
      <c r="AL306" s="108"/>
      <c r="AM306" s="108"/>
      <c r="AN306" s="132" t="str">
        <f>IFERROR(_xlfn.XLOOKUP($A306,Input_Raw!$A:$A,Input_Raw!$DL:$DL),"")</f>
        <v/>
      </c>
      <c r="AO306" s="142" t="str">
        <f>IFERROR((_xlfn.XLOOKUP($A306,'WTG Reactive Power'!$A:$A,'WTG Reactive Power'!$AW:$AW))/X306,"")</f>
        <v/>
      </c>
      <c r="AP306" s="142">
        <f>IFERROR(_xlfn.XLOOKUP($D306,'Modelling New'!$D:$D,'Modelling New'!$AK:$AK),"")</f>
        <v>0.05</v>
      </c>
      <c r="AQ306" s="142">
        <f>IFERROR(_xlfn.XLOOKUP($D306,'Modelling New'!$D:$D,'Modelling New'!$AL:$AL),"")</f>
        <v>0.05</v>
      </c>
      <c r="AR306" s="198">
        <f>IFERROR(_xlfn.XLOOKUP($D306,'Modelling New'!$D:$D,'Modelling New'!$N:$N),"")</f>
        <v>70.400000000000006</v>
      </c>
      <c r="AS306" s="198"/>
    </row>
    <row r="307" spans="1:45">
      <c r="A307" s="137">
        <f t="shared" si="28"/>
        <v>46050</v>
      </c>
      <c r="B307" s="138">
        <f>YEAR(Daily_KPI[[#This Row],[Date]])+IF(MONTH(Daily_KPI[[#This Row],[Date]])&gt;=4,1,0)</f>
        <v>2026</v>
      </c>
      <c r="C307" s="108">
        <f>YEAR(Daily_KPI[[#This Row],[Date]])</f>
        <v>2026</v>
      </c>
      <c r="D307" s="139">
        <f>Daily_KPI[[#This Row],[Date]]-DAY(Daily_KPI[[#This Row],[Date]])+1</f>
        <v>46023</v>
      </c>
      <c r="E307" s="108">
        <f t="shared" si="29"/>
        <v>31</v>
      </c>
      <c r="F307" s="109"/>
      <c r="G307" s="110"/>
      <c r="H307" s="110"/>
      <c r="I307" s="110"/>
      <c r="J307" s="110"/>
      <c r="K307" s="111"/>
      <c r="L307" s="110"/>
      <c r="M307" s="110" t="str">
        <f>IFERROR(_xlfn.XLOOKUP($A307,Input_Raw!$A:$A,Input_Raw!$CQ:$CQ),"")</f>
        <v/>
      </c>
      <c r="N307" s="110" t="str">
        <f>IFERROR(_xlfn.XLOOKUP($A307,Input_Raw!$A:$A,Input_Raw!$CR:$CR),"")</f>
        <v/>
      </c>
      <c r="O307" s="141" t="str">
        <f t="shared" si="30"/>
        <v/>
      </c>
      <c r="P307" s="141" t="str">
        <f>IFERROR(1-SUMIF(WTG_BD!$F:$F,$A307,WTG_BD!$AA:$AA)/($AA307+SUMIF(WTG_BD!$F:$F,$A307,WTG_BD!$AA:$AA)),"")</f>
        <v/>
      </c>
      <c r="Q307" s="141" t="str">
        <f>IFERROR(1-SUMIF(IGA_BD!$F:$F,$A307,IGA_BD!$W:$W)/($AA307+SUMIF(IGA_BD!$F:$F,$A307,IGA_BD!$W:$W)),"")</f>
        <v/>
      </c>
      <c r="R307" s="141" t="str">
        <f>IFERROR(1-SUMIF(Grid_BD!$F:$F,$A307,Grid_BD!$Y:$Y)/($AA307+SUMIF(Grid_BD!$F:$F,$A307,Grid_BD!$Y:$Y)),"")</f>
        <v/>
      </c>
      <c r="S307" s="108"/>
      <c r="T307" s="140"/>
      <c r="U307" s="141"/>
      <c r="V307" s="108"/>
      <c r="W307" s="142" t="str">
        <f t="shared" si="31"/>
        <v/>
      </c>
      <c r="X307" s="108" t="str">
        <f>IFERROR(_xlfn.XLOOKUP($A307,Input_Raw!$A:$A,Input_Raw!$CP:$CP)*1000,"")</f>
        <v/>
      </c>
      <c r="Y307" s="108" t="str">
        <f>IFERROR(_xlfn.XLOOKUP($A307,Input_Raw!$A:$A,Input_Raw!DJ:DJ)*1000,"")</f>
        <v/>
      </c>
      <c r="Z307" s="108" t="str">
        <f>IFERROR(_xlfn.XLOOKUP($A307,Input_Raw!$A:$A,Input_Raw!DK:DK)*1000,"")</f>
        <v/>
      </c>
      <c r="AA307" s="138" t="str">
        <f t="shared" si="32"/>
        <v/>
      </c>
      <c r="AB307" s="108" t="str">
        <f>IFERROR(_xlfn.XLOOKUP($A307,Input_Raw!$A:$A,Input_Raw!$DR:$DR),"")</f>
        <v/>
      </c>
      <c r="AC307" s="143">
        <f>IFERROR(_xlfn.XLOOKUP($D307,'Modelling New'!$D:$D,'Modelling New'!$J:$J),"")</f>
        <v>3.75</v>
      </c>
      <c r="AD307" s="138">
        <f>IFERROR(_xlfn.XLOOKUP($D307,'Modelling New'!$D:$D,'Modelling New'!$T:$T)*1000,"")</f>
        <v>106720.09220527501</v>
      </c>
      <c r="AE307" s="142"/>
      <c r="AF307" s="142">
        <f>IFERROR(_xlfn.XLOOKUP($D307,'Modelling New'!$D:$D,'Modelling New'!$W:$W),"")</f>
        <v>6.3162933360129611E-2</v>
      </c>
      <c r="AG307" s="142">
        <f>IFERROR(_xlfn.XLOOKUP($D307,'Modelling New'!$D:$D,'Modelling New'!$AE:$AE),"")</f>
        <v>0.96029999999999993</v>
      </c>
      <c r="AH307" s="142">
        <f>IFERROR(_xlfn.XLOOKUP($D307,'Modelling New'!$D:$D,'Modelling New'!$AF:$AF),"")</f>
        <v>0.995</v>
      </c>
      <c r="AI307" s="109" t="str">
        <f>IFERROR(_xlfn.XLOOKUP($A307,Input_Raw!$A:$A,Input_Raw!$DP:$DP),"")</f>
        <v/>
      </c>
      <c r="AJ307" s="108"/>
      <c r="AK307" s="108"/>
      <c r="AL307" s="108"/>
      <c r="AM307" s="108"/>
      <c r="AN307" s="132" t="str">
        <f>IFERROR(_xlfn.XLOOKUP($A307,Input_Raw!$A:$A,Input_Raw!$DL:$DL),"")</f>
        <v/>
      </c>
      <c r="AO307" s="142" t="str">
        <f>IFERROR((_xlfn.XLOOKUP($A307,'WTG Reactive Power'!$A:$A,'WTG Reactive Power'!$AW:$AW))/X307,"")</f>
        <v/>
      </c>
      <c r="AP307" s="142">
        <f>IFERROR(_xlfn.XLOOKUP($D307,'Modelling New'!$D:$D,'Modelling New'!$AK:$AK),"")</f>
        <v>0.05</v>
      </c>
      <c r="AQ307" s="142">
        <f>IFERROR(_xlfn.XLOOKUP($D307,'Modelling New'!$D:$D,'Modelling New'!$AL:$AL),"")</f>
        <v>0.05</v>
      </c>
      <c r="AR307" s="198">
        <f>IFERROR(_xlfn.XLOOKUP($D307,'Modelling New'!$D:$D,'Modelling New'!$N:$N),"")</f>
        <v>70.400000000000006</v>
      </c>
      <c r="AS307" s="198"/>
    </row>
    <row r="308" spans="1:45">
      <c r="A308" s="137">
        <f t="shared" si="28"/>
        <v>46051</v>
      </c>
      <c r="B308" s="138">
        <f>YEAR(Daily_KPI[[#This Row],[Date]])+IF(MONTH(Daily_KPI[[#This Row],[Date]])&gt;=4,1,0)</f>
        <v>2026</v>
      </c>
      <c r="C308" s="108">
        <f>YEAR(Daily_KPI[[#This Row],[Date]])</f>
        <v>2026</v>
      </c>
      <c r="D308" s="139">
        <f>Daily_KPI[[#This Row],[Date]]-DAY(Daily_KPI[[#This Row],[Date]])+1</f>
        <v>46023</v>
      </c>
      <c r="E308" s="108">
        <f t="shared" si="29"/>
        <v>31</v>
      </c>
      <c r="F308" s="109"/>
      <c r="G308" s="110"/>
      <c r="H308" s="110"/>
      <c r="I308" s="110"/>
      <c r="J308" s="110"/>
      <c r="K308" s="111"/>
      <c r="L308" s="110"/>
      <c r="M308" s="110" t="str">
        <f>IFERROR(_xlfn.XLOOKUP($A308,Input_Raw!$A:$A,Input_Raw!$CQ:$CQ),"")</f>
        <v/>
      </c>
      <c r="N308" s="110" t="str">
        <f>IFERROR(_xlfn.XLOOKUP($A308,Input_Raw!$A:$A,Input_Raw!$CR:$CR),"")</f>
        <v/>
      </c>
      <c r="O308" s="141" t="str">
        <f t="shared" si="30"/>
        <v/>
      </c>
      <c r="P308" s="141" t="str">
        <f>IFERROR(1-SUMIF(WTG_BD!$F:$F,$A308,WTG_BD!$AA:$AA)/($AA308+SUMIF(WTG_BD!$F:$F,$A308,WTG_BD!$AA:$AA)),"")</f>
        <v/>
      </c>
      <c r="Q308" s="141" t="str">
        <f>IFERROR(1-SUMIF(IGA_BD!$F:$F,$A308,IGA_BD!$W:$W)/($AA308+SUMIF(IGA_BD!$F:$F,$A308,IGA_BD!$W:$W)),"")</f>
        <v/>
      </c>
      <c r="R308" s="141" t="str">
        <f>IFERROR(1-SUMIF(Grid_BD!$F:$F,$A308,Grid_BD!$Y:$Y)/($AA308+SUMIF(Grid_BD!$F:$F,$A308,Grid_BD!$Y:$Y)),"")</f>
        <v/>
      </c>
      <c r="S308" s="108"/>
      <c r="T308" s="140"/>
      <c r="U308" s="141"/>
      <c r="V308" s="108"/>
      <c r="W308" s="142" t="str">
        <f t="shared" si="31"/>
        <v/>
      </c>
      <c r="X308" s="108" t="str">
        <f>IFERROR(_xlfn.XLOOKUP($A308,Input_Raw!$A:$A,Input_Raw!$CP:$CP)*1000,"")</f>
        <v/>
      </c>
      <c r="Y308" s="108" t="str">
        <f>IFERROR(_xlfn.XLOOKUP($A308,Input_Raw!$A:$A,Input_Raw!DJ:DJ)*1000,"")</f>
        <v/>
      </c>
      <c r="Z308" s="108" t="str">
        <f>IFERROR(_xlfn.XLOOKUP($A308,Input_Raw!$A:$A,Input_Raw!DK:DK)*1000,"")</f>
        <v/>
      </c>
      <c r="AA308" s="138" t="str">
        <f t="shared" si="32"/>
        <v/>
      </c>
      <c r="AB308" s="108" t="str">
        <f>IFERROR(_xlfn.XLOOKUP($A308,Input_Raw!$A:$A,Input_Raw!$DR:$DR),"")</f>
        <v/>
      </c>
      <c r="AC308" s="143">
        <f>IFERROR(_xlfn.XLOOKUP($D308,'Modelling New'!$D:$D,'Modelling New'!$J:$J),"")</f>
        <v>3.75</v>
      </c>
      <c r="AD308" s="138">
        <f>IFERROR(_xlfn.XLOOKUP($D308,'Modelling New'!$D:$D,'Modelling New'!$T:$T)*1000,"")</f>
        <v>106720.09220527501</v>
      </c>
      <c r="AE308" s="142"/>
      <c r="AF308" s="142">
        <f>IFERROR(_xlfn.XLOOKUP($D308,'Modelling New'!$D:$D,'Modelling New'!$W:$W),"")</f>
        <v>6.3162933360129611E-2</v>
      </c>
      <c r="AG308" s="142">
        <f>IFERROR(_xlfn.XLOOKUP($D308,'Modelling New'!$D:$D,'Modelling New'!$AE:$AE),"")</f>
        <v>0.96029999999999993</v>
      </c>
      <c r="AH308" s="142">
        <f>IFERROR(_xlfn.XLOOKUP($D308,'Modelling New'!$D:$D,'Modelling New'!$AF:$AF),"")</f>
        <v>0.995</v>
      </c>
      <c r="AI308" s="109" t="str">
        <f>IFERROR(_xlfn.XLOOKUP($A308,Input_Raw!$A:$A,Input_Raw!$DP:$DP),"")</f>
        <v/>
      </c>
      <c r="AJ308" s="108"/>
      <c r="AK308" s="108"/>
      <c r="AL308" s="108"/>
      <c r="AM308" s="108"/>
      <c r="AN308" s="132" t="str">
        <f>IFERROR(_xlfn.XLOOKUP($A308,Input_Raw!$A:$A,Input_Raw!$DL:$DL),"")</f>
        <v/>
      </c>
      <c r="AO308" s="142" t="str">
        <f>IFERROR((_xlfn.XLOOKUP($A308,'WTG Reactive Power'!$A:$A,'WTG Reactive Power'!$AW:$AW))/X308,"")</f>
        <v/>
      </c>
      <c r="AP308" s="142">
        <f>IFERROR(_xlfn.XLOOKUP($D308,'Modelling New'!$D:$D,'Modelling New'!$AK:$AK),"")</f>
        <v>0.05</v>
      </c>
      <c r="AQ308" s="142">
        <f>IFERROR(_xlfn.XLOOKUP($D308,'Modelling New'!$D:$D,'Modelling New'!$AL:$AL),"")</f>
        <v>0.05</v>
      </c>
      <c r="AR308" s="198">
        <f>IFERROR(_xlfn.XLOOKUP($D308,'Modelling New'!$D:$D,'Modelling New'!$N:$N),"")</f>
        <v>70.400000000000006</v>
      </c>
      <c r="AS308" s="198"/>
    </row>
    <row r="309" spans="1:45">
      <c r="A309" s="137">
        <f t="shared" si="28"/>
        <v>46052</v>
      </c>
      <c r="B309" s="138">
        <f>YEAR(Daily_KPI[[#This Row],[Date]])+IF(MONTH(Daily_KPI[[#This Row],[Date]])&gt;=4,1,0)</f>
        <v>2026</v>
      </c>
      <c r="C309" s="108">
        <f>YEAR(Daily_KPI[[#This Row],[Date]])</f>
        <v>2026</v>
      </c>
      <c r="D309" s="139">
        <f>Daily_KPI[[#This Row],[Date]]-DAY(Daily_KPI[[#This Row],[Date]])+1</f>
        <v>46023</v>
      </c>
      <c r="E309" s="108">
        <f t="shared" si="29"/>
        <v>31</v>
      </c>
      <c r="F309" s="109"/>
      <c r="G309" s="110"/>
      <c r="H309" s="110"/>
      <c r="I309" s="110"/>
      <c r="J309" s="110"/>
      <c r="K309" s="111"/>
      <c r="L309" s="110"/>
      <c r="M309" s="110" t="str">
        <f>IFERROR(_xlfn.XLOOKUP($A309,Input_Raw!$A:$A,Input_Raw!$CQ:$CQ),"")</f>
        <v/>
      </c>
      <c r="N309" s="110" t="str">
        <f>IFERROR(_xlfn.XLOOKUP($A309,Input_Raw!$A:$A,Input_Raw!$CR:$CR),"")</f>
        <v/>
      </c>
      <c r="O309" s="141" t="str">
        <f t="shared" si="30"/>
        <v/>
      </c>
      <c r="P309" s="141" t="str">
        <f>IFERROR(1-SUMIF(WTG_BD!$F:$F,$A309,WTG_BD!$AA:$AA)/($AA309+SUMIF(WTG_BD!$F:$F,$A309,WTG_BD!$AA:$AA)),"")</f>
        <v/>
      </c>
      <c r="Q309" s="141" t="str">
        <f>IFERROR(1-SUMIF(IGA_BD!$F:$F,$A309,IGA_BD!$W:$W)/($AA309+SUMIF(IGA_BD!$F:$F,$A309,IGA_BD!$W:$W)),"")</f>
        <v/>
      </c>
      <c r="R309" s="141" t="str">
        <f>IFERROR(1-SUMIF(Grid_BD!$F:$F,$A309,Grid_BD!$Y:$Y)/($AA309+SUMIF(Grid_BD!$F:$F,$A309,Grid_BD!$Y:$Y)),"")</f>
        <v/>
      </c>
      <c r="S309" s="108"/>
      <c r="T309" s="140"/>
      <c r="U309" s="141"/>
      <c r="V309" s="108"/>
      <c r="W309" s="142" t="str">
        <f t="shared" si="31"/>
        <v/>
      </c>
      <c r="X309" s="108" t="str">
        <f>IFERROR(_xlfn.XLOOKUP($A309,Input_Raw!$A:$A,Input_Raw!$CP:$CP)*1000,"")</f>
        <v/>
      </c>
      <c r="Y309" s="108" t="str">
        <f>IFERROR(_xlfn.XLOOKUP($A309,Input_Raw!$A:$A,Input_Raw!DJ:DJ)*1000,"")</f>
        <v/>
      </c>
      <c r="Z309" s="108" t="str">
        <f>IFERROR(_xlfn.XLOOKUP($A309,Input_Raw!$A:$A,Input_Raw!DK:DK)*1000,"")</f>
        <v/>
      </c>
      <c r="AA309" s="138" t="str">
        <f t="shared" si="32"/>
        <v/>
      </c>
      <c r="AB309" s="108" t="str">
        <f>IFERROR(_xlfn.XLOOKUP($A309,Input_Raw!$A:$A,Input_Raw!$DR:$DR),"")</f>
        <v/>
      </c>
      <c r="AC309" s="143">
        <f>IFERROR(_xlfn.XLOOKUP($D309,'Modelling New'!$D:$D,'Modelling New'!$J:$J),"")</f>
        <v>3.75</v>
      </c>
      <c r="AD309" s="138">
        <f>IFERROR(_xlfn.XLOOKUP($D309,'Modelling New'!$D:$D,'Modelling New'!$T:$T)*1000,"")</f>
        <v>106720.09220527501</v>
      </c>
      <c r="AE309" s="142"/>
      <c r="AF309" s="142">
        <f>IFERROR(_xlfn.XLOOKUP($D309,'Modelling New'!$D:$D,'Modelling New'!$W:$W),"")</f>
        <v>6.3162933360129611E-2</v>
      </c>
      <c r="AG309" s="142">
        <f>IFERROR(_xlfn.XLOOKUP($D309,'Modelling New'!$D:$D,'Modelling New'!$AE:$AE),"")</f>
        <v>0.96029999999999993</v>
      </c>
      <c r="AH309" s="142">
        <f>IFERROR(_xlfn.XLOOKUP($D309,'Modelling New'!$D:$D,'Modelling New'!$AF:$AF),"")</f>
        <v>0.995</v>
      </c>
      <c r="AI309" s="109" t="str">
        <f>IFERROR(_xlfn.XLOOKUP($A309,Input_Raw!$A:$A,Input_Raw!$DP:$DP),"")</f>
        <v/>
      </c>
      <c r="AJ309" s="108"/>
      <c r="AK309" s="108"/>
      <c r="AL309" s="108"/>
      <c r="AM309" s="108"/>
      <c r="AN309" s="132" t="str">
        <f>IFERROR(_xlfn.XLOOKUP($A309,Input_Raw!$A:$A,Input_Raw!$DL:$DL),"")</f>
        <v/>
      </c>
      <c r="AO309" s="142" t="str">
        <f>IFERROR((_xlfn.XLOOKUP($A309,'WTG Reactive Power'!$A:$A,'WTG Reactive Power'!$AW:$AW))/X309,"")</f>
        <v/>
      </c>
      <c r="AP309" s="142">
        <f>IFERROR(_xlfn.XLOOKUP($D309,'Modelling New'!$D:$D,'Modelling New'!$AK:$AK),"")</f>
        <v>0.05</v>
      </c>
      <c r="AQ309" s="142">
        <f>IFERROR(_xlfn.XLOOKUP($D309,'Modelling New'!$D:$D,'Modelling New'!$AL:$AL),"")</f>
        <v>0.05</v>
      </c>
      <c r="AR309" s="198">
        <f>IFERROR(_xlfn.XLOOKUP($D309,'Modelling New'!$D:$D,'Modelling New'!$N:$N),"")</f>
        <v>70.400000000000006</v>
      </c>
      <c r="AS309" s="198"/>
    </row>
    <row r="310" spans="1:45">
      <c r="A310" s="137">
        <f t="shared" si="28"/>
        <v>46053</v>
      </c>
      <c r="B310" s="138">
        <f>YEAR(Daily_KPI[[#This Row],[Date]])+IF(MONTH(Daily_KPI[[#This Row],[Date]])&gt;=4,1,0)</f>
        <v>2026</v>
      </c>
      <c r="C310" s="108">
        <f>YEAR(Daily_KPI[[#This Row],[Date]])</f>
        <v>2026</v>
      </c>
      <c r="D310" s="139">
        <f>Daily_KPI[[#This Row],[Date]]-DAY(Daily_KPI[[#This Row],[Date]])+1</f>
        <v>46023</v>
      </c>
      <c r="E310" s="108">
        <f t="shared" si="29"/>
        <v>31</v>
      </c>
      <c r="F310" s="109"/>
      <c r="G310" s="110"/>
      <c r="H310" s="110"/>
      <c r="I310" s="110"/>
      <c r="J310" s="110"/>
      <c r="K310" s="111"/>
      <c r="L310" s="110"/>
      <c r="M310" s="110" t="str">
        <f>IFERROR(_xlfn.XLOOKUP($A310,Input_Raw!$A:$A,Input_Raw!$CQ:$CQ),"")</f>
        <v/>
      </c>
      <c r="N310" s="110" t="str">
        <f>IFERROR(_xlfn.XLOOKUP($A310,Input_Raw!$A:$A,Input_Raw!$CR:$CR),"")</f>
        <v/>
      </c>
      <c r="O310" s="141" t="str">
        <f t="shared" si="30"/>
        <v/>
      </c>
      <c r="P310" s="141" t="str">
        <f>IFERROR(1-SUMIF(WTG_BD!$F:$F,$A310,WTG_BD!$AA:$AA)/($AA310+SUMIF(WTG_BD!$F:$F,$A310,WTG_BD!$AA:$AA)),"")</f>
        <v/>
      </c>
      <c r="Q310" s="141" t="str">
        <f>IFERROR(1-SUMIF(IGA_BD!$F:$F,$A310,IGA_BD!$W:$W)/($AA310+SUMIF(IGA_BD!$F:$F,$A310,IGA_BD!$W:$W)),"")</f>
        <v/>
      </c>
      <c r="R310" s="141" t="str">
        <f>IFERROR(1-SUMIF(Grid_BD!$F:$F,$A310,Grid_BD!$Y:$Y)/($AA310+SUMIF(Grid_BD!$F:$F,$A310,Grid_BD!$Y:$Y)),"")</f>
        <v/>
      </c>
      <c r="S310" s="108"/>
      <c r="T310" s="140"/>
      <c r="U310" s="141"/>
      <c r="V310" s="108"/>
      <c r="W310" s="142" t="str">
        <f t="shared" si="31"/>
        <v/>
      </c>
      <c r="X310" s="108" t="str">
        <f>IFERROR(_xlfn.XLOOKUP($A310,Input_Raw!$A:$A,Input_Raw!$CP:$CP)*1000,"")</f>
        <v/>
      </c>
      <c r="Y310" s="108" t="str">
        <f>IFERROR(_xlfn.XLOOKUP($A310,Input_Raw!$A:$A,Input_Raw!DJ:DJ)*1000,"")</f>
        <v/>
      </c>
      <c r="Z310" s="108" t="str">
        <f>IFERROR(_xlfn.XLOOKUP($A310,Input_Raw!$A:$A,Input_Raw!DK:DK)*1000,"")</f>
        <v/>
      </c>
      <c r="AA310" s="138" t="str">
        <f t="shared" si="32"/>
        <v/>
      </c>
      <c r="AB310" s="108" t="str">
        <f>IFERROR(_xlfn.XLOOKUP($A310,Input_Raw!$A:$A,Input_Raw!$DR:$DR),"")</f>
        <v/>
      </c>
      <c r="AC310" s="143">
        <f>IFERROR(_xlfn.XLOOKUP($D310,'Modelling New'!$D:$D,'Modelling New'!$J:$J),"")</f>
        <v>3.75</v>
      </c>
      <c r="AD310" s="138">
        <f>IFERROR(_xlfn.XLOOKUP($D310,'Modelling New'!$D:$D,'Modelling New'!$T:$T)*1000,"")</f>
        <v>106720.09220527501</v>
      </c>
      <c r="AE310" s="142"/>
      <c r="AF310" s="142">
        <f>IFERROR(_xlfn.XLOOKUP($D310,'Modelling New'!$D:$D,'Modelling New'!$W:$W),"")</f>
        <v>6.3162933360129611E-2</v>
      </c>
      <c r="AG310" s="142">
        <f>IFERROR(_xlfn.XLOOKUP($D310,'Modelling New'!$D:$D,'Modelling New'!$AE:$AE),"")</f>
        <v>0.96029999999999993</v>
      </c>
      <c r="AH310" s="142">
        <f>IFERROR(_xlfn.XLOOKUP($D310,'Modelling New'!$D:$D,'Modelling New'!$AF:$AF),"")</f>
        <v>0.995</v>
      </c>
      <c r="AI310" s="109" t="str">
        <f>IFERROR(_xlfn.XLOOKUP($A310,Input_Raw!$A:$A,Input_Raw!$DP:$DP),"")</f>
        <v/>
      </c>
      <c r="AJ310" s="108"/>
      <c r="AK310" s="108"/>
      <c r="AL310" s="108"/>
      <c r="AM310" s="108"/>
      <c r="AN310" s="132" t="str">
        <f>IFERROR(_xlfn.XLOOKUP($A310,Input_Raw!$A:$A,Input_Raw!$DL:$DL),"")</f>
        <v/>
      </c>
      <c r="AO310" s="142" t="str">
        <f>IFERROR((_xlfn.XLOOKUP($A310,'WTG Reactive Power'!$A:$A,'WTG Reactive Power'!$AW:$AW))/X310,"")</f>
        <v/>
      </c>
      <c r="AP310" s="142">
        <f>IFERROR(_xlfn.XLOOKUP($D310,'Modelling New'!$D:$D,'Modelling New'!$AK:$AK),"")</f>
        <v>0.05</v>
      </c>
      <c r="AQ310" s="142">
        <f>IFERROR(_xlfn.XLOOKUP($D310,'Modelling New'!$D:$D,'Modelling New'!$AL:$AL),"")</f>
        <v>0.05</v>
      </c>
      <c r="AR310" s="198">
        <f>IFERROR(_xlfn.XLOOKUP($D310,'Modelling New'!$D:$D,'Modelling New'!$N:$N),"")</f>
        <v>70.400000000000006</v>
      </c>
      <c r="AS310" s="198"/>
    </row>
    <row r="311" spans="1:45">
      <c r="A311" s="137">
        <f t="shared" si="28"/>
        <v>46054</v>
      </c>
      <c r="B311" s="138">
        <f>YEAR(Daily_KPI[[#This Row],[Date]])+IF(MONTH(Daily_KPI[[#This Row],[Date]])&gt;=4,1,0)</f>
        <v>2026</v>
      </c>
      <c r="C311" s="108">
        <f>YEAR(Daily_KPI[[#This Row],[Date]])</f>
        <v>2026</v>
      </c>
      <c r="D311" s="139">
        <f>Daily_KPI[[#This Row],[Date]]-DAY(Daily_KPI[[#This Row],[Date]])+1</f>
        <v>46054</v>
      </c>
      <c r="E311" s="108">
        <f t="shared" si="29"/>
        <v>28</v>
      </c>
      <c r="F311" s="109"/>
      <c r="G311" s="110"/>
      <c r="H311" s="110"/>
      <c r="I311" s="110"/>
      <c r="J311" s="110"/>
      <c r="K311" s="111"/>
      <c r="L311" s="110"/>
      <c r="M311" s="110" t="str">
        <f>IFERROR(_xlfn.XLOOKUP($A311,Input_Raw!$A:$A,Input_Raw!$CQ:$CQ),"")</f>
        <v/>
      </c>
      <c r="N311" s="110" t="str">
        <f>IFERROR(_xlfn.XLOOKUP($A311,Input_Raw!$A:$A,Input_Raw!$CR:$CR),"")</f>
        <v/>
      </c>
      <c r="O311" s="141" t="str">
        <f t="shared" si="30"/>
        <v/>
      </c>
      <c r="P311" s="141" t="str">
        <f>IFERROR(1-SUMIF(WTG_BD!$F:$F,$A311,WTG_BD!$AA:$AA)/($AA311+SUMIF(WTG_BD!$F:$F,$A311,WTG_BD!$AA:$AA)),"")</f>
        <v/>
      </c>
      <c r="Q311" s="141" t="str">
        <f>IFERROR(1-SUMIF(IGA_BD!$F:$F,$A311,IGA_BD!$W:$W)/($AA311+SUMIF(IGA_BD!$F:$F,$A311,IGA_BD!$W:$W)),"")</f>
        <v/>
      </c>
      <c r="R311" s="141" t="str">
        <f>IFERROR(1-SUMIF(Grid_BD!$F:$F,$A311,Grid_BD!$Y:$Y)/($AA311+SUMIF(Grid_BD!$F:$F,$A311,Grid_BD!$Y:$Y)),"")</f>
        <v/>
      </c>
      <c r="S311" s="108"/>
      <c r="T311" s="140"/>
      <c r="U311" s="141"/>
      <c r="V311" s="108"/>
      <c r="W311" s="142" t="str">
        <f t="shared" si="31"/>
        <v/>
      </c>
      <c r="X311" s="108" t="str">
        <f>IFERROR(_xlfn.XLOOKUP($A311,Input_Raw!$A:$A,Input_Raw!$CP:$CP)*1000,"")</f>
        <v/>
      </c>
      <c r="Y311" s="108" t="str">
        <f>IFERROR(_xlfn.XLOOKUP($A311,Input_Raw!$A:$A,Input_Raw!DJ:DJ)*1000,"")</f>
        <v/>
      </c>
      <c r="Z311" s="108" t="str">
        <f>IFERROR(_xlfn.XLOOKUP($A311,Input_Raw!$A:$A,Input_Raw!DK:DK)*1000,"")</f>
        <v/>
      </c>
      <c r="AA311" s="138" t="str">
        <f t="shared" si="32"/>
        <v/>
      </c>
      <c r="AB311" s="108" t="str">
        <f>IFERROR(_xlfn.XLOOKUP($A311,Input_Raw!$A:$A,Input_Raw!$DR:$DR),"")</f>
        <v/>
      </c>
      <c r="AC311" s="143">
        <f>IFERROR(_xlfn.XLOOKUP($D311,'Modelling New'!$D:$D,'Modelling New'!$J:$J),"")</f>
        <v>3.9249999999999998</v>
      </c>
      <c r="AD311" s="138">
        <f>IFERROR(_xlfn.XLOOKUP($D311,'Modelling New'!$D:$D,'Modelling New'!$T:$T)*1000,"")</f>
        <v>118578.57831264066</v>
      </c>
      <c r="AE311" s="142"/>
      <c r="AF311" s="142">
        <f>IFERROR(_xlfn.XLOOKUP($D311,'Modelling New'!$D:$D,'Modelling New'!$W:$W),"")</f>
        <v>7.0181450232386741E-2</v>
      </c>
      <c r="AG311" s="142">
        <f>IFERROR(_xlfn.XLOOKUP($D311,'Modelling New'!$D:$D,'Modelling New'!$AE:$AE),"")</f>
        <v>0.96029999999999993</v>
      </c>
      <c r="AH311" s="142">
        <f>IFERROR(_xlfn.XLOOKUP($D311,'Modelling New'!$D:$D,'Modelling New'!$AF:$AF),"")</f>
        <v>0.995</v>
      </c>
      <c r="AI311" s="109" t="str">
        <f>IFERROR(_xlfn.XLOOKUP($A311,Input_Raw!$A:$A,Input_Raw!$DP:$DP),"")</f>
        <v/>
      </c>
      <c r="AJ311" s="108"/>
      <c r="AK311" s="108"/>
      <c r="AL311" s="108"/>
      <c r="AM311" s="108"/>
      <c r="AN311" s="132" t="str">
        <f>IFERROR(_xlfn.XLOOKUP($A311,Input_Raw!$A:$A,Input_Raw!$DL:$DL),"")</f>
        <v/>
      </c>
      <c r="AO311" s="142" t="str">
        <f>IFERROR((_xlfn.XLOOKUP($A311,'WTG Reactive Power'!$A:$A,'WTG Reactive Power'!$AW:$AW))/X311,"")</f>
        <v/>
      </c>
      <c r="AP311" s="142">
        <f>IFERROR(_xlfn.XLOOKUP($D311,'Modelling New'!$D:$D,'Modelling New'!$AK:$AK),"")</f>
        <v>0.05</v>
      </c>
      <c r="AQ311" s="142">
        <f>IFERROR(_xlfn.XLOOKUP($D311,'Modelling New'!$D:$D,'Modelling New'!$AL:$AL),"")</f>
        <v>0.05</v>
      </c>
      <c r="AR311" s="198">
        <f>IFERROR(_xlfn.XLOOKUP($D311,'Modelling New'!$D:$D,'Modelling New'!$N:$N),"")</f>
        <v>70.400000000000006</v>
      </c>
      <c r="AS311" s="198"/>
    </row>
    <row r="312" spans="1:45">
      <c r="A312" s="137">
        <f t="shared" si="28"/>
        <v>46055</v>
      </c>
      <c r="B312" s="138">
        <f>YEAR(Daily_KPI[[#This Row],[Date]])+IF(MONTH(Daily_KPI[[#This Row],[Date]])&gt;=4,1,0)</f>
        <v>2026</v>
      </c>
      <c r="C312" s="108">
        <f>YEAR(Daily_KPI[[#This Row],[Date]])</f>
        <v>2026</v>
      </c>
      <c r="D312" s="139">
        <f>Daily_KPI[[#This Row],[Date]]-DAY(Daily_KPI[[#This Row],[Date]])+1</f>
        <v>46054</v>
      </c>
      <c r="E312" s="108">
        <f t="shared" ref="E312:E343" si="33">DAY(EOMONTH(A312,0))</f>
        <v>28</v>
      </c>
      <c r="F312" s="109"/>
      <c r="G312" s="110"/>
      <c r="H312" s="110"/>
      <c r="I312" s="110"/>
      <c r="J312" s="110"/>
      <c r="K312" s="111"/>
      <c r="L312" s="110"/>
      <c r="M312" s="110" t="str">
        <f>IFERROR(_xlfn.XLOOKUP($A312,Input_Raw!$A:$A,Input_Raw!$CQ:$CQ),"")</f>
        <v/>
      </c>
      <c r="N312" s="110" t="str">
        <f>IFERROR(_xlfn.XLOOKUP($A312,Input_Raw!$A:$A,Input_Raw!$CR:$CR),"")</f>
        <v/>
      </c>
      <c r="O312" s="141" t="str">
        <f t="shared" ref="O312:O343" si="34">IFERROR(P312*Q312,"")</f>
        <v/>
      </c>
      <c r="P312" s="141" t="str">
        <f>IFERROR(1-SUMIF(WTG_BD!$F:$F,$A312,WTG_BD!$AA:$AA)/($AA312+SUMIF(WTG_BD!$F:$F,$A312,WTG_BD!$AA:$AA)),"")</f>
        <v/>
      </c>
      <c r="Q312" s="141" t="str">
        <f>IFERROR(1-SUMIF(IGA_BD!$F:$F,$A312,IGA_BD!$W:$W)/($AA312+SUMIF(IGA_BD!$F:$F,$A312,IGA_BD!$W:$W)),"")</f>
        <v/>
      </c>
      <c r="R312" s="141" t="str">
        <f>IFERROR(1-SUMIF(Grid_BD!$F:$F,$A312,Grid_BD!$Y:$Y)/($AA312+SUMIF(Grid_BD!$F:$F,$A312,Grid_BD!$Y:$Y)),"")</f>
        <v/>
      </c>
      <c r="S312" s="108"/>
      <c r="T312" s="140"/>
      <c r="U312" s="141"/>
      <c r="V312" s="108"/>
      <c r="W312" s="142" t="str">
        <f t="shared" ref="W312:W343" si="35">IFERROR(X312/(24*AB312*1000),"")</f>
        <v/>
      </c>
      <c r="X312" s="108" t="str">
        <f>IFERROR(_xlfn.XLOOKUP($A312,Input_Raw!$A:$A,Input_Raw!$CP:$CP)*1000,"")</f>
        <v/>
      </c>
      <c r="Y312" s="108" t="str">
        <f>IFERROR(_xlfn.XLOOKUP($A312,Input_Raw!$A:$A,Input_Raw!DJ:DJ)*1000,"")</f>
        <v/>
      </c>
      <c r="Z312" s="108" t="str">
        <f>IFERROR(_xlfn.XLOOKUP($A312,Input_Raw!$A:$A,Input_Raw!DK:DK)*1000,"")</f>
        <v/>
      </c>
      <c r="AA312" s="138" t="str">
        <f t="shared" ref="AA312:AA343" si="36">IFERROR(Y312-Z312,"")</f>
        <v/>
      </c>
      <c r="AB312" s="108" t="str">
        <f>IFERROR(_xlfn.XLOOKUP($A312,Input_Raw!$A:$A,Input_Raw!$DR:$DR),"")</f>
        <v/>
      </c>
      <c r="AC312" s="143">
        <f>IFERROR(_xlfn.XLOOKUP($D312,'Modelling New'!$D:$D,'Modelling New'!$J:$J),"")</f>
        <v>3.9249999999999998</v>
      </c>
      <c r="AD312" s="138">
        <f>IFERROR(_xlfn.XLOOKUP($D312,'Modelling New'!$D:$D,'Modelling New'!$T:$T)*1000,"")</f>
        <v>118578.57831264066</v>
      </c>
      <c r="AE312" s="142"/>
      <c r="AF312" s="142">
        <f>IFERROR(_xlfn.XLOOKUP($D312,'Modelling New'!$D:$D,'Modelling New'!$W:$W),"")</f>
        <v>7.0181450232386741E-2</v>
      </c>
      <c r="AG312" s="142">
        <f>IFERROR(_xlfn.XLOOKUP($D312,'Modelling New'!$D:$D,'Modelling New'!$AE:$AE),"")</f>
        <v>0.96029999999999993</v>
      </c>
      <c r="AH312" s="142">
        <f>IFERROR(_xlfn.XLOOKUP($D312,'Modelling New'!$D:$D,'Modelling New'!$AF:$AF),"")</f>
        <v>0.995</v>
      </c>
      <c r="AI312" s="109" t="str">
        <f>IFERROR(_xlfn.XLOOKUP($A312,Input_Raw!$A:$A,Input_Raw!$DP:$DP),"")</f>
        <v/>
      </c>
      <c r="AJ312" s="108"/>
      <c r="AK312" s="108"/>
      <c r="AL312" s="108"/>
      <c r="AM312" s="108"/>
      <c r="AN312" s="132" t="str">
        <f>IFERROR(_xlfn.XLOOKUP($A312,Input_Raw!$A:$A,Input_Raw!$DL:$DL),"")</f>
        <v/>
      </c>
      <c r="AO312" s="142" t="str">
        <f>IFERROR((_xlfn.XLOOKUP($A312,'WTG Reactive Power'!$A:$A,'WTG Reactive Power'!$AW:$AW))/X312,"")</f>
        <v/>
      </c>
      <c r="AP312" s="142">
        <f>IFERROR(_xlfn.XLOOKUP($D312,'Modelling New'!$D:$D,'Modelling New'!$AK:$AK),"")</f>
        <v>0.05</v>
      </c>
      <c r="AQ312" s="142">
        <f>IFERROR(_xlfn.XLOOKUP($D312,'Modelling New'!$D:$D,'Modelling New'!$AL:$AL),"")</f>
        <v>0.05</v>
      </c>
      <c r="AR312" s="198">
        <f>IFERROR(_xlfn.XLOOKUP($D312,'Modelling New'!$D:$D,'Modelling New'!$N:$N),"")</f>
        <v>70.400000000000006</v>
      </c>
      <c r="AS312" s="198"/>
    </row>
    <row r="313" spans="1:45">
      <c r="A313" s="137">
        <f t="shared" si="28"/>
        <v>46056</v>
      </c>
      <c r="B313" s="138">
        <f>YEAR(Daily_KPI[[#This Row],[Date]])+IF(MONTH(Daily_KPI[[#This Row],[Date]])&gt;=4,1,0)</f>
        <v>2026</v>
      </c>
      <c r="C313" s="108">
        <f>YEAR(Daily_KPI[[#This Row],[Date]])</f>
        <v>2026</v>
      </c>
      <c r="D313" s="139">
        <f>Daily_KPI[[#This Row],[Date]]-DAY(Daily_KPI[[#This Row],[Date]])+1</f>
        <v>46054</v>
      </c>
      <c r="E313" s="108">
        <f t="shared" si="33"/>
        <v>28</v>
      </c>
      <c r="F313" s="109"/>
      <c r="G313" s="110"/>
      <c r="H313" s="110"/>
      <c r="I313" s="110"/>
      <c r="J313" s="110"/>
      <c r="K313" s="111"/>
      <c r="L313" s="110"/>
      <c r="M313" s="110" t="str">
        <f>IFERROR(_xlfn.XLOOKUP($A313,Input_Raw!$A:$A,Input_Raw!$CQ:$CQ),"")</f>
        <v/>
      </c>
      <c r="N313" s="110" t="str">
        <f>IFERROR(_xlfn.XLOOKUP($A313,Input_Raw!$A:$A,Input_Raw!$CR:$CR),"")</f>
        <v/>
      </c>
      <c r="O313" s="141" t="str">
        <f t="shared" si="34"/>
        <v/>
      </c>
      <c r="P313" s="141" t="str">
        <f>IFERROR(1-SUMIF(WTG_BD!$F:$F,$A313,WTG_BD!$AA:$AA)/($AA313+SUMIF(WTG_BD!$F:$F,$A313,WTG_BD!$AA:$AA)),"")</f>
        <v/>
      </c>
      <c r="Q313" s="141" t="str">
        <f>IFERROR(1-SUMIF(IGA_BD!$F:$F,$A313,IGA_BD!$W:$W)/($AA313+SUMIF(IGA_BD!$F:$F,$A313,IGA_BD!$W:$W)),"")</f>
        <v/>
      </c>
      <c r="R313" s="141" t="str">
        <f>IFERROR(1-SUMIF(Grid_BD!$F:$F,$A313,Grid_BD!$Y:$Y)/($AA313+SUMIF(Grid_BD!$F:$F,$A313,Grid_BD!$Y:$Y)),"")</f>
        <v/>
      </c>
      <c r="S313" s="108"/>
      <c r="T313" s="140"/>
      <c r="U313" s="141"/>
      <c r="V313" s="108"/>
      <c r="W313" s="142" t="str">
        <f t="shared" si="35"/>
        <v/>
      </c>
      <c r="X313" s="108" t="str">
        <f>IFERROR(_xlfn.XLOOKUP($A313,Input_Raw!$A:$A,Input_Raw!$CP:$CP)*1000,"")</f>
        <v/>
      </c>
      <c r="Y313" s="108" t="str">
        <f>IFERROR(_xlfn.XLOOKUP($A313,Input_Raw!$A:$A,Input_Raw!DJ:DJ)*1000,"")</f>
        <v/>
      </c>
      <c r="Z313" s="108" t="str">
        <f>IFERROR(_xlfn.XLOOKUP($A313,Input_Raw!$A:$A,Input_Raw!DK:DK)*1000,"")</f>
        <v/>
      </c>
      <c r="AA313" s="138" t="str">
        <f t="shared" si="36"/>
        <v/>
      </c>
      <c r="AB313" s="108" t="str">
        <f>IFERROR(_xlfn.XLOOKUP($A313,Input_Raw!$A:$A,Input_Raw!$DR:$DR),"")</f>
        <v/>
      </c>
      <c r="AC313" s="143">
        <f>IFERROR(_xlfn.XLOOKUP($D313,'Modelling New'!$D:$D,'Modelling New'!$J:$J),"")</f>
        <v>3.9249999999999998</v>
      </c>
      <c r="AD313" s="138">
        <f>IFERROR(_xlfn.XLOOKUP($D313,'Modelling New'!$D:$D,'Modelling New'!$T:$T)*1000,"")</f>
        <v>118578.57831264066</v>
      </c>
      <c r="AE313" s="142"/>
      <c r="AF313" s="142">
        <f>IFERROR(_xlfn.XLOOKUP($D313,'Modelling New'!$D:$D,'Modelling New'!$W:$W),"")</f>
        <v>7.0181450232386741E-2</v>
      </c>
      <c r="AG313" s="142">
        <f>IFERROR(_xlfn.XLOOKUP($D313,'Modelling New'!$D:$D,'Modelling New'!$AE:$AE),"")</f>
        <v>0.96029999999999993</v>
      </c>
      <c r="AH313" s="142">
        <f>IFERROR(_xlfn.XLOOKUP($D313,'Modelling New'!$D:$D,'Modelling New'!$AF:$AF),"")</f>
        <v>0.995</v>
      </c>
      <c r="AI313" s="109" t="str">
        <f>IFERROR(_xlfn.XLOOKUP($A313,Input_Raw!$A:$A,Input_Raw!$DP:$DP),"")</f>
        <v/>
      </c>
      <c r="AJ313" s="108"/>
      <c r="AK313" s="108"/>
      <c r="AL313" s="108"/>
      <c r="AM313" s="108"/>
      <c r="AN313" s="132" t="str">
        <f>IFERROR(_xlfn.XLOOKUP($A313,Input_Raw!$A:$A,Input_Raw!$DL:$DL),"")</f>
        <v/>
      </c>
      <c r="AO313" s="142" t="str">
        <f>IFERROR((_xlfn.XLOOKUP($A313,'WTG Reactive Power'!$A:$A,'WTG Reactive Power'!$AW:$AW))/X313,"")</f>
        <v/>
      </c>
      <c r="AP313" s="142">
        <f>IFERROR(_xlfn.XLOOKUP($D313,'Modelling New'!$D:$D,'Modelling New'!$AK:$AK),"")</f>
        <v>0.05</v>
      </c>
      <c r="AQ313" s="142">
        <f>IFERROR(_xlfn.XLOOKUP($D313,'Modelling New'!$D:$D,'Modelling New'!$AL:$AL),"")</f>
        <v>0.05</v>
      </c>
      <c r="AR313" s="198">
        <f>IFERROR(_xlfn.XLOOKUP($D313,'Modelling New'!$D:$D,'Modelling New'!$N:$N),"")</f>
        <v>70.400000000000006</v>
      </c>
      <c r="AS313" s="198"/>
    </row>
    <row r="314" spans="1:45">
      <c r="A314" s="137">
        <f t="shared" si="28"/>
        <v>46057</v>
      </c>
      <c r="B314" s="138">
        <f>YEAR(Daily_KPI[[#This Row],[Date]])+IF(MONTH(Daily_KPI[[#This Row],[Date]])&gt;=4,1,0)</f>
        <v>2026</v>
      </c>
      <c r="C314" s="108">
        <f>YEAR(Daily_KPI[[#This Row],[Date]])</f>
        <v>2026</v>
      </c>
      <c r="D314" s="139">
        <f>Daily_KPI[[#This Row],[Date]]-DAY(Daily_KPI[[#This Row],[Date]])+1</f>
        <v>46054</v>
      </c>
      <c r="E314" s="108">
        <f t="shared" si="33"/>
        <v>28</v>
      </c>
      <c r="F314" s="109"/>
      <c r="G314" s="110"/>
      <c r="H314" s="110"/>
      <c r="I314" s="110"/>
      <c r="J314" s="110"/>
      <c r="K314" s="111"/>
      <c r="L314" s="110"/>
      <c r="M314" s="110" t="str">
        <f>IFERROR(_xlfn.XLOOKUP($A314,Input_Raw!$A:$A,Input_Raw!$CQ:$CQ),"")</f>
        <v/>
      </c>
      <c r="N314" s="110" t="str">
        <f>IFERROR(_xlfn.XLOOKUP($A314,Input_Raw!$A:$A,Input_Raw!$CR:$CR),"")</f>
        <v/>
      </c>
      <c r="O314" s="141" t="str">
        <f t="shared" si="34"/>
        <v/>
      </c>
      <c r="P314" s="141" t="str">
        <f>IFERROR(1-SUMIF(WTG_BD!$F:$F,$A314,WTG_BD!$AA:$AA)/($AA314+SUMIF(WTG_BD!$F:$F,$A314,WTG_BD!$AA:$AA)),"")</f>
        <v/>
      </c>
      <c r="Q314" s="141" t="str">
        <f>IFERROR(1-SUMIF(IGA_BD!$F:$F,$A314,IGA_BD!$W:$W)/($AA314+SUMIF(IGA_BD!$F:$F,$A314,IGA_BD!$W:$W)),"")</f>
        <v/>
      </c>
      <c r="R314" s="141" t="str">
        <f>IFERROR(1-SUMIF(Grid_BD!$F:$F,$A314,Grid_BD!$Y:$Y)/($AA314+SUMIF(Grid_BD!$F:$F,$A314,Grid_BD!$Y:$Y)),"")</f>
        <v/>
      </c>
      <c r="S314" s="108"/>
      <c r="T314" s="140"/>
      <c r="U314" s="141"/>
      <c r="V314" s="108"/>
      <c r="W314" s="142" t="str">
        <f t="shared" si="35"/>
        <v/>
      </c>
      <c r="X314" s="108" t="str">
        <f>IFERROR(_xlfn.XLOOKUP($A314,Input_Raw!$A:$A,Input_Raw!$CP:$CP)*1000,"")</f>
        <v/>
      </c>
      <c r="Y314" s="108" t="str">
        <f>IFERROR(_xlfn.XLOOKUP($A314,Input_Raw!$A:$A,Input_Raw!DJ:DJ)*1000,"")</f>
        <v/>
      </c>
      <c r="Z314" s="108" t="str">
        <f>IFERROR(_xlfn.XLOOKUP($A314,Input_Raw!$A:$A,Input_Raw!DK:DK)*1000,"")</f>
        <v/>
      </c>
      <c r="AA314" s="138" t="str">
        <f t="shared" si="36"/>
        <v/>
      </c>
      <c r="AB314" s="108" t="str">
        <f>IFERROR(_xlfn.XLOOKUP($A314,Input_Raw!$A:$A,Input_Raw!$DR:$DR),"")</f>
        <v/>
      </c>
      <c r="AC314" s="143">
        <f>IFERROR(_xlfn.XLOOKUP($D314,'Modelling New'!$D:$D,'Modelling New'!$J:$J),"")</f>
        <v>3.9249999999999998</v>
      </c>
      <c r="AD314" s="138">
        <f>IFERROR(_xlfn.XLOOKUP($D314,'Modelling New'!$D:$D,'Modelling New'!$T:$T)*1000,"")</f>
        <v>118578.57831264066</v>
      </c>
      <c r="AE314" s="142"/>
      <c r="AF314" s="142">
        <f>IFERROR(_xlfn.XLOOKUP($D314,'Modelling New'!$D:$D,'Modelling New'!$W:$W),"")</f>
        <v>7.0181450232386741E-2</v>
      </c>
      <c r="AG314" s="142">
        <f>IFERROR(_xlfn.XLOOKUP($D314,'Modelling New'!$D:$D,'Modelling New'!$AE:$AE),"")</f>
        <v>0.96029999999999993</v>
      </c>
      <c r="AH314" s="142">
        <f>IFERROR(_xlfn.XLOOKUP($D314,'Modelling New'!$D:$D,'Modelling New'!$AF:$AF),"")</f>
        <v>0.995</v>
      </c>
      <c r="AI314" s="109" t="str">
        <f>IFERROR(_xlfn.XLOOKUP($A314,Input_Raw!$A:$A,Input_Raw!$DP:$DP),"")</f>
        <v/>
      </c>
      <c r="AJ314" s="108"/>
      <c r="AK314" s="108"/>
      <c r="AL314" s="108"/>
      <c r="AM314" s="108"/>
      <c r="AN314" s="132" t="str">
        <f>IFERROR(_xlfn.XLOOKUP($A314,Input_Raw!$A:$A,Input_Raw!$DL:$DL),"")</f>
        <v/>
      </c>
      <c r="AO314" s="142" t="str">
        <f>IFERROR((_xlfn.XLOOKUP($A314,'WTG Reactive Power'!$A:$A,'WTG Reactive Power'!$AW:$AW))/X314,"")</f>
        <v/>
      </c>
      <c r="AP314" s="142">
        <f>IFERROR(_xlfn.XLOOKUP($D314,'Modelling New'!$D:$D,'Modelling New'!$AK:$AK),"")</f>
        <v>0.05</v>
      </c>
      <c r="AQ314" s="142">
        <f>IFERROR(_xlfn.XLOOKUP($D314,'Modelling New'!$D:$D,'Modelling New'!$AL:$AL),"")</f>
        <v>0.05</v>
      </c>
      <c r="AR314" s="198">
        <f>IFERROR(_xlfn.XLOOKUP($D314,'Modelling New'!$D:$D,'Modelling New'!$N:$N),"")</f>
        <v>70.400000000000006</v>
      </c>
      <c r="AS314" s="198"/>
    </row>
    <row r="315" spans="1:45">
      <c r="A315" s="137">
        <f t="shared" si="28"/>
        <v>46058</v>
      </c>
      <c r="B315" s="138">
        <f>YEAR(Daily_KPI[[#This Row],[Date]])+IF(MONTH(Daily_KPI[[#This Row],[Date]])&gt;=4,1,0)</f>
        <v>2026</v>
      </c>
      <c r="C315" s="108">
        <f>YEAR(Daily_KPI[[#This Row],[Date]])</f>
        <v>2026</v>
      </c>
      <c r="D315" s="139">
        <f>Daily_KPI[[#This Row],[Date]]-DAY(Daily_KPI[[#This Row],[Date]])+1</f>
        <v>46054</v>
      </c>
      <c r="E315" s="108">
        <f t="shared" si="33"/>
        <v>28</v>
      </c>
      <c r="F315" s="109"/>
      <c r="G315" s="110"/>
      <c r="H315" s="110"/>
      <c r="I315" s="110"/>
      <c r="J315" s="110"/>
      <c r="K315" s="111"/>
      <c r="L315" s="110"/>
      <c r="M315" s="110" t="str">
        <f>IFERROR(_xlfn.XLOOKUP($A315,Input_Raw!$A:$A,Input_Raw!$CQ:$CQ),"")</f>
        <v/>
      </c>
      <c r="N315" s="110" t="str">
        <f>IFERROR(_xlfn.XLOOKUP($A315,Input_Raw!$A:$A,Input_Raw!$CR:$CR),"")</f>
        <v/>
      </c>
      <c r="O315" s="141" t="str">
        <f t="shared" si="34"/>
        <v/>
      </c>
      <c r="P315" s="141" t="str">
        <f>IFERROR(1-SUMIF(WTG_BD!$F:$F,$A315,WTG_BD!$AA:$AA)/($AA315+SUMIF(WTG_BD!$F:$F,$A315,WTG_BD!$AA:$AA)),"")</f>
        <v/>
      </c>
      <c r="Q315" s="141" t="str">
        <f>IFERROR(1-SUMIF(IGA_BD!$F:$F,$A315,IGA_BD!$W:$W)/($AA315+SUMIF(IGA_BD!$F:$F,$A315,IGA_BD!$W:$W)),"")</f>
        <v/>
      </c>
      <c r="R315" s="141" t="str">
        <f>IFERROR(1-SUMIF(Grid_BD!$F:$F,$A315,Grid_BD!$Y:$Y)/($AA315+SUMIF(Grid_BD!$F:$F,$A315,Grid_BD!$Y:$Y)),"")</f>
        <v/>
      </c>
      <c r="S315" s="108"/>
      <c r="T315" s="140"/>
      <c r="U315" s="141"/>
      <c r="V315" s="108"/>
      <c r="W315" s="142" t="str">
        <f t="shared" si="35"/>
        <v/>
      </c>
      <c r="X315" s="108" t="str">
        <f>IFERROR(_xlfn.XLOOKUP($A315,Input_Raw!$A:$A,Input_Raw!$CP:$CP)*1000,"")</f>
        <v/>
      </c>
      <c r="Y315" s="108" t="str">
        <f>IFERROR(_xlfn.XLOOKUP($A315,Input_Raw!$A:$A,Input_Raw!DJ:DJ)*1000,"")</f>
        <v/>
      </c>
      <c r="Z315" s="108" t="str">
        <f>IFERROR(_xlfn.XLOOKUP($A315,Input_Raw!$A:$A,Input_Raw!DK:DK)*1000,"")</f>
        <v/>
      </c>
      <c r="AA315" s="138" t="str">
        <f t="shared" si="36"/>
        <v/>
      </c>
      <c r="AB315" s="108" t="str">
        <f>IFERROR(_xlfn.XLOOKUP($A315,Input_Raw!$A:$A,Input_Raw!$DR:$DR),"")</f>
        <v/>
      </c>
      <c r="AC315" s="143">
        <f>IFERROR(_xlfn.XLOOKUP($D315,'Modelling New'!$D:$D,'Modelling New'!$J:$J),"")</f>
        <v>3.9249999999999998</v>
      </c>
      <c r="AD315" s="138">
        <f>IFERROR(_xlfn.XLOOKUP($D315,'Modelling New'!$D:$D,'Modelling New'!$T:$T)*1000,"")</f>
        <v>118578.57831264066</v>
      </c>
      <c r="AE315" s="142"/>
      <c r="AF315" s="142">
        <f>IFERROR(_xlfn.XLOOKUP($D315,'Modelling New'!$D:$D,'Modelling New'!$W:$W),"")</f>
        <v>7.0181450232386741E-2</v>
      </c>
      <c r="AG315" s="142">
        <f>IFERROR(_xlfn.XLOOKUP($D315,'Modelling New'!$D:$D,'Modelling New'!$AE:$AE),"")</f>
        <v>0.96029999999999993</v>
      </c>
      <c r="AH315" s="142">
        <f>IFERROR(_xlfn.XLOOKUP($D315,'Modelling New'!$D:$D,'Modelling New'!$AF:$AF),"")</f>
        <v>0.995</v>
      </c>
      <c r="AI315" s="109" t="str">
        <f>IFERROR(_xlfn.XLOOKUP($A315,Input_Raw!$A:$A,Input_Raw!$DP:$DP),"")</f>
        <v/>
      </c>
      <c r="AJ315" s="108"/>
      <c r="AK315" s="108"/>
      <c r="AL315" s="108"/>
      <c r="AM315" s="108"/>
      <c r="AN315" s="132" t="str">
        <f>IFERROR(_xlfn.XLOOKUP($A315,Input_Raw!$A:$A,Input_Raw!$DL:$DL),"")</f>
        <v/>
      </c>
      <c r="AO315" s="142" t="str">
        <f>IFERROR((_xlfn.XLOOKUP($A315,'WTG Reactive Power'!$A:$A,'WTG Reactive Power'!$AW:$AW))/X315,"")</f>
        <v/>
      </c>
      <c r="AP315" s="142">
        <f>IFERROR(_xlfn.XLOOKUP($D315,'Modelling New'!$D:$D,'Modelling New'!$AK:$AK),"")</f>
        <v>0.05</v>
      </c>
      <c r="AQ315" s="142">
        <f>IFERROR(_xlfn.XLOOKUP($D315,'Modelling New'!$D:$D,'Modelling New'!$AL:$AL),"")</f>
        <v>0.05</v>
      </c>
      <c r="AR315" s="198">
        <f>IFERROR(_xlfn.XLOOKUP($D315,'Modelling New'!$D:$D,'Modelling New'!$N:$N),"")</f>
        <v>70.400000000000006</v>
      </c>
      <c r="AS315" s="198"/>
    </row>
    <row r="316" spans="1:45">
      <c r="A316" s="137">
        <f t="shared" si="28"/>
        <v>46059</v>
      </c>
      <c r="B316" s="138">
        <f>YEAR(Daily_KPI[[#This Row],[Date]])+IF(MONTH(Daily_KPI[[#This Row],[Date]])&gt;=4,1,0)</f>
        <v>2026</v>
      </c>
      <c r="C316" s="108">
        <f>YEAR(Daily_KPI[[#This Row],[Date]])</f>
        <v>2026</v>
      </c>
      <c r="D316" s="139">
        <f>Daily_KPI[[#This Row],[Date]]-DAY(Daily_KPI[[#This Row],[Date]])+1</f>
        <v>46054</v>
      </c>
      <c r="E316" s="108">
        <f t="shared" si="33"/>
        <v>28</v>
      </c>
      <c r="F316" s="109"/>
      <c r="G316" s="110"/>
      <c r="H316" s="110"/>
      <c r="I316" s="110"/>
      <c r="J316" s="110"/>
      <c r="K316" s="111"/>
      <c r="L316" s="110"/>
      <c r="M316" s="110" t="str">
        <f>IFERROR(_xlfn.XLOOKUP($A316,Input_Raw!$A:$A,Input_Raw!$CQ:$CQ),"")</f>
        <v/>
      </c>
      <c r="N316" s="110" t="str">
        <f>IFERROR(_xlfn.XLOOKUP($A316,Input_Raw!$A:$A,Input_Raw!$CR:$CR),"")</f>
        <v/>
      </c>
      <c r="O316" s="141" t="str">
        <f t="shared" si="34"/>
        <v/>
      </c>
      <c r="P316" s="141" t="str">
        <f>IFERROR(1-SUMIF(WTG_BD!$F:$F,$A316,WTG_BD!$AA:$AA)/($AA316+SUMIF(WTG_BD!$F:$F,$A316,WTG_BD!$AA:$AA)),"")</f>
        <v/>
      </c>
      <c r="Q316" s="141" t="str">
        <f>IFERROR(1-SUMIF(IGA_BD!$F:$F,$A316,IGA_BD!$W:$W)/($AA316+SUMIF(IGA_BD!$F:$F,$A316,IGA_BD!$W:$W)),"")</f>
        <v/>
      </c>
      <c r="R316" s="141" t="str">
        <f>IFERROR(1-SUMIF(Grid_BD!$F:$F,$A316,Grid_BD!$Y:$Y)/($AA316+SUMIF(Grid_BD!$F:$F,$A316,Grid_BD!$Y:$Y)),"")</f>
        <v/>
      </c>
      <c r="S316" s="108"/>
      <c r="T316" s="140"/>
      <c r="U316" s="141"/>
      <c r="V316" s="108"/>
      <c r="W316" s="142" t="str">
        <f t="shared" si="35"/>
        <v/>
      </c>
      <c r="X316" s="108" t="str">
        <f>IFERROR(_xlfn.XLOOKUP($A316,Input_Raw!$A:$A,Input_Raw!$CP:$CP)*1000,"")</f>
        <v/>
      </c>
      <c r="Y316" s="108" t="str">
        <f>IFERROR(_xlfn.XLOOKUP($A316,Input_Raw!$A:$A,Input_Raw!DJ:DJ)*1000,"")</f>
        <v/>
      </c>
      <c r="Z316" s="108" t="str">
        <f>IFERROR(_xlfn.XLOOKUP($A316,Input_Raw!$A:$A,Input_Raw!DK:DK)*1000,"")</f>
        <v/>
      </c>
      <c r="AA316" s="138" t="str">
        <f t="shared" si="36"/>
        <v/>
      </c>
      <c r="AB316" s="108" t="str">
        <f>IFERROR(_xlfn.XLOOKUP($A316,Input_Raw!$A:$A,Input_Raw!$DR:$DR),"")</f>
        <v/>
      </c>
      <c r="AC316" s="143">
        <f>IFERROR(_xlfn.XLOOKUP($D316,'Modelling New'!$D:$D,'Modelling New'!$J:$J),"")</f>
        <v>3.9249999999999998</v>
      </c>
      <c r="AD316" s="138">
        <f>IFERROR(_xlfn.XLOOKUP($D316,'Modelling New'!$D:$D,'Modelling New'!$T:$T)*1000,"")</f>
        <v>118578.57831264066</v>
      </c>
      <c r="AE316" s="142"/>
      <c r="AF316" s="142">
        <f>IFERROR(_xlfn.XLOOKUP($D316,'Modelling New'!$D:$D,'Modelling New'!$W:$W),"")</f>
        <v>7.0181450232386741E-2</v>
      </c>
      <c r="AG316" s="142">
        <f>IFERROR(_xlfn.XLOOKUP($D316,'Modelling New'!$D:$D,'Modelling New'!$AE:$AE),"")</f>
        <v>0.96029999999999993</v>
      </c>
      <c r="AH316" s="142">
        <f>IFERROR(_xlfn.XLOOKUP($D316,'Modelling New'!$D:$D,'Modelling New'!$AF:$AF),"")</f>
        <v>0.995</v>
      </c>
      <c r="AI316" s="109" t="str">
        <f>IFERROR(_xlfn.XLOOKUP($A316,Input_Raw!$A:$A,Input_Raw!$DP:$DP),"")</f>
        <v/>
      </c>
      <c r="AJ316" s="108"/>
      <c r="AK316" s="108"/>
      <c r="AL316" s="108"/>
      <c r="AM316" s="108"/>
      <c r="AN316" s="132" t="str">
        <f>IFERROR(_xlfn.XLOOKUP($A316,Input_Raw!$A:$A,Input_Raw!$DL:$DL),"")</f>
        <v/>
      </c>
      <c r="AO316" s="142" t="str">
        <f>IFERROR((_xlfn.XLOOKUP($A316,'WTG Reactive Power'!$A:$A,'WTG Reactive Power'!$AW:$AW))/X316,"")</f>
        <v/>
      </c>
      <c r="AP316" s="142">
        <f>IFERROR(_xlfn.XLOOKUP($D316,'Modelling New'!$D:$D,'Modelling New'!$AK:$AK),"")</f>
        <v>0.05</v>
      </c>
      <c r="AQ316" s="142">
        <f>IFERROR(_xlfn.XLOOKUP($D316,'Modelling New'!$D:$D,'Modelling New'!$AL:$AL),"")</f>
        <v>0.05</v>
      </c>
      <c r="AR316" s="198">
        <f>IFERROR(_xlfn.XLOOKUP($D316,'Modelling New'!$D:$D,'Modelling New'!$N:$N),"")</f>
        <v>70.400000000000006</v>
      </c>
      <c r="AS316" s="198"/>
    </row>
    <row r="317" spans="1:45">
      <c r="A317" s="137">
        <f t="shared" si="28"/>
        <v>46060</v>
      </c>
      <c r="B317" s="138">
        <f>YEAR(Daily_KPI[[#This Row],[Date]])+IF(MONTH(Daily_KPI[[#This Row],[Date]])&gt;=4,1,0)</f>
        <v>2026</v>
      </c>
      <c r="C317" s="108">
        <f>YEAR(Daily_KPI[[#This Row],[Date]])</f>
        <v>2026</v>
      </c>
      <c r="D317" s="139">
        <f>Daily_KPI[[#This Row],[Date]]-DAY(Daily_KPI[[#This Row],[Date]])+1</f>
        <v>46054</v>
      </c>
      <c r="E317" s="108">
        <f t="shared" si="33"/>
        <v>28</v>
      </c>
      <c r="F317" s="109"/>
      <c r="G317" s="110"/>
      <c r="H317" s="110"/>
      <c r="I317" s="110"/>
      <c r="J317" s="110"/>
      <c r="K317" s="111"/>
      <c r="L317" s="110"/>
      <c r="M317" s="110" t="str">
        <f>IFERROR(_xlfn.XLOOKUP($A317,Input_Raw!$A:$A,Input_Raw!$CQ:$CQ),"")</f>
        <v/>
      </c>
      <c r="N317" s="110" t="str">
        <f>IFERROR(_xlfn.XLOOKUP($A317,Input_Raw!$A:$A,Input_Raw!$CR:$CR),"")</f>
        <v/>
      </c>
      <c r="O317" s="141" t="str">
        <f t="shared" si="34"/>
        <v/>
      </c>
      <c r="P317" s="141" t="str">
        <f>IFERROR(1-SUMIF(WTG_BD!$F:$F,$A317,WTG_BD!$AA:$AA)/($AA317+SUMIF(WTG_BD!$F:$F,$A317,WTG_BD!$AA:$AA)),"")</f>
        <v/>
      </c>
      <c r="Q317" s="141" t="str">
        <f>IFERROR(1-SUMIF(IGA_BD!$F:$F,$A317,IGA_BD!$W:$W)/($AA317+SUMIF(IGA_BD!$F:$F,$A317,IGA_BD!$W:$W)),"")</f>
        <v/>
      </c>
      <c r="R317" s="141" t="str">
        <f>IFERROR(1-SUMIF(Grid_BD!$F:$F,$A317,Grid_BD!$Y:$Y)/($AA317+SUMIF(Grid_BD!$F:$F,$A317,Grid_BD!$Y:$Y)),"")</f>
        <v/>
      </c>
      <c r="S317" s="108"/>
      <c r="T317" s="140"/>
      <c r="U317" s="141"/>
      <c r="V317" s="108"/>
      <c r="W317" s="142" t="str">
        <f t="shared" si="35"/>
        <v/>
      </c>
      <c r="X317" s="108" t="str">
        <f>IFERROR(_xlfn.XLOOKUP($A317,Input_Raw!$A:$A,Input_Raw!$CP:$CP)*1000,"")</f>
        <v/>
      </c>
      <c r="Y317" s="108" t="str">
        <f>IFERROR(_xlfn.XLOOKUP($A317,Input_Raw!$A:$A,Input_Raw!DJ:DJ)*1000,"")</f>
        <v/>
      </c>
      <c r="Z317" s="108" t="str">
        <f>IFERROR(_xlfn.XLOOKUP($A317,Input_Raw!$A:$A,Input_Raw!DK:DK)*1000,"")</f>
        <v/>
      </c>
      <c r="AA317" s="138" t="str">
        <f t="shared" si="36"/>
        <v/>
      </c>
      <c r="AB317" s="108" t="str">
        <f>IFERROR(_xlfn.XLOOKUP($A317,Input_Raw!$A:$A,Input_Raw!$DR:$DR),"")</f>
        <v/>
      </c>
      <c r="AC317" s="143">
        <f>IFERROR(_xlfn.XLOOKUP($D317,'Modelling New'!$D:$D,'Modelling New'!$J:$J),"")</f>
        <v>3.9249999999999998</v>
      </c>
      <c r="AD317" s="138">
        <f>IFERROR(_xlfn.XLOOKUP($D317,'Modelling New'!$D:$D,'Modelling New'!$T:$T)*1000,"")</f>
        <v>118578.57831264066</v>
      </c>
      <c r="AE317" s="142"/>
      <c r="AF317" s="142">
        <f>IFERROR(_xlfn.XLOOKUP($D317,'Modelling New'!$D:$D,'Modelling New'!$W:$W),"")</f>
        <v>7.0181450232386741E-2</v>
      </c>
      <c r="AG317" s="142">
        <f>IFERROR(_xlfn.XLOOKUP($D317,'Modelling New'!$D:$D,'Modelling New'!$AE:$AE),"")</f>
        <v>0.96029999999999993</v>
      </c>
      <c r="AH317" s="142">
        <f>IFERROR(_xlfn.XLOOKUP($D317,'Modelling New'!$D:$D,'Modelling New'!$AF:$AF),"")</f>
        <v>0.995</v>
      </c>
      <c r="AI317" s="109" t="str">
        <f>IFERROR(_xlfn.XLOOKUP($A317,Input_Raw!$A:$A,Input_Raw!$DP:$DP),"")</f>
        <v/>
      </c>
      <c r="AJ317" s="108"/>
      <c r="AK317" s="108"/>
      <c r="AL317" s="108"/>
      <c r="AM317" s="108"/>
      <c r="AN317" s="132" t="str">
        <f>IFERROR(_xlfn.XLOOKUP($A317,Input_Raw!$A:$A,Input_Raw!$DL:$DL),"")</f>
        <v/>
      </c>
      <c r="AO317" s="142" t="str">
        <f>IFERROR((_xlfn.XLOOKUP($A317,'WTG Reactive Power'!$A:$A,'WTG Reactive Power'!$AW:$AW))/X317,"")</f>
        <v/>
      </c>
      <c r="AP317" s="142">
        <f>IFERROR(_xlfn.XLOOKUP($D317,'Modelling New'!$D:$D,'Modelling New'!$AK:$AK),"")</f>
        <v>0.05</v>
      </c>
      <c r="AQ317" s="142">
        <f>IFERROR(_xlfn.XLOOKUP($D317,'Modelling New'!$D:$D,'Modelling New'!$AL:$AL),"")</f>
        <v>0.05</v>
      </c>
      <c r="AR317" s="198">
        <f>IFERROR(_xlfn.XLOOKUP($D317,'Modelling New'!$D:$D,'Modelling New'!$N:$N),"")</f>
        <v>70.400000000000006</v>
      </c>
      <c r="AS317" s="198"/>
    </row>
    <row r="318" spans="1:45">
      <c r="A318" s="137">
        <f t="shared" si="28"/>
        <v>46061</v>
      </c>
      <c r="B318" s="138">
        <f>YEAR(Daily_KPI[[#This Row],[Date]])+IF(MONTH(Daily_KPI[[#This Row],[Date]])&gt;=4,1,0)</f>
        <v>2026</v>
      </c>
      <c r="C318" s="108">
        <f>YEAR(Daily_KPI[[#This Row],[Date]])</f>
        <v>2026</v>
      </c>
      <c r="D318" s="139">
        <f>Daily_KPI[[#This Row],[Date]]-DAY(Daily_KPI[[#This Row],[Date]])+1</f>
        <v>46054</v>
      </c>
      <c r="E318" s="108">
        <f t="shared" si="33"/>
        <v>28</v>
      </c>
      <c r="F318" s="109"/>
      <c r="G318" s="110"/>
      <c r="H318" s="110"/>
      <c r="I318" s="110"/>
      <c r="J318" s="110"/>
      <c r="K318" s="111"/>
      <c r="L318" s="110"/>
      <c r="M318" s="110" t="str">
        <f>IFERROR(_xlfn.XLOOKUP($A318,Input_Raw!$A:$A,Input_Raw!$CQ:$CQ),"")</f>
        <v/>
      </c>
      <c r="N318" s="110" t="str">
        <f>IFERROR(_xlfn.XLOOKUP($A318,Input_Raw!$A:$A,Input_Raw!$CR:$CR),"")</f>
        <v/>
      </c>
      <c r="O318" s="141" t="str">
        <f t="shared" si="34"/>
        <v/>
      </c>
      <c r="P318" s="141" t="str">
        <f>IFERROR(1-SUMIF(WTG_BD!$F:$F,$A318,WTG_BD!$AA:$AA)/($AA318+SUMIF(WTG_BD!$F:$F,$A318,WTG_BD!$AA:$AA)),"")</f>
        <v/>
      </c>
      <c r="Q318" s="141" t="str">
        <f>IFERROR(1-SUMIF(IGA_BD!$F:$F,$A318,IGA_BD!$W:$W)/($AA318+SUMIF(IGA_BD!$F:$F,$A318,IGA_BD!$W:$W)),"")</f>
        <v/>
      </c>
      <c r="R318" s="141" t="str">
        <f>IFERROR(1-SUMIF(Grid_BD!$F:$F,$A318,Grid_BD!$Y:$Y)/($AA318+SUMIF(Grid_BD!$F:$F,$A318,Grid_BD!$Y:$Y)),"")</f>
        <v/>
      </c>
      <c r="S318" s="108"/>
      <c r="T318" s="140"/>
      <c r="U318" s="141"/>
      <c r="V318" s="108"/>
      <c r="W318" s="142" t="str">
        <f t="shared" si="35"/>
        <v/>
      </c>
      <c r="X318" s="108" t="str">
        <f>IFERROR(_xlfn.XLOOKUP($A318,Input_Raw!$A:$A,Input_Raw!$CP:$CP)*1000,"")</f>
        <v/>
      </c>
      <c r="Y318" s="108" t="str">
        <f>IFERROR(_xlfn.XLOOKUP($A318,Input_Raw!$A:$A,Input_Raw!DJ:DJ)*1000,"")</f>
        <v/>
      </c>
      <c r="Z318" s="108" t="str">
        <f>IFERROR(_xlfn.XLOOKUP($A318,Input_Raw!$A:$A,Input_Raw!DK:DK)*1000,"")</f>
        <v/>
      </c>
      <c r="AA318" s="138" t="str">
        <f t="shared" si="36"/>
        <v/>
      </c>
      <c r="AB318" s="108" t="str">
        <f>IFERROR(_xlfn.XLOOKUP($A318,Input_Raw!$A:$A,Input_Raw!$DR:$DR),"")</f>
        <v/>
      </c>
      <c r="AC318" s="143">
        <f>IFERROR(_xlfn.XLOOKUP($D318,'Modelling New'!$D:$D,'Modelling New'!$J:$J),"")</f>
        <v>3.9249999999999998</v>
      </c>
      <c r="AD318" s="138">
        <f>IFERROR(_xlfn.XLOOKUP($D318,'Modelling New'!$D:$D,'Modelling New'!$T:$T)*1000,"")</f>
        <v>118578.57831264066</v>
      </c>
      <c r="AE318" s="142"/>
      <c r="AF318" s="142">
        <f>IFERROR(_xlfn.XLOOKUP($D318,'Modelling New'!$D:$D,'Modelling New'!$W:$W),"")</f>
        <v>7.0181450232386741E-2</v>
      </c>
      <c r="AG318" s="142">
        <f>IFERROR(_xlfn.XLOOKUP($D318,'Modelling New'!$D:$D,'Modelling New'!$AE:$AE),"")</f>
        <v>0.96029999999999993</v>
      </c>
      <c r="AH318" s="142">
        <f>IFERROR(_xlfn.XLOOKUP($D318,'Modelling New'!$D:$D,'Modelling New'!$AF:$AF),"")</f>
        <v>0.995</v>
      </c>
      <c r="AI318" s="109" t="str">
        <f>IFERROR(_xlfn.XLOOKUP($A318,Input_Raw!$A:$A,Input_Raw!$DP:$DP),"")</f>
        <v/>
      </c>
      <c r="AJ318" s="108"/>
      <c r="AK318" s="108"/>
      <c r="AL318" s="108"/>
      <c r="AM318" s="108"/>
      <c r="AN318" s="132" t="str">
        <f>IFERROR(_xlfn.XLOOKUP($A318,Input_Raw!$A:$A,Input_Raw!$DL:$DL),"")</f>
        <v/>
      </c>
      <c r="AO318" s="142" t="str">
        <f>IFERROR((_xlfn.XLOOKUP($A318,'WTG Reactive Power'!$A:$A,'WTG Reactive Power'!$AW:$AW))/X318,"")</f>
        <v/>
      </c>
      <c r="AP318" s="142">
        <f>IFERROR(_xlfn.XLOOKUP($D318,'Modelling New'!$D:$D,'Modelling New'!$AK:$AK),"")</f>
        <v>0.05</v>
      </c>
      <c r="AQ318" s="142">
        <f>IFERROR(_xlfn.XLOOKUP($D318,'Modelling New'!$D:$D,'Modelling New'!$AL:$AL),"")</f>
        <v>0.05</v>
      </c>
      <c r="AR318" s="198">
        <f>IFERROR(_xlfn.XLOOKUP($D318,'Modelling New'!$D:$D,'Modelling New'!$N:$N),"")</f>
        <v>70.400000000000006</v>
      </c>
      <c r="AS318" s="198"/>
    </row>
    <row r="319" spans="1:45">
      <c r="A319" s="137">
        <f t="shared" ref="A319:A369" si="37">A318+1</f>
        <v>46062</v>
      </c>
      <c r="B319" s="138">
        <f>YEAR(Daily_KPI[[#This Row],[Date]])+IF(MONTH(Daily_KPI[[#This Row],[Date]])&gt;=4,1,0)</f>
        <v>2026</v>
      </c>
      <c r="C319" s="108">
        <f>YEAR(Daily_KPI[[#This Row],[Date]])</f>
        <v>2026</v>
      </c>
      <c r="D319" s="139">
        <f>Daily_KPI[[#This Row],[Date]]-DAY(Daily_KPI[[#This Row],[Date]])+1</f>
        <v>46054</v>
      </c>
      <c r="E319" s="108">
        <f t="shared" si="33"/>
        <v>28</v>
      </c>
      <c r="F319" s="109"/>
      <c r="G319" s="110"/>
      <c r="H319" s="110"/>
      <c r="I319" s="110"/>
      <c r="J319" s="110"/>
      <c r="K319" s="111"/>
      <c r="L319" s="110"/>
      <c r="M319" s="110" t="str">
        <f>IFERROR(_xlfn.XLOOKUP($A319,Input_Raw!$A:$A,Input_Raw!$CQ:$CQ),"")</f>
        <v/>
      </c>
      <c r="N319" s="110" t="str">
        <f>IFERROR(_xlfn.XLOOKUP($A319,Input_Raw!$A:$A,Input_Raw!$CR:$CR),"")</f>
        <v/>
      </c>
      <c r="O319" s="141" t="str">
        <f t="shared" si="34"/>
        <v/>
      </c>
      <c r="P319" s="141" t="str">
        <f>IFERROR(1-SUMIF(WTG_BD!$F:$F,$A319,WTG_BD!$AA:$AA)/($AA319+SUMIF(WTG_BD!$F:$F,$A319,WTG_BD!$AA:$AA)),"")</f>
        <v/>
      </c>
      <c r="Q319" s="141" t="str">
        <f>IFERROR(1-SUMIF(IGA_BD!$F:$F,$A319,IGA_BD!$W:$W)/($AA319+SUMIF(IGA_BD!$F:$F,$A319,IGA_BD!$W:$W)),"")</f>
        <v/>
      </c>
      <c r="R319" s="141" t="str">
        <f>IFERROR(1-SUMIF(Grid_BD!$F:$F,$A319,Grid_BD!$Y:$Y)/($AA319+SUMIF(Grid_BD!$F:$F,$A319,Grid_BD!$Y:$Y)),"")</f>
        <v/>
      </c>
      <c r="S319" s="108"/>
      <c r="T319" s="140"/>
      <c r="U319" s="141"/>
      <c r="V319" s="108"/>
      <c r="W319" s="142" t="str">
        <f t="shared" si="35"/>
        <v/>
      </c>
      <c r="X319" s="108" t="str">
        <f>IFERROR(_xlfn.XLOOKUP($A319,Input_Raw!$A:$A,Input_Raw!$CP:$CP)*1000,"")</f>
        <v/>
      </c>
      <c r="Y319" s="108" t="str">
        <f>IFERROR(_xlfn.XLOOKUP($A319,Input_Raw!$A:$A,Input_Raw!DJ:DJ)*1000,"")</f>
        <v/>
      </c>
      <c r="Z319" s="108" t="str">
        <f>IFERROR(_xlfn.XLOOKUP($A319,Input_Raw!$A:$A,Input_Raw!DK:DK)*1000,"")</f>
        <v/>
      </c>
      <c r="AA319" s="138" t="str">
        <f t="shared" si="36"/>
        <v/>
      </c>
      <c r="AB319" s="108" t="str">
        <f>IFERROR(_xlfn.XLOOKUP($A319,Input_Raw!$A:$A,Input_Raw!$DR:$DR),"")</f>
        <v/>
      </c>
      <c r="AC319" s="143">
        <f>IFERROR(_xlfn.XLOOKUP($D319,'Modelling New'!$D:$D,'Modelling New'!$J:$J),"")</f>
        <v>3.9249999999999998</v>
      </c>
      <c r="AD319" s="138">
        <f>IFERROR(_xlfn.XLOOKUP($D319,'Modelling New'!$D:$D,'Modelling New'!$T:$T)*1000,"")</f>
        <v>118578.57831264066</v>
      </c>
      <c r="AE319" s="142"/>
      <c r="AF319" s="142">
        <f>IFERROR(_xlfn.XLOOKUP($D319,'Modelling New'!$D:$D,'Modelling New'!$W:$W),"")</f>
        <v>7.0181450232386741E-2</v>
      </c>
      <c r="AG319" s="142">
        <f>IFERROR(_xlfn.XLOOKUP($D319,'Modelling New'!$D:$D,'Modelling New'!$AE:$AE),"")</f>
        <v>0.96029999999999993</v>
      </c>
      <c r="AH319" s="142">
        <f>IFERROR(_xlfn.XLOOKUP($D319,'Modelling New'!$D:$D,'Modelling New'!$AF:$AF),"")</f>
        <v>0.995</v>
      </c>
      <c r="AI319" s="109" t="str">
        <f>IFERROR(_xlfn.XLOOKUP($A319,Input_Raw!$A:$A,Input_Raw!$DP:$DP),"")</f>
        <v/>
      </c>
      <c r="AJ319" s="108"/>
      <c r="AK319" s="108"/>
      <c r="AL319" s="108"/>
      <c r="AM319" s="108"/>
      <c r="AN319" s="132" t="str">
        <f>IFERROR(_xlfn.XLOOKUP($A319,Input_Raw!$A:$A,Input_Raw!$DL:$DL),"")</f>
        <v/>
      </c>
      <c r="AO319" s="142" t="str">
        <f>IFERROR((_xlfn.XLOOKUP($A319,'WTG Reactive Power'!$A:$A,'WTG Reactive Power'!$AW:$AW))/X319,"")</f>
        <v/>
      </c>
      <c r="AP319" s="142">
        <f>IFERROR(_xlfn.XLOOKUP($D319,'Modelling New'!$D:$D,'Modelling New'!$AK:$AK),"")</f>
        <v>0.05</v>
      </c>
      <c r="AQ319" s="142">
        <f>IFERROR(_xlfn.XLOOKUP($D319,'Modelling New'!$D:$D,'Modelling New'!$AL:$AL),"")</f>
        <v>0.05</v>
      </c>
      <c r="AR319" s="198">
        <f>IFERROR(_xlfn.XLOOKUP($D319,'Modelling New'!$D:$D,'Modelling New'!$N:$N),"")</f>
        <v>70.400000000000006</v>
      </c>
      <c r="AS319" s="198"/>
    </row>
    <row r="320" spans="1:45">
      <c r="A320" s="137">
        <f t="shared" si="37"/>
        <v>46063</v>
      </c>
      <c r="B320" s="138">
        <f>YEAR(Daily_KPI[[#This Row],[Date]])+IF(MONTH(Daily_KPI[[#This Row],[Date]])&gt;=4,1,0)</f>
        <v>2026</v>
      </c>
      <c r="C320" s="108">
        <f>YEAR(Daily_KPI[[#This Row],[Date]])</f>
        <v>2026</v>
      </c>
      <c r="D320" s="139">
        <f>Daily_KPI[[#This Row],[Date]]-DAY(Daily_KPI[[#This Row],[Date]])+1</f>
        <v>46054</v>
      </c>
      <c r="E320" s="108">
        <f t="shared" si="33"/>
        <v>28</v>
      </c>
      <c r="F320" s="109"/>
      <c r="G320" s="110"/>
      <c r="H320" s="110"/>
      <c r="I320" s="110"/>
      <c r="J320" s="110"/>
      <c r="K320" s="111"/>
      <c r="L320" s="110"/>
      <c r="M320" s="110" t="str">
        <f>IFERROR(_xlfn.XLOOKUP($A320,Input_Raw!$A:$A,Input_Raw!$CQ:$CQ),"")</f>
        <v/>
      </c>
      <c r="N320" s="110" t="str">
        <f>IFERROR(_xlfn.XLOOKUP($A320,Input_Raw!$A:$A,Input_Raw!$CR:$CR),"")</f>
        <v/>
      </c>
      <c r="O320" s="141" t="str">
        <f t="shared" si="34"/>
        <v/>
      </c>
      <c r="P320" s="141" t="str">
        <f>IFERROR(1-SUMIF(WTG_BD!$F:$F,$A320,WTG_BD!$AA:$AA)/($AA320+SUMIF(WTG_BD!$F:$F,$A320,WTG_BD!$AA:$AA)),"")</f>
        <v/>
      </c>
      <c r="Q320" s="141" t="str">
        <f>IFERROR(1-SUMIF(IGA_BD!$F:$F,$A320,IGA_BD!$W:$W)/($AA320+SUMIF(IGA_BD!$F:$F,$A320,IGA_BD!$W:$W)),"")</f>
        <v/>
      </c>
      <c r="R320" s="141" t="str">
        <f>IFERROR(1-SUMIF(Grid_BD!$F:$F,$A320,Grid_BD!$Y:$Y)/($AA320+SUMIF(Grid_BD!$F:$F,$A320,Grid_BD!$Y:$Y)),"")</f>
        <v/>
      </c>
      <c r="S320" s="108"/>
      <c r="T320" s="140"/>
      <c r="U320" s="141"/>
      <c r="V320" s="108"/>
      <c r="W320" s="142" t="str">
        <f t="shared" si="35"/>
        <v/>
      </c>
      <c r="X320" s="108" t="str">
        <f>IFERROR(_xlfn.XLOOKUP($A320,Input_Raw!$A:$A,Input_Raw!$CP:$CP)*1000,"")</f>
        <v/>
      </c>
      <c r="Y320" s="108" t="str">
        <f>IFERROR(_xlfn.XLOOKUP($A320,Input_Raw!$A:$A,Input_Raw!DJ:DJ)*1000,"")</f>
        <v/>
      </c>
      <c r="Z320" s="108" t="str">
        <f>IFERROR(_xlfn.XLOOKUP($A320,Input_Raw!$A:$A,Input_Raw!DK:DK)*1000,"")</f>
        <v/>
      </c>
      <c r="AA320" s="138" t="str">
        <f t="shared" si="36"/>
        <v/>
      </c>
      <c r="AB320" s="108" t="str">
        <f>IFERROR(_xlfn.XLOOKUP($A320,Input_Raw!$A:$A,Input_Raw!$DR:$DR),"")</f>
        <v/>
      </c>
      <c r="AC320" s="143">
        <f>IFERROR(_xlfn.XLOOKUP($D320,'Modelling New'!$D:$D,'Modelling New'!$J:$J),"")</f>
        <v>3.9249999999999998</v>
      </c>
      <c r="AD320" s="138">
        <f>IFERROR(_xlfn.XLOOKUP($D320,'Modelling New'!$D:$D,'Modelling New'!$T:$T)*1000,"")</f>
        <v>118578.57831264066</v>
      </c>
      <c r="AE320" s="142"/>
      <c r="AF320" s="142">
        <f>IFERROR(_xlfn.XLOOKUP($D320,'Modelling New'!$D:$D,'Modelling New'!$W:$W),"")</f>
        <v>7.0181450232386741E-2</v>
      </c>
      <c r="AG320" s="142">
        <f>IFERROR(_xlfn.XLOOKUP($D320,'Modelling New'!$D:$D,'Modelling New'!$AE:$AE),"")</f>
        <v>0.96029999999999993</v>
      </c>
      <c r="AH320" s="142">
        <f>IFERROR(_xlfn.XLOOKUP($D320,'Modelling New'!$D:$D,'Modelling New'!$AF:$AF),"")</f>
        <v>0.995</v>
      </c>
      <c r="AI320" s="109" t="str">
        <f>IFERROR(_xlfn.XLOOKUP($A320,Input_Raw!$A:$A,Input_Raw!$DP:$DP),"")</f>
        <v/>
      </c>
      <c r="AJ320" s="108"/>
      <c r="AK320" s="108"/>
      <c r="AL320" s="108"/>
      <c r="AM320" s="108"/>
      <c r="AN320" s="132" t="str">
        <f>IFERROR(_xlfn.XLOOKUP($A320,Input_Raw!$A:$A,Input_Raw!$DL:$DL),"")</f>
        <v/>
      </c>
      <c r="AO320" s="142" t="str">
        <f>IFERROR((_xlfn.XLOOKUP($A320,'WTG Reactive Power'!$A:$A,'WTG Reactive Power'!$AW:$AW))/X320,"")</f>
        <v/>
      </c>
      <c r="AP320" s="142">
        <f>IFERROR(_xlfn.XLOOKUP($D320,'Modelling New'!$D:$D,'Modelling New'!$AK:$AK),"")</f>
        <v>0.05</v>
      </c>
      <c r="AQ320" s="142">
        <f>IFERROR(_xlfn.XLOOKUP($D320,'Modelling New'!$D:$D,'Modelling New'!$AL:$AL),"")</f>
        <v>0.05</v>
      </c>
      <c r="AR320" s="198">
        <f>IFERROR(_xlfn.XLOOKUP($D320,'Modelling New'!$D:$D,'Modelling New'!$N:$N),"")</f>
        <v>70.400000000000006</v>
      </c>
      <c r="AS320" s="198"/>
    </row>
    <row r="321" spans="1:45">
      <c r="A321" s="137">
        <f t="shared" si="37"/>
        <v>46064</v>
      </c>
      <c r="B321" s="138">
        <f>YEAR(Daily_KPI[[#This Row],[Date]])+IF(MONTH(Daily_KPI[[#This Row],[Date]])&gt;=4,1,0)</f>
        <v>2026</v>
      </c>
      <c r="C321" s="108">
        <f>YEAR(Daily_KPI[[#This Row],[Date]])</f>
        <v>2026</v>
      </c>
      <c r="D321" s="139">
        <f>Daily_KPI[[#This Row],[Date]]-DAY(Daily_KPI[[#This Row],[Date]])+1</f>
        <v>46054</v>
      </c>
      <c r="E321" s="108">
        <f t="shared" si="33"/>
        <v>28</v>
      </c>
      <c r="F321" s="109"/>
      <c r="G321" s="110"/>
      <c r="H321" s="110"/>
      <c r="I321" s="110"/>
      <c r="J321" s="110"/>
      <c r="K321" s="111"/>
      <c r="L321" s="110"/>
      <c r="M321" s="110" t="str">
        <f>IFERROR(_xlfn.XLOOKUP($A321,Input_Raw!$A:$A,Input_Raw!$CQ:$CQ),"")</f>
        <v/>
      </c>
      <c r="N321" s="110" t="str">
        <f>IFERROR(_xlfn.XLOOKUP($A321,Input_Raw!$A:$A,Input_Raw!$CR:$CR),"")</f>
        <v/>
      </c>
      <c r="O321" s="141" t="str">
        <f t="shared" si="34"/>
        <v/>
      </c>
      <c r="P321" s="141" t="str">
        <f>IFERROR(1-SUMIF(WTG_BD!$F:$F,$A321,WTG_BD!$AA:$AA)/($AA321+SUMIF(WTG_BD!$F:$F,$A321,WTG_BD!$AA:$AA)),"")</f>
        <v/>
      </c>
      <c r="Q321" s="141" t="str">
        <f>IFERROR(1-SUMIF(IGA_BD!$F:$F,$A321,IGA_BD!$W:$W)/($AA321+SUMIF(IGA_BD!$F:$F,$A321,IGA_BD!$W:$W)),"")</f>
        <v/>
      </c>
      <c r="R321" s="141" t="str">
        <f>IFERROR(1-SUMIF(Grid_BD!$F:$F,$A321,Grid_BD!$Y:$Y)/($AA321+SUMIF(Grid_BD!$F:$F,$A321,Grid_BD!$Y:$Y)),"")</f>
        <v/>
      </c>
      <c r="S321" s="108"/>
      <c r="T321" s="140"/>
      <c r="U321" s="141"/>
      <c r="V321" s="108"/>
      <c r="W321" s="142" t="str">
        <f t="shared" si="35"/>
        <v/>
      </c>
      <c r="X321" s="108" t="str">
        <f>IFERROR(_xlfn.XLOOKUP($A321,Input_Raw!$A:$A,Input_Raw!$CP:$CP)*1000,"")</f>
        <v/>
      </c>
      <c r="Y321" s="108" t="str">
        <f>IFERROR(_xlfn.XLOOKUP($A321,Input_Raw!$A:$A,Input_Raw!DJ:DJ)*1000,"")</f>
        <v/>
      </c>
      <c r="Z321" s="108" t="str">
        <f>IFERROR(_xlfn.XLOOKUP($A321,Input_Raw!$A:$A,Input_Raw!DK:DK)*1000,"")</f>
        <v/>
      </c>
      <c r="AA321" s="138" t="str">
        <f t="shared" si="36"/>
        <v/>
      </c>
      <c r="AB321" s="108" t="str">
        <f>IFERROR(_xlfn.XLOOKUP($A321,Input_Raw!$A:$A,Input_Raw!$DR:$DR),"")</f>
        <v/>
      </c>
      <c r="AC321" s="143">
        <f>IFERROR(_xlfn.XLOOKUP($D321,'Modelling New'!$D:$D,'Modelling New'!$J:$J),"")</f>
        <v>3.9249999999999998</v>
      </c>
      <c r="AD321" s="138">
        <f>IFERROR(_xlfn.XLOOKUP($D321,'Modelling New'!$D:$D,'Modelling New'!$T:$T)*1000,"")</f>
        <v>118578.57831264066</v>
      </c>
      <c r="AE321" s="142"/>
      <c r="AF321" s="142">
        <f>IFERROR(_xlfn.XLOOKUP($D321,'Modelling New'!$D:$D,'Modelling New'!$W:$W),"")</f>
        <v>7.0181450232386741E-2</v>
      </c>
      <c r="AG321" s="142">
        <f>IFERROR(_xlfn.XLOOKUP($D321,'Modelling New'!$D:$D,'Modelling New'!$AE:$AE),"")</f>
        <v>0.96029999999999993</v>
      </c>
      <c r="AH321" s="142">
        <f>IFERROR(_xlfn.XLOOKUP($D321,'Modelling New'!$D:$D,'Modelling New'!$AF:$AF),"")</f>
        <v>0.995</v>
      </c>
      <c r="AI321" s="109" t="str">
        <f>IFERROR(_xlfn.XLOOKUP($A321,Input_Raw!$A:$A,Input_Raw!$DP:$DP),"")</f>
        <v/>
      </c>
      <c r="AJ321" s="108"/>
      <c r="AK321" s="108"/>
      <c r="AL321" s="108"/>
      <c r="AM321" s="108"/>
      <c r="AN321" s="132" t="str">
        <f>IFERROR(_xlfn.XLOOKUP($A321,Input_Raw!$A:$A,Input_Raw!$DL:$DL),"")</f>
        <v/>
      </c>
      <c r="AO321" s="142" t="str">
        <f>IFERROR((_xlfn.XLOOKUP($A321,'WTG Reactive Power'!$A:$A,'WTG Reactive Power'!$AW:$AW))/X321,"")</f>
        <v/>
      </c>
      <c r="AP321" s="142">
        <f>IFERROR(_xlfn.XLOOKUP($D321,'Modelling New'!$D:$D,'Modelling New'!$AK:$AK),"")</f>
        <v>0.05</v>
      </c>
      <c r="AQ321" s="142">
        <f>IFERROR(_xlfn.XLOOKUP($D321,'Modelling New'!$D:$D,'Modelling New'!$AL:$AL),"")</f>
        <v>0.05</v>
      </c>
      <c r="AR321" s="198">
        <f>IFERROR(_xlfn.XLOOKUP($D321,'Modelling New'!$D:$D,'Modelling New'!$N:$N),"")</f>
        <v>70.400000000000006</v>
      </c>
      <c r="AS321" s="198"/>
    </row>
    <row r="322" spans="1:45">
      <c r="A322" s="137">
        <f t="shared" si="37"/>
        <v>46065</v>
      </c>
      <c r="B322" s="138">
        <f>YEAR(Daily_KPI[[#This Row],[Date]])+IF(MONTH(Daily_KPI[[#This Row],[Date]])&gt;=4,1,0)</f>
        <v>2026</v>
      </c>
      <c r="C322" s="108">
        <f>YEAR(Daily_KPI[[#This Row],[Date]])</f>
        <v>2026</v>
      </c>
      <c r="D322" s="139">
        <f>Daily_KPI[[#This Row],[Date]]-DAY(Daily_KPI[[#This Row],[Date]])+1</f>
        <v>46054</v>
      </c>
      <c r="E322" s="108">
        <f t="shared" si="33"/>
        <v>28</v>
      </c>
      <c r="F322" s="109"/>
      <c r="G322" s="110"/>
      <c r="H322" s="110"/>
      <c r="I322" s="110"/>
      <c r="J322" s="110"/>
      <c r="K322" s="111"/>
      <c r="L322" s="110"/>
      <c r="M322" s="110" t="str">
        <f>IFERROR(_xlfn.XLOOKUP($A322,Input_Raw!$A:$A,Input_Raw!$CQ:$CQ),"")</f>
        <v/>
      </c>
      <c r="N322" s="110" t="str">
        <f>IFERROR(_xlfn.XLOOKUP($A322,Input_Raw!$A:$A,Input_Raw!$CR:$CR),"")</f>
        <v/>
      </c>
      <c r="O322" s="141" t="str">
        <f t="shared" si="34"/>
        <v/>
      </c>
      <c r="P322" s="141" t="str">
        <f>IFERROR(1-SUMIF(WTG_BD!$F:$F,$A322,WTG_BD!$AA:$AA)/($AA322+SUMIF(WTG_BD!$F:$F,$A322,WTG_BD!$AA:$AA)),"")</f>
        <v/>
      </c>
      <c r="Q322" s="141" t="str">
        <f>IFERROR(1-SUMIF(IGA_BD!$F:$F,$A322,IGA_BD!$W:$W)/($AA322+SUMIF(IGA_BD!$F:$F,$A322,IGA_BD!$W:$W)),"")</f>
        <v/>
      </c>
      <c r="R322" s="141" t="str">
        <f>IFERROR(1-SUMIF(Grid_BD!$F:$F,$A322,Grid_BD!$Y:$Y)/($AA322+SUMIF(Grid_BD!$F:$F,$A322,Grid_BD!$Y:$Y)),"")</f>
        <v/>
      </c>
      <c r="S322" s="108"/>
      <c r="T322" s="140"/>
      <c r="U322" s="141"/>
      <c r="V322" s="108"/>
      <c r="W322" s="142" t="str">
        <f t="shared" si="35"/>
        <v/>
      </c>
      <c r="X322" s="108" t="str">
        <f>IFERROR(_xlfn.XLOOKUP($A322,Input_Raw!$A:$A,Input_Raw!$CP:$CP)*1000,"")</f>
        <v/>
      </c>
      <c r="Y322" s="108" t="str">
        <f>IFERROR(_xlfn.XLOOKUP($A322,Input_Raw!$A:$A,Input_Raw!DJ:DJ)*1000,"")</f>
        <v/>
      </c>
      <c r="Z322" s="108" t="str">
        <f>IFERROR(_xlfn.XLOOKUP($A322,Input_Raw!$A:$A,Input_Raw!DK:DK)*1000,"")</f>
        <v/>
      </c>
      <c r="AA322" s="138" t="str">
        <f t="shared" si="36"/>
        <v/>
      </c>
      <c r="AB322" s="108" t="str">
        <f>IFERROR(_xlfn.XLOOKUP($A322,Input_Raw!$A:$A,Input_Raw!$DR:$DR),"")</f>
        <v/>
      </c>
      <c r="AC322" s="143">
        <f>IFERROR(_xlfn.XLOOKUP($D322,'Modelling New'!$D:$D,'Modelling New'!$J:$J),"")</f>
        <v>3.9249999999999998</v>
      </c>
      <c r="AD322" s="138">
        <f>IFERROR(_xlfn.XLOOKUP($D322,'Modelling New'!$D:$D,'Modelling New'!$T:$T)*1000,"")</f>
        <v>118578.57831264066</v>
      </c>
      <c r="AE322" s="142"/>
      <c r="AF322" s="142">
        <f>IFERROR(_xlfn.XLOOKUP($D322,'Modelling New'!$D:$D,'Modelling New'!$W:$W),"")</f>
        <v>7.0181450232386741E-2</v>
      </c>
      <c r="AG322" s="142">
        <f>IFERROR(_xlfn.XLOOKUP($D322,'Modelling New'!$D:$D,'Modelling New'!$AE:$AE),"")</f>
        <v>0.96029999999999993</v>
      </c>
      <c r="AH322" s="142">
        <f>IFERROR(_xlfn.XLOOKUP($D322,'Modelling New'!$D:$D,'Modelling New'!$AF:$AF),"")</f>
        <v>0.995</v>
      </c>
      <c r="AI322" s="109" t="str">
        <f>IFERROR(_xlfn.XLOOKUP($A322,Input_Raw!$A:$A,Input_Raw!$DP:$DP),"")</f>
        <v/>
      </c>
      <c r="AJ322" s="108"/>
      <c r="AK322" s="108"/>
      <c r="AL322" s="108"/>
      <c r="AM322" s="108"/>
      <c r="AN322" s="132" t="str">
        <f>IFERROR(_xlfn.XLOOKUP($A322,Input_Raw!$A:$A,Input_Raw!$DL:$DL),"")</f>
        <v/>
      </c>
      <c r="AO322" s="142" t="str">
        <f>IFERROR((_xlfn.XLOOKUP($A322,'WTG Reactive Power'!$A:$A,'WTG Reactive Power'!$AW:$AW))/X322,"")</f>
        <v/>
      </c>
      <c r="AP322" s="142">
        <f>IFERROR(_xlfn.XLOOKUP($D322,'Modelling New'!$D:$D,'Modelling New'!$AK:$AK),"")</f>
        <v>0.05</v>
      </c>
      <c r="AQ322" s="142">
        <f>IFERROR(_xlfn.XLOOKUP($D322,'Modelling New'!$D:$D,'Modelling New'!$AL:$AL),"")</f>
        <v>0.05</v>
      </c>
      <c r="AR322" s="198">
        <f>IFERROR(_xlfn.XLOOKUP($D322,'Modelling New'!$D:$D,'Modelling New'!$N:$N),"")</f>
        <v>70.400000000000006</v>
      </c>
      <c r="AS322" s="198"/>
    </row>
    <row r="323" spans="1:45">
      <c r="A323" s="137">
        <f t="shared" si="37"/>
        <v>46066</v>
      </c>
      <c r="B323" s="138">
        <f>YEAR(Daily_KPI[[#This Row],[Date]])+IF(MONTH(Daily_KPI[[#This Row],[Date]])&gt;=4,1,0)</f>
        <v>2026</v>
      </c>
      <c r="C323" s="108">
        <f>YEAR(Daily_KPI[[#This Row],[Date]])</f>
        <v>2026</v>
      </c>
      <c r="D323" s="139">
        <f>Daily_KPI[[#This Row],[Date]]-DAY(Daily_KPI[[#This Row],[Date]])+1</f>
        <v>46054</v>
      </c>
      <c r="E323" s="108">
        <f t="shared" si="33"/>
        <v>28</v>
      </c>
      <c r="F323" s="109"/>
      <c r="G323" s="110"/>
      <c r="H323" s="110"/>
      <c r="I323" s="110"/>
      <c r="J323" s="110"/>
      <c r="K323" s="111"/>
      <c r="L323" s="110"/>
      <c r="M323" s="110" t="str">
        <f>IFERROR(_xlfn.XLOOKUP($A323,Input_Raw!$A:$A,Input_Raw!$CQ:$CQ),"")</f>
        <v/>
      </c>
      <c r="N323" s="110" t="str">
        <f>IFERROR(_xlfn.XLOOKUP($A323,Input_Raw!$A:$A,Input_Raw!$CR:$CR),"")</f>
        <v/>
      </c>
      <c r="O323" s="141" t="str">
        <f t="shared" si="34"/>
        <v/>
      </c>
      <c r="P323" s="141" t="str">
        <f>IFERROR(1-SUMIF(WTG_BD!$F:$F,$A323,WTG_BD!$AA:$AA)/($AA323+SUMIF(WTG_BD!$F:$F,$A323,WTG_BD!$AA:$AA)),"")</f>
        <v/>
      </c>
      <c r="Q323" s="141" t="str">
        <f>IFERROR(1-SUMIF(IGA_BD!$F:$F,$A323,IGA_BD!$W:$W)/($AA323+SUMIF(IGA_BD!$F:$F,$A323,IGA_BD!$W:$W)),"")</f>
        <v/>
      </c>
      <c r="R323" s="141" t="str">
        <f>IFERROR(1-SUMIF(Grid_BD!$F:$F,$A323,Grid_BD!$Y:$Y)/($AA323+SUMIF(Grid_BD!$F:$F,$A323,Grid_BD!$Y:$Y)),"")</f>
        <v/>
      </c>
      <c r="S323" s="108"/>
      <c r="T323" s="140"/>
      <c r="U323" s="141"/>
      <c r="V323" s="108"/>
      <c r="W323" s="142" t="str">
        <f t="shared" si="35"/>
        <v/>
      </c>
      <c r="X323" s="108" t="str">
        <f>IFERROR(_xlfn.XLOOKUP($A323,Input_Raw!$A:$A,Input_Raw!$CP:$CP)*1000,"")</f>
        <v/>
      </c>
      <c r="Y323" s="108" t="str">
        <f>IFERROR(_xlfn.XLOOKUP($A323,Input_Raw!$A:$A,Input_Raw!DJ:DJ)*1000,"")</f>
        <v/>
      </c>
      <c r="Z323" s="108" t="str">
        <f>IFERROR(_xlfn.XLOOKUP($A323,Input_Raw!$A:$A,Input_Raw!DK:DK)*1000,"")</f>
        <v/>
      </c>
      <c r="AA323" s="138" t="str">
        <f t="shared" si="36"/>
        <v/>
      </c>
      <c r="AB323" s="108" t="str">
        <f>IFERROR(_xlfn.XLOOKUP($A323,Input_Raw!$A:$A,Input_Raw!$DR:$DR),"")</f>
        <v/>
      </c>
      <c r="AC323" s="143">
        <f>IFERROR(_xlfn.XLOOKUP($D323,'Modelling New'!$D:$D,'Modelling New'!$J:$J),"")</f>
        <v>3.9249999999999998</v>
      </c>
      <c r="AD323" s="138">
        <f>IFERROR(_xlfn.XLOOKUP($D323,'Modelling New'!$D:$D,'Modelling New'!$T:$T)*1000,"")</f>
        <v>118578.57831264066</v>
      </c>
      <c r="AE323" s="142"/>
      <c r="AF323" s="142">
        <f>IFERROR(_xlfn.XLOOKUP($D323,'Modelling New'!$D:$D,'Modelling New'!$W:$W),"")</f>
        <v>7.0181450232386741E-2</v>
      </c>
      <c r="AG323" s="142">
        <f>IFERROR(_xlfn.XLOOKUP($D323,'Modelling New'!$D:$D,'Modelling New'!$AE:$AE),"")</f>
        <v>0.96029999999999993</v>
      </c>
      <c r="AH323" s="142">
        <f>IFERROR(_xlfn.XLOOKUP($D323,'Modelling New'!$D:$D,'Modelling New'!$AF:$AF),"")</f>
        <v>0.995</v>
      </c>
      <c r="AI323" s="109" t="str">
        <f>IFERROR(_xlfn.XLOOKUP($A323,Input_Raw!$A:$A,Input_Raw!$DP:$DP),"")</f>
        <v/>
      </c>
      <c r="AJ323" s="108"/>
      <c r="AK323" s="108"/>
      <c r="AL323" s="108"/>
      <c r="AM323" s="108"/>
      <c r="AN323" s="132" t="str">
        <f>IFERROR(_xlfn.XLOOKUP($A323,Input_Raw!$A:$A,Input_Raw!$DL:$DL),"")</f>
        <v/>
      </c>
      <c r="AO323" s="142" t="str">
        <f>IFERROR((_xlfn.XLOOKUP($A323,'WTG Reactive Power'!$A:$A,'WTG Reactive Power'!$AW:$AW))/X323,"")</f>
        <v/>
      </c>
      <c r="AP323" s="142">
        <f>IFERROR(_xlfn.XLOOKUP($D323,'Modelling New'!$D:$D,'Modelling New'!$AK:$AK),"")</f>
        <v>0.05</v>
      </c>
      <c r="AQ323" s="142">
        <f>IFERROR(_xlfn.XLOOKUP($D323,'Modelling New'!$D:$D,'Modelling New'!$AL:$AL),"")</f>
        <v>0.05</v>
      </c>
      <c r="AR323" s="198">
        <f>IFERROR(_xlfn.XLOOKUP($D323,'Modelling New'!$D:$D,'Modelling New'!$N:$N),"")</f>
        <v>70.400000000000006</v>
      </c>
      <c r="AS323" s="198"/>
    </row>
    <row r="324" spans="1:45">
      <c r="A324" s="137">
        <f t="shared" si="37"/>
        <v>46067</v>
      </c>
      <c r="B324" s="138">
        <f>YEAR(Daily_KPI[[#This Row],[Date]])+IF(MONTH(Daily_KPI[[#This Row],[Date]])&gt;=4,1,0)</f>
        <v>2026</v>
      </c>
      <c r="C324" s="108">
        <f>YEAR(Daily_KPI[[#This Row],[Date]])</f>
        <v>2026</v>
      </c>
      <c r="D324" s="139">
        <f>Daily_KPI[[#This Row],[Date]]-DAY(Daily_KPI[[#This Row],[Date]])+1</f>
        <v>46054</v>
      </c>
      <c r="E324" s="108">
        <f t="shared" si="33"/>
        <v>28</v>
      </c>
      <c r="F324" s="109"/>
      <c r="G324" s="110"/>
      <c r="H324" s="110"/>
      <c r="I324" s="110"/>
      <c r="J324" s="110"/>
      <c r="K324" s="111"/>
      <c r="L324" s="110"/>
      <c r="M324" s="110" t="str">
        <f>IFERROR(_xlfn.XLOOKUP($A324,Input_Raw!$A:$A,Input_Raw!$CQ:$CQ),"")</f>
        <v/>
      </c>
      <c r="N324" s="110" t="str">
        <f>IFERROR(_xlfn.XLOOKUP($A324,Input_Raw!$A:$A,Input_Raw!$CR:$CR),"")</f>
        <v/>
      </c>
      <c r="O324" s="141" t="str">
        <f t="shared" si="34"/>
        <v/>
      </c>
      <c r="P324" s="141" t="str">
        <f>IFERROR(1-SUMIF(WTG_BD!$F:$F,$A324,WTG_BD!$AA:$AA)/($AA324+SUMIF(WTG_BD!$F:$F,$A324,WTG_BD!$AA:$AA)),"")</f>
        <v/>
      </c>
      <c r="Q324" s="141" t="str">
        <f>IFERROR(1-SUMIF(IGA_BD!$F:$F,$A324,IGA_BD!$W:$W)/($AA324+SUMIF(IGA_BD!$F:$F,$A324,IGA_BD!$W:$W)),"")</f>
        <v/>
      </c>
      <c r="R324" s="141" t="str">
        <f>IFERROR(1-SUMIF(Grid_BD!$F:$F,$A324,Grid_BD!$Y:$Y)/($AA324+SUMIF(Grid_BD!$F:$F,$A324,Grid_BD!$Y:$Y)),"")</f>
        <v/>
      </c>
      <c r="S324" s="108"/>
      <c r="T324" s="140"/>
      <c r="U324" s="141"/>
      <c r="V324" s="108"/>
      <c r="W324" s="142" t="str">
        <f t="shared" si="35"/>
        <v/>
      </c>
      <c r="X324" s="108" t="str">
        <f>IFERROR(_xlfn.XLOOKUP($A324,Input_Raw!$A:$A,Input_Raw!$CP:$CP)*1000,"")</f>
        <v/>
      </c>
      <c r="Y324" s="108" t="str">
        <f>IFERROR(_xlfn.XLOOKUP($A324,Input_Raw!$A:$A,Input_Raw!DJ:DJ)*1000,"")</f>
        <v/>
      </c>
      <c r="Z324" s="108" t="str">
        <f>IFERROR(_xlfn.XLOOKUP($A324,Input_Raw!$A:$A,Input_Raw!DK:DK)*1000,"")</f>
        <v/>
      </c>
      <c r="AA324" s="138" t="str">
        <f t="shared" si="36"/>
        <v/>
      </c>
      <c r="AB324" s="108" t="str">
        <f>IFERROR(_xlfn.XLOOKUP($A324,Input_Raw!$A:$A,Input_Raw!$DR:$DR),"")</f>
        <v/>
      </c>
      <c r="AC324" s="143">
        <f>IFERROR(_xlfn.XLOOKUP($D324,'Modelling New'!$D:$D,'Modelling New'!$J:$J),"")</f>
        <v>3.9249999999999998</v>
      </c>
      <c r="AD324" s="138">
        <f>IFERROR(_xlfn.XLOOKUP($D324,'Modelling New'!$D:$D,'Modelling New'!$T:$T)*1000,"")</f>
        <v>118578.57831264066</v>
      </c>
      <c r="AE324" s="142"/>
      <c r="AF324" s="142">
        <f>IFERROR(_xlfn.XLOOKUP($D324,'Modelling New'!$D:$D,'Modelling New'!$W:$W),"")</f>
        <v>7.0181450232386741E-2</v>
      </c>
      <c r="AG324" s="142">
        <f>IFERROR(_xlfn.XLOOKUP($D324,'Modelling New'!$D:$D,'Modelling New'!$AE:$AE),"")</f>
        <v>0.96029999999999993</v>
      </c>
      <c r="AH324" s="142">
        <f>IFERROR(_xlfn.XLOOKUP($D324,'Modelling New'!$D:$D,'Modelling New'!$AF:$AF),"")</f>
        <v>0.995</v>
      </c>
      <c r="AI324" s="109" t="str">
        <f>IFERROR(_xlfn.XLOOKUP($A324,Input_Raw!$A:$A,Input_Raw!$DP:$DP),"")</f>
        <v/>
      </c>
      <c r="AJ324" s="108"/>
      <c r="AK324" s="108"/>
      <c r="AL324" s="108"/>
      <c r="AM324" s="108"/>
      <c r="AN324" s="132" t="str">
        <f>IFERROR(_xlfn.XLOOKUP($A324,Input_Raw!$A:$A,Input_Raw!$DL:$DL),"")</f>
        <v/>
      </c>
      <c r="AO324" s="142" t="str">
        <f>IFERROR((_xlfn.XLOOKUP($A324,'WTG Reactive Power'!$A:$A,'WTG Reactive Power'!$AW:$AW))/X324,"")</f>
        <v/>
      </c>
      <c r="AP324" s="142">
        <f>IFERROR(_xlfn.XLOOKUP($D324,'Modelling New'!$D:$D,'Modelling New'!$AK:$AK),"")</f>
        <v>0.05</v>
      </c>
      <c r="AQ324" s="142">
        <f>IFERROR(_xlfn.XLOOKUP($D324,'Modelling New'!$D:$D,'Modelling New'!$AL:$AL),"")</f>
        <v>0.05</v>
      </c>
      <c r="AR324" s="198">
        <f>IFERROR(_xlfn.XLOOKUP($D324,'Modelling New'!$D:$D,'Modelling New'!$N:$N),"")</f>
        <v>70.400000000000006</v>
      </c>
      <c r="AS324" s="198"/>
    </row>
    <row r="325" spans="1:45">
      <c r="A325" s="137">
        <f t="shared" si="37"/>
        <v>46068</v>
      </c>
      <c r="B325" s="138">
        <f>YEAR(Daily_KPI[[#This Row],[Date]])+IF(MONTH(Daily_KPI[[#This Row],[Date]])&gt;=4,1,0)</f>
        <v>2026</v>
      </c>
      <c r="C325" s="108">
        <f>YEAR(Daily_KPI[[#This Row],[Date]])</f>
        <v>2026</v>
      </c>
      <c r="D325" s="139">
        <f>Daily_KPI[[#This Row],[Date]]-DAY(Daily_KPI[[#This Row],[Date]])+1</f>
        <v>46054</v>
      </c>
      <c r="E325" s="108">
        <f t="shared" si="33"/>
        <v>28</v>
      </c>
      <c r="F325" s="109"/>
      <c r="G325" s="110"/>
      <c r="H325" s="110"/>
      <c r="I325" s="110"/>
      <c r="J325" s="110"/>
      <c r="K325" s="111"/>
      <c r="L325" s="110"/>
      <c r="M325" s="110" t="str">
        <f>IFERROR(_xlfn.XLOOKUP($A325,Input_Raw!$A:$A,Input_Raw!$CQ:$CQ),"")</f>
        <v/>
      </c>
      <c r="N325" s="110" t="str">
        <f>IFERROR(_xlfn.XLOOKUP($A325,Input_Raw!$A:$A,Input_Raw!$CR:$CR),"")</f>
        <v/>
      </c>
      <c r="O325" s="141" t="str">
        <f t="shared" si="34"/>
        <v/>
      </c>
      <c r="P325" s="141" t="str">
        <f>IFERROR(1-SUMIF(WTG_BD!$F:$F,$A325,WTG_BD!$AA:$AA)/($AA325+SUMIF(WTG_BD!$F:$F,$A325,WTG_BD!$AA:$AA)),"")</f>
        <v/>
      </c>
      <c r="Q325" s="141" t="str">
        <f>IFERROR(1-SUMIF(IGA_BD!$F:$F,$A325,IGA_BD!$W:$W)/($AA325+SUMIF(IGA_BD!$F:$F,$A325,IGA_BD!$W:$W)),"")</f>
        <v/>
      </c>
      <c r="R325" s="141" t="str">
        <f>IFERROR(1-SUMIF(Grid_BD!$F:$F,$A325,Grid_BD!$Y:$Y)/($AA325+SUMIF(Grid_BD!$F:$F,$A325,Grid_BD!$Y:$Y)),"")</f>
        <v/>
      </c>
      <c r="S325" s="108"/>
      <c r="T325" s="140"/>
      <c r="U325" s="141"/>
      <c r="V325" s="108"/>
      <c r="W325" s="142" t="str">
        <f t="shared" si="35"/>
        <v/>
      </c>
      <c r="X325" s="108" t="str">
        <f>IFERROR(_xlfn.XLOOKUP($A325,Input_Raw!$A:$A,Input_Raw!$CP:$CP)*1000,"")</f>
        <v/>
      </c>
      <c r="Y325" s="108" t="str">
        <f>IFERROR(_xlfn.XLOOKUP($A325,Input_Raw!$A:$A,Input_Raw!DJ:DJ)*1000,"")</f>
        <v/>
      </c>
      <c r="Z325" s="108" t="str">
        <f>IFERROR(_xlfn.XLOOKUP($A325,Input_Raw!$A:$A,Input_Raw!DK:DK)*1000,"")</f>
        <v/>
      </c>
      <c r="AA325" s="138" t="str">
        <f t="shared" si="36"/>
        <v/>
      </c>
      <c r="AB325" s="108" t="str">
        <f>IFERROR(_xlfn.XLOOKUP($A325,Input_Raw!$A:$A,Input_Raw!$DR:$DR),"")</f>
        <v/>
      </c>
      <c r="AC325" s="143">
        <f>IFERROR(_xlfn.XLOOKUP($D325,'Modelling New'!$D:$D,'Modelling New'!$J:$J),"")</f>
        <v>3.9249999999999998</v>
      </c>
      <c r="AD325" s="138">
        <f>IFERROR(_xlfn.XLOOKUP($D325,'Modelling New'!$D:$D,'Modelling New'!$T:$T)*1000,"")</f>
        <v>118578.57831264066</v>
      </c>
      <c r="AE325" s="142"/>
      <c r="AF325" s="142">
        <f>IFERROR(_xlfn.XLOOKUP($D325,'Modelling New'!$D:$D,'Modelling New'!$W:$W),"")</f>
        <v>7.0181450232386741E-2</v>
      </c>
      <c r="AG325" s="142">
        <f>IFERROR(_xlfn.XLOOKUP($D325,'Modelling New'!$D:$D,'Modelling New'!$AE:$AE),"")</f>
        <v>0.96029999999999993</v>
      </c>
      <c r="AH325" s="142">
        <f>IFERROR(_xlfn.XLOOKUP($D325,'Modelling New'!$D:$D,'Modelling New'!$AF:$AF),"")</f>
        <v>0.995</v>
      </c>
      <c r="AI325" s="109" t="str">
        <f>IFERROR(_xlfn.XLOOKUP($A325,Input_Raw!$A:$A,Input_Raw!$DP:$DP),"")</f>
        <v/>
      </c>
      <c r="AJ325" s="108"/>
      <c r="AK325" s="108"/>
      <c r="AL325" s="108"/>
      <c r="AM325" s="108"/>
      <c r="AN325" s="132" t="str">
        <f>IFERROR(_xlfn.XLOOKUP($A325,Input_Raw!$A:$A,Input_Raw!$DL:$DL),"")</f>
        <v/>
      </c>
      <c r="AO325" s="142" t="str">
        <f>IFERROR((_xlfn.XLOOKUP($A325,'WTG Reactive Power'!$A:$A,'WTG Reactive Power'!$AW:$AW))/X325,"")</f>
        <v/>
      </c>
      <c r="AP325" s="142">
        <f>IFERROR(_xlfn.XLOOKUP($D325,'Modelling New'!$D:$D,'Modelling New'!$AK:$AK),"")</f>
        <v>0.05</v>
      </c>
      <c r="AQ325" s="142">
        <f>IFERROR(_xlfn.XLOOKUP($D325,'Modelling New'!$D:$D,'Modelling New'!$AL:$AL),"")</f>
        <v>0.05</v>
      </c>
      <c r="AR325" s="198">
        <f>IFERROR(_xlfn.XLOOKUP($D325,'Modelling New'!$D:$D,'Modelling New'!$N:$N),"")</f>
        <v>70.400000000000006</v>
      </c>
      <c r="AS325" s="198"/>
    </row>
    <row r="326" spans="1:45">
      <c r="A326" s="137">
        <f t="shared" si="37"/>
        <v>46069</v>
      </c>
      <c r="B326" s="138">
        <f>YEAR(Daily_KPI[[#This Row],[Date]])+IF(MONTH(Daily_KPI[[#This Row],[Date]])&gt;=4,1,0)</f>
        <v>2026</v>
      </c>
      <c r="C326" s="108">
        <f>YEAR(Daily_KPI[[#This Row],[Date]])</f>
        <v>2026</v>
      </c>
      <c r="D326" s="139">
        <f>Daily_KPI[[#This Row],[Date]]-DAY(Daily_KPI[[#This Row],[Date]])+1</f>
        <v>46054</v>
      </c>
      <c r="E326" s="108">
        <f t="shared" si="33"/>
        <v>28</v>
      </c>
      <c r="F326" s="109"/>
      <c r="G326" s="110"/>
      <c r="H326" s="110"/>
      <c r="I326" s="110"/>
      <c r="J326" s="110"/>
      <c r="K326" s="111"/>
      <c r="L326" s="110"/>
      <c r="M326" s="110" t="str">
        <f>IFERROR(_xlfn.XLOOKUP($A326,Input_Raw!$A:$A,Input_Raw!$CQ:$CQ),"")</f>
        <v/>
      </c>
      <c r="N326" s="110" t="str">
        <f>IFERROR(_xlfn.XLOOKUP($A326,Input_Raw!$A:$A,Input_Raw!$CR:$CR),"")</f>
        <v/>
      </c>
      <c r="O326" s="141" t="str">
        <f t="shared" si="34"/>
        <v/>
      </c>
      <c r="P326" s="141" t="str">
        <f>IFERROR(1-SUMIF(WTG_BD!$F:$F,$A326,WTG_BD!$AA:$AA)/($AA326+SUMIF(WTG_BD!$F:$F,$A326,WTG_BD!$AA:$AA)),"")</f>
        <v/>
      </c>
      <c r="Q326" s="141" t="str">
        <f>IFERROR(1-SUMIF(IGA_BD!$F:$F,$A326,IGA_BD!$W:$W)/($AA326+SUMIF(IGA_BD!$F:$F,$A326,IGA_BD!$W:$W)),"")</f>
        <v/>
      </c>
      <c r="R326" s="141" t="str">
        <f>IFERROR(1-SUMIF(Grid_BD!$F:$F,$A326,Grid_BD!$Y:$Y)/($AA326+SUMIF(Grid_BD!$F:$F,$A326,Grid_BD!$Y:$Y)),"")</f>
        <v/>
      </c>
      <c r="S326" s="108"/>
      <c r="T326" s="140"/>
      <c r="U326" s="141"/>
      <c r="V326" s="108"/>
      <c r="W326" s="142" t="str">
        <f t="shared" si="35"/>
        <v/>
      </c>
      <c r="X326" s="108" t="str">
        <f>IFERROR(_xlfn.XLOOKUP($A326,Input_Raw!$A:$A,Input_Raw!$CP:$CP)*1000,"")</f>
        <v/>
      </c>
      <c r="Y326" s="108" t="str">
        <f>IFERROR(_xlfn.XLOOKUP($A326,Input_Raw!$A:$A,Input_Raw!DJ:DJ)*1000,"")</f>
        <v/>
      </c>
      <c r="Z326" s="108" t="str">
        <f>IFERROR(_xlfn.XLOOKUP($A326,Input_Raw!$A:$A,Input_Raw!DK:DK)*1000,"")</f>
        <v/>
      </c>
      <c r="AA326" s="138" t="str">
        <f t="shared" si="36"/>
        <v/>
      </c>
      <c r="AB326" s="108" t="str">
        <f>IFERROR(_xlfn.XLOOKUP($A326,Input_Raw!$A:$A,Input_Raw!$DR:$DR),"")</f>
        <v/>
      </c>
      <c r="AC326" s="143">
        <f>IFERROR(_xlfn.XLOOKUP($D326,'Modelling New'!$D:$D,'Modelling New'!$J:$J),"")</f>
        <v>3.9249999999999998</v>
      </c>
      <c r="AD326" s="138">
        <f>IFERROR(_xlfn.XLOOKUP($D326,'Modelling New'!$D:$D,'Modelling New'!$T:$T)*1000,"")</f>
        <v>118578.57831264066</v>
      </c>
      <c r="AE326" s="142"/>
      <c r="AF326" s="142">
        <f>IFERROR(_xlfn.XLOOKUP($D326,'Modelling New'!$D:$D,'Modelling New'!$W:$W),"")</f>
        <v>7.0181450232386741E-2</v>
      </c>
      <c r="AG326" s="142">
        <f>IFERROR(_xlfn.XLOOKUP($D326,'Modelling New'!$D:$D,'Modelling New'!$AE:$AE),"")</f>
        <v>0.96029999999999993</v>
      </c>
      <c r="AH326" s="142">
        <f>IFERROR(_xlfn.XLOOKUP($D326,'Modelling New'!$D:$D,'Modelling New'!$AF:$AF),"")</f>
        <v>0.995</v>
      </c>
      <c r="AI326" s="109" t="str">
        <f>IFERROR(_xlfn.XLOOKUP($A326,Input_Raw!$A:$A,Input_Raw!$DP:$DP),"")</f>
        <v/>
      </c>
      <c r="AJ326" s="108"/>
      <c r="AK326" s="108"/>
      <c r="AL326" s="108"/>
      <c r="AM326" s="108"/>
      <c r="AN326" s="132" t="str">
        <f>IFERROR(_xlfn.XLOOKUP($A326,Input_Raw!$A:$A,Input_Raw!$DL:$DL),"")</f>
        <v/>
      </c>
      <c r="AO326" s="142" t="str">
        <f>IFERROR((_xlfn.XLOOKUP($A326,'WTG Reactive Power'!$A:$A,'WTG Reactive Power'!$AW:$AW))/X326,"")</f>
        <v/>
      </c>
      <c r="AP326" s="142">
        <f>IFERROR(_xlfn.XLOOKUP($D326,'Modelling New'!$D:$D,'Modelling New'!$AK:$AK),"")</f>
        <v>0.05</v>
      </c>
      <c r="AQ326" s="142">
        <f>IFERROR(_xlfn.XLOOKUP($D326,'Modelling New'!$D:$D,'Modelling New'!$AL:$AL),"")</f>
        <v>0.05</v>
      </c>
      <c r="AR326" s="198">
        <f>IFERROR(_xlfn.XLOOKUP($D326,'Modelling New'!$D:$D,'Modelling New'!$N:$N),"")</f>
        <v>70.400000000000006</v>
      </c>
      <c r="AS326" s="198"/>
    </row>
    <row r="327" spans="1:45">
      <c r="A327" s="137">
        <f t="shared" si="37"/>
        <v>46070</v>
      </c>
      <c r="B327" s="138">
        <f>YEAR(Daily_KPI[[#This Row],[Date]])+IF(MONTH(Daily_KPI[[#This Row],[Date]])&gt;=4,1,0)</f>
        <v>2026</v>
      </c>
      <c r="C327" s="108">
        <f>YEAR(Daily_KPI[[#This Row],[Date]])</f>
        <v>2026</v>
      </c>
      <c r="D327" s="139">
        <f>Daily_KPI[[#This Row],[Date]]-DAY(Daily_KPI[[#This Row],[Date]])+1</f>
        <v>46054</v>
      </c>
      <c r="E327" s="108">
        <f t="shared" si="33"/>
        <v>28</v>
      </c>
      <c r="F327" s="109"/>
      <c r="G327" s="110"/>
      <c r="H327" s="110"/>
      <c r="I327" s="110"/>
      <c r="J327" s="110"/>
      <c r="K327" s="111"/>
      <c r="L327" s="110"/>
      <c r="M327" s="110" t="str">
        <f>IFERROR(_xlfn.XLOOKUP($A327,Input_Raw!$A:$A,Input_Raw!$CQ:$CQ),"")</f>
        <v/>
      </c>
      <c r="N327" s="110" t="str">
        <f>IFERROR(_xlfn.XLOOKUP($A327,Input_Raw!$A:$A,Input_Raw!$CR:$CR),"")</f>
        <v/>
      </c>
      <c r="O327" s="141" t="str">
        <f t="shared" si="34"/>
        <v/>
      </c>
      <c r="P327" s="141" t="str">
        <f>IFERROR(1-SUMIF(WTG_BD!$F:$F,$A327,WTG_BD!$AA:$AA)/($AA327+SUMIF(WTG_BD!$F:$F,$A327,WTG_BD!$AA:$AA)),"")</f>
        <v/>
      </c>
      <c r="Q327" s="141" t="str">
        <f>IFERROR(1-SUMIF(IGA_BD!$F:$F,$A327,IGA_BD!$W:$W)/($AA327+SUMIF(IGA_BD!$F:$F,$A327,IGA_BD!$W:$W)),"")</f>
        <v/>
      </c>
      <c r="R327" s="141" t="str">
        <f>IFERROR(1-SUMIF(Grid_BD!$F:$F,$A327,Grid_BD!$Y:$Y)/($AA327+SUMIF(Grid_BD!$F:$F,$A327,Grid_BD!$Y:$Y)),"")</f>
        <v/>
      </c>
      <c r="S327" s="108"/>
      <c r="T327" s="140"/>
      <c r="U327" s="141"/>
      <c r="V327" s="108"/>
      <c r="W327" s="142" t="str">
        <f t="shared" si="35"/>
        <v/>
      </c>
      <c r="X327" s="108" t="str">
        <f>IFERROR(_xlfn.XLOOKUP($A327,Input_Raw!$A:$A,Input_Raw!$CP:$CP)*1000,"")</f>
        <v/>
      </c>
      <c r="Y327" s="108" t="str">
        <f>IFERROR(_xlfn.XLOOKUP($A327,Input_Raw!$A:$A,Input_Raw!DJ:DJ)*1000,"")</f>
        <v/>
      </c>
      <c r="Z327" s="108" t="str">
        <f>IFERROR(_xlfn.XLOOKUP($A327,Input_Raw!$A:$A,Input_Raw!DK:DK)*1000,"")</f>
        <v/>
      </c>
      <c r="AA327" s="138" t="str">
        <f t="shared" si="36"/>
        <v/>
      </c>
      <c r="AB327" s="108" t="str">
        <f>IFERROR(_xlfn.XLOOKUP($A327,Input_Raw!$A:$A,Input_Raw!$DR:$DR),"")</f>
        <v/>
      </c>
      <c r="AC327" s="143">
        <f>IFERROR(_xlfn.XLOOKUP($D327,'Modelling New'!$D:$D,'Modelling New'!$J:$J),"")</f>
        <v>3.9249999999999998</v>
      </c>
      <c r="AD327" s="138">
        <f>IFERROR(_xlfn.XLOOKUP($D327,'Modelling New'!$D:$D,'Modelling New'!$T:$T)*1000,"")</f>
        <v>118578.57831264066</v>
      </c>
      <c r="AE327" s="142"/>
      <c r="AF327" s="142">
        <f>IFERROR(_xlfn.XLOOKUP($D327,'Modelling New'!$D:$D,'Modelling New'!$W:$W),"")</f>
        <v>7.0181450232386741E-2</v>
      </c>
      <c r="AG327" s="142">
        <f>IFERROR(_xlfn.XLOOKUP($D327,'Modelling New'!$D:$D,'Modelling New'!$AE:$AE),"")</f>
        <v>0.96029999999999993</v>
      </c>
      <c r="AH327" s="142">
        <f>IFERROR(_xlfn.XLOOKUP($D327,'Modelling New'!$D:$D,'Modelling New'!$AF:$AF),"")</f>
        <v>0.995</v>
      </c>
      <c r="AI327" s="109" t="str">
        <f>IFERROR(_xlfn.XLOOKUP($A327,Input_Raw!$A:$A,Input_Raw!$DP:$DP),"")</f>
        <v/>
      </c>
      <c r="AJ327" s="108"/>
      <c r="AK327" s="108"/>
      <c r="AL327" s="108"/>
      <c r="AM327" s="108"/>
      <c r="AN327" s="132" t="str">
        <f>IFERROR(_xlfn.XLOOKUP($A327,Input_Raw!$A:$A,Input_Raw!$DL:$DL),"")</f>
        <v/>
      </c>
      <c r="AO327" s="142" t="str">
        <f>IFERROR((_xlfn.XLOOKUP($A327,'WTG Reactive Power'!$A:$A,'WTG Reactive Power'!$AW:$AW))/X327,"")</f>
        <v/>
      </c>
      <c r="AP327" s="142">
        <f>IFERROR(_xlfn.XLOOKUP($D327,'Modelling New'!$D:$D,'Modelling New'!$AK:$AK),"")</f>
        <v>0.05</v>
      </c>
      <c r="AQ327" s="142">
        <f>IFERROR(_xlfn.XLOOKUP($D327,'Modelling New'!$D:$D,'Modelling New'!$AL:$AL),"")</f>
        <v>0.05</v>
      </c>
      <c r="AR327" s="198">
        <f>IFERROR(_xlfn.XLOOKUP($D327,'Modelling New'!$D:$D,'Modelling New'!$N:$N),"")</f>
        <v>70.400000000000006</v>
      </c>
      <c r="AS327" s="198"/>
    </row>
    <row r="328" spans="1:45">
      <c r="A328" s="137">
        <f t="shared" si="37"/>
        <v>46071</v>
      </c>
      <c r="B328" s="138">
        <f>YEAR(Daily_KPI[[#This Row],[Date]])+IF(MONTH(Daily_KPI[[#This Row],[Date]])&gt;=4,1,0)</f>
        <v>2026</v>
      </c>
      <c r="C328" s="108">
        <f>YEAR(Daily_KPI[[#This Row],[Date]])</f>
        <v>2026</v>
      </c>
      <c r="D328" s="139">
        <f>Daily_KPI[[#This Row],[Date]]-DAY(Daily_KPI[[#This Row],[Date]])+1</f>
        <v>46054</v>
      </c>
      <c r="E328" s="108">
        <f t="shared" si="33"/>
        <v>28</v>
      </c>
      <c r="F328" s="109"/>
      <c r="G328" s="110"/>
      <c r="H328" s="110"/>
      <c r="I328" s="110"/>
      <c r="J328" s="110"/>
      <c r="K328" s="111"/>
      <c r="L328" s="110"/>
      <c r="M328" s="110" t="str">
        <f>IFERROR(_xlfn.XLOOKUP($A328,Input_Raw!$A:$A,Input_Raw!$CQ:$CQ),"")</f>
        <v/>
      </c>
      <c r="N328" s="110" t="str">
        <f>IFERROR(_xlfn.XLOOKUP($A328,Input_Raw!$A:$A,Input_Raw!$CR:$CR),"")</f>
        <v/>
      </c>
      <c r="O328" s="141" t="str">
        <f t="shared" si="34"/>
        <v/>
      </c>
      <c r="P328" s="141" t="str">
        <f>IFERROR(1-SUMIF(WTG_BD!$F:$F,$A328,WTG_BD!$AA:$AA)/($AA328+SUMIF(WTG_BD!$F:$F,$A328,WTG_BD!$AA:$AA)),"")</f>
        <v/>
      </c>
      <c r="Q328" s="141" t="str">
        <f>IFERROR(1-SUMIF(IGA_BD!$F:$F,$A328,IGA_BD!$W:$W)/($AA328+SUMIF(IGA_BD!$F:$F,$A328,IGA_BD!$W:$W)),"")</f>
        <v/>
      </c>
      <c r="R328" s="141" t="str">
        <f>IFERROR(1-SUMIF(Grid_BD!$F:$F,$A328,Grid_BD!$Y:$Y)/($AA328+SUMIF(Grid_BD!$F:$F,$A328,Grid_BD!$Y:$Y)),"")</f>
        <v/>
      </c>
      <c r="S328" s="108"/>
      <c r="T328" s="140"/>
      <c r="U328" s="141"/>
      <c r="V328" s="108"/>
      <c r="W328" s="142" t="str">
        <f t="shared" si="35"/>
        <v/>
      </c>
      <c r="X328" s="108" t="str">
        <f>IFERROR(_xlfn.XLOOKUP($A328,Input_Raw!$A:$A,Input_Raw!$CP:$CP)*1000,"")</f>
        <v/>
      </c>
      <c r="Y328" s="108" t="str">
        <f>IFERROR(_xlfn.XLOOKUP($A328,Input_Raw!$A:$A,Input_Raw!DJ:DJ)*1000,"")</f>
        <v/>
      </c>
      <c r="Z328" s="108" t="str">
        <f>IFERROR(_xlfn.XLOOKUP($A328,Input_Raw!$A:$A,Input_Raw!DK:DK)*1000,"")</f>
        <v/>
      </c>
      <c r="AA328" s="138" t="str">
        <f t="shared" si="36"/>
        <v/>
      </c>
      <c r="AB328" s="108" t="str">
        <f>IFERROR(_xlfn.XLOOKUP($A328,Input_Raw!$A:$A,Input_Raw!$DR:$DR),"")</f>
        <v/>
      </c>
      <c r="AC328" s="143">
        <f>IFERROR(_xlfn.XLOOKUP($D328,'Modelling New'!$D:$D,'Modelling New'!$J:$J),"")</f>
        <v>3.9249999999999998</v>
      </c>
      <c r="AD328" s="138">
        <f>IFERROR(_xlfn.XLOOKUP($D328,'Modelling New'!$D:$D,'Modelling New'!$T:$T)*1000,"")</f>
        <v>118578.57831264066</v>
      </c>
      <c r="AE328" s="142"/>
      <c r="AF328" s="142">
        <f>IFERROR(_xlfn.XLOOKUP($D328,'Modelling New'!$D:$D,'Modelling New'!$W:$W),"")</f>
        <v>7.0181450232386741E-2</v>
      </c>
      <c r="AG328" s="142">
        <f>IFERROR(_xlfn.XLOOKUP($D328,'Modelling New'!$D:$D,'Modelling New'!$AE:$AE),"")</f>
        <v>0.96029999999999993</v>
      </c>
      <c r="AH328" s="142">
        <f>IFERROR(_xlfn.XLOOKUP($D328,'Modelling New'!$D:$D,'Modelling New'!$AF:$AF),"")</f>
        <v>0.995</v>
      </c>
      <c r="AI328" s="109" t="str">
        <f>IFERROR(_xlfn.XLOOKUP($A328,Input_Raw!$A:$A,Input_Raw!$DP:$DP),"")</f>
        <v/>
      </c>
      <c r="AJ328" s="108"/>
      <c r="AK328" s="108"/>
      <c r="AL328" s="108"/>
      <c r="AM328" s="108"/>
      <c r="AN328" s="132" t="str">
        <f>IFERROR(_xlfn.XLOOKUP($A328,Input_Raw!$A:$A,Input_Raw!$DL:$DL),"")</f>
        <v/>
      </c>
      <c r="AO328" s="142" t="str">
        <f>IFERROR((_xlfn.XLOOKUP($A328,'WTG Reactive Power'!$A:$A,'WTG Reactive Power'!$AW:$AW))/X328,"")</f>
        <v/>
      </c>
      <c r="AP328" s="142">
        <f>IFERROR(_xlfn.XLOOKUP($D328,'Modelling New'!$D:$D,'Modelling New'!$AK:$AK),"")</f>
        <v>0.05</v>
      </c>
      <c r="AQ328" s="142">
        <f>IFERROR(_xlfn.XLOOKUP($D328,'Modelling New'!$D:$D,'Modelling New'!$AL:$AL),"")</f>
        <v>0.05</v>
      </c>
      <c r="AR328" s="198">
        <f>IFERROR(_xlfn.XLOOKUP($D328,'Modelling New'!$D:$D,'Modelling New'!$N:$N),"")</f>
        <v>70.400000000000006</v>
      </c>
      <c r="AS328" s="198"/>
    </row>
    <row r="329" spans="1:45">
      <c r="A329" s="137">
        <f t="shared" si="37"/>
        <v>46072</v>
      </c>
      <c r="B329" s="138">
        <f>YEAR(Daily_KPI[[#This Row],[Date]])+IF(MONTH(Daily_KPI[[#This Row],[Date]])&gt;=4,1,0)</f>
        <v>2026</v>
      </c>
      <c r="C329" s="108">
        <f>YEAR(Daily_KPI[[#This Row],[Date]])</f>
        <v>2026</v>
      </c>
      <c r="D329" s="139">
        <f>Daily_KPI[[#This Row],[Date]]-DAY(Daily_KPI[[#This Row],[Date]])+1</f>
        <v>46054</v>
      </c>
      <c r="E329" s="108">
        <f t="shared" si="33"/>
        <v>28</v>
      </c>
      <c r="F329" s="109"/>
      <c r="G329" s="110"/>
      <c r="H329" s="110"/>
      <c r="I329" s="110"/>
      <c r="J329" s="110"/>
      <c r="K329" s="111"/>
      <c r="L329" s="110"/>
      <c r="M329" s="110" t="str">
        <f>IFERROR(_xlfn.XLOOKUP($A329,Input_Raw!$A:$A,Input_Raw!$CQ:$CQ),"")</f>
        <v/>
      </c>
      <c r="N329" s="110" t="str">
        <f>IFERROR(_xlfn.XLOOKUP($A329,Input_Raw!$A:$A,Input_Raw!$CR:$CR),"")</f>
        <v/>
      </c>
      <c r="O329" s="141" t="str">
        <f t="shared" si="34"/>
        <v/>
      </c>
      <c r="P329" s="141" t="str">
        <f>IFERROR(1-SUMIF(WTG_BD!$F:$F,$A329,WTG_BD!$AA:$AA)/($AA329+SUMIF(WTG_BD!$F:$F,$A329,WTG_BD!$AA:$AA)),"")</f>
        <v/>
      </c>
      <c r="Q329" s="141" t="str">
        <f>IFERROR(1-SUMIF(IGA_BD!$F:$F,$A329,IGA_BD!$W:$W)/($AA329+SUMIF(IGA_BD!$F:$F,$A329,IGA_BD!$W:$W)),"")</f>
        <v/>
      </c>
      <c r="R329" s="141" t="str">
        <f>IFERROR(1-SUMIF(Grid_BD!$F:$F,$A329,Grid_BD!$Y:$Y)/($AA329+SUMIF(Grid_BD!$F:$F,$A329,Grid_BD!$Y:$Y)),"")</f>
        <v/>
      </c>
      <c r="S329" s="108"/>
      <c r="T329" s="140"/>
      <c r="U329" s="141"/>
      <c r="V329" s="108"/>
      <c r="W329" s="142" t="str">
        <f t="shared" si="35"/>
        <v/>
      </c>
      <c r="X329" s="108" t="str">
        <f>IFERROR(_xlfn.XLOOKUP($A329,Input_Raw!$A:$A,Input_Raw!$CP:$CP)*1000,"")</f>
        <v/>
      </c>
      <c r="Y329" s="108" t="str">
        <f>IFERROR(_xlfn.XLOOKUP($A329,Input_Raw!$A:$A,Input_Raw!DJ:DJ)*1000,"")</f>
        <v/>
      </c>
      <c r="Z329" s="108" t="str">
        <f>IFERROR(_xlfn.XLOOKUP($A329,Input_Raw!$A:$A,Input_Raw!DK:DK)*1000,"")</f>
        <v/>
      </c>
      <c r="AA329" s="138" t="str">
        <f t="shared" si="36"/>
        <v/>
      </c>
      <c r="AB329" s="108" t="str">
        <f>IFERROR(_xlfn.XLOOKUP($A329,Input_Raw!$A:$A,Input_Raw!$DR:$DR),"")</f>
        <v/>
      </c>
      <c r="AC329" s="143">
        <f>IFERROR(_xlfn.XLOOKUP($D329,'Modelling New'!$D:$D,'Modelling New'!$J:$J),"")</f>
        <v>3.9249999999999998</v>
      </c>
      <c r="AD329" s="138">
        <f>IFERROR(_xlfn.XLOOKUP($D329,'Modelling New'!$D:$D,'Modelling New'!$T:$T)*1000,"")</f>
        <v>118578.57831264066</v>
      </c>
      <c r="AE329" s="142"/>
      <c r="AF329" s="142">
        <f>IFERROR(_xlfn.XLOOKUP($D329,'Modelling New'!$D:$D,'Modelling New'!$W:$W),"")</f>
        <v>7.0181450232386741E-2</v>
      </c>
      <c r="AG329" s="142">
        <f>IFERROR(_xlfn.XLOOKUP($D329,'Modelling New'!$D:$D,'Modelling New'!$AE:$AE),"")</f>
        <v>0.96029999999999993</v>
      </c>
      <c r="AH329" s="142">
        <f>IFERROR(_xlfn.XLOOKUP($D329,'Modelling New'!$D:$D,'Modelling New'!$AF:$AF),"")</f>
        <v>0.995</v>
      </c>
      <c r="AI329" s="109" t="str">
        <f>IFERROR(_xlfn.XLOOKUP($A329,Input_Raw!$A:$A,Input_Raw!$DP:$DP),"")</f>
        <v/>
      </c>
      <c r="AJ329" s="108"/>
      <c r="AK329" s="108"/>
      <c r="AL329" s="108"/>
      <c r="AM329" s="108"/>
      <c r="AN329" s="132" t="str">
        <f>IFERROR(_xlfn.XLOOKUP($A329,Input_Raw!$A:$A,Input_Raw!$DL:$DL),"")</f>
        <v/>
      </c>
      <c r="AO329" s="142" t="str">
        <f>IFERROR((_xlfn.XLOOKUP($A329,'WTG Reactive Power'!$A:$A,'WTG Reactive Power'!$AW:$AW))/X329,"")</f>
        <v/>
      </c>
      <c r="AP329" s="142">
        <f>IFERROR(_xlfn.XLOOKUP($D329,'Modelling New'!$D:$D,'Modelling New'!$AK:$AK),"")</f>
        <v>0.05</v>
      </c>
      <c r="AQ329" s="142">
        <f>IFERROR(_xlfn.XLOOKUP($D329,'Modelling New'!$D:$D,'Modelling New'!$AL:$AL),"")</f>
        <v>0.05</v>
      </c>
      <c r="AR329" s="198">
        <f>IFERROR(_xlfn.XLOOKUP($D329,'Modelling New'!$D:$D,'Modelling New'!$N:$N),"")</f>
        <v>70.400000000000006</v>
      </c>
      <c r="AS329" s="198"/>
    </row>
    <row r="330" spans="1:45">
      <c r="A330" s="137">
        <f t="shared" si="37"/>
        <v>46073</v>
      </c>
      <c r="B330" s="138">
        <f>YEAR(Daily_KPI[[#This Row],[Date]])+IF(MONTH(Daily_KPI[[#This Row],[Date]])&gt;=4,1,0)</f>
        <v>2026</v>
      </c>
      <c r="C330" s="108">
        <f>YEAR(Daily_KPI[[#This Row],[Date]])</f>
        <v>2026</v>
      </c>
      <c r="D330" s="139">
        <f>Daily_KPI[[#This Row],[Date]]-DAY(Daily_KPI[[#This Row],[Date]])+1</f>
        <v>46054</v>
      </c>
      <c r="E330" s="108">
        <f t="shared" si="33"/>
        <v>28</v>
      </c>
      <c r="F330" s="109"/>
      <c r="G330" s="110"/>
      <c r="H330" s="110"/>
      <c r="I330" s="110"/>
      <c r="J330" s="110"/>
      <c r="K330" s="111"/>
      <c r="L330" s="110"/>
      <c r="M330" s="110" t="str">
        <f>IFERROR(_xlfn.XLOOKUP($A330,Input_Raw!$A:$A,Input_Raw!$CQ:$CQ),"")</f>
        <v/>
      </c>
      <c r="N330" s="110" t="str">
        <f>IFERROR(_xlfn.XLOOKUP($A330,Input_Raw!$A:$A,Input_Raw!$CR:$CR),"")</f>
        <v/>
      </c>
      <c r="O330" s="141" t="str">
        <f t="shared" si="34"/>
        <v/>
      </c>
      <c r="P330" s="141" t="str">
        <f>IFERROR(1-SUMIF(WTG_BD!$F:$F,$A330,WTG_BD!$AA:$AA)/($AA330+SUMIF(WTG_BD!$F:$F,$A330,WTG_BD!$AA:$AA)),"")</f>
        <v/>
      </c>
      <c r="Q330" s="141" t="str">
        <f>IFERROR(1-SUMIF(IGA_BD!$F:$F,$A330,IGA_BD!$W:$W)/($AA330+SUMIF(IGA_BD!$F:$F,$A330,IGA_BD!$W:$W)),"")</f>
        <v/>
      </c>
      <c r="R330" s="141" t="str">
        <f>IFERROR(1-SUMIF(Grid_BD!$F:$F,$A330,Grid_BD!$Y:$Y)/($AA330+SUMIF(Grid_BD!$F:$F,$A330,Grid_BD!$Y:$Y)),"")</f>
        <v/>
      </c>
      <c r="S330" s="108"/>
      <c r="T330" s="140"/>
      <c r="U330" s="141"/>
      <c r="V330" s="108"/>
      <c r="W330" s="142" t="str">
        <f t="shared" si="35"/>
        <v/>
      </c>
      <c r="X330" s="108" t="str">
        <f>IFERROR(_xlfn.XLOOKUP($A330,Input_Raw!$A:$A,Input_Raw!$CP:$CP)*1000,"")</f>
        <v/>
      </c>
      <c r="Y330" s="108" t="str">
        <f>IFERROR(_xlfn.XLOOKUP($A330,Input_Raw!$A:$A,Input_Raw!DJ:DJ)*1000,"")</f>
        <v/>
      </c>
      <c r="Z330" s="108" t="str">
        <f>IFERROR(_xlfn.XLOOKUP($A330,Input_Raw!$A:$A,Input_Raw!DK:DK)*1000,"")</f>
        <v/>
      </c>
      <c r="AA330" s="138" t="str">
        <f t="shared" si="36"/>
        <v/>
      </c>
      <c r="AB330" s="108" t="str">
        <f>IFERROR(_xlfn.XLOOKUP($A330,Input_Raw!$A:$A,Input_Raw!$DR:$DR),"")</f>
        <v/>
      </c>
      <c r="AC330" s="143">
        <f>IFERROR(_xlfn.XLOOKUP($D330,'Modelling New'!$D:$D,'Modelling New'!$J:$J),"")</f>
        <v>3.9249999999999998</v>
      </c>
      <c r="AD330" s="138">
        <f>IFERROR(_xlfn.XLOOKUP($D330,'Modelling New'!$D:$D,'Modelling New'!$T:$T)*1000,"")</f>
        <v>118578.57831264066</v>
      </c>
      <c r="AE330" s="142"/>
      <c r="AF330" s="142">
        <f>IFERROR(_xlfn.XLOOKUP($D330,'Modelling New'!$D:$D,'Modelling New'!$W:$W),"")</f>
        <v>7.0181450232386741E-2</v>
      </c>
      <c r="AG330" s="142">
        <f>IFERROR(_xlfn.XLOOKUP($D330,'Modelling New'!$D:$D,'Modelling New'!$AE:$AE),"")</f>
        <v>0.96029999999999993</v>
      </c>
      <c r="AH330" s="142">
        <f>IFERROR(_xlfn.XLOOKUP($D330,'Modelling New'!$D:$D,'Modelling New'!$AF:$AF),"")</f>
        <v>0.995</v>
      </c>
      <c r="AI330" s="109" t="str">
        <f>IFERROR(_xlfn.XLOOKUP($A330,Input_Raw!$A:$A,Input_Raw!$DP:$DP),"")</f>
        <v/>
      </c>
      <c r="AJ330" s="108"/>
      <c r="AK330" s="108"/>
      <c r="AL330" s="108"/>
      <c r="AM330" s="108"/>
      <c r="AN330" s="132" t="str">
        <f>IFERROR(_xlfn.XLOOKUP($A330,Input_Raw!$A:$A,Input_Raw!$DL:$DL),"")</f>
        <v/>
      </c>
      <c r="AO330" s="142" t="str">
        <f>IFERROR((_xlfn.XLOOKUP($A330,'WTG Reactive Power'!$A:$A,'WTG Reactive Power'!$AW:$AW))/X330,"")</f>
        <v/>
      </c>
      <c r="AP330" s="142">
        <f>IFERROR(_xlfn.XLOOKUP($D330,'Modelling New'!$D:$D,'Modelling New'!$AK:$AK),"")</f>
        <v>0.05</v>
      </c>
      <c r="AQ330" s="142">
        <f>IFERROR(_xlfn.XLOOKUP($D330,'Modelling New'!$D:$D,'Modelling New'!$AL:$AL),"")</f>
        <v>0.05</v>
      </c>
      <c r="AR330" s="198">
        <f>IFERROR(_xlfn.XLOOKUP($D330,'Modelling New'!$D:$D,'Modelling New'!$N:$N),"")</f>
        <v>70.400000000000006</v>
      </c>
      <c r="AS330" s="198"/>
    </row>
    <row r="331" spans="1:45">
      <c r="A331" s="137">
        <f t="shared" si="37"/>
        <v>46074</v>
      </c>
      <c r="B331" s="138">
        <f>YEAR(Daily_KPI[[#This Row],[Date]])+IF(MONTH(Daily_KPI[[#This Row],[Date]])&gt;=4,1,0)</f>
        <v>2026</v>
      </c>
      <c r="C331" s="108">
        <f>YEAR(Daily_KPI[[#This Row],[Date]])</f>
        <v>2026</v>
      </c>
      <c r="D331" s="139">
        <f>Daily_KPI[[#This Row],[Date]]-DAY(Daily_KPI[[#This Row],[Date]])+1</f>
        <v>46054</v>
      </c>
      <c r="E331" s="108">
        <f t="shared" si="33"/>
        <v>28</v>
      </c>
      <c r="F331" s="109"/>
      <c r="G331" s="110"/>
      <c r="H331" s="110"/>
      <c r="I331" s="110"/>
      <c r="J331" s="110"/>
      <c r="K331" s="111"/>
      <c r="L331" s="110"/>
      <c r="M331" s="110" t="str">
        <f>IFERROR(_xlfn.XLOOKUP($A331,Input_Raw!$A:$A,Input_Raw!$CQ:$CQ),"")</f>
        <v/>
      </c>
      <c r="N331" s="110" t="str">
        <f>IFERROR(_xlfn.XLOOKUP($A331,Input_Raw!$A:$A,Input_Raw!$CR:$CR),"")</f>
        <v/>
      </c>
      <c r="O331" s="141" t="str">
        <f t="shared" si="34"/>
        <v/>
      </c>
      <c r="P331" s="141" t="str">
        <f>IFERROR(1-SUMIF(WTG_BD!$F:$F,$A331,WTG_BD!$AA:$AA)/($AA331+SUMIF(WTG_BD!$F:$F,$A331,WTG_BD!$AA:$AA)),"")</f>
        <v/>
      </c>
      <c r="Q331" s="141" t="str">
        <f>IFERROR(1-SUMIF(IGA_BD!$F:$F,$A331,IGA_BD!$W:$W)/($AA331+SUMIF(IGA_BD!$F:$F,$A331,IGA_BD!$W:$W)),"")</f>
        <v/>
      </c>
      <c r="R331" s="141" t="str">
        <f>IFERROR(1-SUMIF(Grid_BD!$F:$F,$A331,Grid_BD!$Y:$Y)/($AA331+SUMIF(Grid_BD!$F:$F,$A331,Grid_BD!$Y:$Y)),"")</f>
        <v/>
      </c>
      <c r="S331" s="108"/>
      <c r="T331" s="140"/>
      <c r="U331" s="141"/>
      <c r="V331" s="108"/>
      <c r="W331" s="142" t="str">
        <f t="shared" si="35"/>
        <v/>
      </c>
      <c r="X331" s="108" t="str">
        <f>IFERROR(_xlfn.XLOOKUP($A331,Input_Raw!$A:$A,Input_Raw!$CP:$CP)*1000,"")</f>
        <v/>
      </c>
      <c r="Y331" s="108" t="str">
        <f>IFERROR(_xlfn.XLOOKUP($A331,Input_Raw!$A:$A,Input_Raw!DJ:DJ)*1000,"")</f>
        <v/>
      </c>
      <c r="Z331" s="108" t="str">
        <f>IFERROR(_xlfn.XLOOKUP($A331,Input_Raw!$A:$A,Input_Raw!DK:DK)*1000,"")</f>
        <v/>
      </c>
      <c r="AA331" s="138" t="str">
        <f t="shared" si="36"/>
        <v/>
      </c>
      <c r="AB331" s="108" t="str">
        <f>IFERROR(_xlfn.XLOOKUP($A331,Input_Raw!$A:$A,Input_Raw!$DR:$DR),"")</f>
        <v/>
      </c>
      <c r="AC331" s="143">
        <f>IFERROR(_xlfn.XLOOKUP($D331,'Modelling New'!$D:$D,'Modelling New'!$J:$J),"")</f>
        <v>3.9249999999999998</v>
      </c>
      <c r="AD331" s="138">
        <f>IFERROR(_xlfn.XLOOKUP($D331,'Modelling New'!$D:$D,'Modelling New'!$T:$T)*1000,"")</f>
        <v>118578.57831264066</v>
      </c>
      <c r="AE331" s="142"/>
      <c r="AF331" s="142">
        <f>IFERROR(_xlfn.XLOOKUP($D331,'Modelling New'!$D:$D,'Modelling New'!$W:$W),"")</f>
        <v>7.0181450232386741E-2</v>
      </c>
      <c r="AG331" s="142">
        <f>IFERROR(_xlfn.XLOOKUP($D331,'Modelling New'!$D:$D,'Modelling New'!$AE:$AE),"")</f>
        <v>0.96029999999999993</v>
      </c>
      <c r="AH331" s="142">
        <f>IFERROR(_xlfn.XLOOKUP($D331,'Modelling New'!$D:$D,'Modelling New'!$AF:$AF),"")</f>
        <v>0.995</v>
      </c>
      <c r="AI331" s="109" t="str">
        <f>IFERROR(_xlfn.XLOOKUP($A331,Input_Raw!$A:$A,Input_Raw!$DP:$DP),"")</f>
        <v/>
      </c>
      <c r="AJ331" s="108"/>
      <c r="AK331" s="108"/>
      <c r="AL331" s="108"/>
      <c r="AM331" s="108"/>
      <c r="AN331" s="132" t="str">
        <f>IFERROR(_xlfn.XLOOKUP($A331,Input_Raw!$A:$A,Input_Raw!$DL:$DL),"")</f>
        <v/>
      </c>
      <c r="AO331" s="142" t="str">
        <f>IFERROR((_xlfn.XLOOKUP($A331,'WTG Reactive Power'!$A:$A,'WTG Reactive Power'!$AW:$AW))/X331,"")</f>
        <v/>
      </c>
      <c r="AP331" s="142">
        <f>IFERROR(_xlfn.XLOOKUP($D331,'Modelling New'!$D:$D,'Modelling New'!$AK:$AK),"")</f>
        <v>0.05</v>
      </c>
      <c r="AQ331" s="142">
        <f>IFERROR(_xlfn.XLOOKUP($D331,'Modelling New'!$D:$D,'Modelling New'!$AL:$AL),"")</f>
        <v>0.05</v>
      </c>
      <c r="AR331" s="198">
        <f>IFERROR(_xlfn.XLOOKUP($D331,'Modelling New'!$D:$D,'Modelling New'!$N:$N),"")</f>
        <v>70.400000000000006</v>
      </c>
      <c r="AS331" s="198"/>
    </row>
    <row r="332" spans="1:45">
      <c r="A332" s="137">
        <f t="shared" si="37"/>
        <v>46075</v>
      </c>
      <c r="B332" s="138">
        <f>YEAR(Daily_KPI[[#This Row],[Date]])+IF(MONTH(Daily_KPI[[#This Row],[Date]])&gt;=4,1,0)</f>
        <v>2026</v>
      </c>
      <c r="C332" s="108">
        <f>YEAR(Daily_KPI[[#This Row],[Date]])</f>
        <v>2026</v>
      </c>
      <c r="D332" s="139">
        <f>Daily_KPI[[#This Row],[Date]]-DAY(Daily_KPI[[#This Row],[Date]])+1</f>
        <v>46054</v>
      </c>
      <c r="E332" s="108">
        <f t="shared" si="33"/>
        <v>28</v>
      </c>
      <c r="F332" s="109"/>
      <c r="G332" s="110"/>
      <c r="H332" s="110"/>
      <c r="I332" s="110"/>
      <c r="J332" s="110"/>
      <c r="K332" s="111"/>
      <c r="L332" s="110"/>
      <c r="M332" s="110" t="str">
        <f>IFERROR(_xlfn.XLOOKUP($A332,Input_Raw!$A:$A,Input_Raw!$CQ:$CQ),"")</f>
        <v/>
      </c>
      <c r="N332" s="110" t="str">
        <f>IFERROR(_xlfn.XLOOKUP($A332,Input_Raw!$A:$A,Input_Raw!$CR:$CR),"")</f>
        <v/>
      </c>
      <c r="O332" s="141" t="str">
        <f t="shared" si="34"/>
        <v/>
      </c>
      <c r="P332" s="141" t="str">
        <f>IFERROR(1-SUMIF(WTG_BD!$F:$F,$A332,WTG_BD!$AA:$AA)/($AA332+SUMIF(WTG_BD!$F:$F,$A332,WTG_BD!$AA:$AA)),"")</f>
        <v/>
      </c>
      <c r="Q332" s="141" t="str">
        <f>IFERROR(1-SUMIF(IGA_BD!$F:$F,$A332,IGA_BD!$W:$W)/($AA332+SUMIF(IGA_BD!$F:$F,$A332,IGA_BD!$W:$W)),"")</f>
        <v/>
      </c>
      <c r="R332" s="141" t="str">
        <f>IFERROR(1-SUMIF(Grid_BD!$F:$F,$A332,Grid_BD!$Y:$Y)/($AA332+SUMIF(Grid_BD!$F:$F,$A332,Grid_BD!$Y:$Y)),"")</f>
        <v/>
      </c>
      <c r="S332" s="108"/>
      <c r="T332" s="140"/>
      <c r="U332" s="141"/>
      <c r="V332" s="108"/>
      <c r="W332" s="142" t="str">
        <f t="shared" si="35"/>
        <v/>
      </c>
      <c r="X332" s="108" t="str">
        <f>IFERROR(_xlfn.XLOOKUP($A332,Input_Raw!$A:$A,Input_Raw!$CP:$CP)*1000,"")</f>
        <v/>
      </c>
      <c r="Y332" s="108" t="str">
        <f>IFERROR(_xlfn.XLOOKUP($A332,Input_Raw!$A:$A,Input_Raw!DJ:DJ)*1000,"")</f>
        <v/>
      </c>
      <c r="Z332" s="108" t="str">
        <f>IFERROR(_xlfn.XLOOKUP($A332,Input_Raw!$A:$A,Input_Raw!DK:DK)*1000,"")</f>
        <v/>
      </c>
      <c r="AA332" s="138" t="str">
        <f t="shared" si="36"/>
        <v/>
      </c>
      <c r="AB332" s="108" t="str">
        <f>IFERROR(_xlfn.XLOOKUP($A332,Input_Raw!$A:$A,Input_Raw!$DR:$DR),"")</f>
        <v/>
      </c>
      <c r="AC332" s="143">
        <f>IFERROR(_xlfn.XLOOKUP($D332,'Modelling New'!$D:$D,'Modelling New'!$J:$J),"")</f>
        <v>3.9249999999999998</v>
      </c>
      <c r="AD332" s="138">
        <f>IFERROR(_xlfn.XLOOKUP($D332,'Modelling New'!$D:$D,'Modelling New'!$T:$T)*1000,"")</f>
        <v>118578.57831264066</v>
      </c>
      <c r="AE332" s="142"/>
      <c r="AF332" s="142">
        <f>IFERROR(_xlfn.XLOOKUP($D332,'Modelling New'!$D:$D,'Modelling New'!$W:$W),"")</f>
        <v>7.0181450232386741E-2</v>
      </c>
      <c r="AG332" s="142">
        <f>IFERROR(_xlfn.XLOOKUP($D332,'Modelling New'!$D:$D,'Modelling New'!$AE:$AE),"")</f>
        <v>0.96029999999999993</v>
      </c>
      <c r="AH332" s="142">
        <f>IFERROR(_xlfn.XLOOKUP($D332,'Modelling New'!$D:$D,'Modelling New'!$AF:$AF),"")</f>
        <v>0.995</v>
      </c>
      <c r="AI332" s="109" t="str">
        <f>IFERROR(_xlfn.XLOOKUP($A332,Input_Raw!$A:$A,Input_Raw!$DP:$DP),"")</f>
        <v/>
      </c>
      <c r="AJ332" s="108"/>
      <c r="AK332" s="108"/>
      <c r="AL332" s="108"/>
      <c r="AM332" s="108"/>
      <c r="AN332" s="132" t="str">
        <f>IFERROR(_xlfn.XLOOKUP($A332,Input_Raw!$A:$A,Input_Raw!$DL:$DL),"")</f>
        <v/>
      </c>
      <c r="AO332" s="142" t="str">
        <f>IFERROR((_xlfn.XLOOKUP($A332,'WTG Reactive Power'!$A:$A,'WTG Reactive Power'!$AW:$AW))/X332,"")</f>
        <v/>
      </c>
      <c r="AP332" s="142">
        <f>IFERROR(_xlfn.XLOOKUP($D332,'Modelling New'!$D:$D,'Modelling New'!$AK:$AK),"")</f>
        <v>0.05</v>
      </c>
      <c r="AQ332" s="142">
        <f>IFERROR(_xlfn.XLOOKUP($D332,'Modelling New'!$D:$D,'Modelling New'!$AL:$AL),"")</f>
        <v>0.05</v>
      </c>
      <c r="AR332" s="198">
        <f>IFERROR(_xlfn.XLOOKUP($D332,'Modelling New'!$D:$D,'Modelling New'!$N:$N),"")</f>
        <v>70.400000000000006</v>
      </c>
      <c r="AS332" s="198"/>
    </row>
    <row r="333" spans="1:45">
      <c r="A333" s="137">
        <f t="shared" si="37"/>
        <v>46076</v>
      </c>
      <c r="B333" s="138">
        <f>YEAR(Daily_KPI[[#This Row],[Date]])+IF(MONTH(Daily_KPI[[#This Row],[Date]])&gt;=4,1,0)</f>
        <v>2026</v>
      </c>
      <c r="C333" s="108">
        <f>YEAR(Daily_KPI[[#This Row],[Date]])</f>
        <v>2026</v>
      </c>
      <c r="D333" s="139">
        <f>Daily_KPI[[#This Row],[Date]]-DAY(Daily_KPI[[#This Row],[Date]])+1</f>
        <v>46054</v>
      </c>
      <c r="E333" s="108">
        <f t="shared" si="33"/>
        <v>28</v>
      </c>
      <c r="F333" s="109"/>
      <c r="G333" s="110"/>
      <c r="H333" s="110"/>
      <c r="I333" s="110"/>
      <c r="J333" s="110"/>
      <c r="K333" s="111"/>
      <c r="L333" s="110"/>
      <c r="M333" s="110" t="str">
        <f>IFERROR(_xlfn.XLOOKUP($A333,Input_Raw!$A:$A,Input_Raw!$CQ:$CQ),"")</f>
        <v/>
      </c>
      <c r="N333" s="110" t="str">
        <f>IFERROR(_xlfn.XLOOKUP($A333,Input_Raw!$A:$A,Input_Raw!$CR:$CR),"")</f>
        <v/>
      </c>
      <c r="O333" s="141" t="str">
        <f t="shared" si="34"/>
        <v/>
      </c>
      <c r="P333" s="141" t="str">
        <f>IFERROR(1-SUMIF(WTG_BD!$F:$F,$A333,WTG_BD!$AA:$AA)/($AA333+SUMIF(WTG_BD!$F:$F,$A333,WTG_BD!$AA:$AA)),"")</f>
        <v/>
      </c>
      <c r="Q333" s="141" t="str">
        <f>IFERROR(1-SUMIF(IGA_BD!$F:$F,$A333,IGA_BD!$W:$W)/($AA333+SUMIF(IGA_BD!$F:$F,$A333,IGA_BD!$W:$W)),"")</f>
        <v/>
      </c>
      <c r="R333" s="141" t="str">
        <f>IFERROR(1-SUMIF(Grid_BD!$F:$F,$A333,Grid_BD!$Y:$Y)/($AA333+SUMIF(Grid_BD!$F:$F,$A333,Grid_BD!$Y:$Y)),"")</f>
        <v/>
      </c>
      <c r="S333" s="108"/>
      <c r="T333" s="140"/>
      <c r="U333" s="141"/>
      <c r="V333" s="108"/>
      <c r="W333" s="142" t="str">
        <f t="shared" si="35"/>
        <v/>
      </c>
      <c r="X333" s="108" t="str">
        <f>IFERROR(_xlfn.XLOOKUP($A333,Input_Raw!$A:$A,Input_Raw!$CP:$CP)*1000,"")</f>
        <v/>
      </c>
      <c r="Y333" s="108" t="str">
        <f>IFERROR(_xlfn.XLOOKUP($A333,Input_Raw!$A:$A,Input_Raw!DJ:DJ)*1000,"")</f>
        <v/>
      </c>
      <c r="Z333" s="108" t="str">
        <f>IFERROR(_xlfn.XLOOKUP($A333,Input_Raw!$A:$A,Input_Raw!DK:DK)*1000,"")</f>
        <v/>
      </c>
      <c r="AA333" s="138" t="str">
        <f t="shared" si="36"/>
        <v/>
      </c>
      <c r="AB333" s="108" t="str">
        <f>IFERROR(_xlfn.XLOOKUP($A333,Input_Raw!$A:$A,Input_Raw!$DR:$DR),"")</f>
        <v/>
      </c>
      <c r="AC333" s="143">
        <f>IFERROR(_xlfn.XLOOKUP($D333,'Modelling New'!$D:$D,'Modelling New'!$J:$J),"")</f>
        <v>3.9249999999999998</v>
      </c>
      <c r="AD333" s="138">
        <f>IFERROR(_xlfn.XLOOKUP($D333,'Modelling New'!$D:$D,'Modelling New'!$T:$T)*1000,"")</f>
        <v>118578.57831264066</v>
      </c>
      <c r="AE333" s="142"/>
      <c r="AF333" s="142">
        <f>IFERROR(_xlfn.XLOOKUP($D333,'Modelling New'!$D:$D,'Modelling New'!$W:$W),"")</f>
        <v>7.0181450232386741E-2</v>
      </c>
      <c r="AG333" s="142">
        <f>IFERROR(_xlfn.XLOOKUP($D333,'Modelling New'!$D:$D,'Modelling New'!$AE:$AE),"")</f>
        <v>0.96029999999999993</v>
      </c>
      <c r="AH333" s="142">
        <f>IFERROR(_xlfn.XLOOKUP($D333,'Modelling New'!$D:$D,'Modelling New'!$AF:$AF),"")</f>
        <v>0.995</v>
      </c>
      <c r="AI333" s="109" t="str">
        <f>IFERROR(_xlfn.XLOOKUP($A333,Input_Raw!$A:$A,Input_Raw!$DP:$DP),"")</f>
        <v/>
      </c>
      <c r="AJ333" s="108"/>
      <c r="AK333" s="108"/>
      <c r="AL333" s="108"/>
      <c r="AM333" s="108"/>
      <c r="AN333" s="132" t="str">
        <f>IFERROR(_xlfn.XLOOKUP($A333,Input_Raw!$A:$A,Input_Raw!$DL:$DL),"")</f>
        <v/>
      </c>
      <c r="AO333" s="142" t="str">
        <f>IFERROR((_xlfn.XLOOKUP($A333,'WTG Reactive Power'!$A:$A,'WTG Reactive Power'!$AW:$AW))/X333,"")</f>
        <v/>
      </c>
      <c r="AP333" s="142">
        <f>IFERROR(_xlfn.XLOOKUP($D333,'Modelling New'!$D:$D,'Modelling New'!$AK:$AK),"")</f>
        <v>0.05</v>
      </c>
      <c r="AQ333" s="142">
        <f>IFERROR(_xlfn.XLOOKUP($D333,'Modelling New'!$D:$D,'Modelling New'!$AL:$AL),"")</f>
        <v>0.05</v>
      </c>
      <c r="AR333" s="198">
        <f>IFERROR(_xlfn.XLOOKUP($D333,'Modelling New'!$D:$D,'Modelling New'!$N:$N),"")</f>
        <v>70.400000000000006</v>
      </c>
      <c r="AS333" s="198"/>
    </row>
    <row r="334" spans="1:45">
      <c r="A334" s="137">
        <f t="shared" si="37"/>
        <v>46077</v>
      </c>
      <c r="B334" s="138">
        <f>YEAR(Daily_KPI[[#This Row],[Date]])+IF(MONTH(Daily_KPI[[#This Row],[Date]])&gt;=4,1,0)</f>
        <v>2026</v>
      </c>
      <c r="C334" s="108">
        <f>YEAR(Daily_KPI[[#This Row],[Date]])</f>
        <v>2026</v>
      </c>
      <c r="D334" s="139">
        <f>Daily_KPI[[#This Row],[Date]]-DAY(Daily_KPI[[#This Row],[Date]])+1</f>
        <v>46054</v>
      </c>
      <c r="E334" s="108">
        <f t="shared" si="33"/>
        <v>28</v>
      </c>
      <c r="F334" s="109"/>
      <c r="G334" s="110"/>
      <c r="H334" s="110"/>
      <c r="I334" s="110"/>
      <c r="J334" s="110"/>
      <c r="K334" s="111"/>
      <c r="L334" s="110"/>
      <c r="M334" s="110" t="str">
        <f>IFERROR(_xlfn.XLOOKUP($A334,Input_Raw!$A:$A,Input_Raw!$CQ:$CQ),"")</f>
        <v/>
      </c>
      <c r="N334" s="110" t="str">
        <f>IFERROR(_xlfn.XLOOKUP($A334,Input_Raw!$A:$A,Input_Raw!$CR:$CR),"")</f>
        <v/>
      </c>
      <c r="O334" s="141" t="str">
        <f t="shared" si="34"/>
        <v/>
      </c>
      <c r="P334" s="141" t="str">
        <f>IFERROR(1-SUMIF(WTG_BD!$F:$F,$A334,WTG_BD!$AA:$AA)/($AA334+SUMIF(WTG_BD!$F:$F,$A334,WTG_BD!$AA:$AA)),"")</f>
        <v/>
      </c>
      <c r="Q334" s="141" t="str">
        <f>IFERROR(1-SUMIF(IGA_BD!$F:$F,$A334,IGA_BD!$W:$W)/($AA334+SUMIF(IGA_BD!$F:$F,$A334,IGA_BD!$W:$W)),"")</f>
        <v/>
      </c>
      <c r="R334" s="141" t="str">
        <f>IFERROR(1-SUMIF(Grid_BD!$F:$F,$A334,Grid_BD!$Y:$Y)/($AA334+SUMIF(Grid_BD!$F:$F,$A334,Grid_BD!$Y:$Y)),"")</f>
        <v/>
      </c>
      <c r="S334" s="108"/>
      <c r="T334" s="140"/>
      <c r="U334" s="141"/>
      <c r="V334" s="108"/>
      <c r="W334" s="142" t="str">
        <f t="shared" si="35"/>
        <v/>
      </c>
      <c r="X334" s="108" t="str">
        <f>IFERROR(_xlfn.XLOOKUP($A334,Input_Raw!$A:$A,Input_Raw!$CP:$CP)*1000,"")</f>
        <v/>
      </c>
      <c r="Y334" s="108" t="str">
        <f>IFERROR(_xlfn.XLOOKUP($A334,Input_Raw!$A:$A,Input_Raw!DJ:DJ)*1000,"")</f>
        <v/>
      </c>
      <c r="Z334" s="108" t="str">
        <f>IFERROR(_xlfn.XLOOKUP($A334,Input_Raw!$A:$A,Input_Raw!DK:DK)*1000,"")</f>
        <v/>
      </c>
      <c r="AA334" s="138" t="str">
        <f t="shared" si="36"/>
        <v/>
      </c>
      <c r="AB334" s="108" t="str">
        <f>IFERROR(_xlfn.XLOOKUP($A334,Input_Raw!$A:$A,Input_Raw!$DR:$DR),"")</f>
        <v/>
      </c>
      <c r="AC334" s="143">
        <f>IFERROR(_xlfn.XLOOKUP($D334,'Modelling New'!$D:$D,'Modelling New'!$J:$J),"")</f>
        <v>3.9249999999999998</v>
      </c>
      <c r="AD334" s="138">
        <f>IFERROR(_xlfn.XLOOKUP($D334,'Modelling New'!$D:$D,'Modelling New'!$T:$T)*1000,"")</f>
        <v>118578.57831264066</v>
      </c>
      <c r="AE334" s="142"/>
      <c r="AF334" s="142">
        <f>IFERROR(_xlfn.XLOOKUP($D334,'Modelling New'!$D:$D,'Modelling New'!$W:$W),"")</f>
        <v>7.0181450232386741E-2</v>
      </c>
      <c r="AG334" s="142">
        <f>IFERROR(_xlfn.XLOOKUP($D334,'Modelling New'!$D:$D,'Modelling New'!$AE:$AE),"")</f>
        <v>0.96029999999999993</v>
      </c>
      <c r="AH334" s="142">
        <f>IFERROR(_xlfn.XLOOKUP($D334,'Modelling New'!$D:$D,'Modelling New'!$AF:$AF),"")</f>
        <v>0.995</v>
      </c>
      <c r="AI334" s="109" t="str">
        <f>IFERROR(_xlfn.XLOOKUP($A334,Input_Raw!$A:$A,Input_Raw!$DP:$DP),"")</f>
        <v/>
      </c>
      <c r="AJ334" s="108"/>
      <c r="AK334" s="108"/>
      <c r="AL334" s="108"/>
      <c r="AM334" s="108"/>
      <c r="AN334" s="132" t="str">
        <f>IFERROR(_xlfn.XLOOKUP($A334,Input_Raw!$A:$A,Input_Raw!$DL:$DL),"")</f>
        <v/>
      </c>
      <c r="AO334" s="142" t="str">
        <f>IFERROR((_xlfn.XLOOKUP($A334,'WTG Reactive Power'!$A:$A,'WTG Reactive Power'!$AW:$AW))/X334,"")</f>
        <v/>
      </c>
      <c r="AP334" s="142">
        <f>IFERROR(_xlfn.XLOOKUP($D334,'Modelling New'!$D:$D,'Modelling New'!$AK:$AK),"")</f>
        <v>0.05</v>
      </c>
      <c r="AQ334" s="142">
        <f>IFERROR(_xlfn.XLOOKUP($D334,'Modelling New'!$D:$D,'Modelling New'!$AL:$AL),"")</f>
        <v>0.05</v>
      </c>
      <c r="AR334" s="198">
        <f>IFERROR(_xlfn.XLOOKUP($D334,'Modelling New'!$D:$D,'Modelling New'!$N:$N),"")</f>
        <v>70.400000000000006</v>
      </c>
      <c r="AS334" s="198"/>
    </row>
    <row r="335" spans="1:45">
      <c r="A335" s="137">
        <f t="shared" si="37"/>
        <v>46078</v>
      </c>
      <c r="B335" s="138">
        <f>YEAR(Daily_KPI[[#This Row],[Date]])+IF(MONTH(Daily_KPI[[#This Row],[Date]])&gt;=4,1,0)</f>
        <v>2026</v>
      </c>
      <c r="C335" s="108">
        <f>YEAR(Daily_KPI[[#This Row],[Date]])</f>
        <v>2026</v>
      </c>
      <c r="D335" s="139">
        <f>Daily_KPI[[#This Row],[Date]]-DAY(Daily_KPI[[#This Row],[Date]])+1</f>
        <v>46054</v>
      </c>
      <c r="E335" s="108">
        <f t="shared" si="33"/>
        <v>28</v>
      </c>
      <c r="F335" s="109"/>
      <c r="G335" s="110"/>
      <c r="H335" s="110"/>
      <c r="I335" s="110"/>
      <c r="J335" s="110"/>
      <c r="K335" s="111"/>
      <c r="L335" s="110"/>
      <c r="M335" s="110" t="str">
        <f>IFERROR(_xlfn.XLOOKUP($A335,Input_Raw!$A:$A,Input_Raw!$CQ:$CQ),"")</f>
        <v/>
      </c>
      <c r="N335" s="110" t="str">
        <f>IFERROR(_xlfn.XLOOKUP($A335,Input_Raw!$A:$A,Input_Raw!$CR:$CR),"")</f>
        <v/>
      </c>
      <c r="O335" s="141" t="str">
        <f t="shared" si="34"/>
        <v/>
      </c>
      <c r="P335" s="141" t="str">
        <f>IFERROR(1-SUMIF(WTG_BD!$F:$F,$A335,WTG_BD!$AA:$AA)/($AA335+SUMIF(WTG_BD!$F:$F,$A335,WTG_BD!$AA:$AA)),"")</f>
        <v/>
      </c>
      <c r="Q335" s="141" t="str">
        <f>IFERROR(1-SUMIF(IGA_BD!$F:$F,$A335,IGA_BD!$W:$W)/($AA335+SUMIF(IGA_BD!$F:$F,$A335,IGA_BD!$W:$W)),"")</f>
        <v/>
      </c>
      <c r="R335" s="141" t="str">
        <f>IFERROR(1-SUMIF(Grid_BD!$F:$F,$A335,Grid_BD!$Y:$Y)/($AA335+SUMIF(Grid_BD!$F:$F,$A335,Grid_BD!$Y:$Y)),"")</f>
        <v/>
      </c>
      <c r="S335" s="108"/>
      <c r="T335" s="140"/>
      <c r="U335" s="141"/>
      <c r="V335" s="108"/>
      <c r="W335" s="142" t="str">
        <f t="shared" si="35"/>
        <v/>
      </c>
      <c r="X335" s="108" t="str">
        <f>IFERROR(_xlfn.XLOOKUP($A335,Input_Raw!$A:$A,Input_Raw!$CP:$CP)*1000,"")</f>
        <v/>
      </c>
      <c r="Y335" s="108" t="str">
        <f>IFERROR(_xlfn.XLOOKUP($A335,Input_Raw!$A:$A,Input_Raw!DJ:DJ)*1000,"")</f>
        <v/>
      </c>
      <c r="Z335" s="108" t="str">
        <f>IFERROR(_xlfn.XLOOKUP($A335,Input_Raw!$A:$A,Input_Raw!DK:DK)*1000,"")</f>
        <v/>
      </c>
      <c r="AA335" s="138" t="str">
        <f t="shared" si="36"/>
        <v/>
      </c>
      <c r="AB335" s="108" t="str">
        <f>IFERROR(_xlfn.XLOOKUP($A335,Input_Raw!$A:$A,Input_Raw!$DR:$DR),"")</f>
        <v/>
      </c>
      <c r="AC335" s="143">
        <f>IFERROR(_xlfn.XLOOKUP($D335,'Modelling New'!$D:$D,'Modelling New'!$J:$J),"")</f>
        <v>3.9249999999999998</v>
      </c>
      <c r="AD335" s="138">
        <f>IFERROR(_xlfn.XLOOKUP($D335,'Modelling New'!$D:$D,'Modelling New'!$T:$T)*1000,"")</f>
        <v>118578.57831264066</v>
      </c>
      <c r="AE335" s="142"/>
      <c r="AF335" s="142">
        <f>IFERROR(_xlfn.XLOOKUP($D335,'Modelling New'!$D:$D,'Modelling New'!$W:$W),"")</f>
        <v>7.0181450232386741E-2</v>
      </c>
      <c r="AG335" s="142">
        <f>IFERROR(_xlfn.XLOOKUP($D335,'Modelling New'!$D:$D,'Modelling New'!$AE:$AE),"")</f>
        <v>0.96029999999999993</v>
      </c>
      <c r="AH335" s="142">
        <f>IFERROR(_xlfn.XLOOKUP($D335,'Modelling New'!$D:$D,'Modelling New'!$AF:$AF),"")</f>
        <v>0.995</v>
      </c>
      <c r="AI335" s="109" t="str">
        <f>IFERROR(_xlfn.XLOOKUP($A335,Input_Raw!$A:$A,Input_Raw!$DP:$DP),"")</f>
        <v/>
      </c>
      <c r="AJ335" s="108"/>
      <c r="AK335" s="108"/>
      <c r="AL335" s="108"/>
      <c r="AM335" s="108"/>
      <c r="AN335" s="132" t="str">
        <f>IFERROR(_xlfn.XLOOKUP($A335,Input_Raw!$A:$A,Input_Raw!$DL:$DL),"")</f>
        <v/>
      </c>
      <c r="AO335" s="142" t="str">
        <f>IFERROR((_xlfn.XLOOKUP($A335,'WTG Reactive Power'!$A:$A,'WTG Reactive Power'!$AW:$AW))/X335,"")</f>
        <v/>
      </c>
      <c r="AP335" s="142">
        <f>IFERROR(_xlfn.XLOOKUP($D335,'Modelling New'!$D:$D,'Modelling New'!$AK:$AK),"")</f>
        <v>0.05</v>
      </c>
      <c r="AQ335" s="142">
        <f>IFERROR(_xlfn.XLOOKUP($D335,'Modelling New'!$D:$D,'Modelling New'!$AL:$AL),"")</f>
        <v>0.05</v>
      </c>
      <c r="AR335" s="198">
        <f>IFERROR(_xlfn.XLOOKUP($D335,'Modelling New'!$D:$D,'Modelling New'!$N:$N),"")</f>
        <v>70.400000000000006</v>
      </c>
      <c r="AS335" s="198"/>
    </row>
    <row r="336" spans="1:45">
      <c r="A336" s="137">
        <f t="shared" si="37"/>
        <v>46079</v>
      </c>
      <c r="B336" s="138">
        <f>YEAR(Daily_KPI[[#This Row],[Date]])+IF(MONTH(Daily_KPI[[#This Row],[Date]])&gt;=4,1,0)</f>
        <v>2026</v>
      </c>
      <c r="C336" s="108">
        <f>YEAR(Daily_KPI[[#This Row],[Date]])</f>
        <v>2026</v>
      </c>
      <c r="D336" s="139">
        <f>Daily_KPI[[#This Row],[Date]]-DAY(Daily_KPI[[#This Row],[Date]])+1</f>
        <v>46054</v>
      </c>
      <c r="E336" s="108">
        <f t="shared" si="33"/>
        <v>28</v>
      </c>
      <c r="F336" s="109"/>
      <c r="G336" s="110"/>
      <c r="H336" s="110"/>
      <c r="I336" s="110"/>
      <c r="J336" s="110"/>
      <c r="K336" s="111"/>
      <c r="L336" s="110"/>
      <c r="M336" s="110" t="str">
        <f>IFERROR(_xlfn.XLOOKUP($A336,Input_Raw!$A:$A,Input_Raw!$CQ:$CQ),"")</f>
        <v/>
      </c>
      <c r="N336" s="110" t="str">
        <f>IFERROR(_xlfn.XLOOKUP($A336,Input_Raw!$A:$A,Input_Raw!$CR:$CR),"")</f>
        <v/>
      </c>
      <c r="O336" s="141" t="str">
        <f t="shared" si="34"/>
        <v/>
      </c>
      <c r="P336" s="141" t="str">
        <f>IFERROR(1-SUMIF(WTG_BD!$F:$F,$A336,WTG_BD!$AA:$AA)/($AA336+SUMIF(WTG_BD!$F:$F,$A336,WTG_BD!$AA:$AA)),"")</f>
        <v/>
      </c>
      <c r="Q336" s="141" t="str">
        <f>IFERROR(1-SUMIF(IGA_BD!$F:$F,$A336,IGA_BD!$W:$W)/($AA336+SUMIF(IGA_BD!$F:$F,$A336,IGA_BD!$W:$W)),"")</f>
        <v/>
      </c>
      <c r="R336" s="141" t="str">
        <f>IFERROR(1-SUMIF(Grid_BD!$F:$F,$A336,Grid_BD!$Y:$Y)/($AA336+SUMIF(Grid_BD!$F:$F,$A336,Grid_BD!$Y:$Y)),"")</f>
        <v/>
      </c>
      <c r="S336" s="108"/>
      <c r="T336" s="140"/>
      <c r="U336" s="141"/>
      <c r="V336" s="108"/>
      <c r="W336" s="142" t="str">
        <f t="shared" si="35"/>
        <v/>
      </c>
      <c r="X336" s="108" t="str">
        <f>IFERROR(_xlfn.XLOOKUP($A336,Input_Raw!$A:$A,Input_Raw!$CP:$CP)*1000,"")</f>
        <v/>
      </c>
      <c r="Y336" s="108" t="str">
        <f>IFERROR(_xlfn.XLOOKUP($A336,Input_Raw!$A:$A,Input_Raw!DJ:DJ)*1000,"")</f>
        <v/>
      </c>
      <c r="Z336" s="108" t="str">
        <f>IFERROR(_xlfn.XLOOKUP($A336,Input_Raw!$A:$A,Input_Raw!DK:DK)*1000,"")</f>
        <v/>
      </c>
      <c r="AA336" s="138" t="str">
        <f t="shared" si="36"/>
        <v/>
      </c>
      <c r="AB336" s="108" t="str">
        <f>IFERROR(_xlfn.XLOOKUP($A336,Input_Raw!$A:$A,Input_Raw!$DR:$DR),"")</f>
        <v/>
      </c>
      <c r="AC336" s="143">
        <f>IFERROR(_xlfn.XLOOKUP($D336,'Modelling New'!$D:$D,'Modelling New'!$J:$J),"")</f>
        <v>3.9249999999999998</v>
      </c>
      <c r="AD336" s="138">
        <f>IFERROR(_xlfn.XLOOKUP($D336,'Modelling New'!$D:$D,'Modelling New'!$T:$T)*1000,"")</f>
        <v>118578.57831264066</v>
      </c>
      <c r="AE336" s="142"/>
      <c r="AF336" s="142">
        <f>IFERROR(_xlfn.XLOOKUP($D336,'Modelling New'!$D:$D,'Modelling New'!$W:$W),"")</f>
        <v>7.0181450232386741E-2</v>
      </c>
      <c r="AG336" s="142">
        <f>IFERROR(_xlfn.XLOOKUP($D336,'Modelling New'!$D:$D,'Modelling New'!$AE:$AE),"")</f>
        <v>0.96029999999999993</v>
      </c>
      <c r="AH336" s="142">
        <f>IFERROR(_xlfn.XLOOKUP($D336,'Modelling New'!$D:$D,'Modelling New'!$AF:$AF),"")</f>
        <v>0.995</v>
      </c>
      <c r="AI336" s="109" t="str">
        <f>IFERROR(_xlfn.XLOOKUP($A336,Input_Raw!$A:$A,Input_Raw!$DP:$DP),"")</f>
        <v/>
      </c>
      <c r="AJ336" s="108"/>
      <c r="AK336" s="108"/>
      <c r="AL336" s="108"/>
      <c r="AM336" s="108"/>
      <c r="AN336" s="132" t="str">
        <f>IFERROR(_xlfn.XLOOKUP($A336,Input_Raw!$A:$A,Input_Raw!$DL:$DL),"")</f>
        <v/>
      </c>
      <c r="AO336" s="142" t="str">
        <f>IFERROR((_xlfn.XLOOKUP($A336,'WTG Reactive Power'!$A:$A,'WTG Reactive Power'!$AW:$AW))/X336,"")</f>
        <v/>
      </c>
      <c r="AP336" s="142">
        <f>IFERROR(_xlfn.XLOOKUP($D336,'Modelling New'!$D:$D,'Modelling New'!$AK:$AK),"")</f>
        <v>0.05</v>
      </c>
      <c r="AQ336" s="142">
        <f>IFERROR(_xlfn.XLOOKUP($D336,'Modelling New'!$D:$D,'Modelling New'!$AL:$AL),"")</f>
        <v>0.05</v>
      </c>
      <c r="AR336" s="198">
        <f>IFERROR(_xlfn.XLOOKUP($D336,'Modelling New'!$D:$D,'Modelling New'!$N:$N),"")</f>
        <v>70.400000000000006</v>
      </c>
      <c r="AS336" s="198"/>
    </row>
    <row r="337" spans="1:45">
      <c r="A337" s="137">
        <f t="shared" si="37"/>
        <v>46080</v>
      </c>
      <c r="B337" s="138">
        <f>YEAR(Daily_KPI[[#This Row],[Date]])+IF(MONTH(Daily_KPI[[#This Row],[Date]])&gt;=4,1,0)</f>
        <v>2026</v>
      </c>
      <c r="C337" s="108">
        <f>YEAR(Daily_KPI[[#This Row],[Date]])</f>
        <v>2026</v>
      </c>
      <c r="D337" s="139">
        <f>Daily_KPI[[#This Row],[Date]]-DAY(Daily_KPI[[#This Row],[Date]])+1</f>
        <v>46054</v>
      </c>
      <c r="E337" s="108">
        <f t="shared" si="33"/>
        <v>28</v>
      </c>
      <c r="F337" s="109"/>
      <c r="G337" s="110"/>
      <c r="H337" s="110"/>
      <c r="I337" s="110"/>
      <c r="J337" s="110"/>
      <c r="K337" s="111"/>
      <c r="L337" s="110"/>
      <c r="M337" s="110" t="str">
        <f>IFERROR(_xlfn.XLOOKUP($A337,Input_Raw!$A:$A,Input_Raw!$CQ:$CQ),"")</f>
        <v/>
      </c>
      <c r="N337" s="110" t="str">
        <f>IFERROR(_xlfn.XLOOKUP($A337,Input_Raw!$A:$A,Input_Raw!$CR:$CR),"")</f>
        <v/>
      </c>
      <c r="O337" s="141" t="str">
        <f t="shared" si="34"/>
        <v/>
      </c>
      <c r="P337" s="141" t="str">
        <f>IFERROR(1-SUMIF(WTG_BD!$F:$F,$A337,WTG_BD!$AA:$AA)/($AA337+SUMIF(WTG_BD!$F:$F,$A337,WTG_BD!$AA:$AA)),"")</f>
        <v/>
      </c>
      <c r="Q337" s="141" t="str">
        <f>IFERROR(1-SUMIF(IGA_BD!$F:$F,$A337,IGA_BD!$W:$W)/($AA337+SUMIF(IGA_BD!$F:$F,$A337,IGA_BD!$W:$W)),"")</f>
        <v/>
      </c>
      <c r="R337" s="141" t="str">
        <f>IFERROR(1-SUMIF(Grid_BD!$F:$F,$A337,Grid_BD!$Y:$Y)/($AA337+SUMIF(Grid_BD!$F:$F,$A337,Grid_BD!$Y:$Y)),"")</f>
        <v/>
      </c>
      <c r="S337" s="108"/>
      <c r="T337" s="140"/>
      <c r="U337" s="141"/>
      <c r="V337" s="108"/>
      <c r="W337" s="142" t="str">
        <f t="shared" si="35"/>
        <v/>
      </c>
      <c r="X337" s="108" t="str">
        <f>IFERROR(_xlfn.XLOOKUP($A337,Input_Raw!$A:$A,Input_Raw!$CP:$CP)*1000,"")</f>
        <v/>
      </c>
      <c r="Y337" s="108" t="str">
        <f>IFERROR(_xlfn.XLOOKUP($A337,Input_Raw!$A:$A,Input_Raw!DJ:DJ)*1000,"")</f>
        <v/>
      </c>
      <c r="Z337" s="108" t="str">
        <f>IFERROR(_xlfn.XLOOKUP($A337,Input_Raw!$A:$A,Input_Raw!DK:DK)*1000,"")</f>
        <v/>
      </c>
      <c r="AA337" s="138" t="str">
        <f t="shared" si="36"/>
        <v/>
      </c>
      <c r="AB337" s="108" t="str">
        <f>IFERROR(_xlfn.XLOOKUP($A337,Input_Raw!$A:$A,Input_Raw!$DR:$DR),"")</f>
        <v/>
      </c>
      <c r="AC337" s="143">
        <f>IFERROR(_xlfn.XLOOKUP($D337,'Modelling New'!$D:$D,'Modelling New'!$J:$J),"")</f>
        <v>3.9249999999999998</v>
      </c>
      <c r="AD337" s="138">
        <f>IFERROR(_xlfn.XLOOKUP($D337,'Modelling New'!$D:$D,'Modelling New'!$T:$T)*1000,"")</f>
        <v>118578.57831264066</v>
      </c>
      <c r="AE337" s="142"/>
      <c r="AF337" s="142">
        <f>IFERROR(_xlfn.XLOOKUP($D337,'Modelling New'!$D:$D,'Modelling New'!$W:$W),"")</f>
        <v>7.0181450232386741E-2</v>
      </c>
      <c r="AG337" s="142">
        <f>IFERROR(_xlfn.XLOOKUP($D337,'Modelling New'!$D:$D,'Modelling New'!$AE:$AE),"")</f>
        <v>0.96029999999999993</v>
      </c>
      <c r="AH337" s="142">
        <f>IFERROR(_xlfn.XLOOKUP($D337,'Modelling New'!$D:$D,'Modelling New'!$AF:$AF),"")</f>
        <v>0.995</v>
      </c>
      <c r="AI337" s="109" t="str">
        <f>IFERROR(_xlfn.XLOOKUP($A337,Input_Raw!$A:$A,Input_Raw!$DP:$DP),"")</f>
        <v/>
      </c>
      <c r="AJ337" s="108"/>
      <c r="AK337" s="108"/>
      <c r="AL337" s="108"/>
      <c r="AM337" s="108"/>
      <c r="AN337" s="132" t="str">
        <f>IFERROR(_xlfn.XLOOKUP($A337,Input_Raw!$A:$A,Input_Raw!$DL:$DL),"")</f>
        <v/>
      </c>
      <c r="AO337" s="142" t="str">
        <f>IFERROR((_xlfn.XLOOKUP($A337,'WTG Reactive Power'!$A:$A,'WTG Reactive Power'!$AW:$AW))/X337,"")</f>
        <v/>
      </c>
      <c r="AP337" s="142">
        <f>IFERROR(_xlfn.XLOOKUP($D337,'Modelling New'!$D:$D,'Modelling New'!$AK:$AK),"")</f>
        <v>0.05</v>
      </c>
      <c r="AQ337" s="142">
        <f>IFERROR(_xlfn.XLOOKUP($D337,'Modelling New'!$D:$D,'Modelling New'!$AL:$AL),"")</f>
        <v>0.05</v>
      </c>
      <c r="AR337" s="198">
        <f>IFERROR(_xlfn.XLOOKUP($D337,'Modelling New'!$D:$D,'Modelling New'!$N:$N),"")</f>
        <v>70.400000000000006</v>
      </c>
      <c r="AS337" s="198"/>
    </row>
    <row r="338" spans="1:45">
      <c r="A338" s="137">
        <f t="shared" si="37"/>
        <v>46081</v>
      </c>
      <c r="B338" s="138">
        <f>YEAR(Daily_KPI[[#This Row],[Date]])+IF(MONTH(Daily_KPI[[#This Row],[Date]])&gt;=4,1,0)</f>
        <v>2026</v>
      </c>
      <c r="C338" s="108">
        <f>YEAR(Daily_KPI[[#This Row],[Date]])</f>
        <v>2026</v>
      </c>
      <c r="D338" s="139">
        <f>Daily_KPI[[#This Row],[Date]]-DAY(Daily_KPI[[#This Row],[Date]])+1</f>
        <v>46054</v>
      </c>
      <c r="E338" s="108">
        <f t="shared" si="33"/>
        <v>28</v>
      </c>
      <c r="F338" s="109"/>
      <c r="G338" s="110"/>
      <c r="H338" s="110"/>
      <c r="I338" s="110"/>
      <c r="J338" s="110"/>
      <c r="K338" s="111"/>
      <c r="L338" s="110"/>
      <c r="M338" s="110" t="str">
        <f>IFERROR(_xlfn.XLOOKUP($A338,Input_Raw!$A:$A,Input_Raw!$CQ:$CQ),"")</f>
        <v/>
      </c>
      <c r="N338" s="110" t="str">
        <f>IFERROR(_xlfn.XLOOKUP($A338,Input_Raw!$A:$A,Input_Raw!$CR:$CR),"")</f>
        <v/>
      </c>
      <c r="O338" s="141" t="str">
        <f t="shared" si="34"/>
        <v/>
      </c>
      <c r="P338" s="141" t="str">
        <f>IFERROR(1-SUMIF(WTG_BD!$F:$F,$A338,WTG_BD!$AA:$AA)/($AA338+SUMIF(WTG_BD!$F:$F,$A338,WTG_BD!$AA:$AA)),"")</f>
        <v/>
      </c>
      <c r="Q338" s="141" t="str">
        <f>IFERROR(1-SUMIF(IGA_BD!$F:$F,$A338,IGA_BD!$W:$W)/($AA338+SUMIF(IGA_BD!$F:$F,$A338,IGA_BD!$W:$W)),"")</f>
        <v/>
      </c>
      <c r="R338" s="141" t="str">
        <f>IFERROR(1-SUMIF(Grid_BD!$F:$F,$A338,Grid_BD!$Y:$Y)/($AA338+SUMIF(Grid_BD!$F:$F,$A338,Grid_BD!$Y:$Y)),"")</f>
        <v/>
      </c>
      <c r="S338" s="108"/>
      <c r="T338" s="140"/>
      <c r="U338" s="141"/>
      <c r="V338" s="108"/>
      <c r="W338" s="142" t="str">
        <f t="shared" si="35"/>
        <v/>
      </c>
      <c r="X338" s="108" t="str">
        <f>IFERROR(_xlfn.XLOOKUP($A338,Input_Raw!$A:$A,Input_Raw!$CP:$CP)*1000,"")</f>
        <v/>
      </c>
      <c r="Y338" s="108" t="str">
        <f>IFERROR(_xlfn.XLOOKUP($A338,Input_Raw!$A:$A,Input_Raw!DJ:DJ)*1000,"")</f>
        <v/>
      </c>
      <c r="Z338" s="108" t="str">
        <f>IFERROR(_xlfn.XLOOKUP($A338,Input_Raw!$A:$A,Input_Raw!DK:DK)*1000,"")</f>
        <v/>
      </c>
      <c r="AA338" s="138" t="str">
        <f t="shared" si="36"/>
        <v/>
      </c>
      <c r="AB338" s="108" t="str">
        <f>IFERROR(_xlfn.XLOOKUP($A338,Input_Raw!$A:$A,Input_Raw!$DR:$DR),"")</f>
        <v/>
      </c>
      <c r="AC338" s="143">
        <f>IFERROR(_xlfn.XLOOKUP($D338,'Modelling New'!$D:$D,'Modelling New'!$J:$J),"")</f>
        <v>3.9249999999999998</v>
      </c>
      <c r="AD338" s="138">
        <f>IFERROR(_xlfn.XLOOKUP($D338,'Modelling New'!$D:$D,'Modelling New'!$T:$T)*1000,"")</f>
        <v>118578.57831264066</v>
      </c>
      <c r="AE338" s="142"/>
      <c r="AF338" s="142">
        <f>IFERROR(_xlfn.XLOOKUP($D338,'Modelling New'!$D:$D,'Modelling New'!$W:$W),"")</f>
        <v>7.0181450232386741E-2</v>
      </c>
      <c r="AG338" s="142">
        <f>IFERROR(_xlfn.XLOOKUP($D338,'Modelling New'!$D:$D,'Modelling New'!$AE:$AE),"")</f>
        <v>0.96029999999999993</v>
      </c>
      <c r="AH338" s="142">
        <f>IFERROR(_xlfn.XLOOKUP($D338,'Modelling New'!$D:$D,'Modelling New'!$AF:$AF),"")</f>
        <v>0.995</v>
      </c>
      <c r="AI338" s="109" t="str">
        <f>IFERROR(_xlfn.XLOOKUP($A338,Input_Raw!$A:$A,Input_Raw!$DP:$DP),"")</f>
        <v/>
      </c>
      <c r="AJ338" s="108"/>
      <c r="AK338" s="108"/>
      <c r="AL338" s="108"/>
      <c r="AM338" s="108"/>
      <c r="AN338" s="132" t="str">
        <f>IFERROR(_xlfn.XLOOKUP($A338,Input_Raw!$A:$A,Input_Raw!$DL:$DL),"")</f>
        <v/>
      </c>
      <c r="AO338" s="142" t="str">
        <f>IFERROR((_xlfn.XLOOKUP($A338,'WTG Reactive Power'!$A:$A,'WTG Reactive Power'!$AW:$AW))/X338,"")</f>
        <v/>
      </c>
      <c r="AP338" s="142">
        <f>IFERROR(_xlfn.XLOOKUP($D338,'Modelling New'!$D:$D,'Modelling New'!$AK:$AK),"")</f>
        <v>0.05</v>
      </c>
      <c r="AQ338" s="142">
        <f>IFERROR(_xlfn.XLOOKUP($D338,'Modelling New'!$D:$D,'Modelling New'!$AL:$AL),"")</f>
        <v>0.05</v>
      </c>
      <c r="AR338" s="198">
        <f>IFERROR(_xlfn.XLOOKUP($D338,'Modelling New'!$D:$D,'Modelling New'!$N:$N),"")</f>
        <v>70.400000000000006</v>
      </c>
      <c r="AS338" s="198"/>
    </row>
    <row r="339" spans="1:45">
      <c r="A339" s="137">
        <f t="shared" si="37"/>
        <v>46082</v>
      </c>
      <c r="B339" s="138">
        <f>YEAR(Daily_KPI[[#This Row],[Date]])+IF(MONTH(Daily_KPI[[#This Row],[Date]])&gt;=4,1,0)</f>
        <v>2026</v>
      </c>
      <c r="C339" s="108">
        <f>YEAR(Daily_KPI[[#This Row],[Date]])</f>
        <v>2026</v>
      </c>
      <c r="D339" s="139">
        <f>Daily_KPI[[#This Row],[Date]]-DAY(Daily_KPI[[#This Row],[Date]])+1</f>
        <v>46082</v>
      </c>
      <c r="E339" s="108">
        <f t="shared" si="33"/>
        <v>31</v>
      </c>
      <c r="F339" s="109"/>
      <c r="G339" s="110"/>
      <c r="H339" s="110"/>
      <c r="I339" s="110"/>
      <c r="J339" s="110"/>
      <c r="K339" s="111"/>
      <c r="L339" s="110"/>
      <c r="M339" s="110" t="str">
        <f>IFERROR(_xlfn.XLOOKUP($A339,Input_Raw!$A:$A,Input_Raw!$CQ:$CQ),"")</f>
        <v/>
      </c>
      <c r="N339" s="110" t="str">
        <f>IFERROR(_xlfn.XLOOKUP($A339,Input_Raw!$A:$A,Input_Raw!$CR:$CR),"")</f>
        <v/>
      </c>
      <c r="O339" s="141" t="str">
        <f t="shared" si="34"/>
        <v/>
      </c>
      <c r="P339" s="141" t="str">
        <f>IFERROR(1-SUMIF(WTG_BD!$F:$F,$A339,WTG_BD!$AA:$AA)/($AA339+SUMIF(WTG_BD!$F:$F,$A339,WTG_BD!$AA:$AA)),"")</f>
        <v/>
      </c>
      <c r="Q339" s="141" t="str">
        <f>IFERROR(1-SUMIF(IGA_BD!$F:$F,$A339,IGA_BD!$W:$W)/($AA339+SUMIF(IGA_BD!$F:$F,$A339,IGA_BD!$W:$W)),"")</f>
        <v/>
      </c>
      <c r="R339" s="141" t="str">
        <f>IFERROR(1-SUMIF(Grid_BD!$F:$F,$A339,Grid_BD!$Y:$Y)/($AA339+SUMIF(Grid_BD!$F:$F,$A339,Grid_BD!$Y:$Y)),"")</f>
        <v/>
      </c>
      <c r="S339" s="108"/>
      <c r="T339" s="140"/>
      <c r="U339" s="141"/>
      <c r="V339" s="108"/>
      <c r="W339" s="142" t="str">
        <f t="shared" si="35"/>
        <v/>
      </c>
      <c r="X339" s="108" t="str">
        <f>IFERROR(_xlfn.XLOOKUP($A339,Input_Raw!$A:$A,Input_Raw!$CP:$CP)*1000,"")</f>
        <v/>
      </c>
      <c r="Y339" s="108" t="str">
        <f>IFERROR(_xlfn.XLOOKUP($A339,Input_Raw!$A:$A,Input_Raw!DJ:DJ)*1000,"")</f>
        <v/>
      </c>
      <c r="Z339" s="108" t="str">
        <f>IFERROR(_xlfn.XLOOKUP($A339,Input_Raw!$A:$A,Input_Raw!DK:DK)*1000,"")</f>
        <v/>
      </c>
      <c r="AA339" s="138" t="str">
        <f t="shared" si="36"/>
        <v/>
      </c>
      <c r="AB339" s="108" t="str">
        <f>IFERROR(_xlfn.XLOOKUP($A339,Input_Raw!$A:$A,Input_Raw!$DR:$DR),"")</f>
        <v/>
      </c>
      <c r="AC339" s="143">
        <f>IFERROR(_xlfn.XLOOKUP($D339,'Modelling New'!$D:$D,'Modelling New'!$J:$J),"")</f>
        <v>4.5649999999999995</v>
      </c>
      <c r="AD339" s="138">
        <f>IFERROR(_xlfn.XLOOKUP($D339,'Modelling New'!$D:$D,'Modelling New'!$T:$T)*1000,"")</f>
        <v>177355.29697136435</v>
      </c>
      <c r="AE339" s="142"/>
      <c r="AF339" s="142">
        <f>IFERROR(_xlfn.XLOOKUP($D339,'Modelling New'!$D:$D,'Modelling New'!$W:$W),"")</f>
        <v>0.1049688073930897</v>
      </c>
      <c r="AG339" s="142">
        <f>IFERROR(_xlfn.XLOOKUP($D339,'Modelling New'!$D:$D,'Modelling New'!$AE:$AE),"")</f>
        <v>0.96029999999999993</v>
      </c>
      <c r="AH339" s="142">
        <f>IFERROR(_xlfn.XLOOKUP($D339,'Modelling New'!$D:$D,'Modelling New'!$AF:$AF),"")</f>
        <v>0.995</v>
      </c>
      <c r="AI339" s="109" t="str">
        <f>IFERROR(_xlfn.XLOOKUP($A339,Input_Raw!$A:$A,Input_Raw!$DP:$DP),"")</f>
        <v/>
      </c>
      <c r="AJ339" s="108"/>
      <c r="AK339" s="108"/>
      <c r="AL339" s="108"/>
      <c r="AM339" s="108"/>
      <c r="AN339" s="132" t="str">
        <f>IFERROR(_xlfn.XLOOKUP($A339,Input_Raw!$A:$A,Input_Raw!$DL:$DL),"")</f>
        <v/>
      </c>
      <c r="AO339" s="142" t="str">
        <f>IFERROR((_xlfn.XLOOKUP($A339,'WTG Reactive Power'!$A:$A,'WTG Reactive Power'!$AW:$AW))/X339,"")</f>
        <v/>
      </c>
      <c r="AP339" s="142">
        <f>IFERROR(_xlfn.XLOOKUP($D339,'Modelling New'!$D:$D,'Modelling New'!$AK:$AK),"")</f>
        <v>0.05</v>
      </c>
      <c r="AQ339" s="142">
        <f>IFERROR(_xlfn.XLOOKUP($D339,'Modelling New'!$D:$D,'Modelling New'!$AL:$AL),"")</f>
        <v>0.05</v>
      </c>
      <c r="AR339" s="198">
        <f>IFERROR(_xlfn.XLOOKUP($D339,'Modelling New'!$D:$D,'Modelling New'!$N:$N),"")</f>
        <v>70.400000000000006</v>
      </c>
      <c r="AS339" s="198"/>
    </row>
    <row r="340" spans="1:45">
      <c r="A340" s="137">
        <f t="shared" si="37"/>
        <v>46083</v>
      </c>
      <c r="B340" s="138">
        <f>YEAR(Daily_KPI[[#This Row],[Date]])+IF(MONTH(Daily_KPI[[#This Row],[Date]])&gt;=4,1,0)</f>
        <v>2026</v>
      </c>
      <c r="C340" s="108">
        <f>YEAR(Daily_KPI[[#This Row],[Date]])</f>
        <v>2026</v>
      </c>
      <c r="D340" s="139">
        <f>Daily_KPI[[#This Row],[Date]]-DAY(Daily_KPI[[#This Row],[Date]])+1</f>
        <v>46082</v>
      </c>
      <c r="E340" s="108">
        <f t="shared" si="33"/>
        <v>31</v>
      </c>
      <c r="F340" s="109"/>
      <c r="G340" s="110"/>
      <c r="H340" s="110"/>
      <c r="I340" s="110"/>
      <c r="J340" s="110"/>
      <c r="K340" s="111"/>
      <c r="L340" s="110"/>
      <c r="M340" s="110" t="str">
        <f>IFERROR(_xlfn.XLOOKUP($A340,Input_Raw!$A:$A,Input_Raw!$CQ:$CQ),"")</f>
        <v/>
      </c>
      <c r="N340" s="110" t="str">
        <f>IFERROR(_xlfn.XLOOKUP($A340,Input_Raw!$A:$A,Input_Raw!$CR:$CR),"")</f>
        <v/>
      </c>
      <c r="O340" s="141" t="str">
        <f t="shared" si="34"/>
        <v/>
      </c>
      <c r="P340" s="141" t="str">
        <f>IFERROR(1-SUMIF(WTG_BD!$F:$F,$A340,WTG_BD!$AA:$AA)/($AA340+SUMIF(WTG_BD!$F:$F,$A340,WTG_BD!$AA:$AA)),"")</f>
        <v/>
      </c>
      <c r="Q340" s="141" t="str">
        <f>IFERROR(1-SUMIF(IGA_BD!$F:$F,$A340,IGA_BD!$W:$W)/($AA340+SUMIF(IGA_BD!$F:$F,$A340,IGA_BD!$W:$W)),"")</f>
        <v/>
      </c>
      <c r="R340" s="141" t="str">
        <f>IFERROR(1-SUMIF(Grid_BD!$F:$F,$A340,Grid_BD!$Y:$Y)/($AA340+SUMIF(Grid_BD!$F:$F,$A340,Grid_BD!$Y:$Y)),"")</f>
        <v/>
      </c>
      <c r="S340" s="108"/>
      <c r="T340" s="140"/>
      <c r="U340" s="141"/>
      <c r="V340" s="108"/>
      <c r="W340" s="142" t="str">
        <f t="shared" si="35"/>
        <v/>
      </c>
      <c r="X340" s="108" t="str">
        <f>IFERROR(_xlfn.XLOOKUP($A340,Input_Raw!$A:$A,Input_Raw!$CP:$CP)*1000,"")</f>
        <v/>
      </c>
      <c r="Y340" s="108" t="str">
        <f>IFERROR(_xlfn.XLOOKUP($A340,Input_Raw!$A:$A,Input_Raw!DJ:DJ)*1000,"")</f>
        <v/>
      </c>
      <c r="Z340" s="108" t="str">
        <f>IFERROR(_xlfn.XLOOKUP($A340,Input_Raw!$A:$A,Input_Raw!DK:DK)*1000,"")</f>
        <v/>
      </c>
      <c r="AA340" s="138" t="str">
        <f t="shared" si="36"/>
        <v/>
      </c>
      <c r="AB340" s="108" t="str">
        <f>IFERROR(_xlfn.XLOOKUP($A340,Input_Raw!$A:$A,Input_Raw!$DR:$DR),"")</f>
        <v/>
      </c>
      <c r="AC340" s="143">
        <f>IFERROR(_xlfn.XLOOKUP($D340,'Modelling New'!$D:$D,'Modelling New'!$J:$J),"")</f>
        <v>4.5649999999999995</v>
      </c>
      <c r="AD340" s="138">
        <f>IFERROR(_xlfn.XLOOKUP($D340,'Modelling New'!$D:$D,'Modelling New'!$T:$T)*1000,"")</f>
        <v>177355.29697136435</v>
      </c>
      <c r="AE340" s="142"/>
      <c r="AF340" s="142">
        <f>IFERROR(_xlfn.XLOOKUP($D340,'Modelling New'!$D:$D,'Modelling New'!$W:$W),"")</f>
        <v>0.1049688073930897</v>
      </c>
      <c r="AG340" s="142">
        <f>IFERROR(_xlfn.XLOOKUP($D340,'Modelling New'!$D:$D,'Modelling New'!$AE:$AE),"")</f>
        <v>0.96029999999999993</v>
      </c>
      <c r="AH340" s="142">
        <f>IFERROR(_xlfn.XLOOKUP($D340,'Modelling New'!$D:$D,'Modelling New'!$AF:$AF),"")</f>
        <v>0.995</v>
      </c>
      <c r="AI340" s="109" t="str">
        <f>IFERROR(_xlfn.XLOOKUP($A340,Input_Raw!$A:$A,Input_Raw!$DP:$DP),"")</f>
        <v/>
      </c>
      <c r="AJ340" s="108"/>
      <c r="AK340" s="108"/>
      <c r="AL340" s="108"/>
      <c r="AM340" s="108"/>
      <c r="AN340" s="132" t="str">
        <f>IFERROR(_xlfn.XLOOKUP($A340,Input_Raw!$A:$A,Input_Raw!$DL:$DL),"")</f>
        <v/>
      </c>
      <c r="AO340" s="142" t="str">
        <f>IFERROR((_xlfn.XLOOKUP($A340,'WTG Reactive Power'!$A:$A,'WTG Reactive Power'!$AW:$AW))/X340,"")</f>
        <v/>
      </c>
      <c r="AP340" s="142">
        <f>IFERROR(_xlfn.XLOOKUP($D340,'Modelling New'!$D:$D,'Modelling New'!$AK:$AK),"")</f>
        <v>0.05</v>
      </c>
      <c r="AQ340" s="142">
        <f>IFERROR(_xlfn.XLOOKUP($D340,'Modelling New'!$D:$D,'Modelling New'!$AL:$AL),"")</f>
        <v>0.05</v>
      </c>
      <c r="AR340" s="198">
        <f>IFERROR(_xlfn.XLOOKUP($D340,'Modelling New'!$D:$D,'Modelling New'!$N:$N),"")</f>
        <v>70.400000000000006</v>
      </c>
      <c r="AS340" s="198"/>
    </row>
    <row r="341" spans="1:45">
      <c r="A341" s="137">
        <f t="shared" si="37"/>
        <v>46084</v>
      </c>
      <c r="B341" s="138">
        <f>YEAR(Daily_KPI[[#This Row],[Date]])+IF(MONTH(Daily_KPI[[#This Row],[Date]])&gt;=4,1,0)</f>
        <v>2026</v>
      </c>
      <c r="C341" s="108">
        <f>YEAR(Daily_KPI[[#This Row],[Date]])</f>
        <v>2026</v>
      </c>
      <c r="D341" s="139">
        <f>Daily_KPI[[#This Row],[Date]]-DAY(Daily_KPI[[#This Row],[Date]])+1</f>
        <v>46082</v>
      </c>
      <c r="E341" s="108">
        <f t="shared" si="33"/>
        <v>31</v>
      </c>
      <c r="F341" s="109"/>
      <c r="G341" s="110"/>
      <c r="H341" s="110"/>
      <c r="I341" s="110"/>
      <c r="J341" s="110"/>
      <c r="K341" s="111"/>
      <c r="L341" s="110"/>
      <c r="M341" s="110" t="str">
        <f>IFERROR(_xlfn.XLOOKUP($A341,Input_Raw!$A:$A,Input_Raw!$CQ:$CQ),"")</f>
        <v/>
      </c>
      <c r="N341" s="110" t="str">
        <f>IFERROR(_xlfn.XLOOKUP($A341,Input_Raw!$A:$A,Input_Raw!$CR:$CR),"")</f>
        <v/>
      </c>
      <c r="O341" s="141" t="str">
        <f t="shared" si="34"/>
        <v/>
      </c>
      <c r="P341" s="141" t="str">
        <f>IFERROR(1-SUMIF(WTG_BD!$F:$F,$A341,WTG_BD!$AA:$AA)/($AA341+SUMIF(WTG_BD!$F:$F,$A341,WTG_BD!$AA:$AA)),"")</f>
        <v/>
      </c>
      <c r="Q341" s="141" t="str">
        <f>IFERROR(1-SUMIF(IGA_BD!$F:$F,$A341,IGA_BD!$W:$W)/($AA341+SUMIF(IGA_BD!$F:$F,$A341,IGA_BD!$W:$W)),"")</f>
        <v/>
      </c>
      <c r="R341" s="141" t="str">
        <f>IFERROR(1-SUMIF(Grid_BD!$F:$F,$A341,Grid_BD!$Y:$Y)/($AA341+SUMIF(Grid_BD!$F:$F,$A341,Grid_BD!$Y:$Y)),"")</f>
        <v/>
      </c>
      <c r="S341" s="108"/>
      <c r="T341" s="140"/>
      <c r="U341" s="141"/>
      <c r="V341" s="108"/>
      <c r="W341" s="142" t="str">
        <f t="shared" si="35"/>
        <v/>
      </c>
      <c r="X341" s="108" t="str">
        <f>IFERROR(_xlfn.XLOOKUP($A341,Input_Raw!$A:$A,Input_Raw!$CP:$CP)*1000,"")</f>
        <v/>
      </c>
      <c r="Y341" s="108" t="str">
        <f>IFERROR(_xlfn.XLOOKUP($A341,Input_Raw!$A:$A,Input_Raw!DJ:DJ)*1000,"")</f>
        <v/>
      </c>
      <c r="Z341" s="108" t="str">
        <f>IFERROR(_xlfn.XLOOKUP($A341,Input_Raw!$A:$A,Input_Raw!DK:DK)*1000,"")</f>
        <v/>
      </c>
      <c r="AA341" s="138" t="str">
        <f t="shared" si="36"/>
        <v/>
      </c>
      <c r="AB341" s="108" t="str">
        <f>IFERROR(_xlfn.XLOOKUP($A341,Input_Raw!$A:$A,Input_Raw!$DR:$DR),"")</f>
        <v/>
      </c>
      <c r="AC341" s="143">
        <f>IFERROR(_xlfn.XLOOKUP($D341,'Modelling New'!$D:$D,'Modelling New'!$J:$J),"")</f>
        <v>4.5649999999999995</v>
      </c>
      <c r="AD341" s="138">
        <f>IFERROR(_xlfn.XLOOKUP($D341,'Modelling New'!$D:$D,'Modelling New'!$T:$T)*1000,"")</f>
        <v>177355.29697136435</v>
      </c>
      <c r="AE341" s="142"/>
      <c r="AF341" s="142">
        <f>IFERROR(_xlfn.XLOOKUP($D341,'Modelling New'!$D:$D,'Modelling New'!$W:$W),"")</f>
        <v>0.1049688073930897</v>
      </c>
      <c r="AG341" s="142">
        <f>IFERROR(_xlfn.XLOOKUP($D341,'Modelling New'!$D:$D,'Modelling New'!$AE:$AE),"")</f>
        <v>0.96029999999999993</v>
      </c>
      <c r="AH341" s="142">
        <f>IFERROR(_xlfn.XLOOKUP($D341,'Modelling New'!$D:$D,'Modelling New'!$AF:$AF),"")</f>
        <v>0.995</v>
      </c>
      <c r="AI341" s="109" t="str">
        <f>IFERROR(_xlfn.XLOOKUP($A341,Input_Raw!$A:$A,Input_Raw!$DP:$DP),"")</f>
        <v/>
      </c>
      <c r="AJ341" s="108"/>
      <c r="AK341" s="108"/>
      <c r="AL341" s="108"/>
      <c r="AM341" s="108"/>
      <c r="AN341" s="132" t="str">
        <f>IFERROR(_xlfn.XLOOKUP($A341,Input_Raw!$A:$A,Input_Raw!$DL:$DL),"")</f>
        <v/>
      </c>
      <c r="AO341" s="142" t="str">
        <f>IFERROR((_xlfn.XLOOKUP($A341,'WTG Reactive Power'!$A:$A,'WTG Reactive Power'!$AW:$AW))/X341,"")</f>
        <v/>
      </c>
      <c r="AP341" s="142">
        <f>IFERROR(_xlfn.XLOOKUP($D341,'Modelling New'!$D:$D,'Modelling New'!$AK:$AK),"")</f>
        <v>0.05</v>
      </c>
      <c r="AQ341" s="142">
        <f>IFERROR(_xlfn.XLOOKUP($D341,'Modelling New'!$D:$D,'Modelling New'!$AL:$AL),"")</f>
        <v>0.05</v>
      </c>
      <c r="AR341" s="198">
        <f>IFERROR(_xlfn.XLOOKUP($D341,'Modelling New'!$D:$D,'Modelling New'!$N:$N),"")</f>
        <v>70.400000000000006</v>
      </c>
      <c r="AS341" s="198"/>
    </row>
    <row r="342" spans="1:45">
      <c r="A342" s="137">
        <f t="shared" si="37"/>
        <v>46085</v>
      </c>
      <c r="B342" s="138">
        <f>YEAR(Daily_KPI[[#This Row],[Date]])+IF(MONTH(Daily_KPI[[#This Row],[Date]])&gt;=4,1,0)</f>
        <v>2026</v>
      </c>
      <c r="C342" s="108">
        <f>YEAR(Daily_KPI[[#This Row],[Date]])</f>
        <v>2026</v>
      </c>
      <c r="D342" s="139">
        <f>Daily_KPI[[#This Row],[Date]]-DAY(Daily_KPI[[#This Row],[Date]])+1</f>
        <v>46082</v>
      </c>
      <c r="E342" s="108">
        <f t="shared" si="33"/>
        <v>31</v>
      </c>
      <c r="F342" s="109"/>
      <c r="G342" s="110"/>
      <c r="H342" s="110"/>
      <c r="I342" s="110"/>
      <c r="J342" s="110"/>
      <c r="K342" s="111"/>
      <c r="L342" s="110"/>
      <c r="M342" s="110" t="str">
        <f>IFERROR(_xlfn.XLOOKUP($A342,Input_Raw!$A:$A,Input_Raw!$CQ:$CQ),"")</f>
        <v/>
      </c>
      <c r="N342" s="110" t="str">
        <f>IFERROR(_xlfn.XLOOKUP($A342,Input_Raw!$A:$A,Input_Raw!$CR:$CR),"")</f>
        <v/>
      </c>
      <c r="O342" s="141" t="str">
        <f t="shared" si="34"/>
        <v/>
      </c>
      <c r="P342" s="141" t="str">
        <f>IFERROR(1-SUMIF(WTG_BD!$F:$F,$A342,WTG_BD!$AA:$AA)/($AA342+SUMIF(WTG_BD!$F:$F,$A342,WTG_BD!$AA:$AA)),"")</f>
        <v/>
      </c>
      <c r="Q342" s="141" t="str">
        <f>IFERROR(1-SUMIF(IGA_BD!$F:$F,$A342,IGA_BD!$W:$W)/($AA342+SUMIF(IGA_BD!$F:$F,$A342,IGA_BD!$W:$W)),"")</f>
        <v/>
      </c>
      <c r="R342" s="141" t="str">
        <f>IFERROR(1-SUMIF(Grid_BD!$F:$F,$A342,Grid_BD!$Y:$Y)/($AA342+SUMIF(Grid_BD!$F:$F,$A342,Grid_BD!$Y:$Y)),"")</f>
        <v/>
      </c>
      <c r="S342" s="108"/>
      <c r="T342" s="140"/>
      <c r="U342" s="141"/>
      <c r="V342" s="108"/>
      <c r="W342" s="142" t="str">
        <f t="shared" si="35"/>
        <v/>
      </c>
      <c r="X342" s="108" t="str">
        <f>IFERROR(_xlfn.XLOOKUP($A342,Input_Raw!$A:$A,Input_Raw!$CP:$CP)*1000,"")</f>
        <v/>
      </c>
      <c r="Y342" s="108" t="str">
        <f>IFERROR(_xlfn.XLOOKUP($A342,Input_Raw!$A:$A,Input_Raw!DJ:DJ)*1000,"")</f>
        <v/>
      </c>
      <c r="Z342" s="108" t="str">
        <f>IFERROR(_xlfn.XLOOKUP($A342,Input_Raw!$A:$A,Input_Raw!DK:DK)*1000,"")</f>
        <v/>
      </c>
      <c r="AA342" s="138" t="str">
        <f t="shared" si="36"/>
        <v/>
      </c>
      <c r="AB342" s="108" t="str">
        <f>IFERROR(_xlfn.XLOOKUP($A342,Input_Raw!$A:$A,Input_Raw!$DR:$DR),"")</f>
        <v/>
      </c>
      <c r="AC342" s="143">
        <f>IFERROR(_xlfn.XLOOKUP($D342,'Modelling New'!$D:$D,'Modelling New'!$J:$J),"")</f>
        <v>4.5649999999999995</v>
      </c>
      <c r="AD342" s="138">
        <f>IFERROR(_xlfn.XLOOKUP($D342,'Modelling New'!$D:$D,'Modelling New'!$T:$T)*1000,"")</f>
        <v>177355.29697136435</v>
      </c>
      <c r="AE342" s="142"/>
      <c r="AF342" s="142">
        <f>IFERROR(_xlfn.XLOOKUP($D342,'Modelling New'!$D:$D,'Modelling New'!$W:$W),"")</f>
        <v>0.1049688073930897</v>
      </c>
      <c r="AG342" s="142">
        <f>IFERROR(_xlfn.XLOOKUP($D342,'Modelling New'!$D:$D,'Modelling New'!$AE:$AE),"")</f>
        <v>0.96029999999999993</v>
      </c>
      <c r="AH342" s="142">
        <f>IFERROR(_xlfn.XLOOKUP($D342,'Modelling New'!$D:$D,'Modelling New'!$AF:$AF),"")</f>
        <v>0.995</v>
      </c>
      <c r="AI342" s="109" t="str">
        <f>IFERROR(_xlfn.XLOOKUP($A342,Input_Raw!$A:$A,Input_Raw!$DP:$DP),"")</f>
        <v/>
      </c>
      <c r="AJ342" s="108"/>
      <c r="AK342" s="108"/>
      <c r="AL342" s="108"/>
      <c r="AM342" s="108"/>
      <c r="AN342" s="132" t="str">
        <f>IFERROR(_xlfn.XLOOKUP($A342,Input_Raw!$A:$A,Input_Raw!$DL:$DL),"")</f>
        <v/>
      </c>
      <c r="AO342" s="142" t="str">
        <f>IFERROR((_xlfn.XLOOKUP($A342,'WTG Reactive Power'!$A:$A,'WTG Reactive Power'!$AW:$AW))/X342,"")</f>
        <v/>
      </c>
      <c r="AP342" s="142">
        <f>IFERROR(_xlfn.XLOOKUP($D342,'Modelling New'!$D:$D,'Modelling New'!$AK:$AK),"")</f>
        <v>0.05</v>
      </c>
      <c r="AQ342" s="142">
        <f>IFERROR(_xlfn.XLOOKUP($D342,'Modelling New'!$D:$D,'Modelling New'!$AL:$AL),"")</f>
        <v>0.05</v>
      </c>
      <c r="AR342" s="198">
        <f>IFERROR(_xlfn.XLOOKUP($D342,'Modelling New'!$D:$D,'Modelling New'!$N:$N),"")</f>
        <v>70.400000000000006</v>
      </c>
      <c r="AS342" s="198"/>
    </row>
    <row r="343" spans="1:45">
      <c r="A343" s="137">
        <f t="shared" si="37"/>
        <v>46086</v>
      </c>
      <c r="B343" s="138">
        <f>YEAR(Daily_KPI[[#This Row],[Date]])+IF(MONTH(Daily_KPI[[#This Row],[Date]])&gt;=4,1,0)</f>
        <v>2026</v>
      </c>
      <c r="C343" s="108">
        <f>YEAR(Daily_KPI[[#This Row],[Date]])</f>
        <v>2026</v>
      </c>
      <c r="D343" s="139">
        <f>Daily_KPI[[#This Row],[Date]]-DAY(Daily_KPI[[#This Row],[Date]])+1</f>
        <v>46082</v>
      </c>
      <c r="E343" s="108">
        <f t="shared" si="33"/>
        <v>31</v>
      </c>
      <c r="F343" s="109"/>
      <c r="G343" s="110"/>
      <c r="H343" s="110"/>
      <c r="I343" s="110"/>
      <c r="J343" s="110"/>
      <c r="K343" s="111"/>
      <c r="L343" s="110"/>
      <c r="M343" s="110" t="str">
        <f>IFERROR(_xlfn.XLOOKUP($A343,Input_Raw!$A:$A,Input_Raw!$CQ:$CQ),"")</f>
        <v/>
      </c>
      <c r="N343" s="110" t="str">
        <f>IFERROR(_xlfn.XLOOKUP($A343,Input_Raw!$A:$A,Input_Raw!$CR:$CR),"")</f>
        <v/>
      </c>
      <c r="O343" s="141" t="str">
        <f t="shared" si="34"/>
        <v/>
      </c>
      <c r="P343" s="141" t="str">
        <f>IFERROR(1-SUMIF(WTG_BD!$F:$F,$A343,WTG_BD!$AA:$AA)/($AA343+SUMIF(WTG_BD!$F:$F,$A343,WTG_BD!$AA:$AA)),"")</f>
        <v/>
      </c>
      <c r="Q343" s="141" t="str">
        <f>IFERROR(1-SUMIF(IGA_BD!$F:$F,$A343,IGA_BD!$W:$W)/($AA343+SUMIF(IGA_BD!$F:$F,$A343,IGA_BD!$W:$W)),"")</f>
        <v/>
      </c>
      <c r="R343" s="141" t="str">
        <f>IFERROR(1-SUMIF(Grid_BD!$F:$F,$A343,Grid_BD!$Y:$Y)/($AA343+SUMIF(Grid_BD!$F:$F,$A343,Grid_BD!$Y:$Y)),"")</f>
        <v/>
      </c>
      <c r="S343" s="108"/>
      <c r="T343" s="140"/>
      <c r="U343" s="141"/>
      <c r="V343" s="108"/>
      <c r="W343" s="142" t="str">
        <f t="shared" si="35"/>
        <v/>
      </c>
      <c r="X343" s="108" t="str">
        <f>IFERROR(_xlfn.XLOOKUP($A343,Input_Raw!$A:$A,Input_Raw!$CP:$CP)*1000,"")</f>
        <v/>
      </c>
      <c r="Y343" s="108" t="str">
        <f>IFERROR(_xlfn.XLOOKUP($A343,Input_Raw!$A:$A,Input_Raw!DJ:DJ)*1000,"")</f>
        <v/>
      </c>
      <c r="Z343" s="108" t="str">
        <f>IFERROR(_xlfn.XLOOKUP($A343,Input_Raw!$A:$A,Input_Raw!DK:DK)*1000,"")</f>
        <v/>
      </c>
      <c r="AA343" s="138" t="str">
        <f t="shared" si="36"/>
        <v/>
      </c>
      <c r="AB343" s="108" t="str">
        <f>IFERROR(_xlfn.XLOOKUP($A343,Input_Raw!$A:$A,Input_Raw!$DR:$DR),"")</f>
        <v/>
      </c>
      <c r="AC343" s="143">
        <f>IFERROR(_xlfn.XLOOKUP($D343,'Modelling New'!$D:$D,'Modelling New'!$J:$J),"")</f>
        <v>4.5649999999999995</v>
      </c>
      <c r="AD343" s="138">
        <f>IFERROR(_xlfn.XLOOKUP($D343,'Modelling New'!$D:$D,'Modelling New'!$T:$T)*1000,"")</f>
        <v>177355.29697136435</v>
      </c>
      <c r="AE343" s="142"/>
      <c r="AF343" s="142">
        <f>IFERROR(_xlfn.XLOOKUP($D343,'Modelling New'!$D:$D,'Modelling New'!$W:$W),"")</f>
        <v>0.1049688073930897</v>
      </c>
      <c r="AG343" s="142">
        <f>IFERROR(_xlfn.XLOOKUP($D343,'Modelling New'!$D:$D,'Modelling New'!$AE:$AE),"")</f>
        <v>0.96029999999999993</v>
      </c>
      <c r="AH343" s="142">
        <f>IFERROR(_xlfn.XLOOKUP($D343,'Modelling New'!$D:$D,'Modelling New'!$AF:$AF),"")</f>
        <v>0.995</v>
      </c>
      <c r="AI343" s="109" t="str">
        <f>IFERROR(_xlfn.XLOOKUP($A343,Input_Raw!$A:$A,Input_Raw!$DP:$DP),"")</f>
        <v/>
      </c>
      <c r="AJ343" s="108"/>
      <c r="AK343" s="108"/>
      <c r="AL343" s="108"/>
      <c r="AM343" s="108"/>
      <c r="AN343" s="132" t="str">
        <f>IFERROR(_xlfn.XLOOKUP($A343,Input_Raw!$A:$A,Input_Raw!$DL:$DL),"")</f>
        <v/>
      </c>
      <c r="AO343" s="142" t="str">
        <f>IFERROR((_xlfn.XLOOKUP($A343,'WTG Reactive Power'!$A:$A,'WTG Reactive Power'!$AW:$AW))/X343,"")</f>
        <v/>
      </c>
      <c r="AP343" s="142">
        <f>IFERROR(_xlfn.XLOOKUP($D343,'Modelling New'!$D:$D,'Modelling New'!$AK:$AK),"")</f>
        <v>0.05</v>
      </c>
      <c r="AQ343" s="142">
        <f>IFERROR(_xlfn.XLOOKUP($D343,'Modelling New'!$D:$D,'Modelling New'!$AL:$AL),"")</f>
        <v>0.05</v>
      </c>
      <c r="AR343" s="198">
        <f>IFERROR(_xlfn.XLOOKUP($D343,'Modelling New'!$D:$D,'Modelling New'!$N:$N),"")</f>
        <v>70.400000000000006</v>
      </c>
      <c r="AS343" s="198"/>
    </row>
    <row r="344" spans="1:45">
      <c r="A344" s="137">
        <f t="shared" si="37"/>
        <v>46087</v>
      </c>
      <c r="B344" s="138">
        <f>YEAR(Daily_KPI[[#This Row],[Date]])+IF(MONTH(Daily_KPI[[#This Row],[Date]])&gt;=4,1,0)</f>
        <v>2026</v>
      </c>
      <c r="C344" s="108">
        <f>YEAR(Daily_KPI[[#This Row],[Date]])</f>
        <v>2026</v>
      </c>
      <c r="D344" s="139">
        <f>Daily_KPI[[#This Row],[Date]]-DAY(Daily_KPI[[#This Row],[Date]])+1</f>
        <v>46082</v>
      </c>
      <c r="E344" s="108">
        <f t="shared" ref="E344:E369" si="38">DAY(EOMONTH(A344,0))</f>
        <v>31</v>
      </c>
      <c r="F344" s="109"/>
      <c r="G344" s="110"/>
      <c r="H344" s="110"/>
      <c r="I344" s="110"/>
      <c r="J344" s="110"/>
      <c r="K344" s="111"/>
      <c r="L344" s="110"/>
      <c r="M344" s="110" t="str">
        <f>IFERROR(_xlfn.XLOOKUP($A344,Input_Raw!$A:$A,Input_Raw!$CQ:$CQ),"")</f>
        <v/>
      </c>
      <c r="N344" s="110" t="str">
        <f>IFERROR(_xlfn.XLOOKUP($A344,Input_Raw!$A:$A,Input_Raw!$CR:$CR),"")</f>
        <v/>
      </c>
      <c r="O344" s="141" t="str">
        <f t="shared" ref="O344:O369" si="39">IFERROR(P344*Q344,"")</f>
        <v/>
      </c>
      <c r="P344" s="141" t="str">
        <f>IFERROR(1-SUMIF(WTG_BD!$F:$F,$A344,WTG_BD!$AA:$AA)/($AA344+SUMIF(WTG_BD!$F:$F,$A344,WTG_BD!$AA:$AA)),"")</f>
        <v/>
      </c>
      <c r="Q344" s="141" t="str">
        <f>IFERROR(1-SUMIF(IGA_BD!$F:$F,$A344,IGA_BD!$W:$W)/($AA344+SUMIF(IGA_BD!$F:$F,$A344,IGA_BD!$W:$W)),"")</f>
        <v/>
      </c>
      <c r="R344" s="141" t="str">
        <f>IFERROR(1-SUMIF(Grid_BD!$F:$F,$A344,Grid_BD!$Y:$Y)/($AA344+SUMIF(Grid_BD!$F:$F,$A344,Grid_BD!$Y:$Y)),"")</f>
        <v/>
      </c>
      <c r="S344" s="108"/>
      <c r="T344" s="140"/>
      <c r="U344" s="141"/>
      <c r="V344" s="108"/>
      <c r="W344" s="142" t="str">
        <f t="shared" ref="W344:W369" si="40">IFERROR(X344/(24*AB344*1000),"")</f>
        <v/>
      </c>
      <c r="X344" s="108" t="str">
        <f>IFERROR(_xlfn.XLOOKUP($A344,Input_Raw!$A:$A,Input_Raw!$CP:$CP)*1000,"")</f>
        <v/>
      </c>
      <c r="Y344" s="108" t="str">
        <f>IFERROR(_xlfn.XLOOKUP($A344,Input_Raw!$A:$A,Input_Raw!DJ:DJ)*1000,"")</f>
        <v/>
      </c>
      <c r="Z344" s="108" t="str">
        <f>IFERROR(_xlfn.XLOOKUP($A344,Input_Raw!$A:$A,Input_Raw!DK:DK)*1000,"")</f>
        <v/>
      </c>
      <c r="AA344" s="138" t="str">
        <f t="shared" ref="AA344:AA369" si="41">IFERROR(Y344-Z344,"")</f>
        <v/>
      </c>
      <c r="AB344" s="108" t="str">
        <f>IFERROR(_xlfn.XLOOKUP($A344,Input_Raw!$A:$A,Input_Raw!$DR:$DR),"")</f>
        <v/>
      </c>
      <c r="AC344" s="143">
        <f>IFERROR(_xlfn.XLOOKUP($D344,'Modelling New'!$D:$D,'Modelling New'!$J:$J),"")</f>
        <v>4.5649999999999995</v>
      </c>
      <c r="AD344" s="138">
        <f>IFERROR(_xlfn.XLOOKUP($D344,'Modelling New'!$D:$D,'Modelling New'!$T:$T)*1000,"")</f>
        <v>177355.29697136435</v>
      </c>
      <c r="AE344" s="142"/>
      <c r="AF344" s="142">
        <f>IFERROR(_xlfn.XLOOKUP($D344,'Modelling New'!$D:$D,'Modelling New'!$W:$W),"")</f>
        <v>0.1049688073930897</v>
      </c>
      <c r="AG344" s="142">
        <f>IFERROR(_xlfn.XLOOKUP($D344,'Modelling New'!$D:$D,'Modelling New'!$AE:$AE),"")</f>
        <v>0.96029999999999993</v>
      </c>
      <c r="AH344" s="142">
        <f>IFERROR(_xlfn.XLOOKUP($D344,'Modelling New'!$D:$D,'Modelling New'!$AF:$AF),"")</f>
        <v>0.995</v>
      </c>
      <c r="AI344" s="109" t="str">
        <f>IFERROR(_xlfn.XLOOKUP($A344,Input_Raw!$A:$A,Input_Raw!$DP:$DP),"")</f>
        <v/>
      </c>
      <c r="AJ344" s="108"/>
      <c r="AK344" s="108"/>
      <c r="AL344" s="108"/>
      <c r="AM344" s="108"/>
      <c r="AN344" s="132" t="str">
        <f>IFERROR(_xlfn.XLOOKUP($A344,Input_Raw!$A:$A,Input_Raw!$DL:$DL),"")</f>
        <v/>
      </c>
      <c r="AO344" s="142" t="str">
        <f>IFERROR((_xlfn.XLOOKUP($A344,'WTG Reactive Power'!$A:$A,'WTG Reactive Power'!$AW:$AW))/X344,"")</f>
        <v/>
      </c>
      <c r="AP344" s="142">
        <f>IFERROR(_xlfn.XLOOKUP($D344,'Modelling New'!$D:$D,'Modelling New'!$AK:$AK),"")</f>
        <v>0.05</v>
      </c>
      <c r="AQ344" s="142">
        <f>IFERROR(_xlfn.XLOOKUP($D344,'Modelling New'!$D:$D,'Modelling New'!$AL:$AL),"")</f>
        <v>0.05</v>
      </c>
      <c r="AR344" s="198">
        <f>IFERROR(_xlfn.XLOOKUP($D344,'Modelling New'!$D:$D,'Modelling New'!$N:$N),"")</f>
        <v>70.400000000000006</v>
      </c>
      <c r="AS344" s="198"/>
    </row>
    <row r="345" spans="1:45">
      <c r="A345" s="137">
        <f t="shared" si="37"/>
        <v>46088</v>
      </c>
      <c r="B345" s="138">
        <f>YEAR(Daily_KPI[[#This Row],[Date]])+IF(MONTH(Daily_KPI[[#This Row],[Date]])&gt;=4,1,0)</f>
        <v>2026</v>
      </c>
      <c r="C345" s="108">
        <f>YEAR(Daily_KPI[[#This Row],[Date]])</f>
        <v>2026</v>
      </c>
      <c r="D345" s="139">
        <f>Daily_KPI[[#This Row],[Date]]-DAY(Daily_KPI[[#This Row],[Date]])+1</f>
        <v>46082</v>
      </c>
      <c r="E345" s="108">
        <f t="shared" si="38"/>
        <v>31</v>
      </c>
      <c r="F345" s="109"/>
      <c r="G345" s="110"/>
      <c r="H345" s="110"/>
      <c r="I345" s="110"/>
      <c r="J345" s="110"/>
      <c r="K345" s="111"/>
      <c r="L345" s="110"/>
      <c r="M345" s="110" t="str">
        <f>IFERROR(_xlfn.XLOOKUP($A345,Input_Raw!$A:$A,Input_Raw!$CQ:$CQ),"")</f>
        <v/>
      </c>
      <c r="N345" s="110" t="str">
        <f>IFERROR(_xlfn.XLOOKUP($A345,Input_Raw!$A:$A,Input_Raw!$CR:$CR),"")</f>
        <v/>
      </c>
      <c r="O345" s="141" t="str">
        <f t="shared" si="39"/>
        <v/>
      </c>
      <c r="P345" s="141" t="str">
        <f>IFERROR(1-SUMIF(WTG_BD!$F:$F,$A345,WTG_BD!$AA:$AA)/($AA345+SUMIF(WTG_BD!$F:$F,$A345,WTG_BD!$AA:$AA)),"")</f>
        <v/>
      </c>
      <c r="Q345" s="141" t="str">
        <f>IFERROR(1-SUMIF(IGA_BD!$F:$F,$A345,IGA_BD!$W:$W)/($AA345+SUMIF(IGA_BD!$F:$F,$A345,IGA_BD!$W:$W)),"")</f>
        <v/>
      </c>
      <c r="R345" s="141" t="str">
        <f>IFERROR(1-SUMIF(Grid_BD!$F:$F,$A345,Grid_BD!$Y:$Y)/($AA345+SUMIF(Grid_BD!$F:$F,$A345,Grid_BD!$Y:$Y)),"")</f>
        <v/>
      </c>
      <c r="S345" s="108"/>
      <c r="T345" s="140"/>
      <c r="U345" s="141"/>
      <c r="V345" s="108"/>
      <c r="W345" s="142" t="str">
        <f t="shared" si="40"/>
        <v/>
      </c>
      <c r="X345" s="108" t="str">
        <f>IFERROR(_xlfn.XLOOKUP($A345,Input_Raw!$A:$A,Input_Raw!$CP:$CP)*1000,"")</f>
        <v/>
      </c>
      <c r="Y345" s="108" t="str">
        <f>IFERROR(_xlfn.XLOOKUP($A345,Input_Raw!$A:$A,Input_Raw!DJ:DJ)*1000,"")</f>
        <v/>
      </c>
      <c r="Z345" s="108" t="str">
        <f>IFERROR(_xlfn.XLOOKUP($A345,Input_Raw!$A:$A,Input_Raw!DK:DK)*1000,"")</f>
        <v/>
      </c>
      <c r="AA345" s="138" t="str">
        <f t="shared" si="41"/>
        <v/>
      </c>
      <c r="AB345" s="108" t="str">
        <f>IFERROR(_xlfn.XLOOKUP($A345,Input_Raw!$A:$A,Input_Raw!$DR:$DR),"")</f>
        <v/>
      </c>
      <c r="AC345" s="143">
        <f>IFERROR(_xlfn.XLOOKUP($D345,'Modelling New'!$D:$D,'Modelling New'!$J:$J),"")</f>
        <v>4.5649999999999995</v>
      </c>
      <c r="AD345" s="138">
        <f>IFERROR(_xlfn.XLOOKUP($D345,'Modelling New'!$D:$D,'Modelling New'!$T:$T)*1000,"")</f>
        <v>177355.29697136435</v>
      </c>
      <c r="AE345" s="142"/>
      <c r="AF345" s="142">
        <f>IFERROR(_xlfn.XLOOKUP($D345,'Modelling New'!$D:$D,'Modelling New'!$W:$W),"")</f>
        <v>0.1049688073930897</v>
      </c>
      <c r="AG345" s="142">
        <f>IFERROR(_xlfn.XLOOKUP($D345,'Modelling New'!$D:$D,'Modelling New'!$AE:$AE),"")</f>
        <v>0.96029999999999993</v>
      </c>
      <c r="AH345" s="142">
        <f>IFERROR(_xlfn.XLOOKUP($D345,'Modelling New'!$D:$D,'Modelling New'!$AF:$AF),"")</f>
        <v>0.995</v>
      </c>
      <c r="AI345" s="109" t="str">
        <f>IFERROR(_xlfn.XLOOKUP($A345,Input_Raw!$A:$A,Input_Raw!$DP:$DP),"")</f>
        <v/>
      </c>
      <c r="AJ345" s="108"/>
      <c r="AK345" s="108"/>
      <c r="AL345" s="108"/>
      <c r="AM345" s="108"/>
      <c r="AN345" s="132" t="str">
        <f>IFERROR(_xlfn.XLOOKUP($A345,Input_Raw!$A:$A,Input_Raw!$DL:$DL),"")</f>
        <v/>
      </c>
      <c r="AO345" s="142" t="str">
        <f>IFERROR((_xlfn.XLOOKUP($A345,'WTG Reactive Power'!$A:$A,'WTG Reactive Power'!$AW:$AW))/X345,"")</f>
        <v/>
      </c>
      <c r="AP345" s="142">
        <f>IFERROR(_xlfn.XLOOKUP($D345,'Modelling New'!$D:$D,'Modelling New'!$AK:$AK),"")</f>
        <v>0.05</v>
      </c>
      <c r="AQ345" s="142">
        <f>IFERROR(_xlfn.XLOOKUP($D345,'Modelling New'!$D:$D,'Modelling New'!$AL:$AL),"")</f>
        <v>0.05</v>
      </c>
      <c r="AR345" s="198">
        <f>IFERROR(_xlfn.XLOOKUP($D345,'Modelling New'!$D:$D,'Modelling New'!$N:$N),"")</f>
        <v>70.400000000000006</v>
      </c>
      <c r="AS345" s="198"/>
    </row>
    <row r="346" spans="1:45">
      <c r="A346" s="137">
        <f t="shared" si="37"/>
        <v>46089</v>
      </c>
      <c r="B346" s="138">
        <f>YEAR(Daily_KPI[[#This Row],[Date]])+IF(MONTH(Daily_KPI[[#This Row],[Date]])&gt;=4,1,0)</f>
        <v>2026</v>
      </c>
      <c r="C346" s="108">
        <f>YEAR(Daily_KPI[[#This Row],[Date]])</f>
        <v>2026</v>
      </c>
      <c r="D346" s="139">
        <f>Daily_KPI[[#This Row],[Date]]-DAY(Daily_KPI[[#This Row],[Date]])+1</f>
        <v>46082</v>
      </c>
      <c r="E346" s="108">
        <f t="shared" si="38"/>
        <v>31</v>
      </c>
      <c r="F346" s="109"/>
      <c r="G346" s="110"/>
      <c r="H346" s="110"/>
      <c r="I346" s="110"/>
      <c r="J346" s="110"/>
      <c r="K346" s="111"/>
      <c r="L346" s="110"/>
      <c r="M346" s="110" t="str">
        <f>IFERROR(_xlfn.XLOOKUP($A346,Input_Raw!$A:$A,Input_Raw!$CQ:$CQ),"")</f>
        <v/>
      </c>
      <c r="N346" s="110" t="str">
        <f>IFERROR(_xlfn.XLOOKUP($A346,Input_Raw!$A:$A,Input_Raw!$CR:$CR),"")</f>
        <v/>
      </c>
      <c r="O346" s="141" t="str">
        <f t="shared" si="39"/>
        <v/>
      </c>
      <c r="P346" s="141" t="str">
        <f>IFERROR(1-SUMIF(WTG_BD!$F:$F,$A346,WTG_BD!$AA:$AA)/($AA346+SUMIF(WTG_BD!$F:$F,$A346,WTG_BD!$AA:$AA)),"")</f>
        <v/>
      </c>
      <c r="Q346" s="141" t="str">
        <f>IFERROR(1-SUMIF(IGA_BD!$F:$F,$A346,IGA_BD!$W:$W)/($AA346+SUMIF(IGA_BD!$F:$F,$A346,IGA_BD!$W:$W)),"")</f>
        <v/>
      </c>
      <c r="R346" s="141" t="str">
        <f>IFERROR(1-SUMIF(Grid_BD!$F:$F,$A346,Grid_BD!$Y:$Y)/($AA346+SUMIF(Grid_BD!$F:$F,$A346,Grid_BD!$Y:$Y)),"")</f>
        <v/>
      </c>
      <c r="S346" s="108"/>
      <c r="T346" s="140"/>
      <c r="U346" s="141"/>
      <c r="V346" s="108"/>
      <c r="W346" s="142" t="str">
        <f t="shared" si="40"/>
        <v/>
      </c>
      <c r="X346" s="108" t="str">
        <f>IFERROR(_xlfn.XLOOKUP($A346,Input_Raw!$A:$A,Input_Raw!$CP:$CP)*1000,"")</f>
        <v/>
      </c>
      <c r="Y346" s="108" t="str">
        <f>IFERROR(_xlfn.XLOOKUP($A346,Input_Raw!$A:$A,Input_Raw!DJ:DJ)*1000,"")</f>
        <v/>
      </c>
      <c r="Z346" s="108" t="str">
        <f>IFERROR(_xlfn.XLOOKUP($A346,Input_Raw!$A:$A,Input_Raw!DK:DK)*1000,"")</f>
        <v/>
      </c>
      <c r="AA346" s="138" t="str">
        <f t="shared" si="41"/>
        <v/>
      </c>
      <c r="AB346" s="108" t="str">
        <f>IFERROR(_xlfn.XLOOKUP($A346,Input_Raw!$A:$A,Input_Raw!$DR:$DR),"")</f>
        <v/>
      </c>
      <c r="AC346" s="143">
        <f>IFERROR(_xlfn.XLOOKUP($D346,'Modelling New'!$D:$D,'Modelling New'!$J:$J),"")</f>
        <v>4.5649999999999995</v>
      </c>
      <c r="AD346" s="138">
        <f>IFERROR(_xlfn.XLOOKUP($D346,'Modelling New'!$D:$D,'Modelling New'!$T:$T)*1000,"")</f>
        <v>177355.29697136435</v>
      </c>
      <c r="AE346" s="142"/>
      <c r="AF346" s="142">
        <f>IFERROR(_xlfn.XLOOKUP($D346,'Modelling New'!$D:$D,'Modelling New'!$W:$W),"")</f>
        <v>0.1049688073930897</v>
      </c>
      <c r="AG346" s="142">
        <f>IFERROR(_xlfn.XLOOKUP($D346,'Modelling New'!$D:$D,'Modelling New'!$AE:$AE),"")</f>
        <v>0.96029999999999993</v>
      </c>
      <c r="AH346" s="142">
        <f>IFERROR(_xlfn.XLOOKUP($D346,'Modelling New'!$D:$D,'Modelling New'!$AF:$AF),"")</f>
        <v>0.995</v>
      </c>
      <c r="AI346" s="109" t="str">
        <f>IFERROR(_xlfn.XLOOKUP($A346,Input_Raw!$A:$A,Input_Raw!$DP:$DP),"")</f>
        <v/>
      </c>
      <c r="AJ346" s="108"/>
      <c r="AK346" s="108"/>
      <c r="AL346" s="108"/>
      <c r="AM346" s="108"/>
      <c r="AN346" s="132" t="str">
        <f>IFERROR(_xlfn.XLOOKUP($A346,Input_Raw!$A:$A,Input_Raw!$DL:$DL),"")</f>
        <v/>
      </c>
      <c r="AO346" s="142" t="str">
        <f>IFERROR((_xlfn.XLOOKUP($A346,'WTG Reactive Power'!$A:$A,'WTG Reactive Power'!$AW:$AW))/X346,"")</f>
        <v/>
      </c>
      <c r="AP346" s="142">
        <f>IFERROR(_xlfn.XLOOKUP($D346,'Modelling New'!$D:$D,'Modelling New'!$AK:$AK),"")</f>
        <v>0.05</v>
      </c>
      <c r="AQ346" s="142">
        <f>IFERROR(_xlfn.XLOOKUP($D346,'Modelling New'!$D:$D,'Modelling New'!$AL:$AL),"")</f>
        <v>0.05</v>
      </c>
      <c r="AR346" s="198">
        <f>IFERROR(_xlfn.XLOOKUP($D346,'Modelling New'!$D:$D,'Modelling New'!$N:$N),"")</f>
        <v>70.400000000000006</v>
      </c>
      <c r="AS346" s="198"/>
    </row>
    <row r="347" spans="1:45">
      <c r="A347" s="137">
        <f t="shared" si="37"/>
        <v>46090</v>
      </c>
      <c r="B347" s="138">
        <f>YEAR(Daily_KPI[[#This Row],[Date]])+IF(MONTH(Daily_KPI[[#This Row],[Date]])&gt;=4,1,0)</f>
        <v>2026</v>
      </c>
      <c r="C347" s="108">
        <f>YEAR(Daily_KPI[[#This Row],[Date]])</f>
        <v>2026</v>
      </c>
      <c r="D347" s="139">
        <f>Daily_KPI[[#This Row],[Date]]-DAY(Daily_KPI[[#This Row],[Date]])+1</f>
        <v>46082</v>
      </c>
      <c r="E347" s="108">
        <f t="shared" si="38"/>
        <v>31</v>
      </c>
      <c r="F347" s="109"/>
      <c r="G347" s="110"/>
      <c r="H347" s="110"/>
      <c r="I347" s="110"/>
      <c r="J347" s="110"/>
      <c r="K347" s="111"/>
      <c r="L347" s="110"/>
      <c r="M347" s="110" t="str">
        <f>IFERROR(_xlfn.XLOOKUP($A347,Input_Raw!$A:$A,Input_Raw!$CQ:$CQ),"")</f>
        <v/>
      </c>
      <c r="N347" s="110" t="str">
        <f>IFERROR(_xlfn.XLOOKUP($A347,Input_Raw!$A:$A,Input_Raw!$CR:$CR),"")</f>
        <v/>
      </c>
      <c r="O347" s="141" t="str">
        <f t="shared" si="39"/>
        <v/>
      </c>
      <c r="P347" s="141" t="str">
        <f>IFERROR(1-SUMIF(WTG_BD!$F:$F,$A347,WTG_BD!$AA:$AA)/($AA347+SUMIF(WTG_BD!$F:$F,$A347,WTG_BD!$AA:$AA)),"")</f>
        <v/>
      </c>
      <c r="Q347" s="141" t="str">
        <f>IFERROR(1-SUMIF(IGA_BD!$F:$F,$A347,IGA_BD!$W:$W)/($AA347+SUMIF(IGA_BD!$F:$F,$A347,IGA_BD!$W:$W)),"")</f>
        <v/>
      </c>
      <c r="R347" s="141" t="str">
        <f>IFERROR(1-SUMIF(Grid_BD!$F:$F,$A347,Grid_BD!$Y:$Y)/($AA347+SUMIF(Grid_BD!$F:$F,$A347,Grid_BD!$Y:$Y)),"")</f>
        <v/>
      </c>
      <c r="S347" s="108"/>
      <c r="T347" s="140"/>
      <c r="U347" s="141"/>
      <c r="V347" s="108"/>
      <c r="W347" s="142" t="str">
        <f t="shared" si="40"/>
        <v/>
      </c>
      <c r="X347" s="108" t="str">
        <f>IFERROR(_xlfn.XLOOKUP($A347,Input_Raw!$A:$A,Input_Raw!$CP:$CP)*1000,"")</f>
        <v/>
      </c>
      <c r="Y347" s="108" t="str">
        <f>IFERROR(_xlfn.XLOOKUP($A347,Input_Raw!$A:$A,Input_Raw!DJ:DJ)*1000,"")</f>
        <v/>
      </c>
      <c r="Z347" s="108" t="str">
        <f>IFERROR(_xlfn.XLOOKUP($A347,Input_Raw!$A:$A,Input_Raw!DK:DK)*1000,"")</f>
        <v/>
      </c>
      <c r="AA347" s="138" t="str">
        <f t="shared" si="41"/>
        <v/>
      </c>
      <c r="AB347" s="108" t="str">
        <f>IFERROR(_xlfn.XLOOKUP($A347,Input_Raw!$A:$A,Input_Raw!$DR:$DR),"")</f>
        <v/>
      </c>
      <c r="AC347" s="143">
        <f>IFERROR(_xlfn.XLOOKUP($D347,'Modelling New'!$D:$D,'Modelling New'!$J:$J),"")</f>
        <v>4.5649999999999995</v>
      </c>
      <c r="AD347" s="138">
        <f>IFERROR(_xlfn.XLOOKUP($D347,'Modelling New'!$D:$D,'Modelling New'!$T:$T)*1000,"")</f>
        <v>177355.29697136435</v>
      </c>
      <c r="AE347" s="142"/>
      <c r="AF347" s="142">
        <f>IFERROR(_xlfn.XLOOKUP($D347,'Modelling New'!$D:$D,'Modelling New'!$W:$W),"")</f>
        <v>0.1049688073930897</v>
      </c>
      <c r="AG347" s="142">
        <f>IFERROR(_xlfn.XLOOKUP($D347,'Modelling New'!$D:$D,'Modelling New'!$AE:$AE),"")</f>
        <v>0.96029999999999993</v>
      </c>
      <c r="AH347" s="142">
        <f>IFERROR(_xlfn.XLOOKUP($D347,'Modelling New'!$D:$D,'Modelling New'!$AF:$AF),"")</f>
        <v>0.995</v>
      </c>
      <c r="AI347" s="109" t="str">
        <f>IFERROR(_xlfn.XLOOKUP($A347,Input_Raw!$A:$A,Input_Raw!$DP:$DP),"")</f>
        <v/>
      </c>
      <c r="AJ347" s="108"/>
      <c r="AK347" s="108"/>
      <c r="AL347" s="108"/>
      <c r="AM347" s="108"/>
      <c r="AN347" s="132" t="str">
        <f>IFERROR(_xlfn.XLOOKUP($A347,Input_Raw!$A:$A,Input_Raw!$DL:$DL),"")</f>
        <v/>
      </c>
      <c r="AO347" s="142" t="str">
        <f>IFERROR((_xlfn.XLOOKUP($A347,'WTG Reactive Power'!$A:$A,'WTG Reactive Power'!$AW:$AW))/X347,"")</f>
        <v/>
      </c>
      <c r="AP347" s="142">
        <f>IFERROR(_xlfn.XLOOKUP($D347,'Modelling New'!$D:$D,'Modelling New'!$AK:$AK),"")</f>
        <v>0.05</v>
      </c>
      <c r="AQ347" s="142">
        <f>IFERROR(_xlfn.XLOOKUP($D347,'Modelling New'!$D:$D,'Modelling New'!$AL:$AL),"")</f>
        <v>0.05</v>
      </c>
      <c r="AR347" s="198">
        <f>IFERROR(_xlfn.XLOOKUP($D347,'Modelling New'!$D:$D,'Modelling New'!$N:$N),"")</f>
        <v>70.400000000000006</v>
      </c>
      <c r="AS347" s="198"/>
    </row>
    <row r="348" spans="1:45">
      <c r="A348" s="137">
        <f t="shared" si="37"/>
        <v>46091</v>
      </c>
      <c r="B348" s="138">
        <f>YEAR(Daily_KPI[[#This Row],[Date]])+IF(MONTH(Daily_KPI[[#This Row],[Date]])&gt;=4,1,0)</f>
        <v>2026</v>
      </c>
      <c r="C348" s="108">
        <f>YEAR(Daily_KPI[[#This Row],[Date]])</f>
        <v>2026</v>
      </c>
      <c r="D348" s="139">
        <f>Daily_KPI[[#This Row],[Date]]-DAY(Daily_KPI[[#This Row],[Date]])+1</f>
        <v>46082</v>
      </c>
      <c r="E348" s="108">
        <f t="shared" si="38"/>
        <v>31</v>
      </c>
      <c r="F348" s="109"/>
      <c r="G348" s="110"/>
      <c r="H348" s="110"/>
      <c r="I348" s="110"/>
      <c r="J348" s="110"/>
      <c r="K348" s="111"/>
      <c r="L348" s="110"/>
      <c r="M348" s="110" t="str">
        <f>IFERROR(_xlfn.XLOOKUP($A348,Input_Raw!$A:$A,Input_Raw!$CQ:$CQ),"")</f>
        <v/>
      </c>
      <c r="N348" s="110" t="str">
        <f>IFERROR(_xlfn.XLOOKUP($A348,Input_Raw!$A:$A,Input_Raw!$CR:$CR),"")</f>
        <v/>
      </c>
      <c r="O348" s="141" t="str">
        <f t="shared" si="39"/>
        <v/>
      </c>
      <c r="P348" s="141" t="str">
        <f>IFERROR(1-SUMIF(WTG_BD!$F:$F,$A348,WTG_BD!$AA:$AA)/($AA348+SUMIF(WTG_BD!$F:$F,$A348,WTG_BD!$AA:$AA)),"")</f>
        <v/>
      </c>
      <c r="Q348" s="141" t="str">
        <f>IFERROR(1-SUMIF(IGA_BD!$F:$F,$A348,IGA_BD!$W:$W)/($AA348+SUMIF(IGA_BD!$F:$F,$A348,IGA_BD!$W:$W)),"")</f>
        <v/>
      </c>
      <c r="R348" s="141" t="str">
        <f>IFERROR(1-SUMIF(Grid_BD!$F:$F,$A348,Grid_BD!$Y:$Y)/($AA348+SUMIF(Grid_BD!$F:$F,$A348,Grid_BD!$Y:$Y)),"")</f>
        <v/>
      </c>
      <c r="S348" s="108"/>
      <c r="T348" s="140"/>
      <c r="U348" s="141"/>
      <c r="V348" s="108"/>
      <c r="W348" s="142" t="str">
        <f t="shared" si="40"/>
        <v/>
      </c>
      <c r="X348" s="108" t="str">
        <f>IFERROR(_xlfn.XLOOKUP($A348,Input_Raw!$A:$A,Input_Raw!$CP:$CP)*1000,"")</f>
        <v/>
      </c>
      <c r="Y348" s="108" t="str">
        <f>IFERROR(_xlfn.XLOOKUP($A348,Input_Raw!$A:$A,Input_Raw!DJ:DJ)*1000,"")</f>
        <v/>
      </c>
      <c r="Z348" s="108" t="str">
        <f>IFERROR(_xlfn.XLOOKUP($A348,Input_Raw!$A:$A,Input_Raw!DK:DK)*1000,"")</f>
        <v/>
      </c>
      <c r="AA348" s="138" t="str">
        <f t="shared" si="41"/>
        <v/>
      </c>
      <c r="AB348" s="108" t="str">
        <f>IFERROR(_xlfn.XLOOKUP($A348,Input_Raw!$A:$A,Input_Raw!$DR:$DR),"")</f>
        <v/>
      </c>
      <c r="AC348" s="143">
        <f>IFERROR(_xlfn.XLOOKUP($D348,'Modelling New'!$D:$D,'Modelling New'!$J:$J),"")</f>
        <v>4.5649999999999995</v>
      </c>
      <c r="AD348" s="138">
        <f>IFERROR(_xlfn.XLOOKUP($D348,'Modelling New'!$D:$D,'Modelling New'!$T:$T)*1000,"")</f>
        <v>177355.29697136435</v>
      </c>
      <c r="AE348" s="142"/>
      <c r="AF348" s="142">
        <f>IFERROR(_xlfn.XLOOKUP($D348,'Modelling New'!$D:$D,'Modelling New'!$W:$W),"")</f>
        <v>0.1049688073930897</v>
      </c>
      <c r="AG348" s="142">
        <f>IFERROR(_xlfn.XLOOKUP($D348,'Modelling New'!$D:$D,'Modelling New'!$AE:$AE),"")</f>
        <v>0.96029999999999993</v>
      </c>
      <c r="AH348" s="142">
        <f>IFERROR(_xlfn.XLOOKUP($D348,'Modelling New'!$D:$D,'Modelling New'!$AF:$AF),"")</f>
        <v>0.995</v>
      </c>
      <c r="AI348" s="109" t="str">
        <f>IFERROR(_xlfn.XLOOKUP($A348,Input_Raw!$A:$A,Input_Raw!$DP:$DP),"")</f>
        <v/>
      </c>
      <c r="AJ348" s="108"/>
      <c r="AK348" s="108"/>
      <c r="AL348" s="108"/>
      <c r="AM348" s="108"/>
      <c r="AN348" s="132" t="str">
        <f>IFERROR(_xlfn.XLOOKUP($A348,Input_Raw!$A:$A,Input_Raw!$DL:$DL),"")</f>
        <v/>
      </c>
      <c r="AO348" s="142" t="str">
        <f>IFERROR((_xlfn.XLOOKUP($A348,'WTG Reactive Power'!$A:$A,'WTG Reactive Power'!$AW:$AW))/X348,"")</f>
        <v/>
      </c>
      <c r="AP348" s="142">
        <f>IFERROR(_xlfn.XLOOKUP($D348,'Modelling New'!$D:$D,'Modelling New'!$AK:$AK),"")</f>
        <v>0.05</v>
      </c>
      <c r="AQ348" s="142">
        <f>IFERROR(_xlfn.XLOOKUP($D348,'Modelling New'!$D:$D,'Modelling New'!$AL:$AL),"")</f>
        <v>0.05</v>
      </c>
      <c r="AR348" s="198">
        <f>IFERROR(_xlfn.XLOOKUP($D348,'Modelling New'!$D:$D,'Modelling New'!$N:$N),"")</f>
        <v>70.400000000000006</v>
      </c>
      <c r="AS348" s="198"/>
    </row>
    <row r="349" spans="1:45">
      <c r="A349" s="137">
        <f t="shared" si="37"/>
        <v>46092</v>
      </c>
      <c r="B349" s="138">
        <f>YEAR(Daily_KPI[[#This Row],[Date]])+IF(MONTH(Daily_KPI[[#This Row],[Date]])&gt;=4,1,0)</f>
        <v>2026</v>
      </c>
      <c r="C349" s="108">
        <f>YEAR(Daily_KPI[[#This Row],[Date]])</f>
        <v>2026</v>
      </c>
      <c r="D349" s="139">
        <f>Daily_KPI[[#This Row],[Date]]-DAY(Daily_KPI[[#This Row],[Date]])+1</f>
        <v>46082</v>
      </c>
      <c r="E349" s="108">
        <f t="shared" si="38"/>
        <v>31</v>
      </c>
      <c r="F349" s="109"/>
      <c r="G349" s="110"/>
      <c r="H349" s="110"/>
      <c r="I349" s="110"/>
      <c r="J349" s="110"/>
      <c r="K349" s="111"/>
      <c r="L349" s="110"/>
      <c r="M349" s="110" t="str">
        <f>IFERROR(_xlfn.XLOOKUP($A349,Input_Raw!$A:$A,Input_Raw!$CQ:$CQ),"")</f>
        <v/>
      </c>
      <c r="N349" s="110" t="str">
        <f>IFERROR(_xlfn.XLOOKUP($A349,Input_Raw!$A:$A,Input_Raw!$CR:$CR),"")</f>
        <v/>
      </c>
      <c r="O349" s="141" t="str">
        <f t="shared" si="39"/>
        <v/>
      </c>
      <c r="P349" s="141" t="str">
        <f>IFERROR(1-SUMIF(WTG_BD!$F:$F,$A349,WTG_BD!$AA:$AA)/($AA349+SUMIF(WTG_BD!$F:$F,$A349,WTG_BD!$AA:$AA)),"")</f>
        <v/>
      </c>
      <c r="Q349" s="141" t="str">
        <f>IFERROR(1-SUMIF(IGA_BD!$F:$F,$A349,IGA_BD!$W:$W)/($AA349+SUMIF(IGA_BD!$F:$F,$A349,IGA_BD!$W:$W)),"")</f>
        <v/>
      </c>
      <c r="R349" s="141" t="str">
        <f>IFERROR(1-SUMIF(Grid_BD!$F:$F,$A349,Grid_BD!$Y:$Y)/($AA349+SUMIF(Grid_BD!$F:$F,$A349,Grid_BD!$Y:$Y)),"")</f>
        <v/>
      </c>
      <c r="S349" s="108"/>
      <c r="T349" s="140"/>
      <c r="U349" s="141"/>
      <c r="V349" s="108"/>
      <c r="W349" s="142" t="str">
        <f t="shared" si="40"/>
        <v/>
      </c>
      <c r="X349" s="108" t="str">
        <f>IFERROR(_xlfn.XLOOKUP($A349,Input_Raw!$A:$A,Input_Raw!$CP:$CP)*1000,"")</f>
        <v/>
      </c>
      <c r="Y349" s="108" t="str">
        <f>IFERROR(_xlfn.XLOOKUP($A349,Input_Raw!$A:$A,Input_Raw!DJ:DJ)*1000,"")</f>
        <v/>
      </c>
      <c r="Z349" s="108" t="str">
        <f>IFERROR(_xlfn.XLOOKUP($A349,Input_Raw!$A:$A,Input_Raw!DK:DK)*1000,"")</f>
        <v/>
      </c>
      <c r="AA349" s="138" t="str">
        <f t="shared" si="41"/>
        <v/>
      </c>
      <c r="AB349" s="108" t="str">
        <f>IFERROR(_xlfn.XLOOKUP($A349,Input_Raw!$A:$A,Input_Raw!$DR:$DR),"")</f>
        <v/>
      </c>
      <c r="AC349" s="143">
        <f>IFERROR(_xlfn.XLOOKUP($D349,'Modelling New'!$D:$D,'Modelling New'!$J:$J),"")</f>
        <v>4.5649999999999995</v>
      </c>
      <c r="AD349" s="138">
        <f>IFERROR(_xlfn.XLOOKUP($D349,'Modelling New'!$D:$D,'Modelling New'!$T:$T)*1000,"")</f>
        <v>177355.29697136435</v>
      </c>
      <c r="AE349" s="142"/>
      <c r="AF349" s="142">
        <f>IFERROR(_xlfn.XLOOKUP($D349,'Modelling New'!$D:$D,'Modelling New'!$W:$W),"")</f>
        <v>0.1049688073930897</v>
      </c>
      <c r="AG349" s="142">
        <f>IFERROR(_xlfn.XLOOKUP($D349,'Modelling New'!$D:$D,'Modelling New'!$AE:$AE),"")</f>
        <v>0.96029999999999993</v>
      </c>
      <c r="AH349" s="142">
        <f>IFERROR(_xlfn.XLOOKUP($D349,'Modelling New'!$D:$D,'Modelling New'!$AF:$AF),"")</f>
        <v>0.995</v>
      </c>
      <c r="AI349" s="109" t="str">
        <f>IFERROR(_xlfn.XLOOKUP($A349,Input_Raw!$A:$A,Input_Raw!$DP:$DP),"")</f>
        <v/>
      </c>
      <c r="AJ349" s="108"/>
      <c r="AK349" s="108"/>
      <c r="AL349" s="108"/>
      <c r="AM349" s="108"/>
      <c r="AN349" s="132" t="str">
        <f>IFERROR(_xlfn.XLOOKUP($A349,Input_Raw!$A:$A,Input_Raw!$DL:$DL),"")</f>
        <v/>
      </c>
      <c r="AO349" s="142" t="str">
        <f>IFERROR((_xlfn.XLOOKUP($A349,'WTG Reactive Power'!$A:$A,'WTG Reactive Power'!$AW:$AW))/X349,"")</f>
        <v/>
      </c>
      <c r="AP349" s="142">
        <f>IFERROR(_xlfn.XLOOKUP($D349,'Modelling New'!$D:$D,'Modelling New'!$AK:$AK),"")</f>
        <v>0.05</v>
      </c>
      <c r="AQ349" s="142">
        <f>IFERROR(_xlfn.XLOOKUP($D349,'Modelling New'!$D:$D,'Modelling New'!$AL:$AL),"")</f>
        <v>0.05</v>
      </c>
      <c r="AR349" s="198">
        <f>IFERROR(_xlfn.XLOOKUP($D349,'Modelling New'!$D:$D,'Modelling New'!$N:$N),"")</f>
        <v>70.400000000000006</v>
      </c>
      <c r="AS349" s="198"/>
    </row>
    <row r="350" spans="1:45">
      <c r="A350" s="137">
        <f t="shared" si="37"/>
        <v>46093</v>
      </c>
      <c r="B350" s="138">
        <f>YEAR(Daily_KPI[[#This Row],[Date]])+IF(MONTH(Daily_KPI[[#This Row],[Date]])&gt;=4,1,0)</f>
        <v>2026</v>
      </c>
      <c r="C350" s="108">
        <f>YEAR(Daily_KPI[[#This Row],[Date]])</f>
        <v>2026</v>
      </c>
      <c r="D350" s="139">
        <f>Daily_KPI[[#This Row],[Date]]-DAY(Daily_KPI[[#This Row],[Date]])+1</f>
        <v>46082</v>
      </c>
      <c r="E350" s="108">
        <f t="shared" si="38"/>
        <v>31</v>
      </c>
      <c r="F350" s="109"/>
      <c r="G350" s="110"/>
      <c r="H350" s="110"/>
      <c r="I350" s="110"/>
      <c r="J350" s="110"/>
      <c r="K350" s="111"/>
      <c r="L350" s="110"/>
      <c r="M350" s="110" t="str">
        <f>IFERROR(_xlfn.XLOOKUP($A350,Input_Raw!$A:$A,Input_Raw!$CQ:$CQ),"")</f>
        <v/>
      </c>
      <c r="N350" s="110" t="str">
        <f>IFERROR(_xlfn.XLOOKUP($A350,Input_Raw!$A:$A,Input_Raw!$CR:$CR),"")</f>
        <v/>
      </c>
      <c r="O350" s="141" t="str">
        <f t="shared" si="39"/>
        <v/>
      </c>
      <c r="P350" s="141" t="str">
        <f>IFERROR(1-SUMIF(WTG_BD!$F:$F,$A350,WTG_BD!$AA:$AA)/($AA350+SUMIF(WTG_BD!$F:$F,$A350,WTG_BD!$AA:$AA)),"")</f>
        <v/>
      </c>
      <c r="Q350" s="141" t="str">
        <f>IFERROR(1-SUMIF(IGA_BD!$F:$F,$A350,IGA_BD!$W:$W)/($AA350+SUMIF(IGA_BD!$F:$F,$A350,IGA_BD!$W:$W)),"")</f>
        <v/>
      </c>
      <c r="R350" s="141" t="str">
        <f>IFERROR(1-SUMIF(Grid_BD!$F:$F,$A350,Grid_BD!$Y:$Y)/($AA350+SUMIF(Grid_BD!$F:$F,$A350,Grid_BD!$Y:$Y)),"")</f>
        <v/>
      </c>
      <c r="S350" s="108"/>
      <c r="T350" s="140"/>
      <c r="U350" s="141"/>
      <c r="V350" s="108"/>
      <c r="W350" s="142" t="str">
        <f t="shared" si="40"/>
        <v/>
      </c>
      <c r="X350" s="108" t="str">
        <f>IFERROR(_xlfn.XLOOKUP($A350,Input_Raw!$A:$A,Input_Raw!$CP:$CP)*1000,"")</f>
        <v/>
      </c>
      <c r="Y350" s="108" t="str">
        <f>IFERROR(_xlfn.XLOOKUP($A350,Input_Raw!$A:$A,Input_Raw!DJ:DJ)*1000,"")</f>
        <v/>
      </c>
      <c r="Z350" s="108" t="str">
        <f>IFERROR(_xlfn.XLOOKUP($A350,Input_Raw!$A:$A,Input_Raw!DK:DK)*1000,"")</f>
        <v/>
      </c>
      <c r="AA350" s="138" t="str">
        <f t="shared" si="41"/>
        <v/>
      </c>
      <c r="AB350" s="108" t="str">
        <f>IFERROR(_xlfn.XLOOKUP($A350,Input_Raw!$A:$A,Input_Raw!$DR:$DR),"")</f>
        <v/>
      </c>
      <c r="AC350" s="143">
        <f>IFERROR(_xlfn.XLOOKUP($D350,'Modelling New'!$D:$D,'Modelling New'!$J:$J),"")</f>
        <v>4.5649999999999995</v>
      </c>
      <c r="AD350" s="138">
        <f>IFERROR(_xlfn.XLOOKUP($D350,'Modelling New'!$D:$D,'Modelling New'!$T:$T)*1000,"")</f>
        <v>177355.29697136435</v>
      </c>
      <c r="AE350" s="142"/>
      <c r="AF350" s="142">
        <f>IFERROR(_xlfn.XLOOKUP($D350,'Modelling New'!$D:$D,'Modelling New'!$W:$W),"")</f>
        <v>0.1049688073930897</v>
      </c>
      <c r="AG350" s="142">
        <f>IFERROR(_xlfn.XLOOKUP($D350,'Modelling New'!$D:$D,'Modelling New'!$AE:$AE),"")</f>
        <v>0.96029999999999993</v>
      </c>
      <c r="AH350" s="142">
        <f>IFERROR(_xlfn.XLOOKUP($D350,'Modelling New'!$D:$D,'Modelling New'!$AF:$AF),"")</f>
        <v>0.995</v>
      </c>
      <c r="AI350" s="109" t="str">
        <f>IFERROR(_xlfn.XLOOKUP($A350,Input_Raw!$A:$A,Input_Raw!$DP:$DP),"")</f>
        <v/>
      </c>
      <c r="AJ350" s="108"/>
      <c r="AK350" s="108"/>
      <c r="AL350" s="108"/>
      <c r="AM350" s="108"/>
      <c r="AN350" s="132" t="str">
        <f>IFERROR(_xlfn.XLOOKUP($A350,Input_Raw!$A:$A,Input_Raw!$DL:$DL),"")</f>
        <v/>
      </c>
      <c r="AO350" s="142" t="str">
        <f>IFERROR((_xlfn.XLOOKUP($A350,'WTG Reactive Power'!$A:$A,'WTG Reactive Power'!$AW:$AW))/X350,"")</f>
        <v/>
      </c>
      <c r="AP350" s="142">
        <f>IFERROR(_xlfn.XLOOKUP($D350,'Modelling New'!$D:$D,'Modelling New'!$AK:$AK),"")</f>
        <v>0.05</v>
      </c>
      <c r="AQ350" s="142">
        <f>IFERROR(_xlfn.XLOOKUP($D350,'Modelling New'!$D:$D,'Modelling New'!$AL:$AL),"")</f>
        <v>0.05</v>
      </c>
      <c r="AR350" s="198">
        <f>IFERROR(_xlfn.XLOOKUP($D350,'Modelling New'!$D:$D,'Modelling New'!$N:$N),"")</f>
        <v>70.400000000000006</v>
      </c>
      <c r="AS350" s="198"/>
    </row>
    <row r="351" spans="1:45">
      <c r="A351" s="137">
        <f t="shared" si="37"/>
        <v>46094</v>
      </c>
      <c r="B351" s="138">
        <f>YEAR(Daily_KPI[[#This Row],[Date]])+IF(MONTH(Daily_KPI[[#This Row],[Date]])&gt;=4,1,0)</f>
        <v>2026</v>
      </c>
      <c r="C351" s="108">
        <f>YEAR(Daily_KPI[[#This Row],[Date]])</f>
        <v>2026</v>
      </c>
      <c r="D351" s="139">
        <f>Daily_KPI[[#This Row],[Date]]-DAY(Daily_KPI[[#This Row],[Date]])+1</f>
        <v>46082</v>
      </c>
      <c r="E351" s="108">
        <f t="shared" si="38"/>
        <v>31</v>
      </c>
      <c r="F351" s="109"/>
      <c r="G351" s="110"/>
      <c r="H351" s="110"/>
      <c r="I351" s="110"/>
      <c r="J351" s="110"/>
      <c r="K351" s="111"/>
      <c r="L351" s="110"/>
      <c r="M351" s="110" t="str">
        <f>IFERROR(_xlfn.XLOOKUP($A351,Input_Raw!$A:$A,Input_Raw!$CQ:$CQ),"")</f>
        <v/>
      </c>
      <c r="N351" s="110" t="str">
        <f>IFERROR(_xlfn.XLOOKUP($A351,Input_Raw!$A:$A,Input_Raw!$CR:$CR),"")</f>
        <v/>
      </c>
      <c r="O351" s="141" t="str">
        <f t="shared" si="39"/>
        <v/>
      </c>
      <c r="P351" s="141" t="str">
        <f>IFERROR(1-SUMIF(WTG_BD!$F:$F,$A351,WTG_BD!$AA:$AA)/($AA351+SUMIF(WTG_BD!$F:$F,$A351,WTG_BD!$AA:$AA)),"")</f>
        <v/>
      </c>
      <c r="Q351" s="141" t="str">
        <f>IFERROR(1-SUMIF(IGA_BD!$F:$F,$A351,IGA_BD!$W:$W)/($AA351+SUMIF(IGA_BD!$F:$F,$A351,IGA_BD!$W:$W)),"")</f>
        <v/>
      </c>
      <c r="R351" s="141" t="str">
        <f>IFERROR(1-SUMIF(Grid_BD!$F:$F,$A351,Grid_BD!$Y:$Y)/($AA351+SUMIF(Grid_BD!$F:$F,$A351,Grid_BD!$Y:$Y)),"")</f>
        <v/>
      </c>
      <c r="S351" s="108"/>
      <c r="T351" s="140"/>
      <c r="U351" s="141"/>
      <c r="V351" s="108"/>
      <c r="W351" s="142" t="str">
        <f t="shared" si="40"/>
        <v/>
      </c>
      <c r="X351" s="108" t="str">
        <f>IFERROR(_xlfn.XLOOKUP($A351,Input_Raw!$A:$A,Input_Raw!$CP:$CP)*1000,"")</f>
        <v/>
      </c>
      <c r="Y351" s="108" t="str">
        <f>IFERROR(_xlfn.XLOOKUP($A351,Input_Raw!$A:$A,Input_Raw!DJ:DJ)*1000,"")</f>
        <v/>
      </c>
      <c r="Z351" s="108" t="str">
        <f>IFERROR(_xlfn.XLOOKUP($A351,Input_Raw!$A:$A,Input_Raw!DK:DK)*1000,"")</f>
        <v/>
      </c>
      <c r="AA351" s="138" t="str">
        <f t="shared" si="41"/>
        <v/>
      </c>
      <c r="AB351" s="108" t="str">
        <f>IFERROR(_xlfn.XLOOKUP($A351,Input_Raw!$A:$A,Input_Raw!$DR:$DR),"")</f>
        <v/>
      </c>
      <c r="AC351" s="143">
        <f>IFERROR(_xlfn.XLOOKUP($D351,'Modelling New'!$D:$D,'Modelling New'!$J:$J),"")</f>
        <v>4.5649999999999995</v>
      </c>
      <c r="AD351" s="138">
        <f>IFERROR(_xlfn.XLOOKUP($D351,'Modelling New'!$D:$D,'Modelling New'!$T:$T)*1000,"")</f>
        <v>177355.29697136435</v>
      </c>
      <c r="AE351" s="142"/>
      <c r="AF351" s="142">
        <f>IFERROR(_xlfn.XLOOKUP($D351,'Modelling New'!$D:$D,'Modelling New'!$W:$W),"")</f>
        <v>0.1049688073930897</v>
      </c>
      <c r="AG351" s="142">
        <f>IFERROR(_xlfn.XLOOKUP($D351,'Modelling New'!$D:$D,'Modelling New'!$AE:$AE),"")</f>
        <v>0.96029999999999993</v>
      </c>
      <c r="AH351" s="142">
        <f>IFERROR(_xlfn.XLOOKUP($D351,'Modelling New'!$D:$D,'Modelling New'!$AF:$AF),"")</f>
        <v>0.995</v>
      </c>
      <c r="AI351" s="109" t="str">
        <f>IFERROR(_xlfn.XLOOKUP($A351,Input_Raw!$A:$A,Input_Raw!$DP:$DP),"")</f>
        <v/>
      </c>
      <c r="AJ351" s="108"/>
      <c r="AK351" s="108"/>
      <c r="AL351" s="108"/>
      <c r="AM351" s="108"/>
      <c r="AN351" s="132" t="str">
        <f>IFERROR(_xlfn.XLOOKUP($A351,Input_Raw!$A:$A,Input_Raw!$DL:$DL),"")</f>
        <v/>
      </c>
      <c r="AO351" s="142" t="str">
        <f>IFERROR((_xlfn.XLOOKUP($A351,'WTG Reactive Power'!$A:$A,'WTG Reactive Power'!$AW:$AW))/X351,"")</f>
        <v/>
      </c>
      <c r="AP351" s="142">
        <f>IFERROR(_xlfn.XLOOKUP($D351,'Modelling New'!$D:$D,'Modelling New'!$AK:$AK),"")</f>
        <v>0.05</v>
      </c>
      <c r="AQ351" s="142">
        <f>IFERROR(_xlfn.XLOOKUP($D351,'Modelling New'!$D:$D,'Modelling New'!$AL:$AL),"")</f>
        <v>0.05</v>
      </c>
      <c r="AR351" s="198">
        <f>IFERROR(_xlfn.XLOOKUP($D351,'Modelling New'!$D:$D,'Modelling New'!$N:$N),"")</f>
        <v>70.400000000000006</v>
      </c>
      <c r="AS351" s="198"/>
    </row>
    <row r="352" spans="1:45">
      <c r="A352" s="137">
        <f t="shared" si="37"/>
        <v>46095</v>
      </c>
      <c r="B352" s="138">
        <f>YEAR(Daily_KPI[[#This Row],[Date]])+IF(MONTH(Daily_KPI[[#This Row],[Date]])&gt;=4,1,0)</f>
        <v>2026</v>
      </c>
      <c r="C352" s="108">
        <f>YEAR(Daily_KPI[[#This Row],[Date]])</f>
        <v>2026</v>
      </c>
      <c r="D352" s="139">
        <f>Daily_KPI[[#This Row],[Date]]-DAY(Daily_KPI[[#This Row],[Date]])+1</f>
        <v>46082</v>
      </c>
      <c r="E352" s="108">
        <f t="shared" si="38"/>
        <v>31</v>
      </c>
      <c r="F352" s="109"/>
      <c r="G352" s="110"/>
      <c r="H352" s="110"/>
      <c r="I352" s="110"/>
      <c r="J352" s="110"/>
      <c r="K352" s="111"/>
      <c r="L352" s="110"/>
      <c r="M352" s="110" t="str">
        <f>IFERROR(_xlfn.XLOOKUP($A352,Input_Raw!$A:$A,Input_Raw!$CQ:$CQ),"")</f>
        <v/>
      </c>
      <c r="N352" s="110" t="str">
        <f>IFERROR(_xlfn.XLOOKUP($A352,Input_Raw!$A:$A,Input_Raw!$CR:$CR),"")</f>
        <v/>
      </c>
      <c r="O352" s="141" t="str">
        <f t="shared" si="39"/>
        <v/>
      </c>
      <c r="P352" s="141" t="str">
        <f>IFERROR(1-SUMIF(WTG_BD!$F:$F,$A352,WTG_BD!$AA:$AA)/($AA352+SUMIF(WTG_BD!$F:$F,$A352,WTG_BD!$AA:$AA)),"")</f>
        <v/>
      </c>
      <c r="Q352" s="141" t="str">
        <f>IFERROR(1-SUMIF(IGA_BD!$F:$F,$A352,IGA_BD!$W:$W)/($AA352+SUMIF(IGA_BD!$F:$F,$A352,IGA_BD!$W:$W)),"")</f>
        <v/>
      </c>
      <c r="R352" s="141" t="str">
        <f>IFERROR(1-SUMIF(Grid_BD!$F:$F,$A352,Grid_BD!$Y:$Y)/($AA352+SUMIF(Grid_BD!$F:$F,$A352,Grid_BD!$Y:$Y)),"")</f>
        <v/>
      </c>
      <c r="S352" s="108"/>
      <c r="T352" s="140"/>
      <c r="U352" s="141"/>
      <c r="V352" s="108"/>
      <c r="W352" s="142" t="str">
        <f t="shared" si="40"/>
        <v/>
      </c>
      <c r="X352" s="108" t="str">
        <f>IFERROR(_xlfn.XLOOKUP($A352,Input_Raw!$A:$A,Input_Raw!$CP:$CP)*1000,"")</f>
        <v/>
      </c>
      <c r="Y352" s="108" t="str">
        <f>IFERROR(_xlfn.XLOOKUP($A352,Input_Raw!$A:$A,Input_Raw!DJ:DJ)*1000,"")</f>
        <v/>
      </c>
      <c r="Z352" s="108" t="str">
        <f>IFERROR(_xlfn.XLOOKUP($A352,Input_Raw!$A:$A,Input_Raw!DK:DK)*1000,"")</f>
        <v/>
      </c>
      <c r="AA352" s="138" t="str">
        <f t="shared" si="41"/>
        <v/>
      </c>
      <c r="AB352" s="108" t="str">
        <f>IFERROR(_xlfn.XLOOKUP($A352,Input_Raw!$A:$A,Input_Raw!$DR:$DR),"")</f>
        <v/>
      </c>
      <c r="AC352" s="143">
        <f>IFERROR(_xlfn.XLOOKUP($D352,'Modelling New'!$D:$D,'Modelling New'!$J:$J),"")</f>
        <v>4.5649999999999995</v>
      </c>
      <c r="AD352" s="138">
        <f>IFERROR(_xlfn.XLOOKUP($D352,'Modelling New'!$D:$D,'Modelling New'!$T:$T)*1000,"")</f>
        <v>177355.29697136435</v>
      </c>
      <c r="AE352" s="142"/>
      <c r="AF352" s="142">
        <f>IFERROR(_xlfn.XLOOKUP($D352,'Modelling New'!$D:$D,'Modelling New'!$W:$W),"")</f>
        <v>0.1049688073930897</v>
      </c>
      <c r="AG352" s="142">
        <f>IFERROR(_xlfn.XLOOKUP($D352,'Modelling New'!$D:$D,'Modelling New'!$AE:$AE),"")</f>
        <v>0.96029999999999993</v>
      </c>
      <c r="AH352" s="142">
        <f>IFERROR(_xlfn.XLOOKUP($D352,'Modelling New'!$D:$D,'Modelling New'!$AF:$AF),"")</f>
        <v>0.995</v>
      </c>
      <c r="AI352" s="109" t="str">
        <f>IFERROR(_xlfn.XLOOKUP($A352,Input_Raw!$A:$A,Input_Raw!$DP:$DP),"")</f>
        <v/>
      </c>
      <c r="AJ352" s="108"/>
      <c r="AK352" s="108"/>
      <c r="AL352" s="108"/>
      <c r="AM352" s="108"/>
      <c r="AN352" s="132" t="str">
        <f>IFERROR(_xlfn.XLOOKUP($A352,Input_Raw!$A:$A,Input_Raw!$DL:$DL),"")</f>
        <v/>
      </c>
      <c r="AO352" s="142" t="str">
        <f>IFERROR((_xlfn.XLOOKUP($A352,'WTG Reactive Power'!$A:$A,'WTG Reactive Power'!$AW:$AW))/X352,"")</f>
        <v/>
      </c>
      <c r="AP352" s="142">
        <f>IFERROR(_xlfn.XLOOKUP($D352,'Modelling New'!$D:$D,'Modelling New'!$AK:$AK),"")</f>
        <v>0.05</v>
      </c>
      <c r="AQ352" s="142">
        <f>IFERROR(_xlfn.XLOOKUP($D352,'Modelling New'!$D:$D,'Modelling New'!$AL:$AL),"")</f>
        <v>0.05</v>
      </c>
      <c r="AR352" s="198">
        <f>IFERROR(_xlfn.XLOOKUP($D352,'Modelling New'!$D:$D,'Modelling New'!$N:$N),"")</f>
        <v>70.400000000000006</v>
      </c>
      <c r="AS352" s="198"/>
    </row>
    <row r="353" spans="1:45">
      <c r="A353" s="137">
        <f t="shared" si="37"/>
        <v>46096</v>
      </c>
      <c r="B353" s="138">
        <f>YEAR(Daily_KPI[[#This Row],[Date]])+IF(MONTH(Daily_KPI[[#This Row],[Date]])&gt;=4,1,0)</f>
        <v>2026</v>
      </c>
      <c r="C353" s="108">
        <f>YEAR(Daily_KPI[[#This Row],[Date]])</f>
        <v>2026</v>
      </c>
      <c r="D353" s="139">
        <f>Daily_KPI[[#This Row],[Date]]-DAY(Daily_KPI[[#This Row],[Date]])+1</f>
        <v>46082</v>
      </c>
      <c r="E353" s="108">
        <f t="shared" si="38"/>
        <v>31</v>
      </c>
      <c r="F353" s="109"/>
      <c r="G353" s="110"/>
      <c r="H353" s="110"/>
      <c r="I353" s="110"/>
      <c r="J353" s="110"/>
      <c r="K353" s="111"/>
      <c r="L353" s="110"/>
      <c r="M353" s="110" t="str">
        <f>IFERROR(_xlfn.XLOOKUP($A353,Input_Raw!$A:$A,Input_Raw!$CQ:$CQ),"")</f>
        <v/>
      </c>
      <c r="N353" s="110" t="str">
        <f>IFERROR(_xlfn.XLOOKUP($A353,Input_Raw!$A:$A,Input_Raw!$CR:$CR),"")</f>
        <v/>
      </c>
      <c r="O353" s="141" t="str">
        <f t="shared" si="39"/>
        <v/>
      </c>
      <c r="P353" s="141" t="str">
        <f>IFERROR(1-SUMIF(WTG_BD!$F:$F,$A353,WTG_BD!$AA:$AA)/($AA353+SUMIF(WTG_BD!$F:$F,$A353,WTG_BD!$AA:$AA)),"")</f>
        <v/>
      </c>
      <c r="Q353" s="141" t="str">
        <f>IFERROR(1-SUMIF(IGA_BD!$F:$F,$A353,IGA_BD!$W:$W)/($AA353+SUMIF(IGA_BD!$F:$F,$A353,IGA_BD!$W:$W)),"")</f>
        <v/>
      </c>
      <c r="R353" s="141" t="str">
        <f>IFERROR(1-SUMIF(Grid_BD!$F:$F,$A353,Grid_BD!$Y:$Y)/($AA353+SUMIF(Grid_BD!$F:$F,$A353,Grid_BD!$Y:$Y)),"")</f>
        <v/>
      </c>
      <c r="S353" s="108"/>
      <c r="T353" s="140"/>
      <c r="U353" s="141"/>
      <c r="V353" s="108"/>
      <c r="W353" s="142" t="str">
        <f t="shared" si="40"/>
        <v/>
      </c>
      <c r="X353" s="108" t="str">
        <f>IFERROR(_xlfn.XLOOKUP($A353,Input_Raw!$A:$A,Input_Raw!$CP:$CP)*1000,"")</f>
        <v/>
      </c>
      <c r="Y353" s="108" t="str">
        <f>IFERROR(_xlfn.XLOOKUP($A353,Input_Raw!$A:$A,Input_Raw!DJ:DJ)*1000,"")</f>
        <v/>
      </c>
      <c r="Z353" s="108" t="str">
        <f>IFERROR(_xlfn.XLOOKUP($A353,Input_Raw!$A:$A,Input_Raw!DK:DK)*1000,"")</f>
        <v/>
      </c>
      <c r="AA353" s="138" t="str">
        <f t="shared" si="41"/>
        <v/>
      </c>
      <c r="AB353" s="108" t="str">
        <f>IFERROR(_xlfn.XLOOKUP($A353,Input_Raw!$A:$A,Input_Raw!$DR:$DR),"")</f>
        <v/>
      </c>
      <c r="AC353" s="143">
        <f>IFERROR(_xlfn.XLOOKUP($D353,'Modelling New'!$D:$D,'Modelling New'!$J:$J),"")</f>
        <v>4.5649999999999995</v>
      </c>
      <c r="AD353" s="138">
        <f>IFERROR(_xlfn.XLOOKUP($D353,'Modelling New'!$D:$D,'Modelling New'!$T:$T)*1000,"")</f>
        <v>177355.29697136435</v>
      </c>
      <c r="AE353" s="142"/>
      <c r="AF353" s="142">
        <f>IFERROR(_xlfn.XLOOKUP($D353,'Modelling New'!$D:$D,'Modelling New'!$W:$W),"")</f>
        <v>0.1049688073930897</v>
      </c>
      <c r="AG353" s="142">
        <f>IFERROR(_xlfn.XLOOKUP($D353,'Modelling New'!$D:$D,'Modelling New'!$AE:$AE),"")</f>
        <v>0.96029999999999993</v>
      </c>
      <c r="AH353" s="142">
        <f>IFERROR(_xlfn.XLOOKUP($D353,'Modelling New'!$D:$D,'Modelling New'!$AF:$AF),"")</f>
        <v>0.995</v>
      </c>
      <c r="AI353" s="109" t="str">
        <f>IFERROR(_xlfn.XLOOKUP($A353,Input_Raw!$A:$A,Input_Raw!$DP:$DP),"")</f>
        <v/>
      </c>
      <c r="AJ353" s="108"/>
      <c r="AK353" s="108"/>
      <c r="AL353" s="108"/>
      <c r="AM353" s="108"/>
      <c r="AN353" s="132" t="str">
        <f>IFERROR(_xlfn.XLOOKUP($A353,Input_Raw!$A:$A,Input_Raw!$DL:$DL),"")</f>
        <v/>
      </c>
      <c r="AO353" s="142" t="str">
        <f>IFERROR((_xlfn.XLOOKUP($A353,'WTG Reactive Power'!$A:$A,'WTG Reactive Power'!$AW:$AW))/X353,"")</f>
        <v/>
      </c>
      <c r="AP353" s="142">
        <f>IFERROR(_xlfn.XLOOKUP($D353,'Modelling New'!$D:$D,'Modelling New'!$AK:$AK),"")</f>
        <v>0.05</v>
      </c>
      <c r="AQ353" s="142">
        <f>IFERROR(_xlfn.XLOOKUP($D353,'Modelling New'!$D:$D,'Modelling New'!$AL:$AL),"")</f>
        <v>0.05</v>
      </c>
      <c r="AR353" s="198">
        <f>IFERROR(_xlfn.XLOOKUP($D353,'Modelling New'!$D:$D,'Modelling New'!$N:$N),"")</f>
        <v>70.400000000000006</v>
      </c>
      <c r="AS353" s="198"/>
    </row>
    <row r="354" spans="1:45">
      <c r="A354" s="137">
        <f t="shared" si="37"/>
        <v>46097</v>
      </c>
      <c r="B354" s="138">
        <f>YEAR(Daily_KPI[[#This Row],[Date]])+IF(MONTH(Daily_KPI[[#This Row],[Date]])&gt;=4,1,0)</f>
        <v>2026</v>
      </c>
      <c r="C354" s="108">
        <f>YEAR(Daily_KPI[[#This Row],[Date]])</f>
        <v>2026</v>
      </c>
      <c r="D354" s="139">
        <f>Daily_KPI[[#This Row],[Date]]-DAY(Daily_KPI[[#This Row],[Date]])+1</f>
        <v>46082</v>
      </c>
      <c r="E354" s="108">
        <f t="shared" si="38"/>
        <v>31</v>
      </c>
      <c r="F354" s="109"/>
      <c r="G354" s="110"/>
      <c r="H354" s="110"/>
      <c r="I354" s="110"/>
      <c r="J354" s="110"/>
      <c r="K354" s="111"/>
      <c r="L354" s="110"/>
      <c r="M354" s="110" t="str">
        <f>IFERROR(_xlfn.XLOOKUP($A354,Input_Raw!$A:$A,Input_Raw!$CQ:$CQ),"")</f>
        <v/>
      </c>
      <c r="N354" s="110" t="str">
        <f>IFERROR(_xlfn.XLOOKUP($A354,Input_Raw!$A:$A,Input_Raw!$CR:$CR),"")</f>
        <v/>
      </c>
      <c r="O354" s="141" t="str">
        <f t="shared" si="39"/>
        <v/>
      </c>
      <c r="P354" s="141" t="str">
        <f>IFERROR(1-SUMIF(WTG_BD!$F:$F,$A354,WTG_BD!$AA:$AA)/($AA354+SUMIF(WTG_BD!$F:$F,$A354,WTG_BD!$AA:$AA)),"")</f>
        <v/>
      </c>
      <c r="Q354" s="141" t="str">
        <f>IFERROR(1-SUMIF(IGA_BD!$F:$F,$A354,IGA_BD!$W:$W)/($AA354+SUMIF(IGA_BD!$F:$F,$A354,IGA_BD!$W:$W)),"")</f>
        <v/>
      </c>
      <c r="R354" s="141" t="str">
        <f>IFERROR(1-SUMIF(Grid_BD!$F:$F,$A354,Grid_BD!$Y:$Y)/($AA354+SUMIF(Grid_BD!$F:$F,$A354,Grid_BD!$Y:$Y)),"")</f>
        <v/>
      </c>
      <c r="S354" s="108"/>
      <c r="T354" s="140"/>
      <c r="U354" s="141"/>
      <c r="V354" s="108"/>
      <c r="W354" s="142" t="str">
        <f t="shared" si="40"/>
        <v/>
      </c>
      <c r="X354" s="108" t="str">
        <f>IFERROR(_xlfn.XLOOKUP($A354,Input_Raw!$A:$A,Input_Raw!$CP:$CP)*1000,"")</f>
        <v/>
      </c>
      <c r="Y354" s="108" t="str">
        <f>IFERROR(_xlfn.XLOOKUP($A354,Input_Raw!$A:$A,Input_Raw!DJ:DJ)*1000,"")</f>
        <v/>
      </c>
      <c r="Z354" s="108" t="str">
        <f>IFERROR(_xlfn.XLOOKUP($A354,Input_Raw!$A:$A,Input_Raw!DK:DK)*1000,"")</f>
        <v/>
      </c>
      <c r="AA354" s="138" t="str">
        <f t="shared" si="41"/>
        <v/>
      </c>
      <c r="AB354" s="108" t="str">
        <f>IFERROR(_xlfn.XLOOKUP($A354,Input_Raw!$A:$A,Input_Raw!$DR:$DR),"")</f>
        <v/>
      </c>
      <c r="AC354" s="143">
        <f>IFERROR(_xlfn.XLOOKUP($D354,'Modelling New'!$D:$D,'Modelling New'!$J:$J),"")</f>
        <v>4.5649999999999995</v>
      </c>
      <c r="AD354" s="138">
        <f>IFERROR(_xlfn.XLOOKUP($D354,'Modelling New'!$D:$D,'Modelling New'!$T:$T)*1000,"")</f>
        <v>177355.29697136435</v>
      </c>
      <c r="AE354" s="142"/>
      <c r="AF354" s="142">
        <f>IFERROR(_xlfn.XLOOKUP($D354,'Modelling New'!$D:$D,'Modelling New'!$W:$W),"")</f>
        <v>0.1049688073930897</v>
      </c>
      <c r="AG354" s="142">
        <f>IFERROR(_xlfn.XLOOKUP($D354,'Modelling New'!$D:$D,'Modelling New'!$AE:$AE),"")</f>
        <v>0.96029999999999993</v>
      </c>
      <c r="AH354" s="142">
        <f>IFERROR(_xlfn.XLOOKUP($D354,'Modelling New'!$D:$D,'Modelling New'!$AF:$AF),"")</f>
        <v>0.995</v>
      </c>
      <c r="AI354" s="109" t="str">
        <f>IFERROR(_xlfn.XLOOKUP($A354,Input_Raw!$A:$A,Input_Raw!$DP:$DP),"")</f>
        <v/>
      </c>
      <c r="AJ354" s="108"/>
      <c r="AK354" s="108"/>
      <c r="AL354" s="108"/>
      <c r="AM354" s="108"/>
      <c r="AN354" s="132" t="str">
        <f>IFERROR(_xlfn.XLOOKUP($A354,Input_Raw!$A:$A,Input_Raw!$DL:$DL),"")</f>
        <v/>
      </c>
      <c r="AO354" s="142" t="str">
        <f>IFERROR((_xlfn.XLOOKUP($A354,'WTG Reactive Power'!$A:$A,'WTG Reactive Power'!$AW:$AW))/X354,"")</f>
        <v/>
      </c>
      <c r="AP354" s="142">
        <f>IFERROR(_xlfn.XLOOKUP($D354,'Modelling New'!$D:$D,'Modelling New'!$AK:$AK),"")</f>
        <v>0.05</v>
      </c>
      <c r="AQ354" s="142">
        <f>IFERROR(_xlfn.XLOOKUP($D354,'Modelling New'!$D:$D,'Modelling New'!$AL:$AL),"")</f>
        <v>0.05</v>
      </c>
      <c r="AR354" s="198">
        <f>IFERROR(_xlfn.XLOOKUP($D354,'Modelling New'!$D:$D,'Modelling New'!$N:$N),"")</f>
        <v>70.400000000000006</v>
      </c>
      <c r="AS354" s="198"/>
    </row>
    <row r="355" spans="1:45">
      <c r="A355" s="137">
        <f t="shared" si="37"/>
        <v>46098</v>
      </c>
      <c r="B355" s="138">
        <f>YEAR(Daily_KPI[[#This Row],[Date]])+IF(MONTH(Daily_KPI[[#This Row],[Date]])&gt;=4,1,0)</f>
        <v>2026</v>
      </c>
      <c r="C355" s="108">
        <f>YEAR(Daily_KPI[[#This Row],[Date]])</f>
        <v>2026</v>
      </c>
      <c r="D355" s="139">
        <f>Daily_KPI[[#This Row],[Date]]-DAY(Daily_KPI[[#This Row],[Date]])+1</f>
        <v>46082</v>
      </c>
      <c r="E355" s="108">
        <f t="shared" si="38"/>
        <v>31</v>
      </c>
      <c r="F355" s="109"/>
      <c r="G355" s="110"/>
      <c r="H355" s="110"/>
      <c r="I355" s="110"/>
      <c r="J355" s="110"/>
      <c r="K355" s="111"/>
      <c r="L355" s="110"/>
      <c r="M355" s="110" t="str">
        <f>IFERROR(_xlfn.XLOOKUP($A355,Input_Raw!$A:$A,Input_Raw!$CQ:$CQ),"")</f>
        <v/>
      </c>
      <c r="N355" s="110" t="str">
        <f>IFERROR(_xlfn.XLOOKUP($A355,Input_Raw!$A:$A,Input_Raw!$CR:$CR),"")</f>
        <v/>
      </c>
      <c r="O355" s="141" t="str">
        <f t="shared" si="39"/>
        <v/>
      </c>
      <c r="P355" s="141" t="str">
        <f>IFERROR(1-SUMIF(WTG_BD!$F:$F,$A355,WTG_BD!$AA:$AA)/($AA355+SUMIF(WTG_BD!$F:$F,$A355,WTG_BD!$AA:$AA)),"")</f>
        <v/>
      </c>
      <c r="Q355" s="141" t="str">
        <f>IFERROR(1-SUMIF(IGA_BD!$F:$F,$A355,IGA_BD!$W:$W)/($AA355+SUMIF(IGA_BD!$F:$F,$A355,IGA_BD!$W:$W)),"")</f>
        <v/>
      </c>
      <c r="R355" s="141" t="str">
        <f>IFERROR(1-SUMIF(Grid_BD!$F:$F,$A355,Grid_BD!$Y:$Y)/($AA355+SUMIF(Grid_BD!$F:$F,$A355,Grid_BD!$Y:$Y)),"")</f>
        <v/>
      </c>
      <c r="S355" s="108"/>
      <c r="T355" s="140"/>
      <c r="U355" s="141"/>
      <c r="V355" s="108"/>
      <c r="W355" s="142" t="str">
        <f t="shared" si="40"/>
        <v/>
      </c>
      <c r="X355" s="108" t="str">
        <f>IFERROR(_xlfn.XLOOKUP($A355,Input_Raw!$A:$A,Input_Raw!$CP:$CP)*1000,"")</f>
        <v/>
      </c>
      <c r="Y355" s="108" t="str">
        <f>IFERROR(_xlfn.XLOOKUP($A355,Input_Raw!$A:$A,Input_Raw!DJ:DJ)*1000,"")</f>
        <v/>
      </c>
      <c r="Z355" s="108" t="str">
        <f>IFERROR(_xlfn.XLOOKUP($A355,Input_Raw!$A:$A,Input_Raw!DK:DK)*1000,"")</f>
        <v/>
      </c>
      <c r="AA355" s="138" t="str">
        <f t="shared" si="41"/>
        <v/>
      </c>
      <c r="AB355" s="108" t="str">
        <f>IFERROR(_xlfn.XLOOKUP($A355,Input_Raw!$A:$A,Input_Raw!$DR:$DR),"")</f>
        <v/>
      </c>
      <c r="AC355" s="143">
        <f>IFERROR(_xlfn.XLOOKUP($D355,'Modelling New'!$D:$D,'Modelling New'!$J:$J),"")</f>
        <v>4.5649999999999995</v>
      </c>
      <c r="AD355" s="138">
        <f>IFERROR(_xlfn.XLOOKUP($D355,'Modelling New'!$D:$D,'Modelling New'!$T:$T)*1000,"")</f>
        <v>177355.29697136435</v>
      </c>
      <c r="AE355" s="142"/>
      <c r="AF355" s="142">
        <f>IFERROR(_xlfn.XLOOKUP($D355,'Modelling New'!$D:$D,'Modelling New'!$W:$W),"")</f>
        <v>0.1049688073930897</v>
      </c>
      <c r="AG355" s="142">
        <f>IFERROR(_xlfn.XLOOKUP($D355,'Modelling New'!$D:$D,'Modelling New'!$AE:$AE),"")</f>
        <v>0.96029999999999993</v>
      </c>
      <c r="AH355" s="142">
        <f>IFERROR(_xlfn.XLOOKUP($D355,'Modelling New'!$D:$D,'Modelling New'!$AF:$AF),"")</f>
        <v>0.995</v>
      </c>
      <c r="AI355" s="109" t="str">
        <f>IFERROR(_xlfn.XLOOKUP($A355,Input_Raw!$A:$A,Input_Raw!$DP:$DP),"")</f>
        <v/>
      </c>
      <c r="AJ355" s="108"/>
      <c r="AK355" s="108"/>
      <c r="AL355" s="108"/>
      <c r="AM355" s="108"/>
      <c r="AN355" s="132" t="str">
        <f>IFERROR(_xlfn.XLOOKUP($A355,Input_Raw!$A:$A,Input_Raw!$DL:$DL),"")</f>
        <v/>
      </c>
      <c r="AO355" s="142" t="str">
        <f>IFERROR((_xlfn.XLOOKUP($A355,'WTG Reactive Power'!$A:$A,'WTG Reactive Power'!$AW:$AW))/X355,"")</f>
        <v/>
      </c>
      <c r="AP355" s="142">
        <f>IFERROR(_xlfn.XLOOKUP($D355,'Modelling New'!$D:$D,'Modelling New'!$AK:$AK),"")</f>
        <v>0.05</v>
      </c>
      <c r="AQ355" s="142">
        <f>IFERROR(_xlfn.XLOOKUP($D355,'Modelling New'!$D:$D,'Modelling New'!$AL:$AL),"")</f>
        <v>0.05</v>
      </c>
      <c r="AR355" s="198">
        <f>IFERROR(_xlfn.XLOOKUP($D355,'Modelling New'!$D:$D,'Modelling New'!$N:$N),"")</f>
        <v>70.400000000000006</v>
      </c>
      <c r="AS355" s="198"/>
    </row>
    <row r="356" spans="1:45">
      <c r="A356" s="137">
        <f t="shared" si="37"/>
        <v>46099</v>
      </c>
      <c r="B356" s="138">
        <f>YEAR(Daily_KPI[[#This Row],[Date]])+IF(MONTH(Daily_KPI[[#This Row],[Date]])&gt;=4,1,0)</f>
        <v>2026</v>
      </c>
      <c r="C356" s="108">
        <f>YEAR(Daily_KPI[[#This Row],[Date]])</f>
        <v>2026</v>
      </c>
      <c r="D356" s="139">
        <f>Daily_KPI[[#This Row],[Date]]-DAY(Daily_KPI[[#This Row],[Date]])+1</f>
        <v>46082</v>
      </c>
      <c r="E356" s="108">
        <f t="shared" si="38"/>
        <v>31</v>
      </c>
      <c r="F356" s="109"/>
      <c r="G356" s="110"/>
      <c r="H356" s="110"/>
      <c r="I356" s="110"/>
      <c r="J356" s="110"/>
      <c r="K356" s="111"/>
      <c r="L356" s="110"/>
      <c r="M356" s="110" t="str">
        <f>IFERROR(_xlfn.XLOOKUP($A356,Input_Raw!$A:$A,Input_Raw!$CQ:$CQ),"")</f>
        <v/>
      </c>
      <c r="N356" s="110" t="str">
        <f>IFERROR(_xlfn.XLOOKUP($A356,Input_Raw!$A:$A,Input_Raw!$CR:$CR),"")</f>
        <v/>
      </c>
      <c r="O356" s="141" t="str">
        <f t="shared" si="39"/>
        <v/>
      </c>
      <c r="P356" s="141" t="str">
        <f>IFERROR(1-SUMIF(WTG_BD!$F:$F,$A356,WTG_BD!$AA:$AA)/($AA356+SUMIF(WTG_BD!$F:$F,$A356,WTG_BD!$AA:$AA)),"")</f>
        <v/>
      </c>
      <c r="Q356" s="141" t="str">
        <f>IFERROR(1-SUMIF(IGA_BD!$F:$F,$A356,IGA_BD!$W:$W)/($AA356+SUMIF(IGA_BD!$F:$F,$A356,IGA_BD!$W:$W)),"")</f>
        <v/>
      </c>
      <c r="R356" s="141" t="str">
        <f>IFERROR(1-SUMIF(Grid_BD!$F:$F,$A356,Grid_BD!$Y:$Y)/($AA356+SUMIF(Grid_BD!$F:$F,$A356,Grid_BD!$Y:$Y)),"")</f>
        <v/>
      </c>
      <c r="S356" s="108"/>
      <c r="T356" s="140"/>
      <c r="U356" s="141"/>
      <c r="V356" s="108"/>
      <c r="W356" s="142" t="str">
        <f t="shared" si="40"/>
        <v/>
      </c>
      <c r="X356" s="108" t="str">
        <f>IFERROR(_xlfn.XLOOKUP($A356,Input_Raw!$A:$A,Input_Raw!$CP:$CP)*1000,"")</f>
        <v/>
      </c>
      <c r="Y356" s="108" t="str">
        <f>IFERROR(_xlfn.XLOOKUP($A356,Input_Raw!$A:$A,Input_Raw!DJ:DJ)*1000,"")</f>
        <v/>
      </c>
      <c r="Z356" s="108" t="str">
        <f>IFERROR(_xlfn.XLOOKUP($A356,Input_Raw!$A:$A,Input_Raw!DK:DK)*1000,"")</f>
        <v/>
      </c>
      <c r="AA356" s="138" t="str">
        <f t="shared" si="41"/>
        <v/>
      </c>
      <c r="AB356" s="108" t="str">
        <f>IFERROR(_xlfn.XLOOKUP($A356,Input_Raw!$A:$A,Input_Raw!$DR:$DR),"")</f>
        <v/>
      </c>
      <c r="AC356" s="143">
        <f>IFERROR(_xlfn.XLOOKUP($D356,'Modelling New'!$D:$D,'Modelling New'!$J:$J),"")</f>
        <v>4.5649999999999995</v>
      </c>
      <c r="AD356" s="138">
        <f>IFERROR(_xlfn.XLOOKUP($D356,'Modelling New'!$D:$D,'Modelling New'!$T:$T)*1000,"")</f>
        <v>177355.29697136435</v>
      </c>
      <c r="AE356" s="142"/>
      <c r="AF356" s="142">
        <f>IFERROR(_xlfn.XLOOKUP($D356,'Modelling New'!$D:$D,'Modelling New'!$W:$W),"")</f>
        <v>0.1049688073930897</v>
      </c>
      <c r="AG356" s="142">
        <f>IFERROR(_xlfn.XLOOKUP($D356,'Modelling New'!$D:$D,'Modelling New'!$AE:$AE),"")</f>
        <v>0.96029999999999993</v>
      </c>
      <c r="AH356" s="142">
        <f>IFERROR(_xlfn.XLOOKUP($D356,'Modelling New'!$D:$D,'Modelling New'!$AF:$AF),"")</f>
        <v>0.995</v>
      </c>
      <c r="AI356" s="109" t="str">
        <f>IFERROR(_xlfn.XLOOKUP($A356,Input_Raw!$A:$A,Input_Raw!$DP:$DP),"")</f>
        <v/>
      </c>
      <c r="AJ356" s="108"/>
      <c r="AK356" s="108"/>
      <c r="AL356" s="108"/>
      <c r="AM356" s="108"/>
      <c r="AN356" s="132" t="str">
        <f>IFERROR(_xlfn.XLOOKUP($A356,Input_Raw!$A:$A,Input_Raw!$DL:$DL),"")</f>
        <v/>
      </c>
      <c r="AO356" s="142" t="str">
        <f>IFERROR((_xlfn.XLOOKUP($A356,'WTG Reactive Power'!$A:$A,'WTG Reactive Power'!$AW:$AW))/X356,"")</f>
        <v/>
      </c>
      <c r="AP356" s="142">
        <f>IFERROR(_xlfn.XLOOKUP($D356,'Modelling New'!$D:$D,'Modelling New'!$AK:$AK),"")</f>
        <v>0.05</v>
      </c>
      <c r="AQ356" s="142">
        <f>IFERROR(_xlfn.XLOOKUP($D356,'Modelling New'!$D:$D,'Modelling New'!$AL:$AL),"")</f>
        <v>0.05</v>
      </c>
      <c r="AR356" s="198">
        <f>IFERROR(_xlfn.XLOOKUP($D356,'Modelling New'!$D:$D,'Modelling New'!$N:$N),"")</f>
        <v>70.400000000000006</v>
      </c>
      <c r="AS356" s="198"/>
    </row>
    <row r="357" spans="1:45">
      <c r="A357" s="137">
        <f t="shared" si="37"/>
        <v>46100</v>
      </c>
      <c r="B357" s="138">
        <f>YEAR(Daily_KPI[[#This Row],[Date]])+IF(MONTH(Daily_KPI[[#This Row],[Date]])&gt;=4,1,0)</f>
        <v>2026</v>
      </c>
      <c r="C357" s="108">
        <f>YEAR(Daily_KPI[[#This Row],[Date]])</f>
        <v>2026</v>
      </c>
      <c r="D357" s="139">
        <f>Daily_KPI[[#This Row],[Date]]-DAY(Daily_KPI[[#This Row],[Date]])+1</f>
        <v>46082</v>
      </c>
      <c r="E357" s="108">
        <f t="shared" si="38"/>
        <v>31</v>
      </c>
      <c r="F357" s="109"/>
      <c r="G357" s="110"/>
      <c r="H357" s="110"/>
      <c r="I357" s="110"/>
      <c r="J357" s="110"/>
      <c r="K357" s="111"/>
      <c r="L357" s="110"/>
      <c r="M357" s="110" t="str">
        <f>IFERROR(_xlfn.XLOOKUP($A357,Input_Raw!$A:$A,Input_Raw!$CQ:$CQ),"")</f>
        <v/>
      </c>
      <c r="N357" s="110" t="str">
        <f>IFERROR(_xlfn.XLOOKUP($A357,Input_Raw!$A:$A,Input_Raw!$CR:$CR),"")</f>
        <v/>
      </c>
      <c r="O357" s="141" t="str">
        <f t="shared" si="39"/>
        <v/>
      </c>
      <c r="P357" s="141" t="str">
        <f>IFERROR(1-SUMIF(WTG_BD!$F:$F,$A357,WTG_BD!$AA:$AA)/($AA357+SUMIF(WTG_BD!$F:$F,$A357,WTG_BD!$AA:$AA)),"")</f>
        <v/>
      </c>
      <c r="Q357" s="141" t="str">
        <f>IFERROR(1-SUMIF(IGA_BD!$F:$F,$A357,IGA_BD!$W:$W)/($AA357+SUMIF(IGA_BD!$F:$F,$A357,IGA_BD!$W:$W)),"")</f>
        <v/>
      </c>
      <c r="R357" s="141" t="str">
        <f>IFERROR(1-SUMIF(Grid_BD!$F:$F,$A357,Grid_BD!$Y:$Y)/($AA357+SUMIF(Grid_BD!$F:$F,$A357,Grid_BD!$Y:$Y)),"")</f>
        <v/>
      </c>
      <c r="S357" s="108"/>
      <c r="T357" s="140"/>
      <c r="U357" s="141"/>
      <c r="V357" s="108"/>
      <c r="W357" s="142" t="str">
        <f t="shared" si="40"/>
        <v/>
      </c>
      <c r="X357" s="108" t="str">
        <f>IFERROR(_xlfn.XLOOKUP($A357,Input_Raw!$A:$A,Input_Raw!$CP:$CP)*1000,"")</f>
        <v/>
      </c>
      <c r="Y357" s="108" t="str">
        <f>IFERROR(_xlfn.XLOOKUP($A357,Input_Raw!$A:$A,Input_Raw!DJ:DJ)*1000,"")</f>
        <v/>
      </c>
      <c r="Z357" s="108" t="str">
        <f>IFERROR(_xlfn.XLOOKUP($A357,Input_Raw!$A:$A,Input_Raw!DK:DK)*1000,"")</f>
        <v/>
      </c>
      <c r="AA357" s="138" t="str">
        <f t="shared" si="41"/>
        <v/>
      </c>
      <c r="AB357" s="108" t="str">
        <f>IFERROR(_xlfn.XLOOKUP($A357,Input_Raw!$A:$A,Input_Raw!$DR:$DR),"")</f>
        <v/>
      </c>
      <c r="AC357" s="143">
        <f>IFERROR(_xlfn.XLOOKUP($D357,'Modelling New'!$D:$D,'Modelling New'!$J:$J),"")</f>
        <v>4.5649999999999995</v>
      </c>
      <c r="AD357" s="138">
        <f>IFERROR(_xlfn.XLOOKUP($D357,'Modelling New'!$D:$D,'Modelling New'!$T:$T)*1000,"")</f>
        <v>177355.29697136435</v>
      </c>
      <c r="AE357" s="142"/>
      <c r="AF357" s="142">
        <f>IFERROR(_xlfn.XLOOKUP($D357,'Modelling New'!$D:$D,'Modelling New'!$W:$W),"")</f>
        <v>0.1049688073930897</v>
      </c>
      <c r="AG357" s="142">
        <f>IFERROR(_xlfn.XLOOKUP($D357,'Modelling New'!$D:$D,'Modelling New'!$AE:$AE),"")</f>
        <v>0.96029999999999993</v>
      </c>
      <c r="AH357" s="142">
        <f>IFERROR(_xlfn.XLOOKUP($D357,'Modelling New'!$D:$D,'Modelling New'!$AF:$AF),"")</f>
        <v>0.995</v>
      </c>
      <c r="AI357" s="109" t="str">
        <f>IFERROR(_xlfn.XLOOKUP($A357,Input_Raw!$A:$A,Input_Raw!$DP:$DP),"")</f>
        <v/>
      </c>
      <c r="AJ357" s="108"/>
      <c r="AK357" s="108"/>
      <c r="AL357" s="108"/>
      <c r="AM357" s="108"/>
      <c r="AN357" s="132" t="str">
        <f>IFERROR(_xlfn.XLOOKUP($A357,Input_Raw!$A:$A,Input_Raw!$DL:$DL),"")</f>
        <v/>
      </c>
      <c r="AO357" s="142" t="str">
        <f>IFERROR((_xlfn.XLOOKUP($A357,'WTG Reactive Power'!$A:$A,'WTG Reactive Power'!$AW:$AW))/X357,"")</f>
        <v/>
      </c>
      <c r="AP357" s="142">
        <f>IFERROR(_xlfn.XLOOKUP($D357,'Modelling New'!$D:$D,'Modelling New'!$AK:$AK),"")</f>
        <v>0.05</v>
      </c>
      <c r="AQ357" s="142">
        <f>IFERROR(_xlfn.XLOOKUP($D357,'Modelling New'!$D:$D,'Modelling New'!$AL:$AL),"")</f>
        <v>0.05</v>
      </c>
      <c r="AR357" s="198">
        <f>IFERROR(_xlfn.XLOOKUP($D357,'Modelling New'!$D:$D,'Modelling New'!$N:$N),"")</f>
        <v>70.400000000000006</v>
      </c>
      <c r="AS357" s="198"/>
    </row>
    <row r="358" spans="1:45">
      <c r="A358" s="137">
        <f t="shared" si="37"/>
        <v>46101</v>
      </c>
      <c r="B358" s="138">
        <f>YEAR(Daily_KPI[[#This Row],[Date]])+IF(MONTH(Daily_KPI[[#This Row],[Date]])&gt;=4,1,0)</f>
        <v>2026</v>
      </c>
      <c r="C358" s="108">
        <f>YEAR(Daily_KPI[[#This Row],[Date]])</f>
        <v>2026</v>
      </c>
      <c r="D358" s="139">
        <f>Daily_KPI[[#This Row],[Date]]-DAY(Daily_KPI[[#This Row],[Date]])+1</f>
        <v>46082</v>
      </c>
      <c r="E358" s="108">
        <f t="shared" si="38"/>
        <v>31</v>
      </c>
      <c r="F358" s="109"/>
      <c r="G358" s="110"/>
      <c r="H358" s="110"/>
      <c r="I358" s="110"/>
      <c r="J358" s="110"/>
      <c r="K358" s="111"/>
      <c r="L358" s="110"/>
      <c r="M358" s="110" t="str">
        <f>IFERROR(_xlfn.XLOOKUP($A358,Input_Raw!$A:$A,Input_Raw!$CQ:$CQ),"")</f>
        <v/>
      </c>
      <c r="N358" s="110" t="str">
        <f>IFERROR(_xlfn.XLOOKUP($A358,Input_Raw!$A:$A,Input_Raw!$CR:$CR),"")</f>
        <v/>
      </c>
      <c r="O358" s="141" t="str">
        <f t="shared" si="39"/>
        <v/>
      </c>
      <c r="P358" s="141" t="str">
        <f>IFERROR(1-SUMIF(WTG_BD!$F:$F,$A358,WTG_BD!$AA:$AA)/($AA358+SUMIF(WTG_BD!$F:$F,$A358,WTG_BD!$AA:$AA)),"")</f>
        <v/>
      </c>
      <c r="Q358" s="141" t="str">
        <f>IFERROR(1-SUMIF(IGA_BD!$F:$F,$A358,IGA_BD!$W:$W)/($AA358+SUMIF(IGA_BD!$F:$F,$A358,IGA_BD!$W:$W)),"")</f>
        <v/>
      </c>
      <c r="R358" s="141" t="str">
        <f>IFERROR(1-SUMIF(Grid_BD!$F:$F,$A358,Grid_BD!$Y:$Y)/($AA358+SUMIF(Grid_BD!$F:$F,$A358,Grid_BD!$Y:$Y)),"")</f>
        <v/>
      </c>
      <c r="S358" s="108"/>
      <c r="T358" s="140"/>
      <c r="U358" s="141"/>
      <c r="V358" s="108"/>
      <c r="W358" s="142" t="str">
        <f t="shared" si="40"/>
        <v/>
      </c>
      <c r="X358" s="108" t="str">
        <f>IFERROR(_xlfn.XLOOKUP($A358,Input_Raw!$A:$A,Input_Raw!$CP:$CP)*1000,"")</f>
        <v/>
      </c>
      <c r="Y358" s="108" t="str">
        <f>IFERROR(_xlfn.XLOOKUP($A358,Input_Raw!$A:$A,Input_Raw!DJ:DJ)*1000,"")</f>
        <v/>
      </c>
      <c r="Z358" s="108" t="str">
        <f>IFERROR(_xlfn.XLOOKUP($A358,Input_Raw!$A:$A,Input_Raw!DK:DK)*1000,"")</f>
        <v/>
      </c>
      <c r="AA358" s="138" t="str">
        <f t="shared" si="41"/>
        <v/>
      </c>
      <c r="AB358" s="108" t="str">
        <f>IFERROR(_xlfn.XLOOKUP($A358,Input_Raw!$A:$A,Input_Raw!$DR:$DR),"")</f>
        <v/>
      </c>
      <c r="AC358" s="143">
        <f>IFERROR(_xlfn.XLOOKUP($D358,'Modelling New'!$D:$D,'Modelling New'!$J:$J),"")</f>
        <v>4.5649999999999995</v>
      </c>
      <c r="AD358" s="138">
        <f>IFERROR(_xlfn.XLOOKUP($D358,'Modelling New'!$D:$D,'Modelling New'!$T:$T)*1000,"")</f>
        <v>177355.29697136435</v>
      </c>
      <c r="AE358" s="142"/>
      <c r="AF358" s="142">
        <f>IFERROR(_xlfn.XLOOKUP($D358,'Modelling New'!$D:$D,'Modelling New'!$W:$W),"")</f>
        <v>0.1049688073930897</v>
      </c>
      <c r="AG358" s="142">
        <f>IFERROR(_xlfn.XLOOKUP($D358,'Modelling New'!$D:$D,'Modelling New'!$AE:$AE),"")</f>
        <v>0.96029999999999993</v>
      </c>
      <c r="AH358" s="142">
        <f>IFERROR(_xlfn.XLOOKUP($D358,'Modelling New'!$D:$D,'Modelling New'!$AF:$AF),"")</f>
        <v>0.995</v>
      </c>
      <c r="AI358" s="109" t="str">
        <f>IFERROR(_xlfn.XLOOKUP($A358,Input_Raw!$A:$A,Input_Raw!$DP:$DP),"")</f>
        <v/>
      </c>
      <c r="AJ358" s="108"/>
      <c r="AK358" s="108"/>
      <c r="AL358" s="108"/>
      <c r="AM358" s="108"/>
      <c r="AN358" s="132" t="str">
        <f>IFERROR(_xlfn.XLOOKUP($A358,Input_Raw!$A:$A,Input_Raw!$DL:$DL),"")</f>
        <v/>
      </c>
      <c r="AO358" s="142" t="str">
        <f>IFERROR((_xlfn.XLOOKUP($A358,'WTG Reactive Power'!$A:$A,'WTG Reactive Power'!$AW:$AW))/X358,"")</f>
        <v/>
      </c>
      <c r="AP358" s="142">
        <f>IFERROR(_xlfn.XLOOKUP($D358,'Modelling New'!$D:$D,'Modelling New'!$AK:$AK),"")</f>
        <v>0.05</v>
      </c>
      <c r="AQ358" s="142">
        <f>IFERROR(_xlfn.XLOOKUP($D358,'Modelling New'!$D:$D,'Modelling New'!$AL:$AL),"")</f>
        <v>0.05</v>
      </c>
      <c r="AR358" s="198">
        <f>IFERROR(_xlfn.XLOOKUP($D358,'Modelling New'!$D:$D,'Modelling New'!$N:$N),"")</f>
        <v>70.400000000000006</v>
      </c>
      <c r="AS358" s="198"/>
    </row>
    <row r="359" spans="1:45">
      <c r="A359" s="137">
        <f t="shared" si="37"/>
        <v>46102</v>
      </c>
      <c r="B359" s="138">
        <f>YEAR(Daily_KPI[[#This Row],[Date]])+IF(MONTH(Daily_KPI[[#This Row],[Date]])&gt;=4,1,0)</f>
        <v>2026</v>
      </c>
      <c r="C359" s="108">
        <f>YEAR(Daily_KPI[[#This Row],[Date]])</f>
        <v>2026</v>
      </c>
      <c r="D359" s="139">
        <f>Daily_KPI[[#This Row],[Date]]-DAY(Daily_KPI[[#This Row],[Date]])+1</f>
        <v>46082</v>
      </c>
      <c r="E359" s="108">
        <f t="shared" si="38"/>
        <v>31</v>
      </c>
      <c r="F359" s="109"/>
      <c r="G359" s="110"/>
      <c r="H359" s="110"/>
      <c r="I359" s="110"/>
      <c r="J359" s="110"/>
      <c r="K359" s="111"/>
      <c r="L359" s="110"/>
      <c r="M359" s="110" t="str">
        <f>IFERROR(_xlfn.XLOOKUP($A359,Input_Raw!$A:$A,Input_Raw!$CQ:$CQ),"")</f>
        <v/>
      </c>
      <c r="N359" s="110" t="str">
        <f>IFERROR(_xlfn.XLOOKUP($A359,Input_Raw!$A:$A,Input_Raw!$CR:$CR),"")</f>
        <v/>
      </c>
      <c r="O359" s="141" t="str">
        <f t="shared" si="39"/>
        <v/>
      </c>
      <c r="P359" s="141" t="str">
        <f>IFERROR(1-SUMIF(WTG_BD!$F:$F,$A359,WTG_BD!$AA:$AA)/($AA359+SUMIF(WTG_BD!$F:$F,$A359,WTG_BD!$AA:$AA)),"")</f>
        <v/>
      </c>
      <c r="Q359" s="141" t="str">
        <f>IFERROR(1-SUMIF(IGA_BD!$F:$F,$A359,IGA_BD!$W:$W)/($AA359+SUMIF(IGA_BD!$F:$F,$A359,IGA_BD!$W:$W)),"")</f>
        <v/>
      </c>
      <c r="R359" s="141" t="str">
        <f>IFERROR(1-SUMIF(Grid_BD!$F:$F,$A359,Grid_BD!$Y:$Y)/($AA359+SUMIF(Grid_BD!$F:$F,$A359,Grid_BD!$Y:$Y)),"")</f>
        <v/>
      </c>
      <c r="S359" s="108"/>
      <c r="T359" s="140"/>
      <c r="U359" s="141"/>
      <c r="V359" s="108"/>
      <c r="W359" s="142" t="str">
        <f t="shared" si="40"/>
        <v/>
      </c>
      <c r="X359" s="108" t="str">
        <f>IFERROR(_xlfn.XLOOKUP($A359,Input_Raw!$A:$A,Input_Raw!$CP:$CP)*1000,"")</f>
        <v/>
      </c>
      <c r="Y359" s="108" t="str">
        <f>IFERROR(_xlfn.XLOOKUP($A359,Input_Raw!$A:$A,Input_Raw!DJ:DJ)*1000,"")</f>
        <v/>
      </c>
      <c r="Z359" s="108" t="str">
        <f>IFERROR(_xlfn.XLOOKUP($A359,Input_Raw!$A:$A,Input_Raw!DK:DK)*1000,"")</f>
        <v/>
      </c>
      <c r="AA359" s="138" t="str">
        <f t="shared" si="41"/>
        <v/>
      </c>
      <c r="AB359" s="108" t="str">
        <f>IFERROR(_xlfn.XLOOKUP($A359,Input_Raw!$A:$A,Input_Raw!$DR:$DR),"")</f>
        <v/>
      </c>
      <c r="AC359" s="143">
        <f>IFERROR(_xlfn.XLOOKUP($D359,'Modelling New'!$D:$D,'Modelling New'!$J:$J),"")</f>
        <v>4.5649999999999995</v>
      </c>
      <c r="AD359" s="138">
        <f>IFERROR(_xlfn.XLOOKUP($D359,'Modelling New'!$D:$D,'Modelling New'!$T:$T)*1000,"")</f>
        <v>177355.29697136435</v>
      </c>
      <c r="AE359" s="142"/>
      <c r="AF359" s="142">
        <f>IFERROR(_xlfn.XLOOKUP($D359,'Modelling New'!$D:$D,'Modelling New'!$W:$W),"")</f>
        <v>0.1049688073930897</v>
      </c>
      <c r="AG359" s="142">
        <f>IFERROR(_xlfn.XLOOKUP($D359,'Modelling New'!$D:$D,'Modelling New'!$AE:$AE),"")</f>
        <v>0.96029999999999993</v>
      </c>
      <c r="AH359" s="142">
        <f>IFERROR(_xlfn.XLOOKUP($D359,'Modelling New'!$D:$D,'Modelling New'!$AF:$AF),"")</f>
        <v>0.995</v>
      </c>
      <c r="AI359" s="109" t="str">
        <f>IFERROR(_xlfn.XLOOKUP($A359,Input_Raw!$A:$A,Input_Raw!$DP:$DP),"")</f>
        <v/>
      </c>
      <c r="AJ359" s="108"/>
      <c r="AK359" s="108"/>
      <c r="AL359" s="108"/>
      <c r="AM359" s="108"/>
      <c r="AN359" s="132" t="str">
        <f>IFERROR(_xlfn.XLOOKUP($A359,Input_Raw!$A:$A,Input_Raw!$DL:$DL),"")</f>
        <v/>
      </c>
      <c r="AO359" s="142" t="str">
        <f>IFERROR((_xlfn.XLOOKUP($A359,'WTG Reactive Power'!$A:$A,'WTG Reactive Power'!$AW:$AW))/X359,"")</f>
        <v/>
      </c>
      <c r="AP359" s="142">
        <f>IFERROR(_xlfn.XLOOKUP($D359,'Modelling New'!$D:$D,'Modelling New'!$AK:$AK),"")</f>
        <v>0.05</v>
      </c>
      <c r="AQ359" s="142">
        <f>IFERROR(_xlfn.XLOOKUP($D359,'Modelling New'!$D:$D,'Modelling New'!$AL:$AL),"")</f>
        <v>0.05</v>
      </c>
      <c r="AR359" s="198">
        <f>IFERROR(_xlfn.XLOOKUP($D359,'Modelling New'!$D:$D,'Modelling New'!$N:$N),"")</f>
        <v>70.400000000000006</v>
      </c>
      <c r="AS359" s="198"/>
    </row>
    <row r="360" spans="1:45">
      <c r="A360" s="137">
        <f t="shared" si="37"/>
        <v>46103</v>
      </c>
      <c r="B360" s="138">
        <f>YEAR(Daily_KPI[[#This Row],[Date]])+IF(MONTH(Daily_KPI[[#This Row],[Date]])&gt;=4,1,0)</f>
        <v>2026</v>
      </c>
      <c r="C360" s="108">
        <f>YEAR(Daily_KPI[[#This Row],[Date]])</f>
        <v>2026</v>
      </c>
      <c r="D360" s="139">
        <f>Daily_KPI[[#This Row],[Date]]-DAY(Daily_KPI[[#This Row],[Date]])+1</f>
        <v>46082</v>
      </c>
      <c r="E360" s="108">
        <f t="shared" si="38"/>
        <v>31</v>
      </c>
      <c r="F360" s="109"/>
      <c r="G360" s="110"/>
      <c r="H360" s="110"/>
      <c r="I360" s="110"/>
      <c r="J360" s="110"/>
      <c r="K360" s="111"/>
      <c r="L360" s="110"/>
      <c r="M360" s="110" t="str">
        <f>IFERROR(_xlfn.XLOOKUP($A360,Input_Raw!$A:$A,Input_Raw!$CQ:$CQ),"")</f>
        <v/>
      </c>
      <c r="N360" s="110" t="str">
        <f>IFERROR(_xlfn.XLOOKUP($A360,Input_Raw!$A:$A,Input_Raw!$CR:$CR),"")</f>
        <v/>
      </c>
      <c r="O360" s="141" t="str">
        <f t="shared" si="39"/>
        <v/>
      </c>
      <c r="P360" s="141" t="str">
        <f>IFERROR(1-SUMIF(WTG_BD!$F:$F,$A360,WTG_BD!$AA:$AA)/($AA360+SUMIF(WTG_BD!$F:$F,$A360,WTG_BD!$AA:$AA)),"")</f>
        <v/>
      </c>
      <c r="Q360" s="141" t="str">
        <f>IFERROR(1-SUMIF(IGA_BD!$F:$F,$A360,IGA_BD!$W:$W)/($AA360+SUMIF(IGA_BD!$F:$F,$A360,IGA_BD!$W:$W)),"")</f>
        <v/>
      </c>
      <c r="R360" s="141" t="str">
        <f>IFERROR(1-SUMIF(Grid_BD!$F:$F,$A360,Grid_BD!$Y:$Y)/($AA360+SUMIF(Grid_BD!$F:$F,$A360,Grid_BD!$Y:$Y)),"")</f>
        <v/>
      </c>
      <c r="S360" s="108"/>
      <c r="T360" s="140"/>
      <c r="U360" s="141"/>
      <c r="V360" s="108"/>
      <c r="W360" s="142" t="str">
        <f t="shared" si="40"/>
        <v/>
      </c>
      <c r="X360" s="108" t="str">
        <f>IFERROR(_xlfn.XLOOKUP($A360,Input_Raw!$A:$A,Input_Raw!$CP:$CP)*1000,"")</f>
        <v/>
      </c>
      <c r="Y360" s="108" t="str">
        <f>IFERROR(_xlfn.XLOOKUP($A360,Input_Raw!$A:$A,Input_Raw!DJ:DJ)*1000,"")</f>
        <v/>
      </c>
      <c r="Z360" s="108" t="str">
        <f>IFERROR(_xlfn.XLOOKUP($A360,Input_Raw!$A:$A,Input_Raw!DK:DK)*1000,"")</f>
        <v/>
      </c>
      <c r="AA360" s="138" t="str">
        <f t="shared" si="41"/>
        <v/>
      </c>
      <c r="AB360" s="108" t="str">
        <f>IFERROR(_xlfn.XLOOKUP($A360,Input_Raw!$A:$A,Input_Raw!$DR:$DR),"")</f>
        <v/>
      </c>
      <c r="AC360" s="143">
        <f>IFERROR(_xlfn.XLOOKUP($D360,'Modelling New'!$D:$D,'Modelling New'!$J:$J),"")</f>
        <v>4.5649999999999995</v>
      </c>
      <c r="AD360" s="138">
        <f>IFERROR(_xlfn.XLOOKUP($D360,'Modelling New'!$D:$D,'Modelling New'!$T:$T)*1000,"")</f>
        <v>177355.29697136435</v>
      </c>
      <c r="AE360" s="142"/>
      <c r="AF360" s="142">
        <f>IFERROR(_xlfn.XLOOKUP($D360,'Modelling New'!$D:$D,'Modelling New'!$W:$W),"")</f>
        <v>0.1049688073930897</v>
      </c>
      <c r="AG360" s="142">
        <f>IFERROR(_xlfn.XLOOKUP($D360,'Modelling New'!$D:$D,'Modelling New'!$AE:$AE),"")</f>
        <v>0.96029999999999993</v>
      </c>
      <c r="AH360" s="142">
        <f>IFERROR(_xlfn.XLOOKUP($D360,'Modelling New'!$D:$D,'Modelling New'!$AF:$AF),"")</f>
        <v>0.995</v>
      </c>
      <c r="AI360" s="109" t="str">
        <f>IFERROR(_xlfn.XLOOKUP($A360,Input_Raw!$A:$A,Input_Raw!$DP:$DP),"")</f>
        <v/>
      </c>
      <c r="AJ360" s="108"/>
      <c r="AK360" s="108"/>
      <c r="AL360" s="108"/>
      <c r="AM360" s="108"/>
      <c r="AN360" s="132" t="str">
        <f>IFERROR(_xlfn.XLOOKUP($A360,Input_Raw!$A:$A,Input_Raw!$DL:$DL),"")</f>
        <v/>
      </c>
      <c r="AO360" s="142" t="str">
        <f>IFERROR((_xlfn.XLOOKUP($A360,'WTG Reactive Power'!$A:$A,'WTG Reactive Power'!$AW:$AW))/X360,"")</f>
        <v/>
      </c>
      <c r="AP360" s="142">
        <f>IFERROR(_xlfn.XLOOKUP($D360,'Modelling New'!$D:$D,'Modelling New'!$AK:$AK),"")</f>
        <v>0.05</v>
      </c>
      <c r="AQ360" s="142">
        <f>IFERROR(_xlfn.XLOOKUP($D360,'Modelling New'!$D:$D,'Modelling New'!$AL:$AL),"")</f>
        <v>0.05</v>
      </c>
      <c r="AR360" s="198">
        <f>IFERROR(_xlfn.XLOOKUP($D360,'Modelling New'!$D:$D,'Modelling New'!$N:$N),"")</f>
        <v>70.400000000000006</v>
      </c>
      <c r="AS360" s="198"/>
    </row>
    <row r="361" spans="1:45">
      <c r="A361" s="137">
        <f t="shared" si="37"/>
        <v>46104</v>
      </c>
      <c r="B361" s="138">
        <f>YEAR(Daily_KPI[[#This Row],[Date]])+IF(MONTH(Daily_KPI[[#This Row],[Date]])&gt;=4,1,0)</f>
        <v>2026</v>
      </c>
      <c r="C361" s="108">
        <f>YEAR(Daily_KPI[[#This Row],[Date]])</f>
        <v>2026</v>
      </c>
      <c r="D361" s="139">
        <f>Daily_KPI[[#This Row],[Date]]-DAY(Daily_KPI[[#This Row],[Date]])+1</f>
        <v>46082</v>
      </c>
      <c r="E361" s="108">
        <f t="shared" si="38"/>
        <v>31</v>
      </c>
      <c r="F361" s="109"/>
      <c r="G361" s="110"/>
      <c r="H361" s="110"/>
      <c r="I361" s="110"/>
      <c r="J361" s="110"/>
      <c r="K361" s="111"/>
      <c r="L361" s="110"/>
      <c r="M361" s="110" t="str">
        <f>IFERROR(_xlfn.XLOOKUP($A361,Input_Raw!$A:$A,Input_Raw!$CQ:$CQ),"")</f>
        <v/>
      </c>
      <c r="N361" s="110" t="str">
        <f>IFERROR(_xlfn.XLOOKUP($A361,Input_Raw!$A:$A,Input_Raw!$CR:$CR),"")</f>
        <v/>
      </c>
      <c r="O361" s="141" t="str">
        <f t="shared" si="39"/>
        <v/>
      </c>
      <c r="P361" s="141" t="str">
        <f>IFERROR(1-SUMIF(WTG_BD!$F:$F,$A361,WTG_BD!$AA:$AA)/($AA361+SUMIF(WTG_BD!$F:$F,$A361,WTG_BD!$AA:$AA)),"")</f>
        <v/>
      </c>
      <c r="Q361" s="141" t="str">
        <f>IFERROR(1-SUMIF(IGA_BD!$F:$F,$A361,IGA_BD!$W:$W)/($AA361+SUMIF(IGA_BD!$F:$F,$A361,IGA_BD!$W:$W)),"")</f>
        <v/>
      </c>
      <c r="R361" s="141" t="str">
        <f>IFERROR(1-SUMIF(Grid_BD!$F:$F,$A361,Grid_BD!$Y:$Y)/($AA361+SUMIF(Grid_BD!$F:$F,$A361,Grid_BD!$Y:$Y)),"")</f>
        <v/>
      </c>
      <c r="S361" s="108"/>
      <c r="T361" s="140"/>
      <c r="U361" s="141"/>
      <c r="V361" s="108"/>
      <c r="W361" s="142" t="str">
        <f t="shared" si="40"/>
        <v/>
      </c>
      <c r="X361" s="108" t="str">
        <f>IFERROR(_xlfn.XLOOKUP($A361,Input_Raw!$A:$A,Input_Raw!$CP:$CP)*1000,"")</f>
        <v/>
      </c>
      <c r="Y361" s="108" t="str">
        <f>IFERROR(_xlfn.XLOOKUP($A361,Input_Raw!$A:$A,Input_Raw!DJ:DJ)*1000,"")</f>
        <v/>
      </c>
      <c r="Z361" s="108" t="str">
        <f>IFERROR(_xlfn.XLOOKUP($A361,Input_Raw!$A:$A,Input_Raw!DK:DK)*1000,"")</f>
        <v/>
      </c>
      <c r="AA361" s="138" t="str">
        <f t="shared" si="41"/>
        <v/>
      </c>
      <c r="AB361" s="108" t="str">
        <f>IFERROR(_xlfn.XLOOKUP($A361,Input_Raw!$A:$A,Input_Raw!$DR:$DR),"")</f>
        <v/>
      </c>
      <c r="AC361" s="143">
        <f>IFERROR(_xlfn.XLOOKUP($D361,'Modelling New'!$D:$D,'Modelling New'!$J:$J),"")</f>
        <v>4.5649999999999995</v>
      </c>
      <c r="AD361" s="138">
        <f>IFERROR(_xlfn.XLOOKUP($D361,'Modelling New'!$D:$D,'Modelling New'!$T:$T)*1000,"")</f>
        <v>177355.29697136435</v>
      </c>
      <c r="AE361" s="142"/>
      <c r="AF361" s="142">
        <f>IFERROR(_xlfn.XLOOKUP($D361,'Modelling New'!$D:$D,'Modelling New'!$W:$W),"")</f>
        <v>0.1049688073930897</v>
      </c>
      <c r="AG361" s="142">
        <f>IFERROR(_xlfn.XLOOKUP($D361,'Modelling New'!$D:$D,'Modelling New'!$AE:$AE),"")</f>
        <v>0.96029999999999993</v>
      </c>
      <c r="AH361" s="142">
        <f>IFERROR(_xlfn.XLOOKUP($D361,'Modelling New'!$D:$D,'Modelling New'!$AF:$AF),"")</f>
        <v>0.995</v>
      </c>
      <c r="AI361" s="109" t="str">
        <f>IFERROR(_xlfn.XLOOKUP($A361,Input_Raw!$A:$A,Input_Raw!$DP:$DP),"")</f>
        <v/>
      </c>
      <c r="AJ361" s="108"/>
      <c r="AK361" s="108"/>
      <c r="AL361" s="108"/>
      <c r="AM361" s="108"/>
      <c r="AN361" s="132" t="str">
        <f>IFERROR(_xlfn.XLOOKUP($A361,Input_Raw!$A:$A,Input_Raw!$DL:$DL),"")</f>
        <v/>
      </c>
      <c r="AO361" s="142" t="str">
        <f>IFERROR((_xlfn.XLOOKUP($A361,'WTG Reactive Power'!$A:$A,'WTG Reactive Power'!$AW:$AW))/X361,"")</f>
        <v/>
      </c>
      <c r="AP361" s="142">
        <f>IFERROR(_xlfn.XLOOKUP($D361,'Modelling New'!$D:$D,'Modelling New'!$AK:$AK),"")</f>
        <v>0.05</v>
      </c>
      <c r="AQ361" s="142">
        <f>IFERROR(_xlfn.XLOOKUP($D361,'Modelling New'!$D:$D,'Modelling New'!$AL:$AL),"")</f>
        <v>0.05</v>
      </c>
      <c r="AR361" s="198">
        <f>IFERROR(_xlfn.XLOOKUP($D361,'Modelling New'!$D:$D,'Modelling New'!$N:$N),"")</f>
        <v>70.400000000000006</v>
      </c>
      <c r="AS361" s="198"/>
    </row>
    <row r="362" spans="1:45">
      <c r="A362" s="137">
        <f t="shared" si="37"/>
        <v>46105</v>
      </c>
      <c r="B362" s="138">
        <f>YEAR(Daily_KPI[[#This Row],[Date]])+IF(MONTH(Daily_KPI[[#This Row],[Date]])&gt;=4,1,0)</f>
        <v>2026</v>
      </c>
      <c r="C362" s="108">
        <f>YEAR(Daily_KPI[[#This Row],[Date]])</f>
        <v>2026</v>
      </c>
      <c r="D362" s="139">
        <f>Daily_KPI[[#This Row],[Date]]-DAY(Daily_KPI[[#This Row],[Date]])+1</f>
        <v>46082</v>
      </c>
      <c r="E362" s="108">
        <f t="shared" si="38"/>
        <v>31</v>
      </c>
      <c r="F362" s="109"/>
      <c r="G362" s="110"/>
      <c r="H362" s="110"/>
      <c r="I362" s="110"/>
      <c r="J362" s="110"/>
      <c r="K362" s="111"/>
      <c r="L362" s="110"/>
      <c r="M362" s="110" t="str">
        <f>IFERROR(_xlfn.XLOOKUP($A362,Input_Raw!$A:$A,Input_Raw!$CQ:$CQ),"")</f>
        <v/>
      </c>
      <c r="N362" s="110" t="str">
        <f>IFERROR(_xlfn.XLOOKUP($A362,Input_Raw!$A:$A,Input_Raw!$CR:$CR),"")</f>
        <v/>
      </c>
      <c r="O362" s="141" t="str">
        <f t="shared" si="39"/>
        <v/>
      </c>
      <c r="P362" s="141" t="str">
        <f>IFERROR(1-SUMIF(WTG_BD!$F:$F,$A362,WTG_BD!$AA:$AA)/($AA362+SUMIF(WTG_BD!$F:$F,$A362,WTG_BD!$AA:$AA)),"")</f>
        <v/>
      </c>
      <c r="Q362" s="141" t="str">
        <f>IFERROR(1-SUMIF(IGA_BD!$F:$F,$A362,IGA_BD!$W:$W)/($AA362+SUMIF(IGA_BD!$F:$F,$A362,IGA_BD!$W:$W)),"")</f>
        <v/>
      </c>
      <c r="R362" s="141" t="str">
        <f>IFERROR(1-SUMIF(Grid_BD!$F:$F,$A362,Grid_BD!$Y:$Y)/($AA362+SUMIF(Grid_BD!$F:$F,$A362,Grid_BD!$Y:$Y)),"")</f>
        <v/>
      </c>
      <c r="S362" s="108"/>
      <c r="T362" s="140"/>
      <c r="U362" s="141"/>
      <c r="V362" s="108"/>
      <c r="W362" s="142" t="str">
        <f t="shared" si="40"/>
        <v/>
      </c>
      <c r="X362" s="108" t="str">
        <f>IFERROR(_xlfn.XLOOKUP($A362,Input_Raw!$A:$A,Input_Raw!$CP:$CP)*1000,"")</f>
        <v/>
      </c>
      <c r="Y362" s="108" t="str">
        <f>IFERROR(_xlfn.XLOOKUP($A362,Input_Raw!$A:$A,Input_Raw!DJ:DJ)*1000,"")</f>
        <v/>
      </c>
      <c r="Z362" s="108" t="str">
        <f>IFERROR(_xlfn.XLOOKUP($A362,Input_Raw!$A:$A,Input_Raw!DK:DK)*1000,"")</f>
        <v/>
      </c>
      <c r="AA362" s="138" t="str">
        <f t="shared" si="41"/>
        <v/>
      </c>
      <c r="AB362" s="108" t="str">
        <f>IFERROR(_xlfn.XLOOKUP($A362,Input_Raw!$A:$A,Input_Raw!$DR:$DR),"")</f>
        <v/>
      </c>
      <c r="AC362" s="143">
        <f>IFERROR(_xlfn.XLOOKUP($D362,'Modelling New'!$D:$D,'Modelling New'!$J:$J),"")</f>
        <v>4.5649999999999995</v>
      </c>
      <c r="AD362" s="138">
        <f>IFERROR(_xlfn.XLOOKUP($D362,'Modelling New'!$D:$D,'Modelling New'!$T:$T)*1000,"")</f>
        <v>177355.29697136435</v>
      </c>
      <c r="AE362" s="142"/>
      <c r="AF362" s="142">
        <f>IFERROR(_xlfn.XLOOKUP($D362,'Modelling New'!$D:$D,'Modelling New'!$W:$W),"")</f>
        <v>0.1049688073930897</v>
      </c>
      <c r="AG362" s="142">
        <f>IFERROR(_xlfn.XLOOKUP($D362,'Modelling New'!$D:$D,'Modelling New'!$AE:$AE),"")</f>
        <v>0.96029999999999993</v>
      </c>
      <c r="AH362" s="142">
        <f>IFERROR(_xlfn.XLOOKUP($D362,'Modelling New'!$D:$D,'Modelling New'!$AF:$AF),"")</f>
        <v>0.995</v>
      </c>
      <c r="AI362" s="109" t="str">
        <f>IFERROR(_xlfn.XLOOKUP($A362,Input_Raw!$A:$A,Input_Raw!$DP:$DP),"")</f>
        <v/>
      </c>
      <c r="AJ362" s="108"/>
      <c r="AK362" s="108"/>
      <c r="AL362" s="108"/>
      <c r="AM362" s="108"/>
      <c r="AN362" s="132" t="str">
        <f>IFERROR(_xlfn.XLOOKUP($A362,Input_Raw!$A:$A,Input_Raw!$DL:$DL),"")</f>
        <v/>
      </c>
      <c r="AO362" s="142" t="str">
        <f>IFERROR((_xlfn.XLOOKUP($A362,'WTG Reactive Power'!$A:$A,'WTG Reactive Power'!$AW:$AW))/X362,"")</f>
        <v/>
      </c>
      <c r="AP362" s="142">
        <f>IFERROR(_xlfn.XLOOKUP($D362,'Modelling New'!$D:$D,'Modelling New'!$AK:$AK),"")</f>
        <v>0.05</v>
      </c>
      <c r="AQ362" s="142">
        <f>IFERROR(_xlfn.XLOOKUP($D362,'Modelling New'!$D:$D,'Modelling New'!$AL:$AL),"")</f>
        <v>0.05</v>
      </c>
      <c r="AR362" s="198">
        <f>IFERROR(_xlfn.XLOOKUP($D362,'Modelling New'!$D:$D,'Modelling New'!$N:$N),"")</f>
        <v>70.400000000000006</v>
      </c>
      <c r="AS362" s="198"/>
    </row>
    <row r="363" spans="1:45">
      <c r="A363" s="137">
        <f t="shared" si="37"/>
        <v>46106</v>
      </c>
      <c r="B363" s="138">
        <f>YEAR(Daily_KPI[[#This Row],[Date]])+IF(MONTH(Daily_KPI[[#This Row],[Date]])&gt;=4,1,0)</f>
        <v>2026</v>
      </c>
      <c r="C363" s="108">
        <f>YEAR(Daily_KPI[[#This Row],[Date]])</f>
        <v>2026</v>
      </c>
      <c r="D363" s="139">
        <f>Daily_KPI[[#This Row],[Date]]-DAY(Daily_KPI[[#This Row],[Date]])+1</f>
        <v>46082</v>
      </c>
      <c r="E363" s="108">
        <f t="shared" si="38"/>
        <v>31</v>
      </c>
      <c r="F363" s="109"/>
      <c r="G363" s="110"/>
      <c r="H363" s="110"/>
      <c r="I363" s="110"/>
      <c r="J363" s="110"/>
      <c r="K363" s="111"/>
      <c r="L363" s="110"/>
      <c r="M363" s="110" t="str">
        <f>IFERROR(_xlfn.XLOOKUP($A363,Input_Raw!$A:$A,Input_Raw!$CQ:$CQ),"")</f>
        <v/>
      </c>
      <c r="N363" s="110" t="str">
        <f>IFERROR(_xlfn.XLOOKUP($A363,Input_Raw!$A:$A,Input_Raw!$CR:$CR),"")</f>
        <v/>
      </c>
      <c r="O363" s="141" t="str">
        <f t="shared" si="39"/>
        <v/>
      </c>
      <c r="P363" s="141" t="str">
        <f>IFERROR(1-SUMIF(WTG_BD!$F:$F,$A363,WTG_BD!$AA:$AA)/($AA363+SUMIF(WTG_BD!$F:$F,$A363,WTG_BD!$AA:$AA)),"")</f>
        <v/>
      </c>
      <c r="Q363" s="141" t="str">
        <f>IFERROR(1-SUMIF(IGA_BD!$F:$F,$A363,IGA_BD!$W:$W)/($AA363+SUMIF(IGA_BD!$F:$F,$A363,IGA_BD!$W:$W)),"")</f>
        <v/>
      </c>
      <c r="R363" s="141" t="str">
        <f>IFERROR(1-SUMIF(Grid_BD!$F:$F,$A363,Grid_BD!$Y:$Y)/($AA363+SUMIF(Grid_BD!$F:$F,$A363,Grid_BD!$Y:$Y)),"")</f>
        <v/>
      </c>
      <c r="S363" s="108"/>
      <c r="T363" s="140"/>
      <c r="U363" s="141"/>
      <c r="V363" s="108"/>
      <c r="W363" s="142" t="str">
        <f t="shared" si="40"/>
        <v/>
      </c>
      <c r="X363" s="108" t="str">
        <f>IFERROR(_xlfn.XLOOKUP($A363,Input_Raw!$A:$A,Input_Raw!$CP:$CP)*1000,"")</f>
        <v/>
      </c>
      <c r="Y363" s="108" t="str">
        <f>IFERROR(_xlfn.XLOOKUP($A363,Input_Raw!$A:$A,Input_Raw!DJ:DJ)*1000,"")</f>
        <v/>
      </c>
      <c r="Z363" s="108" t="str">
        <f>IFERROR(_xlfn.XLOOKUP($A363,Input_Raw!$A:$A,Input_Raw!DK:DK)*1000,"")</f>
        <v/>
      </c>
      <c r="AA363" s="138" t="str">
        <f t="shared" si="41"/>
        <v/>
      </c>
      <c r="AB363" s="108" t="str">
        <f>IFERROR(_xlfn.XLOOKUP($A363,Input_Raw!$A:$A,Input_Raw!$DR:$DR),"")</f>
        <v/>
      </c>
      <c r="AC363" s="143">
        <f>IFERROR(_xlfn.XLOOKUP($D363,'Modelling New'!$D:$D,'Modelling New'!$J:$J),"")</f>
        <v>4.5649999999999995</v>
      </c>
      <c r="AD363" s="138">
        <f>IFERROR(_xlfn.XLOOKUP($D363,'Modelling New'!$D:$D,'Modelling New'!$T:$T)*1000,"")</f>
        <v>177355.29697136435</v>
      </c>
      <c r="AE363" s="142"/>
      <c r="AF363" s="142">
        <f>IFERROR(_xlfn.XLOOKUP($D363,'Modelling New'!$D:$D,'Modelling New'!$W:$W),"")</f>
        <v>0.1049688073930897</v>
      </c>
      <c r="AG363" s="142">
        <f>IFERROR(_xlfn.XLOOKUP($D363,'Modelling New'!$D:$D,'Modelling New'!$AE:$AE),"")</f>
        <v>0.96029999999999993</v>
      </c>
      <c r="AH363" s="142">
        <f>IFERROR(_xlfn.XLOOKUP($D363,'Modelling New'!$D:$D,'Modelling New'!$AF:$AF),"")</f>
        <v>0.995</v>
      </c>
      <c r="AI363" s="109" t="str">
        <f>IFERROR(_xlfn.XLOOKUP($A363,Input_Raw!$A:$A,Input_Raw!$DP:$DP),"")</f>
        <v/>
      </c>
      <c r="AJ363" s="108"/>
      <c r="AK363" s="108"/>
      <c r="AL363" s="108"/>
      <c r="AM363" s="108"/>
      <c r="AN363" s="132" t="str">
        <f>IFERROR(_xlfn.XLOOKUP($A363,Input_Raw!$A:$A,Input_Raw!$DL:$DL),"")</f>
        <v/>
      </c>
      <c r="AO363" s="142" t="str">
        <f>IFERROR((_xlfn.XLOOKUP($A363,'WTG Reactive Power'!$A:$A,'WTG Reactive Power'!$AW:$AW))/X363,"")</f>
        <v/>
      </c>
      <c r="AP363" s="142">
        <f>IFERROR(_xlfn.XLOOKUP($D363,'Modelling New'!$D:$D,'Modelling New'!$AK:$AK),"")</f>
        <v>0.05</v>
      </c>
      <c r="AQ363" s="142">
        <f>IFERROR(_xlfn.XLOOKUP($D363,'Modelling New'!$D:$D,'Modelling New'!$AL:$AL),"")</f>
        <v>0.05</v>
      </c>
      <c r="AR363" s="198">
        <f>IFERROR(_xlfn.XLOOKUP($D363,'Modelling New'!$D:$D,'Modelling New'!$N:$N),"")</f>
        <v>70.400000000000006</v>
      </c>
      <c r="AS363" s="198"/>
    </row>
    <row r="364" spans="1:45">
      <c r="A364" s="137">
        <f t="shared" si="37"/>
        <v>46107</v>
      </c>
      <c r="B364" s="138">
        <f>YEAR(Daily_KPI[[#This Row],[Date]])+IF(MONTH(Daily_KPI[[#This Row],[Date]])&gt;=4,1,0)</f>
        <v>2026</v>
      </c>
      <c r="C364" s="108">
        <f>YEAR(Daily_KPI[[#This Row],[Date]])</f>
        <v>2026</v>
      </c>
      <c r="D364" s="139">
        <f>Daily_KPI[[#This Row],[Date]]-DAY(Daily_KPI[[#This Row],[Date]])+1</f>
        <v>46082</v>
      </c>
      <c r="E364" s="108">
        <f t="shared" si="38"/>
        <v>31</v>
      </c>
      <c r="F364" s="109"/>
      <c r="G364" s="110"/>
      <c r="H364" s="110"/>
      <c r="I364" s="110"/>
      <c r="J364" s="110"/>
      <c r="K364" s="111"/>
      <c r="L364" s="110"/>
      <c r="M364" s="110" t="str">
        <f>IFERROR(_xlfn.XLOOKUP($A364,Input_Raw!$A:$A,Input_Raw!$CQ:$CQ),"")</f>
        <v/>
      </c>
      <c r="N364" s="110" t="str">
        <f>IFERROR(_xlfn.XLOOKUP($A364,Input_Raw!$A:$A,Input_Raw!$CR:$CR),"")</f>
        <v/>
      </c>
      <c r="O364" s="141" t="str">
        <f t="shared" si="39"/>
        <v/>
      </c>
      <c r="P364" s="141" t="str">
        <f>IFERROR(1-SUMIF(WTG_BD!$F:$F,$A364,WTG_BD!$AA:$AA)/($AA364+SUMIF(WTG_BD!$F:$F,$A364,WTG_BD!$AA:$AA)),"")</f>
        <v/>
      </c>
      <c r="Q364" s="141" t="str">
        <f>IFERROR(1-SUMIF(IGA_BD!$F:$F,$A364,IGA_BD!$W:$W)/($AA364+SUMIF(IGA_BD!$F:$F,$A364,IGA_BD!$W:$W)),"")</f>
        <v/>
      </c>
      <c r="R364" s="141" t="str">
        <f>IFERROR(1-SUMIF(Grid_BD!$F:$F,$A364,Grid_BD!$Y:$Y)/($AA364+SUMIF(Grid_BD!$F:$F,$A364,Grid_BD!$Y:$Y)),"")</f>
        <v/>
      </c>
      <c r="S364" s="108"/>
      <c r="T364" s="140"/>
      <c r="U364" s="141"/>
      <c r="V364" s="108"/>
      <c r="W364" s="142" t="str">
        <f t="shared" si="40"/>
        <v/>
      </c>
      <c r="X364" s="108" t="str">
        <f>IFERROR(_xlfn.XLOOKUP($A364,Input_Raw!$A:$A,Input_Raw!$CP:$CP)*1000,"")</f>
        <v/>
      </c>
      <c r="Y364" s="108" t="str">
        <f>IFERROR(_xlfn.XLOOKUP($A364,Input_Raw!$A:$A,Input_Raw!DJ:DJ)*1000,"")</f>
        <v/>
      </c>
      <c r="Z364" s="108" t="str">
        <f>IFERROR(_xlfn.XLOOKUP($A364,Input_Raw!$A:$A,Input_Raw!DK:DK)*1000,"")</f>
        <v/>
      </c>
      <c r="AA364" s="138" t="str">
        <f t="shared" si="41"/>
        <v/>
      </c>
      <c r="AB364" s="108" t="str">
        <f>IFERROR(_xlfn.XLOOKUP($A364,Input_Raw!$A:$A,Input_Raw!$DR:$DR),"")</f>
        <v/>
      </c>
      <c r="AC364" s="143">
        <f>IFERROR(_xlfn.XLOOKUP($D364,'Modelling New'!$D:$D,'Modelling New'!$J:$J),"")</f>
        <v>4.5649999999999995</v>
      </c>
      <c r="AD364" s="138">
        <f>IFERROR(_xlfn.XLOOKUP($D364,'Modelling New'!$D:$D,'Modelling New'!$T:$T)*1000,"")</f>
        <v>177355.29697136435</v>
      </c>
      <c r="AE364" s="142"/>
      <c r="AF364" s="142">
        <f>IFERROR(_xlfn.XLOOKUP($D364,'Modelling New'!$D:$D,'Modelling New'!$W:$W),"")</f>
        <v>0.1049688073930897</v>
      </c>
      <c r="AG364" s="142">
        <f>IFERROR(_xlfn.XLOOKUP($D364,'Modelling New'!$D:$D,'Modelling New'!$AE:$AE),"")</f>
        <v>0.96029999999999993</v>
      </c>
      <c r="AH364" s="142">
        <f>IFERROR(_xlfn.XLOOKUP($D364,'Modelling New'!$D:$D,'Modelling New'!$AF:$AF),"")</f>
        <v>0.995</v>
      </c>
      <c r="AI364" s="109" t="str">
        <f>IFERROR(_xlfn.XLOOKUP($A364,Input_Raw!$A:$A,Input_Raw!$DP:$DP),"")</f>
        <v/>
      </c>
      <c r="AJ364" s="108"/>
      <c r="AK364" s="108"/>
      <c r="AL364" s="108"/>
      <c r="AM364" s="108"/>
      <c r="AN364" s="132" t="str">
        <f>IFERROR(_xlfn.XLOOKUP($A364,Input_Raw!$A:$A,Input_Raw!$DL:$DL),"")</f>
        <v/>
      </c>
      <c r="AO364" s="142" t="str">
        <f>IFERROR((_xlfn.XLOOKUP($A364,'WTG Reactive Power'!$A:$A,'WTG Reactive Power'!$AW:$AW))/X364,"")</f>
        <v/>
      </c>
      <c r="AP364" s="142">
        <f>IFERROR(_xlfn.XLOOKUP($D364,'Modelling New'!$D:$D,'Modelling New'!$AK:$AK),"")</f>
        <v>0.05</v>
      </c>
      <c r="AQ364" s="142">
        <f>IFERROR(_xlfn.XLOOKUP($D364,'Modelling New'!$D:$D,'Modelling New'!$AL:$AL),"")</f>
        <v>0.05</v>
      </c>
      <c r="AR364" s="198">
        <f>IFERROR(_xlfn.XLOOKUP($D364,'Modelling New'!$D:$D,'Modelling New'!$N:$N),"")</f>
        <v>70.400000000000006</v>
      </c>
      <c r="AS364" s="198"/>
    </row>
    <row r="365" spans="1:45">
      <c r="A365" s="137">
        <f t="shared" si="37"/>
        <v>46108</v>
      </c>
      <c r="B365" s="138">
        <f>YEAR(Daily_KPI[[#This Row],[Date]])+IF(MONTH(Daily_KPI[[#This Row],[Date]])&gt;=4,1,0)</f>
        <v>2026</v>
      </c>
      <c r="C365" s="108">
        <f>YEAR(Daily_KPI[[#This Row],[Date]])</f>
        <v>2026</v>
      </c>
      <c r="D365" s="139">
        <f>Daily_KPI[[#This Row],[Date]]-DAY(Daily_KPI[[#This Row],[Date]])+1</f>
        <v>46082</v>
      </c>
      <c r="E365" s="108">
        <f t="shared" si="38"/>
        <v>31</v>
      </c>
      <c r="F365" s="109"/>
      <c r="G365" s="110"/>
      <c r="H365" s="110"/>
      <c r="I365" s="110"/>
      <c r="J365" s="110"/>
      <c r="K365" s="111"/>
      <c r="L365" s="110"/>
      <c r="M365" s="110" t="str">
        <f>IFERROR(_xlfn.XLOOKUP($A365,Input_Raw!$A:$A,Input_Raw!$CQ:$CQ),"")</f>
        <v/>
      </c>
      <c r="N365" s="110" t="str">
        <f>IFERROR(_xlfn.XLOOKUP($A365,Input_Raw!$A:$A,Input_Raw!$CR:$CR),"")</f>
        <v/>
      </c>
      <c r="O365" s="141" t="str">
        <f t="shared" si="39"/>
        <v/>
      </c>
      <c r="P365" s="141" t="str">
        <f>IFERROR(1-SUMIF(WTG_BD!$F:$F,$A365,WTG_BD!$AA:$AA)/($AA365+SUMIF(WTG_BD!$F:$F,$A365,WTG_BD!$AA:$AA)),"")</f>
        <v/>
      </c>
      <c r="Q365" s="141" t="str">
        <f>IFERROR(1-SUMIF(IGA_BD!$F:$F,$A365,IGA_BD!$W:$W)/($AA365+SUMIF(IGA_BD!$F:$F,$A365,IGA_BD!$W:$W)),"")</f>
        <v/>
      </c>
      <c r="R365" s="141" t="str">
        <f>IFERROR(1-SUMIF(Grid_BD!$F:$F,$A365,Grid_BD!$Y:$Y)/($AA365+SUMIF(Grid_BD!$F:$F,$A365,Grid_BD!$Y:$Y)),"")</f>
        <v/>
      </c>
      <c r="S365" s="108"/>
      <c r="T365" s="140"/>
      <c r="U365" s="141"/>
      <c r="V365" s="108"/>
      <c r="W365" s="142" t="str">
        <f t="shared" si="40"/>
        <v/>
      </c>
      <c r="X365" s="108" t="str">
        <f>IFERROR(_xlfn.XLOOKUP($A365,Input_Raw!$A:$A,Input_Raw!$CP:$CP)*1000,"")</f>
        <v/>
      </c>
      <c r="Y365" s="108" t="str">
        <f>IFERROR(_xlfn.XLOOKUP($A365,Input_Raw!$A:$A,Input_Raw!DJ:DJ)*1000,"")</f>
        <v/>
      </c>
      <c r="Z365" s="108" t="str">
        <f>IFERROR(_xlfn.XLOOKUP($A365,Input_Raw!$A:$A,Input_Raw!DK:DK)*1000,"")</f>
        <v/>
      </c>
      <c r="AA365" s="138" t="str">
        <f t="shared" si="41"/>
        <v/>
      </c>
      <c r="AB365" s="108" t="str">
        <f>IFERROR(_xlfn.XLOOKUP($A365,Input_Raw!$A:$A,Input_Raw!$DR:$DR),"")</f>
        <v/>
      </c>
      <c r="AC365" s="143">
        <f>IFERROR(_xlfn.XLOOKUP($D365,'Modelling New'!$D:$D,'Modelling New'!$J:$J),"")</f>
        <v>4.5649999999999995</v>
      </c>
      <c r="AD365" s="138">
        <f>IFERROR(_xlfn.XLOOKUP($D365,'Modelling New'!$D:$D,'Modelling New'!$T:$T)*1000,"")</f>
        <v>177355.29697136435</v>
      </c>
      <c r="AE365" s="142"/>
      <c r="AF365" s="142">
        <f>IFERROR(_xlfn.XLOOKUP($D365,'Modelling New'!$D:$D,'Modelling New'!$W:$W),"")</f>
        <v>0.1049688073930897</v>
      </c>
      <c r="AG365" s="142">
        <f>IFERROR(_xlfn.XLOOKUP($D365,'Modelling New'!$D:$D,'Modelling New'!$AE:$AE),"")</f>
        <v>0.96029999999999993</v>
      </c>
      <c r="AH365" s="142">
        <f>IFERROR(_xlfn.XLOOKUP($D365,'Modelling New'!$D:$D,'Modelling New'!$AF:$AF),"")</f>
        <v>0.995</v>
      </c>
      <c r="AI365" s="109" t="str">
        <f>IFERROR(_xlfn.XLOOKUP($A365,Input_Raw!$A:$A,Input_Raw!$DP:$DP),"")</f>
        <v/>
      </c>
      <c r="AJ365" s="108"/>
      <c r="AK365" s="108"/>
      <c r="AL365" s="108"/>
      <c r="AM365" s="108"/>
      <c r="AN365" s="132" t="str">
        <f>IFERROR(_xlfn.XLOOKUP($A365,Input_Raw!$A:$A,Input_Raw!$DL:$DL),"")</f>
        <v/>
      </c>
      <c r="AO365" s="142" t="str">
        <f>IFERROR((_xlfn.XLOOKUP($A365,'WTG Reactive Power'!$A:$A,'WTG Reactive Power'!$AW:$AW))/X365,"")</f>
        <v/>
      </c>
      <c r="AP365" s="142">
        <f>IFERROR(_xlfn.XLOOKUP($D365,'Modelling New'!$D:$D,'Modelling New'!$AK:$AK),"")</f>
        <v>0.05</v>
      </c>
      <c r="AQ365" s="142">
        <f>IFERROR(_xlfn.XLOOKUP($D365,'Modelling New'!$D:$D,'Modelling New'!$AL:$AL),"")</f>
        <v>0.05</v>
      </c>
      <c r="AR365" s="198">
        <f>IFERROR(_xlfn.XLOOKUP($D365,'Modelling New'!$D:$D,'Modelling New'!$N:$N),"")</f>
        <v>70.400000000000006</v>
      </c>
      <c r="AS365" s="198"/>
    </row>
    <row r="366" spans="1:45">
      <c r="A366" s="137">
        <f t="shared" si="37"/>
        <v>46109</v>
      </c>
      <c r="B366" s="138">
        <f>YEAR(Daily_KPI[[#This Row],[Date]])+IF(MONTH(Daily_KPI[[#This Row],[Date]])&gt;=4,1,0)</f>
        <v>2026</v>
      </c>
      <c r="C366" s="108">
        <f>YEAR(Daily_KPI[[#This Row],[Date]])</f>
        <v>2026</v>
      </c>
      <c r="D366" s="139">
        <f>Daily_KPI[[#This Row],[Date]]-DAY(Daily_KPI[[#This Row],[Date]])+1</f>
        <v>46082</v>
      </c>
      <c r="E366" s="108">
        <f t="shared" si="38"/>
        <v>31</v>
      </c>
      <c r="F366" s="109"/>
      <c r="G366" s="110"/>
      <c r="H366" s="110"/>
      <c r="I366" s="110"/>
      <c r="J366" s="110"/>
      <c r="K366" s="111"/>
      <c r="L366" s="110"/>
      <c r="M366" s="110" t="str">
        <f>IFERROR(_xlfn.XLOOKUP($A366,Input_Raw!$A:$A,Input_Raw!$CQ:$CQ),"")</f>
        <v/>
      </c>
      <c r="N366" s="110" t="str">
        <f>IFERROR(_xlfn.XLOOKUP($A366,Input_Raw!$A:$A,Input_Raw!$CR:$CR),"")</f>
        <v/>
      </c>
      <c r="O366" s="141" t="str">
        <f t="shared" si="39"/>
        <v/>
      </c>
      <c r="P366" s="141" t="str">
        <f>IFERROR(1-SUMIF(WTG_BD!$F:$F,$A366,WTG_BD!$AA:$AA)/($AA366+SUMIF(WTG_BD!$F:$F,$A366,WTG_BD!$AA:$AA)),"")</f>
        <v/>
      </c>
      <c r="Q366" s="141" t="str">
        <f>IFERROR(1-SUMIF(IGA_BD!$F:$F,$A366,IGA_BD!$W:$W)/($AA366+SUMIF(IGA_BD!$F:$F,$A366,IGA_BD!$W:$W)),"")</f>
        <v/>
      </c>
      <c r="R366" s="141" t="str">
        <f>IFERROR(1-SUMIF(Grid_BD!$F:$F,$A366,Grid_BD!$Y:$Y)/($AA366+SUMIF(Grid_BD!$F:$F,$A366,Grid_BD!$Y:$Y)),"")</f>
        <v/>
      </c>
      <c r="S366" s="108"/>
      <c r="T366" s="140"/>
      <c r="U366" s="141"/>
      <c r="V366" s="108"/>
      <c r="W366" s="142" t="str">
        <f t="shared" si="40"/>
        <v/>
      </c>
      <c r="X366" s="108" t="str">
        <f>IFERROR(_xlfn.XLOOKUP($A366,Input_Raw!$A:$A,Input_Raw!$CP:$CP)*1000,"")</f>
        <v/>
      </c>
      <c r="Y366" s="108" t="str">
        <f>IFERROR(_xlfn.XLOOKUP($A366,Input_Raw!$A:$A,Input_Raw!DJ:DJ)*1000,"")</f>
        <v/>
      </c>
      <c r="Z366" s="108" t="str">
        <f>IFERROR(_xlfn.XLOOKUP($A366,Input_Raw!$A:$A,Input_Raw!DK:DK)*1000,"")</f>
        <v/>
      </c>
      <c r="AA366" s="138" t="str">
        <f t="shared" si="41"/>
        <v/>
      </c>
      <c r="AB366" s="108" t="str">
        <f>IFERROR(_xlfn.XLOOKUP($A366,Input_Raw!$A:$A,Input_Raw!$DR:$DR),"")</f>
        <v/>
      </c>
      <c r="AC366" s="143">
        <f>IFERROR(_xlfn.XLOOKUP($D366,'Modelling New'!$D:$D,'Modelling New'!$J:$J),"")</f>
        <v>4.5649999999999995</v>
      </c>
      <c r="AD366" s="138">
        <f>IFERROR(_xlfn.XLOOKUP($D366,'Modelling New'!$D:$D,'Modelling New'!$T:$T)*1000,"")</f>
        <v>177355.29697136435</v>
      </c>
      <c r="AE366" s="142"/>
      <c r="AF366" s="142">
        <f>IFERROR(_xlfn.XLOOKUP($D366,'Modelling New'!$D:$D,'Modelling New'!$W:$W),"")</f>
        <v>0.1049688073930897</v>
      </c>
      <c r="AG366" s="142">
        <f>IFERROR(_xlfn.XLOOKUP($D366,'Modelling New'!$D:$D,'Modelling New'!$AE:$AE),"")</f>
        <v>0.96029999999999993</v>
      </c>
      <c r="AH366" s="142">
        <f>IFERROR(_xlfn.XLOOKUP($D366,'Modelling New'!$D:$D,'Modelling New'!$AF:$AF),"")</f>
        <v>0.995</v>
      </c>
      <c r="AI366" s="109" t="str">
        <f>IFERROR(_xlfn.XLOOKUP($A366,Input_Raw!$A:$A,Input_Raw!$DP:$DP),"")</f>
        <v/>
      </c>
      <c r="AJ366" s="108"/>
      <c r="AK366" s="108"/>
      <c r="AL366" s="108"/>
      <c r="AM366" s="108"/>
      <c r="AN366" s="132" t="str">
        <f>IFERROR(_xlfn.XLOOKUP($A366,Input_Raw!$A:$A,Input_Raw!$DL:$DL),"")</f>
        <v/>
      </c>
      <c r="AO366" s="142" t="str">
        <f>IFERROR((_xlfn.XLOOKUP($A366,'WTG Reactive Power'!$A:$A,'WTG Reactive Power'!$AW:$AW))/X366,"")</f>
        <v/>
      </c>
      <c r="AP366" s="142">
        <f>IFERROR(_xlfn.XLOOKUP($D366,'Modelling New'!$D:$D,'Modelling New'!$AK:$AK),"")</f>
        <v>0.05</v>
      </c>
      <c r="AQ366" s="142">
        <f>IFERROR(_xlfn.XLOOKUP($D366,'Modelling New'!$D:$D,'Modelling New'!$AL:$AL),"")</f>
        <v>0.05</v>
      </c>
      <c r="AR366" s="198">
        <f>IFERROR(_xlfn.XLOOKUP($D366,'Modelling New'!$D:$D,'Modelling New'!$N:$N),"")</f>
        <v>70.400000000000006</v>
      </c>
      <c r="AS366" s="198"/>
    </row>
    <row r="367" spans="1:45">
      <c r="A367" s="137">
        <f t="shared" si="37"/>
        <v>46110</v>
      </c>
      <c r="B367" s="138">
        <f>YEAR(Daily_KPI[[#This Row],[Date]])+IF(MONTH(Daily_KPI[[#This Row],[Date]])&gt;=4,1,0)</f>
        <v>2026</v>
      </c>
      <c r="C367" s="108">
        <f>YEAR(Daily_KPI[[#This Row],[Date]])</f>
        <v>2026</v>
      </c>
      <c r="D367" s="139">
        <f>Daily_KPI[[#This Row],[Date]]-DAY(Daily_KPI[[#This Row],[Date]])+1</f>
        <v>46082</v>
      </c>
      <c r="E367" s="108">
        <f t="shared" si="38"/>
        <v>31</v>
      </c>
      <c r="F367" s="109"/>
      <c r="G367" s="110"/>
      <c r="H367" s="110"/>
      <c r="I367" s="110"/>
      <c r="J367" s="110"/>
      <c r="K367" s="111"/>
      <c r="L367" s="110"/>
      <c r="M367" s="110" t="str">
        <f>IFERROR(_xlfn.XLOOKUP($A367,Input_Raw!$A:$A,Input_Raw!$CQ:$CQ),"")</f>
        <v/>
      </c>
      <c r="N367" s="110" t="str">
        <f>IFERROR(_xlfn.XLOOKUP($A367,Input_Raw!$A:$A,Input_Raw!$CR:$CR),"")</f>
        <v/>
      </c>
      <c r="O367" s="141" t="str">
        <f t="shared" si="39"/>
        <v/>
      </c>
      <c r="P367" s="141" t="str">
        <f>IFERROR(1-SUMIF(WTG_BD!$F:$F,$A367,WTG_BD!$AA:$AA)/($AA367+SUMIF(WTG_BD!$F:$F,$A367,WTG_BD!$AA:$AA)),"")</f>
        <v/>
      </c>
      <c r="Q367" s="141" t="str">
        <f>IFERROR(1-SUMIF(IGA_BD!$F:$F,$A367,IGA_BD!$W:$W)/($AA367+SUMIF(IGA_BD!$F:$F,$A367,IGA_BD!$W:$W)),"")</f>
        <v/>
      </c>
      <c r="R367" s="141" t="str">
        <f>IFERROR(1-SUMIF(Grid_BD!$F:$F,$A367,Grid_BD!$Y:$Y)/($AA367+SUMIF(Grid_BD!$F:$F,$A367,Grid_BD!$Y:$Y)),"")</f>
        <v/>
      </c>
      <c r="S367" s="108"/>
      <c r="T367" s="140"/>
      <c r="U367" s="141"/>
      <c r="V367" s="108"/>
      <c r="W367" s="142" t="str">
        <f t="shared" si="40"/>
        <v/>
      </c>
      <c r="X367" s="108" t="str">
        <f>IFERROR(_xlfn.XLOOKUP($A367,Input_Raw!$A:$A,Input_Raw!$CP:$CP)*1000,"")</f>
        <v/>
      </c>
      <c r="Y367" s="108" t="str">
        <f>IFERROR(_xlfn.XLOOKUP($A367,Input_Raw!$A:$A,Input_Raw!DJ:DJ)*1000,"")</f>
        <v/>
      </c>
      <c r="Z367" s="108" t="str">
        <f>IFERROR(_xlfn.XLOOKUP($A367,Input_Raw!$A:$A,Input_Raw!DK:DK)*1000,"")</f>
        <v/>
      </c>
      <c r="AA367" s="138" t="str">
        <f t="shared" si="41"/>
        <v/>
      </c>
      <c r="AB367" s="108" t="str">
        <f>IFERROR(_xlfn.XLOOKUP($A367,Input_Raw!$A:$A,Input_Raw!$DR:$DR),"")</f>
        <v/>
      </c>
      <c r="AC367" s="143">
        <f>IFERROR(_xlfn.XLOOKUP($D367,'Modelling New'!$D:$D,'Modelling New'!$J:$J),"")</f>
        <v>4.5649999999999995</v>
      </c>
      <c r="AD367" s="138">
        <f>IFERROR(_xlfn.XLOOKUP($D367,'Modelling New'!$D:$D,'Modelling New'!$T:$T)*1000,"")</f>
        <v>177355.29697136435</v>
      </c>
      <c r="AE367" s="142"/>
      <c r="AF367" s="142">
        <f>IFERROR(_xlfn.XLOOKUP($D367,'Modelling New'!$D:$D,'Modelling New'!$W:$W),"")</f>
        <v>0.1049688073930897</v>
      </c>
      <c r="AG367" s="142">
        <f>IFERROR(_xlfn.XLOOKUP($D367,'Modelling New'!$D:$D,'Modelling New'!$AE:$AE),"")</f>
        <v>0.96029999999999993</v>
      </c>
      <c r="AH367" s="142">
        <f>IFERROR(_xlfn.XLOOKUP($D367,'Modelling New'!$D:$D,'Modelling New'!$AF:$AF),"")</f>
        <v>0.995</v>
      </c>
      <c r="AI367" s="109" t="str">
        <f>IFERROR(_xlfn.XLOOKUP($A367,Input_Raw!$A:$A,Input_Raw!$DP:$DP),"")</f>
        <v/>
      </c>
      <c r="AJ367" s="108"/>
      <c r="AK367" s="108"/>
      <c r="AL367" s="108"/>
      <c r="AM367" s="108"/>
      <c r="AN367" s="132" t="str">
        <f>IFERROR(_xlfn.XLOOKUP($A367,Input_Raw!$A:$A,Input_Raw!$DL:$DL),"")</f>
        <v/>
      </c>
      <c r="AO367" s="142" t="str">
        <f>IFERROR((_xlfn.XLOOKUP($A367,'WTG Reactive Power'!$A:$A,'WTG Reactive Power'!$AW:$AW))/X367,"")</f>
        <v/>
      </c>
      <c r="AP367" s="142">
        <f>IFERROR(_xlfn.XLOOKUP($D367,'Modelling New'!$D:$D,'Modelling New'!$AK:$AK),"")</f>
        <v>0.05</v>
      </c>
      <c r="AQ367" s="142">
        <f>IFERROR(_xlfn.XLOOKUP($D367,'Modelling New'!$D:$D,'Modelling New'!$AL:$AL),"")</f>
        <v>0.05</v>
      </c>
      <c r="AR367" s="198">
        <f>IFERROR(_xlfn.XLOOKUP($D367,'Modelling New'!$D:$D,'Modelling New'!$N:$N),"")</f>
        <v>70.400000000000006</v>
      </c>
      <c r="AS367" s="198"/>
    </row>
    <row r="368" spans="1:45">
      <c r="A368" s="137">
        <f t="shared" si="37"/>
        <v>46111</v>
      </c>
      <c r="B368" s="138">
        <f>YEAR(Daily_KPI[[#This Row],[Date]])+IF(MONTH(Daily_KPI[[#This Row],[Date]])&gt;=4,1,0)</f>
        <v>2026</v>
      </c>
      <c r="C368" s="108">
        <f>YEAR(Daily_KPI[[#This Row],[Date]])</f>
        <v>2026</v>
      </c>
      <c r="D368" s="139">
        <f>Daily_KPI[[#This Row],[Date]]-DAY(Daily_KPI[[#This Row],[Date]])+1</f>
        <v>46082</v>
      </c>
      <c r="E368" s="108">
        <f t="shared" si="38"/>
        <v>31</v>
      </c>
      <c r="F368" s="109"/>
      <c r="G368" s="110"/>
      <c r="H368" s="110"/>
      <c r="I368" s="110"/>
      <c r="J368" s="110"/>
      <c r="K368" s="111"/>
      <c r="L368" s="110"/>
      <c r="M368" s="110" t="str">
        <f>IFERROR(_xlfn.XLOOKUP($A368,Input_Raw!$A:$A,Input_Raw!$CQ:$CQ),"")</f>
        <v/>
      </c>
      <c r="N368" s="110" t="str">
        <f>IFERROR(_xlfn.XLOOKUP($A368,Input_Raw!$A:$A,Input_Raw!$CR:$CR),"")</f>
        <v/>
      </c>
      <c r="O368" s="141" t="str">
        <f t="shared" si="39"/>
        <v/>
      </c>
      <c r="P368" s="141" t="str">
        <f>IFERROR(1-SUMIF(WTG_BD!$F:$F,$A368,WTG_BD!$AA:$AA)/($AA368+SUMIF(WTG_BD!$F:$F,$A368,WTG_BD!$AA:$AA)),"")</f>
        <v/>
      </c>
      <c r="Q368" s="141" t="str">
        <f>IFERROR(1-SUMIF(IGA_BD!$F:$F,$A368,IGA_BD!$W:$W)/($AA368+SUMIF(IGA_BD!$F:$F,$A368,IGA_BD!$W:$W)),"")</f>
        <v/>
      </c>
      <c r="R368" s="141" t="str">
        <f>IFERROR(1-SUMIF(Grid_BD!$F:$F,$A368,Grid_BD!$Y:$Y)/($AA368+SUMIF(Grid_BD!$F:$F,$A368,Grid_BD!$Y:$Y)),"")</f>
        <v/>
      </c>
      <c r="S368" s="108"/>
      <c r="T368" s="140"/>
      <c r="U368" s="141"/>
      <c r="V368" s="108"/>
      <c r="W368" s="142" t="str">
        <f t="shared" si="40"/>
        <v/>
      </c>
      <c r="X368" s="108" t="str">
        <f>IFERROR(_xlfn.XLOOKUP($A368,Input_Raw!$A:$A,Input_Raw!$CP:$CP)*1000,"")</f>
        <v/>
      </c>
      <c r="Y368" s="108" t="str">
        <f>IFERROR(_xlfn.XLOOKUP($A368,Input_Raw!$A:$A,Input_Raw!DJ:DJ)*1000,"")</f>
        <v/>
      </c>
      <c r="Z368" s="108" t="str">
        <f>IFERROR(_xlfn.XLOOKUP($A368,Input_Raw!$A:$A,Input_Raw!DK:DK)*1000,"")</f>
        <v/>
      </c>
      <c r="AA368" s="138" t="str">
        <f t="shared" si="41"/>
        <v/>
      </c>
      <c r="AB368" s="108" t="str">
        <f>IFERROR(_xlfn.XLOOKUP($A368,Input_Raw!$A:$A,Input_Raw!$DR:$DR),"")</f>
        <v/>
      </c>
      <c r="AC368" s="143">
        <f>IFERROR(_xlfn.XLOOKUP($D368,'Modelling New'!$D:$D,'Modelling New'!$J:$J),"")</f>
        <v>4.5649999999999995</v>
      </c>
      <c r="AD368" s="138">
        <f>IFERROR(_xlfn.XLOOKUP($D368,'Modelling New'!$D:$D,'Modelling New'!$T:$T)*1000,"")</f>
        <v>177355.29697136435</v>
      </c>
      <c r="AE368" s="142"/>
      <c r="AF368" s="142">
        <f>IFERROR(_xlfn.XLOOKUP($D368,'Modelling New'!$D:$D,'Modelling New'!$W:$W),"")</f>
        <v>0.1049688073930897</v>
      </c>
      <c r="AG368" s="142">
        <f>IFERROR(_xlfn.XLOOKUP($D368,'Modelling New'!$D:$D,'Modelling New'!$AE:$AE),"")</f>
        <v>0.96029999999999993</v>
      </c>
      <c r="AH368" s="142">
        <f>IFERROR(_xlfn.XLOOKUP($D368,'Modelling New'!$D:$D,'Modelling New'!$AF:$AF),"")</f>
        <v>0.995</v>
      </c>
      <c r="AI368" s="109" t="str">
        <f>IFERROR(_xlfn.XLOOKUP($A368,Input_Raw!$A:$A,Input_Raw!$DP:$DP),"")</f>
        <v/>
      </c>
      <c r="AJ368" s="108"/>
      <c r="AK368" s="108"/>
      <c r="AL368" s="108"/>
      <c r="AM368" s="108"/>
      <c r="AN368" s="132" t="str">
        <f>IFERROR(_xlfn.XLOOKUP($A368,Input_Raw!$A:$A,Input_Raw!$DL:$DL),"")</f>
        <v/>
      </c>
      <c r="AO368" s="142" t="str">
        <f>IFERROR((_xlfn.XLOOKUP($A368,'WTG Reactive Power'!$A:$A,'WTG Reactive Power'!$AW:$AW))/X368,"")</f>
        <v/>
      </c>
      <c r="AP368" s="142">
        <f>IFERROR(_xlfn.XLOOKUP($D368,'Modelling New'!$D:$D,'Modelling New'!$AK:$AK),"")</f>
        <v>0.05</v>
      </c>
      <c r="AQ368" s="142">
        <f>IFERROR(_xlfn.XLOOKUP($D368,'Modelling New'!$D:$D,'Modelling New'!$AL:$AL),"")</f>
        <v>0.05</v>
      </c>
      <c r="AR368" s="198">
        <f>IFERROR(_xlfn.XLOOKUP($D368,'Modelling New'!$D:$D,'Modelling New'!$N:$N),"")</f>
        <v>70.400000000000006</v>
      </c>
      <c r="AS368" s="198"/>
    </row>
    <row r="369" spans="1:45">
      <c r="A369" s="137">
        <f t="shared" si="37"/>
        <v>46112</v>
      </c>
      <c r="B369" s="138">
        <f>YEAR(Daily_KPI[[#This Row],[Date]])+IF(MONTH(Daily_KPI[[#This Row],[Date]])&gt;=4,1,0)</f>
        <v>2026</v>
      </c>
      <c r="C369" s="108">
        <f>YEAR(Daily_KPI[[#This Row],[Date]])</f>
        <v>2026</v>
      </c>
      <c r="D369" s="139">
        <f>Daily_KPI[[#This Row],[Date]]-DAY(Daily_KPI[[#This Row],[Date]])+1</f>
        <v>46082</v>
      </c>
      <c r="E369" s="108">
        <f t="shared" si="38"/>
        <v>31</v>
      </c>
      <c r="F369" s="109"/>
      <c r="G369" s="110"/>
      <c r="H369" s="110"/>
      <c r="I369" s="110"/>
      <c r="J369" s="110"/>
      <c r="K369" s="111"/>
      <c r="L369" s="110"/>
      <c r="M369" s="110" t="str">
        <f>IFERROR(_xlfn.XLOOKUP($A369,Input_Raw!$A:$A,Input_Raw!$CQ:$CQ),"")</f>
        <v/>
      </c>
      <c r="N369" s="110" t="str">
        <f>IFERROR(_xlfn.XLOOKUP($A369,Input_Raw!$A:$A,Input_Raw!$CR:$CR),"")</f>
        <v/>
      </c>
      <c r="O369" s="141" t="str">
        <f t="shared" si="39"/>
        <v/>
      </c>
      <c r="P369" s="141" t="str">
        <f>IFERROR(1-SUMIF(WTG_BD!$F:$F,$A369,WTG_BD!$AA:$AA)/($AA369+SUMIF(WTG_BD!$F:$F,$A369,WTG_BD!$AA:$AA)),"")</f>
        <v/>
      </c>
      <c r="Q369" s="141" t="str">
        <f>IFERROR(1-SUMIF(IGA_BD!$F:$F,$A369,IGA_BD!$W:$W)/($AA369+SUMIF(IGA_BD!$F:$F,$A369,IGA_BD!$W:$W)),"")</f>
        <v/>
      </c>
      <c r="R369" s="141" t="str">
        <f>IFERROR(1-SUMIF(Grid_BD!$F:$F,$A369,Grid_BD!$Y:$Y)/($AA369+SUMIF(Grid_BD!$F:$F,$A369,Grid_BD!$Y:$Y)),"")</f>
        <v/>
      </c>
      <c r="S369" s="108"/>
      <c r="T369" s="140"/>
      <c r="U369" s="141"/>
      <c r="V369" s="108"/>
      <c r="W369" s="142" t="str">
        <f t="shared" si="40"/>
        <v/>
      </c>
      <c r="X369" s="108" t="str">
        <f>IFERROR(_xlfn.XLOOKUP($A369,Input_Raw!$A:$A,Input_Raw!$CP:$CP)*1000,"")</f>
        <v/>
      </c>
      <c r="Y369" s="108" t="str">
        <f>IFERROR(_xlfn.XLOOKUP($A369,Input_Raw!$A:$A,Input_Raw!DJ:DJ)*1000,"")</f>
        <v/>
      </c>
      <c r="Z369" s="108" t="str">
        <f>IFERROR(_xlfn.XLOOKUP($A369,Input_Raw!$A:$A,Input_Raw!DK:DK)*1000,"")</f>
        <v/>
      </c>
      <c r="AA369" s="138" t="str">
        <f t="shared" si="41"/>
        <v/>
      </c>
      <c r="AB369" s="108" t="str">
        <f>IFERROR(_xlfn.XLOOKUP($A369,Input_Raw!$A:$A,Input_Raw!$DR:$DR),"")</f>
        <v/>
      </c>
      <c r="AC369" s="143">
        <f>IFERROR(_xlfn.XLOOKUP($D369,'Modelling New'!$D:$D,'Modelling New'!$J:$J),"")</f>
        <v>4.5649999999999995</v>
      </c>
      <c r="AD369" s="138">
        <f>IFERROR(_xlfn.XLOOKUP($D369,'Modelling New'!$D:$D,'Modelling New'!$T:$T)*1000,"")</f>
        <v>177355.29697136435</v>
      </c>
      <c r="AE369" s="142"/>
      <c r="AF369" s="142">
        <f>IFERROR(_xlfn.XLOOKUP($D369,'Modelling New'!$D:$D,'Modelling New'!$W:$W),"")</f>
        <v>0.1049688073930897</v>
      </c>
      <c r="AG369" s="142">
        <f>IFERROR(_xlfn.XLOOKUP($D369,'Modelling New'!$D:$D,'Modelling New'!$AE:$AE),"")</f>
        <v>0.96029999999999993</v>
      </c>
      <c r="AH369" s="142">
        <f>IFERROR(_xlfn.XLOOKUP($D369,'Modelling New'!$D:$D,'Modelling New'!$AF:$AF),"")</f>
        <v>0.995</v>
      </c>
      <c r="AI369" s="109" t="str">
        <f>IFERROR(_xlfn.XLOOKUP($A369,Input_Raw!$A:$A,Input_Raw!$DP:$DP),"")</f>
        <v/>
      </c>
      <c r="AJ369" s="108"/>
      <c r="AK369" s="108"/>
      <c r="AL369" s="108"/>
      <c r="AM369" s="108"/>
      <c r="AN369" s="132" t="str">
        <f>IFERROR(_xlfn.XLOOKUP($A369,Input_Raw!$A:$A,Input_Raw!$DL:$DL),"")</f>
        <v/>
      </c>
      <c r="AO369" s="142" t="str">
        <f>IFERROR((_xlfn.XLOOKUP($A369,'WTG Reactive Power'!$A:$A,'WTG Reactive Power'!$AW:$AW))/X369,"")</f>
        <v/>
      </c>
      <c r="AP369" s="142">
        <f>IFERROR(_xlfn.XLOOKUP($D369,'Modelling New'!$D:$D,'Modelling New'!$AK:$AK),"")</f>
        <v>0.05</v>
      </c>
      <c r="AQ369" s="142">
        <f>IFERROR(_xlfn.XLOOKUP($D369,'Modelling New'!$D:$D,'Modelling New'!$AL:$AL),"")</f>
        <v>0.05</v>
      </c>
      <c r="AR369" s="198">
        <f>IFERROR(_xlfn.XLOOKUP($D369,'Modelling New'!$D:$D,'Modelling New'!$N:$N),"")</f>
        <v>70.400000000000006</v>
      </c>
      <c r="AS369" s="198"/>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R136"/>
  <sheetViews>
    <sheetView showGridLines="0" zoomScale="85" zoomScaleNormal="85" workbookViewId="0">
      <pane xSplit="1" ySplit="4" topLeftCell="BG112" activePane="bottomRight" state="frozen"/>
      <selection pane="topRight" activeCell="B1" sqref="B1"/>
      <selection pane="bottomLeft" activeCell="A5" sqref="A5"/>
      <selection pane="bottomRight" activeCell="DO132" sqref="DO132"/>
    </sheetView>
  </sheetViews>
  <sheetFormatPr defaultColWidth="8.5703125" defaultRowHeight="15"/>
  <cols>
    <col min="1" max="1" width="11.42578125" style="1" bestFit="1" customWidth="1"/>
    <col min="2" max="2" width="11.42578125" customWidth="1"/>
    <col min="3" max="3" width="12.42578125" customWidth="1"/>
    <col min="4" max="4" width="15.5703125" customWidth="1"/>
    <col min="5" max="5" width="8.5703125" customWidth="1"/>
    <col min="6" max="7" width="10.42578125" style="79" customWidth="1"/>
    <col min="8" max="13" width="10.42578125" style="79" bestFit="1" customWidth="1"/>
    <col min="14" max="14" width="10" style="79" bestFit="1" customWidth="1"/>
    <col min="15" max="15" width="10.42578125" style="79" bestFit="1" customWidth="1"/>
    <col min="16" max="16" width="9.42578125" style="79" customWidth="1"/>
    <col min="17" max="49" width="10.42578125" style="79" bestFit="1" customWidth="1"/>
    <col min="50" max="93" width="8.5703125" style="72" bestFit="1" customWidth="1"/>
    <col min="94" max="94" width="10.42578125" customWidth="1"/>
    <col min="95" max="95" width="11.42578125" style="72" customWidth="1"/>
    <col min="96" max="97" width="10.42578125" customWidth="1"/>
    <col min="98" max="98" width="13.5703125" bestFit="1" customWidth="1"/>
    <col min="99" max="99" width="13.5703125" customWidth="1"/>
    <col min="100" max="100" width="15.42578125" style="1" bestFit="1" customWidth="1"/>
    <col min="101" max="101" width="15.42578125" style="1" customWidth="1"/>
    <col min="102" max="102" width="12.42578125" style="1" bestFit="1" customWidth="1"/>
    <col min="103" max="103" width="12" style="1" customWidth="1"/>
    <col min="104" max="104" width="12.42578125" style="1" bestFit="1" customWidth="1"/>
    <col min="105" max="105" width="12.42578125" style="1" customWidth="1"/>
    <col min="106" max="106" width="13.42578125" style="1" customWidth="1"/>
    <col min="107" max="108" width="12.42578125" style="1" customWidth="1"/>
    <col min="109" max="109" width="11.42578125" style="1" customWidth="1"/>
    <col min="110" max="110" width="11.5703125" style="1" customWidth="1"/>
    <col min="111" max="111" width="11.42578125" style="1" customWidth="1"/>
    <col min="112" max="112" width="13.42578125" style="1" customWidth="1"/>
    <col min="113" max="113" width="12.42578125" style="1" customWidth="1"/>
    <col min="114" max="115" width="11.42578125" style="1" customWidth="1"/>
    <col min="116" max="116" width="11" bestFit="1" customWidth="1"/>
    <col min="117" max="117" width="10.5703125" style="3" customWidth="1"/>
    <col min="118" max="118" width="14.42578125" customWidth="1"/>
    <col min="119" max="119" width="16" customWidth="1"/>
    <col min="120" max="120" width="11" bestFit="1" customWidth="1"/>
    <col min="122" max="122" width="10.140625" customWidth="1"/>
  </cols>
  <sheetData>
    <row r="1" spans="1:122">
      <c r="A1" s="1">
        <v>1</v>
      </c>
      <c r="B1">
        <f>A1+1</f>
        <v>2</v>
      </c>
      <c r="C1">
        <f t="shared" ref="C1:AS1" si="0">B1+1</f>
        <v>3</v>
      </c>
      <c r="D1">
        <f t="shared" si="0"/>
        <v>4</v>
      </c>
      <c r="E1">
        <f t="shared" si="0"/>
        <v>5</v>
      </c>
      <c r="F1" s="79">
        <f t="shared" si="0"/>
        <v>6</v>
      </c>
      <c r="G1" s="79">
        <f t="shared" si="0"/>
        <v>7</v>
      </c>
      <c r="H1" s="79">
        <f t="shared" si="0"/>
        <v>8</v>
      </c>
      <c r="I1" s="79">
        <f t="shared" si="0"/>
        <v>9</v>
      </c>
      <c r="J1" s="79">
        <f t="shared" si="0"/>
        <v>10</v>
      </c>
      <c r="K1" s="79">
        <f t="shared" si="0"/>
        <v>11</v>
      </c>
      <c r="L1" s="79">
        <f t="shared" si="0"/>
        <v>12</v>
      </c>
      <c r="M1" s="79">
        <f t="shared" si="0"/>
        <v>13</v>
      </c>
      <c r="N1" s="79">
        <f t="shared" si="0"/>
        <v>14</v>
      </c>
      <c r="O1" s="79">
        <f t="shared" si="0"/>
        <v>15</v>
      </c>
      <c r="P1" s="79">
        <f t="shared" si="0"/>
        <v>16</v>
      </c>
      <c r="Q1" s="79">
        <f t="shared" si="0"/>
        <v>17</v>
      </c>
      <c r="R1" s="79">
        <f t="shared" si="0"/>
        <v>18</v>
      </c>
      <c r="S1" s="79">
        <f t="shared" si="0"/>
        <v>19</v>
      </c>
      <c r="T1" s="79">
        <f t="shared" si="0"/>
        <v>20</v>
      </c>
      <c r="U1" s="79">
        <f t="shared" si="0"/>
        <v>21</v>
      </c>
      <c r="V1" s="79">
        <f t="shared" si="0"/>
        <v>22</v>
      </c>
      <c r="W1" s="79">
        <f t="shared" si="0"/>
        <v>23</v>
      </c>
      <c r="X1" s="79">
        <f t="shared" si="0"/>
        <v>24</v>
      </c>
      <c r="Y1" s="79">
        <f t="shared" si="0"/>
        <v>25</v>
      </c>
      <c r="Z1" s="79">
        <f t="shared" si="0"/>
        <v>26</v>
      </c>
      <c r="AA1" s="79">
        <f t="shared" si="0"/>
        <v>27</v>
      </c>
      <c r="AB1" s="79">
        <f t="shared" si="0"/>
        <v>28</v>
      </c>
      <c r="AC1" s="79">
        <f t="shared" si="0"/>
        <v>29</v>
      </c>
      <c r="AD1" s="79">
        <f t="shared" si="0"/>
        <v>30</v>
      </c>
      <c r="AE1" s="79">
        <f t="shared" si="0"/>
        <v>31</v>
      </c>
      <c r="AF1" s="79">
        <f t="shared" si="0"/>
        <v>32</v>
      </c>
      <c r="AG1" s="79">
        <f t="shared" si="0"/>
        <v>33</v>
      </c>
      <c r="AH1" s="79">
        <f t="shared" si="0"/>
        <v>34</v>
      </c>
      <c r="AI1" s="79">
        <f t="shared" si="0"/>
        <v>35</v>
      </c>
      <c r="AJ1" s="79">
        <f t="shared" si="0"/>
        <v>36</v>
      </c>
      <c r="AK1" s="79">
        <f t="shared" si="0"/>
        <v>37</v>
      </c>
      <c r="AL1" s="79">
        <f t="shared" si="0"/>
        <v>38</v>
      </c>
      <c r="AM1" s="79">
        <f t="shared" si="0"/>
        <v>39</v>
      </c>
      <c r="AN1" s="79">
        <f t="shared" si="0"/>
        <v>40</v>
      </c>
      <c r="AO1" s="79">
        <f t="shared" si="0"/>
        <v>41</v>
      </c>
      <c r="AP1" s="79">
        <f t="shared" si="0"/>
        <v>42</v>
      </c>
      <c r="AQ1" s="79">
        <f t="shared" si="0"/>
        <v>43</v>
      </c>
      <c r="AR1" s="79">
        <f t="shared" si="0"/>
        <v>44</v>
      </c>
      <c r="AS1" s="79">
        <f t="shared" si="0"/>
        <v>45</v>
      </c>
      <c r="AT1" s="79">
        <f t="shared" ref="AT1" si="1">AS1+1</f>
        <v>46</v>
      </c>
      <c r="AU1" s="79">
        <f t="shared" ref="AU1" si="2">AT1+1</f>
        <v>47</v>
      </c>
      <c r="AV1" s="79">
        <f t="shared" ref="AV1" si="3">AU1+1</f>
        <v>48</v>
      </c>
      <c r="AW1" s="79">
        <f t="shared" ref="AW1" si="4">AV1+1</f>
        <v>49</v>
      </c>
      <c r="AX1" s="72">
        <f t="shared" ref="AX1" si="5">AW1+1</f>
        <v>50</v>
      </c>
      <c r="AY1" s="72">
        <f t="shared" ref="AY1" si="6">AX1+1</f>
        <v>51</v>
      </c>
      <c r="AZ1" s="72">
        <f t="shared" ref="AZ1" si="7">AY1+1</f>
        <v>52</v>
      </c>
      <c r="BA1" s="72">
        <f t="shared" ref="BA1" si="8">AZ1+1</f>
        <v>53</v>
      </c>
      <c r="BB1" s="72">
        <f t="shared" ref="BB1" si="9">BA1+1</f>
        <v>54</v>
      </c>
      <c r="BC1" s="72">
        <f t="shared" ref="BC1" si="10">BB1+1</f>
        <v>55</v>
      </c>
      <c r="BD1" s="72">
        <f t="shared" ref="BD1" si="11">BC1+1</f>
        <v>56</v>
      </c>
      <c r="BE1" s="72">
        <f t="shared" ref="BE1" si="12">BD1+1</f>
        <v>57</v>
      </c>
      <c r="BF1" s="72">
        <f t="shared" ref="BF1" si="13">BE1+1</f>
        <v>58</v>
      </c>
      <c r="BG1" s="72">
        <f t="shared" ref="BG1" si="14">BF1+1</f>
        <v>59</v>
      </c>
      <c r="BH1" s="72">
        <f t="shared" ref="BH1" si="15">BG1+1</f>
        <v>60</v>
      </c>
      <c r="BI1" s="72">
        <f t="shared" ref="BI1" si="16">BH1+1</f>
        <v>61</v>
      </c>
      <c r="BJ1" s="72">
        <f t="shared" ref="BJ1" si="17">BI1+1</f>
        <v>62</v>
      </c>
      <c r="BK1" s="72">
        <f t="shared" ref="BK1" si="18">BJ1+1</f>
        <v>63</v>
      </c>
      <c r="BL1" s="72">
        <f t="shared" ref="BL1" si="19">BK1+1</f>
        <v>64</v>
      </c>
      <c r="BM1" s="72">
        <f t="shared" ref="BM1" si="20">BL1+1</f>
        <v>65</v>
      </c>
      <c r="BN1" s="72">
        <f t="shared" ref="BN1" si="21">BM1+1</f>
        <v>66</v>
      </c>
      <c r="BO1" s="72">
        <f t="shared" ref="BO1" si="22">BN1+1</f>
        <v>67</v>
      </c>
      <c r="BP1" s="72">
        <f t="shared" ref="BP1" si="23">BO1+1</f>
        <v>68</v>
      </c>
      <c r="BQ1" s="72">
        <f t="shared" ref="BQ1" si="24">BP1+1</f>
        <v>69</v>
      </c>
      <c r="BR1" s="72">
        <f t="shared" ref="BR1" si="25">BQ1+1</f>
        <v>70</v>
      </c>
      <c r="BS1" s="72">
        <f t="shared" ref="BS1" si="26">BR1+1</f>
        <v>71</v>
      </c>
      <c r="BT1" s="72">
        <f t="shared" ref="BT1" si="27">BS1+1</f>
        <v>72</v>
      </c>
      <c r="BU1" s="72">
        <f t="shared" ref="BU1" si="28">BT1+1</f>
        <v>73</v>
      </c>
      <c r="BV1" s="72">
        <f t="shared" ref="BV1" si="29">BU1+1</f>
        <v>74</v>
      </c>
      <c r="BW1" s="72">
        <f t="shared" ref="BW1" si="30">BV1+1</f>
        <v>75</v>
      </c>
      <c r="BX1" s="72">
        <f t="shared" ref="BX1" si="31">BW1+1</f>
        <v>76</v>
      </c>
      <c r="BY1" s="72">
        <f t="shared" ref="BY1" si="32">BX1+1</f>
        <v>77</v>
      </c>
      <c r="BZ1" s="72">
        <f t="shared" ref="BZ1" si="33">BY1+1</f>
        <v>78</v>
      </c>
      <c r="CA1" s="72">
        <f t="shared" ref="CA1" si="34">BZ1+1</f>
        <v>79</v>
      </c>
      <c r="CB1" s="72">
        <f t="shared" ref="CB1" si="35">CA1+1</f>
        <v>80</v>
      </c>
      <c r="CC1" s="72">
        <f t="shared" ref="CC1" si="36">CB1+1</f>
        <v>81</v>
      </c>
      <c r="CD1" s="72">
        <f t="shared" ref="CD1" si="37">CC1+1</f>
        <v>82</v>
      </c>
      <c r="CE1" s="72">
        <f t="shared" ref="CE1" si="38">CD1+1</f>
        <v>83</v>
      </c>
      <c r="CF1" s="72">
        <f t="shared" ref="CF1" si="39">CE1+1</f>
        <v>84</v>
      </c>
      <c r="CG1" s="72">
        <f t="shared" ref="CG1" si="40">CF1+1</f>
        <v>85</v>
      </c>
      <c r="CH1" s="72">
        <f t="shared" ref="CH1" si="41">CG1+1</f>
        <v>86</v>
      </c>
      <c r="CI1" s="72">
        <f t="shared" ref="CI1" si="42">CH1+1</f>
        <v>87</v>
      </c>
      <c r="CJ1" s="72">
        <f t="shared" ref="CJ1" si="43">CI1+1</f>
        <v>88</v>
      </c>
      <c r="CK1" s="72">
        <f t="shared" ref="CK1" si="44">CJ1+1</f>
        <v>89</v>
      </c>
      <c r="CL1" s="72">
        <f t="shared" ref="CL1" si="45">CK1+1</f>
        <v>90</v>
      </c>
      <c r="CM1" s="72">
        <f t="shared" ref="CM1" si="46">CL1+1</f>
        <v>91</v>
      </c>
      <c r="CN1" s="72">
        <f t="shared" ref="CN1" si="47">CM1+1</f>
        <v>92</v>
      </c>
      <c r="CO1" s="72">
        <f t="shared" ref="CO1" si="48">CN1+1</f>
        <v>93</v>
      </c>
      <c r="CP1">
        <f t="shared" ref="CP1" si="49">CO1+1</f>
        <v>94</v>
      </c>
      <c r="CQ1" s="72">
        <f t="shared" ref="CQ1" si="50">CP1+1</f>
        <v>95</v>
      </c>
      <c r="CR1">
        <f t="shared" ref="CR1" si="51">CQ1+1</f>
        <v>96</v>
      </c>
      <c r="CS1">
        <f t="shared" ref="CS1" si="52">CR1+1</f>
        <v>97</v>
      </c>
      <c r="CT1">
        <f t="shared" ref="CT1" si="53">CS1+1</f>
        <v>98</v>
      </c>
      <c r="CU1">
        <f t="shared" ref="CU1" si="54">CT1+1</f>
        <v>99</v>
      </c>
      <c r="CV1">
        <f t="shared" ref="CV1" si="55">CU1+1</f>
        <v>100</v>
      </c>
      <c r="CW1">
        <f t="shared" ref="CW1" si="56">CV1+1</f>
        <v>101</v>
      </c>
      <c r="CX1">
        <f t="shared" ref="CX1" si="57">CW1+1</f>
        <v>102</v>
      </c>
      <c r="CY1">
        <f t="shared" ref="CY1" si="58">CX1+1</f>
        <v>103</v>
      </c>
      <c r="CZ1">
        <f t="shared" ref="CZ1" si="59">CY1+1</f>
        <v>104</v>
      </c>
      <c r="DA1">
        <f t="shared" ref="DA1" si="60">CZ1+1</f>
        <v>105</v>
      </c>
      <c r="DB1">
        <f t="shared" ref="DB1" si="61">DA1+1</f>
        <v>106</v>
      </c>
      <c r="DC1">
        <f t="shared" ref="DC1" si="62">DB1+1</f>
        <v>107</v>
      </c>
      <c r="DD1">
        <f t="shared" ref="DD1" si="63">DC1+1</f>
        <v>108</v>
      </c>
      <c r="DE1">
        <f t="shared" ref="DE1" si="64">DD1+1</f>
        <v>109</v>
      </c>
      <c r="DF1">
        <f t="shared" ref="DF1" si="65">DE1+1</f>
        <v>110</v>
      </c>
      <c r="DG1">
        <f t="shared" ref="DG1" si="66">DF1+1</f>
        <v>111</v>
      </c>
      <c r="DH1">
        <f t="shared" ref="DH1" si="67">DG1+1</f>
        <v>112</v>
      </c>
      <c r="DI1">
        <f t="shared" ref="DI1" si="68">DH1+1</f>
        <v>113</v>
      </c>
      <c r="DJ1">
        <f t="shared" ref="DJ1" si="69">DI1+1</f>
        <v>114</v>
      </c>
      <c r="DK1">
        <f t="shared" ref="DK1" si="70">DJ1+1</f>
        <v>115</v>
      </c>
      <c r="DL1">
        <f t="shared" ref="DL1" si="71">DK1+1</f>
        <v>116</v>
      </c>
      <c r="DM1">
        <f t="shared" ref="DM1" si="72">DL1+1</f>
        <v>117</v>
      </c>
    </row>
    <row r="2" spans="1:122">
      <c r="CT2" s="2"/>
      <c r="CU2" s="2"/>
      <c r="DB2"/>
      <c r="DC2"/>
      <c r="DD2"/>
      <c r="DE2"/>
      <c r="DF2"/>
      <c r="DG2"/>
      <c r="DH2"/>
      <c r="DI2"/>
      <c r="DJ2"/>
      <c r="DK2"/>
      <c r="DM2"/>
    </row>
    <row r="3" spans="1:122">
      <c r="F3" s="94" t="s">
        <v>238</v>
      </c>
      <c r="G3" s="94"/>
      <c r="H3" s="94"/>
      <c r="I3" s="94"/>
      <c r="J3" s="94"/>
      <c r="K3" s="94"/>
      <c r="L3" s="94"/>
      <c r="M3" s="94"/>
      <c r="N3" s="94"/>
      <c r="O3" s="94"/>
      <c r="P3" s="94"/>
      <c r="Q3" s="94"/>
      <c r="R3" s="94"/>
      <c r="S3" s="94"/>
      <c r="T3" s="94"/>
      <c r="U3" s="94"/>
      <c r="V3" s="94"/>
      <c r="W3" s="94"/>
      <c r="X3" s="94"/>
      <c r="Y3" s="94"/>
      <c r="Z3" s="94"/>
      <c r="AA3" s="94"/>
      <c r="AB3" s="94"/>
      <c r="AC3" s="94"/>
      <c r="AD3" s="94"/>
      <c r="AE3" s="94"/>
      <c r="AF3" s="94"/>
      <c r="AG3" s="94"/>
      <c r="AH3" s="94"/>
      <c r="AI3" s="94"/>
      <c r="AJ3" s="94"/>
      <c r="AK3" s="94"/>
      <c r="AL3" s="94"/>
      <c r="AM3" s="94"/>
      <c r="AN3" s="94"/>
      <c r="AO3" s="94"/>
      <c r="AP3" s="94"/>
      <c r="AQ3" s="94"/>
      <c r="AR3" s="94"/>
      <c r="AS3" s="94"/>
      <c r="AT3" s="94"/>
      <c r="AU3" s="94"/>
      <c r="AV3" s="94"/>
      <c r="AW3" s="94"/>
      <c r="AX3" s="74" t="s">
        <v>239</v>
      </c>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T3" s="5" t="s">
        <v>240</v>
      </c>
      <c r="CU3" s="5"/>
      <c r="CV3" s="5"/>
      <c r="CW3" s="5"/>
      <c r="CX3" s="5"/>
      <c r="CY3" s="5"/>
      <c r="CZ3" s="5"/>
      <c r="DA3" s="5"/>
      <c r="DB3" s="4" t="s">
        <v>241</v>
      </c>
      <c r="DC3" s="4"/>
      <c r="DD3" s="4"/>
      <c r="DE3" s="4"/>
      <c r="DF3" s="4"/>
      <c r="DG3" s="4"/>
      <c r="DH3" s="4"/>
      <c r="DI3" s="4"/>
      <c r="DJ3" s="4"/>
      <c r="DK3" s="4"/>
      <c r="DL3" s="4"/>
      <c r="DM3"/>
    </row>
    <row r="4" spans="1:122" ht="48">
      <c r="A4" s="6" t="s">
        <v>197</v>
      </c>
      <c r="B4" s="7" t="s">
        <v>242</v>
      </c>
      <c r="C4" s="7" t="s">
        <v>243</v>
      </c>
      <c r="D4" s="7" t="s">
        <v>199</v>
      </c>
      <c r="E4" s="180" t="s">
        <v>48</v>
      </c>
      <c r="F4" s="8" t="s">
        <v>76</v>
      </c>
      <c r="G4" s="8" t="s">
        <v>77</v>
      </c>
      <c r="H4" s="8" t="s">
        <v>78</v>
      </c>
      <c r="I4" s="8" t="s">
        <v>79</v>
      </c>
      <c r="J4" s="8" t="s">
        <v>80</v>
      </c>
      <c r="K4" s="8" t="s">
        <v>81</v>
      </c>
      <c r="L4" s="8" t="s">
        <v>82</v>
      </c>
      <c r="M4" s="8" t="s">
        <v>83</v>
      </c>
      <c r="N4" s="8" t="s">
        <v>84</v>
      </c>
      <c r="O4" s="8" t="s">
        <v>85</v>
      </c>
      <c r="P4" s="8" t="s">
        <v>86</v>
      </c>
      <c r="Q4" s="8" t="s">
        <v>87</v>
      </c>
      <c r="R4" s="8" t="s">
        <v>88</v>
      </c>
      <c r="S4" s="8" t="s">
        <v>89</v>
      </c>
      <c r="T4" s="8" t="s">
        <v>90</v>
      </c>
      <c r="U4" s="8" t="s">
        <v>91</v>
      </c>
      <c r="V4" s="8" t="s">
        <v>92</v>
      </c>
      <c r="W4" s="8" t="s">
        <v>93</v>
      </c>
      <c r="X4" s="8" t="s">
        <v>94</v>
      </c>
      <c r="Y4" s="8" t="s">
        <v>95</v>
      </c>
      <c r="Z4" s="8" t="s">
        <v>96</v>
      </c>
      <c r="AA4" s="8" t="s">
        <v>97</v>
      </c>
      <c r="AB4" s="8" t="s">
        <v>98</v>
      </c>
      <c r="AC4" s="8" t="s">
        <v>99</v>
      </c>
      <c r="AD4" s="8" t="s">
        <v>100</v>
      </c>
      <c r="AE4" s="8" t="s">
        <v>101</v>
      </c>
      <c r="AF4" s="8" t="s">
        <v>102</v>
      </c>
      <c r="AG4" s="8" t="s">
        <v>103</v>
      </c>
      <c r="AH4" s="8" t="s">
        <v>104</v>
      </c>
      <c r="AI4" s="8" t="s">
        <v>105</v>
      </c>
      <c r="AJ4" s="8" t="s">
        <v>106</v>
      </c>
      <c r="AK4" s="8" t="s">
        <v>107</v>
      </c>
      <c r="AL4" s="8" t="s">
        <v>108</v>
      </c>
      <c r="AM4" s="8" t="s">
        <v>109</v>
      </c>
      <c r="AN4" s="8" t="s">
        <v>110</v>
      </c>
      <c r="AO4" s="8" t="s">
        <v>111</v>
      </c>
      <c r="AP4" s="8" t="s">
        <v>112</v>
      </c>
      <c r="AQ4" s="8" t="s">
        <v>113</v>
      </c>
      <c r="AR4" s="8" t="s">
        <v>114</v>
      </c>
      <c r="AS4" s="8" t="s">
        <v>115</v>
      </c>
      <c r="AT4" s="8" t="s">
        <v>116</v>
      </c>
      <c r="AU4" s="8" t="s">
        <v>117</v>
      </c>
      <c r="AV4" s="8" t="s">
        <v>118</v>
      </c>
      <c r="AW4" s="8" t="s">
        <v>119</v>
      </c>
      <c r="AX4" s="73" t="s">
        <v>244</v>
      </c>
      <c r="AY4" s="73" t="s">
        <v>245</v>
      </c>
      <c r="AZ4" s="73" t="s">
        <v>246</v>
      </c>
      <c r="BA4" s="73" t="s">
        <v>247</v>
      </c>
      <c r="BB4" s="73" t="s">
        <v>248</v>
      </c>
      <c r="BC4" s="73" t="s">
        <v>249</v>
      </c>
      <c r="BD4" s="73" t="s">
        <v>250</v>
      </c>
      <c r="BE4" s="73" t="s">
        <v>251</v>
      </c>
      <c r="BF4" s="73" t="s">
        <v>252</v>
      </c>
      <c r="BG4" s="73" t="s">
        <v>253</v>
      </c>
      <c r="BH4" s="73" t="s">
        <v>254</v>
      </c>
      <c r="BI4" s="73" t="s">
        <v>255</v>
      </c>
      <c r="BJ4" s="73" t="s">
        <v>256</v>
      </c>
      <c r="BK4" s="73" t="s">
        <v>257</v>
      </c>
      <c r="BL4" s="73" t="s">
        <v>258</v>
      </c>
      <c r="BM4" s="73" t="s">
        <v>259</v>
      </c>
      <c r="BN4" s="73" t="s">
        <v>260</v>
      </c>
      <c r="BO4" s="73" t="s">
        <v>261</v>
      </c>
      <c r="BP4" s="73" t="s">
        <v>262</v>
      </c>
      <c r="BQ4" s="73" t="s">
        <v>263</v>
      </c>
      <c r="BR4" s="73" t="s">
        <v>264</v>
      </c>
      <c r="BS4" s="73" t="s">
        <v>265</v>
      </c>
      <c r="BT4" s="73" t="s">
        <v>266</v>
      </c>
      <c r="BU4" s="73" t="s">
        <v>267</v>
      </c>
      <c r="BV4" s="73" t="s">
        <v>268</v>
      </c>
      <c r="BW4" s="73" t="s">
        <v>269</v>
      </c>
      <c r="BX4" s="73" t="s">
        <v>270</v>
      </c>
      <c r="BY4" s="73" t="s">
        <v>271</v>
      </c>
      <c r="BZ4" s="73" t="s">
        <v>272</v>
      </c>
      <c r="CA4" s="73" t="s">
        <v>273</v>
      </c>
      <c r="CB4" s="73" t="s">
        <v>274</v>
      </c>
      <c r="CC4" s="73" t="s">
        <v>275</v>
      </c>
      <c r="CD4" s="73" t="s">
        <v>276</v>
      </c>
      <c r="CE4" s="73" t="s">
        <v>277</v>
      </c>
      <c r="CF4" s="73" t="s">
        <v>278</v>
      </c>
      <c r="CG4" s="73" t="s">
        <v>279</v>
      </c>
      <c r="CH4" s="73" t="s">
        <v>280</v>
      </c>
      <c r="CI4" s="73" t="s">
        <v>281</v>
      </c>
      <c r="CJ4" s="73" t="s">
        <v>282</v>
      </c>
      <c r="CK4" s="73" t="s">
        <v>283</v>
      </c>
      <c r="CL4" s="73" t="s">
        <v>284</v>
      </c>
      <c r="CM4" s="73" t="s">
        <v>285</v>
      </c>
      <c r="CN4" s="73" t="s">
        <v>286</v>
      </c>
      <c r="CO4" s="73" t="s">
        <v>287</v>
      </c>
      <c r="CP4" s="8" t="s">
        <v>288</v>
      </c>
      <c r="CQ4" s="73" t="s">
        <v>289</v>
      </c>
      <c r="CR4" s="8" t="s">
        <v>290</v>
      </c>
      <c r="CS4" s="8" t="s">
        <v>291</v>
      </c>
      <c r="CT4" s="8" t="s">
        <v>292</v>
      </c>
      <c r="CU4" s="8" t="s">
        <v>293</v>
      </c>
      <c r="CV4" s="8" t="s">
        <v>294</v>
      </c>
      <c r="CW4" s="8" t="s">
        <v>295</v>
      </c>
      <c r="CX4" s="8" t="s">
        <v>296</v>
      </c>
      <c r="CY4" s="8" t="s">
        <v>297</v>
      </c>
      <c r="CZ4" s="8" t="s">
        <v>298</v>
      </c>
      <c r="DA4" s="8" t="s">
        <v>299</v>
      </c>
      <c r="DB4" s="8" t="s">
        <v>300</v>
      </c>
      <c r="DC4" s="8" t="s">
        <v>301</v>
      </c>
      <c r="DD4" s="8" t="s">
        <v>302</v>
      </c>
      <c r="DE4" s="8" t="s">
        <v>303</v>
      </c>
      <c r="DF4" s="8" t="s">
        <v>304</v>
      </c>
      <c r="DG4" s="8" t="s">
        <v>305</v>
      </c>
      <c r="DH4" s="8" t="s">
        <v>306</v>
      </c>
      <c r="DI4" s="8" t="s">
        <v>307</v>
      </c>
      <c r="DJ4" s="8" t="s">
        <v>308</v>
      </c>
      <c r="DK4" s="8" t="s">
        <v>309</v>
      </c>
      <c r="DL4" s="9" t="s">
        <v>310</v>
      </c>
      <c r="DM4" s="68" t="s">
        <v>311</v>
      </c>
      <c r="DN4" s="68" t="s">
        <v>312</v>
      </c>
      <c r="DO4" s="68" t="s">
        <v>313</v>
      </c>
      <c r="DP4" s="68" t="s">
        <v>314</v>
      </c>
      <c r="DQ4" s="68" t="s">
        <v>315</v>
      </c>
      <c r="DR4" s="68" t="s">
        <v>316</v>
      </c>
    </row>
    <row r="5" spans="1:122">
      <c r="A5" s="92">
        <v>45745</v>
      </c>
      <c r="B5" s="10">
        <f>YEAR(Input_Raw[[#This Row],[Date]])+IF(MONTH(Input_Raw[[#This Row],[Date]])&gt;=4,1,0)</f>
        <v>2025</v>
      </c>
      <c r="C5" s="10">
        <f>YEAR(Input_Raw[[#This Row],[Date]])</f>
        <v>2025</v>
      </c>
      <c r="D5" s="11">
        <f t="shared" ref="D5:D8" si="73">A5-DAY(A5)+1</f>
        <v>45717</v>
      </c>
      <c r="E5" s="10">
        <f>DAY(EOMONTH(Input_Raw[[#This Row],[Date]],0))</f>
        <v>31</v>
      </c>
      <c r="F5" s="93">
        <v>6588</v>
      </c>
      <c r="G5" s="93">
        <v>6752</v>
      </c>
      <c r="H5" s="93">
        <v>7308</v>
      </c>
      <c r="I5" s="93">
        <v>4560</v>
      </c>
      <c r="J5" s="93">
        <v>4436</v>
      </c>
      <c r="K5" s="93">
        <v>3156</v>
      </c>
      <c r="L5" s="93">
        <v>4936</v>
      </c>
      <c r="M5" s="93">
        <v>2472</v>
      </c>
      <c r="N5" s="93">
        <v>1594</v>
      </c>
      <c r="O5" s="93">
        <v>1536</v>
      </c>
      <c r="P5" s="93">
        <v>1938</v>
      </c>
      <c r="Q5" s="93">
        <v>2062</v>
      </c>
      <c r="R5" s="93">
        <v>2156</v>
      </c>
      <c r="S5" s="93">
        <v>2066</v>
      </c>
      <c r="T5" s="93">
        <v>1992</v>
      </c>
      <c r="U5" s="93">
        <v>2430</v>
      </c>
      <c r="V5" s="93">
        <v>2670</v>
      </c>
      <c r="W5" s="93">
        <v>6332</v>
      </c>
      <c r="X5" s="93">
        <v>2648</v>
      </c>
      <c r="Y5" s="93">
        <v>2525</v>
      </c>
      <c r="Z5" s="93">
        <v>4952</v>
      </c>
      <c r="AA5" s="93">
        <v>5652</v>
      </c>
      <c r="AB5" s="93">
        <v>3308</v>
      </c>
      <c r="AC5" s="93">
        <v>2956</v>
      </c>
      <c r="AD5" s="93">
        <v>3544</v>
      </c>
      <c r="AE5" s="93">
        <v>3264</v>
      </c>
      <c r="AF5" s="93">
        <v>7016</v>
      </c>
      <c r="AG5" s="93">
        <v>2540</v>
      </c>
      <c r="AH5" s="93">
        <v>4808</v>
      </c>
      <c r="AI5" s="93">
        <v>3862</v>
      </c>
      <c r="AJ5" s="93">
        <v>3224</v>
      </c>
      <c r="AK5" s="93">
        <v>2220</v>
      </c>
      <c r="AL5" s="93">
        <v>3612</v>
      </c>
      <c r="AM5" s="93">
        <v>4604</v>
      </c>
      <c r="AN5" s="93">
        <v>3274</v>
      </c>
      <c r="AO5" s="93">
        <v>6072</v>
      </c>
      <c r="AP5" s="93">
        <v>4800</v>
      </c>
      <c r="AQ5" s="93">
        <v>4032</v>
      </c>
      <c r="AR5" s="93">
        <v>4272</v>
      </c>
      <c r="AS5" s="93">
        <v>2936</v>
      </c>
      <c r="AT5" s="93">
        <v>2990</v>
      </c>
      <c r="AU5" s="93">
        <v>4564</v>
      </c>
      <c r="AV5" s="93">
        <v>5896</v>
      </c>
      <c r="AW5" s="93">
        <v>4380</v>
      </c>
      <c r="AX5" s="95">
        <v>5.01</v>
      </c>
      <c r="AY5" s="95">
        <v>5.26</v>
      </c>
      <c r="AZ5" s="95">
        <v>5.33</v>
      </c>
      <c r="BA5" s="95">
        <v>5.18</v>
      </c>
      <c r="BB5" s="95">
        <v>4.5199999999999996</v>
      </c>
      <c r="BC5" s="95">
        <v>4.41</v>
      </c>
      <c r="BD5" s="95">
        <v>4.9400000000000004</v>
      </c>
      <c r="BE5" s="95">
        <v>4.26</v>
      </c>
      <c r="BF5" s="95">
        <v>3.85</v>
      </c>
      <c r="BG5" s="95">
        <v>4.1100000000000003</v>
      </c>
      <c r="BH5" s="95">
        <v>3.96</v>
      </c>
      <c r="BI5" s="95">
        <v>4.1500000000000004</v>
      </c>
      <c r="BJ5" s="95">
        <v>4.18</v>
      </c>
      <c r="BK5" s="95">
        <v>4.34</v>
      </c>
      <c r="BL5" s="95">
        <v>4.37</v>
      </c>
      <c r="BM5" s="95">
        <v>4.53</v>
      </c>
      <c r="BN5" s="95">
        <v>4.6100000000000003</v>
      </c>
      <c r="BO5" s="95">
        <v>5.17</v>
      </c>
      <c r="BP5" s="95">
        <v>4.6500000000000004</v>
      </c>
      <c r="BQ5" s="95">
        <v>4.3</v>
      </c>
      <c r="BR5" s="95">
        <v>5.46</v>
      </c>
      <c r="BS5" s="95">
        <v>5.6</v>
      </c>
      <c r="BT5" s="95">
        <v>4.2</v>
      </c>
      <c r="BU5" s="95">
        <v>4.4800000000000004</v>
      </c>
      <c r="BV5" s="95">
        <v>4.7300000000000004</v>
      </c>
      <c r="BW5" s="95">
        <v>4.71</v>
      </c>
      <c r="BX5" s="95">
        <v>4.99</v>
      </c>
      <c r="BY5" s="95">
        <v>3.82</v>
      </c>
      <c r="BZ5" s="95">
        <v>5.2</v>
      </c>
      <c r="CA5" s="95">
        <v>4.6100000000000003</v>
      </c>
      <c r="CB5" s="95">
        <v>4.51</v>
      </c>
      <c r="CC5" s="95">
        <v>4.1100000000000003</v>
      </c>
      <c r="CD5" s="95">
        <v>4.72</v>
      </c>
      <c r="CE5" s="95">
        <v>4.53</v>
      </c>
      <c r="CF5" s="95">
        <v>4.6900000000000004</v>
      </c>
      <c r="CG5" s="95">
        <v>5.68</v>
      </c>
      <c r="CH5" s="95">
        <v>4.91</v>
      </c>
      <c r="CI5" s="95">
        <v>4.3499999999999996</v>
      </c>
      <c r="CJ5" s="95">
        <v>4.67</v>
      </c>
      <c r="CK5" s="95">
        <v>4.05</v>
      </c>
      <c r="CL5" s="95">
        <v>4.09</v>
      </c>
      <c r="CM5" s="95">
        <v>4.75</v>
      </c>
      <c r="CN5" s="95">
        <v>5.16</v>
      </c>
      <c r="CO5" s="95">
        <v>5.05</v>
      </c>
      <c r="CP5" s="98">
        <f>SUM(Input_Raw[[#This Row],[P-01]:[P-56]])/1000</f>
        <v>168.935</v>
      </c>
      <c r="CQ5" s="71">
        <f>IFERROR(AVERAGEIF(Input_Raw[[#This Row],[WS_P-01]:[WS_P-56]],"&lt;&gt;",Input_Raw[[#This Row],[WS_P-01]:[WS_P-56]]),"")</f>
        <v>4.6409090909090915</v>
      </c>
      <c r="CR5" s="99">
        <f>MAX(Input_Raw[[#This Row],[WS_P-01]:[WS_P-56]])</f>
        <v>5.68</v>
      </c>
      <c r="CS5" s="99"/>
      <c r="CT5" s="70">
        <f>SUM(Input_Raw[[#This Row],[P-08]:[P-13]],Input_Raw[[#This Row],[P-25]:[P-28]])</f>
        <v>24830</v>
      </c>
      <c r="CU5" s="70"/>
      <c r="CV5" s="70">
        <f>SUM(Input_Raw[[#This Row],[P-04]],Input_Raw[[#This Row],[P-14]:[P-17]],Input_Raw[[#This Row],[P-19]:[P-20]],Input_Raw[[#This Row],[P-22]:[P-23]],Input_Raw[[#This Row],[P-34]],Input_Raw[[#This Row],[P-38]],Input_Raw[[#This Row],[P-43]])</f>
        <v>40801</v>
      </c>
      <c r="CW5" s="70"/>
      <c r="CX5" s="70">
        <f>SUM(Input_Raw[[#This Row],[P-05]:[P-06]],Input_Raw[[#This Row],[P-40]:[P-42]],Input_Raw[[#This Row],[P-45]],Input_Raw[[#This Row],[P-46]],Input_Raw[[#This Row],[P-47]:[P-48]])</f>
        <v>37204</v>
      </c>
      <c r="CY5" s="70"/>
      <c r="CZ5" s="70">
        <f>SUM(Input_Raw[[#This Row],[P-01]:[P-03]],Input_Raw[[#This Row],[P-07]],Input_Raw[[#This Row],[P-18]],Input_Raw[[#This Row],[P-31]:[P-32]],Input_Raw[[#This Row],[P-37]],Input_Raw[[#This Row],[P-50]:[P-56]])</f>
        <v>66100</v>
      </c>
      <c r="DA5" s="12"/>
      <c r="DB5" s="13">
        <f>Input_Raw[[#This Row],[33 kV_Wind_F1_Export reading]]/1000</f>
        <v>24.83</v>
      </c>
      <c r="DC5" s="13"/>
      <c r="DD5" s="13">
        <f>Input_Raw[[#This Row],[33 kV_Wind_F2_Export_reading]]/1000</f>
        <v>40.801000000000002</v>
      </c>
      <c r="DE5" s="13"/>
      <c r="DF5" s="13">
        <f>Input_Raw[[#This Row],[33 kV_Wind_F3_Export_Reading]]/1000</f>
        <v>37.204000000000001</v>
      </c>
      <c r="DG5" s="13"/>
      <c r="DH5" s="13">
        <f>Input_Raw[[#This Row],[33 kV_Wind_F4_Export Reading]]/1000</f>
        <v>66.099999999999994</v>
      </c>
      <c r="DI5" s="13"/>
      <c r="DJ5" s="13">
        <f>Input_Raw[[#This Row],[33 kV_F1_Total_Export (MWh)]]+Input_Raw[[#This Row],[33 kV_F2_Total_Export (MWh)2]]+Input_Raw[[#This Row],[33 kV_Wind_F3_Export (MWh)]]+Input_Raw[[#This Row],[33 kV_Wind_F4_Export (MWh)]]</f>
        <v>168.935</v>
      </c>
      <c r="DK5" s="13">
        <f>Input_Raw[[#This Row],[33 kV_Wind_F1_Import (MWh)]]+Input_Raw[[#This Row],[33 kV_Wind_F2_Import (MWh)]]+Input_Raw[[#This Row],[33 kV_Wind_F3_Import (MWh)2]]+Input_Raw[[#This Row],[33 kV_Wind_F4_Import (MWh)2]]</f>
        <v>0</v>
      </c>
      <c r="DL5" s="100">
        <f>IFERROR(Input_Raw[[#This Row],[33 kV_Wind_Total_Export (MWh)]]/Input_Raw[[#This Row],[WTG Total Gneration (MWh)]]-1,"")</f>
        <v>0</v>
      </c>
      <c r="DM5" s="66"/>
      <c r="DN5" s="186">
        <v>89</v>
      </c>
      <c r="DO5" s="186">
        <v>251.75</v>
      </c>
      <c r="DP5" s="102">
        <v>156.79</v>
      </c>
      <c r="DQ5" s="66"/>
      <c r="DR5" s="181">
        <v>70.400000000000006</v>
      </c>
    </row>
    <row r="6" spans="1:122">
      <c r="A6" s="92">
        <f t="shared" ref="A6:A131" si="74">A5+1</f>
        <v>45746</v>
      </c>
      <c r="B6" s="10">
        <f>YEAR(Input_Raw[[#This Row],[Date]])+IF(MONTH(Input_Raw[[#This Row],[Date]])&gt;=4,1,0)</f>
        <v>2025</v>
      </c>
      <c r="C6" s="10">
        <f>YEAR(Input_Raw[[#This Row],[Date]])</f>
        <v>2025</v>
      </c>
      <c r="D6" s="11">
        <f t="shared" si="73"/>
        <v>45717</v>
      </c>
      <c r="E6" s="10">
        <f>DAY(EOMONTH(Input_Raw[[#This Row],[Date]],0))</f>
        <v>31</v>
      </c>
      <c r="F6" s="93">
        <v>8936</v>
      </c>
      <c r="G6" s="93">
        <v>7288</v>
      </c>
      <c r="H6" s="93">
        <v>6868</v>
      </c>
      <c r="I6" s="93">
        <v>6172</v>
      </c>
      <c r="J6" s="93">
        <v>4268</v>
      </c>
      <c r="K6" s="93">
        <v>3588</v>
      </c>
      <c r="L6" s="93">
        <v>5354</v>
      </c>
      <c r="M6" s="93">
        <v>2160</v>
      </c>
      <c r="N6" s="93">
        <v>1444</v>
      </c>
      <c r="O6" s="93">
        <v>1408</v>
      </c>
      <c r="P6" s="93">
        <v>1792</v>
      </c>
      <c r="Q6" s="93">
        <v>2198</v>
      </c>
      <c r="R6" s="93">
        <v>2320</v>
      </c>
      <c r="S6" s="93">
        <v>2460</v>
      </c>
      <c r="T6" s="93">
        <v>2208</v>
      </c>
      <c r="U6" s="93">
        <v>2244</v>
      </c>
      <c r="V6" s="93">
        <v>2764</v>
      </c>
      <c r="W6" s="93">
        <v>6940</v>
      </c>
      <c r="X6" s="93">
        <v>2756</v>
      </c>
      <c r="Y6" s="93">
        <v>2719</v>
      </c>
      <c r="Z6" s="93">
        <v>6344</v>
      </c>
      <c r="AA6" s="93">
        <v>6796</v>
      </c>
      <c r="AB6" s="93">
        <v>3068</v>
      </c>
      <c r="AC6" s="93">
        <v>3092</v>
      </c>
      <c r="AD6" s="93">
        <v>3684</v>
      </c>
      <c r="AE6" s="93">
        <v>3152</v>
      </c>
      <c r="AF6" s="93">
        <v>5592</v>
      </c>
      <c r="AG6" s="93">
        <v>2868</v>
      </c>
      <c r="AH6" s="93">
        <v>5300</v>
      </c>
      <c r="AI6" s="93">
        <v>4688</v>
      </c>
      <c r="AJ6" s="93">
        <v>3244</v>
      </c>
      <c r="AK6" s="93">
        <v>1882</v>
      </c>
      <c r="AL6" s="93">
        <v>3968</v>
      </c>
      <c r="AM6" s="93">
        <v>5704</v>
      </c>
      <c r="AN6" s="93">
        <v>3516</v>
      </c>
      <c r="AO6" s="93">
        <v>6320</v>
      </c>
      <c r="AP6" s="93">
        <v>5152</v>
      </c>
      <c r="AQ6" s="93">
        <v>4908</v>
      </c>
      <c r="AR6" s="93">
        <v>5504</v>
      </c>
      <c r="AS6" s="93">
        <v>3816</v>
      </c>
      <c r="AT6" s="93">
        <v>4472</v>
      </c>
      <c r="AU6" s="93">
        <v>5472</v>
      </c>
      <c r="AV6" s="93">
        <v>8544</v>
      </c>
      <c r="AW6" s="93">
        <v>6904</v>
      </c>
      <c r="AX6" s="95">
        <v>5.8</v>
      </c>
      <c r="AY6" s="95">
        <v>5.57</v>
      </c>
      <c r="AZ6" s="95">
        <v>5.5</v>
      </c>
      <c r="BA6" s="95">
        <v>5.61</v>
      </c>
      <c r="BB6" s="95">
        <v>4.83</v>
      </c>
      <c r="BC6" s="95">
        <v>4.92</v>
      </c>
      <c r="BD6" s="95">
        <v>5.25</v>
      </c>
      <c r="BE6" s="95">
        <v>4.5199999999999996</v>
      </c>
      <c r="BF6" s="95">
        <v>4.04</v>
      </c>
      <c r="BG6" s="95">
        <v>4.33</v>
      </c>
      <c r="BH6" s="95">
        <v>4</v>
      </c>
      <c r="BI6" s="95">
        <v>4.32</v>
      </c>
      <c r="BJ6" s="95">
        <v>4.41</v>
      </c>
      <c r="BK6" s="95">
        <v>4.46</v>
      </c>
      <c r="BL6" s="95">
        <v>4.45</v>
      </c>
      <c r="BM6" s="95">
        <v>4.38</v>
      </c>
      <c r="BN6" s="95">
        <v>4.54</v>
      </c>
      <c r="BO6" s="95">
        <v>5.58</v>
      </c>
      <c r="BP6" s="95">
        <v>4.58</v>
      </c>
      <c r="BQ6" s="95">
        <v>4.3499999999999996</v>
      </c>
      <c r="BR6" s="95">
        <v>5.63</v>
      </c>
      <c r="BS6" s="95">
        <v>5.61</v>
      </c>
      <c r="BT6" s="95">
        <v>4.5999999999999996</v>
      </c>
      <c r="BU6" s="95">
        <v>4.9800000000000004</v>
      </c>
      <c r="BV6" s="95">
        <v>5.38</v>
      </c>
      <c r="BW6" s="95">
        <v>5.24</v>
      </c>
      <c r="BX6" s="95">
        <v>4.91</v>
      </c>
      <c r="BY6" s="95">
        <v>4.21</v>
      </c>
      <c r="BZ6" s="95">
        <v>5.24</v>
      </c>
      <c r="CA6" s="95">
        <v>4.96</v>
      </c>
      <c r="CB6" s="95">
        <v>4.46</v>
      </c>
      <c r="CC6" s="95">
        <v>4.16</v>
      </c>
      <c r="CD6" s="95">
        <v>5.0199999999999996</v>
      </c>
      <c r="CE6" s="95">
        <v>5.15</v>
      </c>
      <c r="CF6" s="95">
        <v>4.49</v>
      </c>
      <c r="CG6" s="95">
        <v>5.9</v>
      </c>
      <c r="CH6" s="95">
        <v>5.21</v>
      </c>
      <c r="CI6" s="95">
        <v>4.8600000000000003</v>
      </c>
      <c r="CJ6" s="95">
        <v>5.34</v>
      </c>
      <c r="CK6" s="95">
        <v>4.38</v>
      </c>
      <c r="CL6" s="95">
        <v>4.66</v>
      </c>
      <c r="CM6" s="95">
        <v>5.17</v>
      </c>
      <c r="CN6" s="95">
        <v>6.15</v>
      </c>
      <c r="CO6" s="95">
        <v>5.88</v>
      </c>
      <c r="CP6" s="98">
        <f>SUM(Input_Raw[[#This Row],[P-01]:[P-56]])/1000</f>
        <v>189.87700000000001</v>
      </c>
      <c r="CQ6" s="71">
        <f>IFERROR(AVERAGEIF(Input_Raw[[#This Row],[WS_P-01]:[WS_P-56]],"&lt;&gt;",Input_Raw[[#This Row],[WS_P-01]:[WS_P-56]]),"")</f>
        <v>4.932500000000001</v>
      </c>
      <c r="CR6" s="99">
        <f>MAX(Input_Raw[[#This Row],[WS_P-01]:[WS_P-56]])</f>
        <v>6.15</v>
      </c>
      <c r="CS6" s="99"/>
      <c r="CT6" s="70">
        <f>SUM(Input_Raw[[#This Row],[P-08]:[P-13]],Input_Raw[[#This Row],[P-25]:[P-28]])</f>
        <v>24318</v>
      </c>
      <c r="CU6" s="70"/>
      <c r="CV6" s="70">
        <f>SUM(Input_Raw[[#This Row],[P-04]],Input_Raw[[#This Row],[P-14]:[P-17]],Input_Raw[[#This Row],[P-19]:[P-20]],Input_Raw[[#This Row],[P-22]:[P-23]],Input_Raw[[#This Row],[P-34]],Input_Raw[[#This Row],[P-38]],Input_Raw[[#This Row],[P-43]])</f>
        <v>46523</v>
      </c>
      <c r="CW6" s="70"/>
      <c r="CX6" s="70">
        <f>SUM(Input_Raw[[#This Row],[P-05]:[P-06]],Input_Raw[[#This Row],[P-40]:[P-42]],Input_Raw[[#This Row],[P-45]],Input_Raw[[#This Row],[P-46]],Input_Raw[[#This Row],[P-47]:[P-48]])</f>
        <v>41294</v>
      </c>
      <c r="CY6" s="70"/>
      <c r="CZ6" s="70">
        <f>SUM(Input_Raw[[#This Row],[P-01]:[P-03]],Input_Raw[[#This Row],[P-07]],Input_Raw[[#This Row],[P-18]],Input_Raw[[#This Row],[P-31]:[P-32]],Input_Raw[[#This Row],[P-37]],Input_Raw[[#This Row],[P-50]:[P-56]])</f>
        <v>77742</v>
      </c>
      <c r="DA6" s="12"/>
      <c r="DB6" s="13">
        <f>Input_Raw[[#This Row],[33 kV_Wind_F1_Export reading]]/1000</f>
        <v>24.318000000000001</v>
      </c>
      <c r="DC6" s="13"/>
      <c r="DD6" s="13">
        <f>Input_Raw[[#This Row],[33 kV_Wind_F2_Export_reading]]/1000</f>
        <v>46.523000000000003</v>
      </c>
      <c r="DE6" s="13"/>
      <c r="DF6" s="13">
        <f>Input_Raw[[#This Row],[33 kV_Wind_F3_Export_Reading]]/1000</f>
        <v>41.293999999999997</v>
      </c>
      <c r="DG6" s="13"/>
      <c r="DH6" s="13">
        <f>Input_Raw[[#This Row],[33 kV_Wind_F4_Export Reading]]/1000</f>
        <v>77.742000000000004</v>
      </c>
      <c r="DI6" s="13"/>
      <c r="DJ6" s="13">
        <f>Input_Raw[[#This Row],[33 kV_F1_Total_Export (MWh)]]+Input_Raw[[#This Row],[33 kV_F2_Total_Export (MWh)2]]+Input_Raw[[#This Row],[33 kV_Wind_F3_Export (MWh)]]+Input_Raw[[#This Row],[33 kV_Wind_F4_Export (MWh)]]</f>
        <v>189.87700000000001</v>
      </c>
      <c r="DK6" s="13">
        <f>Input_Raw[[#This Row],[33 kV_Wind_F1_Import (MWh)]]+Input_Raw[[#This Row],[33 kV_Wind_F2_Import (MWh)]]+Input_Raw[[#This Row],[33 kV_Wind_F3_Import (MWh)2]]+Input_Raw[[#This Row],[33 kV_Wind_F4_Import (MWh)2]]</f>
        <v>0</v>
      </c>
      <c r="DL6" s="100">
        <f>IFERROR(Input_Raw[[#This Row],[33 kV_Wind_Total_Export (MWh)]]/Input_Raw[[#This Row],[WTG Total Gneration (MWh)]]-1,"")</f>
        <v>0</v>
      </c>
      <c r="DM6" s="66"/>
      <c r="DN6" s="186">
        <v>90</v>
      </c>
      <c r="DO6" s="186">
        <v>884</v>
      </c>
      <c r="DP6" s="102">
        <v>162.74</v>
      </c>
      <c r="DQ6" s="66"/>
      <c r="DR6" s="181">
        <v>70.400000000000006</v>
      </c>
    </row>
    <row r="7" spans="1:122">
      <c r="A7" s="92">
        <f t="shared" si="74"/>
        <v>45747</v>
      </c>
      <c r="B7" s="10">
        <f>YEAR(Input_Raw[[#This Row],[Date]])+IF(MONTH(Input_Raw[[#This Row],[Date]])&gt;=4,1,0)</f>
        <v>2025</v>
      </c>
      <c r="C7" s="10">
        <f>YEAR(Input_Raw[[#This Row],[Date]])</f>
        <v>2025</v>
      </c>
      <c r="D7" s="11">
        <f t="shared" si="73"/>
        <v>45717</v>
      </c>
      <c r="E7" s="10">
        <f>DAY(EOMONTH(Input_Raw[[#This Row],[Date]],0))</f>
        <v>31</v>
      </c>
      <c r="F7" s="93">
        <v>3784</v>
      </c>
      <c r="G7" s="93">
        <v>2960</v>
      </c>
      <c r="H7" s="93">
        <v>2816</v>
      </c>
      <c r="I7" s="93">
        <v>970</v>
      </c>
      <c r="J7" s="93">
        <v>2856</v>
      </c>
      <c r="K7" s="93">
        <v>1928</v>
      </c>
      <c r="L7" s="93">
        <v>2996</v>
      </c>
      <c r="M7" s="93">
        <v>1136</v>
      </c>
      <c r="N7" s="93">
        <v>688</v>
      </c>
      <c r="O7" s="93">
        <v>828</v>
      </c>
      <c r="P7" s="93">
        <v>994</v>
      </c>
      <c r="Q7" s="93">
        <v>1212</v>
      </c>
      <c r="R7" s="93">
        <v>1248</v>
      </c>
      <c r="S7" s="93">
        <v>1368</v>
      </c>
      <c r="T7" s="93">
        <v>1206</v>
      </c>
      <c r="U7" s="93">
        <v>1338</v>
      </c>
      <c r="V7" s="93">
        <v>1552</v>
      </c>
      <c r="W7" s="93">
        <v>3472</v>
      </c>
      <c r="X7" s="93">
        <v>1504</v>
      </c>
      <c r="Y7" s="93">
        <v>1374</v>
      </c>
      <c r="Z7" s="93">
        <v>1404</v>
      </c>
      <c r="AA7" s="93">
        <v>1652</v>
      </c>
      <c r="AB7" s="93">
        <v>1660</v>
      </c>
      <c r="AC7" s="93">
        <v>1740</v>
      </c>
      <c r="AD7" s="93">
        <v>2112</v>
      </c>
      <c r="AE7" s="93">
        <v>1848</v>
      </c>
      <c r="AF7" s="93">
        <v>2168</v>
      </c>
      <c r="AG7" s="93">
        <v>864</v>
      </c>
      <c r="AH7" s="93">
        <v>1232</v>
      </c>
      <c r="AI7" s="93">
        <v>1868</v>
      </c>
      <c r="AJ7" s="93">
        <v>1724</v>
      </c>
      <c r="AK7" s="93">
        <v>1038</v>
      </c>
      <c r="AL7" s="93">
        <v>2564</v>
      </c>
      <c r="AM7" s="93">
        <v>3656</v>
      </c>
      <c r="AN7" s="93">
        <v>1132</v>
      </c>
      <c r="AO7" s="93">
        <v>3596</v>
      </c>
      <c r="AP7" s="93">
        <v>2932</v>
      </c>
      <c r="AQ7" s="93">
        <v>2932</v>
      </c>
      <c r="AR7" s="93">
        <v>3200</v>
      </c>
      <c r="AS7" s="93">
        <v>1018</v>
      </c>
      <c r="AT7" s="93">
        <v>1536</v>
      </c>
      <c r="AU7" s="93">
        <v>1926</v>
      </c>
      <c r="AV7" s="93">
        <v>4148</v>
      </c>
      <c r="AW7" s="93">
        <v>3604</v>
      </c>
      <c r="AX7" s="95">
        <v>4.1100000000000003</v>
      </c>
      <c r="AY7" s="95">
        <v>4.13</v>
      </c>
      <c r="AZ7" s="95">
        <v>3.94</v>
      </c>
      <c r="BA7" s="95">
        <v>3.15</v>
      </c>
      <c r="BB7" s="95">
        <v>3.98</v>
      </c>
      <c r="BC7" s="95">
        <v>3.88</v>
      </c>
      <c r="BD7" s="95">
        <v>4.1900000000000004</v>
      </c>
      <c r="BE7" s="95">
        <v>3.27</v>
      </c>
      <c r="BF7" s="95">
        <v>3.02</v>
      </c>
      <c r="BG7" s="95">
        <v>3.39</v>
      </c>
      <c r="BH7" s="95">
        <v>3.26</v>
      </c>
      <c r="BI7" s="95">
        <v>3.49</v>
      </c>
      <c r="BJ7" s="95">
        <v>3.45</v>
      </c>
      <c r="BK7" s="95">
        <v>3.43</v>
      </c>
      <c r="BL7" s="95">
        <v>3.48</v>
      </c>
      <c r="BM7" s="95">
        <v>3.39</v>
      </c>
      <c r="BN7" s="95">
        <v>3.77</v>
      </c>
      <c r="BO7" s="95">
        <v>4.25</v>
      </c>
      <c r="BP7" s="95">
        <v>3.59</v>
      </c>
      <c r="BQ7" s="95">
        <v>3.31</v>
      </c>
      <c r="BR7" s="95">
        <v>3.85</v>
      </c>
      <c r="BS7" s="95">
        <v>3.86</v>
      </c>
      <c r="BT7" s="95">
        <v>3.38</v>
      </c>
      <c r="BU7" s="95">
        <v>3.97</v>
      </c>
      <c r="BV7" s="95">
        <v>4.04</v>
      </c>
      <c r="BW7" s="95">
        <v>3.91</v>
      </c>
      <c r="BX7" s="95">
        <v>3.29</v>
      </c>
      <c r="BY7" s="95">
        <v>2.89</v>
      </c>
      <c r="BZ7" s="95">
        <v>3.34</v>
      </c>
      <c r="CA7" s="95">
        <v>3.59</v>
      </c>
      <c r="CB7" s="95">
        <v>3.27</v>
      </c>
      <c r="CC7" s="95">
        <v>3.19</v>
      </c>
      <c r="CD7" s="95">
        <v>4.29</v>
      </c>
      <c r="CE7" s="95">
        <v>4.33</v>
      </c>
      <c r="CF7" s="95">
        <v>3.52</v>
      </c>
      <c r="CG7" s="95">
        <v>4.75</v>
      </c>
      <c r="CH7" s="95">
        <v>4.32</v>
      </c>
      <c r="CI7" s="95">
        <v>3.98</v>
      </c>
      <c r="CJ7" s="95">
        <v>4.3600000000000003</v>
      </c>
      <c r="CK7" s="95">
        <v>2.74</v>
      </c>
      <c r="CL7" s="95">
        <v>3.19</v>
      </c>
      <c r="CM7" s="95">
        <v>3.7</v>
      </c>
      <c r="CN7" s="95">
        <v>4.68</v>
      </c>
      <c r="CO7" s="95">
        <v>4.5999999999999996</v>
      </c>
      <c r="CP7" s="98">
        <f>SUM(Input_Raw[[#This Row],[P-01]:[P-56]])/1000</f>
        <v>87.784000000000006</v>
      </c>
      <c r="CQ7" s="71">
        <f>IFERROR(AVERAGEIF(Input_Raw[[#This Row],[WS_P-01]:[WS_P-56]],"&lt;&gt;",Input_Raw[[#This Row],[WS_P-01]:[WS_P-56]]),"")</f>
        <v>3.7163636363636368</v>
      </c>
      <c r="CR7" s="99">
        <f>MAX(Input_Raw[[#This Row],[WS_P-01]:[WS_P-56]])</f>
        <v>4.75</v>
      </c>
      <c r="CS7" s="99"/>
      <c r="CT7" s="70">
        <f>SUM(Input_Raw[[#This Row],[P-08]:[P-13]],Input_Raw[[#This Row],[P-25]:[P-28]])</f>
        <v>13466</v>
      </c>
      <c r="CU7" s="70"/>
      <c r="CV7" s="70">
        <f>SUM(Input_Raw[[#This Row],[P-04]],Input_Raw[[#This Row],[P-14]:[P-17]],Input_Raw[[#This Row],[P-19]:[P-20]],Input_Raw[[#This Row],[P-22]:[P-23]],Input_Raw[[#This Row],[P-34]],Input_Raw[[#This Row],[P-38]],Input_Raw[[#This Row],[P-43]])</f>
        <v>16456</v>
      </c>
      <c r="CW7" s="70"/>
      <c r="CX7" s="70">
        <f>SUM(Input_Raw[[#This Row],[P-05]:[P-06]],Input_Raw[[#This Row],[P-40]:[P-42]],Input_Raw[[#This Row],[P-45]],Input_Raw[[#This Row],[P-46]],Input_Raw[[#This Row],[P-47]:[P-48]])</f>
        <v>24702</v>
      </c>
      <c r="CY7" s="70"/>
      <c r="CZ7" s="70">
        <f>SUM(Input_Raw[[#This Row],[P-01]:[P-03]],Input_Raw[[#This Row],[P-07]],Input_Raw[[#This Row],[P-18]],Input_Raw[[#This Row],[P-31]:[P-32]],Input_Raw[[#This Row],[P-37]],Input_Raw[[#This Row],[P-50]:[P-56]])</f>
        <v>33160</v>
      </c>
      <c r="DA7" s="12"/>
      <c r="DB7" s="13">
        <f>Input_Raw[[#This Row],[33 kV_Wind_F1_Export reading]]/1000</f>
        <v>13.465999999999999</v>
      </c>
      <c r="DC7" s="13"/>
      <c r="DD7" s="13">
        <f>Input_Raw[[#This Row],[33 kV_Wind_F2_Export_reading]]/1000</f>
        <v>16.456</v>
      </c>
      <c r="DE7" s="13"/>
      <c r="DF7" s="13">
        <f>Input_Raw[[#This Row],[33 kV_Wind_F3_Export_Reading]]/1000</f>
        <v>24.702000000000002</v>
      </c>
      <c r="DG7" s="13"/>
      <c r="DH7" s="13">
        <f>Input_Raw[[#This Row],[33 kV_Wind_F4_Export Reading]]/1000</f>
        <v>33.159999999999997</v>
      </c>
      <c r="DI7" s="13"/>
      <c r="DJ7" s="13">
        <f>Input_Raw[[#This Row],[33 kV_F1_Total_Export (MWh)]]+Input_Raw[[#This Row],[33 kV_F2_Total_Export (MWh)2]]+Input_Raw[[#This Row],[33 kV_Wind_F3_Export (MWh)]]+Input_Raw[[#This Row],[33 kV_Wind_F4_Export (MWh)]]</f>
        <v>87.783999999999992</v>
      </c>
      <c r="DK7" s="13">
        <f>Input_Raw[[#This Row],[33 kV_Wind_F1_Import (MWh)]]+Input_Raw[[#This Row],[33 kV_Wind_F2_Import (MWh)]]+Input_Raw[[#This Row],[33 kV_Wind_F3_Import (MWh)2]]+Input_Raw[[#This Row],[33 kV_Wind_F4_Import (MWh)2]]</f>
        <v>0</v>
      </c>
      <c r="DL7" s="100">
        <f>IFERROR(Input_Raw[[#This Row],[33 kV_Wind_Total_Export (MWh)]]/Input_Raw[[#This Row],[WTG Total Gneration (MWh)]]-1,"")</f>
        <v>-1.1102230246251565E-16</v>
      </c>
      <c r="DM7" s="66"/>
      <c r="DN7" s="186">
        <v>88</v>
      </c>
      <c r="DO7" s="186">
        <v>2257.38</v>
      </c>
      <c r="DP7" s="102">
        <v>66.47</v>
      </c>
      <c r="DQ7" s="66"/>
      <c r="DR7" s="181">
        <v>70.400000000000006</v>
      </c>
    </row>
    <row r="8" spans="1:122">
      <c r="A8" s="92">
        <f t="shared" si="74"/>
        <v>45748</v>
      </c>
      <c r="B8" s="10">
        <f>YEAR(Input_Raw[[#This Row],[Date]])+IF(MONTH(Input_Raw[[#This Row],[Date]])&gt;=4,1,0)</f>
        <v>2026</v>
      </c>
      <c r="C8" s="10">
        <f>YEAR(Input_Raw[[#This Row],[Date]])</f>
        <v>2025</v>
      </c>
      <c r="D8" s="11">
        <f t="shared" si="73"/>
        <v>45748</v>
      </c>
      <c r="E8" s="10">
        <f>DAY(EOMONTH(Input_Raw[[#This Row],[Date]],0))</f>
        <v>30</v>
      </c>
      <c r="F8" s="93">
        <v>4268</v>
      </c>
      <c r="G8" s="93">
        <v>4067.9999999999995</v>
      </c>
      <c r="H8" s="93">
        <v>3800</v>
      </c>
      <c r="I8" s="93">
        <v>7152</v>
      </c>
      <c r="J8" s="93">
        <v>6388</v>
      </c>
      <c r="K8" s="93">
        <v>6152</v>
      </c>
      <c r="L8" s="93">
        <v>2860</v>
      </c>
      <c r="M8" s="93">
        <v>5052</v>
      </c>
      <c r="N8" s="93">
        <v>4148</v>
      </c>
      <c r="O8" s="93">
        <v>6102</v>
      </c>
      <c r="P8" s="93">
        <v>7662</v>
      </c>
      <c r="Q8" s="93">
        <v>7860</v>
      </c>
      <c r="R8" s="93">
        <v>7466</v>
      </c>
      <c r="S8" s="93">
        <v>7150</v>
      </c>
      <c r="T8" s="93">
        <v>5670</v>
      </c>
      <c r="U8" s="93">
        <v>5514</v>
      </c>
      <c r="V8" s="93">
        <v>5412</v>
      </c>
      <c r="W8" s="93">
        <v>3300</v>
      </c>
      <c r="X8" s="93">
        <v>6996</v>
      </c>
      <c r="Y8" s="93">
        <v>5745</v>
      </c>
      <c r="Z8" s="93">
        <v>7184</v>
      </c>
      <c r="AA8" s="93">
        <v>8632</v>
      </c>
      <c r="AB8" s="93">
        <v>7020</v>
      </c>
      <c r="AC8" s="93">
        <v>6844</v>
      </c>
      <c r="AD8" s="93">
        <v>4100</v>
      </c>
      <c r="AE8" s="93">
        <v>6952</v>
      </c>
      <c r="AF8" s="93">
        <v>3420</v>
      </c>
      <c r="AG8" s="93">
        <v>3056</v>
      </c>
      <c r="AH8" s="93">
        <v>5872</v>
      </c>
      <c r="AI8" s="93">
        <v>3422</v>
      </c>
      <c r="AJ8" s="93">
        <v>6164</v>
      </c>
      <c r="AK8" s="93">
        <v>4716</v>
      </c>
      <c r="AL8" s="93">
        <v>6208</v>
      </c>
      <c r="AM8" s="93">
        <v>5104</v>
      </c>
      <c r="AN8" s="93">
        <v>8556</v>
      </c>
      <c r="AO8" s="93">
        <v>8624</v>
      </c>
      <c r="AP8" s="93">
        <v>6180</v>
      </c>
      <c r="AQ8" s="93">
        <v>4920</v>
      </c>
      <c r="AR8" s="93">
        <v>5324</v>
      </c>
      <c r="AS8" s="93">
        <v>4338</v>
      </c>
      <c r="AT8" s="93">
        <v>3536</v>
      </c>
      <c r="AU8" s="93">
        <v>3794</v>
      </c>
      <c r="AV8" s="93">
        <v>4236</v>
      </c>
      <c r="AW8" s="93">
        <v>3528</v>
      </c>
      <c r="AX8" s="96">
        <v>4.5199999999999996</v>
      </c>
      <c r="AY8" s="96">
        <v>4.6100000000000003</v>
      </c>
      <c r="AZ8" s="96">
        <v>4.5999999999999996</v>
      </c>
      <c r="BA8" s="96">
        <v>5.2</v>
      </c>
      <c r="BB8" s="96">
        <v>5.1100000000000003</v>
      </c>
      <c r="BC8" s="96">
        <v>5.17</v>
      </c>
      <c r="BD8" s="96">
        <v>4.42</v>
      </c>
      <c r="BE8" s="96">
        <v>5.73</v>
      </c>
      <c r="BF8" s="96">
        <v>4.8600000000000003</v>
      </c>
      <c r="BG8" s="96">
        <v>5.41</v>
      </c>
      <c r="BH8" s="96">
        <v>5.49</v>
      </c>
      <c r="BI8" s="96">
        <v>5.61</v>
      </c>
      <c r="BJ8" s="96">
        <v>5.42</v>
      </c>
      <c r="BK8" s="96">
        <v>5.37</v>
      </c>
      <c r="BL8" s="96">
        <v>5.08</v>
      </c>
      <c r="BM8" s="96">
        <v>4.8499999999999996</v>
      </c>
      <c r="BN8" s="96">
        <v>4.87</v>
      </c>
      <c r="BO8" s="96">
        <v>4.29</v>
      </c>
      <c r="BP8" s="96">
        <v>5.26</v>
      </c>
      <c r="BQ8" s="96">
        <v>4.8099999999999996</v>
      </c>
      <c r="BR8" s="96">
        <v>5.4</v>
      </c>
      <c r="BS8" s="96">
        <v>5.55</v>
      </c>
      <c r="BT8" s="96">
        <v>5.94</v>
      </c>
      <c r="BU8" s="96">
        <v>6.34</v>
      </c>
      <c r="BV8" s="96">
        <v>5.5</v>
      </c>
      <c r="BW8" s="96">
        <v>6.47</v>
      </c>
      <c r="BX8" s="96">
        <v>4.09</v>
      </c>
      <c r="BY8" s="96">
        <v>4.37</v>
      </c>
      <c r="BZ8" s="96">
        <v>4.82</v>
      </c>
      <c r="CA8" s="96">
        <v>4.79</v>
      </c>
      <c r="CB8" s="96">
        <v>4.75</v>
      </c>
      <c r="CC8" s="96">
        <v>4.5199999999999996</v>
      </c>
      <c r="CD8" s="96">
        <v>5.61</v>
      </c>
      <c r="CE8" s="96">
        <v>4.8</v>
      </c>
      <c r="CF8" s="96">
        <v>5.37</v>
      </c>
      <c r="CG8" s="96">
        <v>5.88</v>
      </c>
      <c r="CH8" s="96">
        <v>5.2</v>
      </c>
      <c r="CI8" s="96">
        <v>4.57</v>
      </c>
      <c r="CJ8" s="96">
        <v>4.92</v>
      </c>
      <c r="CK8" s="96">
        <v>4.29</v>
      </c>
      <c r="CL8" s="96">
        <v>4.6100000000000003</v>
      </c>
      <c r="CM8" s="96">
        <v>4.8</v>
      </c>
      <c r="CN8" s="96">
        <v>4.9800000000000004</v>
      </c>
      <c r="CO8" s="96">
        <v>4.7300000000000004</v>
      </c>
      <c r="CP8" s="98">
        <f>SUM(Input_Raw[[#This Row],[P-01]:[P-56]])/1000</f>
        <v>244.495</v>
      </c>
      <c r="CQ8" s="71">
        <f>IFERROR(AVERAGEIF(Input_Raw[[#This Row],[WS_P-01]:[WS_P-56]],"&lt;&gt;",Input_Raw[[#This Row],[WS_P-01]:[WS_P-56]]),"")</f>
        <v>5.0677272727272733</v>
      </c>
      <c r="CR8" s="99">
        <f>MAX(Input_Raw[[#This Row],[WS_P-01]:[WS_P-56]])</f>
        <v>6.47</v>
      </c>
      <c r="CS8" s="99"/>
      <c r="CT8" s="70">
        <f>SUM(Input_Raw[[#This Row],[P-08]:[P-13]],Input_Raw[[#This Row],[P-25]:[P-28]])</f>
        <v>63206</v>
      </c>
      <c r="CU8" s="70"/>
      <c r="CV8" s="70">
        <f>SUM(Input_Raw[[#This Row],[P-04]],Input_Raw[[#This Row],[P-14]:[P-17]],Input_Raw[[#This Row],[P-19]:[P-20]],Input_Raw[[#This Row],[P-22]:[P-23]],Input_Raw[[#This Row],[P-34]],Input_Raw[[#This Row],[P-38]],Input_Raw[[#This Row],[P-43]])</f>
        <v>80047</v>
      </c>
      <c r="CW8" s="70"/>
      <c r="CX8" s="70">
        <f>SUM(Input_Raw[[#This Row],[P-05]:[P-06]],Input_Raw[[#This Row],[P-40]:[P-42]],Input_Raw[[#This Row],[P-45]],Input_Raw[[#This Row],[P-46]],Input_Raw[[#This Row],[P-47]:[P-48]])</f>
        <v>53616</v>
      </c>
      <c r="CY8" s="70"/>
      <c r="CZ8" s="70">
        <f>SUM(Input_Raw[[#This Row],[P-01]:[P-03]],Input_Raw[[#This Row],[P-07]],Input_Raw[[#This Row],[P-18]],Input_Raw[[#This Row],[P-31]:[P-32]],Input_Raw[[#This Row],[P-37]],Input_Raw[[#This Row],[P-50]:[P-56]])</f>
        <v>47626</v>
      </c>
      <c r="DA8" s="12"/>
      <c r="DB8" s="13">
        <f>Input_Raw[[#This Row],[33 kV_Wind_F1_Export reading]]/1000</f>
        <v>63.206000000000003</v>
      </c>
      <c r="DC8" s="13"/>
      <c r="DD8" s="13">
        <f>Input_Raw[[#This Row],[33 kV_Wind_F2_Export_reading]]/1000</f>
        <v>80.046999999999997</v>
      </c>
      <c r="DE8" s="13"/>
      <c r="DF8" s="13">
        <f>Input_Raw[[#This Row],[33 kV_Wind_F3_Export_Reading]]/1000</f>
        <v>53.616</v>
      </c>
      <c r="DG8" s="13"/>
      <c r="DH8" s="13">
        <f>Input_Raw[[#This Row],[33 kV_Wind_F4_Export Reading]]/1000</f>
        <v>47.625999999999998</v>
      </c>
      <c r="DI8" s="13"/>
      <c r="DJ8" s="13">
        <f>Input_Raw[[#This Row],[33 kV_F1_Total_Export (MWh)]]+Input_Raw[[#This Row],[33 kV_F2_Total_Export (MWh)2]]+Input_Raw[[#This Row],[33 kV_Wind_F3_Export (MWh)]]+Input_Raw[[#This Row],[33 kV_Wind_F4_Export (MWh)]]</f>
        <v>244.49499999999998</v>
      </c>
      <c r="DK8" s="13">
        <f>Input_Raw[[#This Row],[33 kV_Wind_F1_Import (MWh)]]+Input_Raw[[#This Row],[33 kV_Wind_F2_Import (MWh)]]+Input_Raw[[#This Row],[33 kV_Wind_F3_Import (MWh)2]]+Input_Raw[[#This Row],[33 kV_Wind_F4_Import (MWh)2]]</f>
        <v>0</v>
      </c>
      <c r="DL8" s="100">
        <f>IFERROR(Input_Raw[[#This Row],[33 kV_Wind_Total_Export (MWh)]]/Input_Raw[[#This Row],[WTG Total Gneration (MWh)]]-1,"")</f>
        <v>-1.1102230246251565E-16</v>
      </c>
      <c r="DM8" s="66"/>
      <c r="DN8" s="186">
        <v>89</v>
      </c>
      <c r="DO8" s="186">
        <v>25300</v>
      </c>
      <c r="DP8" s="102">
        <v>261.94</v>
      </c>
      <c r="DQ8" s="66"/>
      <c r="DR8" s="181">
        <v>70.400000000000006</v>
      </c>
    </row>
    <row r="9" spans="1:122">
      <c r="A9" s="92">
        <f t="shared" si="74"/>
        <v>45749</v>
      </c>
      <c r="B9" s="10">
        <f>YEAR(Input_Raw[[#This Row],[Date]])+IF(MONTH(Input_Raw[[#This Row],[Date]])&gt;=4,1,0)</f>
        <v>2026</v>
      </c>
      <c r="C9" s="10">
        <f>YEAR(Input_Raw[[#This Row],[Date]])</f>
        <v>2025</v>
      </c>
      <c r="D9" s="11">
        <f t="shared" ref="D9:D11" si="75">A9-DAY(A9)+1</f>
        <v>45748</v>
      </c>
      <c r="E9" s="10">
        <f>DAY(EOMONTH(Input_Raw[[#This Row],[Date]],0))</f>
        <v>30</v>
      </c>
      <c r="F9" s="93">
        <v>6296</v>
      </c>
      <c r="G9" s="93">
        <v>4972</v>
      </c>
      <c r="H9" s="93">
        <v>4080</v>
      </c>
      <c r="I9" s="93">
        <v>5304</v>
      </c>
      <c r="J9" s="93">
        <v>10732</v>
      </c>
      <c r="K9" s="93">
        <v>9008</v>
      </c>
      <c r="L9" s="93">
        <v>5052</v>
      </c>
      <c r="M9" s="93">
        <v>4672</v>
      </c>
      <c r="N9" s="93">
        <v>3214</v>
      </c>
      <c r="O9" s="93">
        <v>4976</v>
      </c>
      <c r="P9" s="93">
        <v>5884</v>
      </c>
      <c r="Q9" s="93">
        <v>7356</v>
      </c>
      <c r="R9" s="93">
        <v>8586</v>
      </c>
      <c r="S9" s="93">
        <v>8718</v>
      </c>
      <c r="T9" s="93">
        <v>6402</v>
      </c>
      <c r="U9" s="93">
        <v>7596</v>
      </c>
      <c r="V9" s="93">
        <v>8356</v>
      </c>
      <c r="W9" s="93">
        <v>5740</v>
      </c>
      <c r="X9" s="93">
        <v>10008</v>
      </c>
      <c r="Y9" s="93">
        <v>8600</v>
      </c>
      <c r="Z9" s="93">
        <v>5096</v>
      </c>
      <c r="AA9" s="93">
        <v>5336</v>
      </c>
      <c r="AB9" s="93">
        <v>6688</v>
      </c>
      <c r="AC9" s="93">
        <v>8336</v>
      </c>
      <c r="AD9" s="93">
        <v>8316</v>
      </c>
      <c r="AE9" s="93">
        <v>8028.0000000000009</v>
      </c>
      <c r="AF9" s="93">
        <v>4244</v>
      </c>
      <c r="AG9" s="93">
        <v>5576</v>
      </c>
      <c r="AH9" s="93">
        <v>4027.9999999999995</v>
      </c>
      <c r="AI9" s="93">
        <v>7408</v>
      </c>
      <c r="AJ9" s="93">
        <v>9640</v>
      </c>
      <c r="AK9" s="93">
        <v>5766</v>
      </c>
      <c r="AL9" s="93">
        <v>10360</v>
      </c>
      <c r="AM9" s="93">
        <v>7964</v>
      </c>
      <c r="AN9" s="93">
        <v>7744</v>
      </c>
      <c r="AO9" s="93">
        <v>11976</v>
      </c>
      <c r="AP9" s="93">
        <v>7700</v>
      </c>
      <c r="AQ9" s="93">
        <v>8872</v>
      </c>
      <c r="AR9" s="93">
        <v>8504</v>
      </c>
      <c r="AS9" s="93">
        <v>6352</v>
      </c>
      <c r="AT9" s="93">
        <v>7568</v>
      </c>
      <c r="AU9" s="93">
        <v>7352</v>
      </c>
      <c r="AV9" s="93">
        <v>9220</v>
      </c>
      <c r="AW9" s="93">
        <v>8084</v>
      </c>
      <c r="AX9" s="95">
        <v>5.0999999999999996</v>
      </c>
      <c r="AY9" s="95">
        <v>4.96</v>
      </c>
      <c r="AZ9" s="95">
        <v>4.74</v>
      </c>
      <c r="BA9" s="95">
        <v>5</v>
      </c>
      <c r="BB9" s="95">
        <v>6.19</v>
      </c>
      <c r="BC9" s="95">
        <v>6.02</v>
      </c>
      <c r="BD9" s="95">
        <v>5.03</v>
      </c>
      <c r="BE9" s="95">
        <v>5.12</v>
      </c>
      <c r="BF9" s="95">
        <v>4.6399999999999997</v>
      </c>
      <c r="BG9" s="95">
        <v>5.25</v>
      </c>
      <c r="BH9" s="95">
        <v>5.1100000000000003</v>
      </c>
      <c r="BI9" s="95">
        <v>5.52</v>
      </c>
      <c r="BJ9" s="95">
        <v>5.84</v>
      </c>
      <c r="BK9" s="95">
        <v>5.87</v>
      </c>
      <c r="BL9" s="95">
        <v>5.48</v>
      </c>
      <c r="BM9" s="95">
        <v>5.7</v>
      </c>
      <c r="BN9" s="95">
        <v>5.68</v>
      </c>
      <c r="BO9" s="95">
        <v>5.27</v>
      </c>
      <c r="BP9" s="95">
        <v>5.98</v>
      </c>
      <c r="BQ9" s="95">
        <v>5.65</v>
      </c>
      <c r="BR9" s="95">
        <v>5.05</v>
      </c>
      <c r="BS9" s="95">
        <v>4.95</v>
      </c>
      <c r="BT9" s="95">
        <v>5.37</v>
      </c>
      <c r="BU9" s="95">
        <v>6.07</v>
      </c>
      <c r="BV9" s="95">
        <v>6.26</v>
      </c>
      <c r="BW9" s="95">
        <v>6.2</v>
      </c>
      <c r="BX9" s="95">
        <v>4.63</v>
      </c>
      <c r="BY9" s="95">
        <v>4.68</v>
      </c>
      <c r="BZ9" s="95">
        <v>4.76</v>
      </c>
      <c r="CA9" s="95">
        <v>5.15</v>
      </c>
      <c r="CB9" s="95">
        <v>5.85</v>
      </c>
      <c r="CC9" s="95">
        <v>5.01</v>
      </c>
      <c r="CD9" s="95">
        <v>6.55</v>
      </c>
      <c r="CE9" s="95">
        <v>5.63</v>
      </c>
      <c r="CF9" s="95">
        <v>5.26</v>
      </c>
      <c r="CG9" s="95">
        <v>6.87</v>
      </c>
      <c r="CH9" s="95">
        <v>4.8</v>
      </c>
      <c r="CI9" s="95">
        <v>5.68</v>
      </c>
      <c r="CJ9" s="95">
        <v>5.94</v>
      </c>
      <c r="CK9" s="95">
        <v>5.09</v>
      </c>
      <c r="CL9" s="95">
        <v>5.35</v>
      </c>
      <c r="CM9" s="95">
        <v>5.44</v>
      </c>
      <c r="CN9" s="95">
        <v>6.04</v>
      </c>
      <c r="CO9" s="95">
        <v>5.98</v>
      </c>
      <c r="CP9" s="98">
        <f>SUM(Input_Raw[[#This Row],[P-01]:[P-56]])/1000</f>
        <v>315.70999999999998</v>
      </c>
      <c r="CQ9" s="71">
        <f>IFERROR(AVERAGEIF(Input_Raw[[#This Row],[WS_P-01]:[WS_P-56]],"&lt;&gt;",Input_Raw[[#This Row],[WS_P-01]:[WS_P-56]]),"")</f>
        <v>5.4718181818181808</v>
      </c>
      <c r="CR9" s="99">
        <f>MAX(Input_Raw[[#This Row],[WS_P-01]:[WS_P-56]])</f>
        <v>6.87</v>
      </c>
      <c r="CS9" s="99"/>
      <c r="CT9" s="70">
        <f>SUM(Input_Raw[[#This Row],[P-08]:[P-13]],Input_Raw[[#This Row],[P-25]:[P-28]])</f>
        <v>66056</v>
      </c>
      <c r="CU9" s="70"/>
      <c r="CV9" s="70">
        <f>SUM(Input_Raw[[#This Row],[P-04]],Input_Raw[[#This Row],[P-14]:[P-17]],Input_Raw[[#This Row],[P-19]:[P-20]],Input_Raw[[#This Row],[P-22]:[P-23]],Input_Raw[[#This Row],[P-34]],Input_Raw[[#This Row],[P-38]],Input_Raw[[#This Row],[P-43]])</f>
        <v>86828</v>
      </c>
      <c r="CW9" s="70"/>
      <c r="CX9" s="70">
        <f>SUM(Input_Raw[[#This Row],[P-05]:[P-06]],Input_Raw[[#This Row],[P-40]:[P-42]],Input_Raw[[#This Row],[P-45]],Input_Raw[[#This Row],[P-46]],Input_Raw[[#This Row],[P-47]:[P-48]])</f>
        <v>80882</v>
      </c>
      <c r="CY9" s="70"/>
      <c r="CZ9" s="70">
        <f>SUM(Input_Raw[[#This Row],[P-01]:[P-03]],Input_Raw[[#This Row],[P-07]],Input_Raw[[#This Row],[P-18]],Input_Raw[[#This Row],[P-31]:[P-32]],Input_Raw[[#This Row],[P-37]],Input_Raw[[#This Row],[P-50]:[P-56]])</f>
        <v>81944</v>
      </c>
      <c r="DA9" s="12"/>
      <c r="DB9" s="13">
        <f>Input_Raw[[#This Row],[33 kV_Wind_F1_Export reading]]/1000</f>
        <v>66.055999999999997</v>
      </c>
      <c r="DC9" s="13"/>
      <c r="DD9" s="13">
        <f>Input_Raw[[#This Row],[33 kV_Wind_F2_Export_reading]]/1000</f>
        <v>86.828000000000003</v>
      </c>
      <c r="DE9" s="13"/>
      <c r="DF9" s="13">
        <f>Input_Raw[[#This Row],[33 kV_Wind_F3_Export_Reading]]/1000</f>
        <v>80.882000000000005</v>
      </c>
      <c r="DG9" s="13"/>
      <c r="DH9" s="13">
        <f>Input_Raw[[#This Row],[33 kV_Wind_F4_Export Reading]]/1000</f>
        <v>81.944000000000003</v>
      </c>
      <c r="DI9" s="13"/>
      <c r="DJ9" s="13">
        <f>Input_Raw[[#This Row],[33 kV_F1_Total_Export (MWh)]]+Input_Raw[[#This Row],[33 kV_F2_Total_Export (MWh)2]]+Input_Raw[[#This Row],[33 kV_Wind_F3_Export (MWh)]]+Input_Raw[[#This Row],[33 kV_Wind_F4_Export (MWh)]]</f>
        <v>315.71000000000004</v>
      </c>
      <c r="DK9" s="13">
        <f>Input_Raw[[#This Row],[33 kV_Wind_F1_Import (MWh)]]+Input_Raw[[#This Row],[33 kV_Wind_F2_Import (MWh)]]+Input_Raw[[#This Row],[33 kV_Wind_F3_Import (MWh)2]]+Input_Raw[[#This Row],[33 kV_Wind_F4_Import (MWh)2]]</f>
        <v>0</v>
      </c>
      <c r="DL9" s="100">
        <f>IFERROR(Input_Raw[[#This Row],[33 kV_Wind_Total_Export (MWh)]]/Input_Raw[[#This Row],[WTG Total Gneration (MWh)]]-1,"")</f>
        <v>2.2204460492503131E-16</v>
      </c>
      <c r="DM9" s="66"/>
      <c r="DN9" s="186">
        <v>95</v>
      </c>
      <c r="DO9" s="186">
        <v>25676</v>
      </c>
      <c r="DP9" s="102">
        <v>310.38</v>
      </c>
      <c r="DQ9" s="66"/>
      <c r="DR9" s="181">
        <v>70.400000000000006</v>
      </c>
    </row>
    <row r="10" spans="1:122">
      <c r="A10" s="92">
        <f t="shared" si="74"/>
        <v>45750</v>
      </c>
      <c r="B10" s="10">
        <f>YEAR(Input_Raw[[#This Row],[Date]])+IF(MONTH(Input_Raw[[#This Row],[Date]])&gt;=4,1,0)</f>
        <v>2026</v>
      </c>
      <c r="C10" s="10">
        <f>YEAR(Input_Raw[[#This Row],[Date]])</f>
        <v>2025</v>
      </c>
      <c r="D10" s="11">
        <f t="shared" si="75"/>
        <v>45748</v>
      </c>
      <c r="E10" s="10">
        <f>DAY(EOMONTH(Input_Raw[[#This Row],[Date]],0))</f>
        <v>30</v>
      </c>
      <c r="F10" s="93">
        <v>2864</v>
      </c>
      <c r="G10" s="93">
        <v>2514</v>
      </c>
      <c r="H10" s="93">
        <v>2568</v>
      </c>
      <c r="I10" s="93">
        <v>2582</v>
      </c>
      <c r="J10" s="93">
        <v>2348</v>
      </c>
      <c r="K10" s="93">
        <v>1772</v>
      </c>
      <c r="L10" s="93">
        <v>2086</v>
      </c>
      <c r="M10" s="93">
        <v>1076</v>
      </c>
      <c r="N10" s="93">
        <v>770</v>
      </c>
      <c r="O10" s="93">
        <v>922</v>
      </c>
      <c r="P10" s="93">
        <v>942</v>
      </c>
      <c r="Q10" s="93">
        <v>1016</v>
      </c>
      <c r="R10" s="93">
        <v>1002</v>
      </c>
      <c r="S10" s="93">
        <v>546</v>
      </c>
      <c r="T10" s="93">
        <v>562</v>
      </c>
      <c r="U10" s="93">
        <v>706</v>
      </c>
      <c r="V10" s="93">
        <v>894</v>
      </c>
      <c r="W10" s="93">
        <v>2588</v>
      </c>
      <c r="X10" s="93">
        <v>948</v>
      </c>
      <c r="Y10" s="93">
        <v>819</v>
      </c>
      <c r="Z10" s="93">
        <v>2296</v>
      </c>
      <c r="AA10" s="93">
        <v>2480</v>
      </c>
      <c r="AB10" s="93">
        <v>1360</v>
      </c>
      <c r="AC10" s="93">
        <v>1556</v>
      </c>
      <c r="AD10" s="93">
        <v>1696</v>
      </c>
      <c r="AE10" s="93">
        <v>1508</v>
      </c>
      <c r="AF10" s="93">
        <v>1344</v>
      </c>
      <c r="AG10" s="93">
        <v>1312</v>
      </c>
      <c r="AH10" s="93">
        <v>2600</v>
      </c>
      <c r="AI10" s="93">
        <v>1758</v>
      </c>
      <c r="AJ10" s="93">
        <v>1100</v>
      </c>
      <c r="AK10" s="93">
        <v>1526</v>
      </c>
      <c r="AL10" s="93">
        <v>2160</v>
      </c>
      <c r="AM10" s="93">
        <v>2624</v>
      </c>
      <c r="AN10" s="93">
        <v>1444</v>
      </c>
      <c r="AO10" s="93">
        <v>2944</v>
      </c>
      <c r="AP10" s="93">
        <v>2740</v>
      </c>
      <c r="AQ10" s="93">
        <v>2456</v>
      </c>
      <c r="AR10" s="93">
        <v>2628</v>
      </c>
      <c r="AS10" s="93">
        <v>1136</v>
      </c>
      <c r="AT10" s="93">
        <v>1716</v>
      </c>
      <c r="AU10" s="93">
        <v>1784</v>
      </c>
      <c r="AV10" s="93">
        <v>2800</v>
      </c>
      <c r="AW10" s="93">
        <v>2544</v>
      </c>
      <c r="AX10" s="96">
        <v>3.75</v>
      </c>
      <c r="AY10" s="96">
        <v>3.9</v>
      </c>
      <c r="AZ10" s="96">
        <v>3.77</v>
      </c>
      <c r="BA10" s="96">
        <v>3.82</v>
      </c>
      <c r="BB10" s="96">
        <v>3.63</v>
      </c>
      <c r="BC10" s="96">
        <v>3.71</v>
      </c>
      <c r="BD10" s="96">
        <v>3.81</v>
      </c>
      <c r="BE10" s="96">
        <v>3.04</v>
      </c>
      <c r="BF10" s="96">
        <v>2.96</v>
      </c>
      <c r="BG10" s="96">
        <v>3.25</v>
      </c>
      <c r="BH10" s="96">
        <v>3.06</v>
      </c>
      <c r="BI10" s="96">
        <v>3.27</v>
      </c>
      <c r="BJ10" s="96">
        <v>3.08</v>
      </c>
      <c r="BK10" s="96">
        <v>2.93</v>
      </c>
      <c r="BL10" s="96">
        <v>3.05</v>
      </c>
      <c r="BM10" s="96">
        <v>3.1</v>
      </c>
      <c r="BN10" s="96">
        <v>3.42</v>
      </c>
      <c r="BO10" s="96">
        <v>3.91</v>
      </c>
      <c r="BP10" s="96">
        <v>3.15</v>
      </c>
      <c r="BQ10" s="96">
        <v>3.08</v>
      </c>
      <c r="BR10" s="96">
        <v>3.88</v>
      </c>
      <c r="BS10" s="96">
        <v>3.78</v>
      </c>
      <c r="BT10" s="96">
        <v>3.07</v>
      </c>
      <c r="BU10" s="96">
        <v>3.8</v>
      </c>
      <c r="BV10" s="96">
        <v>3.58</v>
      </c>
      <c r="BW10" s="96">
        <v>3.47</v>
      </c>
      <c r="BX10" s="96">
        <v>3.43</v>
      </c>
      <c r="BY10" s="96">
        <v>3.06</v>
      </c>
      <c r="BZ10" s="96">
        <v>4</v>
      </c>
      <c r="CA10" s="96">
        <v>3.38</v>
      </c>
      <c r="CB10" s="96">
        <v>3</v>
      </c>
      <c r="CC10" s="96">
        <v>3.29</v>
      </c>
      <c r="CD10" s="96">
        <v>4.05</v>
      </c>
      <c r="CE10" s="96">
        <v>3.83</v>
      </c>
      <c r="CF10" s="96">
        <v>3.1</v>
      </c>
      <c r="CG10" s="96">
        <v>4.0999999999999996</v>
      </c>
      <c r="CH10" s="96">
        <v>4.17</v>
      </c>
      <c r="CI10" s="96">
        <v>3.59</v>
      </c>
      <c r="CJ10" s="96">
        <v>4.09</v>
      </c>
      <c r="CK10" s="96">
        <v>2.9</v>
      </c>
      <c r="CL10" s="96">
        <v>3.31</v>
      </c>
      <c r="CM10" s="96">
        <v>3.58</v>
      </c>
      <c r="CN10" s="96">
        <v>4.03</v>
      </c>
      <c r="CO10" s="96">
        <v>4.18</v>
      </c>
      <c r="CP10" s="98">
        <f>SUM(Input_Raw[[#This Row],[P-01]:[P-56]])/1000</f>
        <v>77.037000000000006</v>
      </c>
      <c r="CQ10" s="71">
        <f>IFERROR(AVERAGEIF(Input_Raw[[#This Row],[WS_P-01]:[WS_P-56]],"&lt;&gt;",Input_Raw[[#This Row],[WS_P-01]:[WS_P-56]]),"")</f>
        <v>3.5081818181818183</v>
      </c>
      <c r="CR10" s="99">
        <f>MAX(Input_Raw[[#This Row],[WS_P-01]:[WS_P-56]])</f>
        <v>4.18</v>
      </c>
      <c r="CS10" s="99"/>
      <c r="CT10" s="70">
        <f>SUM(Input_Raw[[#This Row],[P-08]:[P-13]],Input_Raw[[#This Row],[P-25]:[P-28]])</f>
        <v>11848</v>
      </c>
      <c r="CU10" s="70"/>
      <c r="CV10" s="70">
        <f>SUM(Input_Raw[[#This Row],[P-04]],Input_Raw[[#This Row],[P-14]:[P-17]],Input_Raw[[#This Row],[P-19]:[P-20]],Input_Raw[[#This Row],[P-22]:[P-23]],Input_Raw[[#This Row],[P-34]],Input_Raw[[#This Row],[P-38]],Input_Raw[[#This Row],[P-43]])</f>
        <v>16977</v>
      </c>
      <c r="CW10" s="70"/>
      <c r="CX10" s="70">
        <f>SUM(Input_Raw[[#This Row],[P-05]:[P-06]],Input_Raw[[#This Row],[P-40]:[P-42]],Input_Raw[[#This Row],[P-45]],Input_Raw[[#This Row],[P-46]],Input_Raw[[#This Row],[P-47]:[P-48]])</f>
        <v>21198</v>
      </c>
      <c r="CY10" s="70"/>
      <c r="CZ10" s="70">
        <f>SUM(Input_Raw[[#This Row],[P-01]:[P-03]],Input_Raw[[#This Row],[P-07]],Input_Raw[[#This Row],[P-18]],Input_Raw[[#This Row],[P-31]:[P-32]],Input_Raw[[#This Row],[P-37]],Input_Raw[[#This Row],[P-50]:[P-56]])</f>
        <v>27014</v>
      </c>
      <c r="DA10" s="12"/>
      <c r="DB10" s="13">
        <f>Input_Raw[[#This Row],[33 kV_Wind_F1_Export reading]]/1000</f>
        <v>11.848000000000001</v>
      </c>
      <c r="DC10" s="13"/>
      <c r="DD10" s="13">
        <f>Input_Raw[[#This Row],[33 kV_Wind_F2_Export_reading]]/1000</f>
        <v>16.977</v>
      </c>
      <c r="DE10" s="13"/>
      <c r="DF10" s="13">
        <f>Input_Raw[[#This Row],[33 kV_Wind_F3_Export_Reading]]/1000</f>
        <v>21.198</v>
      </c>
      <c r="DG10" s="13"/>
      <c r="DH10" s="13">
        <f>Input_Raw[[#This Row],[33 kV_Wind_F4_Export Reading]]/1000</f>
        <v>27.013999999999999</v>
      </c>
      <c r="DI10" s="13"/>
      <c r="DJ10" s="13">
        <f>Input_Raw[[#This Row],[33 kV_F1_Total_Export (MWh)]]+Input_Raw[[#This Row],[33 kV_F2_Total_Export (MWh)2]]+Input_Raw[[#This Row],[33 kV_Wind_F3_Export (MWh)]]+Input_Raw[[#This Row],[33 kV_Wind_F4_Export (MWh)]]</f>
        <v>77.037000000000006</v>
      </c>
      <c r="DK10" s="13">
        <f>Input_Raw[[#This Row],[33 kV_Wind_F1_Import (MWh)]]+Input_Raw[[#This Row],[33 kV_Wind_F2_Import (MWh)]]+Input_Raw[[#This Row],[33 kV_Wind_F3_Import (MWh)2]]+Input_Raw[[#This Row],[33 kV_Wind_F4_Import (MWh)2]]</f>
        <v>0</v>
      </c>
      <c r="DL10" s="100">
        <f>IFERROR(Input_Raw[[#This Row],[33 kV_Wind_Total_Export (MWh)]]/Input_Raw[[#This Row],[WTG Total Gneration (MWh)]]-1,"")</f>
        <v>0</v>
      </c>
      <c r="DM10" s="66"/>
      <c r="DN10" s="186">
        <v>94</v>
      </c>
      <c r="DO10" s="186">
        <v>7538.5</v>
      </c>
      <c r="DP10" s="102">
        <v>72.739999999999995</v>
      </c>
      <c r="DQ10" s="66"/>
      <c r="DR10" s="181">
        <v>70.400000000000006</v>
      </c>
    </row>
    <row r="11" spans="1:122">
      <c r="A11" s="92">
        <f t="shared" si="74"/>
        <v>45751</v>
      </c>
      <c r="B11" s="10">
        <f>YEAR(Input_Raw[[#This Row],[Date]])+IF(MONTH(Input_Raw[[#This Row],[Date]])&gt;=4,1,0)</f>
        <v>2026</v>
      </c>
      <c r="C11" s="10">
        <f>YEAR(Input_Raw[[#This Row],[Date]])</f>
        <v>2025</v>
      </c>
      <c r="D11" s="11">
        <f t="shared" si="75"/>
        <v>45748</v>
      </c>
      <c r="E11" s="10">
        <f>DAY(EOMONTH(Input_Raw[[#This Row],[Date]],0))</f>
        <v>30</v>
      </c>
      <c r="F11" s="93">
        <v>2716</v>
      </c>
      <c r="G11" s="93">
        <v>2818</v>
      </c>
      <c r="H11" s="93">
        <v>3052</v>
      </c>
      <c r="I11" s="93">
        <v>3092</v>
      </c>
      <c r="J11" s="93">
        <v>3528</v>
      </c>
      <c r="K11" s="93">
        <v>2796</v>
      </c>
      <c r="L11" s="93">
        <v>2618</v>
      </c>
      <c r="M11" s="93">
        <v>2496</v>
      </c>
      <c r="N11" s="93">
        <v>1856</v>
      </c>
      <c r="O11" s="93">
        <v>2021.9999999999998</v>
      </c>
      <c r="P11" s="93">
        <v>2102</v>
      </c>
      <c r="Q11" s="93">
        <v>2154</v>
      </c>
      <c r="R11" s="93">
        <v>2434</v>
      </c>
      <c r="S11" s="93">
        <v>1572</v>
      </c>
      <c r="T11" s="93">
        <v>798</v>
      </c>
      <c r="U11" s="93">
        <v>1024</v>
      </c>
      <c r="V11" s="93">
        <v>1380</v>
      </c>
      <c r="W11" s="93">
        <v>3196</v>
      </c>
      <c r="X11" s="93">
        <v>1406</v>
      </c>
      <c r="Y11" s="93">
        <v>1083</v>
      </c>
      <c r="Z11" s="93">
        <v>3124</v>
      </c>
      <c r="AA11" s="93">
        <v>3560</v>
      </c>
      <c r="AB11" s="93">
        <v>3108</v>
      </c>
      <c r="AC11" s="93">
        <v>2848</v>
      </c>
      <c r="AD11" s="93">
        <v>3372</v>
      </c>
      <c r="AE11" s="93">
        <v>3032</v>
      </c>
      <c r="AF11" s="93">
        <v>3404</v>
      </c>
      <c r="AG11" s="93">
        <v>2240</v>
      </c>
      <c r="AH11" s="93">
        <v>2868</v>
      </c>
      <c r="AI11" s="93">
        <v>3262</v>
      </c>
      <c r="AJ11" s="93">
        <v>1412</v>
      </c>
      <c r="AK11" s="93">
        <v>1696</v>
      </c>
      <c r="AL11" s="93">
        <v>3168</v>
      </c>
      <c r="AM11" s="93">
        <v>2904</v>
      </c>
      <c r="AN11" s="93">
        <v>3116</v>
      </c>
      <c r="AO11" s="93">
        <v>4976</v>
      </c>
      <c r="AP11" s="93">
        <v>4096</v>
      </c>
      <c r="AQ11" s="93">
        <v>3300</v>
      </c>
      <c r="AR11" s="93">
        <v>3096</v>
      </c>
      <c r="AS11" s="93">
        <v>1672</v>
      </c>
      <c r="AT11" s="93">
        <v>2784</v>
      </c>
      <c r="AU11" s="93">
        <v>3192</v>
      </c>
      <c r="AV11" s="93">
        <v>3516</v>
      </c>
      <c r="AW11" s="93">
        <v>3316</v>
      </c>
      <c r="AX11" s="95">
        <v>3.96</v>
      </c>
      <c r="AY11" s="95">
        <v>4.34</v>
      </c>
      <c r="AZ11" s="95">
        <v>4.2699999999999996</v>
      </c>
      <c r="BA11" s="95">
        <v>3.99</v>
      </c>
      <c r="BB11" s="95">
        <v>4.1500000000000004</v>
      </c>
      <c r="BC11" s="95">
        <v>4.29</v>
      </c>
      <c r="BD11" s="95">
        <v>4.33</v>
      </c>
      <c r="BE11" s="95">
        <v>3.96</v>
      </c>
      <c r="BF11" s="95">
        <v>3.8</v>
      </c>
      <c r="BG11" s="95">
        <v>4.17</v>
      </c>
      <c r="BH11" s="95">
        <v>3.88</v>
      </c>
      <c r="BI11" s="95">
        <v>4.03</v>
      </c>
      <c r="BJ11" s="95">
        <v>4.0199999999999996</v>
      </c>
      <c r="BK11" s="95">
        <v>4.03</v>
      </c>
      <c r="BL11" s="95">
        <v>3.52</v>
      </c>
      <c r="BM11" s="95">
        <v>3.7</v>
      </c>
      <c r="BN11" s="95">
        <v>4.0199999999999996</v>
      </c>
      <c r="BO11" s="95">
        <v>4.42</v>
      </c>
      <c r="BP11" s="95">
        <v>3.89</v>
      </c>
      <c r="BQ11" s="95">
        <v>3.63</v>
      </c>
      <c r="BR11" s="95">
        <v>4.3</v>
      </c>
      <c r="BS11" s="95">
        <v>4.34</v>
      </c>
      <c r="BT11" s="95">
        <v>3.96</v>
      </c>
      <c r="BU11" s="95">
        <v>4.3499999999999996</v>
      </c>
      <c r="BV11" s="95">
        <v>4.3</v>
      </c>
      <c r="BW11" s="95">
        <v>4.22</v>
      </c>
      <c r="BX11" s="95">
        <v>3.98</v>
      </c>
      <c r="BY11" s="95">
        <v>3.89</v>
      </c>
      <c r="BZ11" s="95">
        <v>4.03</v>
      </c>
      <c r="CA11" s="95">
        <v>4.3899999999999997</v>
      </c>
      <c r="CB11" s="95">
        <v>3.61</v>
      </c>
      <c r="CC11" s="95">
        <v>3.66</v>
      </c>
      <c r="CD11" s="95">
        <v>4.53</v>
      </c>
      <c r="CE11" s="95">
        <v>4.07</v>
      </c>
      <c r="CF11" s="95">
        <v>4.04</v>
      </c>
      <c r="CG11" s="95">
        <v>5.01</v>
      </c>
      <c r="CH11" s="95">
        <v>4.83</v>
      </c>
      <c r="CI11" s="95">
        <v>4.0199999999999996</v>
      </c>
      <c r="CJ11" s="95">
        <v>4.4000000000000004</v>
      </c>
      <c r="CK11" s="95">
        <v>3.65</v>
      </c>
      <c r="CL11" s="95">
        <v>4.1900000000000004</v>
      </c>
      <c r="CM11" s="95">
        <v>4.59</v>
      </c>
      <c r="CN11" s="95">
        <v>4.67</v>
      </c>
      <c r="CO11" s="95">
        <v>4.8899999999999997</v>
      </c>
      <c r="CP11" s="98">
        <f>SUM(Input_Raw[[#This Row],[P-01]:[P-56]])/1000</f>
        <v>117.205</v>
      </c>
      <c r="CQ11" s="71">
        <f>IFERROR(AVERAGEIF(Input_Raw[[#This Row],[WS_P-01]:[WS_P-56]],"&lt;&gt;",Input_Raw[[#This Row],[WS_P-01]:[WS_P-56]]),"")</f>
        <v>4.1436363636363627</v>
      </c>
      <c r="CR11" s="99">
        <f>MAX(Input_Raw[[#This Row],[WS_P-01]:[WS_P-56]])</f>
        <v>5.01</v>
      </c>
      <c r="CS11" s="99"/>
      <c r="CT11" s="70">
        <f>SUM(Input_Raw[[#This Row],[P-08]:[P-13]],Input_Raw[[#This Row],[P-25]:[P-28]])</f>
        <v>25424</v>
      </c>
      <c r="CU11" s="70"/>
      <c r="CV11" s="70">
        <f>SUM(Input_Raw[[#This Row],[P-04]],Input_Raw[[#This Row],[P-14]:[P-17]],Input_Raw[[#This Row],[P-19]:[P-20]],Input_Raw[[#This Row],[P-22]:[P-23]],Input_Raw[[#This Row],[P-34]],Input_Raw[[#This Row],[P-38]],Input_Raw[[#This Row],[P-43]])</f>
        <v>24435</v>
      </c>
      <c r="CW11" s="70"/>
      <c r="CX11" s="70">
        <f>SUM(Input_Raw[[#This Row],[P-05]:[P-06]],Input_Raw[[#This Row],[P-40]:[P-42]],Input_Raw[[#This Row],[P-45]],Input_Raw[[#This Row],[P-46]],Input_Raw[[#This Row],[P-47]:[P-48]])</f>
        <v>29560</v>
      </c>
      <c r="CY11" s="70"/>
      <c r="CZ11" s="70">
        <f>SUM(Input_Raw[[#This Row],[P-01]:[P-03]],Input_Raw[[#This Row],[P-07]],Input_Raw[[#This Row],[P-18]],Input_Raw[[#This Row],[P-31]:[P-32]],Input_Raw[[#This Row],[P-37]],Input_Raw[[#This Row],[P-50]:[P-56]])</f>
        <v>37786</v>
      </c>
      <c r="DA11" s="12"/>
      <c r="DB11" s="13">
        <f>Input_Raw[[#This Row],[33 kV_Wind_F1_Export reading]]/1000</f>
        <v>25.423999999999999</v>
      </c>
      <c r="DC11" s="13"/>
      <c r="DD11" s="13">
        <f>Input_Raw[[#This Row],[33 kV_Wind_F2_Export_reading]]/1000</f>
        <v>24.434999999999999</v>
      </c>
      <c r="DE11" s="13"/>
      <c r="DF11" s="13">
        <f>Input_Raw[[#This Row],[33 kV_Wind_F3_Export_Reading]]/1000</f>
        <v>29.56</v>
      </c>
      <c r="DG11" s="13"/>
      <c r="DH11" s="13">
        <f>Input_Raw[[#This Row],[33 kV_Wind_F4_Export Reading]]/1000</f>
        <v>37.786000000000001</v>
      </c>
      <c r="DI11" s="13"/>
      <c r="DJ11" s="13">
        <f>Input_Raw[[#This Row],[33 kV_F1_Total_Export (MWh)]]+Input_Raw[[#This Row],[33 kV_F2_Total_Export (MWh)2]]+Input_Raw[[#This Row],[33 kV_Wind_F3_Export (MWh)]]+Input_Raw[[#This Row],[33 kV_Wind_F4_Export (MWh)]]</f>
        <v>117.205</v>
      </c>
      <c r="DK11" s="13">
        <f>Input_Raw[[#This Row],[33 kV_Wind_F1_Import (MWh)]]+Input_Raw[[#This Row],[33 kV_Wind_F2_Import (MWh)]]+Input_Raw[[#This Row],[33 kV_Wind_F3_Import (MWh)2]]+Input_Raw[[#This Row],[33 kV_Wind_F4_Import (MWh)2]]</f>
        <v>0</v>
      </c>
      <c r="DL11" s="100">
        <f>IFERROR(Input_Raw[[#This Row],[33 kV_Wind_Total_Export (MWh)]]/Input_Raw[[#This Row],[WTG Total Gneration (MWh)]]-1,"")</f>
        <v>0</v>
      </c>
      <c r="DM11" s="66"/>
      <c r="DN11" s="186">
        <v>80</v>
      </c>
      <c r="DO11" s="186">
        <v>1459.87</v>
      </c>
      <c r="DP11" s="102">
        <v>115.35</v>
      </c>
      <c r="DQ11" s="67"/>
      <c r="DR11" s="181">
        <v>70.400000000000006</v>
      </c>
    </row>
    <row r="12" spans="1:122">
      <c r="A12" s="92">
        <f t="shared" si="74"/>
        <v>45752</v>
      </c>
      <c r="B12" s="10">
        <f>YEAR(Input_Raw[[#This Row],[Date]])+IF(MONTH(Input_Raw[[#This Row],[Date]])&gt;=4,1,0)</f>
        <v>2026</v>
      </c>
      <c r="C12" s="10">
        <f>YEAR(Input_Raw[[#This Row],[Date]])</f>
        <v>2025</v>
      </c>
      <c r="D12" s="11">
        <f t="shared" ref="D12" si="76">A12-DAY(A12)+1</f>
        <v>45748</v>
      </c>
      <c r="E12" s="10">
        <f>DAY(EOMONTH(Input_Raw[[#This Row],[Date]],0))</f>
        <v>30</v>
      </c>
      <c r="F12" s="93">
        <v>2060</v>
      </c>
      <c r="G12" s="93">
        <v>3368</v>
      </c>
      <c r="H12" s="93">
        <v>3088</v>
      </c>
      <c r="I12" s="93">
        <v>5440</v>
      </c>
      <c r="J12" s="93">
        <v>2920</v>
      </c>
      <c r="K12" s="93">
        <v>2352</v>
      </c>
      <c r="L12" s="93">
        <v>2928</v>
      </c>
      <c r="M12" s="93">
        <v>2116</v>
      </c>
      <c r="N12" s="93">
        <v>2560</v>
      </c>
      <c r="O12" s="93">
        <v>2424</v>
      </c>
      <c r="P12" s="93">
        <v>2928</v>
      </c>
      <c r="Q12" s="93">
        <v>2598</v>
      </c>
      <c r="R12" s="93">
        <v>2442</v>
      </c>
      <c r="S12" s="93">
        <v>2302</v>
      </c>
      <c r="T12" s="93">
        <v>1794</v>
      </c>
      <c r="U12" s="93">
        <v>2009.9999999999998</v>
      </c>
      <c r="V12" s="93">
        <v>1980</v>
      </c>
      <c r="W12" s="93">
        <v>2884</v>
      </c>
      <c r="X12" s="93">
        <v>2430</v>
      </c>
      <c r="Y12" s="93">
        <v>2109</v>
      </c>
      <c r="Z12" s="93">
        <v>5192</v>
      </c>
      <c r="AA12" s="93">
        <v>6060</v>
      </c>
      <c r="AB12" s="93">
        <v>4888</v>
      </c>
      <c r="AC12" s="93">
        <v>4600</v>
      </c>
      <c r="AD12" s="93">
        <v>3876</v>
      </c>
      <c r="AE12" s="93">
        <v>3448</v>
      </c>
      <c r="AF12" s="93">
        <v>932</v>
      </c>
      <c r="AG12" s="93">
        <v>1628</v>
      </c>
      <c r="AH12" s="93">
        <v>4011.9999999999995</v>
      </c>
      <c r="AI12" s="93">
        <v>3004</v>
      </c>
      <c r="AJ12" s="93">
        <v>2596</v>
      </c>
      <c r="AK12" s="93">
        <v>1232</v>
      </c>
      <c r="AL12" s="93">
        <v>2628</v>
      </c>
      <c r="AM12" s="93">
        <v>2704</v>
      </c>
      <c r="AN12" s="93">
        <v>4318</v>
      </c>
      <c r="AO12" s="93">
        <v>4075.9999999999995</v>
      </c>
      <c r="AP12" s="93">
        <v>2524</v>
      </c>
      <c r="AQ12" s="93">
        <v>2308</v>
      </c>
      <c r="AR12" s="93">
        <v>2484</v>
      </c>
      <c r="AS12" s="93">
        <v>1624</v>
      </c>
      <c r="AT12" s="93">
        <v>1794</v>
      </c>
      <c r="AU12" s="93">
        <v>2880</v>
      </c>
      <c r="AV12" s="93">
        <v>4144</v>
      </c>
      <c r="AW12" s="93">
        <v>1756</v>
      </c>
      <c r="AX12" s="95">
        <v>4.42</v>
      </c>
      <c r="AY12" s="95">
        <v>4.7699999999999996</v>
      </c>
      <c r="AZ12" s="95">
        <v>4.6399999999999997</v>
      </c>
      <c r="BA12" s="95">
        <v>5.33</v>
      </c>
      <c r="BB12" s="95">
        <v>4.37</v>
      </c>
      <c r="BC12" s="95">
        <v>4.3899999999999997</v>
      </c>
      <c r="BD12" s="95">
        <v>4.6100000000000003</v>
      </c>
      <c r="BE12" s="95">
        <v>3.98</v>
      </c>
      <c r="BF12" s="95">
        <v>4.5</v>
      </c>
      <c r="BG12" s="95">
        <v>4.7</v>
      </c>
      <c r="BH12" s="95">
        <v>4.5</v>
      </c>
      <c r="BI12" s="95">
        <v>4.4400000000000004</v>
      </c>
      <c r="BJ12" s="95">
        <v>4.3899999999999997</v>
      </c>
      <c r="BK12" s="95">
        <v>4.29</v>
      </c>
      <c r="BL12" s="95">
        <v>4.17</v>
      </c>
      <c r="BM12" s="95">
        <v>4.18</v>
      </c>
      <c r="BN12" s="95">
        <v>4.13</v>
      </c>
      <c r="BO12" s="95">
        <v>4.47</v>
      </c>
      <c r="BP12" s="95">
        <v>4.3499999999999996</v>
      </c>
      <c r="BQ12" s="95">
        <v>4.07</v>
      </c>
      <c r="BR12" s="95">
        <v>5.38</v>
      </c>
      <c r="BS12" s="95">
        <v>5.5</v>
      </c>
      <c r="BT12" s="95">
        <v>4.9000000000000004</v>
      </c>
      <c r="BU12" s="95">
        <v>5.23</v>
      </c>
      <c r="BV12" s="95">
        <v>4.8600000000000003</v>
      </c>
      <c r="BW12" s="95">
        <v>4.79</v>
      </c>
      <c r="BX12" s="95">
        <v>4.0199999999999996</v>
      </c>
      <c r="BY12" s="95">
        <v>3.47</v>
      </c>
      <c r="BZ12" s="95">
        <v>4.7699999999999996</v>
      </c>
      <c r="CA12" s="95">
        <v>4.29</v>
      </c>
      <c r="CB12" s="95">
        <v>4.09</v>
      </c>
      <c r="CC12" s="95">
        <v>3.79</v>
      </c>
      <c r="CD12" s="95">
        <v>4.63</v>
      </c>
      <c r="CE12" s="95">
        <v>4.21</v>
      </c>
      <c r="CF12" s="95">
        <v>4.78</v>
      </c>
      <c r="CG12" s="95">
        <v>5.01</v>
      </c>
      <c r="CH12" s="95">
        <v>4.37</v>
      </c>
      <c r="CI12" s="95">
        <v>3.73</v>
      </c>
      <c r="CJ12" s="95">
        <v>4.3</v>
      </c>
      <c r="CK12" s="95">
        <v>3.58</v>
      </c>
      <c r="CL12" s="95">
        <v>3.47</v>
      </c>
      <c r="CM12" s="95">
        <v>4.34</v>
      </c>
      <c r="CN12" s="95">
        <v>4.92</v>
      </c>
      <c r="CO12" s="95">
        <v>4.63</v>
      </c>
      <c r="CP12" s="98">
        <f>SUM(Input_Raw[[#This Row],[P-01]:[P-56]])/1000</f>
        <v>127.441</v>
      </c>
      <c r="CQ12" s="71">
        <f>IFERROR(AVERAGEIF(Input_Raw[[#This Row],[WS_P-01]:[WS_P-56]],"&lt;&gt;",Input_Raw[[#This Row],[WS_P-01]:[WS_P-56]]),"")</f>
        <v>4.4490909090909092</v>
      </c>
      <c r="CR12" s="99">
        <f>MAX(Input_Raw[[#This Row],[WS_P-01]:[WS_P-56]])</f>
        <v>5.5</v>
      </c>
      <c r="CS12" s="99"/>
      <c r="CT12" s="70">
        <f>SUM(Input_Raw[[#This Row],[P-08]:[P-13]],Input_Raw[[#This Row],[P-25]:[P-28]])</f>
        <v>31880</v>
      </c>
      <c r="CU12" s="70"/>
      <c r="CV12" s="70">
        <f>SUM(Input_Raw[[#This Row],[P-04]],Input_Raw[[#This Row],[P-14]:[P-17]],Input_Raw[[#This Row],[P-19]:[P-20]],Input_Raw[[#This Row],[P-22]:[P-23]],Input_Raw[[#This Row],[P-34]],Input_Raw[[#This Row],[P-38]],Input_Raw[[#This Row],[P-43]])</f>
        <v>40243</v>
      </c>
      <c r="CW12" s="70"/>
      <c r="CX12" s="70">
        <f>SUM(Input_Raw[[#This Row],[P-05]:[P-06]],Input_Raw[[#This Row],[P-40]:[P-42]],Input_Raw[[#This Row],[P-45]],Input_Raw[[#This Row],[P-46]],Input_Raw[[#This Row],[P-47]:[P-48]])</f>
        <v>23228</v>
      </c>
      <c r="CY12" s="70"/>
      <c r="CZ12" s="70">
        <f>SUM(Input_Raw[[#This Row],[P-01]:[P-03]],Input_Raw[[#This Row],[P-07]],Input_Raw[[#This Row],[P-18]],Input_Raw[[#This Row],[P-31]:[P-32]],Input_Raw[[#This Row],[P-37]],Input_Raw[[#This Row],[P-50]:[P-56]])</f>
        <v>32090</v>
      </c>
      <c r="DA12" s="12"/>
      <c r="DB12" s="13">
        <f>Input_Raw[[#This Row],[33 kV_Wind_F1_Export reading]]/1000</f>
        <v>31.88</v>
      </c>
      <c r="DC12" s="13"/>
      <c r="DD12" s="13">
        <f>Input_Raw[[#This Row],[33 kV_Wind_F2_Export_reading]]/1000</f>
        <v>40.243000000000002</v>
      </c>
      <c r="DE12" s="13"/>
      <c r="DF12" s="13">
        <f>Input_Raw[[#This Row],[33 kV_Wind_F3_Export_Reading]]/1000</f>
        <v>23.228000000000002</v>
      </c>
      <c r="DG12" s="13"/>
      <c r="DH12" s="13">
        <f>Input_Raw[[#This Row],[33 kV_Wind_F4_Export Reading]]/1000</f>
        <v>32.090000000000003</v>
      </c>
      <c r="DI12" s="13"/>
      <c r="DJ12" s="13">
        <f>Input_Raw[[#This Row],[33 kV_F1_Total_Export (MWh)]]+Input_Raw[[#This Row],[33 kV_F2_Total_Export (MWh)2]]+Input_Raw[[#This Row],[33 kV_Wind_F3_Export (MWh)]]+Input_Raw[[#This Row],[33 kV_Wind_F4_Export (MWh)]]</f>
        <v>127.441</v>
      </c>
      <c r="DK12" s="13">
        <f>Input_Raw[[#This Row],[33 kV_Wind_F1_Import (MWh)]]+Input_Raw[[#This Row],[33 kV_Wind_F2_Import (MWh)]]+Input_Raw[[#This Row],[33 kV_Wind_F3_Import (MWh)2]]+Input_Raw[[#This Row],[33 kV_Wind_F4_Import (MWh)2]]</f>
        <v>0</v>
      </c>
      <c r="DL12" s="100">
        <f>IFERROR(Input_Raw[[#This Row],[33 kV_Wind_Total_Export (MWh)]]/Input_Raw[[#This Row],[WTG Total Gneration (MWh)]]-1,"")</f>
        <v>0</v>
      </c>
      <c r="DM12" s="66"/>
      <c r="DN12" s="186">
        <v>93</v>
      </c>
      <c r="DO12" s="186">
        <v>0</v>
      </c>
      <c r="DP12" s="102">
        <v>127.87</v>
      </c>
      <c r="DQ12" s="66"/>
      <c r="DR12" s="181">
        <v>70.400000000000006</v>
      </c>
    </row>
    <row r="13" spans="1:122">
      <c r="A13" s="92">
        <f t="shared" si="74"/>
        <v>45753</v>
      </c>
      <c r="B13" s="10">
        <f>YEAR(Input_Raw[[#This Row],[Date]])+IF(MONTH(Input_Raw[[#This Row],[Date]])&gt;=4,1,0)</f>
        <v>2026</v>
      </c>
      <c r="C13" s="10">
        <f>YEAR(Input_Raw[[#This Row],[Date]])</f>
        <v>2025</v>
      </c>
      <c r="D13" s="11">
        <f t="shared" ref="D13" si="77">A13-DAY(A13)+1</f>
        <v>45748</v>
      </c>
      <c r="E13" s="10">
        <f>DAY(EOMONTH(Input_Raw[[#This Row],[Date]],0))</f>
        <v>30</v>
      </c>
      <c r="F13" s="93">
        <v>3244</v>
      </c>
      <c r="G13" s="93">
        <v>3292</v>
      </c>
      <c r="H13" s="93">
        <v>3884</v>
      </c>
      <c r="I13" s="93">
        <v>3042</v>
      </c>
      <c r="J13" s="93">
        <v>2524</v>
      </c>
      <c r="K13" s="93">
        <v>2080</v>
      </c>
      <c r="L13" s="93">
        <v>2482</v>
      </c>
      <c r="M13" s="93">
        <v>1488</v>
      </c>
      <c r="N13" s="93">
        <v>976</v>
      </c>
      <c r="O13" s="93">
        <v>926</v>
      </c>
      <c r="P13" s="93">
        <v>1140</v>
      </c>
      <c r="Q13" s="93">
        <v>1108</v>
      </c>
      <c r="R13" s="93">
        <v>1112</v>
      </c>
      <c r="S13" s="93">
        <v>1008</v>
      </c>
      <c r="T13" s="93">
        <v>936</v>
      </c>
      <c r="U13" s="93">
        <v>1118</v>
      </c>
      <c r="V13" s="93">
        <v>1250</v>
      </c>
      <c r="W13" s="93">
        <v>2768</v>
      </c>
      <c r="X13" s="93">
        <v>1508</v>
      </c>
      <c r="Y13" s="93">
        <v>1524</v>
      </c>
      <c r="Z13" s="93">
        <v>3800</v>
      </c>
      <c r="AA13" s="93">
        <v>4304</v>
      </c>
      <c r="AB13" s="93">
        <v>2012</v>
      </c>
      <c r="AC13" s="93">
        <v>1844</v>
      </c>
      <c r="AD13" s="93">
        <v>2212</v>
      </c>
      <c r="AE13" s="93">
        <v>1920</v>
      </c>
      <c r="AF13" s="93">
        <v>2236</v>
      </c>
      <c r="AG13" s="93">
        <v>1880</v>
      </c>
      <c r="AH13" s="93">
        <v>2572</v>
      </c>
      <c r="AI13" s="93">
        <v>2672</v>
      </c>
      <c r="AJ13" s="93">
        <v>1566</v>
      </c>
      <c r="AK13" s="93">
        <v>1008</v>
      </c>
      <c r="AL13" s="93">
        <v>2348</v>
      </c>
      <c r="AM13" s="93">
        <v>2512</v>
      </c>
      <c r="AN13" s="93">
        <v>1958</v>
      </c>
      <c r="AO13" s="93">
        <v>3400</v>
      </c>
      <c r="AP13" s="93">
        <v>2372</v>
      </c>
      <c r="AQ13" s="93">
        <v>1964</v>
      </c>
      <c r="AR13" s="93">
        <v>2248</v>
      </c>
      <c r="AS13" s="93">
        <v>2640</v>
      </c>
      <c r="AT13" s="93">
        <v>2660</v>
      </c>
      <c r="AU13" s="93">
        <v>3484</v>
      </c>
      <c r="AV13" s="93">
        <v>3868</v>
      </c>
      <c r="AW13" s="93">
        <v>2240</v>
      </c>
      <c r="AX13" s="95">
        <v>4.2300000000000004</v>
      </c>
      <c r="AY13" s="95">
        <v>4.51</v>
      </c>
      <c r="AZ13" s="95">
        <v>4.5599999999999996</v>
      </c>
      <c r="BA13" s="95">
        <v>4.1399999999999997</v>
      </c>
      <c r="BB13" s="95">
        <v>3.63</v>
      </c>
      <c r="BC13" s="95">
        <v>3.82</v>
      </c>
      <c r="BD13" s="95">
        <v>4.2300000000000004</v>
      </c>
      <c r="BE13" s="95">
        <v>3.61</v>
      </c>
      <c r="BF13" s="95">
        <v>3.24</v>
      </c>
      <c r="BG13" s="95">
        <v>3.51</v>
      </c>
      <c r="BH13" s="95">
        <v>3.25</v>
      </c>
      <c r="BI13" s="95">
        <v>3.43</v>
      </c>
      <c r="BJ13" s="95">
        <v>3.26</v>
      </c>
      <c r="BK13" s="95">
        <v>3.08</v>
      </c>
      <c r="BL13" s="95">
        <v>3.13</v>
      </c>
      <c r="BM13" s="95">
        <v>3.02</v>
      </c>
      <c r="BN13" s="95">
        <v>3.43</v>
      </c>
      <c r="BO13" s="95">
        <v>4.12</v>
      </c>
      <c r="BP13" s="95">
        <v>3.39</v>
      </c>
      <c r="BQ13" s="95">
        <v>3.18</v>
      </c>
      <c r="BR13" s="95">
        <v>4.67</v>
      </c>
      <c r="BS13" s="95">
        <v>4.7</v>
      </c>
      <c r="BT13" s="95">
        <v>3.63</v>
      </c>
      <c r="BU13" s="95">
        <v>4.1399999999999997</v>
      </c>
      <c r="BV13" s="95">
        <v>4</v>
      </c>
      <c r="BW13" s="95">
        <v>3.78</v>
      </c>
      <c r="BX13" s="95">
        <v>3.84</v>
      </c>
      <c r="BY13" s="95">
        <v>3.49</v>
      </c>
      <c r="BZ13" s="95">
        <v>3.96</v>
      </c>
      <c r="CA13" s="95">
        <v>3.96</v>
      </c>
      <c r="CB13" s="95">
        <v>3.03</v>
      </c>
      <c r="CC13" s="95">
        <v>3.09</v>
      </c>
      <c r="CD13" s="95">
        <v>4.17</v>
      </c>
      <c r="CE13" s="95">
        <v>3.84</v>
      </c>
      <c r="CF13" s="95">
        <v>3.59</v>
      </c>
      <c r="CG13" s="95">
        <v>4.66</v>
      </c>
      <c r="CH13" s="95">
        <v>4.34</v>
      </c>
      <c r="CI13" s="95">
        <v>3.64</v>
      </c>
      <c r="CJ13" s="95">
        <v>3.99</v>
      </c>
      <c r="CK13" s="95">
        <v>3.64</v>
      </c>
      <c r="CL13" s="95">
        <v>3.73</v>
      </c>
      <c r="CM13" s="95">
        <v>4.3</v>
      </c>
      <c r="CN13" s="95">
        <v>4.67</v>
      </c>
      <c r="CO13" s="95">
        <v>4.24</v>
      </c>
      <c r="CP13" s="98">
        <f>SUM(Input_Raw[[#This Row],[P-01]:[P-56]])/1000</f>
        <v>97.13</v>
      </c>
      <c r="CQ13" s="71">
        <f>IFERROR(AVERAGEIF(Input_Raw[[#This Row],[WS_P-01]:[WS_P-56]],"&lt;&gt;",Input_Raw[[#This Row],[WS_P-01]:[WS_P-56]]),"")</f>
        <v>3.815227272727272</v>
      </c>
      <c r="CR13" s="99">
        <f>MAX(Input_Raw[[#This Row],[WS_P-01]:[WS_P-56]])</f>
        <v>4.7</v>
      </c>
      <c r="CS13" s="99"/>
      <c r="CT13" s="70">
        <f>SUM(Input_Raw[[#This Row],[P-08]:[P-13]],Input_Raw[[#This Row],[P-25]:[P-28]])</f>
        <v>14738</v>
      </c>
      <c r="CU13" s="70"/>
      <c r="CV13" s="70">
        <f>SUM(Input_Raw[[#This Row],[P-04]],Input_Raw[[#This Row],[P-14]:[P-17]],Input_Raw[[#This Row],[P-19]:[P-20]],Input_Raw[[#This Row],[P-22]:[P-23]],Input_Raw[[#This Row],[P-34]],Input_Raw[[#This Row],[P-38]],Input_Raw[[#This Row],[P-43]])</f>
        <v>24586</v>
      </c>
      <c r="CW13" s="70"/>
      <c r="CX13" s="70">
        <f>SUM(Input_Raw[[#This Row],[P-05]:[P-06]],Input_Raw[[#This Row],[P-40]:[P-42]],Input_Raw[[#This Row],[P-45]],Input_Raw[[#This Row],[P-46]],Input_Raw[[#This Row],[P-47]:[P-48]])</f>
        <v>20456</v>
      </c>
      <c r="CY13" s="70"/>
      <c r="CZ13" s="70">
        <f>SUM(Input_Raw[[#This Row],[P-01]:[P-03]],Input_Raw[[#This Row],[P-07]],Input_Raw[[#This Row],[P-18]],Input_Raw[[#This Row],[P-31]:[P-32]],Input_Raw[[#This Row],[P-37]],Input_Raw[[#This Row],[P-50]:[P-56]])</f>
        <v>37350</v>
      </c>
      <c r="DA13" s="12"/>
      <c r="DB13" s="13">
        <f>Input_Raw[[#This Row],[33 kV_Wind_F1_Export reading]]/1000</f>
        <v>14.738</v>
      </c>
      <c r="DC13" s="13"/>
      <c r="DD13" s="13">
        <f>Input_Raw[[#This Row],[33 kV_Wind_F2_Export_reading]]/1000</f>
        <v>24.585999999999999</v>
      </c>
      <c r="DE13" s="13"/>
      <c r="DF13" s="13">
        <f>Input_Raw[[#This Row],[33 kV_Wind_F3_Export_Reading]]/1000</f>
        <v>20.456</v>
      </c>
      <c r="DG13" s="13"/>
      <c r="DH13" s="13">
        <f>Input_Raw[[#This Row],[33 kV_Wind_F4_Export Reading]]/1000</f>
        <v>37.35</v>
      </c>
      <c r="DI13" s="13"/>
      <c r="DJ13" s="13">
        <f>Input_Raw[[#This Row],[33 kV_F1_Total_Export (MWh)]]+Input_Raw[[#This Row],[33 kV_F2_Total_Export (MWh)2]]+Input_Raw[[#This Row],[33 kV_Wind_F3_Export (MWh)]]+Input_Raw[[#This Row],[33 kV_Wind_F4_Export (MWh)]]</f>
        <v>97.13</v>
      </c>
      <c r="DK13" s="13">
        <f>Input_Raw[[#This Row],[33 kV_Wind_F1_Import (MWh)]]+Input_Raw[[#This Row],[33 kV_Wind_F2_Import (MWh)]]+Input_Raw[[#This Row],[33 kV_Wind_F3_Import (MWh)2]]+Input_Raw[[#This Row],[33 kV_Wind_F4_Import (MWh)2]]</f>
        <v>0</v>
      </c>
      <c r="DL13" s="100">
        <f>IFERROR(Input_Raw[[#This Row],[33 kV_Wind_Total_Export (MWh)]]/Input_Raw[[#This Row],[WTG Total Gneration (MWh)]]-1,"")</f>
        <v>0</v>
      </c>
      <c r="DM13" s="66"/>
      <c r="DN13" s="186">
        <v>42</v>
      </c>
      <c r="DO13" s="186">
        <v>0</v>
      </c>
      <c r="DP13" s="102">
        <v>89.31</v>
      </c>
      <c r="DQ13" s="66"/>
      <c r="DR13" s="181">
        <v>70.400000000000006</v>
      </c>
    </row>
    <row r="14" spans="1:122">
      <c r="A14" s="92">
        <f t="shared" si="74"/>
        <v>45754</v>
      </c>
      <c r="B14" s="10">
        <f>YEAR(Input_Raw[[#This Row],[Date]])+IF(MONTH(Input_Raw[[#This Row],[Date]])&gt;=4,1,0)</f>
        <v>2026</v>
      </c>
      <c r="C14" s="10">
        <f>YEAR(Input_Raw[[#This Row],[Date]])</f>
        <v>2025</v>
      </c>
      <c r="D14" s="11">
        <f t="shared" ref="D14:D18" si="78">A14-DAY(A14)+1</f>
        <v>45748</v>
      </c>
      <c r="E14" s="10">
        <f>DAY(EOMONTH(Input_Raw[[#This Row],[Date]],0))</f>
        <v>30</v>
      </c>
      <c r="F14" s="93">
        <v>4816</v>
      </c>
      <c r="G14" s="93">
        <v>6158</v>
      </c>
      <c r="H14" s="93">
        <v>6360</v>
      </c>
      <c r="I14" s="93">
        <v>4018</v>
      </c>
      <c r="J14" s="93">
        <v>2620</v>
      </c>
      <c r="K14" s="93">
        <v>2224</v>
      </c>
      <c r="L14" s="93">
        <v>3702</v>
      </c>
      <c r="M14" s="93">
        <v>1354</v>
      </c>
      <c r="N14" s="93">
        <v>864</v>
      </c>
      <c r="O14" s="93">
        <v>940</v>
      </c>
      <c r="P14" s="93">
        <v>1064</v>
      </c>
      <c r="Q14" s="93">
        <v>1380</v>
      </c>
      <c r="R14" s="93">
        <v>1418</v>
      </c>
      <c r="S14" s="93">
        <v>1652</v>
      </c>
      <c r="T14" s="93">
        <v>1514</v>
      </c>
      <c r="U14" s="93">
        <v>1754</v>
      </c>
      <c r="V14" s="93">
        <v>1870</v>
      </c>
      <c r="W14" s="93">
        <v>4848</v>
      </c>
      <c r="X14" s="93">
        <v>2142</v>
      </c>
      <c r="Y14" s="93">
        <v>1905</v>
      </c>
      <c r="Z14" s="93">
        <v>3932</v>
      </c>
      <c r="AA14" s="93">
        <v>4732</v>
      </c>
      <c r="AB14" s="93">
        <v>2128</v>
      </c>
      <c r="AC14" s="93">
        <v>2264</v>
      </c>
      <c r="AD14" s="93">
        <v>2656</v>
      </c>
      <c r="AE14" s="93">
        <v>2448</v>
      </c>
      <c r="AF14" s="93">
        <v>6486</v>
      </c>
      <c r="AG14" s="93">
        <v>2492</v>
      </c>
      <c r="AH14" s="93">
        <v>3980</v>
      </c>
      <c r="AI14" s="93">
        <v>3524</v>
      </c>
      <c r="AJ14" s="93">
        <v>1970</v>
      </c>
      <c r="AK14" s="93">
        <v>604</v>
      </c>
      <c r="AL14" s="93">
        <v>2424</v>
      </c>
      <c r="AM14" s="93">
        <v>3584</v>
      </c>
      <c r="AN14" s="93">
        <v>2560</v>
      </c>
      <c r="AO14" s="93">
        <v>4672</v>
      </c>
      <c r="AP14" s="93">
        <v>3496</v>
      </c>
      <c r="AQ14" s="93">
        <v>3156</v>
      </c>
      <c r="AR14" s="93">
        <v>3300</v>
      </c>
      <c r="AS14" s="93">
        <v>2890</v>
      </c>
      <c r="AT14" s="93">
        <v>4412</v>
      </c>
      <c r="AU14" s="93">
        <v>4524</v>
      </c>
      <c r="AV14" s="93">
        <v>4924</v>
      </c>
      <c r="AW14" s="93">
        <v>3876</v>
      </c>
      <c r="AX14" s="95">
        <v>4.79</v>
      </c>
      <c r="AY14" s="95">
        <v>5.37</v>
      </c>
      <c r="AZ14" s="95">
        <v>5.5</v>
      </c>
      <c r="BA14" s="95">
        <v>4.8600000000000003</v>
      </c>
      <c r="BB14" s="95">
        <v>4.04</v>
      </c>
      <c r="BC14" s="95">
        <v>4.26</v>
      </c>
      <c r="BD14" s="95">
        <v>4.8600000000000003</v>
      </c>
      <c r="BE14" s="95">
        <v>3.65</v>
      </c>
      <c r="BF14" s="95">
        <v>3.57</v>
      </c>
      <c r="BG14" s="95">
        <v>3.76</v>
      </c>
      <c r="BH14" s="95">
        <v>3.51</v>
      </c>
      <c r="BI14" s="95">
        <v>3.8</v>
      </c>
      <c r="BJ14" s="95">
        <v>3.77</v>
      </c>
      <c r="BK14" s="95">
        <v>3.82</v>
      </c>
      <c r="BL14" s="95">
        <v>3.92</v>
      </c>
      <c r="BM14" s="95">
        <v>3.88</v>
      </c>
      <c r="BN14" s="95">
        <v>4</v>
      </c>
      <c r="BO14" s="95">
        <v>5.07</v>
      </c>
      <c r="BP14" s="95">
        <v>4.0999999999999996</v>
      </c>
      <c r="BQ14" s="95">
        <v>3.75</v>
      </c>
      <c r="BR14" s="95">
        <v>4.99</v>
      </c>
      <c r="BS14" s="95">
        <v>5.12</v>
      </c>
      <c r="BT14" s="95">
        <v>3.84</v>
      </c>
      <c r="BU14" s="95">
        <v>4.43</v>
      </c>
      <c r="BV14" s="95">
        <v>4.38</v>
      </c>
      <c r="BW14" s="95">
        <v>4.32</v>
      </c>
      <c r="BX14" s="95">
        <v>5.13</v>
      </c>
      <c r="BY14" s="95">
        <v>4.03</v>
      </c>
      <c r="BZ14" s="95">
        <v>4.83</v>
      </c>
      <c r="CA14" s="95">
        <v>4.5199999999999996</v>
      </c>
      <c r="CB14" s="95">
        <v>3.62</v>
      </c>
      <c r="CC14" s="95">
        <v>3.43</v>
      </c>
      <c r="CD14" s="95">
        <v>4.5</v>
      </c>
      <c r="CE14" s="95">
        <v>4.43</v>
      </c>
      <c r="CF14" s="95">
        <v>4.07</v>
      </c>
      <c r="CG14" s="95">
        <v>5.13</v>
      </c>
      <c r="CH14" s="95">
        <v>4.88</v>
      </c>
      <c r="CI14" s="95">
        <v>4.17</v>
      </c>
      <c r="CJ14" s="95">
        <v>4.58</v>
      </c>
      <c r="CK14" s="95">
        <v>3.96</v>
      </c>
      <c r="CL14" s="95">
        <v>4.5999999999999996</v>
      </c>
      <c r="CM14" s="95">
        <v>4.9000000000000004</v>
      </c>
      <c r="CN14" s="95">
        <v>5.19</v>
      </c>
      <c r="CO14" s="95">
        <v>4.99</v>
      </c>
      <c r="CP14" s="98">
        <f>SUM(Input_Raw[[#This Row],[P-01]:[P-56]])/1000</f>
        <v>133.637</v>
      </c>
      <c r="CQ14" s="71">
        <f>IFERROR(AVERAGEIF(Input_Raw[[#This Row],[WS_P-01]:[WS_P-56]],"&lt;&gt;",Input_Raw[[#This Row],[WS_P-01]:[WS_P-56]]),"")</f>
        <v>4.3709090909090911</v>
      </c>
      <c r="CR14" s="99">
        <f>MAX(Input_Raw[[#This Row],[WS_P-01]:[WS_P-56]])</f>
        <v>5.5</v>
      </c>
      <c r="CS14" s="99"/>
      <c r="CT14" s="70">
        <f>SUM(Input_Raw[[#This Row],[P-08]:[P-13]],Input_Raw[[#This Row],[P-25]:[P-28]])</f>
        <v>16516</v>
      </c>
      <c r="CU14" s="70"/>
      <c r="CV14" s="70">
        <f>SUM(Input_Raw[[#This Row],[P-04]],Input_Raw[[#This Row],[P-14]:[P-17]],Input_Raw[[#This Row],[P-19]:[P-20]],Input_Raw[[#This Row],[P-22]:[P-23]],Input_Raw[[#This Row],[P-34]],Input_Raw[[#This Row],[P-38]],Input_Raw[[#This Row],[P-43]])</f>
        <v>32029</v>
      </c>
      <c r="CW14" s="70"/>
      <c r="CX14" s="70">
        <f>SUM(Input_Raw[[#This Row],[P-05]:[P-06]],Input_Raw[[#This Row],[P-40]:[P-42]],Input_Raw[[#This Row],[P-45]],Input_Raw[[#This Row],[P-46]],Input_Raw[[#This Row],[P-47]:[P-48]])</f>
        <v>26080</v>
      </c>
      <c r="CY14" s="70"/>
      <c r="CZ14" s="70">
        <f>SUM(Input_Raw[[#This Row],[P-01]:[P-03]],Input_Raw[[#This Row],[P-07]],Input_Raw[[#This Row],[P-18]],Input_Raw[[#This Row],[P-31]:[P-32]],Input_Raw[[#This Row],[P-37]],Input_Raw[[#This Row],[P-50]:[P-56]])</f>
        <v>59012</v>
      </c>
      <c r="DA14" s="12"/>
      <c r="DB14" s="13">
        <f>Input_Raw[[#This Row],[33 kV_Wind_F1_Export reading]]/1000</f>
        <v>16.515999999999998</v>
      </c>
      <c r="DC14" s="13"/>
      <c r="DD14" s="13">
        <f>Input_Raw[[#This Row],[33 kV_Wind_F2_Export_reading]]/1000</f>
        <v>32.029000000000003</v>
      </c>
      <c r="DE14" s="13"/>
      <c r="DF14" s="13">
        <f>Input_Raw[[#This Row],[33 kV_Wind_F3_Export_Reading]]/1000</f>
        <v>26.08</v>
      </c>
      <c r="DG14" s="13"/>
      <c r="DH14" s="13">
        <f>Input_Raw[[#This Row],[33 kV_Wind_F4_Export Reading]]/1000</f>
        <v>59.012</v>
      </c>
      <c r="DI14" s="13"/>
      <c r="DJ14" s="13">
        <f>Input_Raw[[#This Row],[33 kV_F1_Total_Export (MWh)]]+Input_Raw[[#This Row],[33 kV_F2_Total_Export (MWh)2]]+Input_Raw[[#This Row],[33 kV_Wind_F3_Export (MWh)]]+Input_Raw[[#This Row],[33 kV_Wind_F4_Export (MWh)]]</f>
        <v>133.637</v>
      </c>
      <c r="DK14" s="13">
        <f>Input_Raw[[#This Row],[33 kV_Wind_F1_Import (MWh)]]+Input_Raw[[#This Row],[33 kV_Wind_F2_Import (MWh)]]+Input_Raw[[#This Row],[33 kV_Wind_F3_Import (MWh)2]]+Input_Raw[[#This Row],[33 kV_Wind_F4_Import (MWh)2]]</f>
        <v>0</v>
      </c>
      <c r="DL14" s="100">
        <f>IFERROR(Input_Raw[[#This Row],[33 kV_Wind_Total_Export (MWh)]]/Input_Raw[[#This Row],[WTG Total Gneration (MWh)]]-1,"")</f>
        <v>0</v>
      </c>
      <c r="DM14" s="66"/>
      <c r="DN14" s="186">
        <v>88</v>
      </c>
      <c r="DO14" s="186">
        <v>753.5</v>
      </c>
      <c r="DP14" s="102">
        <v>120.74</v>
      </c>
      <c r="DQ14" s="66"/>
      <c r="DR14" s="181">
        <v>70.400000000000006</v>
      </c>
    </row>
    <row r="15" spans="1:122">
      <c r="A15" s="92">
        <f t="shared" si="74"/>
        <v>45755</v>
      </c>
      <c r="B15" s="190">
        <f>YEAR(Input_Raw[[#This Row],[Date]])+IF(MONTH(Input_Raw[[#This Row],[Date]])&gt;=4,1,0)</f>
        <v>2026</v>
      </c>
      <c r="C15" s="190">
        <f>YEAR(Input_Raw[[#This Row],[Date]])</f>
        <v>2025</v>
      </c>
      <c r="D15" s="11">
        <f t="shared" si="78"/>
        <v>45748</v>
      </c>
      <c r="E15" s="190">
        <f>DAY(EOMONTH(Input_Raw[[#This Row],[Date]],0))</f>
        <v>30</v>
      </c>
      <c r="F15" s="93">
        <v>3588</v>
      </c>
      <c r="G15" s="93">
        <v>1666</v>
      </c>
      <c r="H15" s="93">
        <v>2912</v>
      </c>
      <c r="I15" s="93">
        <v>2518</v>
      </c>
      <c r="J15" s="93">
        <v>2796</v>
      </c>
      <c r="K15" s="93">
        <v>2304</v>
      </c>
      <c r="L15" s="93">
        <v>3262</v>
      </c>
      <c r="M15" s="93">
        <v>1310</v>
      </c>
      <c r="N15" s="93">
        <v>772</v>
      </c>
      <c r="O15" s="93">
        <v>796</v>
      </c>
      <c r="P15" s="93">
        <v>884</v>
      </c>
      <c r="Q15" s="93">
        <v>1082</v>
      </c>
      <c r="R15" s="93">
        <v>1258</v>
      </c>
      <c r="S15" s="93">
        <v>1118</v>
      </c>
      <c r="T15" s="93">
        <v>1130</v>
      </c>
      <c r="U15" s="93">
        <v>1160</v>
      </c>
      <c r="V15" s="93">
        <v>1552</v>
      </c>
      <c r="W15" s="93">
        <v>3528</v>
      </c>
      <c r="X15" s="93">
        <v>1812</v>
      </c>
      <c r="Y15" s="93">
        <v>1467</v>
      </c>
      <c r="Z15" s="93">
        <v>2608</v>
      </c>
      <c r="AA15" s="93">
        <v>2816</v>
      </c>
      <c r="AB15" s="93">
        <v>1656</v>
      </c>
      <c r="AC15" s="93">
        <v>1684</v>
      </c>
      <c r="AD15" s="93">
        <v>2024</v>
      </c>
      <c r="AE15" s="93">
        <v>1904</v>
      </c>
      <c r="AF15" s="93">
        <v>2276</v>
      </c>
      <c r="AG15" s="93">
        <v>1236</v>
      </c>
      <c r="AH15" s="93">
        <v>2236</v>
      </c>
      <c r="AI15" s="93">
        <v>2142</v>
      </c>
      <c r="AJ15" s="93">
        <v>1766</v>
      </c>
      <c r="AK15" s="93">
        <v>1798</v>
      </c>
      <c r="AL15" s="93">
        <v>2904</v>
      </c>
      <c r="AM15" s="93">
        <v>3448</v>
      </c>
      <c r="AN15" s="93">
        <v>1660</v>
      </c>
      <c r="AO15" s="93">
        <v>3304</v>
      </c>
      <c r="AP15" s="93">
        <v>3252</v>
      </c>
      <c r="AQ15" s="93">
        <v>1624</v>
      </c>
      <c r="AR15" s="93">
        <v>3272</v>
      </c>
      <c r="AS15" s="93">
        <v>1198</v>
      </c>
      <c r="AT15" s="93">
        <v>1706</v>
      </c>
      <c r="AU15" s="93">
        <v>2192</v>
      </c>
      <c r="AV15" s="93">
        <v>3764</v>
      </c>
      <c r="AW15" s="93">
        <v>3380</v>
      </c>
      <c r="AX15" s="95">
        <v>4.41</v>
      </c>
      <c r="AY15" s="95">
        <v>4.43</v>
      </c>
      <c r="AZ15" s="95">
        <v>4.37</v>
      </c>
      <c r="BA15" s="95">
        <v>4.17</v>
      </c>
      <c r="BB15" s="95">
        <v>4.12</v>
      </c>
      <c r="BC15" s="95">
        <v>4.38</v>
      </c>
      <c r="BD15" s="95">
        <v>4.57</v>
      </c>
      <c r="BE15" s="95">
        <v>3.88</v>
      </c>
      <c r="BF15" s="95">
        <v>3.53</v>
      </c>
      <c r="BG15" s="95">
        <v>3.84</v>
      </c>
      <c r="BH15" s="95">
        <v>3.64</v>
      </c>
      <c r="BI15" s="95">
        <v>3.84</v>
      </c>
      <c r="BJ15" s="95">
        <v>3.87</v>
      </c>
      <c r="BK15" s="95">
        <v>3.71</v>
      </c>
      <c r="BL15" s="95">
        <v>3.73</v>
      </c>
      <c r="BM15" s="95">
        <v>3.64</v>
      </c>
      <c r="BN15" s="95">
        <v>4</v>
      </c>
      <c r="BO15" s="95">
        <v>4.45</v>
      </c>
      <c r="BP15" s="95">
        <v>4.1399999999999997</v>
      </c>
      <c r="BQ15" s="95">
        <v>3.7</v>
      </c>
      <c r="BR15" s="95">
        <v>4.47</v>
      </c>
      <c r="BS15" s="95">
        <v>4.4000000000000004</v>
      </c>
      <c r="BT15" s="95">
        <v>3.93</v>
      </c>
      <c r="BU15" s="95">
        <v>4.41</v>
      </c>
      <c r="BV15" s="95">
        <v>4.5</v>
      </c>
      <c r="BW15" s="95">
        <v>4.4800000000000004</v>
      </c>
      <c r="BX15" s="95">
        <v>3.79</v>
      </c>
      <c r="BY15" s="95">
        <v>3.21</v>
      </c>
      <c r="BZ15" s="95">
        <v>4.16</v>
      </c>
      <c r="CA15" s="95">
        <v>3.87</v>
      </c>
      <c r="CB15" s="95">
        <v>3.66</v>
      </c>
      <c r="CC15" s="95">
        <v>3.86</v>
      </c>
      <c r="CD15" s="95">
        <v>4.6399999999999997</v>
      </c>
      <c r="CE15" s="95">
        <v>4.5199999999999996</v>
      </c>
      <c r="CF15" s="95">
        <v>3.76</v>
      </c>
      <c r="CG15" s="95">
        <v>4.8600000000000003</v>
      </c>
      <c r="CH15" s="95">
        <v>4.8600000000000003</v>
      </c>
      <c r="CI15" s="95">
        <v>4.33</v>
      </c>
      <c r="CJ15" s="95">
        <v>4.6900000000000004</v>
      </c>
      <c r="CK15" s="95">
        <v>3.08</v>
      </c>
      <c r="CL15" s="95">
        <v>3.49</v>
      </c>
      <c r="CM15" s="95">
        <v>4.05</v>
      </c>
      <c r="CN15" s="95">
        <v>4.75</v>
      </c>
      <c r="CO15" s="95">
        <v>4.6900000000000004</v>
      </c>
      <c r="CP15" s="98">
        <f>SUM(Input_Raw[[#This Row],[P-01]:[P-56]])/1000</f>
        <v>92.765000000000001</v>
      </c>
      <c r="CQ15" s="71">
        <f>IFERROR(AVERAGEIF(Input_Raw[[#This Row],[WS_P-01]:[WS_P-56]],"&lt;&gt;",Input_Raw[[#This Row],[WS_P-01]:[WS_P-56]]),"")</f>
        <v>4.1109090909090931</v>
      </c>
      <c r="CR15" s="99">
        <f>MAX(Input_Raw[[#This Row],[WS_P-01]:[WS_P-56]])</f>
        <v>4.8600000000000003</v>
      </c>
      <c r="CS15" s="99"/>
      <c r="CT15" s="70">
        <f>SUM(Input_Raw[[#This Row],[P-08]:[P-13]],Input_Raw[[#This Row],[P-25]:[P-28]])</f>
        <v>13370</v>
      </c>
      <c r="CU15" s="70"/>
      <c r="CV15" s="70">
        <f>SUM(Input_Raw[[#This Row],[P-04]],Input_Raw[[#This Row],[P-14]:[P-17]],Input_Raw[[#This Row],[P-19]:[P-20]],Input_Raw[[#This Row],[P-22]:[P-23]],Input_Raw[[#This Row],[P-34]],Input_Raw[[#This Row],[P-38]],Input_Raw[[#This Row],[P-43]])</f>
        <v>21843</v>
      </c>
      <c r="CW15" s="70"/>
      <c r="CX15" s="70">
        <f>SUM(Input_Raw[[#This Row],[P-05]:[P-06]],Input_Raw[[#This Row],[P-40]:[P-42]],Input_Raw[[#This Row],[P-45]],Input_Raw[[#This Row],[P-46]],Input_Raw[[#This Row],[P-47]:[P-48]])</f>
        <v>24702</v>
      </c>
      <c r="CY15" s="70"/>
      <c r="CZ15" s="70">
        <f>SUM(Input_Raw[[#This Row],[P-01]:[P-03]],Input_Raw[[#This Row],[P-07]],Input_Raw[[#This Row],[P-18]],Input_Raw[[#This Row],[P-31]:[P-32]],Input_Raw[[#This Row],[P-37]],Input_Raw[[#This Row],[P-50]:[P-56]])</f>
        <v>32850</v>
      </c>
      <c r="DA15" s="12"/>
      <c r="DB15" s="13">
        <f>Input_Raw[[#This Row],[33 kV_Wind_F1_Export reading]]/1000</f>
        <v>13.37</v>
      </c>
      <c r="DC15" s="13"/>
      <c r="DD15" s="13">
        <f>Input_Raw[[#This Row],[33 kV_Wind_F2_Export_reading]]/1000</f>
        <v>21.843</v>
      </c>
      <c r="DE15" s="13"/>
      <c r="DF15" s="13">
        <f>Input_Raw[[#This Row],[33 kV_Wind_F3_Export_Reading]]/1000</f>
        <v>24.702000000000002</v>
      </c>
      <c r="DG15" s="13"/>
      <c r="DH15" s="13">
        <f>Input_Raw[[#This Row],[33 kV_Wind_F4_Export Reading]]/1000</f>
        <v>32.85</v>
      </c>
      <c r="DI15" s="13"/>
      <c r="DJ15" s="13">
        <f>Input_Raw[[#This Row],[33 kV_F1_Total_Export (MWh)]]+Input_Raw[[#This Row],[33 kV_F2_Total_Export (MWh)2]]+Input_Raw[[#This Row],[33 kV_Wind_F3_Export (MWh)]]+Input_Raw[[#This Row],[33 kV_Wind_F4_Export (MWh)]]</f>
        <v>92.765000000000015</v>
      </c>
      <c r="DK15" s="13">
        <f>Input_Raw[[#This Row],[33 kV_Wind_F1_Import (MWh)]]+Input_Raw[[#This Row],[33 kV_Wind_F2_Import (MWh)]]+Input_Raw[[#This Row],[33 kV_Wind_F3_Import (MWh)2]]+Input_Raw[[#This Row],[33 kV_Wind_F4_Import (MWh)2]]</f>
        <v>0</v>
      </c>
      <c r="DL15" s="100">
        <f>IFERROR(Input_Raw[[#This Row],[33 kV_Wind_Total_Export (MWh)]]/Input_Raw[[#This Row],[WTG Total Gneration (MWh)]]-1,"")</f>
        <v>2.2204460492503131E-16</v>
      </c>
      <c r="DM15" s="66"/>
      <c r="DN15" s="186">
        <v>57</v>
      </c>
      <c r="DO15" s="186">
        <v>0</v>
      </c>
      <c r="DP15" s="102">
        <v>98.25</v>
      </c>
      <c r="DQ15" s="66"/>
      <c r="DR15" s="181">
        <v>70.400000000000006</v>
      </c>
    </row>
    <row r="16" spans="1:122">
      <c r="A16" s="92">
        <f t="shared" si="74"/>
        <v>45756</v>
      </c>
      <c r="B16" s="190">
        <f>YEAR(Input_Raw[[#This Row],[Date]])+IF(MONTH(Input_Raw[[#This Row],[Date]])&gt;=4,1,0)</f>
        <v>2026</v>
      </c>
      <c r="C16" s="190">
        <f>YEAR(Input_Raw[[#This Row],[Date]])</f>
        <v>2025</v>
      </c>
      <c r="D16" s="11">
        <f t="shared" si="78"/>
        <v>45748</v>
      </c>
      <c r="E16" s="190">
        <f>DAY(EOMONTH(Input_Raw[[#This Row],[Date]],0))</f>
        <v>30</v>
      </c>
      <c r="F16" s="93">
        <v>5684</v>
      </c>
      <c r="G16" s="93">
        <v>5040</v>
      </c>
      <c r="H16" s="93">
        <v>3864</v>
      </c>
      <c r="I16" s="93">
        <v>4080</v>
      </c>
      <c r="J16" s="93">
        <v>3472</v>
      </c>
      <c r="K16" s="93">
        <v>3760</v>
      </c>
      <c r="L16" s="93">
        <v>5310</v>
      </c>
      <c r="M16" s="93">
        <v>2120</v>
      </c>
      <c r="N16" s="93">
        <v>1412</v>
      </c>
      <c r="O16" s="93">
        <v>1598</v>
      </c>
      <c r="P16" s="93">
        <v>1914</v>
      </c>
      <c r="Q16" s="93">
        <v>2114</v>
      </c>
      <c r="R16" s="93">
        <v>2158</v>
      </c>
      <c r="S16" s="93">
        <v>2354</v>
      </c>
      <c r="T16" s="93">
        <v>2188</v>
      </c>
      <c r="U16" s="93">
        <v>2644</v>
      </c>
      <c r="V16" s="93">
        <v>2842</v>
      </c>
      <c r="W16" s="93">
        <v>3504</v>
      </c>
      <c r="X16" s="93">
        <v>2940</v>
      </c>
      <c r="Y16" s="93">
        <v>2546</v>
      </c>
      <c r="Z16" s="93">
        <v>3968</v>
      </c>
      <c r="AA16" s="93">
        <v>3264</v>
      </c>
      <c r="AB16" s="93">
        <v>2184</v>
      </c>
      <c r="AC16" s="93">
        <v>2680</v>
      </c>
      <c r="AD16" s="93">
        <v>2864</v>
      </c>
      <c r="AE16" s="93">
        <v>2632</v>
      </c>
      <c r="AF16" s="93">
        <v>3202</v>
      </c>
      <c r="AG16" s="93">
        <v>1676</v>
      </c>
      <c r="AH16" s="93">
        <v>4083.9999999999995</v>
      </c>
      <c r="AI16" s="93">
        <v>2292</v>
      </c>
      <c r="AJ16" s="93">
        <v>2702</v>
      </c>
      <c r="AK16" s="93">
        <v>2586</v>
      </c>
      <c r="AL16" s="93">
        <v>3384</v>
      </c>
      <c r="AM16" s="93">
        <v>3928</v>
      </c>
      <c r="AN16" s="93">
        <v>2786</v>
      </c>
      <c r="AO16" s="93">
        <v>4772</v>
      </c>
      <c r="AP16" s="93">
        <v>4544</v>
      </c>
      <c r="AQ16" s="93">
        <v>3144</v>
      </c>
      <c r="AR16" s="93">
        <v>3176</v>
      </c>
      <c r="AS16" s="93">
        <v>2280</v>
      </c>
      <c r="AT16" s="93">
        <v>2364</v>
      </c>
      <c r="AU16" s="93">
        <v>2540</v>
      </c>
      <c r="AV16" s="93">
        <v>5452</v>
      </c>
      <c r="AW16" s="93">
        <v>5684</v>
      </c>
      <c r="AX16" s="95">
        <v>4.83</v>
      </c>
      <c r="AY16" s="95">
        <v>4.93</v>
      </c>
      <c r="AZ16" s="95">
        <v>4.4400000000000004</v>
      </c>
      <c r="BA16" s="95">
        <v>4.78</v>
      </c>
      <c r="BB16" s="95">
        <v>4.13</v>
      </c>
      <c r="BC16" s="95">
        <v>4.67</v>
      </c>
      <c r="BD16" s="95">
        <v>5.0199999999999996</v>
      </c>
      <c r="BE16" s="95">
        <v>3.85</v>
      </c>
      <c r="BF16" s="95">
        <v>3.49</v>
      </c>
      <c r="BG16" s="95">
        <v>3.89</v>
      </c>
      <c r="BH16" s="95">
        <v>3.75</v>
      </c>
      <c r="BI16" s="95">
        <v>3.96</v>
      </c>
      <c r="BJ16" s="95">
        <v>3.95</v>
      </c>
      <c r="BK16" s="95">
        <v>3.9</v>
      </c>
      <c r="BL16" s="95">
        <v>3.96</v>
      </c>
      <c r="BM16" s="95">
        <v>4.05</v>
      </c>
      <c r="BN16" s="95">
        <v>4.1900000000000004</v>
      </c>
      <c r="BO16" s="95">
        <v>4.51</v>
      </c>
      <c r="BP16" s="95">
        <v>4.25</v>
      </c>
      <c r="BQ16" s="95">
        <v>3.91</v>
      </c>
      <c r="BR16" s="95">
        <v>4.9000000000000004</v>
      </c>
      <c r="BS16" s="95">
        <v>4.3600000000000003</v>
      </c>
      <c r="BT16" s="95">
        <v>3.73</v>
      </c>
      <c r="BU16" s="95">
        <v>4.49</v>
      </c>
      <c r="BV16" s="95">
        <v>4.42</v>
      </c>
      <c r="BW16" s="95">
        <v>4.3099999999999996</v>
      </c>
      <c r="BX16" s="95">
        <v>3.9</v>
      </c>
      <c r="BY16" s="95">
        <v>3.33</v>
      </c>
      <c r="BZ16" s="95">
        <v>4.8099999999999996</v>
      </c>
      <c r="CA16" s="95">
        <v>3.77</v>
      </c>
      <c r="CB16" s="95">
        <v>3.73</v>
      </c>
      <c r="CC16" s="95">
        <v>3.98</v>
      </c>
      <c r="CD16" s="95">
        <v>4.6500000000000004</v>
      </c>
      <c r="CE16" s="95">
        <v>4.5199999999999996</v>
      </c>
      <c r="CF16" s="95">
        <v>4.08</v>
      </c>
      <c r="CG16" s="95">
        <v>5.16</v>
      </c>
      <c r="CH16" s="95">
        <v>5.21</v>
      </c>
      <c r="CI16" s="95">
        <v>4.22</v>
      </c>
      <c r="CJ16" s="95">
        <v>5.39</v>
      </c>
      <c r="CK16" s="95">
        <v>3.6</v>
      </c>
      <c r="CL16" s="95">
        <v>3.69</v>
      </c>
      <c r="CM16" s="95">
        <v>3.96</v>
      </c>
      <c r="CN16" s="95">
        <v>5.09</v>
      </c>
      <c r="CO16" s="95">
        <v>5.26</v>
      </c>
      <c r="CP16" s="98">
        <f>SUM(Input_Raw[[#This Row],[P-01]:[P-56]])/1000</f>
        <v>139.732</v>
      </c>
      <c r="CQ16" s="71">
        <f>IFERROR(AVERAGEIF(Input_Raw[[#This Row],[WS_P-01]:[WS_P-56]],"&lt;&gt;",Input_Raw[[#This Row],[WS_P-01]:[WS_P-56]]),"")</f>
        <v>4.2959090909090909</v>
      </c>
      <c r="CR16" s="99">
        <f>MAX(Input_Raw[[#This Row],[WS_P-01]:[WS_P-56]])</f>
        <v>5.39</v>
      </c>
      <c r="CS16" s="99"/>
      <c r="CT16" s="70">
        <f>SUM(Input_Raw[[#This Row],[P-08]:[P-13]],Input_Raw[[#This Row],[P-25]:[P-28]])</f>
        <v>21676</v>
      </c>
      <c r="CU16" s="70"/>
      <c r="CV16" s="70">
        <f>SUM(Input_Raw[[#This Row],[P-04]],Input_Raw[[#This Row],[P-14]:[P-17]],Input_Raw[[#This Row],[P-19]:[P-20]],Input_Raw[[#This Row],[P-22]:[P-23]],Input_Raw[[#This Row],[P-34]],Input_Raw[[#This Row],[P-38]],Input_Raw[[#This Row],[P-43]])</f>
        <v>36398</v>
      </c>
      <c r="CW16" s="70"/>
      <c r="CX16" s="70">
        <f>SUM(Input_Raw[[#This Row],[P-05]:[P-06]],Input_Raw[[#This Row],[P-40]:[P-42]],Input_Raw[[#This Row],[P-45]],Input_Raw[[#This Row],[P-46]],Input_Raw[[#This Row],[P-47]:[P-48]])</f>
        <v>32766</v>
      </c>
      <c r="CY16" s="70"/>
      <c r="CZ16" s="70">
        <f>SUM(Input_Raw[[#This Row],[P-01]:[P-03]],Input_Raw[[#This Row],[P-07]],Input_Raw[[#This Row],[P-18]],Input_Raw[[#This Row],[P-31]:[P-32]],Input_Raw[[#This Row],[P-37]],Input_Raw[[#This Row],[P-50]:[P-56]])</f>
        <v>48892</v>
      </c>
      <c r="DA16" s="12"/>
      <c r="DB16" s="13">
        <f>Input_Raw[[#This Row],[33 kV_Wind_F1_Export reading]]/1000</f>
        <v>21.675999999999998</v>
      </c>
      <c r="DC16" s="13"/>
      <c r="DD16" s="13">
        <f>Input_Raw[[#This Row],[33 kV_Wind_F2_Export_reading]]/1000</f>
        <v>36.398000000000003</v>
      </c>
      <c r="DE16" s="13"/>
      <c r="DF16" s="13">
        <f>Input_Raw[[#This Row],[33 kV_Wind_F3_Export_Reading]]/1000</f>
        <v>32.765999999999998</v>
      </c>
      <c r="DG16" s="13"/>
      <c r="DH16" s="13">
        <f>Input_Raw[[#This Row],[33 kV_Wind_F4_Export Reading]]/1000</f>
        <v>48.892000000000003</v>
      </c>
      <c r="DI16" s="13"/>
      <c r="DJ16" s="13">
        <f>Input_Raw[[#This Row],[33 kV_F1_Total_Export (MWh)]]+Input_Raw[[#This Row],[33 kV_F2_Total_Export (MWh)2]]+Input_Raw[[#This Row],[33 kV_Wind_F3_Export (MWh)]]+Input_Raw[[#This Row],[33 kV_Wind_F4_Export (MWh)]]</f>
        <v>139.732</v>
      </c>
      <c r="DK16" s="13">
        <f>Input_Raw[[#This Row],[33 kV_Wind_F1_Import (MWh)]]+Input_Raw[[#This Row],[33 kV_Wind_F2_Import (MWh)]]+Input_Raw[[#This Row],[33 kV_Wind_F3_Import (MWh)2]]+Input_Raw[[#This Row],[33 kV_Wind_F4_Import (MWh)2]]</f>
        <v>0</v>
      </c>
      <c r="DL16" s="100">
        <f>IFERROR(Input_Raw[[#This Row],[33 kV_Wind_Total_Export (MWh)]]/Input_Raw[[#This Row],[WTG Total Gneration (MWh)]]-1,"")</f>
        <v>0</v>
      </c>
      <c r="DM16" s="66"/>
      <c r="DN16" s="186">
        <v>57</v>
      </c>
      <c r="DO16" s="186">
        <v>786.88</v>
      </c>
      <c r="DP16" s="102">
        <v>137.01</v>
      </c>
      <c r="DQ16" s="66"/>
      <c r="DR16" s="181">
        <v>70.400000000000006</v>
      </c>
    </row>
    <row r="17" spans="1:122">
      <c r="A17" s="92">
        <f t="shared" si="74"/>
        <v>45757</v>
      </c>
      <c r="B17" s="190">
        <f>YEAR(Input_Raw[[#This Row],[Date]])+IF(MONTH(Input_Raw[[#This Row],[Date]])&gt;=4,1,0)</f>
        <v>2026</v>
      </c>
      <c r="C17" s="190">
        <f>YEAR(Input_Raw[[#This Row],[Date]])</f>
        <v>2025</v>
      </c>
      <c r="D17" s="11">
        <f t="shared" si="78"/>
        <v>45748</v>
      </c>
      <c r="E17" s="190">
        <f>DAY(EOMONTH(Input_Raw[[#This Row],[Date]],0))</f>
        <v>30</v>
      </c>
      <c r="F17" s="93">
        <v>10424</v>
      </c>
      <c r="G17" s="93">
        <v>12190</v>
      </c>
      <c r="H17" s="93">
        <v>6296</v>
      </c>
      <c r="I17" s="93">
        <v>7670</v>
      </c>
      <c r="J17" s="93">
        <v>7064</v>
      </c>
      <c r="K17" s="93">
        <v>7756</v>
      </c>
      <c r="L17" s="93">
        <v>11548</v>
      </c>
      <c r="M17" s="93">
        <v>3632</v>
      </c>
      <c r="N17" s="93">
        <v>2029.9999999999998</v>
      </c>
      <c r="O17" s="93">
        <v>2106</v>
      </c>
      <c r="P17" s="93">
        <v>2814</v>
      </c>
      <c r="Q17" s="93">
        <v>3628</v>
      </c>
      <c r="R17" s="93">
        <v>4604</v>
      </c>
      <c r="S17" s="93">
        <v>4408</v>
      </c>
      <c r="T17" s="93">
        <v>4292</v>
      </c>
      <c r="U17" s="93">
        <v>4496</v>
      </c>
      <c r="V17" s="93">
        <v>4924</v>
      </c>
      <c r="W17" s="93">
        <v>9236</v>
      </c>
      <c r="X17" s="93">
        <v>5034</v>
      </c>
      <c r="Y17" s="93">
        <v>4201</v>
      </c>
      <c r="Z17" s="93">
        <v>6720</v>
      </c>
      <c r="AA17" s="93">
        <v>5204</v>
      </c>
      <c r="AB17" s="93">
        <v>3724</v>
      </c>
      <c r="AC17" s="93">
        <v>4296</v>
      </c>
      <c r="AD17" s="93">
        <v>4368</v>
      </c>
      <c r="AE17" s="93">
        <v>4048</v>
      </c>
      <c r="AF17" s="93">
        <v>4240</v>
      </c>
      <c r="AG17" s="93">
        <v>3476</v>
      </c>
      <c r="AH17" s="93">
        <v>7492</v>
      </c>
      <c r="AI17" s="93">
        <v>4094.0000000000005</v>
      </c>
      <c r="AJ17" s="93">
        <v>4744</v>
      </c>
      <c r="AK17" s="93">
        <v>4258</v>
      </c>
      <c r="AL17" s="93">
        <v>6916</v>
      </c>
      <c r="AM17" s="93">
        <v>8448</v>
      </c>
      <c r="AN17" s="93">
        <v>3622</v>
      </c>
      <c r="AO17" s="93">
        <v>9128</v>
      </c>
      <c r="AP17" s="93">
        <v>9048</v>
      </c>
      <c r="AQ17" s="93">
        <v>6536</v>
      </c>
      <c r="AR17" s="93">
        <v>8824</v>
      </c>
      <c r="AS17" s="93">
        <v>4904</v>
      </c>
      <c r="AT17" s="93">
        <v>2812</v>
      </c>
      <c r="AU17" s="93">
        <v>3112</v>
      </c>
      <c r="AV17" s="93">
        <v>10932</v>
      </c>
      <c r="AW17" s="93">
        <v>12068</v>
      </c>
      <c r="AX17" s="95">
        <v>6.35</v>
      </c>
      <c r="AY17" s="95">
        <v>6.56</v>
      </c>
      <c r="AZ17" s="95">
        <v>5.27</v>
      </c>
      <c r="BA17" s="95">
        <v>5.94</v>
      </c>
      <c r="BB17" s="95">
        <v>5.41</v>
      </c>
      <c r="BC17" s="95">
        <v>6.01</v>
      </c>
      <c r="BD17" s="95">
        <v>6.63</v>
      </c>
      <c r="BE17" s="95">
        <v>4.67</v>
      </c>
      <c r="BF17" s="95">
        <v>4.1100000000000003</v>
      </c>
      <c r="BG17" s="95">
        <v>4.51</v>
      </c>
      <c r="BH17" s="95">
        <v>4.41</v>
      </c>
      <c r="BI17" s="95">
        <v>4.8</v>
      </c>
      <c r="BJ17" s="95">
        <v>5.12</v>
      </c>
      <c r="BK17" s="95">
        <v>5.0599999999999996</v>
      </c>
      <c r="BL17" s="95">
        <v>5.16</v>
      </c>
      <c r="BM17" s="95">
        <v>5.16</v>
      </c>
      <c r="BN17" s="95">
        <v>5.07</v>
      </c>
      <c r="BO17" s="95">
        <v>5.98</v>
      </c>
      <c r="BP17" s="95">
        <v>5.27</v>
      </c>
      <c r="BQ17" s="95">
        <v>4.78</v>
      </c>
      <c r="BR17" s="95">
        <v>5.77</v>
      </c>
      <c r="BS17" s="95">
        <v>5.0599999999999996</v>
      </c>
      <c r="BT17" s="95">
        <v>4.41</v>
      </c>
      <c r="BU17" s="95">
        <v>5.1100000000000003</v>
      </c>
      <c r="BV17" s="95">
        <v>5.05</v>
      </c>
      <c r="BW17" s="95">
        <v>4.95</v>
      </c>
      <c r="BX17" s="95">
        <v>4.4000000000000004</v>
      </c>
      <c r="BY17" s="95">
        <v>4.63</v>
      </c>
      <c r="BZ17" s="95">
        <v>5.88</v>
      </c>
      <c r="CA17" s="95">
        <v>4.84</v>
      </c>
      <c r="CB17" s="95">
        <v>4.72</v>
      </c>
      <c r="CC17" s="95">
        <v>5.0199999999999996</v>
      </c>
      <c r="CD17" s="95">
        <v>5.88</v>
      </c>
      <c r="CE17" s="95">
        <v>5.85</v>
      </c>
      <c r="CF17" s="95">
        <v>4.42</v>
      </c>
      <c r="CG17" s="95">
        <v>6.56</v>
      </c>
      <c r="CH17" s="95">
        <v>6.41</v>
      </c>
      <c r="CI17" s="95">
        <v>5.24</v>
      </c>
      <c r="CJ17" s="95">
        <v>6.21</v>
      </c>
      <c r="CK17" s="95">
        <v>5.0999999999999996</v>
      </c>
      <c r="CL17" s="95">
        <v>5.67</v>
      </c>
      <c r="CM17" s="95">
        <v>5.9</v>
      </c>
      <c r="CN17" s="95">
        <v>6.79</v>
      </c>
      <c r="CO17" s="95">
        <v>6.9</v>
      </c>
      <c r="CP17" s="98">
        <f>SUM(Input_Raw[[#This Row],[P-01]:[P-56]])/1000</f>
        <v>261.36700000000002</v>
      </c>
      <c r="CQ17" s="71">
        <f>IFERROR(AVERAGEIF(Input_Raw[[#This Row],[WS_P-01]:[WS_P-56]],"&lt;&gt;",Input_Raw[[#This Row],[WS_P-01]:[WS_P-56]]),"")</f>
        <v>5.3872727272727268</v>
      </c>
      <c r="CR17" s="99">
        <f>MAX(Input_Raw[[#This Row],[WS_P-01]:[WS_P-56]])</f>
        <v>6.9</v>
      </c>
      <c r="CS17" s="99"/>
      <c r="CT17" s="70">
        <f>SUM(Input_Raw[[#This Row],[P-08]:[P-13]],Input_Raw[[#This Row],[P-25]:[P-28]])</f>
        <v>35250</v>
      </c>
      <c r="CU17" s="70"/>
      <c r="CV17" s="70">
        <f>SUM(Input_Raw[[#This Row],[P-04]],Input_Raw[[#This Row],[P-14]:[P-17]],Input_Raw[[#This Row],[P-19]:[P-20]],Input_Raw[[#This Row],[P-22]:[P-23]],Input_Raw[[#This Row],[P-34]],Input_Raw[[#This Row],[P-38]],Input_Raw[[#This Row],[P-43]])</f>
        <v>62807</v>
      </c>
      <c r="CW17" s="70"/>
      <c r="CX17" s="70">
        <f>SUM(Input_Raw[[#This Row],[P-05]:[P-06]],Input_Raw[[#This Row],[P-40]:[P-42]],Input_Raw[[#This Row],[P-45]],Input_Raw[[#This Row],[P-46]],Input_Raw[[#This Row],[P-47]:[P-48]])</f>
        <v>67978</v>
      </c>
      <c r="CY17" s="70"/>
      <c r="CZ17" s="70">
        <f>SUM(Input_Raw[[#This Row],[P-01]:[P-03]],Input_Raw[[#This Row],[P-07]],Input_Raw[[#This Row],[P-18]],Input_Raw[[#This Row],[P-31]:[P-32]],Input_Raw[[#This Row],[P-37]],Input_Raw[[#This Row],[P-50]:[P-56]])</f>
        <v>95332</v>
      </c>
      <c r="DA17" s="12"/>
      <c r="DB17" s="13">
        <f>Input_Raw[[#This Row],[33 kV_Wind_F1_Export reading]]/1000</f>
        <v>35.25</v>
      </c>
      <c r="DC17" s="13"/>
      <c r="DD17" s="13">
        <f>Input_Raw[[#This Row],[33 kV_Wind_F2_Export_reading]]/1000</f>
        <v>62.807000000000002</v>
      </c>
      <c r="DE17" s="13"/>
      <c r="DF17" s="13">
        <f>Input_Raw[[#This Row],[33 kV_Wind_F3_Export_Reading]]/1000</f>
        <v>67.977999999999994</v>
      </c>
      <c r="DG17" s="13"/>
      <c r="DH17" s="13">
        <f>Input_Raw[[#This Row],[33 kV_Wind_F4_Export Reading]]/1000</f>
        <v>95.331999999999994</v>
      </c>
      <c r="DI17" s="13"/>
      <c r="DJ17" s="13">
        <f>Input_Raw[[#This Row],[33 kV_F1_Total_Export (MWh)]]+Input_Raw[[#This Row],[33 kV_F2_Total_Export (MWh)2]]+Input_Raw[[#This Row],[33 kV_Wind_F3_Export (MWh)]]+Input_Raw[[#This Row],[33 kV_Wind_F4_Export (MWh)]]</f>
        <v>261.36699999999996</v>
      </c>
      <c r="DK17" s="13">
        <f>Input_Raw[[#This Row],[33 kV_Wind_F1_Import (MWh)]]+Input_Raw[[#This Row],[33 kV_Wind_F2_Import (MWh)]]+Input_Raw[[#This Row],[33 kV_Wind_F3_Import (MWh)2]]+Input_Raw[[#This Row],[33 kV_Wind_F4_Import (MWh)2]]</f>
        <v>0</v>
      </c>
      <c r="DL17" s="100">
        <f>IFERROR(Input_Raw[[#This Row],[33 kV_Wind_Total_Export (MWh)]]/Input_Raw[[#This Row],[WTG Total Gneration (MWh)]]-1,"")</f>
        <v>-2.2204460492503131E-16</v>
      </c>
      <c r="DM17" s="66"/>
      <c r="DN17" s="186">
        <v>96</v>
      </c>
      <c r="DO17" s="186">
        <v>559</v>
      </c>
      <c r="DP17" s="102">
        <v>246.08</v>
      </c>
      <c r="DQ17" s="66"/>
      <c r="DR17" s="181">
        <v>70.400000000000006</v>
      </c>
    </row>
    <row r="18" spans="1:122">
      <c r="A18" s="92">
        <f t="shared" si="74"/>
        <v>45758</v>
      </c>
      <c r="B18" s="190">
        <f>YEAR(Input_Raw[[#This Row],[Date]])+IF(MONTH(Input_Raw[[#This Row],[Date]])&gt;=4,1,0)</f>
        <v>2026</v>
      </c>
      <c r="C18" s="190">
        <f>YEAR(Input_Raw[[#This Row],[Date]])</f>
        <v>2025</v>
      </c>
      <c r="D18" s="11">
        <f t="shared" si="78"/>
        <v>45748</v>
      </c>
      <c r="E18" s="190">
        <f>DAY(EOMONTH(Input_Raw[[#This Row],[Date]],0))</f>
        <v>30</v>
      </c>
      <c r="F18" s="93">
        <v>8048</v>
      </c>
      <c r="G18" s="93">
        <v>6866</v>
      </c>
      <c r="H18" s="93">
        <v>6204</v>
      </c>
      <c r="I18" s="93">
        <v>6172</v>
      </c>
      <c r="J18" s="93">
        <v>8244</v>
      </c>
      <c r="K18" s="93">
        <v>6180</v>
      </c>
      <c r="L18" s="93">
        <v>4388</v>
      </c>
      <c r="M18" s="93">
        <v>3544</v>
      </c>
      <c r="N18" s="93">
        <v>2542</v>
      </c>
      <c r="O18" s="93">
        <v>3226</v>
      </c>
      <c r="P18" s="93">
        <v>3752</v>
      </c>
      <c r="Q18" s="93">
        <v>4476</v>
      </c>
      <c r="R18" s="93">
        <v>4496</v>
      </c>
      <c r="S18" s="93">
        <v>4530</v>
      </c>
      <c r="T18" s="93">
        <v>4392</v>
      </c>
      <c r="U18" s="93">
        <v>5048</v>
      </c>
      <c r="V18" s="93">
        <v>5862</v>
      </c>
      <c r="W18" s="93">
        <v>7580</v>
      </c>
      <c r="X18" s="93">
        <v>5384</v>
      </c>
      <c r="Y18" s="93">
        <v>4687</v>
      </c>
      <c r="Z18" s="93">
        <v>6188</v>
      </c>
      <c r="AA18" s="93">
        <v>6220</v>
      </c>
      <c r="AB18" s="93">
        <v>4844</v>
      </c>
      <c r="AC18" s="93">
        <v>5336</v>
      </c>
      <c r="AD18" s="93">
        <v>5680</v>
      </c>
      <c r="AE18" s="93">
        <v>5264</v>
      </c>
      <c r="AF18" s="93">
        <v>4884</v>
      </c>
      <c r="AG18" s="93">
        <v>482</v>
      </c>
      <c r="AH18" s="93">
        <v>5216</v>
      </c>
      <c r="AI18" s="93">
        <v>820</v>
      </c>
      <c r="AJ18" s="93">
        <v>6316</v>
      </c>
      <c r="AK18" s="93">
        <v>4034</v>
      </c>
      <c r="AL18" s="93">
        <v>7780</v>
      </c>
      <c r="AM18" s="93">
        <v>8520</v>
      </c>
      <c r="AN18" s="93">
        <v>4568</v>
      </c>
      <c r="AO18" s="93">
        <v>7112</v>
      </c>
      <c r="AP18" s="93">
        <v>7456</v>
      </c>
      <c r="AQ18" s="93">
        <v>6608</v>
      </c>
      <c r="AR18" s="93">
        <v>7756</v>
      </c>
      <c r="AS18" s="93">
        <v>2994</v>
      </c>
      <c r="AT18" s="93">
        <v>3082</v>
      </c>
      <c r="AU18" s="93">
        <v>3576</v>
      </c>
      <c r="AV18" s="93">
        <v>6392</v>
      </c>
      <c r="AW18" s="93">
        <v>7284</v>
      </c>
      <c r="AX18" s="95">
        <v>5.51</v>
      </c>
      <c r="AY18" s="95">
        <v>5.34</v>
      </c>
      <c r="AZ18" s="95">
        <v>5.21</v>
      </c>
      <c r="BA18" s="95">
        <v>5.4</v>
      </c>
      <c r="BB18" s="95">
        <v>5.59</v>
      </c>
      <c r="BC18" s="95">
        <v>5.55</v>
      </c>
      <c r="BD18" s="95">
        <v>5.36</v>
      </c>
      <c r="BE18" s="95">
        <v>4.6900000000000004</v>
      </c>
      <c r="BF18" s="95">
        <v>4.41</v>
      </c>
      <c r="BG18" s="95">
        <v>4.92</v>
      </c>
      <c r="BH18" s="95">
        <v>4.84</v>
      </c>
      <c r="BI18" s="95">
        <v>4.96</v>
      </c>
      <c r="BJ18" s="95">
        <v>5.01</v>
      </c>
      <c r="BK18" s="95">
        <v>5.03</v>
      </c>
      <c r="BL18" s="95">
        <v>5.1100000000000003</v>
      </c>
      <c r="BM18" s="95">
        <v>5.25</v>
      </c>
      <c r="BN18" s="95">
        <v>5.29</v>
      </c>
      <c r="BO18" s="95">
        <v>5.57</v>
      </c>
      <c r="BP18" s="95">
        <v>5.2</v>
      </c>
      <c r="BQ18" s="95">
        <v>4.8</v>
      </c>
      <c r="BR18" s="95">
        <v>5.51</v>
      </c>
      <c r="BS18" s="95">
        <v>5.26</v>
      </c>
      <c r="BT18" s="95">
        <v>4.7699999999999996</v>
      </c>
      <c r="BU18" s="95">
        <v>5.29</v>
      </c>
      <c r="BV18" s="95">
        <v>5.29</v>
      </c>
      <c r="BW18" s="95">
        <v>5.18</v>
      </c>
      <c r="BX18" s="95">
        <v>4.43</v>
      </c>
      <c r="BY18" s="95">
        <v>3.14</v>
      </c>
      <c r="BZ18" s="95">
        <v>5.21</v>
      </c>
      <c r="CA18" s="95">
        <v>3.73</v>
      </c>
      <c r="CB18" s="95">
        <v>5.14</v>
      </c>
      <c r="CC18" s="95">
        <v>4.93</v>
      </c>
      <c r="CD18" s="95">
        <v>6.01</v>
      </c>
      <c r="CE18" s="95">
        <v>5.7</v>
      </c>
      <c r="CF18" s="95">
        <v>4.66</v>
      </c>
      <c r="CG18" s="95">
        <v>6</v>
      </c>
      <c r="CH18" s="95">
        <v>6.04</v>
      </c>
      <c r="CI18" s="95">
        <v>5.17</v>
      </c>
      <c r="CJ18" s="95">
        <v>5.83</v>
      </c>
      <c r="CK18" s="95">
        <v>4.21</v>
      </c>
      <c r="CL18" s="95">
        <v>4.34</v>
      </c>
      <c r="CM18" s="95">
        <v>4.72</v>
      </c>
      <c r="CN18" s="95">
        <v>5.67</v>
      </c>
      <c r="CO18" s="95">
        <v>5.83</v>
      </c>
      <c r="CP18" s="98">
        <f>SUM(Input_Raw[[#This Row],[P-01]:[P-56]])/1000</f>
        <v>234.03299999999999</v>
      </c>
      <c r="CQ18" s="71">
        <f>IFERROR(AVERAGEIF(Input_Raw[[#This Row],[WS_P-01]:[WS_P-56]],"&lt;&gt;",Input_Raw[[#This Row],[WS_P-01]:[WS_P-56]]),"")</f>
        <v>5.1159090909090912</v>
      </c>
      <c r="CR18" s="99">
        <f>MAX(Input_Raw[[#This Row],[WS_P-01]:[WS_P-56]])</f>
        <v>6.04</v>
      </c>
      <c r="CS18" s="99"/>
      <c r="CT18" s="70">
        <f>SUM(Input_Raw[[#This Row],[P-08]:[P-13]],Input_Raw[[#This Row],[P-25]:[P-28]])</f>
        <v>43160</v>
      </c>
      <c r="CU18" s="70"/>
      <c r="CV18" s="70">
        <f>SUM(Input_Raw[[#This Row],[P-04]],Input_Raw[[#This Row],[P-14]:[P-17]],Input_Raw[[#This Row],[P-19]:[P-20]],Input_Raw[[#This Row],[P-22]:[P-23]],Input_Raw[[#This Row],[P-34]],Input_Raw[[#This Row],[P-38]],Input_Raw[[#This Row],[P-43]])</f>
        <v>64583</v>
      </c>
      <c r="CW18" s="70"/>
      <c r="CX18" s="70">
        <f>SUM(Input_Raw[[#This Row],[P-05]:[P-06]],Input_Raw[[#This Row],[P-40]:[P-42]],Input_Raw[[#This Row],[P-45]],Input_Raw[[#This Row],[P-46]],Input_Raw[[#This Row],[P-47]:[P-48]])</f>
        <v>63690</v>
      </c>
      <c r="CY18" s="70"/>
      <c r="CZ18" s="70">
        <f>SUM(Input_Raw[[#This Row],[P-01]:[P-03]],Input_Raw[[#This Row],[P-07]],Input_Raw[[#This Row],[P-18]],Input_Raw[[#This Row],[P-31]:[P-32]],Input_Raw[[#This Row],[P-37]],Input_Raw[[#This Row],[P-50]:[P-56]])</f>
        <v>62600</v>
      </c>
      <c r="DA18" s="12"/>
      <c r="DB18" s="13">
        <f>Input_Raw[[#This Row],[33 kV_Wind_F1_Export reading]]/1000</f>
        <v>43.16</v>
      </c>
      <c r="DC18" s="13"/>
      <c r="DD18" s="13">
        <f>Input_Raw[[#This Row],[33 kV_Wind_F2_Export_reading]]/1000</f>
        <v>64.582999999999998</v>
      </c>
      <c r="DE18" s="13"/>
      <c r="DF18" s="13">
        <f>Input_Raw[[#This Row],[33 kV_Wind_F3_Export_Reading]]/1000</f>
        <v>63.69</v>
      </c>
      <c r="DG18" s="13"/>
      <c r="DH18" s="13">
        <f>Input_Raw[[#This Row],[33 kV_Wind_F4_Export Reading]]/1000</f>
        <v>62.6</v>
      </c>
      <c r="DI18" s="13"/>
      <c r="DJ18" s="13">
        <f>Input_Raw[[#This Row],[33 kV_F1_Total_Export (MWh)]]+Input_Raw[[#This Row],[33 kV_F2_Total_Export (MWh)2]]+Input_Raw[[#This Row],[33 kV_Wind_F3_Export (MWh)]]+Input_Raw[[#This Row],[33 kV_Wind_F4_Export (MWh)]]</f>
        <v>234.03299999999999</v>
      </c>
      <c r="DK18" s="13">
        <f>Input_Raw[[#This Row],[33 kV_Wind_F1_Import (MWh)]]+Input_Raw[[#This Row],[33 kV_Wind_F2_Import (MWh)]]+Input_Raw[[#This Row],[33 kV_Wind_F3_Import (MWh)2]]+Input_Raw[[#This Row],[33 kV_Wind_F4_Import (MWh)2]]</f>
        <v>0</v>
      </c>
      <c r="DL18" s="100">
        <f>IFERROR(Input_Raw[[#This Row],[33 kV_Wind_Total_Export (MWh)]]/Input_Raw[[#This Row],[WTG Total Gneration (MWh)]]-1,"")</f>
        <v>0</v>
      </c>
      <c r="DM18" s="66"/>
      <c r="DN18" s="186">
        <v>96</v>
      </c>
      <c r="DO18" s="186">
        <v>1616</v>
      </c>
      <c r="DP18" s="102">
        <v>228.85</v>
      </c>
      <c r="DQ18" s="66"/>
      <c r="DR18" s="181">
        <v>70.400000000000006</v>
      </c>
    </row>
    <row r="19" spans="1:122">
      <c r="A19" s="92">
        <f t="shared" si="74"/>
        <v>45759</v>
      </c>
      <c r="B19" s="190">
        <f>YEAR(Input_Raw[[#This Row],[Date]])+IF(MONTH(Input_Raw[[#This Row],[Date]])&gt;=4,1,0)</f>
        <v>2026</v>
      </c>
      <c r="C19" s="190">
        <f>YEAR(Input_Raw[[#This Row],[Date]])</f>
        <v>2025</v>
      </c>
      <c r="D19" s="11">
        <f t="shared" ref="D19" si="79">A19-DAY(A19)+1</f>
        <v>45748</v>
      </c>
      <c r="E19" s="190">
        <f>DAY(EOMONTH(Input_Raw[[#This Row],[Date]],0))</f>
        <v>30</v>
      </c>
      <c r="F19" s="93">
        <v>9372</v>
      </c>
      <c r="G19" s="93">
        <v>7640</v>
      </c>
      <c r="H19" s="93">
        <v>7404</v>
      </c>
      <c r="I19" s="93">
        <v>7204</v>
      </c>
      <c r="J19" s="93">
        <v>6904</v>
      </c>
      <c r="K19" s="93">
        <v>5168</v>
      </c>
      <c r="L19" s="93">
        <v>7328</v>
      </c>
      <c r="M19" s="93">
        <v>3656</v>
      </c>
      <c r="N19" s="93">
        <v>2614</v>
      </c>
      <c r="O19" s="93">
        <v>3416</v>
      </c>
      <c r="P19" s="93">
        <v>3996</v>
      </c>
      <c r="Q19" s="93">
        <v>4676</v>
      </c>
      <c r="R19" s="93">
        <v>4802</v>
      </c>
      <c r="S19" s="93">
        <v>5186</v>
      </c>
      <c r="T19" s="93">
        <v>4848</v>
      </c>
      <c r="U19" s="93">
        <v>6084</v>
      </c>
      <c r="V19" s="93">
        <v>6810</v>
      </c>
      <c r="W19" s="93">
        <v>8039.9999999999991</v>
      </c>
      <c r="X19" s="93">
        <v>6078</v>
      </c>
      <c r="Y19" s="93">
        <v>5279</v>
      </c>
      <c r="Z19" s="93">
        <v>6748</v>
      </c>
      <c r="AA19" s="93">
        <v>7992</v>
      </c>
      <c r="AB19" s="93">
        <v>4904</v>
      </c>
      <c r="AC19" s="93">
        <v>5392</v>
      </c>
      <c r="AD19" s="93">
        <v>6312</v>
      </c>
      <c r="AE19" s="93">
        <v>6128</v>
      </c>
      <c r="AF19" s="93">
        <v>5726</v>
      </c>
      <c r="AG19" s="93">
        <v>3162</v>
      </c>
      <c r="AH19" s="93">
        <v>6636</v>
      </c>
      <c r="AI19" s="93">
        <v>4011.9999999999995</v>
      </c>
      <c r="AJ19" s="93">
        <v>7254</v>
      </c>
      <c r="AK19" s="93">
        <v>3960</v>
      </c>
      <c r="AL19" s="93">
        <v>6420</v>
      </c>
      <c r="AM19" s="93">
        <v>8160</v>
      </c>
      <c r="AN19" s="93">
        <v>5812</v>
      </c>
      <c r="AO19" s="93">
        <v>10452</v>
      </c>
      <c r="AP19" s="93">
        <v>10084</v>
      </c>
      <c r="AQ19" s="93">
        <v>8388</v>
      </c>
      <c r="AR19" s="93">
        <v>8116</v>
      </c>
      <c r="AS19" s="93">
        <v>3196</v>
      </c>
      <c r="AT19" s="93">
        <v>2426</v>
      </c>
      <c r="AU19" s="93">
        <v>4840</v>
      </c>
      <c r="AV19" s="93">
        <v>9440</v>
      </c>
      <c r="AW19" s="93">
        <v>7704</v>
      </c>
      <c r="AX19" s="95">
        <v>6.03</v>
      </c>
      <c r="AY19" s="95">
        <v>5.74</v>
      </c>
      <c r="AZ19" s="95">
        <v>5.79</v>
      </c>
      <c r="BA19" s="95">
        <v>5.84</v>
      </c>
      <c r="BB19" s="95">
        <v>5.39</v>
      </c>
      <c r="BC19" s="95">
        <v>5.26</v>
      </c>
      <c r="BD19" s="95">
        <v>5.84</v>
      </c>
      <c r="BE19" s="95">
        <v>4.79</v>
      </c>
      <c r="BF19" s="95">
        <v>4.3899999999999997</v>
      </c>
      <c r="BG19" s="95">
        <v>4.92</v>
      </c>
      <c r="BH19" s="95">
        <v>4.78</v>
      </c>
      <c r="BI19" s="95">
        <v>5</v>
      </c>
      <c r="BJ19" s="95">
        <v>5.17</v>
      </c>
      <c r="BK19" s="95">
        <v>5.35</v>
      </c>
      <c r="BL19" s="95">
        <v>5.38</v>
      </c>
      <c r="BM19" s="95">
        <v>5.72</v>
      </c>
      <c r="BN19" s="95">
        <v>5.63</v>
      </c>
      <c r="BO19" s="95">
        <v>6.01</v>
      </c>
      <c r="BP19" s="95">
        <v>5.5</v>
      </c>
      <c r="BQ19" s="95">
        <v>5.08</v>
      </c>
      <c r="BR19" s="95">
        <v>5.87</v>
      </c>
      <c r="BS19" s="95">
        <v>5.88</v>
      </c>
      <c r="BT19" s="95">
        <v>4.96</v>
      </c>
      <c r="BU19" s="95">
        <v>5.5</v>
      </c>
      <c r="BV19" s="95">
        <v>5.78</v>
      </c>
      <c r="BW19" s="95">
        <v>5.79</v>
      </c>
      <c r="BX19" s="95">
        <v>4.92</v>
      </c>
      <c r="BY19" s="95">
        <v>4.0599999999999996</v>
      </c>
      <c r="BZ19" s="95">
        <v>5.85</v>
      </c>
      <c r="CA19" s="95">
        <v>4.6100000000000003</v>
      </c>
      <c r="CB19" s="95">
        <v>5.47</v>
      </c>
      <c r="CC19" s="95">
        <v>4.9000000000000004</v>
      </c>
      <c r="CD19" s="95">
        <v>5.72</v>
      </c>
      <c r="CE19" s="95">
        <v>5.86</v>
      </c>
      <c r="CF19" s="95">
        <v>5.19</v>
      </c>
      <c r="CG19" s="95">
        <v>6.85</v>
      </c>
      <c r="CH19" s="95">
        <v>6.72</v>
      </c>
      <c r="CI19" s="95">
        <v>5.82</v>
      </c>
      <c r="CJ19" s="95">
        <v>6.07</v>
      </c>
      <c r="CK19" s="95">
        <v>3.83</v>
      </c>
      <c r="CL19" s="95">
        <v>4.3600000000000003</v>
      </c>
      <c r="CM19" s="95">
        <v>4.8600000000000003</v>
      </c>
      <c r="CN19" s="95">
        <v>6.38</v>
      </c>
      <c r="CO19" s="95">
        <v>6.02</v>
      </c>
      <c r="CP19" s="98">
        <f>SUM(Input_Raw[[#This Row],[P-01]:[P-56]])/1000</f>
        <v>269.76900000000001</v>
      </c>
      <c r="CQ19" s="71">
        <f>IFERROR(AVERAGEIF(Input_Raw[[#This Row],[WS_P-01]:[WS_P-56]],"&lt;&gt;",Input_Raw[[#This Row],[WS_P-01]:[WS_P-56]]),"")</f>
        <v>5.4290909090909096</v>
      </c>
      <c r="CR19" s="99">
        <f>MAX(Input_Raw[[#This Row],[WS_P-01]:[WS_P-56]])</f>
        <v>6.85</v>
      </c>
      <c r="CS19" s="99"/>
      <c r="CT19" s="70">
        <f>SUM(Input_Raw[[#This Row],[P-08]:[P-13]],Input_Raw[[#This Row],[P-25]:[P-28]])</f>
        <v>45896</v>
      </c>
      <c r="CU19" s="70"/>
      <c r="CV19" s="70">
        <f>SUM(Input_Raw[[#This Row],[P-04]],Input_Raw[[#This Row],[P-14]:[P-17]],Input_Raw[[#This Row],[P-19]:[P-20]],Input_Raw[[#This Row],[P-22]:[P-23]],Input_Raw[[#This Row],[P-34]],Input_Raw[[#This Row],[P-38]],Input_Raw[[#This Row],[P-43]])</f>
        <v>75931</v>
      </c>
      <c r="CW19" s="70"/>
      <c r="CX19" s="70">
        <f>SUM(Input_Raw[[#This Row],[P-05]:[P-06]],Input_Raw[[#This Row],[P-40]:[P-42]],Input_Raw[[#This Row],[P-45]],Input_Raw[[#This Row],[P-46]],Input_Raw[[#This Row],[P-47]:[P-48]])</f>
        <v>67652</v>
      </c>
      <c r="CY19" s="70"/>
      <c r="CZ19" s="70">
        <f>SUM(Input_Raw[[#This Row],[P-01]:[P-03]],Input_Raw[[#This Row],[P-07]],Input_Raw[[#This Row],[P-18]],Input_Raw[[#This Row],[P-31]:[P-32]],Input_Raw[[#This Row],[P-37]],Input_Raw[[#This Row],[P-50]:[P-56]])</f>
        <v>80290</v>
      </c>
      <c r="DA19" s="12"/>
      <c r="DB19" s="13">
        <f>Input_Raw[[#This Row],[33 kV_Wind_F1_Export reading]]/1000</f>
        <v>45.896000000000001</v>
      </c>
      <c r="DC19" s="13"/>
      <c r="DD19" s="13">
        <f>Input_Raw[[#This Row],[33 kV_Wind_F2_Export_reading]]/1000</f>
        <v>75.930999999999997</v>
      </c>
      <c r="DE19" s="13"/>
      <c r="DF19" s="13">
        <f>Input_Raw[[#This Row],[33 kV_Wind_F3_Export_Reading]]/1000</f>
        <v>67.652000000000001</v>
      </c>
      <c r="DG19" s="13"/>
      <c r="DH19" s="13">
        <f>Input_Raw[[#This Row],[33 kV_Wind_F4_Export Reading]]/1000</f>
        <v>80.290000000000006</v>
      </c>
      <c r="DI19" s="13"/>
      <c r="DJ19" s="13">
        <f>Input_Raw[[#This Row],[33 kV_F1_Total_Export (MWh)]]+Input_Raw[[#This Row],[33 kV_F2_Total_Export (MWh)2]]+Input_Raw[[#This Row],[33 kV_Wind_F3_Export (MWh)]]+Input_Raw[[#This Row],[33 kV_Wind_F4_Export (MWh)]]</f>
        <v>269.76900000000001</v>
      </c>
      <c r="DK19" s="13">
        <f>Input_Raw[[#This Row],[33 kV_Wind_F1_Import (MWh)]]+Input_Raw[[#This Row],[33 kV_Wind_F2_Import (MWh)]]+Input_Raw[[#This Row],[33 kV_Wind_F3_Import (MWh)2]]+Input_Raw[[#This Row],[33 kV_Wind_F4_Import (MWh)2]]</f>
        <v>0</v>
      </c>
      <c r="DL19" s="100">
        <f>IFERROR(Input_Raw[[#This Row],[33 kV_Wind_Total_Export (MWh)]]/Input_Raw[[#This Row],[WTG Total Gneration (MWh)]]-1,"")</f>
        <v>0</v>
      </c>
      <c r="DM19" s="66"/>
      <c r="DN19" s="186">
        <v>96</v>
      </c>
      <c r="DO19" s="186">
        <v>275</v>
      </c>
      <c r="DP19" s="102">
        <v>262.35000000000002</v>
      </c>
      <c r="DQ19" s="66"/>
      <c r="DR19" s="181">
        <v>70.400000000000006</v>
      </c>
    </row>
    <row r="20" spans="1:122">
      <c r="A20" s="92">
        <f t="shared" si="74"/>
        <v>45760</v>
      </c>
      <c r="B20" s="190">
        <f>YEAR(Input_Raw[[#This Row],[Date]])+IF(MONTH(Input_Raw[[#This Row],[Date]])&gt;=4,1,0)</f>
        <v>2026</v>
      </c>
      <c r="C20" s="190">
        <f>YEAR(Input_Raw[[#This Row],[Date]])</f>
        <v>2025</v>
      </c>
      <c r="D20" s="11">
        <f t="shared" ref="D20:D25" si="80">A20-DAY(A20)+1</f>
        <v>45748</v>
      </c>
      <c r="E20" s="190">
        <f>DAY(EOMONTH(Input_Raw[[#This Row],[Date]],0))</f>
        <v>30</v>
      </c>
      <c r="F20" s="93">
        <v>10252</v>
      </c>
      <c r="G20" s="93">
        <v>8528</v>
      </c>
      <c r="H20" s="93">
        <v>9040</v>
      </c>
      <c r="I20" s="93">
        <v>5548</v>
      </c>
      <c r="J20" s="93">
        <v>5512</v>
      </c>
      <c r="K20" s="93">
        <v>4576</v>
      </c>
      <c r="L20" s="93">
        <v>9688</v>
      </c>
      <c r="M20" s="93">
        <v>1936</v>
      </c>
      <c r="N20" s="93">
        <v>1346</v>
      </c>
      <c r="O20" s="93">
        <v>1522</v>
      </c>
      <c r="P20" s="93">
        <v>1848</v>
      </c>
      <c r="Q20" s="93">
        <v>2180</v>
      </c>
      <c r="R20" s="93">
        <v>2054</v>
      </c>
      <c r="S20" s="93">
        <v>2208</v>
      </c>
      <c r="T20" s="93">
        <v>1996</v>
      </c>
      <c r="U20" s="93">
        <v>2324</v>
      </c>
      <c r="V20" s="93">
        <v>2952</v>
      </c>
      <c r="W20" s="93">
        <v>9008</v>
      </c>
      <c r="X20" s="93">
        <v>2884</v>
      </c>
      <c r="Y20" s="93">
        <v>2956</v>
      </c>
      <c r="Z20" s="93">
        <v>7852</v>
      </c>
      <c r="AA20" s="93">
        <v>8448</v>
      </c>
      <c r="AB20" s="93">
        <v>3824</v>
      </c>
      <c r="AC20" s="93">
        <v>3912</v>
      </c>
      <c r="AD20" s="93">
        <v>4724</v>
      </c>
      <c r="AE20" s="93">
        <v>3824</v>
      </c>
      <c r="AF20" s="93">
        <v>6906</v>
      </c>
      <c r="AG20" s="93">
        <v>3808</v>
      </c>
      <c r="AH20" s="93">
        <v>5404</v>
      </c>
      <c r="AI20" s="93">
        <v>5510</v>
      </c>
      <c r="AJ20" s="93">
        <v>3404</v>
      </c>
      <c r="AK20" s="93">
        <v>2072</v>
      </c>
      <c r="AL20" s="93">
        <v>5196</v>
      </c>
      <c r="AM20" s="93">
        <v>7980</v>
      </c>
      <c r="AN20" s="93">
        <v>3836</v>
      </c>
      <c r="AO20" s="93">
        <v>7772</v>
      </c>
      <c r="AP20" s="93">
        <v>6076</v>
      </c>
      <c r="AQ20" s="93">
        <v>6068</v>
      </c>
      <c r="AR20" s="93">
        <v>6396</v>
      </c>
      <c r="AS20" s="93">
        <v>3194</v>
      </c>
      <c r="AT20" s="93">
        <v>5612</v>
      </c>
      <c r="AU20" s="93">
        <v>7896</v>
      </c>
      <c r="AV20" s="93">
        <v>11188</v>
      </c>
      <c r="AW20" s="93">
        <v>8320</v>
      </c>
      <c r="AX20" s="95">
        <v>5.88</v>
      </c>
      <c r="AY20" s="95">
        <v>5.68</v>
      </c>
      <c r="AZ20" s="95">
        <v>5.92</v>
      </c>
      <c r="BA20" s="95">
        <v>5.18</v>
      </c>
      <c r="BB20" s="95">
        <v>4.92</v>
      </c>
      <c r="BC20" s="95">
        <v>5.01</v>
      </c>
      <c r="BD20" s="95">
        <v>6.16</v>
      </c>
      <c r="BE20" s="95">
        <v>3.96</v>
      </c>
      <c r="BF20" s="95">
        <v>3.7</v>
      </c>
      <c r="BG20" s="95">
        <v>4</v>
      </c>
      <c r="BH20" s="95">
        <v>3.79</v>
      </c>
      <c r="BI20" s="95">
        <v>4.0599999999999996</v>
      </c>
      <c r="BJ20" s="95">
        <v>4.03</v>
      </c>
      <c r="BK20" s="95">
        <v>4.09</v>
      </c>
      <c r="BL20" s="95">
        <v>4.09</v>
      </c>
      <c r="BM20" s="95">
        <v>4.21</v>
      </c>
      <c r="BN20" s="95">
        <v>4.43</v>
      </c>
      <c r="BO20" s="95">
        <v>5.93</v>
      </c>
      <c r="BP20" s="95">
        <v>4.3499999999999996</v>
      </c>
      <c r="BQ20" s="95">
        <v>4.1900000000000004</v>
      </c>
      <c r="BR20" s="95">
        <v>5.87</v>
      </c>
      <c r="BS20" s="95">
        <v>5.87</v>
      </c>
      <c r="BT20" s="95">
        <v>4.5199999999999996</v>
      </c>
      <c r="BU20" s="95">
        <v>4.93</v>
      </c>
      <c r="BV20" s="95">
        <v>5.1100000000000003</v>
      </c>
      <c r="BW20" s="95">
        <v>4.82</v>
      </c>
      <c r="BX20" s="95">
        <v>5.1100000000000003</v>
      </c>
      <c r="BY20" s="95">
        <v>4.57</v>
      </c>
      <c r="BZ20" s="95">
        <v>5.26</v>
      </c>
      <c r="CA20" s="95">
        <v>5.17</v>
      </c>
      <c r="CB20" s="95">
        <v>4.2300000000000004</v>
      </c>
      <c r="CC20" s="95">
        <v>3.91</v>
      </c>
      <c r="CD20" s="95">
        <v>5.32</v>
      </c>
      <c r="CE20" s="95">
        <v>5.58</v>
      </c>
      <c r="CF20" s="95">
        <v>4.42</v>
      </c>
      <c r="CG20" s="95">
        <v>6.17</v>
      </c>
      <c r="CH20" s="95">
        <v>5.62</v>
      </c>
      <c r="CI20" s="95">
        <v>5.01</v>
      </c>
      <c r="CJ20" s="95">
        <v>5.35</v>
      </c>
      <c r="CK20" s="95">
        <v>3.93</v>
      </c>
      <c r="CL20" s="95">
        <v>4.96</v>
      </c>
      <c r="CM20" s="95">
        <v>5.59</v>
      </c>
      <c r="CN20" s="95">
        <v>6.62</v>
      </c>
      <c r="CO20" s="95">
        <v>5.96</v>
      </c>
      <c r="CP20" s="98">
        <f>SUM(Input_Raw[[#This Row],[P-01]:[P-56]])/1000</f>
        <v>227.58</v>
      </c>
      <c r="CQ20" s="71">
        <f>IFERROR(AVERAGEIF(Input_Raw[[#This Row],[WS_P-01]:[WS_P-56]],"&lt;&gt;",Input_Raw[[#This Row],[WS_P-01]:[WS_P-56]]),"")</f>
        <v>4.9427272727272724</v>
      </c>
      <c r="CR20" s="99">
        <f>MAX(Input_Raw[[#This Row],[WS_P-01]:[WS_P-56]])</f>
        <v>6.62</v>
      </c>
      <c r="CS20" s="99"/>
      <c r="CT20" s="70">
        <f>SUM(Input_Raw[[#This Row],[P-08]:[P-13]],Input_Raw[[#This Row],[P-25]:[P-28]])</f>
        <v>27170</v>
      </c>
      <c r="CU20" s="70"/>
      <c r="CV20" s="70">
        <f>SUM(Input_Raw[[#This Row],[P-04]],Input_Raw[[#This Row],[P-14]:[P-17]],Input_Raw[[#This Row],[P-19]:[P-20]],Input_Raw[[#This Row],[P-22]:[P-23]],Input_Raw[[#This Row],[P-34]],Input_Raw[[#This Row],[P-38]],Input_Raw[[#This Row],[P-43]])</f>
        <v>49812</v>
      </c>
      <c r="CW20" s="70"/>
      <c r="CX20" s="70">
        <f>SUM(Input_Raw[[#This Row],[P-05]:[P-06]],Input_Raw[[#This Row],[P-40]:[P-42]],Input_Raw[[#This Row],[P-45]],Input_Raw[[#This Row],[P-46]],Input_Raw[[#This Row],[P-47]:[P-48]])</f>
        <v>51648</v>
      </c>
      <c r="CY20" s="70"/>
      <c r="CZ20" s="70">
        <f>SUM(Input_Raw[[#This Row],[P-01]:[P-03]],Input_Raw[[#This Row],[P-07]],Input_Raw[[#This Row],[P-18]],Input_Raw[[#This Row],[P-31]:[P-32]],Input_Raw[[#This Row],[P-37]],Input_Raw[[#This Row],[P-50]:[P-56]])</f>
        <v>98950</v>
      </c>
      <c r="DA20" s="12"/>
      <c r="DB20" s="13">
        <f>Input_Raw[[#This Row],[33 kV_Wind_F1_Export reading]]/1000</f>
        <v>27.17</v>
      </c>
      <c r="DC20" s="13"/>
      <c r="DD20" s="13">
        <f>Input_Raw[[#This Row],[33 kV_Wind_F2_Export_reading]]/1000</f>
        <v>49.811999999999998</v>
      </c>
      <c r="DE20" s="13"/>
      <c r="DF20" s="13">
        <f>Input_Raw[[#This Row],[33 kV_Wind_F3_Export_Reading]]/1000</f>
        <v>51.648000000000003</v>
      </c>
      <c r="DG20" s="13"/>
      <c r="DH20" s="13">
        <f>Input_Raw[[#This Row],[33 kV_Wind_F4_Export Reading]]/1000</f>
        <v>98.95</v>
      </c>
      <c r="DI20" s="13"/>
      <c r="DJ20" s="13">
        <f>Input_Raw[[#This Row],[33 kV_F1_Total_Export (MWh)]]+Input_Raw[[#This Row],[33 kV_F2_Total_Export (MWh)2]]+Input_Raw[[#This Row],[33 kV_Wind_F3_Export (MWh)]]+Input_Raw[[#This Row],[33 kV_Wind_F4_Export (MWh)]]</f>
        <v>227.57999999999998</v>
      </c>
      <c r="DK20" s="13">
        <f>Input_Raw[[#This Row],[33 kV_Wind_F1_Import (MWh)]]+Input_Raw[[#This Row],[33 kV_Wind_F2_Import (MWh)]]+Input_Raw[[#This Row],[33 kV_Wind_F3_Import (MWh)2]]+Input_Raw[[#This Row],[33 kV_Wind_F4_Import (MWh)2]]</f>
        <v>0</v>
      </c>
      <c r="DL20" s="100">
        <f>IFERROR(Input_Raw[[#This Row],[33 kV_Wind_Total_Export (MWh)]]/Input_Raw[[#This Row],[WTG Total Gneration (MWh)]]-1,"")</f>
        <v>-1.1102230246251565E-16</v>
      </c>
      <c r="DM20" s="66"/>
      <c r="DN20" s="186">
        <v>96</v>
      </c>
      <c r="DO20" s="186">
        <v>2148</v>
      </c>
      <c r="DP20" s="102">
        <v>219.75</v>
      </c>
      <c r="DQ20" s="66"/>
      <c r="DR20" s="181">
        <v>70.400000000000006</v>
      </c>
    </row>
    <row r="21" spans="1:122">
      <c r="A21" s="92">
        <f t="shared" si="74"/>
        <v>45761</v>
      </c>
      <c r="B21" s="190">
        <f>YEAR(Input_Raw[[#This Row],[Date]])+IF(MONTH(Input_Raw[[#This Row],[Date]])&gt;=4,1,0)</f>
        <v>2026</v>
      </c>
      <c r="C21" s="190">
        <f>YEAR(Input_Raw[[#This Row],[Date]])</f>
        <v>2025</v>
      </c>
      <c r="D21" s="11">
        <f t="shared" si="80"/>
        <v>45748</v>
      </c>
      <c r="E21" s="190">
        <f>DAY(EOMONTH(Input_Raw[[#This Row],[Date]],0))</f>
        <v>30</v>
      </c>
      <c r="F21" s="93">
        <v>8752</v>
      </c>
      <c r="G21" s="93">
        <v>10494</v>
      </c>
      <c r="H21" s="93">
        <v>11348</v>
      </c>
      <c r="I21" s="93">
        <v>5314</v>
      </c>
      <c r="J21" s="93">
        <v>5624</v>
      </c>
      <c r="K21" s="93">
        <v>5428</v>
      </c>
      <c r="L21" s="93">
        <v>6458</v>
      </c>
      <c r="M21" s="93">
        <v>3284</v>
      </c>
      <c r="N21" s="93">
        <v>2346</v>
      </c>
      <c r="O21" s="93">
        <v>2432</v>
      </c>
      <c r="P21" s="93">
        <v>2628</v>
      </c>
      <c r="Q21" s="93">
        <v>2916</v>
      </c>
      <c r="R21" s="93">
        <v>2880</v>
      </c>
      <c r="S21" s="93">
        <v>2448</v>
      </c>
      <c r="T21" s="93">
        <v>2096</v>
      </c>
      <c r="U21" s="93">
        <v>2540</v>
      </c>
      <c r="V21" s="93">
        <v>2974</v>
      </c>
      <c r="W21" s="93">
        <v>7524</v>
      </c>
      <c r="X21" s="93">
        <v>2560</v>
      </c>
      <c r="Y21" s="93">
        <v>2070</v>
      </c>
      <c r="Z21" s="93">
        <v>5224</v>
      </c>
      <c r="AA21" s="93">
        <v>5896</v>
      </c>
      <c r="AB21" s="93">
        <v>3704</v>
      </c>
      <c r="AC21" s="93">
        <v>3560</v>
      </c>
      <c r="AD21" s="93">
        <v>4268</v>
      </c>
      <c r="AE21" s="93">
        <v>3784</v>
      </c>
      <c r="AF21" s="93">
        <v>10572</v>
      </c>
      <c r="AG21" s="93">
        <v>5176</v>
      </c>
      <c r="AH21" s="93">
        <v>5960</v>
      </c>
      <c r="AI21" s="93">
        <v>6360</v>
      </c>
      <c r="AJ21" s="93">
        <v>2934</v>
      </c>
      <c r="AK21" s="93">
        <v>3408</v>
      </c>
      <c r="AL21" s="93">
        <v>5572</v>
      </c>
      <c r="AM21" s="93">
        <v>6320</v>
      </c>
      <c r="AN21" s="93">
        <v>3756</v>
      </c>
      <c r="AO21" s="93">
        <v>7904</v>
      </c>
      <c r="AP21" s="93">
        <v>7272</v>
      </c>
      <c r="AQ21" s="93">
        <v>5684</v>
      </c>
      <c r="AR21" s="93">
        <v>6216</v>
      </c>
      <c r="AS21" s="93">
        <v>5606</v>
      </c>
      <c r="AT21" s="93">
        <v>7404</v>
      </c>
      <c r="AU21" s="93">
        <v>8664</v>
      </c>
      <c r="AV21" s="93">
        <v>7740</v>
      </c>
      <c r="AW21" s="93">
        <v>6140</v>
      </c>
      <c r="AX21" s="95">
        <v>5.61</v>
      </c>
      <c r="AY21" s="95">
        <v>6.22</v>
      </c>
      <c r="AZ21" s="95">
        <v>6.46</v>
      </c>
      <c r="BA21" s="95">
        <v>5.16</v>
      </c>
      <c r="BB21" s="95">
        <v>4.5599999999999996</v>
      </c>
      <c r="BC21" s="95">
        <v>5.12</v>
      </c>
      <c r="BD21" s="95">
        <v>5.53</v>
      </c>
      <c r="BE21" s="95">
        <v>4.5599999999999996</v>
      </c>
      <c r="BF21" s="95">
        <v>4.3099999999999996</v>
      </c>
      <c r="BG21" s="95">
        <v>4.57</v>
      </c>
      <c r="BH21" s="95">
        <v>4.21</v>
      </c>
      <c r="BI21" s="95">
        <v>4.34</v>
      </c>
      <c r="BJ21" s="95">
        <v>4.28</v>
      </c>
      <c r="BK21" s="95">
        <v>4.0599999999999996</v>
      </c>
      <c r="BL21" s="95">
        <v>4.0999999999999996</v>
      </c>
      <c r="BM21" s="95">
        <v>4.08</v>
      </c>
      <c r="BN21" s="95">
        <v>4.3</v>
      </c>
      <c r="BO21" s="95">
        <v>5.69</v>
      </c>
      <c r="BP21" s="95">
        <v>4.21</v>
      </c>
      <c r="BQ21" s="95">
        <v>3.71</v>
      </c>
      <c r="BR21" s="95">
        <v>5.17</v>
      </c>
      <c r="BS21" s="95">
        <v>5.15</v>
      </c>
      <c r="BT21" s="95">
        <v>4.33</v>
      </c>
      <c r="BU21" s="95">
        <v>4.79</v>
      </c>
      <c r="BV21" s="95">
        <v>4.8499999999999996</v>
      </c>
      <c r="BW21" s="95">
        <v>4.67</v>
      </c>
      <c r="BX21" s="95">
        <v>6.02</v>
      </c>
      <c r="BY21" s="95">
        <v>4.74</v>
      </c>
      <c r="BZ21" s="95">
        <v>5.28</v>
      </c>
      <c r="CA21" s="95">
        <v>5.1100000000000003</v>
      </c>
      <c r="CB21" s="95">
        <v>3.74</v>
      </c>
      <c r="CC21" s="95">
        <v>4.43</v>
      </c>
      <c r="CD21" s="95">
        <v>5.18</v>
      </c>
      <c r="CE21" s="95">
        <v>5.13</v>
      </c>
      <c r="CF21" s="95">
        <v>4.3600000000000003</v>
      </c>
      <c r="CG21" s="95">
        <v>5.93</v>
      </c>
      <c r="CH21" s="95">
        <v>5.75</v>
      </c>
      <c r="CI21" s="95">
        <v>4.82</v>
      </c>
      <c r="CJ21" s="95">
        <v>5.3</v>
      </c>
      <c r="CK21" s="95">
        <v>4.59</v>
      </c>
      <c r="CL21" s="95">
        <v>5.34</v>
      </c>
      <c r="CM21" s="95">
        <v>5.7</v>
      </c>
      <c r="CN21" s="95">
        <v>5.78</v>
      </c>
      <c r="CO21" s="95">
        <v>5.51</v>
      </c>
      <c r="CP21" s="98">
        <f>SUM(Input_Raw[[#This Row],[P-01]:[P-56]])/1000</f>
        <v>231.24</v>
      </c>
      <c r="CQ21" s="71">
        <f>IFERROR(AVERAGEIF(Input_Raw[[#This Row],[WS_P-01]:[WS_P-56]],"&lt;&gt;",Input_Raw[[#This Row],[WS_P-01]:[WS_P-56]]),"")</f>
        <v>4.9261363636363651</v>
      </c>
      <c r="CR21" s="99">
        <f>MAX(Input_Raw[[#This Row],[WS_P-01]:[WS_P-56]])</f>
        <v>6.46</v>
      </c>
      <c r="CS21" s="99"/>
      <c r="CT21" s="70">
        <f>SUM(Input_Raw[[#This Row],[P-08]:[P-13]],Input_Raw[[#This Row],[P-25]:[P-28]])</f>
        <v>31802</v>
      </c>
      <c r="CU21" s="70"/>
      <c r="CV21" s="70">
        <f>SUM(Input_Raw[[#This Row],[P-04]],Input_Raw[[#This Row],[P-14]:[P-17]],Input_Raw[[#This Row],[P-19]:[P-20]],Input_Raw[[#This Row],[P-22]:[P-23]],Input_Raw[[#This Row],[P-34]],Input_Raw[[#This Row],[P-38]],Input_Raw[[#This Row],[P-43]])</f>
        <v>43772</v>
      </c>
      <c r="CW21" s="70"/>
      <c r="CX21" s="70">
        <f>SUM(Input_Raw[[#This Row],[P-05]:[P-06]],Input_Raw[[#This Row],[P-40]:[P-42]],Input_Raw[[#This Row],[P-45]],Input_Raw[[#This Row],[P-46]],Input_Raw[[#This Row],[P-47]:[P-48]])</f>
        <v>53428</v>
      </c>
      <c r="CY21" s="70"/>
      <c r="CZ21" s="70">
        <f>SUM(Input_Raw[[#This Row],[P-01]:[P-03]],Input_Raw[[#This Row],[P-07]],Input_Raw[[#This Row],[P-18]],Input_Raw[[#This Row],[P-31]:[P-32]],Input_Raw[[#This Row],[P-37]],Input_Raw[[#This Row],[P-50]:[P-56]])</f>
        <v>102238</v>
      </c>
      <c r="DA21" s="12"/>
      <c r="DB21" s="13">
        <f>Input_Raw[[#This Row],[33 kV_Wind_F1_Export reading]]/1000</f>
        <v>31.802</v>
      </c>
      <c r="DC21" s="13"/>
      <c r="DD21" s="13">
        <f>Input_Raw[[#This Row],[33 kV_Wind_F2_Export_reading]]/1000</f>
        <v>43.771999999999998</v>
      </c>
      <c r="DE21" s="13"/>
      <c r="DF21" s="13">
        <f>Input_Raw[[#This Row],[33 kV_Wind_F3_Export_Reading]]/1000</f>
        <v>53.427999999999997</v>
      </c>
      <c r="DG21" s="13"/>
      <c r="DH21" s="13">
        <f>Input_Raw[[#This Row],[33 kV_Wind_F4_Export Reading]]/1000</f>
        <v>102.238</v>
      </c>
      <c r="DI21" s="13"/>
      <c r="DJ21" s="13">
        <f>Input_Raw[[#This Row],[33 kV_F1_Total_Export (MWh)]]+Input_Raw[[#This Row],[33 kV_F2_Total_Export (MWh)2]]+Input_Raw[[#This Row],[33 kV_Wind_F3_Export (MWh)]]+Input_Raw[[#This Row],[33 kV_Wind_F4_Export (MWh)]]</f>
        <v>231.24</v>
      </c>
      <c r="DK21" s="13">
        <f>Input_Raw[[#This Row],[33 kV_Wind_F1_Import (MWh)]]+Input_Raw[[#This Row],[33 kV_Wind_F2_Import (MWh)]]+Input_Raw[[#This Row],[33 kV_Wind_F3_Import (MWh)2]]+Input_Raw[[#This Row],[33 kV_Wind_F4_Import (MWh)2]]</f>
        <v>0</v>
      </c>
      <c r="DL21" s="100">
        <f>IFERROR(Input_Raw[[#This Row],[33 kV_Wind_Total_Export (MWh)]]/Input_Raw[[#This Row],[WTG Total Gneration (MWh)]]-1,"")</f>
        <v>0</v>
      </c>
      <c r="DM21" s="66"/>
      <c r="DN21" s="186">
        <v>96</v>
      </c>
      <c r="DO21" s="186">
        <v>654</v>
      </c>
      <c r="DP21" s="102">
        <v>223.32</v>
      </c>
      <c r="DQ21" s="66"/>
      <c r="DR21" s="181">
        <v>70.400000000000006</v>
      </c>
    </row>
    <row r="22" spans="1:122">
      <c r="A22" s="92">
        <f t="shared" si="74"/>
        <v>45762</v>
      </c>
      <c r="B22" s="190">
        <f>YEAR(Input_Raw[[#This Row],[Date]])+IF(MONTH(Input_Raw[[#This Row],[Date]])&gt;=4,1,0)</f>
        <v>2026</v>
      </c>
      <c r="C22" s="190">
        <f>YEAR(Input_Raw[[#This Row],[Date]])</f>
        <v>2025</v>
      </c>
      <c r="D22" s="11">
        <f t="shared" si="80"/>
        <v>45748</v>
      </c>
      <c r="E22" s="190">
        <f>DAY(EOMONTH(Input_Raw[[#This Row],[Date]],0))</f>
        <v>30</v>
      </c>
      <c r="F22" s="93">
        <v>12860</v>
      </c>
      <c r="G22" s="93">
        <v>14146</v>
      </c>
      <c r="H22" s="93">
        <v>15412</v>
      </c>
      <c r="I22" s="93">
        <v>4154</v>
      </c>
      <c r="J22" s="93">
        <v>8044.0000000000009</v>
      </c>
      <c r="K22" s="93">
        <v>6360</v>
      </c>
      <c r="L22" s="93">
        <v>8280</v>
      </c>
      <c r="M22" s="93">
        <v>1792</v>
      </c>
      <c r="N22" s="93">
        <v>862</v>
      </c>
      <c r="O22" s="93">
        <v>700</v>
      </c>
      <c r="P22" s="93">
        <v>724</v>
      </c>
      <c r="Q22" s="93">
        <v>812</v>
      </c>
      <c r="R22" s="93">
        <v>1028</v>
      </c>
      <c r="S22" s="93">
        <v>1316</v>
      </c>
      <c r="T22" s="93">
        <v>1186</v>
      </c>
      <c r="U22" s="93">
        <v>1692</v>
      </c>
      <c r="V22" s="93">
        <v>2434</v>
      </c>
      <c r="W22" s="93">
        <v>11076</v>
      </c>
      <c r="X22" s="93">
        <v>1606</v>
      </c>
      <c r="Y22" s="93">
        <v>1318</v>
      </c>
      <c r="Z22" s="93">
        <v>6200</v>
      </c>
      <c r="AA22" s="93">
        <v>7796</v>
      </c>
      <c r="AB22" s="93">
        <v>2760</v>
      </c>
      <c r="AC22" s="93">
        <v>2600</v>
      </c>
      <c r="AD22" s="93">
        <v>3512</v>
      </c>
      <c r="AE22" s="93">
        <v>2928</v>
      </c>
      <c r="AF22" s="93">
        <v>13956</v>
      </c>
      <c r="AG22" s="93">
        <v>6452</v>
      </c>
      <c r="AH22" s="93">
        <v>4752</v>
      </c>
      <c r="AI22" s="93">
        <v>7662</v>
      </c>
      <c r="AJ22" s="93">
        <v>2122</v>
      </c>
      <c r="AK22" s="93">
        <v>3868</v>
      </c>
      <c r="AL22" s="93">
        <v>7772</v>
      </c>
      <c r="AM22" s="93">
        <v>8560</v>
      </c>
      <c r="AN22" s="93">
        <v>2872</v>
      </c>
      <c r="AO22" s="93">
        <v>8824</v>
      </c>
      <c r="AP22" s="93">
        <v>7508</v>
      </c>
      <c r="AQ22" s="93">
        <v>7052</v>
      </c>
      <c r="AR22" s="93">
        <v>7100</v>
      </c>
      <c r="AS22" s="93">
        <v>9034</v>
      </c>
      <c r="AT22" s="93">
        <v>8356</v>
      </c>
      <c r="AU22" s="93">
        <v>10844</v>
      </c>
      <c r="AV22" s="93">
        <v>10088</v>
      </c>
      <c r="AW22" s="93">
        <v>6440</v>
      </c>
      <c r="AX22" s="95">
        <v>6.01</v>
      </c>
      <c r="AY22" s="95">
        <v>6.54</v>
      </c>
      <c r="AZ22" s="95">
        <v>6.81</v>
      </c>
      <c r="BA22" s="95">
        <v>4.9000000000000004</v>
      </c>
      <c r="BB22" s="95">
        <v>5.3</v>
      </c>
      <c r="BC22" s="95">
        <v>5.22</v>
      </c>
      <c r="BD22" s="95">
        <v>5.69</v>
      </c>
      <c r="BE22" s="95">
        <v>4.42</v>
      </c>
      <c r="BF22" s="95">
        <v>3.81</v>
      </c>
      <c r="BG22" s="95">
        <v>4</v>
      </c>
      <c r="BH22" s="95">
        <v>3.67</v>
      </c>
      <c r="BI22" s="95">
        <v>3.89</v>
      </c>
      <c r="BJ22" s="95">
        <v>3.8</v>
      </c>
      <c r="BK22" s="95">
        <v>3.98</v>
      </c>
      <c r="BL22" s="95">
        <v>3.92</v>
      </c>
      <c r="BM22" s="95">
        <v>4.05</v>
      </c>
      <c r="BN22" s="95">
        <v>4.63</v>
      </c>
      <c r="BO22" s="95">
        <v>5.94</v>
      </c>
      <c r="BP22" s="95">
        <v>4.13</v>
      </c>
      <c r="BQ22" s="95">
        <v>3.85</v>
      </c>
      <c r="BR22" s="95">
        <v>6.03</v>
      </c>
      <c r="BS22" s="95">
        <v>6.78</v>
      </c>
      <c r="BT22" s="95">
        <v>4.4800000000000004</v>
      </c>
      <c r="BU22" s="95">
        <v>4.96</v>
      </c>
      <c r="BV22" s="95">
        <v>5.45</v>
      </c>
      <c r="BW22" s="95">
        <v>5.29</v>
      </c>
      <c r="BX22" s="95">
        <v>6.33</v>
      </c>
      <c r="BY22" s="95">
        <v>5.0599999999999996</v>
      </c>
      <c r="BZ22" s="95">
        <v>5.01</v>
      </c>
      <c r="CA22" s="95">
        <v>5.45</v>
      </c>
      <c r="CB22" s="95">
        <v>4.21</v>
      </c>
      <c r="CC22" s="95">
        <v>4.58</v>
      </c>
      <c r="CD22" s="95">
        <v>5.75</v>
      </c>
      <c r="CE22" s="95">
        <v>5.42</v>
      </c>
      <c r="CF22" s="95">
        <v>4.8499999999999996</v>
      </c>
      <c r="CG22" s="95">
        <v>6.04</v>
      </c>
      <c r="CH22" s="95">
        <v>5.69</v>
      </c>
      <c r="CI22" s="95">
        <v>5.05</v>
      </c>
      <c r="CJ22" s="95">
        <v>5.28</v>
      </c>
      <c r="CK22" s="95">
        <v>5.22</v>
      </c>
      <c r="CL22" s="95">
        <v>5.33</v>
      </c>
      <c r="CM22" s="95">
        <v>5.89</v>
      </c>
      <c r="CN22" s="95">
        <v>5.94</v>
      </c>
      <c r="CO22" s="95">
        <v>5.48</v>
      </c>
      <c r="CP22" s="98">
        <f>SUM(Input_Raw[[#This Row],[P-01]:[P-56]])/1000</f>
        <v>254.86</v>
      </c>
      <c r="CQ22" s="71">
        <f>IFERROR(AVERAGEIF(Input_Raw[[#This Row],[WS_P-01]:[WS_P-56]],"&lt;&gt;",Input_Raw[[#This Row],[WS_P-01]:[WS_P-56]]),"")</f>
        <v>5.0938636363636354</v>
      </c>
      <c r="CR22" s="99">
        <f>MAX(Input_Raw[[#This Row],[WS_P-01]:[WS_P-56]])</f>
        <v>6.81</v>
      </c>
      <c r="CS22" s="99"/>
      <c r="CT22" s="70">
        <f>SUM(Input_Raw[[#This Row],[P-08]:[P-13]],Input_Raw[[#This Row],[P-25]:[P-28]])</f>
        <v>17718</v>
      </c>
      <c r="CU22" s="70"/>
      <c r="CV22" s="70">
        <f>SUM(Input_Raw[[#This Row],[P-04]],Input_Raw[[#This Row],[P-14]:[P-17]],Input_Raw[[#This Row],[P-19]:[P-20]],Input_Raw[[#This Row],[P-22]:[P-23]],Input_Raw[[#This Row],[P-34]],Input_Raw[[#This Row],[P-38]],Input_Raw[[#This Row],[P-43]])</f>
        <v>37448</v>
      </c>
      <c r="CW22" s="70"/>
      <c r="CX22" s="70">
        <f>SUM(Input_Raw[[#This Row],[P-05]:[P-06]],Input_Raw[[#This Row],[P-40]:[P-42]],Input_Raw[[#This Row],[P-45]],Input_Raw[[#This Row],[P-46]],Input_Raw[[#This Row],[P-47]:[P-48]])</f>
        <v>65088</v>
      </c>
      <c r="CY22" s="70"/>
      <c r="CZ22" s="70">
        <f>SUM(Input_Raw[[#This Row],[P-01]:[P-03]],Input_Raw[[#This Row],[P-07]],Input_Raw[[#This Row],[P-18]],Input_Raw[[#This Row],[P-31]:[P-32]],Input_Raw[[#This Row],[P-37]],Input_Raw[[#This Row],[P-50]:[P-56]])</f>
        <v>134606</v>
      </c>
      <c r="DA22" s="12"/>
      <c r="DB22" s="13">
        <f>Input_Raw[[#This Row],[33 kV_Wind_F1_Export reading]]/1000</f>
        <v>17.718</v>
      </c>
      <c r="DC22" s="13"/>
      <c r="DD22" s="13">
        <f>Input_Raw[[#This Row],[33 kV_Wind_F2_Export_reading]]/1000</f>
        <v>37.448</v>
      </c>
      <c r="DE22" s="13"/>
      <c r="DF22" s="13">
        <f>Input_Raw[[#This Row],[33 kV_Wind_F3_Export_Reading]]/1000</f>
        <v>65.087999999999994</v>
      </c>
      <c r="DG22" s="13"/>
      <c r="DH22" s="13">
        <f>Input_Raw[[#This Row],[33 kV_Wind_F4_Export Reading]]/1000</f>
        <v>134.60599999999999</v>
      </c>
      <c r="DI22" s="13"/>
      <c r="DJ22" s="13">
        <f>Input_Raw[[#This Row],[33 kV_F1_Total_Export (MWh)]]+Input_Raw[[#This Row],[33 kV_F2_Total_Export (MWh)2]]+Input_Raw[[#This Row],[33 kV_Wind_F3_Export (MWh)]]+Input_Raw[[#This Row],[33 kV_Wind_F4_Export (MWh)]]</f>
        <v>254.85999999999999</v>
      </c>
      <c r="DK22" s="13">
        <f>Input_Raw[[#This Row],[33 kV_Wind_F1_Import (MWh)]]+Input_Raw[[#This Row],[33 kV_Wind_F2_Import (MWh)]]+Input_Raw[[#This Row],[33 kV_Wind_F3_Import (MWh)2]]+Input_Raw[[#This Row],[33 kV_Wind_F4_Import (MWh)2]]</f>
        <v>0</v>
      </c>
      <c r="DL22" s="100">
        <f>IFERROR(Input_Raw[[#This Row],[33 kV_Wind_Total_Export (MWh)]]/Input_Raw[[#This Row],[WTG Total Gneration (MWh)]]-1,"")</f>
        <v>-1.1102230246251565E-16</v>
      </c>
      <c r="DM22" s="66"/>
      <c r="DN22" s="186">
        <v>52</v>
      </c>
      <c r="DO22" s="186">
        <v>409</v>
      </c>
      <c r="DP22" s="102">
        <v>249.16</v>
      </c>
      <c r="DQ22" s="66"/>
      <c r="DR22" s="181">
        <v>70.400000000000006</v>
      </c>
    </row>
    <row r="23" spans="1:122">
      <c r="A23" s="92">
        <f t="shared" si="74"/>
        <v>45763</v>
      </c>
      <c r="B23" s="190">
        <f>YEAR(Input_Raw[[#This Row],[Date]])+IF(MONTH(Input_Raw[[#This Row],[Date]])&gt;=4,1,0)</f>
        <v>2026</v>
      </c>
      <c r="C23" s="190">
        <f>YEAR(Input_Raw[[#This Row],[Date]])</f>
        <v>2025</v>
      </c>
      <c r="D23" s="11">
        <f t="shared" si="80"/>
        <v>45748</v>
      </c>
      <c r="E23" s="190">
        <f>DAY(EOMONTH(Input_Raw[[#This Row],[Date]],0))</f>
        <v>30</v>
      </c>
      <c r="F23" s="93">
        <v>11848</v>
      </c>
      <c r="G23" s="93">
        <v>9914</v>
      </c>
      <c r="H23" s="93">
        <v>9336</v>
      </c>
      <c r="I23" s="93">
        <v>7400</v>
      </c>
      <c r="J23" s="93">
        <v>10516</v>
      </c>
      <c r="K23" s="93">
        <v>7636</v>
      </c>
      <c r="L23" s="93">
        <v>9334</v>
      </c>
      <c r="M23" s="93">
        <v>3618</v>
      </c>
      <c r="N23" s="93">
        <v>2236</v>
      </c>
      <c r="O23" s="93">
        <v>3346</v>
      </c>
      <c r="P23" s="93">
        <v>3888</v>
      </c>
      <c r="Q23" s="93">
        <v>4528</v>
      </c>
      <c r="R23" s="93">
        <v>4960</v>
      </c>
      <c r="S23" s="93">
        <v>4768</v>
      </c>
      <c r="T23" s="93">
        <v>4528</v>
      </c>
      <c r="U23" s="93">
        <v>5788</v>
      </c>
      <c r="V23" s="93">
        <v>7052</v>
      </c>
      <c r="W23" s="93">
        <v>9612</v>
      </c>
      <c r="X23" s="93">
        <v>5256</v>
      </c>
      <c r="Y23" s="93">
        <v>4855</v>
      </c>
      <c r="Z23" s="93">
        <v>7872</v>
      </c>
      <c r="AA23" s="93">
        <v>8956</v>
      </c>
      <c r="AB23" s="93">
        <v>5040</v>
      </c>
      <c r="AC23" s="93">
        <v>5504</v>
      </c>
      <c r="AD23" s="93">
        <v>6236</v>
      </c>
      <c r="AE23" s="93">
        <v>5984</v>
      </c>
      <c r="AF23" s="93">
        <v>6604</v>
      </c>
      <c r="AG23" s="93">
        <v>4808</v>
      </c>
      <c r="AH23" s="93">
        <v>7580</v>
      </c>
      <c r="AI23" s="93">
        <v>5616</v>
      </c>
      <c r="AJ23" s="93">
        <v>6358</v>
      </c>
      <c r="AK23" s="93">
        <v>4282</v>
      </c>
      <c r="AL23" s="93">
        <v>9732</v>
      </c>
      <c r="AM23" s="93">
        <v>11024</v>
      </c>
      <c r="AN23" s="93">
        <v>5388</v>
      </c>
      <c r="AO23" s="93">
        <v>7504</v>
      </c>
      <c r="AP23" s="93">
        <v>7832</v>
      </c>
      <c r="AQ23" s="93">
        <v>7608</v>
      </c>
      <c r="AR23" s="93">
        <v>8672</v>
      </c>
      <c r="AS23" s="93">
        <v>7524</v>
      </c>
      <c r="AT23" s="93">
        <v>6680</v>
      </c>
      <c r="AU23" s="93">
        <v>8652</v>
      </c>
      <c r="AV23" s="93">
        <v>9644</v>
      </c>
      <c r="AW23" s="93">
        <v>6100</v>
      </c>
      <c r="AX23" s="95">
        <v>5.91</v>
      </c>
      <c r="AY23" s="95">
        <v>5.82</v>
      </c>
      <c r="AZ23" s="95">
        <v>5.71</v>
      </c>
      <c r="BA23" s="95">
        <v>5.53</v>
      </c>
      <c r="BB23" s="95">
        <v>5.67</v>
      </c>
      <c r="BC23" s="95">
        <v>5.4</v>
      </c>
      <c r="BD23" s="95">
        <v>5.83</v>
      </c>
      <c r="BE23" s="95">
        <v>4.57</v>
      </c>
      <c r="BF23" s="95">
        <v>4.07</v>
      </c>
      <c r="BG23" s="95">
        <v>4.74</v>
      </c>
      <c r="BH23" s="95">
        <v>4.58</v>
      </c>
      <c r="BI23" s="95">
        <v>4.76</v>
      </c>
      <c r="BJ23" s="95">
        <v>4.92</v>
      </c>
      <c r="BK23" s="95">
        <v>4.83</v>
      </c>
      <c r="BL23" s="95">
        <v>4.88</v>
      </c>
      <c r="BM23" s="95">
        <v>5.08</v>
      </c>
      <c r="BN23" s="95">
        <v>5.39</v>
      </c>
      <c r="BO23" s="95">
        <v>5.8</v>
      </c>
      <c r="BP23" s="95">
        <v>4.95</v>
      </c>
      <c r="BQ23" s="95">
        <v>4.58</v>
      </c>
      <c r="BR23" s="95">
        <v>5.73</v>
      </c>
      <c r="BS23" s="95">
        <v>5.77</v>
      </c>
      <c r="BT23" s="95">
        <v>4.72</v>
      </c>
      <c r="BU23" s="95">
        <v>5.37</v>
      </c>
      <c r="BV23" s="95">
        <v>5.44</v>
      </c>
      <c r="BW23" s="95">
        <v>5.37</v>
      </c>
      <c r="BX23" s="95">
        <v>4.63</v>
      </c>
      <c r="BY23" s="95">
        <v>4.6100000000000003</v>
      </c>
      <c r="BZ23" s="95">
        <v>5.48</v>
      </c>
      <c r="CA23" s="95">
        <v>4.96</v>
      </c>
      <c r="CB23" s="95">
        <v>4.9800000000000004</v>
      </c>
      <c r="CC23" s="95">
        <v>4.5599999999999996</v>
      </c>
      <c r="CD23" s="95">
        <v>6.18</v>
      </c>
      <c r="CE23" s="95">
        <v>6.05</v>
      </c>
      <c r="CF23" s="95">
        <v>4.8099999999999996</v>
      </c>
      <c r="CG23" s="95">
        <v>5.9</v>
      </c>
      <c r="CH23" s="95">
        <v>5.76</v>
      </c>
      <c r="CI23" s="95">
        <v>5.17</v>
      </c>
      <c r="CJ23" s="95">
        <v>5.7</v>
      </c>
      <c r="CK23" s="95">
        <v>4.96</v>
      </c>
      <c r="CL23" s="95">
        <v>4.99</v>
      </c>
      <c r="CM23" s="95">
        <v>5.56</v>
      </c>
      <c r="CN23" s="95">
        <v>6.05</v>
      </c>
      <c r="CO23" s="95">
        <v>5.66</v>
      </c>
      <c r="CP23" s="98">
        <f>SUM(Input_Raw[[#This Row],[P-01]:[P-56]])/1000</f>
        <v>301.61900000000003</v>
      </c>
      <c r="CQ23" s="71">
        <f>IFERROR(AVERAGEIF(Input_Raw[[#This Row],[WS_P-01]:[WS_P-56]],"&lt;&gt;",Input_Raw[[#This Row],[WS_P-01]:[WS_P-56]]),"")</f>
        <v>5.2597727272727273</v>
      </c>
      <c r="CR23" s="99">
        <f>MAX(Input_Raw[[#This Row],[WS_P-01]:[WS_P-56]])</f>
        <v>6.18</v>
      </c>
      <c r="CS23" s="99"/>
      <c r="CT23" s="70">
        <f>SUM(Input_Raw[[#This Row],[P-08]:[P-13]],Input_Raw[[#This Row],[P-25]:[P-28]])</f>
        <v>45340</v>
      </c>
      <c r="CU23" s="70"/>
      <c r="CV23" s="70">
        <f>SUM(Input_Raw[[#This Row],[P-04]],Input_Raw[[#This Row],[P-14]:[P-17]],Input_Raw[[#This Row],[P-19]:[P-20]],Input_Raw[[#This Row],[P-22]:[P-23]],Input_Raw[[#This Row],[P-34]],Input_Raw[[#This Row],[P-38]],Input_Raw[[#This Row],[P-43]])</f>
        <v>75801</v>
      </c>
      <c r="CW23" s="70"/>
      <c r="CX23" s="70">
        <f>SUM(Input_Raw[[#This Row],[P-05]:[P-06]],Input_Raw[[#This Row],[P-40]:[P-42]],Input_Raw[[#This Row],[P-45]],Input_Raw[[#This Row],[P-46]],Input_Raw[[#This Row],[P-47]:[P-48]])</f>
        <v>74806</v>
      </c>
      <c r="CY23" s="70"/>
      <c r="CZ23" s="70">
        <f>SUM(Input_Raw[[#This Row],[P-01]:[P-03]],Input_Raw[[#This Row],[P-07]],Input_Raw[[#This Row],[P-18]],Input_Raw[[#This Row],[P-31]:[P-32]],Input_Raw[[#This Row],[P-37]],Input_Raw[[#This Row],[P-50]:[P-56]])</f>
        <v>105672</v>
      </c>
      <c r="DA23" s="12"/>
      <c r="DB23" s="13">
        <f>Input_Raw[[#This Row],[33 kV_Wind_F1_Export reading]]/1000</f>
        <v>45.34</v>
      </c>
      <c r="DC23" s="13"/>
      <c r="DD23" s="13">
        <f>Input_Raw[[#This Row],[33 kV_Wind_F2_Export_reading]]/1000</f>
        <v>75.801000000000002</v>
      </c>
      <c r="DE23" s="13"/>
      <c r="DF23" s="13">
        <f>Input_Raw[[#This Row],[33 kV_Wind_F3_Export_Reading]]/1000</f>
        <v>74.805999999999997</v>
      </c>
      <c r="DG23" s="13"/>
      <c r="DH23" s="13">
        <f>Input_Raw[[#This Row],[33 kV_Wind_F4_Export Reading]]/1000</f>
        <v>105.672</v>
      </c>
      <c r="DI23" s="13"/>
      <c r="DJ23" s="13">
        <f>Input_Raw[[#This Row],[33 kV_F1_Total_Export (MWh)]]+Input_Raw[[#This Row],[33 kV_F2_Total_Export (MWh)2]]+Input_Raw[[#This Row],[33 kV_Wind_F3_Export (MWh)]]+Input_Raw[[#This Row],[33 kV_Wind_F4_Export (MWh)]]</f>
        <v>301.61900000000003</v>
      </c>
      <c r="DK23" s="13">
        <f>Input_Raw[[#This Row],[33 kV_Wind_F1_Import (MWh)]]+Input_Raw[[#This Row],[33 kV_Wind_F2_Import (MWh)]]+Input_Raw[[#This Row],[33 kV_Wind_F3_Import (MWh)2]]+Input_Raw[[#This Row],[33 kV_Wind_F4_Import (MWh)2]]</f>
        <v>0</v>
      </c>
      <c r="DL23" s="100">
        <f>IFERROR(Input_Raw[[#This Row],[33 kV_Wind_Total_Export (MWh)]]/Input_Raw[[#This Row],[WTG Total Gneration (MWh)]]-1,"")</f>
        <v>0</v>
      </c>
      <c r="DM23" s="66"/>
      <c r="DN23" s="186">
        <v>54</v>
      </c>
      <c r="DO23" s="186">
        <v>1534</v>
      </c>
      <c r="DP23" s="102">
        <v>288.87</v>
      </c>
      <c r="DQ23" s="66"/>
      <c r="DR23" s="181">
        <v>70.400000000000006</v>
      </c>
    </row>
    <row r="24" spans="1:122">
      <c r="A24" s="92">
        <f t="shared" si="74"/>
        <v>45764</v>
      </c>
      <c r="B24" s="190">
        <f>YEAR(Input_Raw[[#This Row],[Date]])+IF(MONTH(Input_Raw[[#This Row],[Date]])&gt;=4,1,0)</f>
        <v>2026</v>
      </c>
      <c r="C24" s="190">
        <f>YEAR(Input_Raw[[#This Row],[Date]])</f>
        <v>2025</v>
      </c>
      <c r="D24" s="11">
        <f t="shared" si="80"/>
        <v>45748</v>
      </c>
      <c r="E24" s="190">
        <f>DAY(EOMONTH(Input_Raw[[#This Row],[Date]],0))</f>
        <v>30</v>
      </c>
      <c r="F24" s="93">
        <v>15284</v>
      </c>
      <c r="G24" s="93">
        <v>11874</v>
      </c>
      <c r="H24" s="93">
        <v>11896</v>
      </c>
      <c r="I24" s="93">
        <v>8462</v>
      </c>
      <c r="J24" s="93">
        <v>12948</v>
      </c>
      <c r="K24" s="93">
        <v>13064</v>
      </c>
      <c r="L24" s="93">
        <v>13038</v>
      </c>
      <c r="M24" s="93">
        <v>4766</v>
      </c>
      <c r="N24" s="93">
        <v>3500</v>
      </c>
      <c r="O24" s="93">
        <v>4270</v>
      </c>
      <c r="P24" s="93">
        <v>4484</v>
      </c>
      <c r="Q24" s="93">
        <v>4816</v>
      </c>
      <c r="R24" s="93">
        <v>4888</v>
      </c>
      <c r="S24" s="93">
        <v>5088</v>
      </c>
      <c r="T24" s="93">
        <v>4234</v>
      </c>
      <c r="U24" s="93">
        <v>5196</v>
      </c>
      <c r="V24" s="93">
        <v>5596</v>
      </c>
      <c r="W24" s="93">
        <v>13036</v>
      </c>
      <c r="X24" s="93">
        <v>5816</v>
      </c>
      <c r="Y24" s="93">
        <v>4839</v>
      </c>
      <c r="Z24" s="93">
        <v>9548</v>
      </c>
      <c r="AA24" s="93">
        <v>10992</v>
      </c>
      <c r="AB24" s="93">
        <v>7196</v>
      </c>
      <c r="AC24" s="93">
        <v>7096</v>
      </c>
      <c r="AD24" s="93">
        <v>8764</v>
      </c>
      <c r="AE24" s="93">
        <v>7728</v>
      </c>
      <c r="AF24" s="93">
        <v>9738</v>
      </c>
      <c r="AG24" s="93">
        <v>5820</v>
      </c>
      <c r="AH24" s="93">
        <v>8528</v>
      </c>
      <c r="AI24" s="93">
        <v>8864</v>
      </c>
      <c r="AJ24" s="93">
        <v>5484</v>
      </c>
      <c r="AK24" s="93">
        <v>5638</v>
      </c>
      <c r="AL24" s="93">
        <v>13948</v>
      </c>
      <c r="AM24" s="93">
        <v>17140</v>
      </c>
      <c r="AN24" s="93">
        <v>6798</v>
      </c>
      <c r="AO24" s="93">
        <v>14928</v>
      </c>
      <c r="AP24" s="93">
        <v>15268</v>
      </c>
      <c r="AQ24" s="93">
        <v>14804</v>
      </c>
      <c r="AR24" s="93">
        <v>15024</v>
      </c>
      <c r="AS24" s="93">
        <v>6020</v>
      </c>
      <c r="AT24" s="93">
        <v>9376</v>
      </c>
      <c r="AU24" s="93">
        <v>12416</v>
      </c>
      <c r="AV24" s="93">
        <v>13312</v>
      </c>
      <c r="AW24" s="93">
        <v>15068</v>
      </c>
      <c r="AX24" s="95">
        <v>7.05</v>
      </c>
      <c r="AY24" s="95">
        <v>6.47</v>
      </c>
      <c r="AZ24" s="95">
        <v>6.5</v>
      </c>
      <c r="BA24" s="95">
        <v>6.17</v>
      </c>
      <c r="BB24" s="95">
        <v>7</v>
      </c>
      <c r="BC24" s="95">
        <v>7.22</v>
      </c>
      <c r="BD24" s="95">
        <v>6.94</v>
      </c>
      <c r="BE24" s="95">
        <v>5.27</v>
      </c>
      <c r="BF24" s="95">
        <v>5.03</v>
      </c>
      <c r="BG24" s="95">
        <v>5.58</v>
      </c>
      <c r="BH24" s="95">
        <v>5.23</v>
      </c>
      <c r="BI24" s="95">
        <v>5.25</v>
      </c>
      <c r="BJ24" s="95">
        <v>5.46</v>
      </c>
      <c r="BK24" s="95">
        <v>5.51</v>
      </c>
      <c r="BL24" s="95">
        <v>5.38</v>
      </c>
      <c r="BM24" s="95">
        <v>5.6</v>
      </c>
      <c r="BN24" s="95">
        <v>5.45</v>
      </c>
      <c r="BO24" s="95">
        <v>6.95</v>
      </c>
      <c r="BP24" s="95">
        <v>5.57</v>
      </c>
      <c r="BQ24" s="95">
        <v>5.14</v>
      </c>
      <c r="BR24" s="95">
        <v>6.47</v>
      </c>
      <c r="BS24" s="95">
        <v>6.65</v>
      </c>
      <c r="BT24" s="95">
        <v>5.68</v>
      </c>
      <c r="BU24" s="95">
        <v>6.06</v>
      </c>
      <c r="BV24" s="95">
        <v>6.52</v>
      </c>
      <c r="BW24" s="95">
        <v>6.28</v>
      </c>
      <c r="BX24" s="95">
        <v>5.72</v>
      </c>
      <c r="BY24" s="95">
        <v>5.2</v>
      </c>
      <c r="BZ24" s="95">
        <v>6.18</v>
      </c>
      <c r="CA24" s="95">
        <v>6.07</v>
      </c>
      <c r="CB24" s="95">
        <v>5.28</v>
      </c>
      <c r="CC24" s="95">
        <v>5.62</v>
      </c>
      <c r="CD24" s="95">
        <v>7.63</v>
      </c>
      <c r="CE24" s="95">
        <v>7.65</v>
      </c>
      <c r="CF24" s="95">
        <v>5.6</v>
      </c>
      <c r="CG24" s="95">
        <v>8.07</v>
      </c>
      <c r="CH24" s="95">
        <v>7.7</v>
      </c>
      <c r="CI24" s="95">
        <v>7.02</v>
      </c>
      <c r="CJ24" s="95">
        <v>7.41</v>
      </c>
      <c r="CK24" s="95">
        <v>5.01</v>
      </c>
      <c r="CL24" s="95">
        <v>6.14</v>
      </c>
      <c r="CM24" s="95">
        <v>6.75</v>
      </c>
      <c r="CN24" s="95">
        <v>7.58</v>
      </c>
      <c r="CO24" s="95">
        <v>7.54</v>
      </c>
      <c r="CP24" s="98">
        <f>SUM(Input_Raw[[#This Row],[P-01]:[P-56]])/1000</f>
        <v>406.59300000000002</v>
      </c>
      <c r="CQ24" s="71">
        <f>IFERROR(AVERAGEIF(Input_Raw[[#This Row],[WS_P-01]:[WS_P-56]],"&lt;&gt;",Input_Raw[[#This Row],[WS_P-01]:[WS_P-56]]),"")</f>
        <v>6.2409090909090903</v>
      </c>
      <c r="CR24" s="99">
        <f>MAX(Input_Raw[[#This Row],[WS_P-01]:[WS_P-56]])</f>
        <v>8.07</v>
      </c>
      <c r="CS24" s="99"/>
      <c r="CT24" s="70">
        <f>SUM(Input_Raw[[#This Row],[P-08]:[P-13]],Input_Raw[[#This Row],[P-25]:[P-28]])</f>
        <v>57508</v>
      </c>
      <c r="CU24" s="70"/>
      <c r="CV24" s="70">
        <f>SUM(Input_Raw[[#This Row],[P-04]],Input_Raw[[#This Row],[P-14]:[P-17]],Input_Raw[[#This Row],[P-19]:[P-20]],Input_Raw[[#This Row],[P-22]:[P-23]],Input_Raw[[#This Row],[P-34]],Input_Raw[[#This Row],[P-38]],Input_Raw[[#This Row],[P-43]])</f>
        <v>80581</v>
      </c>
      <c r="CW24" s="70"/>
      <c r="CX24" s="70">
        <f>SUM(Input_Raw[[#This Row],[P-05]:[P-06]],Input_Raw[[#This Row],[P-40]:[P-42]],Input_Raw[[#This Row],[P-45]],Input_Raw[[#This Row],[P-46]],Input_Raw[[#This Row],[P-47]:[P-48]])</f>
        <v>122762</v>
      </c>
      <c r="CY24" s="70"/>
      <c r="CZ24" s="70">
        <f>SUM(Input_Raw[[#This Row],[P-01]:[P-03]],Input_Raw[[#This Row],[P-07]],Input_Raw[[#This Row],[P-18]],Input_Raw[[#This Row],[P-31]:[P-32]],Input_Raw[[#This Row],[P-37]],Input_Raw[[#This Row],[P-50]:[P-56]])</f>
        <v>145742</v>
      </c>
      <c r="DA24" s="12"/>
      <c r="DB24" s="13">
        <f>Input_Raw[[#This Row],[33 kV_Wind_F1_Export reading]]/1000</f>
        <v>57.508000000000003</v>
      </c>
      <c r="DC24" s="13"/>
      <c r="DD24" s="13">
        <f>Input_Raw[[#This Row],[33 kV_Wind_F2_Export_reading]]/1000</f>
        <v>80.581000000000003</v>
      </c>
      <c r="DE24" s="13"/>
      <c r="DF24" s="13">
        <f>Input_Raw[[#This Row],[33 kV_Wind_F3_Export_Reading]]/1000</f>
        <v>122.762</v>
      </c>
      <c r="DG24" s="13"/>
      <c r="DH24" s="13">
        <f>Input_Raw[[#This Row],[33 kV_Wind_F4_Export Reading]]/1000</f>
        <v>145.74199999999999</v>
      </c>
      <c r="DI24" s="13"/>
      <c r="DJ24" s="13">
        <f>Input_Raw[[#This Row],[33 kV_F1_Total_Export (MWh)]]+Input_Raw[[#This Row],[33 kV_F2_Total_Export (MWh)2]]+Input_Raw[[#This Row],[33 kV_Wind_F3_Export (MWh)]]+Input_Raw[[#This Row],[33 kV_Wind_F4_Export (MWh)]]</f>
        <v>406.59299999999996</v>
      </c>
      <c r="DK24" s="13">
        <f>Input_Raw[[#This Row],[33 kV_Wind_F1_Import (MWh)]]+Input_Raw[[#This Row],[33 kV_Wind_F2_Import (MWh)]]+Input_Raw[[#This Row],[33 kV_Wind_F3_Import (MWh)2]]+Input_Raw[[#This Row],[33 kV_Wind_F4_Import (MWh)2]]</f>
        <v>0</v>
      </c>
      <c r="DL24" s="100">
        <f>IFERROR(Input_Raw[[#This Row],[33 kV_Wind_Total_Export (MWh)]]/Input_Raw[[#This Row],[WTG Total Gneration (MWh)]]-1,"")</f>
        <v>-1.1102230246251565E-16</v>
      </c>
      <c r="DM24" s="66"/>
      <c r="DN24" s="186">
        <v>95</v>
      </c>
      <c r="DO24" s="186">
        <v>6832</v>
      </c>
      <c r="DP24" s="102">
        <v>398.35</v>
      </c>
      <c r="DQ24" s="66"/>
      <c r="DR24" s="181">
        <v>70.400000000000006</v>
      </c>
    </row>
    <row r="25" spans="1:122">
      <c r="A25" s="92">
        <f t="shared" si="74"/>
        <v>45765</v>
      </c>
      <c r="B25" s="190">
        <f>YEAR(Input_Raw[[#This Row],[Date]])+IF(MONTH(Input_Raw[[#This Row],[Date]])&gt;=4,1,0)</f>
        <v>2026</v>
      </c>
      <c r="C25" s="190">
        <f>YEAR(Input_Raw[[#This Row],[Date]])</f>
        <v>2025</v>
      </c>
      <c r="D25" s="11">
        <f t="shared" si="80"/>
        <v>45748</v>
      </c>
      <c r="E25" s="190">
        <f>DAY(EOMONTH(Input_Raw[[#This Row],[Date]],0))</f>
        <v>30</v>
      </c>
      <c r="F25" s="93">
        <v>15976</v>
      </c>
      <c r="G25" s="93">
        <v>12770</v>
      </c>
      <c r="H25" s="93">
        <v>12612</v>
      </c>
      <c r="I25" s="93">
        <v>10010</v>
      </c>
      <c r="J25" s="93">
        <v>11112</v>
      </c>
      <c r="K25" s="93">
        <v>7176</v>
      </c>
      <c r="L25" s="93">
        <v>14158</v>
      </c>
      <c r="M25" s="93">
        <v>4776</v>
      </c>
      <c r="N25" s="93">
        <v>3140</v>
      </c>
      <c r="O25" s="93">
        <v>3936</v>
      </c>
      <c r="P25" s="93">
        <v>4360</v>
      </c>
      <c r="Q25" s="93">
        <v>4548</v>
      </c>
      <c r="R25" s="93">
        <v>4646</v>
      </c>
      <c r="S25" s="93">
        <v>4580</v>
      </c>
      <c r="T25" s="93">
        <v>4064</v>
      </c>
      <c r="U25" s="93">
        <v>5096</v>
      </c>
      <c r="V25" s="93">
        <v>5804</v>
      </c>
      <c r="W25" s="93">
        <v>14696</v>
      </c>
      <c r="X25" s="93">
        <v>5658</v>
      </c>
      <c r="Y25" s="93">
        <v>5017</v>
      </c>
      <c r="Z25" s="93">
        <v>11860</v>
      </c>
      <c r="AA25" s="93">
        <v>12088</v>
      </c>
      <c r="AB25" s="93">
        <v>7464</v>
      </c>
      <c r="AC25" s="93">
        <v>7344</v>
      </c>
      <c r="AD25" s="93">
        <v>8116</v>
      </c>
      <c r="AE25" s="93">
        <v>6556</v>
      </c>
      <c r="AF25" s="93">
        <v>8210</v>
      </c>
      <c r="AG25" s="93">
        <v>4848</v>
      </c>
      <c r="AH25" s="93">
        <v>8776</v>
      </c>
      <c r="AI25" s="93">
        <v>7210</v>
      </c>
      <c r="AJ25" s="93">
        <v>6166</v>
      </c>
      <c r="AK25" s="93">
        <v>3616</v>
      </c>
      <c r="AL25" s="93">
        <v>9868</v>
      </c>
      <c r="AM25" s="93">
        <v>11124</v>
      </c>
      <c r="AN25" s="93">
        <v>6944</v>
      </c>
      <c r="AO25" s="93">
        <v>7432</v>
      </c>
      <c r="AP25" s="93">
        <v>9120</v>
      </c>
      <c r="AQ25" s="93">
        <v>8864</v>
      </c>
      <c r="AR25" s="93">
        <v>9816</v>
      </c>
      <c r="AS25" s="93">
        <v>6288</v>
      </c>
      <c r="AT25" s="93">
        <v>8292</v>
      </c>
      <c r="AU25" s="93">
        <v>10952</v>
      </c>
      <c r="AV25" s="93">
        <v>15328</v>
      </c>
      <c r="AW25" s="93">
        <v>13316</v>
      </c>
      <c r="AX25" s="95">
        <v>6.84</v>
      </c>
      <c r="AY25" s="95">
        <v>6.52</v>
      </c>
      <c r="AZ25" s="95">
        <v>6.52</v>
      </c>
      <c r="BA25" s="95">
        <v>6.15</v>
      </c>
      <c r="BB25" s="95">
        <v>6.17</v>
      </c>
      <c r="BC25" s="95">
        <v>5.58</v>
      </c>
      <c r="BD25" s="95">
        <v>6.93</v>
      </c>
      <c r="BE25" s="95">
        <v>5.05</v>
      </c>
      <c r="BF25" s="95">
        <v>4.5999999999999996</v>
      </c>
      <c r="BG25" s="95">
        <v>5.1100000000000003</v>
      </c>
      <c r="BH25" s="95">
        <v>4.8600000000000003</v>
      </c>
      <c r="BI25" s="95">
        <v>4.88</v>
      </c>
      <c r="BJ25" s="95">
        <v>4.96</v>
      </c>
      <c r="BK25" s="95">
        <v>4.9400000000000004</v>
      </c>
      <c r="BL25" s="95">
        <v>4.9400000000000004</v>
      </c>
      <c r="BM25" s="95">
        <v>5.09</v>
      </c>
      <c r="BN25" s="95">
        <v>5.2</v>
      </c>
      <c r="BO25" s="95">
        <v>6.94</v>
      </c>
      <c r="BP25" s="95">
        <v>5.16</v>
      </c>
      <c r="BQ25" s="95">
        <v>4.8099999999999996</v>
      </c>
      <c r="BR25" s="95">
        <v>6.54</v>
      </c>
      <c r="BS25" s="95">
        <v>6.51</v>
      </c>
      <c r="BT25" s="95">
        <v>5.42</v>
      </c>
      <c r="BU25" s="95">
        <v>5.84</v>
      </c>
      <c r="BV25" s="95">
        <v>6.02</v>
      </c>
      <c r="BW25" s="95">
        <v>5.61</v>
      </c>
      <c r="BX25" s="95">
        <v>5.44</v>
      </c>
      <c r="BY25" s="95">
        <v>4.8099999999999996</v>
      </c>
      <c r="BZ25" s="95">
        <v>5.96</v>
      </c>
      <c r="CA25" s="95">
        <v>5.52</v>
      </c>
      <c r="CB25" s="95">
        <v>5.0199999999999996</v>
      </c>
      <c r="CC25" s="95">
        <v>4.55</v>
      </c>
      <c r="CD25" s="95">
        <v>6.4</v>
      </c>
      <c r="CE25" s="95">
        <v>6.15</v>
      </c>
      <c r="CF25" s="95">
        <v>5.25</v>
      </c>
      <c r="CG25" s="95">
        <v>6.46</v>
      </c>
      <c r="CH25" s="95">
        <v>6.17</v>
      </c>
      <c r="CI25" s="95">
        <v>5.57</v>
      </c>
      <c r="CJ25" s="95">
        <v>6.12</v>
      </c>
      <c r="CK25" s="95">
        <v>4.91</v>
      </c>
      <c r="CL25" s="95">
        <v>5.65</v>
      </c>
      <c r="CM25" s="95">
        <v>6.16</v>
      </c>
      <c r="CN25" s="95">
        <v>7.18</v>
      </c>
      <c r="CO25" s="95">
        <v>6.85</v>
      </c>
      <c r="CP25" s="98">
        <f>SUM(Input_Raw[[#This Row],[P-01]:[P-56]])/1000</f>
        <v>363.733</v>
      </c>
      <c r="CQ25" s="71">
        <f>IFERROR(AVERAGEIF(Input_Raw[[#This Row],[WS_P-01]:[WS_P-56]],"&lt;&gt;",Input_Raw[[#This Row],[WS_P-01]:[WS_P-56]]),"")</f>
        <v>5.7127272727272747</v>
      </c>
      <c r="CR25" s="99">
        <f>MAX(Input_Raw[[#This Row],[WS_P-01]:[WS_P-56]])</f>
        <v>7.18</v>
      </c>
      <c r="CS25" s="99"/>
      <c r="CT25" s="70">
        <f>SUM(Input_Raw[[#This Row],[P-08]:[P-13]],Input_Raw[[#This Row],[P-25]:[P-28]])</f>
        <v>54886</v>
      </c>
      <c r="CU25" s="70"/>
      <c r="CV25" s="70">
        <f>SUM(Input_Raw[[#This Row],[P-04]],Input_Raw[[#This Row],[P-14]:[P-17]],Input_Raw[[#This Row],[P-19]:[P-20]],Input_Raw[[#This Row],[P-22]:[P-23]],Input_Raw[[#This Row],[P-34]],Input_Raw[[#This Row],[P-38]],Input_Raw[[#This Row],[P-43]])</f>
        <v>86063</v>
      </c>
      <c r="CW25" s="70"/>
      <c r="CX25" s="70">
        <f>SUM(Input_Raw[[#This Row],[P-05]:[P-06]],Input_Raw[[#This Row],[P-40]:[P-42]],Input_Raw[[#This Row],[P-45]],Input_Raw[[#This Row],[P-46]],Input_Raw[[#This Row],[P-47]:[P-48]])</f>
        <v>78128</v>
      </c>
      <c r="CY25" s="70"/>
      <c r="CZ25" s="70">
        <f>SUM(Input_Raw[[#This Row],[P-01]:[P-03]],Input_Raw[[#This Row],[P-07]],Input_Raw[[#This Row],[P-18]],Input_Raw[[#This Row],[P-31]:[P-32]],Input_Raw[[#This Row],[P-37]],Input_Raw[[#This Row],[P-50]:[P-56]])</f>
        <v>144656</v>
      </c>
      <c r="DA25" s="12"/>
      <c r="DB25" s="13">
        <f>Input_Raw[[#This Row],[33 kV_Wind_F1_Export reading]]/1000</f>
        <v>54.886000000000003</v>
      </c>
      <c r="DC25" s="13"/>
      <c r="DD25" s="13">
        <f>Input_Raw[[#This Row],[33 kV_Wind_F2_Export_reading]]/1000</f>
        <v>86.063000000000002</v>
      </c>
      <c r="DE25" s="13"/>
      <c r="DF25" s="13">
        <f>Input_Raw[[#This Row],[33 kV_Wind_F3_Export_Reading]]/1000</f>
        <v>78.128</v>
      </c>
      <c r="DG25" s="13"/>
      <c r="DH25" s="13">
        <f>Input_Raw[[#This Row],[33 kV_Wind_F4_Export Reading]]/1000</f>
        <v>144.65600000000001</v>
      </c>
      <c r="DI25" s="13"/>
      <c r="DJ25" s="13">
        <f>Input_Raw[[#This Row],[33 kV_F1_Total_Export (MWh)]]+Input_Raw[[#This Row],[33 kV_F2_Total_Export (MWh)2]]+Input_Raw[[#This Row],[33 kV_Wind_F3_Export (MWh)]]+Input_Raw[[#This Row],[33 kV_Wind_F4_Export (MWh)]]</f>
        <v>363.733</v>
      </c>
      <c r="DK25" s="13">
        <f>Input_Raw[[#This Row],[33 kV_Wind_F1_Import (MWh)]]+Input_Raw[[#This Row],[33 kV_Wind_F2_Import (MWh)]]+Input_Raw[[#This Row],[33 kV_Wind_F3_Import (MWh)2]]+Input_Raw[[#This Row],[33 kV_Wind_F4_Import (MWh)2]]</f>
        <v>0</v>
      </c>
      <c r="DL25" s="100">
        <f>IFERROR(Input_Raw[[#This Row],[33 kV_Wind_Total_Export (MWh)]]/Input_Raw[[#This Row],[WTG Total Gneration (MWh)]]-1,"")</f>
        <v>0</v>
      </c>
      <c r="DM25" s="66"/>
      <c r="DN25" s="186">
        <v>90</v>
      </c>
      <c r="DO25" s="186">
        <v>1677</v>
      </c>
      <c r="DP25" s="102">
        <v>353.43</v>
      </c>
      <c r="DQ25" s="66"/>
      <c r="DR25" s="181">
        <v>70.400000000000006</v>
      </c>
    </row>
    <row r="26" spans="1:122">
      <c r="A26" s="92">
        <f t="shared" si="74"/>
        <v>45766</v>
      </c>
      <c r="B26" s="190">
        <f>YEAR(Input_Raw[[#This Row],[Date]])+IF(MONTH(Input_Raw[[#This Row],[Date]])&gt;=4,1,0)</f>
        <v>2026</v>
      </c>
      <c r="C26" s="190">
        <f>YEAR(Input_Raw[[#This Row],[Date]])</f>
        <v>2025</v>
      </c>
      <c r="D26" s="11">
        <f t="shared" ref="D26:D27" si="81">A26-DAY(A26)+1</f>
        <v>45748</v>
      </c>
      <c r="E26" s="190">
        <f>DAY(EOMONTH(Input_Raw[[#This Row],[Date]],0))</f>
        <v>30</v>
      </c>
      <c r="F26" s="93">
        <v>13680</v>
      </c>
      <c r="G26" s="93">
        <v>13158</v>
      </c>
      <c r="H26" s="93">
        <v>13488</v>
      </c>
      <c r="I26" s="93">
        <v>8300</v>
      </c>
      <c r="J26" s="93">
        <v>10264</v>
      </c>
      <c r="K26" s="93">
        <v>7384</v>
      </c>
      <c r="L26" s="93">
        <v>10792</v>
      </c>
      <c r="M26" s="93">
        <v>3822</v>
      </c>
      <c r="N26" s="93">
        <v>2828</v>
      </c>
      <c r="O26" s="93">
        <v>3448</v>
      </c>
      <c r="P26" s="93">
        <v>3536</v>
      </c>
      <c r="Q26" s="93">
        <v>3702</v>
      </c>
      <c r="R26" s="93">
        <v>3660</v>
      </c>
      <c r="S26" s="93">
        <v>3876</v>
      </c>
      <c r="T26" s="93">
        <v>3660</v>
      </c>
      <c r="U26" s="93">
        <v>4466</v>
      </c>
      <c r="V26" s="93">
        <v>4928</v>
      </c>
      <c r="W26" s="93">
        <v>12576</v>
      </c>
      <c r="X26" s="93">
        <v>4910</v>
      </c>
      <c r="Y26" s="93">
        <v>4344</v>
      </c>
      <c r="Z26" s="93">
        <v>9272</v>
      </c>
      <c r="AA26" s="93">
        <v>10664</v>
      </c>
      <c r="AB26" s="93">
        <v>5864</v>
      </c>
      <c r="AC26" s="93">
        <v>6008</v>
      </c>
      <c r="AD26" s="93">
        <v>6416</v>
      </c>
      <c r="AE26" s="93">
        <v>5564</v>
      </c>
      <c r="AF26" s="93">
        <v>11814</v>
      </c>
      <c r="AG26" s="93">
        <v>4048</v>
      </c>
      <c r="AH26" s="93">
        <v>7996</v>
      </c>
      <c r="AI26" s="93">
        <v>5792</v>
      </c>
      <c r="AJ26" s="93">
        <v>5648</v>
      </c>
      <c r="AK26" s="93">
        <v>4340</v>
      </c>
      <c r="AL26" s="93">
        <v>9520</v>
      </c>
      <c r="AM26" s="93">
        <v>8880</v>
      </c>
      <c r="AN26" s="93">
        <v>5436</v>
      </c>
      <c r="AO26" s="93">
        <v>8876</v>
      </c>
      <c r="AP26" s="93">
        <v>5292</v>
      </c>
      <c r="AQ26" s="93">
        <v>8108.0000000000009</v>
      </c>
      <c r="AR26" s="93">
        <v>8848</v>
      </c>
      <c r="AS26" s="93">
        <v>4104</v>
      </c>
      <c r="AT26" s="93">
        <v>6444</v>
      </c>
      <c r="AU26" s="93">
        <v>8614</v>
      </c>
      <c r="AV26" s="93">
        <v>11768</v>
      </c>
      <c r="AW26" s="93">
        <v>10300</v>
      </c>
      <c r="AX26" s="95">
        <v>6.71</v>
      </c>
      <c r="AY26" s="95">
        <v>6.79</v>
      </c>
      <c r="AZ26" s="95">
        <v>7.01</v>
      </c>
      <c r="BA26" s="95">
        <v>5.94</v>
      </c>
      <c r="BB26" s="95">
        <v>6.38</v>
      </c>
      <c r="BC26" s="95">
        <v>6.03</v>
      </c>
      <c r="BD26" s="95">
        <v>6.49</v>
      </c>
      <c r="BE26" s="95">
        <v>4.8499999999999996</v>
      </c>
      <c r="BF26" s="95">
        <v>4.6500000000000004</v>
      </c>
      <c r="BG26" s="95">
        <v>5.16</v>
      </c>
      <c r="BH26" s="95">
        <v>4.78</v>
      </c>
      <c r="BI26" s="95">
        <v>4.8099999999999996</v>
      </c>
      <c r="BJ26" s="95">
        <v>4.88</v>
      </c>
      <c r="BK26" s="95">
        <v>4.95</v>
      </c>
      <c r="BL26" s="95">
        <v>4.99</v>
      </c>
      <c r="BM26" s="95">
        <v>5.26</v>
      </c>
      <c r="BN26" s="95">
        <v>5.18</v>
      </c>
      <c r="BO26" s="95">
        <v>6.83</v>
      </c>
      <c r="BP26" s="95">
        <v>5.23</v>
      </c>
      <c r="BQ26" s="95">
        <v>4.9000000000000004</v>
      </c>
      <c r="BR26" s="95">
        <v>6.23</v>
      </c>
      <c r="BS26" s="95">
        <v>6.42</v>
      </c>
      <c r="BT26" s="95">
        <v>5.22</v>
      </c>
      <c r="BU26" s="95">
        <v>5.66</v>
      </c>
      <c r="BV26" s="95">
        <v>5.81</v>
      </c>
      <c r="BW26" s="95">
        <v>5.58</v>
      </c>
      <c r="BX26" s="95">
        <v>6.52</v>
      </c>
      <c r="BY26" s="95">
        <v>4.7</v>
      </c>
      <c r="BZ26" s="95">
        <v>6</v>
      </c>
      <c r="CA26" s="95">
        <v>5.39</v>
      </c>
      <c r="CB26" s="95">
        <v>5.18</v>
      </c>
      <c r="CC26" s="95">
        <v>5.29</v>
      </c>
      <c r="CD26" s="95">
        <v>6.63</v>
      </c>
      <c r="CE26" s="95">
        <v>5.98</v>
      </c>
      <c r="CF26" s="95">
        <v>4.95</v>
      </c>
      <c r="CG26" s="95">
        <v>6.56</v>
      </c>
      <c r="CH26" s="95">
        <v>6.19</v>
      </c>
      <c r="CI26" s="95">
        <v>5.74</v>
      </c>
      <c r="CJ26" s="95">
        <v>6.28</v>
      </c>
      <c r="CK26" s="95">
        <v>4.51</v>
      </c>
      <c r="CL26" s="95">
        <v>5.5</v>
      </c>
      <c r="CM26" s="95">
        <v>5.98</v>
      </c>
      <c r="CN26" s="95">
        <v>6.74</v>
      </c>
      <c r="CO26" s="95">
        <v>6.59</v>
      </c>
      <c r="CP26" s="98">
        <f>SUM(Input_Raw[[#This Row],[P-01]:[P-56]])/1000</f>
        <v>316.43799999999999</v>
      </c>
      <c r="CQ26" s="71">
        <f>IFERROR(AVERAGEIF(Input_Raw[[#This Row],[WS_P-01]:[WS_P-56]],"&lt;&gt;",Input_Raw[[#This Row],[WS_P-01]:[WS_P-56]]),"")</f>
        <v>5.7152272727272724</v>
      </c>
      <c r="CR26" s="99">
        <f>MAX(Input_Raw[[#This Row],[WS_P-01]:[WS_P-56]])</f>
        <v>7.01</v>
      </c>
      <c r="CS26" s="99"/>
      <c r="CT26" s="70">
        <f>SUM(Input_Raw[[#This Row],[P-08]:[P-13]],Input_Raw[[#This Row],[P-25]:[P-28]])</f>
        <v>44848</v>
      </c>
      <c r="CU26" s="70"/>
      <c r="CV26" s="70">
        <f>SUM(Input_Raw[[#This Row],[P-04]],Input_Raw[[#This Row],[P-14]:[P-17]],Input_Raw[[#This Row],[P-19]:[P-20]],Input_Raw[[#This Row],[P-22]:[P-23]],Input_Raw[[#This Row],[P-34]],Input_Raw[[#This Row],[P-38]],Input_Raw[[#This Row],[P-43]])</f>
        <v>73500</v>
      </c>
      <c r="CW26" s="70"/>
      <c r="CX26" s="70">
        <f>SUM(Input_Raw[[#This Row],[P-05]:[P-06]],Input_Raw[[#This Row],[P-40]:[P-42]],Input_Raw[[#This Row],[P-45]],Input_Raw[[#This Row],[P-46]],Input_Raw[[#This Row],[P-47]:[P-48]])</f>
        <v>71512</v>
      </c>
      <c r="CY26" s="70"/>
      <c r="CZ26" s="70">
        <f>SUM(Input_Raw[[#This Row],[P-01]:[P-03]],Input_Raw[[#This Row],[P-07]],Input_Raw[[#This Row],[P-18]],Input_Raw[[#This Row],[P-31]:[P-32]],Input_Raw[[#This Row],[P-37]],Input_Raw[[#This Row],[P-50]:[P-56]])</f>
        <v>126578</v>
      </c>
      <c r="DA26" s="12"/>
      <c r="DB26" s="13">
        <f>Input_Raw[[#This Row],[33 kV_Wind_F1_Export reading]]/1000</f>
        <v>44.847999999999999</v>
      </c>
      <c r="DC26" s="13"/>
      <c r="DD26" s="13">
        <f>Input_Raw[[#This Row],[33 kV_Wind_F2_Export_reading]]/1000</f>
        <v>73.5</v>
      </c>
      <c r="DE26" s="13"/>
      <c r="DF26" s="13">
        <f>Input_Raw[[#This Row],[33 kV_Wind_F3_Export_Reading]]/1000</f>
        <v>71.512</v>
      </c>
      <c r="DG26" s="13"/>
      <c r="DH26" s="13">
        <f>Input_Raw[[#This Row],[33 kV_Wind_F4_Export Reading]]/1000</f>
        <v>126.578</v>
      </c>
      <c r="DI26" s="13"/>
      <c r="DJ26" s="13">
        <f>Input_Raw[[#This Row],[33 kV_F1_Total_Export (MWh)]]+Input_Raw[[#This Row],[33 kV_F2_Total_Export (MWh)2]]+Input_Raw[[#This Row],[33 kV_Wind_F3_Export (MWh)]]+Input_Raw[[#This Row],[33 kV_Wind_F4_Export (MWh)]]</f>
        <v>316.43799999999999</v>
      </c>
      <c r="DK26" s="13">
        <f>Input_Raw[[#This Row],[33 kV_Wind_F1_Import (MWh)]]+Input_Raw[[#This Row],[33 kV_Wind_F2_Import (MWh)]]+Input_Raw[[#This Row],[33 kV_Wind_F3_Import (MWh)2]]+Input_Raw[[#This Row],[33 kV_Wind_F4_Import (MWh)2]]</f>
        <v>0</v>
      </c>
      <c r="DL26" s="100">
        <f>IFERROR(Input_Raw[[#This Row],[33 kV_Wind_Total_Export (MWh)]]/Input_Raw[[#This Row],[WTG Total Gneration (MWh)]]-1,"")</f>
        <v>0</v>
      </c>
      <c r="DM26" s="66"/>
      <c r="DN26" s="186">
        <v>96</v>
      </c>
      <c r="DO26" s="186">
        <v>2198</v>
      </c>
      <c r="DP26" s="102">
        <v>305.33</v>
      </c>
      <c r="DQ26" s="66"/>
      <c r="DR26" s="181">
        <v>70.400000000000006</v>
      </c>
    </row>
    <row r="27" spans="1:122">
      <c r="A27" s="92">
        <f t="shared" si="74"/>
        <v>45767</v>
      </c>
      <c r="B27" s="190">
        <f>YEAR(Input_Raw[[#This Row],[Date]])+IF(MONTH(Input_Raw[[#This Row],[Date]])&gt;=4,1,0)</f>
        <v>2026</v>
      </c>
      <c r="C27" s="190">
        <f>YEAR(Input_Raw[[#This Row],[Date]])</f>
        <v>2025</v>
      </c>
      <c r="D27" s="11">
        <f t="shared" si="81"/>
        <v>45748</v>
      </c>
      <c r="E27" s="190">
        <f>DAY(EOMONTH(Input_Raw[[#This Row],[Date]],0))</f>
        <v>30</v>
      </c>
      <c r="F27" s="93">
        <v>14444</v>
      </c>
      <c r="G27" s="93">
        <v>12916</v>
      </c>
      <c r="H27" s="93">
        <v>12512</v>
      </c>
      <c r="I27" s="93">
        <v>6832</v>
      </c>
      <c r="J27" s="93">
        <v>7132</v>
      </c>
      <c r="K27" s="93">
        <v>5584</v>
      </c>
      <c r="L27" s="93">
        <v>12548</v>
      </c>
      <c r="M27" s="93">
        <v>3418</v>
      </c>
      <c r="N27" s="93">
        <v>2158</v>
      </c>
      <c r="O27" s="93">
        <v>2478</v>
      </c>
      <c r="P27" s="93">
        <v>2616</v>
      </c>
      <c r="Q27" s="93">
        <v>2986</v>
      </c>
      <c r="R27" s="93">
        <v>2762</v>
      </c>
      <c r="S27" s="93">
        <v>2916</v>
      </c>
      <c r="T27" s="93">
        <v>2752</v>
      </c>
      <c r="U27" s="93">
        <v>3098</v>
      </c>
      <c r="V27" s="93">
        <v>3614</v>
      </c>
      <c r="W27" s="93">
        <v>12772</v>
      </c>
      <c r="X27" s="93">
        <v>3732</v>
      </c>
      <c r="Y27" s="93">
        <v>3553</v>
      </c>
      <c r="Z27" s="93">
        <v>9992</v>
      </c>
      <c r="AA27" s="93">
        <v>11776</v>
      </c>
      <c r="AB27" s="93">
        <v>5596</v>
      </c>
      <c r="AC27" s="93">
        <v>5596</v>
      </c>
      <c r="AD27" s="93">
        <v>6704</v>
      </c>
      <c r="AE27" s="93">
        <v>5404</v>
      </c>
      <c r="AF27" s="93">
        <v>10238</v>
      </c>
      <c r="AG27" s="93">
        <v>5266</v>
      </c>
      <c r="AH27" s="93">
        <v>6368</v>
      </c>
      <c r="AI27" s="93">
        <v>7618</v>
      </c>
      <c r="AJ27" s="93">
        <v>4176</v>
      </c>
      <c r="AK27" s="93">
        <v>3340</v>
      </c>
      <c r="AL27" s="93">
        <v>6752</v>
      </c>
      <c r="AM27" s="93">
        <v>7816</v>
      </c>
      <c r="AN27" s="93">
        <v>5444</v>
      </c>
      <c r="AO27" s="93">
        <v>9800</v>
      </c>
      <c r="AP27" s="93">
        <v>7772</v>
      </c>
      <c r="AQ27" s="93">
        <v>7272</v>
      </c>
      <c r="AR27" s="93">
        <v>7304</v>
      </c>
      <c r="AS27" s="93">
        <v>6668</v>
      </c>
      <c r="AT27" s="93">
        <v>7058</v>
      </c>
      <c r="AU27" s="93">
        <v>11286</v>
      </c>
      <c r="AV27" s="93">
        <v>13840</v>
      </c>
      <c r="AW27" s="93">
        <v>10576</v>
      </c>
      <c r="AX27" s="96">
        <v>6.32</v>
      </c>
      <c r="AY27" s="96">
        <v>6.31</v>
      </c>
      <c r="AZ27" s="96">
        <v>6.23</v>
      </c>
      <c r="BA27" s="96">
        <v>5.04</v>
      </c>
      <c r="BB27" s="96">
        <v>4.93</v>
      </c>
      <c r="BC27" s="96">
        <v>4.91</v>
      </c>
      <c r="BD27" s="96">
        <v>6.3</v>
      </c>
      <c r="BE27" s="96">
        <v>4.5199999999999996</v>
      </c>
      <c r="BF27" s="96">
        <v>4.13</v>
      </c>
      <c r="BG27" s="96">
        <v>4.42</v>
      </c>
      <c r="BH27" s="96">
        <v>4.13</v>
      </c>
      <c r="BI27" s="96">
        <v>4.3</v>
      </c>
      <c r="BJ27" s="96">
        <v>4.2</v>
      </c>
      <c r="BK27" s="96">
        <v>4.16</v>
      </c>
      <c r="BL27" s="96">
        <v>4.1900000000000004</v>
      </c>
      <c r="BM27" s="96">
        <v>4.17</v>
      </c>
      <c r="BN27" s="96">
        <v>4.49</v>
      </c>
      <c r="BO27" s="96">
        <v>6.27</v>
      </c>
      <c r="BP27" s="96">
        <v>4.4000000000000004</v>
      </c>
      <c r="BQ27" s="96">
        <v>4.18</v>
      </c>
      <c r="BR27" s="96">
        <v>5.93</v>
      </c>
      <c r="BS27" s="96">
        <v>6.19</v>
      </c>
      <c r="BT27" s="96">
        <v>4.84</v>
      </c>
      <c r="BU27" s="96">
        <v>5.3</v>
      </c>
      <c r="BV27" s="96">
        <v>5.5</v>
      </c>
      <c r="BW27" s="96">
        <v>5.16</v>
      </c>
      <c r="BX27" s="96">
        <v>5.58</v>
      </c>
      <c r="BY27" s="96">
        <v>4.71</v>
      </c>
      <c r="BZ27" s="96">
        <v>5.07</v>
      </c>
      <c r="CA27" s="96">
        <v>5.41</v>
      </c>
      <c r="CB27" s="96">
        <v>4.21</v>
      </c>
      <c r="CC27" s="96">
        <v>4.28</v>
      </c>
      <c r="CD27" s="96">
        <v>5.42</v>
      </c>
      <c r="CE27" s="96">
        <v>5.2</v>
      </c>
      <c r="CF27" s="96">
        <v>4.76</v>
      </c>
      <c r="CG27" s="96">
        <v>6.22</v>
      </c>
      <c r="CH27" s="96">
        <v>5.65</v>
      </c>
      <c r="CI27" s="96">
        <v>5</v>
      </c>
      <c r="CJ27" s="96">
        <v>5.26</v>
      </c>
      <c r="CK27" s="96">
        <v>4.57</v>
      </c>
      <c r="CL27" s="96">
        <v>5.01</v>
      </c>
      <c r="CM27" s="96">
        <v>5.95</v>
      </c>
      <c r="CN27" s="96">
        <v>6.58</v>
      </c>
      <c r="CO27" s="96">
        <v>6.03</v>
      </c>
      <c r="CP27" s="98">
        <f>SUM(Input_Raw[[#This Row],[P-01]:[P-56]])/1000</f>
        <v>304.48500000000001</v>
      </c>
      <c r="CQ27" s="71">
        <f>IFERROR(AVERAGEIF(Input_Raw[[#This Row],[WS_P-01]:[WS_P-56]],"&lt;&gt;",Input_Raw[[#This Row],[WS_P-01]:[WS_P-56]]),"")</f>
        <v>5.1234090909090906</v>
      </c>
      <c r="CR27" s="99">
        <f>MAX(Input_Raw[[#This Row],[WS_P-01]:[WS_P-56]])</f>
        <v>6.58</v>
      </c>
      <c r="CS27" s="99"/>
      <c r="CT27" s="70">
        <f>SUM(Input_Raw[[#This Row],[P-08]:[P-13]],Input_Raw[[#This Row],[P-25]:[P-28]])</f>
        <v>39718</v>
      </c>
      <c r="CU27" s="70"/>
      <c r="CV27" s="70">
        <f>SUM(Input_Raw[[#This Row],[P-04]],Input_Raw[[#This Row],[P-14]:[P-17]],Input_Raw[[#This Row],[P-19]:[P-20]],Input_Raw[[#This Row],[P-22]:[P-23]],Input_Raw[[#This Row],[P-34]],Input_Raw[[#This Row],[P-38]],Input_Raw[[#This Row],[P-43]])</f>
        <v>64253</v>
      </c>
      <c r="CW27" s="70"/>
      <c r="CX27" s="70">
        <f>SUM(Input_Raw[[#This Row],[P-05]:[P-06]],Input_Raw[[#This Row],[P-40]:[P-42]],Input_Raw[[#This Row],[P-45]],Input_Raw[[#This Row],[P-46]],Input_Raw[[#This Row],[P-47]:[P-48]])</f>
        <v>62772</v>
      </c>
      <c r="CY27" s="70"/>
      <c r="CZ27" s="70">
        <f>SUM(Input_Raw[[#This Row],[P-01]:[P-03]],Input_Raw[[#This Row],[P-07]],Input_Raw[[#This Row],[P-18]],Input_Raw[[#This Row],[P-31]:[P-32]],Input_Raw[[#This Row],[P-37]],Input_Raw[[#This Row],[P-50]:[P-56]])</f>
        <v>137742</v>
      </c>
      <c r="DA27" s="12"/>
      <c r="DB27" s="13">
        <f>Input_Raw[[#This Row],[33 kV_Wind_F1_Export reading]]/1000</f>
        <v>39.718000000000004</v>
      </c>
      <c r="DC27" s="13"/>
      <c r="DD27" s="13">
        <f>Input_Raw[[#This Row],[33 kV_Wind_F2_Export_reading]]/1000</f>
        <v>64.253</v>
      </c>
      <c r="DE27" s="13"/>
      <c r="DF27" s="13">
        <f>Input_Raw[[#This Row],[33 kV_Wind_F3_Export_Reading]]/1000</f>
        <v>62.771999999999998</v>
      </c>
      <c r="DG27" s="13"/>
      <c r="DH27" s="13">
        <f>Input_Raw[[#This Row],[33 kV_Wind_F4_Export Reading]]/1000</f>
        <v>137.74199999999999</v>
      </c>
      <c r="DI27" s="13"/>
      <c r="DJ27" s="13">
        <f>Input_Raw[[#This Row],[33 kV_F1_Total_Export (MWh)]]+Input_Raw[[#This Row],[33 kV_F2_Total_Export (MWh)2]]+Input_Raw[[#This Row],[33 kV_Wind_F3_Export (MWh)]]+Input_Raw[[#This Row],[33 kV_Wind_F4_Export (MWh)]]</f>
        <v>304.48500000000001</v>
      </c>
      <c r="DK27" s="13">
        <f>Input_Raw[[#This Row],[33 kV_Wind_F1_Import (MWh)]]+Input_Raw[[#This Row],[33 kV_Wind_F2_Import (MWh)]]+Input_Raw[[#This Row],[33 kV_Wind_F3_Import (MWh)2]]+Input_Raw[[#This Row],[33 kV_Wind_F4_Import (MWh)2]]</f>
        <v>0</v>
      </c>
      <c r="DL27" s="100">
        <f>IFERROR(Input_Raw[[#This Row],[33 kV_Wind_Total_Export (MWh)]]/Input_Raw[[#This Row],[WTG Total Gneration (MWh)]]-1,"")</f>
        <v>0</v>
      </c>
      <c r="DM27" s="66"/>
      <c r="DN27" s="186">
        <v>96</v>
      </c>
      <c r="DO27" s="186">
        <v>8829.6299999999992</v>
      </c>
      <c r="DP27" s="102">
        <v>290.89999999999998</v>
      </c>
      <c r="DQ27" s="66"/>
      <c r="DR27" s="181">
        <v>70.400000000000006</v>
      </c>
    </row>
    <row r="28" spans="1:122">
      <c r="A28" s="92">
        <f t="shared" si="74"/>
        <v>45768</v>
      </c>
      <c r="B28" s="190">
        <f>YEAR(Input_Raw[[#This Row],[Date]])+IF(MONTH(Input_Raw[[#This Row],[Date]])&gt;=4,1,0)</f>
        <v>2026</v>
      </c>
      <c r="C28" s="190">
        <f>YEAR(Input_Raw[[#This Row],[Date]])</f>
        <v>2025</v>
      </c>
      <c r="D28" s="11">
        <f t="shared" ref="D28" si="82">A28-DAY(A28)+1</f>
        <v>45748</v>
      </c>
      <c r="E28" s="190">
        <f>DAY(EOMONTH(Input_Raw[[#This Row],[Date]],0))</f>
        <v>30</v>
      </c>
      <c r="F28" s="199">
        <v>7024</v>
      </c>
      <c r="G28" s="199">
        <v>7886</v>
      </c>
      <c r="H28" s="199">
        <v>8292</v>
      </c>
      <c r="I28" s="199">
        <v>4064</v>
      </c>
      <c r="J28" s="199">
        <v>3800</v>
      </c>
      <c r="K28" s="199">
        <v>3248</v>
      </c>
      <c r="L28" s="199">
        <v>6370</v>
      </c>
      <c r="M28" s="199">
        <v>2004</v>
      </c>
      <c r="N28" s="199">
        <v>1064</v>
      </c>
      <c r="O28" s="199">
        <v>1256</v>
      </c>
      <c r="P28" s="199">
        <v>1392</v>
      </c>
      <c r="Q28" s="199">
        <v>1772</v>
      </c>
      <c r="R28" s="199">
        <v>1664</v>
      </c>
      <c r="S28" s="199">
        <v>1800</v>
      </c>
      <c r="T28" s="199">
        <v>1636</v>
      </c>
      <c r="U28" s="199">
        <v>1796</v>
      </c>
      <c r="V28" s="199">
        <v>1942</v>
      </c>
      <c r="W28" s="199">
        <v>7492</v>
      </c>
      <c r="X28" s="199">
        <v>2364</v>
      </c>
      <c r="Y28" s="199">
        <v>2073</v>
      </c>
      <c r="Z28" s="199">
        <v>6348</v>
      </c>
      <c r="AA28" s="199">
        <v>7508</v>
      </c>
      <c r="AB28" s="199">
        <v>3160</v>
      </c>
      <c r="AC28" s="199">
        <v>3128</v>
      </c>
      <c r="AD28" s="199">
        <v>3956</v>
      </c>
      <c r="AE28" s="199">
        <v>3272</v>
      </c>
      <c r="AF28" s="199">
        <v>7778</v>
      </c>
      <c r="AG28" s="199">
        <v>5382</v>
      </c>
      <c r="AH28" s="199">
        <v>3704</v>
      </c>
      <c r="AI28" s="199">
        <v>6804</v>
      </c>
      <c r="AJ28" s="199">
        <v>2336</v>
      </c>
      <c r="AK28" s="199">
        <v>2037.9999999999998</v>
      </c>
      <c r="AL28" s="199">
        <v>3604</v>
      </c>
      <c r="AM28" s="199">
        <v>4900</v>
      </c>
      <c r="AN28" s="199">
        <v>4026</v>
      </c>
      <c r="AO28" s="199">
        <v>6560</v>
      </c>
      <c r="AP28" s="199">
        <v>4824</v>
      </c>
      <c r="AQ28" s="199">
        <v>4476</v>
      </c>
      <c r="AR28" s="199">
        <v>4364</v>
      </c>
      <c r="AS28" s="199">
        <v>5864</v>
      </c>
      <c r="AT28" s="199">
        <v>5564</v>
      </c>
      <c r="AU28" s="199">
        <v>8416</v>
      </c>
      <c r="AV28" s="199">
        <v>7520</v>
      </c>
      <c r="AW28" s="199">
        <v>6224</v>
      </c>
      <c r="AX28" s="200">
        <v>4.9000000000000004</v>
      </c>
      <c r="AY28" s="200">
        <v>5.48</v>
      </c>
      <c r="AZ28" s="200">
        <v>5.52</v>
      </c>
      <c r="BA28" s="200">
        <v>4.2300000000000004</v>
      </c>
      <c r="BB28" s="200">
        <v>4.18</v>
      </c>
      <c r="BC28" s="200">
        <v>4.42</v>
      </c>
      <c r="BD28" s="200">
        <v>5.14</v>
      </c>
      <c r="BE28" s="200">
        <v>3.96</v>
      </c>
      <c r="BF28" s="200">
        <v>3.54</v>
      </c>
      <c r="BG28" s="200">
        <v>3.9</v>
      </c>
      <c r="BH28" s="200">
        <v>3.6</v>
      </c>
      <c r="BI28" s="200">
        <v>3.89</v>
      </c>
      <c r="BJ28" s="200">
        <v>3.72</v>
      </c>
      <c r="BK28" s="200">
        <v>3.68</v>
      </c>
      <c r="BL28" s="200">
        <v>3.67</v>
      </c>
      <c r="BM28" s="200">
        <v>3.66</v>
      </c>
      <c r="BN28" s="200">
        <v>3.84</v>
      </c>
      <c r="BO28" s="200">
        <v>5.33</v>
      </c>
      <c r="BP28" s="200">
        <v>3.93</v>
      </c>
      <c r="BQ28" s="200">
        <v>3.61</v>
      </c>
      <c r="BR28" s="200">
        <v>5.22</v>
      </c>
      <c r="BS28" s="200">
        <v>5.27</v>
      </c>
      <c r="BT28" s="200">
        <v>4.22</v>
      </c>
      <c r="BU28" s="200">
        <v>4.6900000000000004</v>
      </c>
      <c r="BV28" s="200">
        <v>4.82</v>
      </c>
      <c r="BW28" s="200">
        <v>4.5599999999999996</v>
      </c>
      <c r="BX28" s="200">
        <v>5.08</v>
      </c>
      <c r="BY28" s="200">
        <v>4.6500000000000004</v>
      </c>
      <c r="BZ28" s="200">
        <v>4.16</v>
      </c>
      <c r="CA28" s="200">
        <v>5.18</v>
      </c>
      <c r="CB28" s="200">
        <v>3.47</v>
      </c>
      <c r="CC28" s="200">
        <v>3.79</v>
      </c>
      <c r="CD28" s="200">
        <v>4.67</v>
      </c>
      <c r="CE28" s="200">
        <v>4.6399999999999997</v>
      </c>
      <c r="CF28" s="200">
        <v>4.33</v>
      </c>
      <c r="CG28" s="200">
        <v>5.55</v>
      </c>
      <c r="CH28" s="200">
        <v>5.0999999999999996</v>
      </c>
      <c r="CI28" s="200">
        <v>4.4400000000000004</v>
      </c>
      <c r="CJ28" s="200">
        <v>4.75</v>
      </c>
      <c r="CK28" s="200">
        <v>4.3600000000000003</v>
      </c>
      <c r="CL28" s="200">
        <v>4.54</v>
      </c>
      <c r="CM28" s="200">
        <v>5.43</v>
      </c>
      <c r="CN28" s="200">
        <v>5.48</v>
      </c>
      <c r="CO28" s="200">
        <v>5.3</v>
      </c>
      <c r="CP28" s="182">
        <f>SUM(Input_Raw[[#This Row],[P-01]:[P-56]])/1000</f>
        <v>190.69499999999999</v>
      </c>
      <c r="CQ28" s="185">
        <f>IFERROR(AVERAGEIF(Input_Raw[[#This Row],[WS_P-01]:[WS_P-56]],"&lt;&gt;",Input_Raw[[#This Row],[WS_P-01]:[WS_P-56]]),"")</f>
        <v>4.497727272727273</v>
      </c>
      <c r="CR28" s="183">
        <f>MAX(Input_Raw[[#This Row],[WS_P-01]:[WS_P-56]])</f>
        <v>5.55</v>
      </c>
      <c r="CS28" s="183"/>
      <c r="CT28" s="80">
        <f>SUM(Input_Raw[[#This Row],[P-08]:[P-13]],Input_Raw[[#This Row],[P-25]:[P-28]])</f>
        <v>22668</v>
      </c>
      <c r="CU28" s="80"/>
      <c r="CV28" s="80">
        <f>SUM(Input_Raw[[#This Row],[P-04]],Input_Raw[[#This Row],[P-14]:[P-17]],Input_Raw[[#This Row],[P-19]:[P-20]],Input_Raw[[#This Row],[P-22]:[P-23]],Input_Raw[[#This Row],[P-34]],Input_Raw[[#This Row],[P-38]],Input_Raw[[#This Row],[P-43]])</f>
        <v>39597</v>
      </c>
      <c r="CW28" s="80"/>
      <c r="CX28" s="80">
        <f>SUM(Input_Raw[[#This Row],[P-05]:[P-06]],Input_Raw[[#This Row],[P-40]:[P-42]],Input_Raw[[#This Row],[P-45]],Input_Raw[[#This Row],[P-46]],Input_Raw[[#This Row],[P-47]:[P-48]])</f>
        <v>37814</v>
      </c>
      <c r="CY28" s="80"/>
      <c r="CZ28" s="80">
        <f>SUM(Input_Raw[[#This Row],[P-01]:[P-03]],Input_Raw[[#This Row],[P-07]],Input_Raw[[#This Row],[P-18]],Input_Raw[[#This Row],[P-31]:[P-32]],Input_Raw[[#This Row],[P-37]],Input_Raw[[#This Row],[P-50]:[P-56]])</f>
        <v>90616</v>
      </c>
      <c r="DA28" s="14"/>
      <c r="DB28" s="81">
        <f>Input_Raw[[#This Row],[33 kV_Wind_F1_Export reading]]/1000</f>
        <v>22.667999999999999</v>
      </c>
      <c r="DC28" s="81"/>
      <c r="DD28" s="81">
        <f>Input_Raw[[#This Row],[33 kV_Wind_F2_Export_reading]]/1000</f>
        <v>39.597000000000001</v>
      </c>
      <c r="DE28" s="81"/>
      <c r="DF28" s="81">
        <f>Input_Raw[[#This Row],[33 kV_Wind_F3_Export_Reading]]/1000</f>
        <v>37.814</v>
      </c>
      <c r="DG28" s="81"/>
      <c r="DH28" s="81">
        <f>Input_Raw[[#This Row],[33 kV_Wind_F4_Export Reading]]/1000</f>
        <v>90.616</v>
      </c>
      <c r="DI28" s="81"/>
      <c r="DJ28" s="81">
        <f>Input_Raw[[#This Row],[33 kV_F1_Total_Export (MWh)]]+Input_Raw[[#This Row],[33 kV_F2_Total_Export (MWh)2]]+Input_Raw[[#This Row],[33 kV_Wind_F3_Export (MWh)]]+Input_Raw[[#This Row],[33 kV_Wind_F4_Export (MWh)]]</f>
        <v>190.69499999999999</v>
      </c>
      <c r="DK28" s="81">
        <f>Input_Raw[[#This Row],[33 kV_Wind_F1_Import (MWh)]]+Input_Raw[[#This Row],[33 kV_Wind_F2_Import (MWh)]]+Input_Raw[[#This Row],[33 kV_Wind_F3_Import (MWh)2]]+Input_Raw[[#This Row],[33 kV_Wind_F4_Import (MWh)2]]</f>
        <v>0</v>
      </c>
      <c r="DL28" s="184">
        <f>IFERROR(Input_Raw[[#This Row],[33 kV_Wind_Total_Export (MWh)]]/Input_Raw[[#This Row],[WTG Total Gneration (MWh)]]-1,"")</f>
        <v>0</v>
      </c>
      <c r="DM28" s="67"/>
      <c r="DN28" s="186">
        <v>96</v>
      </c>
      <c r="DO28" s="186">
        <v>4696.13</v>
      </c>
      <c r="DP28" s="102">
        <v>186.07</v>
      </c>
      <c r="DQ28" s="66"/>
      <c r="DR28" s="181">
        <v>70.400000000000006</v>
      </c>
    </row>
    <row r="29" spans="1:122">
      <c r="A29" s="92">
        <f t="shared" si="74"/>
        <v>45769</v>
      </c>
      <c r="B29" s="190">
        <f>YEAR(Input_Raw[[#This Row],[Date]])+IF(MONTH(Input_Raw[[#This Row],[Date]])&gt;=4,1,0)</f>
        <v>2026</v>
      </c>
      <c r="C29" s="190">
        <f>YEAR(Input_Raw[[#This Row],[Date]])</f>
        <v>2025</v>
      </c>
      <c r="D29" s="11">
        <f t="shared" ref="D29" si="83">A29-DAY(A29)+1</f>
        <v>45748</v>
      </c>
      <c r="E29" s="190">
        <f>DAY(EOMONTH(Input_Raw[[#This Row],[Date]],0))</f>
        <v>30</v>
      </c>
      <c r="F29" s="93">
        <v>3564</v>
      </c>
      <c r="G29" s="93">
        <v>3242</v>
      </c>
      <c r="H29" s="93">
        <v>2616</v>
      </c>
      <c r="I29" s="93">
        <v>3462</v>
      </c>
      <c r="J29" s="93">
        <v>2120</v>
      </c>
      <c r="K29" s="93">
        <v>2144</v>
      </c>
      <c r="L29" s="93">
        <v>3370</v>
      </c>
      <c r="M29" s="93">
        <v>2470</v>
      </c>
      <c r="N29" s="93">
        <v>1926</v>
      </c>
      <c r="O29" s="93">
        <v>1778</v>
      </c>
      <c r="P29" s="93">
        <v>3022</v>
      </c>
      <c r="Q29" s="93">
        <v>3280</v>
      </c>
      <c r="R29" s="93">
        <v>3238</v>
      </c>
      <c r="S29" s="93">
        <v>2876</v>
      </c>
      <c r="T29" s="93">
        <v>2724</v>
      </c>
      <c r="U29" s="93">
        <v>2960</v>
      </c>
      <c r="V29" s="93">
        <v>3342</v>
      </c>
      <c r="W29" s="93">
        <v>3552</v>
      </c>
      <c r="X29" s="93">
        <v>3516</v>
      </c>
      <c r="Y29" s="93">
        <v>3202</v>
      </c>
      <c r="Z29" s="93">
        <v>4032</v>
      </c>
      <c r="AA29" s="93">
        <v>3948</v>
      </c>
      <c r="AB29" s="93">
        <v>3136</v>
      </c>
      <c r="AC29" s="93">
        <v>3496</v>
      </c>
      <c r="AD29" s="93">
        <v>3852</v>
      </c>
      <c r="AE29" s="93">
        <v>3564</v>
      </c>
      <c r="AF29" s="93">
        <v>2130</v>
      </c>
      <c r="AG29" s="93">
        <v>908</v>
      </c>
      <c r="AH29" s="93">
        <v>3192</v>
      </c>
      <c r="AI29" s="93">
        <v>1262</v>
      </c>
      <c r="AJ29" s="93">
        <v>3684</v>
      </c>
      <c r="AK29" s="93">
        <v>1490</v>
      </c>
      <c r="AL29" s="93">
        <v>2092</v>
      </c>
      <c r="AM29" s="93">
        <v>1932</v>
      </c>
      <c r="AN29" s="93">
        <v>3240</v>
      </c>
      <c r="AO29" s="93">
        <v>3292</v>
      </c>
      <c r="AP29" s="93">
        <v>2560</v>
      </c>
      <c r="AQ29" s="93">
        <v>1884</v>
      </c>
      <c r="AR29" s="93">
        <v>2156</v>
      </c>
      <c r="AS29" s="93">
        <v>1288</v>
      </c>
      <c r="AT29" s="93">
        <v>1178</v>
      </c>
      <c r="AU29" s="93">
        <v>1676</v>
      </c>
      <c r="AV29" s="93">
        <v>3784</v>
      </c>
      <c r="AW29" s="93">
        <v>3280</v>
      </c>
      <c r="AX29" s="96">
        <v>4.5599999999999996</v>
      </c>
      <c r="AY29" s="96">
        <v>4.74</v>
      </c>
      <c r="AZ29" s="96">
        <v>4.26</v>
      </c>
      <c r="BA29" s="96">
        <v>4.2</v>
      </c>
      <c r="BB29" s="96">
        <v>3.84</v>
      </c>
      <c r="BC29" s="96">
        <v>4.33</v>
      </c>
      <c r="BD29" s="96">
        <v>4.72</v>
      </c>
      <c r="BE29" s="96">
        <v>4.03</v>
      </c>
      <c r="BF29" s="96">
        <v>3.9</v>
      </c>
      <c r="BG29" s="96">
        <v>4.3600000000000003</v>
      </c>
      <c r="BH29" s="96">
        <v>4.26</v>
      </c>
      <c r="BI29" s="96">
        <v>4.4400000000000004</v>
      </c>
      <c r="BJ29" s="96">
        <v>4.3600000000000003</v>
      </c>
      <c r="BK29" s="96">
        <v>4.16</v>
      </c>
      <c r="BL29" s="96">
        <v>4.2300000000000004</v>
      </c>
      <c r="BM29" s="96">
        <v>4.16</v>
      </c>
      <c r="BN29" s="96">
        <v>4.3499999999999996</v>
      </c>
      <c r="BO29" s="96">
        <v>4.58</v>
      </c>
      <c r="BP29" s="96">
        <v>4.41</v>
      </c>
      <c r="BQ29" s="96">
        <v>4.0599999999999996</v>
      </c>
      <c r="BR29" s="96">
        <v>4.76</v>
      </c>
      <c r="BS29" s="96">
        <v>4.5</v>
      </c>
      <c r="BT29" s="96">
        <v>4.1399999999999997</v>
      </c>
      <c r="BU29" s="96">
        <v>4.8099999999999996</v>
      </c>
      <c r="BV29" s="96">
        <v>4.75</v>
      </c>
      <c r="BW29" s="96">
        <v>4.62</v>
      </c>
      <c r="BX29" s="96">
        <v>3.55</v>
      </c>
      <c r="BY29" s="96">
        <v>3.18</v>
      </c>
      <c r="BZ29" s="96">
        <v>4.1100000000000003</v>
      </c>
      <c r="CA29" s="96">
        <v>3.69</v>
      </c>
      <c r="CB29" s="96">
        <v>4.0599999999999996</v>
      </c>
      <c r="CC29" s="96">
        <v>3.73</v>
      </c>
      <c r="CD29" s="96">
        <v>4.4000000000000004</v>
      </c>
      <c r="CE29" s="96">
        <v>3.95</v>
      </c>
      <c r="CF29" s="96">
        <v>4.1399999999999997</v>
      </c>
      <c r="CG29" s="96">
        <v>5.27</v>
      </c>
      <c r="CH29" s="96">
        <v>4.92</v>
      </c>
      <c r="CI29" s="96">
        <v>3.85</v>
      </c>
      <c r="CJ29" s="96">
        <v>4.2699999999999996</v>
      </c>
      <c r="CK29" s="96">
        <v>3.2</v>
      </c>
      <c r="CL29" s="96">
        <v>3.35</v>
      </c>
      <c r="CM29" s="96">
        <v>3.93</v>
      </c>
      <c r="CN29" s="96">
        <v>5.27</v>
      </c>
      <c r="CO29" s="96">
        <v>4.8899999999999997</v>
      </c>
      <c r="CP29" s="98">
        <f>SUM(Input_Raw[[#This Row],[P-01]:[P-56]])/1000</f>
        <v>121.46</v>
      </c>
      <c r="CQ29" s="71">
        <f>IFERROR(AVERAGEIF(Input_Raw[[#This Row],[WS_P-01]:[WS_P-56]],"&lt;&gt;",Input_Raw[[#This Row],[WS_P-01]:[WS_P-56]]),"")</f>
        <v>4.2565909090909084</v>
      </c>
      <c r="CR29" s="99">
        <f>MAX(Input_Raw[[#This Row],[WS_P-01]:[WS_P-56]])</f>
        <v>5.27</v>
      </c>
      <c r="CS29" s="99"/>
      <c r="CT29" s="70">
        <f>SUM(Input_Raw[[#This Row],[P-08]:[P-13]],Input_Raw[[#This Row],[P-25]:[P-28]])</f>
        <v>29762</v>
      </c>
      <c r="CU29" s="70"/>
      <c r="CV29" s="70">
        <f>SUM(Input_Raw[[#This Row],[P-04]],Input_Raw[[#This Row],[P-14]:[P-17]],Input_Raw[[#This Row],[P-19]:[P-20]],Input_Raw[[#This Row],[P-22]:[P-23]],Input_Raw[[#This Row],[P-34]],Input_Raw[[#This Row],[P-38]],Input_Raw[[#This Row],[P-43]])</f>
        <v>40178</v>
      </c>
      <c r="CW29" s="70"/>
      <c r="CX29" s="70">
        <f>SUM(Input_Raw[[#This Row],[P-05]:[P-06]],Input_Raw[[#This Row],[P-40]:[P-42]],Input_Raw[[#This Row],[P-45]],Input_Raw[[#This Row],[P-46]],Input_Raw[[#This Row],[P-47]:[P-48]])</f>
        <v>19670</v>
      </c>
      <c r="CY29" s="70"/>
      <c r="CZ29" s="70">
        <f>SUM(Input_Raw[[#This Row],[P-01]:[P-03]],Input_Raw[[#This Row],[P-07]],Input_Raw[[#This Row],[P-18]],Input_Raw[[#This Row],[P-31]:[P-32]],Input_Raw[[#This Row],[P-37]],Input_Raw[[#This Row],[P-50]:[P-56]])</f>
        <v>31850</v>
      </c>
      <c r="DA29" s="12"/>
      <c r="DB29" s="13">
        <f>Input_Raw[[#This Row],[33 kV_Wind_F1_Export reading]]/1000</f>
        <v>29.762</v>
      </c>
      <c r="DC29" s="13"/>
      <c r="DD29" s="13">
        <f>Input_Raw[[#This Row],[33 kV_Wind_F2_Export_reading]]/1000</f>
        <v>40.177999999999997</v>
      </c>
      <c r="DE29" s="13"/>
      <c r="DF29" s="13">
        <f>Input_Raw[[#This Row],[33 kV_Wind_F3_Export_Reading]]/1000</f>
        <v>19.670000000000002</v>
      </c>
      <c r="DG29" s="13"/>
      <c r="DH29" s="13">
        <f>Input_Raw[[#This Row],[33 kV_Wind_F4_Export Reading]]/1000</f>
        <v>31.85</v>
      </c>
      <c r="DI29" s="13"/>
      <c r="DJ29" s="13">
        <f>Input_Raw[[#This Row],[33 kV_F1_Total_Export (MWh)]]+Input_Raw[[#This Row],[33 kV_F2_Total_Export (MWh)2]]+Input_Raw[[#This Row],[33 kV_Wind_F3_Export (MWh)]]+Input_Raw[[#This Row],[33 kV_Wind_F4_Export (MWh)]]</f>
        <v>121.46000000000001</v>
      </c>
      <c r="DK29" s="13">
        <f>Input_Raw[[#This Row],[33 kV_Wind_F1_Import (MWh)]]+Input_Raw[[#This Row],[33 kV_Wind_F2_Import (MWh)]]+Input_Raw[[#This Row],[33 kV_Wind_F3_Import (MWh)2]]+Input_Raw[[#This Row],[33 kV_Wind_F4_Import (MWh)2]]</f>
        <v>0</v>
      </c>
      <c r="DL29" s="100">
        <f>IFERROR(Input_Raw[[#This Row],[33 kV_Wind_Total_Export (MWh)]]/Input_Raw[[#This Row],[WTG Total Gneration (MWh)]]-1,"")</f>
        <v>2.2204460492503131E-16</v>
      </c>
      <c r="DM29" s="66"/>
      <c r="DN29" s="186">
        <v>68</v>
      </c>
      <c r="DO29" s="186">
        <v>480</v>
      </c>
      <c r="DP29" s="102">
        <v>123.66</v>
      </c>
      <c r="DQ29" s="66"/>
      <c r="DR29" s="181">
        <v>70.400000000000006</v>
      </c>
    </row>
    <row r="30" spans="1:122">
      <c r="A30" s="92">
        <f t="shared" si="74"/>
        <v>45770</v>
      </c>
      <c r="B30" s="190">
        <f>YEAR(Input_Raw[[#This Row],[Date]])+IF(MONTH(Input_Raw[[#This Row],[Date]])&gt;=4,1,0)</f>
        <v>2026</v>
      </c>
      <c r="C30" s="190">
        <f>YEAR(Input_Raw[[#This Row],[Date]])</f>
        <v>2025</v>
      </c>
      <c r="D30" s="11">
        <f t="shared" ref="D30" si="84">A30-DAY(A30)+1</f>
        <v>45748</v>
      </c>
      <c r="E30" s="190">
        <f>DAY(EOMONTH(Input_Raw[[#This Row],[Date]],0))</f>
        <v>30</v>
      </c>
      <c r="F30" s="93">
        <v>7452</v>
      </c>
      <c r="G30" s="93">
        <v>5908</v>
      </c>
      <c r="H30" s="93">
        <v>5648</v>
      </c>
      <c r="I30" s="93">
        <v>5262</v>
      </c>
      <c r="J30" s="93">
        <v>5500</v>
      </c>
      <c r="K30" s="93">
        <v>4176</v>
      </c>
      <c r="L30" s="93">
        <v>6712</v>
      </c>
      <c r="M30" s="93">
        <v>994</v>
      </c>
      <c r="N30" s="93">
        <v>1904</v>
      </c>
      <c r="O30" s="93">
        <v>2586</v>
      </c>
      <c r="P30" s="93">
        <v>3026</v>
      </c>
      <c r="Q30" s="93">
        <v>3416</v>
      </c>
      <c r="R30" s="93">
        <v>3490</v>
      </c>
      <c r="S30" s="93">
        <v>3348</v>
      </c>
      <c r="T30" s="93">
        <v>3192</v>
      </c>
      <c r="U30" s="93">
        <v>3524</v>
      </c>
      <c r="V30" s="93">
        <v>3978</v>
      </c>
      <c r="W30" s="93">
        <v>6956</v>
      </c>
      <c r="X30" s="93">
        <v>3580</v>
      </c>
      <c r="Y30" s="93">
        <v>3241</v>
      </c>
      <c r="Z30" s="93">
        <v>6220</v>
      </c>
      <c r="AA30" s="93">
        <v>5972</v>
      </c>
      <c r="AB30" s="93">
        <v>1584</v>
      </c>
      <c r="AC30" s="93">
        <v>1536</v>
      </c>
      <c r="AD30" s="93">
        <v>1844</v>
      </c>
      <c r="AE30" s="93">
        <v>1308</v>
      </c>
      <c r="AF30" s="93">
        <v>4083.9999999999995</v>
      </c>
      <c r="AG30" s="93">
        <v>2696</v>
      </c>
      <c r="AH30" s="93">
        <v>4200</v>
      </c>
      <c r="AI30" s="93">
        <v>3742</v>
      </c>
      <c r="AJ30" s="93">
        <v>3810</v>
      </c>
      <c r="AK30" s="93">
        <v>2596</v>
      </c>
      <c r="AL30" s="93">
        <v>5180</v>
      </c>
      <c r="AM30" s="93">
        <v>6252</v>
      </c>
      <c r="AN30" s="93">
        <v>4488</v>
      </c>
      <c r="AO30" s="93">
        <v>6128</v>
      </c>
      <c r="AP30" s="93">
        <v>6048</v>
      </c>
      <c r="AQ30" s="93">
        <v>1312</v>
      </c>
      <c r="AR30" s="93">
        <v>5680</v>
      </c>
      <c r="AS30" s="93">
        <v>3648</v>
      </c>
      <c r="AT30" s="93">
        <v>3764</v>
      </c>
      <c r="AU30" s="93">
        <v>4762</v>
      </c>
      <c r="AV30" s="93">
        <v>7880</v>
      </c>
      <c r="AW30" s="93">
        <v>6892</v>
      </c>
      <c r="AX30" s="96">
        <v>5.2</v>
      </c>
      <c r="AY30" s="96">
        <v>5.09</v>
      </c>
      <c r="AZ30" s="96">
        <v>5.1100000000000003</v>
      </c>
      <c r="BA30" s="96">
        <v>4.88</v>
      </c>
      <c r="BB30" s="96">
        <v>4.6399999999999997</v>
      </c>
      <c r="BC30" s="96">
        <v>4.7699999999999996</v>
      </c>
      <c r="BD30" s="96">
        <v>5.37</v>
      </c>
      <c r="BE30" s="96">
        <v>3.89</v>
      </c>
      <c r="BF30" s="96">
        <v>3.8</v>
      </c>
      <c r="BG30" s="96">
        <v>4.3499999999999996</v>
      </c>
      <c r="BH30" s="96">
        <v>4.1900000000000004</v>
      </c>
      <c r="BI30" s="96">
        <v>4.4000000000000004</v>
      </c>
      <c r="BJ30" s="96">
        <v>4.33</v>
      </c>
      <c r="BK30" s="96">
        <v>4.3</v>
      </c>
      <c r="BL30" s="96">
        <v>4.34</v>
      </c>
      <c r="BM30" s="96">
        <v>4.28</v>
      </c>
      <c r="BN30" s="96">
        <v>4.51</v>
      </c>
      <c r="BO30" s="96">
        <v>5.36</v>
      </c>
      <c r="BP30" s="96">
        <v>4.37</v>
      </c>
      <c r="BQ30" s="96">
        <v>4.0199999999999996</v>
      </c>
      <c r="BR30" s="96">
        <v>5.36</v>
      </c>
      <c r="BS30" s="96">
        <v>5.16</v>
      </c>
      <c r="BT30" s="96">
        <v>3.96</v>
      </c>
      <c r="BU30" s="96">
        <v>4.34</v>
      </c>
      <c r="BV30" s="96">
        <v>4.5599999999999996</v>
      </c>
      <c r="BW30" s="96">
        <v>4.2699999999999996</v>
      </c>
      <c r="BX30" s="96">
        <v>4.22</v>
      </c>
      <c r="BY30" s="96">
        <v>3.85</v>
      </c>
      <c r="BZ30" s="96">
        <v>4.5999999999999996</v>
      </c>
      <c r="CA30" s="96">
        <v>4.5</v>
      </c>
      <c r="CB30" s="96">
        <v>4.0199999999999996</v>
      </c>
      <c r="CC30" s="96">
        <v>3.96</v>
      </c>
      <c r="CD30" s="96">
        <v>5.2</v>
      </c>
      <c r="CE30" s="96">
        <v>5.03</v>
      </c>
      <c r="CF30" s="96">
        <v>4.5199999999999996</v>
      </c>
      <c r="CG30" s="96">
        <v>5.65</v>
      </c>
      <c r="CH30" s="96">
        <v>5.41</v>
      </c>
      <c r="CI30" s="96">
        <v>4.71</v>
      </c>
      <c r="CJ30" s="96">
        <v>5.0599999999999996</v>
      </c>
      <c r="CK30" s="96">
        <v>4.01</v>
      </c>
      <c r="CL30" s="96">
        <v>4.26</v>
      </c>
      <c r="CM30" s="96">
        <v>4.7300000000000004</v>
      </c>
      <c r="CN30" s="96">
        <v>5.79</v>
      </c>
      <c r="CO30" s="96">
        <v>5.58</v>
      </c>
      <c r="CP30" s="98">
        <f>SUM(Input_Raw[[#This Row],[P-01]:[P-56]])/1000</f>
        <v>185.51900000000001</v>
      </c>
      <c r="CQ30" s="71">
        <f>IFERROR(AVERAGEIF(Input_Raw[[#This Row],[WS_P-01]:[WS_P-56]],"&lt;&gt;",Input_Raw[[#This Row],[WS_P-01]:[WS_P-56]]),"")</f>
        <v>4.6352272727272723</v>
      </c>
      <c r="CR30" s="99">
        <f>MAX(Input_Raw[[#This Row],[WS_P-01]:[WS_P-56]])</f>
        <v>5.79</v>
      </c>
      <c r="CS30" s="99"/>
      <c r="CT30" s="70">
        <f>SUM(Input_Raw[[#This Row],[P-08]:[P-13]],Input_Raw[[#This Row],[P-25]:[P-28]])</f>
        <v>21688</v>
      </c>
      <c r="CU30" s="70"/>
      <c r="CV30" s="70">
        <f>SUM(Input_Raw[[#This Row],[P-04]],Input_Raw[[#This Row],[P-14]:[P-17]],Input_Raw[[#This Row],[P-19]:[P-20]],Input_Raw[[#This Row],[P-22]:[P-23]],Input_Raw[[#This Row],[P-34]],Input_Raw[[#This Row],[P-38]],Input_Raw[[#This Row],[P-43]])</f>
        <v>50815</v>
      </c>
      <c r="CW30" s="70"/>
      <c r="CX30" s="70">
        <f>SUM(Input_Raw[[#This Row],[P-05]:[P-06]],Input_Raw[[#This Row],[P-40]:[P-42]],Input_Raw[[#This Row],[P-45]],Input_Raw[[#This Row],[P-46]],Input_Raw[[#This Row],[P-47]:[P-48]])</f>
        <v>42872</v>
      </c>
      <c r="CY30" s="70"/>
      <c r="CZ30" s="70">
        <f>SUM(Input_Raw[[#This Row],[P-01]:[P-03]],Input_Raw[[#This Row],[P-07]],Input_Raw[[#This Row],[P-18]],Input_Raw[[#This Row],[P-31]:[P-32]],Input_Raw[[#This Row],[P-37]],Input_Raw[[#This Row],[P-50]:[P-56]])</f>
        <v>70144</v>
      </c>
      <c r="DA30" s="12"/>
      <c r="DB30" s="13">
        <f>Input_Raw[[#This Row],[33 kV_Wind_F1_Export reading]]/1000</f>
        <v>21.687999999999999</v>
      </c>
      <c r="DC30" s="13"/>
      <c r="DD30" s="13">
        <f>Input_Raw[[#This Row],[33 kV_Wind_F2_Export_reading]]/1000</f>
        <v>50.814999999999998</v>
      </c>
      <c r="DE30" s="13"/>
      <c r="DF30" s="13">
        <f>Input_Raw[[#This Row],[33 kV_Wind_F3_Export_Reading]]/1000</f>
        <v>42.872</v>
      </c>
      <c r="DG30" s="13"/>
      <c r="DH30" s="13">
        <f>Input_Raw[[#This Row],[33 kV_Wind_F4_Export Reading]]/1000</f>
        <v>70.144000000000005</v>
      </c>
      <c r="DI30" s="13"/>
      <c r="DJ30" s="13">
        <f>Input_Raw[[#This Row],[33 kV_F1_Total_Export (MWh)]]+Input_Raw[[#This Row],[33 kV_F2_Total_Export (MWh)2]]+Input_Raw[[#This Row],[33 kV_Wind_F3_Export (MWh)]]+Input_Raw[[#This Row],[33 kV_Wind_F4_Export (MWh)]]</f>
        <v>185.51900000000001</v>
      </c>
      <c r="DK30" s="13">
        <f>Input_Raw[[#This Row],[33 kV_Wind_F1_Import (MWh)]]+Input_Raw[[#This Row],[33 kV_Wind_F2_Import (MWh)]]+Input_Raw[[#This Row],[33 kV_Wind_F3_Import (MWh)2]]+Input_Raw[[#This Row],[33 kV_Wind_F4_Import (MWh)2]]</f>
        <v>0</v>
      </c>
      <c r="DL30" s="100">
        <f>IFERROR(Input_Raw[[#This Row],[33 kV_Wind_Total_Export (MWh)]]/Input_Raw[[#This Row],[WTG Total Gneration (MWh)]]-1,"")</f>
        <v>0</v>
      </c>
      <c r="DM30" s="66"/>
      <c r="DN30" s="186">
        <v>96</v>
      </c>
      <c r="DO30" s="186">
        <v>2995.5</v>
      </c>
      <c r="DP30" s="102">
        <v>185.49</v>
      </c>
      <c r="DQ30" s="66"/>
      <c r="DR30" s="181">
        <v>70.400000000000006</v>
      </c>
    </row>
    <row r="31" spans="1:122">
      <c r="A31" s="92">
        <f t="shared" si="74"/>
        <v>45771</v>
      </c>
      <c r="B31" s="190">
        <f>YEAR(Input_Raw[[#This Row],[Date]])+IF(MONTH(Input_Raw[[#This Row],[Date]])&gt;=4,1,0)</f>
        <v>2026</v>
      </c>
      <c r="C31" s="190">
        <f>YEAR(Input_Raw[[#This Row],[Date]])</f>
        <v>2025</v>
      </c>
      <c r="D31" s="11">
        <f t="shared" ref="D31" si="85">A31-DAY(A31)+1</f>
        <v>45748</v>
      </c>
      <c r="E31" s="190">
        <f>DAY(EOMONTH(Input_Raw[[#This Row],[Date]],0))</f>
        <v>30</v>
      </c>
      <c r="F31" s="93">
        <v>5176</v>
      </c>
      <c r="G31" s="93">
        <v>4024</v>
      </c>
      <c r="H31" s="93">
        <v>3460</v>
      </c>
      <c r="I31" s="93">
        <v>3884</v>
      </c>
      <c r="J31" s="93">
        <v>5396</v>
      </c>
      <c r="K31" s="93">
        <v>4756</v>
      </c>
      <c r="L31" s="93">
        <v>4432</v>
      </c>
      <c r="M31" s="93">
        <v>2468</v>
      </c>
      <c r="N31" s="93">
        <v>720</v>
      </c>
      <c r="O31" s="93">
        <v>710</v>
      </c>
      <c r="P31" s="93">
        <v>780</v>
      </c>
      <c r="Q31" s="93">
        <v>852</v>
      </c>
      <c r="R31" s="93">
        <v>894</v>
      </c>
      <c r="S31" s="93">
        <v>2644</v>
      </c>
      <c r="T31" s="93">
        <v>2464</v>
      </c>
      <c r="U31" s="93">
        <v>2842</v>
      </c>
      <c r="V31" s="93">
        <v>3594</v>
      </c>
      <c r="W31" s="93">
        <v>4136</v>
      </c>
      <c r="X31" s="93">
        <v>3436</v>
      </c>
      <c r="Y31" s="93">
        <v>3144</v>
      </c>
      <c r="Z31" s="93">
        <v>4168</v>
      </c>
      <c r="AA31" s="93">
        <v>3564</v>
      </c>
      <c r="AB31" s="93">
        <v>3216</v>
      </c>
      <c r="AC31" s="93">
        <v>3620</v>
      </c>
      <c r="AD31" s="93">
        <v>4344</v>
      </c>
      <c r="AE31" s="93">
        <v>3904</v>
      </c>
      <c r="AF31" s="93">
        <v>2804</v>
      </c>
      <c r="AG31" s="93">
        <v>1252</v>
      </c>
      <c r="AH31" s="93">
        <v>3132</v>
      </c>
      <c r="AI31" s="93">
        <v>1966</v>
      </c>
      <c r="AJ31" s="93">
        <v>3540</v>
      </c>
      <c r="AK31" s="93">
        <v>2584</v>
      </c>
      <c r="AL31" s="93">
        <v>4984</v>
      </c>
      <c r="AM31" s="93">
        <v>6472</v>
      </c>
      <c r="AN31" s="93">
        <v>3216</v>
      </c>
      <c r="AO31" s="93">
        <v>5352</v>
      </c>
      <c r="AP31" s="93">
        <v>5860</v>
      </c>
      <c r="AQ31" s="93">
        <v>3344</v>
      </c>
      <c r="AR31" s="93">
        <v>5456</v>
      </c>
      <c r="AS31" s="93">
        <v>1876</v>
      </c>
      <c r="AT31" s="93">
        <v>2045.9999999999998</v>
      </c>
      <c r="AU31" s="93">
        <v>2598</v>
      </c>
      <c r="AV31" s="93">
        <v>5744</v>
      </c>
      <c r="AW31" s="93">
        <v>5948</v>
      </c>
      <c r="AX31" s="96">
        <v>4.7699999999999996</v>
      </c>
      <c r="AY31" s="96">
        <v>4.63</v>
      </c>
      <c r="AZ31" s="96">
        <v>4.45</v>
      </c>
      <c r="BA31" s="96">
        <v>4.82</v>
      </c>
      <c r="BB31" s="96">
        <v>5.19</v>
      </c>
      <c r="BC31" s="96">
        <v>5.26</v>
      </c>
      <c r="BD31" s="96">
        <v>4.92</v>
      </c>
      <c r="BE31" s="96">
        <v>4.33</v>
      </c>
      <c r="BF31" s="96">
        <v>3.87</v>
      </c>
      <c r="BG31" s="96">
        <v>4.17</v>
      </c>
      <c r="BH31" s="96">
        <v>3.84</v>
      </c>
      <c r="BI31" s="96">
        <v>4.04</v>
      </c>
      <c r="BJ31" s="96">
        <v>4</v>
      </c>
      <c r="BK31" s="96">
        <v>4.3499999999999996</v>
      </c>
      <c r="BL31" s="96">
        <v>4.3600000000000003</v>
      </c>
      <c r="BM31" s="96">
        <v>4.49</v>
      </c>
      <c r="BN31" s="96">
        <v>4.75</v>
      </c>
      <c r="BO31" s="96">
        <v>4.78</v>
      </c>
      <c r="BP31" s="96">
        <v>4.67</v>
      </c>
      <c r="BQ31" s="96">
        <v>4.3600000000000003</v>
      </c>
      <c r="BR31" s="96">
        <v>5.12</v>
      </c>
      <c r="BS31" s="96">
        <v>4.6500000000000004</v>
      </c>
      <c r="BT31" s="96">
        <v>4.3499999999999996</v>
      </c>
      <c r="BU31" s="96">
        <v>4.96</v>
      </c>
      <c r="BV31" s="96">
        <v>5.12</v>
      </c>
      <c r="BW31" s="96">
        <v>5</v>
      </c>
      <c r="BX31" s="96">
        <v>3.8</v>
      </c>
      <c r="BY31" s="96">
        <v>3.29</v>
      </c>
      <c r="BZ31" s="96">
        <v>4.54</v>
      </c>
      <c r="CA31" s="96">
        <v>3.93</v>
      </c>
      <c r="CB31" s="96">
        <v>4.37</v>
      </c>
      <c r="CC31" s="96">
        <v>4.28</v>
      </c>
      <c r="CD31" s="96">
        <v>5.42</v>
      </c>
      <c r="CE31" s="96">
        <v>5.37</v>
      </c>
      <c r="CF31" s="96">
        <v>4.3099999999999996</v>
      </c>
      <c r="CG31" s="96">
        <v>5.58</v>
      </c>
      <c r="CH31" s="96">
        <v>5.65</v>
      </c>
      <c r="CI31" s="96">
        <v>5.01</v>
      </c>
      <c r="CJ31" s="96">
        <v>5.64</v>
      </c>
      <c r="CK31" s="96">
        <v>3.62</v>
      </c>
      <c r="CL31" s="96">
        <v>3.77</v>
      </c>
      <c r="CM31" s="96">
        <v>4.2300000000000004</v>
      </c>
      <c r="CN31" s="96">
        <v>5.39</v>
      </c>
      <c r="CO31" s="96">
        <v>5.55</v>
      </c>
      <c r="CP31" s="98">
        <f>SUM(Input_Raw[[#This Row],[P-01]:[P-56]])/1000</f>
        <v>150.80199999999999</v>
      </c>
      <c r="CQ31" s="71">
        <f>IFERROR(AVERAGEIF(Input_Raw[[#This Row],[WS_P-01]:[WS_P-56]],"&lt;&gt;",Input_Raw[[#This Row],[WS_P-01]:[WS_P-56]]),"")</f>
        <v>4.6136363636363633</v>
      </c>
      <c r="CR31" s="99">
        <f>MAX(Input_Raw[[#This Row],[WS_P-01]:[WS_P-56]])</f>
        <v>5.65</v>
      </c>
      <c r="CS31" s="99"/>
      <c r="CT31" s="70">
        <f>SUM(Input_Raw[[#This Row],[P-08]:[P-13]],Input_Raw[[#This Row],[P-25]:[P-28]])</f>
        <v>21508</v>
      </c>
      <c r="CU31" s="70"/>
      <c r="CV31" s="70">
        <f>SUM(Input_Raw[[#This Row],[P-04]],Input_Raw[[#This Row],[P-14]:[P-17]],Input_Raw[[#This Row],[P-19]:[P-20]],Input_Raw[[#This Row],[P-22]:[P-23]],Input_Raw[[#This Row],[P-34]],Input_Raw[[#This Row],[P-38]],Input_Raw[[#This Row],[P-43]])</f>
        <v>39628</v>
      </c>
      <c r="CW31" s="70"/>
      <c r="CX31" s="70">
        <f>SUM(Input_Raw[[#This Row],[P-05]:[P-06]],Input_Raw[[#This Row],[P-40]:[P-42]],Input_Raw[[#This Row],[P-45]],Input_Raw[[#This Row],[P-46]],Input_Raw[[#This Row],[P-47]:[P-48]])</f>
        <v>44204</v>
      </c>
      <c r="CY31" s="70"/>
      <c r="CZ31" s="70">
        <f>SUM(Input_Raw[[#This Row],[P-01]:[P-03]],Input_Raw[[#This Row],[P-07]],Input_Raw[[#This Row],[P-18]],Input_Raw[[#This Row],[P-31]:[P-32]],Input_Raw[[#This Row],[P-37]],Input_Raw[[#This Row],[P-50]:[P-56]])</f>
        <v>45462</v>
      </c>
      <c r="DA31" s="12"/>
      <c r="DB31" s="13">
        <f>Input_Raw[[#This Row],[33 kV_Wind_F1_Export reading]]/1000</f>
        <v>21.507999999999999</v>
      </c>
      <c r="DC31" s="13"/>
      <c r="DD31" s="13">
        <f>Input_Raw[[#This Row],[33 kV_Wind_F2_Export_reading]]/1000</f>
        <v>39.628</v>
      </c>
      <c r="DE31" s="13"/>
      <c r="DF31" s="13">
        <f>Input_Raw[[#This Row],[33 kV_Wind_F3_Export_Reading]]/1000</f>
        <v>44.204000000000001</v>
      </c>
      <c r="DG31" s="13"/>
      <c r="DH31" s="13">
        <f>Input_Raw[[#This Row],[33 kV_Wind_F4_Export Reading]]/1000</f>
        <v>45.462000000000003</v>
      </c>
      <c r="DI31" s="13"/>
      <c r="DJ31" s="13">
        <f>Input_Raw[[#This Row],[33 kV_F1_Total_Export (MWh)]]+Input_Raw[[#This Row],[33 kV_F2_Total_Export (MWh)2]]+Input_Raw[[#This Row],[33 kV_Wind_F3_Export (MWh)]]+Input_Raw[[#This Row],[33 kV_Wind_F4_Export (MWh)]]</f>
        <v>150.80200000000002</v>
      </c>
      <c r="DK31" s="13">
        <f>Input_Raw[[#This Row],[33 kV_Wind_F1_Import (MWh)]]+Input_Raw[[#This Row],[33 kV_Wind_F2_Import (MWh)]]+Input_Raw[[#This Row],[33 kV_Wind_F3_Import (MWh)2]]+Input_Raw[[#This Row],[33 kV_Wind_F4_Import (MWh)2]]</f>
        <v>0</v>
      </c>
      <c r="DL31" s="100">
        <f>IFERROR(Input_Raw[[#This Row],[33 kV_Wind_Total_Export (MWh)]]/Input_Raw[[#This Row],[WTG Total Gneration (MWh)]]-1,"")</f>
        <v>2.2204460492503131E-16</v>
      </c>
      <c r="DM31" s="66"/>
      <c r="DN31" s="186">
        <v>54</v>
      </c>
      <c r="DO31" s="186">
        <v>0</v>
      </c>
      <c r="DP31" s="102">
        <v>152.06</v>
      </c>
      <c r="DQ31" s="66"/>
      <c r="DR31" s="181">
        <v>70.400000000000006</v>
      </c>
    </row>
    <row r="32" spans="1:122">
      <c r="A32" s="92">
        <f t="shared" si="74"/>
        <v>45772</v>
      </c>
      <c r="B32" s="190">
        <f>YEAR(Input_Raw[[#This Row],[Date]])+IF(MONTH(Input_Raw[[#This Row],[Date]])&gt;=4,1,0)</f>
        <v>2026</v>
      </c>
      <c r="C32" s="190">
        <f>YEAR(Input_Raw[[#This Row],[Date]])</f>
        <v>2025</v>
      </c>
      <c r="D32" s="11">
        <f t="shared" ref="D32" si="86">A32-DAY(A32)+1</f>
        <v>45748</v>
      </c>
      <c r="E32" s="190">
        <f>DAY(EOMONTH(Input_Raw[[#This Row],[Date]],0))</f>
        <v>30</v>
      </c>
      <c r="F32" s="93">
        <v>6648</v>
      </c>
      <c r="G32" s="93">
        <v>4724</v>
      </c>
      <c r="H32" s="93">
        <v>4067.9999999999995</v>
      </c>
      <c r="I32" s="93">
        <v>5136</v>
      </c>
      <c r="J32" s="93">
        <v>5292</v>
      </c>
      <c r="K32" s="93">
        <v>3564</v>
      </c>
      <c r="L32" s="93">
        <v>5910</v>
      </c>
      <c r="M32" s="93">
        <v>2316</v>
      </c>
      <c r="N32" s="93">
        <v>1188</v>
      </c>
      <c r="O32" s="93">
        <v>1320</v>
      </c>
      <c r="P32" s="93">
        <v>1536</v>
      </c>
      <c r="Q32" s="93">
        <v>1712</v>
      </c>
      <c r="R32" s="93">
        <v>2029.9999999999998</v>
      </c>
      <c r="S32" s="93">
        <v>2300</v>
      </c>
      <c r="T32" s="93">
        <v>2200</v>
      </c>
      <c r="U32" s="93">
        <v>2684</v>
      </c>
      <c r="V32" s="93">
        <v>3294</v>
      </c>
      <c r="W32" s="93">
        <v>6260</v>
      </c>
      <c r="X32" s="93">
        <v>3364</v>
      </c>
      <c r="Y32" s="93">
        <v>2969</v>
      </c>
      <c r="Z32" s="93">
        <v>5980</v>
      </c>
      <c r="AA32" s="93">
        <v>6040</v>
      </c>
      <c r="AB32" s="93">
        <v>3576</v>
      </c>
      <c r="AC32" s="93">
        <v>3608</v>
      </c>
      <c r="AD32" s="93">
        <v>4272</v>
      </c>
      <c r="AE32" s="93">
        <v>3968</v>
      </c>
      <c r="AF32" s="93">
        <v>3424</v>
      </c>
      <c r="AG32" s="93">
        <v>1296</v>
      </c>
      <c r="AH32" s="93">
        <v>3976</v>
      </c>
      <c r="AI32" s="93">
        <v>2598</v>
      </c>
      <c r="AJ32" s="93">
        <v>3710</v>
      </c>
      <c r="AK32" s="93">
        <v>1280</v>
      </c>
      <c r="AL32" s="93">
        <v>4612</v>
      </c>
      <c r="AM32" s="93">
        <v>5452</v>
      </c>
      <c r="AN32" s="93">
        <v>4040</v>
      </c>
      <c r="AO32" s="93">
        <v>5648</v>
      </c>
      <c r="AP32" s="93">
        <v>5228</v>
      </c>
      <c r="AQ32" s="93">
        <v>4772</v>
      </c>
      <c r="AR32" s="93">
        <v>6416</v>
      </c>
      <c r="AS32" s="93">
        <v>1788</v>
      </c>
      <c r="AT32" s="93">
        <v>2118</v>
      </c>
      <c r="AU32" s="93">
        <v>3224</v>
      </c>
      <c r="AV32" s="93">
        <v>7256</v>
      </c>
      <c r="AW32" s="93">
        <v>7388</v>
      </c>
      <c r="AX32" s="96">
        <v>4.99</v>
      </c>
      <c r="AY32" s="96">
        <v>4.83</v>
      </c>
      <c r="AZ32" s="96">
        <v>4.67</v>
      </c>
      <c r="BA32" s="96">
        <v>4.8499999999999996</v>
      </c>
      <c r="BB32" s="96">
        <v>4.83</v>
      </c>
      <c r="BC32" s="96">
        <v>4.58</v>
      </c>
      <c r="BD32" s="96">
        <v>5.14</v>
      </c>
      <c r="BE32" s="96">
        <v>4.13</v>
      </c>
      <c r="BF32" s="96">
        <v>3.63</v>
      </c>
      <c r="BG32" s="96">
        <v>3.92</v>
      </c>
      <c r="BH32" s="96">
        <v>3.73</v>
      </c>
      <c r="BI32" s="96">
        <v>3.88</v>
      </c>
      <c r="BJ32" s="96">
        <v>3.99</v>
      </c>
      <c r="BK32" s="96">
        <v>4.05</v>
      </c>
      <c r="BL32" s="96">
        <v>4.1500000000000004</v>
      </c>
      <c r="BM32" s="96">
        <v>4.18</v>
      </c>
      <c r="BN32" s="96">
        <v>4.41</v>
      </c>
      <c r="BO32" s="96">
        <v>5.24</v>
      </c>
      <c r="BP32" s="96">
        <v>4.4400000000000004</v>
      </c>
      <c r="BQ32" s="96">
        <v>4.04</v>
      </c>
      <c r="BR32" s="96">
        <v>5.33</v>
      </c>
      <c r="BS32" s="96">
        <v>5.19</v>
      </c>
      <c r="BT32" s="96">
        <v>4.33</v>
      </c>
      <c r="BU32" s="96">
        <v>4.8099999999999996</v>
      </c>
      <c r="BV32" s="96">
        <v>5</v>
      </c>
      <c r="BW32" s="96">
        <v>5.03</v>
      </c>
      <c r="BX32" s="96">
        <v>4.12</v>
      </c>
      <c r="BY32" s="96">
        <v>3.25</v>
      </c>
      <c r="BZ32" s="96">
        <v>4.58</v>
      </c>
      <c r="CA32" s="96">
        <v>4.16</v>
      </c>
      <c r="CB32" s="96">
        <v>4.1100000000000003</v>
      </c>
      <c r="CC32" s="96">
        <v>3.53</v>
      </c>
      <c r="CD32" s="96">
        <v>5.0599999999999996</v>
      </c>
      <c r="CE32" s="96">
        <v>5.33</v>
      </c>
      <c r="CF32" s="96">
        <v>4.5</v>
      </c>
      <c r="CG32" s="96">
        <v>5.56</v>
      </c>
      <c r="CH32" s="96">
        <v>5.37</v>
      </c>
      <c r="CI32" s="96">
        <v>4.87</v>
      </c>
      <c r="CJ32" s="96">
        <v>5.37</v>
      </c>
      <c r="CK32" s="96">
        <v>3.28</v>
      </c>
      <c r="CL32" s="96">
        <v>3.63</v>
      </c>
      <c r="CM32" s="96">
        <v>4.34</v>
      </c>
      <c r="CN32" s="96">
        <v>5.66</v>
      </c>
      <c r="CO32" s="96">
        <v>5.76</v>
      </c>
      <c r="CP32" s="98">
        <f>SUM(Input_Raw[[#This Row],[P-01]:[P-56]])/1000</f>
        <v>170.185</v>
      </c>
      <c r="CQ32" s="71">
        <f>IFERROR(AVERAGEIF(Input_Raw[[#This Row],[WS_P-01]:[WS_P-56]],"&lt;&gt;",Input_Raw[[#This Row],[WS_P-01]:[WS_P-56]]),"")</f>
        <v>4.5420454545454554</v>
      </c>
      <c r="CR32" s="99">
        <f>MAX(Input_Raw[[#This Row],[WS_P-01]:[WS_P-56]])</f>
        <v>5.76</v>
      </c>
      <c r="CS32" s="99"/>
      <c r="CT32" s="70">
        <f>SUM(Input_Raw[[#This Row],[P-08]:[P-13]],Input_Raw[[#This Row],[P-25]:[P-28]])</f>
        <v>25526</v>
      </c>
      <c r="CU32" s="70"/>
      <c r="CV32" s="70">
        <f>SUM(Input_Raw[[#This Row],[P-04]],Input_Raw[[#This Row],[P-14]:[P-17]],Input_Raw[[#This Row],[P-19]:[P-20]],Input_Raw[[#This Row],[P-22]:[P-23]],Input_Raw[[#This Row],[P-34]],Input_Raw[[#This Row],[P-38]],Input_Raw[[#This Row],[P-43]])</f>
        <v>45693</v>
      </c>
      <c r="CW32" s="70"/>
      <c r="CX32" s="70">
        <f>SUM(Input_Raw[[#This Row],[P-05]:[P-06]],Input_Raw[[#This Row],[P-40]:[P-42]],Input_Raw[[#This Row],[P-45]],Input_Raw[[#This Row],[P-46]],Input_Raw[[#This Row],[P-47]:[P-48]])</f>
        <v>42264</v>
      </c>
      <c r="CY32" s="70"/>
      <c r="CZ32" s="70">
        <f>SUM(Input_Raw[[#This Row],[P-01]:[P-03]],Input_Raw[[#This Row],[P-07]],Input_Raw[[#This Row],[P-18]],Input_Raw[[#This Row],[P-31]:[P-32]],Input_Raw[[#This Row],[P-37]],Input_Raw[[#This Row],[P-50]:[P-56]])</f>
        <v>56702</v>
      </c>
      <c r="DA32" s="12"/>
      <c r="DB32" s="13">
        <f>Input_Raw[[#This Row],[33 kV_Wind_F1_Export reading]]/1000</f>
        <v>25.526</v>
      </c>
      <c r="DC32" s="13"/>
      <c r="DD32" s="13">
        <f>Input_Raw[[#This Row],[33 kV_Wind_F2_Export_reading]]/1000</f>
        <v>45.692999999999998</v>
      </c>
      <c r="DE32" s="13"/>
      <c r="DF32" s="13">
        <f>Input_Raw[[#This Row],[33 kV_Wind_F3_Export_Reading]]/1000</f>
        <v>42.264000000000003</v>
      </c>
      <c r="DG32" s="13"/>
      <c r="DH32" s="13">
        <f>Input_Raw[[#This Row],[33 kV_Wind_F4_Export Reading]]/1000</f>
        <v>56.701999999999998</v>
      </c>
      <c r="DI32" s="13"/>
      <c r="DJ32" s="13">
        <f>Input_Raw[[#This Row],[33 kV_F1_Total_Export (MWh)]]+Input_Raw[[#This Row],[33 kV_F2_Total_Export (MWh)2]]+Input_Raw[[#This Row],[33 kV_Wind_F3_Export (MWh)]]+Input_Raw[[#This Row],[33 kV_Wind_F4_Export (MWh)]]</f>
        <v>170.185</v>
      </c>
      <c r="DK32" s="13">
        <f>Input_Raw[[#This Row],[33 kV_Wind_F1_Import (MWh)]]+Input_Raw[[#This Row],[33 kV_Wind_F2_Import (MWh)]]+Input_Raw[[#This Row],[33 kV_Wind_F3_Import (MWh)2]]+Input_Raw[[#This Row],[33 kV_Wind_F4_Import (MWh)2]]</f>
        <v>0</v>
      </c>
      <c r="DL32" s="100">
        <f>IFERROR(Input_Raw[[#This Row],[33 kV_Wind_Total_Export (MWh)]]/Input_Raw[[#This Row],[WTG Total Gneration (MWh)]]-1,"")</f>
        <v>0</v>
      </c>
      <c r="DM32" s="66"/>
      <c r="DN32" s="186">
        <v>40</v>
      </c>
      <c r="DO32" s="186">
        <v>435.62</v>
      </c>
      <c r="DP32" s="102">
        <v>173.65</v>
      </c>
      <c r="DQ32" s="66"/>
      <c r="DR32" s="181">
        <v>70.400000000000006</v>
      </c>
    </row>
    <row r="33" spans="1:122">
      <c r="A33" s="92">
        <f t="shared" si="74"/>
        <v>45773</v>
      </c>
      <c r="B33" s="190">
        <f>YEAR(Input_Raw[[#This Row],[Date]])+IF(MONTH(Input_Raw[[#This Row],[Date]])&gt;=4,1,0)</f>
        <v>2026</v>
      </c>
      <c r="C33" s="190">
        <f>YEAR(Input_Raw[[#This Row],[Date]])</f>
        <v>2025</v>
      </c>
      <c r="D33" s="11">
        <f t="shared" ref="D33" si="87">A33-DAY(A33)+1</f>
        <v>45748</v>
      </c>
      <c r="E33" s="190">
        <f>DAY(EOMONTH(Input_Raw[[#This Row],[Date]],0))</f>
        <v>30</v>
      </c>
      <c r="F33" s="93">
        <v>5692</v>
      </c>
      <c r="G33" s="93">
        <v>4588</v>
      </c>
      <c r="H33" s="93">
        <v>4000</v>
      </c>
      <c r="I33" s="93">
        <v>4256</v>
      </c>
      <c r="J33" s="93">
        <v>4616</v>
      </c>
      <c r="K33" s="93">
        <v>1684</v>
      </c>
      <c r="L33" s="93">
        <v>3182</v>
      </c>
      <c r="M33" s="93">
        <v>2448</v>
      </c>
      <c r="N33" s="93">
        <v>2012</v>
      </c>
      <c r="O33" s="93">
        <v>2256</v>
      </c>
      <c r="P33" s="93">
        <v>2516</v>
      </c>
      <c r="Q33" s="93">
        <v>2744</v>
      </c>
      <c r="R33" s="93">
        <v>2988</v>
      </c>
      <c r="S33" s="93">
        <v>824</v>
      </c>
      <c r="T33" s="93">
        <v>882</v>
      </c>
      <c r="U33" s="93">
        <v>954</v>
      </c>
      <c r="V33" s="93">
        <v>900</v>
      </c>
      <c r="W33" s="93">
        <v>5020</v>
      </c>
      <c r="X33" s="93">
        <v>1124</v>
      </c>
      <c r="Y33" s="93">
        <v>897</v>
      </c>
      <c r="Z33" s="93">
        <v>4176</v>
      </c>
      <c r="AA33" s="93">
        <v>3892</v>
      </c>
      <c r="AB33" s="93">
        <v>3104</v>
      </c>
      <c r="AC33" s="93">
        <v>3336</v>
      </c>
      <c r="AD33" s="93">
        <v>3776</v>
      </c>
      <c r="AE33" s="93">
        <v>3280</v>
      </c>
      <c r="AF33" s="93">
        <v>4152</v>
      </c>
      <c r="AG33" s="93">
        <v>2009.9999999999998</v>
      </c>
      <c r="AH33" s="93">
        <v>3764</v>
      </c>
      <c r="AI33" s="93">
        <v>3298</v>
      </c>
      <c r="AJ33" s="93">
        <v>746</v>
      </c>
      <c r="AK33" s="93">
        <v>2972</v>
      </c>
      <c r="AL33" s="93">
        <v>4552</v>
      </c>
      <c r="AM33" s="93">
        <v>5872</v>
      </c>
      <c r="AN33" s="93">
        <v>3396</v>
      </c>
      <c r="AO33" s="93">
        <v>4964</v>
      </c>
      <c r="AP33" s="93">
        <v>5152</v>
      </c>
      <c r="AQ33" s="93">
        <v>4700</v>
      </c>
      <c r="AR33" s="93">
        <v>5328</v>
      </c>
      <c r="AS33" s="93">
        <v>1756</v>
      </c>
      <c r="AT33" s="93">
        <v>2548</v>
      </c>
      <c r="AU33" s="93">
        <v>3328</v>
      </c>
      <c r="AV33" s="93">
        <v>5704</v>
      </c>
      <c r="AW33" s="93">
        <v>5308</v>
      </c>
      <c r="AX33" s="96">
        <v>4.6500000000000004</v>
      </c>
      <c r="AY33" s="96">
        <v>4.63</v>
      </c>
      <c r="AZ33" s="96">
        <v>4.42</v>
      </c>
      <c r="BA33" s="96">
        <v>4.49</v>
      </c>
      <c r="BB33" s="96">
        <v>4.66</v>
      </c>
      <c r="BC33" s="96">
        <v>4.54</v>
      </c>
      <c r="BD33" s="96">
        <v>4.1100000000000003</v>
      </c>
      <c r="BE33" s="96">
        <v>4.0999999999999996</v>
      </c>
      <c r="BF33" s="96">
        <v>4.05</v>
      </c>
      <c r="BG33" s="96">
        <v>4.38</v>
      </c>
      <c r="BH33" s="96">
        <v>4.12</v>
      </c>
      <c r="BI33" s="96">
        <v>4.3</v>
      </c>
      <c r="BJ33" s="96">
        <v>4.33</v>
      </c>
      <c r="BK33" s="96">
        <v>3.63</v>
      </c>
      <c r="BL33" s="96">
        <v>3.76</v>
      </c>
      <c r="BM33" s="96">
        <v>3.83</v>
      </c>
      <c r="BN33" s="96">
        <v>3.83</v>
      </c>
      <c r="BO33" s="96">
        <v>4.76</v>
      </c>
      <c r="BP33" s="96">
        <v>3.91</v>
      </c>
      <c r="BQ33" s="96">
        <v>3.72</v>
      </c>
      <c r="BR33" s="96">
        <v>4.72</v>
      </c>
      <c r="BS33" s="96">
        <v>4.4000000000000004</v>
      </c>
      <c r="BT33" s="96">
        <v>4.1100000000000003</v>
      </c>
      <c r="BU33" s="96">
        <v>4.6900000000000004</v>
      </c>
      <c r="BV33" s="96">
        <v>4.74</v>
      </c>
      <c r="BW33" s="96">
        <v>4.59</v>
      </c>
      <c r="BX33" s="96">
        <v>4.17</v>
      </c>
      <c r="BY33" s="96">
        <v>3.41</v>
      </c>
      <c r="BZ33" s="96">
        <v>4.3600000000000003</v>
      </c>
      <c r="CA33" s="96">
        <v>4.0999999999999996</v>
      </c>
      <c r="CB33" s="96">
        <v>3.19</v>
      </c>
      <c r="CC33" s="96">
        <v>4.37</v>
      </c>
      <c r="CD33" s="96">
        <v>5.0599999999999996</v>
      </c>
      <c r="CE33" s="96">
        <v>5.05</v>
      </c>
      <c r="CF33" s="96">
        <v>4.1900000000000004</v>
      </c>
      <c r="CG33" s="96">
        <v>5.01</v>
      </c>
      <c r="CH33" s="96">
        <v>5.12</v>
      </c>
      <c r="CI33" s="96">
        <v>4.54</v>
      </c>
      <c r="CJ33" s="96">
        <v>5.09</v>
      </c>
      <c r="CK33" s="96">
        <v>3.12</v>
      </c>
      <c r="CL33" s="96">
        <v>3.75</v>
      </c>
      <c r="CM33" s="96">
        <v>4.13</v>
      </c>
      <c r="CN33" s="96">
        <v>4.99</v>
      </c>
      <c r="CO33" s="96">
        <v>5.07</v>
      </c>
      <c r="CP33" s="98">
        <f>SUM(Input_Raw[[#This Row],[P-01]:[P-56]])/1000</f>
        <v>144.697</v>
      </c>
      <c r="CQ33" s="71">
        <f>IFERROR(AVERAGEIF(Input_Raw[[#This Row],[WS_P-01]:[WS_P-56]],"&lt;&gt;",Input_Raw[[#This Row],[WS_P-01]:[WS_P-56]]),"")</f>
        <v>4.3224999999999998</v>
      </c>
      <c r="CR33" s="99">
        <f>MAX(Input_Raw[[#This Row],[WS_P-01]:[WS_P-56]])</f>
        <v>5.12</v>
      </c>
      <c r="CS33" s="99"/>
      <c r="CT33" s="70">
        <f>SUM(Input_Raw[[#This Row],[P-08]:[P-13]],Input_Raw[[#This Row],[P-25]:[P-28]])</f>
        <v>28460</v>
      </c>
      <c r="CU33" s="70"/>
      <c r="CV33" s="70">
        <f>SUM(Input_Raw[[#This Row],[P-04]],Input_Raw[[#This Row],[P-14]:[P-17]],Input_Raw[[#This Row],[P-19]:[P-20]],Input_Raw[[#This Row],[P-22]:[P-23]],Input_Raw[[#This Row],[P-34]],Input_Raw[[#This Row],[P-38]],Input_Raw[[#This Row],[P-43]])</f>
        <v>25811</v>
      </c>
      <c r="CW33" s="70"/>
      <c r="CX33" s="70">
        <f>SUM(Input_Raw[[#This Row],[P-05]:[P-06]],Input_Raw[[#This Row],[P-40]:[P-42]],Input_Raw[[#This Row],[P-45]],Input_Raw[[#This Row],[P-46]],Input_Raw[[#This Row],[P-47]:[P-48]])</f>
        <v>39840</v>
      </c>
      <c r="CY33" s="70"/>
      <c r="CZ33" s="70">
        <f>SUM(Input_Raw[[#This Row],[P-01]:[P-03]],Input_Raw[[#This Row],[P-07]],Input_Raw[[#This Row],[P-18]],Input_Raw[[#This Row],[P-31]:[P-32]],Input_Raw[[#This Row],[P-37]],Input_Raw[[#This Row],[P-50]:[P-56]])</f>
        <v>50586</v>
      </c>
      <c r="DA33" s="12"/>
      <c r="DB33" s="13">
        <f>Input_Raw[[#This Row],[33 kV_Wind_F1_Export reading]]/1000</f>
        <v>28.46</v>
      </c>
      <c r="DC33" s="13"/>
      <c r="DD33" s="13">
        <f>Input_Raw[[#This Row],[33 kV_Wind_F2_Export_reading]]/1000</f>
        <v>25.811</v>
      </c>
      <c r="DE33" s="13"/>
      <c r="DF33" s="13">
        <f>Input_Raw[[#This Row],[33 kV_Wind_F3_Export_Reading]]/1000</f>
        <v>39.840000000000003</v>
      </c>
      <c r="DG33" s="13"/>
      <c r="DH33" s="13">
        <f>Input_Raw[[#This Row],[33 kV_Wind_F4_Export Reading]]/1000</f>
        <v>50.585999999999999</v>
      </c>
      <c r="DI33" s="13"/>
      <c r="DJ33" s="13">
        <f>Input_Raw[[#This Row],[33 kV_F1_Total_Export (MWh)]]+Input_Raw[[#This Row],[33 kV_F2_Total_Export (MWh)2]]+Input_Raw[[#This Row],[33 kV_Wind_F3_Export (MWh)]]+Input_Raw[[#This Row],[33 kV_Wind_F4_Export (MWh)]]</f>
        <v>144.697</v>
      </c>
      <c r="DK33" s="13">
        <f>Input_Raw[[#This Row],[33 kV_Wind_F1_Import (MWh)]]+Input_Raw[[#This Row],[33 kV_Wind_F2_Import (MWh)]]+Input_Raw[[#This Row],[33 kV_Wind_F3_Import (MWh)2]]+Input_Raw[[#This Row],[33 kV_Wind_F4_Import (MWh)2]]</f>
        <v>0</v>
      </c>
      <c r="DL33" s="100">
        <f>IFERROR(Input_Raw[[#This Row],[33 kV_Wind_Total_Export (MWh)]]/Input_Raw[[#This Row],[WTG Total Gneration (MWh)]]-1,"")</f>
        <v>0</v>
      </c>
      <c r="DM33" s="66"/>
      <c r="DN33" s="186">
        <v>96</v>
      </c>
      <c r="DO33" s="186">
        <v>1141.6199999999999</v>
      </c>
      <c r="DP33" s="102">
        <v>143.44999999999999</v>
      </c>
      <c r="DQ33" s="66"/>
      <c r="DR33" s="181">
        <v>70.400000000000006</v>
      </c>
    </row>
    <row r="34" spans="1:122">
      <c r="A34" s="92">
        <f t="shared" si="74"/>
        <v>45774</v>
      </c>
      <c r="B34" s="190">
        <f>YEAR(Input_Raw[[#This Row],[Date]])+IF(MONTH(Input_Raw[[#This Row],[Date]])&gt;=4,1,0)</f>
        <v>2026</v>
      </c>
      <c r="C34" s="190">
        <f>YEAR(Input_Raw[[#This Row],[Date]])</f>
        <v>2025</v>
      </c>
      <c r="D34" s="11">
        <f t="shared" ref="D34" si="88">A34-DAY(A34)+1</f>
        <v>45748</v>
      </c>
      <c r="E34" s="190">
        <f>DAY(EOMONTH(Input_Raw[[#This Row],[Date]],0))</f>
        <v>30</v>
      </c>
      <c r="F34" s="93">
        <v>3824</v>
      </c>
      <c r="G34" s="93">
        <v>2852</v>
      </c>
      <c r="H34" s="93">
        <v>2860</v>
      </c>
      <c r="I34" s="93">
        <v>2566</v>
      </c>
      <c r="J34" s="93">
        <v>4008</v>
      </c>
      <c r="K34" s="93">
        <v>2728</v>
      </c>
      <c r="L34" s="93">
        <v>2960</v>
      </c>
      <c r="M34" s="93">
        <v>1484</v>
      </c>
      <c r="N34" s="93">
        <v>1076</v>
      </c>
      <c r="O34" s="93">
        <v>1476</v>
      </c>
      <c r="P34" s="93">
        <v>1724</v>
      </c>
      <c r="Q34" s="93">
        <v>2000</v>
      </c>
      <c r="R34" s="93">
        <v>2148</v>
      </c>
      <c r="S34" s="93">
        <v>1974</v>
      </c>
      <c r="T34" s="93">
        <v>1918</v>
      </c>
      <c r="U34" s="93">
        <v>2004</v>
      </c>
      <c r="V34" s="93">
        <v>2308</v>
      </c>
      <c r="W34" s="93">
        <v>3400</v>
      </c>
      <c r="X34" s="93">
        <v>2150</v>
      </c>
      <c r="Y34" s="93">
        <v>2005.9999999999998</v>
      </c>
      <c r="Z34" s="93">
        <v>2892</v>
      </c>
      <c r="AA34" s="93">
        <v>2720</v>
      </c>
      <c r="AB34" s="93">
        <v>2244</v>
      </c>
      <c r="AC34" s="93">
        <v>2456</v>
      </c>
      <c r="AD34" s="93">
        <v>2752</v>
      </c>
      <c r="AE34" s="93">
        <v>2476</v>
      </c>
      <c r="AF34" s="93">
        <v>2416</v>
      </c>
      <c r="AG34" s="93">
        <v>1570</v>
      </c>
      <c r="AH34" s="93">
        <v>2600</v>
      </c>
      <c r="AI34" s="93">
        <v>2098</v>
      </c>
      <c r="AJ34" s="93">
        <v>2384</v>
      </c>
      <c r="AK34" s="93">
        <v>1632</v>
      </c>
      <c r="AL34" s="93">
        <v>2252</v>
      </c>
      <c r="AM34" s="93">
        <v>4356</v>
      </c>
      <c r="AN34" s="93">
        <v>2390</v>
      </c>
      <c r="AO34" s="93">
        <v>3424</v>
      </c>
      <c r="AP34" s="93">
        <v>3552</v>
      </c>
      <c r="AQ34" s="93">
        <v>3536</v>
      </c>
      <c r="AR34" s="93">
        <v>3944</v>
      </c>
      <c r="AS34" s="93">
        <v>1984</v>
      </c>
      <c r="AT34" s="93">
        <v>2172</v>
      </c>
      <c r="AU34" s="93">
        <v>2656</v>
      </c>
      <c r="AV34" s="93">
        <v>3792</v>
      </c>
      <c r="AW34" s="93">
        <v>3840</v>
      </c>
      <c r="AX34" s="96">
        <v>3.8</v>
      </c>
      <c r="AY34" s="96">
        <v>4.04</v>
      </c>
      <c r="AZ34" s="96">
        <v>3.87</v>
      </c>
      <c r="BA34" s="96">
        <v>3.95</v>
      </c>
      <c r="BB34" s="96">
        <v>4.33</v>
      </c>
      <c r="BC34" s="96">
        <v>4.1900000000000004</v>
      </c>
      <c r="BD34" s="96">
        <v>3.96</v>
      </c>
      <c r="BE34" s="96">
        <v>3.61</v>
      </c>
      <c r="BF34" s="96">
        <v>3.32</v>
      </c>
      <c r="BG34" s="96">
        <v>3.71</v>
      </c>
      <c r="BH34" s="96">
        <v>3.57</v>
      </c>
      <c r="BI34" s="96">
        <v>3.78</v>
      </c>
      <c r="BJ34" s="96">
        <v>3.76</v>
      </c>
      <c r="BK34" s="96">
        <v>3.68</v>
      </c>
      <c r="BL34" s="96">
        <v>3.84</v>
      </c>
      <c r="BM34" s="96">
        <v>3.7</v>
      </c>
      <c r="BN34" s="96">
        <v>3.97</v>
      </c>
      <c r="BO34" s="96">
        <v>4.13</v>
      </c>
      <c r="BP34" s="96">
        <v>3.86</v>
      </c>
      <c r="BQ34" s="96">
        <v>3.62</v>
      </c>
      <c r="BR34" s="96">
        <v>4.42</v>
      </c>
      <c r="BS34" s="96">
        <v>4.17</v>
      </c>
      <c r="BT34" s="96">
        <v>3.81</v>
      </c>
      <c r="BU34" s="96">
        <v>4.41</v>
      </c>
      <c r="BV34" s="96">
        <v>4.33</v>
      </c>
      <c r="BW34" s="96">
        <v>4.22</v>
      </c>
      <c r="BX34" s="96">
        <v>3.43</v>
      </c>
      <c r="BY34" s="96">
        <v>3.37</v>
      </c>
      <c r="BZ34" s="96">
        <v>4.07</v>
      </c>
      <c r="CA34" s="96">
        <v>3.83</v>
      </c>
      <c r="CB34" s="96">
        <v>3.53</v>
      </c>
      <c r="CC34" s="96">
        <v>3.44</v>
      </c>
      <c r="CD34" s="96">
        <v>4.54</v>
      </c>
      <c r="CE34" s="96">
        <v>4.43</v>
      </c>
      <c r="CF34" s="96">
        <v>3.85</v>
      </c>
      <c r="CG34" s="96">
        <v>4.4800000000000004</v>
      </c>
      <c r="CH34" s="96">
        <v>4.59</v>
      </c>
      <c r="CI34" s="96">
        <v>4.12</v>
      </c>
      <c r="CJ34" s="96">
        <v>4.57</v>
      </c>
      <c r="CK34" s="96">
        <v>3.39</v>
      </c>
      <c r="CL34" s="96">
        <v>3.64</v>
      </c>
      <c r="CM34" s="96">
        <v>4.0199999999999996</v>
      </c>
      <c r="CN34" s="96">
        <v>4.3</v>
      </c>
      <c r="CO34" s="96">
        <v>4.5199999999999996</v>
      </c>
      <c r="CP34" s="98">
        <f>SUM(Input_Raw[[#This Row],[P-01]:[P-56]])/1000</f>
        <v>113.604</v>
      </c>
      <c r="CQ34" s="71">
        <f>IFERROR(AVERAGEIF(Input_Raw[[#This Row],[WS_P-01]:[WS_P-56]],"&lt;&gt;",Input_Raw[[#This Row],[WS_P-01]:[WS_P-56]]),"")</f>
        <v>3.9584090909090914</v>
      </c>
      <c r="CR34" s="99">
        <f>MAX(Input_Raw[[#This Row],[WS_P-01]:[WS_P-56]])</f>
        <v>4.59</v>
      </c>
      <c r="CS34" s="99"/>
      <c r="CT34" s="70">
        <f>SUM(Input_Raw[[#This Row],[P-08]:[P-13]],Input_Raw[[#This Row],[P-25]:[P-28]])</f>
        <v>19836</v>
      </c>
      <c r="CU34" s="70"/>
      <c r="CV34" s="70">
        <f>SUM(Input_Raw[[#This Row],[P-04]],Input_Raw[[#This Row],[P-14]:[P-17]],Input_Raw[[#This Row],[P-19]:[P-20]],Input_Raw[[#This Row],[P-22]:[P-23]],Input_Raw[[#This Row],[P-34]],Input_Raw[[#This Row],[P-38]],Input_Raw[[#This Row],[P-43]])</f>
        <v>27912</v>
      </c>
      <c r="CW34" s="70"/>
      <c r="CX34" s="70">
        <f>SUM(Input_Raw[[#This Row],[P-05]:[P-06]],Input_Raw[[#This Row],[P-40]:[P-42]],Input_Raw[[#This Row],[P-45]],Input_Raw[[#This Row],[P-46]],Input_Raw[[#This Row],[P-47]:[P-48]])</f>
        <v>29432</v>
      </c>
      <c r="CY34" s="70"/>
      <c r="CZ34" s="70">
        <f>SUM(Input_Raw[[#This Row],[P-01]:[P-03]],Input_Raw[[#This Row],[P-07]],Input_Raw[[#This Row],[P-18]],Input_Raw[[#This Row],[P-31]:[P-32]],Input_Raw[[#This Row],[P-37]],Input_Raw[[#This Row],[P-50]:[P-56]])</f>
        <v>36424</v>
      </c>
      <c r="DA34" s="12"/>
      <c r="DB34" s="13">
        <f>Input_Raw[[#This Row],[33 kV_Wind_F1_Export reading]]/1000</f>
        <v>19.835999999999999</v>
      </c>
      <c r="DC34" s="13"/>
      <c r="DD34" s="13">
        <f>Input_Raw[[#This Row],[33 kV_Wind_F2_Export_reading]]/1000</f>
        <v>27.911999999999999</v>
      </c>
      <c r="DE34" s="13"/>
      <c r="DF34" s="13">
        <f>Input_Raw[[#This Row],[33 kV_Wind_F3_Export_Reading]]/1000</f>
        <v>29.431999999999999</v>
      </c>
      <c r="DG34" s="13"/>
      <c r="DH34" s="13">
        <f>Input_Raw[[#This Row],[33 kV_Wind_F4_Export Reading]]/1000</f>
        <v>36.423999999999999</v>
      </c>
      <c r="DI34" s="13"/>
      <c r="DJ34" s="13">
        <f>Input_Raw[[#This Row],[33 kV_F1_Total_Export (MWh)]]+Input_Raw[[#This Row],[33 kV_F2_Total_Export (MWh)2]]+Input_Raw[[#This Row],[33 kV_Wind_F3_Export (MWh)]]+Input_Raw[[#This Row],[33 kV_Wind_F4_Export (MWh)]]</f>
        <v>113.60399999999998</v>
      </c>
      <c r="DK34" s="13">
        <f>Input_Raw[[#This Row],[33 kV_Wind_F1_Import (MWh)]]+Input_Raw[[#This Row],[33 kV_Wind_F2_Import (MWh)]]+Input_Raw[[#This Row],[33 kV_Wind_F3_Import (MWh)2]]+Input_Raw[[#This Row],[33 kV_Wind_F4_Import (MWh)2]]</f>
        <v>0</v>
      </c>
      <c r="DL34" s="100">
        <f>IFERROR(Input_Raw[[#This Row],[33 kV_Wind_Total_Export (MWh)]]/Input_Raw[[#This Row],[WTG Total Gneration (MWh)]]-1,"")</f>
        <v>-1.1102230246251565E-16</v>
      </c>
      <c r="DM34" s="66"/>
      <c r="DN34" s="186">
        <v>96</v>
      </c>
      <c r="DO34" s="186">
        <v>12</v>
      </c>
      <c r="DP34" s="102">
        <v>110.6</v>
      </c>
      <c r="DQ34" s="66"/>
      <c r="DR34" s="181">
        <v>70.400000000000006</v>
      </c>
    </row>
    <row r="35" spans="1:122">
      <c r="A35" s="92">
        <f t="shared" si="74"/>
        <v>45775</v>
      </c>
      <c r="B35" s="190">
        <f>YEAR(Input_Raw[[#This Row],[Date]])+IF(MONTH(Input_Raw[[#This Row],[Date]])&gt;=4,1,0)</f>
        <v>2026</v>
      </c>
      <c r="C35" s="190">
        <f>YEAR(Input_Raw[[#This Row],[Date]])</f>
        <v>2025</v>
      </c>
      <c r="D35" s="11">
        <f t="shared" ref="D35" si="89">A35-DAY(A35)+1</f>
        <v>45748</v>
      </c>
      <c r="E35" s="190">
        <f>DAY(EOMONTH(Input_Raw[[#This Row],[Date]],0))</f>
        <v>30</v>
      </c>
      <c r="F35" s="93">
        <v>5012</v>
      </c>
      <c r="G35" s="93">
        <v>3940</v>
      </c>
      <c r="H35" s="93">
        <v>3304</v>
      </c>
      <c r="I35" s="93">
        <v>3790</v>
      </c>
      <c r="J35" s="93">
        <v>2020</v>
      </c>
      <c r="K35" s="93">
        <v>3148</v>
      </c>
      <c r="L35" s="93">
        <v>4404</v>
      </c>
      <c r="M35" s="93">
        <v>1704</v>
      </c>
      <c r="N35" s="93">
        <v>1252</v>
      </c>
      <c r="O35" s="93">
        <v>1540</v>
      </c>
      <c r="P35" s="93">
        <v>1584</v>
      </c>
      <c r="Q35" s="93">
        <v>1776</v>
      </c>
      <c r="R35" s="93">
        <v>1728</v>
      </c>
      <c r="S35" s="93">
        <v>1878</v>
      </c>
      <c r="T35" s="93">
        <v>1862</v>
      </c>
      <c r="U35" s="93">
        <v>2262</v>
      </c>
      <c r="V35" s="93">
        <v>2504</v>
      </c>
      <c r="W35" s="93">
        <v>5480</v>
      </c>
      <c r="X35" s="93">
        <v>2750</v>
      </c>
      <c r="Y35" s="93">
        <v>2280</v>
      </c>
      <c r="Z35" s="93">
        <v>3716</v>
      </c>
      <c r="AA35" s="93">
        <v>3836</v>
      </c>
      <c r="AB35" s="93">
        <v>2540</v>
      </c>
      <c r="AC35" s="93">
        <v>2608</v>
      </c>
      <c r="AD35" s="93">
        <v>2948</v>
      </c>
      <c r="AE35" s="93">
        <v>2620</v>
      </c>
      <c r="AF35" s="93">
        <v>2988</v>
      </c>
      <c r="AG35" s="93">
        <v>1360</v>
      </c>
      <c r="AH35" s="93">
        <v>3320</v>
      </c>
      <c r="AI35" s="93">
        <v>2360</v>
      </c>
      <c r="AJ35" s="93">
        <v>2912</v>
      </c>
      <c r="AK35" s="93">
        <v>1594</v>
      </c>
      <c r="AL35" s="93">
        <v>3948</v>
      </c>
      <c r="AM35" s="93">
        <v>5376</v>
      </c>
      <c r="AN35" s="93">
        <v>2382</v>
      </c>
      <c r="AO35" s="93">
        <v>4448</v>
      </c>
      <c r="AP35" s="93">
        <v>4116</v>
      </c>
      <c r="AQ35" s="93">
        <v>4132</v>
      </c>
      <c r="AR35" s="93">
        <v>4752</v>
      </c>
      <c r="AS35" s="93">
        <v>1450</v>
      </c>
      <c r="AT35" s="93">
        <v>1628</v>
      </c>
      <c r="AU35" s="93">
        <v>2396</v>
      </c>
      <c r="AV35" s="93">
        <v>4856</v>
      </c>
      <c r="AW35" s="93">
        <v>5208</v>
      </c>
      <c r="AX35" s="96">
        <v>4.4800000000000004</v>
      </c>
      <c r="AY35" s="96">
        <v>4.51</v>
      </c>
      <c r="AZ35" s="96">
        <v>4.21</v>
      </c>
      <c r="BA35" s="96">
        <v>4.3899999999999997</v>
      </c>
      <c r="BB35" s="96">
        <v>4.28</v>
      </c>
      <c r="BC35" s="96">
        <v>4.38</v>
      </c>
      <c r="BD35" s="96">
        <v>4.66</v>
      </c>
      <c r="BE35" s="96">
        <v>3.74</v>
      </c>
      <c r="BF35" s="96">
        <v>3.56</v>
      </c>
      <c r="BG35" s="96">
        <v>3.85</v>
      </c>
      <c r="BH35" s="96">
        <v>3.6</v>
      </c>
      <c r="BI35" s="96">
        <v>3.76</v>
      </c>
      <c r="BJ35" s="96">
        <v>3.66</v>
      </c>
      <c r="BK35" s="96">
        <v>3.75</v>
      </c>
      <c r="BL35" s="96">
        <v>3.85</v>
      </c>
      <c r="BM35" s="96">
        <v>3.97</v>
      </c>
      <c r="BN35" s="96">
        <v>4.12</v>
      </c>
      <c r="BO35" s="96">
        <v>4.8</v>
      </c>
      <c r="BP35" s="96">
        <v>4.1399999999999997</v>
      </c>
      <c r="BQ35" s="96">
        <v>3.83</v>
      </c>
      <c r="BR35" s="96">
        <v>4.6500000000000004</v>
      </c>
      <c r="BS35" s="96">
        <v>4.45</v>
      </c>
      <c r="BT35" s="96">
        <v>3.88</v>
      </c>
      <c r="BU35" s="96">
        <v>4.42</v>
      </c>
      <c r="BV35" s="96">
        <v>4.3</v>
      </c>
      <c r="BW35" s="96">
        <v>4.1900000000000004</v>
      </c>
      <c r="BX35" s="96">
        <v>3.74</v>
      </c>
      <c r="BY35" s="96">
        <v>3.13</v>
      </c>
      <c r="BZ35" s="96">
        <v>4.3099999999999996</v>
      </c>
      <c r="CA35" s="96">
        <v>3.9</v>
      </c>
      <c r="CB35" s="96">
        <v>3.87</v>
      </c>
      <c r="CC35" s="96">
        <v>3.54</v>
      </c>
      <c r="CD35" s="96">
        <v>4.76</v>
      </c>
      <c r="CE35" s="96">
        <v>4.7</v>
      </c>
      <c r="CF35" s="96">
        <v>3.73</v>
      </c>
      <c r="CG35" s="96">
        <v>4.93</v>
      </c>
      <c r="CH35" s="96">
        <v>4.87</v>
      </c>
      <c r="CI35" s="96">
        <v>4.3899999999999997</v>
      </c>
      <c r="CJ35" s="96">
        <v>4.82</v>
      </c>
      <c r="CK35" s="96">
        <v>3.12</v>
      </c>
      <c r="CL35" s="96">
        <v>3.41</v>
      </c>
      <c r="CM35" s="96">
        <v>3.93</v>
      </c>
      <c r="CN35" s="96">
        <v>4.96</v>
      </c>
      <c r="CO35" s="96">
        <v>5.13</v>
      </c>
      <c r="CP35" s="98">
        <f>SUM(Input_Raw[[#This Row],[P-01]:[P-56]])/1000</f>
        <v>131.71199999999999</v>
      </c>
      <c r="CQ35" s="71">
        <f>IFERROR(AVERAGEIF(Input_Raw[[#This Row],[WS_P-01]:[WS_P-56]],"&lt;&gt;",Input_Raw[[#This Row],[WS_P-01]:[WS_P-56]]),"")</f>
        <v>4.1515909090909089</v>
      </c>
      <c r="CR35" s="99">
        <f>MAX(Input_Raw[[#This Row],[WS_P-01]:[WS_P-56]])</f>
        <v>5.13</v>
      </c>
      <c r="CS35" s="99"/>
      <c r="CT35" s="70">
        <f>SUM(Input_Raw[[#This Row],[P-08]:[P-13]],Input_Raw[[#This Row],[P-25]:[P-28]])</f>
        <v>20300</v>
      </c>
      <c r="CU35" s="70"/>
      <c r="CV35" s="70">
        <f>SUM(Input_Raw[[#This Row],[P-04]],Input_Raw[[#This Row],[P-14]:[P-17]],Input_Raw[[#This Row],[P-19]:[P-20]],Input_Raw[[#This Row],[P-22]:[P-23]],Input_Raw[[#This Row],[P-34]],Input_Raw[[#This Row],[P-38]],Input_Raw[[#This Row],[P-43]])</f>
        <v>33492</v>
      </c>
      <c r="CW35" s="70"/>
      <c r="CX35" s="70">
        <f>SUM(Input_Raw[[#This Row],[P-05]:[P-06]],Input_Raw[[#This Row],[P-40]:[P-42]],Input_Raw[[#This Row],[P-45]],Input_Raw[[#This Row],[P-46]],Input_Raw[[#This Row],[P-47]:[P-48]])</f>
        <v>33534</v>
      </c>
      <c r="CY35" s="70"/>
      <c r="CZ35" s="70">
        <f>SUM(Input_Raw[[#This Row],[P-01]:[P-03]],Input_Raw[[#This Row],[P-07]],Input_Raw[[#This Row],[P-18]],Input_Raw[[#This Row],[P-31]:[P-32]],Input_Raw[[#This Row],[P-37]],Input_Raw[[#This Row],[P-50]:[P-56]])</f>
        <v>44386</v>
      </c>
      <c r="DA35" s="12"/>
      <c r="DB35" s="13">
        <f>Input_Raw[[#This Row],[33 kV_Wind_F1_Export reading]]/1000</f>
        <v>20.3</v>
      </c>
      <c r="DC35" s="13"/>
      <c r="DD35" s="13">
        <f>Input_Raw[[#This Row],[33 kV_Wind_F2_Export_reading]]/1000</f>
        <v>33.491999999999997</v>
      </c>
      <c r="DE35" s="13"/>
      <c r="DF35" s="13">
        <f>Input_Raw[[#This Row],[33 kV_Wind_F3_Export_Reading]]/1000</f>
        <v>33.533999999999999</v>
      </c>
      <c r="DG35" s="13"/>
      <c r="DH35" s="13">
        <f>Input_Raw[[#This Row],[33 kV_Wind_F4_Export Reading]]/1000</f>
        <v>44.386000000000003</v>
      </c>
      <c r="DI35" s="13"/>
      <c r="DJ35" s="13">
        <f>Input_Raw[[#This Row],[33 kV_F1_Total_Export (MWh)]]+Input_Raw[[#This Row],[33 kV_F2_Total_Export (MWh)2]]+Input_Raw[[#This Row],[33 kV_Wind_F3_Export (MWh)]]+Input_Raw[[#This Row],[33 kV_Wind_F4_Export (MWh)]]</f>
        <v>131.71199999999999</v>
      </c>
      <c r="DK35" s="13">
        <f>Input_Raw[[#This Row],[33 kV_Wind_F1_Import (MWh)]]+Input_Raw[[#This Row],[33 kV_Wind_F2_Import (MWh)]]+Input_Raw[[#This Row],[33 kV_Wind_F3_Import (MWh)2]]+Input_Raw[[#This Row],[33 kV_Wind_F4_Import (MWh)2]]</f>
        <v>0</v>
      </c>
      <c r="DL35" s="100">
        <f>IFERROR(Input_Raw[[#This Row],[33 kV_Wind_Total_Export (MWh)]]/Input_Raw[[#This Row],[WTG Total Gneration (MWh)]]-1,"")</f>
        <v>0</v>
      </c>
      <c r="DM35" s="66"/>
      <c r="DN35" s="186">
        <v>96</v>
      </c>
      <c r="DO35" s="186">
        <v>88.62</v>
      </c>
      <c r="DP35" s="102">
        <v>131.18</v>
      </c>
      <c r="DQ35" s="66"/>
      <c r="DR35" s="181">
        <v>70.400000000000006</v>
      </c>
    </row>
    <row r="36" spans="1:122">
      <c r="A36" s="92">
        <f t="shared" si="74"/>
        <v>45776</v>
      </c>
      <c r="B36" s="190">
        <f>YEAR(Input_Raw[[#This Row],[Date]])+IF(MONTH(Input_Raw[[#This Row],[Date]])&gt;=4,1,0)</f>
        <v>2026</v>
      </c>
      <c r="C36" s="190">
        <f>YEAR(Input_Raw[[#This Row],[Date]])</f>
        <v>2025</v>
      </c>
      <c r="D36" s="11">
        <f t="shared" ref="D36" si="90">A36-DAY(A36)+1</f>
        <v>45748</v>
      </c>
      <c r="E36" s="190">
        <f>DAY(EOMONTH(Input_Raw[[#This Row],[Date]],0))</f>
        <v>30</v>
      </c>
      <c r="F36" s="93">
        <v>7672</v>
      </c>
      <c r="G36" s="93">
        <v>6560</v>
      </c>
      <c r="H36" s="93">
        <v>5388</v>
      </c>
      <c r="I36" s="93">
        <v>5362</v>
      </c>
      <c r="J36" s="93">
        <v>6732</v>
      </c>
      <c r="K36" s="93">
        <v>5172</v>
      </c>
      <c r="L36" s="93">
        <v>6084</v>
      </c>
      <c r="M36" s="93">
        <v>2736</v>
      </c>
      <c r="N36" s="93">
        <v>2032</v>
      </c>
      <c r="O36" s="93">
        <v>2700</v>
      </c>
      <c r="P36" s="93">
        <v>2960</v>
      </c>
      <c r="Q36" s="93">
        <v>3348</v>
      </c>
      <c r="R36" s="93">
        <v>3376</v>
      </c>
      <c r="S36" s="93">
        <v>3416</v>
      </c>
      <c r="T36" s="93">
        <v>3266</v>
      </c>
      <c r="U36" s="93">
        <v>3874</v>
      </c>
      <c r="V36" s="93">
        <v>4404</v>
      </c>
      <c r="W36" s="93">
        <v>8060.0000000000009</v>
      </c>
      <c r="X36" s="93">
        <v>4280</v>
      </c>
      <c r="Y36" s="93">
        <v>3542</v>
      </c>
      <c r="Z36" s="93">
        <v>5192</v>
      </c>
      <c r="AA36" s="93">
        <v>5880</v>
      </c>
      <c r="AB36" s="93">
        <v>4024</v>
      </c>
      <c r="AC36" s="93">
        <v>4624</v>
      </c>
      <c r="AD36" s="93">
        <v>5232</v>
      </c>
      <c r="AE36" s="93">
        <v>4500</v>
      </c>
      <c r="AF36" s="93">
        <v>3488</v>
      </c>
      <c r="AG36" s="93">
        <v>1818</v>
      </c>
      <c r="AH36" s="93">
        <v>4840</v>
      </c>
      <c r="AI36" s="93">
        <v>2784</v>
      </c>
      <c r="AJ36" s="93">
        <v>4220</v>
      </c>
      <c r="AK36" s="93">
        <v>1238</v>
      </c>
      <c r="AL36" s="93">
        <v>6408</v>
      </c>
      <c r="AM36" s="93">
        <v>7940</v>
      </c>
      <c r="AN36" s="93">
        <v>3714</v>
      </c>
      <c r="AO36" s="93">
        <v>6600</v>
      </c>
      <c r="AP36" s="93">
        <v>6332</v>
      </c>
      <c r="AQ36" s="93">
        <v>6240</v>
      </c>
      <c r="AR36" s="93">
        <v>7216</v>
      </c>
      <c r="AS36" s="93">
        <v>2017.9999999999998</v>
      </c>
      <c r="AT36" s="93">
        <v>2456</v>
      </c>
      <c r="AU36" s="93">
        <v>3264</v>
      </c>
      <c r="AV36" s="93">
        <v>6996</v>
      </c>
      <c r="AW36" s="93">
        <v>6920</v>
      </c>
      <c r="AX36" s="96">
        <v>5.26</v>
      </c>
      <c r="AY36" s="96">
        <v>5.18</v>
      </c>
      <c r="AZ36" s="96">
        <v>4.9000000000000004</v>
      </c>
      <c r="BA36" s="96">
        <v>5.0999999999999996</v>
      </c>
      <c r="BB36" s="96">
        <v>5.31</v>
      </c>
      <c r="BC36" s="96">
        <v>5.2</v>
      </c>
      <c r="BD36" s="96">
        <v>5.18</v>
      </c>
      <c r="BE36" s="96">
        <v>4.3499999999999996</v>
      </c>
      <c r="BF36" s="96">
        <v>4.16</v>
      </c>
      <c r="BG36" s="96">
        <v>4.67</v>
      </c>
      <c r="BH36" s="96">
        <v>4.43</v>
      </c>
      <c r="BI36" s="96">
        <v>4.5999999999999996</v>
      </c>
      <c r="BJ36" s="96">
        <v>4.7</v>
      </c>
      <c r="BK36" s="96">
        <v>4.68</v>
      </c>
      <c r="BL36" s="96">
        <v>4.76</v>
      </c>
      <c r="BM36" s="96">
        <v>4.9000000000000004</v>
      </c>
      <c r="BN36" s="96">
        <v>4.96</v>
      </c>
      <c r="BO36" s="96">
        <v>5.57</v>
      </c>
      <c r="BP36" s="96">
        <v>4.88</v>
      </c>
      <c r="BQ36" s="96">
        <v>4.45</v>
      </c>
      <c r="BR36" s="96">
        <v>5.25</v>
      </c>
      <c r="BS36" s="96">
        <v>5.21</v>
      </c>
      <c r="BT36" s="96">
        <v>4.54</v>
      </c>
      <c r="BU36" s="96">
        <v>5.2</v>
      </c>
      <c r="BV36" s="96">
        <v>5.38</v>
      </c>
      <c r="BW36" s="96">
        <v>5.19</v>
      </c>
      <c r="BX36" s="96">
        <v>3.99</v>
      </c>
      <c r="BY36" s="96">
        <v>3.48</v>
      </c>
      <c r="BZ36" s="96">
        <v>5.05</v>
      </c>
      <c r="CA36" s="96">
        <v>4.13</v>
      </c>
      <c r="CB36" s="96">
        <v>4.45</v>
      </c>
      <c r="CC36" s="96">
        <v>3.88</v>
      </c>
      <c r="CD36" s="96">
        <v>5.73</v>
      </c>
      <c r="CE36" s="96">
        <v>5.61</v>
      </c>
      <c r="CF36" s="96">
        <v>4.3899999999999997</v>
      </c>
      <c r="CG36" s="96">
        <v>5.78</v>
      </c>
      <c r="CH36" s="96">
        <v>5.65</v>
      </c>
      <c r="CI36" s="96">
        <v>5.13</v>
      </c>
      <c r="CJ36" s="96">
        <v>5.68</v>
      </c>
      <c r="CK36" s="96">
        <v>3.67</v>
      </c>
      <c r="CL36" s="96">
        <v>3.87</v>
      </c>
      <c r="CM36" s="96">
        <v>4.3600000000000003</v>
      </c>
      <c r="CN36" s="96">
        <v>5.56</v>
      </c>
      <c r="CO36" s="96">
        <v>5.6</v>
      </c>
      <c r="CP36" s="98">
        <f>SUM(Input_Raw[[#This Row],[P-01]:[P-56]])/1000</f>
        <v>204.90799999999999</v>
      </c>
      <c r="CQ36" s="71">
        <f>IFERROR(AVERAGEIF(Input_Raw[[#This Row],[WS_P-01]:[WS_P-56]],"&lt;&gt;",Input_Raw[[#This Row],[WS_P-01]:[WS_P-56]]),"")</f>
        <v>4.8640909090909084</v>
      </c>
      <c r="CR36" s="99">
        <f>MAX(Input_Raw[[#This Row],[WS_P-01]:[WS_P-56]])</f>
        <v>5.78</v>
      </c>
      <c r="CS36" s="99"/>
      <c r="CT36" s="70">
        <f>SUM(Input_Raw[[#This Row],[P-08]:[P-13]],Input_Raw[[#This Row],[P-25]:[P-28]])</f>
        <v>35532</v>
      </c>
      <c r="CU36" s="70"/>
      <c r="CV36" s="70">
        <f>SUM(Input_Raw[[#This Row],[P-04]],Input_Raw[[#This Row],[P-14]:[P-17]],Input_Raw[[#This Row],[P-19]:[P-20]],Input_Raw[[#This Row],[P-22]:[P-23]],Input_Raw[[#This Row],[P-34]],Input_Raw[[#This Row],[P-38]],Input_Raw[[#This Row],[P-43]])</f>
        <v>51990</v>
      </c>
      <c r="CW36" s="70"/>
      <c r="CX36" s="70">
        <f>SUM(Input_Raw[[#This Row],[P-05]:[P-06]],Input_Raw[[#This Row],[P-40]:[P-42]],Input_Raw[[#This Row],[P-45]],Input_Raw[[#This Row],[P-46]],Input_Raw[[#This Row],[P-47]:[P-48]])</f>
        <v>53878</v>
      </c>
      <c r="CY36" s="70"/>
      <c r="CZ36" s="70">
        <f>SUM(Input_Raw[[#This Row],[P-01]:[P-03]],Input_Raw[[#This Row],[P-07]],Input_Raw[[#This Row],[P-18]],Input_Raw[[#This Row],[P-31]:[P-32]],Input_Raw[[#This Row],[P-37]],Input_Raw[[#This Row],[P-50]:[P-56]])</f>
        <v>63508</v>
      </c>
      <c r="DA36" s="12"/>
      <c r="DB36" s="13">
        <f>Input_Raw[[#This Row],[33 kV_Wind_F1_Export reading]]/1000</f>
        <v>35.531999999999996</v>
      </c>
      <c r="DC36" s="13"/>
      <c r="DD36" s="13">
        <f>Input_Raw[[#This Row],[33 kV_Wind_F2_Export_reading]]/1000</f>
        <v>51.99</v>
      </c>
      <c r="DE36" s="13"/>
      <c r="DF36" s="13">
        <f>Input_Raw[[#This Row],[33 kV_Wind_F3_Export_Reading]]/1000</f>
        <v>53.878</v>
      </c>
      <c r="DG36" s="13"/>
      <c r="DH36" s="13">
        <f>Input_Raw[[#This Row],[33 kV_Wind_F4_Export Reading]]/1000</f>
        <v>63.508000000000003</v>
      </c>
      <c r="DI36" s="13"/>
      <c r="DJ36" s="13">
        <f>Input_Raw[[#This Row],[33 kV_F1_Total_Export (MWh)]]+Input_Raw[[#This Row],[33 kV_F2_Total_Export (MWh)2]]+Input_Raw[[#This Row],[33 kV_Wind_F3_Export (MWh)]]+Input_Raw[[#This Row],[33 kV_Wind_F4_Export (MWh)]]</f>
        <v>204.90799999999999</v>
      </c>
      <c r="DK36" s="13">
        <f>Input_Raw[[#This Row],[33 kV_Wind_F1_Import (MWh)]]+Input_Raw[[#This Row],[33 kV_Wind_F2_Import (MWh)]]+Input_Raw[[#This Row],[33 kV_Wind_F3_Import (MWh)2]]+Input_Raw[[#This Row],[33 kV_Wind_F4_Import (MWh)2]]</f>
        <v>0</v>
      </c>
      <c r="DL36" s="100">
        <f>IFERROR(Input_Raw[[#This Row],[33 kV_Wind_Total_Export (MWh)]]/Input_Raw[[#This Row],[WTG Total Gneration (MWh)]]-1,"")</f>
        <v>0</v>
      </c>
      <c r="DM36" s="66"/>
      <c r="DN36" s="186">
        <v>96</v>
      </c>
      <c r="DO36" s="186">
        <v>691.5</v>
      </c>
      <c r="DP36" s="102">
        <v>201.28</v>
      </c>
      <c r="DQ36" s="66"/>
      <c r="DR36" s="181">
        <v>70.400000000000006</v>
      </c>
    </row>
    <row r="37" spans="1:122">
      <c r="A37" s="92">
        <f t="shared" si="74"/>
        <v>45777</v>
      </c>
      <c r="B37" s="190">
        <f>YEAR(Input_Raw[[#This Row],[Date]])+IF(MONTH(Input_Raw[[#This Row],[Date]])&gt;=4,1,0)</f>
        <v>2026</v>
      </c>
      <c r="C37" s="190">
        <f>YEAR(Input_Raw[[#This Row],[Date]])</f>
        <v>2025</v>
      </c>
      <c r="D37" s="11">
        <f t="shared" ref="D37" si="91">A37-DAY(A37)+1</f>
        <v>45748</v>
      </c>
      <c r="E37" s="190">
        <f>DAY(EOMONTH(Input_Raw[[#This Row],[Date]],0))</f>
        <v>30</v>
      </c>
      <c r="F37" s="93">
        <v>13028</v>
      </c>
      <c r="G37" s="93">
        <v>10924</v>
      </c>
      <c r="H37" s="93">
        <v>10548</v>
      </c>
      <c r="I37" s="93">
        <v>8370</v>
      </c>
      <c r="J37" s="93">
        <v>10156</v>
      </c>
      <c r="K37" s="93">
        <v>7608</v>
      </c>
      <c r="L37" s="93">
        <v>10324</v>
      </c>
      <c r="M37" s="93">
        <v>3228</v>
      </c>
      <c r="N37" s="93">
        <v>2502</v>
      </c>
      <c r="O37" s="93">
        <v>3068</v>
      </c>
      <c r="P37" s="93">
        <v>3256</v>
      </c>
      <c r="Q37" s="93">
        <v>3080</v>
      </c>
      <c r="R37" s="93">
        <v>3508</v>
      </c>
      <c r="S37" s="93">
        <v>3896</v>
      </c>
      <c r="T37" s="93">
        <v>3744</v>
      </c>
      <c r="U37" s="93">
        <v>4368</v>
      </c>
      <c r="V37" s="93">
        <v>4804</v>
      </c>
      <c r="W37" s="93">
        <v>11728</v>
      </c>
      <c r="X37" s="93">
        <v>4580</v>
      </c>
      <c r="Y37" s="93">
        <v>3627</v>
      </c>
      <c r="Z37" s="93">
        <v>8504</v>
      </c>
      <c r="AA37" s="93">
        <v>9688</v>
      </c>
      <c r="AB37" s="93">
        <v>5688</v>
      </c>
      <c r="AC37" s="93">
        <v>6040</v>
      </c>
      <c r="AD37" s="93">
        <v>6752</v>
      </c>
      <c r="AE37" s="93">
        <v>5712</v>
      </c>
      <c r="AF37" s="93">
        <v>8652</v>
      </c>
      <c r="AG37" s="93">
        <v>4224</v>
      </c>
      <c r="AH37" s="93">
        <v>7912</v>
      </c>
      <c r="AI37" s="93">
        <v>5660</v>
      </c>
      <c r="AJ37" s="93">
        <v>5072</v>
      </c>
      <c r="AK37" s="93">
        <v>3712</v>
      </c>
      <c r="AL37" s="93">
        <v>9692</v>
      </c>
      <c r="AM37" s="93">
        <v>10188</v>
      </c>
      <c r="AN37" s="93">
        <v>5342</v>
      </c>
      <c r="AO37" s="93">
        <v>8264</v>
      </c>
      <c r="AP37" s="93">
        <v>7652</v>
      </c>
      <c r="AQ37" s="93">
        <v>8092.0000000000009</v>
      </c>
      <c r="AR37" s="93">
        <v>9060</v>
      </c>
      <c r="AS37" s="93">
        <v>3480</v>
      </c>
      <c r="AT37" s="93">
        <v>6956</v>
      </c>
      <c r="AU37" s="93">
        <v>8868</v>
      </c>
      <c r="AV37" s="93">
        <v>12284</v>
      </c>
      <c r="AW37" s="93">
        <v>10192</v>
      </c>
      <c r="AX37" s="96">
        <v>6.74</v>
      </c>
      <c r="AY37" s="96">
        <v>6.33</v>
      </c>
      <c r="AZ37" s="96">
        <v>6.44</v>
      </c>
      <c r="BA37" s="96">
        <v>6.16</v>
      </c>
      <c r="BB37" s="96">
        <v>6.45</v>
      </c>
      <c r="BC37" s="96">
        <v>6.08</v>
      </c>
      <c r="BD37" s="96">
        <v>6.5</v>
      </c>
      <c r="BE37" s="96">
        <v>4.66</v>
      </c>
      <c r="BF37" s="96">
        <v>4.54</v>
      </c>
      <c r="BG37" s="96">
        <v>5.03</v>
      </c>
      <c r="BH37" s="96">
        <v>4.68</v>
      </c>
      <c r="BI37" s="96">
        <v>4.66</v>
      </c>
      <c r="BJ37" s="96">
        <v>4.8600000000000003</v>
      </c>
      <c r="BK37" s="96">
        <v>5</v>
      </c>
      <c r="BL37" s="96">
        <v>5.05</v>
      </c>
      <c r="BM37" s="96">
        <v>5.22</v>
      </c>
      <c r="BN37" s="96">
        <v>5.14</v>
      </c>
      <c r="BO37" s="96">
        <v>6.75</v>
      </c>
      <c r="BP37" s="96">
        <v>5.03</v>
      </c>
      <c r="BQ37" s="96">
        <v>4.6100000000000003</v>
      </c>
      <c r="BR37" s="96">
        <v>6.19</v>
      </c>
      <c r="BS37" s="96">
        <v>6.35</v>
      </c>
      <c r="BT37" s="96">
        <v>5.25</v>
      </c>
      <c r="BU37" s="96">
        <v>5.72</v>
      </c>
      <c r="BV37" s="96">
        <v>6.02</v>
      </c>
      <c r="BW37" s="96">
        <v>5.73</v>
      </c>
      <c r="BX37" s="96">
        <v>5.7</v>
      </c>
      <c r="BY37" s="96">
        <v>4.74</v>
      </c>
      <c r="BZ37" s="96">
        <v>6.08</v>
      </c>
      <c r="CA37" s="96">
        <v>5.4</v>
      </c>
      <c r="CB37" s="96">
        <v>4.9800000000000004</v>
      </c>
      <c r="CC37" s="96">
        <v>5.03</v>
      </c>
      <c r="CD37" s="96">
        <v>6.72</v>
      </c>
      <c r="CE37" s="96">
        <v>6.3</v>
      </c>
      <c r="CF37" s="96">
        <v>5.0999999999999996</v>
      </c>
      <c r="CG37" s="96">
        <v>6.48</v>
      </c>
      <c r="CH37" s="96">
        <v>6.23</v>
      </c>
      <c r="CI37" s="96">
        <v>5.75</v>
      </c>
      <c r="CJ37" s="96">
        <v>6.34</v>
      </c>
      <c r="CK37" s="96">
        <v>4.16</v>
      </c>
      <c r="CL37" s="96">
        <v>5.6</v>
      </c>
      <c r="CM37" s="96">
        <v>6.1</v>
      </c>
      <c r="CN37" s="96">
        <v>7.02</v>
      </c>
      <c r="CO37" s="96">
        <v>6.67</v>
      </c>
      <c r="CP37" s="98">
        <f>SUM(Input_Raw[[#This Row],[P-01]:[P-56]])/1000</f>
        <v>304.03300000000002</v>
      </c>
      <c r="CQ37" s="71">
        <f>IFERROR(AVERAGEIF(Input_Raw[[#This Row],[WS_P-01]:[WS_P-56]],"&lt;&gt;",Input_Raw[[#This Row],[WS_P-01]:[WS_P-56]]),"")</f>
        <v>5.6724999999999994</v>
      </c>
      <c r="CR37" s="99">
        <f>MAX(Input_Raw[[#This Row],[WS_P-01]:[WS_P-56]])</f>
        <v>7.02</v>
      </c>
      <c r="CS37" s="99"/>
      <c r="CT37" s="70">
        <f>SUM(Input_Raw[[#This Row],[P-08]:[P-13]],Input_Raw[[#This Row],[P-25]:[P-28]])</f>
        <v>42834</v>
      </c>
      <c r="CU37" s="70"/>
      <c r="CV37" s="70">
        <f>SUM(Input_Raw[[#This Row],[P-04]],Input_Raw[[#This Row],[P-14]:[P-17]],Input_Raw[[#This Row],[P-19]:[P-20]],Input_Raw[[#This Row],[P-22]:[P-23]],Input_Raw[[#This Row],[P-34]],Input_Raw[[#This Row],[P-38]],Input_Raw[[#This Row],[P-43]])</f>
        <v>69907</v>
      </c>
      <c r="CW37" s="70"/>
      <c r="CX37" s="70">
        <f>SUM(Input_Raw[[#This Row],[P-05]:[P-06]],Input_Raw[[#This Row],[P-40]:[P-42]],Input_Raw[[#This Row],[P-45]],Input_Raw[[#This Row],[P-46]],Input_Raw[[#This Row],[P-47]:[P-48]])</f>
        <v>74424</v>
      </c>
      <c r="CY37" s="70"/>
      <c r="CZ37" s="70">
        <f>SUM(Input_Raw[[#This Row],[P-01]:[P-03]],Input_Raw[[#This Row],[P-07]],Input_Raw[[#This Row],[P-18]],Input_Raw[[#This Row],[P-31]:[P-32]],Input_Raw[[#This Row],[P-37]],Input_Raw[[#This Row],[P-50]:[P-56]])</f>
        <v>116868</v>
      </c>
      <c r="DA37" s="12"/>
      <c r="DB37" s="13">
        <f>Input_Raw[[#This Row],[33 kV_Wind_F1_Export reading]]/1000</f>
        <v>42.834000000000003</v>
      </c>
      <c r="DC37" s="13"/>
      <c r="DD37" s="13">
        <f>Input_Raw[[#This Row],[33 kV_Wind_F2_Export_reading]]/1000</f>
        <v>69.906999999999996</v>
      </c>
      <c r="DE37" s="13"/>
      <c r="DF37" s="13">
        <f>Input_Raw[[#This Row],[33 kV_Wind_F3_Export_Reading]]/1000</f>
        <v>74.424000000000007</v>
      </c>
      <c r="DG37" s="13"/>
      <c r="DH37" s="13">
        <f>Input_Raw[[#This Row],[33 kV_Wind_F4_Export Reading]]/1000</f>
        <v>116.86799999999999</v>
      </c>
      <c r="DI37" s="13"/>
      <c r="DJ37" s="13">
        <f>Input_Raw[[#This Row],[33 kV_F1_Total_Export (MWh)]]+Input_Raw[[#This Row],[33 kV_F2_Total_Export (MWh)2]]+Input_Raw[[#This Row],[33 kV_Wind_F3_Export (MWh)]]+Input_Raw[[#This Row],[33 kV_Wind_F4_Export (MWh)]]</f>
        <v>304.03300000000002</v>
      </c>
      <c r="DK37" s="13">
        <f>Input_Raw[[#This Row],[33 kV_Wind_F1_Import (MWh)]]+Input_Raw[[#This Row],[33 kV_Wind_F2_Import (MWh)]]+Input_Raw[[#This Row],[33 kV_Wind_F3_Import (MWh)2]]+Input_Raw[[#This Row],[33 kV_Wind_F4_Import (MWh)2]]</f>
        <v>0</v>
      </c>
      <c r="DL37" s="100">
        <f>IFERROR(Input_Raw[[#This Row],[33 kV_Wind_Total_Export (MWh)]]/Input_Raw[[#This Row],[WTG Total Gneration (MWh)]]-1,"")</f>
        <v>0</v>
      </c>
      <c r="DM37" s="66"/>
      <c r="DN37" s="186">
        <v>96</v>
      </c>
      <c r="DO37" s="186">
        <v>1791.5</v>
      </c>
      <c r="DP37" s="102">
        <v>294.64</v>
      </c>
      <c r="DQ37" s="66"/>
      <c r="DR37" s="181">
        <v>70.400000000000006</v>
      </c>
    </row>
    <row r="38" spans="1:122">
      <c r="A38" s="92">
        <f t="shared" si="74"/>
        <v>45778</v>
      </c>
      <c r="B38" s="190">
        <f>YEAR(Input_Raw[[#This Row],[Date]])+IF(MONTH(Input_Raw[[#This Row],[Date]])&gt;=4,1,0)</f>
        <v>2026</v>
      </c>
      <c r="C38" s="190">
        <f>YEAR(Input_Raw[[#This Row],[Date]])</f>
        <v>2025</v>
      </c>
      <c r="D38" s="11">
        <f t="shared" ref="D38" si="92">A38-DAY(A38)+1</f>
        <v>45778</v>
      </c>
      <c r="E38" s="190">
        <f>DAY(EOMONTH(Input_Raw[[#This Row],[Date]],0))</f>
        <v>31</v>
      </c>
      <c r="F38" s="93">
        <v>13832</v>
      </c>
      <c r="G38" s="93">
        <v>13376</v>
      </c>
      <c r="H38" s="93">
        <v>14452</v>
      </c>
      <c r="I38" s="93">
        <v>9372</v>
      </c>
      <c r="J38" s="93">
        <v>9904</v>
      </c>
      <c r="K38" s="93">
        <v>7568</v>
      </c>
      <c r="L38" s="93">
        <v>12124</v>
      </c>
      <c r="M38" s="93">
        <v>3156</v>
      </c>
      <c r="N38" s="93">
        <v>1902</v>
      </c>
      <c r="O38" s="93">
        <v>2176</v>
      </c>
      <c r="P38" s="93">
        <v>2252</v>
      </c>
      <c r="Q38" s="93">
        <v>2558</v>
      </c>
      <c r="R38" s="93">
        <v>2572</v>
      </c>
      <c r="S38" s="93">
        <v>2838</v>
      </c>
      <c r="T38" s="93">
        <v>2744</v>
      </c>
      <c r="U38" s="93">
        <v>3324</v>
      </c>
      <c r="V38" s="93">
        <v>4656</v>
      </c>
      <c r="W38" s="93">
        <v>12544</v>
      </c>
      <c r="X38" s="93">
        <v>3830</v>
      </c>
      <c r="Y38" s="93">
        <v>3599</v>
      </c>
      <c r="Z38" s="93">
        <v>11508</v>
      </c>
      <c r="AA38" s="93">
        <v>12828</v>
      </c>
      <c r="AB38" s="93">
        <v>5552</v>
      </c>
      <c r="AC38" s="93">
        <v>5348</v>
      </c>
      <c r="AD38" s="93">
        <v>6376</v>
      </c>
      <c r="AE38" s="93">
        <v>4880</v>
      </c>
      <c r="AF38" s="93">
        <v>12474</v>
      </c>
      <c r="AG38" s="93">
        <v>5426</v>
      </c>
      <c r="AH38" s="93">
        <v>8352</v>
      </c>
      <c r="AI38" s="93">
        <v>7698</v>
      </c>
      <c r="AJ38" s="93">
        <v>4700</v>
      </c>
      <c r="AK38" s="93">
        <v>3292</v>
      </c>
      <c r="AL38" s="93">
        <v>9248</v>
      </c>
      <c r="AM38" s="93">
        <v>10860</v>
      </c>
      <c r="AN38" s="93">
        <v>5350</v>
      </c>
      <c r="AO38" s="93">
        <v>11476</v>
      </c>
      <c r="AP38" s="93">
        <v>8976</v>
      </c>
      <c r="AQ38" s="93">
        <v>8592</v>
      </c>
      <c r="AR38" s="93">
        <v>8848</v>
      </c>
      <c r="AS38" s="93">
        <v>8212</v>
      </c>
      <c r="AT38" s="93">
        <v>9652</v>
      </c>
      <c r="AU38" s="93">
        <v>12636</v>
      </c>
      <c r="AV38" s="93">
        <v>14936</v>
      </c>
      <c r="AW38" s="93">
        <v>10844</v>
      </c>
      <c r="AX38" s="96">
        <v>6.46</v>
      </c>
      <c r="AY38" s="96">
        <v>6.62</v>
      </c>
      <c r="AZ38" s="96">
        <v>7.03</v>
      </c>
      <c r="BA38" s="96">
        <v>5.8</v>
      </c>
      <c r="BB38" s="96">
        <v>6.08</v>
      </c>
      <c r="BC38" s="96">
        <v>5.74</v>
      </c>
      <c r="BD38" s="96">
        <v>6.56</v>
      </c>
      <c r="BE38" s="96">
        <v>4.4400000000000004</v>
      </c>
      <c r="BF38" s="96">
        <v>4.09</v>
      </c>
      <c r="BG38" s="96">
        <v>4.42</v>
      </c>
      <c r="BH38" s="96">
        <v>4.0599999999999996</v>
      </c>
      <c r="BI38" s="96">
        <v>4.25</v>
      </c>
      <c r="BJ38" s="96">
        <v>4.32</v>
      </c>
      <c r="BK38" s="96">
        <v>4.41</v>
      </c>
      <c r="BL38" s="96">
        <v>4.53</v>
      </c>
      <c r="BM38" s="96">
        <v>4.67</v>
      </c>
      <c r="BN38" s="96">
        <v>5</v>
      </c>
      <c r="BO38" s="96">
        <v>6.63</v>
      </c>
      <c r="BP38" s="96">
        <v>4.7699999999999996</v>
      </c>
      <c r="BQ38" s="96">
        <v>4.5599999999999996</v>
      </c>
      <c r="BR38" s="96">
        <v>6.37</v>
      </c>
      <c r="BS38" s="96">
        <v>6.59</v>
      </c>
      <c r="BT38" s="96">
        <v>4.8899999999999997</v>
      </c>
      <c r="BU38" s="96">
        <v>5.36</v>
      </c>
      <c r="BV38" s="96">
        <v>5.52</v>
      </c>
      <c r="BW38" s="96">
        <v>5.15</v>
      </c>
      <c r="BX38" s="96">
        <v>6.49</v>
      </c>
      <c r="BY38" s="96">
        <v>4.8899999999999997</v>
      </c>
      <c r="BZ38" s="96">
        <v>5.66</v>
      </c>
      <c r="CA38" s="96">
        <v>5.57</v>
      </c>
      <c r="CB38" s="96">
        <v>4.8</v>
      </c>
      <c r="CC38" s="96">
        <v>4.55</v>
      </c>
      <c r="CD38" s="96">
        <v>6.38</v>
      </c>
      <c r="CE38" s="96">
        <v>6.38</v>
      </c>
      <c r="CF38" s="96">
        <v>4.87</v>
      </c>
      <c r="CG38" s="96">
        <v>6.88</v>
      </c>
      <c r="CH38" s="96">
        <v>6.25</v>
      </c>
      <c r="CI38" s="96">
        <v>5.8</v>
      </c>
      <c r="CJ38" s="96">
        <v>6.01</v>
      </c>
      <c r="CK38" s="96">
        <v>5.23</v>
      </c>
      <c r="CL38" s="96">
        <v>5.84</v>
      </c>
      <c r="CM38" s="96">
        <v>6.46</v>
      </c>
      <c r="CN38" s="96">
        <v>7.19</v>
      </c>
      <c r="CO38" s="96">
        <v>6.48</v>
      </c>
      <c r="CP38" s="98">
        <f>SUM(Input_Raw[[#This Row],[P-01]:[P-56]])/1000</f>
        <v>336.84300000000002</v>
      </c>
      <c r="CQ38" s="71">
        <f>IFERROR(AVERAGEIF(Input_Raw[[#This Row],[WS_P-01]:[WS_P-56]],"&lt;&gt;",Input_Raw[[#This Row],[WS_P-01]:[WS_P-56]]),"")</f>
        <v>5.5465909090909093</v>
      </c>
      <c r="CR38" s="99">
        <f>MAX(Input_Raw[[#This Row],[WS_P-01]:[WS_P-56]])</f>
        <v>7.19</v>
      </c>
      <c r="CS38" s="99"/>
      <c r="CT38" s="70">
        <f>SUM(Input_Raw[[#This Row],[P-08]:[P-13]],Input_Raw[[#This Row],[P-25]:[P-28]])</f>
        <v>36772</v>
      </c>
      <c r="CU38" s="70"/>
      <c r="CV38" s="70">
        <f>SUM(Input_Raw[[#This Row],[P-04]],Input_Raw[[#This Row],[P-14]:[P-17]],Input_Raw[[#This Row],[P-19]:[P-20]],Input_Raw[[#This Row],[P-22]:[P-23]],Input_Raw[[#This Row],[P-34]],Input_Raw[[#This Row],[P-38]],Input_Raw[[#This Row],[P-43]])</f>
        <v>73101</v>
      </c>
      <c r="CW38" s="70"/>
      <c r="CX38" s="70">
        <f>SUM(Input_Raw[[#This Row],[P-05]:[P-06]],Input_Raw[[#This Row],[P-40]:[P-42]],Input_Raw[[#This Row],[P-45]],Input_Raw[[#This Row],[P-46]],Input_Raw[[#This Row],[P-47]:[P-48]])</f>
        <v>78764</v>
      </c>
      <c r="CY38" s="70"/>
      <c r="CZ38" s="70">
        <f>SUM(Input_Raw[[#This Row],[P-01]:[P-03]],Input_Raw[[#This Row],[P-07]],Input_Raw[[#This Row],[P-18]],Input_Raw[[#This Row],[P-31]:[P-32]],Input_Raw[[#This Row],[P-37]],Input_Raw[[#This Row],[P-50]:[P-56]])</f>
        <v>148206</v>
      </c>
      <c r="DA38" s="12"/>
      <c r="DB38" s="13">
        <f>Input_Raw[[#This Row],[33 kV_Wind_F1_Export reading]]/1000</f>
        <v>36.771999999999998</v>
      </c>
      <c r="DC38" s="13"/>
      <c r="DD38" s="13">
        <f>Input_Raw[[#This Row],[33 kV_Wind_F2_Export_reading]]/1000</f>
        <v>73.100999999999999</v>
      </c>
      <c r="DE38" s="13"/>
      <c r="DF38" s="13">
        <f>Input_Raw[[#This Row],[33 kV_Wind_F3_Export_Reading]]/1000</f>
        <v>78.763999999999996</v>
      </c>
      <c r="DG38" s="13"/>
      <c r="DH38" s="13">
        <f>Input_Raw[[#This Row],[33 kV_Wind_F4_Export Reading]]/1000</f>
        <v>148.20599999999999</v>
      </c>
      <c r="DI38" s="13"/>
      <c r="DJ38" s="13">
        <f>Input_Raw[[#This Row],[33 kV_F1_Total_Export (MWh)]]+Input_Raw[[#This Row],[33 kV_F2_Total_Export (MWh)2]]+Input_Raw[[#This Row],[33 kV_Wind_F3_Export (MWh)]]+Input_Raw[[#This Row],[33 kV_Wind_F4_Export (MWh)]]</f>
        <v>336.84299999999996</v>
      </c>
      <c r="DK38" s="13">
        <f>Input_Raw[[#This Row],[33 kV_Wind_F1_Import (MWh)]]+Input_Raw[[#This Row],[33 kV_Wind_F2_Import (MWh)]]+Input_Raw[[#This Row],[33 kV_Wind_F3_Import (MWh)2]]+Input_Raw[[#This Row],[33 kV_Wind_F4_Import (MWh)2]]</f>
        <v>0</v>
      </c>
      <c r="DL38" s="100">
        <f>IFERROR(Input_Raw[[#This Row],[33 kV_Wind_Total_Export (MWh)]]/Input_Raw[[#This Row],[WTG Total Gneration (MWh)]]-1,"")</f>
        <v>-2.2204460492503131E-16</v>
      </c>
      <c r="DM38" s="66"/>
      <c r="DN38" s="186">
        <v>96</v>
      </c>
      <c r="DO38" s="186">
        <v>2155.12</v>
      </c>
      <c r="DP38" s="102">
        <v>324.42</v>
      </c>
      <c r="DQ38" s="66"/>
      <c r="DR38" s="181">
        <v>70.400000000000006</v>
      </c>
    </row>
    <row r="39" spans="1:122">
      <c r="A39" s="92">
        <f t="shared" si="74"/>
        <v>45779</v>
      </c>
      <c r="B39" s="190">
        <f>YEAR(Input_Raw[[#This Row],[Date]])+IF(MONTH(Input_Raw[[#This Row],[Date]])&gt;=4,1,0)</f>
        <v>2026</v>
      </c>
      <c r="C39" s="190">
        <f>YEAR(Input_Raw[[#This Row],[Date]])</f>
        <v>2025</v>
      </c>
      <c r="D39" s="11">
        <f t="shared" ref="D39" si="93">A39-DAY(A39)+1</f>
        <v>45778</v>
      </c>
      <c r="E39" s="190">
        <f>DAY(EOMONTH(Input_Raw[[#This Row],[Date]],0))</f>
        <v>31</v>
      </c>
      <c r="F39" s="93">
        <v>18020</v>
      </c>
      <c r="G39" s="93">
        <v>17608</v>
      </c>
      <c r="H39" s="93">
        <v>19048</v>
      </c>
      <c r="I39" s="93">
        <v>8728</v>
      </c>
      <c r="J39" s="93">
        <v>13132</v>
      </c>
      <c r="K39" s="93">
        <v>14480</v>
      </c>
      <c r="L39" s="93">
        <v>15656</v>
      </c>
      <c r="M39" s="93">
        <v>5320</v>
      </c>
      <c r="N39" s="93">
        <v>3614</v>
      </c>
      <c r="O39" s="93">
        <v>3892</v>
      </c>
      <c r="P39" s="93">
        <v>4035.9999999999995</v>
      </c>
      <c r="Q39" s="93">
        <v>4582</v>
      </c>
      <c r="R39" s="93">
        <v>4672</v>
      </c>
      <c r="S39" s="93">
        <v>5434</v>
      </c>
      <c r="T39" s="93">
        <v>5448</v>
      </c>
      <c r="U39" s="93">
        <v>7740</v>
      </c>
      <c r="V39" s="93">
        <v>8183.9999999999991</v>
      </c>
      <c r="W39" s="93">
        <v>15788</v>
      </c>
      <c r="X39" s="93">
        <v>6674</v>
      </c>
      <c r="Y39" s="93">
        <v>5142</v>
      </c>
      <c r="Z39" s="93">
        <v>10776</v>
      </c>
      <c r="AA39" s="93">
        <v>14108</v>
      </c>
      <c r="AB39" s="93">
        <v>7508</v>
      </c>
      <c r="AC39" s="93">
        <v>7524</v>
      </c>
      <c r="AD39" s="93">
        <v>8936</v>
      </c>
      <c r="AE39" s="93">
        <v>8368</v>
      </c>
      <c r="AF39" s="93">
        <v>18474</v>
      </c>
      <c r="AG39" s="93">
        <v>10368</v>
      </c>
      <c r="AH39" s="93">
        <v>9720</v>
      </c>
      <c r="AI39" s="93">
        <v>13502</v>
      </c>
      <c r="AJ39" s="93">
        <v>6864</v>
      </c>
      <c r="AK39" s="93">
        <v>7212</v>
      </c>
      <c r="AL39" s="93">
        <v>14560</v>
      </c>
      <c r="AM39" s="93">
        <v>16928</v>
      </c>
      <c r="AN39" s="93">
        <v>7470</v>
      </c>
      <c r="AO39" s="93">
        <v>18648</v>
      </c>
      <c r="AP39" s="93">
        <v>17304</v>
      </c>
      <c r="AQ39" s="93">
        <v>15660</v>
      </c>
      <c r="AR39" s="93">
        <v>15340</v>
      </c>
      <c r="AS39" s="93">
        <v>13326</v>
      </c>
      <c r="AT39" s="93">
        <v>14184</v>
      </c>
      <c r="AU39" s="93">
        <v>17244</v>
      </c>
      <c r="AV39" s="93">
        <v>17032</v>
      </c>
      <c r="AW39" s="93">
        <v>14548</v>
      </c>
      <c r="AX39" s="96">
        <v>7.21</v>
      </c>
      <c r="AY39" s="96">
        <v>7.43</v>
      </c>
      <c r="AZ39" s="96">
        <v>7.87</v>
      </c>
      <c r="BA39" s="96">
        <v>5.59</v>
      </c>
      <c r="BB39" s="96">
        <v>6.43</v>
      </c>
      <c r="BC39" s="96">
        <v>7.01</v>
      </c>
      <c r="BD39" s="96">
        <v>7.03</v>
      </c>
      <c r="BE39" s="96">
        <v>5.16</v>
      </c>
      <c r="BF39" s="96">
        <v>4.79</v>
      </c>
      <c r="BG39" s="96">
        <v>5.14</v>
      </c>
      <c r="BH39" s="96">
        <v>4.74</v>
      </c>
      <c r="BI39" s="96">
        <v>4.9000000000000004</v>
      </c>
      <c r="BJ39" s="96">
        <v>4.96</v>
      </c>
      <c r="BK39" s="96">
        <v>5.09</v>
      </c>
      <c r="BL39" s="96">
        <v>5.31</v>
      </c>
      <c r="BM39" s="96">
        <v>5.66</v>
      </c>
      <c r="BN39" s="96">
        <v>5.72</v>
      </c>
      <c r="BO39" s="96">
        <v>7.01</v>
      </c>
      <c r="BP39" s="96">
        <v>5.43</v>
      </c>
      <c r="BQ39" s="96">
        <v>4.8499999999999996</v>
      </c>
      <c r="BR39" s="96">
        <v>6.22</v>
      </c>
      <c r="BS39" s="96">
        <v>6.81</v>
      </c>
      <c r="BT39" s="96">
        <v>5.36</v>
      </c>
      <c r="BU39" s="96">
        <v>5.89</v>
      </c>
      <c r="BV39" s="96">
        <v>6.1</v>
      </c>
      <c r="BW39" s="96">
        <v>5.96</v>
      </c>
      <c r="BX39" s="96">
        <v>7.53</v>
      </c>
      <c r="BY39" s="96">
        <v>5.83</v>
      </c>
      <c r="BZ39" s="96">
        <v>5.94</v>
      </c>
      <c r="CA39" s="96">
        <v>6.62</v>
      </c>
      <c r="CB39" s="96">
        <v>5.26</v>
      </c>
      <c r="CC39" s="96">
        <v>5.75</v>
      </c>
      <c r="CD39" s="96">
        <v>7.44</v>
      </c>
      <c r="CE39" s="96">
        <v>7.45</v>
      </c>
      <c r="CF39" s="96">
        <v>5.39</v>
      </c>
      <c r="CG39" s="96">
        <v>8.36</v>
      </c>
      <c r="CH39" s="96">
        <v>7.69</v>
      </c>
      <c r="CI39" s="96">
        <v>6.89</v>
      </c>
      <c r="CJ39" s="96">
        <v>7.2</v>
      </c>
      <c r="CK39" s="96">
        <v>6.08</v>
      </c>
      <c r="CL39" s="96">
        <v>6.51</v>
      </c>
      <c r="CM39" s="96">
        <v>7.22</v>
      </c>
      <c r="CN39" s="96">
        <v>7.75</v>
      </c>
      <c r="CO39" s="96">
        <v>7.12</v>
      </c>
      <c r="CP39" s="98">
        <f>SUM(Input_Raw[[#This Row],[P-01]:[P-56]])/1000</f>
        <v>492.80200000000002</v>
      </c>
      <c r="CQ39" s="71">
        <f>IFERROR(AVERAGEIF(Input_Raw[[#This Row],[WS_P-01]:[WS_P-56]],"&lt;&gt;",Input_Raw[[#This Row],[WS_P-01]:[WS_P-56]]),"")</f>
        <v>6.2659090909090907</v>
      </c>
      <c r="CR39" s="99">
        <f>MAX(Input_Raw[[#This Row],[WS_P-01]:[WS_P-56]])</f>
        <v>8.36</v>
      </c>
      <c r="CS39" s="99"/>
      <c r="CT39" s="70">
        <f>SUM(Input_Raw[[#This Row],[P-08]:[P-13]],Input_Raw[[#This Row],[P-25]:[P-28]])</f>
        <v>58452</v>
      </c>
      <c r="CU39" s="70"/>
      <c r="CV39" s="70">
        <f>SUM(Input_Raw[[#This Row],[P-04]],Input_Raw[[#This Row],[P-14]:[P-17]],Input_Raw[[#This Row],[P-19]:[P-20]],Input_Raw[[#This Row],[P-22]:[P-23]],Input_Raw[[#This Row],[P-34]],Input_Raw[[#This Row],[P-38]],Input_Raw[[#This Row],[P-43]])</f>
        <v>96288</v>
      </c>
      <c r="CW39" s="70"/>
      <c r="CX39" s="70">
        <f>SUM(Input_Raw[[#This Row],[P-05]:[P-06]],Input_Raw[[#This Row],[P-40]:[P-42]],Input_Raw[[#This Row],[P-45]],Input_Raw[[#This Row],[P-46]],Input_Raw[[#This Row],[P-47]:[P-48]])</f>
        <v>133264</v>
      </c>
      <c r="CY39" s="70"/>
      <c r="CZ39" s="70">
        <f>SUM(Input_Raw[[#This Row],[P-01]:[P-03]],Input_Raw[[#This Row],[P-07]],Input_Raw[[#This Row],[P-18]],Input_Raw[[#This Row],[P-31]:[P-32]],Input_Raw[[#This Row],[P-37]],Input_Raw[[#This Row],[P-50]:[P-56]])</f>
        <v>204798</v>
      </c>
      <c r="DA39" s="12"/>
      <c r="DB39" s="13">
        <f>Input_Raw[[#This Row],[33 kV_Wind_F1_Export reading]]/1000</f>
        <v>58.451999999999998</v>
      </c>
      <c r="DC39" s="13"/>
      <c r="DD39" s="13">
        <f>Input_Raw[[#This Row],[33 kV_Wind_F2_Export_reading]]/1000</f>
        <v>96.287999999999997</v>
      </c>
      <c r="DE39" s="13"/>
      <c r="DF39" s="13">
        <f>Input_Raw[[#This Row],[33 kV_Wind_F3_Export_Reading]]/1000</f>
        <v>133.26400000000001</v>
      </c>
      <c r="DG39" s="13"/>
      <c r="DH39" s="13">
        <f>Input_Raw[[#This Row],[33 kV_Wind_F4_Export Reading]]/1000</f>
        <v>204.798</v>
      </c>
      <c r="DI39" s="13"/>
      <c r="DJ39" s="13">
        <f>Input_Raw[[#This Row],[33 kV_F1_Total_Export (MWh)]]+Input_Raw[[#This Row],[33 kV_F2_Total_Export (MWh)2]]+Input_Raw[[#This Row],[33 kV_Wind_F3_Export (MWh)]]+Input_Raw[[#This Row],[33 kV_Wind_F4_Export (MWh)]]</f>
        <v>492.80200000000002</v>
      </c>
      <c r="DK39" s="13">
        <f>Input_Raw[[#This Row],[33 kV_Wind_F1_Import (MWh)]]+Input_Raw[[#This Row],[33 kV_Wind_F2_Import (MWh)]]+Input_Raw[[#This Row],[33 kV_Wind_F3_Import (MWh)2]]+Input_Raw[[#This Row],[33 kV_Wind_F4_Import (MWh)2]]</f>
        <v>0</v>
      </c>
      <c r="DL39" s="100">
        <f>IFERROR(Input_Raw[[#This Row],[33 kV_Wind_Total_Export (MWh)]]/Input_Raw[[#This Row],[WTG Total Gneration (MWh)]]-1,"")</f>
        <v>0</v>
      </c>
      <c r="DM39" s="66"/>
      <c r="DN39" s="186">
        <v>96</v>
      </c>
      <c r="DO39" s="186">
        <v>24622.5</v>
      </c>
      <c r="DP39" s="102">
        <v>481.71</v>
      </c>
      <c r="DQ39" s="66"/>
      <c r="DR39" s="181">
        <v>70.400000000000006</v>
      </c>
    </row>
    <row r="40" spans="1:122">
      <c r="A40" s="92">
        <f t="shared" si="74"/>
        <v>45780</v>
      </c>
      <c r="B40" s="190">
        <f>YEAR(Input_Raw[[#This Row],[Date]])+IF(MONTH(Input_Raw[[#This Row],[Date]])&gt;=4,1,0)</f>
        <v>2026</v>
      </c>
      <c r="C40" s="190">
        <f>YEAR(Input_Raw[[#This Row],[Date]])</f>
        <v>2025</v>
      </c>
      <c r="D40" s="11">
        <f t="shared" ref="D40" si="94">A40-DAY(A40)+1</f>
        <v>45778</v>
      </c>
      <c r="E40" s="190">
        <f>DAY(EOMONTH(Input_Raw[[#This Row],[Date]],0))</f>
        <v>31</v>
      </c>
      <c r="F40" s="93">
        <v>15716</v>
      </c>
      <c r="G40" s="93">
        <v>17084</v>
      </c>
      <c r="H40" s="93">
        <v>17356</v>
      </c>
      <c r="I40" s="93">
        <v>11444</v>
      </c>
      <c r="J40" s="93">
        <v>13600</v>
      </c>
      <c r="K40" s="93">
        <v>13264</v>
      </c>
      <c r="L40" s="93">
        <v>12008</v>
      </c>
      <c r="M40" s="93">
        <v>5496</v>
      </c>
      <c r="N40" s="93">
        <v>4982</v>
      </c>
      <c r="O40" s="93">
        <v>5174</v>
      </c>
      <c r="P40" s="93">
        <v>5164</v>
      </c>
      <c r="Q40" s="93">
        <v>5080</v>
      </c>
      <c r="R40" s="93">
        <v>5140</v>
      </c>
      <c r="S40" s="93">
        <v>5152</v>
      </c>
      <c r="T40" s="93">
        <v>4996</v>
      </c>
      <c r="U40" s="93">
        <v>5632</v>
      </c>
      <c r="V40" s="93">
        <v>6528</v>
      </c>
      <c r="W40" s="93">
        <v>16004.000000000002</v>
      </c>
      <c r="X40" s="93">
        <v>6904</v>
      </c>
      <c r="Y40" s="93">
        <v>6407</v>
      </c>
      <c r="Z40" s="93">
        <v>11140</v>
      </c>
      <c r="AA40" s="93">
        <v>13568</v>
      </c>
      <c r="AB40" s="93">
        <v>7740</v>
      </c>
      <c r="AC40" s="93">
        <v>7620</v>
      </c>
      <c r="AD40" s="93">
        <v>8616</v>
      </c>
      <c r="AE40" s="93">
        <v>7728</v>
      </c>
      <c r="AF40" s="93">
        <v>16908</v>
      </c>
      <c r="AG40" s="93">
        <v>11180</v>
      </c>
      <c r="AH40" s="93">
        <v>13656</v>
      </c>
      <c r="AI40" s="93">
        <v>13958</v>
      </c>
      <c r="AJ40" s="93">
        <v>7934</v>
      </c>
      <c r="AK40" s="93">
        <v>10306</v>
      </c>
      <c r="AL40" s="93">
        <v>14164</v>
      </c>
      <c r="AM40" s="93">
        <v>14648</v>
      </c>
      <c r="AN40" s="93">
        <v>7180</v>
      </c>
      <c r="AO40" s="93">
        <v>18688</v>
      </c>
      <c r="AP40" s="93">
        <v>17564</v>
      </c>
      <c r="AQ40" s="93">
        <v>14524</v>
      </c>
      <c r="AR40" s="93">
        <v>14560</v>
      </c>
      <c r="AS40" s="93">
        <v>8952</v>
      </c>
      <c r="AT40" s="93">
        <v>12608</v>
      </c>
      <c r="AU40" s="93">
        <v>13816</v>
      </c>
      <c r="AV40" s="93">
        <v>14776</v>
      </c>
      <c r="AW40" s="93">
        <v>12292</v>
      </c>
      <c r="AX40" s="96">
        <v>6.83</v>
      </c>
      <c r="AY40" s="96">
        <v>7.57</v>
      </c>
      <c r="AZ40" s="96">
        <v>7.8</v>
      </c>
      <c r="BA40" s="96">
        <v>7.62</v>
      </c>
      <c r="BB40" s="96">
        <v>6.63</v>
      </c>
      <c r="BC40" s="96">
        <v>6.84</v>
      </c>
      <c r="BD40" s="96">
        <v>6.38</v>
      </c>
      <c r="BE40" s="96">
        <v>5.0599999999999996</v>
      </c>
      <c r="BF40" s="96">
        <v>5.12</v>
      </c>
      <c r="BG40" s="96">
        <v>5.53</v>
      </c>
      <c r="BH40" s="96">
        <v>5.15</v>
      </c>
      <c r="BI40" s="96">
        <v>5.1100000000000003</v>
      </c>
      <c r="BJ40" s="96">
        <v>5.18</v>
      </c>
      <c r="BK40" s="96">
        <v>5.17</v>
      </c>
      <c r="BL40" s="96">
        <v>5.28</v>
      </c>
      <c r="BM40" s="96">
        <v>5.36</v>
      </c>
      <c r="BN40" s="96">
        <v>5.49</v>
      </c>
      <c r="BO40" s="96">
        <v>7.12</v>
      </c>
      <c r="BP40" s="96">
        <v>5.61</v>
      </c>
      <c r="BQ40" s="96">
        <v>5.28</v>
      </c>
      <c r="BR40" s="96">
        <v>7.39</v>
      </c>
      <c r="BS40" s="96">
        <v>7.96</v>
      </c>
      <c r="BT40" s="96">
        <v>5.39</v>
      </c>
      <c r="BU40" s="96">
        <v>5.84</v>
      </c>
      <c r="BV40" s="96">
        <v>6.09</v>
      </c>
      <c r="BW40" s="96">
        <v>5.89</v>
      </c>
      <c r="BX40" s="96">
        <v>7.66</v>
      </c>
      <c r="BY40" s="96">
        <v>6.12</v>
      </c>
      <c r="BZ40" s="96">
        <v>7.99</v>
      </c>
      <c r="CA40" s="96">
        <v>6.86</v>
      </c>
      <c r="CB40" s="96">
        <v>5.62</v>
      </c>
      <c r="CC40" s="96">
        <v>6.41</v>
      </c>
      <c r="CD40" s="96">
        <v>7.39</v>
      </c>
      <c r="CE40" s="96">
        <v>7.05</v>
      </c>
      <c r="CF40" s="96">
        <v>6.47</v>
      </c>
      <c r="CG40" s="96">
        <v>8.31</v>
      </c>
      <c r="CH40" s="96">
        <v>7.78</v>
      </c>
      <c r="CI40" s="96">
        <v>6.68</v>
      </c>
      <c r="CJ40" s="96">
        <v>7</v>
      </c>
      <c r="CK40" s="96">
        <v>5.13</v>
      </c>
      <c r="CL40" s="96">
        <v>6.33</v>
      </c>
      <c r="CM40" s="96">
        <v>6.66</v>
      </c>
      <c r="CN40" s="96">
        <v>7.03</v>
      </c>
      <c r="CO40" s="96">
        <v>6.62</v>
      </c>
      <c r="CP40" s="98">
        <f>SUM(Input_Raw[[#This Row],[P-01]:[P-56]])/1000</f>
        <v>477.25700000000001</v>
      </c>
      <c r="CQ40" s="71">
        <f>IFERROR(AVERAGEIF(Input_Raw[[#This Row],[WS_P-01]:[WS_P-56]],"&lt;&gt;",Input_Raw[[#This Row],[WS_P-01]:[WS_P-56]]),"")</f>
        <v>6.4045454545454552</v>
      </c>
      <c r="CR40" s="99">
        <f>MAX(Input_Raw[[#This Row],[WS_P-01]:[WS_P-56]])</f>
        <v>8.31</v>
      </c>
      <c r="CS40" s="99"/>
      <c r="CT40" s="70">
        <f>SUM(Input_Raw[[#This Row],[P-08]:[P-13]],Input_Raw[[#This Row],[P-25]:[P-28]])</f>
        <v>62740</v>
      </c>
      <c r="CU40" s="70"/>
      <c r="CV40" s="70">
        <f>SUM(Input_Raw[[#This Row],[P-04]],Input_Raw[[#This Row],[P-14]:[P-17]],Input_Raw[[#This Row],[P-19]:[P-20]],Input_Raw[[#This Row],[P-22]:[P-23]],Input_Raw[[#This Row],[P-34]],Input_Raw[[#This Row],[P-38]],Input_Raw[[#This Row],[P-43]])</f>
        <v>100541</v>
      </c>
      <c r="CW40" s="70"/>
      <c r="CX40" s="70">
        <f>SUM(Input_Raw[[#This Row],[P-05]:[P-06]],Input_Raw[[#This Row],[P-40]:[P-42]],Input_Raw[[#This Row],[P-45]],Input_Raw[[#This Row],[P-46]],Input_Raw[[#This Row],[P-47]:[P-48]])</f>
        <v>131318</v>
      </c>
      <c r="CY40" s="70"/>
      <c r="CZ40" s="70">
        <f>SUM(Input_Raw[[#This Row],[P-01]:[P-03]],Input_Raw[[#This Row],[P-07]],Input_Raw[[#This Row],[P-18]],Input_Raw[[#This Row],[P-31]:[P-32]],Input_Raw[[#This Row],[P-37]],Input_Raw[[#This Row],[P-50]:[P-56]])</f>
        <v>182658</v>
      </c>
      <c r="DA40" s="12"/>
      <c r="DB40" s="13">
        <f>Input_Raw[[#This Row],[33 kV_Wind_F1_Export reading]]/1000</f>
        <v>62.74</v>
      </c>
      <c r="DC40" s="13"/>
      <c r="DD40" s="13">
        <f>Input_Raw[[#This Row],[33 kV_Wind_F2_Export_reading]]/1000</f>
        <v>100.541</v>
      </c>
      <c r="DE40" s="13"/>
      <c r="DF40" s="13">
        <f>Input_Raw[[#This Row],[33 kV_Wind_F3_Export_Reading]]/1000</f>
        <v>131.31800000000001</v>
      </c>
      <c r="DG40" s="13"/>
      <c r="DH40" s="13">
        <f>Input_Raw[[#This Row],[33 kV_Wind_F4_Export Reading]]/1000</f>
        <v>182.65799999999999</v>
      </c>
      <c r="DI40" s="13"/>
      <c r="DJ40" s="13">
        <f>Input_Raw[[#This Row],[33 kV_F1_Total_Export (MWh)]]+Input_Raw[[#This Row],[33 kV_F2_Total_Export (MWh)2]]+Input_Raw[[#This Row],[33 kV_Wind_F3_Export (MWh)]]+Input_Raw[[#This Row],[33 kV_Wind_F4_Export (MWh)]]</f>
        <v>477.25700000000006</v>
      </c>
      <c r="DK40" s="13">
        <f>Input_Raw[[#This Row],[33 kV_Wind_F1_Import (MWh)]]+Input_Raw[[#This Row],[33 kV_Wind_F2_Import (MWh)]]+Input_Raw[[#This Row],[33 kV_Wind_F3_Import (MWh)2]]+Input_Raw[[#This Row],[33 kV_Wind_F4_Import (MWh)2]]</f>
        <v>0</v>
      </c>
      <c r="DL40" s="100">
        <f>IFERROR(Input_Raw[[#This Row],[33 kV_Wind_Total_Export (MWh)]]/Input_Raw[[#This Row],[WTG Total Gneration (MWh)]]-1,"")</f>
        <v>2.2204460492503131E-16</v>
      </c>
      <c r="DM40" s="66"/>
      <c r="DN40" s="186">
        <v>69</v>
      </c>
      <c r="DO40" s="186">
        <v>7746</v>
      </c>
      <c r="DP40" s="102">
        <v>477.26</v>
      </c>
      <c r="DQ40" s="66"/>
      <c r="DR40" s="181">
        <v>70.400000000000006</v>
      </c>
    </row>
    <row r="41" spans="1:122">
      <c r="A41" s="92">
        <f t="shared" si="74"/>
        <v>45781</v>
      </c>
      <c r="B41" s="190">
        <f>YEAR(Input_Raw[[#This Row],[Date]])+IF(MONTH(Input_Raw[[#This Row],[Date]])&gt;=4,1,0)</f>
        <v>2026</v>
      </c>
      <c r="C41" s="190">
        <f>YEAR(Input_Raw[[#This Row],[Date]])</f>
        <v>2025</v>
      </c>
      <c r="D41" s="11">
        <f t="shared" ref="D41" si="95">A41-DAY(A41)+1</f>
        <v>45778</v>
      </c>
      <c r="E41" s="190">
        <f>DAY(EOMONTH(Input_Raw[[#This Row],[Date]],0))</f>
        <v>31</v>
      </c>
      <c r="F41" s="93">
        <v>14352</v>
      </c>
      <c r="G41" s="93">
        <v>13288</v>
      </c>
      <c r="H41" s="93">
        <v>11716</v>
      </c>
      <c r="I41" s="93">
        <v>14860</v>
      </c>
      <c r="J41" s="93">
        <v>17652</v>
      </c>
      <c r="K41" s="93">
        <v>16288</v>
      </c>
      <c r="L41" s="93">
        <v>12356</v>
      </c>
      <c r="M41" s="93">
        <v>5124</v>
      </c>
      <c r="N41" s="93">
        <v>4816</v>
      </c>
      <c r="O41" s="93">
        <v>5494</v>
      </c>
      <c r="P41" s="93">
        <v>5934</v>
      </c>
      <c r="Q41" s="93">
        <v>6692</v>
      </c>
      <c r="R41" s="93">
        <v>5780</v>
      </c>
      <c r="S41" s="93">
        <v>6400</v>
      </c>
      <c r="T41" s="93">
        <v>5688</v>
      </c>
      <c r="U41" s="93">
        <v>6860</v>
      </c>
      <c r="V41" s="93">
        <v>7276</v>
      </c>
      <c r="W41" s="93">
        <v>16256</v>
      </c>
      <c r="X41" s="93">
        <v>7222</v>
      </c>
      <c r="Y41" s="93">
        <v>6157</v>
      </c>
      <c r="Z41" s="93">
        <v>12688</v>
      </c>
      <c r="AA41" s="93">
        <v>15212</v>
      </c>
      <c r="AB41" s="93">
        <v>8520</v>
      </c>
      <c r="AC41" s="93">
        <v>8840</v>
      </c>
      <c r="AD41" s="93">
        <v>9612</v>
      </c>
      <c r="AE41" s="93">
        <v>8216</v>
      </c>
      <c r="AF41" s="93">
        <v>13100</v>
      </c>
      <c r="AG41" s="93">
        <v>10590</v>
      </c>
      <c r="AH41" s="93">
        <v>15708</v>
      </c>
      <c r="AI41" s="93">
        <v>14436</v>
      </c>
      <c r="AJ41" s="93">
        <v>8374</v>
      </c>
      <c r="AK41" s="93">
        <v>10680</v>
      </c>
      <c r="AL41" s="93">
        <v>17832</v>
      </c>
      <c r="AM41" s="93">
        <v>17348</v>
      </c>
      <c r="AN41" s="93">
        <v>8648</v>
      </c>
      <c r="AO41" s="93">
        <v>20544</v>
      </c>
      <c r="AP41" s="93">
        <v>19712</v>
      </c>
      <c r="AQ41" s="93">
        <v>17128</v>
      </c>
      <c r="AR41" s="93">
        <v>17040</v>
      </c>
      <c r="AS41" s="93">
        <v>4310</v>
      </c>
      <c r="AT41" s="93">
        <v>7964</v>
      </c>
      <c r="AU41" s="93">
        <v>10622</v>
      </c>
      <c r="AV41" s="93">
        <v>15308</v>
      </c>
      <c r="AW41" s="93">
        <v>14852</v>
      </c>
      <c r="AX41" s="96">
        <v>7.01</v>
      </c>
      <c r="AY41" s="96">
        <v>6.95</v>
      </c>
      <c r="AZ41" s="96">
        <v>6.79</v>
      </c>
      <c r="BA41" s="96">
        <v>7.52</v>
      </c>
      <c r="BB41" s="96">
        <v>8.02</v>
      </c>
      <c r="BC41" s="96">
        <v>7.98</v>
      </c>
      <c r="BD41" s="96">
        <v>6.93</v>
      </c>
      <c r="BE41" s="96">
        <v>5.4</v>
      </c>
      <c r="BF41" s="96">
        <v>5.47</v>
      </c>
      <c r="BG41" s="96">
        <v>5.9</v>
      </c>
      <c r="BH41" s="96">
        <v>5.65</v>
      </c>
      <c r="BI41" s="96">
        <v>5.74</v>
      </c>
      <c r="BJ41" s="96">
        <v>5.69</v>
      </c>
      <c r="BK41" s="96">
        <v>5.83</v>
      </c>
      <c r="BL41" s="96">
        <v>5.75</v>
      </c>
      <c r="BM41" s="96">
        <v>6.07</v>
      </c>
      <c r="BN41" s="96">
        <v>5.92</v>
      </c>
      <c r="BO41" s="96">
        <v>7.69</v>
      </c>
      <c r="BP41" s="96">
        <v>5.93</v>
      </c>
      <c r="BQ41" s="96">
        <v>5.45</v>
      </c>
      <c r="BR41" s="96">
        <v>7.08</v>
      </c>
      <c r="BS41" s="96">
        <v>7.49</v>
      </c>
      <c r="BT41" s="96">
        <v>6.08</v>
      </c>
      <c r="BU41" s="96">
        <v>6.52</v>
      </c>
      <c r="BV41" s="96">
        <v>6.85</v>
      </c>
      <c r="BW41" s="96">
        <v>6.51</v>
      </c>
      <c r="BX41" s="96">
        <v>6.95</v>
      </c>
      <c r="BY41" s="96">
        <v>6.53</v>
      </c>
      <c r="BZ41" s="96">
        <v>7.69</v>
      </c>
      <c r="CA41" s="96">
        <v>7.46</v>
      </c>
      <c r="CB41" s="96">
        <v>6.04</v>
      </c>
      <c r="CC41" s="96">
        <v>6.92</v>
      </c>
      <c r="CD41" s="96">
        <v>8.58</v>
      </c>
      <c r="CE41" s="96">
        <v>7.81</v>
      </c>
      <c r="CF41" s="96">
        <v>5.94</v>
      </c>
      <c r="CG41" s="96">
        <v>9.1300000000000008</v>
      </c>
      <c r="CH41" s="96">
        <v>8.64</v>
      </c>
      <c r="CI41" s="96">
        <v>7.62</v>
      </c>
      <c r="CJ41" s="96">
        <v>7.93</v>
      </c>
      <c r="CK41" s="96">
        <v>4.58</v>
      </c>
      <c r="CL41" s="96">
        <v>5.77</v>
      </c>
      <c r="CM41" s="96">
        <v>6.53</v>
      </c>
      <c r="CN41" s="96">
        <v>7.55</v>
      </c>
      <c r="CO41" s="96">
        <v>7.59</v>
      </c>
      <c r="CP41" s="98">
        <f>SUM(Input_Raw[[#This Row],[P-01]:[P-56]])/1000</f>
        <v>497.495</v>
      </c>
      <c r="CQ41" s="71">
        <f>IFERROR(AVERAGEIF(Input_Raw[[#This Row],[WS_P-01]:[WS_P-56]],"&lt;&gt;",Input_Raw[[#This Row],[WS_P-01]:[WS_P-56]]),"")</f>
        <v>6.760909090909089</v>
      </c>
      <c r="CR41" s="99">
        <f>MAX(Input_Raw[[#This Row],[WS_P-01]:[WS_P-56]])</f>
        <v>9.1300000000000008</v>
      </c>
      <c r="CS41" s="99"/>
      <c r="CT41" s="70">
        <f>SUM(Input_Raw[[#This Row],[P-08]:[P-13]],Input_Raw[[#This Row],[P-25]:[P-28]])</f>
        <v>69028</v>
      </c>
      <c r="CU41" s="70"/>
      <c r="CV41" s="70">
        <f>SUM(Input_Raw[[#This Row],[P-04]],Input_Raw[[#This Row],[P-14]:[P-17]],Input_Raw[[#This Row],[P-19]:[P-20]],Input_Raw[[#This Row],[P-22]:[P-23]],Input_Raw[[#This Row],[P-34]],Input_Raw[[#This Row],[P-38]],Input_Raw[[#This Row],[P-43]])</f>
        <v>115093</v>
      </c>
      <c r="CW41" s="70"/>
      <c r="CX41" s="70">
        <f>SUM(Input_Raw[[#This Row],[P-05]:[P-06]],Input_Raw[[#This Row],[P-40]:[P-42]],Input_Raw[[#This Row],[P-45]],Input_Raw[[#This Row],[P-46]],Input_Raw[[#This Row],[P-47]:[P-48]])</f>
        <v>154224</v>
      </c>
      <c r="CY41" s="70"/>
      <c r="CZ41" s="70">
        <f>SUM(Input_Raw[[#This Row],[P-01]:[P-03]],Input_Raw[[#This Row],[P-07]],Input_Raw[[#This Row],[P-18]],Input_Raw[[#This Row],[P-31]:[P-32]],Input_Raw[[#This Row],[P-37]],Input_Raw[[#This Row],[P-50]:[P-56]])</f>
        <v>159150</v>
      </c>
      <c r="DA41" s="12"/>
      <c r="DB41" s="13">
        <f>Input_Raw[[#This Row],[33 kV_Wind_F1_Export reading]]/1000</f>
        <v>69.028000000000006</v>
      </c>
      <c r="DC41" s="13"/>
      <c r="DD41" s="13">
        <f>Input_Raw[[#This Row],[33 kV_Wind_F2_Export_reading]]/1000</f>
        <v>115.093</v>
      </c>
      <c r="DE41" s="13"/>
      <c r="DF41" s="13">
        <f>Input_Raw[[#This Row],[33 kV_Wind_F3_Export_Reading]]/1000</f>
        <v>154.22399999999999</v>
      </c>
      <c r="DG41" s="13"/>
      <c r="DH41" s="13">
        <f>Input_Raw[[#This Row],[33 kV_Wind_F4_Export Reading]]/1000</f>
        <v>159.15</v>
      </c>
      <c r="DI41" s="13"/>
      <c r="DJ41" s="13">
        <f>Input_Raw[[#This Row],[33 kV_F1_Total_Export (MWh)]]+Input_Raw[[#This Row],[33 kV_F2_Total_Export (MWh)2]]+Input_Raw[[#This Row],[33 kV_Wind_F3_Export (MWh)]]+Input_Raw[[#This Row],[33 kV_Wind_F4_Export (MWh)]]</f>
        <v>497.495</v>
      </c>
      <c r="DK41" s="13">
        <f>Input_Raw[[#This Row],[33 kV_Wind_F1_Import (MWh)]]+Input_Raw[[#This Row],[33 kV_Wind_F2_Import (MWh)]]+Input_Raw[[#This Row],[33 kV_Wind_F3_Import (MWh)2]]+Input_Raw[[#This Row],[33 kV_Wind_F4_Import (MWh)2]]</f>
        <v>0</v>
      </c>
      <c r="DL41" s="100">
        <f>IFERROR(Input_Raw[[#This Row],[33 kV_Wind_Total_Export (MWh)]]/Input_Raw[[#This Row],[WTG Total Gneration (MWh)]]-1,"")</f>
        <v>0</v>
      </c>
      <c r="DM41" s="66"/>
      <c r="DN41" s="186">
        <v>96</v>
      </c>
      <c r="DO41" s="186">
        <v>3622.38</v>
      </c>
      <c r="DP41" s="102">
        <v>490.15</v>
      </c>
      <c r="DQ41" s="66"/>
      <c r="DR41" s="181">
        <v>70.400000000000006</v>
      </c>
    </row>
    <row r="42" spans="1:122">
      <c r="A42" s="92">
        <f t="shared" si="74"/>
        <v>45782</v>
      </c>
      <c r="B42" s="190">
        <f>YEAR(Input_Raw[[#This Row],[Date]])+IF(MONTH(Input_Raw[[#This Row],[Date]])&gt;=4,1,0)</f>
        <v>2026</v>
      </c>
      <c r="C42" s="190">
        <f>YEAR(Input_Raw[[#This Row],[Date]])</f>
        <v>2025</v>
      </c>
      <c r="D42" s="11">
        <f t="shared" ref="D42" si="96">A42-DAY(A42)+1</f>
        <v>45778</v>
      </c>
      <c r="E42" s="190">
        <f>DAY(EOMONTH(Input_Raw[[#This Row],[Date]],0))</f>
        <v>31</v>
      </c>
      <c r="F42" s="93">
        <v>17148</v>
      </c>
      <c r="G42" s="93">
        <v>18204</v>
      </c>
      <c r="H42" s="93">
        <v>18376</v>
      </c>
      <c r="I42" s="93">
        <v>13192</v>
      </c>
      <c r="J42" s="93">
        <v>12208</v>
      </c>
      <c r="K42" s="93">
        <v>10636</v>
      </c>
      <c r="L42" s="93">
        <v>11940</v>
      </c>
      <c r="M42" s="93">
        <v>3746</v>
      </c>
      <c r="N42" s="93">
        <v>4100</v>
      </c>
      <c r="O42" s="93">
        <v>4964</v>
      </c>
      <c r="P42" s="93">
        <v>5506</v>
      </c>
      <c r="Q42" s="93">
        <v>6066</v>
      </c>
      <c r="R42" s="93">
        <v>5740</v>
      </c>
      <c r="S42" s="93">
        <v>5586</v>
      </c>
      <c r="T42" s="93">
        <v>4976</v>
      </c>
      <c r="U42" s="93">
        <v>5796</v>
      </c>
      <c r="V42" s="93">
        <v>7168</v>
      </c>
      <c r="W42" s="93">
        <v>16136</v>
      </c>
      <c r="X42" s="93">
        <v>6516</v>
      </c>
      <c r="Y42" s="93">
        <v>5584</v>
      </c>
      <c r="Z42" s="93">
        <v>12876</v>
      </c>
      <c r="AA42" s="93">
        <v>15252</v>
      </c>
      <c r="AB42" s="93">
        <v>7888</v>
      </c>
      <c r="AC42" s="93">
        <v>8260</v>
      </c>
      <c r="AD42" s="93">
        <v>9404</v>
      </c>
      <c r="AE42" s="93">
        <v>7964</v>
      </c>
      <c r="AF42" s="93">
        <v>17476</v>
      </c>
      <c r="AG42" s="93">
        <v>9450</v>
      </c>
      <c r="AH42" s="93">
        <v>14124</v>
      </c>
      <c r="AI42" s="93">
        <v>12326</v>
      </c>
      <c r="AJ42" s="93">
        <v>7880</v>
      </c>
      <c r="AK42" s="93">
        <v>7194</v>
      </c>
      <c r="AL42" s="93">
        <v>11960</v>
      </c>
      <c r="AM42" s="93">
        <v>13552</v>
      </c>
      <c r="AN42" s="93">
        <v>8452</v>
      </c>
      <c r="AO42" s="93">
        <v>15548</v>
      </c>
      <c r="AP42" s="93">
        <v>14264</v>
      </c>
      <c r="AQ42" s="93">
        <v>12328</v>
      </c>
      <c r="AR42" s="93">
        <v>12232</v>
      </c>
      <c r="AS42" s="93">
        <v>6472</v>
      </c>
      <c r="AT42" s="93">
        <v>10642</v>
      </c>
      <c r="AU42" s="93">
        <v>13534</v>
      </c>
      <c r="AV42" s="93">
        <v>15336</v>
      </c>
      <c r="AW42" s="93">
        <v>12316</v>
      </c>
      <c r="AX42" s="96">
        <v>7.25</v>
      </c>
      <c r="AY42" s="96">
        <v>7.68</v>
      </c>
      <c r="AZ42" s="96">
        <v>7.82</v>
      </c>
      <c r="BA42" s="96">
        <v>6.87</v>
      </c>
      <c r="BB42" s="96">
        <v>6.48</v>
      </c>
      <c r="BC42" s="96">
        <v>6.49</v>
      </c>
      <c r="BD42" s="96">
        <v>6.58</v>
      </c>
      <c r="BE42" s="96">
        <v>5.05</v>
      </c>
      <c r="BF42" s="96">
        <v>5.1100000000000003</v>
      </c>
      <c r="BG42" s="96">
        <v>5.51</v>
      </c>
      <c r="BH42" s="96">
        <v>5.27</v>
      </c>
      <c r="BI42" s="96">
        <v>5.34</v>
      </c>
      <c r="BJ42" s="96">
        <v>5.35</v>
      </c>
      <c r="BK42" s="96">
        <v>5.28</v>
      </c>
      <c r="BL42" s="96">
        <v>5.29</v>
      </c>
      <c r="BM42" s="96">
        <v>5.41</v>
      </c>
      <c r="BN42" s="96">
        <v>5.63</v>
      </c>
      <c r="BO42" s="96">
        <v>7.35</v>
      </c>
      <c r="BP42" s="96">
        <v>5.48</v>
      </c>
      <c r="BQ42" s="96">
        <v>5.1100000000000003</v>
      </c>
      <c r="BR42" s="96">
        <v>6.86</v>
      </c>
      <c r="BS42" s="96">
        <v>7.24</v>
      </c>
      <c r="BT42" s="96">
        <v>5.62</v>
      </c>
      <c r="BU42" s="96">
        <v>6.1</v>
      </c>
      <c r="BV42" s="96">
        <v>6.49</v>
      </c>
      <c r="BW42" s="96">
        <v>6.2</v>
      </c>
      <c r="BX42" s="96">
        <v>7.41</v>
      </c>
      <c r="BY42" s="96">
        <v>6.09</v>
      </c>
      <c r="BZ42" s="96">
        <v>7.01</v>
      </c>
      <c r="CA42" s="96">
        <v>6.77</v>
      </c>
      <c r="CB42" s="96">
        <v>5.58</v>
      </c>
      <c r="CC42" s="96">
        <v>5.74</v>
      </c>
      <c r="CD42" s="96">
        <v>6.98</v>
      </c>
      <c r="CE42" s="96">
        <v>6.78</v>
      </c>
      <c r="CF42" s="96">
        <v>5.7</v>
      </c>
      <c r="CG42" s="96">
        <v>7.96</v>
      </c>
      <c r="CH42" s="96">
        <v>7.4</v>
      </c>
      <c r="CI42" s="96">
        <v>6.45</v>
      </c>
      <c r="CJ42" s="96">
        <v>6.7</v>
      </c>
      <c r="CK42" s="96">
        <v>5</v>
      </c>
      <c r="CL42" s="96">
        <v>6.33</v>
      </c>
      <c r="CM42" s="96">
        <v>6.93</v>
      </c>
      <c r="CN42" s="96">
        <v>7.43</v>
      </c>
      <c r="CO42" s="96">
        <v>6.87</v>
      </c>
      <c r="CP42" s="201">
        <f>SUM(Input_Raw[[#This Row],[P-01]:[P-56]])/1000</f>
        <v>460.31799999999998</v>
      </c>
      <c r="CQ42" s="202">
        <f>IFERROR(AVERAGEIF(Input_Raw[[#This Row],[WS_P-01]:[WS_P-56]],"&lt;&gt;",Input_Raw[[#This Row],[WS_P-01]:[WS_P-56]]),"")</f>
        <v>6.3179545454545458</v>
      </c>
      <c r="CR42" s="203">
        <f>MAX(Input_Raw[[#This Row],[WS_P-01]:[WS_P-56]])</f>
        <v>7.96</v>
      </c>
      <c r="CS42" s="203"/>
      <c r="CT42" s="204">
        <f>SUM(Input_Raw[[#This Row],[P-08]:[P-13]],Input_Raw[[#This Row],[P-25]:[P-28]])</f>
        <v>63638</v>
      </c>
      <c r="CU42" s="204"/>
      <c r="CV42" s="204">
        <f>SUM(Input_Raw[[#This Row],[P-04]],Input_Raw[[#This Row],[P-14]:[P-17]],Input_Raw[[#This Row],[P-19]:[P-20]],Input_Raw[[#This Row],[P-22]:[P-23]],Input_Raw[[#This Row],[P-34]],Input_Raw[[#This Row],[P-38]],Input_Raw[[#This Row],[P-43]])</f>
        <v>107402</v>
      </c>
      <c r="CW42" s="204"/>
      <c r="CX42" s="204">
        <f>SUM(Input_Raw[[#This Row],[P-05]:[P-06]],Input_Raw[[#This Row],[P-40]:[P-42]],Input_Raw[[#This Row],[P-45]],Input_Raw[[#This Row],[P-46]],Input_Raw[[#This Row],[P-47]:[P-48]])</f>
        <v>109922</v>
      </c>
      <c r="CY42" s="204"/>
      <c r="CZ42" s="204">
        <f>SUM(Input_Raw[[#This Row],[P-01]:[P-03]],Input_Raw[[#This Row],[P-07]],Input_Raw[[#This Row],[P-18]],Input_Raw[[#This Row],[P-31]:[P-32]],Input_Raw[[#This Row],[P-37]],Input_Raw[[#This Row],[P-50]:[P-56]])</f>
        <v>179356</v>
      </c>
      <c r="DA42" s="205"/>
      <c r="DB42" s="206">
        <f>Input_Raw[[#This Row],[33 kV_Wind_F1_Export reading]]/1000</f>
        <v>63.637999999999998</v>
      </c>
      <c r="DC42" s="206"/>
      <c r="DD42" s="206">
        <f>Input_Raw[[#This Row],[33 kV_Wind_F2_Export_reading]]/1000</f>
        <v>107.402</v>
      </c>
      <c r="DE42" s="206"/>
      <c r="DF42" s="206">
        <f>Input_Raw[[#This Row],[33 kV_Wind_F3_Export_Reading]]/1000</f>
        <v>109.922</v>
      </c>
      <c r="DG42" s="206"/>
      <c r="DH42" s="206">
        <f>Input_Raw[[#This Row],[33 kV_Wind_F4_Export Reading]]/1000</f>
        <v>179.35599999999999</v>
      </c>
      <c r="DI42" s="206"/>
      <c r="DJ42" s="206">
        <f>Input_Raw[[#This Row],[33 kV_F1_Total_Export (MWh)]]+Input_Raw[[#This Row],[33 kV_F2_Total_Export (MWh)2]]+Input_Raw[[#This Row],[33 kV_Wind_F3_Export (MWh)]]+Input_Raw[[#This Row],[33 kV_Wind_F4_Export (MWh)]]</f>
        <v>460.31799999999998</v>
      </c>
      <c r="DK42" s="206">
        <f>Input_Raw[[#This Row],[33 kV_Wind_F1_Import (MWh)]]+Input_Raw[[#This Row],[33 kV_Wind_F2_Import (MWh)]]+Input_Raw[[#This Row],[33 kV_Wind_F3_Import (MWh)2]]+Input_Raw[[#This Row],[33 kV_Wind_F4_Import (MWh)2]]</f>
        <v>0</v>
      </c>
      <c r="DL42" s="207">
        <f>IFERROR(Input_Raw[[#This Row],[33 kV_Wind_Total_Export (MWh)]]/Input_Raw[[#This Row],[WTG Total Gneration (MWh)]]-1,"")</f>
        <v>0</v>
      </c>
      <c r="DM42" s="208"/>
      <c r="DN42" s="186">
        <v>96</v>
      </c>
      <c r="DO42" s="186">
        <v>16139.25</v>
      </c>
      <c r="DP42" s="102">
        <v>461.99</v>
      </c>
      <c r="DQ42" s="208"/>
      <c r="DR42" s="181">
        <v>70.400000000000006</v>
      </c>
    </row>
    <row r="43" spans="1:122">
      <c r="A43" s="92">
        <f t="shared" si="74"/>
        <v>45783</v>
      </c>
      <c r="B43" s="190">
        <f>YEAR(Input_Raw[[#This Row],[Date]])+IF(MONTH(Input_Raw[[#This Row],[Date]])&gt;=4,1,0)</f>
        <v>2026</v>
      </c>
      <c r="C43" s="190">
        <f>YEAR(Input_Raw[[#This Row],[Date]])</f>
        <v>2025</v>
      </c>
      <c r="D43" s="11">
        <f t="shared" ref="D43" si="97">A43-DAY(A43)+1</f>
        <v>45778</v>
      </c>
      <c r="E43" s="190">
        <f>DAY(EOMONTH(Input_Raw[[#This Row],[Date]],0))</f>
        <v>31</v>
      </c>
      <c r="F43" s="93">
        <v>12724</v>
      </c>
      <c r="G43" s="93">
        <v>11808</v>
      </c>
      <c r="H43" s="93">
        <v>9732</v>
      </c>
      <c r="I43" s="93">
        <v>10200</v>
      </c>
      <c r="J43" s="93">
        <v>10908</v>
      </c>
      <c r="K43" s="93">
        <v>10264</v>
      </c>
      <c r="L43" s="93">
        <v>8096</v>
      </c>
      <c r="M43" s="93">
        <v>4692</v>
      </c>
      <c r="N43" s="93">
        <v>5048</v>
      </c>
      <c r="O43" s="93">
        <v>6168</v>
      </c>
      <c r="P43" s="93">
        <v>6272</v>
      </c>
      <c r="Q43" s="93">
        <v>6490</v>
      </c>
      <c r="R43" s="93">
        <v>6116</v>
      </c>
      <c r="S43" s="93">
        <v>6118</v>
      </c>
      <c r="T43" s="93">
        <v>5680</v>
      </c>
      <c r="U43" s="93">
        <v>6452</v>
      </c>
      <c r="V43" s="93">
        <v>7052</v>
      </c>
      <c r="W43" s="93">
        <v>11428</v>
      </c>
      <c r="X43" s="93">
        <v>6218</v>
      </c>
      <c r="Y43" s="93">
        <v>5318</v>
      </c>
      <c r="Z43" s="93">
        <v>9312</v>
      </c>
      <c r="AA43" s="93">
        <v>10224</v>
      </c>
      <c r="AB43" s="93">
        <v>6756</v>
      </c>
      <c r="AC43" s="93">
        <v>7192</v>
      </c>
      <c r="AD43" s="93">
        <v>7668</v>
      </c>
      <c r="AE43" s="93">
        <v>6868</v>
      </c>
      <c r="AF43" s="93">
        <v>10360</v>
      </c>
      <c r="AG43" s="93">
        <v>7212</v>
      </c>
      <c r="AH43" s="93">
        <v>10568</v>
      </c>
      <c r="AI43" s="93">
        <v>9600</v>
      </c>
      <c r="AJ43" s="93">
        <v>7276</v>
      </c>
      <c r="AK43" s="93">
        <v>7360</v>
      </c>
      <c r="AL43" s="93">
        <v>10860</v>
      </c>
      <c r="AM43" s="93">
        <v>11512</v>
      </c>
      <c r="AN43" s="93">
        <v>7456</v>
      </c>
      <c r="AO43" s="93">
        <v>13728</v>
      </c>
      <c r="AP43" s="93">
        <v>13516</v>
      </c>
      <c r="AQ43" s="93">
        <v>11944</v>
      </c>
      <c r="AR43" s="93">
        <v>11936</v>
      </c>
      <c r="AS43" s="93">
        <v>4010</v>
      </c>
      <c r="AT43" s="93">
        <v>7984</v>
      </c>
      <c r="AU43" s="93">
        <v>9128</v>
      </c>
      <c r="AV43" s="93">
        <v>12324</v>
      </c>
      <c r="AW43" s="93">
        <v>10140</v>
      </c>
      <c r="AX43" s="96">
        <v>6.43</v>
      </c>
      <c r="AY43" s="96">
        <v>6.44</v>
      </c>
      <c r="AZ43" s="96">
        <v>6.13</v>
      </c>
      <c r="BA43" s="96">
        <v>6.2</v>
      </c>
      <c r="BB43" s="96">
        <v>6.3</v>
      </c>
      <c r="BC43" s="96">
        <v>6.5</v>
      </c>
      <c r="BD43" s="96">
        <v>5.75</v>
      </c>
      <c r="BE43" s="96">
        <v>5.04</v>
      </c>
      <c r="BF43" s="96">
        <v>5.45</v>
      </c>
      <c r="BG43" s="96">
        <v>6.01</v>
      </c>
      <c r="BH43" s="96">
        <v>5.68</v>
      </c>
      <c r="BI43" s="96">
        <v>5.63</v>
      </c>
      <c r="BJ43" s="96">
        <v>5.64</v>
      </c>
      <c r="BK43" s="96">
        <v>5.62</v>
      </c>
      <c r="BL43" s="96">
        <v>5.65</v>
      </c>
      <c r="BM43" s="96">
        <v>5.74</v>
      </c>
      <c r="BN43" s="96">
        <v>5.69</v>
      </c>
      <c r="BO43" s="96">
        <v>6.41</v>
      </c>
      <c r="BP43" s="96">
        <v>5.48</v>
      </c>
      <c r="BQ43" s="96">
        <v>5.08</v>
      </c>
      <c r="BR43" s="96">
        <v>6.1</v>
      </c>
      <c r="BS43" s="96">
        <v>6.18</v>
      </c>
      <c r="BT43" s="96">
        <v>5.34</v>
      </c>
      <c r="BU43" s="96">
        <v>5.93</v>
      </c>
      <c r="BV43" s="96">
        <v>6</v>
      </c>
      <c r="BW43" s="96">
        <v>5.8</v>
      </c>
      <c r="BX43" s="96">
        <v>6.05</v>
      </c>
      <c r="BY43" s="96">
        <v>5.5</v>
      </c>
      <c r="BZ43" s="96">
        <v>6.29</v>
      </c>
      <c r="CA43" s="96">
        <v>6.12</v>
      </c>
      <c r="CB43" s="96">
        <v>5.49</v>
      </c>
      <c r="CC43" s="96">
        <v>6.06</v>
      </c>
      <c r="CD43" s="96">
        <v>6.78</v>
      </c>
      <c r="CE43" s="96">
        <v>6.41</v>
      </c>
      <c r="CF43" s="96">
        <v>5.43</v>
      </c>
      <c r="CG43" s="96">
        <v>7.49</v>
      </c>
      <c r="CH43" s="96">
        <v>7.21</v>
      </c>
      <c r="CI43" s="96">
        <v>6.32</v>
      </c>
      <c r="CJ43" s="96">
        <v>6.73</v>
      </c>
      <c r="CK43" s="96">
        <v>4.28</v>
      </c>
      <c r="CL43" s="96">
        <v>5.69</v>
      </c>
      <c r="CM43" s="96">
        <v>5.97</v>
      </c>
      <c r="CN43" s="96">
        <v>6.73</v>
      </c>
      <c r="CO43" s="96">
        <v>6.37</v>
      </c>
      <c r="CP43" s="201">
        <f>SUM(Input_Raw[[#This Row],[P-01]:[P-56]])/1000</f>
        <v>381.71800000000002</v>
      </c>
      <c r="CQ43" s="202">
        <f>IFERROR(AVERAGEIF(Input_Raw[[#This Row],[WS_P-01]:[WS_P-56]],"&lt;&gt;",Input_Raw[[#This Row],[WS_P-01]:[WS_P-56]]),"")</f>
        <v>5.9804545454545464</v>
      </c>
      <c r="CR43" s="203">
        <f>MAX(Input_Raw[[#This Row],[WS_P-01]:[WS_P-56]])</f>
        <v>7.49</v>
      </c>
      <c r="CS43" s="203"/>
      <c r="CT43" s="204">
        <f>SUM(Input_Raw[[#This Row],[P-08]:[P-13]],Input_Raw[[#This Row],[P-25]:[P-28]])</f>
        <v>63270</v>
      </c>
      <c r="CU43" s="204"/>
      <c r="CV43" s="204">
        <f>SUM(Input_Raw[[#This Row],[P-04]],Input_Raw[[#This Row],[P-14]:[P-17]],Input_Raw[[#This Row],[P-19]:[P-20]],Input_Raw[[#This Row],[P-22]:[P-23]],Input_Raw[[#This Row],[P-34]],Input_Raw[[#This Row],[P-38]],Input_Raw[[#This Row],[P-43]])</f>
        <v>91874</v>
      </c>
      <c r="CW43" s="204"/>
      <c r="CX43" s="204">
        <f>SUM(Input_Raw[[#This Row],[P-05]:[P-06]],Input_Raw[[#This Row],[P-40]:[P-42]],Input_Raw[[#This Row],[P-45]],Input_Raw[[#This Row],[P-46]],Input_Raw[[#This Row],[P-47]:[P-48]])</f>
        <v>102028</v>
      </c>
      <c r="CY43" s="204"/>
      <c r="CZ43" s="204">
        <f>SUM(Input_Raw[[#This Row],[P-01]:[P-03]],Input_Raw[[#This Row],[P-07]],Input_Raw[[#This Row],[P-18]],Input_Raw[[#This Row],[P-31]:[P-32]],Input_Raw[[#This Row],[P-37]],Input_Raw[[#This Row],[P-50]:[P-56]])</f>
        <v>124546</v>
      </c>
      <c r="DA43" s="205"/>
      <c r="DB43" s="206">
        <f>Input_Raw[[#This Row],[33 kV_Wind_F1_Export reading]]/1000</f>
        <v>63.27</v>
      </c>
      <c r="DC43" s="206"/>
      <c r="DD43" s="206">
        <f>Input_Raw[[#This Row],[33 kV_Wind_F2_Export_reading]]/1000</f>
        <v>91.873999999999995</v>
      </c>
      <c r="DE43" s="206"/>
      <c r="DF43" s="206">
        <f>Input_Raw[[#This Row],[33 kV_Wind_F3_Export_Reading]]/1000</f>
        <v>102.02800000000001</v>
      </c>
      <c r="DG43" s="206"/>
      <c r="DH43" s="206">
        <f>Input_Raw[[#This Row],[33 kV_Wind_F4_Export Reading]]/1000</f>
        <v>124.54600000000001</v>
      </c>
      <c r="DI43" s="206"/>
      <c r="DJ43" s="206">
        <f>Input_Raw[[#This Row],[33 kV_F1_Total_Export (MWh)]]+Input_Raw[[#This Row],[33 kV_F2_Total_Export (MWh)2]]+Input_Raw[[#This Row],[33 kV_Wind_F3_Export (MWh)]]+Input_Raw[[#This Row],[33 kV_Wind_F4_Export (MWh)]]</f>
        <v>381.71800000000002</v>
      </c>
      <c r="DK43" s="206">
        <f>Input_Raw[[#This Row],[33 kV_Wind_F1_Import (MWh)]]+Input_Raw[[#This Row],[33 kV_Wind_F2_Import (MWh)]]+Input_Raw[[#This Row],[33 kV_Wind_F3_Import (MWh)2]]+Input_Raw[[#This Row],[33 kV_Wind_F4_Import (MWh)2]]</f>
        <v>0</v>
      </c>
      <c r="DL43" s="207">
        <f>IFERROR(Input_Raw[[#This Row],[33 kV_Wind_Total_Export (MWh)]]/Input_Raw[[#This Row],[WTG Total Gneration (MWh)]]-1,"")</f>
        <v>0</v>
      </c>
      <c r="DM43" s="208"/>
      <c r="DN43" s="186">
        <v>96</v>
      </c>
      <c r="DO43" s="186">
        <v>9466.5</v>
      </c>
      <c r="DP43" s="102">
        <v>378.83</v>
      </c>
      <c r="DQ43" s="208"/>
      <c r="DR43" s="181">
        <v>70.400000000000006</v>
      </c>
    </row>
    <row r="44" spans="1:122">
      <c r="A44" s="92">
        <f t="shared" si="74"/>
        <v>45784</v>
      </c>
      <c r="B44" s="190">
        <f>YEAR(Input_Raw[[#This Row],[Date]])+IF(MONTH(Input_Raw[[#This Row],[Date]])&gt;=4,1,0)</f>
        <v>2026</v>
      </c>
      <c r="C44" s="190">
        <f>YEAR(Input_Raw[[#This Row],[Date]])</f>
        <v>2025</v>
      </c>
      <c r="D44" s="11">
        <f t="shared" ref="D44" si="98">A44-DAY(A44)+1</f>
        <v>45778</v>
      </c>
      <c r="E44" s="190">
        <f>DAY(EOMONTH(Input_Raw[[#This Row],[Date]],0))</f>
        <v>31</v>
      </c>
      <c r="F44" s="211">
        <v>15556</v>
      </c>
      <c r="G44" s="211">
        <v>11464</v>
      </c>
      <c r="H44" s="211">
        <v>12536</v>
      </c>
      <c r="I44" s="211">
        <v>11760</v>
      </c>
      <c r="J44" s="211">
        <v>16608</v>
      </c>
      <c r="K44" s="211">
        <v>14096</v>
      </c>
      <c r="L44" s="211">
        <v>11340</v>
      </c>
      <c r="M44" s="211">
        <v>7702</v>
      </c>
      <c r="N44" s="211">
        <v>6558</v>
      </c>
      <c r="O44" s="211">
        <v>9432</v>
      </c>
      <c r="P44" s="211">
        <v>10676</v>
      </c>
      <c r="Q44" s="211">
        <v>11802</v>
      </c>
      <c r="R44" s="211">
        <v>10824</v>
      </c>
      <c r="S44" s="211">
        <v>9760</v>
      </c>
      <c r="T44" s="211">
        <v>8576</v>
      </c>
      <c r="U44" s="211">
        <v>10026</v>
      </c>
      <c r="V44" s="211">
        <v>9694</v>
      </c>
      <c r="W44" s="211">
        <v>12484</v>
      </c>
      <c r="X44" s="211">
        <v>9680</v>
      </c>
      <c r="Y44" s="211">
        <v>7998</v>
      </c>
      <c r="Z44" s="211">
        <v>10784</v>
      </c>
      <c r="AA44" s="211">
        <v>11380</v>
      </c>
      <c r="AB44" s="211">
        <v>9504</v>
      </c>
      <c r="AC44" s="211">
        <v>10364</v>
      </c>
      <c r="AD44" s="211">
        <v>11568</v>
      </c>
      <c r="AE44" s="211">
        <v>10112</v>
      </c>
      <c r="AF44" s="211">
        <v>11248</v>
      </c>
      <c r="AG44" s="211">
        <v>9784</v>
      </c>
      <c r="AH44" s="211">
        <v>11776</v>
      </c>
      <c r="AI44" s="211">
        <v>12156</v>
      </c>
      <c r="AJ44" s="211">
        <v>9952</v>
      </c>
      <c r="AK44" s="211">
        <v>10540</v>
      </c>
      <c r="AL44" s="211">
        <v>16516</v>
      </c>
      <c r="AM44" s="211">
        <v>16303.999999999998</v>
      </c>
      <c r="AN44" s="211">
        <v>8504</v>
      </c>
      <c r="AO44" s="211">
        <v>18732</v>
      </c>
      <c r="AP44" s="211">
        <v>19164</v>
      </c>
      <c r="AQ44" s="211">
        <v>16175.999999999998</v>
      </c>
      <c r="AR44" s="211">
        <v>16784</v>
      </c>
      <c r="AS44" s="211">
        <v>8618</v>
      </c>
      <c r="AT44" s="211">
        <v>12436</v>
      </c>
      <c r="AU44" s="211">
        <v>12840</v>
      </c>
      <c r="AV44" s="211">
        <v>16692</v>
      </c>
      <c r="AW44" s="211">
        <v>14744</v>
      </c>
      <c r="AX44" s="212">
        <v>7.26</v>
      </c>
      <c r="AY44" s="212">
        <v>6.46</v>
      </c>
      <c r="AZ44" s="212">
        <v>6.92</v>
      </c>
      <c r="BA44" s="212">
        <v>6.77</v>
      </c>
      <c r="BB44" s="212">
        <v>7.64</v>
      </c>
      <c r="BC44" s="212">
        <v>7.42</v>
      </c>
      <c r="BD44" s="212">
        <v>6.71</v>
      </c>
      <c r="BE44" s="212">
        <v>6.11</v>
      </c>
      <c r="BF44" s="212">
        <v>5.97</v>
      </c>
      <c r="BG44" s="212">
        <v>6.97</v>
      </c>
      <c r="BH44" s="212">
        <v>6.95</v>
      </c>
      <c r="BI44" s="212">
        <v>7</v>
      </c>
      <c r="BJ44" s="212">
        <v>6.91</v>
      </c>
      <c r="BK44" s="212">
        <v>6.62</v>
      </c>
      <c r="BL44" s="212">
        <v>6.52</v>
      </c>
      <c r="BM44" s="212">
        <v>6.75</v>
      </c>
      <c r="BN44" s="212">
        <v>6.41</v>
      </c>
      <c r="BO44" s="212">
        <v>6.88</v>
      </c>
      <c r="BP44" s="212">
        <v>6.5</v>
      </c>
      <c r="BQ44" s="212">
        <v>5.89</v>
      </c>
      <c r="BR44" s="212">
        <v>6.65</v>
      </c>
      <c r="BS44" s="212">
        <v>6.6</v>
      </c>
      <c r="BT44" s="212">
        <v>6.09</v>
      </c>
      <c r="BU44" s="212">
        <v>6.72</v>
      </c>
      <c r="BV44" s="212">
        <v>7.07</v>
      </c>
      <c r="BW44" s="212">
        <v>6.83</v>
      </c>
      <c r="BX44" s="212">
        <v>6.47</v>
      </c>
      <c r="BY44" s="212">
        <v>6.26</v>
      </c>
      <c r="BZ44" s="212">
        <v>6.77</v>
      </c>
      <c r="CA44" s="212">
        <v>6.89</v>
      </c>
      <c r="CB44" s="212">
        <v>6.33</v>
      </c>
      <c r="CC44" s="212">
        <v>6.92</v>
      </c>
      <c r="CD44" s="212">
        <v>8.19</v>
      </c>
      <c r="CE44" s="212">
        <v>7.63</v>
      </c>
      <c r="CF44" s="212">
        <v>5.85</v>
      </c>
      <c r="CG44" s="212">
        <v>8.7100000000000009</v>
      </c>
      <c r="CH44" s="212">
        <v>8.5</v>
      </c>
      <c r="CI44" s="212">
        <v>7.41</v>
      </c>
      <c r="CJ44" s="212">
        <v>7.88</v>
      </c>
      <c r="CK44" s="212">
        <v>5.74</v>
      </c>
      <c r="CL44" s="212">
        <v>6.9</v>
      </c>
      <c r="CM44" s="212">
        <v>6.92</v>
      </c>
      <c r="CN44" s="212">
        <v>7.92</v>
      </c>
      <c r="CO44" s="212">
        <v>7.5</v>
      </c>
      <c r="CP44" s="213">
        <f>SUM(Input_Raw[[#This Row],[P-01]:[P-56]])/1000</f>
        <v>525.25</v>
      </c>
      <c r="CQ44" s="214">
        <f>IFERROR(AVERAGEIF(Input_Raw[[#This Row],[WS_P-01]:[WS_P-56]],"&lt;&gt;",Input_Raw[[#This Row],[WS_P-01]:[WS_P-56]]),"")</f>
        <v>6.8956818181818171</v>
      </c>
      <c r="CR44" s="215">
        <f>MAX(Input_Raw[[#This Row],[WS_P-01]:[WS_P-56]])</f>
        <v>8.7100000000000009</v>
      </c>
      <c r="CS44" s="215"/>
      <c r="CT44" s="216">
        <f>SUM(Input_Raw[[#This Row],[P-08]:[P-13]],Input_Raw[[#This Row],[P-25]:[P-28]])</f>
        <v>98542</v>
      </c>
      <c r="CU44" s="216"/>
      <c r="CV44" s="216">
        <f>SUM(Input_Raw[[#This Row],[P-04]],Input_Raw[[#This Row],[P-14]:[P-17]],Input_Raw[[#This Row],[P-19]:[P-20]],Input_Raw[[#This Row],[P-22]:[P-23]],Input_Raw[[#This Row],[P-34]],Input_Raw[[#This Row],[P-38]],Input_Raw[[#This Row],[P-43]])</f>
        <v>119890</v>
      </c>
      <c r="CW44" s="216"/>
      <c r="CX44" s="216">
        <f>SUM(Input_Raw[[#This Row],[P-05]:[P-06]],Input_Raw[[#This Row],[P-40]:[P-42]],Input_Raw[[#This Row],[P-45]],Input_Raw[[#This Row],[P-46]],Input_Raw[[#This Row],[P-47]:[P-48]])</f>
        <v>144920</v>
      </c>
      <c r="CY44" s="216"/>
      <c r="CZ44" s="216">
        <f>SUM(Input_Raw[[#This Row],[P-01]:[P-03]],Input_Raw[[#This Row],[P-07]],Input_Raw[[#This Row],[P-18]],Input_Raw[[#This Row],[P-31]:[P-32]],Input_Raw[[#This Row],[P-37]],Input_Raw[[#This Row],[P-50]:[P-56]])</f>
        <v>161898</v>
      </c>
      <c r="DA44" s="217"/>
      <c r="DB44" s="218">
        <f>Input_Raw[[#This Row],[33 kV_Wind_F1_Export reading]]/1000</f>
        <v>98.542000000000002</v>
      </c>
      <c r="DC44" s="218"/>
      <c r="DD44" s="218">
        <f>Input_Raw[[#This Row],[33 kV_Wind_F2_Export_reading]]/1000</f>
        <v>119.89</v>
      </c>
      <c r="DE44" s="218"/>
      <c r="DF44" s="218">
        <f>Input_Raw[[#This Row],[33 kV_Wind_F3_Export_Reading]]/1000</f>
        <v>144.91999999999999</v>
      </c>
      <c r="DG44" s="218"/>
      <c r="DH44" s="218">
        <f>Input_Raw[[#This Row],[33 kV_Wind_F4_Export Reading]]/1000</f>
        <v>161.898</v>
      </c>
      <c r="DI44" s="218"/>
      <c r="DJ44" s="218">
        <f>Input_Raw[[#This Row],[33 kV_F1_Total_Export (MWh)]]+Input_Raw[[#This Row],[33 kV_F2_Total_Export (MWh)2]]+Input_Raw[[#This Row],[33 kV_Wind_F3_Export (MWh)]]+Input_Raw[[#This Row],[33 kV_Wind_F4_Export (MWh)]]</f>
        <v>525.25</v>
      </c>
      <c r="DK44" s="218">
        <f>Input_Raw[[#This Row],[33 kV_Wind_F1_Import (MWh)]]+Input_Raw[[#This Row],[33 kV_Wind_F2_Import (MWh)]]+Input_Raw[[#This Row],[33 kV_Wind_F3_Import (MWh)2]]+Input_Raw[[#This Row],[33 kV_Wind_F4_Import (MWh)2]]</f>
        <v>0</v>
      </c>
      <c r="DL44" s="219">
        <f>IFERROR(Input_Raw[[#This Row],[33 kV_Wind_Total_Export (MWh)]]/Input_Raw[[#This Row],[WTG Total Gneration (MWh)]]-1,"")</f>
        <v>0</v>
      </c>
      <c r="DM44" s="220"/>
      <c r="DN44" s="186">
        <v>96</v>
      </c>
      <c r="DO44" s="186">
        <v>19096.63</v>
      </c>
      <c r="DP44" s="102">
        <v>517.71</v>
      </c>
      <c r="DQ44" s="208"/>
      <c r="DR44" s="181">
        <v>70.400000000000006</v>
      </c>
    </row>
    <row r="45" spans="1:122">
      <c r="A45" s="92">
        <f t="shared" si="74"/>
        <v>45785</v>
      </c>
      <c r="B45" s="190">
        <f>YEAR(Input_Raw[[#This Row],[Date]])+IF(MONTH(Input_Raw[[#This Row],[Date]])&gt;=4,1,0)</f>
        <v>2026</v>
      </c>
      <c r="C45" s="190">
        <f>YEAR(Input_Raw[[#This Row],[Date]])</f>
        <v>2025</v>
      </c>
      <c r="D45" s="11">
        <f t="shared" ref="D45" si="99">A45-DAY(A45)+1</f>
        <v>45778</v>
      </c>
      <c r="E45" s="190">
        <f>DAY(EOMONTH(Input_Raw[[#This Row],[Date]],0))</f>
        <v>31</v>
      </c>
      <c r="F45" s="211">
        <v>20072</v>
      </c>
      <c r="G45" s="211">
        <v>16952</v>
      </c>
      <c r="H45" s="211">
        <v>13692</v>
      </c>
      <c r="I45" s="211">
        <v>16204</v>
      </c>
      <c r="J45" s="211">
        <v>18348</v>
      </c>
      <c r="K45" s="211">
        <v>19744</v>
      </c>
      <c r="L45" s="211">
        <v>18256</v>
      </c>
      <c r="M45" s="211">
        <v>11024</v>
      </c>
      <c r="N45" s="211">
        <v>6920</v>
      </c>
      <c r="O45" s="211">
        <v>7492</v>
      </c>
      <c r="P45" s="211">
        <v>8164</v>
      </c>
      <c r="Q45" s="211">
        <v>12246</v>
      </c>
      <c r="R45" s="211">
        <v>12604</v>
      </c>
      <c r="S45" s="211">
        <v>12044</v>
      </c>
      <c r="T45" s="211">
        <v>9286</v>
      </c>
      <c r="U45" s="211">
        <v>11726</v>
      </c>
      <c r="V45" s="211">
        <v>11166</v>
      </c>
      <c r="W45" s="211">
        <v>14280</v>
      </c>
      <c r="X45" s="211">
        <v>10852</v>
      </c>
      <c r="Y45" s="211">
        <v>9423</v>
      </c>
      <c r="Z45" s="211">
        <v>15124</v>
      </c>
      <c r="AA45" s="211">
        <v>13020</v>
      </c>
      <c r="AB45" s="211">
        <v>11684</v>
      </c>
      <c r="AC45" s="211">
        <v>7128</v>
      </c>
      <c r="AD45" s="211">
        <v>12112</v>
      </c>
      <c r="AE45" s="211">
        <v>10112</v>
      </c>
      <c r="AF45" s="211">
        <v>11248</v>
      </c>
      <c r="AG45" s="211">
        <v>11560</v>
      </c>
      <c r="AH45" s="211">
        <v>15624</v>
      </c>
      <c r="AI45" s="211">
        <v>13880</v>
      </c>
      <c r="AJ45" s="211">
        <v>10212</v>
      </c>
      <c r="AK45" s="211">
        <v>13932</v>
      </c>
      <c r="AL45" s="211">
        <v>18252</v>
      </c>
      <c r="AM45" s="211">
        <v>15400</v>
      </c>
      <c r="AN45" s="211">
        <v>10154</v>
      </c>
      <c r="AO45" s="211">
        <v>23244</v>
      </c>
      <c r="AP45" s="211">
        <v>21828</v>
      </c>
      <c r="AQ45" s="211">
        <v>14108</v>
      </c>
      <c r="AR45" s="211">
        <v>19680</v>
      </c>
      <c r="AS45" s="211">
        <v>12836</v>
      </c>
      <c r="AT45" s="211">
        <v>14862</v>
      </c>
      <c r="AU45" s="211">
        <v>16376.000000000002</v>
      </c>
      <c r="AV45" s="211">
        <v>22900</v>
      </c>
      <c r="AW45" s="211">
        <v>21184</v>
      </c>
      <c r="AX45" s="96">
        <v>8.08</v>
      </c>
      <c r="AY45" s="96">
        <v>7.52</v>
      </c>
      <c r="AZ45" s="96">
        <v>7.01</v>
      </c>
      <c r="BA45" s="96">
        <v>7.75</v>
      </c>
      <c r="BB45" s="96">
        <v>7.82</v>
      </c>
      <c r="BC45" s="96">
        <v>8.4499999999999993</v>
      </c>
      <c r="BD45" s="96">
        <v>8.06</v>
      </c>
      <c r="BE45" s="96">
        <v>6.77</v>
      </c>
      <c r="BF45" s="96">
        <v>5.83</v>
      </c>
      <c r="BG45" s="96">
        <v>6.26</v>
      </c>
      <c r="BH45" s="96">
        <v>6.05</v>
      </c>
      <c r="BI45" s="96">
        <v>7</v>
      </c>
      <c r="BJ45" s="96">
        <v>7.07</v>
      </c>
      <c r="BK45" s="96">
        <v>6.9</v>
      </c>
      <c r="BL45" s="96">
        <v>6.66</v>
      </c>
      <c r="BM45" s="96">
        <v>6.9</v>
      </c>
      <c r="BN45" s="96">
        <v>6.46</v>
      </c>
      <c r="BO45" s="96">
        <v>7.14</v>
      </c>
      <c r="BP45" s="96">
        <v>6.76</v>
      </c>
      <c r="BQ45" s="96">
        <v>6.07</v>
      </c>
      <c r="BR45" s="96">
        <v>7.55</v>
      </c>
      <c r="BS45" s="96">
        <v>6.87</v>
      </c>
      <c r="BT45" s="96">
        <v>6.31</v>
      </c>
      <c r="BU45" s="96">
        <v>6.33</v>
      </c>
      <c r="BV45" s="96">
        <v>6.97</v>
      </c>
      <c r="BW45" s="96">
        <v>6.46</v>
      </c>
      <c r="BX45" s="96">
        <v>6.24</v>
      </c>
      <c r="BY45" s="96">
        <v>6.7</v>
      </c>
      <c r="BZ45" s="96">
        <v>7.74</v>
      </c>
      <c r="CA45" s="96">
        <v>7.36</v>
      </c>
      <c r="CB45" s="96">
        <v>6.12</v>
      </c>
      <c r="CC45" s="96">
        <v>7.52</v>
      </c>
      <c r="CD45" s="96">
        <v>8.44</v>
      </c>
      <c r="CE45" s="96">
        <v>7.22</v>
      </c>
      <c r="CF45" s="96">
        <v>6.19</v>
      </c>
      <c r="CG45" s="96">
        <v>9.5500000000000007</v>
      </c>
      <c r="CH45" s="96">
        <v>8.93</v>
      </c>
      <c r="CI45" s="96">
        <v>6.79</v>
      </c>
      <c r="CJ45" s="96">
        <v>8.34</v>
      </c>
      <c r="CK45" s="96">
        <v>6.91</v>
      </c>
      <c r="CL45" s="96">
        <v>7.45</v>
      </c>
      <c r="CM45" s="96">
        <v>7.66</v>
      </c>
      <c r="CN45" s="96">
        <v>9.09</v>
      </c>
      <c r="CO45" s="96">
        <v>8.67</v>
      </c>
      <c r="CP45" s="98">
        <f>SUM(Input_Raw[[#This Row],[P-01]:[P-56]])/1000</f>
        <v>616.95500000000004</v>
      </c>
      <c r="CQ45" s="71">
        <f>IFERROR(AVERAGEIF(Input_Raw[[#This Row],[WS_P-01]:[WS_P-56]],"&lt;&gt;",Input_Raw[[#This Row],[WS_P-01]:[WS_P-56]]),"")</f>
        <v>7.2265909090909108</v>
      </c>
      <c r="CR45" s="99">
        <f>MAX(Input_Raw[[#This Row],[WS_P-01]:[WS_P-56]])</f>
        <v>9.5500000000000007</v>
      </c>
      <c r="CS45" s="99"/>
      <c r="CT45" s="70">
        <f>SUM(Input_Raw[[#This Row],[P-08]:[P-13]],Input_Raw[[#This Row],[P-25]:[P-28]])</f>
        <v>99486</v>
      </c>
      <c r="CU45" s="70"/>
      <c r="CV45" s="70">
        <f>SUM(Input_Raw[[#This Row],[P-04]],Input_Raw[[#This Row],[P-14]:[P-17]],Input_Raw[[#This Row],[P-19]:[P-20]],Input_Raw[[#This Row],[P-22]:[P-23]],Input_Raw[[#This Row],[P-34]],Input_Raw[[#This Row],[P-38]],Input_Raw[[#This Row],[P-43]])</f>
        <v>144835</v>
      </c>
      <c r="CW45" s="70"/>
      <c r="CX45" s="70">
        <f>SUM(Input_Raw[[#This Row],[P-05]:[P-06]],Input_Raw[[#This Row],[P-40]:[P-42]],Input_Raw[[#This Row],[P-45]],Input_Raw[[#This Row],[P-46]],Input_Raw[[#This Row],[P-47]:[P-48]])</f>
        <v>164536</v>
      </c>
      <c r="CY45" s="70"/>
      <c r="CZ45" s="70">
        <f>SUM(Input_Raw[[#This Row],[P-01]:[P-03]],Input_Raw[[#This Row],[P-07]],Input_Raw[[#This Row],[P-18]],Input_Raw[[#This Row],[P-31]:[P-32]],Input_Raw[[#This Row],[P-37]],Input_Raw[[#This Row],[P-50]:[P-56]])</f>
        <v>208098</v>
      </c>
      <c r="DA45" s="12"/>
      <c r="DB45" s="13">
        <f>Input_Raw[[#This Row],[33 kV_Wind_F1_Export reading]]/1000</f>
        <v>99.486000000000004</v>
      </c>
      <c r="DC45" s="13"/>
      <c r="DD45" s="13">
        <f>Input_Raw[[#This Row],[33 kV_Wind_F2_Export_reading]]/1000</f>
        <v>144.83500000000001</v>
      </c>
      <c r="DE45" s="13"/>
      <c r="DF45" s="13">
        <f>Input_Raw[[#This Row],[33 kV_Wind_F3_Export_Reading]]/1000</f>
        <v>164.536</v>
      </c>
      <c r="DG45" s="13"/>
      <c r="DH45" s="13">
        <f>Input_Raw[[#This Row],[33 kV_Wind_F4_Export Reading]]/1000</f>
        <v>208.09800000000001</v>
      </c>
      <c r="DI45" s="13"/>
      <c r="DJ45" s="13">
        <f>Input_Raw[[#This Row],[33 kV_F1_Total_Export (MWh)]]+Input_Raw[[#This Row],[33 kV_F2_Total_Export (MWh)2]]+Input_Raw[[#This Row],[33 kV_Wind_F3_Export (MWh)]]+Input_Raw[[#This Row],[33 kV_Wind_F4_Export (MWh)]]</f>
        <v>616.95500000000004</v>
      </c>
      <c r="DK45" s="13">
        <f>Input_Raw[[#This Row],[33 kV_Wind_F1_Import (MWh)]]+Input_Raw[[#This Row],[33 kV_Wind_F2_Import (MWh)]]+Input_Raw[[#This Row],[33 kV_Wind_F3_Import (MWh)2]]+Input_Raw[[#This Row],[33 kV_Wind_F4_Import (MWh)2]]</f>
        <v>0</v>
      </c>
      <c r="DL45" s="100">
        <f>IFERROR(Input_Raw[[#This Row],[33 kV_Wind_Total_Export (MWh)]]/Input_Raw[[#This Row],[WTG Total Gneration (MWh)]]-1,"")</f>
        <v>0</v>
      </c>
      <c r="DM45" s="66"/>
      <c r="DN45" s="186">
        <v>96</v>
      </c>
      <c r="DO45" s="186">
        <v>39098.5</v>
      </c>
      <c r="DP45" s="102">
        <v>589.61</v>
      </c>
      <c r="DQ45" s="66"/>
      <c r="DR45" s="181">
        <v>70.400000000000006</v>
      </c>
    </row>
    <row r="46" spans="1:122">
      <c r="A46" s="92">
        <f t="shared" si="74"/>
        <v>45786</v>
      </c>
      <c r="B46" s="190">
        <f>YEAR(Input_Raw[[#This Row],[Date]])+IF(MONTH(Input_Raw[[#This Row],[Date]])&gt;=4,1,0)</f>
        <v>2026</v>
      </c>
      <c r="C46" s="190">
        <f>YEAR(Input_Raw[[#This Row],[Date]])</f>
        <v>2025</v>
      </c>
      <c r="D46" s="11">
        <f t="shared" ref="D46" si="100">A46-DAY(A46)+1</f>
        <v>45778</v>
      </c>
      <c r="E46" s="190">
        <f>DAY(EOMONTH(Input_Raw[[#This Row],[Date]],0))</f>
        <v>31</v>
      </c>
      <c r="F46" s="211">
        <v>8252</v>
      </c>
      <c r="G46" s="211">
        <v>9048</v>
      </c>
      <c r="H46" s="211">
        <v>6076</v>
      </c>
      <c r="I46" s="211">
        <v>7410</v>
      </c>
      <c r="J46" s="211">
        <v>4716</v>
      </c>
      <c r="K46" s="211">
        <v>6952</v>
      </c>
      <c r="L46" s="211">
        <v>7816</v>
      </c>
      <c r="M46" s="211">
        <v>4492</v>
      </c>
      <c r="N46" s="211">
        <v>2574</v>
      </c>
      <c r="O46" s="211">
        <v>1788</v>
      </c>
      <c r="P46" s="211">
        <v>1888</v>
      </c>
      <c r="Q46" s="211">
        <v>3718</v>
      </c>
      <c r="R46" s="211">
        <v>3184</v>
      </c>
      <c r="S46" s="211">
        <v>2534</v>
      </c>
      <c r="T46" s="211">
        <v>2700</v>
      </c>
      <c r="U46" s="211">
        <v>3532</v>
      </c>
      <c r="V46" s="211">
        <v>3372</v>
      </c>
      <c r="W46" s="211">
        <v>6588</v>
      </c>
      <c r="X46" s="211">
        <v>5014</v>
      </c>
      <c r="Y46" s="211">
        <v>3393</v>
      </c>
      <c r="Z46" s="211">
        <v>7048</v>
      </c>
      <c r="AA46" s="211">
        <v>6200</v>
      </c>
      <c r="AB46" s="211">
        <v>1912</v>
      </c>
      <c r="AC46" s="211">
        <v>1372</v>
      </c>
      <c r="AD46" s="211">
        <v>2588</v>
      </c>
      <c r="AE46" s="211">
        <v>3776</v>
      </c>
      <c r="AF46" s="211">
        <v>4452</v>
      </c>
      <c r="AG46" s="211">
        <v>3106</v>
      </c>
      <c r="AH46" s="211">
        <v>7176</v>
      </c>
      <c r="AI46" s="211">
        <v>3766</v>
      </c>
      <c r="AJ46" s="211">
        <v>3396</v>
      </c>
      <c r="AK46" s="211">
        <v>4548</v>
      </c>
      <c r="AL46" s="211">
        <v>5480</v>
      </c>
      <c r="AM46" s="211">
        <v>3768</v>
      </c>
      <c r="AN46" s="211">
        <v>4938</v>
      </c>
      <c r="AO46" s="211">
        <v>7624</v>
      </c>
      <c r="AP46" s="211">
        <v>6828</v>
      </c>
      <c r="AQ46" s="211">
        <v>3472</v>
      </c>
      <c r="AR46" s="211">
        <v>6048</v>
      </c>
      <c r="AS46" s="211">
        <v>3112</v>
      </c>
      <c r="AT46" s="211">
        <v>3604</v>
      </c>
      <c r="AU46" s="211">
        <v>4584</v>
      </c>
      <c r="AV46" s="211">
        <v>8444</v>
      </c>
      <c r="AW46" s="211">
        <v>7596</v>
      </c>
      <c r="AX46" s="96">
        <v>5.73</v>
      </c>
      <c r="AY46" s="96">
        <v>5.97</v>
      </c>
      <c r="AZ46" s="96">
        <v>5.23</v>
      </c>
      <c r="BA46" s="96">
        <v>5.83</v>
      </c>
      <c r="BB46" s="96">
        <v>4.8</v>
      </c>
      <c r="BC46" s="96">
        <v>5.8</v>
      </c>
      <c r="BD46" s="96">
        <v>5.92</v>
      </c>
      <c r="BE46" s="96">
        <v>4.9800000000000004</v>
      </c>
      <c r="BF46" s="96">
        <v>4.3600000000000003</v>
      </c>
      <c r="BG46" s="96">
        <v>4.25</v>
      </c>
      <c r="BH46" s="96">
        <v>3.94</v>
      </c>
      <c r="BI46" s="96">
        <v>4.6900000000000004</v>
      </c>
      <c r="BJ46" s="96">
        <v>4.57</v>
      </c>
      <c r="BK46" s="96">
        <v>4.49</v>
      </c>
      <c r="BL46" s="96">
        <v>4.54</v>
      </c>
      <c r="BM46" s="96">
        <v>4.83</v>
      </c>
      <c r="BN46" s="96">
        <v>4.47</v>
      </c>
      <c r="BO46" s="96">
        <v>5.38</v>
      </c>
      <c r="BP46" s="96">
        <v>5.16</v>
      </c>
      <c r="BQ46" s="96">
        <v>4.42</v>
      </c>
      <c r="BR46" s="96">
        <v>5.88</v>
      </c>
      <c r="BS46" s="96">
        <v>5.36</v>
      </c>
      <c r="BT46" s="96">
        <v>4.3099999999999996</v>
      </c>
      <c r="BU46" s="96">
        <v>4.59</v>
      </c>
      <c r="BV46" s="96">
        <v>4.83</v>
      </c>
      <c r="BW46" s="96">
        <v>4.7300000000000004</v>
      </c>
      <c r="BX46" s="96">
        <v>4.32</v>
      </c>
      <c r="BY46" s="96">
        <v>4.28</v>
      </c>
      <c r="BZ46" s="96">
        <v>5.89</v>
      </c>
      <c r="CA46" s="96">
        <v>4.6900000000000004</v>
      </c>
      <c r="CB46" s="96">
        <v>4.1399999999999997</v>
      </c>
      <c r="CC46" s="96">
        <v>5.24</v>
      </c>
      <c r="CD46" s="96">
        <v>5.4</v>
      </c>
      <c r="CE46" s="96">
        <v>4.6100000000000003</v>
      </c>
      <c r="CF46" s="96">
        <v>4.87</v>
      </c>
      <c r="CG46" s="96">
        <v>6.73</v>
      </c>
      <c r="CH46" s="96">
        <v>6.38</v>
      </c>
      <c r="CI46" s="96">
        <v>4.47</v>
      </c>
      <c r="CJ46" s="96">
        <v>5.84</v>
      </c>
      <c r="CK46" s="96">
        <v>4.2</v>
      </c>
      <c r="CL46" s="96">
        <v>4.49</v>
      </c>
      <c r="CM46" s="96">
        <v>4.97</v>
      </c>
      <c r="CN46" s="96">
        <v>6.13</v>
      </c>
      <c r="CO46" s="96">
        <v>5.9</v>
      </c>
      <c r="CP46" s="221">
        <f>SUM(Input_Raw[[#This Row],[P-01]:[P-56]])/1000</f>
        <v>209.88499999999999</v>
      </c>
      <c r="CQ46" s="222">
        <f>IFERROR(AVERAGEIF(Input_Raw[[#This Row],[WS_P-01]:[WS_P-56]],"&lt;&gt;",Input_Raw[[#This Row],[WS_P-01]:[WS_P-56]]),"")</f>
        <v>5.0365909090909078</v>
      </c>
      <c r="CR46" s="223">
        <f>MAX(Input_Raw[[#This Row],[WS_P-01]:[WS_P-56]])</f>
        <v>6.73</v>
      </c>
      <c r="CS46" s="223"/>
      <c r="CT46" s="224">
        <f>SUM(Input_Raw[[#This Row],[P-08]:[P-13]],Input_Raw[[#This Row],[P-25]:[P-28]])</f>
        <v>27292</v>
      </c>
      <c r="CU46" s="224"/>
      <c r="CV46" s="224">
        <f>SUM(Input_Raw[[#This Row],[P-04]],Input_Raw[[#This Row],[P-14]:[P-17]],Input_Raw[[#This Row],[P-19]:[P-20]],Input_Raw[[#This Row],[P-22]:[P-23]],Input_Raw[[#This Row],[P-34]],Input_Raw[[#This Row],[P-38]],Input_Raw[[#This Row],[P-43]])</f>
        <v>56713</v>
      </c>
      <c r="CW46" s="224"/>
      <c r="CX46" s="224">
        <f>SUM(Input_Raw[[#This Row],[P-05]:[P-06]],Input_Raw[[#This Row],[P-40]:[P-42]],Input_Raw[[#This Row],[P-45]],Input_Raw[[#This Row],[P-46]],Input_Raw[[#This Row],[P-47]:[P-48]])</f>
        <v>49436</v>
      </c>
      <c r="CY46" s="224"/>
      <c r="CZ46" s="224">
        <f>SUM(Input_Raw[[#This Row],[P-01]:[P-03]],Input_Raw[[#This Row],[P-07]],Input_Raw[[#This Row],[P-18]],Input_Raw[[#This Row],[P-31]:[P-32]],Input_Raw[[#This Row],[P-37]],Input_Raw[[#This Row],[P-50]:[P-56]])</f>
        <v>76444</v>
      </c>
      <c r="DA46" s="225"/>
      <c r="DB46" s="226">
        <f>Input_Raw[[#This Row],[33 kV_Wind_F1_Export reading]]/1000</f>
        <v>27.292000000000002</v>
      </c>
      <c r="DC46" s="226"/>
      <c r="DD46" s="226">
        <f>Input_Raw[[#This Row],[33 kV_Wind_F2_Export_reading]]/1000</f>
        <v>56.713000000000001</v>
      </c>
      <c r="DE46" s="226"/>
      <c r="DF46" s="226">
        <f>Input_Raw[[#This Row],[33 kV_Wind_F3_Export_Reading]]/1000</f>
        <v>49.436</v>
      </c>
      <c r="DG46" s="226"/>
      <c r="DH46" s="226">
        <f>Input_Raw[[#This Row],[33 kV_Wind_F4_Export Reading]]/1000</f>
        <v>76.444000000000003</v>
      </c>
      <c r="DI46" s="226"/>
      <c r="DJ46" s="226">
        <f>Input_Raw[[#This Row],[33 kV_F1_Total_Export (MWh)]]+Input_Raw[[#This Row],[33 kV_F2_Total_Export (MWh)2]]+Input_Raw[[#This Row],[33 kV_Wind_F3_Export (MWh)]]+Input_Raw[[#This Row],[33 kV_Wind_F4_Export (MWh)]]</f>
        <v>209.88499999999999</v>
      </c>
      <c r="DK46" s="226">
        <f>Input_Raw[[#This Row],[33 kV_Wind_F1_Import (MWh)]]+Input_Raw[[#This Row],[33 kV_Wind_F2_Import (MWh)]]+Input_Raw[[#This Row],[33 kV_Wind_F3_Import (MWh)2]]+Input_Raw[[#This Row],[33 kV_Wind_F4_Import (MWh)2]]</f>
        <v>0</v>
      </c>
      <c r="DL46" s="227">
        <f>IFERROR(Input_Raw[[#This Row],[33 kV_Wind_Total_Export (MWh)]]/Input_Raw[[#This Row],[WTG Total Gneration (MWh)]]-1,"")</f>
        <v>0</v>
      </c>
      <c r="DM46" s="228"/>
      <c r="DN46" s="186">
        <v>96</v>
      </c>
      <c r="DO46" s="186">
        <v>7684.87</v>
      </c>
      <c r="DP46" s="102">
        <v>197.15</v>
      </c>
      <c r="DQ46" s="228"/>
      <c r="DR46" s="181">
        <v>70.400000000000006</v>
      </c>
    </row>
    <row r="47" spans="1:122">
      <c r="A47" s="92">
        <f t="shared" si="74"/>
        <v>45787</v>
      </c>
      <c r="B47" s="190">
        <f>YEAR(Input_Raw[[#This Row],[Date]])+IF(MONTH(Input_Raw[[#This Row],[Date]])&gt;=4,1,0)</f>
        <v>2026</v>
      </c>
      <c r="C47" s="190">
        <f>YEAR(Input_Raw[[#This Row],[Date]])</f>
        <v>2025</v>
      </c>
      <c r="D47" s="11">
        <f t="shared" ref="D47" si="101">A47-DAY(A47)+1</f>
        <v>45778</v>
      </c>
      <c r="E47" s="190">
        <f>DAY(EOMONTH(Input_Raw[[#This Row],[Date]],0))</f>
        <v>31</v>
      </c>
      <c r="F47" s="211">
        <v>5612</v>
      </c>
      <c r="G47" s="211">
        <v>7000</v>
      </c>
      <c r="H47" s="211">
        <v>5152</v>
      </c>
      <c r="I47" s="211">
        <v>5546</v>
      </c>
      <c r="J47" s="211">
        <v>3928</v>
      </c>
      <c r="K47" s="211">
        <v>4968</v>
      </c>
      <c r="L47" s="211">
        <v>5450</v>
      </c>
      <c r="M47" s="211">
        <v>3156</v>
      </c>
      <c r="N47" s="211">
        <v>2116</v>
      </c>
      <c r="O47" s="211">
        <v>1588</v>
      </c>
      <c r="P47" s="211">
        <v>1944</v>
      </c>
      <c r="Q47" s="211">
        <v>2486</v>
      </c>
      <c r="R47" s="211">
        <v>2352</v>
      </c>
      <c r="S47" s="211">
        <v>512</v>
      </c>
      <c r="T47" s="211">
        <v>2462</v>
      </c>
      <c r="U47" s="211">
        <v>2840</v>
      </c>
      <c r="V47" s="211">
        <v>3168</v>
      </c>
      <c r="W47" s="211">
        <v>5376</v>
      </c>
      <c r="X47" s="211">
        <v>3910</v>
      </c>
      <c r="Y47" s="211">
        <v>3110</v>
      </c>
      <c r="Z47" s="211">
        <v>5148</v>
      </c>
      <c r="AA47" s="211">
        <v>1232</v>
      </c>
      <c r="AB47" s="211">
        <v>2832</v>
      </c>
      <c r="AC47" s="211">
        <v>3112</v>
      </c>
      <c r="AD47" s="211">
        <v>1792</v>
      </c>
      <c r="AE47" s="211">
        <v>2432</v>
      </c>
      <c r="AF47" s="211">
        <v>4132</v>
      </c>
      <c r="AG47" s="211">
        <v>1742</v>
      </c>
      <c r="AH47" s="211">
        <v>5540</v>
      </c>
      <c r="AI47" s="211">
        <v>1876</v>
      </c>
      <c r="AJ47" s="211">
        <v>3020</v>
      </c>
      <c r="AK47" s="211">
        <v>3134</v>
      </c>
      <c r="AL47" s="211">
        <v>3524</v>
      </c>
      <c r="AM47" s="211">
        <v>4048</v>
      </c>
      <c r="AN47" s="211">
        <v>3402</v>
      </c>
      <c r="AO47" s="211">
        <v>5968</v>
      </c>
      <c r="AP47" s="211">
        <v>5200</v>
      </c>
      <c r="AQ47" s="211">
        <v>3048</v>
      </c>
      <c r="AR47" s="211">
        <v>4728</v>
      </c>
      <c r="AS47" s="211">
        <v>1762</v>
      </c>
      <c r="AT47" s="211">
        <v>2132</v>
      </c>
      <c r="AU47" s="211">
        <v>2440</v>
      </c>
      <c r="AV47" s="211">
        <v>5904</v>
      </c>
      <c r="AW47" s="211">
        <v>5324</v>
      </c>
      <c r="AX47" s="96">
        <v>5.38</v>
      </c>
      <c r="AY47" s="96">
        <v>6.13</v>
      </c>
      <c r="AZ47" s="96">
        <v>5.09</v>
      </c>
      <c r="BA47" s="96">
        <v>5.12</v>
      </c>
      <c r="BB47" s="96">
        <v>4.05</v>
      </c>
      <c r="BC47" s="96">
        <v>4.87</v>
      </c>
      <c r="BD47" s="96">
        <v>5.71</v>
      </c>
      <c r="BE47" s="96">
        <v>4.3099999999999996</v>
      </c>
      <c r="BF47" s="96">
        <v>3.94</v>
      </c>
      <c r="BG47" s="96">
        <v>3.9</v>
      </c>
      <c r="BH47" s="96">
        <v>3.66</v>
      </c>
      <c r="BI47" s="96">
        <v>4.1100000000000003</v>
      </c>
      <c r="BJ47" s="96">
        <v>3.89</v>
      </c>
      <c r="BK47" s="96">
        <v>3.71</v>
      </c>
      <c r="BL47" s="96">
        <v>4.05</v>
      </c>
      <c r="BM47" s="96">
        <v>4.2</v>
      </c>
      <c r="BN47" s="96">
        <v>4.21</v>
      </c>
      <c r="BO47" s="96">
        <v>5.5</v>
      </c>
      <c r="BP47" s="96">
        <v>4.47</v>
      </c>
      <c r="BQ47" s="96">
        <v>4.03</v>
      </c>
      <c r="BR47" s="96">
        <v>5.15</v>
      </c>
      <c r="BS47" s="96">
        <v>4.46</v>
      </c>
      <c r="BT47" s="96">
        <v>3.98</v>
      </c>
      <c r="BU47" s="96">
        <v>4.47</v>
      </c>
      <c r="BV47" s="96">
        <v>3.91</v>
      </c>
      <c r="BW47" s="96">
        <v>3.93</v>
      </c>
      <c r="BX47" s="96">
        <v>4.3600000000000003</v>
      </c>
      <c r="BY47" s="96">
        <v>3.54</v>
      </c>
      <c r="BZ47" s="96">
        <v>5.22</v>
      </c>
      <c r="CA47" s="96">
        <v>3.86</v>
      </c>
      <c r="CB47" s="96">
        <v>3.7</v>
      </c>
      <c r="CC47" s="96">
        <v>4.28</v>
      </c>
      <c r="CD47" s="96">
        <v>4.4800000000000004</v>
      </c>
      <c r="CE47" s="96">
        <v>4.0999999999999996</v>
      </c>
      <c r="CF47" s="96">
        <v>4.0599999999999996</v>
      </c>
      <c r="CG47" s="96">
        <v>5.43</v>
      </c>
      <c r="CH47" s="96">
        <v>5.18</v>
      </c>
      <c r="CI47" s="96">
        <v>3.84</v>
      </c>
      <c r="CJ47" s="96">
        <v>4.7300000000000004</v>
      </c>
      <c r="CK47" s="96">
        <v>3.39</v>
      </c>
      <c r="CL47" s="96">
        <v>3.66</v>
      </c>
      <c r="CM47" s="96">
        <v>4.0199999999999996</v>
      </c>
      <c r="CN47" s="96">
        <v>5.25</v>
      </c>
      <c r="CO47" s="96">
        <v>5.87</v>
      </c>
      <c r="CP47" s="98">
        <f>SUM(Input_Raw[[#This Row],[P-01]:[P-56]])/1000</f>
        <v>156.148</v>
      </c>
      <c r="CQ47" s="71">
        <f>IFERROR(AVERAGEIF(Input_Raw[[#This Row],[WS_P-01]:[WS_P-56]],"&lt;&gt;",Input_Raw[[#This Row],[WS_P-01]:[WS_P-56]]),"")</f>
        <v>4.4363636363636365</v>
      </c>
      <c r="CR47" s="99">
        <f>MAX(Input_Raw[[#This Row],[WS_P-01]:[WS_P-56]])</f>
        <v>6.13</v>
      </c>
      <c r="CS47" s="99"/>
      <c r="CT47" s="70">
        <f>SUM(Input_Raw[[#This Row],[P-08]:[P-13]],Input_Raw[[#This Row],[P-25]:[P-28]])</f>
        <v>23810</v>
      </c>
      <c r="CU47" s="70"/>
      <c r="CV47" s="70">
        <f>SUM(Input_Raw[[#This Row],[P-04]],Input_Raw[[#This Row],[P-14]:[P-17]],Input_Raw[[#This Row],[P-19]:[P-20]],Input_Raw[[#This Row],[P-22]:[P-23]],Input_Raw[[#This Row],[P-34]],Input_Raw[[#This Row],[P-38]],Input_Raw[[#This Row],[P-43]])</f>
        <v>39890</v>
      </c>
      <c r="CW47" s="70"/>
      <c r="CX47" s="70">
        <f>SUM(Input_Raw[[#This Row],[P-05]:[P-06]],Input_Raw[[#This Row],[P-40]:[P-42]],Input_Raw[[#This Row],[P-45]],Input_Raw[[#This Row],[P-46]],Input_Raw[[#This Row],[P-47]:[P-48]])</f>
        <v>38546</v>
      </c>
      <c r="CY47" s="70"/>
      <c r="CZ47" s="70">
        <f>SUM(Input_Raw[[#This Row],[P-01]:[P-03]],Input_Raw[[#This Row],[P-07]],Input_Raw[[#This Row],[P-18]],Input_Raw[[#This Row],[P-31]:[P-32]],Input_Raw[[#This Row],[P-37]],Input_Raw[[#This Row],[P-50]:[P-56]])</f>
        <v>53902</v>
      </c>
      <c r="DA47" s="12"/>
      <c r="DB47" s="13">
        <f>Input_Raw[[#This Row],[33 kV_Wind_F1_Export reading]]/1000</f>
        <v>23.81</v>
      </c>
      <c r="DC47" s="13"/>
      <c r="DD47" s="13">
        <f>Input_Raw[[#This Row],[33 kV_Wind_F2_Export_reading]]/1000</f>
        <v>39.89</v>
      </c>
      <c r="DE47" s="13"/>
      <c r="DF47" s="13">
        <f>Input_Raw[[#This Row],[33 kV_Wind_F3_Export_Reading]]/1000</f>
        <v>38.545999999999999</v>
      </c>
      <c r="DG47" s="13"/>
      <c r="DH47" s="13">
        <f>Input_Raw[[#This Row],[33 kV_Wind_F4_Export Reading]]/1000</f>
        <v>53.902000000000001</v>
      </c>
      <c r="DI47" s="13"/>
      <c r="DJ47" s="13">
        <f>Input_Raw[[#This Row],[33 kV_F1_Total_Export (MWh)]]+Input_Raw[[#This Row],[33 kV_F2_Total_Export (MWh)2]]+Input_Raw[[#This Row],[33 kV_Wind_F3_Export (MWh)]]+Input_Raw[[#This Row],[33 kV_Wind_F4_Export (MWh)]]</f>
        <v>156.14800000000002</v>
      </c>
      <c r="DK47" s="13">
        <f>Input_Raw[[#This Row],[33 kV_Wind_F1_Import (MWh)]]+Input_Raw[[#This Row],[33 kV_Wind_F2_Import (MWh)]]+Input_Raw[[#This Row],[33 kV_Wind_F3_Import (MWh)2]]+Input_Raw[[#This Row],[33 kV_Wind_F4_Import (MWh)2]]</f>
        <v>0</v>
      </c>
      <c r="DL47" s="100">
        <f>IFERROR(Input_Raw[[#This Row],[33 kV_Wind_Total_Export (MWh)]]/Input_Raw[[#This Row],[WTG Total Gneration (MWh)]]-1,"")</f>
        <v>2.2204460492503131E-16</v>
      </c>
      <c r="DM47" s="66"/>
      <c r="DN47" s="186">
        <v>73</v>
      </c>
      <c r="DO47" s="186">
        <v>1948.87</v>
      </c>
      <c r="DP47" s="102">
        <v>148.4</v>
      </c>
      <c r="DQ47" s="66"/>
      <c r="DR47" s="181">
        <v>70.400000000000006</v>
      </c>
    </row>
    <row r="48" spans="1:122">
      <c r="A48" s="92">
        <f t="shared" si="74"/>
        <v>45788</v>
      </c>
      <c r="B48" s="190">
        <f>YEAR(Input_Raw[[#This Row],[Date]])+IF(MONTH(Input_Raw[[#This Row],[Date]])&gt;=4,1,0)</f>
        <v>2026</v>
      </c>
      <c r="C48" s="190">
        <f>YEAR(Input_Raw[[#This Row],[Date]])</f>
        <v>2025</v>
      </c>
      <c r="D48" s="11">
        <f t="shared" ref="D48" si="102">A48-DAY(A48)+1</f>
        <v>45778</v>
      </c>
      <c r="E48" s="190">
        <f>DAY(EOMONTH(Input_Raw[[#This Row],[Date]],0))</f>
        <v>31</v>
      </c>
      <c r="F48" s="211">
        <v>4208</v>
      </c>
      <c r="G48" s="211">
        <v>4344</v>
      </c>
      <c r="H48" s="211">
        <v>2472</v>
      </c>
      <c r="I48" s="211">
        <v>3128</v>
      </c>
      <c r="J48" s="211">
        <v>2596</v>
      </c>
      <c r="K48" s="211">
        <v>3528</v>
      </c>
      <c r="L48" s="211">
        <v>3910</v>
      </c>
      <c r="M48" s="211">
        <v>1794</v>
      </c>
      <c r="N48" s="211">
        <v>1010</v>
      </c>
      <c r="O48" s="211">
        <v>1012</v>
      </c>
      <c r="P48" s="211">
        <v>1200</v>
      </c>
      <c r="Q48" s="211">
        <v>2001.9999999999998</v>
      </c>
      <c r="R48" s="211">
        <v>1834</v>
      </c>
      <c r="S48" s="211">
        <v>1918</v>
      </c>
      <c r="T48" s="211">
        <v>1688</v>
      </c>
      <c r="U48" s="211">
        <v>1948</v>
      </c>
      <c r="V48" s="211">
        <v>1936</v>
      </c>
      <c r="W48" s="211">
        <v>2804</v>
      </c>
      <c r="X48" s="211">
        <v>2444</v>
      </c>
      <c r="Y48" s="211">
        <v>1849</v>
      </c>
      <c r="Z48" s="211">
        <v>2900</v>
      </c>
      <c r="AA48" s="211">
        <v>1724</v>
      </c>
      <c r="AB48" s="211">
        <v>1860</v>
      </c>
      <c r="AC48" s="211">
        <v>1836</v>
      </c>
      <c r="AD48" s="211">
        <v>2020</v>
      </c>
      <c r="AE48" s="211">
        <v>1716</v>
      </c>
      <c r="AF48" s="211">
        <v>2058</v>
      </c>
      <c r="AG48" s="211">
        <v>1940</v>
      </c>
      <c r="AH48" s="211">
        <v>3188</v>
      </c>
      <c r="AI48" s="211">
        <v>2542</v>
      </c>
      <c r="AJ48" s="211">
        <v>1960</v>
      </c>
      <c r="AK48" s="211">
        <v>2352</v>
      </c>
      <c r="AL48" s="211">
        <v>3020</v>
      </c>
      <c r="AM48" s="211">
        <v>2640</v>
      </c>
      <c r="AN48" s="211">
        <v>1796</v>
      </c>
      <c r="AO48" s="211">
        <v>4616</v>
      </c>
      <c r="AP48" s="211">
        <v>4148</v>
      </c>
      <c r="AQ48" s="211">
        <v>2524</v>
      </c>
      <c r="AR48" s="211">
        <v>3596</v>
      </c>
      <c r="AS48" s="211">
        <v>218</v>
      </c>
      <c r="AT48" s="211">
        <v>2428</v>
      </c>
      <c r="AU48" s="211">
        <v>756</v>
      </c>
      <c r="AV48" s="211">
        <v>4552</v>
      </c>
      <c r="AW48" s="211">
        <v>4080</v>
      </c>
      <c r="AX48" s="96">
        <v>4.25</v>
      </c>
      <c r="AY48" s="96">
        <v>4.5599999999999996</v>
      </c>
      <c r="AZ48" s="96">
        <v>3.81</v>
      </c>
      <c r="BA48" s="96">
        <v>4.1399999999999997</v>
      </c>
      <c r="BB48" s="96">
        <v>3.73</v>
      </c>
      <c r="BC48" s="96">
        <v>4.5599999999999996</v>
      </c>
      <c r="BD48" s="96">
        <v>4.51</v>
      </c>
      <c r="BE48" s="96">
        <v>3.64</v>
      </c>
      <c r="BF48" s="96">
        <v>3.39</v>
      </c>
      <c r="BG48" s="96">
        <v>3.6</v>
      </c>
      <c r="BH48" s="96">
        <v>3.4</v>
      </c>
      <c r="BI48" s="96">
        <v>3.86</v>
      </c>
      <c r="BJ48" s="96">
        <v>3.61</v>
      </c>
      <c r="BK48" s="96">
        <v>3.66</v>
      </c>
      <c r="BL48" s="96">
        <v>3.67</v>
      </c>
      <c r="BM48" s="96">
        <v>3.75</v>
      </c>
      <c r="BN48" s="96">
        <v>3.79</v>
      </c>
      <c r="BO48" s="96">
        <v>4.01</v>
      </c>
      <c r="BP48" s="96">
        <v>3.85</v>
      </c>
      <c r="BQ48" s="96">
        <v>3.5</v>
      </c>
      <c r="BR48" s="96">
        <v>4.29</v>
      </c>
      <c r="BS48" s="96">
        <v>3.78</v>
      </c>
      <c r="BT48" s="96">
        <v>3.43</v>
      </c>
      <c r="BU48" s="96">
        <v>3.97</v>
      </c>
      <c r="BV48" s="96">
        <v>3.73</v>
      </c>
      <c r="BW48" s="96">
        <v>3.44</v>
      </c>
      <c r="BX48" s="96">
        <v>3.18</v>
      </c>
      <c r="BY48" s="96">
        <v>3.57</v>
      </c>
      <c r="BZ48" s="96">
        <v>4.34</v>
      </c>
      <c r="CA48" s="96">
        <v>3.98</v>
      </c>
      <c r="CB48" s="96">
        <v>3.34</v>
      </c>
      <c r="CC48" s="96">
        <v>4.03</v>
      </c>
      <c r="CD48" s="96">
        <v>4.37</v>
      </c>
      <c r="CE48" s="96">
        <v>3.67</v>
      </c>
      <c r="CF48" s="96">
        <v>3.43</v>
      </c>
      <c r="CG48" s="96">
        <v>4.99</v>
      </c>
      <c r="CH48" s="96">
        <v>4.83</v>
      </c>
      <c r="CI48" s="96">
        <v>3.62</v>
      </c>
      <c r="CJ48" s="96">
        <v>4.42</v>
      </c>
      <c r="CK48" s="96">
        <v>3.18</v>
      </c>
      <c r="CL48" s="96">
        <v>3.73</v>
      </c>
      <c r="CM48" s="96">
        <v>3.82</v>
      </c>
      <c r="CN48" s="96">
        <v>4.74</v>
      </c>
      <c r="CO48" s="96">
        <v>4.74</v>
      </c>
      <c r="CP48" s="221">
        <f>SUM(Input_Raw[[#This Row],[P-01]:[P-56]])/1000</f>
        <v>108.095</v>
      </c>
      <c r="CQ48" s="222">
        <f>IFERROR(AVERAGEIF(Input_Raw[[#This Row],[WS_P-01]:[WS_P-56]],"&lt;&gt;",Input_Raw[[#This Row],[WS_P-01]:[WS_P-56]]),"")</f>
        <v>3.9070454545454556</v>
      </c>
      <c r="CR48" s="223">
        <f>MAX(Input_Raw[[#This Row],[WS_P-01]:[WS_P-56]])</f>
        <v>4.99</v>
      </c>
      <c r="CS48" s="223"/>
      <c r="CT48" s="224">
        <f>SUM(Input_Raw[[#This Row],[P-08]:[P-13]],Input_Raw[[#This Row],[P-25]:[P-28]])</f>
        <v>16284</v>
      </c>
      <c r="CU48" s="224"/>
      <c r="CV48" s="224">
        <f>SUM(Input_Raw[[#This Row],[P-04]],Input_Raw[[#This Row],[P-14]:[P-17]],Input_Raw[[#This Row],[P-19]:[P-20]],Input_Raw[[#This Row],[P-22]:[P-23]],Input_Raw[[#This Row],[P-34]],Input_Raw[[#This Row],[P-38]],Input_Raw[[#This Row],[P-43]])</f>
        <v>26479</v>
      </c>
      <c r="CW48" s="224"/>
      <c r="CX48" s="224">
        <f>SUM(Input_Raw[[#This Row],[P-05]:[P-06]],Input_Raw[[#This Row],[P-40]:[P-42]],Input_Raw[[#This Row],[P-45]],Input_Raw[[#This Row],[P-46]],Input_Raw[[#This Row],[P-47]:[P-48]])</f>
        <v>29020</v>
      </c>
      <c r="CY48" s="224"/>
      <c r="CZ48" s="224">
        <f>SUM(Input_Raw[[#This Row],[P-01]:[P-03]],Input_Raw[[#This Row],[P-07]],Input_Raw[[#This Row],[P-18]],Input_Raw[[#This Row],[P-31]:[P-32]],Input_Raw[[#This Row],[P-37]],Input_Raw[[#This Row],[P-50]:[P-56]])</f>
        <v>36312</v>
      </c>
      <c r="DA48" s="225"/>
      <c r="DB48" s="226">
        <f>Input_Raw[[#This Row],[33 kV_Wind_F1_Export reading]]/1000</f>
        <v>16.283999999999999</v>
      </c>
      <c r="DC48" s="226"/>
      <c r="DD48" s="226">
        <f>Input_Raw[[#This Row],[33 kV_Wind_F2_Export_reading]]/1000</f>
        <v>26.478999999999999</v>
      </c>
      <c r="DE48" s="226"/>
      <c r="DF48" s="226">
        <f>Input_Raw[[#This Row],[33 kV_Wind_F3_Export_Reading]]/1000</f>
        <v>29.02</v>
      </c>
      <c r="DG48" s="226"/>
      <c r="DH48" s="226">
        <f>Input_Raw[[#This Row],[33 kV_Wind_F4_Export Reading]]/1000</f>
        <v>36.311999999999998</v>
      </c>
      <c r="DI48" s="226"/>
      <c r="DJ48" s="226">
        <f>Input_Raw[[#This Row],[33 kV_F1_Total_Export (MWh)]]+Input_Raw[[#This Row],[33 kV_F2_Total_Export (MWh)2]]+Input_Raw[[#This Row],[33 kV_Wind_F3_Export (MWh)]]+Input_Raw[[#This Row],[33 kV_Wind_F4_Export (MWh)]]</f>
        <v>108.095</v>
      </c>
      <c r="DK48" s="226">
        <f>Input_Raw[[#This Row],[33 kV_Wind_F1_Import (MWh)]]+Input_Raw[[#This Row],[33 kV_Wind_F2_Import (MWh)]]+Input_Raw[[#This Row],[33 kV_Wind_F3_Import (MWh)2]]+Input_Raw[[#This Row],[33 kV_Wind_F4_Import (MWh)2]]</f>
        <v>0</v>
      </c>
      <c r="DL48" s="227">
        <f>IFERROR(Input_Raw[[#This Row],[33 kV_Wind_Total_Export (MWh)]]/Input_Raw[[#This Row],[WTG Total Gneration (MWh)]]-1,"")</f>
        <v>0</v>
      </c>
      <c r="DM48" s="228"/>
      <c r="DN48" s="186">
        <v>92</v>
      </c>
      <c r="DO48" s="186">
        <v>455.87</v>
      </c>
      <c r="DP48" s="102">
        <v>102.44</v>
      </c>
      <c r="DQ48" s="228"/>
      <c r="DR48" s="181">
        <v>70.400000000000006</v>
      </c>
    </row>
    <row r="49" spans="1:122">
      <c r="A49" s="92">
        <f t="shared" si="74"/>
        <v>45789</v>
      </c>
      <c r="B49" s="190">
        <f>YEAR(Input_Raw[[#This Row],[Date]])+IF(MONTH(Input_Raw[[#This Row],[Date]])&gt;=4,1,0)</f>
        <v>2026</v>
      </c>
      <c r="C49" s="190">
        <f>YEAR(Input_Raw[[#This Row],[Date]])</f>
        <v>2025</v>
      </c>
      <c r="D49" s="11">
        <f t="shared" ref="D49" si="103">A49-DAY(A49)+1</f>
        <v>45778</v>
      </c>
      <c r="E49" s="190">
        <f>DAY(EOMONTH(Input_Raw[[#This Row],[Date]],0))</f>
        <v>31</v>
      </c>
      <c r="F49" s="211">
        <v>4132</v>
      </c>
      <c r="G49" s="211">
        <v>1424</v>
      </c>
      <c r="H49" s="211">
        <v>3340</v>
      </c>
      <c r="I49" s="211">
        <v>2600</v>
      </c>
      <c r="J49" s="211">
        <v>2352</v>
      </c>
      <c r="K49" s="211">
        <v>2704</v>
      </c>
      <c r="L49" s="211">
        <v>3216</v>
      </c>
      <c r="M49" s="211">
        <v>1290</v>
      </c>
      <c r="N49" s="211">
        <v>838</v>
      </c>
      <c r="O49" s="211">
        <v>1152</v>
      </c>
      <c r="P49" s="211">
        <v>1148</v>
      </c>
      <c r="Q49" s="211">
        <v>1378</v>
      </c>
      <c r="R49" s="211">
        <v>1378</v>
      </c>
      <c r="S49" s="211">
        <v>1564</v>
      </c>
      <c r="T49" s="211">
        <v>1500</v>
      </c>
      <c r="U49" s="211">
        <v>1840</v>
      </c>
      <c r="V49" s="211">
        <v>2200</v>
      </c>
      <c r="W49" s="211">
        <v>3144</v>
      </c>
      <c r="X49" s="211">
        <v>2080</v>
      </c>
      <c r="Y49" s="211">
        <v>2027.0000000000002</v>
      </c>
      <c r="Z49" s="211">
        <v>2524</v>
      </c>
      <c r="AA49" s="211">
        <v>2276</v>
      </c>
      <c r="AB49" s="211">
        <v>1452</v>
      </c>
      <c r="AC49" s="211">
        <v>1636</v>
      </c>
      <c r="AD49" s="211">
        <v>1836</v>
      </c>
      <c r="AE49" s="211">
        <v>1756</v>
      </c>
      <c r="AF49" s="211">
        <v>2846</v>
      </c>
      <c r="AG49" s="211">
        <v>776</v>
      </c>
      <c r="AH49" s="211">
        <v>2616</v>
      </c>
      <c r="AI49" s="211">
        <v>1516</v>
      </c>
      <c r="AJ49" s="211">
        <v>2392</v>
      </c>
      <c r="AK49" s="211">
        <v>1706</v>
      </c>
      <c r="AL49" s="211">
        <v>496</v>
      </c>
      <c r="AM49" s="211">
        <v>2188</v>
      </c>
      <c r="AN49" s="211">
        <v>1738</v>
      </c>
      <c r="AO49" s="211">
        <v>3236</v>
      </c>
      <c r="AP49" s="211">
        <v>2996</v>
      </c>
      <c r="AQ49" s="211">
        <v>1940</v>
      </c>
      <c r="AR49" s="211">
        <v>3192</v>
      </c>
      <c r="AS49" s="211">
        <v>984</v>
      </c>
      <c r="AT49" s="211">
        <v>1688</v>
      </c>
      <c r="AU49" s="211">
        <v>724</v>
      </c>
      <c r="AV49" s="211">
        <v>3940</v>
      </c>
      <c r="AW49" s="211">
        <v>4027.9999999999995</v>
      </c>
      <c r="AX49" s="96">
        <v>3.86</v>
      </c>
      <c r="AY49" s="96">
        <v>3.93</v>
      </c>
      <c r="AZ49" s="96">
        <v>3.77</v>
      </c>
      <c r="BA49" s="96">
        <v>3.68</v>
      </c>
      <c r="BB49" s="96">
        <v>3.4</v>
      </c>
      <c r="BC49" s="96">
        <v>3.8</v>
      </c>
      <c r="BD49" s="96">
        <v>3.88</v>
      </c>
      <c r="BE49" s="96">
        <v>2.94</v>
      </c>
      <c r="BF49" s="96">
        <v>2.79</v>
      </c>
      <c r="BG49" s="96">
        <v>3.15</v>
      </c>
      <c r="BH49" s="96">
        <v>3.03</v>
      </c>
      <c r="BI49" s="96">
        <v>3.29</v>
      </c>
      <c r="BJ49" s="96">
        <v>3.05</v>
      </c>
      <c r="BK49" s="96">
        <v>3.18</v>
      </c>
      <c r="BL49" s="96">
        <v>3.2</v>
      </c>
      <c r="BM49" s="96">
        <v>3.32</v>
      </c>
      <c r="BN49" s="96">
        <v>3.66</v>
      </c>
      <c r="BO49" s="96">
        <v>3.76</v>
      </c>
      <c r="BP49" s="96">
        <v>3.32</v>
      </c>
      <c r="BQ49" s="96">
        <v>3.22</v>
      </c>
      <c r="BR49" s="96">
        <v>3.79</v>
      </c>
      <c r="BS49" s="96">
        <v>3.56</v>
      </c>
      <c r="BT49" s="96">
        <v>2.88</v>
      </c>
      <c r="BU49" s="96">
        <v>3.72</v>
      </c>
      <c r="BV49" s="96">
        <v>3.37</v>
      </c>
      <c r="BW49" s="96">
        <v>3.32</v>
      </c>
      <c r="BX49" s="96">
        <v>3.19</v>
      </c>
      <c r="BY49" s="96">
        <v>3.02</v>
      </c>
      <c r="BZ49" s="96">
        <v>3.83</v>
      </c>
      <c r="CA49" s="96">
        <v>3.48</v>
      </c>
      <c r="CB49" s="96">
        <v>3.15</v>
      </c>
      <c r="CC49" s="96">
        <v>3.36</v>
      </c>
      <c r="CD49" s="96">
        <v>3.66</v>
      </c>
      <c r="CE49" s="96">
        <v>3.6</v>
      </c>
      <c r="CF49" s="96">
        <v>3.12</v>
      </c>
      <c r="CG49" s="96">
        <v>4.28</v>
      </c>
      <c r="CH49" s="96">
        <v>4.25</v>
      </c>
      <c r="CI49" s="96">
        <v>3.46</v>
      </c>
      <c r="CJ49" s="96">
        <v>4.0999999999999996</v>
      </c>
      <c r="CK49" s="96">
        <v>3.08</v>
      </c>
      <c r="CL49" s="96">
        <v>3.55</v>
      </c>
      <c r="CM49" s="96">
        <v>3.47</v>
      </c>
      <c r="CN49" s="96">
        <v>4.8</v>
      </c>
      <c r="CO49" s="96">
        <v>4.3600000000000003</v>
      </c>
      <c r="CP49" s="221">
        <f>SUM(Input_Raw[[#This Row],[P-01]:[P-56]])/1000</f>
        <v>91.789000000000001</v>
      </c>
      <c r="CQ49" s="222">
        <f>IFERROR(AVERAGEIF(Input_Raw[[#This Row],[WS_P-01]:[WS_P-56]],"&lt;&gt;",Input_Raw[[#This Row],[WS_P-01]:[WS_P-56]]),"")</f>
        <v>3.514318181818183</v>
      </c>
      <c r="CR49" s="223">
        <f>MAX(Input_Raw[[#This Row],[WS_P-01]:[WS_P-56]])</f>
        <v>4.8</v>
      </c>
      <c r="CS49" s="223"/>
      <c r="CT49" s="224">
        <f>SUM(Input_Raw[[#This Row],[P-08]:[P-13]],Input_Raw[[#This Row],[P-25]:[P-28]])</f>
        <v>13864</v>
      </c>
      <c r="CU49" s="224"/>
      <c r="CV49" s="224">
        <f>SUM(Input_Raw[[#This Row],[P-04]],Input_Raw[[#This Row],[P-14]:[P-17]],Input_Raw[[#This Row],[P-19]:[P-20]],Input_Raw[[#This Row],[P-22]:[P-23]],Input_Raw[[#This Row],[P-34]],Input_Raw[[#This Row],[P-38]],Input_Raw[[#This Row],[P-43]])</f>
        <v>25357</v>
      </c>
      <c r="CW49" s="224"/>
      <c r="CX49" s="224">
        <f>SUM(Input_Raw[[#This Row],[P-05]:[P-06]],Input_Raw[[#This Row],[P-40]:[P-42]],Input_Raw[[#This Row],[P-45]],Input_Raw[[#This Row],[P-46]],Input_Raw[[#This Row],[P-47]:[P-48]])</f>
        <v>20810</v>
      </c>
      <c r="CY49" s="224"/>
      <c r="CZ49" s="224">
        <f>SUM(Input_Raw[[#This Row],[P-01]:[P-03]],Input_Raw[[#This Row],[P-07]],Input_Raw[[#This Row],[P-18]],Input_Raw[[#This Row],[P-31]:[P-32]],Input_Raw[[#This Row],[P-37]],Input_Raw[[#This Row],[P-50]:[P-56]])</f>
        <v>31758</v>
      </c>
      <c r="DA49" s="225"/>
      <c r="DB49" s="226">
        <f>Input_Raw[[#This Row],[33 kV_Wind_F1_Export reading]]/1000</f>
        <v>13.864000000000001</v>
      </c>
      <c r="DC49" s="226"/>
      <c r="DD49" s="226">
        <f>Input_Raw[[#This Row],[33 kV_Wind_F2_Export_reading]]/1000</f>
        <v>25.356999999999999</v>
      </c>
      <c r="DE49" s="226"/>
      <c r="DF49" s="226">
        <f>Input_Raw[[#This Row],[33 kV_Wind_F3_Export_Reading]]/1000</f>
        <v>20.81</v>
      </c>
      <c r="DG49" s="226"/>
      <c r="DH49" s="226">
        <f>Input_Raw[[#This Row],[33 kV_Wind_F4_Export Reading]]/1000</f>
        <v>31.757999999999999</v>
      </c>
      <c r="DI49" s="226"/>
      <c r="DJ49" s="226">
        <f>Input_Raw[[#This Row],[33 kV_F1_Total_Export (MWh)]]+Input_Raw[[#This Row],[33 kV_F2_Total_Export (MWh)2]]+Input_Raw[[#This Row],[33 kV_Wind_F3_Export (MWh)]]+Input_Raw[[#This Row],[33 kV_Wind_F4_Export (MWh)]]</f>
        <v>91.789000000000001</v>
      </c>
      <c r="DK49" s="226">
        <f>Input_Raw[[#This Row],[33 kV_Wind_F1_Import (MWh)]]+Input_Raw[[#This Row],[33 kV_Wind_F2_Import (MWh)]]+Input_Raw[[#This Row],[33 kV_Wind_F3_Import (MWh)2]]+Input_Raw[[#This Row],[33 kV_Wind_F4_Import (MWh)2]]</f>
        <v>0</v>
      </c>
      <c r="DL49" s="227">
        <f>IFERROR(Input_Raw[[#This Row],[33 kV_Wind_Total_Export (MWh)]]/Input_Raw[[#This Row],[WTG Total Gneration (MWh)]]-1,"")</f>
        <v>0</v>
      </c>
      <c r="DM49" s="228"/>
      <c r="DN49" s="186">
        <v>96</v>
      </c>
      <c r="DO49" s="186">
        <v>7255.25</v>
      </c>
      <c r="DP49" s="102">
        <v>97.92</v>
      </c>
      <c r="DQ49" s="228"/>
      <c r="DR49" s="181">
        <v>70.400000000000006</v>
      </c>
    </row>
    <row r="50" spans="1:122">
      <c r="A50" s="92">
        <f t="shared" si="74"/>
        <v>45790</v>
      </c>
      <c r="B50" s="190">
        <f>YEAR(Input_Raw[[#This Row],[Date]])+IF(MONTH(Input_Raw[[#This Row],[Date]])&gt;=4,1,0)</f>
        <v>2026</v>
      </c>
      <c r="C50" s="190">
        <f>YEAR(Input_Raw[[#This Row],[Date]])</f>
        <v>2025</v>
      </c>
      <c r="D50" s="11">
        <f t="shared" ref="D50" si="104">A50-DAY(A50)+1</f>
        <v>45778</v>
      </c>
      <c r="E50" s="190">
        <f>DAY(EOMONTH(Input_Raw[[#This Row],[Date]],0))</f>
        <v>31</v>
      </c>
      <c r="F50" s="211">
        <v>1696</v>
      </c>
      <c r="G50" s="211">
        <v>1248</v>
      </c>
      <c r="H50" s="211">
        <v>1436</v>
      </c>
      <c r="I50" s="211">
        <v>3048</v>
      </c>
      <c r="J50" s="211">
        <v>1980</v>
      </c>
      <c r="K50" s="211">
        <v>1336</v>
      </c>
      <c r="L50" s="211">
        <v>1092</v>
      </c>
      <c r="M50" s="211">
        <v>1828</v>
      </c>
      <c r="N50" s="211">
        <v>1360</v>
      </c>
      <c r="O50" s="211">
        <v>2200</v>
      </c>
      <c r="P50" s="211">
        <v>2632</v>
      </c>
      <c r="Q50" s="211">
        <v>2924</v>
      </c>
      <c r="R50" s="211">
        <v>2690</v>
      </c>
      <c r="S50" s="211">
        <v>2362</v>
      </c>
      <c r="T50" s="211">
        <v>2092</v>
      </c>
      <c r="U50" s="211">
        <v>2460</v>
      </c>
      <c r="V50" s="211">
        <v>2708</v>
      </c>
      <c r="W50" s="211">
        <v>1504</v>
      </c>
      <c r="X50" s="211">
        <v>2418</v>
      </c>
      <c r="Y50" s="211">
        <v>2173</v>
      </c>
      <c r="Z50" s="211">
        <v>2976</v>
      </c>
      <c r="AA50" s="211">
        <v>2896</v>
      </c>
      <c r="AB50" s="211">
        <v>2448</v>
      </c>
      <c r="AC50" s="211">
        <v>2668</v>
      </c>
      <c r="AD50" s="211">
        <v>2724</v>
      </c>
      <c r="AE50" s="211">
        <v>2400</v>
      </c>
      <c r="AF50" s="211">
        <v>1260</v>
      </c>
      <c r="AG50" s="211">
        <v>880</v>
      </c>
      <c r="AH50" s="211">
        <v>2880</v>
      </c>
      <c r="AI50" s="211">
        <v>1062</v>
      </c>
      <c r="AJ50" s="211">
        <v>2592</v>
      </c>
      <c r="AK50" s="211">
        <v>824</v>
      </c>
      <c r="AL50" s="211">
        <v>0</v>
      </c>
      <c r="AM50" s="211">
        <v>1752</v>
      </c>
      <c r="AN50" s="211">
        <v>554</v>
      </c>
      <c r="AO50" s="211">
        <v>1908</v>
      </c>
      <c r="AP50" s="211">
        <v>1648</v>
      </c>
      <c r="AQ50" s="211">
        <v>1812</v>
      </c>
      <c r="AR50" s="211">
        <v>1864</v>
      </c>
      <c r="AS50" s="211">
        <v>1086</v>
      </c>
      <c r="AT50" s="211">
        <v>1324</v>
      </c>
      <c r="AU50" s="211">
        <v>1120</v>
      </c>
      <c r="AV50" s="211">
        <v>1728</v>
      </c>
      <c r="AW50" s="211">
        <v>1512</v>
      </c>
      <c r="AX50" s="96">
        <v>2.88</v>
      </c>
      <c r="AY50" s="96">
        <v>3.35</v>
      </c>
      <c r="AZ50" s="96">
        <v>3.1</v>
      </c>
      <c r="BA50" s="96">
        <v>3.67</v>
      </c>
      <c r="BB50" s="96">
        <v>3.64</v>
      </c>
      <c r="BC50" s="96">
        <v>3.47</v>
      </c>
      <c r="BD50" s="96">
        <v>3.05</v>
      </c>
      <c r="BE50" s="96">
        <v>3.14</v>
      </c>
      <c r="BF50" s="96">
        <v>3.1</v>
      </c>
      <c r="BG50" s="96">
        <v>3.65</v>
      </c>
      <c r="BH50" s="96">
        <v>3.55</v>
      </c>
      <c r="BI50" s="96">
        <v>3.81</v>
      </c>
      <c r="BJ50" s="96">
        <v>3.64</v>
      </c>
      <c r="BK50" s="96">
        <v>3.52</v>
      </c>
      <c r="BL50" s="96">
        <v>3.61</v>
      </c>
      <c r="BM50" s="96">
        <v>3.65</v>
      </c>
      <c r="BN50" s="96">
        <v>3.85</v>
      </c>
      <c r="BO50" s="96">
        <v>3.23</v>
      </c>
      <c r="BP50" s="96">
        <v>3.62</v>
      </c>
      <c r="BQ50" s="96">
        <v>3.57</v>
      </c>
      <c r="BR50" s="96">
        <v>3.85</v>
      </c>
      <c r="BS50" s="96">
        <v>3.67</v>
      </c>
      <c r="BT50" s="96">
        <v>3.24</v>
      </c>
      <c r="BU50" s="96">
        <v>4.01</v>
      </c>
      <c r="BV50" s="96">
        <v>3.66</v>
      </c>
      <c r="BW50" s="96">
        <v>3.48</v>
      </c>
      <c r="BX50" s="96">
        <v>2.75</v>
      </c>
      <c r="BY50" s="96">
        <v>2.75</v>
      </c>
      <c r="BZ50" s="96">
        <v>3.8</v>
      </c>
      <c r="CA50" s="96">
        <v>3.03</v>
      </c>
      <c r="CB50" s="96">
        <v>3.52</v>
      </c>
      <c r="CC50" s="96">
        <v>2.89</v>
      </c>
      <c r="CD50" s="96">
        <v>3.71</v>
      </c>
      <c r="CE50" s="96">
        <v>3.31</v>
      </c>
      <c r="CF50" s="96">
        <v>3.18</v>
      </c>
      <c r="CG50" s="96">
        <v>3.38</v>
      </c>
      <c r="CH50" s="96">
        <v>3.61</v>
      </c>
      <c r="CI50" s="96">
        <v>3.21</v>
      </c>
      <c r="CJ50" s="96">
        <v>3.6</v>
      </c>
      <c r="CK50" s="96">
        <v>2.88</v>
      </c>
      <c r="CL50" s="96">
        <v>3.05</v>
      </c>
      <c r="CM50" s="96">
        <v>3.21</v>
      </c>
      <c r="CN50" s="96">
        <v>3.19</v>
      </c>
      <c r="CO50" s="96">
        <v>3.43</v>
      </c>
      <c r="CP50" s="221">
        <f>SUM(Input_Raw[[#This Row],[P-01]:[P-56]])/1000</f>
        <v>83.105000000000004</v>
      </c>
      <c r="CQ50" s="222">
        <f>IFERROR(AVERAGEIF(Input_Raw[[#This Row],[WS_P-01]:[WS_P-56]],"&lt;&gt;",Input_Raw[[#This Row],[WS_P-01]:[WS_P-56]]),"")</f>
        <v>3.3979545454545454</v>
      </c>
      <c r="CR50" s="223">
        <f>MAX(Input_Raw[[#This Row],[WS_P-01]:[WS_P-56]])</f>
        <v>4.01</v>
      </c>
      <c r="CS50" s="223"/>
      <c r="CT50" s="224">
        <f>SUM(Input_Raw[[#This Row],[P-08]:[P-13]],Input_Raw[[#This Row],[P-25]:[P-28]])</f>
        <v>23874</v>
      </c>
      <c r="CU50" s="224"/>
      <c r="CV50" s="224">
        <f>SUM(Input_Raw[[#This Row],[P-04]],Input_Raw[[#This Row],[P-14]:[P-17]],Input_Raw[[#This Row],[P-19]:[P-20]],Input_Raw[[#This Row],[P-22]:[P-23]],Input_Raw[[#This Row],[P-34]],Input_Raw[[#This Row],[P-38]],Input_Raw[[#This Row],[P-43]])</f>
        <v>29159</v>
      </c>
      <c r="CW50" s="224"/>
      <c r="CX50" s="224">
        <f>SUM(Input_Raw[[#This Row],[P-05]:[P-06]],Input_Raw[[#This Row],[P-40]:[P-42]],Input_Raw[[#This Row],[P-45]],Input_Raw[[#This Row],[P-46]],Input_Raw[[#This Row],[P-47]:[P-48]])</f>
        <v>13124</v>
      </c>
      <c r="CY50" s="224"/>
      <c r="CZ50" s="224">
        <f>SUM(Input_Raw[[#This Row],[P-01]:[P-03]],Input_Raw[[#This Row],[P-07]],Input_Raw[[#This Row],[P-18]],Input_Raw[[#This Row],[P-31]:[P-32]],Input_Raw[[#This Row],[P-37]],Input_Raw[[#This Row],[P-50]:[P-56]])</f>
        <v>16948</v>
      </c>
      <c r="DA50" s="225"/>
      <c r="DB50" s="226">
        <f>Input_Raw[[#This Row],[33 kV_Wind_F1_Export reading]]/1000</f>
        <v>23.873999999999999</v>
      </c>
      <c r="DC50" s="226"/>
      <c r="DD50" s="226">
        <f>Input_Raw[[#This Row],[33 kV_Wind_F2_Export_reading]]/1000</f>
        <v>29.158999999999999</v>
      </c>
      <c r="DE50" s="226"/>
      <c r="DF50" s="226">
        <f>Input_Raw[[#This Row],[33 kV_Wind_F3_Export_Reading]]/1000</f>
        <v>13.124000000000001</v>
      </c>
      <c r="DG50" s="226"/>
      <c r="DH50" s="226">
        <f>Input_Raw[[#This Row],[33 kV_Wind_F4_Export Reading]]/1000</f>
        <v>16.948</v>
      </c>
      <c r="DI50" s="226"/>
      <c r="DJ50" s="226">
        <f>Input_Raw[[#This Row],[33 kV_F1_Total_Export (MWh)]]+Input_Raw[[#This Row],[33 kV_F2_Total_Export (MWh)2]]+Input_Raw[[#This Row],[33 kV_Wind_F3_Export (MWh)]]+Input_Raw[[#This Row],[33 kV_Wind_F4_Export (MWh)]]</f>
        <v>83.10499999999999</v>
      </c>
      <c r="DK50" s="226">
        <f>Input_Raw[[#This Row],[33 kV_Wind_F1_Import (MWh)]]+Input_Raw[[#This Row],[33 kV_Wind_F2_Import (MWh)]]+Input_Raw[[#This Row],[33 kV_Wind_F3_Import (MWh)2]]+Input_Raw[[#This Row],[33 kV_Wind_F4_Import (MWh)2]]</f>
        <v>0</v>
      </c>
      <c r="DL50" s="227">
        <f>IFERROR(Input_Raw[[#This Row],[33 kV_Wind_Total_Export (MWh)]]/Input_Raw[[#This Row],[WTG Total Gneration (MWh)]]-1,"")</f>
        <v>-2.2204460492503131E-16</v>
      </c>
      <c r="DM50" s="228"/>
      <c r="DN50" s="186">
        <v>69</v>
      </c>
      <c r="DO50" s="186">
        <v>0</v>
      </c>
      <c r="DP50" s="102">
        <v>82.79</v>
      </c>
      <c r="DQ50" s="228"/>
      <c r="DR50" s="181">
        <v>70.400000000000006</v>
      </c>
    </row>
    <row r="51" spans="1:122">
      <c r="A51" s="92">
        <f t="shared" si="74"/>
        <v>45791</v>
      </c>
      <c r="B51" s="190">
        <f>YEAR(Input_Raw[[#This Row],[Date]])+IF(MONTH(Input_Raw[[#This Row],[Date]])&gt;=4,1,0)</f>
        <v>2026</v>
      </c>
      <c r="C51" s="190">
        <f>YEAR(Input_Raw[[#This Row],[Date]])</f>
        <v>2025</v>
      </c>
      <c r="D51" s="11">
        <f t="shared" ref="D51" si="105">A51-DAY(A51)+1</f>
        <v>45778</v>
      </c>
      <c r="E51" s="190">
        <f>DAY(EOMONTH(Input_Raw[[#This Row],[Date]],0))</f>
        <v>31</v>
      </c>
      <c r="F51" s="211">
        <v>3744</v>
      </c>
      <c r="G51" s="211">
        <v>3488</v>
      </c>
      <c r="H51" s="211">
        <v>3020</v>
      </c>
      <c r="I51" s="211">
        <v>516</v>
      </c>
      <c r="J51" s="211">
        <v>568</v>
      </c>
      <c r="K51" s="211">
        <v>1648</v>
      </c>
      <c r="L51" s="211">
        <v>2312</v>
      </c>
      <c r="M51" s="211">
        <v>1476</v>
      </c>
      <c r="N51" s="211">
        <v>1120</v>
      </c>
      <c r="O51" s="211">
        <v>1276</v>
      </c>
      <c r="P51" s="211">
        <v>1234</v>
      </c>
      <c r="Q51" s="211">
        <v>1440</v>
      </c>
      <c r="R51" s="211">
        <v>1528</v>
      </c>
      <c r="S51" s="211">
        <v>1532</v>
      </c>
      <c r="T51" s="211">
        <v>1456</v>
      </c>
      <c r="U51" s="211">
        <v>1696</v>
      </c>
      <c r="V51" s="211">
        <v>1836</v>
      </c>
      <c r="W51" s="211">
        <v>3576</v>
      </c>
      <c r="X51" s="211">
        <v>2028</v>
      </c>
      <c r="Y51" s="211">
        <v>1838</v>
      </c>
      <c r="Z51" s="211">
        <v>3020</v>
      </c>
      <c r="AA51" s="211">
        <v>3168</v>
      </c>
      <c r="AB51" s="211">
        <v>2188</v>
      </c>
      <c r="AC51" s="211">
        <v>2112</v>
      </c>
      <c r="AD51" s="211">
        <v>2484</v>
      </c>
      <c r="AE51" s="211">
        <v>2260</v>
      </c>
      <c r="AF51" s="211">
        <v>3036</v>
      </c>
      <c r="AG51" s="211">
        <v>1606</v>
      </c>
      <c r="AH51" s="211">
        <v>3032</v>
      </c>
      <c r="AI51" s="211">
        <v>2858</v>
      </c>
      <c r="AJ51" s="211">
        <v>1672</v>
      </c>
      <c r="AK51" s="211">
        <v>924</v>
      </c>
      <c r="AL51" s="211">
        <v>1140</v>
      </c>
      <c r="AM51" s="211">
        <v>3368</v>
      </c>
      <c r="AN51" s="211">
        <v>1106</v>
      </c>
      <c r="AO51" s="211">
        <v>3668</v>
      </c>
      <c r="AP51" s="211">
        <v>2912</v>
      </c>
      <c r="AQ51" s="211">
        <v>2804</v>
      </c>
      <c r="AR51" s="211">
        <v>3104</v>
      </c>
      <c r="AS51" s="211">
        <v>1214</v>
      </c>
      <c r="AT51" s="211">
        <v>2032</v>
      </c>
      <c r="AU51" s="211">
        <v>2948</v>
      </c>
      <c r="AV51" s="211">
        <v>4096</v>
      </c>
      <c r="AW51" s="211">
        <v>3764</v>
      </c>
      <c r="AX51" s="96">
        <v>4.0599999999999996</v>
      </c>
      <c r="AY51" s="96">
        <v>4.12</v>
      </c>
      <c r="AZ51" s="96">
        <v>3.95</v>
      </c>
      <c r="BA51" s="96">
        <v>3.34</v>
      </c>
      <c r="BB51" s="96">
        <v>3.29</v>
      </c>
      <c r="BC51" s="96">
        <v>3.83</v>
      </c>
      <c r="BD51" s="96">
        <v>3.8</v>
      </c>
      <c r="BE51" s="96">
        <v>3.3</v>
      </c>
      <c r="BF51" s="96">
        <v>3.29</v>
      </c>
      <c r="BG51" s="96">
        <v>3.64</v>
      </c>
      <c r="BH51" s="96">
        <v>3.38</v>
      </c>
      <c r="BI51" s="96">
        <v>3.59</v>
      </c>
      <c r="BJ51" s="96">
        <v>3.52</v>
      </c>
      <c r="BK51" s="96">
        <v>3.51</v>
      </c>
      <c r="BL51" s="96">
        <v>3.51</v>
      </c>
      <c r="BM51" s="96">
        <v>3.58</v>
      </c>
      <c r="BN51" s="96">
        <v>3.66</v>
      </c>
      <c r="BO51" s="96">
        <v>3.97</v>
      </c>
      <c r="BP51" s="96">
        <v>3.51</v>
      </c>
      <c r="BQ51" s="96">
        <v>3.32</v>
      </c>
      <c r="BR51" s="96">
        <v>3.93</v>
      </c>
      <c r="BS51" s="96">
        <v>3.87</v>
      </c>
      <c r="BT51" s="96">
        <v>3.46</v>
      </c>
      <c r="BU51" s="96">
        <v>4.04</v>
      </c>
      <c r="BV51" s="96">
        <v>3.92</v>
      </c>
      <c r="BW51" s="96">
        <v>3.88</v>
      </c>
      <c r="BX51" s="96">
        <v>3.59</v>
      </c>
      <c r="BY51" s="96">
        <v>3.04</v>
      </c>
      <c r="BZ51" s="96">
        <v>3.73</v>
      </c>
      <c r="CA51" s="96">
        <v>3.8</v>
      </c>
      <c r="CB51" s="96">
        <v>3.19</v>
      </c>
      <c r="CC51" s="96">
        <v>3.3</v>
      </c>
      <c r="CD51" s="96">
        <v>3.88</v>
      </c>
      <c r="CE51" s="96">
        <v>4.0199999999999996</v>
      </c>
      <c r="CF51" s="96">
        <v>3.35</v>
      </c>
      <c r="CG51" s="96">
        <v>4.6900000000000004</v>
      </c>
      <c r="CH51" s="96">
        <v>4.3600000000000003</v>
      </c>
      <c r="CI51" s="96">
        <v>3.77</v>
      </c>
      <c r="CJ51" s="96">
        <v>4.26</v>
      </c>
      <c r="CK51" s="96">
        <v>2.74</v>
      </c>
      <c r="CL51" s="96">
        <v>3.32</v>
      </c>
      <c r="CM51" s="96">
        <v>3.96</v>
      </c>
      <c r="CN51" s="96">
        <v>4.45</v>
      </c>
      <c r="CO51" s="96">
        <v>4.4400000000000004</v>
      </c>
      <c r="CP51" s="221">
        <f>SUM(Input_Raw[[#This Row],[P-01]:[P-56]])/1000</f>
        <v>97.847999999999999</v>
      </c>
      <c r="CQ51" s="222">
        <f>IFERROR(AVERAGEIF(Input_Raw[[#This Row],[WS_P-01]:[WS_P-56]],"&lt;&gt;",Input_Raw[[#This Row],[WS_P-01]:[WS_P-56]]),"")</f>
        <v>3.7081818181818189</v>
      </c>
      <c r="CR51" s="223">
        <f>MAX(Input_Raw[[#This Row],[WS_P-01]:[WS_P-56]])</f>
        <v>4.6900000000000004</v>
      </c>
      <c r="CS51" s="223"/>
      <c r="CT51" s="224">
        <f>SUM(Input_Raw[[#This Row],[P-08]:[P-13]],Input_Raw[[#This Row],[P-25]:[P-28]])</f>
        <v>17118</v>
      </c>
      <c r="CU51" s="224"/>
      <c r="CV51" s="224">
        <f>SUM(Input_Raw[[#This Row],[P-04]],Input_Raw[[#This Row],[P-14]:[P-17]],Input_Raw[[#This Row],[P-19]:[P-20]],Input_Raw[[#This Row],[P-22]:[P-23]],Input_Raw[[#This Row],[P-34]],Input_Raw[[#This Row],[P-38]],Input_Raw[[#This Row],[P-43]])</f>
        <v>22900</v>
      </c>
      <c r="CW51" s="224"/>
      <c r="CX51" s="224">
        <f>SUM(Input_Raw[[#This Row],[P-05]:[P-06]],Input_Raw[[#This Row],[P-40]:[P-42]],Input_Raw[[#This Row],[P-45]],Input_Raw[[#This Row],[P-46]],Input_Raw[[#This Row],[P-47]:[P-48]])</f>
        <v>20136</v>
      </c>
      <c r="CY51" s="224"/>
      <c r="CZ51" s="224">
        <f>SUM(Input_Raw[[#This Row],[P-01]:[P-03]],Input_Raw[[#This Row],[P-07]],Input_Raw[[#This Row],[P-18]],Input_Raw[[#This Row],[P-31]:[P-32]],Input_Raw[[#This Row],[P-37]],Input_Raw[[#This Row],[P-50]:[P-56]])</f>
        <v>37694</v>
      </c>
      <c r="DA51" s="225"/>
      <c r="DB51" s="226">
        <f>Input_Raw[[#This Row],[33 kV_Wind_F1_Export reading]]/1000</f>
        <v>17.117999999999999</v>
      </c>
      <c r="DC51" s="226"/>
      <c r="DD51" s="226">
        <f>Input_Raw[[#This Row],[33 kV_Wind_F2_Export_reading]]/1000</f>
        <v>22.9</v>
      </c>
      <c r="DE51" s="226"/>
      <c r="DF51" s="226">
        <f>Input_Raw[[#This Row],[33 kV_Wind_F3_Export_Reading]]/1000</f>
        <v>20.135999999999999</v>
      </c>
      <c r="DG51" s="226"/>
      <c r="DH51" s="226">
        <f>Input_Raw[[#This Row],[33 kV_Wind_F4_Export Reading]]/1000</f>
        <v>37.694000000000003</v>
      </c>
      <c r="DI51" s="226"/>
      <c r="DJ51" s="226">
        <f>Input_Raw[[#This Row],[33 kV_F1_Total_Export (MWh)]]+Input_Raw[[#This Row],[33 kV_F2_Total_Export (MWh)2]]+Input_Raw[[#This Row],[33 kV_Wind_F3_Export (MWh)]]+Input_Raw[[#This Row],[33 kV_Wind_F4_Export (MWh)]]</f>
        <v>97.847999999999999</v>
      </c>
      <c r="DK51" s="226">
        <f>Input_Raw[[#This Row],[33 kV_Wind_F1_Import (MWh)]]+Input_Raw[[#This Row],[33 kV_Wind_F2_Import (MWh)]]+Input_Raw[[#This Row],[33 kV_Wind_F3_Import (MWh)2]]+Input_Raw[[#This Row],[33 kV_Wind_F4_Import (MWh)2]]</f>
        <v>0</v>
      </c>
      <c r="DL51" s="227">
        <f>IFERROR(Input_Raw[[#This Row],[33 kV_Wind_Total_Export (MWh)]]/Input_Raw[[#This Row],[WTG Total Gneration (MWh)]]-1,"")</f>
        <v>0</v>
      </c>
      <c r="DM51" s="228"/>
      <c r="DN51" s="186">
        <v>96</v>
      </c>
      <c r="DO51" s="186">
        <v>0</v>
      </c>
      <c r="DP51" s="102">
        <v>104.47</v>
      </c>
      <c r="DQ51" s="228"/>
      <c r="DR51" s="181">
        <v>70.400000000000006</v>
      </c>
    </row>
    <row r="52" spans="1:122">
      <c r="A52" s="92">
        <f t="shared" si="74"/>
        <v>45792</v>
      </c>
      <c r="B52" s="190">
        <f>YEAR(Input_Raw[[#This Row],[Date]])+IF(MONTH(Input_Raw[[#This Row],[Date]])&gt;=4,1,0)</f>
        <v>2026</v>
      </c>
      <c r="C52" s="190">
        <f>YEAR(Input_Raw[[#This Row],[Date]])</f>
        <v>2025</v>
      </c>
      <c r="D52" s="11">
        <f t="shared" ref="D52" si="106">A52-DAY(A52)+1</f>
        <v>45778</v>
      </c>
      <c r="E52" s="190">
        <f>DAY(EOMONTH(Input_Raw[[#This Row],[Date]],0))</f>
        <v>31</v>
      </c>
      <c r="F52" s="211">
        <v>3496</v>
      </c>
      <c r="G52" s="211">
        <v>3012</v>
      </c>
      <c r="H52" s="211">
        <v>2848</v>
      </c>
      <c r="I52" s="211">
        <v>1124</v>
      </c>
      <c r="J52" s="211">
        <v>1732</v>
      </c>
      <c r="K52" s="211">
        <v>2348</v>
      </c>
      <c r="L52" s="211">
        <v>2580</v>
      </c>
      <c r="M52" s="211">
        <v>1212</v>
      </c>
      <c r="N52" s="211">
        <v>680</v>
      </c>
      <c r="O52" s="211">
        <v>754</v>
      </c>
      <c r="P52" s="211">
        <v>910</v>
      </c>
      <c r="Q52" s="211">
        <v>1074</v>
      </c>
      <c r="R52" s="211">
        <v>1058</v>
      </c>
      <c r="S52" s="211">
        <v>1086</v>
      </c>
      <c r="T52" s="211">
        <v>932</v>
      </c>
      <c r="U52" s="211">
        <v>1198</v>
      </c>
      <c r="V52" s="211">
        <v>1516</v>
      </c>
      <c r="W52" s="211">
        <v>3500</v>
      </c>
      <c r="X52" s="211">
        <v>1588</v>
      </c>
      <c r="Y52" s="211">
        <v>1499</v>
      </c>
      <c r="Z52" s="211">
        <v>3488</v>
      </c>
      <c r="AA52" s="211">
        <v>3676</v>
      </c>
      <c r="AB52" s="211">
        <v>2028</v>
      </c>
      <c r="AC52" s="211">
        <v>2132</v>
      </c>
      <c r="AD52" s="211">
        <v>2320</v>
      </c>
      <c r="AE52" s="211">
        <v>1868</v>
      </c>
      <c r="AF52" s="211">
        <v>2526</v>
      </c>
      <c r="AG52" s="211">
        <v>1338</v>
      </c>
      <c r="AH52" s="211">
        <v>3696</v>
      </c>
      <c r="AI52" s="211">
        <v>2508</v>
      </c>
      <c r="AJ52" s="211">
        <v>1812</v>
      </c>
      <c r="AK52" s="211">
        <v>1216</v>
      </c>
      <c r="AL52" s="211">
        <v>2496</v>
      </c>
      <c r="AM52" s="211">
        <v>3928</v>
      </c>
      <c r="AN52" s="211">
        <v>2352</v>
      </c>
      <c r="AO52" s="211">
        <v>3500</v>
      </c>
      <c r="AP52" s="211">
        <v>3112</v>
      </c>
      <c r="AQ52" s="211">
        <v>3064</v>
      </c>
      <c r="AR52" s="211">
        <v>3572</v>
      </c>
      <c r="AS52" s="211">
        <v>1104</v>
      </c>
      <c r="AT52" s="211">
        <v>1826</v>
      </c>
      <c r="AU52" s="211">
        <v>2620</v>
      </c>
      <c r="AV52" s="211">
        <v>3908</v>
      </c>
      <c r="AW52" s="211">
        <v>3816</v>
      </c>
      <c r="AX52" s="96">
        <v>4.51</v>
      </c>
      <c r="AY52" s="96">
        <v>4.67</v>
      </c>
      <c r="AZ52" s="96">
        <v>4.45</v>
      </c>
      <c r="BA52" s="96">
        <v>3.83</v>
      </c>
      <c r="BB52" s="96">
        <v>4.1900000000000004</v>
      </c>
      <c r="BC52" s="96">
        <v>4.5999999999999996</v>
      </c>
      <c r="BD52" s="96">
        <v>4.37</v>
      </c>
      <c r="BE52" s="96">
        <v>3.24</v>
      </c>
      <c r="BF52" s="96">
        <v>2.95</v>
      </c>
      <c r="BG52" s="96">
        <v>3.22</v>
      </c>
      <c r="BH52" s="96">
        <v>3.04</v>
      </c>
      <c r="BI52" s="96">
        <v>3.23</v>
      </c>
      <c r="BJ52" s="96">
        <v>2.99</v>
      </c>
      <c r="BK52" s="96">
        <v>3.04</v>
      </c>
      <c r="BL52" s="96">
        <v>3.12</v>
      </c>
      <c r="BM52" s="96">
        <v>3.16</v>
      </c>
      <c r="BN52" s="96">
        <v>3.51</v>
      </c>
      <c r="BO52" s="96">
        <v>5.0999999999999996</v>
      </c>
      <c r="BP52" s="96">
        <v>3.35</v>
      </c>
      <c r="BQ52" s="96">
        <v>3.24</v>
      </c>
      <c r="BR52" s="96">
        <v>4.3899999999999997</v>
      </c>
      <c r="BS52" s="96">
        <v>4.33</v>
      </c>
      <c r="BT52" s="96">
        <v>3.5</v>
      </c>
      <c r="BU52" s="96">
        <v>4.08</v>
      </c>
      <c r="BV52" s="96">
        <v>3.94</v>
      </c>
      <c r="BW52" s="96">
        <v>3.72</v>
      </c>
      <c r="BX52" s="96">
        <v>4.1100000000000003</v>
      </c>
      <c r="BY52" s="96">
        <v>3.64</v>
      </c>
      <c r="BZ52" s="96">
        <v>4.3600000000000003</v>
      </c>
      <c r="CA52" s="96">
        <v>4.58</v>
      </c>
      <c r="CB52" s="96">
        <v>3.19</v>
      </c>
      <c r="CC52" s="96">
        <v>3.6</v>
      </c>
      <c r="CD52" s="96">
        <v>4.8600000000000003</v>
      </c>
      <c r="CE52" s="96">
        <v>4.93</v>
      </c>
      <c r="CF52" s="96">
        <v>3.65</v>
      </c>
      <c r="CG52" s="96">
        <v>5.3</v>
      </c>
      <c r="CH52" s="96">
        <v>5.19</v>
      </c>
      <c r="CI52" s="96">
        <v>4.43</v>
      </c>
      <c r="CJ52" s="96">
        <v>5.07</v>
      </c>
      <c r="CK52" s="96">
        <v>3.18</v>
      </c>
      <c r="CL52" s="96">
        <v>3.99</v>
      </c>
      <c r="CM52" s="96">
        <v>4.43</v>
      </c>
      <c r="CN52" s="96">
        <v>5.26</v>
      </c>
      <c r="CO52" s="96">
        <v>5.43</v>
      </c>
      <c r="CP52" s="221">
        <f>SUM(Input_Raw[[#This Row],[P-01]:[P-56]])/1000</f>
        <v>98.052999999999997</v>
      </c>
      <c r="CQ52" s="222">
        <f>IFERROR(AVERAGEIF(Input_Raw[[#This Row],[WS_P-01]:[WS_P-56]],"&lt;&gt;",Input_Raw[[#This Row],[WS_P-01]:[WS_P-56]]),"")</f>
        <v>4.0220454545454549</v>
      </c>
      <c r="CR52" s="223">
        <f>MAX(Input_Raw[[#This Row],[WS_P-01]:[WS_P-56]])</f>
        <v>5.43</v>
      </c>
      <c r="CS52" s="223"/>
      <c r="CT52" s="224">
        <f>SUM(Input_Raw[[#This Row],[P-08]:[P-13]],Input_Raw[[#This Row],[P-25]:[P-28]])</f>
        <v>14036</v>
      </c>
      <c r="CU52" s="224"/>
      <c r="CV52" s="224">
        <f>SUM(Input_Raw[[#This Row],[P-04]],Input_Raw[[#This Row],[P-14]:[P-17]],Input_Raw[[#This Row],[P-19]:[P-20]],Input_Raw[[#This Row],[P-22]:[P-23]],Input_Raw[[#This Row],[P-34]],Input_Raw[[#This Row],[P-38]],Input_Raw[[#This Row],[P-43]])</f>
        <v>23967</v>
      </c>
      <c r="CW52" s="224"/>
      <c r="CX52" s="224">
        <f>SUM(Input_Raw[[#This Row],[P-05]:[P-06]],Input_Raw[[#This Row],[P-40]:[P-42]],Input_Raw[[#This Row],[P-45]],Input_Raw[[#This Row],[P-46]],Input_Raw[[#This Row],[P-47]:[P-48]])</f>
        <v>24968</v>
      </c>
      <c r="CY52" s="224"/>
      <c r="CZ52" s="224">
        <f>SUM(Input_Raw[[#This Row],[P-01]:[P-03]],Input_Raw[[#This Row],[P-07]],Input_Raw[[#This Row],[P-18]],Input_Raw[[#This Row],[P-31]:[P-32]],Input_Raw[[#This Row],[P-37]],Input_Raw[[#This Row],[P-50]:[P-56]])</f>
        <v>35082</v>
      </c>
      <c r="DA52" s="225"/>
      <c r="DB52" s="226">
        <f>Input_Raw[[#This Row],[33 kV_Wind_F1_Export reading]]/1000</f>
        <v>14.036</v>
      </c>
      <c r="DC52" s="226"/>
      <c r="DD52" s="226">
        <f>Input_Raw[[#This Row],[33 kV_Wind_F2_Export_reading]]/1000</f>
        <v>23.966999999999999</v>
      </c>
      <c r="DE52" s="226"/>
      <c r="DF52" s="226">
        <f>Input_Raw[[#This Row],[33 kV_Wind_F3_Export_Reading]]/1000</f>
        <v>24.968</v>
      </c>
      <c r="DG52" s="226"/>
      <c r="DH52" s="226">
        <f>Input_Raw[[#This Row],[33 kV_Wind_F4_Export Reading]]/1000</f>
        <v>35.082000000000001</v>
      </c>
      <c r="DI52" s="226"/>
      <c r="DJ52" s="226">
        <f>Input_Raw[[#This Row],[33 kV_F1_Total_Export (MWh)]]+Input_Raw[[#This Row],[33 kV_F2_Total_Export (MWh)2]]+Input_Raw[[#This Row],[33 kV_Wind_F3_Export (MWh)]]+Input_Raw[[#This Row],[33 kV_Wind_F4_Export (MWh)]]</f>
        <v>98.052999999999997</v>
      </c>
      <c r="DK52" s="226">
        <f>Input_Raw[[#This Row],[33 kV_Wind_F1_Import (MWh)]]+Input_Raw[[#This Row],[33 kV_Wind_F2_Import (MWh)]]+Input_Raw[[#This Row],[33 kV_Wind_F3_Import (MWh)2]]+Input_Raw[[#This Row],[33 kV_Wind_F4_Import (MWh)2]]</f>
        <v>0</v>
      </c>
      <c r="DL52" s="227">
        <f>IFERROR(Input_Raw[[#This Row],[33 kV_Wind_Total_Export (MWh)]]/Input_Raw[[#This Row],[WTG Total Gneration (MWh)]]-1,"")</f>
        <v>0</v>
      </c>
      <c r="DM52" s="228"/>
      <c r="DN52" s="186">
        <v>71</v>
      </c>
      <c r="DO52" s="186">
        <v>2</v>
      </c>
      <c r="DP52" s="102">
        <v>98.72</v>
      </c>
      <c r="DQ52" s="228"/>
      <c r="DR52" s="181">
        <v>70.400000000000006</v>
      </c>
    </row>
    <row r="53" spans="1:122">
      <c r="A53" s="92">
        <f t="shared" si="74"/>
        <v>45793</v>
      </c>
      <c r="B53" s="190">
        <f>YEAR(Input_Raw[[#This Row],[Date]])+IF(MONTH(Input_Raw[[#This Row],[Date]])&gt;=4,1,0)</f>
        <v>2026</v>
      </c>
      <c r="C53" s="190">
        <f>YEAR(Input_Raw[[#This Row],[Date]])</f>
        <v>2025</v>
      </c>
      <c r="D53" s="11">
        <f t="shared" ref="D53" si="107">A53-DAY(A53)+1</f>
        <v>45778</v>
      </c>
      <c r="E53" s="190">
        <f>DAY(EOMONTH(Input_Raw[[#This Row],[Date]],0))</f>
        <v>31</v>
      </c>
      <c r="F53" s="211">
        <v>2396</v>
      </c>
      <c r="G53" s="211">
        <v>1696</v>
      </c>
      <c r="H53" s="211">
        <v>1528</v>
      </c>
      <c r="I53" s="211">
        <v>2138</v>
      </c>
      <c r="J53" s="211">
        <v>2536</v>
      </c>
      <c r="K53" s="211">
        <v>1856</v>
      </c>
      <c r="L53" s="211">
        <v>1612</v>
      </c>
      <c r="M53" s="211">
        <v>1172</v>
      </c>
      <c r="N53" s="211">
        <v>716</v>
      </c>
      <c r="O53" s="211">
        <v>974</v>
      </c>
      <c r="P53" s="211">
        <v>1332</v>
      </c>
      <c r="Q53" s="211">
        <v>1582</v>
      </c>
      <c r="R53" s="211">
        <v>1656</v>
      </c>
      <c r="S53" s="211">
        <v>1336</v>
      </c>
      <c r="T53" s="211">
        <v>1392</v>
      </c>
      <c r="U53" s="211">
        <v>1594</v>
      </c>
      <c r="V53" s="211">
        <v>1840</v>
      </c>
      <c r="W53" s="211">
        <v>1844</v>
      </c>
      <c r="X53" s="211">
        <v>1634</v>
      </c>
      <c r="Y53" s="211">
        <v>1279</v>
      </c>
      <c r="Z53" s="211">
        <v>2000</v>
      </c>
      <c r="AA53" s="211">
        <v>1872</v>
      </c>
      <c r="AB53" s="211">
        <v>1312</v>
      </c>
      <c r="AC53" s="211">
        <v>1412</v>
      </c>
      <c r="AD53" s="211">
        <v>1580</v>
      </c>
      <c r="AE53" s="211">
        <v>1472</v>
      </c>
      <c r="AF53" s="211">
        <v>1090</v>
      </c>
      <c r="AG53" s="211">
        <v>888</v>
      </c>
      <c r="AH53" s="211">
        <v>2020</v>
      </c>
      <c r="AI53" s="211">
        <v>1348</v>
      </c>
      <c r="AJ53" s="211">
        <v>1728</v>
      </c>
      <c r="AK53" s="211">
        <v>1116</v>
      </c>
      <c r="AL53" s="211">
        <v>2228</v>
      </c>
      <c r="AM53" s="211">
        <v>2540</v>
      </c>
      <c r="AN53" s="211">
        <v>1224</v>
      </c>
      <c r="AO53" s="211">
        <v>2404</v>
      </c>
      <c r="AP53" s="211">
        <v>2436</v>
      </c>
      <c r="AQ53" s="211">
        <v>2160</v>
      </c>
      <c r="AR53" s="211">
        <v>2588</v>
      </c>
      <c r="AS53" s="211">
        <v>1184</v>
      </c>
      <c r="AT53" s="211">
        <v>1522</v>
      </c>
      <c r="AU53" s="211">
        <v>1548</v>
      </c>
      <c r="AV53" s="211">
        <v>2596</v>
      </c>
      <c r="AW53" s="211">
        <v>2116</v>
      </c>
      <c r="AX53" s="96">
        <v>3.58</v>
      </c>
      <c r="AY53" s="96">
        <v>3.64</v>
      </c>
      <c r="AZ53" s="96">
        <v>3.35</v>
      </c>
      <c r="BA53" s="96">
        <v>3.76</v>
      </c>
      <c r="BB53" s="96">
        <v>3.94</v>
      </c>
      <c r="BC53" s="96">
        <v>3.81</v>
      </c>
      <c r="BD53" s="96">
        <v>3.53</v>
      </c>
      <c r="BE53" s="96">
        <v>3.11</v>
      </c>
      <c r="BF53" s="96">
        <v>2.93</v>
      </c>
      <c r="BG53" s="96">
        <v>3.3</v>
      </c>
      <c r="BH53" s="96">
        <v>3.44</v>
      </c>
      <c r="BI53" s="96">
        <v>3.6</v>
      </c>
      <c r="BJ53" s="96">
        <v>3.5</v>
      </c>
      <c r="BK53" s="96">
        <v>3.49</v>
      </c>
      <c r="BL53" s="96">
        <v>3.61</v>
      </c>
      <c r="BM53" s="96">
        <v>3.74</v>
      </c>
      <c r="BN53" s="96">
        <v>3.86</v>
      </c>
      <c r="BO53" s="96">
        <v>3.55</v>
      </c>
      <c r="BP53" s="96">
        <v>3.56</v>
      </c>
      <c r="BQ53" s="96">
        <v>3.43</v>
      </c>
      <c r="BR53" s="96">
        <v>3.84</v>
      </c>
      <c r="BS53" s="96">
        <v>3.68</v>
      </c>
      <c r="BT53" s="96">
        <v>3.1</v>
      </c>
      <c r="BU53" s="96">
        <v>3.86</v>
      </c>
      <c r="BV53" s="96">
        <v>3.56</v>
      </c>
      <c r="BW53" s="96">
        <v>3.5</v>
      </c>
      <c r="BX53" s="96">
        <v>2.77</v>
      </c>
      <c r="BY53" s="96">
        <v>2.85</v>
      </c>
      <c r="BZ53" s="96">
        <v>3.91</v>
      </c>
      <c r="CA53" s="96">
        <v>3.23</v>
      </c>
      <c r="CB53" s="96">
        <v>3.4</v>
      </c>
      <c r="CC53" s="96">
        <v>3.2</v>
      </c>
      <c r="CD53" s="96">
        <v>4.28</v>
      </c>
      <c r="CE53" s="96">
        <v>3.8</v>
      </c>
      <c r="CF53" s="96">
        <v>3.15</v>
      </c>
      <c r="CG53" s="96">
        <v>3.92</v>
      </c>
      <c r="CH53" s="96">
        <v>4.08</v>
      </c>
      <c r="CI53" s="96">
        <v>3.56</v>
      </c>
      <c r="CJ53" s="96">
        <v>4.04</v>
      </c>
      <c r="CK53" s="96">
        <v>3.1</v>
      </c>
      <c r="CL53" s="96">
        <v>3.31</v>
      </c>
      <c r="CM53" s="96">
        <v>3.54</v>
      </c>
      <c r="CN53" s="96">
        <v>3.85</v>
      </c>
      <c r="CO53" s="96">
        <v>3.87</v>
      </c>
      <c r="CP53" s="221">
        <f>SUM(Input_Raw[[#This Row],[P-01]:[P-56]])/1000</f>
        <v>74.497</v>
      </c>
      <c r="CQ53" s="222">
        <f>IFERROR(AVERAGEIF(Input_Raw[[#This Row],[WS_P-01]:[WS_P-56]],"&lt;&gt;",Input_Raw[[#This Row],[WS_P-01]:[WS_P-56]]),"")</f>
        <v>3.5484090909090908</v>
      </c>
      <c r="CR53" s="223">
        <f>MAX(Input_Raw[[#This Row],[WS_P-01]:[WS_P-56]])</f>
        <v>4.28</v>
      </c>
      <c r="CS53" s="223"/>
      <c r="CT53" s="224">
        <f>SUM(Input_Raw[[#This Row],[P-08]:[P-13]],Input_Raw[[#This Row],[P-25]:[P-28]])</f>
        <v>13208</v>
      </c>
      <c r="CU53" s="224"/>
      <c r="CV53" s="224">
        <f>SUM(Input_Raw[[#This Row],[P-04]],Input_Raw[[#This Row],[P-14]:[P-17]],Input_Raw[[#This Row],[P-19]:[P-20]],Input_Raw[[#This Row],[P-22]:[P-23]],Input_Raw[[#This Row],[P-34]],Input_Raw[[#This Row],[P-38]],Input_Raw[[#This Row],[P-43]])</f>
        <v>20057</v>
      </c>
      <c r="CW53" s="224"/>
      <c r="CX53" s="224">
        <f>SUM(Input_Raw[[#This Row],[P-05]:[P-06]],Input_Raw[[#This Row],[P-40]:[P-42]],Input_Raw[[#This Row],[P-45]],Input_Raw[[#This Row],[P-46]],Input_Raw[[#This Row],[P-47]:[P-48]])</f>
        <v>19864</v>
      </c>
      <c r="CY53" s="224"/>
      <c r="CZ53" s="224">
        <f>SUM(Input_Raw[[#This Row],[P-01]:[P-03]],Input_Raw[[#This Row],[P-07]],Input_Raw[[#This Row],[P-18]],Input_Raw[[#This Row],[P-31]:[P-32]],Input_Raw[[#This Row],[P-37]],Input_Raw[[#This Row],[P-50]:[P-56]])</f>
        <v>21368</v>
      </c>
      <c r="DA53" s="225"/>
      <c r="DB53" s="226">
        <f>Input_Raw[[#This Row],[33 kV_Wind_F1_Export reading]]/1000</f>
        <v>13.208</v>
      </c>
      <c r="DC53" s="226"/>
      <c r="DD53" s="226">
        <f>Input_Raw[[#This Row],[33 kV_Wind_F2_Export_reading]]/1000</f>
        <v>20.056999999999999</v>
      </c>
      <c r="DE53" s="226"/>
      <c r="DF53" s="226">
        <f>Input_Raw[[#This Row],[33 kV_Wind_F3_Export_Reading]]/1000</f>
        <v>19.864000000000001</v>
      </c>
      <c r="DG53" s="226"/>
      <c r="DH53" s="226">
        <f>Input_Raw[[#This Row],[33 kV_Wind_F4_Export Reading]]/1000</f>
        <v>21.367999999999999</v>
      </c>
      <c r="DI53" s="226"/>
      <c r="DJ53" s="226">
        <f>Input_Raw[[#This Row],[33 kV_F1_Total_Export (MWh)]]+Input_Raw[[#This Row],[33 kV_F2_Total_Export (MWh)2]]+Input_Raw[[#This Row],[33 kV_Wind_F3_Export (MWh)]]+Input_Raw[[#This Row],[33 kV_Wind_F4_Export (MWh)]]</f>
        <v>74.497</v>
      </c>
      <c r="DK53" s="226">
        <f>Input_Raw[[#This Row],[33 kV_Wind_F1_Import (MWh)]]+Input_Raw[[#This Row],[33 kV_Wind_F2_Import (MWh)]]+Input_Raw[[#This Row],[33 kV_Wind_F3_Import (MWh)2]]+Input_Raw[[#This Row],[33 kV_Wind_F4_Import (MWh)2]]</f>
        <v>0</v>
      </c>
      <c r="DL53" s="227">
        <f>IFERROR(Input_Raw[[#This Row],[33 kV_Wind_Total_Export (MWh)]]/Input_Raw[[#This Row],[WTG Total Gneration (MWh)]]-1,"")</f>
        <v>0</v>
      </c>
      <c r="DM53" s="228"/>
      <c r="DN53" s="186">
        <v>44</v>
      </c>
      <c r="DO53" s="186">
        <v>0</v>
      </c>
      <c r="DP53" s="102">
        <v>74.53</v>
      </c>
      <c r="DQ53" s="228"/>
      <c r="DR53" s="181">
        <v>70.400000000000006</v>
      </c>
    </row>
    <row r="54" spans="1:122">
      <c r="A54" s="92">
        <f t="shared" si="74"/>
        <v>45794</v>
      </c>
      <c r="B54" s="190">
        <f>YEAR(Input_Raw[[#This Row],[Date]])+IF(MONTH(Input_Raw[[#This Row],[Date]])&gt;=4,1,0)</f>
        <v>2026</v>
      </c>
      <c r="C54" s="190">
        <f>YEAR(Input_Raw[[#This Row],[Date]])</f>
        <v>2025</v>
      </c>
      <c r="D54" s="11">
        <f t="shared" ref="D54" si="108">A54-DAY(A54)+1</f>
        <v>45778</v>
      </c>
      <c r="E54" s="190">
        <f>DAY(EOMONTH(Input_Raw[[#This Row],[Date]],0))</f>
        <v>31</v>
      </c>
      <c r="F54" s="211">
        <v>6200</v>
      </c>
      <c r="G54" s="211">
        <v>4356</v>
      </c>
      <c r="H54" s="211">
        <v>3944</v>
      </c>
      <c r="I54" s="211">
        <v>4634</v>
      </c>
      <c r="J54" s="211">
        <v>5800</v>
      </c>
      <c r="K54" s="211">
        <v>4880</v>
      </c>
      <c r="L54" s="211">
        <v>4512</v>
      </c>
      <c r="M54" s="211">
        <v>2636</v>
      </c>
      <c r="N54" s="211">
        <v>1916</v>
      </c>
      <c r="O54" s="211">
        <v>2364</v>
      </c>
      <c r="P54" s="211">
        <v>2470</v>
      </c>
      <c r="Q54" s="211">
        <v>2664</v>
      </c>
      <c r="R54" s="211">
        <v>2298</v>
      </c>
      <c r="S54" s="211">
        <v>2564</v>
      </c>
      <c r="T54" s="211">
        <v>1618</v>
      </c>
      <c r="U54" s="211">
        <v>2870</v>
      </c>
      <c r="V54" s="211">
        <v>3096</v>
      </c>
      <c r="W54" s="211">
        <v>5188</v>
      </c>
      <c r="X54" s="211">
        <v>3296</v>
      </c>
      <c r="Y54" s="211">
        <v>2663</v>
      </c>
      <c r="Z54" s="211">
        <v>4400</v>
      </c>
      <c r="AA54" s="211">
        <v>4152</v>
      </c>
      <c r="AB54" s="211">
        <v>3576</v>
      </c>
      <c r="AC54" s="211">
        <v>3580</v>
      </c>
      <c r="AD54" s="211">
        <v>3856</v>
      </c>
      <c r="AE54" s="211">
        <v>3200</v>
      </c>
      <c r="AF54" s="211">
        <v>4002</v>
      </c>
      <c r="AG54" s="211">
        <v>2168</v>
      </c>
      <c r="AH54" s="211">
        <v>4416</v>
      </c>
      <c r="AI54" s="211">
        <v>3526</v>
      </c>
      <c r="AJ54" s="211">
        <v>3656</v>
      </c>
      <c r="AK54" s="211">
        <v>3488</v>
      </c>
      <c r="AL54" s="211">
        <v>5680</v>
      </c>
      <c r="AM54" s="211">
        <v>6552</v>
      </c>
      <c r="AN54" s="211">
        <v>2790</v>
      </c>
      <c r="AO54" s="211">
        <v>6528</v>
      </c>
      <c r="AP54" s="211">
        <v>6436</v>
      </c>
      <c r="AQ54" s="211">
        <v>5672</v>
      </c>
      <c r="AR54" s="211">
        <v>6332</v>
      </c>
      <c r="AS54" s="211">
        <v>2316</v>
      </c>
      <c r="AT54" s="211">
        <v>3208</v>
      </c>
      <c r="AU54" s="211">
        <v>3712</v>
      </c>
      <c r="AV54" s="211">
        <v>6596</v>
      </c>
      <c r="AW54" s="211">
        <v>5796</v>
      </c>
      <c r="AX54" s="96">
        <v>5.2</v>
      </c>
      <c r="AY54" s="96">
        <v>4.71</v>
      </c>
      <c r="AZ54" s="96">
        <v>4.57</v>
      </c>
      <c r="BA54" s="96">
        <v>5.15</v>
      </c>
      <c r="BB54" s="96">
        <v>5.31</v>
      </c>
      <c r="BC54" s="96">
        <v>5.35</v>
      </c>
      <c r="BD54" s="96">
        <v>5</v>
      </c>
      <c r="BE54" s="96">
        <v>4.38</v>
      </c>
      <c r="BF54" s="96">
        <v>4.28</v>
      </c>
      <c r="BG54" s="96">
        <v>4.7300000000000004</v>
      </c>
      <c r="BH54" s="96">
        <v>4.3099999999999996</v>
      </c>
      <c r="BI54" s="96">
        <v>4.4000000000000004</v>
      </c>
      <c r="BJ54" s="96">
        <v>4.28</v>
      </c>
      <c r="BK54" s="96">
        <v>4.46</v>
      </c>
      <c r="BL54" s="96">
        <v>4.37</v>
      </c>
      <c r="BM54" s="96">
        <v>4.6500000000000004</v>
      </c>
      <c r="BN54" s="96">
        <v>4.5999999999999996</v>
      </c>
      <c r="BO54" s="96">
        <v>5.17</v>
      </c>
      <c r="BP54" s="96">
        <v>4.5599999999999996</v>
      </c>
      <c r="BQ54" s="96">
        <v>4.2</v>
      </c>
      <c r="BR54" s="96">
        <v>5.21</v>
      </c>
      <c r="BS54" s="96">
        <v>4.9000000000000004</v>
      </c>
      <c r="BT54" s="96">
        <v>4.53</v>
      </c>
      <c r="BU54" s="96">
        <v>4.93</v>
      </c>
      <c r="BV54" s="96">
        <v>4.97</v>
      </c>
      <c r="BW54" s="96">
        <v>4.75</v>
      </c>
      <c r="BX54" s="96">
        <v>4.38</v>
      </c>
      <c r="BY54" s="96">
        <v>4</v>
      </c>
      <c r="BZ54" s="96">
        <v>5.22</v>
      </c>
      <c r="CA54" s="96">
        <v>4.7300000000000004</v>
      </c>
      <c r="CB54" s="96">
        <v>4.51</v>
      </c>
      <c r="CC54" s="96">
        <v>4.83</v>
      </c>
      <c r="CD54" s="96">
        <v>5.69</v>
      </c>
      <c r="CE54" s="96">
        <v>5.44</v>
      </c>
      <c r="CF54" s="96">
        <v>4.1100000000000003</v>
      </c>
      <c r="CG54" s="96">
        <v>6.14</v>
      </c>
      <c r="CH54" s="96">
        <v>5.92</v>
      </c>
      <c r="CI54" s="96">
        <v>5.16</v>
      </c>
      <c r="CJ54" s="96">
        <v>5.67</v>
      </c>
      <c r="CK54" s="96">
        <v>3.82</v>
      </c>
      <c r="CL54" s="96">
        <v>4.33</v>
      </c>
      <c r="CM54" s="96">
        <v>4.74</v>
      </c>
      <c r="CN54" s="96">
        <v>5.77</v>
      </c>
      <c r="CO54" s="96">
        <v>5.61</v>
      </c>
      <c r="CP54" s="221">
        <f>SUM(Input_Raw[[#This Row],[P-01]:[P-56]])/1000</f>
        <v>175.607</v>
      </c>
      <c r="CQ54" s="222">
        <f>IFERROR(AVERAGEIF(Input_Raw[[#This Row],[WS_P-01]:[WS_P-56]],"&lt;&gt;",Input_Raw[[#This Row],[WS_P-01]:[WS_P-56]]),"")</f>
        <v>4.8418181818181827</v>
      </c>
      <c r="CR54" s="223">
        <f>MAX(Input_Raw[[#This Row],[WS_P-01]:[WS_P-56]])</f>
        <v>6.14</v>
      </c>
      <c r="CS54" s="223"/>
      <c r="CT54" s="224">
        <f>SUM(Input_Raw[[#This Row],[P-08]:[P-13]],Input_Raw[[#This Row],[P-25]:[P-28]])</f>
        <v>28560</v>
      </c>
      <c r="CU54" s="224"/>
      <c r="CV54" s="224">
        <f>SUM(Input_Raw[[#This Row],[P-04]],Input_Raw[[#This Row],[P-14]:[P-17]],Input_Raw[[#This Row],[P-19]:[P-20]],Input_Raw[[#This Row],[P-22]:[P-23]],Input_Raw[[#This Row],[P-34]],Input_Raw[[#This Row],[P-38]],Input_Raw[[#This Row],[P-43]])</f>
        <v>40155</v>
      </c>
      <c r="CW54" s="224"/>
      <c r="CX54" s="224">
        <f>SUM(Input_Raw[[#This Row],[P-05]:[P-06]],Input_Raw[[#This Row],[P-40]:[P-42]],Input_Raw[[#This Row],[P-45]],Input_Raw[[#This Row],[P-46]],Input_Raw[[#This Row],[P-47]:[P-48]])</f>
        <v>51368</v>
      </c>
      <c r="CY54" s="224"/>
      <c r="CZ54" s="224">
        <f>SUM(Input_Raw[[#This Row],[P-01]:[P-03]],Input_Raw[[#This Row],[P-07]],Input_Raw[[#This Row],[P-18]],Input_Raw[[#This Row],[P-31]:[P-32]],Input_Raw[[#This Row],[P-37]],Input_Raw[[#This Row],[P-50]:[P-56]])</f>
        <v>55524</v>
      </c>
      <c r="DA54" s="225"/>
      <c r="DB54" s="226">
        <f>Input_Raw[[#This Row],[33 kV_Wind_F1_Export reading]]/1000</f>
        <v>28.56</v>
      </c>
      <c r="DC54" s="226"/>
      <c r="DD54" s="226">
        <f>Input_Raw[[#This Row],[33 kV_Wind_F2_Export_reading]]/1000</f>
        <v>40.155000000000001</v>
      </c>
      <c r="DE54" s="226"/>
      <c r="DF54" s="226">
        <f>Input_Raw[[#This Row],[33 kV_Wind_F3_Export_Reading]]/1000</f>
        <v>51.368000000000002</v>
      </c>
      <c r="DG54" s="226"/>
      <c r="DH54" s="226">
        <f>Input_Raw[[#This Row],[33 kV_Wind_F4_Export Reading]]/1000</f>
        <v>55.524000000000001</v>
      </c>
      <c r="DI54" s="226"/>
      <c r="DJ54" s="226">
        <f>Input_Raw[[#This Row],[33 kV_F1_Total_Export (MWh)]]+Input_Raw[[#This Row],[33 kV_F2_Total_Export (MWh)2]]+Input_Raw[[#This Row],[33 kV_Wind_F3_Export (MWh)]]+Input_Raw[[#This Row],[33 kV_Wind_F4_Export (MWh)]]</f>
        <v>175.607</v>
      </c>
      <c r="DK54" s="226">
        <f>Input_Raw[[#This Row],[33 kV_Wind_F1_Import (MWh)]]+Input_Raw[[#This Row],[33 kV_Wind_F2_Import (MWh)]]+Input_Raw[[#This Row],[33 kV_Wind_F3_Import (MWh)2]]+Input_Raw[[#This Row],[33 kV_Wind_F4_Import (MWh)2]]</f>
        <v>0</v>
      </c>
      <c r="DL54" s="227">
        <f>IFERROR(Input_Raw[[#This Row],[33 kV_Wind_Total_Export (MWh)]]/Input_Raw[[#This Row],[WTG Total Gneration (MWh)]]-1,"")</f>
        <v>0</v>
      </c>
      <c r="DM54" s="228"/>
      <c r="DN54" s="186">
        <v>95</v>
      </c>
      <c r="DO54" s="186">
        <v>0</v>
      </c>
      <c r="DP54" s="102">
        <v>167.61</v>
      </c>
      <c r="DQ54" s="228"/>
      <c r="DR54" s="181">
        <v>70.400000000000006</v>
      </c>
    </row>
    <row r="55" spans="1:122">
      <c r="A55" s="92">
        <f t="shared" si="74"/>
        <v>45795</v>
      </c>
      <c r="B55" s="190">
        <f>YEAR(Input_Raw[[#This Row],[Date]])+IF(MONTH(Input_Raw[[#This Row],[Date]])&gt;=4,1,0)</f>
        <v>2026</v>
      </c>
      <c r="C55" s="190">
        <f>YEAR(Input_Raw[[#This Row],[Date]])</f>
        <v>2025</v>
      </c>
      <c r="D55" s="11">
        <f t="shared" ref="D55" si="109">A55-DAY(A55)+1</f>
        <v>45778</v>
      </c>
      <c r="E55" s="190">
        <f>DAY(EOMONTH(Input_Raw[[#This Row],[Date]],0))</f>
        <v>31</v>
      </c>
      <c r="F55" s="211">
        <v>4628</v>
      </c>
      <c r="G55" s="211">
        <v>4100</v>
      </c>
      <c r="H55" s="211">
        <v>3848</v>
      </c>
      <c r="I55" s="211">
        <v>3528</v>
      </c>
      <c r="J55" s="211">
        <v>4424</v>
      </c>
      <c r="K55" s="211">
        <v>4043.9999999999995</v>
      </c>
      <c r="L55" s="211">
        <v>4378</v>
      </c>
      <c r="M55" s="211">
        <v>1664</v>
      </c>
      <c r="N55" s="211">
        <v>1364</v>
      </c>
      <c r="O55" s="211">
        <v>1426</v>
      </c>
      <c r="P55" s="211">
        <v>1436</v>
      </c>
      <c r="Q55" s="211">
        <v>1504</v>
      </c>
      <c r="R55" s="211">
        <v>1530</v>
      </c>
      <c r="S55" s="211">
        <v>1630</v>
      </c>
      <c r="T55" s="211">
        <v>1608</v>
      </c>
      <c r="U55" s="211">
        <v>1746</v>
      </c>
      <c r="V55" s="211">
        <v>1932</v>
      </c>
      <c r="W55" s="211">
        <v>4764</v>
      </c>
      <c r="X55" s="211">
        <v>1880</v>
      </c>
      <c r="Y55" s="211">
        <v>1739</v>
      </c>
      <c r="Z55" s="211">
        <v>3204</v>
      </c>
      <c r="AA55" s="211">
        <v>3128</v>
      </c>
      <c r="AB55" s="211">
        <v>2504</v>
      </c>
      <c r="AC55" s="211">
        <v>2432</v>
      </c>
      <c r="AD55" s="211">
        <v>2616</v>
      </c>
      <c r="AE55" s="211">
        <v>2212</v>
      </c>
      <c r="AF55" s="211">
        <v>4434</v>
      </c>
      <c r="AG55" s="211">
        <v>3360</v>
      </c>
      <c r="AH55" s="211">
        <v>2084</v>
      </c>
      <c r="AI55" s="211">
        <v>3230</v>
      </c>
      <c r="AJ55" s="211">
        <v>2146</v>
      </c>
      <c r="AK55" s="211">
        <v>2868</v>
      </c>
      <c r="AL55" s="211">
        <v>3360</v>
      </c>
      <c r="AM55" s="211">
        <v>4252</v>
      </c>
      <c r="AN55" s="211">
        <v>3612</v>
      </c>
      <c r="AO55" s="211">
        <v>4836</v>
      </c>
      <c r="AP55" s="211">
        <v>4672</v>
      </c>
      <c r="AQ55" s="211">
        <v>4584</v>
      </c>
      <c r="AR55" s="211">
        <v>5108</v>
      </c>
      <c r="AS55" s="211">
        <v>2580</v>
      </c>
      <c r="AT55" s="211">
        <v>3268</v>
      </c>
      <c r="AU55" s="211">
        <v>2936</v>
      </c>
      <c r="AV55" s="211">
        <v>5068</v>
      </c>
      <c r="AW55" s="211">
        <v>5080</v>
      </c>
      <c r="AX55" s="95">
        <v>6.93</v>
      </c>
      <c r="AY55" s="95">
        <v>6.84</v>
      </c>
      <c r="AZ55" s="95">
        <v>5.77</v>
      </c>
      <c r="BA55" s="95">
        <v>5.95</v>
      </c>
      <c r="BB55" s="95">
        <v>6.95</v>
      </c>
      <c r="BC55" s="95">
        <v>6.85</v>
      </c>
      <c r="BD55" s="95">
        <v>6.97</v>
      </c>
      <c r="BE55" s="95">
        <v>3.96</v>
      </c>
      <c r="BF55" s="95">
        <v>3.95</v>
      </c>
      <c r="BG55" s="95">
        <v>3.9</v>
      </c>
      <c r="BH55" s="95">
        <v>3.96</v>
      </c>
      <c r="BI55" s="95">
        <v>3.93</v>
      </c>
      <c r="BJ55" s="95">
        <v>3.8</v>
      </c>
      <c r="BK55" s="95">
        <v>3.82</v>
      </c>
      <c r="BL55" s="95">
        <v>3.98</v>
      </c>
      <c r="BM55" s="95">
        <v>3.73</v>
      </c>
      <c r="BN55" s="95">
        <v>3.95</v>
      </c>
      <c r="BO55" s="95">
        <v>6.98</v>
      </c>
      <c r="BP55" s="95">
        <v>3.69</v>
      </c>
      <c r="BQ55" s="95">
        <v>3.86</v>
      </c>
      <c r="BR55" s="95">
        <v>5.73</v>
      </c>
      <c r="BS55" s="95">
        <v>5.9</v>
      </c>
      <c r="BT55" s="95">
        <v>4.95</v>
      </c>
      <c r="BU55" s="95">
        <v>5.98</v>
      </c>
      <c r="BV55" s="95">
        <v>5.93</v>
      </c>
      <c r="BW55" s="95">
        <v>5.95</v>
      </c>
      <c r="BX55" s="95">
        <v>6.78</v>
      </c>
      <c r="BY55" s="95">
        <v>5.82</v>
      </c>
      <c r="BZ55" s="95">
        <v>5.44</v>
      </c>
      <c r="CA55" s="95">
        <v>6.71</v>
      </c>
      <c r="CB55" s="95">
        <v>5.98</v>
      </c>
      <c r="CC55" s="95">
        <v>5.61</v>
      </c>
      <c r="CD55" s="95">
        <v>5.52</v>
      </c>
      <c r="CE55" s="95">
        <v>6.9</v>
      </c>
      <c r="CF55" s="95">
        <v>5.62</v>
      </c>
      <c r="CG55" s="95">
        <v>6.3</v>
      </c>
      <c r="CH55" s="95">
        <v>6.67</v>
      </c>
      <c r="CI55" s="95">
        <v>6.61</v>
      </c>
      <c r="CJ55" s="95">
        <v>6.67</v>
      </c>
      <c r="CK55" s="95">
        <v>4.53</v>
      </c>
      <c r="CL55" s="95">
        <v>5.98</v>
      </c>
      <c r="CM55" s="95">
        <v>4.2300000000000004</v>
      </c>
      <c r="CN55" s="95">
        <v>6.53</v>
      </c>
      <c r="CO55" s="95">
        <v>6.7</v>
      </c>
      <c r="CP55" s="221">
        <f>SUM(Input_Raw[[#This Row],[P-01]:[P-56]])/1000</f>
        <v>136.74700000000001</v>
      </c>
      <c r="CQ55" s="222">
        <f>IFERROR(AVERAGEIF(Input_Raw[[#This Row],[WS_P-01]:[WS_P-56]],"&lt;&gt;",Input_Raw[[#This Row],[WS_P-01]:[WS_P-56]]),"")</f>
        <v>5.518409090909091</v>
      </c>
      <c r="CR55" s="223">
        <f>MAX(Input_Raw[[#This Row],[WS_P-01]:[WS_P-56]])</f>
        <v>6.98</v>
      </c>
      <c r="CS55" s="223"/>
      <c r="CT55" s="224">
        <f>SUM(Input_Raw[[#This Row],[P-08]:[P-13]],Input_Raw[[#This Row],[P-25]:[P-28]])</f>
        <v>18688</v>
      </c>
      <c r="CU55" s="224"/>
      <c r="CV55" s="224">
        <f>SUM(Input_Raw[[#This Row],[P-04]],Input_Raw[[#This Row],[P-14]:[P-17]],Input_Raw[[#This Row],[P-19]:[P-20]],Input_Raw[[#This Row],[P-22]:[P-23]],Input_Raw[[#This Row],[P-34]],Input_Raw[[#This Row],[P-38]],Input_Raw[[#This Row],[P-43]])</f>
        <v>28237</v>
      </c>
      <c r="CW55" s="224"/>
      <c r="CX55" s="224">
        <f>SUM(Input_Raw[[#This Row],[P-05]:[P-06]],Input_Raw[[#This Row],[P-40]:[P-42]],Input_Raw[[#This Row],[P-45]],Input_Raw[[#This Row],[P-46]],Input_Raw[[#This Row],[P-47]:[P-48]])</f>
        <v>38148</v>
      </c>
      <c r="CY55" s="224"/>
      <c r="CZ55" s="224">
        <f>SUM(Input_Raw[[#This Row],[P-01]:[P-03]],Input_Raw[[#This Row],[P-07]],Input_Raw[[#This Row],[P-18]],Input_Raw[[#This Row],[P-31]:[P-32]],Input_Raw[[#This Row],[P-37]],Input_Raw[[#This Row],[P-50]:[P-56]])</f>
        <v>51674</v>
      </c>
      <c r="DA55" s="225"/>
      <c r="DB55" s="226">
        <f>Input_Raw[[#This Row],[33 kV_Wind_F1_Export reading]]/1000</f>
        <v>18.687999999999999</v>
      </c>
      <c r="DC55" s="226"/>
      <c r="DD55" s="226">
        <f>Input_Raw[[#This Row],[33 kV_Wind_F2_Export_reading]]/1000</f>
        <v>28.236999999999998</v>
      </c>
      <c r="DE55" s="226"/>
      <c r="DF55" s="226">
        <f>Input_Raw[[#This Row],[33 kV_Wind_F3_Export_Reading]]/1000</f>
        <v>38.148000000000003</v>
      </c>
      <c r="DG55" s="226"/>
      <c r="DH55" s="226">
        <f>Input_Raw[[#This Row],[33 kV_Wind_F4_Export Reading]]/1000</f>
        <v>51.673999999999999</v>
      </c>
      <c r="DI55" s="226"/>
      <c r="DJ55" s="226">
        <f>Input_Raw[[#This Row],[33 kV_F1_Total_Export (MWh)]]+Input_Raw[[#This Row],[33 kV_F2_Total_Export (MWh)2]]+Input_Raw[[#This Row],[33 kV_Wind_F3_Export (MWh)]]+Input_Raw[[#This Row],[33 kV_Wind_F4_Export (MWh)]]</f>
        <v>136.74700000000001</v>
      </c>
      <c r="DK55" s="226">
        <f>Input_Raw[[#This Row],[33 kV_Wind_F1_Import (MWh)]]+Input_Raw[[#This Row],[33 kV_Wind_F2_Import (MWh)]]+Input_Raw[[#This Row],[33 kV_Wind_F3_Import (MWh)2]]+Input_Raw[[#This Row],[33 kV_Wind_F4_Import (MWh)2]]</f>
        <v>0</v>
      </c>
      <c r="DL55" s="227">
        <f>IFERROR(Input_Raw[[#This Row],[33 kV_Wind_Total_Export (MWh)]]/Input_Raw[[#This Row],[WTG Total Gneration (MWh)]]-1,"")</f>
        <v>0</v>
      </c>
      <c r="DM55" s="228"/>
      <c r="DN55" s="186">
        <v>86</v>
      </c>
      <c r="DO55" s="186">
        <v>0</v>
      </c>
      <c r="DP55" s="102">
        <v>82.84</v>
      </c>
      <c r="DQ55" s="228"/>
      <c r="DR55" s="181">
        <v>70.400000000000006</v>
      </c>
    </row>
    <row r="56" spans="1:122">
      <c r="A56" s="92">
        <f t="shared" si="74"/>
        <v>45796</v>
      </c>
      <c r="B56" s="190">
        <f>YEAR(Input_Raw[[#This Row],[Date]])+IF(MONTH(Input_Raw[[#This Row],[Date]])&gt;=4,1,0)</f>
        <v>2026</v>
      </c>
      <c r="C56" s="190">
        <f>YEAR(Input_Raw[[#This Row],[Date]])</f>
        <v>2025</v>
      </c>
      <c r="D56" s="11">
        <f t="shared" ref="D56" si="110">A56-DAY(A56)+1</f>
        <v>45778</v>
      </c>
      <c r="E56" s="190">
        <f>DAY(EOMONTH(Input_Raw[[#This Row],[Date]],0))</f>
        <v>31</v>
      </c>
      <c r="F56" s="199">
        <v>3895</v>
      </c>
      <c r="G56" s="199">
        <v>3718</v>
      </c>
      <c r="H56" s="199">
        <v>3584</v>
      </c>
      <c r="I56" s="199">
        <v>3310</v>
      </c>
      <c r="J56" s="199">
        <v>3341</v>
      </c>
      <c r="K56" s="199">
        <v>3703</v>
      </c>
      <c r="L56" s="199">
        <v>2536</v>
      </c>
      <c r="M56" s="199">
        <v>2236</v>
      </c>
      <c r="N56" s="199">
        <v>2936</v>
      </c>
      <c r="O56" s="199">
        <v>2282</v>
      </c>
      <c r="P56" s="199">
        <v>2193</v>
      </c>
      <c r="Q56" s="199">
        <v>2824</v>
      </c>
      <c r="R56" s="199">
        <v>2246</v>
      </c>
      <c r="S56" s="199">
        <v>2112</v>
      </c>
      <c r="T56" s="199">
        <v>2219</v>
      </c>
      <c r="U56" s="199">
        <v>2025</v>
      </c>
      <c r="V56" s="199">
        <v>2115</v>
      </c>
      <c r="W56" s="199">
        <v>2258</v>
      </c>
      <c r="X56" s="199">
        <v>2295</v>
      </c>
      <c r="Y56" s="199">
        <v>2355</v>
      </c>
      <c r="Z56" s="199">
        <v>2118</v>
      </c>
      <c r="AA56" s="199">
        <v>2123</v>
      </c>
      <c r="AB56" s="199">
        <v>2245</v>
      </c>
      <c r="AC56" s="199">
        <v>2456</v>
      </c>
      <c r="AD56" s="199">
        <v>2856</v>
      </c>
      <c r="AE56" s="199">
        <v>2456</v>
      </c>
      <c r="AF56" s="199">
        <v>2984</v>
      </c>
      <c r="AG56" s="199">
        <v>2569</v>
      </c>
      <c r="AH56" s="199">
        <v>3516</v>
      </c>
      <c r="AI56" s="199">
        <v>3025</v>
      </c>
      <c r="AJ56" s="199">
        <v>2734</v>
      </c>
      <c r="AK56" s="199">
        <v>2854</v>
      </c>
      <c r="AL56" s="199">
        <v>2236</v>
      </c>
      <c r="AM56" s="199">
        <v>3136</v>
      </c>
      <c r="AN56" s="199">
        <v>2854</v>
      </c>
      <c r="AO56" s="199">
        <v>3456</v>
      </c>
      <c r="AP56" s="199">
        <v>2984</v>
      </c>
      <c r="AQ56" s="199">
        <v>3135</v>
      </c>
      <c r="AR56" s="199">
        <v>3892</v>
      </c>
      <c r="AS56" s="199">
        <v>3168</v>
      </c>
      <c r="AT56" s="199">
        <v>3146</v>
      </c>
      <c r="AU56" s="199">
        <v>2980</v>
      </c>
      <c r="AV56" s="199">
        <v>3350</v>
      </c>
      <c r="AW56" s="199">
        <v>3416</v>
      </c>
      <c r="AX56" s="95">
        <v>5.56</v>
      </c>
      <c r="AY56" s="95">
        <v>5.74</v>
      </c>
      <c r="AZ56" s="95">
        <v>5.26</v>
      </c>
      <c r="BA56" s="95">
        <v>5.2</v>
      </c>
      <c r="BB56" s="95">
        <v>4.84</v>
      </c>
      <c r="BC56" s="95">
        <v>4.83</v>
      </c>
      <c r="BD56" s="95">
        <v>4.72</v>
      </c>
      <c r="BE56" s="95">
        <v>4.83</v>
      </c>
      <c r="BF56" s="95">
        <v>4.9000000000000004</v>
      </c>
      <c r="BG56" s="95">
        <v>4.8600000000000003</v>
      </c>
      <c r="BH56" s="95">
        <v>4.76</v>
      </c>
      <c r="BI56" s="95">
        <v>5.44</v>
      </c>
      <c r="BJ56" s="95">
        <v>4.8600000000000003</v>
      </c>
      <c r="BK56" s="95">
        <v>4.96</v>
      </c>
      <c r="BL56" s="95">
        <v>4.7300000000000004</v>
      </c>
      <c r="BM56" s="95">
        <v>4.66</v>
      </c>
      <c r="BN56" s="95">
        <v>4.8499999999999996</v>
      </c>
      <c r="BO56" s="95">
        <v>4.9800000000000004</v>
      </c>
      <c r="BP56" s="95">
        <v>4.91</v>
      </c>
      <c r="BQ56" s="95">
        <v>4.66</v>
      </c>
      <c r="BR56" s="95">
        <v>4.76</v>
      </c>
      <c r="BS56" s="95">
        <v>4.9000000000000004</v>
      </c>
      <c r="BT56" s="95">
        <v>4.84</v>
      </c>
      <c r="BU56" s="95">
        <v>5.31</v>
      </c>
      <c r="BV56" s="95">
        <v>5.75</v>
      </c>
      <c r="BW56" s="95">
        <v>5.62</v>
      </c>
      <c r="BX56" s="95">
        <v>4.55</v>
      </c>
      <c r="BY56" s="95">
        <v>4.18</v>
      </c>
      <c r="BZ56" s="95">
        <v>5.1100000000000003</v>
      </c>
      <c r="CA56" s="95">
        <v>4.6900000000000004</v>
      </c>
      <c r="CB56" s="95">
        <v>4.0599999999999996</v>
      </c>
      <c r="CC56" s="95">
        <v>4.7300000000000004</v>
      </c>
      <c r="CD56" s="95">
        <v>4.9000000000000004</v>
      </c>
      <c r="CE56" s="95">
        <v>4.95</v>
      </c>
      <c r="CF56" s="95">
        <v>4.1399999999999997</v>
      </c>
      <c r="CG56" s="95">
        <v>5.27</v>
      </c>
      <c r="CH56" s="95">
        <v>4.92</v>
      </c>
      <c r="CI56" s="95">
        <v>4.8499999999999996</v>
      </c>
      <c r="CJ56" s="95">
        <v>5.27</v>
      </c>
      <c r="CK56" s="95">
        <v>5.2</v>
      </c>
      <c r="CL56" s="95">
        <v>4.3499999999999996</v>
      </c>
      <c r="CM56" s="95">
        <v>4.33</v>
      </c>
      <c r="CN56" s="95">
        <v>5.27</v>
      </c>
      <c r="CO56" s="95">
        <v>5.89</v>
      </c>
      <c r="CP56" s="221">
        <f>SUM(Input_Raw[[#This Row],[P-01]:[P-56]])/1000</f>
        <v>123.872</v>
      </c>
      <c r="CQ56" s="222">
        <f>IFERROR(AVERAGEIF(Input_Raw[[#This Row],[WS_P-01]:[WS_P-56]],"&lt;&gt;",Input_Raw[[#This Row],[WS_P-01]:[WS_P-56]]),"")</f>
        <v>4.940681818181818</v>
      </c>
      <c r="CR56" s="223">
        <f>MAX(Input_Raw[[#This Row],[WS_P-01]:[WS_P-56]])</f>
        <v>5.89</v>
      </c>
      <c r="CS56" s="223"/>
      <c r="CT56" s="224">
        <f>SUM(Input_Raw[[#This Row],[P-08]:[P-13]],Input_Raw[[#This Row],[P-25]:[P-28]])</f>
        <v>24730</v>
      </c>
      <c r="CU56" s="224"/>
      <c r="CV56" s="224">
        <f>SUM(Input_Raw[[#This Row],[P-04]],Input_Raw[[#This Row],[P-14]:[P-17]],Input_Raw[[#This Row],[P-19]:[P-20]],Input_Raw[[#This Row],[P-22]:[P-23]],Input_Raw[[#This Row],[P-34]],Input_Raw[[#This Row],[P-38]],Input_Raw[[#This Row],[P-43]])</f>
        <v>29776</v>
      </c>
      <c r="CW56" s="224"/>
      <c r="CX56" s="224">
        <f>SUM(Input_Raw[[#This Row],[P-05]:[P-06]],Input_Raw[[#This Row],[P-40]:[P-42]],Input_Raw[[#This Row],[P-45]],Input_Raw[[#This Row],[P-46]],Input_Raw[[#This Row],[P-47]:[P-48]])</f>
        <v>28737</v>
      </c>
      <c r="CY56" s="224"/>
      <c r="CZ56" s="224">
        <f>SUM(Input_Raw[[#This Row],[P-01]:[P-03]],Input_Raw[[#This Row],[P-07]],Input_Raw[[#This Row],[P-18]],Input_Raw[[#This Row],[P-31]:[P-32]],Input_Raw[[#This Row],[P-37]],Input_Raw[[#This Row],[P-50]:[P-56]])</f>
        <v>40629</v>
      </c>
      <c r="DA56" s="225"/>
      <c r="DB56" s="226">
        <f>Input_Raw[[#This Row],[33 kV_Wind_F1_Export reading]]/1000</f>
        <v>24.73</v>
      </c>
      <c r="DC56" s="226"/>
      <c r="DD56" s="226">
        <f>Input_Raw[[#This Row],[33 kV_Wind_F2_Export_reading]]/1000</f>
        <v>29.776</v>
      </c>
      <c r="DE56" s="226"/>
      <c r="DF56" s="226">
        <f>Input_Raw[[#This Row],[33 kV_Wind_F3_Export_Reading]]/1000</f>
        <v>28.736999999999998</v>
      </c>
      <c r="DG56" s="226"/>
      <c r="DH56" s="226">
        <f>Input_Raw[[#This Row],[33 kV_Wind_F4_Export Reading]]/1000</f>
        <v>40.628999999999998</v>
      </c>
      <c r="DI56" s="226"/>
      <c r="DJ56" s="226">
        <f>Input_Raw[[#This Row],[33 kV_F1_Total_Export (MWh)]]+Input_Raw[[#This Row],[33 kV_F2_Total_Export (MWh)2]]+Input_Raw[[#This Row],[33 kV_Wind_F3_Export (MWh)]]+Input_Raw[[#This Row],[33 kV_Wind_F4_Export (MWh)]]</f>
        <v>123.87199999999999</v>
      </c>
      <c r="DK56" s="226">
        <f>Input_Raw[[#This Row],[33 kV_Wind_F1_Import (MWh)]]+Input_Raw[[#This Row],[33 kV_Wind_F2_Import (MWh)]]+Input_Raw[[#This Row],[33 kV_Wind_F3_Import (MWh)2]]+Input_Raw[[#This Row],[33 kV_Wind_F4_Import (MWh)2]]</f>
        <v>0</v>
      </c>
      <c r="DL56" s="227">
        <f>IFERROR(Input_Raw[[#This Row],[33 kV_Wind_Total_Export (MWh)]]/Input_Raw[[#This Row],[WTG Total Gneration (MWh)]]-1,"")</f>
        <v>-1.1102230246251565E-16</v>
      </c>
      <c r="DM56" s="228"/>
      <c r="DN56" s="186">
        <v>96</v>
      </c>
      <c r="DO56" s="186">
        <v>0</v>
      </c>
      <c r="DP56" s="102">
        <v>13.38</v>
      </c>
      <c r="DQ56" s="228"/>
      <c r="DR56" s="181">
        <v>70.400000000000006</v>
      </c>
    </row>
    <row r="57" spans="1:122">
      <c r="A57" s="92">
        <f t="shared" si="74"/>
        <v>45797</v>
      </c>
      <c r="B57" s="190">
        <f>YEAR(Input_Raw[[#This Row],[Date]])+IF(MONTH(Input_Raw[[#This Row],[Date]])&gt;=4,1,0)</f>
        <v>2026</v>
      </c>
      <c r="C57" s="190">
        <f>YEAR(Input_Raw[[#This Row],[Date]])</f>
        <v>2025</v>
      </c>
      <c r="D57" s="11">
        <f t="shared" ref="D57" si="111">A57-DAY(A57)+1</f>
        <v>45778</v>
      </c>
      <c r="E57" s="190">
        <f>DAY(EOMONTH(Input_Raw[[#This Row],[Date]],0))</f>
        <v>31</v>
      </c>
      <c r="F57" s="199">
        <v>3028</v>
      </c>
      <c r="G57" s="199">
        <v>2600</v>
      </c>
      <c r="H57" s="199">
        <v>2828</v>
      </c>
      <c r="I57" s="199">
        <v>1354</v>
      </c>
      <c r="J57" s="199">
        <v>3848</v>
      </c>
      <c r="K57" s="199">
        <v>3504</v>
      </c>
      <c r="L57" s="199">
        <v>2444</v>
      </c>
      <c r="M57" s="199">
        <v>2270</v>
      </c>
      <c r="N57" s="199">
        <v>1920</v>
      </c>
      <c r="O57" s="199">
        <v>2288</v>
      </c>
      <c r="P57" s="199">
        <v>2286</v>
      </c>
      <c r="Q57" s="199">
        <v>2420</v>
      </c>
      <c r="R57" s="199">
        <v>2502</v>
      </c>
      <c r="S57" s="199">
        <v>2560</v>
      </c>
      <c r="T57" s="199">
        <v>2596</v>
      </c>
      <c r="U57" s="199">
        <v>2996</v>
      </c>
      <c r="V57" s="199">
        <v>2586</v>
      </c>
      <c r="W57" s="199">
        <v>2420</v>
      </c>
      <c r="X57" s="199">
        <v>3068</v>
      </c>
      <c r="Y57" s="199">
        <v>2951</v>
      </c>
      <c r="Z57" s="199">
        <v>1680</v>
      </c>
      <c r="AA57" s="199">
        <v>1324</v>
      </c>
      <c r="AB57" s="199">
        <v>2648</v>
      </c>
      <c r="AC57" s="199">
        <v>2896</v>
      </c>
      <c r="AD57" s="199">
        <v>2904</v>
      </c>
      <c r="AE57" s="199">
        <v>2920</v>
      </c>
      <c r="AF57" s="199">
        <v>2628</v>
      </c>
      <c r="AG57" s="199">
        <v>1052</v>
      </c>
      <c r="AH57" s="199">
        <v>944</v>
      </c>
      <c r="AI57" s="199">
        <v>1938</v>
      </c>
      <c r="AJ57" s="199">
        <v>300</v>
      </c>
      <c r="AK57" s="199">
        <v>3148</v>
      </c>
      <c r="AL57" s="199">
        <v>3892</v>
      </c>
      <c r="AM57" s="199">
        <v>3820</v>
      </c>
      <c r="AN57" s="199">
        <v>2086</v>
      </c>
      <c r="AO57" s="199">
        <v>4392</v>
      </c>
      <c r="AP57" s="199">
        <v>3968</v>
      </c>
      <c r="AQ57" s="199">
        <v>3260</v>
      </c>
      <c r="AR57" s="199">
        <v>3852</v>
      </c>
      <c r="AS57" s="199">
        <v>1852</v>
      </c>
      <c r="AT57" s="199">
        <v>1610</v>
      </c>
      <c r="AU57" s="199">
        <v>2356</v>
      </c>
      <c r="AV57" s="199">
        <v>3384</v>
      </c>
      <c r="AW57" s="199">
        <v>2648</v>
      </c>
      <c r="AX57" s="95">
        <v>4.45</v>
      </c>
      <c r="AY57" s="95">
        <v>4.38</v>
      </c>
      <c r="AZ57" s="95">
        <v>4.04</v>
      </c>
      <c r="BA57" s="95">
        <v>4.29</v>
      </c>
      <c r="BB57" s="95">
        <v>4.51</v>
      </c>
      <c r="BC57" s="95">
        <v>4.3</v>
      </c>
      <c r="BD57" s="95">
        <v>4.55</v>
      </c>
      <c r="BE57" s="95">
        <v>4.1500000000000004</v>
      </c>
      <c r="BF57" s="95">
        <v>4.1500000000000004</v>
      </c>
      <c r="BG57" s="95">
        <v>4.84</v>
      </c>
      <c r="BH57" s="95">
        <v>4.57</v>
      </c>
      <c r="BI57" s="95">
        <v>4.8099999999999996</v>
      </c>
      <c r="BJ57" s="95">
        <v>4.5</v>
      </c>
      <c r="BK57" s="95">
        <v>4.8</v>
      </c>
      <c r="BL57" s="95">
        <v>4.71</v>
      </c>
      <c r="BM57" s="95">
        <v>4.67</v>
      </c>
      <c r="BN57" s="95">
        <v>4.5999999999999996</v>
      </c>
      <c r="BO57" s="95">
        <v>4.07</v>
      </c>
      <c r="BP57" s="95">
        <v>4.9400000000000004</v>
      </c>
      <c r="BQ57" s="95">
        <v>4.8499999999999996</v>
      </c>
      <c r="BR57" s="95">
        <v>4.51</v>
      </c>
      <c r="BS57" s="95">
        <v>4.34</v>
      </c>
      <c r="BT57" s="95">
        <v>4.46</v>
      </c>
      <c r="BU57" s="95">
        <v>5.0599999999999996</v>
      </c>
      <c r="BV57" s="95">
        <v>5.0999999999999996</v>
      </c>
      <c r="BW57" s="95">
        <v>5.35</v>
      </c>
      <c r="BX57" s="95">
        <v>3.81</v>
      </c>
      <c r="BY57" s="95">
        <v>3.32</v>
      </c>
      <c r="BZ57" s="95">
        <v>3.68</v>
      </c>
      <c r="CA57" s="95">
        <v>3.99</v>
      </c>
      <c r="CB57" s="95">
        <v>4.12</v>
      </c>
      <c r="CC57" s="95">
        <v>4.13</v>
      </c>
      <c r="CD57" s="95">
        <v>4.82</v>
      </c>
      <c r="CE57" s="95">
        <v>4.3</v>
      </c>
      <c r="CF57" s="95">
        <v>4.57</v>
      </c>
      <c r="CG57" s="95">
        <v>5.38</v>
      </c>
      <c r="CH57" s="95">
        <v>4.91</v>
      </c>
      <c r="CI57" s="95">
        <v>4.26</v>
      </c>
      <c r="CJ57" s="95">
        <v>4.57</v>
      </c>
      <c r="CK57" s="95">
        <v>3.62</v>
      </c>
      <c r="CL57" s="95">
        <v>3.65</v>
      </c>
      <c r="CM57" s="95">
        <v>4.32</v>
      </c>
      <c r="CN57" s="95">
        <v>4.83</v>
      </c>
      <c r="CO57" s="95">
        <v>4.5599999999999996</v>
      </c>
      <c r="CP57" s="221">
        <f>SUM(Input_Raw[[#This Row],[P-01]:[P-56]])/1000</f>
        <v>113.971</v>
      </c>
      <c r="CQ57" s="222">
        <f>IFERROR(AVERAGEIF(Input_Raw[[#This Row],[WS_P-01]:[WS_P-56]],"&lt;&gt;",Input_Raw[[#This Row],[WS_P-01]:[WS_P-56]]),"")</f>
        <v>4.4509090909090903</v>
      </c>
      <c r="CR57" s="223">
        <f>MAX(Input_Raw[[#This Row],[WS_P-01]:[WS_P-56]])</f>
        <v>5.38</v>
      </c>
      <c r="CS57" s="223"/>
      <c r="CT57" s="224">
        <f>SUM(Input_Raw[[#This Row],[P-08]:[P-13]],Input_Raw[[#This Row],[P-25]:[P-28]])</f>
        <v>25054</v>
      </c>
      <c r="CU57" s="224"/>
      <c r="CV57" s="224">
        <f>SUM(Input_Raw[[#This Row],[P-04]],Input_Raw[[#This Row],[P-14]:[P-17]],Input_Raw[[#This Row],[P-19]:[P-20]],Input_Raw[[#This Row],[P-22]:[P-23]],Input_Raw[[#This Row],[P-34]],Input_Raw[[#This Row],[P-38]],Input_Raw[[#This Row],[P-43]])</f>
        <v>24445</v>
      </c>
      <c r="CW57" s="224"/>
      <c r="CX57" s="224">
        <f>SUM(Input_Raw[[#This Row],[P-05]:[P-06]],Input_Raw[[#This Row],[P-40]:[P-42]],Input_Raw[[#This Row],[P-45]],Input_Raw[[#This Row],[P-46]],Input_Raw[[#This Row],[P-47]:[P-48]])</f>
        <v>33684</v>
      </c>
      <c r="CY57" s="224"/>
      <c r="CZ57" s="224">
        <f>SUM(Input_Raw[[#This Row],[P-01]:[P-03]],Input_Raw[[#This Row],[P-07]],Input_Raw[[#This Row],[P-18]],Input_Raw[[#This Row],[P-31]:[P-32]],Input_Raw[[#This Row],[P-37]],Input_Raw[[#This Row],[P-50]:[P-56]])</f>
        <v>30788</v>
      </c>
      <c r="DA57" s="225"/>
      <c r="DB57" s="226">
        <f>Input_Raw[[#This Row],[33 kV_Wind_F1_Export reading]]/1000</f>
        <v>25.053999999999998</v>
      </c>
      <c r="DC57" s="226"/>
      <c r="DD57" s="226">
        <f>Input_Raw[[#This Row],[33 kV_Wind_F2_Export_reading]]/1000</f>
        <v>24.445</v>
      </c>
      <c r="DE57" s="226"/>
      <c r="DF57" s="226">
        <f>Input_Raw[[#This Row],[33 kV_Wind_F3_Export_Reading]]/1000</f>
        <v>33.683999999999997</v>
      </c>
      <c r="DG57" s="226"/>
      <c r="DH57" s="226">
        <f>Input_Raw[[#This Row],[33 kV_Wind_F4_Export Reading]]/1000</f>
        <v>30.788</v>
      </c>
      <c r="DI57" s="226"/>
      <c r="DJ57" s="226">
        <f>Input_Raw[[#This Row],[33 kV_F1_Total_Export (MWh)]]+Input_Raw[[#This Row],[33 kV_F2_Total_Export (MWh)2]]+Input_Raw[[#This Row],[33 kV_Wind_F3_Export (MWh)]]+Input_Raw[[#This Row],[33 kV_Wind_F4_Export (MWh)]]</f>
        <v>113.97099999999999</v>
      </c>
      <c r="DK57" s="226">
        <f>Input_Raw[[#This Row],[33 kV_Wind_F1_Import (MWh)]]+Input_Raw[[#This Row],[33 kV_Wind_F2_Import (MWh)]]+Input_Raw[[#This Row],[33 kV_Wind_F3_Import (MWh)2]]+Input_Raw[[#This Row],[33 kV_Wind_F4_Import (MWh)2]]</f>
        <v>0</v>
      </c>
      <c r="DL57" s="227">
        <f>IFERROR(Input_Raw[[#This Row],[33 kV_Wind_Total_Export (MWh)]]/Input_Raw[[#This Row],[WTG Total Gneration (MWh)]]-1,"")</f>
        <v>-1.1102230246251565E-16</v>
      </c>
      <c r="DM57" s="228"/>
      <c r="DN57" s="186">
        <v>69</v>
      </c>
      <c r="DO57" s="186">
        <v>0</v>
      </c>
      <c r="DP57" s="102">
        <v>114.6</v>
      </c>
      <c r="DQ57" s="228"/>
      <c r="DR57" s="181">
        <v>70.400000000000006</v>
      </c>
    </row>
    <row r="58" spans="1:122">
      <c r="A58" s="92">
        <f t="shared" si="74"/>
        <v>45798</v>
      </c>
      <c r="B58" s="190">
        <f>YEAR(Input_Raw[[#This Row],[Date]])+IF(MONTH(Input_Raw[[#This Row],[Date]])&gt;=4,1,0)</f>
        <v>2026</v>
      </c>
      <c r="C58" s="190">
        <f>YEAR(Input_Raw[[#This Row],[Date]])</f>
        <v>2025</v>
      </c>
      <c r="D58" s="11">
        <f t="shared" ref="D58" si="112">A58-DAY(A58)+1</f>
        <v>45778</v>
      </c>
      <c r="E58" s="190">
        <f>DAY(EOMONTH(Input_Raw[[#This Row],[Date]],0))</f>
        <v>31</v>
      </c>
      <c r="F58" s="199">
        <v>4043.9999999999995</v>
      </c>
      <c r="G58" s="199">
        <v>4228</v>
      </c>
      <c r="H58" s="199">
        <v>4080</v>
      </c>
      <c r="I58" s="199">
        <v>3650</v>
      </c>
      <c r="J58" s="199">
        <v>4176</v>
      </c>
      <c r="K58" s="199">
        <v>4856</v>
      </c>
      <c r="L58" s="199">
        <v>3752</v>
      </c>
      <c r="M58" s="199">
        <v>3302</v>
      </c>
      <c r="N58" s="199">
        <v>1968</v>
      </c>
      <c r="O58" s="199">
        <v>1974</v>
      </c>
      <c r="P58" s="199">
        <v>2005.9999999999998</v>
      </c>
      <c r="Q58" s="199">
        <v>2636</v>
      </c>
      <c r="R58" s="199">
        <v>2950</v>
      </c>
      <c r="S58" s="199">
        <v>3196</v>
      </c>
      <c r="T58" s="199">
        <v>2604</v>
      </c>
      <c r="U58" s="199">
        <v>2596</v>
      </c>
      <c r="V58" s="199">
        <v>3136</v>
      </c>
      <c r="W58" s="199">
        <v>3060</v>
      </c>
      <c r="X58" s="199">
        <v>4696</v>
      </c>
      <c r="Y58" s="199">
        <v>3501</v>
      </c>
      <c r="Z58" s="199">
        <v>3480</v>
      </c>
      <c r="AA58" s="199">
        <v>3360</v>
      </c>
      <c r="AB58" s="199">
        <v>4308</v>
      </c>
      <c r="AC58" s="199">
        <v>3540</v>
      </c>
      <c r="AD58" s="199">
        <v>3304</v>
      </c>
      <c r="AE58" s="199">
        <v>3260</v>
      </c>
      <c r="AF58" s="199">
        <v>3362</v>
      </c>
      <c r="AG58" s="199">
        <v>2004</v>
      </c>
      <c r="AH58" s="199">
        <v>3320</v>
      </c>
      <c r="AI58" s="199">
        <v>3466</v>
      </c>
      <c r="AJ58" s="199">
        <v>3278</v>
      </c>
      <c r="AK58" s="199">
        <v>2888</v>
      </c>
      <c r="AL58" s="199">
        <v>4460</v>
      </c>
      <c r="AM58" s="199">
        <v>3184</v>
      </c>
      <c r="AN58" s="199">
        <v>3394</v>
      </c>
      <c r="AO58" s="199">
        <v>7604</v>
      </c>
      <c r="AP58" s="199">
        <v>6000</v>
      </c>
      <c r="AQ58" s="199">
        <v>3668</v>
      </c>
      <c r="AR58" s="199">
        <v>3336</v>
      </c>
      <c r="AS58" s="199">
        <v>2592</v>
      </c>
      <c r="AT58" s="199">
        <v>3394</v>
      </c>
      <c r="AU58" s="199">
        <v>3912</v>
      </c>
      <c r="AV58" s="199">
        <v>5432</v>
      </c>
      <c r="AW58" s="199">
        <v>4024</v>
      </c>
      <c r="AX58" s="95">
        <v>4.3499999999999996</v>
      </c>
      <c r="AY58" s="95">
        <v>4.72</v>
      </c>
      <c r="AZ58" s="95">
        <v>4.62</v>
      </c>
      <c r="BA58" s="95">
        <v>4.5199999999999996</v>
      </c>
      <c r="BB58" s="95">
        <v>4.6900000000000004</v>
      </c>
      <c r="BC58" s="95">
        <v>5.13</v>
      </c>
      <c r="BD58" s="95">
        <v>4.6399999999999997</v>
      </c>
      <c r="BE58" s="95">
        <v>4.49</v>
      </c>
      <c r="BF58" s="95">
        <v>4.49</v>
      </c>
      <c r="BG58" s="95">
        <v>4.03</v>
      </c>
      <c r="BH58" s="95">
        <v>4.3</v>
      </c>
      <c r="BI58" s="95">
        <v>3.88</v>
      </c>
      <c r="BJ58" s="95">
        <v>4.0599999999999996</v>
      </c>
      <c r="BK58" s="95">
        <v>3.86</v>
      </c>
      <c r="BL58" s="95">
        <v>4.47</v>
      </c>
      <c r="BM58" s="95">
        <v>4.38</v>
      </c>
      <c r="BN58" s="95">
        <v>4.29</v>
      </c>
      <c r="BO58" s="95">
        <v>4.3899999999999997</v>
      </c>
      <c r="BP58" s="95">
        <v>4.32</v>
      </c>
      <c r="BQ58" s="95">
        <v>4.84</v>
      </c>
      <c r="BR58" s="95">
        <v>4.5</v>
      </c>
      <c r="BS58" s="95">
        <v>4.57</v>
      </c>
      <c r="BT58" s="95">
        <v>4.42</v>
      </c>
      <c r="BU58" s="95">
        <v>4.5199999999999996</v>
      </c>
      <c r="BV58" s="95">
        <v>4.6900000000000004</v>
      </c>
      <c r="BW58" s="95">
        <v>4.4800000000000004</v>
      </c>
      <c r="BX58" s="95">
        <v>4.51</v>
      </c>
      <c r="BY58" s="95">
        <v>4</v>
      </c>
      <c r="BZ58" s="95">
        <v>3.64</v>
      </c>
      <c r="CA58" s="95">
        <v>4.43</v>
      </c>
      <c r="CB58" s="95">
        <v>4.3600000000000003</v>
      </c>
      <c r="CC58" s="95">
        <v>4.18</v>
      </c>
      <c r="CD58" s="95">
        <v>4.3099999999999996</v>
      </c>
      <c r="CE58" s="95">
        <v>5.15</v>
      </c>
      <c r="CF58" s="95">
        <v>4.29</v>
      </c>
      <c r="CG58" s="95">
        <v>4.21</v>
      </c>
      <c r="CH58" s="95">
        <v>6.25</v>
      </c>
      <c r="CI58" s="95">
        <v>5.54</v>
      </c>
      <c r="CJ58" s="95">
        <v>4.46</v>
      </c>
      <c r="CK58" s="95">
        <v>4.63</v>
      </c>
      <c r="CL58" s="95">
        <v>3.88</v>
      </c>
      <c r="CM58" s="95">
        <v>4.25</v>
      </c>
      <c r="CN58" s="95">
        <v>4.62</v>
      </c>
      <c r="CO58" s="95">
        <v>5.16</v>
      </c>
      <c r="CP58" s="221">
        <f>SUM(Input_Raw[[#This Row],[P-01]:[P-56]])/1000</f>
        <v>156.98099999999999</v>
      </c>
      <c r="CQ58" s="222">
        <f>IFERROR(AVERAGEIF(Input_Raw[[#This Row],[WS_P-01]:[WS_P-56]],"&lt;&gt;",Input_Raw[[#This Row],[WS_P-01]:[WS_P-56]]),"")</f>
        <v>4.4890909090909101</v>
      </c>
      <c r="CR58" s="223">
        <f>MAX(Input_Raw[[#This Row],[WS_P-01]:[WS_P-56]])</f>
        <v>6.25</v>
      </c>
      <c r="CS58" s="223"/>
      <c r="CT58" s="224">
        <f>SUM(Input_Raw[[#This Row],[P-08]:[P-13]],Input_Raw[[#This Row],[P-25]:[P-28]])</f>
        <v>29248</v>
      </c>
      <c r="CU58" s="224"/>
      <c r="CV58" s="224">
        <f>SUM(Input_Raw[[#This Row],[P-04]],Input_Raw[[#This Row],[P-14]:[P-17]],Input_Raw[[#This Row],[P-19]:[P-20]],Input_Raw[[#This Row],[P-22]:[P-23]],Input_Raw[[#This Row],[P-34]],Input_Raw[[#This Row],[P-38]],Input_Raw[[#This Row],[P-43]])</f>
        <v>40211</v>
      </c>
      <c r="CW58" s="224"/>
      <c r="CX58" s="224">
        <f>SUM(Input_Raw[[#This Row],[P-05]:[P-06]],Input_Raw[[#This Row],[P-40]:[P-42]],Input_Raw[[#This Row],[P-45]],Input_Raw[[#This Row],[P-46]],Input_Raw[[#This Row],[P-47]:[P-48]])</f>
        <v>40172</v>
      </c>
      <c r="CY58" s="224"/>
      <c r="CZ58" s="224">
        <f>SUM(Input_Raw[[#This Row],[P-01]:[P-03]],Input_Raw[[#This Row],[P-07]],Input_Raw[[#This Row],[P-18]],Input_Raw[[#This Row],[P-31]:[P-32]],Input_Raw[[#This Row],[P-37]],Input_Raw[[#This Row],[P-50]:[P-56]])</f>
        <v>47350</v>
      </c>
      <c r="DA58" s="225"/>
      <c r="DB58" s="226">
        <f>Input_Raw[[#This Row],[33 kV_Wind_F1_Export reading]]/1000</f>
        <v>29.248000000000001</v>
      </c>
      <c r="DC58" s="226"/>
      <c r="DD58" s="226">
        <f>Input_Raw[[#This Row],[33 kV_Wind_F2_Export_reading]]/1000</f>
        <v>40.210999999999999</v>
      </c>
      <c r="DE58" s="226"/>
      <c r="DF58" s="226">
        <f>Input_Raw[[#This Row],[33 kV_Wind_F3_Export_Reading]]/1000</f>
        <v>40.171999999999997</v>
      </c>
      <c r="DG58" s="226"/>
      <c r="DH58" s="226">
        <f>Input_Raw[[#This Row],[33 kV_Wind_F4_Export Reading]]/1000</f>
        <v>47.35</v>
      </c>
      <c r="DI58" s="226"/>
      <c r="DJ58" s="226">
        <f>Input_Raw[[#This Row],[33 kV_F1_Total_Export (MWh)]]+Input_Raw[[#This Row],[33 kV_F2_Total_Export (MWh)2]]+Input_Raw[[#This Row],[33 kV_Wind_F3_Export (MWh)]]+Input_Raw[[#This Row],[33 kV_Wind_F4_Export (MWh)]]</f>
        <v>156.98099999999999</v>
      </c>
      <c r="DK58" s="226">
        <f>Input_Raw[[#This Row],[33 kV_Wind_F1_Import (MWh)]]+Input_Raw[[#This Row],[33 kV_Wind_F2_Import (MWh)]]+Input_Raw[[#This Row],[33 kV_Wind_F3_Import (MWh)2]]+Input_Raw[[#This Row],[33 kV_Wind_F4_Import (MWh)2]]</f>
        <v>0</v>
      </c>
      <c r="DL58" s="227">
        <f>IFERROR(Input_Raw[[#This Row],[33 kV_Wind_Total_Export (MWh)]]/Input_Raw[[#This Row],[WTG Total Gneration (MWh)]]-1,"")</f>
        <v>0</v>
      </c>
      <c r="DM58" s="228"/>
      <c r="DN58" s="186">
        <v>96</v>
      </c>
      <c r="DO58" s="186">
        <v>0</v>
      </c>
      <c r="DP58" s="102">
        <v>143.72999999999999</v>
      </c>
      <c r="DQ58" s="228"/>
      <c r="DR58" s="181">
        <v>70.400000000000006</v>
      </c>
    </row>
    <row r="59" spans="1:122">
      <c r="A59" s="92">
        <f t="shared" si="74"/>
        <v>45799</v>
      </c>
      <c r="B59" s="190">
        <f>YEAR(Input_Raw[[#This Row],[Date]])+IF(MONTH(Input_Raw[[#This Row],[Date]])&gt;=4,1,0)</f>
        <v>2026</v>
      </c>
      <c r="C59" s="190">
        <f>YEAR(Input_Raw[[#This Row],[Date]])</f>
        <v>2025</v>
      </c>
      <c r="D59" s="11">
        <f t="shared" ref="D59:D60" si="113">A59-DAY(A59)+1</f>
        <v>45778</v>
      </c>
      <c r="E59" s="190">
        <f>DAY(EOMONTH(Input_Raw[[#This Row],[Date]],0))</f>
        <v>31</v>
      </c>
      <c r="F59" s="199">
        <v>6036</v>
      </c>
      <c r="G59" s="199">
        <v>5160</v>
      </c>
      <c r="H59" s="199">
        <v>4416</v>
      </c>
      <c r="I59" s="199">
        <v>3308</v>
      </c>
      <c r="J59" s="199">
        <v>1224</v>
      </c>
      <c r="K59" s="199">
        <v>3620</v>
      </c>
      <c r="L59" s="199">
        <v>4346</v>
      </c>
      <c r="M59" s="199">
        <v>5252</v>
      </c>
      <c r="N59" s="199">
        <v>4544</v>
      </c>
      <c r="O59" s="199">
        <v>3826</v>
      </c>
      <c r="P59" s="199">
        <v>4124</v>
      </c>
      <c r="Q59" s="199">
        <v>3664</v>
      </c>
      <c r="R59" s="199">
        <v>3658</v>
      </c>
      <c r="S59" s="199">
        <v>3398</v>
      </c>
      <c r="T59" s="199">
        <v>2648</v>
      </c>
      <c r="U59" s="199">
        <v>2892</v>
      </c>
      <c r="V59" s="199">
        <v>2992</v>
      </c>
      <c r="W59" s="199">
        <v>4024</v>
      </c>
      <c r="X59" s="199">
        <v>3546</v>
      </c>
      <c r="Y59" s="199">
        <v>2418</v>
      </c>
      <c r="Z59" s="199">
        <v>3804</v>
      </c>
      <c r="AA59" s="199">
        <v>3100</v>
      </c>
      <c r="AB59" s="199">
        <v>4864</v>
      </c>
      <c r="AC59" s="199">
        <v>4088</v>
      </c>
      <c r="AD59" s="199">
        <v>4736</v>
      </c>
      <c r="AE59" s="199">
        <v>5192</v>
      </c>
      <c r="AF59" s="199">
        <v>3130</v>
      </c>
      <c r="AG59" s="199">
        <v>1464</v>
      </c>
      <c r="AH59" s="199">
        <v>3088</v>
      </c>
      <c r="AI59" s="199">
        <v>2278</v>
      </c>
      <c r="AJ59" s="199">
        <v>1890</v>
      </c>
      <c r="AK59" s="199">
        <v>3380</v>
      </c>
      <c r="AL59" s="199">
        <v>1900</v>
      </c>
      <c r="AM59" s="199">
        <v>4372</v>
      </c>
      <c r="AN59" s="199">
        <v>3124</v>
      </c>
      <c r="AO59" s="199">
        <v>8232</v>
      </c>
      <c r="AP59" s="199">
        <v>4428</v>
      </c>
      <c r="AQ59" s="199">
        <v>4836</v>
      </c>
      <c r="AR59" s="199">
        <v>4556</v>
      </c>
      <c r="AS59" s="199">
        <v>1924</v>
      </c>
      <c r="AT59" s="199">
        <v>2400</v>
      </c>
      <c r="AU59" s="199">
        <v>2370</v>
      </c>
      <c r="AV59" s="199">
        <v>6704</v>
      </c>
      <c r="AW59" s="199">
        <v>3492</v>
      </c>
      <c r="AX59" s="95">
        <v>5.15</v>
      </c>
      <c r="AY59" s="95">
        <v>4.97</v>
      </c>
      <c r="AZ59" s="95">
        <v>4.8099999999999996</v>
      </c>
      <c r="BA59" s="95">
        <v>4.5199999999999996</v>
      </c>
      <c r="BB59" s="95">
        <v>3.29</v>
      </c>
      <c r="BC59" s="95">
        <v>4.59</v>
      </c>
      <c r="BD59" s="95">
        <v>4.6100000000000003</v>
      </c>
      <c r="BE59" s="95">
        <v>5.29</v>
      </c>
      <c r="BF59" s="95">
        <v>5.29</v>
      </c>
      <c r="BG59" s="95">
        <v>5.0199999999999996</v>
      </c>
      <c r="BH59" s="95">
        <v>5.03</v>
      </c>
      <c r="BI59" s="95">
        <v>4.7300000000000004</v>
      </c>
      <c r="BJ59" s="95">
        <v>4.63</v>
      </c>
      <c r="BK59" s="95">
        <v>4.6399999999999997</v>
      </c>
      <c r="BL59" s="95">
        <v>4.55</v>
      </c>
      <c r="BM59" s="95">
        <v>4.42</v>
      </c>
      <c r="BN59" s="95">
        <v>4.46</v>
      </c>
      <c r="BO59" s="95">
        <v>4.32</v>
      </c>
      <c r="BP59" s="95">
        <v>4.5599999999999996</v>
      </c>
      <c r="BQ59" s="95">
        <v>4.42</v>
      </c>
      <c r="BR59" s="95">
        <v>3.99</v>
      </c>
      <c r="BS59" s="95">
        <v>4.8099999999999996</v>
      </c>
      <c r="BT59" s="95">
        <v>4.43</v>
      </c>
      <c r="BU59" s="95">
        <v>4.7300000000000004</v>
      </c>
      <c r="BV59" s="95">
        <v>4.78</v>
      </c>
      <c r="BW59" s="95">
        <v>5.15</v>
      </c>
      <c r="BX59" s="95">
        <v>5.32</v>
      </c>
      <c r="BY59" s="95">
        <v>4.04</v>
      </c>
      <c r="BZ59" s="95">
        <v>3.52</v>
      </c>
      <c r="CA59" s="95">
        <v>4.46</v>
      </c>
      <c r="CB59" s="95">
        <v>4</v>
      </c>
      <c r="CC59" s="95">
        <v>3.44</v>
      </c>
      <c r="CD59" s="95">
        <v>4.41</v>
      </c>
      <c r="CE59" s="95">
        <v>4.0199999999999996</v>
      </c>
      <c r="CF59" s="95">
        <v>4.6399999999999997</v>
      </c>
      <c r="CG59" s="95">
        <v>4.3</v>
      </c>
      <c r="CH59" s="95">
        <v>6.51</v>
      </c>
      <c r="CI59" s="95">
        <v>5</v>
      </c>
      <c r="CJ59" s="95">
        <v>4.87</v>
      </c>
      <c r="CK59" s="95">
        <v>4.95</v>
      </c>
      <c r="CL59" s="95">
        <v>3.58</v>
      </c>
      <c r="CM59" s="95">
        <v>3.92</v>
      </c>
      <c r="CN59" s="95">
        <v>4.07</v>
      </c>
      <c r="CO59" s="95">
        <v>5.6</v>
      </c>
      <c r="CP59" s="98">
        <f>SUM(Input_Raw[[#This Row],[P-01]:[P-56]])/1000</f>
        <v>164.44800000000001</v>
      </c>
      <c r="CQ59" s="71">
        <f>IFERROR(AVERAGEIF(Input_Raw[[#This Row],[WS_P-01]:[WS_P-56]],"&lt;&gt;",Input_Raw[[#This Row],[WS_P-01]:[WS_P-56]]),"")</f>
        <v>4.5872727272727269</v>
      </c>
      <c r="CR59" s="99">
        <f>MAX(Input_Raw[[#This Row],[WS_P-01]:[WS_P-56]])</f>
        <v>6.51</v>
      </c>
      <c r="CS59" s="99"/>
      <c r="CT59" s="70">
        <f>SUM(Input_Raw[[#This Row],[P-08]:[P-13]],Input_Raw[[#This Row],[P-25]:[P-28]])</f>
        <v>43948</v>
      </c>
      <c r="CU59" s="70"/>
      <c r="CV59" s="70">
        <f>SUM(Input_Raw[[#This Row],[P-04]],Input_Raw[[#This Row],[P-14]:[P-17]],Input_Raw[[#This Row],[P-19]:[P-20]],Input_Raw[[#This Row],[P-22]:[P-23]],Input_Raw[[#This Row],[P-34]],Input_Raw[[#This Row],[P-38]],Input_Raw[[#This Row],[P-43]])</f>
        <v>36208</v>
      </c>
      <c r="CW59" s="70"/>
      <c r="CX59" s="70">
        <f>SUM(Input_Raw[[#This Row],[P-05]:[P-06]],Input_Raw[[#This Row],[P-40]:[P-42]],Input_Raw[[#This Row],[P-45]],Input_Raw[[#This Row],[P-46]],Input_Raw[[#This Row],[P-47]:[P-48]])</f>
        <v>36548</v>
      </c>
      <c r="CY59" s="70"/>
      <c r="CZ59" s="70">
        <f>SUM(Input_Raw[[#This Row],[P-01]:[P-03]],Input_Raw[[#This Row],[P-07]],Input_Raw[[#This Row],[P-18]],Input_Raw[[#This Row],[P-31]:[P-32]],Input_Raw[[#This Row],[P-37]],Input_Raw[[#This Row],[P-50]:[P-56]])</f>
        <v>47744</v>
      </c>
      <c r="DA59" s="12"/>
      <c r="DB59" s="13">
        <f>Input_Raw[[#This Row],[33 kV_Wind_F1_Export reading]]/1000</f>
        <v>43.948</v>
      </c>
      <c r="DC59" s="13"/>
      <c r="DD59" s="13">
        <f>Input_Raw[[#This Row],[33 kV_Wind_F2_Export_reading]]/1000</f>
        <v>36.207999999999998</v>
      </c>
      <c r="DE59" s="13"/>
      <c r="DF59" s="13">
        <f>Input_Raw[[#This Row],[33 kV_Wind_F3_Export_Reading]]/1000</f>
        <v>36.548000000000002</v>
      </c>
      <c r="DG59" s="13"/>
      <c r="DH59" s="13">
        <f>Input_Raw[[#This Row],[33 kV_Wind_F4_Export Reading]]/1000</f>
        <v>47.744</v>
      </c>
      <c r="DI59" s="13"/>
      <c r="DJ59" s="13">
        <f>Input_Raw[[#This Row],[33 kV_F1_Total_Export (MWh)]]+Input_Raw[[#This Row],[33 kV_F2_Total_Export (MWh)2]]+Input_Raw[[#This Row],[33 kV_Wind_F3_Export (MWh)]]+Input_Raw[[#This Row],[33 kV_Wind_F4_Export (MWh)]]</f>
        <v>164.44800000000001</v>
      </c>
      <c r="DK59" s="13">
        <f>Input_Raw[[#This Row],[33 kV_Wind_F1_Import (MWh)]]+Input_Raw[[#This Row],[33 kV_Wind_F2_Import (MWh)]]+Input_Raw[[#This Row],[33 kV_Wind_F3_Import (MWh)2]]+Input_Raw[[#This Row],[33 kV_Wind_F4_Import (MWh)2]]</f>
        <v>0</v>
      </c>
      <c r="DL59" s="100">
        <f>IFERROR(Input_Raw[[#This Row],[33 kV_Wind_Total_Export (MWh)]]/Input_Raw[[#This Row],[WTG Total Gneration (MWh)]]-1,"")</f>
        <v>0</v>
      </c>
      <c r="DM59" s="66"/>
      <c r="DN59" s="186">
        <v>71</v>
      </c>
      <c r="DO59" s="186">
        <v>0</v>
      </c>
      <c r="DP59" s="102">
        <v>146.37</v>
      </c>
      <c r="DQ59" s="66"/>
      <c r="DR59" s="181">
        <v>70.400000000000006</v>
      </c>
    </row>
    <row r="60" spans="1:122">
      <c r="A60" s="92">
        <f t="shared" si="74"/>
        <v>45800</v>
      </c>
      <c r="B60" s="190">
        <f>YEAR(Input_Raw[[#This Row],[Date]])+IF(MONTH(Input_Raw[[#This Row],[Date]])&gt;=4,1,0)</f>
        <v>2026</v>
      </c>
      <c r="C60" s="190">
        <f>YEAR(Input_Raw[[#This Row],[Date]])</f>
        <v>2025</v>
      </c>
      <c r="D60" s="11">
        <f t="shared" si="113"/>
        <v>45778</v>
      </c>
      <c r="E60" s="190">
        <f>DAY(EOMONTH(Input_Raw[[#This Row],[Date]],0))</f>
        <v>31</v>
      </c>
      <c r="F60" s="199">
        <v>2208</v>
      </c>
      <c r="G60" s="199">
        <v>1744</v>
      </c>
      <c r="H60" s="199">
        <v>1540</v>
      </c>
      <c r="I60" s="199">
        <v>2852</v>
      </c>
      <c r="J60" s="199">
        <v>2856</v>
      </c>
      <c r="K60" s="199">
        <v>3280</v>
      </c>
      <c r="L60" s="199">
        <v>1554</v>
      </c>
      <c r="M60" s="199">
        <v>3876</v>
      </c>
      <c r="N60" s="199">
        <v>2940</v>
      </c>
      <c r="O60" s="199">
        <v>3632</v>
      </c>
      <c r="P60" s="199">
        <v>4027.9999999999995</v>
      </c>
      <c r="Q60" s="199">
        <v>3908</v>
      </c>
      <c r="R60" s="199">
        <v>4026</v>
      </c>
      <c r="S60" s="199">
        <v>4702</v>
      </c>
      <c r="T60" s="199">
        <v>3964</v>
      </c>
      <c r="U60" s="199">
        <v>3550</v>
      </c>
      <c r="V60" s="199">
        <v>2840</v>
      </c>
      <c r="W60" s="199">
        <v>1328</v>
      </c>
      <c r="X60" s="199">
        <v>3950</v>
      </c>
      <c r="Y60" s="199">
        <v>3067</v>
      </c>
      <c r="Z60" s="199">
        <v>3596</v>
      </c>
      <c r="AA60" s="199">
        <v>3796</v>
      </c>
      <c r="AB60" s="199">
        <v>5104</v>
      </c>
      <c r="AC60" s="199">
        <v>5524</v>
      </c>
      <c r="AD60" s="199">
        <v>5112</v>
      </c>
      <c r="AE60" s="199">
        <v>5628</v>
      </c>
      <c r="AF60" s="199">
        <v>1152</v>
      </c>
      <c r="AG60" s="199">
        <v>1792</v>
      </c>
      <c r="AH60" s="199">
        <v>2612</v>
      </c>
      <c r="AI60" s="199">
        <v>3340</v>
      </c>
      <c r="AJ60" s="199">
        <v>3252</v>
      </c>
      <c r="AK60" s="199">
        <v>2658</v>
      </c>
      <c r="AL60" s="199">
        <v>3012</v>
      </c>
      <c r="AM60" s="199">
        <v>3236</v>
      </c>
      <c r="AN60" s="199">
        <v>4452</v>
      </c>
      <c r="AO60" s="199">
        <v>6012</v>
      </c>
      <c r="AP60" s="199">
        <v>4232</v>
      </c>
      <c r="AQ60" s="199">
        <v>3300</v>
      </c>
      <c r="AR60" s="199">
        <v>3548</v>
      </c>
      <c r="AS60" s="199">
        <v>2894</v>
      </c>
      <c r="AT60" s="199">
        <v>2322</v>
      </c>
      <c r="AU60" s="199">
        <v>3682</v>
      </c>
      <c r="AV60" s="199">
        <v>2712</v>
      </c>
      <c r="AW60" s="199">
        <v>1828</v>
      </c>
      <c r="AX60" s="95">
        <v>4.26</v>
      </c>
      <c r="AY60" s="95">
        <v>4.08</v>
      </c>
      <c r="AZ60" s="95">
        <v>4.01</v>
      </c>
      <c r="BA60" s="95">
        <v>4.22</v>
      </c>
      <c r="BB60" s="95">
        <v>4.1399999999999997</v>
      </c>
      <c r="BC60" s="95">
        <v>4.63</v>
      </c>
      <c r="BD60" s="95">
        <v>4.08</v>
      </c>
      <c r="BE60" s="95">
        <v>4.37</v>
      </c>
      <c r="BF60" s="95">
        <v>4.37</v>
      </c>
      <c r="BG60" s="95">
        <v>4.16</v>
      </c>
      <c r="BH60" s="95">
        <v>4.66</v>
      </c>
      <c r="BI60" s="95">
        <v>4.59</v>
      </c>
      <c r="BJ60" s="95">
        <v>4.71</v>
      </c>
      <c r="BK60" s="95">
        <v>4.79</v>
      </c>
      <c r="BL60" s="95">
        <v>5.01</v>
      </c>
      <c r="BM60" s="95">
        <v>4.75</v>
      </c>
      <c r="BN60" s="95">
        <v>4.68</v>
      </c>
      <c r="BO60" s="95">
        <v>4.16</v>
      </c>
      <c r="BP60" s="95">
        <v>3.8</v>
      </c>
      <c r="BQ60" s="95">
        <v>4.46</v>
      </c>
      <c r="BR60" s="95">
        <v>4.3</v>
      </c>
      <c r="BS60" s="95">
        <v>4.3899999999999997</v>
      </c>
      <c r="BT60" s="95">
        <v>4.38</v>
      </c>
      <c r="BU60" s="95">
        <v>4.45</v>
      </c>
      <c r="BV60" s="95">
        <v>4.9800000000000004</v>
      </c>
      <c r="BW60" s="95">
        <v>5.08</v>
      </c>
      <c r="BX60" s="95">
        <v>5.48</v>
      </c>
      <c r="BY60" s="95">
        <v>3.4</v>
      </c>
      <c r="BZ60" s="95">
        <v>3.52</v>
      </c>
      <c r="CA60" s="95">
        <v>4.1100000000000003</v>
      </c>
      <c r="CB60" s="95">
        <v>4.51</v>
      </c>
      <c r="CC60" s="95">
        <v>4.1500000000000004</v>
      </c>
      <c r="CD60" s="95">
        <v>4.18</v>
      </c>
      <c r="CE60" s="95">
        <v>4.55</v>
      </c>
      <c r="CF60" s="95">
        <v>4.3899999999999997</v>
      </c>
      <c r="CG60" s="95">
        <v>4.7</v>
      </c>
      <c r="CH60" s="95">
        <v>6.17</v>
      </c>
      <c r="CI60" s="95">
        <v>4.9400000000000004</v>
      </c>
      <c r="CJ60" s="95">
        <v>4.4000000000000004</v>
      </c>
      <c r="CK60" s="95">
        <v>4.5999999999999996</v>
      </c>
      <c r="CL60" s="95">
        <v>4.17</v>
      </c>
      <c r="CM60" s="95">
        <v>3.83</v>
      </c>
      <c r="CN60" s="95">
        <v>4.82</v>
      </c>
      <c r="CO60" s="95">
        <v>4.45</v>
      </c>
      <c r="CP60" s="229">
        <f>SUM(Input_Raw[[#This Row],[P-01]:[P-56]])/1000</f>
        <v>146.64099999999999</v>
      </c>
      <c r="CQ60" s="230">
        <f>IFERROR(AVERAGEIF(Input_Raw[[#This Row],[WS_P-01]:[WS_P-56]],"&lt;&gt;",Input_Raw[[#This Row],[WS_P-01]:[WS_P-56]]),"")</f>
        <v>4.4518181818181803</v>
      </c>
      <c r="CR60" s="231">
        <f>MAX(Input_Raw[[#This Row],[WS_P-01]:[WS_P-56]])</f>
        <v>6.17</v>
      </c>
      <c r="CS60" s="231"/>
      <c r="CT60" s="232">
        <f>SUM(Input_Raw[[#This Row],[P-08]:[P-13]],Input_Raw[[#This Row],[P-25]:[P-28]])</f>
        <v>43778</v>
      </c>
      <c r="CU60" s="232"/>
      <c r="CV60" s="232">
        <f>SUM(Input_Raw[[#This Row],[P-04]],Input_Raw[[#This Row],[P-14]:[P-17]],Input_Raw[[#This Row],[P-19]:[P-20]],Input_Raw[[#This Row],[P-22]:[P-23]],Input_Raw[[#This Row],[P-34]],Input_Raw[[#This Row],[P-38]],Input_Raw[[#This Row],[P-43]])</f>
        <v>42633</v>
      </c>
      <c r="CW60" s="232"/>
      <c r="CX60" s="232">
        <f>SUM(Input_Raw[[#This Row],[P-05]:[P-06]],Input_Raw[[#This Row],[P-40]:[P-42]],Input_Raw[[#This Row],[P-45]],Input_Raw[[#This Row],[P-46]],Input_Raw[[#This Row],[P-47]:[P-48]])</f>
        <v>32134</v>
      </c>
      <c r="CY60" s="232"/>
      <c r="CZ60" s="232">
        <f>SUM(Input_Raw[[#This Row],[P-01]:[P-03]],Input_Raw[[#This Row],[P-07]],Input_Raw[[#This Row],[P-18]],Input_Raw[[#This Row],[P-31]:[P-32]],Input_Raw[[#This Row],[P-37]],Input_Raw[[#This Row],[P-50]:[P-56]])</f>
        <v>28096</v>
      </c>
      <c r="DA60" s="233"/>
      <c r="DB60" s="234">
        <f>Input_Raw[[#This Row],[33 kV_Wind_F1_Export reading]]/1000</f>
        <v>43.777999999999999</v>
      </c>
      <c r="DC60" s="234"/>
      <c r="DD60" s="234">
        <f>Input_Raw[[#This Row],[33 kV_Wind_F2_Export_reading]]/1000</f>
        <v>42.633000000000003</v>
      </c>
      <c r="DE60" s="234"/>
      <c r="DF60" s="234">
        <f>Input_Raw[[#This Row],[33 kV_Wind_F3_Export_Reading]]/1000</f>
        <v>32.134</v>
      </c>
      <c r="DG60" s="234"/>
      <c r="DH60" s="234">
        <f>Input_Raw[[#This Row],[33 kV_Wind_F4_Export Reading]]/1000</f>
        <v>28.096</v>
      </c>
      <c r="DI60" s="234"/>
      <c r="DJ60" s="234">
        <f>Input_Raw[[#This Row],[33 kV_F1_Total_Export (MWh)]]+Input_Raw[[#This Row],[33 kV_F2_Total_Export (MWh)2]]+Input_Raw[[#This Row],[33 kV_Wind_F3_Export (MWh)]]+Input_Raw[[#This Row],[33 kV_Wind_F4_Export (MWh)]]</f>
        <v>146.64099999999999</v>
      </c>
      <c r="DK60" s="234">
        <f>Input_Raw[[#This Row],[33 kV_Wind_F1_Import (MWh)]]+Input_Raw[[#This Row],[33 kV_Wind_F2_Import (MWh)]]+Input_Raw[[#This Row],[33 kV_Wind_F3_Import (MWh)2]]+Input_Raw[[#This Row],[33 kV_Wind_F4_Import (MWh)2]]</f>
        <v>0</v>
      </c>
      <c r="DL60" s="235">
        <f>IFERROR(Input_Raw[[#This Row],[33 kV_Wind_Total_Export (MWh)]]/Input_Raw[[#This Row],[WTG Total Gneration (MWh)]]-1,"")</f>
        <v>0</v>
      </c>
      <c r="DM60" s="236"/>
      <c r="DN60" s="186">
        <v>44</v>
      </c>
      <c r="DO60" s="186">
        <v>0</v>
      </c>
      <c r="DP60" s="102">
        <v>140.63</v>
      </c>
      <c r="DQ60" s="236"/>
      <c r="DR60" s="181">
        <v>70.400000000000006</v>
      </c>
    </row>
    <row r="61" spans="1:122">
      <c r="A61" s="92">
        <f t="shared" si="74"/>
        <v>45801</v>
      </c>
      <c r="B61" s="190">
        <f>YEAR(Input_Raw[[#This Row],[Date]])+IF(MONTH(Input_Raw[[#This Row],[Date]])&gt;=4,1,0)</f>
        <v>2026</v>
      </c>
      <c r="C61" s="190">
        <f>YEAR(Input_Raw[[#This Row],[Date]])</f>
        <v>2025</v>
      </c>
      <c r="D61" s="11">
        <f t="shared" ref="D61" si="114">A61-DAY(A61)+1</f>
        <v>45778</v>
      </c>
      <c r="E61" s="190">
        <f>DAY(EOMONTH(Input_Raw[[#This Row],[Date]],0))</f>
        <v>31</v>
      </c>
      <c r="F61" s="199">
        <v>2332</v>
      </c>
      <c r="G61" s="199">
        <v>1888</v>
      </c>
      <c r="H61" s="199">
        <v>1648</v>
      </c>
      <c r="I61" s="199">
        <v>1210</v>
      </c>
      <c r="J61" s="199">
        <v>948</v>
      </c>
      <c r="K61" s="199">
        <v>852</v>
      </c>
      <c r="L61" s="199">
        <v>1692</v>
      </c>
      <c r="M61" s="199">
        <v>1176</v>
      </c>
      <c r="N61" s="199">
        <v>440</v>
      </c>
      <c r="O61" s="199">
        <v>366</v>
      </c>
      <c r="P61" s="199">
        <v>648</v>
      </c>
      <c r="Q61" s="199">
        <v>688</v>
      </c>
      <c r="R61" s="199">
        <v>338</v>
      </c>
      <c r="S61" s="199">
        <v>446</v>
      </c>
      <c r="T61" s="199">
        <v>388</v>
      </c>
      <c r="U61" s="199">
        <v>574</v>
      </c>
      <c r="V61" s="199">
        <v>504</v>
      </c>
      <c r="W61" s="199">
        <v>1408</v>
      </c>
      <c r="X61" s="199">
        <v>544</v>
      </c>
      <c r="Y61" s="199">
        <v>609</v>
      </c>
      <c r="Z61" s="199">
        <v>2008</v>
      </c>
      <c r="AA61" s="199">
        <v>1996</v>
      </c>
      <c r="AB61" s="199">
        <v>1120</v>
      </c>
      <c r="AC61" s="199">
        <v>940</v>
      </c>
      <c r="AD61" s="199">
        <v>1176</v>
      </c>
      <c r="AE61" s="199">
        <v>1268</v>
      </c>
      <c r="AF61" s="199">
        <v>1212</v>
      </c>
      <c r="AG61" s="199">
        <v>476</v>
      </c>
      <c r="AH61" s="199">
        <v>1352</v>
      </c>
      <c r="AI61" s="199">
        <v>1636</v>
      </c>
      <c r="AJ61" s="199">
        <v>588</v>
      </c>
      <c r="AK61" s="199">
        <v>642</v>
      </c>
      <c r="AL61" s="199">
        <v>820</v>
      </c>
      <c r="AM61" s="199">
        <v>1060</v>
      </c>
      <c r="AN61" s="199">
        <v>1336</v>
      </c>
      <c r="AO61" s="199">
        <v>2188</v>
      </c>
      <c r="AP61" s="199">
        <v>1588</v>
      </c>
      <c r="AQ61" s="199">
        <v>828</v>
      </c>
      <c r="AR61" s="199">
        <v>1228</v>
      </c>
      <c r="AS61" s="199">
        <v>1112</v>
      </c>
      <c r="AT61" s="199">
        <v>828</v>
      </c>
      <c r="AU61" s="199">
        <v>1886</v>
      </c>
      <c r="AV61" s="199">
        <v>1780</v>
      </c>
      <c r="AW61" s="199">
        <v>1544</v>
      </c>
      <c r="AX61" s="95">
        <v>3.36</v>
      </c>
      <c r="AY61" s="95">
        <v>3.47</v>
      </c>
      <c r="AZ61" s="95">
        <v>3.19</v>
      </c>
      <c r="BA61" s="95">
        <v>2.76</v>
      </c>
      <c r="BB61" s="95">
        <v>2.61</v>
      </c>
      <c r="BC61" s="95">
        <v>2.96</v>
      </c>
      <c r="BD61" s="95">
        <v>3.33</v>
      </c>
      <c r="BE61" s="95">
        <v>2.97</v>
      </c>
      <c r="BF61" s="95">
        <v>2.97</v>
      </c>
      <c r="BG61" s="95">
        <v>2.56</v>
      </c>
      <c r="BH61" s="95">
        <v>2.76</v>
      </c>
      <c r="BI61" s="95">
        <v>2.87</v>
      </c>
      <c r="BJ61" s="95">
        <v>3.07</v>
      </c>
      <c r="BK61" s="95">
        <v>1.1200000000000001</v>
      </c>
      <c r="BL61" s="95">
        <v>2.79</v>
      </c>
      <c r="BM61" s="95">
        <v>2.75</v>
      </c>
      <c r="BN61" s="95">
        <v>2.81</v>
      </c>
      <c r="BO61" s="95">
        <v>2.9</v>
      </c>
      <c r="BP61" s="95">
        <v>3.03</v>
      </c>
      <c r="BQ61" s="95">
        <v>2.4</v>
      </c>
      <c r="BR61" s="95">
        <v>2.64</v>
      </c>
      <c r="BS61" s="95">
        <v>3.26</v>
      </c>
      <c r="BT61" s="95">
        <v>3.2</v>
      </c>
      <c r="BU61" s="95">
        <v>2.67</v>
      </c>
      <c r="BV61" s="95">
        <v>3.29</v>
      </c>
      <c r="BW61" s="95">
        <v>3.07</v>
      </c>
      <c r="BX61" s="95">
        <v>3.27</v>
      </c>
      <c r="BY61" s="95">
        <v>2.65</v>
      </c>
      <c r="BZ61" s="95">
        <v>2.23</v>
      </c>
      <c r="CA61" s="95">
        <v>2.87</v>
      </c>
      <c r="CB61" s="95">
        <v>3.02</v>
      </c>
      <c r="CC61" s="95">
        <v>2.2999999999999998</v>
      </c>
      <c r="CD61" s="95">
        <v>2.67</v>
      </c>
      <c r="CE61" s="95">
        <v>3.15</v>
      </c>
      <c r="CF61" s="95">
        <v>2.74</v>
      </c>
      <c r="CG61" s="95">
        <v>2.87</v>
      </c>
      <c r="CH61" s="95">
        <v>3.79</v>
      </c>
      <c r="CI61" s="95">
        <v>3.39</v>
      </c>
      <c r="CJ61" s="95">
        <v>2.61</v>
      </c>
      <c r="CK61" s="95">
        <v>3.1</v>
      </c>
      <c r="CL61" s="95">
        <v>2.6</v>
      </c>
      <c r="CM61" s="95">
        <v>2.38</v>
      </c>
      <c r="CN61" s="95">
        <v>3.2</v>
      </c>
      <c r="CO61" s="95">
        <v>3.29</v>
      </c>
      <c r="CP61" s="243">
        <f>SUM(Input_Raw[[#This Row],[P-01]:[P-56]])/1000</f>
        <v>49.311</v>
      </c>
      <c r="CQ61" s="244">
        <f>IFERROR(AVERAGEIF(Input_Raw[[#This Row],[WS_P-01]:[WS_P-56]],"&lt;&gt;",Input_Raw[[#This Row],[WS_P-01]:[WS_P-56]]),"")</f>
        <v>2.8849999999999998</v>
      </c>
      <c r="CR61" s="245">
        <f>MAX(Input_Raw[[#This Row],[WS_P-01]:[WS_P-56]])</f>
        <v>3.79</v>
      </c>
      <c r="CS61" s="245"/>
      <c r="CT61" s="246">
        <f>SUM(Input_Raw[[#This Row],[P-08]:[P-13]],Input_Raw[[#This Row],[P-25]:[P-28]])</f>
        <v>8160</v>
      </c>
      <c r="CU61" s="246"/>
      <c r="CV61" s="246">
        <f>SUM(Input_Raw[[#This Row],[P-04]],Input_Raw[[#This Row],[P-14]:[P-17]],Input_Raw[[#This Row],[P-19]:[P-20]],Input_Raw[[#This Row],[P-22]:[P-23]],Input_Raw[[#This Row],[P-34]],Input_Raw[[#This Row],[P-38]],Input_Raw[[#This Row],[P-43]])</f>
        <v>11555</v>
      </c>
      <c r="CW61" s="246"/>
      <c r="CX61" s="246">
        <f>SUM(Input_Raw[[#This Row],[P-05]:[P-06]],Input_Raw[[#This Row],[P-40]:[P-42]],Input_Raw[[#This Row],[P-45]],Input_Raw[[#This Row],[P-46]],Input_Raw[[#This Row],[P-47]:[P-48]])</f>
        <v>10154</v>
      </c>
      <c r="CY61" s="246"/>
      <c r="CZ61" s="246">
        <f>SUM(Input_Raw[[#This Row],[P-01]:[P-03]],Input_Raw[[#This Row],[P-07]],Input_Raw[[#This Row],[P-18]],Input_Raw[[#This Row],[P-31]:[P-32]],Input_Raw[[#This Row],[P-37]],Input_Raw[[#This Row],[P-50]:[P-56]])</f>
        <v>19442</v>
      </c>
      <c r="DA61" s="247"/>
      <c r="DB61" s="248">
        <f>Input_Raw[[#This Row],[33 kV_Wind_F1_Export reading]]/1000</f>
        <v>8.16</v>
      </c>
      <c r="DC61" s="248"/>
      <c r="DD61" s="248">
        <f>Input_Raw[[#This Row],[33 kV_Wind_F2_Export_reading]]/1000</f>
        <v>11.555</v>
      </c>
      <c r="DE61" s="248"/>
      <c r="DF61" s="248">
        <f>Input_Raw[[#This Row],[33 kV_Wind_F3_Export_Reading]]/1000</f>
        <v>10.154</v>
      </c>
      <c r="DG61" s="248"/>
      <c r="DH61" s="248">
        <f>Input_Raw[[#This Row],[33 kV_Wind_F4_Export Reading]]/1000</f>
        <v>19.442</v>
      </c>
      <c r="DI61" s="248"/>
      <c r="DJ61" s="248">
        <f>Input_Raw[[#This Row],[33 kV_F1_Total_Export (MWh)]]+Input_Raw[[#This Row],[33 kV_F2_Total_Export (MWh)2]]+Input_Raw[[#This Row],[33 kV_Wind_F3_Export (MWh)]]+Input_Raw[[#This Row],[33 kV_Wind_F4_Export (MWh)]]</f>
        <v>49.311</v>
      </c>
      <c r="DK61" s="248">
        <f>Input_Raw[[#This Row],[33 kV_Wind_F1_Import (MWh)]]+Input_Raw[[#This Row],[33 kV_Wind_F2_Import (MWh)]]+Input_Raw[[#This Row],[33 kV_Wind_F3_Import (MWh)2]]+Input_Raw[[#This Row],[33 kV_Wind_F4_Import (MWh)2]]</f>
        <v>0</v>
      </c>
      <c r="DL61" s="249">
        <f>IFERROR(Input_Raw[[#This Row],[33 kV_Wind_Total_Export (MWh)]]/Input_Raw[[#This Row],[WTG Total Gneration (MWh)]]-1,"")</f>
        <v>0</v>
      </c>
      <c r="DM61" s="250"/>
      <c r="DN61" s="186">
        <v>95</v>
      </c>
      <c r="DO61" s="186">
        <v>0</v>
      </c>
      <c r="DP61" s="102">
        <v>45.49</v>
      </c>
      <c r="DQ61" s="250"/>
      <c r="DR61" s="181">
        <v>70.400000000000006</v>
      </c>
    </row>
    <row r="62" spans="1:122">
      <c r="A62" s="92">
        <f t="shared" si="74"/>
        <v>45802</v>
      </c>
      <c r="B62" s="190">
        <f>YEAR(Input_Raw[[#This Row],[Date]])+IF(MONTH(Input_Raw[[#This Row],[Date]])&gt;=4,1,0)</f>
        <v>2026</v>
      </c>
      <c r="C62" s="190">
        <f>YEAR(Input_Raw[[#This Row],[Date]])</f>
        <v>2025</v>
      </c>
      <c r="D62" s="11">
        <f t="shared" ref="D62" si="115">A62-DAY(A62)+1</f>
        <v>45778</v>
      </c>
      <c r="E62" s="190">
        <f>DAY(EOMONTH(Input_Raw[[#This Row],[Date]],0))</f>
        <v>31</v>
      </c>
      <c r="F62" s="199">
        <v>14740</v>
      </c>
      <c r="G62" s="199">
        <v>17408</v>
      </c>
      <c r="H62" s="199">
        <v>19836</v>
      </c>
      <c r="I62" s="199">
        <v>9294</v>
      </c>
      <c r="J62" s="199">
        <v>17940</v>
      </c>
      <c r="K62" s="199">
        <v>16424</v>
      </c>
      <c r="L62" s="199">
        <v>11696</v>
      </c>
      <c r="M62" s="199">
        <v>6624</v>
      </c>
      <c r="N62" s="199">
        <v>7212</v>
      </c>
      <c r="O62" s="199">
        <v>7986</v>
      </c>
      <c r="P62" s="199">
        <v>7742</v>
      </c>
      <c r="Q62" s="199">
        <v>7620</v>
      </c>
      <c r="R62" s="199">
        <v>2584</v>
      </c>
      <c r="S62" s="199">
        <v>7032</v>
      </c>
      <c r="T62" s="199">
        <v>6596</v>
      </c>
      <c r="U62" s="199">
        <v>7432</v>
      </c>
      <c r="V62" s="199">
        <v>8484</v>
      </c>
      <c r="W62" s="199">
        <v>16384</v>
      </c>
      <c r="X62" s="199">
        <v>7716</v>
      </c>
      <c r="Y62" s="199">
        <v>7434</v>
      </c>
      <c r="Z62" s="199">
        <v>8976</v>
      </c>
      <c r="AA62" s="199">
        <v>9748</v>
      </c>
      <c r="AB62" s="199">
        <v>9088</v>
      </c>
      <c r="AC62" s="199">
        <v>8888</v>
      </c>
      <c r="AD62" s="199">
        <v>9160</v>
      </c>
      <c r="AE62" s="199">
        <v>8984</v>
      </c>
      <c r="AF62" s="199">
        <v>22106</v>
      </c>
      <c r="AG62" s="199">
        <v>6448</v>
      </c>
      <c r="AH62" s="199">
        <v>8784</v>
      </c>
      <c r="AI62" s="199">
        <v>8652</v>
      </c>
      <c r="AJ62" s="199">
        <v>10076</v>
      </c>
      <c r="AK62" s="199">
        <v>12004</v>
      </c>
      <c r="AL62" s="199">
        <v>17844</v>
      </c>
      <c r="AM62" s="199">
        <v>17640</v>
      </c>
      <c r="AN62" s="199">
        <v>7280</v>
      </c>
      <c r="AO62" s="199">
        <v>18272</v>
      </c>
      <c r="AP62" s="199">
        <v>18772</v>
      </c>
      <c r="AQ62" s="199">
        <v>16632</v>
      </c>
      <c r="AR62" s="199">
        <v>17720</v>
      </c>
      <c r="AS62" s="199">
        <v>5888</v>
      </c>
      <c r="AT62" s="199">
        <v>9124</v>
      </c>
      <c r="AU62" s="199">
        <v>9830</v>
      </c>
      <c r="AV62" s="199">
        <v>13356</v>
      </c>
      <c r="AW62" s="199">
        <v>13212</v>
      </c>
      <c r="AX62" s="95">
        <v>6.82</v>
      </c>
      <c r="AY62" s="95">
        <v>7.49</v>
      </c>
      <c r="AZ62" s="95">
        <v>7.99</v>
      </c>
      <c r="BA62" s="95">
        <v>6.18</v>
      </c>
      <c r="BB62" s="95">
        <v>7.43</v>
      </c>
      <c r="BC62" s="95">
        <v>7.47</v>
      </c>
      <c r="BD62" s="95">
        <v>6.53</v>
      </c>
      <c r="BE62" s="95">
        <v>5.47</v>
      </c>
      <c r="BF62" s="95">
        <v>5.47</v>
      </c>
      <c r="BG62" s="95">
        <v>5.41</v>
      </c>
      <c r="BH62" s="95">
        <v>6.13</v>
      </c>
      <c r="BI62" s="95">
        <v>5.78</v>
      </c>
      <c r="BJ62" s="95">
        <v>5.7</v>
      </c>
      <c r="BK62" s="95">
        <v>1.55</v>
      </c>
      <c r="BL62" s="95">
        <v>5.64</v>
      </c>
      <c r="BM62" s="95">
        <v>5.76</v>
      </c>
      <c r="BN62" s="95">
        <v>5.91</v>
      </c>
      <c r="BO62" s="95">
        <v>5.83</v>
      </c>
      <c r="BP62" s="95">
        <v>7.44</v>
      </c>
      <c r="BQ62" s="95">
        <v>5.68</v>
      </c>
      <c r="BR62" s="95">
        <v>5.53</v>
      </c>
      <c r="BS62" s="95">
        <v>5.91</v>
      </c>
      <c r="BT62" s="95">
        <v>6.07</v>
      </c>
      <c r="BU62" s="95">
        <v>5.68</v>
      </c>
      <c r="BV62" s="95">
        <v>5.99</v>
      </c>
      <c r="BW62" s="95">
        <v>6.23</v>
      </c>
      <c r="BX62" s="95">
        <v>6.19</v>
      </c>
      <c r="BY62" s="95">
        <v>8.34</v>
      </c>
      <c r="BZ62" s="95">
        <v>5.31</v>
      </c>
      <c r="CA62" s="95">
        <v>5.99</v>
      </c>
      <c r="CB62" s="95">
        <v>5.92</v>
      </c>
      <c r="CC62" s="95">
        <v>6.11</v>
      </c>
      <c r="CD62" s="95">
        <v>6.79</v>
      </c>
      <c r="CE62" s="95">
        <v>8.15</v>
      </c>
      <c r="CF62" s="95">
        <v>7.39</v>
      </c>
      <c r="CG62" s="95">
        <v>5.28</v>
      </c>
      <c r="CH62" s="95">
        <v>8.5500000000000007</v>
      </c>
      <c r="CI62" s="95">
        <v>7.86</v>
      </c>
      <c r="CJ62" s="95">
        <v>7.27</v>
      </c>
      <c r="CK62" s="95">
        <v>7.57</v>
      </c>
      <c r="CL62" s="95">
        <v>5.07</v>
      </c>
      <c r="CM62" s="95">
        <v>5.99</v>
      </c>
      <c r="CN62" s="95">
        <v>6.09</v>
      </c>
      <c r="CO62" s="95">
        <v>7.13</v>
      </c>
      <c r="CP62" s="251">
        <f>SUM(Input_Raw[[#This Row],[P-01]:[P-56]])/1000</f>
        <v>496.66800000000001</v>
      </c>
      <c r="CQ62" s="252">
        <f>IFERROR(AVERAGEIF(Input_Raw[[#This Row],[WS_P-01]:[WS_P-56]],"&lt;&gt;",Input_Raw[[#This Row],[WS_P-01]:[WS_P-56]]),"")</f>
        <v>6.3202272727272719</v>
      </c>
      <c r="CR62" s="253">
        <f>MAX(Input_Raw[[#This Row],[WS_P-01]:[WS_P-56]])</f>
        <v>8.5500000000000007</v>
      </c>
      <c r="CS62" s="253"/>
      <c r="CT62" s="254">
        <f>SUM(Input_Raw[[#This Row],[P-08]:[P-13]],Input_Raw[[#This Row],[P-25]:[P-28]])</f>
        <v>75888</v>
      </c>
      <c r="CU62" s="254"/>
      <c r="CV62" s="254">
        <f>SUM(Input_Raw[[#This Row],[P-04]],Input_Raw[[#This Row],[P-14]:[P-17]],Input_Raw[[#This Row],[P-19]:[P-20]],Input_Raw[[#This Row],[P-22]:[P-23]],Input_Raw[[#This Row],[P-34]],Input_Raw[[#This Row],[P-38]],Input_Raw[[#This Row],[P-43]])</f>
        <v>98852</v>
      </c>
      <c r="CW62" s="254"/>
      <c r="CX62" s="254">
        <f>SUM(Input_Raw[[#This Row],[P-05]:[P-06]],Input_Raw[[#This Row],[P-40]:[P-42]],Input_Raw[[#This Row],[P-45]],Input_Raw[[#This Row],[P-46]],Input_Raw[[#This Row],[P-47]:[P-48]])</f>
        <v>153248</v>
      </c>
      <c r="CY62" s="254"/>
      <c r="CZ62" s="254">
        <f>SUM(Input_Raw[[#This Row],[P-01]:[P-03]],Input_Raw[[#This Row],[P-07]],Input_Raw[[#This Row],[P-18]],Input_Raw[[#This Row],[P-31]:[P-32]],Input_Raw[[#This Row],[P-37]],Input_Raw[[#This Row],[P-50]:[P-56]])</f>
        <v>168680</v>
      </c>
      <c r="DA62" s="255"/>
      <c r="DB62" s="256">
        <f>Input_Raw[[#This Row],[33 kV_Wind_F1_Export reading]]/1000</f>
        <v>75.888000000000005</v>
      </c>
      <c r="DC62" s="256"/>
      <c r="DD62" s="256">
        <f>Input_Raw[[#This Row],[33 kV_Wind_F2_Export_reading]]/1000</f>
        <v>98.852000000000004</v>
      </c>
      <c r="DE62" s="256"/>
      <c r="DF62" s="256">
        <f>Input_Raw[[#This Row],[33 kV_Wind_F3_Export_Reading]]/1000</f>
        <v>153.24799999999999</v>
      </c>
      <c r="DG62" s="256"/>
      <c r="DH62" s="256">
        <f>Input_Raw[[#This Row],[33 kV_Wind_F4_Export Reading]]/1000</f>
        <v>168.68</v>
      </c>
      <c r="DI62" s="256"/>
      <c r="DJ62" s="256">
        <f>Input_Raw[[#This Row],[33 kV_F1_Total_Export (MWh)]]+Input_Raw[[#This Row],[33 kV_F2_Total_Export (MWh)2]]+Input_Raw[[#This Row],[33 kV_Wind_F3_Export (MWh)]]+Input_Raw[[#This Row],[33 kV_Wind_F4_Export (MWh)]]</f>
        <v>496.66800000000001</v>
      </c>
      <c r="DK62" s="256">
        <f>Input_Raw[[#This Row],[33 kV_Wind_F1_Import (MWh)]]+Input_Raw[[#This Row],[33 kV_Wind_F2_Import (MWh)]]+Input_Raw[[#This Row],[33 kV_Wind_F3_Import (MWh)2]]+Input_Raw[[#This Row],[33 kV_Wind_F4_Import (MWh)2]]</f>
        <v>0</v>
      </c>
      <c r="DL62" s="257">
        <f>IFERROR(Input_Raw[[#This Row],[33 kV_Wind_Total_Export (MWh)]]/Input_Raw[[#This Row],[WTG Total Gneration (MWh)]]-1,"")</f>
        <v>0</v>
      </c>
      <c r="DM62" s="258"/>
      <c r="DN62" s="186">
        <v>86</v>
      </c>
      <c r="DO62" s="186">
        <v>0</v>
      </c>
      <c r="DP62" s="102">
        <v>464.94</v>
      </c>
      <c r="DQ62" s="258"/>
      <c r="DR62" s="181">
        <v>70.400000000000006</v>
      </c>
    </row>
    <row r="63" spans="1:122">
      <c r="A63" s="92">
        <f t="shared" si="74"/>
        <v>45803</v>
      </c>
      <c r="B63" s="190">
        <f>YEAR(Input_Raw[[#This Row],[Date]])+IF(MONTH(Input_Raw[[#This Row],[Date]])&gt;=4,1,0)</f>
        <v>2026</v>
      </c>
      <c r="C63" s="190">
        <f>YEAR(Input_Raw[[#This Row],[Date]])</f>
        <v>2025</v>
      </c>
      <c r="D63" s="11">
        <f t="shared" ref="D63" si="116">A63-DAY(A63)+1</f>
        <v>45778</v>
      </c>
      <c r="E63" s="190">
        <f>DAY(EOMONTH(Input_Raw[[#This Row],[Date]],0))</f>
        <v>31</v>
      </c>
      <c r="F63" s="199">
        <v>13828</v>
      </c>
      <c r="G63" s="199">
        <v>19344</v>
      </c>
      <c r="H63" s="199">
        <v>19252</v>
      </c>
      <c r="I63" s="199">
        <v>12348</v>
      </c>
      <c r="J63" s="199">
        <v>19104</v>
      </c>
      <c r="K63" s="199">
        <v>18768</v>
      </c>
      <c r="L63" s="199">
        <v>12984</v>
      </c>
      <c r="M63" s="199">
        <v>9124</v>
      </c>
      <c r="N63" s="199">
        <v>8068</v>
      </c>
      <c r="O63" s="199">
        <v>9656</v>
      </c>
      <c r="P63" s="199">
        <v>10874</v>
      </c>
      <c r="Q63" s="199">
        <v>11520</v>
      </c>
      <c r="R63" s="199">
        <v>10948</v>
      </c>
      <c r="S63" s="199">
        <v>10310</v>
      </c>
      <c r="T63" s="199">
        <v>8936</v>
      </c>
      <c r="U63" s="199">
        <v>9758</v>
      </c>
      <c r="V63" s="199">
        <v>10472</v>
      </c>
      <c r="W63" s="199">
        <v>15864</v>
      </c>
      <c r="X63" s="199">
        <v>10316</v>
      </c>
      <c r="Y63" s="199">
        <v>9153</v>
      </c>
      <c r="Z63" s="199">
        <v>12100</v>
      </c>
      <c r="AA63" s="199">
        <v>11320</v>
      </c>
      <c r="AB63" s="199">
        <v>11160</v>
      </c>
      <c r="AC63" s="199">
        <v>12288</v>
      </c>
      <c r="AD63" s="199">
        <v>12508</v>
      </c>
      <c r="AE63" s="199">
        <v>11848</v>
      </c>
      <c r="AF63" s="199">
        <v>17338</v>
      </c>
      <c r="AG63" s="199">
        <v>7484</v>
      </c>
      <c r="AH63" s="199">
        <v>12808</v>
      </c>
      <c r="AI63" s="199">
        <v>10426</v>
      </c>
      <c r="AJ63" s="199">
        <v>11310</v>
      </c>
      <c r="AK63" s="199">
        <v>12680</v>
      </c>
      <c r="AL63" s="199">
        <v>18980</v>
      </c>
      <c r="AM63" s="199">
        <v>20196</v>
      </c>
      <c r="AN63" s="199">
        <v>9350</v>
      </c>
      <c r="AO63" s="199">
        <v>22004</v>
      </c>
      <c r="AP63" s="199">
        <v>21956</v>
      </c>
      <c r="AQ63" s="199">
        <v>18428</v>
      </c>
      <c r="AR63" s="199">
        <v>21096</v>
      </c>
      <c r="AS63" s="199">
        <v>7600</v>
      </c>
      <c r="AT63" s="199">
        <v>12084</v>
      </c>
      <c r="AU63" s="199">
        <v>10804</v>
      </c>
      <c r="AV63" s="199">
        <v>16628</v>
      </c>
      <c r="AW63" s="199">
        <v>13756</v>
      </c>
      <c r="AX63" s="95">
        <v>7.71</v>
      </c>
      <c r="AY63" s="95">
        <v>8.23</v>
      </c>
      <c r="AZ63" s="95">
        <v>8.51</v>
      </c>
      <c r="BA63" s="95">
        <v>7.19</v>
      </c>
      <c r="BB63" s="95">
        <v>7.85</v>
      </c>
      <c r="BC63" s="95">
        <v>8.17</v>
      </c>
      <c r="BD63" s="95">
        <v>7.28</v>
      </c>
      <c r="BE63" s="95">
        <v>6.32</v>
      </c>
      <c r="BF63" s="95">
        <v>6.32</v>
      </c>
      <c r="BG63" s="95">
        <v>6.22</v>
      </c>
      <c r="BH63" s="95">
        <v>6.83</v>
      </c>
      <c r="BI63" s="95">
        <v>6.74</v>
      </c>
      <c r="BJ63" s="95">
        <v>6.71</v>
      </c>
      <c r="BK63" s="95">
        <v>6.67</v>
      </c>
      <c r="BL63" s="95">
        <v>6.53</v>
      </c>
      <c r="BM63" s="95">
        <v>6.53</v>
      </c>
      <c r="BN63" s="95">
        <v>6.57</v>
      </c>
      <c r="BO63" s="95">
        <v>6.53</v>
      </c>
      <c r="BP63" s="95">
        <v>7.76</v>
      </c>
      <c r="BQ63" s="95">
        <v>6.43</v>
      </c>
      <c r="BR63" s="95">
        <v>6.08</v>
      </c>
      <c r="BS63" s="95">
        <v>6.76</v>
      </c>
      <c r="BT63" s="95">
        <v>6.57</v>
      </c>
      <c r="BU63" s="95">
        <v>6.36</v>
      </c>
      <c r="BV63" s="95">
        <v>6.87</v>
      </c>
      <c r="BW63" s="95">
        <v>7.27</v>
      </c>
      <c r="BX63" s="95">
        <v>7.02</v>
      </c>
      <c r="BY63" s="95">
        <v>8.35</v>
      </c>
      <c r="BZ63" s="95">
        <v>5.91</v>
      </c>
      <c r="CA63" s="95">
        <v>7.02</v>
      </c>
      <c r="CB63" s="95">
        <v>6.65</v>
      </c>
      <c r="CC63" s="95">
        <v>6.56</v>
      </c>
      <c r="CD63" s="95">
        <v>7.22</v>
      </c>
      <c r="CE63" s="95">
        <v>8.5500000000000007</v>
      </c>
      <c r="CF63" s="95">
        <v>8.1300000000000008</v>
      </c>
      <c r="CG63" s="95">
        <v>5.95</v>
      </c>
      <c r="CH63" s="95">
        <v>9.75</v>
      </c>
      <c r="CI63" s="95">
        <v>8.7100000000000009</v>
      </c>
      <c r="CJ63" s="95">
        <v>7.82</v>
      </c>
      <c r="CK63" s="95">
        <v>8.4600000000000009</v>
      </c>
      <c r="CL63" s="95">
        <v>5.76</v>
      </c>
      <c r="CM63" s="95">
        <v>7</v>
      </c>
      <c r="CN63" s="95">
        <v>7.01</v>
      </c>
      <c r="CO63" s="95">
        <v>8.24</v>
      </c>
      <c r="CP63" s="251">
        <f>SUM(Input_Raw[[#This Row],[P-01]:[P-56]])/1000</f>
        <v>586.779</v>
      </c>
      <c r="CQ63" s="252">
        <f>IFERROR(AVERAGEIF(Input_Raw[[#This Row],[WS_P-01]:[WS_P-56]],"&lt;&gt;",Input_Raw[[#This Row],[WS_P-01]:[WS_P-56]]),"")</f>
        <v>7.1618181818181803</v>
      </c>
      <c r="CR63" s="253">
        <f>MAX(Input_Raw[[#This Row],[WS_P-01]:[WS_P-56]])</f>
        <v>9.75</v>
      </c>
      <c r="CS63" s="253"/>
      <c r="CT63" s="254">
        <f>SUM(Input_Raw[[#This Row],[P-08]:[P-13]],Input_Raw[[#This Row],[P-25]:[P-28]])</f>
        <v>107994</v>
      </c>
      <c r="CU63" s="254"/>
      <c r="CV63" s="254">
        <f>SUM(Input_Raw[[#This Row],[P-04]],Input_Raw[[#This Row],[P-14]:[P-17]],Input_Raw[[#This Row],[P-19]:[P-20]],Input_Raw[[#This Row],[P-22]:[P-23]],Input_Raw[[#This Row],[P-34]],Input_Raw[[#This Row],[P-38]],Input_Raw[[#This Row],[P-43]])</f>
        <v>128181</v>
      </c>
      <c r="CW63" s="254"/>
      <c r="CX63" s="254">
        <f>SUM(Input_Raw[[#This Row],[P-05]:[P-06]],Input_Raw[[#This Row],[P-40]:[P-42]],Input_Raw[[#This Row],[P-45]],Input_Raw[[#This Row],[P-46]],Input_Raw[[#This Row],[P-47]:[P-48]])</f>
        <v>173212</v>
      </c>
      <c r="CY63" s="254"/>
      <c r="CZ63" s="254">
        <f>SUM(Input_Raw[[#This Row],[P-01]:[P-03]],Input_Raw[[#This Row],[P-07]],Input_Raw[[#This Row],[P-18]],Input_Raw[[#This Row],[P-31]:[P-32]],Input_Raw[[#This Row],[P-37]],Input_Raw[[#This Row],[P-50]:[P-56]])</f>
        <v>177392</v>
      </c>
      <c r="DA63" s="255"/>
      <c r="DB63" s="256">
        <f>Input_Raw[[#This Row],[33 kV_Wind_F1_Export reading]]/1000</f>
        <v>107.994</v>
      </c>
      <c r="DC63" s="256"/>
      <c r="DD63" s="256">
        <f>Input_Raw[[#This Row],[33 kV_Wind_F2_Export_reading]]/1000</f>
        <v>128.18100000000001</v>
      </c>
      <c r="DE63" s="256"/>
      <c r="DF63" s="256">
        <f>Input_Raw[[#This Row],[33 kV_Wind_F3_Export_Reading]]/1000</f>
        <v>173.21199999999999</v>
      </c>
      <c r="DG63" s="256"/>
      <c r="DH63" s="256">
        <f>Input_Raw[[#This Row],[33 kV_Wind_F4_Export Reading]]/1000</f>
        <v>177.392</v>
      </c>
      <c r="DI63" s="256"/>
      <c r="DJ63" s="256">
        <f>Input_Raw[[#This Row],[33 kV_F1_Total_Export (MWh)]]+Input_Raw[[#This Row],[33 kV_F2_Total_Export (MWh)2]]+Input_Raw[[#This Row],[33 kV_Wind_F3_Export (MWh)]]+Input_Raw[[#This Row],[33 kV_Wind_F4_Export (MWh)]]</f>
        <v>586.779</v>
      </c>
      <c r="DK63" s="256">
        <f>Input_Raw[[#This Row],[33 kV_Wind_F1_Import (MWh)]]+Input_Raw[[#This Row],[33 kV_Wind_F2_Import (MWh)]]+Input_Raw[[#This Row],[33 kV_Wind_F3_Import (MWh)2]]+Input_Raw[[#This Row],[33 kV_Wind_F4_Import (MWh)2]]</f>
        <v>0</v>
      </c>
      <c r="DL63" s="257">
        <f>IFERROR(Input_Raw[[#This Row],[33 kV_Wind_Total_Export (MWh)]]/Input_Raw[[#This Row],[WTG Total Gneration (MWh)]]-1,"")</f>
        <v>0</v>
      </c>
      <c r="DM63" s="258"/>
      <c r="DN63" s="186">
        <v>56</v>
      </c>
      <c r="DO63" s="186">
        <v>0</v>
      </c>
      <c r="DP63" s="102">
        <v>576.94000000000005</v>
      </c>
      <c r="DQ63" s="258"/>
      <c r="DR63" s="181">
        <v>70.400000000000006</v>
      </c>
    </row>
    <row r="64" spans="1:122">
      <c r="A64" s="92">
        <f t="shared" si="74"/>
        <v>45804</v>
      </c>
      <c r="B64" s="190">
        <f>YEAR(Input_Raw[[#This Row],[Date]])+IF(MONTH(Input_Raw[[#This Row],[Date]])&gt;=4,1,0)</f>
        <v>2026</v>
      </c>
      <c r="C64" s="190">
        <f>YEAR(Input_Raw[[#This Row],[Date]])</f>
        <v>2025</v>
      </c>
      <c r="D64" s="11">
        <f t="shared" ref="D64" si="117">A64-DAY(A64)+1</f>
        <v>45778</v>
      </c>
      <c r="E64" s="190">
        <f>DAY(EOMONTH(Input_Raw[[#This Row],[Date]],0))</f>
        <v>31</v>
      </c>
      <c r="F64" s="199">
        <v>16900</v>
      </c>
      <c r="G64" s="199">
        <v>17912</v>
      </c>
      <c r="H64" s="199">
        <v>18488</v>
      </c>
      <c r="I64" s="199">
        <v>11020</v>
      </c>
      <c r="J64" s="199">
        <v>14748</v>
      </c>
      <c r="K64" s="199">
        <v>13396</v>
      </c>
      <c r="L64" s="199">
        <v>11540</v>
      </c>
      <c r="M64" s="199">
        <v>7496</v>
      </c>
      <c r="N64" s="199">
        <v>6914</v>
      </c>
      <c r="O64" s="199">
        <v>8000</v>
      </c>
      <c r="P64" s="199">
        <v>8776</v>
      </c>
      <c r="Q64" s="199">
        <v>8456</v>
      </c>
      <c r="R64" s="199">
        <v>8212</v>
      </c>
      <c r="S64" s="199">
        <v>7512</v>
      </c>
      <c r="T64" s="199">
        <v>6778</v>
      </c>
      <c r="U64" s="199">
        <v>7306</v>
      </c>
      <c r="V64" s="199">
        <v>8000</v>
      </c>
      <c r="W64" s="199">
        <v>15916</v>
      </c>
      <c r="X64" s="199">
        <v>7900</v>
      </c>
      <c r="Y64" s="199">
        <v>6997</v>
      </c>
      <c r="Z64" s="199">
        <v>10364</v>
      </c>
      <c r="AA64" s="199">
        <v>10524</v>
      </c>
      <c r="AB64" s="199">
        <v>8744</v>
      </c>
      <c r="AC64" s="199">
        <v>9312</v>
      </c>
      <c r="AD64" s="199">
        <v>9760</v>
      </c>
      <c r="AE64" s="199">
        <v>9016</v>
      </c>
      <c r="AF64" s="199">
        <v>18168</v>
      </c>
      <c r="AG64" s="199">
        <v>8328</v>
      </c>
      <c r="AH64" s="199">
        <v>11540</v>
      </c>
      <c r="AI64" s="199">
        <v>10496</v>
      </c>
      <c r="AJ64" s="199">
        <v>9080</v>
      </c>
      <c r="AK64" s="199">
        <v>9594</v>
      </c>
      <c r="AL64" s="199">
        <v>14792</v>
      </c>
      <c r="AM64" s="199">
        <v>16412</v>
      </c>
      <c r="AN64" s="199">
        <v>8822</v>
      </c>
      <c r="AO64" s="199">
        <v>16672</v>
      </c>
      <c r="AP64" s="199">
        <v>16672</v>
      </c>
      <c r="AQ64" s="199">
        <v>15304</v>
      </c>
      <c r="AR64" s="199">
        <v>15900</v>
      </c>
      <c r="AS64" s="199">
        <v>8274</v>
      </c>
      <c r="AT64" s="199">
        <v>12684</v>
      </c>
      <c r="AU64" s="199">
        <v>12772</v>
      </c>
      <c r="AV64" s="199">
        <v>15240</v>
      </c>
      <c r="AW64" s="199">
        <v>13872</v>
      </c>
      <c r="AX64" s="95">
        <v>7.15</v>
      </c>
      <c r="AY64" s="95">
        <v>7.57</v>
      </c>
      <c r="AZ64" s="95">
        <v>7.83</v>
      </c>
      <c r="BA64" s="95">
        <v>6.5</v>
      </c>
      <c r="BB64" s="95">
        <v>6.94</v>
      </c>
      <c r="BC64" s="95">
        <v>6.95</v>
      </c>
      <c r="BD64" s="95">
        <v>6.38</v>
      </c>
      <c r="BE64" s="95">
        <v>5.64</v>
      </c>
      <c r="BF64" s="95">
        <v>5.64</v>
      </c>
      <c r="BG64" s="95">
        <v>5.59</v>
      </c>
      <c r="BH64" s="95">
        <v>6.13</v>
      </c>
      <c r="BI64" s="95">
        <v>5.97</v>
      </c>
      <c r="BJ64" s="95">
        <v>5.85</v>
      </c>
      <c r="BK64" s="95">
        <v>5.86</v>
      </c>
      <c r="BL64" s="95">
        <v>5.71</v>
      </c>
      <c r="BM64" s="95">
        <v>5.76</v>
      </c>
      <c r="BN64" s="95">
        <v>5.85</v>
      </c>
      <c r="BO64" s="95">
        <v>5.69</v>
      </c>
      <c r="BP64" s="95">
        <v>7.23</v>
      </c>
      <c r="BQ64" s="95">
        <v>5.69</v>
      </c>
      <c r="BR64" s="95">
        <v>5.42</v>
      </c>
      <c r="BS64" s="95">
        <v>6.2</v>
      </c>
      <c r="BT64" s="95">
        <v>6.24</v>
      </c>
      <c r="BU64" s="95">
        <v>5.55</v>
      </c>
      <c r="BV64" s="95">
        <v>6.08</v>
      </c>
      <c r="BW64" s="95">
        <v>6.26</v>
      </c>
      <c r="BX64" s="95">
        <v>6.14</v>
      </c>
      <c r="BY64" s="95">
        <v>7.58</v>
      </c>
      <c r="BZ64" s="95">
        <v>5.5</v>
      </c>
      <c r="CA64" s="95">
        <v>6.52</v>
      </c>
      <c r="CB64" s="95">
        <v>6.1</v>
      </c>
      <c r="CC64" s="95">
        <v>5.84</v>
      </c>
      <c r="CD64" s="95">
        <v>6.18</v>
      </c>
      <c r="CE64" s="95">
        <v>7.58</v>
      </c>
      <c r="CF64" s="95">
        <v>7.23</v>
      </c>
      <c r="CG64" s="95">
        <v>5.57</v>
      </c>
      <c r="CH64" s="95">
        <v>8.17</v>
      </c>
      <c r="CI64" s="95">
        <v>7.63</v>
      </c>
      <c r="CJ64" s="95">
        <v>6.95</v>
      </c>
      <c r="CK64" s="95">
        <v>7.36</v>
      </c>
      <c r="CL64" s="95">
        <v>5.28</v>
      </c>
      <c r="CM64" s="95">
        <v>6.47</v>
      </c>
      <c r="CN64" s="95">
        <v>6.51</v>
      </c>
      <c r="CO64" s="95">
        <v>7.24</v>
      </c>
      <c r="CP64" s="98">
        <f>SUM(Input_Raw[[#This Row],[P-01]:[P-56]])/1000</f>
        <v>504.60899999999998</v>
      </c>
      <c r="CQ64" s="71">
        <f>IFERROR(AVERAGEIF(Input_Raw[[#This Row],[WS_P-01]:[WS_P-56]],"&lt;&gt;",Input_Raw[[#This Row],[WS_P-01]:[WS_P-56]]),"")</f>
        <v>6.39840909090909</v>
      </c>
      <c r="CR64" s="99">
        <f>MAX(Input_Raw[[#This Row],[WS_P-01]:[WS_P-56]])</f>
        <v>8.17</v>
      </c>
      <c r="CS64" s="99"/>
      <c r="CT64" s="70">
        <f>SUM(Input_Raw[[#This Row],[P-08]:[P-13]],Input_Raw[[#This Row],[P-25]:[P-28]])</f>
        <v>84686</v>
      </c>
      <c r="CU64" s="70"/>
      <c r="CV64" s="70">
        <f>SUM(Input_Raw[[#This Row],[P-04]],Input_Raw[[#This Row],[P-14]:[P-17]],Input_Raw[[#This Row],[P-19]:[P-20]],Input_Raw[[#This Row],[P-22]:[P-23]],Input_Raw[[#This Row],[P-34]],Input_Raw[[#This Row],[P-38]],Input_Raw[[#This Row],[P-43]])</f>
        <v>105843</v>
      </c>
      <c r="CW64" s="70"/>
      <c r="CX64" s="70">
        <f>SUM(Input_Raw[[#This Row],[P-05]:[P-06]],Input_Raw[[#This Row],[P-40]:[P-42]],Input_Raw[[#This Row],[P-45]],Input_Raw[[#This Row],[P-46]],Input_Raw[[#This Row],[P-47]:[P-48]])</f>
        <v>133490</v>
      </c>
      <c r="CY64" s="70"/>
      <c r="CZ64" s="70">
        <f>SUM(Input_Raw[[#This Row],[P-01]:[P-03]],Input_Raw[[#This Row],[P-07]],Input_Raw[[#This Row],[P-18]],Input_Raw[[#This Row],[P-31]:[P-32]],Input_Raw[[#This Row],[P-37]],Input_Raw[[#This Row],[P-50]:[P-56]])</f>
        <v>180590</v>
      </c>
      <c r="DA64" s="12"/>
      <c r="DB64" s="13">
        <f>Input_Raw[[#This Row],[33 kV_Wind_F1_Export reading]]/1000</f>
        <v>84.686000000000007</v>
      </c>
      <c r="DC64" s="13"/>
      <c r="DD64" s="13">
        <f>Input_Raw[[#This Row],[33 kV_Wind_F2_Export_reading]]/1000</f>
        <v>105.843</v>
      </c>
      <c r="DE64" s="13"/>
      <c r="DF64" s="13">
        <f>Input_Raw[[#This Row],[33 kV_Wind_F3_Export_Reading]]/1000</f>
        <v>133.49</v>
      </c>
      <c r="DG64" s="13"/>
      <c r="DH64" s="13">
        <f>Input_Raw[[#This Row],[33 kV_Wind_F4_Export Reading]]/1000</f>
        <v>180.59</v>
      </c>
      <c r="DI64" s="13"/>
      <c r="DJ64" s="13">
        <f>Input_Raw[[#This Row],[33 kV_F1_Total_Export (MWh)]]+Input_Raw[[#This Row],[33 kV_F2_Total_Export (MWh)2]]+Input_Raw[[#This Row],[33 kV_Wind_F3_Export (MWh)]]+Input_Raw[[#This Row],[33 kV_Wind_F4_Export (MWh)]]</f>
        <v>504.60900000000004</v>
      </c>
      <c r="DK64" s="13">
        <f>Input_Raw[[#This Row],[33 kV_Wind_F1_Import (MWh)]]+Input_Raw[[#This Row],[33 kV_Wind_F2_Import (MWh)]]+Input_Raw[[#This Row],[33 kV_Wind_F3_Import (MWh)2]]+Input_Raw[[#This Row],[33 kV_Wind_F4_Import (MWh)2]]</f>
        <v>0</v>
      </c>
      <c r="DL64" s="100">
        <f>IFERROR(Input_Raw[[#This Row],[33 kV_Wind_Total_Export (MWh)]]/Input_Raw[[#This Row],[WTG Total Gneration (MWh)]]-1,"")</f>
        <v>2.2204460492503131E-16</v>
      </c>
      <c r="DM64" s="66"/>
      <c r="DN64" s="186">
        <v>88</v>
      </c>
      <c r="DO64" s="186">
        <v>0</v>
      </c>
      <c r="DP64" s="102">
        <v>485.57</v>
      </c>
      <c r="DQ64" s="66"/>
      <c r="DR64" s="181">
        <v>70.400000000000006</v>
      </c>
    </row>
    <row r="65" spans="1:122">
      <c r="A65" s="92">
        <f t="shared" si="74"/>
        <v>45805</v>
      </c>
      <c r="B65" s="190">
        <f>YEAR(Input_Raw[[#This Row],[Date]])+IF(MONTH(Input_Raw[[#This Row],[Date]])&gt;=4,1,0)</f>
        <v>2026</v>
      </c>
      <c r="C65" s="190">
        <f>YEAR(Input_Raw[[#This Row],[Date]])</f>
        <v>2025</v>
      </c>
      <c r="D65" s="11">
        <f t="shared" ref="D65" si="118">A65-DAY(A65)+1</f>
        <v>45778</v>
      </c>
      <c r="E65" s="190">
        <f>DAY(EOMONTH(Input_Raw[[#This Row],[Date]],0))</f>
        <v>31</v>
      </c>
      <c r="F65" s="199">
        <v>19200</v>
      </c>
      <c r="G65" s="199">
        <v>19484</v>
      </c>
      <c r="H65" s="199">
        <v>19456</v>
      </c>
      <c r="I65" s="199">
        <v>14060</v>
      </c>
      <c r="J65" s="199">
        <v>15200</v>
      </c>
      <c r="K65" s="199">
        <v>13220</v>
      </c>
      <c r="L65" s="199">
        <v>13824</v>
      </c>
      <c r="M65" s="199">
        <v>8484</v>
      </c>
      <c r="N65" s="199">
        <v>7742</v>
      </c>
      <c r="O65" s="199">
        <v>9694</v>
      </c>
      <c r="P65" s="199">
        <v>11008</v>
      </c>
      <c r="Q65" s="199">
        <v>11588</v>
      </c>
      <c r="R65" s="199">
        <v>10704</v>
      </c>
      <c r="S65" s="199">
        <v>10564</v>
      </c>
      <c r="T65" s="199">
        <v>9540</v>
      </c>
      <c r="U65" s="199">
        <v>10616</v>
      </c>
      <c r="V65" s="199">
        <v>11026</v>
      </c>
      <c r="W65" s="199">
        <v>17236</v>
      </c>
      <c r="X65" s="199">
        <v>10306</v>
      </c>
      <c r="Y65" s="199">
        <v>8477</v>
      </c>
      <c r="Z65" s="199">
        <v>13516</v>
      </c>
      <c r="AA65" s="199">
        <v>14076</v>
      </c>
      <c r="AB65" s="199">
        <v>11832</v>
      </c>
      <c r="AC65" s="199">
        <v>12528</v>
      </c>
      <c r="AD65" s="199">
        <v>13080</v>
      </c>
      <c r="AE65" s="199">
        <v>12064</v>
      </c>
      <c r="AF65" s="199">
        <v>19470</v>
      </c>
      <c r="AG65" s="199">
        <v>10060</v>
      </c>
      <c r="AH65" s="199">
        <v>13880</v>
      </c>
      <c r="AI65" s="199">
        <v>13188</v>
      </c>
      <c r="AJ65" s="199">
        <v>11066</v>
      </c>
      <c r="AK65" s="199">
        <v>8894</v>
      </c>
      <c r="AL65" s="199">
        <v>15392</v>
      </c>
      <c r="AM65" s="199">
        <v>15060</v>
      </c>
      <c r="AN65" s="199">
        <v>9840</v>
      </c>
      <c r="AO65" s="199">
        <v>15844</v>
      </c>
      <c r="AP65" s="199">
        <v>16320</v>
      </c>
      <c r="AQ65" s="199">
        <v>14492</v>
      </c>
      <c r="AR65" s="199">
        <v>13560</v>
      </c>
      <c r="AS65" s="199">
        <v>9362</v>
      </c>
      <c r="AT65" s="199">
        <v>14840</v>
      </c>
      <c r="AU65" s="199">
        <v>15144</v>
      </c>
      <c r="AV65" s="199">
        <v>18092</v>
      </c>
      <c r="AW65" s="199">
        <v>15704</v>
      </c>
      <c r="AX65" s="95">
        <v>7.75</v>
      </c>
      <c r="AY65" s="95">
        <v>8.01</v>
      </c>
      <c r="AZ65" s="95">
        <v>8.2100000000000009</v>
      </c>
      <c r="BA65" s="95">
        <v>7.19</v>
      </c>
      <c r="BB65" s="95">
        <v>7.96</v>
      </c>
      <c r="BC65" s="95">
        <v>7.85</v>
      </c>
      <c r="BD65" s="95">
        <v>7.09</v>
      </c>
      <c r="BE65" s="95">
        <v>6.14</v>
      </c>
      <c r="BF65" s="95">
        <v>6.14</v>
      </c>
      <c r="BG65" s="95">
        <v>6.19</v>
      </c>
      <c r="BH65" s="95">
        <v>6.87</v>
      </c>
      <c r="BI65" s="95">
        <v>6.86</v>
      </c>
      <c r="BJ65" s="95">
        <v>6.82</v>
      </c>
      <c r="BK65" s="95">
        <v>6.71</v>
      </c>
      <c r="BL65" s="95">
        <v>6.67</v>
      </c>
      <c r="BM65" s="95">
        <v>6.69</v>
      </c>
      <c r="BN65" s="95">
        <v>6.83</v>
      </c>
      <c r="BO65" s="95">
        <v>6.55</v>
      </c>
      <c r="BP65" s="95">
        <v>7.7</v>
      </c>
      <c r="BQ65" s="95">
        <v>6.46</v>
      </c>
      <c r="BR65" s="95">
        <v>5.92</v>
      </c>
      <c r="BS65" s="95">
        <v>7</v>
      </c>
      <c r="BT65" s="95">
        <v>7.09</v>
      </c>
      <c r="BU65" s="95">
        <v>6.52</v>
      </c>
      <c r="BV65" s="95">
        <v>7.01</v>
      </c>
      <c r="BW65" s="95">
        <v>7.33</v>
      </c>
      <c r="BX65" s="95">
        <v>7.07</v>
      </c>
      <c r="BY65" s="95">
        <v>8.0299999999999994</v>
      </c>
      <c r="BZ65" s="95">
        <v>6.23</v>
      </c>
      <c r="CA65" s="95">
        <v>7.09</v>
      </c>
      <c r="CB65" s="95">
        <v>6.96</v>
      </c>
      <c r="CC65" s="95">
        <v>6.48</v>
      </c>
      <c r="CD65" s="95">
        <v>6.96</v>
      </c>
      <c r="CE65" s="95">
        <v>8.6999999999999993</v>
      </c>
      <c r="CF65" s="95">
        <v>7.85</v>
      </c>
      <c r="CG65" s="95">
        <v>6.01</v>
      </c>
      <c r="CH65" s="95">
        <v>8.91</v>
      </c>
      <c r="CI65" s="95">
        <v>8.49</v>
      </c>
      <c r="CJ65" s="95">
        <v>7.7</v>
      </c>
      <c r="CK65" s="95">
        <v>8.01</v>
      </c>
      <c r="CL65" s="95">
        <v>5.79</v>
      </c>
      <c r="CM65" s="95">
        <v>7.22</v>
      </c>
      <c r="CN65" s="95">
        <v>7.23</v>
      </c>
      <c r="CO65" s="95">
        <v>8.1199999999999992</v>
      </c>
      <c r="CP65" s="259">
        <f>SUM(Input_Raw[[#This Row],[P-01]:[P-56]])/1000</f>
        <v>578.73299999999995</v>
      </c>
      <c r="CQ65" s="260">
        <f>IFERROR(AVERAGEIF(Input_Raw[[#This Row],[WS_P-01]:[WS_P-56]],"&lt;&gt;",Input_Raw[[#This Row],[WS_P-01]:[WS_P-56]]),"")</f>
        <v>7.1456818181818189</v>
      </c>
      <c r="CR65" s="261">
        <f>MAX(Input_Raw[[#This Row],[WS_P-01]:[WS_P-56]])</f>
        <v>8.91</v>
      </c>
      <c r="CS65" s="261"/>
      <c r="CT65" s="262">
        <f>SUM(Input_Raw[[#This Row],[P-08]:[P-13]],Input_Raw[[#This Row],[P-25]:[P-28]])</f>
        <v>108724</v>
      </c>
      <c r="CU65" s="262"/>
      <c r="CV65" s="262">
        <f>SUM(Input_Raw[[#This Row],[P-04]],Input_Raw[[#This Row],[P-14]:[P-17]],Input_Raw[[#This Row],[P-19]:[P-20]],Input_Raw[[#This Row],[P-22]:[P-23]],Input_Raw[[#This Row],[P-34]],Input_Raw[[#This Row],[P-38]],Input_Raw[[#This Row],[P-43]])</f>
        <v>136967</v>
      </c>
      <c r="CW65" s="262"/>
      <c r="CX65" s="262">
        <f>SUM(Input_Raw[[#This Row],[P-05]:[P-06]],Input_Raw[[#This Row],[P-40]:[P-42]],Input_Raw[[#This Row],[P-45]],Input_Raw[[#This Row],[P-46]],Input_Raw[[#This Row],[P-47]:[P-48]])</f>
        <v>127982</v>
      </c>
      <c r="CY65" s="262"/>
      <c r="CZ65" s="262">
        <f>SUM(Input_Raw[[#This Row],[P-01]:[P-03]],Input_Raw[[#This Row],[P-07]],Input_Raw[[#This Row],[P-18]],Input_Raw[[#This Row],[P-31]:[P-32]],Input_Raw[[#This Row],[P-37]],Input_Raw[[#This Row],[P-50]:[P-56]])</f>
        <v>205060</v>
      </c>
      <c r="DA65" s="263"/>
      <c r="DB65" s="264">
        <f>Input_Raw[[#This Row],[33 kV_Wind_F1_Export reading]]/1000</f>
        <v>108.724</v>
      </c>
      <c r="DC65" s="264"/>
      <c r="DD65" s="264">
        <f>Input_Raw[[#This Row],[33 kV_Wind_F2_Export_reading]]/1000</f>
        <v>136.96700000000001</v>
      </c>
      <c r="DE65" s="264"/>
      <c r="DF65" s="264">
        <f>Input_Raw[[#This Row],[33 kV_Wind_F3_Export_Reading]]/1000</f>
        <v>127.982</v>
      </c>
      <c r="DG65" s="264"/>
      <c r="DH65" s="264">
        <f>Input_Raw[[#This Row],[33 kV_Wind_F4_Export Reading]]/1000</f>
        <v>205.06</v>
      </c>
      <c r="DI65" s="264"/>
      <c r="DJ65" s="264">
        <f>Input_Raw[[#This Row],[33 kV_F1_Total_Export (MWh)]]+Input_Raw[[#This Row],[33 kV_F2_Total_Export (MWh)2]]+Input_Raw[[#This Row],[33 kV_Wind_F3_Export (MWh)]]+Input_Raw[[#This Row],[33 kV_Wind_F4_Export (MWh)]]</f>
        <v>578.73299999999995</v>
      </c>
      <c r="DK65" s="264">
        <f>Input_Raw[[#This Row],[33 kV_Wind_F1_Import (MWh)]]+Input_Raw[[#This Row],[33 kV_Wind_F2_Import (MWh)]]+Input_Raw[[#This Row],[33 kV_Wind_F3_Import (MWh)2]]+Input_Raw[[#This Row],[33 kV_Wind_F4_Import (MWh)2]]</f>
        <v>0</v>
      </c>
      <c r="DL65" s="265">
        <f>IFERROR(Input_Raw[[#This Row],[33 kV_Wind_Total_Export (MWh)]]/Input_Raw[[#This Row],[WTG Total Gneration (MWh)]]-1,"")</f>
        <v>0</v>
      </c>
      <c r="DM65" s="266"/>
      <c r="DN65" s="186">
        <v>88</v>
      </c>
      <c r="DO65" s="186">
        <v>0</v>
      </c>
      <c r="DP65" s="102">
        <v>558.98</v>
      </c>
      <c r="DQ65" s="266"/>
      <c r="DR65" s="181">
        <v>70.400000000000006</v>
      </c>
    </row>
    <row r="66" spans="1:122">
      <c r="A66" s="92">
        <f t="shared" si="74"/>
        <v>45806</v>
      </c>
      <c r="B66" s="190">
        <f>YEAR(Input_Raw[[#This Row],[Date]])+IF(MONTH(Input_Raw[[#This Row],[Date]])&gt;=4,1,0)</f>
        <v>2026</v>
      </c>
      <c r="C66" s="190">
        <f>YEAR(Input_Raw[[#This Row],[Date]])</f>
        <v>2025</v>
      </c>
      <c r="D66" s="11">
        <f t="shared" ref="D66" si="119">A66-DAY(A66)+1</f>
        <v>45778</v>
      </c>
      <c r="E66" s="190">
        <f>DAY(EOMONTH(Input_Raw[[#This Row],[Date]],0))</f>
        <v>31</v>
      </c>
      <c r="F66" s="199">
        <v>21808</v>
      </c>
      <c r="G66" s="199">
        <v>19588</v>
      </c>
      <c r="H66" s="199">
        <v>20624</v>
      </c>
      <c r="I66" s="199">
        <v>18064</v>
      </c>
      <c r="J66" s="199">
        <v>22256</v>
      </c>
      <c r="K66" s="199">
        <v>19816</v>
      </c>
      <c r="L66" s="199">
        <v>17842</v>
      </c>
      <c r="M66" s="199">
        <v>10276</v>
      </c>
      <c r="N66" s="199">
        <v>9120</v>
      </c>
      <c r="O66" s="199">
        <v>11372</v>
      </c>
      <c r="P66" s="199">
        <v>13450</v>
      </c>
      <c r="Q66" s="199">
        <v>14380</v>
      </c>
      <c r="R66" s="199">
        <v>13056</v>
      </c>
      <c r="S66" s="199">
        <v>12428</v>
      </c>
      <c r="T66" s="199">
        <v>11298</v>
      </c>
      <c r="U66" s="199">
        <v>12500</v>
      </c>
      <c r="V66" s="199">
        <v>12952</v>
      </c>
      <c r="W66" s="199">
        <v>20192</v>
      </c>
      <c r="X66" s="199">
        <v>11030</v>
      </c>
      <c r="Y66" s="199">
        <v>9101</v>
      </c>
      <c r="Z66" s="199">
        <v>15780</v>
      </c>
      <c r="AA66" s="199">
        <v>15296</v>
      </c>
      <c r="AB66" s="199">
        <v>13752</v>
      </c>
      <c r="AC66" s="199">
        <v>14488</v>
      </c>
      <c r="AD66" s="199">
        <v>12076</v>
      </c>
      <c r="AE66" s="199">
        <v>12468</v>
      </c>
      <c r="AF66" s="199">
        <v>21122</v>
      </c>
      <c r="AG66" s="199">
        <v>13012</v>
      </c>
      <c r="AH66" s="199">
        <v>18220</v>
      </c>
      <c r="AI66" s="199">
        <v>16318.000000000002</v>
      </c>
      <c r="AJ66" s="199">
        <v>13168</v>
      </c>
      <c r="AK66" s="199">
        <v>12604</v>
      </c>
      <c r="AL66" s="199">
        <v>21976</v>
      </c>
      <c r="AM66" s="199">
        <v>20844</v>
      </c>
      <c r="AN66" s="199">
        <v>10024</v>
      </c>
      <c r="AO66" s="199">
        <v>22780</v>
      </c>
      <c r="AP66" s="199">
        <v>22720</v>
      </c>
      <c r="AQ66" s="199">
        <v>20724</v>
      </c>
      <c r="AR66" s="199">
        <v>22144</v>
      </c>
      <c r="AS66" s="199">
        <v>12936</v>
      </c>
      <c r="AT66" s="199">
        <v>17664</v>
      </c>
      <c r="AU66" s="199">
        <v>18176</v>
      </c>
      <c r="AV66" s="199">
        <v>21792</v>
      </c>
      <c r="AW66" s="199">
        <v>20296</v>
      </c>
      <c r="AX66" s="95">
        <v>8.23</v>
      </c>
      <c r="AY66" s="95">
        <v>7.99</v>
      </c>
      <c r="AZ66" s="95">
        <v>8.35</v>
      </c>
      <c r="BA66" s="95">
        <v>8.06</v>
      </c>
      <c r="BB66" s="95">
        <v>8.5399999999999991</v>
      </c>
      <c r="BC66" s="95">
        <v>8.4600000000000009</v>
      </c>
      <c r="BD66" s="95">
        <v>7.85</v>
      </c>
      <c r="BE66" s="95">
        <v>6.5</v>
      </c>
      <c r="BF66" s="95">
        <v>6.5</v>
      </c>
      <c r="BG66" s="95">
        <v>6.49</v>
      </c>
      <c r="BH66" s="95">
        <v>7.29</v>
      </c>
      <c r="BI66" s="95">
        <v>7.51</v>
      </c>
      <c r="BJ66" s="95">
        <v>7.48</v>
      </c>
      <c r="BK66" s="95">
        <v>7.32</v>
      </c>
      <c r="BL66" s="95">
        <v>7.14</v>
      </c>
      <c r="BM66" s="95">
        <v>7.11</v>
      </c>
      <c r="BN66" s="95">
        <v>7.24</v>
      </c>
      <c r="BO66" s="95">
        <v>7</v>
      </c>
      <c r="BP66" s="95">
        <v>8.24</v>
      </c>
      <c r="BQ66" s="95">
        <v>6.67</v>
      </c>
      <c r="BR66" s="95">
        <v>6.07</v>
      </c>
      <c r="BS66" s="95">
        <v>7.46</v>
      </c>
      <c r="BT66" s="95">
        <v>7.27</v>
      </c>
      <c r="BU66" s="95">
        <v>6.87</v>
      </c>
      <c r="BV66" s="95">
        <v>7.44</v>
      </c>
      <c r="BW66" s="95">
        <v>7.46</v>
      </c>
      <c r="BX66" s="95">
        <v>7.12</v>
      </c>
      <c r="BY66" s="95">
        <v>8.27</v>
      </c>
      <c r="BZ66" s="95">
        <v>6.93</v>
      </c>
      <c r="CA66" s="95">
        <v>7.95</v>
      </c>
      <c r="CB66" s="95">
        <v>7.62</v>
      </c>
      <c r="CC66" s="95">
        <v>6.99</v>
      </c>
      <c r="CD66" s="95">
        <v>7.35</v>
      </c>
      <c r="CE66" s="95">
        <v>9.27</v>
      </c>
      <c r="CF66" s="95">
        <v>8.18</v>
      </c>
      <c r="CG66" s="95">
        <v>6.03</v>
      </c>
      <c r="CH66" s="95">
        <v>9.6199999999999992</v>
      </c>
      <c r="CI66" s="95">
        <v>8.9600000000000009</v>
      </c>
      <c r="CJ66" s="95">
        <v>8.19</v>
      </c>
      <c r="CK66" s="95">
        <v>8.74</v>
      </c>
      <c r="CL66" s="95">
        <v>6.76</v>
      </c>
      <c r="CM66" s="95">
        <v>7.84</v>
      </c>
      <c r="CN66" s="95">
        <v>7.84</v>
      </c>
      <c r="CO66" s="95">
        <v>8.83</v>
      </c>
      <c r="CP66" s="98">
        <f>SUM(Input_Raw[[#This Row],[P-01]:[P-56]])/1000</f>
        <v>711.53300000000002</v>
      </c>
      <c r="CQ66" s="71">
        <f>IFERROR(AVERAGEIF(Input_Raw[[#This Row],[WS_P-01]:[WS_P-56]],"&lt;&gt;",Input_Raw[[#This Row],[WS_P-01]:[WS_P-56]]),"")</f>
        <v>7.6143181818181809</v>
      </c>
      <c r="CR66" s="99">
        <f>MAX(Input_Raw[[#This Row],[WS_P-01]:[WS_P-56]])</f>
        <v>9.6199999999999992</v>
      </c>
      <c r="CS66" s="99"/>
      <c r="CT66" s="70">
        <f>SUM(Input_Raw[[#This Row],[P-08]:[P-13]],Input_Raw[[#This Row],[P-25]:[P-28]])</f>
        <v>124438</v>
      </c>
      <c r="CU66" s="70"/>
      <c r="CV66" s="70">
        <f>SUM(Input_Raw[[#This Row],[P-04]],Input_Raw[[#This Row],[P-14]:[P-17]],Input_Raw[[#This Row],[P-19]:[P-20]],Input_Raw[[#This Row],[P-22]:[P-23]],Input_Raw[[#This Row],[P-34]],Input_Raw[[#This Row],[P-38]],Input_Raw[[#This Row],[P-43]])</f>
        <v>159861</v>
      </c>
      <c r="CW66" s="70"/>
      <c r="CX66" s="70">
        <f>SUM(Input_Raw[[#This Row],[P-05]:[P-06]],Input_Raw[[#This Row],[P-40]:[P-42]],Input_Raw[[#This Row],[P-45]],Input_Raw[[#This Row],[P-46]],Input_Raw[[#This Row],[P-47]:[P-48]])</f>
        <v>185864</v>
      </c>
      <c r="CY66" s="70"/>
      <c r="CZ66" s="70">
        <f>SUM(Input_Raw[[#This Row],[P-01]:[P-03]],Input_Raw[[#This Row],[P-07]],Input_Raw[[#This Row],[P-18]],Input_Raw[[#This Row],[P-31]:[P-32]],Input_Raw[[#This Row],[P-37]],Input_Raw[[#This Row],[P-50]:[P-56]])</f>
        <v>241370</v>
      </c>
      <c r="DA66" s="12"/>
      <c r="DB66" s="13">
        <f>Input_Raw[[#This Row],[33 kV_Wind_F1_Export reading]]/1000</f>
        <v>124.438</v>
      </c>
      <c r="DC66" s="13"/>
      <c r="DD66" s="13">
        <f>Input_Raw[[#This Row],[33 kV_Wind_F2_Export_reading]]/1000</f>
        <v>159.86099999999999</v>
      </c>
      <c r="DE66" s="13"/>
      <c r="DF66" s="13">
        <f>Input_Raw[[#This Row],[33 kV_Wind_F3_Export_Reading]]/1000</f>
        <v>185.864</v>
      </c>
      <c r="DG66" s="13"/>
      <c r="DH66" s="13">
        <f>Input_Raw[[#This Row],[33 kV_Wind_F4_Export Reading]]/1000</f>
        <v>241.37</v>
      </c>
      <c r="DI66" s="13"/>
      <c r="DJ66" s="13">
        <f>Input_Raw[[#This Row],[33 kV_F1_Total_Export (MWh)]]+Input_Raw[[#This Row],[33 kV_F2_Total_Export (MWh)2]]+Input_Raw[[#This Row],[33 kV_Wind_F3_Export (MWh)]]+Input_Raw[[#This Row],[33 kV_Wind_F4_Export (MWh)]]</f>
        <v>711.53300000000002</v>
      </c>
      <c r="DK66" s="13">
        <f>Input_Raw[[#This Row],[33 kV_Wind_F1_Import (MWh)]]+Input_Raw[[#This Row],[33 kV_Wind_F2_Import (MWh)]]+Input_Raw[[#This Row],[33 kV_Wind_F3_Import (MWh)2]]+Input_Raw[[#This Row],[33 kV_Wind_F4_Import (MWh)2]]</f>
        <v>0</v>
      </c>
      <c r="DL66" s="100">
        <f>IFERROR(Input_Raw[[#This Row],[33 kV_Wind_Total_Export (MWh)]]/Input_Raw[[#This Row],[WTG Total Gneration (MWh)]]-1,"")</f>
        <v>0</v>
      </c>
      <c r="DM66" s="66"/>
      <c r="DN66" s="186">
        <v>92</v>
      </c>
      <c r="DO66" s="186">
        <v>4874.5</v>
      </c>
      <c r="DP66" s="102">
        <v>691.97</v>
      </c>
      <c r="DQ66" s="66"/>
      <c r="DR66" s="181">
        <v>70.400000000000006</v>
      </c>
    </row>
    <row r="67" spans="1:122">
      <c r="A67" s="92">
        <f t="shared" si="74"/>
        <v>45807</v>
      </c>
      <c r="B67" s="190">
        <f>YEAR(Input_Raw[[#This Row],[Date]])+IF(MONTH(Input_Raw[[#This Row],[Date]])&gt;=4,1,0)</f>
        <v>2026</v>
      </c>
      <c r="C67" s="190">
        <f>YEAR(Input_Raw[[#This Row],[Date]])</f>
        <v>2025</v>
      </c>
      <c r="D67" s="11">
        <f t="shared" ref="D67" si="120">A67-DAY(A67)+1</f>
        <v>45778</v>
      </c>
      <c r="E67" s="190">
        <f>DAY(EOMONTH(Input_Raw[[#This Row],[Date]],0))</f>
        <v>31</v>
      </c>
      <c r="F67" s="199">
        <v>35656</v>
      </c>
      <c r="G67" s="199">
        <v>33632</v>
      </c>
      <c r="H67" s="199">
        <v>34808</v>
      </c>
      <c r="I67" s="199">
        <v>30400</v>
      </c>
      <c r="J67" s="199">
        <v>34572</v>
      </c>
      <c r="K67" s="199">
        <v>30552</v>
      </c>
      <c r="L67" s="199">
        <v>32058</v>
      </c>
      <c r="M67" s="199">
        <v>22420</v>
      </c>
      <c r="N67" s="199">
        <v>17820</v>
      </c>
      <c r="O67" s="199">
        <v>23602</v>
      </c>
      <c r="P67" s="199">
        <v>28722</v>
      </c>
      <c r="Q67" s="199">
        <v>30596</v>
      </c>
      <c r="R67" s="199">
        <v>23396</v>
      </c>
      <c r="S67" s="199">
        <v>26542</v>
      </c>
      <c r="T67" s="199">
        <v>24544</v>
      </c>
      <c r="U67" s="199">
        <v>27144</v>
      </c>
      <c r="V67" s="199">
        <v>28978</v>
      </c>
      <c r="W67" s="199">
        <v>33564</v>
      </c>
      <c r="X67" s="199">
        <v>24588</v>
      </c>
      <c r="Y67" s="199">
        <v>22509</v>
      </c>
      <c r="Z67" s="199">
        <v>28684</v>
      </c>
      <c r="AA67" s="199">
        <v>25508</v>
      </c>
      <c r="AB67" s="199">
        <v>23260</v>
      </c>
      <c r="AC67" s="199">
        <v>26384</v>
      </c>
      <c r="AD67" s="199">
        <v>28480</v>
      </c>
      <c r="AE67" s="199">
        <v>25668</v>
      </c>
      <c r="AF67" s="199">
        <v>32940</v>
      </c>
      <c r="AG67" s="199">
        <v>25160</v>
      </c>
      <c r="AH67" s="199">
        <v>31148</v>
      </c>
      <c r="AI67" s="199">
        <v>27908</v>
      </c>
      <c r="AJ67" s="199">
        <v>27600</v>
      </c>
      <c r="AK67" s="199">
        <v>23250</v>
      </c>
      <c r="AL67" s="199">
        <v>33328</v>
      </c>
      <c r="AM67" s="199">
        <v>34156</v>
      </c>
      <c r="AN67" s="199">
        <v>22716</v>
      </c>
      <c r="AO67" s="199">
        <v>33712</v>
      </c>
      <c r="AP67" s="199">
        <v>33464</v>
      </c>
      <c r="AQ67" s="199">
        <v>33800</v>
      </c>
      <c r="AR67" s="199">
        <v>34824</v>
      </c>
      <c r="AS67" s="199">
        <v>32008.000000000004</v>
      </c>
      <c r="AT67" s="199">
        <v>33084</v>
      </c>
      <c r="AU67" s="199">
        <v>31156</v>
      </c>
      <c r="AV67" s="199">
        <v>35296</v>
      </c>
      <c r="AW67" s="199">
        <v>34148</v>
      </c>
      <c r="AX67" s="95">
        <v>11.32</v>
      </c>
      <c r="AY67" s="95">
        <v>11.49</v>
      </c>
      <c r="AZ67" s="95">
        <v>11.73</v>
      </c>
      <c r="BA67" s="95">
        <v>10.36</v>
      </c>
      <c r="BB67" s="95">
        <v>11.1</v>
      </c>
      <c r="BC67" s="95">
        <v>10.45</v>
      </c>
      <c r="BD67" s="95">
        <v>10.52</v>
      </c>
      <c r="BE67" s="95">
        <v>8.91</v>
      </c>
      <c r="BF67" s="95">
        <v>8.91</v>
      </c>
      <c r="BG67" s="95">
        <v>8.16</v>
      </c>
      <c r="BH67" s="95">
        <v>9.48</v>
      </c>
      <c r="BI67" s="95">
        <v>10.74</v>
      </c>
      <c r="BJ67" s="95">
        <v>10.78</v>
      </c>
      <c r="BK67" s="95">
        <v>9.91</v>
      </c>
      <c r="BL67" s="95">
        <v>9.58</v>
      </c>
      <c r="BM67" s="95">
        <v>9.66</v>
      </c>
      <c r="BN67" s="95">
        <v>9.8000000000000007</v>
      </c>
      <c r="BO67" s="95">
        <v>10.14</v>
      </c>
      <c r="BP67" s="95">
        <v>11.08</v>
      </c>
      <c r="BQ67" s="95">
        <v>9.2100000000000009</v>
      </c>
      <c r="BR67" s="95">
        <v>8.4700000000000006</v>
      </c>
      <c r="BS67" s="95">
        <v>9.69</v>
      </c>
      <c r="BT67" s="95">
        <v>9.19</v>
      </c>
      <c r="BU67" s="95">
        <v>8.35</v>
      </c>
      <c r="BV67" s="95">
        <v>9.74</v>
      </c>
      <c r="BW67" s="95">
        <v>10.119999999999999</v>
      </c>
      <c r="BX67" s="95">
        <v>9.4600000000000009</v>
      </c>
      <c r="BY67" s="95">
        <v>10.92</v>
      </c>
      <c r="BZ67" s="95">
        <v>9.14</v>
      </c>
      <c r="CA67" s="95">
        <v>10.36</v>
      </c>
      <c r="CB67" s="95">
        <v>9.64</v>
      </c>
      <c r="CC67" s="95">
        <v>9.61</v>
      </c>
      <c r="CD67" s="95">
        <v>9.25</v>
      </c>
      <c r="CE67" s="95">
        <v>12.39</v>
      </c>
      <c r="CF67" s="95">
        <v>11.27</v>
      </c>
      <c r="CG67" s="95">
        <v>8.5500000000000007</v>
      </c>
      <c r="CH67" s="95">
        <v>12.36</v>
      </c>
      <c r="CI67" s="95">
        <v>11.79</v>
      </c>
      <c r="CJ67" s="95">
        <v>11.06</v>
      </c>
      <c r="CK67" s="95">
        <v>11.63</v>
      </c>
      <c r="CL67" s="95">
        <v>10.76</v>
      </c>
      <c r="CM67" s="95">
        <v>11.06</v>
      </c>
      <c r="CN67" s="95">
        <v>10.28</v>
      </c>
      <c r="CO67" s="95">
        <v>11.96</v>
      </c>
      <c r="CP67" s="259">
        <f>SUM(Input_Raw[[#This Row],[P-01]:[P-56]])/1000</f>
        <v>1283.7850000000001</v>
      </c>
      <c r="CQ67" s="260">
        <f>IFERROR(AVERAGEIF(Input_Raw[[#This Row],[WS_P-01]:[WS_P-56]],"&lt;&gt;",Input_Raw[[#This Row],[WS_P-01]:[WS_P-56]]),"")</f>
        <v>10.235909090909091</v>
      </c>
      <c r="CR67" s="261">
        <f>MAX(Input_Raw[[#This Row],[WS_P-01]:[WS_P-56]])</f>
        <v>12.39</v>
      </c>
      <c r="CS67" s="261"/>
      <c r="CT67" s="262">
        <f>SUM(Input_Raw[[#This Row],[P-08]:[P-13]],Input_Raw[[#This Row],[P-25]:[P-28]])</f>
        <v>250348</v>
      </c>
      <c r="CU67" s="262"/>
      <c r="CV67" s="262">
        <f>SUM(Input_Raw[[#This Row],[P-04]],Input_Raw[[#This Row],[P-14]:[P-17]],Input_Raw[[#This Row],[P-19]:[P-20]],Input_Raw[[#This Row],[P-22]:[P-23]],Input_Raw[[#This Row],[P-34]],Input_Raw[[#This Row],[P-38]],Input_Raw[[#This Row],[P-43]])</f>
        <v>320361</v>
      </c>
      <c r="CW67" s="262"/>
      <c r="CX67" s="262">
        <f>SUM(Input_Raw[[#This Row],[P-05]:[P-06]],Input_Raw[[#This Row],[P-40]:[P-42]],Input_Raw[[#This Row],[P-45]],Input_Raw[[#This Row],[P-46]],Input_Raw[[#This Row],[P-47]:[P-48]])</f>
        <v>291658</v>
      </c>
      <c r="CY67" s="262"/>
      <c r="CZ67" s="262">
        <f>SUM(Input_Raw[[#This Row],[P-01]:[P-03]],Input_Raw[[#This Row],[P-07]],Input_Raw[[#This Row],[P-18]],Input_Raw[[#This Row],[P-31]:[P-32]],Input_Raw[[#This Row],[P-37]],Input_Raw[[#This Row],[P-50]:[P-56]])</f>
        <v>421418</v>
      </c>
      <c r="DA67" s="263"/>
      <c r="DB67" s="264">
        <f>Input_Raw[[#This Row],[33 kV_Wind_F1_Export reading]]/1000</f>
        <v>250.34800000000001</v>
      </c>
      <c r="DC67" s="264"/>
      <c r="DD67" s="264">
        <f>Input_Raw[[#This Row],[33 kV_Wind_F2_Export_reading]]/1000</f>
        <v>320.36099999999999</v>
      </c>
      <c r="DE67" s="264"/>
      <c r="DF67" s="264">
        <f>Input_Raw[[#This Row],[33 kV_Wind_F3_Export_Reading]]/1000</f>
        <v>291.65800000000002</v>
      </c>
      <c r="DG67" s="264"/>
      <c r="DH67" s="264">
        <f>Input_Raw[[#This Row],[33 kV_Wind_F4_Export Reading]]/1000</f>
        <v>421.41800000000001</v>
      </c>
      <c r="DI67" s="264"/>
      <c r="DJ67" s="264">
        <f>Input_Raw[[#This Row],[33 kV_F1_Total_Export (MWh)]]+Input_Raw[[#This Row],[33 kV_F2_Total_Export (MWh)2]]+Input_Raw[[#This Row],[33 kV_Wind_F3_Export (MWh)]]+Input_Raw[[#This Row],[33 kV_Wind_F4_Export (MWh)]]</f>
        <v>1283.7850000000001</v>
      </c>
      <c r="DK67" s="264">
        <f>Input_Raw[[#This Row],[33 kV_Wind_F1_Import (MWh)]]+Input_Raw[[#This Row],[33 kV_Wind_F2_Import (MWh)]]+Input_Raw[[#This Row],[33 kV_Wind_F3_Import (MWh)2]]+Input_Raw[[#This Row],[33 kV_Wind_F4_Import (MWh)2]]</f>
        <v>0</v>
      </c>
      <c r="DL67" s="265">
        <f>IFERROR(Input_Raw[[#This Row],[33 kV_Wind_Total_Export (MWh)]]/Input_Raw[[#This Row],[WTG Total Gneration (MWh)]]-1,"")</f>
        <v>0</v>
      </c>
      <c r="DM67" s="266"/>
      <c r="DN67" s="186">
        <v>91</v>
      </c>
      <c r="DO67" s="186">
        <v>0</v>
      </c>
      <c r="DP67" s="102">
        <v>1292.9100000000001</v>
      </c>
      <c r="DQ67" s="266"/>
      <c r="DR67" s="181">
        <v>70.400000000000006</v>
      </c>
    </row>
    <row r="68" spans="1:122">
      <c r="A68" s="92">
        <f t="shared" si="74"/>
        <v>45808</v>
      </c>
      <c r="B68" s="190">
        <f>YEAR(Input_Raw[[#This Row],[Date]])+IF(MONTH(Input_Raw[[#This Row],[Date]])&gt;=4,1,0)</f>
        <v>2026</v>
      </c>
      <c r="C68" s="190">
        <f>YEAR(Input_Raw[[#This Row],[Date]])</f>
        <v>2025</v>
      </c>
      <c r="D68" s="11">
        <f t="shared" ref="D68" si="121">A68-DAY(A68)+1</f>
        <v>45778</v>
      </c>
      <c r="E68" s="190">
        <f>DAY(EOMONTH(Input_Raw[[#This Row],[Date]],0))</f>
        <v>31</v>
      </c>
      <c r="F68" s="199">
        <v>27252</v>
      </c>
      <c r="G68" s="199">
        <v>23100</v>
      </c>
      <c r="H68" s="199">
        <v>18748</v>
      </c>
      <c r="I68" s="199">
        <v>24224</v>
      </c>
      <c r="J68" s="199">
        <v>27128</v>
      </c>
      <c r="K68" s="199">
        <v>24928</v>
      </c>
      <c r="L68" s="199">
        <v>24682</v>
      </c>
      <c r="M68" s="199">
        <v>15502</v>
      </c>
      <c r="N68" s="199">
        <v>11552</v>
      </c>
      <c r="O68" s="199">
        <v>15596</v>
      </c>
      <c r="P68" s="199">
        <v>20700</v>
      </c>
      <c r="Q68" s="199">
        <v>23420</v>
      </c>
      <c r="R68" s="199">
        <v>24876</v>
      </c>
      <c r="S68" s="199">
        <v>20098</v>
      </c>
      <c r="T68" s="199">
        <v>18744</v>
      </c>
      <c r="U68" s="199">
        <v>20982</v>
      </c>
      <c r="V68" s="199">
        <v>23722</v>
      </c>
      <c r="W68" s="199">
        <v>20412</v>
      </c>
      <c r="X68" s="199">
        <v>20252</v>
      </c>
      <c r="Y68" s="199">
        <v>19493</v>
      </c>
      <c r="Z68" s="199">
        <v>23100</v>
      </c>
      <c r="AA68" s="199">
        <v>18644</v>
      </c>
      <c r="AB68" s="199">
        <v>16244</v>
      </c>
      <c r="AC68" s="199">
        <v>20308</v>
      </c>
      <c r="AD68" s="199">
        <v>22788</v>
      </c>
      <c r="AE68" s="199">
        <v>21964</v>
      </c>
      <c r="AF68" s="199">
        <v>16556</v>
      </c>
      <c r="AG68" s="199">
        <v>20740</v>
      </c>
      <c r="AH68" s="199">
        <v>23984</v>
      </c>
      <c r="AI68" s="199">
        <v>23962</v>
      </c>
      <c r="AJ68" s="199">
        <v>23324</v>
      </c>
      <c r="AK68" s="199">
        <v>19384</v>
      </c>
      <c r="AL68" s="199">
        <v>25304</v>
      </c>
      <c r="AM68" s="199">
        <v>25788</v>
      </c>
      <c r="AN68" s="199">
        <v>19556</v>
      </c>
      <c r="AO68" s="199">
        <v>29928</v>
      </c>
      <c r="AP68" s="199">
        <v>29680</v>
      </c>
      <c r="AQ68" s="199">
        <v>26152</v>
      </c>
      <c r="AR68" s="199">
        <v>29028</v>
      </c>
      <c r="AS68" s="199">
        <v>22492</v>
      </c>
      <c r="AT68" s="199">
        <v>26400</v>
      </c>
      <c r="AU68" s="199">
        <v>26198</v>
      </c>
      <c r="AV68" s="199">
        <v>30312</v>
      </c>
      <c r="AW68" s="199">
        <v>28176</v>
      </c>
      <c r="AX68" s="95">
        <v>9.3000000000000007</v>
      </c>
      <c r="AY68" s="95">
        <v>8.77</v>
      </c>
      <c r="AZ68" s="95">
        <v>8.01</v>
      </c>
      <c r="BA68" s="95">
        <v>9.17</v>
      </c>
      <c r="BB68" s="95">
        <v>9.4499999999999993</v>
      </c>
      <c r="BC68" s="95">
        <v>9.52</v>
      </c>
      <c r="BD68" s="95">
        <v>9.2100000000000009</v>
      </c>
      <c r="BE68" s="95">
        <v>7.53</v>
      </c>
      <c r="BF68" s="95">
        <v>6.89</v>
      </c>
      <c r="BG68" s="95">
        <v>7.99</v>
      </c>
      <c r="BH68" s="95">
        <v>8.85</v>
      </c>
      <c r="BI68" s="95">
        <v>9.18</v>
      </c>
      <c r="BJ68" s="95">
        <v>9.36</v>
      </c>
      <c r="BK68" s="95">
        <v>8.3699999999999992</v>
      </c>
      <c r="BL68" s="95">
        <v>8.51</v>
      </c>
      <c r="BM68" s="95">
        <v>8.66</v>
      </c>
      <c r="BN68" s="95">
        <v>8.99</v>
      </c>
      <c r="BO68" s="95">
        <v>8.2899999999999991</v>
      </c>
      <c r="BP68" s="95">
        <v>8.36</v>
      </c>
      <c r="BQ68" s="95">
        <v>7.9</v>
      </c>
      <c r="BR68" s="95">
        <v>8.82</v>
      </c>
      <c r="BS68" s="95">
        <v>7.74</v>
      </c>
      <c r="BT68" s="95">
        <v>7.07</v>
      </c>
      <c r="BU68" s="95">
        <v>8.56</v>
      </c>
      <c r="BV68" s="95">
        <v>8.94</v>
      </c>
      <c r="BW68" s="95">
        <v>8.7799999999999994</v>
      </c>
      <c r="BX68" s="95">
        <v>7.18</v>
      </c>
      <c r="BY68" s="95">
        <v>8.44</v>
      </c>
      <c r="BZ68" s="95">
        <v>9.08</v>
      </c>
      <c r="CA68" s="95">
        <v>8.94</v>
      </c>
      <c r="CB68" s="95">
        <v>8.66</v>
      </c>
      <c r="CC68" s="95">
        <v>8.64</v>
      </c>
      <c r="CD68" s="95">
        <v>10.16</v>
      </c>
      <c r="CE68" s="95">
        <v>9.3800000000000008</v>
      </c>
      <c r="CF68" s="95">
        <v>7.85</v>
      </c>
      <c r="CG68" s="95">
        <v>11.18</v>
      </c>
      <c r="CH68" s="95">
        <v>10.63</v>
      </c>
      <c r="CI68" s="95">
        <v>9.2100000000000009</v>
      </c>
      <c r="CJ68" s="95">
        <v>10.25</v>
      </c>
      <c r="CK68" s="95">
        <v>8.67</v>
      </c>
      <c r="CL68" s="95">
        <v>9.61</v>
      </c>
      <c r="CM68" s="95">
        <v>9.3699999999999992</v>
      </c>
      <c r="CN68" s="95">
        <v>10.56</v>
      </c>
      <c r="CO68" s="95">
        <v>9.9499999999999993</v>
      </c>
      <c r="CP68" s="259">
        <f>SUM(Input_Raw[[#This Row],[P-01]:[P-56]])/1000</f>
        <v>995.423</v>
      </c>
      <c r="CQ68" s="260">
        <f>IFERROR(AVERAGEIF(Input_Raw[[#This Row],[WS_P-01]:[WS_P-56]],"&lt;&gt;",Input_Raw[[#This Row],[WS_P-01]:[WS_P-56]]),"")</f>
        <v>8.8631818181818183</v>
      </c>
      <c r="CR68" s="261">
        <f>MAX(Input_Raw[[#This Row],[WS_P-01]:[WS_P-56]])</f>
        <v>11.18</v>
      </c>
      <c r="CS68" s="261"/>
      <c r="CT68" s="262">
        <f>SUM(Input_Raw[[#This Row],[P-08]:[P-13]],Input_Raw[[#This Row],[P-25]:[P-28]])</f>
        <v>192950</v>
      </c>
      <c r="CU68" s="262"/>
      <c r="CV68" s="262">
        <f>SUM(Input_Raw[[#This Row],[P-04]],Input_Raw[[#This Row],[P-14]:[P-17]],Input_Raw[[#This Row],[P-19]:[P-20]],Input_Raw[[#This Row],[P-22]:[P-23]],Input_Raw[[#This Row],[P-34]],Input_Raw[[#This Row],[P-38]],Input_Raw[[#This Row],[P-43]])</f>
        <v>256123</v>
      </c>
      <c r="CW68" s="262"/>
      <c r="CX68" s="262">
        <f>SUM(Input_Raw[[#This Row],[P-05]:[P-06]],Input_Raw[[#This Row],[P-40]:[P-42]],Input_Raw[[#This Row],[P-45]],Input_Raw[[#This Row],[P-46]],Input_Raw[[#This Row],[P-47]:[P-48]])</f>
        <v>237320</v>
      </c>
      <c r="CY68" s="262"/>
      <c r="CZ68" s="262">
        <f>SUM(Input_Raw[[#This Row],[P-01]:[P-03]],Input_Raw[[#This Row],[P-07]],Input_Raw[[#This Row],[P-18]],Input_Raw[[#This Row],[P-31]:[P-32]],Input_Raw[[#This Row],[P-37]],Input_Raw[[#This Row],[P-50]:[P-56]])</f>
        <v>309030</v>
      </c>
      <c r="DA68" s="263"/>
      <c r="DB68" s="264">
        <f>Input_Raw[[#This Row],[33 kV_Wind_F1_Export reading]]/1000</f>
        <v>192.95</v>
      </c>
      <c r="DC68" s="264"/>
      <c r="DD68" s="264">
        <f>Input_Raw[[#This Row],[33 kV_Wind_F2_Export_reading]]/1000</f>
        <v>256.12299999999999</v>
      </c>
      <c r="DE68" s="264"/>
      <c r="DF68" s="264">
        <f>Input_Raw[[#This Row],[33 kV_Wind_F3_Export_Reading]]/1000</f>
        <v>237.32</v>
      </c>
      <c r="DG68" s="264"/>
      <c r="DH68" s="264">
        <f>Input_Raw[[#This Row],[33 kV_Wind_F4_Export Reading]]/1000</f>
        <v>309.02999999999997</v>
      </c>
      <c r="DI68" s="264"/>
      <c r="DJ68" s="264">
        <f>Input_Raw[[#This Row],[33 kV_F1_Total_Export (MWh)]]+Input_Raw[[#This Row],[33 kV_F2_Total_Export (MWh)2]]+Input_Raw[[#This Row],[33 kV_Wind_F3_Export (MWh)]]+Input_Raw[[#This Row],[33 kV_Wind_F4_Export (MWh)]]</f>
        <v>995.423</v>
      </c>
      <c r="DK68" s="264">
        <f>Input_Raw[[#This Row],[33 kV_Wind_F1_Import (MWh)]]+Input_Raw[[#This Row],[33 kV_Wind_F2_Import (MWh)]]+Input_Raw[[#This Row],[33 kV_Wind_F3_Import (MWh)2]]+Input_Raw[[#This Row],[33 kV_Wind_F4_Import (MWh)2]]</f>
        <v>0</v>
      </c>
      <c r="DL68" s="265">
        <f>IFERROR(Input_Raw[[#This Row],[33 kV_Wind_Total_Export (MWh)]]/Input_Raw[[#This Row],[WTG Total Gneration (MWh)]]-1,"")</f>
        <v>0</v>
      </c>
      <c r="DM68" s="266"/>
      <c r="DN68" s="186">
        <v>93</v>
      </c>
      <c r="DO68" s="186">
        <v>0</v>
      </c>
      <c r="DP68" s="102">
        <v>983.09</v>
      </c>
      <c r="DQ68" s="266"/>
      <c r="DR68" s="181">
        <v>70.400000000000006</v>
      </c>
    </row>
    <row r="69" spans="1:122">
      <c r="A69" s="92">
        <f t="shared" si="74"/>
        <v>45809</v>
      </c>
      <c r="B69" s="190">
        <f>YEAR(Input_Raw[[#This Row],[Date]])+IF(MONTH(Input_Raw[[#This Row],[Date]])&gt;=4,1,0)</f>
        <v>2026</v>
      </c>
      <c r="C69" s="190">
        <f>YEAR(Input_Raw[[#This Row],[Date]])</f>
        <v>2025</v>
      </c>
      <c r="D69" s="11">
        <f t="shared" ref="D69" si="122">A69-DAY(A69)+1</f>
        <v>45809</v>
      </c>
      <c r="E69" s="190">
        <f>DAY(EOMONTH(Input_Raw[[#This Row],[Date]],0))</f>
        <v>30</v>
      </c>
      <c r="F69" s="199">
        <v>15156</v>
      </c>
      <c r="G69" s="199">
        <v>13980</v>
      </c>
      <c r="H69" s="199">
        <v>10136</v>
      </c>
      <c r="I69" s="199">
        <v>12256</v>
      </c>
      <c r="J69" s="199">
        <v>13160</v>
      </c>
      <c r="K69" s="199">
        <v>15836</v>
      </c>
      <c r="L69" s="199">
        <v>13966</v>
      </c>
      <c r="M69" s="199">
        <v>8754</v>
      </c>
      <c r="N69" s="199">
        <v>5878</v>
      </c>
      <c r="O69" s="199">
        <v>5468</v>
      </c>
      <c r="P69" s="199">
        <v>6048</v>
      </c>
      <c r="Q69" s="199">
        <v>10344</v>
      </c>
      <c r="R69" s="199">
        <v>10024</v>
      </c>
      <c r="S69" s="199">
        <v>10616</v>
      </c>
      <c r="T69" s="199">
        <v>7802</v>
      </c>
      <c r="U69" s="199">
        <v>9646</v>
      </c>
      <c r="V69" s="199">
        <v>6878</v>
      </c>
      <c r="W69" s="199">
        <v>10300</v>
      </c>
      <c r="X69" s="199">
        <v>11804</v>
      </c>
      <c r="Y69" s="199">
        <v>6197</v>
      </c>
      <c r="Z69" s="199">
        <v>12060</v>
      </c>
      <c r="AA69" s="199">
        <v>11380</v>
      </c>
      <c r="AB69" s="199">
        <v>10016</v>
      </c>
      <c r="AC69" s="199">
        <v>9132</v>
      </c>
      <c r="AD69" s="199">
        <v>9412</v>
      </c>
      <c r="AE69" s="199">
        <v>7900</v>
      </c>
      <c r="AF69" s="199">
        <v>7812</v>
      </c>
      <c r="AG69" s="199">
        <v>8246</v>
      </c>
      <c r="AH69" s="199">
        <v>12156</v>
      </c>
      <c r="AI69" s="199">
        <v>11204</v>
      </c>
      <c r="AJ69" s="199">
        <v>6796</v>
      </c>
      <c r="AK69" s="199">
        <v>10442</v>
      </c>
      <c r="AL69" s="199">
        <v>13916</v>
      </c>
      <c r="AM69" s="199">
        <v>7764</v>
      </c>
      <c r="AN69" s="199">
        <v>9062</v>
      </c>
      <c r="AO69" s="199">
        <v>19420</v>
      </c>
      <c r="AP69" s="199">
        <v>17524</v>
      </c>
      <c r="AQ69" s="199">
        <v>8748</v>
      </c>
      <c r="AR69" s="199">
        <v>13164</v>
      </c>
      <c r="AS69" s="199">
        <v>9054</v>
      </c>
      <c r="AT69" s="199">
        <v>10492</v>
      </c>
      <c r="AU69" s="199">
        <v>12534</v>
      </c>
      <c r="AV69" s="199">
        <v>18468</v>
      </c>
      <c r="AW69" s="199">
        <v>16108</v>
      </c>
      <c r="AX69" s="95">
        <v>7.14</v>
      </c>
      <c r="AY69" s="95">
        <v>7.03</v>
      </c>
      <c r="AZ69" s="95">
        <v>6.34</v>
      </c>
      <c r="BA69" s="95">
        <v>7.04</v>
      </c>
      <c r="BB69" s="95">
        <v>6.7</v>
      </c>
      <c r="BC69" s="95">
        <v>7.67</v>
      </c>
      <c r="BD69" s="95">
        <v>7.25</v>
      </c>
      <c r="BE69" s="95">
        <v>6.15</v>
      </c>
      <c r="BF69" s="95">
        <v>5.5</v>
      </c>
      <c r="BG69" s="95">
        <v>5.7</v>
      </c>
      <c r="BH69" s="95">
        <v>5.42</v>
      </c>
      <c r="BI69" s="95">
        <v>6.52</v>
      </c>
      <c r="BJ69" s="95">
        <v>6.43</v>
      </c>
      <c r="BK69" s="95">
        <v>6.52</v>
      </c>
      <c r="BL69" s="95">
        <v>6.09</v>
      </c>
      <c r="BM69" s="95">
        <v>6.42</v>
      </c>
      <c r="BN69" s="95">
        <v>5.44</v>
      </c>
      <c r="BO69" s="95">
        <v>6.34</v>
      </c>
      <c r="BP69" s="95">
        <v>6.77</v>
      </c>
      <c r="BQ69" s="95">
        <v>5.25</v>
      </c>
      <c r="BR69" s="95">
        <v>6.94</v>
      </c>
      <c r="BS69" s="95">
        <v>6.7</v>
      </c>
      <c r="BT69" s="95">
        <v>6.09</v>
      </c>
      <c r="BU69" s="95">
        <v>6.24</v>
      </c>
      <c r="BV69" s="95">
        <v>6.3</v>
      </c>
      <c r="BW69" s="95">
        <v>5.9</v>
      </c>
      <c r="BX69" s="95">
        <v>5.52</v>
      </c>
      <c r="BY69" s="95">
        <v>5.94</v>
      </c>
      <c r="BZ69" s="95">
        <v>6.98</v>
      </c>
      <c r="CA69" s="95">
        <v>6.64</v>
      </c>
      <c r="CB69" s="95">
        <v>5.27</v>
      </c>
      <c r="CC69" s="95">
        <v>6.73</v>
      </c>
      <c r="CD69" s="95">
        <v>7.39</v>
      </c>
      <c r="CE69" s="95">
        <v>5.39</v>
      </c>
      <c r="CF69" s="95">
        <v>5.98</v>
      </c>
      <c r="CG69" s="95">
        <v>8.93</v>
      </c>
      <c r="CH69" s="95">
        <v>8.0500000000000007</v>
      </c>
      <c r="CI69" s="95">
        <v>5.69</v>
      </c>
      <c r="CJ69" s="95">
        <v>6.97</v>
      </c>
      <c r="CK69" s="95">
        <v>6.1</v>
      </c>
      <c r="CL69" s="95">
        <v>6.54</v>
      </c>
      <c r="CM69" s="95">
        <v>6.94</v>
      </c>
      <c r="CN69" s="95">
        <v>8.23</v>
      </c>
      <c r="CO69" s="95">
        <v>7.75</v>
      </c>
      <c r="CP69" s="259">
        <f>SUM(Input_Raw[[#This Row],[P-01]:[P-56]])/1000</f>
        <v>477.05900000000003</v>
      </c>
      <c r="CQ69" s="260">
        <f>IFERROR(AVERAGEIF(Input_Raw[[#This Row],[WS_P-01]:[WS_P-56]],"&lt;&gt;",Input_Raw[[#This Row],[WS_P-01]:[WS_P-56]]),"")</f>
        <v>6.521136363636364</v>
      </c>
      <c r="CR69" s="261">
        <f>MAX(Input_Raw[[#This Row],[WS_P-01]:[WS_P-56]])</f>
        <v>8.93</v>
      </c>
      <c r="CS69" s="261"/>
      <c r="CT69" s="262">
        <f>SUM(Input_Raw[[#This Row],[P-08]:[P-13]],Input_Raw[[#This Row],[P-25]:[P-28]])</f>
        <v>82976</v>
      </c>
      <c r="CU69" s="262"/>
      <c r="CV69" s="262">
        <f>SUM(Input_Raw[[#This Row],[P-04]],Input_Raw[[#This Row],[P-14]:[P-17]],Input_Raw[[#This Row],[P-19]:[P-20]],Input_Raw[[#This Row],[P-22]:[P-23]],Input_Raw[[#This Row],[P-34]],Input_Raw[[#This Row],[P-38]],Input_Raw[[#This Row],[P-43]])</f>
        <v>116653</v>
      </c>
      <c r="CW69" s="262"/>
      <c r="CX69" s="262">
        <f>SUM(Input_Raw[[#This Row],[P-05]:[P-06]],Input_Raw[[#This Row],[P-40]:[P-42]],Input_Raw[[#This Row],[P-45]],Input_Raw[[#This Row],[P-46]],Input_Raw[[#This Row],[P-47]:[P-48]])</f>
        <v>119974</v>
      </c>
      <c r="CY69" s="262"/>
      <c r="CZ69" s="262">
        <f>SUM(Input_Raw[[#This Row],[P-01]:[P-03]],Input_Raw[[#This Row],[P-07]],Input_Raw[[#This Row],[P-18]],Input_Raw[[#This Row],[P-31]:[P-32]],Input_Raw[[#This Row],[P-37]],Input_Raw[[#This Row],[P-50]:[P-56]])</f>
        <v>157456</v>
      </c>
      <c r="DA69" s="263"/>
      <c r="DB69" s="264">
        <f>Input_Raw[[#This Row],[33 kV_Wind_F1_Export reading]]/1000</f>
        <v>82.975999999999999</v>
      </c>
      <c r="DC69" s="264"/>
      <c r="DD69" s="264">
        <f>Input_Raw[[#This Row],[33 kV_Wind_F2_Export_reading]]/1000</f>
        <v>116.65300000000001</v>
      </c>
      <c r="DE69" s="264"/>
      <c r="DF69" s="264">
        <f>Input_Raw[[#This Row],[33 kV_Wind_F3_Export_Reading]]/1000</f>
        <v>119.974</v>
      </c>
      <c r="DG69" s="264"/>
      <c r="DH69" s="264">
        <f>Input_Raw[[#This Row],[33 kV_Wind_F4_Export Reading]]/1000</f>
        <v>157.45599999999999</v>
      </c>
      <c r="DI69" s="264"/>
      <c r="DJ69" s="264">
        <f>Input_Raw[[#This Row],[33 kV_F1_Total_Export (MWh)]]+Input_Raw[[#This Row],[33 kV_F2_Total_Export (MWh)2]]+Input_Raw[[#This Row],[33 kV_Wind_F3_Export (MWh)]]+Input_Raw[[#This Row],[33 kV_Wind_F4_Export (MWh)]]</f>
        <v>477.05899999999997</v>
      </c>
      <c r="DK69" s="264">
        <f>Input_Raw[[#This Row],[33 kV_Wind_F1_Import (MWh)]]+Input_Raw[[#This Row],[33 kV_Wind_F2_Import (MWh)]]+Input_Raw[[#This Row],[33 kV_Wind_F3_Import (MWh)2]]+Input_Raw[[#This Row],[33 kV_Wind_F4_Import (MWh)2]]</f>
        <v>0</v>
      </c>
      <c r="DL69" s="265">
        <f>IFERROR(Input_Raw[[#This Row],[33 kV_Wind_Total_Export (MWh)]]/Input_Raw[[#This Row],[WTG Total Gneration (MWh)]]-1,"")</f>
        <v>-1.1102230246251565E-16</v>
      </c>
      <c r="DM69" s="266"/>
      <c r="DN69" s="186">
        <v>96</v>
      </c>
      <c r="DO69" s="186">
        <v>0</v>
      </c>
      <c r="DP69" s="102">
        <v>430.77</v>
      </c>
      <c r="DQ69" s="266"/>
      <c r="DR69" s="181">
        <v>70.400000000000006</v>
      </c>
    </row>
    <row r="70" spans="1:122">
      <c r="A70" s="92">
        <f t="shared" si="74"/>
        <v>45810</v>
      </c>
      <c r="B70" s="190">
        <f>YEAR(Input_Raw[[#This Row],[Date]])+IF(MONTH(Input_Raw[[#This Row],[Date]])&gt;=4,1,0)</f>
        <v>2026</v>
      </c>
      <c r="C70" s="190">
        <f>YEAR(Input_Raw[[#This Row],[Date]])</f>
        <v>2025</v>
      </c>
      <c r="D70" s="11">
        <f t="shared" ref="D70:D72" si="123">A70-DAY(A70)+1</f>
        <v>45809</v>
      </c>
      <c r="E70" s="190">
        <f>DAY(EOMONTH(Input_Raw[[#This Row],[Date]],0))</f>
        <v>30</v>
      </c>
      <c r="F70" s="199">
        <v>15232</v>
      </c>
      <c r="G70" s="199">
        <v>14788</v>
      </c>
      <c r="H70" s="199">
        <v>9096</v>
      </c>
      <c r="I70" s="199">
        <v>13316</v>
      </c>
      <c r="J70" s="199">
        <v>13948</v>
      </c>
      <c r="K70" s="199">
        <v>15708</v>
      </c>
      <c r="L70" s="199">
        <v>13944</v>
      </c>
      <c r="M70" s="199">
        <v>8964</v>
      </c>
      <c r="N70" s="199">
        <v>5886</v>
      </c>
      <c r="O70" s="199">
        <v>5864</v>
      </c>
      <c r="P70" s="199">
        <v>7046</v>
      </c>
      <c r="Q70" s="199">
        <v>11272</v>
      </c>
      <c r="R70" s="199">
        <v>11496</v>
      </c>
      <c r="S70" s="199">
        <v>10868</v>
      </c>
      <c r="T70" s="199">
        <v>6060</v>
      </c>
      <c r="U70" s="199">
        <v>10160</v>
      </c>
      <c r="V70" s="199">
        <v>8212</v>
      </c>
      <c r="W70" s="199">
        <v>9924</v>
      </c>
      <c r="X70" s="199">
        <v>11298</v>
      </c>
      <c r="Y70" s="199">
        <v>8100</v>
      </c>
      <c r="Z70" s="199">
        <v>11764</v>
      </c>
      <c r="AA70" s="199">
        <v>9980</v>
      </c>
      <c r="AB70" s="199">
        <v>9548</v>
      </c>
      <c r="AC70" s="199">
        <v>9868</v>
      </c>
      <c r="AD70" s="199">
        <v>10312</v>
      </c>
      <c r="AE70" s="199">
        <v>8360</v>
      </c>
      <c r="AF70" s="199">
        <v>5360</v>
      </c>
      <c r="AG70" s="199">
        <v>8284</v>
      </c>
      <c r="AH70" s="199">
        <v>12992</v>
      </c>
      <c r="AI70" s="199">
        <v>11288</v>
      </c>
      <c r="AJ70" s="199">
        <v>7428</v>
      </c>
      <c r="AK70" s="199">
        <v>11228</v>
      </c>
      <c r="AL70" s="199">
        <v>13424</v>
      </c>
      <c r="AM70" s="199">
        <v>9524</v>
      </c>
      <c r="AN70" s="199">
        <v>8172.0000000000009</v>
      </c>
      <c r="AO70" s="199">
        <v>19152</v>
      </c>
      <c r="AP70" s="199">
        <v>16712</v>
      </c>
      <c r="AQ70" s="199">
        <v>9196</v>
      </c>
      <c r="AR70" s="199">
        <v>16224</v>
      </c>
      <c r="AS70" s="199">
        <v>10642</v>
      </c>
      <c r="AT70" s="199">
        <v>11620</v>
      </c>
      <c r="AU70" s="199">
        <v>13060</v>
      </c>
      <c r="AV70" s="199">
        <v>18144</v>
      </c>
      <c r="AW70" s="199">
        <v>16968</v>
      </c>
      <c r="AX70" s="96">
        <v>7.11</v>
      </c>
      <c r="AY70" s="96">
        <v>7.12</v>
      </c>
      <c r="AZ70" s="96">
        <v>5.94</v>
      </c>
      <c r="BA70" s="96">
        <v>7.25</v>
      </c>
      <c r="BB70" s="96">
        <v>6.91</v>
      </c>
      <c r="BC70" s="96">
        <v>7.68</v>
      </c>
      <c r="BD70" s="96">
        <v>7.24</v>
      </c>
      <c r="BE70" s="96">
        <v>6.27</v>
      </c>
      <c r="BF70" s="96">
        <v>5.57</v>
      </c>
      <c r="BG70" s="96">
        <v>5.9</v>
      </c>
      <c r="BH70" s="96">
        <v>5.79</v>
      </c>
      <c r="BI70" s="96">
        <v>6.87</v>
      </c>
      <c r="BJ70" s="96">
        <v>6.98</v>
      </c>
      <c r="BK70" s="96">
        <v>6.77</v>
      </c>
      <c r="BL70" s="96">
        <v>6.5</v>
      </c>
      <c r="BM70" s="96">
        <v>6.65</v>
      </c>
      <c r="BN70" s="96">
        <v>5.81</v>
      </c>
      <c r="BO70" s="96">
        <v>6.16</v>
      </c>
      <c r="BP70" s="96">
        <v>6.72</v>
      </c>
      <c r="BQ70" s="96">
        <v>5.77</v>
      </c>
      <c r="BR70" s="96">
        <v>6.87</v>
      </c>
      <c r="BS70" s="96">
        <v>6.3</v>
      </c>
      <c r="BT70" s="96">
        <v>5.97</v>
      </c>
      <c r="BU70" s="96">
        <v>6.51</v>
      </c>
      <c r="BV70" s="96">
        <v>6.64</v>
      </c>
      <c r="BW70" s="96">
        <v>6.17</v>
      </c>
      <c r="BX70" s="96">
        <v>5.04</v>
      </c>
      <c r="BY70" s="96">
        <v>5.98</v>
      </c>
      <c r="BZ70" s="96">
        <v>7.16</v>
      </c>
      <c r="CA70" s="96">
        <v>6.68</v>
      </c>
      <c r="CB70" s="96">
        <v>5.43</v>
      </c>
      <c r="CC70" s="96">
        <v>6.97</v>
      </c>
      <c r="CD70" s="96">
        <v>7.31</v>
      </c>
      <c r="CE70" s="96">
        <v>5.86</v>
      </c>
      <c r="CF70" s="96">
        <v>5.77</v>
      </c>
      <c r="CG70" s="96">
        <v>8.89</v>
      </c>
      <c r="CH70" s="96">
        <v>8.11</v>
      </c>
      <c r="CI70" s="96">
        <v>5.69</v>
      </c>
      <c r="CJ70" s="96">
        <v>7.67</v>
      </c>
      <c r="CK70" s="96">
        <v>6.43</v>
      </c>
      <c r="CL70" s="96">
        <v>6.75</v>
      </c>
      <c r="CM70" s="96">
        <v>7.06</v>
      </c>
      <c r="CN70" s="96">
        <v>8.2100000000000009</v>
      </c>
      <c r="CO70" s="96">
        <v>7.9</v>
      </c>
      <c r="CP70" s="98">
        <f>SUM(Input_Raw[[#This Row],[P-01]:[P-56]])/1000</f>
        <v>490.43200000000002</v>
      </c>
      <c r="CQ70" s="71">
        <f>IFERROR(AVERAGEIF(Input_Raw[[#This Row],[WS_P-01]:[WS_P-56]],"&lt;&gt;",Input_Raw[[#This Row],[WS_P-01]:[WS_P-56]]),"")</f>
        <v>6.6449999999999996</v>
      </c>
      <c r="CR70" s="99">
        <f>MAX(Input_Raw[[#This Row],[WS_P-01]:[WS_P-56]])</f>
        <v>8.89</v>
      </c>
      <c r="CS70" s="99"/>
      <c r="CT70" s="70">
        <f>SUM(Input_Raw[[#This Row],[P-08]:[P-13]],Input_Raw[[#This Row],[P-25]:[P-28]])</f>
        <v>88616</v>
      </c>
      <c r="CU70" s="70"/>
      <c r="CV70" s="70">
        <f>SUM(Input_Raw[[#This Row],[P-04]],Input_Raw[[#This Row],[P-14]:[P-17]],Input_Raw[[#This Row],[P-19]:[P-20]],Input_Raw[[#This Row],[P-22]:[P-23]],Input_Raw[[#This Row],[P-34]],Input_Raw[[#This Row],[P-38]],Input_Raw[[#This Row],[P-43]])</f>
        <v>118350</v>
      </c>
      <c r="CW70" s="70"/>
      <c r="CX70" s="70">
        <f>SUM(Input_Raw[[#This Row],[P-05]:[P-06]],Input_Raw[[#This Row],[P-40]:[P-42]],Input_Raw[[#This Row],[P-45]],Input_Raw[[#This Row],[P-46]],Input_Raw[[#This Row],[P-47]:[P-48]])</f>
        <v>125116</v>
      </c>
      <c r="CY70" s="70"/>
      <c r="CZ70" s="70">
        <f>SUM(Input_Raw[[#This Row],[P-01]:[P-03]],Input_Raw[[#This Row],[P-07]],Input_Raw[[#This Row],[P-18]],Input_Raw[[#This Row],[P-31]:[P-32]],Input_Raw[[#This Row],[P-37]],Input_Raw[[#This Row],[P-50]:[P-56]])</f>
        <v>158350</v>
      </c>
      <c r="DA70" s="12"/>
      <c r="DB70" s="13">
        <f>Input_Raw[[#This Row],[33 kV_Wind_F1_Export reading]]/1000</f>
        <v>88.616</v>
      </c>
      <c r="DC70" s="13"/>
      <c r="DD70" s="13">
        <f>Input_Raw[[#This Row],[33 kV_Wind_F2_Export_reading]]/1000</f>
        <v>118.35</v>
      </c>
      <c r="DE70" s="13"/>
      <c r="DF70" s="13">
        <f>Input_Raw[[#This Row],[33 kV_Wind_F3_Export_Reading]]/1000</f>
        <v>125.116</v>
      </c>
      <c r="DG70" s="13"/>
      <c r="DH70" s="13">
        <f>Input_Raw[[#This Row],[33 kV_Wind_F4_Export Reading]]/1000</f>
        <v>158.35</v>
      </c>
      <c r="DI70" s="13"/>
      <c r="DJ70" s="13">
        <f>Input_Raw[[#This Row],[33 kV_F1_Total_Export (MWh)]]+Input_Raw[[#This Row],[33 kV_F2_Total_Export (MWh)2]]+Input_Raw[[#This Row],[33 kV_Wind_F3_Export (MWh)]]+Input_Raw[[#This Row],[33 kV_Wind_F4_Export (MWh)]]</f>
        <v>490.43200000000002</v>
      </c>
      <c r="DK70" s="13">
        <f>Input_Raw[[#This Row],[33 kV_Wind_F1_Import (MWh)]]+Input_Raw[[#This Row],[33 kV_Wind_F2_Import (MWh)]]+Input_Raw[[#This Row],[33 kV_Wind_F3_Import (MWh)2]]+Input_Raw[[#This Row],[33 kV_Wind_F4_Import (MWh)2]]</f>
        <v>0</v>
      </c>
      <c r="DL70" s="100">
        <f>IFERROR(Input_Raw[[#This Row],[33 kV_Wind_Total_Export (MWh)]]/Input_Raw[[#This Row],[WTG Total Gneration (MWh)]]-1,"")</f>
        <v>0</v>
      </c>
      <c r="DM70" s="66"/>
      <c r="DN70" s="186">
        <v>89</v>
      </c>
      <c r="DO70" s="186">
        <v>0</v>
      </c>
      <c r="DP70" s="102">
        <v>453.43</v>
      </c>
      <c r="DQ70" s="66"/>
      <c r="DR70" s="181">
        <v>70.400000000000006</v>
      </c>
    </row>
    <row r="71" spans="1:122">
      <c r="A71" s="92">
        <f t="shared" si="74"/>
        <v>45811</v>
      </c>
      <c r="B71" s="190">
        <f>YEAR(Input_Raw[[#This Row],[Date]])+IF(MONTH(Input_Raw[[#This Row],[Date]])&gt;=4,1,0)</f>
        <v>2026</v>
      </c>
      <c r="C71" s="190">
        <f>YEAR(Input_Raw[[#This Row],[Date]])</f>
        <v>2025</v>
      </c>
      <c r="D71" s="11">
        <f t="shared" si="123"/>
        <v>45809</v>
      </c>
      <c r="E71" s="190">
        <f>DAY(EOMONTH(Input_Raw[[#This Row],[Date]],0))</f>
        <v>30</v>
      </c>
      <c r="F71" s="199">
        <v>16708</v>
      </c>
      <c r="G71" s="199">
        <v>14980</v>
      </c>
      <c r="H71" s="199">
        <v>10180</v>
      </c>
      <c r="I71" s="199">
        <v>12560</v>
      </c>
      <c r="J71" s="199">
        <v>15444</v>
      </c>
      <c r="K71" s="199">
        <v>16480</v>
      </c>
      <c r="L71" s="199">
        <v>14758</v>
      </c>
      <c r="M71" s="199">
        <v>9230</v>
      </c>
      <c r="N71" s="199">
        <v>5654</v>
      </c>
      <c r="O71" s="199">
        <v>6684</v>
      </c>
      <c r="P71" s="199">
        <v>9466</v>
      </c>
      <c r="Q71" s="199">
        <v>13520</v>
      </c>
      <c r="R71" s="199">
        <v>12872</v>
      </c>
      <c r="S71" s="199">
        <v>11326</v>
      </c>
      <c r="T71" s="199">
        <v>9026</v>
      </c>
      <c r="U71" s="199">
        <v>9852</v>
      </c>
      <c r="V71" s="199">
        <v>8440</v>
      </c>
      <c r="W71" s="199">
        <v>10712</v>
      </c>
      <c r="X71" s="199">
        <v>10548</v>
      </c>
      <c r="Y71" s="199">
        <v>6905</v>
      </c>
      <c r="Z71" s="199">
        <v>12236</v>
      </c>
      <c r="AA71" s="199">
        <v>10444</v>
      </c>
      <c r="AB71" s="199">
        <v>9924</v>
      </c>
      <c r="AC71" s="199">
        <v>10172</v>
      </c>
      <c r="AD71" s="199">
        <v>11360</v>
      </c>
      <c r="AE71" s="199">
        <v>7424</v>
      </c>
      <c r="AF71" s="199">
        <v>8328</v>
      </c>
      <c r="AG71" s="199">
        <v>9582</v>
      </c>
      <c r="AH71" s="199">
        <v>12824</v>
      </c>
      <c r="AI71" s="199">
        <v>12454</v>
      </c>
      <c r="AJ71" s="199">
        <v>7860</v>
      </c>
      <c r="AK71" s="199">
        <v>11044</v>
      </c>
      <c r="AL71" s="199">
        <v>14872</v>
      </c>
      <c r="AM71" s="199">
        <v>12236</v>
      </c>
      <c r="AN71" s="199">
        <v>9042</v>
      </c>
      <c r="AO71" s="199">
        <v>19868</v>
      </c>
      <c r="AP71" s="199">
        <v>19060</v>
      </c>
      <c r="AQ71" s="199">
        <v>11260</v>
      </c>
      <c r="AR71" s="199">
        <v>16940</v>
      </c>
      <c r="AS71" s="199">
        <v>10058</v>
      </c>
      <c r="AT71" s="199">
        <v>11864</v>
      </c>
      <c r="AU71" s="199">
        <v>14108</v>
      </c>
      <c r="AV71" s="199">
        <v>19088</v>
      </c>
      <c r="AW71" s="199">
        <v>17468</v>
      </c>
      <c r="AX71" s="96">
        <v>7.36</v>
      </c>
      <c r="AY71" s="96">
        <v>7.13</v>
      </c>
      <c r="AZ71" s="96">
        <v>6.23</v>
      </c>
      <c r="BA71" s="96">
        <v>6.98</v>
      </c>
      <c r="BB71" s="96">
        <v>7.14</v>
      </c>
      <c r="BC71" s="96">
        <v>7.76</v>
      </c>
      <c r="BD71" s="96">
        <v>7.37</v>
      </c>
      <c r="BE71" s="96">
        <v>6.19</v>
      </c>
      <c r="BF71" s="96">
        <v>5.51</v>
      </c>
      <c r="BG71" s="96">
        <v>6.07</v>
      </c>
      <c r="BH71" s="96">
        <v>6.3</v>
      </c>
      <c r="BI71" s="96">
        <v>7.19</v>
      </c>
      <c r="BJ71" s="96">
        <v>7.04</v>
      </c>
      <c r="BK71" s="96">
        <v>6.65</v>
      </c>
      <c r="BL71" s="96">
        <v>6.4</v>
      </c>
      <c r="BM71" s="96">
        <v>6.49</v>
      </c>
      <c r="BN71" s="96">
        <v>5.86</v>
      </c>
      <c r="BO71" s="96">
        <v>6.38</v>
      </c>
      <c r="BP71" s="96">
        <v>6.49</v>
      </c>
      <c r="BQ71" s="96">
        <v>5.49</v>
      </c>
      <c r="BR71" s="96">
        <v>6.87</v>
      </c>
      <c r="BS71" s="96">
        <v>6.32</v>
      </c>
      <c r="BT71" s="96">
        <v>5.94</v>
      </c>
      <c r="BU71" s="96">
        <v>6.5</v>
      </c>
      <c r="BV71" s="96">
        <v>6.69</v>
      </c>
      <c r="BW71" s="96">
        <v>6.14</v>
      </c>
      <c r="BX71" s="96">
        <v>5.51</v>
      </c>
      <c r="BY71" s="96">
        <v>6.23</v>
      </c>
      <c r="BZ71" s="96">
        <v>7.05</v>
      </c>
      <c r="CA71" s="96">
        <v>6.85</v>
      </c>
      <c r="CB71" s="96">
        <v>5.59</v>
      </c>
      <c r="CC71" s="96">
        <v>6.88</v>
      </c>
      <c r="CD71" s="96">
        <v>7.61</v>
      </c>
      <c r="CE71" s="96">
        <v>6.43</v>
      </c>
      <c r="CF71" s="96">
        <v>5.91</v>
      </c>
      <c r="CG71" s="96">
        <v>8.99</v>
      </c>
      <c r="CH71" s="96">
        <v>8.2799999999999994</v>
      </c>
      <c r="CI71" s="96">
        <v>6.19</v>
      </c>
      <c r="CJ71" s="96">
        <v>7.69</v>
      </c>
      <c r="CK71" s="96">
        <v>6.28</v>
      </c>
      <c r="CL71" s="96">
        <v>6.73</v>
      </c>
      <c r="CM71" s="96">
        <v>7.17</v>
      </c>
      <c r="CN71" s="96">
        <v>8.36</v>
      </c>
      <c r="CO71" s="96">
        <v>7.95</v>
      </c>
      <c r="CP71" s="259">
        <f>SUM(Input_Raw[[#This Row],[P-01]:[P-56]])/1000</f>
        <v>524.86099999999999</v>
      </c>
      <c r="CQ71" s="260">
        <f>IFERROR(AVERAGEIF(Input_Raw[[#This Row],[WS_P-01]:[WS_P-56]],"&lt;&gt;",Input_Raw[[#This Row],[WS_P-01]:[WS_P-56]]),"")</f>
        <v>6.731590909090909</v>
      </c>
      <c r="CR71" s="261">
        <f>MAX(Input_Raw[[#This Row],[WS_P-01]:[WS_P-56]])</f>
        <v>8.99</v>
      </c>
      <c r="CS71" s="261"/>
      <c r="CT71" s="262">
        <f>SUM(Input_Raw[[#This Row],[P-08]:[P-13]],Input_Raw[[#This Row],[P-25]:[P-28]])</f>
        <v>96306</v>
      </c>
      <c r="CU71" s="262"/>
      <c r="CV71" s="262">
        <f>SUM(Input_Raw[[#This Row],[P-04]],Input_Raw[[#This Row],[P-14]:[P-17]],Input_Raw[[#This Row],[P-19]:[P-20]],Input_Raw[[#This Row],[P-22]:[P-23]],Input_Raw[[#This Row],[P-34]],Input_Raw[[#This Row],[P-38]],Input_Raw[[#This Row],[P-43]])</f>
        <v>121063</v>
      </c>
      <c r="CW71" s="262"/>
      <c r="CX71" s="262">
        <f>SUM(Input_Raw[[#This Row],[P-05]:[P-06]],Input_Raw[[#This Row],[P-40]:[P-42]],Input_Raw[[#This Row],[P-45]],Input_Raw[[#This Row],[P-46]],Input_Raw[[#This Row],[P-47]:[P-48]])</f>
        <v>137204</v>
      </c>
      <c r="CY71" s="262"/>
      <c r="CZ71" s="262">
        <f>SUM(Input_Raw[[#This Row],[P-01]:[P-03]],Input_Raw[[#This Row],[P-07]],Input_Raw[[#This Row],[P-18]],Input_Raw[[#This Row],[P-31]:[P-32]],Input_Raw[[#This Row],[P-37]],Input_Raw[[#This Row],[P-50]:[P-56]])</f>
        <v>170288</v>
      </c>
      <c r="DA71" s="263"/>
      <c r="DB71" s="264">
        <f>Input_Raw[[#This Row],[33 kV_Wind_F1_Export reading]]/1000</f>
        <v>96.305999999999997</v>
      </c>
      <c r="DC71" s="264"/>
      <c r="DD71" s="264">
        <f>Input_Raw[[#This Row],[33 kV_Wind_F2_Export_reading]]/1000</f>
        <v>121.063</v>
      </c>
      <c r="DE71" s="264"/>
      <c r="DF71" s="264">
        <f>Input_Raw[[#This Row],[33 kV_Wind_F3_Export_Reading]]/1000</f>
        <v>137.20400000000001</v>
      </c>
      <c r="DG71" s="264"/>
      <c r="DH71" s="264">
        <f>Input_Raw[[#This Row],[33 kV_Wind_F4_Export Reading]]/1000</f>
        <v>170.28800000000001</v>
      </c>
      <c r="DI71" s="264"/>
      <c r="DJ71" s="264">
        <f>Input_Raw[[#This Row],[33 kV_F1_Total_Export (MWh)]]+Input_Raw[[#This Row],[33 kV_F2_Total_Export (MWh)2]]+Input_Raw[[#This Row],[33 kV_Wind_F3_Export (MWh)]]+Input_Raw[[#This Row],[33 kV_Wind_F4_Export (MWh)]]</f>
        <v>524.86099999999999</v>
      </c>
      <c r="DK71" s="264">
        <f>Input_Raw[[#This Row],[33 kV_Wind_F1_Import (MWh)]]+Input_Raw[[#This Row],[33 kV_Wind_F2_Import (MWh)]]+Input_Raw[[#This Row],[33 kV_Wind_F3_Import (MWh)2]]+Input_Raw[[#This Row],[33 kV_Wind_F4_Import (MWh)2]]</f>
        <v>0</v>
      </c>
      <c r="DL71" s="265">
        <f>IFERROR(Input_Raw[[#This Row],[33 kV_Wind_Total_Export (MWh)]]/Input_Raw[[#This Row],[WTG Total Gneration (MWh)]]-1,"")</f>
        <v>0</v>
      </c>
      <c r="DM71" s="266"/>
      <c r="DN71" s="186">
        <v>54</v>
      </c>
      <c r="DO71" s="186">
        <v>5590.37</v>
      </c>
      <c r="DP71" s="102">
        <v>482.41</v>
      </c>
      <c r="DQ71" s="266"/>
      <c r="DR71" s="181">
        <v>70.400000000000006</v>
      </c>
    </row>
    <row r="72" spans="1:122">
      <c r="A72" s="92">
        <f t="shared" si="74"/>
        <v>45812</v>
      </c>
      <c r="B72" s="190">
        <f>YEAR(Input_Raw[[#This Row],[Date]])+IF(MONTH(Input_Raw[[#This Row],[Date]])&gt;=4,1,0)</f>
        <v>2026</v>
      </c>
      <c r="C72" s="190">
        <f>YEAR(Input_Raw[[#This Row],[Date]])</f>
        <v>2025</v>
      </c>
      <c r="D72" s="11">
        <f t="shared" si="123"/>
        <v>45809</v>
      </c>
      <c r="E72" s="190">
        <f>DAY(EOMONTH(Input_Raw[[#This Row],[Date]],0))</f>
        <v>30</v>
      </c>
      <c r="F72" s="199">
        <v>16388</v>
      </c>
      <c r="G72" s="199">
        <v>15436</v>
      </c>
      <c r="H72" s="199">
        <v>15280</v>
      </c>
      <c r="I72" s="199">
        <v>12198</v>
      </c>
      <c r="J72" s="199">
        <v>14272</v>
      </c>
      <c r="K72" s="199">
        <v>15156</v>
      </c>
      <c r="L72" s="199">
        <v>13570</v>
      </c>
      <c r="M72" s="199">
        <v>9960</v>
      </c>
      <c r="N72" s="199">
        <v>8726</v>
      </c>
      <c r="O72" s="199">
        <v>7804</v>
      </c>
      <c r="P72" s="199">
        <v>8440</v>
      </c>
      <c r="Q72" s="199">
        <v>9296</v>
      </c>
      <c r="R72" s="199">
        <v>7972</v>
      </c>
      <c r="S72" s="199">
        <v>8146.0000000000009</v>
      </c>
      <c r="T72" s="199">
        <v>7360</v>
      </c>
      <c r="U72" s="199">
        <v>8430</v>
      </c>
      <c r="V72" s="199">
        <v>9472</v>
      </c>
      <c r="W72" s="199">
        <v>11804</v>
      </c>
      <c r="X72" s="199">
        <v>10834</v>
      </c>
      <c r="Y72" s="199">
        <v>7663</v>
      </c>
      <c r="Z72" s="199">
        <v>12604</v>
      </c>
      <c r="AA72" s="199">
        <v>11372</v>
      </c>
      <c r="AB72" s="199">
        <v>12616</v>
      </c>
      <c r="AC72" s="199">
        <v>9924</v>
      </c>
      <c r="AD72" s="199">
        <v>10664</v>
      </c>
      <c r="AE72" s="199">
        <v>5016</v>
      </c>
      <c r="AF72" s="199">
        <v>13916</v>
      </c>
      <c r="AG72" s="199">
        <v>9112</v>
      </c>
      <c r="AH72" s="199">
        <v>12120</v>
      </c>
      <c r="AI72" s="199">
        <v>10892</v>
      </c>
      <c r="AJ72" s="199">
        <v>9556</v>
      </c>
      <c r="AK72" s="199">
        <v>10472</v>
      </c>
      <c r="AL72" s="199">
        <v>14152</v>
      </c>
      <c r="AM72" s="199">
        <v>11764</v>
      </c>
      <c r="AN72" s="199">
        <v>9968</v>
      </c>
      <c r="AO72" s="199">
        <v>19944</v>
      </c>
      <c r="AP72" s="199">
        <v>17600</v>
      </c>
      <c r="AQ72" s="199">
        <v>13024</v>
      </c>
      <c r="AR72" s="199">
        <v>12444</v>
      </c>
      <c r="AS72" s="199">
        <v>9888</v>
      </c>
      <c r="AT72" s="199">
        <v>11808</v>
      </c>
      <c r="AU72" s="199">
        <v>11980</v>
      </c>
      <c r="AV72" s="199">
        <v>18100</v>
      </c>
      <c r="AW72" s="199">
        <v>13268</v>
      </c>
      <c r="AX72" s="96">
        <v>7.29</v>
      </c>
      <c r="AY72" s="96">
        <v>7.27</v>
      </c>
      <c r="AZ72" s="96">
        <v>7.45</v>
      </c>
      <c r="BA72" s="96">
        <v>6.92</v>
      </c>
      <c r="BB72" s="96">
        <v>6.87</v>
      </c>
      <c r="BC72" s="96">
        <v>7.5</v>
      </c>
      <c r="BD72" s="96">
        <v>7.09</v>
      </c>
      <c r="BE72" s="96">
        <v>6.31</v>
      </c>
      <c r="BF72" s="96">
        <v>6.17</v>
      </c>
      <c r="BG72" s="96">
        <v>6.07</v>
      </c>
      <c r="BH72" s="96">
        <v>6.1</v>
      </c>
      <c r="BI72" s="96">
        <v>6.28</v>
      </c>
      <c r="BJ72" s="96">
        <v>5.93</v>
      </c>
      <c r="BK72" s="96">
        <v>5.9</v>
      </c>
      <c r="BL72" s="96">
        <v>5.99</v>
      </c>
      <c r="BM72" s="96">
        <v>6.05</v>
      </c>
      <c r="BN72" s="96">
        <v>6.05</v>
      </c>
      <c r="BO72" s="96">
        <v>6.54</v>
      </c>
      <c r="BP72" s="96">
        <v>6.55</v>
      </c>
      <c r="BQ72" s="96">
        <v>5.62</v>
      </c>
      <c r="BR72" s="96">
        <v>6.98</v>
      </c>
      <c r="BS72" s="96">
        <v>6.55</v>
      </c>
      <c r="BT72" s="96">
        <v>6.58</v>
      </c>
      <c r="BU72" s="96">
        <v>6.57</v>
      </c>
      <c r="BV72" s="96">
        <v>6.44</v>
      </c>
      <c r="BW72" s="96">
        <v>5.35</v>
      </c>
      <c r="BX72" s="96">
        <v>6.97</v>
      </c>
      <c r="BY72" s="96">
        <v>5.97</v>
      </c>
      <c r="BZ72" s="96">
        <v>6.91</v>
      </c>
      <c r="CA72" s="96">
        <v>6.37</v>
      </c>
      <c r="CB72" s="96">
        <v>6.12</v>
      </c>
      <c r="CC72" s="96">
        <v>6.68</v>
      </c>
      <c r="CD72" s="96">
        <v>7.37</v>
      </c>
      <c r="CE72" s="96">
        <v>6.39</v>
      </c>
      <c r="CF72" s="96">
        <v>6.11</v>
      </c>
      <c r="CG72" s="96">
        <v>9.1</v>
      </c>
      <c r="CH72" s="96">
        <v>8</v>
      </c>
      <c r="CI72" s="96">
        <v>6.61</v>
      </c>
      <c r="CJ72" s="96">
        <v>6.64</v>
      </c>
      <c r="CK72" s="96">
        <v>6.1</v>
      </c>
      <c r="CL72" s="96">
        <v>6.58</v>
      </c>
      <c r="CM72" s="96">
        <v>6.51</v>
      </c>
      <c r="CN72" s="96">
        <v>8.16</v>
      </c>
      <c r="CO72" s="96">
        <v>6.95</v>
      </c>
      <c r="CP72" s="259">
        <f>SUM(Input_Raw[[#This Row],[P-01]:[P-56]])/1000</f>
        <v>510.411</v>
      </c>
      <c r="CQ72" s="260">
        <f>IFERROR(AVERAGEIF(Input_Raw[[#This Row],[WS_P-01]:[WS_P-56]],"&lt;&gt;",Input_Raw[[#This Row],[WS_P-01]:[WS_P-56]]),"")</f>
        <v>6.6354545454545466</v>
      </c>
      <c r="CR72" s="261">
        <f>MAX(Input_Raw[[#This Row],[WS_P-01]:[WS_P-56]])</f>
        <v>9.1</v>
      </c>
      <c r="CS72" s="261"/>
      <c r="CT72" s="262">
        <f>SUM(Input_Raw[[#This Row],[P-08]:[P-13]],Input_Raw[[#This Row],[P-25]:[P-28]])</f>
        <v>90418</v>
      </c>
      <c r="CU72" s="262"/>
      <c r="CV72" s="262">
        <f>SUM(Input_Raw[[#This Row],[P-04]],Input_Raw[[#This Row],[P-14]:[P-17]],Input_Raw[[#This Row],[P-19]:[P-20]],Input_Raw[[#This Row],[P-22]:[P-23]],Input_Raw[[#This Row],[P-34]],Input_Raw[[#This Row],[P-38]],Input_Raw[[#This Row],[P-43]])</f>
        <v>119723</v>
      </c>
      <c r="CW72" s="262"/>
      <c r="CX72" s="262">
        <f>SUM(Input_Raw[[#This Row],[P-05]:[P-06]],Input_Raw[[#This Row],[P-40]:[P-42]],Input_Raw[[#This Row],[P-45]],Input_Raw[[#This Row],[P-46]],Input_Raw[[#This Row],[P-47]:[P-48]])</f>
        <v>128828</v>
      </c>
      <c r="CY72" s="262"/>
      <c r="CZ72" s="262">
        <f>SUM(Input_Raw[[#This Row],[P-01]:[P-03]],Input_Raw[[#This Row],[P-07]],Input_Raw[[#This Row],[P-18]],Input_Raw[[#This Row],[P-31]:[P-32]],Input_Raw[[#This Row],[P-37]],Input_Raw[[#This Row],[P-50]:[P-56]])</f>
        <v>171442</v>
      </c>
      <c r="DA72" s="263"/>
      <c r="DB72" s="264">
        <f>Input_Raw[[#This Row],[33 kV_Wind_F1_Export reading]]/1000</f>
        <v>90.418000000000006</v>
      </c>
      <c r="DC72" s="264"/>
      <c r="DD72" s="264">
        <f>Input_Raw[[#This Row],[33 kV_Wind_F2_Export_reading]]/1000</f>
        <v>119.723</v>
      </c>
      <c r="DE72" s="264"/>
      <c r="DF72" s="264">
        <f>Input_Raw[[#This Row],[33 kV_Wind_F3_Export_Reading]]/1000</f>
        <v>128.828</v>
      </c>
      <c r="DG72" s="264"/>
      <c r="DH72" s="264">
        <f>Input_Raw[[#This Row],[33 kV_Wind_F4_Export Reading]]/1000</f>
        <v>171.44200000000001</v>
      </c>
      <c r="DI72" s="264"/>
      <c r="DJ72" s="264">
        <f>Input_Raw[[#This Row],[33 kV_F1_Total_Export (MWh)]]+Input_Raw[[#This Row],[33 kV_F2_Total_Export (MWh)2]]+Input_Raw[[#This Row],[33 kV_Wind_F3_Export (MWh)]]+Input_Raw[[#This Row],[33 kV_Wind_F4_Export (MWh)]]</f>
        <v>510.41100000000006</v>
      </c>
      <c r="DK72" s="264">
        <f>Input_Raw[[#This Row],[33 kV_Wind_F1_Import (MWh)]]+Input_Raw[[#This Row],[33 kV_Wind_F2_Import (MWh)]]+Input_Raw[[#This Row],[33 kV_Wind_F3_Import (MWh)2]]+Input_Raw[[#This Row],[33 kV_Wind_F4_Import (MWh)2]]</f>
        <v>0</v>
      </c>
      <c r="DL72" s="265">
        <f>IFERROR(Input_Raw[[#This Row],[33 kV_Wind_Total_Export (MWh)]]/Input_Raw[[#This Row],[WTG Total Gneration (MWh)]]-1,"")</f>
        <v>2.2204460492503131E-16</v>
      </c>
      <c r="DM72" s="266"/>
      <c r="DN72" s="186">
        <v>90</v>
      </c>
      <c r="DO72" s="186">
        <v>57457.88</v>
      </c>
      <c r="DP72" s="102">
        <v>475.81</v>
      </c>
      <c r="DQ72" s="266"/>
      <c r="DR72" s="181">
        <v>70.400000000000006</v>
      </c>
    </row>
    <row r="73" spans="1:122">
      <c r="A73" s="92">
        <f t="shared" si="74"/>
        <v>45813</v>
      </c>
      <c r="B73" s="190">
        <f>YEAR(Input_Raw[[#This Row],[Date]])+IF(MONTH(Input_Raw[[#This Row],[Date]])&gt;=4,1,0)</f>
        <v>2026</v>
      </c>
      <c r="C73" s="190">
        <f>YEAR(Input_Raw[[#This Row],[Date]])</f>
        <v>2025</v>
      </c>
      <c r="D73" s="11">
        <f t="shared" ref="D73" si="124">A73-DAY(A73)+1</f>
        <v>45809</v>
      </c>
      <c r="E73" s="190">
        <f>DAY(EOMONTH(Input_Raw[[#This Row],[Date]],0))</f>
        <v>30</v>
      </c>
      <c r="F73" s="199">
        <v>11576</v>
      </c>
      <c r="G73" s="199">
        <v>12092</v>
      </c>
      <c r="H73" s="199">
        <v>12092</v>
      </c>
      <c r="I73" s="199">
        <v>9480</v>
      </c>
      <c r="J73" s="199">
        <v>12004</v>
      </c>
      <c r="K73" s="199">
        <v>11220</v>
      </c>
      <c r="L73" s="199">
        <v>8064</v>
      </c>
      <c r="M73" s="199">
        <v>5290</v>
      </c>
      <c r="N73" s="199">
        <v>6012</v>
      </c>
      <c r="O73" s="199">
        <v>7048</v>
      </c>
      <c r="P73" s="199">
        <v>6664</v>
      </c>
      <c r="Q73" s="199">
        <v>6660</v>
      </c>
      <c r="R73" s="199">
        <v>5764</v>
      </c>
      <c r="S73" s="199">
        <v>6416</v>
      </c>
      <c r="T73" s="199">
        <v>5448</v>
      </c>
      <c r="U73" s="199">
        <v>6106</v>
      </c>
      <c r="V73" s="199">
        <v>6024</v>
      </c>
      <c r="W73" s="199">
        <v>11316</v>
      </c>
      <c r="X73" s="199">
        <v>5292</v>
      </c>
      <c r="Y73" s="199">
        <v>4342</v>
      </c>
      <c r="Z73" s="199">
        <v>8760</v>
      </c>
      <c r="AA73" s="199">
        <v>9120</v>
      </c>
      <c r="AB73" s="199">
        <v>8624</v>
      </c>
      <c r="AC73" s="199">
        <v>8096</v>
      </c>
      <c r="AD73" s="199">
        <v>7820</v>
      </c>
      <c r="AE73" s="199">
        <v>4616</v>
      </c>
      <c r="AF73" s="199">
        <v>14364</v>
      </c>
      <c r="AG73" s="199">
        <v>5776</v>
      </c>
      <c r="AH73" s="199">
        <v>9400</v>
      </c>
      <c r="AI73" s="199">
        <v>8039.9999999999991</v>
      </c>
      <c r="AJ73" s="199">
        <v>6040</v>
      </c>
      <c r="AK73" s="199">
        <v>7230</v>
      </c>
      <c r="AL73" s="199">
        <v>12628</v>
      </c>
      <c r="AM73" s="199">
        <v>12280</v>
      </c>
      <c r="AN73" s="199">
        <v>5924</v>
      </c>
      <c r="AO73" s="199">
        <v>12760</v>
      </c>
      <c r="AP73" s="199">
        <v>12544</v>
      </c>
      <c r="AQ73" s="199">
        <v>11340</v>
      </c>
      <c r="AR73" s="199">
        <v>12212</v>
      </c>
      <c r="AS73" s="199">
        <v>4854</v>
      </c>
      <c r="AT73" s="199">
        <v>8132</v>
      </c>
      <c r="AU73" s="199">
        <v>8996</v>
      </c>
      <c r="AV73" s="199">
        <v>10612</v>
      </c>
      <c r="AW73" s="199">
        <v>9476</v>
      </c>
      <c r="AX73" s="96">
        <v>6.34</v>
      </c>
      <c r="AY73" s="96">
        <v>6.59</v>
      </c>
      <c r="AZ73" s="96">
        <v>6.78</v>
      </c>
      <c r="BA73" s="96">
        <v>6.37</v>
      </c>
      <c r="BB73" s="96">
        <v>6.82</v>
      </c>
      <c r="BC73" s="96">
        <v>7.11</v>
      </c>
      <c r="BD73" s="96">
        <v>5.93</v>
      </c>
      <c r="BE73" s="96">
        <v>5.14</v>
      </c>
      <c r="BF73" s="96">
        <v>5.81</v>
      </c>
      <c r="BG73" s="96">
        <v>6.35</v>
      </c>
      <c r="BH73" s="96">
        <v>5.9</v>
      </c>
      <c r="BI73" s="96">
        <v>5.79</v>
      </c>
      <c r="BJ73" s="96">
        <v>5.7</v>
      </c>
      <c r="BK73" s="96">
        <v>5.74</v>
      </c>
      <c r="BL73" s="96">
        <v>5.65</v>
      </c>
      <c r="BM73" s="96">
        <v>5.8</v>
      </c>
      <c r="BN73" s="96">
        <v>5.5</v>
      </c>
      <c r="BO73" s="96">
        <v>6.69</v>
      </c>
      <c r="BP73" s="96">
        <v>5.29</v>
      </c>
      <c r="BQ73" s="96">
        <v>4.91</v>
      </c>
      <c r="BR73" s="96">
        <v>6.14</v>
      </c>
      <c r="BS73" s="96">
        <v>6.16</v>
      </c>
      <c r="BT73" s="96">
        <v>5.85</v>
      </c>
      <c r="BU73" s="96">
        <v>6.14</v>
      </c>
      <c r="BV73" s="96">
        <v>6.14</v>
      </c>
      <c r="BW73" s="96">
        <v>5.38</v>
      </c>
      <c r="BX73" s="96">
        <v>7.11</v>
      </c>
      <c r="BY73" s="96">
        <v>5.3</v>
      </c>
      <c r="BZ73" s="96">
        <v>6.34</v>
      </c>
      <c r="CA73" s="96">
        <v>5.97</v>
      </c>
      <c r="CB73" s="96">
        <v>5.38</v>
      </c>
      <c r="CC73" s="96">
        <v>6.24</v>
      </c>
      <c r="CD73" s="96">
        <v>7.43</v>
      </c>
      <c r="CE73" s="96">
        <v>6.77</v>
      </c>
      <c r="CF73" s="96">
        <v>5.1100000000000003</v>
      </c>
      <c r="CG73" s="96">
        <v>7.6</v>
      </c>
      <c r="CH73" s="96">
        <v>7.22</v>
      </c>
      <c r="CI73" s="96">
        <v>6.47</v>
      </c>
      <c r="CJ73" s="96">
        <v>7.04</v>
      </c>
      <c r="CK73" s="96">
        <v>4.71</v>
      </c>
      <c r="CL73" s="96">
        <v>5.86</v>
      </c>
      <c r="CM73" s="96">
        <v>6.09</v>
      </c>
      <c r="CN73" s="96">
        <v>6.58</v>
      </c>
      <c r="CO73" s="96">
        <v>6.41</v>
      </c>
      <c r="CP73" s="259">
        <f>SUM(Input_Raw[[#This Row],[P-01]:[P-56]])/1000</f>
        <v>378.55399999999997</v>
      </c>
      <c r="CQ73" s="260">
        <f>IFERROR(AVERAGEIF(Input_Raw[[#This Row],[WS_P-01]:[WS_P-56]],"&lt;&gt;",Input_Raw[[#This Row],[WS_P-01]:[WS_P-56]]),"")</f>
        <v>6.1284090909090914</v>
      </c>
      <c r="CR73" s="261">
        <f>MAX(Input_Raw[[#This Row],[WS_P-01]:[WS_P-56]])</f>
        <v>7.6</v>
      </c>
      <c r="CS73" s="261"/>
      <c r="CT73" s="262">
        <f>SUM(Input_Raw[[#This Row],[P-08]:[P-13]],Input_Raw[[#This Row],[P-25]:[P-28]])</f>
        <v>66594</v>
      </c>
      <c r="CU73" s="262"/>
      <c r="CV73" s="262">
        <f>SUM(Input_Raw[[#This Row],[P-04]],Input_Raw[[#This Row],[P-14]:[P-17]],Input_Raw[[#This Row],[P-19]:[P-20]],Input_Raw[[#This Row],[P-22]:[P-23]],Input_Raw[[#This Row],[P-34]],Input_Raw[[#This Row],[P-38]],Input_Raw[[#This Row],[P-43]])</f>
        <v>82352</v>
      </c>
      <c r="CW73" s="262"/>
      <c r="CX73" s="262">
        <f>SUM(Input_Raw[[#This Row],[P-05]:[P-06]],Input_Raw[[#This Row],[P-40]:[P-42]],Input_Raw[[#This Row],[P-45]],Input_Raw[[#This Row],[P-46]],Input_Raw[[#This Row],[P-47]:[P-48]])</f>
        <v>104218</v>
      </c>
      <c r="CY73" s="262"/>
      <c r="CZ73" s="262">
        <f>SUM(Input_Raw[[#This Row],[P-01]:[P-03]],Input_Raw[[#This Row],[P-07]],Input_Raw[[#This Row],[P-18]],Input_Raw[[#This Row],[P-31]:[P-32]],Input_Raw[[#This Row],[P-37]],Input_Raw[[#This Row],[P-50]:[P-56]])</f>
        <v>125390</v>
      </c>
      <c r="DA73" s="263"/>
      <c r="DB73" s="264">
        <f>Input_Raw[[#This Row],[33 kV_Wind_F1_Export reading]]/1000</f>
        <v>66.593999999999994</v>
      </c>
      <c r="DC73" s="264"/>
      <c r="DD73" s="264">
        <f>Input_Raw[[#This Row],[33 kV_Wind_F2_Export_reading]]/1000</f>
        <v>82.352000000000004</v>
      </c>
      <c r="DE73" s="264"/>
      <c r="DF73" s="264">
        <f>Input_Raw[[#This Row],[33 kV_Wind_F3_Export_Reading]]/1000</f>
        <v>104.218</v>
      </c>
      <c r="DG73" s="264"/>
      <c r="DH73" s="264">
        <f>Input_Raw[[#This Row],[33 kV_Wind_F4_Export Reading]]/1000</f>
        <v>125.39</v>
      </c>
      <c r="DI73" s="264"/>
      <c r="DJ73" s="264">
        <f>Input_Raw[[#This Row],[33 kV_F1_Total_Export (MWh)]]+Input_Raw[[#This Row],[33 kV_F2_Total_Export (MWh)2]]+Input_Raw[[#This Row],[33 kV_Wind_F3_Export (MWh)]]+Input_Raw[[#This Row],[33 kV_Wind_F4_Export (MWh)]]</f>
        <v>378.55399999999997</v>
      </c>
      <c r="DK73" s="264">
        <f>Input_Raw[[#This Row],[33 kV_Wind_F1_Import (MWh)]]+Input_Raw[[#This Row],[33 kV_Wind_F2_Import (MWh)]]+Input_Raw[[#This Row],[33 kV_Wind_F3_Import (MWh)2]]+Input_Raw[[#This Row],[33 kV_Wind_F4_Import (MWh)2]]</f>
        <v>0</v>
      </c>
      <c r="DL73" s="265">
        <f>IFERROR(Input_Raw[[#This Row],[33 kV_Wind_Total_Export (MWh)]]/Input_Raw[[#This Row],[WTG Total Gneration (MWh)]]-1,"")</f>
        <v>0</v>
      </c>
      <c r="DM73" s="266"/>
      <c r="DN73" s="186">
        <v>89</v>
      </c>
      <c r="DO73" s="186">
        <v>2043.25</v>
      </c>
      <c r="DP73" s="102">
        <v>361.89</v>
      </c>
      <c r="DQ73" s="266"/>
      <c r="DR73" s="181">
        <v>70.400000000000006</v>
      </c>
    </row>
    <row r="74" spans="1:122">
      <c r="A74" s="92">
        <f t="shared" si="74"/>
        <v>45814</v>
      </c>
      <c r="B74" s="190">
        <f>YEAR(Input_Raw[[#This Row],[Date]])+IF(MONTH(Input_Raw[[#This Row],[Date]])&gt;=4,1,0)</f>
        <v>2026</v>
      </c>
      <c r="C74" s="190">
        <f>YEAR(Input_Raw[[#This Row],[Date]])</f>
        <v>2025</v>
      </c>
      <c r="D74" s="11">
        <f t="shared" ref="D74" si="125">A74-DAY(A74)+1</f>
        <v>45809</v>
      </c>
      <c r="E74" s="190">
        <f>DAY(EOMONTH(Input_Raw[[#This Row],[Date]],0))</f>
        <v>30</v>
      </c>
      <c r="F74" s="199">
        <v>11248</v>
      </c>
      <c r="G74" s="199">
        <v>11184</v>
      </c>
      <c r="H74" s="199">
        <v>9516</v>
      </c>
      <c r="I74" s="199">
        <v>6566</v>
      </c>
      <c r="J74" s="199">
        <v>6032</v>
      </c>
      <c r="K74" s="199">
        <v>5708</v>
      </c>
      <c r="L74" s="199">
        <v>6442</v>
      </c>
      <c r="M74" s="199">
        <v>2692</v>
      </c>
      <c r="N74" s="199">
        <v>1850</v>
      </c>
      <c r="O74" s="199">
        <v>1872</v>
      </c>
      <c r="P74" s="199">
        <v>1868</v>
      </c>
      <c r="Q74" s="199">
        <v>1828</v>
      </c>
      <c r="R74" s="199">
        <v>1180</v>
      </c>
      <c r="S74" s="199">
        <v>1980</v>
      </c>
      <c r="T74" s="199">
        <v>1854</v>
      </c>
      <c r="U74" s="199">
        <v>2162</v>
      </c>
      <c r="V74" s="199">
        <v>2802</v>
      </c>
      <c r="W74" s="199">
        <v>11256</v>
      </c>
      <c r="X74" s="199">
        <v>2948</v>
      </c>
      <c r="Y74" s="199">
        <v>2595</v>
      </c>
      <c r="Z74" s="199">
        <v>6976</v>
      </c>
      <c r="AA74" s="199">
        <v>7904</v>
      </c>
      <c r="AB74" s="199">
        <v>4120</v>
      </c>
      <c r="AC74" s="199">
        <v>4083.9999999999995</v>
      </c>
      <c r="AD74" s="199">
        <v>4644</v>
      </c>
      <c r="AE74" s="199">
        <v>4064</v>
      </c>
      <c r="AF74" s="199">
        <v>8438</v>
      </c>
      <c r="AG74" s="199">
        <v>4328</v>
      </c>
      <c r="AH74" s="199">
        <v>7016</v>
      </c>
      <c r="AI74" s="199">
        <v>6764</v>
      </c>
      <c r="AJ74" s="199">
        <v>3364</v>
      </c>
      <c r="AK74" s="199">
        <v>3776</v>
      </c>
      <c r="AL74" s="199">
        <v>6128</v>
      </c>
      <c r="AM74" s="199">
        <v>6332</v>
      </c>
      <c r="AN74" s="199">
        <v>5320</v>
      </c>
      <c r="AO74" s="199">
        <v>8832</v>
      </c>
      <c r="AP74" s="199">
        <v>7656</v>
      </c>
      <c r="AQ74" s="199">
        <v>7068</v>
      </c>
      <c r="AR74" s="199">
        <v>7852</v>
      </c>
      <c r="AS74" s="199">
        <v>1816</v>
      </c>
      <c r="AT74" s="199">
        <v>6110</v>
      </c>
      <c r="AU74" s="199">
        <v>8092.0000000000009</v>
      </c>
      <c r="AV74" s="199">
        <v>9868</v>
      </c>
      <c r="AW74" s="199">
        <v>9204</v>
      </c>
      <c r="AX74" s="269">
        <v>6.36</v>
      </c>
      <c r="AY74" s="269">
        <v>6.58</v>
      </c>
      <c r="AZ74" s="269">
        <v>6.38</v>
      </c>
      <c r="BA74" s="269">
        <v>5.61</v>
      </c>
      <c r="BB74" s="269">
        <v>5.53</v>
      </c>
      <c r="BC74" s="269">
        <v>5.76</v>
      </c>
      <c r="BD74" s="269">
        <v>5.47</v>
      </c>
      <c r="BE74" s="269">
        <v>4.38</v>
      </c>
      <c r="BF74" s="269">
        <v>4.2699999999999996</v>
      </c>
      <c r="BG74" s="269">
        <v>4.51</v>
      </c>
      <c r="BH74" s="269">
        <v>4.1100000000000003</v>
      </c>
      <c r="BI74" s="269">
        <v>4.1399999999999997</v>
      </c>
      <c r="BJ74" s="269">
        <v>4.08</v>
      </c>
      <c r="BK74" s="269">
        <v>4.21</v>
      </c>
      <c r="BL74" s="269">
        <v>4.29</v>
      </c>
      <c r="BM74" s="269">
        <v>4.4400000000000004</v>
      </c>
      <c r="BN74" s="269">
        <v>4.54</v>
      </c>
      <c r="BO74" s="269">
        <v>6.79</v>
      </c>
      <c r="BP74" s="269">
        <v>4.49</v>
      </c>
      <c r="BQ74" s="269">
        <v>4.3</v>
      </c>
      <c r="BR74" s="269">
        <v>5.75</v>
      </c>
      <c r="BS74" s="269">
        <v>5.98</v>
      </c>
      <c r="BT74" s="269">
        <v>4.75</v>
      </c>
      <c r="BU74" s="269">
        <v>5.13</v>
      </c>
      <c r="BV74" s="269">
        <v>5.35</v>
      </c>
      <c r="BW74" s="269">
        <v>5.2</v>
      </c>
      <c r="BX74" s="269">
        <v>6.03</v>
      </c>
      <c r="BY74" s="269">
        <v>4.8899999999999997</v>
      </c>
      <c r="BZ74" s="269">
        <v>5.85</v>
      </c>
      <c r="CA74" s="269">
        <v>5.73</v>
      </c>
      <c r="CB74" s="269">
        <v>4.51</v>
      </c>
      <c r="CC74" s="269">
        <v>5.09</v>
      </c>
      <c r="CD74" s="269">
        <v>5.78</v>
      </c>
      <c r="CE74" s="269">
        <v>5.97</v>
      </c>
      <c r="CF74" s="269">
        <v>5.07</v>
      </c>
      <c r="CG74" s="269">
        <v>6.84</v>
      </c>
      <c r="CH74" s="269">
        <v>6.27</v>
      </c>
      <c r="CI74" s="269">
        <v>5.58</v>
      </c>
      <c r="CJ74" s="269">
        <v>6.13</v>
      </c>
      <c r="CK74" s="269">
        <v>3.48</v>
      </c>
      <c r="CL74" s="269">
        <v>5.34</v>
      </c>
      <c r="CM74" s="269">
        <v>5.91</v>
      </c>
      <c r="CN74" s="269">
        <v>6.54</v>
      </c>
      <c r="CO74" s="269">
        <v>6.54</v>
      </c>
      <c r="CP74" s="259">
        <f>SUM(Input_Raw[[#This Row],[P-01]:[P-56]])/1000</f>
        <v>243.339</v>
      </c>
      <c r="CQ74" s="260">
        <f>IFERROR(AVERAGEIF(Input_Raw[[#This Row],[WS_P-01]:[WS_P-56]],"&lt;&gt;",Input_Raw[[#This Row],[WS_P-01]:[WS_P-56]]),"")</f>
        <v>5.317045454545454</v>
      </c>
      <c r="CR74" s="261">
        <f>MAX(Input_Raw[[#This Row],[WS_P-01]:[WS_P-56]])</f>
        <v>6.84</v>
      </c>
      <c r="CS74" s="261"/>
      <c r="CT74" s="262">
        <f>SUM(Input_Raw[[#This Row],[P-08]:[P-13]],Input_Raw[[#This Row],[P-25]:[P-28]])</f>
        <v>28202</v>
      </c>
      <c r="CU74" s="262"/>
      <c r="CV74" s="262">
        <f>SUM(Input_Raw[[#This Row],[P-04]],Input_Raw[[#This Row],[P-14]:[P-17]],Input_Raw[[#This Row],[P-19]:[P-20]],Input_Raw[[#This Row],[P-22]:[P-23]],Input_Raw[[#This Row],[P-34]],Input_Raw[[#This Row],[P-38]],Input_Raw[[#This Row],[P-43]])</f>
        <v>51487</v>
      </c>
      <c r="CW74" s="262"/>
      <c r="CX74" s="262">
        <f>SUM(Input_Raw[[#This Row],[P-05]:[P-06]],Input_Raw[[#This Row],[P-40]:[P-42]],Input_Raw[[#This Row],[P-45]],Input_Raw[[#This Row],[P-46]],Input_Raw[[#This Row],[P-47]:[P-48]])</f>
        <v>59384</v>
      </c>
      <c r="CY74" s="262"/>
      <c r="CZ74" s="262">
        <f>SUM(Input_Raw[[#This Row],[P-01]:[P-03]],Input_Raw[[#This Row],[P-07]],Input_Raw[[#This Row],[P-18]],Input_Raw[[#This Row],[P-31]:[P-32]],Input_Raw[[#This Row],[P-37]],Input_Raw[[#This Row],[P-50]:[P-56]])</f>
        <v>104266</v>
      </c>
      <c r="DA74" s="263"/>
      <c r="DB74" s="264">
        <f>Input_Raw[[#This Row],[33 kV_Wind_F1_Export reading]]/1000</f>
        <v>28.202000000000002</v>
      </c>
      <c r="DC74" s="264"/>
      <c r="DD74" s="264">
        <f>Input_Raw[[#This Row],[33 kV_Wind_F2_Export_reading]]/1000</f>
        <v>51.487000000000002</v>
      </c>
      <c r="DE74" s="264"/>
      <c r="DF74" s="264">
        <f>Input_Raw[[#This Row],[33 kV_Wind_F3_Export_Reading]]/1000</f>
        <v>59.384</v>
      </c>
      <c r="DG74" s="264"/>
      <c r="DH74" s="264">
        <f>Input_Raw[[#This Row],[33 kV_Wind_F4_Export Reading]]/1000</f>
        <v>104.26600000000001</v>
      </c>
      <c r="DI74" s="264"/>
      <c r="DJ74" s="264">
        <f>Input_Raw[[#This Row],[33 kV_F1_Total_Export (MWh)]]+Input_Raw[[#This Row],[33 kV_F2_Total_Export (MWh)2]]+Input_Raw[[#This Row],[33 kV_Wind_F3_Export (MWh)]]+Input_Raw[[#This Row],[33 kV_Wind_F4_Export (MWh)]]</f>
        <v>243.339</v>
      </c>
      <c r="DK74" s="264">
        <f>Input_Raw[[#This Row],[33 kV_Wind_F1_Import (MWh)]]+Input_Raw[[#This Row],[33 kV_Wind_F2_Import (MWh)]]+Input_Raw[[#This Row],[33 kV_Wind_F3_Import (MWh)2]]+Input_Raw[[#This Row],[33 kV_Wind_F4_Import (MWh)2]]</f>
        <v>0</v>
      </c>
      <c r="DL74" s="265">
        <f>IFERROR(Input_Raw[[#This Row],[33 kV_Wind_Total_Export (MWh)]]/Input_Raw[[#This Row],[WTG Total Gneration (MWh)]]-1,"")</f>
        <v>0</v>
      </c>
      <c r="DM74" s="266"/>
      <c r="DN74" s="186">
        <v>89</v>
      </c>
      <c r="DO74" s="186">
        <v>1151.1199999999999</v>
      </c>
      <c r="DP74" s="102">
        <v>238.66</v>
      </c>
      <c r="DQ74" s="266"/>
      <c r="DR74" s="181">
        <v>70.400000000000006</v>
      </c>
    </row>
    <row r="75" spans="1:122">
      <c r="A75" s="92">
        <f t="shared" si="74"/>
        <v>45815</v>
      </c>
      <c r="B75" s="190">
        <f>YEAR(Input_Raw[[#This Row],[Date]])+IF(MONTH(Input_Raw[[#This Row],[Date]])&gt;=4,1,0)</f>
        <v>2026</v>
      </c>
      <c r="C75" s="190">
        <f>YEAR(Input_Raw[[#This Row],[Date]])</f>
        <v>2025</v>
      </c>
      <c r="D75" s="11">
        <f t="shared" ref="D75" si="126">A75-DAY(A75)+1</f>
        <v>45809</v>
      </c>
      <c r="E75" s="190">
        <f>DAY(EOMONTH(Input_Raw[[#This Row],[Date]],0))</f>
        <v>30</v>
      </c>
      <c r="F75" s="199">
        <v>11992</v>
      </c>
      <c r="G75" s="199">
        <v>11256</v>
      </c>
      <c r="H75" s="199">
        <v>9040</v>
      </c>
      <c r="I75" s="199">
        <v>9092</v>
      </c>
      <c r="J75" s="199">
        <v>8084</v>
      </c>
      <c r="K75" s="199">
        <v>7968</v>
      </c>
      <c r="L75" s="199">
        <v>6868</v>
      </c>
      <c r="M75" s="199">
        <v>3700</v>
      </c>
      <c r="N75" s="199">
        <v>3134</v>
      </c>
      <c r="O75" s="199">
        <v>3348</v>
      </c>
      <c r="P75" s="199">
        <v>3264</v>
      </c>
      <c r="Q75" s="199">
        <v>3100</v>
      </c>
      <c r="R75" s="199">
        <v>2816</v>
      </c>
      <c r="S75" s="199">
        <v>3232</v>
      </c>
      <c r="T75" s="199">
        <v>3002</v>
      </c>
      <c r="U75" s="199">
        <v>3340</v>
      </c>
      <c r="V75" s="199">
        <v>3930</v>
      </c>
      <c r="W75" s="199">
        <v>12464</v>
      </c>
      <c r="X75" s="199">
        <v>3848</v>
      </c>
      <c r="Y75" s="199">
        <v>3157</v>
      </c>
      <c r="Z75" s="199">
        <v>8748</v>
      </c>
      <c r="AA75" s="199">
        <v>9288</v>
      </c>
      <c r="AB75" s="199">
        <v>6160</v>
      </c>
      <c r="AC75" s="199">
        <v>5800</v>
      </c>
      <c r="AD75" s="199">
        <v>6288</v>
      </c>
      <c r="AE75" s="199">
        <v>5524</v>
      </c>
      <c r="AF75" s="199">
        <v>8826</v>
      </c>
      <c r="AG75" s="199">
        <v>3974</v>
      </c>
      <c r="AH75" s="199">
        <v>8060.0000000000009</v>
      </c>
      <c r="AI75" s="199">
        <v>6676</v>
      </c>
      <c r="AJ75" s="199">
        <v>4476</v>
      </c>
      <c r="AK75" s="199">
        <v>5310</v>
      </c>
      <c r="AL75" s="199">
        <v>8368</v>
      </c>
      <c r="AM75" s="199">
        <v>11440</v>
      </c>
      <c r="AN75" s="199">
        <v>6666</v>
      </c>
      <c r="AO75" s="199">
        <v>10712</v>
      </c>
      <c r="AP75" s="199">
        <v>9800</v>
      </c>
      <c r="AQ75" s="199">
        <v>9500</v>
      </c>
      <c r="AR75" s="199">
        <v>9852</v>
      </c>
      <c r="AS75" s="199">
        <v>1592</v>
      </c>
      <c r="AT75" s="199">
        <v>5158</v>
      </c>
      <c r="AU75" s="199">
        <v>7086</v>
      </c>
      <c r="AV75" s="199">
        <v>11176</v>
      </c>
      <c r="AW75" s="199">
        <v>10344</v>
      </c>
      <c r="AX75" s="96">
        <v>6.46</v>
      </c>
      <c r="AY75" s="96">
        <v>6.52</v>
      </c>
      <c r="AZ75" s="96">
        <v>6.2</v>
      </c>
      <c r="BA75" s="96">
        <v>6.26</v>
      </c>
      <c r="BB75" s="96">
        <v>6.11</v>
      </c>
      <c r="BC75" s="96">
        <v>6.39</v>
      </c>
      <c r="BD75" s="96">
        <v>5.59</v>
      </c>
      <c r="BE75" s="96">
        <v>4.74</v>
      </c>
      <c r="BF75" s="96">
        <v>4.9000000000000004</v>
      </c>
      <c r="BG75" s="96">
        <v>5.21</v>
      </c>
      <c r="BH75" s="96">
        <v>4.79</v>
      </c>
      <c r="BI75" s="96">
        <v>4.7</v>
      </c>
      <c r="BJ75" s="96">
        <v>4.74</v>
      </c>
      <c r="BK75" s="96">
        <v>4.8499999999999996</v>
      </c>
      <c r="BL75" s="96">
        <v>4.88</v>
      </c>
      <c r="BM75" s="96">
        <v>5.04</v>
      </c>
      <c r="BN75" s="96">
        <v>4.99</v>
      </c>
      <c r="BO75" s="96">
        <v>7.03</v>
      </c>
      <c r="BP75" s="96">
        <v>4.8899999999999997</v>
      </c>
      <c r="BQ75" s="96">
        <v>4.57</v>
      </c>
      <c r="BR75" s="96">
        <v>6.16</v>
      </c>
      <c r="BS75" s="96">
        <v>6.27</v>
      </c>
      <c r="BT75" s="96">
        <v>5.34</v>
      </c>
      <c r="BU75" s="96">
        <v>5.56</v>
      </c>
      <c r="BV75" s="96">
        <v>5.85</v>
      </c>
      <c r="BW75" s="96">
        <v>5.67</v>
      </c>
      <c r="BX75" s="96">
        <v>6</v>
      </c>
      <c r="BY75" s="96">
        <v>4.75</v>
      </c>
      <c r="BZ75" s="96">
        <v>6.19</v>
      </c>
      <c r="CA75" s="96">
        <v>5.7</v>
      </c>
      <c r="CB75" s="96">
        <v>4.99</v>
      </c>
      <c r="CC75" s="96">
        <v>5.67</v>
      </c>
      <c r="CD75" s="96">
        <v>6.41</v>
      </c>
      <c r="CE75" s="96">
        <v>6.63</v>
      </c>
      <c r="CF75" s="96">
        <v>5.43</v>
      </c>
      <c r="CG75" s="96">
        <v>7.26</v>
      </c>
      <c r="CH75" s="96">
        <v>6.75</v>
      </c>
      <c r="CI75" s="96">
        <v>6.19</v>
      </c>
      <c r="CJ75" s="96">
        <v>6.62</v>
      </c>
      <c r="CK75" s="96">
        <v>3.53</v>
      </c>
      <c r="CL75" s="96">
        <v>5.08</v>
      </c>
      <c r="CM75" s="96">
        <v>5.7</v>
      </c>
      <c r="CN75" s="96">
        <v>6.82</v>
      </c>
      <c r="CO75" s="96">
        <v>6.77</v>
      </c>
      <c r="CP75" s="259">
        <f>SUM(Input_Raw[[#This Row],[P-01]:[P-56]])/1000</f>
        <v>297.459</v>
      </c>
      <c r="CQ75" s="260">
        <f>IFERROR(AVERAGEIF(Input_Raw[[#This Row],[WS_P-01]:[WS_P-56]],"&lt;&gt;",Input_Raw[[#This Row],[WS_P-01]:[WS_P-56]]),"")</f>
        <v>5.6863636363636347</v>
      </c>
      <c r="CR75" s="261">
        <f>MAX(Input_Raw[[#This Row],[WS_P-01]:[WS_P-56]])</f>
        <v>7.26</v>
      </c>
      <c r="CS75" s="261"/>
      <c r="CT75" s="262">
        <f>SUM(Input_Raw[[#This Row],[P-08]:[P-13]],Input_Raw[[#This Row],[P-25]:[P-28]])</f>
        <v>43134</v>
      </c>
      <c r="CU75" s="262"/>
      <c r="CV75" s="262">
        <f>SUM(Input_Raw[[#This Row],[P-04]],Input_Raw[[#This Row],[P-14]:[P-17]],Input_Raw[[#This Row],[P-19]:[P-20]],Input_Raw[[#This Row],[P-22]:[P-23]],Input_Raw[[#This Row],[P-34]],Input_Raw[[#This Row],[P-38]],Input_Raw[[#This Row],[P-43]])</f>
        <v>66839</v>
      </c>
      <c r="CW75" s="262"/>
      <c r="CX75" s="262">
        <f>SUM(Input_Raw[[#This Row],[P-05]:[P-06]],Input_Raw[[#This Row],[P-40]:[P-42]],Input_Raw[[#This Row],[P-45]],Input_Raw[[#This Row],[P-46]],Input_Raw[[#This Row],[P-47]:[P-48]])</f>
        <v>81034</v>
      </c>
      <c r="CY75" s="262"/>
      <c r="CZ75" s="262">
        <f>SUM(Input_Raw[[#This Row],[P-01]:[P-03]],Input_Raw[[#This Row],[P-07]],Input_Raw[[#This Row],[P-18]],Input_Raw[[#This Row],[P-31]:[P-32]],Input_Raw[[#This Row],[P-37]],Input_Raw[[#This Row],[P-50]:[P-56]])</f>
        <v>106452</v>
      </c>
      <c r="DA75" s="263"/>
      <c r="DB75" s="264">
        <f>Input_Raw[[#This Row],[33 kV_Wind_F1_Export reading]]/1000</f>
        <v>43.134</v>
      </c>
      <c r="DC75" s="264"/>
      <c r="DD75" s="264">
        <f>Input_Raw[[#This Row],[33 kV_Wind_F2_Export_reading]]/1000</f>
        <v>66.838999999999999</v>
      </c>
      <c r="DE75" s="264"/>
      <c r="DF75" s="264">
        <f>Input_Raw[[#This Row],[33 kV_Wind_F3_Export_Reading]]/1000</f>
        <v>81.034000000000006</v>
      </c>
      <c r="DG75" s="264"/>
      <c r="DH75" s="264">
        <f>Input_Raw[[#This Row],[33 kV_Wind_F4_Export Reading]]/1000</f>
        <v>106.452</v>
      </c>
      <c r="DI75" s="264"/>
      <c r="DJ75" s="264">
        <f>Input_Raw[[#This Row],[33 kV_F1_Total_Export (MWh)]]+Input_Raw[[#This Row],[33 kV_F2_Total_Export (MWh)2]]+Input_Raw[[#This Row],[33 kV_Wind_F3_Export (MWh)]]+Input_Raw[[#This Row],[33 kV_Wind_F4_Export (MWh)]]</f>
        <v>297.459</v>
      </c>
      <c r="DK75" s="264">
        <f>Input_Raw[[#This Row],[33 kV_Wind_F1_Import (MWh)]]+Input_Raw[[#This Row],[33 kV_Wind_F2_Import (MWh)]]+Input_Raw[[#This Row],[33 kV_Wind_F3_Import (MWh)2]]+Input_Raw[[#This Row],[33 kV_Wind_F4_Import (MWh)2]]</f>
        <v>0</v>
      </c>
      <c r="DL75" s="265">
        <f>IFERROR(Input_Raw[[#This Row],[33 kV_Wind_Total_Export (MWh)]]/Input_Raw[[#This Row],[WTG Total Gneration (MWh)]]-1,"")</f>
        <v>0</v>
      </c>
      <c r="DM75" s="266"/>
      <c r="DN75" s="186">
        <v>88</v>
      </c>
      <c r="DO75" s="186">
        <v>58.37</v>
      </c>
      <c r="DP75" s="102">
        <v>290.06</v>
      </c>
      <c r="DQ75" s="266"/>
      <c r="DR75" s="181">
        <v>70.400000000000006</v>
      </c>
    </row>
    <row r="76" spans="1:122">
      <c r="A76" s="92">
        <f t="shared" si="74"/>
        <v>45816</v>
      </c>
      <c r="B76" s="190">
        <f>YEAR(Input_Raw[[#This Row],[Date]])+IF(MONTH(Input_Raw[[#This Row],[Date]])&gt;=4,1,0)</f>
        <v>2026</v>
      </c>
      <c r="C76" s="190">
        <f>YEAR(Input_Raw[[#This Row],[Date]])</f>
        <v>2025</v>
      </c>
      <c r="D76" s="11">
        <f t="shared" ref="D76" si="127">A76-DAY(A76)+1</f>
        <v>45809</v>
      </c>
      <c r="E76" s="190">
        <f>DAY(EOMONTH(Input_Raw[[#This Row],[Date]],0))</f>
        <v>30</v>
      </c>
      <c r="F76" s="199">
        <v>16271.999999999998</v>
      </c>
      <c r="G76" s="199">
        <v>16412</v>
      </c>
      <c r="H76" s="199">
        <v>14480</v>
      </c>
      <c r="I76" s="199">
        <v>14668</v>
      </c>
      <c r="J76" s="199">
        <v>15760</v>
      </c>
      <c r="K76" s="199">
        <v>15420</v>
      </c>
      <c r="L76" s="199">
        <v>10990</v>
      </c>
      <c r="M76" s="199">
        <v>6340</v>
      </c>
      <c r="N76" s="199">
        <v>6332</v>
      </c>
      <c r="O76" s="199">
        <v>7096</v>
      </c>
      <c r="P76" s="199">
        <v>7096</v>
      </c>
      <c r="Q76" s="199">
        <v>6940</v>
      </c>
      <c r="R76" s="199">
        <v>6236</v>
      </c>
      <c r="S76" s="199">
        <v>6836</v>
      </c>
      <c r="T76" s="199">
        <v>6140</v>
      </c>
      <c r="U76" s="199">
        <v>7030</v>
      </c>
      <c r="V76" s="199">
        <v>7224</v>
      </c>
      <c r="W76" s="199">
        <v>18304</v>
      </c>
      <c r="X76" s="199">
        <v>7150</v>
      </c>
      <c r="Y76" s="199">
        <v>6097</v>
      </c>
      <c r="Z76" s="199">
        <v>13552</v>
      </c>
      <c r="AA76" s="199">
        <v>14848</v>
      </c>
      <c r="AB76" s="199">
        <v>10376</v>
      </c>
      <c r="AC76" s="199">
        <v>10516</v>
      </c>
      <c r="AD76" s="199">
        <v>10756</v>
      </c>
      <c r="AE76" s="199">
        <v>9288</v>
      </c>
      <c r="AF76" s="199">
        <v>15096</v>
      </c>
      <c r="AG76" s="199">
        <v>7022</v>
      </c>
      <c r="AH76" s="199">
        <v>14028</v>
      </c>
      <c r="AI76" s="199">
        <v>10336</v>
      </c>
      <c r="AJ76" s="199">
        <v>8348</v>
      </c>
      <c r="AK76" s="199">
        <v>10592</v>
      </c>
      <c r="AL76" s="199">
        <v>16544</v>
      </c>
      <c r="AM76" s="199">
        <v>19176</v>
      </c>
      <c r="AN76" s="199">
        <v>10218</v>
      </c>
      <c r="AO76" s="199">
        <v>16776</v>
      </c>
      <c r="AP76" s="199">
        <v>16276</v>
      </c>
      <c r="AQ76" s="199">
        <v>15704</v>
      </c>
      <c r="AR76" s="199">
        <v>16868</v>
      </c>
      <c r="AS76" s="199">
        <v>4310</v>
      </c>
      <c r="AT76" s="199">
        <v>8712</v>
      </c>
      <c r="AU76" s="199">
        <v>10746</v>
      </c>
      <c r="AV76" s="199">
        <v>14836</v>
      </c>
      <c r="AW76" s="199">
        <v>14176</v>
      </c>
      <c r="AX76" s="96">
        <v>7.33</v>
      </c>
      <c r="AY76" s="96">
        <v>7.57</v>
      </c>
      <c r="AZ76" s="96">
        <v>7.34</v>
      </c>
      <c r="BA76" s="96">
        <v>7.5</v>
      </c>
      <c r="BB76" s="96">
        <v>7.61</v>
      </c>
      <c r="BC76" s="96">
        <v>7.93</v>
      </c>
      <c r="BD76" s="96">
        <v>6.6</v>
      </c>
      <c r="BE76" s="96">
        <v>5.64</v>
      </c>
      <c r="BF76" s="96">
        <v>5.97</v>
      </c>
      <c r="BG76" s="96">
        <v>6.42</v>
      </c>
      <c r="BH76" s="96">
        <v>6.09</v>
      </c>
      <c r="BI76" s="96">
        <v>5.9</v>
      </c>
      <c r="BJ76" s="96">
        <v>5.93</v>
      </c>
      <c r="BK76" s="96">
        <v>6.03</v>
      </c>
      <c r="BL76" s="96">
        <v>6.04</v>
      </c>
      <c r="BM76" s="96">
        <v>6.2</v>
      </c>
      <c r="BN76" s="96">
        <v>5.91</v>
      </c>
      <c r="BO76" s="96">
        <v>8.08</v>
      </c>
      <c r="BP76" s="96">
        <v>5.96</v>
      </c>
      <c r="BQ76" s="96">
        <v>5.5</v>
      </c>
      <c r="BR76" s="96">
        <v>7.16</v>
      </c>
      <c r="BS76" s="96">
        <v>7.41</v>
      </c>
      <c r="BT76" s="96">
        <v>6.4</v>
      </c>
      <c r="BU76" s="96">
        <v>6.81</v>
      </c>
      <c r="BV76" s="96">
        <v>7.01</v>
      </c>
      <c r="BW76" s="96">
        <v>6.66</v>
      </c>
      <c r="BX76" s="96">
        <v>7.36</v>
      </c>
      <c r="BY76" s="96">
        <v>5.66</v>
      </c>
      <c r="BZ76" s="96">
        <v>7.4</v>
      </c>
      <c r="CA76" s="96">
        <v>6.61</v>
      </c>
      <c r="CB76" s="96">
        <v>6.11</v>
      </c>
      <c r="CC76" s="96">
        <v>7.07</v>
      </c>
      <c r="CD76" s="96">
        <v>8.24</v>
      </c>
      <c r="CE76" s="96">
        <v>8.07</v>
      </c>
      <c r="CF76" s="96">
        <v>6.31</v>
      </c>
      <c r="CG76" s="96">
        <v>8.57</v>
      </c>
      <c r="CH76" s="96">
        <v>7.97</v>
      </c>
      <c r="CI76" s="96">
        <v>7.4</v>
      </c>
      <c r="CJ76" s="96">
        <v>8.06</v>
      </c>
      <c r="CK76" s="96">
        <v>4.4800000000000004</v>
      </c>
      <c r="CL76" s="96">
        <v>6.02</v>
      </c>
      <c r="CM76" s="96">
        <v>6.56</v>
      </c>
      <c r="CN76" s="96">
        <v>7.62</v>
      </c>
      <c r="CO76" s="96">
        <v>7.47</v>
      </c>
      <c r="CP76" s="259">
        <f>SUM(Input_Raw[[#This Row],[P-01]:[P-56]])/1000</f>
        <v>501.923</v>
      </c>
      <c r="CQ76" s="260">
        <f>IFERROR(AVERAGEIF(Input_Raw[[#This Row],[WS_P-01]:[WS_P-56]],"&lt;&gt;",Input_Raw[[#This Row],[WS_P-01]:[WS_P-56]]),"")</f>
        <v>6.8177272727272742</v>
      </c>
      <c r="CR76" s="261">
        <f>MAX(Input_Raw[[#This Row],[WS_P-01]:[WS_P-56]])</f>
        <v>8.57</v>
      </c>
      <c r="CS76" s="261"/>
      <c r="CT76" s="262">
        <f>SUM(Input_Raw[[#This Row],[P-08]:[P-13]],Input_Raw[[#This Row],[P-25]:[P-28]])</f>
        <v>80976</v>
      </c>
      <c r="CU76" s="262"/>
      <c r="CV76" s="262">
        <f>SUM(Input_Raw[[#This Row],[P-04]],Input_Raw[[#This Row],[P-14]:[P-17]],Input_Raw[[#This Row],[P-19]:[P-20]],Input_Raw[[#This Row],[P-22]:[P-23]],Input_Raw[[#This Row],[P-34]],Input_Raw[[#This Row],[P-38]],Input_Raw[[#This Row],[P-43]])</f>
        <v>116139</v>
      </c>
      <c r="CW76" s="262"/>
      <c r="CX76" s="262">
        <f>SUM(Input_Raw[[#This Row],[P-05]:[P-06]],Input_Raw[[#This Row],[P-40]:[P-42]],Input_Raw[[#This Row],[P-45]],Input_Raw[[#This Row],[P-46]],Input_Raw[[#This Row],[P-47]:[P-48]])</f>
        <v>143116</v>
      </c>
      <c r="CY76" s="262"/>
      <c r="CZ76" s="262">
        <f>SUM(Input_Raw[[#This Row],[P-01]:[P-03]],Input_Raw[[#This Row],[P-07]],Input_Raw[[#This Row],[P-18]],Input_Raw[[#This Row],[P-31]:[P-32]],Input_Raw[[#This Row],[P-37]],Input_Raw[[#This Row],[P-50]:[P-56]])</f>
        <v>161692</v>
      </c>
      <c r="DA76" s="263"/>
      <c r="DB76" s="264">
        <f>Input_Raw[[#This Row],[33 kV_Wind_F1_Export reading]]/1000</f>
        <v>80.975999999999999</v>
      </c>
      <c r="DC76" s="264"/>
      <c r="DD76" s="264">
        <f>Input_Raw[[#This Row],[33 kV_Wind_F2_Export_reading]]/1000</f>
        <v>116.139</v>
      </c>
      <c r="DE76" s="264"/>
      <c r="DF76" s="264">
        <f>Input_Raw[[#This Row],[33 kV_Wind_F3_Export_Reading]]/1000</f>
        <v>143.11600000000001</v>
      </c>
      <c r="DG76" s="264"/>
      <c r="DH76" s="264">
        <f>Input_Raw[[#This Row],[33 kV_Wind_F4_Export Reading]]/1000</f>
        <v>161.69200000000001</v>
      </c>
      <c r="DI76" s="264"/>
      <c r="DJ76" s="264">
        <f>Input_Raw[[#This Row],[33 kV_F1_Total_Export (MWh)]]+Input_Raw[[#This Row],[33 kV_F2_Total_Export (MWh)2]]+Input_Raw[[#This Row],[33 kV_Wind_F3_Export (MWh)]]+Input_Raw[[#This Row],[33 kV_Wind_F4_Export (MWh)]]</f>
        <v>501.923</v>
      </c>
      <c r="DK76" s="264">
        <f>Input_Raw[[#This Row],[33 kV_Wind_F1_Import (MWh)]]+Input_Raw[[#This Row],[33 kV_Wind_F2_Import (MWh)]]+Input_Raw[[#This Row],[33 kV_Wind_F3_Import (MWh)2]]+Input_Raw[[#This Row],[33 kV_Wind_F4_Import (MWh)2]]</f>
        <v>0</v>
      </c>
      <c r="DL76" s="265">
        <f>IFERROR(Input_Raw[[#This Row],[33 kV_Wind_Total_Export (MWh)]]/Input_Raw[[#This Row],[WTG Total Gneration (MWh)]]-1,"")</f>
        <v>0</v>
      </c>
      <c r="DM76" s="266"/>
      <c r="DN76" s="186">
        <v>88</v>
      </c>
      <c r="DO76" s="186">
        <v>1277.8699999999999</v>
      </c>
      <c r="DP76" s="102">
        <v>485.96</v>
      </c>
      <c r="DQ76" s="266"/>
      <c r="DR76" s="181">
        <v>70.400000000000006</v>
      </c>
    </row>
    <row r="77" spans="1:122">
      <c r="A77" s="92">
        <f t="shared" si="74"/>
        <v>45817</v>
      </c>
      <c r="B77" s="190">
        <f>YEAR(Input_Raw[[#This Row],[Date]])+IF(MONTH(Input_Raw[[#This Row],[Date]])&gt;=4,1,0)</f>
        <v>2026</v>
      </c>
      <c r="C77" s="190">
        <f>YEAR(Input_Raw[[#This Row],[Date]])</f>
        <v>2025</v>
      </c>
      <c r="D77" s="11">
        <f t="shared" ref="D77" si="128">A77-DAY(A77)+1</f>
        <v>45809</v>
      </c>
      <c r="E77" s="190">
        <f>DAY(EOMONTH(Input_Raw[[#This Row],[Date]],0))</f>
        <v>30</v>
      </c>
      <c r="F77" s="199">
        <v>16940</v>
      </c>
      <c r="G77" s="199">
        <v>18236</v>
      </c>
      <c r="H77" s="199">
        <v>16776</v>
      </c>
      <c r="I77" s="199">
        <v>16532</v>
      </c>
      <c r="J77" s="199">
        <v>20504</v>
      </c>
      <c r="K77" s="199">
        <v>20520</v>
      </c>
      <c r="L77" s="199">
        <v>12128</v>
      </c>
      <c r="M77" s="199">
        <v>8652</v>
      </c>
      <c r="N77" s="199">
        <v>9538</v>
      </c>
      <c r="O77" s="199">
        <v>10458</v>
      </c>
      <c r="P77" s="199">
        <v>10170</v>
      </c>
      <c r="Q77" s="199">
        <v>9840</v>
      </c>
      <c r="R77" s="199">
        <v>8880</v>
      </c>
      <c r="S77" s="199">
        <v>9484</v>
      </c>
      <c r="T77" s="199">
        <v>8716</v>
      </c>
      <c r="U77" s="199">
        <v>9292</v>
      </c>
      <c r="V77" s="199">
        <v>9242</v>
      </c>
      <c r="W77" s="199">
        <v>20004</v>
      </c>
      <c r="X77" s="199">
        <v>9754</v>
      </c>
      <c r="Y77" s="199">
        <v>9209</v>
      </c>
      <c r="Z77" s="199">
        <v>16132.000000000002</v>
      </c>
      <c r="AA77" s="199">
        <v>16792</v>
      </c>
      <c r="AB77" s="199">
        <v>13236</v>
      </c>
      <c r="AC77" s="199">
        <v>13472</v>
      </c>
      <c r="AD77" s="199">
        <v>14468</v>
      </c>
      <c r="AE77" s="199">
        <v>13176</v>
      </c>
      <c r="AF77" s="199">
        <v>17692</v>
      </c>
      <c r="AG77" s="199">
        <v>9324</v>
      </c>
      <c r="AH77" s="199">
        <v>15816</v>
      </c>
      <c r="AI77" s="199">
        <v>12992</v>
      </c>
      <c r="AJ77" s="199">
        <v>11256</v>
      </c>
      <c r="AK77" s="199">
        <v>13448</v>
      </c>
      <c r="AL77" s="199">
        <v>21704</v>
      </c>
      <c r="AM77" s="199">
        <v>23956</v>
      </c>
      <c r="AN77" s="199">
        <v>13724</v>
      </c>
      <c r="AO77" s="199">
        <v>22036</v>
      </c>
      <c r="AP77" s="199">
        <v>21456</v>
      </c>
      <c r="AQ77" s="199">
        <v>20508</v>
      </c>
      <c r="AR77" s="199">
        <v>22340</v>
      </c>
      <c r="AS77" s="199">
        <v>4666</v>
      </c>
      <c r="AT77" s="199">
        <v>10828</v>
      </c>
      <c r="AU77" s="199">
        <v>12460</v>
      </c>
      <c r="AV77" s="199">
        <v>17356</v>
      </c>
      <c r="AW77" s="199">
        <v>17380</v>
      </c>
      <c r="AX77" s="96">
        <v>7.42</v>
      </c>
      <c r="AY77" s="96">
        <v>7.85</v>
      </c>
      <c r="AZ77" s="96">
        <v>7.75</v>
      </c>
      <c r="BA77" s="96">
        <v>7.83</v>
      </c>
      <c r="BB77" s="96">
        <v>8.39</v>
      </c>
      <c r="BC77" s="96">
        <v>8.74</v>
      </c>
      <c r="BD77" s="96">
        <v>6.75</v>
      </c>
      <c r="BE77" s="96">
        <v>6.18</v>
      </c>
      <c r="BF77" s="96">
        <v>6.82</v>
      </c>
      <c r="BG77" s="96">
        <v>7.26</v>
      </c>
      <c r="BH77" s="96">
        <v>6.91</v>
      </c>
      <c r="BI77" s="96">
        <v>6.63</v>
      </c>
      <c r="BJ77" s="96">
        <v>6.62</v>
      </c>
      <c r="BK77" s="96">
        <v>6.63</v>
      </c>
      <c r="BL77" s="96">
        <v>6.69</v>
      </c>
      <c r="BM77" s="96">
        <v>6.71</v>
      </c>
      <c r="BN77" s="96">
        <v>6.37</v>
      </c>
      <c r="BO77" s="96">
        <v>8.34</v>
      </c>
      <c r="BP77" s="96">
        <v>6.56</v>
      </c>
      <c r="BQ77" s="96">
        <v>6.26</v>
      </c>
      <c r="BR77" s="96">
        <v>7.57</v>
      </c>
      <c r="BS77" s="96">
        <v>7.73</v>
      </c>
      <c r="BT77" s="96">
        <v>6.94</v>
      </c>
      <c r="BU77" s="96">
        <v>7.39</v>
      </c>
      <c r="BV77" s="96">
        <v>7.69</v>
      </c>
      <c r="BW77" s="96">
        <v>7.48</v>
      </c>
      <c r="BX77" s="96">
        <v>7.79</v>
      </c>
      <c r="BY77" s="96">
        <v>6.16</v>
      </c>
      <c r="BZ77" s="96">
        <v>7.7</v>
      </c>
      <c r="CA77" s="96">
        <v>7.01</v>
      </c>
      <c r="CB77" s="96">
        <v>6.71</v>
      </c>
      <c r="CC77" s="96">
        <v>7.61</v>
      </c>
      <c r="CD77" s="96">
        <v>9.24</v>
      </c>
      <c r="CE77" s="96">
        <v>8.83</v>
      </c>
      <c r="CF77" s="96">
        <v>6.97</v>
      </c>
      <c r="CG77" s="96">
        <v>9.48</v>
      </c>
      <c r="CH77" s="96">
        <v>8.76</v>
      </c>
      <c r="CI77" s="96">
        <v>8.17</v>
      </c>
      <c r="CJ77" s="96">
        <v>8.8800000000000008</v>
      </c>
      <c r="CK77" s="96">
        <v>4.63</v>
      </c>
      <c r="CL77" s="96">
        <v>6.48</v>
      </c>
      <c r="CM77" s="96">
        <v>6.82</v>
      </c>
      <c r="CN77" s="96">
        <v>8.0399999999999991</v>
      </c>
      <c r="CO77" s="96">
        <v>7.99</v>
      </c>
      <c r="CP77" s="259">
        <f>SUM(Input_Raw[[#This Row],[P-01]:[P-56]])/1000</f>
        <v>631.09299999999996</v>
      </c>
      <c r="CQ77" s="260">
        <f>IFERROR(AVERAGEIF(Input_Raw[[#This Row],[WS_P-01]:[WS_P-56]],"&lt;&gt;",Input_Raw[[#This Row],[WS_P-01]:[WS_P-56]]),"")</f>
        <v>7.3813636363636359</v>
      </c>
      <c r="CR77" s="261">
        <f>MAX(Input_Raw[[#This Row],[WS_P-01]:[WS_P-56]])</f>
        <v>9.48</v>
      </c>
      <c r="CS77" s="261"/>
      <c r="CT77" s="262">
        <f>SUM(Input_Raw[[#This Row],[P-08]:[P-13]],Input_Raw[[#This Row],[P-25]:[P-28]])</f>
        <v>111890</v>
      </c>
      <c r="CU77" s="262"/>
      <c r="CV77" s="262">
        <f>SUM(Input_Raw[[#This Row],[P-04]],Input_Raw[[#This Row],[P-14]:[P-17]],Input_Raw[[#This Row],[P-19]:[P-20]],Input_Raw[[#This Row],[P-22]:[P-23]],Input_Raw[[#This Row],[P-34]],Input_Raw[[#This Row],[P-38]],Input_Raw[[#This Row],[P-43]])</f>
        <v>145949</v>
      </c>
      <c r="CW77" s="262"/>
      <c r="CX77" s="262">
        <f>SUM(Input_Raw[[#This Row],[P-05]:[P-06]],Input_Raw[[#This Row],[P-40]:[P-42]],Input_Raw[[#This Row],[P-45]],Input_Raw[[#This Row],[P-46]],Input_Raw[[#This Row],[P-47]:[P-48]])</f>
        <v>186472</v>
      </c>
      <c r="CY77" s="262"/>
      <c r="CZ77" s="262">
        <f>SUM(Input_Raw[[#This Row],[P-01]:[P-03]],Input_Raw[[#This Row],[P-07]],Input_Raw[[#This Row],[P-18]],Input_Raw[[#This Row],[P-31]:[P-32]],Input_Raw[[#This Row],[P-37]],Input_Raw[[#This Row],[P-50]:[P-56]])</f>
        <v>186782</v>
      </c>
      <c r="DA77" s="263"/>
      <c r="DB77" s="264">
        <f>Input_Raw[[#This Row],[33 kV_Wind_F1_Export reading]]/1000</f>
        <v>111.89</v>
      </c>
      <c r="DC77" s="264"/>
      <c r="DD77" s="264">
        <f>Input_Raw[[#This Row],[33 kV_Wind_F2_Export_reading]]/1000</f>
        <v>145.94900000000001</v>
      </c>
      <c r="DE77" s="264"/>
      <c r="DF77" s="264">
        <f>Input_Raw[[#This Row],[33 kV_Wind_F3_Export_Reading]]/1000</f>
        <v>186.47200000000001</v>
      </c>
      <c r="DG77" s="264"/>
      <c r="DH77" s="264">
        <f>Input_Raw[[#This Row],[33 kV_Wind_F4_Export Reading]]/1000</f>
        <v>186.78200000000001</v>
      </c>
      <c r="DI77" s="264"/>
      <c r="DJ77" s="264">
        <f>Input_Raw[[#This Row],[33 kV_F1_Total_Export (MWh)]]+Input_Raw[[#This Row],[33 kV_F2_Total_Export (MWh)2]]+Input_Raw[[#This Row],[33 kV_Wind_F3_Export (MWh)]]+Input_Raw[[#This Row],[33 kV_Wind_F4_Export (MWh)]]</f>
        <v>631.09300000000007</v>
      </c>
      <c r="DK77" s="264">
        <f>Input_Raw[[#This Row],[33 kV_Wind_F1_Import (MWh)]]+Input_Raw[[#This Row],[33 kV_Wind_F2_Import (MWh)]]+Input_Raw[[#This Row],[33 kV_Wind_F3_Import (MWh)2]]+Input_Raw[[#This Row],[33 kV_Wind_F4_Import (MWh)2]]</f>
        <v>0</v>
      </c>
      <c r="DL77" s="265">
        <f>IFERROR(Input_Raw[[#This Row],[33 kV_Wind_Total_Export (MWh)]]/Input_Raw[[#This Row],[WTG Total Gneration (MWh)]]-1,"")</f>
        <v>2.2204460492503131E-16</v>
      </c>
      <c r="DM77" s="266"/>
      <c r="DN77" s="186">
        <v>88</v>
      </c>
      <c r="DO77" s="186">
        <v>7317.37</v>
      </c>
      <c r="DP77" s="102">
        <v>615.65</v>
      </c>
      <c r="DQ77" s="266"/>
      <c r="DR77" s="181">
        <v>70.400000000000006</v>
      </c>
    </row>
    <row r="78" spans="1:122">
      <c r="A78" s="92">
        <f t="shared" si="74"/>
        <v>45818</v>
      </c>
      <c r="B78" s="190">
        <f>YEAR(Input_Raw[[#This Row],[Date]])+IF(MONTH(Input_Raw[[#This Row],[Date]])&gt;=4,1,0)</f>
        <v>2026</v>
      </c>
      <c r="C78" s="190">
        <f>YEAR(Input_Raw[[#This Row],[Date]])</f>
        <v>2025</v>
      </c>
      <c r="D78" s="11">
        <f t="shared" ref="D78" si="129">A78-DAY(A78)+1</f>
        <v>45809</v>
      </c>
      <c r="E78" s="190">
        <f>DAY(EOMONTH(Input_Raw[[#This Row],[Date]],0))</f>
        <v>30</v>
      </c>
      <c r="F78" s="199">
        <v>24196</v>
      </c>
      <c r="G78" s="199">
        <v>25240</v>
      </c>
      <c r="H78" s="199">
        <v>24932</v>
      </c>
      <c r="I78" s="199">
        <v>19492</v>
      </c>
      <c r="J78" s="199">
        <v>22920</v>
      </c>
      <c r="K78" s="199">
        <v>21536</v>
      </c>
      <c r="L78" s="199">
        <v>17028</v>
      </c>
      <c r="M78" s="199">
        <v>9980</v>
      </c>
      <c r="N78" s="199">
        <v>10090</v>
      </c>
      <c r="O78" s="199">
        <v>10840</v>
      </c>
      <c r="P78" s="199">
        <v>10442</v>
      </c>
      <c r="Q78" s="199">
        <v>9888</v>
      </c>
      <c r="R78" s="199">
        <v>8660</v>
      </c>
      <c r="S78" s="199">
        <v>9344</v>
      </c>
      <c r="T78" s="199">
        <v>8536</v>
      </c>
      <c r="U78" s="199">
        <v>8916</v>
      </c>
      <c r="V78" s="199">
        <v>8990</v>
      </c>
      <c r="W78" s="199">
        <v>25260</v>
      </c>
      <c r="X78" s="199">
        <v>9608</v>
      </c>
      <c r="Y78" s="199">
        <v>8518</v>
      </c>
      <c r="Z78" s="199">
        <v>19384</v>
      </c>
      <c r="AA78" s="199">
        <v>20144</v>
      </c>
      <c r="AB78" s="199">
        <v>15308</v>
      </c>
      <c r="AC78" s="199">
        <v>13504</v>
      </c>
      <c r="AD78" s="199">
        <v>15072</v>
      </c>
      <c r="AE78" s="199">
        <v>13060</v>
      </c>
      <c r="AF78" s="199">
        <v>23764</v>
      </c>
      <c r="AG78" s="199">
        <v>14612</v>
      </c>
      <c r="AH78" s="199">
        <v>18956</v>
      </c>
      <c r="AI78" s="199">
        <v>18500</v>
      </c>
      <c r="AJ78" s="199">
        <v>10694</v>
      </c>
      <c r="AK78" s="199">
        <v>14312</v>
      </c>
      <c r="AL78" s="199">
        <v>23096</v>
      </c>
      <c r="AM78" s="199">
        <v>26168</v>
      </c>
      <c r="AN78" s="199">
        <v>14422</v>
      </c>
      <c r="AO78" s="199">
        <v>24492</v>
      </c>
      <c r="AP78" s="199">
        <v>22780</v>
      </c>
      <c r="AQ78" s="199">
        <v>22304</v>
      </c>
      <c r="AR78" s="199">
        <v>24300</v>
      </c>
      <c r="AS78" s="199">
        <v>8910</v>
      </c>
      <c r="AT78" s="199">
        <v>18918</v>
      </c>
      <c r="AU78" s="199">
        <v>20834</v>
      </c>
      <c r="AV78" s="199">
        <v>23140</v>
      </c>
      <c r="AW78" s="199">
        <v>21940</v>
      </c>
      <c r="AX78" s="96">
        <v>8.76</v>
      </c>
      <c r="AY78" s="96">
        <v>9.44</v>
      </c>
      <c r="AZ78" s="96">
        <v>9.3800000000000008</v>
      </c>
      <c r="BA78" s="96">
        <v>8.5500000000000007</v>
      </c>
      <c r="BB78" s="96">
        <v>8.8000000000000007</v>
      </c>
      <c r="BC78" s="96">
        <v>8.9499999999999993</v>
      </c>
      <c r="BD78" s="96">
        <v>7.57</v>
      </c>
      <c r="BE78" s="96">
        <v>6.86</v>
      </c>
      <c r="BF78" s="96">
        <v>7.03</v>
      </c>
      <c r="BG78" s="96">
        <v>7.44</v>
      </c>
      <c r="BH78" s="96">
        <v>7.08</v>
      </c>
      <c r="BI78" s="96">
        <v>6.76</v>
      </c>
      <c r="BJ78" s="96">
        <v>6.66</v>
      </c>
      <c r="BK78" s="96">
        <v>6.67</v>
      </c>
      <c r="BL78" s="96">
        <v>6.75</v>
      </c>
      <c r="BM78" s="96">
        <v>6.7</v>
      </c>
      <c r="BN78" s="96">
        <v>6.46</v>
      </c>
      <c r="BO78" s="96">
        <v>9.32</v>
      </c>
      <c r="BP78" s="96">
        <v>6.7</v>
      </c>
      <c r="BQ78" s="96">
        <v>6.25</v>
      </c>
      <c r="BR78" s="96">
        <v>8.3699999999999992</v>
      </c>
      <c r="BS78" s="96">
        <v>8.73</v>
      </c>
      <c r="BT78" s="96">
        <v>7.58</v>
      </c>
      <c r="BU78" s="96">
        <v>7.93</v>
      </c>
      <c r="BV78" s="96">
        <v>8.1199999999999992</v>
      </c>
      <c r="BW78" s="96">
        <v>7.71</v>
      </c>
      <c r="BX78" s="96">
        <v>9.0299999999999994</v>
      </c>
      <c r="BY78" s="96">
        <v>7.14</v>
      </c>
      <c r="BZ78" s="96">
        <v>8.56</v>
      </c>
      <c r="CA78" s="96">
        <v>7.99</v>
      </c>
      <c r="CB78" s="96">
        <v>6.77</v>
      </c>
      <c r="CC78" s="96">
        <v>7.73</v>
      </c>
      <c r="CD78" s="96">
        <v>9.6</v>
      </c>
      <c r="CE78" s="96">
        <v>9.44</v>
      </c>
      <c r="CF78" s="96">
        <v>7.39</v>
      </c>
      <c r="CG78" s="96">
        <v>10.029999999999999</v>
      </c>
      <c r="CH78" s="96">
        <v>9.1</v>
      </c>
      <c r="CI78" s="96">
        <v>8.5299999999999994</v>
      </c>
      <c r="CJ78" s="96">
        <v>9.31</v>
      </c>
      <c r="CK78" s="96">
        <v>5.53</v>
      </c>
      <c r="CL78" s="96">
        <v>8</v>
      </c>
      <c r="CM78" s="96">
        <v>8.35</v>
      </c>
      <c r="CN78" s="96">
        <v>9.09</v>
      </c>
      <c r="CO78" s="96">
        <v>8.8000000000000007</v>
      </c>
      <c r="CP78" s="259">
        <f>SUM(Input_Raw[[#This Row],[P-01]:[P-56]])/1000</f>
        <v>743.03</v>
      </c>
      <c r="CQ78" s="260">
        <f>IFERROR(AVERAGEIF(Input_Raw[[#This Row],[WS_P-01]:[WS_P-56]],"&lt;&gt;",Input_Raw[[#This Row],[WS_P-01]:[WS_P-56]]),"")</f>
        <v>7.9763636363636357</v>
      </c>
      <c r="CR78" s="261">
        <f>MAX(Input_Raw[[#This Row],[WS_P-01]:[WS_P-56]])</f>
        <v>10.029999999999999</v>
      </c>
      <c r="CS78" s="261"/>
      <c r="CT78" s="262">
        <f>SUM(Input_Raw[[#This Row],[P-08]:[P-13]],Input_Raw[[#This Row],[P-25]:[P-28]])</f>
        <v>116844</v>
      </c>
      <c r="CU78" s="262"/>
      <c r="CV78" s="262">
        <f>SUM(Input_Raw[[#This Row],[P-04]],Input_Raw[[#This Row],[P-14]:[P-17]],Input_Raw[[#This Row],[P-19]:[P-20]],Input_Raw[[#This Row],[P-22]:[P-23]],Input_Raw[[#This Row],[P-34]],Input_Raw[[#This Row],[P-38]],Input_Raw[[#This Row],[P-43]])</f>
        <v>157004</v>
      </c>
      <c r="CW78" s="262"/>
      <c r="CX78" s="262">
        <f>SUM(Input_Raw[[#This Row],[P-05]:[P-06]],Input_Raw[[#This Row],[P-40]:[P-42]],Input_Raw[[#This Row],[P-45]],Input_Raw[[#This Row],[P-46]],Input_Raw[[#This Row],[P-47]:[P-48]])</f>
        <v>201908</v>
      </c>
      <c r="CY78" s="262"/>
      <c r="CZ78" s="262">
        <f>SUM(Input_Raw[[#This Row],[P-01]:[P-03]],Input_Raw[[#This Row],[P-07]],Input_Raw[[#This Row],[P-18]],Input_Raw[[#This Row],[P-31]:[P-32]],Input_Raw[[#This Row],[P-37]],Input_Raw[[#This Row],[P-50]:[P-56]])</f>
        <v>267274</v>
      </c>
      <c r="DA78" s="263"/>
      <c r="DB78" s="264">
        <f>Input_Raw[[#This Row],[33 kV_Wind_F1_Export reading]]/1000</f>
        <v>116.84399999999999</v>
      </c>
      <c r="DC78" s="264"/>
      <c r="DD78" s="264">
        <f>Input_Raw[[#This Row],[33 kV_Wind_F2_Export_reading]]/1000</f>
        <v>157.00399999999999</v>
      </c>
      <c r="DE78" s="264"/>
      <c r="DF78" s="264">
        <f>Input_Raw[[#This Row],[33 kV_Wind_F3_Export_Reading]]/1000</f>
        <v>201.90799999999999</v>
      </c>
      <c r="DG78" s="264"/>
      <c r="DH78" s="264">
        <f>Input_Raw[[#This Row],[33 kV_Wind_F4_Export Reading]]/1000</f>
        <v>267.274</v>
      </c>
      <c r="DI78" s="264"/>
      <c r="DJ78" s="264">
        <f>Input_Raw[[#This Row],[33 kV_F1_Total_Export (MWh)]]+Input_Raw[[#This Row],[33 kV_F2_Total_Export (MWh)2]]+Input_Raw[[#This Row],[33 kV_Wind_F3_Export (MWh)]]+Input_Raw[[#This Row],[33 kV_Wind_F4_Export (MWh)]]</f>
        <v>743.03</v>
      </c>
      <c r="DK78" s="264">
        <f>Input_Raw[[#This Row],[33 kV_Wind_F1_Import (MWh)]]+Input_Raw[[#This Row],[33 kV_Wind_F2_Import (MWh)]]+Input_Raw[[#This Row],[33 kV_Wind_F3_Import (MWh)2]]+Input_Raw[[#This Row],[33 kV_Wind_F4_Import (MWh)2]]</f>
        <v>0</v>
      </c>
      <c r="DL78" s="265">
        <f>IFERROR(Input_Raw[[#This Row],[33 kV_Wind_Total_Export (MWh)]]/Input_Raw[[#This Row],[WTG Total Gneration (MWh)]]-1,"")</f>
        <v>0</v>
      </c>
      <c r="DM78" s="266"/>
      <c r="DN78" s="186">
        <v>46</v>
      </c>
      <c r="DO78" s="186">
        <v>30691.5</v>
      </c>
      <c r="DP78" s="102">
        <v>754.1</v>
      </c>
      <c r="DQ78" s="266"/>
      <c r="DR78" s="181">
        <v>70.400000000000006</v>
      </c>
    </row>
    <row r="79" spans="1:122">
      <c r="A79" s="92">
        <f t="shared" si="74"/>
        <v>45819</v>
      </c>
      <c r="B79" s="190">
        <f>YEAR(Input_Raw[[#This Row],[Date]])+IF(MONTH(Input_Raw[[#This Row],[Date]])&gt;=4,1,0)</f>
        <v>2026</v>
      </c>
      <c r="C79" s="190">
        <f>YEAR(Input_Raw[[#This Row],[Date]])</f>
        <v>2025</v>
      </c>
      <c r="D79" s="11">
        <f t="shared" ref="D79" si="130">A79-DAY(A79)+1</f>
        <v>45809</v>
      </c>
      <c r="E79" s="190">
        <f>DAY(EOMONTH(Input_Raw[[#This Row],[Date]],0))</f>
        <v>30</v>
      </c>
      <c r="F79" s="199">
        <v>26848</v>
      </c>
      <c r="G79" s="199">
        <v>29624</v>
      </c>
      <c r="H79" s="199">
        <v>29888</v>
      </c>
      <c r="I79" s="199">
        <v>22960</v>
      </c>
      <c r="J79" s="199">
        <v>22984</v>
      </c>
      <c r="K79" s="199">
        <v>22604</v>
      </c>
      <c r="L79" s="199">
        <v>19756</v>
      </c>
      <c r="M79" s="199">
        <v>13976</v>
      </c>
      <c r="N79" s="199">
        <v>12856</v>
      </c>
      <c r="O79" s="199">
        <v>13350</v>
      </c>
      <c r="P79" s="199">
        <v>13108</v>
      </c>
      <c r="Q79" s="199">
        <v>12576</v>
      </c>
      <c r="R79" s="199">
        <v>12416</v>
      </c>
      <c r="S79" s="199">
        <v>12842</v>
      </c>
      <c r="T79" s="199">
        <v>12008</v>
      </c>
      <c r="U79" s="199">
        <v>12492</v>
      </c>
      <c r="V79" s="199">
        <v>11744</v>
      </c>
      <c r="W79" s="199">
        <v>27292</v>
      </c>
      <c r="X79" s="199">
        <v>13188</v>
      </c>
      <c r="Y79" s="199">
        <v>12000</v>
      </c>
      <c r="Z79" s="199">
        <v>22824</v>
      </c>
      <c r="AA79" s="199">
        <v>25256</v>
      </c>
      <c r="AB79" s="199">
        <v>17560</v>
      </c>
      <c r="AC79" s="199">
        <v>18140</v>
      </c>
      <c r="AD79" s="199">
        <v>19120</v>
      </c>
      <c r="AE79" s="199">
        <v>18040</v>
      </c>
      <c r="AF79" s="199">
        <v>29972</v>
      </c>
      <c r="AG79" s="199">
        <v>17014</v>
      </c>
      <c r="AH79" s="199">
        <v>18836</v>
      </c>
      <c r="AI79" s="199">
        <v>21024</v>
      </c>
      <c r="AJ79" s="199">
        <v>14360</v>
      </c>
      <c r="AK79" s="199">
        <v>16360</v>
      </c>
      <c r="AL79" s="199">
        <v>23972</v>
      </c>
      <c r="AM79" s="199">
        <v>27140</v>
      </c>
      <c r="AN79" s="199">
        <v>20686</v>
      </c>
      <c r="AO79" s="199">
        <v>25664</v>
      </c>
      <c r="AP79" s="199">
        <v>24512</v>
      </c>
      <c r="AQ79" s="199">
        <v>23912</v>
      </c>
      <c r="AR79" s="199">
        <v>25080</v>
      </c>
      <c r="AS79" s="199">
        <v>10968</v>
      </c>
      <c r="AT79" s="199">
        <v>23360</v>
      </c>
      <c r="AU79" s="199">
        <v>24166</v>
      </c>
      <c r="AV79" s="199">
        <v>23932</v>
      </c>
      <c r="AW79" s="199">
        <v>23244</v>
      </c>
      <c r="AX79" s="96">
        <v>9.26</v>
      </c>
      <c r="AY79" s="96">
        <v>10.48</v>
      </c>
      <c r="AZ79" s="96">
        <v>10.56</v>
      </c>
      <c r="BA79" s="96">
        <v>8.91</v>
      </c>
      <c r="BB79" s="96">
        <v>8.75</v>
      </c>
      <c r="BC79" s="96">
        <v>9.1</v>
      </c>
      <c r="BD79" s="96">
        <v>8.0399999999999991</v>
      </c>
      <c r="BE79" s="96">
        <v>7.36</v>
      </c>
      <c r="BF79" s="96">
        <v>7.46</v>
      </c>
      <c r="BG79" s="96">
        <v>7.78</v>
      </c>
      <c r="BH79" s="96">
        <v>7.49</v>
      </c>
      <c r="BI79" s="96">
        <v>7.17</v>
      </c>
      <c r="BJ79" s="96">
        <v>7.28</v>
      </c>
      <c r="BK79" s="96">
        <v>7.31</v>
      </c>
      <c r="BL79" s="96">
        <v>7.43</v>
      </c>
      <c r="BM79" s="96">
        <v>7.42</v>
      </c>
      <c r="BN79" s="96">
        <v>6.87</v>
      </c>
      <c r="BO79" s="96">
        <v>9.8000000000000007</v>
      </c>
      <c r="BP79" s="96">
        <v>7.27</v>
      </c>
      <c r="BQ79" s="96">
        <v>6.85</v>
      </c>
      <c r="BR79" s="96">
        <v>8.59</v>
      </c>
      <c r="BS79" s="96">
        <v>9.24</v>
      </c>
      <c r="BT79" s="96">
        <v>7.58</v>
      </c>
      <c r="BU79" s="96">
        <v>8.27</v>
      </c>
      <c r="BV79" s="96">
        <v>8.49</v>
      </c>
      <c r="BW79" s="96">
        <v>8.35</v>
      </c>
      <c r="BX79" s="96">
        <v>10.32</v>
      </c>
      <c r="BY79" s="96">
        <v>7.67</v>
      </c>
      <c r="BZ79" s="96">
        <v>8.75</v>
      </c>
      <c r="CA79" s="96">
        <v>8.49</v>
      </c>
      <c r="CB79" s="96">
        <v>7.35</v>
      </c>
      <c r="CC79" s="96">
        <v>8.2100000000000009</v>
      </c>
      <c r="CD79" s="96">
        <v>9.68</v>
      </c>
      <c r="CE79" s="96">
        <v>9.4499999999999993</v>
      </c>
      <c r="CF79" s="96">
        <v>8.2100000000000009</v>
      </c>
      <c r="CG79" s="96">
        <v>10.19</v>
      </c>
      <c r="CH79" s="96">
        <v>9.3000000000000007</v>
      </c>
      <c r="CI79" s="96">
        <v>8.76</v>
      </c>
      <c r="CJ79" s="96">
        <v>9.3800000000000008</v>
      </c>
      <c r="CK79" s="96">
        <v>6.03</v>
      </c>
      <c r="CL79" s="96">
        <v>8.92</v>
      </c>
      <c r="CM79" s="96">
        <v>9</v>
      </c>
      <c r="CN79" s="96">
        <v>9.26</v>
      </c>
      <c r="CO79" s="96">
        <v>9.1</v>
      </c>
      <c r="CP79" s="259">
        <f>SUM(Input_Raw[[#This Row],[P-01]:[P-56]])/1000</f>
        <v>869.654</v>
      </c>
      <c r="CQ79" s="260">
        <f>IFERROR(AVERAGEIF(Input_Raw[[#This Row],[WS_P-01]:[WS_P-56]],"&lt;&gt;",Input_Raw[[#This Row],[WS_P-01]:[WS_P-56]]),"")</f>
        <v>8.4359090909090906</v>
      </c>
      <c r="CR79" s="261">
        <f>MAX(Input_Raw[[#This Row],[WS_P-01]:[WS_P-56]])</f>
        <v>10.56</v>
      </c>
      <c r="CS79" s="261"/>
      <c r="CT79" s="262">
        <f>SUM(Input_Raw[[#This Row],[P-08]:[P-13]],Input_Raw[[#This Row],[P-25]:[P-28]])</f>
        <v>151142</v>
      </c>
      <c r="CU79" s="262"/>
      <c r="CV79" s="262">
        <f>SUM(Input_Raw[[#This Row],[P-04]],Input_Raw[[#This Row],[P-14]:[P-17]],Input_Raw[[#This Row],[P-19]:[P-20]],Input_Raw[[#This Row],[P-22]:[P-23]],Input_Raw[[#This Row],[P-34]],Input_Raw[[#This Row],[P-38]],Input_Raw[[#This Row],[P-43]])</f>
        <v>199196</v>
      </c>
      <c r="CW79" s="262"/>
      <c r="CX79" s="262">
        <f>SUM(Input_Raw[[#This Row],[P-05]:[P-06]],Input_Raw[[#This Row],[P-40]:[P-42]],Input_Raw[[#This Row],[P-45]],Input_Raw[[#This Row],[P-46]],Input_Raw[[#This Row],[P-47]:[P-48]])</f>
        <v>212228</v>
      </c>
      <c r="CY79" s="262"/>
      <c r="CZ79" s="262">
        <f>SUM(Input_Raw[[#This Row],[P-01]:[P-03]],Input_Raw[[#This Row],[P-07]],Input_Raw[[#This Row],[P-18]],Input_Raw[[#This Row],[P-31]:[P-32]],Input_Raw[[#This Row],[P-37]],Input_Raw[[#This Row],[P-50]:[P-56]])</f>
        <v>307088</v>
      </c>
      <c r="DA79" s="263"/>
      <c r="DB79" s="264">
        <f>Input_Raw[[#This Row],[33 kV_Wind_F1_Export reading]]/1000</f>
        <v>151.142</v>
      </c>
      <c r="DC79" s="264"/>
      <c r="DD79" s="264">
        <f>Input_Raw[[#This Row],[33 kV_Wind_F2_Export_reading]]/1000</f>
        <v>199.196</v>
      </c>
      <c r="DE79" s="264"/>
      <c r="DF79" s="264">
        <f>Input_Raw[[#This Row],[33 kV_Wind_F3_Export_Reading]]/1000</f>
        <v>212.22800000000001</v>
      </c>
      <c r="DG79" s="264"/>
      <c r="DH79" s="264">
        <f>Input_Raw[[#This Row],[33 kV_Wind_F4_Export Reading]]/1000</f>
        <v>307.08800000000002</v>
      </c>
      <c r="DI79" s="264"/>
      <c r="DJ79" s="264">
        <f>Input_Raw[[#This Row],[33 kV_F1_Total_Export (MWh)]]+Input_Raw[[#This Row],[33 kV_F2_Total_Export (MWh)2]]+Input_Raw[[#This Row],[33 kV_Wind_F3_Export (MWh)]]+Input_Raw[[#This Row],[33 kV_Wind_F4_Export (MWh)]]</f>
        <v>869.654</v>
      </c>
      <c r="DK79" s="264">
        <f>Input_Raw[[#This Row],[33 kV_Wind_F1_Import (MWh)]]+Input_Raw[[#This Row],[33 kV_Wind_F2_Import (MWh)]]+Input_Raw[[#This Row],[33 kV_Wind_F3_Import (MWh)2]]+Input_Raw[[#This Row],[33 kV_Wind_F4_Import (MWh)2]]</f>
        <v>0</v>
      </c>
      <c r="DL79" s="265">
        <f>IFERROR(Input_Raw[[#This Row],[33 kV_Wind_Total_Export (MWh)]]/Input_Raw[[#This Row],[WTG Total Gneration (MWh)]]-1,"")</f>
        <v>0</v>
      </c>
      <c r="DM79" s="266"/>
      <c r="DN79" s="186">
        <v>46</v>
      </c>
      <c r="DO79" s="186">
        <v>13380.75</v>
      </c>
      <c r="DP79" s="102">
        <v>869.19</v>
      </c>
      <c r="DQ79" s="266"/>
      <c r="DR79" s="181">
        <v>70.400000000000006</v>
      </c>
    </row>
    <row r="80" spans="1:122">
      <c r="A80" s="92">
        <f t="shared" si="74"/>
        <v>45820</v>
      </c>
      <c r="B80" s="190">
        <f>YEAR(Input_Raw[[#This Row],[Date]])+IF(MONTH(Input_Raw[[#This Row],[Date]])&gt;=4,1,0)</f>
        <v>2026</v>
      </c>
      <c r="C80" s="190">
        <f>YEAR(Input_Raw[[#This Row],[Date]])</f>
        <v>2025</v>
      </c>
      <c r="D80" s="11">
        <f t="shared" ref="D80" si="131">A80-DAY(A80)+1</f>
        <v>45809</v>
      </c>
      <c r="E80" s="190">
        <f>DAY(EOMONTH(Input_Raw[[#This Row],[Date]],0))</f>
        <v>30</v>
      </c>
      <c r="F80" s="199">
        <v>22828</v>
      </c>
      <c r="G80" s="199">
        <v>27164</v>
      </c>
      <c r="H80" s="199">
        <v>27808</v>
      </c>
      <c r="I80" s="199">
        <v>14710</v>
      </c>
      <c r="J80" s="199">
        <v>15188</v>
      </c>
      <c r="K80" s="199">
        <v>15524</v>
      </c>
      <c r="L80" s="199">
        <v>15484</v>
      </c>
      <c r="M80" s="199">
        <v>10594</v>
      </c>
      <c r="N80" s="199">
        <v>9624</v>
      </c>
      <c r="O80" s="199">
        <v>9644</v>
      </c>
      <c r="P80" s="199">
        <v>8592</v>
      </c>
      <c r="Q80" s="199">
        <v>7896</v>
      </c>
      <c r="R80" s="199">
        <v>7740</v>
      </c>
      <c r="S80" s="199">
        <v>8038</v>
      </c>
      <c r="T80" s="199">
        <v>7424</v>
      </c>
      <c r="U80" s="199">
        <v>7284</v>
      </c>
      <c r="V80" s="199">
        <v>8218</v>
      </c>
      <c r="W80" s="199">
        <v>22240</v>
      </c>
      <c r="X80" s="199">
        <v>8612</v>
      </c>
      <c r="Y80" s="199">
        <v>7553</v>
      </c>
      <c r="Z80" s="199">
        <v>15504</v>
      </c>
      <c r="AA80" s="199">
        <v>18048</v>
      </c>
      <c r="AB80" s="199">
        <v>12244</v>
      </c>
      <c r="AC80" s="199">
        <v>12116</v>
      </c>
      <c r="AD80" s="199">
        <v>12872</v>
      </c>
      <c r="AE80" s="199">
        <v>12256</v>
      </c>
      <c r="AF80" s="199">
        <v>27744</v>
      </c>
      <c r="AG80" s="199">
        <v>10994</v>
      </c>
      <c r="AH80" s="199">
        <v>16283.999999999998</v>
      </c>
      <c r="AI80" s="199">
        <v>14372</v>
      </c>
      <c r="AJ80" s="199">
        <v>9026</v>
      </c>
      <c r="AK80" s="199">
        <v>10860</v>
      </c>
      <c r="AL80" s="199">
        <v>15924</v>
      </c>
      <c r="AM80" s="199">
        <v>20804</v>
      </c>
      <c r="AN80" s="199">
        <v>13654</v>
      </c>
      <c r="AO80" s="199">
        <v>20720</v>
      </c>
      <c r="AP80" s="199">
        <v>19632</v>
      </c>
      <c r="AQ80" s="199">
        <v>17676</v>
      </c>
      <c r="AR80" s="199">
        <v>18500</v>
      </c>
      <c r="AS80" s="199">
        <v>8602</v>
      </c>
      <c r="AT80" s="199">
        <v>18210</v>
      </c>
      <c r="AU80" s="199">
        <v>19786</v>
      </c>
      <c r="AV80" s="199">
        <v>19344</v>
      </c>
      <c r="AW80" s="199">
        <v>18436</v>
      </c>
      <c r="AX80" s="96">
        <v>8.3699999999999992</v>
      </c>
      <c r="AY80" s="96">
        <v>9.7100000000000009</v>
      </c>
      <c r="AZ80" s="96">
        <v>9.94</v>
      </c>
      <c r="BA80" s="96">
        <v>7.23</v>
      </c>
      <c r="BB80" s="96">
        <v>7.31</v>
      </c>
      <c r="BC80" s="96">
        <v>7.82</v>
      </c>
      <c r="BD80" s="96">
        <v>7.4</v>
      </c>
      <c r="BE80" s="96">
        <v>6.56</v>
      </c>
      <c r="BF80" s="96">
        <v>6.55</v>
      </c>
      <c r="BG80" s="96">
        <v>6.84</v>
      </c>
      <c r="BH80" s="96">
        <v>6.26</v>
      </c>
      <c r="BI80" s="96">
        <v>6.04</v>
      </c>
      <c r="BJ80" s="96">
        <v>6.12</v>
      </c>
      <c r="BK80" s="96">
        <v>6.17</v>
      </c>
      <c r="BL80" s="96">
        <v>6.26</v>
      </c>
      <c r="BM80" s="96">
        <v>6.12</v>
      </c>
      <c r="BN80" s="96">
        <v>6.06</v>
      </c>
      <c r="BO80" s="96">
        <v>8.69</v>
      </c>
      <c r="BP80" s="96">
        <v>6.2</v>
      </c>
      <c r="BQ80" s="96">
        <v>5.84</v>
      </c>
      <c r="BR80" s="96">
        <v>7.29</v>
      </c>
      <c r="BS80" s="96">
        <v>7.87</v>
      </c>
      <c r="BT80" s="96">
        <v>6.55</v>
      </c>
      <c r="BU80" s="96">
        <v>6.96</v>
      </c>
      <c r="BV80" s="96">
        <v>7.22</v>
      </c>
      <c r="BW80" s="96">
        <v>7.12</v>
      </c>
      <c r="BX80" s="96">
        <v>9.7200000000000006</v>
      </c>
      <c r="BY80" s="96">
        <v>6.48</v>
      </c>
      <c r="BZ80" s="96">
        <v>7.57</v>
      </c>
      <c r="CA80" s="96">
        <v>7.27</v>
      </c>
      <c r="CB80" s="96">
        <v>6.18</v>
      </c>
      <c r="CC80" s="96">
        <v>7.07</v>
      </c>
      <c r="CD80" s="96">
        <v>7.98</v>
      </c>
      <c r="CE80" s="96">
        <v>8.2100000000000009</v>
      </c>
      <c r="CF80" s="96">
        <v>6.91</v>
      </c>
      <c r="CG80" s="96">
        <v>9.34</v>
      </c>
      <c r="CH80" s="96">
        <v>8.5</v>
      </c>
      <c r="CI80" s="96">
        <v>7.67</v>
      </c>
      <c r="CJ80" s="96">
        <v>8.15</v>
      </c>
      <c r="CK80" s="96">
        <v>5.45</v>
      </c>
      <c r="CL80" s="96">
        <v>7.92</v>
      </c>
      <c r="CM80" s="96">
        <v>8.15</v>
      </c>
      <c r="CN80" s="96">
        <v>8.35</v>
      </c>
      <c r="CO80" s="96">
        <v>8.18</v>
      </c>
      <c r="CP80" s="259">
        <f>SUM(Input_Raw[[#This Row],[P-01]:[P-56]])/1000</f>
        <v>645.77300000000002</v>
      </c>
      <c r="CQ80" s="260">
        <f>IFERROR(AVERAGEIF(Input_Raw[[#This Row],[WS_P-01]:[WS_P-56]],"&lt;&gt;",Input_Raw[[#This Row],[WS_P-01]:[WS_P-56]]),"")</f>
        <v>7.3545454545454554</v>
      </c>
      <c r="CR80" s="261">
        <f>MAX(Input_Raw[[#This Row],[WS_P-01]:[WS_P-56]])</f>
        <v>9.94</v>
      </c>
      <c r="CS80" s="261"/>
      <c r="CT80" s="262">
        <f>SUM(Input_Raw[[#This Row],[P-08]:[P-13]],Input_Raw[[#This Row],[P-25]:[P-28]])</f>
        <v>103578</v>
      </c>
      <c r="CU80" s="262"/>
      <c r="CV80" s="262">
        <f>SUM(Input_Raw[[#This Row],[P-04]],Input_Raw[[#This Row],[P-14]:[P-17]],Input_Raw[[#This Row],[P-19]:[P-20]],Input_Raw[[#This Row],[P-22]:[P-23]],Input_Raw[[#This Row],[P-34]],Input_Raw[[#This Row],[P-38]],Input_Raw[[#This Row],[P-43]])</f>
        <v>134355</v>
      </c>
      <c r="CW80" s="262"/>
      <c r="CX80" s="262">
        <f>SUM(Input_Raw[[#This Row],[P-05]:[P-06]],Input_Raw[[#This Row],[P-40]:[P-42]],Input_Raw[[#This Row],[P-45]],Input_Raw[[#This Row],[P-46]],Input_Raw[[#This Row],[P-47]:[P-48]])</f>
        <v>154828</v>
      </c>
      <c r="CY80" s="262"/>
      <c r="CZ80" s="262">
        <f>SUM(Input_Raw[[#This Row],[P-01]:[P-03]],Input_Raw[[#This Row],[P-07]],Input_Raw[[#This Row],[P-18]],Input_Raw[[#This Row],[P-31]:[P-32]],Input_Raw[[#This Row],[P-37]],Input_Raw[[#This Row],[P-50]:[P-56]])</f>
        <v>253012</v>
      </c>
      <c r="DA80" s="263"/>
      <c r="DB80" s="264">
        <f>Input_Raw[[#This Row],[33 kV_Wind_F1_Export reading]]/1000</f>
        <v>103.578</v>
      </c>
      <c r="DC80" s="264"/>
      <c r="DD80" s="264">
        <f>Input_Raw[[#This Row],[33 kV_Wind_F2_Export_reading]]/1000</f>
        <v>134.35499999999999</v>
      </c>
      <c r="DE80" s="264"/>
      <c r="DF80" s="264">
        <f>Input_Raw[[#This Row],[33 kV_Wind_F3_Export_Reading]]/1000</f>
        <v>154.828</v>
      </c>
      <c r="DG80" s="264"/>
      <c r="DH80" s="264">
        <f>Input_Raw[[#This Row],[33 kV_Wind_F4_Export Reading]]/1000</f>
        <v>253.012</v>
      </c>
      <c r="DI80" s="264"/>
      <c r="DJ80" s="264">
        <f>Input_Raw[[#This Row],[33 kV_F1_Total_Export (MWh)]]+Input_Raw[[#This Row],[33 kV_F2_Total_Export (MWh)2]]+Input_Raw[[#This Row],[33 kV_Wind_F3_Export (MWh)]]+Input_Raw[[#This Row],[33 kV_Wind_F4_Export (MWh)]]</f>
        <v>645.77299999999991</v>
      </c>
      <c r="DK80" s="264">
        <f>Input_Raw[[#This Row],[33 kV_Wind_F1_Import (MWh)]]+Input_Raw[[#This Row],[33 kV_Wind_F2_Import (MWh)]]+Input_Raw[[#This Row],[33 kV_Wind_F3_Import (MWh)2]]+Input_Raw[[#This Row],[33 kV_Wind_F4_Import (MWh)2]]</f>
        <v>0</v>
      </c>
      <c r="DL80" s="265">
        <f>IFERROR(Input_Raw[[#This Row],[33 kV_Wind_Total_Export (MWh)]]/Input_Raw[[#This Row],[WTG Total Gneration (MWh)]]-1,"")</f>
        <v>-2.2204460492503131E-16</v>
      </c>
      <c r="DM80" s="266"/>
      <c r="DN80" s="186">
        <v>93</v>
      </c>
      <c r="DO80" s="186">
        <v>28400.5</v>
      </c>
      <c r="DP80" s="102">
        <v>630.85</v>
      </c>
      <c r="DQ80" s="266"/>
      <c r="DR80" s="181">
        <v>70.400000000000006</v>
      </c>
    </row>
    <row r="81" spans="1:122">
      <c r="A81" s="92">
        <f t="shared" si="74"/>
        <v>45821</v>
      </c>
      <c r="B81" s="190">
        <f>YEAR(Input_Raw[[#This Row],[Date]])+IF(MONTH(Input_Raw[[#This Row],[Date]])&gt;=4,1,0)</f>
        <v>2026</v>
      </c>
      <c r="C81" s="190">
        <f>YEAR(Input_Raw[[#This Row],[Date]])</f>
        <v>2025</v>
      </c>
      <c r="D81" s="11">
        <f t="shared" ref="D81" si="132">A81-DAY(A81)+1</f>
        <v>45809</v>
      </c>
      <c r="E81" s="190">
        <f>DAY(EOMONTH(Input_Raw[[#This Row],[Date]],0))</f>
        <v>30</v>
      </c>
      <c r="F81" s="199">
        <v>648</v>
      </c>
      <c r="G81" s="199">
        <v>704</v>
      </c>
      <c r="H81" s="199">
        <v>756</v>
      </c>
      <c r="I81" s="199">
        <v>498</v>
      </c>
      <c r="J81" s="199">
        <v>276</v>
      </c>
      <c r="K81" s="199">
        <v>280</v>
      </c>
      <c r="L81" s="199">
        <v>618</v>
      </c>
      <c r="M81" s="199">
        <v>302</v>
      </c>
      <c r="N81" s="199">
        <v>200</v>
      </c>
      <c r="O81" s="199">
        <v>172</v>
      </c>
      <c r="P81" s="199">
        <v>280</v>
      </c>
      <c r="Q81" s="199">
        <v>256</v>
      </c>
      <c r="R81" s="199">
        <v>268</v>
      </c>
      <c r="S81" s="199">
        <v>280</v>
      </c>
      <c r="T81" s="199">
        <v>44</v>
      </c>
      <c r="U81" s="199">
        <v>170</v>
      </c>
      <c r="V81" s="199">
        <v>122</v>
      </c>
      <c r="W81" s="199">
        <v>560</v>
      </c>
      <c r="X81" s="199">
        <v>236</v>
      </c>
      <c r="Y81" s="199">
        <v>256</v>
      </c>
      <c r="Z81" s="199">
        <v>752</v>
      </c>
      <c r="AA81" s="199">
        <v>424</v>
      </c>
      <c r="AB81" s="199">
        <v>424</v>
      </c>
      <c r="AC81" s="199">
        <v>348</v>
      </c>
      <c r="AD81" s="199">
        <v>388</v>
      </c>
      <c r="AE81" s="199">
        <v>424</v>
      </c>
      <c r="AF81" s="199">
        <v>606</v>
      </c>
      <c r="AG81" s="199">
        <v>304</v>
      </c>
      <c r="AH81" s="199">
        <v>236</v>
      </c>
      <c r="AI81" s="199">
        <v>686</v>
      </c>
      <c r="AJ81" s="199">
        <v>284</v>
      </c>
      <c r="AK81" s="199">
        <v>156</v>
      </c>
      <c r="AL81" s="199">
        <v>180</v>
      </c>
      <c r="AM81" s="199">
        <v>400</v>
      </c>
      <c r="AN81" s="199">
        <v>458</v>
      </c>
      <c r="AO81" s="199">
        <v>968</v>
      </c>
      <c r="AP81" s="199">
        <v>512</v>
      </c>
      <c r="AQ81" s="199">
        <v>376</v>
      </c>
      <c r="AR81" s="199">
        <v>444</v>
      </c>
      <c r="AS81" s="199">
        <v>350</v>
      </c>
      <c r="AT81" s="199">
        <v>430</v>
      </c>
      <c r="AU81" s="199">
        <v>672</v>
      </c>
      <c r="AV81" s="199">
        <v>936</v>
      </c>
      <c r="AW81" s="199">
        <v>584</v>
      </c>
      <c r="AX81" s="96">
        <v>2.35</v>
      </c>
      <c r="AY81" s="96">
        <v>2.97</v>
      </c>
      <c r="AZ81" s="96">
        <v>2.7</v>
      </c>
      <c r="BA81" s="96">
        <v>2.4500000000000002</v>
      </c>
      <c r="BB81" s="96">
        <v>2.2599999999999998</v>
      </c>
      <c r="BC81" s="96">
        <v>2.4900000000000002</v>
      </c>
      <c r="BD81" s="96">
        <v>2.71</v>
      </c>
      <c r="BE81" s="96">
        <v>2.23</v>
      </c>
      <c r="BF81" s="96">
        <v>2.2000000000000002</v>
      </c>
      <c r="BG81" s="96">
        <v>2.42</v>
      </c>
      <c r="BH81" s="96">
        <v>2.42</v>
      </c>
      <c r="BI81" s="96">
        <v>2.65</v>
      </c>
      <c r="BJ81" s="96">
        <v>2.4</v>
      </c>
      <c r="BK81" s="96">
        <v>2.31</v>
      </c>
      <c r="BL81" s="96">
        <v>2.4300000000000002</v>
      </c>
      <c r="BM81" s="96">
        <v>2.25</v>
      </c>
      <c r="BN81" s="96">
        <v>2.64</v>
      </c>
      <c r="BO81" s="96">
        <v>2.64</v>
      </c>
      <c r="BP81" s="96">
        <v>2.16</v>
      </c>
      <c r="BQ81" s="96">
        <v>2.2599999999999998</v>
      </c>
      <c r="BR81" s="96">
        <v>2.78</v>
      </c>
      <c r="BS81" s="96">
        <v>2.74</v>
      </c>
      <c r="BT81" s="96">
        <v>2.2599999999999998</v>
      </c>
      <c r="BU81" s="96">
        <v>3.02</v>
      </c>
      <c r="BV81" s="96">
        <v>2.4700000000000002</v>
      </c>
      <c r="BW81" s="96">
        <v>2.4900000000000002</v>
      </c>
      <c r="BX81" s="96">
        <v>2.2999999999999998</v>
      </c>
      <c r="BY81" s="96">
        <v>2.2000000000000002</v>
      </c>
      <c r="BZ81" s="96">
        <v>2.36</v>
      </c>
      <c r="CA81" s="96">
        <v>2.58</v>
      </c>
      <c r="CB81" s="96">
        <v>2.0099999999999998</v>
      </c>
      <c r="CC81" s="96">
        <v>2.0499999999999998</v>
      </c>
      <c r="CD81" s="96">
        <v>2.77</v>
      </c>
      <c r="CE81" s="96">
        <v>2.41</v>
      </c>
      <c r="CF81" s="96">
        <v>2.41</v>
      </c>
      <c r="CG81" s="96">
        <v>2.94</v>
      </c>
      <c r="CH81" s="96">
        <v>2.85</v>
      </c>
      <c r="CI81" s="96">
        <v>2.2599999999999998</v>
      </c>
      <c r="CJ81" s="96">
        <v>2.7</v>
      </c>
      <c r="CK81" s="96">
        <v>2.21</v>
      </c>
      <c r="CL81" s="96">
        <v>2.29</v>
      </c>
      <c r="CM81" s="96">
        <v>2.71</v>
      </c>
      <c r="CN81" s="96">
        <v>2.75</v>
      </c>
      <c r="CO81" s="96">
        <v>2.89</v>
      </c>
      <c r="CP81" s="259">
        <f>SUM(Input_Raw[[#This Row],[P-01]:[P-56]])/1000</f>
        <v>18.268000000000001</v>
      </c>
      <c r="CQ81" s="260">
        <f>IFERROR(AVERAGEIF(Input_Raw[[#This Row],[WS_P-01]:[WS_P-56]],"&lt;&gt;",Input_Raw[[#This Row],[WS_P-01]:[WS_P-56]]),"")</f>
        <v>2.4861363636363634</v>
      </c>
      <c r="CR81" s="261">
        <f>MAX(Input_Raw[[#This Row],[WS_P-01]:[WS_P-56]])</f>
        <v>3.02</v>
      </c>
      <c r="CS81" s="261"/>
      <c r="CT81" s="262">
        <f>SUM(Input_Raw[[#This Row],[P-08]:[P-13]],Input_Raw[[#This Row],[P-25]:[P-28]])</f>
        <v>3062</v>
      </c>
      <c r="CU81" s="262"/>
      <c r="CV81" s="262">
        <f>SUM(Input_Raw[[#This Row],[P-04]],Input_Raw[[#This Row],[P-14]:[P-17]],Input_Raw[[#This Row],[P-19]:[P-20]],Input_Raw[[#This Row],[P-22]:[P-23]],Input_Raw[[#This Row],[P-34]],Input_Raw[[#This Row],[P-38]],Input_Raw[[#This Row],[P-43]])</f>
        <v>3760</v>
      </c>
      <c r="CW81" s="262"/>
      <c r="CX81" s="262">
        <f>SUM(Input_Raw[[#This Row],[P-05]:[P-06]],Input_Raw[[#This Row],[P-40]:[P-42]],Input_Raw[[#This Row],[P-45]],Input_Raw[[#This Row],[P-46]],Input_Raw[[#This Row],[P-47]:[P-48]])</f>
        <v>3592</v>
      </c>
      <c r="CY81" s="262"/>
      <c r="CZ81" s="262">
        <f>SUM(Input_Raw[[#This Row],[P-01]:[P-03]],Input_Raw[[#This Row],[P-07]],Input_Raw[[#This Row],[P-18]],Input_Raw[[#This Row],[P-31]:[P-32]],Input_Raw[[#This Row],[P-37]],Input_Raw[[#This Row],[P-50]:[P-56]])</f>
        <v>7854</v>
      </c>
      <c r="DA81" s="263"/>
      <c r="DB81" s="264">
        <f>Input_Raw[[#This Row],[33 kV_Wind_F1_Export reading]]/1000</f>
        <v>3.0619999999999998</v>
      </c>
      <c r="DC81" s="264"/>
      <c r="DD81" s="264">
        <f>Input_Raw[[#This Row],[33 kV_Wind_F2_Export_reading]]/1000</f>
        <v>3.76</v>
      </c>
      <c r="DE81" s="264"/>
      <c r="DF81" s="264">
        <f>Input_Raw[[#This Row],[33 kV_Wind_F3_Export_Reading]]/1000</f>
        <v>3.5920000000000001</v>
      </c>
      <c r="DG81" s="264"/>
      <c r="DH81" s="264">
        <f>Input_Raw[[#This Row],[33 kV_Wind_F4_Export Reading]]/1000</f>
        <v>7.8540000000000001</v>
      </c>
      <c r="DI81" s="264"/>
      <c r="DJ81" s="264">
        <f>Input_Raw[[#This Row],[33 kV_F1_Total_Export (MWh)]]+Input_Raw[[#This Row],[33 kV_F2_Total_Export (MWh)2]]+Input_Raw[[#This Row],[33 kV_Wind_F3_Export (MWh)]]+Input_Raw[[#This Row],[33 kV_Wind_F4_Export (MWh)]]</f>
        <v>18.268000000000001</v>
      </c>
      <c r="DK81" s="264">
        <f>Input_Raw[[#This Row],[33 kV_Wind_F1_Import (MWh)]]+Input_Raw[[#This Row],[33 kV_Wind_F2_Import (MWh)]]+Input_Raw[[#This Row],[33 kV_Wind_F3_Import (MWh)2]]+Input_Raw[[#This Row],[33 kV_Wind_F4_Import (MWh)2]]</f>
        <v>0</v>
      </c>
      <c r="DL81" s="265">
        <f>IFERROR(Input_Raw[[#This Row],[33 kV_Wind_Total_Export (MWh)]]/Input_Raw[[#This Row],[WTG Total Gneration (MWh)]]-1,"")</f>
        <v>0</v>
      </c>
      <c r="DM81" s="266"/>
      <c r="DN81" s="186">
        <v>92</v>
      </c>
      <c r="DO81" s="186">
        <v>976.75</v>
      </c>
      <c r="DP81" s="102">
        <v>15.97</v>
      </c>
      <c r="DQ81" s="266"/>
      <c r="DR81" s="181">
        <v>70.400000000000006</v>
      </c>
    </row>
    <row r="82" spans="1:122">
      <c r="A82" s="92">
        <f t="shared" si="74"/>
        <v>45822</v>
      </c>
      <c r="B82" s="190">
        <f>YEAR(Input_Raw[[#This Row],[Date]])+IF(MONTH(Input_Raw[[#This Row],[Date]])&gt;=4,1,0)</f>
        <v>2026</v>
      </c>
      <c r="C82" s="190">
        <f>YEAR(Input_Raw[[#This Row],[Date]])</f>
        <v>2025</v>
      </c>
      <c r="D82" s="11">
        <f t="shared" ref="D82" si="133">A82-DAY(A82)+1</f>
        <v>45809</v>
      </c>
      <c r="E82" s="190">
        <f>DAY(EOMONTH(Input_Raw[[#This Row],[Date]],0))</f>
        <v>30</v>
      </c>
      <c r="F82" s="199">
        <v>2480</v>
      </c>
      <c r="G82" s="199">
        <v>2804</v>
      </c>
      <c r="H82" s="199">
        <v>2964</v>
      </c>
      <c r="I82" s="199">
        <v>1612</v>
      </c>
      <c r="J82" s="199">
        <v>1908</v>
      </c>
      <c r="K82" s="199">
        <v>2548</v>
      </c>
      <c r="L82" s="199">
        <v>2274</v>
      </c>
      <c r="M82" s="199">
        <v>1456</v>
      </c>
      <c r="N82" s="199">
        <v>980</v>
      </c>
      <c r="O82" s="199">
        <v>850</v>
      </c>
      <c r="P82" s="199">
        <v>958</v>
      </c>
      <c r="Q82" s="199">
        <v>1032</v>
      </c>
      <c r="R82" s="199">
        <v>1044</v>
      </c>
      <c r="S82" s="199">
        <v>1062</v>
      </c>
      <c r="T82" s="199">
        <v>580</v>
      </c>
      <c r="U82" s="199">
        <v>1272</v>
      </c>
      <c r="V82" s="199">
        <v>1540</v>
      </c>
      <c r="W82" s="199">
        <v>2172</v>
      </c>
      <c r="X82" s="199">
        <v>1608</v>
      </c>
      <c r="Y82" s="199">
        <v>1373</v>
      </c>
      <c r="Z82" s="199">
        <v>1576</v>
      </c>
      <c r="AA82" s="199">
        <v>1224</v>
      </c>
      <c r="AB82" s="199">
        <v>1336</v>
      </c>
      <c r="AC82" s="199">
        <v>1232</v>
      </c>
      <c r="AD82" s="199">
        <v>1388</v>
      </c>
      <c r="AE82" s="199">
        <v>1280</v>
      </c>
      <c r="AF82" s="199">
        <v>2834</v>
      </c>
      <c r="AG82" s="199">
        <v>550</v>
      </c>
      <c r="AH82" s="199">
        <v>1592</v>
      </c>
      <c r="AI82" s="199">
        <v>754</v>
      </c>
      <c r="AJ82" s="199">
        <v>1524</v>
      </c>
      <c r="AK82" s="199">
        <v>2218</v>
      </c>
      <c r="AL82" s="199">
        <v>1872</v>
      </c>
      <c r="AM82" s="199">
        <v>2548</v>
      </c>
      <c r="AN82" s="199">
        <v>960</v>
      </c>
      <c r="AO82" s="199">
        <v>2848</v>
      </c>
      <c r="AP82" s="199">
        <v>2176</v>
      </c>
      <c r="AQ82" s="199">
        <v>2044</v>
      </c>
      <c r="AR82" s="199">
        <v>2408</v>
      </c>
      <c r="AS82" s="199">
        <v>602</v>
      </c>
      <c r="AT82" s="199">
        <v>778</v>
      </c>
      <c r="AU82" s="199">
        <v>818</v>
      </c>
      <c r="AV82" s="199">
        <v>2624</v>
      </c>
      <c r="AW82" s="199">
        <v>1592</v>
      </c>
      <c r="AX82" s="96">
        <v>3.19</v>
      </c>
      <c r="AY82" s="96">
        <v>3.74</v>
      </c>
      <c r="AZ82" s="96">
        <v>3.49</v>
      </c>
      <c r="BA82" s="96">
        <v>3.12</v>
      </c>
      <c r="BB82" s="96">
        <v>2.81</v>
      </c>
      <c r="BC82" s="96">
        <v>3.52</v>
      </c>
      <c r="BD82" s="96">
        <v>3.41</v>
      </c>
      <c r="BE82" s="96">
        <v>3.14</v>
      </c>
      <c r="BF82" s="96">
        <v>3.03</v>
      </c>
      <c r="BG82" s="96">
        <v>3.18</v>
      </c>
      <c r="BH82" s="96">
        <v>2.99</v>
      </c>
      <c r="BI82" s="96">
        <v>3.22</v>
      </c>
      <c r="BJ82" s="96">
        <v>3</v>
      </c>
      <c r="BK82" s="96">
        <v>2.9</v>
      </c>
      <c r="BL82" s="96">
        <v>3.01</v>
      </c>
      <c r="BM82" s="96">
        <v>3.08</v>
      </c>
      <c r="BN82" s="96">
        <v>3.34</v>
      </c>
      <c r="BO82" s="96">
        <v>3.25</v>
      </c>
      <c r="BP82" s="96">
        <v>2.99</v>
      </c>
      <c r="BQ82" s="96">
        <v>2.9</v>
      </c>
      <c r="BR82" s="96">
        <v>3.23</v>
      </c>
      <c r="BS82" s="96">
        <v>2.97</v>
      </c>
      <c r="BT82" s="96">
        <v>2.85</v>
      </c>
      <c r="BU82" s="96">
        <v>3.53</v>
      </c>
      <c r="BV82" s="96">
        <v>3.14</v>
      </c>
      <c r="BW82" s="96">
        <v>3.1</v>
      </c>
      <c r="BX82" s="96">
        <v>3.06</v>
      </c>
      <c r="BY82" s="96">
        <v>2.42</v>
      </c>
      <c r="BZ82" s="96">
        <v>3.13</v>
      </c>
      <c r="CA82" s="96">
        <v>2.64</v>
      </c>
      <c r="CB82" s="96">
        <v>2.72</v>
      </c>
      <c r="CC82" s="96">
        <v>3.3</v>
      </c>
      <c r="CD82" s="96">
        <v>3.42</v>
      </c>
      <c r="CE82" s="96">
        <v>3.17</v>
      </c>
      <c r="CF82" s="96">
        <v>2.68</v>
      </c>
      <c r="CG82" s="96">
        <v>3.77</v>
      </c>
      <c r="CH82" s="96">
        <v>3.58</v>
      </c>
      <c r="CI82" s="96">
        <v>3.09</v>
      </c>
      <c r="CJ82" s="96">
        <v>3.52</v>
      </c>
      <c r="CK82" s="96">
        <v>2.2999999999999998</v>
      </c>
      <c r="CL82" s="96">
        <v>2.52</v>
      </c>
      <c r="CM82" s="96">
        <v>2.73</v>
      </c>
      <c r="CN82" s="96">
        <v>3.45</v>
      </c>
      <c r="CO82" s="96">
        <v>3.24</v>
      </c>
      <c r="CP82" s="259">
        <f>SUM(Input_Raw[[#This Row],[P-01]:[P-56]])/1000</f>
        <v>71.295000000000002</v>
      </c>
      <c r="CQ82" s="260">
        <f>IFERROR(AVERAGEIF(Input_Raw[[#This Row],[WS_P-01]:[WS_P-56]],"&lt;&gt;",Input_Raw[[#This Row],[WS_P-01]:[WS_P-56]]),"")</f>
        <v>3.1106818181818174</v>
      </c>
      <c r="CR82" s="261">
        <f>MAX(Input_Raw[[#This Row],[WS_P-01]:[WS_P-56]])</f>
        <v>3.77</v>
      </c>
      <c r="CS82" s="261"/>
      <c r="CT82" s="262">
        <f>SUM(Input_Raw[[#This Row],[P-08]:[P-13]],Input_Raw[[#This Row],[P-25]:[P-28]])</f>
        <v>11556</v>
      </c>
      <c r="CU82" s="262"/>
      <c r="CV82" s="262">
        <f>SUM(Input_Raw[[#This Row],[P-04]],Input_Raw[[#This Row],[P-14]:[P-17]],Input_Raw[[#This Row],[P-19]:[P-20]],Input_Raw[[#This Row],[P-22]:[P-23]],Input_Raw[[#This Row],[P-34]],Input_Raw[[#This Row],[P-38]],Input_Raw[[#This Row],[P-43]])</f>
        <v>15923</v>
      </c>
      <c r="CW82" s="262"/>
      <c r="CX82" s="262">
        <f>SUM(Input_Raw[[#This Row],[P-05]:[P-06]],Input_Raw[[#This Row],[P-40]:[P-42]],Input_Raw[[#This Row],[P-45]],Input_Raw[[#This Row],[P-46]],Input_Raw[[#This Row],[P-47]:[P-48]])</f>
        <v>20570</v>
      </c>
      <c r="CY82" s="262"/>
      <c r="CZ82" s="262">
        <f>SUM(Input_Raw[[#This Row],[P-01]:[P-03]],Input_Raw[[#This Row],[P-07]],Input_Raw[[#This Row],[P-18]],Input_Raw[[#This Row],[P-31]:[P-32]],Input_Raw[[#This Row],[P-37]],Input_Raw[[#This Row],[P-50]:[P-56]])</f>
        <v>23246</v>
      </c>
      <c r="DA82" s="263"/>
      <c r="DB82" s="264">
        <f>Input_Raw[[#This Row],[33 kV_Wind_F1_Export reading]]/1000</f>
        <v>11.555999999999999</v>
      </c>
      <c r="DC82" s="264"/>
      <c r="DD82" s="264">
        <f>Input_Raw[[#This Row],[33 kV_Wind_F2_Export_reading]]/1000</f>
        <v>15.923</v>
      </c>
      <c r="DE82" s="264"/>
      <c r="DF82" s="264">
        <f>Input_Raw[[#This Row],[33 kV_Wind_F3_Export_Reading]]/1000</f>
        <v>20.57</v>
      </c>
      <c r="DG82" s="264"/>
      <c r="DH82" s="264">
        <f>Input_Raw[[#This Row],[33 kV_Wind_F4_Export Reading]]/1000</f>
        <v>23.245999999999999</v>
      </c>
      <c r="DI82" s="264"/>
      <c r="DJ82" s="264">
        <f>Input_Raw[[#This Row],[33 kV_F1_Total_Export (MWh)]]+Input_Raw[[#This Row],[33 kV_F2_Total_Export (MWh)2]]+Input_Raw[[#This Row],[33 kV_Wind_F3_Export (MWh)]]+Input_Raw[[#This Row],[33 kV_Wind_F4_Export (MWh)]]</f>
        <v>71.295000000000002</v>
      </c>
      <c r="DK82" s="264">
        <f>Input_Raw[[#This Row],[33 kV_Wind_F1_Import (MWh)]]+Input_Raw[[#This Row],[33 kV_Wind_F2_Import (MWh)]]+Input_Raw[[#This Row],[33 kV_Wind_F3_Import (MWh)2]]+Input_Raw[[#This Row],[33 kV_Wind_F4_Import (MWh)2]]</f>
        <v>0</v>
      </c>
      <c r="DL82" s="265">
        <f>IFERROR(Input_Raw[[#This Row],[33 kV_Wind_Total_Export (MWh)]]/Input_Raw[[#This Row],[WTG Total Gneration (MWh)]]-1,"")</f>
        <v>0</v>
      </c>
      <c r="DM82" s="266"/>
      <c r="DN82" s="186">
        <v>92</v>
      </c>
      <c r="DO82" s="186">
        <v>3.25</v>
      </c>
      <c r="DP82" s="102">
        <v>65.28</v>
      </c>
      <c r="DQ82" s="266"/>
      <c r="DR82" s="181">
        <v>70.400000000000006</v>
      </c>
    </row>
    <row r="83" spans="1:122">
      <c r="A83" s="92">
        <f t="shared" si="74"/>
        <v>45823</v>
      </c>
      <c r="B83" s="190">
        <f>YEAR(Input_Raw[[#This Row],[Date]])+IF(MONTH(Input_Raw[[#This Row],[Date]])&gt;=4,1,0)</f>
        <v>2026</v>
      </c>
      <c r="C83" s="190">
        <f>YEAR(Input_Raw[[#This Row],[Date]])</f>
        <v>2025</v>
      </c>
      <c r="D83" s="11">
        <f t="shared" ref="D83" si="134">A83-DAY(A83)+1</f>
        <v>45809</v>
      </c>
      <c r="E83" s="190">
        <f>DAY(EOMONTH(Input_Raw[[#This Row],[Date]],0))</f>
        <v>30</v>
      </c>
      <c r="F83" s="199">
        <v>13724</v>
      </c>
      <c r="G83" s="199">
        <v>12936</v>
      </c>
      <c r="H83" s="199">
        <v>10560</v>
      </c>
      <c r="I83" s="199">
        <v>12372</v>
      </c>
      <c r="J83" s="199">
        <v>9236</v>
      </c>
      <c r="K83" s="199">
        <v>12700</v>
      </c>
      <c r="L83" s="199">
        <v>12626</v>
      </c>
      <c r="M83" s="199">
        <v>9906</v>
      </c>
      <c r="N83" s="199">
        <v>7748</v>
      </c>
      <c r="O83" s="199">
        <v>6614</v>
      </c>
      <c r="P83" s="199">
        <v>8029.9999999999991</v>
      </c>
      <c r="Q83" s="199">
        <v>9108</v>
      </c>
      <c r="R83" s="199">
        <v>6184</v>
      </c>
      <c r="S83" s="199">
        <v>9206</v>
      </c>
      <c r="T83" s="199">
        <v>7992</v>
      </c>
      <c r="U83" s="199">
        <v>8828</v>
      </c>
      <c r="V83" s="199">
        <v>9030</v>
      </c>
      <c r="W83" s="199">
        <v>9548</v>
      </c>
      <c r="X83" s="199">
        <v>11152</v>
      </c>
      <c r="Y83" s="199">
        <v>7733</v>
      </c>
      <c r="Z83" s="199">
        <v>12856</v>
      </c>
      <c r="AA83" s="199">
        <v>10272</v>
      </c>
      <c r="AB83" s="199">
        <v>10944</v>
      </c>
      <c r="AC83" s="199">
        <v>8680</v>
      </c>
      <c r="AD83" s="199">
        <v>9672</v>
      </c>
      <c r="AE83" s="199">
        <v>9968</v>
      </c>
      <c r="AF83" s="199">
        <v>8052</v>
      </c>
      <c r="AG83" s="199">
        <v>7542</v>
      </c>
      <c r="AH83" s="199">
        <v>12668</v>
      </c>
      <c r="AI83" s="199">
        <v>9060</v>
      </c>
      <c r="AJ83" s="199">
        <v>8400</v>
      </c>
      <c r="AK83" s="199">
        <v>9266</v>
      </c>
      <c r="AL83" s="199">
        <v>9540</v>
      </c>
      <c r="AM83" s="199">
        <v>9700</v>
      </c>
      <c r="AN83" s="199">
        <v>9756</v>
      </c>
      <c r="AO83" s="199">
        <v>17016</v>
      </c>
      <c r="AP83" s="199">
        <v>13768</v>
      </c>
      <c r="AQ83" s="199">
        <v>10384</v>
      </c>
      <c r="AR83" s="199">
        <v>10204</v>
      </c>
      <c r="AS83" s="199">
        <v>8312</v>
      </c>
      <c r="AT83" s="199">
        <v>9426</v>
      </c>
      <c r="AU83" s="199">
        <v>8980</v>
      </c>
      <c r="AV83" s="199">
        <v>16656</v>
      </c>
      <c r="AW83" s="199">
        <v>11460</v>
      </c>
      <c r="AX83" s="96">
        <v>6.89</v>
      </c>
      <c r="AY83" s="96">
        <v>6.7</v>
      </c>
      <c r="AZ83" s="96">
        <v>6.47</v>
      </c>
      <c r="BA83" s="96">
        <v>7.02</v>
      </c>
      <c r="BB83" s="96">
        <v>5.63</v>
      </c>
      <c r="BC83" s="96">
        <v>6.87</v>
      </c>
      <c r="BD83" s="96">
        <v>6.86</v>
      </c>
      <c r="BE83" s="96">
        <v>6.41</v>
      </c>
      <c r="BF83" s="96">
        <v>5.84</v>
      </c>
      <c r="BG83" s="96">
        <v>5.74</v>
      </c>
      <c r="BH83" s="96">
        <v>5.75</v>
      </c>
      <c r="BI83" s="96">
        <v>5.96</v>
      </c>
      <c r="BJ83" s="96">
        <v>5.84</v>
      </c>
      <c r="BK83" s="96">
        <v>6.06</v>
      </c>
      <c r="BL83" s="96">
        <v>6.07</v>
      </c>
      <c r="BM83" s="96">
        <v>6.07</v>
      </c>
      <c r="BN83" s="96">
        <v>5.84</v>
      </c>
      <c r="BO83" s="96">
        <v>6</v>
      </c>
      <c r="BP83" s="96">
        <v>6.45</v>
      </c>
      <c r="BQ83" s="96">
        <v>5.55</v>
      </c>
      <c r="BR83" s="96">
        <v>6.97</v>
      </c>
      <c r="BS83" s="96">
        <v>6.2</v>
      </c>
      <c r="BT83" s="96">
        <v>6.15</v>
      </c>
      <c r="BU83" s="96">
        <v>5.89</v>
      </c>
      <c r="BV83" s="96">
        <v>6.18</v>
      </c>
      <c r="BW83" s="96">
        <v>6.23</v>
      </c>
      <c r="BX83" s="96">
        <v>5.56</v>
      </c>
      <c r="BY83" s="96">
        <v>5.64</v>
      </c>
      <c r="BZ83" s="96">
        <v>6.97</v>
      </c>
      <c r="CA83" s="96">
        <v>5.78</v>
      </c>
      <c r="CB83" s="96">
        <v>5.71</v>
      </c>
      <c r="CC83" s="96">
        <v>6.25</v>
      </c>
      <c r="CD83" s="96">
        <v>6.1</v>
      </c>
      <c r="CE83" s="96">
        <v>5.88</v>
      </c>
      <c r="CF83" s="96">
        <v>6.09</v>
      </c>
      <c r="CG83" s="96">
        <v>8.49</v>
      </c>
      <c r="CH83" s="96">
        <v>7.17</v>
      </c>
      <c r="CI83" s="96">
        <v>6.14</v>
      </c>
      <c r="CJ83" s="96">
        <v>6.08</v>
      </c>
      <c r="CK83" s="96">
        <v>5.83</v>
      </c>
      <c r="CL83" s="96">
        <v>6.23</v>
      </c>
      <c r="CM83" s="96">
        <v>5.85</v>
      </c>
      <c r="CN83" s="96">
        <v>7.92</v>
      </c>
      <c r="CO83" s="96">
        <v>6.34</v>
      </c>
      <c r="CP83" s="259">
        <f>SUM(Input_Raw[[#This Row],[P-01]:[P-56]])/1000</f>
        <v>447.815</v>
      </c>
      <c r="CQ83" s="260">
        <f>IFERROR(AVERAGEIF(Input_Raw[[#This Row],[WS_P-01]:[WS_P-56]],"&lt;&gt;",Input_Raw[[#This Row],[WS_P-01]:[WS_P-56]]),"")</f>
        <v>6.2652272727272722</v>
      </c>
      <c r="CR83" s="261">
        <f>MAX(Input_Raw[[#This Row],[WS_P-01]:[WS_P-56]])</f>
        <v>8.49</v>
      </c>
      <c r="CS83" s="261"/>
      <c r="CT83" s="262">
        <f>SUM(Input_Raw[[#This Row],[P-08]:[P-13]],Input_Raw[[#This Row],[P-25]:[P-28]])</f>
        <v>86854</v>
      </c>
      <c r="CU83" s="262"/>
      <c r="CV83" s="262">
        <f>SUM(Input_Raw[[#This Row],[P-04]],Input_Raw[[#This Row],[P-14]:[P-17]],Input_Raw[[#This Row],[P-19]:[P-20]],Input_Raw[[#This Row],[P-22]:[P-23]],Input_Raw[[#This Row],[P-34]],Input_Raw[[#This Row],[P-38]],Input_Raw[[#This Row],[P-43]])</f>
        <v>120265</v>
      </c>
      <c r="CW83" s="262"/>
      <c r="CX83" s="262">
        <f>SUM(Input_Raw[[#This Row],[P-05]:[P-06]],Input_Raw[[#This Row],[P-40]:[P-42]],Input_Raw[[#This Row],[P-45]],Input_Raw[[#This Row],[P-46]],Input_Raw[[#This Row],[P-47]:[P-48]])</f>
        <v>101814</v>
      </c>
      <c r="CY83" s="262"/>
      <c r="CZ83" s="262">
        <f>SUM(Input_Raw[[#This Row],[P-01]:[P-03]],Input_Raw[[#This Row],[P-07]],Input_Raw[[#This Row],[P-18]],Input_Raw[[#This Row],[P-31]:[P-32]],Input_Raw[[#This Row],[P-37]],Input_Raw[[#This Row],[P-50]:[P-56]])</f>
        <v>138882</v>
      </c>
      <c r="DA83" s="263"/>
      <c r="DB83" s="264">
        <f>Input_Raw[[#This Row],[33 kV_Wind_F1_Export reading]]/1000</f>
        <v>86.853999999999999</v>
      </c>
      <c r="DC83" s="264"/>
      <c r="DD83" s="264">
        <f>Input_Raw[[#This Row],[33 kV_Wind_F2_Export_reading]]/1000</f>
        <v>120.265</v>
      </c>
      <c r="DE83" s="264"/>
      <c r="DF83" s="264">
        <f>Input_Raw[[#This Row],[33 kV_Wind_F3_Export_Reading]]/1000</f>
        <v>101.81399999999999</v>
      </c>
      <c r="DG83" s="264"/>
      <c r="DH83" s="264">
        <f>Input_Raw[[#This Row],[33 kV_Wind_F4_Export Reading]]/1000</f>
        <v>138.88200000000001</v>
      </c>
      <c r="DI83" s="264"/>
      <c r="DJ83" s="264">
        <f>Input_Raw[[#This Row],[33 kV_F1_Total_Export (MWh)]]+Input_Raw[[#This Row],[33 kV_F2_Total_Export (MWh)2]]+Input_Raw[[#This Row],[33 kV_Wind_F3_Export (MWh)]]+Input_Raw[[#This Row],[33 kV_Wind_F4_Export (MWh)]]</f>
        <v>447.815</v>
      </c>
      <c r="DK83" s="264">
        <f>Input_Raw[[#This Row],[33 kV_Wind_F1_Import (MWh)]]+Input_Raw[[#This Row],[33 kV_Wind_F2_Import (MWh)]]+Input_Raw[[#This Row],[33 kV_Wind_F3_Import (MWh)2]]+Input_Raw[[#This Row],[33 kV_Wind_F4_Import (MWh)2]]</f>
        <v>0</v>
      </c>
      <c r="DL83" s="265">
        <f>IFERROR(Input_Raw[[#This Row],[33 kV_Wind_Total_Export (MWh)]]/Input_Raw[[#This Row],[WTG Total Gneration (MWh)]]-1,"")</f>
        <v>0</v>
      </c>
      <c r="DM83" s="266"/>
      <c r="DN83" s="186">
        <v>91</v>
      </c>
      <c r="DO83" s="186">
        <v>56256.63</v>
      </c>
      <c r="DP83" s="102">
        <v>413.48</v>
      </c>
      <c r="DQ83" s="266"/>
      <c r="DR83" s="181">
        <v>70.400000000000006</v>
      </c>
    </row>
    <row r="84" spans="1:122">
      <c r="A84" s="92">
        <f t="shared" si="74"/>
        <v>45824</v>
      </c>
      <c r="B84" s="190">
        <f>YEAR(Input_Raw[[#This Row],[Date]])+IF(MONTH(Input_Raw[[#This Row],[Date]])&gt;=4,1,0)</f>
        <v>2026</v>
      </c>
      <c r="C84" s="190">
        <f>YEAR(Input_Raw[[#This Row],[Date]])</f>
        <v>2025</v>
      </c>
      <c r="D84" s="11">
        <f t="shared" ref="D84" si="135">A84-DAY(A84)+1</f>
        <v>45809</v>
      </c>
      <c r="E84" s="190">
        <f>DAY(EOMONTH(Input_Raw[[#This Row],[Date]],0))</f>
        <v>30</v>
      </c>
      <c r="F84" s="199">
        <v>36552</v>
      </c>
      <c r="G84" s="199">
        <v>34760</v>
      </c>
      <c r="H84" s="199">
        <v>32576</v>
      </c>
      <c r="I84" s="199">
        <v>34444</v>
      </c>
      <c r="J84" s="199">
        <v>35688</v>
      </c>
      <c r="K84" s="199">
        <v>35648</v>
      </c>
      <c r="L84" s="199">
        <v>35116</v>
      </c>
      <c r="M84" s="199">
        <v>30966</v>
      </c>
      <c r="N84" s="199">
        <v>26508</v>
      </c>
      <c r="O84" s="199">
        <v>28724</v>
      </c>
      <c r="P84" s="199">
        <v>31880</v>
      </c>
      <c r="Q84" s="199">
        <v>34828</v>
      </c>
      <c r="R84" s="199">
        <v>12584</v>
      </c>
      <c r="S84" s="199">
        <v>33536</v>
      </c>
      <c r="T84" s="199">
        <v>31354</v>
      </c>
      <c r="U84" s="199">
        <v>32549.999999999996</v>
      </c>
      <c r="V84" s="199">
        <v>32706.000000000004</v>
      </c>
      <c r="W84" s="199">
        <v>33384</v>
      </c>
      <c r="X84" s="199">
        <v>33224</v>
      </c>
      <c r="Y84" s="199">
        <v>29763</v>
      </c>
      <c r="Z84" s="199">
        <v>33960</v>
      </c>
      <c r="AA84" s="199">
        <v>32112.000000000004</v>
      </c>
      <c r="AB84" s="199">
        <v>32012</v>
      </c>
      <c r="AC84" s="199">
        <v>33396</v>
      </c>
      <c r="AD84" s="199">
        <v>33696</v>
      </c>
      <c r="AE84" s="199">
        <v>32716</v>
      </c>
      <c r="AF84" s="199">
        <v>28958</v>
      </c>
      <c r="AG84" s="199">
        <v>31428</v>
      </c>
      <c r="AH84" s="199">
        <v>26180</v>
      </c>
      <c r="AI84" s="199">
        <v>33976</v>
      </c>
      <c r="AJ84" s="199">
        <v>31472</v>
      </c>
      <c r="AK84" s="199">
        <v>31448</v>
      </c>
      <c r="AL84" s="199">
        <v>35336</v>
      </c>
      <c r="AM84" s="199">
        <v>35308</v>
      </c>
      <c r="AN84" s="199">
        <v>30300</v>
      </c>
      <c r="AO84" s="199">
        <v>37048</v>
      </c>
      <c r="AP84" s="199">
        <v>36928</v>
      </c>
      <c r="AQ84" s="199">
        <v>35064</v>
      </c>
      <c r="AR84" s="199">
        <v>36564</v>
      </c>
      <c r="AS84" s="199">
        <v>31868</v>
      </c>
      <c r="AT84" s="199">
        <v>34686</v>
      </c>
      <c r="AU84" s="199">
        <v>35748</v>
      </c>
      <c r="AV84" s="199">
        <v>37100</v>
      </c>
      <c r="AW84" s="199">
        <v>36384</v>
      </c>
      <c r="AX84" s="96">
        <v>12.74</v>
      </c>
      <c r="AY84" s="96">
        <v>12.86</v>
      </c>
      <c r="AZ84" s="96">
        <v>11.44</v>
      </c>
      <c r="BA84" s="96">
        <v>12.51</v>
      </c>
      <c r="BB84" s="96">
        <v>12.25</v>
      </c>
      <c r="BC84" s="96">
        <v>12.79</v>
      </c>
      <c r="BD84" s="96">
        <v>12.67</v>
      </c>
      <c r="BE84" s="96">
        <v>11.37</v>
      </c>
      <c r="BF84" s="96">
        <v>10.039999999999999</v>
      </c>
      <c r="BG84" s="96">
        <v>10.72</v>
      </c>
      <c r="BH84" s="96">
        <v>12.37</v>
      </c>
      <c r="BI84" s="96">
        <v>13.31</v>
      </c>
      <c r="BJ84" s="96">
        <v>9.5299999999999994</v>
      </c>
      <c r="BK84" s="96">
        <v>11.81</v>
      </c>
      <c r="BL84" s="96">
        <v>11.76</v>
      </c>
      <c r="BM84" s="96">
        <v>11.3</v>
      </c>
      <c r="BN84" s="96">
        <v>11.82</v>
      </c>
      <c r="BO84" s="96">
        <v>11.6</v>
      </c>
      <c r="BP84" s="96">
        <v>11.63</v>
      </c>
      <c r="BQ84" s="96">
        <v>10.31</v>
      </c>
      <c r="BR84" s="96">
        <v>11.75</v>
      </c>
      <c r="BS84" s="96">
        <v>11.25</v>
      </c>
      <c r="BT84" s="96">
        <v>10.76</v>
      </c>
      <c r="BU84" s="96">
        <v>12.33</v>
      </c>
      <c r="BV84" s="96">
        <v>12.31</v>
      </c>
      <c r="BW84" s="96">
        <v>11.35</v>
      </c>
      <c r="BX84" s="96">
        <v>10.18</v>
      </c>
      <c r="BY84" s="96">
        <v>10.83</v>
      </c>
      <c r="BZ84" s="96">
        <v>11.96</v>
      </c>
      <c r="CA84" s="96">
        <v>11.53</v>
      </c>
      <c r="CB84" s="96">
        <v>11.39</v>
      </c>
      <c r="CC84" s="96">
        <v>11.16</v>
      </c>
      <c r="CD84" s="96">
        <v>13.93</v>
      </c>
      <c r="CE84" s="96">
        <v>12.66</v>
      </c>
      <c r="CF84" s="96">
        <v>10.68</v>
      </c>
      <c r="CG84" s="96">
        <v>14.99</v>
      </c>
      <c r="CH84" s="96">
        <v>13.63</v>
      </c>
      <c r="CI84" s="96">
        <v>12.24</v>
      </c>
      <c r="CJ84" s="96">
        <v>13.08</v>
      </c>
      <c r="CK84" s="96">
        <v>11.2</v>
      </c>
      <c r="CL84" s="96">
        <v>12.31</v>
      </c>
      <c r="CM84" s="96">
        <v>12.53</v>
      </c>
      <c r="CN84" s="96">
        <v>14.66</v>
      </c>
      <c r="CO84" s="96">
        <v>13.21</v>
      </c>
      <c r="CP84" s="259">
        <f>SUM(Input_Raw[[#This Row],[P-01]:[P-56]])/1000</f>
        <v>1440.479</v>
      </c>
      <c r="CQ84" s="260">
        <f>IFERROR(AVERAGEIF(Input_Raw[[#This Row],[WS_P-01]:[WS_P-56]],"&lt;&gt;",Input_Raw[[#This Row],[WS_P-01]:[WS_P-56]]),"")</f>
        <v>11.971590909090908</v>
      </c>
      <c r="CR84" s="261">
        <f>MAX(Input_Raw[[#This Row],[WS_P-01]:[WS_P-56]])</f>
        <v>14.99</v>
      </c>
      <c r="CS84" s="261"/>
      <c r="CT84" s="262">
        <f>SUM(Input_Raw[[#This Row],[P-08]:[P-13]],Input_Raw[[#This Row],[P-25]:[P-28]])</f>
        <v>297310</v>
      </c>
      <c r="CU84" s="262"/>
      <c r="CV84" s="262">
        <f>SUM(Input_Raw[[#This Row],[P-04]],Input_Raw[[#This Row],[P-14]:[P-17]],Input_Raw[[#This Row],[P-19]:[P-20]],Input_Raw[[#This Row],[P-22]:[P-23]],Input_Raw[[#This Row],[P-34]],Input_Raw[[#This Row],[P-38]],Input_Raw[[#This Row],[P-43]])</f>
        <v>381601</v>
      </c>
      <c r="CW84" s="262"/>
      <c r="CX84" s="262">
        <f>SUM(Input_Raw[[#This Row],[P-05]:[P-06]],Input_Raw[[#This Row],[P-40]:[P-42]],Input_Raw[[#This Row],[P-45]],Input_Raw[[#This Row],[P-46]],Input_Raw[[#This Row],[P-47]:[P-48]])</f>
        <v>319032</v>
      </c>
      <c r="CY84" s="262"/>
      <c r="CZ84" s="262">
        <f>SUM(Input_Raw[[#This Row],[P-01]:[P-03]],Input_Raw[[#This Row],[P-07]],Input_Raw[[#This Row],[P-18]],Input_Raw[[#This Row],[P-31]:[P-32]],Input_Raw[[#This Row],[P-37]],Input_Raw[[#This Row],[P-50]:[P-56]])</f>
        <v>442536</v>
      </c>
      <c r="DA84" s="263"/>
      <c r="DB84" s="264">
        <f>Input_Raw[[#This Row],[33 kV_Wind_F1_Export reading]]/1000</f>
        <v>297.31</v>
      </c>
      <c r="DC84" s="264"/>
      <c r="DD84" s="264">
        <f>Input_Raw[[#This Row],[33 kV_Wind_F2_Export_reading]]/1000</f>
        <v>381.601</v>
      </c>
      <c r="DE84" s="264"/>
      <c r="DF84" s="264">
        <f>Input_Raw[[#This Row],[33 kV_Wind_F3_Export_Reading]]/1000</f>
        <v>319.03199999999998</v>
      </c>
      <c r="DG84" s="264"/>
      <c r="DH84" s="264">
        <f>Input_Raw[[#This Row],[33 kV_Wind_F4_Export Reading]]/1000</f>
        <v>442.536</v>
      </c>
      <c r="DI84" s="264"/>
      <c r="DJ84" s="264">
        <f>Input_Raw[[#This Row],[33 kV_F1_Total_Export (MWh)]]+Input_Raw[[#This Row],[33 kV_F2_Total_Export (MWh)2]]+Input_Raw[[#This Row],[33 kV_Wind_F3_Export (MWh)]]+Input_Raw[[#This Row],[33 kV_Wind_F4_Export (MWh)]]</f>
        <v>1440.479</v>
      </c>
      <c r="DK84" s="264">
        <f>Input_Raw[[#This Row],[33 kV_Wind_F1_Import (MWh)]]+Input_Raw[[#This Row],[33 kV_Wind_F2_Import (MWh)]]+Input_Raw[[#This Row],[33 kV_Wind_F3_Import (MWh)2]]+Input_Raw[[#This Row],[33 kV_Wind_F4_Import (MWh)2]]</f>
        <v>0</v>
      </c>
      <c r="DL84" s="265">
        <f>IFERROR(Input_Raw[[#This Row],[33 kV_Wind_Total_Export (MWh)]]/Input_Raw[[#This Row],[WTG Total Gneration (MWh)]]-1,"")</f>
        <v>0</v>
      </c>
      <c r="DM84" s="266"/>
      <c r="DN84" s="186">
        <v>85</v>
      </c>
      <c r="DO84" s="186">
        <v>50539.5</v>
      </c>
      <c r="DP84" s="102">
        <v>1482.58</v>
      </c>
      <c r="DQ84" s="266"/>
      <c r="DR84" s="181">
        <v>70.400000000000006</v>
      </c>
    </row>
    <row r="85" spans="1:122">
      <c r="A85" s="92">
        <f t="shared" si="74"/>
        <v>45825</v>
      </c>
      <c r="B85" s="190">
        <f>YEAR(Input_Raw[[#This Row],[Date]])+IF(MONTH(Input_Raw[[#This Row],[Date]])&gt;=4,1,0)</f>
        <v>2026</v>
      </c>
      <c r="C85" s="190">
        <f>YEAR(Input_Raw[[#This Row],[Date]])</f>
        <v>2025</v>
      </c>
      <c r="D85" s="11">
        <f t="shared" ref="D85" si="136">A85-DAY(A85)+1</f>
        <v>45809</v>
      </c>
      <c r="E85" s="190">
        <f>DAY(EOMONTH(Input_Raw[[#This Row],[Date]],0))</f>
        <v>30</v>
      </c>
      <c r="F85" s="199">
        <v>33308</v>
      </c>
      <c r="G85" s="199">
        <v>32247.999999999996</v>
      </c>
      <c r="H85" s="199">
        <v>27628</v>
      </c>
      <c r="I85" s="199">
        <v>28426</v>
      </c>
      <c r="J85" s="199">
        <v>35712</v>
      </c>
      <c r="K85" s="199">
        <v>37064</v>
      </c>
      <c r="L85" s="199">
        <v>31428</v>
      </c>
      <c r="M85" s="199">
        <v>32924</v>
      </c>
      <c r="N85" s="199">
        <v>29168</v>
      </c>
      <c r="O85" s="199">
        <v>28362</v>
      </c>
      <c r="P85" s="199">
        <v>31910</v>
      </c>
      <c r="Q85" s="199">
        <v>35396</v>
      </c>
      <c r="R85" s="199">
        <v>36792</v>
      </c>
      <c r="S85" s="199">
        <v>35570</v>
      </c>
      <c r="T85" s="199">
        <v>32546</v>
      </c>
      <c r="U85" s="199">
        <v>33520</v>
      </c>
      <c r="V85" s="199">
        <v>32982</v>
      </c>
      <c r="W85" s="199">
        <v>29540</v>
      </c>
      <c r="X85" s="199">
        <v>35650</v>
      </c>
      <c r="Y85" s="199">
        <v>32116.999999999996</v>
      </c>
      <c r="Z85" s="199">
        <v>35632</v>
      </c>
      <c r="AA85" s="199">
        <v>34064</v>
      </c>
      <c r="AB85" s="199">
        <v>33652</v>
      </c>
      <c r="AC85" s="199">
        <v>34780</v>
      </c>
      <c r="AD85" s="199">
        <v>34800</v>
      </c>
      <c r="AE85" s="199">
        <v>32503.999999999996</v>
      </c>
      <c r="AF85" s="199">
        <v>21566</v>
      </c>
      <c r="AG85" s="199">
        <v>25480</v>
      </c>
      <c r="AH85" s="199">
        <v>29992</v>
      </c>
      <c r="AI85" s="199">
        <v>27662</v>
      </c>
      <c r="AJ85" s="199">
        <v>30784</v>
      </c>
      <c r="AK85" s="199">
        <v>32878</v>
      </c>
      <c r="AL85" s="199">
        <v>35552</v>
      </c>
      <c r="AM85" s="199">
        <v>34684</v>
      </c>
      <c r="AN85" s="199">
        <v>31866</v>
      </c>
      <c r="AO85" s="199">
        <v>37964</v>
      </c>
      <c r="AP85" s="199">
        <v>37628</v>
      </c>
      <c r="AQ85" s="199">
        <v>34616</v>
      </c>
      <c r="AR85" s="199">
        <v>36976</v>
      </c>
      <c r="AS85" s="199">
        <v>24700</v>
      </c>
      <c r="AT85" s="199">
        <v>26272</v>
      </c>
      <c r="AU85" s="199">
        <v>27976</v>
      </c>
      <c r="AV85" s="199">
        <v>28880</v>
      </c>
      <c r="AW85" s="199">
        <v>33860</v>
      </c>
      <c r="AX85" s="270">
        <v>12.27</v>
      </c>
      <c r="AY85" s="270">
        <v>12.47</v>
      </c>
      <c r="AZ85" s="270">
        <v>10.45</v>
      </c>
      <c r="BA85" s="270">
        <v>12.47</v>
      </c>
      <c r="BB85" s="270">
        <v>11.54</v>
      </c>
      <c r="BC85" s="270">
        <v>12.55</v>
      </c>
      <c r="BD85" s="270">
        <v>12.33</v>
      </c>
      <c r="BE85" s="270">
        <v>11.42</v>
      </c>
      <c r="BF85" s="270">
        <v>10.49</v>
      </c>
      <c r="BG85" s="270">
        <v>10.62</v>
      </c>
      <c r="BH85" s="270">
        <v>11.91</v>
      </c>
      <c r="BI85" s="270">
        <v>13.03</v>
      </c>
      <c r="BJ85" s="270">
        <v>12.67</v>
      </c>
      <c r="BK85" s="270">
        <v>12.16</v>
      </c>
      <c r="BL85" s="270">
        <v>11.74</v>
      </c>
      <c r="BM85" s="270">
        <v>11.26</v>
      </c>
      <c r="BN85" s="270">
        <v>11.45</v>
      </c>
      <c r="BO85" s="270">
        <v>10.84</v>
      </c>
      <c r="BP85" s="270">
        <v>11.89</v>
      </c>
      <c r="BQ85" s="270">
        <v>10.43</v>
      </c>
      <c r="BR85" s="270">
        <v>11.92</v>
      </c>
      <c r="BS85" s="270">
        <v>11.41</v>
      </c>
      <c r="BT85" s="270">
        <v>10.8</v>
      </c>
      <c r="BU85" s="270">
        <v>12.5</v>
      </c>
      <c r="BV85" s="270">
        <v>12.2</v>
      </c>
      <c r="BW85" s="270">
        <v>11.19</v>
      </c>
      <c r="BX85" s="270">
        <v>8.81</v>
      </c>
      <c r="BY85" s="270">
        <v>10.86</v>
      </c>
      <c r="BZ85" s="270">
        <v>11.87</v>
      </c>
      <c r="CA85" s="270">
        <v>11.55</v>
      </c>
      <c r="CB85" s="270">
        <v>10.62</v>
      </c>
      <c r="CC85" s="270">
        <v>11.14</v>
      </c>
      <c r="CD85" s="270">
        <v>13.04</v>
      </c>
      <c r="CE85" s="270">
        <v>11.66</v>
      </c>
      <c r="CF85" s="270">
        <v>10.66</v>
      </c>
      <c r="CG85" s="270">
        <v>14.63</v>
      </c>
      <c r="CH85" s="270">
        <v>13.27</v>
      </c>
      <c r="CI85" s="270">
        <v>11.32</v>
      </c>
      <c r="CJ85" s="270">
        <v>12.55</v>
      </c>
      <c r="CK85" s="270">
        <v>10.39</v>
      </c>
      <c r="CL85" s="270">
        <v>11.46</v>
      </c>
      <c r="CM85" s="270">
        <v>12.07</v>
      </c>
      <c r="CN85" s="270">
        <v>14.27</v>
      </c>
      <c r="CO85" s="270">
        <v>12.92</v>
      </c>
      <c r="CP85" s="98">
        <f>SUM(Input_Raw[[#This Row],[P-01]:[P-56]])/1000</f>
        <v>1417.059</v>
      </c>
      <c r="CQ85" s="71">
        <f>IFERROR(AVERAGEIF(Input_Raw[[#This Row],[WS_P-01]:[WS_P-56]],"&lt;&gt;",Input_Raw[[#This Row],[WS_P-01]:[WS_P-56]]),"")</f>
        <v>11.752272727272727</v>
      </c>
      <c r="CR85" s="99">
        <f>MAX(Input_Raw[[#This Row],[WS_P-01]:[WS_P-56]])</f>
        <v>14.63</v>
      </c>
      <c r="CS85" s="99"/>
      <c r="CT85" s="70">
        <f>SUM(Input_Raw[[#This Row],[P-08]:[P-13]],Input_Raw[[#This Row],[P-25]:[P-28]])</f>
        <v>330288</v>
      </c>
      <c r="CU85" s="70"/>
      <c r="CV85" s="70">
        <f>SUM(Input_Raw[[#This Row],[P-04]],Input_Raw[[#This Row],[P-14]:[P-17]],Input_Raw[[#This Row],[P-19]:[P-20]],Input_Raw[[#This Row],[P-22]:[P-23]],Input_Raw[[#This Row],[P-34]],Input_Raw[[#This Row],[P-38]],Input_Raw[[#This Row],[P-43]])</f>
        <v>393149</v>
      </c>
      <c r="CW85" s="70"/>
      <c r="CX85" s="70">
        <f>SUM(Input_Raw[[#This Row],[P-05]:[P-06]],Input_Raw[[#This Row],[P-40]:[P-42]],Input_Raw[[#This Row],[P-45]],Input_Raw[[#This Row],[P-46]],Input_Raw[[#This Row],[P-47]:[P-48]])</f>
        <v>323074</v>
      </c>
      <c r="CY85" s="70"/>
      <c r="CZ85" s="70">
        <f>SUM(Input_Raw[[#This Row],[P-01]:[P-03]],Input_Raw[[#This Row],[P-07]],Input_Raw[[#This Row],[P-18]],Input_Raw[[#This Row],[P-31]:[P-32]],Input_Raw[[#This Row],[P-37]],Input_Raw[[#This Row],[P-50]:[P-56]])</f>
        <v>370548</v>
      </c>
      <c r="DA85" s="12"/>
      <c r="DB85" s="13">
        <f>Input_Raw[[#This Row],[33 kV_Wind_F1_Export reading]]/1000</f>
        <v>330.28800000000001</v>
      </c>
      <c r="DC85" s="13"/>
      <c r="DD85" s="13">
        <f>Input_Raw[[#This Row],[33 kV_Wind_F2_Export_reading]]/1000</f>
        <v>393.149</v>
      </c>
      <c r="DE85" s="13"/>
      <c r="DF85" s="13">
        <f>Input_Raw[[#This Row],[33 kV_Wind_F3_Export_Reading]]/1000</f>
        <v>323.07400000000001</v>
      </c>
      <c r="DG85" s="13"/>
      <c r="DH85" s="13">
        <f>Input_Raw[[#This Row],[33 kV_Wind_F4_Export Reading]]/1000</f>
        <v>370.548</v>
      </c>
      <c r="DI85" s="13"/>
      <c r="DJ85" s="13">
        <f>Input_Raw[[#This Row],[33 kV_F1_Total_Export (MWh)]]+Input_Raw[[#This Row],[33 kV_F2_Total_Export (MWh)2]]+Input_Raw[[#This Row],[33 kV_Wind_F3_Export (MWh)]]+Input_Raw[[#This Row],[33 kV_Wind_F4_Export (MWh)]]</f>
        <v>1417.059</v>
      </c>
      <c r="DK85" s="13">
        <f>Input_Raw[[#This Row],[33 kV_Wind_F1_Import (MWh)]]+Input_Raw[[#This Row],[33 kV_Wind_F2_Import (MWh)]]+Input_Raw[[#This Row],[33 kV_Wind_F3_Import (MWh)2]]+Input_Raw[[#This Row],[33 kV_Wind_F4_Import (MWh)2]]</f>
        <v>0</v>
      </c>
      <c r="DL85" s="100">
        <f>IFERROR(Input_Raw[[#This Row],[33 kV_Wind_Total_Export (MWh)]]/Input_Raw[[#This Row],[WTG Total Gneration (MWh)]]-1,"")</f>
        <v>0</v>
      </c>
      <c r="DM85" s="66"/>
      <c r="DN85" s="186">
        <v>70</v>
      </c>
      <c r="DO85" s="186">
        <v>3827.75</v>
      </c>
      <c r="DP85" s="102">
        <v>1496.89</v>
      </c>
      <c r="DQ85" s="66"/>
      <c r="DR85" s="181">
        <v>70.400000000000006</v>
      </c>
    </row>
    <row r="86" spans="1:122">
      <c r="A86" s="92">
        <f t="shared" si="74"/>
        <v>45826</v>
      </c>
      <c r="B86" s="190">
        <f>YEAR(Input_Raw[[#This Row],[Date]])+IF(MONTH(Input_Raw[[#This Row],[Date]])&gt;=4,1,0)</f>
        <v>2026</v>
      </c>
      <c r="C86" s="190">
        <f>YEAR(Input_Raw[[#This Row],[Date]])</f>
        <v>2025</v>
      </c>
      <c r="D86" s="11">
        <f t="shared" ref="D86" si="137">A86-DAY(A86)+1</f>
        <v>45809</v>
      </c>
      <c r="E86" s="190">
        <f>DAY(EOMONTH(Input_Raw[[#This Row],[Date]],0))</f>
        <v>30</v>
      </c>
      <c r="F86" s="199">
        <v>37480</v>
      </c>
      <c r="G86" s="199">
        <v>36332</v>
      </c>
      <c r="H86" s="199">
        <v>33716</v>
      </c>
      <c r="I86" s="199">
        <v>14582</v>
      </c>
      <c r="J86" s="199">
        <v>37140</v>
      </c>
      <c r="K86" s="199">
        <v>37872</v>
      </c>
      <c r="L86" s="199">
        <v>36686</v>
      </c>
      <c r="M86" s="199">
        <v>34520</v>
      </c>
      <c r="N86" s="199">
        <v>30316</v>
      </c>
      <c r="O86" s="199">
        <v>30690</v>
      </c>
      <c r="P86" s="199">
        <v>33706</v>
      </c>
      <c r="Q86" s="199">
        <v>37028</v>
      </c>
      <c r="R86" s="199">
        <v>37632</v>
      </c>
      <c r="S86" s="199">
        <v>36490</v>
      </c>
      <c r="T86" s="199">
        <v>34918</v>
      </c>
      <c r="U86" s="199">
        <v>27354</v>
      </c>
      <c r="V86" s="199">
        <v>35774</v>
      </c>
      <c r="W86" s="199">
        <v>35016</v>
      </c>
      <c r="X86" s="199">
        <v>36850</v>
      </c>
      <c r="Y86" s="199">
        <v>34341</v>
      </c>
      <c r="Z86" s="199">
        <v>37272</v>
      </c>
      <c r="AA86" s="199">
        <v>36064</v>
      </c>
      <c r="AB86" s="199">
        <v>35504</v>
      </c>
      <c r="AC86" s="199">
        <v>36484</v>
      </c>
      <c r="AD86" s="199">
        <v>36796</v>
      </c>
      <c r="AE86" s="199">
        <v>29400</v>
      </c>
      <c r="AF86" s="199">
        <v>29268</v>
      </c>
      <c r="AG86" s="199">
        <v>33140</v>
      </c>
      <c r="AH86" s="199">
        <v>37492</v>
      </c>
      <c r="AI86" s="199">
        <v>35074</v>
      </c>
      <c r="AJ86" s="199">
        <v>34672</v>
      </c>
      <c r="AK86" s="199">
        <v>34842</v>
      </c>
      <c r="AL86" s="199">
        <v>37212</v>
      </c>
      <c r="AM86" s="199">
        <v>37216</v>
      </c>
      <c r="AN86" s="199">
        <v>34260</v>
      </c>
      <c r="AO86" s="199">
        <v>38616</v>
      </c>
      <c r="AP86" s="199">
        <v>38508</v>
      </c>
      <c r="AQ86" s="199">
        <v>37312</v>
      </c>
      <c r="AR86" s="199">
        <v>38268</v>
      </c>
      <c r="AS86" s="199">
        <v>31984</v>
      </c>
      <c r="AT86" s="199">
        <v>33848</v>
      </c>
      <c r="AU86" s="199">
        <v>33916</v>
      </c>
      <c r="AV86" s="199">
        <v>36560</v>
      </c>
      <c r="AW86" s="199">
        <v>36160</v>
      </c>
      <c r="AX86" s="96">
        <v>13.4</v>
      </c>
      <c r="AY86" s="96">
        <v>13.87</v>
      </c>
      <c r="AZ86" s="96">
        <v>11.83</v>
      </c>
      <c r="BA86" s="96">
        <v>11.53</v>
      </c>
      <c r="BB86" s="96">
        <v>12.52</v>
      </c>
      <c r="BC86" s="96">
        <v>13.58</v>
      </c>
      <c r="BD86" s="96">
        <v>13.54</v>
      </c>
      <c r="BE86" s="96">
        <v>12.16</v>
      </c>
      <c r="BF86" s="96">
        <v>10.98</v>
      </c>
      <c r="BG86" s="96">
        <v>11.1</v>
      </c>
      <c r="BH86" s="96">
        <v>12.64</v>
      </c>
      <c r="BI86" s="96">
        <v>14</v>
      </c>
      <c r="BJ86" s="96">
        <v>13.26</v>
      </c>
      <c r="BK86" s="96">
        <v>12.52</v>
      </c>
      <c r="BL86" s="96">
        <v>12.43</v>
      </c>
      <c r="BM86" s="96">
        <v>11.56</v>
      </c>
      <c r="BN86" s="96">
        <v>12.64</v>
      </c>
      <c r="BO86" s="96">
        <v>12.2</v>
      </c>
      <c r="BP86" s="96">
        <v>12.58</v>
      </c>
      <c r="BQ86" s="96">
        <v>11.14</v>
      </c>
      <c r="BR86" s="96">
        <v>12.74</v>
      </c>
      <c r="BS86" s="96">
        <v>12.33</v>
      </c>
      <c r="BT86" s="96">
        <v>11.56</v>
      </c>
      <c r="BU86" s="96">
        <v>13.43</v>
      </c>
      <c r="BV86" s="96">
        <v>12.99</v>
      </c>
      <c r="BW86" s="96">
        <v>11.84</v>
      </c>
      <c r="BX86" s="96">
        <v>10.23</v>
      </c>
      <c r="BY86" s="96">
        <v>11.62</v>
      </c>
      <c r="BZ86" s="96">
        <v>13.26</v>
      </c>
      <c r="CA86" s="96">
        <v>12.35</v>
      </c>
      <c r="CB86" s="96">
        <v>11.78</v>
      </c>
      <c r="CC86" s="96">
        <v>12.08</v>
      </c>
      <c r="CD86" s="96">
        <v>14.61</v>
      </c>
      <c r="CE86" s="96">
        <v>13</v>
      </c>
      <c r="CF86" s="96">
        <v>11.6</v>
      </c>
      <c r="CG86" s="96">
        <v>15.89</v>
      </c>
      <c r="CH86" s="96">
        <v>14.51</v>
      </c>
      <c r="CI86" s="96">
        <v>12.62</v>
      </c>
      <c r="CJ86" s="96">
        <v>13.73</v>
      </c>
      <c r="CK86" s="96">
        <v>11.46</v>
      </c>
      <c r="CL86" s="96">
        <v>12.59</v>
      </c>
      <c r="CM86" s="96">
        <v>13.15</v>
      </c>
      <c r="CN86" s="96">
        <v>15.49</v>
      </c>
      <c r="CO86" s="96">
        <v>14.06</v>
      </c>
      <c r="CP86" s="271">
        <f>SUM(Input_Raw[[#This Row],[P-01]:[P-56]])/1000</f>
        <v>1528.3109999999999</v>
      </c>
      <c r="CQ86" s="272">
        <f>IFERROR(AVERAGEIF(Input_Raw[[#This Row],[WS_P-01]:[WS_P-56]],"&lt;&gt;",Input_Raw[[#This Row],[WS_P-01]:[WS_P-56]]),"")</f>
        <v>12.69090909090909</v>
      </c>
      <c r="CR86" s="273">
        <f>MAX(Input_Raw[[#This Row],[WS_P-01]:[WS_P-56]])</f>
        <v>15.89</v>
      </c>
      <c r="CS86" s="273"/>
      <c r="CT86" s="274">
        <f>SUM(Input_Raw[[#This Row],[P-08]:[P-13]],Input_Raw[[#This Row],[P-25]:[P-28]])</f>
        <v>342076</v>
      </c>
      <c r="CU86" s="274"/>
      <c r="CV86" s="274">
        <f>SUM(Input_Raw[[#This Row],[P-04]],Input_Raw[[#This Row],[P-14]:[P-17]],Input_Raw[[#This Row],[P-19]:[P-20]],Input_Raw[[#This Row],[P-22]:[P-23]],Input_Raw[[#This Row],[P-34]],Input_Raw[[#This Row],[P-38]],Input_Raw[[#This Row],[P-43]])</f>
        <v>400069</v>
      </c>
      <c r="CW86" s="274"/>
      <c r="CX86" s="274">
        <f>SUM(Input_Raw[[#This Row],[P-05]:[P-06]],Input_Raw[[#This Row],[P-40]:[P-42]],Input_Raw[[#This Row],[P-45]],Input_Raw[[#This Row],[P-46]],Input_Raw[[#This Row],[P-47]:[P-48]])</f>
        <v>336986</v>
      </c>
      <c r="CY86" s="274"/>
      <c r="CZ86" s="274">
        <f>SUM(Input_Raw[[#This Row],[P-01]:[P-03]],Input_Raw[[#This Row],[P-07]],Input_Raw[[#This Row],[P-18]],Input_Raw[[#This Row],[P-31]:[P-32]],Input_Raw[[#This Row],[P-37]],Input_Raw[[#This Row],[P-50]:[P-56]])</f>
        <v>449180</v>
      </c>
      <c r="DA86" s="275"/>
      <c r="DB86" s="276">
        <f>Input_Raw[[#This Row],[33 kV_Wind_F1_Export reading]]/1000</f>
        <v>342.07600000000002</v>
      </c>
      <c r="DC86" s="276"/>
      <c r="DD86" s="276">
        <f>Input_Raw[[#This Row],[33 kV_Wind_F2_Export_reading]]/1000</f>
        <v>400.06900000000002</v>
      </c>
      <c r="DE86" s="276"/>
      <c r="DF86" s="276">
        <f>Input_Raw[[#This Row],[33 kV_Wind_F3_Export_Reading]]/1000</f>
        <v>336.98599999999999</v>
      </c>
      <c r="DG86" s="276"/>
      <c r="DH86" s="276">
        <f>Input_Raw[[#This Row],[33 kV_Wind_F4_Export Reading]]/1000</f>
        <v>449.18</v>
      </c>
      <c r="DI86" s="276"/>
      <c r="DJ86" s="276">
        <f>Input_Raw[[#This Row],[33 kV_F1_Total_Export (MWh)]]+Input_Raw[[#This Row],[33 kV_F2_Total_Export (MWh)2]]+Input_Raw[[#This Row],[33 kV_Wind_F3_Export (MWh)]]+Input_Raw[[#This Row],[33 kV_Wind_F4_Export (MWh)]]</f>
        <v>1528.3109999999999</v>
      </c>
      <c r="DK86" s="276">
        <f>Input_Raw[[#This Row],[33 kV_Wind_F1_Import (MWh)]]+Input_Raw[[#This Row],[33 kV_Wind_F2_Import (MWh)]]+Input_Raw[[#This Row],[33 kV_Wind_F3_Import (MWh)2]]+Input_Raw[[#This Row],[33 kV_Wind_F4_Import (MWh)2]]</f>
        <v>0</v>
      </c>
      <c r="DL86" s="277">
        <f>IFERROR(Input_Raw[[#This Row],[33 kV_Wind_Total_Export (MWh)]]/Input_Raw[[#This Row],[WTG Total Gneration (MWh)]]-1,"")</f>
        <v>0</v>
      </c>
      <c r="DM86" s="278"/>
      <c r="DN86" s="186">
        <v>54</v>
      </c>
      <c r="DO86" s="186">
        <v>2657.25</v>
      </c>
      <c r="DP86" s="102">
        <v>1619.39</v>
      </c>
      <c r="DQ86" s="278"/>
      <c r="DR86" s="181">
        <v>70.400000000000006</v>
      </c>
    </row>
    <row r="87" spans="1:122">
      <c r="A87" s="92">
        <f t="shared" si="74"/>
        <v>45827</v>
      </c>
      <c r="B87" s="190">
        <f>YEAR(Input_Raw[[#This Row],[Date]])+IF(MONTH(Input_Raw[[#This Row],[Date]])&gt;=4,1,0)</f>
        <v>2026</v>
      </c>
      <c r="C87" s="190">
        <f>YEAR(Input_Raw[[#This Row],[Date]])</f>
        <v>2025</v>
      </c>
      <c r="D87" s="11">
        <f t="shared" ref="D87" si="138">A87-DAY(A87)+1</f>
        <v>45809</v>
      </c>
      <c r="E87" s="190">
        <f>DAY(EOMONTH(Input_Raw[[#This Row],[Date]],0))</f>
        <v>30</v>
      </c>
      <c r="F87" s="199">
        <v>32792</v>
      </c>
      <c r="G87" s="199">
        <v>32387.999999999996</v>
      </c>
      <c r="H87" s="199">
        <v>29648</v>
      </c>
      <c r="I87" s="199">
        <v>18184</v>
      </c>
      <c r="J87" s="199">
        <v>36872</v>
      </c>
      <c r="K87" s="199">
        <v>36696</v>
      </c>
      <c r="L87" s="199">
        <v>31748</v>
      </c>
      <c r="M87" s="199">
        <v>33708</v>
      </c>
      <c r="N87" s="199">
        <v>29716</v>
      </c>
      <c r="O87" s="199">
        <v>29340</v>
      </c>
      <c r="P87" s="199">
        <v>33832</v>
      </c>
      <c r="Q87" s="199">
        <v>33356</v>
      </c>
      <c r="R87" s="199">
        <v>32020.000000000004</v>
      </c>
      <c r="S87" s="199">
        <v>34536</v>
      </c>
      <c r="T87" s="199">
        <v>29202</v>
      </c>
      <c r="U87" s="199">
        <v>34376</v>
      </c>
      <c r="V87" s="199">
        <v>35066</v>
      </c>
      <c r="W87" s="199">
        <v>31248</v>
      </c>
      <c r="X87" s="199">
        <v>34828</v>
      </c>
      <c r="Y87" s="199">
        <v>31291</v>
      </c>
      <c r="Z87" s="199">
        <v>36256</v>
      </c>
      <c r="AA87" s="199">
        <v>32119.999999999996</v>
      </c>
      <c r="AB87" s="199">
        <v>34020</v>
      </c>
      <c r="AC87" s="199">
        <v>34932</v>
      </c>
      <c r="AD87" s="199">
        <v>35584</v>
      </c>
      <c r="AE87" s="199">
        <v>34840</v>
      </c>
      <c r="AF87" s="199">
        <v>27094</v>
      </c>
      <c r="AG87" s="199">
        <v>22976</v>
      </c>
      <c r="AH87" s="199">
        <v>35804</v>
      </c>
      <c r="AI87" s="199">
        <v>24454</v>
      </c>
      <c r="AJ87" s="199">
        <v>34754</v>
      </c>
      <c r="AK87" s="199">
        <v>33148</v>
      </c>
      <c r="AL87" s="199">
        <v>36588</v>
      </c>
      <c r="AM87" s="199">
        <v>36896</v>
      </c>
      <c r="AN87" s="199">
        <v>32518</v>
      </c>
      <c r="AO87" s="199">
        <v>37740</v>
      </c>
      <c r="AP87" s="199">
        <v>37824</v>
      </c>
      <c r="AQ87" s="199">
        <v>36472</v>
      </c>
      <c r="AR87" s="199">
        <v>37716</v>
      </c>
      <c r="AS87" s="199">
        <v>23764</v>
      </c>
      <c r="AT87" s="199">
        <v>25776</v>
      </c>
      <c r="AU87" s="199">
        <v>24092</v>
      </c>
      <c r="AV87" s="199">
        <v>27288</v>
      </c>
      <c r="AW87" s="199">
        <v>21228</v>
      </c>
      <c r="AX87" s="96">
        <v>13.21</v>
      </c>
      <c r="AY87" s="96">
        <v>13.62</v>
      </c>
      <c r="AZ87" s="96">
        <v>12.11</v>
      </c>
      <c r="BA87" s="96">
        <v>12.43</v>
      </c>
      <c r="BB87" s="96">
        <v>12.69</v>
      </c>
      <c r="BC87" s="96">
        <v>13.3</v>
      </c>
      <c r="BD87" s="96">
        <v>13.23</v>
      </c>
      <c r="BE87" s="96">
        <v>12.06</v>
      </c>
      <c r="BF87" s="96">
        <v>10.8</v>
      </c>
      <c r="BG87" s="96">
        <v>11.11</v>
      </c>
      <c r="BH87" s="96">
        <v>12.84</v>
      </c>
      <c r="BI87" s="96">
        <v>13.98</v>
      </c>
      <c r="BJ87" s="96">
        <v>13.1</v>
      </c>
      <c r="BK87" s="96">
        <v>12.34</v>
      </c>
      <c r="BL87" s="96">
        <v>12.26</v>
      </c>
      <c r="BM87" s="96">
        <v>11.79</v>
      </c>
      <c r="BN87" s="96">
        <v>12.73</v>
      </c>
      <c r="BO87" s="96">
        <v>12.17</v>
      </c>
      <c r="BP87" s="96">
        <v>12.16</v>
      </c>
      <c r="BQ87" s="96">
        <v>10.83</v>
      </c>
      <c r="BR87" s="96">
        <v>12.69</v>
      </c>
      <c r="BS87" s="96">
        <v>11.99</v>
      </c>
      <c r="BT87" s="96">
        <v>11.33</v>
      </c>
      <c r="BU87" s="96">
        <v>13.16</v>
      </c>
      <c r="BV87" s="96">
        <v>12.77</v>
      </c>
      <c r="BW87" s="96">
        <v>11.86</v>
      </c>
      <c r="BX87" s="96">
        <v>10.82</v>
      </c>
      <c r="BY87" s="96">
        <v>11.02</v>
      </c>
      <c r="BZ87" s="96">
        <v>12.83</v>
      </c>
      <c r="CA87" s="96">
        <v>11.72</v>
      </c>
      <c r="CB87" s="96">
        <v>12.09</v>
      </c>
      <c r="CC87" s="96">
        <v>11.62</v>
      </c>
      <c r="CD87" s="96">
        <v>14.55</v>
      </c>
      <c r="CE87" s="96">
        <v>13.23</v>
      </c>
      <c r="CF87" s="96">
        <v>11.32</v>
      </c>
      <c r="CG87" s="96">
        <v>15.54</v>
      </c>
      <c r="CH87" s="96">
        <v>14.12</v>
      </c>
      <c r="CI87" s="96">
        <v>12.66</v>
      </c>
      <c r="CJ87" s="96">
        <v>13.54</v>
      </c>
      <c r="CK87" s="96">
        <v>11.07</v>
      </c>
      <c r="CL87" s="96">
        <v>12.08</v>
      </c>
      <c r="CM87" s="96">
        <v>12.54</v>
      </c>
      <c r="CN87" s="96">
        <v>14.9</v>
      </c>
      <c r="CO87" s="96">
        <v>13.38</v>
      </c>
      <c r="CP87" s="271">
        <f>SUM(Input_Raw[[#This Row],[P-01]:[P-56]])/1000</f>
        <v>1404.731</v>
      </c>
      <c r="CQ87" s="272">
        <f>IFERROR(AVERAGEIF(Input_Raw[[#This Row],[WS_P-01]:[WS_P-56]],"&lt;&gt;",Input_Raw[[#This Row],[WS_P-01]:[WS_P-56]]),"")</f>
        <v>12.536136363636365</v>
      </c>
      <c r="CR87" s="273">
        <f>MAX(Input_Raw[[#This Row],[WS_P-01]:[WS_P-56]])</f>
        <v>15.54</v>
      </c>
      <c r="CS87" s="273"/>
      <c r="CT87" s="274">
        <f>SUM(Input_Raw[[#This Row],[P-08]:[P-13]],Input_Raw[[#This Row],[P-25]:[P-28]])</f>
        <v>331348</v>
      </c>
      <c r="CU87" s="274"/>
      <c r="CV87" s="274">
        <f>SUM(Input_Raw[[#This Row],[P-04]],Input_Raw[[#This Row],[P-14]:[P-17]],Input_Raw[[#This Row],[P-19]:[P-20]],Input_Raw[[#This Row],[P-22]:[P-23]],Input_Raw[[#This Row],[P-34]],Input_Raw[[#This Row],[P-38]],Input_Raw[[#This Row],[P-43]])</f>
        <v>388935</v>
      </c>
      <c r="CW87" s="274"/>
      <c r="CX87" s="274">
        <f>SUM(Input_Raw[[#This Row],[P-05]:[P-06]],Input_Raw[[#This Row],[P-40]:[P-42]],Input_Raw[[#This Row],[P-45]],Input_Raw[[#This Row],[P-46]],Input_Raw[[#This Row],[P-47]:[P-48]])</f>
        <v>329952</v>
      </c>
      <c r="CY87" s="274"/>
      <c r="CZ87" s="274">
        <f>SUM(Input_Raw[[#This Row],[P-01]:[P-03]],Input_Raw[[#This Row],[P-07]],Input_Raw[[#This Row],[P-18]],Input_Raw[[#This Row],[P-31]:[P-32]],Input_Raw[[#This Row],[P-37]],Input_Raw[[#This Row],[P-50]:[P-56]])</f>
        <v>354496</v>
      </c>
      <c r="DA87" s="275"/>
      <c r="DB87" s="276">
        <f>Input_Raw[[#This Row],[33 kV_Wind_F1_Export reading]]/1000</f>
        <v>331.34800000000001</v>
      </c>
      <c r="DC87" s="276"/>
      <c r="DD87" s="276">
        <f>Input_Raw[[#This Row],[33 kV_Wind_F2_Export_reading]]/1000</f>
        <v>388.935</v>
      </c>
      <c r="DE87" s="276"/>
      <c r="DF87" s="276">
        <f>Input_Raw[[#This Row],[33 kV_Wind_F3_Export_Reading]]/1000</f>
        <v>329.952</v>
      </c>
      <c r="DG87" s="276"/>
      <c r="DH87" s="276">
        <f>Input_Raw[[#This Row],[33 kV_Wind_F4_Export Reading]]/1000</f>
        <v>354.49599999999998</v>
      </c>
      <c r="DI87" s="276"/>
      <c r="DJ87" s="276">
        <f>Input_Raw[[#This Row],[33 kV_F1_Total_Export (MWh)]]+Input_Raw[[#This Row],[33 kV_F2_Total_Export (MWh)2]]+Input_Raw[[#This Row],[33 kV_Wind_F3_Export (MWh)]]+Input_Raw[[#This Row],[33 kV_Wind_F4_Export (MWh)]]</f>
        <v>1404.7310000000002</v>
      </c>
      <c r="DK87" s="276">
        <f>Input_Raw[[#This Row],[33 kV_Wind_F1_Import (MWh)]]+Input_Raw[[#This Row],[33 kV_Wind_F2_Import (MWh)]]+Input_Raw[[#This Row],[33 kV_Wind_F3_Import (MWh)2]]+Input_Raw[[#This Row],[33 kV_Wind_F4_Import (MWh)2]]</f>
        <v>0</v>
      </c>
      <c r="DL87" s="277">
        <f>IFERROR(Input_Raw[[#This Row],[33 kV_Wind_Total_Export (MWh)]]/Input_Raw[[#This Row],[WTG Total Gneration (MWh)]]-1,"")</f>
        <v>2.2204460492503131E-16</v>
      </c>
      <c r="DM87" s="278"/>
      <c r="DN87" s="186">
        <v>89</v>
      </c>
      <c r="DO87" s="186">
        <v>23087.63</v>
      </c>
      <c r="DP87" s="102">
        <v>1534.29</v>
      </c>
      <c r="DQ87" s="278"/>
      <c r="DR87" s="181">
        <v>70.400000000000006</v>
      </c>
    </row>
    <row r="88" spans="1:122">
      <c r="A88" s="92">
        <f t="shared" si="74"/>
        <v>45828</v>
      </c>
      <c r="B88" s="190">
        <f>YEAR(Input_Raw[[#This Row],[Date]])+IF(MONTH(Input_Raw[[#This Row],[Date]])&gt;=4,1,0)</f>
        <v>2026</v>
      </c>
      <c r="C88" s="190">
        <f>YEAR(Input_Raw[[#This Row],[Date]])</f>
        <v>2025</v>
      </c>
      <c r="D88" s="11">
        <f t="shared" ref="D88" si="139">A88-DAY(A88)+1</f>
        <v>45809</v>
      </c>
      <c r="E88" s="190">
        <f>DAY(EOMONTH(Input_Raw[[#This Row],[Date]],0))</f>
        <v>30</v>
      </c>
      <c r="F88" s="199">
        <v>31544</v>
      </c>
      <c r="G88" s="199">
        <v>30016</v>
      </c>
      <c r="H88" s="199">
        <v>26188</v>
      </c>
      <c r="I88" s="199">
        <v>30920</v>
      </c>
      <c r="J88" s="199">
        <v>35096</v>
      </c>
      <c r="K88" s="199">
        <v>34912</v>
      </c>
      <c r="L88" s="199">
        <v>30624</v>
      </c>
      <c r="M88" s="199">
        <v>26844</v>
      </c>
      <c r="N88" s="199">
        <v>24360</v>
      </c>
      <c r="O88" s="199">
        <v>26306</v>
      </c>
      <c r="P88" s="199">
        <v>31160</v>
      </c>
      <c r="Q88" s="199">
        <v>34148</v>
      </c>
      <c r="R88" s="199">
        <v>34860</v>
      </c>
      <c r="S88" s="199">
        <v>31624</v>
      </c>
      <c r="T88" s="199">
        <v>29750</v>
      </c>
      <c r="U88" s="199">
        <v>30646</v>
      </c>
      <c r="V88" s="199">
        <v>32439.999999999996</v>
      </c>
      <c r="W88" s="199">
        <v>28808</v>
      </c>
      <c r="X88" s="199">
        <v>30916</v>
      </c>
      <c r="Y88" s="199">
        <v>27615</v>
      </c>
      <c r="Z88" s="199">
        <v>33320</v>
      </c>
      <c r="AA88" s="199">
        <v>30080</v>
      </c>
      <c r="AB88" s="199">
        <v>29972</v>
      </c>
      <c r="AC88" s="199">
        <v>31968</v>
      </c>
      <c r="AD88" s="199">
        <v>32924</v>
      </c>
      <c r="AE88" s="199">
        <v>31964</v>
      </c>
      <c r="AF88" s="199">
        <v>22670</v>
      </c>
      <c r="AG88" s="199">
        <v>18384</v>
      </c>
      <c r="AH88" s="199">
        <v>33068</v>
      </c>
      <c r="AI88" s="199">
        <v>22350</v>
      </c>
      <c r="AJ88" s="199">
        <v>31422</v>
      </c>
      <c r="AK88" s="199">
        <v>29348</v>
      </c>
      <c r="AL88" s="199">
        <v>34212</v>
      </c>
      <c r="AM88" s="199">
        <v>34968</v>
      </c>
      <c r="AN88" s="199">
        <v>27714</v>
      </c>
      <c r="AO88" s="199">
        <v>37052</v>
      </c>
      <c r="AP88" s="199">
        <v>37116</v>
      </c>
      <c r="AQ88" s="199">
        <v>34632</v>
      </c>
      <c r="AR88" s="199">
        <v>36456</v>
      </c>
      <c r="AS88" s="199">
        <v>18632</v>
      </c>
      <c r="AT88" s="199">
        <v>24404</v>
      </c>
      <c r="AU88" s="199">
        <v>20436</v>
      </c>
      <c r="AV88" s="199">
        <v>27680</v>
      </c>
      <c r="AW88" s="199">
        <v>23888</v>
      </c>
      <c r="AX88" s="96">
        <v>11.43</v>
      </c>
      <c r="AY88" s="96">
        <v>11.44</v>
      </c>
      <c r="AZ88" s="96">
        <v>10.59</v>
      </c>
      <c r="BA88" s="96">
        <v>11.36</v>
      </c>
      <c r="BB88" s="96">
        <v>11.33</v>
      </c>
      <c r="BC88" s="96">
        <v>11.93</v>
      </c>
      <c r="BD88" s="96">
        <v>11.71</v>
      </c>
      <c r="BE88" s="96">
        <v>10.37</v>
      </c>
      <c r="BF88" s="96">
        <v>9.32</v>
      </c>
      <c r="BG88" s="96">
        <v>9.9700000000000006</v>
      </c>
      <c r="BH88" s="96">
        <v>11.61</v>
      </c>
      <c r="BI88" s="96">
        <v>12.32</v>
      </c>
      <c r="BJ88" s="96">
        <v>11.66</v>
      </c>
      <c r="BK88" s="96">
        <v>10.6</v>
      </c>
      <c r="BL88" s="96">
        <v>10.81</v>
      </c>
      <c r="BM88" s="96">
        <v>10.43</v>
      </c>
      <c r="BN88" s="96">
        <v>11.19</v>
      </c>
      <c r="BO88" s="96">
        <v>10.8</v>
      </c>
      <c r="BP88" s="96">
        <v>10.35</v>
      </c>
      <c r="BQ88" s="96">
        <v>9.32</v>
      </c>
      <c r="BR88" s="96">
        <v>10.96</v>
      </c>
      <c r="BS88" s="96">
        <v>10.06</v>
      </c>
      <c r="BT88" s="96">
        <v>9.77</v>
      </c>
      <c r="BU88" s="96">
        <v>11.15</v>
      </c>
      <c r="BV88" s="96">
        <v>11.27</v>
      </c>
      <c r="BW88" s="96">
        <v>10.74</v>
      </c>
      <c r="BX88" s="96">
        <v>9.6</v>
      </c>
      <c r="BY88" s="96">
        <v>9.66</v>
      </c>
      <c r="BZ88" s="96">
        <v>11.13</v>
      </c>
      <c r="CA88" s="96">
        <v>10.23</v>
      </c>
      <c r="CB88" s="96">
        <v>10.86</v>
      </c>
      <c r="CC88" s="96">
        <v>10.36</v>
      </c>
      <c r="CD88" s="96">
        <v>12.67</v>
      </c>
      <c r="CE88" s="96">
        <v>12</v>
      </c>
      <c r="CF88" s="96">
        <v>9.58</v>
      </c>
      <c r="CG88" s="96">
        <v>13.77</v>
      </c>
      <c r="CH88" s="96">
        <v>12.64</v>
      </c>
      <c r="CI88" s="96">
        <v>11.43</v>
      </c>
      <c r="CJ88" s="96">
        <v>12.29</v>
      </c>
      <c r="CK88" s="96">
        <v>10.23</v>
      </c>
      <c r="CL88" s="96">
        <v>11.17</v>
      </c>
      <c r="CM88" s="96">
        <v>11.17</v>
      </c>
      <c r="CN88" s="96">
        <v>13.1</v>
      </c>
      <c r="CO88" s="96">
        <v>11.95</v>
      </c>
      <c r="CP88" s="309">
        <f>SUM(Input_Raw[[#This Row],[P-01]:[P-56]])/1000</f>
        <v>1313.4369999999999</v>
      </c>
      <c r="CQ88" s="310">
        <f>IFERROR(AVERAGEIF(Input_Raw[[#This Row],[WS_P-01]:[WS_P-56]],"&lt;&gt;",Input_Raw[[#This Row],[WS_P-01]:[WS_P-56]]),"")</f>
        <v>11.052954545454549</v>
      </c>
      <c r="CR88" s="311">
        <f>MAX(Input_Raw[[#This Row],[WS_P-01]:[WS_P-56]])</f>
        <v>13.77</v>
      </c>
      <c r="CS88" s="311"/>
      <c r="CT88" s="312">
        <f>SUM(Input_Raw[[#This Row],[P-08]:[P-13]],Input_Raw[[#This Row],[P-25]:[P-28]])</f>
        <v>304506</v>
      </c>
      <c r="CU88" s="312"/>
      <c r="CV88" s="312">
        <f>SUM(Input_Raw[[#This Row],[P-04]],Input_Raw[[#This Row],[P-14]:[P-17]],Input_Raw[[#This Row],[P-19]:[P-20]],Input_Raw[[#This Row],[P-22]:[P-23]],Input_Raw[[#This Row],[P-34]],Input_Raw[[#This Row],[P-38]],Input_Raw[[#This Row],[P-43]])</f>
        <v>369515</v>
      </c>
      <c r="CW88" s="312"/>
      <c r="CX88" s="312">
        <f>SUM(Input_Raw[[#This Row],[P-05]:[P-06]],Input_Raw[[#This Row],[P-40]:[P-42]],Input_Raw[[#This Row],[P-45]],Input_Raw[[#This Row],[P-46]],Input_Raw[[#This Row],[P-47]:[P-48]])</f>
        <v>313792</v>
      </c>
      <c r="CY88" s="312"/>
      <c r="CZ88" s="312">
        <f>SUM(Input_Raw[[#This Row],[P-01]:[P-03]],Input_Raw[[#This Row],[P-07]],Input_Raw[[#This Row],[P-18]],Input_Raw[[#This Row],[P-31]:[P-32]],Input_Raw[[#This Row],[P-37]],Input_Raw[[#This Row],[P-50]:[P-56]])</f>
        <v>325624</v>
      </c>
      <c r="DA88" s="313"/>
      <c r="DB88" s="314">
        <f>Input_Raw[[#This Row],[33 kV_Wind_F1_Export reading]]/1000</f>
        <v>304.50599999999997</v>
      </c>
      <c r="DC88" s="314"/>
      <c r="DD88" s="314">
        <f>Input_Raw[[#This Row],[33 kV_Wind_F2_Export_reading]]/1000</f>
        <v>369.51499999999999</v>
      </c>
      <c r="DE88" s="314"/>
      <c r="DF88" s="314">
        <f>Input_Raw[[#This Row],[33 kV_Wind_F3_Export_Reading]]/1000</f>
        <v>313.79199999999997</v>
      </c>
      <c r="DG88" s="314"/>
      <c r="DH88" s="314">
        <f>Input_Raw[[#This Row],[33 kV_Wind_F4_Export Reading]]/1000</f>
        <v>325.62400000000002</v>
      </c>
      <c r="DI88" s="314"/>
      <c r="DJ88" s="314">
        <f>Input_Raw[[#This Row],[33 kV_F1_Total_Export (MWh)]]+Input_Raw[[#This Row],[33 kV_F2_Total_Export (MWh)2]]+Input_Raw[[#This Row],[33 kV_Wind_F3_Export (MWh)]]+Input_Raw[[#This Row],[33 kV_Wind_F4_Export (MWh)]]</f>
        <v>1313.4369999999999</v>
      </c>
      <c r="DK88" s="314">
        <f>Input_Raw[[#This Row],[33 kV_Wind_F1_Import (MWh)]]+Input_Raw[[#This Row],[33 kV_Wind_F2_Import (MWh)]]+Input_Raw[[#This Row],[33 kV_Wind_F3_Import (MWh)2]]+Input_Raw[[#This Row],[33 kV_Wind_F4_Import (MWh)2]]</f>
        <v>0</v>
      </c>
      <c r="DL88" s="315">
        <f>IFERROR(Input_Raw[[#This Row],[33 kV_Wind_Total_Export (MWh)]]/Input_Raw[[#This Row],[WTG Total Gneration (MWh)]]-1,"")</f>
        <v>0</v>
      </c>
      <c r="DM88" s="316"/>
      <c r="DN88" s="186">
        <v>88</v>
      </c>
      <c r="DO88" s="186">
        <v>24565.62</v>
      </c>
      <c r="DP88" s="102">
        <v>1387.29</v>
      </c>
      <c r="DQ88" s="316"/>
      <c r="DR88" s="181">
        <v>70.400000000000006</v>
      </c>
    </row>
    <row r="89" spans="1:122">
      <c r="A89" s="92">
        <f t="shared" si="74"/>
        <v>45829</v>
      </c>
      <c r="B89" s="190">
        <f>YEAR(Input_Raw[[#This Row],[Date]])+IF(MONTH(Input_Raw[[#This Row],[Date]])&gt;=4,1,0)</f>
        <v>2026</v>
      </c>
      <c r="C89" s="190">
        <f>YEAR(Input_Raw[[#This Row],[Date]])</f>
        <v>2025</v>
      </c>
      <c r="D89" s="11">
        <f t="shared" ref="D89" si="140">A89-DAY(A89)+1</f>
        <v>45809</v>
      </c>
      <c r="E89" s="190">
        <f>DAY(EOMONTH(Input_Raw[[#This Row],[Date]],0))</f>
        <v>30</v>
      </c>
      <c r="F89" s="199">
        <v>33160</v>
      </c>
      <c r="G89" s="199">
        <v>32792</v>
      </c>
      <c r="H89" s="199">
        <v>27180</v>
      </c>
      <c r="I89" s="199">
        <v>32628</v>
      </c>
      <c r="J89" s="199">
        <v>33900</v>
      </c>
      <c r="K89" s="199">
        <v>32776</v>
      </c>
      <c r="L89" s="199">
        <v>33436</v>
      </c>
      <c r="M89" s="199">
        <v>27290</v>
      </c>
      <c r="N89" s="199">
        <v>22320</v>
      </c>
      <c r="O89" s="199">
        <v>23326</v>
      </c>
      <c r="P89" s="199">
        <v>28306</v>
      </c>
      <c r="Q89" s="199">
        <v>32592</v>
      </c>
      <c r="R89" s="199">
        <v>34160</v>
      </c>
      <c r="S89" s="199">
        <v>30636</v>
      </c>
      <c r="T89" s="199">
        <v>27646</v>
      </c>
      <c r="U89" s="199">
        <v>28156</v>
      </c>
      <c r="V89" s="199">
        <v>30542</v>
      </c>
      <c r="W89" s="199">
        <v>29048</v>
      </c>
      <c r="X89" s="199">
        <v>28496</v>
      </c>
      <c r="Y89" s="199">
        <v>24429</v>
      </c>
      <c r="Z89" s="199">
        <v>31340</v>
      </c>
      <c r="AA89" s="199">
        <v>26388</v>
      </c>
      <c r="AB89" s="199">
        <v>26896</v>
      </c>
      <c r="AC89" s="199">
        <v>30128</v>
      </c>
      <c r="AD89" s="199">
        <v>30628</v>
      </c>
      <c r="AE89" s="199">
        <v>28844</v>
      </c>
      <c r="AF89" s="199">
        <v>22328</v>
      </c>
      <c r="AG89" s="199">
        <v>27472</v>
      </c>
      <c r="AH89" s="199">
        <v>32595.999999999996</v>
      </c>
      <c r="AI89" s="199">
        <v>27132</v>
      </c>
      <c r="AJ89" s="199">
        <v>28632</v>
      </c>
      <c r="AK89" s="199">
        <v>27760</v>
      </c>
      <c r="AL89" s="199">
        <v>32960</v>
      </c>
      <c r="AM89" s="199">
        <v>33116</v>
      </c>
      <c r="AN89" s="199">
        <v>24482</v>
      </c>
      <c r="AO89" s="199">
        <v>34948</v>
      </c>
      <c r="AP89" s="199">
        <v>35936</v>
      </c>
      <c r="AQ89" s="199">
        <v>31320</v>
      </c>
      <c r="AR89" s="199">
        <v>35384</v>
      </c>
      <c r="AS89" s="199">
        <v>29026</v>
      </c>
      <c r="AT89" s="199">
        <v>32780</v>
      </c>
      <c r="AU89" s="199">
        <v>26260</v>
      </c>
      <c r="AV89" s="199">
        <v>36908</v>
      </c>
      <c r="AW89" s="199">
        <v>35988</v>
      </c>
      <c r="AX89" s="96">
        <v>10.82</v>
      </c>
      <c r="AY89" s="96">
        <v>10.87</v>
      </c>
      <c r="AZ89" s="96">
        <v>9.3800000000000008</v>
      </c>
      <c r="BA89" s="96">
        <v>11.04</v>
      </c>
      <c r="BB89" s="96">
        <v>10.59</v>
      </c>
      <c r="BC89" s="96">
        <v>11.32</v>
      </c>
      <c r="BD89" s="96">
        <v>11.1</v>
      </c>
      <c r="BE89" s="96">
        <v>9.8699999999999992</v>
      </c>
      <c r="BF89" s="96">
        <v>8.9</v>
      </c>
      <c r="BG89" s="96">
        <v>9.35</v>
      </c>
      <c r="BH89" s="96">
        <v>10.53</v>
      </c>
      <c r="BI89" s="96">
        <v>11.46</v>
      </c>
      <c r="BJ89" s="96">
        <v>11.25</v>
      </c>
      <c r="BK89" s="96">
        <v>10.32</v>
      </c>
      <c r="BL89" s="96">
        <v>10.25</v>
      </c>
      <c r="BM89" s="96">
        <v>9.8699999999999992</v>
      </c>
      <c r="BN89" s="96">
        <v>10.47</v>
      </c>
      <c r="BO89" s="96">
        <v>9.6999999999999993</v>
      </c>
      <c r="BP89" s="96">
        <v>9.82</v>
      </c>
      <c r="BQ89" s="96">
        <v>8.74</v>
      </c>
      <c r="BR89" s="96">
        <v>10.39</v>
      </c>
      <c r="BS89" s="96">
        <v>9.26</v>
      </c>
      <c r="BT89" s="96">
        <v>8.98</v>
      </c>
      <c r="BU89" s="96">
        <v>10.56</v>
      </c>
      <c r="BV89" s="96">
        <v>10.48</v>
      </c>
      <c r="BW89" s="96">
        <v>9.92</v>
      </c>
      <c r="BX89" s="96">
        <v>8.25</v>
      </c>
      <c r="BY89" s="96">
        <v>9.5299999999999994</v>
      </c>
      <c r="BZ89" s="96">
        <v>10.72</v>
      </c>
      <c r="CA89" s="96">
        <v>10.1</v>
      </c>
      <c r="CB89" s="96">
        <v>9.91</v>
      </c>
      <c r="CC89" s="96">
        <v>9.92</v>
      </c>
      <c r="CD89" s="96">
        <v>11.65</v>
      </c>
      <c r="CE89" s="96">
        <v>10.86</v>
      </c>
      <c r="CF89" s="96">
        <v>8.83</v>
      </c>
      <c r="CG89" s="96">
        <v>12.93</v>
      </c>
      <c r="CH89" s="96">
        <v>11.76</v>
      </c>
      <c r="CI89" s="96">
        <v>10.11</v>
      </c>
      <c r="CJ89" s="96">
        <v>11.54</v>
      </c>
      <c r="CK89" s="96">
        <v>9.91</v>
      </c>
      <c r="CL89" s="96">
        <v>10.9</v>
      </c>
      <c r="CM89" s="96">
        <v>10.73</v>
      </c>
      <c r="CN89" s="96">
        <v>12.63</v>
      </c>
      <c r="CO89" s="96">
        <v>11.7</v>
      </c>
      <c r="CP89" s="309">
        <f>SUM(Input_Raw[[#This Row],[P-01]:[P-56]])/1000</f>
        <v>1322.0709999999999</v>
      </c>
      <c r="CQ89" s="310">
        <f>IFERROR(AVERAGEIF(Input_Raw[[#This Row],[WS_P-01]:[WS_P-56]],"&lt;&gt;",Input_Raw[[#This Row],[WS_P-01]:[WS_P-56]]),"")</f>
        <v>10.391363636363637</v>
      </c>
      <c r="CR89" s="311">
        <f>MAX(Input_Raw[[#This Row],[WS_P-01]:[WS_P-56]])</f>
        <v>12.93</v>
      </c>
      <c r="CS89" s="311"/>
      <c r="CT89" s="312">
        <f>SUM(Input_Raw[[#This Row],[P-08]:[P-13]],Input_Raw[[#This Row],[P-25]:[P-28]])</f>
        <v>284490</v>
      </c>
      <c r="CU89" s="312"/>
      <c r="CV89" s="312">
        <f>SUM(Input_Raw[[#This Row],[P-04]],Input_Raw[[#This Row],[P-14]:[P-17]],Input_Raw[[#This Row],[P-19]:[P-20]],Input_Raw[[#This Row],[P-22]:[P-23]],Input_Raw[[#This Row],[P-34]],Input_Raw[[#This Row],[P-38]],Input_Raw[[#This Row],[P-43]])</f>
        <v>345971</v>
      </c>
      <c r="CW89" s="312"/>
      <c r="CX89" s="312">
        <f>SUM(Input_Raw[[#This Row],[P-05]:[P-06]],Input_Raw[[#This Row],[P-40]:[P-42]],Input_Raw[[#This Row],[P-45]],Input_Raw[[#This Row],[P-46]],Input_Raw[[#This Row],[P-47]:[P-48]])</f>
        <v>298100</v>
      </c>
      <c r="CY89" s="312"/>
      <c r="CZ89" s="312">
        <f>SUM(Input_Raw[[#This Row],[P-01]:[P-03]],Input_Raw[[#This Row],[P-07]],Input_Raw[[#This Row],[P-18]],Input_Raw[[#This Row],[P-31]:[P-32]],Input_Raw[[#This Row],[P-37]],Input_Raw[[#This Row],[P-50]:[P-56]])</f>
        <v>393510</v>
      </c>
      <c r="DA89" s="313"/>
      <c r="DB89" s="314">
        <f>Input_Raw[[#This Row],[33 kV_Wind_F1_Export reading]]/1000</f>
        <v>284.49</v>
      </c>
      <c r="DC89" s="314"/>
      <c r="DD89" s="314">
        <f>Input_Raw[[#This Row],[33 kV_Wind_F2_Export_reading]]/1000</f>
        <v>345.971</v>
      </c>
      <c r="DE89" s="314"/>
      <c r="DF89" s="314">
        <f>Input_Raw[[#This Row],[33 kV_Wind_F3_Export_Reading]]/1000</f>
        <v>298.10000000000002</v>
      </c>
      <c r="DG89" s="314"/>
      <c r="DH89" s="314">
        <f>Input_Raw[[#This Row],[33 kV_Wind_F4_Export Reading]]/1000</f>
        <v>393.51</v>
      </c>
      <c r="DI89" s="314"/>
      <c r="DJ89" s="314">
        <f>Input_Raw[[#This Row],[33 kV_F1_Total_Export (MWh)]]+Input_Raw[[#This Row],[33 kV_F2_Total_Export (MWh)2]]+Input_Raw[[#This Row],[33 kV_Wind_F3_Export (MWh)]]+Input_Raw[[#This Row],[33 kV_Wind_F4_Export (MWh)]]</f>
        <v>1322.0709999999999</v>
      </c>
      <c r="DK89" s="314">
        <f>Input_Raw[[#This Row],[33 kV_Wind_F1_Import (MWh)]]+Input_Raw[[#This Row],[33 kV_Wind_F2_Import (MWh)]]+Input_Raw[[#This Row],[33 kV_Wind_F3_Import (MWh)2]]+Input_Raw[[#This Row],[33 kV_Wind_F4_Import (MWh)2]]</f>
        <v>0</v>
      </c>
      <c r="DL89" s="315">
        <f>IFERROR(Input_Raw[[#This Row],[33 kV_Wind_Total_Export (MWh)]]/Input_Raw[[#This Row],[WTG Total Gneration (MWh)]]-1,"")</f>
        <v>0</v>
      </c>
      <c r="DM89" s="316"/>
      <c r="DN89" s="186">
        <v>88</v>
      </c>
      <c r="DO89" s="186">
        <v>19905.13</v>
      </c>
      <c r="DP89" s="102">
        <v>1337.29</v>
      </c>
      <c r="DQ89" s="316"/>
      <c r="DR89" s="181">
        <v>70.400000000000006</v>
      </c>
    </row>
    <row r="90" spans="1:122">
      <c r="A90" s="92">
        <f t="shared" si="74"/>
        <v>45830</v>
      </c>
      <c r="B90" s="190">
        <f>YEAR(Input_Raw[[#This Row],[Date]])+IF(MONTH(Input_Raw[[#This Row],[Date]])&gt;=4,1,0)</f>
        <v>2026</v>
      </c>
      <c r="C90" s="190">
        <f>YEAR(Input_Raw[[#This Row],[Date]])</f>
        <v>2025</v>
      </c>
      <c r="D90" s="11">
        <f t="shared" ref="D90" si="141">A90-DAY(A90)+1</f>
        <v>45809</v>
      </c>
      <c r="E90" s="190">
        <f>DAY(EOMONTH(Input_Raw[[#This Row],[Date]],0))</f>
        <v>30</v>
      </c>
      <c r="F90" s="199">
        <v>35268</v>
      </c>
      <c r="G90" s="199">
        <v>31376</v>
      </c>
      <c r="H90" s="199">
        <v>28408</v>
      </c>
      <c r="I90" s="199">
        <v>33820</v>
      </c>
      <c r="J90" s="199">
        <v>33368</v>
      </c>
      <c r="K90" s="199">
        <v>32752.000000000004</v>
      </c>
      <c r="L90" s="199">
        <v>33774</v>
      </c>
      <c r="M90" s="199">
        <v>30090</v>
      </c>
      <c r="N90" s="199">
        <v>22256</v>
      </c>
      <c r="O90" s="199">
        <v>25796</v>
      </c>
      <c r="P90" s="199">
        <v>28906</v>
      </c>
      <c r="Q90" s="199">
        <v>35872</v>
      </c>
      <c r="R90" s="199">
        <v>36164</v>
      </c>
      <c r="S90" s="199">
        <v>30960</v>
      </c>
      <c r="T90" s="199">
        <v>29464</v>
      </c>
      <c r="U90" s="199">
        <v>31010</v>
      </c>
      <c r="V90" s="199">
        <v>33144</v>
      </c>
      <c r="W90" s="199">
        <v>30088</v>
      </c>
      <c r="X90" s="199">
        <v>27604</v>
      </c>
      <c r="Y90" s="199">
        <v>26036</v>
      </c>
      <c r="Z90" s="199">
        <v>33100</v>
      </c>
      <c r="AA90" s="199">
        <v>26816</v>
      </c>
      <c r="AB90" s="199">
        <v>29532</v>
      </c>
      <c r="AC90" s="199">
        <v>31144</v>
      </c>
      <c r="AD90" s="199">
        <v>33436</v>
      </c>
      <c r="AE90" s="199">
        <v>33180</v>
      </c>
      <c r="AF90" s="199">
        <v>24908</v>
      </c>
      <c r="AG90" s="199">
        <v>28364</v>
      </c>
      <c r="AH90" s="199">
        <v>31696</v>
      </c>
      <c r="AI90" s="199">
        <v>30752</v>
      </c>
      <c r="AJ90" s="199">
        <v>30464</v>
      </c>
      <c r="AK90" s="199">
        <v>25338</v>
      </c>
      <c r="AL90" s="199">
        <v>32536</v>
      </c>
      <c r="AM90" s="199">
        <v>34532</v>
      </c>
      <c r="AN90" s="199">
        <v>27220</v>
      </c>
      <c r="AO90" s="199">
        <v>36376</v>
      </c>
      <c r="AP90" s="199">
        <v>36276</v>
      </c>
      <c r="AQ90" s="199">
        <v>33948</v>
      </c>
      <c r="AR90" s="199">
        <v>35660</v>
      </c>
      <c r="AS90" s="199">
        <v>31874</v>
      </c>
      <c r="AT90" s="199">
        <v>34872</v>
      </c>
      <c r="AU90" s="199">
        <v>27490</v>
      </c>
      <c r="AV90" s="199">
        <v>36912</v>
      </c>
      <c r="AW90" s="199">
        <v>36036</v>
      </c>
      <c r="AX90" s="96">
        <v>11.07</v>
      </c>
      <c r="AY90" s="96">
        <v>10.62</v>
      </c>
      <c r="AZ90" s="96">
        <v>9.86</v>
      </c>
      <c r="BA90" s="96">
        <v>11.34</v>
      </c>
      <c r="BB90" s="96">
        <v>10.57</v>
      </c>
      <c r="BC90" s="96">
        <v>11.13</v>
      </c>
      <c r="BD90" s="96">
        <v>11.25</v>
      </c>
      <c r="BE90" s="96">
        <v>10.48</v>
      </c>
      <c r="BF90" s="96">
        <v>9.09</v>
      </c>
      <c r="BG90" s="96">
        <v>9.9700000000000006</v>
      </c>
      <c r="BH90" s="96">
        <v>11.68</v>
      </c>
      <c r="BI90" s="96">
        <v>12.67</v>
      </c>
      <c r="BJ90" s="96">
        <v>11.97</v>
      </c>
      <c r="BK90" s="96">
        <v>10.35</v>
      </c>
      <c r="BL90" s="96">
        <v>10.73</v>
      </c>
      <c r="BM90" s="96">
        <v>10.46</v>
      </c>
      <c r="BN90" s="96">
        <v>11.3</v>
      </c>
      <c r="BO90" s="96">
        <v>10.08</v>
      </c>
      <c r="BP90" s="96">
        <v>9.89</v>
      </c>
      <c r="BQ90" s="96">
        <v>9.0500000000000007</v>
      </c>
      <c r="BR90" s="96">
        <v>10.76</v>
      </c>
      <c r="BS90" s="96">
        <v>9.59</v>
      </c>
      <c r="BT90" s="96">
        <v>9.51</v>
      </c>
      <c r="BU90" s="96">
        <v>11.05</v>
      </c>
      <c r="BV90" s="96">
        <v>11.23</v>
      </c>
      <c r="BW90" s="96">
        <v>10.99</v>
      </c>
      <c r="BX90" s="96">
        <v>8.91</v>
      </c>
      <c r="BY90" s="96">
        <v>9.74</v>
      </c>
      <c r="BZ90" s="96">
        <v>11.15</v>
      </c>
      <c r="CA90" s="96">
        <v>10.35</v>
      </c>
      <c r="CB90" s="96">
        <v>10.68</v>
      </c>
      <c r="CC90" s="96">
        <v>9.6</v>
      </c>
      <c r="CD90" s="96">
        <v>11.79</v>
      </c>
      <c r="CE90" s="96">
        <v>11.48</v>
      </c>
      <c r="CF90" s="96">
        <v>9.39</v>
      </c>
      <c r="CG90" s="96">
        <v>13.14</v>
      </c>
      <c r="CH90" s="96">
        <v>12.16</v>
      </c>
      <c r="CI90" s="96">
        <v>11.05</v>
      </c>
      <c r="CJ90" s="96">
        <v>11.74</v>
      </c>
      <c r="CK90" s="96">
        <v>10.61</v>
      </c>
      <c r="CL90" s="96">
        <v>11.52</v>
      </c>
      <c r="CM90" s="96">
        <v>11.01</v>
      </c>
      <c r="CN90" s="96">
        <v>12.74</v>
      </c>
      <c r="CO90" s="96">
        <v>11.85</v>
      </c>
      <c r="CP90" s="309">
        <f>SUM(Input_Raw[[#This Row],[P-01]:[P-56]])/1000</f>
        <v>1378.6179999999999</v>
      </c>
      <c r="CQ90" s="310">
        <f>IFERROR(AVERAGEIF(Input_Raw[[#This Row],[WS_P-01]:[WS_P-56]],"&lt;&gt;",Input_Raw[[#This Row],[WS_P-01]:[WS_P-56]]),"")</f>
        <v>10.809090909090912</v>
      </c>
      <c r="CR90" s="311">
        <f>MAX(Input_Raw[[#This Row],[WS_P-01]:[WS_P-56]])</f>
        <v>13.14</v>
      </c>
      <c r="CS90" s="311"/>
      <c r="CT90" s="312">
        <f>SUM(Input_Raw[[#This Row],[P-08]:[P-13]],Input_Raw[[#This Row],[P-25]:[P-28]])</f>
        <v>306376</v>
      </c>
      <c r="CU90" s="312"/>
      <c r="CV90" s="312">
        <f>SUM(Input_Raw[[#This Row],[P-04]],Input_Raw[[#This Row],[P-14]:[P-17]],Input_Raw[[#This Row],[P-19]:[P-20]],Input_Raw[[#This Row],[P-22]:[P-23]],Input_Raw[[#This Row],[P-34]],Input_Raw[[#This Row],[P-38]],Input_Raw[[#This Row],[P-43]])</f>
        <v>361334</v>
      </c>
      <c r="CW90" s="312"/>
      <c r="CX90" s="312">
        <f>SUM(Input_Raw[[#This Row],[P-05]:[P-06]],Input_Raw[[#This Row],[P-40]:[P-42]],Input_Raw[[#This Row],[P-45]],Input_Raw[[#This Row],[P-46]],Input_Raw[[#This Row],[P-47]:[P-48]])</f>
        <v>300786</v>
      </c>
      <c r="CY90" s="312"/>
      <c r="CZ90" s="312">
        <f>SUM(Input_Raw[[#This Row],[P-01]:[P-03]],Input_Raw[[#This Row],[P-07]],Input_Raw[[#This Row],[P-18]],Input_Raw[[#This Row],[P-31]:[P-32]],Input_Raw[[#This Row],[P-37]],Input_Raw[[#This Row],[P-50]:[P-56]])</f>
        <v>410122</v>
      </c>
      <c r="DA90" s="313"/>
      <c r="DB90" s="314">
        <f>Input_Raw[[#This Row],[33 kV_Wind_F1_Export reading]]/1000</f>
        <v>306.37599999999998</v>
      </c>
      <c r="DC90" s="314"/>
      <c r="DD90" s="314">
        <f>Input_Raw[[#This Row],[33 kV_Wind_F2_Export_reading]]/1000</f>
        <v>361.334</v>
      </c>
      <c r="DE90" s="314"/>
      <c r="DF90" s="314">
        <f>Input_Raw[[#This Row],[33 kV_Wind_F3_Export_Reading]]/1000</f>
        <v>300.786</v>
      </c>
      <c r="DG90" s="314"/>
      <c r="DH90" s="314">
        <f>Input_Raw[[#This Row],[33 kV_Wind_F4_Export Reading]]/1000</f>
        <v>410.12200000000001</v>
      </c>
      <c r="DI90" s="314"/>
      <c r="DJ90" s="314">
        <f>Input_Raw[[#This Row],[33 kV_F1_Total_Export (MWh)]]+Input_Raw[[#This Row],[33 kV_F2_Total_Export (MWh)2]]+Input_Raw[[#This Row],[33 kV_Wind_F3_Export (MWh)]]+Input_Raw[[#This Row],[33 kV_Wind_F4_Export (MWh)]]</f>
        <v>1378.6180000000002</v>
      </c>
      <c r="DK90" s="314">
        <f>Input_Raw[[#This Row],[33 kV_Wind_F1_Import (MWh)]]+Input_Raw[[#This Row],[33 kV_Wind_F2_Import (MWh)]]+Input_Raw[[#This Row],[33 kV_Wind_F3_Import (MWh)2]]+Input_Raw[[#This Row],[33 kV_Wind_F4_Import (MWh)2]]</f>
        <v>0</v>
      </c>
      <c r="DL90" s="315">
        <f>IFERROR(Input_Raw[[#This Row],[33 kV_Wind_Total_Export (MWh)]]/Input_Raw[[#This Row],[WTG Total Gneration (MWh)]]-1,"")</f>
        <v>2.2204460492503131E-16</v>
      </c>
      <c r="DM90" s="316"/>
      <c r="DN90" s="186">
        <v>88</v>
      </c>
      <c r="DO90" s="186">
        <v>12007.25</v>
      </c>
      <c r="DP90" s="102">
        <v>1411.15</v>
      </c>
      <c r="DQ90" s="316"/>
      <c r="DR90" s="181">
        <v>70.400000000000006</v>
      </c>
    </row>
    <row r="91" spans="1:122">
      <c r="A91" s="92">
        <f t="shared" si="74"/>
        <v>45831</v>
      </c>
      <c r="B91" s="190">
        <f>YEAR(Input_Raw[[#This Row],[Date]])+IF(MONTH(Input_Raw[[#This Row],[Date]])&gt;=4,1,0)</f>
        <v>2026</v>
      </c>
      <c r="C91" s="190">
        <f>YEAR(Input_Raw[[#This Row],[Date]])</f>
        <v>2025</v>
      </c>
      <c r="D91" s="11">
        <f t="shared" ref="D91" si="142">A91-DAY(A91)+1</f>
        <v>45809</v>
      </c>
      <c r="E91" s="190">
        <f>DAY(EOMONTH(Input_Raw[[#This Row],[Date]],0))</f>
        <v>30</v>
      </c>
      <c r="F91" s="199">
        <v>31768</v>
      </c>
      <c r="G91" s="199">
        <v>30844</v>
      </c>
      <c r="H91" s="199">
        <v>29372</v>
      </c>
      <c r="I91" s="199">
        <v>35934</v>
      </c>
      <c r="J91" s="199">
        <v>38084</v>
      </c>
      <c r="K91" s="199">
        <v>37928</v>
      </c>
      <c r="L91" s="199">
        <v>31610</v>
      </c>
      <c r="M91" s="199">
        <v>33912</v>
      </c>
      <c r="N91" s="199">
        <v>27648</v>
      </c>
      <c r="O91" s="199">
        <v>31576</v>
      </c>
      <c r="P91" s="199">
        <v>35656</v>
      </c>
      <c r="Q91" s="199">
        <v>37360</v>
      </c>
      <c r="R91" s="199">
        <v>37956</v>
      </c>
      <c r="S91" s="199">
        <v>35964</v>
      </c>
      <c r="T91" s="199">
        <v>34936</v>
      </c>
      <c r="U91" s="199">
        <v>36106</v>
      </c>
      <c r="V91" s="199">
        <v>36156</v>
      </c>
      <c r="W91" s="199">
        <v>30916</v>
      </c>
      <c r="X91" s="199">
        <v>37072</v>
      </c>
      <c r="Y91" s="199">
        <v>35571</v>
      </c>
      <c r="Z91" s="199">
        <v>37288</v>
      </c>
      <c r="AA91" s="199">
        <v>36084</v>
      </c>
      <c r="AB91" s="199">
        <v>36216</v>
      </c>
      <c r="AC91" s="199">
        <v>36684</v>
      </c>
      <c r="AD91" s="199">
        <v>37120</v>
      </c>
      <c r="AE91" s="199">
        <v>36656</v>
      </c>
      <c r="AF91" s="199">
        <v>26728</v>
      </c>
      <c r="AG91" s="199">
        <v>25442</v>
      </c>
      <c r="AH91" s="199">
        <v>33592</v>
      </c>
      <c r="AI91" s="199">
        <v>30044</v>
      </c>
      <c r="AJ91" s="199">
        <v>36748</v>
      </c>
      <c r="AK91" s="199">
        <v>35492</v>
      </c>
      <c r="AL91" s="199">
        <v>35216</v>
      </c>
      <c r="AM91" s="199">
        <v>35360</v>
      </c>
      <c r="AN91" s="199">
        <v>35322</v>
      </c>
      <c r="AO91" s="199">
        <v>38592</v>
      </c>
      <c r="AP91" s="199">
        <v>38616</v>
      </c>
      <c r="AQ91" s="199">
        <v>38140</v>
      </c>
      <c r="AR91" s="199">
        <v>38564</v>
      </c>
      <c r="AS91" s="199">
        <v>28652</v>
      </c>
      <c r="AT91" s="199">
        <v>29696</v>
      </c>
      <c r="AU91" s="199">
        <v>22890</v>
      </c>
      <c r="AV91" s="199">
        <v>31044</v>
      </c>
      <c r="AW91" s="199">
        <v>32100</v>
      </c>
      <c r="AX91" s="96">
        <v>13.81</v>
      </c>
      <c r="AY91" s="96">
        <v>14.11</v>
      </c>
      <c r="AZ91" s="96">
        <v>12.49</v>
      </c>
      <c r="BA91" s="96">
        <v>14.06</v>
      </c>
      <c r="BB91" s="96">
        <v>13.32</v>
      </c>
      <c r="BC91" s="96">
        <v>14.28</v>
      </c>
      <c r="BD91" s="96">
        <v>13.99</v>
      </c>
      <c r="BE91" s="96">
        <v>12.83</v>
      </c>
      <c r="BF91" s="96">
        <v>11.39</v>
      </c>
      <c r="BG91" s="96">
        <v>11.77</v>
      </c>
      <c r="BH91" s="96">
        <v>14.07</v>
      </c>
      <c r="BI91" s="96">
        <v>15.21</v>
      </c>
      <c r="BJ91" s="96">
        <v>14.11</v>
      </c>
      <c r="BK91" s="96">
        <v>12.99</v>
      </c>
      <c r="BL91" s="96">
        <v>13.24</v>
      </c>
      <c r="BM91" s="96">
        <v>12.6</v>
      </c>
      <c r="BN91" s="96">
        <v>13.91</v>
      </c>
      <c r="BO91" s="96">
        <v>12.8</v>
      </c>
      <c r="BP91" s="96">
        <v>13.01</v>
      </c>
      <c r="BQ91" s="96">
        <v>11.7</v>
      </c>
      <c r="BR91" s="96">
        <v>13.19</v>
      </c>
      <c r="BS91" s="96">
        <v>12.74</v>
      </c>
      <c r="BT91" s="96">
        <v>12.23</v>
      </c>
      <c r="BU91" s="96">
        <v>14.36</v>
      </c>
      <c r="BV91" s="96">
        <v>13.79</v>
      </c>
      <c r="BW91" s="96">
        <v>12.99</v>
      </c>
      <c r="BX91" s="96">
        <v>11.18</v>
      </c>
      <c r="BY91" s="96">
        <v>11.75</v>
      </c>
      <c r="BZ91" s="96">
        <v>13.49</v>
      </c>
      <c r="CA91" s="96">
        <v>12.71</v>
      </c>
      <c r="CB91" s="96">
        <v>13</v>
      </c>
      <c r="CC91" s="96">
        <v>12.41</v>
      </c>
      <c r="CD91" s="96">
        <v>15.61</v>
      </c>
      <c r="CE91" s="96">
        <v>14.29</v>
      </c>
      <c r="CF91" s="96">
        <v>12.34</v>
      </c>
      <c r="CG91" s="96">
        <v>16.41</v>
      </c>
      <c r="CH91" s="96">
        <v>15.2</v>
      </c>
      <c r="CI91" s="96">
        <v>13.78</v>
      </c>
      <c r="CJ91" s="96">
        <v>14.55</v>
      </c>
      <c r="CK91" s="96">
        <v>12.41</v>
      </c>
      <c r="CL91" s="96">
        <v>13.44</v>
      </c>
      <c r="CM91" s="96">
        <v>13.62</v>
      </c>
      <c r="CN91" s="96">
        <v>15.84</v>
      </c>
      <c r="CO91" s="96">
        <v>14.59</v>
      </c>
      <c r="CP91" s="309">
        <f>SUM(Input_Raw[[#This Row],[P-01]:[P-56]])/1000</f>
        <v>1498.655</v>
      </c>
      <c r="CQ91" s="310">
        <f>IFERROR(AVERAGEIF(Input_Raw[[#This Row],[WS_P-01]:[WS_P-56]],"&lt;&gt;",Input_Raw[[#This Row],[WS_P-01]:[WS_P-56]]),"")</f>
        <v>13.445681818181821</v>
      </c>
      <c r="CR91" s="311">
        <f>MAX(Input_Raw[[#This Row],[WS_P-01]:[WS_P-56]])</f>
        <v>16.41</v>
      </c>
      <c r="CS91" s="311"/>
      <c r="CT91" s="312">
        <f>SUM(Input_Raw[[#This Row],[P-08]:[P-13]],Input_Raw[[#This Row],[P-25]:[P-28]])</f>
        <v>350784</v>
      </c>
      <c r="CU91" s="312"/>
      <c r="CV91" s="312">
        <f>SUM(Input_Raw[[#This Row],[P-04]],Input_Raw[[#This Row],[P-14]:[P-17]],Input_Raw[[#This Row],[P-19]:[P-20]],Input_Raw[[#This Row],[P-22]:[P-23]],Input_Raw[[#This Row],[P-34]],Input_Raw[[#This Row],[P-38]],Input_Raw[[#This Row],[P-43]])</f>
        <v>430773</v>
      </c>
      <c r="CW91" s="312"/>
      <c r="CX91" s="312">
        <f>SUM(Input_Raw[[#This Row],[P-05]:[P-06]],Input_Raw[[#This Row],[P-40]:[P-42]],Input_Raw[[#This Row],[P-45]],Input_Raw[[#This Row],[P-46]],Input_Raw[[#This Row],[P-47]:[P-48]])</f>
        <v>335992</v>
      </c>
      <c r="CY91" s="312"/>
      <c r="CZ91" s="312">
        <f>SUM(Input_Raw[[#This Row],[P-01]:[P-03]],Input_Raw[[#This Row],[P-07]],Input_Raw[[#This Row],[P-18]],Input_Raw[[#This Row],[P-31]:[P-32]],Input_Raw[[#This Row],[P-37]],Input_Raw[[#This Row],[P-50]:[P-56]])</f>
        <v>381106</v>
      </c>
      <c r="DA91" s="313"/>
      <c r="DB91" s="314">
        <f>Input_Raw[[#This Row],[33 kV_Wind_F1_Export reading]]/1000</f>
        <v>350.78399999999999</v>
      </c>
      <c r="DC91" s="314"/>
      <c r="DD91" s="314">
        <f>Input_Raw[[#This Row],[33 kV_Wind_F2_Export_reading]]/1000</f>
        <v>430.77300000000002</v>
      </c>
      <c r="DE91" s="314"/>
      <c r="DF91" s="314">
        <f>Input_Raw[[#This Row],[33 kV_Wind_F3_Export_Reading]]/1000</f>
        <v>335.99200000000002</v>
      </c>
      <c r="DG91" s="314"/>
      <c r="DH91" s="314">
        <f>Input_Raw[[#This Row],[33 kV_Wind_F4_Export Reading]]/1000</f>
        <v>381.10599999999999</v>
      </c>
      <c r="DI91" s="314"/>
      <c r="DJ91" s="314">
        <f>Input_Raw[[#This Row],[33 kV_F1_Total_Export (MWh)]]+Input_Raw[[#This Row],[33 kV_F2_Total_Export (MWh)2]]+Input_Raw[[#This Row],[33 kV_Wind_F3_Export (MWh)]]+Input_Raw[[#This Row],[33 kV_Wind_F4_Export (MWh)]]</f>
        <v>1498.655</v>
      </c>
      <c r="DK91" s="314">
        <f>Input_Raw[[#This Row],[33 kV_Wind_F1_Import (MWh)]]+Input_Raw[[#This Row],[33 kV_Wind_F2_Import (MWh)]]+Input_Raw[[#This Row],[33 kV_Wind_F3_Import (MWh)2]]+Input_Raw[[#This Row],[33 kV_Wind_F4_Import (MWh)2]]</f>
        <v>0</v>
      </c>
      <c r="DL91" s="315">
        <f>IFERROR(Input_Raw[[#This Row],[33 kV_Wind_Total_Export (MWh)]]/Input_Raw[[#This Row],[WTG Total Gneration (MWh)]]-1,"")</f>
        <v>0</v>
      </c>
      <c r="DM91" s="316"/>
      <c r="DN91" s="186">
        <v>76</v>
      </c>
      <c r="DO91" s="186">
        <v>5714</v>
      </c>
      <c r="DP91" s="102">
        <v>1581.51</v>
      </c>
      <c r="DQ91" s="316"/>
      <c r="DR91" s="181">
        <v>70.400000000000006</v>
      </c>
    </row>
    <row r="92" spans="1:122">
      <c r="A92" s="92">
        <f t="shared" si="74"/>
        <v>45832</v>
      </c>
      <c r="B92" s="190">
        <f>YEAR(Input_Raw[[#This Row],[Date]])+IF(MONTH(Input_Raw[[#This Row],[Date]])&gt;=4,1,0)</f>
        <v>2026</v>
      </c>
      <c r="C92" s="190">
        <f>YEAR(Input_Raw[[#This Row],[Date]])</f>
        <v>2025</v>
      </c>
      <c r="D92" s="11">
        <f t="shared" ref="D92" si="143">A92-DAY(A92)+1</f>
        <v>45809</v>
      </c>
      <c r="E92" s="190">
        <f>DAY(EOMONTH(Input_Raw[[#This Row],[Date]],0))</f>
        <v>30</v>
      </c>
      <c r="F92" s="199">
        <v>36304</v>
      </c>
      <c r="G92" s="199">
        <v>34300</v>
      </c>
      <c r="H92" s="199">
        <v>34904</v>
      </c>
      <c r="I92" s="199">
        <v>36964</v>
      </c>
      <c r="J92" s="199">
        <v>37444</v>
      </c>
      <c r="K92" s="199">
        <v>36416</v>
      </c>
      <c r="L92" s="199">
        <v>34906</v>
      </c>
      <c r="M92" s="199">
        <v>35892</v>
      </c>
      <c r="N92" s="199">
        <v>31096</v>
      </c>
      <c r="O92" s="199">
        <v>33644</v>
      </c>
      <c r="P92" s="199">
        <v>35304</v>
      </c>
      <c r="Q92" s="199">
        <v>37592</v>
      </c>
      <c r="R92" s="199">
        <v>37912</v>
      </c>
      <c r="S92" s="199">
        <v>33632</v>
      </c>
      <c r="T92" s="199">
        <v>33916</v>
      </c>
      <c r="U92" s="199">
        <v>36376</v>
      </c>
      <c r="V92" s="199">
        <v>34668</v>
      </c>
      <c r="W92" s="199">
        <v>35292</v>
      </c>
      <c r="X92" s="199">
        <v>35668</v>
      </c>
      <c r="Y92" s="199">
        <v>33965</v>
      </c>
      <c r="Z92" s="199">
        <v>36664</v>
      </c>
      <c r="AA92" s="199">
        <v>35196</v>
      </c>
      <c r="AB92" s="199">
        <v>36272</v>
      </c>
      <c r="AC92" s="199">
        <v>35796</v>
      </c>
      <c r="AD92" s="199">
        <v>37600</v>
      </c>
      <c r="AE92" s="199">
        <v>37384</v>
      </c>
      <c r="AF92" s="199">
        <v>33520</v>
      </c>
      <c r="AG92" s="199">
        <v>31976</v>
      </c>
      <c r="AH92" s="199">
        <v>23564</v>
      </c>
      <c r="AI92" s="199">
        <v>33866</v>
      </c>
      <c r="AJ92" s="199">
        <v>35908</v>
      </c>
      <c r="AK92" s="199">
        <v>32409.999999999996</v>
      </c>
      <c r="AL92" s="199">
        <v>36244</v>
      </c>
      <c r="AM92" s="199">
        <v>37488</v>
      </c>
      <c r="AN92" s="199">
        <v>34862</v>
      </c>
      <c r="AO92" s="199">
        <v>38192</v>
      </c>
      <c r="AP92" s="199">
        <v>37640</v>
      </c>
      <c r="AQ92" s="199">
        <v>37868</v>
      </c>
      <c r="AR92" s="199">
        <v>38044</v>
      </c>
      <c r="AS92" s="199">
        <v>27660</v>
      </c>
      <c r="AT92" s="199">
        <v>35100</v>
      </c>
      <c r="AU92" s="199">
        <v>26496</v>
      </c>
      <c r="AV92" s="199">
        <v>35840</v>
      </c>
      <c r="AW92" s="199">
        <v>36236</v>
      </c>
      <c r="AX92" s="96">
        <v>13.68</v>
      </c>
      <c r="AY92" s="96">
        <v>13.93</v>
      </c>
      <c r="AZ92" s="96">
        <v>13.18</v>
      </c>
      <c r="BA92" s="96">
        <v>13.79</v>
      </c>
      <c r="BB92" s="96">
        <v>13.23</v>
      </c>
      <c r="BC92" s="96">
        <v>13.62</v>
      </c>
      <c r="BD92" s="96">
        <v>13.81</v>
      </c>
      <c r="BE92" s="96">
        <v>12.97</v>
      </c>
      <c r="BF92" s="96">
        <v>11.4</v>
      </c>
      <c r="BG92" s="96">
        <v>12.08</v>
      </c>
      <c r="BH92" s="96">
        <v>15.06</v>
      </c>
      <c r="BI92" s="96">
        <v>15.91</v>
      </c>
      <c r="BJ92" s="96">
        <v>14.23</v>
      </c>
      <c r="BK92" s="96">
        <v>12.64</v>
      </c>
      <c r="BL92" s="96">
        <v>13.04</v>
      </c>
      <c r="BM92" s="96">
        <v>12.88</v>
      </c>
      <c r="BN92" s="96">
        <v>13.84</v>
      </c>
      <c r="BO92" s="96">
        <v>13.06</v>
      </c>
      <c r="BP92" s="96">
        <v>12.56</v>
      </c>
      <c r="BQ92" s="96">
        <v>11.49</v>
      </c>
      <c r="BR92" s="96">
        <v>12.92</v>
      </c>
      <c r="BS92" s="96">
        <v>12.4</v>
      </c>
      <c r="BT92" s="96">
        <v>12.2</v>
      </c>
      <c r="BU92" s="96">
        <v>14.15</v>
      </c>
      <c r="BV92" s="96">
        <v>14.26</v>
      </c>
      <c r="BW92" s="96">
        <v>13.31</v>
      </c>
      <c r="BX92" s="96">
        <v>12.18</v>
      </c>
      <c r="BY92" s="96">
        <v>11.58</v>
      </c>
      <c r="BZ92" s="96">
        <v>11.92</v>
      </c>
      <c r="CA92" s="96">
        <v>12.45</v>
      </c>
      <c r="CB92" s="96">
        <v>13.08</v>
      </c>
      <c r="CC92" s="96">
        <v>11.78</v>
      </c>
      <c r="CD92" s="96">
        <v>15.34</v>
      </c>
      <c r="CE92" s="96">
        <v>14.15</v>
      </c>
      <c r="CF92" s="96">
        <v>12.27</v>
      </c>
      <c r="CG92" s="96">
        <v>15.77</v>
      </c>
      <c r="CH92" s="96">
        <v>14.73</v>
      </c>
      <c r="CI92" s="96">
        <v>13.83</v>
      </c>
      <c r="CJ92" s="96">
        <v>14.22</v>
      </c>
      <c r="CK92" s="96">
        <v>12.17</v>
      </c>
      <c r="CL92" s="96">
        <v>13.49</v>
      </c>
      <c r="CM92" s="96">
        <v>13.17</v>
      </c>
      <c r="CN92" s="96">
        <v>15.67</v>
      </c>
      <c r="CO92" s="96">
        <v>14.15</v>
      </c>
      <c r="CP92" s="309">
        <f>SUM(Input_Raw[[#This Row],[P-01]:[P-56]])/1000</f>
        <v>1538.021</v>
      </c>
      <c r="CQ92" s="310">
        <f>IFERROR(AVERAGEIF(Input_Raw[[#This Row],[WS_P-01]:[WS_P-56]],"&lt;&gt;",Input_Raw[[#This Row],[WS_P-01]:[WS_P-56]]),"")</f>
        <v>13.354318181818174</v>
      </c>
      <c r="CR92" s="311">
        <f>MAX(Input_Raw[[#This Row],[WS_P-01]:[WS_P-56]])</f>
        <v>15.91</v>
      </c>
      <c r="CS92" s="311"/>
      <c r="CT92" s="312">
        <f>SUM(Input_Raw[[#This Row],[P-08]:[P-13]],Input_Raw[[#This Row],[P-25]:[P-28]])</f>
        <v>358492</v>
      </c>
      <c r="CU92" s="312"/>
      <c r="CV92" s="312">
        <f>SUM(Input_Raw[[#This Row],[P-04]],Input_Raw[[#This Row],[P-14]:[P-17]],Input_Raw[[#This Row],[P-19]:[P-20]],Input_Raw[[#This Row],[P-22]:[P-23]],Input_Raw[[#This Row],[P-34]],Input_Raw[[#This Row],[P-38]],Input_Raw[[#This Row],[P-43]])</f>
        <v>411383</v>
      </c>
      <c r="CW92" s="312"/>
      <c r="CX92" s="312">
        <f>SUM(Input_Raw[[#This Row],[P-05]:[P-06]],Input_Raw[[#This Row],[P-40]:[P-42]],Input_Raw[[#This Row],[P-45]],Input_Raw[[#This Row],[P-46]],Input_Raw[[#This Row],[P-47]:[P-48]])</f>
        <v>331746</v>
      </c>
      <c r="CY92" s="312"/>
      <c r="CZ92" s="312">
        <f>SUM(Input_Raw[[#This Row],[P-01]:[P-03]],Input_Raw[[#This Row],[P-07]],Input_Raw[[#This Row],[P-18]],Input_Raw[[#This Row],[P-31]:[P-32]],Input_Raw[[#This Row],[P-37]],Input_Raw[[#This Row],[P-50]:[P-56]])</f>
        <v>436400</v>
      </c>
      <c r="DA92" s="313"/>
      <c r="DB92" s="314">
        <f>Input_Raw[[#This Row],[33 kV_Wind_F1_Export reading]]/1000</f>
        <v>358.49200000000002</v>
      </c>
      <c r="DC92" s="314"/>
      <c r="DD92" s="314">
        <f>Input_Raw[[#This Row],[33 kV_Wind_F2_Export_reading]]/1000</f>
        <v>411.38299999999998</v>
      </c>
      <c r="DE92" s="314"/>
      <c r="DF92" s="314">
        <f>Input_Raw[[#This Row],[33 kV_Wind_F3_Export_Reading]]/1000</f>
        <v>331.74599999999998</v>
      </c>
      <c r="DG92" s="314"/>
      <c r="DH92" s="314">
        <f>Input_Raw[[#This Row],[33 kV_Wind_F4_Export Reading]]/1000</f>
        <v>436.4</v>
      </c>
      <c r="DI92" s="314"/>
      <c r="DJ92" s="314">
        <f>Input_Raw[[#This Row],[33 kV_F1_Total_Export (MWh)]]+Input_Raw[[#This Row],[33 kV_F2_Total_Export (MWh)2]]+Input_Raw[[#This Row],[33 kV_Wind_F3_Export (MWh)]]+Input_Raw[[#This Row],[33 kV_Wind_F4_Export (MWh)]]</f>
        <v>1538.0210000000002</v>
      </c>
      <c r="DK92" s="314">
        <f>Input_Raw[[#This Row],[33 kV_Wind_F1_Import (MWh)]]+Input_Raw[[#This Row],[33 kV_Wind_F2_Import (MWh)]]+Input_Raw[[#This Row],[33 kV_Wind_F3_Import (MWh)2]]+Input_Raw[[#This Row],[33 kV_Wind_F4_Import (MWh)2]]</f>
        <v>0</v>
      </c>
      <c r="DL92" s="315">
        <f>IFERROR(Input_Raw[[#This Row],[33 kV_Wind_Total_Export (MWh)]]/Input_Raw[[#This Row],[WTG Total Gneration (MWh)]]-1,"")</f>
        <v>2.2204460492503131E-16</v>
      </c>
      <c r="DM92" s="316"/>
      <c r="DN92" s="186">
        <v>93</v>
      </c>
      <c r="DO92" s="186">
        <v>7554.13</v>
      </c>
      <c r="DP92" s="102">
        <v>1618.54</v>
      </c>
      <c r="DQ92" s="316"/>
      <c r="DR92" s="181">
        <v>70.400000000000006</v>
      </c>
    </row>
    <row r="93" spans="1:122">
      <c r="A93" s="92">
        <f t="shared" si="74"/>
        <v>45833</v>
      </c>
      <c r="B93" s="190">
        <f>YEAR(Input_Raw[[#This Row],[Date]])+IF(MONTH(Input_Raw[[#This Row],[Date]])&gt;=4,1,0)</f>
        <v>2026</v>
      </c>
      <c r="C93" s="190">
        <f>YEAR(Input_Raw[[#This Row],[Date]])</f>
        <v>2025</v>
      </c>
      <c r="D93" s="11">
        <f t="shared" ref="D93" si="144">A93-DAY(A93)+1</f>
        <v>45809</v>
      </c>
      <c r="E93" s="190">
        <f>DAY(EOMONTH(Input_Raw[[#This Row],[Date]],0))</f>
        <v>30</v>
      </c>
      <c r="F93" s="199">
        <v>37872</v>
      </c>
      <c r="G93" s="199">
        <v>37092</v>
      </c>
      <c r="H93" s="199">
        <v>34608</v>
      </c>
      <c r="I93" s="199">
        <v>35210</v>
      </c>
      <c r="J93" s="199">
        <v>37056</v>
      </c>
      <c r="K93" s="199">
        <v>37400</v>
      </c>
      <c r="L93" s="199">
        <v>37636</v>
      </c>
      <c r="M93" s="199">
        <v>33792</v>
      </c>
      <c r="N93" s="199">
        <v>28304</v>
      </c>
      <c r="O93" s="199">
        <v>28912</v>
      </c>
      <c r="P93" s="199">
        <v>34046</v>
      </c>
      <c r="Q93" s="199">
        <v>36772</v>
      </c>
      <c r="R93" s="199">
        <v>37316</v>
      </c>
      <c r="S93" s="199">
        <v>34280</v>
      </c>
      <c r="T93" s="199">
        <v>32652</v>
      </c>
      <c r="U93" s="199">
        <v>34038</v>
      </c>
      <c r="V93" s="199">
        <v>35184</v>
      </c>
      <c r="W93" s="199">
        <v>35704</v>
      </c>
      <c r="X93" s="199">
        <v>34296</v>
      </c>
      <c r="Y93" s="199">
        <v>31710</v>
      </c>
      <c r="Z93" s="199">
        <v>36544</v>
      </c>
      <c r="AA93" s="199">
        <v>34212</v>
      </c>
      <c r="AB93" s="199">
        <v>31528</v>
      </c>
      <c r="AC93" s="199">
        <v>30244</v>
      </c>
      <c r="AD93" s="199">
        <v>35360</v>
      </c>
      <c r="AE93" s="199">
        <v>35172</v>
      </c>
      <c r="AF93" s="199">
        <v>31352</v>
      </c>
      <c r="AG93" s="199">
        <v>34268</v>
      </c>
      <c r="AH93" s="199">
        <v>37284</v>
      </c>
      <c r="AI93" s="199">
        <v>36452</v>
      </c>
      <c r="AJ93" s="199">
        <v>34288</v>
      </c>
      <c r="AK93" s="199">
        <v>33276</v>
      </c>
      <c r="AL93" s="199">
        <v>30556</v>
      </c>
      <c r="AM93" s="199">
        <v>37220</v>
      </c>
      <c r="AN93" s="199">
        <v>31930</v>
      </c>
      <c r="AO93" s="199">
        <v>38064</v>
      </c>
      <c r="AP93" s="199">
        <v>38040</v>
      </c>
      <c r="AQ93" s="199">
        <v>36700</v>
      </c>
      <c r="AR93" s="199">
        <v>37964</v>
      </c>
      <c r="AS93" s="199">
        <v>35056</v>
      </c>
      <c r="AT93" s="199">
        <v>37404</v>
      </c>
      <c r="AU93" s="199">
        <v>28626</v>
      </c>
      <c r="AV93" s="199">
        <v>38540</v>
      </c>
      <c r="AW93" s="199">
        <v>38292</v>
      </c>
      <c r="AX93" s="96">
        <v>12.69</v>
      </c>
      <c r="AY93" s="96">
        <v>13.17</v>
      </c>
      <c r="AZ93" s="96">
        <v>11.68</v>
      </c>
      <c r="BA93" s="96">
        <v>12.99</v>
      </c>
      <c r="BB93" s="96">
        <v>12.23</v>
      </c>
      <c r="BC93" s="96">
        <v>13.23</v>
      </c>
      <c r="BD93" s="96">
        <v>13.07</v>
      </c>
      <c r="BE93" s="96">
        <v>11.69</v>
      </c>
      <c r="BF93" s="96">
        <v>10.24</v>
      </c>
      <c r="BG93" s="96">
        <v>10.59</v>
      </c>
      <c r="BH93" s="96">
        <v>12.51</v>
      </c>
      <c r="BI93" s="96">
        <v>13.7</v>
      </c>
      <c r="BJ93" s="96">
        <v>12.81</v>
      </c>
      <c r="BK93" s="96">
        <v>11.48</v>
      </c>
      <c r="BL93" s="96">
        <v>11.77</v>
      </c>
      <c r="BM93" s="96">
        <v>11.32</v>
      </c>
      <c r="BN93" s="96">
        <v>12.46</v>
      </c>
      <c r="BO93" s="96">
        <v>11.88</v>
      </c>
      <c r="BP93" s="96">
        <v>11.36</v>
      </c>
      <c r="BQ93" s="96">
        <v>10.25</v>
      </c>
      <c r="BR93" s="96">
        <v>12.21</v>
      </c>
      <c r="BS93" s="96">
        <v>11.29</v>
      </c>
      <c r="BT93" s="96">
        <v>10.65</v>
      </c>
      <c r="BU93" s="96">
        <v>12.12</v>
      </c>
      <c r="BV93" s="96">
        <v>12.35</v>
      </c>
      <c r="BW93" s="96">
        <v>11.68</v>
      </c>
      <c r="BX93" s="96">
        <v>10.49</v>
      </c>
      <c r="BY93" s="96">
        <v>11.17</v>
      </c>
      <c r="BZ93" s="96">
        <v>12.81</v>
      </c>
      <c r="CA93" s="96">
        <v>11.88</v>
      </c>
      <c r="CB93" s="96">
        <v>11.8</v>
      </c>
      <c r="CC93" s="96">
        <v>11.41</v>
      </c>
      <c r="CD93" s="96">
        <v>13.64</v>
      </c>
      <c r="CE93" s="96">
        <v>13.14</v>
      </c>
      <c r="CF93" s="96">
        <v>10.67</v>
      </c>
      <c r="CG93" s="96">
        <v>14.81</v>
      </c>
      <c r="CH93" s="96">
        <v>13.59</v>
      </c>
      <c r="CI93" s="96">
        <v>12.35</v>
      </c>
      <c r="CJ93" s="96">
        <v>13.3</v>
      </c>
      <c r="CK93" s="96">
        <v>11.75</v>
      </c>
      <c r="CL93" s="96">
        <v>12.94</v>
      </c>
      <c r="CM93" s="96">
        <v>12.68</v>
      </c>
      <c r="CN93" s="96">
        <v>14.65</v>
      </c>
      <c r="CO93" s="96">
        <v>13.41</v>
      </c>
      <c r="CP93" s="309">
        <f>SUM(Input_Raw[[#This Row],[P-01]:[P-56]])/1000</f>
        <v>1532.252</v>
      </c>
      <c r="CQ93" s="310">
        <f>IFERROR(AVERAGEIF(Input_Raw[[#This Row],[WS_P-01]:[WS_P-56]],"&lt;&gt;",Input_Raw[[#This Row],[WS_P-01]:[WS_P-56]]),"")</f>
        <v>12.225227272727274</v>
      </c>
      <c r="CR93" s="311">
        <f>MAX(Input_Raw[[#This Row],[WS_P-01]:[WS_P-56]])</f>
        <v>14.81</v>
      </c>
      <c r="CS93" s="311"/>
      <c r="CT93" s="312">
        <f>SUM(Input_Raw[[#This Row],[P-08]:[P-13]],Input_Raw[[#This Row],[P-25]:[P-28]])</f>
        <v>331446</v>
      </c>
      <c r="CU93" s="312"/>
      <c r="CV93" s="312">
        <f>SUM(Input_Raw[[#This Row],[P-04]],Input_Raw[[#This Row],[P-14]:[P-17]],Input_Raw[[#This Row],[P-19]:[P-20]],Input_Raw[[#This Row],[P-22]:[P-23]],Input_Raw[[#This Row],[P-34]],Input_Raw[[#This Row],[P-38]],Input_Raw[[#This Row],[P-43]])</f>
        <v>411628</v>
      </c>
      <c r="CW93" s="312"/>
      <c r="CX93" s="312">
        <f>SUM(Input_Raw[[#This Row],[P-05]:[P-06]],Input_Raw[[#This Row],[P-40]:[P-42]],Input_Raw[[#This Row],[P-45]],Input_Raw[[#This Row],[P-46]],Input_Raw[[#This Row],[P-47]:[P-48]])</f>
        <v>326276</v>
      </c>
      <c r="CY93" s="312"/>
      <c r="CZ93" s="312">
        <f>SUM(Input_Raw[[#This Row],[P-01]:[P-03]],Input_Raw[[#This Row],[P-07]],Input_Raw[[#This Row],[P-18]],Input_Raw[[#This Row],[P-31]:[P-32]],Input_Raw[[#This Row],[P-37]],Input_Raw[[#This Row],[P-50]:[P-56]])</f>
        <v>462902</v>
      </c>
      <c r="DA93" s="313"/>
      <c r="DB93" s="314">
        <f>Input_Raw[[#This Row],[33 kV_Wind_F1_Export reading]]/1000</f>
        <v>331.44600000000003</v>
      </c>
      <c r="DC93" s="314"/>
      <c r="DD93" s="314">
        <f>Input_Raw[[#This Row],[33 kV_Wind_F2_Export_reading]]/1000</f>
        <v>411.62799999999999</v>
      </c>
      <c r="DE93" s="314"/>
      <c r="DF93" s="314">
        <f>Input_Raw[[#This Row],[33 kV_Wind_F3_Export_Reading]]/1000</f>
        <v>326.27600000000001</v>
      </c>
      <c r="DG93" s="314"/>
      <c r="DH93" s="314">
        <f>Input_Raw[[#This Row],[33 kV_Wind_F4_Export Reading]]/1000</f>
        <v>462.90199999999999</v>
      </c>
      <c r="DI93" s="314"/>
      <c r="DJ93" s="314">
        <f>Input_Raw[[#This Row],[33 kV_F1_Total_Export (MWh)]]+Input_Raw[[#This Row],[33 kV_F2_Total_Export (MWh)2]]+Input_Raw[[#This Row],[33 kV_Wind_F3_Export (MWh)]]+Input_Raw[[#This Row],[33 kV_Wind_F4_Export (MWh)]]</f>
        <v>1532.2520000000002</v>
      </c>
      <c r="DK93" s="314">
        <f>Input_Raw[[#This Row],[33 kV_Wind_F1_Import (MWh)]]+Input_Raw[[#This Row],[33 kV_Wind_F2_Import (MWh)]]+Input_Raw[[#This Row],[33 kV_Wind_F3_Import (MWh)2]]+Input_Raw[[#This Row],[33 kV_Wind_F4_Import (MWh)2]]</f>
        <v>0</v>
      </c>
      <c r="DL93" s="315">
        <f>IFERROR(Input_Raw[[#This Row],[33 kV_Wind_Total_Export (MWh)]]/Input_Raw[[#This Row],[WTG Total Gneration (MWh)]]-1,"")</f>
        <v>2.2204460492503131E-16</v>
      </c>
      <c r="DM93" s="316"/>
      <c r="DN93" s="186">
        <v>87</v>
      </c>
      <c r="DO93" s="186">
        <v>1780.62</v>
      </c>
      <c r="DP93" s="102">
        <v>1590.42</v>
      </c>
      <c r="DQ93" s="316"/>
      <c r="DR93" s="181">
        <v>70.400000000000006</v>
      </c>
    </row>
    <row r="94" spans="1:122">
      <c r="A94" s="92">
        <f t="shared" si="74"/>
        <v>45834</v>
      </c>
      <c r="B94" s="190">
        <f>YEAR(Input_Raw[[#This Row],[Date]])+IF(MONTH(Input_Raw[[#This Row],[Date]])&gt;=4,1,0)</f>
        <v>2026</v>
      </c>
      <c r="C94" s="190">
        <f>YEAR(Input_Raw[[#This Row],[Date]])</f>
        <v>2025</v>
      </c>
      <c r="D94" s="11">
        <f t="shared" ref="D94" si="145">A94-DAY(A94)+1</f>
        <v>45809</v>
      </c>
      <c r="E94" s="190">
        <f>DAY(EOMONTH(Input_Raw[[#This Row],[Date]],0))</f>
        <v>30</v>
      </c>
      <c r="F94" s="199">
        <v>37344</v>
      </c>
      <c r="G94" s="199">
        <v>36472</v>
      </c>
      <c r="H94" s="199">
        <v>32720</v>
      </c>
      <c r="I94" s="199">
        <v>36244</v>
      </c>
      <c r="J94" s="199">
        <v>36904</v>
      </c>
      <c r="K94" s="199">
        <v>36976</v>
      </c>
      <c r="L94" s="199">
        <v>36652</v>
      </c>
      <c r="M94" s="199">
        <v>31512</v>
      </c>
      <c r="N94" s="199">
        <v>27164</v>
      </c>
      <c r="O94" s="199">
        <v>27150</v>
      </c>
      <c r="P94" s="199">
        <v>31396</v>
      </c>
      <c r="Q94" s="199">
        <v>34780</v>
      </c>
      <c r="R94" s="199">
        <v>36268</v>
      </c>
      <c r="S94" s="199">
        <v>34512</v>
      </c>
      <c r="T94" s="199">
        <v>31148</v>
      </c>
      <c r="U94" s="199">
        <v>31998</v>
      </c>
      <c r="V94" s="199">
        <v>32468.000000000004</v>
      </c>
      <c r="W94" s="199">
        <v>34176</v>
      </c>
      <c r="X94" s="199">
        <v>34478</v>
      </c>
      <c r="Y94" s="199">
        <v>31135</v>
      </c>
      <c r="Z94" s="199">
        <v>35816</v>
      </c>
      <c r="AA94" s="199">
        <v>33152</v>
      </c>
      <c r="AB94" s="199">
        <v>32360</v>
      </c>
      <c r="AC94" s="199">
        <v>34552</v>
      </c>
      <c r="AD94" s="199">
        <v>34144</v>
      </c>
      <c r="AE94" s="199">
        <v>32680</v>
      </c>
      <c r="AF94" s="199">
        <v>27046</v>
      </c>
      <c r="AG94" s="199">
        <v>32176.000000000004</v>
      </c>
      <c r="AH94" s="199">
        <v>36552</v>
      </c>
      <c r="AI94" s="199">
        <v>35098</v>
      </c>
      <c r="AJ94" s="199">
        <v>30896</v>
      </c>
      <c r="AK94" s="199">
        <v>33360</v>
      </c>
      <c r="AL94" s="199">
        <v>32052</v>
      </c>
      <c r="AM94" s="199">
        <v>35908</v>
      </c>
      <c r="AN94" s="199">
        <v>31036</v>
      </c>
      <c r="AO94" s="199">
        <v>38396</v>
      </c>
      <c r="AP94" s="199">
        <v>38124</v>
      </c>
      <c r="AQ94" s="199">
        <v>35704</v>
      </c>
      <c r="AR94" s="199">
        <v>37672</v>
      </c>
      <c r="AS94" s="199">
        <v>28972</v>
      </c>
      <c r="AT94" s="199">
        <v>34848</v>
      </c>
      <c r="AU94" s="199">
        <v>28390</v>
      </c>
      <c r="AV94" s="199">
        <v>37600</v>
      </c>
      <c r="AW94" s="199">
        <v>37200</v>
      </c>
      <c r="AX94" s="96">
        <v>12.41</v>
      </c>
      <c r="AY94" s="96">
        <v>12.87</v>
      </c>
      <c r="AZ94" s="96">
        <v>10.88</v>
      </c>
      <c r="BA94" s="96">
        <v>12.42</v>
      </c>
      <c r="BB94" s="96">
        <v>11.96</v>
      </c>
      <c r="BC94" s="96">
        <v>12.73</v>
      </c>
      <c r="BD94" s="96">
        <v>12.62</v>
      </c>
      <c r="BE94" s="96">
        <v>11.18</v>
      </c>
      <c r="BF94" s="96">
        <v>10.08</v>
      </c>
      <c r="BG94" s="96">
        <v>10.15</v>
      </c>
      <c r="BH94" s="96">
        <v>11.42</v>
      </c>
      <c r="BI94" s="96">
        <v>12.39</v>
      </c>
      <c r="BJ94" s="96">
        <v>11.83</v>
      </c>
      <c r="BK94" s="96">
        <v>11.42</v>
      </c>
      <c r="BL94" s="96">
        <v>11.03</v>
      </c>
      <c r="BM94" s="96">
        <v>10.75</v>
      </c>
      <c r="BN94" s="96">
        <v>10.93</v>
      </c>
      <c r="BO94" s="96">
        <v>11.28</v>
      </c>
      <c r="BP94" s="96">
        <v>11.29</v>
      </c>
      <c r="BQ94" s="96">
        <v>10.07</v>
      </c>
      <c r="BR94" s="96">
        <v>11.75</v>
      </c>
      <c r="BS94" s="96">
        <v>11.02</v>
      </c>
      <c r="BT94" s="96">
        <v>10.39</v>
      </c>
      <c r="BU94" s="96">
        <v>12.08</v>
      </c>
      <c r="BV94" s="96">
        <v>11.97</v>
      </c>
      <c r="BW94" s="96">
        <v>10.86</v>
      </c>
      <c r="BX94" s="96">
        <v>9.27</v>
      </c>
      <c r="BY94" s="96">
        <v>10.75</v>
      </c>
      <c r="BZ94" s="96">
        <v>12.12</v>
      </c>
      <c r="CA94" s="96">
        <v>11.46</v>
      </c>
      <c r="CB94" s="96">
        <v>10.36</v>
      </c>
      <c r="CC94" s="96">
        <v>11.29</v>
      </c>
      <c r="CD94" s="96">
        <v>13.16</v>
      </c>
      <c r="CE94" s="96">
        <v>11.99</v>
      </c>
      <c r="CF94" s="96">
        <v>10.39</v>
      </c>
      <c r="CG94" s="96">
        <v>14.81</v>
      </c>
      <c r="CH94" s="96">
        <v>13.33</v>
      </c>
      <c r="CI94" s="96">
        <v>11.48</v>
      </c>
      <c r="CJ94" s="96">
        <v>12.78</v>
      </c>
      <c r="CK94" s="96">
        <v>10.31</v>
      </c>
      <c r="CL94" s="96">
        <v>11.89</v>
      </c>
      <c r="CM94" s="96">
        <v>12.1</v>
      </c>
      <c r="CN94" s="96">
        <v>14.31</v>
      </c>
      <c r="CO94" s="96">
        <v>13.1</v>
      </c>
      <c r="CP94" s="309">
        <f>SUM(Input_Raw[[#This Row],[P-01]:[P-56]])/1000</f>
        <v>1485.231</v>
      </c>
      <c r="CQ94" s="310">
        <f>IFERROR(AVERAGEIF(Input_Raw[[#This Row],[WS_P-01]:[WS_P-56]],"&lt;&gt;",Input_Raw[[#This Row],[WS_P-01]:[WS_P-56]]),"")</f>
        <v>11.651818181818184</v>
      </c>
      <c r="CR94" s="311">
        <f>MAX(Input_Raw[[#This Row],[WS_P-01]:[WS_P-56]])</f>
        <v>14.81</v>
      </c>
      <c r="CS94" s="311"/>
      <c r="CT94" s="312">
        <f>SUM(Input_Raw[[#This Row],[P-08]:[P-13]],Input_Raw[[#This Row],[P-25]:[P-28]])</f>
        <v>322006</v>
      </c>
      <c r="CU94" s="312"/>
      <c r="CV94" s="312">
        <f>SUM(Input_Raw[[#This Row],[P-04]],Input_Raw[[#This Row],[P-14]:[P-17]],Input_Raw[[#This Row],[P-19]:[P-20]],Input_Raw[[#This Row],[P-22]:[P-23]],Input_Raw[[#This Row],[P-34]],Input_Raw[[#This Row],[P-38]],Input_Raw[[#This Row],[P-43]])</f>
        <v>399435</v>
      </c>
      <c r="CW94" s="312"/>
      <c r="CX94" s="312">
        <f>SUM(Input_Raw[[#This Row],[P-05]:[P-06]],Input_Raw[[#This Row],[P-40]:[P-42]],Input_Raw[[#This Row],[P-45]],Input_Raw[[#This Row],[P-46]],Input_Raw[[#This Row],[P-47]:[P-48]])</f>
        <v>325096</v>
      </c>
      <c r="CY94" s="312"/>
      <c r="CZ94" s="312">
        <f>SUM(Input_Raw[[#This Row],[P-01]:[P-03]],Input_Raw[[#This Row],[P-07]],Input_Raw[[#This Row],[P-18]],Input_Raw[[#This Row],[P-31]:[P-32]],Input_Raw[[#This Row],[P-37]],Input_Raw[[#This Row],[P-50]:[P-56]])</f>
        <v>438694</v>
      </c>
      <c r="DA94" s="313"/>
      <c r="DB94" s="314">
        <f>Input_Raw[[#This Row],[33 kV_Wind_F1_Export reading]]/1000</f>
        <v>322.00599999999997</v>
      </c>
      <c r="DC94" s="314"/>
      <c r="DD94" s="314">
        <f>Input_Raw[[#This Row],[33 kV_Wind_F2_Export_reading]]/1000</f>
        <v>399.435</v>
      </c>
      <c r="DE94" s="314"/>
      <c r="DF94" s="314">
        <f>Input_Raw[[#This Row],[33 kV_Wind_F3_Export_Reading]]/1000</f>
        <v>325.096</v>
      </c>
      <c r="DG94" s="314"/>
      <c r="DH94" s="314">
        <f>Input_Raw[[#This Row],[33 kV_Wind_F4_Export Reading]]/1000</f>
        <v>438.69400000000002</v>
      </c>
      <c r="DI94" s="314"/>
      <c r="DJ94" s="314">
        <f>Input_Raw[[#This Row],[33 kV_F1_Total_Export (MWh)]]+Input_Raw[[#This Row],[33 kV_F2_Total_Export (MWh)2]]+Input_Raw[[#This Row],[33 kV_Wind_F3_Export (MWh)]]+Input_Raw[[#This Row],[33 kV_Wind_F4_Export (MWh)]]</f>
        <v>1485.231</v>
      </c>
      <c r="DK94" s="314">
        <f>Input_Raw[[#This Row],[33 kV_Wind_F1_Import (MWh)]]+Input_Raw[[#This Row],[33 kV_Wind_F2_Import (MWh)]]+Input_Raw[[#This Row],[33 kV_Wind_F3_Import (MWh)2]]+Input_Raw[[#This Row],[33 kV_Wind_F4_Import (MWh)2]]</f>
        <v>0</v>
      </c>
      <c r="DL94" s="315">
        <f>IFERROR(Input_Raw[[#This Row],[33 kV_Wind_Total_Export (MWh)]]/Input_Raw[[#This Row],[WTG Total Gneration (MWh)]]-1,"")</f>
        <v>0</v>
      </c>
      <c r="DM94" s="316"/>
      <c r="DN94" s="186">
        <v>90</v>
      </c>
      <c r="DO94" s="186">
        <v>7795.25</v>
      </c>
      <c r="DP94" s="102">
        <v>1539.71</v>
      </c>
      <c r="DQ94" s="316"/>
      <c r="DR94" s="181">
        <v>70.400000000000006</v>
      </c>
    </row>
    <row r="95" spans="1:122">
      <c r="A95" s="92">
        <f t="shared" si="74"/>
        <v>45835</v>
      </c>
      <c r="B95" s="190">
        <f>YEAR(Input_Raw[[#This Row],[Date]])+IF(MONTH(Input_Raw[[#This Row],[Date]])&gt;=4,1,0)</f>
        <v>2026</v>
      </c>
      <c r="C95" s="190">
        <f>YEAR(Input_Raw[[#This Row],[Date]])</f>
        <v>2025</v>
      </c>
      <c r="D95" s="11">
        <f t="shared" ref="D95" si="146">A95-DAY(A95)+1</f>
        <v>45809</v>
      </c>
      <c r="E95" s="190">
        <f>DAY(EOMONTH(Input_Raw[[#This Row],[Date]],0))</f>
        <v>30</v>
      </c>
      <c r="F95" s="199">
        <v>35220</v>
      </c>
      <c r="G95" s="199">
        <v>33256</v>
      </c>
      <c r="H95" s="199">
        <v>25496</v>
      </c>
      <c r="I95" s="199">
        <v>34184</v>
      </c>
      <c r="J95" s="199">
        <v>32712.000000000004</v>
      </c>
      <c r="K95" s="199">
        <v>34388</v>
      </c>
      <c r="L95" s="199">
        <v>33614</v>
      </c>
      <c r="M95" s="199">
        <v>28690</v>
      </c>
      <c r="N95" s="199">
        <v>25872</v>
      </c>
      <c r="O95" s="199">
        <v>23298</v>
      </c>
      <c r="P95" s="199">
        <v>26352</v>
      </c>
      <c r="Q95" s="199">
        <v>31248</v>
      </c>
      <c r="R95" s="199">
        <v>33008</v>
      </c>
      <c r="S95" s="199">
        <v>32299.999999999996</v>
      </c>
      <c r="T95" s="199">
        <v>27792</v>
      </c>
      <c r="U95" s="199">
        <v>28472</v>
      </c>
      <c r="V95" s="199">
        <v>26832</v>
      </c>
      <c r="W95" s="199">
        <v>27508</v>
      </c>
      <c r="X95" s="199">
        <v>31086</v>
      </c>
      <c r="Y95" s="199">
        <v>25514</v>
      </c>
      <c r="Z95" s="199">
        <v>33240</v>
      </c>
      <c r="AA95" s="199">
        <v>30976</v>
      </c>
      <c r="AB95" s="199">
        <v>29408</v>
      </c>
      <c r="AC95" s="199">
        <v>27580</v>
      </c>
      <c r="AD95" s="199">
        <v>30884</v>
      </c>
      <c r="AE95" s="199">
        <v>28948</v>
      </c>
      <c r="AF95" s="199">
        <v>18178</v>
      </c>
      <c r="AG95" s="199">
        <v>28242</v>
      </c>
      <c r="AH95" s="199">
        <v>33648</v>
      </c>
      <c r="AI95" s="199">
        <v>32484</v>
      </c>
      <c r="AJ95" s="199">
        <v>23594</v>
      </c>
      <c r="AK95" s="199">
        <v>28706</v>
      </c>
      <c r="AL95" s="199">
        <v>32247.999999999996</v>
      </c>
      <c r="AM95" s="199">
        <v>29660</v>
      </c>
      <c r="AN95" s="199">
        <v>27458</v>
      </c>
      <c r="AO95" s="199">
        <v>36856</v>
      </c>
      <c r="AP95" s="199">
        <v>36428</v>
      </c>
      <c r="AQ95" s="199">
        <v>29920</v>
      </c>
      <c r="AR95" s="199">
        <v>34760</v>
      </c>
      <c r="AS95" s="199">
        <v>26418</v>
      </c>
      <c r="AT95" s="199">
        <v>30446</v>
      </c>
      <c r="AU95" s="199">
        <v>34060</v>
      </c>
      <c r="AV95" s="199">
        <v>37048</v>
      </c>
      <c r="AW95" s="199">
        <v>35928</v>
      </c>
      <c r="AX95" s="96">
        <v>10.87</v>
      </c>
      <c r="AY95" s="96">
        <v>10.87</v>
      </c>
      <c r="AZ95" s="96">
        <v>9</v>
      </c>
      <c r="BA95" s="96">
        <v>11.4</v>
      </c>
      <c r="BB95" s="96">
        <v>10.31</v>
      </c>
      <c r="BC95" s="96">
        <v>11.3</v>
      </c>
      <c r="BD95" s="96">
        <v>10.91</v>
      </c>
      <c r="BE95" s="96">
        <v>10.119999999999999</v>
      </c>
      <c r="BF95" s="96">
        <v>9.57</v>
      </c>
      <c r="BG95" s="96">
        <v>9.41</v>
      </c>
      <c r="BH95" s="96">
        <v>10</v>
      </c>
      <c r="BI95" s="96">
        <v>11.06</v>
      </c>
      <c r="BJ95" s="96">
        <v>10.78</v>
      </c>
      <c r="BK95" s="96">
        <v>10.67</v>
      </c>
      <c r="BL95" s="96">
        <v>10.16</v>
      </c>
      <c r="BM95" s="96">
        <v>9.92</v>
      </c>
      <c r="BN95" s="96">
        <v>9.43</v>
      </c>
      <c r="BO95" s="96">
        <v>9.36</v>
      </c>
      <c r="BP95" s="96">
        <v>10.3</v>
      </c>
      <c r="BQ95" s="96">
        <v>8.9</v>
      </c>
      <c r="BR95" s="96">
        <v>10.74</v>
      </c>
      <c r="BS95" s="96">
        <v>10.24</v>
      </c>
      <c r="BT95" s="96">
        <v>9.59</v>
      </c>
      <c r="BU95" s="96">
        <v>10.8</v>
      </c>
      <c r="BV95" s="96">
        <v>10.79</v>
      </c>
      <c r="BW95" s="96">
        <v>9.89</v>
      </c>
      <c r="BX95" s="96">
        <v>7.42</v>
      </c>
      <c r="BY95" s="96">
        <v>9.6300000000000008</v>
      </c>
      <c r="BZ95" s="96">
        <v>11</v>
      </c>
      <c r="CA95" s="96">
        <v>10.41</v>
      </c>
      <c r="CB95" s="96">
        <v>8.75</v>
      </c>
      <c r="CC95" s="96">
        <v>10.14</v>
      </c>
      <c r="CD95" s="96">
        <v>11.53</v>
      </c>
      <c r="CE95" s="96">
        <v>9.84</v>
      </c>
      <c r="CF95" s="96">
        <v>9.44</v>
      </c>
      <c r="CG95" s="96">
        <v>13.37</v>
      </c>
      <c r="CH95" s="96">
        <v>11.98</v>
      </c>
      <c r="CI95" s="96">
        <v>9.67</v>
      </c>
      <c r="CJ95" s="96">
        <v>11.27</v>
      </c>
      <c r="CK95" s="96">
        <v>9.35</v>
      </c>
      <c r="CL95" s="96">
        <v>10.33</v>
      </c>
      <c r="CM95" s="96">
        <v>10.93</v>
      </c>
      <c r="CN95" s="96">
        <v>12.67</v>
      </c>
      <c r="CO95" s="96">
        <v>11.59</v>
      </c>
      <c r="CP95" s="321">
        <f>SUM(Input_Raw[[#This Row],[P-01]:[P-56]])/1000</f>
        <v>1333.96</v>
      </c>
      <c r="CQ95" s="322">
        <f>IFERROR(AVERAGEIF(Input_Raw[[#This Row],[WS_P-01]:[WS_P-56]],"&lt;&gt;",Input_Raw[[#This Row],[WS_P-01]:[WS_P-56]]),"")</f>
        <v>10.357045454545455</v>
      </c>
      <c r="CR95" s="323">
        <f>MAX(Input_Raw[[#This Row],[WS_P-01]:[WS_P-56]])</f>
        <v>13.37</v>
      </c>
      <c r="CS95" s="323"/>
      <c r="CT95" s="324">
        <f>SUM(Input_Raw[[#This Row],[P-08]:[P-13]],Input_Raw[[#This Row],[P-25]:[P-28]])</f>
        <v>285288</v>
      </c>
      <c r="CU95" s="324"/>
      <c r="CV95" s="324">
        <f>SUM(Input_Raw[[#This Row],[P-04]],Input_Raw[[#This Row],[P-14]:[P-17]],Input_Raw[[#This Row],[P-19]:[P-20]],Input_Raw[[#This Row],[P-22]:[P-23]],Input_Raw[[#This Row],[P-34]],Input_Raw[[#This Row],[P-38]],Input_Raw[[#This Row],[P-43]])</f>
        <v>355096</v>
      </c>
      <c r="CW95" s="324"/>
      <c r="CX95" s="324">
        <f>SUM(Input_Raw[[#This Row],[P-05]:[P-06]],Input_Raw[[#This Row],[P-40]:[P-42]],Input_Raw[[#This Row],[P-45]],Input_Raw[[#This Row],[P-46]],Input_Raw[[#This Row],[P-47]:[P-48]])</f>
        <v>295678</v>
      </c>
      <c r="CY95" s="324"/>
      <c r="CZ95" s="324">
        <f>SUM(Input_Raw[[#This Row],[P-01]:[P-03]],Input_Raw[[#This Row],[P-07]],Input_Raw[[#This Row],[P-18]],Input_Raw[[#This Row],[P-31]:[P-32]],Input_Raw[[#This Row],[P-37]],Input_Raw[[#This Row],[P-50]:[P-56]])</f>
        <v>397898</v>
      </c>
      <c r="DA95" s="325"/>
      <c r="DB95" s="326">
        <f>Input_Raw[[#This Row],[33 kV_Wind_F1_Export reading]]/1000</f>
        <v>285.28800000000001</v>
      </c>
      <c r="DC95" s="326"/>
      <c r="DD95" s="326">
        <f>Input_Raw[[#This Row],[33 kV_Wind_F2_Export_reading]]/1000</f>
        <v>355.096</v>
      </c>
      <c r="DE95" s="326"/>
      <c r="DF95" s="326">
        <f>Input_Raw[[#This Row],[33 kV_Wind_F3_Export_Reading]]/1000</f>
        <v>295.678</v>
      </c>
      <c r="DG95" s="326"/>
      <c r="DH95" s="326">
        <f>Input_Raw[[#This Row],[33 kV_Wind_F4_Export Reading]]/1000</f>
        <v>397.89800000000002</v>
      </c>
      <c r="DI95" s="326"/>
      <c r="DJ95" s="326">
        <f>Input_Raw[[#This Row],[33 kV_F1_Total_Export (MWh)]]+Input_Raw[[#This Row],[33 kV_F2_Total_Export (MWh)2]]+Input_Raw[[#This Row],[33 kV_Wind_F3_Export (MWh)]]+Input_Raw[[#This Row],[33 kV_Wind_F4_Export (MWh)]]</f>
        <v>1333.96</v>
      </c>
      <c r="DK95" s="326">
        <f>Input_Raw[[#This Row],[33 kV_Wind_F1_Import (MWh)]]+Input_Raw[[#This Row],[33 kV_Wind_F2_Import (MWh)]]+Input_Raw[[#This Row],[33 kV_Wind_F3_Import (MWh)2]]+Input_Raw[[#This Row],[33 kV_Wind_F4_Import (MWh)2]]</f>
        <v>0</v>
      </c>
      <c r="DL95" s="327">
        <f>IFERROR(Input_Raw[[#This Row],[33 kV_Wind_Total_Export (MWh)]]/Input_Raw[[#This Row],[WTG Total Gneration (MWh)]]-1,"")</f>
        <v>0</v>
      </c>
      <c r="DM95" s="328"/>
      <c r="DN95" s="186">
        <v>76</v>
      </c>
      <c r="DO95" s="186">
        <v>8973</v>
      </c>
      <c r="DP95" s="102">
        <v>1342.98</v>
      </c>
      <c r="DQ95" s="328"/>
      <c r="DR95" s="181">
        <v>70.400000000000006</v>
      </c>
    </row>
    <row r="96" spans="1:122">
      <c r="A96" s="92">
        <f t="shared" si="74"/>
        <v>45836</v>
      </c>
      <c r="B96" s="190">
        <f>YEAR(Input_Raw[[#This Row],[Date]])+IF(MONTH(Input_Raw[[#This Row],[Date]])&gt;=4,1,0)</f>
        <v>2026</v>
      </c>
      <c r="C96" s="190">
        <f>YEAR(Input_Raw[[#This Row],[Date]])</f>
        <v>2025</v>
      </c>
      <c r="D96" s="11">
        <f t="shared" ref="D96" si="147">A96-DAY(A96)+1</f>
        <v>45809</v>
      </c>
      <c r="E96" s="190">
        <f>DAY(EOMONTH(Input_Raw[[#This Row],[Date]],0))</f>
        <v>30</v>
      </c>
      <c r="F96" s="199">
        <v>34880</v>
      </c>
      <c r="G96" s="199">
        <v>32804</v>
      </c>
      <c r="H96" s="199">
        <v>25076</v>
      </c>
      <c r="I96" s="199">
        <v>33318</v>
      </c>
      <c r="J96" s="199">
        <v>33384</v>
      </c>
      <c r="K96" s="199">
        <v>34728</v>
      </c>
      <c r="L96" s="199">
        <v>33448</v>
      </c>
      <c r="M96" s="199">
        <v>29282</v>
      </c>
      <c r="N96" s="199">
        <v>24540</v>
      </c>
      <c r="O96" s="199">
        <v>24036</v>
      </c>
      <c r="P96" s="199">
        <v>28610</v>
      </c>
      <c r="Q96" s="199">
        <v>33344</v>
      </c>
      <c r="R96" s="199">
        <v>35008</v>
      </c>
      <c r="S96" s="199">
        <v>33028</v>
      </c>
      <c r="T96" s="199">
        <v>29156</v>
      </c>
      <c r="U96" s="199">
        <v>30232</v>
      </c>
      <c r="V96" s="199">
        <v>30606</v>
      </c>
      <c r="W96" s="199">
        <v>27236</v>
      </c>
      <c r="X96" s="199">
        <v>31982</v>
      </c>
      <c r="Y96" s="199">
        <v>27725</v>
      </c>
      <c r="Z96" s="199">
        <v>33144</v>
      </c>
      <c r="AA96" s="199">
        <v>28476</v>
      </c>
      <c r="AB96" s="199">
        <v>28928</v>
      </c>
      <c r="AC96" s="199">
        <v>30284</v>
      </c>
      <c r="AD96" s="199">
        <v>31476</v>
      </c>
      <c r="AE96" s="199">
        <v>30432</v>
      </c>
      <c r="AF96" s="199">
        <v>18140</v>
      </c>
      <c r="AG96" s="199">
        <v>27820</v>
      </c>
      <c r="AH96" s="199">
        <v>34088</v>
      </c>
      <c r="AI96" s="199">
        <v>32090.000000000004</v>
      </c>
      <c r="AJ96" s="199">
        <v>28052</v>
      </c>
      <c r="AK96" s="199">
        <v>29682</v>
      </c>
      <c r="AL96" s="199">
        <v>32436</v>
      </c>
      <c r="AM96" s="199">
        <v>30764</v>
      </c>
      <c r="AN96" s="199">
        <v>24332</v>
      </c>
      <c r="AO96" s="199">
        <v>36924</v>
      </c>
      <c r="AP96" s="199">
        <v>36136</v>
      </c>
      <c r="AQ96" s="199">
        <v>29888</v>
      </c>
      <c r="AR96" s="199">
        <v>35128</v>
      </c>
      <c r="AS96" s="199">
        <v>27690</v>
      </c>
      <c r="AT96" s="199">
        <v>31238</v>
      </c>
      <c r="AU96" s="199">
        <v>34060</v>
      </c>
      <c r="AV96" s="199">
        <v>37068</v>
      </c>
      <c r="AW96" s="199">
        <v>36112</v>
      </c>
      <c r="AX96" s="95">
        <v>10.95</v>
      </c>
      <c r="AY96" s="95">
        <v>10.92</v>
      </c>
      <c r="AZ96" s="95">
        <v>8.94</v>
      </c>
      <c r="BA96" s="95">
        <v>11.46</v>
      </c>
      <c r="BB96" s="95">
        <v>10.61</v>
      </c>
      <c r="BC96" s="95">
        <v>11.47</v>
      </c>
      <c r="BD96" s="95">
        <v>10.96</v>
      </c>
      <c r="BE96" s="95">
        <v>10.27</v>
      </c>
      <c r="BF96" s="95">
        <v>9.42</v>
      </c>
      <c r="BG96" s="95">
        <v>9.51</v>
      </c>
      <c r="BH96" s="95">
        <v>10.67</v>
      </c>
      <c r="BI96" s="95">
        <v>11.72</v>
      </c>
      <c r="BJ96" s="95">
        <v>11.37</v>
      </c>
      <c r="BK96" s="95">
        <v>10.95</v>
      </c>
      <c r="BL96" s="95">
        <v>10.59</v>
      </c>
      <c r="BM96" s="95">
        <v>10.34</v>
      </c>
      <c r="BN96" s="95">
        <v>10.43</v>
      </c>
      <c r="BO96" s="95">
        <v>9.36</v>
      </c>
      <c r="BP96" s="95">
        <v>10.64</v>
      </c>
      <c r="BQ96" s="95">
        <v>9.36</v>
      </c>
      <c r="BR96" s="95">
        <v>10.92</v>
      </c>
      <c r="BS96" s="95">
        <v>10.06</v>
      </c>
      <c r="BT96" s="95">
        <v>9.48</v>
      </c>
      <c r="BU96" s="95">
        <v>11</v>
      </c>
      <c r="BV96" s="95">
        <v>11.04</v>
      </c>
      <c r="BW96" s="95">
        <v>10.28</v>
      </c>
      <c r="BX96" s="95">
        <v>7.4</v>
      </c>
      <c r="BY96" s="95">
        <v>9.67</v>
      </c>
      <c r="BZ96" s="95">
        <v>11.32</v>
      </c>
      <c r="CA96" s="95">
        <v>10.44</v>
      </c>
      <c r="CB96" s="95">
        <v>9.73</v>
      </c>
      <c r="CC96" s="95">
        <v>10.36</v>
      </c>
      <c r="CD96" s="95">
        <v>11.62</v>
      </c>
      <c r="CE96" s="95">
        <v>10.17</v>
      </c>
      <c r="CF96" s="95">
        <v>9.4600000000000009</v>
      </c>
      <c r="CG96" s="95">
        <v>13.4</v>
      </c>
      <c r="CH96" s="95">
        <v>12.09</v>
      </c>
      <c r="CI96" s="95">
        <v>9.7899999999999991</v>
      </c>
      <c r="CJ96" s="95">
        <v>11.46</v>
      </c>
      <c r="CK96" s="95">
        <v>9.6</v>
      </c>
      <c r="CL96" s="95">
        <v>10.59</v>
      </c>
      <c r="CM96" s="95">
        <v>11.06</v>
      </c>
      <c r="CN96" s="95">
        <v>12.76</v>
      </c>
      <c r="CO96" s="95">
        <v>11.78</v>
      </c>
      <c r="CP96" s="98">
        <f>SUM(Input_Raw[[#This Row],[P-01]:[P-56]])/1000</f>
        <v>1356.8109999999999</v>
      </c>
      <c r="CQ96" s="71">
        <f>IFERROR(AVERAGEIF(Input_Raw[[#This Row],[WS_P-01]:[WS_P-56]],"&lt;&gt;",Input_Raw[[#This Row],[WS_P-01]:[WS_P-56]]),"")</f>
        <v>10.577727272727271</v>
      </c>
      <c r="CR96" s="99">
        <f>MAX(Input_Raw[[#This Row],[WS_P-01]:[WS_P-56]])</f>
        <v>13.4</v>
      </c>
      <c r="CS96" s="99"/>
      <c r="CT96" s="70">
        <f>SUM(Input_Raw[[#This Row],[P-08]:[P-13]],Input_Raw[[#This Row],[P-25]:[P-28]])</f>
        <v>295940</v>
      </c>
      <c r="CU96" s="70"/>
      <c r="CV96" s="70">
        <f>SUM(Input_Raw[[#This Row],[P-04]],Input_Raw[[#This Row],[P-14]:[P-17]],Input_Raw[[#This Row],[P-19]:[P-20]],Input_Raw[[#This Row],[P-22]:[P-23]],Input_Raw[[#This Row],[P-34]],Input_Raw[[#This Row],[P-38]],Input_Raw[[#This Row],[P-43]])</f>
        <v>364139</v>
      </c>
      <c r="CW96" s="70"/>
      <c r="CX96" s="70">
        <f>SUM(Input_Raw[[#This Row],[P-05]:[P-06]],Input_Raw[[#This Row],[P-40]:[P-42]],Input_Raw[[#This Row],[P-45]],Input_Raw[[#This Row],[P-46]],Input_Raw[[#This Row],[P-47]:[P-48]])</f>
        <v>299070</v>
      </c>
      <c r="CY96" s="70"/>
      <c r="CZ96" s="70">
        <f>SUM(Input_Raw[[#This Row],[P-01]:[P-03]],Input_Raw[[#This Row],[P-07]],Input_Raw[[#This Row],[P-18]],Input_Raw[[#This Row],[P-31]:[P-32]],Input_Raw[[#This Row],[P-37]],Input_Raw[[#This Row],[P-50]:[P-56]])</f>
        <v>397662</v>
      </c>
      <c r="DA96" s="12"/>
      <c r="DB96" s="13">
        <f>Input_Raw[[#This Row],[33 kV_Wind_F1_Export reading]]/1000</f>
        <v>295.94</v>
      </c>
      <c r="DC96" s="13"/>
      <c r="DD96" s="13">
        <f>Input_Raw[[#This Row],[33 kV_Wind_F2_Export_reading]]/1000</f>
        <v>364.13900000000001</v>
      </c>
      <c r="DE96" s="13"/>
      <c r="DF96" s="13">
        <f>Input_Raw[[#This Row],[33 kV_Wind_F3_Export_Reading]]/1000</f>
        <v>299.07</v>
      </c>
      <c r="DG96" s="13"/>
      <c r="DH96" s="13">
        <f>Input_Raw[[#This Row],[33 kV_Wind_F4_Export Reading]]/1000</f>
        <v>397.66199999999998</v>
      </c>
      <c r="DI96" s="13"/>
      <c r="DJ96" s="13">
        <f>Input_Raw[[#This Row],[33 kV_F1_Total_Export (MWh)]]+Input_Raw[[#This Row],[33 kV_F2_Total_Export (MWh)2]]+Input_Raw[[#This Row],[33 kV_Wind_F3_Export (MWh)]]+Input_Raw[[#This Row],[33 kV_Wind_F4_Export (MWh)]]</f>
        <v>1356.8109999999999</v>
      </c>
      <c r="DK96" s="13">
        <f>Input_Raw[[#This Row],[33 kV_Wind_F1_Import (MWh)]]+Input_Raw[[#This Row],[33 kV_Wind_F2_Import (MWh)]]+Input_Raw[[#This Row],[33 kV_Wind_F3_Import (MWh)2]]+Input_Raw[[#This Row],[33 kV_Wind_F4_Import (MWh)2]]</f>
        <v>0</v>
      </c>
      <c r="DL96" s="100">
        <f>IFERROR(Input_Raw[[#This Row],[33 kV_Wind_Total_Export (MWh)]]/Input_Raw[[#This Row],[WTG Total Gneration (MWh)]]-1,"")</f>
        <v>0</v>
      </c>
      <c r="DM96" s="66"/>
      <c r="DN96" s="186">
        <v>95</v>
      </c>
      <c r="DO96" s="186">
        <v>11966</v>
      </c>
      <c r="DP96" s="102">
        <v>1368.72</v>
      </c>
      <c r="DQ96" s="66"/>
      <c r="DR96" s="181">
        <v>70.400000000000006</v>
      </c>
    </row>
    <row r="97" spans="1:122">
      <c r="A97" s="92">
        <f t="shared" si="74"/>
        <v>45837</v>
      </c>
      <c r="B97" s="190">
        <f>YEAR(Input_Raw[[#This Row],[Date]])+IF(MONTH(Input_Raw[[#This Row],[Date]])&gt;=4,1,0)</f>
        <v>2026</v>
      </c>
      <c r="C97" s="190">
        <f>YEAR(Input_Raw[[#This Row],[Date]])</f>
        <v>2025</v>
      </c>
      <c r="D97" s="11">
        <f t="shared" ref="D97" si="148">A97-DAY(A97)+1</f>
        <v>45809</v>
      </c>
      <c r="E97" s="190">
        <f>DAY(EOMONTH(Input_Raw[[#This Row],[Date]],0))</f>
        <v>30</v>
      </c>
      <c r="F97" s="199">
        <v>35320</v>
      </c>
      <c r="G97" s="199">
        <v>32164</v>
      </c>
      <c r="H97" s="199">
        <v>28848</v>
      </c>
      <c r="I97" s="199">
        <v>33378</v>
      </c>
      <c r="J97" s="199">
        <v>30180</v>
      </c>
      <c r="K97" s="199">
        <v>31808</v>
      </c>
      <c r="L97" s="199">
        <v>32784</v>
      </c>
      <c r="M97" s="199">
        <v>30544</v>
      </c>
      <c r="N97" s="199">
        <v>24688</v>
      </c>
      <c r="O97" s="199">
        <v>26808</v>
      </c>
      <c r="P97" s="199">
        <v>31576</v>
      </c>
      <c r="Q97" s="199">
        <v>33320</v>
      </c>
      <c r="R97" s="199">
        <v>34776</v>
      </c>
      <c r="S97" s="199">
        <v>28284</v>
      </c>
      <c r="T97" s="199">
        <v>27910</v>
      </c>
      <c r="U97" s="199">
        <v>29912</v>
      </c>
      <c r="V97" s="199">
        <v>30918</v>
      </c>
      <c r="W97" s="199">
        <v>30132</v>
      </c>
      <c r="X97" s="199">
        <v>21022</v>
      </c>
      <c r="Y97" s="199">
        <v>25255</v>
      </c>
      <c r="Z97" s="199">
        <v>33000</v>
      </c>
      <c r="AA97" s="199">
        <v>29452</v>
      </c>
      <c r="AB97" s="199">
        <v>30284</v>
      </c>
      <c r="AC97" s="199">
        <v>28448</v>
      </c>
      <c r="AD97" s="199">
        <v>32491.999999999996</v>
      </c>
      <c r="AE97" s="199">
        <v>31956</v>
      </c>
      <c r="AF97" s="199">
        <v>24704</v>
      </c>
      <c r="AG97" s="199">
        <v>28244</v>
      </c>
      <c r="AH97" s="199">
        <v>33532</v>
      </c>
      <c r="AI97" s="199">
        <v>31770</v>
      </c>
      <c r="AJ97" s="199">
        <v>29454</v>
      </c>
      <c r="AK97" s="199">
        <v>25212</v>
      </c>
      <c r="AL97" s="199">
        <v>31528</v>
      </c>
      <c r="AM97" s="199">
        <v>33224</v>
      </c>
      <c r="AN97" s="199">
        <v>27730</v>
      </c>
      <c r="AO97" s="199">
        <v>33812</v>
      </c>
      <c r="AP97" s="199">
        <v>35516</v>
      </c>
      <c r="AQ97" s="199">
        <v>32560.000000000004</v>
      </c>
      <c r="AR97" s="199">
        <v>34788</v>
      </c>
      <c r="AS97" s="199">
        <v>31308</v>
      </c>
      <c r="AT97" s="199">
        <v>34148</v>
      </c>
      <c r="AU97" s="199">
        <v>33920</v>
      </c>
      <c r="AV97" s="199">
        <v>36624</v>
      </c>
      <c r="AW97" s="199">
        <v>35384</v>
      </c>
      <c r="AX97" s="95">
        <v>11.24</v>
      </c>
      <c r="AY97" s="95">
        <v>10.9</v>
      </c>
      <c r="AZ97" s="95">
        <v>9.99</v>
      </c>
      <c r="BA97" s="95">
        <v>11.53</v>
      </c>
      <c r="BB97" s="95">
        <v>10.37</v>
      </c>
      <c r="BC97" s="95">
        <v>11.2</v>
      </c>
      <c r="BD97" s="95">
        <v>11.13</v>
      </c>
      <c r="BE97" s="95">
        <v>10.69</v>
      </c>
      <c r="BF97" s="95">
        <v>9.44</v>
      </c>
      <c r="BG97" s="95">
        <v>10.11</v>
      </c>
      <c r="BH97" s="95">
        <v>11.85</v>
      </c>
      <c r="BI97" s="95">
        <v>12.58</v>
      </c>
      <c r="BJ97" s="95">
        <v>11.78</v>
      </c>
      <c r="BK97" s="95">
        <v>10.47</v>
      </c>
      <c r="BL97" s="95">
        <v>10.55</v>
      </c>
      <c r="BM97" s="95">
        <v>10.38</v>
      </c>
      <c r="BN97" s="95">
        <v>10.97</v>
      </c>
      <c r="BO97" s="95">
        <v>10.17</v>
      </c>
      <c r="BP97" s="95">
        <v>9.89</v>
      </c>
      <c r="BQ97" s="95">
        <v>8.9499999999999993</v>
      </c>
      <c r="BR97" s="95">
        <v>10.92</v>
      </c>
      <c r="BS97" s="95">
        <v>10.050000000000001</v>
      </c>
      <c r="BT97" s="95">
        <v>9.85</v>
      </c>
      <c r="BU97" s="95">
        <v>11.1</v>
      </c>
      <c r="BV97" s="95">
        <v>11.5</v>
      </c>
      <c r="BW97" s="95">
        <v>10.86</v>
      </c>
      <c r="BX97" s="95">
        <v>8.89</v>
      </c>
      <c r="BY97" s="95">
        <v>9.76</v>
      </c>
      <c r="BZ97" s="95">
        <v>11.25</v>
      </c>
      <c r="CA97" s="95">
        <v>10.46</v>
      </c>
      <c r="CB97" s="95">
        <v>10.33</v>
      </c>
      <c r="CC97" s="95">
        <v>9.6300000000000008</v>
      </c>
      <c r="CD97" s="95">
        <v>11.7</v>
      </c>
      <c r="CE97" s="95">
        <v>11.25</v>
      </c>
      <c r="CF97" s="95">
        <v>9.61</v>
      </c>
      <c r="CG97" s="95">
        <v>13.28</v>
      </c>
      <c r="CH97" s="95">
        <v>12.2</v>
      </c>
      <c r="CI97" s="95">
        <v>10.9</v>
      </c>
      <c r="CJ97" s="95">
        <v>11.65</v>
      </c>
      <c r="CK97" s="95">
        <v>10.6</v>
      </c>
      <c r="CL97" s="95">
        <v>11.46</v>
      </c>
      <c r="CM97" s="95">
        <v>11.23</v>
      </c>
      <c r="CN97" s="95">
        <v>12.86</v>
      </c>
      <c r="CO97" s="95">
        <v>11.78</v>
      </c>
      <c r="CP97" s="333">
        <f>SUM(Input_Raw[[#This Row],[P-01]:[P-56]])/1000</f>
        <v>1358.7170000000001</v>
      </c>
      <c r="CQ97" s="334">
        <f>IFERROR(AVERAGEIF(Input_Raw[[#This Row],[WS_P-01]:[WS_P-56]],"&lt;&gt;",Input_Raw[[#This Row],[WS_P-01]:[WS_P-56]]),"")</f>
        <v>10.847954545454543</v>
      </c>
      <c r="CR97" s="335">
        <f>MAX(Input_Raw[[#This Row],[WS_P-01]:[WS_P-56]])</f>
        <v>13.28</v>
      </c>
      <c r="CS97" s="335"/>
      <c r="CT97" s="336">
        <f>SUM(Input_Raw[[#This Row],[P-08]:[P-13]],Input_Raw[[#This Row],[P-25]:[P-28]])</f>
        <v>304892</v>
      </c>
      <c r="CU97" s="336"/>
      <c r="CV97" s="336">
        <f>SUM(Input_Raw[[#This Row],[P-04]],Input_Raw[[#This Row],[P-14]:[P-17]],Input_Raw[[#This Row],[P-19]:[P-20]],Input_Raw[[#This Row],[P-22]:[P-23]],Input_Raw[[#This Row],[P-34]],Input_Raw[[#This Row],[P-38]],Input_Raw[[#This Row],[P-43]])</f>
        <v>349847</v>
      </c>
      <c r="CW97" s="336"/>
      <c r="CX97" s="336">
        <f>SUM(Input_Raw[[#This Row],[P-05]:[P-06]],Input_Raw[[#This Row],[P-40]:[P-42]],Input_Raw[[#This Row],[P-45]],Input_Raw[[#This Row],[P-46]],Input_Raw[[#This Row],[P-47]:[P-48]])</f>
        <v>288628</v>
      </c>
      <c r="CY97" s="336"/>
      <c r="CZ97" s="336">
        <f>SUM(Input_Raw[[#This Row],[P-01]:[P-03]],Input_Raw[[#This Row],[P-07]],Input_Raw[[#This Row],[P-18]],Input_Raw[[#This Row],[P-31]:[P-32]],Input_Raw[[#This Row],[P-37]],Input_Raw[[#This Row],[P-50]:[P-56]])</f>
        <v>415350</v>
      </c>
      <c r="DA97" s="337"/>
      <c r="DB97" s="338">
        <f>Input_Raw[[#This Row],[33 kV_Wind_F1_Export reading]]/1000</f>
        <v>304.892</v>
      </c>
      <c r="DC97" s="338"/>
      <c r="DD97" s="338">
        <f>Input_Raw[[#This Row],[33 kV_Wind_F2_Export_reading]]/1000</f>
        <v>349.84699999999998</v>
      </c>
      <c r="DE97" s="338"/>
      <c r="DF97" s="338">
        <f>Input_Raw[[#This Row],[33 kV_Wind_F3_Export_Reading]]/1000</f>
        <v>288.62799999999999</v>
      </c>
      <c r="DG97" s="338"/>
      <c r="DH97" s="338">
        <f>Input_Raw[[#This Row],[33 kV_Wind_F4_Export Reading]]/1000</f>
        <v>415.35</v>
      </c>
      <c r="DI97" s="338"/>
      <c r="DJ97" s="338">
        <f>Input_Raw[[#This Row],[33 kV_F1_Total_Export (MWh)]]+Input_Raw[[#This Row],[33 kV_F2_Total_Export (MWh)2]]+Input_Raw[[#This Row],[33 kV_Wind_F3_Export (MWh)]]+Input_Raw[[#This Row],[33 kV_Wind_F4_Export (MWh)]]</f>
        <v>1358.7170000000001</v>
      </c>
      <c r="DK97" s="338">
        <f>Input_Raw[[#This Row],[33 kV_Wind_F1_Import (MWh)]]+Input_Raw[[#This Row],[33 kV_Wind_F2_Import (MWh)]]+Input_Raw[[#This Row],[33 kV_Wind_F3_Import (MWh)2]]+Input_Raw[[#This Row],[33 kV_Wind_F4_Import (MWh)2]]</f>
        <v>0</v>
      </c>
      <c r="DL97" s="339">
        <f>IFERROR(Input_Raw[[#This Row],[33 kV_Wind_Total_Export (MWh)]]/Input_Raw[[#This Row],[WTG Total Gneration (MWh)]]-1,"")</f>
        <v>0</v>
      </c>
      <c r="DM97" s="340"/>
      <c r="DN97" s="186">
        <v>88</v>
      </c>
      <c r="DO97" s="186">
        <v>28273</v>
      </c>
      <c r="DP97" s="102">
        <v>1400.72</v>
      </c>
      <c r="DQ97" s="340"/>
      <c r="DR97" s="181">
        <v>70.400000000000006</v>
      </c>
    </row>
    <row r="98" spans="1:122">
      <c r="A98" s="92">
        <f t="shared" si="74"/>
        <v>45838</v>
      </c>
      <c r="B98" s="190">
        <f>YEAR(Input_Raw[[#This Row],[Date]])+IF(MONTH(Input_Raw[[#This Row],[Date]])&gt;=4,1,0)</f>
        <v>2026</v>
      </c>
      <c r="C98" s="190">
        <f>YEAR(Input_Raw[[#This Row],[Date]])</f>
        <v>2025</v>
      </c>
      <c r="D98" s="11">
        <f t="shared" ref="D98:D99" si="149">A98-DAY(A98)+1</f>
        <v>45809</v>
      </c>
      <c r="E98" s="190">
        <f>DAY(EOMONTH(Input_Raw[[#This Row],[Date]],0))</f>
        <v>30</v>
      </c>
      <c r="F98" s="199">
        <v>37604</v>
      </c>
      <c r="G98" s="199">
        <v>35884</v>
      </c>
      <c r="H98" s="199">
        <v>12572</v>
      </c>
      <c r="I98" s="199">
        <v>36876</v>
      </c>
      <c r="J98" s="199">
        <v>31768</v>
      </c>
      <c r="K98" s="199">
        <v>35668</v>
      </c>
      <c r="L98" s="199">
        <v>37002</v>
      </c>
      <c r="M98" s="199">
        <v>34272</v>
      </c>
      <c r="N98" s="199">
        <v>28488</v>
      </c>
      <c r="O98" s="199">
        <v>30148</v>
      </c>
      <c r="P98" s="199">
        <v>30524</v>
      </c>
      <c r="Q98" s="199">
        <v>37060</v>
      </c>
      <c r="R98" s="199">
        <v>37416</v>
      </c>
      <c r="S98" s="199">
        <v>33072</v>
      </c>
      <c r="T98" s="199">
        <v>32390</v>
      </c>
      <c r="U98" s="199">
        <v>33876</v>
      </c>
      <c r="V98" s="199">
        <v>34820</v>
      </c>
      <c r="W98" s="199">
        <v>35348</v>
      </c>
      <c r="X98" s="199">
        <v>33448</v>
      </c>
      <c r="Y98" s="199">
        <v>30811</v>
      </c>
      <c r="Z98" s="199">
        <v>36332</v>
      </c>
      <c r="AA98" s="199">
        <v>34040</v>
      </c>
      <c r="AB98" s="199">
        <v>34332</v>
      </c>
      <c r="AC98" s="199">
        <v>35428</v>
      </c>
      <c r="AD98" s="199">
        <v>35700</v>
      </c>
      <c r="AE98" s="199">
        <v>35652</v>
      </c>
      <c r="AF98" s="199">
        <v>31666</v>
      </c>
      <c r="AG98" s="199">
        <v>33350</v>
      </c>
      <c r="AH98" s="199">
        <v>36996</v>
      </c>
      <c r="AI98" s="199">
        <v>35804</v>
      </c>
      <c r="AJ98" s="199">
        <v>33860</v>
      </c>
      <c r="AK98" s="199">
        <v>30326</v>
      </c>
      <c r="AL98" s="199">
        <v>35624</v>
      </c>
      <c r="AM98" s="199">
        <v>36552</v>
      </c>
      <c r="AN98" s="199">
        <v>32542</v>
      </c>
      <c r="AO98" s="199">
        <v>38060</v>
      </c>
      <c r="AP98" s="199">
        <v>38036</v>
      </c>
      <c r="AQ98" s="199">
        <v>36472</v>
      </c>
      <c r="AR98" s="199">
        <v>37476</v>
      </c>
      <c r="AS98" s="199">
        <v>34470</v>
      </c>
      <c r="AT98" s="199">
        <v>36576</v>
      </c>
      <c r="AU98" s="199">
        <v>37148</v>
      </c>
      <c r="AV98" s="199">
        <v>38404</v>
      </c>
      <c r="AW98" s="199">
        <v>37944</v>
      </c>
      <c r="AX98" s="95">
        <v>12.48</v>
      </c>
      <c r="AY98" s="95">
        <v>12.48</v>
      </c>
      <c r="AZ98" s="95">
        <v>10.89</v>
      </c>
      <c r="BA98" s="95">
        <v>12.82</v>
      </c>
      <c r="BB98" s="95">
        <v>11.62</v>
      </c>
      <c r="BC98" s="95">
        <v>12.36</v>
      </c>
      <c r="BD98" s="95">
        <v>12.59</v>
      </c>
      <c r="BE98" s="95">
        <v>11.8</v>
      </c>
      <c r="BF98" s="95">
        <v>10.38</v>
      </c>
      <c r="BG98" s="95">
        <v>10.84</v>
      </c>
      <c r="BH98" s="95">
        <v>12.74</v>
      </c>
      <c r="BI98" s="95">
        <v>13.99</v>
      </c>
      <c r="BJ98" s="95">
        <v>12.95</v>
      </c>
      <c r="BK98" s="95">
        <v>11.36</v>
      </c>
      <c r="BL98" s="95">
        <v>11.74</v>
      </c>
      <c r="BM98" s="95">
        <v>11.37</v>
      </c>
      <c r="BN98" s="95">
        <v>12.28</v>
      </c>
      <c r="BO98" s="95">
        <v>11.62</v>
      </c>
      <c r="BP98" s="95">
        <v>11.24</v>
      </c>
      <c r="BQ98" s="95">
        <v>10.1</v>
      </c>
      <c r="BR98" s="95">
        <v>12.06</v>
      </c>
      <c r="BS98" s="95">
        <v>11.29</v>
      </c>
      <c r="BT98" s="95">
        <v>11.03</v>
      </c>
      <c r="BU98" s="95">
        <v>12.6</v>
      </c>
      <c r="BV98" s="95">
        <v>12.74</v>
      </c>
      <c r="BW98" s="95">
        <v>11.99</v>
      </c>
      <c r="BX98" s="95">
        <v>10.53</v>
      </c>
      <c r="BY98" s="95">
        <v>10.97</v>
      </c>
      <c r="BZ98" s="95">
        <v>12.54</v>
      </c>
      <c r="CA98" s="95">
        <v>11.55</v>
      </c>
      <c r="CB98" s="95">
        <v>11.59</v>
      </c>
      <c r="CC98" s="95">
        <v>10.69</v>
      </c>
      <c r="CD98" s="95">
        <v>13.27</v>
      </c>
      <c r="CE98" s="95">
        <v>12.53</v>
      </c>
      <c r="CF98" s="95">
        <v>10.84</v>
      </c>
      <c r="CG98" s="95">
        <v>14.72</v>
      </c>
      <c r="CH98" s="95">
        <v>13.44</v>
      </c>
      <c r="CI98" s="95">
        <v>12.24</v>
      </c>
      <c r="CJ98" s="95">
        <v>12.9</v>
      </c>
      <c r="CK98" s="95">
        <v>11.6</v>
      </c>
      <c r="CL98" s="95">
        <v>12.53</v>
      </c>
      <c r="CM98" s="95">
        <v>12.48</v>
      </c>
      <c r="CN98" s="95">
        <v>14.27</v>
      </c>
      <c r="CO98" s="95">
        <v>12.96</v>
      </c>
      <c r="CP98" s="98">
        <f>SUM(Input_Raw[[#This Row],[P-01]:[P-56]])/1000</f>
        <v>1511.837</v>
      </c>
      <c r="CQ98" s="71">
        <f>IFERROR(AVERAGEIF(Input_Raw[[#This Row],[WS_P-01]:[WS_P-56]],"&lt;&gt;",Input_Raw[[#This Row],[WS_P-01]:[WS_P-56]]),"")</f>
        <v>12.068409090909093</v>
      </c>
      <c r="CR98" s="99">
        <f>MAX(Input_Raw[[#This Row],[WS_P-01]:[WS_P-56]])</f>
        <v>14.72</v>
      </c>
      <c r="CS98" s="99"/>
      <c r="CT98" s="70">
        <f>SUM(Input_Raw[[#This Row],[P-08]:[P-13]],Input_Raw[[#This Row],[P-25]:[P-28]])</f>
        <v>339020</v>
      </c>
      <c r="CU98" s="70"/>
      <c r="CV98" s="70">
        <f>SUM(Input_Raw[[#This Row],[P-04]],Input_Raw[[#This Row],[P-14]:[P-17]],Input_Raw[[#This Row],[P-19]:[P-20]],Input_Raw[[#This Row],[P-22]:[P-23]],Input_Raw[[#This Row],[P-34]],Input_Raw[[#This Row],[P-38]],Input_Raw[[#This Row],[P-43]])</f>
        <v>409063</v>
      </c>
      <c r="CW98" s="70"/>
      <c r="CX98" s="70">
        <f>SUM(Input_Raw[[#This Row],[P-05]:[P-06]],Input_Raw[[#This Row],[P-40]:[P-42]],Input_Raw[[#This Row],[P-45]],Input_Raw[[#This Row],[P-46]],Input_Raw[[#This Row],[P-47]:[P-48]])</f>
        <v>319982</v>
      </c>
      <c r="CY98" s="70"/>
      <c r="CZ98" s="70">
        <f>SUM(Input_Raw[[#This Row],[P-01]:[P-03]],Input_Raw[[#This Row],[P-07]],Input_Raw[[#This Row],[P-18]],Input_Raw[[#This Row],[P-31]:[P-32]],Input_Raw[[#This Row],[P-37]],Input_Raw[[#This Row],[P-50]:[P-56]])</f>
        <v>443772</v>
      </c>
      <c r="DA98" s="12"/>
      <c r="DB98" s="13">
        <f>Input_Raw[[#This Row],[33 kV_Wind_F1_Export reading]]/1000</f>
        <v>339.02</v>
      </c>
      <c r="DC98" s="13"/>
      <c r="DD98" s="13">
        <f>Input_Raw[[#This Row],[33 kV_Wind_F2_Export_reading]]/1000</f>
        <v>409.06299999999999</v>
      </c>
      <c r="DE98" s="13"/>
      <c r="DF98" s="13">
        <f>Input_Raw[[#This Row],[33 kV_Wind_F3_Export_Reading]]/1000</f>
        <v>319.98200000000003</v>
      </c>
      <c r="DG98" s="13"/>
      <c r="DH98" s="13">
        <f>Input_Raw[[#This Row],[33 kV_Wind_F4_Export Reading]]/1000</f>
        <v>443.77199999999999</v>
      </c>
      <c r="DI98" s="13"/>
      <c r="DJ98" s="13">
        <f>Input_Raw[[#This Row],[33 kV_F1_Total_Export (MWh)]]+Input_Raw[[#This Row],[33 kV_F2_Total_Export (MWh)2]]+Input_Raw[[#This Row],[33 kV_Wind_F3_Export (MWh)]]+Input_Raw[[#This Row],[33 kV_Wind_F4_Export (MWh)]]</f>
        <v>1511.837</v>
      </c>
      <c r="DK98" s="13">
        <f>Input_Raw[[#This Row],[33 kV_Wind_F1_Import (MWh)]]+Input_Raw[[#This Row],[33 kV_Wind_F2_Import (MWh)]]+Input_Raw[[#This Row],[33 kV_Wind_F3_Import (MWh)2]]+Input_Raw[[#This Row],[33 kV_Wind_F4_Import (MWh)2]]</f>
        <v>0</v>
      </c>
      <c r="DL98" s="100">
        <f>IFERROR(Input_Raw[[#This Row],[33 kV_Wind_Total_Export (MWh)]]/Input_Raw[[#This Row],[WTG Total Gneration (MWh)]]-1,"")</f>
        <v>0</v>
      </c>
      <c r="DM98" s="66"/>
      <c r="DN98" s="186">
        <v>90</v>
      </c>
      <c r="DO98" s="186">
        <v>1373</v>
      </c>
      <c r="DP98" s="102">
        <v>1574.47</v>
      </c>
      <c r="DQ98" s="66"/>
      <c r="DR98" s="181">
        <v>70.400000000000006</v>
      </c>
    </row>
    <row r="99" spans="1:122">
      <c r="A99" s="92">
        <f t="shared" si="74"/>
        <v>45839</v>
      </c>
      <c r="B99" s="190">
        <f>YEAR(Input_Raw[[#This Row],[Date]])+IF(MONTH(Input_Raw[[#This Row],[Date]])&gt;=4,1,0)</f>
        <v>2026</v>
      </c>
      <c r="C99" s="190">
        <f>YEAR(Input_Raw[[#This Row],[Date]])</f>
        <v>2025</v>
      </c>
      <c r="D99" s="11">
        <f t="shared" si="149"/>
        <v>45839</v>
      </c>
      <c r="E99" s="190">
        <f>DAY(EOMONTH(Input_Raw[[#This Row],[Date]],0))</f>
        <v>31</v>
      </c>
      <c r="F99" s="199">
        <v>36472</v>
      </c>
      <c r="G99" s="199">
        <v>33292</v>
      </c>
      <c r="H99" s="199">
        <v>13552</v>
      </c>
      <c r="I99" s="199">
        <v>34144</v>
      </c>
      <c r="J99" s="199">
        <v>28088</v>
      </c>
      <c r="K99" s="199">
        <v>29144</v>
      </c>
      <c r="L99" s="199">
        <v>34354</v>
      </c>
      <c r="M99" s="199">
        <v>31060</v>
      </c>
      <c r="N99" s="199">
        <v>23538</v>
      </c>
      <c r="O99" s="199">
        <v>27696</v>
      </c>
      <c r="P99" s="199">
        <v>31092</v>
      </c>
      <c r="Q99" s="199">
        <v>35800</v>
      </c>
      <c r="R99" s="199">
        <v>35112</v>
      </c>
      <c r="S99" s="199">
        <v>30556</v>
      </c>
      <c r="T99" s="199">
        <v>28654</v>
      </c>
      <c r="U99" s="199">
        <v>31642</v>
      </c>
      <c r="V99" s="199">
        <v>32864</v>
      </c>
      <c r="W99" s="199">
        <v>33304</v>
      </c>
      <c r="X99" s="199">
        <v>28902</v>
      </c>
      <c r="Y99" s="199">
        <v>25311</v>
      </c>
      <c r="Z99" s="199">
        <v>33084</v>
      </c>
      <c r="AA99" s="199">
        <v>29856</v>
      </c>
      <c r="AB99" s="199">
        <v>30888</v>
      </c>
      <c r="AC99" s="199">
        <v>32287.999999999996</v>
      </c>
      <c r="AD99" s="199">
        <v>34216</v>
      </c>
      <c r="AE99" s="199">
        <v>32784</v>
      </c>
      <c r="AF99" s="199">
        <v>31244</v>
      </c>
      <c r="AG99" s="199">
        <v>29034</v>
      </c>
      <c r="AH99" s="199">
        <v>34136</v>
      </c>
      <c r="AI99" s="199">
        <v>32619.999999999996</v>
      </c>
      <c r="AJ99" s="199">
        <v>31438</v>
      </c>
      <c r="AK99" s="199">
        <v>24090</v>
      </c>
      <c r="AL99" s="199">
        <v>33348</v>
      </c>
      <c r="AM99" s="199">
        <v>34608</v>
      </c>
      <c r="AN99" s="199">
        <v>28492</v>
      </c>
      <c r="AO99" s="199">
        <v>36504</v>
      </c>
      <c r="AP99" s="199">
        <v>36668</v>
      </c>
      <c r="AQ99" s="199">
        <v>34828</v>
      </c>
      <c r="AR99" s="199">
        <v>35684</v>
      </c>
      <c r="AS99" s="199">
        <v>33694</v>
      </c>
      <c r="AT99" s="199">
        <v>35508</v>
      </c>
      <c r="AU99" s="199">
        <v>34620</v>
      </c>
      <c r="AV99" s="199">
        <v>37488</v>
      </c>
      <c r="AW99" s="199">
        <v>36168</v>
      </c>
      <c r="AX99" s="95">
        <v>11.42</v>
      </c>
      <c r="AY99" s="95">
        <v>10.86</v>
      </c>
      <c r="AZ99" s="95">
        <v>10.39</v>
      </c>
      <c r="BA99" s="95">
        <v>11.29</v>
      </c>
      <c r="BB99" s="95">
        <v>10.66</v>
      </c>
      <c r="BC99" s="95">
        <v>10.6</v>
      </c>
      <c r="BD99" s="95">
        <v>11.16</v>
      </c>
      <c r="BE99" s="95">
        <v>10.61</v>
      </c>
      <c r="BF99" s="95">
        <v>9.15</v>
      </c>
      <c r="BG99" s="95">
        <v>10.15</v>
      </c>
      <c r="BH99" s="95">
        <v>11.14</v>
      </c>
      <c r="BI99" s="95">
        <v>12.54</v>
      </c>
      <c r="BJ99" s="95">
        <v>11.57</v>
      </c>
      <c r="BK99" s="95">
        <v>10.220000000000001</v>
      </c>
      <c r="BL99" s="95">
        <v>10.45</v>
      </c>
      <c r="BM99" s="95">
        <v>10.58</v>
      </c>
      <c r="BN99" s="95">
        <v>11.03</v>
      </c>
      <c r="BO99" s="95">
        <v>10.73</v>
      </c>
      <c r="BP99" s="95">
        <v>9.84</v>
      </c>
      <c r="BQ99" s="95">
        <v>8.9</v>
      </c>
      <c r="BR99" s="95">
        <v>10.58</v>
      </c>
      <c r="BS99" s="95">
        <v>9.92</v>
      </c>
      <c r="BT99" s="95">
        <v>9.7899999999999991</v>
      </c>
      <c r="BU99" s="95">
        <v>10.94</v>
      </c>
      <c r="BV99" s="95">
        <v>11.63</v>
      </c>
      <c r="BW99" s="95">
        <v>10.83</v>
      </c>
      <c r="BX99" s="95">
        <v>10.23</v>
      </c>
      <c r="BY99" s="95">
        <v>9.7200000000000006</v>
      </c>
      <c r="BZ99" s="95">
        <v>11.03</v>
      </c>
      <c r="CA99" s="95">
        <v>10.4</v>
      </c>
      <c r="CB99" s="95">
        <v>10.55</v>
      </c>
      <c r="CC99" s="95">
        <v>9.32</v>
      </c>
      <c r="CD99" s="95">
        <v>11.92</v>
      </c>
      <c r="CE99" s="95">
        <v>11.35</v>
      </c>
      <c r="CF99" s="95">
        <v>9.65</v>
      </c>
      <c r="CG99" s="95">
        <v>12.97</v>
      </c>
      <c r="CH99" s="95">
        <v>12.06</v>
      </c>
      <c r="CI99" s="95">
        <v>11.19</v>
      </c>
      <c r="CJ99" s="95">
        <v>11.58</v>
      </c>
      <c r="CK99" s="95">
        <v>11.01</v>
      </c>
      <c r="CL99" s="95">
        <v>11.54</v>
      </c>
      <c r="CM99" s="95">
        <v>10.99</v>
      </c>
      <c r="CN99" s="95">
        <v>12.78</v>
      </c>
      <c r="CO99" s="95">
        <v>11.54</v>
      </c>
      <c r="CP99" s="98">
        <f>SUM(Input_Raw[[#This Row],[P-01]:[P-56]])/1000</f>
        <v>1397.865</v>
      </c>
      <c r="CQ99" s="71">
        <f>IFERROR(AVERAGEIF(Input_Raw[[#This Row],[WS_P-01]:[WS_P-56]],"&lt;&gt;",Input_Raw[[#This Row],[WS_P-01]:[WS_P-56]]),"")</f>
        <v>10.836590909090908</v>
      </c>
      <c r="CR99" s="99">
        <f>MAX(Input_Raw[[#This Row],[WS_P-01]:[WS_P-56]])</f>
        <v>12.97</v>
      </c>
      <c r="CS99" s="99"/>
      <c r="CT99" s="70">
        <f>SUM(Input_Raw[[#This Row],[P-08]:[P-13]],Input_Raw[[#This Row],[P-25]:[P-28]])</f>
        <v>314474</v>
      </c>
      <c r="CU99" s="70"/>
      <c r="CV99" s="70">
        <f>SUM(Input_Raw[[#This Row],[P-04]],Input_Raw[[#This Row],[P-14]:[P-17]],Input_Raw[[#This Row],[P-19]:[P-20]],Input_Raw[[#This Row],[P-22]:[P-23]],Input_Raw[[#This Row],[P-34]],Input_Raw[[#This Row],[P-38]],Input_Raw[[#This Row],[P-43]])</f>
        <v>369079</v>
      </c>
      <c r="CW99" s="70"/>
      <c r="CX99" s="70">
        <f>SUM(Input_Raw[[#This Row],[P-05]:[P-06]],Input_Raw[[#This Row],[P-40]:[P-42]],Input_Raw[[#This Row],[P-45]],Input_Raw[[#This Row],[P-46]],Input_Raw[[#This Row],[P-47]:[P-48]])</f>
        <v>292962</v>
      </c>
      <c r="CY99" s="70"/>
      <c r="CZ99" s="70">
        <f>SUM(Input_Raw[[#This Row],[P-01]:[P-03]],Input_Raw[[#This Row],[P-07]],Input_Raw[[#This Row],[P-18]],Input_Raw[[#This Row],[P-31]:[P-32]],Input_Raw[[#This Row],[P-37]],Input_Raw[[#This Row],[P-50]:[P-56]])</f>
        <v>421350</v>
      </c>
      <c r="DA99" s="12"/>
      <c r="DB99" s="13">
        <f>Input_Raw[[#This Row],[33 kV_Wind_F1_Export reading]]/1000</f>
        <v>314.47399999999999</v>
      </c>
      <c r="DC99" s="13"/>
      <c r="DD99" s="13">
        <f>Input_Raw[[#This Row],[33 kV_Wind_F2_Export_reading]]/1000</f>
        <v>369.07900000000001</v>
      </c>
      <c r="DE99" s="13"/>
      <c r="DF99" s="13">
        <f>Input_Raw[[#This Row],[33 kV_Wind_F3_Export_Reading]]/1000</f>
        <v>292.96199999999999</v>
      </c>
      <c r="DG99" s="13"/>
      <c r="DH99" s="13">
        <f>Input_Raw[[#This Row],[33 kV_Wind_F4_Export Reading]]/1000</f>
        <v>421.35</v>
      </c>
      <c r="DI99" s="13"/>
      <c r="DJ99" s="13">
        <f>Input_Raw[[#This Row],[33 kV_F1_Total_Export (MWh)]]+Input_Raw[[#This Row],[33 kV_F2_Total_Export (MWh)2]]+Input_Raw[[#This Row],[33 kV_Wind_F3_Export (MWh)]]+Input_Raw[[#This Row],[33 kV_Wind_F4_Export (MWh)]]</f>
        <v>1397.865</v>
      </c>
      <c r="DK99" s="13">
        <f>Input_Raw[[#This Row],[33 kV_Wind_F1_Import (MWh)]]+Input_Raw[[#This Row],[33 kV_Wind_F2_Import (MWh)]]+Input_Raw[[#This Row],[33 kV_Wind_F3_Import (MWh)2]]+Input_Raw[[#This Row],[33 kV_Wind_F4_Import (MWh)2]]</f>
        <v>0</v>
      </c>
      <c r="DL99" s="100">
        <f>IFERROR(Input_Raw[[#This Row],[33 kV_Wind_Total_Export (MWh)]]/Input_Raw[[#This Row],[WTG Total Gneration (MWh)]]-1,"")</f>
        <v>0</v>
      </c>
      <c r="DM99" s="66"/>
      <c r="DN99" s="186">
        <v>93</v>
      </c>
      <c r="DO99" s="186">
        <v>8212</v>
      </c>
      <c r="DP99" s="102">
        <v>1440.43</v>
      </c>
      <c r="DQ99" s="66"/>
      <c r="DR99" s="181">
        <v>70.400000000000006</v>
      </c>
    </row>
    <row r="100" spans="1:122">
      <c r="A100" s="92">
        <f t="shared" si="74"/>
        <v>45840</v>
      </c>
      <c r="B100" s="190">
        <f>YEAR(Input_Raw[[#This Row],[Date]])+IF(MONTH(Input_Raw[[#This Row],[Date]])&gt;=4,1,0)</f>
        <v>2026</v>
      </c>
      <c r="C100" s="190">
        <f>YEAR(Input_Raw[[#This Row],[Date]])</f>
        <v>2025</v>
      </c>
      <c r="D100" s="11">
        <f t="shared" ref="D100" si="150">A100-DAY(A100)+1</f>
        <v>45839</v>
      </c>
      <c r="E100" s="190">
        <f>DAY(EOMONTH(Input_Raw[[#This Row],[Date]],0))</f>
        <v>31</v>
      </c>
      <c r="F100" s="199">
        <v>37752</v>
      </c>
      <c r="G100" s="199">
        <v>35880</v>
      </c>
      <c r="H100" s="199">
        <v>35608</v>
      </c>
      <c r="I100" s="199">
        <v>32665.999999999996</v>
      </c>
      <c r="J100" s="199">
        <v>37248</v>
      </c>
      <c r="K100" s="199">
        <v>30976</v>
      </c>
      <c r="L100" s="199">
        <v>36232</v>
      </c>
      <c r="M100" s="199">
        <v>33730</v>
      </c>
      <c r="N100" s="199">
        <v>28294</v>
      </c>
      <c r="O100" s="199">
        <v>32806</v>
      </c>
      <c r="P100" s="199">
        <v>36482</v>
      </c>
      <c r="Q100" s="199">
        <v>37268</v>
      </c>
      <c r="R100" s="199">
        <v>36064</v>
      </c>
      <c r="S100" s="199">
        <v>32716</v>
      </c>
      <c r="T100" s="199">
        <v>29540</v>
      </c>
      <c r="U100" s="199">
        <v>33420</v>
      </c>
      <c r="V100" s="199">
        <v>33058</v>
      </c>
      <c r="W100" s="199">
        <v>35776</v>
      </c>
      <c r="X100" s="199">
        <v>31122</v>
      </c>
      <c r="Y100" s="199">
        <v>27519</v>
      </c>
      <c r="Z100" s="199">
        <v>32567.999999999996</v>
      </c>
      <c r="AA100" s="199">
        <v>30880</v>
      </c>
      <c r="AB100" s="199">
        <v>34340</v>
      </c>
      <c r="AC100" s="199">
        <v>35652</v>
      </c>
      <c r="AD100" s="199">
        <v>36896</v>
      </c>
      <c r="AE100" s="199">
        <v>35256</v>
      </c>
      <c r="AF100" s="199">
        <v>33378</v>
      </c>
      <c r="AG100" s="199">
        <v>32058</v>
      </c>
      <c r="AH100" s="199">
        <v>32908</v>
      </c>
      <c r="AI100" s="199">
        <v>34788</v>
      </c>
      <c r="AJ100" s="199">
        <v>32170</v>
      </c>
      <c r="AK100" s="199">
        <v>29172</v>
      </c>
      <c r="AL100" s="199">
        <v>36872</v>
      </c>
      <c r="AM100" s="199">
        <v>36464</v>
      </c>
      <c r="AN100" s="199">
        <v>30852</v>
      </c>
      <c r="AO100" s="199">
        <v>37840</v>
      </c>
      <c r="AP100" s="199">
        <v>37948</v>
      </c>
      <c r="AQ100" s="199">
        <v>37124</v>
      </c>
      <c r="AR100" s="199">
        <v>37508</v>
      </c>
      <c r="AS100" s="199">
        <v>36178</v>
      </c>
      <c r="AT100" s="199">
        <v>37008</v>
      </c>
      <c r="AU100" s="199">
        <v>36332</v>
      </c>
      <c r="AV100" s="199">
        <v>38268</v>
      </c>
      <c r="AW100" s="199">
        <v>37412</v>
      </c>
      <c r="AX100" s="95">
        <v>12.17</v>
      </c>
      <c r="AY100" s="95">
        <v>12.02</v>
      </c>
      <c r="AZ100" s="95">
        <v>11.83</v>
      </c>
      <c r="BA100" s="95">
        <v>11.79</v>
      </c>
      <c r="BB100" s="95">
        <v>11.99</v>
      </c>
      <c r="BC100" s="95">
        <v>11.59</v>
      </c>
      <c r="BD100" s="95">
        <v>11.82</v>
      </c>
      <c r="BE100" s="95">
        <v>11.53</v>
      </c>
      <c r="BF100" s="95">
        <v>10.14</v>
      </c>
      <c r="BG100" s="95">
        <v>11.31</v>
      </c>
      <c r="BH100" s="95">
        <v>13.05</v>
      </c>
      <c r="BI100" s="95">
        <v>13.57</v>
      </c>
      <c r="BJ100" s="95">
        <v>12.16</v>
      </c>
      <c r="BK100" s="95">
        <v>11.25</v>
      </c>
      <c r="BL100" s="95">
        <v>11.55</v>
      </c>
      <c r="BM100" s="95">
        <v>11.55</v>
      </c>
      <c r="BN100" s="95">
        <v>12.06</v>
      </c>
      <c r="BO100" s="95">
        <v>11.66</v>
      </c>
      <c r="BP100" s="95">
        <v>11.06</v>
      </c>
      <c r="BQ100" s="95">
        <v>10.08</v>
      </c>
      <c r="BR100" s="95">
        <v>11.3</v>
      </c>
      <c r="BS100" s="95">
        <v>11.07</v>
      </c>
      <c r="BT100" s="95">
        <v>10.77</v>
      </c>
      <c r="BU100" s="95">
        <v>12.37</v>
      </c>
      <c r="BV100" s="95">
        <v>12.85</v>
      </c>
      <c r="BW100" s="95">
        <v>11.68</v>
      </c>
      <c r="BX100" s="95">
        <v>10.93</v>
      </c>
      <c r="BY100" s="95">
        <v>10.33</v>
      </c>
      <c r="BZ100" s="95">
        <v>11.59</v>
      </c>
      <c r="CA100" s="95">
        <v>11.06</v>
      </c>
      <c r="CB100" s="95">
        <v>11.63</v>
      </c>
      <c r="CC100" s="95">
        <v>10.43</v>
      </c>
      <c r="CD100" s="95">
        <v>13.9</v>
      </c>
      <c r="CE100" s="95">
        <v>12.34</v>
      </c>
      <c r="CF100" s="95">
        <v>10.98</v>
      </c>
      <c r="CG100" s="95">
        <v>14.15</v>
      </c>
      <c r="CH100" s="95">
        <v>13.19</v>
      </c>
      <c r="CI100" s="95">
        <v>12.41</v>
      </c>
      <c r="CJ100" s="95">
        <v>12.64</v>
      </c>
      <c r="CK100" s="95">
        <v>11.95</v>
      </c>
      <c r="CL100" s="95">
        <v>12.29</v>
      </c>
      <c r="CM100" s="95">
        <v>11.63</v>
      </c>
      <c r="CN100" s="95">
        <v>13.63</v>
      </c>
      <c r="CO100" s="95">
        <v>12.35</v>
      </c>
      <c r="CP100" s="98">
        <f>SUM(Input_Raw[[#This Row],[P-01]:[P-56]])/1000</f>
        <v>1514.029</v>
      </c>
      <c r="CQ100" s="71">
        <f>IFERROR(AVERAGEIF(Input_Raw[[#This Row],[WS_P-01]:[WS_P-56]],"&lt;&gt;",Input_Raw[[#This Row],[WS_P-01]:[WS_P-56]]),"")</f>
        <v>11.855681818181818</v>
      </c>
      <c r="CR100" s="99">
        <f>MAX(Input_Raw[[#This Row],[WS_P-01]:[WS_P-56]])</f>
        <v>14.15</v>
      </c>
      <c r="CS100" s="99"/>
      <c r="CT100" s="70">
        <f>SUM(Input_Raw[[#This Row],[P-08]:[P-13]],Input_Raw[[#This Row],[P-25]:[P-28]])</f>
        <v>346788</v>
      </c>
      <c r="CU100" s="70"/>
      <c r="CV100" s="70">
        <f>SUM(Input_Raw[[#This Row],[P-04]],Input_Raw[[#This Row],[P-14]:[P-17]],Input_Raw[[#This Row],[P-19]:[P-20]],Input_Raw[[#This Row],[P-22]:[P-23]],Input_Raw[[#This Row],[P-34]],Input_Raw[[#This Row],[P-38]],Input_Raw[[#This Row],[P-43]])</f>
        <v>379419</v>
      </c>
      <c r="CW100" s="70"/>
      <c r="CX100" s="70">
        <f>SUM(Input_Raw[[#This Row],[P-05]:[P-06]],Input_Raw[[#This Row],[P-40]:[P-42]],Input_Raw[[#This Row],[P-45]],Input_Raw[[#This Row],[P-46]],Input_Raw[[#This Row],[P-47]:[P-48]])</f>
        <v>321152</v>
      </c>
      <c r="CY100" s="70"/>
      <c r="CZ100" s="70">
        <f>SUM(Input_Raw[[#This Row],[P-01]:[P-03]],Input_Raw[[#This Row],[P-07]],Input_Raw[[#This Row],[P-18]],Input_Raw[[#This Row],[P-31]:[P-32]],Input_Raw[[#This Row],[P-37]],Input_Raw[[#This Row],[P-50]:[P-56]])</f>
        <v>466670</v>
      </c>
      <c r="DA100" s="12"/>
      <c r="DB100" s="13">
        <f>Input_Raw[[#This Row],[33 kV_Wind_F1_Export reading]]/1000</f>
        <v>346.78800000000001</v>
      </c>
      <c r="DC100" s="13"/>
      <c r="DD100" s="13">
        <f>Input_Raw[[#This Row],[33 kV_Wind_F2_Export_reading]]/1000</f>
        <v>379.41899999999998</v>
      </c>
      <c r="DE100" s="13"/>
      <c r="DF100" s="13">
        <f>Input_Raw[[#This Row],[33 kV_Wind_F3_Export_Reading]]/1000</f>
        <v>321.15199999999999</v>
      </c>
      <c r="DG100" s="13"/>
      <c r="DH100" s="13">
        <f>Input_Raw[[#This Row],[33 kV_Wind_F4_Export Reading]]/1000</f>
        <v>466.67</v>
      </c>
      <c r="DI100" s="13"/>
      <c r="DJ100" s="13">
        <f>Input_Raw[[#This Row],[33 kV_F1_Total_Export (MWh)]]+Input_Raw[[#This Row],[33 kV_F2_Total_Export (MWh)2]]+Input_Raw[[#This Row],[33 kV_Wind_F3_Export (MWh)]]+Input_Raw[[#This Row],[33 kV_Wind_F4_Export (MWh)]]</f>
        <v>1514.029</v>
      </c>
      <c r="DK100" s="13">
        <f>Input_Raw[[#This Row],[33 kV_Wind_F1_Import (MWh)]]+Input_Raw[[#This Row],[33 kV_Wind_F2_Import (MWh)]]+Input_Raw[[#This Row],[33 kV_Wind_F3_Import (MWh)2]]+Input_Raw[[#This Row],[33 kV_Wind_F4_Import (MWh)2]]</f>
        <v>0</v>
      </c>
      <c r="DL100" s="100">
        <f>IFERROR(Input_Raw[[#This Row],[33 kV_Wind_Total_Export (MWh)]]/Input_Raw[[#This Row],[WTG Total Gneration (MWh)]]-1,"")</f>
        <v>0</v>
      </c>
      <c r="DM100" s="66"/>
      <c r="DN100" s="186">
        <v>93</v>
      </c>
      <c r="DO100" s="186">
        <v>3501</v>
      </c>
      <c r="DP100" s="102">
        <v>1569.18</v>
      </c>
      <c r="DQ100" s="66"/>
      <c r="DR100" s="181">
        <v>70.400000000000006</v>
      </c>
    </row>
    <row r="101" spans="1:122">
      <c r="A101" s="92">
        <f t="shared" si="74"/>
        <v>45841</v>
      </c>
      <c r="B101" s="190">
        <f>YEAR(Input_Raw[[#This Row],[Date]])+IF(MONTH(Input_Raw[[#This Row],[Date]])&gt;=4,1,0)</f>
        <v>2026</v>
      </c>
      <c r="C101" s="190">
        <f>YEAR(Input_Raw[[#This Row],[Date]])</f>
        <v>2025</v>
      </c>
      <c r="D101" s="11">
        <f t="shared" ref="D101:D102" si="151">A101-DAY(A101)+1</f>
        <v>45839</v>
      </c>
      <c r="E101" s="190">
        <f>DAY(EOMONTH(Input_Raw[[#This Row],[Date]],0))</f>
        <v>31</v>
      </c>
      <c r="F101" s="199">
        <v>36900</v>
      </c>
      <c r="G101" s="199">
        <v>35500</v>
      </c>
      <c r="H101" s="199">
        <v>32824</v>
      </c>
      <c r="I101" s="199">
        <v>35192</v>
      </c>
      <c r="J101" s="199">
        <v>36888</v>
      </c>
      <c r="K101" s="199">
        <v>36628</v>
      </c>
      <c r="L101" s="199">
        <v>36700</v>
      </c>
      <c r="M101" s="199">
        <v>32998</v>
      </c>
      <c r="N101" s="199">
        <v>27708</v>
      </c>
      <c r="O101" s="199">
        <v>28078</v>
      </c>
      <c r="P101" s="199">
        <v>32450.000000000004</v>
      </c>
      <c r="Q101" s="199">
        <v>35944</v>
      </c>
      <c r="R101" s="199">
        <v>36484</v>
      </c>
      <c r="S101" s="199">
        <v>33964</v>
      </c>
      <c r="T101" s="199">
        <v>31570</v>
      </c>
      <c r="U101" s="199">
        <v>33798</v>
      </c>
      <c r="V101" s="199">
        <v>34116</v>
      </c>
      <c r="W101" s="199">
        <v>34504</v>
      </c>
      <c r="X101" s="199">
        <v>34416</v>
      </c>
      <c r="Y101" s="199">
        <v>31500</v>
      </c>
      <c r="Z101" s="199">
        <v>34492</v>
      </c>
      <c r="AA101" s="199">
        <v>32168</v>
      </c>
      <c r="AB101" s="199">
        <v>33228</v>
      </c>
      <c r="AC101" s="199">
        <v>34652</v>
      </c>
      <c r="AD101" s="199">
        <v>35172</v>
      </c>
      <c r="AE101" s="199">
        <v>34484</v>
      </c>
      <c r="AF101" s="199">
        <v>29288</v>
      </c>
      <c r="AG101" s="199">
        <v>31770</v>
      </c>
      <c r="AH101" s="199">
        <v>35160</v>
      </c>
      <c r="AI101" s="199">
        <v>34476</v>
      </c>
      <c r="AJ101" s="199">
        <v>32768</v>
      </c>
      <c r="AK101" s="199">
        <v>32644</v>
      </c>
      <c r="AL101" s="199">
        <v>35360</v>
      </c>
      <c r="AM101" s="199">
        <v>32924</v>
      </c>
      <c r="AN101" s="199">
        <v>31460</v>
      </c>
      <c r="AO101" s="199">
        <v>37928</v>
      </c>
      <c r="AP101" s="199">
        <v>37940</v>
      </c>
      <c r="AQ101" s="199">
        <v>35792</v>
      </c>
      <c r="AR101" s="199">
        <v>37348</v>
      </c>
      <c r="AS101" s="199">
        <v>33538</v>
      </c>
      <c r="AT101" s="199">
        <v>35384</v>
      </c>
      <c r="AU101" s="199">
        <v>36292</v>
      </c>
      <c r="AV101" s="199">
        <v>37992</v>
      </c>
      <c r="AW101" s="199">
        <v>37772</v>
      </c>
      <c r="AX101" s="95">
        <v>12.14</v>
      </c>
      <c r="AY101" s="95">
        <v>12.22</v>
      </c>
      <c r="AZ101" s="95">
        <v>11.04</v>
      </c>
      <c r="BA101" s="95">
        <v>11.93</v>
      </c>
      <c r="BB101" s="95">
        <v>12.19</v>
      </c>
      <c r="BC101" s="95">
        <v>12.92</v>
      </c>
      <c r="BD101" s="95">
        <v>12.53</v>
      </c>
      <c r="BE101" s="95">
        <v>11.35</v>
      </c>
      <c r="BF101" s="95">
        <v>10.01</v>
      </c>
      <c r="BG101" s="95">
        <v>10.38</v>
      </c>
      <c r="BH101" s="95">
        <v>11.73</v>
      </c>
      <c r="BI101" s="95">
        <v>13.2</v>
      </c>
      <c r="BJ101" s="95">
        <v>12.35</v>
      </c>
      <c r="BK101" s="95">
        <v>11.26</v>
      </c>
      <c r="BL101" s="95">
        <v>11.56</v>
      </c>
      <c r="BM101" s="95">
        <v>11.24</v>
      </c>
      <c r="BN101" s="95">
        <v>11.85</v>
      </c>
      <c r="BO101" s="95">
        <v>11.43</v>
      </c>
      <c r="BP101" s="95">
        <v>11.31</v>
      </c>
      <c r="BQ101" s="95">
        <v>10.15</v>
      </c>
      <c r="BR101" s="95">
        <v>11.26</v>
      </c>
      <c r="BS101" s="95">
        <v>10.57</v>
      </c>
      <c r="BT101" s="95">
        <v>10.5</v>
      </c>
      <c r="BU101" s="95">
        <v>12</v>
      </c>
      <c r="BV101" s="95">
        <v>12.17</v>
      </c>
      <c r="BW101" s="95">
        <v>11.45</v>
      </c>
      <c r="BX101" s="95">
        <v>9.9499999999999993</v>
      </c>
      <c r="BY101" s="95">
        <v>10.47</v>
      </c>
      <c r="BZ101" s="95">
        <v>11.63</v>
      </c>
      <c r="CA101" s="95">
        <v>11.17</v>
      </c>
      <c r="CB101" s="95">
        <v>11.33</v>
      </c>
      <c r="CC101" s="95">
        <v>11.18</v>
      </c>
      <c r="CD101" s="95">
        <v>12.42</v>
      </c>
      <c r="CE101" s="95">
        <v>12.48</v>
      </c>
      <c r="CF101" s="95">
        <v>10.36</v>
      </c>
      <c r="CG101" s="95">
        <v>14.58</v>
      </c>
      <c r="CH101" s="95">
        <v>13.38</v>
      </c>
      <c r="CI101" s="95">
        <v>12.17</v>
      </c>
      <c r="CJ101" s="95">
        <v>13.07</v>
      </c>
      <c r="CK101" s="95">
        <v>11.19</v>
      </c>
      <c r="CL101" s="95">
        <v>11.96</v>
      </c>
      <c r="CM101" s="95">
        <v>11.99</v>
      </c>
      <c r="CN101" s="95">
        <v>14.1</v>
      </c>
      <c r="CO101" s="95">
        <v>12.88</v>
      </c>
      <c r="CP101" s="98">
        <f>SUM(Input_Raw[[#This Row],[P-01]:[P-56]])/1000</f>
        <v>1508.194</v>
      </c>
      <c r="CQ101" s="71">
        <f>IFERROR(AVERAGEIF(Input_Raw[[#This Row],[WS_P-01]:[WS_P-56]],"&lt;&gt;",Input_Raw[[#This Row],[WS_P-01]:[WS_P-56]]),"")</f>
        <v>11.751136363636364</v>
      </c>
      <c r="CR101" s="99">
        <f>MAX(Input_Raw[[#This Row],[WS_P-01]:[WS_P-56]])</f>
        <v>14.58</v>
      </c>
      <c r="CS101" s="99"/>
      <c r="CT101" s="70">
        <f>SUM(Input_Raw[[#This Row],[P-08]:[P-13]],Input_Raw[[#This Row],[P-25]:[P-28]])</f>
        <v>331198</v>
      </c>
      <c r="CU101" s="70"/>
      <c r="CV101" s="70">
        <f>SUM(Input_Raw[[#This Row],[P-04]],Input_Raw[[#This Row],[P-14]:[P-17]],Input_Raw[[#This Row],[P-19]:[P-20]],Input_Raw[[#This Row],[P-22]:[P-23]],Input_Raw[[#This Row],[P-34]],Input_Raw[[#This Row],[P-38]],Input_Raw[[#This Row],[P-43]])</f>
        <v>400604</v>
      </c>
      <c r="CW101" s="70"/>
      <c r="CX101" s="70">
        <f>SUM(Input_Raw[[#This Row],[P-05]:[P-06]],Input_Raw[[#This Row],[P-40]:[P-42]],Input_Raw[[#This Row],[P-45]],Input_Raw[[#This Row],[P-46]],Input_Raw[[#This Row],[P-47]:[P-48]])</f>
        <v>323452</v>
      </c>
      <c r="CY101" s="70"/>
      <c r="CZ101" s="70">
        <f>SUM(Input_Raw[[#This Row],[P-01]:[P-03]],Input_Raw[[#This Row],[P-07]],Input_Raw[[#This Row],[P-18]],Input_Raw[[#This Row],[P-31]:[P-32]],Input_Raw[[#This Row],[P-37]],Input_Raw[[#This Row],[P-50]:[P-56]])</f>
        <v>452940</v>
      </c>
      <c r="DA101" s="12"/>
      <c r="DB101" s="13">
        <f>Input_Raw[[#This Row],[33 kV_Wind_F1_Export reading]]/1000</f>
        <v>331.19799999999998</v>
      </c>
      <c r="DC101" s="13"/>
      <c r="DD101" s="13">
        <f>Input_Raw[[#This Row],[33 kV_Wind_F2_Export_reading]]/1000</f>
        <v>400.60399999999998</v>
      </c>
      <c r="DE101" s="13"/>
      <c r="DF101" s="13">
        <f>Input_Raw[[#This Row],[33 kV_Wind_F3_Export_Reading]]/1000</f>
        <v>323.452</v>
      </c>
      <c r="DG101" s="13"/>
      <c r="DH101" s="13">
        <f>Input_Raw[[#This Row],[33 kV_Wind_F4_Export Reading]]/1000</f>
        <v>452.94</v>
      </c>
      <c r="DI101" s="13"/>
      <c r="DJ101" s="13">
        <f>Input_Raw[[#This Row],[33 kV_F1_Total_Export (MWh)]]+Input_Raw[[#This Row],[33 kV_F2_Total_Export (MWh)2]]+Input_Raw[[#This Row],[33 kV_Wind_F3_Export (MWh)]]+Input_Raw[[#This Row],[33 kV_Wind_F4_Export (MWh)]]</f>
        <v>1508.194</v>
      </c>
      <c r="DK101" s="13">
        <f>Input_Raw[[#This Row],[33 kV_Wind_F1_Import (MWh)]]+Input_Raw[[#This Row],[33 kV_Wind_F2_Import (MWh)]]+Input_Raw[[#This Row],[33 kV_Wind_F3_Import (MWh)2]]+Input_Raw[[#This Row],[33 kV_Wind_F4_Import (MWh)2]]</f>
        <v>0</v>
      </c>
      <c r="DL101" s="100">
        <f>IFERROR(Input_Raw[[#This Row],[33 kV_Wind_Total_Export (MWh)]]/Input_Raw[[#This Row],[WTG Total Gneration (MWh)]]-1,"")</f>
        <v>0</v>
      </c>
      <c r="DM101" s="66"/>
      <c r="DN101" s="186">
        <v>92</v>
      </c>
      <c r="DO101" s="186">
        <v>7937</v>
      </c>
      <c r="DP101" s="102">
        <v>1538.95</v>
      </c>
      <c r="DQ101" s="66"/>
      <c r="DR101" s="181">
        <v>70.400000000000006</v>
      </c>
    </row>
    <row r="102" spans="1:122">
      <c r="A102" s="92">
        <f t="shared" si="74"/>
        <v>45842</v>
      </c>
      <c r="B102" s="190">
        <f>YEAR(Input_Raw[[#This Row],[Date]])+IF(MONTH(Input_Raw[[#This Row],[Date]])&gt;=4,1,0)</f>
        <v>2026</v>
      </c>
      <c r="C102" s="190">
        <f>YEAR(Input_Raw[[#This Row],[Date]])</f>
        <v>2025</v>
      </c>
      <c r="D102" s="11">
        <f t="shared" si="151"/>
        <v>45839</v>
      </c>
      <c r="E102" s="190">
        <f>DAY(EOMONTH(Input_Raw[[#This Row],[Date]],0))</f>
        <v>31</v>
      </c>
      <c r="F102" s="199">
        <v>35668</v>
      </c>
      <c r="G102" s="199">
        <v>34080</v>
      </c>
      <c r="H102" s="199">
        <v>29796</v>
      </c>
      <c r="I102" s="199">
        <v>34690</v>
      </c>
      <c r="J102" s="199">
        <v>36300</v>
      </c>
      <c r="K102" s="199">
        <v>34636</v>
      </c>
      <c r="L102" s="199">
        <v>36536</v>
      </c>
      <c r="M102" s="199">
        <v>31264</v>
      </c>
      <c r="N102" s="199">
        <v>26244</v>
      </c>
      <c r="O102" s="199">
        <v>26574</v>
      </c>
      <c r="P102" s="199">
        <v>31336</v>
      </c>
      <c r="Q102" s="199">
        <v>34816</v>
      </c>
      <c r="R102" s="199">
        <v>36120</v>
      </c>
      <c r="S102" s="199">
        <v>33580</v>
      </c>
      <c r="T102" s="199">
        <v>31088</v>
      </c>
      <c r="U102" s="199">
        <v>32796</v>
      </c>
      <c r="V102" s="199">
        <v>33334</v>
      </c>
      <c r="W102" s="199">
        <v>34052</v>
      </c>
      <c r="X102" s="199">
        <v>32735.999999999996</v>
      </c>
      <c r="Y102" s="199">
        <v>30267</v>
      </c>
      <c r="Z102" s="199">
        <v>33132</v>
      </c>
      <c r="AA102" s="199">
        <v>31676</v>
      </c>
      <c r="AB102" s="199">
        <v>31496</v>
      </c>
      <c r="AC102" s="199">
        <v>33464</v>
      </c>
      <c r="AD102" s="199">
        <v>33976</v>
      </c>
      <c r="AE102" s="199">
        <v>33116</v>
      </c>
      <c r="AF102" s="199">
        <v>29114</v>
      </c>
      <c r="AG102" s="199">
        <v>32112.000000000004</v>
      </c>
      <c r="AH102" s="199">
        <v>34696</v>
      </c>
      <c r="AI102" s="199">
        <v>34888</v>
      </c>
      <c r="AJ102" s="199">
        <v>32380.000000000004</v>
      </c>
      <c r="AK102" s="199">
        <v>30724</v>
      </c>
      <c r="AL102" s="199">
        <v>35604</v>
      </c>
      <c r="AM102" s="199">
        <v>36152</v>
      </c>
      <c r="AN102" s="199">
        <v>30126</v>
      </c>
      <c r="AO102" s="199">
        <v>37732</v>
      </c>
      <c r="AP102" s="199">
        <v>37400</v>
      </c>
      <c r="AQ102" s="199">
        <v>35632</v>
      </c>
      <c r="AR102" s="199">
        <v>37356</v>
      </c>
      <c r="AS102" s="199">
        <v>32910</v>
      </c>
      <c r="AT102" s="199">
        <v>35348</v>
      </c>
      <c r="AU102" s="199">
        <v>36208</v>
      </c>
      <c r="AV102" s="199">
        <v>37988</v>
      </c>
      <c r="AW102" s="199">
        <v>37624</v>
      </c>
      <c r="AX102" s="95">
        <v>12.21</v>
      </c>
      <c r="AY102" s="95">
        <v>12.58</v>
      </c>
      <c r="AZ102" s="95">
        <v>11.28</v>
      </c>
      <c r="BA102" s="95">
        <v>12.21</v>
      </c>
      <c r="BB102" s="95">
        <v>11.88</v>
      </c>
      <c r="BC102" s="95">
        <v>12.44</v>
      </c>
      <c r="BD102" s="95">
        <v>12.6</v>
      </c>
      <c r="BE102" s="95">
        <v>11.08</v>
      </c>
      <c r="BF102" s="95">
        <v>9.84</v>
      </c>
      <c r="BG102" s="95">
        <v>10.15</v>
      </c>
      <c r="BH102" s="95">
        <v>11.31</v>
      </c>
      <c r="BI102" s="95">
        <v>12.75</v>
      </c>
      <c r="BJ102" s="95">
        <v>12.19</v>
      </c>
      <c r="BK102" s="95">
        <v>11.27</v>
      </c>
      <c r="BL102" s="95">
        <v>11.32</v>
      </c>
      <c r="BM102" s="95">
        <v>11.09</v>
      </c>
      <c r="BN102" s="95">
        <v>11.56</v>
      </c>
      <c r="BO102" s="95">
        <v>11.51</v>
      </c>
      <c r="BP102" s="95">
        <v>11.07</v>
      </c>
      <c r="BQ102" s="95">
        <v>10.08</v>
      </c>
      <c r="BR102" s="95">
        <v>11.41</v>
      </c>
      <c r="BS102" s="95">
        <v>10.85</v>
      </c>
      <c r="BT102" s="95">
        <v>10.27</v>
      </c>
      <c r="BU102" s="95">
        <v>11.86</v>
      </c>
      <c r="BV102" s="95">
        <v>11.96</v>
      </c>
      <c r="BW102" s="95">
        <v>11.13</v>
      </c>
      <c r="BX102" s="95">
        <v>10.09</v>
      </c>
      <c r="BY102" s="95">
        <v>10.77</v>
      </c>
      <c r="BZ102" s="95">
        <v>11.87</v>
      </c>
      <c r="CA102" s="95">
        <v>11.44</v>
      </c>
      <c r="CB102" s="95">
        <v>11.11</v>
      </c>
      <c r="CC102" s="95">
        <v>10.86</v>
      </c>
      <c r="CD102" s="95">
        <v>9.93</v>
      </c>
      <c r="CE102" s="95">
        <v>12.41</v>
      </c>
      <c r="CF102" s="95">
        <v>10.32</v>
      </c>
      <c r="CG102" s="95">
        <v>14.66</v>
      </c>
      <c r="CH102" s="95">
        <v>13.31</v>
      </c>
      <c r="CI102" s="95">
        <v>12.12</v>
      </c>
      <c r="CJ102" s="95">
        <v>12.83</v>
      </c>
      <c r="CK102" s="95">
        <v>11.23</v>
      </c>
      <c r="CL102" s="95">
        <v>12.19</v>
      </c>
      <c r="CM102" s="95">
        <v>12.26</v>
      </c>
      <c r="CN102" s="95">
        <v>14.29</v>
      </c>
      <c r="CO102" s="95">
        <v>12.99</v>
      </c>
      <c r="CP102" s="345">
        <f>SUM(Input_Raw[[#This Row],[P-01]:[P-56]])/1000</f>
        <v>1476.7670000000001</v>
      </c>
      <c r="CQ102" s="346">
        <f>IFERROR(AVERAGEIF(Input_Raw[[#This Row],[WS_P-01]:[WS_P-56]],"&lt;&gt;",Input_Raw[[#This Row],[WS_P-01]:[WS_P-56]]),"")</f>
        <v>11.649545454545455</v>
      </c>
      <c r="CR102" s="347">
        <f>MAX(Input_Raw[[#This Row],[WS_P-01]:[WS_P-56]])</f>
        <v>14.66</v>
      </c>
      <c r="CS102" s="347"/>
      <c r="CT102" s="348">
        <f>SUM(Input_Raw[[#This Row],[P-08]:[P-13]],Input_Raw[[#This Row],[P-25]:[P-28]])</f>
        <v>318406</v>
      </c>
      <c r="CU102" s="348"/>
      <c r="CV102" s="348">
        <f>SUM(Input_Raw[[#This Row],[P-04]],Input_Raw[[#This Row],[P-14]:[P-17]],Input_Raw[[#This Row],[P-19]:[P-20]],Input_Raw[[#This Row],[P-22]:[P-23]],Input_Raw[[#This Row],[P-34]],Input_Raw[[#This Row],[P-38]],Input_Raw[[#This Row],[P-43]])</f>
        <v>390501</v>
      </c>
      <c r="CW102" s="348"/>
      <c r="CX102" s="348">
        <f>SUM(Input_Raw[[#This Row],[P-05]:[P-06]],Input_Raw[[#This Row],[P-40]:[P-42]],Input_Raw[[#This Row],[P-45]],Input_Raw[[#This Row],[P-46]],Input_Raw[[#This Row],[P-47]:[P-48]])</f>
        <v>321536</v>
      </c>
      <c r="CY102" s="348"/>
      <c r="CZ102" s="348">
        <f>SUM(Input_Raw[[#This Row],[P-01]:[P-03]],Input_Raw[[#This Row],[P-07]],Input_Raw[[#This Row],[P-18]],Input_Raw[[#This Row],[P-31]:[P-32]],Input_Raw[[#This Row],[P-37]],Input_Raw[[#This Row],[P-50]:[P-56]])</f>
        <v>446324</v>
      </c>
      <c r="DA102" s="349"/>
      <c r="DB102" s="350">
        <f>Input_Raw[[#This Row],[33 kV_Wind_F1_Export reading]]/1000</f>
        <v>318.40600000000001</v>
      </c>
      <c r="DC102" s="350"/>
      <c r="DD102" s="350">
        <f>Input_Raw[[#This Row],[33 kV_Wind_F2_Export_reading]]/1000</f>
        <v>390.50099999999998</v>
      </c>
      <c r="DE102" s="350"/>
      <c r="DF102" s="350">
        <f>Input_Raw[[#This Row],[33 kV_Wind_F3_Export_Reading]]/1000</f>
        <v>321.536</v>
      </c>
      <c r="DG102" s="350"/>
      <c r="DH102" s="350">
        <f>Input_Raw[[#This Row],[33 kV_Wind_F4_Export Reading]]/1000</f>
        <v>446.32400000000001</v>
      </c>
      <c r="DI102" s="350"/>
      <c r="DJ102" s="350">
        <f>Input_Raw[[#This Row],[33 kV_F1_Total_Export (MWh)]]+Input_Raw[[#This Row],[33 kV_F2_Total_Export (MWh)2]]+Input_Raw[[#This Row],[33 kV_Wind_F3_Export (MWh)]]+Input_Raw[[#This Row],[33 kV_Wind_F4_Export (MWh)]]</f>
        <v>1476.7670000000001</v>
      </c>
      <c r="DK102" s="350">
        <f>Input_Raw[[#This Row],[33 kV_Wind_F1_Import (MWh)]]+Input_Raw[[#This Row],[33 kV_Wind_F2_Import (MWh)]]+Input_Raw[[#This Row],[33 kV_Wind_F3_Import (MWh)2]]+Input_Raw[[#This Row],[33 kV_Wind_F4_Import (MWh)2]]</f>
        <v>0</v>
      </c>
      <c r="DL102" s="351">
        <f>IFERROR(Input_Raw[[#This Row],[33 kV_Wind_Total_Export (MWh)]]/Input_Raw[[#This Row],[WTG Total Gneration (MWh)]]-1,"")</f>
        <v>0</v>
      </c>
      <c r="DM102" s="352"/>
      <c r="DN102" s="186">
        <v>89</v>
      </c>
      <c r="DO102" s="186">
        <v>11143.38</v>
      </c>
      <c r="DP102" s="102">
        <v>1498.97</v>
      </c>
      <c r="DQ102" s="352"/>
      <c r="DR102" s="181">
        <v>70.400000000000006</v>
      </c>
    </row>
    <row r="103" spans="1:122">
      <c r="A103" s="92">
        <f t="shared" si="74"/>
        <v>45843</v>
      </c>
      <c r="B103" s="190">
        <f>YEAR(Input_Raw[[#This Row],[Date]])+IF(MONTH(Input_Raw[[#This Row],[Date]])&gt;=4,1,0)</f>
        <v>2026</v>
      </c>
      <c r="C103" s="190">
        <f>YEAR(Input_Raw[[#This Row],[Date]])</f>
        <v>2025</v>
      </c>
      <c r="D103" s="11">
        <f t="shared" ref="D103" si="152">A103-DAY(A103)+1</f>
        <v>45839</v>
      </c>
      <c r="E103" s="190">
        <f>DAY(EOMONTH(Input_Raw[[#This Row],[Date]],0))</f>
        <v>31</v>
      </c>
      <c r="F103" s="199">
        <v>35240</v>
      </c>
      <c r="G103" s="199">
        <v>31268</v>
      </c>
      <c r="H103" s="199">
        <v>35336</v>
      </c>
      <c r="I103" s="199">
        <v>36748</v>
      </c>
      <c r="J103" s="199">
        <v>36860</v>
      </c>
      <c r="K103" s="199">
        <v>35860</v>
      </c>
      <c r="L103" s="199">
        <v>37536</v>
      </c>
      <c r="M103" s="199">
        <v>34158</v>
      </c>
      <c r="N103" s="199">
        <v>28976</v>
      </c>
      <c r="O103" s="199">
        <v>29254</v>
      </c>
      <c r="P103" s="199">
        <v>34244</v>
      </c>
      <c r="Q103" s="199">
        <v>37272</v>
      </c>
      <c r="R103" s="199">
        <v>37444</v>
      </c>
      <c r="S103" s="199">
        <v>35126</v>
      </c>
      <c r="T103" s="199">
        <v>34076</v>
      </c>
      <c r="U103" s="199">
        <v>34664</v>
      </c>
      <c r="V103" s="199">
        <v>36328</v>
      </c>
      <c r="W103" s="199">
        <v>36268</v>
      </c>
      <c r="X103" s="199">
        <v>34880</v>
      </c>
      <c r="Y103" s="199">
        <v>32845</v>
      </c>
      <c r="Z103" s="199">
        <v>36376</v>
      </c>
      <c r="AA103" s="199">
        <v>34140</v>
      </c>
      <c r="AB103" s="199">
        <v>34648</v>
      </c>
      <c r="AC103" s="199">
        <v>25228</v>
      </c>
      <c r="AD103" s="199">
        <v>36188</v>
      </c>
      <c r="AE103" s="199">
        <v>35576</v>
      </c>
      <c r="AF103" s="199">
        <v>32316.000000000004</v>
      </c>
      <c r="AG103" s="199">
        <v>34840</v>
      </c>
      <c r="AH103" s="199">
        <v>37060</v>
      </c>
      <c r="AI103" s="199">
        <v>36692</v>
      </c>
      <c r="AJ103" s="199">
        <v>35336</v>
      </c>
      <c r="AK103" s="199">
        <v>16802</v>
      </c>
      <c r="AL103" s="199">
        <v>37048</v>
      </c>
      <c r="AM103" s="199">
        <v>37400</v>
      </c>
      <c r="AN103" s="199">
        <v>33938</v>
      </c>
      <c r="AO103" s="199">
        <v>38260</v>
      </c>
      <c r="AP103" s="199">
        <v>38220</v>
      </c>
      <c r="AQ103" s="199">
        <v>37316</v>
      </c>
      <c r="AR103" s="199">
        <v>37952</v>
      </c>
      <c r="AS103" s="199">
        <v>35460</v>
      </c>
      <c r="AT103" s="199">
        <v>37612</v>
      </c>
      <c r="AU103" s="199">
        <v>37856</v>
      </c>
      <c r="AV103" s="199">
        <v>38620</v>
      </c>
      <c r="AW103" s="199">
        <v>38256</v>
      </c>
      <c r="AX103" s="96">
        <v>12.43</v>
      </c>
      <c r="AY103" s="96">
        <v>13.24</v>
      </c>
      <c r="AZ103" s="96">
        <v>12.05</v>
      </c>
      <c r="BA103" s="96">
        <v>13.09</v>
      </c>
      <c r="BB103" s="96">
        <v>12.15</v>
      </c>
      <c r="BC103" s="96">
        <v>13.33</v>
      </c>
      <c r="BD103" s="96">
        <v>13.26</v>
      </c>
      <c r="BE103" s="96">
        <v>11.88</v>
      </c>
      <c r="BF103" s="96">
        <v>10.48</v>
      </c>
      <c r="BG103" s="96">
        <v>10.73</v>
      </c>
      <c r="BH103" s="96">
        <v>12.49</v>
      </c>
      <c r="BI103" s="96">
        <v>13.96</v>
      </c>
      <c r="BJ103" s="96">
        <v>13.05</v>
      </c>
      <c r="BK103" s="96">
        <v>11.85</v>
      </c>
      <c r="BL103" s="96">
        <v>12.23</v>
      </c>
      <c r="BM103" s="96">
        <v>11.57</v>
      </c>
      <c r="BN103" s="96">
        <v>12.84</v>
      </c>
      <c r="BO103" s="96">
        <v>12.17</v>
      </c>
      <c r="BP103" s="96">
        <v>11.79</v>
      </c>
      <c r="BQ103" s="96">
        <v>10.61</v>
      </c>
      <c r="BR103" s="96">
        <v>12.31</v>
      </c>
      <c r="BS103" s="96">
        <v>11.72</v>
      </c>
      <c r="BT103" s="96">
        <v>11.08</v>
      </c>
      <c r="BU103" s="96">
        <v>12.43</v>
      </c>
      <c r="BV103" s="96">
        <v>12.8</v>
      </c>
      <c r="BW103" s="96">
        <v>11.93</v>
      </c>
      <c r="BX103" s="96">
        <v>10.76</v>
      </c>
      <c r="BY103" s="96">
        <v>11.48</v>
      </c>
      <c r="BZ103" s="96">
        <v>12.95</v>
      </c>
      <c r="CA103" s="96">
        <v>12.09</v>
      </c>
      <c r="CB103" s="96">
        <v>12.2</v>
      </c>
      <c r="CC103" s="96">
        <v>9.1999999999999993</v>
      </c>
      <c r="CD103" s="96">
        <v>10.55</v>
      </c>
      <c r="CE103" s="96">
        <v>13.38</v>
      </c>
      <c r="CF103" s="96">
        <v>11.3</v>
      </c>
      <c r="CG103" s="96">
        <v>15.35</v>
      </c>
      <c r="CH103" s="96">
        <v>14.01</v>
      </c>
      <c r="CI103" s="96">
        <v>12.95</v>
      </c>
      <c r="CJ103" s="96">
        <v>13.52</v>
      </c>
      <c r="CK103" s="96">
        <v>12.07</v>
      </c>
      <c r="CL103" s="96">
        <v>13.18</v>
      </c>
      <c r="CM103" s="96">
        <v>13.12</v>
      </c>
      <c r="CN103" s="96">
        <v>15.16</v>
      </c>
      <c r="CO103" s="96">
        <v>13.66</v>
      </c>
      <c r="CP103" s="345">
        <f>SUM(Input_Raw[[#This Row],[P-01]:[P-56]])/1000</f>
        <v>1537.5229999999999</v>
      </c>
      <c r="CQ103" s="346">
        <f>IFERROR(AVERAGEIF(Input_Raw[[#This Row],[WS_P-01]:[WS_P-56]],"&lt;&gt;",Input_Raw[[#This Row],[WS_P-01]:[WS_P-56]]),"")</f>
        <v>12.372727272727269</v>
      </c>
      <c r="CR103" s="347">
        <f>MAX(Input_Raw[[#This Row],[WS_P-01]:[WS_P-56]])</f>
        <v>15.35</v>
      </c>
      <c r="CS103" s="347"/>
      <c r="CT103" s="348">
        <f>SUM(Input_Raw[[#This Row],[P-08]:[P-13]],Input_Raw[[#This Row],[P-25]:[P-28]])</f>
        <v>332988</v>
      </c>
      <c r="CU103" s="348"/>
      <c r="CV103" s="348">
        <f>SUM(Input_Raw[[#This Row],[P-04]],Input_Raw[[#This Row],[P-14]:[P-17]],Input_Raw[[#This Row],[P-19]:[P-20]],Input_Raw[[#This Row],[P-22]:[P-23]],Input_Raw[[#This Row],[P-34]],Input_Raw[[#This Row],[P-38]],Input_Raw[[#This Row],[P-43]])</f>
        <v>421517</v>
      </c>
      <c r="CW103" s="348"/>
      <c r="CX103" s="348">
        <f>SUM(Input_Raw[[#This Row],[P-05]:[P-06]],Input_Raw[[#This Row],[P-40]:[P-42]],Input_Raw[[#This Row],[P-45]],Input_Raw[[#This Row],[P-46]],Input_Raw[[#This Row],[P-47]:[P-48]])</f>
        <v>315718</v>
      </c>
      <c r="CY103" s="348"/>
      <c r="CZ103" s="348">
        <f>SUM(Input_Raw[[#This Row],[P-01]:[P-03]],Input_Raw[[#This Row],[P-07]],Input_Raw[[#This Row],[P-18]],Input_Raw[[#This Row],[P-31]:[P-32]],Input_Raw[[#This Row],[P-37]],Input_Raw[[#This Row],[P-50]:[P-56]])</f>
        <v>467300</v>
      </c>
      <c r="DA103" s="349"/>
      <c r="DB103" s="350">
        <f>Input_Raw[[#This Row],[33 kV_Wind_F1_Export reading]]/1000</f>
        <v>332.988</v>
      </c>
      <c r="DC103" s="350"/>
      <c r="DD103" s="350">
        <f>Input_Raw[[#This Row],[33 kV_Wind_F2_Export_reading]]/1000</f>
        <v>421.517</v>
      </c>
      <c r="DE103" s="350"/>
      <c r="DF103" s="350">
        <f>Input_Raw[[#This Row],[33 kV_Wind_F3_Export_Reading]]/1000</f>
        <v>315.71800000000002</v>
      </c>
      <c r="DG103" s="350"/>
      <c r="DH103" s="350">
        <f>Input_Raw[[#This Row],[33 kV_Wind_F4_Export Reading]]/1000</f>
        <v>467.3</v>
      </c>
      <c r="DI103" s="350"/>
      <c r="DJ103" s="350">
        <f>Input_Raw[[#This Row],[33 kV_F1_Total_Export (MWh)]]+Input_Raw[[#This Row],[33 kV_F2_Total_Export (MWh)2]]+Input_Raw[[#This Row],[33 kV_Wind_F3_Export (MWh)]]+Input_Raw[[#This Row],[33 kV_Wind_F4_Export (MWh)]]</f>
        <v>1537.5229999999999</v>
      </c>
      <c r="DK103" s="350">
        <f>Input_Raw[[#This Row],[33 kV_Wind_F1_Import (MWh)]]+Input_Raw[[#This Row],[33 kV_Wind_F2_Import (MWh)]]+Input_Raw[[#This Row],[33 kV_Wind_F3_Import (MWh)2]]+Input_Raw[[#This Row],[33 kV_Wind_F4_Import (MWh)2]]</f>
        <v>0</v>
      </c>
      <c r="DL103" s="351">
        <f>IFERROR(Input_Raw[[#This Row],[33 kV_Wind_Total_Export (MWh)]]/Input_Raw[[#This Row],[WTG Total Gneration (MWh)]]-1,"")</f>
        <v>0</v>
      </c>
      <c r="DM103" s="352"/>
      <c r="DN103" s="186">
        <v>96</v>
      </c>
      <c r="DO103" s="186">
        <v>12441.25</v>
      </c>
      <c r="DP103" s="102">
        <v>1597.99</v>
      </c>
      <c r="DQ103" s="352"/>
      <c r="DR103" s="181">
        <v>70.400000000000006</v>
      </c>
    </row>
    <row r="104" spans="1:122">
      <c r="A104" s="92">
        <f t="shared" si="74"/>
        <v>45844</v>
      </c>
      <c r="B104" s="190">
        <f>YEAR(Input_Raw[[#This Row],[Date]])+IF(MONTH(Input_Raw[[#This Row],[Date]])&gt;=4,1,0)</f>
        <v>2026</v>
      </c>
      <c r="C104" s="190">
        <f>YEAR(Input_Raw[[#This Row],[Date]])</f>
        <v>2025</v>
      </c>
      <c r="D104" s="11">
        <f t="shared" ref="D104" si="153">A104-DAY(A104)+1</f>
        <v>45839</v>
      </c>
      <c r="E104" s="190">
        <f>DAY(EOMONTH(Input_Raw[[#This Row],[Date]],0))</f>
        <v>31</v>
      </c>
      <c r="F104" s="199">
        <v>38572</v>
      </c>
      <c r="G104" s="199">
        <v>38044</v>
      </c>
      <c r="H104" s="199">
        <v>35844</v>
      </c>
      <c r="I104" s="199">
        <v>38248</v>
      </c>
      <c r="J104" s="199">
        <v>37784</v>
      </c>
      <c r="K104" s="199">
        <v>38200</v>
      </c>
      <c r="L104" s="199">
        <v>38456</v>
      </c>
      <c r="M104" s="199">
        <v>35070</v>
      </c>
      <c r="N104" s="199">
        <v>32299.999999999996</v>
      </c>
      <c r="O104" s="199">
        <v>32052</v>
      </c>
      <c r="P104" s="199">
        <v>36096</v>
      </c>
      <c r="Q104" s="199">
        <v>38136</v>
      </c>
      <c r="R104" s="199">
        <v>38480</v>
      </c>
      <c r="S104" s="199">
        <v>36866</v>
      </c>
      <c r="T104" s="199">
        <v>35136</v>
      </c>
      <c r="U104" s="199">
        <v>36824</v>
      </c>
      <c r="V104" s="199">
        <v>37512</v>
      </c>
      <c r="W104" s="199">
        <v>36952</v>
      </c>
      <c r="X104" s="199">
        <v>37628</v>
      </c>
      <c r="Y104" s="199">
        <v>36346</v>
      </c>
      <c r="Z104" s="199">
        <v>38068</v>
      </c>
      <c r="AA104" s="199">
        <v>37000</v>
      </c>
      <c r="AB104" s="199">
        <v>36700</v>
      </c>
      <c r="AC104" s="199">
        <v>37296</v>
      </c>
      <c r="AD104" s="199">
        <v>37636</v>
      </c>
      <c r="AE104" s="199">
        <v>37320</v>
      </c>
      <c r="AF104" s="199">
        <v>32080</v>
      </c>
      <c r="AG104" s="199">
        <v>37044</v>
      </c>
      <c r="AH104" s="199">
        <v>38244</v>
      </c>
      <c r="AI104" s="199">
        <v>38322</v>
      </c>
      <c r="AJ104" s="199">
        <v>37708</v>
      </c>
      <c r="AK104" s="199">
        <v>36106</v>
      </c>
      <c r="AL104" s="199">
        <v>37116</v>
      </c>
      <c r="AM104" s="199">
        <v>38204</v>
      </c>
      <c r="AN104" s="199">
        <v>35734</v>
      </c>
      <c r="AO104" s="199">
        <v>38748</v>
      </c>
      <c r="AP104" s="199">
        <v>38708</v>
      </c>
      <c r="AQ104" s="199">
        <v>38044</v>
      </c>
      <c r="AR104" s="199">
        <v>38576</v>
      </c>
      <c r="AS104" s="199">
        <v>36512</v>
      </c>
      <c r="AT104" s="199">
        <v>38370</v>
      </c>
      <c r="AU104" s="199">
        <v>38620</v>
      </c>
      <c r="AV104" s="199">
        <v>38836</v>
      </c>
      <c r="AW104" s="199">
        <v>38716</v>
      </c>
      <c r="AX104" s="96">
        <v>13.79</v>
      </c>
      <c r="AY104" s="96">
        <v>14.31</v>
      </c>
      <c r="AZ104" s="96">
        <v>12.18</v>
      </c>
      <c r="BA104" s="96">
        <v>14.39</v>
      </c>
      <c r="BB104" s="96">
        <v>13</v>
      </c>
      <c r="BC104" s="96">
        <v>14.21</v>
      </c>
      <c r="BD104" s="96">
        <v>14.09</v>
      </c>
      <c r="BE104" s="96">
        <v>12.75</v>
      </c>
      <c r="BF104" s="96">
        <v>11.37</v>
      </c>
      <c r="BG104" s="96">
        <v>11.52</v>
      </c>
      <c r="BH104" s="96">
        <v>13.74</v>
      </c>
      <c r="BI104" s="96">
        <v>15.17</v>
      </c>
      <c r="BJ104" s="96">
        <v>14.24</v>
      </c>
      <c r="BK104" s="96">
        <v>13.06</v>
      </c>
      <c r="BL104" s="96">
        <v>13.42</v>
      </c>
      <c r="BM104" s="96">
        <v>12.62</v>
      </c>
      <c r="BN104" s="96">
        <v>14.38</v>
      </c>
      <c r="BO104" s="96">
        <v>12.56</v>
      </c>
      <c r="BP104" s="96">
        <v>13.2</v>
      </c>
      <c r="BQ104" s="96">
        <v>11.8</v>
      </c>
      <c r="BR104" s="96">
        <v>13.44</v>
      </c>
      <c r="BS104" s="96">
        <v>12.96</v>
      </c>
      <c r="BT104" s="96">
        <v>12.06</v>
      </c>
      <c r="BU104" s="96">
        <v>14.18</v>
      </c>
      <c r="BV104" s="96">
        <v>13.83</v>
      </c>
      <c r="BW104" s="96">
        <v>12.77</v>
      </c>
      <c r="BX104" s="96">
        <v>10.66</v>
      </c>
      <c r="BY104" s="96">
        <v>12.42</v>
      </c>
      <c r="BZ104" s="96">
        <v>14.06</v>
      </c>
      <c r="CA104" s="96">
        <v>13.1</v>
      </c>
      <c r="CB104" s="96">
        <v>13.66</v>
      </c>
      <c r="CC104" s="96">
        <v>12.4</v>
      </c>
      <c r="CD104" s="96">
        <v>11.26</v>
      </c>
      <c r="CE104" s="96">
        <v>14</v>
      </c>
      <c r="CF104" s="96">
        <v>12.15</v>
      </c>
      <c r="CG104" s="96">
        <v>16.28</v>
      </c>
      <c r="CH104" s="96">
        <v>14.84</v>
      </c>
      <c r="CI104" s="96">
        <v>13.48</v>
      </c>
      <c r="CJ104" s="96">
        <v>14.2</v>
      </c>
      <c r="CK104" s="96">
        <v>12.47</v>
      </c>
      <c r="CL104" s="96">
        <v>13.97</v>
      </c>
      <c r="CM104" s="96">
        <v>14.22</v>
      </c>
      <c r="CN104" s="96">
        <v>16.02</v>
      </c>
      <c r="CO104" s="96">
        <v>14.38</v>
      </c>
      <c r="CP104" s="345">
        <f>SUM(Input_Raw[[#This Row],[P-01]:[P-56]])/1000</f>
        <v>1634.2539999999999</v>
      </c>
      <c r="CQ104" s="346">
        <f>IFERROR(AVERAGEIF(Input_Raw[[#This Row],[WS_P-01]:[WS_P-56]],"&lt;&gt;",Input_Raw[[#This Row],[WS_P-01]:[WS_P-56]]),"")</f>
        <v>13.3775</v>
      </c>
      <c r="CR104" s="347">
        <f>MAX(Input_Raw[[#This Row],[WS_P-01]:[WS_P-56]])</f>
        <v>16.28</v>
      </c>
      <c r="CS104" s="347"/>
      <c r="CT104" s="348">
        <f>SUM(Input_Raw[[#This Row],[P-08]:[P-13]],Input_Raw[[#This Row],[P-25]:[P-28]])</f>
        <v>361086</v>
      </c>
      <c r="CU104" s="348"/>
      <c r="CV104" s="348">
        <f>SUM(Input_Raw[[#This Row],[P-04]],Input_Raw[[#This Row],[P-14]:[P-17]],Input_Raw[[#This Row],[P-19]:[P-20]],Input_Raw[[#This Row],[P-22]:[P-23]],Input_Raw[[#This Row],[P-34]],Input_Raw[[#This Row],[P-38]],Input_Raw[[#This Row],[P-43]])</f>
        <v>445314</v>
      </c>
      <c r="CW104" s="348"/>
      <c r="CX104" s="348">
        <f>SUM(Input_Raw[[#This Row],[P-05]:[P-06]],Input_Raw[[#This Row],[P-40]:[P-42]],Input_Raw[[#This Row],[P-45]],Input_Raw[[#This Row],[P-46]],Input_Raw[[#This Row],[P-47]:[P-48]])</f>
        <v>341486</v>
      </c>
      <c r="CY104" s="348"/>
      <c r="CZ104" s="348">
        <f>SUM(Input_Raw[[#This Row],[P-01]:[P-03]],Input_Raw[[#This Row],[P-07]],Input_Raw[[#This Row],[P-18]],Input_Raw[[#This Row],[P-31]:[P-32]],Input_Raw[[#This Row],[P-37]],Input_Raw[[#This Row],[P-50]:[P-56]])</f>
        <v>486368</v>
      </c>
      <c r="DA104" s="349"/>
      <c r="DB104" s="350">
        <f>Input_Raw[[#This Row],[33 kV_Wind_F1_Export reading]]/1000</f>
        <v>361.08600000000001</v>
      </c>
      <c r="DC104" s="350"/>
      <c r="DD104" s="350">
        <f>Input_Raw[[#This Row],[33 kV_Wind_F2_Export_reading]]/1000</f>
        <v>445.31400000000002</v>
      </c>
      <c r="DE104" s="350"/>
      <c r="DF104" s="350">
        <f>Input_Raw[[#This Row],[33 kV_Wind_F3_Export_Reading]]/1000</f>
        <v>341.48599999999999</v>
      </c>
      <c r="DG104" s="350"/>
      <c r="DH104" s="350">
        <f>Input_Raw[[#This Row],[33 kV_Wind_F4_Export Reading]]/1000</f>
        <v>486.36799999999999</v>
      </c>
      <c r="DI104" s="350"/>
      <c r="DJ104" s="350">
        <f>Input_Raw[[#This Row],[33 kV_F1_Total_Export (MWh)]]+Input_Raw[[#This Row],[33 kV_F2_Total_Export (MWh)2]]+Input_Raw[[#This Row],[33 kV_Wind_F3_Export (MWh)]]+Input_Raw[[#This Row],[33 kV_Wind_F4_Export (MWh)]]</f>
        <v>1634.2539999999999</v>
      </c>
      <c r="DK104" s="350">
        <f>Input_Raw[[#This Row],[33 kV_Wind_F1_Import (MWh)]]+Input_Raw[[#This Row],[33 kV_Wind_F2_Import (MWh)]]+Input_Raw[[#This Row],[33 kV_Wind_F3_Import (MWh)2]]+Input_Raw[[#This Row],[33 kV_Wind_F4_Import (MWh)2]]</f>
        <v>0</v>
      </c>
      <c r="DL104" s="351">
        <f>IFERROR(Input_Raw[[#This Row],[33 kV_Wind_Total_Export (MWh)]]/Input_Raw[[#This Row],[WTG Total Gneration (MWh)]]-1,"")</f>
        <v>0</v>
      </c>
      <c r="DM104" s="352"/>
      <c r="DN104" s="186">
        <v>79</v>
      </c>
      <c r="DO104" s="186">
        <v>0</v>
      </c>
      <c r="DP104" s="102">
        <v>1671.39</v>
      </c>
      <c r="DQ104" s="352"/>
      <c r="DR104" s="181">
        <v>70.400000000000006</v>
      </c>
    </row>
    <row r="105" spans="1:122">
      <c r="A105" s="92">
        <f t="shared" si="74"/>
        <v>45845</v>
      </c>
      <c r="B105" s="190">
        <f>YEAR(Input_Raw[[#This Row],[Date]])+IF(MONTH(Input_Raw[[#This Row],[Date]])&gt;=4,1,0)</f>
        <v>2026</v>
      </c>
      <c r="C105" s="190">
        <f>YEAR(Input_Raw[[#This Row],[Date]])</f>
        <v>2025</v>
      </c>
      <c r="D105" s="11">
        <f t="shared" ref="D105" si="154">A105-DAY(A105)+1</f>
        <v>45839</v>
      </c>
      <c r="E105" s="190">
        <f>DAY(EOMONTH(Input_Raw[[#This Row],[Date]],0))</f>
        <v>31</v>
      </c>
      <c r="F105" s="199">
        <v>34760</v>
      </c>
      <c r="G105" s="199">
        <v>36072</v>
      </c>
      <c r="H105" s="199">
        <v>33548</v>
      </c>
      <c r="I105" s="199">
        <v>34498</v>
      </c>
      <c r="J105" s="199">
        <v>35272</v>
      </c>
      <c r="K105" s="199">
        <v>35316</v>
      </c>
      <c r="L105" s="199">
        <v>36888</v>
      </c>
      <c r="M105" s="199">
        <v>33674</v>
      </c>
      <c r="N105" s="199">
        <v>29816</v>
      </c>
      <c r="O105" s="199">
        <v>30748</v>
      </c>
      <c r="P105" s="199">
        <v>35518</v>
      </c>
      <c r="Q105" s="199">
        <v>37360</v>
      </c>
      <c r="R105" s="199">
        <v>37844</v>
      </c>
      <c r="S105" s="199">
        <v>35166</v>
      </c>
      <c r="T105" s="199">
        <v>33328</v>
      </c>
      <c r="U105" s="199">
        <v>34546</v>
      </c>
      <c r="V105" s="199">
        <v>35680</v>
      </c>
      <c r="W105" s="199">
        <v>34836</v>
      </c>
      <c r="X105" s="199">
        <v>34536</v>
      </c>
      <c r="Y105" s="199">
        <v>31975</v>
      </c>
      <c r="Z105" s="199">
        <v>36468</v>
      </c>
      <c r="AA105" s="199">
        <v>33784</v>
      </c>
      <c r="AB105" s="199">
        <v>34752</v>
      </c>
      <c r="AC105" s="199">
        <v>36100</v>
      </c>
      <c r="AD105" s="199">
        <v>36252</v>
      </c>
      <c r="AE105" s="199">
        <v>36036</v>
      </c>
      <c r="AF105" s="199">
        <v>30314</v>
      </c>
      <c r="AG105" s="199">
        <v>33144</v>
      </c>
      <c r="AH105" s="199">
        <v>34600</v>
      </c>
      <c r="AI105" s="199">
        <v>35380</v>
      </c>
      <c r="AJ105" s="199">
        <v>34818</v>
      </c>
      <c r="AK105" s="199">
        <v>30664</v>
      </c>
      <c r="AL105" s="199">
        <v>34752</v>
      </c>
      <c r="AM105" s="199">
        <v>34328</v>
      </c>
      <c r="AN105" s="199">
        <v>30854</v>
      </c>
      <c r="AO105" s="199">
        <v>37868</v>
      </c>
      <c r="AP105" s="199">
        <v>36180</v>
      </c>
      <c r="AQ105" s="199">
        <v>36376</v>
      </c>
      <c r="AR105" s="199">
        <v>36000</v>
      </c>
      <c r="AS105" s="199">
        <v>34140</v>
      </c>
      <c r="AT105" s="199">
        <v>36402</v>
      </c>
      <c r="AU105" s="199">
        <v>37172</v>
      </c>
      <c r="AV105" s="199">
        <v>35716</v>
      </c>
      <c r="AW105" s="199">
        <v>37576</v>
      </c>
      <c r="AX105" s="96">
        <v>12.41</v>
      </c>
      <c r="AY105" s="96">
        <v>12.59</v>
      </c>
      <c r="AZ105" s="96">
        <v>11.48</v>
      </c>
      <c r="BA105" s="96">
        <v>12.87</v>
      </c>
      <c r="BB105" s="96">
        <v>12.07</v>
      </c>
      <c r="BC105" s="96">
        <v>12.75</v>
      </c>
      <c r="BD105" s="96">
        <v>12.82</v>
      </c>
      <c r="BE105" s="96">
        <v>12.02</v>
      </c>
      <c r="BF105" s="96">
        <v>10.69</v>
      </c>
      <c r="BG105" s="96">
        <v>11.13</v>
      </c>
      <c r="BH105" s="96">
        <v>13.58</v>
      </c>
      <c r="BI105" s="96">
        <v>14.56</v>
      </c>
      <c r="BJ105" s="96">
        <v>13.57</v>
      </c>
      <c r="BK105" s="96">
        <v>11.84</v>
      </c>
      <c r="BL105" s="96">
        <v>12.25</v>
      </c>
      <c r="BM105" s="96">
        <v>11.66</v>
      </c>
      <c r="BN105" s="96">
        <v>13.05</v>
      </c>
      <c r="BO105" s="96">
        <v>11.67</v>
      </c>
      <c r="BP105" s="96">
        <v>11.56</v>
      </c>
      <c r="BQ105" s="96">
        <v>10.38</v>
      </c>
      <c r="BR105" s="96">
        <v>12.21</v>
      </c>
      <c r="BS105" s="96">
        <v>11.34</v>
      </c>
      <c r="BT105" s="96">
        <v>11.14</v>
      </c>
      <c r="BU105" s="96">
        <v>12.89</v>
      </c>
      <c r="BV105" s="96">
        <v>13.05</v>
      </c>
      <c r="BW105" s="96">
        <v>12.26</v>
      </c>
      <c r="BX105" s="96">
        <v>10.24</v>
      </c>
      <c r="BY105" s="96">
        <v>10.94</v>
      </c>
      <c r="BZ105" s="96">
        <v>12.37</v>
      </c>
      <c r="CA105" s="96">
        <v>11.6</v>
      </c>
      <c r="CB105" s="96">
        <v>12.28</v>
      </c>
      <c r="CC105" s="96">
        <v>11.07</v>
      </c>
      <c r="CD105" s="96">
        <v>10.220000000000001</v>
      </c>
      <c r="CE105" s="96">
        <v>12.94</v>
      </c>
      <c r="CF105" s="96">
        <v>10.94</v>
      </c>
      <c r="CG105" s="96">
        <v>14.69</v>
      </c>
      <c r="CH105" s="96">
        <v>13.6</v>
      </c>
      <c r="CI105" s="96">
        <v>12.47</v>
      </c>
      <c r="CJ105" s="96">
        <v>13.27</v>
      </c>
      <c r="CK105" s="96">
        <v>11.58</v>
      </c>
      <c r="CL105" s="96">
        <v>12.62</v>
      </c>
      <c r="CM105" s="96">
        <v>12.6</v>
      </c>
      <c r="CN105" s="96">
        <v>14.41</v>
      </c>
      <c r="CO105" s="96">
        <v>13.02</v>
      </c>
      <c r="CP105" s="345">
        <f>SUM(Input_Raw[[#This Row],[P-01]:[P-56]])/1000</f>
        <v>1531.057</v>
      </c>
      <c r="CQ105" s="346">
        <f>IFERROR(AVERAGEIF(Input_Raw[[#This Row],[WS_P-01]:[WS_P-56]],"&lt;&gt;",Input_Raw[[#This Row],[WS_P-01]:[WS_P-56]]),"")</f>
        <v>12.243181818181817</v>
      </c>
      <c r="CR105" s="347">
        <f>MAX(Input_Raw[[#This Row],[WS_P-01]:[WS_P-56]])</f>
        <v>14.69</v>
      </c>
      <c r="CS105" s="347"/>
      <c r="CT105" s="348">
        <f>SUM(Input_Raw[[#This Row],[P-08]:[P-13]],Input_Raw[[#This Row],[P-25]:[P-28]])</f>
        <v>348100</v>
      </c>
      <c r="CU105" s="348"/>
      <c r="CV105" s="348">
        <f>SUM(Input_Raw[[#This Row],[P-04]],Input_Raw[[#This Row],[P-14]:[P-17]],Input_Raw[[#This Row],[P-19]:[P-20]],Input_Raw[[#This Row],[P-22]:[P-23]],Input_Raw[[#This Row],[P-34]],Input_Raw[[#This Row],[P-38]],Input_Raw[[#This Row],[P-43]])</f>
        <v>410253</v>
      </c>
      <c r="CW105" s="348"/>
      <c r="CX105" s="348">
        <f>SUM(Input_Raw[[#This Row],[P-05]:[P-06]],Input_Raw[[#This Row],[P-40]:[P-42]],Input_Raw[[#This Row],[P-45]],Input_Raw[[#This Row],[P-46]],Input_Raw[[#This Row],[P-47]:[P-48]])</f>
        <v>316756</v>
      </c>
      <c r="CY105" s="348"/>
      <c r="CZ105" s="348">
        <f>SUM(Input_Raw[[#This Row],[P-01]:[P-03]],Input_Raw[[#This Row],[P-07]],Input_Raw[[#This Row],[P-18]],Input_Raw[[#This Row],[P-31]:[P-32]],Input_Raw[[#This Row],[P-37]],Input_Raw[[#This Row],[P-50]:[P-56]])</f>
        <v>455948</v>
      </c>
      <c r="DA105" s="349"/>
      <c r="DB105" s="350">
        <f>Input_Raw[[#This Row],[33 kV_Wind_F1_Export reading]]/1000</f>
        <v>348.1</v>
      </c>
      <c r="DC105" s="350"/>
      <c r="DD105" s="350">
        <f>Input_Raw[[#This Row],[33 kV_Wind_F2_Export_reading]]/1000</f>
        <v>410.25299999999999</v>
      </c>
      <c r="DE105" s="350"/>
      <c r="DF105" s="350">
        <f>Input_Raw[[#This Row],[33 kV_Wind_F3_Export_Reading]]/1000</f>
        <v>316.75599999999997</v>
      </c>
      <c r="DG105" s="350"/>
      <c r="DH105" s="350">
        <f>Input_Raw[[#This Row],[33 kV_Wind_F4_Export Reading]]/1000</f>
        <v>455.94799999999998</v>
      </c>
      <c r="DI105" s="350"/>
      <c r="DJ105" s="350">
        <f>Input_Raw[[#This Row],[33 kV_F1_Total_Export (MWh)]]+Input_Raw[[#This Row],[33 kV_F2_Total_Export (MWh)2]]+Input_Raw[[#This Row],[33 kV_Wind_F3_Export (MWh)]]+Input_Raw[[#This Row],[33 kV_Wind_F4_Export (MWh)]]</f>
        <v>1531.0569999999998</v>
      </c>
      <c r="DK105" s="350">
        <f>Input_Raw[[#This Row],[33 kV_Wind_F1_Import (MWh)]]+Input_Raw[[#This Row],[33 kV_Wind_F2_Import (MWh)]]+Input_Raw[[#This Row],[33 kV_Wind_F3_Import (MWh)2]]+Input_Raw[[#This Row],[33 kV_Wind_F4_Import (MWh)2]]</f>
        <v>0</v>
      </c>
      <c r="DL105" s="351">
        <f>IFERROR(Input_Raw[[#This Row],[33 kV_Wind_Total_Export (MWh)]]/Input_Raw[[#This Row],[WTG Total Gneration (MWh)]]-1,"")</f>
        <v>-1.1102230246251565E-16</v>
      </c>
      <c r="DM105" s="352"/>
      <c r="DN105" s="186">
        <v>83</v>
      </c>
      <c r="DO105" s="186">
        <v>14574.75</v>
      </c>
      <c r="DP105" s="102">
        <v>1571.27</v>
      </c>
      <c r="DQ105" s="352"/>
      <c r="DR105" s="181">
        <v>70.400000000000006</v>
      </c>
    </row>
    <row r="106" spans="1:122">
      <c r="A106" s="92">
        <f t="shared" si="74"/>
        <v>45846</v>
      </c>
      <c r="B106" s="190">
        <f>YEAR(Input_Raw[[#This Row],[Date]])+IF(MONTH(Input_Raw[[#This Row],[Date]])&gt;=4,1,0)</f>
        <v>2026</v>
      </c>
      <c r="C106" s="190">
        <f>YEAR(Input_Raw[[#This Row],[Date]])</f>
        <v>2025</v>
      </c>
      <c r="D106" s="11">
        <f t="shared" ref="D106" si="155">A106-DAY(A106)+1</f>
        <v>45839</v>
      </c>
      <c r="E106" s="190">
        <f>DAY(EOMONTH(Input_Raw[[#This Row],[Date]],0))</f>
        <v>31</v>
      </c>
      <c r="F106" s="199">
        <v>33664</v>
      </c>
      <c r="G106" s="199">
        <v>34328</v>
      </c>
      <c r="H106" s="199">
        <v>33636</v>
      </c>
      <c r="I106" s="199">
        <v>34274</v>
      </c>
      <c r="J106" s="199">
        <v>35412</v>
      </c>
      <c r="K106" s="199">
        <v>32012</v>
      </c>
      <c r="L106" s="199">
        <v>35722</v>
      </c>
      <c r="M106" s="199">
        <v>32494</v>
      </c>
      <c r="N106" s="199">
        <v>24894</v>
      </c>
      <c r="O106" s="199">
        <v>28828</v>
      </c>
      <c r="P106" s="199">
        <v>29606</v>
      </c>
      <c r="Q106" s="199">
        <v>36808</v>
      </c>
      <c r="R106" s="199">
        <v>36428</v>
      </c>
      <c r="S106" s="199">
        <v>31630</v>
      </c>
      <c r="T106" s="199">
        <v>30410</v>
      </c>
      <c r="U106" s="199">
        <v>33298</v>
      </c>
      <c r="V106" s="199">
        <v>34596</v>
      </c>
      <c r="W106" s="199">
        <v>34296</v>
      </c>
      <c r="X106" s="199">
        <v>30608</v>
      </c>
      <c r="Y106" s="199">
        <v>28090</v>
      </c>
      <c r="Z106" s="199">
        <v>34332</v>
      </c>
      <c r="AA106" s="199">
        <v>30928</v>
      </c>
      <c r="AB106" s="199">
        <v>31704</v>
      </c>
      <c r="AC106" s="199">
        <v>33188</v>
      </c>
      <c r="AD106" s="199">
        <v>34940</v>
      </c>
      <c r="AE106" s="199">
        <v>34812</v>
      </c>
      <c r="AF106" s="199">
        <v>30536</v>
      </c>
      <c r="AG106" s="199">
        <v>30956</v>
      </c>
      <c r="AH106" s="199">
        <v>35252</v>
      </c>
      <c r="AI106" s="199">
        <v>33404</v>
      </c>
      <c r="AJ106" s="199">
        <v>33740</v>
      </c>
      <c r="AK106" s="199">
        <v>27316</v>
      </c>
      <c r="AL106" s="199">
        <v>34904</v>
      </c>
      <c r="AM106" s="199">
        <v>33244</v>
      </c>
      <c r="AN106" s="199">
        <v>29276</v>
      </c>
      <c r="AO106" s="199">
        <v>36868</v>
      </c>
      <c r="AP106" s="199">
        <v>37208</v>
      </c>
      <c r="AQ106" s="199">
        <v>35888</v>
      </c>
      <c r="AR106" s="199">
        <v>36632</v>
      </c>
      <c r="AS106" s="199">
        <v>34974</v>
      </c>
      <c r="AT106" s="199">
        <v>36544</v>
      </c>
      <c r="AU106" s="199">
        <v>36100</v>
      </c>
      <c r="AV106" s="199">
        <v>35768</v>
      </c>
      <c r="AW106" s="199">
        <v>37156</v>
      </c>
      <c r="AX106" s="96">
        <v>11.2</v>
      </c>
      <c r="AY106" s="96">
        <v>11.24</v>
      </c>
      <c r="AZ106" s="96">
        <v>11.05</v>
      </c>
      <c r="BA106" s="96">
        <v>11.58</v>
      </c>
      <c r="BB106" s="96">
        <v>11.05</v>
      </c>
      <c r="BC106" s="96">
        <v>11.32</v>
      </c>
      <c r="BD106" s="96">
        <v>11.55</v>
      </c>
      <c r="BE106" s="96">
        <v>10.99</v>
      </c>
      <c r="BF106" s="96">
        <v>9.43</v>
      </c>
      <c r="BG106" s="96">
        <v>10.47</v>
      </c>
      <c r="BH106" s="96">
        <v>12.49</v>
      </c>
      <c r="BI106" s="96">
        <v>13.22</v>
      </c>
      <c r="BJ106" s="96">
        <v>12.19</v>
      </c>
      <c r="BK106" s="96">
        <v>10.5</v>
      </c>
      <c r="BL106" s="96">
        <v>10.96</v>
      </c>
      <c r="BM106" s="96">
        <v>10.99</v>
      </c>
      <c r="BN106" s="96">
        <v>11.76</v>
      </c>
      <c r="BO106" s="96">
        <v>11</v>
      </c>
      <c r="BP106" s="96">
        <v>10.24</v>
      </c>
      <c r="BQ106" s="96">
        <v>9.36</v>
      </c>
      <c r="BR106" s="96">
        <v>11.1</v>
      </c>
      <c r="BS106" s="96">
        <v>10.25</v>
      </c>
      <c r="BT106" s="96">
        <v>9.99</v>
      </c>
      <c r="BU106" s="96">
        <v>11.28</v>
      </c>
      <c r="BV106" s="96">
        <v>11.97</v>
      </c>
      <c r="BW106" s="96">
        <v>11.42</v>
      </c>
      <c r="BX106" s="96">
        <v>10.09</v>
      </c>
      <c r="BY106" s="96">
        <v>10.09</v>
      </c>
      <c r="BZ106" s="96">
        <v>11.46</v>
      </c>
      <c r="CA106" s="96">
        <v>10.64</v>
      </c>
      <c r="CB106" s="96">
        <v>11.19</v>
      </c>
      <c r="CC106" s="96">
        <v>9.84</v>
      </c>
      <c r="CD106" s="96">
        <v>9.33</v>
      </c>
      <c r="CE106" s="96">
        <v>11.92</v>
      </c>
      <c r="CF106" s="96">
        <v>9.8699999999999992</v>
      </c>
      <c r="CG106" s="96">
        <v>13.29</v>
      </c>
      <c r="CH106" s="96">
        <v>12.53</v>
      </c>
      <c r="CI106" s="96">
        <v>11.74</v>
      </c>
      <c r="CJ106" s="96">
        <v>12.15</v>
      </c>
      <c r="CK106" s="96">
        <v>11.34</v>
      </c>
      <c r="CL106" s="96">
        <v>11.98</v>
      </c>
      <c r="CM106" s="96">
        <v>11.51</v>
      </c>
      <c r="CN106" s="96">
        <v>13.18</v>
      </c>
      <c r="CO106" s="96">
        <v>11.94</v>
      </c>
      <c r="CP106" s="345">
        <f>SUM(Input_Raw[[#This Row],[P-01]:[P-56]])/1000</f>
        <v>1466.704</v>
      </c>
      <c r="CQ106" s="346">
        <f>IFERROR(AVERAGEIF(Input_Raw[[#This Row],[WS_P-01]:[WS_P-56]],"&lt;&gt;",Input_Raw[[#This Row],[WS_P-01]:[WS_P-56]]),"")</f>
        <v>11.197499999999998</v>
      </c>
      <c r="CR106" s="347">
        <f>MAX(Input_Raw[[#This Row],[WS_P-01]:[WS_P-56]])</f>
        <v>13.29</v>
      </c>
      <c r="CS106" s="347"/>
      <c r="CT106" s="348">
        <f>SUM(Input_Raw[[#This Row],[P-08]:[P-13]],Input_Raw[[#This Row],[P-25]:[P-28]])</f>
        <v>323702</v>
      </c>
      <c r="CU106" s="348"/>
      <c r="CV106" s="348">
        <f>SUM(Input_Raw[[#This Row],[P-04]],Input_Raw[[#This Row],[P-14]:[P-17]],Input_Raw[[#This Row],[P-19]:[P-20]],Input_Raw[[#This Row],[P-22]:[P-23]],Input_Raw[[#This Row],[P-34]],Input_Raw[[#This Row],[P-38]],Input_Raw[[#This Row],[P-43]])</f>
        <v>386434</v>
      </c>
      <c r="CW106" s="348"/>
      <c r="CX106" s="348">
        <f>SUM(Input_Raw[[#This Row],[P-05]:[P-06]],Input_Raw[[#This Row],[P-40]:[P-42]],Input_Raw[[#This Row],[P-45]],Input_Raw[[#This Row],[P-46]],Input_Raw[[#This Row],[P-47]:[P-48]])</f>
        <v>309484</v>
      </c>
      <c r="CY106" s="348"/>
      <c r="CZ106" s="348">
        <f>SUM(Input_Raw[[#This Row],[P-01]:[P-03]],Input_Raw[[#This Row],[P-07]],Input_Raw[[#This Row],[P-18]],Input_Raw[[#This Row],[P-31]:[P-32]],Input_Raw[[#This Row],[P-37]],Input_Raw[[#This Row],[P-50]:[P-56]])</f>
        <v>447084</v>
      </c>
      <c r="DA106" s="349"/>
      <c r="DB106" s="350">
        <f>Input_Raw[[#This Row],[33 kV_Wind_F1_Export reading]]/1000</f>
        <v>323.702</v>
      </c>
      <c r="DC106" s="350"/>
      <c r="DD106" s="350">
        <f>Input_Raw[[#This Row],[33 kV_Wind_F2_Export_reading]]/1000</f>
        <v>386.43400000000003</v>
      </c>
      <c r="DE106" s="350"/>
      <c r="DF106" s="350">
        <f>Input_Raw[[#This Row],[33 kV_Wind_F3_Export_Reading]]/1000</f>
        <v>309.48399999999998</v>
      </c>
      <c r="DG106" s="350"/>
      <c r="DH106" s="350">
        <f>Input_Raw[[#This Row],[33 kV_Wind_F4_Export Reading]]/1000</f>
        <v>447.084</v>
      </c>
      <c r="DI106" s="350"/>
      <c r="DJ106" s="350">
        <f>Input_Raw[[#This Row],[33 kV_F1_Total_Export (MWh)]]+Input_Raw[[#This Row],[33 kV_F2_Total_Export (MWh)2]]+Input_Raw[[#This Row],[33 kV_Wind_F3_Export (MWh)]]+Input_Raw[[#This Row],[33 kV_Wind_F4_Export (MWh)]]</f>
        <v>1466.704</v>
      </c>
      <c r="DK106" s="350">
        <f>Input_Raw[[#This Row],[33 kV_Wind_F1_Import (MWh)]]+Input_Raw[[#This Row],[33 kV_Wind_F2_Import (MWh)]]+Input_Raw[[#This Row],[33 kV_Wind_F3_Import (MWh)2]]+Input_Raw[[#This Row],[33 kV_Wind_F4_Import (MWh)2]]</f>
        <v>0</v>
      </c>
      <c r="DL106" s="351">
        <f>IFERROR(Input_Raw[[#This Row],[33 kV_Wind_Total_Export (MWh)]]/Input_Raw[[#This Row],[WTG Total Gneration (MWh)]]-1,"")</f>
        <v>0</v>
      </c>
      <c r="DM106" s="352"/>
      <c r="DN106" s="186">
        <v>89</v>
      </c>
      <c r="DO106" s="186">
        <v>8665.25</v>
      </c>
      <c r="DP106" s="102">
        <v>1492.04</v>
      </c>
      <c r="DQ106" s="352"/>
      <c r="DR106" s="181">
        <v>70.400000000000006</v>
      </c>
    </row>
    <row r="107" spans="1:122">
      <c r="A107" s="92">
        <f t="shared" si="74"/>
        <v>45847</v>
      </c>
      <c r="B107" s="190">
        <f>YEAR(Input_Raw[[#This Row],[Date]])+IF(MONTH(Input_Raw[[#This Row],[Date]])&gt;=4,1,0)</f>
        <v>2026</v>
      </c>
      <c r="C107" s="190">
        <f>YEAR(Input_Raw[[#This Row],[Date]])</f>
        <v>2025</v>
      </c>
      <c r="D107" s="11">
        <f t="shared" ref="D107" si="156">A107-DAY(A107)+1</f>
        <v>45839</v>
      </c>
      <c r="E107" s="190">
        <f>DAY(EOMONTH(Input_Raw[[#This Row],[Date]],0))</f>
        <v>31</v>
      </c>
      <c r="F107" s="199">
        <v>32055.999999999996</v>
      </c>
      <c r="G107" s="199">
        <v>26880</v>
      </c>
      <c r="H107" s="199">
        <v>24968</v>
      </c>
      <c r="I107" s="199">
        <v>30346</v>
      </c>
      <c r="J107" s="199">
        <v>30424</v>
      </c>
      <c r="K107" s="199">
        <v>27432</v>
      </c>
      <c r="L107" s="199">
        <v>29414</v>
      </c>
      <c r="M107" s="199">
        <v>27312</v>
      </c>
      <c r="N107" s="199">
        <v>20554</v>
      </c>
      <c r="O107" s="199">
        <v>23132</v>
      </c>
      <c r="P107" s="199">
        <v>28634</v>
      </c>
      <c r="Q107" s="199">
        <v>31568</v>
      </c>
      <c r="R107" s="199">
        <v>31952</v>
      </c>
      <c r="S107" s="199">
        <v>26464</v>
      </c>
      <c r="T107" s="199">
        <v>24450</v>
      </c>
      <c r="U107" s="199">
        <v>26524</v>
      </c>
      <c r="V107" s="199">
        <v>28090</v>
      </c>
      <c r="W107" s="199">
        <v>26060</v>
      </c>
      <c r="X107" s="199">
        <v>24436</v>
      </c>
      <c r="Y107" s="199">
        <v>21465</v>
      </c>
      <c r="Z107" s="199">
        <v>29680</v>
      </c>
      <c r="AA107" s="199">
        <v>24400</v>
      </c>
      <c r="AB107" s="199">
        <v>25652</v>
      </c>
      <c r="AC107" s="199">
        <v>27828</v>
      </c>
      <c r="AD107" s="199">
        <v>28724</v>
      </c>
      <c r="AE107" s="199">
        <v>27848</v>
      </c>
      <c r="AF107" s="199">
        <v>21658</v>
      </c>
      <c r="AG107" s="199">
        <v>23732</v>
      </c>
      <c r="AH107" s="199">
        <v>31096</v>
      </c>
      <c r="AI107" s="199">
        <v>27602</v>
      </c>
      <c r="AJ107" s="199">
        <v>26896</v>
      </c>
      <c r="AK107" s="199">
        <v>21152</v>
      </c>
      <c r="AL107" s="199">
        <v>29364</v>
      </c>
      <c r="AM107" s="199">
        <v>30580</v>
      </c>
      <c r="AN107" s="199">
        <v>23994</v>
      </c>
      <c r="AO107" s="199">
        <v>33704</v>
      </c>
      <c r="AP107" s="199">
        <v>33400</v>
      </c>
      <c r="AQ107" s="199">
        <v>29660</v>
      </c>
      <c r="AR107" s="199">
        <v>32272</v>
      </c>
      <c r="AS107" s="199">
        <v>26908</v>
      </c>
      <c r="AT107" s="199">
        <v>30544</v>
      </c>
      <c r="AU107" s="199">
        <v>30296</v>
      </c>
      <c r="AV107" s="199">
        <v>34268</v>
      </c>
      <c r="AW107" s="199">
        <v>32744</v>
      </c>
      <c r="AX107" s="96">
        <v>10.16</v>
      </c>
      <c r="AY107" s="96">
        <v>9.34</v>
      </c>
      <c r="AZ107" s="96">
        <v>9.1300000000000008</v>
      </c>
      <c r="BA107" s="96">
        <v>10.52</v>
      </c>
      <c r="BB107" s="96">
        <v>9.91</v>
      </c>
      <c r="BC107" s="96">
        <v>10.119999999999999</v>
      </c>
      <c r="BD107" s="96">
        <v>10.02</v>
      </c>
      <c r="BE107" s="96">
        <v>9.9700000000000006</v>
      </c>
      <c r="BF107" s="96">
        <v>8.64</v>
      </c>
      <c r="BG107" s="96">
        <v>9.4</v>
      </c>
      <c r="BH107" s="96">
        <v>9.6</v>
      </c>
      <c r="BI107" s="96">
        <v>11.5</v>
      </c>
      <c r="BJ107" s="96">
        <v>10.98</v>
      </c>
      <c r="BK107" s="96">
        <v>9.5</v>
      </c>
      <c r="BL107" s="96">
        <v>9.6999999999999993</v>
      </c>
      <c r="BM107" s="96">
        <v>9.83</v>
      </c>
      <c r="BN107" s="96">
        <v>10.119999999999999</v>
      </c>
      <c r="BO107" s="96">
        <v>9.2100000000000009</v>
      </c>
      <c r="BP107" s="96">
        <v>9.14</v>
      </c>
      <c r="BQ107" s="96">
        <v>8.3000000000000007</v>
      </c>
      <c r="BR107" s="96">
        <v>10.06</v>
      </c>
      <c r="BS107" s="96">
        <v>9.02</v>
      </c>
      <c r="BT107" s="96">
        <v>8.93</v>
      </c>
      <c r="BU107" s="96">
        <v>10.27</v>
      </c>
      <c r="BV107" s="96">
        <v>10.6</v>
      </c>
      <c r="BW107" s="96">
        <v>10</v>
      </c>
      <c r="BX107" s="96">
        <v>8.18</v>
      </c>
      <c r="BY107" s="96">
        <v>8.82</v>
      </c>
      <c r="BZ107" s="96">
        <v>10.36</v>
      </c>
      <c r="CA107" s="96">
        <v>9.4700000000000006</v>
      </c>
      <c r="CB107" s="96">
        <v>9.6999999999999993</v>
      </c>
      <c r="CC107" s="96">
        <v>8.7200000000000006</v>
      </c>
      <c r="CD107" s="96">
        <v>8.2200000000000006</v>
      </c>
      <c r="CE107" s="96">
        <v>10.210000000000001</v>
      </c>
      <c r="CF107" s="96">
        <v>8.9</v>
      </c>
      <c r="CG107" s="96">
        <v>12.01</v>
      </c>
      <c r="CH107" s="96">
        <v>11.11</v>
      </c>
      <c r="CI107" s="96">
        <v>9.9600000000000009</v>
      </c>
      <c r="CJ107" s="96">
        <v>10.67</v>
      </c>
      <c r="CK107" s="96">
        <v>9.5500000000000007</v>
      </c>
      <c r="CL107" s="96">
        <v>10.38</v>
      </c>
      <c r="CM107" s="96">
        <v>10.050000000000001</v>
      </c>
      <c r="CN107" s="96">
        <v>11.51</v>
      </c>
      <c r="CO107" s="96">
        <v>10.62</v>
      </c>
      <c r="CP107" s="345">
        <f>SUM(Input_Raw[[#This Row],[P-01]:[P-56]])/1000</f>
        <v>1226.163</v>
      </c>
      <c r="CQ107" s="346">
        <f>IFERROR(AVERAGEIF(Input_Raw[[#This Row],[WS_P-01]:[WS_P-56]],"&lt;&gt;",Input_Raw[[#This Row],[WS_P-01]:[WS_P-56]]),"")</f>
        <v>9.8275000000000023</v>
      </c>
      <c r="CR107" s="347">
        <f>MAX(Input_Raw[[#This Row],[WS_P-01]:[WS_P-56]])</f>
        <v>12.01</v>
      </c>
      <c r="CS107" s="347"/>
      <c r="CT107" s="348">
        <f>SUM(Input_Raw[[#This Row],[P-08]:[P-13]],Input_Raw[[#This Row],[P-25]:[P-28]])</f>
        <v>273204</v>
      </c>
      <c r="CU107" s="348"/>
      <c r="CV107" s="348">
        <f>SUM(Input_Raw[[#This Row],[P-04]],Input_Raw[[#This Row],[P-14]:[P-17]],Input_Raw[[#This Row],[P-19]:[P-20]],Input_Raw[[#This Row],[P-22]:[P-23]],Input_Raw[[#This Row],[P-34]],Input_Raw[[#This Row],[P-38]],Input_Raw[[#This Row],[P-43]])</f>
        <v>317841</v>
      </c>
      <c r="CW107" s="348"/>
      <c r="CX107" s="348">
        <f>SUM(Input_Raw[[#This Row],[P-05]:[P-06]],Input_Raw[[#This Row],[P-40]:[P-42]],Input_Raw[[#This Row],[P-45]],Input_Raw[[#This Row],[P-46]],Input_Raw[[#This Row],[P-47]:[P-48]])</f>
        <v>267988</v>
      </c>
      <c r="CY107" s="348"/>
      <c r="CZ107" s="348">
        <f>SUM(Input_Raw[[#This Row],[P-01]:[P-03]],Input_Raw[[#This Row],[P-07]],Input_Raw[[#This Row],[P-18]],Input_Raw[[#This Row],[P-31]:[P-32]],Input_Raw[[#This Row],[P-37]],Input_Raw[[#This Row],[P-50]:[P-56]])</f>
        <v>367130</v>
      </c>
      <c r="DA107" s="349"/>
      <c r="DB107" s="350">
        <f>Input_Raw[[#This Row],[33 kV_Wind_F1_Export reading]]/1000</f>
        <v>273.20400000000001</v>
      </c>
      <c r="DC107" s="350"/>
      <c r="DD107" s="350">
        <f>Input_Raw[[#This Row],[33 kV_Wind_F2_Export_reading]]/1000</f>
        <v>317.84100000000001</v>
      </c>
      <c r="DE107" s="350"/>
      <c r="DF107" s="350">
        <f>Input_Raw[[#This Row],[33 kV_Wind_F3_Export_Reading]]/1000</f>
        <v>267.988</v>
      </c>
      <c r="DG107" s="350"/>
      <c r="DH107" s="350">
        <f>Input_Raw[[#This Row],[33 kV_Wind_F4_Export Reading]]/1000</f>
        <v>367.13</v>
      </c>
      <c r="DI107" s="350"/>
      <c r="DJ107" s="350">
        <f>Input_Raw[[#This Row],[33 kV_F1_Total_Export (MWh)]]+Input_Raw[[#This Row],[33 kV_F2_Total_Export (MWh)2]]+Input_Raw[[#This Row],[33 kV_Wind_F3_Export (MWh)]]+Input_Raw[[#This Row],[33 kV_Wind_F4_Export (MWh)]]</f>
        <v>1226.163</v>
      </c>
      <c r="DK107" s="350">
        <f>Input_Raw[[#This Row],[33 kV_Wind_F1_Import (MWh)]]+Input_Raw[[#This Row],[33 kV_Wind_F2_Import (MWh)]]+Input_Raw[[#This Row],[33 kV_Wind_F3_Import (MWh)2]]+Input_Raw[[#This Row],[33 kV_Wind_F4_Import (MWh)2]]</f>
        <v>0</v>
      </c>
      <c r="DL107" s="351">
        <f>IFERROR(Input_Raw[[#This Row],[33 kV_Wind_Total_Export (MWh)]]/Input_Raw[[#This Row],[WTG Total Gneration (MWh)]]-1,"")</f>
        <v>0</v>
      </c>
      <c r="DM107" s="352"/>
      <c r="DN107" s="186">
        <v>88</v>
      </c>
      <c r="DO107" s="186">
        <v>10687.5</v>
      </c>
      <c r="DP107" s="102">
        <v>1190.71</v>
      </c>
      <c r="DQ107" s="352"/>
      <c r="DR107" s="181">
        <v>70.400000000000006</v>
      </c>
    </row>
    <row r="108" spans="1:122">
      <c r="A108" s="92">
        <f t="shared" si="74"/>
        <v>45848</v>
      </c>
      <c r="B108" s="190">
        <f>YEAR(Input_Raw[[#This Row],[Date]])+IF(MONTH(Input_Raw[[#This Row],[Date]])&gt;=4,1,0)</f>
        <v>2026</v>
      </c>
      <c r="C108" s="190">
        <f>YEAR(Input_Raw[[#This Row],[Date]])</f>
        <v>2025</v>
      </c>
      <c r="D108" s="11">
        <f t="shared" ref="D108" si="157">A108-DAY(A108)+1</f>
        <v>45839</v>
      </c>
      <c r="E108" s="190">
        <f>DAY(EOMONTH(Input_Raw[[#This Row],[Date]],0))</f>
        <v>31</v>
      </c>
      <c r="F108" s="199">
        <v>20788</v>
      </c>
      <c r="G108" s="199">
        <v>14260</v>
      </c>
      <c r="H108" s="199">
        <v>16416</v>
      </c>
      <c r="I108" s="199">
        <v>15610</v>
      </c>
      <c r="J108" s="199">
        <v>20496</v>
      </c>
      <c r="K108" s="199">
        <v>16696</v>
      </c>
      <c r="L108" s="199">
        <v>15228</v>
      </c>
      <c r="M108" s="199">
        <v>12880</v>
      </c>
      <c r="N108" s="199">
        <v>7386</v>
      </c>
      <c r="O108" s="199">
        <v>11038</v>
      </c>
      <c r="P108" s="199">
        <v>15186</v>
      </c>
      <c r="Q108" s="199">
        <v>16420</v>
      </c>
      <c r="R108" s="199">
        <v>15528</v>
      </c>
      <c r="S108" s="199">
        <v>12148</v>
      </c>
      <c r="T108" s="199">
        <v>10602</v>
      </c>
      <c r="U108" s="199">
        <v>12936</v>
      </c>
      <c r="V108" s="199">
        <v>14812</v>
      </c>
      <c r="W108" s="199">
        <v>15304</v>
      </c>
      <c r="X108" s="199">
        <v>11492</v>
      </c>
      <c r="Y108" s="199">
        <v>9869</v>
      </c>
      <c r="Z108" s="199">
        <v>15204</v>
      </c>
      <c r="AA108" s="199">
        <v>12168</v>
      </c>
      <c r="AB108" s="199">
        <v>11808</v>
      </c>
      <c r="AC108" s="199">
        <v>13608</v>
      </c>
      <c r="AD108" s="199">
        <v>14896</v>
      </c>
      <c r="AE108" s="199">
        <v>13400</v>
      </c>
      <c r="AF108" s="199">
        <v>13774</v>
      </c>
      <c r="AG108" s="199">
        <v>11804</v>
      </c>
      <c r="AH108" s="199">
        <v>15672</v>
      </c>
      <c r="AI108" s="199">
        <v>14846</v>
      </c>
      <c r="AJ108" s="199">
        <v>13878</v>
      </c>
      <c r="AK108" s="199">
        <v>10816</v>
      </c>
      <c r="AL108" s="199">
        <v>18704</v>
      </c>
      <c r="AM108" s="199">
        <v>20204</v>
      </c>
      <c r="AN108" s="199">
        <v>11138</v>
      </c>
      <c r="AO108" s="199">
        <v>21388</v>
      </c>
      <c r="AP108" s="199">
        <v>22004</v>
      </c>
      <c r="AQ108" s="199">
        <v>19656</v>
      </c>
      <c r="AR108" s="199">
        <v>21456</v>
      </c>
      <c r="AS108" s="199">
        <v>15004</v>
      </c>
      <c r="AT108" s="199">
        <v>17112</v>
      </c>
      <c r="AU108" s="199">
        <v>15688</v>
      </c>
      <c r="AV108" s="199">
        <v>22192</v>
      </c>
      <c r="AW108" s="199">
        <v>19724</v>
      </c>
      <c r="AX108" s="96">
        <v>8.0500000000000007</v>
      </c>
      <c r="AY108" s="96">
        <v>6.93</v>
      </c>
      <c r="AZ108" s="96">
        <v>7.51</v>
      </c>
      <c r="BA108" s="96">
        <v>7.57</v>
      </c>
      <c r="BB108" s="96">
        <v>8.0500000000000007</v>
      </c>
      <c r="BC108" s="96">
        <v>7.83</v>
      </c>
      <c r="BD108" s="96">
        <v>7.41</v>
      </c>
      <c r="BE108" s="96">
        <v>7.14</v>
      </c>
      <c r="BF108" s="96">
        <v>6.06</v>
      </c>
      <c r="BG108" s="96">
        <v>7.13</v>
      </c>
      <c r="BH108" s="96">
        <v>6.91</v>
      </c>
      <c r="BI108" s="96">
        <v>7.84</v>
      </c>
      <c r="BJ108" s="96">
        <v>7.69</v>
      </c>
      <c r="BK108" s="96">
        <v>6.94</v>
      </c>
      <c r="BL108" s="96">
        <v>6.92</v>
      </c>
      <c r="BM108" s="96">
        <v>7.28</v>
      </c>
      <c r="BN108" s="96">
        <v>7.32</v>
      </c>
      <c r="BO108" s="96">
        <v>7.3</v>
      </c>
      <c r="BP108" s="96">
        <v>6.71</v>
      </c>
      <c r="BQ108" s="96">
        <v>6.21</v>
      </c>
      <c r="BR108" s="96">
        <v>7.43</v>
      </c>
      <c r="BS108" s="96">
        <v>6.73</v>
      </c>
      <c r="BT108" s="96">
        <v>6.4</v>
      </c>
      <c r="BU108" s="96">
        <v>7.19</v>
      </c>
      <c r="BV108" s="96">
        <v>7.62</v>
      </c>
      <c r="BW108" s="96">
        <v>7.24</v>
      </c>
      <c r="BX108" s="96">
        <v>6.74</v>
      </c>
      <c r="BY108" s="96">
        <v>6.71</v>
      </c>
      <c r="BZ108" s="96">
        <v>7.52</v>
      </c>
      <c r="CA108" s="96">
        <v>7.31</v>
      </c>
      <c r="CB108" s="96">
        <v>7.12</v>
      </c>
      <c r="CC108" s="96">
        <v>6.77</v>
      </c>
      <c r="CD108" s="96">
        <v>6.9</v>
      </c>
      <c r="CE108" s="96">
        <v>8.1199999999999992</v>
      </c>
      <c r="CF108" s="96">
        <v>6.33</v>
      </c>
      <c r="CG108" s="96">
        <v>9.25</v>
      </c>
      <c r="CH108" s="96">
        <v>8.74</v>
      </c>
      <c r="CI108" s="96">
        <v>8.01</v>
      </c>
      <c r="CJ108" s="96">
        <v>8.5399999999999991</v>
      </c>
      <c r="CK108" s="96">
        <v>7.28</v>
      </c>
      <c r="CL108" s="96">
        <v>7.81</v>
      </c>
      <c r="CM108" s="96">
        <v>7.43</v>
      </c>
      <c r="CN108" s="96">
        <v>8.8800000000000008</v>
      </c>
      <c r="CO108" s="96">
        <v>8.24</v>
      </c>
      <c r="CP108" s="345">
        <f>SUM(Input_Raw[[#This Row],[P-01]:[P-56]])/1000</f>
        <v>671.23900000000003</v>
      </c>
      <c r="CQ108" s="346">
        <f>IFERROR(AVERAGEIF(Input_Raw[[#This Row],[WS_P-01]:[WS_P-56]],"&lt;&gt;",Input_Raw[[#This Row],[WS_P-01]:[WS_P-56]]),"")</f>
        <v>7.388863636363638</v>
      </c>
      <c r="CR108" s="347">
        <f>MAX(Input_Raw[[#This Row],[WS_P-01]:[WS_P-56]])</f>
        <v>9.25</v>
      </c>
      <c r="CS108" s="347"/>
      <c r="CT108" s="348">
        <f>SUM(Input_Raw[[#This Row],[P-08]:[P-13]],Input_Raw[[#This Row],[P-25]:[P-28]])</f>
        <v>132150</v>
      </c>
      <c r="CU108" s="348"/>
      <c r="CV108" s="348">
        <f>SUM(Input_Raw[[#This Row],[P-04]],Input_Raw[[#This Row],[P-14]:[P-17]],Input_Raw[[#This Row],[P-19]:[P-20]],Input_Raw[[#This Row],[P-22]:[P-23]],Input_Raw[[#This Row],[P-34]],Input_Raw[[#This Row],[P-38]],Input_Raw[[#This Row],[P-43]])</f>
        <v>155529</v>
      </c>
      <c r="CW108" s="348"/>
      <c r="CX108" s="348">
        <f>SUM(Input_Raw[[#This Row],[P-05]:[P-06]],Input_Raw[[#This Row],[P-40]:[P-42]],Input_Raw[[#This Row],[P-45]],Input_Raw[[#This Row],[P-46]],Input_Raw[[#This Row],[P-47]:[P-48]])</f>
        <v>171420</v>
      </c>
      <c r="CY108" s="348"/>
      <c r="CZ108" s="348">
        <f>SUM(Input_Raw[[#This Row],[P-01]:[P-03]],Input_Raw[[#This Row],[P-07]],Input_Raw[[#This Row],[P-18]],Input_Raw[[#This Row],[P-31]:[P-32]],Input_Raw[[#This Row],[P-37]],Input_Raw[[#This Row],[P-50]:[P-56]])</f>
        <v>212140</v>
      </c>
      <c r="DA108" s="349"/>
      <c r="DB108" s="350">
        <f>Input_Raw[[#This Row],[33 kV_Wind_F1_Export reading]]/1000</f>
        <v>132.15</v>
      </c>
      <c r="DC108" s="350"/>
      <c r="DD108" s="350">
        <f>Input_Raw[[#This Row],[33 kV_Wind_F2_Export_reading]]/1000</f>
        <v>155.529</v>
      </c>
      <c r="DE108" s="350"/>
      <c r="DF108" s="350">
        <f>Input_Raw[[#This Row],[33 kV_Wind_F3_Export_Reading]]/1000</f>
        <v>171.42</v>
      </c>
      <c r="DG108" s="350"/>
      <c r="DH108" s="350">
        <f>Input_Raw[[#This Row],[33 kV_Wind_F4_Export Reading]]/1000</f>
        <v>212.14</v>
      </c>
      <c r="DI108" s="350"/>
      <c r="DJ108" s="350">
        <f>Input_Raw[[#This Row],[33 kV_F1_Total_Export (MWh)]]+Input_Raw[[#This Row],[33 kV_F2_Total_Export (MWh)2]]+Input_Raw[[#This Row],[33 kV_Wind_F3_Export (MWh)]]+Input_Raw[[#This Row],[33 kV_Wind_F4_Export (MWh)]]</f>
        <v>671.23899999999992</v>
      </c>
      <c r="DK108" s="350">
        <f>Input_Raw[[#This Row],[33 kV_Wind_F1_Import (MWh)]]+Input_Raw[[#This Row],[33 kV_Wind_F2_Import (MWh)]]+Input_Raw[[#This Row],[33 kV_Wind_F3_Import (MWh)2]]+Input_Raw[[#This Row],[33 kV_Wind_F4_Import (MWh)2]]</f>
        <v>0</v>
      </c>
      <c r="DL108" s="351">
        <f>IFERROR(Input_Raw[[#This Row],[33 kV_Wind_Total_Export (MWh)]]/Input_Raw[[#This Row],[WTG Total Gneration (MWh)]]-1,"")</f>
        <v>-2.2204460492503131E-16</v>
      </c>
      <c r="DM108" s="352"/>
      <c r="DN108" s="186">
        <v>88</v>
      </c>
      <c r="DO108" s="186">
        <v>27216.880000000001</v>
      </c>
      <c r="DP108" s="102">
        <v>595.65</v>
      </c>
      <c r="DQ108" s="352"/>
      <c r="DR108" s="181">
        <v>70.400000000000006</v>
      </c>
    </row>
    <row r="109" spans="1:122">
      <c r="A109" s="92">
        <f t="shared" si="74"/>
        <v>45849</v>
      </c>
      <c r="B109" s="190">
        <f>YEAR(Input_Raw[[#This Row],[Date]])+IF(MONTH(Input_Raw[[#This Row],[Date]])&gt;=4,1,0)</f>
        <v>2026</v>
      </c>
      <c r="C109" s="190">
        <f>YEAR(Input_Raw[[#This Row],[Date]])</f>
        <v>2025</v>
      </c>
      <c r="D109" s="11">
        <f t="shared" ref="D109" si="158">A109-DAY(A109)+1</f>
        <v>45839</v>
      </c>
      <c r="E109" s="190">
        <f>DAY(EOMONTH(Input_Raw[[#This Row],[Date]],0))</f>
        <v>31</v>
      </c>
      <c r="F109" s="199">
        <v>16840</v>
      </c>
      <c r="G109" s="199">
        <v>11140</v>
      </c>
      <c r="H109" s="199">
        <v>13184</v>
      </c>
      <c r="I109" s="199">
        <v>13818</v>
      </c>
      <c r="J109" s="199">
        <v>16036.000000000002</v>
      </c>
      <c r="K109" s="199">
        <v>13192</v>
      </c>
      <c r="L109" s="199">
        <v>11366</v>
      </c>
      <c r="M109" s="199">
        <v>10764</v>
      </c>
      <c r="N109" s="199">
        <v>6506</v>
      </c>
      <c r="O109" s="199">
        <v>8134</v>
      </c>
      <c r="P109" s="199">
        <v>11316</v>
      </c>
      <c r="Q109" s="199">
        <v>12476</v>
      </c>
      <c r="R109" s="199">
        <v>11432</v>
      </c>
      <c r="S109" s="199">
        <v>9248</v>
      </c>
      <c r="T109" s="199">
        <v>8070</v>
      </c>
      <c r="U109" s="199">
        <v>9232</v>
      </c>
      <c r="V109" s="199">
        <v>10510</v>
      </c>
      <c r="W109" s="199">
        <v>12232</v>
      </c>
      <c r="X109" s="199">
        <v>8220</v>
      </c>
      <c r="Y109" s="199">
        <v>6799</v>
      </c>
      <c r="Z109" s="199">
        <v>13064</v>
      </c>
      <c r="AA109" s="199">
        <v>10892</v>
      </c>
      <c r="AB109" s="199">
        <v>9900</v>
      </c>
      <c r="AC109" s="199">
        <v>10944</v>
      </c>
      <c r="AD109" s="199">
        <v>11240</v>
      </c>
      <c r="AE109" s="199">
        <v>10124</v>
      </c>
      <c r="AF109" s="199">
        <v>10684</v>
      </c>
      <c r="AG109" s="199">
        <v>9768</v>
      </c>
      <c r="AH109" s="199">
        <v>14588</v>
      </c>
      <c r="AI109" s="199">
        <v>12078</v>
      </c>
      <c r="AJ109" s="199">
        <v>9764</v>
      </c>
      <c r="AK109" s="199">
        <v>8112</v>
      </c>
      <c r="AL109" s="199">
        <v>15200</v>
      </c>
      <c r="AM109" s="199">
        <v>16187.999999999998</v>
      </c>
      <c r="AN109" s="199">
        <v>8660</v>
      </c>
      <c r="AO109" s="199">
        <v>18540</v>
      </c>
      <c r="AP109" s="199">
        <v>18720</v>
      </c>
      <c r="AQ109" s="199">
        <v>15640</v>
      </c>
      <c r="AR109" s="199">
        <v>17420</v>
      </c>
      <c r="AS109" s="199">
        <v>12318</v>
      </c>
      <c r="AT109" s="199">
        <v>14094</v>
      </c>
      <c r="AU109" s="199">
        <v>12760</v>
      </c>
      <c r="AV109" s="199">
        <v>18504</v>
      </c>
      <c r="AW109" s="199">
        <v>15836</v>
      </c>
      <c r="AX109" s="96">
        <v>7.4</v>
      </c>
      <c r="AY109" s="96">
        <v>6.35</v>
      </c>
      <c r="AZ109" s="96">
        <v>6.91</v>
      </c>
      <c r="BA109" s="96">
        <v>7.29</v>
      </c>
      <c r="BB109" s="96">
        <v>7.31</v>
      </c>
      <c r="BC109" s="96">
        <v>7.13</v>
      </c>
      <c r="BD109" s="96">
        <v>6.7</v>
      </c>
      <c r="BE109" s="96">
        <v>6.79</v>
      </c>
      <c r="BF109" s="96">
        <v>5.8</v>
      </c>
      <c r="BG109" s="96">
        <v>6.56</v>
      </c>
      <c r="BH109" s="96">
        <v>6.3</v>
      </c>
      <c r="BI109" s="96">
        <v>7.1</v>
      </c>
      <c r="BJ109" s="96">
        <v>6.92</v>
      </c>
      <c r="BK109" s="96">
        <v>6.37</v>
      </c>
      <c r="BL109" s="96">
        <v>6.2</v>
      </c>
      <c r="BM109" s="96">
        <v>6.52</v>
      </c>
      <c r="BN109" s="96">
        <v>6.51</v>
      </c>
      <c r="BO109" s="96">
        <v>6.76</v>
      </c>
      <c r="BP109" s="96">
        <v>6.01</v>
      </c>
      <c r="BQ109" s="96">
        <v>5.54</v>
      </c>
      <c r="BR109" s="96">
        <v>7.09</v>
      </c>
      <c r="BS109" s="96">
        <v>6.52</v>
      </c>
      <c r="BT109" s="96">
        <v>6.06</v>
      </c>
      <c r="BU109" s="96">
        <v>6.73</v>
      </c>
      <c r="BV109" s="96">
        <v>7</v>
      </c>
      <c r="BW109" s="96">
        <v>6.6</v>
      </c>
      <c r="BX109" s="96">
        <v>6.14</v>
      </c>
      <c r="BY109" s="96">
        <v>6.31</v>
      </c>
      <c r="BZ109" s="96">
        <v>7.39</v>
      </c>
      <c r="CA109" s="96">
        <v>6.82</v>
      </c>
      <c r="CB109" s="96">
        <v>6.27</v>
      </c>
      <c r="CC109" s="96">
        <v>6.07</v>
      </c>
      <c r="CD109" s="96">
        <v>7.79</v>
      </c>
      <c r="CE109" s="96">
        <v>7.34</v>
      </c>
      <c r="CF109" s="96">
        <v>5.84</v>
      </c>
      <c r="CG109" s="96">
        <v>8.66</v>
      </c>
      <c r="CH109" s="96">
        <v>8.18</v>
      </c>
      <c r="CI109" s="96">
        <v>7.21</v>
      </c>
      <c r="CJ109" s="96">
        <v>7.81</v>
      </c>
      <c r="CK109" s="96">
        <v>6.77</v>
      </c>
      <c r="CL109" s="96">
        <v>7.25</v>
      </c>
      <c r="CM109" s="96">
        <v>6.93</v>
      </c>
      <c r="CN109" s="96">
        <v>8.25</v>
      </c>
      <c r="CO109" s="96">
        <v>7.58</v>
      </c>
      <c r="CP109" s="345">
        <f>SUM(Input_Raw[[#This Row],[P-01]:[P-56]])/1000</f>
        <v>535.553</v>
      </c>
      <c r="CQ109" s="346">
        <f>IFERROR(AVERAGEIF(Input_Raw[[#This Row],[WS_P-01]:[WS_P-56]],"&lt;&gt;",Input_Raw[[#This Row],[WS_P-01]:[WS_P-56]]),"")</f>
        <v>6.842727272727271</v>
      </c>
      <c r="CR109" s="347">
        <f>MAX(Input_Raw[[#This Row],[WS_P-01]:[WS_P-56]])</f>
        <v>8.66</v>
      </c>
      <c r="CS109" s="347"/>
      <c r="CT109" s="348">
        <f>SUM(Input_Raw[[#This Row],[P-08]:[P-13]],Input_Raw[[#This Row],[P-25]:[P-28]])</f>
        <v>102836</v>
      </c>
      <c r="CU109" s="348"/>
      <c r="CV109" s="348">
        <f>SUM(Input_Raw[[#This Row],[P-04]],Input_Raw[[#This Row],[P-14]:[P-17]],Input_Raw[[#This Row],[P-19]:[P-20]],Input_Raw[[#This Row],[P-22]:[P-23]],Input_Raw[[#This Row],[P-34]],Input_Raw[[#This Row],[P-38]],Input_Raw[[#This Row],[P-43]])</f>
        <v>122865</v>
      </c>
      <c r="CW109" s="348"/>
      <c r="CX109" s="348">
        <f>SUM(Input_Raw[[#This Row],[P-05]:[P-06]],Input_Raw[[#This Row],[P-40]:[P-42]],Input_Raw[[#This Row],[P-45]],Input_Raw[[#This Row],[P-46]],Input_Raw[[#This Row],[P-47]:[P-48]])</f>
        <v>139048</v>
      </c>
      <c r="CY109" s="348"/>
      <c r="CZ109" s="348">
        <f>SUM(Input_Raw[[#This Row],[P-01]:[P-03]],Input_Raw[[#This Row],[P-07]],Input_Raw[[#This Row],[P-18]],Input_Raw[[#This Row],[P-31]:[P-32]],Input_Raw[[#This Row],[P-37]],Input_Raw[[#This Row],[P-50]:[P-56]])</f>
        <v>170804</v>
      </c>
      <c r="DA109" s="349"/>
      <c r="DB109" s="350">
        <f>Input_Raw[[#This Row],[33 kV_Wind_F1_Export reading]]/1000</f>
        <v>102.836</v>
      </c>
      <c r="DC109" s="350"/>
      <c r="DD109" s="350">
        <f>Input_Raw[[#This Row],[33 kV_Wind_F2_Export_reading]]/1000</f>
        <v>122.86499999999999</v>
      </c>
      <c r="DE109" s="350"/>
      <c r="DF109" s="350">
        <f>Input_Raw[[#This Row],[33 kV_Wind_F3_Export_Reading]]/1000</f>
        <v>139.048</v>
      </c>
      <c r="DG109" s="350"/>
      <c r="DH109" s="350">
        <f>Input_Raw[[#This Row],[33 kV_Wind_F4_Export Reading]]/1000</f>
        <v>170.804</v>
      </c>
      <c r="DI109" s="350"/>
      <c r="DJ109" s="350">
        <f>Input_Raw[[#This Row],[33 kV_F1_Total_Export (MWh)]]+Input_Raw[[#This Row],[33 kV_F2_Total_Export (MWh)2]]+Input_Raw[[#This Row],[33 kV_Wind_F3_Export (MWh)]]+Input_Raw[[#This Row],[33 kV_Wind_F4_Export (MWh)]]</f>
        <v>535.553</v>
      </c>
      <c r="DK109" s="350">
        <f>Input_Raw[[#This Row],[33 kV_Wind_F1_Import (MWh)]]+Input_Raw[[#This Row],[33 kV_Wind_F2_Import (MWh)]]+Input_Raw[[#This Row],[33 kV_Wind_F3_Import (MWh)2]]+Input_Raw[[#This Row],[33 kV_Wind_F4_Import (MWh)2]]</f>
        <v>0</v>
      </c>
      <c r="DL109" s="351">
        <f>IFERROR(Input_Raw[[#This Row],[33 kV_Wind_Total_Export (MWh)]]/Input_Raw[[#This Row],[WTG Total Gneration (MWh)]]-1,"")</f>
        <v>0</v>
      </c>
      <c r="DM109" s="352"/>
      <c r="DN109" s="186">
        <v>87</v>
      </c>
      <c r="DO109" s="186">
        <v>15271.88</v>
      </c>
      <c r="DP109" s="102">
        <v>489.06</v>
      </c>
      <c r="DQ109" s="352"/>
      <c r="DR109" s="181">
        <v>70.400000000000006</v>
      </c>
    </row>
    <row r="110" spans="1:122">
      <c r="A110" s="92">
        <f t="shared" si="74"/>
        <v>45850</v>
      </c>
      <c r="B110" s="190">
        <f>YEAR(Input_Raw[[#This Row],[Date]])+IF(MONTH(Input_Raw[[#This Row],[Date]])&gt;=4,1,0)</f>
        <v>2026</v>
      </c>
      <c r="C110" s="190">
        <f>YEAR(Input_Raw[[#This Row],[Date]])</f>
        <v>2025</v>
      </c>
      <c r="D110" s="11">
        <f t="shared" ref="D110" si="159">A110-DAY(A110)+1</f>
        <v>45839</v>
      </c>
      <c r="E110" s="190">
        <f>DAY(EOMONTH(Input_Raw[[#This Row],[Date]],0))</f>
        <v>31</v>
      </c>
      <c r="F110" s="199">
        <v>20804</v>
      </c>
      <c r="G110" s="199">
        <v>15888</v>
      </c>
      <c r="H110" s="199">
        <v>17428</v>
      </c>
      <c r="I110" s="199">
        <v>16584</v>
      </c>
      <c r="J110" s="199">
        <v>21744</v>
      </c>
      <c r="K110" s="199">
        <v>16428</v>
      </c>
      <c r="L110" s="199">
        <v>14598</v>
      </c>
      <c r="M110" s="199">
        <v>12968</v>
      </c>
      <c r="N110" s="199">
        <v>9820</v>
      </c>
      <c r="O110" s="199">
        <v>13700</v>
      </c>
      <c r="P110" s="199">
        <v>16934</v>
      </c>
      <c r="Q110" s="199">
        <v>16808</v>
      </c>
      <c r="R110" s="199">
        <v>14880</v>
      </c>
      <c r="S110" s="199">
        <v>13520</v>
      </c>
      <c r="T110" s="199">
        <v>12264</v>
      </c>
      <c r="U110" s="199">
        <v>13946</v>
      </c>
      <c r="V110" s="199">
        <v>14788</v>
      </c>
      <c r="W110" s="199">
        <v>15772</v>
      </c>
      <c r="X110" s="199">
        <v>11362</v>
      </c>
      <c r="Y110" s="199">
        <v>9048</v>
      </c>
      <c r="Z110" s="199">
        <v>16052</v>
      </c>
      <c r="AA110" s="199">
        <v>14308</v>
      </c>
      <c r="AB110" s="199">
        <v>14748</v>
      </c>
      <c r="AC110" s="199">
        <v>16464</v>
      </c>
      <c r="AD110" s="199">
        <v>16015.999999999998</v>
      </c>
      <c r="AE110" s="199">
        <v>13360</v>
      </c>
      <c r="AF110" s="199">
        <v>14798</v>
      </c>
      <c r="AG110" s="199">
        <v>11600</v>
      </c>
      <c r="AH110" s="199">
        <v>15796</v>
      </c>
      <c r="AI110" s="199">
        <v>14300</v>
      </c>
      <c r="AJ110" s="199">
        <v>13460</v>
      </c>
      <c r="AK110" s="199">
        <v>10392</v>
      </c>
      <c r="AL110" s="199">
        <v>21072</v>
      </c>
      <c r="AM110" s="199">
        <v>18688</v>
      </c>
      <c r="AN110" s="199">
        <v>10208</v>
      </c>
      <c r="AO110" s="199">
        <v>21036</v>
      </c>
      <c r="AP110" s="199">
        <v>21640</v>
      </c>
      <c r="AQ110" s="199">
        <v>19348</v>
      </c>
      <c r="AR110" s="199">
        <v>20740</v>
      </c>
      <c r="AS110" s="199">
        <v>16286.000000000002</v>
      </c>
      <c r="AT110" s="199">
        <v>18294</v>
      </c>
      <c r="AU110" s="199">
        <v>17412</v>
      </c>
      <c r="AV110" s="199">
        <v>21464</v>
      </c>
      <c r="AW110" s="199">
        <v>18060</v>
      </c>
      <c r="AX110" s="96">
        <v>8.01</v>
      </c>
      <c r="AY110" s="96">
        <v>7.22</v>
      </c>
      <c r="AZ110" s="96">
        <v>7.71</v>
      </c>
      <c r="BA110" s="96">
        <v>7.76</v>
      </c>
      <c r="BB110" s="96">
        <v>8.27</v>
      </c>
      <c r="BC110" s="96">
        <v>7.72</v>
      </c>
      <c r="BD110" s="96">
        <v>7.23</v>
      </c>
      <c r="BE110" s="96">
        <v>7.14</v>
      </c>
      <c r="BF110" s="96">
        <v>6.56</v>
      </c>
      <c r="BG110" s="96">
        <v>7.63</v>
      </c>
      <c r="BH110" s="96">
        <v>7.27</v>
      </c>
      <c r="BI110" s="96">
        <v>8.0500000000000007</v>
      </c>
      <c r="BJ110" s="96">
        <v>7.58</v>
      </c>
      <c r="BK110" s="96">
        <v>7.22</v>
      </c>
      <c r="BL110" s="96">
        <v>7.24</v>
      </c>
      <c r="BM110" s="96">
        <v>7.49</v>
      </c>
      <c r="BN110" s="96">
        <v>7.37</v>
      </c>
      <c r="BO110" s="96">
        <v>7.39</v>
      </c>
      <c r="BP110" s="96">
        <v>6.67</v>
      </c>
      <c r="BQ110" s="96">
        <v>6.02</v>
      </c>
      <c r="BR110" s="96">
        <v>7.54</v>
      </c>
      <c r="BS110" s="96">
        <v>7.05</v>
      </c>
      <c r="BT110" s="96">
        <v>7</v>
      </c>
      <c r="BU110" s="96">
        <v>7.73</v>
      </c>
      <c r="BV110" s="96">
        <v>7.84</v>
      </c>
      <c r="BW110" s="96">
        <v>7.18</v>
      </c>
      <c r="BX110" s="96">
        <v>6.97</v>
      </c>
      <c r="BY110" s="96">
        <v>6.64</v>
      </c>
      <c r="BZ110" s="96">
        <v>7.52</v>
      </c>
      <c r="CA110" s="96">
        <v>7.2</v>
      </c>
      <c r="CB110" s="96">
        <v>7.04</v>
      </c>
      <c r="CC110" s="96">
        <v>6.6</v>
      </c>
      <c r="CD110" s="96">
        <v>8.8800000000000008</v>
      </c>
      <c r="CE110" s="96">
        <v>7.76</v>
      </c>
      <c r="CF110" s="96">
        <v>6.12</v>
      </c>
      <c r="CG110" s="96">
        <v>9.09</v>
      </c>
      <c r="CH110" s="96">
        <v>8.61</v>
      </c>
      <c r="CI110" s="96">
        <v>7.92</v>
      </c>
      <c r="CJ110" s="96">
        <v>8.36</v>
      </c>
      <c r="CK110" s="96">
        <v>7.56</v>
      </c>
      <c r="CL110" s="96">
        <v>8.02</v>
      </c>
      <c r="CM110" s="96">
        <v>7.7</v>
      </c>
      <c r="CN110" s="96">
        <v>8.7100000000000009</v>
      </c>
      <c r="CO110" s="96">
        <v>7.89</v>
      </c>
      <c r="CP110" s="345">
        <f>SUM(Input_Raw[[#This Row],[P-01]:[P-56]])/1000</f>
        <v>694.82600000000002</v>
      </c>
      <c r="CQ110" s="346">
        <f>IFERROR(AVERAGEIF(Input_Raw[[#This Row],[WS_P-01]:[WS_P-56]],"&lt;&gt;",Input_Raw[[#This Row],[WS_P-01]:[WS_P-56]]),"")</f>
        <v>7.510909090909089</v>
      </c>
      <c r="CR110" s="347">
        <f>MAX(Input_Raw[[#This Row],[WS_P-01]:[WS_P-56]])</f>
        <v>9.09</v>
      </c>
      <c r="CS110" s="347"/>
      <c r="CT110" s="348">
        <f>SUM(Input_Raw[[#This Row],[P-08]:[P-13]],Input_Raw[[#This Row],[P-25]:[P-28]])</f>
        <v>145698</v>
      </c>
      <c r="CU110" s="348"/>
      <c r="CV110" s="348">
        <f>SUM(Input_Raw[[#This Row],[P-04]],Input_Raw[[#This Row],[P-14]:[P-17]],Input_Raw[[#This Row],[P-19]:[P-20]],Input_Raw[[#This Row],[P-22]:[P-23]],Input_Raw[[#This Row],[P-34]],Input_Raw[[#This Row],[P-38]],Input_Raw[[#This Row],[P-43]])</f>
        <v>161336</v>
      </c>
      <c r="CW110" s="348"/>
      <c r="CX110" s="348">
        <f>SUM(Input_Raw[[#This Row],[P-05]:[P-06]],Input_Raw[[#This Row],[P-40]:[P-42]],Input_Raw[[#This Row],[P-45]],Input_Raw[[#This Row],[P-46]],Input_Raw[[#This Row],[P-47]:[P-48]])</f>
        <v>171088</v>
      </c>
      <c r="CY110" s="348"/>
      <c r="CZ110" s="348">
        <f>SUM(Input_Raw[[#This Row],[P-01]:[P-03]],Input_Raw[[#This Row],[P-07]],Input_Raw[[#This Row],[P-18]],Input_Raw[[#This Row],[P-31]:[P-32]],Input_Raw[[#This Row],[P-37]],Input_Raw[[#This Row],[P-50]:[P-56]])</f>
        <v>216704</v>
      </c>
      <c r="DA110" s="349"/>
      <c r="DB110" s="350">
        <f>Input_Raw[[#This Row],[33 kV_Wind_F1_Export reading]]/1000</f>
        <v>145.69800000000001</v>
      </c>
      <c r="DC110" s="350"/>
      <c r="DD110" s="350">
        <f>Input_Raw[[#This Row],[33 kV_Wind_F2_Export_reading]]/1000</f>
        <v>161.33600000000001</v>
      </c>
      <c r="DE110" s="350"/>
      <c r="DF110" s="350">
        <f>Input_Raw[[#This Row],[33 kV_Wind_F3_Export_Reading]]/1000</f>
        <v>171.08799999999999</v>
      </c>
      <c r="DG110" s="350"/>
      <c r="DH110" s="350">
        <f>Input_Raw[[#This Row],[33 kV_Wind_F4_Export Reading]]/1000</f>
        <v>216.70400000000001</v>
      </c>
      <c r="DI110" s="350"/>
      <c r="DJ110" s="350">
        <f>Input_Raw[[#This Row],[33 kV_F1_Total_Export (MWh)]]+Input_Raw[[#This Row],[33 kV_F2_Total_Export (MWh)2]]+Input_Raw[[#This Row],[33 kV_Wind_F3_Export (MWh)]]+Input_Raw[[#This Row],[33 kV_Wind_F4_Export (MWh)]]</f>
        <v>694.82600000000002</v>
      </c>
      <c r="DK110" s="350">
        <f>Input_Raw[[#This Row],[33 kV_Wind_F1_Import (MWh)]]+Input_Raw[[#This Row],[33 kV_Wind_F2_Import (MWh)]]+Input_Raw[[#This Row],[33 kV_Wind_F3_Import (MWh)2]]+Input_Raw[[#This Row],[33 kV_Wind_F4_Import (MWh)2]]</f>
        <v>0</v>
      </c>
      <c r="DL110" s="351">
        <f>IFERROR(Input_Raw[[#This Row],[33 kV_Wind_Total_Export (MWh)]]/Input_Raw[[#This Row],[WTG Total Gneration (MWh)]]-1,"")</f>
        <v>0</v>
      </c>
      <c r="DM110" s="352"/>
      <c r="DN110" s="186">
        <v>70</v>
      </c>
      <c r="DO110" s="186">
        <v>16306.88</v>
      </c>
      <c r="DP110" s="102">
        <v>637.99</v>
      </c>
      <c r="DQ110" s="352"/>
      <c r="DR110" s="181">
        <v>70.400000000000006</v>
      </c>
    </row>
    <row r="111" spans="1:122">
      <c r="A111" s="92">
        <f t="shared" si="74"/>
        <v>45851</v>
      </c>
      <c r="B111" s="190">
        <f>YEAR(Input_Raw[[#This Row],[Date]])+IF(MONTH(Input_Raw[[#This Row],[Date]])&gt;=4,1,0)</f>
        <v>2026</v>
      </c>
      <c r="C111" s="190">
        <f>YEAR(Input_Raw[[#This Row],[Date]])</f>
        <v>2025</v>
      </c>
      <c r="D111" s="11">
        <f t="shared" ref="D111" si="160">A111-DAY(A111)+1</f>
        <v>45839</v>
      </c>
      <c r="E111" s="190">
        <f>DAY(EOMONTH(Input_Raw[[#This Row],[Date]],0))</f>
        <v>31</v>
      </c>
      <c r="F111" s="199">
        <v>25216</v>
      </c>
      <c r="G111" s="199">
        <v>17668</v>
      </c>
      <c r="H111" s="199">
        <v>18604</v>
      </c>
      <c r="I111" s="199">
        <v>18786</v>
      </c>
      <c r="J111" s="199">
        <v>25236</v>
      </c>
      <c r="K111" s="199">
        <v>20864</v>
      </c>
      <c r="L111" s="199">
        <v>19076</v>
      </c>
      <c r="M111" s="199">
        <v>16379.999999999998</v>
      </c>
      <c r="N111" s="199">
        <v>11056</v>
      </c>
      <c r="O111" s="199">
        <v>14928</v>
      </c>
      <c r="P111" s="199">
        <v>19674</v>
      </c>
      <c r="Q111" s="199">
        <v>21256</v>
      </c>
      <c r="R111" s="199">
        <v>20292</v>
      </c>
      <c r="S111" s="199">
        <v>16560</v>
      </c>
      <c r="T111" s="199">
        <v>14682</v>
      </c>
      <c r="U111" s="199">
        <v>17078</v>
      </c>
      <c r="V111" s="199">
        <v>19184</v>
      </c>
      <c r="W111" s="199">
        <v>18684</v>
      </c>
      <c r="X111" s="199">
        <v>14558</v>
      </c>
      <c r="Y111" s="199">
        <v>12173</v>
      </c>
      <c r="Z111" s="199">
        <v>18060</v>
      </c>
      <c r="AA111" s="199">
        <v>14640</v>
      </c>
      <c r="AB111" s="199">
        <v>15524</v>
      </c>
      <c r="AC111" s="199">
        <v>17756</v>
      </c>
      <c r="AD111" s="199">
        <v>19352</v>
      </c>
      <c r="AE111" s="199">
        <v>17184</v>
      </c>
      <c r="AF111" s="199">
        <v>15340</v>
      </c>
      <c r="AG111" s="199">
        <v>14220</v>
      </c>
      <c r="AH111" s="199">
        <v>18732</v>
      </c>
      <c r="AI111" s="199">
        <v>17952</v>
      </c>
      <c r="AJ111" s="199">
        <v>17556</v>
      </c>
      <c r="AK111" s="199">
        <v>13438</v>
      </c>
      <c r="AL111" s="199">
        <v>23764</v>
      </c>
      <c r="AM111" s="199">
        <v>24152</v>
      </c>
      <c r="AN111" s="199">
        <v>13968</v>
      </c>
      <c r="AO111" s="199">
        <v>26048</v>
      </c>
      <c r="AP111" s="199">
        <v>26876</v>
      </c>
      <c r="AQ111" s="199">
        <v>23592</v>
      </c>
      <c r="AR111" s="199">
        <v>25612</v>
      </c>
      <c r="AS111" s="199">
        <v>18664</v>
      </c>
      <c r="AT111" s="199">
        <v>21362</v>
      </c>
      <c r="AU111" s="199">
        <v>20276</v>
      </c>
      <c r="AV111" s="199">
        <v>27112</v>
      </c>
      <c r="AW111" s="199">
        <v>18364</v>
      </c>
      <c r="AX111" s="96">
        <v>8.73</v>
      </c>
      <c r="AY111" s="96">
        <v>7.52</v>
      </c>
      <c r="AZ111" s="96">
        <v>7.91</v>
      </c>
      <c r="BA111" s="96">
        <v>8.14</v>
      </c>
      <c r="BB111" s="96">
        <v>8.75</v>
      </c>
      <c r="BC111" s="96">
        <v>8.48</v>
      </c>
      <c r="BD111" s="96">
        <v>8.0399999999999991</v>
      </c>
      <c r="BE111" s="96">
        <v>7.81</v>
      </c>
      <c r="BF111" s="96">
        <v>6.85</v>
      </c>
      <c r="BG111" s="96">
        <v>7.89</v>
      </c>
      <c r="BH111" s="96">
        <v>7.67</v>
      </c>
      <c r="BI111" s="96">
        <v>8.67</v>
      </c>
      <c r="BJ111" s="96">
        <v>8.48</v>
      </c>
      <c r="BK111" s="96">
        <v>7.72</v>
      </c>
      <c r="BL111" s="96">
        <v>7.71</v>
      </c>
      <c r="BM111" s="96">
        <v>8.02</v>
      </c>
      <c r="BN111" s="96">
        <v>8.14</v>
      </c>
      <c r="BO111" s="96">
        <v>7.86</v>
      </c>
      <c r="BP111" s="96">
        <v>7.3</v>
      </c>
      <c r="BQ111" s="96">
        <v>6.67</v>
      </c>
      <c r="BR111" s="96">
        <v>7.89</v>
      </c>
      <c r="BS111" s="96">
        <v>7.06</v>
      </c>
      <c r="BT111" s="96">
        <v>7.1</v>
      </c>
      <c r="BU111" s="96">
        <v>7.94</v>
      </c>
      <c r="BV111" s="96">
        <v>8.39</v>
      </c>
      <c r="BW111" s="96">
        <v>7.9</v>
      </c>
      <c r="BX111" s="96">
        <v>7.08</v>
      </c>
      <c r="BY111" s="96">
        <v>7.16</v>
      </c>
      <c r="BZ111" s="96">
        <v>8</v>
      </c>
      <c r="CA111" s="96">
        <v>7.77</v>
      </c>
      <c r="CB111" s="96">
        <v>7.83</v>
      </c>
      <c r="CC111" s="96">
        <v>7.28</v>
      </c>
      <c r="CD111" s="96">
        <v>9.32</v>
      </c>
      <c r="CE111" s="96">
        <v>8.7200000000000006</v>
      </c>
      <c r="CF111" s="96">
        <v>6.89</v>
      </c>
      <c r="CG111" s="96">
        <v>10.06</v>
      </c>
      <c r="CH111" s="96">
        <v>9.4700000000000006</v>
      </c>
      <c r="CI111" s="96">
        <v>8.6300000000000008</v>
      </c>
      <c r="CJ111" s="96">
        <v>9.1999999999999993</v>
      </c>
      <c r="CK111" s="96">
        <v>7.99</v>
      </c>
      <c r="CL111" s="96">
        <v>8.57</v>
      </c>
      <c r="CM111" s="96">
        <v>8.15</v>
      </c>
      <c r="CN111" s="96">
        <v>9.69</v>
      </c>
      <c r="CO111" s="96">
        <v>7.45</v>
      </c>
      <c r="CP111" s="345">
        <f>SUM(Input_Raw[[#This Row],[P-01]:[P-56]])/1000</f>
        <v>831.49900000000002</v>
      </c>
      <c r="CQ111" s="346">
        <f>IFERROR(AVERAGEIF(Input_Raw[[#This Row],[WS_P-01]:[WS_P-56]],"&lt;&gt;",Input_Raw[[#This Row],[WS_P-01]:[WS_P-56]]),"")</f>
        <v>8.043181818181818</v>
      </c>
      <c r="CR111" s="347">
        <f>MAX(Input_Raw[[#This Row],[WS_P-01]:[WS_P-56]])</f>
        <v>10.06</v>
      </c>
      <c r="CS111" s="347"/>
      <c r="CT111" s="348">
        <f>SUM(Input_Raw[[#This Row],[P-08]:[P-13]],Input_Raw[[#This Row],[P-25]:[P-28]])</f>
        <v>173402</v>
      </c>
      <c r="CU111" s="348"/>
      <c r="CV111" s="348">
        <f>SUM(Input_Raw[[#This Row],[P-04]],Input_Raw[[#This Row],[P-14]:[P-17]],Input_Raw[[#This Row],[P-19]:[P-20]],Input_Raw[[#This Row],[P-22]:[P-23]],Input_Raw[[#This Row],[P-34]],Input_Raw[[#This Row],[P-38]],Input_Raw[[#This Row],[P-43]])</f>
        <v>195977</v>
      </c>
      <c r="CW111" s="348"/>
      <c r="CX111" s="348">
        <f>SUM(Input_Raw[[#This Row],[P-05]:[P-06]],Input_Raw[[#This Row],[P-40]:[P-42]],Input_Raw[[#This Row],[P-45]],Input_Raw[[#This Row],[P-46]],Input_Raw[[#This Row],[P-47]:[P-48]])</f>
        <v>209582</v>
      </c>
      <c r="CY111" s="348"/>
      <c r="CZ111" s="348">
        <f>SUM(Input_Raw[[#This Row],[P-01]:[P-03]],Input_Raw[[#This Row],[P-07]],Input_Raw[[#This Row],[P-18]],Input_Raw[[#This Row],[P-31]:[P-32]],Input_Raw[[#This Row],[P-37]],Input_Raw[[#This Row],[P-50]:[P-56]])</f>
        <v>252538</v>
      </c>
      <c r="DA111" s="349"/>
      <c r="DB111" s="350">
        <f>Input_Raw[[#This Row],[33 kV_Wind_F1_Export reading]]/1000</f>
        <v>173.40199999999999</v>
      </c>
      <c r="DC111" s="350"/>
      <c r="DD111" s="350">
        <f>Input_Raw[[#This Row],[33 kV_Wind_F2_Export_reading]]/1000</f>
        <v>195.977</v>
      </c>
      <c r="DE111" s="350"/>
      <c r="DF111" s="350">
        <f>Input_Raw[[#This Row],[33 kV_Wind_F3_Export_Reading]]/1000</f>
        <v>209.58199999999999</v>
      </c>
      <c r="DG111" s="350"/>
      <c r="DH111" s="350">
        <f>Input_Raw[[#This Row],[33 kV_Wind_F4_Export Reading]]/1000</f>
        <v>252.53800000000001</v>
      </c>
      <c r="DI111" s="350"/>
      <c r="DJ111" s="350">
        <f>Input_Raw[[#This Row],[33 kV_F1_Total_Export (MWh)]]+Input_Raw[[#This Row],[33 kV_F2_Total_Export (MWh)2]]+Input_Raw[[#This Row],[33 kV_Wind_F3_Export (MWh)]]+Input_Raw[[#This Row],[33 kV_Wind_F4_Export (MWh)]]</f>
        <v>831.49900000000002</v>
      </c>
      <c r="DK111" s="350">
        <f>Input_Raw[[#This Row],[33 kV_Wind_F1_Import (MWh)]]+Input_Raw[[#This Row],[33 kV_Wind_F2_Import (MWh)]]+Input_Raw[[#This Row],[33 kV_Wind_F3_Import (MWh)2]]+Input_Raw[[#This Row],[33 kV_Wind_F4_Import (MWh)2]]</f>
        <v>0</v>
      </c>
      <c r="DL111" s="351">
        <f>IFERROR(Input_Raw[[#This Row],[33 kV_Wind_Total_Export (MWh)]]/Input_Raw[[#This Row],[WTG Total Gneration (MWh)]]-1,"")</f>
        <v>0</v>
      </c>
      <c r="DM111" s="352"/>
      <c r="DN111" s="186">
        <v>83</v>
      </c>
      <c r="DO111" s="186">
        <v>8922.3799999999992</v>
      </c>
      <c r="DP111" s="102">
        <v>774.94</v>
      </c>
      <c r="DQ111" s="352"/>
      <c r="DR111" s="181">
        <v>70.400000000000006</v>
      </c>
    </row>
    <row r="112" spans="1:122">
      <c r="A112" s="92">
        <f t="shared" si="74"/>
        <v>45852</v>
      </c>
      <c r="B112" s="190">
        <f>YEAR(Input_Raw[[#This Row],[Date]])+IF(MONTH(Input_Raw[[#This Row],[Date]])&gt;=4,1,0)</f>
        <v>2026</v>
      </c>
      <c r="C112" s="190">
        <f>YEAR(Input_Raw[[#This Row],[Date]])</f>
        <v>2025</v>
      </c>
      <c r="D112" s="11">
        <f t="shared" ref="D112" si="161">A112-DAY(A112)+1</f>
        <v>45839</v>
      </c>
      <c r="E112" s="190">
        <f>DAY(EOMONTH(Input_Raw[[#This Row],[Date]],0))</f>
        <v>31</v>
      </c>
      <c r="F112" s="199">
        <v>31156</v>
      </c>
      <c r="G112" s="199">
        <v>26220</v>
      </c>
      <c r="H112" s="199">
        <v>22440</v>
      </c>
      <c r="I112" s="199">
        <v>28296</v>
      </c>
      <c r="J112" s="199">
        <v>28668</v>
      </c>
      <c r="K112" s="199">
        <v>28704</v>
      </c>
      <c r="L112" s="199">
        <v>28706</v>
      </c>
      <c r="M112" s="199">
        <v>23572</v>
      </c>
      <c r="N112" s="199">
        <v>17652</v>
      </c>
      <c r="O112" s="199">
        <v>19100</v>
      </c>
      <c r="P112" s="199">
        <v>25534</v>
      </c>
      <c r="Q112" s="199">
        <v>28944</v>
      </c>
      <c r="R112" s="199">
        <v>29344</v>
      </c>
      <c r="S112" s="199">
        <v>25032</v>
      </c>
      <c r="T112" s="199">
        <v>22346</v>
      </c>
      <c r="U112" s="199">
        <v>23982</v>
      </c>
      <c r="V112" s="199">
        <v>25524</v>
      </c>
      <c r="W112" s="199">
        <v>24096</v>
      </c>
      <c r="X112" s="199">
        <v>22696</v>
      </c>
      <c r="Y112" s="199">
        <v>18970</v>
      </c>
      <c r="Z112" s="199">
        <v>27488</v>
      </c>
      <c r="AA112" s="199">
        <v>22416</v>
      </c>
      <c r="AB112" s="199">
        <v>22348</v>
      </c>
      <c r="AC112" s="199">
        <v>25588</v>
      </c>
      <c r="AD112" s="199">
        <v>26708</v>
      </c>
      <c r="AE112" s="199">
        <v>24748</v>
      </c>
      <c r="AF112" s="199">
        <v>18450</v>
      </c>
      <c r="AG112" s="199">
        <v>21772</v>
      </c>
      <c r="AH112" s="199">
        <v>28476</v>
      </c>
      <c r="AI112" s="199">
        <v>26164</v>
      </c>
      <c r="AJ112" s="199">
        <v>24132</v>
      </c>
      <c r="AK112" s="199">
        <v>20542</v>
      </c>
      <c r="AL112" s="199">
        <v>27592</v>
      </c>
      <c r="AM112" s="199">
        <v>28648</v>
      </c>
      <c r="AN112" s="199">
        <v>20790</v>
      </c>
      <c r="AO112" s="199">
        <v>32936</v>
      </c>
      <c r="AP112" s="199">
        <v>32704</v>
      </c>
      <c r="AQ112" s="199">
        <v>27788</v>
      </c>
      <c r="AR112" s="199">
        <v>31476</v>
      </c>
      <c r="AS112" s="199">
        <v>24700</v>
      </c>
      <c r="AT112" s="199">
        <v>27948</v>
      </c>
      <c r="AU112" s="199">
        <v>28648</v>
      </c>
      <c r="AV112" s="199">
        <v>33952</v>
      </c>
      <c r="AW112" s="199">
        <v>31920</v>
      </c>
      <c r="AX112" s="96">
        <v>9.83</v>
      </c>
      <c r="AY112" s="96">
        <v>9.1300000000000008</v>
      </c>
      <c r="AZ112" s="96">
        <v>8.5299999999999994</v>
      </c>
      <c r="BA112" s="96">
        <v>9.93</v>
      </c>
      <c r="BB112" s="96">
        <v>9.4</v>
      </c>
      <c r="BC112" s="96">
        <v>9.9700000000000006</v>
      </c>
      <c r="BD112" s="96">
        <v>9.77</v>
      </c>
      <c r="BE112" s="96">
        <v>9.06</v>
      </c>
      <c r="BF112" s="96">
        <v>8.0399999999999991</v>
      </c>
      <c r="BG112" s="96">
        <v>8.56</v>
      </c>
      <c r="BH112" s="96">
        <v>8.58</v>
      </c>
      <c r="BI112" s="96">
        <v>10.01</v>
      </c>
      <c r="BJ112" s="96">
        <v>10.08</v>
      </c>
      <c r="BK112" s="96">
        <v>9.1300000000000008</v>
      </c>
      <c r="BL112" s="96">
        <v>9.16</v>
      </c>
      <c r="BM112" s="96">
        <v>9.1199999999999992</v>
      </c>
      <c r="BN112" s="96">
        <v>9.31</v>
      </c>
      <c r="BO112" s="96">
        <v>8.73</v>
      </c>
      <c r="BP112" s="96">
        <v>8.7100000000000009</v>
      </c>
      <c r="BQ112" s="96">
        <v>7.8</v>
      </c>
      <c r="BR112" s="96">
        <v>9.4600000000000009</v>
      </c>
      <c r="BS112" s="96">
        <v>8.34</v>
      </c>
      <c r="BT112" s="96">
        <v>8.17</v>
      </c>
      <c r="BU112" s="96">
        <v>9.3800000000000008</v>
      </c>
      <c r="BV112" s="96">
        <v>9.74</v>
      </c>
      <c r="BW112" s="96">
        <v>9.1</v>
      </c>
      <c r="BX112" s="96">
        <v>7.56</v>
      </c>
      <c r="BY112" s="96">
        <v>8.43</v>
      </c>
      <c r="BZ112" s="96">
        <v>9.7100000000000009</v>
      </c>
      <c r="CA112" s="96">
        <v>9.1</v>
      </c>
      <c r="CB112" s="96">
        <v>9.01</v>
      </c>
      <c r="CC112" s="96">
        <v>8.56</v>
      </c>
      <c r="CD112" s="96">
        <v>10.09</v>
      </c>
      <c r="CE112" s="96">
        <v>9.74</v>
      </c>
      <c r="CF112" s="96">
        <v>8.1300000000000008</v>
      </c>
      <c r="CG112" s="96">
        <v>11.75</v>
      </c>
      <c r="CH112" s="96">
        <v>10.74</v>
      </c>
      <c r="CI112" s="96">
        <v>9.4700000000000006</v>
      </c>
      <c r="CJ112" s="96">
        <v>10.39</v>
      </c>
      <c r="CK112" s="96">
        <v>9.02</v>
      </c>
      <c r="CL112" s="96">
        <v>9.77</v>
      </c>
      <c r="CM112" s="96">
        <v>9.59</v>
      </c>
      <c r="CN112" s="96">
        <v>11.27</v>
      </c>
      <c r="CO112" s="96">
        <v>10.36</v>
      </c>
      <c r="CP112" s="345">
        <f>SUM(Input_Raw[[#This Row],[P-01]:[P-56]])/1000</f>
        <v>1138.9159999999999</v>
      </c>
      <c r="CQ112" s="346">
        <f>IFERROR(AVERAGEIF(Input_Raw[[#This Row],[WS_P-01]:[WS_P-56]],"&lt;&gt;",Input_Raw[[#This Row],[WS_P-01]:[WS_P-56]]),"")</f>
        <v>9.3120454545454532</v>
      </c>
      <c r="CR112" s="347">
        <f>MAX(Input_Raw[[#This Row],[WS_P-01]:[WS_P-56]])</f>
        <v>11.75</v>
      </c>
      <c r="CS112" s="347"/>
      <c r="CT112" s="348">
        <f>SUM(Input_Raw[[#This Row],[P-08]:[P-13]],Input_Raw[[#This Row],[P-25]:[P-28]])</f>
        <v>243538</v>
      </c>
      <c r="CU112" s="348"/>
      <c r="CV112" s="348">
        <f>SUM(Input_Raw[[#This Row],[P-04]],Input_Raw[[#This Row],[P-14]:[P-17]],Input_Raw[[#This Row],[P-19]:[P-20]],Input_Raw[[#This Row],[P-22]:[P-23]],Input_Raw[[#This Row],[P-34]],Input_Raw[[#This Row],[P-38]],Input_Raw[[#This Row],[P-43]])</f>
        <v>290148</v>
      </c>
      <c r="CW112" s="348"/>
      <c r="CX112" s="348">
        <f>SUM(Input_Raw[[#This Row],[P-05]:[P-06]],Input_Raw[[#This Row],[P-40]:[P-42]],Input_Raw[[#This Row],[P-45]],Input_Raw[[#This Row],[P-46]],Input_Raw[[#This Row],[P-47]:[P-48]])</f>
        <v>259058</v>
      </c>
      <c r="CY112" s="348"/>
      <c r="CZ112" s="348">
        <f>SUM(Input_Raw[[#This Row],[P-01]:[P-03]],Input_Raw[[#This Row],[P-07]],Input_Raw[[#This Row],[P-18]],Input_Raw[[#This Row],[P-31]:[P-32]],Input_Raw[[#This Row],[P-37]],Input_Raw[[#This Row],[P-50]:[P-56]])</f>
        <v>346172</v>
      </c>
      <c r="DA112" s="349"/>
      <c r="DB112" s="350">
        <f>Input_Raw[[#This Row],[33 kV_Wind_F1_Export reading]]/1000</f>
        <v>243.53800000000001</v>
      </c>
      <c r="DC112" s="350"/>
      <c r="DD112" s="350">
        <f>Input_Raw[[#This Row],[33 kV_Wind_F2_Export_reading]]/1000</f>
        <v>290.14800000000002</v>
      </c>
      <c r="DE112" s="350"/>
      <c r="DF112" s="350">
        <f>Input_Raw[[#This Row],[33 kV_Wind_F3_Export_Reading]]/1000</f>
        <v>259.05799999999999</v>
      </c>
      <c r="DG112" s="350"/>
      <c r="DH112" s="350">
        <f>Input_Raw[[#This Row],[33 kV_Wind_F4_Export Reading]]/1000</f>
        <v>346.17200000000003</v>
      </c>
      <c r="DI112" s="350"/>
      <c r="DJ112" s="350">
        <f>Input_Raw[[#This Row],[33 kV_F1_Total_Export (MWh)]]+Input_Raw[[#This Row],[33 kV_F2_Total_Export (MWh)2]]+Input_Raw[[#This Row],[33 kV_Wind_F3_Export (MWh)]]+Input_Raw[[#This Row],[33 kV_Wind_F4_Export (MWh)]]</f>
        <v>1138.9160000000002</v>
      </c>
      <c r="DK112" s="350">
        <f>Input_Raw[[#This Row],[33 kV_Wind_F1_Import (MWh)]]+Input_Raw[[#This Row],[33 kV_Wind_F2_Import (MWh)]]+Input_Raw[[#This Row],[33 kV_Wind_F3_Import (MWh)2]]+Input_Raw[[#This Row],[33 kV_Wind_F4_Import (MWh)2]]</f>
        <v>0</v>
      </c>
      <c r="DL112" s="351">
        <f>IFERROR(Input_Raw[[#This Row],[33 kV_Wind_Total_Export (MWh)]]/Input_Raw[[#This Row],[WTG Total Gneration (MWh)]]-1,"")</f>
        <v>2.2204460492503131E-16</v>
      </c>
      <c r="DM112" s="352"/>
      <c r="DN112" s="186">
        <v>92</v>
      </c>
      <c r="DO112" s="186">
        <v>55095.75</v>
      </c>
      <c r="DP112" s="102">
        <v>1097.81</v>
      </c>
      <c r="DQ112" s="352"/>
      <c r="DR112" s="181">
        <v>70.400000000000006</v>
      </c>
    </row>
    <row r="113" spans="1:122">
      <c r="A113" s="92">
        <f t="shared" si="74"/>
        <v>45853</v>
      </c>
      <c r="B113" s="190">
        <f>YEAR(Input_Raw[[#This Row],[Date]])+IF(MONTH(Input_Raw[[#This Row],[Date]])&gt;=4,1,0)</f>
        <v>2026</v>
      </c>
      <c r="C113" s="190">
        <f>YEAR(Input_Raw[[#This Row],[Date]])</f>
        <v>2025</v>
      </c>
      <c r="D113" s="11">
        <f t="shared" ref="D113" si="162">A113-DAY(A113)+1</f>
        <v>45839</v>
      </c>
      <c r="E113" s="190">
        <f>DAY(EOMONTH(Input_Raw[[#This Row],[Date]],0))</f>
        <v>31</v>
      </c>
      <c r="F113" s="199">
        <v>26896</v>
      </c>
      <c r="G113" s="199">
        <v>21500</v>
      </c>
      <c r="H113" s="199">
        <v>21716</v>
      </c>
      <c r="I113" s="199">
        <v>22164</v>
      </c>
      <c r="J113" s="199">
        <v>27868</v>
      </c>
      <c r="K113" s="199">
        <v>22928</v>
      </c>
      <c r="L113" s="199">
        <v>21026</v>
      </c>
      <c r="M113" s="199">
        <v>17488</v>
      </c>
      <c r="N113" s="199">
        <v>13212</v>
      </c>
      <c r="O113" s="199">
        <v>9910</v>
      </c>
      <c r="P113" s="199">
        <v>21634</v>
      </c>
      <c r="Q113" s="199">
        <v>22744</v>
      </c>
      <c r="R113" s="199">
        <v>20312</v>
      </c>
      <c r="S113" s="199">
        <v>19366</v>
      </c>
      <c r="T113" s="199">
        <v>17324</v>
      </c>
      <c r="U113" s="199">
        <v>20038</v>
      </c>
      <c r="V113" s="199">
        <v>21168</v>
      </c>
      <c r="W113" s="199">
        <v>21532</v>
      </c>
      <c r="X113" s="199">
        <v>18088</v>
      </c>
      <c r="Y113" s="199">
        <v>15420</v>
      </c>
      <c r="Z113" s="199">
        <v>21236</v>
      </c>
      <c r="AA113" s="199">
        <v>20016</v>
      </c>
      <c r="AB113" s="199">
        <v>18172</v>
      </c>
      <c r="AC113" s="199">
        <v>20980</v>
      </c>
      <c r="AD113" s="199">
        <v>20300</v>
      </c>
      <c r="AE113" s="199">
        <v>19344</v>
      </c>
      <c r="AF113" s="199">
        <v>18896</v>
      </c>
      <c r="AG113" s="199">
        <v>17432</v>
      </c>
      <c r="AH113" s="199">
        <v>21768</v>
      </c>
      <c r="AI113" s="199">
        <v>20380</v>
      </c>
      <c r="AJ113" s="199">
        <v>20570</v>
      </c>
      <c r="AK113" s="199">
        <v>16396</v>
      </c>
      <c r="AL113" s="199">
        <v>26664</v>
      </c>
      <c r="AM113" s="199">
        <v>25176</v>
      </c>
      <c r="AN113" s="199">
        <v>17206</v>
      </c>
      <c r="AO113" s="199">
        <v>28552</v>
      </c>
      <c r="AP113" s="199">
        <v>28820</v>
      </c>
      <c r="AQ113" s="199">
        <v>25972</v>
      </c>
      <c r="AR113" s="199">
        <v>27256</v>
      </c>
      <c r="AS113" s="199">
        <v>22104</v>
      </c>
      <c r="AT113" s="199">
        <v>24314</v>
      </c>
      <c r="AU113" s="199">
        <v>22868</v>
      </c>
      <c r="AV113" s="199">
        <v>28704</v>
      </c>
      <c r="AW113" s="199">
        <v>24840</v>
      </c>
      <c r="AX113" s="96">
        <v>9.1300000000000008</v>
      </c>
      <c r="AY113" s="96">
        <v>8.2200000000000006</v>
      </c>
      <c r="AZ113" s="96">
        <v>8.49</v>
      </c>
      <c r="BA113" s="96">
        <v>8.8699999999999992</v>
      </c>
      <c r="BB113" s="96">
        <v>9.39</v>
      </c>
      <c r="BC113" s="96">
        <v>8.81</v>
      </c>
      <c r="BD113" s="96">
        <v>8.36</v>
      </c>
      <c r="BE113" s="96">
        <v>8.07</v>
      </c>
      <c r="BF113" s="96">
        <v>7.18</v>
      </c>
      <c r="BG113" s="96">
        <v>7.35</v>
      </c>
      <c r="BH113" s="96">
        <v>8.08</v>
      </c>
      <c r="BI113" s="96">
        <v>9.0399999999999991</v>
      </c>
      <c r="BJ113" s="96">
        <v>8.66</v>
      </c>
      <c r="BK113" s="96">
        <v>8.25</v>
      </c>
      <c r="BL113" s="96">
        <v>8.24</v>
      </c>
      <c r="BM113" s="96">
        <v>8.57</v>
      </c>
      <c r="BN113" s="96">
        <v>8.5399999999999991</v>
      </c>
      <c r="BO113" s="96">
        <v>8.35</v>
      </c>
      <c r="BP113" s="96">
        <v>7.89</v>
      </c>
      <c r="BQ113" s="96">
        <v>7.18</v>
      </c>
      <c r="BR113" s="96">
        <v>8.4499999999999993</v>
      </c>
      <c r="BS113" s="96">
        <v>8.01</v>
      </c>
      <c r="BT113" s="96">
        <v>7.61</v>
      </c>
      <c r="BU113" s="96">
        <v>8.64</v>
      </c>
      <c r="BV113" s="96">
        <v>8.5500000000000007</v>
      </c>
      <c r="BW113" s="96">
        <v>8.3000000000000007</v>
      </c>
      <c r="BX113" s="96">
        <v>7.73</v>
      </c>
      <c r="BY113" s="96">
        <v>7.69</v>
      </c>
      <c r="BZ113" s="96">
        <v>8.58</v>
      </c>
      <c r="CA113" s="96">
        <v>8.24</v>
      </c>
      <c r="CB113" s="96">
        <v>8.33</v>
      </c>
      <c r="CC113" s="96">
        <v>7.77</v>
      </c>
      <c r="CD113" s="96">
        <v>9.99</v>
      </c>
      <c r="CE113" s="96">
        <v>9.15</v>
      </c>
      <c r="CF113" s="96">
        <v>7.48</v>
      </c>
      <c r="CG113" s="96">
        <v>10.9</v>
      </c>
      <c r="CH113" s="96">
        <v>10.039999999999999</v>
      </c>
      <c r="CI113" s="96">
        <v>9.3000000000000007</v>
      </c>
      <c r="CJ113" s="96">
        <v>9.61</v>
      </c>
      <c r="CK113" s="96">
        <v>8.66</v>
      </c>
      <c r="CL113" s="96">
        <v>9.16</v>
      </c>
      <c r="CM113" s="96">
        <v>8.6</v>
      </c>
      <c r="CN113" s="96">
        <v>10.210000000000001</v>
      </c>
      <c r="CO113" s="96">
        <v>9.11</v>
      </c>
      <c r="CP113" s="345">
        <f>SUM(Input_Raw[[#This Row],[P-01]:[P-56]])/1000</f>
        <v>940.3</v>
      </c>
      <c r="CQ113" s="346">
        <f>IFERROR(AVERAGEIF(Input_Raw[[#This Row],[WS_P-01]:[WS_P-56]],"&lt;&gt;",Input_Raw[[#This Row],[WS_P-01]:[WS_P-56]]),"")</f>
        <v>8.5631818181818193</v>
      </c>
      <c r="CR113" s="347">
        <f>MAX(Input_Raw[[#This Row],[WS_P-01]:[WS_P-56]])</f>
        <v>10.9</v>
      </c>
      <c r="CS113" s="347"/>
      <c r="CT113" s="348">
        <f>SUM(Input_Raw[[#This Row],[P-08]:[P-13]],Input_Raw[[#This Row],[P-25]:[P-28]])</f>
        <v>184096</v>
      </c>
      <c r="CU113" s="348"/>
      <c r="CV113" s="348">
        <f>SUM(Input_Raw[[#This Row],[P-04]],Input_Raw[[#This Row],[P-14]:[P-17]],Input_Raw[[#This Row],[P-19]:[P-20]],Input_Raw[[#This Row],[P-22]:[P-23]],Input_Raw[[#This Row],[P-34]],Input_Raw[[#This Row],[P-38]],Input_Raw[[#This Row],[P-43]])</f>
        <v>234364</v>
      </c>
      <c r="CW113" s="348"/>
      <c r="CX113" s="348">
        <f>SUM(Input_Raw[[#This Row],[P-05]:[P-06]],Input_Raw[[#This Row],[P-40]:[P-42]],Input_Raw[[#This Row],[P-45]],Input_Raw[[#This Row],[P-46]],Input_Raw[[#This Row],[P-47]:[P-48]])</f>
        <v>229632</v>
      </c>
      <c r="CY113" s="348"/>
      <c r="CZ113" s="348">
        <f>SUM(Input_Raw[[#This Row],[P-01]:[P-03]],Input_Raw[[#This Row],[P-07]],Input_Raw[[#This Row],[P-18]],Input_Raw[[#This Row],[P-31]:[P-32]],Input_Raw[[#This Row],[P-37]],Input_Raw[[#This Row],[P-50]:[P-56]])</f>
        <v>292208</v>
      </c>
      <c r="DA113" s="349"/>
      <c r="DB113" s="350">
        <f>Input_Raw[[#This Row],[33 kV_Wind_F1_Export reading]]/1000</f>
        <v>184.096</v>
      </c>
      <c r="DC113" s="350"/>
      <c r="DD113" s="350">
        <f>Input_Raw[[#This Row],[33 kV_Wind_F2_Export_reading]]/1000</f>
        <v>234.364</v>
      </c>
      <c r="DE113" s="350"/>
      <c r="DF113" s="350">
        <f>Input_Raw[[#This Row],[33 kV_Wind_F3_Export_Reading]]/1000</f>
        <v>229.63200000000001</v>
      </c>
      <c r="DG113" s="350"/>
      <c r="DH113" s="350">
        <f>Input_Raw[[#This Row],[33 kV_Wind_F4_Export Reading]]/1000</f>
        <v>292.20800000000003</v>
      </c>
      <c r="DI113" s="350"/>
      <c r="DJ113" s="350">
        <f>Input_Raw[[#This Row],[33 kV_F1_Total_Export (MWh)]]+Input_Raw[[#This Row],[33 kV_F2_Total_Export (MWh)2]]+Input_Raw[[#This Row],[33 kV_Wind_F3_Export (MWh)]]+Input_Raw[[#This Row],[33 kV_Wind_F4_Export (MWh)]]</f>
        <v>940.30000000000018</v>
      </c>
      <c r="DK113" s="350">
        <f>Input_Raw[[#This Row],[33 kV_Wind_F1_Import (MWh)]]+Input_Raw[[#This Row],[33 kV_Wind_F2_Import (MWh)]]+Input_Raw[[#This Row],[33 kV_Wind_F3_Import (MWh)2]]+Input_Raw[[#This Row],[33 kV_Wind_F4_Import (MWh)2]]</f>
        <v>0</v>
      </c>
      <c r="DL113" s="351">
        <f>IFERROR(Input_Raw[[#This Row],[33 kV_Wind_Total_Export (MWh)]]/Input_Raw[[#This Row],[WTG Total Gneration (MWh)]]-1,"")</f>
        <v>2.2204460492503131E-16</v>
      </c>
      <c r="DM113" s="352"/>
      <c r="DN113" s="186">
        <v>94</v>
      </c>
      <c r="DO113" s="186">
        <v>67721.5</v>
      </c>
      <c r="DP113" s="102">
        <v>908.66</v>
      </c>
      <c r="DQ113" s="352"/>
      <c r="DR113" s="181">
        <v>70.400000000000006</v>
      </c>
    </row>
    <row r="114" spans="1:122">
      <c r="A114" s="92">
        <f t="shared" si="74"/>
        <v>45854</v>
      </c>
      <c r="B114" s="190">
        <f>YEAR(Input_Raw[[#This Row],[Date]])+IF(MONTH(Input_Raw[[#This Row],[Date]])&gt;=4,1,0)</f>
        <v>2026</v>
      </c>
      <c r="C114" s="190">
        <f>YEAR(Input_Raw[[#This Row],[Date]])</f>
        <v>2025</v>
      </c>
      <c r="D114" s="11">
        <f t="shared" ref="D114" si="163">A114-DAY(A114)+1</f>
        <v>45839</v>
      </c>
      <c r="E114" s="190">
        <f>DAY(EOMONTH(Input_Raw[[#This Row],[Date]],0))</f>
        <v>31</v>
      </c>
      <c r="F114" s="199">
        <v>19832</v>
      </c>
      <c r="G114" s="199">
        <v>15660</v>
      </c>
      <c r="H114" s="199">
        <v>16636</v>
      </c>
      <c r="I114" s="199">
        <v>15424</v>
      </c>
      <c r="J114" s="199">
        <v>20404</v>
      </c>
      <c r="K114" s="199">
        <v>14400</v>
      </c>
      <c r="L114" s="199">
        <v>12170</v>
      </c>
      <c r="M114" s="199">
        <v>10332</v>
      </c>
      <c r="N114" s="199">
        <v>7498</v>
      </c>
      <c r="O114" s="199">
        <v>10786</v>
      </c>
      <c r="P114" s="199">
        <v>13508</v>
      </c>
      <c r="Q114" s="199">
        <v>13916</v>
      </c>
      <c r="R114" s="199">
        <v>11164</v>
      </c>
      <c r="S114" s="199">
        <v>11894</v>
      </c>
      <c r="T114" s="199">
        <v>11332</v>
      </c>
      <c r="U114" s="199">
        <v>12946</v>
      </c>
      <c r="V114" s="199">
        <v>13472</v>
      </c>
      <c r="W114" s="199">
        <v>15068</v>
      </c>
      <c r="X114" s="199">
        <v>11464</v>
      </c>
      <c r="Y114" s="199">
        <v>9108</v>
      </c>
      <c r="Z114" s="199">
        <v>14412</v>
      </c>
      <c r="AA114" s="199">
        <v>14792</v>
      </c>
      <c r="AB114" s="199">
        <v>11580</v>
      </c>
      <c r="AC114" s="199">
        <v>12168</v>
      </c>
      <c r="AD114" s="199">
        <v>13512</v>
      </c>
      <c r="AE114" s="199">
        <v>10796</v>
      </c>
      <c r="AF114" s="199">
        <v>14364</v>
      </c>
      <c r="AG114" s="199">
        <v>10680</v>
      </c>
      <c r="AH114" s="199">
        <v>15080</v>
      </c>
      <c r="AI114" s="199">
        <v>12744</v>
      </c>
      <c r="AJ114" s="199">
        <v>12596</v>
      </c>
      <c r="AK114" s="199">
        <v>9880</v>
      </c>
      <c r="AL114" s="199">
        <v>19296</v>
      </c>
      <c r="AM114" s="199">
        <v>17072</v>
      </c>
      <c r="AN114" s="199">
        <v>8692</v>
      </c>
      <c r="AO114" s="199">
        <v>19568</v>
      </c>
      <c r="AP114" s="199">
        <v>19828</v>
      </c>
      <c r="AQ114" s="199">
        <v>17968</v>
      </c>
      <c r="AR114" s="199">
        <v>18784</v>
      </c>
      <c r="AS114" s="199">
        <v>15596</v>
      </c>
      <c r="AT114" s="199">
        <v>17272</v>
      </c>
      <c r="AU114" s="199">
        <v>15804</v>
      </c>
      <c r="AV114" s="199">
        <v>19636</v>
      </c>
      <c r="AW114" s="199">
        <v>15760</v>
      </c>
      <c r="AX114" s="96">
        <v>7.87</v>
      </c>
      <c r="AY114" s="96">
        <v>7.17</v>
      </c>
      <c r="AZ114" s="96">
        <v>7.56</v>
      </c>
      <c r="BA114" s="96">
        <v>7.56</v>
      </c>
      <c r="BB114" s="96">
        <v>8.09</v>
      </c>
      <c r="BC114" s="96">
        <v>7.38</v>
      </c>
      <c r="BD114" s="96">
        <v>6.77</v>
      </c>
      <c r="BE114" s="96">
        <v>6.54</v>
      </c>
      <c r="BF114" s="96">
        <v>5.99</v>
      </c>
      <c r="BG114" s="96">
        <v>7.03</v>
      </c>
      <c r="BH114" s="96">
        <v>6.63</v>
      </c>
      <c r="BI114" s="96">
        <v>7.4</v>
      </c>
      <c r="BJ114" s="96">
        <v>6.85</v>
      </c>
      <c r="BK114" s="96">
        <v>6.91</v>
      </c>
      <c r="BL114" s="96">
        <v>6.98</v>
      </c>
      <c r="BM114" s="96">
        <v>7.31</v>
      </c>
      <c r="BN114" s="96">
        <v>7.14</v>
      </c>
      <c r="BO114" s="96">
        <v>7.27</v>
      </c>
      <c r="BP114" s="96">
        <v>6.7</v>
      </c>
      <c r="BQ114" s="96">
        <v>6.06</v>
      </c>
      <c r="BR114" s="96">
        <v>7.26</v>
      </c>
      <c r="BS114" s="96">
        <v>7.06</v>
      </c>
      <c r="BT114" s="96">
        <v>6.38</v>
      </c>
      <c r="BU114" s="96">
        <v>7</v>
      </c>
      <c r="BV114" s="96">
        <v>6.37</v>
      </c>
      <c r="BW114" s="96">
        <v>6.63</v>
      </c>
      <c r="BX114" s="96">
        <v>6.91</v>
      </c>
      <c r="BY114" s="96">
        <v>6.47</v>
      </c>
      <c r="BZ114" s="96">
        <v>7.41</v>
      </c>
      <c r="CA114" s="96">
        <v>6.91</v>
      </c>
      <c r="CB114" s="96">
        <v>6.85</v>
      </c>
      <c r="CC114" s="96">
        <v>6.61</v>
      </c>
      <c r="CD114" s="96">
        <v>8.64</v>
      </c>
      <c r="CE114" s="96">
        <v>7.51</v>
      </c>
      <c r="CF114" s="96">
        <v>5.74</v>
      </c>
      <c r="CG114" s="96">
        <v>8.94</v>
      </c>
      <c r="CH114" s="96">
        <v>8.36</v>
      </c>
      <c r="CI114" s="96">
        <v>7.78</v>
      </c>
      <c r="CJ114" s="96">
        <v>8.06</v>
      </c>
      <c r="CK114" s="96">
        <v>7.45</v>
      </c>
      <c r="CL114" s="96">
        <v>7.85</v>
      </c>
      <c r="CM114" s="96">
        <v>7.44</v>
      </c>
      <c r="CN114" s="96">
        <v>8.4499999999999993</v>
      </c>
      <c r="CO114" s="96">
        <v>7.5</v>
      </c>
      <c r="CP114" s="345">
        <f>SUM(Input_Raw[[#This Row],[P-01]:[P-56]])/1000</f>
        <v>624.89400000000001</v>
      </c>
      <c r="CQ114" s="346">
        <f>IFERROR(AVERAGEIF(Input_Raw[[#This Row],[WS_P-01]:[WS_P-56]],"&lt;&gt;",Input_Raw[[#This Row],[WS_P-01]:[WS_P-56]]),"")</f>
        <v>7.1997727272727268</v>
      </c>
      <c r="CR114" s="347">
        <f>MAX(Input_Raw[[#This Row],[WS_P-01]:[WS_P-56]])</f>
        <v>8.94</v>
      </c>
      <c r="CS114" s="347"/>
      <c r="CT114" s="348">
        <f>SUM(Input_Raw[[#This Row],[P-08]:[P-13]],Input_Raw[[#This Row],[P-25]:[P-28]])</f>
        <v>115260</v>
      </c>
      <c r="CU114" s="348"/>
      <c r="CV114" s="348">
        <f>SUM(Input_Raw[[#This Row],[P-04]],Input_Raw[[#This Row],[P-14]:[P-17]],Input_Raw[[#This Row],[P-19]:[P-20]],Input_Raw[[#This Row],[P-22]:[P-23]],Input_Raw[[#This Row],[P-34]],Input_Raw[[#This Row],[P-38]],Input_Raw[[#This Row],[P-43]])</f>
        <v>151212</v>
      </c>
      <c r="CW114" s="348"/>
      <c r="CX114" s="348">
        <f>SUM(Input_Raw[[#This Row],[P-05]:[P-06]],Input_Raw[[#This Row],[P-40]:[P-42]],Input_Raw[[#This Row],[P-45]],Input_Raw[[#This Row],[P-46]],Input_Raw[[#This Row],[P-47]:[P-48]])</f>
        <v>157200</v>
      </c>
      <c r="CY114" s="348"/>
      <c r="CZ114" s="348">
        <f>SUM(Input_Raw[[#This Row],[P-01]:[P-03]],Input_Raw[[#This Row],[P-07]],Input_Raw[[#This Row],[P-18]],Input_Raw[[#This Row],[P-31]:[P-32]],Input_Raw[[#This Row],[P-37]],Input_Raw[[#This Row],[P-50]:[P-56]])</f>
        <v>201222</v>
      </c>
      <c r="DA114" s="349"/>
      <c r="DB114" s="350">
        <f>Input_Raw[[#This Row],[33 kV_Wind_F1_Export reading]]/1000</f>
        <v>115.26</v>
      </c>
      <c r="DC114" s="350"/>
      <c r="DD114" s="350">
        <f>Input_Raw[[#This Row],[33 kV_Wind_F2_Export_reading]]/1000</f>
        <v>151.21199999999999</v>
      </c>
      <c r="DE114" s="350"/>
      <c r="DF114" s="350">
        <f>Input_Raw[[#This Row],[33 kV_Wind_F3_Export_Reading]]/1000</f>
        <v>157.19999999999999</v>
      </c>
      <c r="DG114" s="350"/>
      <c r="DH114" s="350">
        <f>Input_Raw[[#This Row],[33 kV_Wind_F4_Export Reading]]/1000</f>
        <v>201.22200000000001</v>
      </c>
      <c r="DI114" s="350"/>
      <c r="DJ114" s="350">
        <f>Input_Raw[[#This Row],[33 kV_F1_Total_Export (MWh)]]+Input_Raw[[#This Row],[33 kV_F2_Total_Export (MWh)2]]+Input_Raw[[#This Row],[33 kV_Wind_F3_Export (MWh)]]+Input_Raw[[#This Row],[33 kV_Wind_F4_Export (MWh)]]</f>
        <v>624.89400000000001</v>
      </c>
      <c r="DK114" s="350">
        <f>Input_Raw[[#This Row],[33 kV_Wind_F1_Import (MWh)]]+Input_Raw[[#This Row],[33 kV_Wind_F2_Import (MWh)]]+Input_Raw[[#This Row],[33 kV_Wind_F3_Import (MWh)2]]+Input_Raw[[#This Row],[33 kV_Wind_F4_Import (MWh)2]]</f>
        <v>0</v>
      </c>
      <c r="DL114" s="351">
        <f>IFERROR(Input_Raw[[#This Row],[33 kV_Wind_Total_Export (MWh)]]/Input_Raw[[#This Row],[WTG Total Gneration (MWh)]]-1,"")</f>
        <v>0</v>
      </c>
      <c r="DM114" s="352"/>
      <c r="DN114" s="186">
        <v>85</v>
      </c>
      <c r="DO114" s="186">
        <v>19020.88</v>
      </c>
      <c r="DP114" s="102">
        <v>573.70000000000005</v>
      </c>
      <c r="DQ114" s="352"/>
      <c r="DR114" s="181">
        <v>70.400000000000006</v>
      </c>
    </row>
    <row r="115" spans="1:122">
      <c r="A115" s="92">
        <f t="shared" si="74"/>
        <v>45855</v>
      </c>
      <c r="B115" s="190">
        <f>YEAR(Input_Raw[[#This Row],[Date]])+IF(MONTH(Input_Raw[[#This Row],[Date]])&gt;=4,1,0)</f>
        <v>2026</v>
      </c>
      <c r="C115" s="190">
        <f>YEAR(Input_Raw[[#This Row],[Date]])</f>
        <v>2025</v>
      </c>
      <c r="D115" s="11">
        <f t="shared" ref="D115" si="164">A115-DAY(A115)+1</f>
        <v>45839</v>
      </c>
      <c r="E115" s="190">
        <f>DAY(EOMONTH(Input_Raw[[#This Row],[Date]],0))</f>
        <v>31</v>
      </c>
      <c r="F115" s="199">
        <v>11272</v>
      </c>
      <c r="G115" s="199">
        <v>9580</v>
      </c>
      <c r="H115" s="199">
        <v>9832</v>
      </c>
      <c r="I115" s="199">
        <v>9176</v>
      </c>
      <c r="J115" s="199">
        <v>11860</v>
      </c>
      <c r="K115" s="199">
        <v>9532</v>
      </c>
      <c r="L115" s="199">
        <v>8045.9999999999991</v>
      </c>
      <c r="M115" s="199">
        <v>4250</v>
      </c>
      <c r="N115" s="199">
        <v>3850</v>
      </c>
      <c r="O115" s="199">
        <v>5128</v>
      </c>
      <c r="P115" s="199">
        <v>5796</v>
      </c>
      <c r="Q115" s="199">
        <v>5684</v>
      </c>
      <c r="R115" s="199">
        <v>4700</v>
      </c>
      <c r="S115" s="199">
        <v>5478</v>
      </c>
      <c r="T115" s="199">
        <v>4884</v>
      </c>
      <c r="U115" s="199">
        <v>5374</v>
      </c>
      <c r="V115" s="199">
        <v>5918</v>
      </c>
      <c r="W115" s="199">
        <v>9396</v>
      </c>
      <c r="X115" s="199">
        <v>5104</v>
      </c>
      <c r="Y115" s="199">
        <v>3850</v>
      </c>
      <c r="Z115" s="199">
        <v>8256</v>
      </c>
      <c r="AA115" s="199">
        <v>8760</v>
      </c>
      <c r="AB115" s="199">
        <v>7220</v>
      </c>
      <c r="AC115" s="199">
        <v>7480</v>
      </c>
      <c r="AD115" s="199">
        <v>7324</v>
      </c>
      <c r="AE115" s="199">
        <v>5856</v>
      </c>
      <c r="AF115" s="199">
        <v>9560</v>
      </c>
      <c r="AG115" s="199">
        <v>5472</v>
      </c>
      <c r="AH115" s="199">
        <v>9352</v>
      </c>
      <c r="AI115" s="199">
        <v>7496</v>
      </c>
      <c r="AJ115" s="199">
        <v>5712</v>
      </c>
      <c r="AK115" s="199">
        <v>6032</v>
      </c>
      <c r="AL115" s="199">
        <v>12064</v>
      </c>
      <c r="AM115" s="199">
        <v>9764</v>
      </c>
      <c r="AN115" s="199">
        <v>3890</v>
      </c>
      <c r="AO115" s="199">
        <v>11632</v>
      </c>
      <c r="AP115" s="199">
        <v>11540</v>
      </c>
      <c r="AQ115" s="199">
        <v>10344</v>
      </c>
      <c r="AR115" s="199">
        <v>11220</v>
      </c>
      <c r="AS115" s="199">
        <v>6342</v>
      </c>
      <c r="AT115" s="199">
        <v>8312</v>
      </c>
      <c r="AU115" s="199">
        <v>9384</v>
      </c>
      <c r="AV115" s="199">
        <v>11140</v>
      </c>
      <c r="AW115" s="199">
        <v>8760</v>
      </c>
      <c r="AX115" s="96">
        <v>6.22</v>
      </c>
      <c r="AY115" s="96">
        <v>5.98</v>
      </c>
      <c r="AZ115" s="96">
        <v>6.2</v>
      </c>
      <c r="BA115" s="96">
        <v>6.39</v>
      </c>
      <c r="BB115" s="96">
        <v>6.8</v>
      </c>
      <c r="BC115" s="96">
        <v>6.51</v>
      </c>
      <c r="BD115" s="96">
        <v>5.9</v>
      </c>
      <c r="BE115" s="96">
        <v>5.03</v>
      </c>
      <c r="BF115" s="96">
        <v>5.05</v>
      </c>
      <c r="BG115" s="96">
        <v>5.69</v>
      </c>
      <c r="BH115" s="96">
        <v>5.19</v>
      </c>
      <c r="BI115" s="96">
        <v>5.6</v>
      </c>
      <c r="BJ115" s="96">
        <v>5.25</v>
      </c>
      <c r="BK115" s="96">
        <v>5.47</v>
      </c>
      <c r="BL115" s="96">
        <v>5.24</v>
      </c>
      <c r="BM115" s="96">
        <v>5.56</v>
      </c>
      <c r="BN115" s="96">
        <v>5.39</v>
      </c>
      <c r="BO115" s="96">
        <v>6.23</v>
      </c>
      <c r="BP115" s="96">
        <v>5.08</v>
      </c>
      <c r="BQ115" s="96">
        <v>4.67</v>
      </c>
      <c r="BR115" s="96">
        <v>6.13</v>
      </c>
      <c r="BS115" s="96">
        <v>5.94</v>
      </c>
      <c r="BT115" s="96">
        <v>5.55</v>
      </c>
      <c r="BU115" s="96">
        <v>6.13</v>
      </c>
      <c r="BV115" s="96">
        <v>5.27</v>
      </c>
      <c r="BW115" s="96">
        <v>5.56</v>
      </c>
      <c r="BX115" s="96">
        <v>5.93</v>
      </c>
      <c r="BY115" s="96">
        <v>5.19</v>
      </c>
      <c r="BZ115" s="96">
        <v>6.39</v>
      </c>
      <c r="CA115" s="96">
        <v>5.79</v>
      </c>
      <c r="CB115" s="96">
        <v>5.24</v>
      </c>
      <c r="CC115" s="96">
        <v>5.62</v>
      </c>
      <c r="CD115" s="96">
        <v>7.4</v>
      </c>
      <c r="CE115" s="96">
        <v>6.1</v>
      </c>
      <c r="CF115" s="96">
        <v>4.45</v>
      </c>
      <c r="CG115" s="96">
        <v>7.3</v>
      </c>
      <c r="CH115" s="96">
        <v>6.92</v>
      </c>
      <c r="CI115" s="96">
        <v>6.32</v>
      </c>
      <c r="CJ115" s="96">
        <v>6.74</v>
      </c>
      <c r="CK115" s="96">
        <v>5.24</v>
      </c>
      <c r="CL115" s="96">
        <v>5.89</v>
      </c>
      <c r="CM115" s="96">
        <v>6.19</v>
      </c>
      <c r="CN115" s="96">
        <v>6.74</v>
      </c>
      <c r="CO115" s="96">
        <v>6.18</v>
      </c>
      <c r="CP115" s="345">
        <f>SUM(Input_Raw[[#This Row],[P-01]:[P-56]])/1000</f>
        <v>341.62200000000001</v>
      </c>
      <c r="CQ115" s="346">
        <f>IFERROR(AVERAGEIF(Input_Raw[[#This Row],[WS_P-01]:[WS_P-56]],"&lt;&gt;",Input_Raw[[#This Row],[WS_P-01]:[WS_P-56]]),"")</f>
        <v>5.8559090909090905</v>
      </c>
      <c r="CR115" s="347">
        <f>MAX(Input_Raw[[#This Row],[WS_P-01]:[WS_P-56]])</f>
        <v>7.4</v>
      </c>
      <c r="CS115" s="347"/>
      <c r="CT115" s="348">
        <f>SUM(Input_Raw[[#This Row],[P-08]:[P-13]],Input_Raw[[#This Row],[P-25]:[P-28]])</f>
        <v>57288</v>
      </c>
      <c r="CU115" s="348"/>
      <c r="CV115" s="348">
        <f>SUM(Input_Raw[[#This Row],[P-04]],Input_Raw[[#This Row],[P-14]:[P-17]],Input_Raw[[#This Row],[P-19]:[P-20]],Input_Raw[[#This Row],[P-22]:[P-23]],Input_Raw[[#This Row],[P-34]],Input_Raw[[#This Row],[P-38]],Input_Raw[[#This Row],[P-43]])</f>
        <v>75754</v>
      </c>
      <c r="CW115" s="348"/>
      <c r="CX115" s="348">
        <f>SUM(Input_Raw[[#This Row],[P-05]:[P-06]],Input_Raw[[#This Row],[P-40]:[P-42]],Input_Raw[[#This Row],[P-45]],Input_Raw[[#This Row],[P-46]],Input_Raw[[#This Row],[P-47]:[P-48]])</f>
        <v>93988</v>
      </c>
      <c r="CY115" s="348"/>
      <c r="CZ115" s="348">
        <f>SUM(Input_Raw[[#This Row],[P-01]:[P-03]],Input_Raw[[#This Row],[P-07]],Input_Raw[[#This Row],[P-18]],Input_Raw[[#This Row],[P-31]:[P-32]],Input_Raw[[#This Row],[P-37]],Input_Raw[[#This Row],[P-50]:[P-56]])</f>
        <v>114592</v>
      </c>
      <c r="DA115" s="349"/>
      <c r="DB115" s="350">
        <f>Input_Raw[[#This Row],[33 kV_Wind_F1_Export reading]]/1000</f>
        <v>57.287999999999997</v>
      </c>
      <c r="DC115" s="350"/>
      <c r="DD115" s="350">
        <f>Input_Raw[[#This Row],[33 kV_Wind_F2_Export_reading]]/1000</f>
        <v>75.754000000000005</v>
      </c>
      <c r="DE115" s="350"/>
      <c r="DF115" s="350">
        <f>Input_Raw[[#This Row],[33 kV_Wind_F3_Export_Reading]]/1000</f>
        <v>93.988</v>
      </c>
      <c r="DG115" s="350"/>
      <c r="DH115" s="350">
        <f>Input_Raw[[#This Row],[33 kV_Wind_F4_Export Reading]]/1000</f>
        <v>114.592</v>
      </c>
      <c r="DI115" s="350"/>
      <c r="DJ115" s="350">
        <f>Input_Raw[[#This Row],[33 kV_F1_Total_Export (MWh)]]+Input_Raw[[#This Row],[33 kV_F2_Total_Export (MWh)2]]+Input_Raw[[#This Row],[33 kV_Wind_F3_Export (MWh)]]+Input_Raw[[#This Row],[33 kV_Wind_F4_Export (MWh)]]</f>
        <v>341.62200000000001</v>
      </c>
      <c r="DK115" s="350">
        <f>Input_Raw[[#This Row],[33 kV_Wind_F1_Import (MWh)]]+Input_Raw[[#This Row],[33 kV_Wind_F2_Import (MWh)]]+Input_Raw[[#This Row],[33 kV_Wind_F3_Import (MWh)2]]+Input_Raw[[#This Row],[33 kV_Wind_F4_Import (MWh)2]]</f>
        <v>0</v>
      </c>
      <c r="DL115" s="351">
        <f>IFERROR(Input_Raw[[#This Row],[33 kV_Wind_Total_Export (MWh)]]/Input_Raw[[#This Row],[WTG Total Gneration (MWh)]]-1,"")</f>
        <v>0</v>
      </c>
      <c r="DM115" s="352"/>
      <c r="DN115" s="186">
        <v>66</v>
      </c>
      <c r="DO115" s="186">
        <v>5316.75</v>
      </c>
      <c r="DP115" s="102">
        <v>317.69</v>
      </c>
      <c r="DQ115" s="352"/>
      <c r="DR115" s="181">
        <v>70.400000000000006</v>
      </c>
    </row>
    <row r="116" spans="1:122">
      <c r="A116" s="92">
        <f t="shared" si="74"/>
        <v>45856</v>
      </c>
      <c r="B116" s="190">
        <f>YEAR(Input_Raw[[#This Row],[Date]])+IF(MONTH(Input_Raw[[#This Row],[Date]])&gt;=4,1,0)</f>
        <v>2026</v>
      </c>
      <c r="C116" s="190">
        <f>YEAR(Input_Raw[[#This Row],[Date]])</f>
        <v>2025</v>
      </c>
      <c r="D116" s="11">
        <f t="shared" ref="D116" si="165">A116-DAY(A116)+1</f>
        <v>45839</v>
      </c>
      <c r="E116" s="190">
        <f>DAY(EOMONTH(Input_Raw[[#This Row],[Date]],0))</f>
        <v>31</v>
      </c>
      <c r="F116" s="199">
        <v>11152</v>
      </c>
      <c r="G116" s="199">
        <v>9932</v>
      </c>
      <c r="H116" s="199">
        <v>10340</v>
      </c>
      <c r="I116" s="199">
        <v>9308</v>
      </c>
      <c r="J116" s="199">
        <v>12672</v>
      </c>
      <c r="K116" s="199">
        <v>10536</v>
      </c>
      <c r="L116" s="199">
        <v>8456</v>
      </c>
      <c r="M116" s="199">
        <v>5698</v>
      </c>
      <c r="N116" s="199">
        <v>5392</v>
      </c>
      <c r="O116" s="199">
        <v>6688</v>
      </c>
      <c r="P116" s="199">
        <v>6956</v>
      </c>
      <c r="Q116" s="199">
        <v>7020</v>
      </c>
      <c r="R116" s="199">
        <v>5476</v>
      </c>
      <c r="S116" s="199">
        <v>6762</v>
      </c>
      <c r="T116" s="199">
        <v>6124</v>
      </c>
      <c r="U116" s="199">
        <v>6312</v>
      </c>
      <c r="V116" s="199">
        <v>6794</v>
      </c>
      <c r="W116" s="199">
        <v>9948</v>
      </c>
      <c r="X116" s="199">
        <v>5920</v>
      </c>
      <c r="Y116" s="199">
        <v>4933</v>
      </c>
      <c r="Z116" s="199">
        <v>8648</v>
      </c>
      <c r="AA116" s="199">
        <v>8872</v>
      </c>
      <c r="AB116" s="199">
        <v>8100</v>
      </c>
      <c r="AC116" s="199">
        <v>8224</v>
      </c>
      <c r="AD116" s="199">
        <v>8220</v>
      </c>
      <c r="AE116" s="199">
        <v>6788</v>
      </c>
      <c r="AF116" s="199">
        <v>10480</v>
      </c>
      <c r="AG116" s="199">
        <v>6260</v>
      </c>
      <c r="AH116" s="199">
        <v>9136</v>
      </c>
      <c r="AI116" s="199">
        <v>8118</v>
      </c>
      <c r="AJ116" s="199">
        <v>7274</v>
      </c>
      <c r="AK116" s="199">
        <v>7160</v>
      </c>
      <c r="AL116" s="199">
        <v>13212</v>
      </c>
      <c r="AM116" s="199">
        <v>11528</v>
      </c>
      <c r="AN116" s="199">
        <v>5250</v>
      </c>
      <c r="AO116" s="199">
        <v>13072</v>
      </c>
      <c r="AP116" s="199">
        <v>14036</v>
      </c>
      <c r="AQ116" s="199">
        <v>12152</v>
      </c>
      <c r="AR116" s="199">
        <v>12768</v>
      </c>
      <c r="AS116" s="199">
        <v>6486</v>
      </c>
      <c r="AT116" s="199">
        <v>9252</v>
      </c>
      <c r="AU116" s="199">
        <v>9596</v>
      </c>
      <c r="AV116" s="199">
        <v>11608</v>
      </c>
      <c r="AW116" s="199">
        <v>9400</v>
      </c>
      <c r="AX116" s="96">
        <v>6.38</v>
      </c>
      <c r="AY116" s="96">
        <v>6.17</v>
      </c>
      <c r="AZ116" s="96">
        <v>6.45</v>
      </c>
      <c r="BA116" s="96">
        <v>6.42</v>
      </c>
      <c r="BB116" s="96">
        <v>6.92</v>
      </c>
      <c r="BC116" s="96">
        <v>6.9</v>
      </c>
      <c r="BD116" s="96">
        <v>6.06</v>
      </c>
      <c r="BE116" s="96">
        <v>5.31</v>
      </c>
      <c r="BF116" s="96">
        <v>5.51</v>
      </c>
      <c r="BG116" s="96">
        <v>6.14</v>
      </c>
      <c r="BH116" s="96">
        <v>5.49</v>
      </c>
      <c r="BI116" s="96">
        <v>6.01</v>
      </c>
      <c r="BJ116" s="96">
        <v>5.54</v>
      </c>
      <c r="BK116" s="96">
        <v>5.88</v>
      </c>
      <c r="BL116" s="96">
        <v>5.75</v>
      </c>
      <c r="BM116" s="96">
        <v>5.93</v>
      </c>
      <c r="BN116" s="96">
        <v>5.72</v>
      </c>
      <c r="BO116" s="96">
        <v>6.41</v>
      </c>
      <c r="BP116" s="96">
        <v>5.47</v>
      </c>
      <c r="BQ116" s="96">
        <v>5.0999999999999996</v>
      </c>
      <c r="BR116" s="96">
        <v>6.24</v>
      </c>
      <c r="BS116" s="96">
        <v>5.97</v>
      </c>
      <c r="BT116" s="96">
        <v>5.76</v>
      </c>
      <c r="BU116" s="96">
        <v>6.22</v>
      </c>
      <c r="BV116" s="96">
        <v>5.52</v>
      </c>
      <c r="BW116" s="96">
        <v>5.84</v>
      </c>
      <c r="BX116" s="96">
        <v>6.17</v>
      </c>
      <c r="BY116" s="96">
        <v>5.45</v>
      </c>
      <c r="BZ116" s="96">
        <v>6.34</v>
      </c>
      <c r="CA116" s="96">
        <v>5.98</v>
      </c>
      <c r="CB116" s="96">
        <v>5.8</v>
      </c>
      <c r="CC116" s="96">
        <v>5.92</v>
      </c>
      <c r="CD116" s="96">
        <v>7.6</v>
      </c>
      <c r="CE116" s="96">
        <v>6.51</v>
      </c>
      <c r="CF116" s="96">
        <v>4.9400000000000004</v>
      </c>
      <c r="CG116" s="96">
        <v>7.41</v>
      </c>
      <c r="CH116" s="96">
        <v>7.44</v>
      </c>
      <c r="CI116" s="96">
        <v>6.72</v>
      </c>
      <c r="CJ116" s="96">
        <v>7.07</v>
      </c>
      <c r="CK116" s="96">
        <v>5.42</v>
      </c>
      <c r="CL116" s="96">
        <v>6.25</v>
      </c>
      <c r="CM116" s="96">
        <v>6.3</v>
      </c>
      <c r="CN116" s="96">
        <v>6.94</v>
      </c>
      <c r="CO116" s="96">
        <v>6.47</v>
      </c>
      <c r="CP116" s="345">
        <f>SUM(Input_Raw[[#This Row],[P-01]:[P-56]])/1000</f>
        <v>382.05900000000003</v>
      </c>
      <c r="CQ116" s="346">
        <f>IFERROR(AVERAGEIF(Input_Raw[[#This Row],[WS_P-01]:[WS_P-56]],"&lt;&gt;",Input_Raw[[#This Row],[WS_P-01]:[WS_P-56]]),"")</f>
        <v>6.1327272727272719</v>
      </c>
      <c r="CR116" s="347">
        <f>MAX(Input_Raw[[#This Row],[WS_P-01]:[WS_P-56]])</f>
        <v>7.6</v>
      </c>
      <c r="CS116" s="347"/>
      <c r="CT116" s="348">
        <f>SUM(Input_Raw[[#This Row],[P-08]:[P-13]],Input_Raw[[#This Row],[P-25]:[P-28]])</f>
        <v>68562</v>
      </c>
      <c r="CU116" s="348"/>
      <c r="CV116" s="348">
        <f>SUM(Input_Raw[[#This Row],[P-04]],Input_Raw[[#This Row],[P-14]:[P-17]],Input_Raw[[#This Row],[P-19]:[P-20]],Input_Raw[[#This Row],[P-22]:[P-23]],Input_Raw[[#This Row],[P-34]],Input_Raw[[#This Row],[P-38]],Input_Raw[[#This Row],[P-43]])</f>
        <v>85333</v>
      </c>
      <c r="CW116" s="348"/>
      <c r="CX116" s="348">
        <f>SUM(Input_Raw[[#This Row],[P-05]:[P-06]],Input_Raw[[#This Row],[P-40]:[P-42]],Input_Raw[[#This Row],[P-45]],Input_Raw[[#This Row],[P-46]],Input_Raw[[#This Row],[P-47]:[P-48]])</f>
        <v>107136</v>
      </c>
      <c r="CY116" s="348"/>
      <c r="CZ116" s="348">
        <f>SUM(Input_Raw[[#This Row],[P-01]:[P-03]],Input_Raw[[#This Row],[P-07]],Input_Raw[[#This Row],[P-18]],Input_Raw[[#This Row],[P-31]:[P-32]],Input_Raw[[#This Row],[P-37]],Input_Raw[[#This Row],[P-50]:[P-56]])</f>
        <v>121028</v>
      </c>
      <c r="DA116" s="349"/>
      <c r="DB116" s="350">
        <f>Input_Raw[[#This Row],[33 kV_Wind_F1_Export reading]]/1000</f>
        <v>68.561999999999998</v>
      </c>
      <c r="DC116" s="350"/>
      <c r="DD116" s="350">
        <f>Input_Raw[[#This Row],[33 kV_Wind_F2_Export_reading]]/1000</f>
        <v>85.332999999999998</v>
      </c>
      <c r="DE116" s="350"/>
      <c r="DF116" s="350">
        <f>Input_Raw[[#This Row],[33 kV_Wind_F3_Export_Reading]]/1000</f>
        <v>107.136</v>
      </c>
      <c r="DG116" s="350"/>
      <c r="DH116" s="350">
        <f>Input_Raw[[#This Row],[33 kV_Wind_F4_Export Reading]]/1000</f>
        <v>121.02800000000001</v>
      </c>
      <c r="DI116" s="350"/>
      <c r="DJ116" s="350">
        <f>Input_Raw[[#This Row],[33 kV_F1_Total_Export (MWh)]]+Input_Raw[[#This Row],[33 kV_F2_Total_Export (MWh)2]]+Input_Raw[[#This Row],[33 kV_Wind_F3_Export (MWh)]]+Input_Raw[[#This Row],[33 kV_Wind_F4_Export (MWh)]]</f>
        <v>382.05899999999997</v>
      </c>
      <c r="DK116" s="350">
        <f>Input_Raw[[#This Row],[33 kV_Wind_F1_Import (MWh)]]+Input_Raw[[#This Row],[33 kV_Wind_F2_Import (MWh)]]+Input_Raw[[#This Row],[33 kV_Wind_F3_Import (MWh)2]]+Input_Raw[[#This Row],[33 kV_Wind_F4_Import (MWh)2]]</f>
        <v>0</v>
      </c>
      <c r="DL116" s="351">
        <f>IFERROR(Input_Raw[[#This Row],[33 kV_Wind_Total_Export (MWh)]]/Input_Raw[[#This Row],[WTG Total Gneration (MWh)]]-1,"")</f>
        <v>-1.1102230246251565E-16</v>
      </c>
      <c r="DM116" s="352"/>
      <c r="DN116" s="186">
        <v>93</v>
      </c>
      <c r="DO116" s="186">
        <v>2462</v>
      </c>
      <c r="DP116" s="102">
        <v>351.02</v>
      </c>
      <c r="DQ116" s="352"/>
      <c r="DR116" s="181">
        <v>70.400000000000006</v>
      </c>
    </row>
    <row r="117" spans="1:122">
      <c r="A117" s="92">
        <f t="shared" si="74"/>
        <v>45857</v>
      </c>
      <c r="B117" s="190">
        <f>YEAR(Input_Raw[[#This Row],[Date]])+IF(MONTH(Input_Raw[[#This Row],[Date]])&gt;=4,1,0)</f>
        <v>2026</v>
      </c>
      <c r="C117" s="190">
        <f>YEAR(Input_Raw[[#This Row],[Date]])</f>
        <v>2025</v>
      </c>
      <c r="D117" s="11">
        <f t="shared" ref="D117" si="166">A117-DAY(A117)+1</f>
        <v>45839</v>
      </c>
      <c r="E117" s="190">
        <f>DAY(EOMONTH(Input_Raw[[#This Row],[Date]],0))</f>
        <v>31</v>
      </c>
      <c r="F117" s="199">
        <v>9876</v>
      </c>
      <c r="G117" s="199">
        <v>8496</v>
      </c>
      <c r="H117" s="199">
        <v>9284</v>
      </c>
      <c r="I117" s="199">
        <v>11044</v>
      </c>
      <c r="J117" s="199">
        <v>16047.999999999998</v>
      </c>
      <c r="K117" s="199">
        <v>13912</v>
      </c>
      <c r="L117" s="199">
        <v>8055.9999999999991</v>
      </c>
      <c r="M117" s="199">
        <v>6968</v>
      </c>
      <c r="N117" s="199">
        <v>6892</v>
      </c>
      <c r="O117" s="199">
        <v>9160</v>
      </c>
      <c r="P117" s="199">
        <v>9878</v>
      </c>
      <c r="Q117" s="199">
        <v>10116</v>
      </c>
      <c r="R117" s="199">
        <v>8488</v>
      </c>
      <c r="S117" s="199">
        <v>9854</v>
      </c>
      <c r="T117" s="199">
        <v>9394</v>
      </c>
      <c r="U117" s="199">
        <v>9708</v>
      </c>
      <c r="V117" s="199">
        <v>10120</v>
      </c>
      <c r="W117" s="199">
        <v>8724</v>
      </c>
      <c r="X117" s="199">
        <v>8016</v>
      </c>
      <c r="Y117" s="199">
        <v>6381</v>
      </c>
      <c r="Z117" s="199">
        <v>10376</v>
      </c>
      <c r="AA117" s="199">
        <v>10208</v>
      </c>
      <c r="AB117" s="199">
        <v>11388</v>
      </c>
      <c r="AC117" s="199">
        <v>12128</v>
      </c>
      <c r="AD117" s="199">
        <v>11824</v>
      </c>
      <c r="AE117" s="199">
        <v>9632</v>
      </c>
      <c r="AF117" s="199">
        <v>9036</v>
      </c>
      <c r="AG117" s="199">
        <v>5960</v>
      </c>
      <c r="AH117" s="199">
        <v>10908</v>
      </c>
      <c r="AI117" s="199">
        <v>8314</v>
      </c>
      <c r="AJ117" s="199">
        <v>9872</v>
      </c>
      <c r="AK117" s="199">
        <v>8840</v>
      </c>
      <c r="AL117" s="199">
        <v>16436</v>
      </c>
      <c r="AM117" s="199">
        <v>12316</v>
      </c>
      <c r="AN117" s="199">
        <v>5512</v>
      </c>
      <c r="AO117" s="199">
        <v>16936</v>
      </c>
      <c r="AP117" s="199">
        <v>16612</v>
      </c>
      <c r="AQ117" s="199">
        <v>14556</v>
      </c>
      <c r="AR117" s="199">
        <v>15104</v>
      </c>
      <c r="AS117" s="199">
        <v>7758</v>
      </c>
      <c r="AT117" s="199">
        <v>9524</v>
      </c>
      <c r="AU117" s="199">
        <v>10340</v>
      </c>
      <c r="AV117" s="199">
        <v>12512</v>
      </c>
      <c r="AW117" s="199">
        <v>9952</v>
      </c>
      <c r="AX117" s="96">
        <v>6.4</v>
      </c>
      <c r="AY117" s="96">
        <v>6.08</v>
      </c>
      <c r="AZ117" s="96">
        <v>6.56</v>
      </c>
      <c r="BA117" s="96">
        <v>6.75</v>
      </c>
      <c r="BB117" s="96">
        <v>7.5</v>
      </c>
      <c r="BC117" s="96">
        <v>7.73</v>
      </c>
      <c r="BD117" s="96">
        <v>6.27</v>
      </c>
      <c r="BE117" s="96">
        <v>5.63</v>
      </c>
      <c r="BF117" s="96">
        <v>6.02</v>
      </c>
      <c r="BG117" s="96">
        <v>6.84</v>
      </c>
      <c r="BH117" s="96">
        <v>6.15</v>
      </c>
      <c r="BI117" s="96">
        <v>6.77</v>
      </c>
      <c r="BJ117" s="96">
        <v>6.41</v>
      </c>
      <c r="BK117" s="96">
        <v>6.7</v>
      </c>
      <c r="BL117" s="96">
        <v>6.71</v>
      </c>
      <c r="BM117" s="96">
        <v>6.82</v>
      </c>
      <c r="BN117" s="96">
        <v>6.56</v>
      </c>
      <c r="BO117" s="96">
        <v>6.36</v>
      </c>
      <c r="BP117" s="96">
        <v>5.99</v>
      </c>
      <c r="BQ117" s="96">
        <v>5.46</v>
      </c>
      <c r="BR117" s="96">
        <v>6.58</v>
      </c>
      <c r="BS117" s="96">
        <v>6.2</v>
      </c>
      <c r="BT117" s="96">
        <v>6.54</v>
      </c>
      <c r="BU117" s="96">
        <v>7.11</v>
      </c>
      <c r="BV117" s="96">
        <v>6.26</v>
      </c>
      <c r="BW117" s="96">
        <v>6.6</v>
      </c>
      <c r="BX117" s="96">
        <v>6.18</v>
      </c>
      <c r="BY117" s="96">
        <v>5.51</v>
      </c>
      <c r="BZ117" s="96">
        <v>6.67</v>
      </c>
      <c r="CA117" s="96">
        <v>6.2</v>
      </c>
      <c r="CB117" s="96">
        <v>6.44</v>
      </c>
      <c r="CC117" s="96">
        <v>6.38</v>
      </c>
      <c r="CD117" s="96">
        <v>8.26</v>
      </c>
      <c r="CE117" s="96">
        <v>6.59</v>
      </c>
      <c r="CF117" s="96">
        <v>4.97</v>
      </c>
      <c r="CG117" s="96">
        <v>8.11</v>
      </c>
      <c r="CH117" s="96">
        <v>7.87</v>
      </c>
      <c r="CI117" s="96">
        <v>7.16</v>
      </c>
      <c r="CJ117" s="96">
        <v>7.47</v>
      </c>
      <c r="CK117" s="96">
        <v>5.96</v>
      </c>
      <c r="CL117" s="96">
        <v>6.54</v>
      </c>
      <c r="CM117" s="96">
        <v>6.71</v>
      </c>
      <c r="CN117" s="96">
        <v>7.27</v>
      </c>
      <c r="CO117" s="96">
        <v>6.69</v>
      </c>
      <c r="CP117" s="345">
        <f>SUM(Input_Raw[[#This Row],[P-01]:[P-56]])/1000</f>
        <v>456.459</v>
      </c>
      <c r="CQ117" s="346">
        <f>IFERROR(AVERAGEIF(Input_Raw[[#This Row],[WS_P-01]:[WS_P-56]],"&lt;&gt;",Input_Raw[[#This Row],[WS_P-01]:[WS_P-56]]),"")</f>
        <v>6.5904545454545431</v>
      </c>
      <c r="CR117" s="347">
        <f>MAX(Input_Raw[[#This Row],[WS_P-01]:[WS_P-56]])</f>
        <v>8.26</v>
      </c>
      <c r="CS117" s="347"/>
      <c r="CT117" s="348">
        <f>SUM(Input_Raw[[#This Row],[P-08]:[P-13]],Input_Raw[[#This Row],[P-25]:[P-28]])</f>
        <v>96474</v>
      </c>
      <c r="CU117" s="348"/>
      <c r="CV117" s="348">
        <f>SUM(Input_Raw[[#This Row],[P-04]],Input_Raw[[#This Row],[P-14]:[P-17]],Input_Raw[[#This Row],[P-19]:[P-20]],Input_Raw[[#This Row],[P-22]:[P-23]],Input_Raw[[#This Row],[P-34]],Input_Raw[[#This Row],[P-38]],Input_Raw[[#This Row],[P-43]])</f>
        <v>111393</v>
      </c>
      <c r="CW117" s="348"/>
      <c r="CX117" s="348">
        <f>SUM(Input_Raw[[#This Row],[P-05]:[P-06]],Input_Raw[[#This Row],[P-40]:[P-42]],Input_Raw[[#This Row],[P-45]],Input_Raw[[#This Row],[P-46]],Input_Raw[[#This Row],[P-47]:[P-48]])</f>
        <v>130760</v>
      </c>
      <c r="CY117" s="348"/>
      <c r="CZ117" s="348">
        <f>SUM(Input_Raw[[#This Row],[P-01]:[P-03]],Input_Raw[[#This Row],[P-07]],Input_Raw[[#This Row],[P-18]],Input_Raw[[#This Row],[P-31]:[P-32]],Input_Raw[[#This Row],[P-37]],Input_Raw[[#This Row],[P-50]:[P-56]])</f>
        <v>117832</v>
      </c>
      <c r="DA117" s="349"/>
      <c r="DB117" s="350">
        <f>Input_Raw[[#This Row],[33 kV_Wind_F1_Export reading]]/1000</f>
        <v>96.474000000000004</v>
      </c>
      <c r="DC117" s="350"/>
      <c r="DD117" s="350">
        <f>Input_Raw[[#This Row],[33 kV_Wind_F2_Export_reading]]/1000</f>
        <v>111.393</v>
      </c>
      <c r="DE117" s="350"/>
      <c r="DF117" s="350">
        <f>Input_Raw[[#This Row],[33 kV_Wind_F3_Export_Reading]]/1000</f>
        <v>130.76</v>
      </c>
      <c r="DG117" s="350"/>
      <c r="DH117" s="350">
        <f>Input_Raw[[#This Row],[33 kV_Wind_F4_Export Reading]]/1000</f>
        <v>117.83199999999999</v>
      </c>
      <c r="DI117" s="350"/>
      <c r="DJ117" s="350">
        <f>Input_Raw[[#This Row],[33 kV_F1_Total_Export (MWh)]]+Input_Raw[[#This Row],[33 kV_F2_Total_Export (MWh)2]]+Input_Raw[[#This Row],[33 kV_Wind_F3_Export (MWh)]]+Input_Raw[[#This Row],[33 kV_Wind_F4_Export (MWh)]]</f>
        <v>456.459</v>
      </c>
      <c r="DK117" s="350">
        <f>Input_Raw[[#This Row],[33 kV_Wind_F1_Import (MWh)]]+Input_Raw[[#This Row],[33 kV_Wind_F2_Import (MWh)]]+Input_Raw[[#This Row],[33 kV_Wind_F3_Import (MWh)2]]+Input_Raw[[#This Row],[33 kV_Wind_F4_Import (MWh)2]]</f>
        <v>0</v>
      </c>
      <c r="DL117" s="351">
        <f>IFERROR(Input_Raw[[#This Row],[33 kV_Wind_Total_Export (MWh)]]/Input_Raw[[#This Row],[WTG Total Gneration (MWh)]]-1,"")</f>
        <v>0</v>
      </c>
      <c r="DM117" s="352"/>
      <c r="DN117" s="186">
        <v>84</v>
      </c>
      <c r="DO117" s="186">
        <v>5599.38</v>
      </c>
      <c r="DP117" s="102">
        <v>425.82</v>
      </c>
      <c r="DQ117" s="352"/>
      <c r="DR117" s="181">
        <v>70.400000000000006</v>
      </c>
    </row>
    <row r="118" spans="1:122">
      <c r="A118" s="92">
        <f t="shared" si="74"/>
        <v>45858</v>
      </c>
      <c r="B118" s="190">
        <f>YEAR(Input_Raw[[#This Row],[Date]])+IF(MONTH(Input_Raw[[#This Row],[Date]])&gt;=4,1,0)</f>
        <v>2026</v>
      </c>
      <c r="C118" s="190">
        <f>YEAR(Input_Raw[[#This Row],[Date]])</f>
        <v>2025</v>
      </c>
      <c r="D118" s="11">
        <f t="shared" ref="D118" si="167">A118-DAY(A118)+1</f>
        <v>45839</v>
      </c>
      <c r="E118" s="190">
        <f>DAY(EOMONTH(Input_Raw[[#This Row],[Date]],0))</f>
        <v>31</v>
      </c>
      <c r="F118" s="199">
        <v>14388</v>
      </c>
      <c r="G118" s="199">
        <v>9688</v>
      </c>
      <c r="H118" s="199">
        <v>10832</v>
      </c>
      <c r="I118" s="199">
        <v>11558</v>
      </c>
      <c r="J118" s="199">
        <v>14400</v>
      </c>
      <c r="K118" s="199">
        <v>11588</v>
      </c>
      <c r="L118" s="199">
        <v>9162</v>
      </c>
      <c r="M118" s="199">
        <v>7836</v>
      </c>
      <c r="N118" s="199">
        <v>5404</v>
      </c>
      <c r="O118" s="199">
        <v>7670</v>
      </c>
      <c r="P118" s="199">
        <v>9694</v>
      </c>
      <c r="Q118" s="199">
        <v>10092</v>
      </c>
      <c r="R118" s="199">
        <v>9304</v>
      </c>
      <c r="S118" s="199">
        <v>8508</v>
      </c>
      <c r="T118" s="199">
        <v>7836</v>
      </c>
      <c r="U118" s="199">
        <v>8602</v>
      </c>
      <c r="V118" s="199">
        <v>9340</v>
      </c>
      <c r="W118" s="199">
        <v>10076</v>
      </c>
      <c r="X118" s="199">
        <v>8071.9999999999991</v>
      </c>
      <c r="Y118" s="199">
        <v>6287</v>
      </c>
      <c r="Z118" s="199">
        <v>10864</v>
      </c>
      <c r="AA118" s="199">
        <v>9892</v>
      </c>
      <c r="AB118" s="199">
        <v>8448</v>
      </c>
      <c r="AC118" s="199">
        <v>10064</v>
      </c>
      <c r="AD118" s="199">
        <v>10600</v>
      </c>
      <c r="AE118" s="199">
        <v>8772</v>
      </c>
      <c r="AF118" s="199">
        <v>8876</v>
      </c>
      <c r="AG118" s="199">
        <v>7562</v>
      </c>
      <c r="AH118" s="199">
        <v>11016</v>
      </c>
      <c r="AI118" s="199">
        <v>9868</v>
      </c>
      <c r="AJ118" s="199">
        <v>9064</v>
      </c>
      <c r="AK118" s="199">
        <v>7204</v>
      </c>
      <c r="AL118" s="199">
        <v>13832</v>
      </c>
      <c r="AM118" s="199">
        <v>13336</v>
      </c>
      <c r="AN118" s="199">
        <v>7394</v>
      </c>
      <c r="AO118" s="199">
        <v>15316</v>
      </c>
      <c r="AP118" s="199">
        <v>15868</v>
      </c>
      <c r="AQ118" s="199">
        <v>13816</v>
      </c>
      <c r="AR118" s="199">
        <v>14936</v>
      </c>
      <c r="AS118" s="199">
        <v>9128</v>
      </c>
      <c r="AT118" s="199">
        <v>11184</v>
      </c>
      <c r="AU118" s="199">
        <v>9120</v>
      </c>
      <c r="AV118" s="199">
        <v>15040</v>
      </c>
      <c r="AW118" s="199">
        <v>12232</v>
      </c>
      <c r="AX118" s="96">
        <v>6.96</v>
      </c>
      <c r="AY118" s="96">
        <v>5.97</v>
      </c>
      <c r="AZ118" s="96">
        <v>6.44</v>
      </c>
      <c r="BA118" s="96">
        <v>6.88</v>
      </c>
      <c r="BB118" s="96">
        <v>7.1</v>
      </c>
      <c r="BC118" s="96">
        <v>7.12</v>
      </c>
      <c r="BD118" s="96">
        <v>6.15</v>
      </c>
      <c r="BE118" s="96">
        <v>5.8</v>
      </c>
      <c r="BF118" s="96">
        <v>5.51</v>
      </c>
      <c r="BG118" s="96">
        <v>6.39</v>
      </c>
      <c r="BH118" s="96">
        <v>6.02</v>
      </c>
      <c r="BI118" s="96">
        <v>6.69</v>
      </c>
      <c r="BJ118" s="96">
        <v>6.46</v>
      </c>
      <c r="BK118" s="96">
        <v>6.28</v>
      </c>
      <c r="BL118" s="96">
        <v>6.21</v>
      </c>
      <c r="BM118" s="96">
        <v>6.5</v>
      </c>
      <c r="BN118" s="96">
        <v>6.33</v>
      </c>
      <c r="BO118" s="96">
        <v>6.25</v>
      </c>
      <c r="BP118" s="96">
        <v>5.96</v>
      </c>
      <c r="BQ118" s="96">
        <v>5.44</v>
      </c>
      <c r="BR118" s="96">
        <v>6.7</v>
      </c>
      <c r="BS118" s="96">
        <v>6.13</v>
      </c>
      <c r="BT118" s="96">
        <v>5.83</v>
      </c>
      <c r="BU118" s="96">
        <v>6.62</v>
      </c>
      <c r="BV118" s="96">
        <v>5.9</v>
      </c>
      <c r="BW118" s="96">
        <v>6.3</v>
      </c>
      <c r="BX118" s="96">
        <v>5.69</v>
      </c>
      <c r="BY118" s="96">
        <v>5.76</v>
      </c>
      <c r="BZ118" s="96">
        <v>6.73</v>
      </c>
      <c r="CA118" s="96">
        <v>6.3</v>
      </c>
      <c r="CB118" s="96">
        <v>6.19</v>
      </c>
      <c r="CC118" s="96">
        <v>5.79</v>
      </c>
      <c r="CD118" s="96">
        <v>7.61</v>
      </c>
      <c r="CE118" s="96">
        <v>6.92</v>
      </c>
      <c r="CF118" s="96">
        <v>5.5</v>
      </c>
      <c r="CG118" s="96">
        <v>7.75</v>
      </c>
      <c r="CH118" s="96">
        <v>7.69</v>
      </c>
      <c r="CI118" s="96">
        <v>7</v>
      </c>
      <c r="CJ118" s="96">
        <v>7.4</v>
      </c>
      <c r="CK118" s="96">
        <v>6.14</v>
      </c>
      <c r="CL118" s="96">
        <v>6.67</v>
      </c>
      <c r="CM118" s="96">
        <v>6.28</v>
      </c>
      <c r="CN118" s="96">
        <v>7.58</v>
      </c>
      <c r="CO118" s="96">
        <v>6.86</v>
      </c>
      <c r="CP118" s="345">
        <f>SUM(Input_Raw[[#This Row],[P-01]:[P-56]])/1000</f>
        <v>453.76900000000001</v>
      </c>
      <c r="CQ118" s="346">
        <f>IFERROR(AVERAGEIF(Input_Raw[[#This Row],[WS_P-01]:[WS_P-56]],"&lt;&gt;",Input_Raw[[#This Row],[WS_P-01]:[WS_P-56]]),"")</f>
        <v>6.4499999999999993</v>
      </c>
      <c r="CR118" s="347">
        <f>MAX(Input_Raw[[#This Row],[WS_P-01]:[WS_P-56]])</f>
        <v>7.75</v>
      </c>
      <c r="CS118" s="347"/>
      <c r="CT118" s="348">
        <f>SUM(Input_Raw[[#This Row],[P-08]:[P-13]],Input_Raw[[#This Row],[P-25]:[P-28]])</f>
        <v>87884</v>
      </c>
      <c r="CU118" s="348"/>
      <c r="CV118" s="348">
        <f>SUM(Input_Raw[[#This Row],[P-04]],Input_Raw[[#This Row],[P-14]:[P-17]],Input_Raw[[#This Row],[P-19]:[P-20]],Input_Raw[[#This Row],[P-22]:[P-23]],Input_Raw[[#This Row],[P-34]],Input_Raw[[#This Row],[P-38]],Input_Raw[[#This Row],[P-43]])</f>
        <v>108433</v>
      </c>
      <c r="CW118" s="348"/>
      <c r="CX118" s="348">
        <f>SUM(Input_Raw[[#This Row],[P-05]:[P-06]],Input_Raw[[#This Row],[P-40]:[P-42]],Input_Raw[[#This Row],[P-45]],Input_Raw[[#This Row],[P-46]],Input_Raw[[#This Row],[P-47]:[P-48]])</f>
        <v>120296</v>
      </c>
      <c r="CY118" s="348"/>
      <c r="CZ118" s="348">
        <f>SUM(Input_Raw[[#This Row],[P-01]:[P-03]],Input_Raw[[#This Row],[P-07]],Input_Raw[[#This Row],[P-18]],Input_Raw[[#This Row],[P-31]:[P-32]],Input_Raw[[#This Row],[P-37]],Input_Raw[[#This Row],[P-50]:[P-56]])</f>
        <v>137156</v>
      </c>
      <c r="DA118" s="349"/>
      <c r="DB118" s="350">
        <f>Input_Raw[[#This Row],[33 kV_Wind_F1_Export reading]]/1000</f>
        <v>87.884</v>
      </c>
      <c r="DC118" s="350"/>
      <c r="DD118" s="350">
        <f>Input_Raw[[#This Row],[33 kV_Wind_F2_Export_reading]]/1000</f>
        <v>108.43300000000001</v>
      </c>
      <c r="DE118" s="350"/>
      <c r="DF118" s="350">
        <f>Input_Raw[[#This Row],[33 kV_Wind_F3_Export_Reading]]/1000</f>
        <v>120.29600000000001</v>
      </c>
      <c r="DG118" s="350"/>
      <c r="DH118" s="350">
        <f>Input_Raw[[#This Row],[33 kV_Wind_F4_Export Reading]]/1000</f>
        <v>137.15600000000001</v>
      </c>
      <c r="DI118" s="350"/>
      <c r="DJ118" s="350">
        <f>Input_Raw[[#This Row],[33 kV_F1_Total_Export (MWh)]]+Input_Raw[[#This Row],[33 kV_F2_Total_Export (MWh)2]]+Input_Raw[[#This Row],[33 kV_Wind_F3_Export (MWh)]]+Input_Raw[[#This Row],[33 kV_Wind_F4_Export (MWh)]]</f>
        <v>453.76900000000001</v>
      </c>
      <c r="DK118" s="350">
        <f>Input_Raw[[#This Row],[33 kV_Wind_F1_Import (MWh)]]+Input_Raw[[#This Row],[33 kV_Wind_F2_Import (MWh)]]+Input_Raw[[#This Row],[33 kV_Wind_F3_Import (MWh)2]]+Input_Raw[[#This Row],[33 kV_Wind_F4_Import (MWh)2]]</f>
        <v>0</v>
      </c>
      <c r="DL118" s="351">
        <f>IFERROR(Input_Raw[[#This Row],[33 kV_Wind_Total_Export (MWh)]]/Input_Raw[[#This Row],[WTG Total Gneration (MWh)]]-1,"")</f>
        <v>0</v>
      </c>
      <c r="DM118" s="352"/>
      <c r="DN118" s="186">
        <v>93</v>
      </c>
      <c r="DO118" s="186">
        <v>11324.75</v>
      </c>
      <c r="DP118" s="102">
        <v>412.91</v>
      </c>
      <c r="DQ118" s="352"/>
      <c r="DR118" s="181">
        <v>70.400000000000006</v>
      </c>
    </row>
    <row r="119" spans="1:122">
      <c r="A119" s="92">
        <f t="shared" si="74"/>
        <v>45859</v>
      </c>
      <c r="B119" s="190">
        <f>YEAR(Input_Raw[[#This Row],[Date]])+IF(MONTH(Input_Raw[[#This Row],[Date]])&gt;=4,1,0)</f>
        <v>2026</v>
      </c>
      <c r="C119" s="190">
        <f>YEAR(Input_Raw[[#This Row],[Date]])</f>
        <v>2025</v>
      </c>
      <c r="D119" s="11">
        <f t="shared" ref="D119" si="168">A119-DAY(A119)+1</f>
        <v>45839</v>
      </c>
      <c r="E119" s="190">
        <f>DAY(EOMONTH(Input_Raw[[#This Row],[Date]],0))</f>
        <v>31</v>
      </c>
      <c r="F119" s="199">
        <v>17272</v>
      </c>
      <c r="G119" s="199">
        <v>13256</v>
      </c>
      <c r="H119" s="199">
        <v>13296</v>
      </c>
      <c r="I119" s="199">
        <v>13798</v>
      </c>
      <c r="J119" s="199">
        <v>16496</v>
      </c>
      <c r="K119" s="199">
        <v>13652</v>
      </c>
      <c r="L119" s="199">
        <v>11742</v>
      </c>
      <c r="M119" s="199">
        <v>8858</v>
      </c>
      <c r="N119" s="199">
        <v>5726</v>
      </c>
      <c r="O119" s="199">
        <v>8150</v>
      </c>
      <c r="P119" s="199">
        <v>10172</v>
      </c>
      <c r="Q119" s="199">
        <v>11464</v>
      </c>
      <c r="R119" s="199">
        <v>10628</v>
      </c>
      <c r="S119" s="199">
        <v>9690</v>
      </c>
      <c r="T119" s="199">
        <v>8930</v>
      </c>
      <c r="U119" s="199">
        <v>9562</v>
      </c>
      <c r="V119" s="199">
        <v>11376</v>
      </c>
      <c r="W119" s="199">
        <v>12528</v>
      </c>
      <c r="X119" s="199">
        <v>9696</v>
      </c>
      <c r="Y119" s="199">
        <v>7790</v>
      </c>
      <c r="Z119" s="199">
        <v>13072</v>
      </c>
      <c r="AA119" s="199">
        <v>12036</v>
      </c>
      <c r="AB119" s="199">
        <v>9832</v>
      </c>
      <c r="AC119" s="199">
        <v>11220</v>
      </c>
      <c r="AD119" s="199">
        <v>12432</v>
      </c>
      <c r="AE119" s="199">
        <v>10700</v>
      </c>
      <c r="AF119" s="199">
        <v>11336</v>
      </c>
      <c r="AG119" s="199">
        <v>9422</v>
      </c>
      <c r="AH119" s="199">
        <v>14028</v>
      </c>
      <c r="AI119" s="199">
        <v>11812</v>
      </c>
      <c r="AJ119" s="199">
        <v>11200</v>
      </c>
      <c r="AK119" s="199">
        <v>9192</v>
      </c>
      <c r="AL119" s="199">
        <v>16408</v>
      </c>
      <c r="AM119" s="199">
        <v>15624</v>
      </c>
      <c r="AN119" s="199">
        <v>8878</v>
      </c>
      <c r="AO119" s="199">
        <v>19380</v>
      </c>
      <c r="AP119" s="199">
        <v>19016</v>
      </c>
      <c r="AQ119" s="199">
        <v>15884</v>
      </c>
      <c r="AR119" s="199">
        <v>17400</v>
      </c>
      <c r="AS119" s="199">
        <v>11850</v>
      </c>
      <c r="AT119" s="199">
        <v>13716</v>
      </c>
      <c r="AU119" s="199">
        <v>12712</v>
      </c>
      <c r="AV119" s="199">
        <v>18892</v>
      </c>
      <c r="AW119" s="199">
        <v>14960</v>
      </c>
      <c r="AX119" s="96">
        <v>7.46</v>
      </c>
      <c r="AY119" s="96">
        <v>6.71</v>
      </c>
      <c r="AZ119" s="96">
        <v>6.89</v>
      </c>
      <c r="BA119" s="96">
        <v>7.3</v>
      </c>
      <c r="BB119" s="96">
        <v>7.42</v>
      </c>
      <c r="BC119" s="96">
        <v>7.54</v>
      </c>
      <c r="BD119" s="96">
        <v>6.7</v>
      </c>
      <c r="BE119" s="96">
        <v>6.04</v>
      </c>
      <c r="BF119" s="96">
        <v>5.55</v>
      </c>
      <c r="BG119" s="96">
        <v>6.47</v>
      </c>
      <c r="BH119" s="96">
        <v>6.18</v>
      </c>
      <c r="BI119" s="96">
        <v>6.96</v>
      </c>
      <c r="BJ119" s="96">
        <v>6.74</v>
      </c>
      <c r="BK119" s="96">
        <v>6.53</v>
      </c>
      <c r="BL119" s="96">
        <v>6.49</v>
      </c>
      <c r="BM119" s="96">
        <v>6.69</v>
      </c>
      <c r="BN119" s="96">
        <v>6.71</v>
      </c>
      <c r="BO119" s="96">
        <v>6.76</v>
      </c>
      <c r="BP119" s="96">
        <v>6.36</v>
      </c>
      <c r="BQ119" s="96">
        <v>5.81</v>
      </c>
      <c r="BR119" s="96">
        <v>7.1</v>
      </c>
      <c r="BS119" s="96">
        <v>6.51</v>
      </c>
      <c r="BT119" s="96">
        <v>6.08</v>
      </c>
      <c r="BU119" s="96">
        <v>6.84</v>
      </c>
      <c r="BV119" s="96">
        <v>6.24</v>
      </c>
      <c r="BW119" s="96">
        <v>6.74</v>
      </c>
      <c r="BX119" s="96">
        <v>6.17</v>
      </c>
      <c r="BY119" s="96">
        <v>6.22</v>
      </c>
      <c r="BZ119" s="96">
        <v>7.27</v>
      </c>
      <c r="CA119" s="96">
        <v>6.76</v>
      </c>
      <c r="CB119" s="96">
        <v>6.65</v>
      </c>
      <c r="CC119" s="96">
        <v>6.33</v>
      </c>
      <c r="CD119" s="96">
        <v>8.08</v>
      </c>
      <c r="CE119" s="96">
        <v>7.22</v>
      </c>
      <c r="CF119" s="96">
        <v>5.83</v>
      </c>
      <c r="CG119" s="96">
        <v>8.51</v>
      </c>
      <c r="CH119" s="96">
        <v>8.2200000000000006</v>
      </c>
      <c r="CI119" s="96">
        <v>7.36</v>
      </c>
      <c r="CJ119" s="96">
        <v>7.88</v>
      </c>
      <c r="CK119" s="96">
        <v>6.74</v>
      </c>
      <c r="CL119" s="96">
        <v>7.2</v>
      </c>
      <c r="CM119" s="96">
        <v>6.9</v>
      </c>
      <c r="CN119" s="96">
        <v>8.3000000000000007</v>
      </c>
      <c r="CO119" s="96">
        <v>7.4</v>
      </c>
      <c r="CP119" s="345">
        <f>SUM(Input_Raw[[#This Row],[P-01]:[P-56]])/1000</f>
        <v>545.08399999999995</v>
      </c>
      <c r="CQ119" s="346">
        <f>IFERROR(AVERAGEIF(Input_Raw[[#This Row],[WS_P-01]:[WS_P-56]],"&lt;&gt;",Input_Raw[[#This Row],[WS_P-01]:[WS_P-56]]),"")</f>
        <v>6.8604545454545445</v>
      </c>
      <c r="CR119" s="347">
        <f>MAX(Input_Raw[[#This Row],[WS_P-01]:[WS_P-56]])</f>
        <v>8.51</v>
      </c>
      <c r="CS119" s="347"/>
      <c r="CT119" s="348">
        <f>SUM(Input_Raw[[#This Row],[P-08]:[P-13]],Input_Raw[[#This Row],[P-25]:[P-28]])</f>
        <v>99182</v>
      </c>
      <c r="CU119" s="348"/>
      <c r="CV119" s="348">
        <f>SUM(Input_Raw[[#This Row],[P-04]],Input_Raw[[#This Row],[P-14]:[P-17]],Input_Raw[[#This Row],[P-19]:[P-20]],Input_Raw[[#This Row],[P-22]:[P-23]],Input_Raw[[#This Row],[P-34]],Input_Raw[[#This Row],[P-38]],Input_Raw[[#This Row],[P-43]])</f>
        <v>130056</v>
      </c>
      <c r="CW119" s="348"/>
      <c r="CX119" s="348">
        <f>SUM(Input_Raw[[#This Row],[P-05]:[P-06]],Input_Raw[[#This Row],[P-40]:[P-42]],Input_Raw[[#This Row],[P-45]],Input_Raw[[#This Row],[P-46]],Input_Raw[[#This Row],[P-47]:[P-48]])</f>
        <v>143052</v>
      </c>
      <c r="CY119" s="348"/>
      <c r="CZ119" s="348">
        <f>SUM(Input_Raw[[#This Row],[P-01]:[P-03]],Input_Raw[[#This Row],[P-07]],Input_Raw[[#This Row],[P-18]],Input_Raw[[#This Row],[P-31]:[P-32]],Input_Raw[[#This Row],[P-37]],Input_Raw[[#This Row],[P-50]:[P-56]])</f>
        <v>172794</v>
      </c>
      <c r="DA119" s="349"/>
      <c r="DB119" s="350">
        <f>Input_Raw[[#This Row],[33 kV_Wind_F1_Export reading]]/1000</f>
        <v>99.182000000000002</v>
      </c>
      <c r="DC119" s="350"/>
      <c r="DD119" s="350">
        <f>Input_Raw[[#This Row],[33 kV_Wind_F2_Export_reading]]/1000</f>
        <v>130.05600000000001</v>
      </c>
      <c r="DE119" s="350"/>
      <c r="DF119" s="350">
        <f>Input_Raw[[#This Row],[33 kV_Wind_F3_Export_Reading]]/1000</f>
        <v>143.05199999999999</v>
      </c>
      <c r="DG119" s="350"/>
      <c r="DH119" s="350">
        <f>Input_Raw[[#This Row],[33 kV_Wind_F4_Export Reading]]/1000</f>
        <v>172.79400000000001</v>
      </c>
      <c r="DI119" s="350"/>
      <c r="DJ119" s="350">
        <f>Input_Raw[[#This Row],[33 kV_F1_Total_Export (MWh)]]+Input_Raw[[#This Row],[33 kV_F2_Total_Export (MWh)2]]+Input_Raw[[#This Row],[33 kV_Wind_F3_Export (MWh)]]+Input_Raw[[#This Row],[33 kV_Wind_F4_Export (MWh)]]</f>
        <v>545.08399999999995</v>
      </c>
      <c r="DK119" s="350">
        <f>Input_Raw[[#This Row],[33 kV_Wind_F1_Import (MWh)]]+Input_Raw[[#This Row],[33 kV_Wind_F2_Import (MWh)]]+Input_Raw[[#This Row],[33 kV_Wind_F3_Import (MWh)2]]+Input_Raw[[#This Row],[33 kV_Wind_F4_Import (MWh)2]]</f>
        <v>0</v>
      </c>
      <c r="DL119" s="351">
        <f>IFERROR(Input_Raw[[#This Row],[33 kV_Wind_Total_Export (MWh)]]/Input_Raw[[#This Row],[WTG Total Gneration (MWh)]]-1,"")</f>
        <v>0</v>
      </c>
      <c r="DM119" s="352"/>
      <c r="DN119" s="186">
        <v>86</v>
      </c>
      <c r="DO119" s="186">
        <v>11648</v>
      </c>
      <c r="DP119" s="102">
        <v>501.72</v>
      </c>
      <c r="DQ119" s="352"/>
      <c r="DR119" s="181">
        <v>70.400000000000006</v>
      </c>
    </row>
    <row r="120" spans="1:122">
      <c r="A120" s="92">
        <f t="shared" si="74"/>
        <v>45860</v>
      </c>
      <c r="B120" s="190">
        <f>YEAR(Input_Raw[[#This Row],[Date]])+IF(MONTH(Input_Raw[[#This Row],[Date]])&gt;=4,1,0)</f>
        <v>2026</v>
      </c>
      <c r="C120" s="190">
        <f>YEAR(Input_Raw[[#This Row],[Date]])</f>
        <v>2025</v>
      </c>
      <c r="D120" s="11">
        <f t="shared" ref="D120" si="169">A120-DAY(A120)+1</f>
        <v>45839</v>
      </c>
      <c r="E120" s="190">
        <f>DAY(EOMONTH(Input_Raw[[#This Row],[Date]],0))</f>
        <v>31</v>
      </c>
      <c r="F120" s="199">
        <v>20328</v>
      </c>
      <c r="G120" s="199">
        <v>15744</v>
      </c>
      <c r="H120" s="199">
        <v>16096</v>
      </c>
      <c r="I120" s="199">
        <v>15756</v>
      </c>
      <c r="J120" s="199">
        <v>20828</v>
      </c>
      <c r="K120" s="199">
        <v>16172</v>
      </c>
      <c r="L120" s="199">
        <v>13832</v>
      </c>
      <c r="M120" s="199">
        <v>11410</v>
      </c>
      <c r="N120" s="199">
        <v>9486</v>
      </c>
      <c r="O120" s="199">
        <v>12556</v>
      </c>
      <c r="P120" s="199">
        <v>15546</v>
      </c>
      <c r="Q120" s="199">
        <v>15804</v>
      </c>
      <c r="R120" s="199">
        <v>13556</v>
      </c>
      <c r="S120" s="199">
        <v>13376</v>
      </c>
      <c r="T120" s="199">
        <v>12120</v>
      </c>
      <c r="U120" s="199">
        <v>13660</v>
      </c>
      <c r="V120" s="199">
        <v>14980</v>
      </c>
      <c r="W120" s="199">
        <v>15372</v>
      </c>
      <c r="X120" s="199">
        <v>12360</v>
      </c>
      <c r="Y120" s="199">
        <v>9779</v>
      </c>
      <c r="Z120" s="199">
        <v>14856</v>
      </c>
      <c r="AA120" s="199">
        <v>14264</v>
      </c>
      <c r="AB120" s="199">
        <v>13700</v>
      </c>
      <c r="AC120" s="199">
        <v>15360</v>
      </c>
      <c r="AD120" s="199">
        <v>16040</v>
      </c>
      <c r="AE120" s="199">
        <v>13048</v>
      </c>
      <c r="AF120" s="199">
        <v>13656</v>
      </c>
      <c r="AG120" s="199">
        <v>11474</v>
      </c>
      <c r="AH120" s="199">
        <v>15472</v>
      </c>
      <c r="AI120" s="199">
        <v>14152</v>
      </c>
      <c r="AJ120" s="199">
        <v>13890</v>
      </c>
      <c r="AK120" s="199">
        <v>10544</v>
      </c>
      <c r="AL120" s="199">
        <v>20308</v>
      </c>
      <c r="AM120" s="199">
        <v>17320</v>
      </c>
      <c r="AN120" s="199">
        <v>10640</v>
      </c>
      <c r="AO120" s="199">
        <v>20764</v>
      </c>
      <c r="AP120" s="199">
        <v>20824</v>
      </c>
      <c r="AQ120" s="199">
        <v>17468</v>
      </c>
      <c r="AR120" s="199">
        <v>19728</v>
      </c>
      <c r="AS120" s="199">
        <v>15490</v>
      </c>
      <c r="AT120" s="199">
        <v>17392</v>
      </c>
      <c r="AU120" s="199">
        <v>16047.999999999998</v>
      </c>
      <c r="AV120" s="199">
        <v>20940</v>
      </c>
      <c r="AW120" s="199">
        <v>17212</v>
      </c>
      <c r="AX120" s="96">
        <v>8.0299999999999994</v>
      </c>
      <c r="AY120" s="96">
        <v>7.27</v>
      </c>
      <c r="AZ120" s="96">
        <v>7.57</v>
      </c>
      <c r="BA120" s="96">
        <v>7.7</v>
      </c>
      <c r="BB120" s="96">
        <v>8.34</v>
      </c>
      <c r="BC120" s="96">
        <v>8.27</v>
      </c>
      <c r="BD120" s="96">
        <v>7.13</v>
      </c>
      <c r="BE120" s="96">
        <v>6.64</v>
      </c>
      <c r="BF120" s="96">
        <v>6.52</v>
      </c>
      <c r="BG120" s="96">
        <v>7.44</v>
      </c>
      <c r="BH120" s="96">
        <v>7.1</v>
      </c>
      <c r="BI120" s="96">
        <v>7.78</v>
      </c>
      <c r="BJ120" s="96">
        <v>7.32</v>
      </c>
      <c r="BK120" s="96">
        <v>7.23</v>
      </c>
      <c r="BL120" s="96">
        <v>7.24</v>
      </c>
      <c r="BM120" s="96">
        <v>7.5</v>
      </c>
      <c r="BN120" s="96">
        <v>7.42</v>
      </c>
      <c r="BO120" s="96">
        <v>7.39</v>
      </c>
      <c r="BP120" s="96">
        <v>6.92</v>
      </c>
      <c r="BQ120" s="96">
        <v>6.23</v>
      </c>
      <c r="BR120" s="96">
        <v>7.4</v>
      </c>
      <c r="BS120" s="96">
        <v>7</v>
      </c>
      <c r="BT120" s="96">
        <v>6.89</v>
      </c>
      <c r="BU120" s="96">
        <v>7.58</v>
      </c>
      <c r="BV120" s="96">
        <v>6.95</v>
      </c>
      <c r="BW120" s="96">
        <v>7.2</v>
      </c>
      <c r="BX120" s="96">
        <v>6.8</v>
      </c>
      <c r="BY120" s="96">
        <v>6.67</v>
      </c>
      <c r="BZ120" s="96">
        <v>7.49</v>
      </c>
      <c r="CA120" s="96">
        <v>7.21</v>
      </c>
      <c r="CB120" s="96">
        <v>7.17</v>
      </c>
      <c r="CC120" s="96">
        <v>6.79</v>
      </c>
      <c r="CD120" s="96">
        <v>9.0299999999999994</v>
      </c>
      <c r="CE120" s="96">
        <v>7.67</v>
      </c>
      <c r="CF120" s="96">
        <v>6.21</v>
      </c>
      <c r="CG120" s="96">
        <v>8.9</v>
      </c>
      <c r="CH120" s="96">
        <v>8.67</v>
      </c>
      <c r="CI120" s="96">
        <v>8</v>
      </c>
      <c r="CJ120" s="96">
        <v>8.42</v>
      </c>
      <c r="CK120" s="96">
        <v>7.52</v>
      </c>
      <c r="CL120" s="96">
        <v>7.97</v>
      </c>
      <c r="CM120" s="96">
        <v>7.54</v>
      </c>
      <c r="CN120" s="96">
        <v>8.82</v>
      </c>
      <c r="CO120" s="96">
        <v>7.81</v>
      </c>
      <c r="CP120" s="345">
        <f>SUM(Input_Raw[[#This Row],[P-01]:[P-56]])/1000</f>
        <v>669.351</v>
      </c>
      <c r="CQ120" s="346">
        <f>IFERROR(AVERAGEIF(Input_Raw[[#This Row],[WS_P-01]:[WS_P-56]],"&lt;&gt;",Input_Raw[[#This Row],[WS_P-01]:[WS_P-56]]),"")</f>
        <v>7.4715909090909092</v>
      </c>
      <c r="CR120" s="347">
        <f>MAX(Input_Raw[[#This Row],[WS_P-01]:[WS_P-56]])</f>
        <v>9.0299999999999994</v>
      </c>
      <c r="CS120" s="347"/>
      <c r="CT120" s="348">
        <f>SUM(Input_Raw[[#This Row],[P-08]:[P-13]],Input_Raw[[#This Row],[P-25]:[P-28]])</f>
        <v>136506</v>
      </c>
      <c r="CU120" s="348"/>
      <c r="CV120" s="348">
        <f>SUM(Input_Raw[[#This Row],[P-04]],Input_Raw[[#This Row],[P-14]:[P-17]],Input_Raw[[#This Row],[P-19]:[P-20]],Input_Raw[[#This Row],[P-22]:[P-23]],Input_Raw[[#This Row],[P-34]],Input_Raw[[#This Row],[P-38]],Input_Raw[[#This Row],[P-43]])</f>
        <v>161153</v>
      </c>
      <c r="CW120" s="348"/>
      <c r="CX120" s="348">
        <f>SUM(Input_Raw[[#This Row],[P-05]:[P-06]],Input_Raw[[#This Row],[P-40]:[P-42]],Input_Raw[[#This Row],[P-45]],Input_Raw[[#This Row],[P-46]],Input_Raw[[#This Row],[P-47]:[P-48]])</f>
        <v>163956</v>
      </c>
      <c r="CY120" s="348"/>
      <c r="CZ120" s="348">
        <f>SUM(Input_Raw[[#This Row],[P-01]:[P-03]],Input_Raw[[#This Row],[P-07]],Input_Raw[[#This Row],[P-18]],Input_Raw[[#This Row],[P-31]:[P-32]],Input_Raw[[#This Row],[P-37]],Input_Raw[[#This Row],[P-50]:[P-56]])</f>
        <v>207736</v>
      </c>
      <c r="DA120" s="349"/>
      <c r="DB120" s="350">
        <f>Input_Raw[[#This Row],[33 kV_Wind_F1_Export reading]]/1000</f>
        <v>136.506</v>
      </c>
      <c r="DC120" s="350"/>
      <c r="DD120" s="350">
        <f>Input_Raw[[#This Row],[33 kV_Wind_F2_Export_reading]]/1000</f>
        <v>161.15299999999999</v>
      </c>
      <c r="DE120" s="350"/>
      <c r="DF120" s="350">
        <f>Input_Raw[[#This Row],[33 kV_Wind_F3_Export_Reading]]/1000</f>
        <v>163.95599999999999</v>
      </c>
      <c r="DG120" s="350"/>
      <c r="DH120" s="350">
        <f>Input_Raw[[#This Row],[33 kV_Wind_F4_Export Reading]]/1000</f>
        <v>207.73599999999999</v>
      </c>
      <c r="DI120" s="350"/>
      <c r="DJ120" s="350">
        <f>Input_Raw[[#This Row],[33 kV_F1_Total_Export (MWh)]]+Input_Raw[[#This Row],[33 kV_F2_Total_Export (MWh)2]]+Input_Raw[[#This Row],[33 kV_Wind_F3_Export (MWh)]]+Input_Raw[[#This Row],[33 kV_Wind_F4_Export (MWh)]]</f>
        <v>669.351</v>
      </c>
      <c r="DK120" s="350">
        <f>Input_Raw[[#This Row],[33 kV_Wind_F1_Import (MWh)]]+Input_Raw[[#This Row],[33 kV_Wind_F2_Import (MWh)]]+Input_Raw[[#This Row],[33 kV_Wind_F3_Import (MWh)2]]+Input_Raw[[#This Row],[33 kV_Wind_F4_Import (MWh)2]]</f>
        <v>0</v>
      </c>
      <c r="DL120" s="351">
        <f>IFERROR(Input_Raw[[#This Row],[33 kV_Wind_Total_Export (MWh)]]/Input_Raw[[#This Row],[WTG Total Gneration (MWh)]]-1,"")</f>
        <v>0</v>
      </c>
      <c r="DM120" s="352"/>
      <c r="DN120" s="186">
        <v>92</v>
      </c>
      <c r="DO120" s="186">
        <v>18316</v>
      </c>
      <c r="DP120" s="102">
        <v>626.04</v>
      </c>
      <c r="DQ120" s="352"/>
      <c r="DR120" s="181">
        <v>70.400000000000006</v>
      </c>
    </row>
    <row r="121" spans="1:122">
      <c r="A121" s="92">
        <f t="shared" si="74"/>
        <v>45861</v>
      </c>
      <c r="B121" s="190">
        <f>YEAR(Input_Raw[[#This Row],[Date]])+IF(MONTH(Input_Raw[[#This Row],[Date]])&gt;=4,1,0)</f>
        <v>2026</v>
      </c>
      <c r="C121" s="190">
        <f>YEAR(Input_Raw[[#This Row],[Date]])</f>
        <v>2025</v>
      </c>
      <c r="D121" s="11">
        <f t="shared" ref="D121" si="170">A121-DAY(A121)+1</f>
        <v>45839</v>
      </c>
      <c r="E121" s="190">
        <f>DAY(EOMONTH(Input_Raw[[#This Row],[Date]],0))</f>
        <v>31</v>
      </c>
      <c r="F121" s="199">
        <v>28464</v>
      </c>
      <c r="G121" s="199">
        <v>23664</v>
      </c>
      <c r="H121" s="199">
        <v>24504</v>
      </c>
      <c r="I121" s="199">
        <v>23944</v>
      </c>
      <c r="J121" s="199">
        <v>29596</v>
      </c>
      <c r="K121" s="199">
        <v>25504</v>
      </c>
      <c r="L121" s="199">
        <v>23520</v>
      </c>
      <c r="M121" s="199">
        <v>20224</v>
      </c>
      <c r="N121" s="199">
        <v>16484</v>
      </c>
      <c r="O121" s="199">
        <v>21194</v>
      </c>
      <c r="P121" s="199">
        <v>25294</v>
      </c>
      <c r="Q121" s="199">
        <v>26152</v>
      </c>
      <c r="R121" s="199">
        <v>24264</v>
      </c>
      <c r="S121" s="199">
        <v>22028</v>
      </c>
      <c r="T121" s="199">
        <v>20570</v>
      </c>
      <c r="U121" s="199">
        <v>22048</v>
      </c>
      <c r="V121" s="199">
        <v>23250</v>
      </c>
      <c r="W121" s="199">
        <v>23844</v>
      </c>
      <c r="X121" s="199">
        <v>19888</v>
      </c>
      <c r="Y121" s="199">
        <v>16479</v>
      </c>
      <c r="Z121" s="199">
        <v>23440</v>
      </c>
      <c r="AA121" s="199">
        <v>21812</v>
      </c>
      <c r="AB121" s="199">
        <v>21904</v>
      </c>
      <c r="AC121" s="199">
        <v>23656</v>
      </c>
      <c r="AD121" s="199">
        <v>25176</v>
      </c>
      <c r="AE121" s="199">
        <v>22508</v>
      </c>
      <c r="AF121" s="199">
        <v>22496</v>
      </c>
      <c r="AG121" s="199">
        <v>18562</v>
      </c>
      <c r="AH121" s="199">
        <v>23176</v>
      </c>
      <c r="AI121" s="199">
        <v>22078</v>
      </c>
      <c r="AJ121" s="199">
        <v>22842</v>
      </c>
      <c r="AK121" s="199">
        <v>17984</v>
      </c>
      <c r="AL121" s="199">
        <v>28736</v>
      </c>
      <c r="AM121" s="199">
        <v>26888</v>
      </c>
      <c r="AN121" s="199">
        <v>17988</v>
      </c>
      <c r="AO121" s="199">
        <v>29380</v>
      </c>
      <c r="AP121" s="199">
        <v>29608</v>
      </c>
      <c r="AQ121" s="199">
        <v>27404</v>
      </c>
      <c r="AR121" s="199">
        <v>28684</v>
      </c>
      <c r="AS121" s="199">
        <v>24386</v>
      </c>
      <c r="AT121" s="199">
        <v>26260</v>
      </c>
      <c r="AU121" s="199">
        <v>25128</v>
      </c>
      <c r="AV121" s="199">
        <v>29320</v>
      </c>
      <c r="AW121" s="199">
        <v>26688</v>
      </c>
      <c r="AX121" s="96">
        <v>9.5299999999999994</v>
      </c>
      <c r="AY121" s="96">
        <v>8.7200000000000006</v>
      </c>
      <c r="AZ121" s="96">
        <v>9.1300000000000008</v>
      </c>
      <c r="BA121" s="96">
        <v>9.14</v>
      </c>
      <c r="BB121" s="96">
        <v>9.6300000000000008</v>
      </c>
      <c r="BC121" s="96">
        <v>9.9499999999999993</v>
      </c>
      <c r="BD121" s="96">
        <v>8.84</v>
      </c>
      <c r="BE121" s="96">
        <v>8.14</v>
      </c>
      <c r="BF121" s="96">
        <v>7.83</v>
      </c>
      <c r="BG121" s="96">
        <v>8.93</v>
      </c>
      <c r="BH121" s="96">
        <v>8.83</v>
      </c>
      <c r="BI121" s="96">
        <v>9.68</v>
      </c>
      <c r="BJ121" s="96">
        <v>9.2899999999999991</v>
      </c>
      <c r="BK121" s="96">
        <v>8.65</v>
      </c>
      <c r="BL121" s="96">
        <v>8.85</v>
      </c>
      <c r="BM121" s="96">
        <v>8.86</v>
      </c>
      <c r="BN121" s="96">
        <v>8.9600000000000009</v>
      </c>
      <c r="BO121" s="96">
        <v>8.82</v>
      </c>
      <c r="BP121" s="96">
        <v>8.1999999999999993</v>
      </c>
      <c r="BQ121" s="96">
        <v>7.36</v>
      </c>
      <c r="BR121" s="96">
        <v>8.84</v>
      </c>
      <c r="BS121" s="96">
        <v>8.32</v>
      </c>
      <c r="BT121" s="96">
        <v>8.1999999999999993</v>
      </c>
      <c r="BU121" s="96">
        <v>8.9600000000000009</v>
      </c>
      <c r="BV121" s="96">
        <v>8.35</v>
      </c>
      <c r="BW121" s="96">
        <v>8.81</v>
      </c>
      <c r="BX121" s="96">
        <v>8.5</v>
      </c>
      <c r="BY121" s="96">
        <v>7.85</v>
      </c>
      <c r="BZ121" s="96">
        <v>8.81</v>
      </c>
      <c r="CA121" s="96">
        <v>8.4600000000000009</v>
      </c>
      <c r="CB121" s="96">
        <v>8.82</v>
      </c>
      <c r="CC121" s="96">
        <v>8.1300000000000008</v>
      </c>
      <c r="CD121" s="96">
        <v>10.43</v>
      </c>
      <c r="CE121" s="96">
        <v>9.5299999999999994</v>
      </c>
      <c r="CF121" s="96">
        <v>7.55</v>
      </c>
      <c r="CG121" s="96">
        <v>10.4</v>
      </c>
      <c r="CH121" s="96">
        <v>10.16</v>
      </c>
      <c r="CI121" s="96">
        <v>9.61</v>
      </c>
      <c r="CJ121" s="96">
        <v>9.98</v>
      </c>
      <c r="CK121" s="96">
        <v>9.0399999999999991</v>
      </c>
      <c r="CL121" s="96">
        <v>9.52</v>
      </c>
      <c r="CM121" s="96">
        <v>9.0500000000000007</v>
      </c>
      <c r="CN121" s="96">
        <v>10.45</v>
      </c>
      <c r="CO121" s="96">
        <v>9.44</v>
      </c>
      <c r="CP121" s="345">
        <f>SUM(Input_Raw[[#This Row],[P-01]:[P-56]])/1000</f>
        <v>1047.019</v>
      </c>
      <c r="CQ121" s="346">
        <f>IFERROR(AVERAGEIF(Input_Raw[[#This Row],[WS_P-01]:[WS_P-56]],"&lt;&gt;",Input_Raw[[#This Row],[WS_P-01]:[WS_P-56]]),"")</f>
        <v>8.9670454545454543</v>
      </c>
      <c r="CR121" s="347">
        <f>MAX(Input_Raw[[#This Row],[WS_P-01]:[WS_P-56]])</f>
        <v>10.45</v>
      </c>
      <c r="CS121" s="347"/>
      <c r="CT121" s="348">
        <f>SUM(Input_Raw[[#This Row],[P-08]:[P-13]],Input_Raw[[#This Row],[P-25]:[P-28]])</f>
        <v>226856</v>
      </c>
      <c r="CU121" s="348"/>
      <c r="CV121" s="348">
        <f>SUM(Input_Raw[[#This Row],[P-04]],Input_Raw[[#This Row],[P-14]:[P-17]],Input_Raw[[#This Row],[P-19]:[P-20]],Input_Raw[[#This Row],[P-22]:[P-23]],Input_Raw[[#This Row],[P-34]],Input_Raw[[#This Row],[P-38]],Input_Raw[[#This Row],[P-43]])</f>
        <v>257465</v>
      </c>
      <c r="CW121" s="348"/>
      <c r="CX121" s="348">
        <f>SUM(Input_Raw[[#This Row],[P-05]:[P-06]],Input_Raw[[#This Row],[P-40]:[P-42]],Input_Raw[[#This Row],[P-45]],Input_Raw[[#This Row],[P-46]],Input_Raw[[#This Row],[P-47]:[P-48]])</f>
        <v>243784</v>
      </c>
      <c r="CY121" s="348"/>
      <c r="CZ121" s="348">
        <f>SUM(Input_Raw[[#This Row],[P-01]:[P-03]],Input_Raw[[#This Row],[P-07]],Input_Raw[[#This Row],[P-18]],Input_Raw[[#This Row],[P-31]:[P-32]],Input_Raw[[#This Row],[P-37]],Input_Raw[[#This Row],[P-50]:[P-56]])</f>
        <v>318914</v>
      </c>
      <c r="DA121" s="349"/>
      <c r="DB121" s="350">
        <f>Input_Raw[[#This Row],[33 kV_Wind_F1_Export reading]]/1000</f>
        <v>226.85599999999999</v>
      </c>
      <c r="DC121" s="350"/>
      <c r="DD121" s="350">
        <f>Input_Raw[[#This Row],[33 kV_Wind_F2_Export_reading]]/1000</f>
        <v>257.46499999999997</v>
      </c>
      <c r="DE121" s="350"/>
      <c r="DF121" s="350">
        <f>Input_Raw[[#This Row],[33 kV_Wind_F3_Export_Reading]]/1000</f>
        <v>243.78399999999999</v>
      </c>
      <c r="DG121" s="350"/>
      <c r="DH121" s="350">
        <f>Input_Raw[[#This Row],[33 kV_Wind_F4_Export Reading]]/1000</f>
        <v>318.91399999999999</v>
      </c>
      <c r="DI121" s="350"/>
      <c r="DJ121" s="350">
        <f>Input_Raw[[#This Row],[33 kV_F1_Total_Export (MWh)]]+Input_Raw[[#This Row],[33 kV_F2_Total_Export (MWh)2]]+Input_Raw[[#This Row],[33 kV_Wind_F3_Export (MWh)]]+Input_Raw[[#This Row],[33 kV_Wind_F4_Export (MWh)]]</f>
        <v>1047.019</v>
      </c>
      <c r="DK121" s="350">
        <f>Input_Raw[[#This Row],[33 kV_Wind_F1_Import (MWh)]]+Input_Raw[[#This Row],[33 kV_Wind_F2_Import (MWh)]]+Input_Raw[[#This Row],[33 kV_Wind_F3_Import (MWh)2]]+Input_Raw[[#This Row],[33 kV_Wind_F4_Import (MWh)2]]</f>
        <v>0</v>
      </c>
      <c r="DL121" s="351">
        <f>IFERROR(Input_Raw[[#This Row],[33 kV_Wind_Total_Export (MWh)]]/Input_Raw[[#This Row],[WTG Total Gneration (MWh)]]-1,"")</f>
        <v>0</v>
      </c>
      <c r="DM121" s="352"/>
      <c r="DN121" s="186">
        <v>92</v>
      </c>
      <c r="DO121" s="186">
        <v>24889.63</v>
      </c>
      <c r="DP121" s="102">
        <v>1010.49</v>
      </c>
      <c r="DQ121" s="352"/>
      <c r="DR121" s="181">
        <v>70.400000000000006</v>
      </c>
    </row>
    <row r="122" spans="1:122">
      <c r="A122" s="92">
        <f t="shared" si="74"/>
        <v>45862</v>
      </c>
      <c r="B122" s="190">
        <f>YEAR(Input_Raw[[#This Row],[Date]])+IF(MONTH(Input_Raw[[#This Row],[Date]])&gt;=4,1,0)</f>
        <v>2026</v>
      </c>
      <c r="C122" s="190">
        <f>YEAR(Input_Raw[[#This Row],[Date]])</f>
        <v>2025</v>
      </c>
      <c r="D122" s="11">
        <f t="shared" ref="D122" si="171">A122-DAY(A122)+1</f>
        <v>45839</v>
      </c>
      <c r="E122" s="190">
        <f>DAY(EOMONTH(Input_Raw[[#This Row],[Date]],0))</f>
        <v>31</v>
      </c>
      <c r="F122" s="199">
        <v>31028</v>
      </c>
      <c r="G122" s="199">
        <v>26080</v>
      </c>
      <c r="H122" s="199">
        <v>23096</v>
      </c>
      <c r="I122" s="199">
        <v>28608</v>
      </c>
      <c r="J122" s="199">
        <v>30452</v>
      </c>
      <c r="K122" s="199">
        <v>28956</v>
      </c>
      <c r="L122" s="199">
        <v>29002</v>
      </c>
      <c r="M122" s="199">
        <v>24456</v>
      </c>
      <c r="N122" s="199">
        <v>18340</v>
      </c>
      <c r="O122" s="199">
        <v>21662</v>
      </c>
      <c r="P122" s="199">
        <v>28616</v>
      </c>
      <c r="Q122" s="199">
        <v>28172</v>
      </c>
      <c r="R122" s="199">
        <v>31804</v>
      </c>
      <c r="S122" s="199">
        <v>26912</v>
      </c>
      <c r="T122" s="199">
        <v>24482</v>
      </c>
      <c r="U122" s="199">
        <v>25784</v>
      </c>
      <c r="V122" s="199">
        <v>28782</v>
      </c>
      <c r="W122" s="199">
        <v>24796</v>
      </c>
      <c r="X122" s="199">
        <v>24280</v>
      </c>
      <c r="Y122" s="199">
        <v>20935</v>
      </c>
      <c r="Z122" s="199">
        <v>28172</v>
      </c>
      <c r="AA122" s="199">
        <v>22732</v>
      </c>
      <c r="AB122" s="199">
        <v>22024</v>
      </c>
      <c r="AC122" s="199">
        <v>26724</v>
      </c>
      <c r="AD122" s="199">
        <v>28768</v>
      </c>
      <c r="AE122" s="199">
        <v>27616</v>
      </c>
      <c r="AF122" s="199">
        <v>19280</v>
      </c>
      <c r="AG122" s="199">
        <v>22588</v>
      </c>
      <c r="AH122" s="199">
        <v>29884</v>
      </c>
      <c r="AI122" s="199">
        <v>26746</v>
      </c>
      <c r="AJ122" s="199">
        <v>27152</v>
      </c>
      <c r="AK122" s="199">
        <v>21756</v>
      </c>
      <c r="AL122" s="199">
        <v>28964</v>
      </c>
      <c r="AM122" s="199">
        <v>29792</v>
      </c>
      <c r="AN122" s="199">
        <v>21408</v>
      </c>
      <c r="AO122" s="199">
        <v>33148</v>
      </c>
      <c r="AP122" s="199">
        <v>32616</v>
      </c>
      <c r="AQ122" s="199">
        <v>29052</v>
      </c>
      <c r="AR122" s="199">
        <v>31824</v>
      </c>
      <c r="AS122" s="199">
        <v>26300</v>
      </c>
      <c r="AT122" s="199">
        <v>29256</v>
      </c>
      <c r="AU122" s="199">
        <v>29568</v>
      </c>
      <c r="AV122" s="199">
        <v>33964</v>
      </c>
      <c r="AW122" s="199">
        <v>32072.000000000004</v>
      </c>
      <c r="AX122" s="96">
        <v>9.91</v>
      </c>
      <c r="AY122" s="96">
        <v>9.24</v>
      </c>
      <c r="AZ122" s="96">
        <v>8.6999999999999993</v>
      </c>
      <c r="BA122" s="96">
        <v>10.1</v>
      </c>
      <c r="BB122" s="96">
        <v>9.7799999999999994</v>
      </c>
      <c r="BC122" s="96">
        <v>10.78</v>
      </c>
      <c r="BD122" s="96">
        <v>9.9700000000000006</v>
      </c>
      <c r="BE122" s="96">
        <v>8.83</v>
      </c>
      <c r="BF122" s="96">
        <v>8.17</v>
      </c>
      <c r="BG122" s="96">
        <v>9.01</v>
      </c>
      <c r="BH122" s="96">
        <v>9.2200000000000006</v>
      </c>
      <c r="BI122" s="96">
        <v>10.68</v>
      </c>
      <c r="BJ122" s="96">
        <v>10.62</v>
      </c>
      <c r="BK122" s="96">
        <v>9.4499999999999993</v>
      </c>
      <c r="BL122" s="96">
        <v>9.6199999999999992</v>
      </c>
      <c r="BM122" s="96">
        <v>9.42</v>
      </c>
      <c r="BN122" s="96">
        <v>9.93</v>
      </c>
      <c r="BO122" s="96">
        <v>8.9</v>
      </c>
      <c r="BP122" s="96">
        <v>8.98</v>
      </c>
      <c r="BQ122" s="96">
        <v>8.11</v>
      </c>
      <c r="BR122" s="96">
        <v>9.75</v>
      </c>
      <c r="BS122" s="96">
        <v>8.43</v>
      </c>
      <c r="BT122" s="96">
        <v>8.3800000000000008</v>
      </c>
      <c r="BU122" s="96">
        <v>9.4499999999999993</v>
      </c>
      <c r="BV122" s="96">
        <v>8.82</v>
      </c>
      <c r="BW122" s="96">
        <v>9.64</v>
      </c>
      <c r="BX122" s="96">
        <v>7.76</v>
      </c>
      <c r="BY122" s="96">
        <v>8.6199999999999992</v>
      </c>
      <c r="BZ122" s="96">
        <v>10.09</v>
      </c>
      <c r="CA122" s="96">
        <v>9.26</v>
      </c>
      <c r="CB122" s="96">
        <v>9.58</v>
      </c>
      <c r="CC122" s="96">
        <v>8.76</v>
      </c>
      <c r="CD122" s="96">
        <v>10.38</v>
      </c>
      <c r="CE122" s="96">
        <v>10.19</v>
      </c>
      <c r="CF122" s="96">
        <v>8.2799999999999994</v>
      </c>
      <c r="CG122" s="96">
        <v>11.25</v>
      </c>
      <c r="CH122" s="96">
        <v>10.83</v>
      </c>
      <c r="CI122" s="96">
        <v>9.91</v>
      </c>
      <c r="CJ122" s="96">
        <v>10.61</v>
      </c>
      <c r="CK122" s="96">
        <v>9.34</v>
      </c>
      <c r="CL122" s="96">
        <v>10.11</v>
      </c>
      <c r="CM122" s="96">
        <v>9.92</v>
      </c>
      <c r="CN122" s="96">
        <v>11.49</v>
      </c>
      <c r="CO122" s="96">
        <v>10.53</v>
      </c>
      <c r="CP122" s="345">
        <f>SUM(Input_Raw[[#This Row],[P-01]:[P-56]])/1000</f>
        <v>1187.6489999999999</v>
      </c>
      <c r="CQ122" s="346">
        <f>IFERROR(AVERAGEIF(Input_Raw[[#This Row],[WS_P-01]:[WS_P-56]],"&lt;&gt;",Input_Raw[[#This Row],[WS_P-01]:[WS_P-56]]),"")</f>
        <v>9.5636363636363608</v>
      </c>
      <c r="CR122" s="347">
        <f>MAX(Input_Raw[[#This Row],[WS_P-01]:[WS_P-56]])</f>
        <v>11.49</v>
      </c>
      <c r="CS122" s="347"/>
      <c r="CT122" s="348">
        <f>SUM(Input_Raw[[#This Row],[P-08]:[P-13]],Input_Raw[[#This Row],[P-25]:[P-28]])</f>
        <v>258182</v>
      </c>
      <c r="CU122" s="348"/>
      <c r="CV122" s="348">
        <f>SUM(Input_Raw[[#This Row],[P-04]],Input_Raw[[#This Row],[P-14]:[P-17]],Input_Raw[[#This Row],[P-19]:[P-20]],Input_Raw[[#This Row],[P-22]:[P-23]],Input_Raw[[#This Row],[P-34]],Input_Raw[[#This Row],[P-38]],Input_Raw[[#This Row],[P-43]])</f>
        <v>309131</v>
      </c>
      <c r="CW122" s="348"/>
      <c r="CX122" s="348">
        <f>SUM(Input_Raw[[#This Row],[P-05]:[P-06]],Input_Raw[[#This Row],[P-40]:[P-42]],Input_Raw[[#This Row],[P-45]],Input_Raw[[#This Row],[P-46]],Input_Raw[[#This Row],[P-47]:[P-48]])</f>
        <v>266560</v>
      </c>
      <c r="CY122" s="348"/>
      <c r="CZ122" s="348">
        <f>SUM(Input_Raw[[#This Row],[P-01]:[P-03]],Input_Raw[[#This Row],[P-07]],Input_Raw[[#This Row],[P-18]],Input_Raw[[#This Row],[P-31]:[P-32]],Input_Raw[[#This Row],[P-37]],Input_Raw[[#This Row],[P-50]:[P-56]])</f>
        <v>353776</v>
      </c>
      <c r="DA122" s="349"/>
      <c r="DB122" s="350">
        <f>Input_Raw[[#This Row],[33 kV_Wind_F1_Export reading]]/1000</f>
        <v>258.18200000000002</v>
      </c>
      <c r="DC122" s="350"/>
      <c r="DD122" s="350">
        <f>Input_Raw[[#This Row],[33 kV_Wind_F2_Export_reading]]/1000</f>
        <v>309.13099999999997</v>
      </c>
      <c r="DE122" s="350"/>
      <c r="DF122" s="350">
        <f>Input_Raw[[#This Row],[33 kV_Wind_F3_Export_Reading]]/1000</f>
        <v>266.56</v>
      </c>
      <c r="DG122" s="350"/>
      <c r="DH122" s="350">
        <f>Input_Raw[[#This Row],[33 kV_Wind_F4_Export Reading]]/1000</f>
        <v>353.77600000000001</v>
      </c>
      <c r="DI122" s="350"/>
      <c r="DJ122" s="350">
        <f>Input_Raw[[#This Row],[33 kV_F1_Total_Export (MWh)]]+Input_Raw[[#This Row],[33 kV_F2_Total_Export (MWh)2]]+Input_Raw[[#This Row],[33 kV_Wind_F3_Export (MWh)]]+Input_Raw[[#This Row],[33 kV_Wind_F4_Export (MWh)]]</f>
        <v>1187.6490000000001</v>
      </c>
      <c r="DK122" s="350">
        <f>Input_Raw[[#This Row],[33 kV_Wind_F1_Import (MWh)]]+Input_Raw[[#This Row],[33 kV_Wind_F2_Import (MWh)]]+Input_Raw[[#This Row],[33 kV_Wind_F3_Import (MWh)2]]+Input_Raw[[#This Row],[33 kV_Wind_F4_Import (MWh)2]]</f>
        <v>0</v>
      </c>
      <c r="DL122" s="351">
        <f>IFERROR(Input_Raw[[#This Row],[33 kV_Wind_Total_Export (MWh)]]/Input_Raw[[#This Row],[WTG Total Gneration (MWh)]]-1,"")</f>
        <v>2.2204460492503131E-16</v>
      </c>
      <c r="DM122" s="352"/>
      <c r="DN122" s="186">
        <v>91</v>
      </c>
      <c r="DO122" s="186">
        <v>40851.379999999997</v>
      </c>
      <c r="DP122" s="102">
        <v>1150.5899999999999</v>
      </c>
      <c r="DQ122" s="352"/>
      <c r="DR122" s="181">
        <v>70.400000000000006</v>
      </c>
    </row>
    <row r="123" spans="1:122">
      <c r="A123" s="92">
        <f t="shared" si="74"/>
        <v>45863</v>
      </c>
      <c r="B123" s="190">
        <f>YEAR(Input_Raw[[#This Row],[Date]])+IF(MONTH(Input_Raw[[#This Row],[Date]])&gt;=4,1,0)</f>
        <v>2026</v>
      </c>
      <c r="C123" s="190">
        <f>YEAR(Input_Raw[[#This Row],[Date]])</f>
        <v>2025</v>
      </c>
      <c r="D123" s="11">
        <f t="shared" ref="D123" si="172">A123-DAY(A123)+1</f>
        <v>45839</v>
      </c>
      <c r="E123" s="190">
        <f>DAY(EOMONTH(Input_Raw[[#This Row],[Date]],0))</f>
        <v>31</v>
      </c>
      <c r="F123" s="199">
        <v>36752</v>
      </c>
      <c r="G123" s="199">
        <v>34308</v>
      </c>
      <c r="H123" s="199">
        <v>33260</v>
      </c>
      <c r="I123" s="199">
        <v>29186</v>
      </c>
      <c r="J123" s="199">
        <v>31756</v>
      </c>
      <c r="K123" s="199">
        <v>29388</v>
      </c>
      <c r="L123" s="199">
        <v>35126</v>
      </c>
      <c r="M123" s="199">
        <v>31842</v>
      </c>
      <c r="N123" s="199">
        <v>26562</v>
      </c>
      <c r="O123" s="199">
        <v>29480</v>
      </c>
      <c r="P123" s="199">
        <v>34182</v>
      </c>
      <c r="Q123" s="199">
        <v>36376</v>
      </c>
      <c r="R123" s="199">
        <v>35900</v>
      </c>
      <c r="S123" s="199">
        <v>29688</v>
      </c>
      <c r="T123" s="199">
        <v>29020</v>
      </c>
      <c r="U123" s="199">
        <v>30872</v>
      </c>
      <c r="V123" s="199">
        <v>31480</v>
      </c>
      <c r="W123" s="199">
        <v>34020</v>
      </c>
      <c r="X123" s="199">
        <v>29272</v>
      </c>
      <c r="Y123" s="199">
        <v>26940</v>
      </c>
      <c r="Z123" s="199">
        <v>29280</v>
      </c>
      <c r="AA123" s="199">
        <v>26864</v>
      </c>
      <c r="AB123" s="199">
        <v>31944</v>
      </c>
      <c r="AC123" s="199">
        <v>34116</v>
      </c>
      <c r="AD123" s="199">
        <v>33148</v>
      </c>
      <c r="AE123" s="199">
        <v>31616</v>
      </c>
      <c r="AF123" s="199">
        <v>30156</v>
      </c>
      <c r="AG123" s="199">
        <v>31184</v>
      </c>
      <c r="AH123" s="199">
        <v>29604</v>
      </c>
      <c r="AI123" s="199">
        <v>28210</v>
      </c>
      <c r="AJ123" s="199">
        <v>30590</v>
      </c>
      <c r="AK123" s="199">
        <v>23748</v>
      </c>
      <c r="AL123" s="199">
        <v>30788</v>
      </c>
      <c r="AM123" s="199">
        <v>30948</v>
      </c>
      <c r="AN123" s="199">
        <v>25630</v>
      </c>
      <c r="AO123" s="199">
        <v>28208</v>
      </c>
      <c r="AP123" s="199">
        <v>27788</v>
      </c>
      <c r="AQ123" s="199">
        <v>31164</v>
      </c>
      <c r="AR123" s="199">
        <v>32031.999999999996</v>
      </c>
      <c r="AS123" s="199">
        <v>34174</v>
      </c>
      <c r="AT123" s="199">
        <v>36320</v>
      </c>
      <c r="AU123" s="199">
        <v>28344</v>
      </c>
      <c r="AV123" s="199">
        <v>37740</v>
      </c>
      <c r="AW123" s="199">
        <v>36784</v>
      </c>
      <c r="AX123" s="96">
        <v>11.83</v>
      </c>
      <c r="AY123" s="96">
        <v>11.41</v>
      </c>
      <c r="AZ123" s="96">
        <v>11.15</v>
      </c>
      <c r="BA123" s="96">
        <v>11.74</v>
      </c>
      <c r="BB123" s="96">
        <v>11.21</v>
      </c>
      <c r="BC123" s="96">
        <v>12.02</v>
      </c>
      <c r="BD123" s="96">
        <v>11.55</v>
      </c>
      <c r="BE123" s="96">
        <v>10.27</v>
      </c>
      <c r="BF123" s="96">
        <v>9.75</v>
      </c>
      <c r="BG123" s="96">
        <v>10.61</v>
      </c>
      <c r="BH123" s="96">
        <v>10.97</v>
      </c>
      <c r="BI123" s="96">
        <v>12.18</v>
      </c>
      <c r="BJ123" s="96">
        <v>11.79</v>
      </c>
      <c r="BK123" s="96">
        <v>10.68</v>
      </c>
      <c r="BL123" s="96">
        <v>11.12</v>
      </c>
      <c r="BM123" s="96">
        <v>10.82</v>
      </c>
      <c r="BN123" s="96">
        <v>11.53</v>
      </c>
      <c r="BO123" s="96">
        <v>11.09</v>
      </c>
      <c r="BP123" s="96">
        <v>10.4</v>
      </c>
      <c r="BQ123" s="96">
        <v>9.41</v>
      </c>
      <c r="BR123" s="96">
        <v>11.13</v>
      </c>
      <c r="BS123" s="96">
        <v>10.48</v>
      </c>
      <c r="BT123" s="96">
        <v>10.19</v>
      </c>
      <c r="BU123" s="96">
        <v>11.1</v>
      </c>
      <c r="BV123" s="96">
        <v>10.36</v>
      </c>
      <c r="BW123" s="96">
        <v>11.13</v>
      </c>
      <c r="BX123" s="96">
        <v>10.27</v>
      </c>
      <c r="BY123" s="96">
        <v>10.19</v>
      </c>
      <c r="BZ123" s="96">
        <v>11.35</v>
      </c>
      <c r="CA123" s="96">
        <v>10.55</v>
      </c>
      <c r="CB123" s="96">
        <v>11.11</v>
      </c>
      <c r="CC123" s="96">
        <v>9.65</v>
      </c>
      <c r="CD123" s="96">
        <v>11.93</v>
      </c>
      <c r="CE123" s="96">
        <v>11.73</v>
      </c>
      <c r="CF123" s="96">
        <v>10.3</v>
      </c>
      <c r="CG123" s="96">
        <v>12.74</v>
      </c>
      <c r="CH123" s="96">
        <v>12.36</v>
      </c>
      <c r="CI123" s="96">
        <v>12.03</v>
      </c>
      <c r="CJ123" s="96">
        <v>11.95</v>
      </c>
      <c r="CK123" s="96">
        <v>11.37</v>
      </c>
      <c r="CL123" s="96">
        <v>12.14</v>
      </c>
      <c r="CM123" s="96">
        <v>11.43</v>
      </c>
      <c r="CN123" s="96">
        <v>13.38</v>
      </c>
      <c r="CO123" s="96">
        <v>11.96</v>
      </c>
      <c r="CP123" s="345">
        <f>SUM(Input_Raw[[#This Row],[P-01]:[P-56]])/1000</f>
        <v>1375.79</v>
      </c>
      <c r="CQ123" s="346">
        <f>IFERROR(AVERAGEIF(Input_Raw[[#This Row],[WS_P-01]:[WS_P-56]],"&lt;&gt;",Input_Raw[[#This Row],[WS_P-01]:[WS_P-56]]),"")</f>
        <v>11.19</v>
      </c>
      <c r="CR123" s="347">
        <f>MAX(Input_Raw[[#This Row],[WS_P-01]:[WS_P-56]])</f>
        <v>13.38</v>
      </c>
      <c r="CS123" s="347"/>
      <c r="CT123" s="348">
        <f>SUM(Input_Raw[[#This Row],[P-08]:[P-13]],Input_Raw[[#This Row],[P-25]:[P-28]])</f>
        <v>325166</v>
      </c>
      <c r="CU123" s="348"/>
      <c r="CV123" s="348">
        <f>SUM(Input_Raw[[#This Row],[P-04]],Input_Raw[[#This Row],[P-14]:[P-17]],Input_Raw[[#This Row],[P-19]:[P-20]],Input_Raw[[#This Row],[P-22]:[P-23]],Input_Raw[[#This Row],[P-34]],Input_Raw[[#This Row],[P-38]],Input_Raw[[#This Row],[P-43]])</f>
        <v>348426</v>
      </c>
      <c r="CW123" s="348"/>
      <c r="CX123" s="348">
        <f>SUM(Input_Raw[[#This Row],[P-05]:[P-06]],Input_Raw[[#This Row],[P-40]:[P-42]],Input_Raw[[#This Row],[P-45]],Input_Raw[[#This Row],[P-46]],Input_Raw[[#This Row],[P-47]:[P-48]])</f>
        <v>265820</v>
      </c>
      <c r="CY123" s="348"/>
      <c r="CZ123" s="348">
        <f>SUM(Input_Raw[[#This Row],[P-01]:[P-03]],Input_Raw[[#This Row],[P-07]],Input_Raw[[#This Row],[P-18]],Input_Raw[[#This Row],[P-31]:[P-32]],Input_Raw[[#This Row],[P-37]],Input_Raw[[#This Row],[P-50]:[P-56]])</f>
        <v>436378</v>
      </c>
      <c r="DA123" s="349"/>
      <c r="DB123" s="350">
        <f>Input_Raw[[#This Row],[33 kV_Wind_F1_Export reading]]/1000</f>
        <v>325.166</v>
      </c>
      <c r="DC123" s="350"/>
      <c r="DD123" s="350">
        <f>Input_Raw[[#This Row],[33 kV_Wind_F2_Export_reading]]/1000</f>
        <v>348.42599999999999</v>
      </c>
      <c r="DE123" s="350"/>
      <c r="DF123" s="350">
        <f>Input_Raw[[#This Row],[33 kV_Wind_F3_Export_Reading]]/1000</f>
        <v>265.82</v>
      </c>
      <c r="DG123" s="350"/>
      <c r="DH123" s="350">
        <f>Input_Raw[[#This Row],[33 kV_Wind_F4_Export Reading]]/1000</f>
        <v>436.37799999999999</v>
      </c>
      <c r="DI123" s="350"/>
      <c r="DJ123" s="350">
        <f>Input_Raw[[#This Row],[33 kV_F1_Total_Export (MWh)]]+Input_Raw[[#This Row],[33 kV_F2_Total_Export (MWh)2]]+Input_Raw[[#This Row],[33 kV_Wind_F3_Export (MWh)]]+Input_Raw[[#This Row],[33 kV_Wind_F4_Export (MWh)]]</f>
        <v>1375.79</v>
      </c>
      <c r="DK123" s="350">
        <f>Input_Raw[[#This Row],[33 kV_Wind_F1_Import (MWh)]]+Input_Raw[[#This Row],[33 kV_Wind_F2_Import (MWh)]]+Input_Raw[[#This Row],[33 kV_Wind_F3_Import (MWh)2]]+Input_Raw[[#This Row],[33 kV_Wind_F4_Import (MWh)2]]</f>
        <v>0</v>
      </c>
      <c r="DL123" s="351">
        <f>IFERROR(Input_Raw[[#This Row],[33 kV_Wind_Total_Export (MWh)]]/Input_Raw[[#This Row],[WTG Total Gneration (MWh)]]-1,"")</f>
        <v>0</v>
      </c>
      <c r="DM123" s="352"/>
      <c r="DN123" s="186">
        <v>90</v>
      </c>
      <c r="DO123" s="186">
        <v>52342.13</v>
      </c>
      <c r="DP123" s="102">
        <v>1434.22</v>
      </c>
      <c r="DQ123" s="352"/>
      <c r="DR123" s="181">
        <v>70.400000000000006</v>
      </c>
    </row>
    <row r="124" spans="1:122">
      <c r="A124" s="92">
        <f t="shared" si="74"/>
        <v>45864</v>
      </c>
      <c r="B124" s="190">
        <f>YEAR(Input_Raw[[#This Row],[Date]])+IF(MONTH(Input_Raw[[#This Row],[Date]])&gt;=4,1,0)</f>
        <v>2026</v>
      </c>
      <c r="C124" s="190">
        <f>YEAR(Input_Raw[[#This Row],[Date]])</f>
        <v>2025</v>
      </c>
      <c r="D124" s="11">
        <f t="shared" ref="D124" si="173">A124-DAY(A124)+1</f>
        <v>45839</v>
      </c>
      <c r="E124" s="190">
        <f>DAY(EOMONTH(Input_Raw[[#This Row],[Date]],0))</f>
        <v>31</v>
      </c>
      <c r="F124" s="199">
        <v>18708</v>
      </c>
      <c r="G124" s="199">
        <v>18544</v>
      </c>
      <c r="H124" s="199">
        <v>13444</v>
      </c>
      <c r="I124" s="199">
        <v>18250</v>
      </c>
      <c r="J124" s="199">
        <v>34580</v>
      </c>
      <c r="K124" s="199">
        <v>21224</v>
      </c>
      <c r="L124" s="199">
        <v>8480</v>
      </c>
      <c r="M124" s="199">
        <v>36650</v>
      </c>
      <c r="N124" s="199">
        <v>35014</v>
      </c>
      <c r="O124" s="199">
        <v>35166</v>
      </c>
      <c r="P124" s="199">
        <v>37948</v>
      </c>
      <c r="Q124" s="199">
        <v>38496</v>
      </c>
      <c r="R124" s="199">
        <v>32439.999999999996</v>
      </c>
      <c r="S124" s="199">
        <v>30188</v>
      </c>
      <c r="T124" s="199">
        <v>26740</v>
      </c>
      <c r="U124" s="199">
        <v>38194</v>
      </c>
      <c r="V124" s="199">
        <v>34078</v>
      </c>
      <c r="W124" s="199">
        <v>18576</v>
      </c>
      <c r="X124" s="199">
        <v>24992</v>
      </c>
      <c r="Y124" s="199">
        <v>36920</v>
      </c>
      <c r="Z124" s="199">
        <v>38220</v>
      </c>
      <c r="AA124" s="199">
        <v>36604</v>
      </c>
      <c r="AB124" s="199">
        <v>38160</v>
      </c>
      <c r="AC124" s="199">
        <v>38272</v>
      </c>
      <c r="AD124" s="199">
        <v>30796</v>
      </c>
      <c r="AE124" s="199">
        <v>25624</v>
      </c>
      <c r="AF124" s="199">
        <v>18012</v>
      </c>
      <c r="AG124" s="199">
        <v>16456</v>
      </c>
      <c r="AH124" s="199">
        <v>38340</v>
      </c>
      <c r="AI124" s="199">
        <v>16560</v>
      </c>
      <c r="AJ124" s="199">
        <v>28466</v>
      </c>
      <c r="AK124" s="199">
        <v>33448</v>
      </c>
      <c r="AL124" s="199">
        <v>38004</v>
      </c>
      <c r="AM124" s="199">
        <v>33888</v>
      </c>
      <c r="AN124" s="199">
        <v>32654.000000000004</v>
      </c>
      <c r="AO124" s="199">
        <v>33168</v>
      </c>
      <c r="AP124" s="199">
        <v>32500</v>
      </c>
      <c r="AQ124" s="199">
        <v>38532</v>
      </c>
      <c r="AR124" s="199">
        <v>38172</v>
      </c>
      <c r="AS124" s="199">
        <v>16786</v>
      </c>
      <c r="AT124" s="199">
        <v>16956</v>
      </c>
      <c r="AU124" s="199">
        <v>16440</v>
      </c>
      <c r="AV124" s="199">
        <v>19100</v>
      </c>
      <c r="AW124" s="199">
        <v>19256</v>
      </c>
      <c r="AX124" s="96">
        <v>15.5</v>
      </c>
      <c r="AY124" s="96">
        <v>16.25</v>
      </c>
      <c r="AZ124" s="96">
        <v>14.91</v>
      </c>
      <c r="BA124" s="96">
        <v>10.41</v>
      </c>
      <c r="BB124" s="96">
        <v>14.44</v>
      </c>
      <c r="BC124" s="96">
        <v>13.08</v>
      </c>
      <c r="BD124" s="96">
        <v>15.09</v>
      </c>
      <c r="BE124" s="96">
        <v>13.35</v>
      </c>
      <c r="BF124" s="96">
        <v>12.67</v>
      </c>
      <c r="BG124" s="96">
        <v>13.34</v>
      </c>
      <c r="BH124" s="96">
        <v>15.33</v>
      </c>
      <c r="BI124" s="96">
        <v>15.97</v>
      </c>
      <c r="BJ124" s="96">
        <v>11.44</v>
      </c>
      <c r="BK124" s="96">
        <v>13.78</v>
      </c>
      <c r="BL124" s="96">
        <v>14.7</v>
      </c>
      <c r="BM124" s="96">
        <v>14.32</v>
      </c>
      <c r="BN124" s="96">
        <v>16.190000000000001</v>
      </c>
      <c r="BO124" s="96">
        <v>15.05</v>
      </c>
      <c r="BP124" s="96">
        <v>13.34</v>
      </c>
      <c r="BQ124" s="96">
        <v>12.82</v>
      </c>
      <c r="BR124" s="96">
        <v>14.32</v>
      </c>
      <c r="BS124" s="96">
        <v>13.86</v>
      </c>
      <c r="BT124" s="96">
        <v>13.72</v>
      </c>
      <c r="BU124" s="96">
        <v>14.21</v>
      </c>
      <c r="BV124" s="96">
        <v>13.44</v>
      </c>
      <c r="BW124" s="96">
        <v>14.89</v>
      </c>
      <c r="BX124" s="96">
        <v>14.26</v>
      </c>
      <c r="BY124" s="96">
        <v>13.14</v>
      </c>
      <c r="BZ124" s="96">
        <v>14.76</v>
      </c>
      <c r="CA124" s="96">
        <v>13.59</v>
      </c>
      <c r="CB124" s="96">
        <v>15.32</v>
      </c>
      <c r="CC124" s="96">
        <v>12.7</v>
      </c>
      <c r="CD124" s="96">
        <v>15.51</v>
      </c>
      <c r="CE124" s="96">
        <v>16.09</v>
      </c>
      <c r="CF124" s="96">
        <v>13.92</v>
      </c>
      <c r="CG124" s="96">
        <v>16.36</v>
      </c>
      <c r="CH124" s="96">
        <v>16.53</v>
      </c>
      <c r="CI124" s="96">
        <v>16.21</v>
      </c>
      <c r="CJ124" s="96">
        <v>15.81</v>
      </c>
      <c r="CK124" s="96">
        <v>14.71</v>
      </c>
      <c r="CL124" s="96">
        <v>15.44</v>
      </c>
      <c r="CM124" s="96">
        <v>15.28</v>
      </c>
      <c r="CN124" s="96">
        <v>17.649999999999999</v>
      </c>
      <c r="CO124" s="96">
        <v>15.59</v>
      </c>
      <c r="CP124" s="345">
        <f>SUM(Input_Raw[[#This Row],[P-01]:[P-56]])/1000</f>
        <v>1253.046</v>
      </c>
      <c r="CQ124" s="346">
        <f>IFERROR(AVERAGEIF(Input_Raw[[#This Row],[WS_P-01]:[WS_P-56]],"&lt;&gt;",Input_Raw[[#This Row],[WS_P-01]:[WS_P-56]]),"")</f>
        <v>14.529318181818178</v>
      </c>
      <c r="CR124" s="347">
        <f>MAX(Input_Raw[[#This Row],[WS_P-01]:[WS_P-56]])</f>
        <v>17.649999999999999</v>
      </c>
      <c r="CS124" s="347"/>
      <c r="CT124" s="348">
        <f>SUM(Input_Raw[[#This Row],[P-08]:[P-13]],Input_Raw[[#This Row],[P-25]:[P-28]])</f>
        <v>348566</v>
      </c>
      <c r="CU124" s="348"/>
      <c r="CV124" s="348">
        <f>SUM(Input_Raw[[#This Row],[P-04]],Input_Raw[[#This Row],[P-14]:[P-17]],Input_Raw[[#This Row],[P-19]:[P-20]],Input_Raw[[#This Row],[P-22]:[P-23]],Input_Raw[[#This Row],[P-34]],Input_Raw[[#This Row],[P-38]],Input_Raw[[#This Row],[P-43]])</f>
        <v>383646</v>
      </c>
      <c r="CW124" s="348"/>
      <c r="CX124" s="348">
        <f>SUM(Input_Raw[[#This Row],[P-05]:[P-06]],Input_Raw[[#This Row],[P-40]:[P-42]],Input_Raw[[#This Row],[P-45]],Input_Raw[[#This Row],[P-46]],Input_Raw[[#This Row],[P-47]:[P-48]])</f>
        <v>303516</v>
      </c>
      <c r="CY124" s="348"/>
      <c r="CZ124" s="348">
        <f>SUM(Input_Raw[[#This Row],[P-01]:[P-03]],Input_Raw[[#This Row],[P-07]],Input_Raw[[#This Row],[P-18]],Input_Raw[[#This Row],[P-31]:[P-32]],Input_Raw[[#This Row],[P-37]],Input_Raw[[#This Row],[P-50]:[P-56]])</f>
        <v>217318</v>
      </c>
      <c r="DA124" s="349"/>
      <c r="DB124" s="350">
        <f>Input_Raw[[#This Row],[33 kV_Wind_F1_Export reading]]/1000</f>
        <v>348.56599999999997</v>
      </c>
      <c r="DC124" s="350"/>
      <c r="DD124" s="350">
        <f>Input_Raw[[#This Row],[33 kV_Wind_F2_Export_reading]]/1000</f>
        <v>383.64600000000002</v>
      </c>
      <c r="DE124" s="350"/>
      <c r="DF124" s="350">
        <f>Input_Raw[[#This Row],[33 kV_Wind_F3_Export_Reading]]/1000</f>
        <v>303.51600000000002</v>
      </c>
      <c r="DG124" s="350"/>
      <c r="DH124" s="350">
        <f>Input_Raw[[#This Row],[33 kV_Wind_F4_Export Reading]]/1000</f>
        <v>217.31800000000001</v>
      </c>
      <c r="DI124" s="350"/>
      <c r="DJ124" s="350">
        <f>Input_Raw[[#This Row],[33 kV_F1_Total_Export (MWh)]]+Input_Raw[[#This Row],[33 kV_F2_Total_Export (MWh)2]]+Input_Raw[[#This Row],[33 kV_Wind_F3_Export (MWh)]]+Input_Raw[[#This Row],[33 kV_Wind_F4_Export (MWh)]]</f>
        <v>1253.046</v>
      </c>
      <c r="DK124" s="350">
        <f>Input_Raw[[#This Row],[33 kV_Wind_F1_Import (MWh)]]+Input_Raw[[#This Row],[33 kV_Wind_F2_Import (MWh)]]+Input_Raw[[#This Row],[33 kV_Wind_F3_Import (MWh)2]]+Input_Raw[[#This Row],[33 kV_Wind_F4_Import (MWh)2]]</f>
        <v>0</v>
      </c>
      <c r="DL124" s="351">
        <f>IFERROR(Input_Raw[[#This Row],[33 kV_Wind_Total_Export (MWh)]]/Input_Raw[[#This Row],[WTG Total Gneration (MWh)]]-1,"")</f>
        <v>0</v>
      </c>
      <c r="DM124" s="352"/>
      <c r="DN124" s="186">
        <v>46</v>
      </c>
      <c r="DO124" s="186">
        <v>20213.38</v>
      </c>
      <c r="DP124" s="102">
        <v>1370.72</v>
      </c>
      <c r="DQ124" s="352"/>
      <c r="DR124" s="181">
        <v>70.400000000000006</v>
      </c>
    </row>
    <row r="125" spans="1:122">
      <c r="A125" s="92">
        <f t="shared" si="74"/>
        <v>45865</v>
      </c>
      <c r="B125" s="190">
        <f>YEAR(Input_Raw[[#This Row],[Date]])+IF(MONTH(Input_Raw[[#This Row],[Date]])&gt;=4,1,0)</f>
        <v>2026</v>
      </c>
      <c r="C125" s="190">
        <f>YEAR(Input_Raw[[#This Row],[Date]])</f>
        <v>2025</v>
      </c>
      <c r="D125" s="11">
        <f t="shared" ref="D125" si="174">A125-DAY(A125)+1</f>
        <v>45839</v>
      </c>
      <c r="E125" s="190">
        <f>DAY(EOMONTH(Input_Raw[[#This Row],[Date]],0))</f>
        <v>31</v>
      </c>
      <c r="F125" s="199">
        <v>38396</v>
      </c>
      <c r="G125" s="199">
        <v>37936</v>
      </c>
      <c r="H125" s="199">
        <v>36584</v>
      </c>
      <c r="I125" s="199">
        <v>29672</v>
      </c>
      <c r="J125" s="199">
        <v>38196</v>
      </c>
      <c r="K125" s="199">
        <v>32540</v>
      </c>
      <c r="L125" s="199">
        <v>38272</v>
      </c>
      <c r="M125" s="199">
        <v>36652</v>
      </c>
      <c r="N125" s="199">
        <v>33924</v>
      </c>
      <c r="O125" s="199">
        <v>34188</v>
      </c>
      <c r="P125" s="199">
        <v>37610</v>
      </c>
      <c r="Q125" s="199">
        <v>38116</v>
      </c>
      <c r="R125" s="199">
        <v>25904</v>
      </c>
      <c r="S125" s="199">
        <v>36648</v>
      </c>
      <c r="T125" s="199">
        <v>35512</v>
      </c>
      <c r="U125" s="199">
        <v>37658</v>
      </c>
      <c r="V125" s="199">
        <v>36288</v>
      </c>
      <c r="W125" s="199">
        <v>37520</v>
      </c>
      <c r="X125" s="199">
        <v>37944</v>
      </c>
      <c r="Y125" s="199">
        <v>37184</v>
      </c>
      <c r="Z125" s="199">
        <v>38176</v>
      </c>
      <c r="AA125" s="199">
        <v>35836</v>
      </c>
      <c r="AB125" s="199">
        <v>37616</v>
      </c>
      <c r="AC125" s="199">
        <v>37772</v>
      </c>
      <c r="AD125" s="199">
        <v>38156</v>
      </c>
      <c r="AE125" s="199">
        <v>38220</v>
      </c>
      <c r="AF125" s="199">
        <v>35152</v>
      </c>
      <c r="AG125" s="199">
        <v>36688</v>
      </c>
      <c r="AH125" s="199">
        <v>38336</v>
      </c>
      <c r="AI125" s="199">
        <v>37734</v>
      </c>
      <c r="AJ125" s="199">
        <v>38174</v>
      </c>
      <c r="AK125" s="199">
        <v>36132</v>
      </c>
      <c r="AL125" s="199">
        <v>38216</v>
      </c>
      <c r="AM125" s="199">
        <v>38316</v>
      </c>
      <c r="AN125" s="199">
        <v>36644</v>
      </c>
      <c r="AO125" s="199">
        <v>38656</v>
      </c>
      <c r="AP125" s="199">
        <v>37188</v>
      </c>
      <c r="AQ125" s="199">
        <v>38328</v>
      </c>
      <c r="AR125" s="199">
        <v>38540</v>
      </c>
      <c r="AS125" s="199">
        <v>37320</v>
      </c>
      <c r="AT125" s="199">
        <v>38480</v>
      </c>
      <c r="AU125" s="199">
        <v>38552</v>
      </c>
      <c r="AV125" s="199">
        <v>38776</v>
      </c>
      <c r="AW125" s="199">
        <v>38724</v>
      </c>
      <c r="AX125" s="96">
        <v>14.55</v>
      </c>
      <c r="AY125" s="96">
        <v>15.06</v>
      </c>
      <c r="AZ125" s="96">
        <v>13.75</v>
      </c>
      <c r="BA125" s="96">
        <v>12.54</v>
      </c>
      <c r="BB125" s="96">
        <v>14.09</v>
      </c>
      <c r="BC125" s="96">
        <v>15.15</v>
      </c>
      <c r="BD125" s="96">
        <v>14.35</v>
      </c>
      <c r="BE125" s="96">
        <v>12.99</v>
      </c>
      <c r="BF125" s="96">
        <v>12.21</v>
      </c>
      <c r="BG125" s="96">
        <v>12.73</v>
      </c>
      <c r="BH125" s="96">
        <v>14.76</v>
      </c>
      <c r="BI125" s="96">
        <v>15.64</v>
      </c>
      <c r="BJ125" s="96">
        <v>9.7799999999999994</v>
      </c>
      <c r="BK125" s="96">
        <v>13.55</v>
      </c>
      <c r="BL125" s="96">
        <v>14.62</v>
      </c>
      <c r="BM125" s="96">
        <v>13.8</v>
      </c>
      <c r="BN125" s="96">
        <v>16.12</v>
      </c>
      <c r="BO125" s="96">
        <v>13.81</v>
      </c>
      <c r="BP125" s="96">
        <v>13.8</v>
      </c>
      <c r="BQ125" s="96">
        <v>12.57</v>
      </c>
      <c r="BR125" s="96">
        <v>14.11</v>
      </c>
      <c r="BS125" s="96">
        <v>13.29</v>
      </c>
      <c r="BT125" s="96">
        <v>13.19</v>
      </c>
      <c r="BU125" s="96">
        <v>13.78</v>
      </c>
      <c r="BV125" s="96">
        <v>12.84</v>
      </c>
      <c r="BW125" s="96">
        <v>14.63</v>
      </c>
      <c r="BX125" s="96">
        <v>12.66</v>
      </c>
      <c r="BY125" s="96">
        <v>12.58</v>
      </c>
      <c r="BZ125" s="96">
        <v>14.52</v>
      </c>
      <c r="CA125" s="96">
        <v>13.26</v>
      </c>
      <c r="CB125" s="96">
        <v>15.02</v>
      </c>
      <c r="CC125" s="96">
        <v>12.88</v>
      </c>
      <c r="CD125" s="96">
        <v>15.12</v>
      </c>
      <c r="CE125" s="96">
        <v>15.69</v>
      </c>
      <c r="CF125" s="96">
        <v>13.05</v>
      </c>
      <c r="CG125" s="96">
        <v>16.11</v>
      </c>
      <c r="CH125" s="96">
        <v>16.079999999999998</v>
      </c>
      <c r="CI125" s="96">
        <v>15.52</v>
      </c>
      <c r="CJ125" s="96">
        <v>15.48</v>
      </c>
      <c r="CK125" s="96">
        <v>13.61</v>
      </c>
      <c r="CL125" s="96">
        <v>14.73</v>
      </c>
      <c r="CM125" s="96">
        <v>14.57</v>
      </c>
      <c r="CN125" s="96">
        <v>16.73</v>
      </c>
      <c r="CO125" s="96">
        <v>14.92</v>
      </c>
      <c r="CP125" s="345">
        <f>SUM(Input_Raw[[#This Row],[P-01]:[P-56]])/1000</f>
        <v>1622.4760000000001</v>
      </c>
      <c r="CQ125" s="346">
        <f>IFERROR(AVERAGEIF(Input_Raw[[#This Row],[WS_P-01]:[WS_P-56]],"&lt;&gt;",Input_Raw[[#This Row],[WS_P-01]:[WS_P-56]]),"")</f>
        <v>14.096363636363636</v>
      </c>
      <c r="CR125" s="347">
        <f>MAX(Input_Raw[[#This Row],[WS_P-01]:[WS_P-56]])</f>
        <v>16.73</v>
      </c>
      <c r="CS125" s="347"/>
      <c r="CT125" s="348">
        <f>SUM(Input_Raw[[#This Row],[P-08]:[P-13]],Input_Raw[[#This Row],[P-25]:[P-28]])</f>
        <v>358158</v>
      </c>
      <c r="CU125" s="348"/>
      <c r="CV125" s="348">
        <f>SUM(Input_Raw[[#This Row],[P-04]],Input_Raw[[#This Row],[P-14]:[P-17]],Input_Raw[[#This Row],[P-19]:[P-20]],Input_Raw[[#This Row],[P-22]:[P-23]],Input_Raw[[#This Row],[P-34]],Input_Raw[[#This Row],[P-38]],Input_Raw[[#This Row],[P-43]])</f>
        <v>438072</v>
      </c>
      <c r="CW125" s="348"/>
      <c r="CX125" s="348">
        <f>SUM(Input_Raw[[#This Row],[P-05]:[P-06]],Input_Raw[[#This Row],[P-40]:[P-42]],Input_Raw[[#This Row],[P-45]],Input_Raw[[#This Row],[P-46]],Input_Raw[[#This Row],[P-47]:[P-48]])</f>
        <v>336112</v>
      </c>
      <c r="CY125" s="348"/>
      <c r="CZ125" s="348">
        <f>SUM(Input_Raw[[#This Row],[P-01]:[P-03]],Input_Raw[[#This Row],[P-07]],Input_Raw[[#This Row],[P-18]],Input_Raw[[#This Row],[P-31]:[P-32]],Input_Raw[[#This Row],[P-37]],Input_Raw[[#This Row],[P-50]:[P-56]])</f>
        <v>490134</v>
      </c>
      <c r="DA125" s="349"/>
      <c r="DB125" s="350">
        <f>Input_Raw[[#This Row],[33 kV_Wind_F1_Export reading]]/1000</f>
        <v>358.15800000000002</v>
      </c>
      <c r="DC125" s="350"/>
      <c r="DD125" s="350">
        <f>Input_Raw[[#This Row],[33 kV_Wind_F2_Export_reading]]/1000</f>
        <v>438.072</v>
      </c>
      <c r="DE125" s="350"/>
      <c r="DF125" s="350">
        <f>Input_Raw[[#This Row],[33 kV_Wind_F3_Export_Reading]]/1000</f>
        <v>336.11200000000002</v>
      </c>
      <c r="DG125" s="350"/>
      <c r="DH125" s="350">
        <f>Input_Raw[[#This Row],[33 kV_Wind_F4_Export Reading]]/1000</f>
        <v>490.13400000000001</v>
      </c>
      <c r="DI125" s="350"/>
      <c r="DJ125" s="350">
        <f>Input_Raw[[#This Row],[33 kV_F1_Total_Export (MWh)]]+Input_Raw[[#This Row],[33 kV_F2_Total_Export (MWh)2]]+Input_Raw[[#This Row],[33 kV_Wind_F3_Export (MWh)]]+Input_Raw[[#This Row],[33 kV_Wind_F4_Export (MWh)]]</f>
        <v>1622.4760000000001</v>
      </c>
      <c r="DK125" s="350">
        <f>Input_Raw[[#This Row],[33 kV_Wind_F1_Import (MWh)]]+Input_Raw[[#This Row],[33 kV_Wind_F2_Import (MWh)]]+Input_Raw[[#This Row],[33 kV_Wind_F3_Import (MWh)2]]+Input_Raw[[#This Row],[33 kV_Wind_F4_Import (MWh)2]]</f>
        <v>0</v>
      </c>
      <c r="DL125" s="351">
        <f>IFERROR(Input_Raw[[#This Row],[33 kV_Wind_Total_Export (MWh)]]/Input_Raw[[#This Row],[WTG Total Gneration (MWh)]]-1,"")</f>
        <v>0</v>
      </c>
      <c r="DM125" s="352"/>
      <c r="DN125" s="186">
        <v>89</v>
      </c>
      <c r="DO125" s="186">
        <v>195.25</v>
      </c>
      <c r="DP125" s="102">
        <v>1666.19</v>
      </c>
      <c r="DQ125" s="352"/>
      <c r="DR125" s="181">
        <v>70.400000000000006</v>
      </c>
    </row>
    <row r="126" spans="1:122">
      <c r="A126" s="92">
        <f t="shared" si="74"/>
        <v>45866</v>
      </c>
      <c r="B126" s="190">
        <f>YEAR(Input_Raw[[#This Row],[Date]])+IF(MONTH(Input_Raw[[#This Row],[Date]])&gt;=4,1,0)</f>
        <v>2026</v>
      </c>
      <c r="C126" s="190">
        <f>YEAR(Input_Raw[[#This Row],[Date]])</f>
        <v>2025</v>
      </c>
      <c r="D126" s="11">
        <f t="shared" ref="D126" si="175">A126-DAY(A126)+1</f>
        <v>45839</v>
      </c>
      <c r="E126" s="190">
        <f>DAY(EOMONTH(Input_Raw[[#This Row],[Date]],0))</f>
        <v>31</v>
      </c>
      <c r="F126" s="199">
        <v>38076</v>
      </c>
      <c r="G126" s="199">
        <v>36860</v>
      </c>
      <c r="H126" s="199">
        <v>35420</v>
      </c>
      <c r="I126" s="199">
        <v>35770</v>
      </c>
      <c r="J126" s="199">
        <v>37832</v>
      </c>
      <c r="K126" s="199">
        <v>37396</v>
      </c>
      <c r="L126" s="199">
        <v>36538</v>
      </c>
      <c r="M126" s="199">
        <v>35410</v>
      </c>
      <c r="N126" s="199">
        <v>32940</v>
      </c>
      <c r="O126" s="199">
        <v>32998</v>
      </c>
      <c r="P126" s="199">
        <v>37444</v>
      </c>
      <c r="Q126" s="199">
        <v>38332</v>
      </c>
      <c r="R126" s="199">
        <v>38256</v>
      </c>
      <c r="S126" s="199">
        <v>32628</v>
      </c>
      <c r="T126" s="199">
        <v>34090</v>
      </c>
      <c r="U126" s="199">
        <v>37018</v>
      </c>
      <c r="V126" s="199">
        <v>37598</v>
      </c>
      <c r="W126" s="199">
        <v>36400</v>
      </c>
      <c r="X126" s="199">
        <v>18720</v>
      </c>
      <c r="Y126" s="199">
        <v>35767</v>
      </c>
      <c r="Z126" s="199">
        <v>37400</v>
      </c>
      <c r="AA126" s="199">
        <v>23336</v>
      </c>
      <c r="AB126" s="199">
        <v>36528</v>
      </c>
      <c r="AC126" s="199">
        <v>37380</v>
      </c>
      <c r="AD126" s="199">
        <v>38036</v>
      </c>
      <c r="AE126" s="199">
        <v>37672</v>
      </c>
      <c r="AF126" s="199">
        <v>32956</v>
      </c>
      <c r="AG126" s="199">
        <v>34988</v>
      </c>
      <c r="AH126" s="199">
        <v>37616</v>
      </c>
      <c r="AI126" s="199">
        <v>36592</v>
      </c>
      <c r="AJ126" s="199">
        <v>37454</v>
      </c>
      <c r="AK126" s="199">
        <v>34036</v>
      </c>
      <c r="AL126" s="199">
        <v>37600</v>
      </c>
      <c r="AM126" s="199">
        <v>37736</v>
      </c>
      <c r="AN126" s="199">
        <v>35528</v>
      </c>
      <c r="AO126" s="199">
        <v>38444</v>
      </c>
      <c r="AP126" s="199">
        <v>38532</v>
      </c>
      <c r="AQ126" s="199">
        <v>38012</v>
      </c>
      <c r="AR126" s="199">
        <v>38324</v>
      </c>
      <c r="AS126" s="199">
        <v>36164</v>
      </c>
      <c r="AT126" s="199">
        <v>37804</v>
      </c>
      <c r="AU126" s="199">
        <v>37772</v>
      </c>
      <c r="AV126" s="199">
        <v>38572</v>
      </c>
      <c r="AW126" s="199">
        <v>38280</v>
      </c>
      <c r="AX126" s="96">
        <v>13.22</v>
      </c>
      <c r="AY126" s="96">
        <v>13.37</v>
      </c>
      <c r="AZ126" s="96">
        <v>12.32</v>
      </c>
      <c r="BA126" s="96">
        <v>14.11</v>
      </c>
      <c r="BB126" s="96">
        <v>12.97</v>
      </c>
      <c r="BC126" s="96">
        <v>14.57</v>
      </c>
      <c r="BD126" s="96">
        <v>12.11</v>
      </c>
      <c r="BE126" s="96">
        <v>12.19</v>
      </c>
      <c r="BF126" s="96">
        <v>11.64</v>
      </c>
      <c r="BG126" s="96">
        <v>12.2</v>
      </c>
      <c r="BH126" s="96">
        <v>13.64</v>
      </c>
      <c r="BI126" s="96">
        <v>14.49</v>
      </c>
      <c r="BJ126" s="96">
        <v>11.26</v>
      </c>
      <c r="BK126" s="96">
        <v>12.47</v>
      </c>
      <c r="BL126" s="96">
        <v>13.47</v>
      </c>
      <c r="BM126" s="96">
        <v>12.87</v>
      </c>
      <c r="BN126" s="96">
        <v>14.74</v>
      </c>
      <c r="BO126" s="96">
        <v>12.51</v>
      </c>
      <c r="BP126" s="96">
        <v>12.06</v>
      </c>
      <c r="BQ126" s="96">
        <v>11.65</v>
      </c>
      <c r="BR126" s="96">
        <v>13.05</v>
      </c>
      <c r="BS126" s="96">
        <v>11.83</v>
      </c>
      <c r="BT126" s="96">
        <v>12.26</v>
      </c>
      <c r="BU126" s="96">
        <v>13.03</v>
      </c>
      <c r="BV126" s="96">
        <v>12.07</v>
      </c>
      <c r="BW126" s="96">
        <v>13.47</v>
      </c>
      <c r="BX126" s="96">
        <v>11.31</v>
      </c>
      <c r="BY126" s="96">
        <v>11.5</v>
      </c>
      <c r="BZ126" s="96">
        <v>13.33</v>
      </c>
      <c r="CA126" s="96">
        <v>12.24</v>
      </c>
      <c r="CB126" s="96">
        <v>13.77</v>
      </c>
      <c r="CC126" s="96">
        <v>12</v>
      </c>
      <c r="CD126" s="96">
        <v>14.06</v>
      </c>
      <c r="CE126" s="96">
        <v>14.11</v>
      </c>
      <c r="CF126" s="96">
        <v>12.15</v>
      </c>
      <c r="CG126" s="96">
        <v>14.8</v>
      </c>
      <c r="CH126" s="96">
        <v>14.64</v>
      </c>
      <c r="CI126" s="96">
        <v>13.97</v>
      </c>
      <c r="CJ126" s="96">
        <v>14.14</v>
      </c>
      <c r="CK126" s="96">
        <v>12.5</v>
      </c>
      <c r="CL126" s="96">
        <v>13.45</v>
      </c>
      <c r="CM126" s="96">
        <v>13.09</v>
      </c>
      <c r="CN126" s="96">
        <v>15.15</v>
      </c>
      <c r="CO126" s="96">
        <v>13.62</v>
      </c>
      <c r="CP126" s="345">
        <f>SUM(Input_Raw[[#This Row],[P-01]:[P-56]])/1000</f>
        <v>1582.2550000000001</v>
      </c>
      <c r="CQ126" s="346">
        <f>IFERROR(AVERAGEIF(Input_Raw[[#This Row],[WS_P-01]:[WS_P-56]],"&lt;&gt;",Input_Raw[[#This Row],[WS_P-01]:[WS_P-56]]),"")</f>
        <v>13.031818181818181</v>
      </c>
      <c r="CR126" s="347">
        <f>MAX(Input_Raw[[#This Row],[WS_P-01]:[WS_P-56]])</f>
        <v>15.15</v>
      </c>
      <c r="CS126" s="347"/>
      <c r="CT126" s="348">
        <f>SUM(Input_Raw[[#This Row],[P-08]:[P-13]],Input_Raw[[#This Row],[P-25]:[P-28]])</f>
        <v>364996</v>
      </c>
      <c r="CU126" s="348"/>
      <c r="CV126" s="348">
        <f>SUM(Input_Raw[[#This Row],[P-04]],Input_Raw[[#This Row],[P-14]:[P-17]],Input_Raw[[#This Row],[P-19]:[P-20]],Input_Raw[[#This Row],[P-22]:[P-23]],Input_Raw[[#This Row],[P-34]],Input_Raw[[#This Row],[P-38]],Input_Raw[[#This Row],[P-43]])</f>
        <v>402925</v>
      </c>
      <c r="CW126" s="348"/>
      <c r="CX126" s="348">
        <f>SUM(Input_Raw[[#This Row],[P-05]:[P-06]],Input_Raw[[#This Row],[P-40]:[P-42]],Input_Raw[[#This Row],[P-45]],Input_Raw[[#This Row],[P-46]],Input_Raw[[#This Row],[P-47]:[P-48]])</f>
        <v>337912</v>
      </c>
      <c r="CY126" s="348"/>
      <c r="CZ126" s="348">
        <f>SUM(Input_Raw[[#This Row],[P-01]:[P-03]],Input_Raw[[#This Row],[P-07]],Input_Raw[[#This Row],[P-18]],Input_Raw[[#This Row],[P-31]:[P-32]],Input_Raw[[#This Row],[P-37]],Input_Raw[[#This Row],[P-50]:[P-56]])</f>
        <v>476422</v>
      </c>
      <c r="DA126" s="349"/>
      <c r="DB126" s="350">
        <f>Input_Raw[[#This Row],[33 kV_Wind_F1_Export reading]]/1000</f>
        <v>364.99599999999998</v>
      </c>
      <c r="DC126" s="350"/>
      <c r="DD126" s="350">
        <f>Input_Raw[[#This Row],[33 kV_Wind_F2_Export_reading]]/1000</f>
        <v>402.92500000000001</v>
      </c>
      <c r="DE126" s="350"/>
      <c r="DF126" s="350">
        <f>Input_Raw[[#This Row],[33 kV_Wind_F3_Export_Reading]]/1000</f>
        <v>337.91199999999998</v>
      </c>
      <c r="DG126" s="350"/>
      <c r="DH126" s="350">
        <f>Input_Raw[[#This Row],[33 kV_Wind_F4_Export Reading]]/1000</f>
        <v>476.42200000000003</v>
      </c>
      <c r="DI126" s="350"/>
      <c r="DJ126" s="350">
        <f>Input_Raw[[#This Row],[33 kV_F1_Total_Export (MWh)]]+Input_Raw[[#This Row],[33 kV_F2_Total_Export (MWh)2]]+Input_Raw[[#This Row],[33 kV_Wind_F3_Export (MWh)]]+Input_Raw[[#This Row],[33 kV_Wind_F4_Export (MWh)]]</f>
        <v>1582.2550000000001</v>
      </c>
      <c r="DK126" s="350">
        <f>Input_Raw[[#This Row],[33 kV_Wind_F1_Import (MWh)]]+Input_Raw[[#This Row],[33 kV_Wind_F2_Import (MWh)]]+Input_Raw[[#This Row],[33 kV_Wind_F3_Import (MWh)2]]+Input_Raw[[#This Row],[33 kV_Wind_F4_Import (MWh)2]]</f>
        <v>0</v>
      </c>
      <c r="DL126" s="351">
        <f>IFERROR(Input_Raw[[#This Row],[33 kV_Wind_Total_Export (MWh)]]/Input_Raw[[#This Row],[WTG Total Gneration (MWh)]]-1,"")</f>
        <v>0</v>
      </c>
      <c r="DM126" s="352"/>
      <c r="DN126" s="186">
        <v>22</v>
      </c>
      <c r="DO126" s="186">
        <v>0</v>
      </c>
      <c r="DP126" s="102">
        <v>1643.41</v>
      </c>
      <c r="DQ126" s="352"/>
      <c r="DR126" s="181">
        <v>70.400000000000006</v>
      </c>
    </row>
    <row r="127" spans="1:122">
      <c r="A127" s="92">
        <f t="shared" si="74"/>
        <v>45867</v>
      </c>
      <c r="B127" s="190">
        <f>YEAR(Input_Raw[[#This Row],[Date]])+IF(MONTH(Input_Raw[[#This Row],[Date]])&gt;=4,1,0)</f>
        <v>2026</v>
      </c>
      <c r="C127" s="190">
        <f>YEAR(Input_Raw[[#This Row],[Date]])</f>
        <v>2025</v>
      </c>
      <c r="D127" s="11">
        <f t="shared" ref="D127" si="176">A127-DAY(A127)+1</f>
        <v>45839</v>
      </c>
      <c r="E127" s="190">
        <f>DAY(EOMONTH(Input_Raw[[#This Row],[Date]],0))</f>
        <v>31</v>
      </c>
      <c r="F127" s="199">
        <v>38444</v>
      </c>
      <c r="G127" s="199">
        <v>37628</v>
      </c>
      <c r="H127" s="199">
        <v>37556</v>
      </c>
      <c r="I127" s="199">
        <v>24038</v>
      </c>
      <c r="J127" s="199">
        <v>38520</v>
      </c>
      <c r="K127" s="199">
        <v>37700</v>
      </c>
      <c r="L127" s="199">
        <v>9782</v>
      </c>
      <c r="M127" s="199">
        <v>37774</v>
      </c>
      <c r="N127" s="199">
        <v>34630</v>
      </c>
      <c r="O127" s="199">
        <v>35728</v>
      </c>
      <c r="P127" s="199">
        <v>38406</v>
      </c>
      <c r="Q127" s="199">
        <v>38620</v>
      </c>
      <c r="R127" s="199">
        <v>37576</v>
      </c>
      <c r="S127" s="199">
        <v>35416</v>
      </c>
      <c r="T127" s="199">
        <v>36676</v>
      </c>
      <c r="U127" s="199">
        <v>38226</v>
      </c>
      <c r="V127" s="199">
        <v>37070</v>
      </c>
      <c r="W127" s="199">
        <v>37716</v>
      </c>
      <c r="X127" s="199">
        <v>6892</v>
      </c>
      <c r="Y127" s="199">
        <v>37169</v>
      </c>
      <c r="Z127" s="199">
        <v>37872</v>
      </c>
      <c r="AA127" s="199">
        <v>37532</v>
      </c>
      <c r="AB127" s="199">
        <v>38080</v>
      </c>
      <c r="AC127" s="199">
        <v>38248</v>
      </c>
      <c r="AD127" s="199">
        <v>38580</v>
      </c>
      <c r="AE127" s="199">
        <v>38064</v>
      </c>
      <c r="AF127" s="199">
        <v>36860</v>
      </c>
      <c r="AG127" s="199">
        <v>36280</v>
      </c>
      <c r="AH127" s="199">
        <v>37836</v>
      </c>
      <c r="AI127" s="199">
        <v>37630</v>
      </c>
      <c r="AJ127" s="199">
        <v>37900</v>
      </c>
      <c r="AK127" s="199">
        <v>35228</v>
      </c>
      <c r="AL127" s="199">
        <v>38424</v>
      </c>
      <c r="AM127" s="199">
        <v>38024</v>
      </c>
      <c r="AN127" s="199">
        <v>37552</v>
      </c>
      <c r="AO127" s="199">
        <v>38560</v>
      </c>
      <c r="AP127" s="199">
        <v>36848</v>
      </c>
      <c r="AQ127" s="199">
        <v>38512</v>
      </c>
      <c r="AR127" s="199">
        <v>38500</v>
      </c>
      <c r="AS127" s="199">
        <v>37988</v>
      </c>
      <c r="AT127" s="199">
        <v>38372</v>
      </c>
      <c r="AU127" s="199">
        <v>38092</v>
      </c>
      <c r="AV127" s="199">
        <v>38480</v>
      </c>
      <c r="AW127" s="199">
        <v>38232</v>
      </c>
      <c r="AX127" s="96">
        <v>14.47</v>
      </c>
      <c r="AY127" s="96">
        <v>14.62</v>
      </c>
      <c r="AZ127" s="96">
        <v>14.16</v>
      </c>
      <c r="BA127" s="96">
        <v>14.71</v>
      </c>
      <c r="BB127" s="96">
        <v>14.58</v>
      </c>
      <c r="BC127" s="96">
        <v>14.94</v>
      </c>
      <c r="BD127" s="96">
        <v>12.21</v>
      </c>
      <c r="BE127" s="96">
        <v>13.43</v>
      </c>
      <c r="BF127" s="96">
        <v>12.58</v>
      </c>
      <c r="BG127" s="96">
        <v>13.65</v>
      </c>
      <c r="BH127" s="96">
        <v>15.55</v>
      </c>
      <c r="BI127" s="96">
        <v>15.39</v>
      </c>
      <c r="BJ127" s="96">
        <v>11.43</v>
      </c>
      <c r="BK127" s="96">
        <v>13.66</v>
      </c>
      <c r="BL127" s="96">
        <v>14.31</v>
      </c>
      <c r="BM127" s="96">
        <v>14.29</v>
      </c>
      <c r="BN127" s="96">
        <v>15.53</v>
      </c>
      <c r="BO127" s="96">
        <v>13.86</v>
      </c>
      <c r="BP127" s="96">
        <v>13</v>
      </c>
      <c r="BQ127" s="96">
        <v>12.7</v>
      </c>
      <c r="BR127" s="96">
        <v>13.7</v>
      </c>
      <c r="BS127" s="96">
        <v>13.58</v>
      </c>
      <c r="BT127" s="96">
        <v>13.61</v>
      </c>
      <c r="BU127" s="96">
        <v>14.23</v>
      </c>
      <c r="BV127" s="96">
        <v>13.43</v>
      </c>
      <c r="BW127" s="96">
        <v>14.38</v>
      </c>
      <c r="BX127" s="96">
        <v>13.25</v>
      </c>
      <c r="BY127" s="96">
        <v>12.31</v>
      </c>
      <c r="BZ127" s="96">
        <v>13.96</v>
      </c>
      <c r="CA127" s="96">
        <v>13.19</v>
      </c>
      <c r="CB127" s="96">
        <v>14.6</v>
      </c>
      <c r="CC127" s="96">
        <v>12.52</v>
      </c>
      <c r="CD127" s="96">
        <v>15.31</v>
      </c>
      <c r="CE127" s="96">
        <v>15.14</v>
      </c>
      <c r="CF127" s="96">
        <v>14.17</v>
      </c>
      <c r="CG127" s="96">
        <v>15.85</v>
      </c>
      <c r="CH127" s="96">
        <v>16.059999999999999</v>
      </c>
      <c r="CI127" s="96">
        <v>15.5</v>
      </c>
      <c r="CJ127" s="96">
        <v>15.21</v>
      </c>
      <c r="CK127" s="96">
        <v>14.11</v>
      </c>
      <c r="CL127" s="96">
        <v>14.53</v>
      </c>
      <c r="CM127" s="96">
        <v>13.97</v>
      </c>
      <c r="CN127" s="96">
        <v>16.170000000000002</v>
      </c>
      <c r="CO127" s="96">
        <v>14.27</v>
      </c>
      <c r="CP127" s="345">
        <f>SUM(Input_Raw[[#This Row],[P-01]:[P-56]])/1000</f>
        <v>1583.261</v>
      </c>
      <c r="CQ127" s="346">
        <f>IFERROR(AVERAGEIF(Input_Raw[[#This Row],[WS_P-01]:[WS_P-56]],"&lt;&gt;",Input_Raw[[#This Row],[WS_P-01]:[WS_P-56]]),"")</f>
        <v>14.139090909090909</v>
      </c>
      <c r="CR127" s="347">
        <f>MAX(Input_Raw[[#This Row],[WS_P-01]:[WS_P-56]])</f>
        <v>16.170000000000002</v>
      </c>
      <c r="CS127" s="347"/>
      <c r="CT127" s="348">
        <f>SUM(Input_Raw[[#This Row],[P-08]:[P-13]],Input_Raw[[#This Row],[P-25]:[P-28]])</f>
        <v>375706</v>
      </c>
      <c r="CU127" s="348"/>
      <c r="CV127" s="348">
        <f>SUM(Input_Raw[[#This Row],[P-04]],Input_Raw[[#This Row],[P-14]:[P-17]],Input_Raw[[#This Row],[P-19]:[P-20]],Input_Raw[[#This Row],[P-22]:[P-23]],Input_Raw[[#This Row],[P-34]],Input_Raw[[#This Row],[P-38]],Input_Raw[[#This Row],[P-43]])</f>
        <v>404179</v>
      </c>
      <c r="CW127" s="348"/>
      <c r="CX127" s="348">
        <f>SUM(Input_Raw[[#This Row],[P-05]:[P-06]],Input_Raw[[#This Row],[P-40]:[P-42]],Input_Raw[[#This Row],[P-45]],Input_Raw[[#This Row],[P-46]],Input_Raw[[#This Row],[P-47]:[P-48]])</f>
        <v>340316</v>
      </c>
      <c r="CY127" s="348"/>
      <c r="CZ127" s="348">
        <f>SUM(Input_Raw[[#This Row],[P-01]:[P-03]],Input_Raw[[#This Row],[P-07]],Input_Raw[[#This Row],[P-18]],Input_Raw[[#This Row],[P-31]:[P-32]],Input_Raw[[#This Row],[P-37]],Input_Raw[[#This Row],[P-50]:[P-56]])</f>
        <v>463060</v>
      </c>
      <c r="DA127" s="349"/>
      <c r="DB127" s="350">
        <f>Input_Raw[[#This Row],[33 kV_Wind_F1_Export reading]]/1000</f>
        <v>375.70600000000002</v>
      </c>
      <c r="DC127" s="350"/>
      <c r="DD127" s="350">
        <f>Input_Raw[[#This Row],[33 kV_Wind_F2_Export_reading]]/1000</f>
        <v>404.17899999999997</v>
      </c>
      <c r="DE127" s="350"/>
      <c r="DF127" s="350">
        <f>Input_Raw[[#This Row],[33 kV_Wind_F3_Export_Reading]]/1000</f>
        <v>340.31599999999997</v>
      </c>
      <c r="DG127" s="350"/>
      <c r="DH127" s="350">
        <f>Input_Raw[[#This Row],[33 kV_Wind_F4_Export Reading]]/1000</f>
        <v>463.06</v>
      </c>
      <c r="DI127" s="350"/>
      <c r="DJ127" s="350">
        <f>Input_Raw[[#This Row],[33 kV_F1_Total_Export (MWh)]]+Input_Raw[[#This Row],[33 kV_F2_Total_Export (MWh)2]]+Input_Raw[[#This Row],[33 kV_Wind_F3_Export (MWh)]]+Input_Raw[[#This Row],[33 kV_Wind_F4_Export (MWh)]]</f>
        <v>1583.261</v>
      </c>
      <c r="DK127" s="350">
        <f>Input_Raw[[#This Row],[33 kV_Wind_F1_Import (MWh)]]+Input_Raw[[#This Row],[33 kV_Wind_F2_Import (MWh)]]+Input_Raw[[#This Row],[33 kV_Wind_F3_Import (MWh)2]]+Input_Raw[[#This Row],[33 kV_Wind_F4_Import (MWh)2]]</f>
        <v>0</v>
      </c>
      <c r="DL127" s="351">
        <f>IFERROR(Input_Raw[[#This Row],[33 kV_Wind_Total_Export (MWh)]]/Input_Raw[[#This Row],[WTG Total Gneration (MWh)]]-1,"")</f>
        <v>0</v>
      </c>
      <c r="DM127" s="352"/>
      <c r="DN127" s="186">
        <v>25</v>
      </c>
      <c r="DO127" s="186">
        <v>0</v>
      </c>
      <c r="DP127" s="102">
        <v>1672.34</v>
      </c>
      <c r="DQ127" s="352"/>
      <c r="DR127" s="181">
        <v>70.400000000000006</v>
      </c>
    </row>
    <row r="128" spans="1:122">
      <c r="A128" s="92">
        <f t="shared" si="74"/>
        <v>45868</v>
      </c>
      <c r="B128" s="190">
        <f>YEAR(Input_Raw[[#This Row],[Date]])+IF(MONTH(Input_Raw[[#This Row],[Date]])&gt;=4,1,0)</f>
        <v>2026</v>
      </c>
      <c r="C128" s="190">
        <f>YEAR(Input_Raw[[#This Row],[Date]])</f>
        <v>2025</v>
      </c>
      <c r="D128" s="11">
        <f t="shared" ref="D128" si="177">A128-DAY(A128)+1</f>
        <v>45839</v>
      </c>
      <c r="E128" s="190">
        <f>DAY(EOMONTH(Input_Raw[[#This Row],[Date]],0))</f>
        <v>31</v>
      </c>
      <c r="F128" s="199">
        <v>36764</v>
      </c>
      <c r="G128" s="199">
        <v>33620</v>
      </c>
      <c r="H128" s="199">
        <v>32208</v>
      </c>
      <c r="I128" s="199">
        <v>35918</v>
      </c>
      <c r="J128" s="199">
        <v>36944</v>
      </c>
      <c r="K128" s="199">
        <v>34976</v>
      </c>
      <c r="L128" s="199">
        <v>35558</v>
      </c>
      <c r="M128" s="199">
        <v>32764.000000000004</v>
      </c>
      <c r="N128" s="199">
        <v>30600</v>
      </c>
      <c r="O128" s="199">
        <v>31656</v>
      </c>
      <c r="P128" s="199">
        <v>36616</v>
      </c>
      <c r="Q128" s="199">
        <v>37840</v>
      </c>
      <c r="R128" s="199">
        <v>37664</v>
      </c>
      <c r="S128" s="199">
        <v>33424</v>
      </c>
      <c r="T128" s="199">
        <v>34076</v>
      </c>
      <c r="U128" s="199">
        <v>35328</v>
      </c>
      <c r="V128" s="199">
        <v>36934</v>
      </c>
      <c r="W128" s="199">
        <v>34352</v>
      </c>
      <c r="X128" s="199">
        <v>34836</v>
      </c>
      <c r="Y128" s="199">
        <v>33177</v>
      </c>
      <c r="Z128" s="199">
        <v>35844</v>
      </c>
      <c r="AA128" s="199">
        <v>33060</v>
      </c>
      <c r="AB128" s="199">
        <v>35320</v>
      </c>
      <c r="AC128" s="199">
        <v>36060</v>
      </c>
      <c r="AD128" s="199">
        <v>37044</v>
      </c>
      <c r="AE128" s="199">
        <v>36756</v>
      </c>
      <c r="AF128" s="199">
        <v>30396</v>
      </c>
      <c r="AG128" s="199">
        <v>30848</v>
      </c>
      <c r="AH128" s="199">
        <v>36292</v>
      </c>
      <c r="AI128" s="199">
        <v>34066</v>
      </c>
      <c r="AJ128" s="199">
        <v>36700</v>
      </c>
      <c r="AK128" s="199">
        <v>30018</v>
      </c>
      <c r="AL128" s="199">
        <v>36256</v>
      </c>
      <c r="AM128" s="199">
        <v>35844</v>
      </c>
      <c r="AN128" s="199">
        <v>33290</v>
      </c>
      <c r="AO128" s="199">
        <v>37620</v>
      </c>
      <c r="AP128" s="199">
        <v>37956</v>
      </c>
      <c r="AQ128" s="199">
        <v>36888</v>
      </c>
      <c r="AR128" s="199">
        <v>37516</v>
      </c>
      <c r="AS128" s="199">
        <v>33972</v>
      </c>
      <c r="AT128" s="199">
        <v>36266</v>
      </c>
      <c r="AU128" s="199">
        <v>35760</v>
      </c>
      <c r="AV128" s="199">
        <v>38024</v>
      </c>
      <c r="AW128" s="199">
        <v>37240</v>
      </c>
      <c r="AX128" s="96">
        <v>11.51</v>
      </c>
      <c r="AY128" s="96">
        <v>11.1</v>
      </c>
      <c r="AZ128" s="96">
        <v>10.81</v>
      </c>
      <c r="BA128" s="96">
        <v>12.29</v>
      </c>
      <c r="BB128" s="96">
        <v>11.86</v>
      </c>
      <c r="BC128" s="96">
        <v>12.56</v>
      </c>
      <c r="BD128" s="96">
        <v>10.57</v>
      </c>
      <c r="BE128" s="96">
        <v>11.05</v>
      </c>
      <c r="BF128" s="96">
        <v>10.55</v>
      </c>
      <c r="BG128" s="96">
        <v>11.13</v>
      </c>
      <c r="BH128" s="96">
        <v>12.06</v>
      </c>
      <c r="BI128" s="96">
        <v>12.87</v>
      </c>
      <c r="BJ128" s="96">
        <v>10</v>
      </c>
      <c r="BK128" s="96">
        <v>11.13</v>
      </c>
      <c r="BL128" s="96">
        <v>12.03</v>
      </c>
      <c r="BM128" s="96">
        <v>11.97</v>
      </c>
      <c r="BN128" s="96">
        <v>12.88</v>
      </c>
      <c r="BO128" s="96">
        <v>11.05</v>
      </c>
      <c r="BP128" s="96">
        <v>11.27</v>
      </c>
      <c r="BQ128" s="96">
        <v>10.47</v>
      </c>
      <c r="BR128" s="96">
        <v>11.57</v>
      </c>
      <c r="BS128" s="96">
        <v>10.52</v>
      </c>
      <c r="BT128" s="96">
        <v>10.97</v>
      </c>
      <c r="BU128" s="96">
        <v>11.6</v>
      </c>
      <c r="BV128" s="96">
        <v>10.84</v>
      </c>
      <c r="BW128" s="96">
        <v>12.24</v>
      </c>
      <c r="BX128" s="96">
        <v>10.1</v>
      </c>
      <c r="BY128" s="96">
        <v>10.07</v>
      </c>
      <c r="BZ128" s="96">
        <v>11.76</v>
      </c>
      <c r="CA128" s="96">
        <v>10.8</v>
      </c>
      <c r="CB128" s="96">
        <v>12.36</v>
      </c>
      <c r="CC128" s="96">
        <v>10.44</v>
      </c>
      <c r="CD128" s="96">
        <v>12.48</v>
      </c>
      <c r="CE128" s="96">
        <v>12.36</v>
      </c>
      <c r="CF128" s="96">
        <v>10.79</v>
      </c>
      <c r="CG128" s="96">
        <v>12.95</v>
      </c>
      <c r="CH128" s="96">
        <v>12.9</v>
      </c>
      <c r="CI128" s="96">
        <v>12.36</v>
      </c>
      <c r="CJ128" s="96">
        <v>12.53</v>
      </c>
      <c r="CK128" s="96">
        <v>11.07</v>
      </c>
      <c r="CL128" s="96">
        <v>11.86</v>
      </c>
      <c r="CM128" s="96">
        <v>11.34</v>
      </c>
      <c r="CN128" s="96">
        <v>13.28</v>
      </c>
      <c r="CO128" s="96">
        <v>12.01</v>
      </c>
      <c r="CP128" s="345">
        <f>SUM(Input_Raw[[#This Row],[P-01]:[P-56]])/1000</f>
        <v>1544.2909999999999</v>
      </c>
      <c r="CQ128" s="346">
        <f>IFERROR(AVERAGEIF(Input_Raw[[#This Row],[WS_P-01]:[WS_P-56]],"&lt;&gt;",Input_Raw[[#This Row],[WS_P-01]:[WS_P-56]]),"")</f>
        <v>11.553636363636365</v>
      </c>
      <c r="CR128" s="347">
        <f>MAX(Input_Raw[[#This Row],[WS_P-01]:[WS_P-56]])</f>
        <v>13.28</v>
      </c>
      <c r="CS128" s="347"/>
      <c r="CT128" s="348">
        <f>SUM(Input_Raw[[#This Row],[P-08]:[P-13]],Input_Raw[[#This Row],[P-25]:[P-28]])</f>
        <v>352320</v>
      </c>
      <c r="CU128" s="348"/>
      <c r="CV128" s="348">
        <f>SUM(Input_Raw[[#This Row],[P-04]],Input_Raw[[#This Row],[P-14]:[P-17]],Input_Raw[[#This Row],[P-19]:[P-20]],Input_Raw[[#This Row],[P-22]:[P-23]],Input_Raw[[#This Row],[P-34]],Input_Raw[[#This Row],[P-38]],Input_Raw[[#This Row],[P-43]])</f>
        <v>418879</v>
      </c>
      <c r="CW128" s="348"/>
      <c r="CX128" s="348">
        <f>SUM(Input_Raw[[#This Row],[P-05]:[P-06]],Input_Raw[[#This Row],[P-40]:[P-42]],Input_Raw[[#This Row],[P-45]],Input_Raw[[#This Row],[P-46]],Input_Raw[[#This Row],[P-47]:[P-48]])</f>
        <v>324018</v>
      </c>
      <c r="CY128" s="348"/>
      <c r="CZ128" s="348">
        <f>SUM(Input_Raw[[#This Row],[P-01]:[P-03]],Input_Raw[[#This Row],[P-07]],Input_Raw[[#This Row],[P-18]],Input_Raw[[#This Row],[P-31]:[P-32]],Input_Raw[[#This Row],[P-37]],Input_Raw[[#This Row],[P-50]:[P-56]])</f>
        <v>449074</v>
      </c>
      <c r="DA128" s="349"/>
      <c r="DB128" s="350">
        <f>Input_Raw[[#This Row],[33 kV_Wind_F1_Export reading]]/1000</f>
        <v>352.32</v>
      </c>
      <c r="DC128" s="350"/>
      <c r="DD128" s="350">
        <f>Input_Raw[[#This Row],[33 kV_Wind_F2_Export_reading]]/1000</f>
        <v>418.87900000000002</v>
      </c>
      <c r="DE128" s="350"/>
      <c r="DF128" s="350">
        <f>Input_Raw[[#This Row],[33 kV_Wind_F3_Export_Reading]]/1000</f>
        <v>324.01799999999997</v>
      </c>
      <c r="DG128" s="350"/>
      <c r="DH128" s="350">
        <f>Input_Raw[[#This Row],[33 kV_Wind_F4_Export Reading]]/1000</f>
        <v>449.07400000000001</v>
      </c>
      <c r="DI128" s="350"/>
      <c r="DJ128" s="350">
        <f>Input_Raw[[#This Row],[33 kV_F1_Total_Export (MWh)]]+Input_Raw[[#This Row],[33 kV_F2_Total_Export (MWh)2]]+Input_Raw[[#This Row],[33 kV_Wind_F3_Export (MWh)]]+Input_Raw[[#This Row],[33 kV_Wind_F4_Export (MWh)]]</f>
        <v>1544.2910000000002</v>
      </c>
      <c r="DK128" s="350">
        <f>Input_Raw[[#This Row],[33 kV_Wind_F1_Import (MWh)]]+Input_Raw[[#This Row],[33 kV_Wind_F2_Import (MWh)]]+Input_Raw[[#This Row],[33 kV_Wind_F3_Import (MWh)2]]+Input_Raw[[#This Row],[33 kV_Wind_F4_Import (MWh)2]]</f>
        <v>0</v>
      </c>
      <c r="DL128" s="351">
        <f>IFERROR(Input_Raw[[#This Row],[33 kV_Wind_Total_Export (MWh)]]/Input_Raw[[#This Row],[WTG Total Gneration (MWh)]]-1,"")</f>
        <v>2.2204460492503131E-16</v>
      </c>
      <c r="DM128" s="352"/>
      <c r="DN128" s="186">
        <v>89</v>
      </c>
      <c r="DO128" s="186">
        <v>2582.75</v>
      </c>
      <c r="DP128" s="102">
        <v>1555.74</v>
      </c>
      <c r="DQ128" s="352"/>
      <c r="DR128" s="181">
        <v>70.400000000000006</v>
      </c>
    </row>
    <row r="129" spans="1:122">
      <c r="A129" s="92">
        <f t="shared" si="74"/>
        <v>45869</v>
      </c>
      <c r="B129" s="190">
        <f>YEAR(Input_Raw[[#This Row],[Date]])+IF(MONTH(Input_Raw[[#This Row],[Date]])&gt;=4,1,0)</f>
        <v>2026</v>
      </c>
      <c r="C129" s="190">
        <f>YEAR(Input_Raw[[#This Row],[Date]])</f>
        <v>2025</v>
      </c>
      <c r="D129" s="11">
        <f t="shared" ref="D129:D130" si="178">A129-DAY(A129)+1</f>
        <v>45839</v>
      </c>
      <c r="E129" s="190">
        <f>DAY(EOMONTH(Input_Raw[[#This Row],[Date]],0))</f>
        <v>31</v>
      </c>
      <c r="F129" s="199">
        <v>35160</v>
      </c>
      <c r="G129" s="199">
        <v>33552</v>
      </c>
      <c r="H129" s="199">
        <v>28768</v>
      </c>
      <c r="I129" s="199">
        <v>26322</v>
      </c>
      <c r="J129" s="199">
        <v>34352</v>
      </c>
      <c r="K129" s="199">
        <v>34940</v>
      </c>
      <c r="L129" s="199">
        <v>34428</v>
      </c>
      <c r="M129" s="199">
        <v>27054</v>
      </c>
      <c r="N129" s="199">
        <v>23436</v>
      </c>
      <c r="O129" s="199">
        <v>24576</v>
      </c>
      <c r="P129" s="199">
        <v>31390</v>
      </c>
      <c r="Q129" s="199">
        <v>34664</v>
      </c>
      <c r="R129" s="199">
        <v>35592</v>
      </c>
      <c r="S129" s="199">
        <v>29780</v>
      </c>
      <c r="T129" s="199">
        <v>30378</v>
      </c>
      <c r="U129" s="199">
        <v>30388</v>
      </c>
      <c r="V129" s="199">
        <v>33442</v>
      </c>
      <c r="W129" s="199">
        <v>30436</v>
      </c>
      <c r="X129" s="199">
        <v>31244</v>
      </c>
      <c r="Y129" s="199">
        <v>28263</v>
      </c>
      <c r="Z129" s="199">
        <v>33268</v>
      </c>
      <c r="AA129" s="199">
        <v>28500</v>
      </c>
      <c r="AB129" s="199">
        <v>28776</v>
      </c>
      <c r="AC129" s="199">
        <v>31040</v>
      </c>
      <c r="AD129" s="199">
        <v>31924</v>
      </c>
      <c r="AE129" s="199">
        <v>32159.999999999996</v>
      </c>
      <c r="AF129" s="199">
        <v>24292</v>
      </c>
      <c r="AG129" s="199">
        <v>30076</v>
      </c>
      <c r="AH129" s="199">
        <v>35092</v>
      </c>
      <c r="AI129" s="199">
        <v>32878</v>
      </c>
      <c r="AJ129" s="199">
        <v>32664</v>
      </c>
      <c r="AK129" s="199">
        <v>30582</v>
      </c>
      <c r="AL129" s="199">
        <v>33656</v>
      </c>
      <c r="AM129" s="199">
        <v>33876</v>
      </c>
      <c r="AN129" s="199">
        <v>26654</v>
      </c>
      <c r="AO129" s="199">
        <v>36116</v>
      </c>
      <c r="AP129" s="199">
        <v>35796</v>
      </c>
      <c r="AQ129" s="199">
        <v>32952</v>
      </c>
      <c r="AR129" s="199">
        <v>35528</v>
      </c>
      <c r="AS129" s="199">
        <v>31516</v>
      </c>
      <c r="AT129" s="199">
        <v>35008</v>
      </c>
      <c r="AU129" s="199">
        <v>35800</v>
      </c>
      <c r="AV129" s="199">
        <v>36896</v>
      </c>
      <c r="AW129" s="199">
        <v>36136</v>
      </c>
      <c r="AX129" s="96">
        <v>11.43</v>
      </c>
      <c r="AY129" s="96">
        <v>11.71</v>
      </c>
      <c r="AZ129" s="96">
        <v>9.9700000000000006</v>
      </c>
      <c r="BA129" s="96">
        <v>11.37</v>
      </c>
      <c r="BB129" s="96">
        <v>11.1</v>
      </c>
      <c r="BC129" s="96">
        <v>12.96</v>
      </c>
      <c r="BD129" s="96">
        <v>10.66</v>
      </c>
      <c r="BE129" s="96">
        <v>9.89</v>
      </c>
      <c r="BF129" s="96">
        <v>9.14</v>
      </c>
      <c r="BG129" s="96">
        <v>9.67</v>
      </c>
      <c r="BH129" s="96">
        <v>10.210000000000001</v>
      </c>
      <c r="BI129" s="96">
        <v>11.72</v>
      </c>
      <c r="BJ129" s="96">
        <v>9.36</v>
      </c>
      <c r="BK129" s="96">
        <v>10.46</v>
      </c>
      <c r="BL129" s="96">
        <v>11.11</v>
      </c>
      <c r="BM129" s="96">
        <v>10.44</v>
      </c>
      <c r="BN129" s="96">
        <v>11.66</v>
      </c>
      <c r="BO129" s="96">
        <v>10.28</v>
      </c>
      <c r="BP129" s="96">
        <v>10.49</v>
      </c>
      <c r="BQ129" s="96">
        <v>9.51</v>
      </c>
      <c r="BR129" s="96">
        <v>11.09</v>
      </c>
      <c r="BS129" s="96">
        <v>9.59</v>
      </c>
      <c r="BT129" s="96">
        <v>9.48</v>
      </c>
      <c r="BU129" s="96">
        <v>10.4</v>
      </c>
      <c r="BV129" s="96">
        <v>9.44</v>
      </c>
      <c r="BW129" s="96">
        <v>10.83</v>
      </c>
      <c r="BX129" s="96">
        <v>8.67</v>
      </c>
      <c r="BY129" s="96">
        <v>10.11</v>
      </c>
      <c r="BZ129" s="96">
        <v>11.61</v>
      </c>
      <c r="CA129" s="96">
        <v>10.65</v>
      </c>
      <c r="CB129" s="96">
        <v>11.35</v>
      </c>
      <c r="CC129" s="96">
        <v>10.68</v>
      </c>
      <c r="CD129" s="96">
        <v>11.95</v>
      </c>
      <c r="CE129" s="96">
        <v>11.86</v>
      </c>
      <c r="CF129" s="96">
        <v>9.34</v>
      </c>
      <c r="CG129" s="96">
        <v>12.83</v>
      </c>
      <c r="CH129" s="96">
        <v>12.41</v>
      </c>
      <c r="CI129" s="96">
        <v>11.31</v>
      </c>
      <c r="CJ129" s="96">
        <v>12.23</v>
      </c>
      <c r="CK129" s="96">
        <v>10.6</v>
      </c>
      <c r="CL129" s="96">
        <v>11.8</v>
      </c>
      <c r="CM129" s="96">
        <v>11.8</v>
      </c>
      <c r="CN129" s="96">
        <v>13.31</v>
      </c>
      <c r="CO129" s="96">
        <v>12.15</v>
      </c>
      <c r="CP129" s="345">
        <f>SUM(Input_Raw[[#This Row],[P-01]:[P-56]])/1000</f>
        <v>1399.3510000000001</v>
      </c>
      <c r="CQ129" s="346">
        <f>IFERROR(AVERAGEIF(Input_Raw[[#This Row],[WS_P-01]:[WS_P-56]],"&lt;&gt;",Input_Raw[[#This Row],[WS_P-01]:[WS_P-56]]),"")</f>
        <v>10.877954545454546</v>
      </c>
      <c r="CR129" s="347">
        <f>MAX(Input_Raw[[#This Row],[WS_P-01]:[WS_P-56]])</f>
        <v>13.31</v>
      </c>
      <c r="CS129" s="347"/>
      <c r="CT129" s="348">
        <f>SUM(Input_Raw[[#This Row],[P-08]:[P-13]],Input_Raw[[#This Row],[P-25]:[P-28]])</f>
        <v>300612</v>
      </c>
      <c r="CU129" s="348"/>
      <c r="CV129" s="348">
        <f>SUM(Input_Raw[[#This Row],[P-04]],Input_Raw[[#This Row],[P-14]:[P-17]],Input_Raw[[#This Row],[P-19]:[P-20]],Input_Raw[[#This Row],[P-22]:[P-23]],Input_Raw[[#This Row],[P-34]],Input_Raw[[#This Row],[P-38]],Input_Raw[[#This Row],[P-43]])</f>
        <v>365995</v>
      </c>
      <c r="CW129" s="348"/>
      <c r="CX129" s="348">
        <f>SUM(Input_Raw[[#This Row],[P-05]:[P-06]],Input_Raw[[#This Row],[P-40]:[P-42]],Input_Raw[[#This Row],[P-45]],Input_Raw[[#This Row],[P-46]],Input_Raw[[#This Row],[P-47]:[P-48]])</f>
        <v>307798</v>
      </c>
      <c r="CY129" s="348"/>
      <c r="CZ129" s="348">
        <f>SUM(Input_Raw[[#This Row],[P-01]:[P-03]],Input_Raw[[#This Row],[P-07]],Input_Raw[[#This Row],[P-18]],Input_Raw[[#This Row],[P-31]:[P-32]],Input_Raw[[#This Row],[P-37]],Input_Raw[[#This Row],[P-50]:[P-56]])</f>
        <v>424946</v>
      </c>
      <c r="DA129" s="349"/>
      <c r="DB129" s="350">
        <f>Input_Raw[[#This Row],[33 kV_Wind_F1_Export reading]]/1000</f>
        <v>300.61200000000002</v>
      </c>
      <c r="DC129" s="350"/>
      <c r="DD129" s="350">
        <f>Input_Raw[[#This Row],[33 kV_Wind_F2_Export_reading]]/1000</f>
        <v>365.995</v>
      </c>
      <c r="DE129" s="350"/>
      <c r="DF129" s="350">
        <f>Input_Raw[[#This Row],[33 kV_Wind_F3_Export_Reading]]/1000</f>
        <v>307.798</v>
      </c>
      <c r="DG129" s="350"/>
      <c r="DH129" s="350">
        <f>Input_Raw[[#This Row],[33 kV_Wind_F4_Export Reading]]/1000</f>
        <v>424.94600000000003</v>
      </c>
      <c r="DI129" s="350"/>
      <c r="DJ129" s="350">
        <f>Input_Raw[[#This Row],[33 kV_F1_Total_Export (MWh)]]+Input_Raw[[#This Row],[33 kV_F2_Total_Export (MWh)2]]+Input_Raw[[#This Row],[33 kV_Wind_F3_Export (MWh)]]+Input_Raw[[#This Row],[33 kV_Wind_F4_Export (MWh)]]</f>
        <v>1399.3510000000001</v>
      </c>
      <c r="DK129" s="350">
        <f>Input_Raw[[#This Row],[33 kV_Wind_F1_Import (MWh)]]+Input_Raw[[#This Row],[33 kV_Wind_F2_Import (MWh)]]+Input_Raw[[#This Row],[33 kV_Wind_F3_Import (MWh)2]]+Input_Raw[[#This Row],[33 kV_Wind_F4_Import (MWh)2]]</f>
        <v>0</v>
      </c>
      <c r="DL129" s="351">
        <f>IFERROR(Input_Raw[[#This Row],[33 kV_Wind_Total_Export (MWh)]]/Input_Raw[[#This Row],[WTG Total Gneration (MWh)]]-1,"")</f>
        <v>0</v>
      </c>
      <c r="DM129" s="352"/>
      <c r="DN129" s="186">
        <v>88</v>
      </c>
      <c r="DO129" s="186">
        <v>3951.87</v>
      </c>
      <c r="DP129" s="102">
        <v>1386.1</v>
      </c>
      <c r="DQ129" s="352"/>
      <c r="DR129" s="181">
        <v>70.400000000000006</v>
      </c>
    </row>
    <row r="130" spans="1:122">
      <c r="A130" s="92">
        <f t="shared" si="74"/>
        <v>45870</v>
      </c>
      <c r="B130" s="190">
        <f>YEAR(Input_Raw[[#This Row],[Date]])+IF(MONTH(Input_Raw[[#This Row],[Date]])&gt;=4,1,0)</f>
        <v>2026</v>
      </c>
      <c r="C130" s="190">
        <f>YEAR(Input_Raw[[#This Row],[Date]])</f>
        <v>2025</v>
      </c>
      <c r="D130" s="11">
        <f t="shared" si="178"/>
        <v>45870</v>
      </c>
      <c r="E130" s="190">
        <f>DAY(EOMONTH(Input_Raw[[#This Row],[Date]],0))</f>
        <v>31</v>
      </c>
      <c r="F130" s="199">
        <v>21712</v>
      </c>
      <c r="G130" s="199">
        <v>15956</v>
      </c>
      <c r="H130" s="199">
        <v>15900</v>
      </c>
      <c r="I130" s="199">
        <v>15924</v>
      </c>
      <c r="J130" s="199">
        <v>21060</v>
      </c>
      <c r="K130" s="199">
        <v>18624</v>
      </c>
      <c r="L130" s="199">
        <v>16418</v>
      </c>
      <c r="M130" s="199">
        <v>13628</v>
      </c>
      <c r="N130" s="199">
        <v>10322</v>
      </c>
      <c r="O130" s="199">
        <v>13932</v>
      </c>
      <c r="P130" s="199">
        <v>18376</v>
      </c>
      <c r="Q130" s="199">
        <v>19856</v>
      </c>
      <c r="R130" s="199">
        <v>18508</v>
      </c>
      <c r="S130" s="199">
        <v>15396</v>
      </c>
      <c r="T130" s="199">
        <v>13920</v>
      </c>
      <c r="U130" s="199">
        <v>15470</v>
      </c>
      <c r="V130" s="199">
        <v>17612</v>
      </c>
      <c r="W130" s="199">
        <v>15696</v>
      </c>
      <c r="X130" s="199">
        <v>13616</v>
      </c>
      <c r="Y130" s="199">
        <v>10816</v>
      </c>
      <c r="Z130" s="199">
        <v>16724</v>
      </c>
      <c r="AA130" s="199">
        <v>14288</v>
      </c>
      <c r="AB130" s="199">
        <v>13752</v>
      </c>
      <c r="AC130" s="199">
        <v>15772</v>
      </c>
      <c r="AD130" s="199">
        <v>17444</v>
      </c>
      <c r="AE130" s="199">
        <v>15516</v>
      </c>
      <c r="AF130" s="199">
        <v>13496</v>
      </c>
      <c r="AG130" s="199">
        <v>12440</v>
      </c>
      <c r="AH130" s="199">
        <v>16968</v>
      </c>
      <c r="AI130" s="199">
        <v>15578</v>
      </c>
      <c r="AJ130" s="199">
        <v>16756</v>
      </c>
      <c r="AK130" s="199">
        <v>11284</v>
      </c>
      <c r="AL130" s="199">
        <v>20444</v>
      </c>
      <c r="AM130" s="199">
        <v>19516</v>
      </c>
      <c r="AN130" s="199">
        <v>12080</v>
      </c>
      <c r="AO130" s="199">
        <v>22308</v>
      </c>
      <c r="AP130" s="199">
        <v>21992</v>
      </c>
      <c r="AQ130" s="199">
        <v>19464</v>
      </c>
      <c r="AR130" s="199">
        <v>21480</v>
      </c>
      <c r="AS130" s="199">
        <v>16088.000000000002</v>
      </c>
      <c r="AT130" s="199">
        <v>18648</v>
      </c>
      <c r="AU130" s="199">
        <v>17848</v>
      </c>
      <c r="AV130" s="199">
        <v>23068</v>
      </c>
      <c r="AW130" s="199">
        <v>19928</v>
      </c>
      <c r="AX130" s="96">
        <v>8.1300000000000008</v>
      </c>
      <c r="AY130" s="96">
        <v>7.24</v>
      </c>
      <c r="AZ130" s="96">
        <v>7.43</v>
      </c>
      <c r="BA130" s="96">
        <v>7.86</v>
      </c>
      <c r="BB130" s="96">
        <v>8.1300000000000008</v>
      </c>
      <c r="BC130" s="96">
        <v>8.49</v>
      </c>
      <c r="BD130" s="96">
        <v>6.71</v>
      </c>
      <c r="BE130" s="96">
        <v>6.89</v>
      </c>
      <c r="BF130" s="96">
        <v>6.61</v>
      </c>
      <c r="BG130" s="96">
        <v>7.63</v>
      </c>
      <c r="BH130" s="96">
        <v>7.56</v>
      </c>
      <c r="BI130" s="96">
        <v>8.41</v>
      </c>
      <c r="BJ130" s="96">
        <v>6.4</v>
      </c>
      <c r="BK130" s="96">
        <v>7.5</v>
      </c>
      <c r="BL130" s="96">
        <v>7.51</v>
      </c>
      <c r="BM130" s="96">
        <v>7.72</v>
      </c>
      <c r="BN130" s="96">
        <v>7.77</v>
      </c>
      <c r="BO130" s="96">
        <v>7.33</v>
      </c>
      <c r="BP130" s="96">
        <v>7.06</v>
      </c>
      <c r="BQ130" s="96">
        <v>6.33</v>
      </c>
      <c r="BR130" s="96">
        <v>7.65</v>
      </c>
      <c r="BS130" s="96">
        <v>6.88</v>
      </c>
      <c r="BT130" s="96">
        <v>6.76</v>
      </c>
      <c r="BU130" s="96">
        <v>7.57</v>
      </c>
      <c r="BV130" s="96">
        <v>6.83</v>
      </c>
      <c r="BW130" s="96">
        <v>7.46</v>
      </c>
      <c r="BX130" s="96">
        <v>6.68</v>
      </c>
      <c r="BY130" s="96">
        <v>6.76</v>
      </c>
      <c r="BZ130" s="96">
        <v>7.69</v>
      </c>
      <c r="CA130" s="96">
        <v>7.28</v>
      </c>
      <c r="CB130" s="96">
        <v>7.59</v>
      </c>
      <c r="CC130" s="96">
        <v>6.94</v>
      </c>
      <c r="CD130" s="96">
        <v>8.7899999999999991</v>
      </c>
      <c r="CE130" s="96">
        <v>8.06</v>
      </c>
      <c r="CF130" s="96">
        <v>6.39</v>
      </c>
      <c r="CG130" s="96">
        <v>8.92</v>
      </c>
      <c r="CH130" s="96">
        <v>8.6999999999999993</v>
      </c>
      <c r="CI130" s="96">
        <v>8.01</v>
      </c>
      <c r="CJ130" s="96">
        <v>8.5299999999999994</v>
      </c>
      <c r="CK130" s="96">
        <v>7.45</v>
      </c>
      <c r="CL130" s="96">
        <v>8.06</v>
      </c>
      <c r="CM130" s="96">
        <v>7.75</v>
      </c>
      <c r="CN130" s="96">
        <v>9.0500000000000007</v>
      </c>
      <c r="CO130" s="96">
        <v>8.18</v>
      </c>
      <c r="CP130" s="360">
        <f>SUM(Input_Raw[[#This Row],[P-01]:[P-56]])/1000</f>
        <v>735.62400000000002</v>
      </c>
      <c r="CQ130" s="361">
        <f>IFERROR(AVERAGEIF(Input_Raw[[#This Row],[WS_P-01]:[WS_P-56]],"&lt;&gt;",Input_Raw[[#This Row],[WS_P-01]:[WS_P-56]]),"")</f>
        <v>7.561136363636364</v>
      </c>
      <c r="CR130" s="362">
        <f>MAX(Input_Raw[[#This Row],[WS_P-01]:[WS_P-56]])</f>
        <v>9.0500000000000007</v>
      </c>
      <c r="CS130" s="362"/>
      <c r="CT130" s="363">
        <f>SUM(Input_Raw[[#This Row],[P-08]:[P-13]],Input_Raw[[#This Row],[P-25]:[P-28]])</f>
        <v>157106</v>
      </c>
      <c r="CU130" s="363"/>
      <c r="CV130" s="363">
        <f>SUM(Input_Raw[[#This Row],[P-04]],Input_Raw[[#This Row],[P-14]:[P-17]],Input_Raw[[#This Row],[P-19]:[P-20]],Input_Raw[[#This Row],[P-22]:[P-23]],Input_Raw[[#This Row],[P-34]],Input_Raw[[#This Row],[P-38]],Input_Raw[[#This Row],[P-43]])</f>
        <v>179570</v>
      </c>
      <c r="CW130" s="363"/>
      <c r="CX130" s="363">
        <f>SUM(Input_Raw[[#This Row],[P-05]:[P-06]],Input_Raw[[#This Row],[P-40]:[P-42]],Input_Raw[[#This Row],[P-45]],Input_Raw[[#This Row],[P-46]],Input_Raw[[#This Row],[P-47]:[P-48]])</f>
        <v>176172</v>
      </c>
      <c r="CY130" s="363"/>
      <c r="CZ130" s="363">
        <f>SUM(Input_Raw[[#This Row],[P-01]:[P-03]],Input_Raw[[#This Row],[P-07]],Input_Raw[[#This Row],[P-18]],Input_Raw[[#This Row],[P-31]:[P-32]],Input_Raw[[#This Row],[P-37]],Input_Raw[[#This Row],[P-50]:[P-56]])</f>
        <v>222776</v>
      </c>
      <c r="DA130" s="364"/>
      <c r="DB130" s="365">
        <f>Input_Raw[[#This Row],[33 kV_Wind_F1_Export reading]]/1000</f>
        <v>157.10599999999999</v>
      </c>
      <c r="DC130" s="365"/>
      <c r="DD130" s="365">
        <f>Input_Raw[[#This Row],[33 kV_Wind_F2_Export_reading]]/1000</f>
        <v>179.57</v>
      </c>
      <c r="DE130" s="365"/>
      <c r="DF130" s="365">
        <f>Input_Raw[[#This Row],[33 kV_Wind_F3_Export_Reading]]/1000</f>
        <v>176.172</v>
      </c>
      <c r="DG130" s="365"/>
      <c r="DH130" s="365">
        <f>Input_Raw[[#This Row],[33 kV_Wind_F4_Export Reading]]/1000</f>
        <v>222.77600000000001</v>
      </c>
      <c r="DI130" s="365"/>
      <c r="DJ130" s="365">
        <f>Input_Raw[[#This Row],[33 kV_F1_Total_Export (MWh)]]+Input_Raw[[#This Row],[33 kV_F2_Total_Export (MWh)2]]+Input_Raw[[#This Row],[33 kV_Wind_F3_Export (MWh)]]+Input_Raw[[#This Row],[33 kV_Wind_F4_Export (MWh)]]</f>
        <v>735.62400000000002</v>
      </c>
      <c r="DK130" s="365">
        <f>Input_Raw[[#This Row],[33 kV_Wind_F1_Import (MWh)]]+Input_Raw[[#This Row],[33 kV_Wind_F2_Import (MWh)]]+Input_Raw[[#This Row],[33 kV_Wind_F3_Import (MWh)2]]+Input_Raw[[#This Row],[33 kV_Wind_F4_Import (MWh)2]]</f>
        <v>0</v>
      </c>
      <c r="DL130" s="366">
        <f>IFERROR(Input_Raw[[#This Row],[33 kV_Wind_Total_Export (MWh)]]/Input_Raw[[#This Row],[WTG Total Gneration (MWh)]]-1,"")</f>
        <v>0</v>
      </c>
      <c r="DM130" s="367"/>
      <c r="DN130" s="186">
        <v>88</v>
      </c>
      <c r="DO130" s="186">
        <v>28468</v>
      </c>
      <c r="DP130" s="102">
        <v>665.1</v>
      </c>
      <c r="DQ130" s="367"/>
      <c r="DR130" s="181">
        <v>70.400000000000006</v>
      </c>
    </row>
    <row r="131" spans="1:122">
      <c r="A131" s="92">
        <f t="shared" si="74"/>
        <v>45871</v>
      </c>
      <c r="B131" s="190">
        <f>YEAR(Input_Raw[[#This Row],[Date]])+IF(MONTH(Input_Raw[[#This Row],[Date]])&gt;=4,1,0)</f>
        <v>2026</v>
      </c>
      <c r="C131" s="190">
        <f>YEAR(Input_Raw[[#This Row],[Date]])</f>
        <v>2025</v>
      </c>
      <c r="D131" s="11">
        <f t="shared" ref="D131" si="179">A131-DAY(A131)+1</f>
        <v>45870</v>
      </c>
      <c r="E131" s="190">
        <f>DAY(EOMONTH(Input_Raw[[#This Row],[Date]],0))</f>
        <v>31</v>
      </c>
      <c r="F131" s="199">
        <v>14980</v>
      </c>
      <c r="G131" s="199">
        <v>10700</v>
      </c>
      <c r="H131" s="199">
        <v>10916</v>
      </c>
      <c r="I131" s="199">
        <v>11802</v>
      </c>
      <c r="J131" s="199">
        <v>14880</v>
      </c>
      <c r="K131" s="199">
        <v>11216</v>
      </c>
      <c r="L131" s="199">
        <v>9812</v>
      </c>
      <c r="M131" s="199">
        <v>7680</v>
      </c>
      <c r="N131" s="199">
        <v>5788</v>
      </c>
      <c r="O131" s="199">
        <v>7956</v>
      </c>
      <c r="P131" s="199">
        <v>9490</v>
      </c>
      <c r="Q131" s="199">
        <v>9772</v>
      </c>
      <c r="R131" s="199">
        <v>8376</v>
      </c>
      <c r="S131" s="199">
        <v>8392</v>
      </c>
      <c r="T131" s="199">
        <v>7934</v>
      </c>
      <c r="U131" s="199">
        <v>8676</v>
      </c>
      <c r="V131" s="199">
        <v>9616</v>
      </c>
      <c r="W131" s="199">
        <v>10684</v>
      </c>
      <c r="X131" s="199">
        <v>7940</v>
      </c>
      <c r="Y131" s="199">
        <v>6323</v>
      </c>
      <c r="Z131" s="199">
        <v>11308</v>
      </c>
      <c r="AA131" s="199">
        <v>11092</v>
      </c>
      <c r="AB131" s="199">
        <v>9168</v>
      </c>
      <c r="AC131" s="199">
        <v>10188</v>
      </c>
      <c r="AD131" s="199">
        <v>10252</v>
      </c>
      <c r="AE131" s="199">
        <v>8248</v>
      </c>
      <c r="AF131" s="199">
        <v>9092</v>
      </c>
      <c r="AG131" s="199">
        <v>8176</v>
      </c>
      <c r="AH131" s="199">
        <v>11860</v>
      </c>
      <c r="AI131" s="199">
        <v>10116</v>
      </c>
      <c r="AJ131" s="199">
        <v>9200</v>
      </c>
      <c r="AK131" s="199">
        <v>6744</v>
      </c>
      <c r="AL131" s="199">
        <v>14724</v>
      </c>
      <c r="AM131" s="199">
        <v>12796</v>
      </c>
      <c r="AN131" s="199">
        <v>6276</v>
      </c>
      <c r="AO131" s="199">
        <v>15940</v>
      </c>
      <c r="AP131" s="199">
        <v>16032</v>
      </c>
      <c r="AQ131" s="199">
        <v>14060</v>
      </c>
      <c r="AR131" s="199">
        <v>14968</v>
      </c>
      <c r="AS131" s="199">
        <v>10780</v>
      </c>
      <c r="AT131" s="199">
        <v>12738</v>
      </c>
      <c r="AU131" s="199">
        <v>12336</v>
      </c>
      <c r="AV131" s="199">
        <v>15760</v>
      </c>
      <c r="AW131" s="199">
        <v>11988</v>
      </c>
      <c r="AX131" s="95">
        <v>7.11</v>
      </c>
      <c r="AY131" s="95">
        <v>6.32</v>
      </c>
      <c r="AZ131" s="95">
        <v>6.58</v>
      </c>
      <c r="BA131" s="95">
        <v>6.99</v>
      </c>
      <c r="BB131" s="95">
        <v>7.26</v>
      </c>
      <c r="BC131" s="95">
        <v>7.06</v>
      </c>
      <c r="BD131" s="95">
        <v>5.61</v>
      </c>
      <c r="BE131" s="95">
        <v>5.88</v>
      </c>
      <c r="BF131" s="95">
        <v>5.64</v>
      </c>
      <c r="BG131" s="95">
        <v>6.51</v>
      </c>
      <c r="BH131" s="95">
        <v>6.09</v>
      </c>
      <c r="BI131" s="95">
        <v>6.7</v>
      </c>
      <c r="BJ131" s="95">
        <v>5.03</v>
      </c>
      <c r="BK131" s="95">
        <v>6.32</v>
      </c>
      <c r="BL131" s="95">
        <v>6.28</v>
      </c>
      <c r="BM131" s="95">
        <v>6.55</v>
      </c>
      <c r="BN131" s="95">
        <v>6.36</v>
      </c>
      <c r="BO131" s="95">
        <v>6.52</v>
      </c>
      <c r="BP131" s="95">
        <v>6.01</v>
      </c>
      <c r="BQ131" s="95">
        <v>5.48</v>
      </c>
      <c r="BR131" s="95">
        <v>6.81</v>
      </c>
      <c r="BS131" s="95">
        <v>6.39</v>
      </c>
      <c r="BT131" s="95">
        <v>6.01</v>
      </c>
      <c r="BU131" s="95">
        <v>6.7</v>
      </c>
      <c r="BV131" s="95">
        <v>5.88</v>
      </c>
      <c r="BW131" s="95">
        <v>6.22</v>
      </c>
      <c r="BX131" s="95">
        <v>5.92</v>
      </c>
      <c r="BY131" s="95">
        <v>5.97</v>
      </c>
      <c r="BZ131" s="95">
        <v>6.91</v>
      </c>
      <c r="CA131" s="95">
        <v>6.39</v>
      </c>
      <c r="CB131" s="95">
        <v>6.21</v>
      </c>
      <c r="CC131" s="95">
        <v>5.93</v>
      </c>
      <c r="CD131" s="95">
        <v>7.86</v>
      </c>
      <c r="CE131" s="95">
        <v>6.76</v>
      </c>
      <c r="CF131" s="95">
        <v>5.17</v>
      </c>
      <c r="CG131" s="95">
        <v>7.92</v>
      </c>
      <c r="CH131" s="95">
        <v>7.75</v>
      </c>
      <c r="CI131" s="95">
        <v>7.11</v>
      </c>
      <c r="CJ131" s="95">
        <v>7.44</v>
      </c>
      <c r="CK131" s="95">
        <v>6.51</v>
      </c>
      <c r="CL131" s="95">
        <v>7.04</v>
      </c>
      <c r="CM131" s="95">
        <v>6.88</v>
      </c>
      <c r="CN131" s="95">
        <v>7.78</v>
      </c>
      <c r="CO131" s="95">
        <v>6.89</v>
      </c>
      <c r="CP131" s="345">
        <f>SUM(Input_Raw[[#This Row],[P-01]:[P-56]])/1000</f>
        <v>466.77499999999998</v>
      </c>
      <c r="CQ131" s="346">
        <f>IFERROR(AVERAGEIF(Input_Raw[[#This Row],[WS_P-01]:[WS_P-56]],"&lt;&gt;",Input_Raw[[#This Row],[WS_P-01]:[WS_P-56]]),"")</f>
        <v>6.5170454545454533</v>
      </c>
      <c r="CR131" s="347">
        <f>MAX(Input_Raw[[#This Row],[WS_P-01]:[WS_P-56]])</f>
        <v>7.92</v>
      </c>
      <c r="CS131" s="347"/>
      <c r="CT131" s="348">
        <f>SUM(Input_Raw[[#This Row],[P-08]:[P-13]],Input_Raw[[#This Row],[P-25]:[P-28]])</f>
        <v>86918</v>
      </c>
      <c r="CU131" s="348"/>
      <c r="CV131" s="348">
        <f>SUM(Input_Raw[[#This Row],[P-04]],Input_Raw[[#This Row],[P-14]:[P-17]],Input_Raw[[#This Row],[P-19]:[P-20]],Input_Raw[[#This Row],[P-22]:[P-23]],Input_Raw[[#This Row],[P-34]],Input_Raw[[#This Row],[P-38]],Input_Raw[[#This Row],[P-43]])</f>
        <v>110419</v>
      </c>
      <c r="CW131" s="348"/>
      <c r="CX131" s="348">
        <f>SUM(Input_Raw[[#This Row],[P-05]:[P-06]],Input_Raw[[#This Row],[P-40]:[P-42]],Input_Raw[[#This Row],[P-45]],Input_Raw[[#This Row],[P-46]],Input_Raw[[#This Row],[P-47]:[P-48]])</f>
        <v>121360</v>
      </c>
      <c r="CY131" s="348"/>
      <c r="CZ131" s="348">
        <f>SUM(Input_Raw[[#This Row],[P-01]:[P-03]],Input_Raw[[#This Row],[P-07]],Input_Raw[[#This Row],[P-18]],Input_Raw[[#This Row],[P-31]:[P-32]],Input_Raw[[#This Row],[P-37]],Input_Raw[[#This Row],[P-50]:[P-56]])</f>
        <v>148078</v>
      </c>
      <c r="DA131" s="349"/>
      <c r="DB131" s="350">
        <f>Input_Raw[[#This Row],[33 kV_Wind_F1_Export reading]]/1000</f>
        <v>86.918000000000006</v>
      </c>
      <c r="DC131" s="350"/>
      <c r="DD131" s="350">
        <f>Input_Raw[[#This Row],[33 kV_Wind_F2_Export_reading]]/1000</f>
        <v>110.419</v>
      </c>
      <c r="DE131" s="350"/>
      <c r="DF131" s="350">
        <f>Input_Raw[[#This Row],[33 kV_Wind_F3_Export_Reading]]/1000</f>
        <v>121.36</v>
      </c>
      <c r="DG131" s="350"/>
      <c r="DH131" s="350">
        <f>Input_Raw[[#This Row],[33 kV_Wind_F4_Export Reading]]/1000</f>
        <v>148.078</v>
      </c>
      <c r="DI131" s="350"/>
      <c r="DJ131" s="350">
        <f>Input_Raw[[#This Row],[33 kV_F1_Total_Export (MWh)]]+Input_Raw[[#This Row],[33 kV_F2_Total_Export (MWh)2]]+Input_Raw[[#This Row],[33 kV_Wind_F3_Export (MWh)]]+Input_Raw[[#This Row],[33 kV_Wind_F4_Export (MWh)]]</f>
        <v>466.77499999999998</v>
      </c>
      <c r="DK131" s="350">
        <f>Input_Raw[[#This Row],[33 kV_Wind_F1_Import (MWh)]]+Input_Raw[[#This Row],[33 kV_Wind_F2_Import (MWh)]]+Input_Raw[[#This Row],[33 kV_Wind_F3_Import (MWh)2]]+Input_Raw[[#This Row],[33 kV_Wind_F4_Import (MWh)2]]</f>
        <v>0</v>
      </c>
      <c r="DL131" s="351">
        <f>IFERROR(Input_Raw[[#This Row],[33 kV_Wind_Total_Export (MWh)]]/Input_Raw[[#This Row],[WTG Total Gneration (MWh)]]-1,"")</f>
        <v>0</v>
      </c>
      <c r="DM131" s="352"/>
      <c r="DN131" s="186">
        <v>87</v>
      </c>
      <c r="DO131" s="186">
        <v>10483</v>
      </c>
      <c r="DP131" s="102">
        <v>416.51</v>
      </c>
      <c r="DQ131" s="352"/>
      <c r="DR131" s="181">
        <v>70.400000000000006</v>
      </c>
    </row>
    <row r="132" spans="1:122">
      <c r="F132" s="199"/>
      <c r="G132" s="199"/>
      <c r="H132" s="199"/>
      <c r="I132" s="199"/>
      <c r="J132" s="199"/>
      <c r="K132" s="199"/>
      <c r="L132" s="199"/>
      <c r="M132" s="199"/>
      <c r="N132" s="199"/>
      <c r="O132" s="199"/>
      <c r="P132" s="199"/>
      <c r="Q132" s="199"/>
      <c r="R132" s="199"/>
      <c r="S132" s="199"/>
      <c r="T132" s="199"/>
      <c r="U132" s="199"/>
      <c r="V132" s="199"/>
      <c r="W132" s="199"/>
      <c r="X132" s="199"/>
      <c r="Y132" s="199"/>
      <c r="Z132" s="199"/>
      <c r="AA132" s="199"/>
      <c r="AB132" s="199"/>
      <c r="AC132" s="199"/>
      <c r="AD132" s="199"/>
      <c r="AE132" s="199"/>
      <c r="AF132" s="199"/>
      <c r="AG132" s="199"/>
      <c r="AH132" s="199"/>
      <c r="AI132" s="199"/>
      <c r="AJ132" s="199"/>
      <c r="AK132" s="199"/>
      <c r="AL132" s="199"/>
      <c r="AM132" s="199"/>
      <c r="AN132" s="199"/>
      <c r="AO132" s="199"/>
      <c r="AP132" s="199"/>
      <c r="AQ132" s="199"/>
      <c r="AR132" s="199"/>
      <c r="AS132" s="199"/>
      <c r="AT132" s="199"/>
      <c r="AU132" s="199"/>
      <c r="AV132" s="199"/>
      <c r="AW132" s="199"/>
      <c r="AX132" s="199"/>
      <c r="AY132" s="199"/>
      <c r="AZ132" s="199"/>
    </row>
    <row r="133" spans="1:122">
      <c r="F133" s="199"/>
      <c r="G133" s="199"/>
      <c r="H133" s="199"/>
      <c r="I133" s="199"/>
      <c r="J133" s="199"/>
      <c r="K133" s="199"/>
      <c r="L133" s="199"/>
      <c r="M133" s="199"/>
      <c r="N133" s="199"/>
      <c r="O133" s="199"/>
      <c r="P133" s="199"/>
      <c r="Q133" s="199"/>
      <c r="R133" s="199"/>
      <c r="S133" s="199"/>
      <c r="T133" s="199"/>
      <c r="U133" s="199"/>
      <c r="V133" s="199"/>
      <c r="W133" s="199"/>
      <c r="X133" s="199"/>
      <c r="Y133" s="199"/>
      <c r="Z133" s="199"/>
      <c r="AA133" s="199"/>
      <c r="AB133" s="199"/>
      <c r="AC133" s="199"/>
      <c r="AD133" s="199"/>
      <c r="AE133" s="199"/>
      <c r="AF133" s="199"/>
      <c r="AG133" s="199"/>
      <c r="AH133" s="199"/>
      <c r="AI133" s="199"/>
      <c r="AJ133" s="199"/>
      <c r="AK133" s="199"/>
      <c r="AL133" s="199"/>
      <c r="AM133" s="199"/>
      <c r="AN133" s="199"/>
      <c r="AO133" s="199"/>
      <c r="AP133" s="199"/>
      <c r="AQ133" s="199"/>
      <c r="AR133" s="199"/>
      <c r="AS133" s="199"/>
      <c r="AT133" s="199"/>
      <c r="AU133" s="199"/>
      <c r="AV133" s="199"/>
      <c r="AW133" s="199"/>
      <c r="AX133" s="211"/>
    </row>
    <row r="134" spans="1:122">
      <c r="F134" s="211"/>
      <c r="G134" s="211"/>
      <c r="H134" s="211"/>
      <c r="I134" s="211"/>
      <c r="J134" s="211"/>
      <c r="K134" s="211"/>
      <c r="L134" s="211"/>
      <c r="M134" s="211"/>
      <c r="N134" s="211"/>
      <c r="O134" s="211"/>
      <c r="P134" s="211"/>
      <c r="Q134" s="211"/>
      <c r="R134" s="211"/>
      <c r="S134" s="211"/>
      <c r="T134" s="211"/>
      <c r="U134" s="211"/>
      <c r="V134" s="211"/>
      <c r="W134" s="211"/>
      <c r="X134" s="211"/>
      <c r="Y134" s="211"/>
      <c r="Z134" s="211"/>
      <c r="AA134" s="211"/>
      <c r="AB134" s="211"/>
      <c r="AC134" s="211"/>
      <c r="AD134" s="211"/>
      <c r="AE134" s="211"/>
      <c r="AF134" s="211"/>
      <c r="AG134" s="211"/>
      <c r="AH134" s="211"/>
      <c r="AI134" s="211"/>
      <c r="AJ134" s="211"/>
      <c r="AK134" s="211"/>
      <c r="AL134" s="211"/>
      <c r="AM134" s="211"/>
      <c r="AN134" s="211"/>
      <c r="AO134" s="211"/>
      <c r="AP134" s="211"/>
      <c r="AQ134" s="211"/>
      <c r="AR134" s="211"/>
      <c r="AS134" s="211"/>
      <c r="AT134" s="211"/>
      <c r="AU134" s="211"/>
      <c r="AV134" s="211"/>
      <c r="AW134" s="211"/>
      <c r="AX134" s="211"/>
    </row>
    <row r="135" spans="1:122">
      <c r="F135" s="211"/>
      <c r="G135" s="211"/>
      <c r="H135" s="211"/>
      <c r="I135" s="211"/>
      <c r="J135" s="211"/>
      <c r="K135" s="211"/>
      <c r="L135" s="211"/>
      <c r="M135" s="211"/>
      <c r="N135" s="211"/>
      <c r="O135" s="211"/>
      <c r="P135" s="211"/>
      <c r="Q135" s="211"/>
      <c r="R135" s="211"/>
      <c r="S135" s="211"/>
      <c r="T135" s="211"/>
      <c r="U135" s="211"/>
      <c r="V135" s="211"/>
      <c r="W135" s="211"/>
      <c r="X135" s="211"/>
      <c r="Y135" s="211"/>
      <c r="Z135" s="211"/>
      <c r="AA135" s="211"/>
      <c r="AB135" s="211"/>
      <c r="AC135" s="211"/>
      <c r="AD135" s="211"/>
      <c r="AE135" s="211"/>
      <c r="AF135" s="211"/>
      <c r="AG135" s="211"/>
      <c r="AH135" s="211"/>
      <c r="AI135" s="211"/>
      <c r="AJ135" s="211"/>
      <c r="AK135" s="211"/>
      <c r="AL135" s="211"/>
      <c r="AM135" s="211"/>
      <c r="AN135" s="211"/>
      <c r="AO135" s="211"/>
      <c r="AP135" s="211"/>
      <c r="AQ135" s="211"/>
      <c r="AR135" s="211"/>
      <c r="AS135" s="211"/>
      <c r="AT135" s="211"/>
      <c r="AU135" s="211"/>
      <c r="AV135" s="211"/>
      <c r="AW135" s="211"/>
      <c r="AX135" s="211"/>
    </row>
    <row r="136" spans="1:122">
      <c r="F136" s="211"/>
      <c r="G136" s="211"/>
      <c r="H136" s="211"/>
      <c r="I136" s="211"/>
      <c r="J136" s="211"/>
      <c r="K136" s="211"/>
      <c r="L136" s="211"/>
      <c r="M136" s="211"/>
      <c r="N136" s="211"/>
      <c r="O136" s="211"/>
      <c r="P136" s="211"/>
      <c r="Q136" s="211"/>
      <c r="R136" s="211"/>
      <c r="S136" s="211"/>
      <c r="T136" s="211"/>
      <c r="U136" s="211"/>
      <c r="V136" s="211"/>
      <c r="W136" s="211"/>
      <c r="X136" s="211"/>
      <c r="Y136" s="211"/>
      <c r="Z136" s="211"/>
      <c r="AA136" s="211"/>
      <c r="AB136" s="211"/>
      <c r="AC136" s="211"/>
      <c r="AD136" s="211"/>
      <c r="AE136" s="211"/>
      <c r="AF136" s="211"/>
      <c r="AG136" s="211"/>
      <c r="AH136" s="211"/>
      <c r="AI136" s="211"/>
      <c r="AJ136" s="211"/>
      <c r="AK136" s="211"/>
      <c r="AL136" s="211"/>
      <c r="AM136" s="211"/>
      <c r="AN136" s="211"/>
      <c r="AO136" s="211"/>
      <c r="AP136" s="211"/>
      <c r="AQ136" s="211"/>
      <c r="AR136" s="211"/>
      <c r="AS136" s="211"/>
      <c r="AT136" s="211"/>
      <c r="AU136" s="211"/>
      <c r="AV136" s="211"/>
      <c r="AW136" s="211"/>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434"/>
  <sheetViews>
    <sheetView workbookViewId="0">
      <pane xSplit="6" ySplit="1" topLeftCell="G408" activePane="bottomRight" state="frozen"/>
      <selection pane="topRight" activeCell="G1" sqref="G1"/>
      <selection pane="bottomLeft" activeCell="A2" sqref="A2"/>
      <selection pane="bottomRight" activeCell="A415" sqref="A415"/>
    </sheetView>
  </sheetViews>
  <sheetFormatPr defaultRowHeight="15"/>
  <cols>
    <col min="2" max="2" width="8.42578125" customWidth="1"/>
    <col min="3" max="3" width="9.7109375" customWidth="1"/>
    <col min="4" max="4" width="10.7109375" customWidth="1"/>
    <col min="6" max="6" width="11.28515625" customWidth="1"/>
    <col min="7" max="7" width="12.42578125" style="1" customWidth="1"/>
    <col min="9" max="9" width="9.85546875" customWidth="1"/>
    <col min="10" max="10" width="17" customWidth="1"/>
    <col min="11" max="11" width="10.140625" customWidth="1"/>
    <col min="12" max="12" width="30.42578125" customWidth="1"/>
    <col min="13" max="13" width="51.28515625" bestFit="1" customWidth="1"/>
    <col min="14" max="14" width="13.140625" customWidth="1"/>
    <col min="15" max="15" width="18" style="1" customWidth="1"/>
    <col min="16" max="16" width="18.42578125" customWidth="1"/>
    <col min="17" max="17" width="16.7109375" customWidth="1"/>
    <col min="18" max="18" width="13.140625" style="1" customWidth="1"/>
    <col min="19" max="19" width="13.85546875" customWidth="1"/>
    <col min="20" max="20" width="14.42578125" customWidth="1"/>
    <col min="21" max="21" width="50" customWidth="1"/>
    <col min="23" max="23" width="13.5703125" style="1" customWidth="1"/>
    <col min="24" max="24" width="29.28515625" customWidth="1"/>
    <col min="25" max="25" width="15.140625" customWidth="1"/>
    <col min="26" max="26" width="14.85546875" customWidth="1"/>
    <col min="27" max="27" width="15.42578125" customWidth="1"/>
    <col min="28" max="28" width="10" customWidth="1"/>
    <col min="29" max="29" width="8.85546875" customWidth="1"/>
    <col min="30" max="30" width="13.42578125" customWidth="1"/>
  </cols>
  <sheetData>
    <row r="1" spans="1:30" s="23" customFormat="1" ht="63" customHeight="1">
      <c r="A1" s="279" t="s">
        <v>8</v>
      </c>
      <c r="B1" s="279" t="s">
        <v>3</v>
      </c>
      <c r="C1" s="279" t="s">
        <v>198</v>
      </c>
      <c r="D1" s="279" t="s">
        <v>318</v>
      </c>
      <c r="E1" s="279" t="s">
        <v>317</v>
      </c>
      <c r="F1" s="280" t="s">
        <v>197</v>
      </c>
      <c r="G1" s="279" t="s">
        <v>319</v>
      </c>
      <c r="H1" s="279" t="s">
        <v>320</v>
      </c>
      <c r="I1" s="279" t="s">
        <v>497</v>
      </c>
      <c r="J1" s="279" t="s">
        <v>321</v>
      </c>
      <c r="K1" s="279" t="s">
        <v>322</v>
      </c>
      <c r="L1" s="279" t="s">
        <v>323</v>
      </c>
      <c r="M1" s="279" t="s">
        <v>324</v>
      </c>
      <c r="N1" s="279" t="s">
        <v>919</v>
      </c>
      <c r="O1" s="279" t="s">
        <v>325</v>
      </c>
      <c r="P1" s="279" t="s">
        <v>326</v>
      </c>
      <c r="Q1" s="279" t="s">
        <v>327</v>
      </c>
      <c r="R1" s="279" t="s">
        <v>328</v>
      </c>
      <c r="S1" s="279" t="s">
        <v>329</v>
      </c>
      <c r="T1" s="279" t="s">
        <v>330</v>
      </c>
      <c r="U1" s="279" t="s">
        <v>331</v>
      </c>
      <c r="V1" s="279" t="s">
        <v>332</v>
      </c>
      <c r="W1" s="281" t="s">
        <v>333</v>
      </c>
      <c r="X1" s="281" t="s">
        <v>879</v>
      </c>
      <c r="Y1" s="279" t="s">
        <v>334</v>
      </c>
      <c r="Z1" s="282" t="s">
        <v>920</v>
      </c>
      <c r="AA1" s="282" t="s">
        <v>921</v>
      </c>
      <c r="AB1" s="282" t="s">
        <v>922</v>
      </c>
      <c r="AC1" s="282" t="s">
        <v>923</v>
      </c>
      <c r="AD1" s="23" t="s">
        <v>924</v>
      </c>
    </row>
    <row r="2" spans="1:30" s="23" customFormat="1">
      <c r="A2" s="79">
        <v>1</v>
      </c>
      <c r="B2" s="283">
        <f>YEAR(Table5[[#This Row],[Date]])+IF(MONTH(Table5[[#This Row],[Date]])&gt;=4,1,0)</f>
        <v>2025</v>
      </c>
      <c r="C2" s="79">
        <f>YEAR(Table5[[#This Row],[Date]])</f>
        <v>2025</v>
      </c>
      <c r="D2" s="79" t="s">
        <v>335</v>
      </c>
      <c r="E2" s="284">
        <f>Table5[[#This Row],[Date]]-DAY(Table5[[#This Row],[Date]])+1</f>
        <v>45717</v>
      </c>
      <c r="F2" s="285">
        <v>45745</v>
      </c>
      <c r="G2" s="79" t="s">
        <v>116</v>
      </c>
      <c r="H2" s="23" t="str">
        <f>IFERROR(_xlfn.XLOOKUP(Table5[[#This Row],[Affected WTG]],'Basic Data'!$A:$A,'Basic Data'!$B:$B),"")</f>
        <v>PWEPL</v>
      </c>
      <c r="I2" s="23" t="str">
        <f>IFERROR(_xlfn.XLOOKUP(Table5[[#This Row],[Affected WTG]],'Basic Data'!$A:$A,'Basic Data'!$C:$C),"")</f>
        <v>MSEDCL</v>
      </c>
      <c r="J2" s="286">
        <f>IFERROR(_xlfn.XLOOKUP(Table5[[#This Row],[Affected WTG]],'Basic Data'!$A:$A,'Basic Data'!$E:$E),"")</f>
        <v>2.2727272727272728E-2</v>
      </c>
      <c r="K2" s="79" t="s">
        <v>336</v>
      </c>
      <c r="L2" s="23" t="str">
        <f>IFERROR(_xlfn.XLOOKUP(Table5[[#This Row],[Error Code]],'Basic Data'!$W:$W,'Basic Data'!$X:$X),"Incorrect Error Code")</f>
        <v>Manual Stop - Preventive Maintenance Activity</v>
      </c>
      <c r="M2" s="23" t="s">
        <v>337</v>
      </c>
      <c r="O2" s="287">
        <v>0.41111111111111115</v>
      </c>
      <c r="P2" s="287">
        <v>0.41111111111111115</v>
      </c>
      <c r="Q2" s="287">
        <v>0.73958333333333337</v>
      </c>
      <c r="R2" s="91">
        <f t="shared" ref="R2:R65" si="0">Q2-O2</f>
        <v>0.32847222222222222</v>
      </c>
      <c r="S2" s="91">
        <f>(Table5[[#This Row],[Fault Clearance time]]-Table5[[#This Row],[Work Start TimeStamp]])*24</f>
        <v>7.8833333333333329</v>
      </c>
      <c r="T2" s="91">
        <f>(Table5[[#This Row],[Fault Clearance time]]-Table5[[#This Row],[Fault Start TimeStamp]])*24</f>
        <v>7.8833333333333329</v>
      </c>
      <c r="U2" s="23" t="s">
        <v>338</v>
      </c>
      <c r="V2" s="288" t="s">
        <v>339</v>
      </c>
      <c r="W2" s="289">
        <f>IFERROR(Table5[[#This Row],[Breakdown Time]]*Table5[[#This Row],[Plant Equivalent Weightage]],"")</f>
        <v>0.17916666666666667</v>
      </c>
      <c r="X2" s="289" t="s">
        <v>340</v>
      </c>
      <c r="Y2" s="290" t="s">
        <v>117</v>
      </c>
      <c r="Z2" s="79"/>
      <c r="AA2" s="283">
        <v>750</v>
      </c>
      <c r="AB2" s="79"/>
    </row>
    <row r="3" spans="1:30">
      <c r="A3" s="79">
        <f>A2+1</f>
        <v>2</v>
      </c>
      <c r="B3" s="283">
        <f>YEAR(Table5[[#This Row],[Date]])+IF(MONTH(Table5[[#This Row],[Date]])&gt;=4,1,0)</f>
        <v>2025</v>
      </c>
      <c r="C3" s="79">
        <f>YEAR(Table5[[#This Row],[Date]])</f>
        <v>2025</v>
      </c>
      <c r="D3" s="79" t="s">
        <v>335</v>
      </c>
      <c r="E3" s="284">
        <f>Table5[[#This Row],[Date]]-DAY(Table5[[#This Row],[Date]])+1</f>
        <v>45717</v>
      </c>
      <c r="F3" s="285">
        <v>45745</v>
      </c>
      <c r="G3" s="79" t="s">
        <v>119</v>
      </c>
      <c r="H3" s="23" t="str">
        <f>IFERROR(_xlfn.XLOOKUP(Table5[[#This Row],[Affected WTG]],'Basic Data'!$A:$A,'Basic Data'!$B:$B),"")</f>
        <v>PWEPL</v>
      </c>
      <c r="I3" s="23" t="str">
        <f>IFERROR(_xlfn.XLOOKUP(Table5[[#This Row],[Affected WTG]],'Basic Data'!$A:$A,'Basic Data'!$C:$C),"")</f>
        <v>MSEDCL</v>
      </c>
      <c r="J3" s="286">
        <f>IFERROR(_xlfn.XLOOKUP(Table5[[#This Row],[Affected WTG]],'Basic Data'!$A:$A,'Basic Data'!$E:$E),"")</f>
        <v>2.2727272727272728E-2</v>
      </c>
      <c r="K3" s="79">
        <v>86</v>
      </c>
      <c r="L3" s="23" t="str">
        <f>IFERROR(_xlfn.XLOOKUP(Table5[[#This Row],[Error Code]],'Basic Data'!$W:$W,'Basic Data'!$X:$X),"Incorrect Error Code")</f>
        <v>Braking pad of secondary brake worn out</v>
      </c>
      <c r="M3" s="23" t="s">
        <v>341</v>
      </c>
      <c r="N3" s="23"/>
      <c r="O3" s="287">
        <v>0.69027777777777777</v>
      </c>
      <c r="P3" s="287">
        <v>0.69027777777777777</v>
      </c>
      <c r="Q3" s="287">
        <v>0.80069444444444438</v>
      </c>
      <c r="R3" s="91">
        <f t="shared" si="0"/>
        <v>0.11041666666666661</v>
      </c>
      <c r="S3" s="91">
        <f>(Table5[[#This Row],[Fault Clearance time]]-Table5[[#This Row],[Work Start TimeStamp]])*24</f>
        <v>2.6499999999999986</v>
      </c>
      <c r="T3" s="91">
        <f>(Table5[[#This Row],[Fault Clearance time]]-Table5[[#This Row],[Fault Start TimeStamp]])*24</f>
        <v>2.6499999999999986</v>
      </c>
      <c r="U3" s="23" t="s">
        <v>342</v>
      </c>
      <c r="V3" s="79" t="s">
        <v>339</v>
      </c>
      <c r="W3" s="289">
        <f>IFERROR(Table5[[#This Row],[Breakdown Time]]*Table5[[#This Row],[Plant Equivalent Weightage]],"")</f>
        <v>6.0227272727272699E-2</v>
      </c>
      <c r="X3" s="289" t="s">
        <v>343</v>
      </c>
      <c r="Y3" s="290" t="s">
        <v>119</v>
      </c>
      <c r="Z3" s="79"/>
      <c r="AA3" s="283">
        <v>388</v>
      </c>
      <c r="AB3" s="79"/>
      <c r="AC3" s="23"/>
      <c r="AD3" s="23"/>
    </row>
    <row r="4" spans="1:30">
      <c r="A4" s="79">
        <f t="shared" ref="A4:A67" si="1">A3+1</f>
        <v>3</v>
      </c>
      <c r="B4" s="283">
        <f>YEAR(Table5[[#This Row],[Date]])+IF(MONTH(Table5[[#This Row],[Date]])&gt;=4,1,0)</f>
        <v>2025</v>
      </c>
      <c r="C4" s="79">
        <f>YEAR(Table5[[#This Row],[Date]])</f>
        <v>2025</v>
      </c>
      <c r="D4" s="79" t="s">
        <v>335</v>
      </c>
      <c r="E4" s="284">
        <f>Table5[[#This Row],[Date]]-DAY(Table5[[#This Row],[Date]])+1</f>
        <v>45717</v>
      </c>
      <c r="F4" s="285">
        <v>45747</v>
      </c>
      <c r="G4" s="79" t="s">
        <v>117</v>
      </c>
      <c r="H4" s="23" t="str">
        <f>IFERROR(_xlfn.XLOOKUP(Table5[[#This Row],[Affected WTG]],'Basic Data'!$A:$A,'Basic Data'!$B:$B),"")</f>
        <v>PWEPL</v>
      </c>
      <c r="I4" s="23" t="str">
        <f>IFERROR(_xlfn.XLOOKUP(Table5[[#This Row],[Affected WTG]],'Basic Data'!$A:$A,'Basic Data'!$C:$C),"")</f>
        <v>MSEDCL</v>
      </c>
      <c r="J4" s="286">
        <f>IFERROR(_xlfn.XLOOKUP(Table5[[#This Row],[Affected WTG]],'Basic Data'!$A:$A,'Basic Data'!$E:$E),"")</f>
        <v>2.2727272727272728E-2</v>
      </c>
      <c r="K4" s="79" t="s">
        <v>336</v>
      </c>
      <c r="L4" s="23" t="str">
        <f>IFERROR(_xlfn.XLOOKUP(Table5[[#This Row],[Error Code]],'Basic Data'!$W:$W,'Basic Data'!$X:$X),"Incorrect Error Code")</f>
        <v>Manual Stop - Preventive Maintenance Activity</v>
      </c>
      <c r="M4" s="23" t="s">
        <v>337</v>
      </c>
      <c r="N4" s="23"/>
      <c r="O4" s="287">
        <v>0.4055555555555555</v>
      </c>
      <c r="P4" s="287">
        <v>0.4055555555555555</v>
      </c>
      <c r="Q4" s="287">
        <v>0.75486111111111109</v>
      </c>
      <c r="R4" s="91">
        <f t="shared" si="0"/>
        <v>0.34930555555555559</v>
      </c>
      <c r="S4" s="91">
        <f>(Table5[[#This Row],[Fault Clearance time]]-Table5[[#This Row],[Work Start TimeStamp]])*24</f>
        <v>8.3833333333333346</v>
      </c>
      <c r="T4" s="91">
        <f>(Table5[[#This Row],[Fault Clearance time]]-Table5[[#This Row],[Fault Start TimeStamp]])*24</f>
        <v>8.3833333333333346</v>
      </c>
      <c r="U4" s="23" t="s">
        <v>338</v>
      </c>
      <c r="V4" s="79" t="s">
        <v>339</v>
      </c>
      <c r="W4" s="289">
        <f>IFERROR(Table5[[#This Row],[Breakdown Time]]*Table5[[#This Row],[Plant Equivalent Weightage]],"")</f>
        <v>0.19053030303030308</v>
      </c>
      <c r="X4" s="289" t="s">
        <v>340</v>
      </c>
      <c r="Y4" s="290" t="s">
        <v>116</v>
      </c>
      <c r="Z4" s="79"/>
      <c r="AA4" s="283">
        <v>357</v>
      </c>
      <c r="AB4" s="79"/>
      <c r="AC4" s="23"/>
      <c r="AD4" s="23"/>
    </row>
    <row r="5" spans="1:30">
      <c r="A5" s="79">
        <f t="shared" si="1"/>
        <v>4</v>
      </c>
      <c r="B5" s="283">
        <f>YEAR(Table5[[#This Row],[Date]])+IF(MONTH(Table5[[#This Row],[Date]])&gt;=4,1,0)</f>
        <v>2026</v>
      </c>
      <c r="C5" s="79">
        <f>YEAR(Table5[[#This Row],[Date]])</f>
        <v>2025</v>
      </c>
      <c r="D5" s="79" t="s">
        <v>344</v>
      </c>
      <c r="E5" s="284">
        <f>Table5[[#This Row],[Date]]-DAY(Table5[[#This Row],[Date]])+1</f>
        <v>45748</v>
      </c>
      <c r="F5" s="285">
        <v>45748</v>
      </c>
      <c r="G5" s="79" t="s">
        <v>84</v>
      </c>
      <c r="H5" s="23" t="str">
        <f>IFERROR(_xlfn.XLOOKUP(Table5[[#This Row],[Affected WTG]],'Basic Data'!$A:$A,'Basic Data'!$B:$B),"")</f>
        <v>PWEPL</v>
      </c>
      <c r="I5" s="23" t="str">
        <f>IFERROR(_xlfn.XLOOKUP(Table5[[#This Row],[Affected WTG]],'Basic Data'!$A:$A,'Basic Data'!$C:$C),"")</f>
        <v>MSEDCL</v>
      </c>
      <c r="J5" s="286">
        <f>IFERROR(_xlfn.XLOOKUP(Table5[[#This Row],[Affected WTG]],'Basic Data'!$A:$A,'Basic Data'!$E:$E),"")</f>
        <v>2.2727272727272728E-2</v>
      </c>
      <c r="K5" s="79">
        <v>77</v>
      </c>
      <c r="L5" s="23" t="str">
        <f>IFERROR(_xlfn.XLOOKUP(Table5[[#This Row],[Error Code]],'Basic Data'!$W:$W,'Basic Data'!$X:$X),"Incorrect Error Code")</f>
        <v>Gearbox oil overtemperature</v>
      </c>
      <c r="M5" s="23" t="s">
        <v>345</v>
      </c>
      <c r="N5" s="23"/>
      <c r="O5" s="287">
        <v>0.97569444444444442</v>
      </c>
      <c r="P5" s="287">
        <v>0.97569444444444442</v>
      </c>
      <c r="Q5" s="287">
        <v>0.99930555555555556</v>
      </c>
      <c r="R5" s="91">
        <f t="shared" si="0"/>
        <v>2.3611111111111138E-2</v>
      </c>
      <c r="S5" s="91">
        <f>(Table5[[#This Row],[Fault Clearance time]]-Table5[[#This Row],[Work Start TimeStamp]])*24</f>
        <v>0.56666666666666732</v>
      </c>
      <c r="T5" s="91">
        <f>(Table5[[#This Row],[Fault Clearance time]]-Table5[[#This Row],[Fault Start TimeStamp]])*24</f>
        <v>0.56666666666666732</v>
      </c>
      <c r="U5" s="23" t="s">
        <v>346</v>
      </c>
      <c r="V5" s="79" t="s">
        <v>339</v>
      </c>
      <c r="W5" s="289">
        <f>IFERROR(Table5[[#This Row],[Breakdown Time]]*Table5[[#This Row],[Plant Equivalent Weightage]],"")</f>
        <v>1.2878787878787894E-2</v>
      </c>
      <c r="X5" s="289" t="s">
        <v>343</v>
      </c>
      <c r="Y5" s="290" t="s">
        <v>347</v>
      </c>
      <c r="Z5" s="79"/>
      <c r="AA5" s="283">
        <v>397</v>
      </c>
      <c r="AB5" s="79"/>
      <c r="AC5" s="23"/>
      <c r="AD5" s="23"/>
    </row>
    <row r="6" spans="1:30">
      <c r="A6" s="79">
        <f t="shared" si="1"/>
        <v>5</v>
      </c>
      <c r="B6" s="283">
        <f>YEAR(Table5[[#This Row],[Date]])+IF(MONTH(Table5[[#This Row],[Date]])&gt;=4,1,0)</f>
        <v>2026</v>
      </c>
      <c r="C6" s="79">
        <f>YEAR(Table5[[#This Row],[Date]])</f>
        <v>2025</v>
      </c>
      <c r="D6" s="79" t="s">
        <v>344</v>
      </c>
      <c r="E6" s="284">
        <f>Table5[[#This Row],[Date]]-DAY(Table5[[#This Row],[Date]])+1</f>
        <v>45748</v>
      </c>
      <c r="F6" s="285">
        <v>45748</v>
      </c>
      <c r="G6" s="79" t="s">
        <v>100</v>
      </c>
      <c r="H6" s="23" t="str">
        <f>IFERROR(_xlfn.XLOOKUP(Table5[[#This Row],[Affected WTG]],'Basic Data'!$A:$A,'Basic Data'!$B:$B),"")</f>
        <v>PWEPL</v>
      </c>
      <c r="I6" s="23" t="str">
        <f>IFERROR(_xlfn.XLOOKUP(Table5[[#This Row],[Affected WTG]],'Basic Data'!$A:$A,'Basic Data'!$C:$C),"")</f>
        <v>MSEDCL</v>
      </c>
      <c r="J6" s="286">
        <f>IFERROR(_xlfn.XLOOKUP(Table5[[#This Row],[Affected WTG]],'Basic Data'!$A:$A,'Basic Data'!$E:$E),"")</f>
        <v>2.2727272727272728E-2</v>
      </c>
      <c r="K6" s="79">
        <v>269</v>
      </c>
      <c r="L6" s="23" t="str">
        <f>IFERROR(_xlfn.XLOOKUP(Table5[[#This Row],[Error Code]],'Basic Data'!$W:$W,'Basic Data'!$X:$X),"Incorrect Error Code")</f>
        <v>Reboot PLC</v>
      </c>
      <c r="M6" s="23" t="s">
        <v>348</v>
      </c>
      <c r="N6" s="23"/>
      <c r="O6" s="287">
        <v>0.84236111111111112</v>
      </c>
      <c r="P6" s="287">
        <v>0.84236111111111112</v>
      </c>
      <c r="Q6" s="287">
        <v>0.92569444444444449</v>
      </c>
      <c r="R6" s="91">
        <f t="shared" si="0"/>
        <v>8.333333333333337E-2</v>
      </c>
      <c r="S6" s="91">
        <f>(Table5[[#This Row],[Fault Clearance time]]-Table5[[#This Row],[Work Start TimeStamp]])*24</f>
        <v>2.0000000000000009</v>
      </c>
      <c r="T6" s="91">
        <f>(Table5[[#This Row],[Fault Clearance time]]-Table5[[#This Row],[Fault Start TimeStamp]])*24</f>
        <v>2.0000000000000009</v>
      </c>
      <c r="U6" s="23" t="s">
        <v>349</v>
      </c>
      <c r="V6" s="79" t="s">
        <v>339</v>
      </c>
      <c r="W6" s="289">
        <f>IFERROR(Table5[[#This Row],[Breakdown Time]]*Table5[[#This Row],[Plant Equivalent Weightage]],"")</f>
        <v>4.5454545454545477E-2</v>
      </c>
      <c r="X6" s="289" t="s">
        <v>343</v>
      </c>
      <c r="Y6" s="290" t="s">
        <v>101</v>
      </c>
      <c r="Z6" s="79"/>
      <c r="AA6" s="283">
        <v>3065</v>
      </c>
      <c r="AB6" s="79"/>
      <c r="AC6" s="23"/>
      <c r="AD6" s="23"/>
    </row>
    <row r="7" spans="1:30">
      <c r="A7" s="79">
        <f t="shared" si="1"/>
        <v>6</v>
      </c>
      <c r="B7" s="283">
        <f>YEAR(Table5[[#This Row],[Date]])+IF(MONTH(Table5[[#This Row],[Date]])&gt;=4,1,0)</f>
        <v>2026</v>
      </c>
      <c r="C7" s="79">
        <f>YEAR(Table5[[#This Row],[Date]])</f>
        <v>2025</v>
      </c>
      <c r="D7" s="79" t="s">
        <v>344</v>
      </c>
      <c r="E7" s="284">
        <f>Table5[[#This Row],[Date]]-DAY(Table5[[#This Row],[Date]])+1</f>
        <v>45748</v>
      </c>
      <c r="F7" s="285">
        <v>45748</v>
      </c>
      <c r="G7" s="79" t="s">
        <v>103</v>
      </c>
      <c r="H7" s="23" t="str">
        <f>IFERROR(_xlfn.XLOOKUP(Table5[[#This Row],[Affected WTG]],'Basic Data'!$A:$A,'Basic Data'!$B:$B),"")</f>
        <v>PWEPL</v>
      </c>
      <c r="I7" s="23" t="str">
        <f>IFERROR(_xlfn.XLOOKUP(Table5[[#This Row],[Affected WTG]],'Basic Data'!$A:$A,'Basic Data'!$C:$C),"")</f>
        <v>MSEDCL</v>
      </c>
      <c r="J7" s="286">
        <f>IFERROR(_xlfn.XLOOKUP(Table5[[#This Row],[Affected WTG]],'Basic Data'!$A:$A,'Basic Data'!$E:$E),"")</f>
        <v>2.2727272727272728E-2</v>
      </c>
      <c r="K7" s="79" t="s">
        <v>336</v>
      </c>
      <c r="L7" s="23" t="str">
        <f>IFERROR(_xlfn.XLOOKUP(Table5[[#This Row],[Error Code]],'Basic Data'!$W:$W,'Basic Data'!$X:$X),"Incorrect Error Code")</f>
        <v>Manual Stop - Preventive Maintenance Activity</v>
      </c>
      <c r="M7" s="23" t="s">
        <v>350</v>
      </c>
      <c r="N7" s="23"/>
      <c r="O7" s="287">
        <v>0.65486111111111112</v>
      </c>
      <c r="P7" s="287">
        <v>0.65486111111111112</v>
      </c>
      <c r="Q7" s="287">
        <v>0.69305555555555554</v>
      </c>
      <c r="R7" s="91">
        <f t="shared" si="0"/>
        <v>3.819444444444442E-2</v>
      </c>
      <c r="S7" s="91">
        <f>(Table5[[#This Row],[Fault Clearance time]]-Table5[[#This Row],[Work Start TimeStamp]])*24</f>
        <v>0.91666666666666607</v>
      </c>
      <c r="T7" s="91">
        <f>(Table5[[#This Row],[Fault Clearance time]]-Table5[[#This Row],[Fault Start TimeStamp]])*24</f>
        <v>0.91666666666666607</v>
      </c>
      <c r="U7" s="23" t="s">
        <v>351</v>
      </c>
      <c r="V7" s="79" t="s">
        <v>339</v>
      </c>
      <c r="W7" s="289">
        <f>IFERROR(Table5[[#This Row],[Breakdown Time]]*Table5[[#This Row],[Plant Equivalent Weightage]],"")</f>
        <v>2.0833333333333322E-2</v>
      </c>
      <c r="X7" s="289" t="s">
        <v>340</v>
      </c>
      <c r="Y7" s="290" t="s">
        <v>105</v>
      </c>
      <c r="Z7" s="79"/>
      <c r="AA7" s="283">
        <v>66</v>
      </c>
      <c r="AB7" s="79"/>
      <c r="AC7" s="23"/>
      <c r="AD7" s="23"/>
    </row>
    <row r="8" spans="1:30">
      <c r="A8" s="79">
        <f t="shared" si="1"/>
        <v>7</v>
      </c>
      <c r="B8" s="283">
        <f>YEAR(Table5[[#This Row],[Date]])+IF(MONTH(Table5[[#This Row],[Date]])&gt;=4,1,0)</f>
        <v>2026</v>
      </c>
      <c r="C8" s="79">
        <f>YEAR(Table5[[#This Row],[Date]])</f>
        <v>2025</v>
      </c>
      <c r="D8" s="79" t="s">
        <v>344</v>
      </c>
      <c r="E8" s="284">
        <f>Table5[[#This Row],[Date]]-DAY(Table5[[#This Row],[Date]])+1</f>
        <v>45748</v>
      </c>
      <c r="F8" s="285">
        <v>45748</v>
      </c>
      <c r="G8" s="79" t="s">
        <v>105</v>
      </c>
      <c r="H8" s="23" t="str">
        <f>IFERROR(_xlfn.XLOOKUP(Table5[[#This Row],[Affected WTG]],'Basic Data'!$A:$A,'Basic Data'!$B:$B),"")</f>
        <v>PWEPL</v>
      </c>
      <c r="I8" s="23" t="str">
        <f>IFERROR(_xlfn.XLOOKUP(Table5[[#This Row],[Affected WTG]],'Basic Data'!$A:$A,'Basic Data'!$C:$C),"")</f>
        <v>MSEDCL</v>
      </c>
      <c r="J8" s="286">
        <f>IFERROR(_xlfn.XLOOKUP(Table5[[#This Row],[Affected WTG]],'Basic Data'!$A:$A,'Basic Data'!$E:$E),"")</f>
        <v>2.2727272727272728E-2</v>
      </c>
      <c r="K8" s="79" t="s">
        <v>336</v>
      </c>
      <c r="L8" s="23" t="str">
        <f>IFERROR(_xlfn.XLOOKUP(Table5[[#This Row],[Error Code]],'Basic Data'!$W:$W,'Basic Data'!$X:$X),"Incorrect Error Code")</f>
        <v>Manual Stop - Preventive Maintenance Activity</v>
      </c>
      <c r="M8" s="23" t="s">
        <v>350</v>
      </c>
      <c r="N8" s="23"/>
      <c r="O8" s="287">
        <v>0.60416666666666663</v>
      </c>
      <c r="P8" s="287">
        <v>0.60416666666666663</v>
      </c>
      <c r="Q8" s="287">
        <v>0.6479166666666667</v>
      </c>
      <c r="R8" s="91">
        <f t="shared" si="0"/>
        <v>4.3750000000000067E-2</v>
      </c>
      <c r="S8" s="91">
        <f>(Table5[[#This Row],[Fault Clearance time]]-Table5[[#This Row],[Work Start TimeStamp]])*24</f>
        <v>1.0500000000000016</v>
      </c>
      <c r="T8" s="91">
        <f>(Table5[[#This Row],[Fault Clearance time]]-Table5[[#This Row],[Fault Start TimeStamp]])*24</f>
        <v>1.0500000000000016</v>
      </c>
      <c r="U8" s="23" t="s">
        <v>351</v>
      </c>
      <c r="V8" s="79" t="s">
        <v>339</v>
      </c>
      <c r="W8" s="289">
        <f>IFERROR(Table5[[#This Row],[Breakdown Time]]*Table5[[#This Row],[Plant Equivalent Weightage]],"")</f>
        <v>2.3863636363636399E-2</v>
      </c>
      <c r="X8" s="289" t="s">
        <v>340</v>
      </c>
      <c r="Y8" s="290" t="s">
        <v>103</v>
      </c>
      <c r="Z8" s="79"/>
      <c r="AA8" s="283">
        <v>54</v>
      </c>
      <c r="AB8" s="79"/>
      <c r="AC8" s="23"/>
      <c r="AD8" s="23"/>
    </row>
    <row r="9" spans="1:30">
      <c r="A9" s="79">
        <f t="shared" si="1"/>
        <v>8</v>
      </c>
      <c r="B9" s="283">
        <f>YEAR(Table5[[#This Row],[Date]])+IF(MONTH(Table5[[#This Row],[Date]])&gt;=4,1,0)</f>
        <v>2026</v>
      </c>
      <c r="C9" s="79">
        <f>YEAR(Table5[[#This Row],[Date]])</f>
        <v>2025</v>
      </c>
      <c r="D9" s="79" t="s">
        <v>344</v>
      </c>
      <c r="E9" s="284">
        <f>Table5[[#This Row],[Date]]-DAY(Table5[[#This Row],[Date]])+1</f>
        <v>45748</v>
      </c>
      <c r="F9" s="285">
        <v>45748</v>
      </c>
      <c r="G9" s="79" t="s">
        <v>116</v>
      </c>
      <c r="H9" s="23" t="str">
        <f>IFERROR(_xlfn.XLOOKUP(Table5[[#This Row],[Affected WTG]],'Basic Data'!$A:$A,'Basic Data'!$B:$B),"")</f>
        <v>PWEPL</v>
      </c>
      <c r="I9" s="23" t="str">
        <f>IFERROR(_xlfn.XLOOKUP(Table5[[#This Row],[Affected WTG]],'Basic Data'!$A:$A,'Basic Data'!$C:$C),"")</f>
        <v>MSEDCL</v>
      </c>
      <c r="J9" s="286">
        <f>IFERROR(_xlfn.XLOOKUP(Table5[[#This Row],[Affected WTG]],'Basic Data'!$A:$A,'Basic Data'!$E:$E),"")</f>
        <v>2.2727272727272728E-2</v>
      </c>
      <c r="K9" s="79" t="s">
        <v>336</v>
      </c>
      <c r="L9" s="23" t="str">
        <f>IFERROR(_xlfn.XLOOKUP(Table5[[#This Row],[Error Code]],'Basic Data'!$W:$W,'Basic Data'!$X:$X),"Incorrect Error Code")</f>
        <v>Manual Stop - Preventive Maintenance Activity</v>
      </c>
      <c r="M9" s="23" t="s">
        <v>350</v>
      </c>
      <c r="N9" s="23"/>
      <c r="O9" s="287">
        <v>0.58333333333333337</v>
      </c>
      <c r="P9" s="287">
        <v>0.58333333333333337</v>
      </c>
      <c r="Q9" s="287">
        <v>0.62222222222222223</v>
      </c>
      <c r="R9" s="91">
        <f t="shared" si="0"/>
        <v>3.8888888888888862E-2</v>
      </c>
      <c r="S9" s="91">
        <f>(Table5[[#This Row],[Fault Clearance time]]-Table5[[#This Row],[Work Start TimeStamp]])*24</f>
        <v>0.93333333333333268</v>
      </c>
      <c r="T9" s="91">
        <f>(Table5[[#This Row],[Fault Clearance time]]-Table5[[#This Row],[Fault Start TimeStamp]])*24</f>
        <v>0.93333333333333268</v>
      </c>
      <c r="U9" s="23" t="s">
        <v>351</v>
      </c>
      <c r="V9" s="79" t="s">
        <v>339</v>
      </c>
      <c r="W9" s="289">
        <f>IFERROR(Table5[[#This Row],[Breakdown Time]]*Table5[[#This Row],[Plant Equivalent Weightage]],"")</f>
        <v>2.12121212121212E-2</v>
      </c>
      <c r="X9" s="289" t="s">
        <v>340</v>
      </c>
      <c r="Y9" s="290" t="s">
        <v>117</v>
      </c>
      <c r="Z9" s="79"/>
      <c r="AA9" s="283">
        <v>0</v>
      </c>
      <c r="AB9" s="79"/>
      <c r="AC9" s="23"/>
      <c r="AD9" s="23"/>
    </row>
    <row r="10" spans="1:30">
      <c r="A10" s="79">
        <f t="shared" si="1"/>
        <v>9</v>
      </c>
      <c r="B10" s="283">
        <f>YEAR(Table5[[#This Row],[Date]])+IF(MONTH(Table5[[#This Row],[Date]])&gt;=4,1,0)</f>
        <v>2026</v>
      </c>
      <c r="C10" s="79">
        <f>YEAR(Table5[[#This Row],[Date]])</f>
        <v>2025</v>
      </c>
      <c r="D10" s="79" t="s">
        <v>344</v>
      </c>
      <c r="E10" s="284">
        <f>Table5[[#This Row],[Date]]-DAY(Table5[[#This Row],[Date]])+1</f>
        <v>45748</v>
      </c>
      <c r="F10" s="285">
        <v>45748</v>
      </c>
      <c r="G10" s="79" t="s">
        <v>117</v>
      </c>
      <c r="H10" s="23" t="str">
        <f>IFERROR(_xlfn.XLOOKUP(Table5[[#This Row],[Affected WTG]],'Basic Data'!$A:$A,'Basic Data'!$B:$B),"")</f>
        <v>PWEPL</v>
      </c>
      <c r="I10" s="23" t="str">
        <f>IFERROR(_xlfn.XLOOKUP(Table5[[#This Row],[Affected WTG]],'Basic Data'!$A:$A,'Basic Data'!$C:$C),"")</f>
        <v>MSEDCL</v>
      </c>
      <c r="J10" s="286">
        <f>IFERROR(_xlfn.XLOOKUP(Table5[[#This Row],[Affected WTG]],'Basic Data'!$A:$A,'Basic Data'!$E:$E),"")</f>
        <v>2.2727272727272728E-2</v>
      </c>
      <c r="K10" s="79" t="s">
        <v>336</v>
      </c>
      <c r="L10" s="23" t="str">
        <f>IFERROR(_xlfn.XLOOKUP(Table5[[#This Row],[Error Code]],'Basic Data'!$W:$W,'Basic Data'!$X:$X),"Incorrect Error Code")</f>
        <v>Manual Stop - Preventive Maintenance Activity</v>
      </c>
      <c r="M10" s="23" t="s">
        <v>350</v>
      </c>
      <c r="N10" s="23"/>
      <c r="O10" s="287">
        <v>0.54166666666666663</v>
      </c>
      <c r="P10" s="287">
        <v>0.54166666666666663</v>
      </c>
      <c r="Q10" s="287">
        <v>0.57361111111111107</v>
      </c>
      <c r="R10" s="91">
        <f t="shared" si="0"/>
        <v>3.1944444444444442E-2</v>
      </c>
      <c r="S10" s="91">
        <f>(Table5[[#This Row],[Fault Clearance time]]-Table5[[#This Row],[Work Start TimeStamp]])*24</f>
        <v>0.76666666666666661</v>
      </c>
      <c r="T10" s="91">
        <f>(Table5[[#This Row],[Fault Clearance time]]-Table5[[#This Row],[Fault Start TimeStamp]])*24</f>
        <v>0.76666666666666661</v>
      </c>
      <c r="U10" s="23" t="s">
        <v>351</v>
      </c>
      <c r="V10" s="79" t="s">
        <v>339</v>
      </c>
      <c r="W10" s="289">
        <f>IFERROR(Table5[[#This Row],[Breakdown Time]]*Table5[[#This Row],[Plant Equivalent Weightage]],"")</f>
        <v>1.7424242424242422E-2</v>
      </c>
      <c r="X10" s="289" t="s">
        <v>340</v>
      </c>
      <c r="Y10" s="290" t="s">
        <v>115</v>
      </c>
      <c r="Z10" s="79"/>
      <c r="AA10" s="283">
        <v>0</v>
      </c>
      <c r="AB10" s="79"/>
      <c r="AC10" s="23"/>
      <c r="AD10" s="23"/>
    </row>
    <row r="11" spans="1:30">
      <c r="A11" s="79">
        <f t="shared" si="1"/>
        <v>10</v>
      </c>
      <c r="B11" s="283">
        <f>YEAR(Table5[[#This Row],[Date]])+IF(MONTH(Table5[[#This Row],[Date]])&gt;=4,1,0)</f>
        <v>2026</v>
      </c>
      <c r="C11" s="79">
        <f>YEAR(Table5[[#This Row],[Date]])</f>
        <v>2025</v>
      </c>
      <c r="D11" s="79" t="s">
        <v>344</v>
      </c>
      <c r="E11" s="284">
        <f>Table5[[#This Row],[Date]]-DAY(Table5[[#This Row],[Date]])+1</f>
        <v>45748</v>
      </c>
      <c r="F11" s="285">
        <v>45749</v>
      </c>
      <c r="G11" s="79" t="s">
        <v>84</v>
      </c>
      <c r="H11" s="23" t="str">
        <f>IFERROR(_xlfn.XLOOKUP(Table5[[#This Row],[Affected WTG]],'Basic Data'!$A:$A,'Basic Data'!$B:$B),"")</f>
        <v>PWEPL</v>
      </c>
      <c r="I11" s="23" t="str">
        <f>IFERROR(_xlfn.XLOOKUP(Table5[[#This Row],[Affected WTG]],'Basic Data'!$A:$A,'Basic Data'!$C:$C),"")</f>
        <v>MSEDCL</v>
      </c>
      <c r="J11" s="286">
        <f>IFERROR(_xlfn.XLOOKUP(Table5[[#This Row],[Affected WTG]],'Basic Data'!$A:$A,'Basic Data'!$E:$E),"")</f>
        <v>2.2727272727272728E-2</v>
      </c>
      <c r="K11" s="79">
        <v>77</v>
      </c>
      <c r="L11" s="23" t="str">
        <f>IFERROR(_xlfn.XLOOKUP(Table5[[#This Row],[Error Code]],'Basic Data'!$W:$W,'Basic Data'!$X:$X),"Incorrect Error Code")</f>
        <v>Gearbox oil overtemperature</v>
      </c>
      <c r="M11" s="23" t="s">
        <v>345</v>
      </c>
      <c r="N11" s="23"/>
      <c r="O11" s="287">
        <v>4.6527777777777779E-2</v>
      </c>
      <c r="P11" s="287">
        <v>4.6527777777777779E-2</v>
      </c>
      <c r="Q11" s="287">
        <v>0.25972222222222224</v>
      </c>
      <c r="R11" s="91">
        <f t="shared" si="0"/>
        <v>0.21319444444444446</v>
      </c>
      <c r="S11" s="91">
        <f>(Table5[[#This Row],[Fault Clearance time]]-Table5[[#This Row],[Work Start TimeStamp]])*24</f>
        <v>5.1166666666666671</v>
      </c>
      <c r="T11" s="91">
        <f>(Table5[[#This Row],[Fault Clearance time]]-Table5[[#This Row],[Fault Start TimeStamp]])*24</f>
        <v>5.1166666666666671</v>
      </c>
      <c r="U11" s="23" t="s">
        <v>352</v>
      </c>
      <c r="V11" s="79" t="s">
        <v>339</v>
      </c>
      <c r="W11" s="289">
        <f>IFERROR(Table5[[#This Row],[Breakdown Time]]*Table5[[#This Row],[Plant Equivalent Weightage]],"")</f>
        <v>0.1162878787878788</v>
      </c>
      <c r="X11" s="289" t="s">
        <v>343</v>
      </c>
      <c r="Y11" s="290" t="s">
        <v>83</v>
      </c>
      <c r="Z11" s="79"/>
      <c r="AA11" s="283">
        <v>932</v>
      </c>
      <c r="AB11" s="79"/>
      <c r="AC11" s="23"/>
      <c r="AD11" s="23"/>
    </row>
    <row r="12" spans="1:30">
      <c r="A12" s="79">
        <f t="shared" si="1"/>
        <v>11</v>
      </c>
      <c r="B12" s="283">
        <f>YEAR(Table5[[#This Row],[Date]])+IF(MONTH(Table5[[#This Row],[Date]])&gt;=4,1,0)</f>
        <v>2026</v>
      </c>
      <c r="C12" s="79">
        <f>YEAR(Table5[[#This Row],[Date]])</f>
        <v>2025</v>
      </c>
      <c r="D12" s="79" t="s">
        <v>344</v>
      </c>
      <c r="E12" s="284">
        <f>Table5[[#This Row],[Date]]-DAY(Table5[[#This Row],[Date]])+1</f>
        <v>45748</v>
      </c>
      <c r="F12" s="285">
        <v>45749</v>
      </c>
      <c r="G12" s="79" t="s">
        <v>112</v>
      </c>
      <c r="H12" s="23" t="str">
        <f>IFERROR(_xlfn.XLOOKUP(Table5[[#This Row],[Affected WTG]],'Basic Data'!$A:$A,'Basic Data'!$B:$B),"")</f>
        <v>PWEPL</v>
      </c>
      <c r="I12" s="23" t="str">
        <f>IFERROR(_xlfn.XLOOKUP(Table5[[#This Row],[Affected WTG]],'Basic Data'!$A:$A,'Basic Data'!$C:$C),"")</f>
        <v>MSEDCL</v>
      </c>
      <c r="J12" s="286">
        <f>IFERROR(_xlfn.XLOOKUP(Table5[[#This Row],[Affected WTG]],'Basic Data'!$A:$A,'Basic Data'!$E:$E),"")</f>
        <v>2.2727272727272728E-2</v>
      </c>
      <c r="K12" s="79">
        <v>269</v>
      </c>
      <c r="L12" s="23" t="str">
        <f>IFERROR(_xlfn.XLOOKUP(Table5[[#This Row],[Error Code]],'Basic Data'!$W:$W,'Basic Data'!$X:$X),"Incorrect Error Code")</f>
        <v>Reboot PLC</v>
      </c>
      <c r="M12" s="23" t="s">
        <v>348</v>
      </c>
      <c r="N12" s="23"/>
      <c r="O12" s="287">
        <v>9.0972222222222218E-2</v>
      </c>
      <c r="P12" s="287">
        <v>9.0972222222222218E-2</v>
      </c>
      <c r="Q12" s="287">
        <v>0.15069444444444444</v>
      </c>
      <c r="R12" s="91">
        <f t="shared" si="0"/>
        <v>5.9722222222222218E-2</v>
      </c>
      <c r="S12" s="91">
        <f>(Table5[[#This Row],[Fault Clearance time]]-Table5[[#This Row],[Work Start TimeStamp]])*24</f>
        <v>1.4333333333333331</v>
      </c>
      <c r="T12" s="91">
        <f>(Table5[[#This Row],[Fault Clearance time]]-Table5[[#This Row],[Fault Start TimeStamp]])*24</f>
        <v>1.4333333333333331</v>
      </c>
      <c r="U12" s="23" t="s">
        <v>353</v>
      </c>
      <c r="V12" s="79" t="s">
        <v>339</v>
      </c>
      <c r="W12" s="289">
        <f>IFERROR(Table5[[#This Row],[Breakdown Time]]*Table5[[#This Row],[Plant Equivalent Weightage]],"")</f>
        <v>3.257575757575757E-2</v>
      </c>
      <c r="X12" s="289" t="s">
        <v>343</v>
      </c>
      <c r="Y12" s="290" t="s">
        <v>113</v>
      </c>
      <c r="Z12" s="79"/>
      <c r="AA12" s="283">
        <v>163</v>
      </c>
      <c r="AB12" s="79"/>
      <c r="AC12" s="23"/>
      <c r="AD12" s="23"/>
    </row>
    <row r="13" spans="1:30">
      <c r="A13" s="79">
        <f t="shared" si="1"/>
        <v>12</v>
      </c>
      <c r="B13" s="283">
        <f>YEAR(Table5[[#This Row],[Date]])+IF(MONTH(Table5[[#This Row],[Date]])&gt;=4,1,0)</f>
        <v>2026</v>
      </c>
      <c r="C13" s="79">
        <f>YEAR(Table5[[#This Row],[Date]])</f>
        <v>2025</v>
      </c>
      <c r="D13" s="79" t="s">
        <v>344</v>
      </c>
      <c r="E13" s="284">
        <f>Table5[[#This Row],[Date]]-DAY(Table5[[#This Row],[Date]])+1</f>
        <v>45748</v>
      </c>
      <c r="F13" s="285">
        <v>45749</v>
      </c>
      <c r="G13" s="79" t="s">
        <v>112</v>
      </c>
      <c r="H13" s="23" t="str">
        <f>IFERROR(_xlfn.XLOOKUP(Table5[[#This Row],[Affected WTG]],'Basic Data'!$A:$A,'Basic Data'!$B:$B),"")</f>
        <v>PWEPL</v>
      </c>
      <c r="I13" s="23" t="str">
        <f>IFERROR(_xlfn.XLOOKUP(Table5[[#This Row],[Affected WTG]],'Basic Data'!$A:$A,'Basic Data'!$C:$C),"")</f>
        <v>MSEDCL</v>
      </c>
      <c r="J13" s="286">
        <f>IFERROR(_xlfn.XLOOKUP(Table5[[#This Row],[Affected WTG]],'Basic Data'!$A:$A,'Basic Data'!$E:$E),"")</f>
        <v>2.2727272727272728E-2</v>
      </c>
      <c r="K13" s="79">
        <v>352</v>
      </c>
      <c r="L13" s="23" t="str">
        <f>IFERROR(_xlfn.XLOOKUP(Table5[[#This Row],[Error Code]],'Basic Data'!$W:$W,'Basic Data'!$X:$X),"Incorrect Error Code")</f>
        <v>Communication fault wind measurement device</v>
      </c>
      <c r="M13" s="23" t="s">
        <v>354</v>
      </c>
      <c r="N13" s="23"/>
      <c r="O13" s="287">
        <v>0.17152777777777775</v>
      </c>
      <c r="P13" s="287">
        <v>0.17152777777777775</v>
      </c>
      <c r="Q13" s="287">
        <v>0.33819444444444446</v>
      </c>
      <c r="R13" s="91">
        <f t="shared" si="0"/>
        <v>0.16666666666666671</v>
      </c>
      <c r="S13" s="91">
        <f>(Table5[[#This Row],[Fault Clearance time]]-Table5[[#This Row],[Work Start TimeStamp]])*24</f>
        <v>4.0000000000000009</v>
      </c>
      <c r="T13" s="91">
        <f>(Table5[[#This Row],[Fault Clearance time]]-Table5[[#This Row],[Fault Start TimeStamp]])*24</f>
        <v>4.0000000000000009</v>
      </c>
      <c r="U13" s="23" t="s">
        <v>355</v>
      </c>
      <c r="V13" s="79" t="s">
        <v>339</v>
      </c>
      <c r="W13" s="289">
        <f>IFERROR(Table5[[#This Row],[Breakdown Time]]*Table5[[#This Row],[Plant Equivalent Weightage]],"")</f>
        <v>9.0909090909090925E-2</v>
      </c>
      <c r="X13" s="289" t="s">
        <v>343</v>
      </c>
      <c r="Y13" s="290" t="s">
        <v>113</v>
      </c>
      <c r="Z13" s="79"/>
      <c r="AA13" s="283">
        <v>1720</v>
      </c>
      <c r="AB13" s="79"/>
      <c r="AC13" s="23"/>
      <c r="AD13" s="23"/>
    </row>
    <row r="14" spans="1:30">
      <c r="A14" s="79">
        <f t="shared" si="1"/>
        <v>13</v>
      </c>
      <c r="B14" s="283">
        <f>YEAR(Table5[[#This Row],[Date]])+IF(MONTH(Table5[[#This Row],[Date]])&gt;=4,1,0)</f>
        <v>2026</v>
      </c>
      <c r="C14" s="79">
        <f>YEAR(Table5[[#This Row],[Date]])</f>
        <v>2025</v>
      </c>
      <c r="D14" s="79" t="s">
        <v>344</v>
      </c>
      <c r="E14" s="284">
        <f>Table5[[#This Row],[Date]]-DAY(Table5[[#This Row],[Date]])+1</f>
        <v>45748</v>
      </c>
      <c r="F14" s="285">
        <v>45750</v>
      </c>
      <c r="G14" s="79" t="s">
        <v>102</v>
      </c>
      <c r="H14" s="23" t="str">
        <f>IFERROR(_xlfn.XLOOKUP(Table5[[#This Row],[Affected WTG]],'Basic Data'!$A:$A,'Basic Data'!$B:$B),"")</f>
        <v>PWEPL</v>
      </c>
      <c r="I14" s="23" t="str">
        <f>IFERROR(_xlfn.XLOOKUP(Table5[[#This Row],[Affected WTG]],'Basic Data'!$A:$A,'Basic Data'!$C:$C),"")</f>
        <v>MSEDCL</v>
      </c>
      <c r="J14" s="286">
        <f>IFERROR(_xlfn.XLOOKUP(Table5[[#This Row],[Affected WTG]],'Basic Data'!$A:$A,'Basic Data'!$E:$E),"")</f>
        <v>2.2727272727272728E-2</v>
      </c>
      <c r="K14" s="79" t="s">
        <v>336</v>
      </c>
      <c r="L14" s="23" t="str">
        <f>IFERROR(_xlfn.XLOOKUP(Table5[[#This Row],[Error Code]],'Basic Data'!$W:$W,'Basic Data'!$X:$X),"Incorrect Error Code")</f>
        <v>Manual Stop - Preventive Maintenance Activity</v>
      </c>
      <c r="M14" s="23" t="s">
        <v>337</v>
      </c>
      <c r="N14" s="23"/>
      <c r="O14" s="287">
        <v>0.46249999999999997</v>
      </c>
      <c r="P14" s="287">
        <v>0.46249999999999997</v>
      </c>
      <c r="Q14" s="287">
        <v>0.72986111111111107</v>
      </c>
      <c r="R14" s="91">
        <f t="shared" si="0"/>
        <v>0.2673611111111111</v>
      </c>
      <c r="S14" s="91">
        <f>(Table5[[#This Row],[Fault Clearance time]]-Table5[[#This Row],[Work Start TimeStamp]])*24</f>
        <v>6.4166666666666661</v>
      </c>
      <c r="T14" s="91">
        <f>(Table5[[#This Row],[Fault Clearance time]]-Table5[[#This Row],[Fault Start TimeStamp]])*24</f>
        <v>6.4166666666666661</v>
      </c>
      <c r="U14" s="23" t="s">
        <v>356</v>
      </c>
      <c r="V14" s="79" t="s">
        <v>339</v>
      </c>
      <c r="W14" s="289">
        <f>IFERROR(Table5[[#This Row],[Breakdown Time]]*Table5[[#This Row],[Plant Equivalent Weightage]],"")</f>
        <v>0.14583333333333331</v>
      </c>
      <c r="X14" s="289" t="s">
        <v>340</v>
      </c>
      <c r="Y14" s="290" t="s">
        <v>78</v>
      </c>
      <c r="Z14" s="79"/>
      <c r="AA14" s="283">
        <v>1202</v>
      </c>
      <c r="AB14" s="79"/>
      <c r="AC14" s="23"/>
      <c r="AD14" s="23"/>
    </row>
    <row r="15" spans="1:30">
      <c r="A15" s="79">
        <f t="shared" si="1"/>
        <v>14</v>
      </c>
      <c r="B15" s="283">
        <f>YEAR(Table5[[#This Row],[Date]])+IF(MONTH(Table5[[#This Row],[Date]])&gt;=4,1,0)</f>
        <v>2026</v>
      </c>
      <c r="C15" s="79">
        <f>YEAR(Table5[[#This Row],[Date]])</f>
        <v>2025</v>
      </c>
      <c r="D15" s="79" t="s">
        <v>344</v>
      </c>
      <c r="E15" s="284">
        <f>Table5[[#This Row],[Date]]-DAY(Table5[[#This Row],[Date]])+1</f>
        <v>45748</v>
      </c>
      <c r="F15" s="285">
        <v>45750</v>
      </c>
      <c r="G15" s="79" t="s">
        <v>116</v>
      </c>
      <c r="H15" s="23" t="str">
        <f>IFERROR(_xlfn.XLOOKUP(Table5[[#This Row],[Affected WTG]],'Basic Data'!$A:$A,'Basic Data'!$B:$B),"")</f>
        <v>PWEPL</v>
      </c>
      <c r="I15" s="23" t="str">
        <f>IFERROR(_xlfn.XLOOKUP(Table5[[#This Row],[Affected WTG]],'Basic Data'!$A:$A,'Basic Data'!$C:$C),"")</f>
        <v>MSEDCL</v>
      </c>
      <c r="J15" s="286">
        <f>IFERROR(_xlfn.XLOOKUP(Table5[[#This Row],[Affected WTG]],'Basic Data'!$A:$A,'Basic Data'!$E:$E),"")</f>
        <v>2.2727272727272728E-2</v>
      </c>
      <c r="K15" s="79">
        <v>60</v>
      </c>
      <c r="L15" s="23" t="str">
        <f>IFERROR(_xlfn.XLOOKUP(Table5[[#This Row],[Error Code]],'Basic Data'!$W:$W,'Basic Data'!$X:$X),"Incorrect Error Code")</f>
        <v>Yaw limit switch activated</v>
      </c>
      <c r="M15" s="23" t="s">
        <v>357</v>
      </c>
      <c r="N15" s="23"/>
      <c r="O15" s="287">
        <v>0.89513888888888893</v>
      </c>
      <c r="P15" s="287">
        <v>0.89513888888888893</v>
      </c>
      <c r="Q15" s="287">
        <v>0.96666666666666667</v>
      </c>
      <c r="R15" s="91">
        <f t="shared" si="0"/>
        <v>7.1527777777777746E-2</v>
      </c>
      <c r="S15" s="91">
        <f>(Table5[[#This Row],[Fault Clearance time]]-Table5[[#This Row],[Work Start TimeStamp]])*24</f>
        <v>1.7166666666666659</v>
      </c>
      <c r="T15" s="91">
        <f>(Table5[[#This Row],[Fault Clearance time]]-Table5[[#This Row],[Fault Start TimeStamp]])*24</f>
        <v>1.7166666666666659</v>
      </c>
      <c r="U15" s="23" t="s">
        <v>358</v>
      </c>
      <c r="V15" s="79" t="s">
        <v>339</v>
      </c>
      <c r="W15" s="289">
        <f>IFERROR(Table5[[#This Row],[Breakdown Time]]*Table5[[#This Row],[Plant Equivalent Weightage]],"")</f>
        <v>3.9015151515151496E-2</v>
      </c>
      <c r="X15" s="289" t="s">
        <v>343</v>
      </c>
      <c r="Y15" s="290" t="s">
        <v>117</v>
      </c>
      <c r="Z15" s="79"/>
      <c r="AA15" s="283">
        <v>44</v>
      </c>
      <c r="AB15" s="79"/>
      <c r="AC15" s="23"/>
      <c r="AD15" s="23"/>
    </row>
    <row r="16" spans="1:30">
      <c r="A16" s="79">
        <f t="shared" si="1"/>
        <v>15</v>
      </c>
      <c r="B16" s="283">
        <f>YEAR(Table5[[#This Row],[Date]])+IF(MONTH(Table5[[#This Row],[Date]])&gt;=4,1,0)</f>
        <v>2026</v>
      </c>
      <c r="C16" s="79">
        <f>YEAR(Table5[[#This Row],[Date]])</f>
        <v>2025</v>
      </c>
      <c r="D16" s="79" t="s">
        <v>344</v>
      </c>
      <c r="E16" s="284">
        <f>Table5[[#This Row],[Date]]-DAY(Table5[[#This Row],[Date]])+1</f>
        <v>45748</v>
      </c>
      <c r="F16" s="285">
        <v>45751</v>
      </c>
      <c r="G16" s="79" t="s">
        <v>80</v>
      </c>
      <c r="H16" s="23" t="str">
        <f>IFERROR(_xlfn.XLOOKUP(Table5[[#This Row],[Affected WTG]],'Basic Data'!$A:$A,'Basic Data'!$B:$B),"")</f>
        <v>PWEPL</v>
      </c>
      <c r="I16" s="23" t="str">
        <f>IFERROR(_xlfn.XLOOKUP(Table5[[#This Row],[Affected WTG]],'Basic Data'!$A:$A,'Basic Data'!$C:$C),"")</f>
        <v>MSEDCL</v>
      </c>
      <c r="J16" s="286">
        <f>IFERROR(_xlfn.XLOOKUP(Table5[[#This Row],[Affected WTG]],'Basic Data'!$A:$A,'Basic Data'!$E:$E),"")</f>
        <v>2.2727272727272728E-2</v>
      </c>
      <c r="K16" s="79">
        <v>3</v>
      </c>
      <c r="L16" s="23" t="str">
        <f>IFERROR(_xlfn.XLOOKUP(Table5[[#This Row],[Error Code]],'Basic Data'!$W:$W,'Basic Data'!$X:$X),"Incorrect Error Code")</f>
        <v>Manual Stop</v>
      </c>
      <c r="M16" s="23" t="s">
        <v>360</v>
      </c>
      <c r="N16" s="23"/>
      <c r="O16" s="287">
        <v>0.45694444444444443</v>
      </c>
      <c r="P16" s="287">
        <v>0.45694444444444443</v>
      </c>
      <c r="Q16" s="287">
        <v>0.48472222222222222</v>
      </c>
      <c r="R16" s="91">
        <f t="shared" si="0"/>
        <v>2.777777777777779E-2</v>
      </c>
      <c r="S16" s="91">
        <f>(Table5[[#This Row],[Fault Clearance time]]-Table5[[#This Row],[Work Start TimeStamp]])*24</f>
        <v>0.66666666666666696</v>
      </c>
      <c r="T16" s="91">
        <f>(Table5[[#This Row],[Fault Clearance time]]-Table5[[#This Row],[Fault Start TimeStamp]])*24</f>
        <v>0.66666666666666696</v>
      </c>
      <c r="U16" s="23" t="s">
        <v>361</v>
      </c>
      <c r="V16" s="79" t="s">
        <v>339</v>
      </c>
      <c r="W16" s="289">
        <f>IFERROR(Table5[[#This Row],[Breakdown Time]]*Table5[[#This Row],[Plant Equivalent Weightage]],"")</f>
        <v>1.5151515151515159E-2</v>
      </c>
      <c r="X16" s="289" t="s">
        <v>340</v>
      </c>
      <c r="Y16" s="290" t="s">
        <v>108</v>
      </c>
      <c r="Z16" s="79"/>
      <c r="AA16" s="283">
        <v>2</v>
      </c>
      <c r="AB16" s="79"/>
      <c r="AC16" s="23"/>
      <c r="AD16" s="23"/>
    </row>
    <row r="17" spans="1:30">
      <c r="A17" s="79">
        <f t="shared" si="1"/>
        <v>16</v>
      </c>
      <c r="B17" s="283">
        <f>YEAR(Table5[[#This Row],[Date]])+IF(MONTH(Table5[[#This Row],[Date]])&gt;=4,1,0)</f>
        <v>2026</v>
      </c>
      <c r="C17" s="79">
        <f>YEAR(Table5[[#This Row],[Date]])</f>
        <v>2025</v>
      </c>
      <c r="D17" s="79" t="s">
        <v>344</v>
      </c>
      <c r="E17" s="284">
        <f>Table5[[#This Row],[Date]]-DAY(Table5[[#This Row],[Date]])+1</f>
        <v>45748</v>
      </c>
      <c r="F17" s="285">
        <v>45751</v>
      </c>
      <c r="G17" s="79" t="s">
        <v>81</v>
      </c>
      <c r="H17" s="23" t="str">
        <f>IFERROR(_xlfn.XLOOKUP(Table5[[#This Row],[Affected WTG]],'Basic Data'!$A:$A,'Basic Data'!$B:$B),"")</f>
        <v>PWEPL</v>
      </c>
      <c r="I17" s="23" t="str">
        <f>IFERROR(_xlfn.XLOOKUP(Table5[[#This Row],[Affected WTG]],'Basic Data'!$A:$A,'Basic Data'!$C:$C),"")</f>
        <v>MSEDCL</v>
      </c>
      <c r="J17" s="286">
        <f>IFERROR(_xlfn.XLOOKUP(Table5[[#This Row],[Affected WTG]],'Basic Data'!$A:$A,'Basic Data'!$E:$E),"")</f>
        <v>2.2727272727272728E-2</v>
      </c>
      <c r="K17" s="79">
        <v>3</v>
      </c>
      <c r="L17" s="23" t="str">
        <f>IFERROR(_xlfn.XLOOKUP(Table5[[#This Row],[Error Code]],'Basic Data'!$W:$W,'Basic Data'!$X:$X),"Incorrect Error Code")</f>
        <v>Manual Stop</v>
      </c>
      <c r="M17" s="23" t="s">
        <v>360</v>
      </c>
      <c r="N17" s="23"/>
      <c r="O17" s="287">
        <v>0.53611111111111109</v>
      </c>
      <c r="P17" s="287">
        <v>0.53611111111111109</v>
      </c>
      <c r="Q17" s="287">
        <v>0.56805555555555554</v>
      </c>
      <c r="R17" s="91">
        <f t="shared" si="0"/>
        <v>3.1944444444444442E-2</v>
      </c>
      <c r="S17" s="91">
        <f>(Table5[[#This Row],[Fault Clearance time]]-Table5[[#This Row],[Work Start TimeStamp]])*24</f>
        <v>0.76666666666666661</v>
      </c>
      <c r="T17" s="91">
        <f>(Table5[[#This Row],[Fault Clearance time]]-Table5[[#This Row],[Fault Start TimeStamp]])*24</f>
        <v>0.76666666666666661</v>
      </c>
      <c r="U17" s="23" t="s">
        <v>361</v>
      </c>
      <c r="V17" s="79" t="s">
        <v>339</v>
      </c>
      <c r="W17" s="289">
        <f>IFERROR(Table5[[#This Row],[Breakdown Time]]*Table5[[#This Row],[Plant Equivalent Weightage]],"")</f>
        <v>1.7424242424242422E-2</v>
      </c>
      <c r="X17" s="289" t="s">
        <v>340</v>
      </c>
      <c r="Y17" s="290" t="s">
        <v>108</v>
      </c>
      <c r="Z17" s="79"/>
      <c r="AA17" s="283">
        <v>0</v>
      </c>
      <c r="AB17" s="79"/>
      <c r="AC17" s="23"/>
      <c r="AD17" s="23"/>
    </row>
    <row r="18" spans="1:30">
      <c r="A18" s="79">
        <f t="shared" si="1"/>
        <v>17</v>
      </c>
      <c r="B18" s="283">
        <f>YEAR(Table5[[#This Row],[Date]])+IF(MONTH(Table5[[#This Row],[Date]])&gt;=4,1,0)</f>
        <v>2026</v>
      </c>
      <c r="C18" s="79">
        <f>YEAR(Table5[[#This Row],[Date]])</f>
        <v>2025</v>
      </c>
      <c r="D18" s="79" t="s">
        <v>344</v>
      </c>
      <c r="E18" s="284">
        <f>Table5[[#This Row],[Date]]-DAY(Table5[[#This Row],[Date]])+1</f>
        <v>45748</v>
      </c>
      <c r="F18" s="285">
        <v>45751</v>
      </c>
      <c r="G18" s="79" t="s">
        <v>107</v>
      </c>
      <c r="H18" s="23" t="str">
        <f>IFERROR(_xlfn.XLOOKUP(Table5[[#This Row],[Affected WTG]],'Basic Data'!$A:$A,'Basic Data'!$B:$B),"")</f>
        <v>PWEPL</v>
      </c>
      <c r="I18" s="23" t="str">
        <f>IFERROR(_xlfn.XLOOKUP(Table5[[#This Row],[Affected WTG]],'Basic Data'!$A:$A,'Basic Data'!$C:$C),"")</f>
        <v>MSEDCL</v>
      </c>
      <c r="J18" s="286">
        <f>IFERROR(_xlfn.XLOOKUP(Table5[[#This Row],[Affected WTG]],'Basic Data'!$A:$A,'Basic Data'!$E:$E),"")</f>
        <v>2.2727272727272728E-2</v>
      </c>
      <c r="K18" s="79">
        <v>3</v>
      </c>
      <c r="L18" s="23" t="str">
        <f>IFERROR(_xlfn.XLOOKUP(Table5[[#This Row],[Error Code]],'Basic Data'!$W:$W,'Basic Data'!$X:$X),"Incorrect Error Code")</f>
        <v>Manual Stop</v>
      </c>
      <c r="M18" s="23" t="s">
        <v>360</v>
      </c>
      <c r="N18" s="23"/>
      <c r="O18" s="287">
        <v>0.47013888888888888</v>
      </c>
      <c r="P18" s="287">
        <v>0.47013888888888888</v>
      </c>
      <c r="Q18" s="287">
        <v>0.51250000000000007</v>
      </c>
      <c r="R18" s="91">
        <f t="shared" si="0"/>
        <v>4.2361111111111183E-2</v>
      </c>
      <c r="S18" s="91">
        <f>(Table5[[#This Row],[Fault Clearance time]]-Table5[[#This Row],[Work Start TimeStamp]])*24</f>
        <v>1.0166666666666684</v>
      </c>
      <c r="T18" s="91">
        <f>(Table5[[#This Row],[Fault Clearance time]]-Table5[[#This Row],[Fault Start TimeStamp]])*24</f>
        <v>1.0166666666666684</v>
      </c>
      <c r="U18" s="23" t="s">
        <v>361</v>
      </c>
      <c r="V18" s="79" t="s">
        <v>339</v>
      </c>
      <c r="W18" s="289">
        <f>IFERROR(Table5[[#This Row],[Breakdown Time]]*Table5[[#This Row],[Plant Equivalent Weightage]],"")</f>
        <v>2.3106060606060647E-2</v>
      </c>
      <c r="X18" s="289" t="s">
        <v>340</v>
      </c>
      <c r="Y18" s="290" t="s">
        <v>112</v>
      </c>
      <c r="Z18" s="79"/>
      <c r="AA18" s="283">
        <v>0</v>
      </c>
      <c r="AB18" s="79"/>
      <c r="AC18" s="23"/>
      <c r="AD18" s="23"/>
    </row>
    <row r="19" spans="1:30">
      <c r="A19" s="79">
        <f t="shared" si="1"/>
        <v>18</v>
      </c>
      <c r="B19" s="283">
        <f>YEAR(Table5[[#This Row],[Date]])+IF(MONTH(Table5[[#This Row],[Date]])&gt;=4,1,0)</f>
        <v>2026</v>
      </c>
      <c r="C19" s="79">
        <f>YEAR(Table5[[#This Row],[Date]])</f>
        <v>2025</v>
      </c>
      <c r="D19" s="79" t="s">
        <v>344</v>
      </c>
      <c r="E19" s="284">
        <f>Table5[[#This Row],[Date]]-DAY(Table5[[#This Row],[Date]])+1</f>
        <v>45748</v>
      </c>
      <c r="F19" s="285">
        <v>45751</v>
      </c>
      <c r="G19" s="79" t="s">
        <v>108</v>
      </c>
      <c r="H19" s="23" t="str">
        <f>IFERROR(_xlfn.XLOOKUP(Table5[[#This Row],[Affected WTG]],'Basic Data'!$A:$A,'Basic Data'!$B:$B),"")</f>
        <v>PWEPL</v>
      </c>
      <c r="I19" s="23" t="str">
        <f>IFERROR(_xlfn.XLOOKUP(Table5[[#This Row],[Affected WTG]],'Basic Data'!$A:$A,'Basic Data'!$C:$C),"")</f>
        <v>MSEDCL</v>
      </c>
      <c r="J19" s="286">
        <f>IFERROR(_xlfn.XLOOKUP(Table5[[#This Row],[Affected WTG]],'Basic Data'!$A:$A,'Basic Data'!$E:$E),"")</f>
        <v>2.2727272727272728E-2</v>
      </c>
      <c r="K19" s="79">
        <v>3</v>
      </c>
      <c r="L19" s="23" t="str">
        <f>IFERROR(_xlfn.XLOOKUP(Table5[[#This Row],[Error Code]],'Basic Data'!$W:$W,'Basic Data'!$X:$X),"Incorrect Error Code")</f>
        <v>Manual Stop</v>
      </c>
      <c r="M19" s="23" t="s">
        <v>360</v>
      </c>
      <c r="N19" s="23"/>
      <c r="O19" s="287">
        <v>0.52986111111111112</v>
      </c>
      <c r="P19" s="287">
        <v>0.52986111111111112</v>
      </c>
      <c r="Q19" s="287">
        <v>0.55694444444444446</v>
      </c>
      <c r="R19" s="91">
        <f t="shared" si="0"/>
        <v>2.7083333333333348E-2</v>
      </c>
      <c r="S19" s="91">
        <f>(Table5[[#This Row],[Fault Clearance time]]-Table5[[#This Row],[Work Start TimeStamp]])*24</f>
        <v>0.65000000000000036</v>
      </c>
      <c r="T19" s="91">
        <f>(Table5[[#This Row],[Fault Clearance time]]-Table5[[#This Row],[Fault Start TimeStamp]])*24</f>
        <v>0.65000000000000036</v>
      </c>
      <c r="U19" s="23" t="s">
        <v>361</v>
      </c>
      <c r="V19" s="79" t="s">
        <v>339</v>
      </c>
      <c r="W19" s="289">
        <f>IFERROR(Table5[[#This Row],[Breakdown Time]]*Table5[[#This Row],[Plant Equivalent Weightage]],"")</f>
        <v>1.4772727272727281E-2</v>
      </c>
      <c r="X19" s="289" t="s">
        <v>340</v>
      </c>
      <c r="Y19" s="290" t="s">
        <v>80</v>
      </c>
      <c r="Z19" s="79"/>
      <c r="AA19" s="283">
        <v>0</v>
      </c>
      <c r="AB19" s="79"/>
      <c r="AC19" s="23"/>
      <c r="AD19" s="23"/>
    </row>
    <row r="20" spans="1:30">
      <c r="A20" s="79">
        <f t="shared" si="1"/>
        <v>19</v>
      </c>
      <c r="B20" s="283">
        <f>YEAR(Table5[[#This Row],[Date]])+IF(MONTH(Table5[[#This Row],[Date]])&gt;=4,1,0)</f>
        <v>2026</v>
      </c>
      <c r="C20" s="79">
        <f>YEAR(Table5[[#This Row],[Date]])</f>
        <v>2025</v>
      </c>
      <c r="D20" s="79" t="s">
        <v>344</v>
      </c>
      <c r="E20" s="284">
        <f>Table5[[#This Row],[Date]]-DAY(Table5[[#This Row],[Date]])+1</f>
        <v>45748</v>
      </c>
      <c r="F20" s="285">
        <v>45751</v>
      </c>
      <c r="G20" s="79" t="s">
        <v>109</v>
      </c>
      <c r="H20" s="23" t="str">
        <f>IFERROR(_xlfn.XLOOKUP(Table5[[#This Row],[Affected WTG]],'Basic Data'!$A:$A,'Basic Data'!$B:$B),"")</f>
        <v>PWEPL</v>
      </c>
      <c r="I20" s="23" t="str">
        <f>IFERROR(_xlfn.XLOOKUP(Table5[[#This Row],[Affected WTG]],'Basic Data'!$A:$A,'Basic Data'!$C:$C),"")</f>
        <v>MSEDCL</v>
      </c>
      <c r="J20" s="286">
        <f>IFERROR(_xlfn.XLOOKUP(Table5[[#This Row],[Affected WTG]],'Basic Data'!$A:$A,'Basic Data'!$E:$E),"")</f>
        <v>2.2727272727272728E-2</v>
      </c>
      <c r="K20" s="79">
        <v>3</v>
      </c>
      <c r="L20" s="23" t="str">
        <f>IFERROR(_xlfn.XLOOKUP(Table5[[#This Row],[Error Code]],'Basic Data'!$W:$W,'Basic Data'!$X:$X),"Incorrect Error Code")</f>
        <v>Manual Stop</v>
      </c>
      <c r="M20" s="23" t="s">
        <v>360</v>
      </c>
      <c r="N20" s="23"/>
      <c r="O20" s="287">
        <v>0.64513888888888882</v>
      </c>
      <c r="P20" s="287">
        <v>0.64513888888888882</v>
      </c>
      <c r="Q20" s="287">
        <v>0.68541666666666667</v>
      </c>
      <c r="R20" s="91">
        <f t="shared" si="0"/>
        <v>4.0277777777777857E-2</v>
      </c>
      <c r="S20" s="91">
        <f>(Table5[[#This Row],[Fault Clearance time]]-Table5[[#This Row],[Work Start TimeStamp]])*24</f>
        <v>0.96666666666666856</v>
      </c>
      <c r="T20" s="91">
        <f>(Table5[[#This Row],[Fault Clearance time]]-Table5[[#This Row],[Fault Start TimeStamp]])*24</f>
        <v>0.96666666666666856</v>
      </c>
      <c r="U20" s="23" t="s">
        <v>361</v>
      </c>
      <c r="V20" s="79" t="s">
        <v>339</v>
      </c>
      <c r="W20" s="289">
        <f>IFERROR(Table5[[#This Row],[Breakdown Time]]*Table5[[#This Row],[Plant Equivalent Weightage]],"")</f>
        <v>2.1969696969697014E-2</v>
      </c>
      <c r="X20" s="289" t="s">
        <v>340</v>
      </c>
      <c r="Y20" s="290" t="s">
        <v>87</v>
      </c>
      <c r="Z20" s="79"/>
      <c r="AA20" s="283">
        <v>12</v>
      </c>
      <c r="AB20" s="79"/>
      <c r="AC20" s="23"/>
      <c r="AD20" s="23"/>
    </row>
    <row r="21" spans="1:30">
      <c r="A21" s="79">
        <f t="shared" si="1"/>
        <v>20</v>
      </c>
      <c r="B21" s="283">
        <f>YEAR(Table5[[#This Row],[Date]])+IF(MONTH(Table5[[#This Row],[Date]])&gt;=4,1,0)</f>
        <v>2026</v>
      </c>
      <c r="C21" s="79">
        <f>YEAR(Table5[[#This Row],[Date]])</f>
        <v>2025</v>
      </c>
      <c r="D21" s="79" t="s">
        <v>344</v>
      </c>
      <c r="E21" s="284">
        <f>Table5[[#This Row],[Date]]-DAY(Table5[[#This Row],[Date]])+1</f>
        <v>45748</v>
      </c>
      <c r="F21" s="285">
        <v>45751</v>
      </c>
      <c r="G21" s="79" t="s">
        <v>114</v>
      </c>
      <c r="H21" s="23" t="str">
        <f>IFERROR(_xlfn.XLOOKUP(Table5[[#This Row],[Affected WTG]],'Basic Data'!$A:$A,'Basic Data'!$B:$B),"")</f>
        <v>PWEPL</v>
      </c>
      <c r="I21" s="23" t="str">
        <f>IFERROR(_xlfn.XLOOKUP(Table5[[#This Row],[Affected WTG]],'Basic Data'!$A:$A,'Basic Data'!$C:$C),"")</f>
        <v>MSEDCL</v>
      </c>
      <c r="J21" s="286">
        <f>IFERROR(_xlfn.XLOOKUP(Table5[[#This Row],[Affected WTG]],'Basic Data'!$A:$A,'Basic Data'!$E:$E),"")</f>
        <v>2.2727272727272728E-2</v>
      </c>
      <c r="K21" s="79">
        <v>3</v>
      </c>
      <c r="L21" s="23" t="str">
        <f>IFERROR(_xlfn.XLOOKUP(Table5[[#This Row],[Error Code]],'Basic Data'!$W:$W,'Basic Data'!$X:$X),"Incorrect Error Code")</f>
        <v>Manual Stop</v>
      </c>
      <c r="M21" s="23" t="s">
        <v>360</v>
      </c>
      <c r="N21" s="23"/>
      <c r="O21" s="287">
        <v>0.63541666666666663</v>
      </c>
      <c r="P21" s="287">
        <v>0.63541666666666663</v>
      </c>
      <c r="Q21" s="287">
        <v>0.66249999999999998</v>
      </c>
      <c r="R21" s="91">
        <f t="shared" si="0"/>
        <v>2.7083333333333348E-2</v>
      </c>
      <c r="S21" s="91">
        <f>(Table5[[#This Row],[Fault Clearance time]]-Table5[[#This Row],[Work Start TimeStamp]])*24</f>
        <v>0.65000000000000036</v>
      </c>
      <c r="T21" s="91">
        <f>(Table5[[#This Row],[Fault Clearance time]]-Table5[[#This Row],[Fault Start TimeStamp]])*24</f>
        <v>0.65000000000000036</v>
      </c>
      <c r="U21" s="23" t="s">
        <v>361</v>
      </c>
      <c r="V21" s="79" t="s">
        <v>339</v>
      </c>
      <c r="W21" s="289">
        <f>IFERROR(Table5[[#This Row],[Breakdown Time]]*Table5[[#This Row],[Plant Equivalent Weightage]],"")</f>
        <v>1.4772727272727281E-2</v>
      </c>
      <c r="X21" s="289" t="s">
        <v>340</v>
      </c>
      <c r="Y21" s="290" t="s">
        <v>113</v>
      </c>
      <c r="Z21" s="79"/>
      <c r="AA21" s="283">
        <v>14</v>
      </c>
      <c r="AB21" s="79"/>
      <c r="AC21" s="23"/>
      <c r="AD21" s="23"/>
    </row>
    <row r="22" spans="1:30">
      <c r="A22" s="79">
        <f t="shared" si="1"/>
        <v>21</v>
      </c>
      <c r="B22" s="283">
        <f>YEAR(Table5[[#This Row],[Date]])+IF(MONTH(Table5[[#This Row],[Date]])&gt;=4,1,0)</f>
        <v>2026</v>
      </c>
      <c r="C22" s="79">
        <f>YEAR(Table5[[#This Row],[Date]])</f>
        <v>2025</v>
      </c>
      <c r="D22" s="79" t="s">
        <v>344</v>
      </c>
      <c r="E22" s="284">
        <f>Table5[[#This Row],[Date]]-DAY(Table5[[#This Row],[Date]])+1</f>
        <v>45748</v>
      </c>
      <c r="F22" s="285">
        <v>45752</v>
      </c>
      <c r="G22" s="79" t="s">
        <v>102</v>
      </c>
      <c r="H22" s="23" t="str">
        <f>IFERROR(_xlfn.XLOOKUP(Table5[[#This Row],[Affected WTG]],'Basic Data'!$A:$A,'Basic Data'!$B:$B),"")</f>
        <v>PWEPL</v>
      </c>
      <c r="I22" s="23" t="str">
        <f>IFERROR(_xlfn.XLOOKUP(Table5[[#This Row],[Affected WTG]],'Basic Data'!$A:$A,'Basic Data'!$C:$C),"")</f>
        <v>MSEDCL</v>
      </c>
      <c r="J22" s="286">
        <f>IFERROR(_xlfn.XLOOKUP(Table5[[#This Row],[Affected WTG]],'Basic Data'!$A:$A,'Basic Data'!$E:$E),"")</f>
        <v>2.2727272727272728E-2</v>
      </c>
      <c r="K22" s="79" t="s">
        <v>336</v>
      </c>
      <c r="L22" s="23" t="str">
        <f>IFERROR(_xlfn.XLOOKUP(Table5[[#This Row],[Error Code]],'Basic Data'!$W:$W,'Basic Data'!$X:$X),"Incorrect Error Code")</f>
        <v>Manual Stop - Preventive Maintenance Activity</v>
      </c>
      <c r="M22" s="23" t="s">
        <v>337</v>
      </c>
      <c r="N22" s="23"/>
      <c r="O22" s="287">
        <v>0.41250000000000003</v>
      </c>
      <c r="P22" s="287">
        <v>0.41250000000000003</v>
      </c>
      <c r="Q22" s="287">
        <v>0.72083333333333333</v>
      </c>
      <c r="R22" s="91">
        <f t="shared" si="0"/>
        <v>0.30833333333333329</v>
      </c>
      <c r="S22" s="91">
        <f>(Table5[[#This Row],[Fault Clearance time]]-Table5[[#This Row],[Work Start TimeStamp]])*24</f>
        <v>7.3999999999999986</v>
      </c>
      <c r="T22" s="91">
        <f>(Table5[[#This Row],[Fault Clearance time]]-Table5[[#This Row],[Fault Start TimeStamp]])*24</f>
        <v>7.3999999999999986</v>
      </c>
      <c r="U22" s="23" t="s">
        <v>362</v>
      </c>
      <c r="V22" s="79" t="s">
        <v>339</v>
      </c>
      <c r="W22" s="289">
        <f>IFERROR(Table5[[#This Row],[Breakdown Time]]*Table5[[#This Row],[Plant Equivalent Weightage]],"")</f>
        <v>0.16818181818181815</v>
      </c>
      <c r="X22" s="289" t="s">
        <v>340</v>
      </c>
      <c r="Y22" s="290" t="s">
        <v>363</v>
      </c>
      <c r="Z22" s="79"/>
      <c r="AA22" s="283">
        <v>5340</v>
      </c>
      <c r="AB22" s="79"/>
      <c r="AC22" s="23"/>
      <c r="AD22" s="23"/>
    </row>
    <row r="23" spans="1:30">
      <c r="A23" s="79">
        <f t="shared" si="1"/>
        <v>22</v>
      </c>
      <c r="B23" s="283">
        <f>YEAR(Table5[[#This Row],[Date]])+IF(MONTH(Table5[[#This Row],[Date]])&gt;=4,1,0)</f>
        <v>2026</v>
      </c>
      <c r="C23" s="79">
        <f>YEAR(Table5[[#This Row],[Date]])</f>
        <v>2025</v>
      </c>
      <c r="D23" s="79" t="s">
        <v>344</v>
      </c>
      <c r="E23" s="284">
        <f>Table5[[#This Row],[Date]]-DAY(Table5[[#This Row],[Date]])+1</f>
        <v>45748</v>
      </c>
      <c r="F23" s="285">
        <v>45752</v>
      </c>
      <c r="G23" s="79" t="s">
        <v>119</v>
      </c>
      <c r="H23" s="23" t="str">
        <f>IFERROR(_xlfn.XLOOKUP(Table5[[#This Row],[Affected WTG]],'Basic Data'!$A:$A,'Basic Data'!$B:$B),"")</f>
        <v>PWEPL</v>
      </c>
      <c r="I23" s="23" t="str">
        <f>IFERROR(_xlfn.XLOOKUP(Table5[[#This Row],[Affected WTG]],'Basic Data'!$A:$A,'Basic Data'!$C:$C),"")</f>
        <v>MSEDCL</v>
      </c>
      <c r="J23" s="286">
        <f>IFERROR(_xlfn.XLOOKUP(Table5[[#This Row],[Affected WTG]],'Basic Data'!$A:$A,'Basic Data'!$E:$E),"")</f>
        <v>2.2727272727272728E-2</v>
      </c>
      <c r="K23" s="79">
        <v>134</v>
      </c>
      <c r="L23" s="23" t="str">
        <f>IFERROR(_xlfn.XLOOKUP(Table5[[#This Row],[Error Code]],'Basic Data'!$W:$W,'Basic Data'!$X:$X),"Incorrect Error Code")</f>
        <v>Battery charging voltage not OK</v>
      </c>
      <c r="M23" s="23" t="s">
        <v>364</v>
      </c>
      <c r="N23" s="23"/>
      <c r="O23" s="287">
        <v>0.87083333333333324</v>
      </c>
      <c r="P23" s="287">
        <v>0.87083333333333324</v>
      </c>
      <c r="Q23" s="287">
        <v>0.96666666666666667</v>
      </c>
      <c r="R23" s="91">
        <f t="shared" si="0"/>
        <v>9.5833333333333437E-2</v>
      </c>
      <c r="S23" s="91">
        <f>(Table5[[#This Row],[Fault Clearance time]]-Table5[[#This Row],[Work Start TimeStamp]])*24</f>
        <v>2.3000000000000025</v>
      </c>
      <c r="T23" s="91">
        <f>(Table5[[#This Row],[Fault Clearance time]]-Table5[[#This Row],[Fault Start TimeStamp]])*24</f>
        <v>2.3000000000000025</v>
      </c>
      <c r="U23" s="23" t="s">
        <v>365</v>
      </c>
      <c r="V23" s="79" t="s">
        <v>339</v>
      </c>
      <c r="W23" s="289">
        <f>IFERROR(Table5[[#This Row],[Breakdown Time]]*Table5[[#This Row],[Plant Equivalent Weightage]],"")</f>
        <v>5.2272727272727332E-2</v>
      </c>
      <c r="X23" s="289" t="s">
        <v>343</v>
      </c>
      <c r="Y23" s="290" t="s">
        <v>118</v>
      </c>
      <c r="Z23" s="79"/>
      <c r="AA23" s="283">
        <v>904</v>
      </c>
      <c r="AB23" s="79"/>
      <c r="AC23" s="23"/>
      <c r="AD23" s="23"/>
    </row>
    <row r="24" spans="1:30">
      <c r="A24" s="79">
        <f t="shared" si="1"/>
        <v>23</v>
      </c>
      <c r="B24" s="283">
        <f>YEAR(Table5[[#This Row],[Date]])+IF(MONTH(Table5[[#This Row],[Date]])&gt;=4,1,0)</f>
        <v>2026</v>
      </c>
      <c r="C24" s="79">
        <f>YEAR(Table5[[#This Row],[Date]])</f>
        <v>2025</v>
      </c>
      <c r="D24" s="79" t="s">
        <v>344</v>
      </c>
      <c r="E24" s="284">
        <f>Table5[[#This Row],[Date]]-DAY(Table5[[#This Row],[Date]])+1</f>
        <v>45748</v>
      </c>
      <c r="F24" s="285">
        <v>45752</v>
      </c>
      <c r="G24" s="79" t="s">
        <v>100</v>
      </c>
      <c r="H24" s="23" t="str">
        <f>IFERROR(_xlfn.XLOOKUP(Table5[[#This Row],[Affected WTG]],'Basic Data'!$A:$A,'Basic Data'!$B:$B),"")</f>
        <v>PWEPL</v>
      </c>
      <c r="I24" s="23" t="str">
        <f>IFERROR(_xlfn.XLOOKUP(Table5[[#This Row],[Affected WTG]],'Basic Data'!$A:$A,'Basic Data'!$C:$C),"")</f>
        <v>MSEDCL</v>
      </c>
      <c r="J24" s="286">
        <f>IFERROR(_xlfn.XLOOKUP(Table5[[#This Row],[Affected WTG]],'Basic Data'!$A:$A,'Basic Data'!$E:$E),"")</f>
        <v>2.2727272727272728E-2</v>
      </c>
      <c r="K24" s="79">
        <v>201</v>
      </c>
      <c r="L24" s="23" t="str">
        <f>IFERROR(_xlfn.XLOOKUP(Table5[[#This Row],[Error Code]],'Basic Data'!$W:$W,'Basic Data'!$X:$X),"Incorrect Error Code")</f>
        <v xml:space="preserve"> PLC fault 24V Supply</v>
      </c>
      <c r="M24" s="23" t="s">
        <v>367</v>
      </c>
      <c r="N24" s="23"/>
      <c r="O24" s="287">
        <v>0.85138888888888886</v>
      </c>
      <c r="P24" s="287">
        <v>0.85138888888888886</v>
      </c>
      <c r="Q24" s="287">
        <v>0.99930555555555556</v>
      </c>
      <c r="R24" s="91">
        <f t="shared" si="0"/>
        <v>0.1479166666666667</v>
      </c>
      <c r="S24" s="91">
        <f>(Table5[[#This Row],[Fault Clearance time]]-Table5[[#This Row],[Work Start TimeStamp]])*24</f>
        <v>3.5500000000000007</v>
      </c>
      <c r="T24" s="91">
        <f>(Table5[[#This Row],[Fault Clearance time]]-Table5[[#This Row],[Fault Start TimeStamp]])*24</f>
        <v>3.5500000000000007</v>
      </c>
      <c r="U24" s="23" t="s">
        <v>368</v>
      </c>
      <c r="V24" s="79" t="s">
        <v>339</v>
      </c>
      <c r="W24" s="289">
        <f>IFERROR(Table5[[#This Row],[Breakdown Time]]*Table5[[#This Row],[Plant Equivalent Weightage]],"")</f>
        <v>8.0681818181818202E-2</v>
      </c>
      <c r="X24" s="289" t="s">
        <v>343</v>
      </c>
      <c r="Y24" s="290" t="s">
        <v>101</v>
      </c>
      <c r="Z24" s="79"/>
      <c r="AA24" s="283">
        <v>476</v>
      </c>
      <c r="AB24" s="79"/>
      <c r="AC24" s="23"/>
      <c r="AD24" s="23"/>
    </row>
    <row r="25" spans="1:30">
      <c r="A25" s="79">
        <f t="shared" si="1"/>
        <v>24</v>
      </c>
      <c r="B25" s="283">
        <f>YEAR(Table5[[#This Row],[Date]])+IF(MONTH(Table5[[#This Row],[Date]])&gt;=4,1,0)</f>
        <v>2026</v>
      </c>
      <c r="C25" s="79">
        <f>YEAR(Table5[[#This Row],[Date]])</f>
        <v>2025</v>
      </c>
      <c r="D25" s="79" t="s">
        <v>344</v>
      </c>
      <c r="E25" s="284">
        <f>Table5[[#This Row],[Date]]-DAY(Table5[[#This Row],[Date]])+1</f>
        <v>45748</v>
      </c>
      <c r="F25" s="285">
        <v>45753</v>
      </c>
      <c r="G25" s="79" t="s">
        <v>99</v>
      </c>
      <c r="H25" s="23" t="str">
        <f>IFERROR(_xlfn.XLOOKUP(Table5[[#This Row],[Affected WTG]],'Basic Data'!$A:$A,'Basic Data'!$B:$B),"")</f>
        <v>PWEPL</v>
      </c>
      <c r="I25" s="23" t="str">
        <f>IFERROR(_xlfn.XLOOKUP(Table5[[#This Row],[Affected WTG]],'Basic Data'!$A:$A,'Basic Data'!$C:$C),"")</f>
        <v>MSEDCL</v>
      </c>
      <c r="J25" s="286">
        <f>IFERROR(_xlfn.XLOOKUP(Table5[[#This Row],[Affected WTG]],'Basic Data'!$A:$A,'Basic Data'!$E:$E),"")</f>
        <v>2.2727272727272728E-2</v>
      </c>
      <c r="K25" s="79">
        <v>60</v>
      </c>
      <c r="L25" s="23" t="str">
        <f>IFERROR(_xlfn.XLOOKUP(Table5[[#This Row],[Error Code]],'Basic Data'!$W:$W,'Basic Data'!$X:$X),"Incorrect Error Code")</f>
        <v>Yaw limit switch activated</v>
      </c>
      <c r="M25" s="23" t="s">
        <v>357</v>
      </c>
      <c r="N25" s="23"/>
      <c r="O25" s="287">
        <v>0.63402777777777775</v>
      </c>
      <c r="P25" s="287">
        <v>0.63402777777777775</v>
      </c>
      <c r="Q25" s="287">
        <v>0.68402777777777779</v>
      </c>
      <c r="R25" s="91">
        <f t="shared" si="0"/>
        <v>5.0000000000000044E-2</v>
      </c>
      <c r="S25" s="91">
        <f>(Table5[[#This Row],[Fault Clearance time]]-Table5[[#This Row],[Work Start TimeStamp]])*24</f>
        <v>1.2000000000000011</v>
      </c>
      <c r="T25" s="91">
        <f>(Table5[[#This Row],[Fault Clearance time]]-Table5[[#This Row],[Fault Start TimeStamp]])*24</f>
        <v>1.2000000000000011</v>
      </c>
      <c r="U25" s="23" t="s">
        <v>358</v>
      </c>
      <c r="V25" s="79" t="s">
        <v>339</v>
      </c>
      <c r="W25" s="289">
        <f>IFERROR(Table5[[#This Row],[Breakdown Time]]*Table5[[#This Row],[Plant Equivalent Weightage]],"")</f>
        <v>2.7272727272727299E-2</v>
      </c>
      <c r="X25" s="289" t="s">
        <v>343</v>
      </c>
      <c r="Y25" s="290" t="s">
        <v>98</v>
      </c>
      <c r="Z25" s="79"/>
      <c r="AA25" s="283">
        <v>58</v>
      </c>
      <c r="AB25" s="79"/>
      <c r="AC25" s="23"/>
      <c r="AD25" s="23"/>
    </row>
    <row r="26" spans="1:30">
      <c r="A26" s="79">
        <f t="shared" si="1"/>
        <v>25</v>
      </c>
      <c r="B26" s="283">
        <f>YEAR(Table5[[#This Row],[Date]])+IF(MONTH(Table5[[#This Row],[Date]])&gt;=4,1,0)</f>
        <v>2026</v>
      </c>
      <c r="C26" s="79">
        <f>YEAR(Table5[[#This Row],[Date]])</f>
        <v>2025</v>
      </c>
      <c r="D26" s="79" t="s">
        <v>344</v>
      </c>
      <c r="E26" s="284">
        <f>Table5[[#This Row],[Date]]-DAY(Table5[[#This Row],[Date]])+1</f>
        <v>45748</v>
      </c>
      <c r="F26" s="285">
        <v>45753</v>
      </c>
      <c r="G26" s="79" t="s">
        <v>113</v>
      </c>
      <c r="H26" s="23" t="str">
        <f>IFERROR(_xlfn.XLOOKUP(Table5[[#This Row],[Affected WTG]],'Basic Data'!$A:$A,'Basic Data'!$B:$B),"")</f>
        <v>PWEPL</v>
      </c>
      <c r="I26" s="23" t="str">
        <f>IFERROR(_xlfn.XLOOKUP(Table5[[#This Row],[Affected WTG]],'Basic Data'!$A:$A,'Basic Data'!$C:$C),"")</f>
        <v>MSEDCL</v>
      </c>
      <c r="J26" s="286">
        <f>IFERROR(_xlfn.XLOOKUP(Table5[[#This Row],[Affected WTG]],'Basic Data'!$A:$A,'Basic Data'!$E:$E),"")</f>
        <v>2.2727272727272728E-2</v>
      </c>
      <c r="K26" s="79">
        <v>3</v>
      </c>
      <c r="L26" s="23" t="str">
        <f>IFERROR(_xlfn.XLOOKUP(Table5[[#This Row],[Error Code]],'Basic Data'!$W:$W,'Basic Data'!$X:$X),"Incorrect Error Code")</f>
        <v>Manual Stop</v>
      </c>
      <c r="M26" s="23" t="s">
        <v>360</v>
      </c>
      <c r="N26" s="23"/>
      <c r="O26" s="287">
        <v>0.89027777777777783</v>
      </c>
      <c r="P26" s="287">
        <v>0.89027777777777783</v>
      </c>
      <c r="Q26" s="287">
        <v>0.9243055555555556</v>
      </c>
      <c r="R26" s="91">
        <f t="shared" si="0"/>
        <v>3.4027777777777768E-2</v>
      </c>
      <c r="S26" s="91">
        <f>(Table5[[#This Row],[Fault Clearance time]]-Table5[[#This Row],[Work Start TimeStamp]])*24</f>
        <v>0.81666666666666643</v>
      </c>
      <c r="T26" s="91">
        <f>(Table5[[#This Row],[Fault Clearance time]]-Table5[[#This Row],[Fault Start TimeStamp]])*24</f>
        <v>0.81666666666666643</v>
      </c>
      <c r="U26" s="23" t="s">
        <v>361</v>
      </c>
      <c r="V26" s="79" t="s">
        <v>339</v>
      </c>
      <c r="W26" s="289">
        <f>IFERROR(Table5[[#This Row],[Breakdown Time]]*Table5[[#This Row],[Plant Equivalent Weightage]],"")</f>
        <v>1.8560606060606055E-2</v>
      </c>
      <c r="X26" s="289" t="s">
        <v>343</v>
      </c>
      <c r="Y26" s="290" t="s">
        <v>114</v>
      </c>
      <c r="Z26" s="79"/>
      <c r="AA26" s="283">
        <v>72</v>
      </c>
      <c r="AB26" s="79"/>
      <c r="AC26" s="23"/>
      <c r="AD26" s="23"/>
    </row>
    <row r="27" spans="1:30">
      <c r="A27" s="79">
        <f t="shared" si="1"/>
        <v>26</v>
      </c>
      <c r="B27" s="283">
        <f>YEAR(Table5[[#This Row],[Date]])+IF(MONTH(Table5[[#This Row],[Date]])&gt;=4,1,0)</f>
        <v>2026</v>
      </c>
      <c r="C27" s="79">
        <f>YEAR(Table5[[#This Row],[Date]])</f>
        <v>2025</v>
      </c>
      <c r="D27" s="79" t="s">
        <v>344</v>
      </c>
      <c r="E27" s="284">
        <f>Table5[[#This Row],[Date]]-DAY(Table5[[#This Row],[Date]])+1</f>
        <v>45748</v>
      </c>
      <c r="F27" s="285">
        <v>45754</v>
      </c>
      <c r="G27" s="79" t="s">
        <v>78</v>
      </c>
      <c r="H27" s="23" t="str">
        <f>IFERROR(_xlfn.XLOOKUP(Table5[[#This Row],[Affected WTG]],'Basic Data'!$A:$A,'Basic Data'!$B:$B),"")</f>
        <v>PWEPL</v>
      </c>
      <c r="I27" s="23" t="str">
        <f>IFERROR(_xlfn.XLOOKUP(Table5[[#This Row],[Affected WTG]],'Basic Data'!$A:$A,'Basic Data'!$C:$C),"")</f>
        <v>MSEDCL</v>
      </c>
      <c r="J27" s="286">
        <f>IFERROR(_xlfn.XLOOKUP(Table5[[#This Row],[Affected WTG]],'Basic Data'!$A:$A,'Basic Data'!$E:$E),"")</f>
        <v>2.2727272727272728E-2</v>
      </c>
      <c r="K27" s="79" t="s">
        <v>336</v>
      </c>
      <c r="L27" s="23" t="str">
        <f>IFERROR(_xlfn.XLOOKUP(Table5[[#This Row],[Error Code]],'Basic Data'!$W:$W,'Basic Data'!$X:$X),"Incorrect Error Code")</f>
        <v>Manual Stop - Preventive Maintenance Activity</v>
      </c>
      <c r="M27" s="23" t="s">
        <v>337</v>
      </c>
      <c r="N27" s="23"/>
      <c r="O27" s="287">
        <v>0.3972222222222222</v>
      </c>
      <c r="P27" s="287">
        <v>0.3972222222222222</v>
      </c>
      <c r="Q27" s="287">
        <v>0.71527777777777779</v>
      </c>
      <c r="R27" s="91">
        <f t="shared" si="0"/>
        <v>0.31805555555555559</v>
      </c>
      <c r="S27" s="91">
        <f>(Table5[[#This Row],[Fault Clearance time]]-Table5[[#This Row],[Work Start TimeStamp]])*24</f>
        <v>7.6333333333333346</v>
      </c>
      <c r="T27" s="91">
        <f>(Table5[[#This Row],[Fault Clearance time]]-Table5[[#This Row],[Fault Start TimeStamp]])*24</f>
        <v>7.6333333333333346</v>
      </c>
      <c r="U27" s="23" t="s">
        <v>338</v>
      </c>
      <c r="V27" s="79" t="s">
        <v>339</v>
      </c>
      <c r="W27" s="289">
        <f>IFERROR(Table5[[#This Row],[Breakdown Time]]*Table5[[#This Row],[Plant Equivalent Weightage]],"")</f>
        <v>0.17348484848484852</v>
      </c>
      <c r="X27" s="289" t="s">
        <v>340</v>
      </c>
      <c r="Y27" s="290" t="s">
        <v>77</v>
      </c>
      <c r="Z27" s="79"/>
      <c r="AA27" s="283">
        <v>905</v>
      </c>
      <c r="AB27" s="79"/>
      <c r="AC27" s="23"/>
      <c r="AD27" s="23"/>
    </row>
    <row r="28" spans="1:30">
      <c r="A28" s="79">
        <f t="shared" si="1"/>
        <v>27</v>
      </c>
      <c r="B28" s="283">
        <f>YEAR(Table5[[#This Row],[Date]])+IF(MONTH(Table5[[#This Row],[Date]])&gt;=4,1,0)</f>
        <v>2026</v>
      </c>
      <c r="C28" s="79">
        <f>YEAR(Table5[[#This Row],[Date]])</f>
        <v>2025</v>
      </c>
      <c r="D28" s="79" t="s">
        <v>344</v>
      </c>
      <c r="E28" s="284">
        <f>Table5[[#This Row],[Date]]-DAY(Table5[[#This Row],[Date]])+1</f>
        <v>45748</v>
      </c>
      <c r="F28" s="285">
        <v>45754</v>
      </c>
      <c r="G28" s="79" t="s">
        <v>82</v>
      </c>
      <c r="H28" s="23" t="str">
        <f>IFERROR(_xlfn.XLOOKUP(Table5[[#This Row],[Affected WTG]],'Basic Data'!$A:$A,'Basic Data'!$B:$B),"")</f>
        <v>PWEPL</v>
      </c>
      <c r="I28" s="23" t="str">
        <f>IFERROR(_xlfn.XLOOKUP(Table5[[#This Row],[Affected WTG]],'Basic Data'!$A:$A,'Basic Data'!$C:$C),"")</f>
        <v>MSEDCL</v>
      </c>
      <c r="J28" s="286">
        <f>IFERROR(_xlfn.XLOOKUP(Table5[[#This Row],[Affected WTG]],'Basic Data'!$A:$A,'Basic Data'!$E:$E),"")</f>
        <v>2.2727272727272728E-2</v>
      </c>
      <c r="K28" s="79">
        <v>81</v>
      </c>
      <c r="L28" s="23" t="str">
        <f>IFERROR(_xlfn.XLOOKUP(Table5[[#This Row],[Error Code]],'Basic Data'!$W:$W,'Basic Data'!$X:$X),"Incorrect Error Code")</f>
        <v>Shaft bearing overtemperature</v>
      </c>
      <c r="M28" s="23" t="s">
        <v>369</v>
      </c>
      <c r="N28" s="23"/>
      <c r="O28" s="287">
        <v>0.63750000000000007</v>
      </c>
      <c r="P28" s="287">
        <v>0.63750000000000007</v>
      </c>
      <c r="Q28" s="287">
        <v>0.76736111111111116</v>
      </c>
      <c r="R28" s="91">
        <f t="shared" si="0"/>
        <v>0.12986111111111109</v>
      </c>
      <c r="S28" s="91">
        <f>(Table5[[#This Row],[Fault Clearance time]]-Table5[[#This Row],[Work Start TimeStamp]])*24</f>
        <v>3.1166666666666663</v>
      </c>
      <c r="T28" s="91">
        <f>(Table5[[#This Row],[Fault Clearance time]]-Table5[[#This Row],[Fault Start TimeStamp]])*24</f>
        <v>3.1166666666666663</v>
      </c>
      <c r="U28" s="23" t="s">
        <v>370</v>
      </c>
      <c r="V28" s="79" t="s">
        <v>339</v>
      </c>
      <c r="W28" s="289">
        <f>IFERROR(Table5[[#This Row],[Breakdown Time]]*Table5[[#This Row],[Plant Equivalent Weightage]],"")</f>
        <v>7.0833333333333331E-2</v>
      </c>
      <c r="X28" s="289" t="s">
        <v>343</v>
      </c>
      <c r="Y28" s="290" t="s">
        <v>93</v>
      </c>
      <c r="Z28" s="79"/>
      <c r="AA28" s="283">
        <v>474</v>
      </c>
      <c r="AB28" s="79"/>
      <c r="AC28" s="23"/>
      <c r="AD28" s="23"/>
    </row>
    <row r="29" spans="1:30">
      <c r="A29" s="79">
        <f t="shared" si="1"/>
        <v>28</v>
      </c>
      <c r="B29" s="283">
        <f>YEAR(Table5[[#This Row],[Date]])+IF(MONTH(Table5[[#This Row],[Date]])&gt;=4,1,0)</f>
        <v>2026</v>
      </c>
      <c r="C29" s="79">
        <f>YEAR(Table5[[#This Row],[Date]])</f>
        <v>2025</v>
      </c>
      <c r="D29" s="79" t="s">
        <v>344</v>
      </c>
      <c r="E29" s="284">
        <f>Table5[[#This Row],[Date]]-DAY(Table5[[#This Row],[Date]])+1</f>
        <v>45748</v>
      </c>
      <c r="F29" s="285">
        <v>45755</v>
      </c>
      <c r="G29" s="79" t="s">
        <v>77</v>
      </c>
      <c r="H29" s="23" t="str">
        <f>IFERROR(_xlfn.XLOOKUP(Table5[[#This Row],[Affected WTG]],'Basic Data'!$A:$A,'Basic Data'!$B:$B),"")</f>
        <v>PWEPL</v>
      </c>
      <c r="I29" s="23" t="str">
        <f>IFERROR(_xlfn.XLOOKUP(Table5[[#This Row],[Affected WTG]],'Basic Data'!$A:$A,'Basic Data'!$C:$C),"")</f>
        <v>MSEDCL</v>
      </c>
      <c r="J29" s="286">
        <f>IFERROR(_xlfn.XLOOKUP(Table5[[#This Row],[Affected WTG]],'Basic Data'!$A:$A,'Basic Data'!$E:$E),"")</f>
        <v>2.2727272727272728E-2</v>
      </c>
      <c r="K29" s="79" t="s">
        <v>336</v>
      </c>
      <c r="L29" s="23" t="str">
        <f>IFERROR(_xlfn.XLOOKUP(Table5[[#This Row],[Error Code]],'Basic Data'!$W:$W,'Basic Data'!$X:$X),"Incorrect Error Code")</f>
        <v>Manual Stop - Preventive Maintenance Activity</v>
      </c>
      <c r="M29" s="23" t="s">
        <v>337</v>
      </c>
      <c r="N29" s="23"/>
      <c r="O29" s="287">
        <v>0.38472222222222219</v>
      </c>
      <c r="P29" s="287">
        <v>0.38472222222222219</v>
      </c>
      <c r="Q29" s="287">
        <v>0.71250000000000002</v>
      </c>
      <c r="R29" s="91">
        <f t="shared" si="0"/>
        <v>0.32777777777777783</v>
      </c>
      <c r="S29" s="91">
        <f>(Table5[[#This Row],[Fault Clearance time]]-Table5[[#This Row],[Work Start TimeStamp]])*24</f>
        <v>7.866666666666668</v>
      </c>
      <c r="T29" s="91">
        <f>(Table5[[#This Row],[Fault Clearance time]]-Table5[[#This Row],[Fault Start TimeStamp]])*24</f>
        <v>7.866666666666668</v>
      </c>
      <c r="U29" s="23" t="s">
        <v>338</v>
      </c>
      <c r="V29" s="79" t="s">
        <v>339</v>
      </c>
      <c r="W29" s="289">
        <f>IFERROR(Table5[[#This Row],[Breakdown Time]]*Table5[[#This Row],[Plant Equivalent Weightage]],"")</f>
        <v>0.17878787878787883</v>
      </c>
      <c r="X29" s="289" t="s">
        <v>340</v>
      </c>
      <c r="Y29" s="290" t="s">
        <v>93</v>
      </c>
      <c r="Z29" s="79"/>
      <c r="AA29" s="283">
        <v>668</v>
      </c>
      <c r="AB29" s="79"/>
      <c r="AC29" s="23"/>
      <c r="AD29" s="23"/>
    </row>
    <row r="30" spans="1:30">
      <c r="A30" s="79">
        <f t="shared" si="1"/>
        <v>29</v>
      </c>
      <c r="B30" s="283">
        <f>YEAR(Table5[[#This Row],[Date]])+IF(MONTH(Table5[[#This Row],[Date]])&gt;=4,1,0)</f>
        <v>2026</v>
      </c>
      <c r="C30" s="79">
        <f>YEAR(Table5[[#This Row],[Date]])</f>
        <v>2025</v>
      </c>
      <c r="D30" s="79" t="s">
        <v>344</v>
      </c>
      <c r="E30" s="284">
        <f>Table5[[#This Row],[Date]]-DAY(Table5[[#This Row],[Date]])+1</f>
        <v>45748</v>
      </c>
      <c r="F30" s="285">
        <v>45755</v>
      </c>
      <c r="G30" s="79" t="s">
        <v>77</v>
      </c>
      <c r="H30" s="23" t="str">
        <f>IFERROR(_xlfn.XLOOKUP(Table5[[#This Row],[Affected WTG]],'Basic Data'!$A:$A,'Basic Data'!$B:$B),"")</f>
        <v>PWEPL</v>
      </c>
      <c r="I30" s="23" t="str">
        <f>IFERROR(_xlfn.XLOOKUP(Table5[[#This Row],[Affected WTG]],'Basic Data'!$A:$A,'Basic Data'!$C:$C),"")</f>
        <v>MSEDCL</v>
      </c>
      <c r="J30" s="286">
        <f>IFERROR(_xlfn.XLOOKUP(Table5[[#This Row],[Affected WTG]],'Basic Data'!$A:$A,'Basic Data'!$E:$E),"")</f>
        <v>2.2727272727272728E-2</v>
      </c>
      <c r="K30" s="79">
        <v>86</v>
      </c>
      <c r="L30" s="23" t="str">
        <f>IFERROR(_xlfn.XLOOKUP(Table5[[#This Row],[Error Code]],'Basic Data'!$W:$W,'Basic Data'!$X:$X),"Incorrect Error Code")</f>
        <v>Braking pad of secondary brake worn out</v>
      </c>
      <c r="M30" s="23" t="s">
        <v>559</v>
      </c>
      <c r="N30" s="23"/>
      <c r="O30" s="287">
        <v>0.85625000000000007</v>
      </c>
      <c r="P30" s="287">
        <v>0.85625000000000007</v>
      </c>
      <c r="Q30" s="287">
        <v>0.99930555555555556</v>
      </c>
      <c r="R30" s="91">
        <f t="shared" si="0"/>
        <v>0.14305555555555549</v>
      </c>
      <c r="S30" s="91">
        <f>(Table5[[#This Row],[Fault Clearance time]]-Table5[[#This Row],[Work Start TimeStamp]])*24</f>
        <v>3.4333333333333318</v>
      </c>
      <c r="T30" s="91">
        <f>(Table5[[#This Row],[Fault Clearance time]]-Table5[[#This Row],[Fault Start TimeStamp]])*24</f>
        <v>3.4333333333333318</v>
      </c>
      <c r="U30" s="23" t="s">
        <v>371</v>
      </c>
      <c r="V30" s="79" t="s">
        <v>339</v>
      </c>
      <c r="W30" s="289">
        <f>IFERROR(Table5[[#This Row],[Breakdown Time]]*Table5[[#This Row],[Plant Equivalent Weightage]],"")</f>
        <v>7.8030303030302992E-2</v>
      </c>
      <c r="X30" s="289" t="s">
        <v>343</v>
      </c>
      <c r="Y30" s="290" t="s">
        <v>93</v>
      </c>
      <c r="Z30" s="79"/>
      <c r="AA30" s="283">
        <v>1305</v>
      </c>
      <c r="AB30" s="79"/>
      <c r="AC30" s="23"/>
      <c r="AD30" s="23"/>
    </row>
    <row r="31" spans="1:30">
      <c r="A31" s="79">
        <f t="shared" si="1"/>
        <v>30</v>
      </c>
      <c r="B31" s="283">
        <f>YEAR(Table5[[#This Row],[Date]])+IF(MONTH(Table5[[#This Row],[Date]])&gt;=4,1,0)</f>
        <v>2026</v>
      </c>
      <c r="C31" s="79">
        <f>YEAR(Table5[[#This Row],[Date]])</f>
        <v>2025</v>
      </c>
      <c r="D31" s="79" t="s">
        <v>344</v>
      </c>
      <c r="E31" s="284">
        <f>Table5[[#This Row],[Date]]-DAY(Table5[[#This Row],[Date]])+1</f>
        <v>45748</v>
      </c>
      <c r="F31" s="285">
        <v>45755</v>
      </c>
      <c r="G31" s="79" t="s">
        <v>81</v>
      </c>
      <c r="H31" s="23" t="str">
        <f>IFERROR(_xlfn.XLOOKUP(Table5[[#This Row],[Affected WTG]],'Basic Data'!$A:$A,'Basic Data'!$B:$B),"")</f>
        <v>PWEPL</v>
      </c>
      <c r="I31" s="23" t="str">
        <f>IFERROR(_xlfn.XLOOKUP(Table5[[#This Row],[Affected WTG]],'Basic Data'!$A:$A,'Basic Data'!$C:$C),"")</f>
        <v>MSEDCL</v>
      </c>
      <c r="J31" s="286">
        <f>IFERROR(_xlfn.XLOOKUP(Table5[[#This Row],[Affected WTG]],'Basic Data'!$A:$A,'Basic Data'!$E:$E),"")</f>
        <v>2.2727272727272728E-2</v>
      </c>
      <c r="K31" s="79">
        <v>430</v>
      </c>
      <c r="L31" s="23" t="str">
        <f>IFERROR(_xlfn.XLOOKUP(Table5[[#This Row],[Error Code]],'Basic Data'!$W:$W,'Basic Data'!$X:$X),"Incorrect Error Code")</f>
        <v xml:space="preserve">Yaw tooth sensor 1 timeout </v>
      </c>
      <c r="M31" s="23" t="s">
        <v>154</v>
      </c>
      <c r="N31" s="23"/>
      <c r="O31" s="287">
        <v>0.83958333333333324</v>
      </c>
      <c r="P31" s="287">
        <v>0.83958333333333324</v>
      </c>
      <c r="Q31" s="287">
        <v>0.88888888888888884</v>
      </c>
      <c r="R31" s="91">
        <f t="shared" si="0"/>
        <v>4.9305555555555602E-2</v>
      </c>
      <c r="S31" s="91">
        <f>(Table5[[#This Row],[Fault Clearance time]]-Table5[[#This Row],[Work Start TimeStamp]])*24</f>
        <v>1.1833333333333345</v>
      </c>
      <c r="T31" s="91">
        <f>(Table5[[#This Row],[Fault Clearance time]]-Table5[[#This Row],[Fault Start TimeStamp]])*24</f>
        <v>1.1833333333333345</v>
      </c>
      <c r="U31" s="23" t="s">
        <v>353</v>
      </c>
      <c r="V31" s="79" t="s">
        <v>339</v>
      </c>
      <c r="W31" s="289">
        <f>IFERROR(Table5[[#This Row],[Breakdown Time]]*Table5[[#This Row],[Plant Equivalent Weightage]],"")</f>
        <v>2.6893939393939421E-2</v>
      </c>
      <c r="X31" s="289" t="s">
        <v>343</v>
      </c>
      <c r="Y31" s="290" t="s">
        <v>108</v>
      </c>
      <c r="Z31" s="79"/>
      <c r="AA31" s="283">
        <v>53</v>
      </c>
      <c r="AB31" s="79"/>
      <c r="AC31" s="23"/>
      <c r="AD31" s="23"/>
    </row>
    <row r="32" spans="1:30">
      <c r="A32" s="79">
        <f t="shared" si="1"/>
        <v>31</v>
      </c>
      <c r="B32" s="283">
        <f>YEAR(Table5[[#This Row],[Date]])+IF(MONTH(Table5[[#This Row],[Date]])&gt;=4,1,0)</f>
        <v>2026</v>
      </c>
      <c r="C32" s="79">
        <f>YEAR(Table5[[#This Row],[Date]])</f>
        <v>2025</v>
      </c>
      <c r="D32" s="79" t="s">
        <v>344</v>
      </c>
      <c r="E32" s="284">
        <f>Table5[[#This Row],[Date]]-DAY(Table5[[#This Row],[Date]])+1</f>
        <v>45748</v>
      </c>
      <c r="F32" s="285">
        <v>45756</v>
      </c>
      <c r="G32" s="79" t="s">
        <v>81</v>
      </c>
      <c r="H32" s="23" t="str">
        <f>IFERROR(_xlfn.XLOOKUP(Table5[[#This Row],[Affected WTG]],'Basic Data'!$A:$A,'Basic Data'!$B:$B),"")</f>
        <v>PWEPL</v>
      </c>
      <c r="I32" s="23" t="str">
        <f>IFERROR(_xlfn.XLOOKUP(Table5[[#This Row],[Affected WTG]],'Basic Data'!$A:$A,'Basic Data'!$C:$C),"")</f>
        <v>MSEDCL</v>
      </c>
      <c r="J32" s="286">
        <f>IFERROR(_xlfn.XLOOKUP(Table5[[#This Row],[Affected WTG]],'Basic Data'!$A:$A,'Basic Data'!$E:$E),"")</f>
        <v>2.2727272727272728E-2</v>
      </c>
      <c r="K32" s="79">
        <v>86</v>
      </c>
      <c r="L32" s="23" t="str">
        <f>IFERROR(_xlfn.XLOOKUP(Table5[[#This Row],[Error Code]],'Basic Data'!$W:$W,'Basic Data'!$X:$X),"Incorrect Error Code")</f>
        <v>Braking pad of secondary brake worn out</v>
      </c>
      <c r="M32" s="23" t="s">
        <v>559</v>
      </c>
      <c r="N32" s="23"/>
      <c r="O32" s="287">
        <v>4.1666666666666666E-3</v>
      </c>
      <c r="P32" s="287">
        <v>4.1666666666666666E-3</v>
      </c>
      <c r="Q32" s="287">
        <v>5.2777777777777778E-2</v>
      </c>
      <c r="R32" s="91">
        <f t="shared" si="0"/>
        <v>4.8611111111111112E-2</v>
      </c>
      <c r="S32" s="91">
        <f>(Table5[[#This Row],[Fault Clearance time]]-Table5[[#This Row],[Work Start TimeStamp]])*24</f>
        <v>1.1666666666666667</v>
      </c>
      <c r="T32" s="91">
        <f>(Table5[[#This Row],[Fault Clearance time]]-Table5[[#This Row],[Fault Start TimeStamp]])*24</f>
        <v>1.1666666666666667</v>
      </c>
      <c r="U32" s="23" t="s">
        <v>371</v>
      </c>
      <c r="V32" s="79" t="s">
        <v>339</v>
      </c>
      <c r="W32" s="289">
        <f>IFERROR(Table5[[#This Row],[Breakdown Time]]*Table5[[#This Row],[Plant Equivalent Weightage]],"")</f>
        <v>2.6515151515151516E-2</v>
      </c>
      <c r="X32" s="289" t="s">
        <v>343</v>
      </c>
      <c r="Y32" s="290" t="s">
        <v>93</v>
      </c>
      <c r="Z32" s="79"/>
      <c r="AA32" s="283">
        <v>490</v>
      </c>
      <c r="AB32" s="79"/>
      <c r="AC32" s="23"/>
      <c r="AD32" s="23"/>
    </row>
    <row r="33" spans="1:30">
      <c r="A33" s="79">
        <f t="shared" si="1"/>
        <v>32</v>
      </c>
      <c r="B33" s="283">
        <f>YEAR(Table5[[#This Row],[Date]])+IF(MONTH(Table5[[#This Row],[Date]])&gt;=4,1,0)</f>
        <v>2026</v>
      </c>
      <c r="C33" s="79">
        <f>YEAR(Table5[[#This Row],[Date]])</f>
        <v>2025</v>
      </c>
      <c r="D33" s="79" t="s">
        <v>344</v>
      </c>
      <c r="E33" s="284">
        <f>Table5[[#This Row],[Date]]-DAY(Table5[[#This Row],[Date]])+1</f>
        <v>45748</v>
      </c>
      <c r="F33" s="285">
        <v>45756</v>
      </c>
      <c r="G33" s="79" t="s">
        <v>77</v>
      </c>
      <c r="H33" s="23" t="str">
        <f>IFERROR(_xlfn.XLOOKUP(Table5[[#This Row],[Affected WTG]],'Basic Data'!$A:$A,'Basic Data'!$B:$B),"")</f>
        <v>PWEPL</v>
      </c>
      <c r="I33" s="23" t="str">
        <f>IFERROR(_xlfn.XLOOKUP(Table5[[#This Row],[Affected WTG]],'Basic Data'!$A:$A,'Basic Data'!$C:$C),"")</f>
        <v>MSEDCL</v>
      </c>
      <c r="J33" s="286">
        <f>IFERROR(_xlfn.XLOOKUP(Table5[[#This Row],[Affected WTG]],'Basic Data'!$A:$A,'Basic Data'!$E:$E),"")</f>
        <v>2.2727272727272728E-2</v>
      </c>
      <c r="K33" s="79">
        <v>430</v>
      </c>
      <c r="L33" s="23" t="str">
        <f>IFERROR(_xlfn.XLOOKUP(Table5[[#This Row],[Error Code]],'Basic Data'!$W:$W,'Basic Data'!$X:$X),"Incorrect Error Code")</f>
        <v xml:space="preserve">Yaw tooth sensor 1 timeout </v>
      </c>
      <c r="M33" s="23" t="s">
        <v>154</v>
      </c>
      <c r="N33" s="23"/>
      <c r="O33" s="287">
        <v>0</v>
      </c>
      <c r="P33" s="287">
        <v>0</v>
      </c>
      <c r="Q33" s="287">
        <v>0.11527777777777777</v>
      </c>
      <c r="R33" s="91">
        <f t="shared" si="0"/>
        <v>0.11527777777777777</v>
      </c>
      <c r="S33" s="91">
        <f>(Table5[[#This Row],[Fault Clearance time]]-Table5[[#This Row],[Work Start TimeStamp]])*24</f>
        <v>2.7666666666666666</v>
      </c>
      <c r="T33" s="91">
        <f>(Table5[[#This Row],[Fault Clearance time]]-Table5[[#This Row],[Fault Start TimeStamp]])*24</f>
        <v>2.7666666666666666</v>
      </c>
      <c r="U33" s="23" t="s">
        <v>372</v>
      </c>
      <c r="V33" s="79" t="s">
        <v>339</v>
      </c>
      <c r="W33" s="289">
        <f>IFERROR(Table5[[#This Row],[Breakdown Time]]*Table5[[#This Row],[Plant Equivalent Weightage]],"")</f>
        <v>6.2878787878787881E-2</v>
      </c>
      <c r="X33" s="289" t="s">
        <v>343</v>
      </c>
      <c r="Y33" s="290" t="s">
        <v>108</v>
      </c>
      <c r="Z33" s="79"/>
      <c r="AA33" s="283">
        <v>117</v>
      </c>
      <c r="AB33" s="79"/>
      <c r="AC33" s="23"/>
      <c r="AD33" s="23"/>
    </row>
    <row r="34" spans="1:30">
      <c r="A34" s="79">
        <f t="shared" si="1"/>
        <v>33</v>
      </c>
      <c r="B34" s="283">
        <f>YEAR(Table5[[#This Row],[Date]])+IF(MONTH(Table5[[#This Row],[Date]])&gt;=4,1,0)</f>
        <v>2026</v>
      </c>
      <c r="C34" s="79">
        <f>YEAR(Table5[[#This Row],[Date]])</f>
        <v>2025</v>
      </c>
      <c r="D34" s="79" t="s">
        <v>344</v>
      </c>
      <c r="E34" s="284">
        <f>Table5[[#This Row],[Date]]-DAY(Table5[[#This Row],[Date]])+1</f>
        <v>45748</v>
      </c>
      <c r="F34" s="285">
        <v>45756</v>
      </c>
      <c r="G34" s="79" t="s">
        <v>93</v>
      </c>
      <c r="H34" s="23" t="str">
        <f>IFERROR(_xlfn.XLOOKUP(Table5[[#This Row],[Affected WTG]],'Basic Data'!$A:$A,'Basic Data'!$B:$B),"")</f>
        <v>PWEPL</v>
      </c>
      <c r="I34" s="23" t="str">
        <f>IFERROR(_xlfn.XLOOKUP(Table5[[#This Row],[Affected WTG]],'Basic Data'!$A:$A,'Basic Data'!$C:$C),"")</f>
        <v>MSEDCL</v>
      </c>
      <c r="J34" s="286">
        <f>IFERROR(_xlfn.XLOOKUP(Table5[[#This Row],[Affected WTG]],'Basic Data'!$A:$A,'Basic Data'!$E:$E),"")</f>
        <v>2.2727272727272728E-2</v>
      </c>
      <c r="K34" s="79" t="s">
        <v>336</v>
      </c>
      <c r="L34" s="23" t="str">
        <f>IFERROR(_xlfn.XLOOKUP(Table5[[#This Row],[Error Code]],'Basic Data'!$W:$W,'Basic Data'!$X:$X),"Incorrect Error Code")</f>
        <v>Manual Stop - Preventive Maintenance Activity</v>
      </c>
      <c r="M34" s="23" t="s">
        <v>337</v>
      </c>
      <c r="N34" s="23"/>
      <c r="O34" s="287">
        <v>0.40486111111111112</v>
      </c>
      <c r="P34" s="287">
        <v>0.40486111111111112</v>
      </c>
      <c r="Q34" s="287">
        <v>0.71666666666666667</v>
      </c>
      <c r="R34" s="91">
        <f t="shared" si="0"/>
        <v>0.31180555555555556</v>
      </c>
      <c r="S34" s="91">
        <f>(Table5[[#This Row],[Fault Clearance time]]-Table5[[#This Row],[Work Start TimeStamp]])*24</f>
        <v>7.4833333333333334</v>
      </c>
      <c r="T34" s="91">
        <f>(Table5[[#This Row],[Fault Clearance time]]-Table5[[#This Row],[Fault Start TimeStamp]])*24</f>
        <v>7.4833333333333334</v>
      </c>
      <c r="U34" s="23" t="s">
        <v>338</v>
      </c>
      <c r="V34" s="79" t="s">
        <v>339</v>
      </c>
      <c r="W34" s="289">
        <f>IFERROR(Table5[[#This Row],[Breakdown Time]]*Table5[[#This Row],[Plant Equivalent Weightage]],"")</f>
        <v>0.17007575757575757</v>
      </c>
      <c r="X34" s="289" t="s">
        <v>340</v>
      </c>
      <c r="Y34" s="290" t="s">
        <v>82</v>
      </c>
      <c r="Z34" s="79"/>
      <c r="AA34" s="283">
        <v>824</v>
      </c>
      <c r="AB34" s="79"/>
      <c r="AC34" s="23"/>
      <c r="AD34" s="23"/>
    </row>
    <row r="35" spans="1:30">
      <c r="A35" s="79">
        <f t="shared" si="1"/>
        <v>34</v>
      </c>
      <c r="B35" s="283">
        <f>YEAR(Table5[[#This Row],[Date]])+IF(MONTH(Table5[[#This Row],[Date]])&gt;=4,1,0)</f>
        <v>2026</v>
      </c>
      <c r="C35" s="79">
        <f>YEAR(Table5[[#This Row],[Date]])</f>
        <v>2025</v>
      </c>
      <c r="D35" s="79" t="s">
        <v>344</v>
      </c>
      <c r="E35" s="284">
        <f>Table5[[#This Row],[Date]]-DAY(Table5[[#This Row],[Date]])+1</f>
        <v>45748</v>
      </c>
      <c r="F35" s="285">
        <v>45756</v>
      </c>
      <c r="G35" s="79" t="s">
        <v>86</v>
      </c>
      <c r="H35" s="23" t="str">
        <f>IFERROR(_xlfn.XLOOKUP(Table5[[#This Row],[Affected WTG]],'Basic Data'!$A:$A,'Basic Data'!$B:$B),"")</f>
        <v>PWEPL</v>
      </c>
      <c r="I35" s="23" t="str">
        <f>IFERROR(_xlfn.XLOOKUP(Table5[[#This Row],[Affected WTG]],'Basic Data'!$A:$A,'Basic Data'!$C:$C),"")</f>
        <v>MSEDCL</v>
      </c>
      <c r="J35" s="286">
        <f>IFERROR(_xlfn.XLOOKUP(Table5[[#This Row],[Affected WTG]],'Basic Data'!$A:$A,'Basic Data'!$E:$E),"")</f>
        <v>2.2727272727272728E-2</v>
      </c>
      <c r="K35" s="79">
        <v>275</v>
      </c>
      <c r="L35" s="23" t="str">
        <f>IFERROR(_xlfn.XLOOKUP(Table5[[#This Row],[Error Code]],'Basic Data'!$W:$W,'Basic Data'!$X:$X),"Incorrect Error Code")</f>
        <v>Pitch thyristor 2 fault</v>
      </c>
      <c r="M35" s="23" t="s">
        <v>162</v>
      </c>
      <c r="N35" s="23"/>
      <c r="O35" s="287">
        <v>0.11666666666666665</v>
      </c>
      <c r="P35" s="287">
        <v>0.11666666666666665</v>
      </c>
      <c r="Q35" s="287">
        <v>0.16527777777777777</v>
      </c>
      <c r="R35" s="91">
        <f t="shared" si="0"/>
        <v>4.8611111111111119E-2</v>
      </c>
      <c r="S35" s="91">
        <f>(Table5[[#This Row],[Fault Clearance time]]-Table5[[#This Row],[Work Start TimeStamp]])*24</f>
        <v>1.166666666666667</v>
      </c>
      <c r="T35" s="91">
        <f>(Table5[[#This Row],[Fault Clearance time]]-Table5[[#This Row],[Fault Start TimeStamp]])*24</f>
        <v>1.166666666666667</v>
      </c>
      <c r="U35" s="23" t="s">
        <v>349</v>
      </c>
      <c r="V35" s="79" t="s">
        <v>339</v>
      </c>
      <c r="W35" s="289">
        <f>IFERROR(Table5[[#This Row],[Breakdown Time]]*Table5[[#This Row],[Plant Equivalent Weightage]],"")</f>
        <v>2.6515151515151523E-2</v>
      </c>
      <c r="X35" s="289" t="s">
        <v>343</v>
      </c>
      <c r="Y35" s="290" t="s">
        <v>85</v>
      </c>
      <c r="Z35" s="79"/>
      <c r="AA35" s="283">
        <v>21</v>
      </c>
      <c r="AB35" s="79"/>
      <c r="AC35" s="23"/>
      <c r="AD35" s="23"/>
    </row>
    <row r="36" spans="1:30">
      <c r="A36" s="79">
        <f t="shared" si="1"/>
        <v>35</v>
      </c>
      <c r="B36" s="283">
        <f>YEAR(Table5[[#This Row],[Date]])+IF(MONTH(Table5[[#This Row],[Date]])&gt;=4,1,0)</f>
        <v>2026</v>
      </c>
      <c r="C36" s="79">
        <f>YEAR(Table5[[#This Row],[Date]])</f>
        <v>2025</v>
      </c>
      <c r="D36" s="79" t="s">
        <v>344</v>
      </c>
      <c r="E36" s="284">
        <f>Table5[[#This Row],[Date]]-DAY(Table5[[#This Row],[Date]])+1</f>
        <v>45748</v>
      </c>
      <c r="F36" s="285">
        <v>45756</v>
      </c>
      <c r="G36" s="79" t="s">
        <v>88</v>
      </c>
      <c r="H36" s="23" t="str">
        <f>IFERROR(_xlfn.XLOOKUP(Table5[[#This Row],[Affected WTG]],'Basic Data'!$A:$A,'Basic Data'!$B:$B),"")</f>
        <v>PWEPL</v>
      </c>
      <c r="I36" s="23" t="str">
        <f>IFERROR(_xlfn.XLOOKUP(Table5[[#This Row],[Affected WTG]],'Basic Data'!$A:$A,'Basic Data'!$C:$C),"")</f>
        <v>MSEDCL</v>
      </c>
      <c r="J36" s="286">
        <f>IFERROR(_xlfn.XLOOKUP(Table5[[#This Row],[Affected WTG]],'Basic Data'!$A:$A,'Basic Data'!$E:$E),"")</f>
        <v>2.2727272727272728E-2</v>
      </c>
      <c r="K36" s="79">
        <v>142</v>
      </c>
      <c r="L36" s="23" t="str">
        <f>IFERROR(_xlfn.XLOOKUP(Table5[[#This Row],[Error Code]],'Basic Data'!$W:$W,'Basic Data'!$X:$X),"Incorrect Error Code")</f>
        <v>Line CCU collective faults</v>
      </c>
      <c r="M36" s="23" t="s">
        <v>373</v>
      </c>
      <c r="N36" s="23"/>
      <c r="O36" s="287">
        <v>0.11666666666666665</v>
      </c>
      <c r="P36" s="287">
        <v>0.11666666666666665</v>
      </c>
      <c r="Q36" s="287">
        <v>0.22361111111111109</v>
      </c>
      <c r="R36" s="91">
        <f t="shared" si="0"/>
        <v>0.10694444444444444</v>
      </c>
      <c r="S36" s="91">
        <f>(Table5[[#This Row],[Fault Clearance time]]-Table5[[#This Row],[Work Start TimeStamp]])*24</f>
        <v>2.5666666666666664</v>
      </c>
      <c r="T36" s="91">
        <f>(Table5[[#This Row],[Fault Clearance time]]-Table5[[#This Row],[Fault Start TimeStamp]])*24</f>
        <v>2.5666666666666664</v>
      </c>
      <c r="U36" s="23" t="s">
        <v>374</v>
      </c>
      <c r="V36" s="79" t="s">
        <v>339</v>
      </c>
      <c r="W36" s="289">
        <f>IFERROR(Table5[[#This Row],[Breakdown Time]]*Table5[[#This Row],[Plant Equivalent Weightage]],"")</f>
        <v>5.8333333333333327E-2</v>
      </c>
      <c r="X36" s="289" t="s">
        <v>343</v>
      </c>
      <c r="Y36" s="290" t="s">
        <v>87</v>
      </c>
      <c r="Z36" s="79"/>
      <c r="AA36" s="283">
        <v>32</v>
      </c>
      <c r="AB36" s="79"/>
      <c r="AC36" s="23"/>
      <c r="AD36" s="23"/>
    </row>
    <row r="37" spans="1:30">
      <c r="A37" s="79">
        <f t="shared" si="1"/>
        <v>36</v>
      </c>
      <c r="B37" s="283">
        <f>YEAR(Table5[[#This Row],[Date]])+IF(MONTH(Table5[[#This Row],[Date]])&gt;=4,1,0)</f>
        <v>2026</v>
      </c>
      <c r="C37" s="79">
        <f>YEAR(Table5[[#This Row],[Date]])</f>
        <v>2025</v>
      </c>
      <c r="D37" s="79" t="s">
        <v>344</v>
      </c>
      <c r="E37" s="284">
        <f>Table5[[#This Row],[Date]]-DAY(Table5[[#This Row],[Date]])+1</f>
        <v>45748</v>
      </c>
      <c r="F37" s="285">
        <v>45756</v>
      </c>
      <c r="G37" s="79" t="s">
        <v>112</v>
      </c>
      <c r="H37" s="23" t="str">
        <f>IFERROR(_xlfn.XLOOKUP(Table5[[#This Row],[Affected WTG]],'Basic Data'!$A:$A,'Basic Data'!$B:$B),"")</f>
        <v>PWEPL</v>
      </c>
      <c r="I37" s="23" t="str">
        <f>IFERROR(_xlfn.XLOOKUP(Table5[[#This Row],[Affected WTG]],'Basic Data'!$A:$A,'Basic Data'!$C:$C),"")</f>
        <v>MSEDCL</v>
      </c>
      <c r="J37" s="286">
        <f>IFERROR(_xlfn.XLOOKUP(Table5[[#This Row],[Affected WTG]],'Basic Data'!$A:$A,'Basic Data'!$E:$E),"")</f>
        <v>2.2727272727272728E-2</v>
      </c>
      <c r="K37" s="79">
        <v>3</v>
      </c>
      <c r="L37" s="23" t="str">
        <f>IFERROR(_xlfn.XLOOKUP(Table5[[#This Row],[Error Code]],'Basic Data'!$W:$W,'Basic Data'!$X:$X),"Incorrect Error Code")</f>
        <v>Manual Stop</v>
      </c>
      <c r="M37" s="23" t="s">
        <v>360</v>
      </c>
      <c r="N37" s="23"/>
      <c r="O37" s="287">
        <v>0.80902777777777779</v>
      </c>
      <c r="P37" s="287">
        <v>0.80902777777777779</v>
      </c>
      <c r="Q37" s="287">
        <v>0.83333333333333337</v>
      </c>
      <c r="R37" s="91">
        <f t="shared" si="0"/>
        <v>2.430555555555558E-2</v>
      </c>
      <c r="S37" s="91">
        <f>(Table5[[#This Row],[Fault Clearance time]]-Table5[[#This Row],[Work Start TimeStamp]])*24</f>
        <v>0.58333333333333393</v>
      </c>
      <c r="T37" s="91">
        <f>(Table5[[#This Row],[Fault Clearance time]]-Table5[[#This Row],[Fault Start TimeStamp]])*24</f>
        <v>0.58333333333333393</v>
      </c>
      <c r="U37" s="23" t="s">
        <v>361</v>
      </c>
      <c r="V37" s="79" t="s">
        <v>339</v>
      </c>
      <c r="W37" s="289">
        <f>IFERROR(Table5[[#This Row],[Breakdown Time]]*Table5[[#This Row],[Plant Equivalent Weightage]],"")</f>
        <v>1.3257575757575772E-2</v>
      </c>
      <c r="X37" s="289" t="s">
        <v>340</v>
      </c>
      <c r="Y37" s="290" t="s">
        <v>111</v>
      </c>
      <c r="Z37" s="79"/>
      <c r="AA37" s="283">
        <v>193</v>
      </c>
      <c r="AB37" s="79"/>
      <c r="AC37" s="23"/>
      <c r="AD37" s="23"/>
    </row>
    <row r="38" spans="1:30">
      <c r="A38" s="79">
        <f t="shared" si="1"/>
        <v>37</v>
      </c>
      <c r="B38" s="283">
        <f>YEAR(Table5[[#This Row],[Date]])+IF(MONTH(Table5[[#This Row],[Date]])&gt;=4,1,0)</f>
        <v>2026</v>
      </c>
      <c r="C38" s="79">
        <f>YEAR(Table5[[#This Row],[Date]])</f>
        <v>2025</v>
      </c>
      <c r="D38" s="79" t="s">
        <v>344</v>
      </c>
      <c r="E38" s="284">
        <f>Table5[[#This Row],[Date]]-DAY(Table5[[#This Row],[Date]])+1</f>
        <v>45748</v>
      </c>
      <c r="F38" s="285">
        <v>45757</v>
      </c>
      <c r="G38" s="79" t="s">
        <v>76</v>
      </c>
      <c r="H38" s="23" t="str">
        <f>IFERROR(_xlfn.XLOOKUP(Table5[[#This Row],[Affected WTG]],'Basic Data'!$A:$A,'Basic Data'!$B:$B),"")</f>
        <v>PWEPL</v>
      </c>
      <c r="I38" s="23" t="str">
        <f>IFERROR(_xlfn.XLOOKUP(Table5[[#This Row],[Affected WTG]],'Basic Data'!$A:$A,'Basic Data'!$C:$C),"")</f>
        <v>MSEDCL</v>
      </c>
      <c r="J38" s="286">
        <f>IFERROR(_xlfn.XLOOKUP(Table5[[#This Row],[Affected WTG]],'Basic Data'!$A:$A,'Basic Data'!$E:$E),"")</f>
        <v>2.2727272727272728E-2</v>
      </c>
      <c r="K38" s="79" t="s">
        <v>336</v>
      </c>
      <c r="L38" s="23" t="str">
        <f>IFERROR(_xlfn.XLOOKUP(Table5[[#This Row],[Error Code]],'Basic Data'!$W:$W,'Basic Data'!$X:$X),"Incorrect Error Code")</f>
        <v>Manual Stop - Preventive Maintenance Activity</v>
      </c>
      <c r="M38" s="23" t="s">
        <v>337</v>
      </c>
      <c r="N38" s="23"/>
      <c r="O38" s="287">
        <v>0.375</v>
      </c>
      <c r="P38" s="287">
        <v>0.375</v>
      </c>
      <c r="Q38" s="287">
        <v>0.7090277777777777</v>
      </c>
      <c r="R38" s="91">
        <f t="shared" si="0"/>
        <v>0.3340277777777777</v>
      </c>
      <c r="S38" s="91">
        <f>(Table5[[#This Row],[Fault Clearance time]]-Table5[[#This Row],[Work Start TimeStamp]])*24</f>
        <v>8.0166666666666657</v>
      </c>
      <c r="T38" s="91">
        <f>(Table5[[#This Row],[Fault Clearance time]]-Table5[[#This Row],[Fault Start TimeStamp]])*24</f>
        <v>8.0166666666666657</v>
      </c>
      <c r="U38" s="23" t="s">
        <v>338</v>
      </c>
      <c r="V38" s="79" t="s">
        <v>339</v>
      </c>
      <c r="W38" s="289">
        <f>IFERROR(Table5[[#This Row],[Breakdown Time]]*Table5[[#This Row],[Plant Equivalent Weightage]],"")</f>
        <v>0.18219696969696969</v>
      </c>
      <c r="X38" s="289" t="s">
        <v>340</v>
      </c>
      <c r="Y38" s="290" t="s">
        <v>82</v>
      </c>
      <c r="Z38" s="79"/>
      <c r="AA38" s="283">
        <v>1327</v>
      </c>
      <c r="AB38" s="79"/>
      <c r="AC38" s="23"/>
      <c r="AD38" s="23"/>
    </row>
    <row r="39" spans="1:30">
      <c r="A39" s="79">
        <f t="shared" si="1"/>
        <v>38</v>
      </c>
      <c r="B39" s="283">
        <f>YEAR(Table5[[#This Row],[Date]])+IF(MONTH(Table5[[#This Row],[Date]])&gt;=4,1,0)</f>
        <v>2026</v>
      </c>
      <c r="C39" s="79">
        <f>YEAR(Table5[[#This Row],[Date]])</f>
        <v>2025</v>
      </c>
      <c r="D39" s="79" t="s">
        <v>344</v>
      </c>
      <c r="E39" s="284">
        <f>Table5[[#This Row],[Date]]-DAY(Table5[[#This Row],[Date]])+1</f>
        <v>45748</v>
      </c>
      <c r="F39" s="285">
        <v>45758</v>
      </c>
      <c r="G39" s="79" t="s">
        <v>82</v>
      </c>
      <c r="H39" s="23" t="str">
        <f>IFERROR(_xlfn.XLOOKUP(Table5[[#This Row],[Affected WTG]],'Basic Data'!$A:$A,'Basic Data'!$B:$B),"")</f>
        <v>PWEPL</v>
      </c>
      <c r="I39" s="23" t="str">
        <f>IFERROR(_xlfn.XLOOKUP(Table5[[#This Row],[Affected WTG]],'Basic Data'!$A:$A,'Basic Data'!$C:$C),"")</f>
        <v>MSEDCL</v>
      </c>
      <c r="J39" s="286">
        <f>IFERROR(_xlfn.XLOOKUP(Table5[[#This Row],[Affected WTG]],'Basic Data'!$A:$A,'Basic Data'!$E:$E),"")</f>
        <v>2.2727272727272728E-2</v>
      </c>
      <c r="K39" s="79" t="s">
        <v>336</v>
      </c>
      <c r="L39" s="23" t="str">
        <f>IFERROR(_xlfn.XLOOKUP(Table5[[#This Row],[Error Code]],'Basic Data'!$W:$W,'Basic Data'!$X:$X),"Incorrect Error Code")</f>
        <v>Manual Stop - Preventive Maintenance Activity</v>
      </c>
      <c r="M39" s="23" t="s">
        <v>337</v>
      </c>
      <c r="N39" s="23"/>
      <c r="O39" s="287">
        <v>0.40625</v>
      </c>
      <c r="P39" s="287">
        <v>0.40625</v>
      </c>
      <c r="Q39" s="287">
        <v>0.77777777777777779</v>
      </c>
      <c r="R39" s="91">
        <f t="shared" si="0"/>
        <v>0.37152777777777779</v>
      </c>
      <c r="S39" s="91">
        <f>(Table5[[#This Row],[Fault Clearance time]]-Table5[[#This Row],[Work Start TimeStamp]])*24</f>
        <v>8.9166666666666679</v>
      </c>
      <c r="T39" s="91">
        <f>(Table5[[#This Row],[Fault Clearance time]]-Table5[[#This Row],[Fault Start TimeStamp]])*24</f>
        <v>8.9166666666666679</v>
      </c>
      <c r="U39" s="23" t="s">
        <v>338</v>
      </c>
      <c r="V39" s="79" t="s">
        <v>339</v>
      </c>
      <c r="W39" s="289">
        <f>IFERROR(Table5[[#This Row],[Breakdown Time]]*Table5[[#This Row],[Plant Equivalent Weightage]],"")</f>
        <v>0.20265151515151519</v>
      </c>
      <c r="X39" s="289" t="s">
        <v>340</v>
      </c>
      <c r="Y39" s="290" t="s">
        <v>93</v>
      </c>
      <c r="Z39" s="79"/>
      <c r="AA39" s="283">
        <v>2709</v>
      </c>
      <c r="AB39" s="79"/>
      <c r="AC39" s="23"/>
      <c r="AD39" s="23"/>
    </row>
    <row r="40" spans="1:30">
      <c r="A40" s="79">
        <f t="shared" si="1"/>
        <v>39</v>
      </c>
      <c r="B40" s="283">
        <f>YEAR(Table5[[#This Row],[Date]])+IF(MONTH(Table5[[#This Row],[Date]])&gt;=4,1,0)</f>
        <v>2026</v>
      </c>
      <c r="C40" s="79">
        <f>YEAR(Table5[[#This Row],[Date]])</f>
        <v>2025</v>
      </c>
      <c r="D40" s="79" t="s">
        <v>344</v>
      </c>
      <c r="E40" s="284">
        <f>Table5[[#This Row],[Date]]-DAY(Table5[[#This Row],[Date]])+1</f>
        <v>45748</v>
      </c>
      <c r="F40" s="285">
        <v>45758</v>
      </c>
      <c r="G40" s="79" t="s">
        <v>86</v>
      </c>
      <c r="H40" s="23" t="str">
        <f>IFERROR(_xlfn.XLOOKUP(Table5[[#This Row],[Affected WTG]],'Basic Data'!$A:$A,'Basic Data'!$B:$B),"")</f>
        <v>PWEPL</v>
      </c>
      <c r="I40" s="23" t="str">
        <f>IFERROR(_xlfn.XLOOKUP(Table5[[#This Row],[Affected WTG]],'Basic Data'!$A:$A,'Basic Data'!$C:$C),"")</f>
        <v>MSEDCL</v>
      </c>
      <c r="J40" s="286">
        <f>IFERROR(_xlfn.XLOOKUP(Table5[[#This Row],[Affected WTG]],'Basic Data'!$A:$A,'Basic Data'!$E:$E),"")</f>
        <v>2.2727272727272728E-2</v>
      </c>
      <c r="K40" s="79">
        <v>60</v>
      </c>
      <c r="L40" s="23" t="str">
        <f>IFERROR(_xlfn.XLOOKUP(Table5[[#This Row],[Error Code]],'Basic Data'!$W:$W,'Basic Data'!$X:$X),"Incorrect Error Code")</f>
        <v>Yaw limit switch activated</v>
      </c>
      <c r="M40" s="23" t="s">
        <v>357</v>
      </c>
      <c r="N40" s="23"/>
      <c r="O40" s="287">
        <v>0.66041666666666665</v>
      </c>
      <c r="P40" s="287">
        <v>0.66041666666666665</v>
      </c>
      <c r="Q40" s="287">
        <v>0.68402777777777779</v>
      </c>
      <c r="R40" s="91">
        <f t="shared" si="0"/>
        <v>2.3611111111111138E-2</v>
      </c>
      <c r="S40" s="91">
        <f>(Table5[[#This Row],[Fault Clearance time]]-Table5[[#This Row],[Work Start TimeStamp]])*24</f>
        <v>0.56666666666666732</v>
      </c>
      <c r="T40" s="91">
        <f>(Table5[[#This Row],[Fault Clearance time]]-Table5[[#This Row],[Fault Start TimeStamp]])*24</f>
        <v>0.56666666666666732</v>
      </c>
      <c r="U40" s="23" t="s">
        <v>358</v>
      </c>
      <c r="V40" s="79" t="s">
        <v>339</v>
      </c>
      <c r="W40" s="289">
        <f>IFERROR(Table5[[#This Row],[Breakdown Time]]*Table5[[#This Row],[Plant Equivalent Weightage]],"")</f>
        <v>1.2878787878787894E-2</v>
      </c>
      <c r="X40" s="289" t="s">
        <v>343</v>
      </c>
      <c r="Y40" s="290" t="s">
        <v>85</v>
      </c>
      <c r="Z40" s="79"/>
      <c r="AA40" s="283">
        <v>245</v>
      </c>
      <c r="AB40" s="79"/>
      <c r="AC40" s="23"/>
      <c r="AD40" s="23"/>
    </row>
    <row r="41" spans="1:30">
      <c r="A41" s="79">
        <f t="shared" si="1"/>
        <v>40</v>
      </c>
      <c r="B41" s="283">
        <f>YEAR(Table5[[#This Row],[Date]])+IF(MONTH(Table5[[#This Row],[Date]])&gt;=4,1,0)</f>
        <v>2026</v>
      </c>
      <c r="C41" s="79">
        <f>YEAR(Table5[[#This Row],[Date]])</f>
        <v>2025</v>
      </c>
      <c r="D41" s="79" t="s">
        <v>344</v>
      </c>
      <c r="E41" s="284">
        <f>Table5[[#This Row],[Date]]-DAY(Table5[[#This Row],[Date]])+1</f>
        <v>45748</v>
      </c>
      <c r="F41" s="285">
        <v>45759</v>
      </c>
      <c r="G41" s="79" t="s">
        <v>76</v>
      </c>
      <c r="H41" s="23" t="str">
        <f>IFERROR(_xlfn.XLOOKUP(Table5[[#This Row],[Affected WTG]],'Basic Data'!$A:$A,'Basic Data'!$B:$B),"")</f>
        <v>PWEPL</v>
      </c>
      <c r="I41" s="23" t="str">
        <f>IFERROR(_xlfn.XLOOKUP(Table5[[#This Row],[Affected WTG]],'Basic Data'!$A:$A,'Basic Data'!$C:$C),"")</f>
        <v>MSEDCL</v>
      </c>
      <c r="J41" s="286">
        <f>IFERROR(_xlfn.XLOOKUP(Table5[[#This Row],[Affected WTG]],'Basic Data'!$A:$A,'Basic Data'!$E:$E),"")</f>
        <v>2.2727272727272728E-2</v>
      </c>
      <c r="K41" s="79" t="s">
        <v>336</v>
      </c>
      <c r="L41" s="23" t="str">
        <f>IFERROR(_xlfn.XLOOKUP(Table5[[#This Row],[Error Code]],'Basic Data'!$W:$W,'Basic Data'!$X:$X),"Incorrect Error Code")</f>
        <v>Manual Stop - Preventive Maintenance Activity</v>
      </c>
      <c r="M41" s="23" t="s">
        <v>337</v>
      </c>
      <c r="N41" s="23"/>
      <c r="O41" s="287">
        <v>0.75347222222222221</v>
      </c>
      <c r="P41" s="287">
        <v>0.75347222222222221</v>
      </c>
      <c r="Q41" s="287">
        <v>0.76874999999999993</v>
      </c>
      <c r="R41" s="91">
        <f t="shared" si="0"/>
        <v>1.5277777777777724E-2</v>
      </c>
      <c r="S41" s="91">
        <f>(Table5[[#This Row],[Fault Clearance time]]-Table5[[#This Row],[Work Start TimeStamp]])*24</f>
        <v>0.36666666666666536</v>
      </c>
      <c r="T41" s="91">
        <f>(Table5[[#This Row],[Fault Clearance time]]-Table5[[#This Row],[Fault Start TimeStamp]])*24</f>
        <v>0.36666666666666536</v>
      </c>
      <c r="U41" s="23" t="s">
        <v>351</v>
      </c>
      <c r="V41" s="79" t="s">
        <v>339</v>
      </c>
      <c r="W41" s="289">
        <f>IFERROR(Table5[[#This Row],[Breakdown Time]]*Table5[[#This Row],[Plant Equivalent Weightage]],"")</f>
        <v>8.3333333333333037E-3</v>
      </c>
      <c r="X41" s="289" t="s">
        <v>340</v>
      </c>
      <c r="Y41" s="290" t="s">
        <v>82</v>
      </c>
      <c r="Z41" s="79"/>
      <c r="AA41" s="283">
        <v>240</v>
      </c>
      <c r="AB41" s="79"/>
      <c r="AC41" s="23"/>
      <c r="AD41" s="23"/>
    </row>
    <row r="42" spans="1:30">
      <c r="A42" s="79">
        <f t="shared" si="1"/>
        <v>41</v>
      </c>
      <c r="B42" s="283">
        <f>YEAR(Table5[[#This Row],[Date]])+IF(MONTH(Table5[[#This Row],[Date]])&gt;=4,1,0)</f>
        <v>2026</v>
      </c>
      <c r="C42" s="79">
        <f>YEAR(Table5[[#This Row],[Date]])</f>
        <v>2025</v>
      </c>
      <c r="D42" s="79" t="s">
        <v>344</v>
      </c>
      <c r="E42" s="284">
        <f>Table5[[#This Row],[Date]]-DAY(Table5[[#This Row],[Date]])+1</f>
        <v>45748</v>
      </c>
      <c r="F42" s="285">
        <v>45759</v>
      </c>
      <c r="G42" s="79" t="s">
        <v>77</v>
      </c>
      <c r="H42" s="23" t="str">
        <f>IFERROR(_xlfn.XLOOKUP(Table5[[#This Row],[Affected WTG]],'Basic Data'!$A:$A,'Basic Data'!$B:$B),"")</f>
        <v>PWEPL</v>
      </c>
      <c r="I42" s="23" t="str">
        <f>IFERROR(_xlfn.XLOOKUP(Table5[[#This Row],[Affected WTG]],'Basic Data'!$A:$A,'Basic Data'!$C:$C),"")</f>
        <v>MSEDCL</v>
      </c>
      <c r="J42" s="286">
        <f>IFERROR(_xlfn.XLOOKUP(Table5[[#This Row],[Affected WTG]],'Basic Data'!$A:$A,'Basic Data'!$E:$E),"")</f>
        <v>2.2727272727272728E-2</v>
      </c>
      <c r="K42" s="79" t="s">
        <v>336</v>
      </c>
      <c r="L42" s="23" t="str">
        <f>IFERROR(_xlfn.XLOOKUP(Table5[[#This Row],[Error Code]],'Basic Data'!$W:$W,'Basic Data'!$X:$X),"Incorrect Error Code")</f>
        <v>Manual Stop - Preventive Maintenance Activity</v>
      </c>
      <c r="M42" s="23" t="s">
        <v>337</v>
      </c>
      <c r="N42" s="23"/>
      <c r="O42" s="287">
        <v>0.53611111111111109</v>
      </c>
      <c r="P42" s="287">
        <v>0.53611111111111109</v>
      </c>
      <c r="Q42" s="287">
        <v>0.60069444444444442</v>
      </c>
      <c r="R42" s="91">
        <f t="shared" si="0"/>
        <v>6.4583333333333326E-2</v>
      </c>
      <c r="S42" s="91">
        <f>(Table5[[#This Row],[Fault Clearance time]]-Table5[[#This Row],[Work Start TimeStamp]])*24</f>
        <v>1.5499999999999998</v>
      </c>
      <c r="T42" s="91">
        <f>(Table5[[#This Row],[Fault Clearance time]]-Table5[[#This Row],[Fault Start TimeStamp]])*24</f>
        <v>1.5499999999999998</v>
      </c>
      <c r="U42" s="23" t="s">
        <v>351</v>
      </c>
      <c r="V42" s="79" t="s">
        <v>339</v>
      </c>
      <c r="W42" s="289">
        <f>IFERROR(Table5[[#This Row],[Breakdown Time]]*Table5[[#This Row],[Plant Equivalent Weightage]],"")</f>
        <v>3.5227272727272725E-2</v>
      </c>
      <c r="X42" s="289" t="s">
        <v>340</v>
      </c>
      <c r="Y42" s="290" t="s">
        <v>93</v>
      </c>
      <c r="Z42" s="79"/>
      <c r="AA42" s="283">
        <v>393</v>
      </c>
      <c r="AB42" s="79"/>
      <c r="AC42" s="23"/>
      <c r="AD42" s="23"/>
    </row>
    <row r="43" spans="1:30">
      <c r="A43" s="79">
        <f t="shared" si="1"/>
        <v>42</v>
      </c>
      <c r="B43" s="283">
        <f>YEAR(Table5[[#This Row],[Date]])+IF(MONTH(Table5[[#This Row],[Date]])&gt;=4,1,0)</f>
        <v>2026</v>
      </c>
      <c r="C43" s="79">
        <f>YEAR(Table5[[#This Row],[Date]])</f>
        <v>2025</v>
      </c>
      <c r="D43" s="79" t="s">
        <v>344</v>
      </c>
      <c r="E43" s="284">
        <f>Table5[[#This Row],[Date]]-DAY(Table5[[#This Row],[Date]])+1</f>
        <v>45748</v>
      </c>
      <c r="F43" s="285">
        <v>45759</v>
      </c>
      <c r="G43" s="79" t="s">
        <v>78</v>
      </c>
      <c r="H43" s="23" t="str">
        <f>IFERROR(_xlfn.XLOOKUP(Table5[[#This Row],[Affected WTG]],'Basic Data'!$A:$A,'Basic Data'!$B:$B),"")</f>
        <v>PWEPL</v>
      </c>
      <c r="I43" s="23" t="str">
        <f>IFERROR(_xlfn.XLOOKUP(Table5[[#This Row],[Affected WTG]],'Basic Data'!$A:$A,'Basic Data'!$C:$C),"")</f>
        <v>MSEDCL</v>
      </c>
      <c r="J43" s="286">
        <f>IFERROR(_xlfn.XLOOKUP(Table5[[#This Row],[Affected WTG]],'Basic Data'!$A:$A,'Basic Data'!$E:$E),"")</f>
        <v>2.2727272727272728E-2</v>
      </c>
      <c r="K43" s="79" t="s">
        <v>336</v>
      </c>
      <c r="L43" s="23" t="str">
        <f>IFERROR(_xlfn.XLOOKUP(Table5[[#This Row],[Error Code]],'Basic Data'!$W:$W,'Basic Data'!$X:$X),"Incorrect Error Code")</f>
        <v>Manual Stop - Preventive Maintenance Activity</v>
      </c>
      <c r="M43" s="23" t="s">
        <v>337</v>
      </c>
      <c r="N43" s="23"/>
      <c r="O43" s="287">
        <v>0.72291666666666676</v>
      </c>
      <c r="P43" s="287">
        <v>0.72291666666666676</v>
      </c>
      <c r="Q43" s="287">
        <v>0.74513888888888891</v>
      </c>
      <c r="R43" s="91">
        <f t="shared" si="0"/>
        <v>2.2222222222222143E-2</v>
      </c>
      <c r="S43" s="91">
        <f>(Table5[[#This Row],[Fault Clearance time]]-Table5[[#This Row],[Work Start TimeStamp]])*24</f>
        <v>0.53333333333333144</v>
      </c>
      <c r="T43" s="91">
        <f>(Table5[[#This Row],[Fault Clearance time]]-Table5[[#This Row],[Fault Start TimeStamp]])*24</f>
        <v>0.53333333333333144</v>
      </c>
      <c r="U43" s="23" t="s">
        <v>351</v>
      </c>
      <c r="V43" s="79" t="s">
        <v>339</v>
      </c>
      <c r="W43" s="289">
        <f>IFERROR(Table5[[#This Row],[Breakdown Time]]*Table5[[#This Row],[Plant Equivalent Weightage]],"")</f>
        <v>1.2121212121212078E-2</v>
      </c>
      <c r="X43" s="289" t="s">
        <v>340</v>
      </c>
      <c r="Y43" s="290" t="s">
        <v>77</v>
      </c>
      <c r="Z43" s="79"/>
      <c r="AA43" s="283">
        <v>261</v>
      </c>
      <c r="AB43" s="79"/>
      <c r="AC43" s="23"/>
      <c r="AD43" s="23"/>
    </row>
    <row r="44" spans="1:30">
      <c r="A44" s="79">
        <f t="shared" si="1"/>
        <v>43</v>
      </c>
      <c r="B44" s="283">
        <f>YEAR(Table5[[#This Row],[Date]])+IF(MONTH(Table5[[#This Row],[Date]])&gt;=4,1,0)</f>
        <v>2026</v>
      </c>
      <c r="C44" s="79">
        <f>YEAR(Table5[[#This Row],[Date]])</f>
        <v>2025</v>
      </c>
      <c r="D44" s="79" t="s">
        <v>344</v>
      </c>
      <c r="E44" s="284">
        <f>Table5[[#This Row],[Date]]-DAY(Table5[[#This Row],[Date]])+1</f>
        <v>45748</v>
      </c>
      <c r="F44" s="285">
        <v>45759</v>
      </c>
      <c r="G44" s="79" t="s">
        <v>93</v>
      </c>
      <c r="H44" s="23" t="str">
        <f>IFERROR(_xlfn.XLOOKUP(Table5[[#This Row],[Affected WTG]],'Basic Data'!$A:$A,'Basic Data'!$B:$B),"")</f>
        <v>PWEPL</v>
      </c>
      <c r="I44" s="23" t="str">
        <f>IFERROR(_xlfn.XLOOKUP(Table5[[#This Row],[Affected WTG]],'Basic Data'!$A:$A,'Basic Data'!$C:$C),"")</f>
        <v>MSEDCL</v>
      </c>
      <c r="J44" s="286">
        <f>IFERROR(_xlfn.XLOOKUP(Table5[[#This Row],[Affected WTG]],'Basic Data'!$A:$A,'Basic Data'!$E:$E),"")</f>
        <v>2.2727272727272728E-2</v>
      </c>
      <c r="K44" s="79" t="s">
        <v>336</v>
      </c>
      <c r="L44" s="23" t="str">
        <f>IFERROR(_xlfn.XLOOKUP(Table5[[#This Row],[Error Code]],'Basic Data'!$W:$W,'Basic Data'!$X:$X),"Incorrect Error Code")</f>
        <v>Manual Stop - Preventive Maintenance Activity</v>
      </c>
      <c r="M44" s="23" t="s">
        <v>337</v>
      </c>
      <c r="N44" s="23"/>
      <c r="O44" s="287">
        <v>0.63402777777777775</v>
      </c>
      <c r="P44" s="287">
        <v>0.63402777777777775</v>
      </c>
      <c r="Q44" s="287">
        <v>0.66875000000000007</v>
      </c>
      <c r="R44" s="91">
        <f t="shared" si="0"/>
        <v>3.4722222222222321E-2</v>
      </c>
      <c r="S44" s="91">
        <f>(Table5[[#This Row],[Fault Clearance time]]-Table5[[#This Row],[Work Start TimeStamp]])*24</f>
        <v>0.8333333333333357</v>
      </c>
      <c r="T44" s="91">
        <f>(Table5[[#This Row],[Fault Clearance time]]-Table5[[#This Row],[Fault Start TimeStamp]])*24</f>
        <v>0.8333333333333357</v>
      </c>
      <c r="U44" s="23" t="s">
        <v>351</v>
      </c>
      <c r="V44" s="79" t="s">
        <v>339</v>
      </c>
      <c r="W44" s="289">
        <f>IFERROR(Table5[[#This Row],[Breakdown Time]]*Table5[[#This Row],[Plant Equivalent Weightage]],"")</f>
        <v>1.8939393939393995E-2</v>
      </c>
      <c r="X44" s="289" t="s">
        <v>340</v>
      </c>
      <c r="Y44" s="290" t="s">
        <v>82</v>
      </c>
      <c r="Z44" s="79"/>
      <c r="AA44" s="283">
        <v>377</v>
      </c>
      <c r="AB44" s="79"/>
      <c r="AC44" s="23"/>
      <c r="AD44" s="23"/>
    </row>
    <row r="45" spans="1:30">
      <c r="A45" s="79">
        <f t="shared" si="1"/>
        <v>44</v>
      </c>
      <c r="B45" s="283">
        <f>YEAR(Table5[[#This Row],[Date]])+IF(MONTH(Table5[[#This Row],[Date]])&gt;=4,1,0)</f>
        <v>2026</v>
      </c>
      <c r="C45" s="79">
        <f>YEAR(Table5[[#This Row],[Date]])</f>
        <v>2025</v>
      </c>
      <c r="D45" s="79" t="s">
        <v>344</v>
      </c>
      <c r="E45" s="284">
        <f>Table5[[#This Row],[Date]]-DAY(Table5[[#This Row],[Date]])+1</f>
        <v>45748</v>
      </c>
      <c r="F45" s="285">
        <v>45759</v>
      </c>
      <c r="G45" s="79" t="s">
        <v>116</v>
      </c>
      <c r="H45" s="23" t="str">
        <f>IFERROR(_xlfn.XLOOKUP(Table5[[#This Row],[Affected WTG]],'Basic Data'!$A:$A,'Basic Data'!$B:$B),"")</f>
        <v>PWEPL</v>
      </c>
      <c r="I45" s="23" t="str">
        <f>IFERROR(_xlfn.XLOOKUP(Table5[[#This Row],[Affected WTG]],'Basic Data'!$A:$A,'Basic Data'!$C:$C),"")</f>
        <v>MSEDCL</v>
      </c>
      <c r="J45" s="286">
        <f>IFERROR(_xlfn.XLOOKUP(Table5[[#This Row],[Affected WTG]],'Basic Data'!$A:$A,'Basic Data'!$E:$E),"")</f>
        <v>2.2727272727272728E-2</v>
      </c>
      <c r="K45" s="79">
        <v>60</v>
      </c>
      <c r="L45" s="23" t="str">
        <f>IFERROR(_xlfn.XLOOKUP(Table5[[#This Row],[Error Code]],'Basic Data'!$W:$W,'Basic Data'!$X:$X),"Incorrect Error Code")</f>
        <v>Yaw limit switch activated</v>
      </c>
      <c r="M45" s="23" t="s">
        <v>357</v>
      </c>
      <c r="N45" s="23"/>
      <c r="O45" s="287">
        <v>0.69444444444444453</v>
      </c>
      <c r="P45" s="287">
        <v>0.69444444444444453</v>
      </c>
      <c r="Q45" s="287">
        <v>0.82638888888888884</v>
      </c>
      <c r="R45" s="91">
        <f t="shared" si="0"/>
        <v>0.13194444444444431</v>
      </c>
      <c r="S45" s="91">
        <f>(Table5[[#This Row],[Fault Clearance time]]-Table5[[#This Row],[Work Start TimeStamp]])*24</f>
        <v>3.1666666666666634</v>
      </c>
      <c r="T45" s="91">
        <f>(Table5[[#This Row],[Fault Clearance time]]-Table5[[#This Row],[Fault Start TimeStamp]])*24</f>
        <v>3.1666666666666634</v>
      </c>
      <c r="U45" s="23" t="s">
        <v>358</v>
      </c>
      <c r="V45" s="79" t="s">
        <v>339</v>
      </c>
      <c r="W45" s="289">
        <f>IFERROR(Table5[[#This Row],[Breakdown Time]]*Table5[[#This Row],[Plant Equivalent Weightage]],"")</f>
        <v>7.1969696969696892E-2</v>
      </c>
      <c r="X45" s="289" t="s">
        <v>343</v>
      </c>
      <c r="Y45" s="290" t="s">
        <v>117</v>
      </c>
      <c r="Z45" s="79"/>
      <c r="AA45" s="283">
        <v>1092</v>
      </c>
      <c r="AB45" s="79"/>
      <c r="AC45" s="23"/>
      <c r="AD45" s="23"/>
    </row>
    <row r="46" spans="1:30">
      <c r="A46" s="79">
        <f t="shared" si="1"/>
        <v>45</v>
      </c>
      <c r="B46" s="283">
        <f>YEAR(Table5[[#This Row],[Date]])+IF(MONTH(Table5[[#This Row],[Date]])&gt;=4,1,0)</f>
        <v>2026</v>
      </c>
      <c r="C46" s="79">
        <f>YEAR(Table5[[#This Row],[Date]])</f>
        <v>2025</v>
      </c>
      <c r="D46" s="79" t="s">
        <v>344</v>
      </c>
      <c r="E46" s="284">
        <f>Table5[[#This Row],[Date]]-DAY(Table5[[#This Row],[Date]])+1</f>
        <v>45748</v>
      </c>
      <c r="F46" s="285">
        <v>45761</v>
      </c>
      <c r="G46" s="79" t="s">
        <v>118</v>
      </c>
      <c r="H46" s="23" t="str">
        <f>IFERROR(_xlfn.XLOOKUP(Table5[[#This Row],[Affected WTG]],'Basic Data'!$A:$A,'Basic Data'!$B:$B),"")</f>
        <v>PWEPL</v>
      </c>
      <c r="I46" s="23" t="str">
        <f>IFERROR(_xlfn.XLOOKUP(Table5[[#This Row],[Affected WTG]],'Basic Data'!$A:$A,'Basic Data'!$C:$C),"")</f>
        <v>MSEDCL</v>
      </c>
      <c r="J46" s="286">
        <f>IFERROR(_xlfn.XLOOKUP(Table5[[#This Row],[Affected WTG]],'Basic Data'!$A:$A,'Basic Data'!$E:$E),"")</f>
        <v>2.2727272727272728E-2</v>
      </c>
      <c r="K46" s="79">
        <v>3</v>
      </c>
      <c r="L46" s="23" t="str">
        <f>IFERROR(_xlfn.XLOOKUP(Table5[[#This Row],[Error Code]],'Basic Data'!$W:$W,'Basic Data'!$X:$X),"Incorrect Error Code")</f>
        <v>Manual Stop</v>
      </c>
      <c r="M46" s="23" t="s">
        <v>360</v>
      </c>
      <c r="N46" s="23"/>
      <c r="O46" s="287">
        <v>0.43888888888888888</v>
      </c>
      <c r="P46" s="287">
        <v>0.43888888888888888</v>
      </c>
      <c r="Q46" s="287">
        <v>0.50555555555555554</v>
      </c>
      <c r="R46" s="91">
        <f t="shared" si="0"/>
        <v>6.6666666666666652E-2</v>
      </c>
      <c r="S46" s="91">
        <f>(Table5[[#This Row],[Fault Clearance time]]-Table5[[#This Row],[Work Start TimeStamp]])*24</f>
        <v>1.5999999999999996</v>
      </c>
      <c r="T46" s="91">
        <f>(Table5[[#This Row],[Fault Clearance time]]-Table5[[#This Row],[Fault Start TimeStamp]])*24</f>
        <v>1.5999999999999996</v>
      </c>
      <c r="U46" s="23" t="s">
        <v>361</v>
      </c>
      <c r="V46" s="79" t="s">
        <v>339</v>
      </c>
      <c r="W46" s="289">
        <f>IFERROR(Table5[[#This Row],[Breakdown Time]]*Table5[[#This Row],[Plant Equivalent Weightage]],"")</f>
        <v>3.6363636363636355E-2</v>
      </c>
      <c r="X46" s="289" t="s">
        <v>340</v>
      </c>
      <c r="Y46" s="290" t="s">
        <v>119</v>
      </c>
      <c r="Z46" s="79"/>
      <c r="AA46" s="283">
        <v>14</v>
      </c>
      <c r="AB46" s="79"/>
      <c r="AC46" s="23"/>
      <c r="AD46" s="23"/>
    </row>
    <row r="47" spans="1:30">
      <c r="A47" s="79">
        <f t="shared" si="1"/>
        <v>46</v>
      </c>
      <c r="B47" s="283">
        <f>YEAR(Table5[[#This Row],[Date]])+IF(MONTH(Table5[[#This Row],[Date]])&gt;=4,1,0)</f>
        <v>2026</v>
      </c>
      <c r="C47" s="79">
        <f>YEAR(Table5[[#This Row],[Date]])</f>
        <v>2025</v>
      </c>
      <c r="D47" s="79" t="s">
        <v>344</v>
      </c>
      <c r="E47" s="284">
        <f>Table5[[#This Row],[Date]]-DAY(Table5[[#This Row],[Date]])+1</f>
        <v>45748</v>
      </c>
      <c r="F47" s="285">
        <v>45761</v>
      </c>
      <c r="G47" s="79" t="s">
        <v>111</v>
      </c>
      <c r="H47" s="23" t="str">
        <f>IFERROR(_xlfn.XLOOKUP(Table5[[#This Row],[Affected WTG]],'Basic Data'!$A:$A,'Basic Data'!$B:$B),"")</f>
        <v>PWEPL</v>
      </c>
      <c r="I47" s="23" t="str">
        <f>IFERROR(_xlfn.XLOOKUP(Table5[[#This Row],[Affected WTG]],'Basic Data'!$A:$A,'Basic Data'!$C:$C),"")</f>
        <v>MSEDCL</v>
      </c>
      <c r="J47" s="286">
        <f>IFERROR(_xlfn.XLOOKUP(Table5[[#This Row],[Affected WTG]],'Basic Data'!$A:$A,'Basic Data'!$E:$E),"")</f>
        <v>2.2727272727272728E-2</v>
      </c>
      <c r="K47" s="79">
        <v>3</v>
      </c>
      <c r="L47" s="23" t="str">
        <f>IFERROR(_xlfn.XLOOKUP(Table5[[#This Row],[Error Code]],'Basic Data'!$W:$W,'Basic Data'!$X:$X),"Incorrect Error Code")</f>
        <v>Manual Stop</v>
      </c>
      <c r="M47" s="23" t="s">
        <v>360</v>
      </c>
      <c r="N47" s="23"/>
      <c r="O47" s="287">
        <v>0.56388888888888888</v>
      </c>
      <c r="P47" s="287">
        <v>0.56388888888888888</v>
      </c>
      <c r="Q47" s="287">
        <v>0.60833333333333328</v>
      </c>
      <c r="R47" s="91">
        <f t="shared" si="0"/>
        <v>4.4444444444444398E-2</v>
      </c>
      <c r="S47" s="91">
        <f>(Table5[[#This Row],[Fault Clearance time]]-Table5[[#This Row],[Work Start TimeStamp]])*24</f>
        <v>1.0666666666666655</v>
      </c>
      <c r="T47" s="91">
        <f>(Table5[[#This Row],[Fault Clearance time]]-Table5[[#This Row],[Fault Start TimeStamp]])*24</f>
        <v>1.0666666666666655</v>
      </c>
      <c r="U47" s="23" t="s">
        <v>361</v>
      </c>
      <c r="V47" s="79" t="s">
        <v>339</v>
      </c>
      <c r="W47" s="289">
        <f>IFERROR(Table5[[#This Row],[Breakdown Time]]*Table5[[#This Row],[Plant Equivalent Weightage]],"")</f>
        <v>2.4242424242424218E-2</v>
      </c>
      <c r="X47" s="289" t="s">
        <v>340</v>
      </c>
      <c r="Y47" s="290" t="s">
        <v>112</v>
      </c>
      <c r="Z47" s="79"/>
      <c r="AA47" s="283">
        <v>232</v>
      </c>
      <c r="AB47" s="79"/>
      <c r="AC47" s="23"/>
      <c r="AD47" s="23"/>
    </row>
    <row r="48" spans="1:30">
      <c r="A48" s="79">
        <f t="shared" si="1"/>
        <v>47</v>
      </c>
      <c r="B48" s="283">
        <f>YEAR(Table5[[#This Row],[Date]])+IF(MONTH(Table5[[#This Row],[Date]])&gt;=4,1,0)</f>
        <v>2026</v>
      </c>
      <c r="C48" s="79">
        <f>YEAR(Table5[[#This Row],[Date]])</f>
        <v>2025</v>
      </c>
      <c r="D48" s="79" t="s">
        <v>344</v>
      </c>
      <c r="E48" s="284">
        <f>Table5[[#This Row],[Date]]-DAY(Table5[[#This Row],[Date]])+1</f>
        <v>45748</v>
      </c>
      <c r="F48" s="285">
        <v>45762</v>
      </c>
      <c r="G48" s="79" t="s">
        <v>119</v>
      </c>
      <c r="H48" s="23" t="str">
        <f>IFERROR(_xlfn.XLOOKUP(Table5[[#This Row],[Affected WTG]],'Basic Data'!$A:$A,'Basic Data'!$B:$B),"")</f>
        <v>PWEPL</v>
      </c>
      <c r="I48" s="23" t="str">
        <f>IFERROR(_xlfn.XLOOKUP(Table5[[#This Row],[Affected WTG]],'Basic Data'!$A:$A,'Basic Data'!$C:$C),"")</f>
        <v>MSEDCL</v>
      </c>
      <c r="J48" s="286">
        <f>IFERROR(_xlfn.XLOOKUP(Table5[[#This Row],[Affected WTG]],'Basic Data'!$A:$A,'Basic Data'!$E:$E),"")</f>
        <v>2.2727272727272728E-2</v>
      </c>
      <c r="K48" s="79" t="s">
        <v>336</v>
      </c>
      <c r="L48" s="23" t="str">
        <f>IFERROR(_xlfn.XLOOKUP(Table5[[#This Row],[Error Code]],'Basic Data'!$W:$W,'Basic Data'!$X:$X),"Incorrect Error Code")</f>
        <v>Manual Stop - Preventive Maintenance Activity</v>
      </c>
      <c r="M48" s="23" t="s">
        <v>337</v>
      </c>
      <c r="N48" s="23"/>
      <c r="O48" s="287">
        <v>0.42291666666666666</v>
      </c>
      <c r="P48" s="287">
        <v>0.42291666666666666</v>
      </c>
      <c r="Q48" s="287">
        <v>0.73611111111111116</v>
      </c>
      <c r="R48" s="91">
        <f t="shared" si="0"/>
        <v>0.3131944444444445</v>
      </c>
      <c r="S48" s="91">
        <f>(Table5[[#This Row],[Fault Clearance time]]-Table5[[#This Row],[Work Start TimeStamp]])*24</f>
        <v>7.5166666666666675</v>
      </c>
      <c r="T48" s="91">
        <f>(Table5[[#This Row],[Fault Clearance time]]-Table5[[#This Row],[Fault Start TimeStamp]])*24</f>
        <v>7.5166666666666675</v>
      </c>
      <c r="U48" s="23" t="s">
        <v>356</v>
      </c>
      <c r="V48" s="79" t="s">
        <v>339</v>
      </c>
      <c r="W48" s="289">
        <f>IFERROR(Table5[[#This Row],[Breakdown Time]]*Table5[[#This Row],[Plant Equivalent Weightage]],"")</f>
        <v>0.17083333333333336</v>
      </c>
      <c r="X48" s="289" t="s">
        <v>340</v>
      </c>
      <c r="Y48" s="290" t="s">
        <v>118</v>
      </c>
      <c r="Z48" s="79"/>
      <c r="AA48" s="283">
        <v>1493</v>
      </c>
      <c r="AB48" s="79"/>
      <c r="AC48" s="23"/>
      <c r="AD48" s="23"/>
    </row>
    <row r="49" spans="1:30">
      <c r="A49" s="79">
        <f t="shared" si="1"/>
        <v>48</v>
      </c>
      <c r="B49" s="283">
        <f>YEAR(Table5[[#This Row],[Date]])+IF(MONTH(Table5[[#This Row],[Date]])&gt;=4,1,0)</f>
        <v>2026</v>
      </c>
      <c r="C49" s="79">
        <f>YEAR(Table5[[#This Row],[Date]])</f>
        <v>2025</v>
      </c>
      <c r="D49" s="79" t="s">
        <v>344</v>
      </c>
      <c r="E49" s="284">
        <f>Table5[[#This Row],[Date]]-DAY(Table5[[#This Row],[Date]])+1</f>
        <v>45748</v>
      </c>
      <c r="F49" s="285">
        <v>45762</v>
      </c>
      <c r="G49" s="79" t="s">
        <v>110</v>
      </c>
      <c r="H49" s="23" t="str">
        <f>IFERROR(_xlfn.XLOOKUP(Table5[[#This Row],[Affected WTG]],'Basic Data'!$A:$A,'Basic Data'!$B:$B),"")</f>
        <v>PWEPL</v>
      </c>
      <c r="I49" s="23" t="str">
        <f>IFERROR(_xlfn.XLOOKUP(Table5[[#This Row],[Affected WTG]],'Basic Data'!$A:$A,'Basic Data'!$C:$C),"")</f>
        <v>MSEDCL</v>
      </c>
      <c r="J49" s="286">
        <f>IFERROR(_xlfn.XLOOKUP(Table5[[#This Row],[Affected WTG]],'Basic Data'!$A:$A,'Basic Data'!$E:$E),"")</f>
        <v>2.2727272727272728E-2</v>
      </c>
      <c r="K49" s="79">
        <v>3</v>
      </c>
      <c r="L49" s="23" t="str">
        <f>IFERROR(_xlfn.XLOOKUP(Table5[[#This Row],[Error Code]],'Basic Data'!$W:$W,'Basic Data'!$X:$X),"Incorrect Error Code")</f>
        <v>Manual Stop</v>
      </c>
      <c r="M49" s="23" t="s">
        <v>375</v>
      </c>
      <c r="N49" s="23"/>
      <c r="O49" s="287">
        <v>0.69374999999999998</v>
      </c>
      <c r="P49" s="287">
        <v>0.69374999999999998</v>
      </c>
      <c r="Q49" s="287">
        <v>0.71736111111111101</v>
      </c>
      <c r="R49" s="91">
        <f t="shared" si="0"/>
        <v>2.3611111111111027E-2</v>
      </c>
      <c r="S49" s="91">
        <f>(Table5[[#This Row],[Fault Clearance time]]-Table5[[#This Row],[Work Start TimeStamp]])*24</f>
        <v>0.56666666666666465</v>
      </c>
      <c r="T49" s="91">
        <f>(Table5[[#This Row],[Fault Clearance time]]-Table5[[#This Row],[Fault Start TimeStamp]])*24</f>
        <v>0.56666666666666465</v>
      </c>
      <c r="U49" s="23" t="s">
        <v>376</v>
      </c>
      <c r="V49" s="79" t="s">
        <v>339</v>
      </c>
      <c r="W49" s="289">
        <f>IFERROR(Table5[[#This Row],[Breakdown Time]]*Table5[[#This Row],[Plant Equivalent Weightage]],"")</f>
        <v>1.2878787878787833E-2</v>
      </c>
      <c r="X49" s="289" t="s">
        <v>343</v>
      </c>
      <c r="Y49" s="290" t="s">
        <v>100</v>
      </c>
      <c r="Z49" s="79"/>
      <c r="AA49" s="283">
        <v>137</v>
      </c>
      <c r="AB49" s="79"/>
      <c r="AC49" s="23"/>
      <c r="AD49" s="23"/>
    </row>
    <row r="50" spans="1:30">
      <c r="A50" s="79">
        <f t="shared" si="1"/>
        <v>49</v>
      </c>
      <c r="B50" s="283">
        <f>YEAR(Table5[[#This Row],[Date]])+IF(MONTH(Table5[[#This Row],[Date]])&gt;=4,1,0)</f>
        <v>2026</v>
      </c>
      <c r="C50" s="79">
        <f>YEAR(Table5[[#This Row],[Date]])</f>
        <v>2025</v>
      </c>
      <c r="D50" s="79" t="s">
        <v>344</v>
      </c>
      <c r="E50" s="284">
        <f>Table5[[#This Row],[Date]]-DAY(Table5[[#This Row],[Date]])+1</f>
        <v>45748</v>
      </c>
      <c r="F50" s="285">
        <v>45762</v>
      </c>
      <c r="G50" s="79" t="s">
        <v>82</v>
      </c>
      <c r="H50" s="23" t="str">
        <f>IFERROR(_xlfn.XLOOKUP(Table5[[#This Row],[Affected WTG]],'Basic Data'!$A:$A,'Basic Data'!$B:$B),"")</f>
        <v>PWEPL</v>
      </c>
      <c r="I50" s="23" t="str">
        <f>IFERROR(_xlfn.XLOOKUP(Table5[[#This Row],[Affected WTG]],'Basic Data'!$A:$A,'Basic Data'!$C:$C),"")</f>
        <v>MSEDCL</v>
      </c>
      <c r="J50" s="286">
        <f>IFERROR(_xlfn.XLOOKUP(Table5[[#This Row],[Affected WTG]],'Basic Data'!$A:$A,'Basic Data'!$E:$E),"")</f>
        <v>2.2727272727272728E-2</v>
      </c>
      <c r="K50" s="79">
        <v>430</v>
      </c>
      <c r="L50" s="23" t="str">
        <f>IFERROR(_xlfn.XLOOKUP(Table5[[#This Row],[Error Code]],'Basic Data'!$W:$W,'Basic Data'!$X:$X),"Incorrect Error Code")</f>
        <v xml:space="preserve">Yaw tooth sensor 1 timeout </v>
      </c>
      <c r="M50" s="23" t="s">
        <v>377</v>
      </c>
      <c r="N50" s="23"/>
      <c r="O50" s="287">
        <v>0.73819444444444438</v>
      </c>
      <c r="P50" s="287">
        <v>0.73819444444444438</v>
      </c>
      <c r="Q50" s="287">
        <v>0.77083333333333337</v>
      </c>
      <c r="R50" s="91">
        <f t="shared" si="0"/>
        <v>3.2638888888888995E-2</v>
      </c>
      <c r="S50" s="91">
        <f>(Table5[[#This Row],[Fault Clearance time]]-Table5[[#This Row],[Work Start TimeStamp]])*24</f>
        <v>0.78333333333333588</v>
      </c>
      <c r="T50" s="91">
        <f>(Table5[[#This Row],[Fault Clearance time]]-Table5[[#This Row],[Fault Start TimeStamp]])*24</f>
        <v>0.78333333333333588</v>
      </c>
      <c r="U50" s="23" t="s">
        <v>372</v>
      </c>
      <c r="V50" s="79" t="s">
        <v>339</v>
      </c>
      <c r="W50" s="289">
        <f>IFERROR(Table5[[#This Row],[Breakdown Time]]*Table5[[#This Row],[Plant Equivalent Weightage]],"")</f>
        <v>1.7803030303030362E-2</v>
      </c>
      <c r="X50" s="289" t="s">
        <v>343</v>
      </c>
      <c r="Y50" s="290" t="s">
        <v>93</v>
      </c>
      <c r="Z50" s="79"/>
      <c r="AA50" s="283">
        <v>565</v>
      </c>
      <c r="AB50" s="79"/>
      <c r="AC50" s="23"/>
      <c r="AD50" s="23"/>
    </row>
    <row r="51" spans="1:30">
      <c r="A51" s="79">
        <f t="shared" si="1"/>
        <v>50</v>
      </c>
      <c r="B51" s="283">
        <f>YEAR(Table5[[#This Row],[Date]])+IF(MONTH(Table5[[#This Row],[Date]])&gt;=4,1,0)</f>
        <v>2026</v>
      </c>
      <c r="C51" s="79">
        <f>YEAR(Table5[[#This Row],[Date]])</f>
        <v>2025</v>
      </c>
      <c r="D51" s="79" t="s">
        <v>344</v>
      </c>
      <c r="E51" s="284">
        <f>Table5[[#This Row],[Date]]-DAY(Table5[[#This Row],[Date]])+1</f>
        <v>45748</v>
      </c>
      <c r="F51" s="285">
        <v>45763</v>
      </c>
      <c r="G51" s="79" t="s">
        <v>119</v>
      </c>
      <c r="H51" s="23" t="str">
        <f>IFERROR(_xlfn.XLOOKUP(Table5[[#This Row],[Affected WTG]],'Basic Data'!$A:$A,'Basic Data'!$B:$B),"")</f>
        <v>PWEPL</v>
      </c>
      <c r="I51" s="23" t="str">
        <f>IFERROR(_xlfn.XLOOKUP(Table5[[#This Row],[Affected WTG]],'Basic Data'!$A:$A,'Basic Data'!$C:$C),"")</f>
        <v>MSEDCL</v>
      </c>
      <c r="J51" s="286">
        <f>IFERROR(_xlfn.XLOOKUP(Table5[[#This Row],[Affected WTG]],'Basic Data'!$A:$A,'Basic Data'!$E:$E),"")</f>
        <v>2.2727272727272728E-2</v>
      </c>
      <c r="K51" s="79" t="s">
        <v>336</v>
      </c>
      <c r="L51" s="23" t="str">
        <f>IFERROR(_xlfn.XLOOKUP(Table5[[#This Row],[Error Code]],'Basic Data'!$W:$W,'Basic Data'!$X:$X),"Incorrect Error Code")</f>
        <v>Manual Stop - Preventive Maintenance Activity</v>
      </c>
      <c r="M51" s="23" t="s">
        <v>337</v>
      </c>
      <c r="N51" s="23"/>
      <c r="O51" s="287">
        <v>0.4375</v>
      </c>
      <c r="P51" s="287">
        <v>0.4375</v>
      </c>
      <c r="Q51" s="287">
        <v>0.74375000000000002</v>
      </c>
      <c r="R51" s="91">
        <f t="shared" si="0"/>
        <v>0.30625000000000002</v>
      </c>
      <c r="S51" s="91">
        <f>(Table5[[#This Row],[Fault Clearance time]]-Table5[[#This Row],[Work Start TimeStamp]])*24</f>
        <v>7.3500000000000005</v>
      </c>
      <c r="T51" s="91">
        <f>(Table5[[#This Row],[Fault Clearance time]]-Table5[[#This Row],[Fault Start TimeStamp]])*24</f>
        <v>7.3500000000000005</v>
      </c>
      <c r="U51" s="23" t="s">
        <v>362</v>
      </c>
      <c r="V51" s="79" t="s">
        <v>339</v>
      </c>
      <c r="W51" s="289">
        <f>IFERROR(Table5[[#This Row],[Breakdown Time]]*Table5[[#This Row],[Plant Equivalent Weightage]],"")</f>
        <v>0.16704545454545455</v>
      </c>
      <c r="X51" s="289" t="s">
        <v>340</v>
      </c>
      <c r="Y51" s="290" t="s">
        <v>118</v>
      </c>
      <c r="Z51" s="79"/>
      <c r="AA51" s="283">
        <v>2179</v>
      </c>
      <c r="AB51" s="79"/>
      <c r="AC51" s="23"/>
      <c r="AD51" s="23"/>
    </row>
    <row r="52" spans="1:30">
      <c r="A52" s="79">
        <f t="shared" si="1"/>
        <v>51</v>
      </c>
      <c r="B52" s="283">
        <f>YEAR(Table5[[#This Row],[Date]])+IF(MONTH(Table5[[#This Row],[Date]])&gt;=4,1,0)</f>
        <v>2026</v>
      </c>
      <c r="C52" s="79">
        <f>YEAR(Table5[[#This Row],[Date]])</f>
        <v>2025</v>
      </c>
      <c r="D52" s="79" t="s">
        <v>344</v>
      </c>
      <c r="E52" s="284">
        <f>Table5[[#This Row],[Date]]-DAY(Table5[[#This Row],[Date]])+1</f>
        <v>45748</v>
      </c>
      <c r="F52" s="285">
        <v>45763</v>
      </c>
      <c r="G52" s="79" t="s">
        <v>106</v>
      </c>
      <c r="H52" s="23" t="str">
        <f>IFERROR(_xlfn.XLOOKUP(Table5[[#This Row],[Affected WTG]],'Basic Data'!$A:$A,'Basic Data'!$B:$B),"")</f>
        <v>PWEPL</v>
      </c>
      <c r="I52" s="23" t="str">
        <f>IFERROR(_xlfn.XLOOKUP(Table5[[#This Row],[Affected WTG]],'Basic Data'!$A:$A,'Basic Data'!$C:$C),"")</f>
        <v>MSEDCL</v>
      </c>
      <c r="J52" s="286">
        <f>IFERROR(_xlfn.XLOOKUP(Table5[[#This Row],[Affected WTG]],'Basic Data'!$A:$A,'Basic Data'!$E:$E),"")</f>
        <v>2.2727272727272728E-2</v>
      </c>
      <c r="K52" s="79">
        <v>280</v>
      </c>
      <c r="L52" s="23" t="str">
        <f>IFERROR(_xlfn.XLOOKUP(Table5[[#This Row],[Error Code]],'Basic Data'!$W:$W,'Basic Data'!$X:$X),"Incorrect Error Code")</f>
        <v>Prepressure error, active brake</v>
      </c>
      <c r="M52" s="23" t="s">
        <v>378</v>
      </c>
      <c r="N52" s="23"/>
      <c r="O52" s="287">
        <v>0.77777777777777779</v>
      </c>
      <c r="P52" s="287">
        <v>0.77777777777777779</v>
      </c>
      <c r="Q52" s="287">
        <v>0.79305555555555562</v>
      </c>
      <c r="R52" s="91">
        <f t="shared" si="0"/>
        <v>1.5277777777777835E-2</v>
      </c>
      <c r="S52" s="91">
        <f>(Table5[[#This Row],[Fault Clearance time]]-Table5[[#This Row],[Work Start TimeStamp]])*24</f>
        <v>0.36666666666666803</v>
      </c>
      <c r="T52" s="91">
        <f>(Table5[[#This Row],[Fault Clearance time]]-Table5[[#This Row],[Fault Start TimeStamp]])*24</f>
        <v>0.36666666666666803</v>
      </c>
      <c r="U52" s="23" t="s">
        <v>379</v>
      </c>
      <c r="V52" s="79" t="s">
        <v>339</v>
      </c>
      <c r="W52" s="289">
        <f>IFERROR(Table5[[#This Row],[Breakdown Time]]*Table5[[#This Row],[Plant Equivalent Weightage]],"")</f>
        <v>8.3333333333333644E-3</v>
      </c>
      <c r="X52" s="289" t="s">
        <v>343</v>
      </c>
      <c r="Y52" s="290" t="s">
        <v>92</v>
      </c>
      <c r="Z52" s="79"/>
      <c r="AA52" s="283">
        <v>338</v>
      </c>
      <c r="AB52" s="79"/>
      <c r="AC52" s="23"/>
      <c r="AD52" s="23"/>
    </row>
    <row r="53" spans="1:30">
      <c r="A53" s="79">
        <f t="shared" si="1"/>
        <v>52</v>
      </c>
      <c r="B53" s="283">
        <f>YEAR(Table5[[#This Row],[Date]])+IF(MONTH(Table5[[#This Row],[Date]])&gt;=4,1,0)</f>
        <v>2026</v>
      </c>
      <c r="C53" s="79">
        <f>YEAR(Table5[[#This Row],[Date]])</f>
        <v>2025</v>
      </c>
      <c r="D53" s="79" t="s">
        <v>344</v>
      </c>
      <c r="E53" s="284">
        <f>Table5[[#This Row],[Date]]-DAY(Table5[[#This Row],[Date]])+1</f>
        <v>45748</v>
      </c>
      <c r="F53" s="285">
        <v>45764</v>
      </c>
      <c r="G53" s="79" t="s">
        <v>118</v>
      </c>
      <c r="H53" s="23" t="str">
        <f>IFERROR(_xlfn.XLOOKUP(Table5[[#This Row],[Affected WTG]],'Basic Data'!$A:$A,'Basic Data'!$B:$B),"")</f>
        <v>PWEPL</v>
      </c>
      <c r="I53" s="23" t="str">
        <f>IFERROR(_xlfn.XLOOKUP(Table5[[#This Row],[Affected WTG]],'Basic Data'!$A:$A,'Basic Data'!$C:$C),"")</f>
        <v>MSEDCL</v>
      </c>
      <c r="J53" s="286">
        <f>IFERROR(_xlfn.XLOOKUP(Table5[[#This Row],[Affected WTG]],'Basic Data'!$A:$A,'Basic Data'!$E:$E),"")</f>
        <v>2.2727272727272728E-2</v>
      </c>
      <c r="K53" s="79" t="s">
        <v>336</v>
      </c>
      <c r="L53" s="23" t="str">
        <f>IFERROR(_xlfn.XLOOKUP(Table5[[#This Row],[Error Code]],'Basic Data'!$W:$W,'Basic Data'!$X:$X),"Incorrect Error Code")</f>
        <v>Manual Stop - Preventive Maintenance Activity</v>
      </c>
      <c r="M53" s="23" t="s">
        <v>337</v>
      </c>
      <c r="N53" s="23"/>
      <c r="O53" s="287">
        <v>0.4236111111111111</v>
      </c>
      <c r="P53" s="287">
        <v>0.4236111111111111</v>
      </c>
      <c r="Q53" s="287">
        <v>0.81666666666666676</v>
      </c>
      <c r="R53" s="91">
        <f t="shared" si="0"/>
        <v>0.39305555555555566</v>
      </c>
      <c r="S53" s="91">
        <f>(Table5[[#This Row],[Fault Clearance time]]-Table5[[#This Row],[Work Start TimeStamp]])*24</f>
        <v>9.4333333333333353</v>
      </c>
      <c r="T53" s="91">
        <f>(Table5[[#This Row],[Fault Clearance time]]-Table5[[#This Row],[Fault Start TimeStamp]])*24</f>
        <v>9.4333333333333353</v>
      </c>
      <c r="U53" s="23" t="s">
        <v>338</v>
      </c>
      <c r="V53" s="79" t="s">
        <v>339</v>
      </c>
      <c r="W53" s="289">
        <f>IFERROR(Table5[[#This Row],[Breakdown Time]]*Table5[[#This Row],[Plant Equivalent Weightage]],"")</f>
        <v>0.21439393939393944</v>
      </c>
      <c r="X53" s="289" t="s">
        <v>340</v>
      </c>
      <c r="Y53" s="290" t="s">
        <v>119</v>
      </c>
      <c r="Z53" s="79"/>
      <c r="AA53" s="283">
        <v>3485</v>
      </c>
      <c r="AB53" s="79"/>
      <c r="AC53" s="23"/>
      <c r="AD53" s="23"/>
    </row>
    <row r="54" spans="1:30">
      <c r="A54" s="79">
        <f t="shared" si="1"/>
        <v>53</v>
      </c>
      <c r="B54" s="283">
        <f>YEAR(Table5[[#This Row],[Date]])+IF(MONTH(Table5[[#This Row],[Date]])&gt;=4,1,0)</f>
        <v>2026</v>
      </c>
      <c r="C54" s="79">
        <f>YEAR(Table5[[#This Row],[Date]])</f>
        <v>2025</v>
      </c>
      <c r="D54" s="79" t="s">
        <v>344</v>
      </c>
      <c r="E54" s="284">
        <f>Table5[[#This Row],[Date]]-DAY(Table5[[#This Row],[Date]])+1</f>
        <v>45748</v>
      </c>
      <c r="F54" s="285">
        <v>45764</v>
      </c>
      <c r="G54" s="79" t="s">
        <v>99</v>
      </c>
      <c r="H54" s="23" t="str">
        <f>IFERROR(_xlfn.XLOOKUP(Table5[[#This Row],[Affected WTG]],'Basic Data'!$A:$A,'Basic Data'!$B:$B),"")</f>
        <v>PWEPL</v>
      </c>
      <c r="I54" s="23" t="str">
        <f>IFERROR(_xlfn.XLOOKUP(Table5[[#This Row],[Affected WTG]],'Basic Data'!$A:$A,'Basic Data'!$C:$C),"")</f>
        <v>MSEDCL</v>
      </c>
      <c r="J54" s="286">
        <f>IFERROR(_xlfn.XLOOKUP(Table5[[#This Row],[Affected WTG]],'Basic Data'!$A:$A,'Basic Data'!$E:$E),"")</f>
        <v>2.2727272727272728E-2</v>
      </c>
      <c r="K54" s="79">
        <v>123</v>
      </c>
      <c r="L54" s="23" t="str">
        <f>IFERROR(_xlfn.XLOOKUP(Table5[[#This Row],[Error Code]],'Basic Data'!$W:$W,'Basic Data'!$X:$X),"Incorrect Error Code")</f>
        <v>Generator carbon brush warn</v>
      </c>
      <c r="M54" s="23" t="s">
        <v>380</v>
      </c>
      <c r="N54" s="23"/>
      <c r="O54" s="287">
        <v>0.70208333333333339</v>
      </c>
      <c r="P54" s="287">
        <v>0.70208333333333339</v>
      </c>
      <c r="Q54" s="287">
        <v>0.73819444444444438</v>
      </c>
      <c r="R54" s="91">
        <f t="shared" si="0"/>
        <v>3.6111111111110983E-2</v>
      </c>
      <c r="S54" s="91">
        <f>(Table5[[#This Row],[Fault Clearance time]]-Table5[[#This Row],[Work Start TimeStamp]])*24</f>
        <v>0.86666666666666359</v>
      </c>
      <c r="T54" s="91">
        <f>(Table5[[#This Row],[Fault Clearance time]]-Table5[[#This Row],[Fault Start TimeStamp]])*24</f>
        <v>0.86666666666666359</v>
      </c>
      <c r="U54" s="23" t="s">
        <v>381</v>
      </c>
      <c r="V54" s="79" t="s">
        <v>339</v>
      </c>
      <c r="W54" s="289">
        <f>IFERROR(Table5[[#This Row],[Breakdown Time]]*Table5[[#This Row],[Plant Equivalent Weightage]],"")</f>
        <v>1.9696969696969626E-2</v>
      </c>
      <c r="X54" s="289" t="s">
        <v>343</v>
      </c>
      <c r="Y54" s="290" t="s">
        <v>98</v>
      </c>
      <c r="Z54" s="79"/>
      <c r="AA54" s="283">
        <v>280</v>
      </c>
      <c r="AB54" s="79"/>
      <c r="AC54" s="23"/>
      <c r="AD54" s="23"/>
    </row>
    <row r="55" spans="1:30">
      <c r="A55" s="79">
        <f t="shared" si="1"/>
        <v>54</v>
      </c>
      <c r="B55" s="283">
        <f>YEAR(Table5[[#This Row],[Date]])+IF(MONTH(Table5[[#This Row],[Date]])&gt;=4,1,0)</f>
        <v>2026</v>
      </c>
      <c r="C55" s="79">
        <f>YEAR(Table5[[#This Row],[Date]])</f>
        <v>2025</v>
      </c>
      <c r="D55" s="79" t="s">
        <v>344</v>
      </c>
      <c r="E55" s="284">
        <f>Table5[[#This Row],[Date]]-DAY(Table5[[#This Row],[Date]])+1</f>
        <v>45748</v>
      </c>
      <c r="F55" s="285">
        <v>45765</v>
      </c>
      <c r="G55" s="79" t="s">
        <v>111</v>
      </c>
      <c r="H55" s="23" t="str">
        <f>IFERROR(_xlfn.XLOOKUP(Table5[[#This Row],[Affected WTG]],'Basic Data'!$A:$A,'Basic Data'!$B:$B),"")</f>
        <v>PWEPL</v>
      </c>
      <c r="I55" s="23" t="str">
        <f>IFERROR(_xlfn.XLOOKUP(Table5[[#This Row],[Affected WTG]],'Basic Data'!$A:$A,'Basic Data'!$C:$C),"")</f>
        <v>MSEDCL</v>
      </c>
      <c r="J55" s="286">
        <f>IFERROR(_xlfn.XLOOKUP(Table5[[#This Row],[Affected WTG]],'Basic Data'!$A:$A,'Basic Data'!$E:$E),"")</f>
        <v>2.2727272727272728E-2</v>
      </c>
      <c r="K55" s="79" t="s">
        <v>336</v>
      </c>
      <c r="L55" s="23" t="str">
        <f>IFERROR(_xlfn.XLOOKUP(Table5[[#This Row],[Error Code]],'Basic Data'!$W:$W,'Basic Data'!$X:$X),"Incorrect Error Code")</f>
        <v>Manual Stop - Preventive Maintenance Activity</v>
      </c>
      <c r="M55" s="23" t="s">
        <v>337</v>
      </c>
      <c r="N55" s="23"/>
      <c r="O55" s="287">
        <v>0.42291666666666666</v>
      </c>
      <c r="P55" s="287">
        <v>0.42291666666666666</v>
      </c>
      <c r="Q55" s="287">
        <v>0.79583333333333339</v>
      </c>
      <c r="R55" s="91">
        <f t="shared" si="0"/>
        <v>0.37291666666666673</v>
      </c>
      <c r="S55" s="91">
        <f>(Table5[[#This Row],[Fault Clearance time]]-Table5[[#This Row],[Work Start TimeStamp]])*24</f>
        <v>8.9500000000000011</v>
      </c>
      <c r="T55" s="91">
        <f>(Table5[[#This Row],[Fault Clearance time]]-Table5[[#This Row],[Fault Start TimeStamp]])*24</f>
        <v>8.9500000000000011</v>
      </c>
      <c r="U55" s="23" t="s">
        <v>338</v>
      </c>
      <c r="V55" s="79" t="s">
        <v>339</v>
      </c>
      <c r="W55" s="289">
        <f>IFERROR(Table5[[#This Row],[Breakdown Time]]*Table5[[#This Row],[Plant Equivalent Weightage]],"")</f>
        <v>0.20340909090909093</v>
      </c>
      <c r="X55" s="289" t="s">
        <v>340</v>
      </c>
      <c r="Y55" s="290" t="s">
        <v>112</v>
      </c>
      <c r="Z55" s="79"/>
      <c r="AA55" s="283">
        <v>3194</v>
      </c>
      <c r="AB55" s="79"/>
      <c r="AC55" s="23"/>
      <c r="AD55" s="23"/>
    </row>
    <row r="56" spans="1:30">
      <c r="A56" s="79">
        <f t="shared" si="1"/>
        <v>55</v>
      </c>
      <c r="B56" s="283">
        <f>YEAR(Table5[[#This Row],[Date]])+IF(MONTH(Table5[[#This Row],[Date]])&gt;=4,1,0)</f>
        <v>2026</v>
      </c>
      <c r="C56" s="79">
        <f>YEAR(Table5[[#This Row],[Date]])</f>
        <v>2025</v>
      </c>
      <c r="D56" s="79" t="s">
        <v>344</v>
      </c>
      <c r="E56" s="284">
        <f>Table5[[#This Row],[Date]]-DAY(Table5[[#This Row],[Date]])+1</f>
        <v>45748</v>
      </c>
      <c r="F56" s="285">
        <v>45765</v>
      </c>
      <c r="G56" s="79" t="s">
        <v>116</v>
      </c>
      <c r="H56" s="23" t="str">
        <f>IFERROR(_xlfn.XLOOKUP(Table5[[#This Row],[Affected WTG]],'Basic Data'!$A:$A,'Basic Data'!$B:$B),"")</f>
        <v>PWEPL</v>
      </c>
      <c r="I56" s="23" t="str">
        <f>IFERROR(_xlfn.XLOOKUP(Table5[[#This Row],[Affected WTG]],'Basic Data'!$A:$A,'Basic Data'!$C:$C),"")</f>
        <v>MSEDCL</v>
      </c>
      <c r="J56" s="286">
        <f>IFERROR(_xlfn.XLOOKUP(Table5[[#This Row],[Affected WTG]],'Basic Data'!$A:$A,'Basic Data'!$E:$E),"")</f>
        <v>2.2727272727272728E-2</v>
      </c>
      <c r="K56" s="79">
        <v>60</v>
      </c>
      <c r="L56" s="23" t="str">
        <f>IFERROR(_xlfn.XLOOKUP(Table5[[#This Row],[Error Code]],'Basic Data'!$W:$W,'Basic Data'!$X:$X),"Incorrect Error Code")</f>
        <v>Yaw limit switch activated</v>
      </c>
      <c r="M56" s="23" t="s">
        <v>357</v>
      </c>
      <c r="N56" s="23"/>
      <c r="O56" s="287">
        <v>0.4465277777777778</v>
      </c>
      <c r="P56" s="287">
        <v>0.4465277777777778</v>
      </c>
      <c r="Q56" s="287">
        <v>0.55486111111111114</v>
      </c>
      <c r="R56" s="91">
        <f t="shared" si="0"/>
        <v>0.10833333333333334</v>
      </c>
      <c r="S56" s="91">
        <f>(Table5[[#This Row],[Fault Clearance time]]-Table5[[#This Row],[Work Start TimeStamp]])*24</f>
        <v>2.6</v>
      </c>
      <c r="T56" s="91">
        <f>(Table5[[#This Row],[Fault Clearance time]]-Table5[[#This Row],[Fault Start TimeStamp]])*24</f>
        <v>2.6</v>
      </c>
      <c r="U56" s="23" t="s">
        <v>358</v>
      </c>
      <c r="V56" s="79" t="s">
        <v>339</v>
      </c>
      <c r="W56" s="289">
        <f>IFERROR(Table5[[#This Row],[Breakdown Time]]*Table5[[#This Row],[Plant Equivalent Weightage]],"")</f>
        <v>5.9090909090909097E-2</v>
      </c>
      <c r="X56" s="289" t="s">
        <v>343</v>
      </c>
      <c r="Y56" s="290" t="s">
        <v>117</v>
      </c>
      <c r="Z56" s="79"/>
      <c r="AA56" s="283">
        <v>81</v>
      </c>
      <c r="AB56" s="79"/>
      <c r="AC56" s="23"/>
      <c r="AD56" s="23"/>
    </row>
    <row r="57" spans="1:30">
      <c r="A57" s="79">
        <f t="shared" si="1"/>
        <v>56</v>
      </c>
      <c r="B57" s="283">
        <f>YEAR(Table5[[#This Row],[Date]])+IF(MONTH(Table5[[#This Row],[Date]])&gt;=4,1,0)</f>
        <v>2026</v>
      </c>
      <c r="C57" s="79">
        <f>YEAR(Table5[[#This Row],[Date]])</f>
        <v>2025</v>
      </c>
      <c r="D57" s="79" t="s">
        <v>344</v>
      </c>
      <c r="E57" s="284">
        <f>Table5[[#This Row],[Date]]-DAY(Table5[[#This Row],[Date]])+1</f>
        <v>45748</v>
      </c>
      <c r="F57" s="285">
        <v>45765</v>
      </c>
      <c r="G57" s="79" t="s">
        <v>97</v>
      </c>
      <c r="H57" s="23" t="str">
        <f>IFERROR(_xlfn.XLOOKUP(Table5[[#This Row],[Affected WTG]],'Basic Data'!$A:$A,'Basic Data'!$B:$B),"")</f>
        <v>PWEPL</v>
      </c>
      <c r="I57" s="23" t="str">
        <f>IFERROR(_xlfn.XLOOKUP(Table5[[#This Row],[Affected WTG]],'Basic Data'!$A:$A,'Basic Data'!$C:$C),"")</f>
        <v>MSEDCL</v>
      </c>
      <c r="J57" s="286">
        <f>IFERROR(_xlfn.XLOOKUP(Table5[[#This Row],[Affected WTG]],'Basic Data'!$A:$A,'Basic Data'!$E:$E),"")</f>
        <v>2.2727272727272728E-2</v>
      </c>
      <c r="K57" s="79" t="s">
        <v>382</v>
      </c>
      <c r="L57" s="23" t="str">
        <f>IFERROR(_xlfn.XLOOKUP(Table5[[#This Row],[Error Code]],'Basic Data'!$W:$W,'Basic Data'!$X:$X),"Incorrect Error Code")</f>
        <v>UPS breakdown</v>
      </c>
      <c r="M57" s="23" t="s">
        <v>383</v>
      </c>
      <c r="N57" s="23"/>
      <c r="O57" s="287">
        <v>0.70208333333333339</v>
      </c>
      <c r="P57" s="287">
        <v>0.70208333333333339</v>
      </c>
      <c r="Q57" s="287">
        <v>0.70833333333333337</v>
      </c>
      <c r="R57" s="91">
        <f t="shared" si="0"/>
        <v>6.2499999999999778E-3</v>
      </c>
      <c r="S57" s="91">
        <f>(Table5[[#This Row],[Fault Clearance time]]-Table5[[#This Row],[Work Start TimeStamp]])*24</f>
        <v>0.14999999999999947</v>
      </c>
      <c r="T57" s="91">
        <f>(Table5[[#This Row],[Fault Clearance time]]-Table5[[#This Row],[Fault Start TimeStamp]])*24</f>
        <v>0.14999999999999947</v>
      </c>
      <c r="U57" s="23" t="s">
        <v>384</v>
      </c>
      <c r="V57" s="79" t="s">
        <v>339</v>
      </c>
      <c r="W57" s="289">
        <f>IFERROR(Table5[[#This Row],[Breakdown Time]]*Table5[[#This Row],[Plant Equivalent Weightage]],"")</f>
        <v>3.4090909090908972E-3</v>
      </c>
      <c r="X57" s="289" t="s">
        <v>343</v>
      </c>
      <c r="Y57" s="290" t="s">
        <v>96</v>
      </c>
      <c r="Z57" s="79"/>
      <c r="AA57" s="283">
        <v>164</v>
      </c>
      <c r="AB57" s="79"/>
      <c r="AC57" s="23"/>
      <c r="AD57" s="23"/>
    </row>
    <row r="58" spans="1:30">
      <c r="A58" s="79">
        <f t="shared" si="1"/>
        <v>57</v>
      </c>
      <c r="B58" s="283">
        <f>YEAR(Table5[[#This Row],[Date]])+IF(MONTH(Table5[[#This Row],[Date]])&gt;=4,1,0)</f>
        <v>2026</v>
      </c>
      <c r="C58" s="79">
        <f>YEAR(Table5[[#This Row],[Date]])</f>
        <v>2025</v>
      </c>
      <c r="D58" s="79" t="s">
        <v>344</v>
      </c>
      <c r="E58" s="284">
        <f>Table5[[#This Row],[Date]]-DAY(Table5[[#This Row],[Date]])+1</f>
        <v>45748</v>
      </c>
      <c r="F58" s="285">
        <v>45766</v>
      </c>
      <c r="G58" s="79" t="s">
        <v>112</v>
      </c>
      <c r="H58" s="23" t="str">
        <f>IFERROR(_xlfn.XLOOKUP(Table5[[#This Row],[Affected WTG]],'Basic Data'!$A:$A,'Basic Data'!$B:$B),"")</f>
        <v>PWEPL</v>
      </c>
      <c r="I58" s="23" t="str">
        <f>IFERROR(_xlfn.XLOOKUP(Table5[[#This Row],[Affected WTG]],'Basic Data'!$A:$A,'Basic Data'!$C:$C),"")</f>
        <v>MSEDCL</v>
      </c>
      <c r="J58" s="286">
        <f>IFERROR(_xlfn.XLOOKUP(Table5[[#This Row],[Affected WTG]],'Basic Data'!$A:$A,'Basic Data'!$E:$E),"")</f>
        <v>2.2727272727272728E-2</v>
      </c>
      <c r="K58" s="79" t="s">
        <v>336</v>
      </c>
      <c r="L58" s="23" t="str">
        <f>IFERROR(_xlfn.XLOOKUP(Table5[[#This Row],[Error Code]],'Basic Data'!$W:$W,'Basic Data'!$X:$X),"Incorrect Error Code")</f>
        <v>Manual Stop - Preventive Maintenance Activity</v>
      </c>
      <c r="M58" s="23" t="s">
        <v>337</v>
      </c>
      <c r="N58" s="23"/>
      <c r="O58" s="287">
        <v>0.40833333333333338</v>
      </c>
      <c r="P58" s="287">
        <v>0.40833333333333338</v>
      </c>
      <c r="Q58" s="287">
        <v>0.76388888888888884</v>
      </c>
      <c r="R58" s="91">
        <f t="shared" si="0"/>
        <v>0.35555555555555546</v>
      </c>
      <c r="S58" s="91">
        <f>(Table5[[#This Row],[Fault Clearance time]]-Table5[[#This Row],[Work Start TimeStamp]])*24</f>
        <v>8.5333333333333314</v>
      </c>
      <c r="T58" s="91">
        <f>(Table5[[#This Row],[Fault Clearance time]]-Table5[[#This Row],[Fault Start TimeStamp]])*24</f>
        <v>8.5333333333333314</v>
      </c>
      <c r="U58" s="23" t="s">
        <v>338</v>
      </c>
      <c r="V58" s="79" t="s">
        <v>339</v>
      </c>
      <c r="W58" s="289">
        <f>IFERROR(Table5[[#This Row],[Breakdown Time]]*Table5[[#This Row],[Plant Equivalent Weightage]],"")</f>
        <v>0.19393939393939391</v>
      </c>
      <c r="X58" s="289" t="s">
        <v>340</v>
      </c>
      <c r="Y58" s="290" t="s">
        <v>111</v>
      </c>
      <c r="Z58" s="79"/>
      <c r="AA58" s="283">
        <v>2942</v>
      </c>
      <c r="AB58" s="79"/>
      <c r="AC58" s="23"/>
      <c r="AD58" s="23"/>
    </row>
    <row r="59" spans="1:30">
      <c r="A59" s="79">
        <f t="shared" si="1"/>
        <v>58</v>
      </c>
      <c r="B59" s="283">
        <f>YEAR(Table5[[#This Row],[Date]])+IF(MONTH(Table5[[#This Row],[Date]])&gt;=4,1,0)</f>
        <v>2026</v>
      </c>
      <c r="C59" s="79">
        <f>YEAR(Table5[[#This Row],[Date]])</f>
        <v>2025</v>
      </c>
      <c r="D59" s="79" t="s">
        <v>344</v>
      </c>
      <c r="E59" s="284">
        <f>Table5[[#This Row],[Date]]-DAY(Table5[[#This Row],[Date]])+1</f>
        <v>45748</v>
      </c>
      <c r="F59" s="285">
        <v>45767</v>
      </c>
      <c r="G59" s="79" t="s">
        <v>117</v>
      </c>
      <c r="H59" s="23" t="str">
        <f>IFERROR(_xlfn.XLOOKUP(Table5[[#This Row],[Affected WTG]],'Basic Data'!$A:$A,'Basic Data'!$B:$B),"")</f>
        <v>PWEPL</v>
      </c>
      <c r="I59" s="23" t="str">
        <f>IFERROR(_xlfn.XLOOKUP(Table5[[#This Row],[Affected WTG]],'Basic Data'!$A:$A,'Basic Data'!$C:$C),"")</f>
        <v>MSEDCL</v>
      </c>
      <c r="J59" s="286">
        <f>IFERROR(_xlfn.XLOOKUP(Table5[[#This Row],[Affected WTG]],'Basic Data'!$A:$A,'Basic Data'!$E:$E),"")</f>
        <v>2.2727272727272728E-2</v>
      </c>
      <c r="K59" s="79">
        <v>201</v>
      </c>
      <c r="L59" s="23" t="str">
        <f>IFERROR(_xlfn.XLOOKUP(Table5[[#This Row],[Error Code]],'Basic Data'!$W:$W,'Basic Data'!$X:$X),"Incorrect Error Code")</f>
        <v xml:space="preserve"> PLC fault 24V Supply</v>
      </c>
      <c r="M59" s="23" t="s">
        <v>366</v>
      </c>
      <c r="N59" s="23"/>
      <c r="O59" s="287">
        <v>0.39861111111111108</v>
      </c>
      <c r="P59" s="287">
        <v>0.39861111111111108</v>
      </c>
      <c r="Q59" s="287">
        <v>0.41736111111111113</v>
      </c>
      <c r="R59" s="91">
        <f t="shared" si="0"/>
        <v>1.8750000000000044E-2</v>
      </c>
      <c r="S59" s="91">
        <f>(Table5[[#This Row],[Fault Clearance time]]-Table5[[#This Row],[Work Start TimeStamp]])*24</f>
        <v>0.45000000000000107</v>
      </c>
      <c r="T59" s="91">
        <f>(Table5[[#This Row],[Fault Clearance time]]-Table5[[#This Row],[Fault Start TimeStamp]])*24</f>
        <v>0.45000000000000107</v>
      </c>
      <c r="U59" s="23" t="s">
        <v>353</v>
      </c>
      <c r="V59" s="79" t="s">
        <v>339</v>
      </c>
      <c r="W59" s="289">
        <f>IFERROR(Table5[[#This Row],[Breakdown Time]]*Table5[[#This Row],[Plant Equivalent Weightage]],"")</f>
        <v>1.0227272727272751E-2</v>
      </c>
      <c r="X59" s="289" t="s">
        <v>343</v>
      </c>
      <c r="Y59" s="290" t="s">
        <v>116</v>
      </c>
      <c r="Z59" s="79"/>
      <c r="AA59" s="283">
        <v>0</v>
      </c>
      <c r="AB59" s="79"/>
      <c r="AC59" s="23"/>
      <c r="AD59" s="23"/>
    </row>
    <row r="60" spans="1:30">
      <c r="A60" s="79">
        <f t="shared" si="1"/>
        <v>59</v>
      </c>
      <c r="B60" s="283">
        <f>YEAR(Table5[[#This Row],[Date]])+IF(MONTH(Table5[[#This Row],[Date]])&gt;=4,1,0)</f>
        <v>2026</v>
      </c>
      <c r="C60" s="79">
        <f>YEAR(Table5[[#This Row],[Date]])</f>
        <v>2025</v>
      </c>
      <c r="D60" s="79" t="s">
        <v>344</v>
      </c>
      <c r="E60" s="284">
        <f>Table5[[#This Row],[Date]]-DAY(Table5[[#This Row],[Date]])+1</f>
        <v>45748</v>
      </c>
      <c r="F60" s="285">
        <v>45768</v>
      </c>
      <c r="G60" s="79" t="s">
        <v>85</v>
      </c>
      <c r="H60" s="23" t="str">
        <f>IFERROR(_xlfn.XLOOKUP(Table5[[#This Row],[Affected WTG]],'Basic Data'!$A:$A,'Basic Data'!$B:$B),"")</f>
        <v>PWEPL</v>
      </c>
      <c r="I60" s="23" t="str">
        <f>IFERROR(_xlfn.XLOOKUP(Table5[[#This Row],[Affected WTG]],'Basic Data'!$A:$A,'Basic Data'!$C:$C),"")</f>
        <v>MSEDCL</v>
      </c>
      <c r="J60" s="286">
        <f>IFERROR(_xlfn.XLOOKUP(Table5[[#This Row],[Affected WTG]],'Basic Data'!$A:$A,'Basic Data'!$E:$E),"")</f>
        <v>2.2727272727272728E-2</v>
      </c>
      <c r="K60" s="79">
        <v>430</v>
      </c>
      <c r="L60" s="23" t="str">
        <f>IFERROR(_xlfn.XLOOKUP(Table5[[#This Row],[Error Code]],'Basic Data'!$W:$W,'Basic Data'!$X:$X),"Incorrect Error Code")</f>
        <v xml:space="preserve">Yaw tooth sensor 1 timeout </v>
      </c>
      <c r="M60" s="23" t="s">
        <v>154</v>
      </c>
      <c r="N60" s="23"/>
      <c r="O60" s="287">
        <v>0.52916666666666667</v>
      </c>
      <c r="P60" s="287">
        <v>0.52916666666666667</v>
      </c>
      <c r="Q60" s="287">
        <v>0.53263888888888888</v>
      </c>
      <c r="R60" s="91">
        <f t="shared" si="0"/>
        <v>3.4722222222222099E-3</v>
      </c>
      <c r="S60" s="91">
        <f>(Table5[[#This Row],[Fault Clearance time]]-Table5[[#This Row],[Work Start TimeStamp]])*24</f>
        <v>8.3333333333333037E-2</v>
      </c>
      <c r="T60" s="91">
        <f>(Table5[[#This Row],[Fault Clearance time]]-Table5[[#This Row],[Fault Start TimeStamp]])*24</f>
        <v>8.3333333333333037E-2</v>
      </c>
      <c r="U60" s="23" t="s">
        <v>353</v>
      </c>
      <c r="V60" s="79" t="s">
        <v>339</v>
      </c>
      <c r="W60" s="289">
        <f>IFERROR(Table5[[#This Row],[Breakdown Time]]*Table5[[#This Row],[Plant Equivalent Weightage]],"")</f>
        <v>1.8939393939393873E-3</v>
      </c>
      <c r="X60" s="289" t="s">
        <v>343</v>
      </c>
      <c r="Y60" s="290" t="s">
        <v>84</v>
      </c>
      <c r="Z60" s="79"/>
      <c r="AA60" s="283">
        <v>7</v>
      </c>
      <c r="AB60" s="79"/>
      <c r="AC60" s="23"/>
      <c r="AD60" s="23"/>
    </row>
    <row r="61" spans="1:30">
      <c r="A61" s="79">
        <f t="shared" si="1"/>
        <v>60</v>
      </c>
      <c r="B61" s="283">
        <f>YEAR(Table5[[#This Row],[Date]])+IF(MONTH(Table5[[#This Row],[Date]])&gt;=4,1,0)</f>
        <v>2026</v>
      </c>
      <c r="C61" s="79">
        <f>YEAR(Table5[[#This Row],[Date]])</f>
        <v>2025</v>
      </c>
      <c r="D61" s="79" t="s">
        <v>344</v>
      </c>
      <c r="E61" s="284">
        <f>Table5[[#This Row],[Date]]-DAY(Table5[[#This Row],[Date]])+1</f>
        <v>45748</v>
      </c>
      <c r="F61" s="285">
        <v>45769</v>
      </c>
      <c r="G61" s="79" t="s">
        <v>113</v>
      </c>
      <c r="H61" s="23" t="str">
        <f>IFERROR(_xlfn.XLOOKUP(Table5[[#This Row],[Affected WTG]],'Basic Data'!$A:$A,'Basic Data'!$B:$B),"")</f>
        <v>PWEPL</v>
      </c>
      <c r="I61" s="23" t="str">
        <f>IFERROR(_xlfn.XLOOKUP(Table5[[#This Row],[Affected WTG]],'Basic Data'!$A:$A,'Basic Data'!$C:$C),"")</f>
        <v>MSEDCL</v>
      </c>
      <c r="J61" s="286">
        <f>IFERROR(_xlfn.XLOOKUP(Table5[[#This Row],[Affected WTG]],'Basic Data'!$A:$A,'Basic Data'!$E:$E),"")</f>
        <v>2.2727272727272728E-2</v>
      </c>
      <c r="K61" s="79">
        <v>430</v>
      </c>
      <c r="L61" s="23" t="str">
        <f>IFERROR(_xlfn.XLOOKUP(Table5[[#This Row],[Error Code]],'Basic Data'!$W:$W,'Basic Data'!$X:$X),"Incorrect Error Code")</f>
        <v xml:space="preserve">Yaw tooth sensor 1 timeout </v>
      </c>
      <c r="M61" s="23" t="s">
        <v>385</v>
      </c>
      <c r="N61" s="23"/>
      <c r="O61" s="287">
        <v>0.34236111111111112</v>
      </c>
      <c r="P61" s="287">
        <v>0.34236111111111112</v>
      </c>
      <c r="Q61" s="287">
        <v>0.36180555555555555</v>
      </c>
      <c r="R61" s="91">
        <f t="shared" si="0"/>
        <v>1.9444444444444431E-2</v>
      </c>
      <c r="S61" s="91">
        <f>(Table5[[#This Row],[Fault Clearance time]]-Table5[[#This Row],[Work Start TimeStamp]])*24</f>
        <v>0.46666666666666634</v>
      </c>
      <c r="T61" s="91">
        <f>(Table5[[#This Row],[Fault Clearance time]]-Table5[[#This Row],[Fault Start TimeStamp]])*24</f>
        <v>0.46666666666666634</v>
      </c>
      <c r="U61" s="23" t="s">
        <v>372</v>
      </c>
      <c r="V61" s="79" t="s">
        <v>339</v>
      </c>
      <c r="W61" s="289">
        <f>IFERROR(Table5[[#This Row],[Breakdown Time]]*Table5[[#This Row],[Plant Equivalent Weightage]],"")</f>
        <v>1.06060606060606E-2</v>
      </c>
      <c r="X61" s="289" t="s">
        <v>343</v>
      </c>
      <c r="Y61" s="290" t="s">
        <v>114</v>
      </c>
      <c r="Z61" s="79"/>
      <c r="AA61" s="283">
        <v>39</v>
      </c>
      <c r="AB61" s="79"/>
      <c r="AC61" s="23"/>
      <c r="AD61" s="23"/>
    </row>
    <row r="62" spans="1:30">
      <c r="A62" s="79">
        <f t="shared" si="1"/>
        <v>61</v>
      </c>
      <c r="B62" s="283">
        <f>YEAR(Table5[[#This Row],[Date]])+IF(MONTH(Table5[[#This Row],[Date]])&gt;=4,1,0)</f>
        <v>2026</v>
      </c>
      <c r="C62" s="79">
        <f>YEAR(Table5[[#This Row],[Date]])</f>
        <v>2025</v>
      </c>
      <c r="D62" s="79" t="s">
        <v>344</v>
      </c>
      <c r="E62" s="284">
        <f>Table5[[#This Row],[Date]]-DAY(Table5[[#This Row],[Date]])+1</f>
        <v>45748</v>
      </c>
      <c r="F62" s="285">
        <v>45769</v>
      </c>
      <c r="G62" s="79" t="s">
        <v>85</v>
      </c>
      <c r="H62" s="23" t="str">
        <f>IFERROR(_xlfn.XLOOKUP(Table5[[#This Row],[Affected WTG]],'Basic Data'!$A:$A,'Basic Data'!$B:$B),"")</f>
        <v>PWEPL</v>
      </c>
      <c r="I62" s="23" t="str">
        <f>IFERROR(_xlfn.XLOOKUP(Table5[[#This Row],[Affected WTG]],'Basic Data'!$A:$A,'Basic Data'!$C:$C),"")</f>
        <v>MSEDCL</v>
      </c>
      <c r="J62" s="286">
        <f>IFERROR(_xlfn.XLOOKUP(Table5[[#This Row],[Affected WTG]],'Basic Data'!$A:$A,'Basic Data'!$E:$E),"")</f>
        <v>2.2727272727272728E-2</v>
      </c>
      <c r="K62" s="79">
        <v>430</v>
      </c>
      <c r="L62" s="23" t="str">
        <f>IFERROR(_xlfn.XLOOKUP(Table5[[#This Row],[Error Code]],'Basic Data'!$W:$W,'Basic Data'!$X:$X),"Incorrect Error Code")</f>
        <v xml:space="preserve">Yaw tooth sensor 1 timeout </v>
      </c>
      <c r="M62" s="23" t="s">
        <v>385</v>
      </c>
      <c r="N62" s="23"/>
      <c r="O62" s="287">
        <v>0.64861111111111114</v>
      </c>
      <c r="P62" s="287">
        <v>0.64861111111111114</v>
      </c>
      <c r="Q62" s="287">
        <v>0.68680555555555556</v>
      </c>
      <c r="R62" s="91">
        <f t="shared" si="0"/>
        <v>3.819444444444442E-2</v>
      </c>
      <c r="S62" s="91">
        <f>(Table5[[#This Row],[Fault Clearance time]]-Table5[[#This Row],[Work Start TimeStamp]])*24</f>
        <v>0.91666666666666607</v>
      </c>
      <c r="T62" s="91">
        <f>(Table5[[#This Row],[Fault Clearance time]]-Table5[[#This Row],[Fault Start TimeStamp]])*24</f>
        <v>0.91666666666666607</v>
      </c>
      <c r="U62" s="23" t="s">
        <v>372</v>
      </c>
      <c r="V62" s="79" t="s">
        <v>339</v>
      </c>
      <c r="W62" s="289">
        <f>IFERROR(Table5[[#This Row],[Breakdown Time]]*Table5[[#This Row],[Plant Equivalent Weightage]],"")</f>
        <v>2.0833333333333322E-2</v>
      </c>
      <c r="X62" s="289" t="s">
        <v>343</v>
      </c>
      <c r="Y62" s="290" t="s">
        <v>84</v>
      </c>
      <c r="Z62" s="79"/>
      <c r="AA62" s="283">
        <v>249</v>
      </c>
      <c r="AB62" s="79"/>
      <c r="AC62" s="23"/>
      <c r="AD62" s="23"/>
    </row>
    <row r="63" spans="1:30">
      <c r="A63" s="79">
        <f t="shared" si="1"/>
        <v>62</v>
      </c>
      <c r="B63" s="283">
        <f>YEAR(Table5[[#This Row],[Date]])+IF(MONTH(Table5[[#This Row],[Date]])&gt;=4,1,0)</f>
        <v>2026</v>
      </c>
      <c r="C63" s="79">
        <f>YEAR(Table5[[#This Row],[Date]])</f>
        <v>2025</v>
      </c>
      <c r="D63" s="79" t="s">
        <v>344</v>
      </c>
      <c r="E63" s="284">
        <f>Table5[[#This Row],[Date]]-DAY(Table5[[#This Row],[Date]])+1</f>
        <v>45748</v>
      </c>
      <c r="F63" s="285">
        <v>45769</v>
      </c>
      <c r="G63" s="79" t="s">
        <v>99</v>
      </c>
      <c r="H63" s="23" t="str">
        <f>IFERROR(_xlfn.XLOOKUP(Table5[[#This Row],[Affected WTG]],'Basic Data'!$A:$A,'Basic Data'!$B:$B),"")</f>
        <v>PWEPL</v>
      </c>
      <c r="I63" s="23" t="str">
        <f>IFERROR(_xlfn.XLOOKUP(Table5[[#This Row],[Affected WTG]],'Basic Data'!$A:$A,'Basic Data'!$C:$C),"")</f>
        <v>MSEDCL</v>
      </c>
      <c r="J63" s="286">
        <f>IFERROR(_xlfn.XLOOKUP(Table5[[#This Row],[Affected WTG]],'Basic Data'!$A:$A,'Basic Data'!$E:$E),"")</f>
        <v>2.2727272727272728E-2</v>
      </c>
      <c r="K63" s="79">
        <v>269</v>
      </c>
      <c r="L63" s="23" t="str">
        <f>IFERROR(_xlfn.XLOOKUP(Table5[[#This Row],[Error Code]],'Basic Data'!$W:$W,'Basic Data'!$X:$X),"Incorrect Error Code")</f>
        <v>Reboot PLC</v>
      </c>
      <c r="M63" s="23" t="s">
        <v>348</v>
      </c>
      <c r="N63" s="23"/>
      <c r="O63" s="287">
        <v>2.7777777777777776E-2</v>
      </c>
      <c r="P63" s="287">
        <v>2.7777777777777776E-2</v>
      </c>
      <c r="Q63" s="287">
        <v>3.6805555555555557E-2</v>
      </c>
      <c r="R63" s="91">
        <f t="shared" si="0"/>
        <v>9.0277777777777804E-3</v>
      </c>
      <c r="S63" s="91">
        <f>(Table5[[#This Row],[Fault Clearance time]]-Table5[[#This Row],[Work Start TimeStamp]])*24</f>
        <v>0.21666666666666673</v>
      </c>
      <c r="T63" s="91">
        <f>(Table5[[#This Row],[Fault Clearance time]]-Table5[[#This Row],[Fault Start TimeStamp]])*24</f>
        <v>0.21666666666666673</v>
      </c>
      <c r="U63" s="23" t="s">
        <v>353</v>
      </c>
      <c r="V63" s="79" t="s">
        <v>339</v>
      </c>
      <c r="W63" s="289">
        <f>IFERROR(Table5[[#This Row],[Breakdown Time]]*Table5[[#This Row],[Plant Equivalent Weightage]],"")</f>
        <v>4.9242424242424256E-3</v>
      </c>
      <c r="X63" s="289" t="s">
        <v>343</v>
      </c>
      <c r="Y63" s="290" t="s">
        <v>98</v>
      </c>
      <c r="Z63" s="79"/>
      <c r="AA63" s="283">
        <v>0</v>
      </c>
      <c r="AB63" s="79"/>
      <c r="AC63" s="23"/>
      <c r="AD63" s="23"/>
    </row>
    <row r="64" spans="1:30">
      <c r="A64" s="79">
        <f t="shared" si="1"/>
        <v>63</v>
      </c>
      <c r="B64" s="283">
        <f>YEAR(Table5[[#This Row],[Date]])+IF(MONTH(Table5[[#This Row],[Date]])&gt;=4,1,0)</f>
        <v>2026</v>
      </c>
      <c r="C64" s="79">
        <f>YEAR(Table5[[#This Row],[Date]])</f>
        <v>2025</v>
      </c>
      <c r="D64" s="79" t="s">
        <v>344</v>
      </c>
      <c r="E64" s="284">
        <f>Table5[[#This Row],[Date]]-DAY(Table5[[#This Row],[Date]])+1</f>
        <v>45748</v>
      </c>
      <c r="F64" s="285">
        <v>45769</v>
      </c>
      <c r="G64" s="79" t="s">
        <v>113</v>
      </c>
      <c r="H64" s="23" t="str">
        <f>IFERROR(_xlfn.XLOOKUP(Table5[[#This Row],[Affected WTG]],'Basic Data'!$A:$A,'Basic Data'!$B:$B),"")</f>
        <v>PWEPL</v>
      </c>
      <c r="I64" s="23" t="str">
        <f>IFERROR(_xlfn.XLOOKUP(Table5[[#This Row],[Affected WTG]],'Basic Data'!$A:$A,'Basic Data'!$C:$C),"")</f>
        <v>MSEDCL</v>
      </c>
      <c r="J64" s="286">
        <f>IFERROR(_xlfn.XLOOKUP(Table5[[#This Row],[Affected WTG]],'Basic Data'!$A:$A,'Basic Data'!$E:$E),"")</f>
        <v>2.2727272727272728E-2</v>
      </c>
      <c r="K64" s="79">
        <v>430</v>
      </c>
      <c r="L64" s="23" t="str">
        <f>IFERROR(_xlfn.XLOOKUP(Table5[[#This Row],[Error Code]],'Basic Data'!$W:$W,'Basic Data'!$X:$X),"Incorrect Error Code")</f>
        <v xml:space="preserve">Yaw tooth sensor 1 timeout </v>
      </c>
      <c r="M64" s="23" t="s">
        <v>154</v>
      </c>
      <c r="N64" s="23"/>
      <c r="O64" s="287">
        <v>0.27430555555555552</v>
      </c>
      <c r="P64" s="287">
        <v>0.27430555555555552</v>
      </c>
      <c r="Q64" s="287">
        <v>0.2951388888888889</v>
      </c>
      <c r="R64" s="91">
        <f t="shared" si="0"/>
        <v>2.083333333333337E-2</v>
      </c>
      <c r="S64" s="91">
        <f>(Table5[[#This Row],[Fault Clearance time]]-Table5[[#This Row],[Work Start TimeStamp]])*24</f>
        <v>0.50000000000000089</v>
      </c>
      <c r="T64" s="91">
        <f>(Table5[[#This Row],[Fault Clearance time]]-Table5[[#This Row],[Fault Start TimeStamp]])*24</f>
        <v>0.50000000000000089</v>
      </c>
      <c r="U64" s="23" t="s">
        <v>353</v>
      </c>
      <c r="V64" s="79" t="s">
        <v>339</v>
      </c>
      <c r="W64" s="289">
        <f>IFERROR(Table5[[#This Row],[Breakdown Time]]*Table5[[#This Row],[Plant Equivalent Weightage]],"")</f>
        <v>1.1363636363636385E-2</v>
      </c>
      <c r="X64" s="289" t="s">
        <v>343</v>
      </c>
      <c r="Y64" s="290" t="s">
        <v>114</v>
      </c>
      <c r="Z64" s="79"/>
      <c r="AA64" s="283">
        <v>61</v>
      </c>
      <c r="AB64" s="79"/>
      <c r="AC64" s="23"/>
      <c r="AD64" s="23"/>
    </row>
    <row r="65" spans="1:30">
      <c r="A65" s="79">
        <f t="shared" si="1"/>
        <v>64</v>
      </c>
      <c r="B65" s="283">
        <f>YEAR(Table5[[#This Row],[Date]])+IF(MONTH(Table5[[#This Row],[Date]])&gt;=4,1,0)</f>
        <v>2026</v>
      </c>
      <c r="C65" s="79">
        <f>YEAR(Table5[[#This Row],[Date]])</f>
        <v>2025</v>
      </c>
      <c r="D65" s="79" t="s">
        <v>344</v>
      </c>
      <c r="E65" s="284">
        <f>Table5[[#This Row],[Date]]-DAY(Table5[[#This Row],[Date]])+1</f>
        <v>45748</v>
      </c>
      <c r="F65" s="285">
        <v>45769</v>
      </c>
      <c r="G65" s="79" t="s">
        <v>85</v>
      </c>
      <c r="H65" s="23" t="str">
        <f>IFERROR(_xlfn.XLOOKUP(Table5[[#This Row],[Affected WTG]],'Basic Data'!$A:$A,'Basic Data'!$B:$B),"")</f>
        <v>PWEPL</v>
      </c>
      <c r="I65" s="23" t="str">
        <f>IFERROR(_xlfn.XLOOKUP(Table5[[#This Row],[Affected WTG]],'Basic Data'!$A:$A,'Basic Data'!$C:$C),"")</f>
        <v>MSEDCL</v>
      </c>
      <c r="J65" s="286">
        <f>IFERROR(_xlfn.XLOOKUP(Table5[[#This Row],[Affected WTG]],'Basic Data'!$A:$A,'Basic Data'!$E:$E),"")</f>
        <v>2.2727272727272728E-2</v>
      </c>
      <c r="K65" s="79">
        <v>430</v>
      </c>
      <c r="L65" s="23" t="str">
        <f>IFERROR(_xlfn.XLOOKUP(Table5[[#This Row],[Error Code]],'Basic Data'!$W:$W,'Basic Data'!$X:$X),"Incorrect Error Code")</f>
        <v xml:space="preserve">Yaw tooth sensor 1 timeout </v>
      </c>
      <c r="M65" s="23" t="s">
        <v>154</v>
      </c>
      <c r="N65" s="23"/>
      <c r="O65" s="287">
        <v>0.32430555555555557</v>
      </c>
      <c r="P65" s="287">
        <v>0.32430555555555557</v>
      </c>
      <c r="Q65" s="287">
        <v>0.35902777777777778</v>
      </c>
      <c r="R65" s="91">
        <f t="shared" si="0"/>
        <v>3.472222222222221E-2</v>
      </c>
      <c r="S65" s="91">
        <f>(Table5[[#This Row],[Fault Clearance time]]-Table5[[#This Row],[Work Start TimeStamp]])*24</f>
        <v>0.83333333333333304</v>
      </c>
      <c r="T65" s="91">
        <f>(Table5[[#This Row],[Fault Clearance time]]-Table5[[#This Row],[Fault Start TimeStamp]])*24</f>
        <v>0.83333333333333304</v>
      </c>
      <c r="U65" s="23" t="s">
        <v>353</v>
      </c>
      <c r="V65" s="79" t="s">
        <v>339</v>
      </c>
      <c r="W65" s="289">
        <f>IFERROR(Table5[[#This Row],[Breakdown Time]]*Table5[[#This Row],[Plant Equivalent Weightage]],"")</f>
        <v>1.8939393939393933E-2</v>
      </c>
      <c r="X65" s="289" t="s">
        <v>343</v>
      </c>
      <c r="Y65" s="290" t="s">
        <v>84</v>
      </c>
      <c r="Z65" s="79"/>
      <c r="AA65" s="283">
        <v>188</v>
      </c>
      <c r="AB65" s="79"/>
      <c r="AC65" s="23"/>
      <c r="AD65" s="23"/>
    </row>
    <row r="66" spans="1:30">
      <c r="A66" s="79">
        <f t="shared" si="1"/>
        <v>65</v>
      </c>
      <c r="B66" s="283">
        <f>YEAR(Table5[[#This Row],[Date]])+IF(MONTH(Table5[[#This Row],[Date]])&gt;=4,1,0)</f>
        <v>2026</v>
      </c>
      <c r="C66" s="79">
        <f>YEAR(Table5[[#This Row],[Date]])</f>
        <v>2025</v>
      </c>
      <c r="D66" s="79" t="s">
        <v>344</v>
      </c>
      <c r="E66" s="284">
        <f>Table5[[#This Row],[Date]]-DAY(Table5[[#This Row],[Date]])+1</f>
        <v>45748</v>
      </c>
      <c r="F66" s="285">
        <v>45770</v>
      </c>
      <c r="G66" s="79" t="s">
        <v>113</v>
      </c>
      <c r="H66" s="23" t="str">
        <f>IFERROR(_xlfn.XLOOKUP(Table5[[#This Row],[Affected WTG]],'Basic Data'!$A:$A,'Basic Data'!$B:$B),"")</f>
        <v>PWEPL</v>
      </c>
      <c r="I66" s="23" t="str">
        <f>IFERROR(_xlfn.XLOOKUP(Table5[[#This Row],[Affected WTG]],'Basic Data'!$A:$A,'Basic Data'!$C:$C),"")</f>
        <v>MSEDCL</v>
      </c>
      <c r="J66" s="286">
        <f>IFERROR(_xlfn.XLOOKUP(Table5[[#This Row],[Affected WTG]],'Basic Data'!$A:$A,'Basic Data'!$E:$E),"")</f>
        <v>2.2727272727272728E-2</v>
      </c>
      <c r="K66" s="79" t="s">
        <v>336</v>
      </c>
      <c r="L66" s="23" t="str">
        <f>IFERROR(_xlfn.XLOOKUP(Table5[[#This Row],[Error Code]],'Basic Data'!$W:$W,'Basic Data'!$X:$X),"Incorrect Error Code")</f>
        <v>Manual Stop - Preventive Maintenance Activity</v>
      </c>
      <c r="M66" s="23" t="s">
        <v>337</v>
      </c>
      <c r="N66" s="23"/>
      <c r="O66" s="287">
        <v>0.42291666666666666</v>
      </c>
      <c r="P66" s="287">
        <v>0.42291666666666666</v>
      </c>
      <c r="Q66" s="287">
        <v>0.80555555555555547</v>
      </c>
      <c r="R66" s="91">
        <f t="shared" ref="R66:R129" si="2">Q66-O66</f>
        <v>0.38263888888888881</v>
      </c>
      <c r="S66" s="91">
        <f>(Table5[[#This Row],[Fault Clearance time]]-Table5[[#This Row],[Work Start TimeStamp]])*24</f>
        <v>9.1833333333333318</v>
      </c>
      <c r="T66" s="91">
        <f>(Table5[[#This Row],[Fault Clearance time]]-Table5[[#This Row],[Fault Start TimeStamp]])*24</f>
        <v>9.1833333333333318</v>
      </c>
      <c r="U66" s="23" t="s">
        <v>338</v>
      </c>
      <c r="V66" s="79" t="s">
        <v>339</v>
      </c>
      <c r="W66" s="289">
        <f>IFERROR(Table5[[#This Row],[Breakdown Time]]*Table5[[#This Row],[Plant Equivalent Weightage]],"")</f>
        <v>0.20871212121212118</v>
      </c>
      <c r="X66" s="289" t="s">
        <v>340</v>
      </c>
      <c r="Y66" s="290" t="s">
        <v>114</v>
      </c>
      <c r="Z66" s="79"/>
      <c r="AA66" s="283">
        <v>2984</v>
      </c>
      <c r="AB66" s="79"/>
      <c r="AC66" s="23"/>
      <c r="AD66" s="23"/>
    </row>
    <row r="67" spans="1:30">
      <c r="A67" s="79">
        <f t="shared" si="1"/>
        <v>66</v>
      </c>
      <c r="B67" s="283">
        <f>YEAR(Table5[[#This Row],[Date]])+IF(MONTH(Table5[[#This Row],[Date]])&gt;=4,1,0)</f>
        <v>2026</v>
      </c>
      <c r="C67" s="79">
        <f>YEAR(Table5[[#This Row],[Date]])</f>
        <v>2025</v>
      </c>
      <c r="D67" s="79" t="s">
        <v>344</v>
      </c>
      <c r="E67" s="284">
        <f>Table5[[#This Row],[Date]]-DAY(Table5[[#This Row],[Date]])+1</f>
        <v>45748</v>
      </c>
      <c r="F67" s="285">
        <v>45771</v>
      </c>
      <c r="G67" s="79" t="s">
        <v>114</v>
      </c>
      <c r="H67" s="23" t="str">
        <f>IFERROR(_xlfn.XLOOKUP(Table5[[#This Row],[Affected WTG]],'Basic Data'!$A:$A,'Basic Data'!$B:$B),"")</f>
        <v>PWEPL</v>
      </c>
      <c r="I67" s="23" t="str">
        <f>IFERROR(_xlfn.XLOOKUP(Table5[[#This Row],[Affected WTG]],'Basic Data'!$A:$A,'Basic Data'!$C:$C),"")</f>
        <v>MSEDCL</v>
      </c>
      <c r="J67" s="286">
        <f>IFERROR(_xlfn.XLOOKUP(Table5[[#This Row],[Affected WTG]],'Basic Data'!$A:$A,'Basic Data'!$E:$E),"")</f>
        <v>2.2727272727272728E-2</v>
      </c>
      <c r="K67" s="79" t="s">
        <v>336</v>
      </c>
      <c r="L67" s="23" t="str">
        <f>IFERROR(_xlfn.XLOOKUP(Table5[[#This Row],[Error Code]],'Basic Data'!$W:$W,'Basic Data'!$X:$X),"Incorrect Error Code")</f>
        <v>Manual Stop - Preventive Maintenance Activity</v>
      </c>
      <c r="M67" s="23" t="s">
        <v>337</v>
      </c>
      <c r="N67" s="23"/>
      <c r="O67" s="287">
        <v>0.34513888888888888</v>
      </c>
      <c r="P67" s="287">
        <v>0.34513888888888888</v>
      </c>
      <c r="Q67" s="287">
        <v>0.70138888888888884</v>
      </c>
      <c r="R67" s="91">
        <f t="shared" si="2"/>
        <v>0.35624999999999996</v>
      </c>
      <c r="S67" s="91">
        <f>(Table5[[#This Row],[Fault Clearance time]]-Table5[[#This Row],[Work Start TimeStamp]])*24</f>
        <v>8.5499999999999989</v>
      </c>
      <c r="T67" s="91">
        <f>(Table5[[#This Row],[Fault Clearance time]]-Table5[[#This Row],[Fault Start TimeStamp]])*24</f>
        <v>8.5499999999999989</v>
      </c>
      <c r="U67" s="23" t="s">
        <v>338</v>
      </c>
      <c r="V67" s="79" t="s">
        <v>339</v>
      </c>
      <c r="W67" s="289">
        <f>IFERROR(Table5[[#This Row],[Breakdown Time]]*Table5[[#This Row],[Plant Equivalent Weightage]],"")</f>
        <v>0.19431818181818181</v>
      </c>
      <c r="X67" s="289" t="s">
        <v>340</v>
      </c>
      <c r="Y67" s="290" t="s">
        <v>109</v>
      </c>
      <c r="Z67" s="79"/>
      <c r="AA67" s="283">
        <v>1251</v>
      </c>
      <c r="AB67" s="79"/>
      <c r="AC67" s="23"/>
      <c r="AD67" s="23"/>
    </row>
    <row r="68" spans="1:30">
      <c r="A68" s="79">
        <f t="shared" ref="A68:A131" si="3">A67+1</f>
        <v>67</v>
      </c>
      <c r="B68" s="283">
        <f>YEAR(Table5[[#This Row],[Date]])+IF(MONTH(Table5[[#This Row],[Date]])&gt;=4,1,0)</f>
        <v>2026</v>
      </c>
      <c r="C68" s="79">
        <f>YEAR(Table5[[#This Row],[Date]])</f>
        <v>2025</v>
      </c>
      <c r="D68" s="79" t="s">
        <v>344</v>
      </c>
      <c r="E68" s="284">
        <f>Table5[[#This Row],[Date]]-DAY(Table5[[#This Row],[Date]])+1</f>
        <v>45748</v>
      </c>
      <c r="F68" s="285">
        <v>45772</v>
      </c>
      <c r="G68" s="79" t="s">
        <v>82</v>
      </c>
      <c r="H68" s="23" t="str">
        <f>IFERROR(_xlfn.XLOOKUP(Table5[[#This Row],[Affected WTG]],'Basic Data'!$A:$A,'Basic Data'!$B:$B),"")</f>
        <v>PWEPL</v>
      </c>
      <c r="I68" s="23" t="str">
        <f>IFERROR(_xlfn.XLOOKUP(Table5[[#This Row],[Affected WTG]],'Basic Data'!$A:$A,'Basic Data'!$C:$C),"")</f>
        <v>MSEDCL</v>
      </c>
      <c r="J68" s="286">
        <f>IFERROR(_xlfn.XLOOKUP(Table5[[#This Row],[Affected WTG]],'Basic Data'!$A:$A,'Basic Data'!$E:$E),"")</f>
        <v>2.2727272727272728E-2</v>
      </c>
      <c r="K68" s="79">
        <v>60</v>
      </c>
      <c r="L68" s="23" t="str">
        <f>IFERROR(_xlfn.XLOOKUP(Table5[[#This Row],[Error Code]],'Basic Data'!$W:$W,'Basic Data'!$X:$X),"Incorrect Error Code")</f>
        <v>Yaw limit switch activated</v>
      </c>
      <c r="M68" s="23" t="s">
        <v>357</v>
      </c>
      <c r="N68" s="23"/>
      <c r="O68" s="287">
        <v>0.39930555555555558</v>
      </c>
      <c r="P68" s="287">
        <v>0.39930555555555558</v>
      </c>
      <c r="Q68" s="287">
        <v>0.53125</v>
      </c>
      <c r="R68" s="91">
        <f t="shared" si="2"/>
        <v>0.13194444444444442</v>
      </c>
      <c r="S68" s="91">
        <f>(Table5[[#This Row],[Fault Clearance time]]-Table5[[#This Row],[Work Start TimeStamp]])*24</f>
        <v>3.1666666666666661</v>
      </c>
      <c r="T68" s="91">
        <f>(Table5[[#This Row],[Fault Clearance time]]-Table5[[#This Row],[Fault Start TimeStamp]])*24</f>
        <v>3.1666666666666661</v>
      </c>
      <c r="U68" s="23" t="s">
        <v>358</v>
      </c>
      <c r="V68" s="79" t="s">
        <v>339</v>
      </c>
      <c r="W68" s="289">
        <f>IFERROR(Table5[[#This Row],[Breakdown Time]]*Table5[[#This Row],[Plant Equivalent Weightage]],"")</f>
        <v>7.1969696969696961E-2</v>
      </c>
      <c r="X68" s="289" t="s">
        <v>343</v>
      </c>
      <c r="Y68" s="290" t="s">
        <v>93</v>
      </c>
      <c r="Z68" s="79"/>
      <c r="AA68" s="283">
        <v>52</v>
      </c>
      <c r="AB68" s="79"/>
      <c r="AC68" s="23"/>
      <c r="AD68" s="23"/>
    </row>
    <row r="69" spans="1:30">
      <c r="A69" s="79">
        <f t="shared" si="3"/>
        <v>68</v>
      </c>
      <c r="B69" s="283">
        <f>YEAR(Table5[[#This Row],[Date]])+IF(MONTH(Table5[[#This Row],[Date]])&gt;=4,1,0)</f>
        <v>2026</v>
      </c>
      <c r="C69" s="79">
        <f>YEAR(Table5[[#This Row],[Date]])</f>
        <v>2025</v>
      </c>
      <c r="D69" s="79" t="s">
        <v>344</v>
      </c>
      <c r="E69" s="284">
        <f>Table5[[#This Row],[Date]]-DAY(Table5[[#This Row],[Date]])+1</f>
        <v>45748</v>
      </c>
      <c r="F69" s="285">
        <v>45772</v>
      </c>
      <c r="G69" s="79" t="s">
        <v>99</v>
      </c>
      <c r="H69" s="23" t="str">
        <f>IFERROR(_xlfn.XLOOKUP(Table5[[#This Row],[Affected WTG]],'Basic Data'!$A:$A,'Basic Data'!$B:$B),"")</f>
        <v>PWEPL</v>
      </c>
      <c r="I69" s="23" t="str">
        <f>IFERROR(_xlfn.XLOOKUP(Table5[[#This Row],[Affected WTG]],'Basic Data'!$A:$A,'Basic Data'!$C:$C),"")</f>
        <v>MSEDCL</v>
      </c>
      <c r="J69" s="286">
        <f>IFERROR(_xlfn.XLOOKUP(Table5[[#This Row],[Affected WTG]],'Basic Data'!$A:$A,'Basic Data'!$E:$E),"")</f>
        <v>2.2727272727272728E-2</v>
      </c>
      <c r="K69" s="79">
        <v>60</v>
      </c>
      <c r="L69" s="23" t="str">
        <f>IFERROR(_xlfn.XLOOKUP(Table5[[#This Row],[Error Code]],'Basic Data'!$W:$W,'Basic Data'!$X:$X),"Incorrect Error Code")</f>
        <v>Yaw limit switch activated</v>
      </c>
      <c r="M69" s="23" t="s">
        <v>357</v>
      </c>
      <c r="N69" s="23"/>
      <c r="O69" s="287">
        <v>0.37638888888888888</v>
      </c>
      <c r="P69" s="287">
        <v>0.37638888888888888</v>
      </c>
      <c r="Q69" s="287">
        <v>0.42708333333333331</v>
      </c>
      <c r="R69" s="91">
        <f t="shared" si="2"/>
        <v>5.0694444444444431E-2</v>
      </c>
      <c r="S69" s="91">
        <f>(Table5[[#This Row],[Fault Clearance time]]-Table5[[#This Row],[Work Start TimeStamp]])*24</f>
        <v>1.2166666666666663</v>
      </c>
      <c r="T69" s="91">
        <f>(Table5[[#This Row],[Fault Clearance time]]-Table5[[#This Row],[Fault Start TimeStamp]])*24</f>
        <v>1.2166666666666663</v>
      </c>
      <c r="U69" s="23" t="s">
        <v>358</v>
      </c>
      <c r="V69" s="79" t="s">
        <v>339</v>
      </c>
      <c r="W69" s="289">
        <f>IFERROR(Table5[[#This Row],[Breakdown Time]]*Table5[[#This Row],[Plant Equivalent Weightage]],"")</f>
        <v>2.7651515151515146E-2</v>
      </c>
      <c r="X69" s="289" t="s">
        <v>343</v>
      </c>
      <c r="Y69" s="290" t="s">
        <v>98</v>
      </c>
      <c r="Z69" s="79"/>
      <c r="AA69" s="283">
        <v>0</v>
      </c>
      <c r="AB69" s="79"/>
      <c r="AC69" s="23"/>
      <c r="AD69" s="23"/>
    </row>
    <row r="70" spans="1:30">
      <c r="A70" s="79">
        <f t="shared" si="3"/>
        <v>69</v>
      </c>
      <c r="B70" s="283">
        <f>YEAR(Table5[[#This Row],[Date]])+IF(MONTH(Table5[[#This Row],[Date]])&gt;=4,1,0)</f>
        <v>2026</v>
      </c>
      <c r="C70" s="79">
        <f>YEAR(Table5[[#This Row],[Date]])</f>
        <v>2025</v>
      </c>
      <c r="D70" s="79" t="s">
        <v>344</v>
      </c>
      <c r="E70" s="284">
        <f>Table5[[#This Row],[Date]]-DAY(Table5[[#This Row],[Date]])+1</f>
        <v>45748</v>
      </c>
      <c r="F70" s="285">
        <v>45772</v>
      </c>
      <c r="G70" s="79" t="s">
        <v>116</v>
      </c>
      <c r="H70" s="23" t="str">
        <f>IFERROR(_xlfn.XLOOKUP(Table5[[#This Row],[Affected WTG]],'Basic Data'!$A:$A,'Basic Data'!$B:$B),"")</f>
        <v>PWEPL</v>
      </c>
      <c r="I70" s="23" t="str">
        <f>IFERROR(_xlfn.XLOOKUP(Table5[[#This Row],[Affected WTG]],'Basic Data'!$A:$A,'Basic Data'!$C:$C),"")</f>
        <v>MSEDCL</v>
      </c>
      <c r="J70" s="286">
        <f>IFERROR(_xlfn.XLOOKUP(Table5[[#This Row],[Affected WTG]],'Basic Data'!$A:$A,'Basic Data'!$E:$E),"")</f>
        <v>2.2727272727272728E-2</v>
      </c>
      <c r="K70" s="79">
        <v>60</v>
      </c>
      <c r="L70" s="23" t="str">
        <f>IFERROR(_xlfn.XLOOKUP(Table5[[#This Row],[Error Code]],'Basic Data'!$W:$W,'Basic Data'!$X:$X),"Incorrect Error Code")</f>
        <v>Yaw limit switch activated</v>
      </c>
      <c r="M70" s="23" t="s">
        <v>357</v>
      </c>
      <c r="N70" s="23"/>
      <c r="O70" s="287">
        <v>0.40972222222222227</v>
      </c>
      <c r="P70" s="287">
        <v>0.40972222222222227</v>
      </c>
      <c r="Q70" s="287">
        <v>0.42152777777777778</v>
      </c>
      <c r="R70" s="91">
        <f t="shared" si="2"/>
        <v>1.1805555555555514E-2</v>
      </c>
      <c r="S70" s="91">
        <f>(Table5[[#This Row],[Fault Clearance time]]-Table5[[#This Row],[Work Start TimeStamp]])*24</f>
        <v>0.28333333333333233</v>
      </c>
      <c r="T70" s="91">
        <f>(Table5[[#This Row],[Fault Clearance time]]-Table5[[#This Row],[Fault Start TimeStamp]])*24</f>
        <v>0.28333333333333233</v>
      </c>
      <c r="U70" s="23" t="s">
        <v>358</v>
      </c>
      <c r="V70" s="79" t="s">
        <v>339</v>
      </c>
      <c r="W70" s="289">
        <f>IFERROR(Table5[[#This Row],[Breakdown Time]]*Table5[[#This Row],[Plant Equivalent Weightage]],"")</f>
        <v>6.4393939393939167E-3</v>
      </c>
      <c r="X70" s="289" t="s">
        <v>343</v>
      </c>
      <c r="Y70" s="290" t="s">
        <v>117</v>
      </c>
      <c r="Z70" s="79"/>
      <c r="AA70" s="283">
        <v>0</v>
      </c>
      <c r="AB70" s="79"/>
      <c r="AC70" s="23"/>
      <c r="AD70" s="23"/>
    </row>
    <row r="71" spans="1:30">
      <c r="A71" s="79">
        <f t="shared" si="3"/>
        <v>70</v>
      </c>
      <c r="B71" s="283">
        <f>YEAR(Table5[[#This Row],[Date]])+IF(MONTH(Table5[[#This Row],[Date]])&gt;=4,1,0)</f>
        <v>2026</v>
      </c>
      <c r="C71" s="79">
        <f>YEAR(Table5[[#This Row],[Date]])</f>
        <v>2025</v>
      </c>
      <c r="D71" s="79" t="s">
        <v>344</v>
      </c>
      <c r="E71" s="284">
        <f>Table5[[#This Row],[Date]]-DAY(Table5[[#This Row],[Date]])+1</f>
        <v>45748</v>
      </c>
      <c r="F71" s="285">
        <v>45772</v>
      </c>
      <c r="G71" s="79" t="s">
        <v>109</v>
      </c>
      <c r="H71" s="23" t="str">
        <f>IFERROR(_xlfn.XLOOKUP(Table5[[#This Row],[Affected WTG]],'Basic Data'!$A:$A,'Basic Data'!$B:$B),"")</f>
        <v>PWEPL</v>
      </c>
      <c r="I71" s="23" t="str">
        <f>IFERROR(_xlfn.XLOOKUP(Table5[[#This Row],[Affected WTG]],'Basic Data'!$A:$A,'Basic Data'!$C:$C),"")</f>
        <v>MSEDCL</v>
      </c>
      <c r="J71" s="286">
        <f>IFERROR(_xlfn.XLOOKUP(Table5[[#This Row],[Affected WTG]],'Basic Data'!$A:$A,'Basic Data'!$E:$E),"")</f>
        <v>2.2727272727272728E-2</v>
      </c>
      <c r="K71" s="79" t="s">
        <v>336</v>
      </c>
      <c r="L71" s="23" t="str">
        <f>IFERROR(_xlfn.XLOOKUP(Table5[[#This Row],[Error Code]],'Basic Data'!$W:$W,'Basic Data'!$X:$X),"Incorrect Error Code")</f>
        <v>Manual Stop - Preventive Maintenance Activity</v>
      </c>
      <c r="M71" s="23" t="s">
        <v>337</v>
      </c>
      <c r="N71" s="23"/>
      <c r="O71" s="287">
        <v>0.41875000000000001</v>
      </c>
      <c r="P71" s="287">
        <v>0.41875000000000001</v>
      </c>
      <c r="Q71" s="287">
        <v>0.75486111111111109</v>
      </c>
      <c r="R71" s="91">
        <f t="shared" si="2"/>
        <v>0.33611111111111108</v>
      </c>
      <c r="S71" s="91">
        <f>(Table5[[#This Row],[Fault Clearance time]]-Table5[[#This Row],[Work Start TimeStamp]])*24</f>
        <v>8.0666666666666664</v>
      </c>
      <c r="T71" s="91">
        <f>(Table5[[#This Row],[Fault Clearance time]]-Table5[[#This Row],[Fault Start TimeStamp]])*24</f>
        <v>8.0666666666666664</v>
      </c>
      <c r="U71" s="23" t="s">
        <v>338</v>
      </c>
      <c r="V71" s="79" t="s">
        <v>339</v>
      </c>
      <c r="W71" s="289">
        <f>IFERROR(Table5[[#This Row],[Breakdown Time]]*Table5[[#This Row],[Plant Equivalent Weightage]],"")</f>
        <v>0.18333333333333332</v>
      </c>
      <c r="X71" s="289" t="s">
        <v>340</v>
      </c>
      <c r="Y71" s="290" t="s">
        <v>114</v>
      </c>
      <c r="Z71" s="79"/>
      <c r="AA71" s="283">
        <v>1670</v>
      </c>
      <c r="AB71" s="79"/>
      <c r="AC71" s="23"/>
      <c r="AD71" s="23"/>
    </row>
    <row r="72" spans="1:30">
      <c r="A72" s="79">
        <f t="shared" si="3"/>
        <v>71</v>
      </c>
      <c r="B72" s="283">
        <f>YEAR(Table5[[#This Row],[Date]])+IF(MONTH(Table5[[#This Row],[Date]])&gt;=4,1,0)</f>
        <v>2026</v>
      </c>
      <c r="C72" s="79">
        <f>YEAR(Table5[[#This Row],[Date]])</f>
        <v>2025</v>
      </c>
      <c r="D72" s="79" t="s">
        <v>344</v>
      </c>
      <c r="E72" s="284">
        <f>Table5[[#This Row],[Date]]-DAY(Table5[[#This Row],[Date]])+1</f>
        <v>45748</v>
      </c>
      <c r="F72" s="285">
        <v>45772</v>
      </c>
      <c r="G72" s="79" t="s">
        <v>113</v>
      </c>
      <c r="H72" s="23" t="str">
        <f>IFERROR(_xlfn.XLOOKUP(Table5[[#This Row],[Affected WTG]],'Basic Data'!$A:$A,'Basic Data'!$B:$B),"")</f>
        <v>PWEPL</v>
      </c>
      <c r="I72" s="23" t="str">
        <f>IFERROR(_xlfn.XLOOKUP(Table5[[#This Row],[Affected WTG]],'Basic Data'!$A:$A,'Basic Data'!$C:$C),"")</f>
        <v>MSEDCL</v>
      </c>
      <c r="J72" s="286">
        <f>IFERROR(_xlfn.XLOOKUP(Table5[[#This Row],[Affected WTG]],'Basic Data'!$A:$A,'Basic Data'!$E:$E),"")</f>
        <v>2.2727272727272728E-2</v>
      </c>
      <c r="K72" s="79">
        <v>430</v>
      </c>
      <c r="L72" s="23" t="str">
        <f>IFERROR(_xlfn.XLOOKUP(Table5[[#This Row],[Error Code]],'Basic Data'!$W:$W,'Basic Data'!$X:$X),"Incorrect Error Code")</f>
        <v xml:space="preserve">Yaw tooth sensor 1 timeout </v>
      </c>
      <c r="M72" s="23" t="s">
        <v>154</v>
      </c>
      <c r="N72" s="23"/>
      <c r="O72" s="287">
        <v>0.59722222222222221</v>
      </c>
      <c r="P72" s="287">
        <v>0.59722222222222221</v>
      </c>
      <c r="Q72" s="287">
        <v>0.68958333333333333</v>
      </c>
      <c r="R72" s="91">
        <f t="shared" si="2"/>
        <v>9.2361111111111116E-2</v>
      </c>
      <c r="S72" s="91">
        <f>(Table5[[#This Row],[Fault Clearance time]]-Table5[[#This Row],[Work Start TimeStamp]])*24</f>
        <v>2.2166666666666668</v>
      </c>
      <c r="T72" s="91">
        <f>(Table5[[#This Row],[Fault Clearance time]]-Table5[[#This Row],[Fault Start TimeStamp]])*24</f>
        <v>2.2166666666666668</v>
      </c>
      <c r="U72" s="23" t="s">
        <v>386</v>
      </c>
      <c r="V72" s="79" t="s">
        <v>339</v>
      </c>
      <c r="W72" s="289">
        <f>IFERROR(Table5[[#This Row],[Breakdown Time]]*Table5[[#This Row],[Plant Equivalent Weightage]],"")</f>
        <v>5.0378787878787884E-2</v>
      </c>
      <c r="X72" s="289" t="s">
        <v>343</v>
      </c>
      <c r="Y72" s="290" t="s">
        <v>114</v>
      </c>
      <c r="Z72" s="79"/>
      <c r="AA72" s="283">
        <v>769</v>
      </c>
      <c r="AB72" s="79"/>
      <c r="AC72" s="23"/>
      <c r="AD72" s="23"/>
    </row>
    <row r="73" spans="1:30">
      <c r="A73" s="79">
        <f t="shared" si="3"/>
        <v>72</v>
      </c>
      <c r="B73" s="283">
        <f>YEAR(Table5[[#This Row],[Date]])+IF(MONTH(Table5[[#This Row],[Date]])&gt;=4,1,0)</f>
        <v>2026</v>
      </c>
      <c r="C73" s="79">
        <f>YEAR(Table5[[#This Row],[Date]])</f>
        <v>2025</v>
      </c>
      <c r="D73" s="79" t="s">
        <v>344</v>
      </c>
      <c r="E73" s="284">
        <f>Table5[[#This Row],[Date]]-DAY(Table5[[#This Row],[Date]])+1</f>
        <v>45748</v>
      </c>
      <c r="F73" s="285">
        <v>45773</v>
      </c>
      <c r="G73" s="79" t="s">
        <v>81</v>
      </c>
      <c r="H73" s="23" t="str">
        <f>IFERROR(_xlfn.XLOOKUP(Table5[[#This Row],[Affected WTG]],'Basic Data'!$A:$A,'Basic Data'!$B:$B),"")</f>
        <v>PWEPL</v>
      </c>
      <c r="I73" s="23" t="str">
        <f>IFERROR(_xlfn.XLOOKUP(Table5[[#This Row],[Affected WTG]],'Basic Data'!$A:$A,'Basic Data'!$C:$C),"")</f>
        <v>MSEDCL</v>
      </c>
      <c r="J73" s="286">
        <f>IFERROR(_xlfn.XLOOKUP(Table5[[#This Row],[Affected WTG]],'Basic Data'!$A:$A,'Basic Data'!$E:$E),"")</f>
        <v>2.2727272727272728E-2</v>
      </c>
      <c r="K73" s="79" t="s">
        <v>336</v>
      </c>
      <c r="L73" s="23" t="str">
        <f>IFERROR(_xlfn.XLOOKUP(Table5[[#This Row],[Error Code]],'Basic Data'!$W:$W,'Basic Data'!$X:$X),"Incorrect Error Code")</f>
        <v>Manual Stop - Preventive Maintenance Activity</v>
      </c>
      <c r="M73" s="23" t="s">
        <v>337</v>
      </c>
      <c r="N73" s="23"/>
      <c r="O73" s="287">
        <v>0.42291666666666666</v>
      </c>
      <c r="P73" s="287">
        <v>0.42291666666666666</v>
      </c>
      <c r="Q73" s="287">
        <v>0.7944444444444444</v>
      </c>
      <c r="R73" s="91">
        <f t="shared" si="2"/>
        <v>0.37152777777777773</v>
      </c>
      <c r="S73" s="91">
        <f>(Table5[[#This Row],[Fault Clearance time]]-Table5[[#This Row],[Work Start TimeStamp]])*24</f>
        <v>8.9166666666666661</v>
      </c>
      <c r="T73" s="91">
        <f>(Table5[[#This Row],[Fault Clearance time]]-Table5[[#This Row],[Fault Start TimeStamp]])*24</f>
        <v>8.9166666666666661</v>
      </c>
      <c r="U73" s="23" t="s">
        <v>338</v>
      </c>
      <c r="V73" s="79" t="s">
        <v>339</v>
      </c>
      <c r="W73" s="289">
        <f>IFERROR(Table5[[#This Row],[Breakdown Time]]*Table5[[#This Row],[Plant Equivalent Weightage]],"")</f>
        <v>0.20265151515151514</v>
      </c>
      <c r="X73" s="289" t="s">
        <v>340</v>
      </c>
      <c r="Y73" s="290" t="s">
        <v>108</v>
      </c>
      <c r="Z73" s="79"/>
      <c r="AA73" s="283">
        <v>2809</v>
      </c>
      <c r="AB73" s="79"/>
      <c r="AC73" s="23"/>
      <c r="AD73" s="23"/>
    </row>
    <row r="74" spans="1:30">
      <c r="A74" s="79">
        <f t="shared" si="3"/>
        <v>73</v>
      </c>
      <c r="B74" s="283">
        <f>YEAR(Table5[[#This Row],[Date]])+IF(MONTH(Table5[[#This Row],[Date]])&gt;=4,1,0)</f>
        <v>2026</v>
      </c>
      <c r="C74" s="79">
        <f>YEAR(Table5[[#This Row],[Date]])</f>
        <v>2025</v>
      </c>
      <c r="D74" s="79" t="s">
        <v>344</v>
      </c>
      <c r="E74" s="284">
        <f>Table5[[#This Row],[Date]]-DAY(Table5[[#This Row],[Date]])+1</f>
        <v>45748</v>
      </c>
      <c r="F74" s="285">
        <v>45773</v>
      </c>
      <c r="G74" s="79" t="s">
        <v>82</v>
      </c>
      <c r="H74" s="23" t="str">
        <f>IFERROR(_xlfn.XLOOKUP(Table5[[#This Row],[Affected WTG]],'Basic Data'!$A:$A,'Basic Data'!$B:$B),"")</f>
        <v>PWEPL</v>
      </c>
      <c r="I74" s="23" t="str">
        <f>IFERROR(_xlfn.XLOOKUP(Table5[[#This Row],[Affected WTG]],'Basic Data'!$A:$A,'Basic Data'!$C:$C),"")</f>
        <v>MSEDCL</v>
      </c>
      <c r="J74" s="286">
        <f>IFERROR(_xlfn.XLOOKUP(Table5[[#This Row],[Affected WTG]],'Basic Data'!$A:$A,'Basic Data'!$E:$E),"")</f>
        <v>2.2727272727272728E-2</v>
      </c>
      <c r="K74" s="79">
        <v>3</v>
      </c>
      <c r="L74" s="23" t="str">
        <f>IFERROR(_xlfn.XLOOKUP(Table5[[#This Row],[Error Code]],'Basic Data'!$W:$W,'Basic Data'!$X:$X),"Incorrect Error Code")</f>
        <v>Manual Stop</v>
      </c>
      <c r="M74" s="23" t="s">
        <v>387</v>
      </c>
      <c r="N74" s="23"/>
      <c r="O74" s="287">
        <v>0.49652777777777773</v>
      </c>
      <c r="P74" s="287">
        <v>0.49652777777777773</v>
      </c>
      <c r="Q74" s="287">
        <v>0.54652777777777783</v>
      </c>
      <c r="R74" s="91">
        <f t="shared" si="2"/>
        <v>5.00000000000001E-2</v>
      </c>
      <c r="S74" s="91">
        <f>(Table5[[#This Row],[Fault Clearance time]]-Table5[[#This Row],[Work Start TimeStamp]])*24</f>
        <v>1.2000000000000024</v>
      </c>
      <c r="T74" s="91">
        <f>(Table5[[#This Row],[Fault Clearance time]]-Table5[[#This Row],[Fault Start TimeStamp]])*24</f>
        <v>1.2000000000000024</v>
      </c>
      <c r="U74" s="23" t="s">
        <v>388</v>
      </c>
      <c r="V74" s="79" t="s">
        <v>339</v>
      </c>
      <c r="W74" s="289">
        <f>IFERROR(Table5[[#This Row],[Breakdown Time]]*Table5[[#This Row],[Plant Equivalent Weightage]],"")</f>
        <v>2.7272727272727327E-2</v>
      </c>
      <c r="X74" s="289" t="s">
        <v>340</v>
      </c>
      <c r="Y74" s="290" t="s">
        <v>93</v>
      </c>
      <c r="Z74" s="79"/>
      <c r="AA74" s="283">
        <v>167</v>
      </c>
      <c r="AB74" s="79"/>
      <c r="AC74" s="23"/>
      <c r="AD74" s="23"/>
    </row>
    <row r="75" spans="1:30">
      <c r="A75" s="79">
        <f t="shared" si="3"/>
        <v>74</v>
      </c>
      <c r="B75" s="283">
        <f>YEAR(Table5[[#This Row],[Date]])+IF(MONTH(Table5[[#This Row],[Date]])&gt;=4,1,0)</f>
        <v>2026</v>
      </c>
      <c r="C75" s="79">
        <f>YEAR(Table5[[#This Row],[Date]])</f>
        <v>2025</v>
      </c>
      <c r="D75" s="79" t="s">
        <v>344</v>
      </c>
      <c r="E75" s="284">
        <f>Table5[[#This Row],[Date]]-DAY(Table5[[#This Row],[Date]])+1</f>
        <v>45748</v>
      </c>
      <c r="F75" s="285">
        <v>45774</v>
      </c>
      <c r="G75" s="79" t="s">
        <v>108</v>
      </c>
      <c r="H75" s="23" t="str">
        <f>IFERROR(_xlfn.XLOOKUP(Table5[[#This Row],[Affected WTG]],'Basic Data'!$A:$A,'Basic Data'!$B:$B),"")</f>
        <v>PWEPL</v>
      </c>
      <c r="I75" s="23" t="str">
        <f>IFERROR(_xlfn.XLOOKUP(Table5[[#This Row],[Affected WTG]],'Basic Data'!$A:$A,'Basic Data'!$C:$C),"")</f>
        <v>MSEDCL</v>
      </c>
      <c r="J75" s="286">
        <f>IFERROR(_xlfn.XLOOKUP(Table5[[#This Row],[Affected WTG]],'Basic Data'!$A:$A,'Basic Data'!$E:$E),"")</f>
        <v>2.2727272727272728E-2</v>
      </c>
      <c r="K75" s="79" t="s">
        <v>336</v>
      </c>
      <c r="L75" s="23" t="str">
        <f>IFERROR(_xlfn.XLOOKUP(Table5[[#This Row],[Error Code]],'Basic Data'!$W:$W,'Basic Data'!$X:$X),"Incorrect Error Code")</f>
        <v>Manual Stop - Preventive Maintenance Activity</v>
      </c>
      <c r="M75" s="23" t="s">
        <v>337</v>
      </c>
      <c r="N75" s="23"/>
      <c r="O75" s="287">
        <v>0.42986111111111108</v>
      </c>
      <c r="P75" s="287">
        <v>0.42986111111111108</v>
      </c>
      <c r="Q75" s="287">
        <v>0.71736111111111101</v>
      </c>
      <c r="R75" s="91">
        <f t="shared" si="2"/>
        <v>0.28749999999999992</v>
      </c>
      <c r="S75" s="91">
        <f>(Table5[[#This Row],[Fault Clearance time]]-Table5[[#This Row],[Work Start TimeStamp]])*24</f>
        <v>6.8999999999999986</v>
      </c>
      <c r="T75" s="91">
        <f>(Table5[[#This Row],[Fault Clearance time]]-Table5[[#This Row],[Fault Start TimeStamp]])*24</f>
        <v>6.8999999999999986</v>
      </c>
      <c r="U75" s="23" t="s">
        <v>338</v>
      </c>
      <c r="V75" s="79" t="s">
        <v>339</v>
      </c>
      <c r="W75" s="289">
        <f>IFERROR(Table5[[#This Row],[Breakdown Time]]*Table5[[#This Row],[Plant Equivalent Weightage]],"")</f>
        <v>0.1568181818181818</v>
      </c>
      <c r="X75" s="289" t="s">
        <v>340</v>
      </c>
      <c r="Y75" s="290" t="s">
        <v>80</v>
      </c>
      <c r="Z75" s="79"/>
      <c r="AA75" s="283">
        <v>1170</v>
      </c>
      <c r="AB75" s="79"/>
      <c r="AC75" s="23"/>
      <c r="AD75" s="23"/>
    </row>
    <row r="76" spans="1:30">
      <c r="A76" s="79">
        <f t="shared" si="3"/>
        <v>75</v>
      </c>
      <c r="B76" s="283">
        <f>YEAR(Table5[[#This Row],[Date]])+IF(MONTH(Table5[[#This Row],[Date]])&gt;=4,1,0)</f>
        <v>2026</v>
      </c>
      <c r="C76" s="79">
        <f>YEAR(Table5[[#This Row],[Date]])</f>
        <v>2025</v>
      </c>
      <c r="D76" s="79" t="s">
        <v>344</v>
      </c>
      <c r="E76" s="284">
        <f>Table5[[#This Row],[Date]]-DAY(Table5[[#This Row],[Date]])+1</f>
        <v>45748</v>
      </c>
      <c r="F76" s="285">
        <v>45775</v>
      </c>
      <c r="G76" s="79" t="s">
        <v>80</v>
      </c>
      <c r="H76" s="23" t="str">
        <f>IFERROR(_xlfn.XLOOKUP(Table5[[#This Row],[Affected WTG]],'Basic Data'!$A:$A,'Basic Data'!$B:$B),"")</f>
        <v>PWEPL</v>
      </c>
      <c r="I76" s="23" t="str">
        <f>IFERROR(_xlfn.XLOOKUP(Table5[[#This Row],[Affected WTG]],'Basic Data'!$A:$A,'Basic Data'!$C:$C),"")</f>
        <v>MSEDCL</v>
      </c>
      <c r="J76" s="286">
        <f>IFERROR(_xlfn.XLOOKUP(Table5[[#This Row],[Affected WTG]],'Basic Data'!$A:$A,'Basic Data'!$E:$E),"")</f>
        <v>2.2727272727272728E-2</v>
      </c>
      <c r="K76" s="79" t="s">
        <v>336</v>
      </c>
      <c r="L76" s="23" t="str">
        <f>IFERROR(_xlfn.XLOOKUP(Table5[[#This Row],[Error Code]],'Basic Data'!$W:$W,'Basic Data'!$X:$X),"Incorrect Error Code")</f>
        <v>Manual Stop - Preventive Maintenance Activity</v>
      </c>
      <c r="M76" s="23" t="s">
        <v>337</v>
      </c>
      <c r="N76" s="23"/>
      <c r="O76" s="287">
        <v>0.43124999999999997</v>
      </c>
      <c r="P76" s="287">
        <v>0.43124999999999997</v>
      </c>
      <c r="Q76" s="287">
        <v>0.7895833333333333</v>
      </c>
      <c r="R76" s="91">
        <f t="shared" si="2"/>
        <v>0.35833333333333334</v>
      </c>
      <c r="S76" s="91">
        <f>(Table5[[#This Row],[Fault Clearance time]]-Table5[[#This Row],[Work Start TimeStamp]])*24</f>
        <v>8.6</v>
      </c>
      <c r="T76" s="91">
        <f>(Table5[[#This Row],[Fault Clearance time]]-Table5[[#This Row],[Fault Start TimeStamp]])*24</f>
        <v>8.6</v>
      </c>
      <c r="U76" s="23" t="s">
        <v>338</v>
      </c>
      <c r="V76" s="79" t="s">
        <v>339</v>
      </c>
      <c r="W76" s="289">
        <f>IFERROR(Table5[[#This Row],[Breakdown Time]]*Table5[[#This Row],[Plant Equivalent Weightage]],"")</f>
        <v>0.19545454545454546</v>
      </c>
      <c r="X76" s="289" t="s">
        <v>340</v>
      </c>
      <c r="Y76" s="290" t="s">
        <v>108</v>
      </c>
      <c r="Z76" s="79"/>
      <c r="AA76" s="283">
        <v>2101</v>
      </c>
      <c r="AB76" s="79"/>
      <c r="AC76" s="23"/>
      <c r="AD76" s="23"/>
    </row>
    <row r="77" spans="1:30">
      <c r="A77" s="79">
        <f t="shared" si="3"/>
        <v>76</v>
      </c>
      <c r="B77" s="283">
        <f>YEAR(Table5[[#This Row],[Date]])+IF(MONTH(Table5[[#This Row],[Date]])&gt;=4,1,0)</f>
        <v>2026</v>
      </c>
      <c r="C77" s="79">
        <f>YEAR(Table5[[#This Row],[Date]])</f>
        <v>2025</v>
      </c>
      <c r="D77" s="79" t="s">
        <v>344</v>
      </c>
      <c r="E77" s="284">
        <f>Table5[[#This Row],[Date]]-DAY(Table5[[#This Row],[Date]])+1</f>
        <v>45748</v>
      </c>
      <c r="F77" s="285">
        <v>45775</v>
      </c>
      <c r="G77" s="79" t="s">
        <v>116</v>
      </c>
      <c r="H77" s="23" t="str">
        <f>IFERROR(_xlfn.XLOOKUP(Table5[[#This Row],[Affected WTG]],'Basic Data'!$A:$A,'Basic Data'!$B:$B),"")</f>
        <v>PWEPL</v>
      </c>
      <c r="I77" s="23" t="str">
        <f>IFERROR(_xlfn.XLOOKUP(Table5[[#This Row],[Affected WTG]],'Basic Data'!$A:$A,'Basic Data'!$C:$C),"")</f>
        <v>MSEDCL</v>
      </c>
      <c r="J77" s="286">
        <f>IFERROR(_xlfn.XLOOKUP(Table5[[#This Row],[Affected WTG]],'Basic Data'!$A:$A,'Basic Data'!$E:$E),"")</f>
        <v>2.2727272727272728E-2</v>
      </c>
      <c r="K77" s="79">
        <v>60</v>
      </c>
      <c r="L77" s="23" t="str">
        <f>IFERROR(_xlfn.XLOOKUP(Table5[[#This Row],[Error Code]],'Basic Data'!$W:$W,'Basic Data'!$X:$X),"Incorrect Error Code")</f>
        <v>Yaw limit switch activated</v>
      </c>
      <c r="M77" s="23" t="s">
        <v>357</v>
      </c>
      <c r="N77" s="23"/>
      <c r="O77" s="287">
        <v>0.51388888888888895</v>
      </c>
      <c r="P77" s="287">
        <v>0.51388888888888895</v>
      </c>
      <c r="Q77" s="287">
        <v>0.57638888888888895</v>
      </c>
      <c r="R77" s="91">
        <f t="shared" si="2"/>
        <v>6.25E-2</v>
      </c>
      <c r="S77" s="91">
        <f>(Table5[[#This Row],[Fault Clearance time]]-Table5[[#This Row],[Work Start TimeStamp]])*24</f>
        <v>1.5</v>
      </c>
      <c r="T77" s="91">
        <f>(Table5[[#This Row],[Fault Clearance time]]-Table5[[#This Row],[Fault Start TimeStamp]])*24</f>
        <v>1.5</v>
      </c>
      <c r="U77" s="23" t="s">
        <v>358</v>
      </c>
      <c r="V77" s="79" t="s">
        <v>339</v>
      </c>
      <c r="W77" s="289">
        <f>IFERROR(Table5[[#This Row],[Breakdown Time]]*Table5[[#This Row],[Plant Equivalent Weightage]],"")</f>
        <v>3.4090909090909088E-2</v>
      </c>
      <c r="X77" s="289" t="s">
        <v>343</v>
      </c>
      <c r="Y77" s="290" t="s">
        <v>117</v>
      </c>
      <c r="Z77" s="79"/>
      <c r="AA77" s="283">
        <v>96</v>
      </c>
      <c r="AB77" s="79"/>
      <c r="AC77" s="23"/>
      <c r="AD77" s="23"/>
    </row>
    <row r="78" spans="1:30">
      <c r="A78" s="79">
        <f t="shared" si="3"/>
        <v>77</v>
      </c>
      <c r="B78" s="283">
        <f>YEAR(Table5[[#This Row],[Date]])+IF(MONTH(Table5[[#This Row],[Date]])&gt;=4,1,0)</f>
        <v>2026</v>
      </c>
      <c r="C78" s="79">
        <f>YEAR(Table5[[#This Row],[Date]])</f>
        <v>2025</v>
      </c>
      <c r="D78" s="79" t="s">
        <v>344</v>
      </c>
      <c r="E78" s="284">
        <f>Table5[[#This Row],[Date]]-DAY(Table5[[#This Row],[Date]])+1</f>
        <v>45748</v>
      </c>
      <c r="F78" s="285">
        <v>45776</v>
      </c>
      <c r="G78" s="79" t="s">
        <v>107</v>
      </c>
      <c r="H78" s="23" t="str">
        <f>IFERROR(_xlfn.XLOOKUP(Table5[[#This Row],[Affected WTG]],'Basic Data'!$A:$A,'Basic Data'!$B:$B),"")</f>
        <v>PWEPL</v>
      </c>
      <c r="I78" s="23" t="str">
        <f>IFERROR(_xlfn.XLOOKUP(Table5[[#This Row],[Affected WTG]],'Basic Data'!$A:$A,'Basic Data'!$C:$C),"")</f>
        <v>MSEDCL</v>
      </c>
      <c r="J78" s="286">
        <f>IFERROR(_xlfn.XLOOKUP(Table5[[#This Row],[Affected WTG]],'Basic Data'!$A:$A,'Basic Data'!$E:$E),"")</f>
        <v>2.2727272727272728E-2</v>
      </c>
      <c r="K78" s="79" t="s">
        <v>336</v>
      </c>
      <c r="L78" s="23" t="str">
        <f>IFERROR(_xlfn.XLOOKUP(Table5[[#This Row],[Error Code]],'Basic Data'!$W:$W,'Basic Data'!$X:$X),"Incorrect Error Code")</f>
        <v>Manual Stop - Preventive Maintenance Activity</v>
      </c>
      <c r="M78" s="23" t="s">
        <v>337</v>
      </c>
      <c r="N78" s="23"/>
      <c r="O78" s="287">
        <v>0.36180555555555555</v>
      </c>
      <c r="P78" s="287">
        <v>0.36180555555555555</v>
      </c>
      <c r="Q78" s="287">
        <v>0.69652777777777775</v>
      </c>
      <c r="R78" s="91">
        <f t="shared" si="2"/>
        <v>0.3347222222222222</v>
      </c>
      <c r="S78" s="91">
        <f>(Table5[[#This Row],[Fault Clearance time]]-Table5[[#This Row],[Work Start TimeStamp]])*24</f>
        <v>8.0333333333333332</v>
      </c>
      <c r="T78" s="91">
        <f>(Table5[[#This Row],[Fault Clearance time]]-Table5[[#This Row],[Fault Start TimeStamp]])*24</f>
        <v>8.0333333333333332</v>
      </c>
      <c r="U78" s="23" t="s">
        <v>338</v>
      </c>
      <c r="V78" s="79" t="s">
        <v>339</v>
      </c>
      <c r="W78" s="289">
        <f>IFERROR(Table5[[#This Row],[Breakdown Time]]*Table5[[#This Row],[Plant Equivalent Weightage]],"")</f>
        <v>0.18257575757575759</v>
      </c>
      <c r="X78" s="289" t="s">
        <v>340</v>
      </c>
      <c r="Y78" s="290" t="s">
        <v>80</v>
      </c>
      <c r="Z78" s="79"/>
      <c r="AA78" s="283">
        <v>1659</v>
      </c>
      <c r="AB78" s="79"/>
      <c r="AC78" s="23"/>
      <c r="AD78" s="23"/>
    </row>
    <row r="79" spans="1:30">
      <c r="A79" s="79">
        <f t="shared" si="3"/>
        <v>78</v>
      </c>
      <c r="B79" s="283">
        <f>YEAR(Table5[[#This Row],[Date]])+IF(MONTH(Table5[[#This Row],[Date]])&gt;=4,1,0)</f>
        <v>2026</v>
      </c>
      <c r="C79" s="79">
        <f>YEAR(Table5[[#This Row],[Date]])</f>
        <v>2025</v>
      </c>
      <c r="D79" s="79" t="s">
        <v>344</v>
      </c>
      <c r="E79" s="284">
        <f>Table5[[#This Row],[Date]]-DAY(Table5[[#This Row],[Date]])+1</f>
        <v>45748</v>
      </c>
      <c r="F79" s="285">
        <v>45776</v>
      </c>
      <c r="G79" s="79" t="s">
        <v>104</v>
      </c>
      <c r="H79" s="23" t="str">
        <f>IFERROR(_xlfn.XLOOKUP(Table5[[#This Row],[Affected WTG]],'Basic Data'!$A:$A,'Basic Data'!$B:$B),"")</f>
        <v>PWEPL</v>
      </c>
      <c r="I79" s="23" t="str">
        <f>IFERROR(_xlfn.XLOOKUP(Table5[[#This Row],[Affected WTG]],'Basic Data'!$A:$A,'Basic Data'!$C:$C),"")</f>
        <v>MSEDCL</v>
      </c>
      <c r="J79" s="286">
        <f>IFERROR(_xlfn.XLOOKUP(Table5[[#This Row],[Affected WTG]],'Basic Data'!$A:$A,'Basic Data'!$E:$E),"")</f>
        <v>2.2727272727272728E-2</v>
      </c>
      <c r="K79" s="79">
        <v>201</v>
      </c>
      <c r="L79" s="23" t="str">
        <f>IFERROR(_xlfn.XLOOKUP(Table5[[#This Row],[Error Code]],'Basic Data'!$W:$W,'Basic Data'!$X:$X),"Incorrect Error Code")</f>
        <v xml:space="preserve"> PLC fault 24V Supply</v>
      </c>
      <c r="M79" s="23" t="s">
        <v>366</v>
      </c>
      <c r="N79" s="23"/>
      <c r="O79" s="287">
        <v>0.45902777777777781</v>
      </c>
      <c r="P79" s="287">
        <v>0.45902777777777781</v>
      </c>
      <c r="Q79" s="287">
        <v>0.46319444444444446</v>
      </c>
      <c r="R79" s="91">
        <f t="shared" si="2"/>
        <v>4.1666666666666519E-3</v>
      </c>
      <c r="S79" s="91">
        <f>(Table5[[#This Row],[Fault Clearance time]]-Table5[[#This Row],[Work Start TimeStamp]])*24</f>
        <v>9.9999999999999645E-2</v>
      </c>
      <c r="T79" s="91">
        <f>(Table5[[#This Row],[Fault Clearance time]]-Table5[[#This Row],[Fault Start TimeStamp]])*24</f>
        <v>9.9999999999999645E-2</v>
      </c>
      <c r="U79" s="23" t="s">
        <v>353</v>
      </c>
      <c r="V79" s="79" t="s">
        <v>339</v>
      </c>
      <c r="W79" s="289">
        <f>IFERROR(Table5[[#This Row],[Breakdown Time]]*Table5[[#This Row],[Plant Equivalent Weightage]],"")</f>
        <v>2.2727272727272648E-3</v>
      </c>
      <c r="X79" s="289" t="s">
        <v>343</v>
      </c>
      <c r="Y79" s="290" t="s">
        <v>79</v>
      </c>
      <c r="Z79" s="79"/>
      <c r="AA79" s="283">
        <v>0</v>
      </c>
      <c r="AB79" s="79"/>
      <c r="AC79" s="23"/>
      <c r="AD79" s="23"/>
    </row>
    <row r="80" spans="1:30">
      <c r="A80" s="79">
        <f t="shared" si="3"/>
        <v>79</v>
      </c>
      <c r="B80" s="283">
        <f>YEAR(Table5[[#This Row],[Date]])+IF(MONTH(Table5[[#This Row],[Date]])&gt;=4,1,0)</f>
        <v>2026</v>
      </c>
      <c r="C80" s="79">
        <f>YEAR(Table5[[#This Row],[Date]])</f>
        <v>2025</v>
      </c>
      <c r="D80" s="79" t="s">
        <v>344</v>
      </c>
      <c r="E80" s="284">
        <f>Table5[[#This Row],[Date]]-DAY(Table5[[#This Row],[Date]])+1</f>
        <v>45748</v>
      </c>
      <c r="F80" s="285">
        <v>45777</v>
      </c>
      <c r="G80" s="79" t="s">
        <v>87</v>
      </c>
      <c r="H80" s="23" t="str">
        <f>IFERROR(_xlfn.XLOOKUP(Table5[[#This Row],[Affected WTG]],'Basic Data'!$A:$A,'Basic Data'!$B:$B),"")</f>
        <v>PWEPL</v>
      </c>
      <c r="I80" s="23" t="str">
        <f>IFERROR(_xlfn.XLOOKUP(Table5[[#This Row],[Affected WTG]],'Basic Data'!$A:$A,'Basic Data'!$C:$C),"")</f>
        <v>MSEDCL</v>
      </c>
      <c r="J80" s="286">
        <f>IFERROR(_xlfn.XLOOKUP(Table5[[#This Row],[Affected WTG]],'Basic Data'!$A:$A,'Basic Data'!$E:$E),"")</f>
        <v>2.2727272727272728E-2</v>
      </c>
      <c r="K80" s="79">
        <v>275</v>
      </c>
      <c r="L80" s="23" t="str">
        <f>IFERROR(_xlfn.XLOOKUP(Table5[[#This Row],[Error Code]],'Basic Data'!$W:$W,'Basic Data'!$X:$X),"Incorrect Error Code")</f>
        <v>Pitch thyristor 2 fault</v>
      </c>
      <c r="M80" s="23" t="s">
        <v>389</v>
      </c>
      <c r="N80" s="23"/>
      <c r="O80" s="287">
        <v>0.2638888888888889</v>
      </c>
      <c r="P80" s="287">
        <v>0.2638888888888889</v>
      </c>
      <c r="Q80" s="287">
        <v>0.50416666666666665</v>
      </c>
      <c r="R80" s="91">
        <f t="shared" si="2"/>
        <v>0.24027777777777776</v>
      </c>
      <c r="S80" s="91">
        <f>(Table5[[#This Row],[Fault Clearance time]]-Table5[[#This Row],[Work Start TimeStamp]])*24</f>
        <v>5.7666666666666657</v>
      </c>
      <c r="T80" s="91">
        <f>(Table5[[#This Row],[Fault Clearance time]]-Table5[[#This Row],[Fault Start TimeStamp]])*24</f>
        <v>5.7666666666666657</v>
      </c>
      <c r="U80" s="23" t="s">
        <v>390</v>
      </c>
      <c r="V80" s="79" t="s">
        <v>339</v>
      </c>
      <c r="W80" s="289">
        <f>IFERROR(Table5[[#This Row],[Breakdown Time]]*Table5[[#This Row],[Plant Equivalent Weightage]],"")</f>
        <v>0.13106060606060604</v>
      </c>
      <c r="X80" s="289" t="s">
        <v>343</v>
      </c>
      <c r="Y80" s="290" t="s">
        <v>86</v>
      </c>
      <c r="Z80" s="79"/>
      <c r="AA80" s="283">
        <v>354</v>
      </c>
      <c r="AB80" s="79"/>
      <c r="AC80" s="23"/>
      <c r="AD80" s="23"/>
    </row>
    <row r="81" spans="1:30">
      <c r="A81" s="79">
        <f t="shared" si="3"/>
        <v>80</v>
      </c>
      <c r="B81" s="283">
        <f>YEAR(Table5[[#This Row],[Date]])+IF(MONTH(Table5[[#This Row],[Date]])&gt;=4,1,0)</f>
        <v>2026</v>
      </c>
      <c r="C81" s="79">
        <f>YEAR(Table5[[#This Row],[Date]])</f>
        <v>2025</v>
      </c>
      <c r="D81" s="79" t="s">
        <v>344</v>
      </c>
      <c r="E81" s="284">
        <f>Table5[[#This Row],[Date]]-DAY(Table5[[#This Row],[Date]])+1</f>
        <v>45748</v>
      </c>
      <c r="F81" s="285">
        <v>45777</v>
      </c>
      <c r="G81" s="79" t="s">
        <v>82</v>
      </c>
      <c r="H81" s="23" t="str">
        <f>IFERROR(_xlfn.XLOOKUP(Table5[[#This Row],[Affected WTG]],'Basic Data'!$A:$A,'Basic Data'!$B:$B),"")</f>
        <v>PWEPL</v>
      </c>
      <c r="I81" s="23" t="str">
        <f>IFERROR(_xlfn.XLOOKUP(Table5[[#This Row],[Affected WTG]],'Basic Data'!$A:$A,'Basic Data'!$C:$C),"")</f>
        <v>MSEDCL</v>
      </c>
      <c r="J81" s="286">
        <f>IFERROR(_xlfn.XLOOKUP(Table5[[#This Row],[Affected WTG]],'Basic Data'!$A:$A,'Basic Data'!$E:$E),"")</f>
        <v>2.2727272727272728E-2</v>
      </c>
      <c r="K81" s="79" t="s">
        <v>336</v>
      </c>
      <c r="L81" s="23" t="str">
        <f>IFERROR(_xlfn.XLOOKUP(Table5[[#This Row],[Error Code]],'Basic Data'!$W:$W,'Basic Data'!$X:$X),"Incorrect Error Code")</f>
        <v>Manual Stop - Preventive Maintenance Activity</v>
      </c>
      <c r="M81" s="23" t="s">
        <v>350</v>
      </c>
      <c r="N81" s="23"/>
      <c r="O81" s="287">
        <v>0.51041666666666663</v>
      </c>
      <c r="P81" s="287">
        <v>0.51041666666666663</v>
      </c>
      <c r="Q81" s="287">
        <v>0.54513888888888895</v>
      </c>
      <c r="R81" s="91">
        <f t="shared" si="2"/>
        <v>3.4722222222222321E-2</v>
      </c>
      <c r="S81" s="91">
        <f>(Table5[[#This Row],[Fault Clearance time]]-Table5[[#This Row],[Work Start TimeStamp]])*24</f>
        <v>0.8333333333333357</v>
      </c>
      <c r="T81" s="91">
        <f>(Table5[[#This Row],[Fault Clearance time]]-Table5[[#This Row],[Fault Start TimeStamp]])*24</f>
        <v>0.8333333333333357</v>
      </c>
      <c r="U81" s="23" t="s">
        <v>351</v>
      </c>
      <c r="V81" s="79" t="s">
        <v>339</v>
      </c>
      <c r="W81" s="289">
        <f>IFERROR(Table5[[#This Row],[Breakdown Time]]*Table5[[#This Row],[Plant Equivalent Weightage]],"")</f>
        <v>1.8939393939393995E-2</v>
      </c>
      <c r="X81" s="289" t="s">
        <v>340</v>
      </c>
      <c r="Y81" s="290" t="s">
        <v>93</v>
      </c>
      <c r="Z81" s="79"/>
      <c r="AA81" s="283">
        <v>282</v>
      </c>
      <c r="AB81" s="79"/>
      <c r="AC81" s="23"/>
      <c r="AD81" s="23"/>
    </row>
    <row r="82" spans="1:30">
      <c r="A82" s="79">
        <f t="shared" si="3"/>
        <v>81</v>
      </c>
      <c r="B82" s="283">
        <f>YEAR(Table5[[#This Row],[Date]])+IF(MONTH(Table5[[#This Row],[Date]])&gt;=4,1,0)</f>
        <v>2026</v>
      </c>
      <c r="C82" s="79">
        <f>YEAR(Table5[[#This Row],[Date]])</f>
        <v>2025</v>
      </c>
      <c r="D82" s="79" t="s">
        <v>344</v>
      </c>
      <c r="E82" s="284">
        <f>Table5[[#This Row],[Date]]-DAY(Table5[[#This Row],[Date]])+1</f>
        <v>45748</v>
      </c>
      <c r="F82" s="285">
        <v>45777</v>
      </c>
      <c r="G82" s="79" t="s">
        <v>119</v>
      </c>
      <c r="H82" s="23" t="str">
        <f>IFERROR(_xlfn.XLOOKUP(Table5[[#This Row],[Affected WTG]],'Basic Data'!$A:$A,'Basic Data'!$B:$B),"")</f>
        <v>PWEPL</v>
      </c>
      <c r="I82" s="23" t="str">
        <f>IFERROR(_xlfn.XLOOKUP(Table5[[#This Row],[Affected WTG]],'Basic Data'!$A:$A,'Basic Data'!$C:$C),"")</f>
        <v>MSEDCL</v>
      </c>
      <c r="J82" s="286">
        <f>IFERROR(_xlfn.XLOOKUP(Table5[[#This Row],[Affected WTG]],'Basic Data'!$A:$A,'Basic Data'!$E:$E),"")</f>
        <v>2.2727272727272728E-2</v>
      </c>
      <c r="K82" s="79" t="s">
        <v>336</v>
      </c>
      <c r="L82" s="23" t="str">
        <f>IFERROR(_xlfn.XLOOKUP(Table5[[#This Row],[Error Code]],'Basic Data'!$W:$W,'Basic Data'!$X:$X),"Incorrect Error Code")</f>
        <v>Manual Stop - Preventive Maintenance Activity</v>
      </c>
      <c r="M82" s="23" t="s">
        <v>350</v>
      </c>
      <c r="N82" s="23"/>
      <c r="O82" s="287">
        <v>0.55208333333333337</v>
      </c>
      <c r="P82" s="287">
        <v>0.55208333333333337</v>
      </c>
      <c r="Q82" s="287">
        <v>0.57777777777777783</v>
      </c>
      <c r="R82" s="91">
        <f t="shared" si="2"/>
        <v>2.5694444444444464E-2</v>
      </c>
      <c r="S82" s="91">
        <f>(Table5[[#This Row],[Fault Clearance time]]-Table5[[#This Row],[Work Start TimeStamp]])*24</f>
        <v>0.61666666666666714</v>
      </c>
      <c r="T82" s="91">
        <f>(Table5[[#This Row],[Fault Clearance time]]-Table5[[#This Row],[Fault Start TimeStamp]])*24</f>
        <v>0.61666666666666714</v>
      </c>
      <c r="U82" s="23" t="s">
        <v>351</v>
      </c>
      <c r="V82" s="79" t="s">
        <v>339</v>
      </c>
      <c r="W82" s="289">
        <f>IFERROR(Table5[[#This Row],[Breakdown Time]]*Table5[[#This Row],[Plant Equivalent Weightage]],"")</f>
        <v>1.4015151515151526E-2</v>
      </c>
      <c r="X82" s="289" t="s">
        <v>340</v>
      </c>
      <c r="Y82" s="290" t="s">
        <v>118</v>
      </c>
      <c r="Z82" s="79"/>
      <c r="AA82" s="283">
        <v>235</v>
      </c>
      <c r="AB82" s="79"/>
      <c r="AC82" s="23"/>
      <c r="AD82" s="23"/>
    </row>
    <row r="83" spans="1:30">
      <c r="A83" s="79">
        <f t="shared" si="3"/>
        <v>82</v>
      </c>
      <c r="B83" s="283">
        <f>YEAR(Table5[[#This Row],[Date]])+IF(MONTH(Table5[[#This Row],[Date]])&gt;=4,1,0)</f>
        <v>2026</v>
      </c>
      <c r="C83" s="79">
        <f>YEAR(Table5[[#This Row],[Date]])</f>
        <v>2025</v>
      </c>
      <c r="D83" s="79" t="s">
        <v>344</v>
      </c>
      <c r="E83" s="284">
        <f>Table5[[#This Row],[Date]]-DAY(Table5[[#This Row],[Date]])+1</f>
        <v>45748</v>
      </c>
      <c r="F83" s="285">
        <v>45777</v>
      </c>
      <c r="G83" s="79" t="s">
        <v>118</v>
      </c>
      <c r="H83" s="23" t="str">
        <f>IFERROR(_xlfn.XLOOKUP(Table5[[#This Row],[Affected WTG]],'Basic Data'!$A:$A,'Basic Data'!$B:$B),"")</f>
        <v>PWEPL</v>
      </c>
      <c r="I83" s="23" t="str">
        <f>IFERROR(_xlfn.XLOOKUP(Table5[[#This Row],[Affected WTG]],'Basic Data'!$A:$A,'Basic Data'!$C:$C),"")</f>
        <v>MSEDCL</v>
      </c>
      <c r="J83" s="286">
        <f>IFERROR(_xlfn.XLOOKUP(Table5[[#This Row],[Affected WTG]],'Basic Data'!$A:$A,'Basic Data'!$E:$E),"")</f>
        <v>2.2727272727272728E-2</v>
      </c>
      <c r="K83" s="79" t="s">
        <v>336</v>
      </c>
      <c r="L83" s="23" t="str">
        <f>IFERROR(_xlfn.XLOOKUP(Table5[[#This Row],[Error Code]],'Basic Data'!$W:$W,'Basic Data'!$X:$X),"Incorrect Error Code")</f>
        <v>Manual Stop - Preventive Maintenance Activity</v>
      </c>
      <c r="M83" s="23" t="s">
        <v>350</v>
      </c>
      <c r="N83" s="23"/>
      <c r="O83" s="287">
        <v>0.62569444444444444</v>
      </c>
      <c r="P83" s="287">
        <v>0.62569444444444444</v>
      </c>
      <c r="Q83" s="287">
        <v>0.65138888888888891</v>
      </c>
      <c r="R83" s="91">
        <f t="shared" si="2"/>
        <v>2.5694444444444464E-2</v>
      </c>
      <c r="S83" s="91">
        <f>(Table5[[#This Row],[Fault Clearance time]]-Table5[[#This Row],[Work Start TimeStamp]])*24</f>
        <v>0.61666666666666714</v>
      </c>
      <c r="T83" s="91">
        <f>(Table5[[#This Row],[Fault Clearance time]]-Table5[[#This Row],[Fault Start TimeStamp]])*24</f>
        <v>0.61666666666666714</v>
      </c>
      <c r="U83" s="23" t="s">
        <v>351</v>
      </c>
      <c r="V83" s="79" t="s">
        <v>339</v>
      </c>
      <c r="W83" s="289">
        <f>IFERROR(Table5[[#This Row],[Breakdown Time]]*Table5[[#This Row],[Plant Equivalent Weightage]],"")</f>
        <v>1.4015151515151526E-2</v>
      </c>
      <c r="X83" s="289" t="s">
        <v>340</v>
      </c>
      <c r="Y83" s="290" t="s">
        <v>119</v>
      </c>
      <c r="Z83" s="79"/>
      <c r="AA83" s="283">
        <v>302</v>
      </c>
      <c r="AB83" s="79"/>
      <c r="AC83" s="23"/>
      <c r="AD83" s="23"/>
    </row>
    <row r="84" spans="1:30">
      <c r="A84" s="79">
        <f t="shared" si="3"/>
        <v>83</v>
      </c>
      <c r="B84" s="283">
        <f>YEAR(Table5[[#This Row],[Date]])+IF(MONTH(Table5[[#This Row],[Date]])&gt;=4,1,0)</f>
        <v>2026</v>
      </c>
      <c r="C84" s="79">
        <f>YEAR(Table5[[#This Row],[Date]])</f>
        <v>2025</v>
      </c>
      <c r="D84" s="79" t="s">
        <v>344</v>
      </c>
      <c r="E84" s="284">
        <f>Table5[[#This Row],[Date]]-DAY(Table5[[#This Row],[Date]])+1</f>
        <v>45748</v>
      </c>
      <c r="F84" s="285">
        <v>45777</v>
      </c>
      <c r="G84" s="79" t="s">
        <v>111</v>
      </c>
      <c r="H84" s="23" t="str">
        <f>IFERROR(_xlfn.XLOOKUP(Table5[[#This Row],[Affected WTG]],'Basic Data'!$A:$A,'Basic Data'!$B:$B),"")</f>
        <v>PWEPL</v>
      </c>
      <c r="I84" s="23" t="str">
        <f>IFERROR(_xlfn.XLOOKUP(Table5[[#This Row],[Affected WTG]],'Basic Data'!$A:$A,'Basic Data'!$C:$C),"")</f>
        <v>MSEDCL</v>
      </c>
      <c r="J84" s="286">
        <f>IFERROR(_xlfn.XLOOKUP(Table5[[#This Row],[Affected WTG]],'Basic Data'!$A:$A,'Basic Data'!$E:$E),"")</f>
        <v>2.2727272727272728E-2</v>
      </c>
      <c r="K84" s="79" t="s">
        <v>336</v>
      </c>
      <c r="L84" s="23" t="str">
        <f>IFERROR(_xlfn.XLOOKUP(Table5[[#This Row],[Error Code]],'Basic Data'!$W:$W,'Basic Data'!$X:$X),"Incorrect Error Code")</f>
        <v>Manual Stop - Preventive Maintenance Activity</v>
      </c>
      <c r="M84" s="23" t="s">
        <v>350</v>
      </c>
      <c r="N84" s="23"/>
      <c r="O84" s="287">
        <v>0.66319444444444442</v>
      </c>
      <c r="P84" s="287">
        <v>0.66319444444444442</v>
      </c>
      <c r="Q84" s="287">
        <v>0.69374999999999998</v>
      </c>
      <c r="R84" s="91">
        <f t="shared" si="2"/>
        <v>3.0555555555555558E-2</v>
      </c>
      <c r="S84" s="91">
        <f>(Table5[[#This Row],[Fault Clearance time]]-Table5[[#This Row],[Work Start TimeStamp]])*24</f>
        <v>0.73333333333333339</v>
      </c>
      <c r="T84" s="91">
        <f>(Table5[[#This Row],[Fault Clearance time]]-Table5[[#This Row],[Fault Start TimeStamp]])*24</f>
        <v>0.73333333333333339</v>
      </c>
      <c r="U84" s="23" t="s">
        <v>351</v>
      </c>
      <c r="V84" s="79" t="s">
        <v>339</v>
      </c>
      <c r="W84" s="289">
        <f>IFERROR(Table5[[#This Row],[Breakdown Time]]*Table5[[#This Row],[Plant Equivalent Weightage]],"")</f>
        <v>1.666666666666667E-2</v>
      </c>
      <c r="X84" s="289" t="s">
        <v>340</v>
      </c>
      <c r="Y84" s="290" t="s">
        <v>112</v>
      </c>
      <c r="Z84" s="79"/>
      <c r="AA84" s="283">
        <v>470</v>
      </c>
      <c r="AB84" s="79"/>
      <c r="AC84" s="23"/>
      <c r="AD84" s="23"/>
    </row>
    <row r="85" spans="1:30">
      <c r="A85" s="79">
        <f t="shared" si="3"/>
        <v>84</v>
      </c>
      <c r="B85" s="283">
        <f>YEAR(Table5[[#This Row],[Date]])+IF(MONTH(Table5[[#This Row],[Date]])&gt;=4,1,0)</f>
        <v>2026</v>
      </c>
      <c r="C85" s="79">
        <f>YEAR(Table5[[#This Row],[Date]])</f>
        <v>2025</v>
      </c>
      <c r="D85" s="79" t="s">
        <v>344</v>
      </c>
      <c r="E85" s="284">
        <f>Table5[[#This Row],[Date]]-DAY(Table5[[#This Row],[Date]])+1</f>
        <v>45748</v>
      </c>
      <c r="F85" s="285">
        <v>45777</v>
      </c>
      <c r="G85" s="79" t="s">
        <v>112</v>
      </c>
      <c r="H85" s="23" t="str">
        <f>IFERROR(_xlfn.XLOOKUP(Table5[[#This Row],[Affected WTG]],'Basic Data'!$A:$A,'Basic Data'!$B:$B),"")</f>
        <v>PWEPL</v>
      </c>
      <c r="I85" s="23" t="str">
        <f>IFERROR(_xlfn.XLOOKUP(Table5[[#This Row],[Affected WTG]],'Basic Data'!$A:$A,'Basic Data'!$C:$C),"")</f>
        <v>MSEDCL</v>
      </c>
      <c r="J85" s="286">
        <f>IFERROR(_xlfn.XLOOKUP(Table5[[#This Row],[Affected WTG]],'Basic Data'!$A:$A,'Basic Data'!$E:$E),"")</f>
        <v>2.2727272727272728E-2</v>
      </c>
      <c r="K85" s="79" t="s">
        <v>336</v>
      </c>
      <c r="L85" s="23" t="str">
        <f>IFERROR(_xlfn.XLOOKUP(Table5[[#This Row],[Error Code]],'Basic Data'!$W:$W,'Basic Data'!$X:$X),"Incorrect Error Code")</f>
        <v>Manual Stop - Preventive Maintenance Activity</v>
      </c>
      <c r="M85" s="23" t="s">
        <v>350</v>
      </c>
      <c r="N85" s="23"/>
      <c r="O85" s="287">
        <v>0.6972222222222223</v>
      </c>
      <c r="P85" s="287">
        <v>0.6972222222222223</v>
      </c>
      <c r="Q85" s="287">
        <v>0.72291666666666676</v>
      </c>
      <c r="R85" s="91">
        <f t="shared" si="2"/>
        <v>2.5694444444444464E-2</v>
      </c>
      <c r="S85" s="91">
        <f>(Table5[[#This Row],[Fault Clearance time]]-Table5[[#This Row],[Work Start TimeStamp]])*24</f>
        <v>0.61666666666666714</v>
      </c>
      <c r="T85" s="91">
        <f>(Table5[[#This Row],[Fault Clearance time]]-Table5[[#This Row],[Fault Start TimeStamp]])*24</f>
        <v>0.61666666666666714</v>
      </c>
      <c r="U85" s="23" t="s">
        <v>351</v>
      </c>
      <c r="V85" s="79" t="s">
        <v>339</v>
      </c>
      <c r="W85" s="289">
        <f>IFERROR(Table5[[#This Row],[Breakdown Time]]*Table5[[#This Row],[Plant Equivalent Weightage]],"")</f>
        <v>1.4015151515151526E-2</v>
      </c>
      <c r="X85" s="289" t="s">
        <v>340</v>
      </c>
      <c r="Y85" s="290" t="s">
        <v>111</v>
      </c>
      <c r="Z85" s="79"/>
      <c r="AA85" s="283">
        <v>425</v>
      </c>
      <c r="AB85" s="79"/>
      <c r="AC85" s="23"/>
      <c r="AD85" s="23"/>
    </row>
    <row r="86" spans="1:30">
      <c r="A86" s="79">
        <f t="shared" si="3"/>
        <v>85</v>
      </c>
      <c r="B86" s="283">
        <f>YEAR(Table5[[#This Row],[Date]])+IF(MONTH(Table5[[#This Row],[Date]])&gt;=4,1,0)</f>
        <v>2026</v>
      </c>
      <c r="C86" s="79">
        <f>YEAR(Table5[[#This Row],[Date]])</f>
        <v>2025</v>
      </c>
      <c r="D86" s="79" t="s">
        <v>344</v>
      </c>
      <c r="E86" s="284">
        <f>Table5[[#This Row],[Date]]-DAY(Table5[[#This Row],[Date]])+1</f>
        <v>45778</v>
      </c>
      <c r="F86" s="285">
        <v>45778</v>
      </c>
      <c r="G86" s="79" t="s">
        <v>97</v>
      </c>
      <c r="H86" s="23" t="str">
        <f>IFERROR(_xlfn.XLOOKUP(Table5[[#This Row],[Affected WTG]],'Basic Data'!$A:$A,'Basic Data'!$B:$B),"")</f>
        <v>PWEPL</v>
      </c>
      <c r="I86" s="23" t="str">
        <f>IFERROR(_xlfn.XLOOKUP(Table5[[#This Row],[Affected WTG]],'Basic Data'!$A:$A,'Basic Data'!$C:$C),"")</f>
        <v>MSEDCL</v>
      </c>
      <c r="J86" s="286">
        <f>IFERROR(_xlfn.XLOOKUP(Table5[[#This Row],[Affected WTG]],'Basic Data'!$A:$A,'Basic Data'!$E:$E),"")</f>
        <v>2.2727272727272728E-2</v>
      </c>
      <c r="K86" s="79">
        <v>157</v>
      </c>
      <c r="L86" s="23" t="str">
        <f>IFERROR(_xlfn.XLOOKUP(Table5[[#This Row],[Error Code]],'Basic Data'!$W:$W,'Basic Data'!$X:$X),"Incorrect Error Code")</f>
        <v>Brake does not close</v>
      </c>
      <c r="M86" s="23" t="s">
        <v>391</v>
      </c>
      <c r="N86" s="23"/>
      <c r="O86" s="287">
        <v>0.38611111111111113</v>
      </c>
      <c r="P86" s="287">
        <v>0.38611111111111113</v>
      </c>
      <c r="Q86" s="287">
        <v>0.39305555555555555</v>
      </c>
      <c r="R86" s="91">
        <f t="shared" si="2"/>
        <v>6.9444444444444198E-3</v>
      </c>
      <c r="S86" s="91">
        <f>(Table5[[#This Row],[Fault Clearance time]]-Table5[[#This Row],[Work Start TimeStamp]])*24</f>
        <v>0.16666666666666607</v>
      </c>
      <c r="T86" s="91">
        <f>(Table5[[#This Row],[Fault Clearance time]]-Table5[[#This Row],[Fault Start TimeStamp]])*24</f>
        <v>0.16666666666666607</v>
      </c>
      <c r="U86" s="23" t="s">
        <v>353</v>
      </c>
      <c r="V86" s="79" t="s">
        <v>339</v>
      </c>
      <c r="W86" s="289">
        <f>IFERROR(Table5[[#This Row],[Breakdown Time]]*Table5[[#This Row],[Plant Equivalent Weightage]],"")</f>
        <v>3.7878787878787745E-3</v>
      </c>
      <c r="X86" s="289" t="s">
        <v>343</v>
      </c>
      <c r="Y86" s="290" t="s">
        <v>96</v>
      </c>
      <c r="Z86" s="79"/>
      <c r="AA86" s="283">
        <v>0</v>
      </c>
      <c r="AB86" s="79"/>
      <c r="AC86" s="23"/>
      <c r="AD86" s="23"/>
    </row>
    <row r="87" spans="1:30">
      <c r="A87" s="79">
        <f t="shared" si="3"/>
        <v>86</v>
      </c>
      <c r="B87" s="283">
        <f>YEAR(Table5[[#This Row],[Date]])+IF(MONTH(Table5[[#This Row],[Date]])&gt;=4,1,0)</f>
        <v>2026</v>
      </c>
      <c r="C87" s="79">
        <f>YEAR(Table5[[#This Row],[Date]])</f>
        <v>2025</v>
      </c>
      <c r="D87" s="79" t="s">
        <v>344</v>
      </c>
      <c r="E87" s="284">
        <f>Table5[[#This Row],[Date]]-DAY(Table5[[#This Row],[Date]])+1</f>
        <v>45778</v>
      </c>
      <c r="F87" s="285">
        <v>45778</v>
      </c>
      <c r="G87" s="79" t="s">
        <v>113</v>
      </c>
      <c r="H87" s="23" t="str">
        <f>IFERROR(_xlfn.XLOOKUP(Table5[[#This Row],[Affected WTG]],'Basic Data'!$A:$A,'Basic Data'!$B:$B),"")</f>
        <v>PWEPL</v>
      </c>
      <c r="I87" s="23" t="str">
        <f>IFERROR(_xlfn.XLOOKUP(Table5[[#This Row],[Affected WTG]],'Basic Data'!$A:$A,'Basic Data'!$C:$C),"")</f>
        <v>MSEDCL</v>
      </c>
      <c r="J87" s="286">
        <f>IFERROR(_xlfn.XLOOKUP(Table5[[#This Row],[Affected WTG]],'Basic Data'!$A:$A,'Basic Data'!$E:$E),"")</f>
        <v>2.2727272727272728E-2</v>
      </c>
      <c r="K87" s="79" t="s">
        <v>336</v>
      </c>
      <c r="L87" s="23" t="str">
        <f>IFERROR(_xlfn.XLOOKUP(Table5[[#This Row],[Error Code]],'Basic Data'!$W:$W,'Basic Data'!$X:$X),"Incorrect Error Code")</f>
        <v>Manual Stop - Preventive Maintenance Activity</v>
      </c>
      <c r="M87" s="23" t="s">
        <v>350</v>
      </c>
      <c r="N87" s="23"/>
      <c r="O87" s="287">
        <v>0.44027777777777777</v>
      </c>
      <c r="P87" s="287">
        <v>0.44027777777777777</v>
      </c>
      <c r="Q87" s="287">
        <v>0.5083333333333333</v>
      </c>
      <c r="R87" s="91">
        <f t="shared" si="2"/>
        <v>6.8055555555555536E-2</v>
      </c>
      <c r="S87" s="91">
        <f>(Table5[[#This Row],[Fault Clearance time]]-Table5[[#This Row],[Work Start TimeStamp]])*24</f>
        <v>1.6333333333333329</v>
      </c>
      <c r="T87" s="91">
        <f>(Table5[[#This Row],[Fault Clearance time]]-Table5[[#This Row],[Fault Start TimeStamp]])*24</f>
        <v>1.6333333333333329</v>
      </c>
      <c r="U87" s="23" t="s">
        <v>351</v>
      </c>
      <c r="V87" s="79" t="s">
        <v>339</v>
      </c>
      <c r="W87" s="289">
        <f>IFERROR(Table5[[#This Row],[Breakdown Time]]*Table5[[#This Row],[Plant Equivalent Weightage]],"")</f>
        <v>3.712121212121211E-2</v>
      </c>
      <c r="X87" s="289" t="s">
        <v>340</v>
      </c>
      <c r="Y87" s="290" t="s">
        <v>114</v>
      </c>
      <c r="Z87" s="79"/>
      <c r="AA87" s="283">
        <v>23</v>
      </c>
      <c r="AB87" s="79"/>
      <c r="AC87" s="23"/>
      <c r="AD87" s="23"/>
    </row>
    <row r="88" spans="1:30">
      <c r="A88" s="79">
        <f t="shared" si="3"/>
        <v>87</v>
      </c>
      <c r="B88" s="283">
        <f>YEAR(Table5[[#This Row],[Date]])+IF(MONTH(Table5[[#This Row],[Date]])&gt;=4,1,0)</f>
        <v>2026</v>
      </c>
      <c r="C88" s="79">
        <f>YEAR(Table5[[#This Row],[Date]])</f>
        <v>2025</v>
      </c>
      <c r="D88" s="79" t="s">
        <v>344</v>
      </c>
      <c r="E88" s="284">
        <f>Table5[[#This Row],[Date]]-DAY(Table5[[#This Row],[Date]])+1</f>
        <v>45778</v>
      </c>
      <c r="F88" s="285">
        <v>45778</v>
      </c>
      <c r="G88" s="79" t="s">
        <v>114</v>
      </c>
      <c r="H88" s="23" t="str">
        <f>IFERROR(_xlfn.XLOOKUP(Table5[[#This Row],[Affected WTG]],'Basic Data'!$A:$A,'Basic Data'!$B:$B),"")</f>
        <v>PWEPL</v>
      </c>
      <c r="I88" s="23" t="str">
        <f>IFERROR(_xlfn.XLOOKUP(Table5[[#This Row],[Affected WTG]],'Basic Data'!$A:$A,'Basic Data'!$C:$C),"")</f>
        <v>MSEDCL</v>
      </c>
      <c r="J88" s="286">
        <f>IFERROR(_xlfn.XLOOKUP(Table5[[#This Row],[Affected WTG]],'Basic Data'!$A:$A,'Basic Data'!$E:$E),"")</f>
        <v>2.2727272727272728E-2</v>
      </c>
      <c r="K88" s="79" t="s">
        <v>336</v>
      </c>
      <c r="L88" s="23" t="str">
        <f>IFERROR(_xlfn.XLOOKUP(Table5[[#This Row],[Error Code]],'Basic Data'!$W:$W,'Basic Data'!$X:$X),"Incorrect Error Code")</f>
        <v>Manual Stop - Preventive Maintenance Activity</v>
      </c>
      <c r="M88" s="23" t="s">
        <v>350</v>
      </c>
      <c r="N88" s="23"/>
      <c r="O88" s="287">
        <v>0.51944444444444449</v>
      </c>
      <c r="P88" s="287">
        <v>0.51944444444444449</v>
      </c>
      <c r="Q88" s="287">
        <v>0.55208333333333337</v>
      </c>
      <c r="R88" s="91">
        <f t="shared" si="2"/>
        <v>3.2638888888888884E-2</v>
      </c>
      <c r="S88" s="91">
        <f>(Table5[[#This Row],[Fault Clearance time]]-Table5[[#This Row],[Work Start TimeStamp]])*24</f>
        <v>0.78333333333333321</v>
      </c>
      <c r="T88" s="91">
        <f>(Table5[[#This Row],[Fault Clearance time]]-Table5[[#This Row],[Fault Start TimeStamp]])*24</f>
        <v>0.78333333333333321</v>
      </c>
      <c r="U88" s="23" t="s">
        <v>351</v>
      </c>
      <c r="V88" s="79" t="s">
        <v>339</v>
      </c>
      <c r="W88" s="289">
        <f>IFERROR(Table5[[#This Row],[Breakdown Time]]*Table5[[#This Row],[Plant Equivalent Weightage]],"")</f>
        <v>1.78030303030303E-2</v>
      </c>
      <c r="X88" s="289" t="s">
        <v>340</v>
      </c>
      <c r="Y88" s="290" t="s">
        <v>113</v>
      </c>
      <c r="Z88" s="79"/>
      <c r="AA88" s="283">
        <v>125</v>
      </c>
      <c r="AB88" s="79"/>
      <c r="AC88" s="23"/>
      <c r="AD88" s="23"/>
    </row>
    <row r="89" spans="1:30">
      <c r="A89" s="79">
        <f t="shared" si="3"/>
        <v>88</v>
      </c>
      <c r="B89" s="283">
        <f>YEAR(Table5[[#This Row],[Date]])+IF(MONTH(Table5[[#This Row],[Date]])&gt;=4,1,0)</f>
        <v>2026</v>
      </c>
      <c r="C89" s="79">
        <f>YEAR(Table5[[#This Row],[Date]])</f>
        <v>2025</v>
      </c>
      <c r="D89" s="79" t="s">
        <v>344</v>
      </c>
      <c r="E89" s="284">
        <f>Table5[[#This Row],[Date]]-DAY(Table5[[#This Row],[Date]])+1</f>
        <v>45778</v>
      </c>
      <c r="F89" s="285">
        <v>45778</v>
      </c>
      <c r="G89" s="79" t="s">
        <v>109</v>
      </c>
      <c r="H89" s="23" t="str">
        <f>IFERROR(_xlfn.XLOOKUP(Table5[[#This Row],[Affected WTG]],'Basic Data'!$A:$A,'Basic Data'!$B:$B),"")</f>
        <v>PWEPL</v>
      </c>
      <c r="I89" s="23" t="str">
        <f>IFERROR(_xlfn.XLOOKUP(Table5[[#This Row],[Affected WTG]],'Basic Data'!$A:$A,'Basic Data'!$C:$C),"")</f>
        <v>MSEDCL</v>
      </c>
      <c r="J89" s="286">
        <f>IFERROR(_xlfn.XLOOKUP(Table5[[#This Row],[Affected WTG]],'Basic Data'!$A:$A,'Basic Data'!$E:$E),"")</f>
        <v>2.2727272727272728E-2</v>
      </c>
      <c r="K89" s="79" t="s">
        <v>336</v>
      </c>
      <c r="L89" s="23" t="str">
        <f>IFERROR(_xlfn.XLOOKUP(Table5[[#This Row],[Error Code]],'Basic Data'!$W:$W,'Basic Data'!$X:$X),"Incorrect Error Code")</f>
        <v>Manual Stop - Preventive Maintenance Activity</v>
      </c>
      <c r="M89" s="23" t="s">
        <v>350</v>
      </c>
      <c r="N89" s="23"/>
      <c r="O89" s="287">
        <v>0.59791666666666665</v>
      </c>
      <c r="P89" s="287">
        <v>0.59791666666666665</v>
      </c>
      <c r="Q89" s="287">
        <v>0.65138888888888891</v>
      </c>
      <c r="R89" s="91">
        <f t="shared" si="2"/>
        <v>5.3472222222222254E-2</v>
      </c>
      <c r="S89" s="91">
        <f>(Table5[[#This Row],[Fault Clearance time]]-Table5[[#This Row],[Work Start TimeStamp]])*24</f>
        <v>1.2833333333333341</v>
      </c>
      <c r="T89" s="91">
        <f>(Table5[[#This Row],[Fault Clearance time]]-Table5[[#This Row],[Fault Start TimeStamp]])*24</f>
        <v>1.2833333333333341</v>
      </c>
      <c r="U89" s="23" t="s">
        <v>351</v>
      </c>
      <c r="V89" s="79" t="s">
        <v>339</v>
      </c>
      <c r="W89" s="289">
        <f>IFERROR(Table5[[#This Row],[Breakdown Time]]*Table5[[#This Row],[Plant Equivalent Weightage]],"")</f>
        <v>2.9166666666666684E-2</v>
      </c>
      <c r="X89" s="289" t="s">
        <v>340</v>
      </c>
      <c r="Y89" s="290" t="s">
        <v>114</v>
      </c>
      <c r="Z89" s="79"/>
      <c r="AA89" s="283">
        <v>291</v>
      </c>
      <c r="AB89" s="79"/>
      <c r="AC89" s="23"/>
      <c r="AD89" s="23"/>
    </row>
    <row r="90" spans="1:30">
      <c r="A90" s="79">
        <f t="shared" si="3"/>
        <v>89</v>
      </c>
      <c r="B90" s="283">
        <f>YEAR(Table5[[#This Row],[Date]])+IF(MONTH(Table5[[#This Row],[Date]])&gt;=4,1,0)</f>
        <v>2026</v>
      </c>
      <c r="C90" s="79">
        <f>YEAR(Table5[[#This Row],[Date]])</f>
        <v>2025</v>
      </c>
      <c r="D90" s="79" t="s">
        <v>344</v>
      </c>
      <c r="E90" s="284">
        <f>Table5[[#This Row],[Date]]-DAY(Table5[[#This Row],[Date]])+1</f>
        <v>45778</v>
      </c>
      <c r="F90" s="285">
        <v>45779</v>
      </c>
      <c r="G90" s="79" t="s">
        <v>93</v>
      </c>
      <c r="H90" s="23" t="str">
        <f>IFERROR(_xlfn.XLOOKUP(Table5[[#This Row],[Affected WTG]],'Basic Data'!$A:$A,'Basic Data'!$B:$B),"")</f>
        <v>PWEPL</v>
      </c>
      <c r="I90" s="23" t="str">
        <f>IFERROR(_xlfn.XLOOKUP(Table5[[#This Row],[Affected WTG]],'Basic Data'!$A:$A,'Basic Data'!$C:$C),"")</f>
        <v>MSEDCL</v>
      </c>
      <c r="J90" s="286">
        <f>IFERROR(_xlfn.XLOOKUP(Table5[[#This Row],[Affected WTG]],'Basic Data'!$A:$A,'Basic Data'!$E:$E),"")</f>
        <v>2.2727272727272728E-2</v>
      </c>
      <c r="K90" s="79">
        <v>3</v>
      </c>
      <c r="L90" s="23" t="str">
        <f>IFERROR(_xlfn.XLOOKUP(Table5[[#This Row],[Error Code]],'Basic Data'!$W:$W,'Basic Data'!$X:$X),"Incorrect Error Code")</f>
        <v>Manual Stop</v>
      </c>
      <c r="M90" s="23" t="s">
        <v>392</v>
      </c>
      <c r="N90" s="23"/>
      <c r="O90" s="287">
        <v>0.48472222222222222</v>
      </c>
      <c r="P90" s="287">
        <v>0.48472222222222222</v>
      </c>
      <c r="Q90" s="287">
        <v>0.59166666666666667</v>
      </c>
      <c r="R90" s="91">
        <f t="shared" si="2"/>
        <v>0.10694444444444445</v>
      </c>
      <c r="S90" s="91">
        <f>(Table5[[#This Row],[Fault Clearance time]]-Table5[[#This Row],[Work Start TimeStamp]])*24</f>
        <v>2.5666666666666669</v>
      </c>
      <c r="T90" s="91">
        <f>(Table5[[#This Row],[Fault Clearance time]]-Table5[[#This Row],[Fault Start TimeStamp]])*24</f>
        <v>2.5666666666666669</v>
      </c>
      <c r="U90" s="23" t="s">
        <v>393</v>
      </c>
      <c r="V90" s="79" t="s">
        <v>339</v>
      </c>
      <c r="W90" s="289">
        <f>IFERROR(Table5[[#This Row],[Breakdown Time]]*Table5[[#This Row],[Plant Equivalent Weightage]],"")</f>
        <v>5.8333333333333341E-2</v>
      </c>
      <c r="X90" s="289" t="s">
        <v>394</v>
      </c>
      <c r="Y90" s="290" t="s">
        <v>82</v>
      </c>
      <c r="Z90" s="79"/>
      <c r="AA90" s="283">
        <v>196</v>
      </c>
      <c r="AB90" s="79"/>
      <c r="AC90" s="23"/>
      <c r="AD90" s="23"/>
    </row>
    <row r="91" spans="1:30">
      <c r="A91" s="79">
        <f t="shared" si="3"/>
        <v>90</v>
      </c>
      <c r="B91" s="283">
        <f>YEAR(Table5[[#This Row],[Date]])+IF(MONTH(Table5[[#This Row],[Date]])&gt;=4,1,0)</f>
        <v>2026</v>
      </c>
      <c r="C91" s="79">
        <f>YEAR(Table5[[#This Row],[Date]])</f>
        <v>2025</v>
      </c>
      <c r="D91" s="79" t="s">
        <v>344</v>
      </c>
      <c r="E91" s="284">
        <f>Table5[[#This Row],[Date]]-DAY(Table5[[#This Row],[Date]])+1</f>
        <v>45778</v>
      </c>
      <c r="F91" s="285">
        <v>45779</v>
      </c>
      <c r="G91" s="79" t="s">
        <v>81</v>
      </c>
      <c r="H91" s="23" t="str">
        <f>IFERROR(_xlfn.XLOOKUP(Table5[[#This Row],[Affected WTG]],'Basic Data'!$A:$A,'Basic Data'!$B:$B),"")</f>
        <v>PWEPL</v>
      </c>
      <c r="I91" s="23" t="str">
        <f>IFERROR(_xlfn.XLOOKUP(Table5[[#This Row],[Affected WTG]],'Basic Data'!$A:$A,'Basic Data'!$C:$C),"")</f>
        <v>MSEDCL</v>
      </c>
      <c r="J91" s="286">
        <f>IFERROR(_xlfn.XLOOKUP(Table5[[#This Row],[Affected WTG]],'Basic Data'!$A:$A,'Basic Data'!$E:$E),"")</f>
        <v>2.2727272727272728E-2</v>
      </c>
      <c r="K91" s="79" t="s">
        <v>336</v>
      </c>
      <c r="L91" s="23" t="str">
        <f>IFERROR(_xlfn.XLOOKUP(Table5[[#This Row],[Error Code]],'Basic Data'!$W:$W,'Basic Data'!$X:$X),"Incorrect Error Code")</f>
        <v>Manual Stop - Preventive Maintenance Activity</v>
      </c>
      <c r="M91" s="23" t="s">
        <v>350</v>
      </c>
      <c r="N91" s="23"/>
      <c r="O91" s="287">
        <v>0.50347222222222221</v>
      </c>
      <c r="P91" s="287">
        <v>0.50347222222222221</v>
      </c>
      <c r="Q91" s="287">
        <v>0.54791666666666672</v>
      </c>
      <c r="R91" s="91">
        <f t="shared" si="2"/>
        <v>4.4444444444444509E-2</v>
      </c>
      <c r="S91" s="91">
        <f>(Table5[[#This Row],[Fault Clearance time]]-Table5[[#This Row],[Work Start TimeStamp]])*24</f>
        <v>1.0666666666666682</v>
      </c>
      <c r="T91" s="91">
        <f>(Table5[[#This Row],[Fault Clearance time]]-Table5[[#This Row],[Fault Start TimeStamp]])*24</f>
        <v>1.0666666666666682</v>
      </c>
      <c r="U91" s="23" t="s">
        <v>351</v>
      </c>
      <c r="V91" s="79" t="s">
        <v>339</v>
      </c>
      <c r="W91" s="289">
        <f>IFERROR(Table5[[#This Row],[Breakdown Time]]*Table5[[#This Row],[Plant Equivalent Weightage]],"")</f>
        <v>2.4242424242424277E-2</v>
      </c>
      <c r="X91" s="289" t="s">
        <v>340</v>
      </c>
      <c r="Y91" s="290" t="s">
        <v>108</v>
      </c>
      <c r="Z91" s="79"/>
      <c r="AA91" s="283">
        <v>2025</v>
      </c>
      <c r="AB91" s="79"/>
      <c r="AC91" s="23"/>
      <c r="AD91" s="23"/>
    </row>
    <row r="92" spans="1:30">
      <c r="A92" s="79">
        <f t="shared" si="3"/>
        <v>91</v>
      </c>
      <c r="B92" s="283">
        <f>YEAR(Table5[[#This Row],[Date]])+IF(MONTH(Table5[[#This Row],[Date]])&gt;=4,1,0)</f>
        <v>2026</v>
      </c>
      <c r="C92" s="79">
        <f>YEAR(Table5[[#This Row],[Date]])</f>
        <v>2025</v>
      </c>
      <c r="D92" s="79" t="s">
        <v>344</v>
      </c>
      <c r="E92" s="284">
        <f>Table5[[#This Row],[Date]]-DAY(Table5[[#This Row],[Date]])+1</f>
        <v>45778</v>
      </c>
      <c r="F92" s="285">
        <v>45779</v>
      </c>
      <c r="G92" s="79" t="s">
        <v>108</v>
      </c>
      <c r="H92" s="23" t="str">
        <f>IFERROR(_xlfn.XLOOKUP(Table5[[#This Row],[Affected WTG]],'Basic Data'!$A:$A,'Basic Data'!$B:$B),"")</f>
        <v>PWEPL</v>
      </c>
      <c r="I92" s="23" t="str">
        <f>IFERROR(_xlfn.XLOOKUP(Table5[[#This Row],[Affected WTG]],'Basic Data'!$A:$A,'Basic Data'!$C:$C),"")</f>
        <v>MSEDCL</v>
      </c>
      <c r="J92" s="286">
        <f>IFERROR(_xlfn.XLOOKUP(Table5[[#This Row],[Affected WTG]],'Basic Data'!$A:$A,'Basic Data'!$E:$E),"")</f>
        <v>2.2727272727272728E-2</v>
      </c>
      <c r="K92" s="79" t="s">
        <v>336</v>
      </c>
      <c r="L92" s="23" t="str">
        <f>IFERROR(_xlfn.XLOOKUP(Table5[[#This Row],[Error Code]],'Basic Data'!$W:$W,'Basic Data'!$X:$X),"Incorrect Error Code")</f>
        <v>Manual Stop - Preventive Maintenance Activity</v>
      </c>
      <c r="M92" s="23" t="s">
        <v>350</v>
      </c>
      <c r="N92" s="23"/>
      <c r="O92" s="287">
        <v>0.55277777777777781</v>
      </c>
      <c r="P92" s="287">
        <v>0.55277777777777781</v>
      </c>
      <c r="Q92" s="287">
        <v>0.58958333333333335</v>
      </c>
      <c r="R92" s="91">
        <f t="shared" si="2"/>
        <v>3.6805555555555536E-2</v>
      </c>
      <c r="S92" s="91">
        <f>(Table5[[#This Row],[Fault Clearance time]]-Table5[[#This Row],[Work Start TimeStamp]])*24</f>
        <v>0.88333333333333286</v>
      </c>
      <c r="T92" s="91">
        <f>(Table5[[#This Row],[Fault Clearance time]]-Table5[[#This Row],[Fault Start TimeStamp]])*24</f>
        <v>0.88333333333333286</v>
      </c>
      <c r="U92" s="23" t="s">
        <v>351</v>
      </c>
      <c r="V92" s="79" t="s">
        <v>339</v>
      </c>
      <c r="W92" s="289">
        <f>IFERROR(Table5[[#This Row],[Breakdown Time]]*Table5[[#This Row],[Plant Equivalent Weightage]],"")</f>
        <v>2.0075757575757566E-2</v>
      </c>
      <c r="X92" s="289" t="s">
        <v>340</v>
      </c>
      <c r="Y92" s="290" t="s">
        <v>80</v>
      </c>
      <c r="Z92" s="79"/>
      <c r="AA92" s="283">
        <v>167</v>
      </c>
      <c r="AB92" s="79"/>
      <c r="AC92" s="23"/>
      <c r="AD92" s="23"/>
    </row>
    <row r="93" spans="1:30">
      <c r="A93" s="79">
        <f t="shared" si="3"/>
        <v>92</v>
      </c>
      <c r="B93" s="283">
        <f>YEAR(Table5[[#This Row],[Date]])+IF(MONTH(Table5[[#This Row],[Date]])&gt;=4,1,0)</f>
        <v>2026</v>
      </c>
      <c r="C93" s="79">
        <f>YEAR(Table5[[#This Row],[Date]])</f>
        <v>2025</v>
      </c>
      <c r="D93" s="79" t="s">
        <v>344</v>
      </c>
      <c r="E93" s="284">
        <f>Table5[[#This Row],[Date]]-DAY(Table5[[#This Row],[Date]])+1</f>
        <v>45778</v>
      </c>
      <c r="F93" s="285">
        <v>45779</v>
      </c>
      <c r="G93" s="79" t="s">
        <v>80</v>
      </c>
      <c r="H93" s="23" t="str">
        <f>IFERROR(_xlfn.XLOOKUP(Table5[[#This Row],[Affected WTG]],'Basic Data'!$A:$A,'Basic Data'!$B:$B),"")</f>
        <v>PWEPL</v>
      </c>
      <c r="I93" s="23" t="str">
        <f>IFERROR(_xlfn.XLOOKUP(Table5[[#This Row],[Affected WTG]],'Basic Data'!$A:$A,'Basic Data'!$C:$C),"")</f>
        <v>MSEDCL</v>
      </c>
      <c r="J93" s="286">
        <f>IFERROR(_xlfn.XLOOKUP(Table5[[#This Row],[Affected WTG]],'Basic Data'!$A:$A,'Basic Data'!$E:$E),"")</f>
        <v>2.2727272727272728E-2</v>
      </c>
      <c r="K93" s="79" t="s">
        <v>336</v>
      </c>
      <c r="L93" s="23" t="str">
        <f>IFERROR(_xlfn.XLOOKUP(Table5[[#This Row],[Error Code]],'Basic Data'!$W:$W,'Basic Data'!$X:$X),"Incorrect Error Code")</f>
        <v>Manual Stop - Preventive Maintenance Activity</v>
      </c>
      <c r="M93" s="23" t="s">
        <v>350</v>
      </c>
      <c r="N93" s="23"/>
      <c r="O93" s="287">
        <v>0.63194444444444442</v>
      </c>
      <c r="P93" s="287">
        <v>0.63194444444444442</v>
      </c>
      <c r="Q93" s="287">
        <v>0.66180555555555554</v>
      </c>
      <c r="R93" s="91">
        <f t="shared" si="2"/>
        <v>2.9861111111111116E-2</v>
      </c>
      <c r="S93" s="91">
        <f>(Table5[[#This Row],[Fault Clearance time]]-Table5[[#This Row],[Work Start TimeStamp]])*24</f>
        <v>0.71666666666666679</v>
      </c>
      <c r="T93" s="91">
        <f>(Table5[[#This Row],[Fault Clearance time]]-Table5[[#This Row],[Fault Start TimeStamp]])*24</f>
        <v>0.71666666666666679</v>
      </c>
      <c r="U93" s="23" t="s">
        <v>351</v>
      </c>
      <c r="V93" s="79" t="s">
        <v>339</v>
      </c>
      <c r="W93" s="289">
        <f>IFERROR(Table5[[#This Row],[Breakdown Time]]*Table5[[#This Row],[Plant Equivalent Weightage]],"")</f>
        <v>1.6287878787878792E-2</v>
      </c>
      <c r="X93" s="289" t="s">
        <v>340</v>
      </c>
      <c r="Y93" s="290" t="s">
        <v>108</v>
      </c>
      <c r="Z93" s="79"/>
      <c r="AA93" s="283">
        <v>385</v>
      </c>
      <c r="AB93" s="79"/>
      <c r="AC93" s="23"/>
      <c r="AD93" s="23"/>
    </row>
    <row r="94" spans="1:30">
      <c r="A94" s="79">
        <f t="shared" si="3"/>
        <v>93</v>
      </c>
      <c r="B94" s="283">
        <f>YEAR(Table5[[#This Row],[Date]])+IF(MONTH(Table5[[#This Row],[Date]])&gt;=4,1,0)</f>
        <v>2026</v>
      </c>
      <c r="C94" s="79">
        <f>YEAR(Table5[[#This Row],[Date]])</f>
        <v>2025</v>
      </c>
      <c r="D94" s="79" t="s">
        <v>344</v>
      </c>
      <c r="E94" s="284">
        <f>Table5[[#This Row],[Date]]-DAY(Table5[[#This Row],[Date]])+1</f>
        <v>45778</v>
      </c>
      <c r="F94" s="285">
        <v>45779</v>
      </c>
      <c r="G94" s="79" t="s">
        <v>104</v>
      </c>
      <c r="H94" s="23" t="str">
        <f>IFERROR(_xlfn.XLOOKUP(Table5[[#This Row],[Affected WTG]],'Basic Data'!$A:$A,'Basic Data'!$B:$B),"")</f>
        <v>PWEPL</v>
      </c>
      <c r="I94" s="23" t="str">
        <f>IFERROR(_xlfn.XLOOKUP(Table5[[#This Row],[Affected WTG]],'Basic Data'!$A:$A,'Basic Data'!$C:$C),"")</f>
        <v>MSEDCL</v>
      </c>
      <c r="J94" s="286">
        <f>IFERROR(_xlfn.XLOOKUP(Table5[[#This Row],[Affected WTG]],'Basic Data'!$A:$A,'Basic Data'!$E:$E),"")</f>
        <v>2.2727272727272728E-2</v>
      </c>
      <c r="K94" s="79">
        <v>3</v>
      </c>
      <c r="L94" s="23" t="str">
        <f>IFERROR(_xlfn.XLOOKUP(Table5[[#This Row],[Error Code]],'Basic Data'!$W:$W,'Basic Data'!$X:$X),"Incorrect Error Code")</f>
        <v>Manual Stop</v>
      </c>
      <c r="M94" s="23" t="s">
        <v>392</v>
      </c>
      <c r="N94" s="23"/>
      <c r="O94" s="287">
        <v>0.65625</v>
      </c>
      <c r="P94" s="287">
        <v>0.65625</v>
      </c>
      <c r="Q94" s="287">
        <v>0.7319444444444444</v>
      </c>
      <c r="R94" s="91">
        <f t="shared" si="2"/>
        <v>7.5694444444444398E-2</v>
      </c>
      <c r="S94" s="91">
        <f>(Table5[[#This Row],[Fault Clearance time]]-Table5[[#This Row],[Work Start TimeStamp]])*24</f>
        <v>1.8166666666666655</v>
      </c>
      <c r="T94" s="91">
        <f>(Table5[[#This Row],[Fault Clearance time]]-Table5[[#This Row],[Fault Start TimeStamp]])*24</f>
        <v>1.8166666666666655</v>
      </c>
      <c r="U94" s="23" t="s">
        <v>393</v>
      </c>
      <c r="V94" s="79" t="s">
        <v>339</v>
      </c>
      <c r="W94" s="289">
        <f>IFERROR(Table5[[#This Row],[Breakdown Time]]*Table5[[#This Row],[Plant Equivalent Weightage]],"")</f>
        <v>4.1287878787878762E-2</v>
      </c>
      <c r="X94" s="289" t="s">
        <v>394</v>
      </c>
      <c r="Y94" s="290" t="s">
        <v>79</v>
      </c>
      <c r="Z94" s="79"/>
      <c r="AA94" s="283">
        <v>792</v>
      </c>
      <c r="AB94" s="79"/>
      <c r="AC94" s="23"/>
      <c r="AD94" s="23"/>
    </row>
    <row r="95" spans="1:30">
      <c r="A95" s="79">
        <f t="shared" si="3"/>
        <v>94</v>
      </c>
      <c r="B95" s="283">
        <f>YEAR(Table5[[#This Row],[Date]])+IF(MONTH(Table5[[#This Row],[Date]])&gt;=4,1,0)</f>
        <v>2026</v>
      </c>
      <c r="C95" s="79">
        <f>YEAR(Table5[[#This Row],[Date]])</f>
        <v>2025</v>
      </c>
      <c r="D95" s="79" t="s">
        <v>344</v>
      </c>
      <c r="E95" s="284">
        <f>Table5[[#This Row],[Date]]-DAY(Table5[[#This Row],[Date]])+1</f>
        <v>45778</v>
      </c>
      <c r="F95" s="285">
        <v>45779</v>
      </c>
      <c r="G95" s="79" t="s">
        <v>107</v>
      </c>
      <c r="H95" s="23" t="str">
        <f>IFERROR(_xlfn.XLOOKUP(Table5[[#This Row],[Affected WTG]],'Basic Data'!$A:$A,'Basic Data'!$B:$B),"")</f>
        <v>PWEPL</v>
      </c>
      <c r="I95" s="23" t="str">
        <f>IFERROR(_xlfn.XLOOKUP(Table5[[#This Row],[Affected WTG]],'Basic Data'!$A:$A,'Basic Data'!$C:$C),"")</f>
        <v>MSEDCL</v>
      </c>
      <c r="J95" s="286">
        <f>IFERROR(_xlfn.XLOOKUP(Table5[[#This Row],[Affected WTG]],'Basic Data'!$A:$A,'Basic Data'!$E:$E),"")</f>
        <v>2.2727272727272728E-2</v>
      </c>
      <c r="K95" s="79" t="s">
        <v>336</v>
      </c>
      <c r="L95" s="23" t="str">
        <f>IFERROR(_xlfn.XLOOKUP(Table5[[#This Row],[Error Code]],'Basic Data'!$W:$W,'Basic Data'!$X:$X),"Incorrect Error Code")</f>
        <v>Manual Stop - Preventive Maintenance Activity</v>
      </c>
      <c r="M95" s="23" t="s">
        <v>350</v>
      </c>
      <c r="N95" s="23"/>
      <c r="O95" s="287">
        <v>0.6694444444444444</v>
      </c>
      <c r="P95" s="287">
        <v>0.6694444444444444</v>
      </c>
      <c r="Q95" s="287">
        <v>0.6972222222222223</v>
      </c>
      <c r="R95" s="91">
        <f t="shared" si="2"/>
        <v>2.7777777777777901E-2</v>
      </c>
      <c r="S95" s="91">
        <f>(Table5[[#This Row],[Fault Clearance time]]-Table5[[#This Row],[Work Start TimeStamp]])*24</f>
        <v>0.66666666666666963</v>
      </c>
      <c r="T95" s="91">
        <f>(Table5[[#This Row],[Fault Clearance time]]-Table5[[#This Row],[Fault Start TimeStamp]])*24</f>
        <v>0.66666666666666963</v>
      </c>
      <c r="U95" s="23" t="s">
        <v>351</v>
      </c>
      <c r="V95" s="79" t="s">
        <v>339</v>
      </c>
      <c r="W95" s="289">
        <f>IFERROR(Table5[[#This Row],[Breakdown Time]]*Table5[[#This Row],[Plant Equivalent Weightage]],"")</f>
        <v>1.515151515151522E-2</v>
      </c>
      <c r="X95" s="289" t="s">
        <v>340</v>
      </c>
      <c r="Y95" s="290" t="s">
        <v>80</v>
      </c>
      <c r="Z95" s="79"/>
      <c r="AA95" s="283">
        <v>377</v>
      </c>
      <c r="AB95" s="79"/>
      <c r="AC95" s="23"/>
      <c r="AD95" s="23"/>
    </row>
    <row r="96" spans="1:30">
      <c r="A96" s="79">
        <f t="shared" si="3"/>
        <v>95</v>
      </c>
      <c r="B96" s="283">
        <f>YEAR(Table5[[#This Row],[Date]])+IF(MONTH(Table5[[#This Row],[Date]])&gt;=4,1,0)</f>
        <v>2026</v>
      </c>
      <c r="C96" s="79">
        <f>YEAR(Table5[[#This Row],[Date]])</f>
        <v>2025</v>
      </c>
      <c r="D96" s="79" t="s">
        <v>344</v>
      </c>
      <c r="E96" s="284">
        <f>Table5[[#This Row],[Date]]-DAY(Table5[[#This Row],[Date]])+1</f>
        <v>45778</v>
      </c>
      <c r="F96" s="285">
        <v>45780</v>
      </c>
      <c r="G96" s="79" t="s">
        <v>109</v>
      </c>
      <c r="H96" s="23" t="str">
        <f>IFERROR(_xlfn.XLOOKUP(Table5[[#This Row],[Affected WTG]],'Basic Data'!$A:$A,'Basic Data'!$B:$B),"")</f>
        <v>PWEPL</v>
      </c>
      <c r="I96" s="23" t="str">
        <f>IFERROR(_xlfn.XLOOKUP(Table5[[#This Row],[Affected WTG]],'Basic Data'!$A:$A,'Basic Data'!$C:$C),"")</f>
        <v>MSEDCL</v>
      </c>
      <c r="J96" s="286">
        <f>IFERROR(_xlfn.XLOOKUP(Table5[[#This Row],[Affected WTG]],'Basic Data'!$A:$A,'Basic Data'!$E:$E),"")</f>
        <v>2.2727272727272728E-2</v>
      </c>
      <c r="K96" s="79">
        <v>3</v>
      </c>
      <c r="L96" s="23" t="str">
        <f>IFERROR(_xlfn.XLOOKUP(Table5[[#This Row],[Error Code]],'Basic Data'!$W:$W,'Basic Data'!$X:$X),"Incorrect Error Code")</f>
        <v>Manual Stop</v>
      </c>
      <c r="M96" s="23" t="s">
        <v>392</v>
      </c>
      <c r="N96" s="23"/>
      <c r="O96" s="287">
        <v>0.47500000000000003</v>
      </c>
      <c r="P96" s="287">
        <v>0.47500000000000003</v>
      </c>
      <c r="Q96" s="287">
        <v>0.5854166666666667</v>
      </c>
      <c r="R96" s="91">
        <f t="shared" si="2"/>
        <v>0.11041666666666666</v>
      </c>
      <c r="S96" s="91">
        <f>(Table5[[#This Row],[Fault Clearance time]]-Table5[[#This Row],[Work Start TimeStamp]])*24</f>
        <v>2.65</v>
      </c>
      <c r="T96" s="91">
        <f>(Table5[[#This Row],[Fault Clearance time]]-Table5[[#This Row],[Fault Start TimeStamp]])*24</f>
        <v>2.65</v>
      </c>
      <c r="U96" s="23" t="s">
        <v>393</v>
      </c>
      <c r="V96" s="79" t="s">
        <v>339</v>
      </c>
      <c r="W96" s="289">
        <f>IFERROR(Table5[[#This Row],[Breakdown Time]]*Table5[[#This Row],[Plant Equivalent Weightage]],"")</f>
        <v>6.0227272727272727E-2</v>
      </c>
      <c r="X96" s="289" t="s">
        <v>394</v>
      </c>
      <c r="Y96" s="290" t="s">
        <v>114</v>
      </c>
      <c r="Z96" s="79"/>
      <c r="AA96" s="283">
        <v>591</v>
      </c>
      <c r="AB96" s="79"/>
      <c r="AC96" s="23"/>
      <c r="AD96" s="23"/>
    </row>
    <row r="97" spans="1:30">
      <c r="A97" s="79">
        <f t="shared" si="3"/>
        <v>96</v>
      </c>
      <c r="B97" s="283">
        <f>YEAR(Table5[[#This Row],[Date]])+IF(MONTH(Table5[[#This Row],[Date]])&gt;=4,1,0)</f>
        <v>2026</v>
      </c>
      <c r="C97" s="79">
        <f>YEAR(Table5[[#This Row],[Date]])</f>
        <v>2025</v>
      </c>
      <c r="D97" s="79" t="s">
        <v>344</v>
      </c>
      <c r="E97" s="284">
        <f>Table5[[#This Row],[Date]]-DAY(Table5[[#This Row],[Date]])+1</f>
        <v>45778</v>
      </c>
      <c r="F97" s="285">
        <v>45780</v>
      </c>
      <c r="G97" s="79" t="s">
        <v>79</v>
      </c>
      <c r="H97" s="23" t="str">
        <f>IFERROR(_xlfn.XLOOKUP(Table5[[#This Row],[Affected WTG]],'Basic Data'!$A:$A,'Basic Data'!$B:$B),"")</f>
        <v>PWEPL</v>
      </c>
      <c r="I97" s="23" t="str">
        <f>IFERROR(_xlfn.XLOOKUP(Table5[[#This Row],[Affected WTG]],'Basic Data'!$A:$A,'Basic Data'!$C:$C),"")</f>
        <v>MSEDCL</v>
      </c>
      <c r="J97" s="286">
        <f>IFERROR(_xlfn.XLOOKUP(Table5[[#This Row],[Affected WTG]],'Basic Data'!$A:$A,'Basic Data'!$E:$E),"")</f>
        <v>2.2727272727272728E-2</v>
      </c>
      <c r="K97" s="79">
        <v>142</v>
      </c>
      <c r="L97" s="23" t="str">
        <f>IFERROR(_xlfn.XLOOKUP(Table5[[#This Row],[Error Code]],'Basic Data'!$W:$W,'Basic Data'!$X:$X),"Incorrect Error Code")</f>
        <v>Line CCU collective faults</v>
      </c>
      <c r="M97" s="23" t="s">
        <v>373</v>
      </c>
      <c r="N97" s="23"/>
      <c r="O97" s="287">
        <v>0.73749999999999993</v>
      </c>
      <c r="P97" s="287">
        <v>0.73749999999999993</v>
      </c>
      <c r="Q97" s="287">
        <v>0.75</v>
      </c>
      <c r="R97" s="91">
        <f t="shared" si="2"/>
        <v>1.2500000000000067E-2</v>
      </c>
      <c r="S97" s="91">
        <f>(Table5[[#This Row],[Fault Clearance time]]-Table5[[#This Row],[Work Start TimeStamp]])*24</f>
        <v>0.3000000000000016</v>
      </c>
      <c r="T97" s="91">
        <f>(Table5[[#This Row],[Fault Clearance time]]-Table5[[#This Row],[Fault Start TimeStamp]])*24</f>
        <v>0.3000000000000016</v>
      </c>
      <c r="U97" s="23" t="s">
        <v>349</v>
      </c>
      <c r="V97" s="79" t="s">
        <v>339</v>
      </c>
      <c r="W97" s="289">
        <f>IFERROR(Table5[[#This Row],[Breakdown Time]]*Table5[[#This Row],[Plant Equivalent Weightage]],"")</f>
        <v>6.8181818181818543E-3</v>
      </c>
      <c r="X97" s="289" t="s">
        <v>343</v>
      </c>
      <c r="Y97" s="290" t="s">
        <v>96</v>
      </c>
      <c r="Z97" s="79"/>
      <c r="AA97" s="283">
        <v>102</v>
      </c>
      <c r="AB97" s="79"/>
      <c r="AC97" s="23"/>
      <c r="AD97" s="23"/>
    </row>
    <row r="98" spans="1:30">
      <c r="A98" s="79">
        <f t="shared" si="3"/>
        <v>97</v>
      </c>
      <c r="B98" s="283">
        <f>YEAR(Table5[[#This Row],[Date]])+IF(MONTH(Table5[[#This Row],[Date]])&gt;=4,1,0)</f>
        <v>2026</v>
      </c>
      <c r="C98" s="79">
        <f>YEAR(Table5[[#This Row],[Date]])</f>
        <v>2025</v>
      </c>
      <c r="D98" s="79" t="s">
        <v>344</v>
      </c>
      <c r="E98" s="284">
        <f>Table5[[#This Row],[Date]]-DAY(Table5[[#This Row],[Date]])+1</f>
        <v>45778</v>
      </c>
      <c r="F98" s="285">
        <v>45782</v>
      </c>
      <c r="G98" s="79" t="s">
        <v>95</v>
      </c>
      <c r="H98" s="23" t="str">
        <f>IFERROR(_xlfn.XLOOKUP(Table5[[#This Row],[Affected WTG]],'Basic Data'!$A:$A,'Basic Data'!$B:$B),"")</f>
        <v>PWEPL</v>
      </c>
      <c r="I98" s="23" t="str">
        <f>IFERROR(_xlfn.XLOOKUP(Table5[[#This Row],[Affected WTG]],'Basic Data'!$A:$A,'Basic Data'!$C:$C),"")</f>
        <v>MSEDCL</v>
      </c>
      <c r="J98" s="286">
        <f>IFERROR(_xlfn.XLOOKUP(Table5[[#This Row],[Affected WTG]],'Basic Data'!$A:$A,'Basic Data'!$E:$E),"")</f>
        <v>2.2727272727272728E-2</v>
      </c>
      <c r="K98" s="79">
        <v>3</v>
      </c>
      <c r="L98" s="23" t="str">
        <f>IFERROR(_xlfn.XLOOKUP(Table5[[#This Row],[Error Code]],'Basic Data'!$W:$W,'Basic Data'!$X:$X),"Incorrect Error Code")</f>
        <v>Manual Stop</v>
      </c>
      <c r="M98" s="23" t="s">
        <v>789</v>
      </c>
      <c r="N98" s="23"/>
      <c r="O98" s="287">
        <v>0.47500000000000003</v>
      </c>
      <c r="P98" s="287">
        <v>0.47500000000000003</v>
      </c>
      <c r="Q98" s="287">
        <v>0.58888888888888891</v>
      </c>
      <c r="R98" s="91">
        <f t="shared" si="2"/>
        <v>0.11388888888888887</v>
      </c>
      <c r="S98" s="91">
        <f>(Table5[[#This Row],[Fault Clearance time]]-Table5[[#This Row],[Work Start TimeStamp]])*24</f>
        <v>2.7333333333333329</v>
      </c>
      <c r="T98" s="91">
        <f>(Table5[[#This Row],[Fault Clearance time]]-Table5[[#This Row],[Fault Start TimeStamp]])*24</f>
        <v>2.7333333333333329</v>
      </c>
      <c r="U98" s="23" t="s">
        <v>395</v>
      </c>
      <c r="V98" s="79" t="s">
        <v>339</v>
      </c>
      <c r="W98" s="289">
        <f>IFERROR(Table5[[#This Row],[Breakdown Time]]*Table5[[#This Row],[Plant Equivalent Weightage]],"")</f>
        <v>6.2121212121212112E-2</v>
      </c>
      <c r="X98" s="289" t="s">
        <v>394</v>
      </c>
      <c r="Y98" s="290" t="s">
        <v>106</v>
      </c>
      <c r="Z98" s="79"/>
      <c r="AA98" s="283">
        <v>566</v>
      </c>
      <c r="AB98" s="79"/>
      <c r="AC98" s="23"/>
      <c r="AD98" s="23"/>
    </row>
    <row r="99" spans="1:30">
      <c r="A99" s="79">
        <f t="shared" si="3"/>
        <v>98</v>
      </c>
      <c r="B99" s="283">
        <f>YEAR(Table5[[#This Row],[Date]])+IF(MONTH(Table5[[#This Row],[Date]])&gt;=4,1,0)</f>
        <v>2026</v>
      </c>
      <c r="C99" s="79">
        <f>YEAR(Table5[[#This Row],[Date]])</f>
        <v>2025</v>
      </c>
      <c r="D99" s="79" t="s">
        <v>344</v>
      </c>
      <c r="E99" s="284">
        <f>Table5[[#This Row],[Date]]-DAY(Table5[[#This Row],[Date]])+1</f>
        <v>45778</v>
      </c>
      <c r="F99" s="285">
        <v>45782</v>
      </c>
      <c r="G99" s="79" t="s">
        <v>116</v>
      </c>
      <c r="H99" s="23" t="str">
        <f>IFERROR(_xlfn.XLOOKUP(Table5[[#This Row],[Affected WTG]],'Basic Data'!$A:$A,'Basic Data'!$B:$B),"")</f>
        <v>PWEPL</v>
      </c>
      <c r="I99" s="23" t="str">
        <f>IFERROR(_xlfn.XLOOKUP(Table5[[#This Row],[Affected WTG]],'Basic Data'!$A:$A,'Basic Data'!$C:$C),"")</f>
        <v>MSEDCL</v>
      </c>
      <c r="J99" s="286">
        <f>IFERROR(_xlfn.XLOOKUP(Table5[[#This Row],[Affected WTG]],'Basic Data'!$A:$A,'Basic Data'!$E:$E),"")</f>
        <v>2.2727272727272728E-2</v>
      </c>
      <c r="K99" s="79">
        <v>3</v>
      </c>
      <c r="L99" s="23" t="str">
        <f>IFERROR(_xlfn.XLOOKUP(Table5[[#This Row],[Error Code]],'Basic Data'!$W:$W,'Basic Data'!$X:$X),"Incorrect Error Code")</f>
        <v>Manual Stop</v>
      </c>
      <c r="M99" s="23" t="s">
        <v>396</v>
      </c>
      <c r="N99" s="23"/>
      <c r="O99" s="287">
        <v>0.49652777777777773</v>
      </c>
      <c r="P99" s="287">
        <v>0.49652777777777773</v>
      </c>
      <c r="Q99" s="287">
        <v>0.5708333333333333</v>
      </c>
      <c r="R99" s="91">
        <f t="shared" si="2"/>
        <v>7.4305555555555569E-2</v>
      </c>
      <c r="S99" s="91">
        <f>(Table5[[#This Row],[Fault Clearance time]]-Table5[[#This Row],[Work Start TimeStamp]])*24</f>
        <v>1.7833333333333337</v>
      </c>
      <c r="T99" s="91">
        <f>(Table5[[#This Row],[Fault Clearance time]]-Table5[[#This Row],[Fault Start TimeStamp]])*24</f>
        <v>1.7833333333333337</v>
      </c>
      <c r="U99" s="23" t="s">
        <v>397</v>
      </c>
      <c r="V99" s="79" t="s">
        <v>339</v>
      </c>
      <c r="W99" s="289">
        <f>IFERROR(Table5[[#This Row],[Breakdown Time]]*Table5[[#This Row],[Plant Equivalent Weightage]],"")</f>
        <v>4.0530303030303041E-2</v>
      </c>
      <c r="X99" s="289" t="s">
        <v>394</v>
      </c>
      <c r="Y99" s="290" t="s">
        <v>117</v>
      </c>
      <c r="Z99" s="79"/>
      <c r="AA99" s="283">
        <v>404</v>
      </c>
      <c r="AB99" s="79"/>
      <c r="AC99" s="23"/>
      <c r="AD99" s="23"/>
    </row>
    <row r="100" spans="1:30">
      <c r="A100" s="79">
        <f t="shared" si="3"/>
        <v>99</v>
      </c>
      <c r="B100" s="283">
        <f>YEAR(Table5[[#This Row],[Date]])+IF(MONTH(Table5[[#This Row],[Date]])&gt;=4,1,0)</f>
        <v>2026</v>
      </c>
      <c r="C100" s="79">
        <f>YEAR(Table5[[#This Row],[Date]])</f>
        <v>2025</v>
      </c>
      <c r="D100" s="79" t="s">
        <v>344</v>
      </c>
      <c r="E100" s="284">
        <f>Table5[[#This Row],[Date]]-DAY(Table5[[#This Row],[Date]])+1</f>
        <v>45778</v>
      </c>
      <c r="F100" s="285">
        <v>45782</v>
      </c>
      <c r="G100" s="79" t="s">
        <v>83</v>
      </c>
      <c r="H100" s="23" t="str">
        <f>IFERROR(_xlfn.XLOOKUP(Table5[[#This Row],[Affected WTG]],'Basic Data'!$A:$A,'Basic Data'!$B:$B),"")</f>
        <v>PWEPL</v>
      </c>
      <c r="I100" s="23" t="str">
        <f>IFERROR(_xlfn.XLOOKUP(Table5[[#This Row],[Affected WTG]],'Basic Data'!$A:$A,'Basic Data'!$C:$C),"")</f>
        <v>MSEDCL</v>
      </c>
      <c r="J100" s="286">
        <f>IFERROR(_xlfn.XLOOKUP(Table5[[#This Row],[Affected WTG]],'Basic Data'!$A:$A,'Basic Data'!$E:$E),"")</f>
        <v>2.2727272727272728E-2</v>
      </c>
      <c r="K100" s="79">
        <v>3</v>
      </c>
      <c r="L100" s="23" t="str">
        <f>IFERROR(_xlfn.XLOOKUP(Table5[[#This Row],[Error Code]],'Basic Data'!$W:$W,'Basic Data'!$X:$X),"Incorrect Error Code")</f>
        <v>Manual Stop</v>
      </c>
      <c r="M100" s="23" t="s">
        <v>789</v>
      </c>
      <c r="N100" s="23"/>
      <c r="O100" s="287">
        <v>0.625</v>
      </c>
      <c r="P100" s="287">
        <v>0.625</v>
      </c>
      <c r="Q100" s="287">
        <v>0.73055555555555562</v>
      </c>
      <c r="R100" s="91">
        <f t="shared" si="2"/>
        <v>0.10555555555555562</v>
      </c>
      <c r="S100" s="91">
        <f>(Table5[[#This Row],[Fault Clearance time]]-Table5[[#This Row],[Work Start TimeStamp]])*24</f>
        <v>2.533333333333335</v>
      </c>
      <c r="T100" s="91">
        <f>(Table5[[#This Row],[Fault Clearance time]]-Table5[[#This Row],[Fault Start TimeStamp]])*24</f>
        <v>2.533333333333335</v>
      </c>
      <c r="U100" s="23" t="s">
        <v>395</v>
      </c>
      <c r="V100" s="79" t="s">
        <v>339</v>
      </c>
      <c r="W100" s="289">
        <f>IFERROR(Table5[[#This Row],[Breakdown Time]]*Table5[[#This Row],[Plant Equivalent Weightage]],"")</f>
        <v>5.7575757575757613E-2</v>
      </c>
      <c r="X100" s="289" t="s">
        <v>394</v>
      </c>
      <c r="Y100" s="290" t="s">
        <v>98</v>
      </c>
      <c r="Z100" s="79"/>
      <c r="AA100" s="283">
        <v>1483</v>
      </c>
      <c r="AB100" s="79"/>
      <c r="AC100" s="23"/>
      <c r="AD100" s="23"/>
    </row>
    <row r="101" spans="1:30">
      <c r="A101" s="79">
        <f t="shared" si="3"/>
        <v>100</v>
      </c>
      <c r="B101" s="283">
        <f>YEAR(Table5[[#This Row],[Date]])+IF(MONTH(Table5[[#This Row],[Date]])&gt;=4,1,0)</f>
        <v>2026</v>
      </c>
      <c r="C101" s="79">
        <f>YEAR(Table5[[#This Row],[Date]])</f>
        <v>2025</v>
      </c>
      <c r="D101" s="79" t="s">
        <v>344</v>
      </c>
      <c r="E101" s="284">
        <f>Table5[[#This Row],[Date]]-DAY(Table5[[#This Row],[Date]])+1</f>
        <v>45778</v>
      </c>
      <c r="F101" s="285">
        <v>45783</v>
      </c>
      <c r="G101" s="79" t="s">
        <v>104</v>
      </c>
      <c r="H101" s="23" t="str">
        <f>IFERROR(_xlfn.XLOOKUP(Table5[[#This Row],[Affected WTG]],'Basic Data'!$A:$A,'Basic Data'!$B:$B),"")</f>
        <v>PWEPL</v>
      </c>
      <c r="I101" s="23" t="str">
        <f>IFERROR(_xlfn.XLOOKUP(Table5[[#This Row],[Affected WTG]],'Basic Data'!$A:$A,'Basic Data'!$C:$C),"")</f>
        <v>MSEDCL</v>
      </c>
      <c r="J101" s="286">
        <f>IFERROR(_xlfn.XLOOKUP(Table5[[#This Row],[Affected WTG]],'Basic Data'!$A:$A,'Basic Data'!$E:$E),"")</f>
        <v>2.2727272727272728E-2</v>
      </c>
      <c r="K101" s="79">
        <v>3</v>
      </c>
      <c r="L101" s="23" t="str">
        <f>IFERROR(_xlfn.XLOOKUP(Table5[[#This Row],[Error Code]],'Basic Data'!$W:$W,'Basic Data'!$X:$X),"Incorrect Error Code")</f>
        <v>Manual Stop</v>
      </c>
      <c r="M101" s="23" t="s">
        <v>789</v>
      </c>
      <c r="N101" s="23"/>
      <c r="O101" s="287">
        <v>0.42499999999999999</v>
      </c>
      <c r="P101" s="287">
        <v>0.42499999999999999</v>
      </c>
      <c r="Q101" s="287">
        <v>0.49652777777777773</v>
      </c>
      <c r="R101" s="91">
        <f t="shared" si="2"/>
        <v>7.1527777777777746E-2</v>
      </c>
      <c r="S101" s="91">
        <f>(Table5[[#This Row],[Fault Clearance time]]-Table5[[#This Row],[Work Start TimeStamp]])*24</f>
        <v>1.7166666666666659</v>
      </c>
      <c r="T101" s="91">
        <f>(Table5[[#This Row],[Fault Clearance time]]-Table5[[#This Row],[Fault Start TimeStamp]])*24</f>
        <v>1.7166666666666659</v>
      </c>
      <c r="U101" s="23" t="s">
        <v>395</v>
      </c>
      <c r="V101" s="79" t="s">
        <v>339</v>
      </c>
      <c r="W101" s="289">
        <f>IFERROR(Table5[[#This Row],[Breakdown Time]]*Table5[[#This Row],[Plant Equivalent Weightage]],"")</f>
        <v>3.9015151515151496E-2</v>
      </c>
      <c r="X101" s="289" t="s">
        <v>394</v>
      </c>
      <c r="Y101" s="290" t="s">
        <v>79</v>
      </c>
      <c r="Z101" s="79"/>
      <c r="AA101" s="283">
        <v>3</v>
      </c>
      <c r="AB101" s="79"/>
      <c r="AC101" s="23"/>
      <c r="AD101" s="23"/>
    </row>
    <row r="102" spans="1:30">
      <c r="A102" s="79">
        <f t="shared" si="3"/>
        <v>101</v>
      </c>
      <c r="B102" s="283">
        <f>YEAR(Table5[[#This Row],[Date]])+IF(MONTH(Table5[[#This Row],[Date]])&gt;=4,1,0)</f>
        <v>2026</v>
      </c>
      <c r="C102" s="79">
        <f>YEAR(Table5[[#This Row],[Date]])</f>
        <v>2025</v>
      </c>
      <c r="D102" s="79" t="s">
        <v>344</v>
      </c>
      <c r="E102" s="284">
        <f>Table5[[#This Row],[Date]]-DAY(Table5[[#This Row],[Date]])+1</f>
        <v>45778</v>
      </c>
      <c r="F102" s="285">
        <v>45785</v>
      </c>
      <c r="G102" s="79" t="s">
        <v>99</v>
      </c>
      <c r="H102" s="23" t="str">
        <f>IFERROR(_xlfn.XLOOKUP(Table5[[#This Row],[Affected WTG]],'Basic Data'!$A:$A,'Basic Data'!$B:$B),"")</f>
        <v>PWEPL</v>
      </c>
      <c r="I102" s="23" t="str">
        <f>IFERROR(_xlfn.XLOOKUP(Table5[[#This Row],[Affected WTG]],'Basic Data'!$A:$A,'Basic Data'!$C:$C),"")</f>
        <v>MSEDCL</v>
      </c>
      <c r="J102" s="286">
        <f>IFERROR(_xlfn.XLOOKUP(Table5[[#This Row],[Affected WTG]],'Basic Data'!$A:$A,'Basic Data'!$E:$E),"")</f>
        <v>2.2727272727272728E-2</v>
      </c>
      <c r="K102" s="79">
        <v>3</v>
      </c>
      <c r="L102" s="23" t="str">
        <f>IFERROR(_xlfn.XLOOKUP(Table5[[#This Row],[Error Code]],'Basic Data'!$W:$W,'Basic Data'!$X:$X),"Incorrect Error Code")</f>
        <v>Manual Stop</v>
      </c>
      <c r="M102" s="23" t="s">
        <v>792</v>
      </c>
      <c r="N102" s="23"/>
      <c r="O102" s="287">
        <v>0.35625000000000001</v>
      </c>
      <c r="P102" s="287">
        <v>0.35625000000000001</v>
      </c>
      <c r="Q102" s="287">
        <v>0.42638888888888887</v>
      </c>
      <c r="R102" s="91">
        <f t="shared" si="2"/>
        <v>7.0138888888888862E-2</v>
      </c>
      <c r="S102" s="91">
        <f>(Table5[[#This Row],[Fault Clearance time]]-Table5[[#This Row],[Work Start TimeStamp]])*24</f>
        <v>1.6833333333333327</v>
      </c>
      <c r="T102" s="91">
        <f>(Table5[[#This Row],[Fault Clearance time]]-Table5[[#This Row],[Fault Start TimeStamp]])*24</f>
        <v>1.6833333333333327</v>
      </c>
      <c r="U102" s="23" t="s">
        <v>793</v>
      </c>
      <c r="V102" s="79" t="s">
        <v>339</v>
      </c>
      <c r="W102" s="289">
        <f>IFERROR(Table5[[#This Row],[Breakdown Time]]*Table5[[#This Row],[Plant Equivalent Weightage]],"")</f>
        <v>3.8257575757575747E-2</v>
      </c>
      <c r="X102" s="289" t="s">
        <v>394</v>
      </c>
      <c r="Y102" s="290" t="s">
        <v>98</v>
      </c>
      <c r="Z102" s="79"/>
      <c r="AA102" s="283">
        <v>983</v>
      </c>
      <c r="AB102" s="79"/>
      <c r="AC102" s="23"/>
      <c r="AD102" s="23"/>
    </row>
    <row r="103" spans="1:30">
      <c r="A103" s="79">
        <f t="shared" si="3"/>
        <v>102</v>
      </c>
      <c r="B103" s="283">
        <f>YEAR(Table5[[#This Row],[Date]])+IF(MONTH(Table5[[#This Row],[Date]])&gt;=4,1,0)</f>
        <v>2026</v>
      </c>
      <c r="C103" s="79">
        <f>YEAR(Table5[[#This Row],[Date]])</f>
        <v>2025</v>
      </c>
      <c r="D103" s="79" t="s">
        <v>344</v>
      </c>
      <c r="E103" s="284">
        <f>Table5[[#This Row],[Date]]-DAY(Table5[[#This Row],[Date]])+1</f>
        <v>45778</v>
      </c>
      <c r="F103" s="285">
        <v>45785</v>
      </c>
      <c r="G103" s="79" t="s">
        <v>105</v>
      </c>
      <c r="H103" s="23" t="str">
        <f>IFERROR(_xlfn.XLOOKUP(Table5[[#This Row],[Affected WTG]],'Basic Data'!$A:$A,'Basic Data'!$B:$B),"")</f>
        <v>PWEPL</v>
      </c>
      <c r="I103" s="23" t="str">
        <f>IFERROR(_xlfn.XLOOKUP(Table5[[#This Row],[Affected WTG]],'Basic Data'!$A:$A,'Basic Data'!$C:$C),"")</f>
        <v>MSEDCL</v>
      </c>
      <c r="J103" s="286">
        <f>IFERROR(_xlfn.XLOOKUP(Table5[[#This Row],[Affected WTG]],'Basic Data'!$A:$A,'Basic Data'!$E:$E),"")</f>
        <v>2.2727272727272728E-2</v>
      </c>
      <c r="K103" s="79">
        <v>142</v>
      </c>
      <c r="L103" s="23" t="str">
        <f>IFERROR(_xlfn.XLOOKUP(Table5[[#This Row],[Error Code]],'Basic Data'!$W:$W,'Basic Data'!$X:$X),"Incorrect Error Code")</f>
        <v>Line CCU collective faults</v>
      </c>
      <c r="M103" s="23" t="s">
        <v>149</v>
      </c>
      <c r="N103" s="23"/>
      <c r="O103" s="287">
        <v>0.3972222222222222</v>
      </c>
      <c r="P103" s="287">
        <v>0.3972222222222222</v>
      </c>
      <c r="Q103" s="287">
        <v>0.44444444444444442</v>
      </c>
      <c r="R103" s="91">
        <f t="shared" si="2"/>
        <v>4.7222222222222221E-2</v>
      </c>
      <c r="S103" s="91">
        <f>(Table5[[#This Row],[Fault Clearance time]]-Table5[[#This Row],[Work Start TimeStamp]])*24</f>
        <v>1.1333333333333333</v>
      </c>
      <c r="T103" s="91">
        <f>(Table5[[#This Row],[Fault Clearance time]]-Table5[[#This Row],[Fault Start TimeStamp]])*24</f>
        <v>1.1333333333333333</v>
      </c>
      <c r="U103" s="23" t="s">
        <v>790</v>
      </c>
      <c r="V103" s="79" t="s">
        <v>339</v>
      </c>
      <c r="W103" s="289">
        <f>IFERROR(Table5[[#This Row],[Breakdown Time]]*Table5[[#This Row],[Plant Equivalent Weightage]],"")</f>
        <v>2.5757575757575757E-2</v>
      </c>
      <c r="X103" s="289" t="s">
        <v>343</v>
      </c>
      <c r="Y103" s="290" t="s">
        <v>103</v>
      </c>
      <c r="Z103" s="79"/>
      <c r="AA103" s="283">
        <v>715</v>
      </c>
      <c r="AB103" s="79"/>
      <c r="AC103" s="23"/>
      <c r="AD103" s="23"/>
    </row>
    <row r="104" spans="1:30">
      <c r="A104" s="79">
        <f t="shared" si="3"/>
        <v>103</v>
      </c>
      <c r="B104" s="283">
        <f>YEAR(Table5[[#This Row],[Date]])+IF(MONTH(Table5[[#This Row],[Date]])&gt;=4,1,0)</f>
        <v>2026</v>
      </c>
      <c r="C104" s="79">
        <f>YEAR(Table5[[#This Row],[Date]])</f>
        <v>2025</v>
      </c>
      <c r="D104" s="79" t="s">
        <v>344</v>
      </c>
      <c r="E104" s="284">
        <f>Table5[[#This Row],[Date]]-DAY(Table5[[#This Row],[Date]])+1</f>
        <v>45778</v>
      </c>
      <c r="F104" s="285">
        <v>45785</v>
      </c>
      <c r="G104" s="79" t="s">
        <v>90</v>
      </c>
      <c r="H104" s="23" t="str">
        <f>IFERROR(_xlfn.XLOOKUP(Table5[[#This Row],[Affected WTG]],'Basic Data'!$A:$A,'Basic Data'!$B:$B),"")</f>
        <v>PWEPL</v>
      </c>
      <c r="I104" s="23" t="str">
        <f>IFERROR(_xlfn.XLOOKUP(Table5[[#This Row],[Affected WTG]],'Basic Data'!$A:$A,'Basic Data'!$C:$C),"")</f>
        <v>MSEDCL</v>
      </c>
      <c r="J104" s="286">
        <f>IFERROR(_xlfn.XLOOKUP(Table5[[#This Row],[Affected WTG]],'Basic Data'!$A:$A,'Basic Data'!$E:$E),"")</f>
        <v>2.2727272727272728E-2</v>
      </c>
      <c r="K104" s="79">
        <v>338</v>
      </c>
      <c r="L104" s="23" t="str">
        <f>IFERROR(_xlfn.XLOOKUP(Table5[[#This Row],[Error Code]],'Basic Data'!$W:$W,'Basic Data'!$X:$X),"Incorrect Error Code")</f>
        <v>Rotor CCU temperature warning</v>
      </c>
      <c r="M104" s="23" t="s">
        <v>682</v>
      </c>
      <c r="N104" s="23"/>
      <c r="O104" s="287">
        <v>0.4284722222222222</v>
      </c>
      <c r="P104" s="287">
        <v>0.4284722222222222</v>
      </c>
      <c r="Q104" s="287">
        <v>0.4597222222222222</v>
      </c>
      <c r="R104" s="91">
        <f t="shared" si="2"/>
        <v>3.125E-2</v>
      </c>
      <c r="S104" s="91">
        <f>(Table5[[#This Row],[Fault Clearance time]]-Table5[[#This Row],[Work Start TimeStamp]])*24</f>
        <v>0.75</v>
      </c>
      <c r="T104" s="91">
        <f>(Table5[[#This Row],[Fault Clearance time]]-Table5[[#This Row],[Fault Start TimeStamp]])*24</f>
        <v>0.75</v>
      </c>
      <c r="U104" s="23" t="s">
        <v>794</v>
      </c>
      <c r="V104" s="79" t="s">
        <v>339</v>
      </c>
      <c r="W104" s="289">
        <f>IFERROR(Table5[[#This Row],[Breakdown Time]]*Table5[[#This Row],[Plant Equivalent Weightage]],"")</f>
        <v>1.7045454545454544E-2</v>
      </c>
      <c r="X104" s="289" t="s">
        <v>343</v>
      </c>
      <c r="Y104" s="290" t="s">
        <v>89</v>
      </c>
      <c r="Z104" s="79"/>
      <c r="AA104" s="283">
        <v>1083</v>
      </c>
      <c r="AB104" s="79"/>
      <c r="AC104" s="23"/>
      <c r="AD104" s="23"/>
    </row>
    <row r="105" spans="1:30">
      <c r="A105" s="79">
        <f t="shared" si="3"/>
        <v>104</v>
      </c>
      <c r="B105" s="283">
        <f>YEAR(Table5[[#This Row],[Date]])+IF(MONTH(Table5[[#This Row],[Date]])&gt;=4,1,0)</f>
        <v>2026</v>
      </c>
      <c r="C105" s="79">
        <f>YEAR(Table5[[#This Row],[Date]])</f>
        <v>2025</v>
      </c>
      <c r="D105" s="79" t="s">
        <v>344</v>
      </c>
      <c r="E105" s="284">
        <f>Table5[[#This Row],[Date]]-DAY(Table5[[#This Row],[Date]])+1</f>
        <v>45778</v>
      </c>
      <c r="F105" s="285">
        <v>45785</v>
      </c>
      <c r="G105" s="79" t="s">
        <v>99</v>
      </c>
      <c r="H105" s="23" t="str">
        <f>IFERROR(_xlfn.XLOOKUP(Table5[[#This Row],[Affected WTG]],'Basic Data'!$A:$A,'Basic Data'!$B:$B),"")</f>
        <v>PWEPL</v>
      </c>
      <c r="I105" s="23" t="str">
        <f>IFERROR(_xlfn.XLOOKUP(Table5[[#This Row],[Affected WTG]],'Basic Data'!$A:$A,'Basic Data'!$C:$C),"")</f>
        <v>MSEDCL</v>
      </c>
      <c r="J105" s="286">
        <f>IFERROR(_xlfn.XLOOKUP(Table5[[#This Row],[Affected WTG]],'Basic Data'!$A:$A,'Basic Data'!$E:$E),"")</f>
        <v>2.2727272727272728E-2</v>
      </c>
      <c r="K105" s="79">
        <v>3</v>
      </c>
      <c r="L105" s="23" t="str">
        <f>IFERROR(_xlfn.XLOOKUP(Table5[[#This Row],[Error Code]],'Basic Data'!$W:$W,'Basic Data'!$X:$X),"Incorrect Error Code")</f>
        <v>Manual Stop</v>
      </c>
      <c r="M105" s="23" t="s">
        <v>792</v>
      </c>
      <c r="N105" s="23"/>
      <c r="O105" s="287">
        <v>0.65972222222222221</v>
      </c>
      <c r="P105" s="287">
        <v>0.65972222222222221</v>
      </c>
      <c r="Q105" s="287">
        <v>0.99930555555555556</v>
      </c>
      <c r="R105" s="91">
        <f t="shared" si="2"/>
        <v>0.33958333333333335</v>
      </c>
      <c r="S105" s="91">
        <f>(Table5[[#This Row],[Fault Clearance time]]-Table5[[#This Row],[Work Start TimeStamp]])*24</f>
        <v>8.15</v>
      </c>
      <c r="T105" s="91">
        <f>(Table5[[#This Row],[Fault Clearance time]]-Table5[[#This Row],[Fault Start TimeStamp]])*24</f>
        <v>8.15</v>
      </c>
      <c r="U105" s="23" t="s">
        <v>795</v>
      </c>
      <c r="V105" s="79" t="s">
        <v>339</v>
      </c>
      <c r="W105" s="289">
        <f>IFERROR(Table5[[#This Row],[Breakdown Time]]*Table5[[#This Row],[Plant Equivalent Weightage]],"")</f>
        <v>0.18522727272727274</v>
      </c>
      <c r="X105" s="289" t="s">
        <v>394</v>
      </c>
      <c r="Y105" s="290" t="s">
        <v>98</v>
      </c>
      <c r="Z105" s="79"/>
      <c r="AA105" s="283">
        <v>4762</v>
      </c>
      <c r="AB105" s="79"/>
      <c r="AC105" s="23"/>
      <c r="AD105" s="23"/>
    </row>
    <row r="106" spans="1:30">
      <c r="A106" s="79">
        <f t="shared" si="3"/>
        <v>105</v>
      </c>
      <c r="B106" s="283">
        <f>YEAR(Table5[[#This Row],[Date]])+IF(MONTH(Table5[[#This Row],[Date]])&gt;=4,1,0)</f>
        <v>2026</v>
      </c>
      <c r="C106" s="79">
        <f>YEAR(Table5[[#This Row],[Date]])</f>
        <v>2025</v>
      </c>
      <c r="D106" s="79" t="s">
        <v>344</v>
      </c>
      <c r="E106" s="284">
        <f>Table5[[#This Row],[Date]]-DAY(Table5[[#This Row],[Date]])+1</f>
        <v>45778</v>
      </c>
      <c r="F106" s="285">
        <v>45785</v>
      </c>
      <c r="G106" s="79" t="s">
        <v>104</v>
      </c>
      <c r="H106" s="23" t="str">
        <f>IFERROR(_xlfn.XLOOKUP(Table5[[#This Row],[Affected WTG]],'Basic Data'!$A:$A,'Basic Data'!$B:$B),"")</f>
        <v>PWEPL</v>
      </c>
      <c r="I106" s="23" t="str">
        <f>IFERROR(_xlfn.XLOOKUP(Table5[[#This Row],[Affected WTG]],'Basic Data'!$A:$A,'Basic Data'!$C:$C),"")</f>
        <v>MSEDCL</v>
      </c>
      <c r="J106" s="286">
        <f>IFERROR(_xlfn.XLOOKUP(Table5[[#This Row],[Affected WTG]],'Basic Data'!$A:$A,'Basic Data'!$E:$E),"")</f>
        <v>2.2727272727272728E-2</v>
      </c>
      <c r="K106" s="79">
        <v>3</v>
      </c>
      <c r="L106" s="23" t="str">
        <f>IFERROR(_xlfn.XLOOKUP(Table5[[#This Row],[Error Code]],'Basic Data'!$W:$W,'Basic Data'!$X:$X),"Incorrect Error Code")</f>
        <v>Manual Stop</v>
      </c>
      <c r="M106" s="23" t="s">
        <v>375</v>
      </c>
      <c r="N106" s="23"/>
      <c r="O106" s="287">
        <v>0.74513888888888891</v>
      </c>
      <c r="P106" s="287">
        <v>0.74513888888888891</v>
      </c>
      <c r="Q106" s="287">
        <v>0.76111111111111107</v>
      </c>
      <c r="R106" s="91">
        <f t="shared" si="2"/>
        <v>1.5972222222222165E-2</v>
      </c>
      <c r="S106" s="91">
        <f>(Table5[[#This Row],[Fault Clearance time]]-Table5[[#This Row],[Work Start TimeStamp]])*24</f>
        <v>0.38333333333333197</v>
      </c>
      <c r="T106" s="91">
        <f>(Table5[[#This Row],[Fault Clearance time]]-Table5[[#This Row],[Fault Start TimeStamp]])*24</f>
        <v>0.38333333333333197</v>
      </c>
      <c r="U106" s="23" t="s">
        <v>791</v>
      </c>
      <c r="V106" s="79" t="s">
        <v>339</v>
      </c>
      <c r="W106" s="289">
        <f>IFERROR(Table5[[#This Row],[Breakdown Time]]*Table5[[#This Row],[Plant Equivalent Weightage]],"")</f>
        <v>8.7121212121211815E-3</v>
      </c>
      <c r="X106" s="289" t="s">
        <v>394</v>
      </c>
      <c r="Y106" s="290" t="s">
        <v>79</v>
      </c>
      <c r="Z106" s="79"/>
      <c r="AA106" s="283">
        <v>603</v>
      </c>
      <c r="AB106" s="79"/>
      <c r="AC106" s="23"/>
      <c r="AD106" s="23"/>
    </row>
    <row r="107" spans="1:30">
      <c r="A107" s="79">
        <f t="shared" si="3"/>
        <v>106</v>
      </c>
      <c r="B107" s="283">
        <f>YEAR(Table5[[#This Row],[Date]])+IF(MONTH(Table5[[#This Row],[Date]])&gt;=4,1,0)</f>
        <v>2026</v>
      </c>
      <c r="C107" s="79">
        <f>YEAR(Table5[[#This Row],[Date]])</f>
        <v>2025</v>
      </c>
      <c r="D107" s="79" t="s">
        <v>344</v>
      </c>
      <c r="E107" s="284">
        <f>Table5[[#This Row],[Date]]-DAY(Table5[[#This Row],[Date]])+1</f>
        <v>45778</v>
      </c>
      <c r="F107" s="285">
        <v>45786</v>
      </c>
      <c r="G107" s="79" t="s">
        <v>99</v>
      </c>
      <c r="H107" s="23" t="str">
        <f>IFERROR(_xlfn.XLOOKUP(Table5[[#This Row],[Affected WTG]],'Basic Data'!$A:$A,'Basic Data'!$B:$B),"")</f>
        <v>PWEPL</v>
      </c>
      <c r="I107" s="23" t="str">
        <f>IFERROR(_xlfn.XLOOKUP(Table5[[#This Row],[Affected WTG]],'Basic Data'!$A:$A,'Basic Data'!$C:$C),"")</f>
        <v>MSEDCL</v>
      </c>
      <c r="J107" s="286">
        <f>IFERROR(_xlfn.XLOOKUP(Table5[[#This Row],[Affected WTG]],'Basic Data'!$A:$A,'Basic Data'!$E:$E),"")</f>
        <v>2.2727272727272728E-2</v>
      </c>
      <c r="K107" s="79">
        <v>3</v>
      </c>
      <c r="L107" s="23" t="str">
        <f>IFERROR(_xlfn.XLOOKUP(Table5[[#This Row],[Error Code]],'Basic Data'!$W:$W,'Basic Data'!$X:$X),"Incorrect Error Code")</f>
        <v>Manual Stop</v>
      </c>
      <c r="M107" s="23" t="s">
        <v>792</v>
      </c>
      <c r="N107" s="23"/>
      <c r="O107" s="287">
        <v>0</v>
      </c>
      <c r="P107" s="287">
        <v>0</v>
      </c>
      <c r="Q107" s="287">
        <v>0.67013888888888884</v>
      </c>
      <c r="R107" s="91">
        <f t="shared" si="2"/>
        <v>0.67013888888888884</v>
      </c>
      <c r="S107" s="91">
        <f>(Table5[[#This Row],[Fault Clearance time]]-Table5[[#This Row],[Work Start TimeStamp]])*24</f>
        <v>16.083333333333332</v>
      </c>
      <c r="T107" s="91">
        <f>(Table5[[#This Row],[Fault Clearance time]]-Table5[[#This Row],[Fault Start TimeStamp]])*24</f>
        <v>16.083333333333332</v>
      </c>
      <c r="U107" s="23" t="s">
        <v>798</v>
      </c>
      <c r="V107" s="79" t="s">
        <v>339</v>
      </c>
      <c r="W107" s="289">
        <f>IFERROR(Table5[[#This Row],[Breakdown Time]]*Table5[[#This Row],[Plant Equivalent Weightage]],"")</f>
        <v>0.36553030303030304</v>
      </c>
      <c r="X107" s="289" t="s">
        <v>394</v>
      </c>
      <c r="Y107" s="290" t="s">
        <v>100</v>
      </c>
      <c r="Z107" s="79"/>
      <c r="AA107" s="283">
        <v>3197</v>
      </c>
      <c r="AB107" s="79"/>
      <c r="AC107" s="23"/>
      <c r="AD107" s="23"/>
    </row>
    <row r="108" spans="1:30">
      <c r="A108" s="79">
        <f t="shared" si="3"/>
        <v>107</v>
      </c>
      <c r="B108" s="283">
        <f>YEAR(Table5[[#This Row],[Date]])+IF(MONTH(Table5[[#This Row],[Date]])&gt;=4,1,0)</f>
        <v>2026</v>
      </c>
      <c r="C108" s="79">
        <f>YEAR(Table5[[#This Row],[Date]])</f>
        <v>2025</v>
      </c>
      <c r="D108" s="79" t="s">
        <v>344</v>
      </c>
      <c r="E108" s="284">
        <f>Table5[[#This Row],[Date]]-DAY(Table5[[#This Row],[Date]])+1</f>
        <v>45778</v>
      </c>
      <c r="F108" s="285">
        <v>45786</v>
      </c>
      <c r="G108" s="79" t="s">
        <v>105</v>
      </c>
      <c r="H108" s="23" t="str">
        <f>IFERROR(_xlfn.XLOOKUP(Table5[[#This Row],[Affected WTG]],'Basic Data'!$A:$A,'Basic Data'!$B:$B),"")</f>
        <v>PWEPL</v>
      </c>
      <c r="I108" s="23" t="str">
        <f>IFERROR(_xlfn.XLOOKUP(Table5[[#This Row],[Affected WTG]],'Basic Data'!$A:$A,'Basic Data'!$C:$C),"")</f>
        <v>MSEDCL</v>
      </c>
      <c r="J108" s="286">
        <f>IFERROR(_xlfn.XLOOKUP(Table5[[#This Row],[Affected WTG]],'Basic Data'!$A:$A,'Basic Data'!$E:$E),"")</f>
        <v>2.2727272727272728E-2</v>
      </c>
      <c r="K108" s="79">
        <v>431</v>
      </c>
      <c r="L108" s="23" t="str">
        <f>IFERROR(_xlfn.XLOOKUP(Table5[[#This Row],[Error Code]],'Basic Data'!$W:$W,'Basic Data'!$X:$X),"Incorrect Error Code")</f>
        <v xml:space="preserve">Yaw tooth sensor 2 timeout </v>
      </c>
      <c r="M108" s="23" t="s">
        <v>797</v>
      </c>
      <c r="N108" s="23"/>
      <c r="O108" s="287">
        <v>0.29305555555555557</v>
      </c>
      <c r="P108" s="287">
        <v>0.29305555555555557</v>
      </c>
      <c r="Q108" s="287">
        <v>0.32291666666666669</v>
      </c>
      <c r="R108" s="91">
        <f t="shared" si="2"/>
        <v>2.9861111111111116E-2</v>
      </c>
      <c r="S108" s="91">
        <f>(Table5[[#This Row],[Fault Clearance time]]-Table5[[#This Row],[Work Start TimeStamp]])*24</f>
        <v>0.71666666666666679</v>
      </c>
      <c r="T108" s="91">
        <f>(Table5[[#This Row],[Fault Clearance time]]-Table5[[#This Row],[Fault Start TimeStamp]])*24</f>
        <v>0.71666666666666679</v>
      </c>
      <c r="U108" s="23" t="s">
        <v>799</v>
      </c>
      <c r="V108" s="79" t="s">
        <v>339</v>
      </c>
      <c r="W108" s="289">
        <f>IFERROR(Table5[[#This Row],[Breakdown Time]]*Table5[[#This Row],[Plant Equivalent Weightage]],"")</f>
        <v>1.6287878787878792E-2</v>
      </c>
      <c r="X108" s="289" t="s">
        <v>343</v>
      </c>
      <c r="Y108" s="290" t="s">
        <v>103</v>
      </c>
      <c r="Z108" s="79"/>
      <c r="AA108" s="283">
        <v>219</v>
      </c>
      <c r="AB108" s="79"/>
      <c r="AC108" s="23"/>
      <c r="AD108" s="23"/>
    </row>
    <row r="109" spans="1:30">
      <c r="A109" s="79">
        <f t="shared" si="3"/>
        <v>108</v>
      </c>
      <c r="B109" s="283">
        <f>YEAR(Table5[[#This Row],[Date]])+IF(MONTH(Table5[[#This Row],[Date]])&gt;=4,1,0)</f>
        <v>2026</v>
      </c>
      <c r="C109" s="79">
        <f>YEAR(Table5[[#This Row],[Date]])</f>
        <v>2025</v>
      </c>
      <c r="D109" s="79" t="s">
        <v>344</v>
      </c>
      <c r="E109" s="284">
        <f>Table5[[#This Row],[Date]]-DAY(Table5[[#This Row],[Date]])+1</f>
        <v>45778</v>
      </c>
      <c r="F109" s="285">
        <v>45786</v>
      </c>
      <c r="G109" s="79" t="s">
        <v>98</v>
      </c>
      <c r="H109" s="23" t="str">
        <f>IFERROR(_xlfn.XLOOKUP(Table5[[#This Row],[Affected WTG]],'Basic Data'!$A:$A,'Basic Data'!$B:$B),"")</f>
        <v>PWEPL</v>
      </c>
      <c r="I109" s="23" t="str">
        <f>IFERROR(_xlfn.XLOOKUP(Table5[[#This Row],[Affected WTG]],'Basic Data'!$A:$A,'Basic Data'!$C:$C),"")</f>
        <v>MSEDCL</v>
      </c>
      <c r="J109" s="286">
        <f>IFERROR(_xlfn.XLOOKUP(Table5[[#This Row],[Affected WTG]],'Basic Data'!$A:$A,'Basic Data'!$E:$E),"")</f>
        <v>2.2727272727272728E-2</v>
      </c>
      <c r="K109" s="79">
        <v>3</v>
      </c>
      <c r="L109" s="23" t="str">
        <f>IFERROR(_xlfn.XLOOKUP(Table5[[#This Row],[Error Code]],'Basic Data'!$W:$W,'Basic Data'!$X:$X),"Incorrect Error Code")</f>
        <v>Manual Stop</v>
      </c>
      <c r="M109" s="23" t="s">
        <v>792</v>
      </c>
      <c r="N109" s="23"/>
      <c r="O109" s="287">
        <v>0.36319444444444443</v>
      </c>
      <c r="P109" s="287">
        <v>0.36319444444444443</v>
      </c>
      <c r="Q109" s="287">
        <v>0.99930555555555556</v>
      </c>
      <c r="R109" s="91">
        <f t="shared" si="2"/>
        <v>0.63611111111111107</v>
      </c>
      <c r="S109" s="91">
        <f>(Table5[[#This Row],[Fault Clearance time]]-Table5[[#This Row],[Work Start TimeStamp]])*24</f>
        <v>15.266666666666666</v>
      </c>
      <c r="T109" s="91">
        <f>(Table5[[#This Row],[Fault Clearance time]]-Table5[[#This Row],[Fault Start TimeStamp]])*24</f>
        <v>15.266666666666666</v>
      </c>
      <c r="U109" s="23" t="s">
        <v>795</v>
      </c>
      <c r="V109" s="79" t="s">
        <v>339</v>
      </c>
      <c r="W109" s="289">
        <f>IFERROR(Table5[[#This Row],[Breakdown Time]]*Table5[[#This Row],[Plant Equivalent Weightage]],"")</f>
        <v>0.34696969696969698</v>
      </c>
      <c r="X109" s="289" t="s">
        <v>394</v>
      </c>
      <c r="Y109" s="290" t="s">
        <v>83</v>
      </c>
      <c r="Z109" s="79"/>
      <c r="AA109" s="283">
        <v>3034</v>
      </c>
      <c r="AB109" s="79"/>
      <c r="AC109" s="23"/>
      <c r="AD109" s="23"/>
    </row>
    <row r="110" spans="1:30">
      <c r="A110" s="79">
        <f t="shared" si="3"/>
        <v>109</v>
      </c>
      <c r="B110" s="283">
        <f>YEAR(Table5[[#This Row],[Date]])+IF(MONTH(Table5[[#This Row],[Date]])&gt;=4,1,0)</f>
        <v>2026</v>
      </c>
      <c r="C110" s="79">
        <f>YEAR(Table5[[#This Row],[Date]])</f>
        <v>2025</v>
      </c>
      <c r="D110" s="79" t="s">
        <v>344</v>
      </c>
      <c r="E110" s="284">
        <f>Table5[[#This Row],[Date]]-DAY(Table5[[#This Row],[Date]])+1</f>
        <v>45778</v>
      </c>
      <c r="F110" s="285">
        <v>45786</v>
      </c>
      <c r="G110" s="79" t="s">
        <v>100</v>
      </c>
      <c r="H110" s="23" t="str">
        <f>IFERROR(_xlfn.XLOOKUP(Table5[[#This Row],[Affected WTG]],'Basic Data'!$A:$A,'Basic Data'!$B:$B),"")</f>
        <v>PWEPL</v>
      </c>
      <c r="I110" s="23" t="str">
        <f>IFERROR(_xlfn.XLOOKUP(Table5[[#This Row],[Affected WTG]],'Basic Data'!$A:$A,'Basic Data'!$C:$C),"")</f>
        <v>MSEDCL</v>
      </c>
      <c r="J110" s="286">
        <f>IFERROR(_xlfn.XLOOKUP(Table5[[#This Row],[Affected WTG]],'Basic Data'!$A:$A,'Basic Data'!$E:$E),"")</f>
        <v>2.2727272727272728E-2</v>
      </c>
      <c r="K110" s="79">
        <v>3</v>
      </c>
      <c r="L110" s="23" t="str">
        <f>IFERROR(_xlfn.XLOOKUP(Table5[[#This Row],[Error Code]],'Basic Data'!$W:$W,'Basic Data'!$X:$X),"Incorrect Error Code")</f>
        <v>Manual Stop</v>
      </c>
      <c r="M110" s="23" t="s">
        <v>792</v>
      </c>
      <c r="N110" s="23"/>
      <c r="O110" s="287">
        <v>0.53263888888888888</v>
      </c>
      <c r="P110" s="287">
        <v>0.53263888888888888</v>
      </c>
      <c r="Q110" s="287">
        <v>0.99930555555555556</v>
      </c>
      <c r="R110" s="91">
        <f t="shared" si="2"/>
        <v>0.46666666666666667</v>
      </c>
      <c r="S110" s="91">
        <f>(Table5[[#This Row],[Fault Clearance time]]-Table5[[#This Row],[Work Start TimeStamp]])*24</f>
        <v>11.2</v>
      </c>
      <c r="T110" s="91">
        <f>(Table5[[#This Row],[Fault Clearance time]]-Table5[[#This Row],[Fault Start TimeStamp]])*24</f>
        <v>11.2</v>
      </c>
      <c r="U110" s="23" t="s">
        <v>795</v>
      </c>
      <c r="V110" s="79" t="s">
        <v>339</v>
      </c>
      <c r="W110" s="289">
        <f>IFERROR(Table5[[#This Row],[Breakdown Time]]*Table5[[#This Row],[Plant Equivalent Weightage]],"")</f>
        <v>0.25454545454545452</v>
      </c>
      <c r="X110" s="289" t="s">
        <v>394</v>
      </c>
      <c r="Y110" s="290" t="s">
        <v>101</v>
      </c>
      <c r="Z110" s="79"/>
      <c r="AA110" s="283">
        <v>2226</v>
      </c>
      <c r="AB110" s="79"/>
      <c r="AC110" s="23"/>
      <c r="AD110" s="23"/>
    </row>
    <row r="111" spans="1:30">
      <c r="A111" s="79">
        <f t="shared" si="3"/>
        <v>110</v>
      </c>
      <c r="B111" s="283">
        <f>YEAR(Table5[[#This Row],[Date]])+IF(MONTH(Table5[[#This Row],[Date]])&gt;=4,1,0)</f>
        <v>2026</v>
      </c>
      <c r="C111" s="79">
        <f>YEAR(Table5[[#This Row],[Date]])</f>
        <v>2025</v>
      </c>
      <c r="D111" s="79" t="s">
        <v>344</v>
      </c>
      <c r="E111" s="284">
        <f>Table5[[#This Row],[Date]]-DAY(Table5[[#This Row],[Date]])+1</f>
        <v>45778</v>
      </c>
      <c r="F111" s="285">
        <v>45786</v>
      </c>
      <c r="G111" s="79" t="s">
        <v>89</v>
      </c>
      <c r="H111" s="23" t="str">
        <f>IFERROR(_xlfn.XLOOKUP(Table5[[#This Row],[Affected WTG]],'Basic Data'!$A:$A,'Basic Data'!$B:$B),"")</f>
        <v>PWEPL</v>
      </c>
      <c r="I111" s="23" t="str">
        <f>IFERROR(_xlfn.XLOOKUP(Table5[[#This Row],[Affected WTG]],'Basic Data'!$A:$A,'Basic Data'!$C:$C),"")</f>
        <v>MSEDCL</v>
      </c>
      <c r="J111" s="286">
        <f>IFERROR(_xlfn.XLOOKUP(Table5[[#This Row],[Affected WTG]],'Basic Data'!$A:$A,'Basic Data'!$E:$E),"")</f>
        <v>2.2727272727272728E-2</v>
      </c>
      <c r="K111" s="79">
        <v>3</v>
      </c>
      <c r="L111" s="23" t="str">
        <f>IFERROR(_xlfn.XLOOKUP(Table5[[#This Row],[Error Code]],'Basic Data'!$W:$W,'Basic Data'!$X:$X),"Incorrect Error Code")</f>
        <v>Manual Stop</v>
      </c>
      <c r="M111" s="23" t="s">
        <v>792</v>
      </c>
      <c r="N111" s="23"/>
      <c r="O111" s="287">
        <v>0.73541666666666661</v>
      </c>
      <c r="P111" s="287">
        <v>0.73541666666666661</v>
      </c>
      <c r="Q111" s="287">
        <v>0.99930555555555556</v>
      </c>
      <c r="R111" s="91">
        <f t="shared" si="2"/>
        <v>0.26388888888888895</v>
      </c>
      <c r="S111" s="91">
        <f>(Table5[[#This Row],[Fault Clearance time]]-Table5[[#This Row],[Work Start TimeStamp]])*24</f>
        <v>6.3333333333333348</v>
      </c>
      <c r="T111" s="91">
        <f>(Table5[[#This Row],[Fault Clearance time]]-Table5[[#This Row],[Fault Start TimeStamp]])*24</f>
        <v>6.3333333333333348</v>
      </c>
      <c r="U111" s="23" t="s">
        <v>795</v>
      </c>
      <c r="V111" s="79" t="s">
        <v>339</v>
      </c>
      <c r="W111" s="289">
        <f>IFERROR(Table5[[#This Row],[Breakdown Time]]*Table5[[#This Row],[Plant Equivalent Weightage]],"")</f>
        <v>0.14393939393939398</v>
      </c>
      <c r="X111" s="289" t="s">
        <v>394</v>
      </c>
      <c r="Y111" s="290" t="s">
        <v>88</v>
      </c>
      <c r="Z111" s="79"/>
      <c r="AA111" s="283">
        <v>1259</v>
      </c>
      <c r="AB111" s="79"/>
      <c r="AC111" s="23"/>
      <c r="AD111" s="23"/>
    </row>
    <row r="112" spans="1:30">
      <c r="A112" s="79">
        <f t="shared" si="3"/>
        <v>111</v>
      </c>
      <c r="B112" s="283">
        <f>YEAR(Table5[[#This Row],[Date]])+IF(MONTH(Table5[[#This Row],[Date]])&gt;=4,1,0)</f>
        <v>2026</v>
      </c>
      <c r="C112" s="79">
        <f>YEAR(Table5[[#This Row],[Date]])</f>
        <v>2025</v>
      </c>
      <c r="D112" s="79" t="s">
        <v>344</v>
      </c>
      <c r="E112" s="284">
        <f>Table5[[#This Row],[Date]]-DAY(Table5[[#This Row],[Date]])+1</f>
        <v>45778</v>
      </c>
      <c r="F112" s="285">
        <v>45787</v>
      </c>
      <c r="G112" s="79" t="s">
        <v>98</v>
      </c>
      <c r="H112" s="23" t="str">
        <f>IFERROR(_xlfn.XLOOKUP(Table5[[#This Row],[Affected WTG]],'Basic Data'!$A:$A,'Basic Data'!$B:$B),"")</f>
        <v>PWEPL</v>
      </c>
      <c r="I112" s="23" t="str">
        <f>IFERROR(_xlfn.XLOOKUP(Table5[[#This Row],[Affected WTG]],'Basic Data'!$A:$A,'Basic Data'!$C:$C),"")</f>
        <v>MSEDCL</v>
      </c>
      <c r="J112" s="286">
        <f>IFERROR(_xlfn.XLOOKUP(Table5[[#This Row],[Affected WTG]],'Basic Data'!$A:$A,'Basic Data'!$E:$E),"")</f>
        <v>2.2727272727272728E-2</v>
      </c>
      <c r="K112" s="79">
        <v>3</v>
      </c>
      <c r="L112" s="23" t="str">
        <f>IFERROR(_xlfn.XLOOKUP(Table5[[#This Row],[Error Code]],'Basic Data'!$W:$W,'Basic Data'!$X:$X),"Incorrect Error Code")</f>
        <v>Manual Stop</v>
      </c>
      <c r="M112" s="23" t="s">
        <v>792</v>
      </c>
      <c r="N112" s="23"/>
      <c r="O112" s="287">
        <v>0</v>
      </c>
      <c r="P112" s="287">
        <v>0</v>
      </c>
      <c r="Q112" s="287">
        <v>0.50972222222222219</v>
      </c>
      <c r="R112" s="91">
        <f t="shared" si="2"/>
        <v>0.50972222222222219</v>
      </c>
      <c r="S112" s="91">
        <f>(Table5[[#This Row],[Fault Clearance time]]-Table5[[#This Row],[Work Start TimeStamp]])*24</f>
        <v>12.233333333333333</v>
      </c>
      <c r="T112" s="91">
        <f>(Table5[[#This Row],[Fault Clearance time]]-Table5[[#This Row],[Fault Start TimeStamp]])*24</f>
        <v>12.233333333333333</v>
      </c>
      <c r="U112" s="23" t="s">
        <v>798</v>
      </c>
      <c r="V112" s="79" t="s">
        <v>339</v>
      </c>
      <c r="W112" s="289">
        <f>IFERROR(Table5[[#This Row],[Breakdown Time]]*Table5[[#This Row],[Plant Equivalent Weightage]],"")</f>
        <v>0.27803030303030302</v>
      </c>
      <c r="X112" s="289" t="s">
        <v>394</v>
      </c>
      <c r="Y112" s="290" t="s">
        <v>99</v>
      </c>
      <c r="Z112" s="79"/>
      <c r="AA112" s="283">
        <v>1809</v>
      </c>
      <c r="AB112" s="79"/>
      <c r="AC112" s="23"/>
      <c r="AD112" s="23"/>
    </row>
    <row r="113" spans="1:30">
      <c r="A113" s="79">
        <f t="shared" si="3"/>
        <v>112</v>
      </c>
      <c r="B113" s="283">
        <f>YEAR(Table5[[#This Row],[Date]])+IF(MONTH(Table5[[#This Row],[Date]])&gt;=4,1,0)</f>
        <v>2026</v>
      </c>
      <c r="C113" s="79">
        <f>YEAR(Table5[[#This Row],[Date]])</f>
        <v>2025</v>
      </c>
      <c r="D113" s="79" t="s">
        <v>344</v>
      </c>
      <c r="E113" s="284">
        <f>Table5[[#This Row],[Date]]-DAY(Table5[[#This Row],[Date]])+1</f>
        <v>45778</v>
      </c>
      <c r="F113" s="285">
        <v>45787</v>
      </c>
      <c r="G113" s="79" t="s">
        <v>100</v>
      </c>
      <c r="H113" s="23" t="str">
        <f>IFERROR(_xlfn.XLOOKUP(Table5[[#This Row],[Affected WTG]],'Basic Data'!$A:$A,'Basic Data'!$B:$B),"")</f>
        <v>PWEPL</v>
      </c>
      <c r="I113" s="23" t="str">
        <f>IFERROR(_xlfn.XLOOKUP(Table5[[#This Row],[Affected WTG]],'Basic Data'!$A:$A,'Basic Data'!$C:$C),"")</f>
        <v>MSEDCL</v>
      </c>
      <c r="J113" s="286">
        <f>IFERROR(_xlfn.XLOOKUP(Table5[[#This Row],[Affected WTG]],'Basic Data'!$A:$A,'Basic Data'!$E:$E),"")</f>
        <v>2.2727272727272728E-2</v>
      </c>
      <c r="K113" s="79">
        <v>3</v>
      </c>
      <c r="L113" s="23" t="str">
        <f>IFERROR(_xlfn.XLOOKUP(Table5[[#This Row],[Error Code]],'Basic Data'!$W:$W,'Basic Data'!$X:$X),"Incorrect Error Code")</f>
        <v>Manual Stop</v>
      </c>
      <c r="M113" s="23" t="s">
        <v>792</v>
      </c>
      <c r="N113" s="23"/>
      <c r="O113" s="287">
        <v>0</v>
      </c>
      <c r="P113" s="287">
        <v>0</v>
      </c>
      <c r="Q113" s="287">
        <v>0.45763888888888887</v>
      </c>
      <c r="R113" s="91">
        <f t="shared" si="2"/>
        <v>0.45763888888888887</v>
      </c>
      <c r="S113" s="91">
        <f>(Table5[[#This Row],[Fault Clearance time]]-Table5[[#This Row],[Work Start TimeStamp]])*24</f>
        <v>10.983333333333333</v>
      </c>
      <c r="T113" s="91">
        <f>(Table5[[#This Row],[Fault Clearance time]]-Table5[[#This Row],[Fault Start TimeStamp]])*24</f>
        <v>10.983333333333333</v>
      </c>
      <c r="U113" s="23" t="s">
        <v>798</v>
      </c>
      <c r="V113" s="79" t="s">
        <v>339</v>
      </c>
      <c r="W113" s="289">
        <f>IFERROR(Table5[[#This Row],[Breakdown Time]]*Table5[[#This Row],[Plant Equivalent Weightage]],"")</f>
        <v>0.2496212121212121</v>
      </c>
      <c r="X113" s="289" t="s">
        <v>394</v>
      </c>
      <c r="Y113" s="290" t="s">
        <v>99</v>
      </c>
      <c r="Z113" s="79"/>
      <c r="AA113" s="283">
        <v>1624</v>
      </c>
      <c r="AB113" s="79"/>
      <c r="AC113" s="23"/>
      <c r="AD113" s="23"/>
    </row>
    <row r="114" spans="1:30">
      <c r="A114" s="79">
        <f t="shared" si="3"/>
        <v>113</v>
      </c>
      <c r="B114" s="283">
        <f>YEAR(Table5[[#This Row],[Date]])+IF(MONTH(Table5[[#This Row],[Date]])&gt;=4,1,0)</f>
        <v>2026</v>
      </c>
      <c r="C114" s="79">
        <f>YEAR(Table5[[#This Row],[Date]])</f>
        <v>2025</v>
      </c>
      <c r="D114" s="79" t="s">
        <v>344</v>
      </c>
      <c r="E114" s="284">
        <f>Table5[[#This Row],[Date]]-DAY(Table5[[#This Row],[Date]])+1</f>
        <v>45778</v>
      </c>
      <c r="F114" s="285">
        <v>45787</v>
      </c>
      <c r="G114" s="79" t="s">
        <v>89</v>
      </c>
      <c r="H114" s="23" t="str">
        <f>IFERROR(_xlfn.XLOOKUP(Table5[[#This Row],[Affected WTG]],'Basic Data'!$A:$A,'Basic Data'!$B:$B),"")</f>
        <v>PWEPL</v>
      </c>
      <c r="I114" s="23" t="str">
        <f>IFERROR(_xlfn.XLOOKUP(Table5[[#This Row],[Affected WTG]],'Basic Data'!$A:$A,'Basic Data'!$C:$C),"")</f>
        <v>MSEDCL</v>
      </c>
      <c r="J114" s="286">
        <f>IFERROR(_xlfn.XLOOKUP(Table5[[#This Row],[Affected WTG]],'Basic Data'!$A:$A,'Basic Data'!$E:$E),"")</f>
        <v>2.2727272727272728E-2</v>
      </c>
      <c r="K114" s="79">
        <v>3</v>
      </c>
      <c r="L114" s="23" t="str">
        <f>IFERROR(_xlfn.XLOOKUP(Table5[[#This Row],[Error Code]],'Basic Data'!$W:$W,'Basic Data'!$X:$X),"Incorrect Error Code")</f>
        <v>Manual Stop</v>
      </c>
      <c r="M114" s="23" t="s">
        <v>792</v>
      </c>
      <c r="N114" s="23"/>
      <c r="O114" s="287">
        <v>0</v>
      </c>
      <c r="P114" s="287">
        <v>0</v>
      </c>
      <c r="Q114" s="287">
        <v>0.74375000000000002</v>
      </c>
      <c r="R114" s="91">
        <f t="shared" si="2"/>
        <v>0.74375000000000002</v>
      </c>
      <c r="S114" s="91">
        <f>(Table5[[#This Row],[Fault Clearance time]]-Table5[[#This Row],[Work Start TimeStamp]])*24</f>
        <v>17.850000000000001</v>
      </c>
      <c r="T114" s="91">
        <f>(Table5[[#This Row],[Fault Clearance time]]-Table5[[#This Row],[Fault Start TimeStamp]])*24</f>
        <v>17.850000000000001</v>
      </c>
      <c r="U114" s="23" t="s">
        <v>798</v>
      </c>
      <c r="V114" s="79" t="s">
        <v>339</v>
      </c>
      <c r="W114" s="289">
        <f>IFERROR(Table5[[#This Row],[Breakdown Time]]*Table5[[#This Row],[Plant Equivalent Weightage]],"")</f>
        <v>0.4056818181818182</v>
      </c>
      <c r="X114" s="289" t="s">
        <v>394</v>
      </c>
      <c r="Y114" s="290" t="s">
        <v>88</v>
      </c>
      <c r="Z114" s="79"/>
      <c r="AA114" s="283">
        <v>2639</v>
      </c>
      <c r="AB114" s="79"/>
      <c r="AC114" s="23"/>
      <c r="AD114" s="23"/>
    </row>
    <row r="115" spans="1:30">
      <c r="A115" s="79">
        <f t="shared" si="3"/>
        <v>114</v>
      </c>
      <c r="B115" s="283">
        <f>YEAR(Table5[[#This Row],[Date]])+IF(MONTH(Table5[[#This Row],[Date]])&gt;=4,1,0)</f>
        <v>2026</v>
      </c>
      <c r="C115" s="79">
        <f>YEAR(Table5[[#This Row],[Date]])</f>
        <v>2025</v>
      </c>
      <c r="D115" s="79" t="s">
        <v>344</v>
      </c>
      <c r="E115" s="284">
        <f>Table5[[#This Row],[Date]]-DAY(Table5[[#This Row],[Date]])+1</f>
        <v>45778</v>
      </c>
      <c r="F115" s="285">
        <v>45787</v>
      </c>
      <c r="G115" s="79" t="s">
        <v>97</v>
      </c>
      <c r="H115" s="23" t="str">
        <f>IFERROR(_xlfn.XLOOKUP(Table5[[#This Row],[Affected WTG]],'Basic Data'!$A:$A,'Basic Data'!$B:$B),"")</f>
        <v>PWEPL</v>
      </c>
      <c r="I115" s="23" t="str">
        <f>IFERROR(_xlfn.XLOOKUP(Table5[[#This Row],[Affected WTG]],'Basic Data'!$A:$A,'Basic Data'!$C:$C),"")</f>
        <v>MSEDCL</v>
      </c>
      <c r="J115" s="286">
        <f>IFERROR(_xlfn.XLOOKUP(Table5[[#This Row],[Affected WTG]],'Basic Data'!$A:$A,'Basic Data'!$E:$E),"")</f>
        <v>2.2727272727272728E-2</v>
      </c>
      <c r="K115" s="79">
        <v>3</v>
      </c>
      <c r="L115" s="23" t="str">
        <f>IFERROR(_xlfn.XLOOKUP(Table5[[#This Row],[Error Code]],'Basic Data'!$W:$W,'Basic Data'!$X:$X),"Incorrect Error Code")</f>
        <v>Manual Stop</v>
      </c>
      <c r="M115" s="23" t="s">
        <v>792</v>
      </c>
      <c r="N115" s="23"/>
      <c r="O115" s="287">
        <v>0.37291666666666662</v>
      </c>
      <c r="P115" s="287">
        <v>0.37291666666666662</v>
      </c>
      <c r="Q115" s="287">
        <v>0.99930555555555556</v>
      </c>
      <c r="R115" s="91">
        <f t="shared" si="2"/>
        <v>0.62638888888888888</v>
      </c>
      <c r="S115" s="91">
        <f>(Table5[[#This Row],[Fault Clearance time]]-Table5[[#This Row],[Work Start TimeStamp]])*24</f>
        <v>15.033333333333333</v>
      </c>
      <c r="T115" s="91">
        <f>(Table5[[#This Row],[Fault Clearance time]]-Table5[[#This Row],[Fault Start TimeStamp]])*24</f>
        <v>15.033333333333333</v>
      </c>
      <c r="U115" s="23" t="s">
        <v>795</v>
      </c>
      <c r="V115" s="79" t="s">
        <v>339</v>
      </c>
      <c r="W115" s="289">
        <f>IFERROR(Table5[[#This Row],[Breakdown Time]]*Table5[[#This Row],[Plant Equivalent Weightage]],"")</f>
        <v>0.34166666666666667</v>
      </c>
      <c r="X115" s="289" t="s">
        <v>394</v>
      </c>
      <c r="Y115" s="290" t="s">
        <v>96</v>
      </c>
      <c r="Z115" s="79"/>
      <c r="AA115" s="283">
        <v>2223</v>
      </c>
      <c r="AB115" s="79"/>
      <c r="AC115" s="23"/>
      <c r="AD115" s="23"/>
    </row>
    <row r="116" spans="1:30">
      <c r="A116" s="79">
        <f t="shared" si="3"/>
        <v>115</v>
      </c>
      <c r="B116" s="283">
        <f>YEAR(Table5[[#This Row],[Date]])+IF(MONTH(Table5[[#This Row],[Date]])&gt;=4,1,0)</f>
        <v>2026</v>
      </c>
      <c r="C116" s="79">
        <f>YEAR(Table5[[#This Row],[Date]])</f>
        <v>2025</v>
      </c>
      <c r="D116" s="79" t="s">
        <v>344</v>
      </c>
      <c r="E116" s="284">
        <f>Table5[[#This Row],[Date]]-DAY(Table5[[#This Row],[Date]])+1</f>
        <v>45778</v>
      </c>
      <c r="F116" s="285">
        <v>45787</v>
      </c>
      <c r="G116" s="79" t="s">
        <v>107</v>
      </c>
      <c r="H116" s="23" t="str">
        <f>IFERROR(_xlfn.XLOOKUP(Table5[[#This Row],[Affected WTG]],'Basic Data'!$A:$A,'Basic Data'!$B:$B),"")</f>
        <v>PWEPL</v>
      </c>
      <c r="I116" s="23" t="str">
        <f>IFERROR(_xlfn.XLOOKUP(Table5[[#This Row],[Affected WTG]],'Basic Data'!$A:$A,'Basic Data'!$C:$C),"")</f>
        <v>MSEDCL</v>
      </c>
      <c r="J116" s="286">
        <f>IFERROR(_xlfn.XLOOKUP(Table5[[#This Row],[Affected WTG]],'Basic Data'!$A:$A,'Basic Data'!$E:$E),"")</f>
        <v>2.2727272727272728E-2</v>
      </c>
      <c r="K116" s="79">
        <v>106</v>
      </c>
      <c r="L116" s="23" t="str">
        <f>IFERROR(_xlfn.XLOOKUP(Table5[[#This Row],[Error Code]],'Basic Data'!$W:$W,'Basic Data'!$X:$X),"Incorrect Error Code")</f>
        <v>Rotor CCU fault current</v>
      </c>
      <c r="M116" s="23" t="s">
        <v>800</v>
      </c>
      <c r="N116" s="23"/>
      <c r="O116" s="287">
        <v>0.56597222222222221</v>
      </c>
      <c r="P116" s="287">
        <v>0.56597222222222221</v>
      </c>
      <c r="Q116" s="287">
        <v>0.64513888888888882</v>
      </c>
      <c r="R116" s="91">
        <f t="shared" si="2"/>
        <v>7.9166666666666607E-2</v>
      </c>
      <c r="S116" s="91">
        <f>(Table5[[#This Row],[Fault Clearance time]]-Table5[[#This Row],[Work Start TimeStamp]])*24</f>
        <v>1.8999999999999986</v>
      </c>
      <c r="T116" s="91">
        <f>(Table5[[#This Row],[Fault Clearance time]]-Table5[[#This Row],[Fault Start TimeStamp]])*24</f>
        <v>1.8999999999999986</v>
      </c>
      <c r="U116" s="23" t="s">
        <v>801</v>
      </c>
      <c r="V116" s="79" t="s">
        <v>339</v>
      </c>
      <c r="W116" s="289">
        <f>IFERROR(Table5[[#This Row],[Breakdown Time]]*Table5[[#This Row],[Plant Equivalent Weightage]],"")</f>
        <v>4.3181818181818148E-2</v>
      </c>
      <c r="X116" s="289" t="s">
        <v>343</v>
      </c>
      <c r="Y116" s="290" t="s">
        <v>80</v>
      </c>
      <c r="Z116" s="79"/>
      <c r="AA116" s="283">
        <v>70</v>
      </c>
      <c r="AB116" s="79"/>
      <c r="AC116" s="23"/>
      <c r="AD116" s="23"/>
    </row>
    <row r="117" spans="1:30">
      <c r="A117" s="79">
        <f t="shared" si="3"/>
        <v>116</v>
      </c>
      <c r="B117" s="283">
        <f>YEAR(Table5[[#This Row],[Date]])+IF(MONTH(Table5[[#This Row],[Date]])&gt;=4,1,0)</f>
        <v>2026</v>
      </c>
      <c r="C117" s="79">
        <f>YEAR(Table5[[#This Row],[Date]])</f>
        <v>2025</v>
      </c>
      <c r="D117" s="79" t="s">
        <v>344</v>
      </c>
      <c r="E117" s="284">
        <f>Table5[[#This Row],[Date]]-DAY(Table5[[#This Row],[Date]])+1</f>
        <v>45778</v>
      </c>
      <c r="F117" s="285">
        <v>45787</v>
      </c>
      <c r="G117" s="79" t="s">
        <v>105</v>
      </c>
      <c r="H117" s="23" t="str">
        <f>IFERROR(_xlfn.XLOOKUP(Table5[[#This Row],[Affected WTG]],'Basic Data'!$A:$A,'Basic Data'!$B:$B),"")</f>
        <v>PWEPL</v>
      </c>
      <c r="I117" s="23" t="str">
        <f>IFERROR(_xlfn.XLOOKUP(Table5[[#This Row],[Affected WTG]],'Basic Data'!$A:$A,'Basic Data'!$C:$C),"")</f>
        <v>MSEDCL</v>
      </c>
      <c r="J117" s="286">
        <f>IFERROR(_xlfn.XLOOKUP(Table5[[#This Row],[Affected WTG]],'Basic Data'!$A:$A,'Basic Data'!$E:$E),"")</f>
        <v>2.2727272727272728E-2</v>
      </c>
      <c r="K117" s="79">
        <v>431</v>
      </c>
      <c r="L117" s="23" t="str">
        <f>IFERROR(_xlfn.XLOOKUP(Table5[[#This Row],[Error Code]],'Basic Data'!$W:$W,'Basic Data'!$X:$X),"Incorrect Error Code")</f>
        <v xml:space="preserve">Yaw tooth sensor 2 timeout </v>
      </c>
      <c r="M117" s="23" t="s">
        <v>797</v>
      </c>
      <c r="N117" s="23"/>
      <c r="O117" s="287">
        <v>0.77708333333333324</v>
      </c>
      <c r="P117" s="287">
        <v>0.77708333333333324</v>
      </c>
      <c r="Q117" s="287">
        <v>0.82986111111111116</v>
      </c>
      <c r="R117" s="91">
        <f t="shared" si="2"/>
        <v>5.2777777777777923E-2</v>
      </c>
      <c r="S117" s="91">
        <f>(Table5[[#This Row],[Fault Clearance time]]-Table5[[#This Row],[Work Start TimeStamp]])*24</f>
        <v>1.2666666666666702</v>
      </c>
      <c r="T117" s="91">
        <f>(Table5[[#This Row],[Fault Clearance time]]-Table5[[#This Row],[Fault Start TimeStamp]])*24</f>
        <v>1.2666666666666702</v>
      </c>
      <c r="U117" s="23" t="s">
        <v>802</v>
      </c>
      <c r="V117" s="79" t="s">
        <v>339</v>
      </c>
      <c r="W117" s="289">
        <f>IFERROR(Table5[[#This Row],[Breakdown Time]]*Table5[[#This Row],[Plant Equivalent Weightage]],"")</f>
        <v>2.8787878787878869E-2</v>
      </c>
      <c r="X117" s="289" t="s">
        <v>343</v>
      </c>
      <c r="Y117" s="290" t="s">
        <v>103</v>
      </c>
      <c r="Z117" s="79"/>
      <c r="AA117" s="283">
        <v>82</v>
      </c>
      <c r="AB117" s="79"/>
      <c r="AC117" s="23"/>
      <c r="AD117" s="23"/>
    </row>
    <row r="118" spans="1:30">
      <c r="A118" s="79">
        <f t="shared" si="3"/>
        <v>117</v>
      </c>
      <c r="B118" s="283">
        <f>YEAR(Table5[[#This Row],[Date]])+IF(MONTH(Table5[[#This Row],[Date]])&gt;=4,1,0)</f>
        <v>2026</v>
      </c>
      <c r="C118" s="79">
        <f>YEAR(Table5[[#This Row],[Date]])</f>
        <v>2025</v>
      </c>
      <c r="D118" s="79" t="s">
        <v>344</v>
      </c>
      <c r="E118" s="284">
        <f>Table5[[#This Row],[Date]]-DAY(Table5[[#This Row],[Date]])+1</f>
        <v>45778</v>
      </c>
      <c r="F118" s="285">
        <v>45788</v>
      </c>
      <c r="G118" s="79" t="s">
        <v>97</v>
      </c>
      <c r="H118" s="23" t="str">
        <f>IFERROR(_xlfn.XLOOKUP(Table5[[#This Row],[Affected WTG]],'Basic Data'!$A:$A,'Basic Data'!$B:$B),"")</f>
        <v>PWEPL</v>
      </c>
      <c r="I118" s="23" t="str">
        <f>IFERROR(_xlfn.XLOOKUP(Table5[[#This Row],[Affected WTG]],'Basic Data'!$A:$A,'Basic Data'!$C:$C),"")</f>
        <v>MSEDCL</v>
      </c>
      <c r="J118" s="286">
        <f>IFERROR(_xlfn.XLOOKUP(Table5[[#This Row],[Affected WTG]],'Basic Data'!$A:$A,'Basic Data'!$E:$E),"")</f>
        <v>2.2727272727272728E-2</v>
      </c>
      <c r="K118" s="79">
        <v>3</v>
      </c>
      <c r="L118" s="23" t="str">
        <f>IFERROR(_xlfn.XLOOKUP(Table5[[#This Row],[Error Code]],'Basic Data'!$W:$W,'Basic Data'!$X:$X),"Incorrect Error Code")</f>
        <v>Manual Stop</v>
      </c>
      <c r="M118" s="23" t="s">
        <v>792</v>
      </c>
      <c r="N118" s="23"/>
      <c r="O118" s="287">
        <v>0</v>
      </c>
      <c r="P118" s="287">
        <v>0</v>
      </c>
      <c r="Q118" s="287">
        <v>0.52638888888888891</v>
      </c>
      <c r="R118" s="91">
        <f t="shared" si="2"/>
        <v>0.52638888888888891</v>
      </c>
      <c r="S118" s="91">
        <f>(Table5[[#This Row],[Fault Clearance time]]-Table5[[#This Row],[Work Start TimeStamp]])*24</f>
        <v>12.633333333333333</v>
      </c>
      <c r="T118" s="91">
        <f>(Table5[[#This Row],[Fault Clearance time]]-Table5[[#This Row],[Fault Start TimeStamp]])*24</f>
        <v>12.633333333333333</v>
      </c>
      <c r="U118" s="23" t="s">
        <v>798</v>
      </c>
      <c r="V118" s="79" t="s">
        <v>339</v>
      </c>
      <c r="W118" s="289">
        <f>IFERROR(Table5[[#This Row],[Breakdown Time]]*Table5[[#This Row],[Plant Equivalent Weightage]],"")</f>
        <v>0.28712121212121211</v>
      </c>
      <c r="X118" s="289" t="s">
        <v>394</v>
      </c>
      <c r="Y118" s="290" t="s">
        <v>96</v>
      </c>
      <c r="Z118" s="79"/>
      <c r="AA118" s="283">
        <v>1293</v>
      </c>
      <c r="AB118" s="79"/>
      <c r="AC118" s="23"/>
      <c r="AD118" s="23"/>
    </row>
    <row r="119" spans="1:30">
      <c r="A119" s="79">
        <f t="shared" si="3"/>
        <v>118</v>
      </c>
      <c r="B119" s="283">
        <f>YEAR(Table5[[#This Row],[Date]])+IF(MONTH(Table5[[#This Row],[Date]])&gt;=4,1,0)</f>
        <v>2026</v>
      </c>
      <c r="C119" s="79">
        <f>YEAR(Table5[[#This Row],[Date]])</f>
        <v>2025</v>
      </c>
      <c r="D119" s="79" t="s">
        <v>344</v>
      </c>
      <c r="E119" s="284">
        <f>Table5[[#This Row],[Date]]-DAY(Table5[[#This Row],[Date]])+1</f>
        <v>45778</v>
      </c>
      <c r="F119" s="285">
        <v>45788</v>
      </c>
      <c r="G119" s="79" t="s">
        <v>115</v>
      </c>
      <c r="H119" s="23" t="str">
        <f>IFERROR(_xlfn.XLOOKUP(Table5[[#This Row],[Affected WTG]],'Basic Data'!$A:$A,'Basic Data'!$B:$B),"")</f>
        <v>PWEPL</v>
      </c>
      <c r="I119" s="23" t="str">
        <f>IFERROR(_xlfn.XLOOKUP(Table5[[#This Row],[Affected WTG]],'Basic Data'!$A:$A,'Basic Data'!$C:$C),"")</f>
        <v>MSEDCL</v>
      </c>
      <c r="J119" s="286">
        <f>IFERROR(_xlfn.XLOOKUP(Table5[[#This Row],[Affected WTG]],'Basic Data'!$A:$A,'Basic Data'!$E:$E),"")</f>
        <v>2.2727272727272728E-2</v>
      </c>
      <c r="K119" s="79">
        <v>3</v>
      </c>
      <c r="L119" s="23" t="str">
        <f>IFERROR(_xlfn.XLOOKUP(Table5[[#This Row],[Error Code]],'Basic Data'!$W:$W,'Basic Data'!$X:$X),"Incorrect Error Code")</f>
        <v>Manual Stop</v>
      </c>
      <c r="M119" s="23" t="s">
        <v>792</v>
      </c>
      <c r="N119" s="23"/>
      <c r="O119" s="287">
        <v>0.38958333333333334</v>
      </c>
      <c r="P119" s="287">
        <v>0.38958333333333334</v>
      </c>
      <c r="Q119" s="287">
        <v>0.99930555555555556</v>
      </c>
      <c r="R119" s="91">
        <f t="shared" si="2"/>
        <v>0.60972222222222228</v>
      </c>
      <c r="S119" s="91">
        <f>(Table5[[#This Row],[Fault Clearance time]]-Table5[[#This Row],[Work Start TimeStamp]])*24</f>
        <v>14.633333333333335</v>
      </c>
      <c r="T119" s="91">
        <f>(Table5[[#This Row],[Fault Clearance time]]-Table5[[#This Row],[Fault Start TimeStamp]])*24</f>
        <v>14.633333333333335</v>
      </c>
      <c r="U119" s="23" t="s">
        <v>795</v>
      </c>
      <c r="V119" s="79" t="s">
        <v>339</v>
      </c>
      <c r="W119" s="289">
        <f>IFERROR(Table5[[#This Row],[Breakdown Time]]*Table5[[#This Row],[Plant Equivalent Weightage]],"")</f>
        <v>0.33257575757575764</v>
      </c>
      <c r="X119" s="289" t="s">
        <v>394</v>
      </c>
      <c r="Y119" s="290" t="s">
        <v>116</v>
      </c>
      <c r="Z119" s="79"/>
      <c r="AA119" s="283">
        <v>1498</v>
      </c>
      <c r="AB119" s="79"/>
      <c r="AC119" s="23"/>
      <c r="AD119" s="23"/>
    </row>
    <row r="120" spans="1:30">
      <c r="A120" s="79">
        <f t="shared" si="3"/>
        <v>119</v>
      </c>
      <c r="B120" s="283">
        <f>YEAR(Table5[[#This Row],[Date]])+IF(MONTH(Table5[[#This Row],[Date]])&gt;=4,1,0)</f>
        <v>2026</v>
      </c>
      <c r="C120" s="79">
        <f>YEAR(Table5[[#This Row],[Date]])</f>
        <v>2025</v>
      </c>
      <c r="D120" s="79" t="s">
        <v>344</v>
      </c>
      <c r="E120" s="284">
        <f>Table5[[#This Row],[Date]]-DAY(Table5[[#This Row],[Date]])+1</f>
        <v>45778</v>
      </c>
      <c r="F120" s="285">
        <v>45788</v>
      </c>
      <c r="G120" s="79" t="s">
        <v>117</v>
      </c>
      <c r="H120" s="23" t="str">
        <f>IFERROR(_xlfn.XLOOKUP(Table5[[#This Row],[Affected WTG]],'Basic Data'!$A:$A,'Basic Data'!$B:$B),"")</f>
        <v>PWEPL</v>
      </c>
      <c r="I120" s="23" t="str">
        <f>IFERROR(_xlfn.XLOOKUP(Table5[[#This Row],[Affected WTG]],'Basic Data'!$A:$A,'Basic Data'!$C:$C),"")</f>
        <v>MSEDCL</v>
      </c>
      <c r="J120" s="286">
        <f>IFERROR(_xlfn.XLOOKUP(Table5[[#This Row],[Affected WTG]],'Basic Data'!$A:$A,'Basic Data'!$E:$E),"")</f>
        <v>2.2727272727272728E-2</v>
      </c>
      <c r="K120" s="79">
        <v>3</v>
      </c>
      <c r="L120" s="23" t="str">
        <f>IFERROR(_xlfn.XLOOKUP(Table5[[#This Row],[Error Code]],'Basic Data'!$W:$W,'Basic Data'!$X:$X),"Incorrect Error Code")</f>
        <v>Manual Stop</v>
      </c>
      <c r="M120" s="23" t="s">
        <v>792</v>
      </c>
      <c r="N120" s="23"/>
      <c r="O120" s="287">
        <v>0.57291666666666663</v>
      </c>
      <c r="P120" s="287">
        <v>0.57291666666666663</v>
      </c>
      <c r="Q120" s="287">
        <v>0.99930555555555556</v>
      </c>
      <c r="R120" s="91">
        <f t="shared" si="2"/>
        <v>0.42638888888888893</v>
      </c>
      <c r="S120" s="91">
        <f>(Table5[[#This Row],[Fault Clearance time]]-Table5[[#This Row],[Work Start TimeStamp]])*24</f>
        <v>10.233333333333334</v>
      </c>
      <c r="T120" s="91">
        <f>(Table5[[#This Row],[Fault Clearance time]]-Table5[[#This Row],[Fault Start TimeStamp]])*24</f>
        <v>10.233333333333334</v>
      </c>
      <c r="U120" s="23" t="s">
        <v>795</v>
      </c>
      <c r="V120" s="79" t="s">
        <v>339</v>
      </c>
      <c r="W120" s="289">
        <f>IFERROR(Table5[[#This Row],[Breakdown Time]]*Table5[[#This Row],[Plant Equivalent Weightage]],"")</f>
        <v>0.2325757575757576</v>
      </c>
      <c r="X120" s="289" t="s">
        <v>394</v>
      </c>
      <c r="Y120" s="290" t="s">
        <v>116</v>
      </c>
      <c r="Z120" s="79"/>
      <c r="AA120" s="283">
        <v>1048</v>
      </c>
      <c r="AB120" s="79"/>
      <c r="AC120" s="23"/>
      <c r="AD120" s="23"/>
    </row>
    <row r="121" spans="1:30">
      <c r="A121" s="79">
        <f t="shared" si="3"/>
        <v>120</v>
      </c>
      <c r="B121" s="283">
        <f>YEAR(Table5[[#This Row],[Date]])+IF(MONTH(Table5[[#This Row],[Date]])&gt;=4,1,0)</f>
        <v>2026</v>
      </c>
      <c r="C121" s="79">
        <f>YEAR(Table5[[#This Row],[Date]])</f>
        <v>2025</v>
      </c>
      <c r="D121" s="79" t="s">
        <v>344</v>
      </c>
      <c r="E121" s="284">
        <f>Table5[[#This Row],[Date]]-DAY(Table5[[#This Row],[Date]])+1</f>
        <v>45778</v>
      </c>
      <c r="F121" s="285">
        <v>45789</v>
      </c>
      <c r="G121" s="79" t="s">
        <v>115</v>
      </c>
      <c r="H121" s="23" t="str">
        <f>IFERROR(_xlfn.XLOOKUP(Table5[[#This Row],[Affected WTG]],'Basic Data'!$A:$A,'Basic Data'!$B:$B),"")</f>
        <v>PWEPL</v>
      </c>
      <c r="I121" s="23" t="str">
        <f>IFERROR(_xlfn.XLOOKUP(Table5[[#This Row],[Affected WTG]],'Basic Data'!$A:$A,'Basic Data'!$C:$C),"")</f>
        <v>MSEDCL</v>
      </c>
      <c r="J121" s="286">
        <f>IFERROR(_xlfn.XLOOKUP(Table5[[#This Row],[Affected WTG]],'Basic Data'!$A:$A,'Basic Data'!$E:$E),"")</f>
        <v>2.2727272727272728E-2</v>
      </c>
      <c r="K121" s="79">
        <v>3</v>
      </c>
      <c r="L121" s="23" t="str">
        <f>IFERROR(_xlfn.XLOOKUP(Table5[[#This Row],[Error Code]],'Basic Data'!$W:$W,'Basic Data'!$X:$X),"Incorrect Error Code")</f>
        <v>Manual Stop</v>
      </c>
      <c r="M121" s="23" t="s">
        <v>792</v>
      </c>
      <c r="N121" s="23"/>
      <c r="O121" s="287">
        <v>0</v>
      </c>
      <c r="P121" s="287">
        <v>0</v>
      </c>
      <c r="Q121" s="287">
        <v>0.3444444444444445</v>
      </c>
      <c r="R121" s="91">
        <f t="shared" si="2"/>
        <v>0.3444444444444445</v>
      </c>
      <c r="S121" s="91">
        <f>(Table5[[#This Row],[Fault Clearance time]]-Table5[[#This Row],[Work Start TimeStamp]])*24</f>
        <v>8.2666666666666675</v>
      </c>
      <c r="T121" s="91">
        <f>(Table5[[#This Row],[Fault Clearance time]]-Table5[[#This Row],[Fault Start TimeStamp]])*24</f>
        <v>8.2666666666666675</v>
      </c>
      <c r="U121" s="23" t="s">
        <v>798</v>
      </c>
      <c r="V121" s="79" t="s">
        <v>339</v>
      </c>
      <c r="W121" s="289">
        <f>IFERROR(Table5[[#This Row],[Breakdown Time]]*Table5[[#This Row],[Plant Equivalent Weightage]],"")</f>
        <v>0.1878787878787879</v>
      </c>
      <c r="X121" s="289" t="s">
        <v>394</v>
      </c>
      <c r="Y121" s="290" t="s">
        <v>116</v>
      </c>
      <c r="Z121" s="79"/>
      <c r="AA121" s="283">
        <v>718</v>
      </c>
      <c r="AB121" s="79"/>
      <c r="AC121" s="23"/>
      <c r="AD121" s="23"/>
    </row>
    <row r="122" spans="1:30">
      <c r="A122" s="79">
        <f t="shared" si="3"/>
        <v>121</v>
      </c>
      <c r="B122" s="283">
        <f>YEAR(Table5[[#This Row],[Date]])+IF(MONTH(Table5[[#This Row],[Date]])&gt;=4,1,0)</f>
        <v>2026</v>
      </c>
      <c r="C122" s="79">
        <f>YEAR(Table5[[#This Row],[Date]])</f>
        <v>2025</v>
      </c>
      <c r="D122" s="79" t="s">
        <v>344</v>
      </c>
      <c r="E122" s="284">
        <f>Table5[[#This Row],[Date]]-DAY(Table5[[#This Row],[Date]])+1</f>
        <v>45778</v>
      </c>
      <c r="F122" s="285">
        <v>45789</v>
      </c>
      <c r="G122" s="79" t="s">
        <v>117</v>
      </c>
      <c r="H122" s="23" t="str">
        <f>IFERROR(_xlfn.XLOOKUP(Table5[[#This Row],[Affected WTG]],'Basic Data'!$A:$A,'Basic Data'!$B:$B),"")</f>
        <v>PWEPL</v>
      </c>
      <c r="I122" s="23" t="str">
        <f>IFERROR(_xlfn.XLOOKUP(Table5[[#This Row],[Affected WTG]],'Basic Data'!$A:$A,'Basic Data'!$C:$C),"")</f>
        <v>MSEDCL</v>
      </c>
      <c r="J122" s="286">
        <f>IFERROR(_xlfn.XLOOKUP(Table5[[#This Row],[Affected WTG]],'Basic Data'!$A:$A,'Basic Data'!$E:$E),"")</f>
        <v>2.2727272727272728E-2</v>
      </c>
      <c r="K122" s="79">
        <v>3</v>
      </c>
      <c r="L122" s="23" t="str">
        <f>IFERROR(_xlfn.XLOOKUP(Table5[[#This Row],[Error Code]],'Basic Data'!$W:$W,'Basic Data'!$X:$X),"Incorrect Error Code")</f>
        <v>Manual Stop</v>
      </c>
      <c r="M122" s="23" t="s">
        <v>792</v>
      </c>
      <c r="N122" s="23"/>
      <c r="O122" s="287">
        <v>0</v>
      </c>
      <c r="P122" s="287">
        <v>0</v>
      </c>
      <c r="Q122" s="287">
        <v>0.3444444444444445</v>
      </c>
      <c r="R122" s="91">
        <f t="shared" si="2"/>
        <v>0.3444444444444445</v>
      </c>
      <c r="S122" s="91">
        <f>(Table5[[#This Row],[Fault Clearance time]]-Table5[[#This Row],[Work Start TimeStamp]])*24</f>
        <v>8.2666666666666675</v>
      </c>
      <c r="T122" s="91">
        <f>(Table5[[#This Row],[Fault Clearance time]]-Table5[[#This Row],[Fault Start TimeStamp]])*24</f>
        <v>8.2666666666666675</v>
      </c>
      <c r="U122" s="23" t="s">
        <v>798</v>
      </c>
      <c r="V122" s="79" t="s">
        <v>339</v>
      </c>
      <c r="W122" s="289">
        <f>IFERROR(Table5[[#This Row],[Breakdown Time]]*Table5[[#This Row],[Plant Equivalent Weightage]],"")</f>
        <v>0.1878787878787879</v>
      </c>
      <c r="X122" s="289" t="s">
        <v>394</v>
      </c>
      <c r="Y122" s="290" t="s">
        <v>116</v>
      </c>
      <c r="Z122" s="79"/>
      <c r="AA122" s="283">
        <v>719</v>
      </c>
      <c r="AB122" s="79"/>
      <c r="AC122" s="23"/>
      <c r="AD122" s="23"/>
    </row>
    <row r="123" spans="1:30">
      <c r="A123" s="79">
        <f t="shared" si="3"/>
        <v>122</v>
      </c>
      <c r="B123" s="283">
        <f>YEAR(Table5[[#This Row],[Date]])+IF(MONTH(Table5[[#This Row],[Date]])&gt;=4,1,0)</f>
        <v>2026</v>
      </c>
      <c r="C123" s="79">
        <f>YEAR(Table5[[#This Row],[Date]])</f>
        <v>2025</v>
      </c>
      <c r="D123" s="79" t="s">
        <v>344</v>
      </c>
      <c r="E123" s="284">
        <f>Table5[[#This Row],[Date]]-DAY(Table5[[#This Row],[Date]])+1</f>
        <v>45778</v>
      </c>
      <c r="F123" s="285">
        <v>45789</v>
      </c>
      <c r="G123" s="79" t="s">
        <v>117</v>
      </c>
      <c r="H123" s="23" t="str">
        <f>IFERROR(_xlfn.XLOOKUP(Table5[[#This Row],[Affected WTG]],'Basic Data'!$A:$A,'Basic Data'!$B:$B),"")</f>
        <v>PWEPL</v>
      </c>
      <c r="I123" s="23" t="str">
        <f>IFERROR(_xlfn.XLOOKUP(Table5[[#This Row],[Affected WTG]],'Basic Data'!$A:$A,'Basic Data'!$C:$C),"")</f>
        <v>MSEDCL</v>
      </c>
      <c r="J123" s="286">
        <f>IFERROR(_xlfn.XLOOKUP(Table5[[#This Row],[Affected WTG]],'Basic Data'!$A:$A,'Basic Data'!$E:$E),"")</f>
        <v>2.2727272727272728E-2</v>
      </c>
      <c r="K123" s="79">
        <v>3</v>
      </c>
      <c r="L123" s="23" t="str">
        <f>IFERROR(_xlfn.XLOOKUP(Table5[[#This Row],[Error Code]],'Basic Data'!$W:$W,'Basic Data'!$X:$X),"Incorrect Error Code")</f>
        <v>Manual Stop</v>
      </c>
      <c r="M123" s="23" t="s">
        <v>792</v>
      </c>
      <c r="N123" s="23"/>
      <c r="O123" s="287">
        <v>0.6069444444444444</v>
      </c>
      <c r="P123" s="287">
        <v>0.6069444444444444</v>
      </c>
      <c r="Q123" s="287">
        <v>0.67361111111111116</v>
      </c>
      <c r="R123" s="91">
        <f t="shared" si="2"/>
        <v>6.6666666666666763E-2</v>
      </c>
      <c r="S123" s="91">
        <f>(Table5[[#This Row],[Fault Clearance time]]-Table5[[#This Row],[Work Start TimeStamp]])*24</f>
        <v>1.6000000000000023</v>
      </c>
      <c r="T123" s="91">
        <f>(Table5[[#This Row],[Fault Clearance time]]-Table5[[#This Row],[Fault Start TimeStamp]])*24</f>
        <v>1.6000000000000023</v>
      </c>
      <c r="U123" s="23" t="s">
        <v>798</v>
      </c>
      <c r="V123" s="79" t="s">
        <v>339</v>
      </c>
      <c r="W123" s="289">
        <f>IFERROR(Table5[[#This Row],[Breakdown Time]]*Table5[[#This Row],[Plant Equivalent Weightage]],"")</f>
        <v>3.6363636363636417E-2</v>
      </c>
      <c r="X123" s="289" t="s">
        <v>394</v>
      </c>
      <c r="Y123" s="290" t="s">
        <v>116</v>
      </c>
      <c r="Z123" s="79"/>
      <c r="AA123" s="283">
        <v>139</v>
      </c>
      <c r="AB123" s="79"/>
      <c r="AC123" s="23"/>
      <c r="AD123" s="23"/>
    </row>
    <row r="124" spans="1:30">
      <c r="A124" s="79">
        <f t="shared" si="3"/>
        <v>123</v>
      </c>
      <c r="B124" s="283">
        <f>YEAR(Table5[[#This Row],[Date]])+IF(MONTH(Table5[[#This Row],[Date]])&gt;=4,1,0)</f>
        <v>2026</v>
      </c>
      <c r="C124" s="79">
        <f>YEAR(Table5[[#This Row],[Date]])</f>
        <v>2025</v>
      </c>
      <c r="D124" s="79" t="s">
        <v>344</v>
      </c>
      <c r="E124" s="284">
        <f>Table5[[#This Row],[Date]]-DAY(Table5[[#This Row],[Date]])+1</f>
        <v>45778</v>
      </c>
      <c r="F124" s="285">
        <v>45789</v>
      </c>
      <c r="G124" s="79" t="s">
        <v>77</v>
      </c>
      <c r="H124" s="23" t="str">
        <f>IFERROR(_xlfn.XLOOKUP(Table5[[#This Row],[Affected WTG]],'Basic Data'!$A:$A,'Basic Data'!$B:$B),"")</f>
        <v>PWEPL</v>
      </c>
      <c r="I124" s="23" t="str">
        <f>IFERROR(_xlfn.XLOOKUP(Table5[[#This Row],[Affected WTG]],'Basic Data'!$A:$A,'Basic Data'!$C:$C),"")</f>
        <v>MSEDCL</v>
      </c>
      <c r="J124" s="286">
        <f>IFERROR(_xlfn.XLOOKUP(Table5[[#This Row],[Affected WTG]],'Basic Data'!$A:$A,'Basic Data'!$E:$E),"")</f>
        <v>2.2727272727272728E-2</v>
      </c>
      <c r="K124" s="79">
        <v>3</v>
      </c>
      <c r="L124" s="23" t="str">
        <f>IFERROR(_xlfn.XLOOKUP(Table5[[#This Row],[Error Code]],'Basic Data'!$W:$W,'Basic Data'!$X:$X),"Incorrect Error Code")</f>
        <v>Manual Stop</v>
      </c>
      <c r="M124" s="23" t="s">
        <v>792</v>
      </c>
      <c r="N124" s="23"/>
      <c r="O124" s="287">
        <v>0.37986111111111115</v>
      </c>
      <c r="P124" s="287">
        <v>0.37986111111111115</v>
      </c>
      <c r="Q124" s="287">
        <v>0.99930555555555556</v>
      </c>
      <c r="R124" s="91">
        <f t="shared" si="2"/>
        <v>0.61944444444444446</v>
      </c>
      <c r="S124" s="91">
        <f>(Table5[[#This Row],[Fault Clearance time]]-Table5[[#This Row],[Work Start TimeStamp]])*24</f>
        <v>14.866666666666667</v>
      </c>
      <c r="T124" s="91">
        <f>(Table5[[#This Row],[Fault Clearance time]]-Table5[[#This Row],[Fault Start TimeStamp]])*24</f>
        <v>14.866666666666667</v>
      </c>
      <c r="U124" s="23" t="s">
        <v>795</v>
      </c>
      <c r="V124" s="79" t="s">
        <v>339</v>
      </c>
      <c r="W124" s="289">
        <f>IFERROR(Table5[[#This Row],[Breakdown Time]]*Table5[[#This Row],[Plant Equivalent Weightage]],"")</f>
        <v>0.33787878787878789</v>
      </c>
      <c r="X124" s="289" t="s">
        <v>394</v>
      </c>
      <c r="Y124" s="290" t="s">
        <v>93</v>
      </c>
      <c r="Z124" s="79"/>
      <c r="AA124" s="283">
        <v>1292</v>
      </c>
      <c r="AB124" s="79"/>
      <c r="AC124" s="23"/>
      <c r="AD124" s="23"/>
    </row>
    <row r="125" spans="1:30">
      <c r="A125" s="79">
        <f t="shared" si="3"/>
        <v>124</v>
      </c>
      <c r="B125" s="283">
        <f>YEAR(Table5[[#This Row],[Date]])+IF(MONTH(Table5[[#This Row],[Date]])&gt;=4,1,0)</f>
        <v>2026</v>
      </c>
      <c r="C125" s="79">
        <f>YEAR(Table5[[#This Row],[Date]])</f>
        <v>2025</v>
      </c>
      <c r="D125" s="79" t="s">
        <v>344</v>
      </c>
      <c r="E125" s="284">
        <f>Table5[[#This Row],[Date]]-DAY(Table5[[#This Row],[Date]])+1</f>
        <v>45778</v>
      </c>
      <c r="F125" s="285">
        <v>45789</v>
      </c>
      <c r="G125" s="79" t="s">
        <v>88</v>
      </c>
      <c r="H125" s="23" t="str">
        <f>IFERROR(_xlfn.XLOOKUP(Table5[[#This Row],[Affected WTG]],'Basic Data'!$A:$A,'Basic Data'!$B:$B),"")</f>
        <v>PWEPL</v>
      </c>
      <c r="I125" s="23" t="str">
        <f>IFERROR(_xlfn.XLOOKUP(Table5[[#This Row],[Affected WTG]],'Basic Data'!$A:$A,'Basic Data'!$C:$C),"")</f>
        <v>MSEDCL</v>
      </c>
      <c r="J125" s="286">
        <f>IFERROR(_xlfn.XLOOKUP(Table5[[#This Row],[Affected WTG]],'Basic Data'!$A:$A,'Basic Data'!$E:$E),"")</f>
        <v>2.2727272727272728E-2</v>
      </c>
      <c r="K125" s="79">
        <v>60</v>
      </c>
      <c r="L125" s="23" t="str">
        <f>IFERROR(_xlfn.XLOOKUP(Table5[[#This Row],[Error Code]],'Basic Data'!$W:$W,'Basic Data'!$X:$X),"Incorrect Error Code")</f>
        <v>Yaw limit switch activated</v>
      </c>
      <c r="M125" s="23" t="s">
        <v>357</v>
      </c>
      <c r="N125" s="23"/>
      <c r="O125" s="287">
        <v>0.41111111111111115</v>
      </c>
      <c r="P125" s="287">
        <v>0.41111111111111115</v>
      </c>
      <c r="Q125" s="287">
        <v>0.50138888888888888</v>
      </c>
      <c r="R125" s="91">
        <f t="shared" si="2"/>
        <v>9.0277777777777735E-2</v>
      </c>
      <c r="S125" s="91">
        <f>(Table5[[#This Row],[Fault Clearance time]]-Table5[[#This Row],[Work Start TimeStamp]])*24</f>
        <v>2.1666666666666656</v>
      </c>
      <c r="T125" s="91">
        <f>(Table5[[#This Row],[Fault Clearance time]]-Table5[[#This Row],[Fault Start TimeStamp]])*24</f>
        <v>2.1666666666666656</v>
      </c>
      <c r="U125" s="23" t="s">
        <v>358</v>
      </c>
      <c r="V125" s="79" t="s">
        <v>339</v>
      </c>
      <c r="W125" s="289">
        <f>IFERROR(Table5[[#This Row],[Breakdown Time]]*Table5[[#This Row],[Plant Equivalent Weightage]],"")</f>
        <v>4.924242424242422E-2</v>
      </c>
      <c r="X125" s="289" t="s">
        <v>343</v>
      </c>
      <c r="Y125" s="290" t="s">
        <v>87</v>
      </c>
      <c r="Z125" s="79"/>
      <c r="AA125" s="283">
        <v>0</v>
      </c>
      <c r="AB125" s="79"/>
      <c r="AC125" s="23"/>
      <c r="AD125" s="23"/>
    </row>
    <row r="126" spans="1:30">
      <c r="A126" s="79">
        <f t="shared" si="3"/>
        <v>125</v>
      </c>
      <c r="B126" s="283">
        <f>YEAR(Table5[[#This Row],[Date]])+IF(MONTH(Table5[[#This Row],[Date]])&gt;=4,1,0)</f>
        <v>2026</v>
      </c>
      <c r="C126" s="79">
        <f>YEAR(Table5[[#This Row],[Date]])</f>
        <v>2025</v>
      </c>
      <c r="D126" s="79" t="s">
        <v>344</v>
      </c>
      <c r="E126" s="284">
        <f>Table5[[#This Row],[Date]]-DAY(Table5[[#This Row],[Date]])+1</f>
        <v>45778</v>
      </c>
      <c r="F126" s="285">
        <v>45789</v>
      </c>
      <c r="G126" s="79" t="s">
        <v>99</v>
      </c>
      <c r="H126" s="23" t="str">
        <f>IFERROR(_xlfn.XLOOKUP(Table5[[#This Row],[Affected WTG]],'Basic Data'!$A:$A,'Basic Data'!$B:$B),"")</f>
        <v>PWEPL</v>
      </c>
      <c r="I126" s="23" t="str">
        <f>IFERROR(_xlfn.XLOOKUP(Table5[[#This Row],[Affected WTG]],'Basic Data'!$A:$A,'Basic Data'!$C:$C),"")</f>
        <v>MSEDCL</v>
      </c>
      <c r="J126" s="286">
        <f>IFERROR(_xlfn.XLOOKUP(Table5[[#This Row],[Affected WTG]],'Basic Data'!$A:$A,'Basic Data'!$E:$E),"")</f>
        <v>2.2727272727272728E-2</v>
      </c>
      <c r="K126" s="79">
        <v>60</v>
      </c>
      <c r="L126" s="23" t="str">
        <f>IFERROR(_xlfn.XLOOKUP(Table5[[#This Row],[Error Code]],'Basic Data'!$W:$W,'Basic Data'!$X:$X),"Incorrect Error Code")</f>
        <v>Yaw limit switch activated</v>
      </c>
      <c r="M126" s="23" t="s">
        <v>357</v>
      </c>
      <c r="N126" s="23"/>
      <c r="O126" s="287">
        <v>0.38472222222222219</v>
      </c>
      <c r="P126" s="287">
        <v>0.38472222222222219</v>
      </c>
      <c r="Q126" s="287">
        <v>0.41319444444444442</v>
      </c>
      <c r="R126" s="91">
        <f t="shared" si="2"/>
        <v>2.8472222222222232E-2</v>
      </c>
      <c r="S126" s="91">
        <f>(Table5[[#This Row],[Fault Clearance time]]-Table5[[#This Row],[Work Start TimeStamp]])*24</f>
        <v>0.68333333333333357</v>
      </c>
      <c r="T126" s="91">
        <f>(Table5[[#This Row],[Fault Clearance time]]-Table5[[#This Row],[Fault Start TimeStamp]])*24</f>
        <v>0.68333333333333357</v>
      </c>
      <c r="U126" s="23" t="s">
        <v>358</v>
      </c>
      <c r="V126" s="79" t="s">
        <v>339</v>
      </c>
      <c r="W126" s="289">
        <f>IFERROR(Table5[[#This Row],[Breakdown Time]]*Table5[[#This Row],[Plant Equivalent Weightage]],"")</f>
        <v>1.5530303030303037E-2</v>
      </c>
      <c r="X126" s="289" t="s">
        <v>343</v>
      </c>
      <c r="Y126" s="290" t="s">
        <v>98</v>
      </c>
      <c r="Z126" s="79"/>
      <c r="AA126" s="283">
        <v>0</v>
      </c>
      <c r="AB126" s="79"/>
      <c r="AC126" s="23"/>
      <c r="AD126" s="23"/>
    </row>
    <row r="127" spans="1:30">
      <c r="A127" s="79">
        <f t="shared" si="3"/>
        <v>126</v>
      </c>
      <c r="B127" s="283">
        <f>YEAR(Table5[[#This Row],[Date]])+IF(MONTH(Table5[[#This Row],[Date]])&gt;=4,1,0)</f>
        <v>2026</v>
      </c>
      <c r="C127" s="79">
        <f>YEAR(Table5[[#This Row],[Date]])</f>
        <v>2025</v>
      </c>
      <c r="D127" s="79" t="s">
        <v>344</v>
      </c>
      <c r="E127" s="284">
        <f>Table5[[#This Row],[Date]]-DAY(Table5[[#This Row],[Date]])+1</f>
        <v>45778</v>
      </c>
      <c r="F127" s="285">
        <v>45789</v>
      </c>
      <c r="G127" s="79" t="s">
        <v>108</v>
      </c>
      <c r="H127" s="23" t="str">
        <f>IFERROR(_xlfn.XLOOKUP(Table5[[#This Row],[Affected WTG]],'Basic Data'!$A:$A,'Basic Data'!$B:$B),"")</f>
        <v>PWEPL</v>
      </c>
      <c r="I127" s="23" t="str">
        <f>IFERROR(_xlfn.XLOOKUP(Table5[[#This Row],[Affected WTG]],'Basic Data'!$A:$A,'Basic Data'!$C:$C),"")</f>
        <v>MSEDCL</v>
      </c>
      <c r="J127" s="286">
        <f>IFERROR(_xlfn.XLOOKUP(Table5[[#This Row],[Affected WTG]],'Basic Data'!$A:$A,'Basic Data'!$E:$E),"")</f>
        <v>2.2727272727272728E-2</v>
      </c>
      <c r="K127" s="79">
        <v>3</v>
      </c>
      <c r="L127" s="23" t="str">
        <f>IFERROR(_xlfn.XLOOKUP(Table5[[#This Row],[Error Code]],'Basic Data'!$W:$W,'Basic Data'!$X:$X),"Incorrect Error Code")</f>
        <v>Manual Stop</v>
      </c>
      <c r="M127" s="23" t="s">
        <v>792</v>
      </c>
      <c r="N127" s="23"/>
      <c r="O127" s="287">
        <v>0.64097222222222217</v>
      </c>
      <c r="P127" s="287">
        <v>0.64097222222222217</v>
      </c>
      <c r="Q127" s="287">
        <v>0.67986111111111114</v>
      </c>
      <c r="R127" s="91">
        <f t="shared" si="2"/>
        <v>3.8888888888888973E-2</v>
      </c>
      <c r="S127" s="91">
        <f>(Table5[[#This Row],[Fault Clearance time]]-Table5[[#This Row],[Work Start TimeStamp]])*24</f>
        <v>0.93333333333333535</v>
      </c>
      <c r="T127" s="91">
        <f>(Table5[[#This Row],[Fault Clearance time]]-Table5[[#This Row],[Fault Start TimeStamp]])*24</f>
        <v>0.93333333333333535</v>
      </c>
      <c r="U127" s="23" t="s">
        <v>795</v>
      </c>
      <c r="V127" s="79" t="s">
        <v>339</v>
      </c>
      <c r="W127" s="289">
        <f>IFERROR(Table5[[#This Row],[Breakdown Time]]*Table5[[#This Row],[Plant Equivalent Weightage]],"")</f>
        <v>2.1212121212121259E-2</v>
      </c>
      <c r="X127" s="289" t="s">
        <v>394</v>
      </c>
      <c r="Y127" s="290" t="s">
        <v>80</v>
      </c>
      <c r="Z127" s="79"/>
      <c r="AA127" s="283">
        <v>89</v>
      </c>
      <c r="AB127" s="79"/>
      <c r="AC127" s="23"/>
      <c r="AD127" s="23"/>
    </row>
    <row r="128" spans="1:30">
      <c r="A128" s="79">
        <f t="shared" si="3"/>
        <v>127</v>
      </c>
      <c r="B128" s="283">
        <f>YEAR(Table5[[#This Row],[Date]])+IF(MONTH(Table5[[#This Row],[Date]])&gt;=4,1,0)</f>
        <v>2026</v>
      </c>
      <c r="C128" s="79">
        <f>YEAR(Table5[[#This Row],[Date]])</f>
        <v>2025</v>
      </c>
      <c r="D128" s="79" t="s">
        <v>344</v>
      </c>
      <c r="E128" s="284">
        <f>Table5[[#This Row],[Date]]-DAY(Table5[[#This Row],[Date]])+1</f>
        <v>45778</v>
      </c>
      <c r="F128" s="285">
        <v>45789</v>
      </c>
      <c r="G128" s="79" t="s">
        <v>108</v>
      </c>
      <c r="H128" s="23" t="str">
        <f>IFERROR(_xlfn.XLOOKUP(Table5[[#This Row],[Affected WTG]],'Basic Data'!$A:$A,'Basic Data'!$B:$B),"")</f>
        <v>PWEPL</v>
      </c>
      <c r="I128" s="23" t="str">
        <f>IFERROR(_xlfn.XLOOKUP(Table5[[#This Row],[Affected WTG]],'Basic Data'!$A:$A,'Basic Data'!$C:$C),"")</f>
        <v>MSEDCL</v>
      </c>
      <c r="J128" s="286">
        <f>IFERROR(_xlfn.XLOOKUP(Table5[[#This Row],[Affected WTG]],'Basic Data'!$A:$A,'Basic Data'!$E:$E),"")</f>
        <v>2.2727272727272728E-2</v>
      </c>
      <c r="K128" s="79">
        <v>3</v>
      </c>
      <c r="L128" s="23" t="str">
        <f>IFERROR(_xlfn.XLOOKUP(Table5[[#This Row],[Error Code]],'Basic Data'!$W:$W,'Basic Data'!$X:$X),"Incorrect Error Code")</f>
        <v>Manual Stop</v>
      </c>
      <c r="M128" s="23" t="s">
        <v>792</v>
      </c>
      <c r="N128" s="23"/>
      <c r="O128" s="287">
        <v>0.76388888888888884</v>
      </c>
      <c r="P128" s="287">
        <v>0.76388888888888884</v>
      </c>
      <c r="Q128" s="287">
        <v>0.99930555555555556</v>
      </c>
      <c r="R128" s="91">
        <f t="shared" si="2"/>
        <v>0.23541666666666672</v>
      </c>
      <c r="S128" s="91">
        <f>(Table5[[#This Row],[Fault Clearance time]]-Table5[[#This Row],[Work Start TimeStamp]])*24</f>
        <v>5.6500000000000012</v>
      </c>
      <c r="T128" s="91">
        <f>(Table5[[#This Row],[Fault Clearance time]]-Table5[[#This Row],[Fault Start TimeStamp]])*24</f>
        <v>5.6500000000000012</v>
      </c>
      <c r="U128" s="23" t="s">
        <v>795</v>
      </c>
      <c r="V128" s="79" t="s">
        <v>339</v>
      </c>
      <c r="W128" s="289">
        <f>IFERROR(Table5[[#This Row],[Breakdown Time]]*Table5[[#This Row],[Plant Equivalent Weightage]],"")</f>
        <v>0.12840909090909094</v>
      </c>
      <c r="X128" s="289" t="s">
        <v>394</v>
      </c>
      <c r="Y128" s="290" t="s">
        <v>80</v>
      </c>
      <c r="Z128" s="79"/>
      <c r="AA128" s="283">
        <v>483</v>
      </c>
      <c r="AB128" s="79"/>
      <c r="AC128" s="23"/>
      <c r="AD128" s="23"/>
    </row>
    <row r="129" spans="1:30">
      <c r="A129" s="79">
        <f t="shared" si="3"/>
        <v>128</v>
      </c>
      <c r="B129" s="283">
        <f>YEAR(Table5[[#This Row],[Date]])+IF(MONTH(Table5[[#This Row],[Date]])&gt;=4,1,0)</f>
        <v>2026</v>
      </c>
      <c r="C129" s="79">
        <f>YEAR(Table5[[#This Row],[Date]])</f>
        <v>2025</v>
      </c>
      <c r="D129" s="79" t="s">
        <v>344</v>
      </c>
      <c r="E129" s="284">
        <f>Table5[[#This Row],[Date]]-DAY(Table5[[#This Row],[Date]])+1</f>
        <v>45778</v>
      </c>
      <c r="F129" s="285">
        <v>45789</v>
      </c>
      <c r="G129" s="79" t="s">
        <v>113</v>
      </c>
      <c r="H129" s="23" t="str">
        <f>IFERROR(_xlfn.XLOOKUP(Table5[[#This Row],[Affected WTG]],'Basic Data'!$A:$A,'Basic Data'!$B:$B),"")</f>
        <v>PWEPL</v>
      </c>
      <c r="I129" s="23" t="str">
        <f>IFERROR(_xlfn.XLOOKUP(Table5[[#This Row],[Affected WTG]],'Basic Data'!$A:$A,'Basic Data'!$C:$C),"")</f>
        <v>MSEDCL</v>
      </c>
      <c r="J129" s="286">
        <f>IFERROR(_xlfn.XLOOKUP(Table5[[#This Row],[Affected WTG]],'Basic Data'!$A:$A,'Basic Data'!$E:$E),"")</f>
        <v>2.2727272727272728E-2</v>
      </c>
      <c r="K129" s="79">
        <v>142</v>
      </c>
      <c r="L129" s="23" t="str">
        <f>IFERROR(_xlfn.XLOOKUP(Table5[[#This Row],[Error Code]],'Basic Data'!$W:$W,'Basic Data'!$X:$X),"Incorrect Error Code")</f>
        <v>Line CCU collective faults</v>
      </c>
      <c r="M129" s="23" t="s">
        <v>149</v>
      </c>
      <c r="N129" s="23"/>
      <c r="O129" s="287">
        <v>0.65763888888888888</v>
      </c>
      <c r="P129" s="287">
        <v>0.65763888888888888</v>
      </c>
      <c r="Q129" s="287">
        <v>0.67986111111111114</v>
      </c>
      <c r="R129" s="91">
        <f t="shared" si="2"/>
        <v>2.2222222222222254E-2</v>
      </c>
      <c r="S129" s="91">
        <f>(Table5[[#This Row],[Fault Clearance time]]-Table5[[#This Row],[Work Start TimeStamp]])*24</f>
        <v>0.5333333333333341</v>
      </c>
      <c r="T129" s="91">
        <f>(Table5[[#This Row],[Fault Clearance time]]-Table5[[#This Row],[Fault Start TimeStamp]])*24</f>
        <v>0.5333333333333341</v>
      </c>
      <c r="U129" s="23" t="s">
        <v>807</v>
      </c>
      <c r="V129" s="79" t="s">
        <v>339</v>
      </c>
      <c r="W129" s="289">
        <f>IFERROR(Table5[[#This Row],[Breakdown Time]]*Table5[[#This Row],[Plant Equivalent Weightage]],"")</f>
        <v>1.2121212121212139E-2</v>
      </c>
      <c r="X129" s="289" t="s">
        <v>343</v>
      </c>
      <c r="Y129" s="290" t="s">
        <v>114</v>
      </c>
      <c r="Z129" s="79"/>
      <c r="AA129" s="283">
        <v>545</v>
      </c>
      <c r="AB129" s="79"/>
      <c r="AC129" s="23"/>
      <c r="AD129" s="23"/>
    </row>
    <row r="130" spans="1:30">
      <c r="A130" s="79">
        <f t="shared" si="3"/>
        <v>129</v>
      </c>
      <c r="B130" s="283">
        <f>YEAR(Table5[[#This Row],[Date]])+IF(MONTH(Table5[[#This Row],[Date]])&gt;=4,1,0)</f>
        <v>2026</v>
      </c>
      <c r="C130" s="79">
        <f>YEAR(Table5[[#This Row],[Date]])</f>
        <v>2025</v>
      </c>
      <c r="D130" s="79" t="s">
        <v>344</v>
      </c>
      <c r="E130" s="284">
        <f>Table5[[#This Row],[Date]]-DAY(Table5[[#This Row],[Date]])+1</f>
        <v>45778</v>
      </c>
      <c r="F130" s="285">
        <v>45789</v>
      </c>
      <c r="G130" s="79" t="s">
        <v>105</v>
      </c>
      <c r="H130" s="23" t="str">
        <f>IFERROR(_xlfn.XLOOKUP(Table5[[#This Row],[Affected WTG]],'Basic Data'!$A:$A,'Basic Data'!$B:$B),"")</f>
        <v>PWEPL</v>
      </c>
      <c r="I130" s="23" t="str">
        <f>IFERROR(_xlfn.XLOOKUP(Table5[[#This Row],[Affected WTG]],'Basic Data'!$A:$A,'Basic Data'!$C:$C),"")</f>
        <v>MSEDCL</v>
      </c>
      <c r="J130" s="286">
        <f>IFERROR(_xlfn.XLOOKUP(Table5[[#This Row],[Affected WTG]],'Basic Data'!$A:$A,'Basic Data'!$E:$E),"")</f>
        <v>2.2727272727272728E-2</v>
      </c>
      <c r="K130" s="79">
        <v>269</v>
      </c>
      <c r="L130" s="23" t="str">
        <f>IFERROR(_xlfn.XLOOKUP(Table5[[#This Row],[Error Code]],'Basic Data'!$W:$W,'Basic Data'!$X:$X),"Incorrect Error Code")</f>
        <v>Reboot PLC</v>
      </c>
      <c r="M130" s="23" t="s">
        <v>348</v>
      </c>
      <c r="N130" s="23"/>
      <c r="O130" s="287">
        <v>0.6069444444444444</v>
      </c>
      <c r="P130" s="287">
        <v>0.6069444444444444</v>
      </c>
      <c r="Q130" s="287">
        <v>0.62638888888888888</v>
      </c>
      <c r="R130" s="91">
        <f t="shared" ref="R130:R193" si="4">Q130-O130</f>
        <v>1.9444444444444486E-2</v>
      </c>
      <c r="S130" s="91">
        <f>(Table5[[#This Row],[Fault Clearance time]]-Table5[[#This Row],[Work Start TimeStamp]])*24</f>
        <v>0.46666666666666767</v>
      </c>
      <c r="T130" s="91">
        <f>(Table5[[#This Row],[Fault Clearance time]]-Table5[[#This Row],[Fault Start TimeStamp]])*24</f>
        <v>0.46666666666666767</v>
      </c>
      <c r="U130" s="23" t="s">
        <v>353</v>
      </c>
      <c r="V130" s="79" t="s">
        <v>339</v>
      </c>
      <c r="W130" s="289">
        <f>IFERROR(Table5[[#This Row],[Breakdown Time]]*Table5[[#This Row],[Plant Equivalent Weightage]],"")</f>
        <v>1.0606060606060629E-2</v>
      </c>
      <c r="X130" s="289" t="s">
        <v>343</v>
      </c>
      <c r="Y130" s="290" t="s">
        <v>103</v>
      </c>
      <c r="Z130" s="79"/>
      <c r="AA130" s="283">
        <v>0</v>
      </c>
      <c r="AB130" s="79"/>
      <c r="AC130" s="23"/>
      <c r="AD130" s="23"/>
    </row>
    <row r="131" spans="1:30">
      <c r="A131" s="79">
        <f t="shared" si="3"/>
        <v>130</v>
      </c>
      <c r="B131" s="283">
        <f>YEAR(Table5[[#This Row],[Date]])+IF(MONTH(Table5[[#This Row],[Date]])&gt;=4,1,0)</f>
        <v>2026</v>
      </c>
      <c r="C131" s="79">
        <f>YEAR(Table5[[#This Row],[Date]])</f>
        <v>2025</v>
      </c>
      <c r="D131" s="79" t="s">
        <v>344</v>
      </c>
      <c r="E131" s="284">
        <f>Table5[[#This Row],[Date]]-DAY(Table5[[#This Row],[Date]])+1</f>
        <v>45778</v>
      </c>
      <c r="F131" s="285">
        <v>45790</v>
      </c>
      <c r="G131" s="79" t="s">
        <v>77</v>
      </c>
      <c r="H131" s="23" t="str">
        <f>IFERROR(_xlfn.XLOOKUP(Table5[[#This Row],[Affected WTG]],'Basic Data'!$A:$A,'Basic Data'!$B:$B),"")</f>
        <v>PWEPL</v>
      </c>
      <c r="I131" s="23" t="str">
        <f>IFERROR(_xlfn.XLOOKUP(Table5[[#This Row],[Affected WTG]],'Basic Data'!$A:$A,'Basic Data'!$C:$C),"")</f>
        <v>MSEDCL</v>
      </c>
      <c r="J131" s="286">
        <f>IFERROR(_xlfn.XLOOKUP(Table5[[#This Row],[Affected WTG]],'Basic Data'!$A:$A,'Basic Data'!$E:$E),"")</f>
        <v>2.2727272727272728E-2</v>
      </c>
      <c r="K131" s="79">
        <v>3</v>
      </c>
      <c r="L131" s="23" t="str">
        <f>IFERROR(_xlfn.XLOOKUP(Table5[[#This Row],[Error Code]],'Basic Data'!$W:$W,'Basic Data'!$X:$X),"Incorrect Error Code")</f>
        <v>Manual Stop</v>
      </c>
      <c r="M131" s="23" t="s">
        <v>792</v>
      </c>
      <c r="N131" s="23"/>
      <c r="O131" s="287">
        <v>0</v>
      </c>
      <c r="P131" s="287">
        <v>0</v>
      </c>
      <c r="Q131" s="287">
        <v>0.41666666666666669</v>
      </c>
      <c r="R131" s="91">
        <f t="shared" si="4"/>
        <v>0.41666666666666669</v>
      </c>
      <c r="S131" s="91">
        <f>(Table5[[#This Row],[Fault Clearance time]]-Table5[[#This Row],[Work Start TimeStamp]])*24</f>
        <v>10</v>
      </c>
      <c r="T131" s="91">
        <f>(Table5[[#This Row],[Fault Clearance time]]-Table5[[#This Row],[Fault Start TimeStamp]])*24</f>
        <v>10</v>
      </c>
      <c r="U131" s="23" t="s">
        <v>795</v>
      </c>
      <c r="V131" s="79" t="s">
        <v>339</v>
      </c>
      <c r="W131" s="289">
        <f>IFERROR(Table5[[#This Row],[Breakdown Time]]*Table5[[#This Row],[Plant Equivalent Weightage]],"")</f>
        <v>0.22727272727272729</v>
      </c>
      <c r="X131" s="289" t="s">
        <v>394</v>
      </c>
      <c r="Y131" s="290" t="s">
        <v>93</v>
      </c>
      <c r="Z131" s="79"/>
      <c r="AA131" s="283">
        <v>787</v>
      </c>
      <c r="AB131" s="79"/>
      <c r="AC131" s="23"/>
      <c r="AD131" s="23"/>
    </row>
    <row r="132" spans="1:30">
      <c r="A132" s="79">
        <f t="shared" ref="A132:A195" si="5">A131+1</f>
        <v>131</v>
      </c>
      <c r="B132" s="283">
        <f>YEAR(Table5[[#This Row],[Date]])+IF(MONTH(Table5[[#This Row],[Date]])&gt;=4,1,0)</f>
        <v>2026</v>
      </c>
      <c r="C132" s="79">
        <f>YEAR(Table5[[#This Row],[Date]])</f>
        <v>2025</v>
      </c>
      <c r="D132" s="79" t="s">
        <v>344</v>
      </c>
      <c r="E132" s="284">
        <f>Table5[[#This Row],[Date]]-DAY(Table5[[#This Row],[Date]])+1</f>
        <v>45778</v>
      </c>
      <c r="F132" s="285">
        <v>45790</v>
      </c>
      <c r="G132" s="79" t="s">
        <v>77</v>
      </c>
      <c r="H132" s="23" t="str">
        <f>IFERROR(_xlfn.XLOOKUP(Table5[[#This Row],[Affected WTG]],'Basic Data'!$A:$A,'Basic Data'!$B:$B),"")</f>
        <v>PWEPL</v>
      </c>
      <c r="I132" s="23" t="str">
        <f>IFERROR(_xlfn.XLOOKUP(Table5[[#This Row],[Affected WTG]],'Basic Data'!$A:$A,'Basic Data'!$C:$C),"")</f>
        <v>MSEDCL</v>
      </c>
      <c r="J132" s="286">
        <f>IFERROR(_xlfn.XLOOKUP(Table5[[#This Row],[Affected WTG]],'Basic Data'!$A:$A,'Basic Data'!$E:$E),"")</f>
        <v>2.2727272727272728E-2</v>
      </c>
      <c r="K132" s="79">
        <v>3</v>
      </c>
      <c r="L132" s="23" t="str">
        <f>IFERROR(_xlfn.XLOOKUP(Table5[[#This Row],[Error Code]],'Basic Data'!$W:$W,'Basic Data'!$X:$X),"Incorrect Error Code")</f>
        <v>Manual Stop</v>
      </c>
      <c r="M132" s="23" t="s">
        <v>792</v>
      </c>
      <c r="N132" s="23"/>
      <c r="O132" s="287">
        <v>0.69166666666666676</v>
      </c>
      <c r="P132" s="287">
        <v>0.69166666666666676</v>
      </c>
      <c r="Q132" s="287">
        <v>0.70486111111111116</v>
      </c>
      <c r="R132" s="91">
        <f t="shared" si="4"/>
        <v>1.3194444444444398E-2</v>
      </c>
      <c r="S132" s="91">
        <f>(Table5[[#This Row],[Fault Clearance time]]-Table5[[#This Row],[Work Start TimeStamp]])*24</f>
        <v>0.31666666666666554</v>
      </c>
      <c r="T132" s="91">
        <f>(Table5[[#This Row],[Fault Clearance time]]-Table5[[#This Row],[Fault Start TimeStamp]])*24</f>
        <v>0.31666666666666554</v>
      </c>
      <c r="U132" s="23" t="s">
        <v>798</v>
      </c>
      <c r="V132" s="79" t="s">
        <v>339</v>
      </c>
      <c r="W132" s="289">
        <f>IFERROR(Table5[[#This Row],[Breakdown Time]]*Table5[[#This Row],[Plant Equivalent Weightage]],"")</f>
        <v>7.1969696969696713E-3</v>
      </c>
      <c r="X132" s="289" t="s">
        <v>394</v>
      </c>
      <c r="Y132" s="290" t="s">
        <v>93</v>
      </c>
      <c r="Z132" s="79"/>
      <c r="AA132" s="283">
        <v>25</v>
      </c>
      <c r="AB132" s="79"/>
      <c r="AC132" s="23"/>
      <c r="AD132" s="23"/>
    </row>
    <row r="133" spans="1:30">
      <c r="A133" s="79">
        <f t="shared" si="5"/>
        <v>132</v>
      </c>
      <c r="B133" s="283">
        <f>YEAR(Table5[[#This Row],[Date]])+IF(MONTH(Table5[[#This Row],[Date]])&gt;=4,1,0)</f>
        <v>2026</v>
      </c>
      <c r="C133" s="79">
        <f>YEAR(Table5[[#This Row],[Date]])</f>
        <v>2025</v>
      </c>
      <c r="D133" s="79" t="s">
        <v>344</v>
      </c>
      <c r="E133" s="284">
        <f>Table5[[#This Row],[Date]]-DAY(Table5[[#This Row],[Date]])+1</f>
        <v>45778</v>
      </c>
      <c r="F133" s="285">
        <v>45790</v>
      </c>
      <c r="G133" s="79" t="s">
        <v>108</v>
      </c>
      <c r="H133" s="23" t="str">
        <f>IFERROR(_xlfn.XLOOKUP(Table5[[#This Row],[Affected WTG]],'Basic Data'!$A:$A,'Basic Data'!$B:$B),"")</f>
        <v>PWEPL</v>
      </c>
      <c r="I133" s="23" t="str">
        <f>IFERROR(_xlfn.XLOOKUP(Table5[[#This Row],[Affected WTG]],'Basic Data'!$A:$A,'Basic Data'!$C:$C),"")</f>
        <v>MSEDCL</v>
      </c>
      <c r="J133" s="286">
        <f>IFERROR(_xlfn.XLOOKUP(Table5[[#This Row],[Affected WTG]],'Basic Data'!$A:$A,'Basic Data'!$E:$E),"")</f>
        <v>2.2727272727272728E-2</v>
      </c>
      <c r="K133" s="79">
        <v>3</v>
      </c>
      <c r="L133" s="23" t="str">
        <f>IFERROR(_xlfn.XLOOKUP(Table5[[#This Row],[Error Code]],'Basic Data'!$W:$W,'Basic Data'!$X:$X),"Incorrect Error Code")</f>
        <v>Manual Stop</v>
      </c>
      <c r="M133" s="23" t="s">
        <v>792</v>
      </c>
      <c r="N133" s="23"/>
      <c r="O133" s="287">
        <v>0</v>
      </c>
      <c r="P133" s="287">
        <v>0</v>
      </c>
      <c r="Q133" s="287">
        <v>0.41666666666666669</v>
      </c>
      <c r="R133" s="91">
        <f t="shared" si="4"/>
        <v>0.41666666666666669</v>
      </c>
      <c r="S133" s="91">
        <f>(Table5[[#This Row],[Fault Clearance time]]-Table5[[#This Row],[Work Start TimeStamp]])*24</f>
        <v>10</v>
      </c>
      <c r="T133" s="91">
        <f>(Table5[[#This Row],[Fault Clearance time]]-Table5[[#This Row],[Fault Start TimeStamp]])*24</f>
        <v>10</v>
      </c>
      <c r="U133" s="23" t="s">
        <v>795</v>
      </c>
      <c r="V133" s="79" t="s">
        <v>339</v>
      </c>
      <c r="W133" s="289">
        <f>IFERROR(Table5[[#This Row],[Breakdown Time]]*Table5[[#This Row],[Plant Equivalent Weightage]],"")</f>
        <v>0.22727272727272729</v>
      </c>
      <c r="X133" s="289" t="s">
        <v>394</v>
      </c>
      <c r="Y133" s="290" t="s">
        <v>80</v>
      </c>
      <c r="Z133" s="79"/>
      <c r="AA133" s="283">
        <v>787</v>
      </c>
      <c r="AB133" s="79"/>
      <c r="AC133" s="23"/>
      <c r="AD133" s="23"/>
    </row>
    <row r="134" spans="1:30">
      <c r="A134" s="79">
        <f t="shared" si="5"/>
        <v>133</v>
      </c>
      <c r="B134" s="283">
        <f>YEAR(Table5[[#This Row],[Date]])+IF(MONTH(Table5[[#This Row],[Date]])&gt;=4,1,0)</f>
        <v>2026</v>
      </c>
      <c r="C134" s="79">
        <f>YEAR(Table5[[#This Row],[Date]])</f>
        <v>2025</v>
      </c>
      <c r="D134" s="79" t="s">
        <v>344</v>
      </c>
      <c r="E134" s="284">
        <f>Table5[[#This Row],[Date]]-DAY(Table5[[#This Row],[Date]])+1</f>
        <v>45778</v>
      </c>
      <c r="F134" s="285">
        <v>45790</v>
      </c>
      <c r="G134" s="79" t="s">
        <v>108</v>
      </c>
      <c r="H134" s="23" t="str">
        <f>IFERROR(_xlfn.XLOOKUP(Table5[[#This Row],[Affected WTG]],'Basic Data'!$A:$A,'Basic Data'!$B:$B),"")</f>
        <v>PWEPL</v>
      </c>
      <c r="I134" s="23" t="str">
        <f>IFERROR(_xlfn.XLOOKUP(Table5[[#This Row],[Affected WTG]],'Basic Data'!$A:$A,'Basic Data'!$C:$C),"")</f>
        <v>MSEDCL</v>
      </c>
      <c r="J134" s="286">
        <f>IFERROR(_xlfn.XLOOKUP(Table5[[#This Row],[Affected WTG]],'Basic Data'!$A:$A,'Basic Data'!$E:$E),"")</f>
        <v>2.2727272727272728E-2</v>
      </c>
      <c r="K134" s="79">
        <v>3</v>
      </c>
      <c r="L134" s="23" t="str">
        <f>IFERROR(_xlfn.XLOOKUP(Table5[[#This Row],[Error Code]],'Basic Data'!$W:$W,'Basic Data'!$X:$X),"Incorrect Error Code")</f>
        <v>Manual Stop</v>
      </c>
      <c r="M134" s="23" t="s">
        <v>792</v>
      </c>
      <c r="N134" s="23"/>
      <c r="O134" s="287">
        <v>0.69166666666666676</v>
      </c>
      <c r="P134" s="287">
        <v>0.69166666666666676</v>
      </c>
      <c r="Q134" s="287">
        <v>0.99930555555555556</v>
      </c>
      <c r="R134" s="91">
        <f t="shared" si="4"/>
        <v>0.3076388888888888</v>
      </c>
      <c r="S134" s="91">
        <f>(Table5[[#This Row],[Fault Clearance time]]-Table5[[#This Row],[Work Start TimeStamp]])*24</f>
        <v>7.3833333333333311</v>
      </c>
      <c r="T134" s="91">
        <f>(Table5[[#This Row],[Fault Clearance time]]-Table5[[#This Row],[Fault Start TimeStamp]])*24</f>
        <v>7.3833333333333311</v>
      </c>
      <c r="U134" s="23" t="s">
        <v>795</v>
      </c>
      <c r="V134" s="79" t="s">
        <v>339</v>
      </c>
      <c r="W134" s="289">
        <f>IFERROR(Table5[[#This Row],[Breakdown Time]]*Table5[[#This Row],[Plant Equivalent Weightage]],"")</f>
        <v>0.16780303030303026</v>
      </c>
      <c r="X134" s="289" t="s">
        <v>394</v>
      </c>
      <c r="Y134" s="290" t="s">
        <v>80</v>
      </c>
      <c r="Z134" s="79"/>
      <c r="AA134" s="283">
        <v>581</v>
      </c>
      <c r="AB134" s="79"/>
      <c r="AC134" s="23"/>
      <c r="AD134" s="23"/>
    </row>
    <row r="135" spans="1:30">
      <c r="A135" s="79">
        <f t="shared" si="5"/>
        <v>134</v>
      </c>
      <c r="B135" s="283">
        <f>YEAR(Table5[[#This Row],[Date]])+IF(MONTH(Table5[[#This Row],[Date]])&gt;=4,1,0)</f>
        <v>2026</v>
      </c>
      <c r="C135" s="79">
        <f>YEAR(Table5[[#This Row],[Date]])</f>
        <v>2025</v>
      </c>
      <c r="D135" s="79" t="s">
        <v>344</v>
      </c>
      <c r="E135" s="284">
        <f>Table5[[#This Row],[Date]]-DAY(Table5[[#This Row],[Date]])+1</f>
        <v>45778</v>
      </c>
      <c r="F135" s="285">
        <v>45790</v>
      </c>
      <c r="G135" s="79" t="s">
        <v>110</v>
      </c>
      <c r="H135" s="23" t="str">
        <f>IFERROR(_xlfn.XLOOKUP(Table5[[#This Row],[Affected WTG]],'Basic Data'!$A:$A,'Basic Data'!$B:$B),"")</f>
        <v>PWEPL</v>
      </c>
      <c r="I135" s="23" t="str">
        <f>IFERROR(_xlfn.XLOOKUP(Table5[[#This Row],[Affected WTG]],'Basic Data'!$A:$A,'Basic Data'!$C:$C),"")</f>
        <v>MSEDCL</v>
      </c>
      <c r="J135" s="286">
        <f>IFERROR(_xlfn.XLOOKUP(Table5[[#This Row],[Affected WTG]],'Basic Data'!$A:$A,'Basic Data'!$E:$E),"")</f>
        <v>2.2727272727272728E-2</v>
      </c>
      <c r="K135" s="79">
        <v>3</v>
      </c>
      <c r="L135" s="23" t="str">
        <f>IFERROR(_xlfn.XLOOKUP(Table5[[#This Row],[Error Code]],'Basic Data'!$W:$W,'Basic Data'!$X:$X),"Incorrect Error Code")</f>
        <v>Manual Stop</v>
      </c>
      <c r="M135" s="23" t="s">
        <v>792</v>
      </c>
      <c r="N135" s="23"/>
      <c r="O135" s="287">
        <v>0.64374999999999993</v>
      </c>
      <c r="P135" s="287">
        <v>0.64374999999999993</v>
      </c>
      <c r="Q135" s="287">
        <v>0.99930555555555556</v>
      </c>
      <c r="R135" s="91">
        <f t="shared" si="4"/>
        <v>0.35555555555555562</v>
      </c>
      <c r="S135" s="91">
        <f>(Table5[[#This Row],[Fault Clearance time]]-Table5[[#This Row],[Work Start TimeStamp]])*24</f>
        <v>8.533333333333335</v>
      </c>
      <c r="T135" s="91">
        <f>(Table5[[#This Row],[Fault Clearance time]]-Table5[[#This Row],[Fault Start TimeStamp]])*24</f>
        <v>8.533333333333335</v>
      </c>
      <c r="U135" s="23" t="s">
        <v>795</v>
      </c>
      <c r="V135" s="79" t="s">
        <v>339</v>
      </c>
      <c r="W135" s="289">
        <f>IFERROR(Table5[[#This Row],[Breakdown Time]]*Table5[[#This Row],[Plant Equivalent Weightage]],"")</f>
        <v>0.19393939393939399</v>
      </c>
      <c r="X135" s="289" t="s">
        <v>394</v>
      </c>
      <c r="Y135" s="290" t="s">
        <v>100</v>
      </c>
      <c r="Z135" s="79"/>
      <c r="AA135" s="283">
        <v>672</v>
      </c>
      <c r="AB135" s="79"/>
      <c r="AC135" s="23"/>
      <c r="AD135" s="23"/>
    </row>
    <row r="136" spans="1:30">
      <c r="A136" s="79">
        <f t="shared" si="5"/>
        <v>135</v>
      </c>
      <c r="B136" s="283">
        <f>YEAR(Table5[[#This Row],[Date]])+IF(MONTH(Table5[[#This Row],[Date]])&gt;=4,1,0)</f>
        <v>2026</v>
      </c>
      <c r="C136" s="79">
        <f>YEAR(Table5[[#This Row],[Date]])</f>
        <v>2025</v>
      </c>
      <c r="D136" s="79" t="s">
        <v>344</v>
      </c>
      <c r="E136" s="284">
        <f>Table5[[#This Row],[Date]]-DAY(Table5[[#This Row],[Date]])+1</f>
        <v>45778</v>
      </c>
      <c r="F136" s="285">
        <v>45790</v>
      </c>
      <c r="G136" s="79" t="s">
        <v>112</v>
      </c>
      <c r="H136" s="23" t="str">
        <f>IFERROR(_xlfn.XLOOKUP(Table5[[#This Row],[Affected WTG]],'Basic Data'!$A:$A,'Basic Data'!$B:$B),"")</f>
        <v>PWEPL</v>
      </c>
      <c r="I136" s="23" t="str">
        <f>IFERROR(_xlfn.XLOOKUP(Table5[[#This Row],[Affected WTG]],'Basic Data'!$A:$A,'Basic Data'!$C:$C),"")</f>
        <v>MSEDCL</v>
      </c>
      <c r="J136" s="286">
        <f>IFERROR(_xlfn.XLOOKUP(Table5[[#This Row],[Affected WTG]],'Basic Data'!$A:$A,'Basic Data'!$E:$E),"")</f>
        <v>2.2727272727272728E-2</v>
      </c>
      <c r="K136" s="79">
        <v>269</v>
      </c>
      <c r="L136" s="23" t="str">
        <f>IFERROR(_xlfn.XLOOKUP(Table5[[#This Row],[Error Code]],'Basic Data'!$W:$W,'Basic Data'!$X:$X),"Incorrect Error Code")</f>
        <v>Reboot PLC</v>
      </c>
      <c r="M136" s="23" t="s">
        <v>348</v>
      </c>
      <c r="N136" s="23"/>
      <c r="O136" s="287">
        <v>0.69861111111111107</v>
      </c>
      <c r="P136" s="287">
        <v>0.69861111111111107</v>
      </c>
      <c r="Q136" s="287">
        <v>0.71527777777777779</v>
      </c>
      <c r="R136" s="91">
        <f t="shared" si="4"/>
        <v>1.6666666666666718E-2</v>
      </c>
      <c r="S136" s="91">
        <f>(Table5[[#This Row],[Fault Clearance time]]-Table5[[#This Row],[Work Start TimeStamp]])*24</f>
        <v>0.40000000000000124</v>
      </c>
      <c r="T136" s="91">
        <f>(Table5[[#This Row],[Fault Clearance time]]-Table5[[#This Row],[Fault Start TimeStamp]])*24</f>
        <v>0.40000000000000124</v>
      </c>
      <c r="U136" s="23" t="s">
        <v>353</v>
      </c>
      <c r="V136" s="79" t="s">
        <v>339</v>
      </c>
      <c r="W136" s="289">
        <f>IFERROR(Table5[[#This Row],[Breakdown Time]]*Table5[[#This Row],[Plant Equivalent Weightage]],"")</f>
        <v>9.09090909090912E-3</v>
      </c>
      <c r="X136" s="289" t="s">
        <v>343</v>
      </c>
      <c r="Y136" s="290" t="s">
        <v>111</v>
      </c>
      <c r="Z136" s="79"/>
      <c r="AA136" s="283">
        <v>213</v>
      </c>
      <c r="AB136" s="79"/>
      <c r="AC136" s="23"/>
      <c r="AD136" s="23"/>
    </row>
    <row r="137" spans="1:30">
      <c r="A137" s="79">
        <f t="shared" si="5"/>
        <v>136</v>
      </c>
      <c r="B137" s="283">
        <f>YEAR(Table5[[#This Row],[Date]])+IF(MONTH(Table5[[#This Row],[Date]])&gt;=4,1,0)</f>
        <v>2026</v>
      </c>
      <c r="C137" s="79">
        <f>YEAR(Table5[[#This Row],[Date]])</f>
        <v>2025</v>
      </c>
      <c r="D137" s="79" t="s">
        <v>344</v>
      </c>
      <c r="E137" s="284">
        <f>Table5[[#This Row],[Date]]-DAY(Table5[[#This Row],[Date]])+1</f>
        <v>45778</v>
      </c>
      <c r="F137" s="285">
        <v>45791</v>
      </c>
      <c r="G137" s="79" t="s">
        <v>108</v>
      </c>
      <c r="H137" s="23" t="str">
        <f>IFERROR(_xlfn.XLOOKUP(Table5[[#This Row],[Affected WTG]],'Basic Data'!$A:$A,'Basic Data'!$B:$B),"")</f>
        <v>PWEPL</v>
      </c>
      <c r="I137" s="23" t="str">
        <f>IFERROR(_xlfn.XLOOKUP(Table5[[#This Row],[Affected WTG]],'Basic Data'!$A:$A,'Basic Data'!$C:$C),"")</f>
        <v>MSEDCL</v>
      </c>
      <c r="J137" s="286">
        <f>IFERROR(_xlfn.XLOOKUP(Table5[[#This Row],[Affected WTG]],'Basic Data'!$A:$A,'Basic Data'!$E:$E),"")</f>
        <v>2.2727272727272728E-2</v>
      </c>
      <c r="K137" s="79">
        <v>3</v>
      </c>
      <c r="L137" s="23" t="str">
        <f>IFERROR(_xlfn.XLOOKUP(Table5[[#This Row],[Error Code]],'Basic Data'!$W:$W,'Basic Data'!$X:$X),"Incorrect Error Code")</f>
        <v>Manual Stop</v>
      </c>
      <c r="M137" s="23" t="s">
        <v>792</v>
      </c>
      <c r="N137" s="23"/>
      <c r="O137" s="287">
        <v>0</v>
      </c>
      <c r="P137" s="287">
        <v>0</v>
      </c>
      <c r="Q137" s="287">
        <v>0.29166666666666669</v>
      </c>
      <c r="R137" s="91">
        <f t="shared" si="4"/>
        <v>0.29166666666666669</v>
      </c>
      <c r="S137" s="91">
        <f>(Table5[[#This Row],[Fault Clearance time]]-Table5[[#This Row],[Work Start TimeStamp]])*24</f>
        <v>7</v>
      </c>
      <c r="T137" s="91">
        <f>(Table5[[#This Row],[Fault Clearance time]]-Table5[[#This Row],[Fault Start TimeStamp]])*24</f>
        <v>7</v>
      </c>
      <c r="U137" s="23" t="s">
        <v>798</v>
      </c>
      <c r="V137" s="79" t="s">
        <v>339</v>
      </c>
      <c r="W137" s="289">
        <f>IFERROR(Table5[[#This Row],[Breakdown Time]]*Table5[[#This Row],[Plant Equivalent Weightage]],"")</f>
        <v>0.15909090909090909</v>
      </c>
      <c r="X137" s="289" t="s">
        <v>394</v>
      </c>
      <c r="Y137" s="290" t="s">
        <v>80</v>
      </c>
      <c r="Z137" s="79"/>
      <c r="AA137" s="283">
        <v>649</v>
      </c>
      <c r="AB137" s="79"/>
      <c r="AC137" s="23"/>
      <c r="AD137" s="23"/>
    </row>
    <row r="138" spans="1:30">
      <c r="A138" s="79">
        <f t="shared" si="5"/>
        <v>137</v>
      </c>
      <c r="B138" s="283">
        <f>YEAR(Table5[[#This Row],[Date]])+IF(MONTH(Table5[[#This Row],[Date]])&gt;=4,1,0)</f>
        <v>2026</v>
      </c>
      <c r="C138" s="79">
        <f>YEAR(Table5[[#This Row],[Date]])</f>
        <v>2025</v>
      </c>
      <c r="D138" s="79" t="s">
        <v>344</v>
      </c>
      <c r="E138" s="284">
        <f>Table5[[#This Row],[Date]]-DAY(Table5[[#This Row],[Date]])+1</f>
        <v>45778</v>
      </c>
      <c r="F138" s="285">
        <v>45791</v>
      </c>
      <c r="G138" s="79" t="s">
        <v>110</v>
      </c>
      <c r="H138" s="23" t="str">
        <f>IFERROR(_xlfn.XLOOKUP(Table5[[#This Row],[Affected WTG]],'Basic Data'!$A:$A,'Basic Data'!$B:$B),"")</f>
        <v>PWEPL</v>
      </c>
      <c r="I138" s="23" t="str">
        <f>IFERROR(_xlfn.XLOOKUP(Table5[[#This Row],[Affected WTG]],'Basic Data'!$A:$A,'Basic Data'!$C:$C),"")</f>
        <v>MSEDCL</v>
      </c>
      <c r="J138" s="286">
        <f>IFERROR(_xlfn.XLOOKUP(Table5[[#This Row],[Affected WTG]],'Basic Data'!$A:$A,'Basic Data'!$E:$E),"")</f>
        <v>2.2727272727272728E-2</v>
      </c>
      <c r="K138" s="79">
        <v>3</v>
      </c>
      <c r="L138" s="23" t="str">
        <f>IFERROR(_xlfn.XLOOKUP(Table5[[#This Row],[Error Code]],'Basic Data'!$W:$W,'Basic Data'!$X:$X),"Incorrect Error Code")</f>
        <v>Manual Stop</v>
      </c>
      <c r="M138" s="23" t="s">
        <v>792</v>
      </c>
      <c r="N138" s="23"/>
      <c r="O138" s="287">
        <v>0</v>
      </c>
      <c r="P138" s="287">
        <v>0</v>
      </c>
      <c r="Q138" s="287">
        <v>0.79652777777777783</v>
      </c>
      <c r="R138" s="91">
        <f t="shared" si="4"/>
        <v>0.79652777777777783</v>
      </c>
      <c r="S138" s="91">
        <f>(Table5[[#This Row],[Fault Clearance time]]-Table5[[#This Row],[Work Start TimeStamp]])*24</f>
        <v>19.116666666666667</v>
      </c>
      <c r="T138" s="91">
        <f>(Table5[[#This Row],[Fault Clearance time]]-Table5[[#This Row],[Fault Start TimeStamp]])*24</f>
        <v>19.116666666666667</v>
      </c>
      <c r="U138" s="23" t="s">
        <v>798</v>
      </c>
      <c r="V138" s="79" t="s">
        <v>339</v>
      </c>
      <c r="W138" s="289">
        <f>IFERROR(Table5[[#This Row],[Breakdown Time]]*Table5[[#This Row],[Plant Equivalent Weightage]],"")</f>
        <v>0.43446969696969701</v>
      </c>
      <c r="X138" s="289" t="s">
        <v>394</v>
      </c>
      <c r="Y138" s="290" t="s">
        <v>100</v>
      </c>
      <c r="Z138" s="79"/>
      <c r="AA138" s="283">
        <v>1771</v>
      </c>
      <c r="AB138" s="79"/>
      <c r="AC138" s="23"/>
      <c r="AD138" s="23"/>
    </row>
    <row r="139" spans="1:30">
      <c r="A139" s="79">
        <f t="shared" si="5"/>
        <v>138</v>
      </c>
      <c r="B139" s="283">
        <f>YEAR(Table5[[#This Row],[Date]])+IF(MONTH(Table5[[#This Row],[Date]])&gt;=4,1,0)</f>
        <v>2026</v>
      </c>
      <c r="C139" s="79">
        <f>YEAR(Table5[[#This Row],[Date]])</f>
        <v>2025</v>
      </c>
      <c r="D139" s="79" t="s">
        <v>344</v>
      </c>
      <c r="E139" s="284">
        <f>Table5[[#This Row],[Date]]-DAY(Table5[[#This Row],[Date]])+1</f>
        <v>45778</v>
      </c>
      <c r="F139" s="285">
        <v>45791</v>
      </c>
      <c r="G139" s="79" t="s">
        <v>80</v>
      </c>
      <c r="H139" s="23" t="str">
        <f>IFERROR(_xlfn.XLOOKUP(Table5[[#This Row],[Affected WTG]],'Basic Data'!$A:$A,'Basic Data'!$B:$B),"")</f>
        <v>PWEPL</v>
      </c>
      <c r="I139" s="23" t="str">
        <f>IFERROR(_xlfn.XLOOKUP(Table5[[#This Row],[Affected WTG]],'Basic Data'!$A:$A,'Basic Data'!$C:$C),"")</f>
        <v>MSEDCL</v>
      </c>
      <c r="J139" s="286">
        <f>IFERROR(_xlfn.XLOOKUP(Table5[[#This Row],[Affected WTG]],'Basic Data'!$A:$A,'Basic Data'!$E:$E),"")</f>
        <v>2.2727272727272728E-2</v>
      </c>
      <c r="K139" s="79">
        <v>3</v>
      </c>
      <c r="L139" s="23" t="str">
        <f>IFERROR(_xlfn.XLOOKUP(Table5[[#This Row],[Error Code]],'Basic Data'!$W:$W,'Basic Data'!$X:$X),"Incorrect Error Code")</f>
        <v>Manual Stop</v>
      </c>
      <c r="M139" s="23" t="s">
        <v>792</v>
      </c>
      <c r="N139" s="23"/>
      <c r="O139" s="287">
        <v>0.3756944444444445</v>
      </c>
      <c r="P139" s="287">
        <v>0.3756944444444445</v>
      </c>
      <c r="Q139" s="287">
        <v>0.52013888888888882</v>
      </c>
      <c r="R139" s="91">
        <f t="shared" si="4"/>
        <v>0.14444444444444432</v>
      </c>
      <c r="S139" s="91">
        <f>(Table5[[#This Row],[Fault Clearance time]]-Table5[[#This Row],[Work Start TimeStamp]])*24</f>
        <v>3.4666666666666637</v>
      </c>
      <c r="T139" s="91">
        <f>(Table5[[#This Row],[Fault Clearance time]]-Table5[[#This Row],[Fault Start TimeStamp]])*24</f>
        <v>3.4666666666666637</v>
      </c>
      <c r="U139" s="23" t="s">
        <v>795</v>
      </c>
      <c r="V139" s="79" t="s">
        <v>339</v>
      </c>
      <c r="W139" s="289">
        <f>IFERROR(Table5[[#This Row],[Breakdown Time]]*Table5[[#This Row],[Plant Equivalent Weightage]],"")</f>
        <v>7.8787878787878726E-2</v>
      </c>
      <c r="X139" s="289" t="s">
        <v>394</v>
      </c>
      <c r="Y139" s="290" t="s">
        <v>108</v>
      </c>
      <c r="Z139" s="79"/>
      <c r="AA139" s="283">
        <v>322</v>
      </c>
      <c r="AB139" s="79"/>
      <c r="AC139" s="23"/>
      <c r="AD139" s="23"/>
    </row>
    <row r="140" spans="1:30">
      <c r="A140" s="79">
        <f t="shared" si="5"/>
        <v>139</v>
      </c>
      <c r="B140" s="283">
        <f>YEAR(Table5[[#This Row],[Date]])+IF(MONTH(Table5[[#This Row],[Date]])&gt;=4,1,0)</f>
        <v>2026</v>
      </c>
      <c r="C140" s="79">
        <f>YEAR(Table5[[#This Row],[Date]])</f>
        <v>2025</v>
      </c>
      <c r="D140" s="79" t="s">
        <v>344</v>
      </c>
      <c r="E140" s="284">
        <f>Table5[[#This Row],[Date]]-DAY(Table5[[#This Row],[Date]])+1</f>
        <v>45778</v>
      </c>
      <c r="F140" s="285">
        <v>45791</v>
      </c>
      <c r="G140" s="79" t="s">
        <v>80</v>
      </c>
      <c r="H140" s="23" t="str">
        <f>IFERROR(_xlfn.XLOOKUP(Table5[[#This Row],[Affected WTG]],'Basic Data'!$A:$A,'Basic Data'!$B:$B),"")</f>
        <v>PWEPL</v>
      </c>
      <c r="I140" s="23" t="str">
        <f>IFERROR(_xlfn.XLOOKUP(Table5[[#This Row],[Affected WTG]],'Basic Data'!$A:$A,'Basic Data'!$C:$C),"")</f>
        <v>MSEDCL</v>
      </c>
      <c r="J140" s="286">
        <f>IFERROR(_xlfn.XLOOKUP(Table5[[#This Row],[Affected WTG]],'Basic Data'!$A:$A,'Basic Data'!$E:$E),"")</f>
        <v>2.2727272727272728E-2</v>
      </c>
      <c r="K140" s="79">
        <v>3</v>
      </c>
      <c r="L140" s="23" t="str">
        <f>IFERROR(_xlfn.XLOOKUP(Table5[[#This Row],[Error Code]],'Basic Data'!$W:$W,'Basic Data'!$X:$X),"Incorrect Error Code")</f>
        <v>Manual Stop</v>
      </c>
      <c r="M140" s="23" t="s">
        <v>792</v>
      </c>
      <c r="N140" s="23"/>
      <c r="O140" s="287">
        <v>0.75902777777777775</v>
      </c>
      <c r="P140" s="287">
        <v>0.75902777777777775</v>
      </c>
      <c r="Q140" s="287">
        <v>0.99930555555555556</v>
      </c>
      <c r="R140" s="91">
        <f t="shared" si="4"/>
        <v>0.24027777777777781</v>
      </c>
      <c r="S140" s="91">
        <f>(Table5[[#This Row],[Fault Clearance time]]-Table5[[#This Row],[Work Start TimeStamp]])*24</f>
        <v>5.7666666666666675</v>
      </c>
      <c r="T140" s="91">
        <f>(Table5[[#This Row],[Fault Clearance time]]-Table5[[#This Row],[Fault Start TimeStamp]])*24</f>
        <v>5.7666666666666675</v>
      </c>
      <c r="U140" s="23" t="s">
        <v>795</v>
      </c>
      <c r="V140" s="79" t="s">
        <v>339</v>
      </c>
      <c r="W140" s="289">
        <f>IFERROR(Table5[[#This Row],[Breakdown Time]]*Table5[[#This Row],[Plant Equivalent Weightage]],"")</f>
        <v>0.13106060606060607</v>
      </c>
      <c r="X140" s="289" t="s">
        <v>394</v>
      </c>
      <c r="Y140" s="290" t="s">
        <v>108</v>
      </c>
      <c r="Z140" s="79"/>
      <c r="AA140" s="283">
        <v>554</v>
      </c>
      <c r="AB140" s="79"/>
      <c r="AC140" s="23"/>
      <c r="AD140" s="23"/>
    </row>
    <row r="141" spans="1:30">
      <c r="A141" s="79">
        <f t="shared" si="5"/>
        <v>140</v>
      </c>
      <c r="B141" s="283">
        <f>YEAR(Table5[[#This Row],[Date]])+IF(MONTH(Table5[[#This Row],[Date]])&gt;=4,1,0)</f>
        <v>2026</v>
      </c>
      <c r="C141" s="79">
        <f>YEAR(Table5[[#This Row],[Date]])</f>
        <v>2025</v>
      </c>
      <c r="D141" s="79" t="s">
        <v>344</v>
      </c>
      <c r="E141" s="284">
        <f>Table5[[#This Row],[Date]]-DAY(Table5[[#This Row],[Date]])+1</f>
        <v>45778</v>
      </c>
      <c r="F141" s="285">
        <v>45791</v>
      </c>
      <c r="G141" s="79" t="s">
        <v>79</v>
      </c>
      <c r="H141" s="23" t="str">
        <f>IFERROR(_xlfn.XLOOKUP(Table5[[#This Row],[Affected WTG]],'Basic Data'!$A:$A,'Basic Data'!$B:$B),"")</f>
        <v>PWEPL</v>
      </c>
      <c r="I141" s="23" t="str">
        <f>IFERROR(_xlfn.XLOOKUP(Table5[[#This Row],[Affected WTG]],'Basic Data'!$A:$A,'Basic Data'!$C:$C),"")</f>
        <v>MSEDCL</v>
      </c>
      <c r="J141" s="286">
        <f>IFERROR(_xlfn.XLOOKUP(Table5[[#This Row],[Affected WTG]],'Basic Data'!$A:$A,'Basic Data'!$E:$E),"")</f>
        <v>2.2727272727272728E-2</v>
      </c>
      <c r="K141" s="79">
        <v>3</v>
      </c>
      <c r="L141" s="23" t="str">
        <f>IFERROR(_xlfn.XLOOKUP(Table5[[#This Row],[Error Code]],'Basic Data'!$W:$W,'Basic Data'!$X:$X),"Incorrect Error Code")</f>
        <v>Manual Stop</v>
      </c>
      <c r="M141" s="23" t="s">
        <v>792</v>
      </c>
      <c r="N141" s="23"/>
      <c r="O141" s="287">
        <v>0.64444444444444449</v>
      </c>
      <c r="P141" s="287">
        <v>0.64444444444444449</v>
      </c>
      <c r="Q141" s="287">
        <v>0.99930555555555556</v>
      </c>
      <c r="R141" s="91">
        <f t="shared" si="4"/>
        <v>0.35486111111111107</v>
      </c>
      <c r="S141" s="91">
        <f>(Table5[[#This Row],[Fault Clearance time]]-Table5[[#This Row],[Work Start TimeStamp]])*24</f>
        <v>8.5166666666666657</v>
      </c>
      <c r="T141" s="91">
        <f>(Table5[[#This Row],[Fault Clearance time]]-Table5[[#This Row],[Fault Start TimeStamp]])*24</f>
        <v>8.5166666666666657</v>
      </c>
      <c r="U141" s="23" t="s">
        <v>795</v>
      </c>
      <c r="V141" s="79" t="s">
        <v>339</v>
      </c>
      <c r="W141" s="289">
        <f>IFERROR(Table5[[#This Row],[Breakdown Time]]*Table5[[#This Row],[Plant Equivalent Weightage]],"")</f>
        <v>0.19356060606060604</v>
      </c>
      <c r="X141" s="289" t="s">
        <v>394</v>
      </c>
      <c r="Y141" s="290" t="s">
        <v>96</v>
      </c>
      <c r="Z141" s="79"/>
      <c r="AA141" s="283">
        <v>789</v>
      </c>
      <c r="AB141" s="79"/>
      <c r="AC141" s="23"/>
      <c r="AD141" s="23"/>
    </row>
    <row r="142" spans="1:30">
      <c r="A142" s="79">
        <f t="shared" si="5"/>
        <v>141</v>
      </c>
      <c r="B142" s="283">
        <f>YEAR(Table5[[#This Row],[Date]])+IF(MONTH(Table5[[#This Row],[Date]])&gt;=4,1,0)</f>
        <v>2026</v>
      </c>
      <c r="C142" s="79">
        <f>YEAR(Table5[[#This Row],[Date]])</f>
        <v>2025</v>
      </c>
      <c r="D142" s="79" t="s">
        <v>344</v>
      </c>
      <c r="E142" s="284">
        <f>Table5[[#This Row],[Date]]-DAY(Table5[[#This Row],[Date]])+1</f>
        <v>45778</v>
      </c>
      <c r="F142" s="285">
        <v>45791</v>
      </c>
      <c r="G142" s="79" t="s">
        <v>117</v>
      </c>
      <c r="H142" s="23" t="str">
        <f>IFERROR(_xlfn.XLOOKUP(Table5[[#This Row],[Affected WTG]],'Basic Data'!$A:$A,'Basic Data'!$B:$B),"")</f>
        <v>PWEPL</v>
      </c>
      <c r="I142" s="23" t="str">
        <f>IFERROR(_xlfn.XLOOKUP(Table5[[#This Row],[Affected WTG]],'Basic Data'!$A:$A,'Basic Data'!$C:$C),"")</f>
        <v>MSEDCL</v>
      </c>
      <c r="J142" s="286">
        <f>IFERROR(_xlfn.XLOOKUP(Table5[[#This Row],[Affected WTG]],'Basic Data'!$A:$A,'Basic Data'!$E:$E),"")</f>
        <v>2.2727272727272728E-2</v>
      </c>
      <c r="K142" s="79">
        <v>269</v>
      </c>
      <c r="L142" s="23" t="str">
        <f>IFERROR(_xlfn.XLOOKUP(Table5[[#This Row],[Error Code]],'Basic Data'!$W:$W,'Basic Data'!$X:$X),"Incorrect Error Code")</f>
        <v>Reboot PLC</v>
      </c>
      <c r="M142" s="23" t="s">
        <v>348</v>
      </c>
      <c r="N142" s="23"/>
      <c r="O142" s="287">
        <v>0.64722222222222225</v>
      </c>
      <c r="P142" s="287">
        <v>0.64722222222222225</v>
      </c>
      <c r="Q142" s="287">
        <v>0.65694444444444444</v>
      </c>
      <c r="R142" s="91">
        <f t="shared" si="4"/>
        <v>9.7222222222221877E-3</v>
      </c>
      <c r="S142" s="91">
        <f>(Table5[[#This Row],[Fault Clearance time]]-Table5[[#This Row],[Work Start TimeStamp]])*24</f>
        <v>0.2333333333333325</v>
      </c>
      <c r="T142" s="91">
        <f>(Table5[[#This Row],[Fault Clearance time]]-Table5[[#This Row],[Fault Start TimeStamp]])*24</f>
        <v>0.2333333333333325</v>
      </c>
      <c r="U142" s="23" t="s">
        <v>353</v>
      </c>
      <c r="V142" s="79" t="s">
        <v>339</v>
      </c>
      <c r="W142" s="289">
        <f>IFERROR(Table5[[#This Row],[Breakdown Time]]*Table5[[#This Row],[Plant Equivalent Weightage]],"")</f>
        <v>5.3030303030302843E-3</v>
      </c>
      <c r="X142" s="289" t="s">
        <v>343</v>
      </c>
      <c r="Y142" s="290" t="s">
        <v>116</v>
      </c>
      <c r="Z142" s="79"/>
      <c r="AA142" s="283">
        <v>0</v>
      </c>
      <c r="AB142" s="79"/>
      <c r="AC142" s="23"/>
      <c r="AD142" s="23"/>
    </row>
    <row r="143" spans="1:30">
      <c r="A143" s="79">
        <f t="shared" si="5"/>
        <v>142</v>
      </c>
      <c r="B143" s="283">
        <f>YEAR(Table5[[#This Row],[Date]])+IF(MONTH(Table5[[#This Row],[Date]])&gt;=4,1,0)</f>
        <v>2026</v>
      </c>
      <c r="C143" s="79">
        <f>YEAR(Table5[[#This Row],[Date]])</f>
        <v>2025</v>
      </c>
      <c r="D143" s="79" t="s">
        <v>344</v>
      </c>
      <c r="E143" s="284">
        <f>Table5[[#This Row],[Date]]-DAY(Table5[[#This Row],[Date]])+1</f>
        <v>45778</v>
      </c>
      <c r="F143" s="285">
        <v>45791</v>
      </c>
      <c r="G143" s="79" t="s">
        <v>99</v>
      </c>
      <c r="H143" s="23" t="str">
        <f>IFERROR(_xlfn.XLOOKUP(Table5[[#This Row],[Affected WTG]],'Basic Data'!$A:$A,'Basic Data'!$B:$B),"")</f>
        <v>PWEPL</v>
      </c>
      <c r="I143" s="23" t="str">
        <f>IFERROR(_xlfn.XLOOKUP(Table5[[#This Row],[Affected WTG]],'Basic Data'!$A:$A,'Basic Data'!$C:$C),"")</f>
        <v>MSEDCL</v>
      </c>
      <c r="J143" s="286">
        <f>IFERROR(_xlfn.XLOOKUP(Table5[[#This Row],[Affected WTG]],'Basic Data'!$A:$A,'Basic Data'!$E:$E),"")</f>
        <v>2.2727272727272728E-2</v>
      </c>
      <c r="K143" s="79">
        <v>60</v>
      </c>
      <c r="L143" s="23" t="str">
        <f>IFERROR(_xlfn.XLOOKUP(Table5[[#This Row],[Error Code]],'Basic Data'!$W:$W,'Basic Data'!$X:$X),"Incorrect Error Code")</f>
        <v>Yaw limit switch activated</v>
      </c>
      <c r="M143" s="23" t="s">
        <v>357</v>
      </c>
      <c r="N143" s="23"/>
      <c r="O143" s="287">
        <v>0.40833333333333338</v>
      </c>
      <c r="P143" s="287">
        <v>0.40833333333333338</v>
      </c>
      <c r="Q143" s="287">
        <v>0.49305555555555558</v>
      </c>
      <c r="R143" s="91">
        <f t="shared" si="4"/>
        <v>8.4722222222222199E-2</v>
      </c>
      <c r="S143" s="91">
        <f>(Table5[[#This Row],[Fault Clearance time]]-Table5[[#This Row],[Work Start TimeStamp]])*24</f>
        <v>2.0333333333333328</v>
      </c>
      <c r="T143" s="91">
        <f>(Table5[[#This Row],[Fault Clearance time]]-Table5[[#This Row],[Fault Start TimeStamp]])*24</f>
        <v>2.0333333333333328</v>
      </c>
      <c r="U143" s="23" t="s">
        <v>358</v>
      </c>
      <c r="V143" s="79" t="s">
        <v>339</v>
      </c>
      <c r="W143" s="289">
        <f>IFERROR(Table5[[#This Row],[Breakdown Time]]*Table5[[#This Row],[Plant Equivalent Weightage]],"")</f>
        <v>4.6212121212121197E-2</v>
      </c>
      <c r="X143" s="289" t="s">
        <v>343</v>
      </c>
      <c r="Y143" s="290" t="s">
        <v>100</v>
      </c>
      <c r="Z143" s="79"/>
      <c r="AA143" s="283">
        <v>0</v>
      </c>
      <c r="AB143" s="79"/>
      <c r="AC143" s="23"/>
      <c r="AD143" s="23"/>
    </row>
    <row r="144" spans="1:30">
      <c r="A144" s="79">
        <f t="shared" si="5"/>
        <v>143</v>
      </c>
      <c r="B144" s="283">
        <f>YEAR(Table5[[#This Row],[Date]])+IF(MONTH(Table5[[#This Row],[Date]])&gt;=4,1,0)</f>
        <v>2026</v>
      </c>
      <c r="C144" s="79">
        <f>YEAR(Table5[[#This Row],[Date]])</f>
        <v>2025</v>
      </c>
      <c r="D144" s="79" t="s">
        <v>344</v>
      </c>
      <c r="E144" s="284">
        <f>Table5[[#This Row],[Date]]-DAY(Table5[[#This Row],[Date]])+1</f>
        <v>45778</v>
      </c>
      <c r="F144" s="285">
        <v>45792</v>
      </c>
      <c r="G144" s="79" t="s">
        <v>80</v>
      </c>
      <c r="H144" s="23" t="str">
        <f>IFERROR(_xlfn.XLOOKUP(Table5[[#This Row],[Affected WTG]],'Basic Data'!$A:$A,'Basic Data'!$B:$B),"")</f>
        <v>PWEPL</v>
      </c>
      <c r="I144" s="23" t="str">
        <f>IFERROR(_xlfn.XLOOKUP(Table5[[#This Row],[Affected WTG]],'Basic Data'!$A:$A,'Basic Data'!$C:$C),"")</f>
        <v>MSEDCL</v>
      </c>
      <c r="J144" s="286">
        <f>IFERROR(_xlfn.XLOOKUP(Table5[[#This Row],[Affected WTG]],'Basic Data'!$A:$A,'Basic Data'!$E:$E),"")</f>
        <v>2.2727272727272728E-2</v>
      </c>
      <c r="K144" s="79">
        <v>3</v>
      </c>
      <c r="L144" s="23" t="str">
        <f>IFERROR(_xlfn.XLOOKUP(Table5[[#This Row],[Error Code]],'Basic Data'!$W:$W,'Basic Data'!$X:$X),"Incorrect Error Code")</f>
        <v>Manual Stop</v>
      </c>
      <c r="M144" s="23" t="s">
        <v>792</v>
      </c>
      <c r="N144" s="23"/>
      <c r="O144" s="287">
        <v>0</v>
      </c>
      <c r="P144" s="287">
        <v>0</v>
      </c>
      <c r="Q144" s="287">
        <v>0.3527777777777778</v>
      </c>
      <c r="R144" s="91">
        <f t="shared" si="4"/>
        <v>0.3527777777777778</v>
      </c>
      <c r="S144" s="91">
        <f>(Table5[[#This Row],[Fault Clearance time]]-Table5[[#This Row],[Work Start TimeStamp]])*24</f>
        <v>8.4666666666666668</v>
      </c>
      <c r="T144" s="91">
        <f>(Table5[[#This Row],[Fault Clearance time]]-Table5[[#This Row],[Fault Start TimeStamp]])*24</f>
        <v>8.4666666666666668</v>
      </c>
      <c r="U144" s="23" t="s">
        <v>798</v>
      </c>
      <c r="V144" s="79" t="s">
        <v>339</v>
      </c>
      <c r="W144" s="289">
        <f>IFERROR(Table5[[#This Row],[Breakdown Time]]*Table5[[#This Row],[Plant Equivalent Weightage]],"")</f>
        <v>0.19242424242424244</v>
      </c>
      <c r="X144" s="289" t="s">
        <v>394</v>
      </c>
      <c r="Y144" s="290" t="s">
        <v>96</v>
      </c>
      <c r="Z144" s="79"/>
      <c r="AA144" s="283">
        <v>1504</v>
      </c>
      <c r="AB144" s="79"/>
      <c r="AC144" s="23"/>
      <c r="AD144" s="23"/>
    </row>
    <row r="145" spans="1:30">
      <c r="A145" s="79">
        <f t="shared" si="5"/>
        <v>144</v>
      </c>
      <c r="B145" s="283">
        <f>YEAR(Table5[[#This Row],[Date]])+IF(MONTH(Table5[[#This Row],[Date]])&gt;=4,1,0)</f>
        <v>2026</v>
      </c>
      <c r="C145" s="79">
        <f>YEAR(Table5[[#This Row],[Date]])</f>
        <v>2025</v>
      </c>
      <c r="D145" s="79" t="s">
        <v>344</v>
      </c>
      <c r="E145" s="284">
        <f>Table5[[#This Row],[Date]]-DAY(Table5[[#This Row],[Date]])+1</f>
        <v>45778</v>
      </c>
      <c r="F145" s="285">
        <v>45792</v>
      </c>
      <c r="G145" s="79" t="s">
        <v>79</v>
      </c>
      <c r="H145" s="23" t="str">
        <f>IFERROR(_xlfn.XLOOKUP(Table5[[#This Row],[Affected WTG]],'Basic Data'!$A:$A,'Basic Data'!$B:$B),"")</f>
        <v>PWEPL</v>
      </c>
      <c r="I145" s="23" t="str">
        <f>IFERROR(_xlfn.XLOOKUP(Table5[[#This Row],[Affected WTG]],'Basic Data'!$A:$A,'Basic Data'!$C:$C),"")</f>
        <v>MSEDCL</v>
      </c>
      <c r="J145" s="286">
        <f>IFERROR(_xlfn.XLOOKUP(Table5[[#This Row],[Affected WTG]],'Basic Data'!$A:$A,'Basic Data'!$E:$E),"")</f>
        <v>2.2727272727272728E-2</v>
      </c>
      <c r="K145" s="79">
        <v>3</v>
      </c>
      <c r="L145" s="23" t="str">
        <f>IFERROR(_xlfn.XLOOKUP(Table5[[#This Row],[Error Code]],'Basic Data'!$W:$W,'Basic Data'!$X:$X),"Incorrect Error Code")</f>
        <v>Manual Stop</v>
      </c>
      <c r="M145" s="23" t="s">
        <v>792</v>
      </c>
      <c r="N145" s="23"/>
      <c r="O145" s="287">
        <v>0</v>
      </c>
      <c r="P145" s="287">
        <v>0</v>
      </c>
      <c r="Q145" s="287">
        <v>0.67499999999999993</v>
      </c>
      <c r="R145" s="91">
        <f t="shared" si="4"/>
        <v>0.67499999999999993</v>
      </c>
      <c r="S145" s="91">
        <f>(Table5[[#This Row],[Fault Clearance time]]-Table5[[#This Row],[Work Start TimeStamp]])*24</f>
        <v>16.2</v>
      </c>
      <c r="T145" s="91">
        <f>(Table5[[#This Row],[Fault Clearance time]]-Table5[[#This Row],[Fault Start TimeStamp]])*24</f>
        <v>16.2</v>
      </c>
      <c r="U145" s="23" t="s">
        <v>798</v>
      </c>
      <c r="V145" s="79" t="s">
        <v>339</v>
      </c>
      <c r="W145" s="289">
        <f>IFERROR(Table5[[#This Row],[Breakdown Time]]*Table5[[#This Row],[Plant Equivalent Weightage]],"")</f>
        <v>0.36818181818181817</v>
      </c>
      <c r="X145" s="289" t="s">
        <v>394</v>
      </c>
      <c r="Y145" s="290" t="s">
        <v>108</v>
      </c>
      <c r="Z145" s="79"/>
      <c r="AA145" s="283">
        <v>786</v>
      </c>
      <c r="AB145" s="79"/>
      <c r="AC145" s="23"/>
      <c r="AD145" s="23"/>
    </row>
    <row r="146" spans="1:30">
      <c r="A146" s="79">
        <f t="shared" si="5"/>
        <v>145</v>
      </c>
      <c r="B146" s="283">
        <f>YEAR(Table5[[#This Row],[Date]])+IF(MONTH(Table5[[#This Row],[Date]])&gt;=4,1,0)</f>
        <v>2026</v>
      </c>
      <c r="C146" s="79">
        <f>YEAR(Table5[[#This Row],[Date]])</f>
        <v>2025</v>
      </c>
      <c r="D146" s="79" t="s">
        <v>344</v>
      </c>
      <c r="E146" s="284">
        <f>Table5[[#This Row],[Date]]-DAY(Table5[[#This Row],[Date]])+1</f>
        <v>45778</v>
      </c>
      <c r="F146" s="285">
        <v>45792</v>
      </c>
      <c r="G146" s="79" t="s">
        <v>93</v>
      </c>
      <c r="H146" s="23" t="str">
        <f>IFERROR(_xlfn.XLOOKUP(Table5[[#This Row],[Affected WTG]],'Basic Data'!$A:$A,'Basic Data'!$B:$B),"")</f>
        <v>PWEPL</v>
      </c>
      <c r="I146" s="23" t="str">
        <f>IFERROR(_xlfn.XLOOKUP(Table5[[#This Row],[Affected WTG]],'Basic Data'!$A:$A,'Basic Data'!$C:$C),"")</f>
        <v>MSEDCL</v>
      </c>
      <c r="J146" s="286">
        <f>IFERROR(_xlfn.XLOOKUP(Table5[[#This Row],[Affected WTG]],'Basic Data'!$A:$A,'Basic Data'!$E:$E),"")</f>
        <v>2.2727272727272728E-2</v>
      </c>
      <c r="K146" s="79">
        <v>269</v>
      </c>
      <c r="L146" s="23" t="str">
        <f>IFERROR(_xlfn.XLOOKUP(Table5[[#This Row],[Error Code]],'Basic Data'!$W:$W,'Basic Data'!$X:$X),"Incorrect Error Code")</f>
        <v>Reboot PLC</v>
      </c>
      <c r="M146" s="23" t="s">
        <v>348</v>
      </c>
      <c r="N146" s="23"/>
      <c r="O146" s="287">
        <v>0.65208333333333335</v>
      </c>
      <c r="P146" s="287">
        <v>0.65208333333333335</v>
      </c>
      <c r="Q146" s="287">
        <v>0.66111111111111109</v>
      </c>
      <c r="R146" s="91">
        <f t="shared" si="4"/>
        <v>9.0277777777777457E-3</v>
      </c>
      <c r="S146" s="91">
        <f>(Table5[[#This Row],[Fault Clearance time]]-Table5[[#This Row],[Work Start TimeStamp]])*24</f>
        <v>0.2166666666666659</v>
      </c>
      <c r="T146" s="91">
        <f>(Table5[[#This Row],[Fault Clearance time]]-Table5[[#This Row],[Fault Start TimeStamp]])*24</f>
        <v>0.2166666666666659</v>
      </c>
      <c r="U146" s="23" t="s">
        <v>353</v>
      </c>
      <c r="V146" s="79" t="s">
        <v>339</v>
      </c>
      <c r="W146" s="289">
        <f>IFERROR(Table5[[#This Row],[Breakdown Time]]*Table5[[#This Row],[Plant Equivalent Weightage]],"")</f>
        <v>4.9242424242424065E-3</v>
      </c>
      <c r="X146" s="289" t="s">
        <v>343</v>
      </c>
      <c r="Y146" s="290" t="s">
        <v>76</v>
      </c>
      <c r="Z146" s="79"/>
      <c r="AA146" s="283">
        <v>17</v>
      </c>
      <c r="AB146" s="79"/>
      <c r="AC146" s="23"/>
      <c r="AD146" s="23"/>
    </row>
    <row r="147" spans="1:30">
      <c r="A147" s="79">
        <f t="shared" si="5"/>
        <v>146</v>
      </c>
      <c r="B147" s="283">
        <f>YEAR(Table5[[#This Row],[Date]])+IF(MONTH(Table5[[#This Row],[Date]])&gt;=4,1,0)</f>
        <v>2026</v>
      </c>
      <c r="C147" s="79">
        <f>YEAR(Table5[[#This Row],[Date]])</f>
        <v>2025</v>
      </c>
      <c r="D147" s="79" t="s">
        <v>344</v>
      </c>
      <c r="E147" s="284">
        <f>Table5[[#This Row],[Date]]-DAY(Table5[[#This Row],[Date]])+1</f>
        <v>45778</v>
      </c>
      <c r="F147" s="285">
        <v>45792</v>
      </c>
      <c r="G147" s="79" t="s">
        <v>103</v>
      </c>
      <c r="H147" s="23" t="str">
        <f>IFERROR(_xlfn.XLOOKUP(Table5[[#This Row],[Affected WTG]],'Basic Data'!$A:$A,'Basic Data'!$B:$B),"")</f>
        <v>PWEPL</v>
      </c>
      <c r="I147" s="23" t="str">
        <f>IFERROR(_xlfn.XLOOKUP(Table5[[#This Row],[Affected WTG]],'Basic Data'!$A:$A,'Basic Data'!$C:$C),"")</f>
        <v>MSEDCL</v>
      </c>
      <c r="J147" s="286">
        <f>IFERROR(_xlfn.XLOOKUP(Table5[[#This Row],[Affected WTG]],'Basic Data'!$A:$A,'Basic Data'!$E:$E),"")</f>
        <v>2.2727272727272728E-2</v>
      </c>
      <c r="K147" s="79">
        <v>269</v>
      </c>
      <c r="L147" s="23" t="str">
        <f>IFERROR(_xlfn.XLOOKUP(Table5[[#This Row],[Error Code]],'Basic Data'!$W:$W,'Basic Data'!$X:$X),"Incorrect Error Code")</f>
        <v>Reboot PLC</v>
      </c>
      <c r="M147" s="23" t="s">
        <v>348</v>
      </c>
      <c r="N147" s="23"/>
      <c r="O147" s="287">
        <v>0.65208333333333335</v>
      </c>
      <c r="P147" s="287">
        <v>0.65208333333333335</v>
      </c>
      <c r="Q147" s="287">
        <v>0.65902777777777777</v>
      </c>
      <c r="R147" s="91">
        <f t="shared" si="4"/>
        <v>6.9444444444444198E-3</v>
      </c>
      <c r="S147" s="91">
        <f>(Table5[[#This Row],[Fault Clearance time]]-Table5[[#This Row],[Work Start TimeStamp]])*24</f>
        <v>0.16666666666666607</v>
      </c>
      <c r="T147" s="91">
        <f>(Table5[[#This Row],[Fault Clearance time]]-Table5[[#This Row],[Fault Start TimeStamp]])*24</f>
        <v>0.16666666666666607</v>
      </c>
      <c r="U147" s="23" t="s">
        <v>353</v>
      </c>
      <c r="V147" s="79" t="s">
        <v>339</v>
      </c>
      <c r="W147" s="289">
        <f>IFERROR(Table5[[#This Row],[Breakdown Time]]*Table5[[#This Row],[Plant Equivalent Weightage]],"")</f>
        <v>3.7878787878787745E-3</v>
      </c>
      <c r="X147" s="289" t="s">
        <v>343</v>
      </c>
      <c r="Y147" s="290" t="s">
        <v>105</v>
      </c>
      <c r="Z147" s="79"/>
      <c r="AA147" s="283">
        <v>15</v>
      </c>
      <c r="AB147" s="79"/>
      <c r="AC147" s="23"/>
      <c r="AD147" s="23"/>
    </row>
    <row r="148" spans="1:30">
      <c r="A148" s="79">
        <f t="shared" si="5"/>
        <v>147</v>
      </c>
      <c r="B148" s="283">
        <f>YEAR(Table5[[#This Row],[Date]])+IF(MONTH(Table5[[#This Row],[Date]])&gt;=4,1,0)</f>
        <v>2026</v>
      </c>
      <c r="C148" s="79">
        <f>YEAR(Table5[[#This Row],[Date]])</f>
        <v>2025</v>
      </c>
      <c r="D148" s="79" t="s">
        <v>344</v>
      </c>
      <c r="E148" s="284">
        <f>Table5[[#This Row],[Date]]-DAY(Table5[[#This Row],[Date]])+1</f>
        <v>45778</v>
      </c>
      <c r="F148" s="285">
        <v>45793</v>
      </c>
      <c r="G148" s="79" t="s">
        <v>101</v>
      </c>
      <c r="H148" s="23" t="str">
        <f>IFERROR(_xlfn.XLOOKUP(Table5[[#This Row],[Affected WTG]],'Basic Data'!$A:$A,'Basic Data'!$B:$B),"")</f>
        <v>PWEPL</v>
      </c>
      <c r="I148" s="23" t="str">
        <f>IFERROR(_xlfn.XLOOKUP(Table5[[#This Row],[Affected WTG]],'Basic Data'!$A:$A,'Basic Data'!$C:$C),"")</f>
        <v>MSEDCL</v>
      </c>
      <c r="J148" s="286">
        <f>IFERROR(_xlfn.XLOOKUP(Table5[[#This Row],[Affected WTG]],'Basic Data'!$A:$A,'Basic Data'!$E:$E),"")</f>
        <v>2.2727272727272728E-2</v>
      </c>
      <c r="K148" s="79">
        <v>269</v>
      </c>
      <c r="L148" s="23" t="str">
        <f>IFERROR(_xlfn.XLOOKUP(Table5[[#This Row],[Error Code]],'Basic Data'!$W:$W,'Basic Data'!$X:$X),"Incorrect Error Code")</f>
        <v>Reboot PLC</v>
      </c>
      <c r="M148" s="23" t="s">
        <v>348</v>
      </c>
      <c r="N148" s="23"/>
      <c r="O148" s="287">
        <v>0.66597222222222219</v>
      </c>
      <c r="P148" s="287">
        <v>0.66597222222222219</v>
      </c>
      <c r="Q148" s="287">
        <v>0.67569444444444438</v>
      </c>
      <c r="R148" s="91">
        <f t="shared" si="4"/>
        <v>9.7222222222221877E-3</v>
      </c>
      <c r="S148" s="91">
        <f>(Table5[[#This Row],[Fault Clearance time]]-Table5[[#This Row],[Work Start TimeStamp]])*24</f>
        <v>0.2333333333333325</v>
      </c>
      <c r="T148" s="91">
        <f>(Table5[[#This Row],[Fault Clearance time]]-Table5[[#This Row],[Fault Start TimeStamp]])*24</f>
        <v>0.2333333333333325</v>
      </c>
      <c r="U148" s="23" t="s">
        <v>353</v>
      </c>
      <c r="V148" s="79" t="s">
        <v>339</v>
      </c>
      <c r="W148" s="289">
        <f>IFERROR(Table5[[#This Row],[Breakdown Time]]*Table5[[#This Row],[Plant Equivalent Weightage]],"")</f>
        <v>5.3030303030302843E-3</v>
      </c>
      <c r="X148" s="289" t="s">
        <v>343</v>
      </c>
      <c r="Y148" s="290" t="s">
        <v>100</v>
      </c>
      <c r="Z148" s="79"/>
      <c r="AA148" s="283">
        <v>0</v>
      </c>
      <c r="AB148" s="79"/>
      <c r="AC148" s="23"/>
      <c r="AD148" s="23"/>
    </row>
    <row r="149" spans="1:30">
      <c r="A149" s="79">
        <f t="shared" si="5"/>
        <v>148</v>
      </c>
      <c r="B149" s="283">
        <f>YEAR(Table5[[#This Row],[Date]])+IF(MONTH(Table5[[#This Row],[Date]])&gt;=4,1,0)</f>
        <v>2026</v>
      </c>
      <c r="C149" s="79">
        <f>YEAR(Table5[[#This Row],[Date]])</f>
        <v>2025</v>
      </c>
      <c r="D149" s="79" t="s">
        <v>344</v>
      </c>
      <c r="E149" s="284">
        <f>Table5[[#This Row],[Date]]-DAY(Table5[[#This Row],[Date]])+1</f>
        <v>45778</v>
      </c>
      <c r="F149" s="285">
        <v>45793</v>
      </c>
      <c r="G149" s="79" t="s">
        <v>107</v>
      </c>
      <c r="H149" s="23" t="str">
        <f>IFERROR(_xlfn.XLOOKUP(Table5[[#This Row],[Affected WTG]],'Basic Data'!$A:$A,'Basic Data'!$B:$B),"")</f>
        <v>PWEPL</v>
      </c>
      <c r="I149" s="23" t="str">
        <f>IFERROR(_xlfn.XLOOKUP(Table5[[#This Row],[Affected WTG]],'Basic Data'!$A:$A,'Basic Data'!$C:$C),"")</f>
        <v>MSEDCL</v>
      </c>
      <c r="J149" s="286">
        <f>IFERROR(_xlfn.XLOOKUP(Table5[[#This Row],[Affected WTG]],'Basic Data'!$A:$A,'Basic Data'!$E:$E),"")</f>
        <v>2.2727272727272728E-2</v>
      </c>
      <c r="K149" s="79">
        <v>269</v>
      </c>
      <c r="L149" s="23" t="str">
        <f>IFERROR(_xlfn.XLOOKUP(Table5[[#This Row],[Error Code]],'Basic Data'!$W:$W,'Basic Data'!$X:$X),"Incorrect Error Code")</f>
        <v>Reboot PLC</v>
      </c>
      <c r="M149" s="23" t="s">
        <v>348</v>
      </c>
      <c r="N149" s="23"/>
      <c r="O149" s="287">
        <v>0.67361111111111116</v>
      </c>
      <c r="P149" s="287">
        <v>0.67361111111111116</v>
      </c>
      <c r="Q149" s="287">
        <v>0.68333333333333324</v>
      </c>
      <c r="R149" s="91">
        <f t="shared" si="4"/>
        <v>9.7222222222220767E-3</v>
      </c>
      <c r="S149" s="91">
        <f>(Table5[[#This Row],[Fault Clearance time]]-Table5[[#This Row],[Work Start TimeStamp]])*24</f>
        <v>0.23333333333332984</v>
      </c>
      <c r="T149" s="91">
        <f>(Table5[[#This Row],[Fault Clearance time]]-Table5[[#This Row],[Fault Start TimeStamp]])*24</f>
        <v>0.23333333333332984</v>
      </c>
      <c r="U149" s="23" t="s">
        <v>353</v>
      </c>
      <c r="V149" s="79" t="s">
        <v>339</v>
      </c>
      <c r="W149" s="289">
        <f>IFERROR(Table5[[#This Row],[Breakdown Time]]*Table5[[#This Row],[Plant Equivalent Weightage]],"")</f>
        <v>5.3030303030302236E-3</v>
      </c>
      <c r="X149" s="289" t="s">
        <v>343</v>
      </c>
      <c r="Y149" s="290" t="s">
        <v>80</v>
      </c>
      <c r="Z149" s="79"/>
      <c r="AA149" s="283">
        <v>33</v>
      </c>
      <c r="AB149" s="79"/>
      <c r="AC149" s="23"/>
      <c r="AD149" s="23"/>
    </row>
    <row r="150" spans="1:30">
      <c r="A150" s="79">
        <f t="shared" si="5"/>
        <v>149</v>
      </c>
      <c r="B150" s="283">
        <f>YEAR(Table5[[#This Row],[Date]])+IF(MONTH(Table5[[#This Row],[Date]])&gt;=4,1,0)</f>
        <v>2026</v>
      </c>
      <c r="C150" s="79">
        <f>YEAR(Table5[[#This Row],[Date]])</f>
        <v>2025</v>
      </c>
      <c r="D150" s="79" t="s">
        <v>344</v>
      </c>
      <c r="E150" s="284">
        <f>Table5[[#This Row],[Date]]-DAY(Table5[[#This Row],[Date]])+1</f>
        <v>45778</v>
      </c>
      <c r="F150" s="285">
        <v>45794</v>
      </c>
      <c r="G150" s="79" t="s">
        <v>90</v>
      </c>
      <c r="H150" s="23" t="str">
        <f>IFERROR(_xlfn.XLOOKUP(Table5[[#This Row],[Affected WTG]],'Basic Data'!$A:$A,'Basic Data'!$B:$B),"")</f>
        <v>PWEPL</v>
      </c>
      <c r="I150" s="23" t="str">
        <f>IFERROR(_xlfn.XLOOKUP(Table5[[#This Row],[Affected WTG]],'Basic Data'!$A:$A,'Basic Data'!$C:$C),"")</f>
        <v>MSEDCL</v>
      </c>
      <c r="J150" s="286">
        <f>IFERROR(_xlfn.XLOOKUP(Table5[[#This Row],[Affected WTG]],'Basic Data'!$A:$A,'Basic Data'!$E:$E),"")</f>
        <v>2.2727272727272728E-2</v>
      </c>
      <c r="K150" s="79">
        <v>86</v>
      </c>
      <c r="L150" s="23" t="str">
        <f>IFERROR(_xlfn.XLOOKUP(Table5[[#This Row],[Error Code]],'Basic Data'!$W:$W,'Basic Data'!$X:$X),"Incorrect Error Code")</f>
        <v>Braking pad of secondary brake worn out</v>
      </c>
      <c r="M150" s="23" t="s">
        <v>821</v>
      </c>
      <c r="N150" s="23"/>
      <c r="O150" s="287">
        <v>0.48958333333333331</v>
      </c>
      <c r="P150" s="287">
        <v>0.48958333333333331</v>
      </c>
      <c r="Q150" s="287">
        <v>0.68819444444444444</v>
      </c>
      <c r="R150" s="91">
        <f t="shared" si="4"/>
        <v>0.19861111111111113</v>
      </c>
      <c r="S150" s="91">
        <f>(Table5[[#This Row],[Fault Clearance time]]-Table5[[#This Row],[Work Start TimeStamp]])*24</f>
        <v>4.7666666666666675</v>
      </c>
      <c r="T150" s="91">
        <f>(Table5[[#This Row],[Fault Clearance time]]-Table5[[#This Row],[Fault Start TimeStamp]])*24</f>
        <v>4.7666666666666675</v>
      </c>
      <c r="U150" s="23" t="s">
        <v>822</v>
      </c>
      <c r="V150" s="79" t="s">
        <v>339</v>
      </c>
      <c r="W150" s="289">
        <f>IFERROR(Table5[[#This Row],[Breakdown Time]]*Table5[[#This Row],[Plant Equivalent Weightage]],"")</f>
        <v>0.10833333333333335</v>
      </c>
      <c r="X150" s="289" t="s">
        <v>343</v>
      </c>
      <c r="Y150" s="290" t="s">
        <v>91</v>
      </c>
      <c r="Z150" s="79"/>
      <c r="AA150" s="283">
        <v>949</v>
      </c>
      <c r="AB150" s="79"/>
      <c r="AC150" s="23"/>
      <c r="AD150" s="23"/>
    </row>
    <row r="151" spans="1:30">
      <c r="A151" s="79">
        <f t="shared" si="5"/>
        <v>150</v>
      </c>
      <c r="B151" s="283">
        <f>YEAR(Table5[[#This Row],[Date]])+IF(MONTH(Table5[[#This Row],[Date]])&gt;=4,1,0)</f>
        <v>2026</v>
      </c>
      <c r="C151" s="79">
        <f>YEAR(Table5[[#This Row],[Date]])</f>
        <v>2025</v>
      </c>
      <c r="D151" s="79" t="s">
        <v>344</v>
      </c>
      <c r="E151" s="284">
        <f>Table5[[#This Row],[Date]]-DAY(Table5[[#This Row],[Date]])+1</f>
        <v>45778</v>
      </c>
      <c r="F151" s="285">
        <v>45796</v>
      </c>
      <c r="G151" s="79" t="s">
        <v>100</v>
      </c>
      <c r="H151" s="23" t="str">
        <f>IFERROR(_xlfn.XLOOKUP(Table5[[#This Row],[Affected WTG]],'Basic Data'!$A:$A,'Basic Data'!$B:$B),"")</f>
        <v>PWEPL</v>
      </c>
      <c r="I151" s="23" t="str">
        <f>IFERROR(_xlfn.XLOOKUP(Table5[[#This Row],[Affected WTG]],'Basic Data'!$A:$A,'Basic Data'!$C:$C),"")</f>
        <v>MSEDCL</v>
      </c>
      <c r="J151" s="286">
        <f>IFERROR(_xlfn.XLOOKUP(Table5[[#This Row],[Affected WTG]],'Basic Data'!$A:$A,'Basic Data'!$E:$E),"")</f>
        <v>2.2727272727272728E-2</v>
      </c>
      <c r="K151" s="79">
        <v>3</v>
      </c>
      <c r="L151" s="23" t="str">
        <f>IFERROR(_xlfn.XLOOKUP(Table5[[#This Row],[Error Code]],'Basic Data'!$W:$W,'Basic Data'!$X:$X),"Incorrect Error Code")</f>
        <v>Manual Stop</v>
      </c>
      <c r="M151" s="23" t="s">
        <v>823</v>
      </c>
      <c r="N151" s="23"/>
      <c r="O151" s="287">
        <v>0.61111111111111105</v>
      </c>
      <c r="P151" s="287">
        <v>0.61111111111111105</v>
      </c>
      <c r="Q151" s="287">
        <v>0.76458333333333339</v>
      </c>
      <c r="R151" s="91">
        <f t="shared" si="4"/>
        <v>0.15347222222222234</v>
      </c>
      <c r="S151" s="91">
        <f>(Table5[[#This Row],[Fault Clearance time]]-Table5[[#This Row],[Work Start TimeStamp]])*24</f>
        <v>3.6833333333333362</v>
      </c>
      <c r="T151" s="91">
        <f>(Table5[[#This Row],[Fault Clearance time]]-Table5[[#This Row],[Fault Start TimeStamp]])*24</f>
        <v>3.6833333333333362</v>
      </c>
      <c r="U151" s="23" t="s">
        <v>824</v>
      </c>
      <c r="V151" s="79" t="s">
        <v>339</v>
      </c>
      <c r="W151" s="289">
        <f>IFERROR(Table5[[#This Row],[Breakdown Time]]*Table5[[#This Row],[Plant Equivalent Weightage]],"")</f>
        <v>8.3712121212121279E-2</v>
      </c>
      <c r="X151" s="289" t="s">
        <v>343</v>
      </c>
      <c r="Y151" s="290" t="s">
        <v>101</v>
      </c>
      <c r="Z151" s="79"/>
      <c r="AA151" s="283">
        <v>274</v>
      </c>
      <c r="AB151" s="79"/>
      <c r="AC151" s="23"/>
      <c r="AD151" s="23"/>
    </row>
    <row r="152" spans="1:30">
      <c r="A152" s="79">
        <f t="shared" si="5"/>
        <v>151</v>
      </c>
      <c r="B152" s="283">
        <f>YEAR(Table5[[#This Row],[Date]])+IF(MONTH(Table5[[#This Row],[Date]])&gt;=4,1,0)</f>
        <v>2026</v>
      </c>
      <c r="C152" s="79">
        <f>YEAR(Table5[[#This Row],[Date]])</f>
        <v>2025</v>
      </c>
      <c r="D152" s="79" t="s">
        <v>344</v>
      </c>
      <c r="E152" s="284">
        <f>Table5[[#This Row],[Date]]-DAY(Table5[[#This Row],[Date]])+1</f>
        <v>45778</v>
      </c>
      <c r="F152" s="285">
        <v>45797</v>
      </c>
      <c r="G152" s="79" t="s">
        <v>106</v>
      </c>
      <c r="H152" s="23" t="str">
        <f>IFERROR(_xlfn.XLOOKUP(Table5[[#This Row],[Affected WTG]],'Basic Data'!$A:$A,'Basic Data'!$B:$B),"")</f>
        <v>PWEPL</v>
      </c>
      <c r="I152" s="23" t="str">
        <f>IFERROR(_xlfn.XLOOKUP(Table5[[#This Row],[Affected WTG]],'Basic Data'!$A:$A,'Basic Data'!$C:$C),"")</f>
        <v>MSEDCL</v>
      </c>
      <c r="J152" s="286">
        <f>IFERROR(_xlfn.XLOOKUP(Table5[[#This Row],[Affected WTG]],'Basic Data'!$A:$A,'Basic Data'!$E:$E),"")</f>
        <v>2.2727272727272728E-2</v>
      </c>
      <c r="K152" s="79">
        <v>275</v>
      </c>
      <c r="L152" s="23" t="str">
        <f>IFERROR(_xlfn.XLOOKUP(Table5[[#This Row],[Error Code]],'Basic Data'!$W:$W,'Basic Data'!$X:$X),"Incorrect Error Code")</f>
        <v>Pitch thyristor 2 fault</v>
      </c>
      <c r="M152" s="23" t="s">
        <v>162</v>
      </c>
      <c r="N152" s="23"/>
      <c r="O152" s="287">
        <v>0.75347222222222221</v>
      </c>
      <c r="P152" s="287">
        <v>0.75347222222222221</v>
      </c>
      <c r="Q152" s="287">
        <v>0.84305555555555556</v>
      </c>
      <c r="R152" s="91">
        <f t="shared" si="4"/>
        <v>8.9583333333333348E-2</v>
      </c>
      <c r="S152" s="91">
        <f>(Table5[[#This Row],[Fault Clearance time]]-Table5[[#This Row],[Work Start TimeStamp]])*24</f>
        <v>2.1500000000000004</v>
      </c>
      <c r="T152" s="91">
        <f>(Table5[[#This Row],[Fault Clearance time]]-Table5[[#This Row],[Fault Start TimeStamp]])*24</f>
        <v>2.1500000000000004</v>
      </c>
      <c r="U152" s="23" t="s">
        <v>349</v>
      </c>
      <c r="V152" s="79" t="s">
        <v>339</v>
      </c>
      <c r="W152" s="289">
        <f>IFERROR(Table5[[#This Row],[Breakdown Time]]*Table5[[#This Row],[Plant Equivalent Weightage]],"")</f>
        <v>4.8863636363636373E-2</v>
      </c>
      <c r="X152" s="289" t="s">
        <v>343</v>
      </c>
      <c r="Y152" s="290" t="s">
        <v>92</v>
      </c>
      <c r="Z152" s="79"/>
      <c r="AA152" s="283">
        <v>2367</v>
      </c>
      <c r="AB152" s="79"/>
      <c r="AC152" s="23"/>
      <c r="AD152" s="23"/>
    </row>
    <row r="153" spans="1:30">
      <c r="A153" s="79">
        <f t="shared" si="5"/>
        <v>152</v>
      </c>
      <c r="B153" s="283">
        <f>YEAR(Table5[[#This Row],[Date]])+IF(MONTH(Table5[[#This Row],[Date]])&gt;=4,1,0)</f>
        <v>2026</v>
      </c>
      <c r="C153" s="79">
        <f>YEAR(Table5[[#This Row],[Date]])</f>
        <v>2025</v>
      </c>
      <c r="D153" s="79" t="s">
        <v>344</v>
      </c>
      <c r="E153" s="284">
        <f>Table5[[#This Row],[Date]]-DAY(Table5[[#This Row],[Date]])+1</f>
        <v>45778</v>
      </c>
      <c r="F153" s="285">
        <v>45800</v>
      </c>
      <c r="G153" s="79" t="s">
        <v>114</v>
      </c>
      <c r="H153" s="23" t="str">
        <f>IFERROR(_xlfn.XLOOKUP(Table5[[#This Row],[Affected WTG]],'Basic Data'!$A:$A,'Basic Data'!$B:$B),"")</f>
        <v>PWEPL</v>
      </c>
      <c r="I153" s="23" t="str">
        <f>IFERROR(_xlfn.XLOOKUP(Table5[[#This Row],[Affected WTG]],'Basic Data'!$A:$A,'Basic Data'!$C:$C),"")</f>
        <v>MSEDCL</v>
      </c>
      <c r="J153" s="286">
        <f>IFERROR(_xlfn.XLOOKUP(Table5[[#This Row],[Affected WTG]],'Basic Data'!$A:$A,'Basic Data'!$E:$E),"")</f>
        <v>2.2727272727272728E-2</v>
      </c>
      <c r="K153" s="79">
        <v>3</v>
      </c>
      <c r="L153" s="23" t="str">
        <f>IFERROR(_xlfn.XLOOKUP(Table5[[#This Row],[Error Code]],'Basic Data'!$W:$W,'Basic Data'!$X:$X),"Incorrect Error Code")</f>
        <v>Manual Stop</v>
      </c>
      <c r="M153" s="23" t="s">
        <v>831</v>
      </c>
      <c r="N153" s="23"/>
      <c r="O153" s="287">
        <v>0.56666666666666665</v>
      </c>
      <c r="P153" s="287">
        <v>0.56666666666666665</v>
      </c>
      <c r="Q153" s="287">
        <v>0.65763888888888888</v>
      </c>
      <c r="R153" s="91">
        <f t="shared" si="4"/>
        <v>9.0972222222222232E-2</v>
      </c>
      <c r="S153" s="91">
        <f>(Table5[[#This Row],[Fault Clearance time]]-Table5[[#This Row],[Work Start TimeStamp]])*24</f>
        <v>2.1833333333333336</v>
      </c>
      <c r="T153" s="91">
        <f>(Table5[[#This Row],[Fault Clearance time]]-Table5[[#This Row],[Fault Start TimeStamp]])*24</f>
        <v>2.1833333333333336</v>
      </c>
      <c r="U153" s="23" t="s">
        <v>833</v>
      </c>
      <c r="V153" s="79" t="s">
        <v>339</v>
      </c>
      <c r="W153" s="289">
        <f>IFERROR(Table5[[#This Row],[Breakdown Time]]*Table5[[#This Row],[Plant Equivalent Weightage]],"")</f>
        <v>4.9621212121212128E-2</v>
      </c>
      <c r="X153" s="289" t="s">
        <v>394</v>
      </c>
      <c r="Y153" s="290" t="s">
        <v>113</v>
      </c>
      <c r="Z153" s="79"/>
      <c r="AA153" s="283">
        <v>227</v>
      </c>
      <c r="AB153" s="79"/>
      <c r="AC153" s="23"/>
      <c r="AD153" s="23"/>
    </row>
    <row r="154" spans="1:30">
      <c r="A154" s="79">
        <f t="shared" si="5"/>
        <v>153</v>
      </c>
      <c r="B154" s="283">
        <f>YEAR(Table5[[#This Row],[Date]])+IF(MONTH(Table5[[#This Row],[Date]])&gt;=4,1,0)</f>
        <v>2026</v>
      </c>
      <c r="C154" s="79">
        <f>YEAR(Table5[[#This Row],[Date]])</f>
        <v>2025</v>
      </c>
      <c r="D154" s="79" t="s">
        <v>344</v>
      </c>
      <c r="E154" s="284">
        <f>Table5[[#This Row],[Date]]-DAY(Table5[[#This Row],[Date]])+1</f>
        <v>45778</v>
      </c>
      <c r="F154" s="285">
        <v>45800</v>
      </c>
      <c r="G154" s="79" t="s">
        <v>104</v>
      </c>
      <c r="H154" s="23" t="str">
        <f>IFERROR(_xlfn.XLOOKUP(Table5[[#This Row],[Affected WTG]],'Basic Data'!$A:$A,'Basic Data'!$B:$B),"")</f>
        <v>PWEPL</v>
      </c>
      <c r="I154" s="23" t="str">
        <f>IFERROR(_xlfn.XLOOKUP(Table5[[#This Row],[Affected WTG]],'Basic Data'!$A:$A,'Basic Data'!$C:$C),"")</f>
        <v>MSEDCL</v>
      </c>
      <c r="J154" s="286">
        <f>IFERROR(_xlfn.XLOOKUP(Table5[[#This Row],[Affected WTG]],'Basic Data'!$A:$A,'Basic Data'!$E:$E),"")</f>
        <v>2.2727272727272728E-2</v>
      </c>
      <c r="K154" s="79">
        <v>3</v>
      </c>
      <c r="L154" s="23" t="str">
        <f>IFERROR(_xlfn.XLOOKUP(Table5[[#This Row],[Error Code]],'Basic Data'!$W:$W,'Basic Data'!$X:$X),"Incorrect Error Code")</f>
        <v>Manual Stop</v>
      </c>
      <c r="M154" s="23" t="s">
        <v>831</v>
      </c>
      <c r="N154" s="23"/>
      <c r="O154" s="287">
        <v>0.50069444444444444</v>
      </c>
      <c r="P154" s="287">
        <v>0.50069444444444444</v>
      </c>
      <c r="Q154" s="287">
        <v>0.56805555555555554</v>
      </c>
      <c r="R154" s="91">
        <f t="shared" si="4"/>
        <v>6.7361111111111094E-2</v>
      </c>
      <c r="S154" s="91">
        <f>(Table5[[#This Row],[Fault Clearance time]]-Table5[[#This Row],[Work Start TimeStamp]])*24</f>
        <v>1.6166666666666663</v>
      </c>
      <c r="T154" s="91">
        <f>(Table5[[#This Row],[Fault Clearance time]]-Table5[[#This Row],[Fault Start TimeStamp]])*24</f>
        <v>1.6166666666666663</v>
      </c>
      <c r="U154" s="23" t="s">
        <v>833</v>
      </c>
      <c r="V154" s="79" t="s">
        <v>339</v>
      </c>
      <c r="W154" s="289">
        <f>IFERROR(Table5[[#This Row],[Breakdown Time]]*Table5[[#This Row],[Plant Equivalent Weightage]],"")</f>
        <v>3.6742424242424236E-2</v>
      </c>
      <c r="X154" s="289" t="s">
        <v>394</v>
      </c>
      <c r="Y154" s="290" t="s">
        <v>79</v>
      </c>
      <c r="Z154" s="79"/>
      <c r="AA154" s="283">
        <v>307</v>
      </c>
      <c r="AB154" s="79"/>
      <c r="AC154" s="23"/>
      <c r="AD154" s="23"/>
    </row>
    <row r="155" spans="1:30">
      <c r="A155" s="79">
        <f t="shared" si="5"/>
        <v>154</v>
      </c>
      <c r="B155" s="283">
        <f>YEAR(Table5[[#This Row],[Date]])+IF(MONTH(Table5[[#This Row],[Date]])&gt;=4,1,0)</f>
        <v>2026</v>
      </c>
      <c r="C155" s="79">
        <f>YEAR(Table5[[#This Row],[Date]])</f>
        <v>2025</v>
      </c>
      <c r="D155" s="79" t="s">
        <v>344</v>
      </c>
      <c r="E155" s="284">
        <f>Table5[[#This Row],[Date]]-DAY(Table5[[#This Row],[Date]])+1</f>
        <v>45778</v>
      </c>
      <c r="F155" s="285">
        <v>45800</v>
      </c>
      <c r="G155" s="79" t="s">
        <v>90</v>
      </c>
      <c r="H155" s="23" t="str">
        <f>IFERROR(_xlfn.XLOOKUP(Table5[[#This Row],[Affected WTG]],'Basic Data'!$A:$A,'Basic Data'!$B:$B),"")</f>
        <v>PWEPL</v>
      </c>
      <c r="I155" s="23" t="str">
        <f>IFERROR(_xlfn.XLOOKUP(Table5[[#This Row],[Affected WTG]],'Basic Data'!$A:$A,'Basic Data'!$C:$C),"")</f>
        <v>MSEDCL</v>
      </c>
      <c r="J155" s="286">
        <f>IFERROR(_xlfn.XLOOKUP(Table5[[#This Row],[Affected WTG]],'Basic Data'!$A:$A,'Basic Data'!$E:$E),"")</f>
        <v>2.2727272727272728E-2</v>
      </c>
      <c r="K155" s="79">
        <v>41</v>
      </c>
      <c r="L155" s="23" t="str">
        <f>IFERROR(_xlfn.XLOOKUP(Table5[[#This Row],[Error Code]],'Basic Data'!$W:$W,'Basic Data'!$X:$X),"Incorrect Error Code")</f>
        <v>Vibrations sensor Defect</v>
      </c>
      <c r="M155" s="23" t="s">
        <v>832</v>
      </c>
      <c r="N155" s="23"/>
      <c r="O155" s="287">
        <v>0.97777777777777775</v>
      </c>
      <c r="P155" s="287">
        <v>0.97777777777777775</v>
      </c>
      <c r="Q155" s="287">
        <v>0.99930555555555556</v>
      </c>
      <c r="R155" s="91">
        <f t="shared" si="4"/>
        <v>2.1527777777777812E-2</v>
      </c>
      <c r="S155" s="91">
        <f>(Table5[[#This Row],[Fault Clearance time]]-Table5[[#This Row],[Work Start TimeStamp]])*24</f>
        <v>0.5166666666666675</v>
      </c>
      <c r="T155" s="91">
        <f>(Table5[[#This Row],[Fault Clearance time]]-Table5[[#This Row],[Fault Start TimeStamp]])*24</f>
        <v>0.5166666666666675</v>
      </c>
      <c r="U155" s="23" t="s">
        <v>349</v>
      </c>
      <c r="V155" s="79" t="s">
        <v>339</v>
      </c>
      <c r="W155" s="289">
        <f>IFERROR(Table5[[#This Row],[Breakdown Time]]*Table5[[#This Row],[Plant Equivalent Weightage]],"")</f>
        <v>1.1742424242424261E-2</v>
      </c>
      <c r="X155" s="289" t="s">
        <v>343</v>
      </c>
      <c r="Y155" s="290" t="s">
        <v>89</v>
      </c>
      <c r="Z155" s="79"/>
      <c r="AA155" s="283">
        <v>48</v>
      </c>
      <c r="AB155" s="79"/>
      <c r="AC155" s="23"/>
      <c r="AD155" s="23"/>
    </row>
    <row r="156" spans="1:30">
      <c r="A156" s="79">
        <f t="shared" si="5"/>
        <v>155</v>
      </c>
      <c r="B156" s="283">
        <f>YEAR(Table5[[#This Row],[Date]])+IF(MONTH(Table5[[#This Row],[Date]])&gt;=4,1,0)</f>
        <v>2026</v>
      </c>
      <c r="C156" s="79">
        <f>YEAR(Table5[[#This Row],[Date]])</f>
        <v>2025</v>
      </c>
      <c r="D156" s="79" t="s">
        <v>344</v>
      </c>
      <c r="E156" s="284">
        <f>Table5[[#This Row],[Date]]-DAY(Table5[[#This Row],[Date]])+1</f>
        <v>45778</v>
      </c>
      <c r="F156" s="285">
        <v>45800</v>
      </c>
      <c r="G156" s="79" t="s">
        <v>119</v>
      </c>
      <c r="H156" s="23" t="str">
        <f>IFERROR(_xlfn.XLOOKUP(Table5[[#This Row],[Affected WTG]],'Basic Data'!$A:$A,'Basic Data'!$B:$B),"")</f>
        <v>PWEPL</v>
      </c>
      <c r="I156" s="23" t="str">
        <f>IFERROR(_xlfn.XLOOKUP(Table5[[#This Row],[Affected WTG]],'Basic Data'!$A:$A,'Basic Data'!$C:$C),"")</f>
        <v>MSEDCL</v>
      </c>
      <c r="J156" s="286">
        <f>IFERROR(_xlfn.XLOOKUP(Table5[[#This Row],[Affected WTG]],'Basic Data'!$A:$A,'Basic Data'!$E:$E),"")</f>
        <v>2.2727272727272728E-2</v>
      </c>
      <c r="K156" s="79">
        <v>275</v>
      </c>
      <c r="L156" s="23" t="str">
        <f>IFERROR(_xlfn.XLOOKUP(Table5[[#This Row],[Error Code]],'Basic Data'!$W:$W,'Basic Data'!$X:$X),"Incorrect Error Code")</f>
        <v>Pitch thyristor 2 fault</v>
      </c>
      <c r="M156" s="23" t="s">
        <v>162</v>
      </c>
      <c r="N156" s="23"/>
      <c r="O156" s="287">
        <v>0.62083333333333335</v>
      </c>
      <c r="P156" s="287">
        <v>0.62083333333333335</v>
      </c>
      <c r="Q156" s="287">
        <v>0.62638888888888888</v>
      </c>
      <c r="R156" s="91">
        <f t="shared" si="4"/>
        <v>5.5555555555555358E-3</v>
      </c>
      <c r="S156" s="91">
        <f>(Table5[[#This Row],[Fault Clearance time]]-Table5[[#This Row],[Work Start TimeStamp]])*24</f>
        <v>0.13333333333333286</v>
      </c>
      <c r="T156" s="91">
        <f>(Table5[[#This Row],[Fault Clearance time]]-Table5[[#This Row],[Fault Start TimeStamp]])*24</f>
        <v>0.13333333333333286</v>
      </c>
      <c r="U156" s="23" t="s">
        <v>353</v>
      </c>
      <c r="V156" s="79" t="s">
        <v>339</v>
      </c>
      <c r="W156" s="289">
        <f>IFERROR(Table5[[#This Row],[Breakdown Time]]*Table5[[#This Row],[Plant Equivalent Weightage]],"")</f>
        <v>3.0303030303030195E-3</v>
      </c>
      <c r="X156" s="289" t="s">
        <v>343</v>
      </c>
      <c r="Y156" s="290" t="s">
        <v>118</v>
      </c>
      <c r="Z156" s="79"/>
      <c r="AA156" s="283">
        <v>0</v>
      </c>
      <c r="AB156" s="79"/>
      <c r="AC156" s="23"/>
      <c r="AD156" s="23"/>
    </row>
    <row r="157" spans="1:30">
      <c r="A157" s="79">
        <f t="shared" si="5"/>
        <v>156</v>
      </c>
      <c r="B157" s="283">
        <f>YEAR(Table5[[#This Row],[Date]])+IF(MONTH(Table5[[#This Row],[Date]])&gt;=4,1,0)</f>
        <v>2026</v>
      </c>
      <c r="C157" s="79">
        <f>YEAR(Table5[[#This Row],[Date]])</f>
        <v>2025</v>
      </c>
      <c r="D157" s="79" t="s">
        <v>344</v>
      </c>
      <c r="E157" s="284">
        <f>Table5[[#This Row],[Date]]-DAY(Table5[[#This Row],[Date]])+1</f>
        <v>45778</v>
      </c>
      <c r="F157" s="285">
        <v>45801</v>
      </c>
      <c r="G157" s="79" t="s">
        <v>89</v>
      </c>
      <c r="H157" s="23" t="str">
        <f>IFERROR(_xlfn.XLOOKUP(Table5[[#This Row],[Affected WTG]],'Basic Data'!$A:$A,'Basic Data'!$B:$B),"")</f>
        <v>PWEPL</v>
      </c>
      <c r="I157" s="23" t="str">
        <f>IFERROR(_xlfn.XLOOKUP(Table5[[#This Row],[Affected WTG]],'Basic Data'!$A:$A,'Basic Data'!$C:$C),"")</f>
        <v>MSEDCL</v>
      </c>
      <c r="J157" s="286">
        <f>IFERROR(_xlfn.XLOOKUP(Table5[[#This Row],[Affected WTG]],'Basic Data'!$A:$A,'Basic Data'!$E:$E),"")</f>
        <v>2.2727272727272728E-2</v>
      </c>
      <c r="K157" s="79">
        <v>60</v>
      </c>
      <c r="L157" s="23" t="str">
        <f>IFERROR(_xlfn.XLOOKUP(Table5[[#This Row],[Error Code]],'Basic Data'!$W:$W,'Basic Data'!$X:$X),"Incorrect Error Code")</f>
        <v>Yaw limit switch activated</v>
      </c>
      <c r="M157" s="23" t="s">
        <v>357</v>
      </c>
      <c r="N157" s="23"/>
      <c r="O157" s="287">
        <v>0.52708333333333335</v>
      </c>
      <c r="P157" s="287">
        <v>0.52708333333333335</v>
      </c>
      <c r="Q157" s="287">
        <v>0.66111111111111109</v>
      </c>
      <c r="R157" s="91">
        <f t="shared" si="4"/>
        <v>0.13402777777777775</v>
      </c>
      <c r="S157" s="91">
        <f>(Table5[[#This Row],[Fault Clearance time]]-Table5[[#This Row],[Work Start TimeStamp]])*24</f>
        <v>3.2166666666666659</v>
      </c>
      <c r="T157" s="91">
        <f>(Table5[[#This Row],[Fault Clearance time]]-Table5[[#This Row],[Fault Start TimeStamp]])*24</f>
        <v>3.2166666666666659</v>
      </c>
      <c r="U157" s="23" t="s">
        <v>358</v>
      </c>
      <c r="V157" s="79" t="s">
        <v>339</v>
      </c>
      <c r="W157" s="289">
        <f>IFERROR(Table5[[#This Row],[Breakdown Time]]*Table5[[#This Row],[Plant Equivalent Weightage]],"")</f>
        <v>7.3106060606060591E-2</v>
      </c>
      <c r="X157" s="289" t="s">
        <v>343</v>
      </c>
      <c r="Y157" s="290" t="s">
        <v>88</v>
      </c>
      <c r="Z157" s="79"/>
      <c r="AA157" s="283">
        <v>0</v>
      </c>
      <c r="AB157" s="79"/>
      <c r="AC157" s="23"/>
      <c r="AD157" s="23"/>
    </row>
    <row r="158" spans="1:30">
      <c r="A158" s="79">
        <f t="shared" si="5"/>
        <v>157</v>
      </c>
      <c r="B158" s="283">
        <f>YEAR(Table5[[#This Row],[Date]])+IF(MONTH(Table5[[#This Row],[Date]])&gt;=4,1,0)</f>
        <v>2026</v>
      </c>
      <c r="C158" s="79">
        <f>YEAR(Table5[[#This Row],[Date]])</f>
        <v>2025</v>
      </c>
      <c r="D158" s="79" t="s">
        <v>344</v>
      </c>
      <c r="E158" s="284">
        <f>Table5[[#This Row],[Date]]-DAY(Table5[[#This Row],[Date]])+1</f>
        <v>45778</v>
      </c>
      <c r="F158" s="285">
        <v>45801</v>
      </c>
      <c r="G158" s="79" t="s">
        <v>94</v>
      </c>
      <c r="H158" s="23" t="str">
        <f>IFERROR(_xlfn.XLOOKUP(Table5[[#This Row],[Affected WTG]],'Basic Data'!$A:$A,'Basic Data'!$B:$B),"")</f>
        <v>PWEPL</v>
      </c>
      <c r="I158" s="23" t="str">
        <f>IFERROR(_xlfn.XLOOKUP(Table5[[#This Row],[Affected WTG]],'Basic Data'!$A:$A,'Basic Data'!$C:$C),"")</f>
        <v>MSEDCL</v>
      </c>
      <c r="J158" s="286">
        <f>IFERROR(_xlfn.XLOOKUP(Table5[[#This Row],[Affected WTG]],'Basic Data'!$A:$A,'Basic Data'!$E:$E),"")</f>
        <v>2.2727272727272728E-2</v>
      </c>
      <c r="K158" s="79">
        <v>102</v>
      </c>
      <c r="L158" s="23" t="str">
        <f>IFERROR(_xlfn.XLOOKUP(Table5[[#This Row],[Error Code]],'Basic Data'!$W:$W,'Basic Data'!$X:$X),"Incorrect Error Code")</f>
        <v>DTA DIN03 control breaker status</v>
      </c>
      <c r="M158" s="23" t="s">
        <v>863</v>
      </c>
      <c r="N158" s="23"/>
      <c r="O158" s="287">
        <v>0.5805555555555556</v>
      </c>
      <c r="P158" s="287">
        <v>0.5805555555555556</v>
      </c>
      <c r="Q158" s="287">
        <v>0.65833333333333333</v>
      </c>
      <c r="R158" s="91">
        <f t="shared" si="4"/>
        <v>7.7777777777777724E-2</v>
      </c>
      <c r="S158" s="91">
        <f>(Table5[[#This Row],[Fault Clearance time]]-Table5[[#This Row],[Work Start TimeStamp]])*24</f>
        <v>1.8666666666666654</v>
      </c>
      <c r="T158" s="91">
        <f>(Table5[[#This Row],[Fault Clearance time]]-Table5[[#This Row],[Fault Start TimeStamp]])*24</f>
        <v>1.8666666666666654</v>
      </c>
      <c r="U158" s="23" t="s">
        <v>368</v>
      </c>
      <c r="V158" s="79" t="s">
        <v>339</v>
      </c>
      <c r="W158" s="289">
        <f>IFERROR(Table5[[#This Row],[Breakdown Time]]*Table5[[#This Row],[Plant Equivalent Weightage]],"")</f>
        <v>4.2424242424242399E-2</v>
      </c>
      <c r="X158" s="289" t="s">
        <v>343</v>
      </c>
      <c r="Y158" s="290" t="s">
        <v>95</v>
      </c>
      <c r="Z158" s="79"/>
      <c r="AA158" s="283">
        <v>179</v>
      </c>
      <c r="AB158" s="79"/>
      <c r="AC158" s="23"/>
      <c r="AD158" s="23"/>
    </row>
    <row r="159" spans="1:30">
      <c r="A159" s="79">
        <f t="shared" si="5"/>
        <v>158</v>
      </c>
      <c r="B159" s="283">
        <f>YEAR(Table5[[#This Row],[Date]])+IF(MONTH(Table5[[#This Row],[Date]])&gt;=4,1,0)</f>
        <v>2026</v>
      </c>
      <c r="C159" s="79">
        <f>YEAR(Table5[[#This Row],[Date]])</f>
        <v>2025</v>
      </c>
      <c r="D159" s="79" t="s">
        <v>344</v>
      </c>
      <c r="E159" s="284">
        <f>Table5[[#This Row],[Date]]-DAY(Table5[[#This Row],[Date]])+1</f>
        <v>45778</v>
      </c>
      <c r="F159" s="285">
        <v>45802</v>
      </c>
      <c r="G159" s="79" t="s">
        <v>88</v>
      </c>
      <c r="H159" s="23" t="str">
        <f>IFERROR(_xlfn.XLOOKUP(Table5[[#This Row],[Affected WTG]],'Basic Data'!$A:$A,'Basic Data'!$B:$B),"")</f>
        <v>PWEPL</v>
      </c>
      <c r="I159" s="23" t="str">
        <f>IFERROR(_xlfn.XLOOKUP(Table5[[#This Row],[Affected WTG]],'Basic Data'!$A:$A,'Basic Data'!$C:$C),"")</f>
        <v>MSEDCL</v>
      </c>
      <c r="J159" s="286">
        <f>IFERROR(_xlfn.XLOOKUP(Table5[[#This Row],[Affected WTG]],'Basic Data'!$A:$A,'Basic Data'!$E:$E),"")</f>
        <v>2.2727272727272728E-2</v>
      </c>
      <c r="K159" s="79">
        <v>54</v>
      </c>
      <c r="L159" s="23" t="str">
        <f>IFERROR(_xlfn.XLOOKUP(Table5[[#This Row],[Error Code]],'Basic Data'!$W:$W,'Basic Data'!$X:$X),"Incorrect Error Code")</f>
        <v>Anemometer defec</v>
      </c>
      <c r="M159" s="23" t="s">
        <v>864</v>
      </c>
      <c r="N159" s="23"/>
      <c r="O159" s="287">
        <v>0.4201388888888889</v>
      </c>
      <c r="P159" s="287">
        <v>0.4201388888888889</v>
      </c>
      <c r="Q159" s="287">
        <v>0.82986111111111116</v>
      </c>
      <c r="R159" s="91">
        <f t="shared" si="4"/>
        <v>0.40972222222222227</v>
      </c>
      <c r="S159" s="91">
        <f>(Table5[[#This Row],[Fault Clearance time]]-Table5[[#This Row],[Work Start TimeStamp]])*24</f>
        <v>9.8333333333333339</v>
      </c>
      <c r="T159" s="91">
        <f>(Table5[[#This Row],[Fault Clearance time]]-Table5[[#This Row],[Fault Start TimeStamp]])*24</f>
        <v>9.8333333333333339</v>
      </c>
      <c r="U159" s="23" t="s">
        <v>866</v>
      </c>
      <c r="V159" s="79" t="s">
        <v>339</v>
      </c>
      <c r="W159" s="289">
        <f>IFERROR(Table5[[#This Row],[Breakdown Time]]*Table5[[#This Row],[Plant Equivalent Weightage]],"")</f>
        <v>0.22348484848484851</v>
      </c>
      <c r="X159" s="289" t="s">
        <v>343</v>
      </c>
      <c r="Y159" s="290" t="s">
        <v>87</v>
      </c>
      <c r="Z159" s="79"/>
      <c r="AA159" s="283">
        <v>3776</v>
      </c>
      <c r="AB159" s="79"/>
      <c r="AC159" s="23"/>
      <c r="AD159" s="23"/>
    </row>
    <row r="160" spans="1:30">
      <c r="A160" s="79">
        <f t="shared" si="5"/>
        <v>159</v>
      </c>
      <c r="B160" s="283">
        <f>YEAR(Table5[[#This Row],[Date]])+IF(MONTH(Table5[[#This Row],[Date]])&gt;=4,1,0)</f>
        <v>2026</v>
      </c>
      <c r="C160" s="79">
        <f>YEAR(Table5[[#This Row],[Date]])</f>
        <v>2025</v>
      </c>
      <c r="D160" s="79" t="s">
        <v>344</v>
      </c>
      <c r="E160" s="284">
        <f>Table5[[#This Row],[Date]]-DAY(Table5[[#This Row],[Date]])+1</f>
        <v>45778</v>
      </c>
      <c r="F160" s="285">
        <v>45803</v>
      </c>
      <c r="G160" s="79" t="s">
        <v>102</v>
      </c>
      <c r="H160" s="23" t="str">
        <f>IFERROR(_xlfn.XLOOKUP(Table5[[#This Row],[Affected WTG]],'Basic Data'!$A:$A,'Basic Data'!$B:$B),"")</f>
        <v>PWEPL</v>
      </c>
      <c r="I160" s="23" t="str">
        <f>IFERROR(_xlfn.XLOOKUP(Table5[[#This Row],[Affected WTG]],'Basic Data'!$A:$A,'Basic Data'!$C:$C),"")</f>
        <v>MSEDCL</v>
      </c>
      <c r="J160" s="286">
        <f>IFERROR(_xlfn.XLOOKUP(Table5[[#This Row],[Affected WTG]],'Basic Data'!$A:$A,'Basic Data'!$E:$E),"")</f>
        <v>2.2727272727272728E-2</v>
      </c>
      <c r="K160" s="79">
        <v>269</v>
      </c>
      <c r="L160" s="23" t="str">
        <f>IFERROR(_xlfn.XLOOKUP(Table5[[#This Row],[Error Code]],'Basic Data'!$W:$W,'Basic Data'!$X:$X),"Incorrect Error Code")</f>
        <v>Reboot PLC</v>
      </c>
      <c r="M160" s="23" t="s">
        <v>348</v>
      </c>
      <c r="N160" s="23"/>
      <c r="O160" s="287">
        <v>0.27569444444444446</v>
      </c>
      <c r="P160" s="287">
        <v>0.27569444444444446</v>
      </c>
      <c r="Q160" s="287">
        <v>0.38819444444444445</v>
      </c>
      <c r="R160" s="91">
        <f t="shared" si="4"/>
        <v>0.11249999999999999</v>
      </c>
      <c r="S160" s="91">
        <f>(Table5[[#This Row],[Fault Clearance time]]-Table5[[#This Row],[Work Start TimeStamp]])*24</f>
        <v>2.6999999999999997</v>
      </c>
      <c r="T160" s="91">
        <f>(Table5[[#This Row],[Fault Clearance time]]-Table5[[#This Row],[Fault Start TimeStamp]])*24</f>
        <v>2.6999999999999997</v>
      </c>
      <c r="U160" s="23" t="s">
        <v>349</v>
      </c>
      <c r="V160" s="79" t="s">
        <v>339</v>
      </c>
      <c r="W160" s="289">
        <f>IFERROR(Table5[[#This Row],[Breakdown Time]]*Table5[[#This Row],[Plant Equivalent Weightage]],"")</f>
        <v>6.1363636363636356E-2</v>
      </c>
      <c r="X160" s="289" t="s">
        <v>343</v>
      </c>
      <c r="Y160" s="290" t="s">
        <v>78</v>
      </c>
      <c r="Z160" s="79"/>
      <c r="AA160" s="283">
        <v>2018</v>
      </c>
      <c r="AB160" s="79"/>
      <c r="AC160" s="23"/>
      <c r="AD160" s="23"/>
    </row>
    <row r="161" spans="1:30">
      <c r="A161" s="79">
        <f t="shared" si="5"/>
        <v>160</v>
      </c>
      <c r="B161" s="283">
        <f>YEAR(Table5[[#This Row],[Date]])+IF(MONTH(Table5[[#This Row],[Date]])&gt;=4,1,0)</f>
        <v>2026</v>
      </c>
      <c r="C161" s="79">
        <f>YEAR(Table5[[#This Row],[Date]])</f>
        <v>2025</v>
      </c>
      <c r="D161" s="79" t="s">
        <v>344</v>
      </c>
      <c r="E161" s="284">
        <f>Table5[[#This Row],[Date]]-DAY(Table5[[#This Row],[Date]])+1</f>
        <v>45778</v>
      </c>
      <c r="F161" s="285">
        <v>45803</v>
      </c>
      <c r="G161" s="79" t="s">
        <v>117</v>
      </c>
      <c r="H161" s="23" t="str">
        <f>IFERROR(_xlfn.XLOOKUP(Table5[[#This Row],[Affected WTG]],'Basic Data'!$A:$A,'Basic Data'!$B:$B),"")</f>
        <v>PWEPL</v>
      </c>
      <c r="I161" s="23" t="str">
        <f>IFERROR(_xlfn.XLOOKUP(Table5[[#This Row],[Affected WTG]],'Basic Data'!$A:$A,'Basic Data'!$C:$C),"")</f>
        <v>MSEDCL</v>
      </c>
      <c r="J161" s="286">
        <f>IFERROR(_xlfn.XLOOKUP(Table5[[#This Row],[Affected WTG]],'Basic Data'!$A:$A,'Basic Data'!$E:$E),"")</f>
        <v>2.2727272727272728E-2</v>
      </c>
      <c r="K161" s="79">
        <v>141</v>
      </c>
      <c r="L161" s="23" t="str">
        <f>IFERROR(_xlfn.XLOOKUP(Table5[[#This Row],[Error Code]],'Basic Data'!$W:$W,'Basic Data'!$X:$X),"Incorrect Error Code")</f>
        <v>Rotor CCU collective faults</v>
      </c>
      <c r="M161" s="23" t="s">
        <v>592</v>
      </c>
      <c r="N161" s="23"/>
      <c r="O161" s="287">
        <v>0.27569444444444446</v>
      </c>
      <c r="P161" s="287">
        <v>0.27569444444444446</v>
      </c>
      <c r="Q161" s="287">
        <v>0.36458333333333331</v>
      </c>
      <c r="R161" s="91">
        <f t="shared" si="4"/>
        <v>8.8888888888888851E-2</v>
      </c>
      <c r="S161" s="91">
        <f>(Table5[[#This Row],[Fault Clearance time]]-Table5[[#This Row],[Work Start TimeStamp]])*24</f>
        <v>2.1333333333333324</v>
      </c>
      <c r="T161" s="91">
        <f>(Table5[[#This Row],[Fault Clearance time]]-Table5[[#This Row],[Fault Start TimeStamp]])*24</f>
        <v>2.1333333333333324</v>
      </c>
      <c r="U161" s="23" t="s">
        <v>349</v>
      </c>
      <c r="V161" s="79" t="s">
        <v>339</v>
      </c>
      <c r="W161" s="289">
        <f>IFERROR(Table5[[#This Row],[Breakdown Time]]*Table5[[#This Row],[Plant Equivalent Weightage]],"")</f>
        <v>4.8484848484848464E-2</v>
      </c>
      <c r="X161" s="289" t="s">
        <v>343</v>
      </c>
      <c r="Y161" s="290" t="s">
        <v>116</v>
      </c>
      <c r="Z161" s="79"/>
      <c r="AA161" s="283">
        <v>1861</v>
      </c>
      <c r="AB161" s="79"/>
      <c r="AC161" s="23"/>
      <c r="AD161" s="23"/>
    </row>
    <row r="162" spans="1:30">
      <c r="A162" s="79">
        <f t="shared" si="5"/>
        <v>161</v>
      </c>
      <c r="B162" s="283">
        <f>YEAR(Table5[[#This Row],[Date]])+IF(MONTH(Table5[[#This Row],[Date]])&gt;=4,1,0)</f>
        <v>2026</v>
      </c>
      <c r="C162" s="79">
        <f>YEAR(Table5[[#This Row],[Date]])</f>
        <v>2025</v>
      </c>
      <c r="D162" s="79" t="s">
        <v>344</v>
      </c>
      <c r="E162" s="284">
        <f>Table5[[#This Row],[Date]]-DAY(Table5[[#This Row],[Date]])+1</f>
        <v>45778</v>
      </c>
      <c r="F162" s="285">
        <v>45803</v>
      </c>
      <c r="G162" s="79" t="s">
        <v>119</v>
      </c>
      <c r="H162" s="23" t="str">
        <f>IFERROR(_xlfn.XLOOKUP(Table5[[#This Row],[Affected WTG]],'Basic Data'!$A:$A,'Basic Data'!$B:$B),"")</f>
        <v>PWEPL</v>
      </c>
      <c r="I162" s="23" t="str">
        <f>IFERROR(_xlfn.XLOOKUP(Table5[[#This Row],[Affected WTG]],'Basic Data'!$A:$A,'Basic Data'!$C:$C),"")</f>
        <v>MSEDCL</v>
      </c>
      <c r="J162" s="286">
        <f>IFERROR(_xlfn.XLOOKUP(Table5[[#This Row],[Affected WTG]],'Basic Data'!$A:$A,'Basic Data'!$E:$E),"")</f>
        <v>2.2727272727272728E-2</v>
      </c>
      <c r="K162" s="79">
        <v>142</v>
      </c>
      <c r="L162" s="23" t="str">
        <f>IFERROR(_xlfn.XLOOKUP(Table5[[#This Row],[Error Code]],'Basic Data'!$W:$W,'Basic Data'!$X:$X),"Incorrect Error Code")</f>
        <v>Line CCU collective faults</v>
      </c>
      <c r="M162" s="23" t="s">
        <v>149</v>
      </c>
      <c r="N162" s="23"/>
      <c r="O162" s="287">
        <v>0.79861111111111116</v>
      </c>
      <c r="P162" s="287">
        <v>0.79861111111111116</v>
      </c>
      <c r="Q162" s="287">
        <v>0.81944444444444453</v>
      </c>
      <c r="R162" s="91">
        <f t="shared" si="4"/>
        <v>2.083333333333337E-2</v>
      </c>
      <c r="S162" s="91">
        <f>(Table5[[#This Row],[Fault Clearance time]]-Table5[[#This Row],[Work Start TimeStamp]])*24</f>
        <v>0.50000000000000089</v>
      </c>
      <c r="T162" s="91">
        <f>(Table5[[#This Row],[Fault Clearance time]]-Table5[[#This Row],[Fault Start TimeStamp]])*24</f>
        <v>0.50000000000000089</v>
      </c>
      <c r="U162" s="23" t="s">
        <v>353</v>
      </c>
      <c r="V162" s="79" t="s">
        <v>339</v>
      </c>
      <c r="W162" s="289">
        <f>IFERROR(Table5[[#This Row],[Breakdown Time]]*Table5[[#This Row],[Plant Equivalent Weightage]],"")</f>
        <v>1.1363636363636385E-2</v>
      </c>
      <c r="X162" s="289" t="s">
        <v>343</v>
      </c>
      <c r="Y162" s="290" t="s">
        <v>118</v>
      </c>
      <c r="Z162" s="79"/>
      <c r="AA162" s="283">
        <v>667</v>
      </c>
      <c r="AB162" s="79"/>
      <c r="AC162" s="23"/>
      <c r="AD162" s="23"/>
    </row>
    <row r="163" spans="1:30">
      <c r="A163" s="79">
        <f t="shared" si="5"/>
        <v>162</v>
      </c>
      <c r="B163" s="283">
        <f>YEAR(Table5[[#This Row],[Date]])+IF(MONTH(Table5[[#This Row],[Date]])&gt;=4,1,0)</f>
        <v>2026</v>
      </c>
      <c r="C163" s="79">
        <f>YEAR(Table5[[#This Row],[Date]])</f>
        <v>2025</v>
      </c>
      <c r="D163" s="79" t="s">
        <v>344</v>
      </c>
      <c r="E163" s="284">
        <f>Table5[[#This Row],[Date]]-DAY(Table5[[#This Row],[Date]])+1</f>
        <v>45778</v>
      </c>
      <c r="F163" s="285">
        <v>45803</v>
      </c>
      <c r="G163" s="79" t="s">
        <v>92</v>
      </c>
      <c r="H163" s="23" t="str">
        <f>IFERROR(_xlfn.XLOOKUP(Table5[[#This Row],[Affected WTG]],'Basic Data'!$A:$A,'Basic Data'!$B:$B),"")</f>
        <v>PWEPL</v>
      </c>
      <c r="I163" s="23" t="str">
        <f>IFERROR(_xlfn.XLOOKUP(Table5[[#This Row],[Affected WTG]],'Basic Data'!$A:$A,'Basic Data'!$C:$C),"")</f>
        <v>MSEDCL</v>
      </c>
      <c r="J163" s="286">
        <f>IFERROR(_xlfn.XLOOKUP(Table5[[#This Row],[Affected WTG]],'Basic Data'!$A:$A,'Basic Data'!$E:$E),"")</f>
        <v>2.2727272727272728E-2</v>
      </c>
      <c r="K163" s="79">
        <v>269</v>
      </c>
      <c r="L163" s="23" t="str">
        <f>IFERROR(_xlfn.XLOOKUP(Table5[[#This Row],[Error Code]],'Basic Data'!$W:$W,'Basic Data'!$X:$X),"Incorrect Error Code")</f>
        <v>Reboot PLC</v>
      </c>
      <c r="M163" s="23" t="s">
        <v>348</v>
      </c>
      <c r="N163" s="23"/>
      <c r="O163" s="287">
        <v>0.90972222222222221</v>
      </c>
      <c r="P163" s="287">
        <v>0.90972222222222221</v>
      </c>
      <c r="Q163" s="287">
        <v>0.95416666666666661</v>
      </c>
      <c r="R163" s="91">
        <f t="shared" si="4"/>
        <v>4.4444444444444398E-2</v>
      </c>
      <c r="S163" s="91">
        <f>(Table5[[#This Row],[Fault Clearance time]]-Table5[[#This Row],[Work Start TimeStamp]])*24</f>
        <v>1.0666666666666655</v>
      </c>
      <c r="T163" s="91">
        <f>(Table5[[#This Row],[Fault Clearance time]]-Table5[[#This Row],[Fault Start TimeStamp]])*24</f>
        <v>1.0666666666666655</v>
      </c>
      <c r="U163" s="23" t="s">
        <v>374</v>
      </c>
      <c r="V163" s="79" t="s">
        <v>339</v>
      </c>
      <c r="W163" s="289">
        <f>IFERROR(Table5[[#This Row],[Breakdown Time]]*Table5[[#This Row],[Plant Equivalent Weightage]],"")</f>
        <v>2.4242424242424218E-2</v>
      </c>
      <c r="X163" s="289" t="s">
        <v>343</v>
      </c>
      <c r="Y163" s="290" t="s">
        <v>91</v>
      </c>
      <c r="Z163" s="79"/>
      <c r="AA163" s="283">
        <v>290</v>
      </c>
      <c r="AB163" s="79"/>
      <c r="AC163" s="23"/>
      <c r="AD163" s="23"/>
    </row>
    <row r="164" spans="1:30">
      <c r="A164" s="79">
        <f t="shared" si="5"/>
        <v>163</v>
      </c>
      <c r="B164" s="283">
        <f>YEAR(Table5[[#This Row],[Date]])+IF(MONTH(Table5[[#This Row],[Date]])&gt;=4,1,0)</f>
        <v>2026</v>
      </c>
      <c r="C164" s="79">
        <f>YEAR(Table5[[#This Row],[Date]])</f>
        <v>2025</v>
      </c>
      <c r="D164" s="79" t="s">
        <v>344</v>
      </c>
      <c r="E164" s="284">
        <f>Table5[[#This Row],[Date]]-DAY(Table5[[#This Row],[Date]])+1</f>
        <v>45778</v>
      </c>
      <c r="F164" s="285">
        <v>45805</v>
      </c>
      <c r="G164" s="79" t="s">
        <v>114</v>
      </c>
      <c r="H164" s="23" t="str">
        <f>IFERROR(_xlfn.XLOOKUP(Table5[[#This Row],[Affected WTG]],'Basic Data'!$A:$A,'Basic Data'!$B:$B),"")</f>
        <v>PWEPL</v>
      </c>
      <c r="I164" s="23" t="str">
        <f>IFERROR(_xlfn.XLOOKUP(Table5[[#This Row],[Affected WTG]],'Basic Data'!$A:$A,'Basic Data'!$C:$C),"")</f>
        <v>MSEDCL</v>
      </c>
      <c r="J164" s="286">
        <f>IFERROR(_xlfn.XLOOKUP(Table5[[#This Row],[Affected WTG]],'Basic Data'!$A:$A,'Basic Data'!$E:$E),"")</f>
        <v>2.2727272727272728E-2</v>
      </c>
      <c r="K164" s="79">
        <v>3</v>
      </c>
      <c r="L164" s="23" t="str">
        <f>IFERROR(_xlfn.XLOOKUP(Table5[[#This Row],[Error Code]],'Basic Data'!$W:$W,'Basic Data'!$X:$X),"Incorrect Error Code")</f>
        <v>Manual Stop</v>
      </c>
      <c r="M164" s="23" t="s">
        <v>869</v>
      </c>
      <c r="N164" s="23"/>
      <c r="O164" s="287">
        <v>0.60833333333333328</v>
      </c>
      <c r="P164" s="287">
        <v>0.60833333333333328</v>
      </c>
      <c r="Q164" s="287">
        <v>0.65486111111111112</v>
      </c>
      <c r="R164" s="91">
        <f t="shared" si="4"/>
        <v>4.6527777777777835E-2</v>
      </c>
      <c r="S164" s="91">
        <f>(Table5[[#This Row],[Fault Clearance time]]-Table5[[#This Row],[Work Start TimeStamp]])*24</f>
        <v>1.116666666666668</v>
      </c>
      <c r="T164" s="91">
        <f>(Table5[[#This Row],[Fault Clearance time]]-Table5[[#This Row],[Fault Start TimeStamp]])*24</f>
        <v>1.116666666666668</v>
      </c>
      <c r="U164" s="23" t="s">
        <v>868</v>
      </c>
      <c r="V164" s="79" t="s">
        <v>339</v>
      </c>
      <c r="W164" s="289">
        <f>IFERROR(Table5[[#This Row],[Breakdown Time]]*Table5[[#This Row],[Plant Equivalent Weightage]],"")</f>
        <v>2.537878787878791E-2</v>
      </c>
      <c r="X164" s="289" t="s">
        <v>343</v>
      </c>
      <c r="Y164" s="290" t="s">
        <v>113</v>
      </c>
      <c r="Z164" s="79"/>
      <c r="AA164" s="283">
        <v>973</v>
      </c>
      <c r="AB164" s="79"/>
      <c r="AC164" s="23"/>
      <c r="AD164" s="23"/>
    </row>
    <row r="165" spans="1:30">
      <c r="A165" s="79">
        <f t="shared" si="5"/>
        <v>164</v>
      </c>
      <c r="B165" s="283">
        <f>YEAR(Table5[[#This Row],[Date]])+IF(MONTH(Table5[[#This Row],[Date]])&gt;=4,1,0)</f>
        <v>2026</v>
      </c>
      <c r="C165" s="79">
        <f>YEAR(Table5[[#This Row],[Date]])</f>
        <v>2025</v>
      </c>
      <c r="D165" s="79" t="s">
        <v>344</v>
      </c>
      <c r="E165" s="284">
        <f>Table5[[#This Row],[Date]]-DAY(Table5[[#This Row],[Date]])+1</f>
        <v>45778</v>
      </c>
      <c r="F165" s="285">
        <v>45805</v>
      </c>
      <c r="G165" s="79" t="s">
        <v>84</v>
      </c>
      <c r="H165" s="23" t="str">
        <f>IFERROR(_xlfn.XLOOKUP(Table5[[#This Row],[Affected WTG]],'Basic Data'!$A:$A,'Basic Data'!$B:$B),"")</f>
        <v>PWEPL</v>
      </c>
      <c r="I165" s="23" t="str">
        <f>IFERROR(_xlfn.XLOOKUP(Table5[[#This Row],[Affected WTG]],'Basic Data'!$A:$A,'Basic Data'!$C:$C),"")</f>
        <v>MSEDCL</v>
      </c>
      <c r="J165" s="286">
        <f>IFERROR(_xlfn.XLOOKUP(Table5[[#This Row],[Affected WTG]],'Basic Data'!$A:$A,'Basic Data'!$E:$E),"")</f>
        <v>2.2727272727272728E-2</v>
      </c>
      <c r="K165" s="79">
        <v>3</v>
      </c>
      <c r="L165" s="23" t="str">
        <f>IFERROR(_xlfn.XLOOKUP(Table5[[#This Row],[Error Code]],'Basic Data'!$W:$W,'Basic Data'!$X:$X),"Incorrect Error Code")</f>
        <v>Manual Stop</v>
      </c>
      <c r="M165" s="23" t="s">
        <v>869</v>
      </c>
      <c r="N165" s="23"/>
      <c r="O165" s="287">
        <v>0.70347222222222217</v>
      </c>
      <c r="P165" s="287">
        <v>0.70347222222222217</v>
      </c>
      <c r="Q165" s="287">
        <v>0.75138888888888899</v>
      </c>
      <c r="R165" s="91">
        <f t="shared" si="4"/>
        <v>4.7916666666666829E-2</v>
      </c>
      <c r="S165" s="91">
        <f>(Table5[[#This Row],[Fault Clearance time]]-Table5[[#This Row],[Work Start TimeStamp]])*24</f>
        <v>1.1500000000000039</v>
      </c>
      <c r="T165" s="91">
        <f>(Table5[[#This Row],[Fault Clearance time]]-Table5[[#This Row],[Fault Start TimeStamp]])*24</f>
        <v>1.1500000000000039</v>
      </c>
      <c r="U165" s="23" t="s">
        <v>868</v>
      </c>
      <c r="V165" s="79" t="s">
        <v>339</v>
      </c>
      <c r="W165" s="289">
        <f>IFERROR(Table5[[#This Row],[Breakdown Time]]*Table5[[#This Row],[Plant Equivalent Weightage]],"")</f>
        <v>2.6136363636363725E-2</v>
      </c>
      <c r="X165" s="289" t="s">
        <v>343</v>
      </c>
      <c r="Y165" s="290" t="s">
        <v>347</v>
      </c>
      <c r="Z165" s="79"/>
      <c r="AA165" s="283">
        <v>544</v>
      </c>
      <c r="AB165" s="79"/>
      <c r="AC165" s="23"/>
      <c r="AD165" s="23"/>
    </row>
    <row r="166" spans="1:30">
      <c r="A166" s="79">
        <f t="shared" si="5"/>
        <v>165</v>
      </c>
      <c r="B166" s="283">
        <f>YEAR(Table5[[#This Row],[Date]])+IF(MONTH(Table5[[#This Row],[Date]])&gt;=4,1,0)</f>
        <v>2026</v>
      </c>
      <c r="C166" s="79">
        <f>YEAR(Table5[[#This Row],[Date]])</f>
        <v>2025</v>
      </c>
      <c r="D166" s="79" t="s">
        <v>344</v>
      </c>
      <c r="E166" s="284">
        <f>Table5[[#This Row],[Date]]-DAY(Table5[[#This Row],[Date]])+1</f>
        <v>45778</v>
      </c>
      <c r="F166" s="285">
        <v>45806</v>
      </c>
      <c r="G166" s="79" t="s">
        <v>100</v>
      </c>
      <c r="H166" s="23" t="str">
        <f>IFERROR(_xlfn.XLOOKUP(Table5[[#This Row],[Affected WTG]],'Basic Data'!$A:$A,'Basic Data'!$B:$B),"")</f>
        <v>PWEPL</v>
      </c>
      <c r="I166" s="23" t="str">
        <f>IFERROR(_xlfn.XLOOKUP(Table5[[#This Row],[Affected WTG]],'Basic Data'!$A:$A,'Basic Data'!$C:$C),"")</f>
        <v>MSEDCL</v>
      </c>
      <c r="J166" s="286">
        <f>IFERROR(_xlfn.XLOOKUP(Table5[[#This Row],[Affected WTG]],'Basic Data'!$A:$A,'Basic Data'!$E:$E),"")</f>
        <v>2.2727272727272728E-2</v>
      </c>
      <c r="K166" s="79">
        <v>275</v>
      </c>
      <c r="L166" s="23" t="str">
        <f>IFERROR(_xlfn.XLOOKUP(Table5[[#This Row],[Error Code]],'Basic Data'!$W:$W,'Basic Data'!$X:$X),"Incorrect Error Code")</f>
        <v>Pitch thyristor 2 fault</v>
      </c>
      <c r="M166" s="23" t="s">
        <v>162</v>
      </c>
      <c r="N166" s="23"/>
      <c r="O166" s="287">
        <v>0.91736111111111107</v>
      </c>
      <c r="P166" s="287">
        <v>0.91736111111111107</v>
      </c>
      <c r="Q166" s="287">
        <v>0.99652777777777779</v>
      </c>
      <c r="R166" s="91">
        <f t="shared" si="4"/>
        <v>7.9166666666666718E-2</v>
      </c>
      <c r="S166" s="91">
        <f>(Table5[[#This Row],[Fault Clearance time]]-Table5[[#This Row],[Work Start TimeStamp]])*24</f>
        <v>1.9000000000000012</v>
      </c>
      <c r="T166" s="91">
        <f>(Table5[[#This Row],[Fault Clearance time]]-Table5[[#This Row],[Fault Start TimeStamp]])*24</f>
        <v>1.9000000000000012</v>
      </c>
      <c r="U166" s="23" t="s">
        <v>870</v>
      </c>
      <c r="V166" s="79" t="s">
        <v>339</v>
      </c>
      <c r="W166" s="289">
        <f>IFERROR(Table5[[#This Row],[Breakdown Time]]*Table5[[#This Row],[Plant Equivalent Weightage]],"")</f>
        <v>4.318181818181821E-2</v>
      </c>
      <c r="X166" s="289" t="s">
        <v>343</v>
      </c>
      <c r="Y166" s="290" t="s">
        <v>101</v>
      </c>
      <c r="Z166" s="79"/>
      <c r="AA166" s="283">
        <v>1947</v>
      </c>
      <c r="AB166" s="79"/>
      <c r="AC166" s="23"/>
      <c r="AD166" s="23"/>
    </row>
    <row r="167" spans="1:30">
      <c r="A167" s="79">
        <f t="shared" si="5"/>
        <v>166</v>
      </c>
      <c r="B167" s="283">
        <f>YEAR(Table5[[#This Row],[Date]])+IF(MONTH(Table5[[#This Row],[Date]])&gt;=4,1,0)</f>
        <v>2026</v>
      </c>
      <c r="C167" s="79">
        <f>YEAR(Table5[[#This Row],[Date]])</f>
        <v>2025</v>
      </c>
      <c r="D167" s="79" t="s">
        <v>344</v>
      </c>
      <c r="E167" s="284">
        <f>Table5[[#This Row],[Date]]-DAY(Table5[[#This Row],[Date]])+1</f>
        <v>45778</v>
      </c>
      <c r="F167" s="285">
        <v>45807</v>
      </c>
      <c r="G167" s="79" t="s">
        <v>88</v>
      </c>
      <c r="H167" s="23" t="str">
        <f>IFERROR(_xlfn.XLOOKUP(Table5[[#This Row],[Affected WTG]],'Basic Data'!$A:$A,'Basic Data'!$B:$B),"")</f>
        <v>PWEPL</v>
      </c>
      <c r="I167" s="23" t="str">
        <f>IFERROR(_xlfn.XLOOKUP(Table5[[#This Row],[Affected WTG]],'Basic Data'!$A:$A,'Basic Data'!$C:$C),"")</f>
        <v>MSEDCL</v>
      </c>
      <c r="J167" s="286">
        <f>IFERROR(_xlfn.XLOOKUP(Table5[[#This Row],[Affected WTG]],'Basic Data'!$A:$A,'Basic Data'!$E:$E),"")</f>
        <v>2.2727272727272728E-2</v>
      </c>
      <c r="K167" s="79">
        <v>275</v>
      </c>
      <c r="L167" s="23" t="str">
        <f>IFERROR(_xlfn.XLOOKUP(Table5[[#This Row],[Error Code]],'Basic Data'!$W:$W,'Basic Data'!$X:$X),"Incorrect Error Code")</f>
        <v>Pitch thyristor 2 fault</v>
      </c>
      <c r="M167" s="23" t="s">
        <v>162</v>
      </c>
      <c r="N167" s="23"/>
      <c r="O167" s="287">
        <v>0.49861111111111112</v>
      </c>
      <c r="P167" s="287">
        <v>0.49861111111111112</v>
      </c>
      <c r="Q167" s="287">
        <v>0.58333333333333337</v>
      </c>
      <c r="R167" s="91">
        <f t="shared" si="4"/>
        <v>8.4722222222222254E-2</v>
      </c>
      <c r="S167" s="91">
        <f>(Table5[[#This Row],[Fault Clearance time]]-Table5[[#This Row],[Work Start TimeStamp]])*24</f>
        <v>2.0333333333333341</v>
      </c>
      <c r="T167" s="91">
        <f>(Table5[[#This Row],[Fault Clearance time]]-Table5[[#This Row],[Fault Start TimeStamp]])*24</f>
        <v>2.0333333333333341</v>
      </c>
      <c r="U167" s="23" t="s">
        <v>870</v>
      </c>
      <c r="V167" s="79" t="s">
        <v>339</v>
      </c>
      <c r="W167" s="289">
        <f>IFERROR(Table5[[#This Row],[Breakdown Time]]*Table5[[#This Row],[Plant Equivalent Weightage]],"")</f>
        <v>4.6212121212121232E-2</v>
      </c>
      <c r="X167" s="289" t="s">
        <v>343</v>
      </c>
      <c r="Y167" s="290" t="s">
        <v>87</v>
      </c>
      <c r="Z167" s="79"/>
      <c r="AA167" s="283">
        <v>2769</v>
      </c>
      <c r="AB167" s="79"/>
      <c r="AC167" s="23"/>
      <c r="AD167" s="23"/>
    </row>
    <row r="168" spans="1:30">
      <c r="A168" s="79">
        <f t="shared" si="5"/>
        <v>167</v>
      </c>
      <c r="B168" s="283">
        <f>YEAR(Table5[[#This Row],[Date]])+IF(MONTH(Table5[[#This Row],[Date]])&gt;=4,1,0)</f>
        <v>2026</v>
      </c>
      <c r="C168" s="79">
        <f>YEAR(Table5[[#This Row],[Date]])</f>
        <v>2025</v>
      </c>
      <c r="D168" s="79" t="s">
        <v>344</v>
      </c>
      <c r="E168" s="284">
        <f>Table5[[#This Row],[Date]]-DAY(Table5[[#This Row],[Date]])+1</f>
        <v>45778</v>
      </c>
      <c r="F168" s="285">
        <v>45807</v>
      </c>
      <c r="G168" s="79" t="s">
        <v>88</v>
      </c>
      <c r="H168" s="23" t="str">
        <f>IFERROR(_xlfn.XLOOKUP(Table5[[#This Row],[Affected WTG]],'Basic Data'!$A:$A,'Basic Data'!$B:$B),"")</f>
        <v>PWEPL</v>
      </c>
      <c r="I168" s="23" t="str">
        <f>IFERROR(_xlfn.XLOOKUP(Table5[[#This Row],[Affected WTG]],'Basic Data'!$A:$A,'Basic Data'!$C:$C),"")</f>
        <v>MSEDCL</v>
      </c>
      <c r="J168" s="286">
        <f>IFERROR(_xlfn.XLOOKUP(Table5[[#This Row],[Affected WTG]],'Basic Data'!$A:$A,'Basic Data'!$E:$E),"")</f>
        <v>2.2727272727272728E-2</v>
      </c>
      <c r="K168" s="79">
        <v>142</v>
      </c>
      <c r="L168" s="23" t="str">
        <f>IFERROR(_xlfn.XLOOKUP(Table5[[#This Row],[Error Code]],'Basic Data'!$W:$W,'Basic Data'!$X:$X),"Incorrect Error Code")</f>
        <v>Line CCU collective faults</v>
      </c>
      <c r="M168" s="23" t="s">
        <v>149</v>
      </c>
      <c r="N168" s="23"/>
      <c r="O168" s="287">
        <v>0.58333333333333337</v>
      </c>
      <c r="P168" s="287">
        <v>0.58333333333333337</v>
      </c>
      <c r="Q168" s="287">
        <v>0.61458333333333337</v>
      </c>
      <c r="R168" s="91">
        <f t="shared" si="4"/>
        <v>3.125E-2</v>
      </c>
      <c r="S168" s="91">
        <f>(Table5[[#This Row],[Fault Clearance time]]-Table5[[#This Row],[Work Start TimeStamp]])*24</f>
        <v>0.75</v>
      </c>
      <c r="T168" s="91">
        <f>(Table5[[#This Row],[Fault Clearance time]]-Table5[[#This Row],[Fault Start TimeStamp]])*24</f>
        <v>0.75</v>
      </c>
      <c r="U168" s="23" t="s">
        <v>790</v>
      </c>
      <c r="V168" s="79" t="s">
        <v>339</v>
      </c>
      <c r="W168" s="289">
        <f>IFERROR(Table5[[#This Row],[Breakdown Time]]*Table5[[#This Row],[Plant Equivalent Weightage]],"")</f>
        <v>1.7045454545454544E-2</v>
      </c>
      <c r="X168" s="289" t="s">
        <v>343</v>
      </c>
      <c r="Y168" s="290" t="s">
        <v>87</v>
      </c>
      <c r="Z168" s="79"/>
      <c r="AA168" s="283">
        <v>1184</v>
      </c>
      <c r="AB168" s="79"/>
      <c r="AC168" s="23"/>
      <c r="AD168" s="23"/>
    </row>
    <row r="169" spans="1:30">
      <c r="A169" s="79">
        <f t="shared" si="5"/>
        <v>168</v>
      </c>
      <c r="B169" s="283">
        <f>YEAR(Table5[[#This Row],[Date]])+IF(MONTH(Table5[[#This Row],[Date]])&gt;=4,1,0)</f>
        <v>2026</v>
      </c>
      <c r="C169" s="79">
        <f>YEAR(Table5[[#This Row],[Date]])</f>
        <v>2025</v>
      </c>
      <c r="D169" s="79" t="s">
        <v>344</v>
      </c>
      <c r="E169" s="284">
        <f>Table5[[#This Row],[Date]]-DAY(Table5[[#This Row],[Date]])+1</f>
        <v>45778</v>
      </c>
      <c r="F169" s="285">
        <v>45807</v>
      </c>
      <c r="G169" s="79" t="s">
        <v>88</v>
      </c>
      <c r="H169" s="23" t="str">
        <f>IFERROR(_xlfn.XLOOKUP(Table5[[#This Row],[Affected WTG]],'Basic Data'!$A:$A,'Basic Data'!$B:$B),"")</f>
        <v>PWEPL</v>
      </c>
      <c r="I169" s="23" t="str">
        <f>IFERROR(_xlfn.XLOOKUP(Table5[[#This Row],[Affected WTG]],'Basic Data'!$A:$A,'Basic Data'!$C:$C),"")</f>
        <v>MSEDCL</v>
      </c>
      <c r="J169" s="286">
        <f>IFERROR(_xlfn.XLOOKUP(Table5[[#This Row],[Affected WTG]],'Basic Data'!$A:$A,'Basic Data'!$E:$E),"")</f>
        <v>2.2727272727272728E-2</v>
      </c>
      <c r="K169" s="79">
        <v>142</v>
      </c>
      <c r="L169" s="23" t="str">
        <f>IFERROR(_xlfn.XLOOKUP(Table5[[#This Row],[Error Code]],'Basic Data'!$W:$W,'Basic Data'!$X:$X),"Incorrect Error Code")</f>
        <v>Line CCU collective faults</v>
      </c>
      <c r="M169" s="23" t="s">
        <v>149</v>
      </c>
      <c r="N169" s="23"/>
      <c r="O169" s="287">
        <v>0.92013888888888884</v>
      </c>
      <c r="P169" s="287">
        <v>0.92013888888888884</v>
      </c>
      <c r="Q169" s="287">
        <v>0.93472222222222223</v>
      </c>
      <c r="R169" s="91">
        <f t="shared" si="4"/>
        <v>1.4583333333333393E-2</v>
      </c>
      <c r="S169" s="91">
        <f>(Table5[[#This Row],[Fault Clearance time]]-Table5[[#This Row],[Work Start TimeStamp]])*24</f>
        <v>0.35000000000000142</v>
      </c>
      <c r="T169" s="91">
        <f>(Table5[[#This Row],[Fault Clearance time]]-Table5[[#This Row],[Fault Start TimeStamp]])*24</f>
        <v>0.35000000000000142</v>
      </c>
      <c r="U169" s="23" t="s">
        <v>790</v>
      </c>
      <c r="V169" s="79" t="s">
        <v>339</v>
      </c>
      <c r="W169" s="289">
        <f>IFERROR(Table5[[#This Row],[Breakdown Time]]*Table5[[#This Row],[Plant Equivalent Weightage]],"")</f>
        <v>7.9545454545454867E-3</v>
      </c>
      <c r="X169" s="289" t="s">
        <v>343</v>
      </c>
      <c r="Y169" s="290" t="s">
        <v>87</v>
      </c>
      <c r="Z169" s="79"/>
      <c r="AA169" s="283">
        <v>412</v>
      </c>
      <c r="AB169" s="79"/>
      <c r="AC169" s="23"/>
      <c r="AD169" s="23"/>
    </row>
    <row r="170" spans="1:30">
      <c r="A170" s="79">
        <f t="shared" si="5"/>
        <v>169</v>
      </c>
      <c r="B170" s="283">
        <f>YEAR(Table5[[#This Row],[Date]])+IF(MONTH(Table5[[#This Row],[Date]])&gt;=4,1,0)</f>
        <v>2026</v>
      </c>
      <c r="C170" s="79">
        <f>YEAR(Table5[[#This Row],[Date]])</f>
        <v>2025</v>
      </c>
      <c r="D170" s="79" t="s">
        <v>344</v>
      </c>
      <c r="E170" s="284">
        <f>Table5[[#This Row],[Date]]-DAY(Table5[[#This Row],[Date]])+1</f>
        <v>45809</v>
      </c>
      <c r="F170" s="285">
        <v>45810</v>
      </c>
      <c r="G170" s="79" t="s">
        <v>90</v>
      </c>
      <c r="H170" s="23" t="str">
        <f>IFERROR(_xlfn.XLOOKUP(Table5[[#This Row],[Affected WTG]],'Basic Data'!$A:$A,'Basic Data'!$B:$B),"")</f>
        <v>PWEPL</v>
      </c>
      <c r="I170" s="23" t="str">
        <f>IFERROR(_xlfn.XLOOKUP(Table5[[#This Row],[Affected WTG]],'Basic Data'!$A:$A,'Basic Data'!$C:$C),"")</f>
        <v>MSEDCL</v>
      </c>
      <c r="J170" s="286">
        <f>IFERROR(_xlfn.XLOOKUP(Table5[[#This Row],[Affected WTG]],'Basic Data'!$A:$A,'Basic Data'!$E:$E),"")</f>
        <v>2.2727272727272728E-2</v>
      </c>
      <c r="K170" s="79">
        <v>120</v>
      </c>
      <c r="L170" s="23" t="str">
        <f>IFERROR(_xlfn.XLOOKUP(Table5[[#This Row],[Error Code]],'Basic Data'!$W:$W,'Basic Data'!$X:$X),"Incorrect Error Code")</f>
        <v>Communication fault Pitch controller</v>
      </c>
      <c r="M170" s="23" t="s">
        <v>871</v>
      </c>
      <c r="N170" s="23"/>
      <c r="O170" s="287">
        <v>0.25069444444444444</v>
      </c>
      <c r="P170" s="287">
        <v>0.25069444444444444</v>
      </c>
      <c r="Q170" s="287">
        <v>0.57291666666666663</v>
      </c>
      <c r="R170" s="91">
        <f t="shared" si="4"/>
        <v>0.32222222222222219</v>
      </c>
      <c r="S170" s="91">
        <f>(Table5[[#This Row],[Fault Clearance time]]-Table5[[#This Row],[Work Start TimeStamp]])*24</f>
        <v>7.7333333333333325</v>
      </c>
      <c r="T170" s="91">
        <f>(Table5[[#This Row],[Fault Clearance time]]-Table5[[#This Row],[Fault Start TimeStamp]])*24</f>
        <v>7.7333333333333325</v>
      </c>
      <c r="U170" s="23" t="s">
        <v>873</v>
      </c>
      <c r="V170" s="79" t="s">
        <v>339</v>
      </c>
      <c r="W170" s="289">
        <f>IFERROR(Table5[[#This Row],[Breakdown Time]]*Table5[[#This Row],[Plant Equivalent Weightage]],"")</f>
        <v>0.17575757575757575</v>
      </c>
      <c r="X170" s="289" t="s">
        <v>343</v>
      </c>
      <c r="Y170" s="290" t="s">
        <v>89</v>
      </c>
      <c r="Z170" s="79"/>
      <c r="AA170" s="283">
        <v>3830</v>
      </c>
      <c r="AB170" s="79"/>
      <c r="AC170" s="23"/>
      <c r="AD170" s="23"/>
    </row>
    <row r="171" spans="1:30">
      <c r="A171" s="79">
        <f t="shared" si="5"/>
        <v>170</v>
      </c>
      <c r="B171" s="283">
        <f>YEAR(Table5[[#This Row],[Date]])+IF(MONTH(Table5[[#This Row],[Date]])&gt;=4,1,0)</f>
        <v>2026</v>
      </c>
      <c r="C171" s="79">
        <f>YEAR(Table5[[#This Row],[Date]])</f>
        <v>2025</v>
      </c>
      <c r="D171" s="79" t="s">
        <v>344</v>
      </c>
      <c r="E171" s="284">
        <f>Table5[[#This Row],[Date]]-DAY(Table5[[#This Row],[Date]])+1</f>
        <v>45809</v>
      </c>
      <c r="F171" s="285">
        <v>45810</v>
      </c>
      <c r="G171" s="79" t="s">
        <v>89</v>
      </c>
      <c r="H171" s="23" t="str">
        <f>IFERROR(_xlfn.XLOOKUP(Table5[[#This Row],[Affected WTG]],'Basic Data'!$A:$A,'Basic Data'!$B:$B),"")</f>
        <v>PWEPL</v>
      </c>
      <c r="I171" s="23" t="str">
        <f>IFERROR(_xlfn.XLOOKUP(Table5[[#This Row],[Affected WTG]],'Basic Data'!$A:$A,'Basic Data'!$C:$C),"")</f>
        <v>MSEDCL</v>
      </c>
      <c r="J171" s="286">
        <f>IFERROR(_xlfn.XLOOKUP(Table5[[#This Row],[Affected WTG]],'Basic Data'!$A:$A,'Basic Data'!$E:$E),"")</f>
        <v>2.2727272727272728E-2</v>
      </c>
      <c r="K171" s="79">
        <v>142</v>
      </c>
      <c r="L171" s="23" t="str">
        <f>IFERROR(_xlfn.XLOOKUP(Table5[[#This Row],[Error Code]],'Basic Data'!$W:$W,'Basic Data'!$X:$X),"Incorrect Error Code")</f>
        <v>Line CCU collective faults</v>
      </c>
      <c r="M171" s="23" t="s">
        <v>149</v>
      </c>
      <c r="N171" s="23"/>
      <c r="O171" s="287">
        <v>0.58263888888888882</v>
      </c>
      <c r="P171" s="287">
        <v>0.58263888888888882</v>
      </c>
      <c r="Q171" s="287">
        <v>0.59722222222222221</v>
      </c>
      <c r="R171" s="91">
        <f t="shared" si="4"/>
        <v>1.4583333333333393E-2</v>
      </c>
      <c r="S171" s="91">
        <f>(Table5[[#This Row],[Fault Clearance time]]-Table5[[#This Row],[Work Start TimeStamp]])*24</f>
        <v>0.35000000000000142</v>
      </c>
      <c r="T171" s="91">
        <f>(Table5[[#This Row],[Fault Clearance time]]-Table5[[#This Row],[Fault Start TimeStamp]])*24</f>
        <v>0.35000000000000142</v>
      </c>
      <c r="U171" s="23" t="s">
        <v>353</v>
      </c>
      <c r="V171" s="79" t="s">
        <v>339</v>
      </c>
      <c r="W171" s="289">
        <f>IFERROR(Table5[[#This Row],[Breakdown Time]]*Table5[[#This Row],[Plant Equivalent Weightage]],"")</f>
        <v>7.9545454545454867E-3</v>
      </c>
      <c r="X171" s="289" t="s">
        <v>343</v>
      </c>
      <c r="Y171" s="290" t="s">
        <v>88</v>
      </c>
      <c r="Z171" s="79"/>
      <c r="AA171" s="283">
        <v>367</v>
      </c>
      <c r="AB171" s="79"/>
      <c r="AC171" s="23"/>
      <c r="AD171" s="23"/>
    </row>
    <row r="172" spans="1:30">
      <c r="A172" s="79">
        <f t="shared" si="5"/>
        <v>171</v>
      </c>
      <c r="B172" s="283">
        <f>YEAR(Table5[[#This Row],[Date]])+IF(MONTH(Table5[[#This Row],[Date]])&gt;=4,1,0)</f>
        <v>2026</v>
      </c>
      <c r="C172" s="79">
        <f>YEAR(Table5[[#This Row],[Date]])</f>
        <v>2025</v>
      </c>
      <c r="D172" s="79" t="s">
        <v>344</v>
      </c>
      <c r="E172" s="284">
        <f>Table5[[#This Row],[Date]]-DAY(Table5[[#This Row],[Date]])+1</f>
        <v>45809</v>
      </c>
      <c r="F172" s="285">
        <v>45810</v>
      </c>
      <c r="G172" s="79" t="s">
        <v>102</v>
      </c>
      <c r="H172" s="23" t="str">
        <f>IFERROR(_xlfn.XLOOKUP(Table5[[#This Row],[Affected WTG]],'Basic Data'!$A:$A,'Basic Data'!$B:$B),"")</f>
        <v>PWEPL</v>
      </c>
      <c r="I172" s="23" t="str">
        <f>IFERROR(_xlfn.XLOOKUP(Table5[[#This Row],[Affected WTG]],'Basic Data'!$A:$A,'Basic Data'!$C:$C),"")</f>
        <v>MSEDCL</v>
      </c>
      <c r="J172" s="286">
        <f>IFERROR(_xlfn.XLOOKUP(Table5[[#This Row],[Affected WTG]],'Basic Data'!$A:$A,'Basic Data'!$E:$E),"")</f>
        <v>2.2727272727272728E-2</v>
      </c>
      <c r="K172" s="79">
        <v>52</v>
      </c>
      <c r="L172" s="23" t="str">
        <f>IFERROR(_xlfn.XLOOKUP(Table5[[#This Row],[Error Code]],'Basic Data'!$W:$W,'Basic Data'!$X:$X),"Incorrect Error Code")</f>
        <v>Gearbox oil ressure too lo</v>
      </c>
      <c r="M172" s="23" t="s">
        <v>872</v>
      </c>
      <c r="N172" s="23"/>
      <c r="O172" s="287">
        <v>0.66041666666666665</v>
      </c>
      <c r="P172" s="287">
        <v>0.66041666666666665</v>
      </c>
      <c r="Q172" s="287">
        <v>0.82777777777777783</v>
      </c>
      <c r="R172" s="91">
        <f t="shared" si="4"/>
        <v>0.16736111111111118</v>
      </c>
      <c r="S172" s="91">
        <f>(Table5[[#This Row],[Fault Clearance time]]-Table5[[#This Row],[Work Start TimeStamp]])*24</f>
        <v>4.0166666666666684</v>
      </c>
      <c r="T172" s="91">
        <f>(Table5[[#This Row],[Fault Clearance time]]-Table5[[#This Row],[Fault Start TimeStamp]])*24</f>
        <v>4.0166666666666684</v>
      </c>
      <c r="U172" s="23" t="s">
        <v>352</v>
      </c>
      <c r="V172" s="79" t="s">
        <v>339</v>
      </c>
      <c r="W172" s="289">
        <f>IFERROR(Table5[[#This Row],[Breakdown Time]]*Table5[[#This Row],[Plant Equivalent Weightage]],"")</f>
        <v>9.1287878787878834E-2</v>
      </c>
      <c r="X172" s="289" t="s">
        <v>343</v>
      </c>
      <c r="Y172" s="290" t="s">
        <v>78</v>
      </c>
      <c r="Z172" s="79"/>
      <c r="AA172" s="283">
        <v>1908</v>
      </c>
      <c r="AB172" s="79"/>
      <c r="AC172" s="23"/>
      <c r="AD172" s="23"/>
    </row>
    <row r="173" spans="1:30">
      <c r="A173" s="79">
        <f t="shared" si="5"/>
        <v>172</v>
      </c>
      <c r="B173" s="283">
        <f>YEAR(Table5[[#This Row],[Date]])+IF(MONTH(Table5[[#This Row],[Date]])&gt;=4,1,0)</f>
        <v>2026</v>
      </c>
      <c r="C173" s="79">
        <f>YEAR(Table5[[#This Row],[Date]])</f>
        <v>2025</v>
      </c>
      <c r="D173" s="79" t="s">
        <v>344</v>
      </c>
      <c r="E173" s="284">
        <f>Table5[[#This Row],[Date]]-DAY(Table5[[#This Row],[Date]])+1</f>
        <v>45809</v>
      </c>
      <c r="F173" s="285">
        <v>45811</v>
      </c>
      <c r="G173" s="79" t="s">
        <v>101</v>
      </c>
      <c r="H173" s="23" t="str">
        <f>IFERROR(_xlfn.XLOOKUP(Table5[[#This Row],[Affected WTG]],'Basic Data'!$A:$A,'Basic Data'!$B:$B),"")</f>
        <v>PWEPL</v>
      </c>
      <c r="I173" s="23" t="str">
        <f>IFERROR(_xlfn.XLOOKUP(Table5[[#This Row],[Affected WTG]],'Basic Data'!$A:$A,'Basic Data'!$C:$C),"")</f>
        <v>MSEDCL</v>
      </c>
      <c r="J173" s="286">
        <f>IFERROR(_xlfn.XLOOKUP(Table5[[#This Row],[Affected WTG]],'Basic Data'!$A:$A,'Basic Data'!$E:$E),"")</f>
        <v>2.2727272727272728E-2</v>
      </c>
      <c r="K173" s="79">
        <v>3</v>
      </c>
      <c r="L173" s="23" t="str">
        <f>IFERROR(_xlfn.XLOOKUP(Table5[[#This Row],[Error Code]],'Basic Data'!$W:$W,'Basic Data'!$X:$X),"Incorrect Error Code")</f>
        <v>Manual Stop</v>
      </c>
      <c r="M173" s="23" t="s">
        <v>874</v>
      </c>
      <c r="N173" s="23"/>
      <c r="O173" s="287">
        <v>0.51111111111111118</v>
      </c>
      <c r="P173" s="287">
        <v>0.51111111111111118</v>
      </c>
      <c r="Q173" s="287">
        <v>0.75</v>
      </c>
      <c r="R173" s="91">
        <f t="shared" si="4"/>
        <v>0.23888888888888882</v>
      </c>
      <c r="S173" s="91">
        <f>(Table5[[#This Row],[Fault Clearance time]]-Table5[[#This Row],[Work Start TimeStamp]])*24</f>
        <v>5.7333333333333316</v>
      </c>
      <c r="T173" s="91">
        <f>(Table5[[#This Row],[Fault Clearance time]]-Table5[[#This Row],[Fault Start TimeStamp]])*24</f>
        <v>5.7333333333333316</v>
      </c>
      <c r="U173" s="23" t="s">
        <v>883</v>
      </c>
      <c r="V173" s="79" t="s">
        <v>339</v>
      </c>
      <c r="W173" s="289">
        <f>IFERROR(Table5[[#This Row],[Breakdown Time]]*Table5[[#This Row],[Plant Equivalent Weightage]],"")</f>
        <v>0.13030303030303025</v>
      </c>
      <c r="X173" s="289" t="s">
        <v>394</v>
      </c>
      <c r="Y173" s="290" t="s">
        <v>100</v>
      </c>
      <c r="Z173" s="79"/>
      <c r="AA173" s="283">
        <v>2526</v>
      </c>
      <c r="AB173" s="79"/>
      <c r="AC173" s="23"/>
      <c r="AD173" s="23"/>
    </row>
    <row r="174" spans="1:30">
      <c r="A174" s="79">
        <f t="shared" si="5"/>
        <v>173</v>
      </c>
      <c r="B174" s="283">
        <f>YEAR(Table5[[#This Row],[Date]])+IF(MONTH(Table5[[#This Row],[Date]])&gt;=4,1,0)</f>
        <v>2026</v>
      </c>
      <c r="C174" s="79">
        <f>YEAR(Table5[[#This Row],[Date]])</f>
        <v>2025</v>
      </c>
      <c r="D174" s="79" t="s">
        <v>344</v>
      </c>
      <c r="E174" s="284">
        <f>Table5[[#This Row],[Date]]-DAY(Table5[[#This Row],[Date]])+1</f>
        <v>45809</v>
      </c>
      <c r="F174" s="285">
        <v>45812</v>
      </c>
      <c r="G174" s="79" t="s">
        <v>101</v>
      </c>
      <c r="H174" s="23" t="str">
        <f>IFERROR(_xlfn.XLOOKUP(Table5[[#This Row],[Affected WTG]],'Basic Data'!$A:$A,'Basic Data'!$B:$B),"")</f>
        <v>PWEPL</v>
      </c>
      <c r="I174" s="23" t="str">
        <f>IFERROR(_xlfn.XLOOKUP(Table5[[#This Row],[Affected WTG]],'Basic Data'!$A:$A,'Basic Data'!$C:$C),"")</f>
        <v>MSEDCL</v>
      </c>
      <c r="J174" s="286">
        <f>IFERROR(_xlfn.XLOOKUP(Table5[[#This Row],[Affected WTG]],'Basic Data'!$A:$A,'Basic Data'!$E:$E),"")</f>
        <v>2.2727272727272728E-2</v>
      </c>
      <c r="K174" s="79">
        <v>3</v>
      </c>
      <c r="L174" s="23" t="str">
        <f>IFERROR(_xlfn.XLOOKUP(Table5[[#This Row],[Error Code]],'Basic Data'!$W:$W,'Basic Data'!$X:$X),"Incorrect Error Code")</f>
        <v>Manual Stop</v>
      </c>
      <c r="M174" s="23" t="s">
        <v>874</v>
      </c>
      <c r="N174" s="23"/>
      <c r="O174" s="287">
        <v>0.40972222222222227</v>
      </c>
      <c r="P174" s="287">
        <v>0.40972222222222227</v>
      </c>
      <c r="Q174" s="287">
        <v>0.74930555555555556</v>
      </c>
      <c r="R174" s="91">
        <f t="shared" si="4"/>
        <v>0.33958333333333329</v>
      </c>
      <c r="S174" s="91">
        <f>(Table5[[#This Row],[Fault Clearance time]]-Table5[[#This Row],[Work Start TimeStamp]])*24</f>
        <v>8.1499999999999986</v>
      </c>
      <c r="T174" s="91">
        <f>(Table5[[#This Row],[Fault Clearance time]]-Table5[[#This Row],[Fault Start TimeStamp]])*24</f>
        <v>8.1499999999999986</v>
      </c>
      <c r="U174" s="23" t="s">
        <v>884</v>
      </c>
      <c r="V174" s="79" t="s">
        <v>339</v>
      </c>
      <c r="W174" s="289">
        <f>IFERROR(Table5[[#This Row],[Breakdown Time]]*Table5[[#This Row],[Plant Equivalent Weightage]],"")</f>
        <v>0.18522727272727271</v>
      </c>
      <c r="X174" s="289" t="s">
        <v>394</v>
      </c>
      <c r="Y174" s="290" t="s">
        <v>100</v>
      </c>
      <c r="Z174" s="79"/>
      <c r="AA174" s="283">
        <v>4448</v>
      </c>
      <c r="AB174" s="79"/>
      <c r="AC174" s="23"/>
      <c r="AD174" s="23"/>
    </row>
    <row r="175" spans="1:30">
      <c r="A175" s="79">
        <f t="shared" si="5"/>
        <v>174</v>
      </c>
      <c r="B175" s="283">
        <f>YEAR(Table5[[#This Row],[Date]])+IF(MONTH(Table5[[#This Row],[Date]])&gt;=4,1,0)</f>
        <v>2026</v>
      </c>
      <c r="C175" s="79">
        <f>YEAR(Table5[[#This Row],[Date]])</f>
        <v>2025</v>
      </c>
      <c r="D175" s="79" t="s">
        <v>344</v>
      </c>
      <c r="E175" s="284">
        <f>Table5[[#This Row],[Date]]-DAY(Table5[[#This Row],[Date]])+1</f>
        <v>45809</v>
      </c>
      <c r="F175" s="285">
        <v>45812</v>
      </c>
      <c r="G175" s="79" t="s">
        <v>99</v>
      </c>
      <c r="H175" s="23" t="str">
        <f>IFERROR(_xlfn.XLOOKUP(Table5[[#This Row],[Affected WTG]],'Basic Data'!$A:$A,'Basic Data'!$B:$B),"")</f>
        <v>PWEPL</v>
      </c>
      <c r="I175" s="23" t="str">
        <f>IFERROR(_xlfn.XLOOKUP(Table5[[#This Row],[Affected WTG]],'Basic Data'!$A:$A,'Basic Data'!$C:$C),"")</f>
        <v>MSEDCL</v>
      </c>
      <c r="J175" s="286">
        <f>IFERROR(_xlfn.XLOOKUP(Table5[[#This Row],[Affected WTG]],'Basic Data'!$A:$A,'Basic Data'!$E:$E),"")</f>
        <v>2.2727272727272728E-2</v>
      </c>
      <c r="K175" s="79">
        <v>201</v>
      </c>
      <c r="L175" s="23" t="str">
        <f>IFERROR(_xlfn.XLOOKUP(Table5[[#This Row],[Error Code]],'Basic Data'!$W:$W,'Basic Data'!$X:$X),"Incorrect Error Code")</f>
        <v xml:space="preserve"> PLC fault 24V Supply</v>
      </c>
      <c r="M175" s="23" t="s">
        <v>881</v>
      </c>
      <c r="N175" s="23"/>
      <c r="O175" s="287">
        <v>0.72777777777777775</v>
      </c>
      <c r="P175" s="287">
        <v>0.72777777777777775</v>
      </c>
      <c r="Q175" s="287">
        <v>0.78611111111111109</v>
      </c>
      <c r="R175" s="91">
        <f t="shared" si="4"/>
        <v>5.8333333333333348E-2</v>
      </c>
      <c r="S175" s="91">
        <f>(Table5[[#This Row],[Fault Clearance time]]-Table5[[#This Row],[Work Start TimeStamp]])*24</f>
        <v>1.4000000000000004</v>
      </c>
      <c r="T175" s="91">
        <f>(Table5[[#This Row],[Fault Clearance time]]-Table5[[#This Row],[Fault Start TimeStamp]])*24</f>
        <v>1.4000000000000004</v>
      </c>
      <c r="U175" s="23" t="s">
        <v>882</v>
      </c>
      <c r="V175" s="79" t="s">
        <v>339</v>
      </c>
      <c r="W175" s="289">
        <f>IFERROR(Table5[[#This Row],[Breakdown Time]]*Table5[[#This Row],[Plant Equivalent Weightage]],"")</f>
        <v>3.1818181818181829E-2</v>
      </c>
      <c r="X175" s="289" t="s">
        <v>343</v>
      </c>
      <c r="Y175" s="290" t="s">
        <v>98</v>
      </c>
      <c r="Z175" s="79"/>
      <c r="AA175" s="283">
        <v>1349</v>
      </c>
      <c r="AB175" s="79"/>
      <c r="AC175" s="23"/>
      <c r="AD175" s="23"/>
    </row>
    <row r="176" spans="1:30">
      <c r="A176" s="79">
        <f t="shared" si="5"/>
        <v>175</v>
      </c>
      <c r="B176" s="283">
        <f>YEAR(Table5[[#This Row],[Date]])+IF(MONTH(Table5[[#This Row],[Date]])&gt;=4,1,0)</f>
        <v>2026</v>
      </c>
      <c r="C176" s="79">
        <f>YEAR(Table5[[#This Row],[Date]])</f>
        <v>2025</v>
      </c>
      <c r="D176" s="79" t="s">
        <v>344</v>
      </c>
      <c r="E176" s="284">
        <f>Table5[[#This Row],[Date]]-DAY(Table5[[#This Row],[Date]])+1</f>
        <v>45809</v>
      </c>
      <c r="F176" s="285">
        <v>45812</v>
      </c>
      <c r="G176" s="79" t="s">
        <v>106</v>
      </c>
      <c r="H176" s="23" t="str">
        <f>IFERROR(_xlfn.XLOOKUP(Table5[[#This Row],[Affected WTG]],'Basic Data'!$A:$A,'Basic Data'!$B:$B),"")</f>
        <v>PWEPL</v>
      </c>
      <c r="I176" s="23" t="str">
        <f>IFERROR(_xlfn.XLOOKUP(Table5[[#This Row],[Affected WTG]],'Basic Data'!$A:$A,'Basic Data'!$C:$C),"")</f>
        <v>MSEDCL</v>
      </c>
      <c r="J176" s="286">
        <f>IFERROR(_xlfn.XLOOKUP(Table5[[#This Row],[Affected WTG]],'Basic Data'!$A:$A,'Basic Data'!$E:$E),"")</f>
        <v>2.2727272727272728E-2</v>
      </c>
      <c r="K176" s="79">
        <v>134</v>
      </c>
      <c r="L176" s="23" t="str">
        <f>IFERROR(_xlfn.XLOOKUP(Table5[[#This Row],[Error Code]],'Basic Data'!$W:$W,'Basic Data'!$X:$X),"Incorrect Error Code")</f>
        <v>Battery charging voltage not OK</v>
      </c>
      <c r="M176" s="23" t="s">
        <v>586</v>
      </c>
      <c r="N176" s="23"/>
      <c r="O176" s="287">
        <v>0.50763888888888886</v>
      </c>
      <c r="P176" s="287">
        <v>0.50763888888888886</v>
      </c>
      <c r="Q176" s="287">
        <v>0.56944444444444442</v>
      </c>
      <c r="R176" s="91">
        <f t="shared" si="4"/>
        <v>6.1805555555555558E-2</v>
      </c>
      <c r="S176" s="91">
        <f>(Table5[[#This Row],[Fault Clearance time]]-Table5[[#This Row],[Work Start TimeStamp]])*24</f>
        <v>1.4833333333333334</v>
      </c>
      <c r="T176" s="91">
        <f>(Table5[[#This Row],[Fault Clearance time]]-Table5[[#This Row],[Fault Start TimeStamp]])*24</f>
        <v>1.4833333333333334</v>
      </c>
      <c r="U176" s="23" t="s">
        <v>353</v>
      </c>
      <c r="V176" s="79" t="s">
        <v>339</v>
      </c>
      <c r="W176" s="289">
        <f>IFERROR(Table5[[#This Row],[Breakdown Time]]*Table5[[#This Row],[Plant Equivalent Weightage]],"")</f>
        <v>3.3712121212121214E-2</v>
      </c>
      <c r="X176" s="289" t="s">
        <v>343</v>
      </c>
      <c r="Y176" s="290" t="s">
        <v>92</v>
      </c>
      <c r="Z176" s="79"/>
      <c r="AA176" s="283">
        <v>403</v>
      </c>
      <c r="AB176" s="79"/>
      <c r="AC176" s="23"/>
      <c r="AD176" s="23"/>
    </row>
    <row r="177" spans="1:30">
      <c r="A177" s="79">
        <f t="shared" si="5"/>
        <v>176</v>
      </c>
      <c r="B177" s="283">
        <f>YEAR(Table5[[#This Row],[Date]])+IF(MONTH(Table5[[#This Row],[Date]])&gt;=4,1,0)</f>
        <v>2026</v>
      </c>
      <c r="C177" s="79">
        <f>YEAR(Table5[[#This Row],[Date]])</f>
        <v>2025</v>
      </c>
      <c r="D177" s="79" t="s">
        <v>344</v>
      </c>
      <c r="E177" s="284">
        <f>Table5[[#This Row],[Date]]-DAY(Table5[[#This Row],[Date]])+1</f>
        <v>45809</v>
      </c>
      <c r="F177" s="285">
        <v>45813</v>
      </c>
      <c r="G177" s="79" t="s">
        <v>106</v>
      </c>
      <c r="H177" s="23" t="str">
        <f>IFERROR(_xlfn.XLOOKUP(Table5[[#This Row],[Affected WTG]],'Basic Data'!$A:$A,'Basic Data'!$B:$B),"")</f>
        <v>PWEPL</v>
      </c>
      <c r="I177" s="23" t="str">
        <f>IFERROR(_xlfn.XLOOKUP(Table5[[#This Row],[Affected WTG]],'Basic Data'!$A:$A,'Basic Data'!$C:$C),"")</f>
        <v>MSEDCL</v>
      </c>
      <c r="J177" s="286">
        <f>IFERROR(_xlfn.XLOOKUP(Table5[[#This Row],[Affected WTG]],'Basic Data'!$A:$A,'Basic Data'!$E:$E),"")</f>
        <v>2.2727272727272728E-2</v>
      </c>
      <c r="K177" s="79">
        <v>134</v>
      </c>
      <c r="L177" s="23" t="str">
        <f>IFERROR(_xlfn.XLOOKUP(Table5[[#This Row],[Error Code]],'Basic Data'!$W:$W,'Basic Data'!$X:$X),"Incorrect Error Code")</f>
        <v>Battery charging voltage not OK</v>
      </c>
      <c r="M177" s="23" t="s">
        <v>586</v>
      </c>
      <c r="N177" s="23"/>
      <c r="O177" s="287">
        <v>0.3125</v>
      </c>
      <c r="P177" s="287">
        <v>0.3125</v>
      </c>
      <c r="Q177" s="287">
        <v>0.37083333333333335</v>
      </c>
      <c r="R177" s="91">
        <f t="shared" si="4"/>
        <v>5.8333333333333348E-2</v>
      </c>
      <c r="S177" s="91">
        <f>(Table5[[#This Row],[Fault Clearance time]]-Table5[[#This Row],[Work Start TimeStamp]])*24</f>
        <v>1.4000000000000004</v>
      </c>
      <c r="T177" s="91">
        <f>(Table5[[#This Row],[Fault Clearance time]]-Table5[[#This Row],[Fault Start TimeStamp]])*24</f>
        <v>1.4000000000000004</v>
      </c>
      <c r="U177" s="23" t="s">
        <v>885</v>
      </c>
      <c r="V177" s="79" t="s">
        <v>339</v>
      </c>
      <c r="W177" s="289">
        <f>IFERROR(Table5[[#This Row],[Breakdown Time]]*Table5[[#This Row],[Plant Equivalent Weightage]],"")</f>
        <v>3.1818181818181829E-2</v>
      </c>
      <c r="X177" s="289" t="s">
        <v>343</v>
      </c>
      <c r="Y177" s="290" t="s">
        <v>92</v>
      </c>
      <c r="Z177" s="79"/>
      <c r="AA177" s="283">
        <v>128</v>
      </c>
      <c r="AB177" s="79"/>
      <c r="AC177" s="23"/>
      <c r="AD177" s="23"/>
    </row>
    <row r="178" spans="1:30">
      <c r="A178" s="79">
        <f t="shared" si="5"/>
        <v>177</v>
      </c>
      <c r="B178" s="283">
        <f>YEAR(Table5[[#This Row],[Date]])+IF(MONTH(Table5[[#This Row],[Date]])&gt;=4,1,0)</f>
        <v>2026</v>
      </c>
      <c r="C178" s="79">
        <f>YEAR(Table5[[#This Row],[Date]])</f>
        <v>2025</v>
      </c>
      <c r="D178" s="79" t="s">
        <v>344</v>
      </c>
      <c r="E178" s="284">
        <f>Table5[[#This Row],[Date]]-DAY(Table5[[#This Row],[Date]])+1</f>
        <v>45809</v>
      </c>
      <c r="F178" s="285">
        <v>45813</v>
      </c>
      <c r="G178" s="79" t="s">
        <v>101</v>
      </c>
      <c r="H178" s="23" t="str">
        <f>IFERROR(_xlfn.XLOOKUP(Table5[[#This Row],[Affected WTG]],'Basic Data'!$A:$A,'Basic Data'!$B:$B),"")</f>
        <v>PWEPL</v>
      </c>
      <c r="I178" s="23" t="str">
        <f>IFERROR(_xlfn.XLOOKUP(Table5[[#This Row],[Affected WTG]],'Basic Data'!$A:$A,'Basic Data'!$C:$C),"")</f>
        <v>MSEDCL</v>
      </c>
      <c r="J178" s="286">
        <f>IFERROR(_xlfn.XLOOKUP(Table5[[#This Row],[Affected WTG]],'Basic Data'!$A:$A,'Basic Data'!$E:$E),"")</f>
        <v>2.2727272727272728E-2</v>
      </c>
      <c r="K178" s="79">
        <v>3</v>
      </c>
      <c r="L178" s="23" t="str">
        <f>IFERROR(_xlfn.XLOOKUP(Table5[[#This Row],[Error Code]],'Basic Data'!$W:$W,'Basic Data'!$X:$X),"Incorrect Error Code")</f>
        <v>Manual Stop</v>
      </c>
      <c r="M178" s="23" t="s">
        <v>874</v>
      </c>
      <c r="N178" s="23"/>
      <c r="O178" s="287">
        <v>0.4909722222222222</v>
      </c>
      <c r="P178" s="287">
        <v>0.4909722222222222</v>
      </c>
      <c r="Q178" s="287">
        <v>0.78263888888888899</v>
      </c>
      <c r="R178" s="91">
        <f t="shared" si="4"/>
        <v>0.2916666666666668</v>
      </c>
      <c r="S178" s="91">
        <f>(Table5[[#This Row],[Fault Clearance time]]-Table5[[#This Row],[Work Start TimeStamp]])*24</f>
        <v>7.0000000000000036</v>
      </c>
      <c r="T178" s="91">
        <f>(Table5[[#This Row],[Fault Clearance time]]-Table5[[#This Row],[Fault Start TimeStamp]])*24</f>
        <v>7.0000000000000036</v>
      </c>
      <c r="U178" s="23" t="s">
        <v>883</v>
      </c>
      <c r="V178" s="79" t="s">
        <v>339</v>
      </c>
      <c r="W178" s="289">
        <f>IFERROR(Table5[[#This Row],[Breakdown Time]]*Table5[[#This Row],[Plant Equivalent Weightage]],"")</f>
        <v>0.15909090909090917</v>
      </c>
      <c r="X178" s="289" t="s">
        <v>394</v>
      </c>
      <c r="Y178" s="290" t="s">
        <v>100</v>
      </c>
      <c r="Z178" s="79"/>
      <c r="AA178" s="283">
        <v>2265</v>
      </c>
      <c r="AB178" s="79"/>
      <c r="AC178" s="23"/>
      <c r="AD178" s="23"/>
    </row>
    <row r="179" spans="1:30">
      <c r="A179" s="79">
        <f t="shared" si="5"/>
        <v>178</v>
      </c>
      <c r="B179" s="283">
        <f>YEAR(Table5[[#This Row],[Date]])+IF(MONTH(Table5[[#This Row],[Date]])&gt;=4,1,0)</f>
        <v>2026</v>
      </c>
      <c r="C179" s="79">
        <f>YEAR(Table5[[#This Row],[Date]])</f>
        <v>2025</v>
      </c>
      <c r="D179" s="79" t="s">
        <v>344</v>
      </c>
      <c r="E179" s="284">
        <f>Table5[[#This Row],[Date]]-DAY(Table5[[#This Row],[Date]])+1</f>
        <v>45809</v>
      </c>
      <c r="F179" s="285">
        <v>45814</v>
      </c>
      <c r="G179" s="79" t="s">
        <v>88</v>
      </c>
      <c r="H179" s="23" t="str">
        <f>IFERROR(_xlfn.XLOOKUP(Table5[[#This Row],[Affected WTG]],'Basic Data'!$A:$A,'Basic Data'!$B:$B),"")</f>
        <v>PWEPL</v>
      </c>
      <c r="I179" s="23" t="str">
        <f>IFERROR(_xlfn.XLOOKUP(Table5[[#This Row],[Affected WTG]],'Basic Data'!$A:$A,'Basic Data'!$C:$C),"")</f>
        <v>MSEDCL</v>
      </c>
      <c r="J179" s="286">
        <f>IFERROR(_xlfn.XLOOKUP(Table5[[#This Row],[Affected WTG]],'Basic Data'!$A:$A,'Basic Data'!$E:$E),"")</f>
        <v>2.2727272727272728E-2</v>
      </c>
      <c r="K179" s="79">
        <v>3</v>
      </c>
      <c r="L179" s="23" t="str">
        <f>IFERROR(_xlfn.XLOOKUP(Table5[[#This Row],[Error Code]],'Basic Data'!$W:$W,'Basic Data'!$X:$X),"Incorrect Error Code")</f>
        <v>Manual Stop</v>
      </c>
      <c r="M179" s="23" t="s">
        <v>874</v>
      </c>
      <c r="N179" s="23"/>
      <c r="O179" s="287">
        <v>0.46111111111111108</v>
      </c>
      <c r="P179" s="287">
        <v>0.46111111111111108</v>
      </c>
      <c r="Q179" s="287">
        <v>0.66527777777777775</v>
      </c>
      <c r="R179" s="91">
        <f t="shared" si="4"/>
        <v>0.20416666666666666</v>
      </c>
      <c r="S179" s="91">
        <f>(Table5[[#This Row],[Fault Clearance time]]-Table5[[#This Row],[Work Start TimeStamp]])*24</f>
        <v>4.9000000000000004</v>
      </c>
      <c r="T179" s="91">
        <f>(Table5[[#This Row],[Fault Clearance time]]-Table5[[#This Row],[Fault Start TimeStamp]])*24</f>
        <v>4.9000000000000004</v>
      </c>
      <c r="U179" s="23" t="s">
        <v>887</v>
      </c>
      <c r="V179" s="79" t="s">
        <v>339</v>
      </c>
      <c r="W179" s="289">
        <f>IFERROR(Table5[[#This Row],[Breakdown Time]]*Table5[[#This Row],[Plant Equivalent Weightage]],"")</f>
        <v>0.11136363636363637</v>
      </c>
      <c r="X179" s="289" t="s">
        <v>394</v>
      </c>
      <c r="Y179" s="290" t="s">
        <v>87</v>
      </c>
      <c r="Z179" s="79"/>
      <c r="AA179" s="283">
        <v>832</v>
      </c>
      <c r="AB179" s="79"/>
      <c r="AC179" s="23"/>
      <c r="AD179" s="23"/>
    </row>
    <row r="180" spans="1:30">
      <c r="A180" s="79">
        <f t="shared" si="5"/>
        <v>179</v>
      </c>
      <c r="B180" s="283">
        <f>YEAR(Table5[[#This Row],[Date]])+IF(MONTH(Table5[[#This Row],[Date]])&gt;=4,1,0)</f>
        <v>2026</v>
      </c>
      <c r="C180" s="79">
        <f>YEAR(Table5[[#This Row],[Date]])</f>
        <v>2025</v>
      </c>
      <c r="D180" s="79" t="s">
        <v>344</v>
      </c>
      <c r="E180" s="284">
        <f>Table5[[#This Row],[Date]]-DAY(Table5[[#This Row],[Date]])+1</f>
        <v>45809</v>
      </c>
      <c r="F180" s="285">
        <v>45814</v>
      </c>
      <c r="G180" s="79" t="s">
        <v>109</v>
      </c>
      <c r="H180" s="23" t="str">
        <f>IFERROR(_xlfn.XLOOKUP(Table5[[#This Row],[Affected WTG]],'Basic Data'!$A:$A,'Basic Data'!$B:$B),"")</f>
        <v>PWEPL</v>
      </c>
      <c r="I180" s="23" t="str">
        <f>IFERROR(_xlfn.XLOOKUP(Table5[[#This Row],[Affected WTG]],'Basic Data'!$A:$A,'Basic Data'!$C:$C),"")</f>
        <v>MSEDCL</v>
      </c>
      <c r="J180" s="286">
        <f>IFERROR(_xlfn.XLOOKUP(Table5[[#This Row],[Affected WTG]],'Basic Data'!$A:$A,'Basic Data'!$E:$E),"")</f>
        <v>2.2727272727272728E-2</v>
      </c>
      <c r="K180" s="79">
        <v>276</v>
      </c>
      <c r="L180" s="23" t="str">
        <f>IFERROR(_xlfn.XLOOKUP(Table5[[#This Row],[Error Code]],'Basic Data'!$W:$W,'Basic Data'!$X:$X),"Incorrect Error Code")</f>
        <v>Pitch thyristor 3 fault</v>
      </c>
      <c r="M180" s="23" t="s">
        <v>153</v>
      </c>
      <c r="N180" s="23"/>
      <c r="O180" s="287">
        <v>0.65416666666666667</v>
      </c>
      <c r="P180" s="287">
        <v>0.65416666666666667</v>
      </c>
      <c r="Q180" s="287">
        <v>0.85972222222222217</v>
      </c>
      <c r="R180" s="91">
        <f t="shared" si="4"/>
        <v>0.20555555555555549</v>
      </c>
      <c r="S180" s="91">
        <f>(Table5[[#This Row],[Fault Clearance time]]-Table5[[#This Row],[Work Start TimeStamp]])*24</f>
        <v>4.9333333333333318</v>
      </c>
      <c r="T180" s="91">
        <f>(Table5[[#This Row],[Fault Clearance time]]-Table5[[#This Row],[Fault Start TimeStamp]])*24</f>
        <v>4.9333333333333318</v>
      </c>
      <c r="U180" s="23" t="s">
        <v>888</v>
      </c>
      <c r="V180" s="79" t="s">
        <v>339</v>
      </c>
      <c r="W180" s="289">
        <f>IFERROR(Table5[[#This Row],[Breakdown Time]]*Table5[[#This Row],[Plant Equivalent Weightage]],"")</f>
        <v>0.11212121212121209</v>
      </c>
      <c r="X180" s="289" t="s">
        <v>343</v>
      </c>
      <c r="Y180" s="290" t="s">
        <v>114</v>
      </c>
      <c r="Z180" s="79"/>
      <c r="AA180" s="283">
        <v>2441</v>
      </c>
      <c r="AB180" s="79"/>
      <c r="AC180" s="23"/>
      <c r="AD180" s="23"/>
    </row>
    <row r="181" spans="1:30">
      <c r="A181" s="79">
        <f t="shared" si="5"/>
        <v>180</v>
      </c>
      <c r="B181" s="283">
        <f>YEAR(Table5[[#This Row],[Date]])+IF(MONTH(Table5[[#This Row],[Date]])&gt;=4,1,0)</f>
        <v>2026</v>
      </c>
      <c r="C181" s="79">
        <f>YEAR(Table5[[#This Row],[Date]])</f>
        <v>2025</v>
      </c>
      <c r="D181" s="79" t="s">
        <v>344</v>
      </c>
      <c r="E181" s="284">
        <f>Table5[[#This Row],[Date]]-DAY(Table5[[#This Row],[Date]])+1</f>
        <v>45809</v>
      </c>
      <c r="F181" s="285">
        <v>45815</v>
      </c>
      <c r="G181" s="79" t="s">
        <v>88</v>
      </c>
      <c r="H181" s="23" t="str">
        <f>IFERROR(_xlfn.XLOOKUP(Table5[[#This Row],[Affected WTG]],'Basic Data'!$A:$A,'Basic Data'!$B:$B),"")</f>
        <v>PWEPL</v>
      </c>
      <c r="I181" s="23" t="str">
        <f>IFERROR(_xlfn.XLOOKUP(Table5[[#This Row],[Affected WTG]],'Basic Data'!$A:$A,'Basic Data'!$C:$C),"")</f>
        <v>MSEDCL</v>
      </c>
      <c r="J181" s="286">
        <f>IFERROR(_xlfn.XLOOKUP(Table5[[#This Row],[Affected WTG]],'Basic Data'!$A:$A,'Basic Data'!$E:$E),"")</f>
        <v>2.2727272727272728E-2</v>
      </c>
      <c r="K181" s="79">
        <v>275</v>
      </c>
      <c r="L181" s="23" t="str">
        <f>IFERROR(_xlfn.XLOOKUP(Table5[[#This Row],[Error Code]],'Basic Data'!$W:$W,'Basic Data'!$X:$X),"Incorrect Error Code")</f>
        <v>Pitch thyristor 2 fault</v>
      </c>
      <c r="M181" s="23" t="s">
        <v>162</v>
      </c>
      <c r="N181" s="23"/>
      <c r="O181" s="287">
        <v>0.34166666666666662</v>
      </c>
      <c r="P181" s="287">
        <v>0.34166666666666662</v>
      </c>
      <c r="Q181" s="287">
        <v>0.48055555555555557</v>
      </c>
      <c r="R181" s="91">
        <f t="shared" si="4"/>
        <v>0.13888888888888895</v>
      </c>
      <c r="S181" s="91">
        <f>(Table5[[#This Row],[Fault Clearance time]]-Table5[[#This Row],[Work Start TimeStamp]])*24</f>
        <v>3.3333333333333348</v>
      </c>
      <c r="T181" s="91">
        <f>(Table5[[#This Row],[Fault Clearance time]]-Table5[[#This Row],[Fault Start TimeStamp]])*24</f>
        <v>3.3333333333333348</v>
      </c>
      <c r="U181" s="23" t="s">
        <v>891</v>
      </c>
      <c r="V181" s="79" t="s">
        <v>339</v>
      </c>
      <c r="W181" s="289">
        <f>IFERROR(Table5[[#This Row],[Breakdown Time]]*Table5[[#This Row],[Plant Equivalent Weightage]],"")</f>
        <v>7.5757575757575787E-2</v>
      </c>
      <c r="X181" s="289" t="s">
        <v>343</v>
      </c>
      <c r="Y181" s="290" t="s">
        <v>87</v>
      </c>
      <c r="Z181" s="79"/>
      <c r="AA181" s="283">
        <v>147</v>
      </c>
      <c r="AB181" s="79"/>
      <c r="AC181" s="23"/>
      <c r="AD181" s="23"/>
    </row>
    <row r="182" spans="1:30">
      <c r="A182" s="79">
        <f t="shared" si="5"/>
        <v>181</v>
      </c>
      <c r="B182" s="283">
        <f>YEAR(Table5[[#This Row],[Date]])+IF(MONTH(Table5[[#This Row],[Date]])&gt;=4,1,0)</f>
        <v>2026</v>
      </c>
      <c r="C182" s="79">
        <f>YEAR(Table5[[#This Row],[Date]])</f>
        <v>2025</v>
      </c>
      <c r="D182" s="79" t="s">
        <v>344</v>
      </c>
      <c r="E182" s="284">
        <f>Table5[[#This Row],[Date]]-DAY(Table5[[#This Row],[Date]])+1</f>
        <v>45809</v>
      </c>
      <c r="F182" s="285">
        <v>45815</v>
      </c>
      <c r="G182" s="79" t="s">
        <v>104</v>
      </c>
      <c r="H182" s="23" t="str">
        <f>IFERROR(_xlfn.XLOOKUP(Table5[[#This Row],[Affected WTG]],'Basic Data'!$A:$A,'Basic Data'!$B:$B),"")</f>
        <v>PWEPL</v>
      </c>
      <c r="I182" s="23" t="str">
        <f>IFERROR(_xlfn.XLOOKUP(Table5[[#This Row],[Affected WTG]],'Basic Data'!$A:$A,'Basic Data'!$C:$C),"")</f>
        <v>MSEDCL</v>
      </c>
      <c r="J182" s="286">
        <f>IFERROR(_xlfn.XLOOKUP(Table5[[#This Row],[Affected WTG]],'Basic Data'!$A:$A,'Basic Data'!$E:$E),"")</f>
        <v>2.2727272727272728E-2</v>
      </c>
      <c r="K182" s="79">
        <v>3</v>
      </c>
      <c r="L182" s="23" t="str">
        <f>IFERROR(_xlfn.XLOOKUP(Table5[[#This Row],[Error Code]],'Basic Data'!$W:$W,'Basic Data'!$X:$X),"Incorrect Error Code")</f>
        <v>Manual Stop</v>
      </c>
      <c r="M182" s="23" t="s">
        <v>889</v>
      </c>
      <c r="N182" s="23"/>
      <c r="O182" s="287">
        <v>0.59236111111111112</v>
      </c>
      <c r="P182" s="287">
        <v>0.59236111111111112</v>
      </c>
      <c r="Q182" s="287">
        <v>0.69930555555555562</v>
      </c>
      <c r="R182" s="91">
        <f t="shared" si="4"/>
        <v>0.10694444444444451</v>
      </c>
      <c r="S182" s="91">
        <f>(Table5[[#This Row],[Fault Clearance time]]-Table5[[#This Row],[Work Start TimeStamp]])*24</f>
        <v>2.5666666666666682</v>
      </c>
      <c r="T182" s="91">
        <f>(Table5[[#This Row],[Fault Clearance time]]-Table5[[#This Row],[Fault Start TimeStamp]])*24</f>
        <v>2.5666666666666682</v>
      </c>
      <c r="U182" s="23" t="s">
        <v>890</v>
      </c>
      <c r="V182" s="79" t="s">
        <v>339</v>
      </c>
      <c r="W182" s="289">
        <f>IFERROR(Table5[[#This Row],[Breakdown Time]]*Table5[[#This Row],[Plant Equivalent Weightage]],"")</f>
        <v>5.8333333333333369E-2</v>
      </c>
      <c r="X182" s="289" t="s">
        <v>394</v>
      </c>
      <c r="Y182" s="290" t="s">
        <v>79</v>
      </c>
      <c r="Z182" s="79"/>
      <c r="AA182" s="283">
        <v>692</v>
      </c>
      <c r="AB182" s="79"/>
      <c r="AC182" s="23"/>
      <c r="AD182" s="23"/>
    </row>
    <row r="183" spans="1:30">
      <c r="A183" s="79">
        <f t="shared" si="5"/>
        <v>182</v>
      </c>
      <c r="B183" s="283">
        <f>YEAR(Table5[[#This Row],[Date]])+IF(MONTH(Table5[[#This Row],[Date]])&gt;=4,1,0)</f>
        <v>2026</v>
      </c>
      <c r="C183" s="79">
        <f>YEAR(Table5[[#This Row],[Date]])</f>
        <v>2025</v>
      </c>
      <c r="D183" s="79" t="s">
        <v>344</v>
      </c>
      <c r="E183" s="284">
        <f>Table5[[#This Row],[Date]]-DAY(Table5[[#This Row],[Date]])+1</f>
        <v>45809</v>
      </c>
      <c r="F183" s="285">
        <v>45816</v>
      </c>
      <c r="G183" s="79" t="s">
        <v>87</v>
      </c>
      <c r="H183" s="23" t="str">
        <f>IFERROR(_xlfn.XLOOKUP(Table5[[#This Row],[Affected WTG]],'Basic Data'!$A:$A,'Basic Data'!$B:$B),"")</f>
        <v>PWEPL</v>
      </c>
      <c r="I183" s="23" t="str">
        <f>IFERROR(_xlfn.XLOOKUP(Table5[[#This Row],[Affected WTG]],'Basic Data'!$A:$A,'Basic Data'!$C:$C),"")</f>
        <v>MSEDCL</v>
      </c>
      <c r="J183" s="286">
        <f>IFERROR(_xlfn.XLOOKUP(Table5[[#This Row],[Affected WTG]],'Basic Data'!$A:$A,'Basic Data'!$E:$E),"")</f>
        <v>2.2727272727272728E-2</v>
      </c>
      <c r="K183" s="79">
        <v>142</v>
      </c>
      <c r="L183" s="23" t="str">
        <f>IFERROR(_xlfn.XLOOKUP(Table5[[#This Row],[Error Code]],'Basic Data'!$W:$W,'Basic Data'!$X:$X),"Incorrect Error Code")</f>
        <v>Line CCU collective faults</v>
      </c>
      <c r="M183" s="23" t="s">
        <v>149</v>
      </c>
      <c r="N183" s="23"/>
      <c r="O183" s="287">
        <v>0.44236111111111115</v>
      </c>
      <c r="P183" s="287">
        <v>0.44236111111111115</v>
      </c>
      <c r="Q183" s="287">
        <v>0.4458333333333333</v>
      </c>
      <c r="R183" s="91">
        <f t="shared" si="4"/>
        <v>3.4722222222221544E-3</v>
      </c>
      <c r="S183" s="91">
        <f>(Table5[[#This Row],[Fault Clearance time]]-Table5[[#This Row],[Work Start TimeStamp]])*24</f>
        <v>8.3333333333331705E-2</v>
      </c>
      <c r="T183" s="91">
        <f>(Table5[[#This Row],[Fault Clearance time]]-Table5[[#This Row],[Fault Start TimeStamp]])*24</f>
        <v>8.3333333333331705E-2</v>
      </c>
      <c r="U183" s="23" t="s">
        <v>353</v>
      </c>
      <c r="V183" s="79" t="s">
        <v>339</v>
      </c>
      <c r="W183" s="289">
        <f>IFERROR(Table5[[#This Row],[Breakdown Time]]*Table5[[#This Row],[Plant Equivalent Weightage]],"")</f>
        <v>1.8939393939393569E-3</v>
      </c>
      <c r="X183" s="289" t="s">
        <v>343</v>
      </c>
      <c r="Y183" s="290" t="s">
        <v>86</v>
      </c>
      <c r="Z183" s="79"/>
      <c r="AA183" s="283">
        <v>45</v>
      </c>
      <c r="AB183" s="79"/>
      <c r="AC183" s="23"/>
      <c r="AD183" s="23"/>
    </row>
    <row r="184" spans="1:30">
      <c r="A184" s="79">
        <f t="shared" si="5"/>
        <v>183</v>
      </c>
      <c r="B184" s="283">
        <f>YEAR(Table5[[#This Row],[Date]])+IF(MONTH(Table5[[#This Row],[Date]])&gt;=4,1,0)</f>
        <v>2026</v>
      </c>
      <c r="C184" s="79">
        <f>YEAR(Table5[[#This Row],[Date]])</f>
        <v>2025</v>
      </c>
      <c r="D184" s="79" t="s">
        <v>344</v>
      </c>
      <c r="E184" s="284">
        <f>Table5[[#This Row],[Date]]-DAY(Table5[[#This Row],[Date]])+1</f>
        <v>45809</v>
      </c>
      <c r="F184" s="285">
        <v>45816</v>
      </c>
      <c r="G184" s="79" t="s">
        <v>114</v>
      </c>
      <c r="H184" s="23" t="str">
        <f>IFERROR(_xlfn.XLOOKUP(Table5[[#This Row],[Affected WTG]],'Basic Data'!$A:$A,'Basic Data'!$B:$B),"")</f>
        <v>PWEPL</v>
      </c>
      <c r="I184" s="23" t="str">
        <f>IFERROR(_xlfn.XLOOKUP(Table5[[#This Row],[Affected WTG]],'Basic Data'!$A:$A,'Basic Data'!$C:$C),"")</f>
        <v>MSEDCL</v>
      </c>
      <c r="J184" s="286">
        <f>IFERROR(_xlfn.XLOOKUP(Table5[[#This Row],[Affected WTG]],'Basic Data'!$A:$A,'Basic Data'!$E:$E),"")</f>
        <v>2.2727272727272728E-2</v>
      </c>
      <c r="K184" s="79">
        <v>3</v>
      </c>
      <c r="L184" s="23" t="str">
        <f>IFERROR(_xlfn.XLOOKUP(Table5[[#This Row],[Error Code]],'Basic Data'!$W:$W,'Basic Data'!$X:$X),"Incorrect Error Code")</f>
        <v>Manual Stop</v>
      </c>
      <c r="M184" s="23" t="s">
        <v>889</v>
      </c>
      <c r="N184" s="23"/>
      <c r="O184" s="287">
        <v>0.57291666666666663</v>
      </c>
      <c r="P184" s="287">
        <v>0.57291666666666663</v>
      </c>
      <c r="Q184" s="287">
        <v>0.61527777777777781</v>
      </c>
      <c r="R184" s="91">
        <f t="shared" si="4"/>
        <v>4.2361111111111183E-2</v>
      </c>
      <c r="S184" s="91">
        <f>(Table5[[#This Row],[Fault Clearance time]]-Table5[[#This Row],[Work Start TimeStamp]])*24</f>
        <v>1.0166666666666684</v>
      </c>
      <c r="T184" s="91">
        <f>(Table5[[#This Row],[Fault Clearance time]]-Table5[[#This Row],[Fault Start TimeStamp]])*24</f>
        <v>1.0166666666666684</v>
      </c>
      <c r="U184" s="23" t="s">
        <v>890</v>
      </c>
      <c r="V184" s="79" t="s">
        <v>339</v>
      </c>
      <c r="W184" s="289">
        <f>IFERROR(Table5[[#This Row],[Breakdown Time]]*Table5[[#This Row],[Plant Equivalent Weightage]],"")</f>
        <v>2.3106060606060647E-2</v>
      </c>
      <c r="X184" s="289" t="s">
        <v>394</v>
      </c>
      <c r="Y184" s="290" t="s">
        <v>113</v>
      </c>
      <c r="Z184" s="79"/>
      <c r="AA184" s="283">
        <v>562</v>
      </c>
      <c r="AB184" s="79"/>
      <c r="AC184" s="23"/>
      <c r="AD184" s="23"/>
    </row>
    <row r="185" spans="1:30">
      <c r="A185" s="79">
        <f t="shared" si="5"/>
        <v>184</v>
      </c>
      <c r="B185" s="283">
        <f>YEAR(Table5[[#This Row],[Date]])+IF(MONTH(Table5[[#This Row],[Date]])&gt;=4,1,0)</f>
        <v>2026</v>
      </c>
      <c r="C185" s="79">
        <f>YEAR(Table5[[#This Row],[Date]])</f>
        <v>2025</v>
      </c>
      <c r="D185" s="79" t="s">
        <v>344</v>
      </c>
      <c r="E185" s="284">
        <f>Table5[[#This Row],[Date]]-DAY(Table5[[#This Row],[Date]])+1</f>
        <v>45809</v>
      </c>
      <c r="F185" s="285">
        <v>45817</v>
      </c>
      <c r="G185" s="79" t="s">
        <v>104</v>
      </c>
      <c r="H185" s="23" t="str">
        <f>IFERROR(_xlfn.XLOOKUP(Table5[[#This Row],[Affected WTG]],'Basic Data'!$A:$A,'Basic Data'!$B:$B),"")</f>
        <v>PWEPL</v>
      </c>
      <c r="I185" s="23" t="str">
        <f>IFERROR(_xlfn.XLOOKUP(Table5[[#This Row],[Affected WTG]],'Basic Data'!$A:$A,'Basic Data'!$C:$C),"")</f>
        <v>MSEDCL</v>
      </c>
      <c r="J185" s="286">
        <f>IFERROR(_xlfn.XLOOKUP(Table5[[#This Row],[Affected WTG]],'Basic Data'!$A:$A,'Basic Data'!$E:$E),"")</f>
        <v>2.2727272727272728E-2</v>
      </c>
      <c r="K185" s="79">
        <v>201</v>
      </c>
      <c r="L185" s="23" t="str">
        <f>IFERROR(_xlfn.XLOOKUP(Table5[[#This Row],[Error Code]],'Basic Data'!$W:$W,'Basic Data'!$X:$X),"Incorrect Error Code")</f>
        <v xml:space="preserve"> PLC fault 24V Supply</v>
      </c>
      <c r="M185" s="23" t="s">
        <v>366</v>
      </c>
      <c r="N185" s="23"/>
      <c r="O185" s="287">
        <v>0.89583333333333337</v>
      </c>
      <c r="P185" s="287">
        <v>0.89583333333333337</v>
      </c>
      <c r="Q185" s="287">
        <v>0.90347222222222223</v>
      </c>
      <c r="R185" s="91">
        <f t="shared" si="4"/>
        <v>7.6388888888888618E-3</v>
      </c>
      <c r="S185" s="91">
        <f>(Table5[[#This Row],[Fault Clearance time]]-Table5[[#This Row],[Work Start TimeStamp]])*24</f>
        <v>0.18333333333333268</v>
      </c>
      <c r="T185" s="91">
        <f>(Table5[[#This Row],[Fault Clearance time]]-Table5[[#This Row],[Fault Start TimeStamp]])*24</f>
        <v>0.18333333333333268</v>
      </c>
      <c r="U185" s="23" t="s">
        <v>353</v>
      </c>
      <c r="V185" s="79" t="s">
        <v>339</v>
      </c>
      <c r="W185" s="289">
        <f>IFERROR(Table5[[#This Row],[Breakdown Time]]*Table5[[#This Row],[Plant Equivalent Weightage]],"")</f>
        <v>4.1666666666666519E-3</v>
      </c>
      <c r="X185" s="289" t="s">
        <v>343</v>
      </c>
      <c r="Y185" s="290" t="s">
        <v>79</v>
      </c>
      <c r="Z185" s="79"/>
      <c r="AA185" s="283">
        <v>172</v>
      </c>
      <c r="AB185" s="79"/>
      <c r="AC185" s="23"/>
      <c r="AD185" s="23"/>
    </row>
    <row r="186" spans="1:30">
      <c r="A186" s="79">
        <f t="shared" si="5"/>
        <v>185</v>
      </c>
      <c r="B186" s="283">
        <f>YEAR(Table5[[#This Row],[Date]])+IF(MONTH(Table5[[#This Row],[Date]])&gt;=4,1,0)</f>
        <v>2026</v>
      </c>
      <c r="C186" s="79">
        <f>YEAR(Table5[[#This Row],[Date]])</f>
        <v>2025</v>
      </c>
      <c r="D186" s="79" t="s">
        <v>344</v>
      </c>
      <c r="E186" s="284">
        <f>Table5[[#This Row],[Date]]-DAY(Table5[[#This Row],[Date]])+1</f>
        <v>45809</v>
      </c>
      <c r="F186" s="285">
        <v>45818</v>
      </c>
      <c r="G186" s="79" t="s">
        <v>99</v>
      </c>
      <c r="H186" s="23" t="str">
        <f>IFERROR(_xlfn.XLOOKUP(Table5[[#This Row],[Affected WTG]],'Basic Data'!$A:$A,'Basic Data'!$B:$B),"")</f>
        <v>PWEPL</v>
      </c>
      <c r="I186" s="23" t="str">
        <f>IFERROR(_xlfn.XLOOKUP(Table5[[#This Row],[Affected WTG]],'Basic Data'!$A:$A,'Basic Data'!$C:$C),"")</f>
        <v>MSEDCL</v>
      </c>
      <c r="J186" s="286">
        <f>IFERROR(_xlfn.XLOOKUP(Table5[[#This Row],[Affected WTG]],'Basic Data'!$A:$A,'Basic Data'!$E:$E),"")</f>
        <v>2.2727272727272728E-2</v>
      </c>
      <c r="K186" s="79">
        <v>201</v>
      </c>
      <c r="L186" s="23" t="str">
        <f>IFERROR(_xlfn.XLOOKUP(Table5[[#This Row],[Error Code]],'Basic Data'!$W:$W,'Basic Data'!$X:$X),"Incorrect Error Code")</f>
        <v xml:space="preserve"> PLC fault 24V Supply</v>
      </c>
      <c r="M186" s="23" t="s">
        <v>366</v>
      </c>
      <c r="N186" s="23"/>
      <c r="O186" s="287">
        <v>0.57638888888888895</v>
      </c>
      <c r="P186" s="287">
        <v>0.57638888888888895</v>
      </c>
      <c r="Q186" s="287">
        <v>0.59027777777777779</v>
      </c>
      <c r="R186" s="91">
        <f t="shared" si="4"/>
        <v>1.388888888888884E-2</v>
      </c>
      <c r="S186" s="91">
        <f>(Table5[[#This Row],[Fault Clearance time]]-Table5[[#This Row],[Work Start TimeStamp]])*24</f>
        <v>0.33333333333333215</v>
      </c>
      <c r="T186" s="91">
        <f>(Table5[[#This Row],[Fault Clearance time]]-Table5[[#This Row],[Fault Start TimeStamp]])*24</f>
        <v>0.33333333333333215</v>
      </c>
      <c r="U186" s="23" t="s">
        <v>349</v>
      </c>
      <c r="V186" s="79" t="s">
        <v>339</v>
      </c>
      <c r="W186" s="289">
        <f>IFERROR(Table5[[#This Row],[Breakdown Time]]*Table5[[#This Row],[Plant Equivalent Weightage]],"")</f>
        <v>7.5757575757575491E-3</v>
      </c>
      <c r="X186" s="289" t="s">
        <v>343</v>
      </c>
      <c r="Y186" s="290" t="s">
        <v>98</v>
      </c>
      <c r="Z186" s="79"/>
      <c r="AA186" s="283">
        <v>98</v>
      </c>
      <c r="AB186" s="79"/>
      <c r="AC186" s="23"/>
      <c r="AD186" s="23"/>
    </row>
    <row r="187" spans="1:30">
      <c r="A187" s="79">
        <f t="shared" si="5"/>
        <v>186</v>
      </c>
      <c r="B187" s="283">
        <f>YEAR(Table5[[#This Row],[Date]])+IF(MONTH(Table5[[#This Row],[Date]])&gt;=4,1,0)</f>
        <v>2026</v>
      </c>
      <c r="C187" s="79">
        <f>YEAR(Table5[[#This Row],[Date]])</f>
        <v>2025</v>
      </c>
      <c r="D187" s="79" t="s">
        <v>344</v>
      </c>
      <c r="E187" s="284">
        <f>Table5[[#This Row],[Date]]-DAY(Table5[[#This Row],[Date]])+1</f>
        <v>45809</v>
      </c>
      <c r="F187" s="285">
        <v>45818</v>
      </c>
      <c r="G187" s="79" t="s">
        <v>99</v>
      </c>
      <c r="H187" s="23" t="str">
        <f>IFERROR(_xlfn.XLOOKUP(Table5[[#This Row],[Affected WTG]],'Basic Data'!$A:$A,'Basic Data'!$B:$B),"")</f>
        <v>PWEPL</v>
      </c>
      <c r="I187" s="23" t="str">
        <f>IFERROR(_xlfn.XLOOKUP(Table5[[#This Row],[Affected WTG]],'Basic Data'!$A:$A,'Basic Data'!$C:$C),"")</f>
        <v>MSEDCL</v>
      </c>
      <c r="J187" s="286">
        <f>IFERROR(_xlfn.XLOOKUP(Table5[[#This Row],[Affected WTG]],'Basic Data'!$A:$A,'Basic Data'!$E:$E),"")</f>
        <v>2.2727272727272728E-2</v>
      </c>
      <c r="K187" s="79">
        <v>201</v>
      </c>
      <c r="L187" s="23" t="str">
        <f>IFERROR(_xlfn.XLOOKUP(Table5[[#This Row],[Error Code]],'Basic Data'!$W:$W,'Basic Data'!$X:$X),"Incorrect Error Code")</f>
        <v xml:space="preserve"> PLC fault 24V Supply</v>
      </c>
      <c r="M187" s="23" t="s">
        <v>881</v>
      </c>
      <c r="N187" s="23"/>
      <c r="O187" s="287">
        <v>0.67361111111111116</v>
      </c>
      <c r="P187" s="287">
        <v>0.67361111111111116</v>
      </c>
      <c r="Q187" s="287">
        <v>0.7270833333333333</v>
      </c>
      <c r="R187" s="91">
        <f t="shared" si="4"/>
        <v>5.3472222222222143E-2</v>
      </c>
      <c r="S187" s="91">
        <f>(Table5[[#This Row],[Fault Clearance time]]-Table5[[#This Row],[Work Start TimeStamp]])*24</f>
        <v>1.2833333333333314</v>
      </c>
      <c r="T187" s="91">
        <f>(Table5[[#This Row],[Fault Clearance time]]-Table5[[#This Row],[Fault Start TimeStamp]])*24</f>
        <v>1.2833333333333314</v>
      </c>
      <c r="U187" s="23" t="s">
        <v>882</v>
      </c>
      <c r="V187" s="79" t="s">
        <v>339</v>
      </c>
      <c r="W187" s="289">
        <f>IFERROR(Table5[[#This Row],[Breakdown Time]]*Table5[[#This Row],[Plant Equivalent Weightage]],"")</f>
        <v>2.9166666666666625E-2</v>
      </c>
      <c r="X187" s="289" t="s">
        <v>343</v>
      </c>
      <c r="Y187" s="290" t="s">
        <v>98</v>
      </c>
      <c r="Z187" s="79"/>
      <c r="AA187" s="283">
        <v>1117</v>
      </c>
      <c r="AB187" s="79"/>
      <c r="AC187" s="23"/>
      <c r="AD187" s="23"/>
    </row>
    <row r="188" spans="1:30">
      <c r="A188" s="79">
        <f t="shared" si="5"/>
        <v>187</v>
      </c>
      <c r="B188" s="283">
        <f>YEAR(Table5[[#This Row],[Date]])+IF(MONTH(Table5[[#This Row],[Date]])&gt;=4,1,0)</f>
        <v>2026</v>
      </c>
      <c r="C188" s="79">
        <f>YEAR(Table5[[#This Row],[Date]])</f>
        <v>2025</v>
      </c>
      <c r="D188" s="79" t="s">
        <v>344</v>
      </c>
      <c r="E188" s="284">
        <f>Table5[[#This Row],[Date]]-DAY(Table5[[#This Row],[Date]])+1</f>
        <v>45809</v>
      </c>
      <c r="F188" s="285">
        <v>45818</v>
      </c>
      <c r="G188" s="79" t="s">
        <v>92</v>
      </c>
      <c r="H188" s="23" t="str">
        <f>IFERROR(_xlfn.XLOOKUP(Table5[[#This Row],[Affected WTG]],'Basic Data'!$A:$A,'Basic Data'!$B:$B),"")</f>
        <v>PWEPL</v>
      </c>
      <c r="I188" s="23" t="str">
        <f>IFERROR(_xlfn.XLOOKUP(Table5[[#This Row],[Affected WTG]],'Basic Data'!$A:$A,'Basic Data'!$C:$C),"")</f>
        <v>MSEDCL</v>
      </c>
      <c r="J188" s="286">
        <f>IFERROR(_xlfn.XLOOKUP(Table5[[#This Row],[Affected WTG]],'Basic Data'!$A:$A,'Basic Data'!$E:$E),"")</f>
        <v>2.2727272727272728E-2</v>
      </c>
      <c r="K188" s="79">
        <v>269</v>
      </c>
      <c r="L188" s="23" t="str">
        <f>IFERROR(_xlfn.XLOOKUP(Table5[[#This Row],[Error Code]],'Basic Data'!$W:$W,'Basic Data'!$X:$X),"Incorrect Error Code")</f>
        <v>Reboot PLC</v>
      </c>
      <c r="M188" s="23" t="s">
        <v>348</v>
      </c>
      <c r="N188" s="23"/>
      <c r="O188" s="287">
        <v>0.5708333333333333</v>
      </c>
      <c r="P188" s="287">
        <v>0.5708333333333333</v>
      </c>
      <c r="Q188" s="287">
        <v>0.57986111111111105</v>
      </c>
      <c r="R188" s="91">
        <f t="shared" si="4"/>
        <v>9.0277777777777457E-3</v>
      </c>
      <c r="S188" s="91">
        <f>(Table5[[#This Row],[Fault Clearance time]]-Table5[[#This Row],[Work Start TimeStamp]])*24</f>
        <v>0.2166666666666659</v>
      </c>
      <c r="T188" s="91">
        <f>(Table5[[#This Row],[Fault Clearance time]]-Table5[[#This Row],[Fault Start TimeStamp]])*24</f>
        <v>0.2166666666666659</v>
      </c>
      <c r="U188" s="23" t="s">
        <v>353</v>
      </c>
      <c r="V188" s="79" t="s">
        <v>339</v>
      </c>
      <c r="W188" s="289">
        <f>IFERROR(Table5[[#This Row],[Breakdown Time]]*Table5[[#This Row],[Plant Equivalent Weightage]],"")</f>
        <v>4.9242424242424065E-3</v>
      </c>
      <c r="X188" s="289" t="s">
        <v>343</v>
      </c>
      <c r="Y188" s="290" t="s">
        <v>91</v>
      </c>
      <c r="Z188" s="79"/>
      <c r="AA188" s="283">
        <v>2</v>
      </c>
      <c r="AB188" s="79"/>
      <c r="AC188" s="23"/>
      <c r="AD188" s="23"/>
    </row>
    <row r="189" spans="1:30">
      <c r="A189" s="79">
        <f t="shared" si="5"/>
        <v>188</v>
      </c>
      <c r="B189" s="283">
        <f>YEAR(Table5[[#This Row],[Date]])+IF(MONTH(Table5[[#This Row],[Date]])&gt;=4,1,0)</f>
        <v>2026</v>
      </c>
      <c r="C189" s="79">
        <f>YEAR(Table5[[#This Row],[Date]])</f>
        <v>2025</v>
      </c>
      <c r="D189" s="79" t="s">
        <v>344</v>
      </c>
      <c r="E189" s="284">
        <f>Table5[[#This Row],[Date]]-DAY(Table5[[#This Row],[Date]])+1</f>
        <v>45809</v>
      </c>
      <c r="F189" s="285">
        <v>45818</v>
      </c>
      <c r="G189" s="79" t="s">
        <v>94</v>
      </c>
      <c r="H189" s="23" t="str">
        <f>IFERROR(_xlfn.XLOOKUP(Table5[[#This Row],[Affected WTG]],'Basic Data'!$A:$A,'Basic Data'!$B:$B),"")</f>
        <v>PWEPL</v>
      </c>
      <c r="I189" s="23" t="str">
        <f>IFERROR(_xlfn.XLOOKUP(Table5[[#This Row],[Affected WTG]],'Basic Data'!$A:$A,'Basic Data'!$C:$C),"")</f>
        <v>MSEDCL</v>
      </c>
      <c r="J189" s="286">
        <f>IFERROR(_xlfn.XLOOKUP(Table5[[#This Row],[Affected WTG]],'Basic Data'!$A:$A,'Basic Data'!$E:$E),"")</f>
        <v>2.2727272727272728E-2</v>
      </c>
      <c r="K189" s="79">
        <v>269</v>
      </c>
      <c r="L189" s="23" t="str">
        <f>IFERROR(_xlfn.XLOOKUP(Table5[[#This Row],[Error Code]],'Basic Data'!$W:$W,'Basic Data'!$X:$X),"Incorrect Error Code")</f>
        <v>Reboot PLC</v>
      </c>
      <c r="M189" s="23" t="s">
        <v>348</v>
      </c>
      <c r="N189" s="23"/>
      <c r="O189" s="287">
        <v>0.5708333333333333</v>
      </c>
      <c r="P189" s="287">
        <v>0.5708333333333333</v>
      </c>
      <c r="Q189" s="287">
        <v>0.57638888888888895</v>
      </c>
      <c r="R189" s="91">
        <f t="shared" si="4"/>
        <v>5.5555555555556468E-3</v>
      </c>
      <c r="S189" s="91">
        <f>(Table5[[#This Row],[Fault Clearance time]]-Table5[[#This Row],[Work Start TimeStamp]])*24</f>
        <v>0.13333333333333552</v>
      </c>
      <c r="T189" s="91">
        <f>(Table5[[#This Row],[Fault Clearance time]]-Table5[[#This Row],[Fault Start TimeStamp]])*24</f>
        <v>0.13333333333333552</v>
      </c>
      <c r="U189" s="23" t="s">
        <v>353</v>
      </c>
      <c r="V189" s="79" t="s">
        <v>339</v>
      </c>
      <c r="W189" s="289">
        <f>IFERROR(Table5[[#This Row],[Breakdown Time]]*Table5[[#This Row],[Plant Equivalent Weightage]],"")</f>
        <v>3.0303030303030802E-3</v>
      </c>
      <c r="X189" s="289" t="s">
        <v>343</v>
      </c>
      <c r="Y189" s="290" t="s">
        <v>92</v>
      </c>
      <c r="Z189" s="79"/>
      <c r="AA189" s="283">
        <v>94</v>
      </c>
      <c r="AB189" s="79"/>
      <c r="AC189" s="23"/>
      <c r="AD189" s="23"/>
    </row>
    <row r="190" spans="1:30">
      <c r="A190" s="79">
        <f t="shared" si="5"/>
        <v>189</v>
      </c>
      <c r="B190" s="283">
        <f>YEAR(Table5[[#This Row],[Date]])+IF(MONTH(Table5[[#This Row],[Date]])&gt;=4,1,0)</f>
        <v>2026</v>
      </c>
      <c r="C190" s="79">
        <f>YEAR(Table5[[#This Row],[Date]])</f>
        <v>2025</v>
      </c>
      <c r="D190" s="79" t="s">
        <v>344</v>
      </c>
      <c r="E190" s="284">
        <f>Table5[[#This Row],[Date]]-DAY(Table5[[#This Row],[Date]])+1</f>
        <v>45809</v>
      </c>
      <c r="F190" s="285">
        <v>45818</v>
      </c>
      <c r="G190" s="79" t="s">
        <v>95</v>
      </c>
      <c r="H190" s="23" t="str">
        <f>IFERROR(_xlfn.XLOOKUP(Table5[[#This Row],[Affected WTG]],'Basic Data'!$A:$A,'Basic Data'!$B:$B),"")</f>
        <v>PWEPL</v>
      </c>
      <c r="I190" s="23" t="str">
        <f>IFERROR(_xlfn.XLOOKUP(Table5[[#This Row],[Affected WTG]],'Basic Data'!$A:$A,'Basic Data'!$C:$C),"")</f>
        <v>MSEDCL</v>
      </c>
      <c r="J190" s="286">
        <f>IFERROR(_xlfn.XLOOKUP(Table5[[#This Row],[Affected WTG]],'Basic Data'!$A:$A,'Basic Data'!$E:$E),"")</f>
        <v>2.2727272727272728E-2</v>
      </c>
      <c r="K190" s="79">
        <v>269</v>
      </c>
      <c r="L190" s="23" t="str">
        <f>IFERROR(_xlfn.XLOOKUP(Table5[[#This Row],[Error Code]],'Basic Data'!$W:$W,'Basic Data'!$X:$X),"Incorrect Error Code")</f>
        <v>Reboot PLC</v>
      </c>
      <c r="M190" s="23" t="s">
        <v>348</v>
      </c>
      <c r="N190" s="23"/>
      <c r="O190" s="287">
        <v>0.5708333333333333</v>
      </c>
      <c r="P190" s="287">
        <v>0.5708333333333333</v>
      </c>
      <c r="Q190" s="287">
        <v>0.57708333333333328</v>
      </c>
      <c r="R190" s="91">
        <f t="shared" si="4"/>
        <v>6.2499999999999778E-3</v>
      </c>
      <c r="S190" s="91">
        <f>(Table5[[#This Row],[Fault Clearance time]]-Table5[[#This Row],[Work Start TimeStamp]])*24</f>
        <v>0.14999999999999947</v>
      </c>
      <c r="T190" s="91">
        <f>(Table5[[#This Row],[Fault Clearance time]]-Table5[[#This Row],[Fault Start TimeStamp]])*24</f>
        <v>0.14999999999999947</v>
      </c>
      <c r="U190" s="23" t="s">
        <v>353</v>
      </c>
      <c r="V190" s="79" t="s">
        <v>339</v>
      </c>
      <c r="W190" s="289">
        <f>IFERROR(Table5[[#This Row],[Breakdown Time]]*Table5[[#This Row],[Plant Equivalent Weightage]],"")</f>
        <v>3.4090909090908972E-3</v>
      </c>
      <c r="X190" s="289" t="s">
        <v>343</v>
      </c>
      <c r="Y190" s="290" t="s">
        <v>94</v>
      </c>
      <c r="Z190" s="79"/>
      <c r="AA190" s="283">
        <v>106</v>
      </c>
      <c r="AB190" s="79"/>
      <c r="AC190" s="23"/>
      <c r="AD190" s="23"/>
    </row>
    <row r="191" spans="1:30">
      <c r="A191" s="79">
        <f t="shared" si="5"/>
        <v>190</v>
      </c>
      <c r="B191" s="283">
        <f>YEAR(Table5[[#This Row],[Date]])+IF(MONTH(Table5[[#This Row],[Date]])&gt;=4,1,0)</f>
        <v>2026</v>
      </c>
      <c r="C191" s="79">
        <f>YEAR(Table5[[#This Row],[Date]])</f>
        <v>2025</v>
      </c>
      <c r="D191" s="79" t="s">
        <v>344</v>
      </c>
      <c r="E191" s="284">
        <f>Table5[[#This Row],[Date]]-DAY(Table5[[#This Row],[Date]])+1</f>
        <v>45809</v>
      </c>
      <c r="F191" s="285">
        <v>45818</v>
      </c>
      <c r="G191" s="79" t="s">
        <v>106</v>
      </c>
      <c r="H191" s="23" t="str">
        <f>IFERROR(_xlfn.XLOOKUP(Table5[[#This Row],[Affected WTG]],'Basic Data'!$A:$A,'Basic Data'!$B:$B),"")</f>
        <v>PWEPL</v>
      </c>
      <c r="I191" s="23" t="str">
        <f>IFERROR(_xlfn.XLOOKUP(Table5[[#This Row],[Affected WTG]],'Basic Data'!$A:$A,'Basic Data'!$C:$C),"")</f>
        <v>MSEDCL</v>
      </c>
      <c r="J191" s="286">
        <f>IFERROR(_xlfn.XLOOKUP(Table5[[#This Row],[Affected WTG]],'Basic Data'!$A:$A,'Basic Data'!$E:$E),"")</f>
        <v>2.2727272727272728E-2</v>
      </c>
      <c r="K191" s="79">
        <v>269</v>
      </c>
      <c r="L191" s="23" t="str">
        <f>IFERROR(_xlfn.XLOOKUP(Table5[[#This Row],[Error Code]],'Basic Data'!$W:$W,'Basic Data'!$X:$X),"Incorrect Error Code")</f>
        <v>Reboot PLC</v>
      </c>
      <c r="M191" s="23" t="s">
        <v>348</v>
      </c>
      <c r="N191" s="23"/>
      <c r="O191" s="287">
        <v>0.5708333333333333</v>
      </c>
      <c r="P191" s="287">
        <v>0.5708333333333333</v>
      </c>
      <c r="Q191" s="287">
        <v>0.57708333333333328</v>
      </c>
      <c r="R191" s="91">
        <f t="shared" si="4"/>
        <v>6.2499999999999778E-3</v>
      </c>
      <c r="S191" s="91">
        <f>(Table5[[#This Row],[Fault Clearance time]]-Table5[[#This Row],[Work Start TimeStamp]])*24</f>
        <v>0.14999999999999947</v>
      </c>
      <c r="T191" s="91">
        <f>(Table5[[#This Row],[Fault Clearance time]]-Table5[[#This Row],[Fault Start TimeStamp]])*24</f>
        <v>0.14999999999999947</v>
      </c>
      <c r="U191" s="23" t="s">
        <v>353</v>
      </c>
      <c r="V191" s="79" t="s">
        <v>339</v>
      </c>
      <c r="W191" s="289">
        <f>IFERROR(Table5[[#This Row],[Breakdown Time]]*Table5[[#This Row],[Plant Equivalent Weightage]],"")</f>
        <v>3.4090909090908972E-3</v>
      </c>
      <c r="X191" s="289" t="s">
        <v>343</v>
      </c>
      <c r="Y191" s="290" t="s">
        <v>92</v>
      </c>
      <c r="Z191" s="79"/>
      <c r="AA191" s="283">
        <v>106</v>
      </c>
      <c r="AB191" s="79"/>
      <c r="AC191" s="23"/>
      <c r="AD191" s="23"/>
    </row>
    <row r="192" spans="1:30">
      <c r="A192" s="79">
        <f t="shared" si="5"/>
        <v>191</v>
      </c>
      <c r="B192" s="283">
        <f>YEAR(Table5[[#This Row],[Date]])+IF(MONTH(Table5[[#This Row],[Date]])&gt;=4,1,0)</f>
        <v>2026</v>
      </c>
      <c r="C192" s="79">
        <f>YEAR(Table5[[#This Row],[Date]])</f>
        <v>2025</v>
      </c>
      <c r="D192" s="79" t="s">
        <v>344</v>
      </c>
      <c r="E192" s="284">
        <f>Table5[[#This Row],[Date]]-DAY(Table5[[#This Row],[Date]])+1</f>
        <v>45809</v>
      </c>
      <c r="F192" s="285">
        <v>45819</v>
      </c>
      <c r="G192" s="79" t="s">
        <v>104</v>
      </c>
      <c r="H192" s="23" t="str">
        <f>IFERROR(_xlfn.XLOOKUP(Table5[[#This Row],[Affected WTG]],'Basic Data'!$A:$A,'Basic Data'!$B:$B),"")</f>
        <v>PWEPL</v>
      </c>
      <c r="I192" s="23" t="str">
        <f>IFERROR(_xlfn.XLOOKUP(Table5[[#This Row],[Affected WTG]],'Basic Data'!$A:$A,'Basic Data'!$C:$C),"")</f>
        <v>MSEDCL</v>
      </c>
      <c r="J192" s="286">
        <f>IFERROR(_xlfn.XLOOKUP(Table5[[#This Row],[Affected WTG]],'Basic Data'!$A:$A,'Basic Data'!$E:$E),"")</f>
        <v>2.2727272727272728E-2</v>
      </c>
      <c r="K192" s="79">
        <v>201</v>
      </c>
      <c r="L192" s="23" t="str">
        <f>IFERROR(_xlfn.XLOOKUP(Table5[[#This Row],[Error Code]],'Basic Data'!$W:$W,'Basic Data'!$X:$X),"Incorrect Error Code")</f>
        <v xml:space="preserve"> PLC fault 24V Supply</v>
      </c>
      <c r="M192" s="23" t="s">
        <v>881</v>
      </c>
      <c r="N192" s="23"/>
      <c r="O192" s="287">
        <v>0.375</v>
      </c>
      <c r="P192" s="287">
        <v>0.375</v>
      </c>
      <c r="Q192" s="287">
        <v>0.48819444444444443</v>
      </c>
      <c r="R192" s="91">
        <f t="shared" si="4"/>
        <v>0.11319444444444443</v>
      </c>
      <c r="S192" s="91">
        <f>(Table5[[#This Row],[Fault Clearance time]]-Table5[[#This Row],[Work Start TimeStamp]])*24</f>
        <v>2.7166666666666663</v>
      </c>
      <c r="T192" s="91">
        <f>(Table5[[#This Row],[Fault Clearance time]]-Table5[[#This Row],[Fault Start TimeStamp]])*24</f>
        <v>2.7166666666666663</v>
      </c>
      <c r="U192" s="23" t="s">
        <v>894</v>
      </c>
      <c r="V192" s="79" t="s">
        <v>339</v>
      </c>
      <c r="W192" s="289">
        <f>IFERROR(Table5[[#This Row],[Breakdown Time]]*Table5[[#This Row],[Plant Equivalent Weightage]],"")</f>
        <v>6.1742424242424238E-2</v>
      </c>
      <c r="X192" s="289" t="s">
        <v>343</v>
      </c>
      <c r="Y192" s="290" t="s">
        <v>79</v>
      </c>
      <c r="Z192" s="79"/>
      <c r="AA192" s="283">
        <v>3094</v>
      </c>
      <c r="AB192" s="79"/>
      <c r="AC192" s="23"/>
      <c r="AD192" s="23"/>
    </row>
    <row r="193" spans="1:30">
      <c r="A193" s="79">
        <f t="shared" si="5"/>
        <v>192</v>
      </c>
      <c r="B193" s="283">
        <f>YEAR(Table5[[#This Row],[Date]])+IF(MONTH(Table5[[#This Row],[Date]])&gt;=4,1,0)</f>
        <v>2026</v>
      </c>
      <c r="C193" s="79">
        <f>YEAR(Table5[[#This Row],[Date]])</f>
        <v>2025</v>
      </c>
      <c r="D193" s="79" t="s">
        <v>344</v>
      </c>
      <c r="E193" s="284">
        <f>Table5[[#This Row],[Date]]-DAY(Table5[[#This Row],[Date]])+1</f>
        <v>45809</v>
      </c>
      <c r="F193" s="285">
        <v>45821</v>
      </c>
      <c r="G193" s="79" t="s">
        <v>104</v>
      </c>
      <c r="H193" s="23" t="str">
        <f>IFERROR(_xlfn.XLOOKUP(Table5[[#This Row],[Affected WTG]],'Basic Data'!$A:$A,'Basic Data'!$B:$B),"")</f>
        <v>PWEPL</v>
      </c>
      <c r="I193" s="23" t="str">
        <f>IFERROR(_xlfn.XLOOKUP(Table5[[#This Row],[Affected WTG]],'Basic Data'!$A:$A,'Basic Data'!$C:$C),"")</f>
        <v>MSEDCL</v>
      </c>
      <c r="J193" s="286">
        <f>IFERROR(_xlfn.XLOOKUP(Table5[[#This Row],[Affected WTG]],'Basic Data'!$A:$A,'Basic Data'!$E:$E),"")</f>
        <v>2.2727272727272728E-2</v>
      </c>
      <c r="K193" s="79">
        <v>201</v>
      </c>
      <c r="L193" s="23" t="str">
        <f>IFERROR(_xlfn.XLOOKUP(Table5[[#This Row],[Error Code]],'Basic Data'!$W:$W,'Basic Data'!$X:$X),"Incorrect Error Code")</f>
        <v xml:space="preserve"> PLC fault 24V Supply</v>
      </c>
      <c r="M193" s="23" t="s">
        <v>366</v>
      </c>
      <c r="N193" s="23"/>
      <c r="O193" s="287">
        <v>6.9444444444444441E-3</v>
      </c>
      <c r="P193" s="287">
        <v>6.9444444444444441E-3</v>
      </c>
      <c r="Q193" s="287">
        <v>1.5277777777777777E-2</v>
      </c>
      <c r="R193" s="91">
        <f t="shared" si="4"/>
        <v>8.3333333333333332E-3</v>
      </c>
      <c r="S193" s="91">
        <f>(Table5[[#This Row],[Fault Clearance time]]-Table5[[#This Row],[Work Start TimeStamp]])*24</f>
        <v>0.2</v>
      </c>
      <c r="T193" s="91">
        <f>(Table5[[#This Row],[Fault Clearance time]]-Table5[[#This Row],[Fault Start TimeStamp]])*24</f>
        <v>0.2</v>
      </c>
      <c r="U193" s="23" t="s">
        <v>353</v>
      </c>
      <c r="V193" s="79" t="s">
        <v>339</v>
      </c>
      <c r="W193" s="289">
        <f>IFERROR(Table5[[#This Row],[Breakdown Time]]*Table5[[#This Row],[Plant Equivalent Weightage]],"")</f>
        <v>4.5454545454545461E-3</v>
      </c>
      <c r="X193" s="289" t="s">
        <v>343</v>
      </c>
      <c r="Y193" s="290" t="s">
        <v>79</v>
      </c>
      <c r="Z193" s="79"/>
      <c r="AA193" s="283">
        <v>60</v>
      </c>
      <c r="AB193" s="79"/>
      <c r="AC193" s="23"/>
      <c r="AD193" s="23"/>
    </row>
    <row r="194" spans="1:30">
      <c r="A194" s="79">
        <f t="shared" si="5"/>
        <v>193</v>
      </c>
      <c r="B194" s="283">
        <f>YEAR(Table5[[#This Row],[Date]])+IF(MONTH(Table5[[#This Row],[Date]])&gt;=4,1,0)</f>
        <v>2026</v>
      </c>
      <c r="C194" s="79">
        <f>YEAR(Table5[[#This Row],[Date]])</f>
        <v>2025</v>
      </c>
      <c r="D194" s="79" t="s">
        <v>344</v>
      </c>
      <c r="E194" s="284">
        <f>Table5[[#This Row],[Date]]-DAY(Table5[[#This Row],[Date]])+1</f>
        <v>45809</v>
      </c>
      <c r="F194" s="285">
        <v>45821</v>
      </c>
      <c r="G194" s="79" t="s">
        <v>109</v>
      </c>
      <c r="H194" s="23" t="str">
        <f>IFERROR(_xlfn.XLOOKUP(Table5[[#This Row],[Affected WTG]],'Basic Data'!$A:$A,'Basic Data'!$B:$B),"")</f>
        <v>PWEPL</v>
      </c>
      <c r="I194" s="23" t="str">
        <f>IFERROR(_xlfn.XLOOKUP(Table5[[#This Row],[Affected WTG]],'Basic Data'!$A:$A,'Basic Data'!$C:$C),"")</f>
        <v>MSEDCL</v>
      </c>
      <c r="J194" s="286">
        <f>IFERROR(_xlfn.XLOOKUP(Table5[[#This Row],[Affected WTG]],'Basic Data'!$A:$A,'Basic Data'!$E:$E),"")</f>
        <v>2.2727272727272728E-2</v>
      </c>
      <c r="K194" s="79">
        <v>201</v>
      </c>
      <c r="L194" s="23" t="str">
        <f>IFERROR(_xlfn.XLOOKUP(Table5[[#This Row],[Error Code]],'Basic Data'!$W:$W,'Basic Data'!$X:$X),"Incorrect Error Code")</f>
        <v xml:space="preserve"> PLC fault 24V Supply</v>
      </c>
      <c r="M194" s="23" t="s">
        <v>366</v>
      </c>
      <c r="N194" s="23"/>
      <c r="O194" s="287">
        <v>9.7916666666666666E-2</v>
      </c>
      <c r="P194" s="287">
        <v>9.7916666666666666E-2</v>
      </c>
      <c r="Q194" s="287">
        <v>0.2298611111111111</v>
      </c>
      <c r="R194" s="91">
        <f t="shared" ref="R194:R257" si="6">Q194-O194</f>
        <v>0.13194444444444442</v>
      </c>
      <c r="S194" s="91">
        <f>(Table5[[#This Row],[Fault Clearance time]]-Table5[[#This Row],[Work Start TimeStamp]])*24</f>
        <v>3.1666666666666661</v>
      </c>
      <c r="T194" s="91">
        <f>(Table5[[#This Row],[Fault Clearance time]]-Table5[[#This Row],[Fault Start TimeStamp]])*24</f>
        <v>3.1666666666666661</v>
      </c>
      <c r="U194" s="23" t="s">
        <v>895</v>
      </c>
      <c r="V194" s="79" t="s">
        <v>339</v>
      </c>
      <c r="W194" s="289">
        <f>IFERROR(Table5[[#This Row],[Breakdown Time]]*Table5[[#This Row],[Plant Equivalent Weightage]],"")</f>
        <v>7.1969696969696961E-2</v>
      </c>
      <c r="X194" s="289" t="s">
        <v>343</v>
      </c>
      <c r="Y194" s="290" t="s">
        <v>114</v>
      </c>
      <c r="Z194" s="79"/>
      <c r="AA194" s="283">
        <v>8</v>
      </c>
      <c r="AB194" s="79"/>
      <c r="AC194" s="23"/>
      <c r="AD194" s="23"/>
    </row>
    <row r="195" spans="1:30">
      <c r="A195" s="79">
        <f t="shared" si="5"/>
        <v>194</v>
      </c>
      <c r="B195" s="283">
        <f>YEAR(Table5[[#This Row],[Date]])+IF(MONTH(Table5[[#This Row],[Date]])&gt;=4,1,0)</f>
        <v>2026</v>
      </c>
      <c r="C195" s="79">
        <f>YEAR(Table5[[#This Row],[Date]])</f>
        <v>2025</v>
      </c>
      <c r="D195" s="79" t="s">
        <v>344</v>
      </c>
      <c r="E195" s="284">
        <f>Table5[[#This Row],[Date]]-DAY(Table5[[#This Row],[Date]])+1</f>
        <v>45809</v>
      </c>
      <c r="F195" s="285">
        <v>45821</v>
      </c>
      <c r="G195" s="79" t="s">
        <v>97</v>
      </c>
      <c r="H195" s="23" t="str">
        <f>IFERROR(_xlfn.XLOOKUP(Table5[[#This Row],[Affected WTG]],'Basic Data'!$A:$A,'Basic Data'!$B:$B),"")</f>
        <v>PWEPL</v>
      </c>
      <c r="I195" s="23" t="str">
        <f>IFERROR(_xlfn.XLOOKUP(Table5[[#This Row],[Affected WTG]],'Basic Data'!$A:$A,'Basic Data'!$C:$C),"")</f>
        <v>MSEDCL</v>
      </c>
      <c r="J195" s="286">
        <f>IFERROR(_xlfn.XLOOKUP(Table5[[#This Row],[Affected WTG]],'Basic Data'!$A:$A,'Basic Data'!$E:$E),"")</f>
        <v>2.2727272727272728E-2</v>
      </c>
      <c r="K195" s="79">
        <v>274</v>
      </c>
      <c r="L195" s="23" t="str">
        <f>IFERROR(_xlfn.XLOOKUP(Table5[[#This Row],[Error Code]],'Basic Data'!$W:$W,'Basic Data'!$X:$X),"Incorrect Error Code")</f>
        <v>Pitch thyristor 1 fault</v>
      </c>
      <c r="M195" s="23" t="s">
        <v>158</v>
      </c>
      <c r="N195" s="23"/>
      <c r="O195" s="287">
        <v>0.20486111111111113</v>
      </c>
      <c r="P195" s="287">
        <v>0.20486111111111113</v>
      </c>
      <c r="Q195" s="287">
        <v>0.22708333333333333</v>
      </c>
      <c r="R195" s="91">
        <f t="shared" si="6"/>
        <v>2.2222222222222199E-2</v>
      </c>
      <c r="S195" s="91">
        <f>(Table5[[#This Row],[Fault Clearance time]]-Table5[[#This Row],[Work Start TimeStamp]])*24</f>
        <v>0.53333333333333277</v>
      </c>
      <c r="T195" s="91">
        <f>(Table5[[#This Row],[Fault Clearance time]]-Table5[[#This Row],[Fault Start TimeStamp]])*24</f>
        <v>0.53333333333333277</v>
      </c>
      <c r="U195" s="23" t="s">
        <v>353</v>
      </c>
      <c r="V195" s="79" t="s">
        <v>339</v>
      </c>
      <c r="W195" s="289">
        <f>IFERROR(Table5[[#This Row],[Breakdown Time]]*Table5[[#This Row],[Plant Equivalent Weightage]],"")</f>
        <v>1.2121212121212109E-2</v>
      </c>
      <c r="X195" s="289" t="s">
        <v>343</v>
      </c>
      <c r="Y195" s="290" t="s">
        <v>96</v>
      </c>
      <c r="Z195" s="79"/>
      <c r="AA195" s="283">
        <v>10</v>
      </c>
      <c r="AB195" s="79"/>
      <c r="AC195" s="23"/>
      <c r="AD195" s="23"/>
    </row>
    <row r="196" spans="1:30">
      <c r="A196" s="79">
        <f t="shared" ref="A196:A259" si="7">A195+1</f>
        <v>195</v>
      </c>
      <c r="B196" s="283">
        <f>YEAR(Table5[[#This Row],[Date]])+IF(MONTH(Table5[[#This Row],[Date]])&gt;=4,1,0)</f>
        <v>2026</v>
      </c>
      <c r="C196" s="79">
        <f>YEAR(Table5[[#This Row],[Date]])</f>
        <v>2025</v>
      </c>
      <c r="D196" s="79" t="s">
        <v>344</v>
      </c>
      <c r="E196" s="284">
        <f>Table5[[#This Row],[Date]]-DAY(Table5[[#This Row],[Date]])+1</f>
        <v>45809</v>
      </c>
      <c r="F196" s="285">
        <v>45821</v>
      </c>
      <c r="G196" s="79" t="s">
        <v>97</v>
      </c>
      <c r="H196" s="23" t="str">
        <f>IFERROR(_xlfn.XLOOKUP(Table5[[#This Row],[Affected WTG]],'Basic Data'!$A:$A,'Basic Data'!$B:$B),"")</f>
        <v>PWEPL</v>
      </c>
      <c r="I196" s="23" t="str">
        <f>IFERROR(_xlfn.XLOOKUP(Table5[[#This Row],[Affected WTG]],'Basic Data'!$A:$A,'Basic Data'!$C:$C),"")</f>
        <v>MSEDCL</v>
      </c>
      <c r="J196" s="286">
        <f>IFERROR(_xlfn.XLOOKUP(Table5[[#This Row],[Affected WTG]],'Basic Data'!$A:$A,'Basic Data'!$E:$E),"")</f>
        <v>2.2727272727272728E-2</v>
      </c>
      <c r="K196" s="79">
        <v>274</v>
      </c>
      <c r="L196" s="23" t="str">
        <f>IFERROR(_xlfn.XLOOKUP(Table5[[#This Row],[Error Code]],'Basic Data'!$W:$W,'Basic Data'!$X:$X),"Incorrect Error Code")</f>
        <v>Pitch thyristor 1 fault</v>
      </c>
      <c r="M196" s="23" t="s">
        <v>896</v>
      </c>
      <c r="N196" s="23"/>
      <c r="O196" s="287">
        <v>0.43611111111111112</v>
      </c>
      <c r="P196" s="287">
        <v>0.43611111111111112</v>
      </c>
      <c r="Q196" s="287">
        <v>0.5493055555555556</v>
      </c>
      <c r="R196" s="91">
        <f t="shared" si="6"/>
        <v>0.11319444444444449</v>
      </c>
      <c r="S196" s="91">
        <f>(Table5[[#This Row],[Fault Clearance time]]-Table5[[#This Row],[Work Start TimeStamp]])*24</f>
        <v>2.7166666666666677</v>
      </c>
      <c r="T196" s="91">
        <f>(Table5[[#This Row],[Fault Clearance time]]-Table5[[#This Row],[Fault Start TimeStamp]])*24</f>
        <v>2.7166666666666677</v>
      </c>
      <c r="U196" s="23" t="s">
        <v>897</v>
      </c>
      <c r="V196" s="79" t="s">
        <v>339</v>
      </c>
      <c r="W196" s="289">
        <f>IFERROR(Table5[[#This Row],[Breakdown Time]]*Table5[[#This Row],[Plant Equivalent Weightage]],"")</f>
        <v>6.1742424242424265E-2</v>
      </c>
      <c r="X196" s="289" t="s">
        <v>343</v>
      </c>
      <c r="Y196" s="290" t="s">
        <v>96</v>
      </c>
      <c r="Z196" s="79"/>
      <c r="AA196" s="283">
        <v>126</v>
      </c>
      <c r="AB196" s="79"/>
      <c r="AC196" s="23"/>
      <c r="AD196" s="23"/>
    </row>
    <row r="197" spans="1:30">
      <c r="A197" s="79">
        <f t="shared" si="7"/>
        <v>196</v>
      </c>
      <c r="B197" s="283">
        <f>YEAR(Table5[[#This Row],[Date]])+IF(MONTH(Table5[[#This Row],[Date]])&gt;=4,1,0)</f>
        <v>2026</v>
      </c>
      <c r="C197" s="79">
        <f>YEAR(Table5[[#This Row],[Date]])</f>
        <v>2025</v>
      </c>
      <c r="D197" s="79" t="s">
        <v>344</v>
      </c>
      <c r="E197" s="284">
        <f>Table5[[#This Row],[Date]]-DAY(Table5[[#This Row],[Date]])+1</f>
        <v>45809</v>
      </c>
      <c r="F197" s="285">
        <v>45821</v>
      </c>
      <c r="G197" s="79" t="s">
        <v>90</v>
      </c>
      <c r="H197" s="23" t="str">
        <f>IFERROR(_xlfn.XLOOKUP(Table5[[#This Row],[Affected WTG]],'Basic Data'!$A:$A,'Basic Data'!$B:$B),"")</f>
        <v>PWEPL</v>
      </c>
      <c r="I197" s="23" t="str">
        <f>IFERROR(_xlfn.XLOOKUP(Table5[[#This Row],[Affected WTG]],'Basic Data'!$A:$A,'Basic Data'!$C:$C),"")</f>
        <v>MSEDCL</v>
      </c>
      <c r="J197" s="286">
        <f>IFERROR(_xlfn.XLOOKUP(Table5[[#This Row],[Affected WTG]],'Basic Data'!$A:$A,'Basic Data'!$E:$E),"")</f>
        <v>2.2727272727272728E-2</v>
      </c>
      <c r="K197" s="79">
        <v>3</v>
      </c>
      <c r="L197" s="23" t="str">
        <f>IFERROR(_xlfn.XLOOKUP(Table5[[#This Row],[Error Code]],'Basic Data'!$W:$W,'Basic Data'!$X:$X),"Incorrect Error Code")</f>
        <v>Manual Stop</v>
      </c>
      <c r="M197" s="23" t="s">
        <v>874</v>
      </c>
      <c r="N197" s="23"/>
      <c r="O197" s="287">
        <v>0.45347222222222222</v>
      </c>
      <c r="P197" s="287">
        <v>0.45347222222222222</v>
      </c>
      <c r="Q197" s="287">
        <v>0.75347222222222221</v>
      </c>
      <c r="R197" s="91">
        <f t="shared" si="6"/>
        <v>0.3</v>
      </c>
      <c r="S197" s="91">
        <f>(Table5[[#This Row],[Fault Clearance time]]-Table5[[#This Row],[Work Start TimeStamp]])*24</f>
        <v>7.1999999999999993</v>
      </c>
      <c r="T197" s="91">
        <f>(Table5[[#This Row],[Fault Clearance time]]-Table5[[#This Row],[Fault Start TimeStamp]])*24</f>
        <v>7.1999999999999993</v>
      </c>
      <c r="U197" s="23" t="s">
        <v>898</v>
      </c>
      <c r="V197" s="79" t="s">
        <v>339</v>
      </c>
      <c r="W197" s="289">
        <f>IFERROR(Table5[[#This Row],[Breakdown Time]]*Table5[[#This Row],[Plant Equivalent Weightage]],"")</f>
        <v>0.16363636363636364</v>
      </c>
      <c r="X197" s="289" t="s">
        <v>394</v>
      </c>
      <c r="Y197" s="290" t="s">
        <v>89</v>
      </c>
      <c r="Z197" s="79"/>
      <c r="AA197" s="283">
        <v>209</v>
      </c>
      <c r="AB197" s="79"/>
      <c r="AC197" s="23"/>
      <c r="AD197" s="23"/>
    </row>
    <row r="198" spans="1:30">
      <c r="A198" s="79">
        <f t="shared" si="7"/>
        <v>197</v>
      </c>
      <c r="B198" s="283">
        <f>YEAR(Table5[[#This Row],[Date]])+IF(MONTH(Table5[[#This Row],[Date]])&gt;=4,1,0)</f>
        <v>2026</v>
      </c>
      <c r="C198" s="79">
        <f>YEAR(Table5[[#This Row],[Date]])</f>
        <v>2025</v>
      </c>
      <c r="D198" s="79" t="s">
        <v>344</v>
      </c>
      <c r="E198" s="284">
        <f>Table5[[#This Row],[Date]]-DAY(Table5[[#This Row],[Date]])+1</f>
        <v>45809</v>
      </c>
      <c r="F198" s="285">
        <v>45821</v>
      </c>
      <c r="G198" s="79" t="s">
        <v>104</v>
      </c>
      <c r="H198" s="23" t="str">
        <f>IFERROR(_xlfn.XLOOKUP(Table5[[#This Row],[Affected WTG]],'Basic Data'!$A:$A,'Basic Data'!$B:$B),"")</f>
        <v>PWEPL</v>
      </c>
      <c r="I198" s="23" t="str">
        <f>IFERROR(_xlfn.XLOOKUP(Table5[[#This Row],[Affected WTG]],'Basic Data'!$A:$A,'Basic Data'!$C:$C),"")</f>
        <v>MSEDCL</v>
      </c>
      <c r="J198" s="286">
        <f>IFERROR(_xlfn.XLOOKUP(Table5[[#This Row],[Affected WTG]],'Basic Data'!$A:$A,'Basic Data'!$E:$E),"")</f>
        <v>2.2727272727272728E-2</v>
      </c>
      <c r="K198" s="79">
        <v>201</v>
      </c>
      <c r="L198" s="23" t="str">
        <f>IFERROR(_xlfn.XLOOKUP(Table5[[#This Row],[Error Code]],'Basic Data'!$W:$W,'Basic Data'!$X:$X),"Incorrect Error Code")</f>
        <v xml:space="preserve"> PLC fault 24V Supply</v>
      </c>
      <c r="M198" s="23" t="s">
        <v>899</v>
      </c>
      <c r="N198" s="23"/>
      <c r="O198" s="287">
        <v>0.54166666666666663</v>
      </c>
      <c r="P198" s="287">
        <v>0.54166666666666663</v>
      </c>
      <c r="Q198" s="287">
        <v>0.57708333333333328</v>
      </c>
      <c r="R198" s="91">
        <f t="shared" si="6"/>
        <v>3.5416666666666652E-2</v>
      </c>
      <c r="S198" s="91">
        <f>(Table5[[#This Row],[Fault Clearance time]]-Table5[[#This Row],[Work Start TimeStamp]])*24</f>
        <v>0.84999999999999964</v>
      </c>
      <c r="T198" s="91">
        <f>(Table5[[#This Row],[Fault Clearance time]]-Table5[[#This Row],[Fault Start TimeStamp]])*24</f>
        <v>0.84999999999999964</v>
      </c>
      <c r="U198" s="23" t="s">
        <v>900</v>
      </c>
      <c r="V198" s="79" t="s">
        <v>339</v>
      </c>
      <c r="W198" s="289">
        <f>IFERROR(Table5[[#This Row],[Breakdown Time]]*Table5[[#This Row],[Plant Equivalent Weightage]],"")</f>
        <v>1.9318181818181811E-2</v>
      </c>
      <c r="X198" s="289" t="s">
        <v>343</v>
      </c>
      <c r="Y198" s="290" t="s">
        <v>79</v>
      </c>
      <c r="Z198" s="79"/>
      <c r="AA198" s="283">
        <v>0</v>
      </c>
      <c r="AB198" s="79"/>
      <c r="AC198" s="23"/>
      <c r="AD198" s="23"/>
    </row>
    <row r="199" spans="1:30">
      <c r="A199" s="79">
        <f t="shared" si="7"/>
        <v>198</v>
      </c>
      <c r="B199" s="283">
        <f>YEAR(Table5[[#This Row],[Date]])+IF(MONTH(Table5[[#This Row],[Date]])&gt;=4,1,0)</f>
        <v>2026</v>
      </c>
      <c r="C199" s="79">
        <f>YEAR(Table5[[#This Row],[Date]])</f>
        <v>2025</v>
      </c>
      <c r="D199" s="79" t="s">
        <v>344</v>
      </c>
      <c r="E199" s="284">
        <f>Table5[[#This Row],[Date]]-DAY(Table5[[#This Row],[Date]])+1</f>
        <v>45809</v>
      </c>
      <c r="F199" s="285">
        <v>45822</v>
      </c>
      <c r="G199" s="79" t="s">
        <v>90</v>
      </c>
      <c r="H199" s="23" t="str">
        <f>IFERROR(_xlfn.XLOOKUP(Table5[[#This Row],[Affected WTG]],'Basic Data'!$A:$A,'Basic Data'!$B:$B),"")</f>
        <v>PWEPL</v>
      </c>
      <c r="I199" s="23" t="str">
        <f>IFERROR(_xlfn.XLOOKUP(Table5[[#This Row],[Affected WTG]],'Basic Data'!$A:$A,'Basic Data'!$C:$C),"")</f>
        <v>MSEDCL</v>
      </c>
      <c r="J199" s="286">
        <f>IFERROR(_xlfn.XLOOKUP(Table5[[#This Row],[Affected WTG]],'Basic Data'!$A:$A,'Basic Data'!$E:$E),"")</f>
        <v>2.2727272727272728E-2</v>
      </c>
      <c r="K199" s="79">
        <v>3</v>
      </c>
      <c r="L199" s="23" t="str">
        <f>IFERROR(_xlfn.XLOOKUP(Table5[[#This Row],[Error Code]],'Basic Data'!$W:$W,'Basic Data'!$X:$X),"Incorrect Error Code")</f>
        <v>Manual Stop</v>
      </c>
      <c r="M199" s="23" t="s">
        <v>874</v>
      </c>
      <c r="N199" s="23"/>
      <c r="O199" s="287">
        <v>0.42569444444444443</v>
      </c>
      <c r="P199" s="287">
        <v>0.42569444444444443</v>
      </c>
      <c r="Q199" s="287">
        <v>0.71111111111111114</v>
      </c>
      <c r="R199" s="91">
        <f t="shared" si="6"/>
        <v>0.28541666666666671</v>
      </c>
      <c r="S199" s="91">
        <f>(Table5[[#This Row],[Fault Clearance time]]-Table5[[#This Row],[Work Start TimeStamp]])*24</f>
        <v>6.8500000000000014</v>
      </c>
      <c r="T199" s="91">
        <f>(Table5[[#This Row],[Fault Clearance time]]-Table5[[#This Row],[Fault Start TimeStamp]])*24</f>
        <v>6.8500000000000014</v>
      </c>
      <c r="U199" s="23" t="s">
        <v>901</v>
      </c>
      <c r="V199" s="79" t="s">
        <v>339</v>
      </c>
      <c r="W199" s="289">
        <f>IFERROR(Table5[[#This Row],[Breakdown Time]]*Table5[[#This Row],[Plant Equivalent Weightage]],"")</f>
        <v>0.15568181818181823</v>
      </c>
      <c r="X199" s="289" t="s">
        <v>394</v>
      </c>
      <c r="Y199" s="290" t="s">
        <v>89</v>
      </c>
      <c r="Z199" s="79"/>
      <c r="AA199" s="283">
        <v>413</v>
      </c>
      <c r="AB199" s="79"/>
      <c r="AC199" s="23"/>
      <c r="AD199" s="23"/>
    </row>
    <row r="200" spans="1:30">
      <c r="A200" s="79">
        <f t="shared" si="7"/>
        <v>199</v>
      </c>
      <c r="B200" s="283">
        <f>YEAR(Table5[[#This Row],[Date]])+IF(MONTH(Table5[[#This Row],[Date]])&gt;=4,1,0)</f>
        <v>2026</v>
      </c>
      <c r="C200" s="79">
        <f>YEAR(Table5[[#This Row],[Date]])</f>
        <v>2025</v>
      </c>
      <c r="D200" s="79" t="s">
        <v>344</v>
      </c>
      <c r="E200" s="284">
        <f>Table5[[#This Row],[Date]]-DAY(Table5[[#This Row],[Date]])+1</f>
        <v>45809</v>
      </c>
      <c r="F200" s="285">
        <v>45823</v>
      </c>
      <c r="G200" s="79" t="s">
        <v>88</v>
      </c>
      <c r="H200" s="23" t="str">
        <f>IFERROR(_xlfn.XLOOKUP(Table5[[#This Row],[Affected WTG]],'Basic Data'!$A:$A,'Basic Data'!$B:$B),"")</f>
        <v>PWEPL</v>
      </c>
      <c r="I200" s="23" t="str">
        <f>IFERROR(_xlfn.XLOOKUP(Table5[[#This Row],[Affected WTG]],'Basic Data'!$A:$A,'Basic Data'!$C:$C),"")</f>
        <v>MSEDCL</v>
      </c>
      <c r="J200" s="286">
        <f>IFERROR(_xlfn.XLOOKUP(Table5[[#This Row],[Affected WTG]],'Basic Data'!$A:$A,'Basic Data'!$E:$E),"")</f>
        <v>2.2727272727272728E-2</v>
      </c>
      <c r="K200" s="79">
        <v>275</v>
      </c>
      <c r="L200" s="23" t="str">
        <f>IFERROR(_xlfn.XLOOKUP(Table5[[#This Row],[Error Code]],'Basic Data'!$W:$W,'Basic Data'!$X:$X),"Incorrect Error Code")</f>
        <v>Pitch thyristor 2 fault</v>
      </c>
      <c r="M200" s="23" t="s">
        <v>162</v>
      </c>
      <c r="N200" s="23"/>
      <c r="O200" s="287">
        <v>0.60763888888888895</v>
      </c>
      <c r="P200" s="287">
        <v>0.60763888888888895</v>
      </c>
      <c r="Q200" s="287">
        <v>0.6333333333333333</v>
      </c>
      <c r="R200" s="91">
        <f t="shared" si="6"/>
        <v>2.5694444444444353E-2</v>
      </c>
      <c r="S200" s="91">
        <f>(Table5[[#This Row],[Fault Clearance time]]-Table5[[#This Row],[Work Start TimeStamp]])*24</f>
        <v>0.61666666666666448</v>
      </c>
      <c r="T200" s="91">
        <f>(Table5[[#This Row],[Fault Clearance time]]-Table5[[#This Row],[Fault Start TimeStamp]])*24</f>
        <v>0.61666666666666448</v>
      </c>
      <c r="U200" s="23" t="s">
        <v>353</v>
      </c>
      <c r="V200" s="79" t="s">
        <v>339</v>
      </c>
      <c r="W200" s="289">
        <f>IFERROR(Table5[[#This Row],[Breakdown Time]]*Table5[[#This Row],[Plant Equivalent Weightage]],"")</f>
        <v>1.4015151515151465E-2</v>
      </c>
      <c r="X200" s="289" t="s">
        <v>343</v>
      </c>
      <c r="Y200" s="290" t="s">
        <v>87</v>
      </c>
      <c r="Z200" s="79"/>
      <c r="AA200" s="283">
        <v>120</v>
      </c>
      <c r="AB200" s="79"/>
      <c r="AC200" s="23"/>
      <c r="AD200" s="23"/>
    </row>
    <row r="201" spans="1:30">
      <c r="A201" s="79">
        <f t="shared" si="7"/>
        <v>200</v>
      </c>
      <c r="B201" s="283">
        <f>YEAR(Table5[[#This Row],[Date]])+IF(MONTH(Table5[[#This Row],[Date]])&gt;=4,1,0)</f>
        <v>2026</v>
      </c>
      <c r="C201" s="79">
        <f>YEAR(Table5[[#This Row],[Date]])</f>
        <v>2025</v>
      </c>
      <c r="D201" s="79" t="s">
        <v>344</v>
      </c>
      <c r="E201" s="284">
        <f>Table5[[#This Row],[Date]]-DAY(Table5[[#This Row],[Date]])+1</f>
        <v>45809</v>
      </c>
      <c r="F201" s="285">
        <v>45823</v>
      </c>
      <c r="G201" s="79" t="s">
        <v>88</v>
      </c>
      <c r="H201" s="23" t="str">
        <f>IFERROR(_xlfn.XLOOKUP(Table5[[#This Row],[Affected WTG]],'Basic Data'!$A:$A,'Basic Data'!$B:$B),"")</f>
        <v>PWEPL</v>
      </c>
      <c r="I201" s="23" t="str">
        <f>IFERROR(_xlfn.XLOOKUP(Table5[[#This Row],[Affected WTG]],'Basic Data'!$A:$A,'Basic Data'!$C:$C),"")</f>
        <v>MSEDCL</v>
      </c>
      <c r="J201" s="286">
        <f>IFERROR(_xlfn.XLOOKUP(Table5[[#This Row],[Affected WTG]],'Basic Data'!$A:$A,'Basic Data'!$E:$E),"")</f>
        <v>2.2727272727272728E-2</v>
      </c>
      <c r="K201" s="79">
        <v>275</v>
      </c>
      <c r="L201" s="23" t="str">
        <f>IFERROR(_xlfn.XLOOKUP(Table5[[#This Row],[Error Code]],'Basic Data'!$W:$W,'Basic Data'!$X:$X),"Incorrect Error Code")</f>
        <v>Pitch thyristor 2 fault</v>
      </c>
      <c r="M201" s="23" t="s">
        <v>896</v>
      </c>
      <c r="N201" s="23"/>
      <c r="O201" s="287">
        <v>0.73125000000000007</v>
      </c>
      <c r="P201" s="287">
        <v>0.73125000000000007</v>
      </c>
      <c r="Q201" s="287">
        <v>0.92499999999999993</v>
      </c>
      <c r="R201" s="91">
        <f t="shared" si="6"/>
        <v>0.19374999999999987</v>
      </c>
      <c r="S201" s="91">
        <f>(Table5[[#This Row],[Fault Clearance time]]-Table5[[#This Row],[Work Start TimeStamp]])*24</f>
        <v>4.6499999999999968</v>
      </c>
      <c r="T201" s="91">
        <f>(Table5[[#This Row],[Fault Clearance time]]-Table5[[#This Row],[Fault Start TimeStamp]])*24</f>
        <v>4.6499999999999968</v>
      </c>
      <c r="U201" s="23" t="s">
        <v>897</v>
      </c>
      <c r="V201" s="79" t="s">
        <v>339</v>
      </c>
      <c r="W201" s="289">
        <f>IFERROR(Table5[[#This Row],[Breakdown Time]]*Table5[[#This Row],[Plant Equivalent Weightage]],"")</f>
        <v>0.10568181818181811</v>
      </c>
      <c r="X201" s="289" t="s">
        <v>343</v>
      </c>
      <c r="Y201" s="290" t="s">
        <v>87</v>
      </c>
      <c r="Z201" s="79"/>
      <c r="AA201" s="283">
        <v>2462</v>
      </c>
      <c r="AB201" s="79"/>
      <c r="AC201" s="23"/>
      <c r="AD201" s="23"/>
    </row>
    <row r="202" spans="1:30">
      <c r="A202" s="79">
        <f t="shared" si="7"/>
        <v>201</v>
      </c>
      <c r="B202" s="283">
        <f>YEAR(Table5[[#This Row],[Date]])+IF(MONTH(Table5[[#This Row],[Date]])&gt;=4,1,0)</f>
        <v>2026</v>
      </c>
      <c r="C202" s="79">
        <f>YEAR(Table5[[#This Row],[Date]])</f>
        <v>2025</v>
      </c>
      <c r="D202" s="79" t="s">
        <v>344</v>
      </c>
      <c r="E202" s="284">
        <f>Table5[[#This Row],[Date]]-DAY(Table5[[#This Row],[Date]])+1</f>
        <v>45809</v>
      </c>
      <c r="F202" s="285">
        <v>45824</v>
      </c>
      <c r="G202" s="79" t="s">
        <v>88</v>
      </c>
      <c r="H202" s="23" t="str">
        <f>IFERROR(_xlfn.XLOOKUP(Table5[[#This Row],[Affected WTG]],'Basic Data'!$A:$A,'Basic Data'!$B:$B),"")</f>
        <v>PWEPL</v>
      </c>
      <c r="I202" s="23" t="str">
        <f>IFERROR(_xlfn.XLOOKUP(Table5[[#This Row],[Affected WTG]],'Basic Data'!$A:$A,'Basic Data'!$C:$C),"")</f>
        <v>MSEDCL</v>
      </c>
      <c r="J202" s="286">
        <f>IFERROR(_xlfn.XLOOKUP(Table5[[#This Row],[Affected WTG]],'Basic Data'!$A:$A,'Basic Data'!$E:$E),"")</f>
        <v>2.2727272727272728E-2</v>
      </c>
      <c r="K202" s="79">
        <v>275</v>
      </c>
      <c r="L202" s="23" t="str">
        <f>IFERROR(_xlfn.XLOOKUP(Table5[[#This Row],[Error Code]],'Basic Data'!$W:$W,'Basic Data'!$X:$X),"Incorrect Error Code")</f>
        <v>Pitch thyristor 2 fault</v>
      </c>
      <c r="M202" s="23" t="s">
        <v>902</v>
      </c>
      <c r="N202" s="23"/>
      <c r="O202" s="287">
        <v>0.11388888888888889</v>
      </c>
      <c r="P202" s="287">
        <v>0.11388888888888889</v>
      </c>
      <c r="Q202" s="287">
        <v>0.75763888888888886</v>
      </c>
      <c r="R202" s="91">
        <f t="shared" si="6"/>
        <v>0.64374999999999993</v>
      </c>
      <c r="S202" s="91">
        <f>(Table5[[#This Row],[Fault Clearance time]]-Table5[[#This Row],[Work Start TimeStamp]])*24</f>
        <v>15.45</v>
      </c>
      <c r="T202" s="91">
        <f>(Table5[[#This Row],[Fault Clearance time]]-Table5[[#This Row],[Fault Start TimeStamp]])*24</f>
        <v>15.45</v>
      </c>
      <c r="U202" s="23" t="s">
        <v>903</v>
      </c>
      <c r="V202" s="79" t="s">
        <v>339</v>
      </c>
      <c r="W202" s="289">
        <f>IFERROR(Table5[[#This Row],[Breakdown Time]]*Table5[[#This Row],[Plant Equivalent Weightage]],"")</f>
        <v>0.35113636363636364</v>
      </c>
      <c r="X202" s="289" t="s">
        <v>343</v>
      </c>
      <c r="Y202" s="290" t="s">
        <v>87</v>
      </c>
      <c r="Z202" s="79"/>
      <c r="AA202" s="283">
        <v>22312</v>
      </c>
      <c r="AB202" s="79"/>
      <c r="AC202" s="23"/>
      <c r="AD202" s="23"/>
    </row>
    <row r="203" spans="1:30">
      <c r="A203" s="79">
        <f t="shared" si="7"/>
        <v>202</v>
      </c>
      <c r="B203" s="283">
        <f>YEAR(Table5[[#This Row],[Date]])+IF(MONTH(Table5[[#This Row],[Date]])&gt;=4,1,0)</f>
        <v>2026</v>
      </c>
      <c r="C203" s="79">
        <f>YEAR(Table5[[#This Row],[Date]])</f>
        <v>2025</v>
      </c>
      <c r="D203" s="79" t="s">
        <v>344</v>
      </c>
      <c r="E203" s="284">
        <f>Table5[[#This Row],[Date]]-DAY(Table5[[#This Row],[Date]])+1</f>
        <v>45809</v>
      </c>
      <c r="F203" s="285">
        <v>45824</v>
      </c>
      <c r="G203" s="79" t="s">
        <v>95</v>
      </c>
      <c r="H203" s="23" t="str">
        <f>IFERROR(_xlfn.XLOOKUP(Table5[[#This Row],[Affected WTG]],'Basic Data'!$A:$A,'Basic Data'!$B:$B),"")</f>
        <v>PWEPL</v>
      </c>
      <c r="I203" s="23" t="str">
        <f>IFERROR(_xlfn.XLOOKUP(Table5[[#This Row],[Affected WTG]],'Basic Data'!$A:$A,'Basic Data'!$C:$C),"")</f>
        <v>MSEDCL</v>
      </c>
      <c r="J203" s="286">
        <f>IFERROR(_xlfn.XLOOKUP(Table5[[#This Row],[Affected WTG]],'Basic Data'!$A:$A,'Basic Data'!$E:$E),"")</f>
        <v>2.2727272727272728E-2</v>
      </c>
      <c r="K203" s="79">
        <v>101</v>
      </c>
      <c r="L203" s="23" t="str">
        <f>IFERROR(_xlfn.XLOOKUP(Table5[[#This Row],[Error Code]],'Basic Data'!$W:$W,'Basic Data'!$X:$X),"Incorrect Error Code")</f>
        <v>TopBox DIN21 motor protection aux contact string</v>
      </c>
      <c r="M203" s="23" t="s">
        <v>904</v>
      </c>
      <c r="N203" s="23"/>
      <c r="O203" s="287">
        <v>0.18263888888888891</v>
      </c>
      <c r="P203" s="287">
        <v>0.18263888888888891</v>
      </c>
      <c r="Q203" s="287">
        <v>0.20138888888888887</v>
      </c>
      <c r="R203" s="91">
        <f t="shared" si="6"/>
        <v>1.8749999999999961E-2</v>
      </c>
      <c r="S203" s="91">
        <f>(Table5[[#This Row],[Fault Clearance time]]-Table5[[#This Row],[Work Start TimeStamp]])*24</f>
        <v>0.44999999999999907</v>
      </c>
      <c r="T203" s="91">
        <f>(Table5[[#This Row],[Fault Clearance time]]-Table5[[#This Row],[Fault Start TimeStamp]])*24</f>
        <v>0.44999999999999907</v>
      </c>
      <c r="U203" s="23" t="s">
        <v>905</v>
      </c>
      <c r="V203" s="79" t="s">
        <v>339</v>
      </c>
      <c r="W203" s="289">
        <f>IFERROR(Table5[[#This Row],[Breakdown Time]]*Table5[[#This Row],[Plant Equivalent Weightage]],"")</f>
        <v>1.0227272727272706E-2</v>
      </c>
      <c r="X203" s="289" t="s">
        <v>343</v>
      </c>
      <c r="Y203" s="290" t="s">
        <v>106</v>
      </c>
      <c r="Z203" s="79"/>
      <c r="AA203" s="283">
        <v>1024</v>
      </c>
      <c r="AB203" s="79"/>
      <c r="AC203" s="23"/>
      <c r="AD203" s="23"/>
    </row>
    <row r="204" spans="1:30">
      <c r="A204" s="79">
        <f t="shared" si="7"/>
        <v>203</v>
      </c>
      <c r="B204" s="283">
        <f>YEAR(Table5[[#This Row],[Date]])+IF(MONTH(Table5[[#This Row],[Date]])&gt;=4,1,0)</f>
        <v>2026</v>
      </c>
      <c r="C204" s="79">
        <f>YEAR(Table5[[#This Row],[Date]])</f>
        <v>2025</v>
      </c>
      <c r="D204" s="79" t="s">
        <v>344</v>
      </c>
      <c r="E204" s="284">
        <f>Table5[[#This Row],[Date]]-DAY(Table5[[#This Row],[Date]])+1</f>
        <v>45809</v>
      </c>
      <c r="F204" s="285">
        <v>45824</v>
      </c>
      <c r="G204" s="79" t="s">
        <v>104</v>
      </c>
      <c r="H204" s="23" t="str">
        <f>IFERROR(_xlfn.XLOOKUP(Table5[[#This Row],[Affected WTG]],'Basic Data'!$A:$A,'Basic Data'!$B:$B),"")</f>
        <v>PWEPL</v>
      </c>
      <c r="I204" s="23" t="str">
        <f>IFERROR(_xlfn.XLOOKUP(Table5[[#This Row],[Affected WTG]],'Basic Data'!$A:$A,'Basic Data'!$C:$C),"")</f>
        <v>MSEDCL</v>
      </c>
      <c r="J204" s="286">
        <f>IFERROR(_xlfn.XLOOKUP(Table5[[#This Row],[Affected WTG]],'Basic Data'!$A:$A,'Basic Data'!$E:$E),"")</f>
        <v>2.2727272727272728E-2</v>
      </c>
      <c r="K204" s="79">
        <v>201</v>
      </c>
      <c r="L204" s="23" t="str">
        <f>IFERROR(_xlfn.XLOOKUP(Table5[[#This Row],[Error Code]],'Basic Data'!$W:$W,'Basic Data'!$X:$X),"Incorrect Error Code")</f>
        <v xml:space="preserve"> PLC fault 24V Supply</v>
      </c>
      <c r="M204" s="23" t="s">
        <v>906</v>
      </c>
      <c r="N204" s="23"/>
      <c r="O204" s="287">
        <v>0.78749999999999998</v>
      </c>
      <c r="P204" s="287">
        <v>0.78749999999999998</v>
      </c>
      <c r="Q204" s="287">
        <v>0.86805555555555547</v>
      </c>
      <c r="R204" s="91">
        <f t="shared" si="6"/>
        <v>8.0555555555555491E-2</v>
      </c>
      <c r="S204" s="91">
        <f>(Table5[[#This Row],[Fault Clearance time]]-Table5[[#This Row],[Work Start TimeStamp]])*24</f>
        <v>1.9333333333333318</v>
      </c>
      <c r="T204" s="91">
        <f>(Table5[[#This Row],[Fault Clearance time]]-Table5[[#This Row],[Fault Start TimeStamp]])*24</f>
        <v>1.9333333333333318</v>
      </c>
      <c r="U204" s="23" t="s">
        <v>907</v>
      </c>
      <c r="V204" s="79" t="s">
        <v>339</v>
      </c>
      <c r="W204" s="289">
        <f>IFERROR(Table5[[#This Row],[Breakdown Time]]*Table5[[#This Row],[Plant Equivalent Weightage]],"")</f>
        <v>4.3939393939393903E-2</v>
      </c>
      <c r="X204" s="289" t="s">
        <v>343</v>
      </c>
      <c r="Y204" s="290" t="s">
        <v>79</v>
      </c>
      <c r="Z204" s="79"/>
      <c r="AA204" s="283">
        <v>3430</v>
      </c>
      <c r="AB204" s="79"/>
      <c r="AC204" s="23"/>
      <c r="AD204" s="23"/>
    </row>
    <row r="205" spans="1:30">
      <c r="A205" s="79">
        <f t="shared" si="7"/>
        <v>204</v>
      </c>
      <c r="B205" s="283">
        <f>YEAR(Table5[[#This Row],[Date]])+IF(MONTH(Table5[[#This Row],[Date]])&gt;=4,1,0)</f>
        <v>2026</v>
      </c>
      <c r="C205" s="79">
        <f>YEAR(Table5[[#This Row],[Date]])</f>
        <v>2025</v>
      </c>
      <c r="D205" s="79" t="s">
        <v>344</v>
      </c>
      <c r="E205" s="284">
        <f>Table5[[#This Row],[Date]]-DAY(Table5[[#This Row],[Date]])+1</f>
        <v>45809</v>
      </c>
      <c r="F205" s="285">
        <v>45824</v>
      </c>
      <c r="G205" s="79" t="s">
        <v>104</v>
      </c>
      <c r="H205" s="23" t="str">
        <f>IFERROR(_xlfn.XLOOKUP(Table5[[#This Row],[Affected WTG]],'Basic Data'!$A:$A,'Basic Data'!$B:$B),"")</f>
        <v>PWEPL</v>
      </c>
      <c r="I205" s="23" t="str">
        <f>IFERROR(_xlfn.XLOOKUP(Table5[[#This Row],[Affected WTG]],'Basic Data'!$A:$A,'Basic Data'!$C:$C),"")</f>
        <v>MSEDCL</v>
      </c>
      <c r="J205" s="286">
        <f>IFERROR(_xlfn.XLOOKUP(Table5[[#This Row],[Affected WTG]],'Basic Data'!$A:$A,'Basic Data'!$E:$E),"")</f>
        <v>2.2727272727272728E-2</v>
      </c>
      <c r="K205" s="79">
        <v>201</v>
      </c>
      <c r="L205" s="23" t="str">
        <f>IFERROR(_xlfn.XLOOKUP(Table5[[#This Row],[Error Code]],'Basic Data'!$W:$W,'Basic Data'!$X:$X),"Incorrect Error Code")</f>
        <v xml:space="preserve"> PLC fault 24V Supply</v>
      </c>
      <c r="M205" s="23" t="s">
        <v>366</v>
      </c>
      <c r="N205" s="23"/>
      <c r="O205" s="287">
        <v>0.89930555555555547</v>
      </c>
      <c r="P205" s="287">
        <v>0.89930555555555547</v>
      </c>
      <c r="Q205" s="287">
        <v>0.99930555555555556</v>
      </c>
      <c r="R205" s="91">
        <f t="shared" si="6"/>
        <v>0.10000000000000009</v>
      </c>
      <c r="S205" s="91">
        <f>(Table5[[#This Row],[Fault Clearance time]]-Table5[[#This Row],[Work Start TimeStamp]])*24</f>
        <v>2.4000000000000021</v>
      </c>
      <c r="T205" s="91">
        <f>(Table5[[#This Row],[Fault Clearance time]]-Table5[[#This Row],[Fault Start TimeStamp]])*24</f>
        <v>2.4000000000000021</v>
      </c>
      <c r="U205" s="23" t="s">
        <v>456</v>
      </c>
      <c r="V205" s="79" t="s">
        <v>339</v>
      </c>
      <c r="W205" s="289">
        <f>IFERROR(Table5[[#This Row],[Breakdown Time]]*Table5[[#This Row],[Plant Equivalent Weightage]],"")</f>
        <v>5.4545454545454598E-2</v>
      </c>
      <c r="X205" s="289" t="s">
        <v>343</v>
      </c>
      <c r="Y205" s="290" t="s">
        <v>79</v>
      </c>
      <c r="Z205" s="79"/>
      <c r="AA205" s="283">
        <v>4085</v>
      </c>
      <c r="AB205" s="79"/>
      <c r="AC205" s="23"/>
      <c r="AD205" s="23"/>
    </row>
    <row r="206" spans="1:30">
      <c r="A206" s="79">
        <f t="shared" si="7"/>
        <v>205</v>
      </c>
      <c r="B206" s="283">
        <f>YEAR(Table5[[#This Row],[Date]])+IF(MONTH(Table5[[#This Row],[Date]])&gt;=4,1,0)</f>
        <v>2026</v>
      </c>
      <c r="C206" s="79">
        <f>YEAR(Table5[[#This Row],[Date]])</f>
        <v>2025</v>
      </c>
      <c r="D206" s="79" t="s">
        <v>344</v>
      </c>
      <c r="E206" s="284">
        <f>Table5[[#This Row],[Date]]-DAY(Table5[[#This Row],[Date]])+1</f>
        <v>45809</v>
      </c>
      <c r="F206" s="285">
        <v>45825</v>
      </c>
      <c r="G206" s="79" t="s">
        <v>79</v>
      </c>
      <c r="H206" s="23" t="str">
        <f>IFERROR(_xlfn.XLOOKUP(Table5[[#This Row],[Affected WTG]],'Basic Data'!$A:$A,'Basic Data'!$B:$B),"")</f>
        <v>PWEPL</v>
      </c>
      <c r="I206" s="23" t="str">
        <f>IFERROR(_xlfn.XLOOKUP(Table5[[#This Row],[Affected WTG]],'Basic Data'!$A:$A,'Basic Data'!$C:$C),"")</f>
        <v>MSEDCL</v>
      </c>
      <c r="J206" s="286">
        <f>IFERROR(_xlfn.XLOOKUP(Table5[[#This Row],[Affected WTG]],'Basic Data'!$A:$A,'Basic Data'!$E:$E),"")</f>
        <v>2.2727272727272728E-2</v>
      </c>
      <c r="K206" s="79">
        <v>157</v>
      </c>
      <c r="L206" s="23" t="str">
        <f>IFERROR(_xlfn.XLOOKUP(Table5[[#This Row],[Error Code]],'Basic Data'!$W:$W,'Basic Data'!$X:$X),"Incorrect Error Code")</f>
        <v>Brake does not close</v>
      </c>
      <c r="M206" s="23" t="s">
        <v>908</v>
      </c>
      <c r="N206" s="23"/>
      <c r="O206" s="287">
        <v>0.2986111111111111</v>
      </c>
      <c r="P206" s="287">
        <v>0.2986111111111111</v>
      </c>
      <c r="Q206" s="287">
        <v>0.45694444444444443</v>
      </c>
      <c r="R206" s="91">
        <f t="shared" si="6"/>
        <v>0.15833333333333333</v>
      </c>
      <c r="S206" s="91">
        <f>(Table5[[#This Row],[Fault Clearance time]]-Table5[[#This Row],[Work Start TimeStamp]])*24</f>
        <v>3.8</v>
      </c>
      <c r="T206" s="91">
        <f>(Table5[[#This Row],[Fault Clearance time]]-Table5[[#This Row],[Fault Start TimeStamp]])*24</f>
        <v>3.8</v>
      </c>
      <c r="U206" s="23" t="s">
        <v>908</v>
      </c>
      <c r="V206" s="79" t="s">
        <v>339</v>
      </c>
      <c r="W206" s="289">
        <f>IFERROR(Table5[[#This Row],[Breakdown Time]]*Table5[[#This Row],[Plant Equivalent Weightage]],"")</f>
        <v>8.6363636363636365E-2</v>
      </c>
      <c r="X206" s="289" t="s">
        <v>343</v>
      </c>
      <c r="Y206" s="290" t="s">
        <v>96</v>
      </c>
      <c r="Z206" s="79"/>
      <c r="AA206" s="283">
        <v>6064</v>
      </c>
      <c r="AB206" s="79"/>
      <c r="AC206" s="23"/>
      <c r="AD206" s="23"/>
    </row>
    <row r="207" spans="1:30">
      <c r="A207" s="79">
        <f t="shared" si="7"/>
        <v>206</v>
      </c>
      <c r="B207" s="283">
        <f>YEAR(Table5[[#This Row],[Date]])+IF(MONTH(Table5[[#This Row],[Date]])&gt;=4,1,0)</f>
        <v>2026</v>
      </c>
      <c r="C207" s="79">
        <f>YEAR(Table5[[#This Row],[Date]])</f>
        <v>2025</v>
      </c>
      <c r="D207" s="79" t="s">
        <v>344</v>
      </c>
      <c r="E207" s="284">
        <f>Table5[[#This Row],[Date]]-DAY(Table5[[#This Row],[Date]])+1</f>
        <v>45809</v>
      </c>
      <c r="F207" s="285">
        <v>45825</v>
      </c>
      <c r="G207" s="79" t="s">
        <v>101</v>
      </c>
      <c r="H207" s="23" t="str">
        <f>IFERROR(_xlfn.XLOOKUP(Table5[[#This Row],[Affected WTG]],'Basic Data'!$A:$A,'Basic Data'!$B:$B),"")</f>
        <v>PWEPL</v>
      </c>
      <c r="I207" s="23" t="str">
        <f>IFERROR(_xlfn.XLOOKUP(Table5[[#This Row],[Affected WTG]],'Basic Data'!$A:$A,'Basic Data'!$C:$C),"")</f>
        <v>MSEDCL</v>
      </c>
      <c r="J207" s="286">
        <f>IFERROR(_xlfn.XLOOKUP(Table5[[#This Row],[Affected WTG]],'Basic Data'!$A:$A,'Basic Data'!$E:$E),"")</f>
        <v>2.2727272727272728E-2</v>
      </c>
      <c r="K207" s="79">
        <v>174</v>
      </c>
      <c r="L207" s="23" t="str">
        <f>IFERROR(_xlfn.XLOOKUP(Table5[[#This Row],[Error Code]],'Basic Data'!$W:$W,'Basic Data'!$X:$X),"Incorrect Error Code")</f>
        <v>Overtemperature transformer warning</v>
      </c>
      <c r="M207" s="23" t="s">
        <v>158</v>
      </c>
      <c r="N207" s="23"/>
      <c r="O207" s="287">
        <v>0.39999999999999997</v>
      </c>
      <c r="P207" s="287">
        <v>0.39999999999999997</v>
      </c>
      <c r="Q207" s="287">
        <v>0.42777777777777781</v>
      </c>
      <c r="R207" s="91">
        <f t="shared" si="6"/>
        <v>2.7777777777777846E-2</v>
      </c>
      <c r="S207" s="91">
        <f>(Table5[[#This Row],[Fault Clearance time]]-Table5[[#This Row],[Work Start TimeStamp]])*24</f>
        <v>0.66666666666666829</v>
      </c>
      <c r="T207" s="91">
        <f>(Table5[[#This Row],[Fault Clearance time]]-Table5[[#This Row],[Fault Start TimeStamp]])*24</f>
        <v>0.66666666666666829</v>
      </c>
      <c r="U207" s="23" t="s">
        <v>353</v>
      </c>
      <c r="V207" s="79" t="s">
        <v>339</v>
      </c>
      <c r="W207" s="289">
        <f>IFERROR(Table5[[#This Row],[Breakdown Time]]*Table5[[#This Row],[Plant Equivalent Weightage]],"")</f>
        <v>1.5151515151515188E-2</v>
      </c>
      <c r="X207" s="289" t="s">
        <v>343</v>
      </c>
      <c r="Y207" s="290" t="s">
        <v>100</v>
      </c>
      <c r="Z207" s="79"/>
      <c r="AA207" s="283">
        <v>1194</v>
      </c>
      <c r="AB207" s="79"/>
      <c r="AC207" s="23"/>
      <c r="AD207" s="23"/>
    </row>
    <row r="208" spans="1:30">
      <c r="A208" s="79">
        <f t="shared" si="7"/>
        <v>207</v>
      </c>
      <c r="B208" s="283">
        <f>YEAR(Table5[[#This Row],[Date]])+IF(MONTH(Table5[[#This Row],[Date]])&gt;=4,1,0)</f>
        <v>2026</v>
      </c>
      <c r="C208" s="79">
        <f>YEAR(Table5[[#This Row],[Date]])</f>
        <v>2025</v>
      </c>
      <c r="D208" s="79" t="s">
        <v>344</v>
      </c>
      <c r="E208" s="284">
        <f>Table5[[#This Row],[Date]]-DAY(Table5[[#This Row],[Date]])+1</f>
        <v>45809</v>
      </c>
      <c r="F208" s="285">
        <v>45826</v>
      </c>
      <c r="G208" s="79" t="s">
        <v>104</v>
      </c>
      <c r="H208" s="23" t="str">
        <f>IFERROR(_xlfn.XLOOKUP(Table5[[#This Row],[Affected WTG]],'Basic Data'!$A:$A,'Basic Data'!$B:$B),"")</f>
        <v>PWEPL</v>
      </c>
      <c r="I208" s="23" t="str">
        <f>IFERROR(_xlfn.XLOOKUP(Table5[[#This Row],[Affected WTG]],'Basic Data'!$A:$A,'Basic Data'!$C:$C),"")</f>
        <v>MSEDCL</v>
      </c>
      <c r="J208" s="286">
        <f>IFERROR(_xlfn.XLOOKUP(Table5[[#This Row],[Affected WTG]],'Basic Data'!$A:$A,'Basic Data'!$E:$E),"")</f>
        <v>2.2727272727272728E-2</v>
      </c>
      <c r="K208" s="79">
        <v>201</v>
      </c>
      <c r="L208" s="23" t="str">
        <f>IFERROR(_xlfn.XLOOKUP(Table5[[#This Row],[Error Code]],'Basic Data'!$W:$W,'Basic Data'!$X:$X),"Incorrect Error Code")</f>
        <v xml:space="preserve"> PLC fault 24V Supply</v>
      </c>
      <c r="M208" s="23" t="s">
        <v>366</v>
      </c>
      <c r="N208" s="23"/>
      <c r="O208" s="287">
        <v>0</v>
      </c>
      <c r="P208" s="287">
        <v>0</v>
      </c>
      <c r="Q208" s="287">
        <v>0.13680555555555554</v>
      </c>
      <c r="R208" s="91">
        <f t="shared" si="6"/>
        <v>0.13680555555555554</v>
      </c>
      <c r="S208" s="91">
        <f>(Table5[[#This Row],[Fault Clearance time]]-Table5[[#This Row],[Work Start TimeStamp]])*24</f>
        <v>3.2833333333333332</v>
      </c>
      <c r="T208" s="91">
        <f>(Table5[[#This Row],[Fault Clearance time]]-Table5[[#This Row],[Fault Start TimeStamp]])*24</f>
        <v>3.2833333333333332</v>
      </c>
      <c r="U208" s="23" t="s">
        <v>882</v>
      </c>
      <c r="V208" s="79" t="s">
        <v>339</v>
      </c>
      <c r="W208" s="289">
        <f>IFERROR(Table5[[#This Row],[Breakdown Time]]*Table5[[#This Row],[Plant Equivalent Weightage]],"")</f>
        <v>7.4621212121212116E-2</v>
      </c>
      <c r="X208" s="289" t="s">
        <v>343</v>
      </c>
      <c r="Y208" s="290" t="s">
        <v>79</v>
      </c>
      <c r="Z208" s="79"/>
      <c r="AA208" s="283">
        <v>5432</v>
      </c>
      <c r="AB208" s="79"/>
      <c r="AC208" s="23"/>
      <c r="AD208" s="23"/>
    </row>
    <row r="209" spans="1:30">
      <c r="A209" s="79">
        <f t="shared" si="7"/>
        <v>208</v>
      </c>
      <c r="B209" s="283">
        <f>YEAR(Table5[[#This Row],[Date]])+IF(MONTH(Table5[[#This Row],[Date]])&gt;=4,1,0)</f>
        <v>2026</v>
      </c>
      <c r="C209" s="79">
        <f>YEAR(Table5[[#This Row],[Date]])</f>
        <v>2025</v>
      </c>
      <c r="D209" s="79" t="s">
        <v>344</v>
      </c>
      <c r="E209" s="284">
        <f>Table5[[#This Row],[Date]]-DAY(Table5[[#This Row],[Date]])+1</f>
        <v>45809</v>
      </c>
      <c r="F209" s="285">
        <v>45826</v>
      </c>
      <c r="G209" s="79" t="s">
        <v>79</v>
      </c>
      <c r="H209" s="23" t="str">
        <f>IFERROR(_xlfn.XLOOKUP(Table5[[#This Row],[Affected WTG]],'Basic Data'!$A:$A,'Basic Data'!$B:$B),"")</f>
        <v>PWEPL</v>
      </c>
      <c r="I209" s="23" t="str">
        <f>IFERROR(_xlfn.XLOOKUP(Table5[[#This Row],[Affected WTG]],'Basic Data'!$A:$A,'Basic Data'!$C:$C),"")</f>
        <v>MSEDCL</v>
      </c>
      <c r="J209" s="286">
        <f>IFERROR(_xlfn.XLOOKUP(Table5[[#This Row],[Affected WTG]],'Basic Data'!$A:$A,'Basic Data'!$E:$E),"")</f>
        <v>2.2727272727272728E-2</v>
      </c>
      <c r="K209" s="79">
        <v>34</v>
      </c>
      <c r="L209" s="23" t="str">
        <f>IFERROR(_xlfn.XLOOKUP(Table5[[#This Row],[Error Code]],'Basic Data'!$W:$W,'Basic Data'!$X:$X),"Incorrect Error Code")</f>
        <v>Brake not released secondary brake</v>
      </c>
      <c r="M209" s="23" t="s">
        <v>912</v>
      </c>
      <c r="N209" s="23"/>
      <c r="O209" s="287">
        <v>0</v>
      </c>
      <c r="P209" s="287">
        <v>0</v>
      </c>
      <c r="Q209" s="287">
        <v>0.60486111111111118</v>
      </c>
      <c r="R209" s="91">
        <f t="shared" si="6"/>
        <v>0.60486111111111118</v>
      </c>
      <c r="S209" s="91">
        <f>(Table5[[#This Row],[Fault Clearance time]]-Table5[[#This Row],[Work Start TimeStamp]])*24</f>
        <v>14.516666666666669</v>
      </c>
      <c r="T209" s="91">
        <f>(Table5[[#This Row],[Fault Clearance time]]-Table5[[#This Row],[Fault Start TimeStamp]])*24</f>
        <v>14.516666666666669</v>
      </c>
      <c r="U209" s="23" t="s">
        <v>913</v>
      </c>
      <c r="V209" s="79" t="s">
        <v>339</v>
      </c>
      <c r="W209" s="289">
        <f>IFERROR(Table5[[#This Row],[Breakdown Time]]*Table5[[#This Row],[Plant Equivalent Weightage]],"")</f>
        <v>0.32992424242424251</v>
      </c>
      <c r="X209" s="289" t="s">
        <v>343</v>
      </c>
      <c r="Y209" s="290" t="s">
        <v>96</v>
      </c>
      <c r="Z209" s="79"/>
      <c r="AA209" s="283">
        <v>22835</v>
      </c>
      <c r="AB209" s="79"/>
      <c r="AC209" s="23"/>
      <c r="AD209" s="23"/>
    </row>
    <row r="210" spans="1:30">
      <c r="A210" s="79">
        <f t="shared" si="7"/>
        <v>209</v>
      </c>
      <c r="B210" s="283">
        <f>YEAR(Table5[[#This Row],[Date]])+IF(MONTH(Table5[[#This Row],[Date]])&gt;=4,1,0)</f>
        <v>2026</v>
      </c>
      <c r="C210" s="79">
        <f>YEAR(Table5[[#This Row],[Date]])</f>
        <v>2025</v>
      </c>
      <c r="D210" s="79" t="s">
        <v>344</v>
      </c>
      <c r="E210" s="284">
        <f>Table5[[#This Row],[Date]]-DAY(Table5[[#This Row],[Date]])+1</f>
        <v>45809</v>
      </c>
      <c r="F210" s="285">
        <v>45826</v>
      </c>
      <c r="G210" s="79" t="s">
        <v>91</v>
      </c>
      <c r="H210" s="23" t="str">
        <f>IFERROR(_xlfn.XLOOKUP(Table5[[#This Row],[Affected WTG]],'Basic Data'!$A:$A,'Basic Data'!$B:$B),"")</f>
        <v>PWEPL</v>
      </c>
      <c r="I210" s="23" t="str">
        <f>IFERROR(_xlfn.XLOOKUP(Table5[[#This Row],[Affected WTG]],'Basic Data'!$A:$A,'Basic Data'!$C:$C),"")</f>
        <v>MSEDCL</v>
      </c>
      <c r="J210" s="286">
        <f>IFERROR(_xlfn.XLOOKUP(Table5[[#This Row],[Affected WTG]],'Basic Data'!$A:$A,'Basic Data'!$E:$E),"")</f>
        <v>2.2727272727272728E-2</v>
      </c>
      <c r="K210" s="79">
        <v>276</v>
      </c>
      <c r="L210" s="23" t="str">
        <f>IFERROR(_xlfn.XLOOKUP(Table5[[#This Row],[Error Code]],'Basic Data'!$W:$W,'Basic Data'!$X:$X),"Incorrect Error Code")</f>
        <v>Pitch thyristor 3 fault</v>
      </c>
      <c r="M210" s="23" t="s">
        <v>153</v>
      </c>
      <c r="N210" s="23"/>
      <c r="O210" s="287">
        <v>0.51041666666666663</v>
      </c>
      <c r="P210" s="287">
        <v>0.51041666666666663</v>
      </c>
      <c r="Q210" s="287">
        <v>0.73402777777777783</v>
      </c>
      <c r="R210" s="91">
        <f t="shared" si="6"/>
        <v>0.2236111111111112</v>
      </c>
      <c r="S210" s="91">
        <f>(Table5[[#This Row],[Fault Clearance time]]-Table5[[#This Row],[Work Start TimeStamp]])*24</f>
        <v>5.3666666666666689</v>
      </c>
      <c r="T210" s="91">
        <f>(Table5[[#This Row],[Fault Clearance time]]-Table5[[#This Row],[Fault Start TimeStamp]])*24</f>
        <v>5.3666666666666689</v>
      </c>
      <c r="U210" s="23" t="s">
        <v>891</v>
      </c>
      <c r="V210" s="79" t="s">
        <v>339</v>
      </c>
      <c r="W210" s="289">
        <f>IFERROR(Table5[[#This Row],[Breakdown Time]]*Table5[[#This Row],[Plant Equivalent Weightage]],"")</f>
        <v>0.12196969696969702</v>
      </c>
      <c r="X210" s="289" t="s">
        <v>343</v>
      </c>
      <c r="Y210" s="290" t="s">
        <v>90</v>
      </c>
      <c r="Z210" s="79"/>
      <c r="AA210" s="283">
        <v>8299</v>
      </c>
      <c r="AB210" s="79"/>
      <c r="AC210" s="23"/>
      <c r="AD210" s="23"/>
    </row>
    <row r="211" spans="1:30">
      <c r="A211" s="79">
        <f t="shared" si="7"/>
        <v>210</v>
      </c>
      <c r="B211" s="283">
        <f>YEAR(Table5[[#This Row],[Date]])+IF(MONTH(Table5[[#This Row],[Date]])&gt;=4,1,0)</f>
        <v>2026</v>
      </c>
      <c r="C211" s="79">
        <f>YEAR(Table5[[#This Row],[Date]])</f>
        <v>2025</v>
      </c>
      <c r="D211" s="79" t="s">
        <v>344</v>
      </c>
      <c r="E211" s="284">
        <f>Table5[[#This Row],[Date]]-DAY(Table5[[#This Row],[Date]])+1</f>
        <v>45809</v>
      </c>
      <c r="F211" s="285">
        <v>45826</v>
      </c>
      <c r="G211" s="79" t="s">
        <v>101</v>
      </c>
      <c r="H211" s="23" t="str">
        <f>IFERROR(_xlfn.XLOOKUP(Table5[[#This Row],[Affected WTG]],'Basic Data'!$A:$A,'Basic Data'!$B:$B),"")</f>
        <v>PWEPL</v>
      </c>
      <c r="I211" s="23" t="str">
        <f>IFERROR(_xlfn.XLOOKUP(Table5[[#This Row],[Affected WTG]],'Basic Data'!$A:$A,'Basic Data'!$C:$C),"")</f>
        <v>MSEDCL</v>
      </c>
      <c r="J211" s="286">
        <f>IFERROR(_xlfn.XLOOKUP(Table5[[#This Row],[Affected WTG]],'Basic Data'!$A:$A,'Basic Data'!$E:$E),"")</f>
        <v>2.2727272727272728E-2</v>
      </c>
      <c r="K211" s="79">
        <v>274</v>
      </c>
      <c r="L211" s="23" t="str">
        <f>IFERROR(_xlfn.XLOOKUP(Table5[[#This Row],[Error Code]],'Basic Data'!$W:$W,'Basic Data'!$X:$X),"Incorrect Error Code")</f>
        <v>Pitch thyristor 1 fault</v>
      </c>
      <c r="M211" s="23" t="s">
        <v>158</v>
      </c>
      <c r="N211" s="23"/>
      <c r="O211" s="287">
        <v>0.37777777777777777</v>
      </c>
      <c r="P211" s="287">
        <v>0.37777777777777777</v>
      </c>
      <c r="Q211" s="287">
        <v>0.4284722222222222</v>
      </c>
      <c r="R211" s="91">
        <f t="shared" si="6"/>
        <v>5.0694444444444431E-2</v>
      </c>
      <c r="S211" s="91">
        <f>(Table5[[#This Row],[Fault Clearance time]]-Table5[[#This Row],[Work Start TimeStamp]])*24</f>
        <v>1.2166666666666663</v>
      </c>
      <c r="T211" s="91">
        <f>(Table5[[#This Row],[Fault Clearance time]]-Table5[[#This Row],[Fault Start TimeStamp]])*24</f>
        <v>1.2166666666666663</v>
      </c>
      <c r="U211" s="23" t="s">
        <v>353</v>
      </c>
      <c r="V211" s="79" t="s">
        <v>339</v>
      </c>
      <c r="W211" s="289">
        <f>IFERROR(Table5[[#This Row],[Breakdown Time]]*Table5[[#This Row],[Plant Equivalent Weightage]],"")</f>
        <v>2.7651515151515146E-2</v>
      </c>
      <c r="X211" s="289" t="s">
        <v>343</v>
      </c>
      <c r="Y211" s="290" t="s">
        <v>100</v>
      </c>
      <c r="Z211" s="79"/>
      <c r="AA211" s="283">
        <v>1301</v>
      </c>
      <c r="AB211" s="79"/>
      <c r="AC211" s="23"/>
      <c r="AD211" s="23"/>
    </row>
    <row r="212" spans="1:30">
      <c r="A212" s="79">
        <f t="shared" si="7"/>
        <v>211</v>
      </c>
      <c r="B212" s="283">
        <f>YEAR(Table5[[#This Row],[Date]])+IF(MONTH(Table5[[#This Row],[Date]])&gt;=4,1,0)</f>
        <v>2026</v>
      </c>
      <c r="C212" s="79">
        <f>YEAR(Table5[[#This Row],[Date]])</f>
        <v>2025</v>
      </c>
      <c r="D212" s="79" t="s">
        <v>344</v>
      </c>
      <c r="E212" s="284">
        <f>Table5[[#This Row],[Date]]-DAY(Table5[[#This Row],[Date]])+1</f>
        <v>45809</v>
      </c>
      <c r="F212" s="285">
        <v>45826</v>
      </c>
      <c r="G212" s="79" t="s">
        <v>101</v>
      </c>
      <c r="H212" s="23" t="str">
        <f>IFERROR(_xlfn.XLOOKUP(Table5[[#This Row],[Affected WTG]],'Basic Data'!$A:$A,'Basic Data'!$B:$B),"")</f>
        <v>PWEPL</v>
      </c>
      <c r="I212" s="23" t="str">
        <f>IFERROR(_xlfn.XLOOKUP(Table5[[#This Row],[Affected WTG]],'Basic Data'!$A:$A,'Basic Data'!$C:$C),"")</f>
        <v>MSEDCL</v>
      </c>
      <c r="J212" s="286">
        <f>IFERROR(_xlfn.XLOOKUP(Table5[[#This Row],[Affected WTG]],'Basic Data'!$A:$A,'Basic Data'!$E:$E),"")</f>
        <v>2.2727272727272728E-2</v>
      </c>
      <c r="K212" s="79">
        <v>274</v>
      </c>
      <c r="L212" s="23" t="str">
        <f>IFERROR(_xlfn.XLOOKUP(Table5[[#This Row],[Error Code]],'Basic Data'!$W:$W,'Basic Data'!$X:$X),"Incorrect Error Code")</f>
        <v>Pitch thyristor 1 fault</v>
      </c>
      <c r="M212" s="23" t="s">
        <v>158</v>
      </c>
      <c r="N212" s="23"/>
      <c r="O212" s="287">
        <v>0.88611111111111107</v>
      </c>
      <c r="P212" s="287">
        <v>0.88611111111111107</v>
      </c>
      <c r="Q212" s="287">
        <v>0.99236111111111114</v>
      </c>
      <c r="R212" s="91">
        <f t="shared" si="6"/>
        <v>0.10625000000000007</v>
      </c>
      <c r="S212" s="91">
        <f>(Table5[[#This Row],[Fault Clearance time]]-Table5[[#This Row],[Work Start TimeStamp]])*24</f>
        <v>2.5500000000000016</v>
      </c>
      <c r="T212" s="91">
        <f>(Table5[[#This Row],[Fault Clearance time]]-Table5[[#This Row],[Fault Start TimeStamp]])*24</f>
        <v>2.5500000000000016</v>
      </c>
      <c r="U212" s="23" t="s">
        <v>914</v>
      </c>
      <c r="V212" s="79" t="s">
        <v>339</v>
      </c>
      <c r="W212" s="289">
        <f>IFERROR(Table5[[#This Row],[Breakdown Time]]*Table5[[#This Row],[Plant Equivalent Weightage]],"")</f>
        <v>5.7954545454545495E-2</v>
      </c>
      <c r="X212" s="289" t="s">
        <v>343</v>
      </c>
      <c r="Y212" s="290" t="s">
        <v>100</v>
      </c>
      <c r="Z212" s="79"/>
      <c r="AA212" s="283">
        <v>3918</v>
      </c>
      <c r="AB212" s="79"/>
      <c r="AC212" s="23"/>
      <c r="AD212" s="23"/>
    </row>
    <row r="213" spans="1:30">
      <c r="A213" s="79">
        <f t="shared" si="7"/>
        <v>212</v>
      </c>
      <c r="B213" s="283">
        <f>YEAR(Table5[[#This Row],[Date]])+IF(MONTH(Table5[[#This Row],[Date]])&gt;=4,1,0)</f>
        <v>2026</v>
      </c>
      <c r="C213" s="79">
        <f>YEAR(Table5[[#This Row],[Date]])</f>
        <v>2025</v>
      </c>
      <c r="D213" s="79" t="s">
        <v>344</v>
      </c>
      <c r="E213" s="284">
        <f>Table5[[#This Row],[Date]]-DAY(Table5[[#This Row],[Date]])+1</f>
        <v>45809</v>
      </c>
      <c r="F213" s="285">
        <v>45826</v>
      </c>
      <c r="G213" s="79" t="s">
        <v>119</v>
      </c>
      <c r="H213" s="23" t="str">
        <f>IFERROR(_xlfn.XLOOKUP(Table5[[#This Row],[Affected WTG]],'Basic Data'!$A:$A,'Basic Data'!$B:$B),"")</f>
        <v>PWEPL</v>
      </c>
      <c r="I213" s="23" t="str">
        <f>IFERROR(_xlfn.XLOOKUP(Table5[[#This Row],[Affected WTG]],'Basic Data'!$A:$A,'Basic Data'!$C:$C),"")</f>
        <v>MSEDCL</v>
      </c>
      <c r="J213" s="286">
        <f>IFERROR(_xlfn.XLOOKUP(Table5[[#This Row],[Affected WTG]],'Basic Data'!$A:$A,'Basic Data'!$E:$E),"")</f>
        <v>2.2727272727272728E-2</v>
      </c>
      <c r="K213" s="79">
        <v>142</v>
      </c>
      <c r="L213" s="23" t="str">
        <f>IFERROR(_xlfn.XLOOKUP(Table5[[#This Row],[Error Code]],'Basic Data'!$W:$W,'Basic Data'!$X:$X),"Incorrect Error Code")</f>
        <v>Line CCU collective faults</v>
      </c>
      <c r="M213" s="23" t="s">
        <v>149</v>
      </c>
      <c r="N213" s="23"/>
      <c r="O213" s="287">
        <v>0.83263888888888893</v>
      </c>
      <c r="P213" s="287">
        <v>0.83263888888888893</v>
      </c>
      <c r="Q213" s="287">
        <v>0.85416666666666663</v>
      </c>
      <c r="R213" s="91">
        <f t="shared" si="6"/>
        <v>2.1527777777777701E-2</v>
      </c>
      <c r="S213" s="91">
        <f>(Table5[[#This Row],[Fault Clearance time]]-Table5[[#This Row],[Work Start TimeStamp]])*24</f>
        <v>0.51666666666666483</v>
      </c>
      <c r="T213" s="91">
        <f>(Table5[[#This Row],[Fault Clearance time]]-Table5[[#This Row],[Fault Start TimeStamp]])*24</f>
        <v>0.51666666666666483</v>
      </c>
      <c r="U213" s="23" t="s">
        <v>353</v>
      </c>
      <c r="V213" s="79" t="s">
        <v>339</v>
      </c>
      <c r="W213" s="289">
        <f>IFERROR(Table5[[#This Row],[Breakdown Time]]*Table5[[#This Row],[Plant Equivalent Weightage]],"")</f>
        <v>1.1742424242424202E-2</v>
      </c>
      <c r="X213" s="289" t="s">
        <v>343</v>
      </c>
      <c r="Y213" s="290" t="s">
        <v>119</v>
      </c>
      <c r="Z213" s="79"/>
      <c r="AA213" s="283">
        <v>825</v>
      </c>
      <c r="AB213" s="79"/>
      <c r="AC213" s="23"/>
      <c r="AD213" s="23"/>
    </row>
    <row r="214" spans="1:30">
      <c r="A214" s="79">
        <f t="shared" si="7"/>
        <v>213</v>
      </c>
      <c r="B214" s="283">
        <f>YEAR(Table5[[#This Row],[Date]])+IF(MONTH(Table5[[#This Row],[Date]])&gt;=4,1,0)</f>
        <v>2026</v>
      </c>
      <c r="C214" s="79">
        <f>YEAR(Table5[[#This Row],[Date]])</f>
        <v>2025</v>
      </c>
      <c r="D214" s="79" t="s">
        <v>344</v>
      </c>
      <c r="E214" s="284">
        <f>Table5[[#This Row],[Date]]-DAY(Table5[[#This Row],[Date]])+1</f>
        <v>45809</v>
      </c>
      <c r="F214" s="285">
        <v>45827</v>
      </c>
      <c r="G214" s="79" t="s">
        <v>79</v>
      </c>
      <c r="H214" s="23" t="str">
        <f>IFERROR(_xlfn.XLOOKUP(Table5[[#This Row],[Affected WTG]],'Basic Data'!$A:$A,'Basic Data'!$B:$B),"")</f>
        <v>PWEPL</v>
      </c>
      <c r="I214" s="23" t="str">
        <f>IFERROR(_xlfn.XLOOKUP(Table5[[#This Row],[Affected WTG]],'Basic Data'!$A:$A,'Basic Data'!$C:$C),"")</f>
        <v>MSEDCL</v>
      </c>
      <c r="J214" s="286">
        <f>IFERROR(_xlfn.XLOOKUP(Table5[[#This Row],[Affected WTG]],'Basic Data'!$A:$A,'Basic Data'!$E:$E),"")</f>
        <v>2.2727272727272728E-2</v>
      </c>
      <c r="K214" s="79">
        <v>34</v>
      </c>
      <c r="L214" s="23" t="str">
        <f>IFERROR(_xlfn.XLOOKUP(Table5[[#This Row],[Error Code]],'Basic Data'!$W:$W,'Basic Data'!$X:$X),"Incorrect Error Code")</f>
        <v>Brake not released secondary brake</v>
      </c>
      <c r="M214" s="23" t="s">
        <v>912</v>
      </c>
      <c r="N214" s="23"/>
      <c r="O214" s="287">
        <v>3.3333333333333333E-2</v>
      </c>
      <c r="P214" s="287">
        <v>3.3333333333333333E-2</v>
      </c>
      <c r="Q214" s="287">
        <v>0.24791666666666667</v>
      </c>
      <c r="R214" s="91">
        <f t="shared" si="6"/>
        <v>0.21458333333333335</v>
      </c>
      <c r="S214" s="91">
        <f>(Table5[[#This Row],[Fault Clearance time]]-Table5[[#This Row],[Work Start TimeStamp]])*24</f>
        <v>5.15</v>
      </c>
      <c r="T214" s="91">
        <f>(Table5[[#This Row],[Fault Clearance time]]-Table5[[#This Row],[Fault Start TimeStamp]])*24</f>
        <v>5.15</v>
      </c>
      <c r="U214" s="23" t="s">
        <v>918</v>
      </c>
      <c r="V214" s="79" t="s">
        <v>339</v>
      </c>
      <c r="W214" s="289">
        <f>IFERROR(Table5[[#This Row],[Breakdown Time]]*Table5[[#This Row],[Plant Equivalent Weightage]],"")</f>
        <v>0.11704545454545456</v>
      </c>
      <c r="X214" s="289" t="s">
        <v>343</v>
      </c>
      <c r="Y214" s="290" t="s">
        <v>96</v>
      </c>
      <c r="Z214" s="79"/>
      <c r="AA214" s="283">
        <v>8443</v>
      </c>
      <c r="AB214" s="79"/>
      <c r="AC214" s="23"/>
      <c r="AD214" s="23"/>
    </row>
    <row r="215" spans="1:30">
      <c r="A215" s="79">
        <f t="shared" si="7"/>
        <v>214</v>
      </c>
      <c r="B215" s="283">
        <f>YEAR(Table5[[#This Row],[Date]])+IF(MONTH(Table5[[#This Row],[Date]])&gt;=4,1,0)</f>
        <v>2026</v>
      </c>
      <c r="C215" s="79">
        <f>YEAR(Table5[[#This Row],[Date]])</f>
        <v>2025</v>
      </c>
      <c r="D215" s="79" t="s">
        <v>344</v>
      </c>
      <c r="E215" s="284">
        <f>Table5[[#This Row],[Date]]-DAY(Table5[[#This Row],[Date]])+1</f>
        <v>45809</v>
      </c>
      <c r="F215" s="285">
        <v>45827</v>
      </c>
      <c r="G215" s="79" t="s">
        <v>88</v>
      </c>
      <c r="H215" s="23" t="str">
        <f>IFERROR(_xlfn.XLOOKUP(Table5[[#This Row],[Affected WTG]],'Basic Data'!$A:$A,'Basic Data'!$B:$B),"")</f>
        <v>PWEPL</v>
      </c>
      <c r="I215" s="23" t="str">
        <f>IFERROR(_xlfn.XLOOKUP(Table5[[#This Row],[Affected WTG]],'Basic Data'!$A:$A,'Basic Data'!$C:$C),"")</f>
        <v>MSEDCL</v>
      </c>
      <c r="J215" s="286">
        <f>IFERROR(_xlfn.XLOOKUP(Table5[[#This Row],[Affected WTG]],'Basic Data'!$A:$A,'Basic Data'!$E:$E),"")</f>
        <v>2.2727272727272728E-2</v>
      </c>
      <c r="K215" s="79">
        <v>14</v>
      </c>
      <c r="L215" s="23" t="str">
        <f>IFERROR(_xlfn.XLOOKUP(Table5[[#This Row],[Error Code]],'Basic Data'!$W:$W,'Basic Data'!$X:$X),"Incorrect Error Code")</f>
        <v>Generator overspeed</v>
      </c>
      <c r="M215" s="23" t="s">
        <v>915</v>
      </c>
      <c r="N215" s="23"/>
      <c r="O215" s="287">
        <v>0.36874999999999997</v>
      </c>
      <c r="P215" s="287">
        <v>0.36874999999999997</v>
      </c>
      <c r="Q215" s="287">
        <v>0.49583333333333335</v>
      </c>
      <c r="R215" s="91">
        <f t="shared" si="6"/>
        <v>0.12708333333333338</v>
      </c>
      <c r="S215" s="91">
        <f>(Table5[[#This Row],[Fault Clearance time]]-Table5[[#This Row],[Work Start TimeStamp]])*24</f>
        <v>3.0500000000000012</v>
      </c>
      <c r="T215" s="91">
        <f>(Table5[[#This Row],[Fault Clearance time]]-Table5[[#This Row],[Fault Start TimeStamp]])*24</f>
        <v>3.0500000000000012</v>
      </c>
      <c r="U215" s="23" t="s">
        <v>916</v>
      </c>
      <c r="V215" s="79" t="s">
        <v>339</v>
      </c>
      <c r="W215" s="289">
        <f>IFERROR(Table5[[#This Row],[Breakdown Time]]*Table5[[#This Row],[Plant Equivalent Weightage]],"")</f>
        <v>6.9318181818181848E-2</v>
      </c>
      <c r="X215" s="289" t="s">
        <v>343</v>
      </c>
      <c r="Y215" s="290" t="s">
        <v>87</v>
      </c>
      <c r="Z215" s="79"/>
      <c r="AA215" s="283">
        <v>4907</v>
      </c>
      <c r="AB215" s="79"/>
      <c r="AC215" s="23"/>
      <c r="AD215" s="23"/>
    </row>
    <row r="216" spans="1:30">
      <c r="A216" s="79">
        <f t="shared" si="7"/>
        <v>215</v>
      </c>
      <c r="B216" s="283">
        <f>YEAR(Table5[[#This Row],[Date]])+IF(MONTH(Table5[[#This Row],[Date]])&gt;=4,1,0)</f>
        <v>2026</v>
      </c>
      <c r="C216" s="79">
        <f>YEAR(Table5[[#This Row],[Date]])</f>
        <v>2025</v>
      </c>
      <c r="D216" s="79" t="s">
        <v>344</v>
      </c>
      <c r="E216" s="284">
        <f>Table5[[#This Row],[Date]]-DAY(Table5[[#This Row],[Date]])+1</f>
        <v>45809</v>
      </c>
      <c r="F216" s="285">
        <v>45827</v>
      </c>
      <c r="G216" s="79" t="s">
        <v>90</v>
      </c>
      <c r="H216" s="23" t="str">
        <f>IFERROR(_xlfn.XLOOKUP(Table5[[#This Row],[Affected WTG]],'Basic Data'!$A:$A,'Basic Data'!$B:$B),"")</f>
        <v>PWEPL</v>
      </c>
      <c r="I216" s="23" t="str">
        <f>IFERROR(_xlfn.XLOOKUP(Table5[[#This Row],[Affected WTG]],'Basic Data'!$A:$A,'Basic Data'!$C:$C),"")</f>
        <v>MSEDCL</v>
      </c>
      <c r="J216" s="286">
        <f>IFERROR(_xlfn.XLOOKUP(Table5[[#This Row],[Affected WTG]],'Basic Data'!$A:$A,'Basic Data'!$E:$E),"")</f>
        <v>2.2727272727272728E-2</v>
      </c>
      <c r="K216" s="79">
        <v>63</v>
      </c>
      <c r="L216" s="23" t="str">
        <f>IFERROR(_xlfn.XLOOKUP(Table5[[#This Row],[Error Code]],'Basic Data'!$W:$W,'Basic Data'!$X:$X),"Incorrect Error Code")</f>
        <v>Safety chain</v>
      </c>
      <c r="M216" s="23" t="s">
        <v>189</v>
      </c>
      <c r="N216" s="23"/>
      <c r="O216" s="287">
        <v>0.43541666666666662</v>
      </c>
      <c r="P216" s="287">
        <v>0.43541666666666662</v>
      </c>
      <c r="Q216" s="287">
        <v>0.49444444444444446</v>
      </c>
      <c r="R216" s="91">
        <f t="shared" si="6"/>
        <v>5.9027777777777846E-2</v>
      </c>
      <c r="S216" s="91">
        <f>(Table5[[#This Row],[Fault Clearance time]]-Table5[[#This Row],[Work Start TimeStamp]])*24</f>
        <v>1.4166666666666683</v>
      </c>
      <c r="T216" s="91">
        <f>(Table5[[#This Row],[Fault Clearance time]]-Table5[[#This Row],[Fault Start TimeStamp]])*24</f>
        <v>1.4166666666666683</v>
      </c>
      <c r="U216" s="23" t="s">
        <v>917</v>
      </c>
      <c r="V216" s="79" t="s">
        <v>339</v>
      </c>
      <c r="W216" s="289">
        <f>IFERROR(Table5[[#This Row],[Breakdown Time]]*Table5[[#This Row],[Plant Equivalent Weightage]],"")</f>
        <v>3.2196969696969738E-2</v>
      </c>
      <c r="X216" s="289" t="s">
        <v>343</v>
      </c>
      <c r="Y216" s="290" t="s">
        <v>89</v>
      </c>
      <c r="Z216" s="79"/>
      <c r="AA216" s="283">
        <v>2218</v>
      </c>
      <c r="AB216" s="79"/>
      <c r="AC216" s="23"/>
      <c r="AD216" s="23"/>
    </row>
    <row r="217" spans="1:30">
      <c r="A217" s="79">
        <f t="shared" si="7"/>
        <v>216</v>
      </c>
      <c r="B217" s="283">
        <f>YEAR(Table5[[#This Row],[Date]])+IF(MONTH(Table5[[#This Row],[Date]])&gt;=4,1,0)</f>
        <v>2026</v>
      </c>
      <c r="C217" s="79">
        <f>YEAR(Table5[[#This Row],[Date]])</f>
        <v>2025</v>
      </c>
      <c r="D217" s="79" t="s">
        <v>344</v>
      </c>
      <c r="E217" s="284">
        <f>Table5[[#This Row],[Date]]-DAY(Table5[[#This Row],[Date]])+1</f>
        <v>45809</v>
      </c>
      <c r="F217" s="285">
        <v>45827</v>
      </c>
      <c r="G217" s="79" t="s">
        <v>79</v>
      </c>
      <c r="H217" s="23" t="str">
        <f>IFERROR(_xlfn.XLOOKUP(Table5[[#This Row],[Affected WTG]],'Basic Data'!$A:$A,'Basic Data'!$B:$B),"")</f>
        <v>PWEPL</v>
      </c>
      <c r="I217" s="23" t="str">
        <f>IFERROR(_xlfn.XLOOKUP(Table5[[#This Row],[Affected WTG]],'Basic Data'!$A:$A,'Basic Data'!$C:$C),"")</f>
        <v>MSEDCL</v>
      </c>
      <c r="J217" s="286">
        <f>IFERROR(_xlfn.XLOOKUP(Table5[[#This Row],[Affected WTG]],'Basic Data'!$A:$A,'Basic Data'!$E:$E),"")</f>
        <v>2.2727272727272728E-2</v>
      </c>
      <c r="K217" s="79">
        <v>34</v>
      </c>
      <c r="L217" s="23" t="str">
        <f>IFERROR(_xlfn.XLOOKUP(Table5[[#This Row],[Error Code]],'Basic Data'!$W:$W,'Basic Data'!$X:$X),"Incorrect Error Code")</f>
        <v>Brake not released secondary brake</v>
      </c>
      <c r="M217" s="23" t="s">
        <v>912</v>
      </c>
      <c r="N217" s="23"/>
      <c r="O217" s="287">
        <v>0.71111111111111114</v>
      </c>
      <c r="P217" s="287">
        <v>0.71111111111111114</v>
      </c>
      <c r="Q217" s="287">
        <v>0.99930555555555556</v>
      </c>
      <c r="R217" s="91">
        <f t="shared" si="6"/>
        <v>0.28819444444444442</v>
      </c>
      <c r="S217" s="91">
        <f>(Table5[[#This Row],[Fault Clearance time]]-Table5[[#This Row],[Work Start TimeStamp]])*24</f>
        <v>6.9166666666666661</v>
      </c>
      <c r="T217" s="91">
        <f>(Table5[[#This Row],[Fault Clearance time]]-Table5[[#This Row],[Fault Start TimeStamp]])*24</f>
        <v>6.9166666666666661</v>
      </c>
      <c r="U217" s="23" t="s">
        <v>456</v>
      </c>
      <c r="V217" s="79" t="s">
        <v>339</v>
      </c>
      <c r="W217" s="289">
        <f>IFERROR(Table5[[#This Row],[Breakdown Time]]*Table5[[#This Row],[Plant Equivalent Weightage]],"")</f>
        <v>0.1571969696969697</v>
      </c>
      <c r="X217" s="289" t="s">
        <v>343</v>
      </c>
      <c r="Y217" s="290" t="s">
        <v>96</v>
      </c>
      <c r="Z217" s="79"/>
      <c r="AA217" s="283">
        <v>9810</v>
      </c>
      <c r="AB217" s="79"/>
      <c r="AC217" s="23"/>
      <c r="AD217" s="23"/>
    </row>
    <row r="218" spans="1:30">
      <c r="A218" s="79">
        <f t="shared" si="7"/>
        <v>217</v>
      </c>
      <c r="B218" s="283">
        <f>YEAR(Table5[[#This Row],[Date]])+IF(MONTH(Table5[[#This Row],[Date]])&gt;=4,1,0)</f>
        <v>2026</v>
      </c>
      <c r="C218" s="79">
        <f>YEAR(Table5[[#This Row],[Date]])</f>
        <v>2025</v>
      </c>
      <c r="D218" s="79" t="s">
        <v>344</v>
      </c>
      <c r="E218" s="284">
        <f>Table5[[#This Row],[Date]]-DAY(Table5[[#This Row],[Date]])+1</f>
        <v>45809</v>
      </c>
      <c r="F218" s="285">
        <v>45827</v>
      </c>
      <c r="G218" s="79" t="s">
        <v>105</v>
      </c>
      <c r="H218" s="23" t="str">
        <f>IFERROR(_xlfn.XLOOKUP(Table5[[#This Row],[Affected WTG]],'Basic Data'!$A:$A,'Basic Data'!$B:$B),"")</f>
        <v>PWEPL</v>
      </c>
      <c r="I218" s="23" t="str">
        <f>IFERROR(_xlfn.XLOOKUP(Table5[[#This Row],[Affected WTG]],'Basic Data'!$A:$A,'Basic Data'!$C:$C),"")</f>
        <v>MSEDCL</v>
      </c>
      <c r="J218" s="286">
        <f>IFERROR(_xlfn.XLOOKUP(Table5[[#This Row],[Affected WTG]],'Basic Data'!$A:$A,'Basic Data'!$E:$E),"")</f>
        <v>2.2727272727272728E-2</v>
      </c>
      <c r="K218" s="79">
        <v>269</v>
      </c>
      <c r="L218" s="23" t="str">
        <f>IFERROR(_xlfn.XLOOKUP(Table5[[#This Row],[Error Code]],'Basic Data'!$W:$W,'Basic Data'!$X:$X),"Incorrect Error Code")</f>
        <v>Reboot PLC</v>
      </c>
      <c r="M218" s="23" t="s">
        <v>348</v>
      </c>
      <c r="N218" s="23"/>
      <c r="O218" s="287">
        <v>0.23402777777777781</v>
      </c>
      <c r="P218" s="287">
        <v>0.23402777777777781</v>
      </c>
      <c r="Q218" s="287">
        <v>0.32708333333333334</v>
      </c>
      <c r="R218" s="91">
        <f t="shared" si="6"/>
        <v>9.305555555555553E-2</v>
      </c>
      <c r="S218" s="91">
        <f>(Table5[[#This Row],[Fault Clearance time]]-Table5[[#This Row],[Work Start TimeStamp]])*24</f>
        <v>2.2333333333333325</v>
      </c>
      <c r="T218" s="91">
        <f>(Table5[[#This Row],[Fault Clearance time]]-Table5[[#This Row],[Fault Start TimeStamp]])*24</f>
        <v>2.2333333333333325</v>
      </c>
      <c r="U218" s="23" t="s">
        <v>353</v>
      </c>
      <c r="V218" s="79" t="s">
        <v>339</v>
      </c>
      <c r="W218" s="289">
        <f>IFERROR(Table5[[#This Row],[Breakdown Time]]*Table5[[#This Row],[Plant Equivalent Weightage]],"")</f>
        <v>5.0757575757575737E-2</v>
      </c>
      <c r="X218" s="289" t="s">
        <v>343</v>
      </c>
      <c r="Y218" s="290" t="s">
        <v>103</v>
      </c>
      <c r="Z218" s="79"/>
      <c r="AA218" s="283">
        <v>5942</v>
      </c>
      <c r="AB218" s="79"/>
      <c r="AC218" s="23"/>
      <c r="AD218" s="23"/>
    </row>
    <row r="219" spans="1:30">
      <c r="A219" s="79">
        <f t="shared" si="7"/>
        <v>218</v>
      </c>
      <c r="B219" s="283">
        <f>YEAR(Table5[[#This Row],[Date]])+IF(MONTH(Table5[[#This Row],[Date]])&gt;=4,1,0)</f>
        <v>2026</v>
      </c>
      <c r="C219" s="79">
        <f>YEAR(Table5[[#This Row],[Date]])</f>
        <v>2025</v>
      </c>
      <c r="D219" s="79" t="s">
        <v>344</v>
      </c>
      <c r="E219" s="284">
        <f>Table5[[#This Row],[Date]]-DAY(Table5[[#This Row],[Date]])+1</f>
        <v>45809</v>
      </c>
      <c r="F219" s="285">
        <v>45827</v>
      </c>
      <c r="G219" s="79" t="s">
        <v>115</v>
      </c>
      <c r="H219" s="23" t="str">
        <f>IFERROR(_xlfn.XLOOKUP(Table5[[#This Row],[Affected WTG]],'Basic Data'!$A:$A,'Basic Data'!$B:$B),"")</f>
        <v>PWEPL</v>
      </c>
      <c r="I219" s="23" t="str">
        <f>IFERROR(_xlfn.XLOOKUP(Table5[[#This Row],[Affected WTG]],'Basic Data'!$A:$A,'Basic Data'!$C:$C),"")</f>
        <v>MSEDCL</v>
      </c>
      <c r="J219" s="286">
        <f>IFERROR(_xlfn.XLOOKUP(Table5[[#This Row],[Affected WTG]],'Basic Data'!$A:$A,'Basic Data'!$E:$E),"")</f>
        <v>2.2727272727272728E-2</v>
      </c>
      <c r="K219" s="79">
        <v>269</v>
      </c>
      <c r="L219" s="23" t="str">
        <f>IFERROR(_xlfn.XLOOKUP(Table5[[#This Row],[Error Code]],'Basic Data'!$W:$W,'Basic Data'!$X:$X),"Incorrect Error Code")</f>
        <v>Reboot PLC</v>
      </c>
      <c r="M219" s="23" t="s">
        <v>348</v>
      </c>
      <c r="N219" s="23"/>
      <c r="O219" s="287">
        <v>0.23402777777777781</v>
      </c>
      <c r="P219" s="287">
        <v>0.23402777777777781</v>
      </c>
      <c r="Q219" s="287">
        <v>0.39583333333333331</v>
      </c>
      <c r="R219" s="91">
        <f t="shared" si="6"/>
        <v>0.16180555555555551</v>
      </c>
      <c r="S219" s="91">
        <f>(Table5[[#This Row],[Fault Clearance time]]-Table5[[#This Row],[Work Start TimeStamp]])*24</f>
        <v>3.883333333333332</v>
      </c>
      <c r="T219" s="91">
        <f>(Table5[[#This Row],[Fault Clearance time]]-Table5[[#This Row],[Fault Start TimeStamp]])*24</f>
        <v>3.883333333333332</v>
      </c>
      <c r="U219" s="23" t="s">
        <v>353</v>
      </c>
      <c r="V219" s="79" t="s">
        <v>339</v>
      </c>
      <c r="W219" s="289">
        <f>IFERROR(Table5[[#This Row],[Breakdown Time]]*Table5[[#This Row],[Plant Equivalent Weightage]],"")</f>
        <v>8.8257575757575729E-2</v>
      </c>
      <c r="X219" s="289" t="s">
        <v>343</v>
      </c>
      <c r="Y219" s="290" t="s">
        <v>116</v>
      </c>
      <c r="Z219" s="79"/>
      <c r="AA219" s="283">
        <v>1953</v>
      </c>
      <c r="AB219" s="79"/>
      <c r="AC219" s="23"/>
      <c r="AD219" s="23"/>
    </row>
    <row r="220" spans="1:30">
      <c r="A220" s="79">
        <f t="shared" si="7"/>
        <v>219</v>
      </c>
      <c r="B220" s="283">
        <f>YEAR(Table5[[#This Row],[Date]])+IF(MONTH(Table5[[#This Row],[Date]])&gt;=4,1,0)</f>
        <v>2026</v>
      </c>
      <c r="C220" s="79">
        <f>YEAR(Table5[[#This Row],[Date]])</f>
        <v>2025</v>
      </c>
      <c r="D220" s="79" t="s">
        <v>344</v>
      </c>
      <c r="E220" s="284">
        <f>Table5[[#This Row],[Date]]-DAY(Table5[[#This Row],[Date]])+1</f>
        <v>45809</v>
      </c>
      <c r="F220" s="285">
        <v>45827</v>
      </c>
      <c r="G220" s="79" t="s">
        <v>116</v>
      </c>
      <c r="H220" s="23" t="str">
        <f>IFERROR(_xlfn.XLOOKUP(Table5[[#This Row],[Affected WTG]],'Basic Data'!$A:$A,'Basic Data'!$B:$B),"")</f>
        <v>PWEPL</v>
      </c>
      <c r="I220" s="23" t="str">
        <f>IFERROR(_xlfn.XLOOKUP(Table5[[#This Row],[Affected WTG]],'Basic Data'!$A:$A,'Basic Data'!$C:$C),"")</f>
        <v>MSEDCL</v>
      </c>
      <c r="J220" s="286">
        <f>IFERROR(_xlfn.XLOOKUP(Table5[[#This Row],[Affected WTG]],'Basic Data'!$A:$A,'Basic Data'!$E:$E),"")</f>
        <v>2.2727272727272728E-2</v>
      </c>
      <c r="K220" s="79">
        <v>269</v>
      </c>
      <c r="L220" s="23" t="str">
        <f>IFERROR(_xlfn.XLOOKUP(Table5[[#This Row],[Error Code]],'Basic Data'!$W:$W,'Basic Data'!$X:$X),"Incorrect Error Code")</f>
        <v>Reboot PLC</v>
      </c>
      <c r="M220" s="23" t="s">
        <v>348</v>
      </c>
      <c r="N220" s="23"/>
      <c r="O220" s="287">
        <v>0.23402777777777781</v>
      </c>
      <c r="P220" s="287">
        <v>0.23402777777777781</v>
      </c>
      <c r="Q220" s="287">
        <v>0.39583333333333331</v>
      </c>
      <c r="R220" s="91">
        <f t="shared" si="6"/>
        <v>0.16180555555555551</v>
      </c>
      <c r="S220" s="91">
        <f>(Table5[[#This Row],[Fault Clearance time]]-Table5[[#This Row],[Work Start TimeStamp]])*24</f>
        <v>3.883333333333332</v>
      </c>
      <c r="T220" s="91">
        <f>(Table5[[#This Row],[Fault Clearance time]]-Table5[[#This Row],[Fault Start TimeStamp]])*24</f>
        <v>3.883333333333332</v>
      </c>
      <c r="U220" s="23" t="s">
        <v>353</v>
      </c>
      <c r="V220" s="79" t="s">
        <v>339</v>
      </c>
      <c r="W220" s="289">
        <f>IFERROR(Table5[[#This Row],[Breakdown Time]]*Table5[[#This Row],[Plant Equivalent Weightage]],"")</f>
        <v>8.8257575757575729E-2</v>
      </c>
      <c r="X220" s="289" t="s">
        <v>343</v>
      </c>
      <c r="Y220" s="290" t="s">
        <v>117</v>
      </c>
      <c r="Z220" s="79"/>
      <c r="AA220" s="283">
        <v>8137</v>
      </c>
      <c r="AB220" s="79"/>
      <c r="AC220" s="23"/>
      <c r="AD220" s="23"/>
    </row>
    <row r="221" spans="1:30">
      <c r="A221" s="79">
        <f t="shared" si="7"/>
        <v>220</v>
      </c>
      <c r="B221" s="283">
        <f>YEAR(Table5[[#This Row],[Date]])+IF(MONTH(Table5[[#This Row],[Date]])&gt;=4,1,0)</f>
        <v>2026</v>
      </c>
      <c r="C221" s="79">
        <f>YEAR(Table5[[#This Row],[Date]])</f>
        <v>2025</v>
      </c>
      <c r="D221" s="79" t="s">
        <v>344</v>
      </c>
      <c r="E221" s="284">
        <f>Table5[[#This Row],[Date]]-DAY(Table5[[#This Row],[Date]])+1</f>
        <v>45809</v>
      </c>
      <c r="F221" s="285">
        <v>45827</v>
      </c>
      <c r="G221" s="79" t="s">
        <v>117</v>
      </c>
      <c r="H221" s="23" t="str">
        <f>IFERROR(_xlfn.XLOOKUP(Table5[[#This Row],[Affected WTG]],'Basic Data'!$A:$A,'Basic Data'!$B:$B),"")</f>
        <v>PWEPL</v>
      </c>
      <c r="I221" s="23" t="str">
        <f>IFERROR(_xlfn.XLOOKUP(Table5[[#This Row],[Affected WTG]],'Basic Data'!$A:$A,'Basic Data'!$C:$C),"")</f>
        <v>MSEDCL</v>
      </c>
      <c r="J221" s="286">
        <f>IFERROR(_xlfn.XLOOKUP(Table5[[#This Row],[Affected WTG]],'Basic Data'!$A:$A,'Basic Data'!$E:$E),"")</f>
        <v>2.2727272727272728E-2</v>
      </c>
      <c r="K221" s="79">
        <v>269</v>
      </c>
      <c r="L221" s="23" t="str">
        <f>IFERROR(_xlfn.XLOOKUP(Table5[[#This Row],[Error Code]],'Basic Data'!$W:$W,'Basic Data'!$X:$X),"Incorrect Error Code")</f>
        <v>Reboot PLC</v>
      </c>
      <c r="M221" s="23" t="s">
        <v>348</v>
      </c>
      <c r="N221" s="23"/>
      <c r="O221" s="287">
        <v>0.234027777777778</v>
      </c>
      <c r="P221" s="287">
        <v>0.234027777777778</v>
      </c>
      <c r="Q221" s="287">
        <v>0.27569444444444446</v>
      </c>
      <c r="R221" s="91">
        <f t="shared" si="6"/>
        <v>4.1666666666666463E-2</v>
      </c>
      <c r="S221" s="91">
        <f>(Table5[[#This Row],[Fault Clearance time]]-Table5[[#This Row],[Work Start TimeStamp]])*24</f>
        <v>0.99999999999999512</v>
      </c>
      <c r="T221" s="91">
        <f>(Table5[[#This Row],[Fault Clearance time]]-Table5[[#This Row],[Fault Start TimeStamp]])*24</f>
        <v>0.99999999999999512</v>
      </c>
      <c r="U221" s="23" t="s">
        <v>353</v>
      </c>
      <c r="V221" s="79" t="s">
        <v>339</v>
      </c>
      <c r="W221" s="289">
        <f>IFERROR(Table5[[#This Row],[Breakdown Time]]*Table5[[#This Row],[Plant Equivalent Weightage]],"")</f>
        <v>2.2727272727272617E-2</v>
      </c>
      <c r="X221" s="289" t="s">
        <v>343</v>
      </c>
      <c r="Y221" s="290" t="s">
        <v>115</v>
      </c>
      <c r="Z221" s="79"/>
      <c r="AA221" s="283">
        <v>0</v>
      </c>
      <c r="AB221" s="79"/>
      <c r="AC221" s="23"/>
      <c r="AD221" s="23"/>
    </row>
    <row r="222" spans="1:30">
      <c r="A222" s="79">
        <f t="shared" si="7"/>
        <v>221</v>
      </c>
      <c r="B222" s="283">
        <f>YEAR(Table5[[#This Row],[Date]])+IF(MONTH(Table5[[#This Row],[Date]])&gt;=4,1,0)</f>
        <v>2026</v>
      </c>
      <c r="C222" s="79">
        <f>YEAR(Table5[[#This Row],[Date]])</f>
        <v>2025</v>
      </c>
      <c r="D222" s="79" t="s">
        <v>344</v>
      </c>
      <c r="E222" s="284">
        <f>Table5[[#This Row],[Date]]-DAY(Table5[[#This Row],[Date]])+1</f>
        <v>45809</v>
      </c>
      <c r="F222" s="285">
        <v>45827</v>
      </c>
      <c r="G222" s="79" t="s">
        <v>119</v>
      </c>
      <c r="H222" s="23" t="str">
        <f>IFERROR(_xlfn.XLOOKUP(Table5[[#This Row],[Affected WTG]],'Basic Data'!$A:$A,'Basic Data'!$B:$B),"")</f>
        <v>PWEPL</v>
      </c>
      <c r="I222" s="23" t="str">
        <f>IFERROR(_xlfn.XLOOKUP(Table5[[#This Row],[Affected WTG]],'Basic Data'!$A:$A,'Basic Data'!$C:$C),"")</f>
        <v>MSEDCL</v>
      </c>
      <c r="J222" s="286">
        <f>IFERROR(_xlfn.XLOOKUP(Table5[[#This Row],[Affected WTG]],'Basic Data'!$A:$A,'Basic Data'!$E:$E),"")</f>
        <v>2.2727272727272728E-2</v>
      </c>
      <c r="K222" s="79">
        <v>269</v>
      </c>
      <c r="L222" s="23" t="str">
        <f>IFERROR(_xlfn.XLOOKUP(Table5[[#This Row],[Error Code]],'Basic Data'!$W:$W,'Basic Data'!$X:$X),"Incorrect Error Code")</f>
        <v>Reboot PLC</v>
      </c>
      <c r="M222" s="23" t="s">
        <v>348</v>
      </c>
      <c r="N222" s="23"/>
      <c r="O222" s="287">
        <v>0.23402777777777781</v>
      </c>
      <c r="P222" s="287">
        <v>0.23402777777777781</v>
      </c>
      <c r="Q222" s="287">
        <v>0.2986111111111111</v>
      </c>
      <c r="R222" s="91">
        <f t="shared" si="6"/>
        <v>6.4583333333333298E-2</v>
      </c>
      <c r="S222" s="91">
        <f>(Table5[[#This Row],[Fault Clearance time]]-Table5[[#This Row],[Work Start TimeStamp]])*24</f>
        <v>1.5499999999999992</v>
      </c>
      <c r="T222" s="91">
        <f>(Table5[[#This Row],[Fault Clearance time]]-Table5[[#This Row],[Fault Start TimeStamp]])*24</f>
        <v>1.5499999999999992</v>
      </c>
      <c r="U222" s="23" t="s">
        <v>353</v>
      </c>
      <c r="V222" s="79" t="s">
        <v>339</v>
      </c>
      <c r="W222" s="289">
        <f>IFERROR(Table5[[#This Row],[Breakdown Time]]*Table5[[#This Row],[Plant Equivalent Weightage]],"")</f>
        <v>3.5227272727272711E-2</v>
      </c>
      <c r="X222" s="289" t="s">
        <v>343</v>
      </c>
      <c r="Y222" s="290" t="s">
        <v>82</v>
      </c>
      <c r="Z222" s="79"/>
      <c r="AA222" s="283">
        <v>1502</v>
      </c>
      <c r="AB222" s="79"/>
      <c r="AC222" s="23"/>
      <c r="AD222" s="23"/>
    </row>
    <row r="223" spans="1:30">
      <c r="A223" s="79">
        <f t="shared" si="7"/>
        <v>222</v>
      </c>
      <c r="B223" s="283">
        <f>YEAR(Table5[[#This Row],[Date]])+IF(MONTH(Table5[[#This Row],[Date]])&gt;=4,1,0)</f>
        <v>2026</v>
      </c>
      <c r="C223" s="79">
        <f>YEAR(Table5[[#This Row],[Date]])</f>
        <v>2025</v>
      </c>
      <c r="D223" s="79" t="s">
        <v>344</v>
      </c>
      <c r="E223" s="284">
        <f>Table5[[#This Row],[Date]]-DAY(Table5[[#This Row],[Date]])+1</f>
        <v>45809</v>
      </c>
      <c r="F223" s="285">
        <v>45827</v>
      </c>
      <c r="G223" s="79" t="s">
        <v>119</v>
      </c>
      <c r="H223" s="23" t="str">
        <f>IFERROR(_xlfn.XLOOKUP(Table5[[#This Row],[Affected WTG]],'Basic Data'!$A:$A,'Basic Data'!$B:$B),"")</f>
        <v>PWEPL</v>
      </c>
      <c r="I223" s="23" t="str">
        <f>IFERROR(_xlfn.XLOOKUP(Table5[[#This Row],[Affected WTG]],'Basic Data'!$A:$A,'Basic Data'!$C:$C),"")</f>
        <v>MSEDCL</v>
      </c>
      <c r="J223" s="286">
        <f>IFERROR(_xlfn.XLOOKUP(Table5[[#This Row],[Affected WTG]],'Basic Data'!$A:$A,'Basic Data'!$E:$E),"")</f>
        <v>2.2727272727272728E-2</v>
      </c>
      <c r="K223" s="79">
        <v>274</v>
      </c>
      <c r="L223" s="23" t="str">
        <f>IFERROR(_xlfn.XLOOKUP(Table5[[#This Row],[Error Code]],'Basic Data'!$W:$W,'Basic Data'!$X:$X),"Incorrect Error Code")</f>
        <v>Pitch thyristor 1 fault</v>
      </c>
      <c r="M223" s="23" t="s">
        <v>158</v>
      </c>
      <c r="N223" s="23"/>
      <c r="O223" s="287">
        <v>0.71736111111111101</v>
      </c>
      <c r="P223" s="287">
        <v>0.71736111111111101</v>
      </c>
      <c r="Q223" s="287">
        <v>0.99930555555555556</v>
      </c>
      <c r="R223" s="91">
        <f t="shared" si="6"/>
        <v>0.28194444444444455</v>
      </c>
      <c r="S223" s="91">
        <f>(Table5[[#This Row],[Fault Clearance time]]-Table5[[#This Row],[Work Start TimeStamp]])*24</f>
        <v>6.7666666666666693</v>
      </c>
      <c r="T223" s="91">
        <f>(Table5[[#This Row],[Fault Clearance time]]-Table5[[#This Row],[Fault Start TimeStamp]])*24</f>
        <v>6.7666666666666693</v>
      </c>
      <c r="U223" s="23" t="s">
        <v>456</v>
      </c>
      <c r="V223" s="79" t="s">
        <v>339</v>
      </c>
      <c r="W223" s="289">
        <f>IFERROR(Table5[[#This Row],[Breakdown Time]]*Table5[[#This Row],[Plant Equivalent Weightage]],"")</f>
        <v>0.15378787878787886</v>
      </c>
      <c r="X223" s="289" t="s">
        <v>343</v>
      </c>
      <c r="Y223" s="290" t="s">
        <v>82</v>
      </c>
      <c r="Z223" s="79"/>
      <c r="AA223" s="283">
        <v>9523</v>
      </c>
      <c r="AB223" s="79"/>
      <c r="AC223" s="23"/>
      <c r="AD223" s="23"/>
    </row>
    <row r="224" spans="1:30">
      <c r="A224" s="79">
        <f t="shared" si="7"/>
        <v>223</v>
      </c>
      <c r="B224" s="283">
        <f>YEAR(Table5[[#This Row],[Date]])+IF(MONTH(Table5[[#This Row],[Date]])&gt;=4,1,0)</f>
        <v>2026</v>
      </c>
      <c r="C224" s="79">
        <f>YEAR(Table5[[#This Row],[Date]])</f>
        <v>2025</v>
      </c>
      <c r="D224" s="79" t="s">
        <v>344</v>
      </c>
      <c r="E224" s="284">
        <f>Table5[[#This Row],[Date]]-DAY(Table5[[#This Row],[Date]])+1</f>
        <v>45809</v>
      </c>
      <c r="F224" s="285">
        <v>45828</v>
      </c>
      <c r="G224" s="79" t="s">
        <v>119</v>
      </c>
      <c r="H224" s="23" t="str">
        <f>IFERROR(_xlfn.XLOOKUP(Table5[[#This Row],[Affected WTG]],'Basic Data'!$A:$A,'Basic Data'!$B:$B),"")</f>
        <v>PWEPL</v>
      </c>
      <c r="I224" s="23" t="str">
        <f>IFERROR(_xlfn.XLOOKUP(Table5[[#This Row],[Affected WTG]],'Basic Data'!$A:$A,'Basic Data'!$C:$C),"")</f>
        <v>MSEDCL</v>
      </c>
      <c r="J224" s="286">
        <f>IFERROR(_xlfn.XLOOKUP(Table5[[#This Row],[Affected WTG]],'Basic Data'!$A:$A,'Basic Data'!$E:$E),"")</f>
        <v>2.2727272727272728E-2</v>
      </c>
      <c r="K224" s="79">
        <v>274</v>
      </c>
      <c r="L224" s="23" t="str">
        <f>IFERROR(_xlfn.XLOOKUP(Table5[[#This Row],[Error Code]],'Basic Data'!$W:$W,'Basic Data'!$X:$X),"Incorrect Error Code")</f>
        <v>Pitch thyristor 1 fault</v>
      </c>
      <c r="M224" s="23" t="s">
        <v>158</v>
      </c>
      <c r="N224" s="23"/>
      <c r="O224" s="306">
        <v>0</v>
      </c>
      <c r="P224" s="306">
        <v>0</v>
      </c>
      <c r="Q224" s="306">
        <v>1.8055555555555557E-2</v>
      </c>
      <c r="R224" s="305">
        <f t="shared" si="6"/>
        <v>1.8055555555555557E-2</v>
      </c>
      <c r="S224" s="307">
        <f>(Table5[[#This Row],[Fault Clearance time]]-Table5[[#This Row],[Work Start TimeStamp]])*24</f>
        <v>0.43333333333333335</v>
      </c>
      <c r="T224" s="307">
        <f>(Table5[[#This Row],[Fault Clearance time]]-Table5[[#This Row],[Fault Start TimeStamp]])*24</f>
        <v>0.43333333333333335</v>
      </c>
      <c r="U224" s="23" t="s">
        <v>938</v>
      </c>
      <c r="V224" s="79" t="s">
        <v>339</v>
      </c>
      <c r="W224" s="308">
        <f>IFERROR(Table5[[#This Row],[Breakdown Time]]*Table5[[#This Row],[Plant Equivalent Weightage]],"")</f>
        <v>9.8484848484848495E-3</v>
      </c>
      <c r="X224" s="289" t="s">
        <v>343</v>
      </c>
      <c r="Y224" s="290" t="s">
        <v>118</v>
      </c>
      <c r="Z224" s="79"/>
      <c r="AA224" s="283">
        <v>1020</v>
      </c>
      <c r="AB224" s="79"/>
      <c r="AC224" s="23"/>
      <c r="AD224" s="23"/>
    </row>
    <row r="225" spans="1:30">
      <c r="A225" s="79">
        <f t="shared" si="7"/>
        <v>224</v>
      </c>
      <c r="B225" s="283">
        <f>YEAR(Table5[[#This Row],[Date]])+IF(MONTH(Table5[[#This Row],[Date]])&gt;=4,1,0)</f>
        <v>2026</v>
      </c>
      <c r="C225" s="79">
        <f>YEAR(Table5[[#This Row],[Date]])</f>
        <v>2025</v>
      </c>
      <c r="D225" s="79" t="s">
        <v>344</v>
      </c>
      <c r="E225" s="284">
        <f>Table5[[#This Row],[Date]]-DAY(Table5[[#This Row],[Date]])+1</f>
        <v>45809</v>
      </c>
      <c r="F225" s="285">
        <v>45828</v>
      </c>
      <c r="G225" s="79" t="s">
        <v>79</v>
      </c>
      <c r="H225" s="23" t="str">
        <f>IFERROR(_xlfn.XLOOKUP(Table5[[#This Row],[Affected WTG]],'Basic Data'!$A:$A,'Basic Data'!$B:$B),"")</f>
        <v>PWEPL</v>
      </c>
      <c r="I225" s="23" t="str">
        <f>IFERROR(_xlfn.XLOOKUP(Table5[[#This Row],[Affected WTG]],'Basic Data'!$A:$A,'Basic Data'!$C:$C),"")</f>
        <v>MSEDCL</v>
      </c>
      <c r="J225" s="286">
        <f>IFERROR(_xlfn.XLOOKUP(Table5[[#This Row],[Affected WTG]],'Basic Data'!$A:$A,'Basic Data'!$E:$E),"")</f>
        <v>2.2727272727272728E-2</v>
      </c>
      <c r="K225" s="79">
        <v>34</v>
      </c>
      <c r="L225" s="23" t="str">
        <f>IFERROR(_xlfn.XLOOKUP(Table5[[#This Row],[Error Code]],'Basic Data'!$W:$W,'Basic Data'!$X:$X),"Incorrect Error Code")</f>
        <v>Brake not released secondary brake</v>
      </c>
      <c r="M225" s="23" t="s">
        <v>912</v>
      </c>
      <c r="N225" s="23"/>
      <c r="O225" s="306">
        <v>0</v>
      </c>
      <c r="P225" s="306">
        <v>0</v>
      </c>
      <c r="Q225" s="306">
        <v>7.9861111111111105E-2</v>
      </c>
      <c r="R225" s="305">
        <f t="shared" si="6"/>
        <v>7.9861111111111105E-2</v>
      </c>
      <c r="S225" s="307">
        <f>(Table5[[#This Row],[Fault Clearance time]]-Table5[[#This Row],[Work Start TimeStamp]])*24</f>
        <v>1.9166666666666665</v>
      </c>
      <c r="T225" s="307">
        <f>(Table5[[#This Row],[Fault Clearance time]]-Table5[[#This Row],[Fault Start TimeStamp]])*24</f>
        <v>1.9166666666666665</v>
      </c>
      <c r="U225" s="23" t="s">
        <v>939</v>
      </c>
      <c r="V225" s="79" t="s">
        <v>339</v>
      </c>
      <c r="W225" s="308">
        <f>IFERROR(Table5[[#This Row],[Breakdown Time]]*Table5[[#This Row],[Plant Equivalent Weightage]],"")</f>
        <v>4.3560606060606057E-2</v>
      </c>
      <c r="X225" s="289" t="s">
        <v>343</v>
      </c>
      <c r="Y225" s="290" t="s">
        <v>96</v>
      </c>
      <c r="Z225" s="79"/>
      <c r="AA225" s="283">
        <v>2711</v>
      </c>
      <c r="AB225" s="79"/>
      <c r="AC225" s="23"/>
      <c r="AD225" s="23"/>
    </row>
    <row r="226" spans="1:30">
      <c r="A226" s="79">
        <f t="shared" si="7"/>
        <v>225</v>
      </c>
      <c r="B226" s="283">
        <f>YEAR(Table5[[#This Row],[Date]])+IF(MONTH(Table5[[#This Row],[Date]])&gt;=4,1,0)</f>
        <v>2026</v>
      </c>
      <c r="C226" s="79">
        <f>YEAR(Table5[[#This Row],[Date]])</f>
        <v>2025</v>
      </c>
      <c r="D226" s="79" t="s">
        <v>344</v>
      </c>
      <c r="E226" s="284">
        <f>Table5[[#This Row],[Date]]-DAY(Table5[[#This Row],[Date]])+1</f>
        <v>45809</v>
      </c>
      <c r="F226" s="285">
        <v>45828</v>
      </c>
      <c r="G226" s="79" t="s">
        <v>115</v>
      </c>
      <c r="H226" s="23" t="str">
        <f>IFERROR(_xlfn.XLOOKUP(Table5[[#This Row],[Affected WTG]],'Basic Data'!$A:$A,'Basic Data'!$B:$B),"")</f>
        <v>PWEPL</v>
      </c>
      <c r="I226" s="23" t="str">
        <f>IFERROR(_xlfn.XLOOKUP(Table5[[#This Row],[Affected WTG]],'Basic Data'!$A:$A,'Basic Data'!$C:$C),"")</f>
        <v>MSEDCL</v>
      </c>
      <c r="J226" s="286">
        <f>IFERROR(_xlfn.XLOOKUP(Table5[[#This Row],[Affected WTG]],'Basic Data'!$A:$A,'Basic Data'!$E:$E),"")</f>
        <v>2.2727272727272728E-2</v>
      </c>
      <c r="K226" s="79">
        <v>269</v>
      </c>
      <c r="L226" s="23" t="str">
        <f>IFERROR(_xlfn.XLOOKUP(Table5[[#This Row],[Error Code]],'Basic Data'!$W:$W,'Basic Data'!$X:$X),"Incorrect Error Code")</f>
        <v>Reboot PLC</v>
      </c>
      <c r="M226" s="23" t="s">
        <v>348</v>
      </c>
      <c r="N226" s="23"/>
      <c r="O226" s="306">
        <v>0.12222222222222223</v>
      </c>
      <c r="P226" s="306">
        <v>0.12222222222222223</v>
      </c>
      <c r="Q226" s="306">
        <v>0.23680555555555557</v>
      </c>
      <c r="R226" s="305">
        <f t="shared" si="6"/>
        <v>0.11458333333333334</v>
      </c>
      <c r="S226" s="307">
        <f>(Table5[[#This Row],[Fault Clearance time]]-Table5[[#This Row],[Work Start TimeStamp]])*24</f>
        <v>2.75</v>
      </c>
      <c r="T226" s="307">
        <f>(Table5[[#This Row],[Fault Clearance time]]-Table5[[#This Row],[Fault Start TimeStamp]])*24</f>
        <v>2.75</v>
      </c>
      <c r="U226" s="23" t="s">
        <v>353</v>
      </c>
      <c r="V226" s="79" t="s">
        <v>339</v>
      </c>
      <c r="W226" s="308">
        <f>IFERROR(Table5[[#This Row],[Breakdown Time]]*Table5[[#This Row],[Plant Equivalent Weightage]],"")</f>
        <v>6.25E-2</v>
      </c>
      <c r="X226" s="289" t="s">
        <v>343</v>
      </c>
      <c r="Y226" s="290" t="s">
        <v>116</v>
      </c>
      <c r="Z226" s="79"/>
      <c r="AA226" s="283">
        <v>1737</v>
      </c>
      <c r="AB226" s="79"/>
      <c r="AC226" s="23"/>
      <c r="AD226" s="23"/>
    </row>
    <row r="227" spans="1:30">
      <c r="A227" s="79">
        <f t="shared" si="7"/>
        <v>226</v>
      </c>
      <c r="B227" s="283">
        <f>YEAR(Table5[[#This Row],[Date]])+IF(MONTH(Table5[[#This Row],[Date]])&gt;=4,1,0)</f>
        <v>2026</v>
      </c>
      <c r="C227" s="79">
        <f>YEAR(Table5[[#This Row],[Date]])</f>
        <v>2025</v>
      </c>
      <c r="D227" s="79" t="s">
        <v>344</v>
      </c>
      <c r="E227" s="284">
        <f>Table5[[#This Row],[Date]]-DAY(Table5[[#This Row],[Date]])+1</f>
        <v>45809</v>
      </c>
      <c r="F227" s="285">
        <v>45828</v>
      </c>
      <c r="G227" s="79" t="s">
        <v>116</v>
      </c>
      <c r="H227" s="23" t="str">
        <f>IFERROR(_xlfn.XLOOKUP(Table5[[#This Row],[Affected WTG]],'Basic Data'!$A:$A,'Basic Data'!$B:$B),"")</f>
        <v>PWEPL</v>
      </c>
      <c r="I227" s="23" t="str">
        <f>IFERROR(_xlfn.XLOOKUP(Table5[[#This Row],[Affected WTG]],'Basic Data'!$A:$A,'Basic Data'!$C:$C),"")</f>
        <v>MSEDCL</v>
      </c>
      <c r="J227" s="286">
        <f>IFERROR(_xlfn.XLOOKUP(Table5[[#This Row],[Affected WTG]],'Basic Data'!$A:$A,'Basic Data'!$E:$E),"")</f>
        <v>2.2727272727272728E-2</v>
      </c>
      <c r="K227" s="79">
        <v>269</v>
      </c>
      <c r="L227" s="23" t="str">
        <f>IFERROR(_xlfn.XLOOKUP(Table5[[#This Row],[Error Code]],'Basic Data'!$W:$W,'Basic Data'!$X:$X),"Incorrect Error Code")</f>
        <v>Reboot PLC</v>
      </c>
      <c r="M227" s="23" t="s">
        <v>348</v>
      </c>
      <c r="N227" s="23"/>
      <c r="O227" s="306">
        <v>0.12222222222222223</v>
      </c>
      <c r="P227" s="306">
        <v>0.12222222222222223</v>
      </c>
      <c r="Q227" s="306">
        <v>0.15555555555555556</v>
      </c>
      <c r="R227" s="305">
        <f t="shared" si="6"/>
        <v>3.3333333333333326E-2</v>
      </c>
      <c r="S227" s="307">
        <f>(Table5[[#This Row],[Fault Clearance time]]-Table5[[#This Row],[Work Start TimeStamp]])*24</f>
        <v>0.79999999999999982</v>
      </c>
      <c r="T227" s="307">
        <f>(Table5[[#This Row],[Fault Clearance time]]-Table5[[#This Row],[Fault Start TimeStamp]])*24</f>
        <v>0.79999999999999982</v>
      </c>
      <c r="U227" s="23" t="s">
        <v>353</v>
      </c>
      <c r="V227" s="79" t="s">
        <v>339</v>
      </c>
      <c r="W227" s="308">
        <f>IFERROR(Table5[[#This Row],[Breakdown Time]]*Table5[[#This Row],[Plant Equivalent Weightage]],"")</f>
        <v>1.8181818181818177E-2</v>
      </c>
      <c r="X227" s="289" t="s">
        <v>343</v>
      </c>
      <c r="Y227" s="290" t="s">
        <v>117</v>
      </c>
      <c r="Z227" s="79"/>
      <c r="AA227" s="283">
        <v>0</v>
      </c>
      <c r="AB227" s="79"/>
      <c r="AC227" s="23"/>
      <c r="AD227" s="23"/>
    </row>
    <row r="228" spans="1:30">
      <c r="A228" s="79">
        <f t="shared" si="7"/>
        <v>227</v>
      </c>
      <c r="B228" s="283">
        <f>YEAR(Table5[[#This Row],[Date]])+IF(MONTH(Table5[[#This Row],[Date]])&gt;=4,1,0)</f>
        <v>2026</v>
      </c>
      <c r="C228" s="79">
        <f>YEAR(Table5[[#This Row],[Date]])</f>
        <v>2025</v>
      </c>
      <c r="D228" s="79" t="s">
        <v>344</v>
      </c>
      <c r="E228" s="284">
        <f>Table5[[#This Row],[Date]]-DAY(Table5[[#This Row],[Date]])+1</f>
        <v>45809</v>
      </c>
      <c r="F228" s="285">
        <v>45828</v>
      </c>
      <c r="G228" s="79" t="s">
        <v>105</v>
      </c>
      <c r="H228" s="23" t="str">
        <f>IFERROR(_xlfn.XLOOKUP(Table5[[#This Row],[Affected WTG]],'Basic Data'!$A:$A,'Basic Data'!$B:$B),"")</f>
        <v>PWEPL</v>
      </c>
      <c r="I228" s="23" t="str">
        <f>IFERROR(_xlfn.XLOOKUP(Table5[[#This Row],[Affected WTG]],'Basic Data'!$A:$A,'Basic Data'!$C:$C),"")</f>
        <v>MSEDCL</v>
      </c>
      <c r="J228" s="286">
        <f>IFERROR(_xlfn.XLOOKUP(Table5[[#This Row],[Affected WTG]],'Basic Data'!$A:$A,'Basic Data'!$E:$E),"")</f>
        <v>2.2727272727272728E-2</v>
      </c>
      <c r="K228" s="79">
        <v>269</v>
      </c>
      <c r="L228" s="23" t="str">
        <f>IFERROR(_xlfn.XLOOKUP(Table5[[#This Row],[Error Code]],'Basic Data'!$W:$W,'Basic Data'!$X:$X),"Incorrect Error Code")</f>
        <v>Reboot PLC</v>
      </c>
      <c r="M228" s="23" t="s">
        <v>348</v>
      </c>
      <c r="N228" s="23"/>
      <c r="O228" s="306">
        <v>0.12222222222222223</v>
      </c>
      <c r="P228" s="306">
        <v>0.12222222222222223</v>
      </c>
      <c r="Q228" s="306">
        <v>0.18888888888888888</v>
      </c>
      <c r="R228" s="305">
        <f t="shared" si="6"/>
        <v>6.6666666666666652E-2</v>
      </c>
      <c r="S228" s="307">
        <f>(Table5[[#This Row],[Fault Clearance time]]-Table5[[#This Row],[Work Start TimeStamp]])*24</f>
        <v>1.5999999999999996</v>
      </c>
      <c r="T228" s="307">
        <f>(Table5[[#This Row],[Fault Clearance time]]-Table5[[#This Row],[Fault Start TimeStamp]])*24</f>
        <v>1.5999999999999996</v>
      </c>
      <c r="U228" s="23" t="s">
        <v>353</v>
      </c>
      <c r="V228" s="79" t="s">
        <v>339</v>
      </c>
      <c r="W228" s="308">
        <f>IFERROR(Table5[[#This Row],[Breakdown Time]]*Table5[[#This Row],[Plant Equivalent Weightage]],"")</f>
        <v>3.6363636363636355E-2</v>
      </c>
      <c r="X228" s="289" t="s">
        <v>343</v>
      </c>
      <c r="Y228" s="290" t="s">
        <v>116</v>
      </c>
      <c r="Z228" s="79"/>
      <c r="AA228" s="283">
        <v>124</v>
      </c>
      <c r="AB228" s="79"/>
      <c r="AC228" s="23"/>
      <c r="AD228" s="23"/>
    </row>
    <row r="229" spans="1:30">
      <c r="A229" s="79">
        <f t="shared" si="7"/>
        <v>228</v>
      </c>
      <c r="B229" s="283">
        <f>YEAR(Table5[[#This Row],[Date]])+IF(MONTH(Table5[[#This Row],[Date]])&gt;=4,1,0)</f>
        <v>2026</v>
      </c>
      <c r="C229" s="79">
        <f>YEAR(Table5[[#This Row],[Date]])</f>
        <v>2025</v>
      </c>
      <c r="D229" s="79" t="s">
        <v>344</v>
      </c>
      <c r="E229" s="284">
        <f>Table5[[#This Row],[Date]]-DAY(Table5[[#This Row],[Date]])+1</f>
        <v>45809</v>
      </c>
      <c r="F229" s="285">
        <v>45828</v>
      </c>
      <c r="G229" s="79" t="s">
        <v>119</v>
      </c>
      <c r="H229" s="23" t="str">
        <f>IFERROR(_xlfn.XLOOKUP(Table5[[#This Row],[Affected WTG]],'Basic Data'!$A:$A,'Basic Data'!$B:$B),"")</f>
        <v>PWEPL</v>
      </c>
      <c r="I229" s="23" t="str">
        <f>IFERROR(_xlfn.XLOOKUP(Table5[[#This Row],[Affected WTG]],'Basic Data'!$A:$A,'Basic Data'!$C:$C),"")</f>
        <v>MSEDCL</v>
      </c>
      <c r="J229" s="286">
        <f>IFERROR(_xlfn.XLOOKUP(Table5[[#This Row],[Affected WTG]],'Basic Data'!$A:$A,'Basic Data'!$E:$E),"")</f>
        <v>2.2727272727272728E-2</v>
      </c>
      <c r="K229" s="79">
        <v>275</v>
      </c>
      <c r="L229" s="23" t="str">
        <f>IFERROR(_xlfn.XLOOKUP(Table5[[#This Row],[Error Code]],'Basic Data'!$W:$W,'Basic Data'!$X:$X),"Incorrect Error Code")</f>
        <v>Pitch thyristor 2 fault</v>
      </c>
      <c r="M229" s="23" t="s">
        <v>162</v>
      </c>
      <c r="N229" s="23"/>
      <c r="O229" s="306">
        <v>0.29583333333333334</v>
      </c>
      <c r="P229" s="306">
        <v>0.29583333333333334</v>
      </c>
      <c r="Q229" s="306">
        <v>0.50694444444444442</v>
      </c>
      <c r="R229" s="305">
        <f t="shared" si="6"/>
        <v>0.21111111111111108</v>
      </c>
      <c r="S229" s="307">
        <f>(Table5[[#This Row],[Fault Clearance time]]-Table5[[#This Row],[Work Start TimeStamp]])*24</f>
        <v>5.0666666666666664</v>
      </c>
      <c r="T229" s="307">
        <f>(Table5[[#This Row],[Fault Clearance time]]-Table5[[#This Row],[Fault Start TimeStamp]])*24</f>
        <v>5.0666666666666664</v>
      </c>
      <c r="U229" s="23" t="s">
        <v>914</v>
      </c>
      <c r="V229" s="79" t="s">
        <v>339</v>
      </c>
      <c r="W229" s="308">
        <f>IFERROR(Table5[[#This Row],[Breakdown Time]]*Table5[[#This Row],[Plant Equivalent Weightage]],"")</f>
        <v>0.11515151515151514</v>
      </c>
      <c r="X229" s="289" t="s">
        <v>343</v>
      </c>
      <c r="Y229" s="290" t="s">
        <v>118</v>
      </c>
      <c r="Z229" s="79"/>
      <c r="AA229" s="283">
        <v>7231</v>
      </c>
      <c r="AB229" s="79"/>
      <c r="AC229" s="23"/>
      <c r="AD229" s="23"/>
    </row>
    <row r="230" spans="1:30">
      <c r="A230" s="79">
        <f t="shared" si="7"/>
        <v>229</v>
      </c>
      <c r="B230" s="283">
        <f>YEAR(Table5[[#This Row],[Date]])+IF(MONTH(Table5[[#This Row],[Date]])&gt;=4,1,0)</f>
        <v>2026</v>
      </c>
      <c r="C230" s="79">
        <f>YEAR(Table5[[#This Row],[Date]])</f>
        <v>2025</v>
      </c>
      <c r="D230" s="79" t="s">
        <v>344</v>
      </c>
      <c r="E230" s="284">
        <f>Table5[[#This Row],[Date]]-DAY(Table5[[#This Row],[Date]])+1</f>
        <v>45809</v>
      </c>
      <c r="F230" s="285">
        <v>45828</v>
      </c>
      <c r="G230" s="79" t="s">
        <v>115</v>
      </c>
      <c r="H230" s="23" t="str">
        <f>IFERROR(_xlfn.XLOOKUP(Table5[[#This Row],[Affected WTG]],'Basic Data'!$A:$A,'Basic Data'!$B:$B),"")</f>
        <v>PWEPL</v>
      </c>
      <c r="I230" s="23" t="str">
        <f>IFERROR(_xlfn.XLOOKUP(Table5[[#This Row],[Affected WTG]],'Basic Data'!$A:$A,'Basic Data'!$C:$C),"")</f>
        <v>MSEDCL</v>
      </c>
      <c r="J230" s="286">
        <f>IFERROR(_xlfn.XLOOKUP(Table5[[#This Row],[Affected WTG]],'Basic Data'!$A:$A,'Basic Data'!$E:$E),"")</f>
        <v>2.2727272727272728E-2</v>
      </c>
      <c r="K230" s="79">
        <v>142</v>
      </c>
      <c r="L230" s="23" t="str">
        <f>IFERROR(_xlfn.XLOOKUP(Table5[[#This Row],[Error Code]],'Basic Data'!$W:$W,'Basic Data'!$X:$X),"Incorrect Error Code")</f>
        <v>Line CCU collective faults</v>
      </c>
      <c r="M230" s="23" t="s">
        <v>149</v>
      </c>
      <c r="N230" s="23"/>
      <c r="O230" s="306">
        <v>0.29652777777777778</v>
      </c>
      <c r="P230" s="306">
        <v>0.29652777777777778</v>
      </c>
      <c r="Q230" s="306">
        <v>0.33819444444444446</v>
      </c>
      <c r="R230" s="305">
        <f t="shared" si="6"/>
        <v>4.1666666666666685E-2</v>
      </c>
      <c r="S230" s="307">
        <f>(Table5[[#This Row],[Fault Clearance time]]-Table5[[#This Row],[Work Start TimeStamp]])*24</f>
        <v>1.0000000000000004</v>
      </c>
      <c r="T230" s="307">
        <f>(Table5[[#This Row],[Fault Clearance time]]-Table5[[#This Row],[Fault Start TimeStamp]])*24</f>
        <v>1.0000000000000004</v>
      </c>
      <c r="U230" s="23" t="s">
        <v>940</v>
      </c>
      <c r="V230" s="79" t="s">
        <v>339</v>
      </c>
      <c r="W230" s="308">
        <f>IFERROR(Table5[[#This Row],[Breakdown Time]]*Table5[[#This Row],[Plant Equivalent Weightage]],"")</f>
        <v>2.2727272727272738E-2</v>
      </c>
      <c r="X230" s="289" t="s">
        <v>343</v>
      </c>
      <c r="Y230" s="290" t="s">
        <v>116</v>
      </c>
      <c r="Z230" s="79"/>
      <c r="AA230" s="283">
        <v>1218</v>
      </c>
      <c r="AB230" s="79"/>
      <c r="AC230" s="23"/>
      <c r="AD230" s="23"/>
    </row>
    <row r="231" spans="1:30">
      <c r="A231" s="79">
        <f t="shared" si="7"/>
        <v>230</v>
      </c>
      <c r="B231" s="283">
        <f>YEAR(Table5[[#This Row],[Date]])+IF(MONTH(Table5[[#This Row],[Date]])&gt;=4,1,0)</f>
        <v>2026</v>
      </c>
      <c r="C231" s="79">
        <f>YEAR(Table5[[#This Row],[Date]])</f>
        <v>2025</v>
      </c>
      <c r="D231" s="79" t="s">
        <v>344</v>
      </c>
      <c r="E231" s="284">
        <f>Table5[[#This Row],[Date]]-DAY(Table5[[#This Row],[Date]])+1</f>
        <v>45809</v>
      </c>
      <c r="F231" s="285">
        <v>45829</v>
      </c>
      <c r="G231" s="79" t="s">
        <v>105</v>
      </c>
      <c r="H231" s="23" t="str">
        <f>IFERROR(_xlfn.XLOOKUP(Table5[[#This Row],[Affected WTG]],'Basic Data'!$A:$A,'Basic Data'!$B:$B),"")</f>
        <v>PWEPL</v>
      </c>
      <c r="I231" s="23" t="str">
        <f>IFERROR(_xlfn.XLOOKUP(Table5[[#This Row],[Affected WTG]],'Basic Data'!$A:$A,'Basic Data'!$C:$C),"")</f>
        <v>MSEDCL</v>
      </c>
      <c r="J231" s="286">
        <f>IFERROR(_xlfn.XLOOKUP(Table5[[#This Row],[Affected WTG]],'Basic Data'!$A:$A,'Basic Data'!$E:$E),"")</f>
        <v>2.2727272727272728E-2</v>
      </c>
      <c r="K231" s="79">
        <v>142</v>
      </c>
      <c r="L231" s="23" t="str">
        <f>IFERROR(_xlfn.XLOOKUP(Table5[[#This Row],[Error Code]],'Basic Data'!$W:$W,'Basic Data'!$X:$X),"Incorrect Error Code")</f>
        <v>Line CCU collective faults</v>
      </c>
      <c r="M231" s="23" t="s">
        <v>149</v>
      </c>
      <c r="N231" s="23"/>
      <c r="O231" s="306">
        <v>0.38194444444444442</v>
      </c>
      <c r="P231" s="306">
        <v>0.38194444444444442</v>
      </c>
      <c r="Q231" s="306">
        <v>0.51736111111111105</v>
      </c>
      <c r="R231" s="298">
        <f t="shared" si="6"/>
        <v>0.13541666666666663</v>
      </c>
      <c r="S231" s="317">
        <f>(Table5[[#This Row],[Fault Clearance time]]-Table5[[#This Row],[Work Start TimeStamp]])*24</f>
        <v>3.2499999999999991</v>
      </c>
      <c r="T231" s="317">
        <f>(Table5[[#This Row],[Fault Clearance time]]-Table5[[#This Row],[Fault Start TimeStamp]])*24</f>
        <v>3.2499999999999991</v>
      </c>
      <c r="U231" s="23" t="s">
        <v>940</v>
      </c>
      <c r="V231" s="79" t="s">
        <v>339</v>
      </c>
      <c r="W231" s="308">
        <f>IFERROR(Table5[[#This Row],[Breakdown Time]]*Table5[[#This Row],[Plant Equivalent Weightage]],"")</f>
        <v>7.386363636363634E-2</v>
      </c>
      <c r="X231" s="289" t="s">
        <v>343</v>
      </c>
      <c r="Y231" s="290" t="s">
        <v>103</v>
      </c>
      <c r="Z231" s="79"/>
      <c r="AA231" s="283">
        <v>3185</v>
      </c>
      <c r="AB231" s="79"/>
      <c r="AC231" s="23"/>
      <c r="AD231" s="23"/>
    </row>
    <row r="232" spans="1:30">
      <c r="A232" s="79">
        <f t="shared" si="7"/>
        <v>231</v>
      </c>
      <c r="B232" s="283">
        <f>YEAR(Table5[[#This Row],[Date]])+IF(MONTH(Table5[[#This Row],[Date]])&gt;=4,1,0)</f>
        <v>2026</v>
      </c>
      <c r="C232" s="79">
        <f>YEAR(Table5[[#This Row],[Date]])</f>
        <v>2025</v>
      </c>
      <c r="D232" s="79" t="s">
        <v>344</v>
      </c>
      <c r="E232" s="284">
        <f>Table5[[#This Row],[Date]]-DAY(Table5[[#This Row],[Date]])+1</f>
        <v>45809</v>
      </c>
      <c r="F232" s="285">
        <v>45829</v>
      </c>
      <c r="G232" s="79" t="s">
        <v>81</v>
      </c>
      <c r="H232" s="23" t="str">
        <f>IFERROR(_xlfn.XLOOKUP(Table5[[#This Row],[Affected WTG]],'Basic Data'!$A:$A,'Basic Data'!$B:$B),"")</f>
        <v>PWEPL</v>
      </c>
      <c r="I232" s="23" t="str">
        <f>IFERROR(_xlfn.XLOOKUP(Table5[[#This Row],[Affected WTG]],'Basic Data'!$A:$A,'Basic Data'!$C:$C),"")</f>
        <v>MSEDCL</v>
      </c>
      <c r="J232" s="286">
        <f>IFERROR(_xlfn.XLOOKUP(Table5[[#This Row],[Affected WTG]],'Basic Data'!$A:$A,'Basic Data'!$E:$E),"")</f>
        <v>2.2727272727272728E-2</v>
      </c>
      <c r="K232" s="79">
        <v>3</v>
      </c>
      <c r="L232" s="23" t="str">
        <f>IFERROR(_xlfn.XLOOKUP(Table5[[#This Row],[Error Code]],'Basic Data'!$W:$W,'Basic Data'!$X:$X),"Incorrect Error Code")</f>
        <v>Manual Stop</v>
      </c>
      <c r="M232" s="23" t="s">
        <v>941</v>
      </c>
      <c r="N232" s="23"/>
      <c r="O232" s="306">
        <v>0.65763888888888888</v>
      </c>
      <c r="P232" s="306">
        <v>0.65763888888888888</v>
      </c>
      <c r="Q232" s="306">
        <v>0.68194444444444446</v>
      </c>
      <c r="R232" s="298">
        <f t="shared" si="6"/>
        <v>2.430555555555558E-2</v>
      </c>
      <c r="S232" s="317">
        <f>(Table5[[#This Row],[Fault Clearance time]]-Table5[[#This Row],[Work Start TimeStamp]])*24</f>
        <v>0.58333333333333393</v>
      </c>
      <c r="T232" s="317">
        <f>(Table5[[#This Row],[Fault Clearance time]]-Table5[[#This Row],[Fault Start TimeStamp]])*24</f>
        <v>0.58333333333333393</v>
      </c>
      <c r="U232" s="23" t="s">
        <v>941</v>
      </c>
      <c r="V232" s="79" t="s">
        <v>339</v>
      </c>
      <c r="W232" s="308">
        <f>IFERROR(Table5[[#This Row],[Breakdown Time]]*Table5[[#This Row],[Plant Equivalent Weightage]],"")</f>
        <v>1.3257575757575772E-2</v>
      </c>
      <c r="X232" s="289" t="s">
        <v>343</v>
      </c>
      <c r="Y232" s="290" t="s">
        <v>108</v>
      </c>
      <c r="Z232" s="79"/>
      <c r="AA232" s="283">
        <v>913</v>
      </c>
      <c r="AB232" s="79"/>
      <c r="AC232" s="23"/>
      <c r="AD232" s="23"/>
    </row>
    <row r="233" spans="1:30">
      <c r="A233" s="79">
        <f t="shared" si="7"/>
        <v>232</v>
      </c>
      <c r="B233" s="283">
        <f>YEAR(Table5[[#This Row],[Date]])+IF(MONTH(Table5[[#This Row],[Date]])&gt;=4,1,0)</f>
        <v>2026</v>
      </c>
      <c r="C233" s="79">
        <f>YEAR(Table5[[#This Row],[Date]])</f>
        <v>2025</v>
      </c>
      <c r="D233" s="79" t="s">
        <v>344</v>
      </c>
      <c r="E233" s="284">
        <f>Table5[[#This Row],[Date]]-DAY(Table5[[#This Row],[Date]])+1</f>
        <v>45809</v>
      </c>
      <c r="F233" s="285">
        <v>45829</v>
      </c>
      <c r="G233" s="79" t="s">
        <v>111</v>
      </c>
      <c r="H233" s="23" t="str">
        <f>IFERROR(_xlfn.XLOOKUP(Table5[[#This Row],[Affected WTG]],'Basic Data'!$A:$A,'Basic Data'!$B:$B),"")</f>
        <v>PWEPL</v>
      </c>
      <c r="I233" s="23" t="str">
        <f>IFERROR(_xlfn.XLOOKUP(Table5[[#This Row],[Affected WTG]],'Basic Data'!$A:$A,'Basic Data'!$C:$C),"")</f>
        <v>MSEDCL</v>
      </c>
      <c r="J233" s="286">
        <f>IFERROR(_xlfn.XLOOKUP(Table5[[#This Row],[Affected WTG]],'Basic Data'!$A:$A,'Basic Data'!$E:$E),"")</f>
        <v>2.2727272727272728E-2</v>
      </c>
      <c r="K233" s="79">
        <v>142</v>
      </c>
      <c r="L233" s="23" t="str">
        <f>IFERROR(_xlfn.XLOOKUP(Table5[[#This Row],[Error Code]],'Basic Data'!$W:$W,'Basic Data'!$X:$X),"Incorrect Error Code")</f>
        <v>Line CCU collective faults</v>
      </c>
      <c r="M233" s="23" t="s">
        <v>149</v>
      </c>
      <c r="N233" s="23"/>
      <c r="O233" s="306">
        <v>0.6743055555555556</v>
      </c>
      <c r="P233" s="306">
        <v>0.6743055555555556</v>
      </c>
      <c r="Q233" s="306">
        <v>0.68888888888888899</v>
      </c>
      <c r="R233" s="298">
        <f t="shared" si="6"/>
        <v>1.4583333333333393E-2</v>
      </c>
      <c r="S233" s="317">
        <f>(Table5[[#This Row],[Fault Clearance time]]-Table5[[#This Row],[Work Start TimeStamp]])*24</f>
        <v>0.35000000000000142</v>
      </c>
      <c r="T233" s="317">
        <f>(Table5[[#This Row],[Fault Clearance time]]-Table5[[#This Row],[Fault Start TimeStamp]])*24</f>
        <v>0.35000000000000142</v>
      </c>
      <c r="U233" s="23" t="s">
        <v>353</v>
      </c>
      <c r="V233" s="79" t="s">
        <v>339</v>
      </c>
      <c r="W233" s="308">
        <f>IFERROR(Table5[[#This Row],[Breakdown Time]]*Table5[[#This Row],[Plant Equivalent Weightage]],"")</f>
        <v>7.9545454545454867E-3</v>
      </c>
      <c r="X233" s="289" t="s">
        <v>343</v>
      </c>
      <c r="Y233" s="290" t="s">
        <v>112</v>
      </c>
      <c r="Z233" s="79"/>
      <c r="AA233" s="283">
        <v>750</v>
      </c>
      <c r="AB233" s="79"/>
      <c r="AC233" s="23"/>
      <c r="AD233" s="23"/>
    </row>
    <row r="234" spans="1:30">
      <c r="A234" s="79">
        <f t="shared" si="7"/>
        <v>233</v>
      </c>
      <c r="B234" s="283">
        <f>YEAR(Table5[[#This Row],[Date]])+IF(MONTH(Table5[[#This Row],[Date]])&gt;=4,1,0)</f>
        <v>2026</v>
      </c>
      <c r="C234" s="79">
        <f>YEAR(Table5[[#This Row],[Date]])</f>
        <v>2025</v>
      </c>
      <c r="D234" s="79" t="s">
        <v>344</v>
      </c>
      <c r="E234" s="284">
        <f>Table5[[#This Row],[Date]]-DAY(Table5[[#This Row],[Date]])+1</f>
        <v>45809</v>
      </c>
      <c r="F234" s="285">
        <v>45829</v>
      </c>
      <c r="G234" s="79" t="s">
        <v>82</v>
      </c>
      <c r="H234" s="23" t="str">
        <f>IFERROR(_xlfn.XLOOKUP(Table5[[#This Row],[Affected WTG]],'Basic Data'!$A:$A,'Basic Data'!$B:$B),"")</f>
        <v>PWEPL</v>
      </c>
      <c r="I234" s="23" t="str">
        <f>IFERROR(_xlfn.XLOOKUP(Table5[[#This Row],[Affected WTG]],'Basic Data'!$A:$A,'Basic Data'!$C:$C),"")</f>
        <v>MSEDCL</v>
      </c>
      <c r="J234" s="286">
        <f>IFERROR(_xlfn.XLOOKUP(Table5[[#This Row],[Affected WTG]],'Basic Data'!$A:$A,'Basic Data'!$E:$E),"")</f>
        <v>2.2727272727272728E-2</v>
      </c>
      <c r="K234" s="79">
        <v>275</v>
      </c>
      <c r="L234" s="23" t="str">
        <f>IFERROR(_xlfn.XLOOKUP(Table5[[#This Row],[Error Code]],'Basic Data'!$W:$W,'Basic Data'!$X:$X),"Incorrect Error Code")</f>
        <v>Pitch thyristor 2 fault</v>
      </c>
      <c r="M234" s="23" t="s">
        <v>162</v>
      </c>
      <c r="N234" s="23"/>
      <c r="O234" s="306">
        <v>0.70277777777777783</v>
      </c>
      <c r="P234" s="306">
        <v>0.70277777777777783</v>
      </c>
      <c r="Q234" s="306">
        <v>0.7104166666666667</v>
      </c>
      <c r="R234" s="298">
        <f t="shared" si="6"/>
        <v>7.6388888888888618E-3</v>
      </c>
      <c r="S234" s="317">
        <f>(Table5[[#This Row],[Fault Clearance time]]-Table5[[#This Row],[Work Start TimeStamp]])*24</f>
        <v>0.18333333333333268</v>
      </c>
      <c r="T234" s="317">
        <f>(Table5[[#This Row],[Fault Clearance time]]-Table5[[#This Row],[Fault Start TimeStamp]])*24</f>
        <v>0.18333333333333268</v>
      </c>
      <c r="U234" s="23" t="s">
        <v>353</v>
      </c>
      <c r="V234" s="79" t="s">
        <v>339</v>
      </c>
      <c r="W234" s="308">
        <f>IFERROR(Table5[[#This Row],[Breakdown Time]]*Table5[[#This Row],[Plant Equivalent Weightage]],"")</f>
        <v>4.1666666666666519E-3</v>
      </c>
      <c r="X234" s="289" t="s">
        <v>343</v>
      </c>
      <c r="Y234" s="290" t="s">
        <v>93</v>
      </c>
      <c r="Z234" s="79"/>
      <c r="AA234" s="283">
        <v>184</v>
      </c>
      <c r="AB234" s="79"/>
      <c r="AC234" s="23"/>
      <c r="AD234" s="23"/>
    </row>
    <row r="235" spans="1:30">
      <c r="A235" s="79">
        <f t="shared" si="7"/>
        <v>234</v>
      </c>
      <c r="B235" s="283">
        <f>YEAR(Table5[[#This Row],[Date]])+IF(MONTH(Table5[[#This Row],[Date]])&gt;=4,1,0)</f>
        <v>2026</v>
      </c>
      <c r="C235" s="79">
        <f>YEAR(Table5[[#This Row],[Date]])</f>
        <v>2025</v>
      </c>
      <c r="D235" s="79" t="s">
        <v>344</v>
      </c>
      <c r="E235" s="284">
        <f>Table5[[#This Row],[Date]]-DAY(Table5[[#This Row],[Date]])+1</f>
        <v>45809</v>
      </c>
      <c r="F235" s="285">
        <v>45829</v>
      </c>
      <c r="G235" s="79" t="s">
        <v>76</v>
      </c>
      <c r="H235" s="23" t="str">
        <f>IFERROR(_xlfn.XLOOKUP(Table5[[#This Row],[Affected WTG]],'Basic Data'!$A:$A,'Basic Data'!$B:$B),"")</f>
        <v>PWEPL</v>
      </c>
      <c r="I235" s="23" t="str">
        <f>IFERROR(_xlfn.XLOOKUP(Table5[[#This Row],[Affected WTG]],'Basic Data'!$A:$A,'Basic Data'!$C:$C),"")</f>
        <v>MSEDCL</v>
      </c>
      <c r="J235" s="286">
        <f>IFERROR(_xlfn.XLOOKUP(Table5[[#This Row],[Affected WTG]],'Basic Data'!$A:$A,'Basic Data'!$E:$E),"")</f>
        <v>2.2727272727272728E-2</v>
      </c>
      <c r="K235" s="79">
        <v>142</v>
      </c>
      <c r="L235" s="23" t="str">
        <f>IFERROR(_xlfn.XLOOKUP(Table5[[#This Row],[Error Code]],'Basic Data'!$W:$W,'Basic Data'!$X:$X),"Incorrect Error Code")</f>
        <v>Line CCU collective faults</v>
      </c>
      <c r="M235" s="23" t="s">
        <v>149</v>
      </c>
      <c r="N235" s="23"/>
      <c r="O235" s="306">
        <v>0.7090277777777777</v>
      </c>
      <c r="P235" s="306">
        <v>0.7090277777777777</v>
      </c>
      <c r="Q235" s="306">
        <v>0.72430555555555554</v>
      </c>
      <c r="R235" s="298">
        <f t="shared" si="6"/>
        <v>1.5277777777777835E-2</v>
      </c>
      <c r="S235" s="317">
        <f>(Table5[[#This Row],[Fault Clearance time]]-Table5[[#This Row],[Work Start TimeStamp]])*24</f>
        <v>0.36666666666666803</v>
      </c>
      <c r="T235" s="317">
        <f>(Table5[[#This Row],[Fault Clearance time]]-Table5[[#This Row],[Fault Start TimeStamp]])*24</f>
        <v>0.36666666666666803</v>
      </c>
      <c r="U235" s="23" t="s">
        <v>353</v>
      </c>
      <c r="V235" s="79" t="s">
        <v>339</v>
      </c>
      <c r="W235" s="308">
        <f>IFERROR(Table5[[#This Row],[Breakdown Time]]*Table5[[#This Row],[Plant Equivalent Weightage]],"")</f>
        <v>8.3333333333333644E-3</v>
      </c>
      <c r="X235" s="289" t="s">
        <v>343</v>
      </c>
      <c r="Y235" s="290" t="s">
        <v>82</v>
      </c>
      <c r="Z235" s="79"/>
      <c r="AA235" s="283">
        <v>20</v>
      </c>
      <c r="AB235" s="79"/>
      <c r="AC235" s="23"/>
      <c r="AD235" s="23"/>
    </row>
    <row r="236" spans="1:30">
      <c r="A236" s="79">
        <f t="shared" si="7"/>
        <v>235</v>
      </c>
      <c r="B236" s="283">
        <f>YEAR(Table5[[#This Row],[Date]])+IF(MONTH(Table5[[#This Row],[Date]])&gt;=4,1,0)</f>
        <v>2026</v>
      </c>
      <c r="C236" s="79">
        <f>YEAR(Table5[[#This Row],[Date]])</f>
        <v>2025</v>
      </c>
      <c r="D236" s="79" t="s">
        <v>344</v>
      </c>
      <c r="E236" s="284">
        <f>Table5[[#This Row],[Date]]-DAY(Table5[[#This Row],[Date]])+1</f>
        <v>45809</v>
      </c>
      <c r="F236" s="285">
        <v>45830</v>
      </c>
      <c r="G236" s="79" t="s">
        <v>86</v>
      </c>
      <c r="H236" s="23" t="str">
        <f>IFERROR(_xlfn.XLOOKUP(Table5[[#This Row],[Affected WTG]],'Basic Data'!$A:$A,'Basic Data'!$B:$B),"")</f>
        <v>PWEPL</v>
      </c>
      <c r="I236" s="23" t="str">
        <f>IFERROR(_xlfn.XLOOKUP(Table5[[#This Row],[Affected WTG]],'Basic Data'!$A:$A,'Basic Data'!$C:$C),"")</f>
        <v>MSEDCL</v>
      </c>
      <c r="J236" s="286">
        <f>IFERROR(_xlfn.XLOOKUP(Table5[[#This Row],[Affected WTG]],'Basic Data'!$A:$A,'Basic Data'!$E:$E),"")</f>
        <v>2.2727272727272728E-2</v>
      </c>
      <c r="K236" s="79">
        <v>275</v>
      </c>
      <c r="L236" s="23" t="str">
        <f>IFERROR(_xlfn.XLOOKUP(Table5[[#This Row],[Error Code]],'Basic Data'!$W:$W,'Basic Data'!$X:$X),"Incorrect Error Code")</f>
        <v>Pitch thyristor 2 fault</v>
      </c>
      <c r="M236" s="23" t="s">
        <v>162</v>
      </c>
      <c r="N236" s="23"/>
      <c r="O236" s="306">
        <v>0.35972222222222222</v>
      </c>
      <c r="P236" s="306">
        <v>0.35972222222222222</v>
      </c>
      <c r="Q236" s="306">
        <v>0.45555555555555555</v>
      </c>
      <c r="R236" s="298">
        <f t="shared" si="6"/>
        <v>9.5833333333333326E-2</v>
      </c>
      <c r="S236" s="317">
        <f>(Table5[[#This Row],[Fault Clearance time]]-Table5[[#This Row],[Work Start TimeStamp]])*24</f>
        <v>2.2999999999999998</v>
      </c>
      <c r="T236" s="317">
        <f>(Table5[[#This Row],[Fault Clearance time]]-Table5[[#This Row],[Fault Start TimeStamp]])*24</f>
        <v>2.2999999999999998</v>
      </c>
      <c r="U236" s="23" t="s">
        <v>914</v>
      </c>
      <c r="V236" s="79" t="s">
        <v>339</v>
      </c>
      <c r="W236" s="308">
        <f>IFERROR(Table5[[#This Row],[Breakdown Time]]*Table5[[#This Row],[Plant Equivalent Weightage]],"")</f>
        <v>5.2272727272727269E-2</v>
      </c>
      <c r="X236" s="289" t="s">
        <v>343</v>
      </c>
      <c r="Y236" s="290" t="s">
        <v>85</v>
      </c>
      <c r="Z236" s="79"/>
      <c r="AA236" s="283">
        <v>1968</v>
      </c>
      <c r="AB236" s="79"/>
      <c r="AC236" s="23"/>
      <c r="AD236" s="23"/>
    </row>
    <row r="237" spans="1:30">
      <c r="A237" s="79">
        <f t="shared" si="7"/>
        <v>236</v>
      </c>
      <c r="B237" s="283">
        <f>YEAR(Table5[[#This Row],[Date]])+IF(MONTH(Table5[[#This Row],[Date]])&gt;=4,1,0)</f>
        <v>2026</v>
      </c>
      <c r="C237" s="79">
        <f>YEAR(Table5[[#This Row],[Date]])</f>
        <v>2025</v>
      </c>
      <c r="D237" s="79" t="s">
        <v>344</v>
      </c>
      <c r="E237" s="284">
        <f>Table5[[#This Row],[Date]]-DAY(Table5[[#This Row],[Date]])+1</f>
        <v>45809</v>
      </c>
      <c r="F237" s="285">
        <v>45830</v>
      </c>
      <c r="G237" s="79" t="s">
        <v>105</v>
      </c>
      <c r="H237" s="23" t="str">
        <f>IFERROR(_xlfn.XLOOKUP(Table5[[#This Row],[Affected WTG]],'Basic Data'!$A:$A,'Basic Data'!$B:$B),"")</f>
        <v>PWEPL</v>
      </c>
      <c r="I237" s="23" t="str">
        <f>IFERROR(_xlfn.XLOOKUP(Table5[[#This Row],[Affected WTG]],'Basic Data'!$A:$A,'Basic Data'!$C:$C),"")</f>
        <v>MSEDCL</v>
      </c>
      <c r="J237" s="286">
        <f>IFERROR(_xlfn.XLOOKUP(Table5[[#This Row],[Affected WTG]],'Basic Data'!$A:$A,'Basic Data'!$E:$E),"")</f>
        <v>2.2727272727272728E-2</v>
      </c>
      <c r="K237" s="79">
        <v>142</v>
      </c>
      <c r="L237" s="23" t="str">
        <f>IFERROR(_xlfn.XLOOKUP(Table5[[#This Row],[Error Code]],'Basic Data'!$W:$W,'Basic Data'!$X:$X),"Incorrect Error Code")</f>
        <v>Line CCU collective faults</v>
      </c>
      <c r="M237" s="23" t="s">
        <v>149</v>
      </c>
      <c r="N237" s="23"/>
      <c r="O237" s="306">
        <v>0.82430555555555562</v>
      </c>
      <c r="P237" s="306">
        <v>0.82430555555555562</v>
      </c>
      <c r="Q237" s="306">
        <v>0.85138888888888886</v>
      </c>
      <c r="R237" s="298">
        <f t="shared" si="6"/>
        <v>2.7083333333333237E-2</v>
      </c>
      <c r="S237" s="317">
        <f>(Table5[[#This Row],[Fault Clearance time]]-Table5[[#This Row],[Work Start TimeStamp]])*24</f>
        <v>0.64999999999999769</v>
      </c>
      <c r="T237" s="317">
        <f>(Table5[[#This Row],[Fault Clearance time]]-Table5[[#This Row],[Fault Start TimeStamp]])*24</f>
        <v>0.64999999999999769</v>
      </c>
      <c r="U237" s="23" t="s">
        <v>940</v>
      </c>
      <c r="V237" s="79" t="s">
        <v>339</v>
      </c>
      <c r="W237" s="308">
        <f>IFERROR(Table5[[#This Row],[Breakdown Time]]*Table5[[#This Row],[Plant Equivalent Weightage]],"")</f>
        <v>1.477272727272722E-2</v>
      </c>
      <c r="X237" s="289" t="s">
        <v>343</v>
      </c>
      <c r="Y237" s="290" t="s">
        <v>103</v>
      </c>
      <c r="Z237" s="79"/>
      <c r="AA237" s="283">
        <v>1046</v>
      </c>
      <c r="AB237" s="79"/>
      <c r="AC237" s="23"/>
      <c r="AD237" s="23"/>
    </row>
    <row r="238" spans="1:30">
      <c r="A238" s="79">
        <f t="shared" si="7"/>
        <v>237</v>
      </c>
      <c r="B238" s="283">
        <f>YEAR(Table5[[#This Row],[Date]])+IF(MONTH(Table5[[#This Row],[Date]])&gt;=4,1,0)</f>
        <v>2026</v>
      </c>
      <c r="C238" s="79">
        <f>YEAR(Table5[[#This Row],[Date]])</f>
        <v>2025</v>
      </c>
      <c r="D238" s="79" t="s">
        <v>344</v>
      </c>
      <c r="E238" s="284">
        <f>Table5[[#This Row],[Date]]-DAY(Table5[[#This Row],[Date]])+1</f>
        <v>45809</v>
      </c>
      <c r="F238" s="285">
        <v>45830</v>
      </c>
      <c r="G238" s="79" t="s">
        <v>84</v>
      </c>
      <c r="H238" s="23" t="str">
        <f>IFERROR(_xlfn.XLOOKUP(Table5[[#This Row],[Affected WTG]],'Basic Data'!$A:$A,'Basic Data'!$B:$B),"")</f>
        <v>PWEPL</v>
      </c>
      <c r="I238" s="23" t="str">
        <f>IFERROR(_xlfn.XLOOKUP(Table5[[#This Row],[Affected WTG]],'Basic Data'!$A:$A,'Basic Data'!$C:$C),"")</f>
        <v>MSEDCL</v>
      </c>
      <c r="J238" s="286">
        <f>IFERROR(_xlfn.XLOOKUP(Table5[[#This Row],[Affected WTG]],'Basic Data'!$A:$A,'Basic Data'!$E:$E),"")</f>
        <v>2.2727272727272728E-2</v>
      </c>
      <c r="K238" s="79">
        <v>142</v>
      </c>
      <c r="L238" s="23" t="str">
        <f>IFERROR(_xlfn.XLOOKUP(Table5[[#This Row],[Error Code]],'Basic Data'!$W:$W,'Basic Data'!$X:$X),"Incorrect Error Code")</f>
        <v>Line CCU collective faults</v>
      </c>
      <c r="M238" s="23" t="s">
        <v>149</v>
      </c>
      <c r="N238" s="23"/>
      <c r="O238" s="306">
        <v>0.45763888888888887</v>
      </c>
      <c r="P238" s="306">
        <v>0.45763888888888887</v>
      </c>
      <c r="Q238" s="306">
        <v>0.4604166666666667</v>
      </c>
      <c r="R238" s="298">
        <f t="shared" si="6"/>
        <v>2.7777777777778234E-3</v>
      </c>
      <c r="S238" s="317">
        <f>(Table5[[#This Row],[Fault Clearance time]]-Table5[[#This Row],[Work Start TimeStamp]])*24</f>
        <v>6.6666666666667762E-2</v>
      </c>
      <c r="T238" s="317">
        <f>(Table5[[#This Row],[Fault Clearance time]]-Table5[[#This Row],[Fault Start TimeStamp]])*24</f>
        <v>6.6666666666667762E-2</v>
      </c>
      <c r="U238" s="23" t="s">
        <v>353</v>
      </c>
      <c r="V238" s="79" t="s">
        <v>339</v>
      </c>
      <c r="W238" s="308">
        <f>IFERROR(Table5[[#This Row],[Breakdown Time]]*Table5[[#This Row],[Plant Equivalent Weightage]],"")</f>
        <v>1.5151515151515401E-3</v>
      </c>
      <c r="X238" s="289" t="s">
        <v>343</v>
      </c>
      <c r="Y238" s="290" t="s">
        <v>83</v>
      </c>
      <c r="Z238" s="79"/>
      <c r="AA238" s="283">
        <v>176</v>
      </c>
      <c r="AB238" s="79"/>
      <c r="AC238" s="23"/>
      <c r="AD238" s="23"/>
    </row>
    <row r="239" spans="1:30">
      <c r="A239" s="79">
        <f t="shared" si="7"/>
        <v>238</v>
      </c>
      <c r="B239" s="283">
        <f>YEAR(Table5[[#This Row],[Date]])+IF(MONTH(Table5[[#This Row],[Date]])&gt;=4,1,0)</f>
        <v>2026</v>
      </c>
      <c r="C239" s="79">
        <f>YEAR(Table5[[#This Row],[Date]])</f>
        <v>2025</v>
      </c>
      <c r="D239" s="79" t="s">
        <v>344</v>
      </c>
      <c r="E239" s="284">
        <f>Table5[[#This Row],[Date]]-DAY(Table5[[#This Row],[Date]])+1</f>
        <v>45809</v>
      </c>
      <c r="F239" s="285">
        <v>45830</v>
      </c>
      <c r="G239" s="79" t="s">
        <v>85</v>
      </c>
      <c r="H239" s="23" t="str">
        <f>IFERROR(_xlfn.XLOOKUP(Table5[[#This Row],[Affected WTG]],'Basic Data'!$A:$A,'Basic Data'!$B:$B),"")</f>
        <v>PWEPL</v>
      </c>
      <c r="I239" s="23" t="str">
        <f>IFERROR(_xlfn.XLOOKUP(Table5[[#This Row],[Affected WTG]],'Basic Data'!$A:$A,'Basic Data'!$C:$C),"")</f>
        <v>MSEDCL</v>
      </c>
      <c r="J239" s="286">
        <f>IFERROR(_xlfn.XLOOKUP(Table5[[#This Row],[Affected WTG]],'Basic Data'!$A:$A,'Basic Data'!$E:$E),"")</f>
        <v>2.2727272727272728E-2</v>
      </c>
      <c r="K239" s="79">
        <v>63</v>
      </c>
      <c r="L239" s="23" t="str">
        <f>IFERROR(_xlfn.XLOOKUP(Table5[[#This Row],[Error Code]],'Basic Data'!$W:$W,'Basic Data'!$X:$X),"Incorrect Error Code")</f>
        <v>Safety chain</v>
      </c>
      <c r="M239" s="23" t="s">
        <v>189</v>
      </c>
      <c r="N239" s="23"/>
      <c r="O239" s="306">
        <v>0.50555555555555554</v>
      </c>
      <c r="P239" s="306">
        <v>0.50555555555555554</v>
      </c>
      <c r="Q239" s="306">
        <v>0.51180555555555551</v>
      </c>
      <c r="R239" s="298">
        <f t="shared" si="6"/>
        <v>6.2499999999999778E-3</v>
      </c>
      <c r="S239" s="317">
        <f>(Table5[[#This Row],[Fault Clearance time]]-Table5[[#This Row],[Work Start TimeStamp]])*24</f>
        <v>0.14999999999999947</v>
      </c>
      <c r="T239" s="317">
        <f>(Table5[[#This Row],[Fault Clearance time]]-Table5[[#This Row],[Fault Start TimeStamp]])*24</f>
        <v>0.14999999999999947</v>
      </c>
      <c r="U239" s="23" t="s">
        <v>353</v>
      </c>
      <c r="V239" s="79" t="s">
        <v>339</v>
      </c>
      <c r="W239" s="308">
        <f>IFERROR(Table5[[#This Row],[Breakdown Time]]*Table5[[#This Row],[Plant Equivalent Weightage]],"")</f>
        <v>3.4090909090908972E-3</v>
      </c>
      <c r="X239" s="289" t="s">
        <v>343</v>
      </c>
      <c r="Y239" s="290" t="s">
        <v>84</v>
      </c>
      <c r="Z239" s="79"/>
      <c r="AA239" s="283">
        <v>288</v>
      </c>
      <c r="AB239" s="79"/>
      <c r="AC239" s="23"/>
      <c r="AD239" s="23"/>
    </row>
    <row r="240" spans="1:30">
      <c r="A240" s="79">
        <f t="shared" si="7"/>
        <v>239</v>
      </c>
      <c r="B240" s="283">
        <f>YEAR(Table5[[#This Row],[Date]])+IF(MONTH(Table5[[#This Row],[Date]])&gt;=4,1,0)</f>
        <v>2026</v>
      </c>
      <c r="C240" s="79">
        <f>YEAR(Table5[[#This Row],[Date]])</f>
        <v>2025</v>
      </c>
      <c r="D240" s="79" t="s">
        <v>344</v>
      </c>
      <c r="E240" s="284">
        <f>Table5[[#This Row],[Date]]-DAY(Table5[[#This Row],[Date]])+1</f>
        <v>45809</v>
      </c>
      <c r="F240" s="285">
        <v>45830</v>
      </c>
      <c r="G240" s="79" t="s">
        <v>94</v>
      </c>
      <c r="H240" s="23" t="str">
        <f>IFERROR(_xlfn.XLOOKUP(Table5[[#This Row],[Affected WTG]],'Basic Data'!$A:$A,'Basic Data'!$B:$B),"")</f>
        <v>PWEPL</v>
      </c>
      <c r="I240" s="23" t="str">
        <f>IFERROR(_xlfn.XLOOKUP(Table5[[#This Row],[Affected WTG]],'Basic Data'!$A:$A,'Basic Data'!$C:$C),"")</f>
        <v>MSEDCL</v>
      </c>
      <c r="J240" s="286">
        <f>IFERROR(_xlfn.XLOOKUP(Table5[[#This Row],[Affected WTG]],'Basic Data'!$A:$A,'Basic Data'!$E:$E),"")</f>
        <v>2.2727272727272728E-2</v>
      </c>
      <c r="K240" s="79">
        <v>142</v>
      </c>
      <c r="L240" s="23" t="str">
        <f>IFERROR(_xlfn.XLOOKUP(Table5[[#This Row],[Error Code]],'Basic Data'!$W:$W,'Basic Data'!$X:$X),"Incorrect Error Code")</f>
        <v>Line CCU collective faults</v>
      </c>
      <c r="M240" s="23" t="s">
        <v>149</v>
      </c>
      <c r="N240" s="23"/>
      <c r="O240" s="306">
        <v>0.55625000000000002</v>
      </c>
      <c r="P240" s="306">
        <v>0.55625000000000002</v>
      </c>
      <c r="Q240" s="306">
        <v>0.55902777777777779</v>
      </c>
      <c r="R240" s="298">
        <f t="shared" si="6"/>
        <v>2.7777777777777679E-3</v>
      </c>
      <c r="S240" s="317">
        <f>(Table5[[#This Row],[Fault Clearance time]]-Table5[[#This Row],[Work Start TimeStamp]])*24</f>
        <v>6.666666666666643E-2</v>
      </c>
      <c r="T240" s="317">
        <f>(Table5[[#This Row],[Fault Clearance time]]-Table5[[#This Row],[Fault Start TimeStamp]])*24</f>
        <v>6.666666666666643E-2</v>
      </c>
      <c r="U240" s="23" t="s">
        <v>353</v>
      </c>
      <c r="V240" s="79" t="s">
        <v>339</v>
      </c>
      <c r="W240" s="308">
        <f>IFERROR(Table5[[#This Row],[Breakdown Time]]*Table5[[#This Row],[Plant Equivalent Weightage]],"")</f>
        <v>1.5151515151515097E-3</v>
      </c>
      <c r="X240" s="289" t="s">
        <v>343</v>
      </c>
      <c r="Y240" s="290" t="s">
        <v>95</v>
      </c>
      <c r="Z240" s="79"/>
      <c r="AA240" s="283">
        <v>199</v>
      </c>
      <c r="AB240" s="79"/>
      <c r="AC240" s="23"/>
      <c r="AD240" s="23"/>
    </row>
    <row r="241" spans="1:30">
      <c r="A241" s="79">
        <f t="shared" si="7"/>
        <v>240</v>
      </c>
      <c r="B241" s="283">
        <f>YEAR(Table5[[#This Row],[Date]])+IF(MONTH(Table5[[#This Row],[Date]])&gt;=4,1,0)</f>
        <v>2026</v>
      </c>
      <c r="C241" s="79">
        <f>YEAR(Table5[[#This Row],[Date]])</f>
        <v>2025</v>
      </c>
      <c r="D241" s="79" t="s">
        <v>344</v>
      </c>
      <c r="E241" s="284">
        <f>Table5[[#This Row],[Date]]-DAY(Table5[[#This Row],[Date]])+1</f>
        <v>45809</v>
      </c>
      <c r="F241" s="285">
        <v>45830</v>
      </c>
      <c r="G241" s="79" t="s">
        <v>97</v>
      </c>
      <c r="H241" s="23" t="str">
        <f>IFERROR(_xlfn.XLOOKUP(Table5[[#This Row],[Affected WTG]],'Basic Data'!$A:$A,'Basic Data'!$B:$B),"")</f>
        <v>PWEPL</v>
      </c>
      <c r="I241" s="23" t="str">
        <f>IFERROR(_xlfn.XLOOKUP(Table5[[#This Row],[Affected WTG]],'Basic Data'!$A:$A,'Basic Data'!$C:$C),"")</f>
        <v>MSEDCL</v>
      </c>
      <c r="J241" s="286">
        <f>IFERROR(_xlfn.XLOOKUP(Table5[[#This Row],[Affected WTG]],'Basic Data'!$A:$A,'Basic Data'!$E:$E),"")</f>
        <v>2.2727272727272728E-2</v>
      </c>
      <c r="K241" s="79">
        <v>276</v>
      </c>
      <c r="L241" s="23" t="str">
        <f>IFERROR(_xlfn.XLOOKUP(Table5[[#This Row],[Error Code]],'Basic Data'!$W:$W,'Basic Data'!$X:$X),"Incorrect Error Code")</f>
        <v>Pitch thyristor 3 fault</v>
      </c>
      <c r="M241" s="23" t="s">
        <v>153</v>
      </c>
      <c r="N241" s="23"/>
      <c r="O241" s="306">
        <v>0.57291666666666663</v>
      </c>
      <c r="P241" s="306">
        <v>0.57291666666666663</v>
      </c>
      <c r="Q241" s="306">
        <v>0.5756944444444444</v>
      </c>
      <c r="R241" s="298">
        <f t="shared" si="6"/>
        <v>2.7777777777777679E-3</v>
      </c>
      <c r="S241" s="317">
        <f>(Table5[[#This Row],[Fault Clearance time]]-Table5[[#This Row],[Work Start TimeStamp]])*24</f>
        <v>6.666666666666643E-2</v>
      </c>
      <c r="T241" s="317">
        <f>(Table5[[#This Row],[Fault Clearance time]]-Table5[[#This Row],[Fault Start TimeStamp]])*24</f>
        <v>6.666666666666643E-2</v>
      </c>
      <c r="U241" s="23" t="s">
        <v>353</v>
      </c>
      <c r="V241" s="79" t="s">
        <v>339</v>
      </c>
      <c r="W241" s="308">
        <f>IFERROR(Table5[[#This Row],[Breakdown Time]]*Table5[[#This Row],[Plant Equivalent Weightage]],"")</f>
        <v>1.5151515151515097E-3</v>
      </c>
      <c r="X241" s="289" t="s">
        <v>343</v>
      </c>
      <c r="Y241" s="290" t="s">
        <v>96</v>
      </c>
      <c r="Z241" s="79"/>
      <c r="AA241" s="283">
        <v>266</v>
      </c>
      <c r="AB241" s="79"/>
      <c r="AC241" s="23"/>
      <c r="AD241" s="23"/>
    </row>
    <row r="242" spans="1:30">
      <c r="A242" s="79">
        <f t="shared" si="7"/>
        <v>241</v>
      </c>
      <c r="B242" s="283">
        <f>YEAR(Table5[[#This Row],[Date]])+IF(MONTH(Table5[[#This Row],[Date]])&gt;=4,1,0)</f>
        <v>2026</v>
      </c>
      <c r="C242" s="79">
        <f>YEAR(Table5[[#This Row],[Date]])</f>
        <v>2025</v>
      </c>
      <c r="D242" s="79" t="s">
        <v>344</v>
      </c>
      <c r="E242" s="284">
        <f>Table5[[#This Row],[Date]]-DAY(Table5[[#This Row],[Date]])+1</f>
        <v>45809</v>
      </c>
      <c r="F242" s="285">
        <v>45830</v>
      </c>
      <c r="G242" s="79" t="s">
        <v>99</v>
      </c>
      <c r="H242" s="23" t="str">
        <f>IFERROR(_xlfn.XLOOKUP(Table5[[#This Row],[Affected WTG]],'Basic Data'!$A:$A,'Basic Data'!$B:$B),"")</f>
        <v>PWEPL</v>
      </c>
      <c r="I242" s="23" t="str">
        <f>IFERROR(_xlfn.XLOOKUP(Table5[[#This Row],[Affected WTG]],'Basic Data'!$A:$A,'Basic Data'!$C:$C),"")</f>
        <v>MSEDCL</v>
      </c>
      <c r="J242" s="286">
        <f>IFERROR(_xlfn.XLOOKUP(Table5[[#This Row],[Affected WTG]],'Basic Data'!$A:$A,'Basic Data'!$E:$E),"")</f>
        <v>2.2727272727272728E-2</v>
      </c>
      <c r="K242" s="79">
        <v>3</v>
      </c>
      <c r="L242" s="23" t="str">
        <f>IFERROR(_xlfn.XLOOKUP(Table5[[#This Row],[Error Code]],'Basic Data'!$W:$W,'Basic Data'!$X:$X),"Incorrect Error Code")</f>
        <v>Manual Stop</v>
      </c>
      <c r="M242" s="23" t="s">
        <v>941</v>
      </c>
      <c r="N242" s="23"/>
      <c r="O242" s="306">
        <v>0.58472222222222225</v>
      </c>
      <c r="P242" s="306">
        <v>0.58472222222222225</v>
      </c>
      <c r="Q242" s="306">
        <v>0.59861111111111109</v>
      </c>
      <c r="R242" s="298">
        <f t="shared" si="6"/>
        <v>1.388888888888884E-2</v>
      </c>
      <c r="S242" s="317">
        <f>(Table5[[#This Row],[Fault Clearance time]]-Table5[[#This Row],[Work Start TimeStamp]])*24</f>
        <v>0.33333333333333215</v>
      </c>
      <c r="T242" s="317">
        <f>(Table5[[#This Row],[Fault Clearance time]]-Table5[[#This Row],[Fault Start TimeStamp]])*24</f>
        <v>0.33333333333333215</v>
      </c>
      <c r="U242" s="23" t="s">
        <v>941</v>
      </c>
      <c r="V242" s="79" t="s">
        <v>339</v>
      </c>
      <c r="W242" s="308">
        <f>IFERROR(Table5[[#This Row],[Breakdown Time]]*Table5[[#This Row],[Plant Equivalent Weightage]],"")</f>
        <v>7.5757575757575491E-3</v>
      </c>
      <c r="X242" s="289" t="s">
        <v>343</v>
      </c>
      <c r="Y242" s="290" t="s">
        <v>98</v>
      </c>
      <c r="Z242" s="79"/>
      <c r="AA242" s="283">
        <v>791</v>
      </c>
      <c r="AB242" s="79"/>
      <c r="AC242" s="23"/>
      <c r="AD242" s="23"/>
    </row>
    <row r="243" spans="1:30">
      <c r="A243" s="79">
        <f t="shared" si="7"/>
        <v>242</v>
      </c>
      <c r="B243" s="283">
        <f>YEAR(Table5[[#This Row],[Date]])+IF(MONTH(Table5[[#This Row],[Date]])&gt;=4,1,0)</f>
        <v>2026</v>
      </c>
      <c r="C243" s="79">
        <f>YEAR(Table5[[#This Row],[Date]])</f>
        <v>2025</v>
      </c>
      <c r="D243" s="79" t="s">
        <v>344</v>
      </c>
      <c r="E243" s="284">
        <f>Table5[[#This Row],[Date]]-DAY(Table5[[#This Row],[Date]])+1</f>
        <v>45809</v>
      </c>
      <c r="F243" s="285">
        <v>45830</v>
      </c>
      <c r="G243" s="79" t="s">
        <v>104</v>
      </c>
      <c r="H243" s="23" t="str">
        <f>IFERROR(_xlfn.XLOOKUP(Table5[[#This Row],[Affected WTG]],'Basic Data'!$A:$A,'Basic Data'!$B:$B),"")</f>
        <v>PWEPL</v>
      </c>
      <c r="I243" s="23" t="str">
        <f>IFERROR(_xlfn.XLOOKUP(Table5[[#This Row],[Affected WTG]],'Basic Data'!$A:$A,'Basic Data'!$C:$C),"")</f>
        <v>MSEDCL</v>
      </c>
      <c r="J243" s="286">
        <f>IFERROR(_xlfn.XLOOKUP(Table5[[#This Row],[Affected WTG]],'Basic Data'!$A:$A,'Basic Data'!$E:$E),"")</f>
        <v>2.2727272727272728E-2</v>
      </c>
      <c r="K243" s="79">
        <v>142</v>
      </c>
      <c r="L243" s="23" t="str">
        <f>IFERROR(_xlfn.XLOOKUP(Table5[[#This Row],[Error Code]],'Basic Data'!$W:$W,'Basic Data'!$X:$X),"Incorrect Error Code")</f>
        <v>Line CCU collective faults</v>
      </c>
      <c r="M243" s="23" t="s">
        <v>149</v>
      </c>
      <c r="N243" s="23"/>
      <c r="O243" s="306">
        <v>0.55972222222222223</v>
      </c>
      <c r="P243" s="306">
        <v>0.55972222222222223</v>
      </c>
      <c r="Q243" s="306">
        <v>0.56527777777777777</v>
      </c>
      <c r="R243" s="298">
        <f t="shared" si="6"/>
        <v>5.5555555555555358E-3</v>
      </c>
      <c r="S243" s="317">
        <f>(Table5[[#This Row],[Fault Clearance time]]-Table5[[#This Row],[Work Start TimeStamp]])*24</f>
        <v>0.13333333333333286</v>
      </c>
      <c r="T243" s="317">
        <f>(Table5[[#This Row],[Fault Clearance time]]-Table5[[#This Row],[Fault Start TimeStamp]])*24</f>
        <v>0.13333333333333286</v>
      </c>
      <c r="U243" s="23" t="s">
        <v>353</v>
      </c>
      <c r="V243" s="79" t="s">
        <v>339</v>
      </c>
      <c r="W243" s="308">
        <f>IFERROR(Table5[[#This Row],[Breakdown Time]]*Table5[[#This Row],[Plant Equivalent Weightage]],"")</f>
        <v>3.0303030303030195E-3</v>
      </c>
      <c r="X243" s="289" t="s">
        <v>343</v>
      </c>
      <c r="Y243" s="290" t="s">
        <v>79</v>
      </c>
      <c r="Z243" s="79"/>
      <c r="AA243" s="283">
        <v>261</v>
      </c>
      <c r="AB243" s="79"/>
      <c r="AC243" s="23"/>
      <c r="AD243" s="23"/>
    </row>
    <row r="244" spans="1:30">
      <c r="A244" s="79">
        <f t="shared" si="7"/>
        <v>243</v>
      </c>
      <c r="B244" s="283">
        <f>YEAR(Table5[[#This Row],[Date]])+IF(MONTH(Table5[[#This Row],[Date]])&gt;=4,1,0)</f>
        <v>2026</v>
      </c>
      <c r="C244" s="79">
        <f>YEAR(Table5[[#This Row],[Date]])</f>
        <v>2025</v>
      </c>
      <c r="D244" s="79" t="s">
        <v>344</v>
      </c>
      <c r="E244" s="284">
        <f>Table5[[#This Row],[Date]]-DAY(Table5[[#This Row],[Date]])+1</f>
        <v>45809</v>
      </c>
      <c r="F244" s="285">
        <v>45830</v>
      </c>
      <c r="G244" s="79" t="s">
        <v>106</v>
      </c>
      <c r="H244" s="23" t="str">
        <f>IFERROR(_xlfn.XLOOKUP(Table5[[#This Row],[Affected WTG]],'Basic Data'!$A:$A,'Basic Data'!$B:$B),"")</f>
        <v>PWEPL</v>
      </c>
      <c r="I244" s="23" t="str">
        <f>IFERROR(_xlfn.XLOOKUP(Table5[[#This Row],[Affected WTG]],'Basic Data'!$A:$A,'Basic Data'!$C:$C),"")</f>
        <v>MSEDCL</v>
      </c>
      <c r="J244" s="286">
        <f>IFERROR(_xlfn.XLOOKUP(Table5[[#This Row],[Affected WTG]],'Basic Data'!$A:$A,'Basic Data'!$E:$E),"")</f>
        <v>2.2727272727272728E-2</v>
      </c>
      <c r="K244" s="79">
        <v>141</v>
      </c>
      <c r="L244" s="23" t="str">
        <f>IFERROR(_xlfn.XLOOKUP(Table5[[#This Row],[Error Code]],'Basic Data'!$W:$W,'Basic Data'!$X:$X),"Incorrect Error Code")</f>
        <v>Rotor CCU collective faults</v>
      </c>
      <c r="M244" s="23" t="s">
        <v>942</v>
      </c>
      <c r="N244" s="23"/>
      <c r="O244" s="306">
        <v>0.53333333333333333</v>
      </c>
      <c r="P244" s="306">
        <v>0.53333333333333333</v>
      </c>
      <c r="Q244" s="306">
        <v>0.53611111111111109</v>
      </c>
      <c r="R244" s="298">
        <f t="shared" si="6"/>
        <v>2.7777777777777679E-3</v>
      </c>
      <c r="S244" s="317">
        <f>(Table5[[#This Row],[Fault Clearance time]]-Table5[[#This Row],[Work Start TimeStamp]])*24</f>
        <v>6.666666666666643E-2</v>
      </c>
      <c r="T244" s="317">
        <f>(Table5[[#This Row],[Fault Clearance time]]-Table5[[#This Row],[Fault Start TimeStamp]])*24</f>
        <v>6.666666666666643E-2</v>
      </c>
      <c r="U244" s="23" t="s">
        <v>353</v>
      </c>
      <c r="V244" s="79" t="s">
        <v>339</v>
      </c>
      <c r="W244" s="308">
        <f>IFERROR(Table5[[#This Row],[Breakdown Time]]*Table5[[#This Row],[Plant Equivalent Weightage]],"")</f>
        <v>1.5151515151515097E-3</v>
      </c>
      <c r="X244" s="289" t="s">
        <v>343</v>
      </c>
      <c r="Y244" s="290" t="s">
        <v>92</v>
      </c>
      <c r="Z244" s="79"/>
      <c r="AA244" s="283">
        <v>270</v>
      </c>
      <c r="AB244" s="79"/>
      <c r="AC244" s="23"/>
      <c r="AD244" s="23"/>
    </row>
    <row r="245" spans="1:30">
      <c r="A245" s="79">
        <f t="shared" si="7"/>
        <v>244</v>
      </c>
      <c r="B245" s="283">
        <f>YEAR(Table5[[#This Row],[Date]])+IF(MONTH(Table5[[#This Row],[Date]])&gt;=4,1,0)</f>
        <v>2026</v>
      </c>
      <c r="C245" s="79">
        <f>YEAR(Table5[[#This Row],[Date]])</f>
        <v>2025</v>
      </c>
      <c r="D245" s="79" t="s">
        <v>344</v>
      </c>
      <c r="E245" s="284">
        <f>Table5[[#This Row],[Date]]-DAY(Table5[[#This Row],[Date]])+1</f>
        <v>45809</v>
      </c>
      <c r="F245" s="285">
        <v>45831</v>
      </c>
      <c r="G245" s="79" t="s">
        <v>83</v>
      </c>
      <c r="H245" s="23" t="str">
        <f>IFERROR(_xlfn.XLOOKUP(Table5[[#This Row],[Affected WTG]],'Basic Data'!$A:$A,'Basic Data'!$B:$B),"")</f>
        <v>PWEPL</v>
      </c>
      <c r="I245" s="23" t="str">
        <f>IFERROR(_xlfn.XLOOKUP(Table5[[#This Row],[Affected WTG]],'Basic Data'!$A:$A,'Basic Data'!$C:$C),"")</f>
        <v>MSEDCL</v>
      </c>
      <c r="J245" s="286">
        <f>IFERROR(_xlfn.XLOOKUP(Table5[[#This Row],[Affected WTG]],'Basic Data'!$A:$A,'Basic Data'!$E:$E),"")</f>
        <v>2.2727272727272728E-2</v>
      </c>
      <c r="K245" s="79">
        <v>430</v>
      </c>
      <c r="L245" s="23" t="str">
        <f>IFERROR(_xlfn.XLOOKUP(Table5[[#This Row],[Error Code]],'Basic Data'!$W:$W,'Basic Data'!$X:$X),"Incorrect Error Code")</f>
        <v xml:space="preserve">Yaw tooth sensor 1 timeout </v>
      </c>
      <c r="M245" s="23" t="s">
        <v>377</v>
      </c>
      <c r="N245" s="23"/>
      <c r="O245" s="306">
        <v>0.61875000000000002</v>
      </c>
      <c r="P245" s="306">
        <v>0.61875000000000002</v>
      </c>
      <c r="Q245" s="306">
        <v>0.66249999999999998</v>
      </c>
      <c r="R245" s="298">
        <f t="shared" si="6"/>
        <v>4.3749999999999956E-2</v>
      </c>
      <c r="S245" s="317">
        <f>(Table5[[#This Row],[Fault Clearance time]]-Table5[[#This Row],[Work Start TimeStamp]])*24</f>
        <v>1.0499999999999989</v>
      </c>
      <c r="T245" s="317">
        <f>(Table5[[#This Row],[Fault Clearance time]]-Table5[[#This Row],[Fault Start TimeStamp]])*24</f>
        <v>1.0499999999999989</v>
      </c>
      <c r="U245" s="23" t="s">
        <v>799</v>
      </c>
      <c r="V245" s="79" t="s">
        <v>339</v>
      </c>
      <c r="W245" s="308">
        <f>IFERROR(Table5[[#This Row],[Breakdown Time]]*Table5[[#This Row],[Plant Equivalent Weightage]],"")</f>
        <v>2.386363636363634E-2</v>
      </c>
      <c r="X245" s="289" t="s">
        <v>343</v>
      </c>
      <c r="Y245" s="290" t="s">
        <v>98</v>
      </c>
      <c r="Z245" s="79"/>
      <c r="AA245" s="283">
        <v>1573</v>
      </c>
      <c r="AB245" s="79"/>
      <c r="AC245" s="23"/>
      <c r="AD245" s="23"/>
    </row>
    <row r="246" spans="1:30">
      <c r="A246" s="79">
        <f t="shared" si="7"/>
        <v>245</v>
      </c>
      <c r="B246" s="283">
        <f>YEAR(Table5[[#This Row],[Date]])+IF(MONTH(Table5[[#This Row],[Date]])&gt;=4,1,0)</f>
        <v>2026</v>
      </c>
      <c r="C246" s="79">
        <f>YEAR(Table5[[#This Row],[Date]])</f>
        <v>2025</v>
      </c>
      <c r="D246" s="79" t="s">
        <v>344</v>
      </c>
      <c r="E246" s="284">
        <f>Table5[[#This Row],[Date]]-DAY(Table5[[#This Row],[Date]])+1</f>
        <v>45809</v>
      </c>
      <c r="F246" s="285">
        <v>45831</v>
      </c>
      <c r="G246" s="79" t="s">
        <v>84</v>
      </c>
      <c r="H246" s="23" t="str">
        <f>IFERROR(_xlfn.XLOOKUP(Table5[[#This Row],[Affected WTG]],'Basic Data'!$A:$A,'Basic Data'!$B:$B),"")</f>
        <v>PWEPL</v>
      </c>
      <c r="I246" s="23" t="str">
        <f>IFERROR(_xlfn.XLOOKUP(Table5[[#This Row],[Affected WTG]],'Basic Data'!$A:$A,'Basic Data'!$C:$C),"")</f>
        <v>MSEDCL</v>
      </c>
      <c r="J246" s="286">
        <f>IFERROR(_xlfn.XLOOKUP(Table5[[#This Row],[Affected WTG]],'Basic Data'!$A:$A,'Basic Data'!$E:$E),"")</f>
        <v>2.2727272727272728E-2</v>
      </c>
      <c r="K246" s="79">
        <v>77</v>
      </c>
      <c r="L246" s="23" t="str">
        <f>IFERROR(_xlfn.XLOOKUP(Table5[[#This Row],[Error Code]],'Basic Data'!$W:$W,'Basic Data'!$X:$X),"Incorrect Error Code")</f>
        <v>Gearbox oil overtemperature</v>
      </c>
      <c r="M246" s="23" t="s">
        <v>943</v>
      </c>
      <c r="N246" s="23"/>
      <c r="O246" s="306">
        <v>0.65277777777777779</v>
      </c>
      <c r="P246" s="306">
        <v>0.65277777777777779</v>
      </c>
      <c r="Q246" s="306">
        <v>0.76388888888888884</v>
      </c>
      <c r="R246" s="298">
        <f t="shared" si="6"/>
        <v>0.11111111111111105</v>
      </c>
      <c r="S246" s="317">
        <f>(Table5[[#This Row],[Fault Clearance time]]-Table5[[#This Row],[Work Start TimeStamp]])*24</f>
        <v>2.6666666666666652</v>
      </c>
      <c r="T246" s="317">
        <f>(Table5[[#This Row],[Fault Clearance time]]-Table5[[#This Row],[Fault Start TimeStamp]])*24</f>
        <v>2.6666666666666652</v>
      </c>
      <c r="U246" s="23" t="s">
        <v>944</v>
      </c>
      <c r="V246" s="79" t="s">
        <v>339</v>
      </c>
      <c r="W246" s="308">
        <f>IFERROR(Table5[[#This Row],[Breakdown Time]]*Table5[[#This Row],[Plant Equivalent Weightage]],"")</f>
        <v>6.0606060606060573E-2</v>
      </c>
      <c r="X246" s="289" t="s">
        <v>343</v>
      </c>
      <c r="Y246" s="290" t="s">
        <v>85</v>
      </c>
      <c r="Z246" s="79"/>
      <c r="AA246" s="283">
        <v>3601</v>
      </c>
      <c r="AB246" s="79"/>
      <c r="AC246" s="23"/>
      <c r="AD246" s="23"/>
    </row>
    <row r="247" spans="1:30">
      <c r="A247" s="79">
        <f t="shared" si="7"/>
        <v>246</v>
      </c>
      <c r="B247" s="283">
        <f>YEAR(Table5[[#This Row],[Date]])+IF(MONTH(Table5[[#This Row],[Date]])&gt;=4,1,0)</f>
        <v>2026</v>
      </c>
      <c r="C247" s="79">
        <f>YEAR(Table5[[#This Row],[Date]])</f>
        <v>2025</v>
      </c>
      <c r="D247" s="79" t="s">
        <v>344</v>
      </c>
      <c r="E247" s="284">
        <f>Table5[[#This Row],[Date]]-DAY(Table5[[#This Row],[Date]])+1</f>
        <v>45809</v>
      </c>
      <c r="F247" s="285">
        <v>45831</v>
      </c>
      <c r="G247" s="79" t="s">
        <v>79</v>
      </c>
      <c r="H247" s="23" t="str">
        <f>IFERROR(_xlfn.XLOOKUP(Table5[[#This Row],[Affected WTG]],'Basic Data'!$A:$A,'Basic Data'!$B:$B),"")</f>
        <v>PWEPL</v>
      </c>
      <c r="I247" s="23" t="str">
        <f>IFERROR(_xlfn.XLOOKUP(Table5[[#This Row],[Affected WTG]],'Basic Data'!$A:$A,'Basic Data'!$C:$C),"")</f>
        <v>MSEDCL</v>
      </c>
      <c r="J247" s="286">
        <f>IFERROR(_xlfn.XLOOKUP(Table5[[#This Row],[Affected WTG]],'Basic Data'!$A:$A,'Basic Data'!$E:$E),"")</f>
        <v>2.2727272727272728E-2</v>
      </c>
      <c r="K247" s="79">
        <v>352</v>
      </c>
      <c r="L247" s="23" t="str">
        <f>IFERROR(_xlfn.XLOOKUP(Table5[[#This Row],[Error Code]],'Basic Data'!$W:$W,'Basic Data'!$X:$X),"Incorrect Error Code")</f>
        <v>Communication fault wind measurement device</v>
      </c>
      <c r="M247" s="23" t="s">
        <v>945</v>
      </c>
      <c r="N247" s="23"/>
      <c r="O247" s="306">
        <v>0.76388888888888884</v>
      </c>
      <c r="P247" s="306">
        <v>0.76388888888888884</v>
      </c>
      <c r="Q247" s="306">
        <v>0.7944444444444444</v>
      </c>
      <c r="R247" s="298">
        <f t="shared" si="6"/>
        <v>3.0555555555555558E-2</v>
      </c>
      <c r="S247" s="317">
        <f>(Table5[[#This Row],[Fault Clearance time]]-Table5[[#This Row],[Work Start TimeStamp]])*24</f>
        <v>0.73333333333333339</v>
      </c>
      <c r="T247" s="317">
        <f>(Table5[[#This Row],[Fault Clearance time]]-Table5[[#This Row],[Fault Start TimeStamp]])*24</f>
        <v>0.73333333333333339</v>
      </c>
      <c r="U247" s="23" t="s">
        <v>946</v>
      </c>
      <c r="V247" s="79" t="s">
        <v>339</v>
      </c>
      <c r="W247" s="308">
        <f>IFERROR(Table5[[#This Row],[Breakdown Time]]*Table5[[#This Row],[Plant Equivalent Weightage]],"")</f>
        <v>1.666666666666667E-2</v>
      </c>
      <c r="X247" s="289" t="s">
        <v>343</v>
      </c>
      <c r="Y247" s="290" t="s">
        <v>96</v>
      </c>
      <c r="Z247" s="79"/>
      <c r="AA247" s="283">
        <v>1330</v>
      </c>
      <c r="AB247" s="79"/>
      <c r="AC247" s="23"/>
      <c r="AD247" s="23"/>
    </row>
    <row r="248" spans="1:30">
      <c r="A248" s="79">
        <f t="shared" si="7"/>
        <v>247</v>
      </c>
      <c r="B248" s="283">
        <f>YEAR(Table5[[#This Row],[Date]])+IF(MONTH(Table5[[#This Row],[Date]])&gt;=4,1,0)</f>
        <v>2026</v>
      </c>
      <c r="C248" s="79">
        <f>YEAR(Table5[[#This Row],[Date]])</f>
        <v>2025</v>
      </c>
      <c r="D248" s="79" t="s">
        <v>344</v>
      </c>
      <c r="E248" s="284">
        <f>Table5[[#This Row],[Date]]-DAY(Table5[[#This Row],[Date]])+1</f>
        <v>45809</v>
      </c>
      <c r="F248" s="285">
        <v>45831</v>
      </c>
      <c r="G248" s="79" t="s">
        <v>108</v>
      </c>
      <c r="H248" s="23" t="str">
        <f>IFERROR(_xlfn.XLOOKUP(Table5[[#This Row],[Affected WTG]],'Basic Data'!$A:$A,'Basic Data'!$B:$B),"")</f>
        <v>PWEPL</v>
      </c>
      <c r="I248" s="23" t="str">
        <f>IFERROR(_xlfn.XLOOKUP(Table5[[#This Row],[Affected WTG]],'Basic Data'!$A:$A,'Basic Data'!$C:$C),"")</f>
        <v>MSEDCL</v>
      </c>
      <c r="J248" s="286">
        <f>IFERROR(_xlfn.XLOOKUP(Table5[[#This Row],[Affected WTG]],'Basic Data'!$A:$A,'Basic Data'!$E:$E),"")</f>
        <v>2.2727272727272728E-2</v>
      </c>
      <c r="K248" s="79">
        <v>276</v>
      </c>
      <c r="L248" s="23" t="str">
        <f>IFERROR(_xlfn.XLOOKUP(Table5[[#This Row],[Error Code]],'Basic Data'!$W:$W,'Basic Data'!$X:$X),"Incorrect Error Code")</f>
        <v>Pitch thyristor 3 fault</v>
      </c>
      <c r="M248" s="23" t="s">
        <v>153</v>
      </c>
      <c r="N248" s="23"/>
      <c r="O248" s="306">
        <v>0.87638888888888899</v>
      </c>
      <c r="P248" s="306">
        <v>0.87638888888888899</v>
      </c>
      <c r="Q248" s="306">
        <v>0.93819444444444444</v>
      </c>
      <c r="R248" s="298">
        <f t="shared" si="6"/>
        <v>6.1805555555555447E-2</v>
      </c>
      <c r="S248" s="317">
        <f>(Table5[[#This Row],[Fault Clearance time]]-Table5[[#This Row],[Work Start TimeStamp]])*24</f>
        <v>1.4833333333333307</v>
      </c>
      <c r="T248" s="317">
        <f>(Table5[[#This Row],[Fault Clearance time]]-Table5[[#This Row],[Fault Start TimeStamp]])*24</f>
        <v>1.4833333333333307</v>
      </c>
      <c r="U248" s="23" t="s">
        <v>349</v>
      </c>
      <c r="V248" s="79" t="s">
        <v>339</v>
      </c>
      <c r="W248" s="308">
        <f>IFERROR(Table5[[#This Row],[Breakdown Time]]*Table5[[#This Row],[Plant Equivalent Weightage]],"")</f>
        <v>3.3712121212121152E-2</v>
      </c>
      <c r="X248" s="289" t="s">
        <v>343</v>
      </c>
      <c r="Y248" s="290" t="s">
        <v>80</v>
      </c>
      <c r="Z248" s="79"/>
      <c r="AA248" s="283">
        <v>2687</v>
      </c>
      <c r="AB248" s="79"/>
      <c r="AC248" s="23"/>
      <c r="AD248" s="23"/>
    </row>
    <row r="249" spans="1:30">
      <c r="A249" s="79">
        <f t="shared" si="7"/>
        <v>248</v>
      </c>
      <c r="B249" s="283">
        <f>YEAR(Table5[[#This Row],[Date]])+IF(MONTH(Table5[[#This Row],[Date]])&gt;=4,1,0)</f>
        <v>2026</v>
      </c>
      <c r="C249" s="79">
        <f>YEAR(Table5[[#This Row],[Date]])</f>
        <v>2025</v>
      </c>
      <c r="D249" s="79" t="s">
        <v>344</v>
      </c>
      <c r="E249" s="284">
        <f>Table5[[#This Row],[Date]]-DAY(Table5[[#This Row],[Date]])+1</f>
        <v>45809</v>
      </c>
      <c r="F249" s="285">
        <v>45831</v>
      </c>
      <c r="G249" s="79" t="s">
        <v>103</v>
      </c>
      <c r="H249" s="23" t="str">
        <f>IFERROR(_xlfn.XLOOKUP(Table5[[#This Row],[Affected WTG]],'Basic Data'!$A:$A,'Basic Data'!$B:$B),"")</f>
        <v>PWEPL</v>
      </c>
      <c r="I249" s="23" t="str">
        <f>IFERROR(_xlfn.XLOOKUP(Table5[[#This Row],[Affected WTG]],'Basic Data'!$A:$A,'Basic Data'!$C:$C),"")</f>
        <v>MSEDCL</v>
      </c>
      <c r="J249" s="286">
        <f>IFERROR(_xlfn.XLOOKUP(Table5[[#This Row],[Affected WTG]],'Basic Data'!$A:$A,'Basic Data'!$E:$E),"")</f>
        <v>2.2727272727272728E-2</v>
      </c>
      <c r="K249" s="79">
        <v>213</v>
      </c>
      <c r="L249" s="23" t="str">
        <f>IFERROR(_xlfn.XLOOKUP(Table5[[#This Row],[Error Code]],'Basic Data'!$W:$W,'Basic Data'!$X:$X),"Incorrect Error Code")</f>
        <v>Battery voltage not OK axis 2</v>
      </c>
      <c r="M249" s="23" t="s">
        <v>947</v>
      </c>
      <c r="N249" s="23"/>
      <c r="O249" s="306">
        <v>0.52222222222222225</v>
      </c>
      <c r="P249" s="306">
        <v>0.52222222222222225</v>
      </c>
      <c r="Q249" s="306">
        <v>0.60555555555555551</v>
      </c>
      <c r="R249" s="298">
        <f t="shared" si="6"/>
        <v>8.3333333333333259E-2</v>
      </c>
      <c r="S249" s="317">
        <f>(Table5[[#This Row],[Fault Clearance time]]-Table5[[#This Row],[Work Start TimeStamp]])*24</f>
        <v>1.9999999999999982</v>
      </c>
      <c r="T249" s="317">
        <f>(Table5[[#This Row],[Fault Clearance time]]-Table5[[#This Row],[Fault Start TimeStamp]])*24</f>
        <v>1.9999999999999982</v>
      </c>
      <c r="U249" s="23" t="s">
        <v>948</v>
      </c>
      <c r="V249" s="79" t="s">
        <v>339</v>
      </c>
      <c r="W249" s="308">
        <f>IFERROR(Table5[[#This Row],[Breakdown Time]]*Table5[[#This Row],[Plant Equivalent Weightage]],"")</f>
        <v>4.5454545454545414E-2</v>
      </c>
      <c r="X249" s="289" t="s">
        <v>343</v>
      </c>
      <c r="Y249" s="290" t="s">
        <v>105</v>
      </c>
      <c r="Z249" s="79"/>
      <c r="AA249" s="283">
        <v>3126</v>
      </c>
      <c r="AB249" s="79"/>
      <c r="AC249" s="23"/>
      <c r="AD249" s="23"/>
    </row>
    <row r="250" spans="1:30">
      <c r="A250" s="79">
        <f t="shared" si="7"/>
        <v>249</v>
      </c>
      <c r="B250" s="283">
        <f>YEAR(Table5[[#This Row],[Date]])+IF(MONTH(Table5[[#This Row],[Date]])&gt;=4,1,0)</f>
        <v>2026</v>
      </c>
      <c r="C250" s="79">
        <f>YEAR(Table5[[#This Row],[Date]])</f>
        <v>2025</v>
      </c>
      <c r="D250" s="79" t="s">
        <v>344</v>
      </c>
      <c r="E250" s="284">
        <f>Table5[[#This Row],[Date]]-DAY(Table5[[#This Row],[Date]])+1</f>
        <v>45809</v>
      </c>
      <c r="F250" s="285">
        <v>45832</v>
      </c>
      <c r="G250" s="79" t="s">
        <v>104</v>
      </c>
      <c r="H250" s="23" t="str">
        <f>IFERROR(_xlfn.XLOOKUP(Table5[[#This Row],[Affected WTG]],'Basic Data'!$A:$A,'Basic Data'!$B:$B),"")</f>
        <v>PWEPL</v>
      </c>
      <c r="I250" s="23" t="str">
        <f>IFERROR(_xlfn.XLOOKUP(Table5[[#This Row],[Affected WTG]],'Basic Data'!$A:$A,'Basic Data'!$C:$C),"")</f>
        <v>MSEDCL</v>
      </c>
      <c r="J250" s="286">
        <f>IFERROR(_xlfn.XLOOKUP(Table5[[#This Row],[Affected WTG]],'Basic Data'!$A:$A,'Basic Data'!$E:$E),"")</f>
        <v>2.2727272727272728E-2</v>
      </c>
      <c r="K250" s="79">
        <v>201</v>
      </c>
      <c r="L250" s="23" t="str">
        <f>IFERROR(_xlfn.XLOOKUP(Table5[[#This Row],[Error Code]],'Basic Data'!$W:$W,'Basic Data'!$X:$X),"Incorrect Error Code")</f>
        <v xml:space="preserve"> PLC fault 24V Supply</v>
      </c>
      <c r="M250" s="23" t="s">
        <v>366</v>
      </c>
      <c r="N250" s="23"/>
      <c r="O250" s="306">
        <v>6.1805555555555558E-2</v>
      </c>
      <c r="P250" s="306">
        <v>6.1805555555555558E-2</v>
      </c>
      <c r="Q250" s="306">
        <v>0.36458333333333331</v>
      </c>
      <c r="R250" s="298">
        <f t="shared" si="6"/>
        <v>0.30277777777777776</v>
      </c>
      <c r="S250" s="317">
        <f>(Table5[[#This Row],[Fault Clearance time]]-Table5[[#This Row],[Work Start TimeStamp]])*24</f>
        <v>7.2666666666666657</v>
      </c>
      <c r="T250" s="317">
        <f>(Table5[[#This Row],[Fault Clearance time]]-Table5[[#This Row],[Fault Start TimeStamp]])*24</f>
        <v>7.2666666666666657</v>
      </c>
      <c r="U250" s="23" t="s">
        <v>949</v>
      </c>
      <c r="V250" s="79" t="s">
        <v>339</v>
      </c>
      <c r="W250" s="308">
        <f>IFERROR(Table5[[#This Row],[Breakdown Time]]*Table5[[#This Row],[Plant Equivalent Weightage]],"")</f>
        <v>0.16515151515151513</v>
      </c>
      <c r="X250" s="289" t="s">
        <v>343</v>
      </c>
      <c r="Y250" s="290" t="s">
        <v>79</v>
      </c>
      <c r="Z250" s="79"/>
      <c r="AA250" s="283">
        <v>11713</v>
      </c>
      <c r="AB250" s="79"/>
      <c r="AC250" s="23"/>
      <c r="AD250" s="23"/>
    </row>
    <row r="251" spans="1:30">
      <c r="A251" s="79">
        <f t="shared" si="7"/>
        <v>250</v>
      </c>
      <c r="B251" s="283">
        <f>YEAR(Table5[[#This Row],[Date]])+IF(MONTH(Table5[[#This Row],[Date]])&gt;=4,1,0)</f>
        <v>2026</v>
      </c>
      <c r="C251" s="79">
        <f>YEAR(Table5[[#This Row],[Date]])</f>
        <v>2025</v>
      </c>
      <c r="D251" s="79" t="s">
        <v>344</v>
      </c>
      <c r="E251" s="284">
        <f>Table5[[#This Row],[Date]]-DAY(Table5[[#This Row],[Date]])+1</f>
        <v>45809</v>
      </c>
      <c r="F251" s="285">
        <v>45832</v>
      </c>
      <c r="G251" s="79" t="s">
        <v>115</v>
      </c>
      <c r="H251" s="23" t="str">
        <f>IFERROR(_xlfn.XLOOKUP(Table5[[#This Row],[Affected WTG]],'Basic Data'!$A:$A,'Basic Data'!$B:$B),"")</f>
        <v>PWEPL</v>
      </c>
      <c r="I251" s="23" t="str">
        <f>IFERROR(_xlfn.XLOOKUP(Table5[[#This Row],[Affected WTG]],'Basic Data'!$A:$A,'Basic Data'!$C:$C),"")</f>
        <v>MSEDCL</v>
      </c>
      <c r="J251" s="286">
        <f>IFERROR(_xlfn.XLOOKUP(Table5[[#This Row],[Affected WTG]],'Basic Data'!$A:$A,'Basic Data'!$E:$E),"")</f>
        <v>2.2727272727272728E-2</v>
      </c>
      <c r="K251" s="79">
        <v>77</v>
      </c>
      <c r="L251" s="23" t="str">
        <f>IFERROR(_xlfn.XLOOKUP(Table5[[#This Row],[Error Code]],'Basic Data'!$W:$W,'Basic Data'!$X:$X),"Incorrect Error Code")</f>
        <v>Gearbox oil overtemperature</v>
      </c>
      <c r="M251" s="23" t="s">
        <v>943</v>
      </c>
      <c r="N251" s="23"/>
      <c r="O251" s="306">
        <v>0.50555555555555554</v>
      </c>
      <c r="P251" s="306">
        <v>0.50555555555555554</v>
      </c>
      <c r="Q251" s="306">
        <v>0.67083333333333339</v>
      </c>
      <c r="R251" s="298">
        <f t="shared" si="6"/>
        <v>0.16527777777777786</v>
      </c>
      <c r="S251" s="317">
        <f>(Table5[[#This Row],[Fault Clearance time]]-Table5[[#This Row],[Work Start TimeStamp]])*24</f>
        <v>3.9666666666666686</v>
      </c>
      <c r="T251" s="317">
        <f>(Table5[[#This Row],[Fault Clearance time]]-Table5[[#This Row],[Fault Start TimeStamp]])*24</f>
        <v>3.9666666666666686</v>
      </c>
      <c r="U251" s="23" t="s">
        <v>944</v>
      </c>
      <c r="V251" s="79" t="s">
        <v>339</v>
      </c>
      <c r="W251" s="308">
        <f>IFERROR(Table5[[#This Row],[Breakdown Time]]*Table5[[#This Row],[Plant Equivalent Weightage]],"")</f>
        <v>9.0151515151515191E-2</v>
      </c>
      <c r="X251" s="289" t="s">
        <v>343</v>
      </c>
      <c r="Y251" s="290" t="s">
        <v>116</v>
      </c>
      <c r="Z251" s="79"/>
      <c r="AA251" s="283">
        <v>6404</v>
      </c>
      <c r="AB251" s="79"/>
      <c r="AC251" s="23"/>
      <c r="AD251" s="23"/>
    </row>
    <row r="252" spans="1:30">
      <c r="A252" s="79">
        <f t="shared" si="7"/>
        <v>251</v>
      </c>
      <c r="B252" s="283">
        <f>YEAR(Table5[[#This Row],[Date]])+IF(MONTH(Table5[[#This Row],[Date]])&gt;=4,1,0)</f>
        <v>2026</v>
      </c>
      <c r="C252" s="79">
        <f>YEAR(Table5[[#This Row],[Date]])</f>
        <v>2025</v>
      </c>
      <c r="D252" s="79" t="s">
        <v>344</v>
      </c>
      <c r="E252" s="284">
        <f>Table5[[#This Row],[Date]]-DAY(Table5[[#This Row],[Date]])+1</f>
        <v>45809</v>
      </c>
      <c r="F252" s="285">
        <v>45832</v>
      </c>
      <c r="G252" s="79" t="s">
        <v>89</v>
      </c>
      <c r="H252" s="23" t="str">
        <f>IFERROR(_xlfn.XLOOKUP(Table5[[#This Row],[Affected WTG]],'Basic Data'!$A:$A,'Basic Data'!$B:$B),"")</f>
        <v>PWEPL</v>
      </c>
      <c r="I252" s="23" t="str">
        <f>IFERROR(_xlfn.XLOOKUP(Table5[[#This Row],[Affected WTG]],'Basic Data'!$A:$A,'Basic Data'!$C:$C),"")</f>
        <v>MSEDCL</v>
      </c>
      <c r="J252" s="286">
        <f>IFERROR(_xlfn.XLOOKUP(Table5[[#This Row],[Affected WTG]],'Basic Data'!$A:$A,'Basic Data'!$E:$E),"")</f>
        <v>2.2727272727272728E-2</v>
      </c>
      <c r="K252" s="79">
        <v>430</v>
      </c>
      <c r="L252" s="23" t="str">
        <f>IFERROR(_xlfn.XLOOKUP(Table5[[#This Row],[Error Code]],'Basic Data'!$W:$W,'Basic Data'!$X:$X),"Incorrect Error Code")</f>
        <v xml:space="preserve">Yaw tooth sensor 1 timeout </v>
      </c>
      <c r="M252" s="23" t="s">
        <v>377</v>
      </c>
      <c r="N252" s="23"/>
      <c r="O252" s="306">
        <v>0.81736111111111109</v>
      </c>
      <c r="P252" s="306">
        <v>0.81736111111111109</v>
      </c>
      <c r="Q252" s="306">
        <v>0.86597222222222225</v>
      </c>
      <c r="R252" s="298">
        <f t="shared" si="6"/>
        <v>4.861111111111116E-2</v>
      </c>
      <c r="S252" s="317">
        <f>(Table5[[#This Row],[Fault Clearance time]]-Table5[[#This Row],[Work Start TimeStamp]])*24</f>
        <v>1.1666666666666679</v>
      </c>
      <c r="T252" s="317">
        <f>(Table5[[#This Row],[Fault Clearance time]]-Table5[[#This Row],[Fault Start TimeStamp]])*24</f>
        <v>1.1666666666666679</v>
      </c>
      <c r="U252" s="23" t="s">
        <v>799</v>
      </c>
      <c r="V252" s="79" t="s">
        <v>339</v>
      </c>
      <c r="W252" s="308">
        <f>IFERROR(Table5[[#This Row],[Breakdown Time]]*Table5[[#This Row],[Plant Equivalent Weightage]],"")</f>
        <v>2.6515151515151544E-2</v>
      </c>
      <c r="X252" s="289" t="s">
        <v>343</v>
      </c>
      <c r="Y252" s="290" t="s">
        <v>88</v>
      </c>
      <c r="Z252" s="79"/>
      <c r="AA252" s="283">
        <v>2111</v>
      </c>
      <c r="AB252" s="79"/>
      <c r="AC252" s="23"/>
      <c r="AD252" s="23"/>
    </row>
    <row r="253" spans="1:30">
      <c r="A253" s="79">
        <f t="shared" si="7"/>
        <v>252</v>
      </c>
      <c r="B253" s="283">
        <f>YEAR(Table5[[#This Row],[Date]])+IF(MONTH(Table5[[#This Row],[Date]])&gt;=4,1,0)</f>
        <v>2026</v>
      </c>
      <c r="C253" s="79">
        <f>YEAR(Table5[[#This Row],[Date]])</f>
        <v>2025</v>
      </c>
      <c r="D253" s="79" t="s">
        <v>344</v>
      </c>
      <c r="E253" s="284">
        <f>Table5[[#This Row],[Date]]-DAY(Table5[[#This Row],[Date]])+1</f>
        <v>45809</v>
      </c>
      <c r="F253" s="285">
        <v>45832</v>
      </c>
      <c r="G253" s="79" t="s">
        <v>79</v>
      </c>
      <c r="H253" s="23" t="str">
        <f>IFERROR(_xlfn.XLOOKUP(Table5[[#This Row],[Affected WTG]],'Basic Data'!$A:$A,'Basic Data'!$B:$B),"")</f>
        <v>PWEPL</v>
      </c>
      <c r="I253" s="23" t="str">
        <f>IFERROR(_xlfn.XLOOKUP(Table5[[#This Row],[Affected WTG]],'Basic Data'!$A:$A,'Basic Data'!$C:$C),"")</f>
        <v>MSEDCL</v>
      </c>
      <c r="J253" s="286">
        <f>IFERROR(_xlfn.XLOOKUP(Table5[[#This Row],[Affected WTG]],'Basic Data'!$A:$A,'Basic Data'!$E:$E),"")</f>
        <v>2.2727272727272728E-2</v>
      </c>
      <c r="K253" s="79">
        <v>3</v>
      </c>
      <c r="L253" s="23" t="str">
        <f>IFERROR(_xlfn.XLOOKUP(Table5[[#This Row],[Error Code]],'Basic Data'!$W:$W,'Basic Data'!$X:$X),"Incorrect Error Code")</f>
        <v>Manual Stop</v>
      </c>
      <c r="M253" s="23" t="s">
        <v>950</v>
      </c>
      <c r="N253" s="23"/>
      <c r="O253" s="306">
        <v>0.72291666666666676</v>
      </c>
      <c r="P253" s="306">
        <v>0.72291666666666676</v>
      </c>
      <c r="Q253" s="306">
        <v>0.72569444444444453</v>
      </c>
      <c r="R253" s="298">
        <f t="shared" si="6"/>
        <v>2.7777777777777679E-3</v>
      </c>
      <c r="S253" s="317">
        <f>(Table5[[#This Row],[Fault Clearance time]]-Table5[[#This Row],[Work Start TimeStamp]])*24</f>
        <v>6.666666666666643E-2</v>
      </c>
      <c r="T253" s="317">
        <f>(Table5[[#This Row],[Fault Clearance time]]-Table5[[#This Row],[Fault Start TimeStamp]])*24</f>
        <v>6.666666666666643E-2</v>
      </c>
      <c r="U253" s="23" t="s">
        <v>950</v>
      </c>
      <c r="V253" s="79" t="s">
        <v>339</v>
      </c>
      <c r="W253" s="308">
        <f>IFERROR(Table5[[#This Row],[Breakdown Time]]*Table5[[#This Row],[Plant Equivalent Weightage]],"")</f>
        <v>1.5151515151515097E-3</v>
      </c>
      <c r="X253" s="289" t="s">
        <v>394</v>
      </c>
      <c r="Y253" s="290" t="s">
        <v>96</v>
      </c>
      <c r="Z253" s="79"/>
      <c r="AA253" s="283">
        <v>262</v>
      </c>
      <c r="AB253" s="79"/>
      <c r="AC253" s="23"/>
      <c r="AD253" s="23"/>
    </row>
    <row r="254" spans="1:30">
      <c r="A254" s="79">
        <f t="shared" si="7"/>
        <v>253</v>
      </c>
      <c r="B254" s="283">
        <f>YEAR(Table5[[#This Row],[Date]])+IF(MONTH(Table5[[#This Row],[Date]])&gt;=4,1,0)</f>
        <v>2026</v>
      </c>
      <c r="C254" s="79">
        <f>YEAR(Table5[[#This Row],[Date]])</f>
        <v>2025</v>
      </c>
      <c r="D254" s="79" t="s">
        <v>344</v>
      </c>
      <c r="E254" s="284">
        <f>Table5[[#This Row],[Date]]-DAY(Table5[[#This Row],[Date]])+1</f>
        <v>45809</v>
      </c>
      <c r="F254" s="285">
        <v>45832</v>
      </c>
      <c r="G254" s="79" t="s">
        <v>104</v>
      </c>
      <c r="H254" s="23" t="str">
        <f>IFERROR(_xlfn.XLOOKUP(Table5[[#This Row],[Affected WTG]],'Basic Data'!$A:$A,'Basic Data'!$B:$B),"")</f>
        <v>PWEPL</v>
      </c>
      <c r="I254" s="23" t="str">
        <f>IFERROR(_xlfn.XLOOKUP(Table5[[#This Row],[Affected WTG]],'Basic Data'!$A:$A,'Basic Data'!$C:$C),"")</f>
        <v>MSEDCL</v>
      </c>
      <c r="J254" s="286">
        <f>IFERROR(_xlfn.XLOOKUP(Table5[[#This Row],[Affected WTG]],'Basic Data'!$A:$A,'Basic Data'!$E:$E),"")</f>
        <v>2.2727272727272728E-2</v>
      </c>
      <c r="K254" s="79">
        <v>3</v>
      </c>
      <c r="L254" s="23" t="str">
        <f>IFERROR(_xlfn.XLOOKUP(Table5[[#This Row],[Error Code]],'Basic Data'!$W:$W,'Basic Data'!$X:$X),"Incorrect Error Code")</f>
        <v>Manual Stop</v>
      </c>
      <c r="M254" s="23" t="s">
        <v>950</v>
      </c>
      <c r="N254" s="23"/>
      <c r="O254" s="306">
        <v>0.73611111111111116</v>
      </c>
      <c r="P254" s="306">
        <v>0.73611111111111116</v>
      </c>
      <c r="Q254" s="306">
        <v>0.73749999999999993</v>
      </c>
      <c r="R254" s="298">
        <f t="shared" si="6"/>
        <v>1.3888888888887729E-3</v>
      </c>
      <c r="S254" s="317">
        <f>(Table5[[#This Row],[Fault Clearance time]]-Table5[[#This Row],[Work Start TimeStamp]])*24</f>
        <v>3.333333333333055E-2</v>
      </c>
      <c r="T254" s="317">
        <f>(Table5[[#This Row],[Fault Clearance time]]-Table5[[#This Row],[Fault Start TimeStamp]])*24</f>
        <v>3.333333333333055E-2</v>
      </c>
      <c r="U254" s="23" t="s">
        <v>950</v>
      </c>
      <c r="V254" s="79" t="s">
        <v>339</v>
      </c>
      <c r="W254" s="308">
        <f>IFERROR(Table5[[#This Row],[Breakdown Time]]*Table5[[#This Row],[Plant Equivalent Weightage]],"")</f>
        <v>7.5757575757569437E-4</v>
      </c>
      <c r="X254" s="289" t="s">
        <v>394</v>
      </c>
      <c r="Y254" s="290" t="s">
        <v>79</v>
      </c>
      <c r="Z254" s="79"/>
      <c r="AA254" s="283">
        <v>261</v>
      </c>
      <c r="AB254" s="79"/>
      <c r="AC254" s="23"/>
      <c r="AD254" s="23"/>
    </row>
    <row r="255" spans="1:30">
      <c r="A255" s="79">
        <f t="shared" si="7"/>
        <v>254</v>
      </c>
      <c r="B255" s="283">
        <f>YEAR(Table5[[#This Row],[Date]])+IF(MONTH(Table5[[#This Row],[Date]])&gt;=4,1,0)</f>
        <v>2026</v>
      </c>
      <c r="C255" s="79">
        <f>YEAR(Table5[[#This Row],[Date]])</f>
        <v>2025</v>
      </c>
      <c r="D255" s="79" t="s">
        <v>344</v>
      </c>
      <c r="E255" s="284">
        <f>Table5[[#This Row],[Date]]-DAY(Table5[[#This Row],[Date]])+1</f>
        <v>45809</v>
      </c>
      <c r="F255" s="285">
        <v>45832</v>
      </c>
      <c r="G255" s="79" t="s">
        <v>97</v>
      </c>
      <c r="H255" s="23" t="str">
        <f>IFERROR(_xlfn.XLOOKUP(Table5[[#This Row],[Affected WTG]],'Basic Data'!$A:$A,'Basic Data'!$B:$B),"")</f>
        <v>PWEPL</v>
      </c>
      <c r="I255" s="23" t="str">
        <f>IFERROR(_xlfn.XLOOKUP(Table5[[#This Row],[Affected WTG]],'Basic Data'!$A:$A,'Basic Data'!$C:$C),"")</f>
        <v>MSEDCL</v>
      </c>
      <c r="J255" s="286">
        <f>IFERROR(_xlfn.XLOOKUP(Table5[[#This Row],[Affected WTG]],'Basic Data'!$A:$A,'Basic Data'!$E:$E),"")</f>
        <v>2.2727272727272728E-2</v>
      </c>
      <c r="K255" s="79">
        <v>3</v>
      </c>
      <c r="L255" s="23" t="str">
        <f>IFERROR(_xlfn.XLOOKUP(Table5[[#This Row],[Error Code]],'Basic Data'!$W:$W,'Basic Data'!$X:$X),"Incorrect Error Code")</f>
        <v>Manual Stop</v>
      </c>
      <c r="M255" s="23" t="s">
        <v>950</v>
      </c>
      <c r="N255" s="23"/>
      <c r="O255" s="306">
        <v>0.74791666666666667</v>
      </c>
      <c r="P255" s="306">
        <v>0.74791666666666667</v>
      </c>
      <c r="Q255" s="306">
        <v>0.74930555555555556</v>
      </c>
      <c r="R255" s="298">
        <f t="shared" si="6"/>
        <v>1.388888888888884E-3</v>
      </c>
      <c r="S255" s="317">
        <f>(Table5[[#This Row],[Fault Clearance time]]-Table5[[#This Row],[Work Start TimeStamp]])*24</f>
        <v>3.3333333333333215E-2</v>
      </c>
      <c r="T255" s="317">
        <f>(Table5[[#This Row],[Fault Clearance time]]-Table5[[#This Row],[Fault Start TimeStamp]])*24</f>
        <v>3.3333333333333215E-2</v>
      </c>
      <c r="U255" s="23" t="s">
        <v>950</v>
      </c>
      <c r="V255" s="79" t="s">
        <v>339</v>
      </c>
      <c r="W255" s="308">
        <f>IFERROR(Table5[[#This Row],[Breakdown Time]]*Table5[[#This Row],[Plant Equivalent Weightage]],"")</f>
        <v>7.5757575757575486E-4</v>
      </c>
      <c r="X255" s="289" t="s">
        <v>394</v>
      </c>
      <c r="Y255" s="290" t="s">
        <v>96</v>
      </c>
      <c r="Z255" s="79"/>
      <c r="AA255" s="283">
        <v>264</v>
      </c>
      <c r="AB255" s="79"/>
      <c r="AC255" s="23"/>
      <c r="AD255" s="23"/>
    </row>
    <row r="256" spans="1:30">
      <c r="A256" s="79">
        <f t="shared" si="7"/>
        <v>255</v>
      </c>
      <c r="B256" s="283">
        <f>YEAR(Table5[[#This Row],[Date]])+IF(MONTH(Table5[[#This Row],[Date]])&gt;=4,1,0)</f>
        <v>2026</v>
      </c>
      <c r="C256" s="79">
        <f>YEAR(Table5[[#This Row],[Date]])</f>
        <v>2025</v>
      </c>
      <c r="D256" s="79" t="s">
        <v>344</v>
      </c>
      <c r="E256" s="284">
        <f>Table5[[#This Row],[Date]]-DAY(Table5[[#This Row],[Date]])+1</f>
        <v>45809</v>
      </c>
      <c r="F256" s="285">
        <v>45833</v>
      </c>
      <c r="G256" s="79" t="s">
        <v>79</v>
      </c>
      <c r="H256" s="23" t="str">
        <f>IFERROR(_xlfn.XLOOKUP(Table5[[#This Row],[Affected WTG]],'Basic Data'!$A:$A,'Basic Data'!$B:$B),"")</f>
        <v>PWEPL</v>
      </c>
      <c r="I256" s="23" t="str">
        <f>IFERROR(_xlfn.XLOOKUP(Table5[[#This Row],[Affected WTG]],'Basic Data'!$A:$A,'Basic Data'!$C:$C),"")</f>
        <v>MSEDCL</v>
      </c>
      <c r="J256" s="286">
        <f>IFERROR(_xlfn.XLOOKUP(Table5[[#This Row],[Affected WTG]],'Basic Data'!$A:$A,'Basic Data'!$E:$E),"")</f>
        <v>2.2727272727272728E-2</v>
      </c>
      <c r="K256" s="79">
        <v>34</v>
      </c>
      <c r="L256" s="23" t="str">
        <f>IFERROR(_xlfn.XLOOKUP(Table5[[#This Row],[Error Code]],'Basic Data'!$W:$W,'Basic Data'!$X:$X),"Incorrect Error Code")</f>
        <v>Brake not released secondary brake</v>
      </c>
      <c r="M256" s="23" t="s">
        <v>912</v>
      </c>
      <c r="N256" s="23"/>
      <c r="O256" s="306">
        <v>0.33749999999999997</v>
      </c>
      <c r="P256" s="306">
        <v>0.33749999999999997</v>
      </c>
      <c r="Q256" s="306">
        <v>0.38541666666666669</v>
      </c>
      <c r="R256" s="298">
        <f t="shared" si="6"/>
        <v>4.7916666666666718E-2</v>
      </c>
      <c r="S256" s="317">
        <f>(Table5[[#This Row],[Fault Clearance time]]-Table5[[#This Row],[Work Start TimeStamp]])*24</f>
        <v>1.1500000000000012</v>
      </c>
      <c r="T256" s="317">
        <f>(Table5[[#This Row],[Fault Clearance time]]-Table5[[#This Row],[Fault Start TimeStamp]])*24</f>
        <v>1.1500000000000012</v>
      </c>
      <c r="U256" s="23" t="s">
        <v>951</v>
      </c>
      <c r="V256" s="79" t="s">
        <v>339</v>
      </c>
      <c r="W256" s="308">
        <f>IFERROR(Table5[[#This Row],[Breakdown Time]]*Table5[[#This Row],[Plant Equivalent Weightage]],"")</f>
        <v>2.6136363636363666E-2</v>
      </c>
      <c r="X256" s="289" t="s">
        <v>343</v>
      </c>
      <c r="Y256" s="290" t="s">
        <v>96</v>
      </c>
      <c r="Z256" s="79"/>
      <c r="AA256" s="283">
        <v>1746</v>
      </c>
      <c r="AB256" s="79"/>
      <c r="AC256" s="23"/>
      <c r="AD256" s="23"/>
    </row>
    <row r="257" spans="1:30">
      <c r="A257" s="79">
        <f t="shared" si="7"/>
        <v>256</v>
      </c>
      <c r="B257" s="283">
        <f>YEAR(Table5[[#This Row],[Date]])+IF(MONTH(Table5[[#This Row],[Date]])&gt;=4,1,0)</f>
        <v>2026</v>
      </c>
      <c r="C257" s="79">
        <f>YEAR(Table5[[#This Row],[Date]])</f>
        <v>2025</v>
      </c>
      <c r="D257" s="79" t="s">
        <v>344</v>
      </c>
      <c r="E257" s="284">
        <f>Table5[[#This Row],[Date]]-DAY(Table5[[#This Row],[Date]])+1</f>
        <v>45809</v>
      </c>
      <c r="F257" s="285">
        <v>45833</v>
      </c>
      <c r="G257" s="79" t="s">
        <v>98</v>
      </c>
      <c r="H257" s="23" t="str">
        <f>IFERROR(_xlfn.XLOOKUP(Table5[[#This Row],[Affected WTG]],'Basic Data'!$A:$A,'Basic Data'!$B:$B),"")</f>
        <v>PWEPL</v>
      </c>
      <c r="I257" s="23" t="str">
        <f>IFERROR(_xlfn.XLOOKUP(Table5[[#This Row],[Affected WTG]],'Basic Data'!$A:$A,'Basic Data'!$C:$C),"")</f>
        <v>MSEDCL</v>
      </c>
      <c r="J257" s="286">
        <f>IFERROR(_xlfn.XLOOKUP(Table5[[#This Row],[Affected WTG]],'Basic Data'!$A:$A,'Basic Data'!$E:$E),"")</f>
        <v>2.2727272727272728E-2</v>
      </c>
      <c r="K257" s="79">
        <v>3</v>
      </c>
      <c r="L257" s="23" t="str">
        <f>IFERROR(_xlfn.XLOOKUP(Table5[[#This Row],[Error Code]],'Basic Data'!$W:$W,'Basic Data'!$X:$X),"Incorrect Error Code")</f>
        <v>Manual Stop</v>
      </c>
      <c r="M257" s="23" t="s">
        <v>952</v>
      </c>
      <c r="N257" s="23"/>
      <c r="O257" s="306">
        <v>0.58958333333333335</v>
      </c>
      <c r="P257" s="306">
        <v>0.58958333333333335</v>
      </c>
      <c r="Q257" s="306">
        <v>0.65138888888888891</v>
      </c>
      <c r="R257" s="298">
        <f t="shared" si="6"/>
        <v>6.1805555555555558E-2</v>
      </c>
      <c r="S257" s="317">
        <f>(Table5[[#This Row],[Fault Clearance time]]-Table5[[#This Row],[Work Start TimeStamp]])*24</f>
        <v>1.4833333333333334</v>
      </c>
      <c r="T257" s="317">
        <f>(Table5[[#This Row],[Fault Clearance time]]-Table5[[#This Row],[Fault Start TimeStamp]])*24</f>
        <v>1.4833333333333334</v>
      </c>
      <c r="U257" s="23" t="s">
        <v>953</v>
      </c>
      <c r="V257" s="79" t="s">
        <v>339</v>
      </c>
      <c r="W257" s="308">
        <f>IFERROR(Table5[[#This Row],[Breakdown Time]]*Table5[[#This Row],[Plant Equivalent Weightage]],"")</f>
        <v>3.3712121212121214E-2</v>
      </c>
      <c r="X257" s="289" t="s">
        <v>343</v>
      </c>
      <c r="Y257" s="290" t="s">
        <v>83</v>
      </c>
      <c r="Z257" s="79"/>
      <c r="AA257" s="283">
        <v>2339</v>
      </c>
      <c r="AB257" s="79"/>
      <c r="AC257" s="23"/>
      <c r="AD257" s="23"/>
    </row>
    <row r="258" spans="1:30">
      <c r="A258" s="79">
        <f t="shared" si="7"/>
        <v>257</v>
      </c>
      <c r="B258" s="283">
        <f>YEAR(Table5[[#This Row],[Date]])+IF(MONTH(Table5[[#This Row],[Date]])&gt;=4,1,0)</f>
        <v>2026</v>
      </c>
      <c r="C258" s="79">
        <f>YEAR(Table5[[#This Row],[Date]])</f>
        <v>2025</v>
      </c>
      <c r="D258" s="79" t="s">
        <v>344</v>
      </c>
      <c r="E258" s="284">
        <f>Table5[[#This Row],[Date]]-DAY(Table5[[#This Row],[Date]])+1</f>
        <v>45809</v>
      </c>
      <c r="F258" s="285">
        <v>45833</v>
      </c>
      <c r="G258" s="79" t="s">
        <v>99</v>
      </c>
      <c r="H258" s="23" t="str">
        <f>IFERROR(_xlfn.XLOOKUP(Table5[[#This Row],[Affected WTG]],'Basic Data'!$A:$A,'Basic Data'!$B:$B),"")</f>
        <v>PWEPL</v>
      </c>
      <c r="I258" s="23" t="str">
        <f>IFERROR(_xlfn.XLOOKUP(Table5[[#This Row],[Affected WTG]],'Basic Data'!$A:$A,'Basic Data'!$C:$C),"")</f>
        <v>MSEDCL</v>
      </c>
      <c r="J258" s="286">
        <f>IFERROR(_xlfn.XLOOKUP(Table5[[#This Row],[Affected WTG]],'Basic Data'!$A:$A,'Basic Data'!$E:$E),"")</f>
        <v>2.2727272727272728E-2</v>
      </c>
      <c r="K258" s="79">
        <v>77</v>
      </c>
      <c r="L258" s="23" t="str">
        <f>IFERROR(_xlfn.XLOOKUP(Table5[[#This Row],[Error Code]],'Basic Data'!$W:$W,'Basic Data'!$X:$X),"Incorrect Error Code")</f>
        <v>Gearbox oil overtemperature</v>
      </c>
      <c r="M258" s="23" t="s">
        <v>943</v>
      </c>
      <c r="N258" s="23"/>
      <c r="O258" s="306">
        <v>0.7055555555555556</v>
      </c>
      <c r="P258" s="306">
        <v>0.7055555555555556</v>
      </c>
      <c r="Q258" s="306">
        <v>0.85069444444444453</v>
      </c>
      <c r="R258" s="298">
        <f t="shared" ref="R258:R279" si="8">Q258-O258</f>
        <v>0.14513888888888893</v>
      </c>
      <c r="S258" s="317">
        <f>(Table5[[#This Row],[Fault Clearance time]]-Table5[[#This Row],[Work Start TimeStamp]])*24</f>
        <v>3.4833333333333343</v>
      </c>
      <c r="T258" s="317">
        <f>(Table5[[#This Row],[Fault Clearance time]]-Table5[[#This Row],[Fault Start TimeStamp]])*24</f>
        <v>3.4833333333333343</v>
      </c>
      <c r="U258" s="23" t="s">
        <v>944</v>
      </c>
      <c r="V258" s="79" t="s">
        <v>339</v>
      </c>
      <c r="W258" s="308">
        <f>IFERROR(Table5[[#This Row],[Breakdown Time]]*Table5[[#This Row],[Plant Equivalent Weightage]],"")</f>
        <v>7.9166666666666691E-2</v>
      </c>
      <c r="X258" s="289" t="s">
        <v>343</v>
      </c>
      <c r="Y258" s="290" t="s">
        <v>98</v>
      </c>
      <c r="Z258" s="79"/>
      <c r="AA258" s="283">
        <v>4565</v>
      </c>
      <c r="AB258" s="79"/>
      <c r="AC258" s="23"/>
      <c r="AD258" s="23"/>
    </row>
    <row r="259" spans="1:30">
      <c r="A259" s="79">
        <f t="shared" si="7"/>
        <v>258</v>
      </c>
      <c r="B259" s="283">
        <f>YEAR(Table5[[#This Row],[Date]])+IF(MONTH(Table5[[#This Row],[Date]])&gt;=4,1,0)</f>
        <v>2026</v>
      </c>
      <c r="C259" s="79">
        <f>YEAR(Table5[[#This Row],[Date]])</f>
        <v>2025</v>
      </c>
      <c r="D259" s="79" t="s">
        <v>344</v>
      </c>
      <c r="E259" s="284">
        <f>Table5[[#This Row],[Date]]-DAY(Table5[[#This Row],[Date]])+1</f>
        <v>45809</v>
      </c>
      <c r="F259" s="285">
        <v>45833</v>
      </c>
      <c r="G259" s="79" t="s">
        <v>108</v>
      </c>
      <c r="H259" s="23" t="str">
        <f>IFERROR(_xlfn.XLOOKUP(Table5[[#This Row],[Affected WTG]],'Basic Data'!$A:$A,'Basic Data'!$B:$B),"")</f>
        <v>PWEPL</v>
      </c>
      <c r="I259" s="23" t="str">
        <f>IFERROR(_xlfn.XLOOKUP(Table5[[#This Row],[Affected WTG]],'Basic Data'!$A:$A,'Basic Data'!$C:$C),"")</f>
        <v>MSEDCL</v>
      </c>
      <c r="J259" s="286">
        <f>IFERROR(_xlfn.XLOOKUP(Table5[[#This Row],[Affected WTG]],'Basic Data'!$A:$A,'Basic Data'!$E:$E),"")</f>
        <v>2.2727272727272728E-2</v>
      </c>
      <c r="K259" s="79">
        <v>276</v>
      </c>
      <c r="L259" s="23" t="str">
        <f>IFERROR(_xlfn.XLOOKUP(Table5[[#This Row],[Error Code]],'Basic Data'!$W:$W,'Basic Data'!$X:$X),"Incorrect Error Code")</f>
        <v>Pitch thyristor 3 fault</v>
      </c>
      <c r="M259" s="23" t="s">
        <v>153</v>
      </c>
      <c r="N259" s="23"/>
      <c r="O259" s="306">
        <v>0.62777777777777777</v>
      </c>
      <c r="P259" s="306">
        <v>0.62777777777777777</v>
      </c>
      <c r="Q259" s="306">
        <v>0.7402777777777777</v>
      </c>
      <c r="R259" s="298">
        <f t="shared" si="8"/>
        <v>0.11249999999999993</v>
      </c>
      <c r="S259" s="317">
        <f>(Table5[[#This Row],[Fault Clearance time]]-Table5[[#This Row],[Work Start TimeStamp]])*24</f>
        <v>2.6999999999999984</v>
      </c>
      <c r="T259" s="317">
        <f>(Table5[[#This Row],[Fault Clearance time]]-Table5[[#This Row],[Fault Start TimeStamp]])*24</f>
        <v>2.6999999999999984</v>
      </c>
      <c r="U259" s="23" t="s">
        <v>914</v>
      </c>
      <c r="V259" s="79" t="s">
        <v>339</v>
      </c>
      <c r="W259" s="308">
        <f>IFERROR(Table5[[#This Row],[Breakdown Time]]*Table5[[#This Row],[Plant Equivalent Weightage]],"")</f>
        <v>6.1363636363636329E-2</v>
      </c>
      <c r="X259" s="289" t="s">
        <v>343</v>
      </c>
      <c r="Y259" s="290" t="s">
        <v>80</v>
      </c>
      <c r="Z259" s="79"/>
      <c r="AA259" s="283">
        <v>4748</v>
      </c>
      <c r="AB259" s="79"/>
      <c r="AC259" s="23"/>
      <c r="AD259" s="23"/>
    </row>
    <row r="260" spans="1:30">
      <c r="A260" s="79">
        <f t="shared" ref="A260:A324" si="9">A259+1</f>
        <v>259</v>
      </c>
      <c r="B260" s="283">
        <f>YEAR(Table5[[#This Row],[Date]])+IF(MONTH(Table5[[#This Row],[Date]])&gt;=4,1,0)</f>
        <v>2026</v>
      </c>
      <c r="C260" s="79">
        <f>YEAR(Table5[[#This Row],[Date]])</f>
        <v>2025</v>
      </c>
      <c r="D260" s="79" t="s">
        <v>344</v>
      </c>
      <c r="E260" s="284">
        <f>Table5[[#This Row],[Date]]-DAY(Table5[[#This Row],[Date]])+1</f>
        <v>45809</v>
      </c>
      <c r="F260" s="285">
        <v>45833</v>
      </c>
      <c r="G260" s="79" t="s">
        <v>83</v>
      </c>
      <c r="H260" s="23" t="str">
        <f>IFERROR(_xlfn.XLOOKUP(Table5[[#This Row],[Affected WTG]],'Basic Data'!$A:$A,'Basic Data'!$B:$B),"")</f>
        <v>PWEPL</v>
      </c>
      <c r="I260" s="23" t="str">
        <f>IFERROR(_xlfn.XLOOKUP(Table5[[#This Row],[Affected WTG]],'Basic Data'!$A:$A,'Basic Data'!$C:$C),"")</f>
        <v>MSEDCL</v>
      </c>
      <c r="J260" s="286">
        <f>IFERROR(_xlfn.XLOOKUP(Table5[[#This Row],[Affected WTG]],'Basic Data'!$A:$A,'Basic Data'!$E:$E),"")</f>
        <v>2.2727272727272728E-2</v>
      </c>
      <c r="K260" s="79">
        <v>3</v>
      </c>
      <c r="L260" s="23" t="str">
        <f>IFERROR(_xlfn.XLOOKUP(Table5[[#This Row],[Error Code]],'Basic Data'!$W:$W,'Basic Data'!$X:$X),"Incorrect Error Code")</f>
        <v>Manual Stop</v>
      </c>
      <c r="M260" s="23" t="s">
        <v>950</v>
      </c>
      <c r="N260" s="23"/>
      <c r="O260" s="306">
        <v>0.57916666666666672</v>
      </c>
      <c r="P260" s="306">
        <v>0.57916666666666672</v>
      </c>
      <c r="Q260" s="306">
        <v>0.58333333333333337</v>
      </c>
      <c r="R260" s="298">
        <f t="shared" si="8"/>
        <v>4.1666666666666519E-3</v>
      </c>
      <c r="S260" s="317">
        <f>(Table5[[#This Row],[Fault Clearance time]]-Table5[[#This Row],[Work Start TimeStamp]])*24</f>
        <v>9.9999999999999645E-2</v>
      </c>
      <c r="T260" s="317">
        <f>(Table5[[#This Row],[Fault Clearance time]]-Table5[[#This Row],[Fault Start TimeStamp]])*24</f>
        <v>9.9999999999999645E-2</v>
      </c>
      <c r="U260" s="23" t="s">
        <v>950</v>
      </c>
      <c r="V260" s="79" t="s">
        <v>339</v>
      </c>
      <c r="W260" s="308">
        <f>IFERROR(Table5[[#This Row],[Breakdown Time]]*Table5[[#This Row],[Plant Equivalent Weightage]],"")</f>
        <v>2.2727272727272648E-3</v>
      </c>
      <c r="X260" s="289" t="s">
        <v>394</v>
      </c>
      <c r="Y260" s="290" t="s">
        <v>98</v>
      </c>
      <c r="Z260" s="79"/>
      <c r="AA260" s="283">
        <v>224</v>
      </c>
      <c r="AB260" s="79"/>
      <c r="AC260" s="23"/>
      <c r="AD260" s="23"/>
    </row>
    <row r="261" spans="1:30">
      <c r="A261" s="79">
        <f t="shared" si="9"/>
        <v>260</v>
      </c>
      <c r="B261" s="283">
        <f>YEAR(Table5[[#This Row],[Date]])+IF(MONTH(Table5[[#This Row],[Date]])&gt;=4,1,0)</f>
        <v>2026</v>
      </c>
      <c r="C261" s="79">
        <f>YEAR(Table5[[#This Row],[Date]])</f>
        <v>2025</v>
      </c>
      <c r="D261" s="79" t="s">
        <v>344</v>
      </c>
      <c r="E261" s="284">
        <f>Table5[[#This Row],[Date]]-DAY(Table5[[#This Row],[Date]])+1</f>
        <v>45809</v>
      </c>
      <c r="F261" s="285">
        <v>45833</v>
      </c>
      <c r="G261" s="79" t="s">
        <v>96</v>
      </c>
      <c r="H261" s="23" t="str">
        <f>IFERROR(_xlfn.XLOOKUP(Table5[[#This Row],[Affected WTG]],'Basic Data'!$A:$A,'Basic Data'!$B:$B),"")</f>
        <v>PWEPL</v>
      </c>
      <c r="I261" s="23" t="str">
        <f>IFERROR(_xlfn.XLOOKUP(Table5[[#This Row],[Affected WTG]],'Basic Data'!$A:$A,'Basic Data'!$C:$C),"")</f>
        <v>MSEDCL</v>
      </c>
      <c r="J261" s="286">
        <f>IFERROR(_xlfn.XLOOKUP(Table5[[#This Row],[Affected WTG]],'Basic Data'!$A:$A,'Basic Data'!$E:$E),"")</f>
        <v>2.2727272727272728E-2</v>
      </c>
      <c r="K261" s="79">
        <v>3</v>
      </c>
      <c r="L261" s="23" t="str">
        <f>IFERROR(_xlfn.XLOOKUP(Table5[[#This Row],[Error Code]],'Basic Data'!$W:$W,'Basic Data'!$X:$X),"Incorrect Error Code")</f>
        <v>Manual Stop</v>
      </c>
      <c r="M261" s="23" t="s">
        <v>950</v>
      </c>
      <c r="N261" s="23"/>
      <c r="O261" s="306">
        <v>0.59861111111111109</v>
      </c>
      <c r="P261" s="306">
        <v>0.59861111111111109</v>
      </c>
      <c r="Q261" s="306">
        <v>0.6</v>
      </c>
      <c r="R261" s="298">
        <f t="shared" si="8"/>
        <v>1.388888888888884E-3</v>
      </c>
      <c r="S261" s="317">
        <f>(Table5[[#This Row],[Fault Clearance time]]-Table5[[#This Row],[Work Start TimeStamp]])*24</f>
        <v>3.3333333333333215E-2</v>
      </c>
      <c r="T261" s="317">
        <f>(Table5[[#This Row],[Fault Clearance time]]-Table5[[#This Row],[Fault Start TimeStamp]])*24</f>
        <v>3.3333333333333215E-2</v>
      </c>
      <c r="U261" s="23" t="s">
        <v>950</v>
      </c>
      <c r="V261" s="79" t="s">
        <v>339</v>
      </c>
      <c r="W261" s="308">
        <f>IFERROR(Table5[[#This Row],[Breakdown Time]]*Table5[[#This Row],[Plant Equivalent Weightage]],"")</f>
        <v>7.5757575757575486E-4</v>
      </c>
      <c r="X261" s="289" t="s">
        <v>394</v>
      </c>
      <c r="Y261" s="290" t="s">
        <v>79</v>
      </c>
      <c r="Z261" s="79"/>
      <c r="AA261" s="283">
        <v>269</v>
      </c>
      <c r="AB261" s="79"/>
      <c r="AC261" s="23"/>
      <c r="AD261" s="23"/>
    </row>
    <row r="262" spans="1:30">
      <c r="A262" s="79">
        <f t="shared" si="9"/>
        <v>261</v>
      </c>
      <c r="B262" s="283">
        <f>YEAR(Table5[[#This Row],[Date]])+IF(MONTH(Table5[[#This Row],[Date]])&gt;=4,1,0)</f>
        <v>2026</v>
      </c>
      <c r="C262" s="79">
        <f>YEAR(Table5[[#This Row],[Date]])</f>
        <v>2025</v>
      </c>
      <c r="D262" s="79" t="s">
        <v>344</v>
      </c>
      <c r="E262" s="284">
        <f>Table5[[#This Row],[Date]]-DAY(Table5[[#This Row],[Date]])+1</f>
        <v>45809</v>
      </c>
      <c r="F262" s="285">
        <v>45833</v>
      </c>
      <c r="G262" s="79" t="s">
        <v>110</v>
      </c>
      <c r="H262" s="23" t="str">
        <f>IFERROR(_xlfn.XLOOKUP(Table5[[#This Row],[Affected WTG]],'Basic Data'!$A:$A,'Basic Data'!$B:$B),"")</f>
        <v>PWEPL</v>
      </c>
      <c r="I262" s="23" t="str">
        <f>IFERROR(_xlfn.XLOOKUP(Table5[[#This Row],[Affected WTG]],'Basic Data'!$A:$A,'Basic Data'!$C:$C),"")</f>
        <v>MSEDCL</v>
      </c>
      <c r="J262" s="286">
        <f>IFERROR(_xlfn.XLOOKUP(Table5[[#This Row],[Affected WTG]],'Basic Data'!$A:$A,'Basic Data'!$E:$E),"")</f>
        <v>2.2727272727272728E-2</v>
      </c>
      <c r="K262" s="79">
        <v>3</v>
      </c>
      <c r="L262" s="23" t="str">
        <f>IFERROR(_xlfn.XLOOKUP(Table5[[#This Row],[Error Code]],'Basic Data'!$W:$W,'Basic Data'!$X:$X),"Incorrect Error Code")</f>
        <v>Manual Stop</v>
      </c>
      <c r="M262" s="23" t="s">
        <v>950</v>
      </c>
      <c r="N262" s="23"/>
      <c r="O262" s="306">
        <v>0.61249999999999993</v>
      </c>
      <c r="P262" s="306">
        <v>0.61249999999999993</v>
      </c>
      <c r="Q262" s="306">
        <v>0.61388888888888882</v>
      </c>
      <c r="R262" s="298">
        <f t="shared" si="8"/>
        <v>1.388888888888884E-3</v>
      </c>
      <c r="S262" s="317">
        <f>(Table5[[#This Row],[Fault Clearance time]]-Table5[[#This Row],[Work Start TimeStamp]])*24</f>
        <v>3.3333333333333215E-2</v>
      </c>
      <c r="T262" s="317">
        <f>(Table5[[#This Row],[Fault Clearance time]]-Table5[[#This Row],[Fault Start TimeStamp]])*24</f>
        <v>3.3333333333333215E-2</v>
      </c>
      <c r="U262" s="23" t="s">
        <v>950</v>
      </c>
      <c r="V262" s="79" t="s">
        <v>339</v>
      </c>
      <c r="W262" s="308">
        <f>IFERROR(Table5[[#This Row],[Breakdown Time]]*Table5[[#This Row],[Plant Equivalent Weightage]],"")</f>
        <v>7.5757575757575486E-4</v>
      </c>
      <c r="X262" s="289" t="s">
        <v>394</v>
      </c>
      <c r="Y262" s="290" t="s">
        <v>100</v>
      </c>
      <c r="Z262" s="79"/>
      <c r="AA262" s="283">
        <v>207</v>
      </c>
      <c r="AB262" s="79"/>
      <c r="AC262" s="23"/>
      <c r="AD262" s="23"/>
    </row>
    <row r="263" spans="1:30">
      <c r="A263" s="79">
        <f t="shared" si="9"/>
        <v>262</v>
      </c>
      <c r="B263" s="283">
        <f>YEAR(Table5[[#This Row],[Date]])+IF(MONTH(Table5[[#This Row],[Date]])&gt;=4,1,0)</f>
        <v>2026</v>
      </c>
      <c r="C263" s="79">
        <f>YEAR(Table5[[#This Row],[Date]])</f>
        <v>2025</v>
      </c>
      <c r="D263" s="79" t="s">
        <v>344</v>
      </c>
      <c r="E263" s="284">
        <f>Table5[[#This Row],[Date]]-DAY(Table5[[#This Row],[Date]])+1</f>
        <v>45809</v>
      </c>
      <c r="F263" s="285">
        <v>45833</v>
      </c>
      <c r="G263" s="79" t="s">
        <v>98</v>
      </c>
      <c r="H263" s="23" t="str">
        <f>IFERROR(_xlfn.XLOOKUP(Table5[[#This Row],[Affected WTG]],'Basic Data'!$A:$A,'Basic Data'!$B:$B),"")</f>
        <v>PWEPL</v>
      </c>
      <c r="I263" s="23" t="str">
        <f>IFERROR(_xlfn.XLOOKUP(Table5[[#This Row],[Affected WTG]],'Basic Data'!$A:$A,'Basic Data'!$C:$C),"")</f>
        <v>MSEDCL</v>
      </c>
      <c r="J263" s="286">
        <f>IFERROR(_xlfn.XLOOKUP(Table5[[#This Row],[Affected WTG]],'Basic Data'!$A:$A,'Basic Data'!$E:$E),"")</f>
        <v>2.2727272727272728E-2</v>
      </c>
      <c r="K263" s="79">
        <v>3</v>
      </c>
      <c r="L263" s="23" t="str">
        <f>IFERROR(_xlfn.XLOOKUP(Table5[[#This Row],[Error Code]],'Basic Data'!$W:$W,'Basic Data'!$X:$X),"Incorrect Error Code")</f>
        <v>Manual Stop</v>
      </c>
      <c r="M263" s="23" t="s">
        <v>950</v>
      </c>
      <c r="N263" s="23"/>
      <c r="O263" s="306">
        <v>0.65138888888888891</v>
      </c>
      <c r="P263" s="306">
        <v>0.65138888888888891</v>
      </c>
      <c r="Q263" s="306">
        <v>0.65486111111111112</v>
      </c>
      <c r="R263" s="298">
        <f t="shared" si="8"/>
        <v>3.4722222222222099E-3</v>
      </c>
      <c r="S263" s="317">
        <f>(Table5[[#This Row],[Fault Clearance time]]-Table5[[#This Row],[Work Start TimeStamp]])*24</f>
        <v>8.3333333333333037E-2</v>
      </c>
      <c r="T263" s="317">
        <f>(Table5[[#This Row],[Fault Clearance time]]-Table5[[#This Row],[Fault Start TimeStamp]])*24</f>
        <v>8.3333333333333037E-2</v>
      </c>
      <c r="U263" s="23" t="s">
        <v>950</v>
      </c>
      <c r="V263" s="79" t="s">
        <v>339</v>
      </c>
      <c r="W263" s="308">
        <f>IFERROR(Table5[[#This Row],[Breakdown Time]]*Table5[[#This Row],[Plant Equivalent Weightage]],"")</f>
        <v>1.8939393939393873E-3</v>
      </c>
      <c r="X263" s="289" t="s">
        <v>394</v>
      </c>
      <c r="Y263" s="290" t="s">
        <v>83</v>
      </c>
      <c r="Z263" s="79"/>
      <c r="AA263" s="283">
        <v>245</v>
      </c>
      <c r="AB263" s="79"/>
      <c r="AC263" s="23"/>
      <c r="AD263" s="23"/>
    </row>
    <row r="264" spans="1:30">
      <c r="A264" s="79">
        <f t="shared" si="9"/>
        <v>263</v>
      </c>
      <c r="B264" s="283">
        <f>YEAR(Table5[[#This Row],[Date]])+IF(MONTH(Table5[[#This Row],[Date]])&gt;=4,1,0)</f>
        <v>2026</v>
      </c>
      <c r="C264" s="79">
        <f>YEAR(Table5[[#This Row],[Date]])</f>
        <v>2025</v>
      </c>
      <c r="D264" s="79" t="s">
        <v>344</v>
      </c>
      <c r="E264" s="284">
        <f>Table5[[#This Row],[Date]]-DAY(Table5[[#This Row],[Date]])+1</f>
        <v>45809</v>
      </c>
      <c r="F264" s="285">
        <v>45834</v>
      </c>
      <c r="G264" s="79" t="s">
        <v>115</v>
      </c>
      <c r="H264" s="23" t="str">
        <f>IFERROR(_xlfn.XLOOKUP(Table5[[#This Row],[Affected WTG]],'Basic Data'!$A:$A,'Basic Data'!$B:$B),"")</f>
        <v>PWEPL</v>
      </c>
      <c r="I264" s="23" t="str">
        <f>IFERROR(_xlfn.XLOOKUP(Table5[[#This Row],[Affected WTG]],'Basic Data'!$A:$A,'Basic Data'!$C:$C),"")</f>
        <v>MSEDCL</v>
      </c>
      <c r="J264" s="286">
        <f>IFERROR(_xlfn.XLOOKUP(Table5[[#This Row],[Affected WTG]],'Basic Data'!$A:$A,'Basic Data'!$E:$E),"")</f>
        <v>2.2727272727272728E-2</v>
      </c>
      <c r="K264" s="79">
        <v>201</v>
      </c>
      <c r="L264" s="23" t="str">
        <f>IFERROR(_xlfn.XLOOKUP(Table5[[#This Row],[Error Code]],'Basic Data'!$W:$W,'Basic Data'!$X:$X),"Incorrect Error Code")</f>
        <v xml:space="preserve"> PLC fault 24V Supply</v>
      </c>
      <c r="M264" s="23" t="s">
        <v>366</v>
      </c>
      <c r="N264" s="23"/>
      <c r="O264" s="306">
        <v>1.8749999999999999E-2</v>
      </c>
      <c r="P264" s="306">
        <v>1.8749999999999999E-2</v>
      </c>
      <c r="Q264" s="306">
        <v>8.1944444444444445E-2</v>
      </c>
      <c r="R264" s="298">
        <f t="shared" si="8"/>
        <v>6.3194444444444442E-2</v>
      </c>
      <c r="S264" s="317">
        <f>(Table5[[#This Row],[Fault Clearance time]]-Table5[[#This Row],[Work Start TimeStamp]])*24</f>
        <v>1.5166666666666666</v>
      </c>
      <c r="T264" s="317">
        <f>(Table5[[#This Row],[Fault Clearance time]]-Table5[[#This Row],[Fault Start TimeStamp]])*24</f>
        <v>1.5166666666666666</v>
      </c>
      <c r="U264" s="23" t="s">
        <v>882</v>
      </c>
      <c r="V264" s="79" t="s">
        <v>339</v>
      </c>
      <c r="W264" s="308">
        <f>IFERROR(Table5[[#This Row],[Breakdown Time]]*Table5[[#This Row],[Plant Equivalent Weightage]],"")</f>
        <v>3.446969696969697E-2</v>
      </c>
      <c r="X264" s="289" t="s">
        <v>343</v>
      </c>
      <c r="Y264" s="290" t="s">
        <v>116</v>
      </c>
      <c r="Z264" s="79"/>
      <c r="AA264" s="283">
        <v>2635</v>
      </c>
      <c r="AB264" s="79"/>
      <c r="AC264" s="23"/>
      <c r="AD264" s="23"/>
    </row>
    <row r="265" spans="1:30">
      <c r="A265" s="79">
        <f t="shared" si="9"/>
        <v>264</v>
      </c>
      <c r="B265" s="283">
        <f>YEAR(Table5[[#This Row],[Date]])+IF(MONTH(Table5[[#This Row],[Date]])&gt;=4,1,0)</f>
        <v>2026</v>
      </c>
      <c r="C265" s="79">
        <f>YEAR(Table5[[#This Row],[Date]])</f>
        <v>2025</v>
      </c>
      <c r="D265" s="79" t="s">
        <v>344</v>
      </c>
      <c r="E265" s="284">
        <f>Table5[[#This Row],[Date]]-DAY(Table5[[#This Row],[Date]])+1</f>
        <v>45809</v>
      </c>
      <c r="F265" s="285">
        <v>45834</v>
      </c>
      <c r="G265" s="79" t="s">
        <v>108</v>
      </c>
      <c r="H265" s="23" t="str">
        <f>IFERROR(_xlfn.XLOOKUP(Table5[[#This Row],[Affected WTG]],'Basic Data'!$A:$A,'Basic Data'!$B:$B),"")</f>
        <v>PWEPL</v>
      </c>
      <c r="I265" s="23" t="str">
        <f>IFERROR(_xlfn.XLOOKUP(Table5[[#This Row],[Affected WTG]],'Basic Data'!$A:$A,'Basic Data'!$C:$C),"")</f>
        <v>MSEDCL</v>
      </c>
      <c r="J265" s="286">
        <f>IFERROR(_xlfn.XLOOKUP(Table5[[#This Row],[Affected WTG]],'Basic Data'!$A:$A,'Basic Data'!$E:$E),"")</f>
        <v>2.2727272727272728E-2</v>
      </c>
      <c r="K265" s="79">
        <v>276</v>
      </c>
      <c r="L265" s="23" t="str">
        <f>IFERROR(_xlfn.XLOOKUP(Table5[[#This Row],[Error Code]],'Basic Data'!$W:$W,'Basic Data'!$X:$X),"Incorrect Error Code")</f>
        <v>Pitch thyristor 3 fault</v>
      </c>
      <c r="M265" s="23" t="s">
        <v>153</v>
      </c>
      <c r="N265" s="23"/>
      <c r="O265" s="306">
        <v>0.4861111111111111</v>
      </c>
      <c r="P265" s="306">
        <v>0.4861111111111111</v>
      </c>
      <c r="Q265" s="306">
        <v>0.60833333333333328</v>
      </c>
      <c r="R265" s="298">
        <f t="shared" si="8"/>
        <v>0.12222222222222218</v>
      </c>
      <c r="S265" s="317">
        <f>(Table5[[#This Row],[Fault Clearance time]]-Table5[[#This Row],[Work Start TimeStamp]])*24</f>
        <v>2.9333333333333322</v>
      </c>
      <c r="T265" s="317">
        <f>(Table5[[#This Row],[Fault Clearance time]]-Table5[[#This Row],[Fault Start TimeStamp]])*24</f>
        <v>2.9333333333333322</v>
      </c>
      <c r="U265" s="23" t="s">
        <v>891</v>
      </c>
      <c r="V265" s="79" t="s">
        <v>339</v>
      </c>
      <c r="W265" s="308">
        <f>IFERROR(Table5[[#This Row],[Breakdown Time]]*Table5[[#This Row],[Plant Equivalent Weightage]],"")</f>
        <v>6.6666666666666638E-2</v>
      </c>
      <c r="X265" s="289" t="s">
        <v>343</v>
      </c>
      <c r="Y265" s="290" t="s">
        <v>80</v>
      </c>
      <c r="Z265" s="79"/>
      <c r="AA265" s="283">
        <v>4354</v>
      </c>
      <c r="AB265" s="79"/>
      <c r="AC265" s="23"/>
      <c r="AD265" s="23"/>
    </row>
    <row r="266" spans="1:30">
      <c r="A266" s="79">
        <f t="shared" si="9"/>
        <v>265</v>
      </c>
      <c r="B266" s="283">
        <f>YEAR(Table5[[#This Row],[Date]])+IF(MONTH(Table5[[#This Row],[Date]])&gt;=4,1,0)</f>
        <v>2026</v>
      </c>
      <c r="C266" s="79">
        <f>YEAR(Table5[[#This Row],[Date]])</f>
        <v>2025</v>
      </c>
      <c r="D266" s="79" t="s">
        <v>344</v>
      </c>
      <c r="E266" s="284">
        <f>Table5[[#This Row],[Date]]-DAY(Table5[[#This Row],[Date]])+1</f>
        <v>45809</v>
      </c>
      <c r="F266" s="285">
        <v>45834</v>
      </c>
      <c r="G266" s="79" t="s">
        <v>117</v>
      </c>
      <c r="H266" s="23" t="str">
        <f>IFERROR(_xlfn.XLOOKUP(Table5[[#This Row],[Affected WTG]],'Basic Data'!$A:$A,'Basic Data'!$B:$B),"")</f>
        <v>PWEPL</v>
      </c>
      <c r="I266" s="23" t="str">
        <f>IFERROR(_xlfn.XLOOKUP(Table5[[#This Row],[Affected WTG]],'Basic Data'!$A:$A,'Basic Data'!$C:$C),"")</f>
        <v>MSEDCL</v>
      </c>
      <c r="J266" s="286">
        <f>IFERROR(_xlfn.XLOOKUP(Table5[[#This Row],[Affected WTG]],'Basic Data'!$A:$A,'Basic Data'!$E:$E),"")</f>
        <v>2.2727272727272728E-2</v>
      </c>
      <c r="K266" s="79">
        <v>3</v>
      </c>
      <c r="L266" s="23" t="str">
        <f>IFERROR(_xlfn.XLOOKUP(Table5[[#This Row],[Error Code]],'Basic Data'!$W:$W,'Basic Data'!$X:$X),"Incorrect Error Code")</f>
        <v>Manual Stop</v>
      </c>
      <c r="M266" s="23" t="s">
        <v>954</v>
      </c>
      <c r="N266" s="23"/>
      <c r="O266" s="306">
        <v>0.78263888888888899</v>
      </c>
      <c r="P266" s="306">
        <v>0.78263888888888899</v>
      </c>
      <c r="Q266" s="306">
        <v>0.81805555555555554</v>
      </c>
      <c r="R266" s="298">
        <f t="shared" si="8"/>
        <v>3.5416666666666541E-2</v>
      </c>
      <c r="S266" s="317">
        <f>(Table5[[#This Row],[Fault Clearance time]]-Table5[[#This Row],[Work Start TimeStamp]])*24</f>
        <v>0.84999999999999698</v>
      </c>
      <c r="T266" s="317">
        <f>(Table5[[#This Row],[Fault Clearance time]]-Table5[[#This Row],[Fault Start TimeStamp]])*24</f>
        <v>0.84999999999999698</v>
      </c>
      <c r="U266" s="23" t="s">
        <v>955</v>
      </c>
      <c r="V266" s="79" t="s">
        <v>339</v>
      </c>
      <c r="W266" s="308">
        <f>IFERROR(Table5[[#This Row],[Breakdown Time]]*Table5[[#This Row],[Plant Equivalent Weightage]],"")</f>
        <v>1.9318181818181752E-2</v>
      </c>
      <c r="X266" s="289" t="s">
        <v>343</v>
      </c>
      <c r="Y266" s="290" t="s">
        <v>116</v>
      </c>
      <c r="Z266" s="79"/>
      <c r="AA266" s="283">
        <v>1455</v>
      </c>
      <c r="AB266" s="79"/>
      <c r="AC266" s="23"/>
      <c r="AD266" s="23"/>
    </row>
    <row r="267" spans="1:30">
      <c r="A267" s="79">
        <f t="shared" si="9"/>
        <v>266</v>
      </c>
      <c r="B267" s="283">
        <f>YEAR(Table5[[#This Row],[Date]])+IF(MONTH(Table5[[#This Row],[Date]])&gt;=4,1,0)</f>
        <v>2026</v>
      </c>
      <c r="C267" s="79">
        <f>YEAR(Table5[[#This Row],[Date]])</f>
        <v>2025</v>
      </c>
      <c r="D267" s="79" t="s">
        <v>344</v>
      </c>
      <c r="E267" s="284">
        <f>Table5[[#This Row],[Date]]-DAY(Table5[[#This Row],[Date]])+1</f>
        <v>45809</v>
      </c>
      <c r="F267" s="285">
        <v>45834</v>
      </c>
      <c r="G267" s="79" t="s">
        <v>100</v>
      </c>
      <c r="H267" s="23" t="str">
        <f>IFERROR(_xlfn.XLOOKUP(Table5[[#This Row],[Affected WTG]],'Basic Data'!$A:$A,'Basic Data'!$B:$B),"")</f>
        <v>PWEPL</v>
      </c>
      <c r="I267" s="23" t="str">
        <f>IFERROR(_xlfn.XLOOKUP(Table5[[#This Row],[Affected WTG]],'Basic Data'!$A:$A,'Basic Data'!$C:$C),"")</f>
        <v>MSEDCL</v>
      </c>
      <c r="J267" s="286">
        <f>IFERROR(_xlfn.XLOOKUP(Table5[[#This Row],[Affected WTG]],'Basic Data'!$A:$A,'Basic Data'!$E:$E),"")</f>
        <v>2.2727272727272728E-2</v>
      </c>
      <c r="K267" s="79">
        <v>3</v>
      </c>
      <c r="L267" s="23" t="str">
        <f>IFERROR(_xlfn.XLOOKUP(Table5[[#This Row],[Error Code]],'Basic Data'!$W:$W,'Basic Data'!$X:$X),"Incorrect Error Code")</f>
        <v>Manual Stop</v>
      </c>
      <c r="M267" s="23" t="s">
        <v>950</v>
      </c>
      <c r="N267" s="23"/>
      <c r="O267" s="306">
        <v>0.70624999999999993</v>
      </c>
      <c r="P267" s="306">
        <v>0.70624999999999993</v>
      </c>
      <c r="Q267" s="306">
        <v>0.70763888888888893</v>
      </c>
      <c r="R267" s="298">
        <f t="shared" si="8"/>
        <v>1.388888888888995E-3</v>
      </c>
      <c r="S267" s="317">
        <f>(Table5[[#This Row],[Fault Clearance time]]-Table5[[#This Row],[Work Start TimeStamp]])*24</f>
        <v>3.3333333333335879E-2</v>
      </c>
      <c r="T267" s="317">
        <f>(Table5[[#This Row],[Fault Clearance time]]-Table5[[#This Row],[Fault Start TimeStamp]])*24</f>
        <v>3.3333333333335879E-2</v>
      </c>
      <c r="U267" s="23" t="s">
        <v>950</v>
      </c>
      <c r="V267" s="79" t="s">
        <v>339</v>
      </c>
      <c r="W267" s="308">
        <f>IFERROR(Table5[[#This Row],[Breakdown Time]]*Table5[[#This Row],[Plant Equivalent Weightage]],"")</f>
        <v>7.5757575757581547E-4</v>
      </c>
      <c r="X267" s="289" t="s">
        <v>394</v>
      </c>
      <c r="Y267" s="290" t="s">
        <v>101</v>
      </c>
      <c r="Z267" s="79"/>
      <c r="AA267" s="283">
        <v>214</v>
      </c>
      <c r="AB267" s="79"/>
      <c r="AC267" s="23"/>
      <c r="AD267" s="23"/>
    </row>
    <row r="268" spans="1:30">
      <c r="A268" s="79">
        <f t="shared" si="9"/>
        <v>267</v>
      </c>
      <c r="B268" s="283">
        <f>YEAR(Table5[[#This Row],[Date]])+IF(MONTH(Table5[[#This Row],[Date]])&gt;=4,1,0)</f>
        <v>2026</v>
      </c>
      <c r="C268" s="79">
        <f>YEAR(Table5[[#This Row],[Date]])</f>
        <v>2025</v>
      </c>
      <c r="D268" s="79" t="s">
        <v>344</v>
      </c>
      <c r="E268" s="284">
        <f>Table5[[#This Row],[Date]]-DAY(Table5[[#This Row],[Date]])+1</f>
        <v>45809</v>
      </c>
      <c r="F268" s="285">
        <v>45834</v>
      </c>
      <c r="G268" s="79" t="s">
        <v>101</v>
      </c>
      <c r="H268" s="23" t="str">
        <f>IFERROR(_xlfn.XLOOKUP(Table5[[#This Row],[Affected WTG]],'Basic Data'!$A:$A,'Basic Data'!$B:$B),"")</f>
        <v>PWEPL</v>
      </c>
      <c r="I268" s="23" t="str">
        <f>IFERROR(_xlfn.XLOOKUP(Table5[[#This Row],[Affected WTG]],'Basic Data'!$A:$A,'Basic Data'!$C:$C),"")</f>
        <v>MSEDCL</v>
      </c>
      <c r="J268" s="286">
        <f>IFERROR(_xlfn.XLOOKUP(Table5[[#This Row],[Affected WTG]],'Basic Data'!$A:$A,'Basic Data'!$E:$E),"")</f>
        <v>2.2727272727272728E-2</v>
      </c>
      <c r="K268" s="79">
        <v>3</v>
      </c>
      <c r="L268" s="23" t="str">
        <f>IFERROR(_xlfn.XLOOKUP(Table5[[#This Row],[Error Code]],'Basic Data'!$W:$W,'Basic Data'!$X:$X),"Incorrect Error Code")</f>
        <v>Manual Stop</v>
      </c>
      <c r="M268" s="23" t="s">
        <v>950</v>
      </c>
      <c r="N268" s="23"/>
      <c r="O268" s="306">
        <v>0.71319444444444446</v>
      </c>
      <c r="P268" s="306">
        <v>0.71319444444444446</v>
      </c>
      <c r="Q268" s="306">
        <v>0.71527777777777779</v>
      </c>
      <c r="R268" s="298">
        <f t="shared" si="8"/>
        <v>2.0833333333333259E-3</v>
      </c>
      <c r="S268" s="317">
        <f>(Table5[[#This Row],[Fault Clearance time]]-Table5[[#This Row],[Work Start TimeStamp]])*24</f>
        <v>4.9999999999999822E-2</v>
      </c>
      <c r="T268" s="317">
        <f>(Table5[[#This Row],[Fault Clearance time]]-Table5[[#This Row],[Fault Start TimeStamp]])*24</f>
        <v>4.9999999999999822E-2</v>
      </c>
      <c r="U268" s="23" t="s">
        <v>950</v>
      </c>
      <c r="V268" s="79" t="s">
        <v>339</v>
      </c>
      <c r="W268" s="308">
        <f>IFERROR(Table5[[#This Row],[Breakdown Time]]*Table5[[#This Row],[Plant Equivalent Weightage]],"")</f>
        <v>1.1363636363636324E-3</v>
      </c>
      <c r="X268" s="289" t="s">
        <v>394</v>
      </c>
      <c r="Y268" s="290" t="s">
        <v>100</v>
      </c>
      <c r="Z268" s="79"/>
      <c r="AA268" s="283">
        <v>168</v>
      </c>
      <c r="AB268" s="79"/>
      <c r="AC268" s="23"/>
      <c r="AD268" s="23"/>
    </row>
    <row r="269" spans="1:30">
      <c r="A269" s="79">
        <f t="shared" si="9"/>
        <v>268</v>
      </c>
      <c r="B269" s="283">
        <f>YEAR(Table5[[#This Row],[Date]])+IF(MONTH(Table5[[#This Row],[Date]])&gt;=4,1,0)</f>
        <v>2026</v>
      </c>
      <c r="C269" s="79">
        <f>YEAR(Table5[[#This Row],[Date]])</f>
        <v>2025</v>
      </c>
      <c r="D269" s="79" t="s">
        <v>344</v>
      </c>
      <c r="E269" s="284">
        <f>Table5[[#This Row],[Date]]-DAY(Table5[[#This Row],[Date]])+1</f>
        <v>45809</v>
      </c>
      <c r="F269" s="285">
        <v>45834</v>
      </c>
      <c r="G269" s="79" t="s">
        <v>84</v>
      </c>
      <c r="H269" s="23" t="str">
        <f>IFERROR(_xlfn.XLOOKUP(Table5[[#This Row],[Affected WTG]],'Basic Data'!$A:$A,'Basic Data'!$B:$B),"")</f>
        <v>PWEPL</v>
      </c>
      <c r="I269" s="23" t="str">
        <f>IFERROR(_xlfn.XLOOKUP(Table5[[#This Row],[Affected WTG]],'Basic Data'!$A:$A,'Basic Data'!$C:$C),"")</f>
        <v>MSEDCL</v>
      </c>
      <c r="J269" s="286">
        <f>IFERROR(_xlfn.XLOOKUP(Table5[[#This Row],[Affected WTG]],'Basic Data'!$A:$A,'Basic Data'!$E:$E),"")</f>
        <v>2.2727272727272728E-2</v>
      </c>
      <c r="K269" s="79">
        <v>3</v>
      </c>
      <c r="L269" s="23" t="str">
        <f>IFERROR(_xlfn.XLOOKUP(Table5[[#This Row],[Error Code]],'Basic Data'!$W:$W,'Basic Data'!$X:$X),"Incorrect Error Code")</f>
        <v>Manual Stop</v>
      </c>
      <c r="M269" s="23" t="s">
        <v>950</v>
      </c>
      <c r="N269" s="23"/>
      <c r="O269" s="306">
        <v>0.72638888888888886</v>
      </c>
      <c r="P269" s="306">
        <v>0.72638888888888886</v>
      </c>
      <c r="Q269" s="306">
        <v>0.7284722222222223</v>
      </c>
      <c r="R269" s="298">
        <f t="shared" si="8"/>
        <v>2.083333333333437E-3</v>
      </c>
      <c r="S269" s="317">
        <f>(Table5[[#This Row],[Fault Clearance time]]-Table5[[#This Row],[Work Start TimeStamp]])*24</f>
        <v>5.0000000000002487E-2</v>
      </c>
      <c r="T269" s="317">
        <f>(Table5[[#This Row],[Fault Clearance time]]-Table5[[#This Row],[Fault Start TimeStamp]])*24</f>
        <v>5.0000000000002487E-2</v>
      </c>
      <c r="U269" s="23" t="s">
        <v>950</v>
      </c>
      <c r="V269" s="79" t="s">
        <v>339</v>
      </c>
      <c r="W269" s="308">
        <f>IFERROR(Table5[[#This Row],[Breakdown Time]]*Table5[[#This Row],[Plant Equivalent Weightage]],"")</f>
        <v>1.1363636363636929E-3</v>
      </c>
      <c r="X269" s="289" t="s">
        <v>394</v>
      </c>
      <c r="Y269" s="290" t="s">
        <v>85</v>
      </c>
      <c r="Z269" s="79"/>
      <c r="AA269" s="283">
        <v>214</v>
      </c>
      <c r="AB269" s="79"/>
      <c r="AC269" s="23"/>
      <c r="AD269" s="23"/>
    </row>
    <row r="270" spans="1:30">
      <c r="A270" s="79">
        <f t="shared" si="9"/>
        <v>269</v>
      </c>
      <c r="B270" s="283">
        <f>YEAR(Table5[[#This Row],[Date]])+IF(MONTH(Table5[[#This Row],[Date]])&gt;=4,1,0)</f>
        <v>2026</v>
      </c>
      <c r="C270" s="79">
        <f>YEAR(Table5[[#This Row],[Date]])</f>
        <v>2025</v>
      </c>
      <c r="D270" s="79" t="s">
        <v>344</v>
      </c>
      <c r="E270" s="284">
        <f>Table5[[#This Row],[Date]]-DAY(Table5[[#This Row],[Date]])+1</f>
        <v>45809</v>
      </c>
      <c r="F270" s="285">
        <v>45835</v>
      </c>
      <c r="G270" s="79" t="s">
        <v>99</v>
      </c>
      <c r="H270" s="23" t="str">
        <f>IFERROR(_xlfn.XLOOKUP(Table5[[#This Row],[Affected WTG]],'Basic Data'!$A:$A,'Basic Data'!$B:$B),"")</f>
        <v>PWEPL</v>
      </c>
      <c r="I270" s="23" t="str">
        <f>IFERROR(_xlfn.XLOOKUP(Table5[[#This Row],[Affected WTG]],'Basic Data'!$A:$A,'Basic Data'!$C:$C),"")</f>
        <v>MSEDCL</v>
      </c>
      <c r="J270" s="286">
        <f>IFERROR(_xlfn.XLOOKUP(Table5[[#This Row],[Affected WTG]],'Basic Data'!$A:$A,'Basic Data'!$E:$E),"")</f>
        <v>2.2727272727272728E-2</v>
      </c>
      <c r="K270" s="79">
        <v>275</v>
      </c>
      <c r="L270" s="23" t="str">
        <f>IFERROR(_xlfn.XLOOKUP(Table5[[#This Row],[Error Code]],'Basic Data'!$W:$W,'Basic Data'!$X:$X),"Incorrect Error Code")</f>
        <v>Pitch thyristor 2 fault</v>
      </c>
      <c r="M270" s="23" t="s">
        <v>162</v>
      </c>
      <c r="N270" s="23"/>
      <c r="O270" s="318">
        <v>8.5416666666666655E-2</v>
      </c>
      <c r="P270" s="318">
        <v>8.5416666666666655E-2</v>
      </c>
      <c r="Q270" s="318">
        <v>0.20694444444444446</v>
      </c>
      <c r="R270" s="298">
        <f t="shared" si="8"/>
        <v>0.1215277777777778</v>
      </c>
      <c r="S270" s="319">
        <f>(Table5[[#This Row],[Fault Clearance time]]-Table5[[#This Row],[Work Start TimeStamp]])*24</f>
        <v>2.9166666666666674</v>
      </c>
      <c r="T270" s="319">
        <f>(Table5[[#This Row],[Fault Clearance time]]-Table5[[#This Row],[Fault Start TimeStamp]])*24</f>
        <v>2.9166666666666674</v>
      </c>
      <c r="U270" s="23" t="s">
        <v>914</v>
      </c>
      <c r="V270" s="79" t="s">
        <v>339</v>
      </c>
      <c r="W270" s="320">
        <f>IFERROR(Table5[[#This Row],[Breakdown Time]]*Table5[[#This Row],[Plant Equivalent Weightage]],"")</f>
        <v>6.6287878787878812E-2</v>
      </c>
      <c r="X270" s="289" t="s">
        <v>343</v>
      </c>
      <c r="Y270" s="290" t="s">
        <v>98</v>
      </c>
      <c r="Z270" s="79"/>
      <c r="AA270" s="283">
        <v>3734</v>
      </c>
      <c r="AB270" s="79"/>
      <c r="AC270" s="23"/>
      <c r="AD270" s="23"/>
    </row>
    <row r="271" spans="1:30">
      <c r="A271" s="79">
        <f t="shared" si="9"/>
        <v>270</v>
      </c>
      <c r="B271" s="283">
        <f>YEAR(Table5[[#This Row],[Date]])+IF(MONTH(Table5[[#This Row],[Date]])&gt;=4,1,0)</f>
        <v>2026</v>
      </c>
      <c r="C271" s="79">
        <f>YEAR(Table5[[#This Row],[Date]])</f>
        <v>2025</v>
      </c>
      <c r="D271" s="79" t="s">
        <v>344</v>
      </c>
      <c r="E271" s="284">
        <f>Table5[[#This Row],[Date]]-DAY(Table5[[#This Row],[Date]])+1</f>
        <v>45809</v>
      </c>
      <c r="F271" s="285">
        <v>45835</v>
      </c>
      <c r="G271" s="79" t="s">
        <v>85</v>
      </c>
      <c r="H271" s="23" t="str">
        <f>IFERROR(_xlfn.XLOOKUP(Table5[[#This Row],[Affected WTG]],'Basic Data'!$A:$A,'Basic Data'!$B:$B),"")</f>
        <v>PWEPL</v>
      </c>
      <c r="I271" s="23" t="str">
        <f>IFERROR(_xlfn.XLOOKUP(Table5[[#This Row],[Affected WTG]],'Basic Data'!$A:$A,'Basic Data'!$C:$C),"")</f>
        <v>MSEDCL</v>
      </c>
      <c r="J271" s="286">
        <f>IFERROR(_xlfn.XLOOKUP(Table5[[#This Row],[Affected WTG]],'Basic Data'!$A:$A,'Basic Data'!$E:$E),"")</f>
        <v>2.2727272727272728E-2</v>
      </c>
      <c r="K271" s="79">
        <v>3</v>
      </c>
      <c r="L271" s="23" t="str">
        <f>IFERROR(_xlfn.XLOOKUP(Table5[[#This Row],[Error Code]],'Basic Data'!$W:$W,'Basic Data'!$X:$X),"Incorrect Error Code")</f>
        <v>Manual Stop</v>
      </c>
      <c r="M271" s="23" t="s">
        <v>950</v>
      </c>
      <c r="N271" s="23"/>
      <c r="O271" s="318">
        <v>0.6479166666666667</v>
      </c>
      <c r="P271" s="318">
        <v>0.6479166666666667</v>
      </c>
      <c r="Q271" s="318">
        <v>0.65</v>
      </c>
      <c r="R271" s="298">
        <f t="shared" si="8"/>
        <v>2.0833333333333259E-3</v>
      </c>
      <c r="S271" s="319">
        <f>(Table5[[#This Row],[Fault Clearance time]]-Table5[[#This Row],[Work Start TimeStamp]])*24</f>
        <v>4.9999999999999822E-2</v>
      </c>
      <c r="T271" s="319">
        <f>(Table5[[#This Row],[Fault Clearance time]]-Table5[[#This Row],[Fault Start TimeStamp]])*24</f>
        <v>4.9999999999999822E-2</v>
      </c>
      <c r="U271" s="23" t="s">
        <v>950</v>
      </c>
      <c r="V271" s="79" t="s">
        <v>339</v>
      </c>
      <c r="W271" s="320">
        <f>IFERROR(Table5[[#This Row],[Breakdown Time]]*Table5[[#This Row],[Plant Equivalent Weightage]],"")</f>
        <v>1.1363636363636324E-3</v>
      </c>
      <c r="X271" s="289" t="s">
        <v>394</v>
      </c>
      <c r="Y271" s="290" t="s">
        <v>84</v>
      </c>
      <c r="Z271" s="79"/>
      <c r="AA271" s="283">
        <v>155</v>
      </c>
      <c r="AB271" s="79"/>
      <c r="AC271" s="23"/>
      <c r="AD271" s="23"/>
    </row>
    <row r="272" spans="1:30">
      <c r="A272" s="79">
        <f t="shared" si="9"/>
        <v>271</v>
      </c>
      <c r="B272" s="283">
        <f>YEAR(Table5[[#This Row],[Date]])+IF(MONTH(Table5[[#This Row],[Date]])&gt;=4,1,0)</f>
        <v>2026</v>
      </c>
      <c r="C272" s="79">
        <f>YEAR(Table5[[#This Row],[Date]])</f>
        <v>2025</v>
      </c>
      <c r="D272" s="79" t="s">
        <v>344</v>
      </c>
      <c r="E272" s="284">
        <f>Table5[[#This Row],[Date]]-DAY(Table5[[#This Row],[Date]])+1</f>
        <v>45809</v>
      </c>
      <c r="F272" s="285">
        <v>45835</v>
      </c>
      <c r="G272" s="79" t="s">
        <v>86</v>
      </c>
      <c r="H272" s="23" t="str">
        <f>IFERROR(_xlfn.XLOOKUP(Table5[[#This Row],[Affected WTG]],'Basic Data'!$A:$A,'Basic Data'!$B:$B),"")</f>
        <v>PWEPL</v>
      </c>
      <c r="I272" s="23" t="str">
        <f>IFERROR(_xlfn.XLOOKUP(Table5[[#This Row],[Affected WTG]],'Basic Data'!$A:$A,'Basic Data'!$C:$C),"")</f>
        <v>MSEDCL</v>
      </c>
      <c r="J272" s="286">
        <f>IFERROR(_xlfn.XLOOKUP(Table5[[#This Row],[Affected WTG]],'Basic Data'!$A:$A,'Basic Data'!$E:$E),"")</f>
        <v>2.2727272727272728E-2</v>
      </c>
      <c r="K272" s="79">
        <v>3</v>
      </c>
      <c r="L272" s="23" t="str">
        <f>IFERROR(_xlfn.XLOOKUP(Table5[[#This Row],[Error Code]],'Basic Data'!$W:$W,'Basic Data'!$X:$X),"Incorrect Error Code")</f>
        <v>Manual Stop</v>
      </c>
      <c r="M272" s="23" t="s">
        <v>950</v>
      </c>
      <c r="N272" s="23"/>
      <c r="O272" s="318">
        <v>0.66805555555555562</v>
      </c>
      <c r="P272" s="318">
        <v>0.66805555555555562</v>
      </c>
      <c r="Q272" s="318">
        <v>0.67013888888888884</v>
      </c>
      <c r="R272" s="298">
        <f t="shared" si="8"/>
        <v>2.0833333333332149E-3</v>
      </c>
      <c r="S272" s="319">
        <f>(Table5[[#This Row],[Fault Clearance time]]-Table5[[#This Row],[Work Start TimeStamp]])*24</f>
        <v>4.9999999999997158E-2</v>
      </c>
      <c r="T272" s="319">
        <f>(Table5[[#This Row],[Fault Clearance time]]-Table5[[#This Row],[Fault Start TimeStamp]])*24</f>
        <v>4.9999999999997158E-2</v>
      </c>
      <c r="U272" s="23" t="s">
        <v>950</v>
      </c>
      <c r="V272" s="79" t="s">
        <v>339</v>
      </c>
      <c r="W272" s="320">
        <f>IFERROR(Table5[[#This Row],[Breakdown Time]]*Table5[[#This Row],[Plant Equivalent Weightage]],"")</f>
        <v>1.1363636363635719E-3</v>
      </c>
      <c r="X272" s="289" t="s">
        <v>394</v>
      </c>
      <c r="Y272" s="290" t="s">
        <v>85</v>
      </c>
      <c r="Z272" s="79"/>
      <c r="AA272" s="283">
        <v>80</v>
      </c>
      <c r="AB272" s="79"/>
      <c r="AC272" s="23"/>
      <c r="AD272" s="23"/>
    </row>
    <row r="273" spans="1:30">
      <c r="A273" s="79">
        <f t="shared" si="9"/>
        <v>272</v>
      </c>
      <c r="B273" s="283">
        <f>YEAR(Table5[[#This Row],[Date]])+IF(MONTH(Table5[[#This Row],[Date]])&gt;=4,1,0)</f>
        <v>2026</v>
      </c>
      <c r="C273" s="79">
        <f>YEAR(Table5[[#This Row],[Date]])</f>
        <v>2025</v>
      </c>
      <c r="D273" s="79" t="s">
        <v>344</v>
      </c>
      <c r="E273" s="284">
        <f>Table5[[#This Row],[Date]]-DAY(Table5[[#This Row],[Date]])+1</f>
        <v>45809</v>
      </c>
      <c r="F273" s="285">
        <v>45835</v>
      </c>
      <c r="G273" s="79" t="s">
        <v>87</v>
      </c>
      <c r="H273" s="23" t="str">
        <f>IFERROR(_xlfn.XLOOKUP(Table5[[#This Row],[Affected WTG]],'Basic Data'!$A:$A,'Basic Data'!$B:$B),"")</f>
        <v>PWEPL</v>
      </c>
      <c r="I273" s="23" t="str">
        <f>IFERROR(_xlfn.XLOOKUP(Table5[[#This Row],[Affected WTG]],'Basic Data'!$A:$A,'Basic Data'!$C:$C),"")</f>
        <v>MSEDCL</v>
      </c>
      <c r="J273" s="286">
        <f>IFERROR(_xlfn.XLOOKUP(Table5[[#This Row],[Affected WTG]],'Basic Data'!$A:$A,'Basic Data'!$E:$E),"")</f>
        <v>2.2727272727272728E-2</v>
      </c>
      <c r="K273" s="79">
        <v>3</v>
      </c>
      <c r="L273" s="23" t="str">
        <f>IFERROR(_xlfn.XLOOKUP(Table5[[#This Row],[Error Code]],'Basic Data'!$W:$W,'Basic Data'!$X:$X),"Incorrect Error Code")</f>
        <v>Manual Stop</v>
      </c>
      <c r="M273" s="23" t="s">
        <v>950</v>
      </c>
      <c r="N273" s="23"/>
      <c r="O273" s="318">
        <v>0.68402777777777779</v>
      </c>
      <c r="P273" s="318">
        <v>0.68402777777777779</v>
      </c>
      <c r="Q273" s="318">
        <v>0.68541666666666667</v>
      </c>
      <c r="R273" s="298">
        <f t="shared" si="8"/>
        <v>1.388888888888884E-3</v>
      </c>
      <c r="S273" s="319">
        <f>(Table5[[#This Row],[Fault Clearance time]]-Table5[[#This Row],[Work Start TimeStamp]])*24</f>
        <v>3.3333333333333215E-2</v>
      </c>
      <c r="T273" s="319">
        <f>(Table5[[#This Row],[Fault Clearance time]]-Table5[[#This Row],[Fault Start TimeStamp]])*24</f>
        <v>3.3333333333333215E-2</v>
      </c>
      <c r="U273" s="23" t="s">
        <v>950</v>
      </c>
      <c r="V273" s="79" t="s">
        <v>339</v>
      </c>
      <c r="W273" s="320">
        <f>IFERROR(Table5[[#This Row],[Breakdown Time]]*Table5[[#This Row],[Plant Equivalent Weightage]],"")</f>
        <v>7.5757575757575486E-4</v>
      </c>
      <c r="X273" s="289" t="s">
        <v>394</v>
      </c>
      <c r="Y273" s="290" t="s">
        <v>86</v>
      </c>
      <c r="Z273" s="79"/>
      <c r="AA273" s="283">
        <v>189</v>
      </c>
      <c r="AB273" s="79"/>
      <c r="AC273" s="23"/>
      <c r="AD273" s="23"/>
    </row>
    <row r="274" spans="1:30">
      <c r="A274" s="79">
        <f t="shared" si="9"/>
        <v>273</v>
      </c>
      <c r="B274" s="283">
        <f>YEAR(Table5[[#This Row],[Date]])+IF(MONTH(Table5[[#This Row],[Date]])&gt;=4,1,0)</f>
        <v>2026</v>
      </c>
      <c r="C274" s="79">
        <f>YEAR(Table5[[#This Row],[Date]])</f>
        <v>2025</v>
      </c>
      <c r="D274" s="79" t="s">
        <v>344</v>
      </c>
      <c r="E274" s="284">
        <f>Table5[[#This Row],[Date]]-DAY(Table5[[#This Row],[Date]])+1</f>
        <v>45809</v>
      </c>
      <c r="F274" s="285">
        <v>45836</v>
      </c>
      <c r="G274" s="79" t="s">
        <v>110</v>
      </c>
      <c r="H274" s="23" t="str">
        <f>IFERROR(_xlfn.XLOOKUP(Table5[[#This Row],[Affected WTG]],'Basic Data'!$A:$A,'Basic Data'!$B:$B),"")</f>
        <v>PWEPL</v>
      </c>
      <c r="I274" s="23" t="str">
        <f>IFERROR(_xlfn.XLOOKUP(Table5[[#This Row],[Affected WTG]],'Basic Data'!$A:$A,'Basic Data'!$C:$C),"")</f>
        <v>MSEDCL</v>
      </c>
      <c r="J274" s="286">
        <f>IFERROR(_xlfn.XLOOKUP(Table5[[#This Row],[Affected WTG]],'Basic Data'!$A:$A,'Basic Data'!$E:$E),"")</f>
        <v>2.2727272727272728E-2</v>
      </c>
      <c r="K274" s="79">
        <v>142</v>
      </c>
      <c r="L274" s="23" t="str">
        <f>IFERROR(_xlfn.XLOOKUP(Table5[[#This Row],[Error Code]],'Basic Data'!$W:$W,'Basic Data'!$X:$X),"Incorrect Error Code")</f>
        <v>Line CCU collective faults</v>
      </c>
      <c r="M274" s="23" t="s">
        <v>149</v>
      </c>
      <c r="N274" s="23"/>
      <c r="O274" s="287">
        <v>0.14583333333333334</v>
      </c>
      <c r="P274" s="287">
        <v>0.14583333333333334</v>
      </c>
      <c r="Q274" s="287">
        <v>0.21875</v>
      </c>
      <c r="R274" s="298">
        <f t="shared" si="8"/>
        <v>7.2916666666666657E-2</v>
      </c>
      <c r="S274" s="329">
        <f>(Table5[[#This Row],[Fault Clearance time]]-Table5[[#This Row],[Work Start TimeStamp]])*24</f>
        <v>1.7499999999999998</v>
      </c>
      <c r="T274" s="329">
        <f>(Table5[[#This Row],[Fault Clearance time]]-Table5[[#This Row],[Fault Start TimeStamp]])*24</f>
        <v>1.7499999999999998</v>
      </c>
      <c r="U274" s="23" t="s">
        <v>957</v>
      </c>
      <c r="V274" s="79" t="s">
        <v>339</v>
      </c>
      <c r="W274" s="289">
        <f>IFERROR(Table5[[#This Row],[Breakdown Time]]*Table5[[#This Row],[Plant Equivalent Weightage]],"")</f>
        <v>3.9772727272727272E-2</v>
      </c>
      <c r="X274" s="289" t="s">
        <v>343</v>
      </c>
      <c r="Y274" s="290" t="s">
        <v>100</v>
      </c>
      <c r="Z274" s="79"/>
      <c r="AA274" s="283">
        <v>2368</v>
      </c>
      <c r="AB274" s="79"/>
      <c r="AC274" s="23"/>
      <c r="AD274" s="23"/>
    </row>
    <row r="275" spans="1:30">
      <c r="A275" s="79">
        <f t="shared" si="9"/>
        <v>274</v>
      </c>
      <c r="B275" s="283">
        <f>YEAR(Table5[[#This Row],[Date]])+IF(MONTH(Table5[[#This Row],[Date]])&gt;=4,1,0)</f>
        <v>2026</v>
      </c>
      <c r="C275" s="79">
        <f>YEAR(Table5[[#This Row],[Date]])</f>
        <v>2025</v>
      </c>
      <c r="D275" s="79" t="s">
        <v>344</v>
      </c>
      <c r="E275" s="284">
        <f>Table5[[#This Row],[Date]]-DAY(Table5[[#This Row],[Date]])+1</f>
        <v>45809</v>
      </c>
      <c r="F275" s="285">
        <v>45836</v>
      </c>
      <c r="G275" s="79" t="s">
        <v>97</v>
      </c>
      <c r="H275" s="23" t="str">
        <f>IFERROR(_xlfn.XLOOKUP(Table5[[#This Row],[Affected WTG]],'Basic Data'!$A:$A,'Basic Data'!$B:$B),"")</f>
        <v>PWEPL</v>
      </c>
      <c r="I275" s="23" t="str">
        <f>IFERROR(_xlfn.XLOOKUP(Table5[[#This Row],[Affected WTG]],'Basic Data'!$A:$A,'Basic Data'!$C:$C),"")</f>
        <v>MSEDCL</v>
      </c>
      <c r="J275" s="286">
        <f>IFERROR(_xlfn.XLOOKUP(Table5[[#This Row],[Affected WTG]],'Basic Data'!$A:$A,'Basic Data'!$E:$E),"")</f>
        <v>2.2727272727272728E-2</v>
      </c>
      <c r="K275" s="79">
        <v>276</v>
      </c>
      <c r="L275" s="23" t="str">
        <f>IFERROR(_xlfn.XLOOKUP(Table5[[#This Row],[Error Code]],'Basic Data'!$W:$W,'Basic Data'!$X:$X),"Incorrect Error Code")</f>
        <v>Pitch thyristor 3 fault</v>
      </c>
      <c r="M275" s="23" t="s">
        <v>153</v>
      </c>
      <c r="N275" s="23"/>
      <c r="O275" s="330">
        <v>0.34861111111111115</v>
      </c>
      <c r="P275" s="330">
        <v>0.34861111111111115</v>
      </c>
      <c r="Q275" s="330">
        <v>0.36874999999999997</v>
      </c>
      <c r="R275" s="298">
        <f t="shared" si="8"/>
        <v>2.0138888888888817E-2</v>
      </c>
      <c r="S275" s="329">
        <f>(Table5[[#This Row],[Fault Clearance time]]-Table5[[#This Row],[Work Start TimeStamp]])*24</f>
        <v>0.48333333333333162</v>
      </c>
      <c r="T275" s="329">
        <f>(Table5[[#This Row],[Fault Clearance time]]-Table5[[#This Row],[Fault Start TimeStamp]])*24</f>
        <v>0.48333333333333162</v>
      </c>
      <c r="U275" s="23" t="s">
        <v>353</v>
      </c>
      <c r="V275" s="79" t="s">
        <v>339</v>
      </c>
      <c r="W275" s="289">
        <f>IFERROR(Table5[[#This Row],[Breakdown Time]]*Table5[[#This Row],[Plant Equivalent Weightage]],"")</f>
        <v>1.0984848484848446E-2</v>
      </c>
      <c r="X275" s="289" t="s">
        <v>343</v>
      </c>
      <c r="Y275" s="290" t="s">
        <v>96</v>
      </c>
      <c r="Z275" s="79"/>
      <c r="AA275" s="283">
        <v>1035</v>
      </c>
      <c r="AB275" s="79"/>
      <c r="AC275" s="23"/>
      <c r="AD275" s="23"/>
    </row>
    <row r="276" spans="1:30">
      <c r="A276" s="79">
        <f t="shared" si="9"/>
        <v>275</v>
      </c>
      <c r="B276" s="283">
        <f>YEAR(Table5[[#This Row],[Date]])+IF(MONTH(Table5[[#This Row],[Date]])&gt;=4,1,0)</f>
        <v>2026</v>
      </c>
      <c r="C276" s="79">
        <f>YEAR(Table5[[#This Row],[Date]])</f>
        <v>2025</v>
      </c>
      <c r="D276" s="79" t="s">
        <v>344</v>
      </c>
      <c r="E276" s="284">
        <f>Table5[[#This Row],[Date]]-DAY(Table5[[#This Row],[Date]])+1</f>
        <v>45809</v>
      </c>
      <c r="F276" s="285">
        <v>45836</v>
      </c>
      <c r="G276" s="79" t="s">
        <v>99</v>
      </c>
      <c r="H276" s="23" t="str">
        <f>IFERROR(_xlfn.XLOOKUP(Table5[[#This Row],[Affected WTG]],'Basic Data'!$A:$A,'Basic Data'!$B:$B),"")</f>
        <v>PWEPL</v>
      </c>
      <c r="I276" s="23" t="str">
        <f>IFERROR(_xlfn.XLOOKUP(Table5[[#This Row],[Affected WTG]],'Basic Data'!$A:$A,'Basic Data'!$C:$C),"")</f>
        <v>MSEDCL</v>
      </c>
      <c r="J276" s="286">
        <f>IFERROR(_xlfn.XLOOKUP(Table5[[#This Row],[Affected WTG]],'Basic Data'!$A:$A,'Basic Data'!$E:$E),"")</f>
        <v>2.2727272727272728E-2</v>
      </c>
      <c r="K276" s="79">
        <v>275</v>
      </c>
      <c r="L276" s="23" t="str">
        <f>IFERROR(_xlfn.XLOOKUP(Table5[[#This Row],[Error Code]],'Basic Data'!$W:$W,'Basic Data'!$X:$X),"Incorrect Error Code")</f>
        <v>Pitch thyristor 2 fault</v>
      </c>
      <c r="M276" s="23" t="s">
        <v>162</v>
      </c>
      <c r="N276" s="23"/>
      <c r="O276" s="330">
        <v>0.95763888888888893</v>
      </c>
      <c r="P276" s="330">
        <v>0.95763888888888893</v>
      </c>
      <c r="Q276" s="330">
        <v>0.99930555555555556</v>
      </c>
      <c r="R276" s="298">
        <f t="shared" si="8"/>
        <v>4.166666666666663E-2</v>
      </c>
      <c r="S276" s="329">
        <f>(Table5[[#This Row],[Fault Clearance time]]-Table5[[#This Row],[Work Start TimeStamp]])*24</f>
        <v>0.99999999999999911</v>
      </c>
      <c r="T276" s="329">
        <f>(Table5[[#This Row],[Fault Clearance time]]-Table5[[#This Row],[Fault Start TimeStamp]])*24</f>
        <v>0.99999999999999911</v>
      </c>
      <c r="U276" s="23" t="s">
        <v>956</v>
      </c>
      <c r="V276" s="79" t="s">
        <v>958</v>
      </c>
      <c r="W276" s="289">
        <f>IFERROR(Table5[[#This Row],[Breakdown Time]]*Table5[[#This Row],[Plant Equivalent Weightage]],"")</f>
        <v>2.2727272727272707E-2</v>
      </c>
      <c r="X276" s="289" t="s">
        <v>343</v>
      </c>
      <c r="Y276" s="290" t="s">
        <v>98</v>
      </c>
      <c r="Z276" s="79"/>
      <c r="AA276" s="283">
        <v>1791</v>
      </c>
      <c r="AB276" s="79"/>
      <c r="AC276" s="23"/>
      <c r="AD276" s="23"/>
    </row>
    <row r="277" spans="1:30">
      <c r="A277" s="79">
        <f t="shared" si="9"/>
        <v>276</v>
      </c>
      <c r="B277" s="283">
        <f>YEAR(Table5[[#This Row],[Date]])+IF(MONTH(Table5[[#This Row],[Date]])&gt;=4,1,0)</f>
        <v>2026</v>
      </c>
      <c r="C277" s="79">
        <f>YEAR(Table5[[#This Row],[Date]])</f>
        <v>2025</v>
      </c>
      <c r="D277" s="79" t="s">
        <v>344</v>
      </c>
      <c r="E277" s="284">
        <f>Table5[[#This Row],[Date]]-DAY(Table5[[#This Row],[Date]])+1</f>
        <v>45809</v>
      </c>
      <c r="F277" s="285">
        <v>45837</v>
      </c>
      <c r="G277" s="79" t="s">
        <v>99</v>
      </c>
      <c r="H277" s="23" t="str">
        <f>IFERROR(_xlfn.XLOOKUP(Table5[[#This Row],[Affected WTG]],'Basic Data'!$A:$A,'Basic Data'!$B:$B),"")</f>
        <v>PWEPL</v>
      </c>
      <c r="I277" s="23" t="str">
        <f>IFERROR(_xlfn.XLOOKUP(Table5[[#This Row],[Affected WTG]],'Basic Data'!$A:$A,'Basic Data'!$C:$C),"")</f>
        <v>MSEDCL</v>
      </c>
      <c r="J277" s="286">
        <f>IFERROR(_xlfn.XLOOKUP(Table5[[#This Row],[Affected WTG]],'Basic Data'!$A:$A,'Basic Data'!$E:$E),"")</f>
        <v>2.2727272727272728E-2</v>
      </c>
      <c r="K277" s="79">
        <v>275</v>
      </c>
      <c r="L277" s="23" t="str">
        <f>IFERROR(_xlfn.XLOOKUP(Table5[[#This Row],[Error Code]],'Basic Data'!$W:$W,'Basic Data'!$X:$X),"Incorrect Error Code")</f>
        <v>Pitch thyristor 2 fault</v>
      </c>
      <c r="M277" s="23" t="s">
        <v>162</v>
      </c>
      <c r="N277" s="23"/>
      <c r="O277" s="330">
        <v>0</v>
      </c>
      <c r="P277" s="330">
        <v>0</v>
      </c>
      <c r="Q277" s="330">
        <v>8.3333333333333329E-2</v>
      </c>
      <c r="R277" s="298">
        <f t="shared" si="8"/>
        <v>8.3333333333333329E-2</v>
      </c>
      <c r="S277" s="331">
        <f>(Table5[[#This Row],[Fault Clearance time]]-Table5[[#This Row],[Work Start TimeStamp]])*24</f>
        <v>2</v>
      </c>
      <c r="T277" s="331">
        <f>(Table5[[#This Row],[Fault Clearance time]]-Table5[[#This Row],[Fault Start TimeStamp]])*24</f>
        <v>2</v>
      </c>
      <c r="U277" s="23" t="s">
        <v>891</v>
      </c>
      <c r="V277" s="79" t="s">
        <v>339</v>
      </c>
      <c r="W277" s="332">
        <f>IFERROR(Table5[[#This Row],[Breakdown Time]]*Table5[[#This Row],[Plant Equivalent Weightage]],"")</f>
        <v>4.5454545454545456E-2</v>
      </c>
      <c r="X277" s="289" t="s">
        <v>343</v>
      </c>
      <c r="Y277" s="290" t="s">
        <v>98</v>
      </c>
      <c r="Z277" s="79"/>
      <c r="AA277" s="283">
        <v>3187</v>
      </c>
      <c r="AB277" s="79"/>
      <c r="AC277" s="23"/>
      <c r="AD277" s="23"/>
    </row>
    <row r="278" spans="1:30">
      <c r="A278" s="79">
        <f t="shared" si="9"/>
        <v>277</v>
      </c>
      <c r="B278" s="283">
        <f>YEAR(Table5[[#This Row],[Date]])+IF(MONTH(Table5[[#This Row],[Date]])&gt;=4,1,0)</f>
        <v>2026</v>
      </c>
      <c r="C278" s="79">
        <f>YEAR(Table5[[#This Row],[Date]])</f>
        <v>2025</v>
      </c>
      <c r="D278" s="79" t="s">
        <v>344</v>
      </c>
      <c r="E278" s="284">
        <f>Table5[[#This Row],[Date]]-DAY(Table5[[#This Row],[Date]])+1</f>
        <v>45809</v>
      </c>
      <c r="F278" s="285">
        <v>45837</v>
      </c>
      <c r="G278" s="79" t="s">
        <v>92</v>
      </c>
      <c r="H278" s="23" t="str">
        <f>IFERROR(_xlfn.XLOOKUP(Table5[[#This Row],[Affected WTG]],'Basic Data'!$A:$A,'Basic Data'!$B:$B),"")</f>
        <v>PWEPL</v>
      </c>
      <c r="I278" s="23" t="str">
        <f>IFERROR(_xlfn.XLOOKUP(Table5[[#This Row],[Affected WTG]],'Basic Data'!$A:$A,'Basic Data'!$C:$C),"")</f>
        <v>MSEDCL</v>
      </c>
      <c r="J278" s="286">
        <f>IFERROR(_xlfn.XLOOKUP(Table5[[#This Row],[Affected WTG]],'Basic Data'!$A:$A,'Basic Data'!$E:$E),"")</f>
        <v>2.2727272727272728E-2</v>
      </c>
      <c r="K278" s="79">
        <v>63</v>
      </c>
      <c r="L278" s="23" t="str">
        <f>IFERROR(_xlfn.XLOOKUP(Table5[[#This Row],[Error Code]],'Basic Data'!$W:$W,'Basic Data'!$X:$X),"Incorrect Error Code")</f>
        <v>Safety chain</v>
      </c>
      <c r="M278" s="23" t="s">
        <v>189</v>
      </c>
      <c r="N278" s="23"/>
      <c r="O278" s="330">
        <v>4.2361111111111106E-2</v>
      </c>
      <c r="P278" s="330">
        <v>4.2361111111111106E-2</v>
      </c>
      <c r="Q278" s="330">
        <v>4.6527777777777779E-2</v>
      </c>
      <c r="R278" s="298">
        <f t="shared" si="8"/>
        <v>4.1666666666666727E-3</v>
      </c>
      <c r="S278" s="331">
        <f>(Table5[[#This Row],[Fault Clearance time]]-Table5[[#This Row],[Work Start TimeStamp]])*24</f>
        <v>0.10000000000000014</v>
      </c>
      <c r="T278" s="331">
        <f>(Table5[[#This Row],[Fault Clearance time]]-Table5[[#This Row],[Fault Start TimeStamp]])*24</f>
        <v>0.10000000000000014</v>
      </c>
      <c r="U278" s="23" t="s">
        <v>353</v>
      </c>
      <c r="V278" s="79" t="s">
        <v>339</v>
      </c>
      <c r="W278" s="332">
        <f>IFERROR(Table5[[#This Row],[Breakdown Time]]*Table5[[#This Row],[Plant Equivalent Weightage]],"")</f>
        <v>2.2727272727272761E-3</v>
      </c>
      <c r="X278" s="289" t="s">
        <v>343</v>
      </c>
      <c r="Y278" s="290" t="s">
        <v>91</v>
      </c>
      <c r="Z278" s="79"/>
      <c r="AA278" s="283">
        <v>444</v>
      </c>
      <c r="AB278" s="79"/>
      <c r="AC278" s="23"/>
      <c r="AD278" s="23"/>
    </row>
    <row r="279" spans="1:30">
      <c r="A279" s="79">
        <f t="shared" si="9"/>
        <v>278</v>
      </c>
      <c r="B279" s="283">
        <f>YEAR(Table5[[#This Row],[Date]])+IF(MONTH(Table5[[#This Row],[Date]])&gt;=4,1,0)</f>
        <v>2026</v>
      </c>
      <c r="C279" s="79">
        <f>YEAR(Table5[[#This Row],[Date]])</f>
        <v>2025</v>
      </c>
      <c r="D279" s="79" t="s">
        <v>344</v>
      </c>
      <c r="E279" s="284">
        <f>Table5[[#This Row],[Date]]-DAY(Table5[[#This Row],[Date]])+1</f>
        <v>45809</v>
      </c>
      <c r="F279" s="285">
        <v>45837</v>
      </c>
      <c r="G279" s="79" t="s">
        <v>94</v>
      </c>
      <c r="H279" s="23" t="str">
        <f>IFERROR(_xlfn.XLOOKUP(Table5[[#This Row],[Affected WTG]],'Basic Data'!$A:$A,'Basic Data'!$B:$B),"")</f>
        <v>PWEPL</v>
      </c>
      <c r="I279" s="23" t="str">
        <f>IFERROR(_xlfn.XLOOKUP(Table5[[#This Row],[Affected WTG]],'Basic Data'!$A:$A,'Basic Data'!$C:$C),"")</f>
        <v>MSEDCL</v>
      </c>
      <c r="J279" s="286">
        <f>IFERROR(_xlfn.XLOOKUP(Table5[[#This Row],[Affected WTG]],'Basic Data'!$A:$A,'Basic Data'!$E:$E),"")</f>
        <v>2.2727272727272728E-2</v>
      </c>
      <c r="K279" s="79">
        <v>276</v>
      </c>
      <c r="L279" s="23" t="str">
        <f>IFERROR(_xlfn.XLOOKUP(Table5[[#This Row],[Error Code]],'Basic Data'!$W:$W,'Basic Data'!$X:$X),"Incorrect Error Code")</f>
        <v>Pitch thyristor 3 fault</v>
      </c>
      <c r="M279" s="23" t="s">
        <v>153</v>
      </c>
      <c r="N279" s="23"/>
      <c r="O279" s="330">
        <v>0.54722222222222217</v>
      </c>
      <c r="P279" s="330">
        <v>0.54722222222222217</v>
      </c>
      <c r="Q279" s="330">
        <v>0.79027777777777775</v>
      </c>
      <c r="R279" s="298">
        <f t="shared" si="8"/>
        <v>0.24305555555555558</v>
      </c>
      <c r="S279" s="331">
        <f>(Table5[[#This Row],[Fault Clearance time]]-Table5[[#This Row],[Work Start TimeStamp]])*24</f>
        <v>5.8333333333333339</v>
      </c>
      <c r="T279" s="331">
        <f>(Table5[[#This Row],[Fault Clearance time]]-Table5[[#This Row],[Fault Start TimeStamp]])*24</f>
        <v>5.8333333333333339</v>
      </c>
      <c r="U279" s="23" t="s">
        <v>959</v>
      </c>
      <c r="V279" s="79" t="s">
        <v>339</v>
      </c>
      <c r="W279" s="332">
        <f>IFERROR(Table5[[#This Row],[Breakdown Time]]*Table5[[#This Row],[Plant Equivalent Weightage]],"")</f>
        <v>0.1325757575757576</v>
      </c>
      <c r="X279" s="289" t="s">
        <v>343</v>
      </c>
      <c r="Y279" s="290" t="s">
        <v>95</v>
      </c>
      <c r="Z279" s="79"/>
      <c r="AA279" s="283">
        <v>7104</v>
      </c>
      <c r="AB279" s="79"/>
      <c r="AC279" s="23"/>
      <c r="AD279" s="23"/>
    </row>
    <row r="280" spans="1:30">
      <c r="A280" s="79">
        <f t="shared" si="9"/>
        <v>279</v>
      </c>
      <c r="B280" s="283">
        <f>YEAR(Table5[[#This Row],[Date]])+IF(MONTH(Table5[[#This Row],[Date]])&gt;=4,1,0)</f>
        <v>2026</v>
      </c>
      <c r="C280" s="79">
        <f>YEAR(Table5[[#This Row],[Date]])</f>
        <v>2025</v>
      </c>
      <c r="D280" s="79" t="s">
        <v>344</v>
      </c>
      <c r="E280" s="284">
        <f>Table5[[#This Row],[Date]]-DAY(Table5[[#This Row],[Date]])+1</f>
        <v>45809</v>
      </c>
      <c r="F280" s="285">
        <v>45838</v>
      </c>
      <c r="G280" s="79" t="s">
        <v>78</v>
      </c>
      <c r="H280" s="23" t="str">
        <f>IFERROR(_xlfn.XLOOKUP(Table5[[#This Row],[Affected WTG]],'Basic Data'!$A:$A,'Basic Data'!$B:$B),"")</f>
        <v>PWEPL</v>
      </c>
      <c r="I280" s="23" t="str">
        <f>IFERROR(_xlfn.XLOOKUP(Table5[[#This Row],[Affected WTG]],'Basic Data'!$A:$A,'Basic Data'!$C:$C),"")</f>
        <v>MSEDCL</v>
      </c>
      <c r="J280" s="286">
        <f>IFERROR(_xlfn.XLOOKUP(Table5[[#This Row],[Affected WTG]],'Basic Data'!$A:$A,'Basic Data'!$E:$E),"")</f>
        <v>2.2727272727272728E-2</v>
      </c>
      <c r="K280" s="79">
        <v>276</v>
      </c>
      <c r="L280" s="23" t="str">
        <f>IFERROR(_xlfn.XLOOKUP(Table5[[#This Row],[Error Code]],'Basic Data'!$W:$W,'Basic Data'!$X:$X),"Incorrect Error Code")</f>
        <v>Pitch thyristor 3 fault</v>
      </c>
      <c r="M280" s="23" t="s">
        <v>153</v>
      </c>
      <c r="N280" s="23"/>
      <c r="O280" s="287">
        <v>0.38263888888888886</v>
      </c>
      <c r="P280" s="287">
        <v>0.38263888888888886</v>
      </c>
      <c r="Q280" s="287">
        <v>0.99930555555555556</v>
      </c>
      <c r="R280" s="341">
        <f t="shared" ref="R280:R282" si="10">Q280-O280</f>
        <v>0.6166666666666667</v>
      </c>
      <c r="S280" s="329">
        <f>(Table5[[#This Row],[Fault Clearance time]]-Table5[[#This Row],[Work Start TimeStamp]])*24</f>
        <v>14.8</v>
      </c>
      <c r="T280" s="329">
        <f>(Table5[[#This Row],[Fault Clearance time]]-Table5[[#This Row],[Fault Start TimeStamp]])*24</f>
        <v>14.8</v>
      </c>
      <c r="U280" s="23" t="s">
        <v>956</v>
      </c>
      <c r="V280" s="79" t="s">
        <v>958</v>
      </c>
      <c r="W280" s="289">
        <f>IFERROR(Table5[[#This Row],[Breakdown Time]]*Table5[[#This Row],[Plant Equivalent Weightage]],"")</f>
        <v>0.33636363636363636</v>
      </c>
      <c r="X280" s="289" t="s">
        <v>343</v>
      </c>
      <c r="Y280" s="290" t="s">
        <v>77</v>
      </c>
      <c r="Z280" s="79"/>
      <c r="AA280" s="283">
        <v>22353</v>
      </c>
      <c r="AB280" s="79"/>
      <c r="AC280" s="23"/>
      <c r="AD280" s="23"/>
    </row>
    <row r="281" spans="1:30">
      <c r="A281" s="79">
        <f t="shared" si="9"/>
        <v>280</v>
      </c>
      <c r="B281" s="283">
        <f>YEAR(Table5[[#This Row],[Date]])+IF(MONTH(Table5[[#This Row],[Date]])&gt;=4,1,0)</f>
        <v>2026</v>
      </c>
      <c r="C281" s="79">
        <f>YEAR(Table5[[#This Row],[Date]])</f>
        <v>2025</v>
      </c>
      <c r="D281" s="79" t="s">
        <v>344</v>
      </c>
      <c r="E281" s="284">
        <f>Table5[[#This Row],[Date]]-DAY(Table5[[#This Row],[Date]])+1</f>
        <v>45809</v>
      </c>
      <c r="F281" s="285">
        <v>45838</v>
      </c>
      <c r="G281" s="79" t="s">
        <v>86</v>
      </c>
      <c r="H281" s="23" t="str">
        <f>IFERROR(_xlfn.XLOOKUP(Table5[[#This Row],[Affected WTG]],'Basic Data'!$A:$A,'Basic Data'!$B:$B),"")</f>
        <v>PWEPL</v>
      </c>
      <c r="I281" s="23" t="str">
        <f>IFERROR(_xlfn.XLOOKUP(Table5[[#This Row],[Affected WTG]],'Basic Data'!$A:$A,'Basic Data'!$C:$C),"")</f>
        <v>MSEDCL</v>
      </c>
      <c r="J281" s="286">
        <f>IFERROR(_xlfn.XLOOKUP(Table5[[#This Row],[Affected WTG]],'Basic Data'!$A:$A,'Basic Data'!$E:$E),"")</f>
        <v>2.2727272727272728E-2</v>
      </c>
      <c r="K281" s="79">
        <v>54</v>
      </c>
      <c r="L281" s="23" t="str">
        <f>IFERROR(_xlfn.XLOOKUP(Table5[[#This Row],[Error Code]],'Basic Data'!$W:$W,'Basic Data'!$X:$X),"Incorrect Error Code")</f>
        <v>Anemometer defec</v>
      </c>
      <c r="M281" s="23" t="s">
        <v>864</v>
      </c>
      <c r="N281" s="23"/>
      <c r="O281" s="287">
        <v>0.69861111111111107</v>
      </c>
      <c r="P281" s="287">
        <v>0.69861111111111107</v>
      </c>
      <c r="Q281" s="287">
        <v>0.76736111111111116</v>
      </c>
      <c r="R281" s="341">
        <f t="shared" si="10"/>
        <v>6.8750000000000089E-2</v>
      </c>
      <c r="S281" s="329">
        <f>(Table5[[#This Row],[Fault Clearance time]]-Table5[[#This Row],[Work Start TimeStamp]])*24</f>
        <v>1.6500000000000021</v>
      </c>
      <c r="T281" s="329">
        <f>(Table5[[#This Row],[Fault Clearance time]]-Table5[[#This Row],[Fault Start TimeStamp]])*24</f>
        <v>1.6500000000000021</v>
      </c>
      <c r="U281" s="23" t="s">
        <v>962</v>
      </c>
      <c r="V281" s="79" t="s">
        <v>339</v>
      </c>
      <c r="W281" s="289">
        <f>IFERROR(Table5[[#This Row],[Breakdown Time]]*Table5[[#This Row],[Plant Equivalent Weightage]],"")</f>
        <v>3.7500000000000047E-2</v>
      </c>
      <c r="X281" s="289" t="s">
        <v>343</v>
      </c>
      <c r="Y281" s="290" t="s">
        <v>85</v>
      </c>
      <c r="Z281" s="79"/>
      <c r="AA281" s="283">
        <v>2184</v>
      </c>
      <c r="AB281" s="79"/>
      <c r="AC281" s="23"/>
      <c r="AD281" s="23"/>
    </row>
    <row r="282" spans="1:30">
      <c r="A282" s="79">
        <f t="shared" si="9"/>
        <v>281</v>
      </c>
      <c r="B282" s="283">
        <f>YEAR(Table5[[#This Row],[Date]])+IF(MONTH(Table5[[#This Row],[Date]])&gt;=4,1,0)</f>
        <v>2026</v>
      </c>
      <c r="C282" s="79">
        <f>YEAR(Table5[[#This Row],[Date]])</f>
        <v>2025</v>
      </c>
      <c r="D282" s="79" t="s">
        <v>344</v>
      </c>
      <c r="E282" s="284">
        <f>Table5[[#This Row],[Date]]-DAY(Table5[[#This Row],[Date]])+1</f>
        <v>45809</v>
      </c>
      <c r="F282" s="285">
        <v>45838</v>
      </c>
      <c r="G282" s="79" t="s">
        <v>86</v>
      </c>
      <c r="H282" s="23" t="str">
        <f>IFERROR(_xlfn.XLOOKUP(Table5[[#This Row],[Affected WTG]],'Basic Data'!$A:$A,'Basic Data'!$B:$B),"")</f>
        <v>PWEPL</v>
      </c>
      <c r="I282" s="23" t="str">
        <f>IFERROR(_xlfn.XLOOKUP(Table5[[#This Row],[Affected WTG]],'Basic Data'!$A:$A,'Basic Data'!$C:$C),"")</f>
        <v>MSEDCL</v>
      </c>
      <c r="J282" s="286">
        <f>IFERROR(_xlfn.XLOOKUP(Table5[[#This Row],[Affected WTG]],'Basic Data'!$A:$A,'Basic Data'!$E:$E),"")</f>
        <v>2.2727272727272728E-2</v>
      </c>
      <c r="K282" s="79">
        <v>54</v>
      </c>
      <c r="L282" s="23" t="str">
        <f>IFERROR(_xlfn.XLOOKUP(Table5[[#This Row],[Error Code]],'Basic Data'!$W:$W,'Basic Data'!$X:$X),"Incorrect Error Code")</f>
        <v>Anemometer defec</v>
      </c>
      <c r="M282" s="23" t="s">
        <v>864</v>
      </c>
      <c r="N282" s="23"/>
      <c r="O282" s="287">
        <v>0.98611111111111116</v>
      </c>
      <c r="P282" s="287">
        <v>0.98611111111111116</v>
      </c>
      <c r="Q282" s="287">
        <v>0.99930555555555556</v>
      </c>
      <c r="R282" s="341">
        <f t="shared" si="10"/>
        <v>1.3194444444444398E-2</v>
      </c>
      <c r="S282" s="329">
        <f>(Table5[[#This Row],[Fault Clearance time]]-Table5[[#This Row],[Work Start TimeStamp]])*24</f>
        <v>0.31666666666666554</v>
      </c>
      <c r="T282" s="329">
        <f>(Table5[[#This Row],[Fault Clearance time]]-Table5[[#This Row],[Fault Start TimeStamp]])*24</f>
        <v>0.31666666666666554</v>
      </c>
      <c r="U282" s="23" t="s">
        <v>956</v>
      </c>
      <c r="V282" s="79" t="s">
        <v>958</v>
      </c>
      <c r="W282" s="289">
        <f>IFERROR(Table5[[#This Row],[Breakdown Time]]*Table5[[#This Row],[Plant Equivalent Weightage]],"")</f>
        <v>7.1969696969696713E-3</v>
      </c>
      <c r="X282" s="289" t="s">
        <v>343</v>
      </c>
      <c r="Y282" s="290" t="s">
        <v>85</v>
      </c>
      <c r="Z282" s="79"/>
      <c r="AA282" s="283">
        <v>658</v>
      </c>
      <c r="AB282" s="79"/>
      <c r="AC282" s="23"/>
      <c r="AD282" s="23"/>
    </row>
    <row r="283" spans="1:30">
      <c r="A283" s="79">
        <f t="shared" si="9"/>
        <v>282</v>
      </c>
      <c r="B283" s="283">
        <f>YEAR(Table5[[#This Row],[Date]])+IF(MONTH(Table5[[#This Row],[Date]])&gt;=4,1,0)</f>
        <v>2026</v>
      </c>
      <c r="C283" s="79">
        <f>YEAR(Table5[[#This Row],[Date]])</f>
        <v>2025</v>
      </c>
      <c r="D283" s="79" t="s">
        <v>344</v>
      </c>
      <c r="E283" s="284">
        <f>Table5[[#This Row],[Date]]-DAY(Table5[[#This Row],[Date]])+1</f>
        <v>45809</v>
      </c>
      <c r="F283" s="285">
        <v>45838</v>
      </c>
      <c r="G283" s="79" t="s">
        <v>91</v>
      </c>
      <c r="H283" s="23" t="str">
        <f>IFERROR(_xlfn.XLOOKUP(Table5[[#This Row],[Affected WTG]],'Basic Data'!$A:$A,'Basic Data'!$B:$B),"")</f>
        <v>PWEPL</v>
      </c>
      <c r="I283" s="23" t="str">
        <f>IFERROR(_xlfn.XLOOKUP(Table5[[#This Row],[Affected WTG]],'Basic Data'!$A:$A,'Basic Data'!$C:$C),"")</f>
        <v>MSEDCL</v>
      </c>
      <c r="J283" s="286">
        <f>IFERROR(_xlfn.XLOOKUP(Table5[[#This Row],[Affected WTG]],'Basic Data'!$A:$A,'Basic Data'!$E:$E),"")</f>
        <v>2.2727272727272728E-2</v>
      </c>
      <c r="K283" s="79">
        <v>3</v>
      </c>
      <c r="L283" s="23" t="str">
        <f>IFERROR(_xlfn.XLOOKUP(Table5[[#This Row],[Error Code]],'Basic Data'!$W:$W,'Basic Data'!$X:$X),"Incorrect Error Code")</f>
        <v>Manual Stop</v>
      </c>
      <c r="M283" s="23" t="s">
        <v>950</v>
      </c>
      <c r="N283" s="23"/>
      <c r="O283" s="330">
        <v>0.65555555555555556</v>
      </c>
      <c r="P283" s="330">
        <v>0.65555555555555556</v>
      </c>
      <c r="Q283" s="330">
        <v>0.65694444444444444</v>
      </c>
      <c r="R283" s="341">
        <f t="shared" ref="R283:R285" si="11">Q283-O283</f>
        <v>1.388888888888884E-3</v>
      </c>
      <c r="S283" s="342">
        <f>(Table5[[#This Row],[Fault Clearance time]]-Table5[[#This Row],[Work Start TimeStamp]])*24</f>
        <v>3.3333333333333215E-2</v>
      </c>
      <c r="T283" s="342">
        <f>(Table5[[#This Row],[Fault Clearance time]]-Table5[[#This Row],[Fault Start TimeStamp]])*24</f>
        <v>3.3333333333333215E-2</v>
      </c>
      <c r="U283" s="23" t="s">
        <v>950</v>
      </c>
      <c r="V283" s="79" t="s">
        <v>339</v>
      </c>
      <c r="W283" s="343">
        <f>IFERROR(Table5[[#This Row],[Breakdown Time]]*Table5[[#This Row],[Plant Equivalent Weightage]],"")</f>
        <v>7.5757575757575486E-4</v>
      </c>
      <c r="X283" s="289" t="s">
        <v>394</v>
      </c>
      <c r="Y283" s="290" t="s">
        <v>90</v>
      </c>
      <c r="Z283" s="79"/>
      <c r="AA283" s="283">
        <v>48</v>
      </c>
      <c r="AB283" s="79"/>
      <c r="AC283" s="23"/>
      <c r="AD283" s="23"/>
    </row>
    <row r="284" spans="1:30">
      <c r="A284" s="79">
        <f t="shared" si="9"/>
        <v>283</v>
      </c>
      <c r="B284" s="283">
        <f>YEAR(Table5[[#This Row],[Date]])+IF(MONTH(Table5[[#This Row],[Date]])&gt;=4,1,0)</f>
        <v>2026</v>
      </c>
      <c r="C284" s="79">
        <f>YEAR(Table5[[#This Row],[Date]])</f>
        <v>2025</v>
      </c>
      <c r="D284" s="79" t="s">
        <v>344</v>
      </c>
      <c r="E284" s="284">
        <f>Table5[[#This Row],[Date]]-DAY(Table5[[#This Row],[Date]])+1</f>
        <v>45809</v>
      </c>
      <c r="F284" s="285">
        <v>45838</v>
      </c>
      <c r="G284" s="79" t="s">
        <v>92</v>
      </c>
      <c r="H284" s="23" t="str">
        <f>IFERROR(_xlfn.XLOOKUP(Table5[[#This Row],[Affected WTG]],'Basic Data'!$A:$A,'Basic Data'!$B:$B),"")</f>
        <v>PWEPL</v>
      </c>
      <c r="I284" s="23" t="str">
        <f>IFERROR(_xlfn.XLOOKUP(Table5[[#This Row],[Affected WTG]],'Basic Data'!$A:$A,'Basic Data'!$C:$C),"")</f>
        <v>MSEDCL</v>
      </c>
      <c r="J284" s="286">
        <f>IFERROR(_xlfn.XLOOKUP(Table5[[#This Row],[Affected WTG]],'Basic Data'!$A:$A,'Basic Data'!$E:$E),"")</f>
        <v>2.2727272727272728E-2</v>
      </c>
      <c r="K284" s="79">
        <v>3</v>
      </c>
      <c r="L284" s="23" t="str">
        <f>IFERROR(_xlfn.XLOOKUP(Table5[[#This Row],[Error Code]],'Basic Data'!$W:$W,'Basic Data'!$X:$X),"Incorrect Error Code")</f>
        <v>Manual Stop</v>
      </c>
      <c r="M284" s="23" t="s">
        <v>950</v>
      </c>
      <c r="N284" s="23"/>
      <c r="O284" s="330">
        <v>0.6694444444444444</v>
      </c>
      <c r="P284" s="330">
        <v>0.6694444444444444</v>
      </c>
      <c r="Q284" s="330">
        <v>0.67152777777777772</v>
      </c>
      <c r="R284" s="341">
        <f t="shared" si="11"/>
        <v>2.0833333333333259E-3</v>
      </c>
      <c r="S284" s="342">
        <f>(Table5[[#This Row],[Fault Clearance time]]-Table5[[#This Row],[Work Start TimeStamp]])*24</f>
        <v>4.9999999999999822E-2</v>
      </c>
      <c r="T284" s="342">
        <f>(Table5[[#This Row],[Fault Clearance time]]-Table5[[#This Row],[Fault Start TimeStamp]])*24</f>
        <v>4.9999999999999822E-2</v>
      </c>
      <c r="U284" s="23" t="s">
        <v>950</v>
      </c>
      <c r="V284" s="79" t="s">
        <v>339</v>
      </c>
      <c r="W284" s="343">
        <f>IFERROR(Table5[[#This Row],[Breakdown Time]]*Table5[[#This Row],[Plant Equivalent Weightage]],"")</f>
        <v>1.1363636363636324E-3</v>
      </c>
      <c r="X284" s="289" t="s">
        <v>394</v>
      </c>
      <c r="Y284" s="290" t="s">
        <v>91</v>
      </c>
      <c r="Z284" s="79"/>
      <c r="AA284" s="283">
        <v>72</v>
      </c>
      <c r="AB284" s="79"/>
      <c r="AC284" s="23"/>
      <c r="AD284" s="23"/>
    </row>
    <row r="285" spans="1:30">
      <c r="A285" s="79">
        <f t="shared" si="9"/>
        <v>284</v>
      </c>
      <c r="B285" s="283">
        <f>YEAR(Table5[[#This Row],[Date]])+IF(MONTH(Table5[[#This Row],[Date]])&gt;=4,1,0)</f>
        <v>2026</v>
      </c>
      <c r="C285" s="79">
        <f>YEAR(Table5[[#This Row],[Date]])</f>
        <v>2025</v>
      </c>
      <c r="D285" s="79" t="s">
        <v>344</v>
      </c>
      <c r="E285" s="284">
        <f>Table5[[#This Row],[Date]]-DAY(Table5[[#This Row],[Date]])+1</f>
        <v>45809</v>
      </c>
      <c r="F285" s="285">
        <v>45838</v>
      </c>
      <c r="G285" s="79" t="s">
        <v>94</v>
      </c>
      <c r="H285" s="23" t="str">
        <f>IFERROR(_xlfn.XLOOKUP(Table5[[#This Row],[Affected WTG]],'Basic Data'!$A:$A,'Basic Data'!$B:$B),"")</f>
        <v>PWEPL</v>
      </c>
      <c r="I285" s="23" t="str">
        <f>IFERROR(_xlfn.XLOOKUP(Table5[[#This Row],[Affected WTG]],'Basic Data'!$A:$A,'Basic Data'!$C:$C),"")</f>
        <v>MSEDCL</v>
      </c>
      <c r="J285" s="286">
        <f>IFERROR(_xlfn.XLOOKUP(Table5[[#This Row],[Affected WTG]],'Basic Data'!$A:$A,'Basic Data'!$E:$E),"")</f>
        <v>2.2727272727272728E-2</v>
      </c>
      <c r="K285" s="79">
        <v>3</v>
      </c>
      <c r="L285" s="23" t="str">
        <f>IFERROR(_xlfn.XLOOKUP(Table5[[#This Row],[Error Code]],'Basic Data'!$W:$W,'Basic Data'!$X:$X),"Incorrect Error Code")</f>
        <v>Manual Stop</v>
      </c>
      <c r="M285" s="23" t="s">
        <v>950</v>
      </c>
      <c r="N285" s="23"/>
      <c r="O285" s="330">
        <v>0.64583333333333337</v>
      </c>
      <c r="P285" s="330">
        <v>0.64583333333333337</v>
      </c>
      <c r="Q285" s="330">
        <v>0.6479166666666667</v>
      </c>
      <c r="R285" s="341">
        <f t="shared" si="11"/>
        <v>2.0833333333333259E-3</v>
      </c>
      <c r="S285" s="342">
        <f>(Table5[[#This Row],[Fault Clearance time]]-Table5[[#This Row],[Work Start TimeStamp]])*24</f>
        <v>4.9999999999999822E-2</v>
      </c>
      <c r="T285" s="342">
        <f>(Table5[[#This Row],[Fault Clearance time]]-Table5[[#This Row],[Fault Start TimeStamp]])*24</f>
        <v>4.9999999999999822E-2</v>
      </c>
      <c r="U285" s="23" t="s">
        <v>950</v>
      </c>
      <c r="V285" s="79" t="s">
        <v>339</v>
      </c>
      <c r="W285" s="343">
        <f>IFERROR(Table5[[#This Row],[Breakdown Time]]*Table5[[#This Row],[Plant Equivalent Weightage]],"")</f>
        <v>1.1363636363636324E-3</v>
      </c>
      <c r="X285" s="289" t="s">
        <v>394</v>
      </c>
      <c r="Y285" s="290" t="s">
        <v>92</v>
      </c>
      <c r="Z285" s="79"/>
      <c r="AA285" s="283">
        <v>72</v>
      </c>
      <c r="AB285" s="79"/>
      <c r="AC285" s="23"/>
      <c r="AD285" s="23"/>
    </row>
    <row r="286" spans="1:30">
      <c r="A286" s="79">
        <f t="shared" si="9"/>
        <v>285</v>
      </c>
      <c r="B286" s="283">
        <f>YEAR(Table5[[#This Row],[Date]])+IF(MONTH(Table5[[#This Row],[Date]])&gt;=4,1,0)</f>
        <v>2026</v>
      </c>
      <c r="C286" s="79">
        <f>YEAR(Table5[[#This Row],[Date]])</f>
        <v>2025</v>
      </c>
      <c r="D286" s="79" t="s">
        <v>344</v>
      </c>
      <c r="E286" s="284">
        <f>Table5[[#This Row],[Date]]-DAY(Table5[[#This Row],[Date]])+1</f>
        <v>45839</v>
      </c>
      <c r="F286" s="285">
        <v>45839</v>
      </c>
      <c r="G286" s="79" t="s">
        <v>86</v>
      </c>
      <c r="H286" s="23" t="str">
        <f>IFERROR(_xlfn.XLOOKUP(Table5[[#This Row],[Affected WTG]],'Basic Data'!$A:$A,'Basic Data'!$B:$B),"")</f>
        <v>PWEPL</v>
      </c>
      <c r="I286" s="23" t="str">
        <f>IFERROR(_xlfn.XLOOKUP(Table5[[#This Row],[Affected WTG]],'Basic Data'!$A:$A,'Basic Data'!$C:$C),"")</f>
        <v>MSEDCL</v>
      </c>
      <c r="J286" s="286">
        <f>IFERROR(_xlfn.XLOOKUP(Table5[[#This Row],[Affected WTG]],'Basic Data'!$A:$A,'Basic Data'!$E:$E),"")</f>
        <v>2.2727272727272728E-2</v>
      </c>
      <c r="K286" s="79">
        <v>54</v>
      </c>
      <c r="L286" s="23" t="str">
        <f>IFERROR(_xlfn.XLOOKUP(Table5[[#This Row],[Error Code]],'Basic Data'!$W:$W,'Basic Data'!$X:$X),"Incorrect Error Code")</f>
        <v>Anemometer defec</v>
      </c>
      <c r="M286" s="23" t="s">
        <v>864</v>
      </c>
      <c r="N286" s="23"/>
      <c r="O286" s="344">
        <v>0</v>
      </c>
      <c r="P286" s="344">
        <v>0</v>
      </c>
      <c r="Q286" s="344">
        <v>5.6944444444444443E-2</v>
      </c>
      <c r="R286" s="341">
        <f t="shared" ref="R286:R292" si="12">Q286-O286</f>
        <v>5.6944444444444443E-2</v>
      </c>
      <c r="S286" s="342">
        <f>(Table5[[#This Row],[Fault Clearance time]]-Table5[[#This Row],[Work Start TimeStamp]])*24</f>
        <v>1.3666666666666667</v>
      </c>
      <c r="T286" s="342">
        <f>(Table5[[#This Row],[Fault Clearance time]]-Table5[[#This Row],[Fault Start TimeStamp]])*24</f>
        <v>1.3666666666666667</v>
      </c>
      <c r="U286" s="23" t="s">
        <v>962</v>
      </c>
      <c r="V286" s="79" t="s">
        <v>339</v>
      </c>
      <c r="W286" s="343">
        <f>IFERROR(Table5[[#This Row],[Breakdown Time]]*Table5[[#This Row],[Plant Equivalent Weightage]],"")</f>
        <v>3.1060606060606063E-2</v>
      </c>
      <c r="X286" s="289" t="s">
        <v>343</v>
      </c>
      <c r="Y286" s="290" t="s">
        <v>85</v>
      </c>
      <c r="Z286" s="79"/>
      <c r="AA286" s="283">
        <v>1739</v>
      </c>
      <c r="AB286" s="79"/>
      <c r="AC286" s="23"/>
      <c r="AD286" s="23"/>
    </row>
    <row r="287" spans="1:30">
      <c r="A287" s="79">
        <f t="shared" si="9"/>
        <v>286</v>
      </c>
      <c r="B287" s="283">
        <f>YEAR(Table5[[#This Row],[Date]])+IF(MONTH(Table5[[#This Row],[Date]])&gt;=4,1,0)</f>
        <v>2026</v>
      </c>
      <c r="C287" s="79">
        <f>YEAR(Table5[[#This Row],[Date]])</f>
        <v>2025</v>
      </c>
      <c r="D287" s="79" t="s">
        <v>344</v>
      </c>
      <c r="E287" s="284">
        <f>Table5[[#This Row],[Date]]-DAY(Table5[[#This Row],[Date]])+1</f>
        <v>45839</v>
      </c>
      <c r="F287" s="285">
        <v>45839</v>
      </c>
      <c r="G287" s="79" t="s">
        <v>78</v>
      </c>
      <c r="H287" s="23" t="str">
        <f>IFERROR(_xlfn.XLOOKUP(Table5[[#This Row],[Affected WTG]],'Basic Data'!$A:$A,'Basic Data'!$B:$B),"")</f>
        <v>PWEPL</v>
      </c>
      <c r="I287" s="23" t="str">
        <f>IFERROR(_xlfn.XLOOKUP(Table5[[#This Row],[Affected WTG]],'Basic Data'!$A:$A,'Basic Data'!$C:$C),"")</f>
        <v>MSEDCL</v>
      </c>
      <c r="J287" s="286">
        <f>IFERROR(_xlfn.XLOOKUP(Table5[[#This Row],[Affected WTG]],'Basic Data'!$A:$A,'Basic Data'!$E:$E),"")</f>
        <v>2.2727272727272728E-2</v>
      </c>
      <c r="K287" s="79">
        <v>276</v>
      </c>
      <c r="L287" s="23" t="str">
        <f>IFERROR(_xlfn.XLOOKUP(Table5[[#This Row],[Error Code]],'Basic Data'!$W:$W,'Basic Data'!$X:$X),"Incorrect Error Code")</f>
        <v>Pitch thyristor 3 fault</v>
      </c>
      <c r="M287" s="23" t="s">
        <v>153</v>
      </c>
      <c r="N287" s="23"/>
      <c r="O287" s="344">
        <v>0</v>
      </c>
      <c r="P287" s="344">
        <v>0</v>
      </c>
      <c r="Q287" s="344">
        <v>0.60833333333333328</v>
      </c>
      <c r="R287" s="341">
        <f t="shared" si="12"/>
        <v>0.60833333333333328</v>
      </c>
      <c r="S287" s="342">
        <f>(Table5[[#This Row],[Fault Clearance time]]-Table5[[#This Row],[Work Start TimeStamp]])*24</f>
        <v>14.599999999999998</v>
      </c>
      <c r="T287" s="342">
        <f>(Table5[[#This Row],[Fault Clearance time]]-Table5[[#This Row],[Fault Start TimeStamp]])*24</f>
        <v>14.599999999999998</v>
      </c>
      <c r="U287" s="23" t="s">
        <v>965</v>
      </c>
      <c r="V287" s="79" t="s">
        <v>339</v>
      </c>
      <c r="W287" s="343">
        <f>IFERROR(Table5[[#This Row],[Breakdown Time]]*Table5[[#This Row],[Plant Equivalent Weightage]],"")</f>
        <v>0.33181818181818179</v>
      </c>
      <c r="X287" s="289" t="s">
        <v>343</v>
      </c>
      <c r="Y287" s="290" t="s">
        <v>77</v>
      </c>
      <c r="Z287" s="79"/>
      <c r="AA287" s="283">
        <v>20182</v>
      </c>
      <c r="AB287" s="79"/>
      <c r="AC287" s="23"/>
      <c r="AD287" s="23"/>
    </row>
    <row r="288" spans="1:30">
      <c r="A288" s="79">
        <f t="shared" si="9"/>
        <v>287</v>
      </c>
      <c r="B288" s="283">
        <f>YEAR(Table5[[#This Row],[Date]])+IF(MONTH(Table5[[#This Row],[Date]])&gt;=4,1,0)</f>
        <v>2026</v>
      </c>
      <c r="C288" s="79">
        <f>YEAR(Table5[[#This Row],[Date]])</f>
        <v>2025</v>
      </c>
      <c r="D288" s="79" t="s">
        <v>344</v>
      </c>
      <c r="E288" s="284">
        <f>Table5[[#This Row],[Date]]-DAY(Table5[[#This Row],[Date]])+1</f>
        <v>45839</v>
      </c>
      <c r="F288" s="285">
        <v>45839</v>
      </c>
      <c r="G288" s="79" t="s">
        <v>81</v>
      </c>
      <c r="H288" s="23" t="str">
        <f>IFERROR(_xlfn.XLOOKUP(Table5[[#This Row],[Affected WTG]],'Basic Data'!$A:$A,'Basic Data'!$B:$B),"")</f>
        <v>PWEPL</v>
      </c>
      <c r="I288" s="23" t="str">
        <f>IFERROR(_xlfn.XLOOKUP(Table5[[#This Row],[Affected WTG]],'Basic Data'!$A:$A,'Basic Data'!$C:$C),"")</f>
        <v>MSEDCL</v>
      </c>
      <c r="J288" s="286">
        <f>IFERROR(_xlfn.XLOOKUP(Table5[[#This Row],[Affected WTG]],'Basic Data'!$A:$A,'Basic Data'!$E:$E),"")</f>
        <v>2.2727272727272728E-2</v>
      </c>
      <c r="K288" s="79">
        <v>431</v>
      </c>
      <c r="L288" s="23" t="str">
        <f>IFERROR(_xlfn.XLOOKUP(Table5[[#This Row],[Error Code]],'Basic Data'!$W:$W,'Basic Data'!$X:$X),"Incorrect Error Code")</f>
        <v xml:space="preserve">Yaw tooth sensor 2 timeout </v>
      </c>
      <c r="M288" s="23" t="s">
        <v>797</v>
      </c>
      <c r="N288" s="23"/>
      <c r="O288" s="344">
        <v>0.15972222222222224</v>
      </c>
      <c r="P288" s="344">
        <v>0.15972222222222224</v>
      </c>
      <c r="Q288" s="344">
        <v>0.17986111111111111</v>
      </c>
      <c r="R288" s="341">
        <f t="shared" si="12"/>
        <v>2.0138888888888873E-2</v>
      </c>
      <c r="S288" s="342">
        <f>(Table5[[#This Row],[Fault Clearance time]]-Table5[[#This Row],[Work Start TimeStamp]])*24</f>
        <v>0.48333333333333295</v>
      </c>
      <c r="T288" s="342">
        <f>(Table5[[#This Row],[Fault Clearance time]]-Table5[[#This Row],[Fault Start TimeStamp]])*24</f>
        <v>0.48333333333333295</v>
      </c>
      <c r="U288" s="23" t="s">
        <v>353</v>
      </c>
      <c r="V288" s="79" t="s">
        <v>339</v>
      </c>
      <c r="W288" s="343">
        <f>IFERROR(Table5[[#This Row],[Breakdown Time]]*Table5[[#This Row],[Plant Equivalent Weightage]],"")</f>
        <v>1.0984848484848476E-2</v>
      </c>
      <c r="X288" s="289" t="s">
        <v>343</v>
      </c>
      <c r="Y288" s="290" t="s">
        <v>108</v>
      </c>
      <c r="Z288" s="79"/>
      <c r="AA288" s="283">
        <v>877</v>
      </c>
      <c r="AB288" s="79"/>
      <c r="AC288" s="23"/>
      <c r="AD288" s="23"/>
    </row>
    <row r="289" spans="1:30">
      <c r="A289" s="79">
        <f t="shared" si="9"/>
        <v>288</v>
      </c>
      <c r="B289" s="283">
        <f>YEAR(Table5[[#This Row],[Date]])+IF(MONTH(Table5[[#This Row],[Date]])&gt;=4,1,0)</f>
        <v>2026</v>
      </c>
      <c r="C289" s="79">
        <f>YEAR(Table5[[#This Row],[Date]])</f>
        <v>2025</v>
      </c>
      <c r="D289" s="79" t="s">
        <v>344</v>
      </c>
      <c r="E289" s="284">
        <f>Table5[[#This Row],[Date]]-DAY(Table5[[#This Row],[Date]])+1</f>
        <v>45839</v>
      </c>
      <c r="F289" s="285">
        <v>45839</v>
      </c>
      <c r="G289" s="79" t="s">
        <v>81</v>
      </c>
      <c r="H289" s="23" t="str">
        <f>IFERROR(_xlfn.XLOOKUP(Table5[[#This Row],[Affected WTG]],'Basic Data'!$A:$A,'Basic Data'!$B:$B),"")</f>
        <v>PWEPL</v>
      </c>
      <c r="I289" s="23" t="str">
        <f>IFERROR(_xlfn.XLOOKUP(Table5[[#This Row],[Affected WTG]],'Basic Data'!$A:$A,'Basic Data'!$C:$C),"")</f>
        <v>MSEDCL</v>
      </c>
      <c r="J289" s="286">
        <f>IFERROR(_xlfn.XLOOKUP(Table5[[#This Row],[Affected WTG]],'Basic Data'!$A:$A,'Basic Data'!$E:$E),"")</f>
        <v>2.2727272727272728E-2</v>
      </c>
      <c r="K289" s="79">
        <v>431</v>
      </c>
      <c r="L289" s="23" t="str">
        <f>IFERROR(_xlfn.XLOOKUP(Table5[[#This Row],[Error Code]],'Basic Data'!$W:$W,'Basic Data'!$X:$X),"Incorrect Error Code")</f>
        <v xml:space="preserve">Yaw tooth sensor 2 timeout </v>
      </c>
      <c r="M289" s="23" t="s">
        <v>797</v>
      </c>
      <c r="N289" s="23"/>
      <c r="O289" s="344">
        <v>0.70208333333333339</v>
      </c>
      <c r="P289" s="344">
        <v>0.70208333333333339</v>
      </c>
      <c r="Q289" s="344">
        <v>0.75902777777777775</v>
      </c>
      <c r="R289" s="341">
        <f t="shared" si="12"/>
        <v>5.6944444444444353E-2</v>
      </c>
      <c r="S289" s="342">
        <f>(Table5[[#This Row],[Fault Clearance time]]-Table5[[#This Row],[Work Start TimeStamp]])*24</f>
        <v>1.3666666666666645</v>
      </c>
      <c r="T289" s="342">
        <f>(Table5[[#This Row],[Fault Clearance time]]-Table5[[#This Row],[Fault Start TimeStamp]])*24</f>
        <v>1.3666666666666645</v>
      </c>
      <c r="U289" s="23" t="s">
        <v>799</v>
      </c>
      <c r="V289" s="79" t="s">
        <v>339</v>
      </c>
      <c r="W289" s="343">
        <f>IFERROR(Table5[[#This Row],[Breakdown Time]]*Table5[[#This Row],[Plant Equivalent Weightage]],"")</f>
        <v>3.1060606060606011E-2</v>
      </c>
      <c r="X289" s="289" t="s">
        <v>343</v>
      </c>
      <c r="Y289" s="290" t="s">
        <v>108</v>
      </c>
      <c r="Z289" s="79"/>
      <c r="AA289" s="283">
        <v>2197</v>
      </c>
      <c r="AB289" s="79"/>
      <c r="AC289" s="23"/>
      <c r="AD289" s="23"/>
    </row>
    <row r="290" spans="1:30">
      <c r="A290" s="79">
        <f t="shared" si="9"/>
        <v>289</v>
      </c>
      <c r="B290" s="283">
        <f>YEAR(Table5[[#This Row],[Date]])+IF(MONTH(Table5[[#This Row],[Date]])&gt;=4,1,0)</f>
        <v>2026</v>
      </c>
      <c r="C290" s="79">
        <f>YEAR(Table5[[#This Row],[Date]])</f>
        <v>2025</v>
      </c>
      <c r="D290" s="79" t="s">
        <v>344</v>
      </c>
      <c r="E290" s="284">
        <f>Table5[[#This Row],[Date]]-DAY(Table5[[#This Row],[Date]])+1</f>
        <v>45839</v>
      </c>
      <c r="F290" s="285">
        <v>45839</v>
      </c>
      <c r="G290" s="79" t="s">
        <v>85</v>
      </c>
      <c r="H290" s="23" t="str">
        <f>IFERROR(_xlfn.XLOOKUP(Table5[[#This Row],[Affected WTG]],'Basic Data'!$A:$A,'Basic Data'!$B:$B),"")</f>
        <v>PWEPL</v>
      </c>
      <c r="I290" s="23" t="str">
        <f>IFERROR(_xlfn.XLOOKUP(Table5[[#This Row],[Affected WTG]],'Basic Data'!$A:$A,'Basic Data'!$C:$C),"")</f>
        <v>MSEDCL</v>
      </c>
      <c r="J290" s="286">
        <f>IFERROR(_xlfn.XLOOKUP(Table5[[#This Row],[Affected WTG]],'Basic Data'!$A:$A,'Basic Data'!$E:$E),"")</f>
        <v>2.2727272727272728E-2</v>
      </c>
      <c r="K290" s="79">
        <v>63</v>
      </c>
      <c r="L290" s="23" t="str">
        <f>IFERROR(_xlfn.XLOOKUP(Table5[[#This Row],[Error Code]],'Basic Data'!$W:$W,'Basic Data'!$X:$X),"Incorrect Error Code")</f>
        <v>Safety chain</v>
      </c>
      <c r="M290" s="23" t="s">
        <v>189</v>
      </c>
      <c r="N290" s="23"/>
      <c r="O290" s="344">
        <v>0.22708333333333333</v>
      </c>
      <c r="P290" s="344">
        <v>0.22708333333333333</v>
      </c>
      <c r="Q290" s="344">
        <v>0.24374999999999999</v>
      </c>
      <c r="R290" s="341">
        <f t="shared" si="12"/>
        <v>1.6666666666666663E-2</v>
      </c>
      <c r="S290" s="342">
        <f>(Table5[[#This Row],[Fault Clearance time]]-Table5[[#This Row],[Work Start TimeStamp]])*24</f>
        <v>0.39999999999999991</v>
      </c>
      <c r="T290" s="342">
        <f>(Table5[[#This Row],[Fault Clearance time]]-Table5[[#This Row],[Fault Start TimeStamp]])*24</f>
        <v>0.39999999999999991</v>
      </c>
      <c r="U290" s="23" t="s">
        <v>353</v>
      </c>
      <c r="V290" s="79" t="s">
        <v>339</v>
      </c>
      <c r="W290" s="343">
        <f>IFERROR(Table5[[#This Row],[Breakdown Time]]*Table5[[#This Row],[Plant Equivalent Weightage]],"")</f>
        <v>9.0909090909090887E-3</v>
      </c>
      <c r="X290" s="289" t="s">
        <v>343</v>
      </c>
      <c r="Y290" s="290" t="s">
        <v>84</v>
      </c>
      <c r="Z290" s="79"/>
      <c r="AA290" s="283">
        <v>462</v>
      </c>
      <c r="AB290" s="79"/>
      <c r="AC290" s="23"/>
      <c r="AD290" s="23"/>
    </row>
    <row r="291" spans="1:30">
      <c r="A291" s="79">
        <f t="shared" si="9"/>
        <v>290</v>
      </c>
      <c r="B291" s="283">
        <f>YEAR(Table5[[#This Row],[Date]])+IF(MONTH(Table5[[#This Row],[Date]])&gt;=4,1,0)</f>
        <v>2026</v>
      </c>
      <c r="C291" s="79">
        <f>YEAR(Table5[[#This Row],[Date]])</f>
        <v>2025</v>
      </c>
      <c r="D291" s="79" t="s">
        <v>344</v>
      </c>
      <c r="E291" s="284">
        <f>Table5[[#This Row],[Date]]-DAY(Table5[[#This Row],[Date]])+1</f>
        <v>45839</v>
      </c>
      <c r="F291" s="285">
        <v>45839</v>
      </c>
      <c r="G291" s="79" t="s">
        <v>95</v>
      </c>
      <c r="H291" s="23" t="str">
        <f>IFERROR(_xlfn.XLOOKUP(Table5[[#This Row],[Affected WTG]],'Basic Data'!$A:$A,'Basic Data'!$B:$B),"")</f>
        <v>PWEPL</v>
      </c>
      <c r="I291" s="23" t="str">
        <f>IFERROR(_xlfn.XLOOKUP(Table5[[#This Row],[Affected WTG]],'Basic Data'!$A:$A,'Basic Data'!$C:$C),"")</f>
        <v>MSEDCL</v>
      </c>
      <c r="J291" s="286">
        <f>IFERROR(_xlfn.XLOOKUP(Table5[[#This Row],[Affected WTG]],'Basic Data'!$A:$A,'Basic Data'!$E:$E),"")</f>
        <v>2.2727272727272728E-2</v>
      </c>
      <c r="K291" s="79">
        <v>3</v>
      </c>
      <c r="L291" s="23" t="str">
        <f>IFERROR(_xlfn.XLOOKUP(Table5[[#This Row],[Error Code]],'Basic Data'!$W:$W,'Basic Data'!$X:$X),"Incorrect Error Code")</f>
        <v>Manual Stop</v>
      </c>
      <c r="M291" s="23" t="s">
        <v>950</v>
      </c>
      <c r="N291" s="23"/>
      <c r="O291" s="344">
        <v>0.70416666666666661</v>
      </c>
      <c r="P291" s="344">
        <v>0.70416666666666661</v>
      </c>
      <c r="Q291" s="344">
        <v>0.7055555555555556</v>
      </c>
      <c r="R291" s="341">
        <f t="shared" si="12"/>
        <v>1.388888888888995E-3</v>
      </c>
      <c r="S291" s="342">
        <f>(Table5[[#This Row],[Fault Clearance time]]-Table5[[#This Row],[Work Start TimeStamp]])*24</f>
        <v>3.3333333333335879E-2</v>
      </c>
      <c r="T291" s="342">
        <f>(Table5[[#This Row],[Fault Clearance time]]-Table5[[#This Row],[Fault Start TimeStamp]])*24</f>
        <v>3.3333333333335879E-2</v>
      </c>
      <c r="U291" s="23" t="s">
        <v>950</v>
      </c>
      <c r="V291" s="79" t="s">
        <v>339</v>
      </c>
      <c r="W291" s="343">
        <f>IFERROR(Table5[[#This Row],[Breakdown Time]]*Table5[[#This Row],[Plant Equivalent Weightage]],"")</f>
        <v>7.5757575757581547E-4</v>
      </c>
      <c r="X291" s="289" t="s">
        <v>394</v>
      </c>
      <c r="Y291" s="290" t="s">
        <v>106</v>
      </c>
      <c r="Z291" s="79"/>
      <c r="AA291" s="283">
        <v>44</v>
      </c>
      <c r="AB291" s="79"/>
      <c r="AC291" s="23"/>
      <c r="AD291" s="23"/>
    </row>
    <row r="292" spans="1:30">
      <c r="A292" s="79">
        <f t="shared" si="9"/>
        <v>291</v>
      </c>
      <c r="B292" s="283">
        <f>YEAR(Table5[[#This Row],[Date]])+IF(MONTH(Table5[[#This Row],[Date]])&gt;=4,1,0)</f>
        <v>2026</v>
      </c>
      <c r="C292" s="79">
        <f>YEAR(Table5[[#This Row],[Date]])</f>
        <v>2025</v>
      </c>
      <c r="D292" s="79" t="s">
        <v>344</v>
      </c>
      <c r="E292" s="284">
        <f>Table5[[#This Row],[Date]]-DAY(Table5[[#This Row],[Date]])+1</f>
        <v>45839</v>
      </c>
      <c r="F292" s="285">
        <v>45839</v>
      </c>
      <c r="G292" s="79" t="s">
        <v>106</v>
      </c>
      <c r="H292" s="23" t="str">
        <f>IFERROR(_xlfn.XLOOKUP(Table5[[#This Row],[Affected WTG]],'Basic Data'!$A:$A,'Basic Data'!$B:$B),"")</f>
        <v>PWEPL</v>
      </c>
      <c r="I292" s="23" t="str">
        <f>IFERROR(_xlfn.XLOOKUP(Table5[[#This Row],[Affected WTG]],'Basic Data'!$A:$A,'Basic Data'!$C:$C),"")</f>
        <v>MSEDCL</v>
      </c>
      <c r="J292" s="286">
        <f>IFERROR(_xlfn.XLOOKUP(Table5[[#This Row],[Affected WTG]],'Basic Data'!$A:$A,'Basic Data'!$E:$E),"")</f>
        <v>2.2727272727272728E-2</v>
      </c>
      <c r="K292" s="79">
        <v>3</v>
      </c>
      <c r="L292" s="23" t="str">
        <f>IFERROR(_xlfn.XLOOKUP(Table5[[#This Row],[Error Code]],'Basic Data'!$W:$W,'Basic Data'!$X:$X),"Incorrect Error Code")</f>
        <v>Manual Stop</v>
      </c>
      <c r="M292" s="23" t="s">
        <v>950</v>
      </c>
      <c r="N292" s="23"/>
      <c r="O292" s="344">
        <v>0.69236111111111109</v>
      </c>
      <c r="P292" s="344">
        <v>0.69236111111111109</v>
      </c>
      <c r="Q292" s="344">
        <v>0.69444444444444453</v>
      </c>
      <c r="R292" s="341">
        <f t="shared" si="12"/>
        <v>2.083333333333437E-3</v>
      </c>
      <c r="S292" s="342">
        <f>(Table5[[#This Row],[Fault Clearance time]]-Table5[[#This Row],[Work Start TimeStamp]])*24</f>
        <v>5.0000000000002487E-2</v>
      </c>
      <c r="T292" s="342">
        <f>(Table5[[#This Row],[Fault Clearance time]]-Table5[[#This Row],[Fault Start TimeStamp]])*24</f>
        <v>5.0000000000002487E-2</v>
      </c>
      <c r="U292" s="23" t="s">
        <v>950</v>
      </c>
      <c r="V292" s="79" t="s">
        <v>339</v>
      </c>
      <c r="W292" s="343">
        <f>IFERROR(Table5[[#This Row],[Breakdown Time]]*Table5[[#This Row],[Plant Equivalent Weightage]],"")</f>
        <v>1.1363636363636929E-3</v>
      </c>
      <c r="X292" s="289" t="s">
        <v>394</v>
      </c>
      <c r="Y292" s="290" t="s">
        <v>92</v>
      </c>
      <c r="Z292" s="79"/>
      <c r="AA292" s="283">
        <v>66</v>
      </c>
      <c r="AB292" s="79"/>
      <c r="AC292" s="23"/>
      <c r="AD292" s="23"/>
    </row>
    <row r="293" spans="1:30">
      <c r="A293" s="79">
        <f t="shared" si="9"/>
        <v>292</v>
      </c>
      <c r="B293" s="283">
        <f>YEAR(Table5[[#This Row],[Date]])+IF(MONTH(Table5[[#This Row],[Date]])&gt;=4,1,0)</f>
        <v>2026</v>
      </c>
      <c r="C293" s="79">
        <f>YEAR(Table5[[#This Row],[Date]])</f>
        <v>2025</v>
      </c>
      <c r="D293" s="79" t="s">
        <v>344</v>
      </c>
      <c r="E293" s="284">
        <f>Table5[[#This Row],[Date]]-DAY(Table5[[#This Row],[Date]])+1</f>
        <v>45839</v>
      </c>
      <c r="F293" s="285">
        <v>45840</v>
      </c>
      <c r="G293" s="79" t="s">
        <v>81</v>
      </c>
      <c r="H293" s="23" t="str">
        <f>IFERROR(_xlfn.XLOOKUP(Table5[[#This Row],[Affected WTG]],'Basic Data'!$A:$A,'Basic Data'!$B:$B),"")</f>
        <v>PWEPL</v>
      </c>
      <c r="I293" s="23" t="str">
        <f>IFERROR(_xlfn.XLOOKUP(Table5[[#This Row],[Affected WTG]],'Basic Data'!$A:$A,'Basic Data'!$C:$C),"")</f>
        <v>MSEDCL</v>
      </c>
      <c r="J293" s="286">
        <f>IFERROR(_xlfn.XLOOKUP(Table5[[#This Row],[Affected WTG]],'Basic Data'!$A:$A,'Basic Data'!$E:$E),"")</f>
        <v>2.2727272727272728E-2</v>
      </c>
      <c r="K293" s="79">
        <v>431</v>
      </c>
      <c r="L293" s="23" t="str">
        <f>IFERROR(_xlfn.XLOOKUP(Table5[[#This Row],[Error Code]],'Basic Data'!$W:$W,'Basic Data'!$X:$X),"Incorrect Error Code")</f>
        <v xml:space="preserve">Yaw tooth sensor 2 timeout </v>
      </c>
      <c r="M293" s="23" t="s">
        <v>797</v>
      </c>
      <c r="N293" s="23"/>
      <c r="O293" s="344">
        <v>0.48125000000000001</v>
      </c>
      <c r="P293" s="344">
        <v>0.48125000000000001</v>
      </c>
      <c r="Q293" s="344">
        <v>0.56319444444444444</v>
      </c>
      <c r="R293" s="341">
        <f t="shared" ref="R293:R299" si="13">Q293-O293</f>
        <v>8.1944444444444431E-2</v>
      </c>
      <c r="S293" s="329">
        <f>(Table5[[#This Row],[Fault Clearance time]]-Table5[[#This Row],[Work Start TimeStamp]])*24</f>
        <v>1.9666666666666663</v>
      </c>
      <c r="T293" s="329">
        <f>(Table5[[#This Row],[Fault Clearance time]]-Table5[[#This Row],[Fault Start TimeStamp]])*24</f>
        <v>1.9666666666666663</v>
      </c>
      <c r="U293" s="23" t="s">
        <v>963</v>
      </c>
      <c r="V293" s="79" t="s">
        <v>339</v>
      </c>
      <c r="W293" s="289">
        <f>IFERROR(Table5[[#This Row],[Breakdown Time]]*Table5[[#This Row],[Plant Equivalent Weightage]],"")</f>
        <v>4.4696969696969693E-2</v>
      </c>
      <c r="X293" s="289" t="s">
        <v>343</v>
      </c>
      <c r="Y293" s="290" t="s">
        <v>108</v>
      </c>
      <c r="Z293" s="79"/>
      <c r="AA293" s="283">
        <v>3152</v>
      </c>
      <c r="AB293" s="79"/>
      <c r="AC293" s="23"/>
      <c r="AD293" s="23"/>
    </row>
    <row r="294" spans="1:30">
      <c r="A294" s="79">
        <f t="shared" si="9"/>
        <v>293</v>
      </c>
      <c r="B294" s="283">
        <f>YEAR(Table5[[#This Row],[Date]])+IF(MONTH(Table5[[#This Row],[Date]])&gt;=4,1,0)</f>
        <v>2026</v>
      </c>
      <c r="C294" s="79">
        <f>YEAR(Table5[[#This Row],[Date]])</f>
        <v>2025</v>
      </c>
      <c r="D294" s="79" t="s">
        <v>344</v>
      </c>
      <c r="E294" s="284">
        <f>Table5[[#This Row],[Date]]-DAY(Table5[[#This Row],[Date]])+1</f>
        <v>45839</v>
      </c>
      <c r="F294" s="285">
        <v>45840</v>
      </c>
      <c r="G294" s="79" t="s">
        <v>95</v>
      </c>
      <c r="H294" s="23" t="str">
        <f>IFERROR(_xlfn.XLOOKUP(Table5[[#This Row],[Affected WTG]],'Basic Data'!$A:$A,'Basic Data'!$B:$B),"")</f>
        <v>PWEPL</v>
      </c>
      <c r="I294" s="23" t="str">
        <f>IFERROR(_xlfn.XLOOKUP(Table5[[#This Row],[Affected WTG]],'Basic Data'!$A:$A,'Basic Data'!$C:$C),"")</f>
        <v>MSEDCL</v>
      </c>
      <c r="J294" s="286">
        <f>IFERROR(_xlfn.XLOOKUP(Table5[[#This Row],[Affected WTG]],'Basic Data'!$A:$A,'Basic Data'!$E:$E),"")</f>
        <v>2.2727272727272728E-2</v>
      </c>
      <c r="K294" s="79">
        <v>134</v>
      </c>
      <c r="L294" s="23" t="str">
        <f>IFERROR(_xlfn.XLOOKUP(Table5[[#This Row],[Error Code]],'Basic Data'!$W:$W,'Basic Data'!$X:$X),"Incorrect Error Code")</f>
        <v>Battery charging voltage not OK</v>
      </c>
      <c r="M294" s="23" t="s">
        <v>586</v>
      </c>
      <c r="N294" s="23"/>
      <c r="O294" s="344">
        <v>0.62708333333333333</v>
      </c>
      <c r="P294" s="344">
        <v>0.65138888888888891</v>
      </c>
      <c r="Q294" s="344">
        <v>0.72013888888888899</v>
      </c>
      <c r="R294" s="341">
        <f t="shared" si="13"/>
        <v>9.3055555555555669E-2</v>
      </c>
      <c r="S294" s="329">
        <f>(Table5[[#This Row],[Fault Clearance time]]-Table5[[#This Row],[Work Start TimeStamp]])*24</f>
        <v>1.6500000000000021</v>
      </c>
      <c r="T294" s="329">
        <f>(Table5[[#This Row],[Fault Clearance time]]-Table5[[#This Row],[Fault Start TimeStamp]])*24</f>
        <v>2.2333333333333361</v>
      </c>
      <c r="U294" s="23" t="s">
        <v>964</v>
      </c>
      <c r="V294" s="79" t="s">
        <v>339</v>
      </c>
      <c r="W294" s="289">
        <f>IFERROR(Table5[[#This Row],[Breakdown Time]]*Table5[[#This Row],[Plant Equivalent Weightage]],"")</f>
        <v>5.0757575757575821E-2</v>
      </c>
      <c r="X294" s="289" t="s">
        <v>343</v>
      </c>
      <c r="Y294" s="290" t="s">
        <v>106</v>
      </c>
      <c r="Z294" s="79"/>
      <c r="AA294" s="283">
        <v>2188</v>
      </c>
      <c r="AB294" s="79"/>
      <c r="AC294" s="23"/>
      <c r="AD294" s="23"/>
    </row>
    <row r="295" spans="1:30">
      <c r="A295" s="79">
        <f t="shared" si="9"/>
        <v>294</v>
      </c>
      <c r="B295" s="283">
        <f>YEAR(Table5[[#This Row],[Date]])+IF(MONTH(Table5[[#This Row],[Date]])&gt;=4,1,0)</f>
        <v>2026</v>
      </c>
      <c r="C295" s="79">
        <f>YEAR(Table5[[#This Row],[Date]])</f>
        <v>2025</v>
      </c>
      <c r="D295" s="79" t="s">
        <v>344</v>
      </c>
      <c r="E295" s="284">
        <f>Table5[[#This Row],[Date]]-DAY(Table5[[#This Row],[Date]])+1</f>
        <v>45839</v>
      </c>
      <c r="F295" s="285">
        <v>45840</v>
      </c>
      <c r="G295" s="79" t="s">
        <v>116</v>
      </c>
      <c r="H295" s="23" t="str">
        <f>IFERROR(_xlfn.XLOOKUP(Table5[[#This Row],[Affected WTG]],'Basic Data'!$A:$A,'Basic Data'!$B:$B),"")</f>
        <v>PWEPL</v>
      </c>
      <c r="I295" s="23" t="str">
        <f>IFERROR(_xlfn.XLOOKUP(Table5[[#This Row],[Affected WTG]],'Basic Data'!$A:$A,'Basic Data'!$C:$C),"")</f>
        <v>MSEDCL</v>
      </c>
      <c r="J295" s="286">
        <f>IFERROR(_xlfn.XLOOKUP(Table5[[#This Row],[Affected WTG]],'Basic Data'!$A:$A,'Basic Data'!$E:$E),"")</f>
        <v>2.2727272727272728E-2</v>
      </c>
      <c r="K295" s="79">
        <v>3</v>
      </c>
      <c r="L295" s="23" t="str">
        <f>IFERROR(_xlfn.XLOOKUP(Table5[[#This Row],[Error Code]],'Basic Data'!$W:$W,'Basic Data'!$X:$X),"Incorrect Error Code")</f>
        <v>Manual Stop</v>
      </c>
      <c r="M295" s="23" t="s">
        <v>950</v>
      </c>
      <c r="N295" s="23"/>
      <c r="O295" s="344">
        <v>0.8354166666666667</v>
      </c>
      <c r="P295" s="344">
        <v>0.8354166666666667</v>
      </c>
      <c r="Q295" s="344">
        <v>0.83680555555555547</v>
      </c>
      <c r="R295" s="341">
        <f t="shared" si="13"/>
        <v>1.3888888888887729E-3</v>
      </c>
      <c r="S295" s="329">
        <f>(Table5[[#This Row],[Fault Clearance time]]-Table5[[#This Row],[Work Start TimeStamp]])*24</f>
        <v>3.333333333333055E-2</v>
      </c>
      <c r="T295" s="329">
        <f>(Table5[[#This Row],[Fault Clearance time]]-Table5[[#This Row],[Fault Start TimeStamp]])*24</f>
        <v>3.333333333333055E-2</v>
      </c>
      <c r="U295" s="23" t="s">
        <v>950</v>
      </c>
      <c r="V295" s="79" t="s">
        <v>339</v>
      </c>
      <c r="W295" s="289">
        <f>IFERROR(Table5[[#This Row],[Breakdown Time]]*Table5[[#This Row],[Plant Equivalent Weightage]],"")</f>
        <v>7.5757575757569437E-4</v>
      </c>
      <c r="X295" s="289" t="s">
        <v>394</v>
      </c>
      <c r="Y295" s="290" t="s">
        <v>114</v>
      </c>
      <c r="Z295" s="79"/>
      <c r="AA295" s="283">
        <v>48</v>
      </c>
      <c r="AB295" s="79"/>
      <c r="AC295" s="23"/>
      <c r="AD295" s="23"/>
    </row>
    <row r="296" spans="1:30">
      <c r="A296" s="79">
        <f t="shared" si="9"/>
        <v>295</v>
      </c>
      <c r="B296" s="283">
        <f>YEAR(Table5[[#This Row],[Date]])+IF(MONTH(Table5[[#This Row],[Date]])&gt;=4,1,0)</f>
        <v>2026</v>
      </c>
      <c r="C296" s="79">
        <f>YEAR(Table5[[#This Row],[Date]])</f>
        <v>2025</v>
      </c>
      <c r="D296" s="79" t="s">
        <v>344</v>
      </c>
      <c r="E296" s="284">
        <f>Table5[[#This Row],[Date]]-DAY(Table5[[#This Row],[Date]])+1</f>
        <v>45839</v>
      </c>
      <c r="F296" s="285">
        <v>45840</v>
      </c>
      <c r="G296" s="79" t="s">
        <v>117</v>
      </c>
      <c r="H296" s="23" t="str">
        <f>IFERROR(_xlfn.XLOOKUP(Table5[[#This Row],[Affected WTG]],'Basic Data'!$A:$A,'Basic Data'!$B:$B),"")</f>
        <v>PWEPL</v>
      </c>
      <c r="I296" s="23" t="str">
        <f>IFERROR(_xlfn.XLOOKUP(Table5[[#This Row],[Affected WTG]],'Basic Data'!$A:$A,'Basic Data'!$C:$C),"")</f>
        <v>MSEDCL</v>
      </c>
      <c r="J296" s="286">
        <f>IFERROR(_xlfn.XLOOKUP(Table5[[#This Row],[Affected WTG]],'Basic Data'!$A:$A,'Basic Data'!$E:$E),"")</f>
        <v>2.2727272727272728E-2</v>
      </c>
      <c r="K296" s="79">
        <v>3</v>
      </c>
      <c r="L296" s="23" t="str">
        <f>IFERROR(_xlfn.XLOOKUP(Table5[[#This Row],[Error Code]],'Basic Data'!$W:$W,'Basic Data'!$X:$X),"Incorrect Error Code")</f>
        <v>Manual Stop</v>
      </c>
      <c r="M296" s="23" t="s">
        <v>950</v>
      </c>
      <c r="N296" s="23"/>
      <c r="O296" s="344">
        <v>0.64930555555555558</v>
      </c>
      <c r="P296" s="344">
        <v>0.64930555555555558</v>
      </c>
      <c r="Q296" s="344">
        <v>0.65208333333333335</v>
      </c>
      <c r="R296" s="341">
        <f t="shared" si="13"/>
        <v>2.7777777777777679E-3</v>
      </c>
      <c r="S296" s="329">
        <f>(Table5[[#This Row],[Fault Clearance time]]-Table5[[#This Row],[Work Start TimeStamp]])*24</f>
        <v>6.666666666666643E-2</v>
      </c>
      <c r="T296" s="329">
        <f>(Table5[[#This Row],[Fault Clearance time]]-Table5[[#This Row],[Fault Start TimeStamp]])*24</f>
        <v>6.666666666666643E-2</v>
      </c>
      <c r="U296" s="23" t="s">
        <v>950</v>
      </c>
      <c r="V296" s="79" t="s">
        <v>339</v>
      </c>
      <c r="W296" s="289">
        <f>IFERROR(Table5[[#This Row],[Breakdown Time]]*Table5[[#This Row],[Plant Equivalent Weightage]],"")</f>
        <v>1.5151515151515097E-3</v>
      </c>
      <c r="X296" s="289" t="s">
        <v>394</v>
      </c>
      <c r="Y296" s="290" t="s">
        <v>116</v>
      </c>
      <c r="Z296" s="79"/>
      <c r="AA296" s="283">
        <v>96</v>
      </c>
      <c r="AB296" s="79"/>
      <c r="AC296" s="23"/>
      <c r="AD296" s="23"/>
    </row>
    <row r="297" spans="1:30">
      <c r="A297" s="79">
        <f t="shared" si="9"/>
        <v>296</v>
      </c>
      <c r="B297" s="283">
        <f>YEAR(Table5[[#This Row],[Date]])+IF(MONTH(Table5[[#This Row],[Date]])&gt;=4,1,0)</f>
        <v>2026</v>
      </c>
      <c r="C297" s="79">
        <f>YEAR(Table5[[#This Row],[Date]])</f>
        <v>2025</v>
      </c>
      <c r="D297" s="79" t="s">
        <v>344</v>
      </c>
      <c r="E297" s="284">
        <f>Table5[[#This Row],[Date]]-DAY(Table5[[#This Row],[Date]])+1</f>
        <v>45839</v>
      </c>
      <c r="F297" s="285">
        <v>45840</v>
      </c>
      <c r="G297" s="79" t="s">
        <v>103</v>
      </c>
      <c r="H297" s="23" t="str">
        <f>IFERROR(_xlfn.XLOOKUP(Table5[[#This Row],[Affected WTG]],'Basic Data'!$A:$A,'Basic Data'!$B:$B),"")</f>
        <v>PWEPL</v>
      </c>
      <c r="I297" s="23" t="str">
        <f>IFERROR(_xlfn.XLOOKUP(Table5[[#This Row],[Affected WTG]],'Basic Data'!$A:$A,'Basic Data'!$C:$C),"")</f>
        <v>MSEDCL</v>
      </c>
      <c r="J297" s="286">
        <f>IFERROR(_xlfn.XLOOKUP(Table5[[#This Row],[Affected WTG]],'Basic Data'!$A:$A,'Basic Data'!$E:$E),"")</f>
        <v>2.2727272727272728E-2</v>
      </c>
      <c r="K297" s="79">
        <v>3</v>
      </c>
      <c r="L297" s="23" t="str">
        <f>IFERROR(_xlfn.XLOOKUP(Table5[[#This Row],[Error Code]],'Basic Data'!$W:$W,'Basic Data'!$X:$X),"Incorrect Error Code")</f>
        <v>Manual Stop</v>
      </c>
      <c r="M297" s="23" t="s">
        <v>950</v>
      </c>
      <c r="N297" s="23"/>
      <c r="O297" s="344">
        <v>0.67361111111111116</v>
      </c>
      <c r="P297" s="344">
        <v>0.67361111111111116</v>
      </c>
      <c r="Q297" s="344">
        <v>0.67499999999999993</v>
      </c>
      <c r="R297" s="341">
        <f t="shared" si="13"/>
        <v>1.3888888888887729E-3</v>
      </c>
      <c r="S297" s="329">
        <f>(Table5[[#This Row],[Fault Clearance time]]-Table5[[#This Row],[Work Start TimeStamp]])*24</f>
        <v>3.333333333333055E-2</v>
      </c>
      <c r="T297" s="329">
        <f>(Table5[[#This Row],[Fault Clearance time]]-Table5[[#This Row],[Fault Start TimeStamp]])*24</f>
        <v>3.333333333333055E-2</v>
      </c>
      <c r="U297" s="23" t="s">
        <v>950</v>
      </c>
      <c r="V297" s="79" t="s">
        <v>339</v>
      </c>
      <c r="W297" s="289">
        <f>IFERROR(Table5[[#This Row],[Breakdown Time]]*Table5[[#This Row],[Plant Equivalent Weightage]],"")</f>
        <v>7.5757575757569437E-4</v>
      </c>
      <c r="X297" s="289" t="s">
        <v>394</v>
      </c>
      <c r="Y297" s="290" t="s">
        <v>105</v>
      </c>
      <c r="Z297" s="79"/>
      <c r="AA297" s="283">
        <v>48</v>
      </c>
      <c r="AB297" s="79"/>
      <c r="AC297" s="23"/>
      <c r="AD297" s="23"/>
    </row>
    <row r="298" spans="1:30">
      <c r="A298" s="79">
        <f t="shared" si="9"/>
        <v>297</v>
      </c>
      <c r="B298" s="283">
        <f>YEAR(Table5[[#This Row],[Date]])+IF(MONTH(Table5[[#This Row],[Date]])&gt;=4,1,0)</f>
        <v>2026</v>
      </c>
      <c r="C298" s="79">
        <f>YEAR(Table5[[#This Row],[Date]])</f>
        <v>2025</v>
      </c>
      <c r="D298" s="79" t="s">
        <v>344</v>
      </c>
      <c r="E298" s="284">
        <f>Table5[[#This Row],[Date]]-DAY(Table5[[#This Row],[Date]])+1</f>
        <v>45839</v>
      </c>
      <c r="F298" s="285">
        <v>45840</v>
      </c>
      <c r="G298" s="79" t="s">
        <v>105</v>
      </c>
      <c r="H298" s="23" t="str">
        <f>IFERROR(_xlfn.XLOOKUP(Table5[[#This Row],[Affected WTG]],'Basic Data'!$A:$A,'Basic Data'!$B:$B),"")</f>
        <v>PWEPL</v>
      </c>
      <c r="I298" s="23" t="str">
        <f>IFERROR(_xlfn.XLOOKUP(Table5[[#This Row],[Affected WTG]],'Basic Data'!$A:$A,'Basic Data'!$C:$C),"")</f>
        <v>MSEDCL</v>
      </c>
      <c r="J298" s="286">
        <f>IFERROR(_xlfn.XLOOKUP(Table5[[#This Row],[Affected WTG]],'Basic Data'!$A:$A,'Basic Data'!$E:$E),"")</f>
        <v>2.2727272727272728E-2</v>
      </c>
      <c r="K298" s="79">
        <v>3</v>
      </c>
      <c r="L298" s="23" t="str">
        <f>IFERROR(_xlfn.XLOOKUP(Table5[[#This Row],[Error Code]],'Basic Data'!$W:$W,'Basic Data'!$X:$X),"Incorrect Error Code")</f>
        <v>Manual Stop</v>
      </c>
      <c r="M298" s="23" t="s">
        <v>950</v>
      </c>
      <c r="N298" s="23"/>
      <c r="O298" s="344">
        <v>0.68472222222222223</v>
      </c>
      <c r="P298" s="344">
        <v>0.68472222222222223</v>
      </c>
      <c r="Q298" s="344">
        <v>0.68680555555555556</v>
      </c>
      <c r="R298" s="341">
        <f t="shared" si="13"/>
        <v>2.0833333333333259E-3</v>
      </c>
      <c r="S298" s="329">
        <f>(Table5[[#This Row],[Fault Clearance time]]-Table5[[#This Row],[Work Start TimeStamp]])*24</f>
        <v>4.9999999999999822E-2</v>
      </c>
      <c r="T298" s="329">
        <f>(Table5[[#This Row],[Fault Clearance time]]-Table5[[#This Row],[Fault Start TimeStamp]])*24</f>
        <v>4.9999999999999822E-2</v>
      </c>
      <c r="U298" s="23" t="s">
        <v>950</v>
      </c>
      <c r="V298" s="79" t="s">
        <v>339</v>
      </c>
      <c r="W298" s="289">
        <f>IFERROR(Table5[[#This Row],[Breakdown Time]]*Table5[[#This Row],[Plant Equivalent Weightage]],"")</f>
        <v>1.1363636363636324E-3</v>
      </c>
      <c r="X298" s="289" t="s">
        <v>394</v>
      </c>
      <c r="Y298" s="290" t="s">
        <v>103</v>
      </c>
      <c r="Z298" s="79"/>
      <c r="AA298" s="283">
        <v>72</v>
      </c>
      <c r="AB298" s="79"/>
      <c r="AC298" s="23"/>
      <c r="AD298" s="23"/>
    </row>
    <row r="299" spans="1:30">
      <c r="A299" s="79">
        <f t="shared" si="9"/>
        <v>298</v>
      </c>
      <c r="B299" s="283">
        <f>YEAR(Table5[[#This Row],[Date]])+IF(MONTH(Table5[[#This Row],[Date]])&gt;=4,1,0)</f>
        <v>2026</v>
      </c>
      <c r="C299" s="79">
        <f>YEAR(Table5[[#This Row],[Date]])</f>
        <v>2025</v>
      </c>
      <c r="D299" s="79" t="s">
        <v>344</v>
      </c>
      <c r="E299" s="284">
        <f>Table5[[#This Row],[Date]]-DAY(Table5[[#This Row],[Date]])+1</f>
        <v>45839</v>
      </c>
      <c r="F299" s="285">
        <v>45840</v>
      </c>
      <c r="G299" s="79" t="s">
        <v>92</v>
      </c>
      <c r="H299" s="23" t="str">
        <f>IFERROR(_xlfn.XLOOKUP(Table5[[#This Row],[Affected WTG]],'Basic Data'!$A:$A,'Basic Data'!$B:$B),"")</f>
        <v>PWEPL</v>
      </c>
      <c r="I299" s="23" t="str">
        <f>IFERROR(_xlfn.XLOOKUP(Table5[[#This Row],[Affected WTG]],'Basic Data'!$A:$A,'Basic Data'!$C:$C),"")</f>
        <v>MSEDCL</v>
      </c>
      <c r="J299" s="286">
        <f>IFERROR(_xlfn.XLOOKUP(Table5[[#This Row],[Affected WTG]],'Basic Data'!$A:$A,'Basic Data'!$E:$E),"")</f>
        <v>2.2727272727272728E-2</v>
      </c>
      <c r="K299" s="79">
        <v>269</v>
      </c>
      <c r="L299" s="23" t="str">
        <f>IFERROR(_xlfn.XLOOKUP(Table5[[#This Row],[Error Code]],'Basic Data'!$W:$W,'Basic Data'!$X:$X),"Incorrect Error Code")</f>
        <v>Reboot PLC</v>
      </c>
      <c r="M299" s="23" t="s">
        <v>348</v>
      </c>
      <c r="N299" s="23"/>
      <c r="O299" s="344">
        <v>0.65138888888888891</v>
      </c>
      <c r="P299" s="344">
        <v>0.65138888888888891</v>
      </c>
      <c r="Q299" s="344">
        <v>0.67569444444444438</v>
      </c>
      <c r="R299" s="341">
        <f t="shared" si="13"/>
        <v>2.4305555555555469E-2</v>
      </c>
      <c r="S299" s="329">
        <f>(Table5[[#This Row],[Fault Clearance time]]-Table5[[#This Row],[Work Start TimeStamp]])*24</f>
        <v>0.58333333333333126</v>
      </c>
      <c r="T299" s="329">
        <f>(Table5[[#This Row],[Fault Clearance time]]-Table5[[#This Row],[Fault Start TimeStamp]])*24</f>
        <v>0.58333333333333126</v>
      </c>
      <c r="U299" s="23" t="s">
        <v>353</v>
      </c>
      <c r="V299" s="79" t="s">
        <v>339</v>
      </c>
      <c r="W299" s="289">
        <f>IFERROR(Table5[[#This Row],[Breakdown Time]]*Table5[[#This Row],[Plant Equivalent Weightage]],"")</f>
        <v>1.3257575757575711E-2</v>
      </c>
      <c r="X299" s="289" t="s">
        <v>343</v>
      </c>
      <c r="Y299" s="290" t="s">
        <v>91</v>
      </c>
      <c r="Z299" s="79"/>
      <c r="AA299" s="283">
        <v>679</v>
      </c>
      <c r="AB299" s="79"/>
      <c r="AC299" s="23"/>
      <c r="AD299" s="23"/>
    </row>
    <row r="300" spans="1:30">
      <c r="A300" s="79">
        <f t="shared" si="9"/>
        <v>299</v>
      </c>
      <c r="B300" s="283">
        <f>YEAR(Table5[[#This Row],[Date]])+IF(MONTH(Table5[[#This Row],[Date]])&gt;=4,1,0)</f>
        <v>2026</v>
      </c>
      <c r="C300" s="79">
        <f>YEAR(Table5[[#This Row],[Date]])</f>
        <v>2025</v>
      </c>
      <c r="D300" s="79" t="s">
        <v>344</v>
      </c>
      <c r="E300" s="284">
        <f>Table5[[#This Row],[Date]]-DAY(Table5[[#This Row],[Date]])+1</f>
        <v>45839</v>
      </c>
      <c r="F300" s="285">
        <v>45840</v>
      </c>
      <c r="G300" s="79" t="s">
        <v>94</v>
      </c>
      <c r="H300" s="23" t="str">
        <f>IFERROR(_xlfn.XLOOKUP(Table5[[#This Row],[Affected WTG]],'Basic Data'!$A:$A,'Basic Data'!$B:$B),"")</f>
        <v>PWEPL</v>
      </c>
      <c r="I300" s="23" t="str">
        <f>IFERROR(_xlfn.XLOOKUP(Table5[[#This Row],[Affected WTG]],'Basic Data'!$A:$A,'Basic Data'!$C:$C),"")</f>
        <v>MSEDCL</v>
      </c>
      <c r="J300" s="286">
        <f>IFERROR(_xlfn.XLOOKUP(Table5[[#This Row],[Affected WTG]],'Basic Data'!$A:$A,'Basic Data'!$E:$E),"")</f>
        <v>2.2727272727272728E-2</v>
      </c>
      <c r="K300" s="79">
        <v>269</v>
      </c>
      <c r="L300" s="23" t="str">
        <f>IFERROR(_xlfn.XLOOKUP(Table5[[#This Row],[Error Code]],'Basic Data'!$W:$W,'Basic Data'!$X:$X),"Incorrect Error Code")</f>
        <v>Reboot PLC</v>
      </c>
      <c r="M300" s="23" t="s">
        <v>348</v>
      </c>
      <c r="N300" s="23"/>
      <c r="O300" s="344">
        <v>0.65138888888888891</v>
      </c>
      <c r="P300" s="344">
        <v>0.65138888888888891</v>
      </c>
      <c r="Q300" s="344">
        <v>0.67499999999999993</v>
      </c>
      <c r="R300" s="341">
        <f t="shared" ref="R300:R301" si="14">Q300-O300</f>
        <v>2.3611111111111027E-2</v>
      </c>
      <c r="S300" s="329">
        <f>(Table5[[#This Row],[Fault Clearance time]]-Table5[[#This Row],[Work Start TimeStamp]])*24</f>
        <v>0.56666666666666465</v>
      </c>
      <c r="T300" s="329">
        <f>(Table5[[#This Row],[Fault Clearance time]]-Table5[[#This Row],[Fault Start TimeStamp]])*24</f>
        <v>0.56666666666666465</v>
      </c>
      <c r="U300" s="23" t="s">
        <v>353</v>
      </c>
      <c r="V300" s="79" t="s">
        <v>339</v>
      </c>
      <c r="W300" s="289">
        <f>IFERROR(Table5[[#This Row],[Breakdown Time]]*Table5[[#This Row],[Plant Equivalent Weightage]],"")</f>
        <v>1.2878787878787833E-2</v>
      </c>
      <c r="X300" s="289" t="s">
        <v>343</v>
      </c>
      <c r="Y300" s="290" t="s">
        <v>91</v>
      </c>
      <c r="Z300" s="79"/>
      <c r="AA300" s="283">
        <v>679</v>
      </c>
      <c r="AB300" s="79"/>
      <c r="AC300" s="23"/>
      <c r="AD300" s="23"/>
    </row>
    <row r="301" spans="1:30">
      <c r="A301" s="79">
        <f t="shared" si="9"/>
        <v>300</v>
      </c>
      <c r="B301" s="283">
        <f>YEAR(Table5[[#This Row],[Date]])+IF(MONTH(Table5[[#This Row],[Date]])&gt;=4,1,0)</f>
        <v>2026</v>
      </c>
      <c r="C301" s="79">
        <f>YEAR(Table5[[#This Row],[Date]])</f>
        <v>2025</v>
      </c>
      <c r="D301" s="79" t="s">
        <v>344</v>
      </c>
      <c r="E301" s="284">
        <f>Table5[[#This Row],[Date]]-DAY(Table5[[#This Row],[Date]])+1</f>
        <v>45839</v>
      </c>
      <c r="F301" s="285">
        <v>45840</v>
      </c>
      <c r="G301" s="79" t="s">
        <v>106</v>
      </c>
      <c r="H301" s="23" t="str">
        <f>IFERROR(_xlfn.XLOOKUP(Table5[[#This Row],[Affected WTG]],'Basic Data'!$A:$A,'Basic Data'!$B:$B),"")</f>
        <v>PWEPL</v>
      </c>
      <c r="I301" s="23" t="str">
        <f>IFERROR(_xlfn.XLOOKUP(Table5[[#This Row],[Affected WTG]],'Basic Data'!$A:$A,'Basic Data'!$C:$C),"")</f>
        <v>MSEDCL</v>
      </c>
      <c r="J301" s="286">
        <f>IFERROR(_xlfn.XLOOKUP(Table5[[#This Row],[Affected WTG]],'Basic Data'!$A:$A,'Basic Data'!$E:$E),"")</f>
        <v>2.2727272727272728E-2</v>
      </c>
      <c r="K301" s="79">
        <v>269</v>
      </c>
      <c r="L301" s="23" t="str">
        <f>IFERROR(_xlfn.XLOOKUP(Table5[[#This Row],[Error Code]],'Basic Data'!$W:$W,'Basic Data'!$X:$X),"Incorrect Error Code")</f>
        <v>Reboot PLC</v>
      </c>
      <c r="M301" s="23" t="s">
        <v>348</v>
      </c>
      <c r="N301" s="23"/>
      <c r="O301" s="344">
        <v>0.65138888888888891</v>
      </c>
      <c r="P301" s="344">
        <v>0.65138888888888891</v>
      </c>
      <c r="Q301" s="344">
        <v>0.6743055555555556</v>
      </c>
      <c r="R301" s="341">
        <f t="shared" si="14"/>
        <v>2.2916666666666696E-2</v>
      </c>
      <c r="S301" s="329">
        <f>(Table5[[#This Row],[Fault Clearance time]]-Table5[[#This Row],[Work Start TimeStamp]])*24</f>
        <v>0.55000000000000071</v>
      </c>
      <c r="T301" s="329">
        <f>(Table5[[#This Row],[Fault Clearance time]]-Table5[[#This Row],[Fault Start TimeStamp]])*24</f>
        <v>0.55000000000000071</v>
      </c>
      <c r="U301" s="23" t="s">
        <v>353</v>
      </c>
      <c r="V301" s="79" t="s">
        <v>339</v>
      </c>
      <c r="W301" s="289">
        <f>IFERROR(Table5[[#This Row],[Breakdown Time]]*Table5[[#This Row],[Plant Equivalent Weightage]],"")</f>
        <v>1.2500000000000016E-2</v>
      </c>
      <c r="X301" s="289" t="s">
        <v>343</v>
      </c>
      <c r="Y301" s="290" t="s">
        <v>91</v>
      </c>
      <c r="Z301" s="79"/>
      <c r="AA301" s="283">
        <v>679</v>
      </c>
      <c r="AB301" s="79"/>
      <c r="AC301" s="23"/>
      <c r="AD301" s="23"/>
    </row>
    <row r="302" spans="1:30">
      <c r="A302" s="79">
        <f t="shared" si="9"/>
        <v>301</v>
      </c>
      <c r="B302" s="283">
        <f>YEAR(Table5[[#This Row],[Date]])+IF(MONTH(Table5[[#This Row],[Date]])&gt;=4,1,0)</f>
        <v>2026</v>
      </c>
      <c r="C302" s="79">
        <f>YEAR(Table5[[#This Row],[Date]])</f>
        <v>2025</v>
      </c>
      <c r="D302" s="79" t="s">
        <v>344</v>
      </c>
      <c r="E302" s="284">
        <f>Table5[[#This Row],[Date]]-DAY(Table5[[#This Row],[Date]])+1</f>
        <v>45839</v>
      </c>
      <c r="F302" s="285">
        <v>45840</v>
      </c>
      <c r="G302" s="79" t="s">
        <v>104</v>
      </c>
      <c r="H302" s="23" t="str">
        <f>IFERROR(_xlfn.XLOOKUP(Table5[[#This Row],[Affected WTG]],'Basic Data'!$A:$A,'Basic Data'!$B:$B),"")</f>
        <v>PWEPL</v>
      </c>
      <c r="I302" s="23" t="str">
        <f>IFERROR(_xlfn.XLOOKUP(Table5[[#This Row],[Affected WTG]],'Basic Data'!$A:$A,'Basic Data'!$C:$C),"")</f>
        <v>MSEDCL</v>
      </c>
      <c r="J302" s="286">
        <f>IFERROR(_xlfn.XLOOKUP(Table5[[#This Row],[Affected WTG]],'Basic Data'!$A:$A,'Basic Data'!$E:$E),"")</f>
        <v>2.2727272727272728E-2</v>
      </c>
      <c r="K302" s="79">
        <v>269</v>
      </c>
      <c r="L302" s="23" t="str">
        <f>IFERROR(_xlfn.XLOOKUP(Table5[[#This Row],[Error Code]],'Basic Data'!$W:$W,'Basic Data'!$X:$X),"Incorrect Error Code")</f>
        <v>Reboot PLC</v>
      </c>
      <c r="M302" s="23" t="s">
        <v>348</v>
      </c>
      <c r="N302" s="23"/>
      <c r="O302" s="344">
        <v>0.68194444444444446</v>
      </c>
      <c r="P302" s="344">
        <v>0.68194444444444446</v>
      </c>
      <c r="Q302" s="344">
        <v>0.68888888888888899</v>
      </c>
      <c r="R302" s="341">
        <f>Q302-O302</f>
        <v>6.9444444444445308E-3</v>
      </c>
      <c r="S302" s="329">
        <f>(Table5[[#This Row],[Fault Clearance time]]-Table5[[#This Row],[Work Start TimeStamp]])*24</f>
        <v>0.16666666666666874</v>
      </c>
      <c r="T302" s="329">
        <f>(Table5[[#This Row],[Fault Clearance time]]-Table5[[#This Row],[Fault Start TimeStamp]])*24</f>
        <v>0.16666666666666874</v>
      </c>
      <c r="U302" s="23" t="s">
        <v>353</v>
      </c>
      <c r="V302" s="79" t="s">
        <v>339</v>
      </c>
      <c r="W302" s="289">
        <f>IFERROR(Table5[[#This Row],[Breakdown Time]]*Table5[[#This Row],[Plant Equivalent Weightage]],"")</f>
        <v>3.7878787878788353E-3</v>
      </c>
      <c r="X302" s="289" t="s">
        <v>343</v>
      </c>
      <c r="Y302" s="290" t="s">
        <v>79</v>
      </c>
      <c r="Z302" s="79"/>
      <c r="AA302" s="283">
        <v>13</v>
      </c>
      <c r="AB302" s="79"/>
      <c r="AC302" s="23"/>
      <c r="AD302" s="23"/>
    </row>
    <row r="303" spans="1:30">
      <c r="A303" s="79">
        <f t="shared" si="9"/>
        <v>302</v>
      </c>
      <c r="B303" s="283">
        <f>YEAR(Table5[[#This Row],[Date]])+IF(MONTH(Table5[[#This Row],[Date]])&gt;=4,1,0)</f>
        <v>2026</v>
      </c>
      <c r="C303" s="79">
        <f>YEAR(Table5[[#This Row],[Date]])</f>
        <v>2025</v>
      </c>
      <c r="D303" s="79" t="s">
        <v>344</v>
      </c>
      <c r="E303" s="284">
        <f>Table5[[#This Row],[Date]]-DAY(Table5[[#This Row],[Date]])+1</f>
        <v>45839</v>
      </c>
      <c r="F303" s="285">
        <v>45841</v>
      </c>
      <c r="G303" s="79" t="s">
        <v>109</v>
      </c>
      <c r="H303" s="23" t="str">
        <f>IFERROR(_xlfn.XLOOKUP(Table5[[#This Row],[Affected WTG]],'Basic Data'!$A:$A,'Basic Data'!$B:$B),"")</f>
        <v>PWEPL</v>
      </c>
      <c r="I303" s="23" t="str">
        <f>IFERROR(_xlfn.XLOOKUP(Table5[[#This Row],[Affected WTG]],'Basic Data'!$A:$A,'Basic Data'!$C:$C),"")</f>
        <v>MSEDCL</v>
      </c>
      <c r="J303" s="286">
        <f>IFERROR(_xlfn.XLOOKUP(Table5[[#This Row],[Affected WTG]],'Basic Data'!$A:$A,'Basic Data'!$E:$E),"")</f>
        <v>2.2727272727272728E-2</v>
      </c>
      <c r="K303" s="79">
        <v>3</v>
      </c>
      <c r="L303" s="23" t="str">
        <f>IFERROR(_xlfn.XLOOKUP(Table5[[#This Row],[Error Code]],'Basic Data'!$W:$W,'Basic Data'!$X:$X),"Incorrect Error Code")</f>
        <v>Manual Stop</v>
      </c>
      <c r="M303" s="23" t="s">
        <v>375</v>
      </c>
      <c r="N303" s="23"/>
      <c r="O303" s="287">
        <v>0.50624999999999998</v>
      </c>
      <c r="P303" s="287">
        <v>0.50624999999999998</v>
      </c>
      <c r="Q303" s="287">
        <v>0.52777777777777779</v>
      </c>
      <c r="R303" s="341">
        <f t="shared" ref="R303:R310" si="15">Q303-O303</f>
        <v>2.1527777777777812E-2</v>
      </c>
      <c r="S303" s="329">
        <f>(Table5[[#This Row],[Fault Clearance time]]-Table5[[#This Row],[Work Start TimeStamp]])*24</f>
        <v>0.5166666666666675</v>
      </c>
      <c r="T303" s="329">
        <f>(Table5[[#This Row],[Fault Clearance time]]-Table5[[#This Row],[Fault Start TimeStamp]])*24</f>
        <v>0.5166666666666675</v>
      </c>
      <c r="U303" s="23" t="s">
        <v>968</v>
      </c>
      <c r="V303" s="79" t="s">
        <v>339</v>
      </c>
      <c r="W303" s="289">
        <f>IFERROR(Table5[[#This Row],[Breakdown Time]]*Table5[[#This Row],[Plant Equivalent Weightage]],"")</f>
        <v>1.1742424242424261E-2</v>
      </c>
      <c r="X303" s="289" t="s">
        <v>343</v>
      </c>
      <c r="Y303" s="290" t="s">
        <v>114</v>
      </c>
      <c r="Z303" s="79"/>
      <c r="AA303" s="283">
        <v>980</v>
      </c>
      <c r="AB303" s="79"/>
      <c r="AC303" s="23"/>
      <c r="AD303" s="23"/>
    </row>
    <row r="304" spans="1:30">
      <c r="A304" s="79">
        <f t="shared" si="9"/>
        <v>303</v>
      </c>
      <c r="B304" s="283">
        <f>YEAR(Table5[[#This Row],[Date]])+IF(MONTH(Table5[[#This Row],[Date]])&gt;=4,1,0)</f>
        <v>2026</v>
      </c>
      <c r="C304" s="79">
        <f>YEAR(Table5[[#This Row],[Date]])</f>
        <v>2025</v>
      </c>
      <c r="D304" s="79" t="s">
        <v>344</v>
      </c>
      <c r="E304" s="284">
        <f>Table5[[#This Row],[Date]]-DAY(Table5[[#This Row],[Date]])+1</f>
        <v>45839</v>
      </c>
      <c r="F304" s="285">
        <v>45841</v>
      </c>
      <c r="G304" s="79" t="s">
        <v>109</v>
      </c>
      <c r="H304" s="23" t="str">
        <f>IFERROR(_xlfn.XLOOKUP(Table5[[#This Row],[Affected WTG]],'Basic Data'!$A:$A,'Basic Data'!$B:$B),"")</f>
        <v>PWEPL</v>
      </c>
      <c r="I304" s="23" t="str">
        <f>IFERROR(_xlfn.XLOOKUP(Table5[[#This Row],[Affected WTG]],'Basic Data'!$A:$A,'Basic Data'!$C:$C),"")</f>
        <v>MSEDCL</v>
      </c>
      <c r="J304" s="286">
        <f>IFERROR(_xlfn.XLOOKUP(Table5[[#This Row],[Affected WTG]],'Basic Data'!$A:$A,'Basic Data'!$E:$E),"")</f>
        <v>2.2727272727272728E-2</v>
      </c>
      <c r="K304" s="79">
        <v>3</v>
      </c>
      <c r="L304" s="23" t="str">
        <f>IFERROR(_xlfn.XLOOKUP(Table5[[#This Row],[Error Code]],'Basic Data'!$W:$W,'Basic Data'!$X:$X),"Incorrect Error Code")</f>
        <v>Manual Stop</v>
      </c>
      <c r="M304" s="23" t="s">
        <v>950</v>
      </c>
      <c r="N304" s="23"/>
      <c r="O304" s="287">
        <v>0.52777777777777779</v>
      </c>
      <c r="P304" s="287">
        <v>0.52777777777777779</v>
      </c>
      <c r="Q304" s="287">
        <v>0.52986111111111112</v>
      </c>
      <c r="R304" s="341">
        <f>Q304-O304</f>
        <v>2.0833333333333259E-3</v>
      </c>
      <c r="S304" s="329">
        <f>(Table5[[#This Row],[Fault Clearance time]]-Table5[[#This Row],[Work Start TimeStamp]])*24</f>
        <v>4.9999999999999822E-2</v>
      </c>
      <c r="T304" s="329">
        <f>(Table5[[#This Row],[Fault Clearance time]]-Table5[[#This Row],[Fault Start TimeStamp]])*24</f>
        <v>4.9999999999999822E-2</v>
      </c>
      <c r="U304" s="23" t="s">
        <v>950</v>
      </c>
      <c r="V304" s="79" t="s">
        <v>339</v>
      </c>
      <c r="W304" s="289">
        <f>IFERROR(Table5[[#This Row],[Breakdown Time]]*Table5[[#This Row],[Plant Equivalent Weightage]],"")</f>
        <v>1.1363636363636324E-3</v>
      </c>
      <c r="X304" s="289" t="s">
        <v>394</v>
      </c>
      <c r="Y304" s="290" t="s">
        <v>114</v>
      </c>
      <c r="Z304" s="79"/>
      <c r="AA304" s="283">
        <v>89</v>
      </c>
      <c r="AB304" s="79"/>
      <c r="AC304" s="23"/>
      <c r="AD304" s="23"/>
    </row>
    <row r="305" spans="1:30">
      <c r="A305" s="79">
        <f t="shared" si="9"/>
        <v>304</v>
      </c>
      <c r="B305" s="283">
        <f>YEAR(Table5[[#This Row],[Date]])+IF(MONTH(Table5[[#This Row],[Date]])&gt;=4,1,0)</f>
        <v>2026</v>
      </c>
      <c r="C305" s="79">
        <f>YEAR(Table5[[#This Row],[Date]])</f>
        <v>2025</v>
      </c>
      <c r="D305" s="79" t="s">
        <v>344</v>
      </c>
      <c r="E305" s="284">
        <f>Table5[[#This Row],[Date]]-DAY(Table5[[#This Row],[Date]])+1</f>
        <v>45839</v>
      </c>
      <c r="F305" s="285">
        <v>45841</v>
      </c>
      <c r="G305" s="79" t="s">
        <v>108</v>
      </c>
      <c r="H305" s="23" t="str">
        <f>IFERROR(_xlfn.XLOOKUP(Table5[[#This Row],[Affected WTG]],'Basic Data'!$A:$A,'Basic Data'!$B:$B),"")</f>
        <v>PWEPL</v>
      </c>
      <c r="I305" s="23" t="str">
        <f>IFERROR(_xlfn.XLOOKUP(Table5[[#This Row],[Affected WTG]],'Basic Data'!$A:$A,'Basic Data'!$C:$C),"")</f>
        <v>MSEDCL</v>
      </c>
      <c r="J305" s="286">
        <f>IFERROR(_xlfn.XLOOKUP(Table5[[#This Row],[Affected WTG]],'Basic Data'!$A:$A,'Basic Data'!$E:$E),"")</f>
        <v>2.2727272727272728E-2</v>
      </c>
      <c r="K305" s="79">
        <v>3</v>
      </c>
      <c r="L305" s="23" t="str">
        <f>IFERROR(_xlfn.XLOOKUP(Table5[[#This Row],[Error Code]],'Basic Data'!$W:$W,'Basic Data'!$X:$X),"Incorrect Error Code")</f>
        <v>Manual Stop</v>
      </c>
      <c r="M305" s="23" t="s">
        <v>954</v>
      </c>
      <c r="N305" s="23"/>
      <c r="O305" s="287">
        <v>0.59722222222222221</v>
      </c>
      <c r="P305" s="287">
        <v>0.59722222222222221</v>
      </c>
      <c r="Q305" s="287">
        <v>0.62569444444444444</v>
      </c>
      <c r="R305" s="341">
        <f t="shared" si="15"/>
        <v>2.8472222222222232E-2</v>
      </c>
      <c r="S305" s="329">
        <f>(Table5[[#This Row],[Fault Clearance time]]-Table5[[#This Row],[Work Start TimeStamp]])*24</f>
        <v>0.68333333333333357</v>
      </c>
      <c r="T305" s="329">
        <f>(Table5[[#This Row],[Fault Clearance time]]-Table5[[#This Row],[Fault Start TimeStamp]])*24</f>
        <v>0.68333333333333357</v>
      </c>
      <c r="U305" s="23" t="s">
        <v>970</v>
      </c>
      <c r="V305" s="79" t="s">
        <v>339</v>
      </c>
      <c r="W305" s="289">
        <f>IFERROR(Table5[[#This Row],[Breakdown Time]]*Table5[[#This Row],[Plant Equivalent Weightage]],"")</f>
        <v>1.5530303030303037E-2</v>
      </c>
      <c r="X305" s="289" t="s">
        <v>394</v>
      </c>
      <c r="Y305" s="290" t="s">
        <v>80</v>
      </c>
      <c r="Z305" s="79"/>
      <c r="AA305" s="283">
        <v>1200</v>
      </c>
      <c r="AB305" s="79"/>
      <c r="AC305" s="23"/>
      <c r="AD305" s="23"/>
    </row>
    <row r="306" spans="1:30">
      <c r="A306" s="79">
        <f t="shared" si="9"/>
        <v>305</v>
      </c>
      <c r="B306" s="283">
        <f>YEAR(Table5[[#This Row],[Date]])+IF(MONTH(Table5[[#This Row],[Date]])&gt;=4,1,0)</f>
        <v>2026</v>
      </c>
      <c r="C306" s="79">
        <f>YEAR(Table5[[#This Row],[Date]])</f>
        <v>2025</v>
      </c>
      <c r="D306" s="79" t="s">
        <v>344</v>
      </c>
      <c r="E306" s="284">
        <f>Table5[[#This Row],[Date]]-DAY(Table5[[#This Row],[Date]])+1</f>
        <v>45839</v>
      </c>
      <c r="F306" s="285">
        <v>45841</v>
      </c>
      <c r="G306" s="79" t="s">
        <v>108</v>
      </c>
      <c r="H306" s="23" t="str">
        <f>IFERROR(_xlfn.XLOOKUP(Table5[[#This Row],[Affected WTG]],'Basic Data'!$A:$A,'Basic Data'!$B:$B),"")</f>
        <v>PWEPL</v>
      </c>
      <c r="I306" s="23" t="str">
        <f>IFERROR(_xlfn.XLOOKUP(Table5[[#This Row],[Affected WTG]],'Basic Data'!$A:$A,'Basic Data'!$C:$C),"")</f>
        <v>MSEDCL</v>
      </c>
      <c r="J306" s="286">
        <f>IFERROR(_xlfn.XLOOKUP(Table5[[#This Row],[Affected WTG]],'Basic Data'!$A:$A,'Basic Data'!$E:$E),"")</f>
        <v>2.2727272727272728E-2</v>
      </c>
      <c r="K306" s="79">
        <v>3</v>
      </c>
      <c r="L306" s="23" t="str">
        <f>IFERROR(_xlfn.XLOOKUP(Table5[[#This Row],[Error Code]],'Basic Data'!$W:$W,'Basic Data'!$X:$X),"Incorrect Error Code")</f>
        <v>Manual Stop</v>
      </c>
      <c r="M306" s="23" t="s">
        <v>950</v>
      </c>
      <c r="N306" s="23"/>
      <c r="O306" s="287">
        <v>0.62569444444444444</v>
      </c>
      <c r="P306" s="287">
        <v>0.62569444444444444</v>
      </c>
      <c r="Q306" s="287">
        <v>0.62847222222222221</v>
      </c>
      <c r="R306" s="341">
        <f>Q306-O306</f>
        <v>2.7777777777777679E-3</v>
      </c>
      <c r="S306" s="329">
        <f>(Table5[[#This Row],[Fault Clearance time]]-Table5[[#This Row],[Work Start TimeStamp]])*24</f>
        <v>6.666666666666643E-2</v>
      </c>
      <c r="T306" s="329">
        <f>(Table5[[#This Row],[Fault Clearance time]]-Table5[[#This Row],[Fault Start TimeStamp]])*24</f>
        <v>6.666666666666643E-2</v>
      </c>
      <c r="U306" s="23" t="s">
        <v>950</v>
      </c>
      <c r="V306" s="79" t="s">
        <v>339</v>
      </c>
      <c r="W306" s="289">
        <f>IFERROR(Table5[[#This Row],[Breakdown Time]]*Table5[[#This Row],[Plant Equivalent Weightage]],"")</f>
        <v>1.5151515151515097E-3</v>
      </c>
      <c r="X306" s="289" t="s">
        <v>394</v>
      </c>
      <c r="Y306" s="290" t="s">
        <v>80</v>
      </c>
      <c r="Z306" s="79"/>
      <c r="AA306" s="283">
        <v>89</v>
      </c>
      <c r="AB306" s="79"/>
      <c r="AC306" s="23"/>
      <c r="AD306" s="23"/>
    </row>
    <row r="307" spans="1:30">
      <c r="A307" s="79">
        <f t="shared" si="9"/>
        <v>306</v>
      </c>
      <c r="B307" s="283">
        <f>YEAR(Table5[[#This Row],[Date]])+IF(MONTH(Table5[[#This Row],[Date]])&gt;=4,1,0)</f>
        <v>2026</v>
      </c>
      <c r="C307" s="79">
        <f>YEAR(Table5[[#This Row],[Date]])</f>
        <v>2025</v>
      </c>
      <c r="D307" s="79" t="s">
        <v>344</v>
      </c>
      <c r="E307" s="284">
        <f>Table5[[#This Row],[Date]]-DAY(Table5[[#This Row],[Date]])+1</f>
        <v>45839</v>
      </c>
      <c r="F307" s="285">
        <v>45841</v>
      </c>
      <c r="G307" s="79" t="s">
        <v>80</v>
      </c>
      <c r="H307" s="23" t="str">
        <f>IFERROR(_xlfn.XLOOKUP(Table5[[#This Row],[Affected WTG]],'Basic Data'!$A:$A,'Basic Data'!$B:$B),"")</f>
        <v>PWEPL</v>
      </c>
      <c r="I307" s="23" t="str">
        <f>IFERROR(_xlfn.XLOOKUP(Table5[[#This Row],[Affected WTG]],'Basic Data'!$A:$A,'Basic Data'!$C:$C),"")</f>
        <v>MSEDCL</v>
      </c>
      <c r="J307" s="286">
        <f>IFERROR(_xlfn.XLOOKUP(Table5[[#This Row],[Affected WTG]],'Basic Data'!$A:$A,'Basic Data'!$E:$E),"")</f>
        <v>2.2727272727272728E-2</v>
      </c>
      <c r="K307" s="79">
        <v>3</v>
      </c>
      <c r="L307" s="23" t="str">
        <f>IFERROR(_xlfn.XLOOKUP(Table5[[#This Row],[Error Code]],'Basic Data'!$W:$W,'Basic Data'!$X:$X),"Incorrect Error Code")</f>
        <v>Manual Stop</v>
      </c>
      <c r="M307" s="23" t="s">
        <v>950</v>
      </c>
      <c r="N307" s="23"/>
      <c r="O307" s="287">
        <v>0.54375000000000007</v>
      </c>
      <c r="P307" s="287">
        <v>0.54375000000000007</v>
      </c>
      <c r="Q307" s="287">
        <v>0.54652777777777783</v>
      </c>
      <c r="R307" s="341">
        <f t="shared" si="15"/>
        <v>2.7777777777777679E-3</v>
      </c>
      <c r="S307" s="329">
        <f>(Table5[[#This Row],[Fault Clearance time]]-Table5[[#This Row],[Work Start TimeStamp]])*24</f>
        <v>6.666666666666643E-2</v>
      </c>
      <c r="T307" s="329">
        <f>(Table5[[#This Row],[Fault Clearance time]]-Table5[[#This Row],[Fault Start TimeStamp]])*24</f>
        <v>6.666666666666643E-2</v>
      </c>
      <c r="U307" s="23" t="s">
        <v>950</v>
      </c>
      <c r="V307" s="79" t="s">
        <v>339</v>
      </c>
      <c r="W307" s="289">
        <f>IFERROR(Table5[[#This Row],[Breakdown Time]]*Table5[[#This Row],[Plant Equivalent Weightage]],"")</f>
        <v>1.5151515151515097E-3</v>
      </c>
      <c r="X307" s="289" t="s">
        <v>394</v>
      </c>
      <c r="Y307" s="290" t="s">
        <v>108</v>
      </c>
      <c r="Z307" s="79"/>
      <c r="AA307" s="283">
        <v>95</v>
      </c>
      <c r="AB307" s="79"/>
      <c r="AC307" s="23"/>
      <c r="AD307" s="23"/>
    </row>
    <row r="308" spans="1:30">
      <c r="A308" s="79">
        <f t="shared" si="9"/>
        <v>307</v>
      </c>
      <c r="B308" s="283">
        <f>YEAR(Table5[[#This Row],[Date]])+IF(MONTH(Table5[[#This Row],[Date]])&gt;=4,1,0)</f>
        <v>2026</v>
      </c>
      <c r="C308" s="79">
        <f>YEAR(Table5[[#This Row],[Date]])</f>
        <v>2025</v>
      </c>
      <c r="D308" s="79" t="s">
        <v>344</v>
      </c>
      <c r="E308" s="284">
        <f>Table5[[#This Row],[Date]]-DAY(Table5[[#This Row],[Date]])+1</f>
        <v>45839</v>
      </c>
      <c r="F308" s="285">
        <v>45841</v>
      </c>
      <c r="G308" s="79" t="s">
        <v>107</v>
      </c>
      <c r="H308" s="23" t="str">
        <f>IFERROR(_xlfn.XLOOKUP(Table5[[#This Row],[Affected WTG]],'Basic Data'!$A:$A,'Basic Data'!$B:$B),"")</f>
        <v>PWEPL</v>
      </c>
      <c r="I308" s="23" t="str">
        <f>IFERROR(_xlfn.XLOOKUP(Table5[[#This Row],[Affected WTG]],'Basic Data'!$A:$A,'Basic Data'!$C:$C),"")</f>
        <v>MSEDCL</v>
      </c>
      <c r="J308" s="286">
        <f>IFERROR(_xlfn.XLOOKUP(Table5[[#This Row],[Affected WTG]],'Basic Data'!$A:$A,'Basic Data'!$E:$E),"")</f>
        <v>2.2727272727272728E-2</v>
      </c>
      <c r="K308" s="79">
        <v>3</v>
      </c>
      <c r="L308" s="23" t="str">
        <f>IFERROR(_xlfn.XLOOKUP(Table5[[#This Row],[Error Code]],'Basic Data'!$W:$W,'Basic Data'!$X:$X),"Incorrect Error Code")</f>
        <v>Manual Stop</v>
      </c>
      <c r="M308" s="23" t="s">
        <v>950</v>
      </c>
      <c r="N308" s="23"/>
      <c r="O308" s="287">
        <v>0.5625</v>
      </c>
      <c r="P308" s="287">
        <v>0.5625</v>
      </c>
      <c r="Q308" s="287">
        <v>0.56527777777777777</v>
      </c>
      <c r="R308" s="341">
        <f>Q308-O308</f>
        <v>2.7777777777777679E-3</v>
      </c>
      <c r="S308" s="329">
        <f>(Table5[[#This Row],[Fault Clearance time]]-Table5[[#This Row],[Work Start TimeStamp]])*24</f>
        <v>6.666666666666643E-2</v>
      </c>
      <c r="T308" s="329">
        <f>(Table5[[#This Row],[Fault Clearance time]]-Table5[[#This Row],[Fault Start TimeStamp]])*24</f>
        <v>6.666666666666643E-2</v>
      </c>
      <c r="U308" s="23" t="s">
        <v>950</v>
      </c>
      <c r="V308" s="79" t="s">
        <v>339</v>
      </c>
      <c r="W308" s="289">
        <f>IFERROR(Table5[[#This Row],[Breakdown Time]]*Table5[[#This Row],[Plant Equivalent Weightage]],"")</f>
        <v>1.5151515151515097E-3</v>
      </c>
      <c r="X308" s="289" t="s">
        <v>394</v>
      </c>
      <c r="Y308" s="290" t="s">
        <v>80</v>
      </c>
      <c r="Z308" s="79"/>
      <c r="AA308" s="283">
        <v>95</v>
      </c>
      <c r="AB308" s="79"/>
      <c r="AC308" s="23"/>
      <c r="AD308" s="23"/>
    </row>
    <row r="309" spans="1:30">
      <c r="A309" s="79">
        <f t="shared" si="9"/>
        <v>308</v>
      </c>
      <c r="B309" s="283">
        <f>YEAR(Table5[[#This Row],[Date]])+IF(MONTH(Table5[[#This Row],[Date]])&gt;=4,1,0)</f>
        <v>2026</v>
      </c>
      <c r="C309" s="79">
        <f>YEAR(Table5[[#This Row],[Date]])</f>
        <v>2025</v>
      </c>
      <c r="D309" s="79" t="s">
        <v>344</v>
      </c>
      <c r="E309" s="284">
        <f>Table5[[#This Row],[Date]]-DAY(Table5[[#This Row],[Date]])+1</f>
        <v>45839</v>
      </c>
      <c r="F309" s="285">
        <v>45841</v>
      </c>
      <c r="G309" s="79" t="s">
        <v>86</v>
      </c>
      <c r="H309" s="23" t="str">
        <f>IFERROR(_xlfn.XLOOKUP(Table5[[#This Row],[Affected WTG]],'Basic Data'!$A:$A,'Basic Data'!$B:$B),"")</f>
        <v>PWEPL</v>
      </c>
      <c r="I309" s="23" t="str">
        <f>IFERROR(_xlfn.XLOOKUP(Table5[[#This Row],[Affected WTG]],'Basic Data'!$A:$A,'Basic Data'!$C:$C),"")</f>
        <v>MSEDCL</v>
      </c>
      <c r="J309" s="286">
        <f>IFERROR(_xlfn.XLOOKUP(Table5[[#This Row],[Affected WTG]],'Basic Data'!$A:$A,'Basic Data'!$E:$E),"")</f>
        <v>2.2727272727272728E-2</v>
      </c>
      <c r="K309" s="79">
        <v>276</v>
      </c>
      <c r="L309" s="23" t="str">
        <f>IFERROR(_xlfn.XLOOKUP(Table5[[#This Row],[Error Code]],'Basic Data'!$W:$W,'Basic Data'!$X:$X),"Incorrect Error Code")</f>
        <v>Pitch thyristor 3 fault</v>
      </c>
      <c r="M309" s="23" t="s">
        <v>153</v>
      </c>
      <c r="N309" s="23"/>
      <c r="O309" s="287">
        <v>0.91041666666666676</v>
      </c>
      <c r="P309" s="287">
        <v>0.91041666666666676</v>
      </c>
      <c r="Q309" s="287">
        <v>0.91736111111111107</v>
      </c>
      <c r="R309" s="341">
        <f t="shared" si="15"/>
        <v>6.9444444444443088E-3</v>
      </c>
      <c r="S309" s="329">
        <f>(Table5[[#This Row],[Fault Clearance time]]-Table5[[#This Row],[Work Start TimeStamp]])*24</f>
        <v>0.16666666666666341</v>
      </c>
      <c r="T309" s="329">
        <f>(Table5[[#This Row],[Fault Clearance time]]-Table5[[#This Row],[Fault Start TimeStamp]])*24</f>
        <v>0.16666666666666341</v>
      </c>
      <c r="U309" s="23" t="s">
        <v>353</v>
      </c>
      <c r="V309" s="79" t="s">
        <v>339</v>
      </c>
      <c r="W309" s="289">
        <f>IFERROR(Table5[[#This Row],[Breakdown Time]]*Table5[[#This Row],[Plant Equivalent Weightage]],"")</f>
        <v>3.7878787878787138E-3</v>
      </c>
      <c r="X309" s="289" t="s">
        <v>343</v>
      </c>
      <c r="Y309" s="290" t="s">
        <v>85</v>
      </c>
      <c r="Z309" s="79"/>
      <c r="AA309" s="283">
        <v>509</v>
      </c>
      <c r="AB309" s="79"/>
      <c r="AC309" s="23"/>
      <c r="AD309" s="23"/>
    </row>
    <row r="310" spans="1:30">
      <c r="A310" s="79">
        <f t="shared" si="9"/>
        <v>309</v>
      </c>
      <c r="B310" s="283">
        <f>YEAR(Table5[[#This Row],[Date]])+IF(MONTH(Table5[[#This Row],[Date]])&gt;=4,1,0)</f>
        <v>2026</v>
      </c>
      <c r="C310" s="79">
        <f>YEAR(Table5[[#This Row],[Date]])</f>
        <v>2025</v>
      </c>
      <c r="D310" s="79" t="s">
        <v>344</v>
      </c>
      <c r="E310" s="284">
        <f>Table5[[#This Row],[Date]]-DAY(Table5[[#This Row],[Date]])+1</f>
        <v>45839</v>
      </c>
      <c r="F310" s="285">
        <v>45841</v>
      </c>
      <c r="G310" s="79" t="s">
        <v>85</v>
      </c>
      <c r="H310" s="23" t="str">
        <f>IFERROR(_xlfn.XLOOKUP(Table5[[#This Row],[Affected WTG]],'Basic Data'!$A:$A,'Basic Data'!$B:$B),"")</f>
        <v>PWEPL</v>
      </c>
      <c r="I310" s="23" t="str">
        <f>IFERROR(_xlfn.XLOOKUP(Table5[[#This Row],[Affected WTG]],'Basic Data'!$A:$A,'Basic Data'!$C:$C),"")</f>
        <v>MSEDCL</v>
      </c>
      <c r="J310" s="286">
        <f>IFERROR(_xlfn.XLOOKUP(Table5[[#This Row],[Affected WTG]],'Basic Data'!$A:$A,'Basic Data'!$E:$E),"")</f>
        <v>2.2727272727272728E-2</v>
      </c>
      <c r="K310" s="79">
        <v>201</v>
      </c>
      <c r="L310" s="23" t="str">
        <f>IFERROR(_xlfn.XLOOKUP(Table5[[#This Row],[Error Code]],'Basic Data'!$W:$W,'Basic Data'!$X:$X),"Incorrect Error Code")</f>
        <v xml:space="preserve"> PLC fault 24V Supply</v>
      </c>
      <c r="M310" s="23" t="s">
        <v>967</v>
      </c>
      <c r="N310" s="23"/>
      <c r="O310" s="287">
        <v>0.63611111111111118</v>
      </c>
      <c r="P310" s="287">
        <v>0.63611111111111118</v>
      </c>
      <c r="Q310" s="287">
        <v>0.65902777777777777</v>
      </c>
      <c r="R310" s="341">
        <f t="shared" si="15"/>
        <v>2.2916666666666585E-2</v>
      </c>
      <c r="S310" s="329">
        <f>(Table5[[#This Row],[Fault Clearance time]]-Table5[[#This Row],[Work Start TimeStamp]])*24</f>
        <v>0.54999999999999805</v>
      </c>
      <c r="T310" s="329">
        <f>(Table5[[#This Row],[Fault Clearance time]]-Table5[[#This Row],[Fault Start TimeStamp]])*24</f>
        <v>0.54999999999999805</v>
      </c>
      <c r="U310" s="23" t="s">
        <v>969</v>
      </c>
      <c r="V310" s="79" t="s">
        <v>339</v>
      </c>
      <c r="W310" s="289">
        <f>IFERROR(Table5[[#This Row],[Breakdown Time]]*Table5[[#This Row],[Plant Equivalent Weightage]],"")</f>
        <v>1.2499999999999956E-2</v>
      </c>
      <c r="X310" s="289" t="s">
        <v>343</v>
      </c>
      <c r="Y310" s="290" t="s">
        <v>84</v>
      </c>
      <c r="Z310" s="79"/>
      <c r="AA310" s="283">
        <v>449</v>
      </c>
      <c r="AB310" s="79"/>
      <c r="AC310" s="23"/>
      <c r="AD310" s="23"/>
    </row>
    <row r="311" spans="1:30">
      <c r="A311" s="79">
        <f t="shared" si="9"/>
        <v>310</v>
      </c>
      <c r="B311" s="283">
        <f>YEAR(Table5[[#This Row],[Date]])+IF(MONTH(Table5[[#This Row],[Date]])&gt;=4,1,0)</f>
        <v>2026</v>
      </c>
      <c r="C311" s="79">
        <f>YEAR(Table5[[#This Row],[Date]])</f>
        <v>2025</v>
      </c>
      <c r="D311" s="79" t="s">
        <v>344</v>
      </c>
      <c r="E311" s="284">
        <f>Table5[[#This Row],[Date]]-DAY(Table5[[#This Row],[Date]])+1</f>
        <v>45839</v>
      </c>
      <c r="F311" s="285">
        <v>45842</v>
      </c>
      <c r="G311" s="79" t="s">
        <v>77</v>
      </c>
      <c r="H311" s="23" t="str">
        <f>IFERROR(_xlfn.XLOOKUP(Table5[[#This Row],[Affected WTG]],'Basic Data'!$A:$A,'Basic Data'!$B:$B),"")</f>
        <v>PWEPL</v>
      </c>
      <c r="I311" s="23" t="str">
        <f>IFERROR(_xlfn.XLOOKUP(Table5[[#This Row],[Affected WTG]],'Basic Data'!$A:$A,'Basic Data'!$C:$C),"")</f>
        <v>MSEDCL</v>
      </c>
      <c r="J311" s="286">
        <f>IFERROR(_xlfn.XLOOKUP(Table5[[#This Row],[Affected WTG]],'Basic Data'!$A:$A,'Basic Data'!$E:$E),"")</f>
        <v>2.2727272727272728E-2</v>
      </c>
      <c r="K311" s="79">
        <v>3</v>
      </c>
      <c r="L311" s="23" t="str">
        <f>IFERROR(_xlfn.XLOOKUP(Table5[[#This Row],[Error Code]],'Basic Data'!$W:$W,'Basic Data'!$X:$X),"Incorrect Error Code")</f>
        <v>Manual Stop</v>
      </c>
      <c r="M311" s="23" t="s">
        <v>950</v>
      </c>
      <c r="N311" s="23"/>
      <c r="O311" s="287">
        <v>0.625</v>
      </c>
      <c r="P311" s="287">
        <v>0.625</v>
      </c>
      <c r="Q311" s="287">
        <v>0.62777777777777777</v>
      </c>
      <c r="R311" s="341">
        <f t="shared" ref="R311:R316" si="16">Q311-O311</f>
        <v>2.7777777777777679E-3</v>
      </c>
      <c r="S311" s="353">
        <f>(Table5[[#This Row],[Fault Clearance time]]-Table5[[#This Row],[Work Start TimeStamp]])*24</f>
        <v>6.666666666666643E-2</v>
      </c>
      <c r="T311" s="353">
        <f>(Table5[[#This Row],[Fault Clearance time]]-Table5[[#This Row],[Fault Start TimeStamp]])*24</f>
        <v>6.666666666666643E-2</v>
      </c>
      <c r="U311" s="23" t="s">
        <v>950</v>
      </c>
      <c r="V311" s="79" t="s">
        <v>339</v>
      </c>
      <c r="W311" s="354">
        <f>IFERROR(Table5[[#This Row],[Breakdown Time]]*Table5[[#This Row],[Plant Equivalent Weightage]],"")</f>
        <v>1.5151515151515097E-3</v>
      </c>
      <c r="X311" s="289" t="s">
        <v>394</v>
      </c>
      <c r="Y311" s="290" t="s">
        <v>93</v>
      </c>
      <c r="Z311" s="79"/>
      <c r="AA311" s="283">
        <v>93</v>
      </c>
      <c r="AB311" s="79"/>
      <c r="AC311" s="23"/>
      <c r="AD311" s="23"/>
    </row>
    <row r="312" spans="1:30">
      <c r="A312" s="79">
        <f t="shared" si="9"/>
        <v>311</v>
      </c>
      <c r="B312" s="283">
        <f>YEAR(Table5[[#This Row],[Date]])+IF(MONTH(Table5[[#This Row],[Date]])&gt;=4,1,0)</f>
        <v>2026</v>
      </c>
      <c r="C312" s="79">
        <f>YEAR(Table5[[#This Row],[Date]])</f>
        <v>2025</v>
      </c>
      <c r="D312" s="79" t="s">
        <v>344</v>
      </c>
      <c r="E312" s="284">
        <f>Table5[[#This Row],[Date]]-DAY(Table5[[#This Row],[Date]])+1</f>
        <v>45839</v>
      </c>
      <c r="F312" s="285">
        <v>45842</v>
      </c>
      <c r="G312" s="79" t="s">
        <v>78</v>
      </c>
      <c r="H312" s="23" t="str">
        <f>IFERROR(_xlfn.XLOOKUP(Table5[[#This Row],[Affected WTG]],'Basic Data'!$A:$A,'Basic Data'!$B:$B),"")</f>
        <v>PWEPL</v>
      </c>
      <c r="I312" s="23" t="str">
        <f>IFERROR(_xlfn.XLOOKUP(Table5[[#This Row],[Affected WTG]],'Basic Data'!$A:$A,'Basic Data'!$C:$C),"")</f>
        <v>MSEDCL</v>
      </c>
      <c r="J312" s="286">
        <f>IFERROR(_xlfn.XLOOKUP(Table5[[#This Row],[Affected WTG]],'Basic Data'!$A:$A,'Basic Data'!$E:$E),"")</f>
        <v>2.2727272727272728E-2</v>
      </c>
      <c r="K312" s="79">
        <v>3</v>
      </c>
      <c r="L312" s="23" t="str">
        <f>IFERROR(_xlfn.XLOOKUP(Table5[[#This Row],[Error Code]],'Basic Data'!$W:$W,'Basic Data'!$X:$X),"Incorrect Error Code")</f>
        <v>Manual Stop</v>
      </c>
      <c r="M312" s="23" t="s">
        <v>950</v>
      </c>
      <c r="N312" s="23"/>
      <c r="O312" s="287">
        <v>0.63749999999999996</v>
      </c>
      <c r="P312" s="287">
        <v>0.63749999999999996</v>
      </c>
      <c r="Q312" s="287">
        <v>0.64027777777777772</v>
      </c>
      <c r="R312" s="341">
        <f t="shared" si="16"/>
        <v>2.7777777777777679E-3</v>
      </c>
      <c r="S312" s="353">
        <f>(Table5[[#This Row],[Fault Clearance time]]-Table5[[#This Row],[Work Start TimeStamp]])*24</f>
        <v>6.666666666666643E-2</v>
      </c>
      <c r="T312" s="353">
        <f>(Table5[[#This Row],[Fault Clearance time]]-Table5[[#This Row],[Fault Start TimeStamp]])*24</f>
        <v>6.666666666666643E-2</v>
      </c>
      <c r="U312" s="23" t="s">
        <v>950</v>
      </c>
      <c r="V312" s="79" t="s">
        <v>339</v>
      </c>
      <c r="W312" s="354">
        <f>IFERROR(Table5[[#This Row],[Breakdown Time]]*Table5[[#This Row],[Plant Equivalent Weightage]],"")</f>
        <v>1.5151515151515097E-3</v>
      </c>
      <c r="X312" s="289" t="s">
        <v>394</v>
      </c>
      <c r="Y312" s="290" t="s">
        <v>102</v>
      </c>
      <c r="Z312" s="79"/>
      <c r="AA312" s="283">
        <v>93</v>
      </c>
      <c r="AB312" s="79"/>
      <c r="AC312" s="23"/>
      <c r="AD312" s="23"/>
    </row>
    <row r="313" spans="1:30">
      <c r="A313" s="79">
        <f t="shared" si="9"/>
        <v>312</v>
      </c>
      <c r="B313" s="283">
        <f>YEAR(Table5[[#This Row],[Date]])+IF(MONTH(Table5[[#This Row],[Date]])&gt;=4,1,0)</f>
        <v>2026</v>
      </c>
      <c r="C313" s="79">
        <f>YEAR(Table5[[#This Row],[Date]])</f>
        <v>2025</v>
      </c>
      <c r="D313" s="79" t="s">
        <v>344</v>
      </c>
      <c r="E313" s="284">
        <f>Table5[[#This Row],[Date]]-DAY(Table5[[#This Row],[Date]])+1</f>
        <v>45839</v>
      </c>
      <c r="F313" s="285">
        <v>45842</v>
      </c>
      <c r="G313" s="79" t="s">
        <v>93</v>
      </c>
      <c r="H313" s="23" t="str">
        <f>IFERROR(_xlfn.XLOOKUP(Table5[[#This Row],[Affected WTG]],'Basic Data'!$A:$A,'Basic Data'!$B:$B),"")</f>
        <v>PWEPL</v>
      </c>
      <c r="I313" s="23" t="str">
        <f>IFERROR(_xlfn.XLOOKUP(Table5[[#This Row],[Affected WTG]],'Basic Data'!$A:$A,'Basic Data'!$C:$C),"")</f>
        <v>MSEDCL</v>
      </c>
      <c r="J313" s="286">
        <f>IFERROR(_xlfn.XLOOKUP(Table5[[#This Row],[Affected WTG]],'Basic Data'!$A:$A,'Basic Data'!$E:$E),"")</f>
        <v>2.2727272727272728E-2</v>
      </c>
      <c r="K313" s="79">
        <v>3</v>
      </c>
      <c r="L313" s="23" t="str">
        <f>IFERROR(_xlfn.XLOOKUP(Table5[[#This Row],[Error Code]],'Basic Data'!$W:$W,'Basic Data'!$X:$X),"Incorrect Error Code")</f>
        <v>Manual Stop</v>
      </c>
      <c r="M313" s="23" t="s">
        <v>950</v>
      </c>
      <c r="N313" s="23"/>
      <c r="O313" s="287">
        <v>0.65138888888888891</v>
      </c>
      <c r="P313" s="287">
        <v>0.65138888888888891</v>
      </c>
      <c r="Q313" s="287">
        <v>0.65347222222222223</v>
      </c>
      <c r="R313" s="341">
        <f t="shared" si="16"/>
        <v>2.0833333333333259E-3</v>
      </c>
      <c r="S313" s="353">
        <f>(Table5[[#This Row],[Fault Clearance time]]-Table5[[#This Row],[Work Start TimeStamp]])*24</f>
        <v>4.9999999999999822E-2</v>
      </c>
      <c r="T313" s="353">
        <f>(Table5[[#This Row],[Fault Clearance time]]-Table5[[#This Row],[Fault Start TimeStamp]])*24</f>
        <v>4.9999999999999822E-2</v>
      </c>
      <c r="U313" s="23" t="s">
        <v>950</v>
      </c>
      <c r="V313" s="79" t="s">
        <v>339</v>
      </c>
      <c r="W313" s="354">
        <f>IFERROR(Table5[[#This Row],[Breakdown Time]]*Table5[[#This Row],[Plant Equivalent Weightage]],"")</f>
        <v>1.1363636363636324E-3</v>
      </c>
      <c r="X313" s="289" t="s">
        <v>394</v>
      </c>
      <c r="Y313" s="290" t="s">
        <v>77</v>
      </c>
      <c r="Z313" s="79"/>
      <c r="AA313" s="283">
        <v>70</v>
      </c>
      <c r="AB313" s="79"/>
      <c r="AC313" s="23"/>
      <c r="AD313" s="23"/>
    </row>
    <row r="314" spans="1:30">
      <c r="A314" s="79">
        <f t="shared" si="9"/>
        <v>313</v>
      </c>
      <c r="B314" s="283">
        <f>YEAR(Table5[[#This Row],[Date]])+IF(MONTH(Table5[[#This Row],[Date]])&gt;=4,1,0)</f>
        <v>2026</v>
      </c>
      <c r="C314" s="79">
        <f>YEAR(Table5[[#This Row],[Date]])</f>
        <v>2025</v>
      </c>
      <c r="D314" s="79" t="s">
        <v>344</v>
      </c>
      <c r="E314" s="284">
        <f>Table5[[#This Row],[Date]]-DAY(Table5[[#This Row],[Date]])+1</f>
        <v>45839</v>
      </c>
      <c r="F314" s="285">
        <v>45842</v>
      </c>
      <c r="G314" s="79" t="s">
        <v>102</v>
      </c>
      <c r="H314" s="23" t="str">
        <f>IFERROR(_xlfn.XLOOKUP(Table5[[#This Row],[Affected WTG]],'Basic Data'!$A:$A,'Basic Data'!$B:$B),"")</f>
        <v>PWEPL</v>
      </c>
      <c r="I314" s="23" t="str">
        <f>IFERROR(_xlfn.XLOOKUP(Table5[[#This Row],[Affected WTG]],'Basic Data'!$A:$A,'Basic Data'!$C:$C),"")</f>
        <v>MSEDCL</v>
      </c>
      <c r="J314" s="286">
        <f>IFERROR(_xlfn.XLOOKUP(Table5[[#This Row],[Affected WTG]],'Basic Data'!$A:$A,'Basic Data'!$E:$E),"")</f>
        <v>2.2727272727272728E-2</v>
      </c>
      <c r="K314" s="79">
        <v>3</v>
      </c>
      <c r="L314" s="23" t="str">
        <f>IFERROR(_xlfn.XLOOKUP(Table5[[#This Row],[Error Code]],'Basic Data'!$W:$W,'Basic Data'!$X:$X),"Incorrect Error Code")</f>
        <v>Manual Stop</v>
      </c>
      <c r="M314" s="23" t="s">
        <v>950</v>
      </c>
      <c r="N314" s="23"/>
      <c r="O314" s="287">
        <v>0.64861111111111114</v>
      </c>
      <c r="P314" s="287">
        <v>0.64861111111111114</v>
      </c>
      <c r="Q314" s="287">
        <v>0.65347222222222223</v>
      </c>
      <c r="R314" s="341">
        <f t="shared" si="16"/>
        <v>4.8611111111110938E-3</v>
      </c>
      <c r="S314" s="353">
        <f>(Table5[[#This Row],[Fault Clearance time]]-Table5[[#This Row],[Work Start TimeStamp]])*24</f>
        <v>0.11666666666666625</v>
      </c>
      <c r="T314" s="353">
        <f>(Table5[[#This Row],[Fault Clearance time]]-Table5[[#This Row],[Fault Start TimeStamp]])*24</f>
        <v>0.11666666666666625</v>
      </c>
      <c r="U314" s="23" t="s">
        <v>950</v>
      </c>
      <c r="V314" s="79" t="s">
        <v>339</v>
      </c>
      <c r="W314" s="354">
        <f>IFERROR(Table5[[#This Row],[Breakdown Time]]*Table5[[#This Row],[Plant Equivalent Weightage]],"")</f>
        <v>2.6515151515151421E-3</v>
      </c>
      <c r="X314" s="289" t="s">
        <v>394</v>
      </c>
      <c r="Y314" s="290" t="s">
        <v>78</v>
      </c>
      <c r="Z314" s="79"/>
      <c r="AA314" s="283">
        <v>70</v>
      </c>
      <c r="AB314" s="79"/>
      <c r="AC314" s="23"/>
      <c r="AD314" s="23"/>
    </row>
    <row r="315" spans="1:30">
      <c r="A315" s="79">
        <f t="shared" si="9"/>
        <v>314</v>
      </c>
      <c r="B315" s="283">
        <f>YEAR(Table5[[#This Row],[Date]])+IF(MONTH(Table5[[#This Row],[Date]])&gt;=4,1,0)</f>
        <v>2026</v>
      </c>
      <c r="C315" s="79">
        <f>YEAR(Table5[[#This Row],[Date]])</f>
        <v>2025</v>
      </c>
      <c r="D315" s="79" t="s">
        <v>344</v>
      </c>
      <c r="E315" s="284">
        <f>Table5[[#This Row],[Date]]-DAY(Table5[[#This Row],[Date]])+1</f>
        <v>45839</v>
      </c>
      <c r="F315" s="285">
        <v>45842</v>
      </c>
      <c r="G315" s="79" t="s">
        <v>76</v>
      </c>
      <c r="H315" s="23" t="str">
        <f>IFERROR(_xlfn.XLOOKUP(Table5[[#This Row],[Affected WTG]],'Basic Data'!$A:$A,'Basic Data'!$B:$B),"")</f>
        <v>PWEPL</v>
      </c>
      <c r="I315" s="23" t="str">
        <f>IFERROR(_xlfn.XLOOKUP(Table5[[#This Row],[Affected WTG]],'Basic Data'!$A:$A,'Basic Data'!$C:$C),"")</f>
        <v>MSEDCL</v>
      </c>
      <c r="J315" s="286">
        <f>IFERROR(_xlfn.XLOOKUP(Table5[[#This Row],[Affected WTG]],'Basic Data'!$A:$A,'Basic Data'!$E:$E),"")</f>
        <v>2.2727272727272728E-2</v>
      </c>
      <c r="K315" s="79">
        <v>201</v>
      </c>
      <c r="L315" s="23" t="str">
        <f>IFERROR(_xlfn.XLOOKUP(Table5[[#This Row],[Error Code]],'Basic Data'!$W:$W,'Basic Data'!$X:$X),"Incorrect Error Code")</f>
        <v xml:space="preserve"> PLC fault 24V Supply</v>
      </c>
      <c r="M315" s="23" t="s">
        <v>967</v>
      </c>
      <c r="N315" s="23"/>
      <c r="O315" s="287">
        <v>0.95902777777777781</v>
      </c>
      <c r="P315" s="287">
        <v>0.95902777777777781</v>
      </c>
      <c r="Q315" s="287">
        <v>0.99930555555555556</v>
      </c>
      <c r="R315" s="341">
        <f t="shared" si="16"/>
        <v>4.0277777777777746E-2</v>
      </c>
      <c r="S315" s="353">
        <f>(Table5[[#This Row],[Fault Clearance time]]-Table5[[#This Row],[Work Start TimeStamp]])*24</f>
        <v>0.9666666666666659</v>
      </c>
      <c r="T315" s="353">
        <f>(Table5[[#This Row],[Fault Clearance time]]-Table5[[#This Row],[Fault Start TimeStamp]])*24</f>
        <v>0.9666666666666659</v>
      </c>
      <c r="U315" s="23" t="s">
        <v>456</v>
      </c>
      <c r="V315" s="79" t="s">
        <v>339</v>
      </c>
      <c r="W315" s="354">
        <f>IFERROR(Table5[[#This Row],[Breakdown Time]]*Table5[[#This Row],[Plant Equivalent Weightage]],"")</f>
        <v>2.1969696969696952E-2</v>
      </c>
      <c r="X315" s="289" t="s">
        <v>343</v>
      </c>
      <c r="Y315" s="290" t="s">
        <v>82</v>
      </c>
      <c r="Z315" s="79"/>
      <c r="AA315" s="283">
        <v>1866</v>
      </c>
      <c r="AB315" s="79"/>
      <c r="AC315" s="23"/>
      <c r="AD315" s="23"/>
    </row>
    <row r="316" spans="1:30">
      <c r="A316" s="79">
        <f t="shared" si="9"/>
        <v>315</v>
      </c>
      <c r="B316" s="283">
        <f>YEAR(Table5[[#This Row],[Date]])+IF(MONTH(Table5[[#This Row],[Date]])&gt;=4,1,0)</f>
        <v>2026</v>
      </c>
      <c r="C316" s="79">
        <f>YEAR(Table5[[#This Row],[Date]])</f>
        <v>2025</v>
      </c>
      <c r="D316" s="79" t="s">
        <v>344</v>
      </c>
      <c r="E316" s="284">
        <f>Table5[[#This Row],[Date]]-DAY(Table5[[#This Row],[Date]])+1</f>
        <v>45839</v>
      </c>
      <c r="F316" s="285">
        <v>45842</v>
      </c>
      <c r="G316" s="79" t="s">
        <v>96</v>
      </c>
      <c r="H316" s="23" t="str">
        <f>IFERROR(_xlfn.XLOOKUP(Table5[[#This Row],[Affected WTG]],'Basic Data'!$A:$A,'Basic Data'!$B:$B),"")</f>
        <v>PWEPL</v>
      </c>
      <c r="I316" s="23" t="str">
        <f>IFERROR(_xlfn.XLOOKUP(Table5[[#This Row],[Affected WTG]],'Basic Data'!$A:$A,'Basic Data'!$C:$C),"")</f>
        <v>MSEDCL</v>
      </c>
      <c r="J316" s="286">
        <f>IFERROR(_xlfn.XLOOKUP(Table5[[#This Row],[Affected WTG]],'Basic Data'!$A:$A,'Basic Data'!$E:$E),"")</f>
        <v>2.2727272727272728E-2</v>
      </c>
      <c r="K316" s="79">
        <v>77</v>
      </c>
      <c r="L316" s="23" t="str">
        <f>IFERROR(_xlfn.XLOOKUP(Table5[[#This Row],[Error Code]],'Basic Data'!$W:$W,'Basic Data'!$X:$X),"Incorrect Error Code")</f>
        <v>Gearbox oil overtemperature</v>
      </c>
      <c r="M316" s="23" t="s">
        <v>943</v>
      </c>
      <c r="N316" s="23"/>
      <c r="O316" s="287">
        <v>0.66180555555555554</v>
      </c>
      <c r="P316" s="287">
        <v>0.66180555555555554</v>
      </c>
      <c r="Q316" s="287">
        <v>0.7</v>
      </c>
      <c r="R316" s="341">
        <f t="shared" si="16"/>
        <v>3.819444444444442E-2</v>
      </c>
      <c r="S316" s="353">
        <f>(Table5[[#This Row],[Fault Clearance time]]-Table5[[#This Row],[Work Start TimeStamp]])*24</f>
        <v>0.91666666666666607</v>
      </c>
      <c r="T316" s="353">
        <f>(Table5[[#This Row],[Fault Clearance time]]-Table5[[#This Row],[Fault Start TimeStamp]])*24</f>
        <v>0.91666666666666607</v>
      </c>
      <c r="U316" s="23" t="s">
        <v>868</v>
      </c>
      <c r="V316" s="79" t="s">
        <v>339</v>
      </c>
      <c r="W316" s="354">
        <f>IFERROR(Table5[[#This Row],[Breakdown Time]]*Table5[[#This Row],[Plant Equivalent Weightage]],"")</f>
        <v>2.0833333333333322E-2</v>
      </c>
      <c r="X316" s="289" t="s">
        <v>343</v>
      </c>
      <c r="Y316" s="290" t="s">
        <v>79</v>
      </c>
      <c r="Z316" s="79"/>
      <c r="AA316" s="283">
        <v>1137</v>
      </c>
      <c r="AB316" s="79"/>
      <c r="AC316" s="23"/>
      <c r="AD316" s="23"/>
    </row>
    <row r="317" spans="1:30">
      <c r="A317" s="79">
        <f t="shared" si="9"/>
        <v>316</v>
      </c>
      <c r="B317" s="283">
        <f>YEAR(Table5[[#This Row],[Date]])+IF(MONTH(Table5[[#This Row],[Date]])&gt;=4,1,0)</f>
        <v>2026</v>
      </c>
      <c r="C317" s="79">
        <f>YEAR(Table5[[#This Row],[Date]])</f>
        <v>2025</v>
      </c>
      <c r="D317" s="79" t="s">
        <v>344</v>
      </c>
      <c r="E317" s="284">
        <f>Table5[[#This Row],[Date]]-DAY(Table5[[#This Row],[Date]])+1</f>
        <v>45839</v>
      </c>
      <c r="F317" s="285">
        <v>45843</v>
      </c>
      <c r="G317" s="79" t="s">
        <v>76</v>
      </c>
      <c r="H317" s="23" t="str">
        <f>IFERROR(_xlfn.XLOOKUP(Table5[[#This Row],[Affected WTG]],'Basic Data'!$A:$A,'Basic Data'!$B:$B),"")</f>
        <v>PWEPL</v>
      </c>
      <c r="I317" s="23" t="str">
        <f>IFERROR(_xlfn.XLOOKUP(Table5[[#This Row],[Affected WTG]],'Basic Data'!$A:$A,'Basic Data'!$C:$C),"")</f>
        <v>MSEDCL</v>
      </c>
      <c r="J317" s="286">
        <f>IFERROR(_xlfn.XLOOKUP(Table5[[#This Row],[Affected WTG]],'Basic Data'!$A:$A,'Basic Data'!$E:$E),"")</f>
        <v>2.2727272727272728E-2</v>
      </c>
      <c r="K317" s="79">
        <v>201</v>
      </c>
      <c r="L317" s="23" t="str">
        <f>IFERROR(_xlfn.XLOOKUP(Table5[[#This Row],[Error Code]],'Basic Data'!$W:$W,'Basic Data'!$X:$X),"Incorrect Error Code")</f>
        <v xml:space="preserve"> PLC fault 24V Supply</v>
      </c>
      <c r="M317" s="23" t="s">
        <v>967</v>
      </c>
      <c r="N317" s="23"/>
      <c r="O317" s="355">
        <v>0</v>
      </c>
      <c r="P317" s="355">
        <v>0</v>
      </c>
      <c r="Q317" s="355">
        <v>6.8749999999999992E-2</v>
      </c>
      <c r="R317" s="341">
        <f t="shared" ref="R317:R321" si="17">Q317-O317</f>
        <v>6.8749999999999992E-2</v>
      </c>
      <c r="S317" s="353">
        <f>(Table5[[#This Row],[Fault Clearance time]]-Table5[[#This Row],[Work Start TimeStamp]])*24</f>
        <v>1.65</v>
      </c>
      <c r="T317" s="353">
        <f>(Table5[[#This Row],[Fault Clearance time]]-Table5[[#This Row],[Fault Start TimeStamp]])*24</f>
        <v>1.65</v>
      </c>
      <c r="U317" s="23" t="s">
        <v>882</v>
      </c>
      <c r="V317" s="79" t="s">
        <v>339</v>
      </c>
      <c r="W317" s="354">
        <f>IFERROR(Table5[[#This Row],[Breakdown Time]]*Table5[[#This Row],[Plant Equivalent Weightage]],"")</f>
        <v>3.7499999999999999E-2</v>
      </c>
      <c r="X317" s="289" t="s">
        <v>343</v>
      </c>
      <c r="Y317" s="290" t="s">
        <v>82</v>
      </c>
      <c r="Z317" s="79"/>
      <c r="AA317" s="283">
        <v>2833</v>
      </c>
      <c r="AB317" s="79"/>
      <c r="AC317" s="23"/>
      <c r="AD317" s="23"/>
    </row>
    <row r="318" spans="1:30">
      <c r="A318" s="79">
        <f t="shared" si="9"/>
        <v>317</v>
      </c>
      <c r="B318" s="283">
        <f>YEAR(Table5[[#This Row],[Date]])+IF(MONTH(Table5[[#This Row],[Date]])&gt;=4,1,0)</f>
        <v>2026</v>
      </c>
      <c r="C318" s="79">
        <f>YEAR(Table5[[#This Row],[Date]])</f>
        <v>2025</v>
      </c>
      <c r="D318" s="79" t="s">
        <v>344</v>
      </c>
      <c r="E318" s="284">
        <f>Table5[[#This Row],[Date]]-DAY(Table5[[#This Row],[Date]])+1</f>
        <v>45839</v>
      </c>
      <c r="F318" s="285">
        <v>45843</v>
      </c>
      <c r="G318" s="79" t="s">
        <v>77</v>
      </c>
      <c r="H318" s="23" t="str">
        <f>IFERROR(_xlfn.XLOOKUP(Table5[[#This Row],[Affected WTG]],'Basic Data'!$A:$A,'Basic Data'!$B:$B),"")</f>
        <v>PWEPL</v>
      </c>
      <c r="I318" s="23" t="str">
        <f>IFERROR(_xlfn.XLOOKUP(Table5[[#This Row],[Affected WTG]],'Basic Data'!$A:$A,'Basic Data'!$C:$C),"")</f>
        <v>MSEDCL</v>
      </c>
      <c r="J318" s="286">
        <f>IFERROR(_xlfn.XLOOKUP(Table5[[#This Row],[Affected WTG]],'Basic Data'!$A:$A,'Basic Data'!$E:$E),"")</f>
        <v>2.2727272727272728E-2</v>
      </c>
      <c r="K318" s="79">
        <v>77</v>
      </c>
      <c r="L318" s="23" t="str">
        <f>IFERROR(_xlfn.XLOOKUP(Table5[[#This Row],[Error Code]],'Basic Data'!$W:$W,'Basic Data'!$X:$X),"Incorrect Error Code")</f>
        <v>Gearbox oil overtemperature</v>
      </c>
      <c r="M318" s="23" t="s">
        <v>943</v>
      </c>
      <c r="N318" s="23"/>
      <c r="O318" s="355">
        <v>5.6250000000000001E-2</v>
      </c>
      <c r="P318" s="355">
        <v>5.6250000000000001E-2</v>
      </c>
      <c r="Q318" s="355">
        <v>0.18611111111111112</v>
      </c>
      <c r="R318" s="341">
        <f t="shared" si="17"/>
        <v>0.12986111111111112</v>
      </c>
      <c r="S318" s="353">
        <f>(Table5[[#This Row],[Fault Clearance time]]-Table5[[#This Row],[Work Start TimeStamp]])*24</f>
        <v>3.1166666666666671</v>
      </c>
      <c r="T318" s="353">
        <f>(Table5[[#This Row],[Fault Clearance time]]-Table5[[#This Row],[Fault Start TimeStamp]])*24</f>
        <v>3.1166666666666671</v>
      </c>
      <c r="U318" s="23" t="s">
        <v>944</v>
      </c>
      <c r="V318" s="79" t="s">
        <v>339</v>
      </c>
      <c r="W318" s="354">
        <f>IFERROR(Table5[[#This Row],[Breakdown Time]]*Table5[[#This Row],[Plant Equivalent Weightage]],"")</f>
        <v>7.0833333333333345E-2</v>
      </c>
      <c r="X318" s="289" t="s">
        <v>343</v>
      </c>
      <c r="Y318" s="290" t="s">
        <v>93</v>
      </c>
      <c r="Z318" s="79"/>
      <c r="AA318" s="283">
        <v>5277</v>
      </c>
      <c r="AB318" s="79"/>
      <c r="AC318" s="23"/>
      <c r="AD318" s="23"/>
    </row>
    <row r="319" spans="1:30">
      <c r="A319" s="79">
        <f t="shared" si="9"/>
        <v>318</v>
      </c>
      <c r="B319" s="283">
        <f>YEAR(Table5[[#This Row],[Date]])+IF(MONTH(Table5[[#This Row],[Date]])&gt;=4,1,0)</f>
        <v>2026</v>
      </c>
      <c r="C319" s="79">
        <f>YEAR(Table5[[#This Row],[Date]])</f>
        <v>2025</v>
      </c>
      <c r="D319" s="79" t="s">
        <v>344</v>
      </c>
      <c r="E319" s="284">
        <f>Table5[[#This Row],[Date]]-DAY(Table5[[#This Row],[Date]])+1</f>
        <v>45839</v>
      </c>
      <c r="F319" s="285">
        <v>45843</v>
      </c>
      <c r="G319" s="79" t="s">
        <v>107</v>
      </c>
      <c r="H319" s="23" t="str">
        <f>IFERROR(_xlfn.XLOOKUP(Table5[[#This Row],[Affected WTG]],'Basic Data'!$A:$A,'Basic Data'!$B:$B),"")</f>
        <v>PWEPL</v>
      </c>
      <c r="I319" s="23" t="str">
        <f>IFERROR(_xlfn.XLOOKUP(Table5[[#This Row],[Affected WTG]],'Basic Data'!$A:$A,'Basic Data'!$C:$C),"")</f>
        <v>MSEDCL</v>
      </c>
      <c r="J319" s="286">
        <f>IFERROR(_xlfn.XLOOKUP(Table5[[#This Row],[Affected WTG]],'Basic Data'!$A:$A,'Basic Data'!$E:$E),"")</f>
        <v>2.2727272727272728E-2</v>
      </c>
      <c r="K319" s="79">
        <v>275</v>
      </c>
      <c r="L319" s="23" t="str">
        <f>IFERROR(_xlfn.XLOOKUP(Table5[[#This Row],[Error Code]],'Basic Data'!$W:$W,'Basic Data'!$X:$X),"Incorrect Error Code")</f>
        <v>Pitch thyristor 2 fault</v>
      </c>
      <c r="M319" s="23" t="s">
        <v>162</v>
      </c>
      <c r="N319" s="23"/>
      <c r="O319" s="355">
        <v>0.1076388888888889</v>
      </c>
      <c r="P319" s="355">
        <v>0.1076388888888889</v>
      </c>
      <c r="Q319" s="355">
        <v>0.59097222222222223</v>
      </c>
      <c r="R319" s="341">
        <f t="shared" si="17"/>
        <v>0.48333333333333334</v>
      </c>
      <c r="S319" s="353">
        <f>(Table5[[#This Row],[Fault Clearance time]]-Table5[[#This Row],[Work Start TimeStamp]])*24</f>
        <v>11.6</v>
      </c>
      <c r="T319" s="353">
        <f>(Table5[[#This Row],[Fault Clearance time]]-Table5[[#This Row],[Fault Start TimeStamp]])*24</f>
        <v>11.6</v>
      </c>
      <c r="U319" s="23" t="s">
        <v>971</v>
      </c>
      <c r="V319" s="79" t="s">
        <v>339</v>
      </c>
      <c r="W319" s="354">
        <f>IFERROR(Table5[[#This Row],[Breakdown Time]]*Table5[[#This Row],[Plant Equivalent Weightage]],"")</f>
        <v>0.26363636363636361</v>
      </c>
      <c r="X319" s="289" t="s">
        <v>343</v>
      </c>
      <c r="Y319" s="290" t="s">
        <v>80</v>
      </c>
      <c r="Z319" s="79"/>
      <c r="AA319" s="283">
        <v>17981</v>
      </c>
      <c r="AB319" s="79"/>
      <c r="AC319" s="23"/>
      <c r="AD319" s="23"/>
    </row>
    <row r="320" spans="1:30">
      <c r="A320" s="79">
        <f t="shared" si="9"/>
        <v>319</v>
      </c>
      <c r="B320" s="283">
        <f>YEAR(Table5[[#This Row],[Date]])+IF(MONTH(Table5[[#This Row],[Date]])&gt;=4,1,0)</f>
        <v>2026</v>
      </c>
      <c r="C320" s="79">
        <f>YEAR(Table5[[#This Row],[Date]])</f>
        <v>2025</v>
      </c>
      <c r="D320" s="79" t="s">
        <v>344</v>
      </c>
      <c r="E320" s="284">
        <f>Table5[[#This Row],[Date]]-DAY(Table5[[#This Row],[Date]])+1</f>
        <v>45839</v>
      </c>
      <c r="F320" s="285">
        <v>45843</v>
      </c>
      <c r="G320" s="79" t="s">
        <v>99</v>
      </c>
      <c r="H320" s="23" t="str">
        <f>IFERROR(_xlfn.XLOOKUP(Table5[[#This Row],[Affected WTG]],'Basic Data'!$A:$A,'Basic Data'!$B:$B),"")</f>
        <v>PWEPL</v>
      </c>
      <c r="I320" s="23" t="str">
        <f>IFERROR(_xlfn.XLOOKUP(Table5[[#This Row],[Affected WTG]],'Basic Data'!$A:$A,'Basic Data'!$C:$C),"")</f>
        <v>MSEDCL</v>
      </c>
      <c r="J320" s="286">
        <f>IFERROR(_xlfn.XLOOKUP(Table5[[#This Row],[Affected WTG]],'Basic Data'!$A:$A,'Basic Data'!$E:$E),"")</f>
        <v>2.2727272727272728E-2</v>
      </c>
      <c r="K320" s="79">
        <v>77</v>
      </c>
      <c r="L320" s="23" t="str">
        <f>IFERROR(_xlfn.XLOOKUP(Table5[[#This Row],[Error Code]],'Basic Data'!$W:$W,'Basic Data'!$X:$X),"Incorrect Error Code")</f>
        <v>Gearbox oil overtemperature</v>
      </c>
      <c r="M320" s="23" t="s">
        <v>943</v>
      </c>
      <c r="N320" s="23"/>
      <c r="O320" s="355">
        <v>0.31180555555555556</v>
      </c>
      <c r="P320" s="355">
        <v>0.31180555555555556</v>
      </c>
      <c r="Q320" s="355">
        <v>0.3611111111111111</v>
      </c>
      <c r="R320" s="341">
        <f t="shared" si="17"/>
        <v>4.9305555555555547E-2</v>
      </c>
      <c r="S320" s="353">
        <f>(Table5[[#This Row],[Fault Clearance time]]-Table5[[#This Row],[Work Start TimeStamp]])*24</f>
        <v>1.1833333333333331</v>
      </c>
      <c r="T320" s="353">
        <f>(Table5[[#This Row],[Fault Clearance time]]-Table5[[#This Row],[Fault Start TimeStamp]])*24</f>
        <v>1.1833333333333331</v>
      </c>
      <c r="U320" s="23" t="s">
        <v>353</v>
      </c>
      <c r="V320" s="79" t="s">
        <v>339</v>
      </c>
      <c r="W320" s="354">
        <f>IFERROR(Table5[[#This Row],[Breakdown Time]]*Table5[[#This Row],[Plant Equivalent Weightage]],"")</f>
        <v>2.689393939393939E-2</v>
      </c>
      <c r="X320" s="289" t="s">
        <v>343</v>
      </c>
      <c r="Y320" s="290" t="s">
        <v>98</v>
      </c>
      <c r="Z320" s="79"/>
      <c r="AA320" s="283">
        <v>1972</v>
      </c>
      <c r="AB320" s="79"/>
      <c r="AC320" s="23"/>
      <c r="AD320" s="23"/>
    </row>
    <row r="321" spans="1:30">
      <c r="A321" s="79">
        <f t="shared" si="9"/>
        <v>320</v>
      </c>
      <c r="B321" s="283">
        <f>YEAR(Table5[[#This Row],[Date]])+IF(MONTH(Table5[[#This Row],[Date]])&gt;=4,1,0)</f>
        <v>2026</v>
      </c>
      <c r="C321" s="79">
        <f>YEAR(Table5[[#This Row],[Date]])</f>
        <v>2025</v>
      </c>
      <c r="D321" s="79" t="s">
        <v>344</v>
      </c>
      <c r="E321" s="284">
        <f>Table5[[#This Row],[Date]]-DAY(Table5[[#This Row],[Date]])+1</f>
        <v>45839</v>
      </c>
      <c r="F321" s="285">
        <v>45843</v>
      </c>
      <c r="G321" s="79" t="s">
        <v>99</v>
      </c>
      <c r="H321" s="23" t="str">
        <f>IFERROR(_xlfn.XLOOKUP(Table5[[#This Row],[Affected WTG]],'Basic Data'!$A:$A,'Basic Data'!$B:$B),"")</f>
        <v>PWEPL</v>
      </c>
      <c r="I321" s="23" t="str">
        <f>IFERROR(_xlfn.XLOOKUP(Table5[[#This Row],[Affected WTG]],'Basic Data'!$A:$A,'Basic Data'!$C:$C),"")</f>
        <v>MSEDCL</v>
      </c>
      <c r="J321" s="286">
        <f>IFERROR(_xlfn.XLOOKUP(Table5[[#This Row],[Affected WTG]],'Basic Data'!$A:$A,'Basic Data'!$E:$E),"")</f>
        <v>2.2727272727272728E-2</v>
      </c>
      <c r="K321" s="79">
        <v>77</v>
      </c>
      <c r="L321" s="23" t="str">
        <f>IFERROR(_xlfn.XLOOKUP(Table5[[#This Row],[Error Code]],'Basic Data'!$W:$W,'Basic Data'!$X:$X),"Incorrect Error Code")</f>
        <v>Gearbox oil overtemperature</v>
      </c>
      <c r="M321" s="23" t="s">
        <v>943</v>
      </c>
      <c r="N321" s="23"/>
      <c r="O321" s="355">
        <v>0.37708333333333338</v>
      </c>
      <c r="P321" s="355">
        <v>0.37708333333333338</v>
      </c>
      <c r="Q321" s="355">
        <v>0.58611111111111114</v>
      </c>
      <c r="R321" s="341">
        <f t="shared" si="17"/>
        <v>0.20902777777777776</v>
      </c>
      <c r="S321" s="353">
        <f>(Table5[[#This Row],[Fault Clearance time]]-Table5[[#This Row],[Work Start TimeStamp]])*24</f>
        <v>5.0166666666666657</v>
      </c>
      <c r="T321" s="353">
        <f>(Table5[[#This Row],[Fault Clearance time]]-Table5[[#This Row],[Fault Start TimeStamp]])*24</f>
        <v>5.0166666666666657</v>
      </c>
      <c r="U321" s="23" t="s">
        <v>972</v>
      </c>
      <c r="V321" s="79" t="s">
        <v>339</v>
      </c>
      <c r="W321" s="354">
        <f>IFERROR(Table5[[#This Row],[Breakdown Time]]*Table5[[#This Row],[Plant Equivalent Weightage]],"")</f>
        <v>0.1140151515151515</v>
      </c>
      <c r="X321" s="289" t="s">
        <v>343</v>
      </c>
      <c r="Y321" s="290" t="s">
        <v>98</v>
      </c>
      <c r="Z321" s="79"/>
      <c r="AA321" s="283">
        <v>7062</v>
      </c>
      <c r="AB321" s="79"/>
      <c r="AC321" s="23"/>
      <c r="AD321" s="23"/>
    </row>
    <row r="322" spans="1:30">
      <c r="A322" s="79">
        <f t="shared" si="9"/>
        <v>321</v>
      </c>
      <c r="B322" s="283">
        <f>YEAR(Table5[[#This Row],[Date]])+IF(MONTH(Table5[[#This Row],[Date]])&gt;=4,1,0)</f>
        <v>2026</v>
      </c>
      <c r="C322" s="79">
        <f>YEAR(Table5[[#This Row],[Date]])</f>
        <v>2025</v>
      </c>
      <c r="D322" s="79" t="s">
        <v>344</v>
      </c>
      <c r="E322" s="284">
        <f>Table5[[#This Row],[Date]]-DAY(Table5[[#This Row],[Date]])+1</f>
        <v>45839</v>
      </c>
      <c r="F322" s="285">
        <v>45844</v>
      </c>
      <c r="G322" s="79" t="s">
        <v>108</v>
      </c>
      <c r="H322" s="23" t="str">
        <f>IFERROR(_xlfn.XLOOKUP(Table5[[#This Row],[Affected WTG]],'Basic Data'!$A:$A,'Basic Data'!$B:$B),"")</f>
        <v>PWEPL</v>
      </c>
      <c r="I322" s="23" t="str">
        <f>IFERROR(_xlfn.XLOOKUP(Table5[[#This Row],[Affected WTG]],'Basic Data'!$A:$A,'Basic Data'!$C:$C),"")</f>
        <v>MSEDCL</v>
      </c>
      <c r="J322" s="286">
        <f>IFERROR(_xlfn.XLOOKUP(Table5[[#This Row],[Affected WTG]],'Basic Data'!$A:$A,'Basic Data'!$E:$E),"")</f>
        <v>2.2727272727272728E-2</v>
      </c>
      <c r="K322" s="79">
        <v>3</v>
      </c>
      <c r="L322" s="23" t="str">
        <f>IFERROR(_xlfn.XLOOKUP(Table5[[#This Row],[Error Code]],'Basic Data'!$W:$W,'Basic Data'!$X:$X),"Incorrect Error Code")</f>
        <v>Manual Stop</v>
      </c>
      <c r="M322" s="23" t="s">
        <v>973</v>
      </c>
      <c r="N322" s="23"/>
      <c r="O322" s="355">
        <v>0.72361111111111109</v>
      </c>
      <c r="P322" s="355">
        <v>0.72361111111111109</v>
      </c>
      <c r="Q322" s="355">
        <v>0.7284722222222223</v>
      </c>
      <c r="R322" s="341">
        <f t="shared" ref="R322:R323" si="18">Q322-O322</f>
        <v>4.8611111111112049E-3</v>
      </c>
      <c r="S322" s="353">
        <f>(Table5[[#This Row],[Fault Clearance time]]-Table5[[#This Row],[Work Start TimeStamp]])*24</f>
        <v>0.11666666666666892</v>
      </c>
      <c r="T322" s="353">
        <f>(Table5[[#This Row],[Fault Clearance time]]-Table5[[#This Row],[Fault Start TimeStamp]])*24</f>
        <v>0.11666666666666892</v>
      </c>
      <c r="U322" s="23" t="s">
        <v>974</v>
      </c>
      <c r="V322" s="79" t="s">
        <v>339</v>
      </c>
      <c r="W322" s="354">
        <f>IFERROR(Table5[[#This Row],[Breakdown Time]]*Table5[[#This Row],[Plant Equivalent Weightage]],"")</f>
        <v>2.6515151515152028E-3</v>
      </c>
      <c r="X322" s="289" t="s">
        <v>394</v>
      </c>
      <c r="Y322" s="290" t="s">
        <v>80</v>
      </c>
      <c r="Z322" s="79"/>
      <c r="AA322" s="283">
        <v>265</v>
      </c>
      <c r="AB322" s="79"/>
      <c r="AC322" s="23"/>
      <c r="AD322" s="23"/>
    </row>
    <row r="323" spans="1:30">
      <c r="A323" s="79">
        <f t="shared" si="9"/>
        <v>322</v>
      </c>
      <c r="B323" s="283">
        <f>YEAR(Table5[[#This Row],[Date]])+IF(MONTH(Table5[[#This Row],[Date]])&gt;=4,1,0)</f>
        <v>2026</v>
      </c>
      <c r="C323" s="79">
        <f>YEAR(Table5[[#This Row],[Date]])</f>
        <v>2025</v>
      </c>
      <c r="D323" s="79" t="s">
        <v>344</v>
      </c>
      <c r="E323" s="284">
        <f>Table5[[#This Row],[Date]]-DAY(Table5[[#This Row],[Date]])+1</f>
        <v>45839</v>
      </c>
      <c r="F323" s="285">
        <v>45844</v>
      </c>
      <c r="G323" s="79" t="s">
        <v>83</v>
      </c>
      <c r="H323" s="23" t="str">
        <f>IFERROR(_xlfn.XLOOKUP(Table5[[#This Row],[Affected WTG]],'Basic Data'!$A:$A,'Basic Data'!$B:$B),"")</f>
        <v>PWEPL</v>
      </c>
      <c r="I323" s="23" t="str">
        <f>IFERROR(_xlfn.XLOOKUP(Table5[[#This Row],[Affected WTG]],'Basic Data'!$A:$A,'Basic Data'!$C:$C),"")</f>
        <v>MSEDCL</v>
      </c>
      <c r="J323" s="286">
        <f>IFERROR(_xlfn.XLOOKUP(Table5[[#This Row],[Affected WTG]],'Basic Data'!$A:$A,'Basic Data'!$E:$E),"")</f>
        <v>2.2727272727272728E-2</v>
      </c>
      <c r="K323" s="79">
        <v>430</v>
      </c>
      <c r="L323" s="23" t="str">
        <f>IFERROR(_xlfn.XLOOKUP(Table5[[#This Row],[Error Code]],'Basic Data'!$W:$W,'Basic Data'!$X:$X),"Incorrect Error Code")</f>
        <v xml:space="preserve">Yaw tooth sensor 1 timeout </v>
      </c>
      <c r="M323" s="23" t="s">
        <v>377</v>
      </c>
      <c r="N323" s="23"/>
      <c r="O323" s="355">
        <v>0.84930555555555554</v>
      </c>
      <c r="P323" s="355">
        <v>0.84930555555555554</v>
      </c>
      <c r="Q323" s="355">
        <v>0.85763888888888884</v>
      </c>
      <c r="R323" s="341">
        <f t="shared" si="18"/>
        <v>8.3333333333333037E-3</v>
      </c>
      <c r="S323" s="353">
        <f>(Table5[[#This Row],[Fault Clearance time]]-Table5[[#This Row],[Work Start TimeStamp]])*24</f>
        <v>0.19999999999999929</v>
      </c>
      <c r="T323" s="353">
        <f>(Table5[[#This Row],[Fault Clearance time]]-Table5[[#This Row],[Fault Start TimeStamp]])*24</f>
        <v>0.19999999999999929</v>
      </c>
      <c r="U323" s="23" t="s">
        <v>353</v>
      </c>
      <c r="V323" s="79" t="s">
        <v>339</v>
      </c>
      <c r="W323" s="354">
        <f>IFERROR(Table5[[#This Row],[Breakdown Time]]*Table5[[#This Row],[Plant Equivalent Weightage]],"")</f>
        <v>4.5454545454545296E-3</v>
      </c>
      <c r="X323" s="289" t="s">
        <v>343</v>
      </c>
      <c r="Y323" s="290" t="s">
        <v>98</v>
      </c>
      <c r="Z323" s="79"/>
      <c r="AA323" s="283">
        <v>202</v>
      </c>
      <c r="AB323" s="79"/>
      <c r="AC323" s="23"/>
      <c r="AD323" s="23"/>
    </row>
    <row r="324" spans="1:30">
      <c r="A324" s="79">
        <f t="shared" si="9"/>
        <v>323</v>
      </c>
      <c r="B324" s="283">
        <f>YEAR(Table5[[#This Row],[Date]])+IF(MONTH(Table5[[#This Row],[Date]])&gt;=4,1,0)</f>
        <v>2026</v>
      </c>
      <c r="C324" s="79">
        <f>YEAR(Table5[[#This Row],[Date]])</f>
        <v>2025</v>
      </c>
      <c r="D324" s="79" t="s">
        <v>344</v>
      </c>
      <c r="E324" s="284">
        <f>Table5[[#This Row],[Date]]-DAY(Table5[[#This Row],[Date]])+1</f>
        <v>45839</v>
      </c>
      <c r="F324" s="285">
        <v>45845</v>
      </c>
      <c r="G324" s="79" t="s">
        <v>83</v>
      </c>
      <c r="H324" s="23" t="str">
        <f>IFERROR(_xlfn.XLOOKUP(Table5[[#This Row],[Affected WTG]],'Basic Data'!$A:$A,'Basic Data'!$B:$B),"")</f>
        <v>PWEPL</v>
      </c>
      <c r="I324" s="23" t="str">
        <f>IFERROR(_xlfn.XLOOKUP(Table5[[#This Row],[Affected WTG]],'Basic Data'!$A:$A,'Basic Data'!$C:$C),"")</f>
        <v>MSEDCL</v>
      </c>
      <c r="J324" s="286">
        <f>IFERROR(_xlfn.XLOOKUP(Table5[[#This Row],[Affected WTG]],'Basic Data'!$A:$A,'Basic Data'!$E:$E),"")</f>
        <v>2.2727272727272728E-2</v>
      </c>
      <c r="K324" s="79">
        <v>430</v>
      </c>
      <c r="L324" s="23" t="str">
        <f>IFERROR(_xlfn.XLOOKUP(Table5[[#This Row],[Error Code]],'Basic Data'!$W:$W,'Basic Data'!$X:$X),"Incorrect Error Code")</f>
        <v xml:space="preserve">Yaw tooth sensor 1 timeout </v>
      </c>
      <c r="M324" s="23" t="s">
        <v>377</v>
      </c>
      <c r="N324" s="23"/>
      <c r="O324" s="355">
        <v>9.5138888888888884E-2</v>
      </c>
      <c r="P324" s="355">
        <v>9.5138888888888884E-2</v>
      </c>
      <c r="Q324" s="355">
        <v>0.125</v>
      </c>
      <c r="R324" s="341">
        <f t="shared" ref="R324:R330" si="19">Q324-O324</f>
        <v>2.9861111111111116E-2</v>
      </c>
      <c r="S324" s="353">
        <f>(Table5[[#This Row],[Fault Clearance time]]-Table5[[#This Row],[Work Start TimeStamp]])*24</f>
        <v>0.71666666666666679</v>
      </c>
      <c r="T324" s="353">
        <f>(Table5[[#This Row],[Fault Clearance time]]-Table5[[#This Row],[Fault Start TimeStamp]])*24</f>
        <v>0.71666666666666679</v>
      </c>
      <c r="U324" s="23" t="s">
        <v>799</v>
      </c>
      <c r="V324" s="79" t="s">
        <v>339</v>
      </c>
      <c r="W324" s="354">
        <f>IFERROR(Table5[[#This Row],[Breakdown Time]]*Table5[[#This Row],[Plant Equivalent Weightage]],"")</f>
        <v>1.6287878787878792E-2</v>
      </c>
      <c r="X324" s="289" t="s">
        <v>343</v>
      </c>
      <c r="Y324" s="290" t="s">
        <v>98</v>
      </c>
      <c r="Z324" s="79"/>
      <c r="AA324" s="283">
        <v>1288</v>
      </c>
      <c r="AB324" s="79"/>
      <c r="AC324" s="23"/>
      <c r="AD324" s="23"/>
    </row>
    <row r="325" spans="1:30">
      <c r="A325" s="79">
        <f t="shared" ref="A325:A388" si="20">A324+1</f>
        <v>324</v>
      </c>
      <c r="B325" s="283">
        <f>YEAR(Table5[[#This Row],[Date]])+IF(MONTH(Table5[[#This Row],[Date]])&gt;=4,1,0)</f>
        <v>2026</v>
      </c>
      <c r="C325" s="79">
        <f>YEAR(Table5[[#This Row],[Date]])</f>
        <v>2025</v>
      </c>
      <c r="D325" s="79" t="s">
        <v>344</v>
      </c>
      <c r="E325" s="284">
        <f>Table5[[#This Row],[Date]]-DAY(Table5[[#This Row],[Date]])+1</f>
        <v>45839</v>
      </c>
      <c r="F325" s="285">
        <v>45845</v>
      </c>
      <c r="G325" s="79" t="s">
        <v>119</v>
      </c>
      <c r="H325" s="23" t="str">
        <f>IFERROR(_xlfn.XLOOKUP(Table5[[#This Row],[Affected WTG]],'Basic Data'!$A:$A,'Basic Data'!$B:$B),"")</f>
        <v>PWEPL</v>
      </c>
      <c r="I325" s="23" t="str">
        <f>IFERROR(_xlfn.XLOOKUP(Table5[[#This Row],[Affected WTG]],'Basic Data'!$A:$A,'Basic Data'!$C:$C),"")</f>
        <v>MSEDCL</v>
      </c>
      <c r="J325" s="286">
        <f>IFERROR(_xlfn.XLOOKUP(Table5[[#This Row],[Affected WTG]],'Basic Data'!$A:$A,'Basic Data'!$E:$E),"")</f>
        <v>2.2727272727272728E-2</v>
      </c>
      <c r="K325" s="79">
        <v>3</v>
      </c>
      <c r="L325" s="23" t="str">
        <f>IFERROR(_xlfn.XLOOKUP(Table5[[#This Row],[Error Code]],'Basic Data'!$W:$W,'Basic Data'!$X:$X),"Incorrect Error Code")</f>
        <v>Manual Stop</v>
      </c>
      <c r="M325" s="23" t="s">
        <v>950</v>
      </c>
      <c r="N325" s="23"/>
      <c r="O325" s="355">
        <v>0.63194444444444442</v>
      </c>
      <c r="P325" s="355">
        <v>0.63194444444444442</v>
      </c>
      <c r="Q325" s="355">
        <v>0.63402777777777775</v>
      </c>
      <c r="R325" s="341">
        <f t="shared" si="19"/>
        <v>2.0833333333333259E-3</v>
      </c>
      <c r="S325" s="353">
        <f>(Table5[[#This Row],[Fault Clearance time]]-Table5[[#This Row],[Work Start TimeStamp]])*24</f>
        <v>4.9999999999999822E-2</v>
      </c>
      <c r="T325" s="353">
        <f>(Table5[[#This Row],[Fault Clearance time]]-Table5[[#This Row],[Fault Start TimeStamp]])*24</f>
        <v>4.9999999999999822E-2</v>
      </c>
      <c r="U325" s="23" t="s">
        <v>950</v>
      </c>
      <c r="V325" s="79" t="s">
        <v>339</v>
      </c>
      <c r="W325" s="354">
        <f>IFERROR(Table5[[#This Row],[Breakdown Time]]*Table5[[#This Row],[Plant Equivalent Weightage]],"")</f>
        <v>1.1363636363636324E-3</v>
      </c>
      <c r="X325" s="289" t="s">
        <v>394</v>
      </c>
      <c r="Y325" s="290" t="s">
        <v>118</v>
      </c>
      <c r="Z325" s="79"/>
      <c r="AA325" s="283">
        <v>270</v>
      </c>
      <c r="AB325" s="79"/>
      <c r="AC325" s="23"/>
      <c r="AD325" s="23"/>
    </row>
    <row r="326" spans="1:30">
      <c r="A326" s="79">
        <f t="shared" si="20"/>
        <v>325</v>
      </c>
      <c r="B326" s="283">
        <f>YEAR(Table5[[#This Row],[Date]])+IF(MONTH(Table5[[#This Row],[Date]])&gt;=4,1,0)</f>
        <v>2026</v>
      </c>
      <c r="C326" s="79">
        <f>YEAR(Table5[[#This Row],[Date]])</f>
        <v>2025</v>
      </c>
      <c r="D326" s="79" t="s">
        <v>344</v>
      </c>
      <c r="E326" s="284">
        <f>Table5[[#This Row],[Date]]-DAY(Table5[[#This Row],[Date]])+1</f>
        <v>45839</v>
      </c>
      <c r="F326" s="285">
        <v>45845</v>
      </c>
      <c r="G326" s="79" t="s">
        <v>118</v>
      </c>
      <c r="H326" s="23" t="str">
        <f>IFERROR(_xlfn.XLOOKUP(Table5[[#This Row],[Affected WTG]],'Basic Data'!$A:$A,'Basic Data'!$B:$B),"")</f>
        <v>PWEPL</v>
      </c>
      <c r="I326" s="23" t="str">
        <f>IFERROR(_xlfn.XLOOKUP(Table5[[#This Row],[Affected WTG]],'Basic Data'!$A:$A,'Basic Data'!$C:$C),"")</f>
        <v>MSEDCL</v>
      </c>
      <c r="J326" s="286">
        <f>IFERROR(_xlfn.XLOOKUP(Table5[[#This Row],[Affected WTG]],'Basic Data'!$A:$A,'Basic Data'!$E:$E),"")</f>
        <v>2.2727272727272728E-2</v>
      </c>
      <c r="K326" s="79">
        <v>3</v>
      </c>
      <c r="L326" s="23" t="str">
        <f>IFERROR(_xlfn.XLOOKUP(Table5[[#This Row],[Error Code]],'Basic Data'!$W:$W,'Basic Data'!$X:$X),"Incorrect Error Code")</f>
        <v>Manual Stop</v>
      </c>
      <c r="M326" s="23" t="s">
        <v>950</v>
      </c>
      <c r="N326" s="23"/>
      <c r="O326" s="355">
        <v>0.65208333333333335</v>
      </c>
      <c r="P326" s="355">
        <v>0.65208333333333335</v>
      </c>
      <c r="Q326" s="355">
        <v>0.65486111111111112</v>
      </c>
      <c r="R326" s="341">
        <f t="shared" si="19"/>
        <v>2.7777777777777679E-3</v>
      </c>
      <c r="S326" s="353">
        <f>(Table5[[#This Row],[Fault Clearance time]]-Table5[[#This Row],[Work Start TimeStamp]])*24</f>
        <v>6.666666666666643E-2</v>
      </c>
      <c r="T326" s="353">
        <f>(Table5[[#This Row],[Fault Clearance time]]-Table5[[#This Row],[Fault Start TimeStamp]])*24</f>
        <v>6.666666666666643E-2</v>
      </c>
      <c r="U326" s="23" t="s">
        <v>950</v>
      </c>
      <c r="V326" s="79" t="s">
        <v>339</v>
      </c>
      <c r="W326" s="354">
        <f>IFERROR(Table5[[#This Row],[Breakdown Time]]*Table5[[#This Row],[Plant Equivalent Weightage]],"")</f>
        <v>1.5151515151515097E-3</v>
      </c>
      <c r="X326" s="289" t="s">
        <v>394</v>
      </c>
      <c r="Y326" s="290" t="s">
        <v>119</v>
      </c>
      <c r="Z326" s="79"/>
      <c r="AA326" s="283">
        <v>270</v>
      </c>
      <c r="AB326" s="79"/>
      <c r="AC326" s="23"/>
      <c r="AD326" s="23"/>
    </row>
    <row r="327" spans="1:30">
      <c r="A327" s="79">
        <f t="shared" si="20"/>
        <v>326</v>
      </c>
      <c r="B327" s="283">
        <f>YEAR(Table5[[#This Row],[Date]])+IF(MONTH(Table5[[#This Row],[Date]])&gt;=4,1,0)</f>
        <v>2026</v>
      </c>
      <c r="C327" s="79">
        <f>YEAR(Table5[[#This Row],[Date]])</f>
        <v>2025</v>
      </c>
      <c r="D327" s="79" t="s">
        <v>344</v>
      </c>
      <c r="E327" s="284">
        <f>Table5[[#This Row],[Date]]-DAY(Table5[[#This Row],[Date]])+1</f>
        <v>45839</v>
      </c>
      <c r="F327" s="285">
        <v>45845</v>
      </c>
      <c r="G327" s="79" t="s">
        <v>76</v>
      </c>
      <c r="H327" s="23" t="str">
        <f>IFERROR(_xlfn.XLOOKUP(Table5[[#This Row],[Affected WTG]],'Basic Data'!$A:$A,'Basic Data'!$B:$B),"")</f>
        <v>PWEPL</v>
      </c>
      <c r="I327" s="23" t="str">
        <f>IFERROR(_xlfn.XLOOKUP(Table5[[#This Row],[Affected WTG]],'Basic Data'!$A:$A,'Basic Data'!$C:$C),"")</f>
        <v>MSEDCL</v>
      </c>
      <c r="J327" s="286">
        <f>IFERROR(_xlfn.XLOOKUP(Table5[[#This Row],[Affected WTG]],'Basic Data'!$A:$A,'Basic Data'!$E:$E),"")</f>
        <v>2.2727272727272728E-2</v>
      </c>
      <c r="K327" s="79">
        <v>3</v>
      </c>
      <c r="L327" s="23" t="str">
        <f>IFERROR(_xlfn.XLOOKUP(Table5[[#This Row],[Error Code]],'Basic Data'!$W:$W,'Basic Data'!$X:$X),"Incorrect Error Code")</f>
        <v>Manual Stop</v>
      </c>
      <c r="M327" s="23" t="s">
        <v>950</v>
      </c>
      <c r="N327" s="23"/>
      <c r="O327" s="355">
        <v>0.6118055555555556</v>
      </c>
      <c r="P327" s="355">
        <v>0.6118055555555556</v>
      </c>
      <c r="Q327" s="355">
        <v>0.61319444444444449</v>
      </c>
      <c r="R327" s="341">
        <f t="shared" si="19"/>
        <v>1.388888888888884E-3</v>
      </c>
      <c r="S327" s="353">
        <f>(Table5[[#This Row],[Fault Clearance time]]-Table5[[#This Row],[Work Start TimeStamp]])*24</f>
        <v>3.3333333333333215E-2</v>
      </c>
      <c r="T327" s="353">
        <f>(Table5[[#This Row],[Fault Clearance time]]-Table5[[#This Row],[Fault Start TimeStamp]])*24</f>
        <v>3.3333333333333215E-2</v>
      </c>
      <c r="U327" s="23" t="s">
        <v>950</v>
      </c>
      <c r="V327" s="79" t="s">
        <v>339</v>
      </c>
      <c r="W327" s="354">
        <f>IFERROR(Table5[[#This Row],[Breakdown Time]]*Table5[[#This Row],[Plant Equivalent Weightage]],"")</f>
        <v>7.5757575757575486E-4</v>
      </c>
      <c r="X327" s="289" t="s">
        <v>394</v>
      </c>
      <c r="Y327" s="290" t="s">
        <v>82</v>
      </c>
      <c r="Z327" s="79"/>
      <c r="AA327" s="283">
        <v>270</v>
      </c>
      <c r="AB327" s="79"/>
      <c r="AC327" s="23"/>
      <c r="AD327" s="23"/>
    </row>
    <row r="328" spans="1:30">
      <c r="A328" s="79">
        <f t="shared" si="20"/>
        <v>327</v>
      </c>
      <c r="B328" s="283">
        <f>YEAR(Table5[[#This Row],[Date]])+IF(MONTH(Table5[[#This Row],[Date]])&gt;=4,1,0)</f>
        <v>2026</v>
      </c>
      <c r="C328" s="79">
        <f>YEAR(Table5[[#This Row],[Date]])</f>
        <v>2025</v>
      </c>
      <c r="D328" s="79" t="s">
        <v>344</v>
      </c>
      <c r="E328" s="284">
        <f>Table5[[#This Row],[Date]]-DAY(Table5[[#This Row],[Date]])+1</f>
        <v>45839</v>
      </c>
      <c r="F328" s="285">
        <v>45845</v>
      </c>
      <c r="G328" s="79" t="s">
        <v>82</v>
      </c>
      <c r="H328" s="23" t="str">
        <f>IFERROR(_xlfn.XLOOKUP(Table5[[#This Row],[Affected WTG]],'Basic Data'!$A:$A,'Basic Data'!$B:$B),"")</f>
        <v>PWEPL</v>
      </c>
      <c r="I328" s="23" t="str">
        <f>IFERROR(_xlfn.XLOOKUP(Table5[[#This Row],[Affected WTG]],'Basic Data'!$A:$A,'Basic Data'!$C:$C),"")</f>
        <v>MSEDCL</v>
      </c>
      <c r="J328" s="286">
        <f>IFERROR(_xlfn.XLOOKUP(Table5[[#This Row],[Affected WTG]],'Basic Data'!$A:$A,'Basic Data'!$E:$E),"")</f>
        <v>2.2727272727272728E-2</v>
      </c>
      <c r="K328" s="79">
        <v>3</v>
      </c>
      <c r="L328" s="23" t="str">
        <f>IFERROR(_xlfn.XLOOKUP(Table5[[#This Row],[Error Code]],'Basic Data'!$W:$W,'Basic Data'!$X:$X),"Incorrect Error Code")</f>
        <v>Manual Stop</v>
      </c>
      <c r="M328" s="23" t="s">
        <v>950</v>
      </c>
      <c r="N328" s="23"/>
      <c r="O328" s="355">
        <v>0.61875000000000002</v>
      </c>
      <c r="P328" s="355">
        <v>0.61875000000000002</v>
      </c>
      <c r="Q328" s="355">
        <v>0.62083333333333335</v>
      </c>
      <c r="R328" s="341">
        <f t="shared" si="19"/>
        <v>2.0833333333333259E-3</v>
      </c>
      <c r="S328" s="353">
        <f>(Table5[[#This Row],[Fault Clearance time]]-Table5[[#This Row],[Work Start TimeStamp]])*24</f>
        <v>4.9999999999999822E-2</v>
      </c>
      <c r="T328" s="353">
        <f>(Table5[[#This Row],[Fault Clearance time]]-Table5[[#This Row],[Fault Start TimeStamp]])*24</f>
        <v>4.9999999999999822E-2</v>
      </c>
      <c r="U328" s="23" t="s">
        <v>950</v>
      </c>
      <c r="V328" s="79" t="s">
        <v>339</v>
      </c>
      <c r="W328" s="354">
        <f>IFERROR(Table5[[#This Row],[Breakdown Time]]*Table5[[#This Row],[Plant Equivalent Weightage]],"")</f>
        <v>1.1363636363636324E-3</v>
      </c>
      <c r="X328" s="289" t="s">
        <v>394</v>
      </c>
      <c r="Y328" s="290" t="s">
        <v>93</v>
      </c>
      <c r="Z328" s="79"/>
      <c r="AA328" s="283">
        <v>268</v>
      </c>
      <c r="AB328" s="79"/>
      <c r="AC328" s="23"/>
      <c r="AD328" s="23"/>
    </row>
    <row r="329" spans="1:30">
      <c r="A329" s="79">
        <f t="shared" si="20"/>
        <v>328</v>
      </c>
      <c r="B329" s="283">
        <f>YEAR(Table5[[#This Row],[Date]])+IF(MONTH(Table5[[#This Row],[Date]])&gt;=4,1,0)</f>
        <v>2026</v>
      </c>
      <c r="C329" s="79">
        <f>YEAR(Table5[[#This Row],[Date]])</f>
        <v>2025</v>
      </c>
      <c r="D329" s="79" t="s">
        <v>344</v>
      </c>
      <c r="E329" s="284">
        <f>Table5[[#This Row],[Date]]-DAY(Table5[[#This Row],[Date]])+1</f>
        <v>45839</v>
      </c>
      <c r="F329" s="285">
        <v>45845</v>
      </c>
      <c r="G329" s="79" t="s">
        <v>76</v>
      </c>
      <c r="H329" s="23" t="str">
        <f>IFERROR(_xlfn.XLOOKUP(Table5[[#This Row],[Affected WTG]],'Basic Data'!$A:$A,'Basic Data'!$B:$B),"")</f>
        <v>PWEPL</v>
      </c>
      <c r="I329" s="23" t="str">
        <f>IFERROR(_xlfn.XLOOKUP(Table5[[#This Row],[Affected WTG]],'Basic Data'!$A:$A,'Basic Data'!$C:$C),"")</f>
        <v>MSEDCL</v>
      </c>
      <c r="J329" s="286">
        <f>IFERROR(_xlfn.XLOOKUP(Table5[[#This Row],[Affected WTG]],'Basic Data'!$A:$A,'Basic Data'!$E:$E),"")</f>
        <v>2.2727272727272728E-2</v>
      </c>
      <c r="K329" s="79"/>
      <c r="L329" s="23" t="s">
        <v>975</v>
      </c>
      <c r="M329" s="23" t="s">
        <v>975</v>
      </c>
      <c r="N329" s="23"/>
      <c r="O329" s="355">
        <v>0.93680555555555556</v>
      </c>
      <c r="P329" s="355">
        <v>0.93680555555555556</v>
      </c>
      <c r="Q329" s="355">
        <v>0.99930555555555556</v>
      </c>
      <c r="R329" s="341">
        <f t="shared" si="19"/>
        <v>6.25E-2</v>
      </c>
      <c r="S329" s="353">
        <f>(Table5[[#This Row],[Fault Clearance time]]-Table5[[#This Row],[Work Start TimeStamp]])*24</f>
        <v>1.5</v>
      </c>
      <c r="T329" s="353">
        <f>(Table5[[#This Row],[Fault Clearance time]]-Table5[[#This Row],[Fault Start TimeStamp]])*24</f>
        <v>1.5</v>
      </c>
      <c r="U329" s="23" t="s">
        <v>956</v>
      </c>
      <c r="V329" s="79" t="s">
        <v>339</v>
      </c>
      <c r="W329" s="354">
        <f>IFERROR(Table5[[#This Row],[Breakdown Time]]*Table5[[#This Row],[Plant Equivalent Weightage]],"")</f>
        <v>3.4090909090909088E-2</v>
      </c>
      <c r="X329" s="289" t="s">
        <v>343</v>
      </c>
      <c r="Y329" s="290" t="s">
        <v>82</v>
      </c>
      <c r="Z329" s="79"/>
      <c r="AA329" s="283">
        <v>2527</v>
      </c>
      <c r="AB329" s="79"/>
      <c r="AC329" s="23"/>
      <c r="AD329" s="23"/>
    </row>
    <row r="330" spans="1:30">
      <c r="A330" s="79">
        <f t="shared" si="20"/>
        <v>329</v>
      </c>
      <c r="B330" s="283">
        <f>YEAR(Table5[[#This Row],[Date]])+IF(MONTH(Table5[[#This Row],[Date]])&gt;=4,1,0)</f>
        <v>2026</v>
      </c>
      <c r="C330" s="79">
        <f>YEAR(Table5[[#This Row],[Date]])</f>
        <v>2025</v>
      </c>
      <c r="D330" s="79" t="s">
        <v>344</v>
      </c>
      <c r="E330" s="284">
        <f>Table5[[#This Row],[Date]]-DAY(Table5[[#This Row],[Date]])+1</f>
        <v>45839</v>
      </c>
      <c r="F330" s="285">
        <v>45845</v>
      </c>
      <c r="G330" s="79" t="s">
        <v>104</v>
      </c>
      <c r="H330" s="23" t="str">
        <f>IFERROR(_xlfn.XLOOKUP(Table5[[#This Row],[Affected WTG]],'Basic Data'!$A:$A,'Basic Data'!$B:$B),"")</f>
        <v>PWEPL</v>
      </c>
      <c r="I330" s="23" t="str">
        <f>IFERROR(_xlfn.XLOOKUP(Table5[[#This Row],[Affected WTG]],'Basic Data'!$A:$A,'Basic Data'!$C:$C),"")</f>
        <v>MSEDCL</v>
      </c>
      <c r="J330" s="286">
        <f>IFERROR(_xlfn.XLOOKUP(Table5[[#This Row],[Affected WTG]],'Basic Data'!$A:$A,'Basic Data'!$E:$E),"")</f>
        <v>2.2727272727272728E-2</v>
      </c>
      <c r="K330" s="79">
        <v>276</v>
      </c>
      <c r="L330" s="23" t="str">
        <f>IFERROR(_xlfn.XLOOKUP(Table5[[#This Row],[Error Code]],'Basic Data'!$W:$W,'Basic Data'!$X:$X),"Incorrect Error Code")</f>
        <v>Pitch thyristor 3 fault</v>
      </c>
      <c r="M330" s="23" t="s">
        <v>153</v>
      </c>
      <c r="N330" s="23"/>
      <c r="O330" s="355">
        <v>0.93472222222222223</v>
      </c>
      <c r="P330" s="355">
        <v>0.93472222222222223</v>
      </c>
      <c r="Q330" s="355">
        <v>0.98819444444444438</v>
      </c>
      <c r="R330" s="341">
        <f t="shared" si="19"/>
        <v>5.3472222222222143E-2</v>
      </c>
      <c r="S330" s="353">
        <f>(Table5[[#This Row],[Fault Clearance time]]-Table5[[#This Row],[Work Start TimeStamp]])*24</f>
        <v>1.2833333333333314</v>
      </c>
      <c r="T330" s="353">
        <f>(Table5[[#This Row],[Fault Clearance time]]-Table5[[#This Row],[Fault Start TimeStamp]])*24</f>
        <v>1.2833333333333314</v>
      </c>
      <c r="U330" s="23" t="s">
        <v>353</v>
      </c>
      <c r="V330" s="79" t="s">
        <v>339</v>
      </c>
      <c r="W330" s="354">
        <f>IFERROR(Table5[[#This Row],[Breakdown Time]]*Table5[[#This Row],[Plant Equivalent Weightage]],"")</f>
        <v>2.9166666666666625E-2</v>
      </c>
      <c r="X330" s="289" t="s">
        <v>343</v>
      </c>
      <c r="Y330" s="290" t="s">
        <v>96</v>
      </c>
      <c r="Z330" s="79"/>
      <c r="AA330" s="283">
        <v>2020</v>
      </c>
      <c r="AB330" s="79"/>
      <c r="AC330" s="23"/>
      <c r="AD330" s="23"/>
    </row>
    <row r="331" spans="1:30">
      <c r="A331" s="79">
        <f t="shared" si="20"/>
        <v>330</v>
      </c>
      <c r="B331" s="283">
        <f>YEAR(Table5[[#This Row],[Date]])+IF(MONTH(Table5[[#This Row],[Date]])&gt;=4,1,0)</f>
        <v>2026</v>
      </c>
      <c r="C331" s="79">
        <f>YEAR(Table5[[#This Row],[Date]])</f>
        <v>2025</v>
      </c>
      <c r="D331" s="79" t="s">
        <v>344</v>
      </c>
      <c r="E331" s="284">
        <f>Table5[[#This Row],[Date]]-DAY(Table5[[#This Row],[Date]])+1</f>
        <v>45839</v>
      </c>
      <c r="F331" s="285">
        <v>45846</v>
      </c>
      <c r="G331" s="79" t="s">
        <v>76</v>
      </c>
      <c r="H331" s="23" t="str">
        <f>IFERROR(_xlfn.XLOOKUP(Table5[[#This Row],[Affected WTG]],'Basic Data'!$A:$A,'Basic Data'!$B:$B),"")</f>
        <v>PWEPL</v>
      </c>
      <c r="I331" s="23" t="str">
        <f>IFERROR(_xlfn.XLOOKUP(Table5[[#This Row],[Affected WTG]],'Basic Data'!$A:$A,'Basic Data'!$C:$C),"")</f>
        <v>MSEDCL</v>
      </c>
      <c r="J331" s="286">
        <f>IFERROR(_xlfn.XLOOKUP(Table5[[#This Row],[Affected WTG]],'Basic Data'!$A:$A,'Basic Data'!$E:$E),"")</f>
        <v>2.2727272727272728E-2</v>
      </c>
      <c r="K331" s="79"/>
      <c r="L331" s="23" t="s">
        <v>975</v>
      </c>
      <c r="M331" s="23" t="s">
        <v>975</v>
      </c>
      <c r="N331" s="23"/>
      <c r="O331" s="355">
        <v>0</v>
      </c>
      <c r="P331" s="355">
        <v>0</v>
      </c>
      <c r="Q331" s="355">
        <v>9.3055555555555558E-2</v>
      </c>
      <c r="R331" s="341">
        <f t="shared" ref="R331:R336" si="21">Q331-O331</f>
        <v>9.3055555555555558E-2</v>
      </c>
      <c r="S331" s="353">
        <f>(Table5[[#This Row],[Fault Clearance time]]-Table5[[#This Row],[Work Start TimeStamp]])*24</f>
        <v>2.2333333333333334</v>
      </c>
      <c r="T331" s="353">
        <f>(Table5[[#This Row],[Fault Clearance time]]-Table5[[#This Row],[Fault Start TimeStamp]])*24</f>
        <v>2.2333333333333334</v>
      </c>
      <c r="U331" s="23" t="s">
        <v>882</v>
      </c>
      <c r="V331" s="79" t="s">
        <v>339</v>
      </c>
      <c r="W331" s="354">
        <f>IFERROR(Table5[[#This Row],[Breakdown Time]]*Table5[[#This Row],[Plant Equivalent Weightage]],"")</f>
        <v>5.0757575757575758E-2</v>
      </c>
      <c r="X331" s="289" t="s">
        <v>343</v>
      </c>
      <c r="Y331" s="290" t="s">
        <v>82</v>
      </c>
      <c r="Z331" s="79"/>
      <c r="AA331" s="283">
        <v>3401</v>
      </c>
      <c r="AB331" s="79"/>
      <c r="AC331" s="23"/>
      <c r="AD331" s="23"/>
    </row>
    <row r="332" spans="1:30">
      <c r="A332" s="79">
        <f t="shared" si="20"/>
        <v>331</v>
      </c>
      <c r="B332" s="283">
        <f>YEAR(Table5[[#This Row],[Date]])+IF(MONTH(Table5[[#This Row],[Date]])&gt;=4,1,0)</f>
        <v>2026</v>
      </c>
      <c r="C332" s="79">
        <f>YEAR(Table5[[#This Row],[Date]])</f>
        <v>2025</v>
      </c>
      <c r="D332" s="79" t="s">
        <v>344</v>
      </c>
      <c r="E332" s="284">
        <f>Table5[[#This Row],[Date]]-DAY(Table5[[#This Row],[Date]])+1</f>
        <v>45839</v>
      </c>
      <c r="F332" s="285">
        <v>45846</v>
      </c>
      <c r="G332" s="79" t="s">
        <v>86</v>
      </c>
      <c r="H332" s="23" t="str">
        <f>IFERROR(_xlfn.XLOOKUP(Table5[[#This Row],[Affected WTG]],'Basic Data'!$A:$A,'Basic Data'!$B:$B),"")</f>
        <v>PWEPL</v>
      </c>
      <c r="I332" s="23" t="str">
        <f>IFERROR(_xlfn.XLOOKUP(Table5[[#This Row],[Affected WTG]],'Basic Data'!$A:$A,'Basic Data'!$C:$C),"")</f>
        <v>MSEDCL</v>
      </c>
      <c r="J332" s="286">
        <f>IFERROR(_xlfn.XLOOKUP(Table5[[#This Row],[Affected WTG]],'Basic Data'!$A:$A,'Basic Data'!$E:$E),"")</f>
        <v>2.2727272727272728E-2</v>
      </c>
      <c r="K332" s="79">
        <v>54</v>
      </c>
      <c r="L332" s="23" t="str">
        <f>IFERROR(_xlfn.XLOOKUP(Table5[[#This Row],[Error Code]],'Basic Data'!$W:$W,'Basic Data'!$X:$X),"Incorrect Error Code")</f>
        <v>Anemometer defec</v>
      </c>
      <c r="M332" s="23" t="s">
        <v>864</v>
      </c>
      <c r="N332" s="23"/>
      <c r="O332" s="355">
        <v>0.38194444444444442</v>
      </c>
      <c r="P332" s="355">
        <v>0.38194444444444442</v>
      </c>
      <c r="Q332" s="355">
        <v>0.43194444444444446</v>
      </c>
      <c r="R332" s="341">
        <f t="shared" si="21"/>
        <v>5.0000000000000044E-2</v>
      </c>
      <c r="S332" s="353">
        <f>(Table5[[#This Row],[Fault Clearance time]]-Table5[[#This Row],[Work Start TimeStamp]])*24</f>
        <v>1.2000000000000011</v>
      </c>
      <c r="T332" s="353">
        <f>(Table5[[#This Row],[Fault Clearance time]]-Table5[[#This Row],[Fault Start TimeStamp]])*24</f>
        <v>1.2000000000000011</v>
      </c>
      <c r="U332" s="23" t="s">
        <v>976</v>
      </c>
      <c r="V332" s="79" t="s">
        <v>339</v>
      </c>
      <c r="W332" s="354">
        <f>IFERROR(Table5[[#This Row],[Breakdown Time]]*Table5[[#This Row],[Plant Equivalent Weightage]],"")</f>
        <v>2.7272727272727299E-2</v>
      </c>
      <c r="X332" s="289" t="s">
        <v>343</v>
      </c>
      <c r="Y332" s="290" t="s">
        <v>85</v>
      </c>
      <c r="Z332" s="79"/>
      <c r="AA332" s="283">
        <v>1252</v>
      </c>
      <c r="AB332" s="79"/>
      <c r="AC332" s="23"/>
      <c r="AD332" s="23"/>
    </row>
    <row r="333" spans="1:30">
      <c r="A333" s="79">
        <f t="shared" si="20"/>
        <v>332</v>
      </c>
      <c r="B333" s="283">
        <f>YEAR(Table5[[#This Row],[Date]])+IF(MONTH(Table5[[#This Row],[Date]])&gt;=4,1,0)</f>
        <v>2026</v>
      </c>
      <c r="C333" s="79">
        <f>YEAR(Table5[[#This Row],[Date]])</f>
        <v>2025</v>
      </c>
      <c r="D333" s="79" t="s">
        <v>344</v>
      </c>
      <c r="E333" s="284">
        <f>Table5[[#This Row],[Date]]-DAY(Table5[[#This Row],[Date]])+1</f>
        <v>45839</v>
      </c>
      <c r="F333" s="285">
        <v>45846</v>
      </c>
      <c r="G333" s="79" t="s">
        <v>111</v>
      </c>
      <c r="H333" s="23" t="str">
        <f>IFERROR(_xlfn.XLOOKUP(Table5[[#This Row],[Affected WTG]],'Basic Data'!$A:$A,'Basic Data'!$B:$B),"")</f>
        <v>PWEPL</v>
      </c>
      <c r="I333" s="23" t="str">
        <f>IFERROR(_xlfn.XLOOKUP(Table5[[#This Row],[Affected WTG]],'Basic Data'!$A:$A,'Basic Data'!$C:$C),"")</f>
        <v>MSEDCL</v>
      </c>
      <c r="J333" s="286">
        <f>IFERROR(_xlfn.XLOOKUP(Table5[[#This Row],[Affected WTG]],'Basic Data'!$A:$A,'Basic Data'!$E:$E),"")</f>
        <v>2.2727272727272728E-2</v>
      </c>
      <c r="K333" s="79">
        <v>3</v>
      </c>
      <c r="L333" s="23" t="str">
        <f>IFERROR(_xlfn.XLOOKUP(Table5[[#This Row],[Error Code]],'Basic Data'!$W:$W,'Basic Data'!$X:$X),"Incorrect Error Code")</f>
        <v>Manual Stop</v>
      </c>
      <c r="M333" s="23" t="s">
        <v>950</v>
      </c>
      <c r="N333" s="23"/>
      <c r="O333" s="355">
        <v>0.60972222222222217</v>
      </c>
      <c r="P333" s="355">
        <v>0.60972222222222217</v>
      </c>
      <c r="Q333" s="355">
        <v>0.61111111111111105</v>
      </c>
      <c r="R333" s="341">
        <f t="shared" si="21"/>
        <v>1.388888888888884E-3</v>
      </c>
      <c r="S333" s="353">
        <f>(Table5[[#This Row],[Fault Clearance time]]-Table5[[#This Row],[Work Start TimeStamp]])*24</f>
        <v>3.3333333333333215E-2</v>
      </c>
      <c r="T333" s="353">
        <f>(Table5[[#This Row],[Fault Clearance time]]-Table5[[#This Row],[Fault Start TimeStamp]])*24</f>
        <v>3.3333333333333215E-2</v>
      </c>
      <c r="U333" s="23" t="s">
        <v>950</v>
      </c>
      <c r="V333" s="79" t="s">
        <v>339</v>
      </c>
      <c r="W333" s="354">
        <f>IFERROR(Table5[[#This Row],[Breakdown Time]]*Table5[[#This Row],[Plant Equivalent Weightage]],"")</f>
        <v>7.5757575757575486E-4</v>
      </c>
      <c r="X333" s="289" t="s">
        <v>394</v>
      </c>
      <c r="Y333" s="290" t="s">
        <v>112</v>
      </c>
      <c r="Z333" s="79"/>
      <c r="AA333" s="283">
        <v>269</v>
      </c>
      <c r="AB333" s="79"/>
      <c r="AC333" s="23"/>
      <c r="AD333" s="23"/>
    </row>
    <row r="334" spans="1:30">
      <c r="A334" s="79">
        <f t="shared" si="20"/>
        <v>333</v>
      </c>
      <c r="B334" s="283">
        <f>YEAR(Table5[[#This Row],[Date]])+IF(MONTH(Table5[[#This Row],[Date]])&gt;=4,1,0)</f>
        <v>2026</v>
      </c>
      <c r="C334" s="79">
        <f>YEAR(Table5[[#This Row],[Date]])</f>
        <v>2025</v>
      </c>
      <c r="D334" s="79" t="s">
        <v>344</v>
      </c>
      <c r="E334" s="284">
        <f>Table5[[#This Row],[Date]]-DAY(Table5[[#This Row],[Date]])+1</f>
        <v>45839</v>
      </c>
      <c r="F334" s="285">
        <v>45846</v>
      </c>
      <c r="G334" s="79" t="s">
        <v>112</v>
      </c>
      <c r="H334" s="23" t="str">
        <f>IFERROR(_xlfn.XLOOKUP(Table5[[#This Row],[Affected WTG]],'Basic Data'!$A:$A,'Basic Data'!$B:$B),"")</f>
        <v>PWEPL</v>
      </c>
      <c r="I334" s="23" t="str">
        <f>IFERROR(_xlfn.XLOOKUP(Table5[[#This Row],[Affected WTG]],'Basic Data'!$A:$A,'Basic Data'!$C:$C),"")</f>
        <v>MSEDCL</v>
      </c>
      <c r="J334" s="286">
        <f>IFERROR(_xlfn.XLOOKUP(Table5[[#This Row],[Affected WTG]],'Basic Data'!$A:$A,'Basic Data'!$E:$E),"")</f>
        <v>2.2727272727272728E-2</v>
      </c>
      <c r="K334" s="79">
        <v>3</v>
      </c>
      <c r="L334" s="23" t="str">
        <f>IFERROR(_xlfn.XLOOKUP(Table5[[#This Row],[Error Code]],'Basic Data'!$W:$W,'Basic Data'!$X:$X),"Incorrect Error Code")</f>
        <v>Manual Stop</v>
      </c>
      <c r="M334" s="23" t="s">
        <v>950</v>
      </c>
      <c r="N334" s="23"/>
      <c r="O334" s="355">
        <v>0.62083333333333335</v>
      </c>
      <c r="P334" s="355">
        <v>0.62083333333333335</v>
      </c>
      <c r="Q334" s="355">
        <v>0.62430555555555556</v>
      </c>
      <c r="R334" s="341">
        <f t="shared" si="21"/>
        <v>3.4722222222222099E-3</v>
      </c>
      <c r="S334" s="353">
        <f>(Table5[[#This Row],[Fault Clearance time]]-Table5[[#This Row],[Work Start TimeStamp]])*24</f>
        <v>8.3333333333333037E-2</v>
      </c>
      <c r="T334" s="353">
        <f>(Table5[[#This Row],[Fault Clearance time]]-Table5[[#This Row],[Fault Start TimeStamp]])*24</f>
        <v>8.3333333333333037E-2</v>
      </c>
      <c r="U334" s="23" t="s">
        <v>950</v>
      </c>
      <c r="V334" s="79" t="s">
        <v>339</v>
      </c>
      <c r="W334" s="354">
        <f>IFERROR(Table5[[#This Row],[Breakdown Time]]*Table5[[#This Row],[Plant Equivalent Weightage]],"")</f>
        <v>1.8939393939393873E-3</v>
      </c>
      <c r="X334" s="289" t="s">
        <v>394</v>
      </c>
      <c r="Y334" s="290" t="s">
        <v>111</v>
      </c>
      <c r="Z334" s="79"/>
      <c r="AA334" s="283">
        <v>270</v>
      </c>
      <c r="AB334" s="79"/>
      <c r="AC334" s="23"/>
      <c r="AD334" s="23"/>
    </row>
    <row r="335" spans="1:30">
      <c r="A335" s="79">
        <f t="shared" si="20"/>
        <v>334</v>
      </c>
      <c r="B335" s="283">
        <f>YEAR(Table5[[#This Row],[Date]])+IF(MONTH(Table5[[#This Row],[Date]])&gt;=4,1,0)</f>
        <v>2026</v>
      </c>
      <c r="C335" s="79">
        <f>YEAR(Table5[[#This Row],[Date]])</f>
        <v>2025</v>
      </c>
      <c r="D335" s="79" t="s">
        <v>344</v>
      </c>
      <c r="E335" s="284">
        <f>Table5[[#This Row],[Date]]-DAY(Table5[[#This Row],[Date]])+1</f>
        <v>45839</v>
      </c>
      <c r="F335" s="285">
        <v>45846</v>
      </c>
      <c r="G335" s="79" t="s">
        <v>113</v>
      </c>
      <c r="H335" s="23" t="str">
        <f>IFERROR(_xlfn.XLOOKUP(Table5[[#This Row],[Affected WTG]],'Basic Data'!$A:$A,'Basic Data'!$B:$B),"")</f>
        <v>PWEPL</v>
      </c>
      <c r="I335" s="23" t="str">
        <f>IFERROR(_xlfn.XLOOKUP(Table5[[#This Row],[Affected WTG]],'Basic Data'!$A:$A,'Basic Data'!$C:$C),"")</f>
        <v>MSEDCL</v>
      </c>
      <c r="J335" s="286">
        <f>IFERROR(_xlfn.XLOOKUP(Table5[[#This Row],[Affected WTG]],'Basic Data'!$A:$A,'Basic Data'!$E:$E),"")</f>
        <v>2.2727272727272728E-2</v>
      </c>
      <c r="K335" s="79">
        <v>3</v>
      </c>
      <c r="L335" s="23" t="str">
        <f>IFERROR(_xlfn.XLOOKUP(Table5[[#This Row],[Error Code]],'Basic Data'!$W:$W,'Basic Data'!$X:$X),"Incorrect Error Code")</f>
        <v>Manual Stop</v>
      </c>
      <c r="M335" s="23" t="s">
        <v>950</v>
      </c>
      <c r="N335" s="23"/>
      <c r="O335" s="355">
        <v>0.63055555555555554</v>
      </c>
      <c r="P335" s="355">
        <v>0.63055555555555554</v>
      </c>
      <c r="Q335" s="355">
        <v>0.6333333333333333</v>
      </c>
      <c r="R335" s="341">
        <f t="shared" si="21"/>
        <v>2.7777777777777679E-3</v>
      </c>
      <c r="S335" s="353">
        <f>(Table5[[#This Row],[Fault Clearance time]]-Table5[[#This Row],[Work Start TimeStamp]])*24</f>
        <v>6.666666666666643E-2</v>
      </c>
      <c r="T335" s="353">
        <f>(Table5[[#This Row],[Fault Clearance time]]-Table5[[#This Row],[Fault Start TimeStamp]])*24</f>
        <v>6.666666666666643E-2</v>
      </c>
      <c r="U335" s="23" t="s">
        <v>950</v>
      </c>
      <c r="V335" s="79" t="s">
        <v>339</v>
      </c>
      <c r="W335" s="354">
        <f>IFERROR(Table5[[#This Row],[Breakdown Time]]*Table5[[#This Row],[Plant Equivalent Weightage]],"")</f>
        <v>1.5151515151515097E-3</v>
      </c>
      <c r="X335" s="289" t="s">
        <v>394</v>
      </c>
      <c r="Y335" s="290" t="s">
        <v>114</v>
      </c>
      <c r="Z335" s="79"/>
      <c r="AA335" s="283">
        <v>262</v>
      </c>
      <c r="AB335" s="79"/>
      <c r="AC335" s="23"/>
      <c r="AD335" s="23"/>
    </row>
    <row r="336" spans="1:30">
      <c r="A336" s="79">
        <f t="shared" si="20"/>
        <v>335</v>
      </c>
      <c r="B336" s="283">
        <f>YEAR(Table5[[#This Row],[Date]])+IF(MONTH(Table5[[#This Row],[Date]])&gt;=4,1,0)</f>
        <v>2026</v>
      </c>
      <c r="C336" s="79">
        <f>YEAR(Table5[[#This Row],[Date]])</f>
        <v>2025</v>
      </c>
      <c r="D336" s="79" t="s">
        <v>344</v>
      </c>
      <c r="E336" s="284">
        <f>Table5[[#This Row],[Date]]-DAY(Table5[[#This Row],[Date]])+1</f>
        <v>45839</v>
      </c>
      <c r="F336" s="285">
        <v>45846</v>
      </c>
      <c r="G336" s="79" t="s">
        <v>114</v>
      </c>
      <c r="H336" s="23" t="str">
        <f>IFERROR(_xlfn.XLOOKUP(Table5[[#This Row],[Affected WTG]],'Basic Data'!$A:$A,'Basic Data'!$B:$B),"")</f>
        <v>PWEPL</v>
      </c>
      <c r="I336" s="23" t="str">
        <f>IFERROR(_xlfn.XLOOKUP(Table5[[#This Row],[Affected WTG]],'Basic Data'!$A:$A,'Basic Data'!$C:$C),"")</f>
        <v>MSEDCL</v>
      </c>
      <c r="J336" s="286">
        <f>IFERROR(_xlfn.XLOOKUP(Table5[[#This Row],[Affected WTG]],'Basic Data'!$A:$A,'Basic Data'!$E:$E),"")</f>
        <v>2.2727272727272728E-2</v>
      </c>
      <c r="K336" s="79">
        <v>3</v>
      </c>
      <c r="L336" s="23" t="str">
        <f>IFERROR(_xlfn.XLOOKUP(Table5[[#This Row],[Error Code]],'Basic Data'!$W:$W,'Basic Data'!$X:$X),"Incorrect Error Code")</f>
        <v>Manual Stop</v>
      </c>
      <c r="M336" s="23" t="s">
        <v>950</v>
      </c>
      <c r="N336" s="23"/>
      <c r="O336" s="355">
        <v>0.64236111111111105</v>
      </c>
      <c r="P336" s="355">
        <v>0.64236111111111105</v>
      </c>
      <c r="Q336" s="355">
        <v>0.64513888888888882</v>
      </c>
      <c r="R336" s="341">
        <f t="shared" si="21"/>
        <v>2.7777777777777679E-3</v>
      </c>
      <c r="S336" s="353">
        <f>(Table5[[#This Row],[Fault Clearance time]]-Table5[[#This Row],[Work Start TimeStamp]])*24</f>
        <v>6.666666666666643E-2</v>
      </c>
      <c r="T336" s="353">
        <f>(Table5[[#This Row],[Fault Clearance time]]-Table5[[#This Row],[Fault Start TimeStamp]])*24</f>
        <v>6.666666666666643E-2</v>
      </c>
      <c r="U336" s="23" t="s">
        <v>950</v>
      </c>
      <c r="V336" s="79" t="s">
        <v>339</v>
      </c>
      <c r="W336" s="354">
        <f>IFERROR(Table5[[#This Row],[Breakdown Time]]*Table5[[#This Row],[Plant Equivalent Weightage]],"")</f>
        <v>1.5151515151515097E-3</v>
      </c>
      <c r="X336" s="289" t="s">
        <v>394</v>
      </c>
      <c r="Y336" s="290" t="s">
        <v>113</v>
      </c>
      <c r="Z336" s="79"/>
      <c r="AA336" s="283">
        <v>243</v>
      </c>
      <c r="AB336" s="79"/>
      <c r="AC336" s="23"/>
      <c r="AD336" s="23"/>
    </row>
    <row r="337" spans="1:30">
      <c r="A337" s="79">
        <f t="shared" si="20"/>
        <v>336</v>
      </c>
      <c r="B337" s="283">
        <f>YEAR(Table5[[#This Row],[Date]])+IF(MONTH(Table5[[#This Row],[Date]])&gt;=4,1,0)</f>
        <v>2026</v>
      </c>
      <c r="C337" s="79">
        <f>YEAR(Table5[[#This Row],[Date]])</f>
        <v>2025</v>
      </c>
      <c r="D337" s="79" t="s">
        <v>344</v>
      </c>
      <c r="E337" s="284">
        <f>Table5[[#This Row],[Date]]-DAY(Table5[[#This Row],[Date]])+1</f>
        <v>45839</v>
      </c>
      <c r="F337" s="285">
        <v>45848</v>
      </c>
      <c r="G337" s="79" t="s">
        <v>90</v>
      </c>
      <c r="H337" s="23" t="str">
        <f>IFERROR(_xlfn.XLOOKUP(Table5[[#This Row],[Affected WTG]],'Basic Data'!$A:$A,'Basic Data'!$B:$B),"")</f>
        <v>PWEPL</v>
      </c>
      <c r="I337" s="23" t="str">
        <f>IFERROR(_xlfn.XLOOKUP(Table5[[#This Row],[Affected WTG]],'Basic Data'!$A:$A,'Basic Data'!$C:$C),"")</f>
        <v>MSEDCL</v>
      </c>
      <c r="J337" s="286">
        <f>IFERROR(_xlfn.XLOOKUP(Table5[[#This Row],[Affected WTG]],'Basic Data'!$A:$A,'Basic Data'!$E:$E),"")</f>
        <v>2.2727272727272728E-2</v>
      </c>
      <c r="K337" s="79">
        <v>3</v>
      </c>
      <c r="L337" s="23" t="str">
        <f>IFERROR(_xlfn.XLOOKUP(Table5[[#This Row],[Error Code]],'Basic Data'!$W:$W,'Basic Data'!$X:$X),"Incorrect Error Code")</f>
        <v>Manual Stop</v>
      </c>
      <c r="M337" s="23" t="s">
        <v>977</v>
      </c>
      <c r="N337" s="23"/>
      <c r="O337" s="355">
        <v>0.62291666666666667</v>
      </c>
      <c r="P337" s="355">
        <v>0.62291666666666667</v>
      </c>
      <c r="Q337" s="355">
        <v>0.69166666666666676</v>
      </c>
      <c r="R337" s="341">
        <f t="shared" ref="R337:R338" si="22">Q337-O337</f>
        <v>6.8750000000000089E-2</v>
      </c>
      <c r="S337" s="353">
        <f>(Table5[[#This Row],[Fault Clearance time]]-Table5[[#This Row],[Work Start TimeStamp]])*24</f>
        <v>1.6500000000000021</v>
      </c>
      <c r="T337" s="353">
        <f>(Table5[[#This Row],[Fault Clearance time]]-Table5[[#This Row],[Fault Start TimeStamp]])*24</f>
        <v>1.6500000000000021</v>
      </c>
      <c r="U337" s="23" t="s">
        <v>977</v>
      </c>
      <c r="V337" s="79" t="s">
        <v>339</v>
      </c>
      <c r="W337" s="354">
        <f>IFERROR(Table5[[#This Row],[Breakdown Time]]*Table5[[#This Row],[Plant Equivalent Weightage]],"")</f>
        <v>3.7500000000000047E-2</v>
      </c>
      <c r="X337" s="289" t="s">
        <v>394</v>
      </c>
      <c r="Y337" s="290" t="s">
        <v>89</v>
      </c>
      <c r="Z337" s="79"/>
      <c r="AA337" s="283">
        <v>726</v>
      </c>
      <c r="AB337" s="79"/>
      <c r="AC337" s="23"/>
      <c r="AD337" s="23"/>
    </row>
    <row r="338" spans="1:30">
      <c r="A338" s="79">
        <f t="shared" si="20"/>
        <v>337</v>
      </c>
      <c r="B338" s="283">
        <f>YEAR(Table5[[#This Row],[Date]])+IF(MONTH(Table5[[#This Row],[Date]])&gt;=4,1,0)</f>
        <v>2026</v>
      </c>
      <c r="C338" s="79">
        <f>YEAR(Table5[[#This Row],[Date]])</f>
        <v>2025</v>
      </c>
      <c r="D338" s="79" t="s">
        <v>344</v>
      </c>
      <c r="E338" s="284">
        <f>Table5[[#This Row],[Date]]-DAY(Table5[[#This Row],[Date]])+1</f>
        <v>45839</v>
      </c>
      <c r="F338" s="285">
        <v>45848</v>
      </c>
      <c r="G338" s="79" t="s">
        <v>84</v>
      </c>
      <c r="H338" s="23" t="str">
        <f>IFERROR(_xlfn.XLOOKUP(Table5[[#This Row],[Affected WTG]],'Basic Data'!$A:$A,'Basic Data'!$B:$B),"")</f>
        <v>PWEPL</v>
      </c>
      <c r="I338" s="23" t="str">
        <f>IFERROR(_xlfn.XLOOKUP(Table5[[#This Row],[Affected WTG]],'Basic Data'!$A:$A,'Basic Data'!$C:$C),"")</f>
        <v>MSEDCL</v>
      </c>
      <c r="J338" s="286">
        <f>IFERROR(_xlfn.XLOOKUP(Table5[[#This Row],[Affected WTG]],'Basic Data'!$A:$A,'Basic Data'!$E:$E),"")</f>
        <v>2.2727272727272728E-2</v>
      </c>
      <c r="K338" s="79">
        <v>430</v>
      </c>
      <c r="L338" s="23" t="str">
        <f>IFERROR(_xlfn.XLOOKUP(Table5[[#This Row],[Error Code]],'Basic Data'!$W:$W,'Basic Data'!$X:$X),"Incorrect Error Code")</f>
        <v xml:space="preserve">Yaw tooth sensor 1 timeout </v>
      </c>
      <c r="M338" s="23" t="s">
        <v>377</v>
      </c>
      <c r="N338" s="23"/>
      <c r="O338" s="355">
        <v>0.66041666666666665</v>
      </c>
      <c r="P338" s="355">
        <v>0.66041666666666665</v>
      </c>
      <c r="Q338" s="355">
        <v>0.71180555555555547</v>
      </c>
      <c r="R338" s="341">
        <f t="shared" si="22"/>
        <v>5.1388888888888817E-2</v>
      </c>
      <c r="S338" s="353">
        <f>(Table5[[#This Row],[Fault Clearance time]]-Table5[[#This Row],[Work Start TimeStamp]])*24</f>
        <v>1.2333333333333316</v>
      </c>
      <c r="T338" s="353">
        <f>(Table5[[#This Row],[Fault Clearance time]]-Table5[[#This Row],[Fault Start TimeStamp]])*24</f>
        <v>1.2333333333333316</v>
      </c>
      <c r="U338" s="23" t="s">
        <v>799</v>
      </c>
      <c r="V338" s="79" t="s">
        <v>339</v>
      </c>
      <c r="W338" s="354">
        <f>IFERROR(Table5[[#This Row],[Breakdown Time]]*Table5[[#This Row],[Plant Equivalent Weightage]],"")</f>
        <v>2.8030303030302992E-2</v>
      </c>
      <c r="X338" s="289" t="s">
        <v>343</v>
      </c>
      <c r="Y338" s="290" t="s">
        <v>85</v>
      </c>
      <c r="Z338" s="79"/>
      <c r="AA338" s="283">
        <v>364</v>
      </c>
      <c r="AB338" s="79"/>
      <c r="AC338" s="23"/>
      <c r="AD338" s="23"/>
    </row>
    <row r="339" spans="1:30">
      <c r="A339" s="79">
        <f t="shared" si="20"/>
        <v>338</v>
      </c>
      <c r="B339" s="283">
        <f>YEAR(Table5[[#This Row],[Date]])+IF(MONTH(Table5[[#This Row],[Date]])&gt;=4,1,0)</f>
        <v>2026</v>
      </c>
      <c r="C339" s="79">
        <f>YEAR(Table5[[#This Row],[Date]])</f>
        <v>2025</v>
      </c>
      <c r="D339" s="79" t="s">
        <v>344</v>
      </c>
      <c r="E339" s="284">
        <f>Table5[[#This Row],[Date]]-DAY(Table5[[#This Row],[Date]])+1</f>
        <v>45839</v>
      </c>
      <c r="F339" s="285">
        <v>45849</v>
      </c>
      <c r="G339" s="79" t="s">
        <v>85</v>
      </c>
      <c r="H339" s="23" t="str">
        <f>IFERROR(_xlfn.XLOOKUP(Table5[[#This Row],[Affected WTG]],'Basic Data'!$A:$A,'Basic Data'!$B:$B),"")</f>
        <v>PWEPL</v>
      </c>
      <c r="I339" s="23" t="str">
        <f>IFERROR(_xlfn.XLOOKUP(Table5[[#This Row],[Affected WTG]],'Basic Data'!$A:$A,'Basic Data'!$C:$C),"")</f>
        <v>MSEDCL</v>
      </c>
      <c r="J339" s="286">
        <f>IFERROR(_xlfn.XLOOKUP(Table5[[#This Row],[Affected WTG]],'Basic Data'!$A:$A,'Basic Data'!$E:$E),"")</f>
        <v>2.2727272727272728E-2</v>
      </c>
      <c r="K339" s="79">
        <v>3</v>
      </c>
      <c r="L339" s="23" t="str">
        <f>IFERROR(_xlfn.XLOOKUP(Table5[[#This Row],[Error Code]],'Basic Data'!$W:$W,'Basic Data'!$X:$X),"Incorrect Error Code")</f>
        <v>Manual Stop</v>
      </c>
      <c r="M339" s="23" t="s">
        <v>977</v>
      </c>
      <c r="N339" s="23"/>
      <c r="O339" s="355">
        <v>0.48819444444444443</v>
      </c>
      <c r="P339" s="355">
        <v>0.48819444444444443</v>
      </c>
      <c r="Q339" s="355">
        <v>0.53541666666666665</v>
      </c>
      <c r="R339" s="341">
        <f t="shared" ref="R339:R340" si="23">Q339-O339</f>
        <v>4.7222222222222221E-2</v>
      </c>
      <c r="S339" s="353">
        <f>(Table5[[#This Row],[Fault Clearance time]]-Table5[[#This Row],[Work Start TimeStamp]])*24</f>
        <v>1.1333333333333333</v>
      </c>
      <c r="T339" s="353">
        <f>(Table5[[#This Row],[Fault Clearance time]]-Table5[[#This Row],[Fault Start TimeStamp]])*24</f>
        <v>1.1333333333333333</v>
      </c>
      <c r="U339" s="23" t="s">
        <v>977</v>
      </c>
      <c r="V339" s="79" t="s">
        <v>339</v>
      </c>
      <c r="W339" s="354">
        <f>IFERROR(Table5[[#This Row],[Breakdown Time]]*Table5[[#This Row],[Plant Equivalent Weightage]],"")</f>
        <v>2.5757575757575757E-2</v>
      </c>
      <c r="X339" s="289" t="s">
        <v>394</v>
      </c>
      <c r="Y339" s="290" t="s">
        <v>84</v>
      </c>
      <c r="Z339" s="79"/>
      <c r="AA339" s="283">
        <v>318</v>
      </c>
      <c r="AB339" s="79"/>
      <c r="AC339" s="23"/>
      <c r="AD339" s="23"/>
    </row>
    <row r="340" spans="1:30">
      <c r="A340" s="79">
        <f t="shared" si="20"/>
        <v>339</v>
      </c>
      <c r="B340" s="283">
        <f>YEAR(Table5[[#This Row],[Date]])+IF(MONTH(Table5[[#This Row],[Date]])&gt;=4,1,0)</f>
        <v>2026</v>
      </c>
      <c r="C340" s="79">
        <f>YEAR(Table5[[#This Row],[Date]])</f>
        <v>2025</v>
      </c>
      <c r="D340" s="79" t="s">
        <v>344</v>
      </c>
      <c r="E340" s="284">
        <f>Table5[[#This Row],[Date]]-DAY(Table5[[#This Row],[Date]])+1</f>
        <v>45839</v>
      </c>
      <c r="F340" s="285">
        <v>45849</v>
      </c>
      <c r="G340" s="79" t="s">
        <v>100</v>
      </c>
      <c r="H340" s="23" t="str">
        <f>IFERROR(_xlfn.XLOOKUP(Table5[[#This Row],[Affected WTG]],'Basic Data'!$A:$A,'Basic Data'!$B:$B),"")</f>
        <v>PWEPL</v>
      </c>
      <c r="I340" s="23" t="str">
        <f>IFERROR(_xlfn.XLOOKUP(Table5[[#This Row],[Affected WTG]],'Basic Data'!$A:$A,'Basic Data'!$C:$C),"")</f>
        <v>MSEDCL</v>
      </c>
      <c r="J340" s="286">
        <f>IFERROR(_xlfn.XLOOKUP(Table5[[#This Row],[Affected WTG]],'Basic Data'!$A:$A,'Basic Data'!$E:$E),"")</f>
        <v>2.2727272727272728E-2</v>
      </c>
      <c r="K340" s="79">
        <v>201</v>
      </c>
      <c r="L340" s="23" t="str">
        <f>IFERROR(_xlfn.XLOOKUP(Table5[[#This Row],[Error Code]],'Basic Data'!$W:$W,'Basic Data'!$X:$X),"Incorrect Error Code")</f>
        <v xml:space="preserve"> PLC fault 24V Supply</v>
      </c>
      <c r="M340" s="23" t="s">
        <v>967</v>
      </c>
      <c r="N340" s="23"/>
      <c r="O340" s="355">
        <v>0.8256944444444444</v>
      </c>
      <c r="P340" s="355">
        <v>0.8256944444444444</v>
      </c>
      <c r="Q340" s="355">
        <v>0.83750000000000002</v>
      </c>
      <c r="R340" s="341">
        <f t="shared" si="23"/>
        <v>1.1805555555555625E-2</v>
      </c>
      <c r="S340" s="353">
        <f>(Table5[[#This Row],[Fault Clearance time]]-Table5[[#This Row],[Work Start TimeStamp]])*24</f>
        <v>0.28333333333333499</v>
      </c>
      <c r="T340" s="353">
        <f>(Table5[[#This Row],[Fault Clearance time]]-Table5[[#This Row],[Fault Start TimeStamp]])*24</f>
        <v>0.28333333333333499</v>
      </c>
      <c r="U340" s="23" t="s">
        <v>353</v>
      </c>
      <c r="V340" s="79" t="s">
        <v>339</v>
      </c>
      <c r="W340" s="354">
        <f>IFERROR(Table5[[#This Row],[Breakdown Time]]*Table5[[#This Row],[Plant Equivalent Weightage]],"")</f>
        <v>6.4393939393939774E-3</v>
      </c>
      <c r="X340" s="289" t="s">
        <v>343</v>
      </c>
      <c r="Y340" s="290" t="s">
        <v>101</v>
      </c>
      <c r="Z340" s="79"/>
      <c r="AA340" s="283">
        <v>201</v>
      </c>
      <c r="AB340" s="79"/>
      <c r="AC340" s="23"/>
      <c r="AD340" s="23"/>
    </row>
    <row r="341" spans="1:30">
      <c r="A341" s="79">
        <f t="shared" si="20"/>
        <v>340</v>
      </c>
      <c r="B341" s="283">
        <f>YEAR(Table5[[#This Row],[Date]])+IF(MONTH(Table5[[#This Row],[Date]])&gt;=4,1,0)</f>
        <v>2026</v>
      </c>
      <c r="C341" s="79">
        <f>YEAR(Table5[[#This Row],[Date]])</f>
        <v>2025</v>
      </c>
      <c r="D341" s="79" t="s">
        <v>344</v>
      </c>
      <c r="E341" s="284">
        <f>Table5[[#This Row],[Date]]-DAY(Table5[[#This Row],[Date]])+1</f>
        <v>45839</v>
      </c>
      <c r="F341" s="285">
        <v>45850</v>
      </c>
      <c r="G341" s="79" t="s">
        <v>87</v>
      </c>
      <c r="H341" s="23" t="str">
        <f>IFERROR(_xlfn.XLOOKUP(Table5[[#This Row],[Affected WTG]],'Basic Data'!$A:$A,'Basic Data'!$B:$B),"")</f>
        <v>PWEPL</v>
      </c>
      <c r="I341" s="23" t="str">
        <f>IFERROR(_xlfn.XLOOKUP(Table5[[#This Row],[Affected WTG]],'Basic Data'!$A:$A,'Basic Data'!$C:$C),"")</f>
        <v>MSEDCL</v>
      </c>
      <c r="J341" s="286">
        <f>IFERROR(_xlfn.XLOOKUP(Table5[[#This Row],[Affected WTG]],'Basic Data'!$A:$A,'Basic Data'!$E:$E),"")</f>
        <v>2.2727272727272728E-2</v>
      </c>
      <c r="K341" s="79">
        <v>3</v>
      </c>
      <c r="L341" s="23" t="str">
        <f>IFERROR(_xlfn.XLOOKUP(Table5[[#This Row],[Error Code]],'Basic Data'!$W:$W,'Basic Data'!$X:$X),"Incorrect Error Code")</f>
        <v>Manual Stop</v>
      </c>
      <c r="M341" s="23" t="s">
        <v>977</v>
      </c>
      <c r="N341" s="23"/>
      <c r="O341" s="355">
        <v>0.5756944444444444</v>
      </c>
      <c r="P341" s="355">
        <v>0.5756944444444444</v>
      </c>
      <c r="Q341" s="355">
        <v>0.61944444444444446</v>
      </c>
      <c r="R341" s="341">
        <f t="shared" ref="R341:R342" si="24">Q341-O341</f>
        <v>4.3750000000000067E-2</v>
      </c>
      <c r="S341" s="353">
        <f>(Table5[[#This Row],[Fault Clearance time]]-Table5[[#This Row],[Work Start TimeStamp]])*24</f>
        <v>1.0500000000000016</v>
      </c>
      <c r="T341" s="353">
        <f>(Table5[[#This Row],[Fault Clearance time]]-Table5[[#This Row],[Fault Start TimeStamp]])*24</f>
        <v>1.0500000000000016</v>
      </c>
      <c r="U341" s="23" t="s">
        <v>977</v>
      </c>
      <c r="V341" s="79" t="s">
        <v>339</v>
      </c>
      <c r="W341" s="354">
        <f>IFERROR(Table5[[#This Row],[Breakdown Time]]*Table5[[#This Row],[Plant Equivalent Weightage]],"")</f>
        <v>2.3863636363636399E-2</v>
      </c>
      <c r="X341" s="289" t="s">
        <v>394</v>
      </c>
      <c r="Y341" s="290" t="s">
        <v>86</v>
      </c>
      <c r="Z341" s="79"/>
      <c r="AA341" s="283">
        <v>744</v>
      </c>
      <c r="AB341" s="79"/>
      <c r="AC341" s="23"/>
      <c r="AD341" s="23"/>
    </row>
    <row r="342" spans="1:30">
      <c r="A342" s="79">
        <f t="shared" si="20"/>
        <v>341</v>
      </c>
      <c r="B342" s="283">
        <f>YEAR(Table5[[#This Row],[Date]])+IF(MONTH(Table5[[#This Row],[Date]])&gt;=4,1,0)</f>
        <v>2026</v>
      </c>
      <c r="C342" s="79">
        <f>YEAR(Table5[[#This Row],[Date]])</f>
        <v>2025</v>
      </c>
      <c r="D342" s="79" t="s">
        <v>344</v>
      </c>
      <c r="E342" s="284">
        <f>Table5[[#This Row],[Date]]-DAY(Table5[[#This Row],[Date]])+1</f>
        <v>45839</v>
      </c>
      <c r="F342" s="285">
        <v>45850</v>
      </c>
      <c r="G342" s="79" t="s">
        <v>97</v>
      </c>
      <c r="H342" s="23" t="str">
        <f>IFERROR(_xlfn.XLOOKUP(Table5[[#This Row],[Affected WTG]],'Basic Data'!$A:$A,'Basic Data'!$B:$B),"")</f>
        <v>PWEPL</v>
      </c>
      <c r="I342" s="23" t="str">
        <f>IFERROR(_xlfn.XLOOKUP(Table5[[#This Row],[Affected WTG]],'Basic Data'!$A:$A,'Basic Data'!$C:$C),"")</f>
        <v>MSEDCL</v>
      </c>
      <c r="J342" s="286">
        <f>IFERROR(_xlfn.XLOOKUP(Table5[[#This Row],[Affected WTG]],'Basic Data'!$A:$A,'Basic Data'!$E:$E),"")</f>
        <v>2.2727272727272728E-2</v>
      </c>
      <c r="K342" s="79">
        <v>352</v>
      </c>
      <c r="L342" s="23" t="str">
        <f>IFERROR(_xlfn.XLOOKUP(Table5[[#This Row],[Error Code]],'Basic Data'!$W:$W,'Basic Data'!$X:$X),"Incorrect Error Code")</f>
        <v>Communication fault wind measurement device</v>
      </c>
      <c r="M342" s="23" t="s">
        <v>945</v>
      </c>
      <c r="N342" s="23"/>
      <c r="O342" s="355">
        <v>0.63888888888888895</v>
      </c>
      <c r="P342" s="355">
        <v>0.63888888888888895</v>
      </c>
      <c r="Q342" s="355">
        <v>0.67499999999999993</v>
      </c>
      <c r="R342" s="341">
        <f t="shared" si="24"/>
        <v>3.6111111111110983E-2</v>
      </c>
      <c r="S342" s="353">
        <f>(Table5[[#This Row],[Fault Clearance time]]-Table5[[#This Row],[Work Start TimeStamp]])*24</f>
        <v>0.86666666666666359</v>
      </c>
      <c r="T342" s="353">
        <f>(Table5[[#This Row],[Fault Clearance time]]-Table5[[#This Row],[Fault Start TimeStamp]])*24</f>
        <v>0.86666666666666359</v>
      </c>
      <c r="U342" s="23" t="s">
        <v>978</v>
      </c>
      <c r="V342" s="79" t="s">
        <v>339</v>
      </c>
      <c r="W342" s="354">
        <f>IFERROR(Table5[[#This Row],[Breakdown Time]]*Table5[[#This Row],[Plant Equivalent Weightage]],"")</f>
        <v>1.9696969696969626E-2</v>
      </c>
      <c r="X342" s="289" t="s">
        <v>343</v>
      </c>
      <c r="Y342" s="290" t="s">
        <v>96</v>
      </c>
      <c r="Z342" s="79"/>
      <c r="AA342" s="283">
        <v>720</v>
      </c>
      <c r="AB342" s="79"/>
      <c r="AC342" s="23"/>
      <c r="AD342" s="23"/>
    </row>
    <row r="343" spans="1:30">
      <c r="A343" s="79">
        <f t="shared" si="20"/>
        <v>342</v>
      </c>
      <c r="B343" s="283">
        <f>YEAR(Table5[[#This Row],[Date]])+IF(MONTH(Table5[[#This Row],[Date]])&gt;=4,1,0)</f>
        <v>2026</v>
      </c>
      <c r="C343" s="79">
        <f>YEAR(Table5[[#This Row],[Date]])</f>
        <v>2025</v>
      </c>
      <c r="D343" s="79" t="s">
        <v>344</v>
      </c>
      <c r="E343" s="284">
        <f>Table5[[#This Row],[Date]]-DAY(Table5[[#This Row],[Date]])+1</f>
        <v>45839</v>
      </c>
      <c r="F343" s="285">
        <v>45851</v>
      </c>
      <c r="G343" s="79" t="s">
        <v>97</v>
      </c>
      <c r="H343" s="23" t="str">
        <f>IFERROR(_xlfn.XLOOKUP(Table5[[#This Row],[Affected WTG]],'Basic Data'!$A:$A,'Basic Data'!$B:$B),"")</f>
        <v>PWEPL</v>
      </c>
      <c r="I343" s="23" t="str">
        <f>IFERROR(_xlfn.XLOOKUP(Table5[[#This Row],[Affected WTG]],'Basic Data'!$A:$A,'Basic Data'!$C:$C),"")</f>
        <v>MSEDCL</v>
      </c>
      <c r="J343" s="286">
        <f>IFERROR(_xlfn.XLOOKUP(Table5[[#This Row],[Affected WTG]],'Basic Data'!$A:$A,'Basic Data'!$E:$E),"")</f>
        <v>2.2727272727272728E-2</v>
      </c>
      <c r="K343" s="79">
        <v>201</v>
      </c>
      <c r="L343" s="23" t="str">
        <f>IFERROR(_xlfn.XLOOKUP(Table5[[#This Row],[Error Code]],'Basic Data'!$W:$W,'Basic Data'!$X:$X),"Incorrect Error Code")</f>
        <v xml:space="preserve"> PLC fault 24V Supply</v>
      </c>
      <c r="M343" s="23" t="s">
        <v>967</v>
      </c>
      <c r="N343" s="23"/>
      <c r="O343" s="355">
        <v>0.81111111111111101</v>
      </c>
      <c r="P343" s="355">
        <v>0.81111111111111101</v>
      </c>
      <c r="Q343" s="355">
        <v>0.84027777777777779</v>
      </c>
      <c r="R343" s="341">
        <f t="shared" ref="R343:R344" si="25">Q343-O343</f>
        <v>2.9166666666666785E-2</v>
      </c>
      <c r="S343" s="353">
        <f>(Table5[[#This Row],[Fault Clearance time]]-Table5[[#This Row],[Work Start TimeStamp]])*24</f>
        <v>0.70000000000000284</v>
      </c>
      <c r="T343" s="353">
        <f>(Table5[[#This Row],[Fault Clearance time]]-Table5[[#This Row],[Fault Start TimeStamp]])*24</f>
        <v>0.70000000000000284</v>
      </c>
      <c r="U343" s="23" t="s">
        <v>905</v>
      </c>
      <c r="V343" s="79" t="s">
        <v>339</v>
      </c>
      <c r="W343" s="354">
        <f>IFERROR(Table5[[#This Row],[Breakdown Time]]*Table5[[#This Row],[Plant Equivalent Weightage]],"")</f>
        <v>1.5909090909090973E-2</v>
      </c>
      <c r="X343" s="289" t="s">
        <v>343</v>
      </c>
      <c r="Y343" s="290" t="s">
        <v>96</v>
      </c>
      <c r="Z343" s="79"/>
      <c r="AA343" s="283">
        <v>752</v>
      </c>
      <c r="AB343" s="79"/>
      <c r="AC343" s="23"/>
      <c r="AD343" s="23"/>
    </row>
    <row r="344" spans="1:30">
      <c r="A344" s="79">
        <f t="shared" si="20"/>
        <v>343</v>
      </c>
      <c r="B344" s="283">
        <f>YEAR(Table5[[#This Row],[Date]])+IF(MONTH(Table5[[#This Row],[Date]])&gt;=4,1,0)</f>
        <v>2026</v>
      </c>
      <c r="C344" s="79">
        <f>YEAR(Table5[[#This Row],[Date]])</f>
        <v>2025</v>
      </c>
      <c r="D344" s="79" t="s">
        <v>344</v>
      </c>
      <c r="E344" s="284">
        <f>Table5[[#This Row],[Date]]-DAY(Table5[[#This Row],[Date]])+1</f>
        <v>45839</v>
      </c>
      <c r="F344" s="285">
        <v>45851</v>
      </c>
      <c r="G344" s="79" t="s">
        <v>119</v>
      </c>
      <c r="H344" s="23" t="str">
        <f>IFERROR(_xlfn.XLOOKUP(Table5[[#This Row],[Affected WTG]],'Basic Data'!$A:$A,'Basic Data'!$B:$B),"")</f>
        <v>PWEPL</v>
      </c>
      <c r="I344" s="23" t="str">
        <f>IFERROR(_xlfn.XLOOKUP(Table5[[#This Row],[Affected WTG]],'Basic Data'!$A:$A,'Basic Data'!$C:$C),"")</f>
        <v>MSEDCL</v>
      </c>
      <c r="J344" s="286">
        <f>IFERROR(_xlfn.XLOOKUP(Table5[[#This Row],[Affected WTG]],'Basic Data'!$A:$A,'Basic Data'!$E:$E),"")</f>
        <v>2.2727272727272728E-2</v>
      </c>
      <c r="K344" s="79">
        <v>352</v>
      </c>
      <c r="L344" s="23" t="str">
        <f>IFERROR(_xlfn.XLOOKUP(Table5[[#This Row],[Error Code]],'Basic Data'!$W:$W,'Basic Data'!$X:$X),"Incorrect Error Code")</f>
        <v>Communication fault wind measurement device</v>
      </c>
      <c r="M344" s="23" t="s">
        <v>945</v>
      </c>
      <c r="N344" s="23"/>
      <c r="O344" s="355">
        <v>0.82291666666666663</v>
      </c>
      <c r="P344" s="355">
        <v>0.82291666666666663</v>
      </c>
      <c r="Q344" s="355">
        <v>0.98749999999999993</v>
      </c>
      <c r="R344" s="341">
        <f t="shared" si="25"/>
        <v>0.1645833333333333</v>
      </c>
      <c r="S344" s="353">
        <f>(Table5[[#This Row],[Fault Clearance time]]-Table5[[#This Row],[Work Start TimeStamp]])*24</f>
        <v>3.9499999999999993</v>
      </c>
      <c r="T344" s="353">
        <f>(Table5[[#This Row],[Fault Clearance time]]-Table5[[#This Row],[Fault Start TimeStamp]])*24</f>
        <v>3.9499999999999993</v>
      </c>
      <c r="U344" s="23" t="s">
        <v>979</v>
      </c>
      <c r="V344" s="79" t="s">
        <v>339</v>
      </c>
      <c r="W344" s="354">
        <f>IFERROR(Table5[[#This Row],[Breakdown Time]]*Table5[[#This Row],[Plant Equivalent Weightage]],"")</f>
        <v>8.9772727272727254E-2</v>
      </c>
      <c r="X344" s="289" t="s">
        <v>343</v>
      </c>
      <c r="Y344" s="290" t="s">
        <v>118</v>
      </c>
      <c r="Z344" s="79"/>
      <c r="AA344" s="283">
        <v>5764</v>
      </c>
      <c r="AB344" s="79"/>
      <c r="AC344" s="23"/>
      <c r="AD344" s="23"/>
    </row>
    <row r="345" spans="1:30">
      <c r="A345" s="79">
        <f t="shared" si="20"/>
        <v>344</v>
      </c>
      <c r="B345" s="283">
        <f>YEAR(Table5[[#This Row],[Date]])+IF(MONTH(Table5[[#This Row],[Date]])&gt;=4,1,0)</f>
        <v>2026</v>
      </c>
      <c r="C345" s="79">
        <f>YEAR(Table5[[#This Row],[Date]])</f>
        <v>2025</v>
      </c>
      <c r="D345" s="79" t="s">
        <v>344</v>
      </c>
      <c r="E345" s="284">
        <f>Table5[[#This Row],[Date]]-DAY(Table5[[#This Row],[Date]])+1</f>
        <v>45839</v>
      </c>
      <c r="F345" s="285">
        <v>45852</v>
      </c>
      <c r="G345" s="79" t="s">
        <v>109</v>
      </c>
      <c r="H345" s="23" t="str">
        <f>IFERROR(_xlfn.XLOOKUP(Table5[[#This Row],[Affected WTG]],'Basic Data'!$A:$A,'Basic Data'!$B:$B),"")</f>
        <v>PWEPL</v>
      </c>
      <c r="I345" s="23" t="str">
        <f>IFERROR(_xlfn.XLOOKUP(Table5[[#This Row],[Affected WTG]],'Basic Data'!$A:$A,'Basic Data'!$C:$C),"")</f>
        <v>MSEDCL</v>
      </c>
      <c r="J345" s="286">
        <f>IFERROR(_xlfn.XLOOKUP(Table5[[#This Row],[Affected WTG]],'Basic Data'!$A:$A,'Basic Data'!$E:$E),"")</f>
        <v>2.2727272727272728E-2</v>
      </c>
      <c r="K345" s="79">
        <v>275</v>
      </c>
      <c r="L345" s="23" t="str">
        <f>IFERROR(_xlfn.XLOOKUP(Table5[[#This Row],[Error Code]],'Basic Data'!$W:$W,'Basic Data'!$X:$X),"Incorrect Error Code")</f>
        <v>Pitch thyristor 2 fault</v>
      </c>
      <c r="M345" s="23" t="s">
        <v>162</v>
      </c>
      <c r="N345" s="23"/>
      <c r="O345" s="355">
        <v>0.64236111111111105</v>
      </c>
      <c r="P345" s="355">
        <v>0.64236111111111105</v>
      </c>
      <c r="Q345" s="355">
        <v>0.64861111111111114</v>
      </c>
      <c r="R345" s="341">
        <f>Q345-O345</f>
        <v>6.2500000000000888E-3</v>
      </c>
      <c r="S345" s="353">
        <f>(Table5[[#This Row],[Fault Clearance time]]-Table5[[#This Row],[Work Start TimeStamp]])*24</f>
        <v>0.15000000000000213</v>
      </c>
      <c r="T345" s="353">
        <f>(Table5[[#This Row],[Fault Clearance time]]-Table5[[#This Row],[Fault Start TimeStamp]])*24</f>
        <v>0.15000000000000213</v>
      </c>
      <c r="U345" s="23" t="s">
        <v>353</v>
      </c>
      <c r="V345" s="79" t="s">
        <v>339</v>
      </c>
      <c r="W345" s="354">
        <f>IFERROR(Table5[[#This Row],[Breakdown Time]]*Table5[[#This Row],[Plant Equivalent Weightage]],"")</f>
        <v>3.4090909090909575E-3</v>
      </c>
      <c r="X345" s="289" t="s">
        <v>343</v>
      </c>
      <c r="Y345" s="290" t="s">
        <v>114</v>
      </c>
      <c r="Z345" s="79"/>
      <c r="AA345" s="283">
        <v>120</v>
      </c>
      <c r="AB345" s="79"/>
      <c r="AC345" s="23"/>
      <c r="AD345" s="23"/>
    </row>
    <row r="346" spans="1:30">
      <c r="A346" s="79">
        <f t="shared" si="20"/>
        <v>345</v>
      </c>
      <c r="B346" s="283">
        <f>YEAR(Table5[[#This Row],[Date]])+IF(MONTH(Table5[[#This Row],[Date]])&gt;=4,1,0)</f>
        <v>2026</v>
      </c>
      <c r="C346" s="79">
        <f>YEAR(Table5[[#This Row],[Date]])</f>
        <v>2025</v>
      </c>
      <c r="D346" s="79" t="s">
        <v>344</v>
      </c>
      <c r="E346" s="284">
        <f>Table5[[#This Row],[Date]]-DAY(Table5[[#This Row],[Date]])+1</f>
        <v>45839</v>
      </c>
      <c r="F346" s="285">
        <v>45853</v>
      </c>
      <c r="G346" s="79" t="s">
        <v>85</v>
      </c>
      <c r="H346" s="23" t="str">
        <f>IFERROR(_xlfn.XLOOKUP(Table5[[#This Row],[Affected WTG]],'Basic Data'!$A:$A,'Basic Data'!$B:$B),"")</f>
        <v>PWEPL</v>
      </c>
      <c r="I346" s="23" t="str">
        <f>IFERROR(_xlfn.XLOOKUP(Table5[[#This Row],[Affected WTG]],'Basic Data'!$A:$A,'Basic Data'!$C:$C),"")</f>
        <v>MSEDCL</v>
      </c>
      <c r="J346" s="286">
        <f>IFERROR(_xlfn.XLOOKUP(Table5[[#This Row],[Affected WTG]],'Basic Data'!$A:$A,'Basic Data'!$E:$E),"")</f>
        <v>2.2727272727272728E-2</v>
      </c>
      <c r="K346" s="79">
        <v>53</v>
      </c>
      <c r="L346" s="23" t="str">
        <f>IFERROR(_xlfn.XLOOKUP(Table5[[#This Row],[Error Code]],'Basic Data'!$W:$W,'Basic Data'!$X:$X),"Incorrect Error Code")</f>
        <v>Wind vane defect</v>
      </c>
      <c r="M346" s="23" t="s">
        <v>980</v>
      </c>
      <c r="N346" s="23"/>
      <c r="O346" s="355">
        <v>0.2638888888888889</v>
      </c>
      <c r="P346" s="355">
        <v>0.2638888888888889</v>
      </c>
      <c r="Q346" s="355">
        <v>0.45694444444444443</v>
      </c>
      <c r="R346" s="341">
        <f t="shared" ref="R346:R348" si="26">Q346-O346</f>
        <v>0.19305555555555554</v>
      </c>
      <c r="S346" s="353">
        <f>(Table5[[#This Row],[Fault Clearance time]]-Table5[[#This Row],[Work Start TimeStamp]])*24</f>
        <v>4.6333333333333329</v>
      </c>
      <c r="T346" s="353">
        <f>(Table5[[#This Row],[Fault Clearance time]]-Table5[[#This Row],[Fault Start TimeStamp]])*24</f>
        <v>4.6333333333333329</v>
      </c>
      <c r="U346" s="23" t="s">
        <v>981</v>
      </c>
      <c r="V346" s="79" t="s">
        <v>339</v>
      </c>
      <c r="W346" s="354">
        <f>IFERROR(Table5[[#This Row],[Breakdown Time]]*Table5[[#This Row],[Plant Equivalent Weightage]],"")</f>
        <v>0.1053030303030303</v>
      </c>
      <c r="X346" s="289" t="s">
        <v>343</v>
      </c>
      <c r="Y346" s="290" t="s">
        <v>84</v>
      </c>
      <c r="Z346" s="79"/>
      <c r="AA346" s="283">
        <v>4599</v>
      </c>
      <c r="AB346" s="79"/>
      <c r="AC346" s="23"/>
      <c r="AD346" s="23"/>
    </row>
    <row r="347" spans="1:30">
      <c r="A347" s="79">
        <f t="shared" si="20"/>
        <v>346</v>
      </c>
      <c r="B347" s="283">
        <f>YEAR(Table5[[#This Row],[Date]])+IF(MONTH(Table5[[#This Row],[Date]])&gt;=4,1,0)</f>
        <v>2026</v>
      </c>
      <c r="C347" s="79">
        <f>YEAR(Table5[[#This Row],[Date]])</f>
        <v>2025</v>
      </c>
      <c r="D347" s="79" t="s">
        <v>344</v>
      </c>
      <c r="E347" s="284">
        <f>Table5[[#This Row],[Date]]-DAY(Table5[[#This Row],[Date]])+1</f>
        <v>45839</v>
      </c>
      <c r="F347" s="285">
        <v>45853</v>
      </c>
      <c r="G347" s="79" t="s">
        <v>100</v>
      </c>
      <c r="H347" s="23" t="str">
        <f>IFERROR(_xlfn.XLOOKUP(Table5[[#This Row],[Affected WTG]],'Basic Data'!$A:$A,'Basic Data'!$B:$B),"")</f>
        <v>PWEPL</v>
      </c>
      <c r="I347" s="23" t="str">
        <f>IFERROR(_xlfn.XLOOKUP(Table5[[#This Row],[Affected WTG]],'Basic Data'!$A:$A,'Basic Data'!$C:$C),"")</f>
        <v>MSEDCL</v>
      </c>
      <c r="J347" s="286">
        <f>IFERROR(_xlfn.XLOOKUP(Table5[[#This Row],[Affected WTG]],'Basic Data'!$A:$A,'Basic Data'!$E:$E),"")</f>
        <v>2.2727272727272728E-2</v>
      </c>
      <c r="K347" s="79">
        <v>3</v>
      </c>
      <c r="L347" s="23" t="str">
        <f>IFERROR(_xlfn.XLOOKUP(Table5[[#This Row],[Error Code]],'Basic Data'!$W:$W,'Basic Data'!$X:$X),"Incorrect Error Code")</f>
        <v>Manual Stop</v>
      </c>
      <c r="M347" s="23" t="s">
        <v>977</v>
      </c>
      <c r="N347" s="23"/>
      <c r="O347" s="355">
        <v>0.59722222222222221</v>
      </c>
      <c r="P347" s="355">
        <v>0.59722222222222221</v>
      </c>
      <c r="Q347" s="355">
        <v>0.65486111111111112</v>
      </c>
      <c r="R347" s="341">
        <f t="shared" si="26"/>
        <v>5.7638888888888906E-2</v>
      </c>
      <c r="S347" s="353">
        <f>(Table5[[#This Row],[Fault Clearance time]]-Table5[[#This Row],[Work Start TimeStamp]])*24</f>
        <v>1.3833333333333337</v>
      </c>
      <c r="T347" s="353">
        <f>(Table5[[#This Row],[Fault Clearance time]]-Table5[[#This Row],[Fault Start TimeStamp]])*24</f>
        <v>1.3833333333333337</v>
      </c>
      <c r="U347" s="23" t="s">
        <v>978</v>
      </c>
      <c r="V347" s="79" t="s">
        <v>339</v>
      </c>
      <c r="W347" s="354">
        <f>IFERROR(Table5[[#This Row],[Breakdown Time]]*Table5[[#This Row],[Plant Equivalent Weightage]],"")</f>
        <v>3.1439393939393948E-2</v>
      </c>
      <c r="X347" s="289" t="s">
        <v>394</v>
      </c>
      <c r="Y347" s="290" t="s">
        <v>101</v>
      </c>
      <c r="Z347" s="79"/>
      <c r="AA347" s="283">
        <v>1201</v>
      </c>
      <c r="AB347" s="79"/>
      <c r="AC347" s="23"/>
      <c r="AD347" s="23"/>
    </row>
    <row r="348" spans="1:30">
      <c r="A348" s="79">
        <f t="shared" si="20"/>
        <v>347</v>
      </c>
      <c r="B348" s="283">
        <f>YEAR(Table5[[#This Row],[Date]])+IF(MONTH(Table5[[#This Row],[Date]])&gt;=4,1,0)</f>
        <v>2026</v>
      </c>
      <c r="C348" s="79">
        <f>YEAR(Table5[[#This Row],[Date]])</f>
        <v>2025</v>
      </c>
      <c r="D348" s="79" t="s">
        <v>344</v>
      </c>
      <c r="E348" s="284">
        <f>Table5[[#This Row],[Date]]-DAY(Table5[[#This Row],[Date]])+1</f>
        <v>45839</v>
      </c>
      <c r="F348" s="285">
        <v>45853</v>
      </c>
      <c r="G348" s="79" t="s">
        <v>88</v>
      </c>
      <c r="H348" s="23" t="str">
        <f>IFERROR(_xlfn.XLOOKUP(Table5[[#This Row],[Affected WTG]],'Basic Data'!$A:$A,'Basic Data'!$B:$B),"")</f>
        <v>PWEPL</v>
      </c>
      <c r="I348" s="23" t="str">
        <f>IFERROR(_xlfn.XLOOKUP(Table5[[#This Row],[Affected WTG]],'Basic Data'!$A:$A,'Basic Data'!$C:$C),"")</f>
        <v>MSEDCL</v>
      </c>
      <c r="J348" s="286">
        <f>IFERROR(_xlfn.XLOOKUP(Table5[[#This Row],[Affected WTG]],'Basic Data'!$A:$A,'Basic Data'!$E:$E),"")</f>
        <v>2.2727272727272728E-2</v>
      </c>
      <c r="K348" s="79">
        <v>213</v>
      </c>
      <c r="L348" s="23" t="str">
        <f>IFERROR(_xlfn.XLOOKUP(Table5[[#This Row],[Error Code]],'Basic Data'!$W:$W,'Basic Data'!$X:$X),"Incorrect Error Code")</f>
        <v>Battery voltage not OK axis 2</v>
      </c>
      <c r="M348" s="23" t="s">
        <v>947</v>
      </c>
      <c r="N348" s="23"/>
      <c r="O348" s="355">
        <v>0.9291666666666667</v>
      </c>
      <c r="P348" s="355">
        <v>0.9291666666666667</v>
      </c>
      <c r="Q348" s="355">
        <v>0.99930555555555556</v>
      </c>
      <c r="R348" s="341">
        <f t="shared" si="26"/>
        <v>7.0138888888888862E-2</v>
      </c>
      <c r="S348" s="353">
        <f>(Table5[[#This Row],[Fault Clearance time]]-Table5[[#This Row],[Work Start TimeStamp]])*24</f>
        <v>1.6833333333333327</v>
      </c>
      <c r="T348" s="353">
        <f>(Table5[[#This Row],[Fault Clearance time]]-Table5[[#This Row],[Fault Start TimeStamp]])*24</f>
        <v>1.6833333333333327</v>
      </c>
      <c r="U348" s="23" t="s">
        <v>956</v>
      </c>
      <c r="V348" s="79" t="s">
        <v>339</v>
      </c>
      <c r="W348" s="354">
        <f>IFERROR(Table5[[#This Row],[Breakdown Time]]*Table5[[#This Row],[Plant Equivalent Weightage]],"")</f>
        <v>3.8257575757575747E-2</v>
      </c>
      <c r="X348" s="289" t="s">
        <v>343</v>
      </c>
      <c r="Y348" s="290" t="s">
        <v>87</v>
      </c>
      <c r="Z348" s="79"/>
      <c r="AA348" s="283">
        <v>913</v>
      </c>
      <c r="AB348" s="79"/>
      <c r="AC348" s="23"/>
      <c r="AD348" s="23"/>
    </row>
    <row r="349" spans="1:30">
      <c r="A349" s="79">
        <f t="shared" si="20"/>
        <v>348</v>
      </c>
      <c r="B349" s="283">
        <f>YEAR(Table5[[#This Row],[Date]])+IF(MONTH(Table5[[#This Row],[Date]])&gt;=4,1,0)</f>
        <v>2026</v>
      </c>
      <c r="C349" s="79">
        <f>YEAR(Table5[[#This Row],[Date]])</f>
        <v>2025</v>
      </c>
      <c r="D349" s="79" t="s">
        <v>344</v>
      </c>
      <c r="E349" s="284">
        <f>Table5[[#This Row],[Date]]-DAY(Table5[[#This Row],[Date]])+1</f>
        <v>45839</v>
      </c>
      <c r="F349" s="285">
        <v>45854</v>
      </c>
      <c r="G349" s="79" t="s">
        <v>88</v>
      </c>
      <c r="H349" s="23" t="str">
        <f>IFERROR(_xlfn.XLOOKUP(Table5[[#This Row],[Affected WTG]],'Basic Data'!$A:$A,'Basic Data'!$B:$B),"")</f>
        <v>PWEPL</v>
      </c>
      <c r="I349" s="23" t="str">
        <f>IFERROR(_xlfn.XLOOKUP(Table5[[#This Row],[Affected WTG]],'Basic Data'!$A:$A,'Basic Data'!$C:$C),"")</f>
        <v>MSEDCL</v>
      </c>
      <c r="J349" s="286">
        <f>IFERROR(_xlfn.XLOOKUP(Table5[[#This Row],[Affected WTG]],'Basic Data'!$A:$A,'Basic Data'!$E:$E),"")</f>
        <v>2.2727272727272728E-2</v>
      </c>
      <c r="K349" s="79">
        <v>213</v>
      </c>
      <c r="L349" s="23" t="str">
        <f>IFERROR(_xlfn.XLOOKUP(Table5[[#This Row],[Error Code]],'Basic Data'!$W:$W,'Basic Data'!$X:$X),"Incorrect Error Code")</f>
        <v>Battery voltage not OK axis 2</v>
      </c>
      <c r="M349" s="23" t="s">
        <v>947</v>
      </c>
      <c r="N349" s="23"/>
      <c r="O349" s="355">
        <v>0</v>
      </c>
      <c r="P349" s="355">
        <v>0</v>
      </c>
      <c r="Q349" s="355">
        <v>4.3055555555555562E-2</v>
      </c>
      <c r="R349" s="341">
        <f t="shared" ref="R349:R350" si="27">Q349-O349</f>
        <v>4.3055555555555562E-2</v>
      </c>
      <c r="S349" s="353">
        <f>(Table5[[#This Row],[Fault Clearance time]]-Table5[[#This Row],[Work Start TimeStamp]])*24</f>
        <v>1.0333333333333334</v>
      </c>
      <c r="T349" s="353">
        <f>(Table5[[#This Row],[Fault Clearance time]]-Table5[[#This Row],[Fault Start TimeStamp]])*24</f>
        <v>1.0333333333333334</v>
      </c>
      <c r="U349" s="23" t="s">
        <v>897</v>
      </c>
      <c r="V349" s="79" t="s">
        <v>339</v>
      </c>
      <c r="W349" s="354">
        <f>IFERROR(Table5[[#This Row],[Breakdown Time]]*Table5[[#This Row],[Plant Equivalent Weightage]],"")</f>
        <v>2.3484848484848487E-2</v>
      </c>
      <c r="X349" s="289" t="s">
        <v>343</v>
      </c>
      <c r="Y349" s="290" t="s">
        <v>87</v>
      </c>
      <c r="Z349" s="79"/>
      <c r="AA349" s="283">
        <v>568</v>
      </c>
      <c r="AB349" s="79"/>
      <c r="AC349" s="23"/>
      <c r="AD349" s="23"/>
    </row>
    <row r="350" spans="1:30">
      <c r="A350" s="79">
        <f t="shared" si="20"/>
        <v>349</v>
      </c>
      <c r="B350" s="283">
        <f>YEAR(Table5[[#This Row],[Date]])+IF(MONTH(Table5[[#This Row],[Date]])&gt;=4,1,0)</f>
        <v>2026</v>
      </c>
      <c r="C350" s="79">
        <f>YEAR(Table5[[#This Row],[Date]])</f>
        <v>2025</v>
      </c>
      <c r="D350" s="79" t="s">
        <v>344</v>
      </c>
      <c r="E350" s="284">
        <f>Table5[[#This Row],[Date]]-DAY(Table5[[#This Row],[Date]])+1</f>
        <v>45839</v>
      </c>
      <c r="F350" s="285">
        <v>45854</v>
      </c>
      <c r="G350" s="79" t="s">
        <v>99</v>
      </c>
      <c r="H350" s="23" t="str">
        <f>IFERROR(_xlfn.XLOOKUP(Table5[[#This Row],[Affected WTG]],'Basic Data'!$A:$A,'Basic Data'!$B:$B),"")</f>
        <v>PWEPL</v>
      </c>
      <c r="I350" s="23" t="str">
        <f>IFERROR(_xlfn.XLOOKUP(Table5[[#This Row],[Affected WTG]],'Basic Data'!$A:$A,'Basic Data'!$C:$C),"")</f>
        <v>MSEDCL</v>
      </c>
      <c r="J350" s="286">
        <f>IFERROR(_xlfn.XLOOKUP(Table5[[#This Row],[Affected WTG]],'Basic Data'!$A:$A,'Basic Data'!$E:$E),"")</f>
        <v>2.2727272727272728E-2</v>
      </c>
      <c r="K350" s="79">
        <v>3</v>
      </c>
      <c r="L350" s="23" t="str">
        <f>IFERROR(_xlfn.XLOOKUP(Table5[[#This Row],[Error Code]],'Basic Data'!$W:$W,'Basic Data'!$X:$X),"Incorrect Error Code")</f>
        <v>Manual Stop</v>
      </c>
      <c r="M350" s="23" t="s">
        <v>977</v>
      </c>
      <c r="N350" s="23"/>
      <c r="O350" s="355">
        <v>0.56944444444444442</v>
      </c>
      <c r="P350" s="355">
        <v>0.56944444444444442</v>
      </c>
      <c r="Q350" s="355">
        <v>0.61597222222222225</v>
      </c>
      <c r="R350" s="341">
        <f t="shared" si="27"/>
        <v>4.6527777777777835E-2</v>
      </c>
      <c r="S350" s="353">
        <f>(Table5[[#This Row],[Fault Clearance time]]-Table5[[#This Row],[Work Start TimeStamp]])*24</f>
        <v>1.116666666666668</v>
      </c>
      <c r="T350" s="353">
        <f>(Table5[[#This Row],[Fault Clearance time]]-Table5[[#This Row],[Fault Start TimeStamp]])*24</f>
        <v>1.116666666666668</v>
      </c>
      <c r="U350" s="23" t="s">
        <v>982</v>
      </c>
      <c r="V350" s="79" t="s">
        <v>339</v>
      </c>
      <c r="W350" s="354">
        <f>IFERROR(Table5[[#This Row],[Breakdown Time]]*Table5[[#This Row],[Plant Equivalent Weightage]],"")</f>
        <v>2.537878787878791E-2</v>
      </c>
      <c r="X350" s="289" t="s">
        <v>394</v>
      </c>
      <c r="Y350" s="290" t="s">
        <v>98</v>
      </c>
      <c r="Z350" s="79"/>
      <c r="AA350" s="283">
        <v>436</v>
      </c>
      <c r="AB350" s="79"/>
      <c r="AC350" s="23"/>
      <c r="AD350" s="23"/>
    </row>
    <row r="351" spans="1:30">
      <c r="A351" s="79">
        <f t="shared" si="20"/>
        <v>350</v>
      </c>
      <c r="B351" s="283">
        <f>YEAR(Table5[[#This Row],[Date]])+IF(MONTH(Table5[[#This Row],[Date]])&gt;=4,1,0)</f>
        <v>2026</v>
      </c>
      <c r="C351" s="79">
        <f>YEAR(Table5[[#This Row],[Date]])</f>
        <v>2025</v>
      </c>
      <c r="D351" s="79" t="s">
        <v>344</v>
      </c>
      <c r="E351" s="284">
        <f>Table5[[#This Row],[Date]]-DAY(Table5[[#This Row],[Date]])+1</f>
        <v>45839</v>
      </c>
      <c r="F351" s="285">
        <v>45855</v>
      </c>
      <c r="G351" s="79" t="s">
        <v>83</v>
      </c>
      <c r="H351" s="23" t="str">
        <f>IFERROR(_xlfn.XLOOKUP(Table5[[#This Row],[Affected WTG]],'Basic Data'!$A:$A,'Basic Data'!$B:$B),"")</f>
        <v>PWEPL</v>
      </c>
      <c r="I351" s="23" t="str">
        <f>IFERROR(_xlfn.XLOOKUP(Table5[[#This Row],[Affected WTG]],'Basic Data'!$A:$A,'Basic Data'!$C:$C),"")</f>
        <v>MSEDCL</v>
      </c>
      <c r="J351" s="286">
        <f>IFERROR(_xlfn.XLOOKUP(Table5[[#This Row],[Affected WTG]],'Basic Data'!$A:$A,'Basic Data'!$E:$E),"")</f>
        <v>2.2727272727272728E-2</v>
      </c>
      <c r="K351" s="79">
        <v>3</v>
      </c>
      <c r="L351" s="23" t="str">
        <f>IFERROR(_xlfn.XLOOKUP(Table5[[#This Row],[Error Code]],'Basic Data'!$W:$W,'Basic Data'!$X:$X),"Incorrect Error Code")</f>
        <v>Manual Stop</v>
      </c>
      <c r="M351" s="23" t="s">
        <v>977</v>
      </c>
      <c r="N351" s="23"/>
      <c r="O351" s="355">
        <v>0.59166666666666667</v>
      </c>
      <c r="P351" s="355">
        <v>0.59166666666666667</v>
      </c>
      <c r="Q351" s="355">
        <v>0.66805555555555562</v>
      </c>
      <c r="R351" s="341">
        <f>Q351-O351</f>
        <v>7.6388888888888951E-2</v>
      </c>
      <c r="S351" s="353">
        <f>(Table5[[#This Row],[Fault Clearance time]]-Table5[[#This Row],[Work Start TimeStamp]])*24</f>
        <v>1.8333333333333348</v>
      </c>
      <c r="T351" s="353">
        <f>(Table5[[#This Row],[Fault Clearance time]]-Table5[[#This Row],[Fault Start TimeStamp]])*24</f>
        <v>1.8333333333333348</v>
      </c>
      <c r="U351" s="23" t="s">
        <v>977</v>
      </c>
      <c r="V351" s="79" t="s">
        <v>339</v>
      </c>
      <c r="W351" s="354">
        <f>IFERROR(Table5[[#This Row],[Breakdown Time]]*Table5[[#This Row],[Plant Equivalent Weightage]],"")</f>
        <v>4.1666666666666699E-2</v>
      </c>
      <c r="X351" s="289" t="s">
        <v>394</v>
      </c>
      <c r="Y351" s="290" t="s">
        <v>98</v>
      </c>
      <c r="Z351" s="79"/>
      <c r="AA351" s="283">
        <v>629</v>
      </c>
      <c r="AB351" s="79"/>
      <c r="AC351" s="23"/>
      <c r="AD351" s="23"/>
    </row>
    <row r="352" spans="1:30">
      <c r="A352" s="79">
        <f t="shared" si="20"/>
        <v>351</v>
      </c>
      <c r="B352" s="283">
        <f>YEAR(Table5[[#This Row],[Date]])+IF(MONTH(Table5[[#This Row],[Date]])&gt;=4,1,0)</f>
        <v>2026</v>
      </c>
      <c r="C352" s="79">
        <f>YEAR(Table5[[#This Row],[Date]])</f>
        <v>2025</v>
      </c>
      <c r="D352" s="79" t="s">
        <v>344</v>
      </c>
      <c r="E352" s="284">
        <f>Table5[[#This Row],[Date]]-DAY(Table5[[#This Row],[Date]])+1</f>
        <v>45839</v>
      </c>
      <c r="F352" s="285">
        <v>45856</v>
      </c>
      <c r="G352" s="79" t="s">
        <v>88</v>
      </c>
      <c r="H352" s="23" t="str">
        <f>IFERROR(_xlfn.XLOOKUP(Table5[[#This Row],[Affected WTG]],'Basic Data'!$A:$A,'Basic Data'!$B:$B),"")</f>
        <v>PWEPL</v>
      </c>
      <c r="I352" s="23" t="str">
        <f>IFERROR(_xlfn.XLOOKUP(Table5[[#This Row],[Affected WTG]],'Basic Data'!$A:$A,'Basic Data'!$C:$C),"")</f>
        <v>MSEDCL</v>
      </c>
      <c r="J352" s="286">
        <f>IFERROR(_xlfn.XLOOKUP(Table5[[#This Row],[Affected WTG]],'Basic Data'!$A:$A,'Basic Data'!$E:$E),"")</f>
        <v>2.2727272727272728E-2</v>
      </c>
      <c r="K352" s="79">
        <v>52</v>
      </c>
      <c r="L352" s="23" t="str">
        <f>IFERROR(_xlfn.XLOOKUP(Table5[[#This Row],[Error Code]],'Basic Data'!$W:$W,'Basic Data'!$X:$X),"Incorrect Error Code")</f>
        <v>Gearbox oil ressure too lo</v>
      </c>
      <c r="M352" s="23" t="s">
        <v>872</v>
      </c>
      <c r="N352" s="23"/>
      <c r="O352" s="355">
        <v>9.3055555555555558E-2</v>
      </c>
      <c r="P352" s="355">
        <v>9.3055555555555558E-2</v>
      </c>
      <c r="Q352" s="355">
        <v>0.1875</v>
      </c>
      <c r="R352" s="341">
        <f t="shared" ref="R352:R355" si="28">Q352-O352</f>
        <v>9.4444444444444442E-2</v>
      </c>
      <c r="S352" s="353">
        <f>(Table5[[#This Row],[Fault Clearance time]]-Table5[[#This Row],[Work Start TimeStamp]])*24</f>
        <v>2.2666666666666666</v>
      </c>
      <c r="T352" s="353">
        <f>(Table5[[#This Row],[Fault Clearance time]]-Table5[[#This Row],[Fault Start TimeStamp]])*24</f>
        <v>2.2666666666666666</v>
      </c>
      <c r="U352" s="23" t="s">
        <v>984</v>
      </c>
      <c r="V352" s="79" t="s">
        <v>339</v>
      </c>
      <c r="W352" s="354">
        <f>IFERROR(Table5[[#This Row],[Breakdown Time]]*Table5[[#This Row],[Plant Equivalent Weightage]],"")</f>
        <v>5.1515151515151514E-2</v>
      </c>
      <c r="X352" s="289" t="s">
        <v>343</v>
      </c>
      <c r="Y352" s="290" t="s">
        <v>87</v>
      </c>
      <c r="Z352" s="79"/>
      <c r="AA352" s="283">
        <v>609</v>
      </c>
      <c r="AB352" s="79"/>
      <c r="AC352" s="23"/>
      <c r="AD352" s="23"/>
    </row>
    <row r="353" spans="1:30">
      <c r="A353" s="79">
        <f t="shared" si="20"/>
        <v>352</v>
      </c>
      <c r="B353" s="283">
        <f>YEAR(Table5[[#This Row],[Date]])+IF(MONTH(Table5[[#This Row],[Date]])&gt;=4,1,0)</f>
        <v>2026</v>
      </c>
      <c r="C353" s="79">
        <f>YEAR(Table5[[#This Row],[Date]])</f>
        <v>2025</v>
      </c>
      <c r="D353" s="79" t="s">
        <v>344</v>
      </c>
      <c r="E353" s="284">
        <f>Table5[[#This Row],[Date]]-DAY(Table5[[#This Row],[Date]])+1</f>
        <v>45839</v>
      </c>
      <c r="F353" s="285">
        <v>45856</v>
      </c>
      <c r="G353" s="79" t="s">
        <v>111</v>
      </c>
      <c r="H353" s="23" t="str">
        <f>IFERROR(_xlfn.XLOOKUP(Table5[[#This Row],[Affected WTG]],'Basic Data'!$A:$A,'Basic Data'!$B:$B),"")</f>
        <v>PWEPL</v>
      </c>
      <c r="I353" s="23" t="str">
        <f>IFERROR(_xlfn.XLOOKUP(Table5[[#This Row],[Affected WTG]],'Basic Data'!$A:$A,'Basic Data'!$C:$C),"")</f>
        <v>MSEDCL</v>
      </c>
      <c r="J353" s="286">
        <f>IFERROR(_xlfn.XLOOKUP(Table5[[#This Row],[Affected WTG]],'Basic Data'!$A:$A,'Basic Data'!$E:$E),"")</f>
        <v>2.2727272727272728E-2</v>
      </c>
      <c r="K353" s="79">
        <v>3</v>
      </c>
      <c r="L353" s="23" t="str">
        <f>IFERROR(_xlfn.XLOOKUP(Table5[[#This Row],[Error Code]],'Basic Data'!$W:$W,'Basic Data'!$X:$X),"Incorrect Error Code")</f>
        <v>Manual Stop</v>
      </c>
      <c r="M353" s="23" t="s">
        <v>977</v>
      </c>
      <c r="N353" s="23"/>
      <c r="O353" s="355">
        <v>0.5131944444444444</v>
      </c>
      <c r="P353" s="355">
        <v>0.5131944444444444</v>
      </c>
      <c r="Q353" s="355">
        <v>0.58194444444444449</v>
      </c>
      <c r="R353" s="341">
        <f t="shared" si="28"/>
        <v>6.8750000000000089E-2</v>
      </c>
      <c r="S353" s="353">
        <f>(Table5[[#This Row],[Fault Clearance time]]-Table5[[#This Row],[Work Start TimeStamp]])*24</f>
        <v>1.6500000000000021</v>
      </c>
      <c r="T353" s="353">
        <f>(Table5[[#This Row],[Fault Clearance time]]-Table5[[#This Row],[Fault Start TimeStamp]])*24</f>
        <v>1.6500000000000021</v>
      </c>
      <c r="U353" s="23" t="s">
        <v>978</v>
      </c>
      <c r="V353" s="79" t="s">
        <v>339</v>
      </c>
      <c r="W353" s="354">
        <f>IFERROR(Table5[[#This Row],[Breakdown Time]]*Table5[[#This Row],[Plant Equivalent Weightage]],"")</f>
        <v>3.7500000000000047E-2</v>
      </c>
      <c r="X353" s="289" t="s">
        <v>394</v>
      </c>
      <c r="Y353" s="290" t="s">
        <v>112</v>
      </c>
      <c r="Z353" s="79"/>
      <c r="AA353" s="283">
        <v>680</v>
      </c>
      <c r="AB353" s="79"/>
      <c r="AC353" s="23"/>
      <c r="AD353" s="23"/>
    </row>
    <row r="354" spans="1:30">
      <c r="A354" s="79">
        <f t="shared" si="20"/>
        <v>353</v>
      </c>
      <c r="B354" s="283">
        <f>YEAR(Table5[[#This Row],[Date]])+IF(MONTH(Table5[[#This Row],[Date]])&gt;=4,1,0)</f>
        <v>2026</v>
      </c>
      <c r="C354" s="79">
        <f>YEAR(Table5[[#This Row],[Date]])</f>
        <v>2025</v>
      </c>
      <c r="D354" s="79" t="s">
        <v>344</v>
      </c>
      <c r="E354" s="284">
        <f>Table5[[#This Row],[Date]]-DAY(Table5[[#This Row],[Date]])+1</f>
        <v>45839</v>
      </c>
      <c r="F354" s="285">
        <v>45856</v>
      </c>
      <c r="G354" s="79" t="s">
        <v>81</v>
      </c>
      <c r="H354" s="23" t="str">
        <f>IFERROR(_xlfn.XLOOKUP(Table5[[#This Row],[Affected WTG]],'Basic Data'!$A:$A,'Basic Data'!$B:$B),"")</f>
        <v>PWEPL</v>
      </c>
      <c r="I354" s="23" t="str">
        <f>IFERROR(_xlfn.XLOOKUP(Table5[[#This Row],[Affected WTG]],'Basic Data'!$A:$A,'Basic Data'!$C:$C),"")</f>
        <v>MSEDCL</v>
      </c>
      <c r="J354" s="286">
        <f>IFERROR(_xlfn.XLOOKUP(Table5[[#This Row],[Affected WTG]],'Basic Data'!$A:$A,'Basic Data'!$E:$E),"")</f>
        <v>2.2727272727272728E-2</v>
      </c>
      <c r="K354" s="79">
        <v>3</v>
      </c>
      <c r="L354" s="23" t="str">
        <f>IFERROR(_xlfn.XLOOKUP(Table5[[#This Row],[Error Code]],'Basic Data'!$W:$W,'Basic Data'!$X:$X),"Incorrect Error Code")</f>
        <v>Manual Stop</v>
      </c>
      <c r="M354" s="23" t="s">
        <v>983</v>
      </c>
      <c r="N354" s="23"/>
      <c r="O354" s="355">
        <v>0.51458333333333328</v>
      </c>
      <c r="P354" s="355">
        <v>0.51458333333333328</v>
      </c>
      <c r="Q354" s="355">
        <v>0.59861111111111109</v>
      </c>
      <c r="R354" s="341">
        <f t="shared" si="28"/>
        <v>8.4027777777777812E-2</v>
      </c>
      <c r="S354" s="353">
        <f>(Table5[[#This Row],[Fault Clearance time]]-Table5[[#This Row],[Work Start TimeStamp]])*24</f>
        <v>2.0166666666666675</v>
      </c>
      <c r="T354" s="353">
        <f>(Table5[[#This Row],[Fault Clearance time]]-Table5[[#This Row],[Fault Start TimeStamp]])*24</f>
        <v>2.0166666666666675</v>
      </c>
      <c r="U354" s="23" t="s">
        <v>985</v>
      </c>
      <c r="V354" s="79" t="s">
        <v>339</v>
      </c>
      <c r="W354" s="354">
        <f>IFERROR(Table5[[#This Row],[Breakdown Time]]*Table5[[#This Row],[Plant Equivalent Weightage]],"")</f>
        <v>4.5833333333333351E-2</v>
      </c>
      <c r="X354" s="289" t="s">
        <v>343</v>
      </c>
      <c r="Y354" s="290" t="s">
        <v>108</v>
      </c>
      <c r="Z354" s="79"/>
      <c r="AA354" s="283">
        <v>826</v>
      </c>
      <c r="AB354" s="79"/>
      <c r="AC354" s="23"/>
      <c r="AD354" s="23"/>
    </row>
    <row r="355" spans="1:30">
      <c r="A355" s="79">
        <f t="shared" si="20"/>
        <v>354</v>
      </c>
      <c r="B355" s="283">
        <f>YEAR(Table5[[#This Row],[Date]])+IF(MONTH(Table5[[#This Row],[Date]])&gt;=4,1,0)</f>
        <v>2026</v>
      </c>
      <c r="C355" s="79">
        <f>YEAR(Table5[[#This Row],[Date]])</f>
        <v>2025</v>
      </c>
      <c r="D355" s="79" t="s">
        <v>344</v>
      </c>
      <c r="E355" s="284">
        <f>Table5[[#This Row],[Date]]-DAY(Table5[[#This Row],[Date]])+1</f>
        <v>45839</v>
      </c>
      <c r="F355" s="285">
        <v>45856</v>
      </c>
      <c r="G355" s="79" t="s">
        <v>119</v>
      </c>
      <c r="H355" s="23" t="str">
        <f>IFERROR(_xlfn.XLOOKUP(Table5[[#This Row],[Affected WTG]],'Basic Data'!$A:$A,'Basic Data'!$B:$B),"")</f>
        <v>PWEPL</v>
      </c>
      <c r="I355" s="23" t="str">
        <f>IFERROR(_xlfn.XLOOKUP(Table5[[#This Row],[Affected WTG]],'Basic Data'!$A:$A,'Basic Data'!$C:$C),"")</f>
        <v>MSEDCL</v>
      </c>
      <c r="J355" s="286">
        <f>IFERROR(_xlfn.XLOOKUP(Table5[[#This Row],[Affected WTG]],'Basic Data'!$A:$A,'Basic Data'!$E:$E),"")</f>
        <v>2.2727272727272728E-2</v>
      </c>
      <c r="K355" s="79">
        <v>3</v>
      </c>
      <c r="L355" s="23" t="str">
        <f>IFERROR(_xlfn.XLOOKUP(Table5[[#This Row],[Error Code]],'Basic Data'!$W:$W,'Basic Data'!$X:$X),"Incorrect Error Code")</f>
        <v>Manual Stop</v>
      </c>
      <c r="M355" s="23" t="s">
        <v>983</v>
      </c>
      <c r="N355" s="23"/>
      <c r="O355" s="355">
        <v>0.79791666666666661</v>
      </c>
      <c r="P355" s="355">
        <v>0.79791666666666661</v>
      </c>
      <c r="Q355" s="355">
        <v>0.85069444444444453</v>
      </c>
      <c r="R355" s="341">
        <f t="shared" si="28"/>
        <v>5.2777777777777923E-2</v>
      </c>
      <c r="S355" s="353">
        <f>(Table5[[#This Row],[Fault Clearance time]]-Table5[[#This Row],[Work Start TimeStamp]])*24</f>
        <v>1.2666666666666702</v>
      </c>
      <c r="T355" s="353">
        <f>(Table5[[#This Row],[Fault Clearance time]]-Table5[[#This Row],[Fault Start TimeStamp]])*24</f>
        <v>1.2666666666666702</v>
      </c>
      <c r="U355" s="23" t="s">
        <v>985</v>
      </c>
      <c r="V355" s="79" t="s">
        <v>339</v>
      </c>
      <c r="W355" s="354">
        <f>IFERROR(Table5[[#This Row],[Breakdown Time]]*Table5[[#This Row],[Plant Equivalent Weightage]],"")</f>
        <v>2.8787878787878869E-2</v>
      </c>
      <c r="X355" s="289" t="s">
        <v>343</v>
      </c>
      <c r="Y355" s="290" t="s">
        <v>118</v>
      </c>
      <c r="Z355" s="79"/>
      <c r="AA355" s="283">
        <v>792</v>
      </c>
      <c r="AB355" s="79"/>
      <c r="AC355" s="23"/>
      <c r="AD355" s="23"/>
    </row>
    <row r="356" spans="1:30">
      <c r="A356" s="79">
        <f t="shared" si="20"/>
        <v>355</v>
      </c>
      <c r="B356" s="283">
        <f>YEAR(Table5[[#This Row],[Date]])+IF(MONTH(Table5[[#This Row],[Date]])&gt;=4,1,0)</f>
        <v>2026</v>
      </c>
      <c r="C356" s="79">
        <f>YEAR(Table5[[#This Row],[Date]])</f>
        <v>2025</v>
      </c>
      <c r="D356" s="79" t="s">
        <v>344</v>
      </c>
      <c r="E356" s="284">
        <f>Table5[[#This Row],[Date]]-DAY(Table5[[#This Row],[Date]])+1</f>
        <v>45839</v>
      </c>
      <c r="F356" s="285">
        <v>45857</v>
      </c>
      <c r="G356" s="79" t="s">
        <v>76</v>
      </c>
      <c r="H356" s="23" t="str">
        <f>IFERROR(_xlfn.XLOOKUP(Table5[[#This Row],[Affected WTG]],'Basic Data'!$A:$A,'Basic Data'!$B:$B),"")</f>
        <v>PWEPL</v>
      </c>
      <c r="I356" s="23" t="str">
        <f>IFERROR(_xlfn.XLOOKUP(Table5[[#This Row],[Affected WTG]],'Basic Data'!$A:$A,'Basic Data'!$C:$C),"")</f>
        <v>MSEDCL</v>
      </c>
      <c r="J356" s="286">
        <f>IFERROR(_xlfn.XLOOKUP(Table5[[#This Row],[Affected WTG]],'Basic Data'!$A:$A,'Basic Data'!$E:$E),"")</f>
        <v>2.2727272727272728E-2</v>
      </c>
      <c r="K356" s="79">
        <v>269</v>
      </c>
      <c r="L356" s="23" t="str">
        <f>IFERROR(_xlfn.XLOOKUP(Table5[[#This Row],[Error Code]],'Basic Data'!$W:$W,'Basic Data'!$X:$X),"Incorrect Error Code")</f>
        <v>Reboot PLC</v>
      </c>
      <c r="M356" s="23" t="s">
        <v>975</v>
      </c>
      <c r="N356" s="23"/>
      <c r="O356" s="355">
        <v>0.73611111111111116</v>
      </c>
      <c r="P356" s="355">
        <v>0.73611111111111116</v>
      </c>
      <c r="Q356" s="355">
        <v>0.81111111111111101</v>
      </c>
      <c r="R356" s="341">
        <f t="shared" ref="R356:R361" si="29">Q356-O356</f>
        <v>7.4999999999999845E-2</v>
      </c>
      <c r="S356" s="353">
        <f>(Table5[[#This Row],[Fault Clearance time]]-Table5[[#This Row],[Work Start TimeStamp]])*24</f>
        <v>1.7999999999999963</v>
      </c>
      <c r="T356" s="353">
        <f>(Table5[[#This Row],[Fault Clearance time]]-Table5[[#This Row],[Fault Start TimeStamp]])*24</f>
        <v>1.7999999999999963</v>
      </c>
      <c r="U356" s="23" t="s">
        <v>882</v>
      </c>
      <c r="V356" s="79" t="s">
        <v>339</v>
      </c>
      <c r="W356" s="354">
        <f>IFERROR(Table5[[#This Row],[Breakdown Time]]*Table5[[#This Row],[Plant Equivalent Weightage]],"")</f>
        <v>4.0909090909090826E-2</v>
      </c>
      <c r="X356" s="289" t="s">
        <v>343</v>
      </c>
      <c r="Y356" s="290" t="s">
        <v>82</v>
      </c>
      <c r="Z356" s="79"/>
      <c r="AA356" s="283">
        <v>976</v>
      </c>
      <c r="AB356" s="79"/>
      <c r="AC356" s="23"/>
      <c r="AD356" s="23"/>
    </row>
    <row r="357" spans="1:30">
      <c r="A357" s="79">
        <f t="shared" si="20"/>
        <v>356</v>
      </c>
      <c r="B357" s="283">
        <f>YEAR(Table5[[#This Row],[Date]])+IF(MONTH(Table5[[#This Row],[Date]])&gt;=4,1,0)</f>
        <v>2026</v>
      </c>
      <c r="C357" s="79">
        <f>YEAR(Table5[[#This Row],[Date]])</f>
        <v>2025</v>
      </c>
      <c r="D357" s="79" t="s">
        <v>344</v>
      </c>
      <c r="E357" s="284">
        <f>Table5[[#This Row],[Date]]-DAY(Table5[[#This Row],[Date]])+1</f>
        <v>45839</v>
      </c>
      <c r="F357" s="285">
        <v>45857</v>
      </c>
      <c r="G357" s="79" t="s">
        <v>103</v>
      </c>
      <c r="H357" s="23" t="str">
        <f>IFERROR(_xlfn.XLOOKUP(Table5[[#This Row],[Affected WTG]],'Basic Data'!$A:$A,'Basic Data'!$B:$B),"")</f>
        <v>PWEPL</v>
      </c>
      <c r="I357" s="23" t="str">
        <f>IFERROR(_xlfn.XLOOKUP(Table5[[#This Row],[Affected WTG]],'Basic Data'!$A:$A,'Basic Data'!$C:$C),"")</f>
        <v>MSEDCL</v>
      </c>
      <c r="J357" s="286">
        <f>IFERROR(_xlfn.XLOOKUP(Table5[[#This Row],[Affected WTG]],'Basic Data'!$A:$A,'Basic Data'!$E:$E),"")</f>
        <v>2.2727272727272728E-2</v>
      </c>
      <c r="K357" s="79">
        <v>269</v>
      </c>
      <c r="L357" s="23" t="str">
        <f>IFERROR(_xlfn.XLOOKUP(Table5[[#This Row],[Error Code]],'Basic Data'!$W:$W,'Basic Data'!$X:$X),"Incorrect Error Code")</f>
        <v>Reboot PLC</v>
      </c>
      <c r="M357" s="23" t="s">
        <v>348</v>
      </c>
      <c r="N357" s="23"/>
      <c r="O357" s="355">
        <v>0.69305555555555554</v>
      </c>
      <c r="P357" s="355">
        <v>0.69305555555555554</v>
      </c>
      <c r="Q357" s="355">
        <v>0.72916666666666663</v>
      </c>
      <c r="R357" s="341">
        <f t="shared" si="29"/>
        <v>3.6111111111111094E-2</v>
      </c>
      <c r="S357" s="353">
        <f>(Table5[[#This Row],[Fault Clearance time]]-Table5[[#This Row],[Work Start TimeStamp]])*24</f>
        <v>0.86666666666666625</v>
      </c>
      <c r="T357" s="353">
        <f>(Table5[[#This Row],[Fault Clearance time]]-Table5[[#This Row],[Fault Start TimeStamp]])*24</f>
        <v>0.86666666666666625</v>
      </c>
      <c r="U357" s="23" t="s">
        <v>353</v>
      </c>
      <c r="V357" s="79" t="s">
        <v>339</v>
      </c>
      <c r="W357" s="354">
        <f>IFERROR(Table5[[#This Row],[Breakdown Time]]*Table5[[#This Row],[Plant Equivalent Weightage]],"")</f>
        <v>1.9696969696969688E-2</v>
      </c>
      <c r="X357" s="289" t="s">
        <v>343</v>
      </c>
      <c r="Y357" s="290" t="s">
        <v>105</v>
      </c>
      <c r="Z357" s="79"/>
      <c r="AA357" s="283">
        <v>1016</v>
      </c>
      <c r="AB357" s="79"/>
      <c r="AC357" s="23"/>
      <c r="AD357" s="23"/>
    </row>
    <row r="358" spans="1:30">
      <c r="A358" s="79">
        <f t="shared" si="20"/>
        <v>357</v>
      </c>
      <c r="B358" s="283">
        <f>YEAR(Table5[[#This Row],[Date]])+IF(MONTH(Table5[[#This Row],[Date]])&gt;=4,1,0)</f>
        <v>2026</v>
      </c>
      <c r="C358" s="79">
        <f>YEAR(Table5[[#This Row],[Date]])</f>
        <v>2025</v>
      </c>
      <c r="D358" s="79" t="s">
        <v>344</v>
      </c>
      <c r="E358" s="284">
        <f>Table5[[#This Row],[Date]]-DAY(Table5[[#This Row],[Date]])+1</f>
        <v>45839</v>
      </c>
      <c r="F358" s="285">
        <v>45857</v>
      </c>
      <c r="G358" s="79" t="s">
        <v>105</v>
      </c>
      <c r="H358" s="23" t="str">
        <f>IFERROR(_xlfn.XLOOKUP(Table5[[#This Row],[Affected WTG]],'Basic Data'!$A:$A,'Basic Data'!$B:$B),"")</f>
        <v>PWEPL</v>
      </c>
      <c r="I358" s="23" t="str">
        <f>IFERROR(_xlfn.XLOOKUP(Table5[[#This Row],[Affected WTG]],'Basic Data'!$A:$A,'Basic Data'!$C:$C),"")</f>
        <v>MSEDCL</v>
      </c>
      <c r="J358" s="286">
        <f>IFERROR(_xlfn.XLOOKUP(Table5[[#This Row],[Affected WTG]],'Basic Data'!$A:$A,'Basic Data'!$E:$E),"")</f>
        <v>2.2727272727272728E-2</v>
      </c>
      <c r="K358" s="79">
        <v>269</v>
      </c>
      <c r="L358" s="23" t="str">
        <f>IFERROR(_xlfn.XLOOKUP(Table5[[#This Row],[Error Code]],'Basic Data'!$W:$W,'Basic Data'!$X:$X),"Incorrect Error Code")</f>
        <v>Reboot PLC</v>
      </c>
      <c r="M358" s="23" t="s">
        <v>348</v>
      </c>
      <c r="N358" s="23"/>
      <c r="O358" s="355">
        <v>0.69305555555555554</v>
      </c>
      <c r="P358" s="355">
        <v>0.69305555555555554</v>
      </c>
      <c r="Q358" s="355">
        <v>0.73541666666666661</v>
      </c>
      <c r="R358" s="341">
        <f t="shared" si="29"/>
        <v>4.2361111111111072E-2</v>
      </c>
      <c r="S358" s="353">
        <f>(Table5[[#This Row],[Fault Clearance time]]-Table5[[#This Row],[Work Start TimeStamp]])*24</f>
        <v>1.0166666666666657</v>
      </c>
      <c r="T358" s="353">
        <f>(Table5[[#This Row],[Fault Clearance time]]-Table5[[#This Row],[Fault Start TimeStamp]])*24</f>
        <v>1.0166666666666657</v>
      </c>
      <c r="U358" s="23" t="s">
        <v>353</v>
      </c>
      <c r="V358" s="79" t="s">
        <v>339</v>
      </c>
      <c r="W358" s="354">
        <f>IFERROR(Table5[[#This Row],[Breakdown Time]]*Table5[[#This Row],[Plant Equivalent Weightage]],"")</f>
        <v>2.3106060606060585E-2</v>
      </c>
      <c r="X358" s="289" t="s">
        <v>343</v>
      </c>
      <c r="Y358" s="290" t="s">
        <v>103</v>
      </c>
      <c r="Z358" s="79"/>
      <c r="AA358" s="283">
        <v>1081</v>
      </c>
      <c r="AB358" s="79"/>
      <c r="AC358" s="23"/>
      <c r="AD358" s="23"/>
    </row>
    <row r="359" spans="1:30">
      <c r="A359" s="79">
        <f t="shared" si="20"/>
        <v>358</v>
      </c>
      <c r="B359" s="283">
        <f>YEAR(Table5[[#This Row],[Date]])+IF(MONTH(Table5[[#This Row],[Date]])&gt;=4,1,0)</f>
        <v>2026</v>
      </c>
      <c r="C359" s="79">
        <f>YEAR(Table5[[#This Row],[Date]])</f>
        <v>2025</v>
      </c>
      <c r="D359" s="79" t="s">
        <v>344</v>
      </c>
      <c r="E359" s="284">
        <f>Table5[[#This Row],[Date]]-DAY(Table5[[#This Row],[Date]])+1</f>
        <v>45839</v>
      </c>
      <c r="F359" s="285">
        <v>45857</v>
      </c>
      <c r="G359" s="79" t="s">
        <v>115</v>
      </c>
      <c r="H359" s="23" t="str">
        <f>IFERROR(_xlfn.XLOOKUP(Table5[[#This Row],[Affected WTG]],'Basic Data'!$A:$A,'Basic Data'!$B:$B),"")</f>
        <v>PWEPL</v>
      </c>
      <c r="I359" s="23" t="str">
        <f>IFERROR(_xlfn.XLOOKUP(Table5[[#This Row],[Affected WTG]],'Basic Data'!$A:$A,'Basic Data'!$C:$C),"")</f>
        <v>MSEDCL</v>
      </c>
      <c r="J359" s="286">
        <f>IFERROR(_xlfn.XLOOKUP(Table5[[#This Row],[Affected WTG]],'Basic Data'!$A:$A,'Basic Data'!$E:$E),"")</f>
        <v>2.2727272727272728E-2</v>
      </c>
      <c r="K359" s="79">
        <v>269</v>
      </c>
      <c r="L359" s="23" t="str">
        <f>IFERROR(_xlfn.XLOOKUP(Table5[[#This Row],[Error Code]],'Basic Data'!$W:$W,'Basic Data'!$X:$X),"Incorrect Error Code")</f>
        <v>Reboot PLC</v>
      </c>
      <c r="M359" s="23" t="s">
        <v>348</v>
      </c>
      <c r="N359" s="23"/>
      <c r="O359" s="355">
        <v>0.69305555555555554</v>
      </c>
      <c r="P359" s="355">
        <v>0.69305555555555554</v>
      </c>
      <c r="Q359" s="355">
        <v>0.71111111111111114</v>
      </c>
      <c r="R359" s="341">
        <f t="shared" si="29"/>
        <v>1.8055555555555602E-2</v>
      </c>
      <c r="S359" s="353">
        <f>(Table5[[#This Row],[Fault Clearance time]]-Table5[[#This Row],[Work Start TimeStamp]])*24</f>
        <v>0.43333333333333446</v>
      </c>
      <c r="T359" s="353">
        <f>(Table5[[#This Row],[Fault Clearance time]]-Table5[[#This Row],[Fault Start TimeStamp]])*24</f>
        <v>0.43333333333333446</v>
      </c>
      <c r="U359" s="23" t="s">
        <v>353</v>
      </c>
      <c r="V359" s="79" t="s">
        <v>339</v>
      </c>
      <c r="W359" s="354">
        <f>IFERROR(Table5[[#This Row],[Breakdown Time]]*Table5[[#This Row],[Plant Equivalent Weightage]],"")</f>
        <v>9.8484848484848737E-3</v>
      </c>
      <c r="X359" s="289" t="s">
        <v>343</v>
      </c>
      <c r="Y359" s="290" t="s">
        <v>116</v>
      </c>
      <c r="Z359" s="79"/>
      <c r="AA359" s="283">
        <v>828</v>
      </c>
      <c r="AB359" s="79"/>
      <c r="AC359" s="23"/>
      <c r="AD359" s="23"/>
    </row>
    <row r="360" spans="1:30">
      <c r="A360" s="79">
        <f t="shared" si="20"/>
        <v>359</v>
      </c>
      <c r="B360" s="283">
        <f>YEAR(Table5[[#This Row],[Date]])+IF(MONTH(Table5[[#This Row],[Date]])&gt;=4,1,0)</f>
        <v>2026</v>
      </c>
      <c r="C360" s="79">
        <f>YEAR(Table5[[#This Row],[Date]])</f>
        <v>2025</v>
      </c>
      <c r="D360" s="79" t="s">
        <v>344</v>
      </c>
      <c r="E360" s="284">
        <f>Table5[[#This Row],[Date]]-DAY(Table5[[#This Row],[Date]])+1</f>
        <v>45839</v>
      </c>
      <c r="F360" s="285">
        <v>45857</v>
      </c>
      <c r="G360" s="79" t="s">
        <v>116</v>
      </c>
      <c r="H360" s="23" t="str">
        <f>IFERROR(_xlfn.XLOOKUP(Table5[[#This Row],[Affected WTG]],'Basic Data'!$A:$A,'Basic Data'!$B:$B),"")</f>
        <v>PWEPL</v>
      </c>
      <c r="I360" s="23" t="str">
        <f>IFERROR(_xlfn.XLOOKUP(Table5[[#This Row],[Affected WTG]],'Basic Data'!$A:$A,'Basic Data'!$C:$C),"")</f>
        <v>MSEDCL</v>
      </c>
      <c r="J360" s="286">
        <f>IFERROR(_xlfn.XLOOKUP(Table5[[#This Row],[Affected WTG]],'Basic Data'!$A:$A,'Basic Data'!$E:$E),"")</f>
        <v>2.2727272727272728E-2</v>
      </c>
      <c r="K360" s="79">
        <v>269</v>
      </c>
      <c r="L360" s="23" t="str">
        <f>IFERROR(_xlfn.XLOOKUP(Table5[[#This Row],[Error Code]],'Basic Data'!$W:$W,'Basic Data'!$X:$X),"Incorrect Error Code")</f>
        <v>Reboot PLC</v>
      </c>
      <c r="M360" s="23" t="s">
        <v>348</v>
      </c>
      <c r="N360" s="23"/>
      <c r="O360" s="355">
        <v>0.69305555555555554</v>
      </c>
      <c r="P360" s="355">
        <v>0.69305555555555554</v>
      </c>
      <c r="Q360" s="355">
        <v>0.72152777777777777</v>
      </c>
      <c r="R360" s="341">
        <f t="shared" si="29"/>
        <v>2.8472222222222232E-2</v>
      </c>
      <c r="S360" s="353">
        <f>(Table5[[#This Row],[Fault Clearance time]]-Table5[[#This Row],[Work Start TimeStamp]])*24</f>
        <v>0.68333333333333357</v>
      </c>
      <c r="T360" s="353">
        <f>(Table5[[#This Row],[Fault Clearance time]]-Table5[[#This Row],[Fault Start TimeStamp]])*24</f>
        <v>0.68333333333333357</v>
      </c>
      <c r="U360" s="23" t="s">
        <v>353</v>
      </c>
      <c r="V360" s="79" t="s">
        <v>339</v>
      </c>
      <c r="W360" s="354">
        <f>IFERROR(Table5[[#This Row],[Breakdown Time]]*Table5[[#This Row],[Plant Equivalent Weightage]],"")</f>
        <v>1.5530303030303037E-2</v>
      </c>
      <c r="X360" s="289" t="s">
        <v>343</v>
      </c>
      <c r="Y360" s="290" t="s">
        <v>117</v>
      </c>
      <c r="Z360" s="79"/>
      <c r="AA360" s="283">
        <v>937</v>
      </c>
      <c r="AB360" s="79"/>
      <c r="AC360" s="23"/>
      <c r="AD360" s="23"/>
    </row>
    <row r="361" spans="1:30">
      <c r="A361" s="79">
        <f t="shared" si="20"/>
        <v>360</v>
      </c>
      <c r="B361" s="283">
        <f>YEAR(Table5[[#This Row],[Date]])+IF(MONTH(Table5[[#This Row],[Date]])&gt;=4,1,0)</f>
        <v>2026</v>
      </c>
      <c r="C361" s="79">
        <f>YEAR(Table5[[#This Row],[Date]])</f>
        <v>2025</v>
      </c>
      <c r="D361" s="79" t="s">
        <v>344</v>
      </c>
      <c r="E361" s="284">
        <f>Table5[[#This Row],[Date]]-DAY(Table5[[#This Row],[Date]])+1</f>
        <v>45839</v>
      </c>
      <c r="F361" s="285">
        <v>45857</v>
      </c>
      <c r="G361" s="79" t="s">
        <v>117</v>
      </c>
      <c r="H361" s="23" t="str">
        <f>IFERROR(_xlfn.XLOOKUP(Table5[[#This Row],[Affected WTG]],'Basic Data'!$A:$A,'Basic Data'!$B:$B),"")</f>
        <v>PWEPL</v>
      </c>
      <c r="I361" s="23" t="str">
        <f>IFERROR(_xlfn.XLOOKUP(Table5[[#This Row],[Affected WTG]],'Basic Data'!$A:$A,'Basic Data'!$C:$C),"")</f>
        <v>MSEDCL</v>
      </c>
      <c r="J361" s="286">
        <f>IFERROR(_xlfn.XLOOKUP(Table5[[#This Row],[Affected WTG]],'Basic Data'!$A:$A,'Basic Data'!$E:$E),"")</f>
        <v>2.2727272727272728E-2</v>
      </c>
      <c r="K361" s="79">
        <v>269</v>
      </c>
      <c r="L361" s="23" t="str">
        <f>IFERROR(_xlfn.XLOOKUP(Table5[[#This Row],[Error Code]],'Basic Data'!$W:$W,'Basic Data'!$X:$X),"Incorrect Error Code")</f>
        <v>Reboot PLC</v>
      </c>
      <c r="M361" s="23" t="s">
        <v>348</v>
      </c>
      <c r="N361" s="23"/>
      <c r="O361" s="355">
        <v>0.69305555555555554</v>
      </c>
      <c r="P361" s="355">
        <v>0.69305555555555554</v>
      </c>
      <c r="Q361" s="355">
        <v>0.73125000000000007</v>
      </c>
      <c r="R361" s="341">
        <f t="shared" si="29"/>
        <v>3.8194444444444531E-2</v>
      </c>
      <c r="S361" s="353">
        <f>(Table5[[#This Row],[Fault Clearance time]]-Table5[[#This Row],[Work Start TimeStamp]])*24</f>
        <v>0.91666666666666874</v>
      </c>
      <c r="T361" s="353">
        <f>(Table5[[#This Row],[Fault Clearance time]]-Table5[[#This Row],[Fault Start TimeStamp]])*24</f>
        <v>0.91666666666666874</v>
      </c>
      <c r="U361" s="23" t="s">
        <v>353</v>
      </c>
      <c r="V361" s="79" t="s">
        <v>339</v>
      </c>
      <c r="W361" s="354">
        <f>IFERROR(Table5[[#This Row],[Breakdown Time]]*Table5[[#This Row],[Plant Equivalent Weightage]],"")</f>
        <v>2.0833333333333381E-2</v>
      </c>
      <c r="X361" s="289" t="s">
        <v>343</v>
      </c>
      <c r="Y361" s="290" t="s">
        <v>116</v>
      </c>
      <c r="Z361" s="79"/>
      <c r="AA361" s="283">
        <v>1037</v>
      </c>
      <c r="AB361" s="79"/>
      <c r="AC361" s="23"/>
      <c r="AD361" s="23"/>
    </row>
    <row r="362" spans="1:30">
      <c r="A362" s="79">
        <f t="shared" si="20"/>
        <v>361</v>
      </c>
      <c r="B362" s="283">
        <f>YEAR(Table5[[#This Row],[Date]])+IF(MONTH(Table5[[#This Row],[Date]])&gt;=4,1,0)</f>
        <v>2026</v>
      </c>
      <c r="C362" s="79">
        <f>YEAR(Table5[[#This Row],[Date]])</f>
        <v>2025</v>
      </c>
      <c r="D362" s="79" t="s">
        <v>344</v>
      </c>
      <c r="E362" s="284">
        <f>Table5[[#This Row],[Date]]-DAY(Table5[[#This Row],[Date]])+1</f>
        <v>45839</v>
      </c>
      <c r="F362" s="285">
        <v>45858</v>
      </c>
      <c r="G362" s="79" t="s">
        <v>97</v>
      </c>
      <c r="H362" s="23" t="str">
        <f>IFERROR(_xlfn.XLOOKUP(Table5[[#This Row],[Affected WTG]],'Basic Data'!$A:$A,'Basic Data'!$B:$B),"")</f>
        <v>PWEPL</v>
      </c>
      <c r="I362" s="23" t="str">
        <f>IFERROR(_xlfn.XLOOKUP(Table5[[#This Row],[Affected WTG]],'Basic Data'!$A:$A,'Basic Data'!$C:$C),"")</f>
        <v>MSEDCL</v>
      </c>
      <c r="J362" s="286">
        <f>IFERROR(_xlfn.XLOOKUP(Table5[[#This Row],[Affected WTG]],'Basic Data'!$A:$A,'Basic Data'!$E:$E),"")</f>
        <v>2.2727272727272728E-2</v>
      </c>
      <c r="K362" s="79">
        <v>274</v>
      </c>
      <c r="L362" s="23" t="str">
        <f>IFERROR(_xlfn.XLOOKUP(Table5[[#This Row],[Error Code]],'Basic Data'!$W:$W,'Basic Data'!$X:$X),"Incorrect Error Code")</f>
        <v>Pitch thyristor 1 fault</v>
      </c>
      <c r="M362" s="23" t="s">
        <v>158</v>
      </c>
      <c r="N362" s="23"/>
      <c r="O362" s="355">
        <v>0.50138888888888888</v>
      </c>
      <c r="P362" s="355">
        <v>0.50138888888888888</v>
      </c>
      <c r="Q362" s="355">
        <v>0.50902777777777775</v>
      </c>
      <c r="R362" s="341">
        <f t="shared" ref="R362:R363" si="30">Q362-O362</f>
        <v>7.6388888888888618E-3</v>
      </c>
      <c r="S362" s="353">
        <f>(Table5[[#This Row],[Fault Clearance time]]-Table5[[#This Row],[Work Start TimeStamp]])*24</f>
        <v>0.18333333333333268</v>
      </c>
      <c r="T362" s="353">
        <f>(Table5[[#This Row],[Fault Clearance time]]-Table5[[#This Row],[Fault Start TimeStamp]])*24</f>
        <v>0.18333333333333268</v>
      </c>
      <c r="U362" s="23" t="s">
        <v>353</v>
      </c>
      <c r="V362" s="79" t="s">
        <v>339</v>
      </c>
      <c r="W362" s="354">
        <f>IFERROR(Table5[[#This Row],[Breakdown Time]]*Table5[[#This Row],[Plant Equivalent Weightage]],"")</f>
        <v>4.1666666666666519E-3</v>
      </c>
      <c r="X362" s="289" t="s">
        <v>343</v>
      </c>
      <c r="Y362" s="290" t="s">
        <v>96</v>
      </c>
      <c r="Z362" s="79"/>
      <c r="AA362" s="283">
        <v>37</v>
      </c>
      <c r="AB362" s="79"/>
      <c r="AC362" s="23"/>
      <c r="AD362" s="23"/>
    </row>
    <row r="363" spans="1:30">
      <c r="A363" s="79">
        <f t="shared" si="20"/>
        <v>362</v>
      </c>
      <c r="B363" s="283">
        <f>YEAR(Table5[[#This Row],[Date]])+IF(MONTH(Table5[[#This Row],[Date]])&gt;=4,1,0)</f>
        <v>2026</v>
      </c>
      <c r="C363" s="79">
        <f>YEAR(Table5[[#This Row],[Date]])</f>
        <v>2025</v>
      </c>
      <c r="D363" s="79" t="s">
        <v>344</v>
      </c>
      <c r="E363" s="284">
        <f>Table5[[#This Row],[Date]]-DAY(Table5[[#This Row],[Date]])+1</f>
        <v>45839</v>
      </c>
      <c r="F363" s="285">
        <v>45858</v>
      </c>
      <c r="G363" s="79" t="s">
        <v>117</v>
      </c>
      <c r="H363" s="23" t="str">
        <f>IFERROR(_xlfn.XLOOKUP(Table5[[#This Row],[Affected WTG]],'Basic Data'!$A:$A,'Basic Data'!$B:$B),"")</f>
        <v>PWEPL</v>
      </c>
      <c r="I363" s="23" t="str">
        <f>IFERROR(_xlfn.XLOOKUP(Table5[[#This Row],[Affected WTG]],'Basic Data'!$A:$A,'Basic Data'!$C:$C),"")</f>
        <v>MSEDCL</v>
      </c>
      <c r="J363" s="286">
        <f>IFERROR(_xlfn.XLOOKUP(Table5[[#This Row],[Affected WTG]],'Basic Data'!$A:$A,'Basic Data'!$E:$E),"")</f>
        <v>2.2727272727272728E-2</v>
      </c>
      <c r="K363" s="79">
        <v>201</v>
      </c>
      <c r="L363" s="23" t="str">
        <f>IFERROR(_xlfn.XLOOKUP(Table5[[#This Row],[Error Code]],'Basic Data'!$W:$W,'Basic Data'!$X:$X),"Incorrect Error Code")</f>
        <v xml:space="preserve"> PLC fault 24V Supply</v>
      </c>
      <c r="M363" s="23" t="s">
        <v>967</v>
      </c>
      <c r="N363" s="23"/>
      <c r="O363" s="355">
        <v>0.55555555555555558</v>
      </c>
      <c r="P363" s="355">
        <v>0.55555555555555558</v>
      </c>
      <c r="Q363" s="355">
        <v>0.61249999999999993</v>
      </c>
      <c r="R363" s="341">
        <f t="shared" si="30"/>
        <v>5.6944444444444353E-2</v>
      </c>
      <c r="S363" s="353">
        <f>(Table5[[#This Row],[Fault Clearance time]]-Table5[[#This Row],[Work Start TimeStamp]])*24</f>
        <v>1.3666666666666645</v>
      </c>
      <c r="T363" s="353">
        <f>(Table5[[#This Row],[Fault Clearance time]]-Table5[[#This Row],[Fault Start TimeStamp]])*24</f>
        <v>1.3666666666666645</v>
      </c>
      <c r="U363" s="23" t="s">
        <v>349</v>
      </c>
      <c r="V363" s="79" t="s">
        <v>339</v>
      </c>
      <c r="W363" s="354">
        <f>IFERROR(Table5[[#This Row],[Breakdown Time]]*Table5[[#This Row],[Plant Equivalent Weightage]],"")</f>
        <v>3.1060606060606011E-2</v>
      </c>
      <c r="X363" s="289" t="s">
        <v>343</v>
      </c>
      <c r="Y363" s="290" t="s">
        <v>116</v>
      </c>
      <c r="Z363" s="79"/>
      <c r="AA363" s="283">
        <v>1077</v>
      </c>
      <c r="AB363" s="79"/>
      <c r="AC363" s="23"/>
      <c r="AD363" s="23"/>
    </row>
    <row r="364" spans="1:30">
      <c r="A364" s="79">
        <f t="shared" si="20"/>
        <v>363</v>
      </c>
      <c r="B364" s="283">
        <f>YEAR(Table5[[#This Row],[Date]])+IF(MONTH(Table5[[#This Row],[Date]])&gt;=4,1,0)</f>
        <v>2026</v>
      </c>
      <c r="C364" s="79">
        <f>YEAR(Table5[[#This Row],[Date]])</f>
        <v>2025</v>
      </c>
      <c r="D364" s="79" t="s">
        <v>344</v>
      </c>
      <c r="E364" s="284">
        <f>Table5[[#This Row],[Date]]-DAY(Table5[[#This Row],[Date]])+1</f>
        <v>45839</v>
      </c>
      <c r="F364" s="285">
        <v>45859</v>
      </c>
      <c r="G364" s="79" t="s">
        <v>86</v>
      </c>
      <c r="H364" s="23" t="str">
        <f>IFERROR(_xlfn.XLOOKUP(Table5[[#This Row],[Affected WTG]],'Basic Data'!$A:$A,'Basic Data'!$B:$B),"")</f>
        <v>PWEPL</v>
      </c>
      <c r="I364" s="23" t="str">
        <f>IFERROR(_xlfn.XLOOKUP(Table5[[#This Row],[Affected WTG]],'Basic Data'!$A:$A,'Basic Data'!$C:$C),"")</f>
        <v>MSEDCL</v>
      </c>
      <c r="J364" s="286">
        <f>IFERROR(_xlfn.XLOOKUP(Table5[[#This Row],[Affected WTG]],'Basic Data'!$A:$A,'Basic Data'!$E:$E),"")</f>
        <v>2.2727272727272728E-2</v>
      </c>
      <c r="K364" s="79" t="s">
        <v>382</v>
      </c>
      <c r="L364" s="23" t="str">
        <f>IFERROR(_xlfn.XLOOKUP(Table5[[#This Row],[Error Code]],'Basic Data'!$W:$W,'Basic Data'!$X:$X),"Incorrect Error Code")</f>
        <v>UPS breakdown</v>
      </c>
      <c r="M364" s="23" t="s">
        <v>383</v>
      </c>
      <c r="N364" s="23"/>
      <c r="O364" s="355">
        <v>0.48125000000000001</v>
      </c>
      <c r="P364" s="355">
        <v>0.48125000000000001</v>
      </c>
      <c r="Q364" s="355">
        <v>0.49652777777777773</v>
      </c>
      <c r="R364" s="341">
        <f>Q364-O364</f>
        <v>1.5277777777777724E-2</v>
      </c>
      <c r="S364" s="353">
        <f>(Table5[[#This Row],[Fault Clearance time]]-Table5[[#This Row],[Work Start TimeStamp]])*24</f>
        <v>0.36666666666666536</v>
      </c>
      <c r="T364" s="353">
        <f>(Table5[[#This Row],[Fault Clearance time]]-Table5[[#This Row],[Fault Start TimeStamp]])*24</f>
        <v>0.36666666666666536</v>
      </c>
      <c r="U364" s="23" t="s">
        <v>384</v>
      </c>
      <c r="V364" s="79" t="s">
        <v>339</v>
      </c>
      <c r="W364" s="354">
        <f>IFERROR(Table5[[#This Row],[Breakdown Time]]*Table5[[#This Row],[Plant Equivalent Weightage]],"")</f>
        <v>8.3333333333333037E-3</v>
      </c>
      <c r="X364" s="289" t="s">
        <v>343</v>
      </c>
      <c r="Y364" s="290" t="s">
        <v>85</v>
      </c>
      <c r="Z364" s="79"/>
      <c r="AA364" s="283">
        <v>308</v>
      </c>
      <c r="AB364" s="79"/>
      <c r="AC364" s="23"/>
      <c r="AD364" s="23"/>
    </row>
    <row r="365" spans="1:30">
      <c r="A365" s="79">
        <f t="shared" si="20"/>
        <v>364</v>
      </c>
      <c r="B365" s="283">
        <f>YEAR(Table5[[#This Row],[Date]])+IF(MONTH(Table5[[#This Row],[Date]])&gt;=4,1,0)</f>
        <v>2026</v>
      </c>
      <c r="C365" s="79">
        <f>YEAR(Table5[[#This Row],[Date]])</f>
        <v>2025</v>
      </c>
      <c r="D365" s="79" t="s">
        <v>344</v>
      </c>
      <c r="E365" s="284">
        <f>Table5[[#This Row],[Date]]-DAY(Table5[[#This Row],[Date]])+1</f>
        <v>45839</v>
      </c>
      <c r="F365" s="285">
        <v>45860</v>
      </c>
      <c r="G365" s="79" t="s">
        <v>113</v>
      </c>
      <c r="H365" s="23" t="str">
        <f>IFERROR(_xlfn.XLOOKUP(Table5[[#This Row],[Affected WTG]],'Basic Data'!$A:$A,'Basic Data'!$B:$B),"")</f>
        <v>PWEPL</v>
      </c>
      <c r="I365" s="23" t="str">
        <f>IFERROR(_xlfn.XLOOKUP(Table5[[#This Row],[Affected WTG]],'Basic Data'!$A:$A,'Basic Data'!$C:$C),"")</f>
        <v>MSEDCL</v>
      </c>
      <c r="J365" s="286">
        <f>IFERROR(_xlfn.XLOOKUP(Table5[[#This Row],[Affected WTG]],'Basic Data'!$A:$A,'Basic Data'!$E:$E),"")</f>
        <v>2.2727272727272728E-2</v>
      </c>
      <c r="K365" s="79">
        <v>142</v>
      </c>
      <c r="L365" s="23" t="str">
        <f>IFERROR(_xlfn.XLOOKUP(Table5[[#This Row],[Error Code]],'Basic Data'!$W:$W,'Basic Data'!$X:$X),"Incorrect Error Code")</f>
        <v>Line CCU collective faults</v>
      </c>
      <c r="M365" s="23" t="s">
        <v>149</v>
      </c>
      <c r="N365" s="23"/>
      <c r="O365" s="355">
        <v>0.54166666666666663</v>
      </c>
      <c r="P365" s="355">
        <v>0.54166666666666663</v>
      </c>
      <c r="Q365" s="355">
        <v>0.58750000000000002</v>
      </c>
      <c r="R365" s="341">
        <f t="shared" ref="R365:R366" si="31">Q365-O365</f>
        <v>4.5833333333333393E-2</v>
      </c>
      <c r="S365" s="353">
        <f>(Table5[[#This Row],[Fault Clearance time]]-Table5[[#This Row],[Work Start TimeStamp]])*24</f>
        <v>1.1000000000000014</v>
      </c>
      <c r="T365" s="353">
        <f>(Table5[[#This Row],[Fault Clearance time]]-Table5[[#This Row],[Fault Start TimeStamp]])*24</f>
        <v>1.1000000000000014</v>
      </c>
      <c r="U365" s="23" t="s">
        <v>790</v>
      </c>
      <c r="V365" s="79" t="s">
        <v>339</v>
      </c>
      <c r="W365" s="354">
        <f>IFERROR(Table5[[#This Row],[Breakdown Time]]*Table5[[#This Row],[Plant Equivalent Weightage]],"")</f>
        <v>2.5000000000000033E-2</v>
      </c>
      <c r="X365" s="289" t="s">
        <v>343</v>
      </c>
      <c r="Y365" s="290" t="s">
        <v>114</v>
      </c>
      <c r="Z365" s="79"/>
      <c r="AA365" s="283">
        <v>584</v>
      </c>
      <c r="AB365" s="79"/>
      <c r="AC365" s="23"/>
      <c r="AD365" s="23"/>
    </row>
    <row r="366" spans="1:30">
      <c r="A366" s="79">
        <f t="shared" si="20"/>
        <v>365</v>
      </c>
      <c r="B366" s="283">
        <f>YEAR(Table5[[#This Row],[Date]])+IF(MONTH(Table5[[#This Row],[Date]])&gt;=4,1,0)</f>
        <v>2026</v>
      </c>
      <c r="C366" s="79">
        <f>YEAR(Table5[[#This Row],[Date]])</f>
        <v>2025</v>
      </c>
      <c r="D366" s="79" t="s">
        <v>344</v>
      </c>
      <c r="E366" s="284">
        <f>Table5[[#This Row],[Date]]-DAY(Table5[[#This Row],[Date]])+1</f>
        <v>45839</v>
      </c>
      <c r="F366" s="285">
        <v>45860</v>
      </c>
      <c r="G366" s="79" t="s">
        <v>117</v>
      </c>
      <c r="H366" s="23" t="str">
        <f>IFERROR(_xlfn.XLOOKUP(Table5[[#This Row],[Affected WTG]],'Basic Data'!$A:$A,'Basic Data'!$B:$B),"")</f>
        <v>PWEPL</v>
      </c>
      <c r="I366" s="23" t="str">
        <f>IFERROR(_xlfn.XLOOKUP(Table5[[#This Row],[Affected WTG]],'Basic Data'!$A:$A,'Basic Data'!$C:$C),"")</f>
        <v>MSEDCL</v>
      </c>
      <c r="J366" s="286">
        <f>IFERROR(_xlfn.XLOOKUP(Table5[[#This Row],[Affected WTG]],'Basic Data'!$A:$A,'Basic Data'!$E:$E),"")</f>
        <v>2.2727272727272728E-2</v>
      </c>
      <c r="K366" s="79">
        <v>141</v>
      </c>
      <c r="L366" s="23" t="str">
        <f>IFERROR(_xlfn.XLOOKUP(Table5[[#This Row],[Error Code]],'Basic Data'!$W:$W,'Basic Data'!$X:$X),"Incorrect Error Code")</f>
        <v>Rotor CCU collective faults</v>
      </c>
      <c r="M366" s="23" t="s">
        <v>942</v>
      </c>
      <c r="N366" s="23"/>
      <c r="O366" s="355">
        <v>0.54513888888888895</v>
      </c>
      <c r="P366" s="355">
        <v>0.54513888888888895</v>
      </c>
      <c r="Q366" s="355">
        <v>0.55138888888888882</v>
      </c>
      <c r="R366" s="341">
        <f t="shared" si="31"/>
        <v>6.2499999999998668E-3</v>
      </c>
      <c r="S366" s="353">
        <f>(Table5[[#This Row],[Fault Clearance time]]-Table5[[#This Row],[Work Start TimeStamp]])*24</f>
        <v>0.1499999999999968</v>
      </c>
      <c r="T366" s="353">
        <f>(Table5[[#This Row],[Fault Clearance time]]-Table5[[#This Row],[Fault Start TimeStamp]])*24</f>
        <v>0.1499999999999968</v>
      </c>
      <c r="U366" s="23" t="s">
        <v>353</v>
      </c>
      <c r="V366" s="79" t="s">
        <v>339</v>
      </c>
      <c r="W366" s="354">
        <f>IFERROR(Table5[[#This Row],[Breakdown Time]]*Table5[[#This Row],[Plant Equivalent Weightage]],"")</f>
        <v>3.4090909090908365E-3</v>
      </c>
      <c r="X366" s="289" t="s">
        <v>343</v>
      </c>
      <c r="Y366" s="290" t="s">
        <v>116</v>
      </c>
      <c r="Z366" s="79"/>
      <c r="AA366" s="283">
        <v>1</v>
      </c>
      <c r="AB366" s="79"/>
      <c r="AC366" s="23"/>
      <c r="AD366" s="23"/>
    </row>
    <row r="367" spans="1:30">
      <c r="A367" s="79">
        <f t="shared" si="20"/>
        <v>366</v>
      </c>
      <c r="B367" s="283">
        <f>YEAR(Table5[[#This Row],[Date]])+IF(MONTH(Table5[[#This Row],[Date]])&gt;=4,1,0)</f>
        <v>2026</v>
      </c>
      <c r="C367" s="79">
        <f>YEAR(Table5[[#This Row],[Date]])</f>
        <v>2025</v>
      </c>
      <c r="D367" s="79" t="s">
        <v>344</v>
      </c>
      <c r="E367" s="284">
        <f>Table5[[#This Row],[Date]]-DAY(Table5[[#This Row],[Date]])+1</f>
        <v>45839</v>
      </c>
      <c r="F367" s="285">
        <v>45861</v>
      </c>
      <c r="G367" s="79" t="s">
        <v>105</v>
      </c>
      <c r="H367" s="23" t="str">
        <f>IFERROR(_xlfn.XLOOKUP(Table5[[#This Row],[Affected WTG]],'Basic Data'!$A:$A,'Basic Data'!$B:$B),"")</f>
        <v>PWEPL</v>
      </c>
      <c r="I367" s="23" t="str">
        <f>IFERROR(_xlfn.XLOOKUP(Table5[[#This Row],[Affected WTG]],'Basic Data'!$A:$A,'Basic Data'!$C:$C),"")</f>
        <v>MSEDCL</v>
      </c>
      <c r="J367" s="286">
        <f>IFERROR(_xlfn.XLOOKUP(Table5[[#This Row],[Affected WTG]],'Basic Data'!$A:$A,'Basic Data'!$E:$E),"")</f>
        <v>2.2727272727272728E-2</v>
      </c>
      <c r="K367" s="79">
        <v>276</v>
      </c>
      <c r="L367" s="23" t="str">
        <f>IFERROR(_xlfn.XLOOKUP(Table5[[#This Row],[Error Code]],'Basic Data'!$W:$W,'Basic Data'!$X:$X),"Incorrect Error Code")</f>
        <v>Pitch thyristor 3 fault</v>
      </c>
      <c r="M367" s="23" t="s">
        <v>153</v>
      </c>
      <c r="N367" s="23"/>
      <c r="O367" s="355">
        <v>0.49444444444444446</v>
      </c>
      <c r="P367" s="355">
        <v>0.49444444444444446</v>
      </c>
      <c r="Q367" s="355">
        <v>0.49652777777777773</v>
      </c>
      <c r="R367" s="341">
        <f t="shared" ref="R367:R368" si="32">Q367-O367</f>
        <v>2.0833333333332704E-3</v>
      </c>
      <c r="S367" s="353">
        <f>(Table5[[#This Row],[Fault Clearance time]]-Table5[[#This Row],[Work Start TimeStamp]])*24</f>
        <v>4.999999999999849E-2</v>
      </c>
      <c r="T367" s="353">
        <f>(Table5[[#This Row],[Fault Clearance time]]-Table5[[#This Row],[Fault Start TimeStamp]])*24</f>
        <v>4.999999999999849E-2</v>
      </c>
      <c r="U367" s="23" t="s">
        <v>353</v>
      </c>
      <c r="V367" s="79" t="s">
        <v>339</v>
      </c>
      <c r="W367" s="354">
        <f>IFERROR(Table5[[#This Row],[Breakdown Time]]*Table5[[#This Row],[Plant Equivalent Weightage]],"")</f>
        <v>1.136363636363602E-3</v>
      </c>
      <c r="X367" s="289" t="s">
        <v>343</v>
      </c>
      <c r="Y367" s="290" t="s">
        <v>103</v>
      </c>
      <c r="Z367" s="79"/>
      <c r="AA367" s="283">
        <v>191</v>
      </c>
      <c r="AB367" s="79"/>
      <c r="AC367" s="23"/>
      <c r="AD367" s="23"/>
    </row>
    <row r="368" spans="1:30">
      <c r="A368" s="79">
        <f t="shared" si="20"/>
        <v>367</v>
      </c>
      <c r="B368" s="283">
        <f>YEAR(Table5[[#This Row],[Date]])+IF(MONTH(Table5[[#This Row],[Date]])&gt;=4,1,0)</f>
        <v>2026</v>
      </c>
      <c r="C368" s="79">
        <f>YEAR(Table5[[#This Row],[Date]])</f>
        <v>2025</v>
      </c>
      <c r="D368" s="79" t="s">
        <v>344</v>
      </c>
      <c r="E368" s="284">
        <f>Table5[[#This Row],[Date]]-DAY(Table5[[#This Row],[Date]])+1</f>
        <v>45839</v>
      </c>
      <c r="F368" s="285">
        <v>45861</v>
      </c>
      <c r="G368" s="79" t="s">
        <v>109</v>
      </c>
      <c r="H368" s="23" t="str">
        <f>IFERROR(_xlfn.XLOOKUP(Table5[[#This Row],[Affected WTG]],'Basic Data'!$A:$A,'Basic Data'!$B:$B),"")</f>
        <v>PWEPL</v>
      </c>
      <c r="I368" s="23" t="str">
        <f>IFERROR(_xlfn.XLOOKUP(Table5[[#This Row],[Affected WTG]],'Basic Data'!$A:$A,'Basic Data'!$C:$C),"")</f>
        <v>MSEDCL</v>
      </c>
      <c r="J368" s="286">
        <f>IFERROR(_xlfn.XLOOKUP(Table5[[#This Row],[Affected WTG]],'Basic Data'!$A:$A,'Basic Data'!$E:$E),"")</f>
        <v>2.2727272727272728E-2</v>
      </c>
      <c r="K368" s="79">
        <v>275</v>
      </c>
      <c r="L368" s="23" t="str">
        <f>IFERROR(_xlfn.XLOOKUP(Table5[[#This Row],[Error Code]],'Basic Data'!$W:$W,'Basic Data'!$X:$X),"Incorrect Error Code")</f>
        <v>Pitch thyristor 2 fault</v>
      </c>
      <c r="M368" s="23" t="s">
        <v>162</v>
      </c>
      <c r="N368" s="23"/>
      <c r="O368" s="355">
        <v>0.71527777777777779</v>
      </c>
      <c r="P368" s="355">
        <v>0.71527777777777779</v>
      </c>
      <c r="Q368" s="355">
        <v>0.71944444444444444</v>
      </c>
      <c r="R368" s="341">
        <f t="shared" si="32"/>
        <v>4.1666666666666519E-3</v>
      </c>
      <c r="S368" s="353">
        <f>(Table5[[#This Row],[Fault Clearance time]]-Table5[[#This Row],[Work Start TimeStamp]])*24</f>
        <v>9.9999999999999645E-2</v>
      </c>
      <c r="T368" s="353">
        <f>(Table5[[#This Row],[Fault Clearance time]]-Table5[[#This Row],[Fault Start TimeStamp]])*24</f>
        <v>9.9999999999999645E-2</v>
      </c>
      <c r="U368" s="23" t="s">
        <v>353</v>
      </c>
      <c r="V368" s="79" t="s">
        <v>339</v>
      </c>
      <c r="W368" s="354">
        <f>IFERROR(Table5[[#This Row],[Breakdown Time]]*Table5[[#This Row],[Plant Equivalent Weightage]],"")</f>
        <v>2.2727272727272648E-3</v>
      </c>
      <c r="X368" s="289" t="s">
        <v>343</v>
      </c>
      <c r="Y368" s="290" t="s">
        <v>114</v>
      </c>
      <c r="Z368" s="79"/>
      <c r="AA368" s="283">
        <v>111</v>
      </c>
      <c r="AB368" s="79"/>
      <c r="AC368" s="23"/>
      <c r="AD368" s="23"/>
    </row>
    <row r="369" spans="1:30">
      <c r="A369" s="79">
        <f t="shared" si="20"/>
        <v>368</v>
      </c>
      <c r="B369" s="283">
        <f>YEAR(Table5[[#This Row],[Date]])+IF(MONTH(Table5[[#This Row],[Date]])&gt;=4,1,0)</f>
        <v>2026</v>
      </c>
      <c r="C369" s="79">
        <f>YEAR(Table5[[#This Row],[Date]])</f>
        <v>2025</v>
      </c>
      <c r="D369" s="79" t="s">
        <v>344</v>
      </c>
      <c r="E369" s="284">
        <f>Table5[[#This Row],[Date]]-DAY(Table5[[#This Row],[Date]])+1</f>
        <v>45839</v>
      </c>
      <c r="F369" s="285">
        <v>45862</v>
      </c>
      <c r="G369" s="79" t="s">
        <v>98</v>
      </c>
      <c r="H369" s="23" t="str">
        <f>IFERROR(_xlfn.XLOOKUP(Table5[[#This Row],[Affected WTG]],'Basic Data'!$A:$A,'Basic Data'!$B:$B),"")</f>
        <v>PWEPL</v>
      </c>
      <c r="I369" s="23" t="str">
        <f>IFERROR(_xlfn.XLOOKUP(Table5[[#This Row],[Affected WTG]],'Basic Data'!$A:$A,'Basic Data'!$C:$C),"")</f>
        <v>MSEDCL</v>
      </c>
      <c r="J369" s="286">
        <f>IFERROR(_xlfn.XLOOKUP(Table5[[#This Row],[Affected WTG]],'Basic Data'!$A:$A,'Basic Data'!$E:$E),"")</f>
        <v>2.2727272727272728E-2</v>
      </c>
      <c r="K369" s="79">
        <v>207</v>
      </c>
      <c r="L369" s="23" t="str">
        <f>IFERROR(_xlfn.XLOOKUP(Table5[[#This Row],[Error Code]],'Basic Data'!$W:$W,'Basic Data'!$X:$X),"Incorrect Error Code")</f>
        <v>Ground fault LVMD</v>
      </c>
      <c r="M369" s="23" t="s">
        <v>989</v>
      </c>
      <c r="N369" s="23"/>
      <c r="O369" s="355">
        <v>0.53055555555555556</v>
      </c>
      <c r="P369" s="355">
        <v>0.53055555555555556</v>
      </c>
      <c r="Q369" s="355">
        <v>0.5625</v>
      </c>
      <c r="R369" s="341">
        <f t="shared" ref="R369:R370" si="33">Q369-O369</f>
        <v>3.1944444444444442E-2</v>
      </c>
      <c r="S369" s="353">
        <f>(Table5[[#This Row],[Fault Clearance time]]-Table5[[#This Row],[Work Start TimeStamp]])*24</f>
        <v>0.76666666666666661</v>
      </c>
      <c r="T369" s="353">
        <f>(Table5[[#This Row],[Fault Clearance time]]-Table5[[#This Row],[Fault Start TimeStamp]])*24</f>
        <v>0.76666666666666661</v>
      </c>
      <c r="U369" s="23" t="s">
        <v>991</v>
      </c>
      <c r="V369" s="79" t="s">
        <v>339</v>
      </c>
      <c r="W369" s="354">
        <f>IFERROR(Table5[[#This Row],[Breakdown Time]]*Table5[[#This Row],[Plant Equivalent Weightage]],"")</f>
        <v>1.7424242424242422E-2</v>
      </c>
      <c r="X369" s="289" t="s">
        <v>343</v>
      </c>
      <c r="Y369" s="290" t="s">
        <v>99</v>
      </c>
      <c r="Z369" s="79"/>
      <c r="AA369" s="283">
        <v>1322</v>
      </c>
      <c r="AB369" s="79"/>
      <c r="AC369" s="23"/>
      <c r="AD369" s="23"/>
    </row>
    <row r="370" spans="1:30">
      <c r="A370" s="79">
        <f t="shared" si="20"/>
        <v>369</v>
      </c>
      <c r="B370" s="283">
        <f>YEAR(Table5[[#This Row],[Date]])+IF(MONTH(Table5[[#This Row],[Date]])&gt;=4,1,0)</f>
        <v>2026</v>
      </c>
      <c r="C370" s="79">
        <f>YEAR(Table5[[#This Row],[Date]])</f>
        <v>2025</v>
      </c>
      <c r="D370" s="79" t="s">
        <v>344</v>
      </c>
      <c r="E370" s="284">
        <f>Table5[[#This Row],[Date]]-DAY(Table5[[#This Row],[Date]])+1</f>
        <v>45839</v>
      </c>
      <c r="F370" s="285">
        <v>45862</v>
      </c>
      <c r="G370" s="79" t="s">
        <v>83</v>
      </c>
      <c r="H370" s="23" t="str">
        <f>IFERROR(_xlfn.XLOOKUP(Table5[[#This Row],[Affected WTG]],'Basic Data'!$A:$A,'Basic Data'!$B:$B),"")</f>
        <v>PWEPL</v>
      </c>
      <c r="I370" s="23" t="str">
        <f>IFERROR(_xlfn.XLOOKUP(Table5[[#This Row],[Affected WTG]],'Basic Data'!$A:$A,'Basic Data'!$C:$C),"")</f>
        <v>MSEDCL</v>
      </c>
      <c r="J370" s="286">
        <f>IFERROR(_xlfn.XLOOKUP(Table5[[#This Row],[Affected WTG]],'Basic Data'!$A:$A,'Basic Data'!$E:$E),"")</f>
        <v>2.2727272727272728E-2</v>
      </c>
      <c r="K370" s="79"/>
      <c r="L370" s="23" t="s">
        <v>990</v>
      </c>
      <c r="M370" s="23" t="s">
        <v>990</v>
      </c>
      <c r="N370" s="23"/>
      <c r="O370" s="355">
        <v>0.59166666666666667</v>
      </c>
      <c r="P370" s="355">
        <v>0.59166666666666667</v>
      </c>
      <c r="Q370" s="355">
        <v>0.60138888888888886</v>
      </c>
      <c r="R370" s="341">
        <f t="shared" si="33"/>
        <v>9.7222222222221877E-3</v>
      </c>
      <c r="S370" s="353">
        <f>(Table5[[#This Row],[Fault Clearance time]]-Table5[[#This Row],[Work Start TimeStamp]])*24</f>
        <v>0.2333333333333325</v>
      </c>
      <c r="T370" s="353">
        <f>(Table5[[#This Row],[Fault Clearance time]]-Table5[[#This Row],[Fault Start TimeStamp]])*24</f>
        <v>0.2333333333333325</v>
      </c>
      <c r="U370" s="23" t="s">
        <v>992</v>
      </c>
      <c r="V370" s="79" t="s">
        <v>339</v>
      </c>
      <c r="W370" s="354">
        <f>IFERROR(Table5[[#This Row],[Breakdown Time]]*Table5[[#This Row],[Plant Equivalent Weightage]],"")</f>
        <v>5.3030303030302843E-3</v>
      </c>
      <c r="X370" s="289" t="s">
        <v>343</v>
      </c>
      <c r="Y370" s="290" t="s">
        <v>98</v>
      </c>
      <c r="Z370" s="79"/>
      <c r="AA370" s="283">
        <v>368</v>
      </c>
      <c r="AB370" s="79"/>
      <c r="AC370" s="23"/>
      <c r="AD370" s="23"/>
    </row>
    <row r="371" spans="1:30">
      <c r="A371" s="79">
        <f t="shared" si="20"/>
        <v>370</v>
      </c>
      <c r="B371" s="283">
        <f>YEAR(Table5[[#This Row],[Date]])+IF(MONTH(Table5[[#This Row],[Date]])&gt;=4,1,0)</f>
        <v>2026</v>
      </c>
      <c r="C371" s="79">
        <f>YEAR(Table5[[#This Row],[Date]])</f>
        <v>2025</v>
      </c>
      <c r="D371" s="79" t="s">
        <v>344</v>
      </c>
      <c r="E371" s="284">
        <f>Table5[[#This Row],[Date]]-DAY(Table5[[#This Row],[Date]])+1</f>
        <v>45839</v>
      </c>
      <c r="F371" s="285">
        <v>45863</v>
      </c>
      <c r="G371" s="79" t="s">
        <v>105</v>
      </c>
      <c r="H371" s="23" t="str">
        <f>IFERROR(_xlfn.XLOOKUP(Table5[[#This Row],[Affected WTG]],'Basic Data'!$A:$A,'Basic Data'!$B:$B),"")</f>
        <v>PWEPL</v>
      </c>
      <c r="I371" s="23" t="str">
        <f>IFERROR(_xlfn.XLOOKUP(Table5[[#This Row],[Affected WTG]],'Basic Data'!$A:$A,'Basic Data'!$C:$C),"")</f>
        <v>MSEDCL</v>
      </c>
      <c r="J371" s="286">
        <f>IFERROR(_xlfn.XLOOKUP(Table5[[#This Row],[Affected WTG]],'Basic Data'!$A:$A,'Basic Data'!$E:$E),"")</f>
        <v>2.2727272727272728E-2</v>
      </c>
      <c r="K371" s="79">
        <v>77</v>
      </c>
      <c r="L371" s="23" t="str">
        <f>IFERROR(_xlfn.XLOOKUP(Table5[[#This Row],[Error Code]],'Basic Data'!$W:$W,'Basic Data'!$X:$X),"Incorrect Error Code")</f>
        <v>Gearbox oil overtemperature</v>
      </c>
      <c r="M371" s="23" t="s">
        <v>943</v>
      </c>
      <c r="N371" s="23"/>
      <c r="O371" s="355">
        <v>0.29583333333333334</v>
      </c>
      <c r="P371" s="355">
        <v>0.29583333333333334</v>
      </c>
      <c r="Q371" s="355">
        <v>0.44236111111111115</v>
      </c>
      <c r="R371" s="341">
        <f t="shared" ref="R371:R382" si="34">Q371-O371</f>
        <v>0.14652777777777781</v>
      </c>
      <c r="S371" s="353">
        <f>(Table5[[#This Row],[Fault Clearance time]]-Table5[[#This Row],[Work Start TimeStamp]])*24</f>
        <v>3.5166666666666675</v>
      </c>
      <c r="T371" s="353">
        <f>(Table5[[#This Row],[Fault Clearance time]]-Table5[[#This Row],[Fault Start TimeStamp]])*24</f>
        <v>3.5166666666666675</v>
      </c>
      <c r="U371" s="23" t="s">
        <v>352</v>
      </c>
      <c r="V371" s="79" t="s">
        <v>339</v>
      </c>
      <c r="W371" s="354">
        <f>IFERROR(Table5[[#This Row],[Breakdown Time]]*Table5[[#This Row],[Plant Equivalent Weightage]],"")</f>
        <v>7.9924242424242439E-2</v>
      </c>
      <c r="X371" s="289" t="s">
        <v>343</v>
      </c>
      <c r="Y371" s="290" t="s">
        <v>103</v>
      </c>
      <c r="Z371" s="79"/>
      <c r="AA371" s="283">
        <v>4971</v>
      </c>
      <c r="AB371" s="79"/>
      <c r="AC371" s="23"/>
      <c r="AD371" s="23"/>
    </row>
    <row r="372" spans="1:30">
      <c r="A372" s="79">
        <f t="shared" si="20"/>
        <v>371</v>
      </c>
      <c r="B372" s="283">
        <f>YEAR(Table5[[#This Row],[Date]])+IF(MONTH(Table5[[#This Row],[Date]])&gt;=4,1,0)</f>
        <v>2026</v>
      </c>
      <c r="C372" s="79">
        <f>YEAR(Table5[[#This Row],[Date]])</f>
        <v>2025</v>
      </c>
      <c r="D372" s="79" t="s">
        <v>344</v>
      </c>
      <c r="E372" s="284">
        <f>Table5[[#This Row],[Date]]-DAY(Table5[[#This Row],[Date]])+1</f>
        <v>45839</v>
      </c>
      <c r="F372" s="285">
        <v>45863</v>
      </c>
      <c r="G372" s="79" t="s">
        <v>113</v>
      </c>
      <c r="H372" s="23" t="str">
        <f>IFERROR(_xlfn.XLOOKUP(Table5[[#This Row],[Affected WTG]],'Basic Data'!$A:$A,'Basic Data'!$B:$B),"")</f>
        <v>PWEPL</v>
      </c>
      <c r="I372" s="23" t="str">
        <f>IFERROR(_xlfn.XLOOKUP(Table5[[#This Row],[Affected WTG]],'Basic Data'!$A:$A,'Basic Data'!$C:$C),"")</f>
        <v>MSEDCL</v>
      </c>
      <c r="J372" s="286">
        <f>IFERROR(_xlfn.XLOOKUP(Table5[[#This Row],[Affected WTG]],'Basic Data'!$A:$A,'Basic Data'!$E:$E),"")</f>
        <v>2.2727272727272728E-2</v>
      </c>
      <c r="K372" s="79">
        <v>142</v>
      </c>
      <c r="L372" s="23" t="str">
        <f>IFERROR(_xlfn.XLOOKUP(Table5[[#This Row],[Error Code]],'Basic Data'!$W:$W,'Basic Data'!$X:$X),"Incorrect Error Code")</f>
        <v>Line CCU collective faults</v>
      </c>
      <c r="M372" s="23" t="s">
        <v>149</v>
      </c>
      <c r="N372" s="23"/>
      <c r="O372" s="355">
        <v>0.3972222222222222</v>
      </c>
      <c r="P372" s="355">
        <v>0.3972222222222222</v>
      </c>
      <c r="Q372" s="355">
        <v>0.4368055555555555</v>
      </c>
      <c r="R372" s="341">
        <f t="shared" si="34"/>
        <v>3.9583333333333304E-2</v>
      </c>
      <c r="S372" s="353">
        <f>(Table5[[#This Row],[Fault Clearance time]]-Table5[[#This Row],[Work Start TimeStamp]])*24</f>
        <v>0.94999999999999929</v>
      </c>
      <c r="T372" s="353">
        <f>(Table5[[#This Row],[Fault Clearance time]]-Table5[[#This Row],[Fault Start TimeStamp]])*24</f>
        <v>0.94999999999999929</v>
      </c>
      <c r="U372" s="23" t="s">
        <v>790</v>
      </c>
      <c r="V372" s="79" t="s">
        <v>339</v>
      </c>
      <c r="W372" s="354">
        <f>IFERROR(Table5[[#This Row],[Breakdown Time]]*Table5[[#This Row],[Plant Equivalent Weightage]],"")</f>
        <v>2.1590909090909074E-2</v>
      </c>
      <c r="X372" s="289" t="s">
        <v>343</v>
      </c>
      <c r="Y372" s="290" t="s">
        <v>114</v>
      </c>
      <c r="Z372" s="79"/>
      <c r="AA372" s="283">
        <v>390</v>
      </c>
      <c r="AB372" s="79"/>
      <c r="AC372" s="23"/>
      <c r="AD372" s="23"/>
    </row>
    <row r="373" spans="1:30">
      <c r="A373" s="79">
        <f t="shared" si="20"/>
        <v>372</v>
      </c>
      <c r="B373" s="283">
        <f>YEAR(Table5[[#This Row],[Date]])+IF(MONTH(Table5[[#This Row],[Date]])&gt;=4,1,0)</f>
        <v>2026</v>
      </c>
      <c r="C373" s="79">
        <f>YEAR(Table5[[#This Row],[Date]])</f>
        <v>2025</v>
      </c>
      <c r="D373" s="79" t="s">
        <v>344</v>
      </c>
      <c r="E373" s="284">
        <f>Table5[[#This Row],[Date]]-DAY(Table5[[#This Row],[Date]])+1</f>
        <v>45839</v>
      </c>
      <c r="F373" s="285">
        <v>45863</v>
      </c>
      <c r="G373" s="79" t="s">
        <v>109</v>
      </c>
      <c r="H373" s="23" t="str">
        <f>IFERROR(_xlfn.XLOOKUP(Table5[[#This Row],[Affected WTG]],'Basic Data'!$A:$A,'Basic Data'!$B:$B),"")</f>
        <v>PWEPL</v>
      </c>
      <c r="I373" s="23" t="str">
        <f>IFERROR(_xlfn.XLOOKUP(Table5[[#This Row],[Affected WTG]],'Basic Data'!$A:$A,'Basic Data'!$C:$C),"")</f>
        <v>MSEDCL</v>
      </c>
      <c r="J373" s="286">
        <f>IFERROR(_xlfn.XLOOKUP(Table5[[#This Row],[Affected WTG]],'Basic Data'!$A:$A,'Basic Data'!$E:$E),"")</f>
        <v>2.2727272727272728E-2</v>
      </c>
      <c r="K373" s="79">
        <v>269</v>
      </c>
      <c r="L373" s="23" t="str">
        <f>IFERROR(_xlfn.XLOOKUP(Table5[[#This Row],[Error Code]],'Basic Data'!$W:$W,'Basic Data'!$X:$X),"Incorrect Error Code")</f>
        <v>Reboot PLC</v>
      </c>
      <c r="M373" s="23" t="s">
        <v>348</v>
      </c>
      <c r="N373" s="23"/>
      <c r="O373" s="355">
        <v>0.3923611111111111</v>
      </c>
      <c r="P373" s="355">
        <v>0.3923611111111111</v>
      </c>
      <c r="Q373" s="355">
        <v>0.4152777777777778</v>
      </c>
      <c r="R373" s="341">
        <f t="shared" si="34"/>
        <v>2.2916666666666696E-2</v>
      </c>
      <c r="S373" s="353">
        <f>(Table5[[#This Row],[Fault Clearance time]]-Table5[[#This Row],[Work Start TimeStamp]])*24</f>
        <v>0.55000000000000071</v>
      </c>
      <c r="T373" s="353">
        <f>(Table5[[#This Row],[Fault Clearance time]]-Table5[[#This Row],[Fault Start TimeStamp]])*24</f>
        <v>0.55000000000000071</v>
      </c>
      <c r="U373" s="23" t="s">
        <v>353</v>
      </c>
      <c r="V373" s="79" t="s">
        <v>339</v>
      </c>
      <c r="W373" s="354">
        <f>IFERROR(Table5[[#This Row],[Breakdown Time]]*Table5[[#This Row],[Plant Equivalent Weightage]],"")</f>
        <v>1.2500000000000016E-2</v>
      </c>
      <c r="X373" s="289" t="s">
        <v>343</v>
      </c>
      <c r="Y373" s="290" t="s">
        <v>114</v>
      </c>
      <c r="Z373" s="79"/>
      <c r="AA373" s="283">
        <v>3105</v>
      </c>
      <c r="AB373" s="79"/>
      <c r="AC373" s="23"/>
      <c r="AD373" s="23"/>
    </row>
    <row r="374" spans="1:30">
      <c r="A374" s="79">
        <f t="shared" si="20"/>
        <v>373</v>
      </c>
      <c r="B374" s="283">
        <f>YEAR(Table5[[#This Row],[Date]])+IF(MONTH(Table5[[#This Row],[Date]])&gt;=4,1,0)</f>
        <v>2026</v>
      </c>
      <c r="C374" s="79">
        <f>YEAR(Table5[[#This Row],[Date]])</f>
        <v>2025</v>
      </c>
      <c r="D374" s="79" t="s">
        <v>344</v>
      </c>
      <c r="E374" s="284">
        <f>Table5[[#This Row],[Date]]-DAY(Table5[[#This Row],[Date]])+1</f>
        <v>45839</v>
      </c>
      <c r="F374" s="285">
        <v>45863</v>
      </c>
      <c r="G374" s="79" t="s">
        <v>111</v>
      </c>
      <c r="H374" s="23" t="str">
        <f>IFERROR(_xlfn.XLOOKUP(Table5[[#This Row],[Affected WTG]],'Basic Data'!$A:$A,'Basic Data'!$B:$B),"")</f>
        <v>PWEPL</v>
      </c>
      <c r="I374" s="23" t="str">
        <f>IFERROR(_xlfn.XLOOKUP(Table5[[#This Row],[Affected WTG]],'Basic Data'!$A:$A,'Basic Data'!$C:$C),"")</f>
        <v>MSEDCL</v>
      </c>
      <c r="J374" s="286">
        <f>IFERROR(_xlfn.XLOOKUP(Table5[[#This Row],[Affected WTG]],'Basic Data'!$A:$A,'Basic Data'!$E:$E),"")</f>
        <v>2.2727272727272728E-2</v>
      </c>
      <c r="K374" s="79">
        <v>269</v>
      </c>
      <c r="L374" s="23" t="str">
        <f>IFERROR(_xlfn.XLOOKUP(Table5[[#This Row],[Error Code]],'Basic Data'!$W:$W,'Basic Data'!$X:$X),"Incorrect Error Code")</f>
        <v>Reboot PLC</v>
      </c>
      <c r="M374" s="23" t="s">
        <v>348</v>
      </c>
      <c r="N374" s="23"/>
      <c r="O374" s="355">
        <v>0.3923611111111111</v>
      </c>
      <c r="P374" s="355">
        <v>0.3923611111111111</v>
      </c>
      <c r="Q374" s="355">
        <v>0.40972222222222227</v>
      </c>
      <c r="R374" s="341">
        <f t="shared" si="34"/>
        <v>1.736111111111116E-2</v>
      </c>
      <c r="S374" s="353">
        <f>(Table5[[#This Row],[Fault Clearance time]]-Table5[[#This Row],[Work Start TimeStamp]])*24</f>
        <v>0.41666666666666785</v>
      </c>
      <c r="T374" s="353">
        <f>(Table5[[#This Row],[Fault Clearance time]]-Table5[[#This Row],[Fault Start TimeStamp]])*24</f>
        <v>0.41666666666666785</v>
      </c>
      <c r="U374" s="23" t="s">
        <v>353</v>
      </c>
      <c r="V374" s="79" t="s">
        <v>339</v>
      </c>
      <c r="W374" s="354">
        <f>IFERROR(Table5[[#This Row],[Breakdown Time]]*Table5[[#This Row],[Plant Equivalent Weightage]],"")</f>
        <v>9.4696969696969977E-3</v>
      </c>
      <c r="X374" s="289" t="s">
        <v>343</v>
      </c>
      <c r="Y374" s="290" t="s">
        <v>118</v>
      </c>
      <c r="Z374" s="79"/>
      <c r="AA374" s="283">
        <v>1072</v>
      </c>
      <c r="AB374" s="79"/>
      <c r="AC374" s="23"/>
      <c r="AD374" s="23"/>
    </row>
    <row r="375" spans="1:30">
      <c r="A375" s="79">
        <f t="shared" si="20"/>
        <v>374</v>
      </c>
      <c r="B375" s="283">
        <f>YEAR(Table5[[#This Row],[Date]])+IF(MONTH(Table5[[#This Row],[Date]])&gt;=4,1,0)</f>
        <v>2026</v>
      </c>
      <c r="C375" s="79">
        <f>YEAR(Table5[[#This Row],[Date]])</f>
        <v>2025</v>
      </c>
      <c r="D375" s="79" t="s">
        <v>344</v>
      </c>
      <c r="E375" s="284">
        <f>Table5[[#This Row],[Date]]-DAY(Table5[[#This Row],[Date]])+1</f>
        <v>45839</v>
      </c>
      <c r="F375" s="285">
        <v>45863</v>
      </c>
      <c r="G375" s="79" t="s">
        <v>112</v>
      </c>
      <c r="H375" s="23" t="str">
        <f>IFERROR(_xlfn.XLOOKUP(Table5[[#This Row],[Affected WTG]],'Basic Data'!$A:$A,'Basic Data'!$B:$B),"")</f>
        <v>PWEPL</v>
      </c>
      <c r="I375" s="23" t="str">
        <f>IFERROR(_xlfn.XLOOKUP(Table5[[#This Row],[Affected WTG]],'Basic Data'!$A:$A,'Basic Data'!$C:$C),"")</f>
        <v>MSEDCL</v>
      </c>
      <c r="J375" s="286">
        <f>IFERROR(_xlfn.XLOOKUP(Table5[[#This Row],[Affected WTG]],'Basic Data'!$A:$A,'Basic Data'!$E:$E),"")</f>
        <v>2.2727272727272728E-2</v>
      </c>
      <c r="K375" s="79">
        <v>269</v>
      </c>
      <c r="L375" s="23" t="str">
        <f>IFERROR(_xlfn.XLOOKUP(Table5[[#This Row],[Error Code]],'Basic Data'!$W:$W,'Basic Data'!$X:$X),"Incorrect Error Code")</f>
        <v>Reboot PLC</v>
      </c>
      <c r="M375" s="23" t="s">
        <v>348</v>
      </c>
      <c r="N375" s="23"/>
      <c r="O375" s="355">
        <v>0.3923611111111111</v>
      </c>
      <c r="P375" s="355">
        <v>0.3923611111111111</v>
      </c>
      <c r="Q375" s="355">
        <v>0.40763888888888888</v>
      </c>
      <c r="R375" s="341">
        <f t="shared" si="34"/>
        <v>1.5277777777777779E-2</v>
      </c>
      <c r="S375" s="353">
        <f>(Table5[[#This Row],[Fault Clearance time]]-Table5[[#This Row],[Work Start TimeStamp]])*24</f>
        <v>0.3666666666666667</v>
      </c>
      <c r="T375" s="353">
        <f>(Table5[[#This Row],[Fault Clearance time]]-Table5[[#This Row],[Fault Start TimeStamp]])*24</f>
        <v>0.3666666666666667</v>
      </c>
      <c r="U375" s="23" t="s">
        <v>353</v>
      </c>
      <c r="V375" s="79" t="s">
        <v>339</v>
      </c>
      <c r="W375" s="354">
        <f>IFERROR(Table5[[#This Row],[Breakdown Time]]*Table5[[#This Row],[Plant Equivalent Weightage]],"")</f>
        <v>8.333333333333335E-3</v>
      </c>
      <c r="X375" s="289" t="s">
        <v>343</v>
      </c>
      <c r="Y375" s="290" t="s">
        <v>111</v>
      </c>
      <c r="Z375" s="79"/>
      <c r="AA375" s="283">
        <v>168</v>
      </c>
      <c r="AB375" s="79"/>
      <c r="AC375" s="23"/>
      <c r="AD375" s="23"/>
    </row>
    <row r="376" spans="1:30">
      <c r="A376" s="79">
        <f t="shared" si="20"/>
        <v>375</v>
      </c>
      <c r="B376" s="283">
        <f>YEAR(Table5[[#This Row],[Date]])+IF(MONTH(Table5[[#This Row],[Date]])&gt;=4,1,0)</f>
        <v>2026</v>
      </c>
      <c r="C376" s="79">
        <f>YEAR(Table5[[#This Row],[Date]])</f>
        <v>2025</v>
      </c>
      <c r="D376" s="79" t="s">
        <v>344</v>
      </c>
      <c r="E376" s="284">
        <f>Table5[[#This Row],[Date]]-DAY(Table5[[#This Row],[Date]])+1</f>
        <v>45839</v>
      </c>
      <c r="F376" s="285">
        <v>45863</v>
      </c>
      <c r="G376" s="79" t="s">
        <v>114</v>
      </c>
      <c r="H376" s="23" t="str">
        <f>IFERROR(_xlfn.XLOOKUP(Table5[[#This Row],[Affected WTG]],'Basic Data'!$A:$A,'Basic Data'!$B:$B),"")</f>
        <v>PWEPL</v>
      </c>
      <c r="I376" s="23" t="str">
        <f>IFERROR(_xlfn.XLOOKUP(Table5[[#This Row],[Affected WTG]],'Basic Data'!$A:$A,'Basic Data'!$C:$C),"")</f>
        <v>MSEDCL</v>
      </c>
      <c r="J376" s="286">
        <f>IFERROR(_xlfn.XLOOKUP(Table5[[#This Row],[Affected WTG]],'Basic Data'!$A:$A,'Basic Data'!$E:$E),"")</f>
        <v>2.2727272727272728E-2</v>
      </c>
      <c r="K376" s="79">
        <v>269</v>
      </c>
      <c r="L376" s="23" t="str">
        <f>IFERROR(_xlfn.XLOOKUP(Table5[[#This Row],[Error Code]],'Basic Data'!$W:$W,'Basic Data'!$X:$X),"Incorrect Error Code")</f>
        <v>Reboot PLC</v>
      </c>
      <c r="M376" s="23" t="s">
        <v>348</v>
      </c>
      <c r="N376" s="23"/>
      <c r="O376" s="355">
        <v>0.3923611111111111</v>
      </c>
      <c r="P376" s="355">
        <v>0.3923611111111111</v>
      </c>
      <c r="Q376" s="355">
        <v>0.41597222222222219</v>
      </c>
      <c r="R376" s="341">
        <f t="shared" si="34"/>
        <v>2.3611111111111083E-2</v>
      </c>
      <c r="S376" s="353">
        <f>(Table5[[#This Row],[Fault Clearance time]]-Table5[[#This Row],[Work Start TimeStamp]])*24</f>
        <v>0.56666666666666599</v>
      </c>
      <c r="T376" s="353">
        <f>(Table5[[#This Row],[Fault Clearance time]]-Table5[[#This Row],[Fault Start TimeStamp]])*24</f>
        <v>0.56666666666666599</v>
      </c>
      <c r="U376" s="23" t="s">
        <v>353</v>
      </c>
      <c r="V376" s="79" t="s">
        <v>339</v>
      </c>
      <c r="W376" s="354">
        <f>IFERROR(Table5[[#This Row],[Breakdown Time]]*Table5[[#This Row],[Plant Equivalent Weightage]],"")</f>
        <v>1.2878787878787863E-2</v>
      </c>
      <c r="X376" s="289" t="s">
        <v>343</v>
      </c>
      <c r="Y376" s="290" t="s">
        <v>113</v>
      </c>
      <c r="Z376" s="79"/>
      <c r="AA376" s="283">
        <v>3127</v>
      </c>
      <c r="AB376" s="79"/>
      <c r="AC376" s="23"/>
      <c r="AD376" s="23"/>
    </row>
    <row r="377" spans="1:30">
      <c r="A377" s="79">
        <f t="shared" si="20"/>
        <v>376</v>
      </c>
      <c r="B377" s="283">
        <f>YEAR(Table5[[#This Row],[Date]])+IF(MONTH(Table5[[#This Row],[Date]])&gt;=4,1,0)</f>
        <v>2026</v>
      </c>
      <c r="C377" s="79">
        <f>YEAR(Table5[[#This Row],[Date]])</f>
        <v>2025</v>
      </c>
      <c r="D377" s="79" t="s">
        <v>344</v>
      </c>
      <c r="E377" s="284">
        <f>Table5[[#This Row],[Date]]-DAY(Table5[[#This Row],[Date]])+1</f>
        <v>45839</v>
      </c>
      <c r="F377" s="285">
        <v>45863</v>
      </c>
      <c r="G377" s="79" t="s">
        <v>79</v>
      </c>
      <c r="H377" s="23" t="str">
        <f>IFERROR(_xlfn.XLOOKUP(Table5[[#This Row],[Affected WTG]],'Basic Data'!$A:$A,'Basic Data'!$B:$B),"")</f>
        <v>PWEPL</v>
      </c>
      <c r="I377" s="23" t="str">
        <f>IFERROR(_xlfn.XLOOKUP(Table5[[#This Row],[Affected WTG]],'Basic Data'!$A:$A,'Basic Data'!$C:$C),"")</f>
        <v>MSEDCL</v>
      </c>
      <c r="J377" s="286">
        <f>IFERROR(_xlfn.XLOOKUP(Table5[[#This Row],[Affected WTG]],'Basic Data'!$A:$A,'Basic Data'!$E:$E),"")</f>
        <v>2.2727272727272728E-2</v>
      </c>
      <c r="K377" s="79">
        <v>269</v>
      </c>
      <c r="L377" s="23" t="str">
        <f>IFERROR(_xlfn.XLOOKUP(Table5[[#This Row],[Error Code]],'Basic Data'!$W:$W,'Basic Data'!$X:$X),"Incorrect Error Code")</f>
        <v>Reboot PLC</v>
      </c>
      <c r="M377" s="23" t="s">
        <v>348</v>
      </c>
      <c r="N377" s="23"/>
      <c r="O377" s="355">
        <v>0.83263888888888893</v>
      </c>
      <c r="P377" s="355">
        <v>0.83263888888888893</v>
      </c>
      <c r="Q377" s="355">
        <v>0.94027777777777777</v>
      </c>
      <c r="R377" s="341">
        <f t="shared" si="34"/>
        <v>0.10763888888888884</v>
      </c>
      <c r="S377" s="353">
        <f>(Table5[[#This Row],[Fault Clearance time]]-Table5[[#This Row],[Work Start TimeStamp]])*24</f>
        <v>2.5833333333333321</v>
      </c>
      <c r="T377" s="353">
        <f>(Table5[[#This Row],[Fault Clearance time]]-Table5[[#This Row],[Fault Start TimeStamp]])*24</f>
        <v>2.5833333333333321</v>
      </c>
      <c r="U377" s="23" t="s">
        <v>353</v>
      </c>
      <c r="V377" s="79" t="s">
        <v>339</v>
      </c>
      <c r="W377" s="354">
        <f>IFERROR(Table5[[#This Row],[Breakdown Time]]*Table5[[#This Row],[Plant Equivalent Weightage]],"")</f>
        <v>5.8712121212121188E-2</v>
      </c>
      <c r="X377" s="289" t="s">
        <v>343</v>
      </c>
      <c r="Y377" s="290" t="s">
        <v>96</v>
      </c>
      <c r="Z377" s="79"/>
      <c r="AA377" s="283">
        <v>4712</v>
      </c>
      <c r="AB377" s="79"/>
      <c r="AC377" s="23"/>
      <c r="AD377" s="23"/>
    </row>
    <row r="378" spans="1:30">
      <c r="A378" s="79">
        <f t="shared" si="20"/>
        <v>377</v>
      </c>
      <c r="B378" s="283">
        <f>YEAR(Table5[[#This Row],[Date]])+IF(MONTH(Table5[[#This Row],[Date]])&gt;=4,1,0)</f>
        <v>2026</v>
      </c>
      <c r="C378" s="79">
        <f>YEAR(Table5[[#This Row],[Date]])</f>
        <v>2025</v>
      </c>
      <c r="D378" s="79" t="s">
        <v>344</v>
      </c>
      <c r="E378" s="284">
        <f>Table5[[#This Row],[Date]]-DAY(Table5[[#This Row],[Date]])+1</f>
        <v>45839</v>
      </c>
      <c r="F378" s="285">
        <v>45863</v>
      </c>
      <c r="G378" s="79" t="s">
        <v>96</v>
      </c>
      <c r="H378" s="23" t="str">
        <f>IFERROR(_xlfn.XLOOKUP(Table5[[#This Row],[Affected WTG]],'Basic Data'!$A:$A,'Basic Data'!$B:$B),"")</f>
        <v>PWEPL</v>
      </c>
      <c r="I378" s="23" t="str">
        <f>IFERROR(_xlfn.XLOOKUP(Table5[[#This Row],[Affected WTG]],'Basic Data'!$A:$A,'Basic Data'!$C:$C),"")</f>
        <v>MSEDCL</v>
      </c>
      <c r="J378" s="286">
        <f>IFERROR(_xlfn.XLOOKUP(Table5[[#This Row],[Affected WTG]],'Basic Data'!$A:$A,'Basic Data'!$E:$E),"")</f>
        <v>2.2727272727272728E-2</v>
      </c>
      <c r="K378" s="79">
        <v>269</v>
      </c>
      <c r="L378" s="23" t="str">
        <f>IFERROR(_xlfn.XLOOKUP(Table5[[#This Row],[Error Code]],'Basic Data'!$W:$W,'Basic Data'!$X:$X),"Incorrect Error Code")</f>
        <v>Reboot PLC</v>
      </c>
      <c r="M378" s="23" t="s">
        <v>348</v>
      </c>
      <c r="N378" s="23"/>
      <c r="O378" s="355">
        <v>0.83263888888888893</v>
      </c>
      <c r="P378" s="355">
        <v>0.83263888888888893</v>
      </c>
      <c r="Q378" s="355">
        <v>0.93958333333333333</v>
      </c>
      <c r="R378" s="341">
        <f t="shared" si="34"/>
        <v>0.1069444444444444</v>
      </c>
      <c r="S378" s="353">
        <f>(Table5[[#This Row],[Fault Clearance time]]-Table5[[#This Row],[Work Start TimeStamp]])*24</f>
        <v>2.5666666666666655</v>
      </c>
      <c r="T378" s="353">
        <f>(Table5[[#This Row],[Fault Clearance time]]-Table5[[#This Row],[Fault Start TimeStamp]])*24</f>
        <v>2.5666666666666655</v>
      </c>
      <c r="U378" s="23" t="s">
        <v>353</v>
      </c>
      <c r="V378" s="79" t="s">
        <v>339</v>
      </c>
      <c r="W378" s="354">
        <f>IFERROR(Table5[[#This Row],[Breakdown Time]]*Table5[[#This Row],[Plant Equivalent Weightage]],"")</f>
        <v>5.8333333333333307E-2</v>
      </c>
      <c r="X378" s="289" t="s">
        <v>343</v>
      </c>
      <c r="Y378" s="290" t="s">
        <v>79</v>
      </c>
      <c r="Z378" s="79"/>
      <c r="AA378" s="283">
        <v>4690</v>
      </c>
      <c r="AB378" s="79"/>
      <c r="AC378" s="23"/>
      <c r="AD378" s="23"/>
    </row>
    <row r="379" spans="1:30">
      <c r="A379" s="79">
        <f t="shared" si="20"/>
        <v>378</v>
      </c>
      <c r="B379" s="283">
        <f>YEAR(Table5[[#This Row],[Date]])+IF(MONTH(Table5[[#This Row],[Date]])&gt;=4,1,0)</f>
        <v>2026</v>
      </c>
      <c r="C379" s="79">
        <f>YEAR(Table5[[#This Row],[Date]])</f>
        <v>2025</v>
      </c>
      <c r="D379" s="79" t="s">
        <v>344</v>
      </c>
      <c r="E379" s="284">
        <f>Table5[[#This Row],[Date]]-DAY(Table5[[#This Row],[Date]])+1</f>
        <v>45839</v>
      </c>
      <c r="F379" s="285">
        <v>45863</v>
      </c>
      <c r="G379" s="79" t="s">
        <v>97</v>
      </c>
      <c r="H379" s="23" t="str">
        <f>IFERROR(_xlfn.XLOOKUP(Table5[[#This Row],[Affected WTG]],'Basic Data'!$A:$A,'Basic Data'!$B:$B),"")</f>
        <v>PWEPL</v>
      </c>
      <c r="I379" s="23" t="str">
        <f>IFERROR(_xlfn.XLOOKUP(Table5[[#This Row],[Affected WTG]],'Basic Data'!$A:$A,'Basic Data'!$C:$C),"")</f>
        <v>MSEDCL</v>
      </c>
      <c r="J379" s="286">
        <f>IFERROR(_xlfn.XLOOKUP(Table5[[#This Row],[Affected WTG]],'Basic Data'!$A:$A,'Basic Data'!$E:$E),"")</f>
        <v>2.2727272727272728E-2</v>
      </c>
      <c r="K379" s="79">
        <v>269</v>
      </c>
      <c r="L379" s="23" t="str">
        <f>IFERROR(_xlfn.XLOOKUP(Table5[[#This Row],[Error Code]],'Basic Data'!$W:$W,'Basic Data'!$X:$X),"Incorrect Error Code")</f>
        <v>Reboot PLC</v>
      </c>
      <c r="M379" s="23" t="s">
        <v>348</v>
      </c>
      <c r="N379" s="23"/>
      <c r="O379" s="355">
        <v>0.83263888888888893</v>
      </c>
      <c r="P379" s="355">
        <v>0.83263888888888893</v>
      </c>
      <c r="Q379" s="355">
        <v>0.94027777777777777</v>
      </c>
      <c r="R379" s="341">
        <f t="shared" si="34"/>
        <v>0.10763888888888884</v>
      </c>
      <c r="S379" s="353">
        <f>(Table5[[#This Row],[Fault Clearance time]]-Table5[[#This Row],[Work Start TimeStamp]])*24</f>
        <v>2.5833333333333321</v>
      </c>
      <c r="T379" s="353">
        <f>(Table5[[#This Row],[Fault Clearance time]]-Table5[[#This Row],[Fault Start TimeStamp]])*24</f>
        <v>2.5833333333333321</v>
      </c>
      <c r="U379" s="23" t="s">
        <v>353</v>
      </c>
      <c r="V379" s="79" t="s">
        <v>339</v>
      </c>
      <c r="W379" s="354">
        <f>IFERROR(Table5[[#This Row],[Breakdown Time]]*Table5[[#This Row],[Plant Equivalent Weightage]],"")</f>
        <v>5.8712121212121188E-2</v>
      </c>
      <c r="X379" s="289" t="s">
        <v>343</v>
      </c>
      <c r="Y379" s="290" t="s">
        <v>96</v>
      </c>
      <c r="Z379" s="79"/>
      <c r="AA379" s="283">
        <v>4712</v>
      </c>
      <c r="AB379" s="79"/>
      <c r="AC379" s="23"/>
      <c r="AD379" s="23"/>
    </row>
    <row r="380" spans="1:30">
      <c r="A380" s="79">
        <f t="shared" si="20"/>
        <v>379</v>
      </c>
      <c r="B380" s="283">
        <f>YEAR(Table5[[#This Row],[Date]])+IF(MONTH(Table5[[#This Row],[Date]])&gt;=4,1,0)</f>
        <v>2026</v>
      </c>
      <c r="C380" s="79">
        <f>YEAR(Table5[[#This Row],[Date]])</f>
        <v>2025</v>
      </c>
      <c r="D380" s="79" t="s">
        <v>344</v>
      </c>
      <c r="E380" s="284">
        <f>Table5[[#This Row],[Date]]-DAY(Table5[[#This Row],[Date]])+1</f>
        <v>45839</v>
      </c>
      <c r="F380" s="285">
        <v>45863</v>
      </c>
      <c r="G380" s="79" t="s">
        <v>104</v>
      </c>
      <c r="H380" s="23" t="str">
        <f>IFERROR(_xlfn.XLOOKUP(Table5[[#This Row],[Affected WTG]],'Basic Data'!$A:$A,'Basic Data'!$B:$B),"")</f>
        <v>PWEPL</v>
      </c>
      <c r="I380" s="23" t="str">
        <f>IFERROR(_xlfn.XLOOKUP(Table5[[#This Row],[Affected WTG]],'Basic Data'!$A:$A,'Basic Data'!$C:$C),"")</f>
        <v>MSEDCL</v>
      </c>
      <c r="J380" s="286">
        <f>IFERROR(_xlfn.XLOOKUP(Table5[[#This Row],[Affected WTG]],'Basic Data'!$A:$A,'Basic Data'!$E:$E),"")</f>
        <v>2.2727272727272728E-2</v>
      </c>
      <c r="K380" s="79">
        <v>269</v>
      </c>
      <c r="L380" s="23" t="str">
        <f>IFERROR(_xlfn.XLOOKUP(Table5[[#This Row],[Error Code]],'Basic Data'!$W:$W,'Basic Data'!$X:$X),"Incorrect Error Code")</f>
        <v>Reboot PLC</v>
      </c>
      <c r="M380" s="23" t="s">
        <v>348</v>
      </c>
      <c r="N380" s="23"/>
      <c r="O380" s="355">
        <v>0.83263888888888893</v>
      </c>
      <c r="P380" s="355">
        <v>0.83263888888888893</v>
      </c>
      <c r="Q380" s="355">
        <v>0.93819444444444444</v>
      </c>
      <c r="R380" s="341">
        <f t="shared" si="34"/>
        <v>0.10555555555555551</v>
      </c>
      <c r="S380" s="353">
        <f>(Table5[[#This Row],[Fault Clearance time]]-Table5[[#This Row],[Work Start TimeStamp]])*24</f>
        <v>2.5333333333333323</v>
      </c>
      <c r="T380" s="353">
        <f>(Table5[[#This Row],[Fault Clearance time]]-Table5[[#This Row],[Fault Start TimeStamp]])*24</f>
        <v>2.5333333333333323</v>
      </c>
      <c r="U380" s="23" t="s">
        <v>353</v>
      </c>
      <c r="V380" s="79" t="s">
        <v>339</v>
      </c>
      <c r="W380" s="354">
        <f>IFERROR(Table5[[#This Row],[Breakdown Time]]*Table5[[#This Row],[Plant Equivalent Weightage]],"")</f>
        <v>5.7575757575757558E-2</v>
      </c>
      <c r="X380" s="289" t="s">
        <v>343</v>
      </c>
      <c r="Y380" s="290" t="s">
        <v>79</v>
      </c>
      <c r="Z380" s="79"/>
      <c r="AA380" s="283">
        <v>4647</v>
      </c>
      <c r="AB380" s="79"/>
      <c r="AC380" s="23"/>
      <c r="AD380" s="23"/>
    </row>
    <row r="381" spans="1:30">
      <c r="A381" s="79">
        <f t="shared" si="20"/>
        <v>380</v>
      </c>
      <c r="B381" s="283">
        <f>YEAR(Table5[[#This Row],[Date]])+IF(MONTH(Table5[[#This Row],[Date]])&gt;=4,1,0)</f>
        <v>2026</v>
      </c>
      <c r="C381" s="79">
        <f>YEAR(Table5[[#This Row],[Date]])</f>
        <v>2025</v>
      </c>
      <c r="D381" s="79" t="s">
        <v>344</v>
      </c>
      <c r="E381" s="284">
        <f>Table5[[#This Row],[Date]]-DAY(Table5[[#This Row],[Date]])+1</f>
        <v>45839</v>
      </c>
      <c r="F381" s="285">
        <v>45863</v>
      </c>
      <c r="G381" s="79" t="s">
        <v>110</v>
      </c>
      <c r="H381" s="23" t="str">
        <f>IFERROR(_xlfn.XLOOKUP(Table5[[#This Row],[Affected WTG]],'Basic Data'!$A:$A,'Basic Data'!$B:$B),"")</f>
        <v>PWEPL</v>
      </c>
      <c r="I381" s="23" t="str">
        <f>IFERROR(_xlfn.XLOOKUP(Table5[[#This Row],[Affected WTG]],'Basic Data'!$A:$A,'Basic Data'!$C:$C),"")</f>
        <v>MSEDCL</v>
      </c>
      <c r="J381" s="286">
        <f>IFERROR(_xlfn.XLOOKUP(Table5[[#This Row],[Affected WTG]],'Basic Data'!$A:$A,'Basic Data'!$E:$E),"")</f>
        <v>2.2727272727272728E-2</v>
      </c>
      <c r="K381" s="79">
        <v>269</v>
      </c>
      <c r="L381" s="23" t="str">
        <f>IFERROR(_xlfn.XLOOKUP(Table5[[#This Row],[Error Code]],'Basic Data'!$W:$W,'Basic Data'!$X:$X),"Incorrect Error Code")</f>
        <v>Reboot PLC</v>
      </c>
      <c r="M381" s="23" t="s">
        <v>348</v>
      </c>
      <c r="N381" s="23"/>
      <c r="O381" s="355">
        <v>0.83263888888888893</v>
      </c>
      <c r="P381" s="355">
        <v>0.83263888888888893</v>
      </c>
      <c r="Q381" s="355">
        <v>0.95000000000000007</v>
      </c>
      <c r="R381" s="341">
        <f t="shared" si="34"/>
        <v>0.11736111111111114</v>
      </c>
      <c r="S381" s="353">
        <f>(Table5[[#This Row],[Fault Clearance time]]-Table5[[#This Row],[Work Start TimeStamp]])*24</f>
        <v>2.8166666666666673</v>
      </c>
      <c r="T381" s="353">
        <f>(Table5[[#This Row],[Fault Clearance time]]-Table5[[#This Row],[Fault Start TimeStamp]])*24</f>
        <v>2.8166666666666673</v>
      </c>
      <c r="U381" s="23" t="s">
        <v>353</v>
      </c>
      <c r="V381" s="79" t="s">
        <v>339</v>
      </c>
      <c r="W381" s="354">
        <f>IFERROR(Table5[[#This Row],[Breakdown Time]]*Table5[[#This Row],[Plant Equivalent Weightage]],"")</f>
        <v>6.4015151515151525E-2</v>
      </c>
      <c r="X381" s="289" t="s">
        <v>343</v>
      </c>
      <c r="Y381" s="290" t="s">
        <v>100</v>
      </c>
      <c r="Z381" s="79"/>
      <c r="AA381" s="283">
        <v>3828</v>
      </c>
      <c r="AB381" s="79"/>
      <c r="AC381" s="23"/>
      <c r="AD381" s="23"/>
    </row>
    <row r="382" spans="1:30">
      <c r="A382" s="79">
        <f t="shared" si="20"/>
        <v>381</v>
      </c>
      <c r="B382" s="283">
        <f>YEAR(Table5[[#This Row],[Date]])+IF(MONTH(Table5[[#This Row],[Date]])&gt;=4,1,0)</f>
        <v>2026</v>
      </c>
      <c r="C382" s="79">
        <f>YEAR(Table5[[#This Row],[Date]])</f>
        <v>2025</v>
      </c>
      <c r="D382" s="79" t="s">
        <v>344</v>
      </c>
      <c r="E382" s="284">
        <f>Table5[[#This Row],[Date]]-DAY(Table5[[#This Row],[Date]])+1</f>
        <v>45839</v>
      </c>
      <c r="F382" s="285">
        <v>45863</v>
      </c>
      <c r="G382" s="79" t="s">
        <v>117</v>
      </c>
      <c r="H382" s="23" t="str">
        <f>IFERROR(_xlfn.XLOOKUP(Table5[[#This Row],[Affected WTG]],'Basic Data'!$A:$A,'Basic Data'!$B:$B),"")</f>
        <v>PWEPL</v>
      </c>
      <c r="I382" s="23" t="str">
        <f>IFERROR(_xlfn.XLOOKUP(Table5[[#This Row],[Affected WTG]],'Basic Data'!$A:$A,'Basic Data'!$C:$C),"")</f>
        <v>MSEDCL</v>
      </c>
      <c r="J382" s="286">
        <f>IFERROR(_xlfn.XLOOKUP(Table5[[#This Row],[Affected WTG]],'Basic Data'!$A:$A,'Basic Data'!$E:$E),"")</f>
        <v>2.2727272727272728E-2</v>
      </c>
      <c r="K382" s="79">
        <v>201</v>
      </c>
      <c r="L382" s="23" t="str">
        <f>IFERROR(_xlfn.XLOOKUP(Table5[[#This Row],[Error Code]],'Basic Data'!$W:$W,'Basic Data'!$X:$X),"Incorrect Error Code")</f>
        <v xml:space="preserve"> PLC fault 24V Supply</v>
      </c>
      <c r="M382" s="23" t="s">
        <v>967</v>
      </c>
      <c r="N382" s="23"/>
      <c r="O382" s="355">
        <v>0.91666666666666663</v>
      </c>
      <c r="P382" s="355">
        <v>0.91666666666666663</v>
      </c>
      <c r="Q382" s="355">
        <v>0.9868055555555556</v>
      </c>
      <c r="R382" s="341">
        <f t="shared" si="34"/>
        <v>7.0138888888888973E-2</v>
      </c>
      <c r="S382" s="353">
        <f>(Table5[[#This Row],[Fault Clearance time]]-Table5[[#This Row],[Work Start TimeStamp]])*24</f>
        <v>1.6833333333333353</v>
      </c>
      <c r="T382" s="353">
        <f>(Table5[[#This Row],[Fault Clearance time]]-Table5[[#This Row],[Fault Start TimeStamp]])*24</f>
        <v>1.6833333333333353</v>
      </c>
      <c r="U382" s="23" t="s">
        <v>349</v>
      </c>
      <c r="V382" s="79" t="s">
        <v>339</v>
      </c>
      <c r="W382" s="354">
        <f>IFERROR(Table5[[#This Row],[Breakdown Time]]*Table5[[#This Row],[Plant Equivalent Weightage]],"")</f>
        <v>3.8257575757575803E-2</v>
      </c>
      <c r="X382" s="289" t="s">
        <v>343</v>
      </c>
      <c r="Y382" s="290" t="s">
        <v>116</v>
      </c>
      <c r="Z382" s="79"/>
      <c r="AA382" s="283">
        <v>2932</v>
      </c>
      <c r="AB382" s="79"/>
      <c r="AC382" s="23"/>
      <c r="AD382" s="23"/>
    </row>
    <row r="383" spans="1:30">
      <c r="A383" s="79">
        <f t="shared" si="20"/>
        <v>382</v>
      </c>
      <c r="B383" s="283">
        <f>YEAR(Table5[[#This Row],[Date]])+IF(MONTH(Table5[[#This Row],[Date]])&gt;=4,1,0)</f>
        <v>2026</v>
      </c>
      <c r="C383" s="79">
        <f>YEAR(Table5[[#This Row],[Date]])</f>
        <v>2025</v>
      </c>
      <c r="D383" s="79" t="s">
        <v>344</v>
      </c>
      <c r="E383" s="284">
        <f>Table5[[#This Row],[Date]]-DAY(Table5[[#This Row],[Date]])+1</f>
        <v>45839</v>
      </c>
      <c r="F383" s="285">
        <v>45864</v>
      </c>
      <c r="G383" s="79" t="s">
        <v>83</v>
      </c>
      <c r="H383" s="23" t="str">
        <f>IFERROR(_xlfn.XLOOKUP(Table5[[#This Row],[Affected WTG]],'Basic Data'!$A:$A,'Basic Data'!$B:$B),"")</f>
        <v>PWEPL</v>
      </c>
      <c r="I383" s="23" t="str">
        <f>IFERROR(_xlfn.XLOOKUP(Table5[[#This Row],[Affected WTG]],'Basic Data'!$A:$A,'Basic Data'!$C:$C),"")</f>
        <v>MSEDCL</v>
      </c>
      <c r="J383" s="286">
        <f>IFERROR(_xlfn.XLOOKUP(Table5[[#This Row],[Affected WTG]],'Basic Data'!$A:$A,'Basic Data'!$E:$E),"")</f>
        <v>2.2727272727272728E-2</v>
      </c>
      <c r="K383" s="79">
        <v>142</v>
      </c>
      <c r="L383" s="23" t="str">
        <f>IFERROR(_xlfn.XLOOKUP(Table5[[#This Row],[Error Code]],'Basic Data'!$W:$W,'Basic Data'!$X:$X),"Incorrect Error Code")</f>
        <v>Line CCU collective faults</v>
      </c>
      <c r="M383" s="23" t="s">
        <v>149</v>
      </c>
      <c r="N383" s="23"/>
      <c r="O383" s="355">
        <v>1.6666666666666666E-2</v>
      </c>
      <c r="P383" s="355">
        <v>1.6666666666666666E-2</v>
      </c>
      <c r="Q383" s="355">
        <v>2.4999999999999998E-2</v>
      </c>
      <c r="R383" s="341">
        <f t="shared" ref="R383:R392" si="35">Q383-O383</f>
        <v>8.3333333333333315E-3</v>
      </c>
      <c r="S383" s="353">
        <f>(Table5[[#This Row],[Fault Clearance time]]-Table5[[#This Row],[Work Start TimeStamp]])*24</f>
        <v>0.19999999999999996</v>
      </c>
      <c r="T383" s="353">
        <f>(Table5[[#This Row],[Fault Clearance time]]-Table5[[#This Row],[Fault Start TimeStamp]])*24</f>
        <v>0.19999999999999996</v>
      </c>
      <c r="U383" s="23" t="s">
        <v>790</v>
      </c>
      <c r="V383" s="79" t="s">
        <v>339</v>
      </c>
      <c r="W383" s="354">
        <f>IFERROR(Table5[[#This Row],[Breakdown Time]]*Table5[[#This Row],[Plant Equivalent Weightage]],"")</f>
        <v>4.5454545454545444E-3</v>
      </c>
      <c r="X383" s="289" t="s">
        <v>343</v>
      </c>
      <c r="Y383" s="290" t="s">
        <v>98</v>
      </c>
      <c r="Z383" s="79"/>
      <c r="AA383" s="283">
        <v>529</v>
      </c>
      <c r="AB383" s="79"/>
      <c r="AC383" s="23"/>
      <c r="AD383" s="23"/>
    </row>
    <row r="384" spans="1:30">
      <c r="A384" s="79">
        <f t="shared" si="20"/>
        <v>383</v>
      </c>
      <c r="B384" s="283">
        <f>YEAR(Table5[[#This Row],[Date]])+IF(MONTH(Table5[[#This Row],[Date]])&gt;=4,1,0)</f>
        <v>2026</v>
      </c>
      <c r="C384" s="79">
        <f>YEAR(Table5[[#This Row],[Date]])</f>
        <v>2025</v>
      </c>
      <c r="D384" s="79" t="s">
        <v>344</v>
      </c>
      <c r="E384" s="284">
        <f>Table5[[#This Row],[Date]]-DAY(Table5[[#This Row],[Date]])+1</f>
        <v>45839</v>
      </c>
      <c r="F384" s="285">
        <v>45864</v>
      </c>
      <c r="G384" s="79" t="s">
        <v>83</v>
      </c>
      <c r="H384" s="23" t="str">
        <f>IFERROR(_xlfn.XLOOKUP(Table5[[#This Row],[Affected WTG]],'Basic Data'!$A:$A,'Basic Data'!$B:$B),"")</f>
        <v>PWEPL</v>
      </c>
      <c r="I384" s="23" t="str">
        <f>IFERROR(_xlfn.XLOOKUP(Table5[[#This Row],[Affected WTG]],'Basic Data'!$A:$A,'Basic Data'!$C:$C),"")</f>
        <v>MSEDCL</v>
      </c>
      <c r="J384" s="286">
        <f>IFERROR(_xlfn.XLOOKUP(Table5[[#This Row],[Affected WTG]],'Basic Data'!$A:$A,'Basic Data'!$E:$E),"")</f>
        <v>2.2727272727272728E-2</v>
      </c>
      <c r="K384" s="79">
        <v>142</v>
      </c>
      <c r="L384" s="23" t="str">
        <f>IFERROR(_xlfn.XLOOKUP(Table5[[#This Row],[Error Code]],'Basic Data'!$W:$W,'Basic Data'!$X:$X),"Incorrect Error Code")</f>
        <v>Line CCU collective faults</v>
      </c>
      <c r="M384" s="23" t="s">
        <v>149</v>
      </c>
      <c r="N384" s="23"/>
      <c r="O384" s="355">
        <v>3.1944444444444449E-2</v>
      </c>
      <c r="P384" s="355">
        <v>3.1944444444444449E-2</v>
      </c>
      <c r="Q384" s="355">
        <v>4.5138888888888888E-2</v>
      </c>
      <c r="R384" s="341">
        <f t="shared" si="35"/>
        <v>1.3194444444444439E-2</v>
      </c>
      <c r="S384" s="353">
        <f>(Table5[[#This Row],[Fault Clearance time]]-Table5[[#This Row],[Work Start TimeStamp]])*24</f>
        <v>0.31666666666666654</v>
      </c>
      <c r="T384" s="353">
        <f>(Table5[[#This Row],[Fault Clearance time]]-Table5[[#This Row],[Fault Start TimeStamp]])*24</f>
        <v>0.31666666666666654</v>
      </c>
      <c r="U384" s="23" t="s">
        <v>790</v>
      </c>
      <c r="V384" s="79" t="s">
        <v>339</v>
      </c>
      <c r="W384" s="354">
        <f>IFERROR(Table5[[#This Row],[Breakdown Time]]*Table5[[#This Row],[Plant Equivalent Weightage]],"")</f>
        <v>7.1969696969696947E-3</v>
      </c>
      <c r="X384" s="289" t="s">
        <v>343</v>
      </c>
      <c r="Y384" s="290" t="s">
        <v>98</v>
      </c>
      <c r="Z384" s="79"/>
      <c r="AA384" s="283">
        <v>250</v>
      </c>
      <c r="AB384" s="79"/>
      <c r="AC384" s="23"/>
      <c r="AD384" s="23"/>
    </row>
    <row r="385" spans="1:30">
      <c r="A385" s="79">
        <f t="shared" si="20"/>
        <v>384</v>
      </c>
      <c r="B385" s="283">
        <f>YEAR(Table5[[#This Row],[Date]])+IF(MONTH(Table5[[#This Row],[Date]])&gt;=4,1,0)</f>
        <v>2026</v>
      </c>
      <c r="C385" s="79">
        <f>YEAR(Table5[[#This Row],[Date]])</f>
        <v>2025</v>
      </c>
      <c r="D385" s="79" t="s">
        <v>344</v>
      </c>
      <c r="E385" s="284">
        <f>Table5[[#This Row],[Date]]-DAY(Table5[[#This Row],[Date]])+1</f>
        <v>45839</v>
      </c>
      <c r="F385" s="285">
        <v>45864</v>
      </c>
      <c r="G385" s="79" t="s">
        <v>79</v>
      </c>
      <c r="H385" s="23" t="str">
        <f>IFERROR(_xlfn.XLOOKUP(Table5[[#This Row],[Affected WTG]],'Basic Data'!$A:$A,'Basic Data'!$B:$B),"")</f>
        <v>PWEPL</v>
      </c>
      <c r="I385" s="23" t="str">
        <f>IFERROR(_xlfn.XLOOKUP(Table5[[#This Row],[Affected WTG]],'Basic Data'!$A:$A,'Basic Data'!$C:$C),"")</f>
        <v>MSEDCL</v>
      </c>
      <c r="J385" s="286">
        <f>IFERROR(_xlfn.XLOOKUP(Table5[[#This Row],[Affected WTG]],'Basic Data'!$A:$A,'Basic Data'!$E:$E),"")</f>
        <v>2.2727272727272728E-2</v>
      </c>
      <c r="K385" s="79">
        <v>352</v>
      </c>
      <c r="L385" s="23" t="str">
        <f>IFERROR(_xlfn.XLOOKUP(Table5[[#This Row],[Error Code]],'Basic Data'!$W:$W,'Basic Data'!$X:$X),"Incorrect Error Code")</f>
        <v>Communication fault wind measurement device</v>
      </c>
      <c r="M385" s="23" t="s">
        <v>945</v>
      </c>
      <c r="N385" s="23"/>
      <c r="O385" s="355">
        <v>0.25972222222222224</v>
      </c>
      <c r="P385" s="355">
        <v>0.25972222222222224</v>
      </c>
      <c r="Q385" s="355">
        <v>0.40277777777777773</v>
      </c>
      <c r="R385" s="341">
        <f t="shared" si="35"/>
        <v>0.14305555555555549</v>
      </c>
      <c r="S385" s="353">
        <f>(Table5[[#This Row],[Fault Clearance time]]-Table5[[#This Row],[Work Start TimeStamp]])*24</f>
        <v>3.4333333333333318</v>
      </c>
      <c r="T385" s="353">
        <f>(Table5[[#This Row],[Fault Clearance time]]-Table5[[#This Row],[Fault Start TimeStamp]])*24</f>
        <v>3.4333333333333318</v>
      </c>
      <c r="U385" s="23" t="s">
        <v>978</v>
      </c>
      <c r="V385" s="79" t="s">
        <v>339</v>
      </c>
      <c r="W385" s="354">
        <f>IFERROR(Table5[[#This Row],[Breakdown Time]]*Table5[[#This Row],[Plant Equivalent Weightage]],"")</f>
        <v>7.8030303030302992E-2</v>
      </c>
      <c r="X385" s="289" t="s">
        <v>343</v>
      </c>
      <c r="Y385" s="290" t="s">
        <v>96</v>
      </c>
      <c r="Z385" s="79"/>
      <c r="AA385" s="283">
        <v>5867</v>
      </c>
      <c r="AB385" s="79"/>
      <c r="AC385" s="23"/>
      <c r="AD385" s="23"/>
    </row>
    <row r="386" spans="1:30">
      <c r="A386" s="79">
        <f t="shared" si="20"/>
        <v>385</v>
      </c>
      <c r="B386" s="283">
        <f>YEAR(Table5[[#This Row],[Date]])+IF(MONTH(Table5[[#This Row],[Date]])&gt;=4,1,0)</f>
        <v>2026</v>
      </c>
      <c r="C386" s="79">
        <f>YEAR(Table5[[#This Row],[Date]])</f>
        <v>2025</v>
      </c>
      <c r="D386" s="79" t="s">
        <v>344</v>
      </c>
      <c r="E386" s="284">
        <f>Table5[[#This Row],[Date]]-DAY(Table5[[#This Row],[Date]])+1</f>
        <v>45839</v>
      </c>
      <c r="F386" s="285">
        <v>45864</v>
      </c>
      <c r="G386" s="79" t="s">
        <v>79</v>
      </c>
      <c r="H386" s="23" t="str">
        <f>IFERROR(_xlfn.XLOOKUP(Table5[[#This Row],[Affected WTG]],'Basic Data'!$A:$A,'Basic Data'!$B:$B),"")</f>
        <v>PWEPL</v>
      </c>
      <c r="I386" s="23" t="str">
        <f>IFERROR(_xlfn.XLOOKUP(Table5[[#This Row],[Affected WTG]],'Basic Data'!$A:$A,'Basic Data'!$C:$C),"")</f>
        <v>MSEDCL</v>
      </c>
      <c r="J386" s="286">
        <f>IFERROR(_xlfn.XLOOKUP(Table5[[#This Row],[Affected WTG]],'Basic Data'!$A:$A,'Basic Data'!$E:$E),"")</f>
        <v>2.2727272727272728E-2</v>
      </c>
      <c r="K386" s="79">
        <v>102</v>
      </c>
      <c r="L386" s="23" t="str">
        <f>IFERROR(_xlfn.XLOOKUP(Table5[[#This Row],[Error Code]],'Basic Data'!$W:$W,'Basic Data'!$X:$X),"Incorrect Error Code")</f>
        <v>DTA DIN03 control breaker status</v>
      </c>
      <c r="M386" s="23" t="s">
        <v>995</v>
      </c>
      <c r="N386" s="23"/>
      <c r="O386" s="355">
        <v>0.44791666666666669</v>
      </c>
      <c r="P386" s="355">
        <v>0.44791666666666669</v>
      </c>
      <c r="Q386" s="355">
        <v>0.51388888888888895</v>
      </c>
      <c r="R386" s="341">
        <f t="shared" si="35"/>
        <v>6.5972222222222265E-2</v>
      </c>
      <c r="S386" s="353">
        <f>(Table5[[#This Row],[Fault Clearance time]]-Table5[[#This Row],[Work Start TimeStamp]])*24</f>
        <v>1.5833333333333344</v>
      </c>
      <c r="T386" s="353">
        <f>(Table5[[#This Row],[Fault Clearance time]]-Table5[[#This Row],[Fault Start TimeStamp]])*24</f>
        <v>1.5833333333333344</v>
      </c>
      <c r="U386" s="23" t="s">
        <v>996</v>
      </c>
      <c r="V386" s="79" t="s">
        <v>339</v>
      </c>
      <c r="W386" s="354">
        <f>IFERROR(Table5[[#This Row],[Breakdown Time]]*Table5[[#This Row],[Plant Equivalent Weightage]],"")</f>
        <v>3.5984848484848508E-2</v>
      </c>
      <c r="X386" s="289" t="s">
        <v>343</v>
      </c>
      <c r="Y386" s="290" t="s">
        <v>96</v>
      </c>
      <c r="Z386" s="79"/>
      <c r="AA386" s="283">
        <v>2898</v>
      </c>
      <c r="AB386" s="79"/>
      <c r="AC386" s="23"/>
      <c r="AD386" s="23"/>
    </row>
    <row r="387" spans="1:30">
      <c r="A387" s="79">
        <f t="shared" si="20"/>
        <v>386</v>
      </c>
      <c r="B387" s="283">
        <f>YEAR(Table5[[#This Row],[Date]])+IF(MONTH(Table5[[#This Row],[Date]])&gt;=4,1,0)</f>
        <v>2026</v>
      </c>
      <c r="C387" s="79">
        <f>YEAR(Table5[[#This Row],[Date]])</f>
        <v>2025</v>
      </c>
      <c r="D387" s="79" t="s">
        <v>344</v>
      </c>
      <c r="E387" s="284">
        <f>Table5[[#This Row],[Date]]-DAY(Table5[[#This Row],[Date]])+1</f>
        <v>45839</v>
      </c>
      <c r="F387" s="285">
        <v>45864</v>
      </c>
      <c r="G387" s="79" t="s">
        <v>94</v>
      </c>
      <c r="H387" s="23" t="str">
        <f>IFERROR(_xlfn.XLOOKUP(Table5[[#This Row],[Affected WTG]],'Basic Data'!$A:$A,'Basic Data'!$B:$B),"")</f>
        <v>PWEPL</v>
      </c>
      <c r="I387" s="23" t="str">
        <f>IFERROR(_xlfn.XLOOKUP(Table5[[#This Row],[Affected WTG]],'Basic Data'!$A:$A,'Basic Data'!$C:$C),"")</f>
        <v>MSEDCL</v>
      </c>
      <c r="J387" s="286">
        <f>IFERROR(_xlfn.XLOOKUP(Table5[[#This Row],[Affected WTG]],'Basic Data'!$A:$A,'Basic Data'!$E:$E),"")</f>
        <v>2.2727272727272728E-2</v>
      </c>
      <c r="K387" s="79">
        <v>52</v>
      </c>
      <c r="L387" s="23" t="str">
        <f>IFERROR(_xlfn.XLOOKUP(Table5[[#This Row],[Error Code]],'Basic Data'!$W:$W,'Basic Data'!$X:$X),"Incorrect Error Code")</f>
        <v>Gearbox oil ressure too lo</v>
      </c>
      <c r="M387" s="23" t="s">
        <v>872</v>
      </c>
      <c r="N387" s="23"/>
      <c r="O387" s="355">
        <v>0.10833333333333334</v>
      </c>
      <c r="P387" s="355">
        <v>0.10833333333333334</v>
      </c>
      <c r="Q387" s="355">
        <v>0.44097222222222227</v>
      </c>
      <c r="R387" s="341">
        <f t="shared" si="35"/>
        <v>0.33263888888888893</v>
      </c>
      <c r="S387" s="353">
        <f>(Table5[[#This Row],[Fault Clearance time]]-Table5[[#This Row],[Work Start TimeStamp]])*24</f>
        <v>7.9833333333333343</v>
      </c>
      <c r="T387" s="353">
        <f>(Table5[[#This Row],[Fault Clearance time]]-Table5[[#This Row],[Fault Start TimeStamp]])*24</f>
        <v>7.9833333333333343</v>
      </c>
      <c r="U387" s="23" t="s">
        <v>997</v>
      </c>
      <c r="V387" s="79" t="s">
        <v>339</v>
      </c>
      <c r="W387" s="354">
        <f>IFERROR(Table5[[#This Row],[Breakdown Time]]*Table5[[#This Row],[Plant Equivalent Weightage]],"")</f>
        <v>0.18143939393939396</v>
      </c>
      <c r="X387" s="289" t="s">
        <v>343</v>
      </c>
      <c r="Y387" s="290" t="s">
        <v>95</v>
      </c>
      <c r="Z387" s="79"/>
      <c r="AA387" s="283">
        <v>12469</v>
      </c>
      <c r="AB387" s="79"/>
      <c r="AC387" s="23"/>
      <c r="AD387" s="23"/>
    </row>
    <row r="388" spans="1:30">
      <c r="A388" s="79">
        <f t="shared" si="20"/>
        <v>387</v>
      </c>
      <c r="B388" s="283">
        <f>YEAR(Table5[[#This Row],[Date]])+IF(MONTH(Table5[[#This Row],[Date]])&gt;=4,1,0)</f>
        <v>2026</v>
      </c>
      <c r="C388" s="79">
        <f>YEAR(Table5[[#This Row],[Date]])</f>
        <v>2025</v>
      </c>
      <c r="D388" s="79" t="s">
        <v>344</v>
      </c>
      <c r="E388" s="284">
        <f>Table5[[#This Row],[Date]]-DAY(Table5[[#This Row],[Date]])+1</f>
        <v>45839</v>
      </c>
      <c r="F388" s="285">
        <v>45864</v>
      </c>
      <c r="G388" s="79" t="s">
        <v>88</v>
      </c>
      <c r="H388" s="23" t="str">
        <f>IFERROR(_xlfn.XLOOKUP(Table5[[#This Row],[Affected WTG]],'Basic Data'!$A:$A,'Basic Data'!$B:$B),"")</f>
        <v>PWEPL</v>
      </c>
      <c r="I388" s="23" t="str">
        <f>IFERROR(_xlfn.XLOOKUP(Table5[[#This Row],[Affected WTG]],'Basic Data'!$A:$A,'Basic Data'!$C:$C),"")</f>
        <v>MSEDCL</v>
      </c>
      <c r="J388" s="286">
        <f>IFERROR(_xlfn.XLOOKUP(Table5[[#This Row],[Affected WTG]],'Basic Data'!$A:$A,'Basic Data'!$E:$E),"")</f>
        <v>2.2727272727272728E-2</v>
      </c>
      <c r="K388" s="79">
        <v>54</v>
      </c>
      <c r="L388" s="23" t="str">
        <f>IFERROR(_xlfn.XLOOKUP(Table5[[#This Row],[Error Code]],'Basic Data'!$W:$W,'Basic Data'!$X:$X),"Incorrect Error Code")</f>
        <v>Anemometer defec</v>
      </c>
      <c r="M388" s="23" t="s">
        <v>998</v>
      </c>
      <c r="N388" s="23"/>
      <c r="O388" s="355">
        <v>0.16041666666666668</v>
      </c>
      <c r="P388" s="355">
        <v>0.16041666666666668</v>
      </c>
      <c r="Q388" s="355">
        <v>0.20625000000000002</v>
      </c>
      <c r="R388" s="341">
        <f t="shared" si="35"/>
        <v>4.5833333333333337E-2</v>
      </c>
      <c r="S388" s="353">
        <f>(Table5[[#This Row],[Fault Clearance time]]-Table5[[#This Row],[Work Start TimeStamp]])*24</f>
        <v>1.1000000000000001</v>
      </c>
      <c r="T388" s="353">
        <f>(Table5[[#This Row],[Fault Clearance time]]-Table5[[#This Row],[Fault Start TimeStamp]])*24</f>
        <v>1.1000000000000001</v>
      </c>
      <c r="U388" s="23" t="s">
        <v>353</v>
      </c>
      <c r="V388" s="79" t="s">
        <v>339</v>
      </c>
      <c r="W388" s="354">
        <f>IFERROR(Table5[[#This Row],[Breakdown Time]]*Table5[[#This Row],[Plant Equivalent Weightage]],"")</f>
        <v>2.5000000000000001E-2</v>
      </c>
      <c r="X388" s="289" t="s">
        <v>343</v>
      </c>
      <c r="Y388" s="290" t="s">
        <v>87</v>
      </c>
      <c r="Z388" s="79"/>
      <c r="AA388" s="283">
        <v>2160</v>
      </c>
      <c r="AB388" s="79"/>
      <c r="AC388" s="23"/>
      <c r="AD388" s="23"/>
    </row>
    <row r="389" spans="1:30">
      <c r="A389" s="79">
        <f t="shared" ref="A389:A415" si="36">A388+1</f>
        <v>388</v>
      </c>
      <c r="B389" s="283">
        <f>YEAR(Table5[[#This Row],[Date]])+IF(MONTH(Table5[[#This Row],[Date]])&gt;=4,1,0)</f>
        <v>2026</v>
      </c>
      <c r="C389" s="79">
        <f>YEAR(Table5[[#This Row],[Date]])</f>
        <v>2025</v>
      </c>
      <c r="D389" s="79" t="s">
        <v>344</v>
      </c>
      <c r="E389" s="284">
        <f>Table5[[#This Row],[Date]]-DAY(Table5[[#This Row],[Date]])+1</f>
        <v>45839</v>
      </c>
      <c r="F389" s="285">
        <v>45864</v>
      </c>
      <c r="G389" s="79" t="s">
        <v>78</v>
      </c>
      <c r="H389" s="23" t="str">
        <f>IFERROR(_xlfn.XLOOKUP(Table5[[#This Row],[Affected WTG]],'Basic Data'!$A:$A,'Basic Data'!$B:$B),"")</f>
        <v>PWEPL</v>
      </c>
      <c r="I389" s="23" t="str">
        <f>IFERROR(_xlfn.XLOOKUP(Table5[[#This Row],[Affected WTG]],'Basic Data'!$A:$A,'Basic Data'!$C:$C),"")</f>
        <v>MSEDCL</v>
      </c>
      <c r="J389" s="286">
        <f>IFERROR(_xlfn.XLOOKUP(Table5[[#This Row],[Affected WTG]],'Basic Data'!$A:$A,'Basic Data'!$E:$E),"")</f>
        <v>2.2727272727272728E-2</v>
      </c>
      <c r="K389" s="79">
        <v>276</v>
      </c>
      <c r="L389" s="23" t="str">
        <f>IFERROR(_xlfn.XLOOKUP(Table5[[#This Row],[Error Code]],'Basic Data'!$W:$W,'Basic Data'!$X:$X),"Incorrect Error Code")</f>
        <v>Pitch thyristor 3 fault</v>
      </c>
      <c r="M389" s="23" t="s">
        <v>153</v>
      </c>
      <c r="N389" s="23"/>
      <c r="O389" s="355">
        <v>0.68194444444444446</v>
      </c>
      <c r="P389" s="355">
        <v>0.68194444444444446</v>
      </c>
      <c r="Q389" s="355">
        <v>0.75277777777777777</v>
      </c>
      <c r="R389" s="341">
        <f t="shared" si="35"/>
        <v>7.0833333333333304E-2</v>
      </c>
      <c r="S389" s="353">
        <f>(Table5[[#This Row],[Fault Clearance time]]-Table5[[#This Row],[Work Start TimeStamp]])*24</f>
        <v>1.6999999999999993</v>
      </c>
      <c r="T389" s="353">
        <f>(Table5[[#This Row],[Fault Clearance time]]-Table5[[#This Row],[Fault Start TimeStamp]])*24</f>
        <v>1.6999999999999993</v>
      </c>
      <c r="U389" s="23" t="s">
        <v>999</v>
      </c>
      <c r="V389" s="79" t="s">
        <v>339</v>
      </c>
      <c r="W389" s="354">
        <f>IFERROR(Table5[[#This Row],[Breakdown Time]]*Table5[[#This Row],[Plant Equivalent Weightage]],"")</f>
        <v>3.8636363636363621E-2</v>
      </c>
      <c r="X389" s="289" t="s">
        <v>343</v>
      </c>
      <c r="Y389" s="290" t="s">
        <v>77</v>
      </c>
      <c r="Z389" s="79"/>
      <c r="AA389" s="283">
        <v>2918</v>
      </c>
      <c r="AB389" s="79"/>
      <c r="AC389" s="23"/>
      <c r="AD389" s="23"/>
    </row>
    <row r="390" spans="1:30">
      <c r="A390" s="79">
        <f t="shared" si="36"/>
        <v>389</v>
      </c>
      <c r="B390" s="283">
        <f>YEAR(Table5[[#This Row],[Date]])+IF(MONTH(Table5[[#This Row],[Date]])&gt;=4,1,0)</f>
        <v>2026</v>
      </c>
      <c r="C390" s="79">
        <f>YEAR(Table5[[#This Row],[Date]])</f>
        <v>2025</v>
      </c>
      <c r="D390" s="79" t="s">
        <v>344</v>
      </c>
      <c r="E390" s="284">
        <f>Table5[[#This Row],[Date]]-DAY(Table5[[#This Row],[Date]])+1</f>
        <v>45839</v>
      </c>
      <c r="F390" s="285">
        <v>45864</v>
      </c>
      <c r="G390" s="79" t="s">
        <v>82</v>
      </c>
      <c r="H390" s="23" t="str">
        <f>IFERROR(_xlfn.XLOOKUP(Table5[[#This Row],[Affected WTG]],'Basic Data'!$A:$A,'Basic Data'!$B:$B),"")</f>
        <v>PWEPL</v>
      </c>
      <c r="I390" s="23" t="str">
        <f>IFERROR(_xlfn.XLOOKUP(Table5[[#This Row],[Affected WTG]],'Basic Data'!$A:$A,'Basic Data'!$C:$C),"")</f>
        <v>MSEDCL</v>
      </c>
      <c r="J390" s="286">
        <f>IFERROR(_xlfn.XLOOKUP(Table5[[#This Row],[Affected WTG]],'Basic Data'!$A:$A,'Basic Data'!$E:$E),"")</f>
        <v>2.2727272727272728E-2</v>
      </c>
      <c r="K390" s="79"/>
      <c r="L390" s="23" t="s">
        <v>1000</v>
      </c>
      <c r="M390" s="23" t="s">
        <v>1000</v>
      </c>
      <c r="N390" s="23"/>
      <c r="O390" s="355">
        <v>0.62708333333333333</v>
      </c>
      <c r="P390" s="355">
        <v>0.62708333333333333</v>
      </c>
      <c r="Q390" s="355">
        <v>0.88124999999999998</v>
      </c>
      <c r="R390" s="341">
        <f t="shared" si="35"/>
        <v>0.25416666666666665</v>
      </c>
      <c r="S390" s="353">
        <f>(Table5[[#This Row],[Fault Clearance time]]-Table5[[#This Row],[Work Start TimeStamp]])*24</f>
        <v>6.1</v>
      </c>
      <c r="T390" s="353">
        <f>(Table5[[#This Row],[Fault Clearance time]]-Table5[[#This Row],[Fault Start TimeStamp]])*24</f>
        <v>6.1</v>
      </c>
      <c r="U390" s="23" t="s">
        <v>1001</v>
      </c>
      <c r="V390" s="79" t="s">
        <v>339</v>
      </c>
      <c r="W390" s="354">
        <f>IFERROR(Table5[[#This Row],[Breakdown Time]]*Table5[[#This Row],[Plant Equivalent Weightage]],"")</f>
        <v>0.13863636363636364</v>
      </c>
      <c r="X390" s="289" t="s">
        <v>343</v>
      </c>
      <c r="Y390" s="290" t="s">
        <v>93</v>
      </c>
      <c r="Z390" s="79"/>
      <c r="AA390" s="283">
        <v>10176</v>
      </c>
      <c r="AB390" s="79"/>
      <c r="AC390" s="23"/>
      <c r="AD390" s="23"/>
    </row>
    <row r="391" spans="1:30">
      <c r="A391" s="79">
        <f t="shared" si="36"/>
        <v>390</v>
      </c>
      <c r="B391" s="283">
        <f>YEAR(Table5[[#This Row],[Date]])+IF(MONTH(Table5[[#This Row],[Date]])&gt;=4,1,0)</f>
        <v>2026</v>
      </c>
      <c r="C391" s="79">
        <f>YEAR(Table5[[#This Row],[Date]])</f>
        <v>2025</v>
      </c>
      <c r="D391" s="79" t="s">
        <v>344</v>
      </c>
      <c r="E391" s="284">
        <f>Table5[[#This Row],[Date]]-DAY(Table5[[#This Row],[Date]])+1</f>
        <v>45839</v>
      </c>
      <c r="F391" s="285">
        <v>45864</v>
      </c>
      <c r="G391" s="79" t="s">
        <v>81</v>
      </c>
      <c r="H391" s="23" t="str">
        <f>IFERROR(_xlfn.XLOOKUP(Table5[[#This Row],[Affected WTG]],'Basic Data'!$A:$A,'Basic Data'!$B:$B),"")</f>
        <v>PWEPL</v>
      </c>
      <c r="I391" s="23" t="str">
        <f>IFERROR(_xlfn.XLOOKUP(Table5[[#This Row],[Affected WTG]],'Basic Data'!$A:$A,'Basic Data'!$C:$C),"")</f>
        <v>MSEDCL</v>
      </c>
      <c r="J391" s="286">
        <f>IFERROR(_xlfn.XLOOKUP(Table5[[#This Row],[Affected WTG]],'Basic Data'!$A:$A,'Basic Data'!$E:$E),"")</f>
        <v>2.2727272727272728E-2</v>
      </c>
      <c r="K391" s="79">
        <v>269</v>
      </c>
      <c r="L391" s="23" t="str">
        <f>IFERROR(_xlfn.XLOOKUP(Table5[[#This Row],[Error Code]],'Basic Data'!$W:$W,'Basic Data'!$X:$X),"Incorrect Error Code")</f>
        <v>Reboot PLC</v>
      </c>
      <c r="M391" s="23" t="s">
        <v>975</v>
      </c>
      <c r="N391" s="23"/>
      <c r="O391" s="355">
        <v>0.70000000000000007</v>
      </c>
      <c r="P391" s="355">
        <v>0.70000000000000007</v>
      </c>
      <c r="Q391" s="355">
        <v>0.99930555555555556</v>
      </c>
      <c r="R391" s="341">
        <f t="shared" si="35"/>
        <v>0.29930555555555549</v>
      </c>
      <c r="S391" s="353">
        <f>(Table5[[#This Row],[Fault Clearance time]]-Table5[[#This Row],[Work Start TimeStamp]])*24</f>
        <v>7.1833333333333318</v>
      </c>
      <c r="T391" s="353">
        <f>(Table5[[#This Row],[Fault Clearance time]]-Table5[[#This Row],[Fault Start TimeStamp]])*24</f>
        <v>7.1833333333333318</v>
      </c>
      <c r="U391" s="23" t="s">
        <v>456</v>
      </c>
      <c r="V391" s="79" t="s">
        <v>339</v>
      </c>
      <c r="W391" s="354">
        <f>IFERROR(Table5[[#This Row],[Breakdown Time]]*Table5[[#This Row],[Plant Equivalent Weightage]],"")</f>
        <v>0.16325757575757574</v>
      </c>
      <c r="X391" s="289" t="s">
        <v>343</v>
      </c>
      <c r="Y391" s="290" t="s">
        <v>108</v>
      </c>
      <c r="Z391" s="79"/>
      <c r="AA391" s="283">
        <v>11771</v>
      </c>
      <c r="AB391" s="79"/>
      <c r="AC391" s="23"/>
      <c r="AD391" s="23"/>
    </row>
    <row r="392" spans="1:30">
      <c r="A392" s="79">
        <f t="shared" si="36"/>
        <v>391</v>
      </c>
      <c r="B392" s="283">
        <f>YEAR(Table5[[#This Row],[Date]])+IF(MONTH(Table5[[#This Row],[Date]])&gt;=4,1,0)</f>
        <v>2026</v>
      </c>
      <c r="C392" s="79">
        <f>YEAR(Table5[[#This Row],[Date]])</f>
        <v>2025</v>
      </c>
      <c r="D392" s="79" t="s">
        <v>344</v>
      </c>
      <c r="E392" s="284">
        <f>Table5[[#This Row],[Date]]-DAY(Table5[[#This Row],[Date]])+1</f>
        <v>45839</v>
      </c>
      <c r="F392" s="285">
        <v>45864</v>
      </c>
      <c r="G392" s="79" t="s">
        <v>79</v>
      </c>
      <c r="H392" s="23" t="str">
        <f>IFERROR(_xlfn.XLOOKUP(Table5[[#This Row],[Affected WTG]],'Basic Data'!$A:$A,'Basic Data'!$B:$B),"")</f>
        <v>PWEPL</v>
      </c>
      <c r="I392" s="23" t="str">
        <f>IFERROR(_xlfn.XLOOKUP(Table5[[#This Row],[Affected WTG]],'Basic Data'!$A:$A,'Basic Data'!$C:$C),"")</f>
        <v>MSEDCL</v>
      </c>
      <c r="J392" s="286">
        <f>IFERROR(_xlfn.XLOOKUP(Table5[[#This Row],[Affected WTG]],'Basic Data'!$A:$A,'Basic Data'!$E:$E),"")</f>
        <v>2.2727272727272728E-2</v>
      </c>
      <c r="K392" s="79">
        <v>352</v>
      </c>
      <c r="L392" s="23" t="str">
        <f>IFERROR(_xlfn.XLOOKUP(Table5[[#This Row],[Error Code]],'Basic Data'!$W:$W,'Basic Data'!$X:$X),"Incorrect Error Code")</f>
        <v>Communication fault wind measurement device</v>
      </c>
      <c r="M392" s="23" t="s">
        <v>945</v>
      </c>
      <c r="N392" s="23"/>
      <c r="O392" s="355">
        <v>0.83611111111111114</v>
      </c>
      <c r="P392" s="355">
        <v>0.83611111111111114</v>
      </c>
      <c r="Q392" s="355">
        <v>0.99930555555555556</v>
      </c>
      <c r="R392" s="341">
        <f t="shared" si="35"/>
        <v>0.16319444444444442</v>
      </c>
      <c r="S392" s="353">
        <f>(Table5[[#This Row],[Fault Clearance time]]-Table5[[#This Row],[Work Start TimeStamp]])*24</f>
        <v>3.9166666666666661</v>
      </c>
      <c r="T392" s="353">
        <f>(Table5[[#This Row],[Fault Clearance time]]-Table5[[#This Row],[Fault Start TimeStamp]])*24</f>
        <v>3.9166666666666661</v>
      </c>
      <c r="U392" s="23" t="s">
        <v>456</v>
      </c>
      <c r="V392" s="79" t="s">
        <v>339</v>
      </c>
      <c r="W392" s="354">
        <f>IFERROR(Table5[[#This Row],[Breakdown Time]]*Table5[[#This Row],[Plant Equivalent Weightage]],"")</f>
        <v>8.9015151515151505E-2</v>
      </c>
      <c r="X392" s="289" t="s">
        <v>343</v>
      </c>
      <c r="Y392" s="290" t="s">
        <v>96</v>
      </c>
      <c r="Z392" s="79"/>
      <c r="AA392" s="283">
        <v>6665</v>
      </c>
      <c r="AB392" s="79"/>
      <c r="AC392" s="23"/>
      <c r="AD392" s="23"/>
    </row>
    <row r="393" spans="1:30">
      <c r="A393" s="79">
        <f t="shared" si="36"/>
        <v>392</v>
      </c>
      <c r="B393" s="283">
        <f>YEAR(Table5[[#This Row],[Date]])+IF(MONTH(Table5[[#This Row],[Date]])&gt;=4,1,0)</f>
        <v>2026</v>
      </c>
      <c r="C393" s="79">
        <f>YEAR(Table5[[#This Row],[Date]])</f>
        <v>2025</v>
      </c>
      <c r="D393" s="79" t="s">
        <v>344</v>
      </c>
      <c r="E393" s="284">
        <f>Table5[[#This Row],[Date]]-DAY(Table5[[#This Row],[Date]])+1</f>
        <v>45839</v>
      </c>
      <c r="F393" s="285">
        <v>45865</v>
      </c>
      <c r="G393" s="79" t="s">
        <v>79</v>
      </c>
      <c r="H393" s="23" t="str">
        <f>IFERROR(_xlfn.XLOOKUP(Table5[[#This Row],[Affected WTG]],'Basic Data'!$A:$A,'Basic Data'!$B:$B),"")</f>
        <v>PWEPL</v>
      </c>
      <c r="I393" s="23" t="str">
        <f>IFERROR(_xlfn.XLOOKUP(Table5[[#This Row],[Affected WTG]],'Basic Data'!$A:$A,'Basic Data'!$C:$C),"")</f>
        <v>MSEDCL</v>
      </c>
      <c r="J393" s="286">
        <f>IFERROR(_xlfn.XLOOKUP(Table5[[#This Row],[Affected WTG]],'Basic Data'!$A:$A,'Basic Data'!$E:$E),"")</f>
        <v>2.2727272727272728E-2</v>
      </c>
      <c r="K393" s="79">
        <v>352</v>
      </c>
      <c r="L393" s="23" t="str">
        <f>IFERROR(_xlfn.XLOOKUP(Table5[[#This Row],[Error Code]],'Basic Data'!$W:$W,'Basic Data'!$X:$X),"Incorrect Error Code")</f>
        <v>Communication fault wind measurement device</v>
      </c>
      <c r="M393" s="23" t="s">
        <v>945</v>
      </c>
      <c r="N393" s="23"/>
      <c r="O393" s="355">
        <v>0</v>
      </c>
      <c r="P393" s="355">
        <v>0</v>
      </c>
      <c r="Q393" s="355">
        <v>0.20069444444444443</v>
      </c>
      <c r="R393" s="341">
        <f t="shared" ref="R393:R397" si="37">Q393-O393</f>
        <v>0.20069444444444443</v>
      </c>
      <c r="S393" s="353">
        <f>(Table5[[#This Row],[Fault Clearance time]]-Table5[[#This Row],[Work Start TimeStamp]])*24</f>
        <v>4.8166666666666664</v>
      </c>
      <c r="T393" s="353">
        <f>(Table5[[#This Row],[Fault Clearance time]]-Table5[[#This Row],[Fault Start TimeStamp]])*24</f>
        <v>4.8166666666666664</v>
      </c>
      <c r="U393" s="23" t="s">
        <v>1004</v>
      </c>
      <c r="V393" s="79" t="s">
        <v>339</v>
      </c>
      <c r="W393" s="354">
        <f>IFERROR(Table5[[#This Row],[Breakdown Time]]*Table5[[#This Row],[Plant Equivalent Weightage]],"")</f>
        <v>0.10946969696969697</v>
      </c>
      <c r="X393" s="289" t="s">
        <v>343</v>
      </c>
      <c r="Y393" s="290" t="s">
        <v>96</v>
      </c>
      <c r="Z393" s="79"/>
      <c r="AA393" s="283">
        <v>8000</v>
      </c>
      <c r="AB393" s="79"/>
      <c r="AC393" s="23"/>
      <c r="AD393" s="23"/>
    </row>
    <row r="394" spans="1:30">
      <c r="A394" s="79">
        <f t="shared" si="36"/>
        <v>393</v>
      </c>
      <c r="B394" s="283">
        <f>YEAR(Table5[[#This Row],[Date]])+IF(MONTH(Table5[[#This Row],[Date]])&gt;=4,1,0)</f>
        <v>2026</v>
      </c>
      <c r="C394" s="79">
        <f>YEAR(Table5[[#This Row],[Date]])</f>
        <v>2025</v>
      </c>
      <c r="D394" s="79" t="s">
        <v>344</v>
      </c>
      <c r="E394" s="284">
        <f>Table5[[#This Row],[Date]]-DAY(Table5[[#This Row],[Date]])+1</f>
        <v>45839</v>
      </c>
      <c r="F394" s="285">
        <v>45865</v>
      </c>
      <c r="G394" s="79" t="s">
        <v>81</v>
      </c>
      <c r="H394" s="23" t="str">
        <f>IFERROR(_xlfn.XLOOKUP(Table5[[#This Row],[Affected WTG]],'Basic Data'!$A:$A,'Basic Data'!$B:$B),"")</f>
        <v>PWEPL</v>
      </c>
      <c r="I394" s="23" t="str">
        <f>IFERROR(_xlfn.XLOOKUP(Table5[[#This Row],[Affected WTG]],'Basic Data'!$A:$A,'Basic Data'!$C:$C),"")</f>
        <v>MSEDCL</v>
      </c>
      <c r="J394" s="286">
        <f>IFERROR(_xlfn.XLOOKUP(Table5[[#This Row],[Affected WTG]],'Basic Data'!$A:$A,'Basic Data'!$E:$E),"")</f>
        <v>2.2727272727272728E-2</v>
      </c>
      <c r="K394" s="79">
        <v>269</v>
      </c>
      <c r="L394" s="23" t="str">
        <f>IFERROR(_xlfn.XLOOKUP(Table5[[#This Row],[Error Code]],'Basic Data'!$W:$W,'Basic Data'!$X:$X),"Incorrect Error Code")</f>
        <v>Reboot PLC</v>
      </c>
      <c r="M394" s="23" t="s">
        <v>975</v>
      </c>
      <c r="N394" s="23"/>
      <c r="O394" s="355">
        <v>0</v>
      </c>
      <c r="P394" s="355">
        <v>0</v>
      </c>
      <c r="Q394" s="355">
        <v>0.14097222222222222</v>
      </c>
      <c r="R394" s="341">
        <f t="shared" si="37"/>
        <v>0.14097222222222222</v>
      </c>
      <c r="S394" s="353">
        <f>(Table5[[#This Row],[Fault Clearance time]]-Table5[[#This Row],[Work Start TimeStamp]])*24</f>
        <v>3.3833333333333333</v>
      </c>
      <c r="T394" s="353">
        <f>(Table5[[#This Row],[Fault Clearance time]]-Table5[[#This Row],[Fault Start TimeStamp]])*24</f>
        <v>3.3833333333333333</v>
      </c>
      <c r="U394" s="23" t="s">
        <v>1003</v>
      </c>
      <c r="V394" s="79" t="s">
        <v>339</v>
      </c>
      <c r="W394" s="354">
        <f>IFERROR(Table5[[#This Row],[Breakdown Time]]*Table5[[#This Row],[Plant Equivalent Weightage]],"")</f>
        <v>7.6893939393939389E-2</v>
      </c>
      <c r="X394" s="289" t="s">
        <v>343</v>
      </c>
      <c r="Y394" s="290" t="s">
        <v>108</v>
      </c>
      <c r="Z394" s="79"/>
      <c r="AA394" s="283">
        <v>5658</v>
      </c>
      <c r="AB394" s="79"/>
      <c r="AC394" s="23"/>
      <c r="AD394" s="23"/>
    </row>
    <row r="395" spans="1:30">
      <c r="A395" s="79">
        <f t="shared" si="36"/>
        <v>394</v>
      </c>
      <c r="B395" s="283">
        <f>YEAR(Table5[[#This Row],[Date]])+IF(MONTH(Table5[[#This Row],[Date]])&gt;=4,1,0)</f>
        <v>2026</v>
      </c>
      <c r="C395" s="79">
        <f>YEAR(Table5[[#This Row],[Date]])</f>
        <v>2025</v>
      </c>
      <c r="D395" s="79" t="s">
        <v>344</v>
      </c>
      <c r="E395" s="284">
        <f>Table5[[#This Row],[Date]]-DAY(Table5[[#This Row],[Date]])+1</f>
        <v>45839</v>
      </c>
      <c r="F395" s="285">
        <v>45865</v>
      </c>
      <c r="G395" s="79" t="s">
        <v>88</v>
      </c>
      <c r="H395" s="23" t="str">
        <f>IFERROR(_xlfn.XLOOKUP(Table5[[#This Row],[Affected WTG]],'Basic Data'!$A:$A,'Basic Data'!$B:$B),"")</f>
        <v>PWEPL</v>
      </c>
      <c r="I395" s="23" t="str">
        <f>IFERROR(_xlfn.XLOOKUP(Table5[[#This Row],[Affected WTG]],'Basic Data'!$A:$A,'Basic Data'!$C:$C),"")</f>
        <v>MSEDCL</v>
      </c>
      <c r="J395" s="286">
        <f>IFERROR(_xlfn.XLOOKUP(Table5[[#This Row],[Affected WTG]],'Basic Data'!$A:$A,'Basic Data'!$E:$E),"")</f>
        <v>2.2727272727272728E-2</v>
      </c>
      <c r="K395" s="79">
        <v>54</v>
      </c>
      <c r="L395" s="23" t="str">
        <f>IFERROR(_xlfn.XLOOKUP(Table5[[#This Row],[Error Code]],'Basic Data'!$W:$W,'Basic Data'!$X:$X),"Incorrect Error Code")</f>
        <v>Anemometer defec</v>
      </c>
      <c r="M395" s="23" t="s">
        <v>998</v>
      </c>
      <c r="N395" s="23"/>
      <c r="O395" s="355">
        <v>0.33680555555555558</v>
      </c>
      <c r="P395" s="355">
        <v>0.33680555555555558</v>
      </c>
      <c r="Q395" s="355">
        <v>0.39305555555555555</v>
      </c>
      <c r="R395" s="341">
        <f t="shared" si="37"/>
        <v>5.6249999999999967E-2</v>
      </c>
      <c r="S395" s="353">
        <f>(Table5[[#This Row],[Fault Clearance time]]-Table5[[#This Row],[Work Start TimeStamp]])*24</f>
        <v>1.3499999999999992</v>
      </c>
      <c r="T395" s="353">
        <f>(Table5[[#This Row],[Fault Clearance time]]-Table5[[#This Row],[Fault Start TimeStamp]])*24</f>
        <v>1.3499999999999992</v>
      </c>
      <c r="U395" s="23" t="s">
        <v>1005</v>
      </c>
      <c r="V395" s="79" t="s">
        <v>339</v>
      </c>
      <c r="W395" s="354">
        <f>IFERROR(Table5[[#This Row],[Breakdown Time]]*Table5[[#This Row],[Plant Equivalent Weightage]],"")</f>
        <v>3.0681818181818164E-2</v>
      </c>
      <c r="X395" s="289" t="s">
        <v>343</v>
      </c>
      <c r="Y395" s="290" t="s">
        <v>87</v>
      </c>
      <c r="Z395" s="79"/>
      <c r="AA395" s="283">
        <v>2412</v>
      </c>
      <c r="AB395" s="79"/>
      <c r="AC395" s="23"/>
      <c r="AD395" s="23"/>
    </row>
    <row r="396" spans="1:30">
      <c r="A396" s="79">
        <f t="shared" si="36"/>
        <v>395</v>
      </c>
      <c r="B396" s="283">
        <f>YEAR(Table5[[#This Row],[Date]])+IF(MONTH(Table5[[#This Row],[Date]])&gt;=4,1,0)</f>
        <v>2026</v>
      </c>
      <c r="C396" s="79">
        <f>YEAR(Table5[[#This Row],[Date]])</f>
        <v>2025</v>
      </c>
      <c r="D396" s="79" t="s">
        <v>344</v>
      </c>
      <c r="E396" s="284">
        <f>Table5[[#This Row],[Date]]-DAY(Table5[[#This Row],[Date]])+1</f>
        <v>45839</v>
      </c>
      <c r="F396" s="285">
        <v>45865</v>
      </c>
      <c r="G396" s="79" t="s">
        <v>88</v>
      </c>
      <c r="H396" s="23" t="str">
        <f>IFERROR(_xlfn.XLOOKUP(Table5[[#This Row],[Affected WTG]],'Basic Data'!$A:$A,'Basic Data'!$B:$B),"")</f>
        <v>PWEPL</v>
      </c>
      <c r="I396" s="23" t="str">
        <f>IFERROR(_xlfn.XLOOKUP(Table5[[#This Row],[Affected WTG]],'Basic Data'!$A:$A,'Basic Data'!$C:$C),"")</f>
        <v>MSEDCL</v>
      </c>
      <c r="J396" s="286">
        <f>IFERROR(_xlfn.XLOOKUP(Table5[[#This Row],[Affected WTG]],'Basic Data'!$A:$A,'Basic Data'!$E:$E),"")</f>
        <v>2.2727272727272728E-2</v>
      </c>
      <c r="K396" s="79">
        <v>54</v>
      </c>
      <c r="L396" s="23" t="str">
        <f>IFERROR(_xlfn.XLOOKUP(Table5[[#This Row],[Error Code]],'Basic Data'!$W:$W,'Basic Data'!$X:$X),"Incorrect Error Code")</f>
        <v>Anemometer defec</v>
      </c>
      <c r="M396" s="23" t="s">
        <v>998</v>
      </c>
      <c r="N396" s="23"/>
      <c r="O396" s="355">
        <v>0.72361111111111109</v>
      </c>
      <c r="P396" s="355">
        <v>0.72361111111111109</v>
      </c>
      <c r="Q396" s="355">
        <v>0.8125</v>
      </c>
      <c r="R396" s="341">
        <f t="shared" si="37"/>
        <v>8.8888888888888906E-2</v>
      </c>
      <c r="S396" s="353">
        <f>(Table5[[#This Row],[Fault Clearance time]]-Table5[[#This Row],[Work Start TimeStamp]])*24</f>
        <v>2.1333333333333337</v>
      </c>
      <c r="T396" s="353">
        <f>(Table5[[#This Row],[Fault Clearance time]]-Table5[[#This Row],[Fault Start TimeStamp]])*24</f>
        <v>2.1333333333333337</v>
      </c>
      <c r="U396" s="23" t="s">
        <v>1006</v>
      </c>
      <c r="V396" s="79" t="s">
        <v>339</v>
      </c>
      <c r="W396" s="354">
        <f>IFERROR(Table5[[#This Row],[Breakdown Time]]*Table5[[#This Row],[Plant Equivalent Weightage]],"")</f>
        <v>4.8484848484848499E-2</v>
      </c>
      <c r="X396" s="289" t="s">
        <v>343</v>
      </c>
      <c r="Y396" s="290" t="s">
        <v>87</v>
      </c>
      <c r="Z396" s="79"/>
      <c r="AA396" s="283">
        <v>3712</v>
      </c>
      <c r="AB396" s="79"/>
      <c r="AC396" s="23"/>
      <c r="AD396" s="23"/>
    </row>
    <row r="397" spans="1:30">
      <c r="A397" s="79">
        <f t="shared" si="36"/>
        <v>396</v>
      </c>
      <c r="B397" s="283">
        <f>YEAR(Table5[[#This Row],[Date]])+IF(MONTH(Table5[[#This Row],[Date]])&gt;=4,1,0)</f>
        <v>2026</v>
      </c>
      <c r="C397" s="79">
        <f>YEAR(Table5[[#This Row],[Date]])</f>
        <v>2025</v>
      </c>
      <c r="D397" s="79" t="s">
        <v>344</v>
      </c>
      <c r="E397" s="284">
        <f>Table5[[#This Row],[Date]]-DAY(Table5[[#This Row],[Date]])+1</f>
        <v>45839</v>
      </c>
      <c r="F397" s="285">
        <v>45865</v>
      </c>
      <c r="G397" s="79" t="s">
        <v>97</v>
      </c>
      <c r="H397" s="23" t="str">
        <f>IFERROR(_xlfn.XLOOKUP(Table5[[#This Row],[Affected WTG]],'Basic Data'!$A:$A,'Basic Data'!$B:$B),"")</f>
        <v>PWEPL</v>
      </c>
      <c r="I397" s="23" t="str">
        <f>IFERROR(_xlfn.XLOOKUP(Table5[[#This Row],[Affected WTG]],'Basic Data'!$A:$A,'Basic Data'!$C:$C),"")</f>
        <v>MSEDCL</v>
      </c>
      <c r="J397" s="286">
        <f>IFERROR(_xlfn.XLOOKUP(Table5[[#This Row],[Affected WTG]],'Basic Data'!$A:$A,'Basic Data'!$E:$E),"")</f>
        <v>2.2727272727272728E-2</v>
      </c>
      <c r="K397" s="79">
        <v>142</v>
      </c>
      <c r="L397" s="23" t="str">
        <f>IFERROR(_xlfn.XLOOKUP(Table5[[#This Row],[Error Code]],'Basic Data'!$W:$W,'Basic Data'!$X:$X),"Incorrect Error Code")</f>
        <v>Line CCU collective faults</v>
      </c>
      <c r="M397" s="23" t="s">
        <v>149</v>
      </c>
      <c r="N397" s="23"/>
      <c r="O397" s="355">
        <v>0.94861111111111107</v>
      </c>
      <c r="P397" s="355">
        <v>0.94861111111111107</v>
      </c>
      <c r="Q397" s="355">
        <v>0.9604166666666667</v>
      </c>
      <c r="R397" s="341">
        <f t="shared" si="37"/>
        <v>1.1805555555555625E-2</v>
      </c>
      <c r="S397" s="353">
        <f>(Table5[[#This Row],[Fault Clearance time]]-Table5[[#This Row],[Work Start TimeStamp]])*24</f>
        <v>0.28333333333333499</v>
      </c>
      <c r="T397" s="353">
        <f>(Table5[[#This Row],[Fault Clearance time]]-Table5[[#This Row],[Fault Start TimeStamp]])*24</f>
        <v>0.28333333333333499</v>
      </c>
      <c r="U397" s="23" t="s">
        <v>353</v>
      </c>
      <c r="V397" s="79" t="s">
        <v>339</v>
      </c>
      <c r="W397" s="354">
        <f>IFERROR(Table5[[#This Row],[Breakdown Time]]*Table5[[#This Row],[Plant Equivalent Weightage]],"")</f>
        <v>6.4393939393939774E-3</v>
      </c>
      <c r="X397" s="289" t="s">
        <v>343</v>
      </c>
      <c r="Y397" s="290" t="s">
        <v>96</v>
      </c>
      <c r="Z397" s="79"/>
      <c r="AA397" s="283">
        <v>535</v>
      </c>
      <c r="AB397" s="79"/>
      <c r="AC397" s="23"/>
      <c r="AD397" s="23"/>
    </row>
    <row r="398" spans="1:30">
      <c r="A398" s="79">
        <f t="shared" si="36"/>
        <v>397</v>
      </c>
      <c r="B398" s="283">
        <f>YEAR(Table5[[#This Row],[Date]])+IF(MONTH(Table5[[#This Row],[Date]])&gt;=4,1,0)</f>
        <v>2026</v>
      </c>
      <c r="C398" s="79">
        <f>YEAR(Table5[[#This Row],[Date]])</f>
        <v>2025</v>
      </c>
      <c r="D398" s="79" t="s">
        <v>344</v>
      </c>
      <c r="E398" s="284">
        <f>Table5[[#This Row],[Date]]-DAY(Table5[[#This Row],[Date]])+1</f>
        <v>45839</v>
      </c>
      <c r="F398" s="285">
        <v>45866</v>
      </c>
      <c r="G398" s="79" t="s">
        <v>97</v>
      </c>
      <c r="H398" s="23" t="str">
        <f>IFERROR(_xlfn.XLOOKUP(Table5[[#This Row],[Affected WTG]],'Basic Data'!$A:$A,'Basic Data'!$B:$B),"")</f>
        <v>PWEPL</v>
      </c>
      <c r="I398" s="23" t="str">
        <f>IFERROR(_xlfn.XLOOKUP(Table5[[#This Row],[Affected WTG]],'Basic Data'!$A:$A,'Basic Data'!$C:$C),"")</f>
        <v>MSEDCL</v>
      </c>
      <c r="J398" s="286">
        <f>IFERROR(_xlfn.XLOOKUP(Table5[[#This Row],[Affected WTG]],'Basic Data'!$A:$A,'Basic Data'!$E:$E),"")</f>
        <v>2.2727272727272728E-2</v>
      </c>
      <c r="K398" s="79">
        <v>153</v>
      </c>
      <c r="L398" s="23" t="str">
        <f>IFERROR(_xlfn.XLOOKUP(Table5[[#This Row],[Error Code]],'Basic Data'!$W:$W,'Basic Data'!$X:$X),"Incorrect Error Code")</f>
        <v>Generator brushes worn</v>
      </c>
      <c r="M398" s="23" t="s">
        <v>599</v>
      </c>
      <c r="N398" s="23"/>
      <c r="O398" s="355">
        <v>9.4444444444444442E-2</v>
      </c>
      <c r="P398" s="355">
        <v>9.4444444444444442E-2</v>
      </c>
      <c r="Q398" s="355">
        <v>0.41944444444444445</v>
      </c>
      <c r="R398" s="341">
        <f t="shared" ref="R398:R401" si="38">Q398-O398</f>
        <v>0.32500000000000001</v>
      </c>
      <c r="S398" s="353">
        <f>(Table5[[#This Row],[Fault Clearance time]]-Table5[[#This Row],[Work Start TimeStamp]])*24</f>
        <v>7.8000000000000007</v>
      </c>
      <c r="T398" s="353">
        <f>(Table5[[#This Row],[Fault Clearance time]]-Table5[[#This Row],[Fault Start TimeStamp]])*24</f>
        <v>7.8000000000000007</v>
      </c>
      <c r="U398" s="23" t="s">
        <v>1007</v>
      </c>
      <c r="V398" s="79" t="s">
        <v>339</v>
      </c>
      <c r="W398" s="354">
        <f>IFERROR(Table5[[#This Row],[Breakdown Time]]*Table5[[#This Row],[Plant Equivalent Weightage]],"")</f>
        <v>0.1772727272727273</v>
      </c>
      <c r="X398" s="289" t="s">
        <v>343</v>
      </c>
      <c r="Y398" s="290" t="s">
        <v>96</v>
      </c>
      <c r="Z398" s="79"/>
      <c r="AA398" s="283">
        <v>12469</v>
      </c>
      <c r="AB398" s="79"/>
      <c r="AC398" s="23"/>
      <c r="AD398" s="23"/>
    </row>
    <row r="399" spans="1:30">
      <c r="A399" s="79">
        <f t="shared" si="36"/>
        <v>398</v>
      </c>
      <c r="B399" s="283">
        <f>YEAR(Table5[[#This Row],[Date]])+IF(MONTH(Table5[[#This Row],[Date]])&gt;=4,1,0)</f>
        <v>2026</v>
      </c>
      <c r="C399" s="79">
        <f>YEAR(Table5[[#This Row],[Date]])</f>
        <v>2025</v>
      </c>
      <c r="D399" s="79" t="s">
        <v>344</v>
      </c>
      <c r="E399" s="284">
        <f>Table5[[#This Row],[Date]]-DAY(Table5[[#This Row],[Date]])+1</f>
        <v>45839</v>
      </c>
      <c r="F399" s="285">
        <v>45866</v>
      </c>
      <c r="G399" s="79" t="s">
        <v>94</v>
      </c>
      <c r="H399" s="23" t="str">
        <f>IFERROR(_xlfn.XLOOKUP(Table5[[#This Row],[Affected WTG]],'Basic Data'!$A:$A,'Basic Data'!$B:$B),"")</f>
        <v>PWEPL</v>
      </c>
      <c r="I399" s="23" t="str">
        <f>IFERROR(_xlfn.XLOOKUP(Table5[[#This Row],[Affected WTG]],'Basic Data'!$A:$A,'Basic Data'!$C:$C),"")</f>
        <v>MSEDCL</v>
      </c>
      <c r="J399" s="286">
        <f>IFERROR(_xlfn.XLOOKUP(Table5[[#This Row],[Affected WTG]],'Basic Data'!$A:$A,'Basic Data'!$E:$E),"")</f>
        <v>2.2727272727272728E-2</v>
      </c>
      <c r="K399" s="79">
        <v>276</v>
      </c>
      <c r="L399" s="23" t="str">
        <f>IFERROR(_xlfn.XLOOKUP(Table5[[#This Row],[Error Code]],'Basic Data'!$W:$W,'Basic Data'!$X:$X),"Incorrect Error Code")</f>
        <v>Pitch thyristor 3 fault</v>
      </c>
      <c r="M399" s="23" t="s">
        <v>153</v>
      </c>
      <c r="N399" s="23"/>
      <c r="O399" s="355">
        <v>0.49305555555555558</v>
      </c>
      <c r="P399" s="355">
        <v>0.49305555555555558</v>
      </c>
      <c r="Q399" s="355">
        <v>0.90416666666666667</v>
      </c>
      <c r="R399" s="341">
        <f t="shared" si="38"/>
        <v>0.41111111111111109</v>
      </c>
      <c r="S399" s="353">
        <f>(Table5[[#This Row],[Fault Clearance time]]-Table5[[#This Row],[Work Start TimeStamp]])*24</f>
        <v>9.8666666666666671</v>
      </c>
      <c r="T399" s="353">
        <f>(Table5[[#This Row],[Fault Clearance time]]-Table5[[#This Row],[Fault Start TimeStamp]])*24</f>
        <v>9.8666666666666671</v>
      </c>
      <c r="U399" s="23" t="s">
        <v>1008</v>
      </c>
      <c r="V399" s="79" t="s">
        <v>339</v>
      </c>
      <c r="W399" s="354">
        <f>IFERROR(Table5[[#This Row],[Breakdown Time]]*Table5[[#This Row],[Plant Equivalent Weightage]],"")</f>
        <v>0.22424242424242427</v>
      </c>
      <c r="X399" s="289" t="s">
        <v>343</v>
      </c>
      <c r="Y399" s="290" t="s">
        <v>95</v>
      </c>
      <c r="Z399" s="79"/>
      <c r="AA399" s="283">
        <v>14254</v>
      </c>
      <c r="AB399" s="79"/>
      <c r="AC399" s="23"/>
      <c r="AD399" s="23"/>
    </row>
    <row r="400" spans="1:30">
      <c r="A400" s="79">
        <f t="shared" si="36"/>
        <v>399</v>
      </c>
      <c r="B400" s="283">
        <f>YEAR(Table5[[#This Row],[Date]])+IF(MONTH(Table5[[#This Row],[Date]])&gt;=4,1,0)</f>
        <v>2026</v>
      </c>
      <c r="C400" s="79">
        <f>YEAR(Table5[[#This Row],[Date]])</f>
        <v>2025</v>
      </c>
      <c r="D400" s="79" t="s">
        <v>344</v>
      </c>
      <c r="E400" s="284">
        <f>Table5[[#This Row],[Date]]-DAY(Table5[[#This Row],[Date]])+1</f>
        <v>45839</v>
      </c>
      <c r="F400" s="285">
        <v>45866</v>
      </c>
      <c r="G400" s="79" t="s">
        <v>79</v>
      </c>
      <c r="H400" s="23" t="str">
        <f>IFERROR(_xlfn.XLOOKUP(Table5[[#This Row],[Affected WTG]],'Basic Data'!$A:$A,'Basic Data'!$B:$B),"")</f>
        <v>PWEPL</v>
      </c>
      <c r="I400" s="23" t="str">
        <f>IFERROR(_xlfn.XLOOKUP(Table5[[#This Row],[Affected WTG]],'Basic Data'!$A:$A,'Basic Data'!$C:$C),"")</f>
        <v>MSEDCL</v>
      </c>
      <c r="J400" s="286">
        <f>IFERROR(_xlfn.XLOOKUP(Table5[[#This Row],[Affected WTG]],'Basic Data'!$A:$A,'Basic Data'!$E:$E),"")</f>
        <v>2.2727272727272728E-2</v>
      </c>
      <c r="K400" s="79">
        <v>276</v>
      </c>
      <c r="L400" s="23" t="str">
        <f>IFERROR(_xlfn.XLOOKUP(Table5[[#This Row],[Error Code]],'Basic Data'!$W:$W,'Basic Data'!$X:$X),"Incorrect Error Code")</f>
        <v>Pitch thyristor 3 fault</v>
      </c>
      <c r="M400" s="23" t="s">
        <v>153</v>
      </c>
      <c r="N400" s="23"/>
      <c r="O400" s="355">
        <v>0.9784722222222223</v>
      </c>
      <c r="P400" s="355">
        <v>0.9784722222222223</v>
      </c>
      <c r="Q400" s="355">
        <v>0.99930555555555556</v>
      </c>
      <c r="R400" s="341">
        <f t="shared" si="38"/>
        <v>2.0833333333333259E-2</v>
      </c>
      <c r="S400" s="353">
        <f>(Table5[[#This Row],[Fault Clearance time]]-Table5[[#This Row],[Work Start TimeStamp]])*24</f>
        <v>0.49999999999999822</v>
      </c>
      <c r="T400" s="353">
        <f>(Table5[[#This Row],[Fault Clearance time]]-Table5[[#This Row],[Fault Start TimeStamp]])*24</f>
        <v>0.49999999999999822</v>
      </c>
      <c r="U400" s="23" t="s">
        <v>456</v>
      </c>
      <c r="V400" s="79" t="s">
        <v>339</v>
      </c>
      <c r="W400" s="354">
        <f>IFERROR(Table5[[#This Row],[Breakdown Time]]*Table5[[#This Row],[Plant Equivalent Weightage]],"")</f>
        <v>1.1363636363636324E-2</v>
      </c>
      <c r="X400" s="289" t="s">
        <v>343</v>
      </c>
      <c r="Y400" s="290" t="s">
        <v>96</v>
      </c>
      <c r="Z400" s="79"/>
      <c r="AA400" s="283">
        <v>1063</v>
      </c>
      <c r="AB400" s="79"/>
      <c r="AC400" s="23"/>
      <c r="AD400" s="23"/>
    </row>
    <row r="401" spans="1:30">
      <c r="A401" s="79">
        <f t="shared" si="36"/>
        <v>400</v>
      </c>
      <c r="B401" s="283">
        <f>YEAR(Table5[[#This Row],[Date]])+IF(MONTH(Table5[[#This Row],[Date]])&gt;=4,1,0)</f>
        <v>2026</v>
      </c>
      <c r="C401" s="79">
        <f>YEAR(Table5[[#This Row],[Date]])</f>
        <v>2025</v>
      </c>
      <c r="D401" s="79" t="s">
        <v>344</v>
      </c>
      <c r="E401" s="284">
        <f>Table5[[#This Row],[Date]]-DAY(Table5[[#This Row],[Date]])+1</f>
        <v>45839</v>
      </c>
      <c r="F401" s="285">
        <v>45866</v>
      </c>
      <c r="G401" s="79" t="s">
        <v>82</v>
      </c>
      <c r="H401" s="23" t="str">
        <f>IFERROR(_xlfn.XLOOKUP(Table5[[#This Row],[Affected WTG]],'Basic Data'!$A:$A,'Basic Data'!$B:$B),"")</f>
        <v>PWEPL</v>
      </c>
      <c r="I401" s="23" t="str">
        <f>IFERROR(_xlfn.XLOOKUP(Table5[[#This Row],[Affected WTG]],'Basic Data'!$A:$A,'Basic Data'!$C:$C),"")</f>
        <v>MSEDCL</v>
      </c>
      <c r="J401" s="286">
        <f>IFERROR(_xlfn.XLOOKUP(Table5[[#This Row],[Affected WTG]],'Basic Data'!$A:$A,'Basic Data'!$E:$E),"")</f>
        <v>2.2727272727272728E-2</v>
      </c>
      <c r="K401" s="79">
        <v>213</v>
      </c>
      <c r="L401" s="23" t="str">
        <f>IFERROR(_xlfn.XLOOKUP(Table5[[#This Row],[Error Code]],'Basic Data'!$W:$W,'Basic Data'!$X:$X),"Incorrect Error Code")</f>
        <v>Battery voltage not OK axis 2</v>
      </c>
      <c r="M401" s="23" t="s">
        <v>947</v>
      </c>
      <c r="N401" s="23"/>
      <c r="O401" s="355">
        <v>0.97916666666666663</v>
      </c>
      <c r="P401" s="355">
        <v>0.97916666666666663</v>
      </c>
      <c r="Q401" s="355">
        <v>0.99930555555555556</v>
      </c>
      <c r="R401" s="341">
        <f t="shared" si="38"/>
        <v>2.0138888888888928E-2</v>
      </c>
      <c r="S401" s="353">
        <f>(Table5[[#This Row],[Fault Clearance time]]-Table5[[#This Row],[Work Start TimeStamp]])*24</f>
        <v>0.48333333333333428</v>
      </c>
      <c r="T401" s="353">
        <f>(Table5[[#This Row],[Fault Clearance time]]-Table5[[#This Row],[Fault Start TimeStamp]])*24</f>
        <v>0.48333333333333428</v>
      </c>
      <c r="U401" s="23" t="s">
        <v>456</v>
      </c>
      <c r="V401" s="79" t="s">
        <v>339</v>
      </c>
      <c r="W401" s="354">
        <f>IFERROR(Table5[[#This Row],[Breakdown Time]]*Table5[[#This Row],[Plant Equivalent Weightage]],"")</f>
        <v>1.0984848484848507E-2</v>
      </c>
      <c r="X401" s="289" t="s">
        <v>343</v>
      </c>
      <c r="Y401" s="290" t="s">
        <v>93</v>
      </c>
      <c r="Z401" s="79"/>
      <c r="AA401" s="283">
        <v>1025</v>
      </c>
      <c r="AB401" s="79"/>
      <c r="AC401" s="23"/>
      <c r="AD401" s="23"/>
    </row>
    <row r="402" spans="1:30">
      <c r="A402" s="79">
        <f t="shared" si="36"/>
        <v>401</v>
      </c>
      <c r="B402" s="283">
        <f>YEAR(Table5[[#This Row],[Date]])+IF(MONTH(Table5[[#This Row],[Date]])&gt;=4,1,0)</f>
        <v>2026</v>
      </c>
      <c r="C402" s="79">
        <f>YEAR(Table5[[#This Row],[Date]])</f>
        <v>2025</v>
      </c>
      <c r="D402" s="79" t="s">
        <v>344</v>
      </c>
      <c r="E402" s="284">
        <f>Table5[[#This Row],[Date]]-DAY(Table5[[#This Row],[Date]])+1</f>
        <v>45839</v>
      </c>
      <c r="F402" s="285">
        <v>45867</v>
      </c>
      <c r="G402" s="79" t="s">
        <v>79</v>
      </c>
      <c r="H402" s="23" t="str">
        <f>IFERROR(_xlfn.XLOOKUP(Table5[[#This Row],[Affected WTG]],'Basic Data'!$A:$A,'Basic Data'!$B:$B),"")</f>
        <v>PWEPL</v>
      </c>
      <c r="I402" s="23" t="str">
        <f>IFERROR(_xlfn.XLOOKUP(Table5[[#This Row],[Affected WTG]],'Basic Data'!$A:$A,'Basic Data'!$C:$C),"")</f>
        <v>MSEDCL</v>
      </c>
      <c r="J402" s="286">
        <f>IFERROR(_xlfn.XLOOKUP(Table5[[#This Row],[Affected WTG]],'Basic Data'!$A:$A,'Basic Data'!$E:$E),"")</f>
        <v>2.2727272727272728E-2</v>
      </c>
      <c r="K402" s="79">
        <v>276</v>
      </c>
      <c r="L402" s="23" t="str">
        <f>IFERROR(_xlfn.XLOOKUP(Table5[[#This Row],[Error Code]],'Basic Data'!$W:$W,'Basic Data'!$X:$X),"Incorrect Error Code")</f>
        <v>Pitch thyristor 3 fault</v>
      </c>
      <c r="M402" s="23" t="s">
        <v>153</v>
      </c>
      <c r="N402" s="23"/>
      <c r="O402" s="355">
        <v>0</v>
      </c>
      <c r="P402" s="355">
        <v>0</v>
      </c>
      <c r="Q402" s="355">
        <v>0.36041666666666666</v>
      </c>
      <c r="R402" s="341">
        <f t="shared" ref="R402:R404" si="39">Q402-O402</f>
        <v>0.36041666666666666</v>
      </c>
      <c r="S402" s="353">
        <f>(Table5[[#This Row],[Fault Clearance time]]-Table5[[#This Row],[Work Start TimeStamp]])*24</f>
        <v>8.65</v>
      </c>
      <c r="T402" s="353">
        <f>(Table5[[#This Row],[Fault Clearance time]]-Table5[[#This Row],[Fault Start TimeStamp]])*24</f>
        <v>8.65</v>
      </c>
      <c r="U402" s="23" t="s">
        <v>1010</v>
      </c>
      <c r="V402" s="79" t="s">
        <v>339</v>
      </c>
      <c r="W402" s="354">
        <f>IFERROR(Table5[[#This Row],[Breakdown Time]]*Table5[[#This Row],[Plant Equivalent Weightage]],"")</f>
        <v>0.19659090909090909</v>
      </c>
      <c r="X402" s="289" t="s">
        <v>343</v>
      </c>
      <c r="Y402" s="290" t="s">
        <v>96</v>
      </c>
      <c r="Z402" s="79"/>
      <c r="AA402" s="283">
        <v>13953</v>
      </c>
      <c r="AB402" s="79"/>
      <c r="AC402" s="23"/>
      <c r="AD402" s="23"/>
    </row>
    <row r="403" spans="1:30">
      <c r="A403" s="79">
        <f t="shared" si="36"/>
        <v>402</v>
      </c>
      <c r="B403" s="283">
        <f>YEAR(Table5[[#This Row],[Date]])+IF(MONTH(Table5[[#This Row],[Date]])&gt;=4,1,0)</f>
        <v>2026</v>
      </c>
      <c r="C403" s="79">
        <f>YEAR(Table5[[#This Row],[Date]])</f>
        <v>2025</v>
      </c>
      <c r="D403" s="79" t="s">
        <v>344</v>
      </c>
      <c r="E403" s="284">
        <f>Table5[[#This Row],[Date]]-DAY(Table5[[#This Row],[Date]])+1</f>
        <v>45839</v>
      </c>
      <c r="F403" s="285">
        <v>45867</v>
      </c>
      <c r="G403" s="79" t="s">
        <v>82</v>
      </c>
      <c r="H403" s="23" t="str">
        <f>IFERROR(_xlfn.XLOOKUP(Table5[[#This Row],[Affected WTG]],'Basic Data'!$A:$A,'Basic Data'!$B:$B),"")</f>
        <v>PWEPL</v>
      </c>
      <c r="I403" s="23" t="str">
        <f>IFERROR(_xlfn.XLOOKUP(Table5[[#This Row],[Affected WTG]],'Basic Data'!$A:$A,'Basic Data'!$C:$C),"")</f>
        <v>MSEDCL</v>
      </c>
      <c r="J403" s="286">
        <f>IFERROR(_xlfn.XLOOKUP(Table5[[#This Row],[Affected WTG]],'Basic Data'!$A:$A,'Basic Data'!$E:$E),"")</f>
        <v>2.2727272727272728E-2</v>
      </c>
      <c r="K403" s="79">
        <v>213</v>
      </c>
      <c r="L403" s="23" t="str">
        <f>IFERROR(_xlfn.XLOOKUP(Table5[[#This Row],[Error Code]],'Basic Data'!$W:$W,'Basic Data'!$X:$X),"Incorrect Error Code")</f>
        <v>Battery voltage not OK axis 2</v>
      </c>
      <c r="M403" s="23" t="s">
        <v>947</v>
      </c>
      <c r="N403" s="23"/>
      <c r="O403" s="355">
        <v>0</v>
      </c>
      <c r="P403" s="355">
        <v>0</v>
      </c>
      <c r="Q403" s="355">
        <v>0.71527777777777779</v>
      </c>
      <c r="R403" s="341">
        <f t="shared" si="39"/>
        <v>0.71527777777777779</v>
      </c>
      <c r="S403" s="353">
        <f>(Table5[[#This Row],[Fault Clearance time]]-Table5[[#This Row],[Work Start TimeStamp]])*24</f>
        <v>17.166666666666668</v>
      </c>
      <c r="T403" s="353">
        <f>(Table5[[#This Row],[Fault Clearance time]]-Table5[[#This Row],[Fault Start TimeStamp]])*24</f>
        <v>17.166666666666668</v>
      </c>
      <c r="U403" s="23" t="s">
        <v>1011</v>
      </c>
      <c r="V403" s="79" t="s">
        <v>339</v>
      </c>
      <c r="W403" s="354">
        <f>IFERROR(Table5[[#This Row],[Breakdown Time]]*Table5[[#This Row],[Plant Equivalent Weightage]],"")</f>
        <v>0.39015151515151519</v>
      </c>
      <c r="X403" s="289" t="s">
        <v>343</v>
      </c>
      <c r="Y403" s="290" t="s">
        <v>93</v>
      </c>
      <c r="Z403" s="79"/>
      <c r="AA403" s="283">
        <v>27884</v>
      </c>
      <c r="AB403" s="79"/>
      <c r="AC403" s="23"/>
      <c r="AD403" s="23"/>
    </row>
    <row r="404" spans="1:30">
      <c r="A404" s="79">
        <f t="shared" si="36"/>
        <v>403</v>
      </c>
      <c r="B404" s="283">
        <f>YEAR(Table5[[#This Row],[Date]])+IF(MONTH(Table5[[#This Row],[Date]])&gt;=4,1,0)</f>
        <v>2026</v>
      </c>
      <c r="C404" s="79">
        <f>YEAR(Table5[[#This Row],[Date]])</f>
        <v>2025</v>
      </c>
      <c r="D404" s="79" t="s">
        <v>344</v>
      </c>
      <c r="E404" s="284">
        <f>Table5[[#This Row],[Date]]-DAY(Table5[[#This Row],[Date]])+1</f>
        <v>45839</v>
      </c>
      <c r="F404" s="285">
        <v>45867</v>
      </c>
      <c r="G404" s="79" t="s">
        <v>94</v>
      </c>
      <c r="H404" s="23" t="str">
        <f>IFERROR(_xlfn.XLOOKUP(Table5[[#This Row],[Affected WTG]],'Basic Data'!$A:$A,'Basic Data'!$B:$B),"")</f>
        <v>PWEPL</v>
      </c>
      <c r="I404" s="23" t="str">
        <f>IFERROR(_xlfn.XLOOKUP(Table5[[#This Row],[Affected WTG]],'Basic Data'!$A:$A,'Basic Data'!$C:$C),"")</f>
        <v>MSEDCL</v>
      </c>
      <c r="J404" s="286">
        <f>IFERROR(_xlfn.XLOOKUP(Table5[[#This Row],[Affected WTG]],'Basic Data'!$A:$A,'Basic Data'!$E:$E),"")</f>
        <v>2.2727272727272728E-2</v>
      </c>
      <c r="K404" s="79">
        <v>276</v>
      </c>
      <c r="L404" s="23" t="str">
        <f>IFERROR(_xlfn.XLOOKUP(Table5[[#This Row],[Error Code]],'Basic Data'!$W:$W,'Basic Data'!$X:$X),"Incorrect Error Code")</f>
        <v>Pitch thyristor 3 fault</v>
      </c>
      <c r="M404" s="23" t="s">
        <v>153</v>
      </c>
      <c r="N404" s="23"/>
      <c r="O404" s="355">
        <v>2.361111111111111E-2</v>
      </c>
      <c r="P404" s="355">
        <v>2.361111111111111E-2</v>
      </c>
      <c r="Q404" s="355">
        <v>0.72569444444444453</v>
      </c>
      <c r="R404" s="341">
        <f t="shared" si="39"/>
        <v>0.70208333333333339</v>
      </c>
      <c r="S404" s="353">
        <f>(Table5[[#This Row],[Fault Clearance time]]-Table5[[#This Row],[Work Start TimeStamp]])*24</f>
        <v>16.850000000000001</v>
      </c>
      <c r="T404" s="353">
        <f>(Table5[[#This Row],[Fault Clearance time]]-Table5[[#This Row],[Fault Start TimeStamp]])*24</f>
        <v>16.850000000000001</v>
      </c>
      <c r="U404" s="23" t="s">
        <v>1012</v>
      </c>
      <c r="V404" s="79" t="s">
        <v>339</v>
      </c>
      <c r="W404" s="354">
        <f>IFERROR(Table5[[#This Row],[Breakdown Time]]*Table5[[#This Row],[Plant Equivalent Weightage]],"")</f>
        <v>0.38295454545454549</v>
      </c>
      <c r="X404" s="289" t="s">
        <v>343</v>
      </c>
      <c r="Y404" s="290" t="s">
        <v>95</v>
      </c>
      <c r="Z404" s="79"/>
      <c r="AA404" s="283">
        <v>26919</v>
      </c>
      <c r="AB404" s="79"/>
      <c r="AC404" s="23"/>
      <c r="AD404" s="23"/>
    </row>
    <row r="405" spans="1:30">
      <c r="A405" s="79">
        <f t="shared" si="36"/>
        <v>404</v>
      </c>
      <c r="B405" s="283">
        <f>YEAR(Table5[[#This Row],[Date]])+IF(MONTH(Table5[[#This Row],[Date]])&gt;=4,1,0)</f>
        <v>2026</v>
      </c>
      <c r="C405" s="79">
        <f>YEAR(Table5[[#This Row],[Date]])</f>
        <v>2025</v>
      </c>
      <c r="D405" s="79" t="s">
        <v>344</v>
      </c>
      <c r="E405" s="284">
        <f>Table5[[#This Row],[Date]]-DAY(Table5[[#This Row],[Date]])+1</f>
        <v>45839</v>
      </c>
      <c r="F405" s="285">
        <v>45868</v>
      </c>
      <c r="G405" s="79" t="s">
        <v>101</v>
      </c>
      <c r="H405" s="23" t="str">
        <f>IFERROR(_xlfn.XLOOKUP(Table5[[#This Row],[Affected WTG]],'Basic Data'!$A:$A,'Basic Data'!$B:$B),"")</f>
        <v>PWEPL</v>
      </c>
      <c r="I405" s="23" t="str">
        <f>IFERROR(_xlfn.XLOOKUP(Table5[[#This Row],[Affected WTG]],'Basic Data'!$A:$A,'Basic Data'!$C:$C),"")</f>
        <v>MSEDCL</v>
      </c>
      <c r="J405" s="286">
        <f>IFERROR(_xlfn.XLOOKUP(Table5[[#This Row],[Affected WTG]],'Basic Data'!$A:$A,'Basic Data'!$E:$E),"")</f>
        <v>2.2727272727272728E-2</v>
      </c>
      <c r="K405" s="79">
        <v>3</v>
      </c>
      <c r="L405" s="23" t="str">
        <f>IFERROR(_xlfn.XLOOKUP(Table5[[#This Row],[Error Code]],'Basic Data'!$W:$W,'Basic Data'!$X:$X),"Incorrect Error Code")</f>
        <v>Manual Stop</v>
      </c>
      <c r="M405" s="23" t="s">
        <v>950</v>
      </c>
      <c r="N405" s="23"/>
      <c r="O405" s="355">
        <v>0.62986111111111109</v>
      </c>
      <c r="P405" s="355">
        <v>0.62986111111111109</v>
      </c>
      <c r="Q405" s="355">
        <v>0.63124999999999998</v>
      </c>
      <c r="R405" s="341">
        <f t="shared" ref="R405:R409" si="40">Q405-O405</f>
        <v>1.388888888888884E-3</v>
      </c>
      <c r="S405" s="353">
        <f>(Table5[[#This Row],[Fault Clearance time]]-Table5[[#This Row],[Work Start TimeStamp]])*24</f>
        <v>3.3333333333333215E-2</v>
      </c>
      <c r="T405" s="353">
        <f>(Table5[[#This Row],[Fault Clearance time]]-Table5[[#This Row],[Fault Start TimeStamp]])*24</f>
        <v>3.3333333333333215E-2</v>
      </c>
      <c r="U405" s="23" t="s">
        <v>1013</v>
      </c>
      <c r="V405" s="79" t="s">
        <v>339</v>
      </c>
      <c r="W405" s="354">
        <f>IFERROR(Table5[[#This Row],[Breakdown Time]]*Table5[[#This Row],[Plant Equivalent Weightage]],"")</f>
        <v>7.5757575757575486E-4</v>
      </c>
      <c r="X405" s="289" t="s">
        <v>394</v>
      </c>
      <c r="Y405" s="290" t="s">
        <v>100</v>
      </c>
      <c r="Z405" s="79"/>
      <c r="AA405" s="283">
        <v>261</v>
      </c>
      <c r="AB405" s="79"/>
      <c r="AC405" s="23"/>
      <c r="AD405" s="23"/>
    </row>
    <row r="406" spans="1:30">
      <c r="A406" s="79">
        <f t="shared" si="36"/>
        <v>405</v>
      </c>
      <c r="B406" s="283">
        <f>YEAR(Table5[[#This Row],[Date]])+IF(MONTH(Table5[[#This Row],[Date]])&gt;=4,1,0)</f>
        <v>2026</v>
      </c>
      <c r="C406" s="79">
        <f>YEAR(Table5[[#This Row],[Date]])</f>
        <v>2025</v>
      </c>
      <c r="D406" s="79" t="s">
        <v>344</v>
      </c>
      <c r="E406" s="284">
        <f>Table5[[#This Row],[Date]]-DAY(Table5[[#This Row],[Date]])+1</f>
        <v>45839</v>
      </c>
      <c r="F406" s="285">
        <v>45868</v>
      </c>
      <c r="G406" s="79" t="s">
        <v>110</v>
      </c>
      <c r="H406" s="23" t="str">
        <f>IFERROR(_xlfn.XLOOKUP(Table5[[#This Row],[Affected WTG]],'Basic Data'!$A:$A,'Basic Data'!$B:$B),"")</f>
        <v>PWEPL</v>
      </c>
      <c r="I406" s="23" t="str">
        <f>IFERROR(_xlfn.XLOOKUP(Table5[[#This Row],[Affected WTG]],'Basic Data'!$A:$A,'Basic Data'!$C:$C),"")</f>
        <v>MSEDCL</v>
      </c>
      <c r="J406" s="286">
        <f>IFERROR(_xlfn.XLOOKUP(Table5[[#This Row],[Affected WTG]],'Basic Data'!$A:$A,'Basic Data'!$E:$E),"")</f>
        <v>2.2727272727272728E-2</v>
      </c>
      <c r="K406" s="79">
        <v>3</v>
      </c>
      <c r="L406" s="23" t="str">
        <f>IFERROR(_xlfn.XLOOKUP(Table5[[#This Row],[Error Code]],'Basic Data'!$W:$W,'Basic Data'!$X:$X),"Incorrect Error Code")</f>
        <v>Manual Stop</v>
      </c>
      <c r="M406" s="23" t="s">
        <v>950</v>
      </c>
      <c r="N406" s="23"/>
      <c r="O406" s="355">
        <v>0.64236111111111105</v>
      </c>
      <c r="P406" s="355">
        <v>0.64236111111111105</v>
      </c>
      <c r="Q406" s="355">
        <v>0.64374999999999993</v>
      </c>
      <c r="R406" s="341">
        <f t="shared" si="40"/>
        <v>1.388888888888884E-3</v>
      </c>
      <c r="S406" s="353">
        <f>(Table5[[#This Row],[Fault Clearance time]]-Table5[[#This Row],[Work Start TimeStamp]])*24</f>
        <v>3.3333333333333215E-2</v>
      </c>
      <c r="T406" s="353">
        <f>(Table5[[#This Row],[Fault Clearance time]]-Table5[[#This Row],[Fault Start TimeStamp]])*24</f>
        <v>3.3333333333333215E-2</v>
      </c>
      <c r="U406" s="23" t="s">
        <v>1013</v>
      </c>
      <c r="V406" s="79" t="s">
        <v>339</v>
      </c>
      <c r="W406" s="354">
        <f>IFERROR(Table5[[#This Row],[Breakdown Time]]*Table5[[#This Row],[Plant Equivalent Weightage]],"")</f>
        <v>7.5757575757575486E-4</v>
      </c>
      <c r="X406" s="289" t="s">
        <v>394</v>
      </c>
      <c r="Y406" s="290" t="s">
        <v>100</v>
      </c>
      <c r="Z406" s="79"/>
      <c r="AA406" s="283">
        <v>261</v>
      </c>
      <c r="AB406" s="79"/>
      <c r="AC406" s="23"/>
      <c r="AD406" s="23"/>
    </row>
    <row r="407" spans="1:30">
      <c r="A407" s="79">
        <f t="shared" si="36"/>
        <v>406</v>
      </c>
      <c r="B407" s="283">
        <f>YEAR(Table5[[#This Row],[Date]])+IF(MONTH(Table5[[#This Row],[Date]])&gt;=4,1,0)</f>
        <v>2026</v>
      </c>
      <c r="C407" s="79">
        <f>YEAR(Table5[[#This Row],[Date]])</f>
        <v>2025</v>
      </c>
      <c r="D407" s="79" t="s">
        <v>344</v>
      </c>
      <c r="E407" s="284">
        <f>Table5[[#This Row],[Date]]-DAY(Table5[[#This Row],[Date]])+1</f>
        <v>45839</v>
      </c>
      <c r="F407" s="285">
        <v>45868</v>
      </c>
      <c r="G407" s="79" t="s">
        <v>84</v>
      </c>
      <c r="H407" s="23" t="str">
        <f>IFERROR(_xlfn.XLOOKUP(Table5[[#This Row],[Affected WTG]],'Basic Data'!$A:$A,'Basic Data'!$B:$B),"")</f>
        <v>PWEPL</v>
      </c>
      <c r="I407" s="23" t="str">
        <f>IFERROR(_xlfn.XLOOKUP(Table5[[#This Row],[Affected WTG]],'Basic Data'!$A:$A,'Basic Data'!$C:$C),"")</f>
        <v>MSEDCL</v>
      </c>
      <c r="J407" s="286">
        <f>IFERROR(_xlfn.XLOOKUP(Table5[[#This Row],[Affected WTG]],'Basic Data'!$A:$A,'Basic Data'!$E:$E),"")</f>
        <v>2.2727272727272728E-2</v>
      </c>
      <c r="K407" s="79">
        <v>3</v>
      </c>
      <c r="L407" s="23" t="str">
        <f>IFERROR(_xlfn.XLOOKUP(Table5[[#This Row],[Error Code]],'Basic Data'!$W:$W,'Basic Data'!$X:$X),"Incorrect Error Code")</f>
        <v>Manual Stop</v>
      </c>
      <c r="M407" s="23" t="s">
        <v>950</v>
      </c>
      <c r="N407" s="23"/>
      <c r="O407" s="355">
        <v>0.59236111111111112</v>
      </c>
      <c r="P407" s="355">
        <v>0.59236111111111112</v>
      </c>
      <c r="Q407" s="355">
        <v>0.59375</v>
      </c>
      <c r="R407" s="341">
        <f t="shared" si="40"/>
        <v>1.388888888888884E-3</v>
      </c>
      <c r="S407" s="353">
        <f>(Table5[[#This Row],[Fault Clearance time]]-Table5[[#This Row],[Work Start TimeStamp]])*24</f>
        <v>3.3333333333333215E-2</v>
      </c>
      <c r="T407" s="353">
        <f>(Table5[[#This Row],[Fault Clearance time]]-Table5[[#This Row],[Fault Start TimeStamp]])*24</f>
        <v>3.3333333333333215E-2</v>
      </c>
      <c r="U407" s="23" t="s">
        <v>1013</v>
      </c>
      <c r="V407" s="79" t="s">
        <v>339</v>
      </c>
      <c r="W407" s="354">
        <f>IFERROR(Table5[[#This Row],[Breakdown Time]]*Table5[[#This Row],[Plant Equivalent Weightage]],"")</f>
        <v>7.5757575757575486E-4</v>
      </c>
      <c r="X407" s="289" t="s">
        <v>394</v>
      </c>
      <c r="Y407" s="290" t="s">
        <v>85</v>
      </c>
      <c r="Z407" s="79"/>
      <c r="AA407" s="283">
        <v>234</v>
      </c>
      <c r="AB407" s="79"/>
      <c r="AC407" s="23"/>
      <c r="AD407" s="23"/>
    </row>
    <row r="408" spans="1:30">
      <c r="A408" s="79">
        <f t="shared" si="36"/>
        <v>407</v>
      </c>
      <c r="B408" s="283">
        <f>YEAR(Table5[[#This Row],[Date]])+IF(MONTH(Table5[[#This Row],[Date]])&gt;=4,1,0)</f>
        <v>2026</v>
      </c>
      <c r="C408" s="79">
        <f>YEAR(Table5[[#This Row],[Date]])</f>
        <v>2025</v>
      </c>
      <c r="D408" s="79" t="s">
        <v>344</v>
      </c>
      <c r="E408" s="284">
        <f>Table5[[#This Row],[Date]]-DAY(Table5[[#This Row],[Date]])+1</f>
        <v>45839</v>
      </c>
      <c r="F408" s="285">
        <v>45868</v>
      </c>
      <c r="G408" s="79" t="s">
        <v>87</v>
      </c>
      <c r="H408" s="23" t="str">
        <f>IFERROR(_xlfn.XLOOKUP(Table5[[#This Row],[Affected WTG]],'Basic Data'!$A:$A,'Basic Data'!$B:$B),"")</f>
        <v>PWEPL</v>
      </c>
      <c r="I408" s="23" t="str">
        <f>IFERROR(_xlfn.XLOOKUP(Table5[[#This Row],[Affected WTG]],'Basic Data'!$A:$A,'Basic Data'!$C:$C),"")</f>
        <v>MSEDCL</v>
      </c>
      <c r="J408" s="286">
        <f>IFERROR(_xlfn.XLOOKUP(Table5[[#This Row],[Affected WTG]],'Basic Data'!$A:$A,'Basic Data'!$E:$E),"")</f>
        <v>2.2727272727272728E-2</v>
      </c>
      <c r="K408" s="79">
        <v>3</v>
      </c>
      <c r="L408" s="23" t="str">
        <f>IFERROR(_xlfn.XLOOKUP(Table5[[#This Row],[Error Code]],'Basic Data'!$W:$W,'Basic Data'!$X:$X),"Incorrect Error Code")</f>
        <v>Manual Stop</v>
      </c>
      <c r="M408" s="23" t="s">
        <v>950</v>
      </c>
      <c r="N408" s="23"/>
      <c r="O408" s="355">
        <v>0.60069444444444442</v>
      </c>
      <c r="P408" s="355">
        <v>0.60069444444444442</v>
      </c>
      <c r="Q408" s="355">
        <v>0.6020833333333333</v>
      </c>
      <c r="R408" s="341">
        <f t="shared" si="40"/>
        <v>1.388888888888884E-3</v>
      </c>
      <c r="S408" s="353">
        <f>(Table5[[#This Row],[Fault Clearance time]]-Table5[[#This Row],[Work Start TimeStamp]])*24</f>
        <v>3.3333333333333215E-2</v>
      </c>
      <c r="T408" s="353">
        <f>(Table5[[#This Row],[Fault Clearance time]]-Table5[[#This Row],[Fault Start TimeStamp]])*24</f>
        <v>3.3333333333333215E-2</v>
      </c>
      <c r="U408" s="23" t="s">
        <v>1013</v>
      </c>
      <c r="V408" s="79" t="s">
        <v>339</v>
      </c>
      <c r="W408" s="354">
        <f>IFERROR(Table5[[#This Row],[Breakdown Time]]*Table5[[#This Row],[Plant Equivalent Weightage]],"")</f>
        <v>7.5757575757575486E-4</v>
      </c>
      <c r="X408" s="289" t="s">
        <v>394</v>
      </c>
      <c r="Y408" s="290" t="s">
        <v>86</v>
      </c>
      <c r="Z408" s="79"/>
      <c r="AA408" s="283">
        <v>254</v>
      </c>
      <c r="AB408" s="79"/>
      <c r="AC408" s="23"/>
      <c r="AD408" s="23"/>
    </row>
    <row r="409" spans="1:30">
      <c r="A409" s="79">
        <f t="shared" si="36"/>
        <v>408</v>
      </c>
      <c r="B409" s="283">
        <f>YEAR(Table5[[#This Row],[Date]])+IF(MONTH(Table5[[#This Row],[Date]])&gt;=4,1,0)</f>
        <v>2026</v>
      </c>
      <c r="C409" s="79">
        <f>YEAR(Table5[[#This Row],[Date]])</f>
        <v>2025</v>
      </c>
      <c r="D409" s="79" t="s">
        <v>344</v>
      </c>
      <c r="E409" s="284">
        <f>Table5[[#This Row],[Date]]-DAY(Table5[[#This Row],[Date]])+1</f>
        <v>45839</v>
      </c>
      <c r="F409" s="285">
        <v>45868</v>
      </c>
      <c r="G409" s="79" t="s">
        <v>95</v>
      </c>
      <c r="H409" s="23" t="str">
        <f>IFERROR(_xlfn.XLOOKUP(Table5[[#This Row],[Affected WTG]],'Basic Data'!$A:$A,'Basic Data'!$B:$B),"")</f>
        <v>PWEPL</v>
      </c>
      <c r="I409" s="23" t="str">
        <f>IFERROR(_xlfn.XLOOKUP(Table5[[#This Row],[Affected WTG]],'Basic Data'!$A:$A,'Basic Data'!$C:$C),"")</f>
        <v>MSEDCL</v>
      </c>
      <c r="J409" s="286">
        <f>IFERROR(_xlfn.XLOOKUP(Table5[[#This Row],[Affected WTG]],'Basic Data'!$A:$A,'Basic Data'!$E:$E),"")</f>
        <v>2.2727272727272728E-2</v>
      </c>
      <c r="K409" s="79">
        <v>3</v>
      </c>
      <c r="L409" s="23" t="str">
        <f>IFERROR(_xlfn.XLOOKUP(Table5[[#This Row],[Error Code]],'Basic Data'!$W:$W,'Basic Data'!$X:$X),"Incorrect Error Code")</f>
        <v>Manual Stop</v>
      </c>
      <c r="M409" s="23" t="s">
        <v>950</v>
      </c>
      <c r="N409" s="23"/>
      <c r="O409" s="355">
        <v>0.61388888888888882</v>
      </c>
      <c r="P409" s="355">
        <v>0.61388888888888882</v>
      </c>
      <c r="Q409" s="355">
        <v>0.61597222222222225</v>
      </c>
      <c r="R409" s="341">
        <f t="shared" si="40"/>
        <v>2.083333333333437E-3</v>
      </c>
      <c r="S409" s="353">
        <f>(Table5[[#This Row],[Fault Clearance time]]-Table5[[#This Row],[Work Start TimeStamp]])*24</f>
        <v>5.0000000000002487E-2</v>
      </c>
      <c r="T409" s="353">
        <f>(Table5[[#This Row],[Fault Clearance time]]-Table5[[#This Row],[Fault Start TimeStamp]])*24</f>
        <v>5.0000000000002487E-2</v>
      </c>
      <c r="U409" s="23" t="s">
        <v>1013</v>
      </c>
      <c r="V409" s="79" t="s">
        <v>339</v>
      </c>
      <c r="W409" s="354">
        <f>IFERROR(Table5[[#This Row],[Breakdown Time]]*Table5[[#This Row],[Plant Equivalent Weightage]],"")</f>
        <v>1.1363636363636929E-3</v>
      </c>
      <c r="X409" s="289" t="s">
        <v>394</v>
      </c>
      <c r="Y409" s="290" t="s">
        <v>106</v>
      </c>
      <c r="Z409" s="79"/>
      <c r="AA409" s="283">
        <v>268</v>
      </c>
      <c r="AB409" s="79"/>
      <c r="AC409" s="23"/>
      <c r="AD409" s="23"/>
    </row>
    <row r="410" spans="1:30">
      <c r="A410" s="79">
        <f t="shared" si="36"/>
        <v>409</v>
      </c>
      <c r="B410" s="283">
        <f>YEAR(Table5[[#This Row],[Date]])+IF(MONTH(Table5[[#This Row],[Date]])&gt;=4,1,0)</f>
        <v>2026</v>
      </c>
      <c r="C410" s="79">
        <f>YEAR(Table5[[#This Row],[Date]])</f>
        <v>2025</v>
      </c>
      <c r="D410" s="79" t="s">
        <v>344</v>
      </c>
      <c r="E410" s="284">
        <f>Table5[[#This Row],[Date]]-DAY(Table5[[#This Row],[Date]])+1</f>
        <v>45839</v>
      </c>
      <c r="F410" s="285">
        <v>45869</v>
      </c>
      <c r="G410" s="79" t="s">
        <v>79</v>
      </c>
      <c r="H410" s="23" t="str">
        <f>IFERROR(_xlfn.XLOOKUP(Table5[[#This Row],[Affected WTG]],'Basic Data'!$A:$A,'Basic Data'!$B:$B),"")</f>
        <v>PWEPL</v>
      </c>
      <c r="I410" s="23" t="str">
        <f>IFERROR(_xlfn.XLOOKUP(Table5[[#This Row],[Affected WTG]],'Basic Data'!$A:$A,'Basic Data'!$C:$C),"")</f>
        <v>MSEDCL</v>
      </c>
      <c r="J410" s="286">
        <f>IFERROR(_xlfn.XLOOKUP(Table5[[#This Row],[Affected WTG]],'Basic Data'!$A:$A,'Basic Data'!$E:$E),"")</f>
        <v>2.2727272727272728E-2</v>
      </c>
      <c r="K410" s="79">
        <v>276</v>
      </c>
      <c r="L410" s="23" t="str">
        <f>IFERROR(_xlfn.XLOOKUP(Table5[[#This Row],[Error Code]],'Basic Data'!$W:$W,'Basic Data'!$X:$X),"Incorrect Error Code")</f>
        <v>Pitch thyristor 3 fault</v>
      </c>
      <c r="M410" s="23" t="s">
        <v>153</v>
      </c>
      <c r="N410" s="23"/>
      <c r="O410" s="355">
        <v>0.46249999999999997</v>
      </c>
      <c r="P410" s="355">
        <v>0.46249999999999997</v>
      </c>
      <c r="Q410" s="355">
        <v>0.66249999999999998</v>
      </c>
      <c r="R410" s="341">
        <f t="shared" ref="R410:R414" si="41">Q410-O410</f>
        <v>0.2</v>
      </c>
      <c r="S410" s="353">
        <f>(Table5[[#This Row],[Fault Clearance time]]-Table5[[#This Row],[Work Start TimeStamp]])*24</f>
        <v>4.8000000000000007</v>
      </c>
      <c r="T410" s="353">
        <f>(Table5[[#This Row],[Fault Clearance time]]-Table5[[#This Row],[Fault Start TimeStamp]])*24</f>
        <v>4.8000000000000007</v>
      </c>
      <c r="U410" s="23" t="s">
        <v>897</v>
      </c>
      <c r="V410" s="79" t="s">
        <v>339</v>
      </c>
      <c r="W410" s="354">
        <f>IFERROR(Table5[[#This Row],[Breakdown Time]]*Table5[[#This Row],[Plant Equivalent Weightage]],"")</f>
        <v>0.10909090909090911</v>
      </c>
      <c r="X410" s="289" t="s">
        <v>394</v>
      </c>
      <c r="Y410" s="290" t="s">
        <v>96</v>
      </c>
      <c r="Z410" s="79"/>
      <c r="AA410" s="283">
        <v>6904</v>
      </c>
      <c r="AB410" s="79"/>
      <c r="AC410" s="23"/>
      <c r="AD410" s="23"/>
    </row>
    <row r="411" spans="1:30">
      <c r="A411" s="79">
        <f t="shared" si="36"/>
        <v>410</v>
      </c>
      <c r="B411" s="283">
        <f>YEAR(Table5[[#This Row],[Date]])+IF(MONTH(Table5[[#This Row],[Date]])&gt;=4,1,0)</f>
        <v>2026</v>
      </c>
      <c r="C411" s="79">
        <f>YEAR(Table5[[#This Row],[Date]])</f>
        <v>2025</v>
      </c>
      <c r="D411" s="79" t="s">
        <v>344</v>
      </c>
      <c r="E411" s="284">
        <f>Table5[[#This Row],[Date]]-DAY(Table5[[#This Row],[Date]])+1</f>
        <v>45839</v>
      </c>
      <c r="F411" s="285">
        <v>45869</v>
      </c>
      <c r="G411" s="79" t="s">
        <v>89</v>
      </c>
      <c r="H411" s="23" t="str">
        <f>IFERROR(_xlfn.XLOOKUP(Table5[[#This Row],[Affected WTG]],'Basic Data'!$A:$A,'Basic Data'!$B:$B),"")</f>
        <v>PWEPL</v>
      </c>
      <c r="I411" s="23" t="str">
        <f>IFERROR(_xlfn.XLOOKUP(Table5[[#This Row],[Affected WTG]],'Basic Data'!$A:$A,'Basic Data'!$C:$C),"")</f>
        <v>MSEDCL</v>
      </c>
      <c r="J411" s="286">
        <f>IFERROR(_xlfn.XLOOKUP(Table5[[#This Row],[Affected WTG]],'Basic Data'!$A:$A,'Basic Data'!$E:$E),"")</f>
        <v>2.2727272727272728E-2</v>
      </c>
      <c r="K411" s="79">
        <v>430</v>
      </c>
      <c r="L411" s="23" t="str">
        <f>IFERROR(_xlfn.XLOOKUP(Table5[[#This Row],[Error Code]],'Basic Data'!$W:$W,'Basic Data'!$X:$X),"Incorrect Error Code")</f>
        <v xml:space="preserve">Yaw tooth sensor 1 timeout </v>
      </c>
      <c r="M411" s="23" t="s">
        <v>377</v>
      </c>
      <c r="N411" s="23"/>
      <c r="O411" s="355">
        <v>0.77430555555555547</v>
      </c>
      <c r="P411" s="355">
        <v>0.77430555555555547</v>
      </c>
      <c r="Q411" s="355">
        <v>0.82708333333333339</v>
      </c>
      <c r="R411" s="341">
        <f t="shared" si="41"/>
        <v>5.2777777777777923E-2</v>
      </c>
      <c r="S411" s="353">
        <f>(Table5[[#This Row],[Fault Clearance time]]-Table5[[#This Row],[Work Start TimeStamp]])*24</f>
        <v>1.2666666666666702</v>
      </c>
      <c r="T411" s="353">
        <f>(Table5[[#This Row],[Fault Clearance time]]-Table5[[#This Row],[Fault Start TimeStamp]])*24</f>
        <v>1.2666666666666702</v>
      </c>
      <c r="U411" s="23" t="s">
        <v>799</v>
      </c>
      <c r="V411" s="79" t="s">
        <v>339</v>
      </c>
      <c r="W411" s="354">
        <f>IFERROR(Table5[[#This Row],[Breakdown Time]]*Table5[[#This Row],[Plant Equivalent Weightage]],"")</f>
        <v>2.8787878787878869E-2</v>
      </c>
      <c r="X411" s="289" t="s">
        <v>394</v>
      </c>
      <c r="Y411" s="290" t="s">
        <v>88</v>
      </c>
      <c r="Z411" s="79"/>
      <c r="AA411" s="283">
        <v>1938</v>
      </c>
      <c r="AB411" s="79"/>
      <c r="AC411" s="23"/>
      <c r="AD411" s="23"/>
    </row>
    <row r="412" spans="1:30">
      <c r="A412" s="79">
        <f t="shared" si="36"/>
        <v>411</v>
      </c>
      <c r="B412" s="283">
        <f>YEAR(Table5[[#This Row],[Date]])+IF(MONTH(Table5[[#This Row],[Date]])&gt;=4,1,0)</f>
        <v>2026</v>
      </c>
      <c r="C412" s="79">
        <f>YEAR(Table5[[#This Row],[Date]])</f>
        <v>2025</v>
      </c>
      <c r="D412" s="79" t="s">
        <v>344</v>
      </c>
      <c r="E412" s="284">
        <f>Table5[[#This Row],[Date]]-DAY(Table5[[#This Row],[Date]])+1</f>
        <v>45870</v>
      </c>
      <c r="F412" s="285">
        <v>45870</v>
      </c>
      <c r="G412" s="79" t="s">
        <v>79</v>
      </c>
      <c r="H412" s="23" t="str">
        <f>IFERROR(_xlfn.XLOOKUP(Table5[[#This Row],[Affected WTG]],'Basic Data'!$A:$A,'Basic Data'!$B:$B),"")</f>
        <v>PWEPL</v>
      </c>
      <c r="I412" s="23" t="str">
        <f>IFERROR(_xlfn.XLOOKUP(Table5[[#This Row],[Affected WTG]],'Basic Data'!$A:$A,'Basic Data'!$C:$C),"")</f>
        <v>MSEDCL</v>
      </c>
      <c r="J412" s="286">
        <f>IFERROR(_xlfn.XLOOKUP(Table5[[#This Row],[Affected WTG]],'Basic Data'!$A:$A,'Basic Data'!$E:$E),"")</f>
        <v>2.2727272727272728E-2</v>
      </c>
      <c r="K412" s="79">
        <v>274</v>
      </c>
      <c r="L412" s="23" t="str">
        <f>IFERROR(_xlfn.XLOOKUP(Table5[[#This Row],[Error Code]],'Basic Data'!$W:$W,'Basic Data'!$X:$X),"Incorrect Error Code")</f>
        <v>Pitch thyristor 1 fault</v>
      </c>
      <c r="M412" s="23" t="s">
        <v>158</v>
      </c>
      <c r="N412" s="23"/>
      <c r="O412" s="355">
        <v>0.37291666666666662</v>
      </c>
      <c r="P412" s="355">
        <v>0.37291666666666662</v>
      </c>
      <c r="Q412" s="355">
        <v>0.43402777777777773</v>
      </c>
      <c r="R412" s="341">
        <f t="shared" si="41"/>
        <v>6.1111111111111116E-2</v>
      </c>
      <c r="S412" s="353">
        <f>(Table5[[#This Row],[Fault Clearance time]]-Table5[[#This Row],[Work Start TimeStamp]])*24</f>
        <v>1.4666666666666668</v>
      </c>
      <c r="T412" s="353">
        <f>(Table5[[#This Row],[Fault Clearance time]]-Table5[[#This Row],[Fault Start TimeStamp]])*24</f>
        <v>1.4666666666666668</v>
      </c>
      <c r="U412" s="23" t="s">
        <v>349</v>
      </c>
      <c r="V412" s="79" t="s">
        <v>339</v>
      </c>
      <c r="W412" s="354">
        <f>IFERROR(Table5[[#This Row],[Breakdown Time]]*Table5[[#This Row],[Plant Equivalent Weightage]],"")</f>
        <v>3.333333333333334E-2</v>
      </c>
      <c r="X412" s="289" t="s">
        <v>343</v>
      </c>
      <c r="Y412" s="290" t="s">
        <v>96</v>
      </c>
      <c r="Z412" s="79"/>
      <c r="AA412" s="283">
        <v>524</v>
      </c>
      <c r="AB412" s="79"/>
      <c r="AC412" s="23"/>
      <c r="AD412" s="23"/>
    </row>
    <row r="413" spans="1:30">
      <c r="A413" s="79">
        <f t="shared" si="36"/>
        <v>412</v>
      </c>
      <c r="B413" s="283">
        <f>YEAR(Table5[[#This Row],[Date]])+IF(MONTH(Table5[[#This Row],[Date]])&gt;=4,1,0)</f>
        <v>2026</v>
      </c>
      <c r="C413" s="79">
        <f>YEAR(Table5[[#This Row],[Date]])</f>
        <v>2025</v>
      </c>
      <c r="D413" s="79" t="s">
        <v>344</v>
      </c>
      <c r="E413" s="284">
        <f>Table5[[#This Row],[Date]]-DAY(Table5[[#This Row],[Date]])+1</f>
        <v>45870</v>
      </c>
      <c r="F413" s="285">
        <v>45870</v>
      </c>
      <c r="G413" s="79" t="s">
        <v>107</v>
      </c>
      <c r="H413" s="23" t="str">
        <f>IFERROR(_xlfn.XLOOKUP(Table5[[#This Row],[Affected WTG]],'Basic Data'!$A:$A,'Basic Data'!$B:$B),"")</f>
        <v>PWEPL</v>
      </c>
      <c r="I413" s="23" t="str">
        <f>IFERROR(_xlfn.XLOOKUP(Table5[[#This Row],[Affected WTG]],'Basic Data'!$A:$A,'Basic Data'!$C:$C),"")</f>
        <v>MSEDCL</v>
      </c>
      <c r="J413" s="286">
        <f>IFERROR(_xlfn.XLOOKUP(Table5[[#This Row],[Affected WTG]],'Basic Data'!$A:$A,'Basic Data'!$E:$E),"")</f>
        <v>2.2727272727272728E-2</v>
      </c>
      <c r="K413" s="79">
        <v>430</v>
      </c>
      <c r="L413" s="23" t="str">
        <f>IFERROR(_xlfn.XLOOKUP(Table5[[#This Row],[Error Code]],'Basic Data'!$W:$W,'Basic Data'!$X:$X),"Incorrect Error Code")</f>
        <v xml:space="preserve">Yaw tooth sensor 1 timeout </v>
      </c>
      <c r="M413" s="23" t="s">
        <v>377</v>
      </c>
      <c r="N413" s="23"/>
      <c r="O413" s="355">
        <v>0.50763888888888886</v>
      </c>
      <c r="P413" s="355">
        <v>0.50763888888888886</v>
      </c>
      <c r="Q413" s="355">
        <v>0.55763888888888891</v>
      </c>
      <c r="R413" s="341">
        <f t="shared" si="41"/>
        <v>5.0000000000000044E-2</v>
      </c>
      <c r="S413" s="353">
        <f>(Table5[[#This Row],[Fault Clearance time]]-Table5[[#This Row],[Work Start TimeStamp]])*24</f>
        <v>1.2000000000000011</v>
      </c>
      <c r="T413" s="353">
        <f>(Table5[[#This Row],[Fault Clearance time]]-Table5[[#This Row],[Fault Start TimeStamp]])*24</f>
        <v>1.2000000000000011</v>
      </c>
      <c r="U413" s="23" t="s">
        <v>799</v>
      </c>
      <c r="V413" s="79" t="s">
        <v>339</v>
      </c>
      <c r="W413" s="354">
        <f>IFERROR(Table5[[#This Row],[Breakdown Time]]*Table5[[#This Row],[Plant Equivalent Weightage]],"")</f>
        <v>2.7272727272727299E-2</v>
      </c>
      <c r="X413" s="289" t="s">
        <v>343</v>
      </c>
      <c r="Y413" s="290" t="s">
        <v>80</v>
      </c>
      <c r="Z413" s="79"/>
      <c r="AA413" s="283">
        <v>554</v>
      </c>
      <c r="AB413" s="79"/>
      <c r="AC413" s="23"/>
      <c r="AD413" s="23"/>
    </row>
    <row r="414" spans="1:30">
      <c r="A414" s="79">
        <f t="shared" si="36"/>
        <v>413</v>
      </c>
      <c r="B414" s="283">
        <f>YEAR(Table5[[#This Row],[Date]])+IF(MONTH(Table5[[#This Row],[Date]])&gt;=4,1,0)</f>
        <v>2026</v>
      </c>
      <c r="C414" s="79">
        <f>YEAR(Table5[[#This Row],[Date]])</f>
        <v>2025</v>
      </c>
      <c r="D414" s="79" t="s">
        <v>344</v>
      </c>
      <c r="E414" s="284">
        <f>Table5[[#This Row],[Date]]-DAY(Table5[[#This Row],[Date]])+1</f>
        <v>45870</v>
      </c>
      <c r="F414" s="285">
        <v>45870</v>
      </c>
      <c r="G414" s="79" t="s">
        <v>109</v>
      </c>
      <c r="H414" s="23" t="str">
        <f>IFERROR(_xlfn.XLOOKUP(Table5[[#This Row],[Affected WTG]],'Basic Data'!$A:$A,'Basic Data'!$B:$B),"")</f>
        <v>PWEPL</v>
      </c>
      <c r="I414" s="23" t="str">
        <f>IFERROR(_xlfn.XLOOKUP(Table5[[#This Row],[Affected WTG]],'Basic Data'!$A:$A,'Basic Data'!$C:$C),"")</f>
        <v>MSEDCL</v>
      </c>
      <c r="J414" s="286">
        <f>IFERROR(_xlfn.XLOOKUP(Table5[[#This Row],[Affected WTG]],'Basic Data'!$A:$A,'Basic Data'!$E:$E),"")</f>
        <v>2.2727272727272728E-2</v>
      </c>
      <c r="K414" s="79">
        <v>275</v>
      </c>
      <c r="L414" s="23" t="str">
        <f>IFERROR(_xlfn.XLOOKUP(Table5[[#This Row],[Error Code]],'Basic Data'!$W:$W,'Basic Data'!$X:$X),"Incorrect Error Code")</f>
        <v>Pitch thyristor 2 fault</v>
      </c>
      <c r="M414" s="23" t="s">
        <v>162</v>
      </c>
      <c r="N414" s="23"/>
      <c r="O414" s="355">
        <v>0.89374999999999993</v>
      </c>
      <c r="P414" s="355">
        <v>0.89374999999999993</v>
      </c>
      <c r="Q414" s="355">
        <v>0.91666666666666663</v>
      </c>
      <c r="R414" s="341">
        <f t="shared" si="41"/>
        <v>2.2916666666666696E-2</v>
      </c>
      <c r="S414" s="353">
        <f>(Table5[[#This Row],[Fault Clearance time]]-Table5[[#This Row],[Work Start TimeStamp]])*24</f>
        <v>0.55000000000000071</v>
      </c>
      <c r="T414" s="353">
        <f>(Table5[[#This Row],[Fault Clearance time]]-Table5[[#This Row],[Fault Start TimeStamp]])*24</f>
        <v>0.55000000000000071</v>
      </c>
      <c r="U414" s="23" t="s">
        <v>353</v>
      </c>
      <c r="V414" s="79" t="s">
        <v>339</v>
      </c>
      <c r="W414" s="354">
        <f>IFERROR(Table5[[#This Row],[Breakdown Time]]*Table5[[#This Row],[Plant Equivalent Weightage]],"")</f>
        <v>1.2500000000000016E-2</v>
      </c>
      <c r="X414" s="289" t="s">
        <v>343</v>
      </c>
      <c r="Y414" s="290" t="s">
        <v>114</v>
      </c>
      <c r="Z414" s="79"/>
      <c r="AA414" s="283">
        <v>442</v>
      </c>
      <c r="AB414" s="79"/>
      <c r="AC414" s="23"/>
      <c r="AD414" s="23"/>
    </row>
    <row r="415" spans="1:30">
      <c r="A415" s="79">
        <f t="shared" si="36"/>
        <v>414</v>
      </c>
      <c r="B415" s="283">
        <f>YEAR(Table5[[#This Row],[Date]])+IF(MONTH(Table5[[#This Row],[Date]])&gt;=4,1,0)</f>
        <v>2026</v>
      </c>
      <c r="C415" s="79">
        <f>YEAR(Table5[[#This Row],[Date]])</f>
        <v>2025</v>
      </c>
      <c r="D415" s="79" t="s">
        <v>344</v>
      </c>
      <c r="E415" s="284">
        <f>Table5[[#This Row],[Date]]-DAY(Table5[[#This Row],[Date]])+1</f>
        <v>45870</v>
      </c>
      <c r="F415" s="285">
        <v>45871</v>
      </c>
      <c r="G415" s="79" t="s">
        <v>109</v>
      </c>
      <c r="H415" s="23" t="str">
        <f>IFERROR(_xlfn.XLOOKUP(Table5[[#This Row],[Affected WTG]],'Basic Data'!$A:$A,'Basic Data'!$B:$B),"")</f>
        <v>PWEPL</v>
      </c>
      <c r="I415" s="23" t="str">
        <f>IFERROR(_xlfn.XLOOKUP(Table5[[#This Row],[Affected WTG]],'Basic Data'!$A:$A,'Basic Data'!$C:$C),"")</f>
        <v>MSEDCL</v>
      </c>
      <c r="J415" s="286">
        <f>IFERROR(_xlfn.XLOOKUP(Table5[[#This Row],[Affected WTG]],'Basic Data'!$A:$A,'Basic Data'!$E:$E),"")</f>
        <v>2.2727272727272728E-2</v>
      </c>
      <c r="K415" s="79">
        <v>275</v>
      </c>
      <c r="L415" s="23" t="str">
        <f>IFERROR(_xlfn.XLOOKUP(Table5[[#This Row],[Error Code]],'Basic Data'!$W:$W,'Basic Data'!$X:$X),"Incorrect Error Code")</f>
        <v>Pitch thyristor 2 fault</v>
      </c>
      <c r="M415" s="23" t="s">
        <v>162</v>
      </c>
      <c r="N415" s="23"/>
      <c r="O415" s="355">
        <v>0.78749999999999998</v>
      </c>
      <c r="P415" s="355">
        <v>0.78749999999999998</v>
      </c>
      <c r="Q415" s="355">
        <v>0.79583333333333339</v>
      </c>
      <c r="R415" s="341">
        <f>Q415-O415</f>
        <v>8.3333333333334147E-3</v>
      </c>
      <c r="S415" s="353">
        <f>(Table5[[#This Row],[Fault Clearance time]]-Table5[[#This Row],[Work Start TimeStamp]])*24</f>
        <v>0.20000000000000195</v>
      </c>
      <c r="T415" s="353">
        <f>(Table5[[#This Row],[Fault Clearance time]]-Table5[[#This Row],[Fault Start TimeStamp]])*24</f>
        <v>0.20000000000000195</v>
      </c>
      <c r="U415" s="23" t="s">
        <v>353</v>
      </c>
      <c r="V415" s="79" t="s">
        <v>339</v>
      </c>
      <c r="W415" s="354">
        <f>IFERROR(Table5[[#This Row],[Breakdown Time]]*Table5[[#This Row],[Plant Equivalent Weightage]],"")</f>
        <v>4.5454545454545903E-3</v>
      </c>
      <c r="X415" s="289" t="s">
        <v>343</v>
      </c>
      <c r="Y415" s="290" t="s">
        <v>114</v>
      </c>
      <c r="Z415" s="79"/>
      <c r="AA415" s="283">
        <v>374</v>
      </c>
      <c r="AB415" s="79"/>
      <c r="AC415" s="23"/>
      <c r="AD415" s="23"/>
    </row>
    <row r="418" spans="15:18">
      <c r="O418"/>
      <c r="R418"/>
    </row>
    <row r="419" spans="15:18">
      <c r="O419"/>
      <c r="R419"/>
    </row>
    <row r="420" spans="15:18">
      <c r="O420"/>
      <c r="R420"/>
    </row>
    <row r="421" spans="15:18">
      <c r="O421"/>
      <c r="R421"/>
    </row>
    <row r="422" spans="15:18">
      <c r="O422"/>
      <c r="R422"/>
    </row>
    <row r="423" spans="15:18">
      <c r="O423"/>
      <c r="R423"/>
    </row>
    <row r="424" spans="15:18">
      <c r="O424"/>
      <c r="R424"/>
    </row>
    <row r="425" spans="15:18">
      <c r="O425"/>
      <c r="R425"/>
    </row>
    <row r="426" spans="15:18">
      <c r="O426"/>
      <c r="R426"/>
    </row>
    <row r="427" spans="15:18">
      <c r="O427"/>
      <c r="R427"/>
    </row>
    <row r="428" spans="15:18">
      <c r="O428"/>
      <c r="R428"/>
    </row>
    <row r="429" spans="15:18">
      <c r="O429"/>
      <c r="R429"/>
    </row>
    <row r="430" spans="15:18">
      <c r="O430"/>
      <c r="R430"/>
    </row>
    <row r="431" spans="15:18">
      <c r="O431"/>
      <c r="R431"/>
    </row>
    <row r="432" spans="15:18">
      <c r="O432"/>
      <c r="R432"/>
    </row>
    <row r="433" spans="15:18">
      <c r="O433"/>
      <c r="R433"/>
    </row>
    <row r="434" spans="15:18">
      <c r="O434"/>
      <c r="R434"/>
    </row>
  </sheetData>
  <conditionalFormatting sqref="L1:L328 L330 L332:L369">
    <cfRule type="containsText" dxfId="3" priority="3" operator="containsText" text="Incorrect Error Code">
      <formula>NOT(ISERROR(SEARCH("Incorrect Error Code",L1)))</formula>
    </cfRule>
  </conditionalFormatting>
  <conditionalFormatting sqref="L414:L415">
    <cfRule type="containsText" dxfId="2" priority="1" operator="containsText" text="Incorrect Error Code">
      <formula>NOT(ISERROR(SEARCH("Incorrect Error Code",L414)))</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'Basic Data'!$S$10:$S$13</xm:f>
          </x14:formula1>
          <xm:sqref>N435:N1048576 N2:N417</xm:sqref>
        </x14:dataValidation>
        <x14:dataValidation type="list" allowBlank="1" showInputMessage="1" showErrorMessage="1" xr:uid="{00000000-0002-0000-0700-000001000000}">
          <x14:formula1>
            <xm:f>'Basic Data'!$S$4:$S$8</xm:f>
          </x14:formula1>
          <xm:sqref>X2:X351 X356:X1048576</xm:sqref>
        </x14:dataValidation>
        <x14:dataValidation type="list" allowBlank="1" showInputMessage="1" showErrorMessage="1" xr:uid="{00000000-0002-0000-0700-000002000000}">
          <x14:formula1>
            <xm:f>'C:\Users\powercon\Desktop\[DGR_PWEPL 18.07.2025.xlsx]Basic Data'!#REF!</xm:f>
          </x14:formula1>
          <xm:sqref>X352:X355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199"/>
  <sheetViews>
    <sheetView workbookViewId="0">
      <pane xSplit="6" ySplit="1" topLeftCell="G1192" activePane="bottomRight" state="frozen"/>
      <selection pane="topRight" activeCell="G1" sqref="G1"/>
      <selection pane="bottomLeft" activeCell="A2" sqref="A2"/>
      <selection pane="bottomRight" activeCell="I1209" sqref="I1209"/>
    </sheetView>
  </sheetViews>
  <sheetFormatPr defaultColWidth="8.7109375" defaultRowHeight="15"/>
  <cols>
    <col min="1" max="1" width="8.7109375" style="79"/>
    <col min="2" max="2" width="12.140625" style="79" customWidth="1"/>
    <col min="3" max="3" width="12.28515625" style="79" customWidth="1"/>
    <col min="4" max="4" width="13" style="79" customWidth="1"/>
    <col min="5" max="5" width="8.7109375" style="79"/>
    <col min="6" max="6" width="9.5703125" style="79" bestFit="1" customWidth="1"/>
    <col min="7" max="7" width="14.140625" style="79" customWidth="1"/>
    <col min="8" max="8" width="8.7109375" style="79"/>
    <col min="9" max="9" width="9.85546875" style="79" customWidth="1"/>
    <col min="10" max="10" width="21.7109375" style="79" customWidth="1"/>
    <col min="11" max="11" width="66.5703125" style="79" bestFit="1" customWidth="1"/>
    <col min="12" max="12" width="18" style="79" customWidth="1"/>
    <col min="13" max="13" width="18.42578125" style="79" customWidth="1"/>
    <col min="14" max="14" width="16.7109375" style="79" customWidth="1"/>
    <col min="15" max="15" width="13.140625" style="79" customWidth="1"/>
    <col min="16" max="16" width="13.85546875" style="79" customWidth="1"/>
    <col min="17" max="17" width="14.42578125" style="79" customWidth="1"/>
    <col min="18" max="18" width="51.140625" style="79" bestFit="1" customWidth="1"/>
    <col min="19" max="19" width="8.7109375" style="79"/>
    <col min="20" max="20" width="22.140625" style="79" customWidth="1"/>
    <col min="21" max="21" width="25.5703125" style="79" bestFit="1" customWidth="1"/>
    <col min="22" max="22" width="25.5703125" style="79" customWidth="1"/>
    <col min="23" max="23" width="22.5703125" style="79" customWidth="1"/>
    <col min="24" max="24" width="8.7109375" style="79"/>
    <col min="25" max="25" width="8.85546875" style="79" customWidth="1"/>
    <col min="26" max="26" width="11.5703125" style="79" customWidth="1"/>
    <col min="27" max="16384" width="8.7109375" style="79"/>
  </cols>
  <sheetData>
    <row r="1" spans="1:26" ht="49.5" customHeight="1" thickBot="1">
      <c r="A1" s="292" t="s">
        <v>8</v>
      </c>
      <c r="B1" s="293" t="s">
        <v>3</v>
      </c>
      <c r="C1" s="293" t="s">
        <v>198</v>
      </c>
      <c r="D1" s="293" t="s">
        <v>318</v>
      </c>
      <c r="E1" s="293" t="s">
        <v>317</v>
      </c>
      <c r="F1" s="294" t="s">
        <v>197</v>
      </c>
      <c r="G1" s="294" t="s">
        <v>928</v>
      </c>
      <c r="H1" s="294" t="s">
        <v>320</v>
      </c>
      <c r="I1" s="294" t="s">
        <v>497</v>
      </c>
      <c r="J1" s="294" t="s">
        <v>321</v>
      </c>
      <c r="K1" s="294" t="s">
        <v>324</v>
      </c>
      <c r="L1" s="294" t="s">
        <v>325</v>
      </c>
      <c r="M1" s="294" t="s">
        <v>326</v>
      </c>
      <c r="N1" s="294" t="s">
        <v>327</v>
      </c>
      <c r="O1" s="294" t="s">
        <v>328</v>
      </c>
      <c r="P1" s="294" t="s">
        <v>329</v>
      </c>
      <c r="Q1" s="294" t="s">
        <v>330</v>
      </c>
      <c r="R1" s="294" t="s">
        <v>331</v>
      </c>
      <c r="S1" s="294" t="s">
        <v>332</v>
      </c>
      <c r="T1" s="294" t="s">
        <v>333</v>
      </c>
      <c r="U1" s="294" t="s">
        <v>879</v>
      </c>
      <c r="V1" s="17" t="s">
        <v>933</v>
      </c>
      <c r="W1" s="294" t="s">
        <v>921</v>
      </c>
      <c r="X1" s="294" t="s">
        <v>929</v>
      </c>
      <c r="Y1" s="294" t="s">
        <v>923</v>
      </c>
      <c r="Z1" s="294" t="s">
        <v>924</v>
      </c>
    </row>
    <row r="2" spans="1:26" ht="15.75" thickTop="1">
      <c r="A2" s="79">
        <v>1</v>
      </c>
      <c r="B2" s="79">
        <f>YEAR(Table6[[#This Row],[Date]])+IF(MONTH(Table6[[#This Row],[Date]])&gt;=4,1,0)</f>
        <v>2025</v>
      </c>
      <c r="C2" s="79">
        <f>YEAR(Table6[[#This Row],[Date]])</f>
        <v>2025</v>
      </c>
      <c r="D2" s="79" t="s">
        <v>335</v>
      </c>
      <c r="E2" s="284">
        <f>Table6[[#This Row],[Date]]-DAY(Table6[[#This Row],[Date]])+1</f>
        <v>45717</v>
      </c>
      <c r="F2" s="285">
        <v>45745</v>
      </c>
      <c r="G2" s="79" t="s">
        <v>404</v>
      </c>
      <c r="H2" s="79" t="str">
        <f>IFERROR(_xlfn.XLOOKUP(Table6[[#This Row],[Affected Feeder ]],'Basic Data'!$A:$A,'Basic Data'!$B:$B),"")</f>
        <v>PWEPL</v>
      </c>
      <c r="I2" s="79" t="str">
        <f>IFERROR(_xlfn.XLOOKUP(Table6[[#This Row],[Affected Feeder ]],'Basic Data'!$A:$A,'Basic Data'!$C:$C),"")</f>
        <v>MSEDCL</v>
      </c>
      <c r="J2" s="295">
        <f>IFERROR(_xlfn.XLOOKUP(Table6[[#This Row],[Affected Feeder ]],'Basic Data'!$A:$A,'Basic Data'!$E:$E),"")</f>
        <v>0.27272727272727276</v>
      </c>
      <c r="K2" s="296" t="s">
        <v>409</v>
      </c>
      <c r="L2" s="297">
        <v>0.49444444444444446</v>
      </c>
      <c r="M2" s="297">
        <v>0.49444444444444446</v>
      </c>
      <c r="N2" s="297">
        <v>0.67499999999999993</v>
      </c>
      <c r="O2" s="19">
        <f>(Table6[[#This Row],[Work Start TimeStamp]]-Table6[[#This Row],[Fault Start TimeStamp]])*24</f>
        <v>0</v>
      </c>
      <c r="P2" s="19">
        <f>(Table6[[#This Row],[Fault Clearance time]]-Table6[[#This Row],[Fault Start TimeStamp]])*24</f>
        <v>4.3333333333333313</v>
      </c>
      <c r="Q2" s="19">
        <f>(Table6[[#This Row],[Fault Clearance time]]-Table6[[#This Row],[Fault Start TimeStamp]])*24</f>
        <v>4.3333333333333313</v>
      </c>
      <c r="R2" s="79" t="s">
        <v>410</v>
      </c>
      <c r="S2" s="79" t="s">
        <v>339</v>
      </c>
      <c r="T2" s="298">
        <f>IFERROR(Table6[[#This Row],[Breakdown Time]]*Table6[[#This Row],[Plant Equivalent Weightage]],"")</f>
        <v>1.1818181818181814</v>
      </c>
      <c r="U2" s="79" t="s">
        <v>411</v>
      </c>
      <c r="W2" s="79">
        <v>4001</v>
      </c>
    </row>
    <row r="3" spans="1:26">
      <c r="A3" s="79">
        <f>A2+1</f>
        <v>2</v>
      </c>
      <c r="B3" s="79">
        <f>YEAR(Table6[[#This Row],[Date]])+IF(MONTH(Table6[[#This Row],[Date]])&gt;=4,1,0)</f>
        <v>2025</v>
      </c>
      <c r="C3" s="79">
        <f>YEAR(Table6[[#This Row],[Date]])</f>
        <v>2025</v>
      </c>
      <c r="D3" s="79" t="s">
        <v>335</v>
      </c>
      <c r="E3" s="284">
        <f>Table6[[#This Row],[Date]]-DAY(Table6[[#This Row],[Date]])+1</f>
        <v>45717</v>
      </c>
      <c r="F3" s="285">
        <v>45745</v>
      </c>
      <c r="G3" s="79" t="s">
        <v>89</v>
      </c>
      <c r="H3" s="79" t="str">
        <f>IFERROR(_xlfn.XLOOKUP(Table6[[#This Row],[Affected Feeder ]],'Basic Data'!$A:$A,'Basic Data'!$B:$B),"")</f>
        <v>PWEPL</v>
      </c>
      <c r="I3" s="79" t="str">
        <f>IFERROR(_xlfn.XLOOKUP(Table6[[#This Row],[Affected Feeder ]],'Basic Data'!$A:$A,'Basic Data'!$C:$C),"")</f>
        <v>MSEDCL</v>
      </c>
      <c r="J3" s="295">
        <f>IFERROR(_xlfn.XLOOKUP(Table6[[#This Row],[Affected Feeder ]],'Basic Data'!$A:$A,'Basic Data'!$E:$E),"")</f>
        <v>2.2727272727272728E-2</v>
      </c>
      <c r="K3" s="296" t="s">
        <v>171</v>
      </c>
      <c r="L3" s="297">
        <v>0.67499999999999993</v>
      </c>
      <c r="M3" s="297">
        <v>0.67499999999999993</v>
      </c>
      <c r="N3" s="297">
        <v>0.68888888888888899</v>
      </c>
      <c r="O3" s="19">
        <f>(Table6[[#This Row],[Work Start TimeStamp]]-Table6[[#This Row],[Fault Start TimeStamp]])*24</f>
        <v>0</v>
      </c>
      <c r="P3" s="19">
        <f>(Table6[[#This Row],[Fault Clearance time]]-Table6[[#This Row],[Fault Start TimeStamp]])*24</f>
        <v>0.33333333333333748</v>
      </c>
      <c r="Q3" s="19">
        <f>(Table6[[#This Row],[Fault Clearance time]]-Table6[[#This Row],[Fault Start TimeStamp]])*24</f>
        <v>0.33333333333333748</v>
      </c>
      <c r="R3" s="79" t="s">
        <v>353</v>
      </c>
      <c r="S3" s="79" t="s">
        <v>339</v>
      </c>
      <c r="T3" s="298">
        <f>IFERROR(Table6[[#This Row],[Breakdown Time]]*Table6[[#This Row],[Plant Equivalent Weightage]],"")</f>
        <v>7.5757575757576705E-3</v>
      </c>
      <c r="U3" s="79" t="s">
        <v>411</v>
      </c>
      <c r="W3" s="79">
        <v>27</v>
      </c>
    </row>
    <row r="4" spans="1:26">
      <c r="A4" s="79">
        <f t="shared" ref="A4:A67" si="0">A3+1</f>
        <v>3</v>
      </c>
      <c r="B4" s="79">
        <f>YEAR(Table6[[#This Row],[Date]])+IF(MONTH(Table6[[#This Row],[Date]])&gt;=4,1,0)</f>
        <v>2025</v>
      </c>
      <c r="C4" s="79">
        <f>YEAR(Table6[[#This Row],[Date]])</f>
        <v>2025</v>
      </c>
      <c r="D4" s="79" t="s">
        <v>335</v>
      </c>
      <c r="E4" s="284">
        <f>Table6[[#This Row],[Date]]-DAY(Table6[[#This Row],[Date]])+1</f>
        <v>45717</v>
      </c>
      <c r="F4" s="285">
        <v>45745</v>
      </c>
      <c r="G4" s="79" t="s">
        <v>90</v>
      </c>
      <c r="H4" s="79" t="str">
        <f>IFERROR(_xlfn.XLOOKUP(Table6[[#This Row],[Affected Feeder ]],'Basic Data'!$A:$A,'Basic Data'!$B:$B),"")</f>
        <v>PWEPL</v>
      </c>
      <c r="I4" s="79" t="str">
        <f>IFERROR(_xlfn.XLOOKUP(Table6[[#This Row],[Affected Feeder ]],'Basic Data'!$A:$A,'Basic Data'!$C:$C),"")</f>
        <v>MSEDCL</v>
      </c>
      <c r="J4" s="295">
        <f>IFERROR(_xlfn.XLOOKUP(Table6[[#This Row],[Affected Feeder ]],'Basic Data'!$A:$A,'Basic Data'!$E:$E),"")</f>
        <v>2.2727272727272728E-2</v>
      </c>
      <c r="K4" s="296" t="s">
        <v>171</v>
      </c>
      <c r="L4" s="297">
        <v>0.67499999999999993</v>
      </c>
      <c r="M4" s="297">
        <v>0.67499999999999993</v>
      </c>
      <c r="N4" s="297">
        <v>0.68888888888888899</v>
      </c>
      <c r="O4" s="19">
        <f>(Table6[[#This Row],[Work Start TimeStamp]]-Table6[[#This Row],[Fault Start TimeStamp]])*24</f>
        <v>0</v>
      </c>
      <c r="P4" s="19">
        <f>(Table6[[#This Row],[Fault Clearance time]]-Table6[[#This Row],[Fault Start TimeStamp]])*24</f>
        <v>0.33333333333333748</v>
      </c>
      <c r="Q4" s="19">
        <f>(Table6[[#This Row],[Fault Clearance time]]-Table6[[#This Row],[Fault Start TimeStamp]])*24</f>
        <v>0.33333333333333748</v>
      </c>
      <c r="R4" s="79" t="s">
        <v>353</v>
      </c>
      <c r="S4" s="79" t="s">
        <v>339</v>
      </c>
      <c r="T4" s="298">
        <f>IFERROR(Table6[[#This Row],[Breakdown Time]]*Table6[[#This Row],[Plant Equivalent Weightage]],"")</f>
        <v>7.5757575757576705E-3</v>
      </c>
      <c r="U4" s="79" t="s">
        <v>411</v>
      </c>
      <c r="W4" s="79">
        <v>27</v>
      </c>
    </row>
    <row r="5" spans="1:26">
      <c r="A5" s="79">
        <f t="shared" si="0"/>
        <v>4</v>
      </c>
      <c r="B5" s="79">
        <f>YEAR(Table6[[#This Row],[Date]])+IF(MONTH(Table6[[#This Row],[Date]])&gt;=4,1,0)</f>
        <v>2025</v>
      </c>
      <c r="C5" s="79">
        <f>YEAR(Table6[[#This Row],[Date]])</f>
        <v>2025</v>
      </c>
      <c r="D5" s="79" t="s">
        <v>335</v>
      </c>
      <c r="E5" s="284">
        <f>Table6[[#This Row],[Date]]-DAY(Table6[[#This Row],[Date]])+1</f>
        <v>45717</v>
      </c>
      <c r="F5" s="285">
        <v>45745</v>
      </c>
      <c r="G5" s="79" t="s">
        <v>91</v>
      </c>
      <c r="H5" s="79" t="str">
        <f>IFERROR(_xlfn.XLOOKUP(Table6[[#This Row],[Affected Feeder ]],'Basic Data'!$A:$A,'Basic Data'!$B:$B),"")</f>
        <v>PWEPL</v>
      </c>
      <c r="I5" s="79" t="str">
        <f>IFERROR(_xlfn.XLOOKUP(Table6[[#This Row],[Affected Feeder ]],'Basic Data'!$A:$A,'Basic Data'!$C:$C),"")</f>
        <v>MSEDCL</v>
      </c>
      <c r="J5" s="295">
        <f>IFERROR(_xlfn.XLOOKUP(Table6[[#This Row],[Affected Feeder ]],'Basic Data'!$A:$A,'Basic Data'!$E:$E),"")</f>
        <v>2.2727272727272728E-2</v>
      </c>
      <c r="K5" s="296" t="s">
        <v>171</v>
      </c>
      <c r="L5" s="297">
        <v>0.67499999999999993</v>
      </c>
      <c r="M5" s="297">
        <v>0.67499999999999993</v>
      </c>
      <c r="N5" s="297">
        <v>0.68888888888888899</v>
      </c>
      <c r="O5" s="19">
        <f>(Table6[[#This Row],[Work Start TimeStamp]]-Table6[[#This Row],[Fault Start TimeStamp]])*24</f>
        <v>0</v>
      </c>
      <c r="P5" s="19">
        <f>(Table6[[#This Row],[Fault Clearance time]]-Table6[[#This Row],[Fault Start TimeStamp]])*24</f>
        <v>0.33333333333333748</v>
      </c>
      <c r="Q5" s="19">
        <f>(Table6[[#This Row],[Fault Clearance time]]-Table6[[#This Row],[Fault Start TimeStamp]])*24</f>
        <v>0.33333333333333748</v>
      </c>
      <c r="R5" s="79" t="s">
        <v>353</v>
      </c>
      <c r="S5" s="79" t="s">
        <v>339</v>
      </c>
      <c r="T5" s="298">
        <f>IFERROR(Table6[[#This Row],[Breakdown Time]]*Table6[[#This Row],[Plant Equivalent Weightage]],"")</f>
        <v>7.5757575757576705E-3</v>
      </c>
      <c r="U5" s="79" t="s">
        <v>411</v>
      </c>
      <c r="W5" s="79">
        <v>27</v>
      </c>
    </row>
    <row r="6" spans="1:26">
      <c r="A6" s="79">
        <f t="shared" si="0"/>
        <v>5</v>
      </c>
      <c r="B6" s="79">
        <f>YEAR(Table6[[#This Row],[Date]])+IF(MONTH(Table6[[#This Row],[Date]])&gt;=4,1,0)</f>
        <v>2025</v>
      </c>
      <c r="C6" s="79">
        <f>YEAR(Table6[[#This Row],[Date]])</f>
        <v>2025</v>
      </c>
      <c r="D6" s="79" t="s">
        <v>335</v>
      </c>
      <c r="E6" s="284">
        <f>Table6[[#This Row],[Date]]-DAY(Table6[[#This Row],[Date]])+1</f>
        <v>45717</v>
      </c>
      <c r="F6" s="285">
        <v>45745</v>
      </c>
      <c r="G6" s="79" t="s">
        <v>92</v>
      </c>
      <c r="H6" s="79" t="str">
        <f>IFERROR(_xlfn.XLOOKUP(Table6[[#This Row],[Affected Feeder ]],'Basic Data'!$A:$A,'Basic Data'!$B:$B),"")</f>
        <v>PWEPL</v>
      </c>
      <c r="I6" s="79" t="str">
        <f>IFERROR(_xlfn.XLOOKUP(Table6[[#This Row],[Affected Feeder ]],'Basic Data'!$A:$A,'Basic Data'!$C:$C),"")</f>
        <v>MSEDCL</v>
      </c>
      <c r="J6" s="295">
        <f>IFERROR(_xlfn.XLOOKUP(Table6[[#This Row],[Affected Feeder ]],'Basic Data'!$A:$A,'Basic Data'!$E:$E),"")</f>
        <v>2.2727272727272728E-2</v>
      </c>
      <c r="K6" s="296" t="s">
        <v>171</v>
      </c>
      <c r="L6" s="297">
        <v>0.67499999999999993</v>
      </c>
      <c r="M6" s="297">
        <v>0.67499999999999993</v>
      </c>
      <c r="N6" s="297">
        <v>0.68888888888888899</v>
      </c>
      <c r="O6" s="19">
        <f>(Table6[[#This Row],[Work Start TimeStamp]]-Table6[[#This Row],[Fault Start TimeStamp]])*24</f>
        <v>0</v>
      </c>
      <c r="P6" s="19">
        <f>(Table6[[#This Row],[Fault Clearance time]]-Table6[[#This Row],[Fault Start TimeStamp]])*24</f>
        <v>0.33333333333333748</v>
      </c>
      <c r="Q6" s="19">
        <f>(Table6[[#This Row],[Fault Clearance time]]-Table6[[#This Row],[Fault Start TimeStamp]])*24</f>
        <v>0.33333333333333748</v>
      </c>
      <c r="R6" s="79" t="s">
        <v>353</v>
      </c>
      <c r="S6" s="79" t="s">
        <v>339</v>
      </c>
      <c r="T6" s="298">
        <f>IFERROR(Table6[[#This Row],[Breakdown Time]]*Table6[[#This Row],[Plant Equivalent Weightage]],"")</f>
        <v>7.5757575757576705E-3</v>
      </c>
      <c r="U6" s="79" t="s">
        <v>411</v>
      </c>
      <c r="W6" s="79">
        <v>27</v>
      </c>
    </row>
    <row r="7" spans="1:26">
      <c r="A7" s="79">
        <f t="shared" si="0"/>
        <v>6</v>
      </c>
      <c r="B7" s="79">
        <f>YEAR(Table6[[#This Row],[Date]])+IF(MONTH(Table6[[#This Row],[Date]])&gt;=4,1,0)</f>
        <v>2025</v>
      </c>
      <c r="C7" s="79">
        <f>YEAR(Table6[[#This Row],[Date]])</f>
        <v>2025</v>
      </c>
      <c r="D7" s="79" t="s">
        <v>335</v>
      </c>
      <c r="E7" s="284">
        <f>Table6[[#This Row],[Date]]-DAY(Table6[[#This Row],[Date]])+1</f>
        <v>45717</v>
      </c>
      <c r="F7" s="285">
        <v>45745</v>
      </c>
      <c r="G7" s="79" t="s">
        <v>94</v>
      </c>
      <c r="H7" s="79" t="str">
        <f>IFERROR(_xlfn.XLOOKUP(Table6[[#This Row],[Affected Feeder ]],'Basic Data'!$A:$A,'Basic Data'!$B:$B),"")</f>
        <v>PWEPL</v>
      </c>
      <c r="I7" s="79" t="str">
        <f>IFERROR(_xlfn.XLOOKUP(Table6[[#This Row],[Affected Feeder ]],'Basic Data'!$A:$A,'Basic Data'!$C:$C),"")</f>
        <v>MSEDCL</v>
      </c>
      <c r="J7" s="295">
        <f>IFERROR(_xlfn.XLOOKUP(Table6[[#This Row],[Affected Feeder ]],'Basic Data'!$A:$A,'Basic Data'!$E:$E),"")</f>
        <v>2.2727272727272728E-2</v>
      </c>
      <c r="K7" s="296" t="s">
        <v>171</v>
      </c>
      <c r="L7" s="297">
        <v>0.67499999999999993</v>
      </c>
      <c r="M7" s="297">
        <v>0.67499999999999993</v>
      </c>
      <c r="N7" s="297">
        <v>0.68888888888888899</v>
      </c>
      <c r="O7" s="19">
        <f>(Table6[[#This Row],[Work Start TimeStamp]]-Table6[[#This Row],[Fault Start TimeStamp]])*24</f>
        <v>0</v>
      </c>
      <c r="P7" s="19">
        <f>(Table6[[#This Row],[Fault Clearance time]]-Table6[[#This Row],[Fault Start TimeStamp]])*24</f>
        <v>0.33333333333333748</v>
      </c>
      <c r="Q7" s="19">
        <f>(Table6[[#This Row],[Fault Clearance time]]-Table6[[#This Row],[Fault Start TimeStamp]])*24</f>
        <v>0.33333333333333748</v>
      </c>
      <c r="R7" s="79" t="s">
        <v>353</v>
      </c>
      <c r="S7" s="79" t="s">
        <v>339</v>
      </c>
      <c r="T7" s="298">
        <f>IFERROR(Table6[[#This Row],[Breakdown Time]]*Table6[[#This Row],[Plant Equivalent Weightage]],"")</f>
        <v>7.5757575757576705E-3</v>
      </c>
      <c r="U7" s="79" t="s">
        <v>411</v>
      </c>
      <c r="W7" s="79">
        <v>27</v>
      </c>
    </row>
    <row r="8" spans="1:26">
      <c r="A8" s="79">
        <f t="shared" si="0"/>
        <v>7</v>
      </c>
      <c r="B8" s="79">
        <f>YEAR(Table6[[#This Row],[Date]])+IF(MONTH(Table6[[#This Row],[Date]])&gt;=4,1,0)</f>
        <v>2025</v>
      </c>
      <c r="C8" s="79">
        <f>YEAR(Table6[[#This Row],[Date]])</f>
        <v>2025</v>
      </c>
      <c r="D8" s="79" t="s">
        <v>335</v>
      </c>
      <c r="E8" s="284">
        <f>Table6[[#This Row],[Date]]-DAY(Table6[[#This Row],[Date]])+1</f>
        <v>45717</v>
      </c>
      <c r="F8" s="285">
        <v>45745</v>
      </c>
      <c r="G8" s="79" t="s">
        <v>95</v>
      </c>
      <c r="H8" s="79" t="str">
        <f>IFERROR(_xlfn.XLOOKUP(Table6[[#This Row],[Affected Feeder ]],'Basic Data'!$A:$A,'Basic Data'!$B:$B),"")</f>
        <v>PWEPL</v>
      </c>
      <c r="I8" s="79" t="str">
        <f>IFERROR(_xlfn.XLOOKUP(Table6[[#This Row],[Affected Feeder ]],'Basic Data'!$A:$A,'Basic Data'!$C:$C),"")</f>
        <v>MSEDCL</v>
      </c>
      <c r="J8" s="295">
        <f>IFERROR(_xlfn.XLOOKUP(Table6[[#This Row],[Affected Feeder ]],'Basic Data'!$A:$A,'Basic Data'!$E:$E),"")</f>
        <v>2.2727272727272728E-2</v>
      </c>
      <c r="K8" s="296" t="s">
        <v>171</v>
      </c>
      <c r="L8" s="297">
        <v>0.67499999999999993</v>
      </c>
      <c r="M8" s="297">
        <v>0.67499999999999993</v>
      </c>
      <c r="N8" s="297">
        <v>0.68888888888888899</v>
      </c>
      <c r="O8" s="19">
        <f>(Table6[[#This Row],[Work Start TimeStamp]]-Table6[[#This Row],[Fault Start TimeStamp]])*24</f>
        <v>0</v>
      </c>
      <c r="P8" s="19">
        <f>(Table6[[#This Row],[Fault Clearance time]]-Table6[[#This Row],[Fault Start TimeStamp]])*24</f>
        <v>0.33333333333333748</v>
      </c>
      <c r="Q8" s="19">
        <f>(Table6[[#This Row],[Fault Clearance time]]-Table6[[#This Row],[Fault Start TimeStamp]])*24</f>
        <v>0.33333333333333748</v>
      </c>
      <c r="R8" s="79" t="s">
        <v>353</v>
      </c>
      <c r="S8" s="79" t="s">
        <v>339</v>
      </c>
      <c r="T8" s="298">
        <f>IFERROR(Table6[[#This Row],[Breakdown Time]]*Table6[[#This Row],[Plant Equivalent Weightage]],"")</f>
        <v>7.5757575757576705E-3</v>
      </c>
      <c r="U8" s="79" t="s">
        <v>411</v>
      </c>
      <c r="W8" s="79">
        <v>27</v>
      </c>
    </row>
    <row r="9" spans="1:26">
      <c r="A9" s="79">
        <f t="shared" si="0"/>
        <v>8</v>
      </c>
      <c r="B9" s="79">
        <f>YEAR(Table6[[#This Row],[Date]])+IF(MONTH(Table6[[#This Row],[Date]])&gt;=4,1,0)</f>
        <v>2025</v>
      </c>
      <c r="C9" s="79">
        <f>YEAR(Table6[[#This Row],[Date]])</f>
        <v>2025</v>
      </c>
      <c r="D9" s="79" t="s">
        <v>335</v>
      </c>
      <c r="E9" s="284">
        <f>Table6[[#This Row],[Date]]-DAY(Table6[[#This Row],[Date]])+1</f>
        <v>45717</v>
      </c>
      <c r="F9" s="285">
        <v>45745</v>
      </c>
      <c r="G9" s="79" t="s">
        <v>106</v>
      </c>
      <c r="H9" s="79" t="str">
        <f>IFERROR(_xlfn.XLOOKUP(Table6[[#This Row],[Affected Feeder ]],'Basic Data'!$A:$A,'Basic Data'!$B:$B),"")</f>
        <v>PWEPL</v>
      </c>
      <c r="I9" s="79" t="str">
        <f>IFERROR(_xlfn.XLOOKUP(Table6[[#This Row],[Affected Feeder ]],'Basic Data'!$A:$A,'Basic Data'!$C:$C),"")</f>
        <v>MSEDCL</v>
      </c>
      <c r="J9" s="295">
        <f>IFERROR(_xlfn.XLOOKUP(Table6[[#This Row],[Affected Feeder ]],'Basic Data'!$A:$A,'Basic Data'!$E:$E),"")</f>
        <v>2.2727272727272728E-2</v>
      </c>
      <c r="K9" s="296" t="s">
        <v>171</v>
      </c>
      <c r="L9" s="297">
        <v>0.67499999999999993</v>
      </c>
      <c r="M9" s="297">
        <v>0.67499999999999993</v>
      </c>
      <c r="N9" s="297">
        <v>0.68888888888888899</v>
      </c>
      <c r="O9" s="19">
        <f>(Table6[[#This Row],[Work Start TimeStamp]]-Table6[[#This Row],[Fault Start TimeStamp]])*24</f>
        <v>0</v>
      </c>
      <c r="P9" s="19">
        <f>(Table6[[#This Row],[Fault Clearance time]]-Table6[[#This Row],[Fault Start TimeStamp]])*24</f>
        <v>0.33333333333333748</v>
      </c>
      <c r="Q9" s="19">
        <f>(Table6[[#This Row],[Fault Clearance time]]-Table6[[#This Row],[Fault Start TimeStamp]])*24</f>
        <v>0.33333333333333748</v>
      </c>
      <c r="R9" s="79" t="s">
        <v>353</v>
      </c>
      <c r="S9" s="79" t="s">
        <v>339</v>
      </c>
      <c r="T9" s="298">
        <f>IFERROR(Table6[[#This Row],[Breakdown Time]]*Table6[[#This Row],[Plant Equivalent Weightage]],"")</f>
        <v>7.5757575757576705E-3</v>
      </c>
      <c r="U9" s="79" t="s">
        <v>411</v>
      </c>
      <c r="W9" s="79">
        <v>27</v>
      </c>
    </row>
    <row r="10" spans="1:26">
      <c r="A10" s="79">
        <f t="shared" si="0"/>
        <v>9</v>
      </c>
      <c r="B10" s="79">
        <f>YEAR(Table6[[#This Row],[Date]])+IF(MONTH(Table6[[#This Row],[Date]])&gt;=4,1,0)</f>
        <v>2025</v>
      </c>
      <c r="C10" s="79">
        <f>YEAR(Table6[[#This Row],[Date]])</f>
        <v>2025</v>
      </c>
      <c r="D10" s="79" t="s">
        <v>335</v>
      </c>
      <c r="E10" s="284">
        <f>Table6[[#This Row],[Date]]-DAY(Table6[[#This Row],[Date]])+1</f>
        <v>45717</v>
      </c>
      <c r="F10" s="285">
        <v>45745</v>
      </c>
      <c r="G10" s="79" t="s">
        <v>79</v>
      </c>
      <c r="H10" s="79" t="str">
        <f>IFERROR(_xlfn.XLOOKUP(Table6[[#This Row],[Affected Feeder ]],'Basic Data'!$A:$A,'Basic Data'!$B:$B),"")</f>
        <v>PWEPL</v>
      </c>
      <c r="I10" s="79" t="str">
        <f>IFERROR(_xlfn.XLOOKUP(Table6[[#This Row],[Affected Feeder ]],'Basic Data'!$A:$A,'Basic Data'!$C:$C),"")</f>
        <v>MSEDCL</v>
      </c>
      <c r="J10" s="295">
        <f>IFERROR(_xlfn.XLOOKUP(Table6[[#This Row],[Affected Feeder ]],'Basic Data'!$A:$A,'Basic Data'!$E:$E),"")</f>
        <v>2.2727272727272728E-2</v>
      </c>
      <c r="K10" s="296" t="s">
        <v>171</v>
      </c>
      <c r="L10" s="297">
        <v>0.67499999999999993</v>
      </c>
      <c r="M10" s="297">
        <v>0.67499999999999993</v>
      </c>
      <c r="N10" s="297">
        <v>0.68888888888888899</v>
      </c>
      <c r="O10" s="19">
        <f>(Table6[[#This Row],[Work Start TimeStamp]]-Table6[[#This Row],[Fault Start TimeStamp]])*24</f>
        <v>0</v>
      </c>
      <c r="P10" s="19">
        <f>(Table6[[#This Row],[Fault Clearance time]]-Table6[[#This Row],[Fault Start TimeStamp]])*24</f>
        <v>0.33333333333333748</v>
      </c>
      <c r="Q10" s="19">
        <f>(Table6[[#This Row],[Fault Clearance time]]-Table6[[#This Row],[Fault Start TimeStamp]])*24</f>
        <v>0.33333333333333748</v>
      </c>
      <c r="R10" s="79" t="s">
        <v>353</v>
      </c>
      <c r="S10" s="79" t="s">
        <v>339</v>
      </c>
      <c r="T10" s="298">
        <f>IFERROR(Table6[[#This Row],[Breakdown Time]]*Table6[[#This Row],[Plant Equivalent Weightage]],"")</f>
        <v>7.5757575757576705E-3</v>
      </c>
      <c r="U10" s="79" t="s">
        <v>411</v>
      </c>
      <c r="W10" s="79">
        <v>27</v>
      </c>
    </row>
    <row r="11" spans="1:26">
      <c r="A11" s="79">
        <f t="shared" si="0"/>
        <v>10</v>
      </c>
      <c r="B11" s="79">
        <f>YEAR(Table6[[#This Row],[Date]])+IF(MONTH(Table6[[#This Row],[Date]])&gt;=4,1,0)</f>
        <v>2025</v>
      </c>
      <c r="C11" s="79">
        <f>YEAR(Table6[[#This Row],[Date]])</f>
        <v>2025</v>
      </c>
      <c r="D11" s="79" t="s">
        <v>335</v>
      </c>
      <c r="E11" s="284">
        <f>Table6[[#This Row],[Date]]-DAY(Table6[[#This Row],[Date]])+1</f>
        <v>45717</v>
      </c>
      <c r="F11" s="285">
        <v>45745</v>
      </c>
      <c r="G11" s="79" t="s">
        <v>96</v>
      </c>
      <c r="H11" s="79" t="str">
        <f>IFERROR(_xlfn.XLOOKUP(Table6[[#This Row],[Affected Feeder ]],'Basic Data'!$A:$A,'Basic Data'!$B:$B),"")</f>
        <v>PWEPL</v>
      </c>
      <c r="I11" s="79" t="str">
        <f>IFERROR(_xlfn.XLOOKUP(Table6[[#This Row],[Affected Feeder ]],'Basic Data'!$A:$A,'Basic Data'!$C:$C),"")</f>
        <v>MSEDCL</v>
      </c>
      <c r="J11" s="295">
        <f>IFERROR(_xlfn.XLOOKUP(Table6[[#This Row],[Affected Feeder ]],'Basic Data'!$A:$A,'Basic Data'!$E:$E),"")</f>
        <v>2.2727272727272728E-2</v>
      </c>
      <c r="K11" s="296" t="s">
        <v>171</v>
      </c>
      <c r="L11" s="297">
        <v>0.67499999999999993</v>
      </c>
      <c r="M11" s="297">
        <v>0.67499999999999993</v>
      </c>
      <c r="N11" s="297">
        <v>0.68888888888888899</v>
      </c>
      <c r="O11" s="19">
        <f>(Table6[[#This Row],[Work Start TimeStamp]]-Table6[[#This Row],[Fault Start TimeStamp]])*24</f>
        <v>0</v>
      </c>
      <c r="P11" s="19">
        <f>(Table6[[#This Row],[Fault Clearance time]]-Table6[[#This Row],[Fault Start TimeStamp]])*24</f>
        <v>0.33333333333333748</v>
      </c>
      <c r="Q11" s="19">
        <f>(Table6[[#This Row],[Fault Clearance time]]-Table6[[#This Row],[Fault Start TimeStamp]])*24</f>
        <v>0.33333333333333748</v>
      </c>
      <c r="R11" s="79" t="s">
        <v>353</v>
      </c>
      <c r="S11" s="79" t="s">
        <v>339</v>
      </c>
      <c r="T11" s="298">
        <f>IFERROR(Table6[[#This Row],[Breakdown Time]]*Table6[[#This Row],[Plant Equivalent Weightage]],"")</f>
        <v>7.5757575757576705E-3</v>
      </c>
      <c r="U11" s="79" t="s">
        <v>411</v>
      </c>
      <c r="W11" s="79">
        <v>27</v>
      </c>
    </row>
    <row r="12" spans="1:26">
      <c r="A12" s="79">
        <f t="shared" si="0"/>
        <v>11</v>
      </c>
      <c r="B12" s="79">
        <f>YEAR(Table6[[#This Row],[Date]])+IF(MONTH(Table6[[#This Row],[Date]])&gt;=4,1,0)</f>
        <v>2025</v>
      </c>
      <c r="C12" s="79">
        <f>YEAR(Table6[[#This Row],[Date]])</f>
        <v>2025</v>
      </c>
      <c r="D12" s="79" t="s">
        <v>335</v>
      </c>
      <c r="E12" s="284">
        <f>Table6[[#This Row],[Date]]-DAY(Table6[[#This Row],[Date]])+1</f>
        <v>45717</v>
      </c>
      <c r="F12" s="285">
        <v>45745</v>
      </c>
      <c r="G12" s="79" t="s">
        <v>97</v>
      </c>
      <c r="H12" s="79" t="str">
        <f>IFERROR(_xlfn.XLOOKUP(Table6[[#This Row],[Affected Feeder ]],'Basic Data'!$A:$A,'Basic Data'!$B:$B),"")</f>
        <v>PWEPL</v>
      </c>
      <c r="I12" s="79" t="str">
        <f>IFERROR(_xlfn.XLOOKUP(Table6[[#This Row],[Affected Feeder ]],'Basic Data'!$A:$A,'Basic Data'!$C:$C),"")</f>
        <v>MSEDCL</v>
      </c>
      <c r="J12" s="295">
        <f>IFERROR(_xlfn.XLOOKUP(Table6[[#This Row],[Affected Feeder ]],'Basic Data'!$A:$A,'Basic Data'!$E:$E),"")</f>
        <v>2.2727272727272728E-2</v>
      </c>
      <c r="K12" s="296" t="s">
        <v>171</v>
      </c>
      <c r="L12" s="297">
        <v>0.67499999999999993</v>
      </c>
      <c r="M12" s="297">
        <v>0.67499999999999993</v>
      </c>
      <c r="N12" s="297">
        <v>0.68888888888888899</v>
      </c>
      <c r="O12" s="19">
        <f>(Table6[[#This Row],[Work Start TimeStamp]]-Table6[[#This Row],[Fault Start TimeStamp]])*24</f>
        <v>0</v>
      </c>
      <c r="P12" s="19">
        <f>(Table6[[#This Row],[Fault Clearance time]]-Table6[[#This Row],[Fault Start TimeStamp]])*24</f>
        <v>0.33333333333333748</v>
      </c>
      <c r="Q12" s="19">
        <f>(Table6[[#This Row],[Fault Clearance time]]-Table6[[#This Row],[Fault Start TimeStamp]])*24</f>
        <v>0.33333333333333748</v>
      </c>
      <c r="R12" s="79" t="s">
        <v>353</v>
      </c>
      <c r="S12" s="79" t="s">
        <v>339</v>
      </c>
      <c r="T12" s="298">
        <f>IFERROR(Table6[[#This Row],[Breakdown Time]]*Table6[[#This Row],[Plant Equivalent Weightage]],"")</f>
        <v>7.5757575757576705E-3</v>
      </c>
      <c r="U12" s="79" t="s">
        <v>411</v>
      </c>
      <c r="W12" s="79">
        <v>27</v>
      </c>
    </row>
    <row r="13" spans="1:26">
      <c r="A13" s="79">
        <f t="shared" si="0"/>
        <v>12</v>
      </c>
      <c r="B13" s="79">
        <f>YEAR(Table6[[#This Row],[Date]])+IF(MONTH(Table6[[#This Row],[Date]])&gt;=4,1,0)</f>
        <v>2025</v>
      </c>
      <c r="C13" s="79">
        <f>YEAR(Table6[[#This Row],[Date]])</f>
        <v>2025</v>
      </c>
      <c r="D13" s="79" t="s">
        <v>335</v>
      </c>
      <c r="E13" s="284">
        <f>Table6[[#This Row],[Date]]-DAY(Table6[[#This Row],[Date]])+1</f>
        <v>45717</v>
      </c>
      <c r="F13" s="285">
        <v>45745</v>
      </c>
      <c r="G13" s="79" t="s">
        <v>104</v>
      </c>
      <c r="H13" s="79" t="str">
        <f>IFERROR(_xlfn.XLOOKUP(Table6[[#This Row],[Affected Feeder ]],'Basic Data'!$A:$A,'Basic Data'!$B:$B),"")</f>
        <v>PWEPL</v>
      </c>
      <c r="I13" s="79" t="str">
        <f>IFERROR(_xlfn.XLOOKUP(Table6[[#This Row],[Affected Feeder ]],'Basic Data'!$A:$A,'Basic Data'!$C:$C),"")</f>
        <v>MSEDCL</v>
      </c>
      <c r="J13" s="295">
        <f>IFERROR(_xlfn.XLOOKUP(Table6[[#This Row],[Affected Feeder ]],'Basic Data'!$A:$A,'Basic Data'!$E:$E),"")</f>
        <v>2.2727272727272728E-2</v>
      </c>
      <c r="K13" s="296" t="s">
        <v>171</v>
      </c>
      <c r="L13" s="297">
        <v>0.67499999999999993</v>
      </c>
      <c r="M13" s="297">
        <v>0.67499999999999993</v>
      </c>
      <c r="N13" s="297">
        <v>0.68888888888888899</v>
      </c>
      <c r="O13" s="19">
        <f>(Table6[[#This Row],[Work Start TimeStamp]]-Table6[[#This Row],[Fault Start TimeStamp]])*24</f>
        <v>0</v>
      </c>
      <c r="P13" s="19">
        <f>(Table6[[#This Row],[Fault Clearance time]]-Table6[[#This Row],[Fault Start TimeStamp]])*24</f>
        <v>0.33333333333333748</v>
      </c>
      <c r="Q13" s="19">
        <f>(Table6[[#This Row],[Fault Clearance time]]-Table6[[#This Row],[Fault Start TimeStamp]])*24</f>
        <v>0.33333333333333748</v>
      </c>
      <c r="R13" s="79" t="s">
        <v>353</v>
      </c>
      <c r="S13" s="79" t="s">
        <v>339</v>
      </c>
      <c r="T13" s="298">
        <f>IFERROR(Table6[[#This Row],[Breakdown Time]]*Table6[[#This Row],[Plant Equivalent Weightage]],"")</f>
        <v>7.5757575757576705E-3</v>
      </c>
      <c r="U13" s="79" t="s">
        <v>411</v>
      </c>
      <c r="W13" s="79">
        <v>27</v>
      </c>
    </row>
    <row r="14" spans="1:26">
      <c r="A14" s="79">
        <f t="shared" si="0"/>
        <v>13</v>
      </c>
      <c r="B14" s="79">
        <f>YEAR(Table6[[#This Row],[Date]])+IF(MONTH(Table6[[#This Row],[Date]])&gt;=4,1,0)</f>
        <v>2025</v>
      </c>
      <c r="C14" s="79">
        <f>YEAR(Table6[[#This Row],[Date]])</f>
        <v>2025</v>
      </c>
      <c r="D14" s="79" t="s">
        <v>335</v>
      </c>
      <c r="E14" s="284">
        <f>Table6[[#This Row],[Date]]-DAY(Table6[[#This Row],[Date]])+1</f>
        <v>45717</v>
      </c>
      <c r="F14" s="285">
        <v>45745</v>
      </c>
      <c r="G14" s="79" t="s">
        <v>110</v>
      </c>
      <c r="H14" s="79" t="str">
        <f>IFERROR(_xlfn.XLOOKUP(Table6[[#This Row],[Affected Feeder ]],'Basic Data'!$A:$A,'Basic Data'!$B:$B),"")</f>
        <v>PWEPL</v>
      </c>
      <c r="I14" s="79" t="str">
        <f>IFERROR(_xlfn.XLOOKUP(Table6[[#This Row],[Affected Feeder ]],'Basic Data'!$A:$A,'Basic Data'!$C:$C),"")</f>
        <v>MSEDCL</v>
      </c>
      <c r="J14" s="295">
        <f>IFERROR(_xlfn.XLOOKUP(Table6[[#This Row],[Affected Feeder ]],'Basic Data'!$A:$A,'Basic Data'!$E:$E),"")</f>
        <v>2.2727272727272728E-2</v>
      </c>
      <c r="K14" s="296" t="s">
        <v>171</v>
      </c>
      <c r="L14" s="297">
        <v>0.67499999999999993</v>
      </c>
      <c r="M14" s="297">
        <v>0.67499999999999993</v>
      </c>
      <c r="N14" s="297">
        <v>0.68888888888888899</v>
      </c>
      <c r="O14" s="19">
        <f>(Table6[[#This Row],[Work Start TimeStamp]]-Table6[[#This Row],[Fault Start TimeStamp]])*24</f>
        <v>0</v>
      </c>
      <c r="P14" s="19">
        <f>(Table6[[#This Row],[Fault Clearance time]]-Table6[[#This Row],[Fault Start TimeStamp]])*24</f>
        <v>0.33333333333333748</v>
      </c>
      <c r="Q14" s="19">
        <f>(Table6[[#This Row],[Fault Clearance time]]-Table6[[#This Row],[Fault Start TimeStamp]])*24</f>
        <v>0.33333333333333748</v>
      </c>
      <c r="R14" s="79" t="s">
        <v>353</v>
      </c>
      <c r="S14" s="79" t="s">
        <v>339</v>
      </c>
      <c r="T14" s="298">
        <f>IFERROR(Table6[[#This Row],[Breakdown Time]]*Table6[[#This Row],[Plant Equivalent Weightage]],"")</f>
        <v>7.5757575757576705E-3</v>
      </c>
      <c r="U14" s="79" t="s">
        <v>411</v>
      </c>
      <c r="W14" s="79">
        <v>27</v>
      </c>
    </row>
    <row r="15" spans="1:26">
      <c r="A15" s="79">
        <f t="shared" si="0"/>
        <v>14</v>
      </c>
      <c r="B15" s="79">
        <f>YEAR(Table6[[#This Row],[Date]])+IF(MONTH(Table6[[#This Row],[Date]])&gt;=4,1,0)</f>
        <v>2025</v>
      </c>
      <c r="C15" s="79">
        <f>YEAR(Table6[[#This Row],[Date]])</f>
        <v>2025</v>
      </c>
      <c r="D15" s="79" t="s">
        <v>335</v>
      </c>
      <c r="E15" s="284">
        <f>Table6[[#This Row],[Date]]-DAY(Table6[[#This Row],[Date]])+1</f>
        <v>45717</v>
      </c>
      <c r="F15" s="285">
        <v>45746</v>
      </c>
      <c r="G15" s="79" t="s">
        <v>83</v>
      </c>
      <c r="H15" s="79" t="str">
        <f>IFERROR(_xlfn.XLOOKUP(Table6[[#This Row],[Affected Feeder ]],'Basic Data'!$A:$A,'Basic Data'!$B:$B),"")</f>
        <v>PWEPL</v>
      </c>
      <c r="I15" s="79" t="str">
        <f>IFERROR(_xlfn.XLOOKUP(Table6[[#This Row],[Affected Feeder ]],'Basic Data'!$A:$A,'Basic Data'!$C:$C),"")</f>
        <v>MSEDCL</v>
      </c>
      <c r="J15" s="295">
        <f>IFERROR(_xlfn.XLOOKUP(Table6[[#This Row],[Affected Feeder ]],'Basic Data'!$A:$A,'Basic Data'!$E:$E),"")</f>
        <v>2.2727272727272728E-2</v>
      </c>
      <c r="K15" s="296" t="s">
        <v>412</v>
      </c>
      <c r="L15" s="297">
        <v>0.43194444444444446</v>
      </c>
      <c r="M15" s="297">
        <v>0.43194444444444446</v>
      </c>
      <c r="N15" s="297">
        <v>0.5708333333333333</v>
      </c>
      <c r="O15" s="19">
        <f>(Table6[[#This Row],[Work Start TimeStamp]]-Table6[[#This Row],[Fault Start TimeStamp]])*24</f>
        <v>0</v>
      </c>
      <c r="P15" s="19">
        <f>(Table6[[#This Row],[Fault Clearance time]]-Table6[[#This Row],[Fault Start TimeStamp]])*24</f>
        <v>3.3333333333333321</v>
      </c>
      <c r="Q15" s="19">
        <f>(Table6[[#This Row],[Fault Clearance time]]-Table6[[#This Row],[Fault Start TimeStamp]])*24</f>
        <v>3.3333333333333321</v>
      </c>
      <c r="R15" s="79" t="s">
        <v>413</v>
      </c>
      <c r="S15" s="79" t="s">
        <v>339</v>
      </c>
      <c r="T15" s="298">
        <f>IFERROR(Table6[[#This Row],[Breakdown Time]]*Table6[[#This Row],[Plant Equivalent Weightage]],"")</f>
        <v>7.5757575757575732E-2</v>
      </c>
      <c r="U15" s="79" t="s">
        <v>411</v>
      </c>
      <c r="W15" s="79">
        <v>175</v>
      </c>
    </row>
    <row r="16" spans="1:26">
      <c r="A16" s="79">
        <f t="shared" si="0"/>
        <v>15</v>
      </c>
      <c r="B16" s="79">
        <f>YEAR(Table6[[#This Row],[Date]])+IF(MONTH(Table6[[#This Row],[Date]])&gt;=4,1,0)</f>
        <v>2025</v>
      </c>
      <c r="C16" s="79">
        <f>YEAR(Table6[[#This Row],[Date]])</f>
        <v>2025</v>
      </c>
      <c r="D16" s="79" t="s">
        <v>335</v>
      </c>
      <c r="E16" s="284">
        <f>Table6[[#This Row],[Date]]-DAY(Table6[[#This Row],[Date]])+1</f>
        <v>45717</v>
      </c>
      <c r="F16" s="285">
        <v>45746</v>
      </c>
      <c r="G16" s="79" t="s">
        <v>83</v>
      </c>
      <c r="H16" s="79" t="str">
        <f>IFERROR(_xlfn.XLOOKUP(Table6[[#This Row],[Affected Feeder ]],'Basic Data'!$A:$A,'Basic Data'!$B:$B),"")</f>
        <v>PWEPL</v>
      </c>
      <c r="I16" s="79" t="str">
        <f>IFERROR(_xlfn.XLOOKUP(Table6[[#This Row],[Affected Feeder ]],'Basic Data'!$A:$A,'Basic Data'!$C:$C),"")</f>
        <v>MSEDCL</v>
      </c>
      <c r="J16" s="295">
        <f>IFERROR(_xlfn.XLOOKUP(Table6[[#This Row],[Affected Feeder ]],'Basic Data'!$A:$A,'Basic Data'!$E:$E),"")</f>
        <v>2.2727272727272728E-2</v>
      </c>
      <c r="K16" s="296" t="s">
        <v>171</v>
      </c>
      <c r="L16" s="297">
        <v>0.5708333333333333</v>
      </c>
      <c r="M16" s="297">
        <v>0.5708333333333333</v>
      </c>
      <c r="N16" s="297">
        <v>0.58472222222222225</v>
      </c>
      <c r="O16" s="19">
        <f>(Table6[[#This Row],[Work Start TimeStamp]]-Table6[[#This Row],[Fault Start TimeStamp]])*24</f>
        <v>0</v>
      </c>
      <c r="P16" s="19">
        <f>(Table6[[#This Row],[Fault Clearance time]]-Table6[[#This Row],[Fault Start TimeStamp]])*24</f>
        <v>0.33333333333333481</v>
      </c>
      <c r="Q16" s="19">
        <f>(Table6[[#This Row],[Fault Clearance time]]-Table6[[#This Row],[Fault Start TimeStamp]])*24</f>
        <v>0.33333333333333481</v>
      </c>
      <c r="R16" s="79" t="s">
        <v>353</v>
      </c>
      <c r="S16" s="79" t="s">
        <v>339</v>
      </c>
      <c r="T16" s="298">
        <f>IFERROR(Table6[[#This Row],[Breakdown Time]]*Table6[[#This Row],[Plant Equivalent Weightage]],"")</f>
        <v>7.5757575757576098E-3</v>
      </c>
      <c r="U16" s="79" t="s">
        <v>411</v>
      </c>
      <c r="W16" s="79">
        <v>17</v>
      </c>
    </row>
    <row r="17" spans="1:23">
      <c r="A17" s="79">
        <f t="shared" si="0"/>
        <v>16</v>
      </c>
      <c r="B17" s="79">
        <f>YEAR(Table6[[#This Row],[Date]])+IF(MONTH(Table6[[#This Row],[Date]])&gt;=4,1,0)</f>
        <v>2025</v>
      </c>
      <c r="C17" s="79">
        <f>YEAR(Table6[[#This Row],[Date]])</f>
        <v>2025</v>
      </c>
      <c r="D17" s="79" t="s">
        <v>335</v>
      </c>
      <c r="E17" s="284">
        <f>Table6[[#This Row],[Date]]-DAY(Table6[[#This Row],[Date]])+1</f>
        <v>45717</v>
      </c>
      <c r="F17" s="285">
        <v>45746</v>
      </c>
      <c r="G17" s="79" t="s">
        <v>98</v>
      </c>
      <c r="H17" s="79" t="str">
        <f>IFERROR(_xlfn.XLOOKUP(Table6[[#This Row],[Affected Feeder ]],'Basic Data'!$A:$A,'Basic Data'!$B:$B),"")</f>
        <v>PWEPL</v>
      </c>
      <c r="I17" s="79" t="str">
        <f>IFERROR(_xlfn.XLOOKUP(Table6[[#This Row],[Affected Feeder ]],'Basic Data'!$A:$A,'Basic Data'!$C:$C),"")</f>
        <v>MSEDCL</v>
      </c>
      <c r="J17" s="295">
        <f>IFERROR(_xlfn.XLOOKUP(Table6[[#This Row],[Affected Feeder ]],'Basic Data'!$A:$A,'Basic Data'!$E:$E),"")</f>
        <v>2.2727272727272728E-2</v>
      </c>
      <c r="K17" s="296" t="s">
        <v>412</v>
      </c>
      <c r="L17" s="297">
        <v>0.43194444444444446</v>
      </c>
      <c r="M17" s="297">
        <v>0.43194444444444446</v>
      </c>
      <c r="N17" s="297">
        <v>0.5708333333333333</v>
      </c>
      <c r="O17" s="19">
        <f>(Table6[[#This Row],[Work Start TimeStamp]]-Table6[[#This Row],[Fault Start TimeStamp]])*24</f>
        <v>0</v>
      </c>
      <c r="P17" s="19">
        <f>(Table6[[#This Row],[Fault Clearance time]]-Table6[[#This Row],[Fault Start TimeStamp]])*24</f>
        <v>3.3333333333333321</v>
      </c>
      <c r="Q17" s="19">
        <f>(Table6[[#This Row],[Fault Clearance time]]-Table6[[#This Row],[Fault Start TimeStamp]])*24</f>
        <v>3.3333333333333321</v>
      </c>
      <c r="R17" s="79" t="s">
        <v>413</v>
      </c>
      <c r="S17" s="79" t="s">
        <v>339</v>
      </c>
      <c r="T17" s="298">
        <f>IFERROR(Table6[[#This Row],[Breakdown Time]]*Table6[[#This Row],[Plant Equivalent Weightage]],"")</f>
        <v>7.5757575757575732E-2</v>
      </c>
      <c r="U17" s="79" t="s">
        <v>411</v>
      </c>
      <c r="W17" s="79">
        <v>175</v>
      </c>
    </row>
    <row r="18" spans="1:23">
      <c r="A18" s="79">
        <f t="shared" si="0"/>
        <v>17</v>
      </c>
      <c r="B18" s="79">
        <f>YEAR(Table6[[#This Row],[Date]])+IF(MONTH(Table6[[#This Row],[Date]])&gt;=4,1,0)</f>
        <v>2025</v>
      </c>
      <c r="C18" s="79">
        <f>YEAR(Table6[[#This Row],[Date]])</f>
        <v>2025</v>
      </c>
      <c r="D18" s="79" t="s">
        <v>335</v>
      </c>
      <c r="E18" s="284">
        <f>Table6[[#This Row],[Date]]-DAY(Table6[[#This Row],[Date]])+1</f>
        <v>45717</v>
      </c>
      <c r="F18" s="285">
        <v>45746</v>
      </c>
      <c r="G18" s="79" t="s">
        <v>98</v>
      </c>
      <c r="H18" s="79" t="str">
        <f>IFERROR(_xlfn.XLOOKUP(Table6[[#This Row],[Affected Feeder ]],'Basic Data'!$A:$A,'Basic Data'!$B:$B),"")</f>
        <v>PWEPL</v>
      </c>
      <c r="I18" s="79" t="str">
        <f>IFERROR(_xlfn.XLOOKUP(Table6[[#This Row],[Affected Feeder ]],'Basic Data'!$A:$A,'Basic Data'!$C:$C),"")</f>
        <v>MSEDCL</v>
      </c>
      <c r="J18" s="295">
        <f>IFERROR(_xlfn.XLOOKUP(Table6[[#This Row],[Affected Feeder ]],'Basic Data'!$A:$A,'Basic Data'!$E:$E),"")</f>
        <v>2.2727272727272728E-2</v>
      </c>
      <c r="K18" s="296" t="s">
        <v>171</v>
      </c>
      <c r="L18" s="297">
        <v>0.5708333333333333</v>
      </c>
      <c r="M18" s="297">
        <v>0.5708333333333333</v>
      </c>
      <c r="N18" s="297">
        <v>0.58472222222222225</v>
      </c>
      <c r="O18" s="19">
        <f>(Table6[[#This Row],[Work Start TimeStamp]]-Table6[[#This Row],[Fault Start TimeStamp]])*24</f>
        <v>0</v>
      </c>
      <c r="P18" s="19">
        <f>(Table6[[#This Row],[Fault Clearance time]]-Table6[[#This Row],[Fault Start TimeStamp]])*24</f>
        <v>0.33333333333333481</v>
      </c>
      <c r="Q18" s="19">
        <f>(Table6[[#This Row],[Fault Clearance time]]-Table6[[#This Row],[Fault Start TimeStamp]])*24</f>
        <v>0.33333333333333481</v>
      </c>
      <c r="R18" s="79" t="s">
        <v>353</v>
      </c>
      <c r="S18" s="79" t="s">
        <v>339</v>
      </c>
      <c r="T18" s="298">
        <f>IFERROR(Table6[[#This Row],[Breakdown Time]]*Table6[[#This Row],[Plant Equivalent Weightage]],"")</f>
        <v>7.5757575757576098E-3</v>
      </c>
      <c r="U18" s="79" t="s">
        <v>411</v>
      </c>
      <c r="W18" s="79">
        <v>17</v>
      </c>
    </row>
    <row r="19" spans="1:23">
      <c r="A19" s="79">
        <f t="shared" si="0"/>
        <v>18</v>
      </c>
      <c r="B19" s="79">
        <f>YEAR(Table6[[#This Row],[Date]])+IF(MONTH(Table6[[#This Row],[Date]])&gt;=4,1,0)</f>
        <v>2025</v>
      </c>
      <c r="C19" s="79">
        <f>YEAR(Table6[[#This Row],[Date]])</f>
        <v>2025</v>
      </c>
      <c r="D19" s="79" t="s">
        <v>335</v>
      </c>
      <c r="E19" s="284">
        <f>Table6[[#This Row],[Date]]-DAY(Table6[[#This Row],[Date]])+1</f>
        <v>45717</v>
      </c>
      <c r="F19" s="285">
        <v>45746</v>
      </c>
      <c r="G19" s="79" t="s">
        <v>99</v>
      </c>
      <c r="H19" s="79" t="str">
        <f>IFERROR(_xlfn.XLOOKUP(Table6[[#This Row],[Affected Feeder ]],'Basic Data'!$A:$A,'Basic Data'!$B:$B),"")</f>
        <v>PWEPL</v>
      </c>
      <c r="I19" s="79" t="str">
        <f>IFERROR(_xlfn.XLOOKUP(Table6[[#This Row],[Affected Feeder ]],'Basic Data'!$A:$A,'Basic Data'!$C:$C),"")</f>
        <v>MSEDCL</v>
      </c>
      <c r="J19" s="295">
        <f>IFERROR(_xlfn.XLOOKUP(Table6[[#This Row],[Affected Feeder ]],'Basic Data'!$A:$A,'Basic Data'!$E:$E),"")</f>
        <v>2.2727272727272728E-2</v>
      </c>
      <c r="K19" s="296" t="s">
        <v>412</v>
      </c>
      <c r="L19" s="297">
        <v>0.43194444444444446</v>
      </c>
      <c r="M19" s="297">
        <v>0.43194444444444446</v>
      </c>
      <c r="N19" s="297">
        <v>0.5708333333333333</v>
      </c>
      <c r="O19" s="19">
        <f>(Table6[[#This Row],[Work Start TimeStamp]]-Table6[[#This Row],[Fault Start TimeStamp]])*24</f>
        <v>0</v>
      </c>
      <c r="P19" s="19">
        <f>(Table6[[#This Row],[Fault Clearance time]]-Table6[[#This Row],[Fault Start TimeStamp]])*24</f>
        <v>3.3333333333333321</v>
      </c>
      <c r="Q19" s="19">
        <f>(Table6[[#This Row],[Fault Clearance time]]-Table6[[#This Row],[Fault Start TimeStamp]])*24</f>
        <v>3.3333333333333321</v>
      </c>
      <c r="R19" s="79" t="s">
        <v>413</v>
      </c>
      <c r="S19" s="79" t="s">
        <v>339</v>
      </c>
      <c r="T19" s="298">
        <f>IFERROR(Table6[[#This Row],[Breakdown Time]]*Table6[[#This Row],[Plant Equivalent Weightage]],"")</f>
        <v>7.5757575757575732E-2</v>
      </c>
      <c r="U19" s="79" t="s">
        <v>411</v>
      </c>
      <c r="W19" s="79">
        <v>175</v>
      </c>
    </row>
    <row r="20" spans="1:23">
      <c r="A20" s="79">
        <f t="shared" si="0"/>
        <v>19</v>
      </c>
      <c r="B20" s="79">
        <f>YEAR(Table6[[#This Row],[Date]])+IF(MONTH(Table6[[#This Row],[Date]])&gt;=4,1,0)</f>
        <v>2025</v>
      </c>
      <c r="C20" s="79">
        <f>YEAR(Table6[[#This Row],[Date]])</f>
        <v>2025</v>
      </c>
      <c r="D20" s="79" t="s">
        <v>335</v>
      </c>
      <c r="E20" s="284">
        <f>Table6[[#This Row],[Date]]-DAY(Table6[[#This Row],[Date]])+1</f>
        <v>45717</v>
      </c>
      <c r="F20" s="285">
        <v>45746</v>
      </c>
      <c r="G20" s="79" t="s">
        <v>99</v>
      </c>
      <c r="H20" s="79" t="str">
        <f>IFERROR(_xlfn.XLOOKUP(Table6[[#This Row],[Affected Feeder ]],'Basic Data'!$A:$A,'Basic Data'!$B:$B),"")</f>
        <v>PWEPL</v>
      </c>
      <c r="I20" s="79" t="str">
        <f>IFERROR(_xlfn.XLOOKUP(Table6[[#This Row],[Affected Feeder ]],'Basic Data'!$A:$A,'Basic Data'!$C:$C),"")</f>
        <v>MSEDCL</v>
      </c>
      <c r="J20" s="295">
        <f>IFERROR(_xlfn.XLOOKUP(Table6[[#This Row],[Affected Feeder ]],'Basic Data'!$A:$A,'Basic Data'!$E:$E),"")</f>
        <v>2.2727272727272728E-2</v>
      </c>
      <c r="K20" s="296" t="s">
        <v>171</v>
      </c>
      <c r="L20" s="297">
        <v>0.5708333333333333</v>
      </c>
      <c r="M20" s="297">
        <v>0.5708333333333333</v>
      </c>
      <c r="N20" s="297">
        <v>0.58472222222222225</v>
      </c>
      <c r="O20" s="19">
        <f>(Table6[[#This Row],[Work Start TimeStamp]]-Table6[[#This Row],[Fault Start TimeStamp]])*24</f>
        <v>0</v>
      </c>
      <c r="P20" s="19">
        <f>(Table6[[#This Row],[Fault Clearance time]]-Table6[[#This Row],[Fault Start TimeStamp]])*24</f>
        <v>0.33333333333333481</v>
      </c>
      <c r="Q20" s="19">
        <f>(Table6[[#This Row],[Fault Clearance time]]-Table6[[#This Row],[Fault Start TimeStamp]])*24</f>
        <v>0.33333333333333481</v>
      </c>
      <c r="R20" s="79" t="s">
        <v>353</v>
      </c>
      <c r="S20" s="79" t="s">
        <v>339</v>
      </c>
      <c r="T20" s="298">
        <f>IFERROR(Table6[[#This Row],[Breakdown Time]]*Table6[[#This Row],[Plant Equivalent Weightage]],"")</f>
        <v>7.5757575757576098E-3</v>
      </c>
      <c r="U20" s="79" t="s">
        <v>411</v>
      </c>
      <c r="W20" s="79">
        <v>17</v>
      </c>
    </row>
    <row r="21" spans="1:23">
      <c r="A21" s="79">
        <f t="shared" si="0"/>
        <v>20</v>
      </c>
      <c r="B21" s="79">
        <f>YEAR(Table6[[#This Row],[Date]])+IF(MONTH(Table6[[#This Row],[Date]])&gt;=4,1,0)</f>
        <v>2025</v>
      </c>
      <c r="C21" s="79">
        <f>YEAR(Table6[[#This Row],[Date]])</f>
        <v>2025</v>
      </c>
      <c r="D21" s="79" t="s">
        <v>335</v>
      </c>
      <c r="E21" s="284">
        <f>Table6[[#This Row],[Date]]-DAY(Table6[[#This Row],[Date]])+1</f>
        <v>45717</v>
      </c>
      <c r="F21" s="285">
        <v>45746</v>
      </c>
      <c r="G21" s="79" t="s">
        <v>100</v>
      </c>
      <c r="H21" s="79" t="str">
        <f>IFERROR(_xlfn.XLOOKUP(Table6[[#This Row],[Affected Feeder ]],'Basic Data'!$A:$A,'Basic Data'!$B:$B),"")</f>
        <v>PWEPL</v>
      </c>
      <c r="I21" s="79" t="str">
        <f>IFERROR(_xlfn.XLOOKUP(Table6[[#This Row],[Affected Feeder ]],'Basic Data'!$A:$A,'Basic Data'!$C:$C),"")</f>
        <v>MSEDCL</v>
      </c>
      <c r="J21" s="295">
        <f>IFERROR(_xlfn.XLOOKUP(Table6[[#This Row],[Affected Feeder ]],'Basic Data'!$A:$A,'Basic Data'!$E:$E),"")</f>
        <v>2.2727272727272728E-2</v>
      </c>
      <c r="K21" s="296" t="s">
        <v>412</v>
      </c>
      <c r="L21" s="297">
        <v>0.43194444444444446</v>
      </c>
      <c r="M21" s="297">
        <v>0.43194444444444446</v>
      </c>
      <c r="N21" s="297">
        <v>0.5708333333333333</v>
      </c>
      <c r="O21" s="19">
        <f>(Table6[[#This Row],[Work Start TimeStamp]]-Table6[[#This Row],[Fault Start TimeStamp]])*24</f>
        <v>0</v>
      </c>
      <c r="P21" s="19">
        <f>(Table6[[#This Row],[Fault Clearance time]]-Table6[[#This Row],[Fault Start TimeStamp]])*24</f>
        <v>3.3333333333333321</v>
      </c>
      <c r="Q21" s="19">
        <f>(Table6[[#This Row],[Fault Clearance time]]-Table6[[#This Row],[Fault Start TimeStamp]])*24</f>
        <v>3.3333333333333321</v>
      </c>
      <c r="R21" s="79" t="s">
        <v>413</v>
      </c>
      <c r="S21" s="79" t="s">
        <v>339</v>
      </c>
      <c r="T21" s="298">
        <f>IFERROR(Table6[[#This Row],[Breakdown Time]]*Table6[[#This Row],[Plant Equivalent Weightage]],"")</f>
        <v>7.5757575757575732E-2</v>
      </c>
      <c r="U21" s="79" t="s">
        <v>411</v>
      </c>
      <c r="W21" s="79">
        <v>175</v>
      </c>
    </row>
    <row r="22" spans="1:23">
      <c r="A22" s="79">
        <f t="shared" si="0"/>
        <v>21</v>
      </c>
      <c r="B22" s="79">
        <f>YEAR(Table6[[#This Row],[Date]])+IF(MONTH(Table6[[#This Row],[Date]])&gt;=4,1,0)</f>
        <v>2025</v>
      </c>
      <c r="C22" s="79">
        <f>YEAR(Table6[[#This Row],[Date]])</f>
        <v>2025</v>
      </c>
      <c r="D22" s="79" t="s">
        <v>335</v>
      </c>
      <c r="E22" s="284">
        <f>Table6[[#This Row],[Date]]-DAY(Table6[[#This Row],[Date]])+1</f>
        <v>45717</v>
      </c>
      <c r="F22" s="285">
        <v>45746</v>
      </c>
      <c r="G22" s="79" t="s">
        <v>100</v>
      </c>
      <c r="H22" s="79" t="str">
        <f>IFERROR(_xlfn.XLOOKUP(Table6[[#This Row],[Affected Feeder ]],'Basic Data'!$A:$A,'Basic Data'!$B:$B),"")</f>
        <v>PWEPL</v>
      </c>
      <c r="I22" s="79" t="str">
        <f>IFERROR(_xlfn.XLOOKUP(Table6[[#This Row],[Affected Feeder ]],'Basic Data'!$A:$A,'Basic Data'!$C:$C),"")</f>
        <v>MSEDCL</v>
      </c>
      <c r="J22" s="295">
        <f>IFERROR(_xlfn.XLOOKUP(Table6[[#This Row],[Affected Feeder ]],'Basic Data'!$A:$A,'Basic Data'!$E:$E),"")</f>
        <v>2.2727272727272728E-2</v>
      </c>
      <c r="K22" s="296" t="s">
        <v>171</v>
      </c>
      <c r="L22" s="297">
        <v>0.5708333333333333</v>
      </c>
      <c r="M22" s="297">
        <v>0.5708333333333333</v>
      </c>
      <c r="N22" s="297">
        <v>0.58472222222222225</v>
      </c>
      <c r="O22" s="19">
        <f>(Table6[[#This Row],[Work Start TimeStamp]]-Table6[[#This Row],[Fault Start TimeStamp]])*24</f>
        <v>0</v>
      </c>
      <c r="P22" s="19">
        <f>(Table6[[#This Row],[Fault Clearance time]]-Table6[[#This Row],[Fault Start TimeStamp]])*24</f>
        <v>0.33333333333333481</v>
      </c>
      <c r="Q22" s="19">
        <f>(Table6[[#This Row],[Fault Clearance time]]-Table6[[#This Row],[Fault Start TimeStamp]])*24</f>
        <v>0.33333333333333481</v>
      </c>
      <c r="R22" s="79" t="s">
        <v>353</v>
      </c>
      <c r="S22" s="79" t="s">
        <v>339</v>
      </c>
      <c r="T22" s="298">
        <f>IFERROR(Table6[[#This Row],[Breakdown Time]]*Table6[[#This Row],[Plant Equivalent Weightage]],"")</f>
        <v>7.5757575757576098E-3</v>
      </c>
      <c r="U22" s="79" t="s">
        <v>411</v>
      </c>
      <c r="W22" s="79">
        <v>17</v>
      </c>
    </row>
    <row r="23" spans="1:23">
      <c r="A23" s="79">
        <f t="shared" si="0"/>
        <v>22</v>
      </c>
      <c r="B23" s="79">
        <f>YEAR(Table6[[#This Row],[Date]])+IF(MONTH(Table6[[#This Row],[Date]])&gt;=4,1,0)</f>
        <v>2025</v>
      </c>
      <c r="C23" s="79">
        <f>YEAR(Table6[[#This Row],[Date]])</f>
        <v>2025</v>
      </c>
      <c r="D23" s="79" t="s">
        <v>335</v>
      </c>
      <c r="E23" s="284">
        <f>Table6[[#This Row],[Date]]-DAY(Table6[[#This Row],[Date]])+1</f>
        <v>45717</v>
      </c>
      <c r="F23" s="285">
        <v>45746</v>
      </c>
      <c r="G23" s="79" t="s">
        <v>101</v>
      </c>
      <c r="H23" s="79" t="str">
        <f>IFERROR(_xlfn.XLOOKUP(Table6[[#This Row],[Affected Feeder ]],'Basic Data'!$A:$A,'Basic Data'!$B:$B),"")</f>
        <v>PWEPL</v>
      </c>
      <c r="I23" s="79" t="str">
        <f>IFERROR(_xlfn.XLOOKUP(Table6[[#This Row],[Affected Feeder ]],'Basic Data'!$A:$A,'Basic Data'!$C:$C),"")</f>
        <v>MSEDCL</v>
      </c>
      <c r="J23" s="295">
        <f>IFERROR(_xlfn.XLOOKUP(Table6[[#This Row],[Affected Feeder ]],'Basic Data'!$A:$A,'Basic Data'!$E:$E),"")</f>
        <v>2.2727272727272728E-2</v>
      </c>
      <c r="K23" s="296" t="s">
        <v>412</v>
      </c>
      <c r="L23" s="297">
        <v>0.43194444444444446</v>
      </c>
      <c r="M23" s="297">
        <v>0.43194444444444446</v>
      </c>
      <c r="N23" s="297">
        <v>0.5708333333333333</v>
      </c>
      <c r="O23" s="19">
        <f>(Table6[[#This Row],[Work Start TimeStamp]]-Table6[[#This Row],[Fault Start TimeStamp]])*24</f>
        <v>0</v>
      </c>
      <c r="P23" s="19">
        <f>(Table6[[#This Row],[Fault Clearance time]]-Table6[[#This Row],[Fault Start TimeStamp]])*24</f>
        <v>3.3333333333333321</v>
      </c>
      <c r="Q23" s="19">
        <f>(Table6[[#This Row],[Fault Clearance time]]-Table6[[#This Row],[Fault Start TimeStamp]])*24</f>
        <v>3.3333333333333321</v>
      </c>
      <c r="R23" s="79" t="s">
        <v>413</v>
      </c>
      <c r="S23" s="79" t="s">
        <v>339</v>
      </c>
      <c r="T23" s="298">
        <f>IFERROR(Table6[[#This Row],[Breakdown Time]]*Table6[[#This Row],[Plant Equivalent Weightage]],"")</f>
        <v>7.5757575757575732E-2</v>
      </c>
      <c r="U23" s="79" t="s">
        <v>411</v>
      </c>
      <c r="W23" s="79">
        <v>175</v>
      </c>
    </row>
    <row r="24" spans="1:23">
      <c r="A24" s="79">
        <f t="shared" si="0"/>
        <v>23</v>
      </c>
      <c r="B24" s="79">
        <f>YEAR(Table6[[#This Row],[Date]])+IF(MONTH(Table6[[#This Row],[Date]])&gt;=4,1,0)</f>
        <v>2025</v>
      </c>
      <c r="C24" s="79">
        <f>YEAR(Table6[[#This Row],[Date]])</f>
        <v>2025</v>
      </c>
      <c r="D24" s="79" t="s">
        <v>335</v>
      </c>
      <c r="E24" s="284">
        <f>Table6[[#This Row],[Date]]-DAY(Table6[[#This Row],[Date]])+1</f>
        <v>45717</v>
      </c>
      <c r="F24" s="285">
        <v>45746</v>
      </c>
      <c r="G24" s="79" t="s">
        <v>101</v>
      </c>
      <c r="H24" s="79" t="str">
        <f>IFERROR(_xlfn.XLOOKUP(Table6[[#This Row],[Affected Feeder ]],'Basic Data'!$A:$A,'Basic Data'!$B:$B),"")</f>
        <v>PWEPL</v>
      </c>
      <c r="I24" s="79" t="str">
        <f>IFERROR(_xlfn.XLOOKUP(Table6[[#This Row],[Affected Feeder ]],'Basic Data'!$A:$A,'Basic Data'!$C:$C),"")</f>
        <v>MSEDCL</v>
      </c>
      <c r="J24" s="295">
        <f>IFERROR(_xlfn.XLOOKUP(Table6[[#This Row],[Affected Feeder ]],'Basic Data'!$A:$A,'Basic Data'!$E:$E),"")</f>
        <v>2.2727272727272728E-2</v>
      </c>
      <c r="K24" s="296" t="s">
        <v>171</v>
      </c>
      <c r="L24" s="297">
        <v>0.5708333333333333</v>
      </c>
      <c r="M24" s="297">
        <v>0.5708333333333333</v>
      </c>
      <c r="N24" s="297">
        <v>0.58472222222222225</v>
      </c>
      <c r="O24" s="19">
        <f>(Table6[[#This Row],[Work Start TimeStamp]]-Table6[[#This Row],[Fault Start TimeStamp]])*24</f>
        <v>0</v>
      </c>
      <c r="P24" s="19">
        <f>(Table6[[#This Row],[Fault Clearance time]]-Table6[[#This Row],[Fault Start TimeStamp]])*24</f>
        <v>0.33333333333333481</v>
      </c>
      <c r="Q24" s="19">
        <f>(Table6[[#This Row],[Fault Clearance time]]-Table6[[#This Row],[Fault Start TimeStamp]])*24</f>
        <v>0.33333333333333481</v>
      </c>
      <c r="R24" s="79" t="s">
        <v>353</v>
      </c>
      <c r="S24" s="79" t="s">
        <v>339</v>
      </c>
      <c r="T24" s="298">
        <f>IFERROR(Table6[[#This Row],[Breakdown Time]]*Table6[[#This Row],[Plant Equivalent Weightage]],"")</f>
        <v>7.5757575757576098E-3</v>
      </c>
      <c r="U24" s="79" t="s">
        <v>411</v>
      </c>
      <c r="W24" s="79">
        <v>17</v>
      </c>
    </row>
    <row r="25" spans="1:23">
      <c r="A25" s="79">
        <f t="shared" si="0"/>
        <v>24</v>
      </c>
      <c r="B25" s="79">
        <f>YEAR(Table6[[#This Row],[Date]])+IF(MONTH(Table6[[#This Row],[Date]])&gt;=4,1,0)</f>
        <v>2025</v>
      </c>
      <c r="C25" s="79">
        <f>YEAR(Table6[[#This Row],[Date]])</f>
        <v>2025</v>
      </c>
      <c r="D25" s="79" t="s">
        <v>335</v>
      </c>
      <c r="E25" s="284">
        <f>Table6[[#This Row],[Date]]-DAY(Table6[[#This Row],[Date]])+1</f>
        <v>45717</v>
      </c>
      <c r="F25" s="285">
        <v>45747</v>
      </c>
      <c r="G25" s="79" t="s">
        <v>79</v>
      </c>
      <c r="H25" s="79" t="str">
        <f>IFERROR(_xlfn.XLOOKUP(Table6[[#This Row],[Affected Feeder ]],'Basic Data'!$A:$A,'Basic Data'!$B:$B),"")</f>
        <v>PWEPL</v>
      </c>
      <c r="I25" s="79" t="str">
        <f>IFERROR(_xlfn.XLOOKUP(Table6[[#This Row],[Affected Feeder ]],'Basic Data'!$A:$A,'Basic Data'!$C:$C),"")</f>
        <v>MSEDCL</v>
      </c>
      <c r="J25" s="295">
        <f>IFERROR(_xlfn.XLOOKUP(Table6[[#This Row],[Affected Feeder ]],'Basic Data'!$A:$A,'Basic Data'!$E:$E),"")</f>
        <v>2.2727272727272728E-2</v>
      </c>
      <c r="K25" s="296" t="s">
        <v>414</v>
      </c>
      <c r="L25" s="297">
        <v>0.46527777777777773</v>
      </c>
      <c r="M25" s="297">
        <v>0.46527777777777773</v>
      </c>
      <c r="N25" s="297">
        <v>0.82847222222222217</v>
      </c>
      <c r="O25" s="19">
        <f>(Table6[[#This Row],[Work Start TimeStamp]]-Table6[[#This Row],[Fault Start TimeStamp]])*24</f>
        <v>0</v>
      </c>
      <c r="P25" s="19">
        <f>(Table6[[#This Row],[Fault Clearance time]]-Table6[[#This Row],[Fault Start TimeStamp]])*24</f>
        <v>8.7166666666666668</v>
      </c>
      <c r="Q25" s="19">
        <f>(Table6[[#This Row],[Fault Clearance time]]-Table6[[#This Row],[Fault Start TimeStamp]])*24</f>
        <v>8.7166666666666668</v>
      </c>
      <c r="R25" s="79" t="s">
        <v>415</v>
      </c>
      <c r="S25" s="79" t="s">
        <v>339</v>
      </c>
      <c r="T25" s="298">
        <f>IFERROR(Table6[[#This Row],[Breakdown Time]]*Table6[[#This Row],[Plant Equivalent Weightage]],"")</f>
        <v>0.19810606060606062</v>
      </c>
      <c r="U25" s="79" t="s">
        <v>416</v>
      </c>
      <c r="W25" s="79">
        <v>724</v>
      </c>
    </row>
    <row r="26" spans="1:23">
      <c r="A26" s="79">
        <f t="shared" si="0"/>
        <v>25</v>
      </c>
      <c r="B26" s="79">
        <f>YEAR(Table6[[#This Row],[Date]])+IF(MONTH(Table6[[#This Row],[Date]])&gt;=4,1,0)</f>
        <v>2025</v>
      </c>
      <c r="C26" s="79">
        <f>YEAR(Table6[[#This Row],[Date]])</f>
        <v>2025</v>
      </c>
      <c r="D26" s="79" t="s">
        <v>335</v>
      </c>
      <c r="E26" s="284">
        <f>Table6[[#This Row],[Date]]-DAY(Table6[[#This Row],[Date]])+1</f>
        <v>45717</v>
      </c>
      <c r="F26" s="285">
        <v>45747</v>
      </c>
      <c r="G26" s="79" t="s">
        <v>79</v>
      </c>
      <c r="H26" s="79" t="str">
        <f>IFERROR(_xlfn.XLOOKUP(Table6[[#This Row],[Affected Feeder ]],'Basic Data'!$A:$A,'Basic Data'!$B:$B),"")</f>
        <v>PWEPL</v>
      </c>
      <c r="I26" s="79" t="str">
        <f>IFERROR(_xlfn.XLOOKUP(Table6[[#This Row],[Affected Feeder ]],'Basic Data'!$A:$A,'Basic Data'!$C:$C),"")</f>
        <v>MSEDCL</v>
      </c>
      <c r="J26" s="295">
        <f>IFERROR(_xlfn.XLOOKUP(Table6[[#This Row],[Affected Feeder ]],'Basic Data'!$A:$A,'Basic Data'!$E:$E),"")</f>
        <v>2.2727272727272728E-2</v>
      </c>
      <c r="K26" s="296" t="s">
        <v>171</v>
      </c>
      <c r="L26" s="297">
        <v>0.82847222222222217</v>
      </c>
      <c r="M26" s="297">
        <v>0.82847222222222217</v>
      </c>
      <c r="N26" s="297">
        <v>0.84236111111111101</v>
      </c>
      <c r="O26" s="19">
        <f>(Table6[[#This Row],[Work Start TimeStamp]]-Table6[[#This Row],[Fault Start TimeStamp]])*24</f>
        <v>0</v>
      </c>
      <c r="P26" s="19">
        <f>(Table6[[#This Row],[Fault Clearance time]]-Table6[[#This Row],[Fault Start TimeStamp]])*24</f>
        <v>0.33333333333333215</v>
      </c>
      <c r="Q26" s="19">
        <f>(Table6[[#This Row],[Fault Clearance time]]-Table6[[#This Row],[Fault Start TimeStamp]])*24</f>
        <v>0.33333333333333215</v>
      </c>
      <c r="R26" s="79" t="s">
        <v>353</v>
      </c>
      <c r="S26" s="79" t="s">
        <v>339</v>
      </c>
      <c r="T26" s="298">
        <f>IFERROR(Table6[[#This Row],[Breakdown Time]]*Table6[[#This Row],[Plant Equivalent Weightage]],"")</f>
        <v>7.5757575757575491E-3</v>
      </c>
      <c r="U26" s="79" t="s">
        <v>416</v>
      </c>
      <c r="W26" s="79">
        <v>28</v>
      </c>
    </row>
    <row r="27" spans="1:23">
      <c r="A27" s="79">
        <f t="shared" si="0"/>
        <v>26</v>
      </c>
      <c r="B27" s="79">
        <f>YEAR(Table6[[#This Row],[Date]])+IF(MONTH(Table6[[#This Row],[Date]])&gt;=4,1,0)</f>
        <v>2025</v>
      </c>
      <c r="C27" s="79">
        <f>YEAR(Table6[[#This Row],[Date]])</f>
        <v>2025</v>
      </c>
      <c r="D27" s="79" t="s">
        <v>335</v>
      </c>
      <c r="E27" s="284">
        <f>Table6[[#This Row],[Date]]-DAY(Table6[[#This Row],[Date]])+1</f>
        <v>45717</v>
      </c>
      <c r="F27" s="285">
        <v>45747</v>
      </c>
      <c r="G27" s="79" t="s">
        <v>96</v>
      </c>
      <c r="H27" s="79" t="str">
        <f>IFERROR(_xlfn.XLOOKUP(Table6[[#This Row],[Affected Feeder ]],'Basic Data'!$A:$A,'Basic Data'!$B:$B),"")</f>
        <v>PWEPL</v>
      </c>
      <c r="I27" s="79" t="str">
        <f>IFERROR(_xlfn.XLOOKUP(Table6[[#This Row],[Affected Feeder ]],'Basic Data'!$A:$A,'Basic Data'!$C:$C),"")</f>
        <v>MSEDCL</v>
      </c>
      <c r="J27" s="295">
        <f>IFERROR(_xlfn.XLOOKUP(Table6[[#This Row],[Affected Feeder ]],'Basic Data'!$A:$A,'Basic Data'!$E:$E),"")</f>
        <v>2.2727272727272728E-2</v>
      </c>
      <c r="K27" s="296" t="s">
        <v>414</v>
      </c>
      <c r="L27" s="297">
        <v>0.46527777777777773</v>
      </c>
      <c r="M27" s="297">
        <v>0.46527777777777773</v>
      </c>
      <c r="N27" s="297">
        <v>0.82847222222222217</v>
      </c>
      <c r="O27" s="19">
        <f>(Table6[[#This Row],[Work Start TimeStamp]]-Table6[[#This Row],[Fault Start TimeStamp]])*24</f>
        <v>0</v>
      </c>
      <c r="P27" s="19">
        <f>(Table6[[#This Row],[Fault Clearance time]]-Table6[[#This Row],[Fault Start TimeStamp]])*24</f>
        <v>8.7166666666666668</v>
      </c>
      <c r="Q27" s="19">
        <f>(Table6[[#This Row],[Fault Clearance time]]-Table6[[#This Row],[Fault Start TimeStamp]])*24</f>
        <v>8.7166666666666668</v>
      </c>
      <c r="R27" s="79" t="s">
        <v>415</v>
      </c>
      <c r="S27" s="79" t="s">
        <v>339</v>
      </c>
      <c r="T27" s="298">
        <f>IFERROR(Table6[[#This Row],[Breakdown Time]]*Table6[[#This Row],[Plant Equivalent Weightage]],"")</f>
        <v>0.19810606060606062</v>
      </c>
      <c r="U27" s="79" t="s">
        <v>416</v>
      </c>
      <c r="W27" s="79">
        <v>724</v>
      </c>
    </row>
    <row r="28" spans="1:23">
      <c r="A28" s="79">
        <f t="shared" si="0"/>
        <v>27</v>
      </c>
      <c r="B28" s="79">
        <f>YEAR(Table6[[#This Row],[Date]])+IF(MONTH(Table6[[#This Row],[Date]])&gt;=4,1,0)</f>
        <v>2025</v>
      </c>
      <c r="C28" s="79">
        <f>YEAR(Table6[[#This Row],[Date]])</f>
        <v>2025</v>
      </c>
      <c r="D28" s="79" t="s">
        <v>335</v>
      </c>
      <c r="E28" s="284">
        <f>Table6[[#This Row],[Date]]-DAY(Table6[[#This Row],[Date]])+1</f>
        <v>45717</v>
      </c>
      <c r="F28" s="285">
        <v>45747</v>
      </c>
      <c r="G28" s="79" t="s">
        <v>96</v>
      </c>
      <c r="H28" s="79" t="str">
        <f>IFERROR(_xlfn.XLOOKUP(Table6[[#This Row],[Affected Feeder ]],'Basic Data'!$A:$A,'Basic Data'!$B:$B),"")</f>
        <v>PWEPL</v>
      </c>
      <c r="I28" s="79" t="str">
        <f>IFERROR(_xlfn.XLOOKUP(Table6[[#This Row],[Affected Feeder ]],'Basic Data'!$A:$A,'Basic Data'!$C:$C),"")</f>
        <v>MSEDCL</v>
      </c>
      <c r="J28" s="295">
        <f>IFERROR(_xlfn.XLOOKUP(Table6[[#This Row],[Affected Feeder ]],'Basic Data'!$A:$A,'Basic Data'!$E:$E),"")</f>
        <v>2.2727272727272728E-2</v>
      </c>
      <c r="K28" s="296" t="s">
        <v>171</v>
      </c>
      <c r="L28" s="297">
        <v>0.82847222222222217</v>
      </c>
      <c r="M28" s="297">
        <v>0.82847222222222217</v>
      </c>
      <c r="N28" s="297">
        <v>0.84236111111111101</v>
      </c>
      <c r="O28" s="19">
        <f>(Table6[[#This Row],[Work Start TimeStamp]]-Table6[[#This Row],[Fault Start TimeStamp]])*24</f>
        <v>0</v>
      </c>
      <c r="P28" s="19">
        <f>(Table6[[#This Row],[Fault Clearance time]]-Table6[[#This Row],[Fault Start TimeStamp]])*24</f>
        <v>0.33333333333333215</v>
      </c>
      <c r="Q28" s="19">
        <f>(Table6[[#This Row],[Fault Clearance time]]-Table6[[#This Row],[Fault Start TimeStamp]])*24</f>
        <v>0.33333333333333215</v>
      </c>
      <c r="R28" s="79" t="s">
        <v>353</v>
      </c>
      <c r="S28" s="79" t="s">
        <v>339</v>
      </c>
      <c r="T28" s="298">
        <f>IFERROR(Table6[[#This Row],[Breakdown Time]]*Table6[[#This Row],[Plant Equivalent Weightage]],"")</f>
        <v>7.5757575757575491E-3</v>
      </c>
      <c r="U28" s="79" t="s">
        <v>416</v>
      </c>
      <c r="W28" s="79">
        <v>28</v>
      </c>
    </row>
    <row r="29" spans="1:23">
      <c r="A29" s="79">
        <f t="shared" si="0"/>
        <v>28</v>
      </c>
      <c r="B29" s="79">
        <f>YEAR(Table6[[#This Row],[Date]])+IF(MONTH(Table6[[#This Row],[Date]])&gt;=4,1,0)</f>
        <v>2025</v>
      </c>
      <c r="C29" s="79">
        <f>YEAR(Table6[[#This Row],[Date]])</f>
        <v>2025</v>
      </c>
      <c r="D29" s="79" t="s">
        <v>335</v>
      </c>
      <c r="E29" s="284">
        <f>Table6[[#This Row],[Date]]-DAY(Table6[[#This Row],[Date]])+1</f>
        <v>45717</v>
      </c>
      <c r="F29" s="285">
        <v>45747</v>
      </c>
      <c r="G29" s="79" t="s">
        <v>97</v>
      </c>
      <c r="H29" s="79" t="str">
        <f>IFERROR(_xlfn.XLOOKUP(Table6[[#This Row],[Affected Feeder ]],'Basic Data'!$A:$A,'Basic Data'!$B:$B),"")</f>
        <v>PWEPL</v>
      </c>
      <c r="I29" s="79" t="str">
        <f>IFERROR(_xlfn.XLOOKUP(Table6[[#This Row],[Affected Feeder ]],'Basic Data'!$A:$A,'Basic Data'!$C:$C),"")</f>
        <v>MSEDCL</v>
      </c>
      <c r="J29" s="295">
        <f>IFERROR(_xlfn.XLOOKUP(Table6[[#This Row],[Affected Feeder ]],'Basic Data'!$A:$A,'Basic Data'!$E:$E),"")</f>
        <v>2.2727272727272728E-2</v>
      </c>
      <c r="K29" s="296" t="s">
        <v>414</v>
      </c>
      <c r="L29" s="297">
        <v>0.46527777777777773</v>
      </c>
      <c r="M29" s="297">
        <v>0.46527777777777773</v>
      </c>
      <c r="N29" s="297">
        <v>0.82847222222222217</v>
      </c>
      <c r="O29" s="19">
        <f>(Table6[[#This Row],[Work Start TimeStamp]]-Table6[[#This Row],[Fault Start TimeStamp]])*24</f>
        <v>0</v>
      </c>
      <c r="P29" s="19">
        <f>(Table6[[#This Row],[Fault Clearance time]]-Table6[[#This Row],[Fault Start TimeStamp]])*24</f>
        <v>8.7166666666666668</v>
      </c>
      <c r="Q29" s="19">
        <f>(Table6[[#This Row],[Fault Clearance time]]-Table6[[#This Row],[Fault Start TimeStamp]])*24</f>
        <v>8.7166666666666668</v>
      </c>
      <c r="R29" s="79" t="s">
        <v>415</v>
      </c>
      <c r="S29" s="79" t="s">
        <v>339</v>
      </c>
      <c r="T29" s="298">
        <f>IFERROR(Table6[[#This Row],[Breakdown Time]]*Table6[[#This Row],[Plant Equivalent Weightage]],"")</f>
        <v>0.19810606060606062</v>
      </c>
      <c r="U29" s="79" t="s">
        <v>416</v>
      </c>
      <c r="W29" s="79">
        <v>724</v>
      </c>
    </row>
    <row r="30" spans="1:23">
      <c r="A30" s="79">
        <f t="shared" si="0"/>
        <v>29</v>
      </c>
      <c r="B30" s="79">
        <f>YEAR(Table6[[#This Row],[Date]])+IF(MONTH(Table6[[#This Row],[Date]])&gt;=4,1,0)</f>
        <v>2025</v>
      </c>
      <c r="C30" s="79">
        <f>YEAR(Table6[[#This Row],[Date]])</f>
        <v>2025</v>
      </c>
      <c r="D30" s="79" t="s">
        <v>335</v>
      </c>
      <c r="E30" s="284">
        <f>Table6[[#This Row],[Date]]-DAY(Table6[[#This Row],[Date]])+1</f>
        <v>45717</v>
      </c>
      <c r="F30" s="285">
        <v>45747</v>
      </c>
      <c r="G30" s="79" t="s">
        <v>97</v>
      </c>
      <c r="H30" s="79" t="str">
        <f>IFERROR(_xlfn.XLOOKUP(Table6[[#This Row],[Affected Feeder ]],'Basic Data'!$A:$A,'Basic Data'!$B:$B),"")</f>
        <v>PWEPL</v>
      </c>
      <c r="I30" s="79" t="str">
        <f>IFERROR(_xlfn.XLOOKUP(Table6[[#This Row],[Affected Feeder ]],'Basic Data'!$A:$A,'Basic Data'!$C:$C),"")</f>
        <v>MSEDCL</v>
      </c>
      <c r="J30" s="295">
        <f>IFERROR(_xlfn.XLOOKUP(Table6[[#This Row],[Affected Feeder ]],'Basic Data'!$A:$A,'Basic Data'!$E:$E),"")</f>
        <v>2.2727272727272728E-2</v>
      </c>
      <c r="K30" s="296" t="s">
        <v>171</v>
      </c>
      <c r="L30" s="297">
        <v>0.82847222222222217</v>
      </c>
      <c r="M30" s="297">
        <v>0.82847222222222217</v>
      </c>
      <c r="N30" s="297">
        <v>0.84236111111111101</v>
      </c>
      <c r="O30" s="19">
        <f>(Table6[[#This Row],[Work Start TimeStamp]]-Table6[[#This Row],[Fault Start TimeStamp]])*24</f>
        <v>0</v>
      </c>
      <c r="P30" s="19">
        <f>(Table6[[#This Row],[Fault Clearance time]]-Table6[[#This Row],[Fault Start TimeStamp]])*24</f>
        <v>0.33333333333333215</v>
      </c>
      <c r="Q30" s="19">
        <f>(Table6[[#This Row],[Fault Clearance time]]-Table6[[#This Row],[Fault Start TimeStamp]])*24</f>
        <v>0.33333333333333215</v>
      </c>
      <c r="R30" s="79" t="s">
        <v>353</v>
      </c>
      <c r="S30" s="79" t="s">
        <v>339</v>
      </c>
      <c r="T30" s="298">
        <f>IFERROR(Table6[[#This Row],[Breakdown Time]]*Table6[[#This Row],[Plant Equivalent Weightage]],"")</f>
        <v>7.5757575757575491E-3</v>
      </c>
      <c r="U30" s="79" t="s">
        <v>416</v>
      </c>
      <c r="W30" s="79">
        <v>28</v>
      </c>
    </row>
    <row r="31" spans="1:23">
      <c r="A31" s="79">
        <f t="shared" si="0"/>
        <v>30</v>
      </c>
      <c r="B31" s="79">
        <f>YEAR(Table6[[#This Row],[Date]])+IF(MONTH(Table6[[#This Row],[Date]])&gt;=4,1,0)</f>
        <v>2025</v>
      </c>
      <c r="C31" s="79">
        <f>YEAR(Table6[[#This Row],[Date]])</f>
        <v>2025</v>
      </c>
      <c r="D31" s="79" t="s">
        <v>335</v>
      </c>
      <c r="E31" s="284">
        <f>Table6[[#This Row],[Date]]-DAY(Table6[[#This Row],[Date]])+1</f>
        <v>45717</v>
      </c>
      <c r="F31" s="285">
        <v>45747</v>
      </c>
      <c r="G31" s="79" t="s">
        <v>104</v>
      </c>
      <c r="H31" s="79" t="str">
        <f>IFERROR(_xlfn.XLOOKUP(Table6[[#This Row],[Affected Feeder ]],'Basic Data'!$A:$A,'Basic Data'!$B:$B),"")</f>
        <v>PWEPL</v>
      </c>
      <c r="I31" s="79" t="str">
        <f>IFERROR(_xlfn.XLOOKUP(Table6[[#This Row],[Affected Feeder ]],'Basic Data'!$A:$A,'Basic Data'!$C:$C),"")</f>
        <v>MSEDCL</v>
      </c>
      <c r="J31" s="295">
        <f>IFERROR(_xlfn.XLOOKUP(Table6[[#This Row],[Affected Feeder ]],'Basic Data'!$A:$A,'Basic Data'!$E:$E),"")</f>
        <v>2.2727272727272728E-2</v>
      </c>
      <c r="K31" s="296" t="s">
        <v>414</v>
      </c>
      <c r="L31" s="297">
        <v>0.46527777777777773</v>
      </c>
      <c r="M31" s="297">
        <v>0.46527777777777773</v>
      </c>
      <c r="N31" s="297">
        <v>0.82847222222222217</v>
      </c>
      <c r="O31" s="19">
        <f>(Table6[[#This Row],[Work Start TimeStamp]]-Table6[[#This Row],[Fault Start TimeStamp]])*24</f>
        <v>0</v>
      </c>
      <c r="P31" s="19">
        <f>(Table6[[#This Row],[Fault Clearance time]]-Table6[[#This Row],[Fault Start TimeStamp]])*24</f>
        <v>8.7166666666666668</v>
      </c>
      <c r="Q31" s="19">
        <f>(Table6[[#This Row],[Fault Clearance time]]-Table6[[#This Row],[Fault Start TimeStamp]])*24</f>
        <v>8.7166666666666668</v>
      </c>
      <c r="R31" s="79" t="s">
        <v>415</v>
      </c>
      <c r="S31" s="79" t="s">
        <v>339</v>
      </c>
      <c r="T31" s="298">
        <f>IFERROR(Table6[[#This Row],[Breakdown Time]]*Table6[[#This Row],[Plant Equivalent Weightage]],"")</f>
        <v>0.19810606060606062</v>
      </c>
      <c r="U31" s="79" t="s">
        <v>416</v>
      </c>
      <c r="W31" s="79">
        <v>724</v>
      </c>
    </row>
    <row r="32" spans="1:23">
      <c r="A32" s="79">
        <f t="shared" si="0"/>
        <v>31</v>
      </c>
      <c r="B32" s="79">
        <f>YEAR(Table6[[#This Row],[Date]])+IF(MONTH(Table6[[#This Row],[Date]])&gt;=4,1,0)</f>
        <v>2025</v>
      </c>
      <c r="C32" s="79">
        <f>YEAR(Table6[[#This Row],[Date]])</f>
        <v>2025</v>
      </c>
      <c r="D32" s="79" t="s">
        <v>335</v>
      </c>
      <c r="E32" s="284">
        <f>Table6[[#This Row],[Date]]-DAY(Table6[[#This Row],[Date]])+1</f>
        <v>45717</v>
      </c>
      <c r="F32" s="285">
        <v>45747</v>
      </c>
      <c r="G32" s="79" t="s">
        <v>104</v>
      </c>
      <c r="H32" s="79" t="str">
        <f>IFERROR(_xlfn.XLOOKUP(Table6[[#This Row],[Affected Feeder ]],'Basic Data'!$A:$A,'Basic Data'!$B:$B),"")</f>
        <v>PWEPL</v>
      </c>
      <c r="I32" s="79" t="str">
        <f>IFERROR(_xlfn.XLOOKUP(Table6[[#This Row],[Affected Feeder ]],'Basic Data'!$A:$A,'Basic Data'!$C:$C),"")</f>
        <v>MSEDCL</v>
      </c>
      <c r="J32" s="295">
        <f>IFERROR(_xlfn.XLOOKUP(Table6[[#This Row],[Affected Feeder ]],'Basic Data'!$A:$A,'Basic Data'!$E:$E),"")</f>
        <v>2.2727272727272728E-2</v>
      </c>
      <c r="K32" s="296" t="s">
        <v>171</v>
      </c>
      <c r="L32" s="297">
        <v>0.82847222222222217</v>
      </c>
      <c r="M32" s="297">
        <v>0.82847222222222217</v>
      </c>
      <c r="N32" s="297">
        <v>0.84236111111111101</v>
      </c>
      <c r="O32" s="19">
        <f>(Table6[[#This Row],[Work Start TimeStamp]]-Table6[[#This Row],[Fault Start TimeStamp]])*24</f>
        <v>0</v>
      </c>
      <c r="P32" s="19">
        <f>(Table6[[#This Row],[Fault Clearance time]]-Table6[[#This Row],[Fault Start TimeStamp]])*24</f>
        <v>0.33333333333333215</v>
      </c>
      <c r="Q32" s="19">
        <f>(Table6[[#This Row],[Fault Clearance time]]-Table6[[#This Row],[Fault Start TimeStamp]])*24</f>
        <v>0.33333333333333215</v>
      </c>
      <c r="R32" s="79" t="s">
        <v>353</v>
      </c>
      <c r="S32" s="79" t="s">
        <v>339</v>
      </c>
      <c r="T32" s="298">
        <f>IFERROR(Table6[[#This Row],[Breakdown Time]]*Table6[[#This Row],[Plant Equivalent Weightage]],"")</f>
        <v>7.5757575757575491E-3</v>
      </c>
      <c r="U32" s="79" t="s">
        <v>416</v>
      </c>
      <c r="W32" s="79">
        <v>28</v>
      </c>
    </row>
    <row r="33" spans="1:23">
      <c r="A33" s="79">
        <f t="shared" si="0"/>
        <v>32</v>
      </c>
      <c r="B33" s="79">
        <f>YEAR(Table6[[#This Row],[Date]])+IF(MONTH(Table6[[#This Row],[Date]])&gt;=4,1,0)</f>
        <v>2025</v>
      </c>
      <c r="C33" s="79">
        <f>YEAR(Table6[[#This Row],[Date]])</f>
        <v>2025</v>
      </c>
      <c r="D33" s="79" t="s">
        <v>335</v>
      </c>
      <c r="E33" s="284">
        <f>Table6[[#This Row],[Date]]-DAY(Table6[[#This Row],[Date]])+1</f>
        <v>45717</v>
      </c>
      <c r="F33" s="285">
        <v>45747</v>
      </c>
      <c r="G33" s="79" t="s">
        <v>110</v>
      </c>
      <c r="H33" s="79" t="str">
        <f>IFERROR(_xlfn.XLOOKUP(Table6[[#This Row],[Affected Feeder ]],'Basic Data'!$A:$A,'Basic Data'!$B:$B),"")</f>
        <v>PWEPL</v>
      </c>
      <c r="I33" s="79" t="str">
        <f>IFERROR(_xlfn.XLOOKUP(Table6[[#This Row],[Affected Feeder ]],'Basic Data'!$A:$A,'Basic Data'!$C:$C),"")</f>
        <v>MSEDCL</v>
      </c>
      <c r="J33" s="295">
        <f>IFERROR(_xlfn.XLOOKUP(Table6[[#This Row],[Affected Feeder ]],'Basic Data'!$A:$A,'Basic Data'!$E:$E),"")</f>
        <v>2.2727272727272728E-2</v>
      </c>
      <c r="K33" s="296" t="s">
        <v>414</v>
      </c>
      <c r="L33" s="297">
        <v>0.46527777777777773</v>
      </c>
      <c r="M33" s="297">
        <v>0.46527777777777773</v>
      </c>
      <c r="N33" s="297">
        <v>0.82847222222222217</v>
      </c>
      <c r="O33" s="19">
        <f>(Table6[[#This Row],[Work Start TimeStamp]]-Table6[[#This Row],[Fault Start TimeStamp]])*24</f>
        <v>0</v>
      </c>
      <c r="P33" s="19">
        <f>(Table6[[#This Row],[Fault Clearance time]]-Table6[[#This Row],[Fault Start TimeStamp]])*24</f>
        <v>8.7166666666666668</v>
      </c>
      <c r="Q33" s="19">
        <f>(Table6[[#This Row],[Fault Clearance time]]-Table6[[#This Row],[Fault Start TimeStamp]])*24</f>
        <v>8.7166666666666668</v>
      </c>
      <c r="R33" s="79" t="s">
        <v>415</v>
      </c>
      <c r="S33" s="79" t="s">
        <v>339</v>
      </c>
      <c r="T33" s="298">
        <f>IFERROR(Table6[[#This Row],[Breakdown Time]]*Table6[[#This Row],[Plant Equivalent Weightage]],"")</f>
        <v>0.19810606060606062</v>
      </c>
      <c r="U33" s="79" t="s">
        <v>416</v>
      </c>
      <c r="W33" s="79">
        <v>724</v>
      </c>
    </row>
    <row r="34" spans="1:23">
      <c r="A34" s="79">
        <f t="shared" si="0"/>
        <v>33</v>
      </c>
      <c r="B34" s="79">
        <f>YEAR(Table6[[#This Row],[Date]])+IF(MONTH(Table6[[#This Row],[Date]])&gt;=4,1,0)</f>
        <v>2025</v>
      </c>
      <c r="C34" s="79">
        <f>YEAR(Table6[[#This Row],[Date]])</f>
        <v>2025</v>
      </c>
      <c r="D34" s="79" t="s">
        <v>335</v>
      </c>
      <c r="E34" s="284">
        <f>Table6[[#This Row],[Date]]-DAY(Table6[[#This Row],[Date]])+1</f>
        <v>45717</v>
      </c>
      <c r="F34" s="285">
        <v>45747</v>
      </c>
      <c r="G34" s="79" t="s">
        <v>110</v>
      </c>
      <c r="H34" s="79" t="str">
        <f>IFERROR(_xlfn.XLOOKUP(Table6[[#This Row],[Affected Feeder ]],'Basic Data'!$A:$A,'Basic Data'!$B:$B),"")</f>
        <v>PWEPL</v>
      </c>
      <c r="I34" s="79" t="str">
        <f>IFERROR(_xlfn.XLOOKUP(Table6[[#This Row],[Affected Feeder ]],'Basic Data'!$A:$A,'Basic Data'!$C:$C),"")</f>
        <v>MSEDCL</v>
      </c>
      <c r="J34" s="295">
        <f>IFERROR(_xlfn.XLOOKUP(Table6[[#This Row],[Affected Feeder ]],'Basic Data'!$A:$A,'Basic Data'!$E:$E),"")</f>
        <v>2.2727272727272728E-2</v>
      </c>
      <c r="K34" s="296" t="s">
        <v>171</v>
      </c>
      <c r="L34" s="297">
        <v>0.82847222222222217</v>
      </c>
      <c r="M34" s="297">
        <v>0.82847222222222217</v>
      </c>
      <c r="N34" s="297">
        <v>0.84236111111111101</v>
      </c>
      <c r="O34" s="19">
        <f>(Table6[[#This Row],[Work Start TimeStamp]]-Table6[[#This Row],[Fault Start TimeStamp]])*24</f>
        <v>0</v>
      </c>
      <c r="P34" s="19">
        <f>(Table6[[#This Row],[Fault Clearance time]]-Table6[[#This Row],[Fault Start TimeStamp]])*24</f>
        <v>0.33333333333333215</v>
      </c>
      <c r="Q34" s="19">
        <f>(Table6[[#This Row],[Fault Clearance time]]-Table6[[#This Row],[Fault Start TimeStamp]])*24</f>
        <v>0.33333333333333215</v>
      </c>
      <c r="R34" s="79" t="s">
        <v>353</v>
      </c>
      <c r="S34" s="79" t="s">
        <v>339</v>
      </c>
      <c r="T34" s="298">
        <f>IFERROR(Table6[[#This Row],[Breakdown Time]]*Table6[[#This Row],[Plant Equivalent Weightage]],"")</f>
        <v>7.5757575757575491E-3</v>
      </c>
      <c r="U34" s="79" t="s">
        <v>416</v>
      </c>
      <c r="W34" s="79">
        <v>28</v>
      </c>
    </row>
    <row r="35" spans="1:23">
      <c r="A35" s="79">
        <f t="shared" si="0"/>
        <v>34</v>
      </c>
      <c r="B35" s="79">
        <f>YEAR(Table6[[#This Row],[Date]])+IF(MONTH(Table6[[#This Row],[Date]])&gt;=4,1,0)</f>
        <v>2025</v>
      </c>
      <c r="C35" s="79">
        <f>YEAR(Table6[[#This Row],[Date]])</f>
        <v>2025</v>
      </c>
      <c r="D35" s="79" t="s">
        <v>335</v>
      </c>
      <c r="E35" s="284">
        <f>Table6[[#This Row],[Date]]-DAY(Table6[[#This Row],[Date]])+1</f>
        <v>45717</v>
      </c>
      <c r="F35" s="285">
        <v>45747</v>
      </c>
      <c r="G35" s="79" t="s">
        <v>103</v>
      </c>
      <c r="H35" s="79" t="str">
        <f>IFERROR(_xlfn.XLOOKUP(Table6[[#This Row],[Affected Feeder ]],'Basic Data'!$A:$A,'Basic Data'!$B:$B),"")</f>
        <v>PWEPL</v>
      </c>
      <c r="I35" s="79" t="str">
        <f>IFERROR(_xlfn.XLOOKUP(Table6[[#This Row],[Affected Feeder ]],'Basic Data'!$A:$A,'Basic Data'!$C:$C),"")</f>
        <v>MSEDCL</v>
      </c>
      <c r="J35" s="295">
        <f>IFERROR(_xlfn.XLOOKUP(Table6[[#This Row],[Affected Feeder ]],'Basic Data'!$A:$A,'Basic Data'!$E:$E),"")</f>
        <v>2.2727272727272728E-2</v>
      </c>
      <c r="K35" s="296" t="s">
        <v>417</v>
      </c>
      <c r="L35" s="297">
        <v>0.75</v>
      </c>
      <c r="M35" s="297">
        <v>0.75</v>
      </c>
      <c r="N35" s="297">
        <v>0.76111111111111107</v>
      </c>
      <c r="O35" s="19">
        <f>(Table6[[#This Row],[Work Start TimeStamp]]-Table6[[#This Row],[Fault Start TimeStamp]])*24</f>
        <v>0</v>
      </c>
      <c r="P35" s="19">
        <f>(Table6[[#This Row],[Fault Clearance time]]-Table6[[#This Row],[Fault Start TimeStamp]])*24</f>
        <v>0.26666666666666572</v>
      </c>
      <c r="Q35" s="19">
        <f>(Table6[[#This Row],[Fault Clearance time]]-Table6[[#This Row],[Fault Start TimeStamp]])*24</f>
        <v>0.26666666666666572</v>
      </c>
      <c r="R35" s="79" t="s">
        <v>418</v>
      </c>
      <c r="S35" s="79" t="s">
        <v>339</v>
      </c>
      <c r="T35" s="298">
        <f>IFERROR(Table6[[#This Row],[Breakdown Time]]*Table6[[#This Row],[Plant Equivalent Weightage]],"")</f>
        <v>6.0606060606060389E-3</v>
      </c>
      <c r="U35" s="79" t="s">
        <v>416</v>
      </c>
      <c r="W35" s="79">
        <v>0</v>
      </c>
    </row>
    <row r="36" spans="1:23">
      <c r="A36" s="79">
        <f t="shared" si="0"/>
        <v>35</v>
      </c>
      <c r="B36" s="79">
        <f>YEAR(Table6[[#This Row],[Date]])+IF(MONTH(Table6[[#This Row],[Date]])&gt;=4,1,0)</f>
        <v>2025</v>
      </c>
      <c r="C36" s="79">
        <f>YEAR(Table6[[#This Row],[Date]])</f>
        <v>2025</v>
      </c>
      <c r="D36" s="79" t="s">
        <v>335</v>
      </c>
      <c r="E36" s="284">
        <f>Table6[[#This Row],[Date]]-DAY(Table6[[#This Row],[Date]])+1</f>
        <v>45717</v>
      </c>
      <c r="F36" s="285">
        <v>45747</v>
      </c>
      <c r="G36" s="79" t="s">
        <v>103</v>
      </c>
      <c r="H36" s="79" t="str">
        <f>IFERROR(_xlfn.XLOOKUP(Table6[[#This Row],[Affected Feeder ]],'Basic Data'!$A:$A,'Basic Data'!$B:$B),"")</f>
        <v>PWEPL</v>
      </c>
      <c r="I36" s="79" t="str">
        <f>IFERROR(_xlfn.XLOOKUP(Table6[[#This Row],[Affected Feeder ]],'Basic Data'!$A:$A,'Basic Data'!$C:$C),"")</f>
        <v>MSEDCL</v>
      </c>
      <c r="J36" s="295">
        <f>IFERROR(_xlfn.XLOOKUP(Table6[[#This Row],[Affected Feeder ]],'Basic Data'!$A:$A,'Basic Data'!$E:$E),"")</f>
        <v>2.2727272727272728E-2</v>
      </c>
      <c r="K36" s="296" t="s">
        <v>171</v>
      </c>
      <c r="L36" s="297">
        <v>0.76111111111111107</v>
      </c>
      <c r="M36" s="297">
        <v>0.76111111111111107</v>
      </c>
      <c r="N36" s="297">
        <v>0.77500000000000002</v>
      </c>
      <c r="O36" s="19">
        <f>(Table6[[#This Row],[Work Start TimeStamp]]-Table6[[#This Row],[Fault Start TimeStamp]])*24</f>
        <v>0</v>
      </c>
      <c r="P36" s="19">
        <f>(Table6[[#This Row],[Fault Clearance time]]-Table6[[#This Row],[Fault Start TimeStamp]])*24</f>
        <v>0.33333333333333481</v>
      </c>
      <c r="Q36" s="19">
        <f>(Table6[[#This Row],[Fault Clearance time]]-Table6[[#This Row],[Fault Start TimeStamp]])*24</f>
        <v>0.33333333333333481</v>
      </c>
      <c r="R36" s="79" t="s">
        <v>353</v>
      </c>
      <c r="S36" s="79" t="s">
        <v>339</v>
      </c>
      <c r="T36" s="298">
        <f>IFERROR(Table6[[#This Row],[Breakdown Time]]*Table6[[#This Row],[Plant Equivalent Weightage]],"")</f>
        <v>7.5757575757576098E-3</v>
      </c>
      <c r="U36" s="79" t="s">
        <v>416</v>
      </c>
      <c r="W36" s="79">
        <v>0</v>
      </c>
    </row>
    <row r="37" spans="1:23">
      <c r="A37" s="79">
        <f t="shared" si="0"/>
        <v>36</v>
      </c>
      <c r="B37" s="79">
        <f>YEAR(Table6[[#This Row],[Date]])+IF(MONTH(Table6[[#This Row],[Date]])&gt;=4,1,0)</f>
        <v>2025</v>
      </c>
      <c r="C37" s="79">
        <f>YEAR(Table6[[#This Row],[Date]])</f>
        <v>2025</v>
      </c>
      <c r="D37" s="79" t="s">
        <v>335</v>
      </c>
      <c r="E37" s="284">
        <f>Table6[[#This Row],[Date]]-DAY(Table6[[#This Row],[Date]])+1</f>
        <v>45717</v>
      </c>
      <c r="F37" s="285">
        <v>45747</v>
      </c>
      <c r="G37" s="79" t="s">
        <v>105</v>
      </c>
      <c r="H37" s="79" t="str">
        <f>IFERROR(_xlfn.XLOOKUP(Table6[[#This Row],[Affected Feeder ]],'Basic Data'!$A:$A,'Basic Data'!$B:$B),"")</f>
        <v>PWEPL</v>
      </c>
      <c r="I37" s="79" t="str">
        <f>IFERROR(_xlfn.XLOOKUP(Table6[[#This Row],[Affected Feeder ]],'Basic Data'!$A:$A,'Basic Data'!$C:$C),"")</f>
        <v>MSEDCL</v>
      </c>
      <c r="J37" s="295">
        <f>IFERROR(_xlfn.XLOOKUP(Table6[[#This Row],[Affected Feeder ]],'Basic Data'!$A:$A,'Basic Data'!$E:$E),"")</f>
        <v>2.2727272727272728E-2</v>
      </c>
      <c r="K37" s="296" t="s">
        <v>417</v>
      </c>
      <c r="L37" s="297">
        <v>0.67708333333333337</v>
      </c>
      <c r="M37" s="297">
        <v>0.67708333333333337</v>
      </c>
      <c r="N37" s="297">
        <v>0.68402777777777779</v>
      </c>
      <c r="O37" s="19">
        <f>(Table6[[#This Row],[Work Start TimeStamp]]-Table6[[#This Row],[Fault Start TimeStamp]])*24</f>
        <v>0</v>
      </c>
      <c r="P37" s="19">
        <f>(Table6[[#This Row],[Fault Clearance time]]-Table6[[#This Row],[Fault Start TimeStamp]])*24</f>
        <v>0.16666666666666607</v>
      </c>
      <c r="Q37" s="19">
        <f>(Table6[[#This Row],[Fault Clearance time]]-Table6[[#This Row],[Fault Start TimeStamp]])*24</f>
        <v>0.16666666666666607</v>
      </c>
      <c r="R37" s="79" t="s">
        <v>418</v>
      </c>
      <c r="S37" s="79" t="s">
        <v>339</v>
      </c>
      <c r="T37" s="298">
        <f>IFERROR(Table6[[#This Row],[Breakdown Time]]*Table6[[#This Row],[Plant Equivalent Weightage]],"")</f>
        <v>3.7878787878787745E-3</v>
      </c>
      <c r="U37" s="79" t="s">
        <v>416</v>
      </c>
      <c r="W37" s="79">
        <v>16</v>
      </c>
    </row>
    <row r="38" spans="1:23">
      <c r="A38" s="79">
        <f t="shared" si="0"/>
        <v>37</v>
      </c>
      <c r="B38" s="79">
        <f>YEAR(Table6[[#This Row],[Date]])+IF(MONTH(Table6[[#This Row],[Date]])&gt;=4,1,0)</f>
        <v>2025</v>
      </c>
      <c r="C38" s="79">
        <f>YEAR(Table6[[#This Row],[Date]])</f>
        <v>2025</v>
      </c>
      <c r="D38" s="79" t="s">
        <v>335</v>
      </c>
      <c r="E38" s="284">
        <f>Table6[[#This Row],[Date]]-DAY(Table6[[#This Row],[Date]])+1</f>
        <v>45717</v>
      </c>
      <c r="F38" s="285">
        <v>45747</v>
      </c>
      <c r="G38" s="79" t="s">
        <v>105</v>
      </c>
      <c r="H38" s="79" t="str">
        <f>IFERROR(_xlfn.XLOOKUP(Table6[[#This Row],[Affected Feeder ]],'Basic Data'!$A:$A,'Basic Data'!$B:$B),"")</f>
        <v>PWEPL</v>
      </c>
      <c r="I38" s="79" t="str">
        <f>IFERROR(_xlfn.XLOOKUP(Table6[[#This Row],[Affected Feeder ]],'Basic Data'!$A:$A,'Basic Data'!$C:$C),"")</f>
        <v>MSEDCL</v>
      </c>
      <c r="J38" s="295">
        <f>IFERROR(_xlfn.XLOOKUP(Table6[[#This Row],[Affected Feeder ]],'Basic Data'!$A:$A,'Basic Data'!$E:$E),"")</f>
        <v>2.2727272727272728E-2</v>
      </c>
      <c r="K38" s="296" t="s">
        <v>171</v>
      </c>
      <c r="L38" s="297">
        <v>0.68402777777777779</v>
      </c>
      <c r="M38" s="297">
        <v>0.68402777777777779</v>
      </c>
      <c r="N38" s="297">
        <v>0.6972222222222223</v>
      </c>
      <c r="O38" s="19">
        <f>(Table6[[#This Row],[Work Start TimeStamp]]-Table6[[#This Row],[Fault Start TimeStamp]])*24</f>
        <v>0</v>
      </c>
      <c r="P38" s="19">
        <f>(Table6[[#This Row],[Fault Clearance time]]-Table6[[#This Row],[Fault Start TimeStamp]])*24</f>
        <v>0.31666666666666821</v>
      </c>
      <c r="Q38" s="19">
        <f>(Table6[[#This Row],[Fault Clearance time]]-Table6[[#This Row],[Fault Start TimeStamp]])*24</f>
        <v>0.31666666666666821</v>
      </c>
      <c r="R38" s="79" t="s">
        <v>353</v>
      </c>
      <c r="S38" s="79" t="s">
        <v>339</v>
      </c>
      <c r="T38" s="298">
        <f>IFERROR(Table6[[#This Row],[Breakdown Time]]*Table6[[#This Row],[Plant Equivalent Weightage]],"")</f>
        <v>7.196969696969732E-3</v>
      </c>
      <c r="U38" s="79" t="s">
        <v>416</v>
      </c>
      <c r="W38" s="79">
        <v>0</v>
      </c>
    </row>
    <row r="39" spans="1:23">
      <c r="A39" s="79">
        <f t="shared" si="0"/>
        <v>38</v>
      </c>
      <c r="B39" s="79">
        <f>YEAR(Table6[[#This Row],[Date]])+IF(MONTH(Table6[[#This Row],[Date]])&gt;=4,1,0)</f>
        <v>2025</v>
      </c>
      <c r="C39" s="79">
        <f>YEAR(Table6[[#This Row],[Date]])</f>
        <v>2025</v>
      </c>
      <c r="D39" s="79" t="s">
        <v>335</v>
      </c>
      <c r="E39" s="284">
        <f>Table6[[#This Row],[Date]]-DAY(Table6[[#This Row],[Date]])+1</f>
        <v>45717</v>
      </c>
      <c r="F39" s="285">
        <v>45747</v>
      </c>
      <c r="G39" s="79" t="s">
        <v>109</v>
      </c>
      <c r="H39" s="79" t="str">
        <f>IFERROR(_xlfn.XLOOKUP(Table6[[#This Row],[Affected Feeder ]],'Basic Data'!$A:$A,'Basic Data'!$B:$B),"")</f>
        <v>PWEPL</v>
      </c>
      <c r="I39" s="79" t="str">
        <f>IFERROR(_xlfn.XLOOKUP(Table6[[#This Row],[Affected Feeder ]],'Basic Data'!$A:$A,'Basic Data'!$C:$C),"")</f>
        <v>MSEDCL</v>
      </c>
      <c r="J39" s="295">
        <f>IFERROR(_xlfn.XLOOKUP(Table6[[#This Row],[Affected Feeder ]],'Basic Data'!$A:$A,'Basic Data'!$E:$E),"")</f>
        <v>2.2727272727272728E-2</v>
      </c>
      <c r="K39" s="296" t="s">
        <v>417</v>
      </c>
      <c r="L39" s="297">
        <v>0.65277777777777779</v>
      </c>
      <c r="M39" s="297">
        <v>0.65277777777777779</v>
      </c>
      <c r="N39" s="297">
        <v>0.66111111111111109</v>
      </c>
      <c r="O39" s="19">
        <f>(Table6[[#This Row],[Work Start TimeStamp]]-Table6[[#This Row],[Fault Start TimeStamp]])*24</f>
        <v>0</v>
      </c>
      <c r="P39" s="19">
        <f>(Table6[[#This Row],[Fault Clearance time]]-Table6[[#This Row],[Fault Start TimeStamp]])*24</f>
        <v>0.19999999999999929</v>
      </c>
      <c r="Q39" s="19">
        <f>(Table6[[#This Row],[Fault Clearance time]]-Table6[[#This Row],[Fault Start TimeStamp]])*24</f>
        <v>0.19999999999999929</v>
      </c>
      <c r="R39" s="79" t="s">
        <v>418</v>
      </c>
      <c r="S39" s="79" t="s">
        <v>339</v>
      </c>
      <c r="T39" s="298">
        <f>IFERROR(Table6[[#This Row],[Breakdown Time]]*Table6[[#This Row],[Plant Equivalent Weightage]],"")</f>
        <v>4.5454545454545296E-3</v>
      </c>
      <c r="U39" s="79" t="s">
        <v>416</v>
      </c>
      <c r="W39" s="79">
        <v>42</v>
      </c>
    </row>
    <row r="40" spans="1:23">
      <c r="A40" s="79">
        <f t="shared" si="0"/>
        <v>39</v>
      </c>
      <c r="B40" s="79">
        <f>YEAR(Table6[[#This Row],[Date]])+IF(MONTH(Table6[[#This Row],[Date]])&gt;=4,1,0)</f>
        <v>2025</v>
      </c>
      <c r="C40" s="79">
        <f>YEAR(Table6[[#This Row],[Date]])</f>
        <v>2025</v>
      </c>
      <c r="D40" s="79" t="s">
        <v>335</v>
      </c>
      <c r="E40" s="284">
        <f>Table6[[#This Row],[Date]]-DAY(Table6[[#This Row],[Date]])+1</f>
        <v>45717</v>
      </c>
      <c r="F40" s="285">
        <v>45747</v>
      </c>
      <c r="G40" s="79" t="s">
        <v>109</v>
      </c>
      <c r="H40" s="79" t="str">
        <f>IFERROR(_xlfn.XLOOKUP(Table6[[#This Row],[Affected Feeder ]],'Basic Data'!$A:$A,'Basic Data'!$B:$B),"")</f>
        <v>PWEPL</v>
      </c>
      <c r="I40" s="79" t="str">
        <f>IFERROR(_xlfn.XLOOKUP(Table6[[#This Row],[Affected Feeder ]],'Basic Data'!$A:$A,'Basic Data'!$C:$C),"")</f>
        <v>MSEDCL</v>
      </c>
      <c r="J40" s="295">
        <f>IFERROR(_xlfn.XLOOKUP(Table6[[#This Row],[Affected Feeder ]],'Basic Data'!$A:$A,'Basic Data'!$E:$E),"")</f>
        <v>2.2727272727272728E-2</v>
      </c>
      <c r="K40" s="296" t="s">
        <v>171</v>
      </c>
      <c r="L40" s="297">
        <v>0.66111111111111109</v>
      </c>
      <c r="M40" s="297">
        <v>0.66111111111111109</v>
      </c>
      <c r="N40" s="297">
        <v>0.66597222222222219</v>
      </c>
      <c r="O40" s="19">
        <f>(Table6[[#This Row],[Work Start TimeStamp]]-Table6[[#This Row],[Fault Start TimeStamp]])*24</f>
        <v>0</v>
      </c>
      <c r="P40" s="19">
        <f>(Table6[[#This Row],[Fault Clearance time]]-Table6[[#This Row],[Fault Start TimeStamp]])*24</f>
        <v>0.11666666666666625</v>
      </c>
      <c r="Q40" s="19">
        <f>(Table6[[#This Row],[Fault Clearance time]]-Table6[[#This Row],[Fault Start TimeStamp]])*24</f>
        <v>0.11666666666666625</v>
      </c>
      <c r="R40" s="79" t="s">
        <v>353</v>
      </c>
      <c r="S40" s="79" t="s">
        <v>339</v>
      </c>
      <c r="T40" s="298">
        <f>IFERROR(Table6[[#This Row],[Breakdown Time]]*Table6[[#This Row],[Plant Equivalent Weightage]],"")</f>
        <v>2.6515151515151421E-3</v>
      </c>
      <c r="U40" s="79" t="s">
        <v>416</v>
      </c>
      <c r="W40" s="79">
        <v>39</v>
      </c>
    </row>
    <row r="41" spans="1:23">
      <c r="A41" s="79">
        <f t="shared" si="0"/>
        <v>40</v>
      </c>
      <c r="B41" s="79">
        <f>YEAR(Table6[[#This Row],[Date]])+IF(MONTH(Table6[[#This Row],[Date]])&gt;=4,1,0)</f>
        <v>2026</v>
      </c>
      <c r="C41" s="79">
        <f>YEAR(Table6[[#This Row],[Date]])</f>
        <v>2025</v>
      </c>
      <c r="D41" s="79" t="s">
        <v>344</v>
      </c>
      <c r="E41" s="284">
        <f>Table6[[#This Row],[Date]]-DAY(Table6[[#This Row],[Date]])+1</f>
        <v>45748</v>
      </c>
      <c r="F41" s="285">
        <v>45748</v>
      </c>
      <c r="G41" s="79" t="s">
        <v>406</v>
      </c>
      <c r="H41" s="79" t="str">
        <f>IFERROR(_xlfn.XLOOKUP(Table6[[#This Row],[Affected Feeder ]],'Basic Data'!$A:$A,'Basic Data'!$B:$B),"")</f>
        <v>PWEPL</v>
      </c>
      <c r="I41" s="79" t="str">
        <f>IFERROR(_xlfn.XLOOKUP(Table6[[#This Row],[Affected Feeder ]],'Basic Data'!$A:$A,'Basic Data'!$C:$C),"")</f>
        <v>MSEDCL</v>
      </c>
      <c r="J41" s="295">
        <f>IFERROR(_xlfn.XLOOKUP(Table6[[#This Row],[Affected Feeder ]],'Basic Data'!$A:$A,'Basic Data'!$E:$E),"")</f>
        <v>0.29545454545454541</v>
      </c>
      <c r="K41" s="296" t="s">
        <v>419</v>
      </c>
      <c r="L41" s="297">
        <v>0.79583333333333328</v>
      </c>
      <c r="M41" s="297">
        <v>0.79583333333333328</v>
      </c>
      <c r="N41" s="297">
        <v>0.85555555555555551</v>
      </c>
      <c r="O41" s="19">
        <f>(Table6[[#This Row],[Work Start TimeStamp]]-Table6[[#This Row],[Fault Start TimeStamp]])*24</f>
        <v>0</v>
      </c>
      <c r="P41" s="19">
        <f>(Table6[[#This Row],[Fault Clearance time]]-Table6[[#This Row],[Fault Start TimeStamp]])*24</f>
        <v>1.4333333333333336</v>
      </c>
      <c r="Q41" s="19">
        <f>(Table6[[#This Row],[Fault Clearance time]]-Table6[[#This Row],[Fault Start TimeStamp]])*24</f>
        <v>1.4333333333333336</v>
      </c>
      <c r="R41" s="79" t="s">
        <v>420</v>
      </c>
      <c r="S41" s="79" t="s">
        <v>339</v>
      </c>
      <c r="T41" s="298">
        <f>IFERROR(Table6[[#This Row],[Breakdown Time]]*Table6[[#This Row],[Plant Equivalent Weightage]],"")</f>
        <v>0.42348484848484852</v>
      </c>
      <c r="U41" s="79" t="s">
        <v>421</v>
      </c>
      <c r="W41" s="79">
        <v>20207</v>
      </c>
    </row>
    <row r="42" spans="1:23">
      <c r="A42" s="79">
        <f t="shared" si="0"/>
        <v>41</v>
      </c>
      <c r="B42" s="79">
        <f>YEAR(Table6[[#This Row],[Date]])+IF(MONTH(Table6[[#This Row],[Date]])&gt;=4,1,0)</f>
        <v>2026</v>
      </c>
      <c r="C42" s="79">
        <f>YEAR(Table6[[#This Row],[Date]])</f>
        <v>2025</v>
      </c>
      <c r="D42" s="79" t="s">
        <v>344</v>
      </c>
      <c r="E42" s="284">
        <f>Table6[[#This Row],[Date]]-DAY(Table6[[#This Row],[Date]])+1</f>
        <v>45748</v>
      </c>
      <c r="F42" s="285">
        <v>45748</v>
      </c>
      <c r="G42" s="79" t="s">
        <v>76</v>
      </c>
      <c r="H42" s="79" t="str">
        <f>IFERROR(_xlfn.XLOOKUP(Table6[[#This Row],[Affected Feeder ]],'Basic Data'!$A:$A,'Basic Data'!$B:$B),"")</f>
        <v>PWEPL</v>
      </c>
      <c r="I42" s="79" t="str">
        <f>IFERROR(_xlfn.XLOOKUP(Table6[[#This Row],[Affected Feeder ]],'Basic Data'!$A:$A,'Basic Data'!$C:$C),"")</f>
        <v>MSEDCL</v>
      </c>
      <c r="J42" s="295">
        <f>IFERROR(_xlfn.XLOOKUP(Table6[[#This Row],[Affected Feeder ]],'Basic Data'!$A:$A,'Basic Data'!$E:$E),"")</f>
        <v>2.2727272727272728E-2</v>
      </c>
      <c r="K42" s="296" t="s">
        <v>171</v>
      </c>
      <c r="L42" s="297">
        <v>0.85555555555555551</v>
      </c>
      <c r="M42" s="297">
        <v>0.85555555555555551</v>
      </c>
      <c r="N42" s="297">
        <v>0.86736111111111114</v>
      </c>
      <c r="O42" s="19">
        <f>(Table6[[#This Row],[Work Start TimeStamp]]-Table6[[#This Row],[Fault Start TimeStamp]])*24</f>
        <v>0</v>
      </c>
      <c r="P42" s="19">
        <f>(Table6[[#This Row],[Fault Clearance time]]-Table6[[#This Row],[Fault Start TimeStamp]])*24</f>
        <v>0.28333333333333499</v>
      </c>
      <c r="Q42" s="19">
        <f>(Table6[[#This Row],[Fault Clearance time]]-Table6[[#This Row],[Fault Start TimeStamp]])*24</f>
        <v>0.28333333333333499</v>
      </c>
      <c r="R42" s="79" t="s">
        <v>353</v>
      </c>
      <c r="S42" s="79" t="s">
        <v>339</v>
      </c>
      <c r="T42" s="298">
        <f>IFERROR(Table6[[#This Row],[Breakdown Time]]*Table6[[#This Row],[Plant Equivalent Weightage]],"")</f>
        <v>6.4393939393939774E-3</v>
      </c>
      <c r="U42" s="79" t="s">
        <v>421</v>
      </c>
      <c r="W42" s="79">
        <v>388</v>
      </c>
    </row>
    <row r="43" spans="1:23">
      <c r="A43" s="79">
        <f t="shared" si="0"/>
        <v>42</v>
      </c>
      <c r="B43" s="79">
        <f>YEAR(Table6[[#This Row],[Date]])+IF(MONTH(Table6[[#This Row],[Date]])&gt;=4,1,0)</f>
        <v>2026</v>
      </c>
      <c r="C43" s="79">
        <f>YEAR(Table6[[#This Row],[Date]])</f>
        <v>2025</v>
      </c>
      <c r="D43" s="79" t="s">
        <v>344</v>
      </c>
      <c r="E43" s="284">
        <f>Table6[[#This Row],[Date]]-DAY(Table6[[#This Row],[Date]])+1</f>
        <v>45748</v>
      </c>
      <c r="F43" s="285">
        <v>45748</v>
      </c>
      <c r="G43" s="79" t="s">
        <v>77</v>
      </c>
      <c r="H43" s="79" t="str">
        <f>IFERROR(_xlfn.XLOOKUP(Table6[[#This Row],[Affected Feeder ]],'Basic Data'!$A:$A,'Basic Data'!$B:$B),"")</f>
        <v>PWEPL</v>
      </c>
      <c r="I43" s="79" t="str">
        <f>IFERROR(_xlfn.XLOOKUP(Table6[[#This Row],[Affected Feeder ]],'Basic Data'!$A:$A,'Basic Data'!$C:$C),"")</f>
        <v>MSEDCL</v>
      </c>
      <c r="J43" s="295">
        <f>IFERROR(_xlfn.XLOOKUP(Table6[[#This Row],[Affected Feeder ]],'Basic Data'!$A:$A,'Basic Data'!$E:$E),"")</f>
        <v>2.2727272727272728E-2</v>
      </c>
      <c r="K43" s="296" t="s">
        <v>171</v>
      </c>
      <c r="L43" s="297">
        <v>0.85555555555555551</v>
      </c>
      <c r="M43" s="297">
        <v>0.85555555555555551</v>
      </c>
      <c r="N43" s="297">
        <v>0.86527777777777781</v>
      </c>
      <c r="O43" s="19">
        <f>(Table6[[#This Row],[Work Start TimeStamp]]-Table6[[#This Row],[Fault Start TimeStamp]])*24</f>
        <v>0</v>
      </c>
      <c r="P43" s="19">
        <f>(Table6[[#This Row],[Fault Clearance time]]-Table6[[#This Row],[Fault Start TimeStamp]])*24</f>
        <v>0.23333333333333517</v>
      </c>
      <c r="Q43" s="19">
        <f>(Table6[[#This Row],[Fault Clearance time]]-Table6[[#This Row],[Fault Start TimeStamp]])*24</f>
        <v>0.23333333333333517</v>
      </c>
      <c r="R43" s="79" t="s">
        <v>353</v>
      </c>
      <c r="S43" s="79" t="s">
        <v>339</v>
      </c>
      <c r="T43" s="298">
        <f>IFERROR(Table6[[#This Row],[Breakdown Time]]*Table6[[#This Row],[Plant Equivalent Weightage]],"")</f>
        <v>5.303030303030345E-3</v>
      </c>
      <c r="U43" s="79" t="s">
        <v>421</v>
      </c>
      <c r="W43" s="79">
        <v>388</v>
      </c>
    </row>
    <row r="44" spans="1:23">
      <c r="A44" s="79">
        <f t="shared" si="0"/>
        <v>43</v>
      </c>
      <c r="B44" s="79">
        <f>YEAR(Table6[[#This Row],[Date]])+IF(MONTH(Table6[[#This Row],[Date]])&gt;=4,1,0)</f>
        <v>2026</v>
      </c>
      <c r="C44" s="79">
        <f>YEAR(Table6[[#This Row],[Date]])</f>
        <v>2025</v>
      </c>
      <c r="D44" s="79" t="s">
        <v>344</v>
      </c>
      <c r="E44" s="284">
        <f>Table6[[#This Row],[Date]]-DAY(Table6[[#This Row],[Date]])+1</f>
        <v>45748</v>
      </c>
      <c r="F44" s="285">
        <v>45748</v>
      </c>
      <c r="G44" s="79" t="s">
        <v>78</v>
      </c>
      <c r="H44" s="79" t="str">
        <f>IFERROR(_xlfn.XLOOKUP(Table6[[#This Row],[Affected Feeder ]],'Basic Data'!$A:$A,'Basic Data'!$B:$B),"")</f>
        <v>PWEPL</v>
      </c>
      <c r="I44" s="79" t="str">
        <f>IFERROR(_xlfn.XLOOKUP(Table6[[#This Row],[Affected Feeder ]],'Basic Data'!$A:$A,'Basic Data'!$C:$C),"")</f>
        <v>MSEDCL</v>
      </c>
      <c r="J44" s="295">
        <f>IFERROR(_xlfn.XLOOKUP(Table6[[#This Row],[Affected Feeder ]],'Basic Data'!$A:$A,'Basic Data'!$E:$E),"")</f>
        <v>2.2727272727272728E-2</v>
      </c>
      <c r="K44" s="296" t="s">
        <v>171</v>
      </c>
      <c r="L44" s="297">
        <v>0.85555555555555551</v>
      </c>
      <c r="M44" s="297">
        <v>0.85555555555555551</v>
      </c>
      <c r="N44" s="297">
        <v>0.86805555555555558</v>
      </c>
      <c r="O44" s="19">
        <f>(Table6[[#This Row],[Work Start TimeStamp]]-Table6[[#This Row],[Fault Start TimeStamp]])*24</f>
        <v>0</v>
      </c>
      <c r="P44" s="19">
        <f>(Table6[[#This Row],[Fault Clearance time]]-Table6[[#This Row],[Fault Start TimeStamp]])*24</f>
        <v>0.3000000000000016</v>
      </c>
      <c r="Q44" s="19">
        <f>(Table6[[#This Row],[Fault Clearance time]]-Table6[[#This Row],[Fault Start TimeStamp]])*24</f>
        <v>0.3000000000000016</v>
      </c>
      <c r="R44" s="79" t="s">
        <v>353</v>
      </c>
      <c r="S44" s="79" t="s">
        <v>339</v>
      </c>
      <c r="T44" s="298">
        <f>IFERROR(Table6[[#This Row],[Breakdown Time]]*Table6[[#This Row],[Plant Equivalent Weightage]],"")</f>
        <v>6.8181818181818543E-3</v>
      </c>
      <c r="U44" s="79" t="s">
        <v>421</v>
      </c>
      <c r="W44" s="79">
        <v>388</v>
      </c>
    </row>
    <row r="45" spans="1:23">
      <c r="A45" s="79">
        <f t="shared" si="0"/>
        <v>44</v>
      </c>
      <c r="B45" s="79">
        <f>YEAR(Table6[[#This Row],[Date]])+IF(MONTH(Table6[[#This Row],[Date]])&gt;=4,1,0)</f>
        <v>2026</v>
      </c>
      <c r="C45" s="79">
        <f>YEAR(Table6[[#This Row],[Date]])</f>
        <v>2025</v>
      </c>
      <c r="D45" s="79" t="s">
        <v>344</v>
      </c>
      <c r="E45" s="284">
        <f>Table6[[#This Row],[Date]]-DAY(Table6[[#This Row],[Date]])+1</f>
        <v>45748</v>
      </c>
      <c r="F45" s="285">
        <v>45748</v>
      </c>
      <c r="G45" s="79" t="s">
        <v>93</v>
      </c>
      <c r="H45" s="79" t="str">
        <f>IFERROR(_xlfn.XLOOKUP(Table6[[#This Row],[Affected Feeder ]],'Basic Data'!$A:$A,'Basic Data'!$B:$B),"")</f>
        <v>PWEPL</v>
      </c>
      <c r="I45" s="79" t="str">
        <f>IFERROR(_xlfn.XLOOKUP(Table6[[#This Row],[Affected Feeder ]],'Basic Data'!$A:$A,'Basic Data'!$C:$C),"")</f>
        <v>MSEDCL</v>
      </c>
      <c r="J45" s="295">
        <f>IFERROR(_xlfn.XLOOKUP(Table6[[#This Row],[Affected Feeder ]],'Basic Data'!$A:$A,'Basic Data'!$E:$E),"")</f>
        <v>2.2727272727272728E-2</v>
      </c>
      <c r="K45" s="296" t="s">
        <v>171</v>
      </c>
      <c r="L45" s="297">
        <v>0.85555555555555551</v>
      </c>
      <c r="M45" s="297">
        <v>0.85555555555555551</v>
      </c>
      <c r="N45" s="297">
        <v>0.86597222222222225</v>
      </c>
      <c r="O45" s="19">
        <f>(Table6[[#This Row],[Work Start TimeStamp]]-Table6[[#This Row],[Fault Start TimeStamp]])*24</f>
        <v>0</v>
      </c>
      <c r="P45" s="19">
        <f>(Table6[[#This Row],[Fault Clearance time]]-Table6[[#This Row],[Fault Start TimeStamp]])*24</f>
        <v>0.25000000000000178</v>
      </c>
      <c r="Q45" s="19">
        <f>(Table6[[#This Row],[Fault Clearance time]]-Table6[[#This Row],[Fault Start TimeStamp]])*24</f>
        <v>0.25000000000000178</v>
      </c>
      <c r="R45" s="79" t="s">
        <v>353</v>
      </c>
      <c r="S45" s="79" t="s">
        <v>339</v>
      </c>
      <c r="T45" s="298">
        <f>IFERROR(Table6[[#This Row],[Breakdown Time]]*Table6[[#This Row],[Plant Equivalent Weightage]],"")</f>
        <v>5.6818181818182227E-3</v>
      </c>
      <c r="U45" s="79" t="s">
        <v>421</v>
      </c>
      <c r="W45" s="79">
        <v>388</v>
      </c>
    </row>
    <row r="46" spans="1:23">
      <c r="A46" s="79">
        <f t="shared" si="0"/>
        <v>45</v>
      </c>
      <c r="B46" s="79">
        <f>YEAR(Table6[[#This Row],[Date]])+IF(MONTH(Table6[[#This Row],[Date]])&gt;=4,1,0)</f>
        <v>2026</v>
      </c>
      <c r="C46" s="79">
        <f>YEAR(Table6[[#This Row],[Date]])</f>
        <v>2025</v>
      </c>
      <c r="D46" s="79" t="s">
        <v>344</v>
      </c>
      <c r="E46" s="284">
        <f>Table6[[#This Row],[Date]]-DAY(Table6[[#This Row],[Date]])+1</f>
        <v>45748</v>
      </c>
      <c r="F46" s="285">
        <v>45748</v>
      </c>
      <c r="G46" s="79" t="s">
        <v>102</v>
      </c>
      <c r="H46" s="79" t="str">
        <f>IFERROR(_xlfn.XLOOKUP(Table6[[#This Row],[Affected Feeder ]],'Basic Data'!$A:$A,'Basic Data'!$B:$B),"")</f>
        <v>PWEPL</v>
      </c>
      <c r="I46" s="79" t="str">
        <f>IFERROR(_xlfn.XLOOKUP(Table6[[#This Row],[Affected Feeder ]],'Basic Data'!$A:$A,'Basic Data'!$C:$C),"")</f>
        <v>MSEDCL</v>
      </c>
      <c r="J46" s="295">
        <f>IFERROR(_xlfn.XLOOKUP(Table6[[#This Row],[Affected Feeder ]],'Basic Data'!$A:$A,'Basic Data'!$E:$E),"")</f>
        <v>2.2727272727272728E-2</v>
      </c>
      <c r="K46" s="296" t="s">
        <v>171</v>
      </c>
      <c r="L46" s="297">
        <v>0.85555555555555551</v>
      </c>
      <c r="M46" s="297">
        <v>0.85555555555555551</v>
      </c>
      <c r="N46" s="297">
        <v>0.86736111111111114</v>
      </c>
      <c r="O46" s="19">
        <f>(Table6[[#This Row],[Work Start TimeStamp]]-Table6[[#This Row],[Fault Start TimeStamp]])*24</f>
        <v>0</v>
      </c>
      <c r="P46" s="19">
        <f>(Table6[[#This Row],[Fault Clearance time]]-Table6[[#This Row],[Fault Start TimeStamp]])*24</f>
        <v>0.28333333333333499</v>
      </c>
      <c r="Q46" s="19">
        <f>(Table6[[#This Row],[Fault Clearance time]]-Table6[[#This Row],[Fault Start TimeStamp]])*24</f>
        <v>0.28333333333333499</v>
      </c>
      <c r="R46" s="79" t="s">
        <v>353</v>
      </c>
      <c r="S46" s="79" t="s">
        <v>339</v>
      </c>
      <c r="T46" s="298">
        <f>IFERROR(Table6[[#This Row],[Breakdown Time]]*Table6[[#This Row],[Plant Equivalent Weightage]],"")</f>
        <v>6.4393939393939774E-3</v>
      </c>
      <c r="U46" s="79" t="s">
        <v>421</v>
      </c>
      <c r="W46" s="79">
        <v>388</v>
      </c>
    </row>
    <row r="47" spans="1:23">
      <c r="A47" s="79">
        <f t="shared" si="0"/>
        <v>46</v>
      </c>
      <c r="B47" s="79">
        <f>YEAR(Table6[[#This Row],[Date]])+IF(MONTH(Table6[[#This Row],[Date]])&gt;=4,1,0)</f>
        <v>2026</v>
      </c>
      <c r="C47" s="79">
        <f>YEAR(Table6[[#This Row],[Date]])</f>
        <v>2025</v>
      </c>
      <c r="D47" s="79" t="s">
        <v>344</v>
      </c>
      <c r="E47" s="284">
        <f>Table6[[#This Row],[Date]]-DAY(Table6[[#This Row],[Date]])+1</f>
        <v>45748</v>
      </c>
      <c r="F47" s="285">
        <v>45748</v>
      </c>
      <c r="G47" s="79" t="s">
        <v>103</v>
      </c>
      <c r="H47" s="79" t="str">
        <f>IFERROR(_xlfn.XLOOKUP(Table6[[#This Row],[Affected Feeder ]],'Basic Data'!$A:$A,'Basic Data'!$B:$B),"")</f>
        <v>PWEPL</v>
      </c>
      <c r="I47" s="79" t="str">
        <f>IFERROR(_xlfn.XLOOKUP(Table6[[#This Row],[Affected Feeder ]],'Basic Data'!$A:$A,'Basic Data'!$C:$C),"")</f>
        <v>MSEDCL</v>
      </c>
      <c r="J47" s="295">
        <f>IFERROR(_xlfn.XLOOKUP(Table6[[#This Row],[Affected Feeder ]],'Basic Data'!$A:$A,'Basic Data'!$E:$E),"")</f>
        <v>2.2727272727272728E-2</v>
      </c>
      <c r="K47" s="296" t="s">
        <v>171</v>
      </c>
      <c r="L47" s="297">
        <v>0.85555555555555551</v>
      </c>
      <c r="M47" s="297">
        <v>0.85555555555555551</v>
      </c>
      <c r="N47" s="297">
        <v>0.86736111111111114</v>
      </c>
      <c r="O47" s="19">
        <f>(Table6[[#This Row],[Work Start TimeStamp]]-Table6[[#This Row],[Fault Start TimeStamp]])*24</f>
        <v>0</v>
      </c>
      <c r="P47" s="19">
        <f>(Table6[[#This Row],[Fault Clearance time]]-Table6[[#This Row],[Fault Start TimeStamp]])*24</f>
        <v>0.28333333333333499</v>
      </c>
      <c r="Q47" s="19">
        <f>(Table6[[#This Row],[Fault Clearance time]]-Table6[[#This Row],[Fault Start TimeStamp]])*24</f>
        <v>0.28333333333333499</v>
      </c>
      <c r="R47" s="79" t="s">
        <v>353</v>
      </c>
      <c r="S47" s="79" t="s">
        <v>339</v>
      </c>
      <c r="T47" s="298">
        <f>IFERROR(Table6[[#This Row],[Breakdown Time]]*Table6[[#This Row],[Plant Equivalent Weightage]],"")</f>
        <v>6.4393939393939774E-3</v>
      </c>
      <c r="U47" s="79" t="s">
        <v>421</v>
      </c>
      <c r="W47" s="79">
        <v>388</v>
      </c>
    </row>
    <row r="48" spans="1:23">
      <c r="A48" s="79">
        <f t="shared" si="0"/>
        <v>47</v>
      </c>
      <c r="B48" s="79">
        <f>YEAR(Table6[[#This Row],[Date]])+IF(MONTH(Table6[[#This Row],[Date]])&gt;=4,1,0)</f>
        <v>2026</v>
      </c>
      <c r="C48" s="79">
        <f>YEAR(Table6[[#This Row],[Date]])</f>
        <v>2025</v>
      </c>
      <c r="D48" s="79" t="s">
        <v>344</v>
      </c>
      <c r="E48" s="284">
        <f>Table6[[#This Row],[Date]]-DAY(Table6[[#This Row],[Date]])+1</f>
        <v>45748</v>
      </c>
      <c r="F48" s="285">
        <v>45748</v>
      </c>
      <c r="G48" s="79" t="s">
        <v>105</v>
      </c>
      <c r="H48" s="79" t="str">
        <f>IFERROR(_xlfn.XLOOKUP(Table6[[#This Row],[Affected Feeder ]],'Basic Data'!$A:$A,'Basic Data'!$B:$B),"")</f>
        <v>PWEPL</v>
      </c>
      <c r="I48" s="79" t="str">
        <f>IFERROR(_xlfn.XLOOKUP(Table6[[#This Row],[Affected Feeder ]],'Basic Data'!$A:$A,'Basic Data'!$C:$C),"")</f>
        <v>MSEDCL</v>
      </c>
      <c r="J48" s="295">
        <f>IFERROR(_xlfn.XLOOKUP(Table6[[#This Row],[Affected Feeder ]],'Basic Data'!$A:$A,'Basic Data'!$E:$E),"")</f>
        <v>2.2727272727272728E-2</v>
      </c>
      <c r="K48" s="296" t="s">
        <v>171</v>
      </c>
      <c r="L48" s="297">
        <v>0.85555555555555551</v>
      </c>
      <c r="M48" s="297">
        <v>0.85555555555555551</v>
      </c>
      <c r="N48" s="297">
        <v>0.86736111111111114</v>
      </c>
      <c r="O48" s="19">
        <f>(Table6[[#This Row],[Work Start TimeStamp]]-Table6[[#This Row],[Fault Start TimeStamp]])*24</f>
        <v>0</v>
      </c>
      <c r="P48" s="19">
        <f>(Table6[[#This Row],[Fault Clearance time]]-Table6[[#This Row],[Fault Start TimeStamp]])*24</f>
        <v>0.28333333333333499</v>
      </c>
      <c r="Q48" s="19">
        <f>(Table6[[#This Row],[Fault Clearance time]]-Table6[[#This Row],[Fault Start TimeStamp]])*24</f>
        <v>0.28333333333333499</v>
      </c>
      <c r="R48" s="79" t="s">
        <v>353</v>
      </c>
      <c r="S48" s="79" t="s">
        <v>339</v>
      </c>
      <c r="T48" s="298">
        <f>IFERROR(Table6[[#This Row],[Breakdown Time]]*Table6[[#This Row],[Plant Equivalent Weightage]],"")</f>
        <v>6.4393939393939774E-3</v>
      </c>
      <c r="U48" s="79" t="s">
        <v>421</v>
      </c>
      <c r="W48" s="79">
        <v>388</v>
      </c>
    </row>
    <row r="49" spans="1:23">
      <c r="A49" s="79">
        <f t="shared" si="0"/>
        <v>48</v>
      </c>
      <c r="B49" s="79">
        <f>YEAR(Table6[[#This Row],[Date]])+IF(MONTH(Table6[[#This Row],[Date]])&gt;=4,1,0)</f>
        <v>2026</v>
      </c>
      <c r="C49" s="79">
        <f>YEAR(Table6[[#This Row],[Date]])</f>
        <v>2025</v>
      </c>
      <c r="D49" s="79" t="s">
        <v>344</v>
      </c>
      <c r="E49" s="284">
        <f>Table6[[#This Row],[Date]]-DAY(Table6[[#This Row],[Date]])+1</f>
        <v>45748</v>
      </c>
      <c r="F49" s="285">
        <v>45748</v>
      </c>
      <c r="G49" s="79" t="s">
        <v>115</v>
      </c>
      <c r="H49" s="79" t="str">
        <f>IFERROR(_xlfn.XLOOKUP(Table6[[#This Row],[Affected Feeder ]],'Basic Data'!$A:$A,'Basic Data'!$B:$B),"")</f>
        <v>PWEPL</v>
      </c>
      <c r="I49" s="79" t="str">
        <f>IFERROR(_xlfn.XLOOKUP(Table6[[#This Row],[Affected Feeder ]],'Basic Data'!$A:$A,'Basic Data'!$C:$C),"")</f>
        <v>MSEDCL</v>
      </c>
      <c r="J49" s="295">
        <f>IFERROR(_xlfn.XLOOKUP(Table6[[#This Row],[Affected Feeder ]],'Basic Data'!$A:$A,'Basic Data'!$E:$E),"")</f>
        <v>2.2727272727272728E-2</v>
      </c>
      <c r="K49" s="296" t="s">
        <v>171</v>
      </c>
      <c r="L49" s="297">
        <v>0.85555555555555551</v>
      </c>
      <c r="M49" s="297">
        <v>0.85555555555555551</v>
      </c>
      <c r="N49" s="297">
        <v>0.86458333333333337</v>
      </c>
      <c r="O49" s="19">
        <f>(Table6[[#This Row],[Work Start TimeStamp]]-Table6[[#This Row],[Fault Start TimeStamp]])*24</f>
        <v>0</v>
      </c>
      <c r="P49" s="19">
        <f>(Table6[[#This Row],[Fault Clearance time]]-Table6[[#This Row],[Fault Start TimeStamp]])*24</f>
        <v>0.21666666666666856</v>
      </c>
      <c r="Q49" s="19">
        <f>(Table6[[#This Row],[Fault Clearance time]]-Table6[[#This Row],[Fault Start TimeStamp]])*24</f>
        <v>0.21666666666666856</v>
      </c>
      <c r="R49" s="79" t="s">
        <v>353</v>
      </c>
      <c r="S49" s="79" t="s">
        <v>339</v>
      </c>
      <c r="T49" s="298">
        <f>IFERROR(Table6[[#This Row],[Breakdown Time]]*Table6[[#This Row],[Plant Equivalent Weightage]],"")</f>
        <v>4.9242424242424672E-3</v>
      </c>
      <c r="U49" s="79" t="s">
        <v>421</v>
      </c>
      <c r="W49" s="79">
        <v>388</v>
      </c>
    </row>
    <row r="50" spans="1:23">
      <c r="A50" s="79">
        <f t="shared" si="0"/>
        <v>49</v>
      </c>
      <c r="B50" s="79">
        <f>YEAR(Table6[[#This Row],[Date]])+IF(MONTH(Table6[[#This Row],[Date]])&gt;=4,1,0)</f>
        <v>2026</v>
      </c>
      <c r="C50" s="79">
        <f>YEAR(Table6[[#This Row],[Date]])</f>
        <v>2025</v>
      </c>
      <c r="D50" s="79" t="s">
        <v>344</v>
      </c>
      <c r="E50" s="284">
        <f>Table6[[#This Row],[Date]]-DAY(Table6[[#This Row],[Date]])+1</f>
        <v>45748</v>
      </c>
      <c r="F50" s="285">
        <v>45748</v>
      </c>
      <c r="G50" s="79" t="s">
        <v>116</v>
      </c>
      <c r="H50" s="79" t="str">
        <f>IFERROR(_xlfn.XLOOKUP(Table6[[#This Row],[Affected Feeder ]],'Basic Data'!$A:$A,'Basic Data'!$B:$B),"")</f>
        <v>PWEPL</v>
      </c>
      <c r="I50" s="79" t="str">
        <f>IFERROR(_xlfn.XLOOKUP(Table6[[#This Row],[Affected Feeder ]],'Basic Data'!$A:$A,'Basic Data'!$C:$C),"")</f>
        <v>MSEDCL</v>
      </c>
      <c r="J50" s="295">
        <f>IFERROR(_xlfn.XLOOKUP(Table6[[#This Row],[Affected Feeder ]],'Basic Data'!$A:$A,'Basic Data'!$E:$E),"")</f>
        <v>2.2727272727272728E-2</v>
      </c>
      <c r="K50" s="296" t="s">
        <v>171</v>
      </c>
      <c r="L50" s="297">
        <v>0.85555555555555551</v>
      </c>
      <c r="M50" s="297">
        <v>0.85555555555555551</v>
      </c>
      <c r="N50" s="297">
        <v>0.86944444444444446</v>
      </c>
      <c r="O50" s="19">
        <f>(Table6[[#This Row],[Work Start TimeStamp]]-Table6[[#This Row],[Fault Start TimeStamp]])*24</f>
        <v>0</v>
      </c>
      <c r="P50" s="19">
        <f>(Table6[[#This Row],[Fault Clearance time]]-Table6[[#This Row],[Fault Start TimeStamp]])*24</f>
        <v>0.33333333333333481</v>
      </c>
      <c r="Q50" s="19">
        <f>(Table6[[#This Row],[Fault Clearance time]]-Table6[[#This Row],[Fault Start TimeStamp]])*24</f>
        <v>0.33333333333333481</v>
      </c>
      <c r="R50" s="79" t="s">
        <v>353</v>
      </c>
      <c r="S50" s="79" t="s">
        <v>339</v>
      </c>
      <c r="T50" s="298">
        <f>IFERROR(Table6[[#This Row],[Breakdown Time]]*Table6[[#This Row],[Plant Equivalent Weightage]],"")</f>
        <v>7.5757575757576098E-3</v>
      </c>
      <c r="U50" s="79" t="s">
        <v>421</v>
      </c>
      <c r="W50" s="79">
        <v>388</v>
      </c>
    </row>
    <row r="51" spans="1:23">
      <c r="A51" s="79">
        <f t="shared" si="0"/>
        <v>50</v>
      </c>
      <c r="B51" s="79">
        <f>YEAR(Table6[[#This Row],[Date]])+IF(MONTH(Table6[[#This Row],[Date]])&gt;=4,1,0)</f>
        <v>2026</v>
      </c>
      <c r="C51" s="79">
        <f>YEAR(Table6[[#This Row],[Date]])</f>
        <v>2025</v>
      </c>
      <c r="D51" s="79" t="s">
        <v>344</v>
      </c>
      <c r="E51" s="284">
        <f>Table6[[#This Row],[Date]]-DAY(Table6[[#This Row],[Date]])+1</f>
        <v>45748</v>
      </c>
      <c r="F51" s="285">
        <v>45748</v>
      </c>
      <c r="G51" s="79" t="s">
        <v>117</v>
      </c>
      <c r="H51" s="79" t="str">
        <f>IFERROR(_xlfn.XLOOKUP(Table6[[#This Row],[Affected Feeder ]],'Basic Data'!$A:$A,'Basic Data'!$B:$B),"")</f>
        <v>PWEPL</v>
      </c>
      <c r="I51" s="79" t="str">
        <f>IFERROR(_xlfn.XLOOKUP(Table6[[#This Row],[Affected Feeder ]],'Basic Data'!$A:$A,'Basic Data'!$C:$C),"")</f>
        <v>MSEDCL</v>
      </c>
      <c r="J51" s="295">
        <f>IFERROR(_xlfn.XLOOKUP(Table6[[#This Row],[Affected Feeder ]],'Basic Data'!$A:$A,'Basic Data'!$E:$E),"")</f>
        <v>2.2727272727272728E-2</v>
      </c>
      <c r="K51" s="296" t="s">
        <v>171</v>
      </c>
      <c r="L51" s="297">
        <v>0.85555555555555551</v>
      </c>
      <c r="M51" s="297">
        <v>0.85555555555555551</v>
      </c>
      <c r="N51" s="297">
        <v>0.86458333333333337</v>
      </c>
      <c r="O51" s="19">
        <f>(Table6[[#This Row],[Work Start TimeStamp]]-Table6[[#This Row],[Fault Start TimeStamp]])*24</f>
        <v>0</v>
      </c>
      <c r="P51" s="19">
        <f>(Table6[[#This Row],[Fault Clearance time]]-Table6[[#This Row],[Fault Start TimeStamp]])*24</f>
        <v>0.21666666666666856</v>
      </c>
      <c r="Q51" s="19">
        <f>(Table6[[#This Row],[Fault Clearance time]]-Table6[[#This Row],[Fault Start TimeStamp]])*24</f>
        <v>0.21666666666666856</v>
      </c>
      <c r="R51" s="79" t="s">
        <v>353</v>
      </c>
      <c r="S51" s="79" t="s">
        <v>339</v>
      </c>
      <c r="T51" s="298">
        <f>IFERROR(Table6[[#This Row],[Breakdown Time]]*Table6[[#This Row],[Plant Equivalent Weightage]],"")</f>
        <v>4.9242424242424672E-3</v>
      </c>
      <c r="U51" s="79" t="s">
        <v>421</v>
      </c>
      <c r="W51" s="79">
        <v>388</v>
      </c>
    </row>
    <row r="52" spans="1:23">
      <c r="A52" s="79">
        <f t="shared" si="0"/>
        <v>51</v>
      </c>
      <c r="B52" s="79">
        <f>YEAR(Table6[[#This Row],[Date]])+IF(MONTH(Table6[[#This Row],[Date]])&gt;=4,1,0)</f>
        <v>2026</v>
      </c>
      <c r="C52" s="79">
        <f>YEAR(Table6[[#This Row],[Date]])</f>
        <v>2025</v>
      </c>
      <c r="D52" s="79" t="s">
        <v>344</v>
      </c>
      <c r="E52" s="284">
        <f>Table6[[#This Row],[Date]]-DAY(Table6[[#This Row],[Date]])+1</f>
        <v>45748</v>
      </c>
      <c r="F52" s="285">
        <v>45748</v>
      </c>
      <c r="G52" s="79" t="s">
        <v>118</v>
      </c>
      <c r="H52" s="79" t="str">
        <f>IFERROR(_xlfn.XLOOKUP(Table6[[#This Row],[Affected Feeder ]],'Basic Data'!$A:$A,'Basic Data'!$B:$B),"")</f>
        <v>PWEPL</v>
      </c>
      <c r="I52" s="79" t="str">
        <f>IFERROR(_xlfn.XLOOKUP(Table6[[#This Row],[Affected Feeder ]],'Basic Data'!$A:$A,'Basic Data'!$C:$C),"")</f>
        <v>MSEDCL</v>
      </c>
      <c r="J52" s="295">
        <f>IFERROR(_xlfn.XLOOKUP(Table6[[#This Row],[Affected Feeder ]],'Basic Data'!$A:$A,'Basic Data'!$E:$E),"")</f>
        <v>2.2727272727272728E-2</v>
      </c>
      <c r="K52" s="296" t="s">
        <v>171</v>
      </c>
      <c r="L52" s="297">
        <v>0.85555555555555551</v>
      </c>
      <c r="M52" s="297">
        <v>0.85555555555555551</v>
      </c>
      <c r="N52" s="297">
        <v>0.86944444444444446</v>
      </c>
      <c r="O52" s="19">
        <f>(Table6[[#This Row],[Work Start TimeStamp]]-Table6[[#This Row],[Fault Start TimeStamp]])*24</f>
        <v>0</v>
      </c>
      <c r="P52" s="19">
        <f>(Table6[[#This Row],[Fault Clearance time]]-Table6[[#This Row],[Fault Start TimeStamp]])*24</f>
        <v>0.33333333333333481</v>
      </c>
      <c r="Q52" s="19">
        <f>(Table6[[#This Row],[Fault Clearance time]]-Table6[[#This Row],[Fault Start TimeStamp]])*24</f>
        <v>0.33333333333333481</v>
      </c>
      <c r="R52" s="79" t="s">
        <v>353</v>
      </c>
      <c r="S52" s="79" t="s">
        <v>339</v>
      </c>
      <c r="T52" s="298">
        <f>IFERROR(Table6[[#This Row],[Breakdown Time]]*Table6[[#This Row],[Plant Equivalent Weightage]],"")</f>
        <v>7.5757575757576098E-3</v>
      </c>
      <c r="U52" s="79" t="s">
        <v>421</v>
      </c>
      <c r="W52" s="79">
        <v>388</v>
      </c>
    </row>
    <row r="53" spans="1:23">
      <c r="A53" s="79">
        <f t="shared" si="0"/>
        <v>52</v>
      </c>
      <c r="B53" s="79">
        <f>YEAR(Table6[[#This Row],[Date]])+IF(MONTH(Table6[[#This Row],[Date]])&gt;=4,1,0)</f>
        <v>2026</v>
      </c>
      <c r="C53" s="79">
        <f>YEAR(Table6[[#This Row],[Date]])</f>
        <v>2025</v>
      </c>
      <c r="D53" s="79" t="s">
        <v>344</v>
      </c>
      <c r="E53" s="284">
        <f>Table6[[#This Row],[Date]]-DAY(Table6[[#This Row],[Date]])+1</f>
        <v>45748</v>
      </c>
      <c r="F53" s="285">
        <v>45748</v>
      </c>
      <c r="G53" s="79" t="s">
        <v>82</v>
      </c>
      <c r="H53" s="79" t="str">
        <f>IFERROR(_xlfn.XLOOKUP(Table6[[#This Row],[Affected Feeder ]],'Basic Data'!$A:$A,'Basic Data'!$B:$B),"")</f>
        <v>PWEPL</v>
      </c>
      <c r="I53" s="79" t="str">
        <f>IFERROR(_xlfn.XLOOKUP(Table6[[#This Row],[Affected Feeder ]],'Basic Data'!$A:$A,'Basic Data'!$C:$C),"")</f>
        <v>MSEDCL</v>
      </c>
      <c r="J53" s="295">
        <f>IFERROR(_xlfn.XLOOKUP(Table6[[#This Row],[Affected Feeder ]],'Basic Data'!$A:$A,'Basic Data'!$E:$E),"")</f>
        <v>2.2727272727272728E-2</v>
      </c>
      <c r="K53" s="296" t="s">
        <v>422</v>
      </c>
      <c r="L53" s="297">
        <v>0.85555555555555551</v>
      </c>
      <c r="M53" s="297">
        <v>0.85555555555555551</v>
      </c>
      <c r="N53" s="297">
        <v>0.9194444444444444</v>
      </c>
      <c r="O53" s="19">
        <f>(Table6[[#This Row],[Work Start TimeStamp]]-Table6[[#This Row],[Fault Start TimeStamp]])*24</f>
        <v>0</v>
      </c>
      <c r="P53" s="19">
        <f>(Table6[[#This Row],[Fault Clearance time]]-Table6[[#This Row],[Fault Start TimeStamp]])*24</f>
        <v>1.5333333333333332</v>
      </c>
      <c r="Q53" s="19">
        <f>(Table6[[#This Row],[Fault Clearance time]]-Table6[[#This Row],[Fault Start TimeStamp]])*24</f>
        <v>1.5333333333333332</v>
      </c>
      <c r="R53" s="79" t="s">
        <v>423</v>
      </c>
      <c r="S53" s="79" t="s">
        <v>339</v>
      </c>
      <c r="T53" s="298">
        <f>IFERROR(Table6[[#This Row],[Breakdown Time]]*Table6[[#This Row],[Plant Equivalent Weightage]],"")</f>
        <v>3.4848484848484844E-2</v>
      </c>
      <c r="U53" s="79" t="s">
        <v>421</v>
      </c>
      <c r="W53" s="79">
        <v>450</v>
      </c>
    </row>
    <row r="54" spans="1:23">
      <c r="A54" s="79">
        <f t="shared" si="0"/>
        <v>53</v>
      </c>
      <c r="B54" s="79">
        <f>YEAR(Table6[[#This Row],[Date]])+IF(MONTH(Table6[[#This Row],[Date]])&gt;=4,1,0)</f>
        <v>2026</v>
      </c>
      <c r="C54" s="79">
        <f>YEAR(Table6[[#This Row],[Date]])</f>
        <v>2025</v>
      </c>
      <c r="D54" s="79" t="s">
        <v>344</v>
      </c>
      <c r="E54" s="284">
        <f>Table6[[#This Row],[Date]]-DAY(Table6[[#This Row],[Date]])+1</f>
        <v>45748</v>
      </c>
      <c r="F54" s="285">
        <v>45748</v>
      </c>
      <c r="G54" s="79" t="s">
        <v>82</v>
      </c>
      <c r="H54" s="79" t="str">
        <f>IFERROR(_xlfn.XLOOKUP(Table6[[#This Row],[Affected Feeder ]],'Basic Data'!$A:$A,'Basic Data'!$B:$B),"")</f>
        <v>PWEPL</v>
      </c>
      <c r="I54" s="79" t="str">
        <f>IFERROR(_xlfn.XLOOKUP(Table6[[#This Row],[Affected Feeder ]],'Basic Data'!$A:$A,'Basic Data'!$C:$C),"")</f>
        <v>MSEDCL</v>
      </c>
      <c r="J54" s="295">
        <f>IFERROR(_xlfn.XLOOKUP(Table6[[#This Row],[Affected Feeder ]],'Basic Data'!$A:$A,'Basic Data'!$E:$E),"")</f>
        <v>2.2727272727272728E-2</v>
      </c>
      <c r="K54" s="296" t="s">
        <v>171</v>
      </c>
      <c r="L54" s="297">
        <v>0.9194444444444444</v>
      </c>
      <c r="M54" s="297">
        <v>0.9194444444444444</v>
      </c>
      <c r="N54" s="297">
        <v>0.93333333333333335</v>
      </c>
      <c r="O54" s="19">
        <f>(Table6[[#This Row],[Work Start TimeStamp]]-Table6[[#This Row],[Fault Start TimeStamp]])*24</f>
        <v>0</v>
      </c>
      <c r="P54" s="19">
        <f>(Table6[[#This Row],[Fault Clearance time]]-Table6[[#This Row],[Fault Start TimeStamp]])*24</f>
        <v>0.33333333333333481</v>
      </c>
      <c r="Q54" s="19">
        <f>(Table6[[#This Row],[Fault Clearance time]]-Table6[[#This Row],[Fault Start TimeStamp]])*24</f>
        <v>0.33333333333333481</v>
      </c>
      <c r="R54" s="79" t="s">
        <v>353</v>
      </c>
      <c r="S54" s="79" t="s">
        <v>339</v>
      </c>
      <c r="T54" s="298">
        <f>IFERROR(Table6[[#This Row],[Breakdown Time]]*Table6[[#This Row],[Plant Equivalent Weightage]],"")</f>
        <v>7.5757575757576098E-3</v>
      </c>
      <c r="U54" s="79" t="s">
        <v>421</v>
      </c>
      <c r="W54" s="79">
        <v>388</v>
      </c>
    </row>
    <row r="55" spans="1:23">
      <c r="A55" s="79">
        <f t="shared" si="0"/>
        <v>54</v>
      </c>
      <c r="B55" s="79">
        <f>YEAR(Table6[[#This Row],[Date]])+IF(MONTH(Table6[[#This Row],[Date]])&gt;=4,1,0)</f>
        <v>2026</v>
      </c>
      <c r="C55" s="79">
        <f>YEAR(Table6[[#This Row],[Date]])</f>
        <v>2025</v>
      </c>
      <c r="D55" s="79" t="s">
        <v>344</v>
      </c>
      <c r="E55" s="284">
        <f>Table6[[#This Row],[Date]]-DAY(Table6[[#This Row],[Date]])+1</f>
        <v>45748</v>
      </c>
      <c r="F55" s="285">
        <v>45748</v>
      </c>
      <c r="G55" s="79" t="s">
        <v>119</v>
      </c>
      <c r="H55" s="79" t="str">
        <f>IFERROR(_xlfn.XLOOKUP(Table6[[#This Row],[Affected Feeder ]],'Basic Data'!$A:$A,'Basic Data'!$B:$B),"")</f>
        <v>PWEPL</v>
      </c>
      <c r="I55" s="79" t="str">
        <f>IFERROR(_xlfn.XLOOKUP(Table6[[#This Row],[Affected Feeder ]],'Basic Data'!$A:$A,'Basic Data'!$C:$C),"")</f>
        <v>MSEDCL</v>
      </c>
      <c r="J55" s="295">
        <f>IFERROR(_xlfn.XLOOKUP(Table6[[#This Row],[Affected Feeder ]],'Basic Data'!$A:$A,'Basic Data'!$E:$E),"")</f>
        <v>2.2727272727272728E-2</v>
      </c>
      <c r="K55" s="296" t="s">
        <v>422</v>
      </c>
      <c r="L55" s="297">
        <v>0.85555555555555551</v>
      </c>
      <c r="M55" s="297">
        <v>0.85555555555555551</v>
      </c>
      <c r="N55" s="297">
        <v>0.89861111111111114</v>
      </c>
      <c r="O55" s="19">
        <f>(Table6[[#This Row],[Work Start TimeStamp]]-Table6[[#This Row],[Fault Start TimeStamp]])*24</f>
        <v>0</v>
      </c>
      <c r="P55" s="19">
        <f>(Table6[[#This Row],[Fault Clearance time]]-Table6[[#This Row],[Fault Start TimeStamp]])*24</f>
        <v>1.033333333333335</v>
      </c>
      <c r="Q55" s="19">
        <f>(Table6[[#This Row],[Fault Clearance time]]-Table6[[#This Row],[Fault Start TimeStamp]])*24</f>
        <v>1.033333333333335</v>
      </c>
      <c r="R55" s="79" t="s">
        <v>424</v>
      </c>
      <c r="S55" s="79" t="s">
        <v>339</v>
      </c>
      <c r="T55" s="298">
        <f>IFERROR(Table6[[#This Row],[Breakdown Time]]*Table6[[#This Row],[Plant Equivalent Weightage]],"")</f>
        <v>2.3484848484848522E-2</v>
      </c>
      <c r="U55" s="79" t="s">
        <v>421</v>
      </c>
      <c r="W55" s="79">
        <v>234</v>
      </c>
    </row>
    <row r="56" spans="1:23">
      <c r="A56" s="79">
        <f t="shared" si="0"/>
        <v>55</v>
      </c>
      <c r="B56" s="79">
        <f>YEAR(Table6[[#This Row],[Date]])+IF(MONTH(Table6[[#This Row],[Date]])&gt;=4,1,0)</f>
        <v>2026</v>
      </c>
      <c r="C56" s="79">
        <f>YEAR(Table6[[#This Row],[Date]])</f>
        <v>2025</v>
      </c>
      <c r="D56" s="79" t="s">
        <v>344</v>
      </c>
      <c r="E56" s="284">
        <f>Table6[[#This Row],[Date]]-DAY(Table6[[#This Row],[Date]])+1</f>
        <v>45748</v>
      </c>
      <c r="F56" s="285">
        <v>45748</v>
      </c>
      <c r="G56" s="79" t="s">
        <v>119</v>
      </c>
      <c r="H56" s="79" t="str">
        <f>IFERROR(_xlfn.XLOOKUP(Table6[[#This Row],[Affected Feeder ]],'Basic Data'!$A:$A,'Basic Data'!$B:$B),"")</f>
        <v>PWEPL</v>
      </c>
      <c r="I56" s="79" t="str">
        <f>IFERROR(_xlfn.XLOOKUP(Table6[[#This Row],[Affected Feeder ]],'Basic Data'!$A:$A,'Basic Data'!$C:$C),"")</f>
        <v>MSEDCL</v>
      </c>
      <c r="J56" s="295">
        <f>IFERROR(_xlfn.XLOOKUP(Table6[[#This Row],[Affected Feeder ]],'Basic Data'!$A:$A,'Basic Data'!$E:$E),"")</f>
        <v>2.2727272727272728E-2</v>
      </c>
      <c r="K56" s="296" t="s">
        <v>171</v>
      </c>
      <c r="L56" s="297">
        <v>0.89861111111111114</v>
      </c>
      <c r="M56" s="297">
        <v>0.89861111111111114</v>
      </c>
      <c r="N56" s="297">
        <v>0.91249999999999998</v>
      </c>
      <c r="O56" s="19">
        <f>(Table6[[#This Row],[Work Start TimeStamp]]-Table6[[#This Row],[Fault Start TimeStamp]])*24</f>
        <v>0</v>
      </c>
      <c r="P56" s="19">
        <f>(Table6[[#This Row],[Fault Clearance time]]-Table6[[#This Row],[Fault Start TimeStamp]])*24</f>
        <v>0.33333333333333215</v>
      </c>
      <c r="Q56" s="19">
        <f>(Table6[[#This Row],[Fault Clearance time]]-Table6[[#This Row],[Fault Start TimeStamp]])*24</f>
        <v>0.33333333333333215</v>
      </c>
      <c r="R56" s="79" t="s">
        <v>353</v>
      </c>
      <c r="S56" s="79" t="s">
        <v>339</v>
      </c>
      <c r="T56" s="298">
        <f>IFERROR(Table6[[#This Row],[Breakdown Time]]*Table6[[#This Row],[Plant Equivalent Weightage]],"")</f>
        <v>7.5757575757575491E-3</v>
      </c>
      <c r="U56" s="79" t="s">
        <v>421</v>
      </c>
      <c r="W56" s="79">
        <v>388</v>
      </c>
    </row>
    <row r="57" spans="1:23">
      <c r="A57" s="79">
        <f t="shared" si="0"/>
        <v>56</v>
      </c>
      <c r="B57" s="79">
        <f>YEAR(Table6[[#This Row],[Date]])+IF(MONTH(Table6[[#This Row],[Date]])&gt;=4,1,0)</f>
        <v>2026</v>
      </c>
      <c r="C57" s="79">
        <f>YEAR(Table6[[#This Row],[Date]])</f>
        <v>2025</v>
      </c>
      <c r="D57" s="79" t="s">
        <v>344</v>
      </c>
      <c r="E57" s="284">
        <f>Table6[[#This Row],[Date]]-DAY(Table6[[#This Row],[Date]])+1</f>
        <v>45748</v>
      </c>
      <c r="F57" s="285">
        <v>45748</v>
      </c>
      <c r="G57" s="79" t="s">
        <v>405</v>
      </c>
      <c r="H57" s="79" t="str">
        <f>IFERROR(_xlfn.XLOOKUP(Table6[[#This Row],[Affected Feeder ]],'Basic Data'!$A:$A,'Basic Data'!$B:$B),"")</f>
        <v>PWEPL</v>
      </c>
      <c r="I57" s="79" t="str">
        <f>IFERROR(_xlfn.XLOOKUP(Table6[[#This Row],[Affected Feeder ]],'Basic Data'!$A:$A,'Basic Data'!$C:$C),"")</f>
        <v>MSEDCL</v>
      </c>
      <c r="J57" s="295">
        <f>IFERROR(_xlfn.XLOOKUP(Table6[[#This Row],[Affected Feeder ]],'Basic Data'!$A:$A,'Basic Data'!$E:$E),"")</f>
        <v>0.20454545454545453</v>
      </c>
      <c r="K57" s="296" t="s">
        <v>425</v>
      </c>
      <c r="L57" s="297">
        <v>0.57847222222222228</v>
      </c>
      <c r="M57" s="297">
        <v>0.57847222222222228</v>
      </c>
      <c r="N57" s="297">
        <v>0.6694444444444444</v>
      </c>
      <c r="O57" s="19">
        <f>(Table6[[#This Row],[Work Start TimeStamp]]-Table6[[#This Row],[Fault Start TimeStamp]])*24</f>
        <v>0</v>
      </c>
      <c r="P57" s="19">
        <f>(Table6[[#This Row],[Fault Clearance time]]-Table6[[#This Row],[Fault Start TimeStamp]])*24</f>
        <v>2.1833333333333309</v>
      </c>
      <c r="Q57" s="19">
        <f>(Table6[[#This Row],[Fault Clearance time]]-Table6[[#This Row],[Fault Start TimeStamp]])*24</f>
        <v>2.1833333333333309</v>
      </c>
      <c r="R57" s="79" t="s">
        <v>426</v>
      </c>
      <c r="S57" s="79" t="s">
        <v>339</v>
      </c>
      <c r="T57" s="298">
        <f>IFERROR(Table6[[#This Row],[Breakdown Time]]*Table6[[#This Row],[Plant Equivalent Weightage]],"")</f>
        <v>0.44659090909090854</v>
      </c>
      <c r="U57" s="79" t="s">
        <v>411</v>
      </c>
      <c r="W57" s="79">
        <v>872</v>
      </c>
    </row>
    <row r="58" spans="1:23">
      <c r="A58" s="79">
        <f t="shared" si="0"/>
        <v>57</v>
      </c>
      <c r="B58" s="79">
        <f>YEAR(Table6[[#This Row],[Date]])+IF(MONTH(Table6[[#This Row],[Date]])&gt;=4,1,0)</f>
        <v>2026</v>
      </c>
      <c r="C58" s="79">
        <f>YEAR(Table6[[#This Row],[Date]])</f>
        <v>2025</v>
      </c>
      <c r="D58" s="79" t="s">
        <v>344</v>
      </c>
      <c r="E58" s="284">
        <f>Table6[[#This Row],[Date]]-DAY(Table6[[#This Row],[Date]])+1</f>
        <v>45748</v>
      </c>
      <c r="F58" s="285">
        <v>45748</v>
      </c>
      <c r="G58" s="79" t="s">
        <v>109</v>
      </c>
      <c r="H58" s="79" t="str">
        <f>IFERROR(_xlfn.XLOOKUP(Table6[[#This Row],[Affected Feeder ]],'Basic Data'!$A:$A,'Basic Data'!$B:$B),"")</f>
        <v>PWEPL</v>
      </c>
      <c r="I58" s="79" t="str">
        <f>IFERROR(_xlfn.XLOOKUP(Table6[[#This Row],[Affected Feeder ]],'Basic Data'!$A:$A,'Basic Data'!$C:$C),"")</f>
        <v>MSEDCL</v>
      </c>
      <c r="J58" s="295">
        <f>IFERROR(_xlfn.XLOOKUP(Table6[[#This Row],[Affected Feeder ]],'Basic Data'!$A:$A,'Basic Data'!$E:$E),"")</f>
        <v>2.2727272727272728E-2</v>
      </c>
      <c r="K58" s="296" t="s">
        <v>171</v>
      </c>
      <c r="L58" s="297">
        <v>0.6694444444444444</v>
      </c>
      <c r="M58" s="297">
        <v>0.6694444444444444</v>
      </c>
      <c r="N58" s="297">
        <v>0.67986111111111114</v>
      </c>
      <c r="O58" s="19">
        <f>(Table6[[#This Row],[Work Start TimeStamp]]-Table6[[#This Row],[Fault Start TimeStamp]])*24</f>
        <v>0</v>
      </c>
      <c r="P58" s="19">
        <f>(Table6[[#This Row],[Fault Clearance time]]-Table6[[#This Row],[Fault Start TimeStamp]])*24</f>
        <v>0.25000000000000178</v>
      </c>
      <c r="Q58" s="19">
        <f>(Table6[[#This Row],[Fault Clearance time]]-Table6[[#This Row],[Fault Start TimeStamp]])*24</f>
        <v>0.25000000000000178</v>
      </c>
      <c r="R58" s="79" t="s">
        <v>353</v>
      </c>
      <c r="S58" s="79" t="s">
        <v>339</v>
      </c>
      <c r="T58" s="298">
        <f>IFERROR(Table6[[#This Row],[Breakdown Time]]*Table6[[#This Row],[Plant Equivalent Weightage]],"")</f>
        <v>5.6818181818182227E-3</v>
      </c>
      <c r="U58" s="79" t="s">
        <v>411</v>
      </c>
      <c r="W58" s="79">
        <v>17</v>
      </c>
    </row>
    <row r="59" spans="1:23">
      <c r="A59" s="79">
        <f t="shared" si="0"/>
        <v>58</v>
      </c>
      <c r="B59" s="79">
        <f>YEAR(Table6[[#This Row],[Date]])+IF(MONTH(Table6[[#This Row],[Date]])&gt;=4,1,0)</f>
        <v>2026</v>
      </c>
      <c r="C59" s="79">
        <f>YEAR(Table6[[#This Row],[Date]])</f>
        <v>2025</v>
      </c>
      <c r="D59" s="79" t="s">
        <v>344</v>
      </c>
      <c r="E59" s="284">
        <f>Table6[[#This Row],[Date]]-DAY(Table6[[#This Row],[Date]])+1</f>
        <v>45748</v>
      </c>
      <c r="F59" s="285">
        <v>45748</v>
      </c>
      <c r="G59" s="79" t="s">
        <v>111</v>
      </c>
      <c r="H59" s="79" t="str">
        <f>IFERROR(_xlfn.XLOOKUP(Table6[[#This Row],[Affected Feeder ]],'Basic Data'!$A:$A,'Basic Data'!$B:$B),"")</f>
        <v>PWEPL</v>
      </c>
      <c r="I59" s="79" t="str">
        <f>IFERROR(_xlfn.XLOOKUP(Table6[[#This Row],[Affected Feeder ]],'Basic Data'!$A:$A,'Basic Data'!$C:$C),"")</f>
        <v>MSEDCL</v>
      </c>
      <c r="J59" s="295">
        <f>IFERROR(_xlfn.XLOOKUP(Table6[[#This Row],[Affected Feeder ]],'Basic Data'!$A:$A,'Basic Data'!$E:$E),"")</f>
        <v>2.2727272727272728E-2</v>
      </c>
      <c r="K59" s="296" t="s">
        <v>171</v>
      </c>
      <c r="L59" s="297">
        <v>0.6694444444444444</v>
      </c>
      <c r="M59" s="297">
        <v>0.6694444444444444</v>
      </c>
      <c r="N59" s="297">
        <v>0.67986111111111114</v>
      </c>
      <c r="O59" s="19">
        <f>(Table6[[#This Row],[Work Start TimeStamp]]-Table6[[#This Row],[Fault Start TimeStamp]])*24</f>
        <v>0</v>
      </c>
      <c r="P59" s="19">
        <f>(Table6[[#This Row],[Fault Clearance time]]-Table6[[#This Row],[Fault Start TimeStamp]])*24</f>
        <v>0.25000000000000178</v>
      </c>
      <c r="Q59" s="19">
        <f>(Table6[[#This Row],[Fault Clearance time]]-Table6[[#This Row],[Fault Start TimeStamp]])*24</f>
        <v>0.25000000000000178</v>
      </c>
      <c r="R59" s="79" t="s">
        <v>353</v>
      </c>
      <c r="S59" s="79" t="s">
        <v>339</v>
      </c>
      <c r="T59" s="298">
        <f>IFERROR(Table6[[#This Row],[Breakdown Time]]*Table6[[#This Row],[Plant Equivalent Weightage]],"")</f>
        <v>5.6818181818182227E-3</v>
      </c>
      <c r="U59" s="79" t="s">
        <v>411</v>
      </c>
      <c r="W59" s="79">
        <v>17</v>
      </c>
    </row>
    <row r="60" spans="1:23">
      <c r="A60" s="79">
        <f t="shared" si="0"/>
        <v>59</v>
      </c>
      <c r="B60" s="79">
        <f>YEAR(Table6[[#This Row],[Date]])+IF(MONTH(Table6[[#This Row],[Date]])&gt;=4,1,0)</f>
        <v>2026</v>
      </c>
      <c r="C60" s="79">
        <f>YEAR(Table6[[#This Row],[Date]])</f>
        <v>2025</v>
      </c>
      <c r="D60" s="79" t="s">
        <v>344</v>
      </c>
      <c r="E60" s="284">
        <f>Table6[[#This Row],[Date]]-DAY(Table6[[#This Row],[Date]])+1</f>
        <v>45748</v>
      </c>
      <c r="F60" s="285">
        <v>45748</v>
      </c>
      <c r="G60" s="79" t="s">
        <v>112</v>
      </c>
      <c r="H60" s="79" t="str">
        <f>IFERROR(_xlfn.XLOOKUP(Table6[[#This Row],[Affected Feeder ]],'Basic Data'!$A:$A,'Basic Data'!$B:$B),"")</f>
        <v>PWEPL</v>
      </c>
      <c r="I60" s="79" t="str">
        <f>IFERROR(_xlfn.XLOOKUP(Table6[[#This Row],[Affected Feeder ]],'Basic Data'!$A:$A,'Basic Data'!$C:$C),"")</f>
        <v>MSEDCL</v>
      </c>
      <c r="J60" s="295">
        <f>IFERROR(_xlfn.XLOOKUP(Table6[[#This Row],[Affected Feeder ]],'Basic Data'!$A:$A,'Basic Data'!$E:$E),"")</f>
        <v>2.2727272727272728E-2</v>
      </c>
      <c r="K60" s="296" t="s">
        <v>171</v>
      </c>
      <c r="L60" s="297">
        <v>0.6694444444444444</v>
      </c>
      <c r="M60" s="297">
        <v>0.6694444444444444</v>
      </c>
      <c r="N60" s="297">
        <v>0.68194444444444446</v>
      </c>
      <c r="O60" s="19">
        <f>(Table6[[#This Row],[Work Start TimeStamp]]-Table6[[#This Row],[Fault Start TimeStamp]])*24</f>
        <v>0</v>
      </c>
      <c r="P60" s="19">
        <f>(Table6[[#This Row],[Fault Clearance time]]-Table6[[#This Row],[Fault Start TimeStamp]])*24</f>
        <v>0.3000000000000016</v>
      </c>
      <c r="Q60" s="19">
        <f>(Table6[[#This Row],[Fault Clearance time]]-Table6[[#This Row],[Fault Start TimeStamp]])*24</f>
        <v>0.3000000000000016</v>
      </c>
      <c r="R60" s="79" t="s">
        <v>353</v>
      </c>
      <c r="S60" s="79" t="s">
        <v>339</v>
      </c>
      <c r="T60" s="298">
        <f>IFERROR(Table6[[#This Row],[Breakdown Time]]*Table6[[#This Row],[Plant Equivalent Weightage]],"")</f>
        <v>6.8181818181818543E-3</v>
      </c>
      <c r="U60" s="79" t="s">
        <v>411</v>
      </c>
      <c r="W60" s="79">
        <v>17</v>
      </c>
    </row>
    <row r="61" spans="1:23">
      <c r="A61" s="79">
        <f t="shared" si="0"/>
        <v>60</v>
      </c>
      <c r="B61" s="79">
        <f>YEAR(Table6[[#This Row],[Date]])+IF(MONTH(Table6[[#This Row],[Date]])&gt;=4,1,0)</f>
        <v>2026</v>
      </c>
      <c r="C61" s="79">
        <f>YEAR(Table6[[#This Row],[Date]])</f>
        <v>2025</v>
      </c>
      <c r="D61" s="79" t="s">
        <v>344</v>
      </c>
      <c r="E61" s="284">
        <f>Table6[[#This Row],[Date]]-DAY(Table6[[#This Row],[Date]])+1</f>
        <v>45748</v>
      </c>
      <c r="F61" s="285">
        <v>45748</v>
      </c>
      <c r="G61" s="79" t="s">
        <v>113</v>
      </c>
      <c r="H61" s="79" t="str">
        <f>IFERROR(_xlfn.XLOOKUP(Table6[[#This Row],[Affected Feeder ]],'Basic Data'!$A:$A,'Basic Data'!$B:$B),"")</f>
        <v>PWEPL</v>
      </c>
      <c r="I61" s="79" t="str">
        <f>IFERROR(_xlfn.XLOOKUP(Table6[[#This Row],[Affected Feeder ]],'Basic Data'!$A:$A,'Basic Data'!$C:$C),"")</f>
        <v>MSEDCL</v>
      </c>
      <c r="J61" s="295">
        <f>IFERROR(_xlfn.XLOOKUP(Table6[[#This Row],[Affected Feeder ]],'Basic Data'!$A:$A,'Basic Data'!$E:$E),"")</f>
        <v>2.2727272727272728E-2</v>
      </c>
      <c r="K61" s="296" t="s">
        <v>171</v>
      </c>
      <c r="L61" s="297">
        <v>0.6694444444444444</v>
      </c>
      <c r="M61" s="297">
        <v>0.6694444444444444</v>
      </c>
      <c r="N61" s="297">
        <v>0.68055555555555558</v>
      </c>
      <c r="O61" s="19">
        <f>(Table6[[#This Row],[Work Start TimeStamp]]-Table6[[#This Row],[Fault Start TimeStamp]])*24</f>
        <v>0</v>
      </c>
      <c r="P61" s="19">
        <f>(Table6[[#This Row],[Fault Clearance time]]-Table6[[#This Row],[Fault Start TimeStamp]])*24</f>
        <v>0.26666666666666838</v>
      </c>
      <c r="Q61" s="19">
        <f>(Table6[[#This Row],[Fault Clearance time]]-Table6[[#This Row],[Fault Start TimeStamp]])*24</f>
        <v>0.26666666666666838</v>
      </c>
      <c r="R61" s="79" t="s">
        <v>353</v>
      </c>
      <c r="S61" s="79" t="s">
        <v>339</v>
      </c>
      <c r="T61" s="298">
        <f>IFERROR(Table6[[#This Row],[Breakdown Time]]*Table6[[#This Row],[Plant Equivalent Weightage]],"")</f>
        <v>6.0606060606060996E-3</v>
      </c>
      <c r="U61" s="79" t="s">
        <v>411</v>
      </c>
      <c r="W61" s="79">
        <v>17</v>
      </c>
    </row>
    <row r="62" spans="1:23">
      <c r="A62" s="79">
        <f t="shared" si="0"/>
        <v>61</v>
      </c>
      <c r="B62" s="79">
        <f>YEAR(Table6[[#This Row],[Date]])+IF(MONTH(Table6[[#This Row],[Date]])&gt;=4,1,0)</f>
        <v>2026</v>
      </c>
      <c r="C62" s="79">
        <f>YEAR(Table6[[#This Row],[Date]])</f>
        <v>2025</v>
      </c>
      <c r="D62" s="79" t="s">
        <v>344</v>
      </c>
      <c r="E62" s="284">
        <f>Table6[[#This Row],[Date]]-DAY(Table6[[#This Row],[Date]])+1</f>
        <v>45748</v>
      </c>
      <c r="F62" s="285">
        <v>45748</v>
      </c>
      <c r="G62" s="79" t="s">
        <v>114</v>
      </c>
      <c r="H62" s="79" t="str">
        <f>IFERROR(_xlfn.XLOOKUP(Table6[[#This Row],[Affected Feeder ]],'Basic Data'!$A:$A,'Basic Data'!$B:$B),"")</f>
        <v>PWEPL</v>
      </c>
      <c r="I62" s="79" t="str">
        <f>IFERROR(_xlfn.XLOOKUP(Table6[[#This Row],[Affected Feeder ]],'Basic Data'!$A:$A,'Basic Data'!$C:$C),"")</f>
        <v>MSEDCL</v>
      </c>
      <c r="J62" s="295">
        <f>IFERROR(_xlfn.XLOOKUP(Table6[[#This Row],[Affected Feeder ]],'Basic Data'!$A:$A,'Basic Data'!$E:$E),"")</f>
        <v>2.2727272727272728E-2</v>
      </c>
      <c r="K62" s="296" t="s">
        <v>171</v>
      </c>
      <c r="L62" s="297">
        <v>0.6694444444444444</v>
      </c>
      <c r="M62" s="297">
        <v>0.6694444444444444</v>
      </c>
      <c r="N62" s="297">
        <v>0.68194444444444446</v>
      </c>
      <c r="O62" s="19">
        <f>(Table6[[#This Row],[Work Start TimeStamp]]-Table6[[#This Row],[Fault Start TimeStamp]])*24</f>
        <v>0</v>
      </c>
      <c r="P62" s="19">
        <f>(Table6[[#This Row],[Fault Clearance time]]-Table6[[#This Row],[Fault Start TimeStamp]])*24</f>
        <v>0.3000000000000016</v>
      </c>
      <c r="Q62" s="19">
        <f>(Table6[[#This Row],[Fault Clearance time]]-Table6[[#This Row],[Fault Start TimeStamp]])*24</f>
        <v>0.3000000000000016</v>
      </c>
      <c r="R62" s="79" t="s">
        <v>353</v>
      </c>
      <c r="S62" s="79" t="s">
        <v>339</v>
      </c>
      <c r="T62" s="298">
        <f>IFERROR(Table6[[#This Row],[Breakdown Time]]*Table6[[#This Row],[Plant Equivalent Weightage]],"")</f>
        <v>6.8181818181818543E-3</v>
      </c>
      <c r="U62" s="79" t="s">
        <v>411</v>
      </c>
      <c r="W62" s="79">
        <v>17</v>
      </c>
    </row>
    <row r="63" spans="1:23">
      <c r="A63" s="79">
        <f t="shared" si="0"/>
        <v>62</v>
      </c>
      <c r="B63" s="79">
        <f>YEAR(Table6[[#This Row],[Date]])+IF(MONTH(Table6[[#This Row],[Date]])&gt;=4,1,0)</f>
        <v>2026</v>
      </c>
      <c r="C63" s="79">
        <f>YEAR(Table6[[#This Row],[Date]])</f>
        <v>2025</v>
      </c>
      <c r="D63" s="79" t="s">
        <v>344</v>
      </c>
      <c r="E63" s="284">
        <f>Table6[[#This Row],[Date]]-DAY(Table6[[#This Row],[Date]])+1</f>
        <v>45748</v>
      </c>
      <c r="F63" s="285">
        <v>45748</v>
      </c>
      <c r="G63" s="79" t="s">
        <v>80</v>
      </c>
      <c r="H63" s="79" t="str">
        <f>IFERROR(_xlfn.XLOOKUP(Table6[[#This Row],[Affected Feeder ]],'Basic Data'!$A:$A,'Basic Data'!$B:$B),"")</f>
        <v>PWEPL</v>
      </c>
      <c r="I63" s="79" t="str">
        <f>IFERROR(_xlfn.XLOOKUP(Table6[[#This Row],[Affected Feeder ]],'Basic Data'!$A:$A,'Basic Data'!$C:$C),"")</f>
        <v>MSEDCL</v>
      </c>
      <c r="J63" s="295">
        <f>IFERROR(_xlfn.XLOOKUP(Table6[[#This Row],[Affected Feeder ]],'Basic Data'!$A:$A,'Basic Data'!$E:$E),"")</f>
        <v>2.2727272727272728E-2</v>
      </c>
      <c r="K63" s="296" t="s">
        <v>171</v>
      </c>
      <c r="L63" s="297">
        <v>0.6694444444444444</v>
      </c>
      <c r="M63" s="297">
        <v>0.6694444444444444</v>
      </c>
      <c r="N63" s="297">
        <v>0.68125000000000002</v>
      </c>
      <c r="O63" s="19">
        <f>(Table6[[#This Row],[Work Start TimeStamp]]-Table6[[#This Row],[Fault Start TimeStamp]])*24</f>
        <v>0</v>
      </c>
      <c r="P63" s="19">
        <f>(Table6[[#This Row],[Fault Clearance time]]-Table6[[#This Row],[Fault Start TimeStamp]])*24</f>
        <v>0.28333333333333499</v>
      </c>
      <c r="Q63" s="19">
        <f>(Table6[[#This Row],[Fault Clearance time]]-Table6[[#This Row],[Fault Start TimeStamp]])*24</f>
        <v>0.28333333333333499</v>
      </c>
      <c r="R63" s="79" t="s">
        <v>353</v>
      </c>
      <c r="S63" s="79" t="s">
        <v>339</v>
      </c>
      <c r="T63" s="298">
        <f>IFERROR(Table6[[#This Row],[Breakdown Time]]*Table6[[#This Row],[Plant Equivalent Weightage]],"")</f>
        <v>6.4393939393939774E-3</v>
      </c>
      <c r="U63" s="79" t="s">
        <v>411</v>
      </c>
      <c r="W63" s="79">
        <v>17</v>
      </c>
    </row>
    <row r="64" spans="1:23">
      <c r="A64" s="79">
        <f t="shared" si="0"/>
        <v>63</v>
      </c>
      <c r="B64" s="79">
        <f>YEAR(Table6[[#This Row],[Date]])+IF(MONTH(Table6[[#This Row],[Date]])&gt;=4,1,0)</f>
        <v>2026</v>
      </c>
      <c r="C64" s="79">
        <f>YEAR(Table6[[#This Row],[Date]])</f>
        <v>2025</v>
      </c>
      <c r="D64" s="79" t="s">
        <v>344</v>
      </c>
      <c r="E64" s="284">
        <f>Table6[[#This Row],[Date]]-DAY(Table6[[#This Row],[Date]])+1</f>
        <v>45748</v>
      </c>
      <c r="F64" s="285">
        <v>45748</v>
      </c>
      <c r="G64" s="79" t="s">
        <v>81</v>
      </c>
      <c r="H64" s="79" t="str">
        <f>IFERROR(_xlfn.XLOOKUP(Table6[[#This Row],[Affected Feeder ]],'Basic Data'!$A:$A,'Basic Data'!$B:$B),"")</f>
        <v>PWEPL</v>
      </c>
      <c r="I64" s="79" t="str">
        <f>IFERROR(_xlfn.XLOOKUP(Table6[[#This Row],[Affected Feeder ]],'Basic Data'!$A:$A,'Basic Data'!$C:$C),"")</f>
        <v>MSEDCL</v>
      </c>
      <c r="J64" s="295">
        <f>IFERROR(_xlfn.XLOOKUP(Table6[[#This Row],[Affected Feeder ]],'Basic Data'!$A:$A,'Basic Data'!$E:$E),"")</f>
        <v>2.2727272727272728E-2</v>
      </c>
      <c r="K64" s="296" t="s">
        <v>171</v>
      </c>
      <c r="L64" s="297">
        <v>0.6694444444444444</v>
      </c>
      <c r="M64" s="297">
        <v>0.6694444444444444</v>
      </c>
      <c r="N64" s="297">
        <v>0.68194444444444446</v>
      </c>
      <c r="O64" s="19">
        <f>(Table6[[#This Row],[Work Start TimeStamp]]-Table6[[#This Row],[Fault Start TimeStamp]])*24</f>
        <v>0</v>
      </c>
      <c r="P64" s="19">
        <f>(Table6[[#This Row],[Fault Clearance time]]-Table6[[#This Row],[Fault Start TimeStamp]])*24</f>
        <v>0.3000000000000016</v>
      </c>
      <c r="Q64" s="19">
        <f>(Table6[[#This Row],[Fault Clearance time]]-Table6[[#This Row],[Fault Start TimeStamp]])*24</f>
        <v>0.3000000000000016</v>
      </c>
      <c r="R64" s="79" t="s">
        <v>353</v>
      </c>
      <c r="S64" s="79" t="s">
        <v>339</v>
      </c>
      <c r="T64" s="298">
        <f>IFERROR(Table6[[#This Row],[Breakdown Time]]*Table6[[#This Row],[Plant Equivalent Weightage]],"")</f>
        <v>6.8181818181818543E-3</v>
      </c>
      <c r="U64" s="79" t="s">
        <v>411</v>
      </c>
      <c r="W64" s="79">
        <v>17</v>
      </c>
    </row>
    <row r="65" spans="1:23">
      <c r="A65" s="79">
        <f t="shared" si="0"/>
        <v>64</v>
      </c>
      <c r="B65" s="79">
        <f>YEAR(Table6[[#This Row],[Date]])+IF(MONTH(Table6[[#This Row],[Date]])&gt;=4,1,0)</f>
        <v>2026</v>
      </c>
      <c r="C65" s="79">
        <f>YEAR(Table6[[#This Row],[Date]])</f>
        <v>2025</v>
      </c>
      <c r="D65" s="79" t="s">
        <v>344</v>
      </c>
      <c r="E65" s="284">
        <f>Table6[[#This Row],[Date]]-DAY(Table6[[#This Row],[Date]])+1</f>
        <v>45748</v>
      </c>
      <c r="F65" s="285">
        <v>45748</v>
      </c>
      <c r="G65" s="79" t="s">
        <v>107</v>
      </c>
      <c r="H65" s="79" t="str">
        <f>IFERROR(_xlfn.XLOOKUP(Table6[[#This Row],[Affected Feeder ]],'Basic Data'!$A:$A,'Basic Data'!$B:$B),"")</f>
        <v>PWEPL</v>
      </c>
      <c r="I65" s="79" t="str">
        <f>IFERROR(_xlfn.XLOOKUP(Table6[[#This Row],[Affected Feeder ]],'Basic Data'!$A:$A,'Basic Data'!$C:$C),"")</f>
        <v>MSEDCL</v>
      </c>
      <c r="J65" s="295">
        <f>IFERROR(_xlfn.XLOOKUP(Table6[[#This Row],[Affected Feeder ]],'Basic Data'!$A:$A,'Basic Data'!$E:$E),"")</f>
        <v>2.2727272727272728E-2</v>
      </c>
      <c r="K65" s="296" t="s">
        <v>171</v>
      </c>
      <c r="L65" s="297">
        <v>0.6694444444444444</v>
      </c>
      <c r="M65" s="297">
        <v>0.6694444444444444</v>
      </c>
      <c r="N65" s="297">
        <v>0.68055555555555558</v>
      </c>
      <c r="O65" s="19">
        <f>(Table6[[#This Row],[Work Start TimeStamp]]-Table6[[#This Row],[Fault Start TimeStamp]])*24</f>
        <v>0</v>
      </c>
      <c r="P65" s="19">
        <f>(Table6[[#This Row],[Fault Clearance time]]-Table6[[#This Row],[Fault Start TimeStamp]])*24</f>
        <v>0.26666666666666838</v>
      </c>
      <c r="Q65" s="19">
        <f>(Table6[[#This Row],[Fault Clearance time]]-Table6[[#This Row],[Fault Start TimeStamp]])*24</f>
        <v>0.26666666666666838</v>
      </c>
      <c r="R65" s="79" t="s">
        <v>353</v>
      </c>
      <c r="S65" s="79" t="s">
        <v>339</v>
      </c>
      <c r="T65" s="298">
        <f>IFERROR(Table6[[#This Row],[Breakdown Time]]*Table6[[#This Row],[Plant Equivalent Weightage]],"")</f>
        <v>6.0606060606060996E-3</v>
      </c>
      <c r="U65" s="79" t="s">
        <v>411</v>
      </c>
      <c r="W65" s="79">
        <v>17</v>
      </c>
    </row>
    <row r="66" spans="1:23">
      <c r="A66" s="79">
        <f t="shared" si="0"/>
        <v>65</v>
      </c>
      <c r="B66" s="79">
        <f>YEAR(Table6[[#This Row],[Date]])+IF(MONTH(Table6[[#This Row],[Date]])&gt;=4,1,0)</f>
        <v>2026</v>
      </c>
      <c r="C66" s="79">
        <f>YEAR(Table6[[#This Row],[Date]])</f>
        <v>2025</v>
      </c>
      <c r="D66" s="79" t="s">
        <v>344</v>
      </c>
      <c r="E66" s="284">
        <f>Table6[[#This Row],[Date]]-DAY(Table6[[#This Row],[Date]])+1</f>
        <v>45748</v>
      </c>
      <c r="F66" s="285">
        <v>45748</v>
      </c>
      <c r="G66" s="79" t="s">
        <v>108</v>
      </c>
      <c r="H66" s="79" t="str">
        <f>IFERROR(_xlfn.XLOOKUP(Table6[[#This Row],[Affected Feeder ]],'Basic Data'!$A:$A,'Basic Data'!$B:$B),"")</f>
        <v>PWEPL</v>
      </c>
      <c r="I66" s="79" t="str">
        <f>IFERROR(_xlfn.XLOOKUP(Table6[[#This Row],[Affected Feeder ]],'Basic Data'!$A:$A,'Basic Data'!$C:$C),"")</f>
        <v>MSEDCL</v>
      </c>
      <c r="J66" s="295">
        <f>IFERROR(_xlfn.XLOOKUP(Table6[[#This Row],[Affected Feeder ]],'Basic Data'!$A:$A,'Basic Data'!$E:$E),"")</f>
        <v>2.2727272727272728E-2</v>
      </c>
      <c r="K66" s="296" t="s">
        <v>171</v>
      </c>
      <c r="L66" s="297">
        <v>0.6694444444444444</v>
      </c>
      <c r="M66" s="297">
        <v>0.6694444444444444</v>
      </c>
      <c r="N66" s="297">
        <v>0.68263888888888891</v>
      </c>
      <c r="O66" s="19">
        <f>(Table6[[#This Row],[Work Start TimeStamp]]-Table6[[#This Row],[Fault Start TimeStamp]])*24</f>
        <v>0</v>
      </c>
      <c r="P66" s="19">
        <f>(Table6[[#This Row],[Fault Clearance time]]-Table6[[#This Row],[Fault Start TimeStamp]])*24</f>
        <v>0.31666666666666821</v>
      </c>
      <c r="Q66" s="19">
        <f>(Table6[[#This Row],[Fault Clearance time]]-Table6[[#This Row],[Fault Start TimeStamp]])*24</f>
        <v>0.31666666666666821</v>
      </c>
      <c r="R66" s="79" t="s">
        <v>353</v>
      </c>
      <c r="S66" s="79" t="s">
        <v>339</v>
      </c>
      <c r="T66" s="298">
        <f>IFERROR(Table6[[#This Row],[Breakdown Time]]*Table6[[#This Row],[Plant Equivalent Weightage]],"")</f>
        <v>7.196969696969732E-3</v>
      </c>
      <c r="U66" s="79" t="s">
        <v>411</v>
      </c>
      <c r="W66" s="79">
        <v>17</v>
      </c>
    </row>
    <row r="67" spans="1:23">
      <c r="A67" s="79">
        <f t="shared" si="0"/>
        <v>66</v>
      </c>
      <c r="B67" s="79">
        <f>YEAR(Table6[[#This Row],[Date]])+IF(MONTH(Table6[[#This Row],[Date]])&gt;=4,1,0)</f>
        <v>2026</v>
      </c>
      <c r="C67" s="79">
        <f>YEAR(Table6[[#This Row],[Date]])</f>
        <v>2025</v>
      </c>
      <c r="D67" s="79" t="s">
        <v>344</v>
      </c>
      <c r="E67" s="284">
        <f>Table6[[#This Row],[Date]]-DAY(Table6[[#This Row],[Date]])+1</f>
        <v>45748</v>
      </c>
      <c r="F67" s="285">
        <v>45748</v>
      </c>
      <c r="G67" s="79" t="s">
        <v>84</v>
      </c>
      <c r="H67" s="79" t="str">
        <f>IFERROR(_xlfn.XLOOKUP(Table6[[#This Row],[Affected Feeder ]],'Basic Data'!$A:$A,'Basic Data'!$B:$B),"")</f>
        <v>PWEPL</v>
      </c>
      <c r="I67" s="79" t="str">
        <f>IFERROR(_xlfn.XLOOKUP(Table6[[#This Row],[Affected Feeder ]],'Basic Data'!$A:$A,'Basic Data'!$C:$C),"")</f>
        <v>MSEDCL</v>
      </c>
      <c r="J67" s="295">
        <f>IFERROR(_xlfn.XLOOKUP(Table6[[#This Row],[Affected Feeder ]],'Basic Data'!$A:$A,'Basic Data'!$E:$E),"")</f>
        <v>2.2727272727272728E-2</v>
      </c>
      <c r="K67" s="296" t="s">
        <v>422</v>
      </c>
      <c r="L67" s="297">
        <v>0.79513888888888884</v>
      </c>
      <c r="M67" s="297">
        <v>0.79513888888888884</v>
      </c>
      <c r="N67" s="297">
        <v>0.83680555555555558</v>
      </c>
      <c r="O67" s="19">
        <f>(Table6[[#This Row],[Work Start TimeStamp]]-Table6[[#This Row],[Fault Start TimeStamp]])*24</f>
        <v>0</v>
      </c>
      <c r="P67" s="19">
        <f>(Table6[[#This Row],[Fault Clearance time]]-Table6[[#This Row],[Fault Start TimeStamp]])*24</f>
        <v>1.0000000000000018</v>
      </c>
      <c r="Q67" s="19">
        <f>(Table6[[#This Row],[Fault Clearance time]]-Table6[[#This Row],[Fault Start TimeStamp]])*24</f>
        <v>1.0000000000000018</v>
      </c>
      <c r="R67" s="79" t="s">
        <v>424</v>
      </c>
      <c r="S67" s="79" t="s">
        <v>339</v>
      </c>
      <c r="T67" s="298">
        <f>IFERROR(Table6[[#This Row],[Breakdown Time]]*Table6[[#This Row],[Plant Equivalent Weightage]],"")</f>
        <v>2.272727272727277E-2</v>
      </c>
      <c r="U67" s="79" t="s">
        <v>421</v>
      </c>
      <c r="W67" s="79">
        <v>1270</v>
      </c>
    </row>
    <row r="68" spans="1:23">
      <c r="A68" s="79">
        <f t="shared" ref="A68:A131" si="1">A67+1</f>
        <v>67</v>
      </c>
      <c r="B68" s="79">
        <f>YEAR(Table6[[#This Row],[Date]])+IF(MONTH(Table6[[#This Row],[Date]])&gt;=4,1,0)</f>
        <v>2026</v>
      </c>
      <c r="C68" s="79">
        <f>YEAR(Table6[[#This Row],[Date]])</f>
        <v>2025</v>
      </c>
      <c r="D68" s="79" t="s">
        <v>344</v>
      </c>
      <c r="E68" s="284">
        <f>Table6[[#This Row],[Date]]-DAY(Table6[[#This Row],[Date]])+1</f>
        <v>45748</v>
      </c>
      <c r="F68" s="285">
        <v>45748</v>
      </c>
      <c r="G68" s="79" t="s">
        <v>83</v>
      </c>
      <c r="H68" s="79" t="str">
        <f>IFERROR(_xlfn.XLOOKUP(Table6[[#This Row],[Affected Feeder ]],'Basic Data'!$A:$A,'Basic Data'!$B:$B),"")</f>
        <v>PWEPL</v>
      </c>
      <c r="I68" s="79" t="str">
        <f>IFERROR(_xlfn.XLOOKUP(Table6[[#This Row],[Affected Feeder ]],'Basic Data'!$A:$A,'Basic Data'!$C:$C),"")</f>
        <v>MSEDCL</v>
      </c>
      <c r="J68" s="295">
        <f>IFERROR(_xlfn.XLOOKUP(Table6[[#This Row],[Affected Feeder ]],'Basic Data'!$A:$A,'Basic Data'!$E:$E),"")</f>
        <v>2.2727272727272728E-2</v>
      </c>
      <c r="K68" s="296" t="s">
        <v>414</v>
      </c>
      <c r="L68" s="297">
        <v>0.44861111111111113</v>
      </c>
      <c r="M68" s="297">
        <v>0.44861111111111113</v>
      </c>
      <c r="N68" s="297">
        <v>0.77083333333333337</v>
      </c>
      <c r="O68" s="19">
        <f>(Table6[[#This Row],[Work Start TimeStamp]]-Table6[[#This Row],[Fault Start TimeStamp]])*24</f>
        <v>0</v>
      </c>
      <c r="P68" s="19">
        <f>(Table6[[#This Row],[Fault Clearance time]]-Table6[[#This Row],[Fault Start TimeStamp]])*24</f>
        <v>7.7333333333333343</v>
      </c>
      <c r="Q68" s="19">
        <f>(Table6[[#This Row],[Fault Clearance time]]-Table6[[#This Row],[Fault Start TimeStamp]])*24</f>
        <v>7.7333333333333343</v>
      </c>
      <c r="R68" s="79" t="s">
        <v>427</v>
      </c>
      <c r="S68" s="79" t="s">
        <v>339</v>
      </c>
      <c r="T68" s="298">
        <f>IFERROR(Table6[[#This Row],[Breakdown Time]]*Table6[[#This Row],[Plant Equivalent Weightage]],"")</f>
        <v>0.17575757575757578</v>
      </c>
      <c r="U68" s="79" t="s">
        <v>416</v>
      </c>
      <c r="W68" s="79">
        <v>1790</v>
      </c>
    </row>
    <row r="69" spans="1:23">
      <c r="A69" s="79">
        <f t="shared" si="1"/>
        <v>68</v>
      </c>
      <c r="B69" s="79">
        <f>YEAR(Table6[[#This Row],[Date]])+IF(MONTH(Table6[[#This Row],[Date]])&gt;=4,1,0)</f>
        <v>2026</v>
      </c>
      <c r="C69" s="79">
        <f>YEAR(Table6[[#This Row],[Date]])</f>
        <v>2025</v>
      </c>
      <c r="D69" s="79" t="s">
        <v>344</v>
      </c>
      <c r="E69" s="284">
        <f>Table6[[#This Row],[Date]]-DAY(Table6[[#This Row],[Date]])+1</f>
        <v>45748</v>
      </c>
      <c r="F69" s="285">
        <v>45748</v>
      </c>
      <c r="G69" s="79" t="s">
        <v>83</v>
      </c>
      <c r="H69" s="79" t="str">
        <f>IFERROR(_xlfn.XLOOKUP(Table6[[#This Row],[Affected Feeder ]],'Basic Data'!$A:$A,'Basic Data'!$B:$B),"")</f>
        <v>PWEPL</v>
      </c>
      <c r="I69" s="79" t="str">
        <f>IFERROR(_xlfn.XLOOKUP(Table6[[#This Row],[Affected Feeder ]],'Basic Data'!$A:$A,'Basic Data'!$C:$C),"")</f>
        <v>MSEDCL</v>
      </c>
      <c r="J69" s="295">
        <f>IFERROR(_xlfn.XLOOKUP(Table6[[#This Row],[Affected Feeder ]],'Basic Data'!$A:$A,'Basic Data'!$E:$E),"")</f>
        <v>2.2727272727272728E-2</v>
      </c>
      <c r="K69" s="296" t="s">
        <v>171</v>
      </c>
      <c r="L69" s="297">
        <v>0.77083333333333337</v>
      </c>
      <c r="M69" s="297">
        <v>0.77083333333333337</v>
      </c>
      <c r="N69" s="297">
        <v>0.78472222222222221</v>
      </c>
      <c r="O69" s="19">
        <f>(Table6[[#This Row],[Work Start TimeStamp]]-Table6[[#This Row],[Fault Start TimeStamp]])*24</f>
        <v>0</v>
      </c>
      <c r="P69" s="19">
        <f>(Table6[[#This Row],[Fault Clearance time]]-Table6[[#This Row],[Fault Start TimeStamp]])*24</f>
        <v>0.33333333333333215</v>
      </c>
      <c r="Q69" s="19">
        <f>(Table6[[#This Row],[Fault Clearance time]]-Table6[[#This Row],[Fault Start TimeStamp]])*24</f>
        <v>0.33333333333333215</v>
      </c>
      <c r="R69" s="79" t="s">
        <v>353</v>
      </c>
      <c r="S69" s="79" t="s">
        <v>339</v>
      </c>
      <c r="T69" s="298">
        <f>IFERROR(Table6[[#This Row],[Breakdown Time]]*Table6[[#This Row],[Plant Equivalent Weightage]],"")</f>
        <v>7.5757575757575491E-3</v>
      </c>
      <c r="U69" s="79" t="s">
        <v>416</v>
      </c>
      <c r="W69" s="79">
        <v>77</v>
      </c>
    </row>
    <row r="70" spans="1:23">
      <c r="A70" s="79">
        <f t="shared" si="1"/>
        <v>69</v>
      </c>
      <c r="B70" s="79">
        <f>YEAR(Table6[[#This Row],[Date]])+IF(MONTH(Table6[[#This Row],[Date]])&gt;=4,1,0)</f>
        <v>2026</v>
      </c>
      <c r="C70" s="79">
        <f>YEAR(Table6[[#This Row],[Date]])</f>
        <v>2025</v>
      </c>
      <c r="D70" s="79" t="s">
        <v>344</v>
      </c>
      <c r="E70" s="284">
        <f>Table6[[#This Row],[Date]]-DAY(Table6[[#This Row],[Date]])+1</f>
        <v>45748</v>
      </c>
      <c r="F70" s="285">
        <v>45748</v>
      </c>
      <c r="G70" s="79" t="s">
        <v>98</v>
      </c>
      <c r="H70" s="79" t="str">
        <f>IFERROR(_xlfn.XLOOKUP(Table6[[#This Row],[Affected Feeder ]],'Basic Data'!$A:$A,'Basic Data'!$B:$B),"")</f>
        <v>PWEPL</v>
      </c>
      <c r="I70" s="79" t="str">
        <f>IFERROR(_xlfn.XLOOKUP(Table6[[#This Row],[Affected Feeder ]],'Basic Data'!$A:$A,'Basic Data'!$C:$C),"")</f>
        <v>MSEDCL</v>
      </c>
      <c r="J70" s="295">
        <f>IFERROR(_xlfn.XLOOKUP(Table6[[#This Row],[Affected Feeder ]],'Basic Data'!$A:$A,'Basic Data'!$E:$E),"")</f>
        <v>2.2727272727272728E-2</v>
      </c>
      <c r="K70" s="296" t="s">
        <v>414</v>
      </c>
      <c r="L70" s="297">
        <v>0.44861111111111113</v>
      </c>
      <c r="M70" s="297">
        <v>0.44861111111111113</v>
      </c>
      <c r="N70" s="297">
        <v>0.77083333333333337</v>
      </c>
      <c r="O70" s="19">
        <f>(Table6[[#This Row],[Work Start TimeStamp]]-Table6[[#This Row],[Fault Start TimeStamp]])*24</f>
        <v>0</v>
      </c>
      <c r="P70" s="19">
        <f>(Table6[[#This Row],[Fault Clearance time]]-Table6[[#This Row],[Fault Start TimeStamp]])*24</f>
        <v>7.7333333333333343</v>
      </c>
      <c r="Q70" s="19">
        <f>(Table6[[#This Row],[Fault Clearance time]]-Table6[[#This Row],[Fault Start TimeStamp]])*24</f>
        <v>7.7333333333333343</v>
      </c>
      <c r="R70" s="79" t="s">
        <v>427</v>
      </c>
      <c r="S70" s="79" t="s">
        <v>339</v>
      </c>
      <c r="T70" s="298">
        <f>IFERROR(Table6[[#This Row],[Breakdown Time]]*Table6[[#This Row],[Plant Equivalent Weightage]],"")</f>
        <v>0.17575757575757578</v>
      </c>
      <c r="U70" s="79" t="s">
        <v>416</v>
      </c>
      <c r="W70" s="79">
        <v>1790</v>
      </c>
    </row>
    <row r="71" spans="1:23">
      <c r="A71" s="79">
        <f t="shared" si="1"/>
        <v>70</v>
      </c>
      <c r="B71" s="79">
        <f>YEAR(Table6[[#This Row],[Date]])+IF(MONTH(Table6[[#This Row],[Date]])&gt;=4,1,0)</f>
        <v>2026</v>
      </c>
      <c r="C71" s="79">
        <f>YEAR(Table6[[#This Row],[Date]])</f>
        <v>2025</v>
      </c>
      <c r="D71" s="79" t="s">
        <v>344</v>
      </c>
      <c r="E71" s="284">
        <f>Table6[[#This Row],[Date]]-DAY(Table6[[#This Row],[Date]])+1</f>
        <v>45748</v>
      </c>
      <c r="F71" s="285">
        <v>45748</v>
      </c>
      <c r="G71" s="79" t="s">
        <v>98</v>
      </c>
      <c r="H71" s="79" t="str">
        <f>IFERROR(_xlfn.XLOOKUP(Table6[[#This Row],[Affected Feeder ]],'Basic Data'!$A:$A,'Basic Data'!$B:$B),"")</f>
        <v>PWEPL</v>
      </c>
      <c r="I71" s="79" t="str">
        <f>IFERROR(_xlfn.XLOOKUP(Table6[[#This Row],[Affected Feeder ]],'Basic Data'!$A:$A,'Basic Data'!$C:$C),"")</f>
        <v>MSEDCL</v>
      </c>
      <c r="J71" s="295">
        <f>IFERROR(_xlfn.XLOOKUP(Table6[[#This Row],[Affected Feeder ]],'Basic Data'!$A:$A,'Basic Data'!$E:$E),"")</f>
        <v>2.2727272727272728E-2</v>
      </c>
      <c r="K71" s="296" t="s">
        <v>171</v>
      </c>
      <c r="L71" s="297">
        <v>0.77083333333333337</v>
      </c>
      <c r="M71" s="297">
        <v>0.77083333333333337</v>
      </c>
      <c r="N71" s="297">
        <v>0.78472222222222221</v>
      </c>
      <c r="O71" s="19">
        <f>(Table6[[#This Row],[Work Start TimeStamp]]-Table6[[#This Row],[Fault Start TimeStamp]])*24</f>
        <v>0</v>
      </c>
      <c r="P71" s="19">
        <f>(Table6[[#This Row],[Fault Clearance time]]-Table6[[#This Row],[Fault Start TimeStamp]])*24</f>
        <v>0.33333333333333215</v>
      </c>
      <c r="Q71" s="19">
        <f>(Table6[[#This Row],[Fault Clearance time]]-Table6[[#This Row],[Fault Start TimeStamp]])*24</f>
        <v>0.33333333333333215</v>
      </c>
      <c r="R71" s="79" t="s">
        <v>353</v>
      </c>
      <c r="S71" s="79" t="s">
        <v>339</v>
      </c>
      <c r="T71" s="298">
        <f>IFERROR(Table6[[#This Row],[Breakdown Time]]*Table6[[#This Row],[Plant Equivalent Weightage]],"")</f>
        <v>7.5757575757575491E-3</v>
      </c>
      <c r="U71" s="79" t="s">
        <v>416</v>
      </c>
      <c r="W71" s="79">
        <v>77</v>
      </c>
    </row>
    <row r="72" spans="1:23">
      <c r="A72" s="79">
        <f t="shared" si="1"/>
        <v>71</v>
      </c>
      <c r="B72" s="79">
        <f>YEAR(Table6[[#This Row],[Date]])+IF(MONTH(Table6[[#This Row],[Date]])&gt;=4,1,0)</f>
        <v>2026</v>
      </c>
      <c r="C72" s="79">
        <f>YEAR(Table6[[#This Row],[Date]])</f>
        <v>2025</v>
      </c>
      <c r="D72" s="79" t="s">
        <v>344</v>
      </c>
      <c r="E72" s="284">
        <f>Table6[[#This Row],[Date]]-DAY(Table6[[#This Row],[Date]])+1</f>
        <v>45748</v>
      </c>
      <c r="F72" s="285">
        <v>45748</v>
      </c>
      <c r="G72" s="79" t="s">
        <v>99</v>
      </c>
      <c r="H72" s="79" t="str">
        <f>IFERROR(_xlfn.XLOOKUP(Table6[[#This Row],[Affected Feeder ]],'Basic Data'!$A:$A,'Basic Data'!$B:$B),"")</f>
        <v>PWEPL</v>
      </c>
      <c r="I72" s="79" t="str">
        <f>IFERROR(_xlfn.XLOOKUP(Table6[[#This Row],[Affected Feeder ]],'Basic Data'!$A:$A,'Basic Data'!$C:$C),"")</f>
        <v>MSEDCL</v>
      </c>
      <c r="J72" s="295">
        <f>IFERROR(_xlfn.XLOOKUP(Table6[[#This Row],[Affected Feeder ]],'Basic Data'!$A:$A,'Basic Data'!$E:$E),"")</f>
        <v>2.2727272727272728E-2</v>
      </c>
      <c r="K72" s="296" t="s">
        <v>414</v>
      </c>
      <c r="L72" s="297">
        <v>0.44861111111111113</v>
      </c>
      <c r="M72" s="297">
        <v>0.44861111111111113</v>
      </c>
      <c r="N72" s="297">
        <v>0.77083333333333337</v>
      </c>
      <c r="O72" s="19">
        <f>(Table6[[#This Row],[Work Start TimeStamp]]-Table6[[#This Row],[Fault Start TimeStamp]])*24</f>
        <v>0</v>
      </c>
      <c r="P72" s="19">
        <f>(Table6[[#This Row],[Fault Clearance time]]-Table6[[#This Row],[Fault Start TimeStamp]])*24</f>
        <v>7.7333333333333343</v>
      </c>
      <c r="Q72" s="19">
        <f>(Table6[[#This Row],[Fault Clearance time]]-Table6[[#This Row],[Fault Start TimeStamp]])*24</f>
        <v>7.7333333333333343</v>
      </c>
      <c r="R72" s="79" t="s">
        <v>427</v>
      </c>
      <c r="S72" s="79" t="s">
        <v>339</v>
      </c>
      <c r="T72" s="298">
        <f>IFERROR(Table6[[#This Row],[Breakdown Time]]*Table6[[#This Row],[Plant Equivalent Weightage]],"")</f>
        <v>0.17575757575757578</v>
      </c>
      <c r="U72" s="79" t="s">
        <v>416</v>
      </c>
      <c r="W72" s="79">
        <v>1790</v>
      </c>
    </row>
    <row r="73" spans="1:23">
      <c r="A73" s="79">
        <f t="shared" si="1"/>
        <v>72</v>
      </c>
      <c r="B73" s="79">
        <f>YEAR(Table6[[#This Row],[Date]])+IF(MONTH(Table6[[#This Row],[Date]])&gt;=4,1,0)</f>
        <v>2026</v>
      </c>
      <c r="C73" s="79">
        <f>YEAR(Table6[[#This Row],[Date]])</f>
        <v>2025</v>
      </c>
      <c r="D73" s="79" t="s">
        <v>344</v>
      </c>
      <c r="E73" s="284">
        <f>Table6[[#This Row],[Date]]-DAY(Table6[[#This Row],[Date]])+1</f>
        <v>45748</v>
      </c>
      <c r="F73" s="285">
        <v>45748</v>
      </c>
      <c r="G73" s="79" t="s">
        <v>99</v>
      </c>
      <c r="H73" s="79" t="str">
        <f>IFERROR(_xlfn.XLOOKUP(Table6[[#This Row],[Affected Feeder ]],'Basic Data'!$A:$A,'Basic Data'!$B:$B),"")</f>
        <v>PWEPL</v>
      </c>
      <c r="I73" s="79" t="str">
        <f>IFERROR(_xlfn.XLOOKUP(Table6[[#This Row],[Affected Feeder ]],'Basic Data'!$A:$A,'Basic Data'!$C:$C),"")</f>
        <v>MSEDCL</v>
      </c>
      <c r="J73" s="295">
        <f>IFERROR(_xlfn.XLOOKUP(Table6[[#This Row],[Affected Feeder ]],'Basic Data'!$A:$A,'Basic Data'!$E:$E),"")</f>
        <v>2.2727272727272728E-2</v>
      </c>
      <c r="K73" s="296" t="s">
        <v>171</v>
      </c>
      <c r="L73" s="297">
        <v>0.77083333333333337</v>
      </c>
      <c r="M73" s="297">
        <v>0.77083333333333337</v>
      </c>
      <c r="N73" s="297">
        <v>0.78472222222222221</v>
      </c>
      <c r="O73" s="19">
        <f>(Table6[[#This Row],[Work Start TimeStamp]]-Table6[[#This Row],[Fault Start TimeStamp]])*24</f>
        <v>0</v>
      </c>
      <c r="P73" s="19">
        <f>(Table6[[#This Row],[Fault Clearance time]]-Table6[[#This Row],[Fault Start TimeStamp]])*24</f>
        <v>0.33333333333333215</v>
      </c>
      <c r="Q73" s="19">
        <f>(Table6[[#This Row],[Fault Clearance time]]-Table6[[#This Row],[Fault Start TimeStamp]])*24</f>
        <v>0.33333333333333215</v>
      </c>
      <c r="R73" s="79" t="s">
        <v>353</v>
      </c>
      <c r="S73" s="79" t="s">
        <v>339</v>
      </c>
      <c r="T73" s="298">
        <f>IFERROR(Table6[[#This Row],[Breakdown Time]]*Table6[[#This Row],[Plant Equivalent Weightage]],"")</f>
        <v>7.5757575757575491E-3</v>
      </c>
      <c r="U73" s="79" t="s">
        <v>416</v>
      </c>
      <c r="W73" s="79">
        <v>77</v>
      </c>
    </row>
    <row r="74" spans="1:23">
      <c r="A74" s="79">
        <f t="shared" si="1"/>
        <v>73</v>
      </c>
      <c r="B74" s="79">
        <f>YEAR(Table6[[#This Row],[Date]])+IF(MONTH(Table6[[#This Row],[Date]])&gt;=4,1,0)</f>
        <v>2026</v>
      </c>
      <c r="C74" s="79">
        <f>YEAR(Table6[[#This Row],[Date]])</f>
        <v>2025</v>
      </c>
      <c r="D74" s="79" t="s">
        <v>344</v>
      </c>
      <c r="E74" s="284">
        <f>Table6[[#This Row],[Date]]-DAY(Table6[[#This Row],[Date]])+1</f>
        <v>45748</v>
      </c>
      <c r="F74" s="285">
        <v>45748</v>
      </c>
      <c r="G74" s="79" t="s">
        <v>100</v>
      </c>
      <c r="H74" s="79" t="str">
        <f>IFERROR(_xlfn.XLOOKUP(Table6[[#This Row],[Affected Feeder ]],'Basic Data'!$A:$A,'Basic Data'!$B:$B),"")</f>
        <v>PWEPL</v>
      </c>
      <c r="I74" s="79" t="str">
        <f>IFERROR(_xlfn.XLOOKUP(Table6[[#This Row],[Affected Feeder ]],'Basic Data'!$A:$A,'Basic Data'!$C:$C),"")</f>
        <v>MSEDCL</v>
      </c>
      <c r="J74" s="295">
        <f>IFERROR(_xlfn.XLOOKUP(Table6[[#This Row],[Affected Feeder ]],'Basic Data'!$A:$A,'Basic Data'!$E:$E),"")</f>
        <v>2.2727272727272728E-2</v>
      </c>
      <c r="K74" s="296" t="s">
        <v>414</v>
      </c>
      <c r="L74" s="297">
        <v>0.44861111111111113</v>
      </c>
      <c r="M74" s="297">
        <v>0.44861111111111113</v>
      </c>
      <c r="N74" s="297">
        <v>0.77083333333333337</v>
      </c>
      <c r="O74" s="19">
        <f>(Table6[[#This Row],[Work Start TimeStamp]]-Table6[[#This Row],[Fault Start TimeStamp]])*24</f>
        <v>0</v>
      </c>
      <c r="P74" s="19">
        <f>(Table6[[#This Row],[Fault Clearance time]]-Table6[[#This Row],[Fault Start TimeStamp]])*24</f>
        <v>7.7333333333333343</v>
      </c>
      <c r="Q74" s="19">
        <f>(Table6[[#This Row],[Fault Clearance time]]-Table6[[#This Row],[Fault Start TimeStamp]])*24</f>
        <v>7.7333333333333343</v>
      </c>
      <c r="R74" s="79" t="s">
        <v>427</v>
      </c>
      <c r="S74" s="79" t="s">
        <v>339</v>
      </c>
      <c r="T74" s="298">
        <f>IFERROR(Table6[[#This Row],[Breakdown Time]]*Table6[[#This Row],[Plant Equivalent Weightage]],"")</f>
        <v>0.17575757575757578</v>
      </c>
      <c r="U74" s="79" t="s">
        <v>416</v>
      </c>
      <c r="W74" s="79">
        <v>1790</v>
      </c>
    </row>
    <row r="75" spans="1:23">
      <c r="A75" s="79">
        <f t="shared" si="1"/>
        <v>74</v>
      </c>
      <c r="B75" s="79">
        <f>YEAR(Table6[[#This Row],[Date]])+IF(MONTH(Table6[[#This Row],[Date]])&gt;=4,1,0)</f>
        <v>2026</v>
      </c>
      <c r="C75" s="79">
        <f>YEAR(Table6[[#This Row],[Date]])</f>
        <v>2025</v>
      </c>
      <c r="D75" s="79" t="s">
        <v>344</v>
      </c>
      <c r="E75" s="284">
        <f>Table6[[#This Row],[Date]]-DAY(Table6[[#This Row],[Date]])+1</f>
        <v>45748</v>
      </c>
      <c r="F75" s="285">
        <v>45748</v>
      </c>
      <c r="G75" s="79" t="s">
        <v>100</v>
      </c>
      <c r="H75" s="79" t="str">
        <f>IFERROR(_xlfn.XLOOKUP(Table6[[#This Row],[Affected Feeder ]],'Basic Data'!$A:$A,'Basic Data'!$B:$B),"")</f>
        <v>PWEPL</v>
      </c>
      <c r="I75" s="79" t="str">
        <f>IFERROR(_xlfn.XLOOKUP(Table6[[#This Row],[Affected Feeder ]],'Basic Data'!$A:$A,'Basic Data'!$C:$C),"")</f>
        <v>MSEDCL</v>
      </c>
      <c r="J75" s="295">
        <f>IFERROR(_xlfn.XLOOKUP(Table6[[#This Row],[Affected Feeder ]],'Basic Data'!$A:$A,'Basic Data'!$E:$E),"")</f>
        <v>2.2727272727272728E-2</v>
      </c>
      <c r="K75" s="296" t="s">
        <v>171</v>
      </c>
      <c r="L75" s="297">
        <v>0.77083333333333337</v>
      </c>
      <c r="M75" s="297">
        <v>0.77083333333333337</v>
      </c>
      <c r="N75" s="297">
        <v>0.78472222222222221</v>
      </c>
      <c r="O75" s="19">
        <f>(Table6[[#This Row],[Work Start TimeStamp]]-Table6[[#This Row],[Fault Start TimeStamp]])*24</f>
        <v>0</v>
      </c>
      <c r="P75" s="19">
        <f>(Table6[[#This Row],[Fault Clearance time]]-Table6[[#This Row],[Fault Start TimeStamp]])*24</f>
        <v>0.33333333333333215</v>
      </c>
      <c r="Q75" s="19">
        <f>(Table6[[#This Row],[Fault Clearance time]]-Table6[[#This Row],[Fault Start TimeStamp]])*24</f>
        <v>0.33333333333333215</v>
      </c>
      <c r="R75" s="79" t="s">
        <v>353</v>
      </c>
      <c r="S75" s="79" t="s">
        <v>339</v>
      </c>
      <c r="T75" s="298">
        <f>IFERROR(Table6[[#This Row],[Breakdown Time]]*Table6[[#This Row],[Plant Equivalent Weightage]],"")</f>
        <v>7.5757575757575491E-3</v>
      </c>
      <c r="U75" s="79" t="s">
        <v>416</v>
      </c>
      <c r="W75" s="79">
        <v>77</v>
      </c>
    </row>
    <row r="76" spans="1:23">
      <c r="A76" s="79">
        <f t="shared" si="1"/>
        <v>75</v>
      </c>
      <c r="B76" s="79">
        <f>YEAR(Table6[[#This Row],[Date]])+IF(MONTH(Table6[[#This Row],[Date]])&gt;=4,1,0)</f>
        <v>2026</v>
      </c>
      <c r="C76" s="79">
        <f>YEAR(Table6[[#This Row],[Date]])</f>
        <v>2025</v>
      </c>
      <c r="D76" s="79" t="s">
        <v>344</v>
      </c>
      <c r="E76" s="284">
        <f>Table6[[#This Row],[Date]]-DAY(Table6[[#This Row],[Date]])+1</f>
        <v>45748</v>
      </c>
      <c r="F76" s="285">
        <v>45748</v>
      </c>
      <c r="G76" s="79" t="s">
        <v>101</v>
      </c>
      <c r="H76" s="79" t="str">
        <f>IFERROR(_xlfn.XLOOKUP(Table6[[#This Row],[Affected Feeder ]],'Basic Data'!$A:$A,'Basic Data'!$B:$B),"")</f>
        <v>PWEPL</v>
      </c>
      <c r="I76" s="79" t="str">
        <f>IFERROR(_xlfn.XLOOKUP(Table6[[#This Row],[Affected Feeder ]],'Basic Data'!$A:$A,'Basic Data'!$C:$C),"")</f>
        <v>MSEDCL</v>
      </c>
      <c r="J76" s="295">
        <f>IFERROR(_xlfn.XLOOKUP(Table6[[#This Row],[Affected Feeder ]],'Basic Data'!$A:$A,'Basic Data'!$E:$E),"")</f>
        <v>2.2727272727272728E-2</v>
      </c>
      <c r="K76" s="296" t="s">
        <v>414</v>
      </c>
      <c r="L76" s="297">
        <v>0.44861111111111113</v>
      </c>
      <c r="M76" s="297">
        <v>0.44861111111111113</v>
      </c>
      <c r="N76" s="297">
        <v>0.77083333333333337</v>
      </c>
      <c r="O76" s="19">
        <f>(Table6[[#This Row],[Work Start TimeStamp]]-Table6[[#This Row],[Fault Start TimeStamp]])*24</f>
        <v>0</v>
      </c>
      <c r="P76" s="19">
        <f>(Table6[[#This Row],[Fault Clearance time]]-Table6[[#This Row],[Fault Start TimeStamp]])*24</f>
        <v>7.7333333333333343</v>
      </c>
      <c r="Q76" s="19">
        <f>(Table6[[#This Row],[Fault Clearance time]]-Table6[[#This Row],[Fault Start TimeStamp]])*24</f>
        <v>7.7333333333333343</v>
      </c>
      <c r="R76" s="79" t="s">
        <v>427</v>
      </c>
      <c r="S76" s="79" t="s">
        <v>339</v>
      </c>
      <c r="T76" s="298">
        <f>IFERROR(Table6[[#This Row],[Breakdown Time]]*Table6[[#This Row],[Plant Equivalent Weightage]],"")</f>
        <v>0.17575757575757578</v>
      </c>
      <c r="U76" s="79" t="s">
        <v>416</v>
      </c>
      <c r="W76" s="79">
        <v>1790</v>
      </c>
    </row>
    <row r="77" spans="1:23">
      <c r="A77" s="79">
        <f t="shared" si="1"/>
        <v>76</v>
      </c>
      <c r="B77" s="79">
        <f>YEAR(Table6[[#This Row],[Date]])+IF(MONTH(Table6[[#This Row],[Date]])&gt;=4,1,0)</f>
        <v>2026</v>
      </c>
      <c r="C77" s="79">
        <f>YEAR(Table6[[#This Row],[Date]])</f>
        <v>2025</v>
      </c>
      <c r="D77" s="79" t="s">
        <v>344</v>
      </c>
      <c r="E77" s="284">
        <f>Table6[[#This Row],[Date]]-DAY(Table6[[#This Row],[Date]])+1</f>
        <v>45748</v>
      </c>
      <c r="F77" s="285">
        <v>45748</v>
      </c>
      <c r="G77" s="79" t="s">
        <v>101</v>
      </c>
      <c r="H77" s="79" t="str">
        <f>IFERROR(_xlfn.XLOOKUP(Table6[[#This Row],[Affected Feeder ]],'Basic Data'!$A:$A,'Basic Data'!$B:$B),"")</f>
        <v>PWEPL</v>
      </c>
      <c r="I77" s="79" t="str">
        <f>IFERROR(_xlfn.XLOOKUP(Table6[[#This Row],[Affected Feeder ]],'Basic Data'!$A:$A,'Basic Data'!$C:$C),"")</f>
        <v>MSEDCL</v>
      </c>
      <c r="J77" s="295">
        <f>IFERROR(_xlfn.XLOOKUP(Table6[[#This Row],[Affected Feeder ]],'Basic Data'!$A:$A,'Basic Data'!$E:$E),"")</f>
        <v>2.2727272727272728E-2</v>
      </c>
      <c r="K77" s="296" t="s">
        <v>171</v>
      </c>
      <c r="L77" s="297">
        <v>0.77083333333333337</v>
      </c>
      <c r="M77" s="297">
        <v>0.77083333333333337</v>
      </c>
      <c r="N77" s="297">
        <v>0.78472222222222221</v>
      </c>
      <c r="O77" s="19">
        <f>(Table6[[#This Row],[Work Start TimeStamp]]-Table6[[#This Row],[Fault Start TimeStamp]])*24</f>
        <v>0</v>
      </c>
      <c r="P77" s="19">
        <f>(Table6[[#This Row],[Fault Clearance time]]-Table6[[#This Row],[Fault Start TimeStamp]])*24</f>
        <v>0.33333333333333215</v>
      </c>
      <c r="Q77" s="19">
        <f>(Table6[[#This Row],[Fault Clearance time]]-Table6[[#This Row],[Fault Start TimeStamp]])*24</f>
        <v>0.33333333333333215</v>
      </c>
      <c r="R77" s="79" t="s">
        <v>353</v>
      </c>
      <c r="S77" s="79" t="s">
        <v>339</v>
      </c>
      <c r="T77" s="298">
        <f>IFERROR(Table6[[#This Row],[Breakdown Time]]*Table6[[#This Row],[Plant Equivalent Weightage]],"")</f>
        <v>7.5757575757575491E-3</v>
      </c>
      <c r="U77" s="79" t="s">
        <v>416</v>
      </c>
      <c r="W77" s="79">
        <v>77</v>
      </c>
    </row>
    <row r="78" spans="1:23">
      <c r="A78" s="79">
        <f t="shared" si="1"/>
        <v>77</v>
      </c>
      <c r="B78" s="79">
        <f>YEAR(Table6[[#This Row],[Date]])+IF(MONTH(Table6[[#This Row],[Date]])&gt;=4,1,0)</f>
        <v>2026</v>
      </c>
      <c r="C78" s="79">
        <f>YEAR(Table6[[#This Row],[Date]])</f>
        <v>2025</v>
      </c>
      <c r="D78" s="79" t="s">
        <v>344</v>
      </c>
      <c r="E78" s="284">
        <f>Table6[[#This Row],[Date]]-DAY(Table6[[#This Row],[Date]])+1</f>
        <v>45748</v>
      </c>
      <c r="F78" s="285">
        <v>45749</v>
      </c>
      <c r="G78" s="79" t="s">
        <v>405</v>
      </c>
      <c r="H78" s="79" t="str">
        <f>IFERROR(_xlfn.XLOOKUP(Table6[[#This Row],[Affected Feeder ]],'Basic Data'!$A:$A,'Basic Data'!$B:$B),"")</f>
        <v>PWEPL</v>
      </c>
      <c r="I78" s="79" t="str">
        <f>IFERROR(_xlfn.XLOOKUP(Table6[[#This Row],[Affected Feeder ]],'Basic Data'!$A:$A,'Basic Data'!$C:$C),"")</f>
        <v>MSEDCL</v>
      </c>
      <c r="J78" s="295">
        <f>IFERROR(_xlfn.XLOOKUP(Table6[[#This Row],[Affected Feeder ]],'Basic Data'!$A:$A,'Basic Data'!$E:$E),"")</f>
        <v>0.20454545454545453</v>
      </c>
      <c r="K78" s="296" t="s">
        <v>419</v>
      </c>
      <c r="L78" s="297">
        <v>8.4722222222222213E-2</v>
      </c>
      <c r="M78" s="297">
        <v>8.4722222222222213E-2</v>
      </c>
      <c r="N78" s="297">
        <v>9.5138888888888884E-2</v>
      </c>
      <c r="O78" s="19">
        <f>(Table6[[#This Row],[Work Start TimeStamp]]-Table6[[#This Row],[Fault Start TimeStamp]])*24</f>
        <v>0</v>
      </c>
      <c r="P78" s="19">
        <f>(Table6[[#This Row],[Fault Clearance time]]-Table6[[#This Row],[Fault Start TimeStamp]])*24</f>
        <v>0.25000000000000011</v>
      </c>
      <c r="Q78" s="19">
        <f>(Table6[[#This Row],[Fault Clearance time]]-Table6[[#This Row],[Fault Start TimeStamp]])*24</f>
        <v>0.25000000000000011</v>
      </c>
      <c r="R78" s="79" t="s">
        <v>420</v>
      </c>
      <c r="S78" s="79" t="s">
        <v>339</v>
      </c>
      <c r="T78" s="298">
        <f>IFERROR(Table6[[#This Row],[Breakdown Time]]*Table6[[#This Row],[Plant Equivalent Weightage]],"")</f>
        <v>5.1136363636363653E-2</v>
      </c>
      <c r="U78" s="79" t="s">
        <v>421</v>
      </c>
      <c r="W78" s="79">
        <v>904</v>
      </c>
    </row>
    <row r="79" spans="1:23">
      <c r="A79" s="79">
        <f t="shared" si="1"/>
        <v>78</v>
      </c>
      <c r="B79" s="79">
        <f>YEAR(Table6[[#This Row],[Date]])+IF(MONTH(Table6[[#This Row],[Date]])&gt;=4,1,0)</f>
        <v>2026</v>
      </c>
      <c r="C79" s="79">
        <f>YEAR(Table6[[#This Row],[Date]])</f>
        <v>2025</v>
      </c>
      <c r="D79" s="79" t="s">
        <v>344</v>
      </c>
      <c r="E79" s="284">
        <f>Table6[[#This Row],[Date]]-DAY(Table6[[#This Row],[Date]])+1</f>
        <v>45748</v>
      </c>
      <c r="F79" s="285">
        <v>45749</v>
      </c>
      <c r="G79" s="79" t="s">
        <v>80</v>
      </c>
      <c r="H79" s="79" t="str">
        <f>IFERROR(_xlfn.XLOOKUP(Table6[[#This Row],[Affected Feeder ]],'Basic Data'!$A:$A,'Basic Data'!$B:$B),"")</f>
        <v>PWEPL</v>
      </c>
      <c r="I79" s="79" t="str">
        <f>IFERROR(_xlfn.XLOOKUP(Table6[[#This Row],[Affected Feeder ]],'Basic Data'!$A:$A,'Basic Data'!$C:$C),"")</f>
        <v>MSEDCL</v>
      </c>
      <c r="J79" s="295">
        <f>IFERROR(_xlfn.XLOOKUP(Table6[[#This Row],[Affected Feeder ]],'Basic Data'!$A:$A,'Basic Data'!$E:$E),"")</f>
        <v>2.2727272727272728E-2</v>
      </c>
      <c r="K79" s="296" t="s">
        <v>171</v>
      </c>
      <c r="L79" s="297">
        <v>9.5138888888888884E-2</v>
      </c>
      <c r="M79" s="297">
        <v>9.5138888888888884E-2</v>
      </c>
      <c r="N79" s="297">
        <v>0.10486111111111111</v>
      </c>
      <c r="O79" s="19">
        <f>(Table6[[#This Row],[Work Start TimeStamp]]-Table6[[#This Row],[Fault Start TimeStamp]])*24</f>
        <v>0</v>
      </c>
      <c r="P79" s="19">
        <f>(Table6[[#This Row],[Fault Clearance time]]-Table6[[#This Row],[Fault Start TimeStamp]])*24</f>
        <v>0.2333333333333335</v>
      </c>
      <c r="Q79" s="19">
        <f>(Table6[[#This Row],[Fault Clearance time]]-Table6[[#This Row],[Fault Start TimeStamp]])*24</f>
        <v>0.2333333333333335</v>
      </c>
      <c r="R79" s="79" t="s">
        <v>353</v>
      </c>
      <c r="S79" s="79" t="s">
        <v>339</v>
      </c>
      <c r="T79" s="298">
        <f>IFERROR(Table6[[#This Row],[Breakdown Time]]*Table6[[#This Row],[Plant Equivalent Weightage]],"")</f>
        <v>5.3030303030303068E-3</v>
      </c>
      <c r="U79" s="79" t="s">
        <v>421</v>
      </c>
      <c r="W79" s="79">
        <v>100</v>
      </c>
    </row>
    <row r="80" spans="1:23">
      <c r="A80" s="79">
        <f t="shared" si="1"/>
        <v>79</v>
      </c>
      <c r="B80" s="79">
        <f>YEAR(Table6[[#This Row],[Date]])+IF(MONTH(Table6[[#This Row],[Date]])&gt;=4,1,0)</f>
        <v>2026</v>
      </c>
      <c r="C80" s="79">
        <f>YEAR(Table6[[#This Row],[Date]])</f>
        <v>2025</v>
      </c>
      <c r="D80" s="79" t="s">
        <v>344</v>
      </c>
      <c r="E80" s="284">
        <f>Table6[[#This Row],[Date]]-DAY(Table6[[#This Row],[Date]])+1</f>
        <v>45748</v>
      </c>
      <c r="F80" s="285">
        <v>45749</v>
      </c>
      <c r="G80" s="79" t="s">
        <v>81</v>
      </c>
      <c r="H80" s="79" t="str">
        <f>IFERROR(_xlfn.XLOOKUP(Table6[[#This Row],[Affected Feeder ]],'Basic Data'!$A:$A,'Basic Data'!$B:$B),"")</f>
        <v>PWEPL</v>
      </c>
      <c r="I80" s="79" t="str">
        <f>IFERROR(_xlfn.XLOOKUP(Table6[[#This Row],[Affected Feeder ]],'Basic Data'!$A:$A,'Basic Data'!$C:$C),"")</f>
        <v>MSEDCL</v>
      </c>
      <c r="J80" s="295">
        <f>IFERROR(_xlfn.XLOOKUP(Table6[[#This Row],[Affected Feeder ]],'Basic Data'!$A:$A,'Basic Data'!$E:$E),"")</f>
        <v>2.2727272727272728E-2</v>
      </c>
      <c r="K80" s="296" t="s">
        <v>171</v>
      </c>
      <c r="L80" s="297">
        <v>9.5138888888888884E-2</v>
      </c>
      <c r="M80" s="297">
        <v>9.5138888888888884E-2</v>
      </c>
      <c r="N80" s="297">
        <v>0.10486111111111111</v>
      </c>
      <c r="O80" s="19">
        <f>(Table6[[#This Row],[Work Start TimeStamp]]-Table6[[#This Row],[Fault Start TimeStamp]])*24</f>
        <v>0</v>
      </c>
      <c r="P80" s="19">
        <f>(Table6[[#This Row],[Fault Clearance time]]-Table6[[#This Row],[Fault Start TimeStamp]])*24</f>
        <v>0.2333333333333335</v>
      </c>
      <c r="Q80" s="19">
        <f>(Table6[[#This Row],[Fault Clearance time]]-Table6[[#This Row],[Fault Start TimeStamp]])*24</f>
        <v>0.2333333333333335</v>
      </c>
      <c r="R80" s="79" t="s">
        <v>353</v>
      </c>
      <c r="S80" s="79" t="s">
        <v>339</v>
      </c>
      <c r="T80" s="298">
        <f>IFERROR(Table6[[#This Row],[Breakdown Time]]*Table6[[#This Row],[Plant Equivalent Weightage]],"")</f>
        <v>5.3030303030303068E-3</v>
      </c>
      <c r="U80" s="79" t="s">
        <v>421</v>
      </c>
      <c r="W80" s="79">
        <v>100</v>
      </c>
    </row>
    <row r="81" spans="1:23">
      <c r="A81" s="79">
        <f t="shared" si="1"/>
        <v>80</v>
      </c>
      <c r="B81" s="79">
        <f>YEAR(Table6[[#This Row],[Date]])+IF(MONTH(Table6[[#This Row],[Date]])&gt;=4,1,0)</f>
        <v>2026</v>
      </c>
      <c r="C81" s="79">
        <f>YEAR(Table6[[#This Row],[Date]])</f>
        <v>2025</v>
      </c>
      <c r="D81" s="79" t="s">
        <v>344</v>
      </c>
      <c r="E81" s="284">
        <f>Table6[[#This Row],[Date]]-DAY(Table6[[#This Row],[Date]])+1</f>
        <v>45748</v>
      </c>
      <c r="F81" s="285">
        <v>45749</v>
      </c>
      <c r="G81" s="79" t="s">
        <v>107</v>
      </c>
      <c r="H81" s="79" t="str">
        <f>IFERROR(_xlfn.XLOOKUP(Table6[[#This Row],[Affected Feeder ]],'Basic Data'!$A:$A,'Basic Data'!$B:$B),"")</f>
        <v>PWEPL</v>
      </c>
      <c r="I81" s="79" t="str">
        <f>IFERROR(_xlfn.XLOOKUP(Table6[[#This Row],[Affected Feeder ]],'Basic Data'!$A:$A,'Basic Data'!$C:$C),"")</f>
        <v>MSEDCL</v>
      </c>
      <c r="J81" s="295">
        <f>IFERROR(_xlfn.XLOOKUP(Table6[[#This Row],[Affected Feeder ]],'Basic Data'!$A:$A,'Basic Data'!$E:$E),"")</f>
        <v>2.2727272727272728E-2</v>
      </c>
      <c r="K81" s="296" t="s">
        <v>171</v>
      </c>
      <c r="L81" s="297">
        <v>9.5138888888888884E-2</v>
      </c>
      <c r="M81" s="297">
        <v>9.5138888888888884E-2</v>
      </c>
      <c r="N81" s="297">
        <v>0.10625</v>
      </c>
      <c r="O81" s="19">
        <f>(Table6[[#This Row],[Work Start TimeStamp]]-Table6[[#This Row],[Fault Start TimeStamp]])*24</f>
        <v>0</v>
      </c>
      <c r="P81" s="19">
        <f>(Table6[[#This Row],[Fault Clearance time]]-Table6[[#This Row],[Fault Start TimeStamp]])*24</f>
        <v>0.26666666666666672</v>
      </c>
      <c r="Q81" s="19">
        <f>(Table6[[#This Row],[Fault Clearance time]]-Table6[[#This Row],[Fault Start TimeStamp]])*24</f>
        <v>0.26666666666666672</v>
      </c>
      <c r="R81" s="79" t="s">
        <v>353</v>
      </c>
      <c r="S81" s="79" t="s">
        <v>339</v>
      </c>
      <c r="T81" s="298">
        <f>IFERROR(Table6[[#This Row],[Breakdown Time]]*Table6[[#This Row],[Plant Equivalent Weightage]],"")</f>
        <v>6.0606060606060623E-3</v>
      </c>
      <c r="U81" s="79" t="s">
        <v>421</v>
      </c>
      <c r="W81" s="79">
        <v>100</v>
      </c>
    </row>
    <row r="82" spans="1:23">
      <c r="A82" s="79">
        <f t="shared" si="1"/>
        <v>81</v>
      </c>
      <c r="B82" s="79">
        <f>YEAR(Table6[[#This Row],[Date]])+IF(MONTH(Table6[[#This Row],[Date]])&gt;=4,1,0)</f>
        <v>2026</v>
      </c>
      <c r="C82" s="79">
        <f>YEAR(Table6[[#This Row],[Date]])</f>
        <v>2025</v>
      </c>
      <c r="D82" s="79" t="s">
        <v>344</v>
      </c>
      <c r="E82" s="284">
        <f>Table6[[#This Row],[Date]]-DAY(Table6[[#This Row],[Date]])+1</f>
        <v>45748</v>
      </c>
      <c r="F82" s="285">
        <v>45749</v>
      </c>
      <c r="G82" s="79" t="s">
        <v>108</v>
      </c>
      <c r="H82" s="79" t="str">
        <f>IFERROR(_xlfn.XLOOKUP(Table6[[#This Row],[Affected Feeder ]],'Basic Data'!$A:$A,'Basic Data'!$B:$B),"")</f>
        <v>PWEPL</v>
      </c>
      <c r="I82" s="79" t="str">
        <f>IFERROR(_xlfn.XLOOKUP(Table6[[#This Row],[Affected Feeder ]],'Basic Data'!$A:$A,'Basic Data'!$C:$C),"")</f>
        <v>MSEDCL</v>
      </c>
      <c r="J82" s="295">
        <f>IFERROR(_xlfn.XLOOKUP(Table6[[#This Row],[Affected Feeder ]],'Basic Data'!$A:$A,'Basic Data'!$E:$E),"")</f>
        <v>2.2727272727272728E-2</v>
      </c>
      <c r="K82" s="296" t="s">
        <v>171</v>
      </c>
      <c r="L82" s="297">
        <v>9.5138888888888884E-2</v>
      </c>
      <c r="M82" s="297">
        <v>9.5138888888888884E-2</v>
      </c>
      <c r="N82" s="297">
        <v>0.10486111111111111</v>
      </c>
      <c r="O82" s="19">
        <f>(Table6[[#This Row],[Work Start TimeStamp]]-Table6[[#This Row],[Fault Start TimeStamp]])*24</f>
        <v>0</v>
      </c>
      <c r="P82" s="19">
        <f>(Table6[[#This Row],[Fault Clearance time]]-Table6[[#This Row],[Fault Start TimeStamp]])*24</f>
        <v>0.2333333333333335</v>
      </c>
      <c r="Q82" s="19">
        <f>(Table6[[#This Row],[Fault Clearance time]]-Table6[[#This Row],[Fault Start TimeStamp]])*24</f>
        <v>0.2333333333333335</v>
      </c>
      <c r="R82" s="79" t="s">
        <v>353</v>
      </c>
      <c r="S82" s="79" t="s">
        <v>339</v>
      </c>
      <c r="T82" s="298">
        <f>IFERROR(Table6[[#This Row],[Breakdown Time]]*Table6[[#This Row],[Plant Equivalent Weightage]],"")</f>
        <v>5.3030303030303068E-3</v>
      </c>
      <c r="U82" s="79" t="s">
        <v>421</v>
      </c>
      <c r="W82" s="79">
        <v>100</v>
      </c>
    </row>
    <row r="83" spans="1:23">
      <c r="A83" s="79">
        <f t="shared" si="1"/>
        <v>82</v>
      </c>
      <c r="B83" s="79">
        <f>YEAR(Table6[[#This Row],[Date]])+IF(MONTH(Table6[[#This Row],[Date]])&gt;=4,1,0)</f>
        <v>2026</v>
      </c>
      <c r="C83" s="79">
        <f>YEAR(Table6[[#This Row],[Date]])</f>
        <v>2025</v>
      </c>
      <c r="D83" s="79" t="s">
        <v>344</v>
      </c>
      <c r="E83" s="284">
        <f>Table6[[#This Row],[Date]]-DAY(Table6[[#This Row],[Date]])+1</f>
        <v>45748</v>
      </c>
      <c r="F83" s="285">
        <v>45749</v>
      </c>
      <c r="G83" s="79" t="s">
        <v>109</v>
      </c>
      <c r="H83" s="79" t="str">
        <f>IFERROR(_xlfn.XLOOKUP(Table6[[#This Row],[Affected Feeder ]],'Basic Data'!$A:$A,'Basic Data'!$B:$B),"")</f>
        <v>PWEPL</v>
      </c>
      <c r="I83" s="79" t="str">
        <f>IFERROR(_xlfn.XLOOKUP(Table6[[#This Row],[Affected Feeder ]],'Basic Data'!$A:$A,'Basic Data'!$C:$C),"")</f>
        <v>MSEDCL</v>
      </c>
      <c r="J83" s="295">
        <f>IFERROR(_xlfn.XLOOKUP(Table6[[#This Row],[Affected Feeder ]],'Basic Data'!$A:$A,'Basic Data'!$E:$E),"")</f>
        <v>2.2727272727272728E-2</v>
      </c>
      <c r="K83" s="296" t="s">
        <v>171</v>
      </c>
      <c r="L83" s="297">
        <v>9.5138888888888884E-2</v>
      </c>
      <c r="M83" s="297">
        <v>9.5138888888888884E-2</v>
      </c>
      <c r="N83" s="297">
        <v>0.10555555555555556</v>
      </c>
      <c r="O83" s="19">
        <f>(Table6[[#This Row],[Work Start TimeStamp]]-Table6[[#This Row],[Fault Start TimeStamp]])*24</f>
        <v>0</v>
      </c>
      <c r="P83" s="19">
        <f>(Table6[[#This Row],[Fault Clearance time]]-Table6[[#This Row],[Fault Start TimeStamp]])*24</f>
        <v>0.25000000000000011</v>
      </c>
      <c r="Q83" s="19">
        <f>(Table6[[#This Row],[Fault Clearance time]]-Table6[[#This Row],[Fault Start TimeStamp]])*24</f>
        <v>0.25000000000000011</v>
      </c>
      <c r="R83" s="79" t="s">
        <v>353</v>
      </c>
      <c r="S83" s="79" t="s">
        <v>339</v>
      </c>
      <c r="T83" s="298">
        <f>IFERROR(Table6[[#This Row],[Breakdown Time]]*Table6[[#This Row],[Plant Equivalent Weightage]],"")</f>
        <v>5.6818181818181846E-3</v>
      </c>
      <c r="U83" s="79" t="s">
        <v>421</v>
      </c>
      <c r="W83" s="79">
        <v>100</v>
      </c>
    </row>
    <row r="84" spans="1:23">
      <c r="A84" s="79">
        <f t="shared" si="1"/>
        <v>83</v>
      </c>
      <c r="B84" s="79">
        <f>YEAR(Table6[[#This Row],[Date]])+IF(MONTH(Table6[[#This Row],[Date]])&gt;=4,1,0)</f>
        <v>2026</v>
      </c>
      <c r="C84" s="79">
        <f>YEAR(Table6[[#This Row],[Date]])</f>
        <v>2025</v>
      </c>
      <c r="D84" s="79" t="s">
        <v>344</v>
      </c>
      <c r="E84" s="284">
        <f>Table6[[#This Row],[Date]]-DAY(Table6[[#This Row],[Date]])+1</f>
        <v>45748</v>
      </c>
      <c r="F84" s="285">
        <v>45749</v>
      </c>
      <c r="G84" s="79" t="s">
        <v>111</v>
      </c>
      <c r="H84" s="79" t="str">
        <f>IFERROR(_xlfn.XLOOKUP(Table6[[#This Row],[Affected Feeder ]],'Basic Data'!$A:$A,'Basic Data'!$B:$B),"")</f>
        <v>PWEPL</v>
      </c>
      <c r="I84" s="79" t="str">
        <f>IFERROR(_xlfn.XLOOKUP(Table6[[#This Row],[Affected Feeder ]],'Basic Data'!$A:$A,'Basic Data'!$C:$C),"")</f>
        <v>MSEDCL</v>
      </c>
      <c r="J84" s="295">
        <f>IFERROR(_xlfn.XLOOKUP(Table6[[#This Row],[Affected Feeder ]],'Basic Data'!$A:$A,'Basic Data'!$E:$E),"")</f>
        <v>2.2727272727272728E-2</v>
      </c>
      <c r="K84" s="296" t="s">
        <v>171</v>
      </c>
      <c r="L84" s="297">
        <v>9.5138888888888884E-2</v>
      </c>
      <c r="M84" s="297">
        <v>9.5138888888888884E-2</v>
      </c>
      <c r="N84" s="297">
        <v>0.10902777777777778</v>
      </c>
      <c r="O84" s="19">
        <f>(Table6[[#This Row],[Work Start TimeStamp]]-Table6[[#This Row],[Fault Start TimeStamp]])*24</f>
        <v>0</v>
      </c>
      <c r="P84" s="19">
        <f>(Table6[[#This Row],[Fault Clearance time]]-Table6[[#This Row],[Fault Start TimeStamp]])*24</f>
        <v>0.33333333333333348</v>
      </c>
      <c r="Q84" s="19">
        <f>(Table6[[#This Row],[Fault Clearance time]]-Table6[[#This Row],[Fault Start TimeStamp]])*24</f>
        <v>0.33333333333333348</v>
      </c>
      <c r="R84" s="79" t="s">
        <v>353</v>
      </c>
      <c r="S84" s="79" t="s">
        <v>339</v>
      </c>
      <c r="T84" s="298">
        <f>IFERROR(Table6[[#This Row],[Breakdown Time]]*Table6[[#This Row],[Plant Equivalent Weightage]],"")</f>
        <v>7.5757575757575794E-3</v>
      </c>
      <c r="U84" s="79" t="s">
        <v>421</v>
      </c>
      <c r="W84" s="79">
        <v>100</v>
      </c>
    </row>
    <row r="85" spans="1:23">
      <c r="A85" s="79">
        <f t="shared" si="1"/>
        <v>84</v>
      </c>
      <c r="B85" s="79">
        <f>YEAR(Table6[[#This Row],[Date]])+IF(MONTH(Table6[[#This Row],[Date]])&gt;=4,1,0)</f>
        <v>2026</v>
      </c>
      <c r="C85" s="79">
        <f>YEAR(Table6[[#This Row],[Date]])</f>
        <v>2025</v>
      </c>
      <c r="D85" s="79" t="s">
        <v>344</v>
      </c>
      <c r="E85" s="284">
        <f>Table6[[#This Row],[Date]]-DAY(Table6[[#This Row],[Date]])+1</f>
        <v>45748</v>
      </c>
      <c r="F85" s="285">
        <v>45749</v>
      </c>
      <c r="G85" s="79" t="s">
        <v>112</v>
      </c>
      <c r="H85" s="79" t="str">
        <f>IFERROR(_xlfn.XLOOKUP(Table6[[#This Row],[Affected Feeder ]],'Basic Data'!$A:$A,'Basic Data'!$B:$B),"")</f>
        <v>PWEPL</v>
      </c>
      <c r="I85" s="79" t="str">
        <f>IFERROR(_xlfn.XLOOKUP(Table6[[#This Row],[Affected Feeder ]],'Basic Data'!$A:$A,'Basic Data'!$C:$C),"")</f>
        <v>MSEDCL</v>
      </c>
      <c r="J85" s="295">
        <f>IFERROR(_xlfn.XLOOKUP(Table6[[#This Row],[Affected Feeder ]],'Basic Data'!$A:$A,'Basic Data'!$E:$E),"")</f>
        <v>2.2727272727272728E-2</v>
      </c>
      <c r="K85" s="296" t="s">
        <v>171</v>
      </c>
      <c r="L85" s="297">
        <v>9.5138888888888884E-2</v>
      </c>
      <c r="M85" s="297">
        <v>9.5138888888888884E-2</v>
      </c>
      <c r="N85" s="297">
        <v>0.10902777777777778</v>
      </c>
      <c r="O85" s="19">
        <f>(Table6[[#This Row],[Work Start TimeStamp]]-Table6[[#This Row],[Fault Start TimeStamp]])*24</f>
        <v>0</v>
      </c>
      <c r="P85" s="19">
        <f>(Table6[[#This Row],[Fault Clearance time]]-Table6[[#This Row],[Fault Start TimeStamp]])*24</f>
        <v>0.33333333333333348</v>
      </c>
      <c r="Q85" s="19">
        <f>(Table6[[#This Row],[Fault Clearance time]]-Table6[[#This Row],[Fault Start TimeStamp]])*24</f>
        <v>0.33333333333333348</v>
      </c>
      <c r="R85" s="79" t="s">
        <v>353</v>
      </c>
      <c r="S85" s="79" t="s">
        <v>339</v>
      </c>
      <c r="T85" s="298">
        <f>IFERROR(Table6[[#This Row],[Breakdown Time]]*Table6[[#This Row],[Plant Equivalent Weightage]],"")</f>
        <v>7.5757575757575794E-3</v>
      </c>
      <c r="U85" s="79" t="s">
        <v>421</v>
      </c>
      <c r="W85" s="79">
        <v>100</v>
      </c>
    </row>
    <row r="86" spans="1:23">
      <c r="A86" s="79">
        <f t="shared" si="1"/>
        <v>85</v>
      </c>
      <c r="B86" s="79">
        <f>YEAR(Table6[[#This Row],[Date]])+IF(MONTH(Table6[[#This Row],[Date]])&gt;=4,1,0)</f>
        <v>2026</v>
      </c>
      <c r="C86" s="79">
        <f>YEAR(Table6[[#This Row],[Date]])</f>
        <v>2025</v>
      </c>
      <c r="D86" s="79" t="s">
        <v>344</v>
      </c>
      <c r="E86" s="284">
        <f>Table6[[#This Row],[Date]]-DAY(Table6[[#This Row],[Date]])+1</f>
        <v>45748</v>
      </c>
      <c r="F86" s="285">
        <v>45749</v>
      </c>
      <c r="G86" s="79" t="s">
        <v>113</v>
      </c>
      <c r="H86" s="79" t="str">
        <f>IFERROR(_xlfn.XLOOKUP(Table6[[#This Row],[Affected Feeder ]],'Basic Data'!$A:$A,'Basic Data'!$B:$B),"")</f>
        <v>PWEPL</v>
      </c>
      <c r="I86" s="79" t="str">
        <f>IFERROR(_xlfn.XLOOKUP(Table6[[#This Row],[Affected Feeder ]],'Basic Data'!$A:$A,'Basic Data'!$C:$C),"")</f>
        <v>MSEDCL</v>
      </c>
      <c r="J86" s="295">
        <f>IFERROR(_xlfn.XLOOKUP(Table6[[#This Row],[Affected Feeder ]],'Basic Data'!$A:$A,'Basic Data'!$E:$E),"")</f>
        <v>2.2727272727272728E-2</v>
      </c>
      <c r="K86" s="296" t="s">
        <v>171</v>
      </c>
      <c r="L86" s="297">
        <v>9.5138888888888884E-2</v>
      </c>
      <c r="M86" s="297">
        <v>9.5138888888888884E-2</v>
      </c>
      <c r="N86" s="297">
        <v>0.10694444444444444</v>
      </c>
      <c r="O86" s="19">
        <f>(Table6[[#This Row],[Work Start TimeStamp]]-Table6[[#This Row],[Fault Start TimeStamp]])*24</f>
        <v>0</v>
      </c>
      <c r="P86" s="19">
        <f>(Table6[[#This Row],[Fault Clearance time]]-Table6[[#This Row],[Fault Start TimeStamp]])*24</f>
        <v>0.28333333333333333</v>
      </c>
      <c r="Q86" s="19">
        <f>(Table6[[#This Row],[Fault Clearance time]]-Table6[[#This Row],[Fault Start TimeStamp]])*24</f>
        <v>0.28333333333333333</v>
      </c>
      <c r="R86" s="79" t="s">
        <v>353</v>
      </c>
      <c r="S86" s="79" t="s">
        <v>339</v>
      </c>
      <c r="T86" s="298">
        <f>IFERROR(Table6[[#This Row],[Breakdown Time]]*Table6[[#This Row],[Plant Equivalent Weightage]],"")</f>
        <v>6.4393939393939392E-3</v>
      </c>
      <c r="U86" s="79" t="s">
        <v>421</v>
      </c>
      <c r="W86" s="79">
        <v>100</v>
      </c>
    </row>
    <row r="87" spans="1:23">
      <c r="A87" s="79">
        <f t="shared" si="1"/>
        <v>86</v>
      </c>
      <c r="B87" s="79">
        <f>YEAR(Table6[[#This Row],[Date]])+IF(MONTH(Table6[[#This Row],[Date]])&gt;=4,1,0)</f>
        <v>2026</v>
      </c>
      <c r="C87" s="79">
        <f>YEAR(Table6[[#This Row],[Date]])</f>
        <v>2025</v>
      </c>
      <c r="D87" s="79" t="s">
        <v>344</v>
      </c>
      <c r="E87" s="284">
        <f>Table6[[#This Row],[Date]]-DAY(Table6[[#This Row],[Date]])+1</f>
        <v>45748</v>
      </c>
      <c r="F87" s="285">
        <v>45749</v>
      </c>
      <c r="G87" s="79" t="s">
        <v>114</v>
      </c>
      <c r="H87" s="79" t="str">
        <f>IFERROR(_xlfn.XLOOKUP(Table6[[#This Row],[Affected Feeder ]],'Basic Data'!$A:$A,'Basic Data'!$B:$B),"")</f>
        <v>PWEPL</v>
      </c>
      <c r="I87" s="79" t="str">
        <f>IFERROR(_xlfn.XLOOKUP(Table6[[#This Row],[Affected Feeder ]],'Basic Data'!$A:$A,'Basic Data'!$C:$C),"")</f>
        <v>MSEDCL</v>
      </c>
      <c r="J87" s="295">
        <f>IFERROR(_xlfn.XLOOKUP(Table6[[#This Row],[Affected Feeder ]],'Basic Data'!$A:$A,'Basic Data'!$E:$E),"")</f>
        <v>2.2727272727272728E-2</v>
      </c>
      <c r="K87" s="296" t="s">
        <v>171</v>
      </c>
      <c r="L87" s="297">
        <v>9.5138888888888884E-2</v>
      </c>
      <c r="M87" s="297">
        <v>9.5138888888888884E-2</v>
      </c>
      <c r="N87" s="297">
        <v>0.10555555555555556</v>
      </c>
      <c r="O87" s="19">
        <f>(Table6[[#This Row],[Work Start TimeStamp]]-Table6[[#This Row],[Fault Start TimeStamp]])*24</f>
        <v>0</v>
      </c>
      <c r="P87" s="19">
        <f>(Table6[[#This Row],[Fault Clearance time]]-Table6[[#This Row],[Fault Start TimeStamp]])*24</f>
        <v>0.25000000000000011</v>
      </c>
      <c r="Q87" s="19">
        <f>(Table6[[#This Row],[Fault Clearance time]]-Table6[[#This Row],[Fault Start TimeStamp]])*24</f>
        <v>0.25000000000000011</v>
      </c>
      <c r="R87" s="79" t="s">
        <v>353</v>
      </c>
      <c r="S87" s="79" t="s">
        <v>339</v>
      </c>
      <c r="T87" s="298">
        <f>IFERROR(Table6[[#This Row],[Breakdown Time]]*Table6[[#This Row],[Plant Equivalent Weightage]],"")</f>
        <v>5.6818181818181846E-3</v>
      </c>
      <c r="U87" s="79" t="s">
        <v>421</v>
      </c>
      <c r="W87" s="79">
        <v>100</v>
      </c>
    </row>
    <row r="88" spans="1:23">
      <c r="A88" s="79">
        <f t="shared" si="1"/>
        <v>87</v>
      </c>
      <c r="B88" s="79">
        <f>YEAR(Table6[[#This Row],[Date]])+IF(MONTH(Table6[[#This Row],[Date]])&gt;=4,1,0)</f>
        <v>2026</v>
      </c>
      <c r="C88" s="79">
        <f>YEAR(Table6[[#This Row],[Date]])</f>
        <v>2025</v>
      </c>
      <c r="D88" s="79" t="s">
        <v>344</v>
      </c>
      <c r="E88" s="284">
        <f>Table6[[#This Row],[Date]]-DAY(Table6[[#This Row],[Date]])+1</f>
        <v>45748</v>
      </c>
      <c r="F88" s="285">
        <v>45749</v>
      </c>
      <c r="G88" s="79" t="s">
        <v>83</v>
      </c>
      <c r="H88" s="79" t="str">
        <f>IFERROR(_xlfn.XLOOKUP(Table6[[#This Row],[Affected Feeder ]],'Basic Data'!$A:$A,'Basic Data'!$B:$B),"")</f>
        <v>PWEPL</v>
      </c>
      <c r="I88" s="79" t="str">
        <f>IFERROR(_xlfn.XLOOKUP(Table6[[#This Row],[Affected Feeder ]],'Basic Data'!$A:$A,'Basic Data'!$C:$C),"")</f>
        <v>MSEDCL</v>
      </c>
      <c r="J88" s="295">
        <f>IFERROR(_xlfn.XLOOKUP(Table6[[#This Row],[Affected Feeder ]],'Basic Data'!$A:$A,'Basic Data'!$E:$E),"")</f>
        <v>2.2727272727272728E-2</v>
      </c>
      <c r="K88" s="296" t="s">
        <v>414</v>
      </c>
      <c r="L88" s="297">
        <v>0.64583333333333337</v>
      </c>
      <c r="M88" s="297">
        <v>0.64583333333333337</v>
      </c>
      <c r="N88" s="297">
        <v>0.78819444444444442</v>
      </c>
      <c r="O88" s="19">
        <f>(Table6[[#This Row],[Work Start TimeStamp]]-Table6[[#This Row],[Fault Start TimeStamp]])*24</f>
        <v>0</v>
      </c>
      <c r="P88" s="19">
        <f>(Table6[[#This Row],[Fault Clearance time]]-Table6[[#This Row],[Fault Start TimeStamp]])*24</f>
        <v>3.4166666666666652</v>
      </c>
      <c r="Q88" s="19">
        <f>(Table6[[#This Row],[Fault Clearance time]]-Table6[[#This Row],[Fault Start TimeStamp]])*24</f>
        <v>3.4166666666666652</v>
      </c>
      <c r="R88" s="79" t="s">
        <v>428</v>
      </c>
      <c r="S88" s="79" t="s">
        <v>339</v>
      </c>
      <c r="T88" s="298">
        <f>IFERROR(Table6[[#This Row],[Breakdown Time]]*Table6[[#This Row],[Plant Equivalent Weightage]],"")</f>
        <v>7.7651515151515124E-2</v>
      </c>
      <c r="U88" s="79" t="s">
        <v>416</v>
      </c>
      <c r="W88" s="79">
        <v>1022</v>
      </c>
    </row>
    <row r="89" spans="1:23">
      <c r="A89" s="79">
        <f t="shared" si="1"/>
        <v>88</v>
      </c>
      <c r="B89" s="79">
        <f>YEAR(Table6[[#This Row],[Date]])+IF(MONTH(Table6[[#This Row],[Date]])&gt;=4,1,0)</f>
        <v>2026</v>
      </c>
      <c r="C89" s="79">
        <f>YEAR(Table6[[#This Row],[Date]])</f>
        <v>2025</v>
      </c>
      <c r="D89" s="79" t="s">
        <v>344</v>
      </c>
      <c r="E89" s="284">
        <f>Table6[[#This Row],[Date]]-DAY(Table6[[#This Row],[Date]])+1</f>
        <v>45748</v>
      </c>
      <c r="F89" s="285">
        <v>45749</v>
      </c>
      <c r="G89" s="79" t="s">
        <v>83</v>
      </c>
      <c r="H89" s="79" t="str">
        <f>IFERROR(_xlfn.XLOOKUP(Table6[[#This Row],[Affected Feeder ]],'Basic Data'!$A:$A,'Basic Data'!$B:$B),"")</f>
        <v>PWEPL</v>
      </c>
      <c r="I89" s="79" t="str">
        <f>IFERROR(_xlfn.XLOOKUP(Table6[[#This Row],[Affected Feeder ]],'Basic Data'!$A:$A,'Basic Data'!$C:$C),"")</f>
        <v>MSEDCL</v>
      </c>
      <c r="J89" s="295">
        <f>IFERROR(_xlfn.XLOOKUP(Table6[[#This Row],[Affected Feeder ]],'Basic Data'!$A:$A,'Basic Data'!$E:$E),"")</f>
        <v>2.2727272727272728E-2</v>
      </c>
      <c r="K89" s="296" t="s">
        <v>171</v>
      </c>
      <c r="L89" s="297">
        <v>0.78819444444444442</v>
      </c>
      <c r="M89" s="297">
        <v>0.78819444444444442</v>
      </c>
      <c r="N89" s="297">
        <v>0.80208333333333337</v>
      </c>
      <c r="O89" s="19">
        <f>(Table6[[#This Row],[Work Start TimeStamp]]-Table6[[#This Row],[Fault Start TimeStamp]])*24</f>
        <v>0</v>
      </c>
      <c r="P89" s="19">
        <f>(Table6[[#This Row],[Fault Clearance time]]-Table6[[#This Row],[Fault Start TimeStamp]])*24</f>
        <v>0.33333333333333481</v>
      </c>
      <c r="Q89" s="19">
        <f>(Table6[[#This Row],[Fault Clearance time]]-Table6[[#This Row],[Fault Start TimeStamp]])*24</f>
        <v>0.33333333333333481</v>
      </c>
      <c r="R89" s="79" t="s">
        <v>353</v>
      </c>
      <c r="S89" s="79" t="s">
        <v>339</v>
      </c>
      <c r="T89" s="298">
        <f>IFERROR(Table6[[#This Row],[Breakdown Time]]*Table6[[#This Row],[Plant Equivalent Weightage]],"")</f>
        <v>7.5757575757576098E-3</v>
      </c>
      <c r="U89" s="79" t="s">
        <v>416</v>
      </c>
      <c r="W89" s="79">
        <v>99</v>
      </c>
    </row>
    <row r="90" spans="1:23">
      <c r="A90" s="79">
        <f t="shared" si="1"/>
        <v>89</v>
      </c>
      <c r="B90" s="79">
        <f>YEAR(Table6[[#This Row],[Date]])+IF(MONTH(Table6[[#This Row],[Date]])&gt;=4,1,0)</f>
        <v>2026</v>
      </c>
      <c r="C90" s="79">
        <f>YEAR(Table6[[#This Row],[Date]])</f>
        <v>2025</v>
      </c>
      <c r="D90" s="79" t="s">
        <v>344</v>
      </c>
      <c r="E90" s="284">
        <f>Table6[[#This Row],[Date]]-DAY(Table6[[#This Row],[Date]])+1</f>
        <v>45748</v>
      </c>
      <c r="F90" s="285">
        <v>45749</v>
      </c>
      <c r="G90" s="79" t="s">
        <v>98</v>
      </c>
      <c r="H90" s="79" t="str">
        <f>IFERROR(_xlfn.XLOOKUP(Table6[[#This Row],[Affected Feeder ]],'Basic Data'!$A:$A,'Basic Data'!$B:$B),"")</f>
        <v>PWEPL</v>
      </c>
      <c r="I90" s="79" t="str">
        <f>IFERROR(_xlfn.XLOOKUP(Table6[[#This Row],[Affected Feeder ]],'Basic Data'!$A:$A,'Basic Data'!$C:$C),"")</f>
        <v>MSEDCL</v>
      </c>
      <c r="J90" s="295">
        <f>IFERROR(_xlfn.XLOOKUP(Table6[[#This Row],[Affected Feeder ]],'Basic Data'!$A:$A,'Basic Data'!$E:$E),"")</f>
        <v>2.2727272727272728E-2</v>
      </c>
      <c r="K90" s="296" t="s">
        <v>414</v>
      </c>
      <c r="L90" s="297">
        <v>0.64583333333333337</v>
      </c>
      <c r="M90" s="297">
        <v>0.64583333333333337</v>
      </c>
      <c r="N90" s="297">
        <v>0.78819444444444442</v>
      </c>
      <c r="O90" s="19">
        <f>(Table6[[#This Row],[Work Start TimeStamp]]-Table6[[#This Row],[Fault Start TimeStamp]])*24</f>
        <v>0</v>
      </c>
      <c r="P90" s="19">
        <f>(Table6[[#This Row],[Fault Clearance time]]-Table6[[#This Row],[Fault Start TimeStamp]])*24</f>
        <v>3.4166666666666652</v>
      </c>
      <c r="Q90" s="19">
        <f>(Table6[[#This Row],[Fault Clearance time]]-Table6[[#This Row],[Fault Start TimeStamp]])*24</f>
        <v>3.4166666666666652</v>
      </c>
      <c r="R90" s="79" t="s">
        <v>428</v>
      </c>
      <c r="S90" s="79" t="s">
        <v>339</v>
      </c>
      <c r="T90" s="298">
        <f>IFERROR(Table6[[#This Row],[Breakdown Time]]*Table6[[#This Row],[Plant Equivalent Weightage]],"")</f>
        <v>7.7651515151515124E-2</v>
      </c>
      <c r="U90" s="79" t="s">
        <v>416</v>
      </c>
      <c r="W90" s="79">
        <v>1022</v>
      </c>
    </row>
    <row r="91" spans="1:23">
      <c r="A91" s="79">
        <f t="shared" si="1"/>
        <v>90</v>
      </c>
      <c r="B91" s="79">
        <f>YEAR(Table6[[#This Row],[Date]])+IF(MONTH(Table6[[#This Row],[Date]])&gt;=4,1,0)</f>
        <v>2026</v>
      </c>
      <c r="C91" s="79">
        <f>YEAR(Table6[[#This Row],[Date]])</f>
        <v>2025</v>
      </c>
      <c r="D91" s="79" t="s">
        <v>344</v>
      </c>
      <c r="E91" s="284">
        <f>Table6[[#This Row],[Date]]-DAY(Table6[[#This Row],[Date]])+1</f>
        <v>45748</v>
      </c>
      <c r="F91" s="285">
        <v>45749</v>
      </c>
      <c r="G91" s="79" t="s">
        <v>98</v>
      </c>
      <c r="H91" s="79" t="str">
        <f>IFERROR(_xlfn.XLOOKUP(Table6[[#This Row],[Affected Feeder ]],'Basic Data'!$A:$A,'Basic Data'!$B:$B),"")</f>
        <v>PWEPL</v>
      </c>
      <c r="I91" s="79" t="str">
        <f>IFERROR(_xlfn.XLOOKUP(Table6[[#This Row],[Affected Feeder ]],'Basic Data'!$A:$A,'Basic Data'!$C:$C),"")</f>
        <v>MSEDCL</v>
      </c>
      <c r="J91" s="295">
        <f>IFERROR(_xlfn.XLOOKUP(Table6[[#This Row],[Affected Feeder ]],'Basic Data'!$A:$A,'Basic Data'!$E:$E),"")</f>
        <v>2.2727272727272728E-2</v>
      </c>
      <c r="K91" s="296" t="s">
        <v>171</v>
      </c>
      <c r="L91" s="297">
        <v>0.78819444444444442</v>
      </c>
      <c r="M91" s="297">
        <v>0.78819444444444442</v>
      </c>
      <c r="N91" s="297">
        <v>0.80208333333333337</v>
      </c>
      <c r="O91" s="19">
        <f>(Table6[[#This Row],[Work Start TimeStamp]]-Table6[[#This Row],[Fault Start TimeStamp]])*24</f>
        <v>0</v>
      </c>
      <c r="P91" s="19">
        <f>(Table6[[#This Row],[Fault Clearance time]]-Table6[[#This Row],[Fault Start TimeStamp]])*24</f>
        <v>0.33333333333333481</v>
      </c>
      <c r="Q91" s="19">
        <f>(Table6[[#This Row],[Fault Clearance time]]-Table6[[#This Row],[Fault Start TimeStamp]])*24</f>
        <v>0.33333333333333481</v>
      </c>
      <c r="R91" s="79" t="s">
        <v>353</v>
      </c>
      <c r="S91" s="79" t="s">
        <v>339</v>
      </c>
      <c r="T91" s="298">
        <f>IFERROR(Table6[[#This Row],[Breakdown Time]]*Table6[[#This Row],[Plant Equivalent Weightage]],"")</f>
        <v>7.5757575757576098E-3</v>
      </c>
      <c r="U91" s="79" t="s">
        <v>416</v>
      </c>
      <c r="W91" s="79">
        <v>99</v>
      </c>
    </row>
    <row r="92" spans="1:23">
      <c r="A92" s="79">
        <f t="shared" si="1"/>
        <v>91</v>
      </c>
      <c r="B92" s="79">
        <f>YEAR(Table6[[#This Row],[Date]])+IF(MONTH(Table6[[#This Row],[Date]])&gt;=4,1,0)</f>
        <v>2026</v>
      </c>
      <c r="C92" s="79">
        <f>YEAR(Table6[[#This Row],[Date]])</f>
        <v>2025</v>
      </c>
      <c r="D92" s="79" t="s">
        <v>344</v>
      </c>
      <c r="E92" s="284">
        <f>Table6[[#This Row],[Date]]-DAY(Table6[[#This Row],[Date]])+1</f>
        <v>45748</v>
      </c>
      <c r="F92" s="285">
        <v>45749</v>
      </c>
      <c r="G92" s="79" t="s">
        <v>99</v>
      </c>
      <c r="H92" s="79" t="str">
        <f>IFERROR(_xlfn.XLOOKUP(Table6[[#This Row],[Affected Feeder ]],'Basic Data'!$A:$A,'Basic Data'!$B:$B),"")</f>
        <v>PWEPL</v>
      </c>
      <c r="I92" s="79" t="str">
        <f>IFERROR(_xlfn.XLOOKUP(Table6[[#This Row],[Affected Feeder ]],'Basic Data'!$A:$A,'Basic Data'!$C:$C),"")</f>
        <v>MSEDCL</v>
      </c>
      <c r="J92" s="295">
        <f>IFERROR(_xlfn.XLOOKUP(Table6[[#This Row],[Affected Feeder ]],'Basic Data'!$A:$A,'Basic Data'!$E:$E),"")</f>
        <v>2.2727272727272728E-2</v>
      </c>
      <c r="K92" s="296" t="s">
        <v>414</v>
      </c>
      <c r="L92" s="297">
        <v>0.64583333333333337</v>
      </c>
      <c r="M92" s="297">
        <v>0.64583333333333337</v>
      </c>
      <c r="N92" s="297">
        <v>0.78819444444444442</v>
      </c>
      <c r="O92" s="19">
        <f>(Table6[[#This Row],[Work Start TimeStamp]]-Table6[[#This Row],[Fault Start TimeStamp]])*24</f>
        <v>0</v>
      </c>
      <c r="P92" s="19">
        <f>(Table6[[#This Row],[Fault Clearance time]]-Table6[[#This Row],[Fault Start TimeStamp]])*24</f>
        <v>3.4166666666666652</v>
      </c>
      <c r="Q92" s="19">
        <f>(Table6[[#This Row],[Fault Clearance time]]-Table6[[#This Row],[Fault Start TimeStamp]])*24</f>
        <v>3.4166666666666652</v>
      </c>
      <c r="R92" s="79" t="s">
        <v>428</v>
      </c>
      <c r="S92" s="79" t="s">
        <v>339</v>
      </c>
      <c r="T92" s="298">
        <f>IFERROR(Table6[[#This Row],[Breakdown Time]]*Table6[[#This Row],[Plant Equivalent Weightage]],"")</f>
        <v>7.7651515151515124E-2</v>
      </c>
      <c r="U92" s="79" t="s">
        <v>416</v>
      </c>
      <c r="W92" s="79">
        <v>1022</v>
      </c>
    </row>
    <row r="93" spans="1:23">
      <c r="A93" s="79">
        <f t="shared" si="1"/>
        <v>92</v>
      </c>
      <c r="B93" s="79">
        <f>YEAR(Table6[[#This Row],[Date]])+IF(MONTH(Table6[[#This Row],[Date]])&gt;=4,1,0)</f>
        <v>2026</v>
      </c>
      <c r="C93" s="79">
        <f>YEAR(Table6[[#This Row],[Date]])</f>
        <v>2025</v>
      </c>
      <c r="D93" s="79" t="s">
        <v>344</v>
      </c>
      <c r="E93" s="284">
        <f>Table6[[#This Row],[Date]]-DAY(Table6[[#This Row],[Date]])+1</f>
        <v>45748</v>
      </c>
      <c r="F93" s="285">
        <v>45749</v>
      </c>
      <c r="G93" s="79" t="s">
        <v>99</v>
      </c>
      <c r="H93" s="79" t="str">
        <f>IFERROR(_xlfn.XLOOKUP(Table6[[#This Row],[Affected Feeder ]],'Basic Data'!$A:$A,'Basic Data'!$B:$B),"")</f>
        <v>PWEPL</v>
      </c>
      <c r="I93" s="79" t="str">
        <f>IFERROR(_xlfn.XLOOKUP(Table6[[#This Row],[Affected Feeder ]],'Basic Data'!$A:$A,'Basic Data'!$C:$C),"")</f>
        <v>MSEDCL</v>
      </c>
      <c r="J93" s="295">
        <f>IFERROR(_xlfn.XLOOKUP(Table6[[#This Row],[Affected Feeder ]],'Basic Data'!$A:$A,'Basic Data'!$E:$E),"")</f>
        <v>2.2727272727272728E-2</v>
      </c>
      <c r="K93" s="296" t="s">
        <v>171</v>
      </c>
      <c r="L93" s="297">
        <v>0.78819444444444442</v>
      </c>
      <c r="M93" s="297">
        <v>0.78819444444444442</v>
      </c>
      <c r="N93" s="297">
        <v>0.80208333333333337</v>
      </c>
      <c r="O93" s="19">
        <f>(Table6[[#This Row],[Work Start TimeStamp]]-Table6[[#This Row],[Fault Start TimeStamp]])*24</f>
        <v>0</v>
      </c>
      <c r="P93" s="19">
        <f>(Table6[[#This Row],[Fault Clearance time]]-Table6[[#This Row],[Fault Start TimeStamp]])*24</f>
        <v>0.33333333333333481</v>
      </c>
      <c r="Q93" s="19">
        <f>(Table6[[#This Row],[Fault Clearance time]]-Table6[[#This Row],[Fault Start TimeStamp]])*24</f>
        <v>0.33333333333333481</v>
      </c>
      <c r="R93" s="79" t="s">
        <v>353</v>
      </c>
      <c r="S93" s="79" t="s">
        <v>339</v>
      </c>
      <c r="T93" s="298">
        <f>IFERROR(Table6[[#This Row],[Breakdown Time]]*Table6[[#This Row],[Plant Equivalent Weightage]],"")</f>
        <v>7.5757575757576098E-3</v>
      </c>
      <c r="U93" s="79" t="s">
        <v>416</v>
      </c>
      <c r="W93" s="79">
        <v>99</v>
      </c>
    </row>
    <row r="94" spans="1:23">
      <c r="A94" s="79">
        <f t="shared" si="1"/>
        <v>93</v>
      </c>
      <c r="B94" s="79">
        <f>YEAR(Table6[[#This Row],[Date]])+IF(MONTH(Table6[[#This Row],[Date]])&gt;=4,1,0)</f>
        <v>2026</v>
      </c>
      <c r="C94" s="79">
        <f>YEAR(Table6[[#This Row],[Date]])</f>
        <v>2025</v>
      </c>
      <c r="D94" s="79" t="s">
        <v>344</v>
      </c>
      <c r="E94" s="284">
        <f>Table6[[#This Row],[Date]]-DAY(Table6[[#This Row],[Date]])+1</f>
        <v>45748</v>
      </c>
      <c r="F94" s="285">
        <v>45749</v>
      </c>
      <c r="G94" s="79" t="s">
        <v>100</v>
      </c>
      <c r="H94" s="79" t="str">
        <f>IFERROR(_xlfn.XLOOKUP(Table6[[#This Row],[Affected Feeder ]],'Basic Data'!$A:$A,'Basic Data'!$B:$B),"")</f>
        <v>PWEPL</v>
      </c>
      <c r="I94" s="79" t="str">
        <f>IFERROR(_xlfn.XLOOKUP(Table6[[#This Row],[Affected Feeder ]],'Basic Data'!$A:$A,'Basic Data'!$C:$C),"")</f>
        <v>MSEDCL</v>
      </c>
      <c r="J94" s="295">
        <f>IFERROR(_xlfn.XLOOKUP(Table6[[#This Row],[Affected Feeder ]],'Basic Data'!$A:$A,'Basic Data'!$E:$E),"")</f>
        <v>2.2727272727272728E-2</v>
      </c>
      <c r="K94" s="296" t="s">
        <v>414</v>
      </c>
      <c r="L94" s="297">
        <v>0.64583333333333337</v>
      </c>
      <c r="M94" s="297">
        <v>0.64583333333333337</v>
      </c>
      <c r="N94" s="297">
        <v>0.78819444444444442</v>
      </c>
      <c r="O94" s="19">
        <f>(Table6[[#This Row],[Work Start TimeStamp]]-Table6[[#This Row],[Fault Start TimeStamp]])*24</f>
        <v>0</v>
      </c>
      <c r="P94" s="19">
        <f>(Table6[[#This Row],[Fault Clearance time]]-Table6[[#This Row],[Fault Start TimeStamp]])*24</f>
        <v>3.4166666666666652</v>
      </c>
      <c r="Q94" s="19">
        <f>(Table6[[#This Row],[Fault Clearance time]]-Table6[[#This Row],[Fault Start TimeStamp]])*24</f>
        <v>3.4166666666666652</v>
      </c>
      <c r="R94" s="79" t="s">
        <v>428</v>
      </c>
      <c r="S94" s="79" t="s">
        <v>339</v>
      </c>
      <c r="T94" s="298">
        <f>IFERROR(Table6[[#This Row],[Breakdown Time]]*Table6[[#This Row],[Plant Equivalent Weightage]],"")</f>
        <v>7.7651515151515124E-2</v>
      </c>
      <c r="U94" s="79" t="s">
        <v>416</v>
      </c>
      <c r="W94" s="79">
        <v>1022</v>
      </c>
    </row>
    <row r="95" spans="1:23">
      <c r="A95" s="79">
        <f t="shared" si="1"/>
        <v>94</v>
      </c>
      <c r="B95" s="79">
        <f>YEAR(Table6[[#This Row],[Date]])+IF(MONTH(Table6[[#This Row],[Date]])&gt;=4,1,0)</f>
        <v>2026</v>
      </c>
      <c r="C95" s="79">
        <f>YEAR(Table6[[#This Row],[Date]])</f>
        <v>2025</v>
      </c>
      <c r="D95" s="79" t="s">
        <v>344</v>
      </c>
      <c r="E95" s="284">
        <f>Table6[[#This Row],[Date]]-DAY(Table6[[#This Row],[Date]])+1</f>
        <v>45748</v>
      </c>
      <c r="F95" s="285">
        <v>45749</v>
      </c>
      <c r="G95" s="79" t="s">
        <v>100</v>
      </c>
      <c r="H95" s="79" t="str">
        <f>IFERROR(_xlfn.XLOOKUP(Table6[[#This Row],[Affected Feeder ]],'Basic Data'!$A:$A,'Basic Data'!$B:$B),"")</f>
        <v>PWEPL</v>
      </c>
      <c r="I95" s="79" t="str">
        <f>IFERROR(_xlfn.XLOOKUP(Table6[[#This Row],[Affected Feeder ]],'Basic Data'!$A:$A,'Basic Data'!$C:$C),"")</f>
        <v>MSEDCL</v>
      </c>
      <c r="J95" s="295">
        <f>IFERROR(_xlfn.XLOOKUP(Table6[[#This Row],[Affected Feeder ]],'Basic Data'!$A:$A,'Basic Data'!$E:$E),"")</f>
        <v>2.2727272727272728E-2</v>
      </c>
      <c r="K95" s="296" t="s">
        <v>171</v>
      </c>
      <c r="L95" s="297">
        <v>0.78819444444444442</v>
      </c>
      <c r="M95" s="297">
        <v>0.78819444444444442</v>
      </c>
      <c r="N95" s="297">
        <v>0.80208333333333337</v>
      </c>
      <c r="O95" s="19">
        <f>(Table6[[#This Row],[Work Start TimeStamp]]-Table6[[#This Row],[Fault Start TimeStamp]])*24</f>
        <v>0</v>
      </c>
      <c r="P95" s="19">
        <f>(Table6[[#This Row],[Fault Clearance time]]-Table6[[#This Row],[Fault Start TimeStamp]])*24</f>
        <v>0.33333333333333481</v>
      </c>
      <c r="Q95" s="19">
        <f>(Table6[[#This Row],[Fault Clearance time]]-Table6[[#This Row],[Fault Start TimeStamp]])*24</f>
        <v>0.33333333333333481</v>
      </c>
      <c r="R95" s="79" t="s">
        <v>353</v>
      </c>
      <c r="S95" s="79" t="s">
        <v>339</v>
      </c>
      <c r="T95" s="298">
        <f>IFERROR(Table6[[#This Row],[Breakdown Time]]*Table6[[#This Row],[Plant Equivalent Weightage]],"")</f>
        <v>7.5757575757576098E-3</v>
      </c>
      <c r="U95" s="79" t="s">
        <v>416</v>
      </c>
      <c r="W95" s="79">
        <v>99</v>
      </c>
    </row>
    <row r="96" spans="1:23">
      <c r="A96" s="79">
        <f t="shared" si="1"/>
        <v>95</v>
      </c>
      <c r="B96" s="79">
        <f>YEAR(Table6[[#This Row],[Date]])+IF(MONTH(Table6[[#This Row],[Date]])&gt;=4,1,0)</f>
        <v>2026</v>
      </c>
      <c r="C96" s="79">
        <f>YEAR(Table6[[#This Row],[Date]])</f>
        <v>2025</v>
      </c>
      <c r="D96" s="79" t="s">
        <v>344</v>
      </c>
      <c r="E96" s="284">
        <f>Table6[[#This Row],[Date]]-DAY(Table6[[#This Row],[Date]])+1</f>
        <v>45748</v>
      </c>
      <c r="F96" s="285">
        <v>45749</v>
      </c>
      <c r="G96" s="79" t="s">
        <v>101</v>
      </c>
      <c r="H96" s="79" t="str">
        <f>IFERROR(_xlfn.XLOOKUP(Table6[[#This Row],[Affected Feeder ]],'Basic Data'!$A:$A,'Basic Data'!$B:$B),"")</f>
        <v>PWEPL</v>
      </c>
      <c r="I96" s="79" t="str">
        <f>IFERROR(_xlfn.XLOOKUP(Table6[[#This Row],[Affected Feeder ]],'Basic Data'!$A:$A,'Basic Data'!$C:$C),"")</f>
        <v>MSEDCL</v>
      </c>
      <c r="J96" s="295">
        <f>IFERROR(_xlfn.XLOOKUP(Table6[[#This Row],[Affected Feeder ]],'Basic Data'!$A:$A,'Basic Data'!$E:$E),"")</f>
        <v>2.2727272727272728E-2</v>
      </c>
      <c r="K96" s="296" t="s">
        <v>414</v>
      </c>
      <c r="L96" s="297">
        <v>0.64583333333333337</v>
      </c>
      <c r="M96" s="297">
        <v>0.64583333333333337</v>
      </c>
      <c r="N96" s="297">
        <v>0.78819444444444442</v>
      </c>
      <c r="O96" s="19">
        <f>(Table6[[#This Row],[Work Start TimeStamp]]-Table6[[#This Row],[Fault Start TimeStamp]])*24</f>
        <v>0</v>
      </c>
      <c r="P96" s="19">
        <f>(Table6[[#This Row],[Fault Clearance time]]-Table6[[#This Row],[Fault Start TimeStamp]])*24</f>
        <v>3.4166666666666652</v>
      </c>
      <c r="Q96" s="19">
        <f>(Table6[[#This Row],[Fault Clearance time]]-Table6[[#This Row],[Fault Start TimeStamp]])*24</f>
        <v>3.4166666666666652</v>
      </c>
      <c r="R96" s="79" t="s">
        <v>428</v>
      </c>
      <c r="S96" s="79" t="s">
        <v>339</v>
      </c>
      <c r="T96" s="298">
        <f>IFERROR(Table6[[#This Row],[Breakdown Time]]*Table6[[#This Row],[Plant Equivalent Weightage]],"")</f>
        <v>7.7651515151515124E-2</v>
      </c>
      <c r="U96" s="79" t="s">
        <v>416</v>
      </c>
      <c r="W96" s="79">
        <v>1022</v>
      </c>
    </row>
    <row r="97" spans="1:23">
      <c r="A97" s="79">
        <f t="shared" si="1"/>
        <v>96</v>
      </c>
      <c r="B97" s="79">
        <f>YEAR(Table6[[#This Row],[Date]])+IF(MONTH(Table6[[#This Row],[Date]])&gt;=4,1,0)</f>
        <v>2026</v>
      </c>
      <c r="C97" s="79">
        <f>YEAR(Table6[[#This Row],[Date]])</f>
        <v>2025</v>
      </c>
      <c r="D97" s="79" t="s">
        <v>344</v>
      </c>
      <c r="E97" s="284">
        <f>Table6[[#This Row],[Date]]-DAY(Table6[[#This Row],[Date]])+1</f>
        <v>45748</v>
      </c>
      <c r="F97" s="285">
        <v>45749</v>
      </c>
      <c r="G97" s="79" t="s">
        <v>101</v>
      </c>
      <c r="H97" s="79" t="str">
        <f>IFERROR(_xlfn.XLOOKUP(Table6[[#This Row],[Affected Feeder ]],'Basic Data'!$A:$A,'Basic Data'!$B:$B),"")</f>
        <v>PWEPL</v>
      </c>
      <c r="I97" s="79" t="str">
        <f>IFERROR(_xlfn.XLOOKUP(Table6[[#This Row],[Affected Feeder ]],'Basic Data'!$A:$A,'Basic Data'!$C:$C),"")</f>
        <v>MSEDCL</v>
      </c>
      <c r="J97" s="295">
        <f>IFERROR(_xlfn.XLOOKUP(Table6[[#This Row],[Affected Feeder ]],'Basic Data'!$A:$A,'Basic Data'!$E:$E),"")</f>
        <v>2.2727272727272728E-2</v>
      </c>
      <c r="K97" s="296" t="s">
        <v>171</v>
      </c>
      <c r="L97" s="297">
        <v>0.78819444444444442</v>
      </c>
      <c r="M97" s="297">
        <v>0.78819444444444442</v>
      </c>
      <c r="N97" s="297">
        <v>0.80208333333333337</v>
      </c>
      <c r="O97" s="19">
        <f>(Table6[[#This Row],[Work Start TimeStamp]]-Table6[[#This Row],[Fault Start TimeStamp]])*24</f>
        <v>0</v>
      </c>
      <c r="P97" s="19">
        <f>(Table6[[#This Row],[Fault Clearance time]]-Table6[[#This Row],[Fault Start TimeStamp]])*24</f>
        <v>0.33333333333333481</v>
      </c>
      <c r="Q97" s="19">
        <f>(Table6[[#This Row],[Fault Clearance time]]-Table6[[#This Row],[Fault Start TimeStamp]])*24</f>
        <v>0.33333333333333481</v>
      </c>
      <c r="R97" s="79" t="s">
        <v>353</v>
      </c>
      <c r="S97" s="79" t="s">
        <v>339</v>
      </c>
      <c r="T97" s="298">
        <f>IFERROR(Table6[[#This Row],[Breakdown Time]]*Table6[[#This Row],[Plant Equivalent Weightage]],"")</f>
        <v>7.5757575757576098E-3</v>
      </c>
      <c r="U97" s="79" t="s">
        <v>416</v>
      </c>
      <c r="W97" s="79">
        <v>99</v>
      </c>
    </row>
    <row r="98" spans="1:23">
      <c r="A98" s="79">
        <f t="shared" si="1"/>
        <v>97</v>
      </c>
      <c r="B98" s="79">
        <f>YEAR(Table6[[#This Row],[Date]])+IF(MONTH(Table6[[#This Row],[Date]])&gt;=4,1,0)</f>
        <v>2026</v>
      </c>
      <c r="C98" s="79">
        <f>YEAR(Table6[[#This Row],[Date]])</f>
        <v>2025</v>
      </c>
      <c r="D98" s="79" t="s">
        <v>344</v>
      </c>
      <c r="E98" s="284">
        <f>Table6[[#This Row],[Date]]-DAY(Table6[[#This Row],[Date]])+1</f>
        <v>45748</v>
      </c>
      <c r="F98" s="285">
        <v>45750</v>
      </c>
      <c r="G98" s="79" t="s">
        <v>89</v>
      </c>
      <c r="H98" s="79" t="str">
        <f>IFERROR(_xlfn.XLOOKUP(Table6[[#This Row],[Affected Feeder ]],'Basic Data'!$A:$A,'Basic Data'!$B:$B),"")</f>
        <v>PWEPL</v>
      </c>
      <c r="I98" s="79" t="str">
        <f>IFERROR(_xlfn.XLOOKUP(Table6[[#This Row],[Affected Feeder ]],'Basic Data'!$A:$A,'Basic Data'!$C:$C),"")</f>
        <v>MSEDCL</v>
      </c>
      <c r="J98" s="295">
        <f>IFERROR(_xlfn.XLOOKUP(Table6[[#This Row],[Affected Feeder ]],'Basic Data'!$A:$A,'Basic Data'!$E:$E),"")</f>
        <v>2.2727272727272728E-2</v>
      </c>
      <c r="K98" s="296" t="s">
        <v>414</v>
      </c>
      <c r="L98" s="297">
        <v>0.45902777777777781</v>
      </c>
      <c r="M98" s="297">
        <v>0.45902777777777781</v>
      </c>
      <c r="N98" s="297">
        <v>0.70833333333333337</v>
      </c>
      <c r="O98" s="19">
        <f>(Table6[[#This Row],[Work Start TimeStamp]]-Table6[[#This Row],[Fault Start TimeStamp]])*24</f>
        <v>0</v>
      </c>
      <c r="P98" s="19">
        <f>(Table6[[#This Row],[Fault Clearance time]]-Table6[[#This Row],[Fault Start TimeStamp]])*24</f>
        <v>5.9833333333333334</v>
      </c>
      <c r="Q98" s="19">
        <f>(Table6[[#This Row],[Fault Clearance time]]-Table6[[#This Row],[Fault Start TimeStamp]])*24</f>
        <v>5.9833333333333334</v>
      </c>
      <c r="R98" s="79" t="s">
        <v>429</v>
      </c>
      <c r="S98" s="79" t="s">
        <v>339</v>
      </c>
      <c r="T98" s="298">
        <f>IFERROR(Table6[[#This Row],[Breakdown Time]]*Table6[[#This Row],[Plant Equivalent Weightage]],"")</f>
        <v>0.13598484848484849</v>
      </c>
      <c r="U98" s="79" t="s">
        <v>416</v>
      </c>
      <c r="W98" s="79">
        <v>437</v>
      </c>
    </row>
    <row r="99" spans="1:23">
      <c r="A99" s="79">
        <f t="shared" si="1"/>
        <v>98</v>
      </c>
      <c r="B99" s="79">
        <f>YEAR(Table6[[#This Row],[Date]])+IF(MONTH(Table6[[#This Row],[Date]])&gt;=4,1,0)</f>
        <v>2026</v>
      </c>
      <c r="C99" s="79">
        <f>YEAR(Table6[[#This Row],[Date]])</f>
        <v>2025</v>
      </c>
      <c r="D99" s="79" t="s">
        <v>344</v>
      </c>
      <c r="E99" s="284">
        <f>Table6[[#This Row],[Date]]-DAY(Table6[[#This Row],[Date]])+1</f>
        <v>45748</v>
      </c>
      <c r="F99" s="285">
        <v>45750</v>
      </c>
      <c r="G99" s="79" t="s">
        <v>89</v>
      </c>
      <c r="H99" s="79" t="str">
        <f>IFERROR(_xlfn.XLOOKUP(Table6[[#This Row],[Affected Feeder ]],'Basic Data'!$A:$A,'Basic Data'!$B:$B),"")</f>
        <v>PWEPL</v>
      </c>
      <c r="I99" s="79" t="str">
        <f>IFERROR(_xlfn.XLOOKUP(Table6[[#This Row],[Affected Feeder ]],'Basic Data'!$A:$A,'Basic Data'!$C:$C),"")</f>
        <v>MSEDCL</v>
      </c>
      <c r="J99" s="295">
        <f>IFERROR(_xlfn.XLOOKUP(Table6[[#This Row],[Affected Feeder ]],'Basic Data'!$A:$A,'Basic Data'!$E:$E),"")</f>
        <v>2.2727272727272728E-2</v>
      </c>
      <c r="K99" s="296" t="s">
        <v>171</v>
      </c>
      <c r="L99" s="297">
        <v>0.70833333333333337</v>
      </c>
      <c r="M99" s="297">
        <v>0.70833333333333337</v>
      </c>
      <c r="N99" s="297">
        <v>0.72222222222222221</v>
      </c>
      <c r="O99" s="19">
        <f>(Table6[[#This Row],[Work Start TimeStamp]]-Table6[[#This Row],[Fault Start TimeStamp]])*24</f>
        <v>0</v>
      </c>
      <c r="P99" s="19">
        <f>(Table6[[#This Row],[Fault Clearance time]]-Table6[[#This Row],[Fault Start TimeStamp]])*24</f>
        <v>0.33333333333333215</v>
      </c>
      <c r="Q99" s="19">
        <f>(Table6[[#This Row],[Fault Clearance time]]-Table6[[#This Row],[Fault Start TimeStamp]])*24</f>
        <v>0.33333333333333215</v>
      </c>
      <c r="R99" s="79" t="s">
        <v>353</v>
      </c>
      <c r="S99" s="79" t="s">
        <v>339</v>
      </c>
      <c r="T99" s="298">
        <f>IFERROR(Table6[[#This Row],[Breakdown Time]]*Table6[[#This Row],[Plant Equivalent Weightage]],"")</f>
        <v>7.5757575757575491E-3</v>
      </c>
      <c r="U99" s="79" t="s">
        <v>416</v>
      </c>
      <c r="W99" s="79">
        <v>24</v>
      </c>
    </row>
    <row r="100" spans="1:23">
      <c r="A100" s="79">
        <f t="shared" si="1"/>
        <v>99</v>
      </c>
      <c r="B100" s="79">
        <f>YEAR(Table6[[#This Row],[Date]])+IF(MONTH(Table6[[#This Row],[Date]])&gt;=4,1,0)</f>
        <v>2026</v>
      </c>
      <c r="C100" s="79">
        <f>YEAR(Table6[[#This Row],[Date]])</f>
        <v>2025</v>
      </c>
      <c r="D100" s="79" t="s">
        <v>344</v>
      </c>
      <c r="E100" s="284">
        <f>Table6[[#This Row],[Date]]-DAY(Table6[[#This Row],[Date]])+1</f>
        <v>45748</v>
      </c>
      <c r="F100" s="285">
        <v>45750</v>
      </c>
      <c r="G100" s="79" t="s">
        <v>90</v>
      </c>
      <c r="H100" s="79" t="str">
        <f>IFERROR(_xlfn.XLOOKUP(Table6[[#This Row],[Affected Feeder ]],'Basic Data'!$A:$A,'Basic Data'!$B:$B),"")</f>
        <v>PWEPL</v>
      </c>
      <c r="I100" s="79" t="str">
        <f>IFERROR(_xlfn.XLOOKUP(Table6[[#This Row],[Affected Feeder ]],'Basic Data'!$A:$A,'Basic Data'!$C:$C),"")</f>
        <v>MSEDCL</v>
      </c>
      <c r="J100" s="295">
        <f>IFERROR(_xlfn.XLOOKUP(Table6[[#This Row],[Affected Feeder ]],'Basic Data'!$A:$A,'Basic Data'!$E:$E),"")</f>
        <v>2.2727272727272728E-2</v>
      </c>
      <c r="K100" s="296" t="s">
        <v>414</v>
      </c>
      <c r="L100" s="297">
        <v>0.45902777777777781</v>
      </c>
      <c r="M100" s="297">
        <v>0.45902777777777781</v>
      </c>
      <c r="N100" s="297">
        <v>0.70833333333333337</v>
      </c>
      <c r="O100" s="19">
        <f>(Table6[[#This Row],[Work Start TimeStamp]]-Table6[[#This Row],[Fault Start TimeStamp]])*24</f>
        <v>0</v>
      </c>
      <c r="P100" s="19">
        <f>(Table6[[#This Row],[Fault Clearance time]]-Table6[[#This Row],[Fault Start TimeStamp]])*24</f>
        <v>5.9833333333333334</v>
      </c>
      <c r="Q100" s="19">
        <f>(Table6[[#This Row],[Fault Clearance time]]-Table6[[#This Row],[Fault Start TimeStamp]])*24</f>
        <v>5.9833333333333334</v>
      </c>
      <c r="R100" s="79" t="s">
        <v>429</v>
      </c>
      <c r="S100" s="79" t="s">
        <v>339</v>
      </c>
      <c r="T100" s="298">
        <f>IFERROR(Table6[[#This Row],[Breakdown Time]]*Table6[[#This Row],[Plant Equivalent Weightage]],"")</f>
        <v>0.13598484848484849</v>
      </c>
      <c r="U100" s="79" t="s">
        <v>416</v>
      </c>
      <c r="W100" s="79">
        <v>437</v>
      </c>
    </row>
    <row r="101" spans="1:23">
      <c r="A101" s="79">
        <f t="shared" si="1"/>
        <v>100</v>
      </c>
      <c r="B101" s="79">
        <f>YEAR(Table6[[#This Row],[Date]])+IF(MONTH(Table6[[#This Row],[Date]])&gt;=4,1,0)</f>
        <v>2026</v>
      </c>
      <c r="C101" s="79">
        <f>YEAR(Table6[[#This Row],[Date]])</f>
        <v>2025</v>
      </c>
      <c r="D101" s="79" t="s">
        <v>344</v>
      </c>
      <c r="E101" s="284">
        <f>Table6[[#This Row],[Date]]-DAY(Table6[[#This Row],[Date]])+1</f>
        <v>45748</v>
      </c>
      <c r="F101" s="285">
        <v>45750</v>
      </c>
      <c r="G101" s="79" t="s">
        <v>90</v>
      </c>
      <c r="H101" s="79" t="str">
        <f>IFERROR(_xlfn.XLOOKUP(Table6[[#This Row],[Affected Feeder ]],'Basic Data'!$A:$A,'Basic Data'!$B:$B),"")</f>
        <v>PWEPL</v>
      </c>
      <c r="I101" s="79" t="str">
        <f>IFERROR(_xlfn.XLOOKUP(Table6[[#This Row],[Affected Feeder ]],'Basic Data'!$A:$A,'Basic Data'!$C:$C),"")</f>
        <v>MSEDCL</v>
      </c>
      <c r="J101" s="295">
        <f>IFERROR(_xlfn.XLOOKUP(Table6[[#This Row],[Affected Feeder ]],'Basic Data'!$A:$A,'Basic Data'!$E:$E),"")</f>
        <v>2.2727272727272728E-2</v>
      </c>
      <c r="K101" s="296" t="s">
        <v>171</v>
      </c>
      <c r="L101" s="297">
        <v>0.70833333333333337</v>
      </c>
      <c r="M101" s="297">
        <v>0.70833333333333337</v>
      </c>
      <c r="N101" s="297">
        <v>0.72222222222222221</v>
      </c>
      <c r="O101" s="19">
        <f>(Table6[[#This Row],[Work Start TimeStamp]]-Table6[[#This Row],[Fault Start TimeStamp]])*24</f>
        <v>0</v>
      </c>
      <c r="P101" s="19">
        <f>(Table6[[#This Row],[Fault Clearance time]]-Table6[[#This Row],[Fault Start TimeStamp]])*24</f>
        <v>0.33333333333333215</v>
      </c>
      <c r="Q101" s="19">
        <f>(Table6[[#This Row],[Fault Clearance time]]-Table6[[#This Row],[Fault Start TimeStamp]])*24</f>
        <v>0.33333333333333215</v>
      </c>
      <c r="R101" s="79" t="s">
        <v>353</v>
      </c>
      <c r="S101" s="79" t="s">
        <v>339</v>
      </c>
      <c r="T101" s="298">
        <f>IFERROR(Table6[[#This Row],[Breakdown Time]]*Table6[[#This Row],[Plant Equivalent Weightage]],"")</f>
        <v>7.5757575757575491E-3</v>
      </c>
      <c r="U101" s="79" t="s">
        <v>416</v>
      </c>
      <c r="W101" s="79">
        <v>24</v>
      </c>
    </row>
    <row r="102" spans="1:23">
      <c r="A102" s="79">
        <f t="shared" si="1"/>
        <v>101</v>
      </c>
      <c r="B102" s="79">
        <f>YEAR(Table6[[#This Row],[Date]])+IF(MONTH(Table6[[#This Row],[Date]])&gt;=4,1,0)</f>
        <v>2026</v>
      </c>
      <c r="C102" s="79">
        <f>YEAR(Table6[[#This Row],[Date]])</f>
        <v>2025</v>
      </c>
      <c r="D102" s="79" t="s">
        <v>344</v>
      </c>
      <c r="E102" s="284">
        <f>Table6[[#This Row],[Date]]-DAY(Table6[[#This Row],[Date]])+1</f>
        <v>45748</v>
      </c>
      <c r="F102" s="285">
        <v>45750</v>
      </c>
      <c r="G102" s="79" t="s">
        <v>91</v>
      </c>
      <c r="H102" s="79" t="str">
        <f>IFERROR(_xlfn.XLOOKUP(Table6[[#This Row],[Affected Feeder ]],'Basic Data'!$A:$A,'Basic Data'!$B:$B),"")</f>
        <v>PWEPL</v>
      </c>
      <c r="I102" s="79" t="str">
        <f>IFERROR(_xlfn.XLOOKUP(Table6[[#This Row],[Affected Feeder ]],'Basic Data'!$A:$A,'Basic Data'!$C:$C),"")</f>
        <v>MSEDCL</v>
      </c>
      <c r="J102" s="295">
        <f>IFERROR(_xlfn.XLOOKUP(Table6[[#This Row],[Affected Feeder ]],'Basic Data'!$A:$A,'Basic Data'!$E:$E),"")</f>
        <v>2.2727272727272728E-2</v>
      </c>
      <c r="K102" s="296" t="s">
        <v>414</v>
      </c>
      <c r="L102" s="297">
        <v>0.45902777777777781</v>
      </c>
      <c r="M102" s="297">
        <v>0.45902777777777781</v>
      </c>
      <c r="N102" s="297">
        <v>0.70833333333333337</v>
      </c>
      <c r="O102" s="19">
        <f>(Table6[[#This Row],[Work Start TimeStamp]]-Table6[[#This Row],[Fault Start TimeStamp]])*24</f>
        <v>0</v>
      </c>
      <c r="P102" s="19">
        <f>(Table6[[#This Row],[Fault Clearance time]]-Table6[[#This Row],[Fault Start TimeStamp]])*24</f>
        <v>5.9833333333333334</v>
      </c>
      <c r="Q102" s="19">
        <f>(Table6[[#This Row],[Fault Clearance time]]-Table6[[#This Row],[Fault Start TimeStamp]])*24</f>
        <v>5.9833333333333334</v>
      </c>
      <c r="R102" s="79" t="s">
        <v>429</v>
      </c>
      <c r="S102" s="79" t="s">
        <v>339</v>
      </c>
      <c r="T102" s="298">
        <f>IFERROR(Table6[[#This Row],[Breakdown Time]]*Table6[[#This Row],[Plant Equivalent Weightage]],"")</f>
        <v>0.13598484848484849</v>
      </c>
      <c r="U102" s="79" t="s">
        <v>416</v>
      </c>
      <c r="W102" s="79">
        <v>437</v>
      </c>
    </row>
    <row r="103" spans="1:23">
      <c r="A103" s="79">
        <f t="shared" si="1"/>
        <v>102</v>
      </c>
      <c r="B103" s="79">
        <f>YEAR(Table6[[#This Row],[Date]])+IF(MONTH(Table6[[#This Row],[Date]])&gt;=4,1,0)</f>
        <v>2026</v>
      </c>
      <c r="C103" s="79">
        <f>YEAR(Table6[[#This Row],[Date]])</f>
        <v>2025</v>
      </c>
      <c r="D103" s="79" t="s">
        <v>344</v>
      </c>
      <c r="E103" s="284">
        <f>Table6[[#This Row],[Date]]-DAY(Table6[[#This Row],[Date]])+1</f>
        <v>45748</v>
      </c>
      <c r="F103" s="285">
        <v>45750</v>
      </c>
      <c r="G103" s="79" t="s">
        <v>91</v>
      </c>
      <c r="H103" s="79" t="str">
        <f>IFERROR(_xlfn.XLOOKUP(Table6[[#This Row],[Affected Feeder ]],'Basic Data'!$A:$A,'Basic Data'!$B:$B),"")</f>
        <v>PWEPL</v>
      </c>
      <c r="I103" s="79" t="str">
        <f>IFERROR(_xlfn.XLOOKUP(Table6[[#This Row],[Affected Feeder ]],'Basic Data'!$A:$A,'Basic Data'!$C:$C),"")</f>
        <v>MSEDCL</v>
      </c>
      <c r="J103" s="295">
        <f>IFERROR(_xlfn.XLOOKUP(Table6[[#This Row],[Affected Feeder ]],'Basic Data'!$A:$A,'Basic Data'!$E:$E),"")</f>
        <v>2.2727272727272728E-2</v>
      </c>
      <c r="K103" s="296" t="s">
        <v>171</v>
      </c>
      <c r="L103" s="297">
        <v>0.70833333333333337</v>
      </c>
      <c r="M103" s="297">
        <v>0.70833333333333337</v>
      </c>
      <c r="N103" s="297">
        <v>0.72222222222222221</v>
      </c>
      <c r="O103" s="19">
        <f>(Table6[[#This Row],[Work Start TimeStamp]]-Table6[[#This Row],[Fault Start TimeStamp]])*24</f>
        <v>0</v>
      </c>
      <c r="P103" s="19">
        <f>(Table6[[#This Row],[Fault Clearance time]]-Table6[[#This Row],[Fault Start TimeStamp]])*24</f>
        <v>0.33333333333333215</v>
      </c>
      <c r="Q103" s="19">
        <f>(Table6[[#This Row],[Fault Clearance time]]-Table6[[#This Row],[Fault Start TimeStamp]])*24</f>
        <v>0.33333333333333215</v>
      </c>
      <c r="R103" s="79" t="s">
        <v>353</v>
      </c>
      <c r="S103" s="79" t="s">
        <v>339</v>
      </c>
      <c r="T103" s="298">
        <f>IFERROR(Table6[[#This Row],[Breakdown Time]]*Table6[[#This Row],[Plant Equivalent Weightage]],"")</f>
        <v>7.5757575757575491E-3</v>
      </c>
      <c r="U103" s="79" t="s">
        <v>416</v>
      </c>
      <c r="W103" s="79">
        <v>24</v>
      </c>
    </row>
    <row r="104" spans="1:23">
      <c r="A104" s="79">
        <f t="shared" si="1"/>
        <v>103</v>
      </c>
      <c r="B104" s="79">
        <f>YEAR(Table6[[#This Row],[Date]])+IF(MONTH(Table6[[#This Row],[Date]])&gt;=4,1,0)</f>
        <v>2026</v>
      </c>
      <c r="C104" s="79">
        <f>YEAR(Table6[[#This Row],[Date]])</f>
        <v>2025</v>
      </c>
      <c r="D104" s="79" t="s">
        <v>344</v>
      </c>
      <c r="E104" s="284">
        <f>Table6[[#This Row],[Date]]-DAY(Table6[[#This Row],[Date]])+1</f>
        <v>45748</v>
      </c>
      <c r="F104" s="285">
        <v>45750</v>
      </c>
      <c r="G104" s="79" t="s">
        <v>92</v>
      </c>
      <c r="H104" s="79" t="str">
        <f>IFERROR(_xlfn.XLOOKUP(Table6[[#This Row],[Affected Feeder ]],'Basic Data'!$A:$A,'Basic Data'!$B:$B),"")</f>
        <v>PWEPL</v>
      </c>
      <c r="I104" s="79" t="str">
        <f>IFERROR(_xlfn.XLOOKUP(Table6[[#This Row],[Affected Feeder ]],'Basic Data'!$A:$A,'Basic Data'!$C:$C),"")</f>
        <v>MSEDCL</v>
      </c>
      <c r="J104" s="295">
        <f>IFERROR(_xlfn.XLOOKUP(Table6[[#This Row],[Affected Feeder ]],'Basic Data'!$A:$A,'Basic Data'!$E:$E),"")</f>
        <v>2.2727272727272728E-2</v>
      </c>
      <c r="K104" s="296" t="s">
        <v>414</v>
      </c>
      <c r="L104" s="297">
        <v>0.45902777777777781</v>
      </c>
      <c r="M104" s="297">
        <v>0.45902777777777781</v>
      </c>
      <c r="N104" s="297">
        <v>0.70833333333333337</v>
      </c>
      <c r="O104" s="19">
        <f>(Table6[[#This Row],[Work Start TimeStamp]]-Table6[[#This Row],[Fault Start TimeStamp]])*24</f>
        <v>0</v>
      </c>
      <c r="P104" s="19">
        <f>(Table6[[#This Row],[Fault Clearance time]]-Table6[[#This Row],[Fault Start TimeStamp]])*24</f>
        <v>5.9833333333333334</v>
      </c>
      <c r="Q104" s="19">
        <f>(Table6[[#This Row],[Fault Clearance time]]-Table6[[#This Row],[Fault Start TimeStamp]])*24</f>
        <v>5.9833333333333334</v>
      </c>
      <c r="R104" s="79" t="s">
        <v>429</v>
      </c>
      <c r="S104" s="79" t="s">
        <v>339</v>
      </c>
      <c r="T104" s="298">
        <f>IFERROR(Table6[[#This Row],[Breakdown Time]]*Table6[[#This Row],[Plant Equivalent Weightage]],"")</f>
        <v>0.13598484848484849</v>
      </c>
      <c r="U104" s="79" t="s">
        <v>416</v>
      </c>
      <c r="W104" s="79">
        <v>437</v>
      </c>
    </row>
    <row r="105" spans="1:23">
      <c r="A105" s="79">
        <f t="shared" si="1"/>
        <v>104</v>
      </c>
      <c r="B105" s="79">
        <f>YEAR(Table6[[#This Row],[Date]])+IF(MONTH(Table6[[#This Row],[Date]])&gt;=4,1,0)</f>
        <v>2026</v>
      </c>
      <c r="C105" s="79">
        <f>YEAR(Table6[[#This Row],[Date]])</f>
        <v>2025</v>
      </c>
      <c r="D105" s="79" t="s">
        <v>344</v>
      </c>
      <c r="E105" s="284">
        <f>Table6[[#This Row],[Date]]-DAY(Table6[[#This Row],[Date]])+1</f>
        <v>45748</v>
      </c>
      <c r="F105" s="285">
        <v>45750</v>
      </c>
      <c r="G105" s="79" t="s">
        <v>92</v>
      </c>
      <c r="H105" s="79" t="str">
        <f>IFERROR(_xlfn.XLOOKUP(Table6[[#This Row],[Affected Feeder ]],'Basic Data'!$A:$A,'Basic Data'!$B:$B),"")</f>
        <v>PWEPL</v>
      </c>
      <c r="I105" s="79" t="str">
        <f>IFERROR(_xlfn.XLOOKUP(Table6[[#This Row],[Affected Feeder ]],'Basic Data'!$A:$A,'Basic Data'!$C:$C),"")</f>
        <v>MSEDCL</v>
      </c>
      <c r="J105" s="295">
        <f>IFERROR(_xlfn.XLOOKUP(Table6[[#This Row],[Affected Feeder ]],'Basic Data'!$A:$A,'Basic Data'!$E:$E),"")</f>
        <v>2.2727272727272728E-2</v>
      </c>
      <c r="K105" s="296" t="s">
        <v>171</v>
      </c>
      <c r="L105" s="297">
        <v>0.70833333333333337</v>
      </c>
      <c r="M105" s="297">
        <v>0.70833333333333337</v>
      </c>
      <c r="N105" s="297">
        <v>0.72222222222222221</v>
      </c>
      <c r="O105" s="19">
        <f>(Table6[[#This Row],[Work Start TimeStamp]]-Table6[[#This Row],[Fault Start TimeStamp]])*24</f>
        <v>0</v>
      </c>
      <c r="P105" s="19">
        <f>(Table6[[#This Row],[Fault Clearance time]]-Table6[[#This Row],[Fault Start TimeStamp]])*24</f>
        <v>0.33333333333333215</v>
      </c>
      <c r="Q105" s="19">
        <f>(Table6[[#This Row],[Fault Clearance time]]-Table6[[#This Row],[Fault Start TimeStamp]])*24</f>
        <v>0.33333333333333215</v>
      </c>
      <c r="R105" s="79" t="s">
        <v>353</v>
      </c>
      <c r="S105" s="79" t="s">
        <v>339</v>
      </c>
      <c r="T105" s="298">
        <f>IFERROR(Table6[[#This Row],[Breakdown Time]]*Table6[[#This Row],[Plant Equivalent Weightage]],"")</f>
        <v>7.5757575757575491E-3</v>
      </c>
      <c r="U105" s="79" t="s">
        <v>416</v>
      </c>
      <c r="W105" s="79">
        <v>24</v>
      </c>
    </row>
    <row r="106" spans="1:23">
      <c r="A106" s="79">
        <f t="shared" si="1"/>
        <v>105</v>
      </c>
      <c r="B106" s="79">
        <f>YEAR(Table6[[#This Row],[Date]])+IF(MONTH(Table6[[#This Row],[Date]])&gt;=4,1,0)</f>
        <v>2026</v>
      </c>
      <c r="C106" s="79">
        <f>YEAR(Table6[[#This Row],[Date]])</f>
        <v>2025</v>
      </c>
      <c r="D106" s="79" t="s">
        <v>344</v>
      </c>
      <c r="E106" s="284">
        <f>Table6[[#This Row],[Date]]-DAY(Table6[[#This Row],[Date]])+1</f>
        <v>45748</v>
      </c>
      <c r="F106" s="285">
        <v>45750</v>
      </c>
      <c r="G106" s="79" t="s">
        <v>94</v>
      </c>
      <c r="H106" s="79" t="str">
        <f>IFERROR(_xlfn.XLOOKUP(Table6[[#This Row],[Affected Feeder ]],'Basic Data'!$A:$A,'Basic Data'!$B:$B),"")</f>
        <v>PWEPL</v>
      </c>
      <c r="I106" s="79" t="str">
        <f>IFERROR(_xlfn.XLOOKUP(Table6[[#This Row],[Affected Feeder ]],'Basic Data'!$A:$A,'Basic Data'!$C:$C),"")</f>
        <v>MSEDCL</v>
      </c>
      <c r="J106" s="295">
        <f>IFERROR(_xlfn.XLOOKUP(Table6[[#This Row],[Affected Feeder ]],'Basic Data'!$A:$A,'Basic Data'!$E:$E),"")</f>
        <v>2.2727272727272728E-2</v>
      </c>
      <c r="K106" s="296" t="s">
        <v>414</v>
      </c>
      <c r="L106" s="297">
        <v>0.45902777777777781</v>
      </c>
      <c r="M106" s="297">
        <v>0.45902777777777781</v>
      </c>
      <c r="N106" s="297">
        <v>0.70833333333333337</v>
      </c>
      <c r="O106" s="19">
        <f>(Table6[[#This Row],[Work Start TimeStamp]]-Table6[[#This Row],[Fault Start TimeStamp]])*24</f>
        <v>0</v>
      </c>
      <c r="P106" s="19">
        <f>(Table6[[#This Row],[Fault Clearance time]]-Table6[[#This Row],[Fault Start TimeStamp]])*24</f>
        <v>5.9833333333333334</v>
      </c>
      <c r="Q106" s="19">
        <f>(Table6[[#This Row],[Fault Clearance time]]-Table6[[#This Row],[Fault Start TimeStamp]])*24</f>
        <v>5.9833333333333334</v>
      </c>
      <c r="R106" s="79" t="s">
        <v>429</v>
      </c>
      <c r="S106" s="79" t="s">
        <v>339</v>
      </c>
      <c r="T106" s="298">
        <f>IFERROR(Table6[[#This Row],[Breakdown Time]]*Table6[[#This Row],[Plant Equivalent Weightage]],"")</f>
        <v>0.13598484848484849</v>
      </c>
      <c r="U106" s="79" t="s">
        <v>416</v>
      </c>
      <c r="W106" s="79">
        <v>437</v>
      </c>
    </row>
    <row r="107" spans="1:23">
      <c r="A107" s="79">
        <f t="shared" si="1"/>
        <v>106</v>
      </c>
      <c r="B107" s="79">
        <f>YEAR(Table6[[#This Row],[Date]])+IF(MONTH(Table6[[#This Row],[Date]])&gt;=4,1,0)</f>
        <v>2026</v>
      </c>
      <c r="C107" s="79">
        <f>YEAR(Table6[[#This Row],[Date]])</f>
        <v>2025</v>
      </c>
      <c r="D107" s="79" t="s">
        <v>344</v>
      </c>
      <c r="E107" s="284">
        <f>Table6[[#This Row],[Date]]-DAY(Table6[[#This Row],[Date]])+1</f>
        <v>45748</v>
      </c>
      <c r="F107" s="285">
        <v>45750</v>
      </c>
      <c r="G107" s="79" t="s">
        <v>94</v>
      </c>
      <c r="H107" s="79" t="str">
        <f>IFERROR(_xlfn.XLOOKUP(Table6[[#This Row],[Affected Feeder ]],'Basic Data'!$A:$A,'Basic Data'!$B:$B),"")</f>
        <v>PWEPL</v>
      </c>
      <c r="I107" s="79" t="str">
        <f>IFERROR(_xlfn.XLOOKUP(Table6[[#This Row],[Affected Feeder ]],'Basic Data'!$A:$A,'Basic Data'!$C:$C),"")</f>
        <v>MSEDCL</v>
      </c>
      <c r="J107" s="295">
        <f>IFERROR(_xlfn.XLOOKUP(Table6[[#This Row],[Affected Feeder ]],'Basic Data'!$A:$A,'Basic Data'!$E:$E),"")</f>
        <v>2.2727272727272728E-2</v>
      </c>
      <c r="K107" s="296" t="s">
        <v>171</v>
      </c>
      <c r="L107" s="297">
        <v>0.70833333333333337</v>
      </c>
      <c r="M107" s="297">
        <v>0.70833333333333337</v>
      </c>
      <c r="N107" s="297">
        <v>0.72222222222222221</v>
      </c>
      <c r="O107" s="19">
        <f>(Table6[[#This Row],[Work Start TimeStamp]]-Table6[[#This Row],[Fault Start TimeStamp]])*24</f>
        <v>0</v>
      </c>
      <c r="P107" s="19">
        <f>(Table6[[#This Row],[Fault Clearance time]]-Table6[[#This Row],[Fault Start TimeStamp]])*24</f>
        <v>0.33333333333333215</v>
      </c>
      <c r="Q107" s="19">
        <f>(Table6[[#This Row],[Fault Clearance time]]-Table6[[#This Row],[Fault Start TimeStamp]])*24</f>
        <v>0.33333333333333215</v>
      </c>
      <c r="R107" s="79" t="s">
        <v>353</v>
      </c>
      <c r="S107" s="79" t="s">
        <v>339</v>
      </c>
      <c r="T107" s="298">
        <f>IFERROR(Table6[[#This Row],[Breakdown Time]]*Table6[[#This Row],[Plant Equivalent Weightage]],"")</f>
        <v>7.5757575757575491E-3</v>
      </c>
      <c r="U107" s="79" t="s">
        <v>416</v>
      </c>
      <c r="W107" s="79">
        <v>24</v>
      </c>
    </row>
    <row r="108" spans="1:23">
      <c r="A108" s="79">
        <f t="shared" si="1"/>
        <v>107</v>
      </c>
      <c r="B108" s="79">
        <f>YEAR(Table6[[#This Row],[Date]])+IF(MONTH(Table6[[#This Row],[Date]])&gt;=4,1,0)</f>
        <v>2026</v>
      </c>
      <c r="C108" s="79">
        <f>YEAR(Table6[[#This Row],[Date]])</f>
        <v>2025</v>
      </c>
      <c r="D108" s="79" t="s">
        <v>344</v>
      </c>
      <c r="E108" s="284">
        <f>Table6[[#This Row],[Date]]-DAY(Table6[[#This Row],[Date]])+1</f>
        <v>45748</v>
      </c>
      <c r="F108" s="285">
        <v>45750</v>
      </c>
      <c r="G108" s="79" t="s">
        <v>95</v>
      </c>
      <c r="H108" s="79" t="str">
        <f>IFERROR(_xlfn.XLOOKUP(Table6[[#This Row],[Affected Feeder ]],'Basic Data'!$A:$A,'Basic Data'!$B:$B),"")</f>
        <v>PWEPL</v>
      </c>
      <c r="I108" s="79" t="str">
        <f>IFERROR(_xlfn.XLOOKUP(Table6[[#This Row],[Affected Feeder ]],'Basic Data'!$A:$A,'Basic Data'!$C:$C),"")</f>
        <v>MSEDCL</v>
      </c>
      <c r="J108" s="295">
        <f>IFERROR(_xlfn.XLOOKUP(Table6[[#This Row],[Affected Feeder ]],'Basic Data'!$A:$A,'Basic Data'!$E:$E),"")</f>
        <v>2.2727272727272728E-2</v>
      </c>
      <c r="K108" s="296" t="s">
        <v>414</v>
      </c>
      <c r="L108" s="297">
        <v>0.45902777777777781</v>
      </c>
      <c r="M108" s="297">
        <v>0.45902777777777781</v>
      </c>
      <c r="N108" s="297">
        <v>0.70833333333333337</v>
      </c>
      <c r="O108" s="19">
        <f>(Table6[[#This Row],[Work Start TimeStamp]]-Table6[[#This Row],[Fault Start TimeStamp]])*24</f>
        <v>0</v>
      </c>
      <c r="P108" s="19">
        <f>(Table6[[#This Row],[Fault Clearance time]]-Table6[[#This Row],[Fault Start TimeStamp]])*24</f>
        <v>5.9833333333333334</v>
      </c>
      <c r="Q108" s="19">
        <f>(Table6[[#This Row],[Fault Clearance time]]-Table6[[#This Row],[Fault Start TimeStamp]])*24</f>
        <v>5.9833333333333334</v>
      </c>
      <c r="R108" s="79" t="s">
        <v>429</v>
      </c>
      <c r="S108" s="79" t="s">
        <v>339</v>
      </c>
      <c r="T108" s="298">
        <f>IFERROR(Table6[[#This Row],[Breakdown Time]]*Table6[[#This Row],[Plant Equivalent Weightage]],"")</f>
        <v>0.13598484848484849</v>
      </c>
      <c r="U108" s="79" t="s">
        <v>416</v>
      </c>
      <c r="W108" s="79">
        <v>437</v>
      </c>
    </row>
    <row r="109" spans="1:23">
      <c r="A109" s="79">
        <f t="shared" si="1"/>
        <v>108</v>
      </c>
      <c r="B109" s="79">
        <f>YEAR(Table6[[#This Row],[Date]])+IF(MONTH(Table6[[#This Row],[Date]])&gt;=4,1,0)</f>
        <v>2026</v>
      </c>
      <c r="C109" s="79">
        <f>YEAR(Table6[[#This Row],[Date]])</f>
        <v>2025</v>
      </c>
      <c r="D109" s="79" t="s">
        <v>344</v>
      </c>
      <c r="E109" s="284">
        <f>Table6[[#This Row],[Date]]-DAY(Table6[[#This Row],[Date]])+1</f>
        <v>45748</v>
      </c>
      <c r="F109" s="285">
        <v>45750</v>
      </c>
      <c r="G109" s="79" t="s">
        <v>95</v>
      </c>
      <c r="H109" s="79" t="str">
        <f>IFERROR(_xlfn.XLOOKUP(Table6[[#This Row],[Affected Feeder ]],'Basic Data'!$A:$A,'Basic Data'!$B:$B),"")</f>
        <v>PWEPL</v>
      </c>
      <c r="I109" s="79" t="str">
        <f>IFERROR(_xlfn.XLOOKUP(Table6[[#This Row],[Affected Feeder ]],'Basic Data'!$A:$A,'Basic Data'!$C:$C),"")</f>
        <v>MSEDCL</v>
      </c>
      <c r="J109" s="295">
        <f>IFERROR(_xlfn.XLOOKUP(Table6[[#This Row],[Affected Feeder ]],'Basic Data'!$A:$A,'Basic Data'!$E:$E),"")</f>
        <v>2.2727272727272728E-2</v>
      </c>
      <c r="K109" s="296" t="s">
        <v>171</v>
      </c>
      <c r="L109" s="297">
        <v>0.70833333333333337</v>
      </c>
      <c r="M109" s="297">
        <v>0.70833333333333337</v>
      </c>
      <c r="N109" s="297">
        <v>0.72222222222222221</v>
      </c>
      <c r="O109" s="19">
        <f>(Table6[[#This Row],[Work Start TimeStamp]]-Table6[[#This Row],[Fault Start TimeStamp]])*24</f>
        <v>0</v>
      </c>
      <c r="P109" s="19">
        <f>(Table6[[#This Row],[Fault Clearance time]]-Table6[[#This Row],[Fault Start TimeStamp]])*24</f>
        <v>0.33333333333333215</v>
      </c>
      <c r="Q109" s="19">
        <f>(Table6[[#This Row],[Fault Clearance time]]-Table6[[#This Row],[Fault Start TimeStamp]])*24</f>
        <v>0.33333333333333215</v>
      </c>
      <c r="R109" s="79" t="s">
        <v>353</v>
      </c>
      <c r="S109" s="79" t="s">
        <v>339</v>
      </c>
      <c r="T109" s="298">
        <f>IFERROR(Table6[[#This Row],[Breakdown Time]]*Table6[[#This Row],[Plant Equivalent Weightage]],"")</f>
        <v>7.5757575757575491E-3</v>
      </c>
      <c r="U109" s="79" t="s">
        <v>416</v>
      </c>
      <c r="W109" s="79">
        <v>24</v>
      </c>
    </row>
    <row r="110" spans="1:23">
      <c r="A110" s="79">
        <f t="shared" si="1"/>
        <v>109</v>
      </c>
      <c r="B110" s="79">
        <f>YEAR(Table6[[#This Row],[Date]])+IF(MONTH(Table6[[#This Row],[Date]])&gt;=4,1,0)</f>
        <v>2026</v>
      </c>
      <c r="C110" s="79">
        <f>YEAR(Table6[[#This Row],[Date]])</f>
        <v>2025</v>
      </c>
      <c r="D110" s="79" t="s">
        <v>344</v>
      </c>
      <c r="E110" s="284">
        <f>Table6[[#This Row],[Date]]-DAY(Table6[[#This Row],[Date]])+1</f>
        <v>45748</v>
      </c>
      <c r="F110" s="285">
        <v>45750</v>
      </c>
      <c r="G110" s="79" t="s">
        <v>106</v>
      </c>
      <c r="H110" s="79" t="str">
        <f>IFERROR(_xlfn.XLOOKUP(Table6[[#This Row],[Affected Feeder ]],'Basic Data'!$A:$A,'Basic Data'!$B:$B),"")</f>
        <v>PWEPL</v>
      </c>
      <c r="I110" s="79" t="str">
        <f>IFERROR(_xlfn.XLOOKUP(Table6[[#This Row],[Affected Feeder ]],'Basic Data'!$A:$A,'Basic Data'!$C:$C),"")</f>
        <v>MSEDCL</v>
      </c>
      <c r="J110" s="295">
        <f>IFERROR(_xlfn.XLOOKUP(Table6[[#This Row],[Affected Feeder ]],'Basic Data'!$A:$A,'Basic Data'!$E:$E),"")</f>
        <v>2.2727272727272728E-2</v>
      </c>
      <c r="K110" s="296" t="s">
        <v>414</v>
      </c>
      <c r="L110" s="297">
        <v>0.45902777777777781</v>
      </c>
      <c r="M110" s="297">
        <v>0.45902777777777781</v>
      </c>
      <c r="N110" s="297">
        <v>0.70833333333333337</v>
      </c>
      <c r="O110" s="19">
        <f>(Table6[[#This Row],[Work Start TimeStamp]]-Table6[[#This Row],[Fault Start TimeStamp]])*24</f>
        <v>0</v>
      </c>
      <c r="P110" s="19">
        <f>(Table6[[#This Row],[Fault Clearance time]]-Table6[[#This Row],[Fault Start TimeStamp]])*24</f>
        <v>5.9833333333333334</v>
      </c>
      <c r="Q110" s="19">
        <f>(Table6[[#This Row],[Fault Clearance time]]-Table6[[#This Row],[Fault Start TimeStamp]])*24</f>
        <v>5.9833333333333334</v>
      </c>
      <c r="R110" s="79" t="s">
        <v>429</v>
      </c>
      <c r="S110" s="79" t="s">
        <v>339</v>
      </c>
      <c r="T110" s="298">
        <f>IFERROR(Table6[[#This Row],[Breakdown Time]]*Table6[[#This Row],[Plant Equivalent Weightage]],"")</f>
        <v>0.13598484848484849</v>
      </c>
      <c r="U110" s="79" t="s">
        <v>416</v>
      </c>
      <c r="W110" s="79">
        <v>437</v>
      </c>
    </row>
    <row r="111" spans="1:23">
      <c r="A111" s="79">
        <f t="shared" si="1"/>
        <v>110</v>
      </c>
      <c r="B111" s="79">
        <f>YEAR(Table6[[#This Row],[Date]])+IF(MONTH(Table6[[#This Row],[Date]])&gt;=4,1,0)</f>
        <v>2026</v>
      </c>
      <c r="C111" s="79">
        <f>YEAR(Table6[[#This Row],[Date]])</f>
        <v>2025</v>
      </c>
      <c r="D111" s="79" t="s">
        <v>344</v>
      </c>
      <c r="E111" s="284">
        <f>Table6[[#This Row],[Date]]-DAY(Table6[[#This Row],[Date]])+1</f>
        <v>45748</v>
      </c>
      <c r="F111" s="285">
        <v>45750</v>
      </c>
      <c r="G111" s="79" t="s">
        <v>106</v>
      </c>
      <c r="H111" s="79" t="str">
        <f>IFERROR(_xlfn.XLOOKUP(Table6[[#This Row],[Affected Feeder ]],'Basic Data'!$A:$A,'Basic Data'!$B:$B),"")</f>
        <v>PWEPL</v>
      </c>
      <c r="I111" s="79" t="str">
        <f>IFERROR(_xlfn.XLOOKUP(Table6[[#This Row],[Affected Feeder ]],'Basic Data'!$A:$A,'Basic Data'!$C:$C),"")</f>
        <v>MSEDCL</v>
      </c>
      <c r="J111" s="295">
        <f>IFERROR(_xlfn.XLOOKUP(Table6[[#This Row],[Affected Feeder ]],'Basic Data'!$A:$A,'Basic Data'!$E:$E),"")</f>
        <v>2.2727272727272728E-2</v>
      </c>
      <c r="K111" s="296" t="s">
        <v>171</v>
      </c>
      <c r="L111" s="297">
        <v>0.70833333333333337</v>
      </c>
      <c r="M111" s="297">
        <v>0.70833333333333337</v>
      </c>
      <c r="N111" s="297">
        <v>0.72222222222222221</v>
      </c>
      <c r="O111" s="19">
        <f>(Table6[[#This Row],[Work Start TimeStamp]]-Table6[[#This Row],[Fault Start TimeStamp]])*24</f>
        <v>0</v>
      </c>
      <c r="P111" s="19">
        <f>(Table6[[#This Row],[Fault Clearance time]]-Table6[[#This Row],[Fault Start TimeStamp]])*24</f>
        <v>0.33333333333333215</v>
      </c>
      <c r="Q111" s="19">
        <f>(Table6[[#This Row],[Fault Clearance time]]-Table6[[#This Row],[Fault Start TimeStamp]])*24</f>
        <v>0.33333333333333215</v>
      </c>
      <c r="R111" s="79" t="s">
        <v>353</v>
      </c>
      <c r="S111" s="79" t="s">
        <v>339</v>
      </c>
      <c r="T111" s="298">
        <f>IFERROR(Table6[[#This Row],[Breakdown Time]]*Table6[[#This Row],[Plant Equivalent Weightage]],"")</f>
        <v>7.5757575757575491E-3</v>
      </c>
      <c r="U111" s="79" t="s">
        <v>416</v>
      </c>
      <c r="W111" s="79">
        <v>24</v>
      </c>
    </row>
    <row r="112" spans="1:23">
      <c r="A112" s="79">
        <f t="shared" si="1"/>
        <v>111</v>
      </c>
      <c r="B112" s="79">
        <f>YEAR(Table6[[#This Row],[Date]])+IF(MONTH(Table6[[#This Row],[Date]])&gt;=4,1,0)</f>
        <v>2026</v>
      </c>
      <c r="C112" s="79">
        <f>YEAR(Table6[[#This Row],[Date]])</f>
        <v>2025</v>
      </c>
      <c r="D112" s="79" t="s">
        <v>344</v>
      </c>
      <c r="E112" s="284">
        <f>Table6[[#This Row],[Date]]-DAY(Table6[[#This Row],[Date]])+1</f>
        <v>45748</v>
      </c>
      <c r="F112" s="285">
        <v>45750</v>
      </c>
      <c r="G112" s="79" t="s">
        <v>104</v>
      </c>
      <c r="H112" s="79" t="str">
        <f>IFERROR(_xlfn.XLOOKUP(Table6[[#This Row],[Affected Feeder ]],'Basic Data'!$A:$A,'Basic Data'!$B:$B),"")</f>
        <v>PWEPL</v>
      </c>
      <c r="I112" s="79" t="str">
        <f>IFERROR(_xlfn.XLOOKUP(Table6[[#This Row],[Affected Feeder ]],'Basic Data'!$A:$A,'Basic Data'!$C:$C),"")</f>
        <v>MSEDCL</v>
      </c>
      <c r="J112" s="295">
        <f>IFERROR(_xlfn.XLOOKUP(Table6[[#This Row],[Affected Feeder ]],'Basic Data'!$A:$A,'Basic Data'!$E:$E),"")</f>
        <v>2.2727272727272728E-2</v>
      </c>
      <c r="K112" s="296" t="s">
        <v>422</v>
      </c>
      <c r="L112" s="297">
        <v>0.39166666666666666</v>
      </c>
      <c r="M112" s="297">
        <v>0.39166666666666666</v>
      </c>
      <c r="N112" s="297">
        <v>0.4368055555555555</v>
      </c>
      <c r="O112" s="19">
        <f>(Table6[[#This Row],[Work Start TimeStamp]]-Table6[[#This Row],[Fault Start TimeStamp]])*24</f>
        <v>0</v>
      </c>
      <c r="P112" s="19">
        <f>(Table6[[#This Row],[Fault Clearance time]]-Table6[[#This Row],[Fault Start TimeStamp]])*24</f>
        <v>1.0833333333333321</v>
      </c>
      <c r="Q112" s="19">
        <f>(Table6[[#This Row],[Fault Clearance time]]-Table6[[#This Row],[Fault Start TimeStamp]])*24</f>
        <v>1.0833333333333321</v>
      </c>
      <c r="R112" s="79" t="s">
        <v>424</v>
      </c>
      <c r="S112" s="79" t="s">
        <v>339</v>
      </c>
      <c r="T112" s="298">
        <f>IFERROR(Table6[[#This Row],[Breakdown Time]]*Table6[[#This Row],[Plant Equivalent Weightage]],"")</f>
        <v>2.4621212121212096E-2</v>
      </c>
      <c r="U112" s="79" t="s">
        <v>421</v>
      </c>
      <c r="W112" s="79">
        <v>3</v>
      </c>
    </row>
    <row r="113" spans="1:23">
      <c r="A113" s="79">
        <f t="shared" si="1"/>
        <v>112</v>
      </c>
      <c r="B113" s="79">
        <f>YEAR(Table6[[#This Row],[Date]])+IF(MONTH(Table6[[#This Row],[Date]])&gt;=4,1,0)</f>
        <v>2026</v>
      </c>
      <c r="C113" s="79">
        <f>YEAR(Table6[[#This Row],[Date]])</f>
        <v>2025</v>
      </c>
      <c r="D113" s="79" t="s">
        <v>344</v>
      </c>
      <c r="E113" s="284">
        <f>Table6[[#This Row],[Date]]-DAY(Table6[[#This Row],[Date]])+1</f>
        <v>45748</v>
      </c>
      <c r="F113" s="285">
        <v>45750</v>
      </c>
      <c r="G113" s="79" t="s">
        <v>104</v>
      </c>
      <c r="H113" s="79" t="str">
        <f>IFERROR(_xlfn.XLOOKUP(Table6[[#This Row],[Affected Feeder ]],'Basic Data'!$A:$A,'Basic Data'!$B:$B),"")</f>
        <v>PWEPL</v>
      </c>
      <c r="I113" s="79" t="str">
        <f>IFERROR(_xlfn.XLOOKUP(Table6[[#This Row],[Affected Feeder ]],'Basic Data'!$A:$A,'Basic Data'!$C:$C),"")</f>
        <v>MSEDCL</v>
      </c>
      <c r="J113" s="295">
        <f>IFERROR(_xlfn.XLOOKUP(Table6[[#This Row],[Affected Feeder ]],'Basic Data'!$A:$A,'Basic Data'!$E:$E),"")</f>
        <v>2.2727272727272728E-2</v>
      </c>
      <c r="K113" s="296" t="s">
        <v>171</v>
      </c>
      <c r="L113" s="297">
        <v>0.4368055555555555</v>
      </c>
      <c r="M113" s="297">
        <v>0.4368055555555555</v>
      </c>
      <c r="N113" s="297">
        <v>0.43958333333333338</v>
      </c>
      <c r="O113" s="19">
        <f>(Table6[[#This Row],[Work Start TimeStamp]]-Table6[[#This Row],[Fault Start TimeStamp]])*24</f>
        <v>0</v>
      </c>
      <c r="P113" s="19">
        <f>(Table6[[#This Row],[Fault Clearance time]]-Table6[[#This Row],[Fault Start TimeStamp]])*24</f>
        <v>6.6666666666669094E-2</v>
      </c>
      <c r="Q113" s="19">
        <f>(Table6[[#This Row],[Fault Clearance time]]-Table6[[#This Row],[Fault Start TimeStamp]])*24</f>
        <v>6.6666666666669094E-2</v>
      </c>
      <c r="R113" s="79" t="s">
        <v>353</v>
      </c>
      <c r="S113" s="79" t="s">
        <v>339</v>
      </c>
      <c r="T113" s="298">
        <f>IFERROR(Table6[[#This Row],[Breakdown Time]]*Table6[[#This Row],[Plant Equivalent Weightage]],"")</f>
        <v>1.5151515151515704E-3</v>
      </c>
      <c r="U113" s="79" t="s">
        <v>421</v>
      </c>
      <c r="W113" s="79">
        <v>0</v>
      </c>
    </row>
    <row r="114" spans="1:23">
      <c r="A114" s="79">
        <f t="shared" si="1"/>
        <v>113</v>
      </c>
      <c r="B114" s="79">
        <f>YEAR(Table6[[#This Row],[Date]])+IF(MONTH(Table6[[#This Row],[Date]])&gt;=4,1,0)</f>
        <v>2026</v>
      </c>
      <c r="C114" s="79">
        <f>YEAR(Table6[[#This Row],[Date]])</f>
        <v>2025</v>
      </c>
      <c r="D114" s="79" t="s">
        <v>344</v>
      </c>
      <c r="E114" s="284">
        <f>Table6[[#This Row],[Date]]-DAY(Table6[[#This Row],[Date]])+1</f>
        <v>45748</v>
      </c>
      <c r="F114" s="285">
        <v>45751</v>
      </c>
      <c r="G114" s="79" t="s">
        <v>89</v>
      </c>
      <c r="H114" s="79" t="str">
        <f>IFERROR(_xlfn.XLOOKUP(Table6[[#This Row],[Affected Feeder ]],'Basic Data'!$A:$A,'Basic Data'!$B:$B),"")</f>
        <v>PWEPL</v>
      </c>
      <c r="I114" s="79" t="str">
        <f>IFERROR(_xlfn.XLOOKUP(Table6[[#This Row],[Affected Feeder ]],'Basic Data'!$A:$A,'Basic Data'!$C:$C),"")</f>
        <v>MSEDCL</v>
      </c>
      <c r="J114" s="295">
        <f>IFERROR(_xlfn.XLOOKUP(Table6[[#This Row],[Affected Feeder ]],'Basic Data'!$A:$A,'Basic Data'!$E:$E),"")</f>
        <v>2.2727272727272728E-2</v>
      </c>
      <c r="K114" s="296" t="s">
        <v>414</v>
      </c>
      <c r="L114" s="297">
        <v>0.4291666666666667</v>
      </c>
      <c r="M114" s="297">
        <v>0.4291666666666667</v>
      </c>
      <c r="N114" s="297">
        <v>0.80555555555555547</v>
      </c>
      <c r="O114" s="19">
        <f>(Table6[[#This Row],[Work Start TimeStamp]]-Table6[[#This Row],[Fault Start TimeStamp]])*24</f>
        <v>0</v>
      </c>
      <c r="P114" s="19">
        <f>(Table6[[#This Row],[Fault Clearance time]]-Table6[[#This Row],[Fault Start TimeStamp]])*24</f>
        <v>9.0333333333333314</v>
      </c>
      <c r="Q114" s="19">
        <f>(Table6[[#This Row],[Fault Clearance time]]-Table6[[#This Row],[Fault Start TimeStamp]])*24</f>
        <v>9.0333333333333314</v>
      </c>
      <c r="R114" s="79" t="s">
        <v>430</v>
      </c>
      <c r="S114" s="79" t="s">
        <v>339</v>
      </c>
      <c r="T114" s="298">
        <f>IFERROR(Table6[[#This Row],[Breakdown Time]]*Table6[[#This Row],[Plant Equivalent Weightage]],"")</f>
        <v>0.20530303030303027</v>
      </c>
      <c r="U114" s="79" t="s">
        <v>416</v>
      </c>
      <c r="W114" s="79">
        <v>1002</v>
      </c>
    </row>
    <row r="115" spans="1:23">
      <c r="A115" s="79">
        <f t="shared" si="1"/>
        <v>114</v>
      </c>
      <c r="B115" s="79">
        <f>YEAR(Table6[[#This Row],[Date]])+IF(MONTH(Table6[[#This Row],[Date]])&gt;=4,1,0)</f>
        <v>2026</v>
      </c>
      <c r="C115" s="79">
        <f>YEAR(Table6[[#This Row],[Date]])</f>
        <v>2025</v>
      </c>
      <c r="D115" s="79" t="s">
        <v>344</v>
      </c>
      <c r="E115" s="284">
        <f>Table6[[#This Row],[Date]]-DAY(Table6[[#This Row],[Date]])+1</f>
        <v>45748</v>
      </c>
      <c r="F115" s="285">
        <v>45751</v>
      </c>
      <c r="G115" s="79" t="s">
        <v>89</v>
      </c>
      <c r="H115" s="79" t="str">
        <f>IFERROR(_xlfn.XLOOKUP(Table6[[#This Row],[Affected Feeder ]],'Basic Data'!$A:$A,'Basic Data'!$B:$B),"")</f>
        <v>PWEPL</v>
      </c>
      <c r="I115" s="79" t="str">
        <f>IFERROR(_xlfn.XLOOKUP(Table6[[#This Row],[Affected Feeder ]],'Basic Data'!$A:$A,'Basic Data'!$C:$C),"")</f>
        <v>MSEDCL</v>
      </c>
      <c r="J115" s="295">
        <f>IFERROR(_xlfn.XLOOKUP(Table6[[#This Row],[Affected Feeder ]],'Basic Data'!$A:$A,'Basic Data'!$E:$E),"")</f>
        <v>2.2727272727272728E-2</v>
      </c>
      <c r="K115" s="296" t="s">
        <v>171</v>
      </c>
      <c r="L115" s="297">
        <v>0.80555555555555547</v>
      </c>
      <c r="M115" s="297">
        <v>0.80555555555555547</v>
      </c>
      <c r="N115" s="297">
        <v>0.81944444444444453</v>
      </c>
      <c r="O115" s="19">
        <f>(Table6[[#This Row],[Work Start TimeStamp]]-Table6[[#This Row],[Fault Start TimeStamp]])*24</f>
        <v>0</v>
      </c>
      <c r="P115" s="19">
        <f>(Table6[[#This Row],[Fault Clearance time]]-Table6[[#This Row],[Fault Start TimeStamp]])*24</f>
        <v>0.33333333333333748</v>
      </c>
      <c r="Q115" s="19">
        <f>(Table6[[#This Row],[Fault Clearance time]]-Table6[[#This Row],[Fault Start TimeStamp]])*24</f>
        <v>0.33333333333333748</v>
      </c>
      <c r="R115" s="79" t="s">
        <v>353</v>
      </c>
      <c r="S115" s="79" t="s">
        <v>339</v>
      </c>
      <c r="T115" s="298">
        <f>IFERROR(Table6[[#This Row],[Breakdown Time]]*Table6[[#This Row],[Plant Equivalent Weightage]],"")</f>
        <v>7.5757575757576705E-3</v>
      </c>
      <c r="U115" s="79" t="s">
        <v>416</v>
      </c>
      <c r="W115" s="79">
        <v>37</v>
      </c>
    </row>
    <row r="116" spans="1:23">
      <c r="A116" s="79">
        <f t="shared" si="1"/>
        <v>115</v>
      </c>
      <c r="B116" s="79">
        <f>YEAR(Table6[[#This Row],[Date]])+IF(MONTH(Table6[[#This Row],[Date]])&gt;=4,1,0)</f>
        <v>2026</v>
      </c>
      <c r="C116" s="79">
        <f>YEAR(Table6[[#This Row],[Date]])</f>
        <v>2025</v>
      </c>
      <c r="D116" s="79" t="s">
        <v>344</v>
      </c>
      <c r="E116" s="284">
        <f>Table6[[#This Row],[Date]]-DAY(Table6[[#This Row],[Date]])+1</f>
        <v>45748</v>
      </c>
      <c r="F116" s="285">
        <v>45751</v>
      </c>
      <c r="G116" s="79" t="s">
        <v>90</v>
      </c>
      <c r="H116" s="79" t="str">
        <f>IFERROR(_xlfn.XLOOKUP(Table6[[#This Row],[Affected Feeder ]],'Basic Data'!$A:$A,'Basic Data'!$B:$B),"")</f>
        <v>PWEPL</v>
      </c>
      <c r="I116" s="79" t="str">
        <f>IFERROR(_xlfn.XLOOKUP(Table6[[#This Row],[Affected Feeder ]],'Basic Data'!$A:$A,'Basic Data'!$C:$C),"")</f>
        <v>MSEDCL</v>
      </c>
      <c r="J116" s="295">
        <f>IFERROR(_xlfn.XLOOKUP(Table6[[#This Row],[Affected Feeder ]],'Basic Data'!$A:$A,'Basic Data'!$E:$E),"")</f>
        <v>2.2727272727272728E-2</v>
      </c>
      <c r="K116" s="296" t="s">
        <v>414</v>
      </c>
      <c r="L116" s="297">
        <v>0.4291666666666667</v>
      </c>
      <c r="M116" s="297">
        <v>0.4291666666666667</v>
      </c>
      <c r="N116" s="297">
        <v>0.80555555555555547</v>
      </c>
      <c r="O116" s="19">
        <f>(Table6[[#This Row],[Work Start TimeStamp]]-Table6[[#This Row],[Fault Start TimeStamp]])*24</f>
        <v>0</v>
      </c>
      <c r="P116" s="19">
        <f>(Table6[[#This Row],[Fault Clearance time]]-Table6[[#This Row],[Fault Start TimeStamp]])*24</f>
        <v>9.0333333333333314</v>
      </c>
      <c r="Q116" s="19">
        <f>(Table6[[#This Row],[Fault Clearance time]]-Table6[[#This Row],[Fault Start TimeStamp]])*24</f>
        <v>9.0333333333333314</v>
      </c>
      <c r="R116" s="79" t="s">
        <v>430</v>
      </c>
      <c r="S116" s="79" t="s">
        <v>339</v>
      </c>
      <c r="T116" s="298">
        <f>IFERROR(Table6[[#This Row],[Breakdown Time]]*Table6[[#This Row],[Plant Equivalent Weightage]],"")</f>
        <v>0.20530303030303027</v>
      </c>
      <c r="U116" s="79" t="s">
        <v>416</v>
      </c>
      <c r="W116" s="79">
        <v>1002</v>
      </c>
    </row>
    <row r="117" spans="1:23">
      <c r="A117" s="79">
        <f t="shared" si="1"/>
        <v>116</v>
      </c>
      <c r="B117" s="79">
        <f>YEAR(Table6[[#This Row],[Date]])+IF(MONTH(Table6[[#This Row],[Date]])&gt;=4,1,0)</f>
        <v>2026</v>
      </c>
      <c r="C117" s="79">
        <f>YEAR(Table6[[#This Row],[Date]])</f>
        <v>2025</v>
      </c>
      <c r="D117" s="79" t="s">
        <v>344</v>
      </c>
      <c r="E117" s="284">
        <f>Table6[[#This Row],[Date]]-DAY(Table6[[#This Row],[Date]])+1</f>
        <v>45748</v>
      </c>
      <c r="F117" s="285">
        <v>45751</v>
      </c>
      <c r="G117" s="79" t="s">
        <v>90</v>
      </c>
      <c r="H117" s="79" t="str">
        <f>IFERROR(_xlfn.XLOOKUP(Table6[[#This Row],[Affected Feeder ]],'Basic Data'!$A:$A,'Basic Data'!$B:$B),"")</f>
        <v>PWEPL</v>
      </c>
      <c r="I117" s="79" t="str">
        <f>IFERROR(_xlfn.XLOOKUP(Table6[[#This Row],[Affected Feeder ]],'Basic Data'!$A:$A,'Basic Data'!$C:$C),"")</f>
        <v>MSEDCL</v>
      </c>
      <c r="J117" s="295">
        <f>IFERROR(_xlfn.XLOOKUP(Table6[[#This Row],[Affected Feeder ]],'Basic Data'!$A:$A,'Basic Data'!$E:$E),"")</f>
        <v>2.2727272727272728E-2</v>
      </c>
      <c r="K117" s="296" t="s">
        <v>171</v>
      </c>
      <c r="L117" s="297">
        <v>0.80555555555555547</v>
      </c>
      <c r="M117" s="297">
        <v>0.80555555555555547</v>
      </c>
      <c r="N117" s="297">
        <v>0.81944444444444453</v>
      </c>
      <c r="O117" s="19">
        <f>(Table6[[#This Row],[Work Start TimeStamp]]-Table6[[#This Row],[Fault Start TimeStamp]])*24</f>
        <v>0</v>
      </c>
      <c r="P117" s="19">
        <f>(Table6[[#This Row],[Fault Clearance time]]-Table6[[#This Row],[Fault Start TimeStamp]])*24</f>
        <v>0.33333333333333748</v>
      </c>
      <c r="Q117" s="19">
        <f>(Table6[[#This Row],[Fault Clearance time]]-Table6[[#This Row],[Fault Start TimeStamp]])*24</f>
        <v>0.33333333333333748</v>
      </c>
      <c r="R117" s="79" t="s">
        <v>353</v>
      </c>
      <c r="S117" s="79" t="s">
        <v>339</v>
      </c>
      <c r="T117" s="298">
        <f>IFERROR(Table6[[#This Row],[Breakdown Time]]*Table6[[#This Row],[Plant Equivalent Weightage]],"")</f>
        <v>7.5757575757576705E-3</v>
      </c>
      <c r="U117" s="79" t="s">
        <v>416</v>
      </c>
      <c r="W117" s="79">
        <v>37</v>
      </c>
    </row>
    <row r="118" spans="1:23">
      <c r="A118" s="79">
        <f t="shared" si="1"/>
        <v>117</v>
      </c>
      <c r="B118" s="79">
        <f>YEAR(Table6[[#This Row],[Date]])+IF(MONTH(Table6[[#This Row],[Date]])&gt;=4,1,0)</f>
        <v>2026</v>
      </c>
      <c r="C118" s="79">
        <f>YEAR(Table6[[#This Row],[Date]])</f>
        <v>2025</v>
      </c>
      <c r="D118" s="79" t="s">
        <v>344</v>
      </c>
      <c r="E118" s="284">
        <f>Table6[[#This Row],[Date]]-DAY(Table6[[#This Row],[Date]])+1</f>
        <v>45748</v>
      </c>
      <c r="F118" s="285">
        <v>45751</v>
      </c>
      <c r="G118" s="79" t="s">
        <v>91</v>
      </c>
      <c r="H118" s="79" t="str">
        <f>IFERROR(_xlfn.XLOOKUP(Table6[[#This Row],[Affected Feeder ]],'Basic Data'!$A:$A,'Basic Data'!$B:$B),"")</f>
        <v>PWEPL</v>
      </c>
      <c r="I118" s="79" t="str">
        <f>IFERROR(_xlfn.XLOOKUP(Table6[[#This Row],[Affected Feeder ]],'Basic Data'!$A:$A,'Basic Data'!$C:$C),"")</f>
        <v>MSEDCL</v>
      </c>
      <c r="J118" s="295">
        <f>IFERROR(_xlfn.XLOOKUP(Table6[[#This Row],[Affected Feeder ]],'Basic Data'!$A:$A,'Basic Data'!$E:$E),"")</f>
        <v>2.2727272727272728E-2</v>
      </c>
      <c r="K118" s="296" t="s">
        <v>414</v>
      </c>
      <c r="L118" s="297">
        <v>0.4291666666666667</v>
      </c>
      <c r="M118" s="297">
        <v>0.4291666666666667</v>
      </c>
      <c r="N118" s="297">
        <v>0.80555555555555547</v>
      </c>
      <c r="O118" s="19">
        <f>(Table6[[#This Row],[Work Start TimeStamp]]-Table6[[#This Row],[Fault Start TimeStamp]])*24</f>
        <v>0</v>
      </c>
      <c r="P118" s="19">
        <f>(Table6[[#This Row],[Fault Clearance time]]-Table6[[#This Row],[Fault Start TimeStamp]])*24</f>
        <v>9.0333333333333314</v>
      </c>
      <c r="Q118" s="19">
        <f>(Table6[[#This Row],[Fault Clearance time]]-Table6[[#This Row],[Fault Start TimeStamp]])*24</f>
        <v>9.0333333333333314</v>
      </c>
      <c r="R118" s="79" t="s">
        <v>430</v>
      </c>
      <c r="S118" s="79" t="s">
        <v>339</v>
      </c>
      <c r="T118" s="298">
        <f>IFERROR(Table6[[#This Row],[Breakdown Time]]*Table6[[#This Row],[Plant Equivalent Weightage]],"")</f>
        <v>0.20530303030303027</v>
      </c>
      <c r="U118" s="79" t="s">
        <v>416</v>
      </c>
      <c r="W118" s="79">
        <v>1002</v>
      </c>
    </row>
    <row r="119" spans="1:23">
      <c r="A119" s="79">
        <f t="shared" si="1"/>
        <v>118</v>
      </c>
      <c r="B119" s="79">
        <f>YEAR(Table6[[#This Row],[Date]])+IF(MONTH(Table6[[#This Row],[Date]])&gt;=4,1,0)</f>
        <v>2026</v>
      </c>
      <c r="C119" s="79">
        <f>YEAR(Table6[[#This Row],[Date]])</f>
        <v>2025</v>
      </c>
      <c r="D119" s="79" t="s">
        <v>344</v>
      </c>
      <c r="E119" s="284">
        <f>Table6[[#This Row],[Date]]-DAY(Table6[[#This Row],[Date]])+1</f>
        <v>45748</v>
      </c>
      <c r="F119" s="285">
        <v>45751</v>
      </c>
      <c r="G119" s="79" t="s">
        <v>91</v>
      </c>
      <c r="H119" s="79" t="str">
        <f>IFERROR(_xlfn.XLOOKUP(Table6[[#This Row],[Affected Feeder ]],'Basic Data'!$A:$A,'Basic Data'!$B:$B),"")</f>
        <v>PWEPL</v>
      </c>
      <c r="I119" s="79" t="str">
        <f>IFERROR(_xlfn.XLOOKUP(Table6[[#This Row],[Affected Feeder ]],'Basic Data'!$A:$A,'Basic Data'!$C:$C),"")</f>
        <v>MSEDCL</v>
      </c>
      <c r="J119" s="295">
        <f>IFERROR(_xlfn.XLOOKUP(Table6[[#This Row],[Affected Feeder ]],'Basic Data'!$A:$A,'Basic Data'!$E:$E),"")</f>
        <v>2.2727272727272728E-2</v>
      </c>
      <c r="K119" s="296" t="s">
        <v>171</v>
      </c>
      <c r="L119" s="297">
        <v>0.80555555555555547</v>
      </c>
      <c r="M119" s="297">
        <v>0.80555555555555547</v>
      </c>
      <c r="N119" s="297">
        <v>0.81944444444444453</v>
      </c>
      <c r="O119" s="19">
        <f>(Table6[[#This Row],[Work Start TimeStamp]]-Table6[[#This Row],[Fault Start TimeStamp]])*24</f>
        <v>0</v>
      </c>
      <c r="P119" s="19">
        <f>(Table6[[#This Row],[Fault Clearance time]]-Table6[[#This Row],[Fault Start TimeStamp]])*24</f>
        <v>0.33333333333333748</v>
      </c>
      <c r="Q119" s="19">
        <f>(Table6[[#This Row],[Fault Clearance time]]-Table6[[#This Row],[Fault Start TimeStamp]])*24</f>
        <v>0.33333333333333748</v>
      </c>
      <c r="R119" s="79" t="s">
        <v>353</v>
      </c>
      <c r="S119" s="79" t="s">
        <v>339</v>
      </c>
      <c r="T119" s="298">
        <f>IFERROR(Table6[[#This Row],[Breakdown Time]]*Table6[[#This Row],[Plant Equivalent Weightage]],"")</f>
        <v>7.5757575757576705E-3</v>
      </c>
      <c r="U119" s="79" t="s">
        <v>416</v>
      </c>
      <c r="W119" s="79">
        <v>37</v>
      </c>
    </row>
    <row r="120" spans="1:23">
      <c r="A120" s="79">
        <f t="shared" si="1"/>
        <v>119</v>
      </c>
      <c r="B120" s="79">
        <f>YEAR(Table6[[#This Row],[Date]])+IF(MONTH(Table6[[#This Row],[Date]])&gt;=4,1,0)</f>
        <v>2026</v>
      </c>
      <c r="C120" s="79">
        <f>YEAR(Table6[[#This Row],[Date]])</f>
        <v>2025</v>
      </c>
      <c r="D120" s="79" t="s">
        <v>344</v>
      </c>
      <c r="E120" s="284">
        <f>Table6[[#This Row],[Date]]-DAY(Table6[[#This Row],[Date]])+1</f>
        <v>45748</v>
      </c>
      <c r="F120" s="285">
        <v>45751</v>
      </c>
      <c r="G120" s="79" t="s">
        <v>92</v>
      </c>
      <c r="H120" s="79" t="str">
        <f>IFERROR(_xlfn.XLOOKUP(Table6[[#This Row],[Affected Feeder ]],'Basic Data'!$A:$A,'Basic Data'!$B:$B),"")</f>
        <v>PWEPL</v>
      </c>
      <c r="I120" s="79" t="str">
        <f>IFERROR(_xlfn.XLOOKUP(Table6[[#This Row],[Affected Feeder ]],'Basic Data'!$A:$A,'Basic Data'!$C:$C),"")</f>
        <v>MSEDCL</v>
      </c>
      <c r="J120" s="295">
        <f>IFERROR(_xlfn.XLOOKUP(Table6[[#This Row],[Affected Feeder ]],'Basic Data'!$A:$A,'Basic Data'!$E:$E),"")</f>
        <v>2.2727272727272728E-2</v>
      </c>
      <c r="K120" s="296" t="s">
        <v>414</v>
      </c>
      <c r="L120" s="297">
        <v>0.4291666666666667</v>
      </c>
      <c r="M120" s="297">
        <v>0.4291666666666667</v>
      </c>
      <c r="N120" s="297">
        <v>0.80555555555555547</v>
      </c>
      <c r="O120" s="19">
        <f>(Table6[[#This Row],[Work Start TimeStamp]]-Table6[[#This Row],[Fault Start TimeStamp]])*24</f>
        <v>0</v>
      </c>
      <c r="P120" s="19">
        <f>(Table6[[#This Row],[Fault Clearance time]]-Table6[[#This Row],[Fault Start TimeStamp]])*24</f>
        <v>9.0333333333333314</v>
      </c>
      <c r="Q120" s="19">
        <f>(Table6[[#This Row],[Fault Clearance time]]-Table6[[#This Row],[Fault Start TimeStamp]])*24</f>
        <v>9.0333333333333314</v>
      </c>
      <c r="R120" s="79" t="s">
        <v>430</v>
      </c>
      <c r="S120" s="79" t="s">
        <v>339</v>
      </c>
      <c r="T120" s="298">
        <f>IFERROR(Table6[[#This Row],[Breakdown Time]]*Table6[[#This Row],[Plant Equivalent Weightage]],"")</f>
        <v>0.20530303030303027</v>
      </c>
      <c r="U120" s="79" t="s">
        <v>416</v>
      </c>
      <c r="W120" s="79">
        <v>1002</v>
      </c>
    </row>
    <row r="121" spans="1:23">
      <c r="A121" s="79">
        <f t="shared" si="1"/>
        <v>120</v>
      </c>
      <c r="B121" s="79">
        <f>YEAR(Table6[[#This Row],[Date]])+IF(MONTH(Table6[[#This Row],[Date]])&gt;=4,1,0)</f>
        <v>2026</v>
      </c>
      <c r="C121" s="79">
        <f>YEAR(Table6[[#This Row],[Date]])</f>
        <v>2025</v>
      </c>
      <c r="D121" s="79" t="s">
        <v>344</v>
      </c>
      <c r="E121" s="284">
        <f>Table6[[#This Row],[Date]]-DAY(Table6[[#This Row],[Date]])+1</f>
        <v>45748</v>
      </c>
      <c r="F121" s="285">
        <v>45751</v>
      </c>
      <c r="G121" s="79" t="s">
        <v>92</v>
      </c>
      <c r="H121" s="79" t="str">
        <f>IFERROR(_xlfn.XLOOKUP(Table6[[#This Row],[Affected Feeder ]],'Basic Data'!$A:$A,'Basic Data'!$B:$B),"")</f>
        <v>PWEPL</v>
      </c>
      <c r="I121" s="79" t="str">
        <f>IFERROR(_xlfn.XLOOKUP(Table6[[#This Row],[Affected Feeder ]],'Basic Data'!$A:$A,'Basic Data'!$C:$C),"")</f>
        <v>MSEDCL</v>
      </c>
      <c r="J121" s="295">
        <f>IFERROR(_xlfn.XLOOKUP(Table6[[#This Row],[Affected Feeder ]],'Basic Data'!$A:$A,'Basic Data'!$E:$E),"")</f>
        <v>2.2727272727272728E-2</v>
      </c>
      <c r="K121" s="296" t="s">
        <v>171</v>
      </c>
      <c r="L121" s="297">
        <v>0.80555555555555547</v>
      </c>
      <c r="M121" s="297">
        <v>0.80555555555555547</v>
      </c>
      <c r="N121" s="297">
        <v>0.81944444444444453</v>
      </c>
      <c r="O121" s="19">
        <f>(Table6[[#This Row],[Work Start TimeStamp]]-Table6[[#This Row],[Fault Start TimeStamp]])*24</f>
        <v>0</v>
      </c>
      <c r="P121" s="19">
        <f>(Table6[[#This Row],[Fault Clearance time]]-Table6[[#This Row],[Fault Start TimeStamp]])*24</f>
        <v>0.33333333333333748</v>
      </c>
      <c r="Q121" s="19">
        <f>(Table6[[#This Row],[Fault Clearance time]]-Table6[[#This Row],[Fault Start TimeStamp]])*24</f>
        <v>0.33333333333333748</v>
      </c>
      <c r="R121" s="79" t="s">
        <v>353</v>
      </c>
      <c r="S121" s="79" t="s">
        <v>339</v>
      </c>
      <c r="T121" s="298">
        <f>IFERROR(Table6[[#This Row],[Breakdown Time]]*Table6[[#This Row],[Plant Equivalent Weightage]],"")</f>
        <v>7.5757575757576705E-3</v>
      </c>
      <c r="U121" s="79" t="s">
        <v>416</v>
      </c>
      <c r="W121" s="79">
        <v>37</v>
      </c>
    </row>
    <row r="122" spans="1:23">
      <c r="A122" s="79">
        <f t="shared" si="1"/>
        <v>121</v>
      </c>
      <c r="B122" s="79">
        <f>YEAR(Table6[[#This Row],[Date]])+IF(MONTH(Table6[[#This Row],[Date]])&gt;=4,1,0)</f>
        <v>2026</v>
      </c>
      <c r="C122" s="79">
        <f>YEAR(Table6[[#This Row],[Date]])</f>
        <v>2025</v>
      </c>
      <c r="D122" s="79" t="s">
        <v>344</v>
      </c>
      <c r="E122" s="284">
        <f>Table6[[#This Row],[Date]]-DAY(Table6[[#This Row],[Date]])+1</f>
        <v>45748</v>
      </c>
      <c r="F122" s="285">
        <v>45751</v>
      </c>
      <c r="G122" s="79" t="s">
        <v>94</v>
      </c>
      <c r="H122" s="79" t="str">
        <f>IFERROR(_xlfn.XLOOKUP(Table6[[#This Row],[Affected Feeder ]],'Basic Data'!$A:$A,'Basic Data'!$B:$B),"")</f>
        <v>PWEPL</v>
      </c>
      <c r="I122" s="79" t="str">
        <f>IFERROR(_xlfn.XLOOKUP(Table6[[#This Row],[Affected Feeder ]],'Basic Data'!$A:$A,'Basic Data'!$C:$C),"")</f>
        <v>MSEDCL</v>
      </c>
      <c r="J122" s="295">
        <f>IFERROR(_xlfn.XLOOKUP(Table6[[#This Row],[Affected Feeder ]],'Basic Data'!$A:$A,'Basic Data'!$E:$E),"")</f>
        <v>2.2727272727272728E-2</v>
      </c>
      <c r="K122" s="296" t="s">
        <v>414</v>
      </c>
      <c r="L122" s="297">
        <v>0.4291666666666667</v>
      </c>
      <c r="M122" s="297">
        <v>0.4291666666666667</v>
      </c>
      <c r="N122" s="297">
        <v>0.80555555555555547</v>
      </c>
      <c r="O122" s="19">
        <f>(Table6[[#This Row],[Work Start TimeStamp]]-Table6[[#This Row],[Fault Start TimeStamp]])*24</f>
        <v>0</v>
      </c>
      <c r="P122" s="19">
        <f>(Table6[[#This Row],[Fault Clearance time]]-Table6[[#This Row],[Fault Start TimeStamp]])*24</f>
        <v>9.0333333333333314</v>
      </c>
      <c r="Q122" s="19">
        <f>(Table6[[#This Row],[Fault Clearance time]]-Table6[[#This Row],[Fault Start TimeStamp]])*24</f>
        <v>9.0333333333333314</v>
      </c>
      <c r="R122" s="79" t="s">
        <v>430</v>
      </c>
      <c r="S122" s="79" t="s">
        <v>339</v>
      </c>
      <c r="T122" s="298">
        <f>IFERROR(Table6[[#This Row],[Breakdown Time]]*Table6[[#This Row],[Plant Equivalent Weightage]],"")</f>
        <v>0.20530303030303027</v>
      </c>
      <c r="U122" s="79" t="s">
        <v>416</v>
      </c>
      <c r="W122" s="79">
        <v>1002</v>
      </c>
    </row>
    <row r="123" spans="1:23">
      <c r="A123" s="79">
        <f t="shared" si="1"/>
        <v>122</v>
      </c>
      <c r="B123" s="79">
        <f>YEAR(Table6[[#This Row],[Date]])+IF(MONTH(Table6[[#This Row],[Date]])&gt;=4,1,0)</f>
        <v>2026</v>
      </c>
      <c r="C123" s="79">
        <f>YEAR(Table6[[#This Row],[Date]])</f>
        <v>2025</v>
      </c>
      <c r="D123" s="79" t="s">
        <v>344</v>
      </c>
      <c r="E123" s="284">
        <f>Table6[[#This Row],[Date]]-DAY(Table6[[#This Row],[Date]])+1</f>
        <v>45748</v>
      </c>
      <c r="F123" s="285">
        <v>45751</v>
      </c>
      <c r="G123" s="79" t="s">
        <v>94</v>
      </c>
      <c r="H123" s="79" t="str">
        <f>IFERROR(_xlfn.XLOOKUP(Table6[[#This Row],[Affected Feeder ]],'Basic Data'!$A:$A,'Basic Data'!$B:$B),"")</f>
        <v>PWEPL</v>
      </c>
      <c r="I123" s="79" t="str">
        <f>IFERROR(_xlfn.XLOOKUP(Table6[[#This Row],[Affected Feeder ]],'Basic Data'!$A:$A,'Basic Data'!$C:$C),"")</f>
        <v>MSEDCL</v>
      </c>
      <c r="J123" s="295">
        <f>IFERROR(_xlfn.XLOOKUP(Table6[[#This Row],[Affected Feeder ]],'Basic Data'!$A:$A,'Basic Data'!$E:$E),"")</f>
        <v>2.2727272727272728E-2</v>
      </c>
      <c r="K123" s="296" t="s">
        <v>171</v>
      </c>
      <c r="L123" s="297">
        <v>0.80555555555555547</v>
      </c>
      <c r="M123" s="297">
        <v>0.80555555555555547</v>
      </c>
      <c r="N123" s="297">
        <v>0.81944444444444453</v>
      </c>
      <c r="O123" s="19">
        <f>(Table6[[#This Row],[Work Start TimeStamp]]-Table6[[#This Row],[Fault Start TimeStamp]])*24</f>
        <v>0</v>
      </c>
      <c r="P123" s="19">
        <f>(Table6[[#This Row],[Fault Clearance time]]-Table6[[#This Row],[Fault Start TimeStamp]])*24</f>
        <v>0.33333333333333748</v>
      </c>
      <c r="Q123" s="19">
        <f>(Table6[[#This Row],[Fault Clearance time]]-Table6[[#This Row],[Fault Start TimeStamp]])*24</f>
        <v>0.33333333333333748</v>
      </c>
      <c r="R123" s="79" t="s">
        <v>353</v>
      </c>
      <c r="S123" s="79" t="s">
        <v>339</v>
      </c>
      <c r="T123" s="298">
        <f>IFERROR(Table6[[#This Row],[Breakdown Time]]*Table6[[#This Row],[Plant Equivalent Weightage]],"")</f>
        <v>7.5757575757576705E-3</v>
      </c>
      <c r="U123" s="79" t="s">
        <v>416</v>
      </c>
      <c r="W123" s="79">
        <v>37</v>
      </c>
    </row>
    <row r="124" spans="1:23">
      <c r="A124" s="79">
        <f t="shared" si="1"/>
        <v>123</v>
      </c>
      <c r="B124" s="79">
        <f>YEAR(Table6[[#This Row],[Date]])+IF(MONTH(Table6[[#This Row],[Date]])&gt;=4,1,0)</f>
        <v>2026</v>
      </c>
      <c r="C124" s="79">
        <f>YEAR(Table6[[#This Row],[Date]])</f>
        <v>2025</v>
      </c>
      <c r="D124" s="79" t="s">
        <v>344</v>
      </c>
      <c r="E124" s="284">
        <f>Table6[[#This Row],[Date]]-DAY(Table6[[#This Row],[Date]])+1</f>
        <v>45748</v>
      </c>
      <c r="F124" s="285">
        <v>45751</v>
      </c>
      <c r="G124" s="79" t="s">
        <v>95</v>
      </c>
      <c r="H124" s="79" t="str">
        <f>IFERROR(_xlfn.XLOOKUP(Table6[[#This Row],[Affected Feeder ]],'Basic Data'!$A:$A,'Basic Data'!$B:$B),"")</f>
        <v>PWEPL</v>
      </c>
      <c r="I124" s="79" t="str">
        <f>IFERROR(_xlfn.XLOOKUP(Table6[[#This Row],[Affected Feeder ]],'Basic Data'!$A:$A,'Basic Data'!$C:$C),"")</f>
        <v>MSEDCL</v>
      </c>
      <c r="J124" s="295">
        <f>IFERROR(_xlfn.XLOOKUP(Table6[[#This Row],[Affected Feeder ]],'Basic Data'!$A:$A,'Basic Data'!$E:$E),"")</f>
        <v>2.2727272727272728E-2</v>
      </c>
      <c r="K124" s="296" t="s">
        <v>414</v>
      </c>
      <c r="L124" s="297">
        <v>0.4291666666666667</v>
      </c>
      <c r="M124" s="297">
        <v>0.4291666666666667</v>
      </c>
      <c r="N124" s="297">
        <v>0.80555555555555547</v>
      </c>
      <c r="O124" s="19">
        <f>(Table6[[#This Row],[Work Start TimeStamp]]-Table6[[#This Row],[Fault Start TimeStamp]])*24</f>
        <v>0</v>
      </c>
      <c r="P124" s="19">
        <f>(Table6[[#This Row],[Fault Clearance time]]-Table6[[#This Row],[Fault Start TimeStamp]])*24</f>
        <v>9.0333333333333314</v>
      </c>
      <c r="Q124" s="19">
        <f>(Table6[[#This Row],[Fault Clearance time]]-Table6[[#This Row],[Fault Start TimeStamp]])*24</f>
        <v>9.0333333333333314</v>
      </c>
      <c r="R124" s="79" t="s">
        <v>430</v>
      </c>
      <c r="S124" s="79" t="s">
        <v>339</v>
      </c>
      <c r="T124" s="298">
        <f>IFERROR(Table6[[#This Row],[Breakdown Time]]*Table6[[#This Row],[Plant Equivalent Weightage]],"")</f>
        <v>0.20530303030303027</v>
      </c>
      <c r="U124" s="79" t="s">
        <v>416</v>
      </c>
      <c r="W124" s="79">
        <v>1002</v>
      </c>
    </row>
    <row r="125" spans="1:23">
      <c r="A125" s="79">
        <f t="shared" si="1"/>
        <v>124</v>
      </c>
      <c r="B125" s="79">
        <f>YEAR(Table6[[#This Row],[Date]])+IF(MONTH(Table6[[#This Row],[Date]])&gt;=4,1,0)</f>
        <v>2026</v>
      </c>
      <c r="C125" s="79">
        <f>YEAR(Table6[[#This Row],[Date]])</f>
        <v>2025</v>
      </c>
      <c r="D125" s="79" t="s">
        <v>344</v>
      </c>
      <c r="E125" s="284">
        <f>Table6[[#This Row],[Date]]-DAY(Table6[[#This Row],[Date]])+1</f>
        <v>45748</v>
      </c>
      <c r="F125" s="285">
        <v>45751</v>
      </c>
      <c r="G125" s="79" t="s">
        <v>95</v>
      </c>
      <c r="H125" s="79" t="str">
        <f>IFERROR(_xlfn.XLOOKUP(Table6[[#This Row],[Affected Feeder ]],'Basic Data'!$A:$A,'Basic Data'!$B:$B),"")</f>
        <v>PWEPL</v>
      </c>
      <c r="I125" s="79" t="str">
        <f>IFERROR(_xlfn.XLOOKUP(Table6[[#This Row],[Affected Feeder ]],'Basic Data'!$A:$A,'Basic Data'!$C:$C),"")</f>
        <v>MSEDCL</v>
      </c>
      <c r="J125" s="295">
        <f>IFERROR(_xlfn.XLOOKUP(Table6[[#This Row],[Affected Feeder ]],'Basic Data'!$A:$A,'Basic Data'!$E:$E),"")</f>
        <v>2.2727272727272728E-2</v>
      </c>
      <c r="K125" s="296" t="s">
        <v>171</v>
      </c>
      <c r="L125" s="297">
        <v>0.80555555555555547</v>
      </c>
      <c r="M125" s="297">
        <v>0.80555555555555547</v>
      </c>
      <c r="N125" s="297">
        <v>0.81944444444444453</v>
      </c>
      <c r="O125" s="19">
        <f>(Table6[[#This Row],[Work Start TimeStamp]]-Table6[[#This Row],[Fault Start TimeStamp]])*24</f>
        <v>0</v>
      </c>
      <c r="P125" s="19">
        <f>(Table6[[#This Row],[Fault Clearance time]]-Table6[[#This Row],[Fault Start TimeStamp]])*24</f>
        <v>0.33333333333333748</v>
      </c>
      <c r="Q125" s="19">
        <f>(Table6[[#This Row],[Fault Clearance time]]-Table6[[#This Row],[Fault Start TimeStamp]])*24</f>
        <v>0.33333333333333748</v>
      </c>
      <c r="R125" s="79" t="s">
        <v>353</v>
      </c>
      <c r="S125" s="79" t="s">
        <v>339</v>
      </c>
      <c r="T125" s="298">
        <f>IFERROR(Table6[[#This Row],[Breakdown Time]]*Table6[[#This Row],[Plant Equivalent Weightage]],"")</f>
        <v>7.5757575757576705E-3</v>
      </c>
      <c r="U125" s="79" t="s">
        <v>416</v>
      </c>
      <c r="W125" s="79">
        <v>37</v>
      </c>
    </row>
    <row r="126" spans="1:23">
      <c r="A126" s="79">
        <f t="shared" si="1"/>
        <v>125</v>
      </c>
      <c r="B126" s="79">
        <f>YEAR(Table6[[#This Row],[Date]])+IF(MONTH(Table6[[#This Row],[Date]])&gt;=4,1,0)</f>
        <v>2026</v>
      </c>
      <c r="C126" s="79">
        <f>YEAR(Table6[[#This Row],[Date]])</f>
        <v>2025</v>
      </c>
      <c r="D126" s="79" t="s">
        <v>344</v>
      </c>
      <c r="E126" s="284">
        <f>Table6[[#This Row],[Date]]-DAY(Table6[[#This Row],[Date]])+1</f>
        <v>45748</v>
      </c>
      <c r="F126" s="285">
        <v>45751</v>
      </c>
      <c r="G126" s="79" t="s">
        <v>106</v>
      </c>
      <c r="H126" s="79" t="str">
        <f>IFERROR(_xlfn.XLOOKUP(Table6[[#This Row],[Affected Feeder ]],'Basic Data'!$A:$A,'Basic Data'!$B:$B),"")</f>
        <v>PWEPL</v>
      </c>
      <c r="I126" s="79" t="str">
        <f>IFERROR(_xlfn.XLOOKUP(Table6[[#This Row],[Affected Feeder ]],'Basic Data'!$A:$A,'Basic Data'!$C:$C),"")</f>
        <v>MSEDCL</v>
      </c>
      <c r="J126" s="295">
        <f>IFERROR(_xlfn.XLOOKUP(Table6[[#This Row],[Affected Feeder ]],'Basic Data'!$A:$A,'Basic Data'!$E:$E),"")</f>
        <v>2.2727272727272728E-2</v>
      </c>
      <c r="K126" s="296" t="s">
        <v>414</v>
      </c>
      <c r="L126" s="297">
        <v>0.4291666666666667</v>
      </c>
      <c r="M126" s="297">
        <v>0.4291666666666667</v>
      </c>
      <c r="N126" s="297">
        <v>0.80555555555555547</v>
      </c>
      <c r="O126" s="19">
        <f>(Table6[[#This Row],[Work Start TimeStamp]]-Table6[[#This Row],[Fault Start TimeStamp]])*24</f>
        <v>0</v>
      </c>
      <c r="P126" s="19">
        <f>(Table6[[#This Row],[Fault Clearance time]]-Table6[[#This Row],[Fault Start TimeStamp]])*24</f>
        <v>9.0333333333333314</v>
      </c>
      <c r="Q126" s="19">
        <f>(Table6[[#This Row],[Fault Clearance time]]-Table6[[#This Row],[Fault Start TimeStamp]])*24</f>
        <v>9.0333333333333314</v>
      </c>
      <c r="R126" s="79" t="s">
        <v>430</v>
      </c>
      <c r="S126" s="79" t="s">
        <v>339</v>
      </c>
      <c r="T126" s="298">
        <f>IFERROR(Table6[[#This Row],[Breakdown Time]]*Table6[[#This Row],[Plant Equivalent Weightage]],"")</f>
        <v>0.20530303030303027</v>
      </c>
      <c r="U126" s="79" t="s">
        <v>416</v>
      </c>
      <c r="W126" s="79">
        <v>1002</v>
      </c>
    </row>
    <row r="127" spans="1:23">
      <c r="A127" s="79">
        <f t="shared" si="1"/>
        <v>126</v>
      </c>
      <c r="B127" s="79">
        <f>YEAR(Table6[[#This Row],[Date]])+IF(MONTH(Table6[[#This Row],[Date]])&gt;=4,1,0)</f>
        <v>2026</v>
      </c>
      <c r="C127" s="79">
        <f>YEAR(Table6[[#This Row],[Date]])</f>
        <v>2025</v>
      </c>
      <c r="D127" s="79" t="s">
        <v>344</v>
      </c>
      <c r="E127" s="284">
        <f>Table6[[#This Row],[Date]]-DAY(Table6[[#This Row],[Date]])+1</f>
        <v>45748</v>
      </c>
      <c r="F127" s="285">
        <v>45751</v>
      </c>
      <c r="G127" s="79" t="s">
        <v>106</v>
      </c>
      <c r="H127" s="79" t="str">
        <f>IFERROR(_xlfn.XLOOKUP(Table6[[#This Row],[Affected Feeder ]],'Basic Data'!$A:$A,'Basic Data'!$B:$B),"")</f>
        <v>PWEPL</v>
      </c>
      <c r="I127" s="79" t="str">
        <f>IFERROR(_xlfn.XLOOKUP(Table6[[#This Row],[Affected Feeder ]],'Basic Data'!$A:$A,'Basic Data'!$C:$C),"")</f>
        <v>MSEDCL</v>
      </c>
      <c r="J127" s="295">
        <f>IFERROR(_xlfn.XLOOKUP(Table6[[#This Row],[Affected Feeder ]],'Basic Data'!$A:$A,'Basic Data'!$E:$E),"")</f>
        <v>2.2727272727272728E-2</v>
      </c>
      <c r="K127" s="296" t="s">
        <v>171</v>
      </c>
      <c r="L127" s="297">
        <v>0.80555555555555547</v>
      </c>
      <c r="M127" s="297">
        <v>0.80555555555555547</v>
      </c>
      <c r="N127" s="297">
        <v>0.81944444444444453</v>
      </c>
      <c r="O127" s="19">
        <f>(Table6[[#This Row],[Work Start TimeStamp]]-Table6[[#This Row],[Fault Start TimeStamp]])*24</f>
        <v>0</v>
      </c>
      <c r="P127" s="19">
        <f>(Table6[[#This Row],[Fault Clearance time]]-Table6[[#This Row],[Fault Start TimeStamp]])*24</f>
        <v>0.33333333333333748</v>
      </c>
      <c r="Q127" s="19">
        <f>(Table6[[#This Row],[Fault Clearance time]]-Table6[[#This Row],[Fault Start TimeStamp]])*24</f>
        <v>0.33333333333333748</v>
      </c>
      <c r="R127" s="79" t="s">
        <v>353</v>
      </c>
      <c r="S127" s="79" t="s">
        <v>339</v>
      </c>
      <c r="T127" s="298">
        <f>IFERROR(Table6[[#This Row],[Breakdown Time]]*Table6[[#This Row],[Plant Equivalent Weightage]],"")</f>
        <v>7.5757575757576705E-3</v>
      </c>
      <c r="U127" s="79" t="s">
        <v>416</v>
      </c>
      <c r="W127" s="79">
        <v>37</v>
      </c>
    </row>
    <row r="128" spans="1:23">
      <c r="A128" s="79">
        <f t="shared" si="1"/>
        <v>127</v>
      </c>
      <c r="B128" s="79">
        <f>YEAR(Table6[[#This Row],[Date]])+IF(MONTH(Table6[[#This Row],[Date]])&gt;=4,1,0)</f>
        <v>2026</v>
      </c>
      <c r="C128" s="79">
        <f>YEAR(Table6[[#This Row],[Date]])</f>
        <v>2025</v>
      </c>
      <c r="D128" s="79" t="s">
        <v>344</v>
      </c>
      <c r="E128" s="284">
        <f>Table6[[#This Row],[Date]]-DAY(Table6[[#This Row],[Date]])+1</f>
        <v>45748</v>
      </c>
      <c r="F128" s="285">
        <v>45751</v>
      </c>
      <c r="G128" s="79" t="s">
        <v>406</v>
      </c>
      <c r="H128" s="79" t="str">
        <f>IFERROR(_xlfn.XLOOKUP(Table6[[#This Row],[Affected Feeder ]],'Basic Data'!$A:$A,'Basic Data'!$B:$B),"")</f>
        <v>PWEPL</v>
      </c>
      <c r="I128" s="79" t="str">
        <f>IFERROR(_xlfn.XLOOKUP(Table6[[#This Row],[Affected Feeder ]],'Basic Data'!$A:$A,'Basic Data'!$C:$C),"")</f>
        <v>MSEDCL</v>
      </c>
      <c r="J128" s="295">
        <f>IFERROR(_xlfn.XLOOKUP(Table6[[#This Row],[Affected Feeder ]],'Basic Data'!$A:$A,'Basic Data'!$E:$E),"")</f>
        <v>0.29545454545454541</v>
      </c>
      <c r="K128" s="296" t="s">
        <v>431</v>
      </c>
      <c r="L128" s="297">
        <v>0.51041666666666663</v>
      </c>
      <c r="M128" s="297">
        <v>0.51041666666666663</v>
      </c>
      <c r="N128" s="297">
        <v>0.66319444444444442</v>
      </c>
      <c r="O128" s="19">
        <f>(Table6[[#This Row],[Work Start TimeStamp]]-Table6[[#This Row],[Fault Start TimeStamp]])*24</f>
        <v>0</v>
      </c>
      <c r="P128" s="19">
        <f>(Table6[[#This Row],[Fault Clearance time]]-Table6[[#This Row],[Fault Start TimeStamp]])*24</f>
        <v>3.666666666666667</v>
      </c>
      <c r="Q128" s="19">
        <f>(Table6[[#This Row],[Fault Clearance time]]-Table6[[#This Row],[Fault Start TimeStamp]])*24</f>
        <v>3.666666666666667</v>
      </c>
      <c r="R128" s="79" t="s">
        <v>432</v>
      </c>
      <c r="S128" s="79" t="s">
        <v>339</v>
      </c>
      <c r="T128" s="298">
        <f>IFERROR(Table6[[#This Row],[Breakdown Time]]*Table6[[#This Row],[Plant Equivalent Weightage]],"")</f>
        <v>1.0833333333333333</v>
      </c>
      <c r="U128" s="79" t="s">
        <v>416</v>
      </c>
      <c r="W128" s="79">
        <v>548</v>
      </c>
    </row>
    <row r="129" spans="1:23">
      <c r="A129" s="79">
        <f t="shared" si="1"/>
        <v>128</v>
      </c>
      <c r="B129" s="79">
        <f>YEAR(Table6[[#This Row],[Date]])+IF(MONTH(Table6[[#This Row],[Date]])&gt;=4,1,0)</f>
        <v>2026</v>
      </c>
      <c r="C129" s="79">
        <f>YEAR(Table6[[#This Row],[Date]])</f>
        <v>2025</v>
      </c>
      <c r="D129" s="79" t="s">
        <v>344</v>
      </c>
      <c r="E129" s="284">
        <f>Table6[[#This Row],[Date]]-DAY(Table6[[#This Row],[Date]])+1</f>
        <v>45748</v>
      </c>
      <c r="F129" s="285">
        <v>45751</v>
      </c>
      <c r="G129" s="79" t="s">
        <v>76</v>
      </c>
      <c r="H129" s="79" t="str">
        <f>IFERROR(_xlfn.XLOOKUP(Table6[[#This Row],[Affected Feeder ]],'Basic Data'!$A:$A,'Basic Data'!$B:$B),"")</f>
        <v>PWEPL</v>
      </c>
      <c r="I129" s="79" t="str">
        <f>IFERROR(_xlfn.XLOOKUP(Table6[[#This Row],[Affected Feeder ]],'Basic Data'!$A:$A,'Basic Data'!$C:$C),"")</f>
        <v>MSEDCL</v>
      </c>
      <c r="J129" s="295">
        <f>IFERROR(_xlfn.XLOOKUP(Table6[[#This Row],[Affected Feeder ]],'Basic Data'!$A:$A,'Basic Data'!$E:$E),"")</f>
        <v>2.2727272727272728E-2</v>
      </c>
      <c r="K129" s="296" t="s">
        <v>171</v>
      </c>
      <c r="L129" s="297">
        <v>0.66319444444444442</v>
      </c>
      <c r="M129" s="297">
        <v>0.66319444444444442</v>
      </c>
      <c r="N129" s="297">
        <v>0.67708333333333337</v>
      </c>
      <c r="O129" s="19">
        <f>(Table6[[#This Row],[Work Start TimeStamp]]-Table6[[#This Row],[Fault Start TimeStamp]])*24</f>
        <v>0</v>
      </c>
      <c r="P129" s="19">
        <f>(Table6[[#This Row],[Fault Clearance time]]-Table6[[#This Row],[Fault Start TimeStamp]])*24</f>
        <v>0.33333333333333481</v>
      </c>
      <c r="Q129" s="19">
        <f>(Table6[[#This Row],[Fault Clearance time]]-Table6[[#This Row],[Fault Start TimeStamp]])*24</f>
        <v>0.33333333333333481</v>
      </c>
      <c r="R129" s="79" t="s">
        <v>353</v>
      </c>
      <c r="S129" s="79" t="s">
        <v>339</v>
      </c>
      <c r="T129" s="298">
        <f>IFERROR(Table6[[#This Row],[Breakdown Time]]*Table6[[#This Row],[Plant Equivalent Weightage]],"")</f>
        <v>7.5757575757576098E-3</v>
      </c>
      <c r="U129" s="79" t="s">
        <v>416</v>
      </c>
      <c r="W129" s="79">
        <v>3.8</v>
      </c>
    </row>
    <row r="130" spans="1:23">
      <c r="A130" s="79">
        <f t="shared" si="1"/>
        <v>129</v>
      </c>
      <c r="B130" s="79">
        <f>YEAR(Table6[[#This Row],[Date]])+IF(MONTH(Table6[[#This Row],[Date]])&gt;=4,1,0)</f>
        <v>2026</v>
      </c>
      <c r="C130" s="79">
        <f>YEAR(Table6[[#This Row],[Date]])</f>
        <v>2025</v>
      </c>
      <c r="D130" s="79" t="s">
        <v>344</v>
      </c>
      <c r="E130" s="284">
        <f>Table6[[#This Row],[Date]]-DAY(Table6[[#This Row],[Date]])+1</f>
        <v>45748</v>
      </c>
      <c r="F130" s="285">
        <v>45751</v>
      </c>
      <c r="G130" s="79" t="s">
        <v>77</v>
      </c>
      <c r="H130" s="79" t="str">
        <f>IFERROR(_xlfn.XLOOKUP(Table6[[#This Row],[Affected Feeder ]],'Basic Data'!$A:$A,'Basic Data'!$B:$B),"")</f>
        <v>PWEPL</v>
      </c>
      <c r="I130" s="79" t="str">
        <f>IFERROR(_xlfn.XLOOKUP(Table6[[#This Row],[Affected Feeder ]],'Basic Data'!$A:$A,'Basic Data'!$C:$C),"")</f>
        <v>MSEDCL</v>
      </c>
      <c r="J130" s="295">
        <f>IFERROR(_xlfn.XLOOKUP(Table6[[#This Row],[Affected Feeder ]],'Basic Data'!$A:$A,'Basic Data'!$E:$E),"")</f>
        <v>2.2727272727272728E-2</v>
      </c>
      <c r="K130" s="296" t="s">
        <v>171</v>
      </c>
      <c r="L130" s="297">
        <v>0.66319444444444442</v>
      </c>
      <c r="M130" s="297">
        <v>0.66319444444444442</v>
      </c>
      <c r="N130" s="297">
        <v>0.67708333333333337</v>
      </c>
      <c r="O130" s="19">
        <f>(Table6[[#This Row],[Work Start TimeStamp]]-Table6[[#This Row],[Fault Start TimeStamp]])*24</f>
        <v>0</v>
      </c>
      <c r="P130" s="19">
        <f>(Table6[[#This Row],[Fault Clearance time]]-Table6[[#This Row],[Fault Start TimeStamp]])*24</f>
        <v>0.33333333333333481</v>
      </c>
      <c r="Q130" s="19">
        <f>(Table6[[#This Row],[Fault Clearance time]]-Table6[[#This Row],[Fault Start TimeStamp]])*24</f>
        <v>0.33333333333333481</v>
      </c>
      <c r="R130" s="79" t="s">
        <v>353</v>
      </c>
      <c r="S130" s="79" t="s">
        <v>339</v>
      </c>
      <c r="T130" s="298">
        <f>IFERROR(Table6[[#This Row],[Breakdown Time]]*Table6[[#This Row],[Plant Equivalent Weightage]],"")</f>
        <v>7.5757575757576098E-3</v>
      </c>
      <c r="U130" s="79" t="s">
        <v>416</v>
      </c>
      <c r="W130" s="79">
        <v>3.8</v>
      </c>
    </row>
    <row r="131" spans="1:23">
      <c r="A131" s="79">
        <f t="shared" si="1"/>
        <v>130</v>
      </c>
      <c r="B131" s="79">
        <f>YEAR(Table6[[#This Row],[Date]])+IF(MONTH(Table6[[#This Row],[Date]])&gt;=4,1,0)</f>
        <v>2026</v>
      </c>
      <c r="C131" s="79">
        <f>YEAR(Table6[[#This Row],[Date]])</f>
        <v>2025</v>
      </c>
      <c r="D131" s="79" t="s">
        <v>344</v>
      </c>
      <c r="E131" s="284">
        <f>Table6[[#This Row],[Date]]-DAY(Table6[[#This Row],[Date]])+1</f>
        <v>45748</v>
      </c>
      <c r="F131" s="285">
        <v>45751</v>
      </c>
      <c r="G131" s="79" t="s">
        <v>78</v>
      </c>
      <c r="H131" s="79" t="str">
        <f>IFERROR(_xlfn.XLOOKUP(Table6[[#This Row],[Affected Feeder ]],'Basic Data'!$A:$A,'Basic Data'!$B:$B),"")</f>
        <v>PWEPL</v>
      </c>
      <c r="I131" s="79" t="str">
        <f>IFERROR(_xlfn.XLOOKUP(Table6[[#This Row],[Affected Feeder ]],'Basic Data'!$A:$A,'Basic Data'!$C:$C),"")</f>
        <v>MSEDCL</v>
      </c>
      <c r="J131" s="295">
        <f>IFERROR(_xlfn.XLOOKUP(Table6[[#This Row],[Affected Feeder ]],'Basic Data'!$A:$A,'Basic Data'!$E:$E),"")</f>
        <v>2.2727272727272728E-2</v>
      </c>
      <c r="K131" s="296" t="s">
        <v>171</v>
      </c>
      <c r="L131" s="297">
        <v>0.66319444444444442</v>
      </c>
      <c r="M131" s="297">
        <v>0.66319444444444442</v>
      </c>
      <c r="N131" s="297">
        <v>0.67708333333333337</v>
      </c>
      <c r="O131" s="19">
        <f>(Table6[[#This Row],[Work Start TimeStamp]]-Table6[[#This Row],[Fault Start TimeStamp]])*24</f>
        <v>0</v>
      </c>
      <c r="P131" s="19">
        <f>(Table6[[#This Row],[Fault Clearance time]]-Table6[[#This Row],[Fault Start TimeStamp]])*24</f>
        <v>0.33333333333333481</v>
      </c>
      <c r="Q131" s="19">
        <f>(Table6[[#This Row],[Fault Clearance time]]-Table6[[#This Row],[Fault Start TimeStamp]])*24</f>
        <v>0.33333333333333481</v>
      </c>
      <c r="R131" s="79" t="s">
        <v>353</v>
      </c>
      <c r="S131" s="79" t="s">
        <v>339</v>
      </c>
      <c r="T131" s="298">
        <f>IFERROR(Table6[[#This Row],[Breakdown Time]]*Table6[[#This Row],[Plant Equivalent Weightage]],"")</f>
        <v>7.5757575757576098E-3</v>
      </c>
      <c r="U131" s="79" t="s">
        <v>416</v>
      </c>
      <c r="W131" s="79">
        <v>3.8</v>
      </c>
    </row>
    <row r="132" spans="1:23">
      <c r="A132" s="79">
        <f t="shared" ref="A132:A195" si="2">A131+1</f>
        <v>131</v>
      </c>
      <c r="B132" s="79">
        <f>YEAR(Table6[[#This Row],[Date]])+IF(MONTH(Table6[[#This Row],[Date]])&gt;=4,1,0)</f>
        <v>2026</v>
      </c>
      <c r="C132" s="79">
        <f>YEAR(Table6[[#This Row],[Date]])</f>
        <v>2025</v>
      </c>
      <c r="D132" s="79" t="s">
        <v>344</v>
      </c>
      <c r="E132" s="284">
        <f>Table6[[#This Row],[Date]]-DAY(Table6[[#This Row],[Date]])+1</f>
        <v>45748</v>
      </c>
      <c r="F132" s="285">
        <v>45751</v>
      </c>
      <c r="G132" s="79" t="s">
        <v>82</v>
      </c>
      <c r="H132" s="79" t="str">
        <f>IFERROR(_xlfn.XLOOKUP(Table6[[#This Row],[Affected Feeder ]],'Basic Data'!$A:$A,'Basic Data'!$B:$B),"")</f>
        <v>PWEPL</v>
      </c>
      <c r="I132" s="79" t="str">
        <f>IFERROR(_xlfn.XLOOKUP(Table6[[#This Row],[Affected Feeder ]],'Basic Data'!$A:$A,'Basic Data'!$C:$C),"")</f>
        <v>MSEDCL</v>
      </c>
      <c r="J132" s="295">
        <f>IFERROR(_xlfn.XLOOKUP(Table6[[#This Row],[Affected Feeder ]],'Basic Data'!$A:$A,'Basic Data'!$E:$E),"")</f>
        <v>2.2727272727272728E-2</v>
      </c>
      <c r="K132" s="296" t="s">
        <v>171</v>
      </c>
      <c r="L132" s="297">
        <v>0.66319444444444442</v>
      </c>
      <c r="M132" s="297">
        <v>0.66319444444444442</v>
      </c>
      <c r="N132" s="297">
        <v>0.67708333333333337</v>
      </c>
      <c r="O132" s="19">
        <f>(Table6[[#This Row],[Work Start TimeStamp]]-Table6[[#This Row],[Fault Start TimeStamp]])*24</f>
        <v>0</v>
      </c>
      <c r="P132" s="19">
        <f>(Table6[[#This Row],[Fault Clearance time]]-Table6[[#This Row],[Fault Start TimeStamp]])*24</f>
        <v>0.33333333333333481</v>
      </c>
      <c r="Q132" s="19">
        <f>(Table6[[#This Row],[Fault Clearance time]]-Table6[[#This Row],[Fault Start TimeStamp]])*24</f>
        <v>0.33333333333333481</v>
      </c>
      <c r="R132" s="79" t="s">
        <v>353</v>
      </c>
      <c r="S132" s="79" t="s">
        <v>339</v>
      </c>
      <c r="T132" s="298">
        <f>IFERROR(Table6[[#This Row],[Breakdown Time]]*Table6[[#This Row],[Plant Equivalent Weightage]],"")</f>
        <v>7.5757575757576098E-3</v>
      </c>
      <c r="U132" s="79" t="s">
        <v>416</v>
      </c>
      <c r="W132" s="79">
        <v>3.8</v>
      </c>
    </row>
    <row r="133" spans="1:23">
      <c r="A133" s="79">
        <f t="shared" si="2"/>
        <v>132</v>
      </c>
      <c r="B133" s="79">
        <f>YEAR(Table6[[#This Row],[Date]])+IF(MONTH(Table6[[#This Row],[Date]])&gt;=4,1,0)</f>
        <v>2026</v>
      </c>
      <c r="C133" s="79">
        <f>YEAR(Table6[[#This Row],[Date]])</f>
        <v>2025</v>
      </c>
      <c r="D133" s="79" t="s">
        <v>344</v>
      </c>
      <c r="E133" s="284">
        <f>Table6[[#This Row],[Date]]-DAY(Table6[[#This Row],[Date]])+1</f>
        <v>45748</v>
      </c>
      <c r="F133" s="285">
        <v>45751</v>
      </c>
      <c r="G133" s="79" t="s">
        <v>93</v>
      </c>
      <c r="H133" s="79" t="str">
        <f>IFERROR(_xlfn.XLOOKUP(Table6[[#This Row],[Affected Feeder ]],'Basic Data'!$A:$A,'Basic Data'!$B:$B),"")</f>
        <v>PWEPL</v>
      </c>
      <c r="I133" s="79" t="str">
        <f>IFERROR(_xlfn.XLOOKUP(Table6[[#This Row],[Affected Feeder ]],'Basic Data'!$A:$A,'Basic Data'!$C:$C),"")</f>
        <v>MSEDCL</v>
      </c>
      <c r="J133" s="295">
        <f>IFERROR(_xlfn.XLOOKUP(Table6[[#This Row],[Affected Feeder ]],'Basic Data'!$A:$A,'Basic Data'!$E:$E),"")</f>
        <v>2.2727272727272728E-2</v>
      </c>
      <c r="K133" s="296" t="s">
        <v>171</v>
      </c>
      <c r="L133" s="297">
        <v>0.66319444444444442</v>
      </c>
      <c r="M133" s="297">
        <v>0.66319444444444442</v>
      </c>
      <c r="N133" s="297">
        <v>0.67708333333333337</v>
      </c>
      <c r="O133" s="19">
        <f>(Table6[[#This Row],[Work Start TimeStamp]]-Table6[[#This Row],[Fault Start TimeStamp]])*24</f>
        <v>0</v>
      </c>
      <c r="P133" s="19">
        <f>(Table6[[#This Row],[Fault Clearance time]]-Table6[[#This Row],[Fault Start TimeStamp]])*24</f>
        <v>0.33333333333333481</v>
      </c>
      <c r="Q133" s="19">
        <f>(Table6[[#This Row],[Fault Clearance time]]-Table6[[#This Row],[Fault Start TimeStamp]])*24</f>
        <v>0.33333333333333481</v>
      </c>
      <c r="R133" s="79" t="s">
        <v>353</v>
      </c>
      <c r="S133" s="79" t="s">
        <v>339</v>
      </c>
      <c r="T133" s="298">
        <f>IFERROR(Table6[[#This Row],[Breakdown Time]]*Table6[[#This Row],[Plant Equivalent Weightage]],"")</f>
        <v>7.5757575757576098E-3</v>
      </c>
      <c r="U133" s="79" t="s">
        <v>416</v>
      </c>
      <c r="W133" s="79">
        <v>3.8</v>
      </c>
    </row>
    <row r="134" spans="1:23">
      <c r="A134" s="79">
        <f t="shared" si="2"/>
        <v>133</v>
      </c>
      <c r="B134" s="79">
        <f>YEAR(Table6[[#This Row],[Date]])+IF(MONTH(Table6[[#This Row],[Date]])&gt;=4,1,0)</f>
        <v>2026</v>
      </c>
      <c r="C134" s="79">
        <f>YEAR(Table6[[#This Row],[Date]])</f>
        <v>2025</v>
      </c>
      <c r="D134" s="79" t="s">
        <v>344</v>
      </c>
      <c r="E134" s="284">
        <f>Table6[[#This Row],[Date]]-DAY(Table6[[#This Row],[Date]])+1</f>
        <v>45748</v>
      </c>
      <c r="F134" s="285">
        <v>45751</v>
      </c>
      <c r="G134" s="79" t="s">
        <v>102</v>
      </c>
      <c r="H134" s="79" t="str">
        <f>IFERROR(_xlfn.XLOOKUP(Table6[[#This Row],[Affected Feeder ]],'Basic Data'!$A:$A,'Basic Data'!$B:$B),"")</f>
        <v>PWEPL</v>
      </c>
      <c r="I134" s="79" t="str">
        <f>IFERROR(_xlfn.XLOOKUP(Table6[[#This Row],[Affected Feeder ]],'Basic Data'!$A:$A,'Basic Data'!$C:$C),"")</f>
        <v>MSEDCL</v>
      </c>
      <c r="J134" s="295">
        <f>IFERROR(_xlfn.XLOOKUP(Table6[[#This Row],[Affected Feeder ]],'Basic Data'!$A:$A,'Basic Data'!$E:$E),"")</f>
        <v>2.2727272727272728E-2</v>
      </c>
      <c r="K134" s="296" t="s">
        <v>171</v>
      </c>
      <c r="L134" s="297">
        <v>0.66319444444444442</v>
      </c>
      <c r="M134" s="297">
        <v>0.66319444444444442</v>
      </c>
      <c r="N134" s="297">
        <v>0.67708333333333337</v>
      </c>
      <c r="O134" s="19">
        <f>(Table6[[#This Row],[Work Start TimeStamp]]-Table6[[#This Row],[Fault Start TimeStamp]])*24</f>
        <v>0</v>
      </c>
      <c r="P134" s="19">
        <f>(Table6[[#This Row],[Fault Clearance time]]-Table6[[#This Row],[Fault Start TimeStamp]])*24</f>
        <v>0.33333333333333481</v>
      </c>
      <c r="Q134" s="19">
        <f>(Table6[[#This Row],[Fault Clearance time]]-Table6[[#This Row],[Fault Start TimeStamp]])*24</f>
        <v>0.33333333333333481</v>
      </c>
      <c r="R134" s="79" t="s">
        <v>353</v>
      </c>
      <c r="S134" s="79" t="s">
        <v>339</v>
      </c>
      <c r="T134" s="298">
        <f>IFERROR(Table6[[#This Row],[Breakdown Time]]*Table6[[#This Row],[Plant Equivalent Weightage]],"")</f>
        <v>7.5757575757576098E-3</v>
      </c>
      <c r="U134" s="79" t="s">
        <v>416</v>
      </c>
      <c r="W134" s="79">
        <v>3.8</v>
      </c>
    </row>
    <row r="135" spans="1:23">
      <c r="A135" s="79">
        <f t="shared" si="2"/>
        <v>134</v>
      </c>
      <c r="B135" s="79">
        <f>YEAR(Table6[[#This Row],[Date]])+IF(MONTH(Table6[[#This Row],[Date]])&gt;=4,1,0)</f>
        <v>2026</v>
      </c>
      <c r="C135" s="79">
        <f>YEAR(Table6[[#This Row],[Date]])</f>
        <v>2025</v>
      </c>
      <c r="D135" s="79" t="s">
        <v>344</v>
      </c>
      <c r="E135" s="284">
        <f>Table6[[#This Row],[Date]]-DAY(Table6[[#This Row],[Date]])+1</f>
        <v>45748</v>
      </c>
      <c r="F135" s="285">
        <v>45751</v>
      </c>
      <c r="G135" s="79" t="s">
        <v>119</v>
      </c>
      <c r="H135" s="79" t="str">
        <f>IFERROR(_xlfn.XLOOKUP(Table6[[#This Row],[Affected Feeder ]],'Basic Data'!$A:$A,'Basic Data'!$B:$B),"")</f>
        <v>PWEPL</v>
      </c>
      <c r="I135" s="79" t="str">
        <f>IFERROR(_xlfn.XLOOKUP(Table6[[#This Row],[Affected Feeder ]],'Basic Data'!$A:$A,'Basic Data'!$C:$C),"")</f>
        <v>MSEDCL</v>
      </c>
      <c r="J135" s="295">
        <f>IFERROR(_xlfn.XLOOKUP(Table6[[#This Row],[Affected Feeder ]],'Basic Data'!$A:$A,'Basic Data'!$E:$E),"")</f>
        <v>2.2727272727272728E-2</v>
      </c>
      <c r="K135" s="296" t="s">
        <v>171</v>
      </c>
      <c r="L135" s="297">
        <v>0.66319444444444442</v>
      </c>
      <c r="M135" s="297">
        <v>0.66319444444444442</v>
      </c>
      <c r="N135" s="297">
        <v>0.67708333333333337</v>
      </c>
      <c r="O135" s="19">
        <f>(Table6[[#This Row],[Work Start TimeStamp]]-Table6[[#This Row],[Fault Start TimeStamp]])*24</f>
        <v>0</v>
      </c>
      <c r="P135" s="19">
        <f>(Table6[[#This Row],[Fault Clearance time]]-Table6[[#This Row],[Fault Start TimeStamp]])*24</f>
        <v>0.33333333333333481</v>
      </c>
      <c r="Q135" s="19">
        <f>(Table6[[#This Row],[Fault Clearance time]]-Table6[[#This Row],[Fault Start TimeStamp]])*24</f>
        <v>0.33333333333333481</v>
      </c>
      <c r="R135" s="79" t="s">
        <v>353</v>
      </c>
      <c r="S135" s="79" t="s">
        <v>339</v>
      </c>
      <c r="T135" s="298">
        <f>IFERROR(Table6[[#This Row],[Breakdown Time]]*Table6[[#This Row],[Plant Equivalent Weightage]],"")</f>
        <v>7.5757575757576098E-3</v>
      </c>
      <c r="U135" s="79" t="s">
        <v>416</v>
      </c>
      <c r="W135" s="79">
        <v>3.8</v>
      </c>
    </row>
    <row r="136" spans="1:23">
      <c r="A136" s="79">
        <f t="shared" si="2"/>
        <v>135</v>
      </c>
      <c r="B136" s="79">
        <f>YEAR(Table6[[#This Row],[Date]])+IF(MONTH(Table6[[#This Row],[Date]])&gt;=4,1,0)</f>
        <v>2026</v>
      </c>
      <c r="C136" s="79">
        <f>YEAR(Table6[[#This Row],[Date]])</f>
        <v>2025</v>
      </c>
      <c r="D136" s="79" t="s">
        <v>344</v>
      </c>
      <c r="E136" s="284">
        <f>Table6[[#This Row],[Date]]-DAY(Table6[[#This Row],[Date]])+1</f>
        <v>45748</v>
      </c>
      <c r="F136" s="285">
        <v>45751</v>
      </c>
      <c r="G136" s="79" t="s">
        <v>103</v>
      </c>
      <c r="H136" s="79" t="str">
        <f>IFERROR(_xlfn.XLOOKUP(Table6[[#This Row],[Affected Feeder ]],'Basic Data'!$A:$A,'Basic Data'!$B:$B),"")</f>
        <v>PWEPL</v>
      </c>
      <c r="I136" s="79" t="str">
        <f>IFERROR(_xlfn.XLOOKUP(Table6[[#This Row],[Affected Feeder ]],'Basic Data'!$A:$A,'Basic Data'!$C:$C),"")</f>
        <v>MSEDCL</v>
      </c>
      <c r="J136" s="295">
        <f>IFERROR(_xlfn.XLOOKUP(Table6[[#This Row],[Affected Feeder ]],'Basic Data'!$A:$A,'Basic Data'!$E:$E),"")</f>
        <v>2.2727272727272728E-2</v>
      </c>
      <c r="K136" s="296" t="s">
        <v>171</v>
      </c>
      <c r="L136" s="297">
        <v>0.66319444444444442</v>
      </c>
      <c r="M136" s="297">
        <v>0.66319444444444442</v>
      </c>
      <c r="N136" s="297">
        <v>0.67708333333333337</v>
      </c>
      <c r="O136" s="19">
        <f>(Table6[[#This Row],[Work Start TimeStamp]]-Table6[[#This Row],[Fault Start TimeStamp]])*24</f>
        <v>0</v>
      </c>
      <c r="P136" s="19">
        <f>(Table6[[#This Row],[Fault Clearance time]]-Table6[[#This Row],[Fault Start TimeStamp]])*24</f>
        <v>0.33333333333333481</v>
      </c>
      <c r="Q136" s="19">
        <f>(Table6[[#This Row],[Fault Clearance time]]-Table6[[#This Row],[Fault Start TimeStamp]])*24</f>
        <v>0.33333333333333481</v>
      </c>
      <c r="R136" s="79" t="s">
        <v>353</v>
      </c>
      <c r="S136" s="79" t="s">
        <v>339</v>
      </c>
      <c r="T136" s="298">
        <f>IFERROR(Table6[[#This Row],[Breakdown Time]]*Table6[[#This Row],[Plant Equivalent Weightage]],"")</f>
        <v>7.5757575757576098E-3</v>
      </c>
      <c r="U136" s="79" t="s">
        <v>416</v>
      </c>
      <c r="W136" s="79">
        <v>3.8</v>
      </c>
    </row>
    <row r="137" spans="1:23">
      <c r="A137" s="79">
        <f t="shared" si="2"/>
        <v>136</v>
      </c>
      <c r="B137" s="79">
        <f>YEAR(Table6[[#This Row],[Date]])+IF(MONTH(Table6[[#This Row],[Date]])&gt;=4,1,0)</f>
        <v>2026</v>
      </c>
      <c r="C137" s="79">
        <f>YEAR(Table6[[#This Row],[Date]])</f>
        <v>2025</v>
      </c>
      <c r="D137" s="79" t="s">
        <v>344</v>
      </c>
      <c r="E137" s="284">
        <f>Table6[[#This Row],[Date]]-DAY(Table6[[#This Row],[Date]])+1</f>
        <v>45748</v>
      </c>
      <c r="F137" s="285">
        <v>45751</v>
      </c>
      <c r="G137" s="79" t="s">
        <v>105</v>
      </c>
      <c r="H137" s="79" t="str">
        <f>IFERROR(_xlfn.XLOOKUP(Table6[[#This Row],[Affected Feeder ]],'Basic Data'!$A:$A,'Basic Data'!$B:$B),"")</f>
        <v>PWEPL</v>
      </c>
      <c r="I137" s="79" t="str">
        <f>IFERROR(_xlfn.XLOOKUP(Table6[[#This Row],[Affected Feeder ]],'Basic Data'!$A:$A,'Basic Data'!$C:$C),"")</f>
        <v>MSEDCL</v>
      </c>
      <c r="J137" s="295">
        <f>IFERROR(_xlfn.XLOOKUP(Table6[[#This Row],[Affected Feeder ]],'Basic Data'!$A:$A,'Basic Data'!$E:$E),"")</f>
        <v>2.2727272727272728E-2</v>
      </c>
      <c r="K137" s="296" t="s">
        <v>171</v>
      </c>
      <c r="L137" s="297">
        <v>0.66319444444444442</v>
      </c>
      <c r="M137" s="297">
        <v>0.66319444444444442</v>
      </c>
      <c r="N137" s="297">
        <v>0.67708333333333337</v>
      </c>
      <c r="O137" s="19">
        <f>(Table6[[#This Row],[Work Start TimeStamp]]-Table6[[#This Row],[Fault Start TimeStamp]])*24</f>
        <v>0</v>
      </c>
      <c r="P137" s="19">
        <f>(Table6[[#This Row],[Fault Clearance time]]-Table6[[#This Row],[Fault Start TimeStamp]])*24</f>
        <v>0.33333333333333481</v>
      </c>
      <c r="Q137" s="19">
        <f>(Table6[[#This Row],[Fault Clearance time]]-Table6[[#This Row],[Fault Start TimeStamp]])*24</f>
        <v>0.33333333333333481</v>
      </c>
      <c r="R137" s="79" t="s">
        <v>353</v>
      </c>
      <c r="S137" s="79" t="s">
        <v>339</v>
      </c>
      <c r="T137" s="298">
        <f>IFERROR(Table6[[#This Row],[Breakdown Time]]*Table6[[#This Row],[Plant Equivalent Weightage]],"")</f>
        <v>7.5757575757576098E-3</v>
      </c>
      <c r="U137" s="79" t="s">
        <v>416</v>
      </c>
      <c r="W137" s="79">
        <v>3.8</v>
      </c>
    </row>
    <row r="138" spans="1:23">
      <c r="A138" s="79">
        <f t="shared" si="2"/>
        <v>137</v>
      </c>
      <c r="B138" s="79">
        <f>YEAR(Table6[[#This Row],[Date]])+IF(MONTH(Table6[[#This Row],[Date]])&gt;=4,1,0)</f>
        <v>2026</v>
      </c>
      <c r="C138" s="79">
        <f>YEAR(Table6[[#This Row],[Date]])</f>
        <v>2025</v>
      </c>
      <c r="D138" s="79" t="s">
        <v>344</v>
      </c>
      <c r="E138" s="284">
        <f>Table6[[#This Row],[Date]]-DAY(Table6[[#This Row],[Date]])+1</f>
        <v>45748</v>
      </c>
      <c r="F138" s="285">
        <v>45751</v>
      </c>
      <c r="G138" s="79" t="s">
        <v>115</v>
      </c>
      <c r="H138" s="79" t="str">
        <f>IFERROR(_xlfn.XLOOKUP(Table6[[#This Row],[Affected Feeder ]],'Basic Data'!$A:$A,'Basic Data'!$B:$B),"")</f>
        <v>PWEPL</v>
      </c>
      <c r="I138" s="79" t="str">
        <f>IFERROR(_xlfn.XLOOKUP(Table6[[#This Row],[Affected Feeder ]],'Basic Data'!$A:$A,'Basic Data'!$C:$C),"")</f>
        <v>MSEDCL</v>
      </c>
      <c r="J138" s="295">
        <f>IFERROR(_xlfn.XLOOKUP(Table6[[#This Row],[Affected Feeder ]],'Basic Data'!$A:$A,'Basic Data'!$E:$E),"")</f>
        <v>2.2727272727272728E-2</v>
      </c>
      <c r="K138" s="296" t="s">
        <v>171</v>
      </c>
      <c r="L138" s="297">
        <v>0.66319444444444442</v>
      </c>
      <c r="M138" s="297">
        <v>0.66319444444444442</v>
      </c>
      <c r="N138" s="297">
        <v>0.67708333333333337</v>
      </c>
      <c r="O138" s="19">
        <f>(Table6[[#This Row],[Work Start TimeStamp]]-Table6[[#This Row],[Fault Start TimeStamp]])*24</f>
        <v>0</v>
      </c>
      <c r="P138" s="19">
        <f>(Table6[[#This Row],[Fault Clearance time]]-Table6[[#This Row],[Fault Start TimeStamp]])*24</f>
        <v>0.33333333333333481</v>
      </c>
      <c r="Q138" s="19">
        <f>(Table6[[#This Row],[Fault Clearance time]]-Table6[[#This Row],[Fault Start TimeStamp]])*24</f>
        <v>0.33333333333333481</v>
      </c>
      <c r="R138" s="79" t="s">
        <v>353</v>
      </c>
      <c r="S138" s="79" t="s">
        <v>339</v>
      </c>
      <c r="T138" s="298">
        <f>IFERROR(Table6[[#This Row],[Breakdown Time]]*Table6[[#This Row],[Plant Equivalent Weightage]],"")</f>
        <v>7.5757575757576098E-3</v>
      </c>
      <c r="U138" s="79" t="s">
        <v>416</v>
      </c>
      <c r="W138" s="79">
        <v>3.8</v>
      </c>
    </row>
    <row r="139" spans="1:23">
      <c r="A139" s="79">
        <f t="shared" si="2"/>
        <v>138</v>
      </c>
      <c r="B139" s="79">
        <f>YEAR(Table6[[#This Row],[Date]])+IF(MONTH(Table6[[#This Row],[Date]])&gt;=4,1,0)</f>
        <v>2026</v>
      </c>
      <c r="C139" s="79">
        <f>YEAR(Table6[[#This Row],[Date]])</f>
        <v>2025</v>
      </c>
      <c r="D139" s="79" t="s">
        <v>344</v>
      </c>
      <c r="E139" s="284">
        <f>Table6[[#This Row],[Date]]-DAY(Table6[[#This Row],[Date]])+1</f>
        <v>45748</v>
      </c>
      <c r="F139" s="285">
        <v>45751</v>
      </c>
      <c r="G139" s="79" t="s">
        <v>116</v>
      </c>
      <c r="H139" s="79" t="str">
        <f>IFERROR(_xlfn.XLOOKUP(Table6[[#This Row],[Affected Feeder ]],'Basic Data'!$A:$A,'Basic Data'!$B:$B),"")</f>
        <v>PWEPL</v>
      </c>
      <c r="I139" s="79" t="str">
        <f>IFERROR(_xlfn.XLOOKUP(Table6[[#This Row],[Affected Feeder ]],'Basic Data'!$A:$A,'Basic Data'!$C:$C),"")</f>
        <v>MSEDCL</v>
      </c>
      <c r="J139" s="295">
        <f>IFERROR(_xlfn.XLOOKUP(Table6[[#This Row],[Affected Feeder ]],'Basic Data'!$A:$A,'Basic Data'!$E:$E),"")</f>
        <v>2.2727272727272728E-2</v>
      </c>
      <c r="K139" s="296" t="s">
        <v>171</v>
      </c>
      <c r="L139" s="297">
        <v>0.66319444444444442</v>
      </c>
      <c r="M139" s="297">
        <v>0.66319444444444442</v>
      </c>
      <c r="N139" s="297">
        <v>0.67708333333333337</v>
      </c>
      <c r="O139" s="19">
        <f>(Table6[[#This Row],[Work Start TimeStamp]]-Table6[[#This Row],[Fault Start TimeStamp]])*24</f>
        <v>0</v>
      </c>
      <c r="P139" s="19">
        <f>(Table6[[#This Row],[Fault Clearance time]]-Table6[[#This Row],[Fault Start TimeStamp]])*24</f>
        <v>0.33333333333333481</v>
      </c>
      <c r="Q139" s="19">
        <f>(Table6[[#This Row],[Fault Clearance time]]-Table6[[#This Row],[Fault Start TimeStamp]])*24</f>
        <v>0.33333333333333481</v>
      </c>
      <c r="R139" s="79" t="s">
        <v>353</v>
      </c>
      <c r="S139" s="79" t="s">
        <v>339</v>
      </c>
      <c r="T139" s="298">
        <f>IFERROR(Table6[[#This Row],[Breakdown Time]]*Table6[[#This Row],[Plant Equivalent Weightage]],"")</f>
        <v>7.5757575757576098E-3</v>
      </c>
      <c r="U139" s="79" t="s">
        <v>416</v>
      </c>
      <c r="W139" s="79">
        <v>3.8</v>
      </c>
    </row>
    <row r="140" spans="1:23">
      <c r="A140" s="79">
        <f t="shared" si="2"/>
        <v>139</v>
      </c>
      <c r="B140" s="79">
        <f>YEAR(Table6[[#This Row],[Date]])+IF(MONTH(Table6[[#This Row],[Date]])&gt;=4,1,0)</f>
        <v>2026</v>
      </c>
      <c r="C140" s="79">
        <f>YEAR(Table6[[#This Row],[Date]])</f>
        <v>2025</v>
      </c>
      <c r="D140" s="79" t="s">
        <v>344</v>
      </c>
      <c r="E140" s="284">
        <f>Table6[[#This Row],[Date]]-DAY(Table6[[#This Row],[Date]])+1</f>
        <v>45748</v>
      </c>
      <c r="F140" s="285">
        <v>45751</v>
      </c>
      <c r="G140" s="79" t="s">
        <v>117</v>
      </c>
      <c r="H140" s="79" t="str">
        <f>IFERROR(_xlfn.XLOOKUP(Table6[[#This Row],[Affected Feeder ]],'Basic Data'!$A:$A,'Basic Data'!$B:$B),"")</f>
        <v>PWEPL</v>
      </c>
      <c r="I140" s="79" t="str">
        <f>IFERROR(_xlfn.XLOOKUP(Table6[[#This Row],[Affected Feeder ]],'Basic Data'!$A:$A,'Basic Data'!$C:$C),"")</f>
        <v>MSEDCL</v>
      </c>
      <c r="J140" s="295">
        <f>IFERROR(_xlfn.XLOOKUP(Table6[[#This Row],[Affected Feeder ]],'Basic Data'!$A:$A,'Basic Data'!$E:$E),"")</f>
        <v>2.2727272727272728E-2</v>
      </c>
      <c r="K140" s="296" t="s">
        <v>171</v>
      </c>
      <c r="L140" s="297">
        <v>0.66319444444444442</v>
      </c>
      <c r="M140" s="297">
        <v>0.66319444444444442</v>
      </c>
      <c r="N140" s="297">
        <v>0.67708333333333337</v>
      </c>
      <c r="O140" s="19">
        <f>(Table6[[#This Row],[Work Start TimeStamp]]-Table6[[#This Row],[Fault Start TimeStamp]])*24</f>
        <v>0</v>
      </c>
      <c r="P140" s="19">
        <f>(Table6[[#This Row],[Fault Clearance time]]-Table6[[#This Row],[Fault Start TimeStamp]])*24</f>
        <v>0.33333333333333481</v>
      </c>
      <c r="Q140" s="19">
        <f>(Table6[[#This Row],[Fault Clearance time]]-Table6[[#This Row],[Fault Start TimeStamp]])*24</f>
        <v>0.33333333333333481</v>
      </c>
      <c r="R140" s="79" t="s">
        <v>353</v>
      </c>
      <c r="S140" s="79" t="s">
        <v>339</v>
      </c>
      <c r="T140" s="298">
        <f>IFERROR(Table6[[#This Row],[Breakdown Time]]*Table6[[#This Row],[Plant Equivalent Weightage]],"")</f>
        <v>7.5757575757576098E-3</v>
      </c>
      <c r="U140" s="79" t="s">
        <v>416</v>
      </c>
      <c r="W140" s="79">
        <v>3.8</v>
      </c>
    </row>
    <row r="141" spans="1:23">
      <c r="A141" s="79">
        <f t="shared" si="2"/>
        <v>140</v>
      </c>
      <c r="B141" s="79">
        <f>YEAR(Table6[[#This Row],[Date]])+IF(MONTH(Table6[[#This Row],[Date]])&gt;=4,1,0)</f>
        <v>2026</v>
      </c>
      <c r="C141" s="79">
        <f>YEAR(Table6[[#This Row],[Date]])</f>
        <v>2025</v>
      </c>
      <c r="D141" s="79" t="s">
        <v>344</v>
      </c>
      <c r="E141" s="284">
        <f>Table6[[#This Row],[Date]]-DAY(Table6[[#This Row],[Date]])+1</f>
        <v>45748</v>
      </c>
      <c r="F141" s="285">
        <v>45751</v>
      </c>
      <c r="G141" s="79" t="s">
        <v>118</v>
      </c>
      <c r="H141" s="79" t="str">
        <f>IFERROR(_xlfn.XLOOKUP(Table6[[#This Row],[Affected Feeder ]],'Basic Data'!$A:$A,'Basic Data'!$B:$B),"")</f>
        <v>PWEPL</v>
      </c>
      <c r="I141" s="79" t="str">
        <f>IFERROR(_xlfn.XLOOKUP(Table6[[#This Row],[Affected Feeder ]],'Basic Data'!$A:$A,'Basic Data'!$C:$C),"")</f>
        <v>MSEDCL</v>
      </c>
      <c r="J141" s="295">
        <f>IFERROR(_xlfn.XLOOKUP(Table6[[#This Row],[Affected Feeder ]],'Basic Data'!$A:$A,'Basic Data'!$E:$E),"")</f>
        <v>2.2727272727272728E-2</v>
      </c>
      <c r="K141" s="296" t="s">
        <v>171</v>
      </c>
      <c r="L141" s="297">
        <v>0.66319444444444442</v>
      </c>
      <c r="M141" s="297">
        <v>0.66319444444444442</v>
      </c>
      <c r="N141" s="297">
        <v>0.67708333333333337</v>
      </c>
      <c r="O141" s="19">
        <f>(Table6[[#This Row],[Work Start TimeStamp]]-Table6[[#This Row],[Fault Start TimeStamp]])*24</f>
        <v>0</v>
      </c>
      <c r="P141" s="19">
        <f>(Table6[[#This Row],[Fault Clearance time]]-Table6[[#This Row],[Fault Start TimeStamp]])*24</f>
        <v>0.33333333333333481</v>
      </c>
      <c r="Q141" s="19">
        <f>(Table6[[#This Row],[Fault Clearance time]]-Table6[[#This Row],[Fault Start TimeStamp]])*24</f>
        <v>0.33333333333333481</v>
      </c>
      <c r="R141" s="79" t="s">
        <v>353</v>
      </c>
      <c r="S141" s="79" t="s">
        <v>339</v>
      </c>
      <c r="T141" s="298">
        <f>IFERROR(Table6[[#This Row],[Breakdown Time]]*Table6[[#This Row],[Plant Equivalent Weightage]],"")</f>
        <v>7.5757575757576098E-3</v>
      </c>
      <c r="U141" s="79" t="s">
        <v>416</v>
      </c>
      <c r="W141" s="79">
        <v>3.8</v>
      </c>
    </row>
    <row r="142" spans="1:23">
      <c r="A142" s="79">
        <f t="shared" si="2"/>
        <v>141</v>
      </c>
      <c r="B142" s="79">
        <f>YEAR(Table6[[#This Row],[Date]])+IF(MONTH(Table6[[#This Row],[Date]])&gt;=4,1,0)</f>
        <v>2026</v>
      </c>
      <c r="C142" s="79">
        <f>YEAR(Table6[[#This Row],[Date]])</f>
        <v>2025</v>
      </c>
      <c r="D142" s="79" t="s">
        <v>344</v>
      </c>
      <c r="E142" s="284">
        <f>Table6[[#This Row],[Date]]-DAY(Table6[[#This Row],[Date]])+1</f>
        <v>45748</v>
      </c>
      <c r="F142" s="285">
        <v>45751</v>
      </c>
      <c r="G142" s="79" t="s">
        <v>103</v>
      </c>
      <c r="H142" s="79" t="str">
        <f>IFERROR(_xlfn.XLOOKUP(Table6[[#This Row],[Affected Feeder ]],'Basic Data'!$A:$A,'Basic Data'!$B:$B),"")</f>
        <v>PWEPL</v>
      </c>
      <c r="I142" s="79" t="str">
        <f>IFERROR(_xlfn.XLOOKUP(Table6[[#This Row],[Affected Feeder ]],'Basic Data'!$A:$A,'Basic Data'!$C:$C),"")</f>
        <v>MSEDCL</v>
      </c>
      <c r="J142" s="295">
        <f>IFERROR(_xlfn.XLOOKUP(Table6[[#This Row],[Affected Feeder ]],'Basic Data'!$A:$A,'Basic Data'!$E:$E),"")</f>
        <v>2.2727272727272728E-2</v>
      </c>
      <c r="K142" s="296" t="s">
        <v>433</v>
      </c>
      <c r="L142" s="297">
        <v>0.70486111111111116</v>
      </c>
      <c r="M142" s="297">
        <v>0.70486111111111116</v>
      </c>
      <c r="N142" s="297">
        <v>0.72569444444444442</v>
      </c>
      <c r="O142" s="19">
        <f>(Table6[[#This Row],[Work Start TimeStamp]]-Table6[[#This Row],[Fault Start TimeStamp]])*24</f>
        <v>0</v>
      </c>
      <c r="P142" s="19">
        <f>(Table6[[#This Row],[Fault Clearance time]]-Table6[[#This Row],[Fault Start TimeStamp]])*24</f>
        <v>0.49999999999999822</v>
      </c>
      <c r="Q142" s="19">
        <f>(Table6[[#This Row],[Fault Clearance time]]-Table6[[#This Row],[Fault Start TimeStamp]])*24</f>
        <v>0.49999999999999822</v>
      </c>
      <c r="R142" s="79" t="s">
        <v>434</v>
      </c>
      <c r="S142" s="79" t="s">
        <v>339</v>
      </c>
      <c r="T142" s="298">
        <f>IFERROR(Table6[[#This Row],[Breakdown Time]]*Table6[[#This Row],[Plant Equivalent Weightage]],"")</f>
        <v>1.1363636363636324E-2</v>
      </c>
      <c r="U142" s="79" t="s">
        <v>416</v>
      </c>
      <c r="W142" s="79">
        <v>55</v>
      </c>
    </row>
    <row r="143" spans="1:23">
      <c r="A143" s="79">
        <f t="shared" si="2"/>
        <v>142</v>
      </c>
      <c r="B143" s="79">
        <f>YEAR(Table6[[#This Row],[Date]])+IF(MONTH(Table6[[#This Row],[Date]])&gt;=4,1,0)</f>
        <v>2026</v>
      </c>
      <c r="C143" s="79">
        <f>YEAR(Table6[[#This Row],[Date]])</f>
        <v>2025</v>
      </c>
      <c r="D143" s="79" t="s">
        <v>344</v>
      </c>
      <c r="E143" s="284">
        <f>Table6[[#This Row],[Date]]-DAY(Table6[[#This Row],[Date]])+1</f>
        <v>45748</v>
      </c>
      <c r="F143" s="285">
        <v>45751</v>
      </c>
      <c r="G143" s="79" t="s">
        <v>105</v>
      </c>
      <c r="H143" s="79" t="str">
        <f>IFERROR(_xlfn.XLOOKUP(Table6[[#This Row],[Affected Feeder ]],'Basic Data'!$A:$A,'Basic Data'!$B:$B),"")</f>
        <v>PWEPL</v>
      </c>
      <c r="I143" s="79" t="str">
        <f>IFERROR(_xlfn.XLOOKUP(Table6[[#This Row],[Affected Feeder ]],'Basic Data'!$A:$A,'Basic Data'!$C:$C),"")</f>
        <v>MSEDCL</v>
      </c>
      <c r="J143" s="295">
        <f>IFERROR(_xlfn.XLOOKUP(Table6[[#This Row],[Affected Feeder ]],'Basic Data'!$A:$A,'Basic Data'!$E:$E),"")</f>
        <v>2.2727272727272728E-2</v>
      </c>
      <c r="K143" s="296" t="s">
        <v>433</v>
      </c>
      <c r="L143" s="297">
        <v>0.70486111111111116</v>
      </c>
      <c r="M143" s="297">
        <v>0.70486111111111116</v>
      </c>
      <c r="N143" s="297">
        <v>0.72569444444444442</v>
      </c>
      <c r="O143" s="19">
        <f>(Table6[[#This Row],[Work Start TimeStamp]]-Table6[[#This Row],[Fault Start TimeStamp]])*24</f>
        <v>0</v>
      </c>
      <c r="P143" s="19">
        <f>(Table6[[#This Row],[Fault Clearance time]]-Table6[[#This Row],[Fault Start TimeStamp]])*24</f>
        <v>0.49999999999999822</v>
      </c>
      <c r="Q143" s="19">
        <f>(Table6[[#This Row],[Fault Clearance time]]-Table6[[#This Row],[Fault Start TimeStamp]])*24</f>
        <v>0.49999999999999822</v>
      </c>
      <c r="R143" s="79" t="s">
        <v>434</v>
      </c>
      <c r="S143" s="79" t="s">
        <v>339</v>
      </c>
      <c r="T143" s="298">
        <f>IFERROR(Table6[[#This Row],[Breakdown Time]]*Table6[[#This Row],[Plant Equivalent Weightage]],"")</f>
        <v>1.1363636363636324E-2</v>
      </c>
      <c r="U143" s="79" t="s">
        <v>416</v>
      </c>
      <c r="W143" s="79">
        <v>55</v>
      </c>
    </row>
    <row r="144" spans="1:23">
      <c r="A144" s="79">
        <f t="shared" si="2"/>
        <v>143</v>
      </c>
      <c r="B144" s="79">
        <f>YEAR(Table6[[#This Row],[Date]])+IF(MONTH(Table6[[#This Row],[Date]])&gt;=4,1,0)</f>
        <v>2026</v>
      </c>
      <c r="C144" s="79">
        <f>YEAR(Table6[[#This Row],[Date]])</f>
        <v>2025</v>
      </c>
      <c r="D144" s="79" t="s">
        <v>344</v>
      </c>
      <c r="E144" s="284">
        <f>Table6[[#This Row],[Date]]-DAY(Table6[[#This Row],[Date]])+1</f>
        <v>45748</v>
      </c>
      <c r="F144" s="285">
        <v>45751</v>
      </c>
      <c r="G144" s="79" t="s">
        <v>115</v>
      </c>
      <c r="H144" s="79" t="str">
        <f>IFERROR(_xlfn.XLOOKUP(Table6[[#This Row],[Affected Feeder ]],'Basic Data'!$A:$A,'Basic Data'!$B:$B),"")</f>
        <v>PWEPL</v>
      </c>
      <c r="I144" s="79" t="str">
        <f>IFERROR(_xlfn.XLOOKUP(Table6[[#This Row],[Affected Feeder ]],'Basic Data'!$A:$A,'Basic Data'!$C:$C),"")</f>
        <v>MSEDCL</v>
      </c>
      <c r="J144" s="295">
        <f>IFERROR(_xlfn.XLOOKUP(Table6[[#This Row],[Affected Feeder ]],'Basic Data'!$A:$A,'Basic Data'!$E:$E),"")</f>
        <v>2.2727272727272728E-2</v>
      </c>
      <c r="K144" s="296" t="s">
        <v>433</v>
      </c>
      <c r="L144" s="297">
        <v>0.70486111111111116</v>
      </c>
      <c r="M144" s="297">
        <v>0.70486111111111116</v>
      </c>
      <c r="N144" s="297">
        <v>0.72569444444444442</v>
      </c>
      <c r="O144" s="19">
        <f>(Table6[[#This Row],[Work Start TimeStamp]]-Table6[[#This Row],[Fault Start TimeStamp]])*24</f>
        <v>0</v>
      </c>
      <c r="P144" s="19">
        <f>(Table6[[#This Row],[Fault Clearance time]]-Table6[[#This Row],[Fault Start TimeStamp]])*24</f>
        <v>0.49999999999999822</v>
      </c>
      <c r="Q144" s="19">
        <f>(Table6[[#This Row],[Fault Clearance time]]-Table6[[#This Row],[Fault Start TimeStamp]])*24</f>
        <v>0.49999999999999822</v>
      </c>
      <c r="R144" s="79" t="s">
        <v>434</v>
      </c>
      <c r="S144" s="79" t="s">
        <v>339</v>
      </c>
      <c r="T144" s="298">
        <f>IFERROR(Table6[[#This Row],[Breakdown Time]]*Table6[[#This Row],[Plant Equivalent Weightage]],"")</f>
        <v>1.1363636363636324E-2</v>
      </c>
      <c r="U144" s="79" t="s">
        <v>416</v>
      </c>
      <c r="W144" s="79">
        <v>55</v>
      </c>
    </row>
    <row r="145" spans="1:23">
      <c r="A145" s="79">
        <f t="shared" si="2"/>
        <v>144</v>
      </c>
      <c r="B145" s="79">
        <f>YEAR(Table6[[#This Row],[Date]])+IF(MONTH(Table6[[#This Row],[Date]])&gt;=4,1,0)</f>
        <v>2026</v>
      </c>
      <c r="C145" s="79">
        <f>YEAR(Table6[[#This Row],[Date]])</f>
        <v>2025</v>
      </c>
      <c r="D145" s="79" t="s">
        <v>344</v>
      </c>
      <c r="E145" s="284">
        <f>Table6[[#This Row],[Date]]-DAY(Table6[[#This Row],[Date]])+1</f>
        <v>45748</v>
      </c>
      <c r="F145" s="285">
        <v>45751</v>
      </c>
      <c r="G145" s="79" t="s">
        <v>116</v>
      </c>
      <c r="H145" s="79" t="str">
        <f>IFERROR(_xlfn.XLOOKUP(Table6[[#This Row],[Affected Feeder ]],'Basic Data'!$A:$A,'Basic Data'!$B:$B),"")</f>
        <v>PWEPL</v>
      </c>
      <c r="I145" s="79" t="str">
        <f>IFERROR(_xlfn.XLOOKUP(Table6[[#This Row],[Affected Feeder ]],'Basic Data'!$A:$A,'Basic Data'!$C:$C),"")</f>
        <v>MSEDCL</v>
      </c>
      <c r="J145" s="295">
        <f>IFERROR(_xlfn.XLOOKUP(Table6[[#This Row],[Affected Feeder ]],'Basic Data'!$A:$A,'Basic Data'!$E:$E),"")</f>
        <v>2.2727272727272728E-2</v>
      </c>
      <c r="K145" s="296" t="s">
        <v>433</v>
      </c>
      <c r="L145" s="297">
        <v>0.70486111111111116</v>
      </c>
      <c r="M145" s="297">
        <v>0.70486111111111116</v>
      </c>
      <c r="N145" s="297">
        <v>0.72569444444444442</v>
      </c>
      <c r="O145" s="19">
        <f>(Table6[[#This Row],[Work Start TimeStamp]]-Table6[[#This Row],[Fault Start TimeStamp]])*24</f>
        <v>0</v>
      </c>
      <c r="P145" s="19">
        <f>(Table6[[#This Row],[Fault Clearance time]]-Table6[[#This Row],[Fault Start TimeStamp]])*24</f>
        <v>0.49999999999999822</v>
      </c>
      <c r="Q145" s="19">
        <f>(Table6[[#This Row],[Fault Clearance time]]-Table6[[#This Row],[Fault Start TimeStamp]])*24</f>
        <v>0.49999999999999822</v>
      </c>
      <c r="R145" s="79" t="s">
        <v>434</v>
      </c>
      <c r="S145" s="79" t="s">
        <v>339</v>
      </c>
      <c r="T145" s="298">
        <f>IFERROR(Table6[[#This Row],[Breakdown Time]]*Table6[[#This Row],[Plant Equivalent Weightage]],"")</f>
        <v>1.1363636363636324E-2</v>
      </c>
      <c r="U145" s="79" t="s">
        <v>416</v>
      </c>
      <c r="W145" s="79">
        <v>55</v>
      </c>
    </row>
    <row r="146" spans="1:23">
      <c r="A146" s="79">
        <f t="shared" si="2"/>
        <v>145</v>
      </c>
      <c r="B146" s="79">
        <f>YEAR(Table6[[#This Row],[Date]])+IF(MONTH(Table6[[#This Row],[Date]])&gt;=4,1,0)</f>
        <v>2026</v>
      </c>
      <c r="C146" s="79">
        <f>YEAR(Table6[[#This Row],[Date]])</f>
        <v>2025</v>
      </c>
      <c r="D146" s="79" t="s">
        <v>344</v>
      </c>
      <c r="E146" s="284">
        <f>Table6[[#This Row],[Date]]-DAY(Table6[[#This Row],[Date]])+1</f>
        <v>45748</v>
      </c>
      <c r="F146" s="285">
        <v>45751</v>
      </c>
      <c r="G146" s="79" t="s">
        <v>117</v>
      </c>
      <c r="H146" s="79" t="str">
        <f>IFERROR(_xlfn.XLOOKUP(Table6[[#This Row],[Affected Feeder ]],'Basic Data'!$A:$A,'Basic Data'!$B:$B),"")</f>
        <v>PWEPL</v>
      </c>
      <c r="I146" s="79" t="str">
        <f>IFERROR(_xlfn.XLOOKUP(Table6[[#This Row],[Affected Feeder ]],'Basic Data'!$A:$A,'Basic Data'!$C:$C),"")</f>
        <v>MSEDCL</v>
      </c>
      <c r="J146" s="295">
        <f>IFERROR(_xlfn.XLOOKUP(Table6[[#This Row],[Affected Feeder ]],'Basic Data'!$A:$A,'Basic Data'!$E:$E),"")</f>
        <v>2.2727272727272728E-2</v>
      </c>
      <c r="K146" s="296" t="s">
        <v>433</v>
      </c>
      <c r="L146" s="297">
        <v>0.70486111111111116</v>
      </c>
      <c r="M146" s="297">
        <v>0.70486111111111116</v>
      </c>
      <c r="N146" s="297">
        <v>0.72569444444444442</v>
      </c>
      <c r="O146" s="19">
        <f>(Table6[[#This Row],[Work Start TimeStamp]]-Table6[[#This Row],[Fault Start TimeStamp]])*24</f>
        <v>0</v>
      </c>
      <c r="P146" s="19">
        <f>(Table6[[#This Row],[Fault Clearance time]]-Table6[[#This Row],[Fault Start TimeStamp]])*24</f>
        <v>0.49999999999999822</v>
      </c>
      <c r="Q146" s="19">
        <f>(Table6[[#This Row],[Fault Clearance time]]-Table6[[#This Row],[Fault Start TimeStamp]])*24</f>
        <v>0.49999999999999822</v>
      </c>
      <c r="R146" s="79" t="s">
        <v>434</v>
      </c>
      <c r="S146" s="79" t="s">
        <v>339</v>
      </c>
      <c r="T146" s="298">
        <f>IFERROR(Table6[[#This Row],[Breakdown Time]]*Table6[[#This Row],[Plant Equivalent Weightage]],"")</f>
        <v>1.1363636363636324E-2</v>
      </c>
      <c r="U146" s="79" t="s">
        <v>416</v>
      </c>
      <c r="W146" s="79">
        <v>55</v>
      </c>
    </row>
    <row r="147" spans="1:23">
      <c r="A147" s="79">
        <f t="shared" si="2"/>
        <v>146</v>
      </c>
      <c r="B147" s="79">
        <f>YEAR(Table6[[#This Row],[Date]])+IF(MONTH(Table6[[#This Row],[Date]])&gt;=4,1,0)</f>
        <v>2026</v>
      </c>
      <c r="C147" s="79">
        <f>YEAR(Table6[[#This Row],[Date]])</f>
        <v>2025</v>
      </c>
      <c r="D147" s="79" t="s">
        <v>344</v>
      </c>
      <c r="E147" s="284">
        <f>Table6[[#This Row],[Date]]-DAY(Table6[[#This Row],[Date]])+1</f>
        <v>45748</v>
      </c>
      <c r="F147" s="285">
        <v>45751</v>
      </c>
      <c r="G147" s="79" t="s">
        <v>118</v>
      </c>
      <c r="H147" s="79" t="str">
        <f>IFERROR(_xlfn.XLOOKUP(Table6[[#This Row],[Affected Feeder ]],'Basic Data'!$A:$A,'Basic Data'!$B:$B),"")</f>
        <v>PWEPL</v>
      </c>
      <c r="I147" s="79" t="str">
        <f>IFERROR(_xlfn.XLOOKUP(Table6[[#This Row],[Affected Feeder ]],'Basic Data'!$A:$A,'Basic Data'!$C:$C),"")</f>
        <v>MSEDCL</v>
      </c>
      <c r="J147" s="295">
        <f>IFERROR(_xlfn.XLOOKUP(Table6[[#This Row],[Affected Feeder ]],'Basic Data'!$A:$A,'Basic Data'!$E:$E),"")</f>
        <v>2.2727272727272728E-2</v>
      </c>
      <c r="K147" s="296" t="s">
        <v>433</v>
      </c>
      <c r="L147" s="297">
        <v>0.70486111111111116</v>
      </c>
      <c r="M147" s="297">
        <v>0.70486111111111116</v>
      </c>
      <c r="N147" s="297">
        <v>0.72569444444444442</v>
      </c>
      <c r="O147" s="19">
        <f>(Table6[[#This Row],[Work Start TimeStamp]]-Table6[[#This Row],[Fault Start TimeStamp]])*24</f>
        <v>0</v>
      </c>
      <c r="P147" s="19">
        <f>(Table6[[#This Row],[Fault Clearance time]]-Table6[[#This Row],[Fault Start TimeStamp]])*24</f>
        <v>0.49999999999999822</v>
      </c>
      <c r="Q147" s="19">
        <f>(Table6[[#This Row],[Fault Clearance time]]-Table6[[#This Row],[Fault Start TimeStamp]])*24</f>
        <v>0.49999999999999822</v>
      </c>
      <c r="R147" s="79" t="s">
        <v>434</v>
      </c>
      <c r="S147" s="79" t="s">
        <v>339</v>
      </c>
      <c r="T147" s="298">
        <f>IFERROR(Table6[[#This Row],[Breakdown Time]]*Table6[[#This Row],[Plant Equivalent Weightage]],"")</f>
        <v>1.1363636363636324E-2</v>
      </c>
      <c r="U147" s="79" t="s">
        <v>416</v>
      </c>
      <c r="W147" s="79">
        <v>55</v>
      </c>
    </row>
    <row r="148" spans="1:23">
      <c r="A148" s="79">
        <f t="shared" si="2"/>
        <v>147</v>
      </c>
      <c r="B148" s="79">
        <f>YEAR(Table6[[#This Row],[Date]])+IF(MONTH(Table6[[#This Row],[Date]])&gt;=4,1,0)</f>
        <v>2026</v>
      </c>
      <c r="C148" s="79">
        <f>YEAR(Table6[[#This Row],[Date]])</f>
        <v>2025</v>
      </c>
      <c r="D148" s="79" t="s">
        <v>344</v>
      </c>
      <c r="E148" s="284">
        <f>Table6[[#This Row],[Date]]-DAY(Table6[[#This Row],[Date]])+1</f>
        <v>45748</v>
      </c>
      <c r="F148" s="285">
        <v>45752</v>
      </c>
      <c r="G148" s="79" t="s">
        <v>76</v>
      </c>
      <c r="H148" s="79" t="str">
        <f>IFERROR(_xlfn.XLOOKUP(Table6[[#This Row],[Affected Feeder ]],'Basic Data'!$A:$A,'Basic Data'!$B:$B),"")</f>
        <v>PWEPL</v>
      </c>
      <c r="I148" s="79" t="str">
        <f>IFERROR(_xlfn.XLOOKUP(Table6[[#This Row],[Affected Feeder ]],'Basic Data'!$A:$A,'Basic Data'!$C:$C),"")</f>
        <v>MSEDCL</v>
      </c>
      <c r="J148" s="295">
        <f>IFERROR(_xlfn.XLOOKUP(Table6[[#This Row],[Affected Feeder ]],'Basic Data'!$A:$A,'Basic Data'!$E:$E),"")</f>
        <v>2.2727272727272728E-2</v>
      </c>
      <c r="K148" s="296" t="s">
        <v>414</v>
      </c>
      <c r="L148" s="297">
        <v>0.3611111111111111</v>
      </c>
      <c r="M148" s="297">
        <v>0.3611111111111111</v>
      </c>
      <c r="N148" s="297">
        <v>0.81597222222222221</v>
      </c>
      <c r="O148" s="19">
        <f>(Table6[[#This Row],[Work Start TimeStamp]]-Table6[[#This Row],[Fault Start TimeStamp]])*24</f>
        <v>0</v>
      </c>
      <c r="P148" s="19">
        <f>(Table6[[#This Row],[Fault Clearance time]]-Table6[[#This Row],[Fault Start TimeStamp]])*24</f>
        <v>10.916666666666666</v>
      </c>
      <c r="Q148" s="19">
        <f>(Table6[[#This Row],[Fault Clearance time]]-Table6[[#This Row],[Fault Start TimeStamp]])*24</f>
        <v>10.916666666666666</v>
      </c>
      <c r="R148" s="79" t="s">
        <v>435</v>
      </c>
      <c r="S148" s="79" t="s">
        <v>339</v>
      </c>
      <c r="T148" s="298">
        <f>IFERROR(Table6[[#This Row],[Breakdown Time]]*Table6[[#This Row],[Plant Equivalent Weightage]],"")</f>
        <v>0.24810606060606061</v>
      </c>
      <c r="U148" s="79" t="s">
        <v>416</v>
      </c>
      <c r="W148" s="79">
        <v>1318</v>
      </c>
    </row>
    <row r="149" spans="1:23">
      <c r="A149" s="79">
        <f t="shared" si="2"/>
        <v>148</v>
      </c>
      <c r="B149" s="79">
        <f>YEAR(Table6[[#This Row],[Date]])+IF(MONTH(Table6[[#This Row],[Date]])&gt;=4,1,0)</f>
        <v>2026</v>
      </c>
      <c r="C149" s="79">
        <f>YEAR(Table6[[#This Row],[Date]])</f>
        <v>2025</v>
      </c>
      <c r="D149" s="79" t="s">
        <v>344</v>
      </c>
      <c r="E149" s="284">
        <f>Table6[[#This Row],[Date]]-DAY(Table6[[#This Row],[Date]])+1</f>
        <v>45748</v>
      </c>
      <c r="F149" s="285">
        <v>45752</v>
      </c>
      <c r="G149" s="79" t="s">
        <v>76</v>
      </c>
      <c r="H149" s="79" t="str">
        <f>IFERROR(_xlfn.XLOOKUP(Table6[[#This Row],[Affected Feeder ]],'Basic Data'!$A:$A,'Basic Data'!$B:$B),"")</f>
        <v>PWEPL</v>
      </c>
      <c r="I149" s="79" t="str">
        <f>IFERROR(_xlfn.XLOOKUP(Table6[[#This Row],[Affected Feeder ]],'Basic Data'!$A:$A,'Basic Data'!$C:$C),"")</f>
        <v>MSEDCL</v>
      </c>
      <c r="J149" s="295">
        <f>IFERROR(_xlfn.XLOOKUP(Table6[[#This Row],[Affected Feeder ]],'Basic Data'!$A:$A,'Basic Data'!$E:$E),"")</f>
        <v>2.2727272727272728E-2</v>
      </c>
      <c r="K149" s="296" t="s">
        <v>171</v>
      </c>
      <c r="L149" s="297">
        <v>0.81597222222222221</v>
      </c>
      <c r="M149" s="297">
        <v>0.81597222222222221</v>
      </c>
      <c r="N149" s="297">
        <v>0.82986111111111116</v>
      </c>
      <c r="O149" s="19">
        <f>(Table6[[#This Row],[Work Start TimeStamp]]-Table6[[#This Row],[Fault Start TimeStamp]])*24</f>
        <v>0</v>
      </c>
      <c r="P149" s="19">
        <f>(Table6[[#This Row],[Fault Clearance time]]-Table6[[#This Row],[Fault Start TimeStamp]])*24</f>
        <v>0.33333333333333481</v>
      </c>
      <c r="Q149" s="19">
        <f>(Table6[[#This Row],[Fault Clearance time]]-Table6[[#This Row],[Fault Start TimeStamp]])*24</f>
        <v>0.33333333333333481</v>
      </c>
      <c r="R149" s="79" t="s">
        <v>353</v>
      </c>
      <c r="S149" s="79" t="s">
        <v>339</v>
      </c>
      <c r="T149" s="298">
        <f>IFERROR(Table6[[#This Row],[Breakdown Time]]*Table6[[#This Row],[Plant Equivalent Weightage]],"")</f>
        <v>7.5757575757576098E-3</v>
      </c>
      <c r="U149" s="79" t="s">
        <v>416</v>
      </c>
      <c r="W149" s="79">
        <v>40</v>
      </c>
    </row>
    <row r="150" spans="1:23">
      <c r="A150" s="79">
        <f t="shared" si="2"/>
        <v>149</v>
      </c>
      <c r="B150" s="79">
        <f>YEAR(Table6[[#This Row],[Date]])+IF(MONTH(Table6[[#This Row],[Date]])&gt;=4,1,0)</f>
        <v>2026</v>
      </c>
      <c r="C150" s="79">
        <f>YEAR(Table6[[#This Row],[Date]])</f>
        <v>2025</v>
      </c>
      <c r="D150" s="79" t="s">
        <v>344</v>
      </c>
      <c r="E150" s="284">
        <f>Table6[[#This Row],[Date]]-DAY(Table6[[#This Row],[Date]])+1</f>
        <v>45748</v>
      </c>
      <c r="F150" s="285">
        <v>45752</v>
      </c>
      <c r="G150" s="79" t="s">
        <v>77</v>
      </c>
      <c r="H150" s="79" t="str">
        <f>IFERROR(_xlfn.XLOOKUP(Table6[[#This Row],[Affected Feeder ]],'Basic Data'!$A:$A,'Basic Data'!$B:$B),"")</f>
        <v>PWEPL</v>
      </c>
      <c r="I150" s="79" t="str">
        <f>IFERROR(_xlfn.XLOOKUP(Table6[[#This Row],[Affected Feeder ]],'Basic Data'!$A:$A,'Basic Data'!$C:$C),"")</f>
        <v>MSEDCL</v>
      </c>
      <c r="J150" s="295">
        <f>IFERROR(_xlfn.XLOOKUP(Table6[[#This Row],[Affected Feeder ]],'Basic Data'!$A:$A,'Basic Data'!$E:$E),"")</f>
        <v>2.2727272727272728E-2</v>
      </c>
      <c r="K150" s="296" t="s">
        <v>414</v>
      </c>
      <c r="L150" s="297">
        <v>0.3611111111111111</v>
      </c>
      <c r="M150" s="297">
        <v>0.3611111111111111</v>
      </c>
      <c r="N150" s="297">
        <v>0.37847222222222227</v>
      </c>
      <c r="O150" s="19">
        <f>(Table6[[#This Row],[Work Start TimeStamp]]-Table6[[#This Row],[Fault Start TimeStamp]])*24</f>
        <v>0</v>
      </c>
      <c r="P150" s="19">
        <f>(Table6[[#This Row],[Fault Clearance time]]-Table6[[#This Row],[Fault Start TimeStamp]])*24</f>
        <v>0.41666666666666785</v>
      </c>
      <c r="Q150" s="19">
        <f>(Table6[[#This Row],[Fault Clearance time]]-Table6[[#This Row],[Fault Start TimeStamp]])*24</f>
        <v>0.41666666666666785</v>
      </c>
      <c r="R150" s="79" t="s">
        <v>436</v>
      </c>
      <c r="S150" s="79" t="s">
        <v>339</v>
      </c>
      <c r="T150" s="298">
        <f>IFERROR(Table6[[#This Row],[Breakdown Time]]*Table6[[#This Row],[Plant Equivalent Weightage]],"")</f>
        <v>9.4696969696969977E-3</v>
      </c>
      <c r="U150" s="79" t="s">
        <v>416</v>
      </c>
      <c r="W150" s="79">
        <v>91</v>
      </c>
    </row>
    <row r="151" spans="1:23">
      <c r="A151" s="79">
        <f t="shared" si="2"/>
        <v>150</v>
      </c>
      <c r="B151" s="79">
        <f>YEAR(Table6[[#This Row],[Date]])+IF(MONTH(Table6[[#This Row],[Date]])&gt;=4,1,0)</f>
        <v>2026</v>
      </c>
      <c r="C151" s="79">
        <f>YEAR(Table6[[#This Row],[Date]])</f>
        <v>2025</v>
      </c>
      <c r="D151" s="79" t="s">
        <v>344</v>
      </c>
      <c r="E151" s="284">
        <f>Table6[[#This Row],[Date]]-DAY(Table6[[#This Row],[Date]])+1</f>
        <v>45748</v>
      </c>
      <c r="F151" s="285">
        <v>45752</v>
      </c>
      <c r="G151" s="79" t="s">
        <v>77</v>
      </c>
      <c r="H151" s="79" t="str">
        <f>IFERROR(_xlfn.XLOOKUP(Table6[[#This Row],[Affected Feeder ]],'Basic Data'!$A:$A,'Basic Data'!$B:$B),"")</f>
        <v>PWEPL</v>
      </c>
      <c r="I151" s="79" t="str">
        <f>IFERROR(_xlfn.XLOOKUP(Table6[[#This Row],[Affected Feeder ]],'Basic Data'!$A:$A,'Basic Data'!$C:$C),"")</f>
        <v>MSEDCL</v>
      </c>
      <c r="J151" s="295">
        <f>IFERROR(_xlfn.XLOOKUP(Table6[[#This Row],[Affected Feeder ]],'Basic Data'!$A:$A,'Basic Data'!$E:$E),"")</f>
        <v>2.2727272727272728E-2</v>
      </c>
      <c r="K151" s="296" t="s">
        <v>171</v>
      </c>
      <c r="L151" s="297">
        <v>0.37847222222222227</v>
      </c>
      <c r="M151" s="297">
        <v>0.37847222222222227</v>
      </c>
      <c r="N151" s="297">
        <v>0.3923611111111111</v>
      </c>
      <c r="O151" s="19">
        <f>(Table6[[#This Row],[Work Start TimeStamp]]-Table6[[#This Row],[Fault Start TimeStamp]])*24</f>
        <v>0</v>
      </c>
      <c r="P151" s="19">
        <f>(Table6[[#This Row],[Fault Clearance time]]-Table6[[#This Row],[Fault Start TimeStamp]])*24</f>
        <v>0.33333333333333215</v>
      </c>
      <c r="Q151" s="19">
        <f>(Table6[[#This Row],[Fault Clearance time]]-Table6[[#This Row],[Fault Start TimeStamp]])*24</f>
        <v>0.33333333333333215</v>
      </c>
      <c r="R151" s="79" t="s">
        <v>353</v>
      </c>
      <c r="S151" s="79" t="s">
        <v>339</v>
      </c>
      <c r="T151" s="298">
        <f>IFERROR(Table6[[#This Row],[Breakdown Time]]*Table6[[#This Row],[Plant Equivalent Weightage]],"")</f>
        <v>7.5757575757575491E-3</v>
      </c>
      <c r="U151" s="79" t="s">
        <v>416</v>
      </c>
      <c r="W151" s="79">
        <v>40</v>
      </c>
    </row>
    <row r="152" spans="1:23">
      <c r="A152" s="79">
        <f t="shared" si="2"/>
        <v>151</v>
      </c>
      <c r="B152" s="79">
        <f>YEAR(Table6[[#This Row],[Date]])+IF(MONTH(Table6[[#This Row],[Date]])&gt;=4,1,0)</f>
        <v>2026</v>
      </c>
      <c r="C152" s="79">
        <f>YEAR(Table6[[#This Row],[Date]])</f>
        <v>2025</v>
      </c>
      <c r="D152" s="79" t="s">
        <v>344</v>
      </c>
      <c r="E152" s="284">
        <f>Table6[[#This Row],[Date]]-DAY(Table6[[#This Row],[Date]])+1</f>
        <v>45748</v>
      </c>
      <c r="F152" s="285">
        <v>45752</v>
      </c>
      <c r="G152" s="79" t="s">
        <v>78</v>
      </c>
      <c r="H152" s="79" t="str">
        <f>IFERROR(_xlfn.XLOOKUP(Table6[[#This Row],[Affected Feeder ]],'Basic Data'!$A:$A,'Basic Data'!$B:$B),"")</f>
        <v>PWEPL</v>
      </c>
      <c r="I152" s="79" t="str">
        <f>IFERROR(_xlfn.XLOOKUP(Table6[[#This Row],[Affected Feeder ]],'Basic Data'!$A:$A,'Basic Data'!$C:$C),"")</f>
        <v>MSEDCL</v>
      </c>
      <c r="J152" s="295">
        <f>IFERROR(_xlfn.XLOOKUP(Table6[[#This Row],[Affected Feeder ]],'Basic Data'!$A:$A,'Basic Data'!$E:$E),"")</f>
        <v>2.2727272727272728E-2</v>
      </c>
      <c r="K152" s="296" t="s">
        <v>414</v>
      </c>
      <c r="L152" s="297">
        <v>0.3611111111111111</v>
      </c>
      <c r="M152" s="297">
        <v>0.3611111111111111</v>
      </c>
      <c r="N152" s="297">
        <v>0.37847222222222227</v>
      </c>
      <c r="O152" s="19">
        <f>(Table6[[#This Row],[Work Start TimeStamp]]-Table6[[#This Row],[Fault Start TimeStamp]])*24</f>
        <v>0</v>
      </c>
      <c r="P152" s="19">
        <f>(Table6[[#This Row],[Fault Clearance time]]-Table6[[#This Row],[Fault Start TimeStamp]])*24</f>
        <v>0.41666666666666785</v>
      </c>
      <c r="Q152" s="19">
        <f>(Table6[[#This Row],[Fault Clearance time]]-Table6[[#This Row],[Fault Start TimeStamp]])*24</f>
        <v>0.41666666666666785</v>
      </c>
      <c r="R152" s="79" t="s">
        <v>436</v>
      </c>
      <c r="S152" s="79" t="s">
        <v>339</v>
      </c>
      <c r="T152" s="298">
        <f>IFERROR(Table6[[#This Row],[Breakdown Time]]*Table6[[#This Row],[Plant Equivalent Weightage]],"")</f>
        <v>9.4696969696969977E-3</v>
      </c>
      <c r="U152" s="79" t="s">
        <v>416</v>
      </c>
      <c r="W152" s="79">
        <v>91</v>
      </c>
    </row>
    <row r="153" spans="1:23">
      <c r="A153" s="79">
        <f t="shared" si="2"/>
        <v>152</v>
      </c>
      <c r="B153" s="79">
        <f>YEAR(Table6[[#This Row],[Date]])+IF(MONTH(Table6[[#This Row],[Date]])&gt;=4,1,0)</f>
        <v>2026</v>
      </c>
      <c r="C153" s="79">
        <f>YEAR(Table6[[#This Row],[Date]])</f>
        <v>2025</v>
      </c>
      <c r="D153" s="79" t="s">
        <v>344</v>
      </c>
      <c r="E153" s="284">
        <f>Table6[[#This Row],[Date]]-DAY(Table6[[#This Row],[Date]])+1</f>
        <v>45748</v>
      </c>
      <c r="F153" s="285">
        <v>45752</v>
      </c>
      <c r="G153" s="79" t="s">
        <v>78</v>
      </c>
      <c r="H153" s="79" t="str">
        <f>IFERROR(_xlfn.XLOOKUP(Table6[[#This Row],[Affected Feeder ]],'Basic Data'!$A:$A,'Basic Data'!$B:$B),"")</f>
        <v>PWEPL</v>
      </c>
      <c r="I153" s="79" t="str">
        <f>IFERROR(_xlfn.XLOOKUP(Table6[[#This Row],[Affected Feeder ]],'Basic Data'!$A:$A,'Basic Data'!$C:$C),"")</f>
        <v>MSEDCL</v>
      </c>
      <c r="J153" s="295">
        <f>IFERROR(_xlfn.XLOOKUP(Table6[[#This Row],[Affected Feeder ]],'Basic Data'!$A:$A,'Basic Data'!$E:$E),"")</f>
        <v>2.2727272727272728E-2</v>
      </c>
      <c r="K153" s="296" t="s">
        <v>171</v>
      </c>
      <c r="L153" s="297">
        <v>0.37847222222222227</v>
      </c>
      <c r="M153" s="297">
        <v>0.37847222222222227</v>
      </c>
      <c r="N153" s="297">
        <v>0.3923611111111111</v>
      </c>
      <c r="O153" s="19">
        <f>(Table6[[#This Row],[Work Start TimeStamp]]-Table6[[#This Row],[Fault Start TimeStamp]])*24</f>
        <v>0</v>
      </c>
      <c r="P153" s="19">
        <f>(Table6[[#This Row],[Fault Clearance time]]-Table6[[#This Row],[Fault Start TimeStamp]])*24</f>
        <v>0.33333333333333215</v>
      </c>
      <c r="Q153" s="19">
        <f>(Table6[[#This Row],[Fault Clearance time]]-Table6[[#This Row],[Fault Start TimeStamp]])*24</f>
        <v>0.33333333333333215</v>
      </c>
      <c r="R153" s="79" t="s">
        <v>353</v>
      </c>
      <c r="S153" s="79" t="s">
        <v>339</v>
      </c>
      <c r="T153" s="298">
        <f>IFERROR(Table6[[#This Row],[Breakdown Time]]*Table6[[#This Row],[Plant Equivalent Weightage]],"")</f>
        <v>7.5757575757575491E-3</v>
      </c>
      <c r="U153" s="79" t="s">
        <v>416</v>
      </c>
      <c r="W153" s="79">
        <v>40</v>
      </c>
    </row>
    <row r="154" spans="1:23">
      <c r="A154" s="79">
        <f t="shared" si="2"/>
        <v>153</v>
      </c>
      <c r="B154" s="79">
        <f>YEAR(Table6[[#This Row],[Date]])+IF(MONTH(Table6[[#This Row],[Date]])&gt;=4,1,0)</f>
        <v>2026</v>
      </c>
      <c r="C154" s="79">
        <f>YEAR(Table6[[#This Row],[Date]])</f>
        <v>2025</v>
      </c>
      <c r="D154" s="79" t="s">
        <v>344</v>
      </c>
      <c r="E154" s="284">
        <f>Table6[[#This Row],[Date]]-DAY(Table6[[#This Row],[Date]])+1</f>
        <v>45748</v>
      </c>
      <c r="F154" s="285">
        <v>45752</v>
      </c>
      <c r="G154" s="79" t="s">
        <v>82</v>
      </c>
      <c r="H154" s="79" t="str">
        <f>IFERROR(_xlfn.XLOOKUP(Table6[[#This Row],[Affected Feeder ]],'Basic Data'!$A:$A,'Basic Data'!$B:$B),"")</f>
        <v>PWEPL</v>
      </c>
      <c r="I154" s="79" t="str">
        <f>IFERROR(_xlfn.XLOOKUP(Table6[[#This Row],[Affected Feeder ]],'Basic Data'!$A:$A,'Basic Data'!$C:$C),"")</f>
        <v>MSEDCL</v>
      </c>
      <c r="J154" s="295">
        <f>IFERROR(_xlfn.XLOOKUP(Table6[[#This Row],[Affected Feeder ]],'Basic Data'!$A:$A,'Basic Data'!$E:$E),"")</f>
        <v>2.2727272727272728E-2</v>
      </c>
      <c r="K154" s="296" t="s">
        <v>414</v>
      </c>
      <c r="L154" s="297">
        <v>0.3611111111111111</v>
      </c>
      <c r="M154" s="297">
        <v>0.3611111111111111</v>
      </c>
      <c r="N154" s="297">
        <v>0.37847222222222227</v>
      </c>
      <c r="O154" s="19">
        <f>(Table6[[#This Row],[Work Start TimeStamp]]-Table6[[#This Row],[Fault Start TimeStamp]])*24</f>
        <v>0</v>
      </c>
      <c r="P154" s="19">
        <f>(Table6[[#This Row],[Fault Clearance time]]-Table6[[#This Row],[Fault Start TimeStamp]])*24</f>
        <v>0.41666666666666785</v>
      </c>
      <c r="Q154" s="19">
        <f>(Table6[[#This Row],[Fault Clearance time]]-Table6[[#This Row],[Fault Start TimeStamp]])*24</f>
        <v>0.41666666666666785</v>
      </c>
      <c r="R154" s="79" t="s">
        <v>436</v>
      </c>
      <c r="S154" s="79" t="s">
        <v>339</v>
      </c>
      <c r="T154" s="298">
        <f>IFERROR(Table6[[#This Row],[Breakdown Time]]*Table6[[#This Row],[Plant Equivalent Weightage]],"")</f>
        <v>9.4696969696969977E-3</v>
      </c>
      <c r="U154" s="79" t="s">
        <v>416</v>
      </c>
      <c r="W154" s="79">
        <v>91</v>
      </c>
    </row>
    <row r="155" spans="1:23">
      <c r="A155" s="79">
        <f t="shared" si="2"/>
        <v>154</v>
      </c>
      <c r="B155" s="79">
        <f>YEAR(Table6[[#This Row],[Date]])+IF(MONTH(Table6[[#This Row],[Date]])&gt;=4,1,0)</f>
        <v>2026</v>
      </c>
      <c r="C155" s="79">
        <f>YEAR(Table6[[#This Row],[Date]])</f>
        <v>2025</v>
      </c>
      <c r="D155" s="79" t="s">
        <v>344</v>
      </c>
      <c r="E155" s="284">
        <f>Table6[[#This Row],[Date]]-DAY(Table6[[#This Row],[Date]])+1</f>
        <v>45748</v>
      </c>
      <c r="F155" s="285">
        <v>45752</v>
      </c>
      <c r="G155" s="79" t="s">
        <v>82</v>
      </c>
      <c r="H155" s="79" t="str">
        <f>IFERROR(_xlfn.XLOOKUP(Table6[[#This Row],[Affected Feeder ]],'Basic Data'!$A:$A,'Basic Data'!$B:$B),"")</f>
        <v>PWEPL</v>
      </c>
      <c r="I155" s="79" t="str">
        <f>IFERROR(_xlfn.XLOOKUP(Table6[[#This Row],[Affected Feeder ]],'Basic Data'!$A:$A,'Basic Data'!$C:$C),"")</f>
        <v>MSEDCL</v>
      </c>
      <c r="J155" s="295">
        <f>IFERROR(_xlfn.XLOOKUP(Table6[[#This Row],[Affected Feeder ]],'Basic Data'!$A:$A,'Basic Data'!$E:$E),"")</f>
        <v>2.2727272727272728E-2</v>
      </c>
      <c r="K155" s="296" t="s">
        <v>171</v>
      </c>
      <c r="L155" s="297">
        <v>0.37847222222222227</v>
      </c>
      <c r="M155" s="297">
        <v>0.37847222222222227</v>
      </c>
      <c r="N155" s="297">
        <v>0.3923611111111111</v>
      </c>
      <c r="O155" s="19">
        <f>(Table6[[#This Row],[Work Start TimeStamp]]-Table6[[#This Row],[Fault Start TimeStamp]])*24</f>
        <v>0</v>
      </c>
      <c r="P155" s="19">
        <f>(Table6[[#This Row],[Fault Clearance time]]-Table6[[#This Row],[Fault Start TimeStamp]])*24</f>
        <v>0.33333333333333215</v>
      </c>
      <c r="Q155" s="19">
        <f>(Table6[[#This Row],[Fault Clearance time]]-Table6[[#This Row],[Fault Start TimeStamp]])*24</f>
        <v>0.33333333333333215</v>
      </c>
      <c r="R155" s="79" t="s">
        <v>353</v>
      </c>
      <c r="S155" s="79" t="s">
        <v>339</v>
      </c>
      <c r="T155" s="298">
        <f>IFERROR(Table6[[#This Row],[Breakdown Time]]*Table6[[#This Row],[Plant Equivalent Weightage]],"")</f>
        <v>7.5757575757575491E-3</v>
      </c>
      <c r="U155" s="79" t="s">
        <v>416</v>
      </c>
      <c r="W155" s="79">
        <v>40</v>
      </c>
    </row>
    <row r="156" spans="1:23">
      <c r="A156" s="79">
        <f t="shared" si="2"/>
        <v>155</v>
      </c>
      <c r="B156" s="79">
        <f>YEAR(Table6[[#This Row],[Date]])+IF(MONTH(Table6[[#This Row],[Date]])&gt;=4,1,0)</f>
        <v>2026</v>
      </c>
      <c r="C156" s="79">
        <f>YEAR(Table6[[#This Row],[Date]])</f>
        <v>2025</v>
      </c>
      <c r="D156" s="79" t="s">
        <v>344</v>
      </c>
      <c r="E156" s="284">
        <f>Table6[[#This Row],[Date]]-DAY(Table6[[#This Row],[Date]])+1</f>
        <v>45748</v>
      </c>
      <c r="F156" s="285">
        <v>45752</v>
      </c>
      <c r="G156" s="79" t="s">
        <v>93</v>
      </c>
      <c r="H156" s="79" t="str">
        <f>IFERROR(_xlfn.XLOOKUP(Table6[[#This Row],[Affected Feeder ]],'Basic Data'!$A:$A,'Basic Data'!$B:$B),"")</f>
        <v>PWEPL</v>
      </c>
      <c r="I156" s="79" t="str">
        <f>IFERROR(_xlfn.XLOOKUP(Table6[[#This Row],[Affected Feeder ]],'Basic Data'!$A:$A,'Basic Data'!$C:$C),"")</f>
        <v>MSEDCL</v>
      </c>
      <c r="J156" s="295">
        <f>IFERROR(_xlfn.XLOOKUP(Table6[[#This Row],[Affected Feeder ]],'Basic Data'!$A:$A,'Basic Data'!$E:$E),"")</f>
        <v>2.2727272727272728E-2</v>
      </c>
      <c r="K156" s="296" t="s">
        <v>414</v>
      </c>
      <c r="L156" s="297">
        <v>0.3611111111111111</v>
      </c>
      <c r="M156" s="297">
        <v>0.3611111111111111</v>
      </c>
      <c r="N156" s="297">
        <v>0.37847222222222227</v>
      </c>
      <c r="O156" s="19">
        <f>(Table6[[#This Row],[Work Start TimeStamp]]-Table6[[#This Row],[Fault Start TimeStamp]])*24</f>
        <v>0</v>
      </c>
      <c r="P156" s="19">
        <f>(Table6[[#This Row],[Fault Clearance time]]-Table6[[#This Row],[Fault Start TimeStamp]])*24</f>
        <v>0.41666666666666785</v>
      </c>
      <c r="Q156" s="19">
        <f>(Table6[[#This Row],[Fault Clearance time]]-Table6[[#This Row],[Fault Start TimeStamp]])*24</f>
        <v>0.41666666666666785</v>
      </c>
      <c r="R156" s="79" t="s">
        <v>436</v>
      </c>
      <c r="S156" s="79" t="s">
        <v>339</v>
      </c>
      <c r="T156" s="298">
        <f>IFERROR(Table6[[#This Row],[Breakdown Time]]*Table6[[#This Row],[Plant Equivalent Weightage]],"")</f>
        <v>9.4696969696969977E-3</v>
      </c>
      <c r="U156" s="79" t="s">
        <v>416</v>
      </c>
      <c r="W156" s="79">
        <v>91</v>
      </c>
    </row>
    <row r="157" spans="1:23">
      <c r="A157" s="79">
        <f t="shared" si="2"/>
        <v>156</v>
      </c>
      <c r="B157" s="79">
        <f>YEAR(Table6[[#This Row],[Date]])+IF(MONTH(Table6[[#This Row],[Date]])&gt;=4,1,0)</f>
        <v>2026</v>
      </c>
      <c r="C157" s="79">
        <f>YEAR(Table6[[#This Row],[Date]])</f>
        <v>2025</v>
      </c>
      <c r="D157" s="79" t="s">
        <v>344</v>
      </c>
      <c r="E157" s="284">
        <f>Table6[[#This Row],[Date]]-DAY(Table6[[#This Row],[Date]])+1</f>
        <v>45748</v>
      </c>
      <c r="F157" s="285">
        <v>45752</v>
      </c>
      <c r="G157" s="79" t="s">
        <v>93</v>
      </c>
      <c r="H157" s="79" t="str">
        <f>IFERROR(_xlfn.XLOOKUP(Table6[[#This Row],[Affected Feeder ]],'Basic Data'!$A:$A,'Basic Data'!$B:$B),"")</f>
        <v>PWEPL</v>
      </c>
      <c r="I157" s="79" t="str">
        <f>IFERROR(_xlfn.XLOOKUP(Table6[[#This Row],[Affected Feeder ]],'Basic Data'!$A:$A,'Basic Data'!$C:$C),"")</f>
        <v>MSEDCL</v>
      </c>
      <c r="J157" s="295">
        <f>IFERROR(_xlfn.XLOOKUP(Table6[[#This Row],[Affected Feeder ]],'Basic Data'!$A:$A,'Basic Data'!$E:$E),"")</f>
        <v>2.2727272727272728E-2</v>
      </c>
      <c r="K157" s="296" t="s">
        <v>171</v>
      </c>
      <c r="L157" s="297">
        <v>0.37847222222222227</v>
      </c>
      <c r="M157" s="297">
        <v>0.37847222222222227</v>
      </c>
      <c r="N157" s="297">
        <v>0.3923611111111111</v>
      </c>
      <c r="O157" s="19">
        <f>(Table6[[#This Row],[Work Start TimeStamp]]-Table6[[#This Row],[Fault Start TimeStamp]])*24</f>
        <v>0</v>
      </c>
      <c r="P157" s="19">
        <f>(Table6[[#This Row],[Fault Clearance time]]-Table6[[#This Row],[Fault Start TimeStamp]])*24</f>
        <v>0.33333333333333215</v>
      </c>
      <c r="Q157" s="19">
        <f>(Table6[[#This Row],[Fault Clearance time]]-Table6[[#This Row],[Fault Start TimeStamp]])*24</f>
        <v>0.33333333333333215</v>
      </c>
      <c r="R157" s="79" t="s">
        <v>353</v>
      </c>
      <c r="S157" s="79" t="s">
        <v>339</v>
      </c>
      <c r="T157" s="298">
        <f>IFERROR(Table6[[#This Row],[Breakdown Time]]*Table6[[#This Row],[Plant Equivalent Weightage]],"")</f>
        <v>7.5757575757575491E-3</v>
      </c>
      <c r="U157" s="79" t="s">
        <v>416</v>
      </c>
      <c r="W157" s="79">
        <v>40</v>
      </c>
    </row>
    <row r="158" spans="1:23">
      <c r="A158" s="79">
        <f t="shared" si="2"/>
        <v>157</v>
      </c>
      <c r="B158" s="79">
        <f>YEAR(Table6[[#This Row],[Date]])+IF(MONTH(Table6[[#This Row],[Date]])&gt;=4,1,0)</f>
        <v>2026</v>
      </c>
      <c r="C158" s="79">
        <f>YEAR(Table6[[#This Row],[Date]])</f>
        <v>2025</v>
      </c>
      <c r="D158" s="79" t="s">
        <v>344</v>
      </c>
      <c r="E158" s="284">
        <f>Table6[[#This Row],[Date]]-DAY(Table6[[#This Row],[Date]])+1</f>
        <v>45748</v>
      </c>
      <c r="F158" s="285">
        <v>45752</v>
      </c>
      <c r="G158" s="79" t="s">
        <v>102</v>
      </c>
      <c r="H158" s="79" t="str">
        <f>IFERROR(_xlfn.XLOOKUP(Table6[[#This Row],[Affected Feeder ]],'Basic Data'!$A:$A,'Basic Data'!$B:$B),"")</f>
        <v>PWEPL</v>
      </c>
      <c r="I158" s="79" t="str">
        <f>IFERROR(_xlfn.XLOOKUP(Table6[[#This Row],[Affected Feeder ]],'Basic Data'!$A:$A,'Basic Data'!$C:$C),"")</f>
        <v>MSEDCL</v>
      </c>
      <c r="J158" s="295">
        <f>IFERROR(_xlfn.XLOOKUP(Table6[[#This Row],[Affected Feeder ]],'Basic Data'!$A:$A,'Basic Data'!$E:$E),"")</f>
        <v>2.2727272727272728E-2</v>
      </c>
      <c r="K158" s="296" t="s">
        <v>414</v>
      </c>
      <c r="L158" s="297">
        <v>0.3611111111111111</v>
      </c>
      <c r="M158" s="297">
        <v>0.3611111111111111</v>
      </c>
      <c r="N158" s="297">
        <v>0.37847222222222227</v>
      </c>
      <c r="O158" s="19">
        <f>(Table6[[#This Row],[Work Start TimeStamp]]-Table6[[#This Row],[Fault Start TimeStamp]])*24</f>
        <v>0</v>
      </c>
      <c r="P158" s="19">
        <f>(Table6[[#This Row],[Fault Clearance time]]-Table6[[#This Row],[Fault Start TimeStamp]])*24</f>
        <v>0.41666666666666785</v>
      </c>
      <c r="Q158" s="19">
        <f>(Table6[[#This Row],[Fault Clearance time]]-Table6[[#This Row],[Fault Start TimeStamp]])*24</f>
        <v>0.41666666666666785</v>
      </c>
      <c r="R158" s="79" t="s">
        <v>436</v>
      </c>
      <c r="S158" s="79" t="s">
        <v>339</v>
      </c>
      <c r="T158" s="298">
        <f>IFERROR(Table6[[#This Row],[Breakdown Time]]*Table6[[#This Row],[Plant Equivalent Weightage]],"")</f>
        <v>9.4696969696969977E-3</v>
      </c>
      <c r="U158" s="79" t="s">
        <v>416</v>
      </c>
      <c r="W158" s="79">
        <v>91</v>
      </c>
    </row>
    <row r="159" spans="1:23">
      <c r="A159" s="79">
        <f t="shared" si="2"/>
        <v>158</v>
      </c>
      <c r="B159" s="79">
        <f>YEAR(Table6[[#This Row],[Date]])+IF(MONTH(Table6[[#This Row],[Date]])&gt;=4,1,0)</f>
        <v>2026</v>
      </c>
      <c r="C159" s="79">
        <f>YEAR(Table6[[#This Row],[Date]])</f>
        <v>2025</v>
      </c>
      <c r="D159" s="79" t="s">
        <v>344</v>
      </c>
      <c r="E159" s="284">
        <f>Table6[[#This Row],[Date]]-DAY(Table6[[#This Row],[Date]])+1</f>
        <v>45748</v>
      </c>
      <c r="F159" s="285">
        <v>45752</v>
      </c>
      <c r="G159" s="79" t="s">
        <v>102</v>
      </c>
      <c r="H159" s="79" t="str">
        <f>IFERROR(_xlfn.XLOOKUP(Table6[[#This Row],[Affected Feeder ]],'Basic Data'!$A:$A,'Basic Data'!$B:$B),"")</f>
        <v>PWEPL</v>
      </c>
      <c r="I159" s="79" t="str">
        <f>IFERROR(_xlfn.XLOOKUP(Table6[[#This Row],[Affected Feeder ]],'Basic Data'!$A:$A,'Basic Data'!$C:$C),"")</f>
        <v>MSEDCL</v>
      </c>
      <c r="J159" s="295">
        <f>IFERROR(_xlfn.XLOOKUP(Table6[[#This Row],[Affected Feeder ]],'Basic Data'!$A:$A,'Basic Data'!$E:$E),"")</f>
        <v>2.2727272727272728E-2</v>
      </c>
      <c r="K159" s="296" t="s">
        <v>171</v>
      </c>
      <c r="L159" s="297">
        <v>0.37847222222222227</v>
      </c>
      <c r="M159" s="297">
        <v>0.37847222222222227</v>
      </c>
      <c r="N159" s="297">
        <v>0.3923611111111111</v>
      </c>
      <c r="O159" s="19">
        <f>(Table6[[#This Row],[Work Start TimeStamp]]-Table6[[#This Row],[Fault Start TimeStamp]])*24</f>
        <v>0</v>
      </c>
      <c r="P159" s="19">
        <f>(Table6[[#This Row],[Fault Clearance time]]-Table6[[#This Row],[Fault Start TimeStamp]])*24</f>
        <v>0.33333333333333215</v>
      </c>
      <c r="Q159" s="19">
        <f>(Table6[[#This Row],[Fault Clearance time]]-Table6[[#This Row],[Fault Start TimeStamp]])*24</f>
        <v>0.33333333333333215</v>
      </c>
      <c r="R159" s="79" t="s">
        <v>353</v>
      </c>
      <c r="S159" s="79" t="s">
        <v>339</v>
      </c>
      <c r="T159" s="298">
        <f>IFERROR(Table6[[#This Row],[Breakdown Time]]*Table6[[#This Row],[Plant Equivalent Weightage]],"")</f>
        <v>7.5757575757575491E-3</v>
      </c>
      <c r="U159" s="79" t="s">
        <v>416</v>
      </c>
      <c r="W159" s="79">
        <v>40</v>
      </c>
    </row>
    <row r="160" spans="1:23">
      <c r="A160" s="79">
        <f t="shared" si="2"/>
        <v>159</v>
      </c>
      <c r="B160" s="79">
        <f>YEAR(Table6[[#This Row],[Date]])+IF(MONTH(Table6[[#This Row],[Date]])&gt;=4,1,0)</f>
        <v>2026</v>
      </c>
      <c r="C160" s="79">
        <f>YEAR(Table6[[#This Row],[Date]])</f>
        <v>2025</v>
      </c>
      <c r="D160" s="79" t="s">
        <v>344</v>
      </c>
      <c r="E160" s="284">
        <f>Table6[[#This Row],[Date]]-DAY(Table6[[#This Row],[Date]])+1</f>
        <v>45748</v>
      </c>
      <c r="F160" s="285">
        <v>45752</v>
      </c>
      <c r="G160" s="79" t="s">
        <v>119</v>
      </c>
      <c r="H160" s="79" t="str">
        <f>IFERROR(_xlfn.XLOOKUP(Table6[[#This Row],[Affected Feeder ]],'Basic Data'!$A:$A,'Basic Data'!$B:$B),"")</f>
        <v>PWEPL</v>
      </c>
      <c r="I160" s="79" t="str">
        <f>IFERROR(_xlfn.XLOOKUP(Table6[[#This Row],[Affected Feeder ]],'Basic Data'!$A:$A,'Basic Data'!$C:$C),"")</f>
        <v>MSEDCL</v>
      </c>
      <c r="J160" s="295">
        <f>IFERROR(_xlfn.XLOOKUP(Table6[[#This Row],[Affected Feeder ]],'Basic Data'!$A:$A,'Basic Data'!$E:$E),"")</f>
        <v>2.2727272727272728E-2</v>
      </c>
      <c r="K160" s="296" t="s">
        <v>414</v>
      </c>
      <c r="L160" s="297">
        <v>0.3611111111111111</v>
      </c>
      <c r="M160" s="297">
        <v>0.3611111111111111</v>
      </c>
      <c r="N160" s="297">
        <v>0.37847222222222227</v>
      </c>
      <c r="O160" s="19">
        <f>(Table6[[#This Row],[Work Start TimeStamp]]-Table6[[#This Row],[Fault Start TimeStamp]])*24</f>
        <v>0</v>
      </c>
      <c r="P160" s="19">
        <f>(Table6[[#This Row],[Fault Clearance time]]-Table6[[#This Row],[Fault Start TimeStamp]])*24</f>
        <v>0.41666666666666785</v>
      </c>
      <c r="Q160" s="19">
        <f>(Table6[[#This Row],[Fault Clearance time]]-Table6[[#This Row],[Fault Start TimeStamp]])*24</f>
        <v>0.41666666666666785</v>
      </c>
      <c r="R160" s="79" t="s">
        <v>436</v>
      </c>
      <c r="S160" s="79" t="s">
        <v>339</v>
      </c>
      <c r="T160" s="298">
        <f>IFERROR(Table6[[#This Row],[Breakdown Time]]*Table6[[#This Row],[Plant Equivalent Weightage]],"")</f>
        <v>9.4696969696969977E-3</v>
      </c>
      <c r="U160" s="79" t="s">
        <v>416</v>
      </c>
      <c r="W160" s="79">
        <v>91</v>
      </c>
    </row>
    <row r="161" spans="1:23">
      <c r="A161" s="79">
        <f t="shared" si="2"/>
        <v>160</v>
      </c>
      <c r="B161" s="79">
        <f>YEAR(Table6[[#This Row],[Date]])+IF(MONTH(Table6[[#This Row],[Date]])&gt;=4,1,0)</f>
        <v>2026</v>
      </c>
      <c r="C161" s="79">
        <f>YEAR(Table6[[#This Row],[Date]])</f>
        <v>2025</v>
      </c>
      <c r="D161" s="79" t="s">
        <v>344</v>
      </c>
      <c r="E161" s="284">
        <f>Table6[[#This Row],[Date]]-DAY(Table6[[#This Row],[Date]])+1</f>
        <v>45748</v>
      </c>
      <c r="F161" s="285">
        <v>45752</v>
      </c>
      <c r="G161" s="79" t="s">
        <v>119</v>
      </c>
      <c r="H161" s="79" t="str">
        <f>IFERROR(_xlfn.XLOOKUP(Table6[[#This Row],[Affected Feeder ]],'Basic Data'!$A:$A,'Basic Data'!$B:$B),"")</f>
        <v>PWEPL</v>
      </c>
      <c r="I161" s="79" t="str">
        <f>IFERROR(_xlfn.XLOOKUP(Table6[[#This Row],[Affected Feeder ]],'Basic Data'!$A:$A,'Basic Data'!$C:$C),"")</f>
        <v>MSEDCL</v>
      </c>
      <c r="J161" s="295">
        <f>IFERROR(_xlfn.XLOOKUP(Table6[[#This Row],[Affected Feeder ]],'Basic Data'!$A:$A,'Basic Data'!$E:$E),"")</f>
        <v>2.2727272727272728E-2</v>
      </c>
      <c r="K161" s="296" t="s">
        <v>171</v>
      </c>
      <c r="L161" s="297">
        <v>0.37847222222222227</v>
      </c>
      <c r="M161" s="297">
        <v>0.37847222222222227</v>
      </c>
      <c r="N161" s="297">
        <v>0.3923611111111111</v>
      </c>
      <c r="O161" s="19">
        <f>(Table6[[#This Row],[Work Start TimeStamp]]-Table6[[#This Row],[Fault Start TimeStamp]])*24</f>
        <v>0</v>
      </c>
      <c r="P161" s="19">
        <f>(Table6[[#This Row],[Fault Clearance time]]-Table6[[#This Row],[Fault Start TimeStamp]])*24</f>
        <v>0.33333333333333215</v>
      </c>
      <c r="Q161" s="19">
        <f>(Table6[[#This Row],[Fault Clearance time]]-Table6[[#This Row],[Fault Start TimeStamp]])*24</f>
        <v>0.33333333333333215</v>
      </c>
      <c r="R161" s="79" t="s">
        <v>353</v>
      </c>
      <c r="S161" s="79" t="s">
        <v>339</v>
      </c>
      <c r="T161" s="298">
        <f>IFERROR(Table6[[#This Row],[Breakdown Time]]*Table6[[#This Row],[Plant Equivalent Weightage]],"")</f>
        <v>7.5757575757575491E-3</v>
      </c>
      <c r="U161" s="79" t="s">
        <v>416</v>
      </c>
      <c r="W161" s="79">
        <v>40</v>
      </c>
    </row>
    <row r="162" spans="1:23">
      <c r="A162" s="79">
        <f t="shared" si="2"/>
        <v>161</v>
      </c>
      <c r="B162" s="79">
        <f>YEAR(Table6[[#This Row],[Date]])+IF(MONTH(Table6[[#This Row],[Date]])&gt;=4,1,0)</f>
        <v>2026</v>
      </c>
      <c r="C162" s="79">
        <f>YEAR(Table6[[#This Row],[Date]])</f>
        <v>2025</v>
      </c>
      <c r="D162" s="79" t="s">
        <v>344</v>
      </c>
      <c r="E162" s="284">
        <f>Table6[[#This Row],[Date]]-DAY(Table6[[#This Row],[Date]])+1</f>
        <v>45748</v>
      </c>
      <c r="F162" s="285">
        <v>45752</v>
      </c>
      <c r="G162" s="79" t="s">
        <v>77</v>
      </c>
      <c r="H162" s="79" t="str">
        <f>IFERROR(_xlfn.XLOOKUP(Table6[[#This Row],[Affected Feeder ]],'Basic Data'!$A:$A,'Basic Data'!$B:$B),"")</f>
        <v>PWEPL</v>
      </c>
      <c r="I162" s="79" t="str">
        <f>IFERROR(_xlfn.XLOOKUP(Table6[[#This Row],[Affected Feeder ]],'Basic Data'!$A:$A,'Basic Data'!$C:$C),"")</f>
        <v>MSEDCL</v>
      </c>
      <c r="J162" s="295">
        <f>IFERROR(_xlfn.XLOOKUP(Table6[[#This Row],[Affected Feeder ]],'Basic Data'!$A:$A,'Basic Data'!$E:$E),"")</f>
        <v>2.2727272727272728E-2</v>
      </c>
      <c r="K162" s="296" t="s">
        <v>414</v>
      </c>
      <c r="L162" s="297">
        <v>0.78472222222222221</v>
      </c>
      <c r="M162" s="297">
        <v>0.78472222222222221</v>
      </c>
      <c r="N162" s="297">
        <v>0.81597222222222221</v>
      </c>
      <c r="O162" s="19">
        <f>(Table6[[#This Row],[Work Start TimeStamp]]-Table6[[#This Row],[Fault Start TimeStamp]])*24</f>
        <v>0</v>
      </c>
      <c r="P162" s="19">
        <f>(Table6[[#This Row],[Fault Clearance time]]-Table6[[#This Row],[Fault Start TimeStamp]])*24</f>
        <v>0.75</v>
      </c>
      <c r="Q162" s="19">
        <f>(Table6[[#This Row],[Fault Clearance time]]-Table6[[#This Row],[Fault Start TimeStamp]])*24</f>
        <v>0.75</v>
      </c>
      <c r="R162" s="79" t="s">
        <v>437</v>
      </c>
      <c r="S162" s="79" t="s">
        <v>339</v>
      </c>
      <c r="T162" s="298">
        <f>IFERROR(Table6[[#This Row],[Breakdown Time]]*Table6[[#This Row],[Plant Equivalent Weightage]],"")</f>
        <v>1.7045454545454544E-2</v>
      </c>
      <c r="U162" s="79" t="s">
        <v>416</v>
      </c>
      <c r="W162" s="79">
        <v>50</v>
      </c>
    </row>
    <row r="163" spans="1:23">
      <c r="A163" s="79">
        <f t="shared" si="2"/>
        <v>162</v>
      </c>
      <c r="B163" s="79">
        <f>YEAR(Table6[[#This Row],[Date]])+IF(MONTH(Table6[[#This Row],[Date]])&gt;=4,1,0)</f>
        <v>2026</v>
      </c>
      <c r="C163" s="79">
        <f>YEAR(Table6[[#This Row],[Date]])</f>
        <v>2025</v>
      </c>
      <c r="D163" s="79" t="s">
        <v>344</v>
      </c>
      <c r="E163" s="284">
        <f>Table6[[#This Row],[Date]]-DAY(Table6[[#This Row],[Date]])+1</f>
        <v>45748</v>
      </c>
      <c r="F163" s="285">
        <v>45752</v>
      </c>
      <c r="G163" s="79" t="s">
        <v>77</v>
      </c>
      <c r="H163" s="79" t="str">
        <f>IFERROR(_xlfn.XLOOKUP(Table6[[#This Row],[Affected Feeder ]],'Basic Data'!$A:$A,'Basic Data'!$B:$B),"")</f>
        <v>PWEPL</v>
      </c>
      <c r="I163" s="79" t="str">
        <f>IFERROR(_xlfn.XLOOKUP(Table6[[#This Row],[Affected Feeder ]],'Basic Data'!$A:$A,'Basic Data'!$C:$C),"")</f>
        <v>MSEDCL</v>
      </c>
      <c r="J163" s="295">
        <f>IFERROR(_xlfn.XLOOKUP(Table6[[#This Row],[Affected Feeder ]],'Basic Data'!$A:$A,'Basic Data'!$E:$E),"")</f>
        <v>2.2727272727272728E-2</v>
      </c>
      <c r="K163" s="296" t="s">
        <v>171</v>
      </c>
      <c r="L163" s="297">
        <v>0.81597222222222221</v>
      </c>
      <c r="M163" s="297">
        <v>0.81597222222222221</v>
      </c>
      <c r="N163" s="297">
        <v>0.82986111111111116</v>
      </c>
      <c r="O163" s="19">
        <f>(Table6[[#This Row],[Work Start TimeStamp]]-Table6[[#This Row],[Fault Start TimeStamp]])*24</f>
        <v>0</v>
      </c>
      <c r="P163" s="19">
        <f>(Table6[[#This Row],[Fault Clearance time]]-Table6[[#This Row],[Fault Start TimeStamp]])*24</f>
        <v>0.33333333333333481</v>
      </c>
      <c r="Q163" s="19">
        <f>(Table6[[#This Row],[Fault Clearance time]]-Table6[[#This Row],[Fault Start TimeStamp]])*24</f>
        <v>0.33333333333333481</v>
      </c>
      <c r="R163" s="79" t="s">
        <v>353</v>
      </c>
      <c r="S163" s="79" t="s">
        <v>339</v>
      </c>
      <c r="T163" s="298">
        <f>IFERROR(Table6[[#This Row],[Breakdown Time]]*Table6[[#This Row],[Plant Equivalent Weightage]],"")</f>
        <v>7.5757575757576098E-3</v>
      </c>
      <c r="U163" s="79" t="s">
        <v>416</v>
      </c>
      <c r="W163" s="79">
        <v>40</v>
      </c>
    </row>
    <row r="164" spans="1:23">
      <c r="A164" s="79">
        <f t="shared" si="2"/>
        <v>163</v>
      </c>
      <c r="B164" s="79">
        <f>YEAR(Table6[[#This Row],[Date]])+IF(MONTH(Table6[[#This Row],[Date]])&gt;=4,1,0)</f>
        <v>2026</v>
      </c>
      <c r="C164" s="79">
        <f>YEAR(Table6[[#This Row],[Date]])</f>
        <v>2025</v>
      </c>
      <c r="D164" s="79" t="s">
        <v>344</v>
      </c>
      <c r="E164" s="284">
        <f>Table6[[#This Row],[Date]]-DAY(Table6[[#This Row],[Date]])+1</f>
        <v>45748</v>
      </c>
      <c r="F164" s="285">
        <v>45752</v>
      </c>
      <c r="G164" s="79" t="s">
        <v>78</v>
      </c>
      <c r="H164" s="79" t="str">
        <f>IFERROR(_xlfn.XLOOKUP(Table6[[#This Row],[Affected Feeder ]],'Basic Data'!$A:$A,'Basic Data'!$B:$B),"")</f>
        <v>PWEPL</v>
      </c>
      <c r="I164" s="79" t="str">
        <f>IFERROR(_xlfn.XLOOKUP(Table6[[#This Row],[Affected Feeder ]],'Basic Data'!$A:$A,'Basic Data'!$C:$C),"")</f>
        <v>MSEDCL</v>
      </c>
      <c r="J164" s="295">
        <f>IFERROR(_xlfn.XLOOKUP(Table6[[#This Row],[Affected Feeder ]],'Basic Data'!$A:$A,'Basic Data'!$E:$E),"")</f>
        <v>2.2727272727272728E-2</v>
      </c>
      <c r="K164" s="296" t="s">
        <v>414</v>
      </c>
      <c r="L164" s="297">
        <v>0.78472222222222221</v>
      </c>
      <c r="M164" s="297">
        <v>0.78472222222222221</v>
      </c>
      <c r="N164" s="297">
        <v>0.81597222222222221</v>
      </c>
      <c r="O164" s="19">
        <f>(Table6[[#This Row],[Work Start TimeStamp]]-Table6[[#This Row],[Fault Start TimeStamp]])*24</f>
        <v>0</v>
      </c>
      <c r="P164" s="19">
        <f>(Table6[[#This Row],[Fault Clearance time]]-Table6[[#This Row],[Fault Start TimeStamp]])*24</f>
        <v>0.75</v>
      </c>
      <c r="Q164" s="19">
        <f>(Table6[[#This Row],[Fault Clearance time]]-Table6[[#This Row],[Fault Start TimeStamp]])*24</f>
        <v>0.75</v>
      </c>
      <c r="R164" s="79" t="s">
        <v>437</v>
      </c>
      <c r="S164" s="79" t="s">
        <v>339</v>
      </c>
      <c r="T164" s="298">
        <f>IFERROR(Table6[[#This Row],[Breakdown Time]]*Table6[[#This Row],[Plant Equivalent Weightage]],"")</f>
        <v>1.7045454545454544E-2</v>
      </c>
      <c r="U164" s="79" t="s">
        <v>416</v>
      </c>
      <c r="W164" s="79">
        <v>50</v>
      </c>
    </row>
    <row r="165" spans="1:23">
      <c r="A165" s="79">
        <f t="shared" si="2"/>
        <v>164</v>
      </c>
      <c r="B165" s="79">
        <f>YEAR(Table6[[#This Row],[Date]])+IF(MONTH(Table6[[#This Row],[Date]])&gt;=4,1,0)</f>
        <v>2026</v>
      </c>
      <c r="C165" s="79">
        <f>YEAR(Table6[[#This Row],[Date]])</f>
        <v>2025</v>
      </c>
      <c r="D165" s="79" t="s">
        <v>344</v>
      </c>
      <c r="E165" s="284">
        <f>Table6[[#This Row],[Date]]-DAY(Table6[[#This Row],[Date]])+1</f>
        <v>45748</v>
      </c>
      <c r="F165" s="285">
        <v>45752</v>
      </c>
      <c r="G165" s="79" t="s">
        <v>78</v>
      </c>
      <c r="H165" s="79" t="str">
        <f>IFERROR(_xlfn.XLOOKUP(Table6[[#This Row],[Affected Feeder ]],'Basic Data'!$A:$A,'Basic Data'!$B:$B),"")</f>
        <v>PWEPL</v>
      </c>
      <c r="I165" s="79" t="str">
        <f>IFERROR(_xlfn.XLOOKUP(Table6[[#This Row],[Affected Feeder ]],'Basic Data'!$A:$A,'Basic Data'!$C:$C),"")</f>
        <v>MSEDCL</v>
      </c>
      <c r="J165" s="295">
        <f>IFERROR(_xlfn.XLOOKUP(Table6[[#This Row],[Affected Feeder ]],'Basic Data'!$A:$A,'Basic Data'!$E:$E),"")</f>
        <v>2.2727272727272728E-2</v>
      </c>
      <c r="K165" s="296" t="s">
        <v>171</v>
      </c>
      <c r="L165" s="297">
        <v>0.81597222222222221</v>
      </c>
      <c r="M165" s="297">
        <v>0.81597222222222221</v>
      </c>
      <c r="N165" s="297">
        <v>0.82986111111111116</v>
      </c>
      <c r="O165" s="19">
        <f>(Table6[[#This Row],[Work Start TimeStamp]]-Table6[[#This Row],[Fault Start TimeStamp]])*24</f>
        <v>0</v>
      </c>
      <c r="P165" s="19">
        <f>(Table6[[#This Row],[Fault Clearance time]]-Table6[[#This Row],[Fault Start TimeStamp]])*24</f>
        <v>0.33333333333333481</v>
      </c>
      <c r="Q165" s="19">
        <f>(Table6[[#This Row],[Fault Clearance time]]-Table6[[#This Row],[Fault Start TimeStamp]])*24</f>
        <v>0.33333333333333481</v>
      </c>
      <c r="R165" s="79" t="s">
        <v>353</v>
      </c>
      <c r="S165" s="79" t="s">
        <v>339</v>
      </c>
      <c r="T165" s="298">
        <f>IFERROR(Table6[[#This Row],[Breakdown Time]]*Table6[[#This Row],[Plant Equivalent Weightage]],"")</f>
        <v>7.5757575757576098E-3</v>
      </c>
      <c r="U165" s="79" t="s">
        <v>416</v>
      </c>
      <c r="W165" s="79">
        <v>40</v>
      </c>
    </row>
    <row r="166" spans="1:23">
      <c r="A166" s="79">
        <f t="shared" si="2"/>
        <v>165</v>
      </c>
      <c r="B166" s="79">
        <f>YEAR(Table6[[#This Row],[Date]])+IF(MONTH(Table6[[#This Row],[Date]])&gt;=4,1,0)</f>
        <v>2026</v>
      </c>
      <c r="C166" s="79">
        <f>YEAR(Table6[[#This Row],[Date]])</f>
        <v>2025</v>
      </c>
      <c r="D166" s="79" t="s">
        <v>344</v>
      </c>
      <c r="E166" s="284">
        <f>Table6[[#This Row],[Date]]-DAY(Table6[[#This Row],[Date]])+1</f>
        <v>45748</v>
      </c>
      <c r="F166" s="285">
        <v>45752</v>
      </c>
      <c r="G166" s="79" t="s">
        <v>82</v>
      </c>
      <c r="H166" s="79" t="str">
        <f>IFERROR(_xlfn.XLOOKUP(Table6[[#This Row],[Affected Feeder ]],'Basic Data'!$A:$A,'Basic Data'!$B:$B),"")</f>
        <v>PWEPL</v>
      </c>
      <c r="I166" s="79" t="str">
        <f>IFERROR(_xlfn.XLOOKUP(Table6[[#This Row],[Affected Feeder ]],'Basic Data'!$A:$A,'Basic Data'!$C:$C),"")</f>
        <v>MSEDCL</v>
      </c>
      <c r="J166" s="295">
        <f>IFERROR(_xlfn.XLOOKUP(Table6[[#This Row],[Affected Feeder ]],'Basic Data'!$A:$A,'Basic Data'!$E:$E),"")</f>
        <v>2.2727272727272728E-2</v>
      </c>
      <c r="K166" s="296" t="s">
        <v>414</v>
      </c>
      <c r="L166" s="297">
        <v>0.78472222222222221</v>
      </c>
      <c r="M166" s="297">
        <v>0.78472222222222221</v>
      </c>
      <c r="N166" s="297">
        <v>0.81597222222222221</v>
      </c>
      <c r="O166" s="19">
        <f>(Table6[[#This Row],[Work Start TimeStamp]]-Table6[[#This Row],[Fault Start TimeStamp]])*24</f>
        <v>0</v>
      </c>
      <c r="P166" s="19">
        <f>(Table6[[#This Row],[Fault Clearance time]]-Table6[[#This Row],[Fault Start TimeStamp]])*24</f>
        <v>0.75</v>
      </c>
      <c r="Q166" s="19">
        <f>(Table6[[#This Row],[Fault Clearance time]]-Table6[[#This Row],[Fault Start TimeStamp]])*24</f>
        <v>0.75</v>
      </c>
      <c r="R166" s="79" t="s">
        <v>437</v>
      </c>
      <c r="S166" s="79" t="s">
        <v>339</v>
      </c>
      <c r="T166" s="298">
        <f>IFERROR(Table6[[#This Row],[Breakdown Time]]*Table6[[#This Row],[Plant Equivalent Weightage]],"")</f>
        <v>1.7045454545454544E-2</v>
      </c>
      <c r="U166" s="79" t="s">
        <v>416</v>
      </c>
      <c r="W166" s="79">
        <v>50</v>
      </c>
    </row>
    <row r="167" spans="1:23">
      <c r="A167" s="79">
        <f t="shared" si="2"/>
        <v>166</v>
      </c>
      <c r="B167" s="79">
        <f>YEAR(Table6[[#This Row],[Date]])+IF(MONTH(Table6[[#This Row],[Date]])&gt;=4,1,0)</f>
        <v>2026</v>
      </c>
      <c r="C167" s="79">
        <f>YEAR(Table6[[#This Row],[Date]])</f>
        <v>2025</v>
      </c>
      <c r="D167" s="79" t="s">
        <v>344</v>
      </c>
      <c r="E167" s="284">
        <f>Table6[[#This Row],[Date]]-DAY(Table6[[#This Row],[Date]])+1</f>
        <v>45748</v>
      </c>
      <c r="F167" s="285">
        <v>45752</v>
      </c>
      <c r="G167" s="79" t="s">
        <v>82</v>
      </c>
      <c r="H167" s="79" t="str">
        <f>IFERROR(_xlfn.XLOOKUP(Table6[[#This Row],[Affected Feeder ]],'Basic Data'!$A:$A,'Basic Data'!$B:$B),"")</f>
        <v>PWEPL</v>
      </c>
      <c r="I167" s="79" t="str">
        <f>IFERROR(_xlfn.XLOOKUP(Table6[[#This Row],[Affected Feeder ]],'Basic Data'!$A:$A,'Basic Data'!$C:$C),"")</f>
        <v>MSEDCL</v>
      </c>
      <c r="J167" s="295">
        <f>IFERROR(_xlfn.XLOOKUP(Table6[[#This Row],[Affected Feeder ]],'Basic Data'!$A:$A,'Basic Data'!$E:$E),"")</f>
        <v>2.2727272727272728E-2</v>
      </c>
      <c r="K167" s="296" t="s">
        <v>171</v>
      </c>
      <c r="L167" s="297">
        <v>0.81597222222222221</v>
      </c>
      <c r="M167" s="297">
        <v>0.81597222222222221</v>
      </c>
      <c r="N167" s="297">
        <v>0.82986111111111116</v>
      </c>
      <c r="O167" s="19">
        <f>(Table6[[#This Row],[Work Start TimeStamp]]-Table6[[#This Row],[Fault Start TimeStamp]])*24</f>
        <v>0</v>
      </c>
      <c r="P167" s="19">
        <f>(Table6[[#This Row],[Fault Clearance time]]-Table6[[#This Row],[Fault Start TimeStamp]])*24</f>
        <v>0.33333333333333481</v>
      </c>
      <c r="Q167" s="19">
        <f>(Table6[[#This Row],[Fault Clearance time]]-Table6[[#This Row],[Fault Start TimeStamp]])*24</f>
        <v>0.33333333333333481</v>
      </c>
      <c r="R167" s="79" t="s">
        <v>353</v>
      </c>
      <c r="S167" s="79" t="s">
        <v>339</v>
      </c>
      <c r="T167" s="298">
        <f>IFERROR(Table6[[#This Row],[Breakdown Time]]*Table6[[#This Row],[Plant Equivalent Weightage]],"")</f>
        <v>7.5757575757576098E-3</v>
      </c>
      <c r="U167" s="79" t="s">
        <v>416</v>
      </c>
      <c r="W167" s="79">
        <v>40</v>
      </c>
    </row>
    <row r="168" spans="1:23">
      <c r="A168" s="79">
        <f t="shared" si="2"/>
        <v>167</v>
      </c>
      <c r="B168" s="79">
        <f>YEAR(Table6[[#This Row],[Date]])+IF(MONTH(Table6[[#This Row],[Date]])&gt;=4,1,0)</f>
        <v>2026</v>
      </c>
      <c r="C168" s="79">
        <f>YEAR(Table6[[#This Row],[Date]])</f>
        <v>2025</v>
      </c>
      <c r="D168" s="79" t="s">
        <v>344</v>
      </c>
      <c r="E168" s="284">
        <f>Table6[[#This Row],[Date]]-DAY(Table6[[#This Row],[Date]])+1</f>
        <v>45748</v>
      </c>
      <c r="F168" s="285">
        <v>45752</v>
      </c>
      <c r="G168" s="79" t="s">
        <v>93</v>
      </c>
      <c r="H168" s="79" t="str">
        <f>IFERROR(_xlfn.XLOOKUP(Table6[[#This Row],[Affected Feeder ]],'Basic Data'!$A:$A,'Basic Data'!$B:$B),"")</f>
        <v>PWEPL</v>
      </c>
      <c r="I168" s="79" t="str">
        <f>IFERROR(_xlfn.XLOOKUP(Table6[[#This Row],[Affected Feeder ]],'Basic Data'!$A:$A,'Basic Data'!$C:$C),"")</f>
        <v>MSEDCL</v>
      </c>
      <c r="J168" s="295">
        <f>IFERROR(_xlfn.XLOOKUP(Table6[[#This Row],[Affected Feeder ]],'Basic Data'!$A:$A,'Basic Data'!$E:$E),"")</f>
        <v>2.2727272727272728E-2</v>
      </c>
      <c r="K168" s="296" t="s">
        <v>414</v>
      </c>
      <c r="L168" s="297">
        <v>0.78472222222222221</v>
      </c>
      <c r="M168" s="297">
        <v>0.78472222222222221</v>
      </c>
      <c r="N168" s="297">
        <v>0.81597222222222221</v>
      </c>
      <c r="O168" s="19">
        <f>(Table6[[#This Row],[Work Start TimeStamp]]-Table6[[#This Row],[Fault Start TimeStamp]])*24</f>
        <v>0</v>
      </c>
      <c r="P168" s="19">
        <f>(Table6[[#This Row],[Fault Clearance time]]-Table6[[#This Row],[Fault Start TimeStamp]])*24</f>
        <v>0.75</v>
      </c>
      <c r="Q168" s="19">
        <f>(Table6[[#This Row],[Fault Clearance time]]-Table6[[#This Row],[Fault Start TimeStamp]])*24</f>
        <v>0.75</v>
      </c>
      <c r="R168" s="79" t="s">
        <v>437</v>
      </c>
      <c r="S168" s="79" t="s">
        <v>339</v>
      </c>
      <c r="T168" s="298">
        <f>IFERROR(Table6[[#This Row],[Breakdown Time]]*Table6[[#This Row],[Plant Equivalent Weightage]],"")</f>
        <v>1.7045454545454544E-2</v>
      </c>
      <c r="U168" s="79" t="s">
        <v>416</v>
      </c>
      <c r="W168" s="79">
        <v>50</v>
      </c>
    </row>
    <row r="169" spans="1:23">
      <c r="A169" s="79">
        <f t="shared" si="2"/>
        <v>168</v>
      </c>
      <c r="B169" s="79">
        <f>YEAR(Table6[[#This Row],[Date]])+IF(MONTH(Table6[[#This Row],[Date]])&gt;=4,1,0)</f>
        <v>2026</v>
      </c>
      <c r="C169" s="79">
        <f>YEAR(Table6[[#This Row],[Date]])</f>
        <v>2025</v>
      </c>
      <c r="D169" s="79" t="s">
        <v>344</v>
      </c>
      <c r="E169" s="284">
        <f>Table6[[#This Row],[Date]]-DAY(Table6[[#This Row],[Date]])+1</f>
        <v>45748</v>
      </c>
      <c r="F169" s="285">
        <v>45752</v>
      </c>
      <c r="G169" s="79" t="s">
        <v>93</v>
      </c>
      <c r="H169" s="79" t="str">
        <f>IFERROR(_xlfn.XLOOKUP(Table6[[#This Row],[Affected Feeder ]],'Basic Data'!$A:$A,'Basic Data'!$B:$B),"")</f>
        <v>PWEPL</v>
      </c>
      <c r="I169" s="79" t="str">
        <f>IFERROR(_xlfn.XLOOKUP(Table6[[#This Row],[Affected Feeder ]],'Basic Data'!$A:$A,'Basic Data'!$C:$C),"")</f>
        <v>MSEDCL</v>
      </c>
      <c r="J169" s="295">
        <f>IFERROR(_xlfn.XLOOKUP(Table6[[#This Row],[Affected Feeder ]],'Basic Data'!$A:$A,'Basic Data'!$E:$E),"")</f>
        <v>2.2727272727272728E-2</v>
      </c>
      <c r="K169" s="296" t="s">
        <v>171</v>
      </c>
      <c r="L169" s="297">
        <v>0.81597222222222221</v>
      </c>
      <c r="M169" s="297">
        <v>0.81597222222222221</v>
      </c>
      <c r="N169" s="297">
        <v>0.82986111111111116</v>
      </c>
      <c r="O169" s="19">
        <f>(Table6[[#This Row],[Work Start TimeStamp]]-Table6[[#This Row],[Fault Start TimeStamp]])*24</f>
        <v>0</v>
      </c>
      <c r="P169" s="19">
        <f>(Table6[[#This Row],[Fault Clearance time]]-Table6[[#This Row],[Fault Start TimeStamp]])*24</f>
        <v>0.33333333333333481</v>
      </c>
      <c r="Q169" s="19">
        <f>(Table6[[#This Row],[Fault Clearance time]]-Table6[[#This Row],[Fault Start TimeStamp]])*24</f>
        <v>0.33333333333333481</v>
      </c>
      <c r="R169" s="79" t="s">
        <v>353</v>
      </c>
      <c r="S169" s="79" t="s">
        <v>339</v>
      </c>
      <c r="T169" s="298">
        <f>IFERROR(Table6[[#This Row],[Breakdown Time]]*Table6[[#This Row],[Plant Equivalent Weightage]],"")</f>
        <v>7.5757575757576098E-3</v>
      </c>
      <c r="U169" s="79" t="s">
        <v>416</v>
      </c>
      <c r="W169" s="79">
        <v>40</v>
      </c>
    </row>
    <row r="170" spans="1:23">
      <c r="A170" s="79">
        <f t="shared" si="2"/>
        <v>169</v>
      </c>
      <c r="B170" s="79">
        <f>YEAR(Table6[[#This Row],[Date]])+IF(MONTH(Table6[[#This Row],[Date]])&gt;=4,1,0)</f>
        <v>2026</v>
      </c>
      <c r="C170" s="79">
        <f>YEAR(Table6[[#This Row],[Date]])</f>
        <v>2025</v>
      </c>
      <c r="D170" s="79" t="s">
        <v>344</v>
      </c>
      <c r="E170" s="284">
        <f>Table6[[#This Row],[Date]]-DAY(Table6[[#This Row],[Date]])+1</f>
        <v>45748</v>
      </c>
      <c r="F170" s="285">
        <v>45752</v>
      </c>
      <c r="G170" s="79" t="s">
        <v>102</v>
      </c>
      <c r="H170" s="79" t="str">
        <f>IFERROR(_xlfn.XLOOKUP(Table6[[#This Row],[Affected Feeder ]],'Basic Data'!$A:$A,'Basic Data'!$B:$B),"")</f>
        <v>PWEPL</v>
      </c>
      <c r="I170" s="79" t="str">
        <f>IFERROR(_xlfn.XLOOKUP(Table6[[#This Row],[Affected Feeder ]],'Basic Data'!$A:$A,'Basic Data'!$C:$C),"")</f>
        <v>MSEDCL</v>
      </c>
      <c r="J170" s="295">
        <f>IFERROR(_xlfn.XLOOKUP(Table6[[#This Row],[Affected Feeder ]],'Basic Data'!$A:$A,'Basic Data'!$E:$E),"")</f>
        <v>2.2727272727272728E-2</v>
      </c>
      <c r="K170" s="296" t="s">
        <v>414</v>
      </c>
      <c r="L170" s="297">
        <v>0.78472222222222221</v>
      </c>
      <c r="M170" s="297">
        <v>0.78472222222222221</v>
      </c>
      <c r="N170" s="297">
        <v>0.81597222222222221</v>
      </c>
      <c r="O170" s="19">
        <f>(Table6[[#This Row],[Work Start TimeStamp]]-Table6[[#This Row],[Fault Start TimeStamp]])*24</f>
        <v>0</v>
      </c>
      <c r="P170" s="19">
        <f>(Table6[[#This Row],[Fault Clearance time]]-Table6[[#This Row],[Fault Start TimeStamp]])*24</f>
        <v>0.75</v>
      </c>
      <c r="Q170" s="19">
        <f>(Table6[[#This Row],[Fault Clearance time]]-Table6[[#This Row],[Fault Start TimeStamp]])*24</f>
        <v>0.75</v>
      </c>
      <c r="R170" s="79" t="s">
        <v>437</v>
      </c>
      <c r="S170" s="79" t="s">
        <v>339</v>
      </c>
      <c r="T170" s="298">
        <f>IFERROR(Table6[[#This Row],[Breakdown Time]]*Table6[[#This Row],[Plant Equivalent Weightage]],"")</f>
        <v>1.7045454545454544E-2</v>
      </c>
      <c r="U170" s="79" t="s">
        <v>416</v>
      </c>
      <c r="W170" s="79">
        <v>50</v>
      </c>
    </row>
    <row r="171" spans="1:23">
      <c r="A171" s="79">
        <f t="shared" si="2"/>
        <v>170</v>
      </c>
      <c r="B171" s="79">
        <f>YEAR(Table6[[#This Row],[Date]])+IF(MONTH(Table6[[#This Row],[Date]])&gt;=4,1,0)</f>
        <v>2026</v>
      </c>
      <c r="C171" s="79">
        <f>YEAR(Table6[[#This Row],[Date]])</f>
        <v>2025</v>
      </c>
      <c r="D171" s="79" t="s">
        <v>344</v>
      </c>
      <c r="E171" s="284">
        <f>Table6[[#This Row],[Date]]-DAY(Table6[[#This Row],[Date]])+1</f>
        <v>45748</v>
      </c>
      <c r="F171" s="285">
        <v>45752</v>
      </c>
      <c r="G171" s="79" t="s">
        <v>102</v>
      </c>
      <c r="H171" s="79" t="str">
        <f>IFERROR(_xlfn.XLOOKUP(Table6[[#This Row],[Affected Feeder ]],'Basic Data'!$A:$A,'Basic Data'!$B:$B),"")</f>
        <v>PWEPL</v>
      </c>
      <c r="I171" s="79" t="str">
        <f>IFERROR(_xlfn.XLOOKUP(Table6[[#This Row],[Affected Feeder ]],'Basic Data'!$A:$A,'Basic Data'!$C:$C),"")</f>
        <v>MSEDCL</v>
      </c>
      <c r="J171" s="295">
        <f>IFERROR(_xlfn.XLOOKUP(Table6[[#This Row],[Affected Feeder ]],'Basic Data'!$A:$A,'Basic Data'!$E:$E),"")</f>
        <v>2.2727272727272728E-2</v>
      </c>
      <c r="K171" s="296" t="s">
        <v>171</v>
      </c>
      <c r="L171" s="297">
        <v>0.81597222222222221</v>
      </c>
      <c r="M171" s="297">
        <v>0.81597222222222221</v>
      </c>
      <c r="N171" s="297">
        <v>0.82986111111111116</v>
      </c>
      <c r="O171" s="19">
        <f>(Table6[[#This Row],[Work Start TimeStamp]]-Table6[[#This Row],[Fault Start TimeStamp]])*24</f>
        <v>0</v>
      </c>
      <c r="P171" s="19">
        <f>(Table6[[#This Row],[Fault Clearance time]]-Table6[[#This Row],[Fault Start TimeStamp]])*24</f>
        <v>0.33333333333333481</v>
      </c>
      <c r="Q171" s="19">
        <f>(Table6[[#This Row],[Fault Clearance time]]-Table6[[#This Row],[Fault Start TimeStamp]])*24</f>
        <v>0.33333333333333481</v>
      </c>
      <c r="R171" s="79" t="s">
        <v>353</v>
      </c>
      <c r="S171" s="79" t="s">
        <v>339</v>
      </c>
      <c r="T171" s="298">
        <f>IFERROR(Table6[[#This Row],[Breakdown Time]]*Table6[[#This Row],[Plant Equivalent Weightage]],"")</f>
        <v>7.5757575757576098E-3</v>
      </c>
      <c r="U171" s="79" t="s">
        <v>416</v>
      </c>
      <c r="W171" s="79">
        <v>40</v>
      </c>
    </row>
    <row r="172" spans="1:23">
      <c r="A172" s="79">
        <f t="shared" si="2"/>
        <v>171</v>
      </c>
      <c r="B172" s="79">
        <f>YEAR(Table6[[#This Row],[Date]])+IF(MONTH(Table6[[#This Row],[Date]])&gt;=4,1,0)</f>
        <v>2026</v>
      </c>
      <c r="C172" s="79">
        <f>YEAR(Table6[[#This Row],[Date]])</f>
        <v>2025</v>
      </c>
      <c r="D172" s="79" t="s">
        <v>344</v>
      </c>
      <c r="E172" s="284">
        <f>Table6[[#This Row],[Date]]-DAY(Table6[[#This Row],[Date]])+1</f>
        <v>45748</v>
      </c>
      <c r="F172" s="285">
        <v>45752</v>
      </c>
      <c r="G172" s="79" t="s">
        <v>119</v>
      </c>
      <c r="H172" s="79" t="str">
        <f>IFERROR(_xlfn.XLOOKUP(Table6[[#This Row],[Affected Feeder ]],'Basic Data'!$A:$A,'Basic Data'!$B:$B),"")</f>
        <v>PWEPL</v>
      </c>
      <c r="I172" s="79" t="str">
        <f>IFERROR(_xlfn.XLOOKUP(Table6[[#This Row],[Affected Feeder ]],'Basic Data'!$A:$A,'Basic Data'!$C:$C),"")</f>
        <v>MSEDCL</v>
      </c>
      <c r="J172" s="295">
        <f>IFERROR(_xlfn.XLOOKUP(Table6[[#This Row],[Affected Feeder ]],'Basic Data'!$A:$A,'Basic Data'!$E:$E),"")</f>
        <v>2.2727272727272728E-2</v>
      </c>
      <c r="K172" s="296" t="s">
        <v>414</v>
      </c>
      <c r="L172" s="297">
        <v>0.78472222222222221</v>
      </c>
      <c r="M172" s="297">
        <v>0.78472222222222221</v>
      </c>
      <c r="N172" s="297">
        <v>0.81597222222222221</v>
      </c>
      <c r="O172" s="19">
        <f>(Table6[[#This Row],[Work Start TimeStamp]]-Table6[[#This Row],[Fault Start TimeStamp]])*24</f>
        <v>0</v>
      </c>
      <c r="P172" s="19">
        <f>(Table6[[#This Row],[Fault Clearance time]]-Table6[[#This Row],[Fault Start TimeStamp]])*24</f>
        <v>0.75</v>
      </c>
      <c r="Q172" s="19">
        <f>(Table6[[#This Row],[Fault Clearance time]]-Table6[[#This Row],[Fault Start TimeStamp]])*24</f>
        <v>0.75</v>
      </c>
      <c r="R172" s="79" t="s">
        <v>437</v>
      </c>
      <c r="S172" s="79" t="s">
        <v>339</v>
      </c>
      <c r="T172" s="298">
        <f>IFERROR(Table6[[#This Row],[Breakdown Time]]*Table6[[#This Row],[Plant Equivalent Weightage]],"")</f>
        <v>1.7045454545454544E-2</v>
      </c>
      <c r="U172" s="79" t="s">
        <v>416</v>
      </c>
      <c r="W172" s="79">
        <v>50</v>
      </c>
    </row>
    <row r="173" spans="1:23">
      <c r="A173" s="79">
        <f t="shared" si="2"/>
        <v>172</v>
      </c>
      <c r="B173" s="79">
        <f>YEAR(Table6[[#This Row],[Date]])+IF(MONTH(Table6[[#This Row],[Date]])&gt;=4,1,0)</f>
        <v>2026</v>
      </c>
      <c r="C173" s="79">
        <f>YEAR(Table6[[#This Row],[Date]])</f>
        <v>2025</v>
      </c>
      <c r="D173" s="79" t="s">
        <v>344</v>
      </c>
      <c r="E173" s="284">
        <f>Table6[[#This Row],[Date]]-DAY(Table6[[#This Row],[Date]])+1</f>
        <v>45748</v>
      </c>
      <c r="F173" s="285">
        <v>45752</v>
      </c>
      <c r="G173" s="79" t="s">
        <v>119</v>
      </c>
      <c r="H173" s="79" t="str">
        <f>IFERROR(_xlfn.XLOOKUP(Table6[[#This Row],[Affected Feeder ]],'Basic Data'!$A:$A,'Basic Data'!$B:$B),"")</f>
        <v>PWEPL</v>
      </c>
      <c r="I173" s="79" t="str">
        <f>IFERROR(_xlfn.XLOOKUP(Table6[[#This Row],[Affected Feeder ]],'Basic Data'!$A:$A,'Basic Data'!$C:$C),"")</f>
        <v>MSEDCL</v>
      </c>
      <c r="J173" s="295">
        <f>IFERROR(_xlfn.XLOOKUP(Table6[[#This Row],[Affected Feeder ]],'Basic Data'!$A:$A,'Basic Data'!$E:$E),"")</f>
        <v>2.2727272727272728E-2</v>
      </c>
      <c r="K173" s="296" t="s">
        <v>171</v>
      </c>
      <c r="L173" s="297">
        <v>0.81597222222222221</v>
      </c>
      <c r="M173" s="297">
        <v>0.81597222222222221</v>
      </c>
      <c r="N173" s="297">
        <v>0.82986111111111116</v>
      </c>
      <c r="O173" s="19">
        <f>(Table6[[#This Row],[Work Start TimeStamp]]-Table6[[#This Row],[Fault Start TimeStamp]])*24</f>
        <v>0</v>
      </c>
      <c r="P173" s="19">
        <f>(Table6[[#This Row],[Fault Clearance time]]-Table6[[#This Row],[Fault Start TimeStamp]])*24</f>
        <v>0.33333333333333481</v>
      </c>
      <c r="Q173" s="19">
        <f>(Table6[[#This Row],[Fault Clearance time]]-Table6[[#This Row],[Fault Start TimeStamp]])*24</f>
        <v>0.33333333333333481</v>
      </c>
      <c r="R173" s="79" t="s">
        <v>353</v>
      </c>
      <c r="S173" s="79" t="s">
        <v>339</v>
      </c>
      <c r="T173" s="298">
        <f>IFERROR(Table6[[#This Row],[Breakdown Time]]*Table6[[#This Row],[Plant Equivalent Weightage]],"")</f>
        <v>7.5757575757576098E-3</v>
      </c>
      <c r="U173" s="79" t="s">
        <v>416</v>
      </c>
      <c r="W173" s="79">
        <v>40</v>
      </c>
    </row>
    <row r="174" spans="1:23">
      <c r="A174" s="79">
        <f t="shared" si="2"/>
        <v>173</v>
      </c>
      <c r="B174" s="79">
        <f>YEAR(Table6[[#This Row],[Date]])+IF(MONTH(Table6[[#This Row],[Date]])&gt;=4,1,0)</f>
        <v>2026</v>
      </c>
      <c r="C174" s="79">
        <f>YEAR(Table6[[#This Row],[Date]])</f>
        <v>2025</v>
      </c>
      <c r="D174" s="79" t="s">
        <v>344</v>
      </c>
      <c r="E174" s="284">
        <f>Table6[[#This Row],[Date]]-DAY(Table6[[#This Row],[Date]])+1</f>
        <v>45748</v>
      </c>
      <c r="F174" s="285">
        <v>45753</v>
      </c>
      <c r="G174" s="79" t="s">
        <v>76</v>
      </c>
      <c r="H174" s="79" t="str">
        <f>IFERROR(_xlfn.XLOOKUP(Table6[[#This Row],[Affected Feeder ]],'Basic Data'!$A:$A,'Basic Data'!$B:$B),"")</f>
        <v>PWEPL</v>
      </c>
      <c r="I174" s="79" t="str">
        <f>IFERROR(_xlfn.XLOOKUP(Table6[[#This Row],[Affected Feeder ]],'Basic Data'!$A:$A,'Basic Data'!$C:$C),"")</f>
        <v>MSEDCL</v>
      </c>
      <c r="J174" s="295">
        <f>IFERROR(_xlfn.XLOOKUP(Table6[[#This Row],[Affected Feeder ]],'Basic Data'!$A:$A,'Basic Data'!$E:$E),"")</f>
        <v>2.2727272727272728E-2</v>
      </c>
      <c r="K174" s="296" t="s">
        <v>414</v>
      </c>
      <c r="L174" s="297">
        <v>0.38958333333333334</v>
      </c>
      <c r="M174" s="297">
        <v>0.38958333333333334</v>
      </c>
      <c r="N174" s="297">
        <v>0.41180555555555554</v>
      </c>
      <c r="O174" s="19">
        <f>(Table6[[#This Row],[Work Start TimeStamp]]-Table6[[#This Row],[Fault Start TimeStamp]])*24</f>
        <v>0</v>
      </c>
      <c r="P174" s="19">
        <f>(Table6[[#This Row],[Fault Clearance time]]-Table6[[#This Row],[Fault Start TimeStamp]])*24</f>
        <v>0.53333333333333277</v>
      </c>
      <c r="Q174" s="19">
        <f>(Table6[[#This Row],[Fault Clearance time]]-Table6[[#This Row],[Fault Start TimeStamp]])*24</f>
        <v>0.53333333333333277</v>
      </c>
      <c r="R174" s="79" t="s">
        <v>438</v>
      </c>
      <c r="S174" s="79" t="s">
        <v>339</v>
      </c>
      <c r="T174" s="298">
        <f>IFERROR(Table6[[#This Row],[Breakdown Time]]*Table6[[#This Row],[Plant Equivalent Weightage]],"")</f>
        <v>1.2121212121212109E-2</v>
      </c>
      <c r="U174" s="79" t="s">
        <v>416</v>
      </c>
      <c r="W174" s="79">
        <v>47</v>
      </c>
    </row>
    <row r="175" spans="1:23">
      <c r="A175" s="79">
        <f t="shared" si="2"/>
        <v>174</v>
      </c>
      <c r="B175" s="79">
        <f>YEAR(Table6[[#This Row],[Date]])+IF(MONTH(Table6[[#This Row],[Date]])&gt;=4,1,0)</f>
        <v>2026</v>
      </c>
      <c r="C175" s="79">
        <f>YEAR(Table6[[#This Row],[Date]])</f>
        <v>2025</v>
      </c>
      <c r="D175" s="79" t="s">
        <v>344</v>
      </c>
      <c r="E175" s="284">
        <f>Table6[[#This Row],[Date]]-DAY(Table6[[#This Row],[Date]])+1</f>
        <v>45748</v>
      </c>
      <c r="F175" s="285">
        <v>45753</v>
      </c>
      <c r="G175" s="79" t="s">
        <v>76</v>
      </c>
      <c r="H175" s="79" t="str">
        <f>IFERROR(_xlfn.XLOOKUP(Table6[[#This Row],[Affected Feeder ]],'Basic Data'!$A:$A,'Basic Data'!$B:$B),"")</f>
        <v>PWEPL</v>
      </c>
      <c r="I175" s="79" t="str">
        <f>IFERROR(_xlfn.XLOOKUP(Table6[[#This Row],[Affected Feeder ]],'Basic Data'!$A:$A,'Basic Data'!$C:$C),"")</f>
        <v>MSEDCL</v>
      </c>
      <c r="J175" s="295">
        <f>IFERROR(_xlfn.XLOOKUP(Table6[[#This Row],[Affected Feeder ]],'Basic Data'!$A:$A,'Basic Data'!$E:$E),"")</f>
        <v>2.2727272727272728E-2</v>
      </c>
      <c r="K175" s="296" t="s">
        <v>171</v>
      </c>
      <c r="L175" s="297">
        <v>0.41180555555555554</v>
      </c>
      <c r="M175" s="297">
        <v>0.41180555555555554</v>
      </c>
      <c r="N175" s="297">
        <v>0.42569444444444443</v>
      </c>
      <c r="O175" s="19">
        <f>(Table6[[#This Row],[Work Start TimeStamp]]-Table6[[#This Row],[Fault Start TimeStamp]])*24</f>
        <v>0</v>
      </c>
      <c r="P175" s="19">
        <f>(Table6[[#This Row],[Fault Clearance time]]-Table6[[#This Row],[Fault Start TimeStamp]])*24</f>
        <v>0.33333333333333348</v>
      </c>
      <c r="Q175" s="19">
        <f>(Table6[[#This Row],[Fault Clearance time]]-Table6[[#This Row],[Fault Start TimeStamp]])*24</f>
        <v>0.33333333333333348</v>
      </c>
      <c r="R175" s="79" t="s">
        <v>353</v>
      </c>
      <c r="S175" s="79" t="s">
        <v>339</v>
      </c>
      <c r="T175" s="298">
        <f>IFERROR(Table6[[#This Row],[Breakdown Time]]*Table6[[#This Row],[Plant Equivalent Weightage]],"")</f>
        <v>7.5757575757575794E-3</v>
      </c>
      <c r="U175" s="79" t="s">
        <v>416</v>
      </c>
      <c r="W175" s="79">
        <v>29</v>
      </c>
    </row>
    <row r="176" spans="1:23">
      <c r="A176" s="79">
        <f t="shared" si="2"/>
        <v>175</v>
      </c>
      <c r="B176" s="79">
        <f>YEAR(Table6[[#This Row],[Date]])+IF(MONTH(Table6[[#This Row],[Date]])&gt;=4,1,0)</f>
        <v>2026</v>
      </c>
      <c r="C176" s="79">
        <f>YEAR(Table6[[#This Row],[Date]])</f>
        <v>2025</v>
      </c>
      <c r="D176" s="79" t="s">
        <v>344</v>
      </c>
      <c r="E176" s="284">
        <f>Table6[[#This Row],[Date]]-DAY(Table6[[#This Row],[Date]])+1</f>
        <v>45748</v>
      </c>
      <c r="F176" s="285">
        <v>45753</v>
      </c>
      <c r="G176" s="79" t="s">
        <v>77</v>
      </c>
      <c r="H176" s="79" t="str">
        <f>IFERROR(_xlfn.XLOOKUP(Table6[[#This Row],[Affected Feeder ]],'Basic Data'!$A:$A,'Basic Data'!$B:$B),"")</f>
        <v>PWEPL</v>
      </c>
      <c r="I176" s="79" t="str">
        <f>IFERROR(_xlfn.XLOOKUP(Table6[[#This Row],[Affected Feeder ]],'Basic Data'!$A:$A,'Basic Data'!$C:$C),"")</f>
        <v>MSEDCL</v>
      </c>
      <c r="J176" s="295">
        <f>IFERROR(_xlfn.XLOOKUP(Table6[[#This Row],[Affected Feeder ]],'Basic Data'!$A:$A,'Basic Data'!$E:$E),"")</f>
        <v>2.2727272727272728E-2</v>
      </c>
      <c r="K176" s="296" t="s">
        <v>414</v>
      </c>
      <c r="L176" s="297">
        <v>0.38958333333333334</v>
      </c>
      <c r="M176" s="297">
        <v>0.38958333333333334</v>
      </c>
      <c r="N176" s="297">
        <v>0.41180555555555554</v>
      </c>
      <c r="O176" s="19">
        <f>(Table6[[#This Row],[Work Start TimeStamp]]-Table6[[#This Row],[Fault Start TimeStamp]])*24</f>
        <v>0</v>
      </c>
      <c r="P176" s="19">
        <f>(Table6[[#This Row],[Fault Clearance time]]-Table6[[#This Row],[Fault Start TimeStamp]])*24</f>
        <v>0.53333333333333277</v>
      </c>
      <c r="Q176" s="19">
        <f>(Table6[[#This Row],[Fault Clearance time]]-Table6[[#This Row],[Fault Start TimeStamp]])*24</f>
        <v>0.53333333333333277</v>
      </c>
      <c r="R176" s="79" t="s">
        <v>438</v>
      </c>
      <c r="S176" s="79" t="s">
        <v>339</v>
      </c>
      <c r="T176" s="298">
        <f>IFERROR(Table6[[#This Row],[Breakdown Time]]*Table6[[#This Row],[Plant Equivalent Weightage]],"")</f>
        <v>1.2121212121212109E-2</v>
      </c>
      <c r="U176" s="79" t="s">
        <v>416</v>
      </c>
      <c r="W176" s="79">
        <v>47</v>
      </c>
    </row>
    <row r="177" spans="1:23">
      <c r="A177" s="79">
        <f t="shared" si="2"/>
        <v>176</v>
      </c>
      <c r="B177" s="79">
        <f>YEAR(Table6[[#This Row],[Date]])+IF(MONTH(Table6[[#This Row],[Date]])&gt;=4,1,0)</f>
        <v>2026</v>
      </c>
      <c r="C177" s="79">
        <f>YEAR(Table6[[#This Row],[Date]])</f>
        <v>2025</v>
      </c>
      <c r="D177" s="79" t="s">
        <v>344</v>
      </c>
      <c r="E177" s="284">
        <f>Table6[[#This Row],[Date]]-DAY(Table6[[#This Row],[Date]])+1</f>
        <v>45748</v>
      </c>
      <c r="F177" s="285">
        <v>45753</v>
      </c>
      <c r="G177" s="79" t="s">
        <v>77</v>
      </c>
      <c r="H177" s="79" t="str">
        <f>IFERROR(_xlfn.XLOOKUP(Table6[[#This Row],[Affected Feeder ]],'Basic Data'!$A:$A,'Basic Data'!$B:$B),"")</f>
        <v>PWEPL</v>
      </c>
      <c r="I177" s="79" t="str">
        <f>IFERROR(_xlfn.XLOOKUP(Table6[[#This Row],[Affected Feeder ]],'Basic Data'!$A:$A,'Basic Data'!$C:$C),"")</f>
        <v>MSEDCL</v>
      </c>
      <c r="J177" s="295">
        <f>IFERROR(_xlfn.XLOOKUP(Table6[[#This Row],[Affected Feeder ]],'Basic Data'!$A:$A,'Basic Data'!$E:$E),"")</f>
        <v>2.2727272727272728E-2</v>
      </c>
      <c r="K177" s="296" t="s">
        <v>171</v>
      </c>
      <c r="L177" s="297">
        <v>0.41180555555555554</v>
      </c>
      <c r="M177" s="297">
        <v>0.41180555555555554</v>
      </c>
      <c r="N177" s="297">
        <v>0.42569444444444443</v>
      </c>
      <c r="O177" s="19">
        <f>(Table6[[#This Row],[Work Start TimeStamp]]-Table6[[#This Row],[Fault Start TimeStamp]])*24</f>
        <v>0</v>
      </c>
      <c r="P177" s="19">
        <f>(Table6[[#This Row],[Fault Clearance time]]-Table6[[#This Row],[Fault Start TimeStamp]])*24</f>
        <v>0.33333333333333348</v>
      </c>
      <c r="Q177" s="19">
        <f>(Table6[[#This Row],[Fault Clearance time]]-Table6[[#This Row],[Fault Start TimeStamp]])*24</f>
        <v>0.33333333333333348</v>
      </c>
      <c r="R177" s="79" t="s">
        <v>353</v>
      </c>
      <c r="S177" s="79" t="s">
        <v>339</v>
      </c>
      <c r="T177" s="298">
        <f>IFERROR(Table6[[#This Row],[Breakdown Time]]*Table6[[#This Row],[Plant Equivalent Weightage]],"")</f>
        <v>7.5757575757575794E-3</v>
      </c>
      <c r="U177" s="79" t="s">
        <v>416</v>
      </c>
      <c r="W177" s="79">
        <v>29</v>
      </c>
    </row>
    <row r="178" spans="1:23">
      <c r="A178" s="79">
        <f t="shared" si="2"/>
        <v>177</v>
      </c>
      <c r="B178" s="79">
        <f>YEAR(Table6[[#This Row],[Date]])+IF(MONTH(Table6[[#This Row],[Date]])&gt;=4,1,0)</f>
        <v>2026</v>
      </c>
      <c r="C178" s="79">
        <f>YEAR(Table6[[#This Row],[Date]])</f>
        <v>2025</v>
      </c>
      <c r="D178" s="79" t="s">
        <v>344</v>
      </c>
      <c r="E178" s="284">
        <f>Table6[[#This Row],[Date]]-DAY(Table6[[#This Row],[Date]])+1</f>
        <v>45748</v>
      </c>
      <c r="F178" s="285">
        <v>45753</v>
      </c>
      <c r="G178" s="79" t="s">
        <v>78</v>
      </c>
      <c r="H178" s="79" t="str">
        <f>IFERROR(_xlfn.XLOOKUP(Table6[[#This Row],[Affected Feeder ]],'Basic Data'!$A:$A,'Basic Data'!$B:$B),"")</f>
        <v>PWEPL</v>
      </c>
      <c r="I178" s="79" t="str">
        <f>IFERROR(_xlfn.XLOOKUP(Table6[[#This Row],[Affected Feeder ]],'Basic Data'!$A:$A,'Basic Data'!$C:$C),"")</f>
        <v>MSEDCL</v>
      </c>
      <c r="J178" s="295">
        <f>IFERROR(_xlfn.XLOOKUP(Table6[[#This Row],[Affected Feeder ]],'Basic Data'!$A:$A,'Basic Data'!$E:$E),"")</f>
        <v>2.2727272727272728E-2</v>
      </c>
      <c r="K178" s="296" t="s">
        <v>414</v>
      </c>
      <c r="L178" s="297">
        <v>0.38958333333333334</v>
      </c>
      <c r="M178" s="297">
        <v>0.38958333333333334</v>
      </c>
      <c r="N178" s="297">
        <v>0.41180555555555554</v>
      </c>
      <c r="O178" s="19">
        <f>(Table6[[#This Row],[Work Start TimeStamp]]-Table6[[#This Row],[Fault Start TimeStamp]])*24</f>
        <v>0</v>
      </c>
      <c r="P178" s="19">
        <f>(Table6[[#This Row],[Fault Clearance time]]-Table6[[#This Row],[Fault Start TimeStamp]])*24</f>
        <v>0.53333333333333277</v>
      </c>
      <c r="Q178" s="19">
        <f>(Table6[[#This Row],[Fault Clearance time]]-Table6[[#This Row],[Fault Start TimeStamp]])*24</f>
        <v>0.53333333333333277</v>
      </c>
      <c r="R178" s="79" t="s">
        <v>438</v>
      </c>
      <c r="S178" s="79" t="s">
        <v>339</v>
      </c>
      <c r="T178" s="298">
        <f>IFERROR(Table6[[#This Row],[Breakdown Time]]*Table6[[#This Row],[Plant Equivalent Weightage]],"")</f>
        <v>1.2121212121212109E-2</v>
      </c>
      <c r="U178" s="79" t="s">
        <v>416</v>
      </c>
      <c r="W178" s="79">
        <v>47</v>
      </c>
    </row>
    <row r="179" spans="1:23">
      <c r="A179" s="79">
        <f t="shared" si="2"/>
        <v>178</v>
      </c>
      <c r="B179" s="79">
        <f>YEAR(Table6[[#This Row],[Date]])+IF(MONTH(Table6[[#This Row],[Date]])&gt;=4,1,0)</f>
        <v>2026</v>
      </c>
      <c r="C179" s="79">
        <f>YEAR(Table6[[#This Row],[Date]])</f>
        <v>2025</v>
      </c>
      <c r="D179" s="79" t="s">
        <v>344</v>
      </c>
      <c r="E179" s="284">
        <f>Table6[[#This Row],[Date]]-DAY(Table6[[#This Row],[Date]])+1</f>
        <v>45748</v>
      </c>
      <c r="F179" s="285">
        <v>45753</v>
      </c>
      <c r="G179" s="79" t="s">
        <v>78</v>
      </c>
      <c r="H179" s="79" t="str">
        <f>IFERROR(_xlfn.XLOOKUP(Table6[[#This Row],[Affected Feeder ]],'Basic Data'!$A:$A,'Basic Data'!$B:$B),"")</f>
        <v>PWEPL</v>
      </c>
      <c r="I179" s="79" t="str">
        <f>IFERROR(_xlfn.XLOOKUP(Table6[[#This Row],[Affected Feeder ]],'Basic Data'!$A:$A,'Basic Data'!$C:$C),"")</f>
        <v>MSEDCL</v>
      </c>
      <c r="J179" s="295">
        <f>IFERROR(_xlfn.XLOOKUP(Table6[[#This Row],[Affected Feeder ]],'Basic Data'!$A:$A,'Basic Data'!$E:$E),"")</f>
        <v>2.2727272727272728E-2</v>
      </c>
      <c r="K179" s="296" t="s">
        <v>171</v>
      </c>
      <c r="L179" s="297">
        <v>0.41180555555555554</v>
      </c>
      <c r="M179" s="297">
        <v>0.41180555555555554</v>
      </c>
      <c r="N179" s="297">
        <v>0.42569444444444443</v>
      </c>
      <c r="O179" s="19">
        <f>(Table6[[#This Row],[Work Start TimeStamp]]-Table6[[#This Row],[Fault Start TimeStamp]])*24</f>
        <v>0</v>
      </c>
      <c r="P179" s="19">
        <f>(Table6[[#This Row],[Fault Clearance time]]-Table6[[#This Row],[Fault Start TimeStamp]])*24</f>
        <v>0.33333333333333348</v>
      </c>
      <c r="Q179" s="19">
        <f>(Table6[[#This Row],[Fault Clearance time]]-Table6[[#This Row],[Fault Start TimeStamp]])*24</f>
        <v>0.33333333333333348</v>
      </c>
      <c r="R179" s="79" t="s">
        <v>353</v>
      </c>
      <c r="S179" s="79" t="s">
        <v>339</v>
      </c>
      <c r="T179" s="298">
        <f>IFERROR(Table6[[#This Row],[Breakdown Time]]*Table6[[#This Row],[Plant Equivalent Weightage]],"")</f>
        <v>7.5757575757575794E-3</v>
      </c>
      <c r="U179" s="79" t="s">
        <v>416</v>
      </c>
      <c r="W179" s="79">
        <v>29</v>
      </c>
    </row>
    <row r="180" spans="1:23">
      <c r="A180" s="79">
        <f t="shared" si="2"/>
        <v>179</v>
      </c>
      <c r="B180" s="79">
        <f>YEAR(Table6[[#This Row],[Date]])+IF(MONTH(Table6[[#This Row],[Date]])&gt;=4,1,0)</f>
        <v>2026</v>
      </c>
      <c r="C180" s="79">
        <f>YEAR(Table6[[#This Row],[Date]])</f>
        <v>2025</v>
      </c>
      <c r="D180" s="79" t="s">
        <v>344</v>
      </c>
      <c r="E180" s="284">
        <f>Table6[[#This Row],[Date]]-DAY(Table6[[#This Row],[Date]])+1</f>
        <v>45748</v>
      </c>
      <c r="F180" s="285">
        <v>45753</v>
      </c>
      <c r="G180" s="79" t="s">
        <v>82</v>
      </c>
      <c r="H180" s="79" t="str">
        <f>IFERROR(_xlfn.XLOOKUP(Table6[[#This Row],[Affected Feeder ]],'Basic Data'!$A:$A,'Basic Data'!$B:$B),"")</f>
        <v>PWEPL</v>
      </c>
      <c r="I180" s="79" t="str">
        <f>IFERROR(_xlfn.XLOOKUP(Table6[[#This Row],[Affected Feeder ]],'Basic Data'!$A:$A,'Basic Data'!$C:$C),"")</f>
        <v>MSEDCL</v>
      </c>
      <c r="J180" s="295">
        <f>IFERROR(_xlfn.XLOOKUP(Table6[[#This Row],[Affected Feeder ]],'Basic Data'!$A:$A,'Basic Data'!$E:$E),"")</f>
        <v>2.2727272727272728E-2</v>
      </c>
      <c r="K180" s="296" t="s">
        <v>414</v>
      </c>
      <c r="L180" s="297">
        <v>0.38958333333333334</v>
      </c>
      <c r="M180" s="297">
        <v>0.38958333333333334</v>
      </c>
      <c r="N180" s="297">
        <v>0.41180555555555554</v>
      </c>
      <c r="O180" s="19">
        <f>(Table6[[#This Row],[Work Start TimeStamp]]-Table6[[#This Row],[Fault Start TimeStamp]])*24</f>
        <v>0</v>
      </c>
      <c r="P180" s="19">
        <f>(Table6[[#This Row],[Fault Clearance time]]-Table6[[#This Row],[Fault Start TimeStamp]])*24</f>
        <v>0.53333333333333277</v>
      </c>
      <c r="Q180" s="19">
        <f>(Table6[[#This Row],[Fault Clearance time]]-Table6[[#This Row],[Fault Start TimeStamp]])*24</f>
        <v>0.53333333333333277</v>
      </c>
      <c r="R180" s="79" t="s">
        <v>438</v>
      </c>
      <c r="S180" s="79" t="s">
        <v>339</v>
      </c>
      <c r="T180" s="298">
        <f>IFERROR(Table6[[#This Row],[Breakdown Time]]*Table6[[#This Row],[Plant Equivalent Weightage]],"")</f>
        <v>1.2121212121212109E-2</v>
      </c>
      <c r="U180" s="79" t="s">
        <v>416</v>
      </c>
      <c r="W180" s="79">
        <v>47</v>
      </c>
    </row>
    <row r="181" spans="1:23">
      <c r="A181" s="79">
        <f t="shared" si="2"/>
        <v>180</v>
      </c>
      <c r="B181" s="79">
        <f>YEAR(Table6[[#This Row],[Date]])+IF(MONTH(Table6[[#This Row],[Date]])&gt;=4,1,0)</f>
        <v>2026</v>
      </c>
      <c r="C181" s="79">
        <f>YEAR(Table6[[#This Row],[Date]])</f>
        <v>2025</v>
      </c>
      <c r="D181" s="79" t="s">
        <v>344</v>
      </c>
      <c r="E181" s="284">
        <f>Table6[[#This Row],[Date]]-DAY(Table6[[#This Row],[Date]])+1</f>
        <v>45748</v>
      </c>
      <c r="F181" s="285">
        <v>45753</v>
      </c>
      <c r="G181" s="79" t="s">
        <v>82</v>
      </c>
      <c r="H181" s="79" t="str">
        <f>IFERROR(_xlfn.XLOOKUP(Table6[[#This Row],[Affected Feeder ]],'Basic Data'!$A:$A,'Basic Data'!$B:$B),"")</f>
        <v>PWEPL</v>
      </c>
      <c r="I181" s="79" t="str">
        <f>IFERROR(_xlfn.XLOOKUP(Table6[[#This Row],[Affected Feeder ]],'Basic Data'!$A:$A,'Basic Data'!$C:$C),"")</f>
        <v>MSEDCL</v>
      </c>
      <c r="J181" s="295">
        <f>IFERROR(_xlfn.XLOOKUP(Table6[[#This Row],[Affected Feeder ]],'Basic Data'!$A:$A,'Basic Data'!$E:$E),"")</f>
        <v>2.2727272727272728E-2</v>
      </c>
      <c r="K181" s="296" t="s">
        <v>171</v>
      </c>
      <c r="L181" s="297">
        <v>0.41180555555555554</v>
      </c>
      <c r="M181" s="297">
        <v>0.41180555555555554</v>
      </c>
      <c r="N181" s="297">
        <v>0.42569444444444443</v>
      </c>
      <c r="O181" s="19">
        <f>(Table6[[#This Row],[Work Start TimeStamp]]-Table6[[#This Row],[Fault Start TimeStamp]])*24</f>
        <v>0</v>
      </c>
      <c r="P181" s="19">
        <f>(Table6[[#This Row],[Fault Clearance time]]-Table6[[#This Row],[Fault Start TimeStamp]])*24</f>
        <v>0.33333333333333348</v>
      </c>
      <c r="Q181" s="19">
        <f>(Table6[[#This Row],[Fault Clearance time]]-Table6[[#This Row],[Fault Start TimeStamp]])*24</f>
        <v>0.33333333333333348</v>
      </c>
      <c r="R181" s="79" t="s">
        <v>353</v>
      </c>
      <c r="S181" s="79" t="s">
        <v>339</v>
      </c>
      <c r="T181" s="298">
        <f>IFERROR(Table6[[#This Row],[Breakdown Time]]*Table6[[#This Row],[Plant Equivalent Weightage]],"")</f>
        <v>7.5757575757575794E-3</v>
      </c>
      <c r="U181" s="79" t="s">
        <v>416</v>
      </c>
      <c r="W181" s="79">
        <v>29</v>
      </c>
    </row>
    <row r="182" spans="1:23">
      <c r="A182" s="79">
        <f t="shared" si="2"/>
        <v>181</v>
      </c>
      <c r="B182" s="79">
        <f>YEAR(Table6[[#This Row],[Date]])+IF(MONTH(Table6[[#This Row],[Date]])&gt;=4,1,0)</f>
        <v>2026</v>
      </c>
      <c r="C182" s="79">
        <f>YEAR(Table6[[#This Row],[Date]])</f>
        <v>2025</v>
      </c>
      <c r="D182" s="79" t="s">
        <v>344</v>
      </c>
      <c r="E182" s="284">
        <f>Table6[[#This Row],[Date]]-DAY(Table6[[#This Row],[Date]])+1</f>
        <v>45748</v>
      </c>
      <c r="F182" s="285">
        <v>45753</v>
      </c>
      <c r="G182" s="79" t="s">
        <v>93</v>
      </c>
      <c r="H182" s="79" t="str">
        <f>IFERROR(_xlfn.XLOOKUP(Table6[[#This Row],[Affected Feeder ]],'Basic Data'!$A:$A,'Basic Data'!$B:$B),"")</f>
        <v>PWEPL</v>
      </c>
      <c r="I182" s="79" t="str">
        <f>IFERROR(_xlfn.XLOOKUP(Table6[[#This Row],[Affected Feeder ]],'Basic Data'!$A:$A,'Basic Data'!$C:$C),"")</f>
        <v>MSEDCL</v>
      </c>
      <c r="J182" s="295">
        <f>IFERROR(_xlfn.XLOOKUP(Table6[[#This Row],[Affected Feeder ]],'Basic Data'!$A:$A,'Basic Data'!$E:$E),"")</f>
        <v>2.2727272727272728E-2</v>
      </c>
      <c r="K182" s="296" t="s">
        <v>414</v>
      </c>
      <c r="L182" s="297">
        <v>0.38958333333333334</v>
      </c>
      <c r="M182" s="297">
        <v>0.38958333333333334</v>
      </c>
      <c r="N182" s="297">
        <v>0.41180555555555554</v>
      </c>
      <c r="O182" s="19">
        <f>(Table6[[#This Row],[Work Start TimeStamp]]-Table6[[#This Row],[Fault Start TimeStamp]])*24</f>
        <v>0</v>
      </c>
      <c r="P182" s="19">
        <f>(Table6[[#This Row],[Fault Clearance time]]-Table6[[#This Row],[Fault Start TimeStamp]])*24</f>
        <v>0.53333333333333277</v>
      </c>
      <c r="Q182" s="19">
        <f>(Table6[[#This Row],[Fault Clearance time]]-Table6[[#This Row],[Fault Start TimeStamp]])*24</f>
        <v>0.53333333333333277</v>
      </c>
      <c r="R182" s="79" t="s">
        <v>438</v>
      </c>
      <c r="S182" s="79" t="s">
        <v>339</v>
      </c>
      <c r="T182" s="298">
        <f>IFERROR(Table6[[#This Row],[Breakdown Time]]*Table6[[#This Row],[Plant Equivalent Weightage]],"")</f>
        <v>1.2121212121212109E-2</v>
      </c>
      <c r="U182" s="79" t="s">
        <v>416</v>
      </c>
      <c r="W182" s="79">
        <v>47</v>
      </c>
    </row>
    <row r="183" spans="1:23">
      <c r="A183" s="79">
        <f t="shared" si="2"/>
        <v>182</v>
      </c>
      <c r="B183" s="79">
        <f>YEAR(Table6[[#This Row],[Date]])+IF(MONTH(Table6[[#This Row],[Date]])&gt;=4,1,0)</f>
        <v>2026</v>
      </c>
      <c r="C183" s="79">
        <f>YEAR(Table6[[#This Row],[Date]])</f>
        <v>2025</v>
      </c>
      <c r="D183" s="79" t="s">
        <v>344</v>
      </c>
      <c r="E183" s="284">
        <f>Table6[[#This Row],[Date]]-DAY(Table6[[#This Row],[Date]])+1</f>
        <v>45748</v>
      </c>
      <c r="F183" s="285">
        <v>45753</v>
      </c>
      <c r="G183" s="79" t="s">
        <v>93</v>
      </c>
      <c r="H183" s="79" t="str">
        <f>IFERROR(_xlfn.XLOOKUP(Table6[[#This Row],[Affected Feeder ]],'Basic Data'!$A:$A,'Basic Data'!$B:$B),"")</f>
        <v>PWEPL</v>
      </c>
      <c r="I183" s="79" t="str">
        <f>IFERROR(_xlfn.XLOOKUP(Table6[[#This Row],[Affected Feeder ]],'Basic Data'!$A:$A,'Basic Data'!$C:$C),"")</f>
        <v>MSEDCL</v>
      </c>
      <c r="J183" s="295">
        <f>IFERROR(_xlfn.XLOOKUP(Table6[[#This Row],[Affected Feeder ]],'Basic Data'!$A:$A,'Basic Data'!$E:$E),"")</f>
        <v>2.2727272727272728E-2</v>
      </c>
      <c r="K183" s="296" t="s">
        <v>171</v>
      </c>
      <c r="L183" s="297">
        <v>0.41180555555555554</v>
      </c>
      <c r="M183" s="297">
        <v>0.41180555555555554</v>
      </c>
      <c r="N183" s="297">
        <v>0.42569444444444443</v>
      </c>
      <c r="O183" s="19">
        <f>(Table6[[#This Row],[Work Start TimeStamp]]-Table6[[#This Row],[Fault Start TimeStamp]])*24</f>
        <v>0</v>
      </c>
      <c r="P183" s="19">
        <f>(Table6[[#This Row],[Fault Clearance time]]-Table6[[#This Row],[Fault Start TimeStamp]])*24</f>
        <v>0.33333333333333348</v>
      </c>
      <c r="Q183" s="19">
        <f>(Table6[[#This Row],[Fault Clearance time]]-Table6[[#This Row],[Fault Start TimeStamp]])*24</f>
        <v>0.33333333333333348</v>
      </c>
      <c r="R183" s="79" t="s">
        <v>353</v>
      </c>
      <c r="S183" s="79" t="s">
        <v>339</v>
      </c>
      <c r="T183" s="298">
        <f>IFERROR(Table6[[#This Row],[Breakdown Time]]*Table6[[#This Row],[Plant Equivalent Weightage]],"")</f>
        <v>7.5757575757575794E-3</v>
      </c>
      <c r="U183" s="79" t="s">
        <v>416</v>
      </c>
      <c r="W183" s="79">
        <v>29</v>
      </c>
    </row>
    <row r="184" spans="1:23">
      <c r="A184" s="79">
        <f t="shared" si="2"/>
        <v>183</v>
      </c>
      <c r="B184" s="79">
        <f>YEAR(Table6[[#This Row],[Date]])+IF(MONTH(Table6[[#This Row],[Date]])&gt;=4,1,0)</f>
        <v>2026</v>
      </c>
      <c r="C184" s="79">
        <f>YEAR(Table6[[#This Row],[Date]])</f>
        <v>2025</v>
      </c>
      <c r="D184" s="79" t="s">
        <v>344</v>
      </c>
      <c r="E184" s="284">
        <f>Table6[[#This Row],[Date]]-DAY(Table6[[#This Row],[Date]])+1</f>
        <v>45748</v>
      </c>
      <c r="F184" s="285">
        <v>45753</v>
      </c>
      <c r="G184" s="79" t="s">
        <v>102</v>
      </c>
      <c r="H184" s="79" t="str">
        <f>IFERROR(_xlfn.XLOOKUP(Table6[[#This Row],[Affected Feeder ]],'Basic Data'!$A:$A,'Basic Data'!$B:$B),"")</f>
        <v>PWEPL</v>
      </c>
      <c r="I184" s="79" t="str">
        <f>IFERROR(_xlfn.XLOOKUP(Table6[[#This Row],[Affected Feeder ]],'Basic Data'!$A:$A,'Basic Data'!$C:$C),"")</f>
        <v>MSEDCL</v>
      </c>
      <c r="J184" s="295">
        <f>IFERROR(_xlfn.XLOOKUP(Table6[[#This Row],[Affected Feeder ]],'Basic Data'!$A:$A,'Basic Data'!$E:$E),"")</f>
        <v>2.2727272727272728E-2</v>
      </c>
      <c r="K184" s="296" t="s">
        <v>414</v>
      </c>
      <c r="L184" s="297">
        <v>0.38958333333333334</v>
      </c>
      <c r="M184" s="297">
        <v>0.38958333333333334</v>
      </c>
      <c r="N184" s="297">
        <v>0.80625000000000002</v>
      </c>
      <c r="O184" s="19">
        <f>(Table6[[#This Row],[Work Start TimeStamp]]-Table6[[#This Row],[Fault Start TimeStamp]])*24</f>
        <v>0</v>
      </c>
      <c r="P184" s="19">
        <f>(Table6[[#This Row],[Fault Clearance time]]-Table6[[#This Row],[Fault Start TimeStamp]])*24</f>
        <v>10</v>
      </c>
      <c r="Q184" s="19">
        <f>(Table6[[#This Row],[Fault Clearance time]]-Table6[[#This Row],[Fault Start TimeStamp]])*24</f>
        <v>10</v>
      </c>
      <c r="R184" s="79" t="s">
        <v>439</v>
      </c>
      <c r="S184" s="79" t="s">
        <v>339</v>
      </c>
      <c r="T184" s="298">
        <f>IFERROR(Table6[[#This Row],[Breakdown Time]]*Table6[[#This Row],[Plant Equivalent Weightage]],"")</f>
        <v>0.22727272727272729</v>
      </c>
      <c r="U184" s="79" t="s">
        <v>416</v>
      </c>
      <c r="W184" s="79">
        <v>879</v>
      </c>
    </row>
    <row r="185" spans="1:23">
      <c r="A185" s="79">
        <f t="shared" si="2"/>
        <v>184</v>
      </c>
      <c r="B185" s="79">
        <f>YEAR(Table6[[#This Row],[Date]])+IF(MONTH(Table6[[#This Row],[Date]])&gt;=4,1,0)</f>
        <v>2026</v>
      </c>
      <c r="C185" s="79">
        <f>YEAR(Table6[[#This Row],[Date]])</f>
        <v>2025</v>
      </c>
      <c r="D185" s="79" t="s">
        <v>344</v>
      </c>
      <c r="E185" s="284">
        <f>Table6[[#This Row],[Date]]-DAY(Table6[[#This Row],[Date]])+1</f>
        <v>45748</v>
      </c>
      <c r="F185" s="285">
        <v>45753</v>
      </c>
      <c r="G185" s="79" t="s">
        <v>102</v>
      </c>
      <c r="H185" s="79" t="str">
        <f>IFERROR(_xlfn.XLOOKUP(Table6[[#This Row],[Affected Feeder ]],'Basic Data'!$A:$A,'Basic Data'!$B:$B),"")</f>
        <v>PWEPL</v>
      </c>
      <c r="I185" s="79" t="str">
        <f>IFERROR(_xlfn.XLOOKUP(Table6[[#This Row],[Affected Feeder ]],'Basic Data'!$A:$A,'Basic Data'!$C:$C),"")</f>
        <v>MSEDCL</v>
      </c>
      <c r="J185" s="295">
        <f>IFERROR(_xlfn.XLOOKUP(Table6[[#This Row],[Affected Feeder ]],'Basic Data'!$A:$A,'Basic Data'!$E:$E),"")</f>
        <v>2.2727272727272728E-2</v>
      </c>
      <c r="K185" s="296" t="s">
        <v>171</v>
      </c>
      <c r="L185" s="297">
        <v>0.80625000000000002</v>
      </c>
      <c r="M185" s="297">
        <v>0.80625000000000002</v>
      </c>
      <c r="N185" s="297">
        <v>0.82013888888888886</v>
      </c>
      <c r="O185" s="19">
        <f>(Table6[[#This Row],[Work Start TimeStamp]]-Table6[[#This Row],[Fault Start TimeStamp]])*24</f>
        <v>0</v>
      </c>
      <c r="P185" s="19">
        <f>(Table6[[#This Row],[Fault Clearance time]]-Table6[[#This Row],[Fault Start TimeStamp]])*24</f>
        <v>0.33333333333333215</v>
      </c>
      <c r="Q185" s="19">
        <f>(Table6[[#This Row],[Fault Clearance time]]-Table6[[#This Row],[Fault Start TimeStamp]])*24</f>
        <v>0.33333333333333215</v>
      </c>
      <c r="R185" s="79" t="s">
        <v>353</v>
      </c>
      <c r="S185" s="79" t="s">
        <v>339</v>
      </c>
      <c r="T185" s="298">
        <f>IFERROR(Table6[[#This Row],[Breakdown Time]]*Table6[[#This Row],[Plant Equivalent Weightage]],"")</f>
        <v>7.5757575757575491E-3</v>
      </c>
      <c r="U185" s="79" t="s">
        <v>416</v>
      </c>
      <c r="W185" s="79">
        <v>4</v>
      </c>
    </row>
    <row r="186" spans="1:23">
      <c r="A186" s="79">
        <f t="shared" si="2"/>
        <v>185</v>
      </c>
      <c r="B186" s="79">
        <f>YEAR(Table6[[#This Row],[Date]])+IF(MONTH(Table6[[#This Row],[Date]])&gt;=4,1,0)</f>
        <v>2026</v>
      </c>
      <c r="C186" s="79">
        <f>YEAR(Table6[[#This Row],[Date]])</f>
        <v>2025</v>
      </c>
      <c r="D186" s="79" t="s">
        <v>344</v>
      </c>
      <c r="E186" s="284">
        <f>Table6[[#This Row],[Date]]-DAY(Table6[[#This Row],[Date]])+1</f>
        <v>45748</v>
      </c>
      <c r="F186" s="285">
        <v>45753</v>
      </c>
      <c r="G186" s="79" t="s">
        <v>119</v>
      </c>
      <c r="H186" s="79" t="str">
        <f>IFERROR(_xlfn.XLOOKUP(Table6[[#This Row],[Affected Feeder ]],'Basic Data'!$A:$A,'Basic Data'!$B:$B),"")</f>
        <v>PWEPL</v>
      </c>
      <c r="I186" s="79" t="str">
        <f>IFERROR(_xlfn.XLOOKUP(Table6[[#This Row],[Affected Feeder ]],'Basic Data'!$A:$A,'Basic Data'!$C:$C),"")</f>
        <v>MSEDCL</v>
      </c>
      <c r="J186" s="295">
        <f>IFERROR(_xlfn.XLOOKUP(Table6[[#This Row],[Affected Feeder ]],'Basic Data'!$A:$A,'Basic Data'!$E:$E),"")</f>
        <v>2.2727272727272728E-2</v>
      </c>
      <c r="K186" s="296" t="s">
        <v>414</v>
      </c>
      <c r="L186" s="297">
        <v>0.38958333333333334</v>
      </c>
      <c r="M186" s="297">
        <v>0.38958333333333334</v>
      </c>
      <c r="N186" s="297">
        <v>0.41180555555555554</v>
      </c>
      <c r="O186" s="19">
        <f>(Table6[[#This Row],[Work Start TimeStamp]]-Table6[[#This Row],[Fault Start TimeStamp]])*24</f>
        <v>0</v>
      </c>
      <c r="P186" s="19">
        <f>(Table6[[#This Row],[Fault Clearance time]]-Table6[[#This Row],[Fault Start TimeStamp]])*24</f>
        <v>0.53333333333333277</v>
      </c>
      <c r="Q186" s="19">
        <f>(Table6[[#This Row],[Fault Clearance time]]-Table6[[#This Row],[Fault Start TimeStamp]])*24</f>
        <v>0.53333333333333277</v>
      </c>
      <c r="R186" s="79" t="s">
        <v>438</v>
      </c>
      <c r="S186" s="79" t="s">
        <v>339</v>
      </c>
      <c r="T186" s="298">
        <f>IFERROR(Table6[[#This Row],[Breakdown Time]]*Table6[[#This Row],[Plant Equivalent Weightage]],"")</f>
        <v>1.2121212121212109E-2</v>
      </c>
      <c r="U186" s="79" t="s">
        <v>416</v>
      </c>
      <c r="W186" s="79">
        <v>47</v>
      </c>
    </row>
    <row r="187" spans="1:23">
      <c r="A187" s="79">
        <f t="shared" si="2"/>
        <v>186</v>
      </c>
      <c r="B187" s="79">
        <f>YEAR(Table6[[#This Row],[Date]])+IF(MONTH(Table6[[#This Row],[Date]])&gt;=4,1,0)</f>
        <v>2026</v>
      </c>
      <c r="C187" s="79">
        <f>YEAR(Table6[[#This Row],[Date]])</f>
        <v>2025</v>
      </c>
      <c r="D187" s="79" t="s">
        <v>344</v>
      </c>
      <c r="E187" s="284">
        <f>Table6[[#This Row],[Date]]-DAY(Table6[[#This Row],[Date]])+1</f>
        <v>45748</v>
      </c>
      <c r="F187" s="285">
        <v>45753</v>
      </c>
      <c r="G187" s="79" t="s">
        <v>119</v>
      </c>
      <c r="H187" s="79" t="str">
        <f>IFERROR(_xlfn.XLOOKUP(Table6[[#This Row],[Affected Feeder ]],'Basic Data'!$A:$A,'Basic Data'!$B:$B),"")</f>
        <v>PWEPL</v>
      </c>
      <c r="I187" s="79" t="str">
        <f>IFERROR(_xlfn.XLOOKUP(Table6[[#This Row],[Affected Feeder ]],'Basic Data'!$A:$A,'Basic Data'!$C:$C),"")</f>
        <v>MSEDCL</v>
      </c>
      <c r="J187" s="295">
        <f>IFERROR(_xlfn.XLOOKUP(Table6[[#This Row],[Affected Feeder ]],'Basic Data'!$A:$A,'Basic Data'!$E:$E),"")</f>
        <v>2.2727272727272728E-2</v>
      </c>
      <c r="K187" s="296" t="s">
        <v>171</v>
      </c>
      <c r="L187" s="297">
        <v>0.41180555555555554</v>
      </c>
      <c r="M187" s="297">
        <v>0.41180555555555554</v>
      </c>
      <c r="N187" s="297">
        <v>0.42569444444444443</v>
      </c>
      <c r="O187" s="19">
        <f>(Table6[[#This Row],[Work Start TimeStamp]]-Table6[[#This Row],[Fault Start TimeStamp]])*24</f>
        <v>0</v>
      </c>
      <c r="P187" s="19">
        <f>(Table6[[#This Row],[Fault Clearance time]]-Table6[[#This Row],[Fault Start TimeStamp]])*24</f>
        <v>0.33333333333333348</v>
      </c>
      <c r="Q187" s="19">
        <f>(Table6[[#This Row],[Fault Clearance time]]-Table6[[#This Row],[Fault Start TimeStamp]])*24</f>
        <v>0.33333333333333348</v>
      </c>
      <c r="R187" s="79" t="s">
        <v>353</v>
      </c>
      <c r="S187" s="79" t="s">
        <v>339</v>
      </c>
      <c r="T187" s="298">
        <f>IFERROR(Table6[[#This Row],[Breakdown Time]]*Table6[[#This Row],[Plant Equivalent Weightage]],"")</f>
        <v>7.5757575757575794E-3</v>
      </c>
      <c r="U187" s="79" t="s">
        <v>421</v>
      </c>
      <c r="W187" s="79">
        <v>29</v>
      </c>
    </row>
    <row r="188" spans="1:23">
      <c r="A188" s="79">
        <f t="shared" si="2"/>
        <v>187</v>
      </c>
      <c r="B188" s="79">
        <f>YEAR(Table6[[#This Row],[Date]])+IF(MONTH(Table6[[#This Row],[Date]])&gt;=4,1,0)</f>
        <v>2026</v>
      </c>
      <c r="C188" s="79">
        <f>YEAR(Table6[[#This Row],[Date]])</f>
        <v>2025</v>
      </c>
      <c r="D188" s="79" t="s">
        <v>344</v>
      </c>
      <c r="E188" s="284">
        <f>Table6[[#This Row],[Date]]-DAY(Table6[[#This Row],[Date]])+1</f>
        <v>45748</v>
      </c>
      <c r="F188" s="285">
        <v>45753</v>
      </c>
      <c r="G188" s="79" t="s">
        <v>406</v>
      </c>
      <c r="H188" s="79" t="str">
        <f>IFERROR(_xlfn.XLOOKUP(Table6[[#This Row],[Affected Feeder ]],'Basic Data'!$A:$A,'Basic Data'!$B:$B),"")</f>
        <v>PWEPL</v>
      </c>
      <c r="I188" s="79" t="str">
        <f>IFERROR(_xlfn.XLOOKUP(Table6[[#This Row],[Affected Feeder ]],'Basic Data'!$A:$A,'Basic Data'!$C:$C),"")</f>
        <v>MSEDCL</v>
      </c>
      <c r="J188" s="295">
        <f>IFERROR(_xlfn.XLOOKUP(Table6[[#This Row],[Affected Feeder ]],'Basic Data'!$A:$A,'Basic Data'!$E:$E),"")</f>
        <v>0.29545454545454541</v>
      </c>
      <c r="K188" s="296" t="s">
        <v>419</v>
      </c>
      <c r="L188" s="297">
        <v>0.54027777777777775</v>
      </c>
      <c r="M188" s="297">
        <v>0.54027777777777775</v>
      </c>
      <c r="N188" s="297">
        <v>0.56597222222222221</v>
      </c>
      <c r="O188" s="19">
        <f>(Table6[[#This Row],[Work Start TimeStamp]]-Table6[[#This Row],[Fault Start TimeStamp]])*24</f>
        <v>0</v>
      </c>
      <c r="P188" s="19">
        <f>(Table6[[#This Row],[Fault Clearance time]]-Table6[[#This Row],[Fault Start TimeStamp]])*24</f>
        <v>0.61666666666666714</v>
      </c>
      <c r="Q188" s="19">
        <f>(Table6[[#This Row],[Fault Clearance time]]-Table6[[#This Row],[Fault Start TimeStamp]])*24</f>
        <v>0.61666666666666714</v>
      </c>
      <c r="R188" s="79" t="s">
        <v>420</v>
      </c>
      <c r="S188" s="79" t="s">
        <v>339</v>
      </c>
      <c r="T188" s="298">
        <f>IFERROR(Table6[[#This Row],[Breakdown Time]]*Table6[[#This Row],[Plant Equivalent Weightage]],"")</f>
        <v>0.1821969696969698</v>
      </c>
      <c r="U188" s="79" t="s">
        <v>421</v>
      </c>
      <c r="W188" s="79">
        <v>702</v>
      </c>
    </row>
    <row r="189" spans="1:23">
      <c r="A189" s="79">
        <f t="shared" si="2"/>
        <v>188</v>
      </c>
      <c r="B189" s="79">
        <f>YEAR(Table6[[#This Row],[Date]])+IF(MONTH(Table6[[#This Row],[Date]])&gt;=4,1,0)</f>
        <v>2026</v>
      </c>
      <c r="C189" s="79">
        <f>YEAR(Table6[[#This Row],[Date]])</f>
        <v>2025</v>
      </c>
      <c r="D189" s="79" t="s">
        <v>344</v>
      </c>
      <c r="E189" s="284">
        <f>Table6[[#This Row],[Date]]-DAY(Table6[[#This Row],[Date]])+1</f>
        <v>45748</v>
      </c>
      <c r="F189" s="285">
        <v>45753</v>
      </c>
      <c r="G189" s="79" t="s">
        <v>76</v>
      </c>
      <c r="H189" s="79" t="str">
        <f>IFERROR(_xlfn.XLOOKUP(Table6[[#This Row],[Affected Feeder ]],'Basic Data'!$A:$A,'Basic Data'!$B:$B),"")</f>
        <v>PWEPL</v>
      </c>
      <c r="I189" s="79" t="str">
        <f>IFERROR(_xlfn.XLOOKUP(Table6[[#This Row],[Affected Feeder ]],'Basic Data'!$A:$A,'Basic Data'!$C:$C),"")</f>
        <v>MSEDCL</v>
      </c>
      <c r="J189" s="295">
        <f>IFERROR(_xlfn.XLOOKUP(Table6[[#This Row],[Affected Feeder ]],'Basic Data'!$A:$A,'Basic Data'!$E:$E),"")</f>
        <v>2.2727272727272728E-2</v>
      </c>
      <c r="K189" s="296" t="s">
        <v>171</v>
      </c>
      <c r="L189" s="297">
        <v>0.56597222222222221</v>
      </c>
      <c r="M189" s="297">
        <v>0.56597222222222221</v>
      </c>
      <c r="N189" s="297">
        <v>0.57986111111111105</v>
      </c>
      <c r="O189" s="19">
        <f>(Table6[[#This Row],[Work Start TimeStamp]]-Table6[[#This Row],[Fault Start TimeStamp]])*24</f>
        <v>0</v>
      </c>
      <c r="P189" s="19">
        <f>(Table6[[#This Row],[Fault Clearance time]]-Table6[[#This Row],[Fault Start TimeStamp]])*24</f>
        <v>0.33333333333333215</v>
      </c>
      <c r="Q189" s="19">
        <f>(Table6[[#This Row],[Fault Clearance time]]-Table6[[#This Row],[Fault Start TimeStamp]])*24</f>
        <v>0.33333333333333215</v>
      </c>
      <c r="R189" s="79" t="s">
        <v>353</v>
      </c>
      <c r="S189" s="79" t="s">
        <v>339</v>
      </c>
      <c r="T189" s="298">
        <f>IFERROR(Table6[[#This Row],[Breakdown Time]]*Table6[[#This Row],[Plant Equivalent Weightage]],"")</f>
        <v>7.5757575757575491E-3</v>
      </c>
      <c r="U189" s="79" t="s">
        <v>421</v>
      </c>
      <c r="W189" s="79">
        <v>27</v>
      </c>
    </row>
    <row r="190" spans="1:23">
      <c r="A190" s="79">
        <f t="shared" si="2"/>
        <v>189</v>
      </c>
      <c r="B190" s="79">
        <f>YEAR(Table6[[#This Row],[Date]])+IF(MONTH(Table6[[#This Row],[Date]])&gt;=4,1,0)</f>
        <v>2026</v>
      </c>
      <c r="C190" s="79">
        <f>YEAR(Table6[[#This Row],[Date]])</f>
        <v>2025</v>
      </c>
      <c r="D190" s="79" t="s">
        <v>344</v>
      </c>
      <c r="E190" s="284">
        <f>Table6[[#This Row],[Date]]-DAY(Table6[[#This Row],[Date]])+1</f>
        <v>45748</v>
      </c>
      <c r="F190" s="285">
        <v>45753</v>
      </c>
      <c r="G190" s="79" t="s">
        <v>77</v>
      </c>
      <c r="H190" s="79" t="str">
        <f>IFERROR(_xlfn.XLOOKUP(Table6[[#This Row],[Affected Feeder ]],'Basic Data'!$A:$A,'Basic Data'!$B:$B),"")</f>
        <v>PWEPL</v>
      </c>
      <c r="I190" s="79" t="str">
        <f>IFERROR(_xlfn.XLOOKUP(Table6[[#This Row],[Affected Feeder ]],'Basic Data'!$A:$A,'Basic Data'!$C:$C),"")</f>
        <v>MSEDCL</v>
      </c>
      <c r="J190" s="295">
        <f>IFERROR(_xlfn.XLOOKUP(Table6[[#This Row],[Affected Feeder ]],'Basic Data'!$A:$A,'Basic Data'!$E:$E),"")</f>
        <v>2.2727272727272728E-2</v>
      </c>
      <c r="K190" s="296" t="s">
        <v>171</v>
      </c>
      <c r="L190" s="297">
        <v>0.56597222222222221</v>
      </c>
      <c r="M190" s="297">
        <v>0.56597222222222221</v>
      </c>
      <c r="N190" s="297">
        <v>0.57986111111111105</v>
      </c>
      <c r="O190" s="19">
        <f>(Table6[[#This Row],[Work Start TimeStamp]]-Table6[[#This Row],[Fault Start TimeStamp]])*24</f>
        <v>0</v>
      </c>
      <c r="P190" s="19">
        <f>(Table6[[#This Row],[Fault Clearance time]]-Table6[[#This Row],[Fault Start TimeStamp]])*24</f>
        <v>0.33333333333333215</v>
      </c>
      <c r="Q190" s="19">
        <f>(Table6[[#This Row],[Fault Clearance time]]-Table6[[#This Row],[Fault Start TimeStamp]])*24</f>
        <v>0.33333333333333215</v>
      </c>
      <c r="R190" s="79" t="s">
        <v>353</v>
      </c>
      <c r="S190" s="79" t="s">
        <v>339</v>
      </c>
      <c r="T190" s="298">
        <f>IFERROR(Table6[[#This Row],[Breakdown Time]]*Table6[[#This Row],[Plant Equivalent Weightage]],"")</f>
        <v>7.5757575757575491E-3</v>
      </c>
      <c r="U190" s="79" t="s">
        <v>421</v>
      </c>
      <c r="W190" s="79">
        <v>27</v>
      </c>
    </row>
    <row r="191" spans="1:23">
      <c r="A191" s="79">
        <f t="shared" si="2"/>
        <v>190</v>
      </c>
      <c r="B191" s="79">
        <f>YEAR(Table6[[#This Row],[Date]])+IF(MONTH(Table6[[#This Row],[Date]])&gt;=4,1,0)</f>
        <v>2026</v>
      </c>
      <c r="C191" s="79">
        <f>YEAR(Table6[[#This Row],[Date]])</f>
        <v>2025</v>
      </c>
      <c r="D191" s="79" t="s">
        <v>344</v>
      </c>
      <c r="E191" s="284">
        <f>Table6[[#This Row],[Date]]-DAY(Table6[[#This Row],[Date]])+1</f>
        <v>45748</v>
      </c>
      <c r="F191" s="285">
        <v>45753</v>
      </c>
      <c r="G191" s="79" t="s">
        <v>78</v>
      </c>
      <c r="H191" s="79" t="str">
        <f>IFERROR(_xlfn.XLOOKUP(Table6[[#This Row],[Affected Feeder ]],'Basic Data'!$A:$A,'Basic Data'!$B:$B),"")</f>
        <v>PWEPL</v>
      </c>
      <c r="I191" s="79" t="str">
        <f>IFERROR(_xlfn.XLOOKUP(Table6[[#This Row],[Affected Feeder ]],'Basic Data'!$A:$A,'Basic Data'!$C:$C),"")</f>
        <v>MSEDCL</v>
      </c>
      <c r="J191" s="295">
        <f>IFERROR(_xlfn.XLOOKUP(Table6[[#This Row],[Affected Feeder ]],'Basic Data'!$A:$A,'Basic Data'!$E:$E),"")</f>
        <v>2.2727272727272728E-2</v>
      </c>
      <c r="K191" s="296" t="s">
        <v>171</v>
      </c>
      <c r="L191" s="297">
        <v>0.56597222222222221</v>
      </c>
      <c r="M191" s="297">
        <v>0.56597222222222221</v>
      </c>
      <c r="N191" s="297">
        <v>0.57986111111111105</v>
      </c>
      <c r="O191" s="19">
        <f>(Table6[[#This Row],[Work Start TimeStamp]]-Table6[[#This Row],[Fault Start TimeStamp]])*24</f>
        <v>0</v>
      </c>
      <c r="P191" s="19">
        <f>(Table6[[#This Row],[Fault Clearance time]]-Table6[[#This Row],[Fault Start TimeStamp]])*24</f>
        <v>0.33333333333333215</v>
      </c>
      <c r="Q191" s="19">
        <f>(Table6[[#This Row],[Fault Clearance time]]-Table6[[#This Row],[Fault Start TimeStamp]])*24</f>
        <v>0.33333333333333215</v>
      </c>
      <c r="R191" s="79" t="s">
        <v>353</v>
      </c>
      <c r="S191" s="79" t="s">
        <v>339</v>
      </c>
      <c r="T191" s="298">
        <f>IFERROR(Table6[[#This Row],[Breakdown Time]]*Table6[[#This Row],[Plant Equivalent Weightage]],"")</f>
        <v>7.5757575757575491E-3</v>
      </c>
      <c r="U191" s="79" t="s">
        <v>421</v>
      </c>
      <c r="W191" s="79">
        <v>27</v>
      </c>
    </row>
    <row r="192" spans="1:23">
      <c r="A192" s="79">
        <f t="shared" si="2"/>
        <v>191</v>
      </c>
      <c r="B192" s="79">
        <f>YEAR(Table6[[#This Row],[Date]])+IF(MONTH(Table6[[#This Row],[Date]])&gt;=4,1,0)</f>
        <v>2026</v>
      </c>
      <c r="C192" s="79">
        <f>YEAR(Table6[[#This Row],[Date]])</f>
        <v>2025</v>
      </c>
      <c r="D192" s="79" t="s">
        <v>344</v>
      </c>
      <c r="E192" s="284">
        <f>Table6[[#This Row],[Date]]-DAY(Table6[[#This Row],[Date]])+1</f>
        <v>45748</v>
      </c>
      <c r="F192" s="285">
        <v>45753</v>
      </c>
      <c r="G192" s="79" t="s">
        <v>82</v>
      </c>
      <c r="H192" s="79" t="str">
        <f>IFERROR(_xlfn.XLOOKUP(Table6[[#This Row],[Affected Feeder ]],'Basic Data'!$A:$A,'Basic Data'!$B:$B),"")</f>
        <v>PWEPL</v>
      </c>
      <c r="I192" s="79" t="str">
        <f>IFERROR(_xlfn.XLOOKUP(Table6[[#This Row],[Affected Feeder ]],'Basic Data'!$A:$A,'Basic Data'!$C:$C),"")</f>
        <v>MSEDCL</v>
      </c>
      <c r="J192" s="295">
        <f>IFERROR(_xlfn.XLOOKUP(Table6[[#This Row],[Affected Feeder ]],'Basic Data'!$A:$A,'Basic Data'!$E:$E),"")</f>
        <v>2.2727272727272728E-2</v>
      </c>
      <c r="K192" s="296" t="s">
        <v>171</v>
      </c>
      <c r="L192" s="297">
        <v>0.56597222222222221</v>
      </c>
      <c r="M192" s="297">
        <v>0.56597222222222221</v>
      </c>
      <c r="N192" s="297">
        <v>0.57986111111111105</v>
      </c>
      <c r="O192" s="19">
        <f>(Table6[[#This Row],[Work Start TimeStamp]]-Table6[[#This Row],[Fault Start TimeStamp]])*24</f>
        <v>0</v>
      </c>
      <c r="P192" s="19">
        <f>(Table6[[#This Row],[Fault Clearance time]]-Table6[[#This Row],[Fault Start TimeStamp]])*24</f>
        <v>0.33333333333333215</v>
      </c>
      <c r="Q192" s="19">
        <f>(Table6[[#This Row],[Fault Clearance time]]-Table6[[#This Row],[Fault Start TimeStamp]])*24</f>
        <v>0.33333333333333215</v>
      </c>
      <c r="R192" s="79" t="s">
        <v>353</v>
      </c>
      <c r="S192" s="79" t="s">
        <v>339</v>
      </c>
      <c r="T192" s="298">
        <f>IFERROR(Table6[[#This Row],[Breakdown Time]]*Table6[[#This Row],[Plant Equivalent Weightage]],"")</f>
        <v>7.5757575757575491E-3</v>
      </c>
      <c r="U192" s="79" t="s">
        <v>421</v>
      </c>
      <c r="W192" s="79">
        <v>27</v>
      </c>
    </row>
    <row r="193" spans="1:23">
      <c r="A193" s="79">
        <f t="shared" si="2"/>
        <v>192</v>
      </c>
      <c r="B193" s="79">
        <f>YEAR(Table6[[#This Row],[Date]])+IF(MONTH(Table6[[#This Row],[Date]])&gt;=4,1,0)</f>
        <v>2026</v>
      </c>
      <c r="C193" s="79">
        <f>YEAR(Table6[[#This Row],[Date]])</f>
        <v>2025</v>
      </c>
      <c r="D193" s="79" t="s">
        <v>344</v>
      </c>
      <c r="E193" s="284">
        <f>Table6[[#This Row],[Date]]-DAY(Table6[[#This Row],[Date]])+1</f>
        <v>45748</v>
      </c>
      <c r="F193" s="285">
        <v>45753</v>
      </c>
      <c r="G193" s="79" t="s">
        <v>93</v>
      </c>
      <c r="H193" s="79" t="str">
        <f>IFERROR(_xlfn.XLOOKUP(Table6[[#This Row],[Affected Feeder ]],'Basic Data'!$A:$A,'Basic Data'!$B:$B),"")</f>
        <v>PWEPL</v>
      </c>
      <c r="I193" s="79" t="str">
        <f>IFERROR(_xlfn.XLOOKUP(Table6[[#This Row],[Affected Feeder ]],'Basic Data'!$A:$A,'Basic Data'!$C:$C),"")</f>
        <v>MSEDCL</v>
      </c>
      <c r="J193" s="295">
        <f>IFERROR(_xlfn.XLOOKUP(Table6[[#This Row],[Affected Feeder ]],'Basic Data'!$A:$A,'Basic Data'!$E:$E),"")</f>
        <v>2.2727272727272728E-2</v>
      </c>
      <c r="K193" s="296" t="s">
        <v>171</v>
      </c>
      <c r="L193" s="297">
        <v>0.56597222222222221</v>
      </c>
      <c r="M193" s="297">
        <v>0.56597222222222221</v>
      </c>
      <c r="N193" s="297">
        <v>0.57986111111111105</v>
      </c>
      <c r="O193" s="19">
        <f>(Table6[[#This Row],[Work Start TimeStamp]]-Table6[[#This Row],[Fault Start TimeStamp]])*24</f>
        <v>0</v>
      </c>
      <c r="P193" s="19">
        <f>(Table6[[#This Row],[Fault Clearance time]]-Table6[[#This Row],[Fault Start TimeStamp]])*24</f>
        <v>0.33333333333333215</v>
      </c>
      <c r="Q193" s="19">
        <f>(Table6[[#This Row],[Fault Clearance time]]-Table6[[#This Row],[Fault Start TimeStamp]])*24</f>
        <v>0.33333333333333215</v>
      </c>
      <c r="R193" s="79" t="s">
        <v>353</v>
      </c>
      <c r="S193" s="79" t="s">
        <v>339</v>
      </c>
      <c r="T193" s="298">
        <f>IFERROR(Table6[[#This Row],[Breakdown Time]]*Table6[[#This Row],[Plant Equivalent Weightage]],"")</f>
        <v>7.5757575757575491E-3</v>
      </c>
      <c r="U193" s="79" t="s">
        <v>421</v>
      </c>
      <c r="W193" s="79">
        <v>27</v>
      </c>
    </row>
    <row r="194" spans="1:23">
      <c r="A194" s="79">
        <f t="shared" si="2"/>
        <v>193</v>
      </c>
      <c r="B194" s="79">
        <f>YEAR(Table6[[#This Row],[Date]])+IF(MONTH(Table6[[#This Row],[Date]])&gt;=4,1,0)</f>
        <v>2026</v>
      </c>
      <c r="C194" s="79">
        <f>YEAR(Table6[[#This Row],[Date]])</f>
        <v>2025</v>
      </c>
      <c r="D194" s="79" t="s">
        <v>344</v>
      </c>
      <c r="E194" s="284">
        <f>Table6[[#This Row],[Date]]-DAY(Table6[[#This Row],[Date]])+1</f>
        <v>45748</v>
      </c>
      <c r="F194" s="285">
        <v>45753</v>
      </c>
      <c r="G194" s="79" t="s">
        <v>119</v>
      </c>
      <c r="H194" s="79" t="str">
        <f>IFERROR(_xlfn.XLOOKUP(Table6[[#This Row],[Affected Feeder ]],'Basic Data'!$A:$A,'Basic Data'!$B:$B),"")</f>
        <v>PWEPL</v>
      </c>
      <c r="I194" s="79" t="str">
        <f>IFERROR(_xlfn.XLOOKUP(Table6[[#This Row],[Affected Feeder ]],'Basic Data'!$A:$A,'Basic Data'!$C:$C),"")</f>
        <v>MSEDCL</v>
      </c>
      <c r="J194" s="295">
        <f>IFERROR(_xlfn.XLOOKUP(Table6[[#This Row],[Affected Feeder ]],'Basic Data'!$A:$A,'Basic Data'!$E:$E),"")</f>
        <v>2.2727272727272728E-2</v>
      </c>
      <c r="K194" s="296" t="s">
        <v>171</v>
      </c>
      <c r="L194" s="297">
        <v>0.56597222222222221</v>
      </c>
      <c r="M194" s="297">
        <v>0.56597222222222221</v>
      </c>
      <c r="N194" s="297">
        <v>0.57986111111111105</v>
      </c>
      <c r="O194" s="19">
        <f>(Table6[[#This Row],[Work Start TimeStamp]]-Table6[[#This Row],[Fault Start TimeStamp]])*24</f>
        <v>0</v>
      </c>
      <c r="P194" s="19">
        <f>(Table6[[#This Row],[Fault Clearance time]]-Table6[[#This Row],[Fault Start TimeStamp]])*24</f>
        <v>0.33333333333333215</v>
      </c>
      <c r="Q194" s="19">
        <f>(Table6[[#This Row],[Fault Clearance time]]-Table6[[#This Row],[Fault Start TimeStamp]])*24</f>
        <v>0.33333333333333215</v>
      </c>
      <c r="R194" s="79" t="s">
        <v>353</v>
      </c>
      <c r="S194" s="79" t="s">
        <v>339</v>
      </c>
      <c r="T194" s="298">
        <f>IFERROR(Table6[[#This Row],[Breakdown Time]]*Table6[[#This Row],[Plant Equivalent Weightage]],"")</f>
        <v>7.5757575757575491E-3</v>
      </c>
      <c r="U194" s="79" t="s">
        <v>421</v>
      </c>
      <c r="W194" s="79">
        <v>27</v>
      </c>
    </row>
    <row r="195" spans="1:23">
      <c r="A195" s="79">
        <f t="shared" si="2"/>
        <v>194</v>
      </c>
      <c r="B195" s="79">
        <f>YEAR(Table6[[#This Row],[Date]])+IF(MONTH(Table6[[#This Row],[Date]])&gt;=4,1,0)</f>
        <v>2026</v>
      </c>
      <c r="C195" s="79">
        <f>YEAR(Table6[[#This Row],[Date]])</f>
        <v>2025</v>
      </c>
      <c r="D195" s="79" t="s">
        <v>344</v>
      </c>
      <c r="E195" s="284">
        <f>Table6[[#This Row],[Date]]-DAY(Table6[[#This Row],[Date]])+1</f>
        <v>45748</v>
      </c>
      <c r="F195" s="285">
        <v>45753</v>
      </c>
      <c r="G195" s="79" t="s">
        <v>103</v>
      </c>
      <c r="H195" s="79" t="str">
        <f>IFERROR(_xlfn.XLOOKUP(Table6[[#This Row],[Affected Feeder ]],'Basic Data'!$A:$A,'Basic Data'!$B:$B),"")</f>
        <v>PWEPL</v>
      </c>
      <c r="I195" s="79" t="str">
        <f>IFERROR(_xlfn.XLOOKUP(Table6[[#This Row],[Affected Feeder ]],'Basic Data'!$A:$A,'Basic Data'!$C:$C),"")</f>
        <v>MSEDCL</v>
      </c>
      <c r="J195" s="295">
        <f>IFERROR(_xlfn.XLOOKUP(Table6[[#This Row],[Affected Feeder ]],'Basic Data'!$A:$A,'Basic Data'!$E:$E),"")</f>
        <v>2.2727272727272728E-2</v>
      </c>
      <c r="K195" s="296" t="s">
        <v>171</v>
      </c>
      <c r="L195" s="297">
        <v>0.56597222222222221</v>
      </c>
      <c r="M195" s="297">
        <v>0.56597222222222221</v>
      </c>
      <c r="N195" s="297">
        <v>0.57986111111111105</v>
      </c>
      <c r="O195" s="19">
        <f>(Table6[[#This Row],[Work Start TimeStamp]]-Table6[[#This Row],[Fault Start TimeStamp]])*24</f>
        <v>0</v>
      </c>
      <c r="P195" s="19">
        <f>(Table6[[#This Row],[Fault Clearance time]]-Table6[[#This Row],[Fault Start TimeStamp]])*24</f>
        <v>0.33333333333333215</v>
      </c>
      <c r="Q195" s="19">
        <f>(Table6[[#This Row],[Fault Clearance time]]-Table6[[#This Row],[Fault Start TimeStamp]])*24</f>
        <v>0.33333333333333215</v>
      </c>
      <c r="R195" s="79" t="s">
        <v>353</v>
      </c>
      <c r="S195" s="79" t="s">
        <v>339</v>
      </c>
      <c r="T195" s="298">
        <f>IFERROR(Table6[[#This Row],[Breakdown Time]]*Table6[[#This Row],[Plant Equivalent Weightage]],"")</f>
        <v>7.5757575757575491E-3</v>
      </c>
      <c r="U195" s="79" t="s">
        <v>421</v>
      </c>
      <c r="W195" s="79">
        <v>27</v>
      </c>
    </row>
    <row r="196" spans="1:23">
      <c r="A196" s="79">
        <f t="shared" ref="A196:A259" si="3">A195+1</f>
        <v>195</v>
      </c>
      <c r="B196" s="79">
        <f>YEAR(Table6[[#This Row],[Date]])+IF(MONTH(Table6[[#This Row],[Date]])&gt;=4,1,0)</f>
        <v>2026</v>
      </c>
      <c r="C196" s="79">
        <f>YEAR(Table6[[#This Row],[Date]])</f>
        <v>2025</v>
      </c>
      <c r="D196" s="79" t="s">
        <v>344</v>
      </c>
      <c r="E196" s="284">
        <f>Table6[[#This Row],[Date]]-DAY(Table6[[#This Row],[Date]])+1</f>
        <v>45748</v>
      </c>
      <c r="F196" s="285">
        <v>45753</v>
      </c>
      <c r="G196" s="79" t="s">
        <v>105</v>
      </c>
      <c r="H196" s="79" t="str">
        <f>IFERROR(_xlfn.XLOOKUP(Table6[[#This Row],[Affected Feeder ]],'Basic Data'!$A:$A,'Basic Data'!$B:$B),"")</f>
        <v>PWEPL</v>
      </c>
      <c r="I196" s="79" t="str">
        <f>IFERROR(_xlfn.XLOOKUP(Table6[[#This Row],[Affected Feeder ]],'Basic Data'!$A:$A,'Basic Data'!$C:$C),"")</f>
        <v>MSEDCL</v>
      </c>
      <c r="J196" s="295">
        <f>IFERROR(_xlfn.XLOOKUP(Table6[[#This Row],[Affected Feeder ]],'Basic Data'!$A:$A,'Basic Data'!$E:$E),"")</f>
        <v>2.2727272727272728E-2</v>
      </c>
      <c r="K196" s="296" t="s">
        <v>171</v>
      </c>
      <c r="L196" s="297">
        <v>0.56597222222222221</v>
      </c>
      <c r="M196" s="297">
        <v>0.56597222222222221</v>
      </c>
      <c r="N196" s="297">
        <v>0.57986111111111105</v>
      </c>
      <c r="O196" s="19">
        <f>(Table6[[#This Row],[Work Start TimeStamp]]-Table6[[#This Row],[Fault Start TimeStamp]])*24</f>
        <v>0</v>
      </c>
      <c r="P196" s="19">
        <f>(Table6[[#This Row],[Fault Clearance time]]-Table6[[#This Row],[Fault Start TimeStamp]])*24</f>
        <v>0.33333333333333215</v>
      </c>
      <c r="Q196" s="19">
        <f>(Table6[[#This Row],[Fault Clearance time]]-Table6[[#This Row],[Fault Start TimeStamp]])*24</f>
        <v>0.33333333333333215</v>
      </c>
      <c r="R196" s="79" t="s">
        <v>353</v>
      </c>
      <c r="S196" s="79" t="s">
        <v>339</v>
      </c>
      <c r="T196" s="298">
        <f>IFERROR(Table6[[#This Row],[Breakdown Time]]*Table6[[#This Row],[Plant Equivalent Weightage]],"")</f>
        <v>7.5757575757575491E-3</v>
      </c>
      <c r="U196" s="79" t="s">
        <v>421</v>
      </c>
      <c r="W196" s="79">
        <v>27</v>
      </c>
    </row>
    <row r="197" spans="1:23">
      <c r="A197" s="79">
        <f t="shared" si="3"/>
        <v>196</v>
      </c>
      <c r="B197" s="79">
        <f>YEAR(Table6[[#This Row],[Date]])+IF(MONTH(Table6[[#This Row],[Date]])&gt;=4,1,0)</f>
        <v>2026</v>
      </c>
      <c r="C197" s="79">
        <f>YEAR(Table6[[#This Row],[Date]])</f>
        <v>2025</v>
      </c>
      <c r="D197" s="79" t="s">
        <v>344</v>
      </c>
      <c r="E197" s="284">
        <f>Table6[[#This Row],[Date]]-DAY(Table6[[#This Row],[Date]])+1</f>
        <v>45748</v>
      </c>
      <c r="F197" s="285">
        <v>45753</v>
      </c>
      <c r="G197" s="79" t="s">
        <v>115</v>
      </c>
      <c r="H197" s="79" t="str">
        <f>IFERROR(_xlfn.XLOOKUP(Table6[[#This Row],[Affected Feeder ]],'Basic Data'!$A:$A,'Basic Data'!$B:$B),"")</f>
        <v>PWEPL</v>
      </c>
      <c r="I197" s="79" t="str">
        <f>IFERROR(_xlfn.XLOOKUP(Table6[[#This Row],[Affected Feeder ]],'Basic Data'!$A:$A,'Basic Data'!$C:$C),"")</f>
        <v>MSEDCL</v>
      </c>
      <c r="J197" s="295">
        <f>IFERROR(_xlfn.XLOOKUP(Table6[[#This Row],[Affected Feeder ]],'Basic Data'!$A:$A,'Basic Data'!$E:$E),"")</f>
        <v>2.2727272727272728E-2</v>
      </c>
      <c r="K197" s="296" t="s">
        <v>171</v>
      </c>
      <c r="L197" s="297">
        <v>0.56597222222222221</v>
      </c>
      <c r="M197" s="297">
        <v>0.56597222222222221</v>
      </c>
      <c r="N197" s="297">
        <v>0.57986111111111105</v>
      </c>
      <c r="O197" s="19">
        <f>(Table6[[#This Row],[Work Start TimeStamp]]-Table6[[#This Row],[Fault Start TimeStamp]])*24</f>
        <v>0</v>
      </c>
      <c r="P197" s="19">
        <f>(Table6[[#This Row],[Fault Clearance time]]-Table6[[#This Row],[Fault Start TimeStamp]])*24</f>
        <v>0.33333333333333215</v>
      </c>
      <c r="Q197" s="19">
        <f>(Table6[[#This Row],[Fault Clearance time]]-Table6[[#This Row],[Fault Start TimeStamp]])*24</f>
        <v>0.33333333333333215</v>
      </c>
      <c r="R197" s="79" t="s">
        <v>353</v>
      </c>
      <c r="S197" s="79" t="s">
        <v>339</v>
      </c>
      <c r="T197" s="298">
        <f>IFERROR(Table6[[#This Row],[Breakdown Time]]*Table6[[#This Row],[Plant Equivalent Weightage]],"")</f>
        <v>7.5757575757575491E-3</v>
      </c>
      <c r="U197" s="79" t="s">
        <v>421</v>
      </c>
      <c r="W197" s="79">
        <v>27</v>
      </c>
    </row>
    <row r="198" spans="1:23">
      <c r="A198" s="79">
        <f t="shared" si="3"/>
        <v>197</v>
      </c>
      <c r="B198" s="79">
        <f>YEAR(Table6[[#This Row],[Date]])+IF(MONTH(Table6[[#This Row],[Date]])&gt;=4,1,0)</f>
        <v>2026</v>
      </c>
      <c r="C198" s="79">
        <f>YEAR(Table6[[#This Row],[Date]])</f>
        <v>2025</v>
      </c>
      <c r="D198" s="79" t="s">
        <v>344</v>
      </c>
      <c r="E198" s="284">
        <f>Table6[[#This Row],[Date]]-DAY(Table6[[#This Row],[Date]])+1</f>
        <v>45748</v>
      </c>
      <c r="F198" s="285">
        <v>45753</v>
      </c>
      <c r="G198" s="79" t="s">
        <v>116</v>
      </c>
      <c r="H198" s="79" t="str">
        <f>IFERROR(_xlfn.XLOOKUP(Table6[[#This Row],[Affected Feeder ]],'Basic Data'!$A:$A,'Basic Data'!$B:$B),"")</f>
        <v>PWEPL</v>
      </c>
      <c r="I198" s="79" t="str">
        <f>IFERROR(_xlfn.XLOOKUP(Table6[[#This Row],[Affected Feeder ]],'Basic Data'!$A:$A,'Basic Data'!$C:$C),"")</f>
        <v>MSEDCL</v>
      </c>
      <c r="J198" s="295">
        <f>IFERROR(_xlfn.XLOOKUP(Table6[[#This Row],[Affected Feeder ]],'Basic Data'!$A:$A,'Basic Data'!$E:$E),"")</f>
        <v>2.2727272727272728E-2</v>
      </c>
      <c r="K198" s="296" t="s">
        <v>171</v>
      </c>
      <c r="L198" s="297">
        <v>0.56597222222222221</v>
      </c>
      <c r="M198" s="297">
        <v>0.56597222222222221</v>
      </c>
      <c r="N198" s="297">
        <v>0.57986111111111105</v>
      </c>
      <c r="O198" s="19">
        <f>(Table6[[#This Row],[Work Start TimeStamp]]-Table6[[#This Row],[Fault Start TimeStamp]])*24</f>
        <v>0</v>
      </c>
      <c r="P198" s="19">
        <f>(Table6[[#This Row],[Fault Clearance time]]-Table6[[#This Row],[Fault Start TimeStamp]])*24</f>
        <v>0.33333333333333215</v>
      </c>
      <c r="Q198" s="19">
        <f>(Table6[[#This Row],[Fault Clearance time]]-Table6[[#This Row],[Fault Start TimeStamp]])*24</f>
        <v>0.33333333333333215</v>
      </c>
      <c r="R198" s="79" t="s">
        <v>353</v>
      </c>
      <c r="S198" s="79" t="s">
        <v>339</v>
      </c>
      <c r="T198" s="298">
        <f>IFERROR(Table6[[#This Row],[Breakdown Time]]*Table6[[#This Row],[Plant Equivalent Weightage]],"")</f>
        <v>7.5757575757575491E-3</v>
      </c>
      <c r="U198" s="79" t="s">
        <v>421</v>
      </c>
      <c r="W198" s="79">
        <v>27</v>
      </c>
    </row>
    <row r="199" spans="1:23">
      <c r="A199" s="79">
        <f t="shared" si="3"/>
        <v>198</v>
      </c>
      <c r="B199" s="79">
        <f>YEAR(Table6[[#This Row],[Date]])+IF(MONTH(Table6[[#This Row],[Date]])&gt;=4,1,0)</f>
        <v>2026</v>
      </c>
      <c r="C199" s="79">
        <f>YEAR(Table6[[#This Row],[Date]])</f>
        <v>2025</v>
      </c>
      <c r="D199" s="79" t="s">
        <v>344</v>
      </c>
      <c r="E199" s="284">
        <f>Table6[[#This Row],[Date]]-DAY(Table6[[#This Row],[Date]])+1</f>
        <v>45748</v>
      </c>
      <c r="F199" s="285">
        <v>45753</v>
      </c>
      <c r="G199" s="79" t="s">
        <v>117</v>
      </c>
      <c r="H199" s="79" t="str">
        <f>IFERROR(_xlfn.XLOOKUP(Table6[[#This Row],[Affected Feeder ]],'Basic Data'!$A:$A,'Basic Data'!$B:$B),"")</f>
        <v>PWEPL</v>
      </c>
      <c r="I199" s="79" t="str">
        <f>IFERROR(_xlfn.XLOOKUP(Table6[[#This Row],[Affected Feeder ]],'Basic Data'!$A:$A,'Basic Data'!$C:$C),"")</f>
        <v>MSEDCL</v>
      </c>
      <c r="J199" s="295">
        <f>IFERROR(_xlfn.XLOOKUP(Table6[[#This Row],[Affected Feeder ]],'Basic Data'!$A:$A,'Basic Data'!$E:$E),"")</f>
        <v>2.2727272727272728E-2</v>
      </c>
      <c r="K199" s="296" t="s">
        <v>171</v>
      </c>
      <c r="L199" s="297">
        <v>0.56597222222222221</v>
      </c>
      <c r="M199" s="297">
        <v>0.56597222222222221</v>
      </c>
      <c r="N199" s="297">
        <v>0.57986111111111105</v>
      </c>
      <c r="O199" s="19">
        <f>(Table6[[#This Row],[Work Start TimeStamp]]-Table6[[#This Row],[Fault Start TimeStamp]])*24</f>
        <v>0</v>
      </c>
      <c r="P199" s="19">
        <f>(Table6[[#This Row],[Fault Clearance time]]-Table6[[#This Row],[Fault Start TimeStamp]])*24</f>
        <v>0.33333333333333215</v>
      </c>
      <c r="Q199" s="19">
        <f>(Table6[[#This Row],[Fault Clearance time]]-Table6[[#This Row],[Fault Start TimeStamp]])*24</f>
        <v>0.33333333333333215</v>
      </c>
      <c r="R199" s="79" t="s">
        <v>353</v>
      </c>
      <c r="S199" s="79" t="s">
        <v>339</v>
      </c>
      <c r="T199" s="298">
        <f>IFERROR(Table6[[#This Row],[Breakdown Time]]*Table6[[#This Row],[Plant Equivalent Weightage]],"")</f>
        <v>7.5757575757575491E-3</v>
      </c>
      <c r="U199" s="79" t="s">
        <v>421</v>
      </c>
      <c r="W199" s="79">
        <v>27</v>
      </c>
    </row>
    <row r="200" spans="1:23">
      <c r="A200" s="79">
        <f t="shared" si="3"/>
        <v>199</v>
      </c>
      <c r="B200" s="79">
        <f>YEAR(Table6[[#This Row],[Date]])+IF(MONTH(Table6[[#This Row],[Date]])&gt;=4,1,0)</f>
        <v>2026</v>
      </c>
      <c r="C200" s="79">
        <f>YEAR(Table6[[#This Row],[Date]])</f>
        <v>2025</v>
      </c>
      <c r="D200" s="79" t="s">
        <v>344</v>
      </c>
      <c r="E200" s="284">
        <f>Table6[[#This Row],[Date]]-DAY(Table6[[#This Row],[Date]])+1</f>
        <v>45748</v>
      </c>
      <c r="F200" s="285">
        <v>45753</v>
      </c>
      <c r="G200" s="79" t="s">
        <v>118</v>
      </c>
      <c r="H200" s="79" t="str">
        <f>IFERROR(_xlfn.XLOOKUP(Table6[[#This Row],[Affected Feeder ]],'Basic Data'!$A:$A,'Basic Data'!$B:$B),"")</f>
        <v>PWEPL</v>
      </c>
      <c r="I200" s="79" t="str">
        <f>IFERROR(_xlfn.XLOOKUP(Table6[[#This Row],[Affected Feeder ]],'Basic Data'!$A:$A,'Basic Data'!$C:$C),"")</f>
        <v>MSEDCL</v>
      </c>
      <c r="J200" s="295">
        <f>IFERROR(_xlfn.XLOOKUP(Table6[[#This Row],[Affected Feeder ]],'Basic Data'!$A:$A,'Basic Data'!$E:$E),"")</f>
        <v>2.2727272727272728E-2</v>
      </c>
      <c r="K200" s="296" t="s">
        <v>171</v>
      </c>
      <c r="L200" s="297">
        <v>0.56597222222222221</v>
      </c>
      <c r="M200" s="297">
        <v>0.56597222222222221</v>
      </c>
      <c r="N200" s="297">
        <v>0.57986111111111105</v>
      </c>
      <c r="O200" s="19">
        <f>(Table6[[#This Row],[Work Start TimeStamp]]-Table6[[#This Row],[Fault Start TimeStamp]])*24</f>
        <v>0</v>
      </c>
      <c r="P200" s="19">
        <f>(Table6[[#This Row],[Fault Clearance time]]-Table6[[#This Row],[Fault Start TimeStamp]])*24</f>
        <v>0.33333333333333215</v>
      </c>
      <c r="Q200" s="19">
        <f>(Table6[[#This Row],[Fault Clearance time]]-Table6[[#This Row],[Fault Start TimeStamp]])*24</f>
        <v>0.33333333333333215</v>
      </c>
      <c r="R200" s="79" t="s">
        <v>353</v>
      </c>
      <c r="S200" s="79" t="s">
        <v>339</v>
      </c>
      <c r="T200" s="298">
        <f>IFERROR(Table6[[#This Row],[Breakdown Time]]*Table6[[#This Row],[Plant Equivalent Weightage]],"")</f>
        <v>7.5757575757575491E-3</v>
      </c>
      <c r="U200" s="79" t="s">
        <v>416</v>
      </c>
      <c r="W200" s="79">
        <v>27</v>
      </c>
    </row>
    <row r="201" spans="1:23">
      <c r="A201" s="79">
        <f t="shared" si="3"/>
        <v>200</v>
      </c>
      <c r="B201" s="79">
        <f>YEAR(Table6[[#This Row],[Date]])+IF(MONTH(Table6[[#This Row],[Date]])&gt;=4,1,0)</f>
        <v>2026</v>
      </c>
      <c r="C201" s="79">
        <f>YEAR(Table6[[#This Row],[Date]])</f>
        <v>2025</v>
      </c>
      <c r="D201" s="79" t="s">
        <v>344</v>
      </c>
      <c r="E201" s="284">
        <f>Table6[[#This Row],[Date]]-DAY(Table6[[#This Row],[Date]])+1</f>
        <v>45748</v>
      </c>
      <c r="F201" s="285">
        <v>45753</v>
      </c>
      <c r="G201" s="79" t="s">
        <v>76</v>
      </c>
      <c r="H201" s="79" t="str">
        <f>IFERROR(_xlfn.XLOOKUP(Table6[[#This Row],[Affected Feeder ]],'Basic Data'!$A:$A,'Basic Data'!$B:$B),"")</f>
        <v>PWEPL</v>
      </c>
      <c r="I201" s="79" t="str">
        <f>IFERROR(_xlfn.XLOOKUP(Table6[[#This Row],[Affected Feeder ]],'Basic Data'!$A:$A,'Basic Data'!$C:$C),"")</f>
        <v>MSEDCL</v>
      </c>
      <c r="J201" s="295">
        <f>IFERROR(_xlfn.XLOOKUP(Table6[[#This Row],[Affected Feeder ]],'Basic Data'!$A:$A,'Basic Data'!$E:$E),"")</f>
        <v>2.2727272727272728E-2</v>
      </c>
      <c r="K201" s="296" t="s">
        <v>414</v>
      </c>
      <c r="L201" s="297">
        <v>0.77569444444444446</v>
      </c>
      <c r="M201" s="297">
        <v>0.77569444444444446</v>
      </c>
      <c r="N201" s="297">
        <v>0.80625000000000002</v>
      </c>
      <c r="O201" s="19">
        <f>(Table6[[#This Row],[Work Start TimeStamp]]-Table6[[#This Row],[Fault Start TimeStamp]])*24</f>
        <v>0</v>
      </c>
      <c r="P201" s="19">
        <f>(Table6[[#This Row],[Fault Clearance time]]-Table6[[#This Row],[Fault Start TimeStamp]])*24</f>
        <v>0.73333333333333339</v>
      </c>
      <c r="Q201" s="19">
        <f>(Table6[[#This Row],[Fault Clearance time]]-Table6[[#This Row],[Fault Start TimeStamp]])*24</f>
        <v>0.73333333333333339</v>
      </c>
      <c r="R201" s="79" t="s">
        <v>440</v>
      </c>
      <c r="S201" s="79" t="s">
        <v>339</v>
      </c>
      <c r="T201" s="298">
        <f>IFERROR(Table6[[#This Row],[Breakdown Time]]*Table6[[#This Row],[Plant Equivalent Weightage]],"")</f>
        <v>1.666666666666667E-2</v>
      </c>
      <c r="U201" s="79" t="s">
        <v>416</v>
      </c>
      <c r="W201" s="79">
        <v>65</v>
      </c>
    </row>
    <row r="202" spans="1:23">
      <c r="A202" s="79">
        <f t="shared" si="3"/>
        <v>201</v>
      </c>
      <c r="B202" s="79">
        <f>YEAR(Table6[[#This Row],[Date]])+IF(MONTH(Table6[[#This Row],[Date]])&gt;=4,1,0)</f>
        <v>2026</v>
      </c>
      <c r="C202" s="79">
        <f>YEAR(Table6[[#This Row],[Date]])</f>
        <v>2025</v>
      </c>
      <c r="D202" s="79" t="s">
        <v>344</v>
      </c>
      <c r="E202" s="284">
        <f>Table6[[#This Row],[Date]]-DAY(Table6[[#This Row],[Date]])+1</f>
        <v>45748</v>
      </c>
      <c r="F202" s="285">
        <v>45753</v>
      </c>
      <c r="G202" s="79" t="s">
        <v>76</v>
      </c>
      <c r="H202" s="79" t="str">
        <f>IFERROR(_xlfn.XLOOKUP(Table6[[#This Row],[Affected Feeder ]],'Basic Data'!$A:$A,'Basic Data'!$B:$B),"")</f>
        <v>PWEPL</v>
      </c>
      <c r="I202" s="79" t="str">
        <f>IFERROR(_xlfn.XLOOKUP(Table6[[#This Row],[Affected Feeder ]],'Basic Data'!$A:$A,'Basic Data'!$C:$C),"")</f>
        <v>MSEDCL</v>
      </c>
      <c r="J202" s="295">
        <f>IFERROR(_xlfn.XLOOKUP(Table6[[#This Row],[Affected Feeder ]],'Basic Data'!$A:$A,'Basic Data'!$E:$E),"")</f>
        <v>2.2727272727272728E-2</v>
      </c>
      <c r="K202" s="296" t="s">
        <v>171</v>
      </c>
      <c r="L202" s="297">
        <v>0.80625000000000002</v>
      </c>
      <c r="M202" s="297">
        <v>0.80625000000000002</v>
      </c>
      <c r="N202" s="297">
        <v>0.82013888888888886</v>
      </c>
      <c r="O202" s="19">
        <f>(Table6[[#This Row],[Work Start TimeStamp]]-Table6[[#This Row],[Fault Start TimeStamp]])*24</f>
        <v>0</v>
      </c>
      <c r="P202" s="19">
        <f>(Table6[[#This Row],[Fault Clearance time]]-Table6[[#This Row],[Fault Start TimeStamp]])*24</f>
        <v>0.33333333333333215</v>
      </c>
      <c r="Q202" s="19">
        <f>(Table6[[#This Row],[Fault Clearance time]]-Table6[[#This Row],[Fault Start TimeStamp]])*24</f>
        <v>0.33333333333333215</v>
      </c>
      <c r="R202" s="79" t="s">
        <v>353</v>
      </c>
      <c r="S202" s="79" t="s">
        <v>339</v>
      </c>
      <c r="T202" s="298">
        <f>IFERROR(Table6[[#This Row],[Breakdown Time]]*Table6[[#This Row],[Plant Equivalent Weightage]],"")</f>
        <v>7.5757575757575491E-3</v>
      </c>
      <c r="U202" s="79" t="s">
        <v>416</v>
      </c>
      <c r="W202" s="79">
        <v>29</v>
      </c>
    </row>
    <row r="203" spans="1:23">
      <c r="A203" s="79">
        <f t="shared" si="3"/>
        <v>202</v>
      </c>
      <c r="B203" s="79">
        <f>YEAR(Table6[[#This Row],[Date]])+IF(MONTH(Table6[[#This Row],[Date]])&gt;=4,1,0)</f>
        <v>2026</v>
      </c>
      <c r="C203" s="79">
        <f>YEAR(Table6[[#This Row],[Date]])</f>
        <v>2025</v>
      </c>
      <c r="D203" s="79" t="s">
        <v>344</v>
      </c>
      <c r="E203" s="284">
        <f>Table6[[#This Row],[Date]]-DAY(Table6[[#This Row],[Date]])+1</f>
        <v>45748</v>
      </c>
      <c r="F203" s="285">
        <v>45753</v>
      </c>
      <c r="G203" s="79" t="s">
        <v>77</v>
      </c>
      <c r="H203" s="79" t="str">
        <f>IFERROR(_xlfn.XLOOKUP(Table6[[#This Row],[Affected Feeder ]],'Basic Data'!$A:$A,'Basic Data'!$B:$B),"")</f>
        <v>PWEPL</v>
      </c>
      <c r="I203" s="79" t="str">
        <f>IFERROR(_xlfn.XLOOKUP(Table6[[#This Row],[Affected Feeder ]],'Basic Data'!$A:$A,'Basic Data'!$C:$C),"")</f>
        <v>MSEDCL</v>
      </c>
      <c r="J203" s="295">
        <f>IFERROR(_xlfn.XLOOKUP(Table6[[#This Row],[Affected Feeder ]],'Basic Data'!$A:$A,'Basic Data'!$E:$E),"")</f>
        <v>2.2727272727272728E-2</v>
      </c>
      <c r="K203" s="296" t="s">
        <v>414</v>
      </c>
      <c r="L203" s="297">
        <v>0.77569444444444446</v>
      </c>
      <c r="M203" s="297">
        <v>0.77569444444444446</v>
      </c>
      <c r="N203" s="297">
        <v>0.80625000000000002</v>
      </c>
      <c r="O203" s="19">
        <f>(Table6[[#This Row],[Work Start TimeStamp]]-Table6[[#This Row],[Fault Start TimeStamp]])*24</f>
        <v>0</v>
      </c>
      <c r="P203" s="19">
        <f>(Table6[[#This Row],[Fault Clearance time]]-Table6[[#This Row],[Fault Start TimeStamp]])*24</f>
        <v>0.73333333333333339</v>
      </c>
      <c r="Q203" s="19">
        <f>(Table6[[#This Row],[Fault Clearance time]]-Table6[[#This Row],[Fault Start TimeStamp]])*24</f>
        <v>0.73333333333333339</v>
      </c>
      <c r="R203" s="79" t="s">
        <v>440</v>
      </c>
      <c r="S203" s="79" t="s">
        <v>339</v>
      </c>
      <c r="T203" s="298">
        <f>IFERROR(Table6[[#This Row],[Breakdown Time]]*Table6[[#This Row],[Plant Equivalent Weightage]],"")</f>
        <v>1.666666666666667E-2</v>
      </c>
      <c r="U203" s="79" t="s">
        <v>416</v>
      </c>
      <c r="W203" s="79">
        <v>65</v>
      </c>
    </row>
    <row r="204" spans="1:23">
      <c r="A204" s="79">
        <f t="shared" si="3"/>
        <v>203</v>
      </c>
      <c r="B204" s="79">
        <f>YEAR(Table6[[#This Row],[Date]])+IF(MONTH(Table6[[#This Row],[Date]])&gt;=4,1,0)</f>
        <v>2026</v>
      </c>
      <c r="C204" s="79">
        <f>YEAR(Table6[[#This Row],[Date]])</f>
        <v>2025</v>
      </c>
      <c r="D204" s="79" t="s">
        <v>344</v>
      </c>
      <c r="E204" s="284">
        <f>Table6[[#This Row],[Date]]-DAY(Table6[[#This Row],[Date]])+1</f>
        <v>45748</v>
      </c>
      <c r="F204" s="285">
        <v>45753</v>
      </c>
      <c r="G204" s="79" t="s">
        <v>77</v>
      </c>
      <c r="H204" s="79" t="str">
        <f>IFERROR(_xlfn.XLOOKUP(Table6[[#This Row],[Affected Feeder ]],'Basic Data'!$A:$A,'Basic Data'!$B:$B),"")</f>
        <v>PWEPL</v>
      </c>
      <c r="I204" s="79" t="str">
        <f>IFERROR(_xlfn.XLOOKUP(Table6[[#This Row],[Affected Feeder ]],'Basic Data'!$A:$A,'Basic Data'!$C:$C),"")</f>
        <v>MSEDCL</v>
      </c>
      <c r="J204" s="295">
        <f>IFERROR(_xlfn.XLOOKUP(Table6[[#This Row],[Affected Feeder ]],'Basic Data'!$A:$A,'Basic Data'!$E:$E),"")</f>
        <v>2.2727272727272728E-2</v>
      </c>
      <c r="K204" s="296" t="s">
        <v>171</v>
      </c>
      <c r="L204" s="297">
        <v>0.80625000000000002</v>
      </c>
      <c r="M204" s="297">
        <v>0.80625000000000002</v>
      </c>
      <c r="N204" s="297">
        <v>0.82013888888888886</v>
      </c>
      <c r="O204" s="19">
        <f>(Table6[[#This Row],[Work Start TimeStamp]]-Table6[[#This Row],[Fault Start TimeStamp]])*24</f>
        <v>0</v>
      </c>
      <c r="P204" s="19">
        <f>(Table6[[#This Row],[Fault Clearance time]]-Table6[[#This Row],[Fault Start TimeStamp]])*24</f>
        <v>0.33333333333333215</v>
      </c>
      <c r="Q204" s="19">
        <f>(Table6[[#This Row],[Fault Clearance time]]-Table6[[#This Row],[Fault Start TimeStamp]])*24</f>
        <v>0.33333333333333215</v>
      </c>
      <c r="R204" s="79" t="s">
        <v>353</v>
      </c>
      <c r="S204" s="79" t="s">
        <v>339</v>
      </c>
      <c r="T204" s="298">
        <f>IFERROR(Table6[[#This Row],[Breakdown Time]]*Table6[[#This Row],[Plant Equivalent Weightage]],"")</f>
        <v>7.5757575757575491E-3</v>
      </c>
      <c r="U204" s="79" t="s">
        <v>416</v>
      </c>
      <c r="W204" s="79">
        <v>29</v>
      </c>
    </row>
    <row r="205" spans="1:23">
      <c r="A205" s="79">
        <f t="shared" si="3"/>
        <v>204</v>
      </c>
      <c r="B205" s="79">
        <f>YEAR(Table6[[#This Row],[Date]])+IF(MONTH(Table6[[#This Row],[Date]])&gt;=4,1,0)</f>
        <v>2026</v>
      </c>
      <c r="C205" s="79">
        <f>YEAR(Table6[[#This Row],[Date]])</f>
        <v>2025</v>
      </c>
      <c r="D205" s="79" t="s">
        <v>344</v>
      </c>
      <c r="E205" s="284">
        <f>Table6[[#This Row],[Date]]-DAY(Table6[[#This Row],[Date]])+1</f>
        <v>45748</v>
      </c>
      <c r="F205" s="285">
        <v>45753</v>
      </c>
      <c r="G205" s="79" t="s">
        <v>78</v>
      </c>
      <c r="H205" s="79" t="str">
        <f>IFERROR(_xlfn.XLOOKUP(Table6[[#This Row],[Affected Feeder ]],'Basic Data'!$A:$A,'Basic Data'!$B:$B),"")</f>
        <v>PWEPL</v>
      </c>
      <c r="I205" s="79" t="str">
        <f>IFERROR(_xlfn.XLOOKUP(Table6[[#This Row],[Affected Feeder ]],'Basic Data'!$A:$A,'Basic Data'!$C:$C),"")</f>
        <v>MSEDCL</v>
      </c>
      <c r="J205" s="295">
        <f>IFERROR(_xlfn.XLOOKUP(Table6[[#This Row],[Affected Feeder ]],'Basic Data'!$A:$A,'Basic Data'!$E:$E),"")</f>
        <v>2.2727272727272728E-2</v>
      </c>
      <c r="K205" s="296" t="s">
        <v>414</v>
      </c>
      <c r="L205" s="297">
        <v>0.77569444444444446</v>
      </c>
      <c r="M205" s="297">
        <v>0.77569444444444446</v>
      </c>
      <c r="N205" s="297">
        <v>0.80625000000000002</v>
      </c>
      <c r="O205" s="19">
        <f>(Table6[[#This Row],[Work Start TimeStamp]]-Table6[[#This Row],[Fault Start TimeStamp]])*24</f>
        <v>0</v>
      </c>
      <c r="P205" s="19">
        <f>(Table6[[#This Row],[Fault Clearance time]]-Table6[[#This Row],[Fault Start TimeStamp]])*24</f>
        <v>0.73333333333333339</v>
      </c>
      <c r="Q205" s="19">
        <f>(Table6[[#This Row],[Fault Clearance time]]-Table6[[#This Row],[Fault Start TimeStamp]])*24</f>
        <v>0.73333333333333339</v>
      </c>
      <c r="R205" s="79" t="s">
        <v>440</v>
      </c>
      <c r="S205" s="79" t="s">
        <v>339</v>
      </c>
      <c r="T205" s="298">
        <f>IFERROR(Table6[[#This Row],[Breakdown Time]]*Table6[[#This Row],[Plant Equivalent Weightage]],"")</f>
        <v>1.666666666666667E-2</v>
      </c>
      <c r="U205" s="79" t="s">
        <v>416</v>
      </c>
      <c r="W205" s="79">
        <v>65</v>
      </c>
    </row>
    <row r="206" spans="1:23">
      <c r="A206" s="79">
        <f t="shared" si="3"/>
        <v>205</v>
      </c>
      <c r="B206" s="79">
        <f>YEAR(Table6[[#This Row],[Date]])+IF(MONTH(Table6[[#This Row],[Date]])&gt;=4,1,0)</f>
        <v>2026</v>
      </c>
      <c r="C206" s="79">
        <f>YEAR(Table6[[#This Row],[Date]])</f>
        <v>2025</v>
      </c>
      <c r="D206" s="79" t="s">
        <v>344</v>
      </c>
      <c r="E206" s="284">
        <f>Table6[[#This Row],[Date]]-DAY(Table6[[#This Row],[Date]])+1</f>
        <v>45748</v>
      </c>
      <c r="F206" s="285">
        <v>45753</v>
      </c>
      <c r="G206" s="79" t="s">
        <v>78</v>
      </c>
      <c r="H206" s="79" t="str">
        <f>IFERROR(_xlfn.XLOOKUP(Table6[[#This Row],[Affected Feeder ]],'Basic Data'!$A:$A,'Basic Data'!$B:$B),"")</f>
        <v>PWEPL</v>
      </c>
      <c r="I206" s="79" t="str">
        <f>IFERROR(_xlfn.XLOOKUP(Table6[[#This Row],[Affected Feeder ]],'Basic Data'!$A:$A,'Basic Data'!$C:$C),"")</f>
        <v>MSEDCL</v>
      </c>
      <c r="J206" s="295">
        <f>IFERROR(_xlfn.XLOOKUP(Table6[[#This Row],[Affected Feeder ]],'Basic Data'!$A:$A,'Basic Data'!$E:$E),"")</f>
        <v>2.2727272727272728E-2</v>
      </c>
      <c r="K206" s="296" t="s">
        <v>171</v>
      </c>
      <c r="L206" s="297">
        <v>0.80625000000000002</v>
      </c>
      <c r="M206" s="297">
        <v>0.80625000000000002</v>
      </c>
      <c r="N206" s="297">
        <v>0.82013888888888886</v>
      </c>
      <c r="O206" s="19">
        <f>(Table6[[#This Row],[Work Start TimeStamp]]-Table6[[#This Row],[Fault Start TimeStamp]])*24</f>
        <v>0</v>
      </c>
      <c r="P206" s="19">
        <f>(Table6[[#This Row],[Fault Clearance time]]-Table6[[#This Row],[Fault Start TimeStamp]])*24</f>
        <v>0.33333333333333215</v>
      </c>
      <c r="Q206" s="19">
        <f>(Table6[[#This Row],[Fault Clearance time]]-Table6[[#This Row],[Fault Start TimeStamp]])*24</f>
        <v>0.33333333333333215</v>
      </c>
      <c r="R206" s="79" t="s">
        <v>353</v>
      </c>
      <c r="S206" s="79" t="s">
        <v>339</v>
      </c>
      <c r="T206" s="298">
        <f>IFERROR(Table6[[#This Row],[Breakdown Time]]*Table6[[#This Row],[Plant Equivalent Weightage]],"")</f>
        <v>7.5757575757575491E-3</v>
      </c>
      <c r="U206" s="79" t="s">
        <v>416</v>
      </c>
      <c r="W206" s="79">
        <v>29</v>
      </c>
    </row>
    <row r="207" spans="1:23">
      <c r="A207" s="79">
        <f t="shared" si="3"/>
        <v>206</v>
      </c>
      <c r="B207" s="79">
        <f>YEAR(Table6[[#This Row],[Date]])+IF(MONTH(Table6[[#This Row],[Date]])&gt;=4,1,0)</f>
        <v>2026</v>
      </c>
      <c r="C207" s="79">
        <f>YEAR(Table6[[#This Row],[Date]])</f>
        <v>2025</v>
      </c>
      <c r="D207" s="79" t="s">
        <v>344</v>
      </c>
      <c r="E207" s="284">
        <f>Table6[[#This Row],[Date]]-DAY(Table6[[#This Row],[Date]])+1</f>
        <v>45748</v>
      </c>
      <c r="F207" s="285">
        <v>45753</v>
      </c>
      <c r="G207" s="79" t="s">
        <v>82</v>
      </c>
      <c r="H207" s="79" t="str">
        <f>IFERROR(_xlfn.XLOOKUP(Table6[[#This Row],[Affected Feeder ]],'Basic Data'!$A:$A,'Basic Data'!$B:$B),"")</f>
        <v>PWEPL</v>
      </c>
      <c r="I207" s="79" t="str">
        <f>IFERROR(_xlfn.XLOOKUP(Table6[[#This Row],[Affected Feeder ]],'Basic Data'!$A:$A,'Basic Data'!$C:$C),"")</f>
        <v>MSEDCL</v>
      </c>
      <c r="J207" s="295">
        <f>IFERROR(_xlfn.XLOOKUP(Table6[[#This Row],[Affected Feeder ]],'Basic Data'!$A:$A,'Basic Data'!$E:$E),"")</f>
        <v>2.2727272727272728E-2</v>
      </c>
      <c r="K207" s="296" t="s">
        <v>414</v>
      </c>
      <c r="L207" s="297">
        <v>0.77569444444444446</v>
      </c>
      <c r="M207" s="297">
        <v>0.77569444444444446</v>
      </c>
      <c r="N207" s="297">
        <v>0.80625000000000002</v>
      </c>
      <c r="O207" s="19">
        <f>(Table6[[#This Row],[Work Start TimeStamp]]-Table6[[#This Row],[Fault Start TimeStamp]])*24</f>
        <v>0</v>
      </c>
      <c r="P207" s="19">
        <f>(Table6[[#This Row],[Fault Clearance time]]-Table6[[#This Row],[Fault Start TimeStamp]])*24</f>
        <v>0.73333333333333339</v>
      </c>
      <c r="Q207" s="19">
        <f>(Table6[[#This Row],[Fault Clearance time]]-Table6[[#This Row],[Fault Start TimeStamp]])*24</f>
        <v>0.73333333333333339</v>
      </c>
      <c r="R207" s="79" t="s">
        <v>440</v>
      </c>
      <c r="S207" s="79" t="s">
        <v>339</v>
      </c>
      <c r="T207" s="298">
        <f>IFERROR(Table6[[#This Row],[Breakdown Time]]*Table6[[#This Row],[Plant Equivalent Weightage]],"")</f>
        <v>1.666666666666667E-2</v>
      </c>
      <c r="U207" s="79" t="s">
        <v>416</v>
      </c>
      <c r="W207" s="79">
        <v>65</v>
      </c>
    </row>
    <row r="208" spans="1:23">
      <c r="A208" s="79">
        <f t="shared" si="3"/>
        <v>207</v>
      </c>
      <c r="B208" s="79">
        <f>YEAR(Table6[[#This Row],[Date]])+IF(MONTH(Table6[[#This Row],[Date]])&gt;=4,1,0)</f>
        <v>2026</v>
      </c>
      <c r="C208" s="79">
        <f>YEAR(Table6[[#This Row],[Date]])</f>
        <v>2025</v>
      </c>
      <c r="D208" s="79" t="s">
        <v>344</v>
      </c>
      <c r="E208" s="284">
        <f>Table6[[#This Row],[Date]]-DAY(Table6[[#This Row],[Date]])+1</f>
        <v>45748</v>
      </c>
      <c r="F208" s="285">
        <v>45753</v>
      </c>
      <c r="G208" s="79" t="s">
        <v>82</v>
      </c>
      <c r="H208" s="79" t="str">
        <f>IFERROR(_xlfn.XLOOKUP(Table6[[#This Row],[Affected Feeder ]],'Basic Data'!$A:$A,'Basic Data'!$B:$B),"")</f>
        <v>PWEPL</v>
      </c>
      <c r="I208" s="79" t="str">
        <f>IFERROR(_xlfn.XLOOKUP(Table6[[#This Row],[Affected Feeder ]],'Basic Data'!$A:$A,'Basic Data'!$C:$C),"")</f>
        <v>MSEDCL</v>
      </c>
      <c r="J208" s="295">
        <f>IFERROR(_xlfn.XLOOKUP(Table6[[#This Row],[Affected Feeder ]],'Basic Data'!$A:$A,'Basic Data'!$E:$E),"")</f>
        <v>2.2727272727272728E-2</v>
      </c>
      <c r="K208" s="296" t="s">
        <v>171</v>
      </c>
      <c r="L208" s="297">
        <v>0.80625000000000002</v>
      </c>
      <c r="M208" s="297">
        <v>0.80625000000000002</v>
      </c>
      <c r="N208" s="297">
        <v>0.82013888888888886</v>
      </c>
      <c r="O208" s="19">
        <f>(Table6[[#This Row],[Work Start TimeStamp]]-Table6[[#This Row],[Fault Start TimeStamp]])*24</f>
        <v>0</v>
      </c>
      <c r="P208" s="19">
        <f>(Table6[[#This Row],[Fault Clearance time]]-Table6[[#This Row],[Fault Start TimeStamp]])*24</f>
        <v>0.33333333333333215</v>
      </c>
      <c r="Q208" s="19">
        <f>(Table6[[#This Row],[Fault Clearance time]]-Table6[[#This Row],[Fault Start TimeStamp]])*24</f>
        <v>0.33333333333333215</v>
      </c>
      <c r="R208" s="79" t="s">
        <v>353</v>
      </c>
      <c r="S208" s="79" t="s">
        <v>339</v>
      </c>
      <c r="T208" s="298">
        <f>IFERROR(Table6[[#This Row],[Breakdown Time]]*Table6[[#This Row],[Plant Equivalent Weightage]],"")</f>
        <v>7.5757575757575491E-3</v>
      </c>
      <c r="U208" s="79" t="s">
        <v>416</v>
      </c>
      <c r="W208" s="79">
        <v>29</v>
      </c>
    </row>
    <row r="209" spans="1:23">
      <c r="A209" s="79">
        <f t="shared" si="3"/>
        <v>208</v>
      </c>
      <c r="B209" s="79">
        <f>YEAR(Table6[[#This Row],[Date]])+IF(MONTH(Table6[[#This Row],[Date]])&gt;=4,1,0)</f>
        <v>2026</v>
      </c>
      <c r="C209" s="79">
        <f>YEAR(Table6[[#This Row],[Date]])</f>
        <v>2025</v>
      </c>
      <c r="D209" s="79" t="s">
        <v>344</v>
      </c>
      <c r="E209" s="284">
        <f>Table6[[#This Row],[Date]]-DAY(Table6[[#This Row],[Date]])+1</f>
        <v>45748</v>
      </c>
      <c r="F209" s="285">
        <v>45753</v>
      </c>
      <c r="G209" s="79" t="s">
        <v>93</v>
      </c>
      <c r="H209" s="79" t="str">
        <f>IFERROR(_xlfn.XLOOKUP(Table6[[#This Row],[Affected Feeder ]],'Basic Data'!$A:$A,'Basic Data'!$B:$B),"")</f>
        <v>PWEPL</v>
      </c>
      <c r="I209" s="79" t="str">
        <f>IFERROR(_xlfn.XLOOKUP(Table6[[#This Row],[Affected Feeder ]],'Basic Data'!$A:$A,'Basic Data'!$C:$C),"")</f>
        <v>MSEDCL</v>
      </c>
      <c r="J209" s="295">
        <f>IFERROR(_xlfn.XLOOKUP(Table6[[#This Row],[Affected Feeder ]],'Basic Data'!$A:$A,'Basic Data'!$E:$E),"")</f>
        <v>2.2727272727272728E-2</v>
      </c>
      <c r="K209" s="296" t="s">
        <v>414</v>
      </c>
      <c r="L209" s="297">
        <v>0.77569444444444446</v>
      </c>
      <c r="M209" s="297">
        <v>0.77569444444444446</v>
      </c>
      <c r="N209" s="297">
        <v>0.80625000000000002</v>
      </c>
      <c r="O209" s="19">
        <f>(Table6[[#This Row],[Work Start TimeStamp]]-Table6[[#This Row],[Fault Start TimeStamp]])*24</f>
        <v>0</v>
      </c>
      <c r="P209" s="19">
        <f>(Table6[[#This Row],[Fault Clearance time]]-Table6[[#This Row],[Fault Start TimeStamp]])*24</f>
        <v>0.73333333333333339</v>
      </c>
      <c r="Q209" s="19">
        <f>(Table6[[#This Row],[Fault Clearance time]]-Table6[[#This Row],[Fault Start TimeStamp]])*24</f>
        <v>0.73333333333333339</v>
      </c>
      <c r="R209" s="79" t="s">
        <v>440</v>
      </c>
      <c r="S209" s="79" t="s">
        <v>339</v>
      </c>
      <c r="T209" s="298">
        <f>IFERROR(Table6[[#This Row],[Breakdown Time]]*Table6[[#This Row],[Plant Equivalent Weightage]],"")</f>
        <v>1.666666666666667E-2</v>
      </c>
      <c r="U209" s="79" t="s">
        <v>416</v>
      </c>
      <c r="W209" s="79">
        <v>65</v>
      </c>
    </row>
    <row r="210" spans="1:23">
      <c r="A210" s="79">
        <f t="shared" si="3"/>
        <v>209</v>
      </c>
      <c r="B210" s="79">
        <f>YEAR(Table6[[#This Row],[Date]])+IF(MONTH(Table6[[#This Row],[Date]])&gt;=4,1,0)</f>
        <v>2026</v>
      </c>
      <c r="C210" s="79">
        <f>YEAR(Table6[[#This Row],[Date]])</f>
        <v>2025</v>
      </c>
      <c r="D210" s="79" t="s">
        <v>344</v>
      </c>
      <c r="E210" s="284">
        <f>Table6[[#This Row],[Date]]-DAY(Table6[[#This Row],[Date]])+1</f>
        <v>45748</v>
      </c>
      <c r="F210" s="285">
        <v>45753</v>
      </c>
      <c r="G210" s="79" t="s">
        <v>93</v>
      </c>
      <c r="H210" s="79" t="str">
        <f>IFERROR(_xlfn.XLOOKUP(Table6[[#This Row],[Affected Feeder ]],'Basic Data'!$A:$A,'Basic Data'!$B:$B),"")</f>
        <v>PWEPL</v>
      </c>
      <c r="I210" s="79" t="str">
        <f>IFERROR(_xlfn.XLOOKUP(Table6[[#This Row],[Affected Feeder ]],'Basic Data'!$A:$A,'Basic Data'!$C:$C),"")</f>
        <v>MSEDCL</v>
      </c>
      <c r="J210" s="295">
        <f>IFERROR(_xlfn.XLOOKUP(Table6[[#This Row],[Affected Feeder ]],'Basic Data'!$A:$A,'Basic Data'!$E:$E),"")</f>
        <v>2.2727272727272728E-2</v>
      </c>
      <c r="K210" s="296" t="s">
        <v>171</v>
      </c>
      <c r="L210" s="297">
        <v>0.80625000000000002</v>
      </c>
      <c r="M210" s="297">
        <v>0.80625000000000002</v>
      </c>
      <c r="N210" s="297">
        <v>0.82013888888888886</v>
      </c>
      <c r="O210" s="19">
        <f>(Table6[[#This Row],[Work Start TimeStamp]]-Table6[[#This Row],[Fault Start TimeStamp]])*24</f>
        <v>0</v>
      </c>
      <c r="P210" s="19">
        <f>(Table6[[#This Row],[Fault Clearance time]]-Table6[[#This Row],[Fault Start TimeStamp]])*24</f>
        <v>0.33333333333333215</v>
      </c>
      <c r="Q210" s="19">
        <f>(Table6[[#This Row],[Fault Clearance time]]-Table6[[#This Row],[Fault Start TimeStamp]])*24</f>
        <v>0.33333333333333215</v>
      </c>
      <c r="R210" s="79" t="s">
        <v>353</v>
      </c>
      <c r="S210" s="79" t="s">
        <v>339</v>
      </c>
      <c r="T210" s="298">
        <f>IFERROR(Table6[[#This Row],[Breakdown Time]]*Table6[[#This Row],[Plant Equivalent Weightage]],"")</f>
        <v>7.5757575757575491E-3</v>
      </c>
      <c r="U210" s="79" t="s">
        <v>416</v>
      </c>
      <c r="W210" s="79">
        <v>29</v>
      </c>
    </row>
    <row r="211" spans="1:23">
      <c r="A211" s="79">
        <f t="shared" si="3"/>
        <v>210</v>
      </c>
      <c r="B211" s="79">
        <f>YEAR(Table6[[#This Row],[Date]])+IF(MONTH(Table6[[#This Row],[Date]])&gt;=4,1,0)</f>
        <v>2026</v>
      </c>
      <c r="C211" s="79">
        <f>YEAR(Table6[[#This Row],[Date]])</f>
        <v>2025</v>
      </c>
      <c r="D211" s="79" t="s">
        <v>344</v>
      </c>
      <c r="E211" s="284">
        <f>Table6[[#This Row],[Date]]-DAY(Table6[[#This Row],[Date]])+1</f>
        <v>45748</v>
      </c>
      <c r="F211" s="285">
        <v>45753</v>
      </c>
      <c r="G211" s="79" t="s">
        <v>119</v>
      </c>
      <c r="H211" s="79" t="str">
        <f>IFERROR(_xlfn.XLOOKUP(Table6[[#This Row],[Affected Feeder ]],'Basic Data'!$A:$A,'Basic Data'!$B:$B),"")</f>
        <v>PWEPL</v>
      </c>
      <c r="I211" s="79" t="str">
        <f>IFERROR(_xlfn.XLOOKUP(Table6[[#This Row],[Affected Feeder ]],'Basic Data'!$A:$A,'Basic Data'!$C:$C),"")</f>
        <v>MSEDCL</v>
      </c>
      <c r="J211" s="295">
        <f>IFERROR(_xlfn.XLOOKUP(Table6[[#This Row],[Affected Feeder ]],'Basic Data'!$A:$A,'Basic Data'!$E:$E),"")</f>
        <v>2.2727272727272728E-2</v>
      </c>
      <c r="K211" s="296" t="s">
        <v>414</v>
      </c>
      <c r="L211" s="297">
        <v>0.77569444444444446</v>
      </c>
      <c r="M211" s="297">
        <v>0.77569444444444446</v>
      </c>
      <c r="N211" s="297">
        <v>0.80625000000000002</v>
      </c>
      <c r="O211" s="19">
        <f>(Table6[[#This Row],[Work Start TimeStamp]]-Table6[[#This Row],[Fault Start TimeStamp]])*24</f>
        <v>0</v>
      </c>
      <c r="P211" s="19">
        <f>(Table6[[#This Row],[Fault Clearance time]]-Table6[[#This Row],[Fault Start TimeStamp]])*24</f>
        <v>0.73333333333333339</v>
      </c>
      <c r="Q211" s="19">
        <f>(Table6[[#This Row],[Fault Clearance time]]-Table6[[#This Row],[Fault Start TimeStamp]])*24</f>
        <v>0.73333333333333339</v>
      </c>
      <c r="R211" s="79" t="s">
        <v>440</v>
      </c>
      <c r="S211" s="79" t="s">
        <v>339</v>
      </c>
      <c r="T211" s="298">
        <f>IFERROR(Table6[[#This Row],[Breakdown Time]]*Table6[[#This Row],[Plant Equivalent Weightage]],"")</f>
        <v>1.666666666666667E-2</v>
      </c>
      <c r="U211" s="79" t="s">
        <v>416</v>
      </c>
      <c r="W211" s="79">
        <v>65</v>
      </c>
    </row>
    <row r="212" spans="1:23">
      <c r="A212" s="79">
        <f t="shared" si="3"/>
        <v>211</v>
      </c>
      <c r="B212" s="79">
        <f>YEAR(Table6[[#This Row],[Date]])+IF(MONTH(Table6[[#This Row],[Date]])&gt;=4,1,0)</f>
        <v>2026</v>
      </c>
      <c r="C212" s="79">
        <f>YEAR(Table6[[#This Row],[Date]])</f>
        <v>2025</v>
      </c>
      <c r="D212" s="79" t="s">
        <v>344</v>
      </c>
      <c r="E212" s="284">
        <f>Table6[[#This Row],[Date]]-DAY(Table6[[#This Row],[Date]])+1</f>
        <v>45748</v>
      </c>
      <c r="F212" s="285">
        <v>45753</v>
      </c>
      <c r="G212" s="79" t="s">
        <v>119</v>
      </c>
      <c r="H212" s="79" t="str">
        <f>IFERROR(_xlfn.XLOOKUP(Table6[[#This Row],[Affected Feeder ]],'Basic Data'!$A:$A,'Basic Data'!$B:$B),"")</f>
        <v>PWEPL</v>
      </c>
      <c r="I212" s="79" t="str">
        <f>IFERROR(_xlfn.XLOOKUP(Table6[[#This Row],[Affected Feeder ]],'Basic Data'!$A:$A,'Basic Data'!$C:$C),"")</f>
        <v>MSEDCL</v>
      </c>
      <c r="J212" s="295">
        <f>IFERROR(_xlfn.XLOOKUP(Table6[[#This Row],[Affected Feeder ]],'Basic Data'!$A:$A,'Basic Data'!$E:$E),"")</f>
        <v>2.2727272727272728E-2</v>
      </c>
      <c r="K212" s="296" t="s">
        <v>171</v>
      </c>
      <c r="L212" s="297">
        <v>0.80625000000000002</v>
      </c>
      <c r="M212" s="297">
        <v>0.80625000000000002</v>
      </c>
      <c r="N212" s="297">
        <v>0.82013888888888886</v>
      </c>
      <c r="O212" s="19">
        <f>(Table6[[#This Row],[Work Start TimeStamp]]-Table6[[#This Row],[Fault Start TimeStamp]])*24</f>
        <v>0</v>
      </c>
      <c r="P212" s="19">
        <f>(Table6[[#This Row],[Fault Clearance time]]-Table6[[#This Row],[Fault Start TimeStamp]])*24</f>
        <v>0.33333333333333215</v>
      </c>
      <c r="Q212" s="19">
        <f>(Table6[[#This Row],[Fault Clearance time]]-Table6[[#This Row],[Fault Start TimeStamp]])*24</f>
        <v>0.33333333333333215</v>
      </c>
      <c r="R212" s="79" t="s">
        <v>353</v>
      </c>
      <c r="S212" s="79" t="s">
        <v>339</v>
      </c>
      <c r="T212" s="298">
        <f>IFERROR(Table6[[#This Row],[Breakdown Time]]*Table6[[#This Row],[Plant Equivalent Weightage]],"")</f>
        <v>7.5757575757575491E-3</v>
      </c>
      <c r="U212" s="79" t="s">
        <v>416</v>
      </c>
      <c r="W212" s="79">
        <v>29</v>
      </c>
    </row>
    <row r="213" spans="1:23">
      <c r="A213" s="79">
        <f t="shared" si="3"/>
        <v>212</v>
      </c>
      <c r="B213" s="79">
        <f>YEAR(Table6[[#This Row],[Date]])+IF(MONTH(Table6[[#This Row],[Date]])&gt;=4,1,0)</f>
        <v>2026</v>
      </c>
      <c r="C213" s="79">
        <f>YEAR(Table6[[#This Row],[Date]])</f>
        <v>2025</v>
      </c>
      <c r="D213" s="79" t="s">
        <v>344</v>
      </c>
      <c r="E213" s="284">
        <f>Table6[[#This Row],[Date]]-DAY(Table6[[#This Row],[Date]])+1</f>
        <v>45748</v>
      </c>
      <c r="F213" s="285">
        <v>45754</v>
      </c>
      <c r="G213" s="79" t="s">
        <v>80</v>
      </c>
      <c r="H213" s="79" t="str">
        <f>IFERROR(_xlfn.XLOOKUP(Table6[[#This Row],[Affected Feeder ]],'Basic Data'!$A:$A,'Basic Data'!$B:$B),"")</f>
        <v>PWEPL</v>
      </c>
      <c r="I213" s="79" t="str">
        <f>IFERROR(_xlfn.XLOOKUP(Table6[[#This Row],[Affected Feeder ]],'Basic Data'!$A:$A,'Basic Data'!$C:$C),"")</f>
        <v>MSEDCL</v>
      </c>
      <c r="J213" s="295">
        <f>IFERROR(_xlfn.XLOOKUP(Table6[[#This Row],[Affected Feeder ]],'Basic Data'!$A:$A,'Basic Data'!$E:$E),"")</f>
        <v>2.2727272727272728E-2</v>
      </c>
      <c r="K213" s="296" t="s">
        <v>414</v>
      </c>
      <c r="L213" s="297">
        <v>0.35833333333333334</v>
      </c>
      <c r="M213" s="297">
        <v>0.35833333333333334</v>
      </c>
      <c r="N213" s="297">
        <v>0.39513888888888887</v>
      </c>
      <c r="O213" s="19">
        <f>(Table6[[#This Row],[Work Start TimeStamp]]-Table6[[#This Row],[Fault Start TimeStamp]])*24</f>
        <v>0</v>
      </c>
      <c r="P213" s="19">
        <f>(Table6[[#This Row],[Fault Clearance time]]-Table6[[#This Row],[Fault Start TimeStamp]])*24</f>
        <v>0.88333333333333286</v>
      </c>
      <c r="Q213" s="19">
        <f>(Table6[[#This Row],[Fault Clearance time]]-Table6[[#This Row],[Fault Start TimeStamp]])*24</f>
        <v>0.88333333333333286</v>
      </c>
      <c r="R213" s="79" t="s">
        <v>441</v>
      </c>
      <c r="S213" s="79" t="s">
        <v>339</v>
      </c>
      <c r="T213" s="298">
        <f>IFERROR(Table6[[#This Row],[Breakdown Time]]*Table6[[#This Row],[Plant Equivalent Weightage]],"")</f>
        <v>2.0075757575757566E-2</v>
      </c>
      <c r="U213" s="79" t="s">
        <v>416</v>
      </c>
      <c r="W213" s="79">
        <v>112</v>
      </c>
    </row>
    <row r="214" spans="1:23">
      <c r="A214" s="79">
        <f t="shared" si="3"/>
        <v>213</v>
      </c>
      <c r="B214" s="79">
        <f>YEAR(Table6[[#This Row],[Date]])+IF(MONTH(Table6[[#This Row],[Date]])&gt;=4,1,0)</f>
        <v>2026</v>
      </c>
      <c r="C214" s="79">
        <f>YEAR(Table6[[#This Row],[Date]])</f>
        <v>2025</v>
      </c>
      <c r="D214" s="79" t="s">
        <v>344</v>
      </c>
      <c r="E214" s="284">
        <f>Table6[[#This Row],[Date]]-DAY(Table6[[#This Row],[Date]])+1</f>
        <v>45748</v>
      </c>
      <c r="F214" s="285">
        <v>45754</v>
      </c>
      <c r="G214" s="79" t="s">
        <v>80</v>
      </c>
      <c r="H214" s="79" t="str">
        <f>IFERROR(_xlfn.XLOOKUP(Table6[[#This Row],[Affected Feeder ]],'Basic Data'!$A:$A,'Basic Data'!$B:$B),"")</f>
        <v>PWEPL</v>
      </c>
      <c r="I214" s="79" t="str">
        <f>IFERROR(_xlfn.XLOOKUP(Table6[[#This Row],[Affected Feeder ]],'Basic Data'!$A:$A,'Basic Data'!$C:$C),"")</f>
        <v>MSEDCL</v>
      </c>
      <c r="J214" s="295">
        <f>IFERROR(_xlfn.XLOOKUP(Table6[[#This Row],[Affected Feeder ]],'Basic Data'!$A:$A,'Basic Data'!$E:$E),"")</f>
        <v>2.2727272727272728E-2</v>
      </c>
      <c r="K214" s="296" t="s">
        <v>171</v>
      </c>
      <c r="L214" s="297">
        <v>0.39513888888888887</v>
      </c>
      <c r="M214" s="297">
        <v>0.39513888888888887</v>
      </c>
      <c r="N214" s="297">
        <v>0.40208333333333335</v>
      </c>
      <c r="O214" s="19">
        <f>(Table6[[#This Row],[Work Start TimeStamp]]-Table6[[#This Row],[Fault Start TimeStamp]])*24</f>
        <v>0</v>
      </c>
      <c r="P214" s="19">
        <f>(Table6[[#This Row],[Fault Clearance time]]-Table6[[#This Row],[Fault Start TimeStamp]])*24</f>
        <v>0.16666666666666741</v>
      </c>
      <c r="Q214" s="19">
        <f>(Table6[[#This Row],[Fault Clearance time]]-Table6[[#This Row],[Fault Start TimeStamp]])*24</f>
        <v>0.16666666666666741</v>
      </c>
      <c r="R214" s="79" t="s">
        <v>353</v>
      </c>
      <c r="S214" s="79" t="s">
        <v>339</v>
      </c>
      <c r="T214" s="298">
        <f>IFERROR(Table6[[#This Row],[Breakdown Time]]*Table6[[#This Row],[Plant Equivalent Weightage]],"")</f>
        <v>3.7878787878788049E-3</v>
      </c>
      <c r="U214" s="79" t="s">
        <v>416</v>
      </c>
      <c r="W214" s="79">
        <v>21</v>
      </c>
    </row>
    <row r="215" spans="1:23">
      <c r="A215" s="79">
        <f t="shared" si="3"/>
        <v>214</v>
      </c>
      <c r="B215" s="79">
        <f>YEAR(Table6[[#This Row],[Date]])+IF(MONTH(Table6[[#This Row],[Date]])&gt;=4,1,0)</f>
        <v>2026</v>
      </c>
      <c r="C215" s="79">
        <f>YEAR(Table6[[#This Row],[Date]])</f>
        <v>2025</v>
      </c>
      <c r="D215" s="79" t="s">
        <v>344</v>
      </c>
      <c r="E215" s="284">
        <f>Table6[[#This Row],[Date]]-DAY(Table6[[#This Row],[Date]])+1</f>
        <v>45748</v>
      </c>
      <c r="F215" s="285">
        <v>45754</v>
      </c>
      <c r="G215" s="79" t="s">
        <v>81</v>
      </c>
      <c r="H215" s="79" t="str">
        <f>IFERROR(_xlfn.XLOOKUP(Table6[[#This Row],[Affected Feeder ]],'Basic Data'!$A:$A,'Basic Data'!$B:$B),"")</f>
        <v>PWEPL</v>
      </c>
      <c r="I215" s="79" t="str">
        <f>IFERROR(_xlfn.XLOOKUP(Table6[[#This Row],[Affected Feeder ]],'Basic Data'!$A:$A,'Basic Data'!$C:$C),"")</f>
        <v>MSEDCL</v>
      </c>
      <c r="J215" s="295">
        <f>IFERROR(_xlfn.XLOOKUP(Table6[[#This Row],[Affected Feeder ]],'Basic Data'!$A:$A,'Basic Data'!$E:$E),"")</f>
        <v>2.2727272727272728E-2</v>
      </c>
      <c r="K215" s="296" t="s">
        <v>414</v>
      </c>
      <c r="L215" s="297">
        <v>0.35833333333333334</v>
      </c>
      <c r="M215" s="297">
        <v>0.35833333333333334</v>
      </c>
      <c r="N215" s="297">
        <v>0.39513888888888887</v>
      </c>
      <c r="O215" s="19">
        <f>(Table6[[#This Row],[Work Start TimeStamp]]-Table6[[#This Row],[Fault Start TimeStamp]])*24</f>
        <v>0</v>
      </c>
      <c r="P215" s="19">
        <f>(Table6[[#This Row],[Fault Clearance time]]-Table6[[#This Row],[Fault Start TimeStamp]])*24</f>
        <v>0.88333333333333286</v>
      </c>
      <c r="Q215" s="19">
        <f>(Table6[[#This Row],[Fault Clearance time]]-Table6[[#This Row],[Fault Start TimeStamp]])*24</f>
        <v>0.88333333333333286</v>
      </c>
      <c r="R215" s="79" t="s">
        <v>441</v>
      </c>
      <c r="S215" s="79" t="s">
        <v>339</v>
      </c>
      <c r="T215" s="298">
        <f>IFERROR(Table6[[#This Row],[Breakdown Time]]*Table6[[#This Row],[Plant Equivalent Weightage]],"")</f>
        <v>2.0075757575757566E-2</v>
      </c>
      <c r="U215" s="79" t="s">
        <v>416</v>
      </c>
      <c r="W215" s="79">
        <v>112</v>
      </c>
    </row>
    <row r="216" spans="1:23">
      <c r="A216" s="79">
        <f t="shared" si="3"/>
        <v>215</v>
      </c>
      <c r="B216" s="79">
        <f>YEAR(Table6[[#This Row],[Date]])+IF(MONTH(Table6[[#This Row],[Date]])&gt;=4,1,0)</f>
        <v>2026</v>
      </c>
      <c r="C216" s="79">
        <f>YEAR(Table6[[#This Row],[Date]])</f>
        <v>2025</v>
      </c>
      <c r="D216" s="79" t="s">
        <v>344</v>
      </c>
      <c r="E216" s="284">
        <f>Table6[[#This Row],[Date]]-DAY(Table6[[#This Row],[Date]])+1</f>
        <v>45748</v>
      </c>
      <c r="F216" s="285">
        <v>45754</v>
      </c>
      <c r="G216" s="79" t="s">
        <v>81</v>
      </c>
      <c r="H216" s="79" t="str">
        <f>IFERROR(_xlfn.XLOOKUP(Table6[[#This Row],[Affected Feeder ]],'Basic Data'!$A:$A,'Basic Data'!$B:$B),"")</f>
        <v>PWEPL</v>
      </c>
      <c r="I216" s="79" t="str">
        <f>IFERROR(_xlfn.XLOOKUP(Table6[[#This Row],[Affected Feeder ]],'Basic Data'!$A:$A,'Basic Data'!$C:$C),"")</f>
        <v>MSEDCL</v>
      </c>
      <c r="J216" s="295">
        <f>IFERROR(_xlfn.XLOOKUP(Table6[[#This Row],[Affected Feeder ]],'Basic Data'!$A:$A,'Basic Data'!$E:$E),"")</f>
        <v>2.2727272727272728E-2</v>
      </c>
      <c r="K216" s="296" t="s">
        <v>171</v>
      </c>
      <c r="L216" s="297">
        <v>0.39513888888888887</v>
      </c>
      <c r="M216" s="297">
        <v>0.39513888888888887</v>
      </c>
      <c r="N216" s="297">
        <v>0.40902777777777777</v>
      </c>
      <c r="O216" s="19">
        <f>(Table6[[#This Row],[Work Start TimeStamp]]-Table6[[#This Row],[Fault Start TimeStamp]])*24</f>
        <v>0</v>
      </c>
      <c r="P216" s="19">
        <f>(Table6[[#This Row],[Fault Clearance time]]-Table6[[#This Row],[Fault Start TimeStamp]])*24</f>
        <v>0.33333333333333348</v>
      </c>
      <c r="Q216" s="19">
        <f>(Table6[[#This Row],[Fault Clearance time]]-Table6[[#This Row],[Fault Start TimeStamp]])*24</f>
        <v>0.33333333333333348</v>
      </c>
      <c r="R216" s="79" t="s">
        <v>353</v>
      </c>
      <c r="S216" s="79" t="s">
        <v>339</v>
      </c>
      <c r="T216" s="298">
        <f>IFERROR(Table6[[#This Row],[Breakdown Time]]*Table6[[#This Row],[Plant Equivalent Weightage]],"")</f>
        <v>7.5757575757575794E-3</v>
      </c>
      <c r="U216" s="79" t="s">
        <v>416</v>
      </c>
      <c r="W216" s="79">
        <v>42</v>
      </c>
    </row>
    <row r="217" spans="1:23">
      <c r="A217" s="79">
        <f t="shared" si="3"/>
        <v>216</v>
      </c>
      <c r="B217" s="79">
        <f>YEAR(Table6[[#This Row],[Date]])+IF(MONTH(Table6[[#This Row],[Date]])&gt;=4,1,0)</f>
        <v>2026</v>
      </c>
      <c r="C217" s="79">
        <f>YEAR(Table6[[#This Row],[Date]])</f>
        <v>2025</v>
      </c>
      <c r="D217" s="79" t="s">
        <v>344</v>
      </c>
      <c r="E217" s="284">
        <f>Table6[[#This Row],[Date]]-DAY(Table6[[#This Row],[Date]])+1</f>
        <v>45748</v>
      </c>
      <c r="F217" s="285">
        <v>45754</v>
      </c>
      <c r="G217" s="79" t="s">
        <v>107</v>
      </c>
      <c r="H217" s="79" t="str">
        <f>IFERROR(_xlfn.XLOOKUP(Table6[[#This Row],[Affected Feeder ]],'Basic Data'!$A:$A,'Basic Data'!$B:$B),"")</f>
        <v>PWEPL</v>
      </c>
      <c r="I217" s="79" t="str">
        <f>IFERROR(_xlfn.XLOOKUP(Table6[[#This Row],[Affected Feeder ]],'Basic Data'!$A:$A,'Basic Data'!$C:$C),"")</f>
        <v>MSEDCL</v>
      </c>
      <c r="J217" s="295">
        <f>IFERROR(_xlfn.XLOOKUP(Table6[[#This Row],[Affected Feeder ]],'Basic Data'!$A:$A,'Basic Data'!$E:$E),"")</f>
        <v>2.2727272727272728E-2</v>
      </c>
      <c r="K217" s="296" t="s">
        <v>414</v>
      </c>
      <c r="L217" s="297">
        <v>0.35833333333333334</v>
      </c>
      <c r="M217" s="297">
        <v>0.35833333333333334</v>
      </c>
      <c r="N217" s="297">
        <v>0.78749999999999998</v>
      </c>
      <c r="O217" s="19">
        <f>(Table6[[#This Row],[Work Start TimeStamp]]-Table6[[#This Row],[Fault Start TimeStamp]])*24</f>
        <v>0</v>
      </c>
      <c r="P217" s="19">
        <f>(Table6[[#This Row],[Fault Clearance time]]-Table6[[#This Row],[Fault Start TimeStamp]])*24</f>
        <v>10.299999999999999</v>
      </c>
      <c r="Q217" s="19">
        <f>(Table6[[#This Row],[Fault Clearance time]]-Table6[[#This Row],[Fault Start TimeStamp]])*24</f>
        <v>10.299999999999999</v>
      </c>
      <c r="R217" s="79" t="s">
        <v>441</v>
      </c>
      <c r="S217" s="79" t="s">
        <v>339</v>
      </c>
      <c r="T217" s="298">
        <f>IFERROR(Table6[[#This Row],[Breakdown Time]]*Table6[[#This Row],[Plant Equivalent Weightage]],"")</f>
        <v>0.23409090909090907</v>
      </c>
      <c r="U217" s="79" t="s">
        <v>416</v>
      </c>
      <c r="W217" s="79">
        <v>1272</v>
      </c>
    </row>
    <row r="218" spans="1:23">
      <c r="A218" s="79">
        <f t="shared" si="3"/>
        <v>217</v>
      </c>
      <c r="B218" s="79">
        <f>YEAR(Table6[[#This Row],[Date]])+IF(MONTH(Table6[[#This Row],[Date]])&gt;=4,1,0)</f>
        <v>2026</v>
      </c>
      <c r="C218" s="79">
        <f>YEAR(Table6[[#This Row],[Date]])</f>
        <v>2025</v>
      </c>
      <c r="D218" s="79" t="s">
        <v>344</v>
      </c>
      <c r="E218" s="284">
        <f>Table6[[#This Row],[Date]]-DAY(Table6[[#This Row],[Date]])+1</f>
        <v>45748</v>
      </c>
      <c r="F218" s="285">
        <v>45754</v>
      </c>
      <c r="G218" s="79" t="s">
        <v>107</v>
      </c>
      <c r="H218" s="79" t="str">
        <f>IFERROR(_xlfn.XLOOKUP(Table6[[#This Row],[Affected Feeder ]],'Basic Data'!$A:$A,'Basic Data'!$B:$B),"")</f>
        <v>PWEPL</v>
      </c>
      <c r="I218" s="79" t="str">
        <f>IFERROR(_xlfn.XLOOKUP(Table6[[#This Row],[Affected Feeder ]],'Basic Data'!$A:$A,'Basic Data'!$C:$C),"")</f>
        <v>MSEDCL</v>
      </c>
      <c r="J218" s="295">
        <f>IFERROR(_xlfn.XLOOKUP(Table6[[#This Row],[Affected Feeder ]],'Basic Data'!$A:$A,'Basic Data'!$E:$E),"")</f>
        <v>2.2727272727272728E-2</v>
      </c>
      <c r="K218" s="296" t="s">
        <v>171</v>
      </c>
      <c r="L218" s="297">
        <v>0.78749999999999998</v>
      </c>
      <c r="M218" s="297">
        <v>0.78749999999999998</v>
      </c>
      <c r="N218" s="297">
        <v>0.7909722222222223</v>
      </c>
      <c r="O218" s="19">
        <f>(Table6[[#This Row],[Work Start TimeStamp]]-Table6[[#This Row],[Fault Start TimeStamp]])*24</f>
        <v>0</v>
      </c>
      <c r="P218" s="19">
        <f>(Table6[[#This Row],[Fault Clearance time]]-Table6[[#This Row],[Fault Start TimeStamp]])*24</f>
        <v>8.3333333333335702E-2</v>
      </c>
      <c r="Q218" s="19">
        <f>(Table6[[#This Row],[Fault Clearance time]]-Table6[[#This Row],[Fault Start TimeStamp]])*24</f>
        <v>8.3333333333335702E-2</v>
      </c>
      <c r="R218" s="79" t="s">
        <v>353</v>
      </c>
      <c r="S218" s="79" t="s">
        <v>339</v>
      </c>
      <c r="T218" s="298">
        <f>IFERROR(Table6[[#This Row],[Breakdown Time]]*Table6[[#This Row],[Plant Equivalent Weightage]],"")</f>
        <v>1.8939393939394478E-3</v>
      </c>
      <c r="U218" s="79" t="s">
        <v>416</v>
      </c>
      <c r="W218" s="79">
        <v>42</v>
      </c>
    </row>
    <row r="219" spans="1:23">
      <c r="A219" s="79">
        <f t="shared" si="3"/>
        <v>218</v>
      </c>
      <c r="B219" s="79">
        <f>YEAR(Table6[[#This Row],[Date]])+IF(MONTH(Table6[[#This Row],[Date]])&gt;=4,1,0)</f>
        <v>2026</v>
      </c>
      <c r="C219" s="79">
        <f>YEAR(Table6[[#This Row],[Date]])</f>
        <v>2025</v>
      </c>
      <c r="D219" s="79" t="s">
        <v>344</v>
      </c>
      <c r="E219" s="284">
        <f>Table6[[#This Row],[Date]]-DAY(Table6[[#This Row],[Date]])+1</f>
        <v>45748</v>
      </c>
      <c r="F219" s="285">
        <v>45754</v>
      </c>
      <c r="G219" s="79" t="s">
        <v>108</v>
      </c>
      <c r="H219" s="79" t="str">
        <f>IFERROR(_xlfn.XLOOKUP(Table6[[#This Row],[Affected Feeder ]],'Basic Data'!$A:$A,'Basic Data'!$B:$B),"")</f>
        <v>PWEPL</v>
      </c>
      <c r="I219" s="79" t="str">
        <f>IFERROR(_xlfn.XLOOKUP(Table6[[#This Row],[Affected Feeder ]],'Basic Data'!$A:$A,'Basic Data'!$C:$C),"")</f>
        <v>MSEDCL</v>
      </c>
      <c r="J219" s="295">
        <f>IFERROR(_xlfn.XLOOKUP(Table6[[#This Row],[Affected Feeder ]],'Basic Data'!$A:$A,'Basic Data'!$E:$E),"")</f>
        <v>2.2727272727272728E-2</v>
      </c>
      <c r="K219" s="296" t="s">
        <v>414</v>
      </c>
      <c r="L219" s="297">
        <v>0.35833333333333334</v>
      </c>
      <c r="M219" s="297">
        <v>0.35833333333333334</v>
      </c>
      <c r="N219" s="297">
        <v>0.39513888888888887</v>
      </c>
      <c r="O219" s="19">
        <f>(Table6[[#This Row],[Work Start TimeStamp]]-Table6[[#This Row],[Fault Start TimeStamp]])*24</f>
        <v>0</v>
      </c>
      <c r="P219" s="19">
        <f>(Table6[[#This Row],[Fault Clearance time]]-Table6[[#This Row],[Fault Start TimeStamp]])*24</f>
        <v>0.88333333333333286</v>
      </c>
      <c r="Q219" s="19">
        <f>(Table6[[#This Row],[Fault Clearance time]]-Table6[[#This Row],[Fault Start TimeStamp]])*24</f>
        <v>0.88333333333333286</v>
      </c>
      <c r="R219" s="79" t="s">
        <v>441</v>
      </c>
      <c r="S219" s="79" t="s">
        <v>339</v>
      </c>
      <c r="T219" s="298">
        <f>IFERROR(Table6[[#This Row],[Breakdown Time]]*Table6[[#This Row],[Plant Equivalent Weightage]],"")</f>
        <v>2.0075757575757566E-2</v>
      </c>
      <c r="U219" s="79" t="s">
        <v>416</v>
      </c>
      <c r="W219" s="79">
        <v>112</v>
      </c>
    </row>
    <row r="220" spans="1:23">
      <c r="A220" s="79">
        <f t="shared" si="3"/>
        <v>219</v>
      </c>
      <c r="B220" s="79">
        <f>YEAR(Table6[[#This Row],[Date]])+IF(MONTH(Table6[[#This Row],[Date]])&gt;=4,1,0)</f>
        <v>2026</v>
      </c>
      <c r="C220" s="79">
        <f>YEAR(Table6[[#This Row],[Date]])</f>
        <v>2025</v>
      </c>
      <c r="D220" s="79" t="s">
        <v>344</v>
      </c>
      <c r="E220" s="284">
        <f>Table6[[#This Row],[Date]]-DAY(Table6[[#This Row],[Date]])+1</f>
        <v>45748</v>
      </c>
      <c r="F220" s="285">
        <v>45754</v>
      </c>
      <c r="G220" s="79" t="s">
        <v>108</v>
      </c>
      <c r="H220" s="79" t="str">
        <f>IFERROR(_xlfn.XLOOKUP(Table6[[#This Row],[Affected Feeder ]],'Basic Data'!$A:$A,'Basic Data'!$B:$B),"")</f>
        <v>PWEPL</v>
      </c>
      <c r="I220" s="79" t="str">
        <f>IFERROR(_xlfn.XLOOKUP(Table6[[#This Row],[Affected Feeder ]],'Basic Data'!$A:$A,'Basic Data'!$C:$C),"")</f>
        <v>MSEDCL</v>
      </c>
      <c r="J220" s="295">
        <f>IFERROR(_xlfn.XLOOKUP(Table6[[#This Row],[Affected Feeder ]],'Basic Data'!$A:$A,'Basic Data'!$E:$E),"")</f>
        <v>2.2727272727272728E-2</v>
      </c>
      <c r="K220" s="296" t="s">
        <v>171</v>
      </c>
      <c r="L220" s="297">
        <v>0.39513888888888887</v>
      </c>
      <c r="M220" s="297">
        <v>0.39513888888888887</v>
      </c>
      <c r="N220" s="297">
        <v>0.40902777777777777</v>
      </c>
      <c r="O220" s="19">
        <f>(Table6[[#This Row],[Work Start TimeStamp]]-Table6[[#This Row],[Fault Start TimeStamp]])*24</f>
        <v>0</v>
      </c>
      <c r="P220" s="19">
        <f>(Table6[[#This Row],[Fault Clearance time]]-Table6[[#This Row],[Fault Start TimeStamp]])*24</f>
        <v>0.33333333333333348</v>
      </c>
      <c r="Q220" s="19">
        <f>(Table6[[#This Row],[Fault Clearance time]]-Table6[[#This Row],[Fault Start TimeStamp]])*24</f>
        <v>0.33333333333333348</v>
      </c>
      <c r="R220" s="79" t="s">
        <v>353</v>
      </c>
      <c r="S220" s="79" t="s">
        <v>339</v>
      </c>
      <c r="T220" s="298">
        <f>IFERROR(Table6[[#This Row],[Breakdown Time]]*Table6[[#This Row],[Plant Equivalent Weightage]],"")</f>
        <v>7.5757575757575794E-3</v>
      </c>
      <c r="U220" s="79" t="s">
        <v>416</v>
      </c>
      <c r="W220" s="79">
        <v>42</v>
      </c>
    </row>
    <row r="221" spans="1:23">
      <c r="A221" s="79">
        <f t="shared" si="3"/>
        <v>220</v>
      </c>
      <c r="B221" s="79">
        <f>YEAR(Table6[[#This Row],[Date]])+IF(MONTH(Table6[[#This Row],[Date]])&gt;=4,1,0)</f>
        <v>2026</v>
      </c>
      <c r="C221" s="79">
        <f>YEAR(Table6[[#This Row],[Date]])</f>
        <v>2025</v>
      </c>
      <c r="D221" s="79" t="s">
        <v>344</v>
      </c>
      <c r="E221" s="284">
        <f>Table6[[#This Row],[Date]]-DAY(Table6[[#This Row],[Date]])+1</f>
        <v>45748</v>
      </c>
      <c r="F221" s="285">
        <v>45754</v>
      </c>
      <c r="G221" s="79" t="s">
        <v>80</v>
      </c>
      <c r="H221" s="79" t="str">
        <f>IFERROR(_xlfn.XLOOKUP(Table6[[#This Row],[Affected Feeder ]],'Basic Data'!$A:$A,'Basic Data'!$B:$B),"")</f>
        <v>PWEPL</v>
      </c>
      <c r="I221" s="79" t="str">
        <f>IFERROR(_xlfn.XLOOKUP(Table6[[#This Row],[Affected Feeder ]],'Basic Data'!$A:$A,'Basic Data'!$C:$C),"")</f>
        <v>MSEDCL</v>
      </c>
      <c r="J221" s="295">
        <f>IFERROR(_xlfn.XLOOKUP(Table6[[#This Row],[Affected Feeder ]],'Basic Data'!$A:$A,'Basic Data'!$E:$E),"")</f>
        <v>2.2727272727272728E-2</v>
      </c>
      <c r="K221" s="296" t="s">
        <v>414</v>
      </c>
      <c r="L221" s="297">
        <v>0.74305555555555547</v>
      </c>
      <c r="M221" s="297">
        <v>0.74305555555555547</v>
      </c>
      <c r="N221" s="297">
        <v>0.78749999999999998</v>
      </c>
      <c r="O221" s="19">
        <f>(Table6[[#This Row],[Work Start TimeStamp]]-Table6[[#This Row],[Fault Start TimeStamp]])*24</f>
        <v>0</v>
      </c>
      <c r="P221" s="19">
        <f>(Table6[[#This Row],[Fault Clearance time]]-Table6[[#This Row],[Fault Start TimeStamp]])*24</f>
        <v>1.0666666666666682</v>
      </c>
      <c r="Q221" s="19">
        <f>(Table6[[#This Row],[Fault Clearance time]]-Table6[[#This Row],[Fault Start TimeStamp]])*24</f>
        <v>1.0666666666666682</v>
      </c>
      <c r="R221" s="79" t="s">
        <v>442</v>
      </c>
      <c r="S221" s="79" t="s">
        <v>339</v>
      </c>
      <c r="T221" s="298">
        <f>IFERROR(Table6[[#This Row],[Breakdown Time]]*Table6[[#This Row],[Plant Equivalent Weightage]],"")</f>
        <v>2.4242424242424277E-2</v>
      </c>
      <c r="U221" s="79" t="s">
        <v>416</v>
      </c>
      <c r="W221" s="79">
        <v>135</v>
      </c>
    </row>
    <row r="222" spans="1:23">
      <c r="A222" s="79">
        <f t="shared" si="3"/>
        <v>221</v>
      </c>
      <c r="B222" s="79">
        <f>YEAR(Table6[[#This Row],[Date]])+IF(MONTH(Table6[[#This Row],[Date]])&gt;=4,1,0)</f>
        <v>2026</v>
      </c>
      <c r="C222" s="79">
        <f>YEAR(Table6[[#This Row],[Date]])</f>
        <v>2025</v>
      </c>
      <c r="D222" s="79" t="s">
        <v>344</v>
      </c>
      <c r="E222" s="284">
        <f>Table6[[#This Row],[Date]]-DAY(Table6[[#This Row],[Date]])+1</f>
        <v>45748</v>
      </c>
      <c r="F222" s="285">
        <v>45754</v>
      </c>
      <c r="G222" s="79" t="s">
        <v>80</v>
      </c>
      <c r="H222" s="79" t="str">
        <f>IFERROR(_xlfn.XLOOKUP(Table6[[#This Row],[Affected Feeder ]],'Basic Data'!$A:$A,'Basic Data'!$B:$B),"")</f>
        <v>PWEPL</v>
      </c>
      <c r="I222" s="79" t="str">
        <f>IFERROR(_xlfn.XLOOKUP(Table6[[#This Row],[Affected Feeder ]],'Basic Data'!$A:$A,'Basic Data'!$C:$C),"")</f>
        <v>MSEDCL</v>
      </c>
      <c r="J222" s="295">
        <f>IFERROR(_xlfn.XLOOKUP(Table6[[#This Row],[Affected Feeder ]],'Basic Data'!$A:$A,'Basic Data'!$E:$E),"")</f>
        <v>2.2727272727272728E-2</v>
      </c>
      <c r="K222" s="296" t="s">
        <v>171</v>
      </c>
      <c r="L222" s="297">
        <v>0.78749999999999998</v>
      </c>
      <c r="M222" s="297">
        <v>0.78749999999999998</v>
      </c>
      <c r="N222" s="297">
        <v>0.80138888888888893</v>
      </c>
      <c r="O222" s="19">
        <f>(Table6[[#This Row],[Work Start TimeStamp]]-Table6[[#This Row],[Fault Start TimeStamp]])*24</f>
        <v>0</v>
      </c>
      <c r="P222" s="19">
        <f>(Table6[[#This Row],[Fault Clearance time]]-Table6[[#This Row],[Fault Start TimeStamp]])*24</f>
        <v>0.33333333333333481</v>
      </c>
      <c r="Q222" s="19">
        <f>(Table6[[#This Row],[Fault Clearance time]]-Table6[[#This Row],[Fault Start TimeStamp]])*24</f>
        <v>0.33333333333333481</v>
      </c>
      <c r="R222" s="79" t="s">
        <v>353</v>
      </c>
      <c r="S222" s="79" t="s">
        <v>339</v>
      </c>
      <c r="T222" s="298">
        <f>IFERROR(Table6[[#This Row],[Breakdown Time]]*Table6[[#This Row],[Plant Equivalent Weightage]],"")</f>
        <v>7.5757575757576098E-3</v>
      </c>
      <c r="U222" s="79" t="s">
        <v>416</v>
      </c>
      <c r="W222" s="79">
        <v>42</v>
      </c>
    </row>
    <row r="223" spans="1:23">
      <c r="A223" s="79">
        <f t="shared" si="3"/>
        <v>222</v>
      </c>
      <c r="B223" s="79">
        <f>YEAR(Table6[[#This Row],[Date]])+IF(MONTH(Table6[[#This Row],[Date]])&gt;=4,1,0)</f>
        <v>2026</v>
      </c>
      <c r="C223" s="79">
        <f>YEAR(Table6[[#This Row],[Date]])</f>
        <v>2025</v>
      </c>
      <c r="D223" s="79" t="s">
        <v>344</v>
      </c>
      <c r="E223" s="284">
        <f>Table6[[#This Row],[Date]]-DAY(Table6[[#This Row],[Date]])+1</f>
        <v>45748</v>
      </c>
      <c r="F223" s="285">
        <v>45754</v>
      </c>
      <c r="G223" s="79" t="s">
        <v>81</v>
      </c>
      <c r="H223" s="79" t="str">
        <f>IFERROR(_xlfn.XLOOKUP(Table6[[#This Row],[Affected Feeder ]],'Basic Data'!$A:$A,'Basic Data'!$B:$B),"")</f>
        <v>PWEPL</v>
      </c>
      <c r="I223" s="79" t="str">
        <f>IFERROR(_xlfn.XLOOKUP(Table6[[#This Row],[Affected Feeder ]],'Basic Data'!$A:$A,'Basic Data'!$C:$C),"")</f>
        <v>MSEDCL</v>
      </c>
      <c r="J223" s="295">
        <f>IFERROR(_xlfn.XLOOKUP(Table6[[#This Row],[Affected Feeder ]],'Basic Data'!$A:$A,'Basic Data'!$E:$E),"")</f>
        <v>2.2727272727272728E-2</v>
      </c>
      <c r="K223" s="296" t="s">
        <v>414</v>
      </c>
      <c r="L223" s="297">
        <v>0.74305555555555547</v>
      </c>
      <c r="M223" s="297">
        <v>0.74305555555555547</v>
      </c>
      <c r="N223" s="297">
        <v>0.78749999999999998</v>
      </c>
      <c r="O223" s="19">
        <f>(Table6[[#This Row],[Work Start TimeStamp]]-Table6[[#This Row],[Fault Start TimeStamp]])*24</f>
        <v>0</v>
      </c>
      <c r="P223" s="19">
        <f>(Table6[[#This Row],[Fault Clearance time]]-Table6[[#This Row],[Fault Start TimeStamp]])*24</f>
        <v>1.0666666666666682</v>
      </c>
      <c r="Q223" s="19">
        <f>(Table6[[#This Row],[Fault Clearance time]]-Table6[[#This Row],[Fault Start TimeStamp]])*24</f>
        <v>1.0666666666666682</v>
      </c>
      <c r="R223" s="79" t="s">
        <v>442</v>
      </c>
      <c r="S223" s="79" t="s">
        <v>339</v>
      </c>
      <c r="T223" s="298">
        <f>IFERROR(Table6[[#This Row],[Breakdown Time]]*Table6[[#This Row],[Plant Equivalent Weightage]],"")</f>
        <v>2.4242424242424277E-2</v>
      </c>
      <c r="U223" s="79" t="s">
        <v>416</v>
      </c>
      <c r="W223" s="79">
        <v>135</v>
      </c>
    </row>
    <row r="224" spans="1:23">
      <c r="A224" s="79">
        <f t="shared" si="3"/>
        <v>223</v>
      </c>
      <c r="B224" s="79">
        <f>YEAR(Table6[[#This Row],[Date]])+IF(MONTH(Table6[[#This Row],[Date]])&gt;=4,1,0)</f>
        <v>2026</v>
      </c>
      <c r="C224" s="79">
        <f>YEAR(Table6[[#This Row],[Date]])</f>
        <v>2025</v>
      </c>
      <c r="D224" s="79" t="s">
        <v>344</v>
      </c>
      <c r="E224" s="284">
        <f>Table6[[#This Row],[Date]]-DAY(Table6[[#This Row],[Date]])+1</f>
        <v>45748</v>
      </c>
      <c r="F224" s="285">
        <v>45754</v>
      </c>
      <c r="G224" s="79" t="s">
        <v>81</v>
      </c>
      <c r="H224" s="79" t="str">
        <f>IFERROR(_xlfn.XLOOKUP(Table6[[#This Row],[Affected Feeder ]],'Basic Data'!$A:$A,'Basic Data'!$B:$B),"")</f>
        <v>PWEPL</v>
      </c>
      <c r="I224" s="79" t="str">
        <f>IFERROR(_xlfn.XLOOKUP(Table6[[#This Row],[Affected Feeder ]],'Basic Data'!$A:$A,'Basic Data'!$C:$C),"")</f>
        <v>MSEDCL</v>
      </c>
      <c r="J224" s="295">
        <f>IFERROR(_xlfn.XLOOKUP(Table6[[#This Row],[Affected Feeder ]],'Basic Data'!$A:$A,'Basic Data'!$E:$E),"")</f>
        <v>2.2727272727272728E-2</v>
      </c>
      <c r="K224" s="296" t="s">
        <v>171</v>
      </c>
      <c r="L224" s="297">
        <v>0.78749999999999998</v>
      </c>
      <c r="M224" s="297">
        <v>0.78749999999999998</v>
      </c>
      <c r="N224" s="297">
        <v>0.80138888888888893</v>
      </c>
      <c r="O224" s="19">
        <f>(Table6[[#This Row],[Work Start TimeStamp]]-Table6[[#This Row],[Fault Start TimeStamp]])*24</f>
        <v>0</v>
      </c>
      <c r="P224" s="19">
        <f>(Table6[[#This Row],[Fault Clearance time]]-Table6[[#This Row],[Fault Start TimeStamp]])*24</f>
        <v>0.33333333333333481</v>
      </c>
      <c r="Q224" s="19">
        <f>(Table6[[#This Row],[Fault Clearance time]]-Table6[[#This Row],[Fault Start TimeStamp]])*24</f>
        <v>0.33333333333333481</v>
      </c>
      <c r="R224" s="79" t="s">
        <v>353</v>
      </c>
      <c r="S224" s="79" t="s">
        <v>339</v>
      </c>
      <c r="T224" s="298">
        <f>IFERROR(Table6[[#This Row],[Breakdown Time]]*Table6[[#This Row],[Plant Equivalent Weightage]],"")</f>
        <v>7.5757575757576098E-3</v>
      </c>
      <c r="U224" s="79" t="s">
        <v>416</v>
      </c>
      <c r="W224" s="79">
        <v>42</v>
      </c>
    </row>
    <row r="225" spans="1:23">
      <c r="A225" s="79">
        <f t="shared" si="3"/>
        <v>224</v>
      </c>
      <c r="B225" s="79">
        <f>YEAR(Table6[[#This Row],[Date]])+IF(MONTH(Table6[[#This Row],[Date]])&gt;=4,1,0)</f>
        <v>2026</v>
      </c>
      <c r="C225" s="79">
        <f>YEAR(Table6[[#This Row],[Date]])</f>
        <v>2025</v>
      </c>
      <c r="D225" s="79" t="s">
        <v>344</v>
      </c>
      <c r="E225" s="284">
        <f>Table6[[#This Row],[Date]]-DAY(Table6[[#This Row],[Date]])+1</f>
        <v>45748</v>
      </c>
      <c r="F225" s="285">
        <v>45754</v>
      </c>
      <c r="G225" s="79" t="s">
        <v>108</v>
      </c>
      <c r="H225" s="79" t="str">
        <f>IFERROR(_xlfn.XLOOKUP(Table6[[#This Row],[Affected Feeder ]],'Basic Data'!$A:$A,'Basic Data'!$B:$B),"")</f>
        <v>PWEPL</v>
      </c>
      <c r="I225" s="79" t="str">
        <f>IFERROR(_xlfn.XLOOKUP(Table6[[#This Row],[Affected Feeder ]],'Basic Data'!$A:$A,'Basic Data'!$C:$C),"")</f>
        <v>MSEDCL</v>
      </c>
      <c r="J225" s="295">
        <f>IFERROR(_xlfn.XLOOKUP(Table6[[#This Row],[Affected Feeder ]],'Basic Data'!$A:$A,'Basic Data'!$E:$E),"")</f>
        <v>2.2727272727272728E-2</v>
      </c>
      <c r="K225" s="296" t="s">
        <v>414</v>
      </c>
      <c r="L225" s="297">
        <v>0.74305555555555547</v>
      </c>
      <c r="M225" s="297">
        <v>0.74305555555555547</v>
      </c>
      <c r="N225" s="297">
        <v>0.78749999999999998</v>
      </c>
      <c r="O225" s="19">
        <f>(Table6[[#This Row],[Work Start TimeStamp]]-Table6[[#This Row],[Fault Start TimeStamp]])*24</f>
        <v>0</v>
      </c>
      <c r="P225" s="19">
        <f>(Table6[[#This Row],[Fault Clearance time]]-Table6[[#This Row],[Fault Start TimeStamp]])*24</f>
        <v>1.0666666666666682</v>
      </c>
      <c r="Q225" s="19">
        <f>(Table6[[#This Row],[Fault Clearance time]]-Table6[[#This Row],[Fault Start TimeStamp]])*24</f>
        <v>1.0666666666666682</v>
      </c>
      <c r="R225" s="79" t="s">
        <v>442</v>
      </c>
      <c r="S225" s="79" t="s">
        <v>339</v>
      </c>
      <c r="T225" s="298">
        <f>IFERROR(Table6[[#This Row],[Breakdown Time]]*Table6[[#This Row],[Plant Equivalent Weightage]],"")</f>
        <v>2.4242424242424277E-2</v>
      </c>
      <c r="U225" s="79" t="s">
        <v>416</v>
      </c>
      <c r="W225" s="79">
        <v>135</v>
      </c>
    </row>
    <row r="226" spans="1:23">
      <c r="A226" s="79">
        <f t="shared" si="3"/>
        <v>225</v>
      </c>
      <c r="B226" s="79">
        <f>YEAR(Table6[[#This Row],[Date]])+IF(MONTH(Table6[[#This Row],[Date]])&gt;=4,1,0)</f>
        <v>2026</v>
      </c>
      <c r="C226" s="79">
        <f>YEAR(Table6[[#This Row],[Date]])</f>
        <v>2025</v>
      </c>
      <c r="D226" s="79" t="s">
        <v>344</v>
      </c>
      <c r="E226" s="284">
        <f>Table6[[#This Row],[Date]]-DAY(Table6[[#This Row],[Date]])+1</f>
        <v>45748</v>
      </c>
      <c r="F226" s="285">
        <v>45754</v>
      </c>
      <c r="G226" s="79" t="s">
        <v>108</v>
      </c>
      <c r="H226" s="79" t="str">
        <f>IFERROR(_xlfn.XLOOKUP(Table6[[#This Row],[Affected Feeder ]],'Basic Data'!$A:$A,'Basic Data'!$B:$B),"")</f>
        <v>PWEPL</v>
      </c>
      <c r="I226" s="79" t="str">
        <f>IFERROR(_xlfn.XLOOKUP(Table6[[#This Row],[Affected Feeder ]],'Basic Data'!$A:$A,'Basic Data'!$C:$C),"")</f>
        <v>MSEDCL</v>
      </c>
      <c r="J226" s="295">
        <f>IFERROR(_xlfn.XLOOKUP(Table6[[#This Row],[Affected Feeder ]],'Basic Data'!$A:$A,'Basic Data'!$E:$E),"")</f>
        <v>2.2727272727272728E-2</v>
      </c>
      <c r="K226" s="296" t="s">
        <v>171</v>
      </c>
      <c r="L226" s="297">
        <v>0.78749999999999998</v>
      </c>
      <c r="M226" s="297">
        <v>0.78749999999999998</v>
      </c>
      <c r="N226" s="297">
        <v>0.80138888888888893</v>
      </c>
      <c r="O226" s="19">
        <f>(Table6[[#This Row],[Work Start TimeStamp]]-Table6[[#This Row],[Fault Start TimeStamp]])*24</f>
        <v>0</v>
      </c>
      <c r="P226" s="19">
        <f>(Table6[[#This Row],[Fault Clearance time]]-Table6[[#This Row],[Fault Start TimeStamp]])*24</f>
        <v>0.33333333333333481</v>
      </c>
      <c r="Q226" s="19">
        <f>(Table6[[#This Row],[Fault Clearance time]]-Table6[[#This Row],[Fault Start TimeStamp]])*24</f>
        <v>0.33333333333333481</v>
      </c>
      <c r="R226" s="79" t="s">
        <v>353</v>
      </c>
      <c r="S226" s="79" t="s">
        <v>339</v>
      </c>
      <c r="T226" s="298">
        <f>IFERROR(Table6[[#This Row],[Breakdown Time]]*Table6[[#This Row],[Plant Equivalent Weightage]],"")</f>
        <v>7.5757575757576098E-3</v>
      </c>
      <c r="U226" s="79" t="s">
        <v>416</v>
      </c>
      <c r="W226" s="79">
        <v>42</v>
      </c>
    </row>
    <row r="227" spans="1:23">
      <c r="A227" s="79">
        <f t="shared" si="3"/>
        <v>226</v>
      </c>
      <c r="B227" s="79">
        <f>YEAR(Table6[[#This Row],[Date]])+IF(MONTH(Table6[[#This Row],[Date]])&gt;=4,1,0)</f>
        <v>2026</v>
      </c>
      <c r="C227" s="79">
        <f>YEAR(Table6[[#This Row],[Date]])</f>
        <v>2025</v>
      </c>
      <c r="D227" s="79" t="s">
        <v>344</v>
      </c>
      <c r="E227" s="284">
        <f>Table6[[#This Row],[Date]]-DAY(Table6[[#This Row],[Date]])+1</f>
        <v>45748</v>
      </c>
      <c r="F227" s="285">
        <v>45755</v>
      </c>
      <c r="G227" s="79" t="s">
        <v>109</v>
      </c>
      <c r="H227" s="79" t="str">
        <f>IFERROR(_xlfn.XLOOKUP(Table6[[#This Row],[Affected Feeder ]],'Basic Data'!$A:$A,'Basic Data'!$B:$B),"")</f>
        <v>PWEPL</v>
      </c>
      <c r="I227" s="79" t="str">
        <f>IFERROR(_xlfn.XLOOKUP(Table6[[#This Row],[Affected Feeder ]],'Basic Data'!$A:$A,'Basic Data'!$C:$C),"")</f>
        <v>MSEDCL</v>
      </c>
      <c r="J227" s="295">
        <f>IFERROR(_xlfn.XLOOKUP(Table6[[#This Row],[Affected Feeder ]],'Basic Data'!$A:$A,'Basic Data'!$E:$E),"")</f>
        <v>2.2727272727272728E-2</v>
      </c>
      <c r="K227" s="296" t="s">
        <v>414</v>
      </c>
      <c r="L227" s="297">
        <v>0.33749999999999997</v>
      </c>
      <c r="M227" s="297">
        <v>0.33749999999999997</v>
      </c>
      <c r="N227" s="297">
        <v>0.37291666666666662</v>
      </c>
      <c r="O227" s="19">
        <f>(Table6[[#This Row],[Work Start TimeStamp]]-Table6[[#This Row],[Fault Start TimeStamp]])*24</f>
        <v>0</v>
      </c>
      <c r="P227" s="19">
        <f>(Table6[[#This Row],[Fault Clearance time]]-Table6[[#This Row],[Fault Start TimeStamp]])*24</f>
        <v>0.84999999999999964</v>
      </c>
      <c r="Q227" s="19">
        <f>(Table6[[#This Row],[Fault Clearance time]]-Table6[[#This Row],[Fault Start TimeStamp]])*24</f>
        <v>0.84999999999999964</v>
      </c>
      <c r="R227" s="79" t="s">
        <v>443</v>
      </c>
      <c r="S227" s="79" t="s">
        <v>339</v>
      </c>
      <c r="T227" s="298">
        <f>IFERROR(Table6[[#This Row],[Breakdown Time]]*Table6[[#This Row],[Plant Equivalent Weightage]],"")</f>
        <v>1.9318181818181811E-2</v>
      </c>
      <c r="U227" s="79" t="s">
        <v>416</v>
      </c>
      <c r="W227" s="79">
        <v>74</v>
      </c>
    </row>
    <row r="228" spans="1:23">
      <c r="A228" s="79">
        <f t="shared" si="3"/>
        <v>227</v>
      </c>
      <c r="B228" s="79">
        <f>YEAR(Table6[[#This Row],[Date]])+IF(MONTH(Table6[[#This Row],[Date]])&gt;=4,1,0)</f>
        <v>2026</v>
      </c>
      <c r="C228" s="79">
        <f>YEAR(Table6[[#This Row],[Date]])</f>
        <v>2025</v>
      </c>
      <c r="D228" s="79" t="s">
        <v>344</v>
      </c>
      <c r="E228" s="284">
        <f>Table6[[#This Row],[Date]]-DAY(Table6[[#This Row],[Date]])+1</f>
        <v>45748</v>
      </c>
      <c r="F228" s="285">
        <v>45755</v>
      </c>
      <c r="G228" s="79" t="s">
        <v>109</v>
      </c>
      <c r="H228" s="79" t="str">
        <f>IFERROR(_xlfn.XLOOKUP(Table6[[#This Row],[Affected Feeder ]],'Basic Data'!$A:$A,'Basic Data'!$B:$B),"")</f>
        <v>PWEPL</v>
      </c>
      <c r="I228" s="79" t="str">
        <f>IFERROR(_xlfn.XLOOKUP(Table6[[#This Row],[Affected Feeder ]],'Basic Data'!$A:$A,'Basic Data'!$C:$C),"")</f>
        <v>MSEDCL</v>
      </c>
      <c r="J228" s="295">
        <f>IFERROR(_xlfn.XLOOKUP(Table6[[#This Row],[Affected Feeder ]],'Basic Data'!$A:$A,'Basic Data'!$E:$E),"")</f>
        <v>2.2727272727272728E-2</v>
      </c>
      <c r="K228" s="296" t="s">
        <v>171</v>
      </c>
      <c r="L228" s="297">
        <v>0.37291666666666662</v>
      </c>
      <c r="M228" s="297">
        <v>0.37291666666666662</v>
      </c>
      <c r="N228" s="297">
        <v>0.38680555555555557</v>
      </c>
      <c r="O228" s="19">
        <f>(Table6[[#This Row],[Work Start TimeStamp]]-Table6[[#This Row],[Fault Start TimeStamp]])*24</f>
        <v>0</v>
      </c>
      <c r="P228" s="19">
        <f>(Table6[[#This Row],[Fault Clearance time]]-Table6[[#This Row],[Fault Start TimeStamp]])*24</f>
        <v>0.33333333333333481</v>
      </c>
      <c r="Q228" s="19">
        <f>(Table6[[#This Row],[Fault Clearance time]]-Table6[[#This Row],[Fault Start TimeStamp]])*24</f>
        <v>0.33333333333333481</v>
      </c>
      <c r="R228" s="79" t="s">
        <v>353</v>
      </c>
      <c r="S228" s="79" t="s">
        <v>339</v>
      </c>
      <c r="T228" s="298">
        <f>IFERROR(Table6[[#This Row],[Breakdown Time]]*Table6[[#This Row],[Plant Equivalent Weightage]],"")</f>
        <v>7.5757575757576098E-3</v>
      </c>
      <c r="U228" s="79" t="s">
        <v>416</v>
      </c>
      <c r="W228" s="79">
        <v>20</v>
      </c>
    </row>
    <row r="229" spans="1:23">
      <c r="A229" s="79">
        <f t="shared" si="3"/>
        <v>228</v>
      </c>
      <c r="B229" s="79">
        <f>YEAR(Table6[[#This Row],[Date]])+IF(MONTH(Table6[[#This Row],[Date]])&gt;=4,1,0)</f>
        <v>2026</v>
      </c>
      <c r="C229" s="79">
        <f>YEAR(Table6[[#This Row],[Date]])</f>
        <v>2025</v>
      </c>
      <c r="D229" s="79" t="s">
        <v>344</v>
      </c>
      <c r="E229" s="284">
        <f>Table6[[#This Row],[Date]]-DAY(Table6[[#This Row],[Date]])+1</f>
        <v>45748</v>
      </c>
      <c r="F229" s="285">
        <v>45755</v>
      </c>
      <c r="G229" s="79" t="s">
        <v>111</v>
      </c>
      <c r="H229" s="79" t="str">
        <f>IFERROR(_xlfn.XLOOKUP(Table6[[#This Row],[Affected Feeder ]],'Basic Data'!$A:$A,'Basic Data'!$B:$B),"")</f>
        <v>PWEPL</v>
      </c>
      <c r="I229" s="79" t="str">
        <f>IFERROR(_xlfn.XLOOKUP(Table6[[#This Row],[Affected Feeder ]],'Basic Data'!$A:$A,'Basic Data'!$C:$C),"")</f>
        <v>MSEDCL</v>
      </c>
      <c r="J229" s="295">
        <f>IFERROR(_xlfn.XLOOKUP(Table6[[#This Row],[Affected Feeder ]],'Basic Data'!$A:$A,'Basic Data'!$E:$E),"")</f>
        <v>2.2727272727272728E-2</v>
      </c>
      <c r="K229" s="296" t="s">
        <v>414</v>
      </c>
      <c r="L229" s="297">
        <v>0.33749999999999997</v>
      </c>
      <c r="M229" s="297">
        <v>0.33749999999999997</v>
      </c>
      <c r="N229" s="297">
        <v>0.37291666666666662</v>
      </c>
      <c r="O229" s="19">
        <f>(Table6[[#This Row],[Work Start TimeStamp]]-Table6[[#This Row],[Fault Start TimeStamp]])*24</f>
        <v>0</v>
      </c>
      <c r="P229" s="19">
        <f>(Table6[[#This Row],[Fault Clearance time]]-Table6[[#This Row],[Fault Start TimeStamp]])*24</f>
        <v>0.84999999999999964</v>
      </c>
      <c r="Q229" s="19">
        <f>(Table6[[#This Row],[Fault Clearance time]]-Table6[[#This Row],[Fault Start TimeStamp]])*24</f>
        <v>0.84999999999999964</v>
      </c>
      <c r="R229" s="79" t="s">
        <v>443</v>
      </c>
      <c r="S229" s="79" t="s">
        <v>339</v>
      </c>
      <c r="T229" s="298">
        <f>IFERROR(Table6[[#This Row],[Breakdown Time]]*Table6[[#This Row],[Plant Equivalent Weightage]],"")</f>
        <v>1.9318181818181811E-2</v>
      </c>
      <c r="U229" s="79" t="s">
        <v>416</v>
      </c>
      <c r="W229" s="79">
        <v>74</v>
      </c>
    </row>
    <row r="230" spans="1:23">
      <c r="A230" s="79">
        <f t="shared" si="3"/>
        <v>229</v>
      </c>
      <c r="B230" s="79">
        <f>YEAR(Table6[[#This Row],[Date]])+IF(MONTH(Table6[[#This Row],[Date]])&gt;=4,1,0)</f>
        <v>2026</v>
      </c>
      <c r="C230" s="79">
        <f>YEAR(Table6[[#This Row],[Date]])</f>
        <v>2025</v>
      </c>
      <c r="D230" s="79" t="s">
        <v>344</v>
      </c>
      <c r="E230" s="284">
        <f>Table6[[#This Row],[Date]]-DAY(Table6[[#This Row],[Date]])+1</f>
        <v>45748</v>
      </c>
      <c r="F230" s="285">
        <v>45755</v>
      </c>
      <c r="G230" s="79" t="s">
        <v>111</v>
      </c>
      <c r="H230" s="79" t="str">
        <f>IFERROR(_xlfn.XLOOKUP(Table6[[#This Row],[Affected Feeder ]],'Basic Data'!$A:$A,'Basic Data'!$B:$B),"")</f>
        <v>PWEPL</v>
      </c>
      <c r="I230" s="79" t="str">
        <f>IFERROR(_xlfn.XLOOKUP(Table6[[#This Row],[Affected Feeder ]],'Basic Data'!$A:$A,'Basic Data'!$C:$C),"")</f>
        <v>MSEDCL</v>
      </c>
      <c r="J230" s="295">
        <f>IFERROR(_xlfn.XLOOKUP(Table6[[#This Row],[Affected Feeder ]],'Basic Data'!$A:$A,'Basic Data'!$E:$E),"")</f>
        <v>2.2727272727272728E-2</v>
      </c>
      <c r="K230" s="296" t="s">
        <v>171</v>
      </c>
      <c r="L230" s="297">
        <v>0.37291666666666662</v>
      </c>
      <c r="M230" s="297">
        <v>0.37291666666666662</v>
      </c>
      <c r="N230" s="297">
        <v>0.38680555555555557</v>
      </c>
      <c r="O230" s="19">
        <f>(Table6[[#This Row],[Work Start TimeStamp]]-Table6[[#This Row],[Fault Start TimeStamp]])*24</f>
        <v>0</v>
      </c>
      <c r="P230" s="19">
        <f>(Table6[[#This Row],[Fault Clearance time]]-Table6[[#This Row],[Fault Start TimeStamp]])*24</f>
        <v>0.33333333333333481</v>
      </c>
      <c r="Q230" s="19">
        <f>(Table6[[#This Row],[Fault Clearance time]]-Table6[[#This Row],[Fault Start TimeStamp]])*24</f>
        <v>0.33333333333333481</v>
      </c>
      <c r="R230" s="79" t="s">
        <v>353</v>
      </c>
      <c r="S230" s="79" t="s">
        <v>339</v>
      </c>
      <c r="T230" s="298">
        <f>IFERROR(Table6[[#This Row],[Breakdown Time]]*Table6[[#This Row],[Plant Equivalent Weightage]],"")</f>
        <v>7.5757575757576098E-3</v>
      </c>
      <c r="U230" s="79" t="s">
        <v>416</v>
      </c>
      <c r="W230" s="79">
        <v>20</v>
      </c>
    </row>
    <row r="231" spans="1:23">
      <c r="A231" s="79">
        <f t="shared" si="3"/>
        <v>230</v>
      </c>
      <c r="B231" s="79">
        <f>YEAR(Table6[[#This Row],[Date]])+IF(MONTH(Table6[[#This Row],[Date]])&gt;=4,1,0)</f>
        <v>2026</v>
      </c>
      <c r="C231" s="79">
        <f>YEAR(Table6[[#This Row],[Date]])</f>
        <v>2025</v>
      </c>
      <c r="D231" s="79" t="s">
        <v>344</v>
      </c>
      <c r="E231" s="284">
        <f>Table6[[#This Row],[Date]]-DAY(Table6[[#This Row],[Date]])+1</f>
        <v>45748</v>
      </c>
      <c r="F231" s="285">
        <v>45755</v>
      </c>
      <c r="G231" s="79" t="s">
        <v>112</v>
      </c>
      <c r="H231" s="79" t="str">
        <f>IFERROR(_xlfn.XLOOKUP(Table6[[#This Row],[Affected Feeder ]],'Basic Data'!$A:$A,'Basic Data'!$B:$B),"")</f>
        <v>PWEPL</v>
      </c>
      <c r="I231" s="79" t="str">
        <f>IFERROR(_xlfn.XLOOKUP(Table6[[#This Row],[Affected Feeder ]],'Basic Data'!$A:$A,'Basic Data'!$C:$C),"")</f>
        <v>MSEDCL</v>
      </c>
      <c r="J231" s="295">
        <f>IFERROR(_xlfn.XLOOKUP(Table6[[#This Row],[Affected Feeder ]],'Basic Data'!$A:$A,'Basic Data'!$E:$E),"")</f>
        <v>2.2727272727272728E-2</v>
      </c>
      <c r="K231" s="296" t="s">
        <v>414</v>
      </c>
      <c r="L231" s="297">
        <v>0.33749999999999997</v>
      </c>
      <c r="M231" s="297">
        <v>0.33749999999999997</v>
      </c>
      <c r="N231" s="297">
        <v>0.37291666666666662</v>
      </c>
      <c r="O231" s="19">
        <f>(Table6[[#This Row],[Work Start TimeStamp]]-Table6[[#This Row],[Fault Start TimeStamp]])*24</f>
        <v>0</v>
      </c>
      <c r="P231" s="19">
        <f>(Table6[[#This Row],[Fault Clearance time]]-Table6[[#This Row],[Fault Start TimeStamp]])*24</f>
        <v>0.84999999999999964</v>
      </c>
      <c r="Q231" s="19">
        <f>(Table6[[#This Row],[Fault Clearance time]]-Table6[[#This Row],[Fault Start TimeStamp]])*24</f>
        <v>0.84999999999999964</v>
      </c>
      <c r="R231" s="79" t="s">
        <v>443</v>
      </c>
      <c r="S231" s="79" t="s">
        <v>339</v>
      </c>
      <c r="T231" s="298">
        <f>IFERROR(Table6[[#This Row],[Breakdown Time]]*Table6[[#This Row],[Plant Equivalent Weightage]],"")</f>
        <v>1.9318181818181811E-2</v>
      </c>
      <c r="U231" s="79" t="s">
        <v>416</v>
      </c>
      <c r="W231" s="79">
        <v>74</v>
      </c>
    </row>
    <row r="232" spans="1:23">
      <c r="A232" s="79">
        <f t="shared" si="3"/>
        <v>231</v>
      </c>
      <c r="B232" s="79">
        <f>YEAR(Table6[[#This Row],[Date]])+IF(MONTH(Table6[[#This Row],[Date]])&gt;=4,1,0)</f>
        <v>2026</v>
      </c>
      <c r="C232" s="79">
        <f>YEAR(Table6[[#This Row],[Date]])</f>
        <v>2025</v>
      </c>
      <c r="D232" s="79" t="s">
        <v>344</v>
      </c>
      <c r="E232" s="284">
        <f>Table6[[#This Row],[Date]]-DAY(Table6[[#This Row],[Date]])+1</f>
        <v>45748</v>
      </c>
      <c r="F232" s="285">
        <v>45755</v>
      </c>
      <c r="G232" s="79" t="s">
        <v>112</v>
      </c>
      <c r="H232" s="79" t="str">
        <f>IFERROR(_xlfn.XLOOKUP(Table6[[#This Row],[Affected Feeder ]],'Basic Data'!$A:$A,'Basic Data'!$B:$B),"")</f>
        <v>PWEPL</v>
      </c>
      <c r="I232" s="79" t="str">
        <f>IFERROR(_xlfn.XLOOKUP(Table6[[#This Row],[Affected Feeder ]],'Basic Data'!$A:$A,'Basic Data'!$C:$C),"")</f>
        <v>MSEDCL</v>
      </c>
      <c r="J232" s="295">
        <f>IFERROR(_xlfn.XLOOKUP(Table6[[#This Row],[Affected Feeder ]],'Basic Data'!$A:$A,'Basic Data'!$E:$E),"")</f>
        <v>2.2727272727272728E-2</v>
      </c>
      <c r="K232" s="296" t="s">
        <v>171</v>
      </c>
      <c r="L232" s="297">
        <v>0.37291666666666662</v>
      </c>
      <c r="M232" s="297">
        <v>0.37291666666666662</v>
      </c>
      <c r="N232" s="297">
        <v>0.38680555555555557</v>
      </c>
      <c r="O232" s="19">
        <f>(Table6[[#This Row],[Work Start TimeStamp]]-Table6[[#This Row],[Fault Start TimeStamp]])*24</f>
        <v>0</v>
      </c>
      <c r="P232" s="19">
        <f>(Table6[[#This Row],[Fault Clearance time]]-Table6[[#This Row],[Fault Start TimeStamp]])*24</f>
        <v>0.33333333333333481</v>
      </c>
      <c r="Q232" s="19">
        <f>(Table6[[#This Row],[Fault Clearance time]]-Table6[[#This Row],[Fault Start TimeStamp]])*24</f>
        <v>0.33333333333333481</v>
      </c>
      <c r="R232" s="79" t="s">
        <v>353</v>
      </c>
      <c r="S232" s="79" t="s">
        <v>339</v>
      </c>
      <c r="T232" s="298">
        <f>IFERROR(Table6[[#This Row],[Breakdown Time]]*Table6[[#This Row],[Plant Equivalent Weightage]],"")</f>
        <v>7.5757575757576098E-3</v>
      </c>
      <c r="U232" s="79" t="s">
        <v>416</v>
      </c>
      <c r="W232" s="79">
        <v>20</v>
      </c>
    </row>
    <row r="233" spans="1:23">
      <c r="A233" s="79">
        <f t="shared" si="3"/>
        <v>232</v>
      </c>
      <c r="B233" s="79">
        <f>YEAR(Table6[[#This Row],[Date]])+IF(MONTH(Table6[[#This Row],[Date]])&gt;=4,1,0)</f>
        <v>2026</v>
      </c>
      <c r="C233" s="79">
        <f>YEAR(Table6[[#This Row],[Date]])</f>
        <v>2025</v>
      </c>
      <c r="D233" s="79" t="s">
        <v>344</v>
      </c>
      <c r="E233" s="284">
        <f>Table6[[#This Row],[Date]]-DAY(Table6[[#This Row],[Date]])+1</f>
        <v>45748</v>
      </c>
      <c r="F233" s="285">
        <v>45755</v>
      </c>
      <c r="G233" s="79" t="s">
        <v>113</v>
      </c>
      <c r="H233" s="79" t="str">
        <f>IFERROR(_xlfn.XLOOKUP(Table6[[#This Row],[Affected Feeder ]],'Basic Data'!$A:$A,'Basic Data'!$B:$B),"")</f>
        <v>PWEPL</v>
      </c>
      <c r="I233" s="79" t="str">
        <f>IFERROR(_xlfn.XLOOKUP(Table6[[#This Row],[Affected Feeder ]],'Basic Data'!$A:$A,'Basic Data'!$C:$C),"")</f>
        <v>MSEDCL</v>
      </c>
      <c r="J233" s="295">
        <f>IFERROR(_xlfn.XLOOKUP(Table6[[#This Row],[Affected Feeder ]],'Basic Data'!$A:$A,'Basic Data'!$E:$E),"")</f>
        <v>2.2727272727272728E-2</v>
      </c>
      <c r="K233" s="296" t="s">
        <v>414</v>
      </c>
      <c r="L233" s="297">
        <v>0.33750000000000002</v>
      </c>
      <c r="M233" s="297">
        <v>0.33750000000000002</v>
      </c>
      <c r="N233" s="297">
        <v>0.70972222222222225</v>
      </c>
      <c r="O233" s="19">
        <f>(Table6[[#This Row],[Work Start TimeStamp]]-Table6[[#This Row],[Fault Start TimeStamp]])*24</f>
        <v>0</v>
      </c>
      <c r="P233" s="19">
        <f>(Table6[[#This Row],[Fault Clearance time]]-Table6[[#This Row],[Fault Start TimeStamp]])*24</f>
        <v>8.9333333333333336</v>
      </c>
      <c r="Q233" s="19">
        <f>(Table6[[#This Row],[Fault Clearance time]]-Table6[[#This Row],[Fault Start TimeStamp]])*24</f>
        <v>8.9333333333333336</v>
      </c>
      <c r="R233" s="79" t="s">
        <v>444</v>
      </c>
      <c r="S233" s="79" t="s">
        <v>339</v>
      </c>
      <c r="T233" s="298">
        <f>IFERROR(Table6[[#This Row],[Breakdown Time]]*Table6[[#This Row],[Plant Equivalent Weightage]],"")</f>
        <v>0.20303030303030303</v>
      </c>
      <c r="U233" s="79" t="s">
        <v>416</v>
      </c>
      <c r="W233" s="79">
        <v>785</v>
      </c>
    </row>
    <row r="234" spans="1:23">
      <c r="A234" s="79">
        <f t="shared" si="3"/>
        <v>233</v>
      </c>
      <c r="B234" s="79">
        <f>YEAR(Table6[[#This Row],[Date]])+IF(MONTH(Table6[[#This Row],[Date]])&gt;=4,1,0)</f>
        <v>2026</v>
      </c>
      <c r="C234" s="79">
        <f>YEAR(Table6[[#This Row],[Date]])</f>
        <v>2025</v>
      </c>
      <c r="D234" s="79" t="s">
        <v>344</v>
      </c>
      <c r="E234" s="284">
        <f>Table6[[#This Row],[Date]]-DAY(Table6[[#This Row],[Date]])+1</f>
        <v>45748</v>
      </c>
      <c r="F234" s="285">
        <v>45755</v>
      </c>
      <c r="G234" s="79" t="s">
        <v>114</v>
      </c>
      <c r="H234" s="79" t="str">
        <f>IFERROR(_xlfn.XLOOKUP(Table6[[#This Row],[Affected Feeder ]],'Basic Data'!$A:$A,'Basic Data'!$B:$B),"")</f>
        <v>PWEPL</v>
      </c>
      <c r="I234" s="79" t="str">
        <f>IFERROR(_xlfn.XLOOKUP(Table6[[#This Row],[Affected Feeder ]],'Basic Data'!$A:$A,'Basic Data'!$C:$C),"")</f>
        <v>MSEDCL</v>
      </c>
      <c r="J234" s="295">
        <f>IFERROR(_xlfn.XLOOKUP(Table6[[#This Row],[Affected Feeder ]],'Basic Data'!$A:$A,'Basic Data'!$E:$E),"")</f>
        <v>2.2727272727272728E-2</v>
      </c>
      <c r="K234" s="296" t="s">
        <v>414</v>
      </c>
      <c r="L234" s="297">
        <v>0.33749999999999997</v>
      </c>
      <c r="M234" s="297">
        <v>0.33749999999999997</v>
      </c>
      <c r="N234" s="297">
        <v>0.37291666666666662</v>
      </c>
      <c r="O234" s="19">
        <f>(Table6[[#This Row],[Work Start TimeStamp]]-Table6[[#This Row],[Fault Start TimeStamp]])*24</f>
        <v>0</v>
      </c>
      <c r="P234" s="19">
        <f>(Table6[[#This Row],[Fault Clearance time]]-Table6[[#This Row],[Fault Start TimeStamp]])*24</f>
        <v>0.84999999999999964</v>
      </c>
      <c r="Q234" s="19">
        <f>(Table6[[#This Row],[Fault Clearance time]]-Table6[[#This Row],[Fault Start TimeStamp]])*24</f>
        <v>0.84999999999999964</v>
      </c>
      <c r="R234" s="79" t="s">
        <v>443</v>
      </c>
      <c r="S234" s="79" t="s">
        <v>339</v>
      </c>
      <c r="T234" s="298">
        <f>IFERROR(Table6[[#This Row],[Breakdown Time]]*Table6[[#This Row],[Plant Equivalent Weightage]],"")</f>
        <v>1.9318181818181811E-2</v>
      </c>
      <c r="U234" s="79" t="s">
        <v>416</v>
      </c>
      <c r="W234" s="79">
        <v>74</v>
      </c>
    </row>
    <row r="235" spans="1:23">
      <c r="A235" s="79">
        <f t="shared" si="3"/>
        <v>234</v>
      </c>
      <c r="B235" s="79">
        <f>YEAR(Table6[[#This Row],[Date]])+IF(MONTH(Table6[[#This Row],[Date]])&gt;=4,1,0)</f>
        <v>2026</v>
      </c>
      <c r="C235" s="79">
        <f>YEAR(Table6[[#This Row],[Date]])</f>
        <v>2025</v>
      </c>
      <c r="D235" s="79" t="s">
        <v>344</v>
      </c>
      <c r="E235" s="284">
        <f>Table6[[#This Row],[Date]]-DAY(Table6[[#This Row],[Date]])+1</f>
        <v>45748</v>
      </c>
      <c r="F235" s="285">
        <v>45755</v>
      </c>
      <c r="G235" s="79" t="s">
        <v>114</v>
      </c>
      <c r="H235" s="79" t="str">
        <f>IFERROR(_xlfn.XLOOKUP(Table6[[#This Row],[Affected Feeder ]],'Basic Data'!$A:$A,'Basic Data'!$B:$B),"")</f>
        <v>PWEPL</v>
      </c>
      <c r="I235" s="79" t="str">
        <f>IFERROR(_xlfn.XLOOKUP(Table6[[#This Row],[Affected Feeder ]],'Basic Data'!$A:$A,'Basic Data'!$C:$C),"")</f>
        <v>MSEDCL</v>
      </c>
      <c r="J235" s="295">
        <f>IFERROR(_xlfn.XLOOKUP(Table6[[#This Row],[Affected Feeder ]],'Basic Data'!$A:$A,'Basic Data'!$E:$E),"")</f>
        <v>2.2727272727272728E-2</v>
      </c>
      <c r="K235" s="296" t="s">
        <v>171</v>
      </c>
      <c r="L235" s="297">
        <v>0.37291666666666662</v>
      </c>
      <c r="M235" s="297">
        <v>0.37291666666666662</v>
      </c>
      <c r="N235" s="297">
        <v>0.38680555555555557</v>
      </c>
      <c r="O235" s="19">
        <f>(Table6[[#This Row],[Work Start TimeStamp]]-Table6[[#This Row],[Fault Start TimeStamp]])*24</f>
        <v>0</v>
      </c>
      <c r="P235" s="19">
        <f>(Table6[[#This Row],[Fault Clearance time]]-Table6[[#This Row],[Fault Start TimeStamp]])*24</f>
        <v>0.33333333333333481</v>
      </c>
      <c r="Q235" s="19">
        <f>(Table6[[#This Row],[Fault Clearance time]]-Table6[[#This Row],[Fault Start TimeStamp]])*24</f>
        <v>0.33333333333333481</v>
      </c>
      <c r="R235" s="79" t="s">
        <v>353</v>
      </c>
      <c r="S235" s="79" t="s">
        <v>339</v>
      </c>
      <c r="T235" s="298">
        <f>IFERROR(Table6[[#This Row],[Breakdown Time]]*Table6[[#This Row],[Plant Equivalent Weightage]],"")</f>
        <v>7.5757575757576098E-3</v>
      </c>
      <c r="U235" s="79" t="s">
        <v>416</v>
      </c>
      <c r="W235" s="79">
        <v>20</v>
      </c>
    </row>
    <row r="236" spans="1:23">
      <c r="A236" s="79">
        <f t="shared" si="3"/>
        <v>235</v>
      </c>
      <c r="B236" s="79">
        <f>YEAR(Table6[[#This Row],[Date]])+IF(MONTH(Table6[[#This Row],[Date]])&gt;=4,1,0)</f>
        <v>2026</v>
      </c>
      <c r="C236" s="79">
        <f>YEAR(Table6[[#This Row],[Date]])</f>
        <v>2025</v>
      </c>
      <c r="D236" s="79" t="s">
        <v>344</v>
      </c>
      <c r="E236" s="284">
        <f>Table6[[#This Row],[Date]]-DAY(Table6[[#This Row],[Date]])+1</f>
        <v>45748</v>
      </c>
      <c r="F236" s="285">
        <v>45756</v>
      </c>
      <c r="G236" s="79" t="s">
        <v>109</v>
      </c>
      <c r="H236" s="79" t="str">
        <f>IFERROR(_xlfn.XLOOKUP(Table6[[#This Row],[Affected Feeder ]],'Basic Data'!$A:$A,'Basic Data'!$B:$B),"")</f>
        <v>PWEPL</v>
      </c>
      <c r="I236" s="79" t="str">
        <f>IFERROR(_xlfn.XLOOKUP(Table6[[#This Row],[Affected Feeder ]],'Basic Data'!$A:$A,'Basic Data'!$C:$C),"")</f>
        <v>MSEDCL</v>
      </c>
      <c r="J236" s="295">
        <f>IFERROR(_xlfn.XLOOKUP(Table6[[#This Row],[Affected Feeder ]],'Basic Data'!$A:$A,'Basic Data'!$E:$E),"")</f>
        <v>2.2727272727272728E-2</v>
      </c>
      <c r="K236" s="296" t="s">
        <v>414</v>
      </c>
      <c r="L236" s="297">
        <v>0.3354166666666667</v>
      </c>
      <c r="M236" s="297">
        <v>0.3354166666666667</v>
      </c>
      <c r="N236" s="297">
        <v>0.36527777777777781</v>
      </c>
      <c r="O236" s="19">
        <f>(Table6[[#This Row],[Work Start TimeStamp]]-Table6[[#This Row],[Fault Start TimeStamp]])*24</f>
        <v>0</v>
      </c>
      <c r="P236" s="19">
        <f>(Table6[[#This Row],[Fault Clearance time]]-Table6[[#This Row],[Fault Start TimeStamp]])*24</f>
        <v>0.71666666666666679</v>
      </c>
      <c r="Q236" s="19">
        <f>(Table6[[#This Row],[Fault Clearance time]]-Table6[[#This Row],[Fault Start TimeStamp]])*24</f>
        <v>0.71666666666666679</v>
      </c>
      <c r="R236" s="79" t="s">
        <v>445</v>
      </c>
      <c r="S236" s="79" t="s">
        <v>339</v>
      </c>
      <c r="T236" s="298">
        <f>IFERROR(Table6[[#This Row],[Breakdown Time]]*Table6[[#This Row],[Plant Equivalent Weightage]],"")</f>
        <v>1.6287878787878792E-2</v>
      </c>
      <c r="U236" s="79" t="s">
        <v>416</v>
      </c>
      <c r="W236" s="79">
        <v>95</v>
      </c>
    </row>
    <row r="237" spans="1:23">
      <c r="A237" s="79">
        <f t="shared" si="3"/>
        <v>236</v>
      </c>
      <c r="B237" s="79">
        <f>YEAR(Table6[[#This Row],[Date]])+IF(MONTH(Table6[[#This Row],[Date]])&gt;=4,1,0)</f>
        <v>2026</v>
      </c>
      <c r="C237" s="79">
        <f>YEAR(Table6[[#This Row],[Date]])</f>
        <v>2025</v>
      </c>
      <c r="D237" s="79" t="s">
        <v>344</v>
      </c>
      <c r="E237" s="284">
        <f>Table6[[#This Row],[Date]]-DAY(Table6[[#This Row],[Date]])+1</f>
        <v>45748</v>
      </c>
      <c r="F237" s="285">
        <v>45756</v>
      </c>
      <c r="G237" s="79" t="s">
        <v>109</v>
      </c>
      <c r="H237" s="79" t="str">
        <f>IFERROR(_xlfn.XLOOKUP(Table6[[#This Row],[Affected Feeder ]],'Basic Data'!$A:$A,'Basic Data'!$B:$B),"")</f>
        <v>PWEPL</v>
      </c>
      <c r="I237" s="79" t="str">
        <f>IFERROR(_xlfn.XLOOKUP(Table6[[#This Row],[Affected Feeder ]],'Basic Data'!$A:$A,'Basic Data'!$C:$C),"")</f>
        <v>MSEDCL</v>
      </c>
      <c r="J237" s="295">
        <f>IFERROR(_xlfn.XLOOKUP(Table6[[#This Row],[Affected Feeder ]],'Basic Data'!$A:$A,'Basic Data'!$E:$E),"")</f>
        <v>2.2727272727272728E-2</v>
      </c>
      <c r="K237" s="296" t="s">
        <v>171</v>
      </c>
      <c r="L237" s="297">
        <v>0.36527777777777781</v>
      </c>
      <c r="M237" s="297">
        <v>0.36527777777777781</v>
      </c>
      <c r="N237" s="297">
        <v>0.37916666666666665</v>
      </c>
      <c r="O237" s="19">
        <f>(Table6[[#This Row],[Work Start TimeStamp]]-Table6[[#This Row],[Fault Start TimeStamp]])*24</f>
        <v>0</v>
      </c>
      <c r="P237" s="19">
        <f>(Table6[[#This Row],[Fault Clearance time]]-Table6[[#This Row],[Fault Start TimeStamp]])*24</f>
        <v>0.33333333333333215</v>
      </c>
      <c r="Q237" s="19">
        <f>(Table6[[#This Row],[Fault Clearance time]]-Table6[[#This Row],[Fault Start TimeStamp]])*24</f>
        <v>0.33333333333333215</v>
      </c>
      <c r="R237" s="79" t="s">
        <v>353</v>
      </c>
      <c r="S237" s="79" t="s">
        <v>339</v>
      </c>
      <c r="T237" s="298">
        <f>IFERROR(Table6[[#This Row],[Breakdown Time]]*Table6[[#This Row],[Plant Equivalent Weightage]],"")</f>
        <v>7.5757575757575491E-3</v>
      </c>
      <c r="U237" s="79" t="s">
        <v>416</v>
      </c>
      <c r="W237" s="79">
        <v>44</v>
      </c>
    </row>
    <row r="238" spans="1:23">
      <c r="A238" s="79">
        <f t="shared" si="3"/>
        <v>237</v>
      </c>
      <c r="B238" s="79">
        <f>YEAR(Table6[[#This Row],[Date]])+IF(MONTH(Table6[[#This Row],[Date]])&gt;=4,1,0)</f>
        <v>2026</v>
      </c>
      <c r="C238" s="79">
        <f>YEAR(Table6[[#This Row],[Date]])</f>
        <v>2025</v>
      </c>
      <c r="D238" s="79" t="s">
        <v>344</v>
      </c>
      <c r="E238" s="284">
        <f>Table6[[#This Row],[Date]]-DAY(Table6[[#This Row],[Date]])+1</f>
        <v>45748</v>
      </c>
      <c r="F238" s="285">
        <v>45756</v>
      </c>
      <c r="G238" s="79" t="s">
        <v>111</v>
      </c>
      <c r="H238" s="79" t="str">
        <f>IFERROR(_xlfn.XLOOKUP(Table6[[#This Row],[Affected Feeder ]],'Basic Data'!$A:$A,'Basic Data'!$B:$B),"")</f>
        <v>PWEPL</v>
      </c>
      <c r="I238" s="79" t="str">
        <f>IFERROR(_xlfn.XLOOKUP(Table6[[#This Row],[Affected Feeder ]],'Basic Data'!$A:$A,'Basic Data'!$C:$C),"")</f>
        <v>MSEDCL</v>
      </c>
      <c r="J238" s="295">
        <f>IFERROR(_xlfn.XLOOKUP(Table6[[#This Row],[Affected Feeder ]],'Basic Data'!$A:$A,'Basic Data'!$E:$E),"")</f>
        <v>2.2727272727272728E-2</v>
      </c>
      <c r="K238" s="296" t="s">
        <v>414</v>
      </c>
      <c r="L238" s="297">
        <v>0.3354166666666667</v>
      </c>
      <c r="M238" s="297">
        <v>0.3354166666666667</v>
      </c>
      <c r="N238" s="297">
        <v>0.36527777777777781</v>
      </c>
      <c r="O238" s="19">
        <f>(Table6[[#This Row],[Work Start TimeStamp]]-Table6[[#This Row],[Fault Start TimeStamp]])*24</f>
        <v>0</v>
      </c>
      <c r="P238" s="19">
        <f>(Table6[[#This Row],[Fault Clearance time]]-Table6[[#This Row],[Fault Start TimeStamp]])*24</f>
        <v>0.71666666666666679</v>
      </c>
      <c r="Q238" s="19">
        <f>(Table6[[#This Row],[Fault Clearance time]]-Table6[[#This Row],[Fault Start TimeStamp]])*24</f>
        <v>0.71666666666666679</v>
      </c>
      <c r="R238" s="79" t="s">
        <v>445</v>
      </c>
      <c r="S238" s="79" t="s">
        <v>339</v>
      </c>
      <c r="T238" s="298">
        <f>IFERROR(Table6[[#This Row],[Breakdown Time]]*Table6[[#This Row],[Plant Equivalent Weightage]],"")</f>
        <v>1.6287878787878792E-2</v>
      </c>
      <c r="U238" s="79" t="s">
        <v>416</v>
      </c>
      <c r="W238" s="79">
        <v>95</v>
      </c>
    </row>
    <row r="239" spans="1:23">
      <c r="A239" s="79">
        <f t="shared" si="3"/>
        <v>238</v>
      </c>
      <c r="B239" s="79">
        <f>YEAR(Table6[[#This Row],[Date]])+IF(MONTH(Table6[[#This Row],[Date]])&gt;=4,1,0)</f>
        <v>2026</v>
      </c>
      <c r="C239" s="79">
        <f>YEAR(Table6[[#This Row],[Date]])</f>
        <v>2025</v>
      </c>
      <c r="D239" s="79" t="s">
        <v>344</v>
      </c>
      <c r="E239" s="284">
        <f>Table6[[#This Row],[Date]]-DAY(Table6[[#This Row],[Date]])+1</f>
        <v>45748</v>
      </c>
      <c r="F239" s="285">
        <v>45756</v>
      </c>
      <c r="G239" s="79" t="s">
        <v>111</v>
      </c>
      <c r="H239" s="79" t="str">
        <f>IFERROR(_xlfn.XLOOKUP(Table6[[#This Row],[Affected Feeder ]],'Basic Data'!$A:$A,'Basic Data'!$B:$B),"")</f>
        <v>PWEPL</v>
      </c>
      <c r="I239" s="79" t="str">
        <f>IFERROR(_xlfn.XLOOKUP(Table6[[#This Row],[Affected Feeder ]],'Basic Data'!$A:$A,'Basic Data'!$C:$C),"")</f>
        <v>MSEDCL</v>
      </c>
      <c r="J239" s="295">
        <f>IFERROR(_xlfn.XLOOKUP(Table6[[#This Row],[Affected Feeder ]],'Basic Data'!$A:$A,'Basic Data'!$E:$E),"")</f>
        <v>2.2727272727272728E-2</v>
      </c>
      <c r="K239" s="296" t="s">
        <v>171</v>
      </c>
      <c r="L239" s="297">
        <v>0.36527777777777781</v>
      </c>
      <c r="M239" s="297">
        <v>0.36527777777777781</v>
      </c>
      <c r="N239" s="297">
        <v>0.37916666666666665</v>
      </c>
      <c r="O239" s="19">
        <f>(Table6[[#This Row],[Work Start TimeStamp]]-Table6[[#This Row],[Fault Start TimeStamp]])*24</f>
        <v>0</v>
      </c>
      <c r="P239" s="19">
        <f>(Table6[[#This Row],[Fault Clearance time]]-Table6[[#This Row],[Fault Start TimeStamp]])*24</f>
        <v>0.33333333333333215</v>
      </c>
      <c r="Q239" s="19">
        <f>(Table6[[#This Row],[Fault Clearance time]]-Table6[[#This Row],[Fault Start TimeStamp]])*24</f>
        <v>0.33333333333333215</v>
      </c>
      <c r="R239" s="79" t="s">
        <v>353</v>
      </c>
      <c r="S239" s="79" t="s">
        <v>339</v>
      </c>
      <c r="T239" s="298">
        <f>IFERROR(Table6[[#This Row],[Breakdown Time]]*Table6[[#This Row],[Plant Equivalent Weightage]],"")</f>
        <v>7.5757575757575491E-3</v>
      </c>
      <c r="U239" s="79" t="s">
        <v>416</v>
      </c>
      <c r="W239" s="79">
        <v>44</v>
      </c>
    </row>
    <row r="240" spans="1:23">
      <c r="A240" s="79">
        <f t="shared" si="3"/>
        <v>239</v>
      </c>
      <c r="B240" s="79">
        <f>YEAR(Table6[[#This Row],[Date]])+IF(MONTH(Table6[[#This Row],[Date]])&gt;=4,1,0)</f>
        <v>2026</v>
      </c>
      <c r="C240" s="79">
        <f>YEAR(Table6[[#This Row],[Date]])</f>
        <v>2025</v>
      </c>
      <c r="D240" s="79" t="s">
        <v>344</v>
      </c>
      <c r="E240" s="284">
        <f>Table6[[#This Row],[Date]]-DAY(Table6[[#This Row],[Date]])+1</f>
        <v>45748</v>
      </c>
      <c r="F240" s="285">
        <v>45756</v>
      </c>
      <c r="G240" s="79" t="s">
        <v>112</v>
      </c>
      <c r="H240" s="79" t="str">
        <f>IFERROR(_xlfn.XLOOKUP(Table6[[#This Row],[Affected Feeder ]],'Basic Data'!$A:$A,'Basic Data'!$B:$B),"")</f>
        <v>PWEPL</v>
      </c>
      <c r="I240" s="79" t="str">
        <f>IFERROR(_xlfn.XLOOKUP(Table6[[#This Row],[Affected Feeder ]],'Basic Data'!$A:$A,'Basic Data'!$C:$C),"")</f>
        <v>MSEDCL</v>
      </c>
      <c r="J240" s="295">
        <f>IFERROR(_xlfn.XLOOKUP(Table6[[#This Row],[Affected Feeder ]],'Basic Data'!$A:$A,'Basic Data'!$E:$E),"")</f>
        <v>2.2727272727272728E-2</v>
      </c>
      <c r="K240" s="296" t="s">
        <v>414</v>
      </c>
      <c r="L240" s="297">
        <v>0.3354166666666667</v>
      </c>
      <c r="M240" s="297">
        <v>0.3354166666666667</v>
      </c>
      <c r="N240" s="297">
        <v>0.36527777777777781</v>
      </c>
      <c r="O240" s="19">
        <f>(Table6[[#This Row],[Work Start TimeStamp]]-Table6[[#This Row],[Fault Start TimeStamp]])*24</f>
        <v>0</v>
      </c>
      <c r="P240" s="19">
        <f>(Table6[[#This Row],[Fault Clearance time]]-Table6[[#This Row],[Fault Start TimeStamp]])*24</f>
        <v>0.71666666666666679</v>
      </c>
      <c r="Q240" s="19">
        <f>(Table6[[#This Row],[Fault Clearance time]]-Table6[[#This Row],[Fault Start TimeStamp]])*24</f>
        <v>0.71666666666666679</v>
      </c>
      <c r="R240" s="79" t="s">
        <v>445</v>
      </c>
      <c r="S240" s="79" t="s">
        <v>339</v>
      </c>
      <c r="T240" s="298">
        <f>IFERROR(Table6[[#This Row],[Breakdown Time]]*Table6[[#This Row],[Plant Equivalent Weightage]],"")</f>
        <v>1.6287878787878792E-2</v>
      </c>
      <c r="U240" s="79" t="s">
        <v>416</v>
      </c>
      <c r="W240" s="79">
        <v>95</v>
      </c>
    </row>
    <row r="241" spans="1:23">
      <c r="A241" s="79">
        <f t="shared" si="3"/>
        <v>240</v>
      </c>
      <c r="B241" s="79">
        <f>YEAR(Table6[[#This Row],[Date]])+IF(MONTH(Table6[[#This Row],[Date]])&gt;=4,1,0)</f>
        <v>2026</v>
      </c>
      <c r="C241" s="79">
        <f>YEAR(Table6[[#This Row],[Date]])</f>
        <v>2025</v>
      </c>
      <c r="D241" s="79" t="s">
        <v>344</v>
      </c>
      <c r="E241" s="284">
        <f>Table6[[#This Row],[Date]]-DAY(Table6[[#This Row],[Date]])+1</f>
        <v>45748</v>
      </c>
      <c r="F241" s="285">
        <v>45756</v>
      </c>
      <c r="G241" s="79" t="s">
        <v>112</v>
      </c>
      <c r="H241" s="79" t="str">
        <f>IFERROR(_xlfn.XLOOKUP(Table6[[#This Row],[Affected Feeder ]],'Basic Data'!$A:$A,'Basic Data'!$B:$B),"")</f>
        <v>PWEPL</v>
      </c>
      <c r="I241" s="79" t="str">
        <f>IFERROR(_xlfn.XLOOKUP(Table6[[#This Row],[Affected Feeder ]],'Basic Data'!$A:$A,'Basic Data'!$C:$C),"")</f>
        <v>MSEDCL</v>
      </c>
      <c r="J241" s="295">
        <f>IFERROR(_xlfn.XLOOKUP(Table6[[#This Row],[Affected Feeder ]],'Basic Data'!$A:$A,'Basic Data'!$E:$E),"")</f>
        <v>2.2727272727272728E-2</v>
      </c>
      <c r="K241" s="296" t="s">
        <v>171</v>
      </c>
      <c r="L241" s="297">
        <v>0.36527777777777781</v>
      </c>
      <c r="M241" s="297">
        <v>0.36527777777777781</v>
      </c>
      <c r="N241" s="297">
        <v>0.36805555555555558</v>
      </c>
      <c r="O241" s="19">
        <f>(Table6[[#This Row],[Work Start TimeStamp]]-Table6[[#This Row],[Fault Start TimeStamp]])*24</f>
        <v>0</v>
      </c>
      <c r="P241" s="19">
        <f>(Table6[[#This Row],[Fault Clearance time]]-Table6[[#This Row],[Fault Start TimeStamp]])*24</f>
        <v>6.666666666666643E-2</v>
      </c>
      <c r="Q241" s="19">
        <f>(Table6[[#This Row],[Fault Clearance time]]-Table6[[#This Row],[Fault Start TimeStamp]])*24</f>
        <v>6.666666666666643E-2</v>
      </c>
      <c r="R241" s="79" t="s">
        <v>353</v>
      </c>
      <c r="S241" s="79" t="s">
        <v>339</v>
      </c>
      <c r="T241" s="298">
        <f>IFERROR(Table6[[#This Row],[Breakdown Time]]*Table6[[#This Row],[Plant Equivalent Weightage]],"")</f>
        <v>1.5151515151515097E-3</v>
      </c>
      <c r="U241" s="79" t="s">
        <v>416</v>
      </c>
      <c r="W241" s="79">
        <v>9</v>
      </c>
    </row>
    <row r="242" spans="1:23">
      <c r="A242" s="79">
        <f t="shared" si="3"/>
        <v>241</v>
      </c>
      <c r="B242" s="79">
        <f>YEAR(Table6[[#This Row],[Date]])+IF(MONTH(Table6[[#This Row],[Date]])&gt;=4,1,0)</f>
        <v>2026</v>
      </c>
      <c r="C242" s="79">
        <f>YEAR(Table6[[#This Row],[Date]])</f>
        <v>2025</v>
      </c>
      <c r="D242" s="79" t="s">
        <v>344</v>
      </c>
      <c r="E242" s="284">
        <f>Table6[[#This Row],[Date]]-DAY(Table6[[#This Row],[Date]])+1</f>
        <v>45748</v>
      </c>
      <c r="F242" s="285">
        <v>45756</v>
      </c>
      <c r="G242" s="79" t="s">
        <v>113</v>
      </c>
      <c r="H242" s="79" t="str">
        <f>IFERROR(_xlfn.XLOOKUP(Table6[[#This Row],[Affected Feeder ]],'Basic Data'!$A:$A,'Basic Data'!$B:$B),"")</f>
        <v>PWEPL</v>
      </c>
      <c r="I242" s="79" t="str">
        <f>IFERROR(_xlfn.XLOOKUP(Table6[[#This Row],[Affected Feeder ]],'Basic Data'!$A:$A,'Basic Data'!$C:$C),"")</f>
        <v>MSEDCL</v>
      </c>
      <c r="J242" s="295">
        <f>IFERROR(_xlfn.XLOOKUP(Table6[[#This Row],[Affected Feeder ]],'Basic Data'!$A:$A,'Basic Data'!$E:$E),"")</f>
        <v>2.2727272727272728E-2</v>
      </c>
      <c r="K242" s="296" t="s">
        <v>414</v>
      </c>
      <c r="L242" s="297">
        <v>0.3354166666666667</v>
      </c>
      <c r="M242" s="297">
        <v>0.3354166666666667</v>
      </c>
      <c r="N242" s="297">
        <v>0.36527777777777781</v>
      </c>
      <c r="O242" s="19">
        <f>(Table6[[#This Row],[Work Start TimeStamp]]-Table6[[#This Row],[Fault Start TimeStamp]])*24</f>
        <v>0</v>
      </c>
      <c r="P242" s="19">
        <f>(Table6[[#This Row],[Fault Clearance time]]-Table6[[#This Row],[Fault Start TimeStamp]])*24</f>
        <v>0.71666666666666679</v>
      </c>
      <c r="Q242" s="19">
        <f>(Table6[[#This Row],[Fault Clearance time]]-Table6[[#This Row],[Fault Start TimeStamp]])*24</f>
        <v>0.71666666666666679</v>
      </c>
      <c r="R242" s="79" t="s">
        <v>445</v>
      </c>
      <c r="S242" s="79" t="s">
        <v>339</v>
      </c>
      <c r="T242" s="298">
        <f>IFERROR(Table6[[#This Row],[Breakdown Time]]*Table6[[#This Row],[Plant Equivalent Weightage]],"")</f>
        <v>1.6287878787878792E-2</v>
      </c>
      <c r="U242" s="79" t="s">
        <v>416</v>
      </c>
      <c r="W242" s="79">
        <v>95</v>
      </c>
    </row>
    <row r="243" spans="1:23">
      <c r="A243" s="79">
        <f t="shared" si="3"/>
        <v>242</v>
      </c>
      <c r="B243" s="79">
        <f>YEAR(Table6[[#This Row],[Date]])+IF(MONTH(Table6[[#This Row],[Date]])&gt;=4,1,0)</f>
        <v>2026</v>
      </c>
      <c r="C243" s="79">
        <f>YEAR(Table6[[#This Row],[Date]])</f>
        <v>2025</v>
      </c>
      <c r="D243" s="79" t="s">
        <v>344</v>
      </c>
      <c r="E243" s="284">
        <f>Table6[[#This Row],[Date]]-DAY(Table6[[#This Row],[Date]])+1</f>
        <v>45748</v>
      </c>
      <c r="F243" s="285">
        <v>45756</v>
      </c>
      <c r="G243" s="79" t="s">
        <v>113</v>
      </c>
      <c r="H243" s="79" t="str">
        <f>IFERROR(_xlfn.XLOOKUP(Table6[[#This Row],[Affected Feeder ]],'Basic Data'!$A:$A,'Basic Data'!$B:$B),"")</f>
        <v>PWEPL</v>
      </c>
      <c r="I243" s="79" t="str">
        <f>IFERROR(_xlfn.XLOOKUP(Table6[[#This Row],[Affected Feeder ]],'Basic Data'!$A:$A,'Basic Data'!$C:$C),"")</f>
        <v>MSEDCL</v>
      </c>
      <c r="J243" s="295">
        <f>IFERROR(_xlfn.XLOOKUP(Table6[[#This Row],[Affected Feeder ]],'Basic Data'!$A:$A,'Basic Data'!$E:$E),"")</f>
        <v>2.2727272727272728E-2</v>
      </c>
      <c r="K243" s="296" t="s">
        <v>171</v>
      </c>
      <c r="L243" s="297">
        <v>0.36527777777777781</v>
      </c>
      <c r="M243" s="297">
        <v>0.36527777777777781</v>
      </c>
      <c r="N243" s="297">
        <v>0.37916666666666665</v>
      </c>
      <c r="O243" s="19">
        <f>(Table6[[#This Row],[Work Start TimeStamp]]-Table6[[#This Row],[Fault Start TimeStamp]])*24</f>
        <v>0</v>
      </c>
      <c r="P243" s="19">
        <f>(Table6[[#This Row],[Fault Clearance time]]-Table6[[#This Row],[Fault Start TimeStamp]])*24</f>
        <v>0.33333333333333215</v>
      </c>
      <c r="Q243" s="19">
        <f>(Table6[[#This Row],[Fault Clearance time]]-Table6[[#This Row],[Fault Start TimeStamp]])*24</f>
        <v>0.33333333333333215</v>
      </c>
      <c r="R243" s="79" t="s">
        <v>353</v>
      </c>
      <c r="S243" s="79" t="s">
        <v>339</v>
      </c>
      <c r="T243" s="298">
        <f>IFERROR(Table6[[#This Row],[Breakdown Time]]*Table6[[#This Row],[Plant Equivalent Weightage]],"")</f>
        <v>7.5757575757575491E-3</v>
      </c>
      <c r="U243" s="79" t="s">
        <v>416</v>
      </c>
      <c r="W243" s="79">
        <v>44</v>
      </c>
    </row>
    <row r="244" spans="1:23">
      <c r="A244" s="79">
        <f t="shared" si="3"/>
        <v>243</v>
      </c>
      <c r="B244" s="79">
        <f>YEAR(Table6[[#This Row],[Date]])+IF(MONTH(Table6[[#This Row],[Date]])&gt;=4,1,0)</f>
        <v>2026</v>
      </c>
      <c r="C244" s="79">
        <f>YEAR(Table6[[#This Row],[Date]])</f>
        <v>2025</v>
      </c>
      <c r="D244" s="79" t="s">
        <v>344</v>
      </c>
      <c r="E244" s="284">
        <f>Table6[[#This Row],[Date]]-DAY(Table6[[#This Row],[Date]])+1</f>
        <v>45748</v>
      </c>
      <c r="F244" s="285">
        <v>45756</v>
      </c>
      <c r="G244" s="79" t="s">
        <v>114</v>
      </c>
      <c r="H244" s="79" t="str">
        <f>IFERROR(_xlfn.XLOOKUP(Table6[[#This Row],[Affected Feeder ]],'Basic Data'!$A:$A,'Basic Data'!$B:$B),"")</f>
        <v>PWEPL</v>
      </c>
      <c r="I244" s="79" t="str">
        <f>IFERROR(_xlfn.XLOOKUP(Table6[[#This Row],[Affected Feeder ]],'Basic Data'!$A:$A,'Basic Data'!$C:$C),"")</f>
        <v>MSEDCL</v>
      </c>
      <c r="J244" s="295">
        <f>IFERROR(_xlfn.XLOOKUP(Table6[[#This Row],[Affected Feeder ]],'Basic Data'!$A:$A,'Basic Data'!$E:$E),"")</f>
        <v>2.2727272727272728E-2</v>
      </c>
      <c r="K244" s="296" t="s">
        <v>414</v>
      </c>
      <c r="L244" s="297">
        <v>0.3354166666666667</v>
      </c>
      <c r="M244" s="297">
        <v>0.3354166666666667</v>
      </c>
      <c r="N244" s="297">
        <v>0.77847222222222223</v>
      </c>
      <c r="O244" s="19">
        <f>(Table6[[#This Row],[Work Start TimeStamp]]-Table6[[#This Row],[Fault Start TimeStamp]])*24</f>
        <v>0</v>
      </c>
      <c r="P244" s="19">
        <f>(Table6[[#This Row],[Fault Clearance time]]-Table6[[#This Row],[Fault Start TimeStamp]])*24</f>
        <v>10.633333333333333</v>
      </c>
      <c r="Q244" s="19">
        <f>(Table6[[#This Row],[Fault Clearance time]]-Table6[[#This Row],[Fault Start TimeStamp]])*24</f>
        <v>10.633333333333333</v>
      </c>
      <c r="R244" s="79" t="s">
        <v>446</v>
      </c>
      <c r="S244" s="79" t="s">
        <v>339</v>
      </c>
      <c r="T244" s="298">
        <f>IFERROR(Table6[[#This Row],[Breakdown Time]]*Table6[[#This Row],[Plant Equivalent Weightage]],"")</f>
        <v>0.24166666666666667</v>
      </c>
      <c r="U244" s="79" t="s">
        <v>416</v>
      </c>
      <c r="W244" s="79">
        <v>1400</v>
      </c>
    </row>
    <row r="245" spans="1:23">
      <c r="A245" s="79">
        <f t="shared" si="3"/>
        <v>244</v>
      </c>
      <c r="B245" s="79">
        <f>YEAR(Table6[[#This Row],[Date]])+IF(MONTH(Table6[[#This Row],[Date]])&gt;=4,1,0)</f>
        <v>2026</v>
      </c>
      <c r="C245" s="79">
        <f>YEAR(Table6[[#This Row],[Date]])</f>
        <v>2025</v>
      </c>
      <c r="D245" s="79" t="s">
        <v>344</v>
      </c>
      <c r="E245" s="284">
        <f>Table6[[#This Row],[Date]]-DAY(Table6[[#This Row],[Date]])+1</f>
        <v>45748</v>
      </c>
      <c r="F245" s="285">
        <v>45756</v>
      </c>
      <c r="G245" s="79" t="s">
        <v>114</v>
      </c>
      <c r="H245" s="79" t="str">
        <f>IFERROR(_xlfn.XLOOKUP(Table6[[#This Row],[Affected Feeder ]],'Basic Data'!$A:$A,'Basic Data'!$B:$B),"")</f>
        <v>PWEPL</v>
      </c>
      <c r="I245" s="79" t="str">
        <f>IFERROR(_xlfn.XLOOKUP(Table6[[#This Row],[Affected Feeder ]],'Basic Data'!$A:$A,'Basic Data'!$C:$C),"")</f>
        <v>MSEDCL</v>
      </c>
      <c r="J245" s="295">
        <f>IFERROR(_xlfn.XLOOKUP(Table6[[#This Row],[Affected Feeder ]],'Basic Data'!$A:$A,'Basic Data'!$E:$E),"")</f>
        <v>2.2727272727272728E-2</v>
      </c>
      <c r="K245" s="296" t="s">
        <v>171</v>
      </c>
      <c r="L245" s="297">
        <v>0.77847222222222223</v>
      </c>
      <c r="M245" s="297">
        <v>0.77847222222222223</v>
      </c>
      <c r="N245" s="297">
        <v>0.78888888888888886</v>
      </c>
      <c r="O245" s="19">
        <f>(Table6[[#This Row],[Work Start TimeStamp]]-Table6[[#This Row],[Fault Start TimeStamp]])*24</f>
        <v>0</v>
      </c>
      <c r="P245" s="19">
        <f>(Table6[[#This Row],[Fault Clearance time]]-Table6[[#This Row],[Fault Start TimeStamp]])*24</f>
        <v>0.24999999999999911</v>
      </c>
      <c r="Q245" s="19">
        <f>(Table6[[#This Row],[Fault Clearance time]]-Table6[[#This Row],[Fault Start TimeStamp]])*24</f>
        <v>0.24999999999999911</v>
      </c>
      <c r="R245" s="79" t="s">
        <v>353</v>
      </c>
      <c r="S245" s="79" t="s">
        <v>339</v>
      </c>
      <c r="T245" s="298">
        <f>IFERROR(Table6[[#This Row],[Breakdown Time]]*Table6[[#This Row],[Plant Equivalent Weightage]],"")</f>
        <v>5.681818181818162E-3</v>
      </c>
      <c r="U245" s="79" t="s">
        <v>416</v>
      </c>
      <c r="W245" s="79">
        <v>40</v>
      </c>
    </row>
    <row r="246" spans="1:23">
      <c r="A246" s="79">
        <f t="shared" si="3"/>
        <v>245</v>
      </c>
      <c r="B246" s="79">
        <f>YEAR(Table6[[#This Row],[Date]])+IF(MONTH(Table6[[#This Row],[Date]])&gt;=4,1,0)</f>
        <v>2026</v>
      </c>
      <c r="C246" s="79">
        <f>YEAR(Table6[[#This Row],[Date]])</f>
        <v>2025</v>
      </c>
      <c r="D246" s="79" t="s">
        <v>344</v>
      </c>
      <c r="E246" s="284">
        <f>Table6[[#This Row],[Date]]-DAY(Table6[[#This Row],[Date]])+1</f>
        <v>45748</v>
      </c>
      <c r="F246" s="285">
        <v>45756</v>
      </c>
      <c r="G246" s="79" t="s">
        <v>109</v>
      </c>
      <c r="H246" s="79" t="str">
        <f>IFERROR(_xlfn.XLOOKUP(Table6[[#This Row],[Affected Feeder ]],'Basic Data'!$A:$A,'Basic Data'!$B:$B),"")</f>
        <v>PWEPL</v>
      </c>
      <c r="I246" s="79" t="str">
        <f>IFERROR(_xlfn.XLOOKUP(Table6[[#This Row],[Affected Feeder ]],'Basic Data'!$A:$A,'Basic Data'!$C:$C),"")</f>
        <v>MSEDCL</v>
      </c>
      <c r="J246" s="295">
        <f>IFERROR(_xlfn.XLOOKUP(Table6[[#This Row],[Affected Feeder ]],'Basic Data'!$A:$A,'Basic Data'!$E:$E),"")</f>
        <v>2.2727272727272728E-2</v>
      </c>
      <c r="K246" s="296" t="s">
        <v>414</v>
      </c>
      <c r="L246" s="297">
        <v>0.73958333333333337</v>
      </c>
      <c r="M246" s="297">
        <v>0.73958333333333337</v>
      </c>
      <c r="N246" s="297">
        <v>0.77847222222222223</v>
      </c>
      <c r="O246" s="19">
        <f>(Table6[[#This Row],[Work Start TimeStamp]]-Table6[[#This Row],[Fault Start TimeStamp]])*24</f>
        <v>0</v>
      </c>
      <c r="P246" s="19">
        <f>(Table6[[#This Row],[Fault Clearance time]]-Table6[[#This Row],[Fault Start TimeStamp]])*24</f>
        <v>0.93333333333333268</v>
      </c>
      <c r="Q246" s="19">
        <f>(Table6[[#This Row],[Fault Clearance time]]-Table6[[#This Row],[Fault Start TimeStamp]])*24</f>
        <v>0.93333333333333268</v>
      </c>
      <c r="R246" s="79" t="s">
        <v>443</v>
      </c>
      <c r="S246" s="79" t="s">
        <v>339</v>
      </c>
      <c r="T246" s="298">
        <f>IFERROR(Table6[[#This Row],[Breakdown Time]]*Table6[[#This Row],[Plant Equivalent Weightage]],"")</f>
        <v>2.12121212121212E-2</v>
      </c>
      <c r="U246" s="79" t="s">
        <v>416</v>
      </c>
      <c r="W246" s="79">
        <v>123</v>
      </c>
    </row>
    <row r="247" spans="1:23">
      <c r="A247" s="79">
        <f t="shared" si="3"/>
        <v>246</v>
      </c>
      <c r="B247" s="79">
        <f>YEAR(Table6[[#This Row],[Date]])+IF(MONTH(Table6[[#This Row],[Date]])&gt;=4,1,0)</f>
        <v>2026</v>
      </c>
      <c r="C247" s="79">
        <f>YEAR(Table6[[#This Row],[Date]])</f>
        <v>2025</v>
      </c>
      <c r="D247" s="79" t="s">
        <v>344</v>
      </c>
      <c r="E247" s="284">
        <f>Table6[[#This Row],[Date]]-DAY(Table6[[#This Row],[Date]])+1</f>
        <v>45748</v>
      </c>
      <c r="F247" s="285">
        <v>45756</v>
      </c>
      <c r="G247" s="79" t="s">
        <v>109</v>
      </c>
      <c r="H247" s="79" t="str">
        <f>IFERROR(_xlfn.XLOOKUP(Table6[[#This Row],[Affected Feeder ]],'Basic Data'!$A:$A,'Basic Data'!$B:$B),"")</f>
        <v>PWEPL</v>
      </c>
      <c r="I247" s="79" t="str">
        <f>IFERROR(_xlfn.XLOOKUP(Table6[[#This Row],[Affected Feeder ]],'Basic Data'!$A:$A,'Basic Data'!$C:$C),"")</f>
        <v>MSEDCL</v>
      </c>
      <c r="J247" s="295">
        <f>IFERROR(_xlfn.XLOOKUP(Table6[[#This Row],[Affected Feeder ]],'Basic Data'!$A:$A,'Basic Data'!$E:$E),"")</f>
        <v>2.2727272727272728E-2</v>
      </c>
      <c r="K247" s="296" t="s">
        <v>171</v>
      </c>
      <c r="L247" s="297">
        <v>0.77847222222222223</v>
      </c>
      <c r="M247" s="297">
        <v>0.77847222222222223</v>
      </c>
      <c r="N247" s="297">
        <v>0.78472222222222221</v>
      </c>
      <c r="O247" s="19">
        <f>(Table6[[#This Row],[Work Start TimeStamp]]-Table6[[#This Row],[Fault Start TimeStamp]])*24</f>
        <v>0</v>
      </c>
      <c r="P247" s="19">
        <f>(Table6[[#This Row],[Fault Clearance time]]-Table6[[#This Row],[Fault Start TimeStamp]])*24</f>
        <v>0.14999999999999947</v>
      </c>
      <c r="Q247" s="19">
        <f>(Table6[[#This Row],[Fault Clearance time]]-Table6[[#This Row],[Fault Start TimeStamp]])*24</f>
        <v>0.14999999999999947</v>
      </c>
      <c r="R247" s="79" t="s">
        <v>353</v>
      </c>
      <c r="S247" s="79" t="s">
        <v>339</v>
      </c>
      <c r="T247" s="298">
        <f>IFERROR(Table6[[#This Row],[Breakdown Time]]*Table6[[#This Row],[Plant Equivalent Weightage]],"")</f>
        <v>3.4090909090908972E-3</v>
      </c>
      <c r="U247" s="79" t="s">
        <v>416</v>
      </c>
      <c r="W247" s="79">
        <v>20</v>
      </c>
    </row>
    <row r="248" spans="1:23">
      <c r="A248" s="79">
        <f t="shared" si="3"/>
        <v>247</v>
      </c>
      <c r="B248" s="79">
        <f>YEAR(Table6[[#This Row],[Date]])+IF(MONTH(Table6[[#This Row],[Date]])&gt;=4,1,0)</f>
        <v>2026</v>
      </c>
      <c r="C248" s="79">
        <f>YEAR(Table6[[#This Row],[Date]])</f>
        <v>2025</v>
      </c>
      <c r="D248" s="79" t="s">
        <v>344</v>
      </c>
      <c r="E248" s="284">
        <f>Table6[[#This Row],[Date]]-DAY(Table6[[#This Row],[Date]])+1</f>
        <v>45748</v>
      </c>
      <c r="F248" s="285">
        <v>45756</v>
      </c>
      <c r="G248" s="79" t="s">
        <v>111</v>
      </c>
      <c r="H248" s="79" t="str">
        <f>IFERROR(_xlfn.XLOOKUP(Table6[[#This Row],[Affected Feeder ]],'Basic Data'!$A:$A,'Basic Data'!$B:$B),"")</f>
        <v>PWEPL</v>
      </c>
      <c r="I248" s="79" t="str">
        <f>IFERROR(_xlfn.XLOOKUP(Table6[[#This Row],[Affected Feeder ]],'Basic Data'!$A:$A,'Basic Data'!$C:$C),"")</f>
        <v>MSEDCL</v>
      </c>
      <c r="J248" s="295">
        <f>IFERROR(_xlfn.XLOOKUP(Table6[[#This Row],[Affected Feeder ]],'Basic Data'!$A:$A,'Basic Data'!$E:$E),"")</f>
        <v>2.2727272727272728E-2</v>
      </c>
      <c r="K248" s="296" t="s">
        <v>414</v>
      </c>
      <c r="L248" s="297">
        <v>0.73958333333333337</v>
      </c>
      <c r="M248" s="297">
        <v>0.73958333333333337</v>
      </c>
      <c r="N248" s="297">
        <v>0.77847222222222223</v>
      </c>
      <c r="O248" s="19">
        <f>(Table6[[#This Row],[Work Start TimeStamp]]-Table6[[#This Row],[Fault Start TimeStamp]])*24</f>
        <v>0</v>
      </c>
      <c r="P248" s="19">
        <f>(Table6[[#This Row],[Fault Clearance time]]-Table6[[#This Row],[Fault Start TimeStamp]])*24</f>
        <v>0.93333333333333268</v>
      </c>
      <c r="Q248" s="19">
        <f>(Table6[[#This Row],[Fault Clearance time]]-Table6[[#This Row],[Fault Start TimeStamp]])*24</f>
        <v>0.93333333333333268</v>
      </c>
      <c r="R248" s="79" t="s">
        <v>443</v>
      </c>
      <c r="S248" s="79" t="s">
        <v>339</v>
      </c>
      <c r="T248" s="298">
        <f>IFERROR(Table6[[#This Row],[Breakdown Time]]*Table6[[#This Row],[Plant Equivalent Weightage]],"")</f>
        <v>2.12121212121212E-2</v>
      </c>
      <c r="U248" s="79" t="s">
        <v>416</v>
      </c>
      <c r="W248" s="79">
        <v>123</v>
      </c>
    </row>
    <row r="249" spans="1:23">
      <c r="A249" s="79">
        <f t="shared" si="3"/>
        <v>248</v>
      </c>
      <c r="B249" s="79">
        <f>YEAR(Table6[[#This Row],[Date]])+IF(MONTH(Table6[[#This Row],[Date]])&gt;=4,1,0)</f>
        <v>2026</v>
      </c>
      <c r="C249" s="79">
        <f>YEAR(Table6[[#This Row],[Date]])</f>
        <v>2025</v>
      </c>
      <c r="D249" s="79" t="s">
        <v>344</v>
      </c>
      <c r="E249" s="284">
        <f>Table6[[#This Row],[Date]]-DAY(Table6[[#This Row],[Date]])+1</f>
        <v>45748</v>
      </c>
      <c r="F249" s="285">
        <v>45756</v>
      </c>
      <c r="G249" s="79" t="s">
        <v>111</v>
      </c>
      <c r="H249" s="79" t="str">
        <f>IFERROR(_xlfn.XLOOKUP(Table6[[#This Row],[Affected Feeder ]],'Basic Data'!$A:$A,'Basic Data'!$B:$B),"")</f>
        <v>PWEPL</v>
      </c>
      <c r="I249" s="79" t="str">
        <f>IFERROR(_xlfn.XLOOKUP(Table6[[#This Row],[Affected Feeder ]],'Basic Data'!$A:$A,'Basic Data'!$C:$C),"")</f>
        <v>MSEDCL</v>
      </c>
      <c r="J249" s="295">
        <f>IFERROR(_xlfn.XLOOKUP(Table6[[#This Row],[Affected Feeder ]],'Basic Data'!$A:$A,'Basic Data'!$E:$E),"")</f>
        <v>2.2727272727272728E-2</v>
      </c>
      <c r="K249" s="296" t="s">
        <v>171</v>
      </c>
      <c r="L249" s="297">
        <v>0.77847222222222223</v>
      </c>
      <c r="M249" s="297">
        <v>0.77847222222222223</v>
      </c>
      <c r="N249" s="297">
        <v>0.78819444444444453</v>
      </c>
      <c r="O249" s="19">
        <f>(Table6[[#This Row],[Work Start TimeStamp]]-Table6[[#This Row],[Fault Start TimeStamp]])*24</f>
        <v>0</v>
      </c>
      <c r="P249" s="19">
        <f>(Table6[[#This Row],[Fault Clearance time]]-Table6[[#This Row],[Fault Start TimeStamp]])*24</f>
        <v>0.23333333333333517</v>
      </c>
      <c r="Q249" s="19">
        <f>(Table6[[#This Row],[Fault Clearance time]]-Table6[[#This Row],[Fault Start TimeStamp]])*24</f>
        <v>0.23333333333333517</v>
      </c>
      <c r="R249" s="79" t="s">
        <v>353</v>
      </c>
      <c r="S249" s="79" t="s">
        <v>339</v>
      </c>
      <c r="T249" s="298">
        <f>IFERROR(Table6[[#This Row],[Breakdown Time]]*Table6[[#This Row],[Plant Equivalent Weightage]],"")</f>
        <v>5.303030303030345E-3</v>
      </c>
      <c r="U249" s="79" t="s">
        <v>416</v>
      </c>
      <c r="W249" s="79">
        <v>30</v>
      </c>
    </row>
    <row r="250" spans="1:23">
      <c r="A250" s="79">
        <f t="shared" si="3"/>
        <v>249</v>
      </c>
      <c r="B250" s="79">
        <f>YEAR(Table6[[#This Row],[Date]])+IF(MONTH(Table6[[#This Row],[Date]])&gt;=4,1,0)</f>
        <v>2026</v>
      </c>
      <c r="C250" s="79">
        <f>YEAR(Table6[[#This Row],[Date]])</f>
        <v>2025</v>
      </c>
      <c r="D250" s="79" t="s">
        <v>344</v>
      </c>
      <c r="E250" s="284">
        <f>Table6[[#This Row],[Date]]-DAY(Table6[[#This Row],[Date]])+1</f>
        <v>45748</v>
      </c>
      <c r="F250" s="285">
        <v>45756</v>
      </c>
      <c r="G250" s="79" t="s">
        <v>112</v>
      </c>
      <c r="H250" s="79" t="str">
        <f>IFERROR(_xlfn.XLOOKUP(Table6[[#This Row],[Affected Feeder ]],'Basic Data'!$A:$A,'Basic Data'!$B:$B),"")</f>
        <v>PWEPL</v>
      </c>
      <c r="I250" s="79" t="str">
        <f>IFERROR(_xlfn.XLOOKUP(Table6[[#This Row],[Affected Feeder ]],'Basic Data'!$A:$A,'Basic Data'!$C:$C),"")</f>
        <v>MSEDCL</v>
      </c>
      <c r="J250" s="295">
        <f>IFERROR(_xlfn.XLOOKUP(Table6[[#This Row],[Affected Feeder ]],'Basic Data'!$A:$A,'Basic Data'!$E:$E),"")</f>
        <v>2.2727272727272728E-2</v>
      </c>
      <c r="K250" s="296" t="s">
        <v>414</v>
      </c>
      <c r="L250" s="297">
        <v>0.73958333333333337</v>
      </c>
      <c r="M250" s="297">
        <v>0.73958333333333337</v>
      </c>
      <c r="N250" s="297">
        <v>0.77847222222222223</v>
      </c>
      <c r="O250" s="19">
        <f>(Table6[[#This Row],[Work Start TimeStamp]]-Table6[[#This Row],[Fault Start TimeStamp]])*24</f>
        <v>0</v>
      </c>
      <c r="P250" s="19">
        <f>(Table6[[#This Row],[Fault Clearance time]]-Table6[[#This Row],[Fault Start TimeStamp]])*24</f>
        <v>0.93333333333333268</v>
      </c>
      <c r="Q250" s="19">
        <f>(Table6[[#This Row],[Fault Clearance time]]-Table6[[#This Row],[Fault Start TimeStamp]])*24</f>
        <v>0.93333333333333268</v>
      </c>
      <c r="R250" s="79" t="s">
        <v>443</v>
      </c>
      <c r="S250" s="79" t="s">
        <v>339</v>
      </c>
      <c r="T250" s="298">
        <f>IFERROR(Table6[[#This Row],[Breakdown Time]]*Table6[[#This Row],[Plant Equivalent Weightage]],"")</f>
        <v>2.12121212121212E-2</v>
      </c>
      <c r="U250" s="79" t="s">
        <v>416</v>
      </c>
      <c r="W250" s="79">
        <v>123</v>
      </c>
    </row>
    <row r="251" spans="1:23">
      <c r="A251" s="79">
        <f t="shared" si="3"/>
        <v>250</v>
      </c>
      <c r="B251" s="79">
        <f>YEAR(Table6[[#This Row],[Date]])+IF(MONTH(Table6[[#This Row],[Date]])&gt;=4,1,0)</f>
        <v>2026</v>
      </c>
      <c r="C251" s="79">
        <f>YEAR(Table6[[#This Row],[Date]])</f>
        <v>2025</v>
      </c>
      <c r="D251" s="79" t="s">
        <v>344</v>
      </c>
      <c r="E251" s="284">
        <f>Table6[[#This Row],[Date]]-DAY(Table6[[#This Row],[Date]])+1</f>
        <v>45748</v>
      </c>
      <c r="F251" s="285">
        <v>45756</v>
      </c>
      <c r="G251" s="79" t="s">
        <v>112</v>
      </c>
      <c r="H251" s="79" t="str">
        <f>IFERROR(_xlfn.XLOOKUP(Table6[[#This Row],[Affected Feeder ]],'Basic Data'!$A:$A,'Basic Data'!$B:$B),"")</f>
        <v>PWEPL</v>
      </c>
      <c r="I251" s="79" t="str">
        <f>IFERROR(_xlfn.XLOOKUP(Table6[[#This Row],[Affected Feeder ]],'Basic Data'!$A:$A,'Basic Data'!$C:$C),"")</f>
        <v>MSEDCL</v>
      </c>
      <c r="J251" s="295">
        <f>IFERROR(_xlfn.XLOOKUP(Table6[[#This Row],[Affected Feeder ]],'Basic Data'!$A:$A,'Basic Data'!$E:$E),"")</f>
        <v>2.2727272727272728E-2</v>
      </c>
      <c r="K251" s="296" t="s">
        <v>171</v>
      </c>
      <c r="L251" s="297">
        <v>0.77847222222222223</v>
      </c>
      <c r="M251" s="297">
        <v>0.77847222222222223</v>
      </c>
      <c r="N251" s="297">
        <v>0.78472222222222221</v>
      </c>
      <c r="O251" s="19">
        <f>(Table6[[#This Row],[Work Start TimeStamp]]-Table6[[#This Row],[Fault Start TimeStamp]])*24</f>
        <v>0</v>
      </c>
      <c r="P251" s="19">
        <f>(Table6[[#This Row],[Fault Clearance time]]-Table6[[#This Row],[Fault Start TimeStamp]])*24</f>
        <v>0.14999999999999947</v>
      </c>
      <c r="Q251" s="19">
        <f>(Table6[[#This Row],[Fault Clearance time]]-Table6[[#This Row],[Fault Start TimeStamp]])*24</f>
        <v>0.14999999999999947</v>
      </c>
      <c r="R251" s="79" t="s">
        <v>353</v>
      </c>
      <c r="S251" s="79" t="s">
        <v>339</v>
      </c>
      <c r="T251" s="298">
        <f>IFERROR(Table6[[#This Row],[Breakdown Time]]*Table6[[#This Row],[Plant Equivalent Weightage]],"")</f>
        <v>3.4090909090908972E-3</v>
      </c>
      <c r="U251" s="79" t="s">
        <v>416</v>
      </c>
      <c r="W251" s="79">
        <v>20</v>
      </c>
    </row>
    <row r="252" spans="1:23">
      <c r="A252" s="79">
        <f t="shared" si="3"/>
        <v>251</v>
      </c>
      <c r="B252" s="79">
        <f>YEAR(Table6[[#This Row],[Date]])+IF(MONTH(Table6[[#This Row],[Date]])&gt;=4,1,0)</f>
        <v>2026</v>
      </c>
      <c r="C252" s="79">
        <f>YEAR(Table6[[#This Row],[Date]])</f>
        <v>2025</v>
      </c>
      <c r="D252" s="79" t="s">
        <v>344</v>
      </c>
      <c r="E252" s="284">
        <f>Table6[[#This Row],[Date]]-DAY(Table6[[#This Row],[Date]])+1</f>
        <v>45748</v>
      </c>
      <c r="F252" s="285">
        <v>45756</v>
      </c>
      <c r="G252" s="79" t="s">
        <v>113</v>
      </c>
      <c r="H252" s="79" t="str">
        <f>IFERROR(_xlfn.XLOOKUP(Table6[[#This Row],[Affected Feeder ]],'Basic Data'!$A:$A,'Basic Data'!$B:$B),"")</f>
        <v>PWEPL</v>
      </c>
      <c r="I252" s="79" t="str">
        <f>IFERROR(_xlfn.XLOOKUP(Table6[[#This Row],[Affected Feeder ]],'Basic Data'!$A:$A,'Basic Data'!$C:$C),"")</f>
        <v>MSEDCL</v>
      </c>
      <c r="J252" s="295">
        <f>IFERROR(_xlfn.XLOOKUP(Table6[[#This Row],[Affected Feeder ]],'Basic Data'!$A:$A,'Basic Data'!$E:$E),"")</f>
        <v>2.2727272727272728E-2</v>
      </c>
      <c r="K252" s="296" t="s">
        <v>414</v>
      </c>
      <c r="L252" s="297">
        <v>0.73958333333333337</v>
      </c>
      <c r="M252" s="297">
        <v>0.73958333333333337</v>
      </c>
      <c r="N252" s="297">
        <v>0.77847222222222223</v>
      </c>
      <c r="O252" s="19">
        <f>(Table6[[#This Row],[Work Start TimeStamp]]-Table6[[#This Row],[Fault Start TimeStamp]])*24</f>
        <v>0</v>
      </c>
      <c r="P252" s="19">
        <f>(Table6[[#This Row],[Fault Clearance time]]-Table6[[#This Row],[Fault Start TimeStamp]])*24</f>
        <v>0.93333333333333268</v>
      </c>
      <c r="Q252" s="19">
        <f>(Table6[[#This Row],[Fault Clearance time]]-Table6[[#This Row],[Fault Start TimeStamp]])*24</f>
        <v>0.93333333333333268</v>
      </c>
      <c r="R252" s="79" t="s">
        <v>443</v>
      </c>
      <c r="S252" s="79" t="s">
        <v>339</v>
      </c>
      <c r="T252" s="298">
        <f>IFERROR(Table6[[#This Row],[Breakdown Time]]*Table6[[#This Row],[Plant Equivalent Weightage]],"")</f>
        <v>2.12121212121212E-2</v>
      </c>
      <c r="U252" s="79" t="s">
        <v>416</v>
      </c>
      <c r="W252" s="79">
        <v>123</v>
      </c>
    </row>
    <row r="253" spans="1:23">
      <c r="A253" s="79">
        <f t="shared" si="3"/>
        <v>252</v>
      </c>
      <c r="B253" s="79">
        <f>YEAR(Table6[[#This Row],[Date]])+IF(MONTH(Table6[[#This Row],[Date]])&gt;=4,1,0)</f>
        <v>2026</v>
      </c>
      <c r="C253" s="79">
        <f>YEAR(Table6[[#This Row],[Date]])</f>
        <v>2025</v>
      </c>
      <c r="D253" s="79" t="s">
        <v>344</v>
      </c>
      <c r="E253" s="284">
        <f>Table6[[#This Row],[Date]]-DAY(Table6[[#This Row],[Date]])+1</f>
        <v>45748</v>
      </c>
      <c r="F253" s="285">
        <v>45756</v>
      </c>
      <c r="G253" s="79" t="s">
        <v>113</v>
      </c>
      <c r="H253" s="79" t="str">
        <f>IFERROR(_xlfn.XLOOKUP(Table6[[#This Row],[Affected Feeder ]],'Basic Data'!$A:$A,'Basic Data'!$B:$B),"")</f>
        <v>PWEPL</v>
      </c>
      <c r="I253" s="79" t="str">
        <f>IFERROR(_xlfn.XLOOKUP(Table6[[#This Row],[Affected Feeder ]],'Basic Data'!$A:$A,'Basic Data'!$C:$C),"")</f>
        <v>MSEDCL</v>
      </c>
      <c r="J253" s="295">
        <f>IFERROR(_xlfn.XLOOKUP(Table6[[#This Row],[Affected Feeder ]],'Basic Data'!$A:$A,'Basic Data'!$E:$E),"")</f>
        <v>2.2727272727272728E-2</v>
      </c>
      <c r="K253" s="296" t="s">
        <v>171</v>
      </c>
      <c r="L253" s="297">
        <v>0.77847222222222223</v>
      </c>
      <c r="M253" s="297">
        <v>0.77847222222222223</v>
      </c>
      <c r="N253" s="297">
        <v>0.78611111111111109</v>
      </c>
      <c r="O253" s="19">
        <f>(Table6[[#This Row],[Work Start TimeStamp]]-Table6[[#This Row],[Fault Start TimeStamp]])*24</f>
        <v>0</v>
      </c>
      <c r="P253" s="19">
        <f>(Table6[[#This Row],[Fault Clearance time]]-Table6[[#This Row],[Fault Start TimeStamp]])*24</f>
        <v>0.18333333333333268</v>
      </c>
      <c r="Q253" s="19">
        <f>(Table6[[#This Row],[Fault Clearance time]]-Table6[[#This Row],[Fault Start TimeStamp]])*24</f>
        <v>0.18333333333333268</v>
      </c>
      <c r="R253" s="79" t="s">
        <v>353</v>
      </c>
      <c r="S253" s="79" t="s">
        <v>339</v>
      </c>
      <c r="T253" s="298">
        <f>IFERROR(Table6[[#This Row],[Breakdown Time]]*Table6[[#This Row],[Plant Equivalent Weightage]],"")</f>
        <v>4.1666666666666519E-3</v>
      </c>
      <c r="U253" s="79" t="s">
        <v>416</v>
      </c>
      <c r="W253" s="79">
        <v>24</v>
      </c>
    </row>
    <row r="254" spans="1:23">
      <c r="A254" s="79">
        <f t="shared" si="3"/>
        <v>253</v>
      </c>
      <c r="B254" s="79">
        <f>YEAR(Table6[[#This Row],[Date]])+IF(MONTH(Table6[[#This Row],[Date]])&gt;=4,1,0)</f>
        <v>2026</v>
      </c>
      <c r="C254" s="79">
        <f>YEAR(Table6[[#This Row],[Date]])</f>
        <v>2025</v>
      </c>
      <c r="D254" s="79" t="s">
        <v>344</v>
      </c>
      <c r="E254" s="284">
        <f>Table6[[#This Row],[Date]]-DAY(Table6[[#This Row],[Date]])+1</f>
        <v>45748</v>
      </c>
      <c r="F254" s="285">
        <v>45756</v>
      </c>
      <c r="G254" s="79" t="s">
        <v>399</v>
      </c>
      <c r="H254" s="79" t="str">
        <f>IFERROR(_xlfn.XLOOKUP(Table6[[#This Row],[Affected Feeder ]],'Basic Data'!$A:$A,'Basic Data'!$B:$B),"")</f>
        <v>PWEPL</v>
      </c>
      <c r="I254" s="79" t="str">
        <f>IFERROR(_xlfn.XLOOKUP(Table6[[#This Row],[Affected Feeder ]],'Basic Data'!$A:$A,'Basic Data'!$C:$C),"")</f>
        <v>MSEDCL</v>
      </c>
      <c r="J254" s="295">
        <f>IFERROR(_xlfn.XLOOKUP(Table6[[#This Row],[Affected Feeder ]],'Basic Data'!$A:$A,'Basic Data'!$E:$E),"")</f>
        <v>0.22727272727272727</v>
      </c>
      <c r="K254" s="296" t="s">
        <v>447</v>
      </c>
      <c r="L254" s="297">
        <v>8.819444444444445E-2</v>
      </c>
      <c r="M254" s="297">
        <v>8.819444444444445E-2</v>
      </c>
      <c r="N254" s="297">
        <v>0.10277777777777779</v>
      </c>
      <c r="O254" s="19">
        <f>(Table6[[#This Row],[Work Start TimeStamp]]-Table6[[#This Row],[Fault Start TimeStamp]])*24</f>
        <v>0</v>
      </c>
      <c r="P254" s="19">
        <f>(Table6[[#This Row],[Fault Clearance time]]-Table6[[#This Row],[Fault Start TimeStamp]])*24</f>
        <v>0.35000000000000009</v>
      </c>
      <c r="Q254" s="19">
        <f>(Table6[[#This Row],[Fault Clearance time]]-Table6[[#This Row],[Fault Start TimeStamp]])*24</f>
        <v>0.35000000000000009</v>
      </c>
      <c r="R254" s="79" t="s">
        <v>420</v>
      </c>
      <c r="S254" s="79" t="s">
        <v>339</v>
      </c>
      <c r="T254" s="298">
        <f>IFERROR(Table6[[#This Row],[Breakdown Time]]*Table6[[#This Row],[Plant Equivalent Weightage]],"")</f>
        <v>7.9545454545454558E-2</v>
      </c>
      <c r="U254" s="79" t="s">
        <v>416</v>
      </c>
      <c r="W254" s="79">
        <v>360</v>
      </c>
    </row>
    <row r="255" spans="1:23">
      <c r="A255" s="79">
        <f t="shared" si="3"/>
        <v>254</v>
      </c>
      <c r="B255" s="79">
        <f>YEAR(Table6[[#This Row],[Date]])+IF(MONTH(Table6[[#This Row],[Date]])&gt;=4,1,0)</f>
        <v>2026</v>
      </c>
      <c r="C255" s="79">
        <f>YEAR(Table6[[#This Row],[Date]])</f>
        <v>2025</v>
      </c>
      <c r="D255" s="79" t="s">
        <v>344</v>
      </c>
      <c r="E255" s="284">
        <f>Table6[[#This Row],[Date]]-DAY(Table6[[#This Row],[Date]])+1</f>
        <v>45748</v>
      </c>
      <c r="F255" s="285">
        <v>45756</v>
      </c>
      <c r="G255" s="79" t="s">
        <v>83</v>
      </c>
      <c r="H255" s="79" t="str">
        <f>IFERROR(_xlfn.XLOOKUP(Table6[[#This Row],[Affected Feeder ]],'Basic Data'!$A:$A,'Basic Data'!$B:$B),"")</f>
        <v>PWEPL</v>
      </c>
      <c r="I255" s="79" t="str">
        <f>IFERROR(_xlfn.XLOOKUP(Table6[[#This Row],[Affected Feeder ]],'Basic Data'!$A:$A,'Basic Data'!$C:$C),"")</f>
        <v>MSEDCL</v>
      </c>
      <c r="J255" s="295">
        <f>IFERROR(_xlfn.XLOOKUP(Table6[[#This Row],[Affected Feeder ]],'Basic Data'!$A:$A,'Basic Data'!$E:$E),"")</f>
        <v>2.2727272727272728E-2</v>
      </c>
      <c r="K255" s="296" t="s">
        <v>171</v>
      </c>
      <c r="L255" s="297">
        <v>0.10277777777777779</v>
      </c>
      <c r="M255" s="297">
        <v>0.10277777777777779</v>
      </c>
      <c r="N255" s="297">
        <v>0.11666666666666665</v>
      </c>
      <c r="O255" s="19">
        <f>(Table6[[#This Row],[Work Start TimeStamp]]-Table6[[#This Row],[Fault Start TimeStamp]])*24</f>
        <v>0</v>
      </c>
      <c r="P255" s="19">
        <f>(Table6[[#This Row],[Fault Clearance time]]-Table6[[#This Row],[Fault Start TimeStamp]])*24</f>
        <v>0.33333333333333282</v>
      </c>
      <c r="Q255" s="19">
        <f>(Table6[[#This Row],[Fault Clearance time]]-Table6[[#This Row],[Fault Start TimeStamp]])*24</f>
        <v>0.33333333333333282</v>
      </c>
      <c r="R255" s="79" t="s">
        <v>353</v>
      </c>
      <c r="S255" s="79" t="s">
        <v>339</v>
      </c>
      <c r="T255" s="298">
        <f>IFERROR(Table6[[#This Row],[Breakdown Time]]*Table6[[#This Row],[Plant Equivalent Weightage]],"")</f>
        <v>7.5757575757575638E-3</v>
      </c>
      <c r="U255" s="79" t="s">
        <v>421</v>
      </c>
      <c r="W255" s="79">
        <v>36</v>
      </c>
    </row>
    <row r="256" spans="1:23">
      <c r="A256" s="79">
        <f t="shared" si="3"/>
        <v>255</v>
      </c>
      <c r="B256" s="79">
        <f>YEAR(Table6[[#This Row],[Date]])+IF(MONTH(Table6[[#This Row],[Date]])&gt;=4,1,0)</f>
        <v>2026</v>
      </c>
      <c r="C256" s="79">
        <f>YEAR(Table6[[#This Row],[Date]])</f>
        <v>2025</v>
      </c>
      <c r="D256" s="79" t="s">
        <v>344</v>
      </c>
      <c r="E256" s="284">
        <f>Table6[[#This Row],[Date]]-DAY(Table6[[#This Row],[Date]])+1</f>
        <v>45748</v>
      </c>
      <c r="F256" s="285">
        <v>45756</v>
      </c>
      <c r="G256" s="79" t="s">
        <v>84</v>
      </c>
      <c r="H256" s="79" t="str">
        <f>IFERROR(_xlfn.XLOOKUP(Table6[[#This Row],[Affected Feeder ]],'Basic Data'!$A:$A,'Basic Data'!$B:$B),"")</f>
        <v>PWEPL</v>
      </c>
      <c r="I256" s="79" t="str">
        <f>IFERROR(_xlfn.XLOOKUP(Table6[[#This Row],[Affected Feeder ]],'Basic Data'!$A:$A,'Basic Data'!$C:$C),"")</f>
        <v>MSEDCL</v>
      </c>
      <c r="J256" s="295">
        <f>IFERROR(_xlfn.XLOOKUP(Table6[[#This Row],[Affected Feeder ]],'Basic Data'!$A:$A,'Basic Data'!$E:$E),"")</f>
        <v>2.2727272727272728E-2</v>
      </c>
      <c r="K256" s="296" t="s">
        <v>171</v>
      </c>
      <c r="L256" s="297">
        <v>0.10277777777777779</v>
      </c>
      <c r="M256" s="297">
        <v>0.10277777777777779</v>
      </c>
      <c r="N256" s="297">
        <v>0.11458333333333333</v>
      </c>
      <c r="O256" s="19">
        <f>(Table6[[#This Row],[Work Start TimeStamp]]-Table6[[#This Row],[Fault Start TimeStamp]])*24</f>
        <v>0</v>
      </c>
      <c r="P256" s="19">
        <f>(Table6[[#This Row],[Fault Clearance time]]-Table6[[#This Row],[Fault Start TimeStamp]])*24</f>
        <v>0.28333333333333299</v>
      </c>
      <c r="Q256" s="19">
        <f>(Table6[[#This Row],[Fault Clearance time]]-Table6[[#This Row],[Fault Start TimeStamp]])*24</f>
        <v>0.28333333333333299</v>
      </c>
      <c r="R256" s="79" t="s">
        <v>353</v>
      </c>
      <c r="S256" s="79" t="s">
        <v>339</v>
      </c>
      <c r="T256" s="298">
        <f>IFERROR(Table6[[#This Row],[Breakdown Time]]*Table6[[#This Row],[Plant Equivalent Weightage]],"")</f>
        <v>6.4393939393939314E-3</v>
      </c>
      <c r="U256" s="79" t="s">
        <v>421</v>
      </c>
      <c r="W256" s="79">
        <v>36</v>
      </c>
    </row>
    <row r="257" spans="1:23">
      <c r="A257" s="79">
        <f t="shared" si="3"/>
        <v>256</v>
      </c>
      <c r="B257" s="79">
        <f>YEAR(Table6[[#This Row],[Date]])+IF(MONTH(Table6[[#This Row],[Date]])&gt;=4,1,0)</f>
        <v>2026</v>
      </c>
      <c r="C257" s="79">
        <f>YEAR(Table6[[#This Row],[Date]])</f>
        <v>2025</v>
      </c>
      <c r="D257" s="79" t="s">
        <v>344</v>
      </c>
      <c r="E257" s="284">
        <f>Table6[[#This Row],[Date]]-DAY(Table6[[#This Row],[Date]])+1</f>
        <v>45748</v>
      </c>
      <c r="F257" s="285">
        <v>45756</v>
      </c>
      <c r="G257" s="79" t="s">
        <v>85</v>
      </c>
      <c r="H257" s="79" t="str">
        <f>IFERROR(_xlfn.XLOOKUP(Table6[[#This Row],[Affected Feeder ]],'Basic Data'!$A:$A,'Basic Data'!$B:$B),"")</f>
        <v>PWEPL</v>
      </c>
      <c r="I257" s="79" t="str">
        <f>IFERROR(_xlfn.XLOOKUP(Table6[[#This Row],[Affected Feeder ]],'Basic Data'!$A:$A,'Basic Data'!$C:$C),"")</f>
        <v>MSEDCL</v>
      </c>
      <c r="J257" s="295">
        <f>IFERROR(_xlfn.XLOOKUP(Table6[[#This Row],[Affected Feeder ]],'Basic Data'!$A:$A,'Basic Data'!$E:$E),"")</f>
        <v>2.2727272727272728E-2</v>
      </c>
      <c r="K257" s="296" t="s">
        <v>171</v>
      </c>
      <c r="L257" s="297">
        <v>0.10277777777777779</v>
      </c>
      <c r="M257" s="297">
        <v>0.10277777777777779</v>
      </c>
      <c r="N257" s="297">
        <v>0.11666666666666665</v>
      </c>
      <c r="O257" s="19">
        <f>(Table6[[#This Row],[Work Start TimeStamp]]-Table6[[#This Row],[Fault Start TimeStamp]])*24</f>
        <v>0</v>
      </c>
      <c r="P257" s="19">
        <f>(Table6[[#This Row],[Fault Clearance time]]-Table6[[#This Row],[Fault Start TimeStamp]])*24</f>
        <v>0.33333333333333282</v>
      </c>
      <c r="Q257" s="19">
        <f>(Table6[[#This Row],[Fault Clearance time]]-Table6[[#This Row],[Fault Start TimeStamp]])*24</f>
        <v>0.33333333333333282</v>
      </c>
      <c r="R257" s="79" t="s">
        <v>353</v>
      </c>
      <c r="S257" s="79" t="s">
        <v>339</v>
      </c>
      <c r="T257" s="298">
        <f>IFERROR(Table6[[#This Row],[Breakdown Time]]*Table6[[#This Row],[Plant Equivalent Weightage]],"")</f>
        <v>7.5757575757575638E-3</v>
      </c>
      <c r="U257" s="79" t="s">
        <v>421</v>
      </c>
      <c r="W257" s="79">
        <v>36</v>
      </c>
    </row>
    <row r="258" spans="1:23">
      <c r="A258" s="79">
        <f t="shared" si="3"/>
        <v>257</v>
      </c>
      <c r="B258" s="79">
        <f>YEAR(Table6[[#This Row],[Date]])+IF(MONTH(Table6[[#This Row],[Date]])&gt;=4,1,0)</f>
        <v>2026</v>
      </c>
      <c r="C258" s="79">
        <f>YEAR(Table6[[#This Row],[Date]])</f>
        <v>2025</v>
      </c>
      <c r="D258" s="79" t="s">
        <v>344</v>
      </c>
      <c r="E258" s="284">
        <f>Table6[[#This Row],[Date]]-DAY(Table6[[#This Row],[Date]])+1</f>
        <v>45748</v>
      </c>
      <c r="F258" s="285">
        <v>45756</v>
      </c>
      <c r="G258" s="79" t="s">
        <v>86</v>
      </c>
      <c r="H258" s="79" t="str">
        <f>IFERROR(_xlfn.XLOOKUP(Table6[[#This Row],[Affected Feeder ]],'Basic Data'!$A:$A,'Basic Data'!$B:$B),"")</f>
        <v>PWEPL</v>
      </c>
      <c r="I258" s="79" t="str">
        <f>IFERROR(_xlfn.XLOOKUP(Table6[[#This Row],[Affected Feeder ]],'Basic Data'!$A:$A,'Basic Data'!$C:$C),"")</f>
        <v>MSEDCL</v>
      </c>
      <c r="J258" s="295">
        <f>IFERROR(_xlfn.XLOOKUP(Table6[[#This Row],[Affected Feeder ]],'Basic Data'!$A:$A,'Basic Data'!$E:$E),"")</f>
        <v>2.2727272727272728E-2</v>
      </c>
      <c r="K258" s="296" t="s">
        <v>171</v>
      </c>
      <c r="L258" s="297">
        <v>0.10277777777777779</v>
      </c>
      <c r="M258" s="297">
        <v>0.10277777777777779</v>
      </c>
      <c r="N258" s="297">
        <v>0.11527777777777777</v>
      </c>
      <c r="O258" s="19">
        <f>(Table6[[#This Row],[Work Start TimeStamp]]-Table6[[#This Row],[Fault Start TimeStamp]])*24</f>
        <v>0</v>
      </c>
      <c r="P258" s="19">
        <f>(Table6[[#This Row],[Fault Clearance time]]-Table6[[#This Row],[Fault Start TimeStamp]])*24</f>
        <v>0.2999999999999996</v>
      </c>
      <c r="Q258" s="19">
        <f>(Table6[[#This Row],[Fault Clearance time]]-Table6[[#This Row],[Fault Start TimeStamp]])*24</f>
        <v>0.2999999999999996</v>
      </c>
      <c r="R258" s="79" t="s">
        <v>353</v>
      </c>
      <c r="S258" s="79" t="s">
        <v>339</v>
      </c>
      <c r="T258" s="298">
        <f>IFERROR(Table6[[#This Row],[Breakdown Time]]*Table6[[#This Row],[Plant Equivalent Weightage]],"")</f>
        <v>6.8181818181818092E-3</v>
      </c>
      <c r="U258" s="79" t="s">
        <v>421</v>
      </c>
      <c r="W258" s="79">
        <v>36</v>
      </c>
    </row>
    <row r="259" spans="1:23">
      <c r="A259" s="79">
        <f t="shared" si="3"/>
        <v>258</v>
      </c>
      <c r="B259" s="79">
        <f>YEAR(Table6[[#This Row],[Date]])+IF(MONTH(Table6[[#This Row],[Date]])&gt;=4,1,0)</f>
        <v>2026</v>
      </c>
      <c r="C259" s="79">
        <f>YEAR(Table6[[#This Row],[Date]])</f>
        <v>2025</v>
      </c>
      <c r="D259" s="79" t="s">
        <v>344</v>
      </c>
      <c r="E259" s="284">
        <f>Table6[[#This Row],[Date]]-DAY(Table6[[#This Row],[Date]])+1</f>
        <v>45748</v>
      </c>
      <c r="F259" s="285">
        <v>45756</v>
      </c>
      <c r="G259" s="79" t="s">
        <v>87</v>
      </c>
      <c r="H259" s="79" t="str">
        <f>IFERROR(_xlfn.XLOOKUP(Table6[[#This Row],[Affected Feeder ]],'Basic Data'!$A:$A,'Basic Data'!$B:$B),"")</f>
        <v>PWEPL</v>
      </c>
      <c r="I259" s="79" t="str">
        <f>IFERROR(_xlfn.XLOOKUP(Table6[[#This Row],[Affected Feeder ]],'Basic Data'!$A:$A,'Basic Data'!$C:$C),"")</f>
        <v>MSEDCL</v>
      </c>
      <c r="J259" s="295">
        <f>IFERROR(_xlfn.XLOOKUP(Table6[[#This Row],[Affected Feeder ]],'Basic Data'!$A:$A,'Basic Data'!$E:$E),"")</f>
        <v>2.2727272727272728E-2</v>
      </c>
      <c r="K259" s="296" t="s">
        <v>171</v>
      </c>
      <c r="L259" s="297">
        <v>0.10277777777777779</v>
      </c>
      <c r="M259" s="297">
        <v>0.10277777777777779</v>
      </c>
      <c r="N259" s="297">
        <v>0.11666666666666665</v>
      </c>
      <c r="O259" s="19">
        <f>(Table6[[#This Row],[Work Start TimeStamp]]-Table6[[#This Row],[Fault Start TimeStamp]])*24</f>
        <v>0</v>
      </c>
      <c r="P259" s="19">
        <f>(Table6[[#This Row],[Fault Clearance time]]-Table6[[#This Row],[Fault Start TimeStamp]])*24</f>
        <v>0.33333333333333282</v>
      </c>
      <c r="Q259" s="19">
        <f>(Table6[[#This Row],[Fault Clearance time]]-Table6[[#This Row],[Fault Start TimeStamp]])*24</f>
        <v>0.33333333333333282</v>
      </c>
      <c r="R259" s="79" t="s">
        <v>353</v>
      </c>
      <c r="S259" s="79" t="s">
        <v>339</v>
      </c>
      <c r="T259" s="298">
        <f>IFERROR(Table6[[#This Row],[Breakdown Time]]*Table6[[#This Row],[Plant Equivalent Weightage]],"")</f>
        <v>7.5757575757575638E-3</v>
      </c>
      <c r="U259" s="79" t="s">
        <v>421</v>
      </c>
      <c r="W259" s="79">
        <v>36</v>
      </c>
    </row>
    <row r="260" spans="1:23">
      <c r="A260" s="79">
        <f t="shared" ref="A260:A323" si="4">A259+1</f>
        <v>259</v>
      </c>
      <c r="B260" s="79">
        <f>YEAR(Table6[[#This Row],[Date]])+IF(MONTH(Table6[[#This Row],[Date]])&gt;=4,1,0)</f>
        <v>2026</v>
      </c>
      <c r="C260" s="79">
        <f>YEAR(Table6[[#This Row],[Date]])</f>
        <v>2025</v>
      </c>
      <c r="D260" s="79" t="s">
        <v>344</v>
      </c>
      <c r="E260" s="284">
        <f>Table6[[#This Row],[Date]]-DAY(Table6[[#This Row],[Date]])+1</f>
        <v>45748</v>
      </c>
      <c r="F260" s="285">
        <v>45756</v>
      </c>
      <c r="G260" s="79" t="s">
        <v>88</v>
      </c>
      <c r="H260" s="79" t="str">
        <f>IFERROR(_xlfn.XLOOKUP(Table6[[#This Row],[Affected Feeder ]],'Basic Data'!$A:$A,'Basic Data'!$B:$B),"")</f>
        <v>PWEPL</v>
      </c>
      <c r="I260" s="79" t="str">
        <f>IFERROR(_xlfn.XLOOKUP(Table6[[#This Row],[Affected Feeder ]],'Basic Data'!$A:$A,'Basic Data'!$C:$C),"")</f>
        <v>MSEDCL</v>
      </c>
      <c r="J260" s="295">
        <f>IFERROR(_xlfn.XLOOKUP(Table6[[#This Row],[Affected Feeder ]],'Basic Data'!$A:$A,'Basic Data'!$E:$E),"")</f>
        <v>2.2727272727272728E-2</v>
      </c>
      <c r="K260" s="296" t="s">
        <v>171</v>
      </c>
      <c r="L260" s="297">
        <v>0.10277777777777779</v>
      </c>
      <c r="M260" s="297">
        <v>0.10277777777777779</v>
      </c>
      <c r="N260" s="297">
        <v>0.11180555555555556</v>
      </c>
      <c r="O260" s="19">
        <f>(Table6[[#This Row],[Work Start TimeStamp]]-Table6[[#This Row],[Fault Start TimeStamp]])*24</f>
        <v>0</v>
      </c>
      <c r="P260" s="19">
        <f>(Table6[[#This Row],[Fault Clearance time]]-Table6[[#This Row],[Fault Start TimeStamp]])*24</f>
        <v>0.21666666666666656</v>
      </c>
      <c r="Q260" s="19">
        <f>(Table6[[#This Row],[Fault Clearance time]]-Table6[[#This Row],[Fault Start TimeStamp]])*24</f>
        <v>0.21666666666666656</v>
      </c>
      <c r="R260" s="79" t="s">
        <v>353</v>
      </c>
      <c r="S260" s="79" t="s">
        <v>339</v>
      </c>
      <c r="T260" s="298">
        <f>IFERROR(Table6[[#This Row],[Breakdown Time]]*Table6[[#This Row],[Plant Equivalent Weightage]],"")</f>
        <v>4.9242424242424221E-3</v>
      </c>
      <c r="U260" s="79" t="s">
        <v>421</v>
      </c>
      <c r="W260" s="79">
        <v>36</v>
      </c>
    </row>
    <row r="261" spans="1:23">
      <c r="A261" s="79">
        <f t="shared" si="4"/>
        <v>260</v>
      </c>
      <c r="B261" s="79">
        <f>YEAR(Table6[[#This Row],[Date]])+IF(MONTH(Table6[[#This Row],[Date]])&gt;=4,1,0)</f>
        <v>2026</v>
      </c>
      <c r="C261" s="79">
        <f>YEAR(Table6[[#This Row],[Date]])</f>
        <v>2025</v>
      </c>
      <c r="D261" s="79" t="s">
        <v>344</v>
      </c>
      <c r="E261" s="284">
        <f>Table6[[#This Row],[Date]]-DAY(Table6[[#This Row],[Date]])+1</f>
        <v>45748</v>
      </c>
      <c r="F261" s="285">
        <v>45756</v>
      </c>
      <c r="G261" s="79" t="s">
        <v>98</v>
      </c>
      <c r="H261" s="79" t="str">
        <f>IFERROR(_xlfn.XLOOKUP(Table6[[#This Row],[Affected Feeder ]],'Basic Data'!$A:$A,'Basic Data'!$B:$B),"")</f>
        <v>PWEPL</v>
      </c>
      <c r="I261" s="79" t="str">
        <f>IFERROR(_xlfn.XLOOKUP(Table6[[#This Row],[Affected Feeder ]],'Basic Data'!$A:$A,'Basic Data'!$C:$C),"")</f>
        <v>MSEDCL</v>
      </c>
      <c r="J261" s="295">
        <f>IFERROR(_xlfn.XLOOKUP(Table6[[#This Row],[Affected Feeder ]],'Basic Data'!$A:$A,'Basic Data'!$E:$E),"")</f>
        <v>2.2727272727272728E-2</v>
      </c>
      <c r="K261" s="296" t="s">
        <v>171</v>
      </c>
      <c r="L261" s="297">
        <v>0.10277777777777779</v>
      </c>
      <c r="M261" s="297">
        <v>0.10277777777777779</v>
      </c>
      <c r="N261" s="297">
        <v>0.11666666666666665</v>
      </c>
      <c r="O261" s="19">
        <f>(Table6[[#This Row],[Work Start TimeStamp]]-Table6[[#This Row],[Fault Start TimeStamp]])*24</f>
        <v>0</v>
      </c>
      <c r="P261" s="19">
        <f>(Table6[[#This Row],[Fault Clearance time]]-Table6[[#This Row],[Fault Start TimeStamp]])*24</f>
        <v>0.33333333333333282</v>
      </c>
      <c r="Q261" s="19">
        <f>(Table6[[#This Row],[Fault Clearance time]]-Table6[[#This Row],[Fault Start TimeStamp]])*24</f>
        <v>0.33333333333333282</v>
      </c>
      <c r="R261" s="79" t="s">
        <v>353</v>
      </c>
      <c r="S261" s="79" t="s">
        <v>339</v>
      </c>
      <c r="T261" s="298">
        <f>IFERROR(Table6[[#This Row],[Breakdown Time]]*Table6[[#This Row],[Plant Equivalent Weightage]],"")</f>
        <v>7.5757575757575638E-3</v>
      </c>
      <c r="U261" s="79" t="s">
        <v>421</v>
      </c>
      <c r="W261" s="79">
        <v>36</v>
      </c>
    </row>
    <row r="262" spans="1:23">
      <c r="A262" s="79">
        <f t="shared" si="4"/>
        <v>261</v>
      </c>
      <c r="B262" s="79">
        <f>YEAR(Table6[[#This Row],[Date]])+IF(MONTH(Table6[[#This Row],[Date]])&gt;=4,1,0)</f>
        <v>2026</v>
      </c>
      <c r="C262" s="79">
        <f>YEAR(Table6[[#This Row],[Date]])</f>
        <v>2025</v>
      </c>
      <c r="D262" s="79" t="s">
        <v>344</v>
      </c>
      <c r="E262" s="284">
        <f>Table6[[#This Row],[Date]]-DAY(Table6[[#This Row],[Date]])+1</f>
        <v>45748</v>
      </c>
      <c r="F262" s="285">
        <v>45756</v>
      </c>
      <c r="G262" s="79" t="s">
        <v>99</v>
      </c>
      <c r="H262" s="79" t="str">
        <f>IFERROR(_xlfn.XLOOKUP(Table6[[#This Row],[Affected Feeder ]],'Basic Data'!$A:$A,'Basic Data'!$B:$B),"")</f>
        <v>PWEPL</v>
      </c>
      <c r="I262" s="79" t="str">
        <f>IFERROR(_xlfn.XLOOKUP(Table6[[#This Row],[Affected Feeder ]],'Basic Data'!$A:$A,'Basic Data'!$C:$C),"")</f>
        <v>MSEDCL</v>
      </c>
      <c r="J262" s="295">
        <f>IFERROR(_xlfn.XLOOKUP(Table6[[#This Row],[Affected Feeder ]],'Basic Data'!$A:$A,'Basic Data'!$E:$E),"")</f>
        <v>2.2727272727272728E-2</v>
      </c>
      <c r="K262" s="296" t="s">
        <v>171</v>
      </c>
      <c r="L262" s="297">
        <v>0.10277777777777779</v>
      </c>
      <c r="M262" s="297">
        <v>0.10277777777777779</v>
      </c>
      <c r="N262" s="297">
        <v>0.11666666666666665</v>
      </c>
      <c r="O262" s="19">
        <f>(Table6[[#This Row],[Work Start TimeStamp]]-Table6[[#This Row],[Fault Start TimeStamp]])*24</f>
        <v>0</v>
      </c>
      <c r="P262" s="19">
        <f>(Table6[[#This Row],[Fault Clearance time]]-Table6[[#This Row],[Fault Start TimeStamp]])*24</f>
        <v>0.33333333333333282</v>
      </c>
      <c r="Q262" s="19">
        <f>(Table6[[#This Row],[Fault Clearance time]]-Table6[[#This Row],[Fault Start TimeStamp]])*24</f>
        <v>0.33333333333333282</v>
      </c>
      <c r="R262" s="79" t="s">
        <v>353</v>
      </c>
      <c r="S262" s="79" t="s">
        <v>339</v>
      </c>
      <c r="T262" s="298">
        <f>IFERROR(Table6[[#This Row],[Breakdown Time]]*Table6[[#This Row],[Plant Equivalent Weightage]],"")</f>
        <v>7.5757575757575638E-3</v>
      </c>
      <c r="U262" s="79" t="s">
        <v>421</v>
      </c>
      <c r="W262" s="79">
        <v>36</v>
      </c>
    </row>
    <row r="263" spans="1:23">
      <c r="A263" s="79">
        <f t="shared" si="4"/>
        <v>262</v>
      </c>
      <c r="B263" s="79">
        <f>YEAR(Table6[[#This Row],[Date]])+IF(MONTH(Table6[[#This Row],[Date]])&gt;=4,1,0)</f>
        <v>2026</v>
      </c>
      <c r="C263" s="79">
        <f>YEAR(Table6[[#This Row],[Date]])</f>
        <v>2025</v>
      </c>
      <c r="D263" s="79" t="s">
        <v>344</v>
      </c>
      <c r="E263" s="284">
        <f>Table6[[#This Row],[Date]]-DAY(Table6[[#This Row],[Date]])+1</f>
        <v>45748</v>
      </c>
      <c r="F263" s="285">
        <v>45756</v>
      </c>
      <c r="G263" s="79" t="s">
        <v>100</v>
      </c>
      <c r="H263" s="79" t="str">
        <f>IFERROR(_xlfn.XLOOKUP(Table6[[#This Row],[Affected Feeder ]],'Basic Data'!$A:$A,'Basic Data'!$B:$B),"")</f>
        <v>PWEPL</v>
      </c>
      <c r="I263" s="79" t="str">
        <f>IFERROR(_xlfn.XLOOKUP(Table6[[#This Row],[Affected Feeder ]],'Basic Data'!$A:$A,'Basic Data'!$C:$C),"")</f>
        <v>MSEDCL</v>
      </c>
      <c r="J263" s="295">
        <f>IFERROR(_xlfn.XLOOKUP(Table6[[#This Row],[Affected Feeder ]],'Basic Data'!$A:$A,'Basic Data'!$E:$E),"")</f>
        <v>2.2727272727272728E-2</v>
      </c>
      <c r="K263" s="296" t="s">
        <v>171</v>
      </c>
      <c r="L263" s="297">
        <v>0.10277777777777779</v>
      </c>
      <c r="M263" s="297">
        <v>0.10277777777777779</v>
      </c>
      <c r="N263" s="297">
        <v>0.11388888888888889</v>
      </c>
      <c r="O263" s="19">
        <f>(Table6[[#This Row],[Work Start TimeStamp]]-Table6[[#This Row],[Fault Start TimeStamp]])*24</f>
        <v>0</v>
      </c>
      <c r="P263" s="19">
        <f>(Table6[[#This Row],[Fault Clearance time]]-Table6[[#This Row],[Fault Start TimeStamp]])*24</f>
        <v>0.26666666666666639</v>
      </c>
      <c r="Q263" s="19">
        <f>(Table6[[#This Row],[Fault Clearance time]]-Table6[[#This Row],[Fault Start TimeStamp]])*24</f>
        <v>0.26666666666666639</v>
      </c>
      <c r="R263" s="79" t="s">
        <v>353</v>
      </c>
      <c r="S263" s="79" t="s">
        <v>339</v>
      </c>
      <c r="T263" s="298">
        <f>IFERROR(Table6[[#This Row],[Breakdown Time]]*Table6[[#This Row],[Plant Equivalent Weightage]],"")</f>
        <v>6.0606060606060545E-3</v>
      </c>
      <c r="U263" s="79" t="s">
        <v>421</v>
      </c>
      <c r="W263" s="79">
        <v>36</v>
      </c>
    </row>
    <row r="264" spans="1:23">
      <c r="A264" s="79">
        <f t="shared" si="4"/>
        <v>263</v>
      </c>
      <c r="B264" s="79">
        <f>YEAR(Table6[[#This Row],[Date]])+IF(MONTH(Table6[[#This Row],[Date]])&gt;=4,1,0)</f>
        <v>2026</v>
      </c>
      <c r="C264" s="79">
        <f>YEAR(Table6[[#This Row],[Date]])</f>
        <v>2025</v>
      </c>
      <c r="D264" s="79" t="s">
        <v>344</v>
      </c>
      <c r="E264" s="284">
        <f>Table6[[#This Row],[Date]]-DAY(Table6[[#This Row],[Date]])+1</f>
        <v>45748</v>
      </c>
      <c r="F264" s="285">
        <v>45756</v>
      </c>
      <c r="G264" s="79" t="s">
        <v>101</v>
      </c>
      <c r="H264" s="79" t="str">
        <f>IFERROR(_xlfn.XLOOKUP(Table6[[#This Row],[Affected Feeder ]],'Basic Data'!$A:$A,'Basic Data'!$B:$B),"")</f>
        <v>PWEPL</v>
      </c>
      <c r="I264" s="79" t="str">
        <f>IFERROR(_xlfn.XLOOKUP(Table6[[#This Row],[Affected Feeder ]],'Basic Data'!$A:$A,'Basic Data'!$C:$C),"")</f>
        <v>MSEDCL</v>
      </c>
      <c r="J264" s="295">
        <f>IFERROR(_xlfn.XLOOKUP(Table6[[#This Row],[Affected Feeder ]],'Basic Data'!$A:$A,'Basic Data'!$E:$E),"")</f>
        <v>2.2727272727272728E-2</v>
      </c>
      <c r="K264" s="296" t="s">
        <v>171</v>
      </c>
      <c r="L264" s="297">
        <v>0.10277777777777779</v>
      </c>
      <c r="M264" s="297">
        <v>0.10277777777777779</v>
      </c>
      <c r="N264" s="297">
        <v>0.11666666666666665</v>
      </c>
      <c r="O264" s="19">
        <f>(Table6[[#This Row],[Work Start TimeStamp]]-Table6[[#This Row],[Fault Start TimeStamp]])*24</f>
        <v>0</v>
      </c>
      <c r="P264" s="19">
        <f>(Table6[[#This Row],[Fault Clearance time]]-Table6[[#This Row],[Fault Start TimeStamp]])*24</f>
        <v>0.33333333333333282</v>
      </c>
      <c r="Q264" s="19">
        <f>(Table6[[#This Row],[Fault Clearance time]]-Table6[[#This Row],[Fault Start TimeStamp]])*24</f>
        <v>0.33333333333333282</v>
      </c>
      <c r="R264" s="79" t="s">
        <v>353</v>
      </c>
      <c r="S264" s="79" t="s">
        <v>339</v>
      </c>
      <c r="T264" s="298">
        <f>IFERROR(Table6[[#This Row],[Breakdown Time]]*Table6[[#This Row],[Plant Equivalent Weightage]],"")</f>
        <v>7.5757575757575638E-3</v>
      </c>
      <c r="U264" s="79" t="s">
        <v>421</v>
      </c>
      <c r="W264" s="79">
        <v>36</v>
      </c>
    </row>
    <row r="265" spans="1:23">
      <c r="A265" s="79">
        <f t="shared" si="4"/>
        <v>264</v>
      </c>
      <c r="B265" s="79">
        <f>YEAR(Table6[[#This Row],[Date]])+IF(MONTH(Table6[[#This Row],[Date]])&gt;=4,1,0)</f>
        <v>2026</v>
      </c>
      <c r="C265" s="79">
        <f>YEAR(Table6[[#This Row],[Date]])</f>
        <v>2025</v>
      </c>
      <c r="D265" s="79" t="s">
        <v>344</v>
      </c>
      <c r="E265" s="284">
        <f>Table6[[#This Row],[Date]]-DAY(Table6[[#This Row],[Date]])+1</f>
        <v>45748</v>
      </c>
      <c r="F265" s="285">
        <v>45757</v>
      </c>
      <c r="G265" s="79" t="s">
        <v>103</v>
      </c>
      <c r="H265" s="79" t="str">
        <f>IFERROR(_xlfn.XLOOKUP(Table6[[#This Row],[Affected Feeder ]],'Basic Data'!$A:$A,'Basic Data'!$B:$B),"")</f>
        <v>PWEPL</v>
      </c>
      <c r="I265" s="79" t="str">
        <f>IFERROR(_xlfn.XLOOKUP(Table6[[#This Row],[Affected Feeder ]],'Basic Data'!$A:$A,'Basic Data'!$C:$C),"")</f>
        <v>MSEDCL</v>
      </c>
      <c r="J265" s="295">
        <f>IFERROR(_xlfn.XLOOKUP(Table6[[#This Row],[Affected Feeder ]],'Basic Data'!$A:$A,'Basic Data'!$E:$E),"")</f>
        <v>2.2727272727272728E-2</v>
      </c>
      <c r="K265" s="296" t="s">
        <v>414</v>
      </c>
      <c r="L265" s="297">
        <v>0.33194444444444443</v>
      </c>
      <c r="M265" s="297">
        <v>0.33194444444444443</v>
      </c>
      <c r="N265" s="297">
        <v>0.36041666666666666</v>
      </c>
      <c r="O265" s="19">
        <f>(Table6[[#This Row],[Work Start TimeStamp]]-Table6[[#This Row],[Fault Start TimeStamp]])*24</f>
        <v>0</v>
      </c>
      <c r="P265" s="19">
        <f>(Table6[[#This Row],[Fault Clearance time]]-Table6[[#This Row],[Fault Start TimeStamp]])*24</f>
        <v>0.68333333333333357</v>
      </c>
      <c r="Q265" s="19">
        <f>(Table6[[#This Row],[Fault Clearance time]]-Table6[[#This Row],[Fault Start TimeStamp]])*24</f>
        <v>0.68333333333333357</v>
      </c>
      <c r="R265" s="79" t="s">
        <v>448</v>
      </c>
      <c r="S265" s="79" t="s">
        <v>339</v>
      </c>
      <c r="T265" s="298">
        <f>IFERROR(Table6[[#This Row],[Breakdown Time]]*Table6[[#This Row],[Plant Equivalent Weightage]],"")</f>
        <v>1.5530303030303037E-2</v>
      </c>
      <c r="U265" s="79" t="s">
        <v>416</v>
      </c>
      <c r="W265" s="79">
        <v>169</v>
      </c>
    </row>
    <row r="266" spans="1:23">
      <c r="A266" s="79">
        <f t="shared" si="4"/>
        <v>265</v>
      </c>
      <c r="B266" s="79">
        <f>YEAR(Table6[[#This Row],[Date]])+IF(MONTH(Table6[[#This Row],[Date]])&gt;=4,1,0)</f>
        <v>2026</v>
      </c>
      <c r="C266" s="79">
        <f>YEAR(Table6[[#This Row],[Date]])</f>
        <v>2025</v>
      </c>
      <c r="D266" s="79" t="s">
        <v>344</v>
      </c>
      <c r="E266" s="284">
        <f>Table6[[#This Row],[Date]]-DAY(Table6[[#This Row],[Date]])+1</f>
        <v>45748</v>
      </c>
      <c r="F266" s="285">
        <v>45757</v>
      </c>
      <c r="G266" s="79" t="s">
        <v>103</v>
      </c>
      <c r="H266" s="79" t="str">
        <f>IFERROR(_xlfn.XLOOKUP(Table6[[#This Row],[Affected Feeder ]],'Basic Data'!$A:$A,'Basic Data'!$B:$B),"")</f>
        <v>PWEPL</v>
      </c>
      <c r="I266" s="79" t="str">
        <f>IFERROR(_xlfn.XLOOKUP(Table6[[#This Row],[Affected Feeder ]],'Basic Data'!$A:$A,'Basic Data'!$C:$C),"")</f>
        <v>MSEDCL</v>
      </c>
      <c r="J266" s="295">
        <f>IFERROR(_xlfn.XLOOKUP(Table6[[#This Row],[Affected Feeder ]],'Basic Data'!$A:$A,'Basic Data'!$E:$E),"")</f>
        <v>2.2727272727272728E-2</v>
      </c>
      <c r="K266" s="296" t="s">
        <v>171</v>
      </c>
      <c r="L266" s="297">
        <v>0.36041666666666666</v>
      </c>
      <c r="M266" s="297">
        <v>0.36041666666666666</v>
      </c>
      <c r="N266" s="297">
        <v>0.36736111111111108</v>
      </c>
      <c r="O266" s="19">
        <f>(Table6[[#This Row],[Work Start TimeStamp]]-Table6[[#This Row],[Fault Start TimeStamp]])*24</f>
        <v>0</v>
      </c>
      <c r="P266" s="19">
        <f>(Table6[[#This Row],[Fault Clearance time]]-Table6[[#This Row],[Fault Start TimeStamp]])*24</f>
        <v>0.16666666666666607</v>
      </c>
      <c r="Q266" s="19">
        <f>(Table6[[#This Row],[Fault Clearance time]]-Table6[[#This Row],[Fault Start TimeStamp]])*24</f>
        <v>0.16666666666666607</v>
      </c>
      <c r="R266" s="79" t="s">
        <v>353</v>
      </c>
      <c r="S266" s="79" t="s">
        <v>339</v>
      </c>
      <c r="T266" s="298">
        <f>IFERROR(Table6[[#This Row],[Breakdown Time]]*Table6[[#This Row],[Plant Equivalent Weightage]],"")</f>
        <v>3.7878787878787745E-3</v>
      </c>
      <c r="U266" s="79" t="s">
        <v>416</v>
      </c>
      <c r="W266" s="79">
        <v>41</v>
      </c>
    </row>
    <row r="267" spans="1:23">
      <c r="A267" s="79">
        <f t="shared" si="4"/>
        <v>266</v>
      </c>
      <c r="B267" s="79">
        <f>YEAR(Table6[[#This Row],[Date]])+IF(MONTH(Table6[[#This Row],[Date]])&gt;=4,1,0)</f>
        <v>2026</v>
      </c>
      <c r="C267" s="79">
        <f>YEAR(Table6[[#This Row],[Date]])</f>
        <v>2025</v>
      </c>
      <c r="D267" s="79" t="s">
        <v>344</v>
      </c>
      <c r="E267" s="284">
        <f>Table6[[#This Row],[Date]]-DAY(Table6[[#This Row],[Date]])+1</f>
        <v>45748</v>
      </c>
      <c r="F267" s="285">
        <v>45757</v>
      </c>
      <c r="G267" s="79" t="s">
        <v>105</v>
      </c>
      <c r="H267" s="79" t="str">
        <f>IFERROR(_xlfn.XLOOKUP(Table6[[#This Row],[Affected Feeder ]],'Basic Data'!$A:$A,'Basic Data'!$B:$B),"")</f>
        <v>PWEPL</v>
      </c>
      <c r="I267" s="79" t="str">
        <f>IFERROR(_xlfn.XLOOKUP(Table6[[#This Row],[Affected Feeder ]],'Basic Data'!$A:$A,'Basic Data'!$C:$C),"")</f>
        <v>MSEDCL</v>
      </c>
      <c r="J267" s="295">
        <f>IFERROR(_xlfn.XLOOKUP(Table6[[#This Row],[Affected Feeder ]],'Basic Data'!$A:$A,'Basic Data'!$E:$E),"")</f>
        <v>2.2727272727272728E-2</v>
      </c>
      <c r="K267" s="296" t="s">
        <v>414</v>
      </c>
      <c r="L267" s="297">
        <v>0.33194444444444443</v>
      </c>
      <c r="M267" s="297">
        <v>0.33194444444444443</v>
      </c>
      <c r="N267" s="297">
        <v>0.36041666666666666</v>
      </c>
      <c r="O267" s="19">
        <f>(Table6[[#This Row],[Work Start TimeStamp]]-Table6[[#This Row],[Fault Start TimeStamp]])*24</f>
        <v>0</v>
      </c>
      <c r="P267" s="19">
        <f>(Table6[[#This Row],[Fault Clearance time]]-Table6[[#This Row],[Fault Start TimeStamp]])*24</f>
        <v>0.68333333333333357</v>
      </c>
      <c r="Q267" s="19">
        <f>(Table6[[#This Row],[Fault Clearance time]]-Table6[[#This Row],[Fault Start TimeStamp]])*24</f>
        <v>0.68333333333333357</v>
      </c>
      <c r="R267" s="79" t="s">
        <v>448</v>
      </c>
      <c r="S267" s="79" t="s">
        <v>339</v>
      </c>
      <c r="T267" s="298">
        <f>IFERROR(Table6[[#This Row],[Breakdown Time]]*Table6[[#This Row],[Plant Equivalent Weightage]],"")</f>
        <v>1.5530303030303037E-2</v>
      </c>
      <c r="U267" s="79" t="s">
        <v>416</v>
      </c>
      <c r="W267" s="79">
        <v>169</v>
      </c>
    </row>
    <row r="268" spans="1:23">
      <c r="A268" s="79">
        <f t="shared" si="4"/>
        <v>267</v>
      </c>
      <c r="B268" s="79">
        <f>YEAR(Table6[[#This Row],[Date]])+IF(MONTH(Table6[[#This Row],[Date]])&gt;=4,1,0)</f>
        <v>2026</v>
      </c>
      <c r="C268" s="79">
        <f>YEAR(Table6[[#This Row],[Date]])</f>
        <v>2025</v>
      </c>
      <c r="D268" s="79" t="s">
        <v>344</v>
      </c>
      <c r="E268" s="284">
        <f>Table6[[#This Row],[Date]]-DAY(Table6[[#This Row],[Date]])+1</f>
        <v>45748</v>
      </c>
      <c r="F268" s="285">
        <v>45757</v>
      </c>
      <c r="G268" s="79" t="s">
        <v>105</v>
      </c>
      <c r="H268" s="79" t="str">
        <f>IFERROR(_xlfn.XLOOKUP(Table6[[#This Row],[Affected Feeder ]],'Basic Data'!$A:$A,'Basic Data'!$B:$B),"")</f>
        <v>PWEPL</v>
      </c>
      <c r="I268" s="79" t="str">
        <f>IFERROR(_xlfn.XLOOKUP(Table6[[#This Row],[Affected Feeder ]],'Basic Data'!$A:$A,'Basic Data'!$C:$C),"")</f>
        <v>MSEDCL</v>
      </c>
      <c r="J268" s="295">
        <f>IFERROR(_xlfn.XLOOKUP(Table6[[#This Row],[Affected Feeder ]],'Basic Data'!$A:$A,'Basic Data'!$E:$E),"")</f>
        <v>2.2727272727272728E-2</v>
      </c>
      <c r="K268" s="296" t="s">
        <v>171</v>
      </c>
      <c r="L268" s="297">
        <v>0.36041666666666666</v>
      </c>
      <c r="M268" s="297">
        <v>0.36041666666666666</v>
      </c>
      <c r="N268" s="297">
        <v>0.36736111111111108</v>
      </c>
      <c r="O268" s="19">
        <f>(Table6[[#This Row],[Work Start TimeStamp]]-Table6[[#This Row],[Fault Start TimeStamp]])*24</f>
        <v>0</v>
      </c>
      <c r="P268" s="19">
        <f>(Table6[[#This Row],[Fault Clearance time]]-Table6[[#This Row],[Fault Start TimeStamp]])*24</f>
        <v>0.16666666666666607</v>
      </c>
      <c r="Q268" s="19">
        <f>(Table6[[#This Row],[Fault Clearance time]]-Table6[[#This Row],[Fault Start TimeStamp]])*24</f>
        <v>0.16666666666666607</v>
      </c>
      <c r="R268" s="79" t="s">
        <v>353</v>
      </c>
      <c r="S268" s="79" t="s">
        <v>339</v>
      </c>
      <c r="T268" s="298">
        <f>IFERROR(Table6[[#This Row],[Breakdown Time]]*Table6[[#This Row],[Plant Equivalent Weightage]],"")</f>
        <v>3.7878787878787745E-3</v>
      </c>
      <c r="U268" s="79" t="s">
        <v>416</v>
      </c>
      <c r="W268" s="79">
        <v>41</v>
      </c>
    </row>
    <row r="269" spans="1:23">
      <c r="A269" s="79">
        <f t="shared" si="4"/>
        <v>268</v>
      </c>
      <c r="B269" s="79">
        <f>YEAR(Table6[[#This Row],[Date]])+IF(MONTH(Table6[[#This Row],[Date]])&gt;=4,1,0)</f>
        <v>2026</v>
      </c>
      <c r="C269" s="79">
        <f>YEAR(Table6[[#This Row],[Date]])</f>
        <v>2025</v>
      </c>
      <c r="D269" s="79" t="s">
        <v>344</v>
      </c>
      <c r="E269" s="284">
        <f>Table6[[#This Row],[Date]]-DAY(Table6[[#This Row],[Date]])+1</f>
        <v>45748</v>
      </c>
      <c r="F269" s="285">
        <v>45757</v>
      </c>
      <c r="G269" s="79" t="s">
        <v>115</v>
      </c>
      <c r="H269" s="79" t="str">
        <f>IFERROR(_xlfn.XLOOKUP(Table6[[#This Row],[Affected Feeder ]],'Basic Data'!$A:$A,'Basic Data'!$B:$B),"")</f>
        <v>PWEPL</v>
      </c>
      <c r="I269" s="79" t="str">
        <f>IFERROR(_xlfn.XLOOKUP(Table6[[#This Row],[Affected Feeder ]],'Basic Data'!$A:$A,'Basic Data'!$C:$C),"")</f>
        <v>MSEDCL</v>
      </c>
      <c r="J269" s="295">
        <f>IFERROR(_xlfn.XLOOKUP(Table6[[#This Row],[Affected Feeder ]],'Basic Data'!$A:$A,'Basic Data'!$E:$E),"")</f>
        <v>2.2727272727272728E-2</v>
      </c>
      <c r="K269" s="296" t="s">
        <v>414</v>
      </c>
      <c r="L269" s="297">
        <v>0.33194444444444443</v>
      </c>
      <c r="M269" s="297">
        <v>0.33194444444444443</v>
      </c>
      <c r="N269" s="297">
        <v>0.36041666666666666</v>
      </c>
      <c r="O269" s="19">
        <f>(Table6[[#This Row],[Work Start TimeStamp]]-Table6[[#This Row],[Fault Start TimeStamp]])*24</f>
        <v>0</v>
      </c>
      <c r="P269" s="19">
        <f>(Table6[[#This Row],[Fault Clearance time]]-Table6[[#This Row],[Fault Start TimeStamp]])*24</f>
        <v>0.68333333333333357</v>
      </c>
      <c r="Q269" s="19">
        <f>(Table6[[#This Row],[Fault Clearance time]]-Table6[[#This Row],[Fault Start TimeStamp]])*24</f>
        <v>0.68333333333333357</v>
      </c>
      <c r="R269" s="79" t="s">
        <v>448</v>
      </c>
      <c r="S269" s="79" t="s">
        <v>339</v>
      </c>
      <c r="T269" s="298">
        <f>IFERROR(Table6[[#This Row],[Breakdown Time]]*Table6[[#This Row],[Plant Equivalent Weightage]],"")</f>
        <v>1.5530303030303037E-2</v>
      </c>
      <c r="U269" s="79" t="s">
        <v>416</v>
      </c>
      <c r="W269" s="79">
        <v>169</v>
      </c>
    </row>
    <row r="270" spans="1:23">
      <c r="A270" s="79">
        <f t="shared" si="4"/>
        <v>269</v>
      </c>
      <c r="B270" s="79">
        <f>YEAR(Table6[[#This Row],[Date]])+IF(MONTH(Table6[[#This Row],[Date]])&gt;=4,1,0)</f>
        <v>2026</v>
      </c>
      <c r="C270" s="79">
        <f>YEAR(Table6[[#This Row],[Date]])</f>
        <v>2025</v>
      </c>
      <c r="D270" s="79" t="s">
        <v>344</v>
      </c>
      <c r="E270" s="284">
        <f>Table6[[#This Row],[Date]]-DAY(Table6[[#This Row],[Date]])+1</f>
        <v>45748</v>
      </c>
      <c r="F270" s="285">
        <v>45757</v>
      </c>
      <c r="G270" s="79" t="s">
        <v>115</v>
      </c>
      <c r="H270" s="79" t="str">
        <f>IFERROR(_xlfn.XLOOKUP(Table6[[#This Row],[Affected Feeder ]],'Basic Data'!$A:$A,'Basic Data'!$B:$B),"")</f>
        <v>PWEPL</v>
      </c>
      <c r="I270" s="79" t="str">
        <f>IFERROR(_xlfn.XLOOKUP(Table6[[#This Row],[Affected Feeder ]],'Basic Data'!$A:$A,'Basic Data'!$C:$C),"")</f>
        <v>MSEDCL</v>
      </c>
      <c r="J270" s="295">
        <f>IFERROR(_xlfn.XLOOKUP(Table6[[#This Row],[Affected Feeder ]],'Basic Data'!$A:$A,'Basic Data'!$E:$E),"")</f>
        <v>2.2727272727272728E-2</v>
      </c>
      <c r="K270" s="296" t="s">
        <v>171</v>
      </c>
      <c r="L270" s="297">
        <v>0.36041666666666666</v>
      </c>
      <c r="M270" s="297">
        <v>0.36041666666666666</v>
      </c>
      <c r="N270" s="297">
        <v>0.36736111111111108</v>
      </c>
      <c r="O270" s="19">
        <f>(Table6[[#This Row],[Work Start TimeStamp]]-Table6[[#This Row],[Fault Start TimeStamp]])*24</f>
        <v>0</v>
      </c>
      <c r="P270" s="19">
        <f>(Table6[[#This Row],[Fault Clearance time]]-Table6[[#This Row],[Fault Start TimeStamp]])*24</f>
        <v>0.16666666666666607</v>
      </c>
      <c r="Q270" s="19">
        <f>(Table6[[#This Row],[Fault Clearance time]]-Table6[[#This Row],[Fault Start TimeStamp]])*24</f>
        <v>0.16666666666666607</v>
      </c>
      <c r="R270" s="79" t="s">
        <v>353</v>
      </c>
      <c r="S270" s="79" t="s">
        <v>339</v>
      </c>
      <c r="T270" s="298">
        <f>IFERROR(Table6[[#This Row],[Breakdown Time]]*Table6[[#This Row],[Plant Equivalent Weightage]],"")</f>
        <v>3.7878787878787745E-3</v>
      </c>
      <c r="U270" s="79" t="s">
        <v>416</v>
      </c>
      <c r="W270" s="79">
        <v>41</v>
      </c>
    </row>
    <row r="271" spans="1:23">
      <c r="A271" s="79">
        <f t="shared" si="4"/>
        <v>270</v>
      </c>
      <c r="B271" s="79">
        <f>YEAR(Table6[[#This Row],[Date]])+IF(MONTH(Table6[[#This Row],[Date]])&gt;=4,1,0)</f>
        <v>2026</v>
      </c>
      <c r="C271" s="79">
        <f>YEAR(Table6[[#This Row],[Date]])</f>
        <v>2025</v>
      </c>
      <c r="D271" s="79" t="s">
        <v>344</v>
      </c>
      <c r="E271" s="284">
        <f>Table6[[#This Row],[Date]]-DAY(Table6[[#This Row],[Date]])+1</f>
        <v>45748</v>
      </c>
      <c r="F271" s="285">
        <v>45757</v>
      </c>
      <c r="G271" s="79" t="s">
        <v>116</v>
      </c>
      <c r="H271" s="79" t="str">
        <f>IFERROR(_xlfn.XLOOKUP(Table6[[#This Row],[Affected Feeder ]],'Basic Data'!$A:$A,'Basic Data'!$B:$B),"")</f>
        <v>PWEPL</v>
      </c>
      <c r="I271" s="79" t="str">
        <f>IFERROR(_xlfn.XLOOKUP(Table6[[#This Row],[Affected Feeder ]],'Basic Data'!$A:$A,'Basic Data'!$C:$C),"")</f>
        <v>MSEDCL</v>
      </c>
      <c r="J271" s="295">
        <f>IFERROR(_xlfn.XLOOKUP(Table6[[#This Row],[Affected Feeder ]],'Basic Data'!$A:$A,'Basic Data'!$E:$E),"")</f>
        <v>2.2727272727272728E-2</v>
      </c>
      <c r="K271" s="296" t="s">
        <v>414</v>
      </c>
      <c r="L271" s="297">
        <v>0.33194444444444443</v>
      </c>
      <c r="M271" s="297">
        <v>0.33194444444444443</v>
      </c>
      <c r="N271" s="297">
        <v>0.875</v>
      </c>
      <c r="O271" s="19">
        <f>(Table6[[#This Row],[Work Start TimeStamp]]-Table6[[#This Row],[Fault Start TimeStamp]])*24</f>
        <v>0</v>
      </c>
      <c r="P271" s="19">
        <f>(Table6[[#This Row],[Fault Clearance time]]-Table6[[#This Row],[Fault Start TimeStamp]])*24</f>
        <v>13.033333333333335</v>
      </c>
      <c r="Q271" s="19">
        <f>(Table6[[#This Row],[Fault Clearance time]]-Table6[[#This Row],[Fault Start TimeStamp]])*24</f>
        <v>13.033333333333335</v>
      </c>
      <c r="R271" s="79" t="s">
        <v>449</v>
      </c>
      <c r="S271" s="79" t="s">
        <v>339</v>
      </c>
      <c r="T271" s="298">
        <f>IFERROR(Table6[[#This Row],[Breakdown Time]]*Table6[[#This Row],[Plant Equivalent Weightage]],"")</f>
        <v>0.29621212121212126</v>
      </c>
      <c r="U271" s="79" t="s">
        <v>416</v>
      </c>
      <c r="W271" s="79">
        <v>3226</v>
      </c>
    </row>
    <row r="272" spans="1:23">
      <c r="A272" s="79">
        <f t="shared" si="4"/>
        <v>271</v>
      </c>
      <c r="B272" s="79">
        <f>YEAR(Table6[[#This Row],[Date]])+IF(MONTH(Table6[[#This Row],[Date]])&gt;=4,1,0)</f>
        <v>2026</v>
      </c>
      <c r="C272" s="79">
        <f>YEAR(Table6[[#This Row],[Date]])</f>
        <v>2025</v>
      </c>
      <c r="D272" s="79" t="s">
        <v>344</v>
      </c>
      <c r="E272" s="284">
        <f>Table6[[#This Row],[Date]]-DAY(Table6[[#This Row],[Date]])+1</f>
        <v>45748</v>
      </c>
      <c r="F272" s="285">
        <v>45757</v>
      </c>
      <c r="G272" s="79" t="s">
        <v>116</v>
      </c>
      <c r="H272" s="79" t="str">
        <f>IFERROR(_xlfn.XLOOKUP(Table6[[#This Row],[Affected Feeder ]],'Basic Data'!$A:$A,'Basic Data'!$B:$B),"")</f>
        <v>PWEPL</v>
      </c>
      <c r="I272" s="79" t="str">
        <f>IFERROR(_xlfn.XLOOKUP(Table6[[#This Row],[Affected Feeder ]],'Basic Data'!$A:$A,'Basic Data'!$C:$C),"")</f>
        <v>MSEDCL</v>
      </c>
      <c r="J272" s="295">
        <f>IFERROR(_xlfn.XLOOKUP(Table6[[#This Row],[Affected Feeder ]],'Basic Data'!$A:$A,'Basic Data'!$E:$E),"")</f>
        <v>2.2727272727272728E-2</v>
      </c>
      <c r="K272" s="296" t="s">
        <v>171</v>
      </c>
      <c r="L272" s="297">
        <v>0.875</v>
      </c>
      <c r="M272" s="297">
        <v>0.875</v>
      </c>
      <c r="N272" s="297">
        <v>0.88194444444444453</v>
      </c>
      <c r="O272" s="19">
        <f>(Table6[[#This Row],[Work Start TimeStamp]]-Table6[[#This Row],[Fault Start TimeStamp]])*24</f>
        <v>0</v>
      </c>
      <c r="P272" s="19">
        <f>(Table6[[#This Row],[Fault Clearance time]]-Table6[[#This Row],[Fault Start TimeStamp]])*24</f>
        <v>0.16666666666666874</v>
      </c>
      <c r="Q272" s="19">
        <f>(Table6[[#This Row],[Fault Clearance time]]-Table6[[#This Row],[Fault Start TimeStamp]])*24</f>
        <v>0.16666666666666874</v>
      </c>
      <c r="R272" s="79" t="s">
        <v>353</v>
      </c>
      <c r="S272" s="79" t="s">
        <v>339</v>
      </c>
      <c r="T272" s="298">
        <f>IFERROR(Table6[[#This Row],[Breakdown Time]]*Table6[[#This Row],[Plant Equivalent Weightage]],"")</f>
        <v>3.7878787878788353E-3</v>
      </c>
      <c r="U272" s="79" t="s">
        <v>416</v>
      </c>
      <c r="W272" s="79">
        <v>41</v>
      </c>
    </row>
    <row r="273" spans="1:23">
      <c r="A273" s="79">
        <f t="shared" si="4"/>
        <v>272</v>
      </c>
      <c r="B273" s="79">
        <f>YEAR(Table6[[#This Row],[Date]])+IF(MONTH(Table6[[#This Row],[Date]])&gt;=4,1,0)</f>
        <v>2026</v>
      </c>
      <c r="C273" s="79">
        <f>YEAR(Table6[[#This Row],[Date]])</f>
        <v>2025</v>
      </c>
      <c r="D273" s="79" t="s">
        <v>344</v>
      </c>
      <c r="E273" s="284">
        <f>Table6[[#This Row],[Date]]-DAY(Table6[[#This Row],[Date]])+1</f>
        <v>45748</v>
      </c>
      <c r="F273" s="285">
        <v>45757</v>
      </c>
      <c r="G273" s="79" t="s">
        <v>117</v>
      </c>
      <c r="H273" s="79" t="str">
        <f>IFERROR(_xlfn.XLOOKUP(Table6[[#This Row],[Affected Feeder ]],'Basic Data'!$A:$A,'Basic Data'!$B:$B),"")</f>
        <v>PWEPL</v>
      </c>
      <c r="I273" s="79" t="str">
        <f>IFERROR(_xlfn.XLOOKUP(Table6[[#This Row],[Affected Feeder ]],'Basic Data'!$A:$A,'Basic Data'!$C:$C),"")</f>
        <v>MSEDCL</v>
      </c>
      <c r="J273" s="295">
        <f>IFERROR(_xlfn.XLOOKUP(Table6[[#This Row],[Affected Feeder ]],'Basic Data'!$A:$A,'Basic Data'!$E:$E),"")</f>
        <v>2.2727272727272728E-2</v>
      </c>
      <c r="K273" s="296" t="s">
        <v>414</v>
      </c>
      <c r="L273" s="297">
        <v>0.33194444444444443</v>
      </c>
      <c r="M273" s="297">
        <v>0.33194444444444443</v>
      </c>
      <c r="N273" s="297">
        <v>0.875</v>
      </c>
      <c r="O273" s="19">
        <f>(Table6[[#This Row],[Work Start TimeStamp]]-Table6[[#This Row],[Fault Start TimeStamp]])*24</f>
        <v>0</v>
      </c>
      <c r="P273" s="19">
        <f>(Table6[[#This Row],[Fault Clearance time]]-Table6[[#This Row],[Fault Start TimeStamp]])*24</f>
        <v>13.033333333333335</v>
      </c>
      <c r="Q273" s="19">
        <f>(Table6[[#This Row],[Fault Clearance time]]-Table6[[#This Row],[Fault Start TimeStamp]])*24</f>
        <v>13.033333333333335</v>
      </c>
      <c r="R273" s="79" t="s">
        <v>450</v>
      </c>
      <c r="S273" s="79" t="s">
        <v>339</v>
      </c>
      <c r="T273" s="298">
        <f>IFERROR(Table6[[#This Row],[Breakdown Time]]*Table6[[#This Row],[Plant Equivalent Weightage]],"")</f>
        <v>0.29621212121212126</v>
      </c>
      <c r="U273" s="79" t="s">
        <v>416</v>
      </c>
      <c r="W273" s="79">
        <v>3226</v>
      </c>
    </row>
    <row r="274" spans="1:23">
      <c r="A274" s="79">
        <f t="shared" si="4"/>
        <v>273</v>
      </c>
      <c r="B274" s="79">
        <f>YEAR(Table6[[#This Row],[Date]])+IF(MONTH(Table6[[#This Row],[Date]])&gt;=4,1,0)</f>
        <v>2026</v>
      </c>
      <c r="C274" s="79">
        <f>YEAR(Table6[[#This Row],[Date]])</f>
        <v>2025</v>
      </c>
      <c r="D274" s="79" t="s">
        <v>344</v>
      </c>
      <c r="E274" s="284">
        <f>Table6[[#This Row],[Date]]-DAY(Table6[[#This Row],[Date]])+1</f>
        <v>45748</v>
      </c>
      <c r="F274" s="285">
        <v>45757</v>
      </c>
      <c r="G274" s="79" t="s">
        <v>117</v>
      </c>
      <c r="H274" s="79" t="str">
        <f>IFERROR(_xlfn.XLOOKUP(Table6[[#This Row],[Affected Feeder ]],'Basic Data'!$A:$A,'Basic Data'!$B:$B),"")</f>
        <v>PWEPL</v>
      </c>
      <c r="I274" s="79" t="str">
        <f>IFERROR(_xlfn.XLOOKUP(Table6[[#This Row],[Affected Feeder ]],'Basic Data'!$A:$A,'Basic Data'!$C:$C),"")</f>
        <v>MSEDCL</v>
      </c>
      <c r="J274" s="295">
        <f>IFERROR(_xlfn.XLOOKUP(Table6[[#This Row],[Affected Feeder ]],'Basic Data'!$A:$A,'Basic Data'!$E:$E),"")</f>
        <v>2.2727272727272728E-2</v>
      </c>
      <c r="K274" s="296" t="s">
        <v>171</v>
      </c>
      <c r="L274" s="297">
        <v>0.875</v>
      </c>
      <c r="M274" s="297">
        <v>0.875</v>
      </c>
      <c r="N274" s="297">
        <v>0.88194444444444453</v>
      </c>
      <c r="O274" s="19">
        <f>(Table6[[#This Row],[Work Start TimeStamp]]-Table6[[#This Row],[Fault Start TimeStamp]])*24</f>
        <v>0</v>
      </c>
      <c r="P274" s="19">
        <f>(Table6[[#This Row],[Fault Clearance time]]-Table6[[#This Row],[Fault Start TimeStamp]])*24</f>
        <v>0.16666666666666874</v>
      </c>
      <c r="Q274" s="19">
        <f>(Table6[[#This Row],[Fault Clearance time]]-Table6[[#This Row],[Fault Start TimeStamp]])*24</f>
        <v>0.16666666666666874</v>
      </c>
      <c r="R274" s="79" t="s">
        <v>353</v>
      </c>
      <c r="S274" s="79" t="s">
        <v>339</v>
      </c>
      <c r="T274" s="298">
        <f>IFERROR(Table6[[#This Row],[Breakdown Time]]*Table6[[#This Row],[Plant Equivalent Weightage]],"")</f>
        <v>3.7878787878788353E-3</v>
      </c>
      <c r="U274" s="79" t="s">
        <v>416</v>
      </c>
      <c r="W274" s="79">
        <v>41</v>
      </c>
    </row>
    <row r="275" spans="1:23">
      <c r="A275" s="79">
        <f t="shared" si="4"/>
        <v>274</v>
      </c>
      <c r="B275" s="79">
        <f>YEAR(Table6[[#This Row],[Date]])+IF(MONTH(Table6[[#This Row],[Date]])&gt;=4,1,0)</f>
        <v>2026</v>
      </c>
      <c r="C275" s="79">
        <f>YEAR(Table6[[#This Row],[Date]])</f>
        <v>2025</v>
      </c>
      <c r="D275" s="79" t="s">
        <v>344</v>
      </c>
      <c r="E275" s="284">
        <f>Table6[[#This Row],[Date]]-DAY(Table6[[#This Row],[Date]])+1</f>
        <v>45748</v>
      </c>
      <c r="F275" s="285">
        <v>45757</v>
      </c>
      <c r="G275" s="79" t="s">
        <v>118</v>
      </c>
      <c r="H275" s="79" t="str">
        <f>IFERROR(_xlfn.XLOOKUP(Table6[[#This Row],[Affected Feeder ]],'Basic Data'!$A:$A,'Basic Data'!$B:$B),"")</f>
        <v>PWEPL</v>
      </c>
      <c r="I275" s="79" t="str">
        <f>IFERROR(_xlfn.XLOOKUP(Table6[[#This Row],[Affected Feeder ]],'Basic Data'!$A:$A,'Basic Data'!$C:$C),"")</f>
        <v>MSEDCL</v>
      </c>
      <c r="J275" s="295">
        <f>IFERROR(_xlfn.XLOOKUP(Table6[[#This Row],[Affected Feeder ]],'Basic Data'!$A:$A,'Basic Data'!$E:$E),"")</f>
        <v>2.2727272727272728E-2</v>
      </c>
      <c r="K275" s="296" t="s">
        <v>414</v>
      </c>
      <c r="L275" s="297">
        <v>0.33194444444444443</v>
      </c>
      <c r="M275" s="297">
        <v>0.33194444444444443</v>
      </c>
      <c r="N275" s="297">
        <v>0.36041666666666666</v>
      </c>
      <c r="O275" s="19">
        <f>(Table6[[#This Row],[Work Start TimeStamp]]-Table6[[#This Row],[Fault Start TimeStamp]])*24</f>
        <v>0</v>
      </c>
      <c r="P275" s="19">
        <f>(Table6[[#This Row],[Fault Clearance time]]-Table6[[#This Row],[Fault Start TimeStamp]])*24</f>
        <v>0.68333333333333357</v>
      </c>
      <c r="Q275" s="19">
        <f>(Table6[[#This Row],[Fault Clearance time]]-Table6[[#This Row],[Fault Start TimeStamp]])*24</f>
        <v>0.68333333333333357</v>
      </c>
      <c r="R275" s="79" t="s">
        <v>448</v>
      </c>
      <c r="S275" s="79" t="s">
        <v>339</v>
      </c>
      <c r="T275" s="298">
        <f>IFERROR(Table6[[#This Row],[Breakdown Time]]*Table6[[#This Row],[Plant Equivalent Weightage]],"")</f>
        <v>1.5530303030303037E-2</v>
      </c>
      <c r="U275" s="79" t="s">
        <v>416</v>
      </c>
      <c r="W275" s="79">
        <v>169</v>
      </c>
    </row>
    <row r="276" spans="1:23">
      <c r="A276" s="79">
        <f t="shared" si="4"/>
        <v>275</v>
      </c>
      <c r="B276" s="79">
        <f>YEAR(Table6[[#This Row],[Date]])+IF(MONTH(Table6[[#This Row],[Date]])&gt;=4,1,0)</f>
        <v>2026</v>
      </c>
      <c r="C276" s="79">
        <f>YEAR(Table6[[#This Row],[Date]])</f>
        <v>2025</v>
      </c>
      <c r="D276" s="79" t="s">
        <v>344</v>
      </c>
      <c r="E276" s="284">
        <f>Table6[[#This Row],[Date]]-DAY(Table6[[#This Row],[Date]])+1</f>
        <v>45748</v>
      </c>
      <c r="F276" s="285">
        <v>45757</v>
      </c>
      <c r="G276" s="79" t="s">
        <v>118</v>
      </c>
      <c r="H276" s="79" t="str">
        <f>IFERROR(_xlfn.XLOOKUP(Table6[[#This Row],[Affected Feeder ]],'Basic Data'!$A:$A,'Basic Data'!$B:$B),"")</f>
        <v>PWEPL</v>
      </c>
      <c r="I276" s="79" t="str">
        <f>IFERROR(_xlfn.XLOOKUP(Table6[[#This Row],[Affected Feeder ]],'Basic Data'!$A:$A,'Basic Data'!$C:$C),"")</f>
        <v>MSEDCL</v>
      </c>
      <c r="J276" s="295">
        <f>IFERROR(_xlfn.XLOOKUP(Table6[[#This Row],[Affected Feeder ]],'Basic Data'!$A:$A,'Basic Data'!$E:$E),"")</f>
        <v>2.2727272727272728E-2</v>
      </c>
      <c r="K276" s="296" t="s">
        <v>171</v>
      </c>
      <c r="L276" s="297">
        <v>0.36041666666666666</v>
      </c>
      <c r="M276" s="297">
        <v>0.36041666666666666</v>
      </c>
      <c r="N276" s="297">
        <v>0.36736111111111108</v>
      </c>
      <c r="O276" s="19">
        <f>(Table6[[#This Row],[Work Start TimeStamp]]-Table6[[#This Row],[Fault Start TimeStamp]])*24</f>
        <v>0</v>
      </c>
      <c r="P276" s="19">
        <f>(Table6[[#This Row],[Fault Clearance time]]-Table6[[#This Row],[Fault Start TimeStamp]])*24</f>
        <v>0.16666666666666607</v>
      </c>
      <c r="Q276" s="19">
        <f>(Table6[[#This Row],[Fault Clearance time]]-Table6[[#This Row],[Fault Start TimeStamp]])*24</f>
        <v>0.16666666666666607</v>
      </c>
      <c r="R276" s="79" t="s">
        <v>353</v>
      </c>
      <c r="S276" s="79" t="s">
        <v>339</v>
      </c>
      <c r="T276" s="298">
        <f>IFERROR(Table6[[#This Row],[Breakdown Time]]*Table6[[#This Row],[Plant Equivalent Weightage]],"")</f>
        <v>3.7878787878787745E-3</v>
      </c>
      <c r="U276" s="79" t="s">
        <v>416</v>
      </c>
      <c r="W276" s="79">
        <v>41</v>
      </c>
    </row>
    <row r="277" spans="1:23">
      <c r="A277" s="79">
        <f t="shared" si="4"/>
        <v>276</v>
      </c>
      <c r="B277" s="79">
        <f>YEAR(Table6[[#This Row],[Date]])+IF(MONTH(Table6[[#This Row],[Date]])&gt;=4,1,0)</f>
        <v>2026</v>
      </c>
      <c r="C277" s="79">
        <f>YEAR(Table6[[#This Row],[Date]])</f>
        <v>2025</v>
      </c>
      <c r="D277" s="79" t="s">
        <v>344</v>
      </c>
      <c r="E277" s="284">
        <f>Table6[[#This Row],[Date]]-DAY(Table6[[#This Row],[Date]])+1</f>
        <v>45748</v>
      </c>
      <c r="F277" s="285">
        <v>45757</v>
      </c>
      <c r="G277" s="79" t="s">
        <v>103</v>
      </c>
      <c r="H277" s="79" t="str">
        <f>IFERROR(_xlfn.XLOOKUP(Table6[[#This Row],[Affected Feeder ]],'Basic Data'!$A:$A,'Basic Data'!$B:$B),"")</f>
        <v>PWEPL</v>
      </c>
      <c r="I277" s="79" t="str">
        <f>IFERROR(_xlfn.XLOOKUP(Table6[[#This Row],[Affected Feeder ]],'Basic Data'!$A:$A,'Basic Data'!$C:$C),"")</f>
        <v>MSEDCL</v>
      </c>
      <c r="J277" s="295">
        <f>IFERROR(_xlfn.XLOOKUP(Table6[[#This Row],[Affected Feeder ]],'Basic Data'!$A:$A,'Basic Data'!$E:$E),"")</f>
        <v>2.2727272727272728E-2</v>
      </c>
      <c r="K277" s="296" t="s">
        <v>414</v>
      </c>
      <c r="L277" s="297">
        <v>0.85277777777777775</v>
      </c>
      <c r="M277" s="297">
        <v>0.85277777777777775</v>
      </c>
      <c r="N277" s="297">
        <v>0.875</v>
      </c>
      <c r="O277" s="19">
        <f>(Table6[[#This Row],[Work Start TimeStamp]]-Table6[[#This Row],[Fault Start TimeStamp]])*24</f>
        <v>0</v>
      </c>
      <c r="P277" s="19">
        <f>(Table6[[#This Row],[Fault Clearance time]]-Table6[[#This Row],[Fault Start TimeStamp]])*24</f>
        <v>0.5333333333333341</v>
      </c>
      <c r="Q277" s="19">
        <f>(Table6[[#This Row],[Fault Clearance time]]-Table6[[#This Row],[Fault Start TimeStamp]])*24</f>
        <v>0.5333333333333341</v>
      </c>
      <c r="R277" s="79" t="s">
        <v>451</v>
      </c>
      <c r="S277" s="79" t="s">
        <v>339</v>
      </c>
      <c r="T277" s="298">
        <f>IFERROR(Table6[[#This Row],[Breakdown Time]]*Table6[[#This Row],[Plant Equivalent Weightage]],"")</f>
        <v>1.2121212121212139E-2</v>
      </c>
      <c r="U277" s="79" t="s">
        <v>416</v>
      </c>
      <c r="W277" s="79">
        <v>132</v>
      </c>
    </row>
    <row r="278" spans="1:23">
      <c r="A278" s="79">
        <f t="shared" si="4"/>
        <v>277</v>
      </c>
      <c r="B278" s="79">
        <f>YEAR(Table6[[#This Row],[Date]])+IF(MONTH(Table6[[#This Row],[Date]])&gt;=4,1,0)</f>
        <v>2026</v>
      </c>
      <c r="C278" s="79">
        <f>YEAR(Table6[[#This Row],[Date]])</f>
        <v>2025</v>
      </c>
      <c r="D278" s="79" t="s">
        <v>344</v>
      </c>
      <c r="E278" s="284">
        <f>Table6[[#This Row],[Date]]-DAY(Table6[[#This Row],[Date]])+1</f>
        <v>45748</v>
      </c>
      <c r="F278" s="285">
        <v>45757</v>
      </c>
      <c r="G278" s="79" t="s">
        <v>103</v>
      </c>
      <c r="H278" s="79" t="str">
        <f>IFERROR(_xlfn.XLOOKUP(Table6[[#This Row],[Affected Feeder ]],'Basic Data'!$A:$A,'Basic Data'!$B:$B),"")</f>
        <v>PWEPL</v>
      </c>
      <c r="I278" s="79" t="str">
        <f>IFERROR(_xlfn.XLOOKUP(Table6[[#This Row],[Affected Feeder ]],'Basic Data'!$A:$A,'Basic Data'!$C:$C),"")</f>
        <v>MSEDCL</v>
      </c>
      <c r="J278" s="295">
        <f>IFERROR(_xlfn.XLOOKUP(Table6[[#This Row],[Affected Feeder ]],'Basic Data'!$A:$A,'Basic Data'!$E:$E),"")</f>
        <v>2.2727272727272728E-2</v>
      </c>
      <c r="K278" s="296" t="s">
        <v>171</v>
      </c>
      <c r="L278" s="297">
        <v>0.875</v>
      </c>
      <c r="M278" s="297">
        <v>0.875</v>
      </c>
      <c r="N278" s="297">
        <v>0.88680555555555562</v>
      </c>
      <c r="O278" s="19">
        <f>(Table6[[#This Row],[Work Start TimeStamp]]-Table6[[#This Row],[Fault Start TimeStamp]])*24</f>
        <v>0</v>
      </c>
      <c r="P278" s="19">
        <f>(Table6[[#This Row],[Fault Clearance time]]-Table6[[#This Row],[Fault Start TimeStamp]])*24</f>
        <v>0.28333333333333499</v>
      </c>
      <c r="Q278" s="19">
        <f>(Table6[[#This Row],[Fault Clearance time]]-Table6[[#This Row],[Fault Start TimeStamp]])*24</f>
        <v>0.28333333333333499</v>
      </c>
      <c r="R278" s="79" t="s">
        <v>353</v>
      </c>
      <c r="S278" s="79" t="s">
        <v>339</v>
      </c>
      <c r="T278" s="298">
        <f>IFERROR(Table6[[#This Row],[Breakdown Time]]*Table6[[#This Row],[Plant Equivalent Weightage]],"")</f>
        <v>6.4393939393939774E-3</v>
      </c>
      <c r="U278" s="79" t="s">
        <v>416</v>
      </c>
      <c r="W278" s="79">
        <v>70</v>
      </c>
    </row>
    <row r="279" spans="1:23">
      <c r="A279" s="79">
        <f t="shared" si="4"/>
        <v>278</v>
      </c>
      <c r="B279" s="79">
        <f>YEAR(Table6[[#This Row],[Date]])+IF(MONTH(Table6[[#This Row],[Date]])&gt;=4,1,0)</f>
        <v>2026</v>
      </c>
      <c r="C279" s="79">
        <f>YEAR(Table6[[#This Row],[Date]])</f>
        <v>2025</v>
      </c>
      <c r="D279" s="79" t="s">
        <v>344</v>
      </c>
      <c r="E279" s="284">
        <f>Table6[[#This Row],[Date]]-DAY(Table6[[#This Row],[Date]])+1</f>
        <v>45748</v>
      </c>
      <c r="F279" s="285">
        <v>45757</v>
      </c>
      <c r="G279" s="79" t="s">
        <v>105</v>
      </c>
      <c r="H279" s="79" t="str">
        <f>IFERROR(_xlfn.XLOOKUP(Table6[[#This Row],[Affected Feeder ]],'Basic Data'!$A:$A,'Basic Data'!$B:$B),"")</f>
        <v>PWEPL</v>
      </c>
      <c r="I279" s="79" t="str">
        <f>IFERROR(_xlfn.XLOOKUP(Table6[[#This Row],[Affected Feeder ]],'Basic Data'!$A:$A,'Basic Data'!$C:$C),"")</f>
        <v>MSEDCL</v>
      </c>
      <c r="J279" s="295">
        <f>IFERROR(_xlfn.XLOOKUP(Table6[[#This Row],[Affected Feeder ]],'Basic Data'!$A:$A,'Basic Data'!$E:$E),"")</f>
        <v>2.2727272727272728E-2</v>
      </c>
      <c r="K279" s="296" t="s">
        <v>414</v>
      </c>
      <c r="L279" s="297">
        <v>0.85277777777777775</v>
      </c>
      <c r="M279" s="297">
        <v>0.85277777777777775</v>
      </c>
      <c r="N279" s="297">
        <v>0.875</v>
      </c>
      <c r="O279" s="19">
        <f>(Table6[[#This Row],[Work Start TimeStamp]]-Table6[[#This Row],[Fault Start TimeStamp]])*24</f>
        <v>0</v>
      </c>
      <c r="P279" s="19">
        <f>(Table6[[#This Row],[Fault Clearance time]]-Table6[[#This Row],[Fault Start TimeStamp]])*24</f>
        <v>0.5333333333333341</v>
      </c>
      <c r="Q279" s="19">
        <f>(Table6[[#This Row],[Fault Clearance time]]-Table6[[#This Row],[Fault Start TimeStamp]])*24</f>
        <v>0.5333333333333341</v>
      </c>
      <c r="R279" s="79" t="s">
        <v>451</v>
      </c>
      <c r="S279" s="79" t="s">
        <v>339</v>
      </c>
      <c r="T279" s="298">
        <f>IFERROR(Table6[[#This Row],[Breakdown Time]]*Table6[[#This Row],[Plant Equivalent Weightage]],"")</f>
        <v>1.2121212121212139E-2</v>
      </c>
      <c r="U279" s="79" t="s">
        <v>416</v>
      </c>
      <c r="W279" s="79">
        <v>132</v>
      </c>
    </row>
    <row r="280" spans="1:23">
      <c r="A280" s="79">
        <f t="shared" si="4"/>
        <v>279</v>
      </c>
      <c r="B280" s="79">
        <f>YEAR(Table6[[#This Row],[Date]])+IF(MONTH(Table6[[#This Row],[Date]])&gt;=4,1,0)</f>
        <v>2026</v>
      </c>
      <c r="C280" s="79">
        <f>YEAR(Table6[[#This Row],[Date]])</f>
        <v>2025</v>
      </c>
      <c r="D280" s="79" t="s">
        <v>344</v>
      </c>
      <c r="E280" s="284">
        <f>Table6[[#This Row],[Date]]-DAY(Table6[[#This Row],[Date]])+1</f>
        <v>45748</v>
      </c>
      <c r="F280" s="285">
        <v>45757</v>
      </c>
      <c r="G280" s="79" t="s">
        <v>105</v>
      </c>
      <c r="H280" s="79" t="str">
        <f>IFERROR(_xlfn.XLOOKUP(Table6[[#This Row],[Affected Feeder ]],'Basic Data'!$A:$A,'Basic Data'!$B:$B),"")</f>
        <v>PWEPL</v>
      </c>
      <c r="I280" s="79" t="str">
        <f>IFERROR(_xlfn.XLOOKUP(Table6[[#This Row],[Affected Feeder ]],'Basic Data'!$A:$A,'Basic Data'!$C:$C),"")</f>
        <v>MSEDCL</v>
      </c>
      <c r="J280" s="295">
        <f>IFERROR(_xlfn.XLOOKUP(Table6[[#This Row],[Affected Feeder ]],'Basic Data'!$A:$A,'Basic Data'!$E:$E),"")</f>
        <v>2.2727272727272728E-2</v>
      </c>
      <c r="K280" s="296" t="s">
        <v>171</v>
      </c>
      <c r="L280" s="297">
        <v>0.875</v>
      </c>
      <c r="M280" s="297">
        <v>0.875</v>
      </c>
      <c r="N280" s="297">
        <v>0.88194444444444453</v>
      </c>
      <c r="O280" s="19">
        <f>(Table6[[#This Row],[Work Start TimeStamp]]-Table6[[#This Row],[Fault Start TimeStamp]])*24</f>
        <v>0</v>
      </c>
      <c r="P280" s="19">
        <f>(Table6[[#This Row],[Fault Clearance time]]-Table6[[#This Row],[Fault Start TimeStamp]])*24</f>
        <v>0.16666666666666874</v>
      </c>
      <c r="Q280" s="19">
        <f>(Table6[[#This Row],[Fault Clearance time]]-Table6[[#This Row],[Fault Start TimeStamp]])*24</f>
        <v>0.16666666666666874</v>
      </c>
      <c r="R280" s="79" t="s">
        <v>353</v>
      </c>
      <c r="S280" s="79" t="s">
        <v>339</v>
      </c>
      <c r="T280" s="298">
        <f>IFERROR(Table6[[#This Row],[Breakdown Time]]*Table6[[#This Row],[Plant Equivalent Weightage]],"")</f>
        <v>3.7878787878788353E-3</v>
      </c>
      <c r="U280" s="79" t="s">
        <v>416</v>
      </c>
      <c r="W280" s="79">
        <v>41</v>
      </c>
    </row>
    <row r="281" spans="1:23">
      <c r="A281" s="79">
        <f t="shared" si="4"/>
        <v>280</v>
      </c>
      <c r="B281" s="79">
        <f>YEAR(Table6[[#This Row],[Date]])+IF(MONTH(Table6[[#This Row],[Date]])&gt;=4,1,0)</f>
        <v>2026</v>
      </c>
      <c r="C281" s="79">
        <f>YEAR(Table6[[#This Row],[Date]])</f>
        <v>2025</v>
      </c>
      <c r="D281" s="79" t="s">
        <v>344</v>
      </c>
      <c r="E281" s="284">
        <f>Table6[[#This Row],[Date]]-DAY(Table6[[#This Row],[Date]])+1</f>
        <v>45748</v>
      </c>
      <c r="F281" s="285">
        <v>45757</v>
      </c>
      <c r="G281" s="79" t="s">
        <v>115</v>
      </c>
      <c r="H281" s="79" t="str">
        <f>IFERROR(_xlfn.XLOOKUP(Table6[[#This Row],[Affected Feeder ]],'Basic Data'!$A:$A,'Basic Data'!$B:$B),"")</f>
        <v>PWEPL</v>
      </c>
      <c r="I281" s="79" t="str">
        <f>IFERROR(_xlfn.XLOOKUP(Table6[[#This Row],[Affected Feeder ]],'Basic Data'!$A:$A,'Basic Data'!$C:$C),"")</f>
        <v>MSEDCL</v>
      </c>
      <c r="J281" s="295">
        <f>IFERROR(_xlfn.XLOOKUP(Table6[[#This Row],[Affected Feeder ]],'Basic Data'!$A:$A,'Basic Data'!$E:$E),"")</f>
        <v>2.2727272727272728E-2</v>
      </c>
      <c r="K281" s="296" t="s">
        <v>414</v>
      </c>
      <c r="L281" s="297">
        <v>0.85277777777777775</v>
      </c>
      <c r="M281" s="297">
        <v>0.85277777777777775</v>
      </c>
      <c r="N281" s="297">
        <v>0.875</v>
      </c>
      <c r="O281" s="19">
        <f>(Table6[[#This Row],[Work Start TimeStamp]]-Table6[[#This Row],[Fault Start TimeStamp]])*24</f>
        <v>0</v>
      </c>
      <c r="P281" s="19">
        <f>(Table6[[#This Row],[Fault Clearance time]]-Table6[[#This Row],[Fault Start TimeStamp]])*24</f>
        <v>0.5333333333333341</v>
      </c>
      <c r="Q281" s="19">
        <f>(Table6[[#This Row],[Fault Clearance time]]-Table6[[#This Row],[Fault Start TimeStamp]])*24</f>
        <v>0.5333333333333341</v>
      </c>
      <c r="R281" s="79" t="s">
        <v>451</v>
      </c>
      <c r="S281" s="79" t="s">
        <v>339</v>
      </c>
      <c r="T281" s="298">
        <f>IFERROR(Table6[[#This Row],[Breakdown Time]]*Table6[[#This Row],[Plant Equivalent Weightage]],"")</f>
        <v>1.2121212121212139E-2</v>
      </c>
      <c r="U281" s="79" t="s">
        <v>416</v>
      </c>
      <c r="W281" s="79">
        <v>132</v>
      </c>
    </row>
    <row r="282" spans="1:23">
      <c r="A282" s="79">
        <f t="shared" si="4"/>
        <v>281</v>
      </c>
      <c r="B282" s="79">
        <f>YEAR(Table6[[#This Row],[Date]])+IF(MONTH(Table6[[#This Row],[Date]])&gt;=4,1,0)</f>
        <v>2026</v>
      </c>
      <c r="C282" s="79">
        <f>YEAR(Table6[[#This Row],[Date]])</f>
        <v>2025</v>
      </c>
      <c r="D282" s="79" t="s">
        <v>344</v>
      </c>
      <c r="E282" s="284">
        <f>Table6[[#This Row],[Date]]-DAY(Table6[[#This Row],[Date]])+1</f>
        <v>45748</v>
      </c>
      <c r="F282" s="285">
        <v>45757</v>
      </c>
      <c r="G282" s="79" t="s">
        <v>115</v>
      </c>
      <c r="H282" s="79" t="str">
        <f>IFERROR(_xlfn.XLOOKUP(Table6[[#This Row],[Affected Feeder ]],'Basic Data'!$A:$A,'Basic Data'!$B:$B),"")</f>
        <v>PWEPL</v>
      </c>
      <c r="I282" s="79" t="str">
        <f>IFERROR(_xlfn.XLOOKUP(Table6[[#This Row],[Affected Feeder ]],'Basic Data'!$A:$A,'Basic Data'!$C:$C),"")</f>
        <v>MSEDCL</v>
      </c>
      <c r="J282" s="295">
        <f>IFERROR(_xlfn.XLOOKUP(Table6[[#This Row],[Affected Feeder ]],'Basic Data'!$A:$A,'Basic Data'!$E:$E),"")</f>
        <v>2.2727272727272728E-2</v>
      </c>
      <c r="K282" s="296" t="s">
        <v>171</v>
      </c>
      <c r="L282" s="297">
        <v>0.875</v>
      </c>
      <c r="M282" s="297">
        <v>0.875</v>
      </c>
      <c r="N282" s="297">
        <v>0.88611111111111107</v>
      </c>
      <c r="O282" s="19">
        <f>(Table6[[#This Row],[Work Start TimeStamp]]-Table6[[#This Row],[Fault Start TimeStamp]])*24</f>
        <v>0</v>
      </c>
      <c r="P282" s="19">
        <f>(Table6[[#This Row],[Fault Clearance time]]-Table6[[#This Row],[Fault Start TimeStamp]])*24</f>
        <v>0.26666666666666572</v>
      </c>
      <c r="Q282" s="19">
        <f>(Table6[[#This Row],[Fault Clearance time]]-Table6[[#This Row],[Fault Start TimeStamp]])*24</f>
        <v>0.26666666666666572</v>
      </c>
      <c r="R282" s="79" t="s">
        <v>353</v>
      </c>
      <c r="S282" s="79" t="s">
        <v>339</v>
      </c>
      <c r="T282" s="298">
        <f>IFERROR(Table6[[#This Row],[Breakdown Time]]*Table6[[#This Row],[Plant Equivalent Weightage]],"")</f>
        <v>6.0606060606060389E-3</v>
      </c>
      <c r="U282" s="79" t="s">
        <v>416</v>
      </c>
      <c r="W282" s="79">
        <v>66</v>
      </c>
    </row>
    <row r="283" spans="1:23">
      <c r="A283" s="79">
        <f t="shared" si="4"/>
        <v>282</v>
      </c>
      <c r="B283" s="79">
        <f>YEAR(Table6[[#This Row],[Date]])+IF(MONTH(Table6[[#This Row],[Date]])&gt;=4,1,0)</f>
        <v>2026</v>
      </c>
      <c r="C283" s="79">
        <f>YEAR(Table6[[#This Row],[Date]])</f>
        <v>2025</v>
      </c>
      <c r="D283" s="79" t="s">
        <v>344</v>
      </c>
      <c r="E283" s="284">
        <f>Table6[[#This Row],[Date]]-DAY(Table6[[#This Row],[Date]])+1</f>
        <v>45748</v>
      </c>
      <c r="F283" s="285">
        <v>45757</v>
      </c>
      <c r="G283" s="79" t="s">
        <v>118</v>
      </c>
      <c r="H283" s="79" t="str">
        <f>IFERROR(_xlfn.XLOOKUP(Table6[[#This Row],[Affected Feeder ]],'Basic Data'!$A:$A,'Basic Data'!$B:$B),"")</f>
        <v>PWEPL</v>
      </c>
      <c r="I283" s="79" t="str">
        <f>IFERROR(_xlfn.XLOOKUP(Table6[[#This Row],[Affected Feeder ]],'Basic Data'!$A:$A,'Basic Data'!$C:$C),"")</f>
        <v>MSEDCL</v>
      </c>
      <c r="J283" s="295">
        <f>IFERROR(_xlfn.XLOOKUP(Table6[[#This Row],[Affected Feeder ]],'Basic Data'!$A:$A,'Basic Data'!$E:$E),"")</f>
        <v>2.2727272727272728E-2</v>
      </c>
      <c r="K283" s="296" t="s">
        <v>414</v>
      </c>
      <c r="L283" s="297">
        <v>0.85277777777777775</v>
      </c>
      <c r="M283" s="297">
        <v>0.85277777777777775</v>
      </c>
      <c r="N283" s="297">
        <v>0.875</v>
      </c>
      <c r="O283" s="19">
        <f>(Table6[[#This Row],[Work Start TimeStamp]]-Table6[[#This Row],[Fault Start TimeStamp]])*24</f>
        <v>0</v>
      </c>
      <c r="P283" s="19">
        <f>(Table6[[#This Row],[Fault Clearance time]]-Table6[[#This Row],[Fault Start TimeStamp]])*24</f>
        <v>0.5333333333333341</v>
      </c>
      <c r="Q283" s="19">
        <f>(Table6[[#This Row],[Fault Clearance time]]-Table6[[#This Row],[Fault Start TimeStamp]])*24</f>
        <v>0.5333333333333341</v>
      </c>
      <c r="R283" s="79" t="s">
        <v>451</v>
      </c>
      <c r="S283" s="79" t="s">
        <v>339</v>
      </c>
      <c r="T283" s="298">
        <f>IFERROR(Table6[[#This Row],[Breakdown Time]]*Table6[[#This Row],[Plant Equivalent Weightage]],"")</f>
        <v>1.2121212121212139E-2</v>
      </c>
      <c r="U283" s="79" t="s">
        <v>416</v>
      </c>
      <c r="W283" s="79">
        <v>132</v>
      </c>
    </row>
    <row r="284" spans="1:23">
      <c r="A284" s="79">
        <f t="shared" si="4"/>
        <v>283</v>
      </c>
      <c r="B284" s="79">
        <f>YEAR(Table6[[#This Row],[Date]])+IF(MONTH(Table6[[#This Row],[Date]])&gt;=4,1,0)</f>
        <v>2026</v>
      </c>
      <c r="C284" s="79">
        <f>YEAR(Table6[[#This Row],[Date]])</f>
        <v>2025</v>
      </c>
      <c r="D284" s="79" t="s">
        <v>344</v>
      </c>
      <c r="E284" s="284">
        <f>Table6[[#This Row],[Date]]-DAY(Table6[[#This Row],[Date]])+1</f>
        <v>45748</v>
      </c>
      <c r="F284" s="285">
        <v>45757</v>
      </c>
      <c r="G284" s="79" t="s">
        <v>118</v>
      </c>
      <c r="H284" s="79" t="str">
        <f>IFERROR(_xlfn.XLOOKUP(Table6[[#This Row],[Affected Feeder ]],'Basic Data'!$A:$A,'Basic Data'!$B:$B),"")</f>
        <v>PWEPL</v>
      </c>
      <c r="I284" s="79" t="str">
        <f>IFERROR(_xlfn.XLOOKUP(Table6[[#This Row],[Affected Feeder ]],'Basic Data'!$A:$A,'Basic Data'!$C:$C),"")</f>
        <v>MSEDCL</v>
      </c>
      <c r="J284" s="295">
        <f>IFERROR(_xlfn.XLOOKUP(Table6[[#This Row],[Affected Feeder ]],'Basic Data'!$A:$A,'Basic Data'!$E:$E),"")</f>
        <v>2.2727272727272728E-2</v>
      </c>
      <c r="K284" s="296" t="s">
        <v>171</v>
      </c>
      <c r="L284" s="297">
        <v>0.875</v>
      </c>
      <c r="M284" s="297">
        <v>0.875</v>
      </c>
      <c r="N284" s="297">
        <v>0.88124999999999998</v>
      </c>
      <c r="O284" s="19">
        <f>(Table6[[#This Row],[Work Start TimeStamp]]-Table6[[#This Row],[Fault Start TimeStamp]])*24</f>
        <v>0</v>
      </c>
      <c r="P284" s="19">
        <f>(Table6[[#This Row],[Fault Clearance time]]-Table6[[#This Row],[Fault Start TimeStamp]])*24</f>
        <v>0.14999999999999947</v>
      </c>
      <c r="Q284" s="19">
        <f>(Table6[[#This Row],[Fault Clearance time]]-Table6[[#This Row],[Fault Start TimeStamp]])*24</f>
        <v>0.14999999999999947</v>
      </c>
      <c r="R284" s="79" t="s">
        <v>353</v>
      </c>
      <c r="S284" s="79" t="s">
        <v>339</v>
      </c>
      <c r="T284" s="298">
        <f>IFERROR(Table6[[#This Row],[Breakdown Time]]*Table6[[#This Row],[Plant Equivalent Weightage]],"")</f>
        <v>3.4090909090908972E-3</v>
      </c>
      <c r="U284" s="79" t="s">
        <v>416</v>
      </c>
      <c r="W284" s="79">
        <v>37</v>
      </c>
    </row>
    <row r="285" spans="1:23">
      <c r="A285" s="79">
        <f t="shared" si="4"/>
        <v>284</v>
      </c>
      <c r="B285" s="79">
        <f>YEAR(Table6[[#This Row],[Date]])+IF(MONTH(Table6[[#This Row],[Date]])&gt;=4,1,0)</f>
        <v>2026</v>
      </c>
      <c r="C285" s="79">
        <f>YEAR(Table6[[#This Row],[Date]])</f>
        <v>2025</v>
      </c>
      <c r="D285" s="79" t="s">
        <v>344</v>
      </c>
      <c r="E285" s="284">
        <f>Table6[[#This Row],[Date]]-DAY(Table6[[#This Row],[Date]])+1</f>
        <v>45748</v>
      </c>
      <c r="F285" s="285">
        <v>45758</v>
      </c>
      <c r="G285" s="79" t="s">
        <v>103</v>
      </c>
      <c r="H285" s="79" t="str">
        <f>IFERROR(_xlfn.XLOOKUP(Table6[[#This Row],[Affected Feeder ]],'Basic Data'!$A:$A,'Basic Data'!$B:$B),"")</f>
        <v>PWEPL</v>
      </c>
      <c r="I285" s="79" t="str">
        <f>IFERROR(_xlfn.XLOOKUP(Table6[[#This Row],[Affected Feeder ]],'Basic Data'!$A:$A,'Basic Data'!$C:$C),"")</f>
        <v>MSEDCL</v>
      </c>
      <c r="J285" s="295">
        <f>IFERROR(_xlfn.XLOOKUP(Table6[[#This Row],[Affected Feeder ]],'Basic Data'!$A:$A,'Basic Data'!$E:$E),"")</f>
        <v>2.2727272727272728E-2</v>
      </c>
      <c r="K285" s="296" t="s">
        <v>414</v>
      </c>
      <c r="L285" s="297">
        <v>0.46875</v>
      </c>
      <c r="M285" s="297">
        <v>0.46875</v>
      </c>
      <c r="N285" s="297">
        <v>0.87638888888888899</v>
      </c>
      <c r="O285" s="19">
        <f>(Table6[[#This Row],[Work Start TimeStamp]]-Table6[[#This Row],[Fault Start TimeStamp]])*24</f>
        <v>0</v>
      </c>
      <c r="P285" s="19">
        <f>(Table6[[#This Row],[Fault Clearance time]]-Table6[[#This Row],[Fault Start TimeStamp]])*24</f>
        <v>9.783333333333335</v>
      </c>
      <c r="Q285" s="19">
        <f>(Table6[[#This Row],[Fault Clearance time]]-Table6[[#This Row],[Fault Start TimeStamp]])*24</f>
        <v>9.783333333333335</v>
      </c>
      <c r="R285" s="79" t="s">
        <v>452</v>
      </c>
      <c r="S285" s="79" t="s">
        <v>339</v>
      </c>
      <c r="T285" s="298">
        <f>IFERROR(Table6[[#This Row],[Breakdown Time]]*Table6[[#This Row],[Plant Equivalent Weightage]],"")</f>
        <v>0.22234848484848488</v>
      </c>
      <c r="U285" s="79" t="s">
        <v>416</v>
      </c>
      <c r="W285" s="79">
        <v>2168</v>
      </c>
    </row>
    <row r="286" spans="1:23">
      <c r="A286" s="79">
        <f t="shared" si="4"/>
        <v>285</v>
      </c>
      <c r="B286" s="79">
        <f>YEAR(Table6[[#This Row],[Date]])+IF(MONTH(Table6[[#This Row],[Date]])&gt;=4,1,0)</f>
        <v>2026</v>
      </c>
      <c r="C286" s="79">
        <f>YEAR(Table6[[#This Row],[Date]])</f>
        <v>2025</v>
      </c>
      <c r="D286" s="79" t="s">
        <v>344</v>
      </c>
      <c r="E286" s="284">
        <f>Table6[[#This Row],[Date]]-DAY(Table6[[#This Row],[Date]])+1</f>
        <v>45748</v>
      </c>
      <c r="F286" s="285">
        <v>45758</v>
      </c>
      <c r="G286" s="79" t="s">
        <v>103</v>
      </c>
      <c r="H286" s="79" t="str">
        <f>IFERROR(_xlfn.XLOOKUP(Table6[[#This Row],[Affected Feeder ]],'Basic Data'!$A:$A,'Basic Data'!$B:$B),"")</f>
        <v>PWEPL</v>
      </c>
      <c r="I286" s="79" t="str">
        <f>IFERROR(_xlfn.XLOOKUP(Table6[[#This Row],[Affected Feeder ]],'Basic Data'!$A:$A,'Basic Data'!$C:$C),"")</f>
        <v>MSEDCL</v>
      </c>
      <c r="J286" s="295">
        <f>IFERROR(_xlfn.XLOOKUP(Table6[[#This Row],[Affected Feeder ]],'Basic Data'!$A:$A,'Basic Data'!$E:$E),"")</f>
        <v>2.2727272727272728E-2</v>
      </c>
      <c r="K286" s="296" t="s">
        <v>171</v>
      </c>
      <c r="L286" s="297">
        <v>0.87638888888888899</v>
      </c>
      <c r="M286" s="297">
        <v>0.87638888888888899</v>
      </c>
      <c r="N286" s="297">
        <v>0.89027777777777783</v>
      </c>
      <c r="O286" s="19">
        <f>(Table6[[#This Row],[Work Start TimeStamp]]-Table6[[#This Row],[Fault Start TimeStamp]])*24</f>
        <v>0</v>
      </c>
      <c r="P286" s="19">
        <f>(Table6[[#This Row],[Fault Clearance time]]-Table6[[#This Row],[Fault Start TimeStamp]])*24</f>
        <v>0.33333333333333215</v>
      </c>
      <c r="Q286" s="19">
        <f>(Table6[[#This Row],[Fault Clearance time]]-Table6[[#This Row],[Fault Start TimeStamp]])*24</f>
        <v>0.33333333333333215</v>
      </c>
      <c r="R286" s="79" t="s">
        <v>353</v>
      </c>
      <c r="S286" s="79" t="s">
        <v>339</v>
      </c>
      <c r="T286" s="298">
        <f>IFERROR(Table6[[#This Row],[Breakdown Time]]*Table6[[#This Row],[Plant Equivalent Weightage]],"")</f>
        <v>7.5757575757575491E-3</v>
      </c>
      <c r="U286" s="79" t="s">
        <v>416</v>
      </c>
      <c r="W286" s="79">
        <v>74</v>
      </c>
    </row>
    <row r="287" spans="1:23">
      <c r="A287" s="79">
        <f t="shared" si="4"/>
        <v>286</v>
      </c>
      <c r="B287" s="79">
        <f>YEAR(Table6[[#This Row],[Date]])+IF(MONTH(Table6[[#This Row],[Date]])&gt;=4,1,0)</f>
        <v>2026</v>
      </c>
      <c r="C287" s="79">
        <f>YEAR(Table6[[#This Row],[Date]])</f>
        <v>2025</v>
      </c>
      <c r="D287" s="79" t="s">
        <v>344</v>
      </c>
      <c r="E287" s="284">
        <f>Table6[[#This Row],[Date]]-DAY(Table6[[#This Row],[Date]])+1</f>
        <v>45748</v>
      </c>
      <c r="F287" s="285">
        <v>45758</v>
      </c>
      <c r="G287" s="79" t="s">
        <v>105</v>
      </c>
      <c r="H287" s="79" t="str">
        <f>IFERROR(_xlfn.XLOOKUP(Table6[[#This Row],[Affected Feeder ]],'Basic Data'!$A:$A,'Basic Data'!$B:$B),"")</f>
        <v>PWEPL</v>
      </c>
      <c r="I287" s="79" t="str">
        <f>IFERROR(_xlfn.XLOOKUP(Table6[[#This Row],[Affected Feeder ]],'Basic Data'!$A:$A,'Basic Data'!$C:$C),"")</f>
        <v>MSEDCL</v>
      </c>
      <c r="J287" s="295">
        <f>IFERROR(_xlfn.XLOOKUP(Table6[[#This Row],[Affected Feeder ]],'Basic Data'!$A:$A,'Basic Data'!$E:$E),"")</f>
        <v>2.2727272727272728E-2</v>
      </c>
      <c r="K287" s="296" t="s">
        <v>414</v>
      </c>
      <c r="L287" s="297">
        <v>0.46875</v>
      </c>
      <c r="M287" s="297">
        <v>0.46875</v>
      </c>
      <c r="N287" s="297">
        <v>0.87638888888888899</v>
      </c>
      <c r="O287" s="19">
        <f>(Table6[[#This Row],[Work Start TimeStamp]]-Table6[[#This Row],[Fault Start TimeStamp]])*24</f>
        <v>0</v>
      </c>
      <c r="P287" s="19">
        <f>(Table6[[#This Row],[Fault Clearance time]]-Table6[[#This Row],[Fault Start TimeStamp]])*24</f>
        <v>9.783333333333335</v>
      </c>
      <c r="Q287" s="19">
        <f>(Table6[[#This Row],[Fault Clearance time]]-Table6[[#This Row],[Fault Start TimeStamp]])*24</f>
        <v>9.783333333333335</v>
      </c>
      <c r="R287" s="79" t="s">
        <v>453</v>
      </c>
      <c r="S287" s="79" t="s">
        <v>339</v>
      </c>
      <c r="T287" s="298">
        <f>IFERROR(Table6[[#This Row],[Breakdown Time]]*Table6[[#This Row],[Plant Equivalent Weightage]],"")</f>
        <v>0.22234848484848488</v>
      </c>
      <c r="U287" s="79" t="s">
        <v>416</v>
      </c>
      <c r="W287" s="79">
        <v>2168</v>
      </c>
    </row>
    <row r="288" spans="1:23">
      <c r="A288" s="79">
        <f t="shared" si="4"/>
        <v>287</v>
      </c>
      <c r="B288" s="79">
        <f>YEAR(Table6[[#This Row],[Date]])+IF(MONTH(Table6[[#This Row],[Date]])&gt;=4,1,0)</f>
        <v>2026</v>
      </c>
      <c r="C288" s="79">
        <f>YEAR(Table6[[#This Row],[Date]])</f>
        <v>2025</v>
      </c>
      <c r="D288" s="79" t="s">
        <v>344</v>
      </c>
      <c r="E288" s="284">
        <f>Table6[[#This Row],[Date]]-DAY(Table6[[#This Row],[Date]])+1</f>
        <v>45748</v>
      </c>
      <c r="F288" s="285">
        <v>45758</v>
      </c>
      <c r="G288" s="79" t="s">
        <v>105</v>
      </c>
      <c r="H288" s="79" t="str">
        <f>IFERROR(_xlfn.XLOOKUP(Table6[[#This Row],[Affected Feeder ]],'Basic Data'!$A:$A,'Basic Data'!$B:$B),"")</f>
        <v>PWEPL</v>
      </c>
      <c r="I288" s="79" t="str">
        <f>IFERROR(_xlfn.XLOOKUP(Table6[[#This Row],[Affected Feeder ]],'Basic Data'!$A:$A,'Basic Data'!$C:$C),"")</f>
        <v>MSEDCL</v>
      </c>
      <c r="J288" s="295">
        <f>IFERROR(_xlfn.XLOOKUP(Table6[[#This Row],[Affected Feeder ]],'Basic Data'!$A:$A,'Basic Data'!$E:$E),"")</f>
        <v>2.2727272727272728E-2</v>
      </c>
      <c r="K288" s="296" t="s">
        <v>171</v>
      </c>
      <c r="L288" s="297">
        <v>0.87638888888888899</v>
      </c>
      <c r="M288" s="297">
        <v>0.87638888888888899</v>
      </c>
      <c r="N288" s="297">
        <v>0.89027777777777783</v>
      </c>
      <c r="O288" s="19">
        <f>(Table6[[#This Row],[Work Start TimeStamp]]-Table6[[#This Row],[Fault Start TimeStamp]])*24</f>
        <v>0</v>
      </c>
      <c r="P288" s="19">
        <f>(Table6[[#This Row],[Fault Clearance time]]-Table6[[#This Row],[Fault Start TimeStamp]])*24</f>
        <v>0.33333333333333215</v>
      </c>
      <c r="Q288" s="19">
        <f>(Table6[[#This Row],[Fault Clearance time]]-Table6[[#This Row],[Fault Start TimeStamp]])*24</f>
        <v>0.33333333333333215</v>
      </c>
      <c r="R288" s="79" t="s">
        <v>353</v>
      </c>
      <c r="S288" s="79" t="s">
        <v>339</v>
      </c>
      <c r="T288" s="298">
        <f>IFERROR(Table6[[#This Row],[Breakdown Time]]*Table6[[#This Row],[Plant Equivalent Weightage]],"")</f>
        <v>7.5757575757575491E-3</v>
      </c>
      <c r="U288" s="79" t="s">
        <v>416</v>
      </c>
      <c r="W288" s="79">
        <v>74</v>
      </c>
    </row>
    <row r="289" spans="1:23">
      <c r="A289" s="79">
        <f t="shared" si="4"/>
        <v>288</v>
      </c>
      <c r="B289" s="79">
        <f>YEAR(Table6[[#This Row],[Date]])+IF(MONTH(Table6[[#This Row],[Date]])&gt;=4,1,0)</f>
        <v>2026</v>
      </c>
      <c r="C289" s="79">
        <f>YEAR(Table6[[#This Row],[Date]])</f>
        <v>2025</v>
      </c>
      <c r="D289" s="79" t="s">
        <v>344</v>
      </c>
      <c r="E289" s="284">
        <f>Table6[[#This Row],[Date]]-DAY(Table6[[#This Row],[Date]])+1</f>
        <v>45748</v>
      </c>
      <c r="F289" s="285">
        <v>45758</v>
      </c>
      <c r="G289" s="79" t="s">
        <v>115</v>
      </c>
      <c r="H289" s="79" t="str">
        <f>IFERROR(_xlfn.XLOOKUP(Table6[[#This Row],[Affected Feeder ]],'Basic Data'!$A:$A,'Basic Data'!$B:$B),"")</f>
        <v>PWEPL</v>
      </c>
      <c r="I289" s="79" t="str">
        <f>IFERROR(_xlfn.XLOOKUP(Table6[[#This Row],[Affected Feeder ]],'Basic Data'!$A:$A,'Basic Data'!$C:$C),"")</f>
        <v>MSEDCL</v>
      </c>
      <c r="J289" s="295">
        <f>IFERROR(_xlfn.XLOOKUP(Table6[[#This Row],[Affected Feeder ]],'Basic Data'!$A:$A,'Basic Data'!$E:$E),"")</f>
        <v>2.2727272727272728E-2</v>
      </c>
      <c r="K289" s="296" t="s">
        <v>414</v>
      </c>
      <c r="L289" s="297">
        <v>0.46875</v>
      </c>
      <c r="M289" s="297">
        <v>0.46875</v>
      </c>
      <c r="N289" s="297">
        <v>0.51597222222222217</v>
      </c>
      <c r="O289" s="19">
        <f>(Table6[[#This Row],[Work Start TimeStamp]]-Table6[[#This Row],[Fault Start TimeStamp]])*24</f>
        <v>0</v>
      </c>
      <c r="P289" s="19">
        <f>(Table6[[#This Row],[Fault Clearance time]]-Table6[[#This Row],[Fault Start TimeStamp]])*24</f>
        <v>1.133333333333332</v>
      </c>
      <c r="Q289" s="19">
        <f>(Table6[[#This Row],[Fault Clearance time]]-Table6[[#This Row],[Fault Start TimeStamp]])*24</f>
        <v>1.133333333333332</v>
      </c>
      <c r="R289" s="79" t="s">
        <v>454</v>
      </c>
      <c r="S289" s="79" t="s">
        <v>339</v>
      </c>
      <c r="T289" s="298">
        <f>IFERROR(Table6[[#This Row],[Breakdown Time]]*Table6[[#This Row],[Plant Equivalent Weightage]],"")</f>
        <v>2.5757575757575726E-2</v>
      </c>
      <c r="U289" s="79" t="s">
        <v>416</v>
      </c>
      <c r="W289" s="79">
        <v>251</v>
      </c>
    </row>
    <row r="290" spans="1:23">
      <c r="A290" s="79">
        <f t="shared" si="4"/>
        <v>289</v>
      </c>
      <c r="B290" s="79">
        <f>YEAR(Table6[[#This Row],[Date]])+IF(MONTH(Table6[[#This Row],[Date]])&gt;=4,1,0)</f>
        <v>2026</v>
      </c>
      <c r="C290" s="79">
        <f>YEAR(Table6[[#This Row],[Date]])</f>
        <v>2025</v>
      </c>
      <c r="D290" s="79" t="s">
        <v>344</v>
      </c>
      <c r="E290" s="284">
        <f>Table6[[#This Row],[Date]]-DAY(Table6[[#This Row],[Date]])+1</f>
        <v>45748</v>
      </c>
      <c r="F290" s="285">
        <v>45758</v>
      </c>
      <c r="G290" s="79" t="s">
        <v>115</v>
      </c>
      <c r="H290" s="79" t="str">
        <f>IFERROR(_xlfn.XLOOKUP(Table6[[#This Row],[Affected Feeder ]],'Basic Data'!$A:$A,'Basic Data'!$B:$B),"")</f>
        <v>PWEPL</v>
      </c>
      <c r="I290" s="79" t="str">
        <f>IFERROR(_xlfn.XLOOKUP(Table6[[#This Row],[Affected Feeder ]],'Basic Data'!$A:$A,'Basic Data'!$C:$C),"")</f>
        <v>MSEDCL</v>
      </c>
      <c r="J290" s="295">
        <f>IFERROR(_xlfn.XLOOKUP(Table6[[#This Row],[Affected Feeder ]],'Basic Data'!$A:$A,'Basic Data'!$E:$E),"")</f>
        <v>2.2727272727272728E-2</v>
      </c>
      <c r="K290" s="296" t="s">
        <v>171</v>
      </c>
      <c r="L290" s="297">
        <v>0.51597222222222217</v>
      </c>
      <c r="M290" s="297">
        <v>0.51597222222222217</v>
      </c>
      <c r="N290" s="297">
        <v>0.52986111111111112</v>
      </c>
      <c r="O290" s="19">
        <f>(Table6[[#This Row],[Work Start TimeStamp]]-Table6[[#This Row],[Fault Start TimeStamp]])*24</f>
        <v>0</v>
      </c>
      <c r="P290" s="19">
        <f>(Table6[[#This Row],[Fault Clearance time]]-Table6[[#This Row],[Fault Start TimeStamp]])*24</f>
        <v>0.33333333333333481</v>
      </c>
      <c r="Q290" s="19">
        <f>(Table6[[#This Row],[Fault Clearance time]]-Table6[[#This Row],[Fault Start TimeStamp]])*24</f>
        <v>0.33333333333333481</v>
      </c>
      <c r="R290" s="79" t="s">
        <v>353</v>
      </c>
      <c r="S290" s="79" t="s">
        <v>339</v>
      </c>
      <c r="T290" s="298">
        <f>IFERROR(Table6[[#This Row],[Breakdown Time]]*Table6[[#This Row],[Plant Equivalent Weightage]],"")</f>
        <v>7.5757575757576098E-3</v>
      </c>
      <c r="U290" s="79" t="s">
        <v>416</v>
      </c>
      <c r="W290" s="79">
        <v>74</v>
      </c>
    </row>
    <row r="291" spans="1:23">
      <c r="A291" s="79">
        <f t="shared" si="4"/>
        <v>290</v>
      </c>
      <c r="B291" s="79">
        <f>YEAR(Table6[[#This Row],[Date]])+IF(MONTH(Table6[[#This Row],[Date]])&gt;=4,1,0)</f>
        <v>2026</v>
      </c>
      <c r="C291" s="79">
        <f>YEAR(Table6[[#This Row],[Date]])</f>
        <v>2025</v>
      </c>
      <c r="D291" s="79" t="s">
        <v>344</v>
      </c>
      <c r="E291" s="284">
        <f>Table6[[#This Row],[Date]]-DAY(Table6[[#This Row],[Date]])+1</f>
        <v>45748</v>
      </c>
      <c r="F291" s="285">
        <v>45758</v>
      </c>
      <c r="G291" s="79" t="s">
        <v>116</v>
      </c>
      <c r="H291" s="79" t="str">
        <f>IFERROR(_xlfn.XLOOKUP(Table6[[#This Row],[Affected Feeder ]],'Basic Data'!$A:$A,'Basic Data'!$B:$B),"")</f>
        <v>PWEPL</v>
      </c>
      <c r="I291" s="79" t="str">
        <f>IFERROR(_xlfn.XLOOKUP(Table6[[#This Row],[Affected Feeder ]],'Basic Data'!$A:$A,'Basic Data'!$C:$C),"")</f>
        <v>MSEDCL</v>
      </c>
      <c r="J291" s="295">
        <f>IFERROR(_xlfn.XLOOKUP(Table6[[#This Row],[Affected Feeder ]],'Basic Data'!$A:$A,'Basic Data'!$E:$E),"")</f>
        <v>2.2727272727272728E-2</v>
      </c>
      <c r="K291" s="296" t="s">
        <v>414</v>
      </c>
      <c r="L291" s="297">
        <v>0.46875</v>
      </c>
      <c r="M291" s="297">
        <v>0.46875</v>
      </c>
      <c r="N291" s="297">
        <v>0.51597222222222217</v>
      </c>
      <c r="O291" s="19">
        <f>(Table6[[#This Row],[Work Start TimeStamp]]-Table6[[#This Row],[Fault Start TimeStamp]])*24</f>
        <v>0</v>
      </c>
      <c r="P291" s="19">
        <f>(Table6[[#This Row],[Fault Clearance time]]-Table6[[#This Row],[Fault Start TimeStamp]])*24</f>
        <v>1.133333333333332</v>
      </c>
      <c r="Q291" s="19">
        <f>(Table6[[#This Row],[Fault Clearance time]]-Table6[[#This Row],[Fault Start TimeStamp]])*24</f>
        <v>1.133333333333332</v>
      </c>
      <c r="R291" s="79" t="s">
        <v>454</v>
      </c>
      <c r="S291" s="79" t="s">
        <v>339</v>
      </c>
      <c r="T291" s="298">
        <f>IFERROR(Table6[[#This Row],[Breakdown Time]]*Table6[[#This Row],[Plant Equivalent Weightage]],"")</f>
        <v>2.5757575757575726E-2</v>
      </c>
      <c r="U291" s="79" t="s">
        <v>416</v>
      </c>
      <c r="W291" s="79">
        <v>251</v>
      </c>
    </row>
    <row r="292" spans="1:23">
      <c r="A292" s="79">
        <f t="shared" si="4"/>
        <v>291</v>
      </c>
      <c r="B292" s="79">
        <f>YEAR(Table6[[#This Row],[Date]])+IF(MONTH(Table6[[#This Row],[Date]])&gt;=4,1,0)</f>
        <v>2026</v>
      </c>
      <c r="C292" s="79">
        <f>YEAR(Table6[[#This Row],[Date]])</f>
        <v>2025</v>
      </c>
      <c r="D292" s="79" t="s">
        <v>344</v>
      </c>
      <c r="E292" s="284">
        <f>Table6[[#This Row],[Date]]-DAY(Table6[[#This Row],[Date]])+1</f>
        <v>45748</v>
      </c>
      <c r="F292" s="285">
        <v>45758</v>
      </c>
      <c r="G292" s="79" t="s">
        <v>116</v>
      </c>
      <c r="H292" s="79" t="str">
        <f>IFERROR(_xlfn.XLOOKUP(Table6[[#This Row],[Affected Feeder ]],'Basic Data'!$A:$A,'Basic Data'!$B:$B),"")</f>
        <v>PWEPL</v>
      </c>
      <c r="I292" s="79" t="str">
        <f>IFERROR(_xlfn.XLOOKUP(Table6[[#This Row],[Affected Feeder ]],'Basic Data'!$A:$A,'Basic Data'!$C:$C),"")</f>
        <v>MSEDCL</v>
      </c>
      <c r="J292" s="295">
        <f>IFERROR(_xlfn.XLOOKUP(Table6[[#This Row],[Affected Feeder ]],'Basic Data'!$A:$A,'Basic Data'!$E:$E),"")</f>
        <v>2.2727272727272728E-2</v>
      </c>
      <c r="K292" s="296" t="s">
        <v>171</v>
      </c>
      <c r="L292" s="297">
        <v>0.51597222222222217</v>
      </c>
      <c r="M292" s="297">
        <v>0.51597222222222217</v>
      </c>
      <c r="N292" s="297">
        <v>0.52986111111111112</v>
      </c>
      <c r="O292" s="19">
        <f>(Table6[[#This Row],[Work Start TimeStamp]]-Table6[[#This Row],[Fault Start TimeStamp]])*24</f>
        <v>0</v>
      </c>
      <c r="P292" s="19">
        <f>(Table6[[#This Row],[Fault Clearance time]]-Table6[[#This Row],[Fault Start TimeStamp]])*24</f>
        <v>0.33333333333333481</v>
      </c>
      <c r="Q292" s="19">
        <f>(Table6[[#This Row],[Fault Clearance time]]-Table6[[#This Row],[Fault Start TimeStamp]])*24</f>
        <v>0.33333333333333481</v>
      </c>
      <c r="R292" s="79" t="s">
        <v>353</v>
      </c>
      <c r="S292" s="79" t="s">
        <v>339</v>
      </c>
      <c r="T292" s="298">
        <f>IFERROR(Table6[[#This Row],[Breakdown Time]]*Table6[[#This Row],[Plant Equivalent Weightage]],"")</f>
        <v>7.5757575757576098E-3</v>
      </c>
      <c r="U292" s="79" t="s">
        <v>416</v>
      </c>
      <c r="W292" s="79">
        <v>74</v>
      </c>
    </row>
    <row r="293" spans="1:23">
      <c r="A293" s="79">
        <f t="shared" si="4"/>
        <v>292</v>
      </c>
      <c r="B293" s="79">
        <f>YEAR(Table6[[#This Row],[Date]])+IF(MONTH(Table6[[#This Row],[Date]])&gt;=4,1,0)</f>
        <v>2026</v>
      </c>
      <c r="C293" s="79">
        <f>YEAR(Table6[[#This Row],[Date]])</f>
        <v>2025</v>
      </c>
      <c r="D293" s="79" t="s">
        <v>344</v>
      </c>
      <c r="E293" s="284">
        <f>Table6[[#This Row],[Date]]-DAY(Table6[[#This Row],[Date]])+1</f>
        <v>45748</v>
      </c>
      <c r="F293" s="285">
        <v>45758</v>
      </c>
      <c r="G293" s="79" t="s">
        <v>117</v>
      </c>
      <c r="H293" s="79" t="str">
        <f>IFERROR(_xlfn.XLOOKUP(Table6[[#This Row],[Affected Feeder ]],'Basic Data'!$A:$A,'Basic Data'!$B:$B),"")</f>
        <v>PWEPL</v>
      </c>
      <c r="I293" s="79" t="str">
        <f>IFERROR(_xlfn.XLOOKUP(Table6[[#This Row],[Affected Feeder ]],'Basic Data'!$A:$A,'Basic Data'!$C:$C),"")</f>
        <v>MSEDCL</v>
      </c>
      <c r="J293" s="295">
        <f>IFERROR(_xlfn.XLOOKUP(Table6[[#This Row],[Affected Feeder ]],'Basic Data'!$A:$A,'Basic Data'!$E:$E),"")</f>
        <v>2.2727272727272728E-2</v>
      </c>
      <c r="K293" s="296" t="s">
        <v>414</v>
      </c>
      <c r="L293" s="297">
        <v>0.46875</v>
      </c>
      <c r="M293" s="297">
        <v>0.46875</v>
      </c>
      <c r="N293" s="297">
        <v>0.51597222222222217</v>
      </c>
      <c r="O293" s="19">
        <f>(Table6[[#This Row],[Work Start TimeStamp]]-Table6[[#This Row],[Fault Start TimeStamp]])*24</f>
        <v>0</v>
      </c>
      <c r="P293" s="19">
        <f>(Table6[[#This Row],[Fault Clearance time]]-Table6[[#This Row],[Fault Start TimeStamp]])*24</f>
        <v>1.133333333333332</v>
      </c>
      <c r="Q293" s="19">
        <f>(Table6[[#This Row],[Fault Clearance time]]-Table6[[#This Row],[Fault Start TimeStamp]])*24</f>
        <v>1.133333333333332</v>
      </c>
      <c r="R293" s="79" t="s">
        <v>454</v>
      </c>
      <c r="S293" s="79" t="s">
        <v>339</v>
      </c>
      <c r="T293" s="298">
        <f>IFERROR(Table6[[#This Row],[Breakdown Time]]*Table6[[#This Row],[Plant Equivalent Weightage]],"")</f>
        <v>2.5757575757575726E-2</v>
      </c>
      <c r="U293" s="79" t="s">
        <v>416</v>
      </c>
      <c r="W293" s="79">
        <v>251</v>
      </c>
    </row>
    <row r="294" spans="1:23">
      <c r="A294" s="79">
        <f t="shared" si="4"/>
        <v>293</v>
      </c>
      <c r="B294" s="79">
        <f>YEAR(Table6[[#This Row],[Date]])+IF(MONTH(Table6[[#This Row],[Date]])&gt;=4,1,0)</f>
        <v>2026</v>
      </c>
      <c r="C294" s="79">
        <f>YEAR(Table6[[#This Row],[Date]])</f>
        <v>2025</v>
      </c>
      <c r="D294" s="79" t="s">
        <v>344</v>
      </c>
      <c r="E294" s="284">
        <f>Table6[[#This Row],[Date]]-DAY(Table6[[#This Row],[Date]])+1</f>
        <v>45748</v>
      </c>
      <c r="F294" s="285">
        <v>45758</v>
      </c>
      <c r="G294" s="79" t="s">
        <v>117</v>
      </c>
      <c r="H294" s="79" t="str">
        <f>IFERROR(_xlfn.XLOOKUP(Table6[[#This Row],[Affected Feeder ]],'Basic Data'!$A:$A,'Basic Data'!$B:$B),"")</f>
        <v>PWEPL</v>
      </c>
      <c r="I294" s="79" t="str">
        <f>IFERROR(_xlfn.XLOOKUP(Table6[[#This Row],[Affected Feeder ]],'Basic Data'!$A:$A,'Basic Data'!$C:$C),"")</f>
        <v>MSEDCL</v>
      </c>
      <c r="J294" s="295">
        <f>IFERROR(_xlfn.XLOOKUP(Table6[[#This Row],[Affected Feeder ]],'Basic Data'!$A:$A,'Basic Data'!$E:$E),"")</f>
        <v>2.2727272727272728E-2</v>
      </c>
      <c r="K294" s="296" t="s">
        <v>171</v>
      </c>
      <c r="L294" s="297">
        <v>0.51597222222222217</v>
      </c>
      <c r="M294" s="297">
        <v>0.51597222222222217</v>
      </c>
      <c r="N294" s="297">
        <v>0.52986111111111112</v>
      </c>
      <c r="O294" s="19">
        <f>(Table6[[#This Row],[Work Start TimeStamp]]-Table6[[#This Row],[Fault Start TimeStamp]])*24</f>
        <v>0</v>
      </c>
      <c r="P294" s="19">
        <f>(Table6[[#This Row],[Fault Clearance time]]-Table6[[#This Row],[Fault Start TimeStamp]])*24</f>
        <v>0.33333333333333481</v>
      </c>
      <c r="Q294" s="19">
        <f>(Table6[[#This Row],[Fault Clearance time]]-Table6[[#This Row],[Fault Start TimeStamp]])*24</f>
        <v>0.33333333333333481</v>
      </c>
      <c r="R294" s="79" t="s">
        <v>353</v>
      </c>
      <c r="S294" s="79" t="s">
        <v>339</v>
      </c>
      <c r="T294" s="298">
        <f>IFERROR(Table6[[#This Row],[Breakdown Time]]*Table6[[#This Row],[Plant Equivalent Weightage]],"")</f>
        <v>7.5757575757576098E-3</v>
      </c>
      <c r="U294" s="79" t="s">
        <v>416</v>
      </c>
      <c r="W294" s="79">
        <v>74</v>
      </c>
    </row>
    <row r="295" spans="1:23">
      <c r="A295" s="79">
        <f t="shared" si="4"/>
        <v>294</v>
      </c>
      <c r="B295" s="79">
        <f>YEAR(Table6[[#This Row],[Date]])+IF(MONTH(Table6[[#This Row],[Date]])&gt;=4,1,0)</f>
        <v>2026</v>
      </c>
      <c r="C295" s="79">
        <f>YEAR(Table6[[#This Row],[Date]])</f>
        <v>2025</v>
      </c>
      <c r="D295" s="79" t="s">
        <v>344</v>
      </c>
      <c r="E295" s="284">
        <f>Table6[[#This Row],[Date]]-DAY(Table6[[#This Row],[Date]])+1</f>
        <v>45748</v>
      </c>
      <c r="F295" s="285">
        <v>45758</v>
      </c>
      <c r="G295" s="79" t="s">
        <v>118</v>
      </c>
      <c r="H295" s="79" t="str">
        <f>IFERROR(_xlfn.XLOOKUP(Table6[[#This Row],[Affected Feeder ]],'Basic Data'!$A:$A,'Basic Data'!$B:$B),"")</f>
        <v>PWEPL</v>
      </c>
      <c r="I295" s="79" t="str">
        <f>IFERROR(_xlfn.XLOOKUP(Table6[[#This Row],[Affected Feeder ]],'Basic Data'!$A:$A,'Basic Data'!$C:$C),"")</f>
        <v>MSEDCL</v>
      </c>
      <c r="J295" s="295">
        <f>IFERROR(_xlfn.XLOOKUP(Table6[[#This Row],[Affected Feeder ]],'Basic Data'!$A:$A,'Basic Data'!$E:$E),"")</f>
        <v>2.2727272727272728E-2</v>
      </c>
      <c r="K295" s="296" t="s">
        <v>414</v>
      </c>
      <c r="L295" s="297">
        <v>0.46875</v>
      </c>
      <c r="M295" s="297">
        <v>0.46875</v>
      </c>
      <c r="N295" s="297">
        <v>0.51597222222222217</v>
      </c>
      <c r="O295" s="19">
        <f>(Table6[[#This Row],[Work Start TimeStamp]]-Table6[[#This Row],[Fault Start TimeStamp]])*24</f>
        <v>0</v>
      </c>
      <c r="P295" s="19">
        <f>(Table6[[#This Row],[Fault Clearance time]]-Table6[[#This Row],[Fault Start TimeStamp]])*24</f>
        <v>1.133333333333332</v>
      </c>
      <c r="Q295" s="19">
        <f>(Table6[[#This Row],[Fault Clearance time]]-Table6[[#This Row],[Fault Start TimeStamp]])*24</f>
        <v>1.133333333333332</v>
      </c>
      <c r="R295" s="79" t="s">
        <v>454</v>
      </c>
      <c r="S295" s="79" t="s">
        <v>339</v>
      </c>
      <c r="T295" s="298">
        <f>IFERROR(Table6[[#This Row],[Breakdown Time]]*Table6[[#This Row],[Plant Equivalent Weightage]],"")</f>
        <v>2.5757575757575726E-2</v>
      </c>
      <c r="U295" s="79" t="s">
        <v>416</v>
      </c>
      <c r="W295" s="79">
        <v>251</v>
      </c>
    </row>
    <row r="296" spans="1:23">
      <c r="A296" s="79">
        <f t="shared" si="4"/>
        <v>295</v>
      </c>
      <c r="B296" s="79">
        <f>YEAR(Table6[[#This Row],[Date]])+IF(MONTH(Table6[[#This Row],[Date]])&gt;=4,1,0)</f>
        <v>2026</v>
      </c>
      <c r="C296" s="79">
        <f>YEAR(Table6[[#This Row],[Date]])</f>
        <v>2025</v>
      </c>
      <c r="D296" s="79" t="s">
        <v>344</v>
      </c>
      <c r="E296" s="284">
        <f>Table6[[#This Row],[Date]]-DAY(Table6[[#This Row],[Date]])+1</f>
        <v>45748</v>
      </c>
      <c r="F296" s="285">
        <v>45758</v>
      </c>
      <c r="G296" s="79" t="s">
        <v>118</v>
      </c>
      <c r="H296" s="79" t="str">
        <f>IFERROR(_xlfn.XLOOKUP(Table6[[#This Row],[Affected Feeder ]],'Basic Data'!$A:$A,'Basic Data'!$B:$B),"")</f>
        <v>PWEPL</v>
      </c>
      <c r="I296" s="79" t="str">
        <f>IFERROR(_xlfn.XLOOKUP(Table6[[#This Row],[Affected Feeder ]],'Basic Data'!$A:$A,'Basic Data'!$C:$C),"")</f>
        <v>MSEDCL</v>
      </c>
      <c r="J296" s="295">
        <f>IFERROR(_xlfn.XLOOKUP(Table6[[#This Row],[Affected Feeder ]],'Basic Data'!$A:$A,'Basic Data'!$E:$E),"")</f>
        <v>2.2727272727272728E-2</v>
      </c>
      <c r="K296" s="296" t="s">
        <v>171</v>
      </c>
      <c r="L296" s="297">
        <v>0.51597222222222217</v>
      </c>
      <c r="M296" s="297">
        <v>0.51597222222222217</v>
      </c>
      <c r="N296" s="297">
        <v>0.52986111111111112</v>
      </c>
      <c r="O296" s="19">
        <f>(Table6[[#This Row],[Work Start TimeStamp]]-Table6[[#This Row],[Fault Start TimeStamp]])*24</f>
        <v>0</v>
      </c>
      <c r="P296" s="19">
        <f>(Table6[[#This Row],[Fault Clearance time]]-Table6[[#This Row],[Fault Start TimeStamp]])*24</f>
        <v>0.33333333333333481</v>
      </c>
      <c r="Q296" s="19">
        <f>(Table6[[#This Row],[Fault Clearance time]]-Table6[[#This Row],[Fault Start TimeStamp]])*24</f>
        <v>0.33333333333333481</v>
      </c>
      <c r="R296" s="79" t="s">
        <v>353</v>
      </c>
      <c r="S296" s="79" t="s">
        <v>339</v>
      </c>
      <c r="T296" s="298">
        <f>IFERROR(Table6[[#This Row],[Breakdown Time]]*Table6[[#This Row],[Plant Equivalent Weightage]],"")</f>
        <v>7.5757575757576098E-3</v>
      </c>
      <c r="U296" s="79" t="s">
        <v>416</v>
      </c>
      <c r="W296" s="79">
        <v>74</v>
      </c>
    </row>
    <row r="297" spans="1:23">
      <c r="A297" s="79">
        <f t="shared" si="4"/>
        <v>296</v>
      </c>
      <c r="B297" s="79">
        <f>YEAR(Table6[[#This Row],[Date]])+IF(MONTH(Table6[[#This Row],[Date]])&gt;=4,1,0)</f>
        <v>2026</v>
      </c>
      <c r="C297" s="79">
        <f>YEAR(Table6[[#This Row],[Date]])</f>
        <v>2025</v>
      </c>
      <c r="D297" s="79" t="s">
        <v>344</v>
      </c>
      <c r="E297" s="284">
        <f>Table6[[#This Row],[Date]]-DAY(Table6[[#This Row],[Date]])+1</f>
        <v>45748</v>
      </c>
      <c r="F297" s="285">
        <v>45758</v>
      </c>
      <c r="G297" s="79" t="s">
        <v>115</v>
      </c>
      <c r="H297" s="79" t="str">
        <f>IFERROR(_xlfn.XLOOKUP(Table6[[#This Row],[Affected Feeder ]],'Basic Data'!$A:$A,'Basic Data'!$B:$B),"")</f>
        <v>PWEPL</v>
      </c>
      <c r="I297" s="79" t="str">
        <f>IFERROR(_xlfn.XLOOKUP(Table6[[#This Row],[Affected Feeder ]],'Basic Data'!$A:$A,'Basic Data'!$C:$C),"")</f>
        <v>MSEDCL</v>
      </c>
      <c r="J297" s="295">
        <f>IFERROR(_xlfn.XLOOKUP(Table6[[#This Row],[Affected Feeder ]],'Basic Data'!$A:$A,'Basic Data'!$E:$E),"")</f>
        <v>2.2727272727272728E-2</v>
      </c>
      <c r="K297" s="296" t="s">
        <v>414</v>
      </c>
      <c r="L297" s="297">
        <v>0.8520833333333333</v>
      </c>
      <c r="M297" s="297">
        <v>0.8520833333333333</v>
      </c>
      <c r="N297" s="297">
        <v>0.87638888888888899</v>
      </c>
      <c r="O297" s="19">
        <f>(Table6[[#This Row],[Work Start TimeStamp]]-Table6[[#This Row],[Fault Start TimeStamp]])*24</f>
        <v>0</v>
      </c>
      <c r="P297" s="19">
        <f>(Table6[[#This Row],[Fault Clearance time]]-Table6[[#This Row],[Fault Start TimeStamp]])*24</f>
        <v>0.58333333333333659</v>
      </c>
      <c r="Q297" s="19">
        <f>(Table6[[#This Row],[Fault Clearance time]]-Table6[[#This Row],[Fault Start TimeStamp]])*24</f>
        <v>0.58333333333333659</v>
      </c>
      <c r="R297" s="79" t="s">
        <v>455</v>
      </c>
      <c r="S297" s="79" t="s">
        <v>339</v>
      </c>
      <c r="T297" s="298">
        <f>IFERROR(Table6[[#This Row],[Breakdown Time]]*Table6[[#This Row],[Plant Equivalent Weightage]],"")</f>
        <v>1.3257575757575833E-2</v>
      </c>
      <c r="U297" s="79" t="s">
        <v>416</v>
      </c>
      <c r="W297" s="79">
        <v>129</v>
      </c>
    </row>
    <row r="298" spans="1:23">
      <c r="A298" s="79">
        <f t="shared" si="4"/>
        <v>297</v>
      </c>
      <c r="B298" s="79">
        <f>YEAR(Table6[[#This Row],[Date]])+IF(MONTH(Table6[[#This Row],[Date]])&gt;=4,1,0)</f>
        <v>2026</v>
      </c>
      <c r="C298" s="79">
        <f>YEAR(Table6[[#This Row],[Date]])</f>
        <v>2025</v>
      </c>
      <c r="D298" s="79" t="s">
        <v>344</v>
      </c>
      <c r="E298" s="284">
        <f>Table6[[#This Row],[Date]]-DAY(Table6[[#This Row],[Date]])+1</f>
        <v>45748</v>
      </c>
      <c r="F298" s="285">
        <v>45758</v>
      </c>
      <c r="G298" s="79" t="s">
        <v>115</v>
      </c>
      <c r="H298" s="79" t="str">
        <f>IFERROR(_xlfn.XLOOKUP(Table6[[#This Row],[Affected Feeder ]],'Basic Data'!$A:$A,'Basic Data'!$B:$B),"")</f>
        <v>PWEPL</v>
      </c>
      <c r="I298" s="79" t="str">
        <f>IFERROR(_xlfn.XLOOKUP(Table6[[#This Row],[Affected Feeder ]],'Basic Data'!$A:$A,'Basic Data'!$C:$C),"")</f>
        <v>MSEDCL</v>
      </c>
      <c r="J298" s="295">
        <f>IFERROR(_xlfn.XLOOKUP(Table6[[#This Row],[Affected Feeder ]],'Basic Data'!$A:$A,'Basic Data'!$E:$E),"")</f>
        <v>2.2727272727272728E-2</v>
      </c>
      <c r="K298" s="296" t="s">
        <v>171</v>
      </c>
      <c r="L298" s="297">
        <v>0.87638888888888899</v>
      </c>
      <c r="M298" s="297">
        <v>0.87638888888888899</v>
      </c>
      <c r="N298" s="297">
        <v>0.89027777777777783</v>
      </c>
      <c r="O298" s="19">
        <f>(Table6[[#This Row],[Work Start TimeStamp]]-Table6[[#This Row],[Fault Start TimeStamp]])*24</f>
        <v>0</v>
      </c>
      <c r="P298" s="19">
        <f>(Table6[[#This Row],[Fault Clearance time]]-Table6[[#This Row],[Fault Start TimeStamp]])*24</f>
        <v>0.33333333333333215</v>
      </c>
      <c r="Q298" s="19">
        <f>(Table6[[#This Row],[Fault Clearance time]]-Table6[[#This Row],[Fault Start TimeStamp]])*24</f>
        <v>0.33333333333333215</v>
      </c>
      <c r="R298" s="79" t="s">
        <v>353</v>
      </c>
      <c r="S298" s="79" t="s">
        <v>339</v>
      </c>
      <c r="T298" s="298">
        <f>IFERROR(Table6[[#This Row],[Breakdown Time]]*Table6[[#This Row],[Plant Equivalent Weightage]],"")</f>
        <v>7.5757575757575491E-3</v>
      </c>
      <c r="U298" s="79" t="s">
        <v>416</v>
      </c>
      <c r="W298" s="79">
        <v>74</v>
      </c>
    </row>
    <row r="299" spans="1:23">
      <c r="A299" s="79">
        <f t="shared" si="4"/>
        <v>298</v>
      </c>
      <c r="B299" s="79">
        <f>YEAR(Table6[[#This Row],[Date]])+IF(MONTH(Table6[[#This Row],[Date]])&gt;=4,1,0)</f>
        <v>2026</v>
      </c>
      <c r="C299" s="79">
        <f>YEAR(Table6[[#This Row],[Date]])</f>
        <v>2025</v>
      </c>
      <c r="D299" s="79" t="s">
        <v>344</v>
      </c>
      <c r="E299" s="284">
        <f>Table6[[#This Row],[Date]]-DAY(Table6[[#This Row],[Date]])+1</f>
        <v>45748</v>
      </c>
      <c r="F299" s="285">
        <v>45758</v>
      </c>
      <c r="G299" s="79" t="s">
        <v>116</v>
      </c>
      <c r="H299" s="79" t="str">
        <f>IFERROR(_xlfn.XLOOKUP(Table6[[#This Row],[Affected Feeder ]],'Basic Data'!$A:$A,'Basic Data'!$B:$B),"")</f>
        <v>PWEPL</v>
      </c>
      <c r="I299" s="79" t="str">
        <f>IFERROR(_xlfn.XLOOKUP(Table6[[#This Row],[Affected Feeder ]],'Basic Data'!$A:$A,'Basic Data'!$C:$C),"")</f>
        <v>MSEDCL</v>
      </c>
      <c r="J299" s="295">
        <f>IFERROR(_xlfn.XLOOKUP(Table6[[#This Row],[Affected Feeder ]],'Basic Data'!$A:$A,'Basic Data'!$E:$E),"")</f>
        <v>2.2727272727272728E-2</v>
      </c>
      <c r="K299" s="296" t="s">
        <v>414</v>
      </c>
      <c r="L299" s="297">
        <v>0.8520833333333333</v>
      </c>
      <c r="M299" s="297">
        <v>0.8520833333333333</v>
      </c>
      <c r="N299" s="297">
        <v>0.87638888888888899</v>
      </c>
      <c r="O299" s="19">
        <f>(Table6[[#This Row],[Work Start TimeStamp]]-Table6[[#This Row],[Fault Start TimeStamp]])*24</f>
        <v>0</v>
      </c>
      <c r="P299" s="19">
        <f>(Table6[[#This Row],[Fault Clearance time]]-Table6[[#This Row],[Fault Start TimeStamp]])*24</f>
        <v>0.58333333333333659</v>
      </c>
      <c r="Q299" s="19">
        <f>(Table6[[#This Row],[Fault Clearance time]]-Table6[[#This Row],[Fault Start TimeStamp]])*24</f>
        <v>0.58333333333333659</v>
      </c>
      <c r="R299" s="79" t="s">
        <v>455</v>
      </c>
      <c r="S299" s="79" t="s">
        <v>339</v>
      </c>
      <c r="T299" s="298">
        <f>IFERROR(Table6[[#This Row],[Breakdown Time]]*Table6[[#This Row],[Plant Equivalent Weightage]],"")</f>
        <v>1.3257575757575833E-2</v>
      </c>
      <c r="U299" s="79" t="s">
        <v>416</v>
      </c>
      <c r="W299" s="79">
        <v>129</v>
      </c>
    </row>
    <row r="300" spans="1:23">
      <c r="A300" s="79">
        <f t="shared" si="4"/>
        <v>299</v>
      </c>
      <c r="B300" s="79">
        <f>YEAR(Table6[[#This Row],[Date]])+IF(MONTH(Table6[[#This Row],[Date]])&gt;=4,1,0)</f>
        <v>2026</v>
      </c>
      <c r="C300" s="79">
        <f>YEAR(Table6[[#This Row],[Date]])</f>
        <v>2025</v>
      </c>
      <c r="D300" s="79" t="s">
        <v>344</v>
      </c>
      <c r="E300" s="284">
        <f>Table6[[#This Row],[Date]]-DAY(Table6[[#This Row],[Date]])+1</f>
        <v>45748</v>
      </c>
      <c r="F300" s="285">
        <v>45758</v>
      </c>
      <c r="G300" s="79" t="s">
        <v>116</v>
      </c>
      <c r="H300" s="79" t="str">
        <f>IFERROR(_xlfn.XLOOKUP(Table6[[#This Row],[Affected Feeder ]],'Basic Data'!$A:$A,'Basic Data'!$B:$B),"")</f>
        <v>PWEPL</v>
      </c>
      <c r="I300" s="79" t="str">
        <f>IFERROR(_xlfn.XLOOKUP(Table6[[#This Row],[Affected Feeder ]],'Basic Data'!$A:$A,'Basic Data'!$C:$C),"")</f>
        <v>MSEDCL</v>
      </c>
      <c r="J300" s="295">
        <f>IFERROR(_xlfn.XLOOKUP(Table6[[#This Row],[Affected Feeder ]],'Basic Data'!$A:$A,'Basic Data'!$E:$E),"")</f>
        <v>2.2727272727272728E-2</v>
      </c>
      <c r="K300" s="296" t="s">
        <v>171</v>
      </c>
      <c r="L300" s="297">
        <v>0.87638888888888899</v>
      </c>
      <c r="M300" s="297">
        <v>0.87638888888888899</v>
      </c>
      <c r="N300" s="297">
        <v>0.89027777777777783</v>
      </c>
      <c r="O300" s="19">
        <f>(Table6[[#This Row],[Work Start TimeStamp]]-Table6[[#This Row],[Fault Start TimeStamp]])*24</f>
        <v>0</v>
      </c>
      <c r="P300" s="19">
        <f>(Table6[[#This Row],[Fault Clearance time]]-Table6[[#This Row],[Fault Start TimeStamp]])*24</f>
        <v>0.33333333333333215</v>
      </c>
      <c r="Q300" s="19">
        <f>(Table6[[#This Row],[Fault Clearance time]]-Table6[[#This Row],[Fault Start TimeStamp]])*24</f>
        <v>0.33333333333333215</v>
      </c>
      <c r="R300" s="79" t="s">
        <v>353</v>
      </c>
      <c r="S300" s="79" t="s">
        <v>339</v>
      </c>
      <c r="T300" s="298">
        <f>IFERROR(Table6[[#This Row],[Breakdown Time]]*Table6[[#This Row],[Plant Equivalent Weightage]],"")</f>
        <v>7.5757575757575491E-3</v>
      </c>
      <c r="U300" s="79" t="s">
        <v>416</v>
      </c>
      <c r="W300" s="79">
        <v>74</v>
      </c>
    </row>
    <row r="301" spans="1:23">
      <c r="A301" s="79">
        <f t="shared" si="4"/>
        <v>300</v>
      </c>
      <c r="B301" s="79">
        <f>YEAR(Table6[[#This Row],[Date]])+IF(MONTH(Table6[[#This Row],[Date]])&gt;=4,1,0)</f>
        <v>2026</v>
      </c>
      <c r="C301" s="79">
        <f>YEAR(Table6[[#This Row],[Date]])</f>
        <v>2025</v>
      </c>
      <c r="D301" s="79" t="s">
        <v>344</v>
      </c>
      <c r="E301" s="284">
        <f>Table6[[#This Row],[Date]]-DAY(Table6[[#This Row],[Date]])+1</f>
        <v>45748</v>
      </c>
      <c r="F301" s="285">
        <v>45758</v>
      </c>
      <c r="G301" s="79" t="s">
        <v>117</v>
      </c>
      <c r="H301" s="79" t="str">
        <f>IFERROR(_xlfn.XLOOKUP(Table6[[#This Row],[Affected Feeder ]],'Basic Data'!$A:$A,'Basic Data'!$B:$B),"")</f>
        <v>PWEPL</v>
      </c>
      <c r="I301" s="79" t="str">
        <f>IFERROR(_xlfn.XLOOKUP(Table6[[#This Row],[Affected Feeder ]],'Basic Data'!$A:$A,'Basic Data'!$C:$C),"")</f>
        <v>MSEDCL</v>
      </c>
      <c r="J301" s="295">
        <f>IFERROR(_xlfn.XLOOKUP(Table6[[#This Row],[Affected Feeder ]],'Basic Data'!$A:$A,'Basic Data'!$E:$E),"")</f>
        <v>2.2727272727272728E-2</v>
      </c>
      <c r="K301" s="296" t="s">
        <v>414</v>
      </c>
      <c r="L301" s="297">
        <v>0.8520833333333333</v>
      </c>
      <c r="M301" s="297">
        <v>0.8520833333333333</v>
      </c>
      <c r="N301" s="297">
        <v>0.87638888888888899</v>
      </c>
      <c r="O301" s="19">
        <f>(Table6[[#This Row],[Work Start TimeStamp]]-Table6[[#This Row],[Fault Start TimeStamp]])*24</f>
        <v>0</v>
      </c>
      <c r="P301" s="19">
        <f>(Table6[[#This Row],[Fault Clearance time]]-Table6[[#This Row],[Fault Start TimeStamp]])*24</f>
        <v>0.58333333333333659</v>
      </c>
      <c r="Q301" s="19">
        <f>(Table6[[#This Row],[Fault Clearance time]]-Table6[[#This Row],[Fault Start TimeStamp]])*24</f>
        <v>0.58333333333333659</v>
      </c>
      <c r="R301" s="79" t="s">
        <v>455</v>
      </c>
      <c r="S301" s="79" t="s">
        <v>339</v>
      </c>
      <c r="T301" s="298">
        <f>IFERROR(Table6[[#This Row],[Breakdown Time]]*Table6[[#This Row],[Plant Equivalent Weightage]],"")</f>
        <v>1.3257575757575833E-2</v>
      </c>
      <c r="U301" s="79" t="s">
        <v>416</v>
      </c>
      <c r="W301" s="79">
        <v>129</v>
      </c>
    </row>
    <row r="302" spans="1:23">
      <c r="A302" s="79">
        <f t="shared" si="4"/>
        <v>301</v>
      </c>
      <c r="B302" s="79">
        <f>YEAR(Table6[[#This Row],[Date]])+IF(MONTH(Table6[[#This Row],[Date]])&gt;=4,1,0)</f>
        <v>2026</v>
      </c>
      <c r="C302" s="79">
        <f>YEAR(Table6[[#This Row],[Date]])</f>
        <v>2025</v>
      </c>
      <c r="D302" s="79" t="s">
        <v>344</v>
      </c>
      <c r="E302" s="284">
        <f>Table6[[#This Row],[Date]]-DAY(Table6[[#This Row],[Date]])+1</f>
        <v>45748</v>
      </c>
      <c r="F302" s="285">
        <v>45758</v>
      </c>
      <c r="G302" s="79" t="s">
        <v>117</v>
      </c>
      <c r="H302" s="79" t="str">
        <f>IFERROR(_xlfn.XLOOKUP(Table6[[#This Row],[Affected Feeder ]],'Basic Data'!$A:$A,'Basic Data'!$B:$B),"")</f>
        <v>PWEPL</v>
      </c>
      <c r="I302" s="79" t="str">
        <f>IFERROR(_xlfn.XLOOKUP(Table6[[#This Row],[Affected Feeder ]],'Basic Data'!$A:$A,'Basic Data'!$C:$C),"")</f>
        <v>MSEDCL</v>
      </c>
      <c r="J302" s="295">
        <f>IFERROR(_xlfn.XLOOKUP(Table6[[#This Row],[Affected Feeder ]],'Basic Data'!$A:$A,'Basic Data'!$E:$E),"")</f>
        <v>2.2727272727272728E-2</v>
      </c>
      <c r="K302" s="296" t="s">
        <v>171</v>
      </c>
      <c r="L302" s="297">
        <v>0.87638888888888899</v>
      </c>
      <c r="M302" s="297">
        <v>0.87638888888888899</v>
      </c>
      <c r="N302" s="297">
        <v>0.89027777777777783</v>
      </c>
      <c r="O302" s="19">
        <f>(Table6[[#This Row],[Work Start TimeStamp]]-Table6[[#This Row],[Fault Start TimeStamp]])*24</f>
        <v>0</v>
      </c>
      <c r="P302" s="19">
        <f>(Table6[[#This Row],[Fault Clearance time]]-Table6[[#This Row],[Fault Start TimeStamp]])*24</f>
        <v>0.33333333333333215</v>
      </c>
      <c r="Q302" s="19">
        <f>(Table6[[#This Row],[Fault Clearance time]]-Table6[[#This Row],[Fault Start TimeStamp]])*24</f>
        <v>0.33333333333333215</v>
      </c>
      <c r="R302" s="79" t="s">
        <v>353</v>
      </c>
      <c r="S302" s="79" t="s">
        <v>339</v>
      </c>
      <c r="T302" s="298">
        <f>IFERROR(Table6[[#This Row],[Breakdown Time]]*Table6[[#This Row],[Plant Equivalent Weightage]],"")</f>
        <v>7.5757575757575491E-3</v>
      </c>
      <c r="U302" s="79" t="s">
        <v>416</v>
      </c>
      <c r="W302" s="79">
        <v>74</v>
      </c>
    </row>
    <row r="303" spans="1:23">
      <c r="A303" s="79">
        <f t="shared" si="4"/>
        <v>302</v>
      </c>
      <c r="B303" s="79">
        <f>YEAR(Table6[[#This Row],[Date]])+IF(MONTH(Table6[[#This Row],[Date]])&gt;=4,1,0)</f>
        <v>2026</v>
      </c>
      <c r="C303" s="79">
        <f>YEAR(Table6[[#This Row],[Date]])</f>
        <v>2025</v>
      </c>
      <c r="D303" s="79" t="s">
        <v>344</v>
      </c>
      <c r="E303" s="284">
        <f>Table6[[#This Row],[Date]]-DAY(Table6[[#This Row],[Date]])+1</f>
        <v>45748</v>
      </c>
      <c r="F303" s="285">
        <v>45758</v>
      </c>
      <c r="G303" s="79" t="s">
        <v>118</v>
      </c>
      <c r="H303" s="79" t="str">
        <f>IFERROR(_xlfn.XLOOKUP(Table6[[#This Row],[Affected Feeder ]],'Basic Data'!$A:$A,'Basic Data'!$B:$B),"")</f>
        <v>PWEPL</v>
      </c>
      <c r="I303" s="79" t="str">
        <f>IFERROR(_xlfn.XLOOKUP(Table6[[#This Row],[Affected Feeder ]],'Basic Data'!$A:$A,'Basic Data'!$C:$C),"")</f>
        <v>MSEDCL</v>
      </c>
      <c r="J303" s="295">
        <f>IFERROR(_xlfn.XLOOKUP(Table6[[#This Row],[Affected Feeder ]],'Basic Data'!$A:$A,'Basic Data'!$E:$E),"")</f>
        <v>2.2727272727272728E-2</v>
      </c>
      <c r="K303" s="296" t="s">
        <v>414</v>
      </c>
      <c r="L303" s="297">
        <v>0.8520833333333333</v>
      </c>
      <c r="M303" s="297">
        <v>0.8520833333333333</v>
      </c>
      <c r="N303" s="297">
        <v>0.87638888888888899</v>
      </c>
      <c r="O303" s="19">
        <f>(Table6[[#This Row],[Work Start TimeStamp]]-Table6[[#This Row],[Fault Start TimeStamp]])*24</f>
        <v>0</v>
      </c>
      <c r="P303" s="19">
        <f>(Table6[[#This Row],[Fault Clearance time]]-Table6[[#This Row],[Fault Start TimeStamp]])*24</f>
        <v>0.58333333333333659</v>
      </c>
      <c r="Q303" s="19">
        <f>(Table6[[#This Row],[Fault Clearance time]]-Table6[[#This Row],[Fault Start TimeStamp]])*24</f>
        <v>0.58333333333333659</v>
      </c>
      <c r="R303" s="79" t="s">
        <v>455</v>
      </c>
      <c r="S303" s="79" t="s">
        <v>339</v>
      </c>
      <c r="T303" s="298">
        <f>IFERROR(Table6[[#This Row],[Breakdown Time]]*Table6[[#This Row],[Plant Equivalent Weightage]],"")</f>
        <v>1.3257575757575833E-2</v>
      </c>
      <c r="U303" s="79" t="s">
        <v>416</v>
      </c>
      <c r="W303" s="79">
        <v>129</v>
      </c>
    </row>
    <row r="304" spans="1:23">
      <c r="A304" s="79">
        <f t="shared" si="4"/>
        <v>303</v>
      </c>
      <c r="B304" s="79">
        <f>YEAR(Table6[[#This Row],[Date]])+IF(MONTH(Table6[[#This Row],[Date]])&gt;=4,1,0)</f>
        <v>2026</v>
      </c>
      <c r="C304" s="79">
        <f>YEAR(Table6[[#This Row],[Date]])</f>
        <v>2025</v>
      </c>
      <c r="D304" s="79" t="s">
        <v>344</v>
      </c>
      <c r="E304" s="284">
        <f>Table6[[#This Row],[Date]]-DAY(Table6[[#This Row],[Date]])+1</f>
        <v>45748</v>
      </c>
      <c r="F304" s="285">
        <v>45758</v>
      </c>
      <c r="G304" s="79" t="s">
        <v>118</v>
      </c>
      <c r="H304" s="79" t="str">
        <f>IFERROR(_xlfn.XLOOKUP(Table6[[#This Row],[Affected Feeder ]],'Basic Data'!$A:$A,'Basic Data'!$B:$B),"")</f>
        <v>PWEPL</v>
      </c>
      <c r="I304" s="79" t="str">
        <f>IFERROR(_xlfn.XLOOKUP(Table6[[#This Row],[Affected Feeder ]],'Basic Data'!$A:$A,'Basic Data'!$C:$C),"")</f>
        <v>MSEDCL</v>
      </c>
      <c r="J304" s="295">
        <f>IFERROR(_xlfn.XLOOKUP(Table6[[#This Row],[Affected Feeder ]],'Basic Data'!$A:$A,'Basic Data'!$E:$E),"")</f>
        <v>2.2727272727272728E-2</v>
      </c>
      <c r="K304" s="296" t="s">
        <v>171</v>
      </c>
      <c r="L304" s="297">
        <v>0.87638888888888899</v>
      </c>
      <c r="M304" s="297">
        <v>0.87638888888888899</v>
      </c>
      <c r="N304" s="297">
        <v>0.89027777777777783</v>
      </c>
      <c r="O304" s="19">
        <f>(Table6[[#This Row],[Work Start TimeStamp]]-Table6[[#This Row],[Fault Start TimeStamp]])*24</f>
        <v>0</v>
      </c>
      <c r="P304" s="19">
        <f>(Table6[[#This Row],[Fault Clearance time]]-Table6[[#This Row],[Fault Start TimeStamp]])*24</f>
        <v>0.33333333333333215</v>
      </c>
      <c r="Q304" s="19">
        <f>(Table6[[#This Row],[Fault Clearance time]]-Table6[[#This Row],[Fault Start TimeStamp]])*24</f>
        <v>0.33333333333333215</v>
      </c>
      <c r="R304" s="79" t="s">
        <v>353</v>
      </c>
      <c r="S304" s="79" t="s">
        <v>339</v>
      </c>
      <c r="T304" s="298">
        <f>IFERROR(Table6[[#This Row],[Breakdown Time]]*Table6[[#This Row],[Plant Equivalent Weightage]],"")</f>
        <v>7.5757575757575491E-3</v>
      </c>
      <c r="U304" s="79" t="s">
        <v>416</v>
      </c>
      <c r="W304" s="79">
        <v>74</v>
      </c>
    </row>
    <row r="305" spans="1:23">
      <c r="A305" s="79">
        <f t="shared" si="4"/>
        <v>304</v>
      </c>
      <c r="B305" s="79">
        <f>YEAR(Table6[[#This Row],[Date]])+IF(MONTH(Table6[[#This Row],[Date]])&gt;=4,1,0)</f>
        <v>2026</v>
      </c>
      <c r="C305" s="79">
        <f>YEAR(Table6[[#This Row],[Date]])</f>
        <v>2025</v>
      </c>
      <c r="D305" s="79" t="s">
        <v>344</v>
      </c>
      <c r="E305" s="284">
        <f>Table6[[#This Row],[Date]]-DAY(Table6[[#This Row],[Date]])+1</f>
        <v>45748</v>
      </c>
      <c r="F305" s="285">
        <v>45759</v>
      </c>
      <c r="G305" s="79" t="s">
        <v>104</v>
      </c>
      <c r="H305" s="79" t="str">
        <f>IFERROR(_xlfn.XLOOKUP(Table6[[#This Row],[Affected Feeder ]],'Basic Data'!$A:$A,'Basic Data'!$B:$B),"")</f>
        <v>PWEPL</v>
      </c>
      <c r="I305" s="79" t="str">
        <f>IFERROR(_xlfn.XLOOKUP(Table6[[#This Row],[Affected Feeder ]],'Basic Data'!$A:$A,'Basic Data'!$C:$C),"")</f>
        <v>MSEDCL</v>
      </c>
      <c r="J305" s="295">
        <f>IFERROR(_xlfn.XLOOKUP(Table6[[#This Row],[Affected Feeder ]],'Basic Data'!$A:$A,'Basic Data'!$E:$E),"")</f>
        <v>2.2727272727272728E-2</v>
      </c>
      <c r="K305" s="296" t="s">
        <v>422</v>
      </c>
      <c r="L305" s="297">
        <v>0.16527777777777777</v>
      </c>
      <c r="M305" s="297">
        <v>0.16527777777777777</v>
      </c>
      <c r="N305" s="297">
        <v>0.18402777777777779</v>
      </c>
      <c r="O305" s="19">
        <f>(Table6[[#This Row],[Work Start TimeStamp]]-Table6[[#This Row],[Fault Start TimeStamp]])*24</f>
        <v>0</v>
      </c>
      <c r="P305" s="19">
        <f>(Table6[[#This Row],[Fault Clearance time]]-Table6[[#This Row],[Fault Start TimeStamp]])*24</f>
        <v>0.4500000000000004</v>
      </c>
      <c r="Q305" s="19">
        <f>(Table6[[#This Row],[Fault Clearance time]]-Table6[[#This Row],[Fault Start TimeStamp]])*24</f>
        <v>0.4500000000000004</v>
      </c>
      <c r="R305" s="79" t="s">
        <v>424</v>
      </c>
      <c r="S305" s="79" t="s">
        <v>339</v>
      </c>
      <c r="T305" s="298">
        <f>IFERROR(Table6[[#This Row],[Breakdown Time]]*Table6[[#This Row],[Plant Equivalent Weightage]],"")</f>
        <v>1.0227272727272736E-2</v>
      </c>
      <c r="U305" s="79" t="s">
        <v>421</v>
      </c>
      <c r="W305" s="79">
        <v>226</v>
      </c>
    </row>
    <row r="306" spans="1:23">
      <c r="A306" s="79">
        <f t="shared" si="4"/>
        <v>305</v>
      </c>
      <c r="B306" s="79">
        <f>YEAR(Table6[[#This Row],[Date]])+IF(MONTH(Table6[[#This Row],[Date]])&gt;=4,1,0)</f>
        <v>2026</v>
      </c>
      <c r="C306" s="79">
        <f>YEAR(Table6[[#This Row],[Date]])</f>
        <v>2025</v>
      </c>
      <c r="D306" s="79" t="s">
        <v>344</v>
      </c>
      <c r="E306" s="284">
        <f>Table6[[#This Row],[Date]]-DAY(Table6[[#This Row],[Date]])+1</f>
        <v>45748</v>
      </c>
      <c r="F306" s="285">
        <v>45759</v>
      </c>
      <c r="G306" s="79" t="s">
        <v>104</v>
      </c>
      <c r="H306" s="79" t="str">
        <f>IFERROR(_xlfn.XLOOKUP(Table6[[#This Row],[Affected Feeder ]],'Basic Data'!$A:$A,'Basic Data'!$B:$B),"")</f>
        <v>PWEPL</v>
      </c>
      <c r="I306" s="79" t="str">
        <f>IFERROR(_xlfn.XLOOKUP(Table6[[#This Row],[Affected Feeder ]],'Basic Data'!$A:$A,'Basic Data'!$C:$C),"")</f>
        <v>MSEDCL</v>
      </c>
      <c r="J306" s="295">
        <f>IFERROR(_xlfn.XLOOKUP(Table6[[#This Row],[Affected Feeder ]],'Basic Data'!$A:$A,'Basic Data'!$E:$E),"")</f>
        <v>2.2727272727272728E-2</v>
      </c>
      <c r="K306" s="296" t="s">
        <v>171</v>
      </c>
      <c r="L306" s="297">
        <v>0.18402777777777779</v>
      </c>
      <c r="M306" s="297">
        <v>0.18402777777777779</v>
      </c>
      <c r="N306" s="297">
        <v>0.18680555555555556</v>
      </c>
      <c r="O306" s="19">
        <f>(Table6[[#This Row],[Work Start TimeStamp]]-Table6[[#This Row],[Fault Start TimeStamp]])*24</f>
        <v>0</v>
      </c>
      <c r="P306" s="19">
        <f>(Table6[[#This Row],[Fault Clearance time]]-Table6[[#This Row],[Fault Start TimeStamp]])*24</f>
        <v>6.666666666666643E-2</v>
      </c>
      <c r="Q306" s="19">
        <f>(Table6[[#This Row],[Fault Clearance time]]-Table6[[#This Row],[Fault Start TimeStamp]])*24</f>
        <v>6.666666666666643E-2</v>
      </c>
      <c r="R306" s="79" t="s">
        <v>353</v>
      </c>
      <c r="S306" s="79" t="s">
        <v>339</v>
      </c>
      <c r="T306" s="298">
        <f>IFERROR(Table6[[#This Row],[Breakdown Time]]*Table6[[#This Row],[Plant Equivalent Weightage]],"")</f>
        <v>1.5151515151515097E-3</v>
      </c>
      <c r="U306" s="79" t="s">
        <v>421</v>
      </c>
      <c r="W306" s="79">
        <v>182</v>
      </c>
    </row>
    <row r="307" spans="1:23">
      <c r="A307" s="79">
        <f t="shared" si="4"/>
        <v>306</v>
      </c>
      <c r="B307" s="79">
        <f>YEAR(Table6[[#This Row],[Date]])+IF(MONTH(Table6[[#This Row],[Date]])&gt;=4,1,0)</f>
        <v>2026</v>
      </c>
      <c r="C307" s="79">
        <f>YEAR(Table6[[#This Row],[Date]])</f>
        <v>2025</v>
      </c>
      <c r="D307" s="79" t="s">
        <v>344</v>
      </c>
      <c r="E307" s="284">
        <f>Table6[[#This Row],[Date]]-DAY(Table6[[#This Row],[Date]])+1</f>
        <v>45748</v>
      </c>
      <c r="F307" s="285">
        <v>45764</v>
      </c>
      <c r="G307" s="79" t="s">
        <v>404</v>
      </c>
      <c r="H307" s="79" t="str">
        <f>IFERROR(_xlfn.XLOOKUP(Table6[[#This Row],[Affected Feeder ]],'Basic Data'!$A:$A,'Basic Data'!$B:$B),"")</f>
        <v>PWEPL</v>
      </c>
      <c r="I307" s="79" t="str">
        <f>IFERROR(_xlfn.XLOOKUP(Table6[[#This Row],[Affected Feeder ]],'Basic Data'!$A:$A,'Basic Data'!$C:$C),"")</f>
        <v>MSEDCL</v>
      </c>
      <c r="J307" s="295">
        <f>IFERROR(_xlfn.XLOOKUP(Table6[[#This Row],[Affected Feeder ]],'Basic Data'!$A:$A,'Basic Data'!$E:$E),"")</f>
        <v>0.27272727272727276</v>
      </c>
      <c r="K307" s="296" t="s">
        <v>447</v>
      </c>
      <c r="L307" s="297">
        <v>0.52083333333333337</v>
      </c>
      <c r="M307" s="297">
        <v>0.52083333333333337</v>
      </c>
      <c r="N307" s="297">
        <v>0.53055555555555556</v>
      </c>
      <c r="O307" s="19">
        <f>(Table6[[#This Row],[Work Start TimeStamp]]-Table6[[#This Row],[Fault Start TimeStamp]])*24</f>
        <v>0</v>
      </c>
      <c r="P307" s="19">
        <f>(Table6[[#This Row],[Fault Clearance time]]-Table6[[#This Row],[Fault Start TimeStamp]])*24</f>
        <v>0.2333333333333325</v>
      </c>
      <c r="Q307" s="19">
        <f>(Table6[[#This Row],[Fault Clearance time]]-Table6[[#This Row],[Fault Start TimeStamp]])*24</f>
        <v>0.2333333333333325</v>
      </c>
      <c r="R307" s="79" t="s">
        <v>420</v>
      </c>
      <c r="S307" s="79" t="s">
        <v>339</v>
      </c>
      <c r="T307" s="298">
        <f>IFERROR(Table6[[#This Row],[Breakdown Time]]*Table6[[#This Row],[Plant Equivalent Weightage]],"")</f>
        <v>6.3636363636363422E-2</v>
      </c>
      <c r="U307" s="79" t="s">
        <v>421</v>
      </c>
      <c r="W307" s="79">
        <v>991</v>
      </c>
    </row>
    <row r="308" spans="1:23">
      <c r="A308" s="79">
        <f t="shared" si="4"/>
        <v>307</v>
      </c>
      <c r="B308" s="79">
        <f>YEAR(Table6[[#This Row],[Date]])+IF(MONTH(Table6[[#This Row],[Date]])&gt;=4,1,0)</f>
        <v>2026</v>
      </c>
      <c r="C308" s="79">
        <f>YEAR(Table6[[#This Row],[Date]])</f>
        <v>2025</v>
      </c>
      <c r="D308" s="79" t="s">
        <v>344</v>
      </c>
      <c r="E308" s="284">
        <f>Table6[[#This Row],[Date]]-DAY(Table6[[#This Row],[Date]])+1</f>
        <v>45748</v>
      </c>
      <c r="F308" s="285">
        <v>45764</v>
      </c>
      <c r="G308" s="79" t="s">
        <v>89</v>
      </c>
      <c r="H308" s="79" t="str">
        <f>IFERROR(_xlfn.XLOOKUP(Table6[[#This Row],[Affected Feeder ]],'Basic Data'!$A:$A,'Basic Data'!$B:$B),"")</f>
        <v>PWEPL</v>
      </c>
      <c r="I308" s="79" t="str">
        <f>IFERROR(_xlfn.XLOOKUP(Table6[[#This Row],[Affected Feeder ]],'Basic Data'!$A:$A,'Basic Data'!$C:$C),"")</f>
        <v>MSEDCL</v>
      </c>
      <c r="J308" s="295">
        <f>IFERROR(_xlfn.XLOOKUP(Table6[[#This Row],[Affected Feeder ]],'Basic Data'!$A:$A,'Basic Data'!$E:$E),"")</f>
        <v>2.2727272727272728E-2</v>
      </c>
      <c r="K308" s="296" t="s">
        <v>171</v>
      </c>
      <c r="L308" s="297">
        <v>0.53055555555555556</v>
      </c>
      <c r="M308" s="297">
        <v>0.53055555555555556</v>
      </c>
      <c r="N308" s="297">
        <v>0.53472222222222221</v>
      </c>
      <c r="O308" s="19">
        <f>(Table6[[#This Row],[Work Start TimeStamp]]-Table6[[#This Row],[Fault Start TimeStamp]])*24</f>
        <v>0</v>
      </c>
      <c r="P308" s="19">
        <f>(Table6[[#This Row],[Fault Clearance time]]-Table6[[#This Row],[Fault Start TimeStamp]])*24</f>
        <v>9.9999999999999645E-2</v>
      </c>
      <c r="Q308" s="19">
        <f>(Table6[[#This Row],[Fault Clearance time]]-Table6[[#This Row],[Fault Start TimeStamp]])*24</f>
        <v>9.9999999999999645E-2</v>
      </c>
      <c r="R308" s="79" t="s">
        <v>353</v>
      </c>
      <c r="S308" s="79" t="s">
        <v>339</v>
      </c>
      <c r="T308" s="298">
        <f>IFERROR(Table6[[#This Row],[Breakdown Time]]*Table6[[#This Row],[Plant Equivalent Weightage]],"")</f>
        <v>2.2727272727272648E-3</v>
      </c>
      <c r="U308" s="79" t="s">
        <v>421</v>
      </c>
      <c r="W308" s="79">
        <v>34</v>
      </c>
    </row>
    <row r="309" spans="1:23">
      <c r="A309" s="79">
        <f t="shared" si="4"/>
        <v>308</v>
      </c>
      <c r="B309" s="79">
        <f>YEAR(Table6[[#This Row],[Date]])+IF(MONTH(Table6[[#This Row],[Date]])&gt;=4,1,0)</f>
        <v>2026</v>
      </c>
      <c r="C309" s="79">
        <f>YEAR(Table6[[#This Row],[Date]])</f>
        <v>2025</v>
      </c>
      <c r="D309" s="79" t="s">
        <v>344</v>
      </c>
      <c r="E309" s="284">
        <f>Table6[[#This Row],[Date]]-DAY(Table6[[#This Row],[Date]])+1</f>
        <v>45748</v>
      </c>
      <c r="F309" s="285">
        <v>45764</v>
      </c>
      <c r="G309" s="79" t="s">
        <v>90</v>
      </c>
      <c r="H309" s="79" t="str">
        <f>IFERROR(_xlfn.XLOOKUP(Table6[[#This Row],[Affected Feeder ]],'Basic Data'!$A:$A,'Basic Data'!$B:$B),"")</f>
        <v>PWEPL</v>
      </c>
      <c r="I309" s="79" t="str">
        <f>IFERROR(_xlfn.XLOOKUP(Table6[[#This Row],[Affected Feeder ]],'Basic Data'!$A:$A,'Basic Data'!$C:$C),"")</f>
        <v>MSEDCL</v>
      </c>
      <c r="J309" s="295">
        <f>IFERROR(_xlfn.XLOOKUP(Table6[[#This Row],[Affected Feeder ]],'Basic Data'!$A:$A,'Basic Data'!$E:$E),"")</f>
        <v>2.2727272727272728E-2</v>
      </c>
      <c r="K309" s="296" t="s">
        <v>171</v>
      </c>
      <c r="L309" s="297">
        <v>0.53055555555555556</v>
      </c>
      <c r="M309" s="297">
        <v>0.53055555555555556</v>
      </c>
      <c r="N309" s="297">
        <v>0.53263888888888888</v>
      </c>
      <c r="O309" s="19">
        <f>(Table6[[#This Row],[Work Start TimeStamp]]-Table6[[#This Row],[Fault Start TimeStamp]])*24</f>
        <v>0</v>
      </c>
      <c r="P309" s="19">
        <f>(Table6[[#This Row],[Fault Clearance time]]-Table6[[#This Row],[Fault Start TimeStamp]])*24</f>
        <v>4.9999999999999822E-2</v>
      </c>
      <c r="Q309" s="19">
        <f>(Table6[[#This Row],[Fault Clearance time]]-Table6[[#This Row],[Fault Start TimeStamp]])*24</f>
        <v>4.9999999999999822E-2</v>
      </c>
      <c r="R309" s="79" t="s">
        <v>353</v>
      </c>
      <c r="S309" s="79" t="s">
        <v>339</v>
      </c>
      <c r="T309" s="298">
        <f>IFERROR(Table6[[#This Row],[Breakdown Time]]*Table6[[#This Row],[Plant Equivalent Weightage]],"")</f>
        <v>1.1363636363636324E-3</v>
      </c>
      <c r="U309" s="79" t="s">
        <v>421</v>
      </c>
      <c r="W309" s="79">
        <v>17</v>
      </c>
    </row>
    <row r="310" spans="1:23">
      <c r="A310" s="79">
        <f t="shared" si="4"/>
        <v>309</v>
      </c>
      <c r="B310" s="79">
        <f>YEAR(Table6[[#This Row],[Date]])+IF(MONTH(Table6[[#This Row],[Date]])&gt;=4,1,0)</f>
        <v>2026</v>
      </c>
      <c r="C310" s="79">
        <f>YEAR(Table6[[#This Row],[Date]])</f>
        <v>2025</v>
      </c>
      <c r="D310" s="79" t="s">
        <v>344</v>
      </c>
      <c r="E310" s="284">
        <f>Table6[[#This Row],[Date]]-DAY(Table6[[#This Row],[Date]])+1</f>
        <v>45748</v>
      </c>
      <c r="F310" s="285">
        <v>45764</v>
      </c>
      <c r="G310" s="79" t="s">
        <v>91</v>
      </c>
      <c r="H310" s="79" t="str">
        <f>IFERROR(_xlfn.XLOOKUP(Table6[[#This Row],[Affected Feeder ]],'Basic Data'!$A:$A,'Basic Data'!$B:$B),"")</f>
        <v>PWEPL</v>
      </c>
      <c r="I310" s="79" t="str">
        <f>IFERROR(_xlfn.XLOOKUP(Table6[[#This Row],[Affected Feeder ]],'Basic Data'!$A:$A,'Basic Data'!$C:$C),"")</f>
        <v>MSEDCL</v>
      </c>
      <c r="J310" s="295">
        <f>IFERROR(_xlfn.XLOOKUP(Table6[[#This Row],[Affected Feeder ]],'Basic Data'!$A:$A,'Basic Data'!$E:$E),"")</f>
        <v>2.2727272727272728E-2</v>
      </c>
      <c r="K310" s="296" t="s">
        <v>171</v>
      </c>
      <c r="L310" s="297">
        <v>0.53055555555555556</v>
      </c>
      <c r="M310" s="297">
        <v>0.53055555555555556</v>
      </c>
      <c r="N310" s="297">
        <v>0.53333333333333333</v>
      </c>
      <c r="O310" s="19">
        <f>(Table6[[#This Row],[Work Start TimeStamp]]-Table6[[#This Row],[Fault Start TimeStamp]])*24</f>
        <v>0</v>
      </c>
      <c r="P310" s="19">
        <f>(Table6[[#This Row],[Fault Clearance time]]-Table6[[#This Row],[Fault Start TimeStamp]])*24</f>
        <v>6.666666666666643E-2</v>
      </c>
      <c r="Q310" s="19">
        <f>(Table6[[#This Row],[Fault Clearance time]]-Table6[[#This Row],[Fault Start TimeStamp]])*24</f>
        <v>6.666666666666643E-2</v>
      </c>
      <c r="R310" s="79" t="s">
        <v>353</v>
      </c>
      <c r="S310" s="79" t="s">
        <v>339</v>
      </c>
      <c r="T310" s="298">
        <f>IFERROR(Table6[[#This Row],[Breakdown Time]]*Table6[[#This Row],[Plant Equivalent Weightage]],"")</f>
        <v>1.5151515151515097E-3</v>
      </c>
      <c r="U310" s="79" t="s">
        <v>421</v>
      </c>
      <c r="W310" s="79">
        <v>22</v>
      </c>
    </row>
    <row r="311" spans="1:23">
      <c r="A311" s="79">
        <f t="shared" si="4"/>
        <v>310</v>
      </c>
      <c r="B311" s="79">
        <f>YEAR(Table6[[#This Row],[Date]])+IF(MONTH(Table6[[#This Row],[Date]])&gt;=4,1,0)</f>
        <v>2026</v>
      </c>
      <c r="C311" s="79">
        <f>YEAR(Table6[[#This Row],[Date]])</f>
        <v>2025</v>
      </c>
      <c r="D311" s="79" t="s">
        <v>344</v>
      </c>
      <c r="E311" s="284">
        <f>Table6[[#This Row],[Date]]-DAY(Table6[[#This Row],[Date]])+1</f>
        <v>45748</v>
      </c>
      <c r="F311" s="285">
        <v>45764</v>
      </c>
      <c r="G311" s="79" t="s">
        <v>92</v>
      </c>
      <c r="H311" s="79" t="str">
        <f>IFERROR(_xlfn.XLOOKUP(Table6[[#This Row],[Affected Feeder ]],'Basic Data'!$A:$A,'Basic Data'!$B:$B),"")</f>
        <v>PWEPL</v>
      </c>
      <c r="I311" s="79" t="str">
        <f>IFERROR(_xlfn.XLOOKUP(Table6[[#This Row],[Affected Feeder ]],'Basic Data'!$A:$A,'Basic Data'!$C:$C),"")</f>
        <v>MSEDCL</v>
      </c>
      <c r="J311" s="295">
        <f>IFERROR(_xlfn.XLOOKUP(Table6[[#This Row],[Affected Feeder ]],'Basic Data'!$A:$A,'Basic Data'!$E:$E),"")</f>
        <v>2.2727272727272728E-2</v>
      </c>
      <c r="K311" s="296" t="s">
        <v>171</v>
      </c>
      <c r="L311" s="297">
        <v>0.53055555555555556</v>
      </c>
      <c r="M311" s="297">
        <v>0.53055555555555556</v>
      </c>
      <c r="N311" s="297">
        <v>0.53263888888888888</v>
      </c>
      <c r="O311" s="19">
        <f>(Table6[[#This Row],[Work Start TimeStamp]]-Table6[[#This Row],[Fault Start TimeStamp]])*24</f>
        <v>0</v>
      </c>
      <c r="P311" s="19">
        <f>(Table6[[#This Row],[Fault Clearance time]]-Table6[[#This Row],[Fault Start TimeStamp]])*24</f>
        <v>4.9999999999999822E-2</v>
      </c>
      <c r="Q311" s="19">
        <f>(Table6[[#This Row],[Fault Clearance time]]-Table6[[#This Row],[Fault Start TimeStamp]])*24</f>
        <v>4.9999999999999822E-2</v>
      </c>
      <c r="R311" s="79" t="s">
        <v>353</v>
      </c>
      <c r="S311" s="79" t="s">
        <v>339</v>
      </c>
      <c r="T311" s="298">
        <f>IFERROR(Table6[[#This Row],[Breakdown Time]]*Table6[[#This Row],[Plant Equivalent Weightage]],"")</f>
        <v>1.1363636363636324E-3</v>
      </c>
      <c r="U311" s="79" t="s">
        <v>421</v>
      </c>
      <c r="W311" s="79">
        <v>17</v>
      </c>
    </row>
    <row r="312" spans="1:23">
      <c r="A312" s="79">
        <f t="shared" si="4"/>
        <v>311</v>
      </c>
      <c r="B312" s="79">
        <f>YEAR(Table6[[#This Row],[Date]])+IF(MONTH(Table6[[#This Row],[Date]])&gt;=4,1,0)</f>
        <v>2026</v>
      </c>
      <c r="C312" s="79">
        <f>YEAR(Table6[[#This Row],[Date]])</f>
        <v>2025</v>
      </c>
      <c r="D312" s="79" t="s">
        <v>344</v>
      </c>
      <c r="E312" s="284">
        <f>Table6[[#This Row],[Date]]-DAY(Table6[[#This Row],[Date]])+1</f>
        <v>45748</v>
      </c>
      <c r="F312" s="285">
        <v>45764</v>
      </c>
      <c r="G312" s="79" t="s">
        <v>94</v>
      </c>
      <c r="H312" s="79" t="str">
        <f>IFERROR(_xlfn.XLOOKUP(Table6[[#This Row],[Affected Feeder ]],'Basic Data'!$A:$A,'Basic Data'!$B:$B),"")</f>
        <v>PWEPL</v>
      </c>
      <c r="I312" s="79" t="str">
        <f>IFERROR(_xlfn.XLOOKUP(Table6[[#This Row],[Affected Feeder ]],'Basic Data'!$A:$A,'Basic Data'!$C:$C),"")</f>
        <v>MSEDCL</v>
      </c>
      <c r="J312" s="295">
        <f>IFERROR(_xlfn.XLOOKUP(Table6[[#This Row],[Affected Feeder ]],'Basic Data'!$A:$A,'Basic Data'!$E:$E),"")</f>
        <v>2.2727272727272728E-2</v>
      </c>
      <c r="K312" s="296" t="s">
        <v>171</v>
      </c>
      <c r="L312" s="297">
        <v>0.53055555555555556</v>
      </c>
      <c r="M312" s="297">
        <v>0.53055555555555556</v>
      </c>
      <c r="N312" s="297">
        <v>0.53819444444444442</v>
      </c>
      <c r="O312" s="19">
        <f>(Table6[[#This Row],[Work Start TimeStamp]]-Table6[[#This Row],[Fault Start TimeStamp]])*24</f>
        <v>0</v>
      </c>
      <c r="P312" s="19">
        <f>(Table6[[#This Row],[Fault Clearance time]]-Table6[[#This Row],[Fault Start TimeStamp]])*24</f>
        <v>0.18333333333333268</v>
      </c>
      <c r="Q312" s="19">
        <f>(Table6[[#This Row],[Fault Clearance time]]-Table6[[#This Row],[Fault Start TimeStamp]])*24</f>
        <v>0.18333333333333268</v>
      </c>
      <c r="R312" s="79" t="s">
        <v>353</v>
      </c>
      <c r="S312" s="79" t="s">
        <v>339</v>
      </c>
      <c r="T312" s="298">
        <f>IFERROR(Table6[[#This Row],[Breakdown Time]]*Table6[[#This Row],[Plant Equivalent Weightage]],"")</f>
        <v>4.1666666666666519E-3</v>
      </c>
      <c r="U312" s="79" t="s">
        <v>421</v>
      </c>
      <c r="W312" s="79">
        <v>62</v>
      </c>
    </row>
    <row r="313" spans="1:23">
      <c r="A313" s="79">
        <f t="shared" si="4"/>
        <v>312</v>
      </c>
      <c r="B313" s="79">
        <f>YEAR(Table6[[#This Row],[Date]])+IF(MONTH(Table6[[#This Row],[Date]])&gt;=4,1,0)</f>
        <v>2026</v>
      </c>
      <c r="C313" s="79">
        <f>YEAR(Table6[[#This Row],[Date]])</f>
        <v>2025</v>
      </c>
      <c r="D313" s="79" t="s">
        <v>344</v>
      </c>
      <c r="E313" s="284">
        <f>Table6[[#This Row],[Date]]-DAY(Table6[[#This Row],[Date]])+1</f>
        <v>45748</v>
      </c>
      <c r="F313" s="285">
        <v>45764</v>
      </c>
      <c r="G313" s="79" t="s">
        <v>95</v>
      </c>
      <c r="H313" s="79" t="str">
        <f>IFERROR(_xlfn.XLOOKUP(Table6[[#This Row],[Affected Feeder ]],'Basic Data'!$A:$A,'Basic Data'!$B:$B),"")</f>
        <v>PWEPL</v>
      </c>
      <c r="I313" s="79" t="str">
        <f>IFERROR(_xlfn.XLOOKUP(Table6[[#This Row],[Affected Feeder ]],'Basic Data'!$A:$A,'Basic Data'!$C:$C),"")</f>
        <v>MSEDCL</v>
      </c>
      <c r="J313" s="295">
        <f>IFERROR(_xlfn.XLOOKUP(Table6[[#This Row],[Affected Feeder ]],'Basic Data'!$A:$A,'Basic Data'!$E:$E),"")</f>
        <v>2.2727272727272728E-2</v>
      </c>
      <c r="K313" s="296" t="s">
        <v>171</v>
      </c>
      <c r="L313" s="297">
        <v>0.53055555555555556</v>
      </c>
      <c r="M313" s="297">
        <v>0.53055555555555556</v>
      </c>
      <c r="N313" s="297">
        <v>0.5395833333333333</v>
      </c>
      <c r="O313" s="19">
        <f>(Table6[[#This Row],[Work Start TimeStamp]]-Table6[[#This Row],[Fault Start TimeStamp]])*24</f>
        <v>0</v>
      </c>
      <c r="P313" s="19">
        <f>(Table6[[#This Row],[Fault Clearance time]]-Table6[[#This Row],[Fault Start TimeStamp]])*24</f>
        <v>0.2166666666666659</v>
      </c>
      <c r="Q313" s="19">
        <f>(Table6[[#This Row],[Fault Clearance time]]-Table6[[#This Row],[Fault Start TimeStamp]])*24</f>
        <v>0.2166666666666659</v>
      </c>
      <c r="R313" s="79" t="s">
        <v>353</v>
      </c>
      <c r="S313" s="79" t="s">
        <v>339</v>
      </c>
      <c r="T313" s="298">
        <f>IFERROR(Table6[[#This Row],[Breakdown Time]]*Table6[[#This Row],[Plant Equivalent Weightage]],"")</f>
        <v>4.9242424242424065E-3</v>
      </c>
      <c r="U313" s="79" t="s">
        <v>421</v>
      </c>
      <c r="W313" s="79">
        <v>73</v>
      </c>
    </row>
    <row r="314" spans="1:23">
      <c r="A314" s="79">
        <f t="shared" si="4"/>
        <v>313</v>
      </c>
      <c r="B314" s="79">
        <f>YEAR(Table6[[#This Row],[Date]])+IF(MONTH(Table6[[#This Row],[Date]])&gt;=4,1,0)</f>
        <v>2026</v>
      </c>
      <c r="C314" s="79">
        <f>YEAR(Table6[[#This Row],[Date]])</f>
        <v>2025</v>
      </c>
      <c r="D314" s="79" t="s">
        <v>344</v>
      </c>
      <c r="E314" s="284">
        <f>Table6[[#This Row],[Date]]-DAY(Table6[[#This Row],[Date]])+1</f>
        <v>45748</v>
      </c>
      <c r="F314" s="285">
        <v>45764</v>
      </c>
      <c r="G314" s="79" t="s">
        <v>106</v>
      </c>
      <c r="H314" s="79" t="str">
        <f>IFERROR(_xlfn.XLOOKUP(Table6[[#This Row],[Affected Feeder ]],'Basic Data'!$A:$A,'Basic Data'!$B:$B),"")</f>
        <v>PWEPL</v>
      </c>
      <c r="I314" s="79" t="str">
        <f>IFERROR(_xlfn.XLOOKUP(Table6[[#This Row],[Affected Feeder ]],'Basic Data'!$A:$A,'Basic Data'!$C:$C),"")</f>
        <v>MSEDCL</v>
      </c>
      <c r="J314" s="295">
        <f>IFERROR(_xlfn.XLOOKUP(Table6[[#This Row],[Affected Feeder ]],'Basic Data'!$A:$A,'Basic Data'!$E:$E),"")</f>
        <v>2.2727272727272728E-2</v>
      </c>
      <c r="K314" s="296" t="s">
        <v>171</v>
      </c>
      <c r="L314" s="297">
        <v>0.53055555555555556</v>
      </c>
      <c r="M314" s="297">
        <v>0.53055555555555556</v>
      </c>
      <c r="N314" s="297">
        <v>0.53888888888888886</v>
      </c>
      <c r="O314" s="19">
        <f>(Table6[[#This Row],[Work Start TimeStamp]]-Table6[[#This Row],[Fault Start TimeStamp]])*24</f>
        <v>0</v>
      </c>
      <c r="P314" s="19">
        <f>(Table6[[#This Row],[Fault Clearance time]]-Table6[[#This Row],[Fault Start TimeStamp]])*24</f>
        <v>0.19999999999999929</v>
      </c>
      <c r="Q314" s="19">
        <f>(Table6[[#This Row],[Fault Clearance time]]-Table6[[#This Row],[Fault Start TimeStamp]])*24</f>
        <v>0.19999999999999929</v>
      </c>
      <c r="R314" s="79" t="s">
        <v>353</v>
      </c>
      <c r="S314" s="79" t="s">
        <v>339</v>
      </c>
      <c r="T314" s="298">
        <f>IFERROR(Table6[[#This Row],[Breakdown Time]]*Table6[[#This Row],[Plant Equivalent Weightage]],"")</f>
        <v>4.5454545454545296E-3</v>
      </c>
      <c r="U314" s="79" t="s">
        <v>421</v>
      </c>
      <c r="W314" s="79">
        <v>67</v>
      </c>
    </row>
    <row r="315" spans="1:23">
      <c r="A315" s="79">
        <f t="shared" si="4"/>
        <v>314</v>
      </c>
      <c r="B315" s="79">
        <f>YEAR(Table6[[#This Row],[Date]])+IF(MONTH(Table6[[#This Row],[Date]])&gt;=4,1,0)</f>
        <v>2026</v>
      </c>
      <c r="C315" s="79">
        <f>YEAR(Table6[[#This Row],[Date]])</f>
        <v>2025</v>
      </c>
      <c r="D315" s="79" t="s">
        <v>344</v>
      </c>
      <c r="E315" s="284">
        <f>Table6[[#This Row],[Date]]-DAY(Table6[[#This Row],[Date]])+1</f>
        <v>45748</v>
      </c>
      <c r="F315" s="285">
        <v>45764</v>
      </c>
      <c r="G315" s="79" t="s">
        <v>79</v>
      </c>
      <c r="H315" s="79" t="str">
        <f>IFERROR(_xlfn.XLOOKUP(Table6[[#This Row],[Affected Feeder ]],'Basic Data'!$A:$A,'Basic Data'!$B:$B),"")</f>
        <v>PWEPL</v>
      </c>
      <c r="I315" s="79" t="str">
        <f>IFERROR(_xlfn.XLOOKUP(Table6[[#This Row],[Affected Feeder ]],'Basic Data'!$A:$A,'Basic Data'!$C:$C),"")</f>
        <v>MSEDCL</v>
      </c>
      <c r="J315" s="295">
        <f>IFERROR(_xlfn.XLOOKUP(Table6[[#This Row],[Affected Feeder ]],'Basic Data'!$A:$A,'Basic Data'!$E:$E),"")</f>
        <v>2.2727272727272728E-2</v>
      </c>
      <c r="K315" s="296" t="s">
        <v>171</v>
      </c>
      <c r="L315" s="297">
        <v>0.53055555555555556</v>
      </c>
      <c r="M315" s="297">
        <v>0.53055555555555556</v>
      </c>
      <c r="N315" s="297">
        <v>0.53888888888888886</v>
      </c>
      <c r="O315" s="19">
        <f>(Table6[[#This Row],[Work Start TimeStamp]]-Table6[[#This Row],[Fault Start TimeStamp]])*24</f>
        <v>0</v>
      </c>
      <c r="P315" s="19">
        <f>(Table6[[#This Row],[Fault Clearance time]]-Table6[[#This Row],[Fault Start TimeStamp]])*24</f>
        <v>0.19999999999999929</v>
      </c>
      <c r="Q315" s="19">
        <f>(Table6[[#This Row],[Fault Clearance time]]-Table6[[#This Row],[Fault Start TimeStamp]])*24</f>
        <v>0.19999999999999929</v>
      </c>
      <c r="R315" s="79" t="s">
        <v>353</v>
      </c>
      <c r="S315" s="79" t="s">
        <v>339</v>
      </c>
      <c r="T315" s="298">
        <f>IFERROR(Table6[[#This Row],[Breakdown Time]]*Table6[[#This Row],[Plant Equivalent Weightage]],"")</f>
        <v>4.5454545454545296E-3</v>
      </c>
      <c r="U315" s="79" t="s">
        <v>421</v>
      </c>
      <c r="W315" s="79">
        <v>67</v>
      </c>
    </row>
    <row r="316" spans="1:23">
      <c r="A316" s="79">
        <f t="shared" si="4"/>
        <v>315</v>
      </c>
      <c r="B316" s="79">
        <f>YEAR(Table6[[#This Row],[Date]])+IF(MONTH(Table6[[#This Row],[Date]])&gt;=4,1,0)</f>
        <v>2026</v>
      </c>
      <c r="C316" s="79">
        <f>YEAR(Table6[[#This Row],[Date]])</f>
        <v>2025</v>
      </c>
      <c r="D316" s="79" t="s">
        <v>344</v>
      </c>
      <c r="E316" s="284">
        <f>Table6[[#This Row],[Date]]-DAY(Table6[[#This Row],[Date]])+1</f>
        <v>45748</v>
      </c>
      <c r="F316" s="285">
        <v>45764</v>
      </c>
      <c r="G316" s="79" t="s">
        <v>96</v>
      </c>
      <c r="H316" s="79" t="str">
        <f>IFERROR(_xlfn.XLOOKUP(Table6[[#This Row],[Affected Feeder ]],'Basic Data'!$A:$A,'Basic Data'!$B:$B),"")</f>
        <v>PWEPL</v>
      </c>
      <c r="I316" s="79" t="str">
        <f>IFERROR(_xlfn.XLOOKUP(Table6[[#This Row],[Affected Feeder ]],'Basic Data'!$A:$A,'Basic Data'!$C:$C),"")</f>
        <v>MSEDCL</v>
      </c>
      <c r="J316" s="295">
        <f>IFERROR(_xlfn.XLOOKUP(Table6[[#This Row],[Affected Feeder ]],'Basic Data'!$A:$A,'Basic Data'!$E:$E),"")</f>
        <v>2.2727272727272728E-2</v>
      </c>
      <c r="K316" s="296" t="s">
        <v>171</v>
      </c>
      <c r="L316" s="297">
        <v>0.53055555555555556</v>
      </c>
      <c r="M316" s="297">
        <v>0.53055555555555556</v>
      </c>
      <c r="N316" s="297">
        <v>0.5395833333333333</v>
      </c>
      <c r="O316" s="19">
        <f>(Table6[[#This Row],[Work Start TimeStamp]]-Table6[[#This Row],[Fault Start TimeStamp]])*24</f>
        <v>0</v>
      </c>
      <c r="P316" s="19">
        <f>(Table6[[#This Row],[Fault Clearance time]]-Table6[[#This Row],[Fault Start TimeStamp]])*24</f>
        <v>0.2166666666666659</v>
      </c>
      <c r="Q316" s="19">
        <f>(Table6[[#This Row],[Fault Clearance time]]-Table6[[#This Row],[Fault Start TimeStamp]])*24</f>
        <v>0.2166666666666659</v>
      </c>
      <c r="R316" s="79" t="s">
        <v>353</v>
      </c>
      <c r="S316" s="79" t="s">
        <v>339</v>
      </c>
      <c r="T316" s="298">
        <f>IFERROR(Table6[[#This Row],[Breakdown Time]]*Table6[[#This Row],[Plant Equivalent Weightage]],"")</f>
        <v>4.9242424242424065E-3</v>
      </c>
      <c r="U316" s="79" t="s">
        <v>421</v>
      </c>
      <c r="W316" s="79">
        <v>73</v>
      </c>
    </row>
    <row r="317" spans="1:23">
      <c r="A317" s="79">
        <f t="shared" si="4"/>
        <v>316</v>
      </c>
      <c r="B317" s="79">
        <f>YEAR(Table6[[#This Row],[Date]])+IF(MONTH(Table6[[#This Row],[Date]])&gt;=4,1,0)</f>
        <v>2026</v>
      </c>
      <c r="C317" s="79">
        <f>YEAR(Table6[[#This Row],[Date]])</f>
        <v>2025</v>
      </c>
      <c r="D317" s="79" t="s">
        <v>344</v>
      </c>
      <c r="E317" s="284">
        <f>Table6[[#This Row],[Date]]-DAY(Table6[[#This Row],[Date]])+1</f>
        <v>45748</v>
      </c>
      <c r="F317" s="285">
        <v>45764</v>
      </c>
      <c r="G317" s="79" t="s">
        <v>97</v>
      </c>
      <c r="H317" s="79" t="str">
        <f>IFERROR(_xlfn.XLOOKUP(Table6[[#This Row],[Affected Feeder ]],'Basic Data'!$A:$A,'Basic Data'!$B:$B),"")</f>
        <v>PWEPL</v>
      </c>
      <c r="I317" s="79" t="str">
        <f>IFERROR(_xlfn.XLOOKUP(Table6[[#This Row],[Affected Feeder ]],'Basic Data'!$A:$A,'Basic Data'!$C:$C),"")</f>
        <v>MSEDCL</v>
      </c>
      <c r="J317" s="295">
        <f>IFERROR(_xlfn.XLOOKUP(Table6[[#This Row],[Affected Feeder ]],'Basic Data'!$A:$A,'Basic Data'!$E:$E),"")</f>
        <v>2.2727272727272728E-2</v>
      </c>
      <c r="K317" s="296" t="s">
        <v>171</v>
      </c>
      <c r="L317" s="297">
        <v>0.53055555555555556</v>
      </c>
      <c r="M317" s="297">
        <v>0.53055555555555556</v>
      </c>
      <c r="N317" s="297">
        <v>0.5395833333333333</v>
      </c>
      <c r="O317" s="19">
        <f>(Table6[[#This Row],[Work Start TimeStamp]]-Table6[[#This Row],[Fault Start TimeStamp]])*24</f>
        <v>0</v>
      </c>
      <c r="P317" s="19">
        <f>(Table6[[#This Row],[Fault Clearance time]]-Table6[[#This Row],[Fault Start TimeStamp]])*24</f>
        <v>0.2166666666666659</v>
      </c>
      <c r="Q317" s="19">
        <f>(Table6[[#This Row],[Fault Clearance time]]-Table6[[#This Row],[Fault Start TimeStamp]])*24</f>
        <v>0.2166666666666659</v>
      </c>
      <c r="R317" s="79" t="s">
        <v>353</v>
      </c>
      <c r="S317" s="79" t="s">
        <v>339</v>
      </c>
      <c r="T317" s="298">
        <f>IFERROR(Table6[[#This Row],[Breakdown Time]]*Table6[[#This Row],[Plant Equivalent Weightage]],"")</f>
        <v>4.9242424242424065E-3</v>
      </c>
      <c r="U317" s="79" t="s">
        <v>421</v>
      </c>
      <c r="W317" s="79">
        <v>73</v>
      </c>
    </row>
    <row r="318" spans="1:23">
      <c r="A318" s="79">
        <f t="shared" si="4"/>
        <v>317</v>
      </c>
      <c r="B318" s="79">
        <f>YEAR(Table6[[#This Row],[Date]])+IF(MONTH(Table6[[#This Row],[Date]])&gt;=4,1,0)</f>
        <v>2026</v>
      </c>
      <c r="C318" s="79">
        <f>YEAR(Table6[[#This Row],[Date]])</f>
        <v>2025</v>
      </c>
      <c r="D318" s="79" t="s">
        <v>344</v>
      </c>
      <c r="E318" s="284">
        <f>Table6[[#This Row],[Date]]-DAY(Table6[[#This Row],[Date]])+1</f>
        <v>45748</v>
      </c>
      <c r="F318" s="285">
        <v>45764</v>
      </c>
      <c r="G318" s="79" t="s">
        <v>104</v>
      </c>
      <c r="H318" s="79" t="str">
        <f>IFERROR(_xlfn.XLOOKUP(Table6[[#This Row],[Affected Feeder ]],'Basic Data'!$A:$A,'Basic Data'!$B:$B),"")</f>
        <v>PWEPL</v>
      </c>
      <c r="I318" s="79" t="str">
        <f>IFERROR(_xlfn.XLOOKUP(Table6[[#This Row],[Affected Feeder ]],'Basic Data'!$A:$A,'Basic Data'!$C:$C),"")</f>
        <v>MSEDCL</v>
      </c>
      <c r="J318" s="295">
        <f>IFERROR(_xlfn.XLOOKUP(Table6[[#This Row],[Affected Feeder ]],'Basic Data'!$A:$A,'Basic Data'!$E:$E),"")</f>
        <v>2.2727272727272728E-2</v>
      </c>
      <c r="K318" s="296" t="s">
        <v>171</v>
      </c>
      <c r="L318" s="297">
        <v>0.53055555555555556</v>
      </c>
      <c r="M318" s="297">
        <v>0.53055555555555556</v>
      </c>
      <c r="N318" s="297">
        <v>0.54027777777777775</v>
      </c>
      <c r="O318" s="19">
        <f>(Table6[[#This Row],[Work Start TimeStamp]]-Table6[[#This Row],[Fault Start TimeStamp]])*24</f>
        <v>0</v>
      </c>
      <c r="P318" s="19">
        <f>(Table6[[#This Row],[Fault Clearance time]]-Table6[[#This Row],[Fault Start TimeStamp]])*24</f>
        <v>0.2333333333333325</v>
      </c>
      <c r="Q318" s="19">
        <f>(Table6[[#This Row],[Fault Clearance time]]-Table6[[#This Row],[Fault Start TimeStamp]])*24</f>
        <v>0.2333333333333325</v>
      </c>
      <c r="R318" s="79" t="s">
        <v>353</v>
      </c>
      <c r="S318" s="79" t="s">
        <v>339</v>
      </c>
      <c r="T318" s="298">
        <f>IFERROR(Table6[[#This Row],[Breakdown Time]]*Table6[[#This Row],[Plant Equivalent Weightage]],"")</f>
        <v>5.3030303030302843E-3</v>
      </c>
      <c r="U318" s="79" t="s">
        <v>421</v>
      </c>
      <c r="W318" s="79">
        <v>78</v>
      </c>
    </row>
    <row r="319" spans="1:23">
      <c r="A319" s="79">
        <f t="shared" si="4"/>
        <v>318</v>
      </c>
      <c r="B319" s="79">
        <f>YEAR(Table6[[#This Row],[Date]])+IF(MONTH(Table6[[#This Row],[Date]])&gt;=4,1,0)</f>
        <v>2026</v>
      </c>
      <c r="C319" s="79">
        <f>YEAR(Table6[[#This Row],[Date]])</f>
        <v>2025</v>
      </c>
      <c r="D319" s="79" t="s">
        <v>344</v>
      </c>
      <c r="E319" s="284">
        <f>Table6[[#This Row],[Date]]-DAY(Table6[[#This Row],[Date]])+1</f>
        <v>45748</v>
      </c>
      <c r="F319" s="285">
        <v>45764</v>
      </c>
      <c r="G319" s="79" t="s">
        <v>110</v>
      </c>
      <c r="H319" s="79" t="str">
        <f>IFERROR(_xlfn.XLOOKUP(Table6[[#This Row],[Affected Feeder ]],'Basic Data'!$A:$A,'Basic Data'!$B:$B),"")</f>
        <v>PWEPL</v>
      </c>
      <c r="I319" s="79" t="str">
        <f>IFERROR(_xlfn.XLOOKUP(Table6[[#This Row],[Affected Feeder ]],'Basic Data'!$A:$A,'Basic Data'!$C:$C),"")</f>
        <v>MSEDCL</v>
      </c>
      <c r="J319" s="295">
        <f>IFERROR(_xlfn.XLOOKUP(Table6[[#This Row],[Affected Feeder ]],'Basic Data'!$A:$A,'Basic Data'!$E:$E),"")</f>
        <v>2.2727272727272728E-2</v>
      </c>
      <c r="K319" s="296" t="s">
        <v>171</v>
      </c>
      <c r="L319" s="297">
        <v>0.53055555555555556</v>
      </c>
      <c r="M319" s="297">
        <v>0.53055555555555556</v>
      </c>
      <c r="N319" s="297">
        <v>0.53888888888888886</v>
      </c>
      <c r="O319" s="19">
        <f>(Table6[[#This Row],[Work Start TimeStamp]]-Table6[[#This Row],[Fault Start TimeStamp]])*24</f>
        <v>0</v>
      </c>
      <c r="P319" s="19">
        <f>(Table6[[#This Row],[Fault Clearance time]]-Table6[[#This Row],[Fault Start TimeStamp]])*24</f>
        <v>0.19999999999999929</v>
      </c>
      <c r="Q319" s="19">
        <f>(Table6[[#This Row],[Fault Clearance time]]-Table6[[#This Row],[Fault Start TimeStamp]])*24</f>
        <v>0.19999999999999929</v>
      </c>
      <c r="R319" s="79" t="s">
        <v>353</v>
      </c>
      <c r="S319" s="79" t="s">
        <v>339</v>
      </c>
      <c r="T319" s="298">
        <f>IFERROR(Table6[[#This Row],[Breakdown Time]]*Table6[[#This Row],[Plant Equivalent Weightage]],"")</f>
        <v>4.5454545454545296E-3</v>
      </c>
      <c r="U319" s="79" t="s">
        <v>421</v>
      </c>
      <c r="W319" s="79">
        <v>67</v>
      </c>
    </row>
    <row r="320" spans="1:23">
      <c r="A320" s="79">
        <f t="shared" si="4"/>
        <v>319</v>
      </c>
      <c r="B320" s="79">
        <f>YEAR(Table6[[#This Row],[Date]])+IF(MONTH(Table6[[#This Row],[Date]])&gt;=4,1,0)</f>
        <v>2026</v>
      </c>
      <c r="C320" s="79">
        <f>YEAR(Table6[[#This Row],[Date]])</f>
        <v>2025</v>
      </c>
      <c r="D320" s="79" t="s">
        <v>344</v>
      </c>
      <c r="E320" s="284">
        <f>Table6[[#This Row],[Date]]-DAY(Table6[[#This Row],[Date]])+1</f>
        <v>45748</v>
      </c>
      <c r="F320" s="285">
        <v>45768</v>
      </c>
      <c r="G320" s="79" t="s">
        <v>399</v>
      </c>
      <c r="H320" s="79" t="str">
        <f>IFERROR(_xlfn.XLOOKUP(Table6[[#This Row],[Affected Feeder ]],'Basic Data'!$A:$A,'Basic Data'!$B:$B),"")</f>
        <v>PWEPL</v>
      </c>
      <c r="I320" s="79" t="str">
        <f>IFERROR(_xlfn.XLOOKUP(Table6[[#This Row],[Affected Feeder ]],'Basic Data'!$A:$A,'Basic Data'!$C:$C),"")</f>
        <v>MSEDCL</v>
      </c>
      <c r="J320" s="295">
        <f>IFERROR(_xlfn.XLOOKUP(Table6[[#This Row],[Affected Feeder ]],'Basic Data'!$A:$A,'Basic Data'!$E:$E),"")</f>
        <v>0.22727272727272727</v>
      </c>
      <c r="K320" s="296" t="s">
        <v>447</v>
      </c>
      <c r="L320" s="297">
        <v>0.9555555555555556</v>
      </c>
      <c r="M320" s="297">
        <v>0.9555555555555556</v>
      </c>
      <c r="N320" s="297">
        <v>0.99930555555555556</v>
      </c>
      <c r="O320" s="19">
        <f>(Table6[[#This Row],[Work Start TimeStamp]]-Table6[[#This Row],[Fault Start TimeStamp]])*24</f>
        <v>0</v>
      </c>
      <c r="P320" s="19">
        <f>(Table6[[#This Row],[Fault Clearance time]]-Table6[[#This Row],[Fault Start TimeStamp]])*24</f>
        <v>1.0499999999999989</v>
      </c>
      <c r="Q320" s="19">
        <f>(Table6[[#This Row],[Fault Clearance time]]-Table6[[#This Row],[Fault Start TimeStamp]])*24</f>
        <v>1.0499999999999989</v>
      </c>
      <c r="R320" s="79" t="s">
        <v>456</v>
      </c>
      <c r="S320" s="79" t="s">
        <v>339</v>
      </c>
      <c r="T320" s="298">
        <f>IFERROR(Table6[[#This Row],[Breakdown Time]]*Table6[[#This Row],[Plant Equivalent Weightage]],"")</f>
        <v>0.2386363636363634</v>
      </c>
      <c r="U320" s="79" t="s">
        <v>421</v>
      </c>
      <c r="W320" s="79">
        <v>3475</v>
      </c>
    </row>
    <row r="321" spans="1:23">
      <c r="A321" s="79">
        <f t="shared" si="4"/>
        <v>320</v>
      </c>
      <c r="B321" s="79">
        <f>YEAR(Table6[[#This Row],[Date]])+IF(MONTH(Table6[[#This Row],[Date]])&gt;=4,1,0)</f>
        <v>2026</v>
      </c>
      <c r="C321" s="79">
        <f>YEAR(Table6[[#This Row],[Date]])</f>
        <v>2025</v>
      </c>
      <c r="D321" s="79" t="s">
        <v>344</v>
      </c>
      <c r="E321" s="284">
        <f>Table6[[#This Row],[Date]]-DAY(Table6[[#This Row],[Date]])+1</f>
        <v>45748</v>
      </c>
      <c r="F321" s="285">
        <v>45769</v>
      </c>
      <c r="G321" s="79" t="s">
        <v>399</v>
      </c>
      <c r="H321" s="79" t="str">
        <f>IFERROR(_xlfn.XLOOKUP(Table6[[#This Row],[Affected Feeder ]],'Basic Data'!$A:$A,'Basic Data'!$B:$B),"")</f>
        <v>PWEPL</v>
      </c>
      <c r="I321" s="79" t="str">
        <f>IFERROR(_xlfn.XLOOKUP(Table6[[#This Row],[Affected Feeder ]],'Basic Data'!$A:$A,'Basic Data'!$C:$C),"")</f>
        <v>MSEDCL</v>
      </c>
      <c r="J321" s="295">
        <f>IFERROR(_xlfn.XLOOKUP(Table6[[#This Row],[Affected Feeder ]],'Basic Data'!$A:$A,'Basic Data'!$E:$E),"")</f>
        <v>0.22727272727272727</v>
      </c>
      <c r="K321" s="296" t="s">
        <v>447</v>
      </c>
      <c r="L321" s="297">
        <v>0</v>
      </c>
      <c r="M321" s="297">
        <v>0</v>
      </c>
      <c r="N321" s="297">
        <v>1.3888888888888888E-2</v>
      </c>
      <c r="O321" s="19">
        <f>(Table6[[#This Row],[Work Start TimeStamp]]-Table6[[#This Row],[Fault Start TimeStamp]])*24</f>
        <v>0</v>
      </c>
      <c r="P321" s="19">
        <f>(Table6[[#This Row],[Fault Clearance time]]-Table6[[#This Row],[Fault Start TimeStamp]])*24</f>
        <v>0.33333333333333331</v>
      </c>
      <c r="Q321" s="19">
        <f>(Table6[[#This Row],[Fault Clearance time]]-Table6[[#This Row],[Fault Start TimeStamp]])*24</f>
        <v>0.33333333333333331</v>
      </c>
      <c r="R321" s="79" t="s">
        <v>420</v>
      </c>
      <c r="S321" s="79" t="s">
        <v>339</v>
      </c>
      <c r="T321" s="298">
        <f>IFERROR(Table6[[#This Row],[Breakdown Time]]*Table6[[#This Row],[Plant Equivalent Weightage]],"")</f>
        <v>7.5757575757575746E-2</v>
      </c>
      <c r="U321" s="79" t="s">
        <v>421</v>
      </c>
      <c r="W321" s="79">
        <v>995</v>
      </c>
    </row>
    <row r="322" spans="1:23">
      <c r="A322" s="79">
        <f t="shared" si="4"/>
        <v>321</v>
      </c>
      <c r="B322" s="79">
        <f>YEAR(Table6[[#This Row],[Date]])+IF(MONTH(Table6[[#This Row],[Date]])&gt;=4,1,0)</f>
        <v>2026</v>
      </c>
      <c r="C322" s="79">
        <f>YEAR(Table6[[#This Row],[Date]])</f>
        <v>2025</v>
      </c>
      <c r="D322" s="79" t="s">
        <v>344</v>
      </c>
      <c r="E322" s="284">
        <f>Table6[[#This Row],[Date]]-DAY(Table6[[#This Row],[Date]])+1</f>
        <v>45748</v>
      </c>
      <c r="F322" s="285">
        <v>45769</v>
      </c>
      <c r="G322" s="79" t="s">
        <v>83</v>
      </c>
      <c r="H322" s="79" t="str">
        <f>IFERROR(_xlfn.XLOOKUP(Table6[[#This Row],[Affected Feeder ]],'Basic Data'!$A:$A,'Basic Data'!$B:$B),"")</f>
        <v>PWEPL</v>
      </c>
      <c r="I322" s="79" t="str">
        <f>IFERROR(_xlfn.XLOOKUP(Table6[[#This Row],[Affected Feeder ]],'Basic Data'!$A:$A,'Basic Data'!$C:$C),"")</f>
        <v>MSEDCL</v>
      </c>
      <c r="J322" s="295">
        <f>IFERROR(_xlfn.XLOOKUP(Table6[[#This Row],[Affected Feeder ]],'Basic Data'!$A:$A,'Basic Data'!$E:$E),"")</f>
        <v>2.2727272727272728E-2</v>
      </c>
      <c r="K322" s="296" t="s">
        <v>171</v>
      </c>
      <c r="L322" s="297">
        <v>1.3888888888888888E-2</v>
      </c>
      <c r="M322" s="297">
        <v>1.3888888888888888E-2</v>
      </c>
      <c r="N322" s="297">
        <v>2.7777777777777776E-2</v>
      </c>
      <c r="O322" s="19">
        <f>(Table6[[#This Row],[Work Start TimeStamp]]-Table6[[#This Row],[Fault Start TimeStamp]])*24</f>
        <v>0</v>
      </c>
      <c r="P322" s="19">
        <f>(Table6[[#This Row],[Fault Clearance time]]-Table6[[#This Row],[Fault Start TimeStamp]])*24</f>
        <v>0.33333333333333331</v>
      </c>
      <c r="Q322" s="19">
        <f>(Table6[[#This Row],[Fault Clearance time]]-Table6[[#This Row],[Fault Start TimeStamp]])*24</f>
        <v>0.33333333333333331</v>
      </c>
      <c r="R322" s="79" t="s">
        <v>353</v>
      </c>
      <c r="S322" s="79" t="s">
        <v>339</v>
      </c>
      <c r="T322" s="298">
        <f>IFERROR(Table6[[#This Row],[Breakdown Time]]*Table6[[#This Row],[Plant Equivalent Weightage]],"")</f>
        <v>7.575757575757576E-3</v>
      </c>
      <c r="U322" s="79" t="s">
        <v>421</v>
      </c>
      <c r="W322" s="79">
        <v>99.5</v>
      </c>
    </row>
    <row r="323" spans="1:23">
      <c r="A323" s="79">
        <f t="shared" si="4"/>
        <v>322</v>
      </c>
      <c r="B323" s="79">
        <f>YEAR(Table6[[#This Row],[Date]])+IF(MONTH(Table6[[#This Row],[Date]])&gt;=4,1,0)</f>
        <v>2026</v>
      </c>
      <c r="C323" s="79">
        <f>YEAR(Table6[[#This Row],[Date]])</f>
        <v>2025</v>
      </c>
      <c r="D323" s="79" t="s">
        <v>344</v>
      </c>
      <c r="E323" s="284">
        <f>Table6[[#This Row],[Date]]-DAY(Table6[[#This Row],[Date]])+1</f>
        <v>45748</v>
      </c>
      <c r="F323" s="285">
        <v>45769</v>
      </c>
      <c r="G323" s="79" t="s">
        <v>84</v>
      </c>
      <c r="H323" s="79" t="str">
        <f>IFERROR(_xlfn.XLOOKUP(Table6[[#This Row],[Affected Feeder ]],'Basic Data'!$A:$A,'Basic Data'!$B:$B),"")</f>
        <v>PWEPL</v>
      </c>
      <c r="I323" s="79" t="str">
        <f>IFERROR(_xlfn.XLOOKUP(Table6[[#This Row],[Affected Feeder ]],'Basic Data'!$A:$A,'Basic Data'!$C:$C),"")</f>
        <v>MSEDCL</v>
      </c>
      <c r="J323" s="295">
        <f>IFERROR(_xlfn.XLOOKUP(Table6[[#This Row],[Affected Feeder ]],'Basic Data'!$A:$A,'Basic Data'!$E:$E),"")</f>
        <v>2.2727272727272728E-2</v>
      </c>
      <c r="K323" s="296" t="s">
        <v>171</v>
      </c>
      <c r="L323" s="297">
        <v>1.3888888888888888E-2</v>
      </c>
      <c r="M323" s="297">
        <v>1.3888888888888888E-2</v>
      </c>
      <c r="N323" s="297">
        <v>2.7777777777777776E-2</v>
      </c>
      <c r="O323" s="19">
        <f>(Table6[[#This Row],[Work Start TimeStamp]]-Table6[[#This Row],[Fault Start TimeStamp]])*24</f>
        <v>0</v>
      </c>
      <c r="P323" s="19">
        <f>(Table6[[#This Row],[Fault Clearance time]]-Table6[[#This Row],[Fault Start TimeStamp]])*24</f>
        <v>0.33333333333333331</v>
      </c>
      <c r="Q323" s="19">
        <f>(Table6[[#This Row],[Fault Clearance time]]-Table6[[#This Row],[Fault Start TimeStamp]])*24</f>
        <v>0.33333333333333331</v>
      </c>
      <c r="R323" s="79" t="s">
        <v>353</v>
      </c>
      <c r="S323" s="79" t="s">
        <v>339</v>
      </c>
      <c r="T323" s="298">
        <f>IFERROR(Table6[[#This Row],[Breakdown Time]]*Table6[[#This Row],[Plant Equivalent Weightage]],"")</f>
        <v>7.575757575757576E-3</v>
      </c>
      <c r="U323" s="79" t="s">
        <v>421</v>
      </c>
      <c r="W323" s="79">
        <v>99.5</v>
      </c>
    </row>
    <row r="324" spans="1:23">
      <c r="A324" s="79">
        <f t="shared" ref="A324:A387" si="5">A323+1</f>
        <v>323</v>
      </c>
      <c r="B324" s="79">
        <f>YEAR(Table6[[#This Row],[Date]])+IF(MONTH(Table6[[#This Row],[Date]])&gt;=4,1,0)</f>
        <v>2026</v>
      </c>
      <c r="C324" s="79">
        <f>YEAR(Table6[[#This Row],[Date]])</f>
        <v>2025</v>
      </c>
      <c r="D324" s="79" t="s">
        <v>344</v>
      </c>
      <c r="E324" s="284">
        <f>Table6[[#This Row],[Date]]-DAY(Table6[[#This Row],[Date]])+1</f>
        <v>45748</v>
      </c>
      <c r="F324" s="285">
        <v>45769</v>
      </c>
      <c r="G324" s="79" t="s">
        <v>85</v>
      </c>
      <c r="H324" s="79" t="str">
        <f>IFERROR(_xlfn.XLOOKUP(Table6[[#This Row],[Affected Feeder ]],'Basic Data'!$A:$A,'Basic Data'!$B:$B),"")</f>
        <v>PWEPL</v>
      </c>
      <c r="I324" s="79" t="str">
        <f>IFERROR(_xlfn.XLOOKUP(Table6[[#This Row],[Affected Feeder ]],'Basic Data'!$A:$A,'Basic Data'!$C:$C),"")</f>
        <v>MSEDCL</v>
      </c>
      <c r="J324" s="295">
        <f>IFERROR(_xlfn.XLOOKUP(Table6[[#This Row],[Affected Feeder ]],'Basic Data'!$A:$A,'Basic Data'!$E:$E),"")</f>
        <v>2.2727272727272728E-2</v>
      </c>
      <c r="K324" s="296" t="s">
        <v>171</v>
      </c>
      <c r="L324" s="297">
        <v>1.3888888888888888E-2</v>
      </c>
      <c r="M324" s="297">
        <v>1.3888888888888888E-2</v>
      </c>
      <c r="N324" s="297">
        <v>2.7777777777777776E-2</v>
      </c>
      <c r="O324" s="19">
        <f>(Table6[[#This Row],[Work Start TimeStamp]]-Table6[[#This Row],[Fault Start TimeStamp]])*24</f>
        <v>0</v>
      </c>
      <c r="P324" s="19">
        <f>(Table6[[#This Row],[Fault Clearance time]]-Table6[[#This Row],[Fault Start TimeStamp]])*24</f>
        <v>0.33333333333333331</v>
      </c>
      <c r="Q324" s="19">
        <f>(Table6[[#This Row],[Fault Clearance time]]-Table6[[#This Row],[Fault Start TimeStamp]])*24</f>
        <v>0.33333333333333331</v>
      </c>
      <c r="R324" s="79" t="s">
        <v>353</v>
      </c>
      <c r="S324" s="79" t="s">
        <v>339</v>
      </c>
      <c r="T324" s="298">
        <f>IFERROR(Table6[[#This Row],[Breakdown Time]]*Table6[[#This Row],[Plant Equivalent Weightage]],"")</f>
        <v>7.575757575757576E-3</v>
      </c>
      <c r="U324" s="79" t="s">
        <v>421</v>
      </c>
      <c r="W324" s="79">
        <v>99.5</v>
      </c>
    </row>
    <row r="325" spans="1:23">
      <c r="A325" s="79">
        <f t="shared" si="5"/>
        <v>324</v>
      </c>
      <c r="B325" s="79">
        <f>YEAR(Table6[[#This Row],[Date]])+IF(MONTH(Table6[[#This Row],[Date]])&gt;=4,1,0)</f>
        <v>2026</v>
      </c>
      <c r="C325" s="79">
        <f>YEAR(Table6[[#This Row],[Date]])</f>
        <v>2025</v>
      </c>
      <c r="D325" s="79" t="s">
        <v>344</v>
      </c>
      <c r="E325" s="284">
        <f>Table6[[#This Row],[Date]]-DAY(Table6[[#This Row],[Date]])+1</f>
        <v>45748</v>
      </c>
      <c r="F325" s="285">
        <v>45769</v>
      </c>
      <c r="G325" s="79" t="s">
        <v>86</v>
      </c>
      <c r="H325" s="79" t="str">
        <f>IFERROR(_xlfn.XLOOKUP(Table6[[#This Row],[Affected Feeder ]],'Basic Data'!$A:$A,'Basic Data'!$B:$B),"")</f>
        <v>PWEPL</v>
      </c>
      <c r="I325" s="79" t="str">
        <f>IFERROR(_xlfn.XLOOKUP(Table6[[#This Row],[Affected Feeder ]],'Basic Data'!$A:$A,'Basic Data'!$C:$C),"")</f>
        <v>MSEDCL</v>
      </c>
      <c r="J325" s="295">
        <f>IFERROR(_xlfn.XLOOKUP(Table6[[#This Row],[Affected Feeder ]],'Basic Data'!$A:$A,'Basic Data'!$E:$E),"")</f>
        <v>2.2727272727272728E-2</v>
      </c>
      <c r="K325" s="296" t="s">
        <v>171</v>
      </c>
      <c r="L325" s="297">
        <v>1.3888888888888888E-2</v>
      </c>
      <c r="M325" s="297">
        <v>1.3888888888888888E-2</v>
      </c>
      <c r="N325" s="297">
        <v>2.7777777777777776E-2</v>
      </c>
      <c r="O325" s="19">
        <f>(Table6[[#This Row],[Work Start TimeStamp]]-Table6[[#This Row],[Fault Start TimeStamp]])*24</f>
        <v>0</v>
      </c>
      <c r="P325" s="19">
        <f>(Table6[[#This Row],[Fault Clearance time]]-Table6[[#This Row],[Fault Start TimeStamp]])*24</f>
        <v>0.33333333333333331</v>
      </c>
      <c r="Q325" s="19">
        <f>(Table6[[#This Row],[Fault Clearance time]]-Table6[[#This Row],[Fault Start TimeStamp]])*24</f>
        <v>0.33333333333333331</v>
      </c>
      <c r="R325" s="79" t="s">
        <v>353</v>
      </c>
      <c r="S325" s="79" t="s">
        <v>339</v>
      </c>
      <c r="T325" s="298">
        <f>IFERROR(Table6[[#This Row],[Breakdown Time]]*Table6[[#This Row],[Plant Equivalent Weightage]],"")</f>
        <v>7.575757575757576E-3</v>
      </c>
      <c r="U325" s="79" t="s">
        <v>421</v>
      </c>
      <c r="W325" s="79">
        <v>99.5</v>
      </c>
    </row>
    <row r="326" spans="1:23">
      <c r="A326" s="79">
        <f t="shared" si="5"/>
        <v>325</v>
      </c>
      <c r="B326" s="79">
        <f>YEAR(Table6[[#This Row],[Date]])+IF(MONTH(Table6[[#This Row],[Date]])&gt;=4,1,0)</f>
        <v>2026</v>
      </c>
      <c r="C326" s="79">
        <f>YEAR(Table6[[#This Row],[Date]])</f>
        <v>2025</v>
      </c>
      <c r="D326" s="79" t="s">
        <v>344</v>
      </c>
      <c r="E326" s="284">
        <f>Table6[[#This Row],[Date]]-DAY(Table6[[#This Row],[Date]])+1</f>
        <v>45748</v>
      </c>
      <c r="F326" s="285">
        <v>45769</v>
      </c>
      <c r="G326" s="79" t="s">
        <v>87</v>
      </c>
      <c r="H326" s="79" t="str">
        <f>IFERROR(_xlfn.XLOOKUP(Table6[[#This Row],[Affected Feeder ]],'Basic Data'!$A:$A,'Basic Data'!$B:$B),"")</f>
        <v>PWEPL</v>
      </c>
      <c r="I326" s="79" t="str">
        <f>IFERROR(_xlfn.XLOOKUP(Table6[[#This Row],[Affected Feeder ]],'Basic Data'!$A:$A,'Basic Data'!$C:$C),"")</f>
        <v>MSEDCL</v>
      </c>
      <c r="J326" s="295">
        <f>IFERROR(_xlfn.XLOOKUP(Table6[[#This Row],[Affected Feeder ]],'Basic Data'!$A:$A,'Basic Data'!$E:$E),"")</f>
        <v>2.2727272727272728E-2</v>
      </c>
      <c r="K326" s="296" t="s">
        <v>171</v>
      </c>
      <c r="L326" s="297">
        <v>1.3888888888888888E-2</v>
      </c>
      <c r="M326" s="297">
        <v>1.3888888888888888E-2</v>
      </c>
      <c r="N326" s="297">
        <v>2.7777777777777776E-2</v>
      </c>
      <c r="O326" s="19">
        <f>(Table6[[#This Row],[Work Start TimeStamp]]-Table6[[#This Row],[Fault Start TimeStamp]])*24</f>
        <v>0</v>
      </c>
      <c r="P326" s="19">
        <f>(Table6[[#This Row],[Fault Clearance time]]-Table6[[#This Row],[Fault Start TimeStamp]])*24</f>
        <v>0.33333333333333331</v>
      </c>
      <c r="Q326" s="19">
        <f>(Table6[[#This Row],[Fault Clearance time]]-Table6[[#This Row],[Fault Start TimeStamp]])*24</f>
        <v>0.33333333333333331</v>
      </c>
      <c r="R326" s="79" t="s">
        <v>353</v>
      </c>
      <c r="S326" s="79" t="s">
        <v>339</v>
      </c>
      <c r="T326" s="298">
        <f>IFERROR(Table6[[#This Row],[Breakdown Time]]*Table6[[#This Row],[Plant Equivalent Weightage]],"")</f>
        <v>7.575757575757576E-3</v>
      </c>
      <c r="U326" s="79" t="s">
        <v>421</v>
      </c>
      <c r="W326" s="79">
        <v>99.5</v>
      </c>
    </row>
    <row r="327" spans="1:23">
      <c r="A327" s="79">
        <f t="shared" si="5"/>
        <v>326</v>
      </c>
      <c r="B327" s="79">
        <f>YEAR(Table6[[#This Row],[Date]])+IF(MONTH(Table6[[#This Row],[Date]])&gt;=4,1,0)</f>
        <v>2026</v>
      </c>
      <c r="C327" s="79">
        <f>YEAR(Table6[[#This Row],[Date]])</f>
        <v>2025</v>
      </c>
      <c r="D327" s="79" t="s">
        <v>344</v>
      </c>
      <c r="E327" s="284">
        <f>Table6[[#This Row],[Date]]-DAY(Table6[[#This Row],[Date]])+1</f>
        <v>45748</v>
      </c>
      <c r="F327" s="285">
        <v>45769</v>
      </c>
      <c r="G327" s="79" t="s">
        <v>88</v>
      </c>
      <c r="H327" s="79" t="str">
        <f>IFERROR(_xlfn.XLOOKUP(Table6[[#This Row],[Affected Feeder ]],'Basic Data'!$A:$A,'Basic Data'!$B:$B),"")</f>
        <v>PWEPL</v>
      </c>
      <c r="I327" s="79" t="str">
        <f>IFERROR(_xlfn.XLOOKUP(Table6[[#This Row],[Affected Feeder ]],'Basic Data'!$A:$A,'Basic Data'!$C:$C),"")</f>
        <v>MSEDCL</v>
      </c>
      <c r="J327" s="295">
        <f>IFERROR(_xlfn.XLOOKUP(Table6[[#This Row],[Affected Feeder ]],'Basic Data'!$A:$A,'Basic Data'!$E:$E),"")</f>
        <v>2.2727272727272728E-2</v>
      </c>
      <c r="K327" s="296" t="s">
        <v>171</v>
      </c>
      <c r="L327" s="297">
        <v>1.3888888888888888E-2</v>
      </c>
      <c r="M327" s="297">
        <v>1.3888888888888888E-2</v>
      </c>
      <c r="N327" s="297">
        <v>2.7777777777777776E-2</v>
      </c>
      <c r="O327" s="19">
        <f>(Table6[[#This Row],[Work Start TimeStamp]]-Table6[[#This Row],[Fault Start TimeStamp]])*24</f>
        <v>0</v>
      </c>
      <c r="P327" s="19">
        <f>(Table6[[#This Row],[Fault Clearance time]]-Table6[[#This Row],[Fault Start TimeStamp]])*24</f>
        <v>0.33333333333333331</v>
      </c>
      <c r="Q327" s="19">
        <f>(Table6[[#This Row],[Fault Clearance time]]-Table6[[#This Row],[Fault Start TimeStamp]])*24</f>
        <v>0.33333333333333331</v>
      </c>
      <c r="R327" s="79" t="s">
        <v>353</v>
      </c>
      <c r="S327" s="79" t="s">
        <v>339</v>
      </c>
      <c r="T327" s="298">
        <f>IFERROR(Table6[[#This Row],[Breakdown Time]]*Table6[[#This Row],[Plant Equivalent Weightage]],"")</f>
        <v>7.575757575757576E-3</v>
      </c>
      <c r="U327" s="79" t="s">
        <v>421</v>
      </c>
      <c r="W327" s="79">
        <v>99.5</v>
      </c>
    </row>
    <row r="328" spans="1:23">
      <c r="A328" s="79">
        <f t="shared" si="5"/>
        <v>327</v>
      </c>
      <c r="B328" s="79">
        <f>YEAR(Table6[[#This Row],[Date]])+IF(MONTH(Table6[[#This Row],[Date]])&gt;=4,1,0)</f>
        <v>2026</v>
      </c>
      <c r="C328" s="79">
        <f>YEAR(Table6[[#This Row],[Date]])</f>
        <v>2025</v>
      </c>
      <c r="D328" s="79" t="s">
        <v>344</v>
      </c>
      <c r="E328" s="284">
        <f>Table6[[#This Row],[Date]]-DAY(Table6[[#This Row],[Date]])+1</f>
        <v>45748</v>
      </c>
      <c r="F328" s="285">
        <v>45769</v>
      </c>
      <c r="G328" s="79" t="s">
        <v>98</v>
      </c>
      <c r="H328" s="79" t="str">
        <f>IFERROR(_xlfn.XLOOKUP(Table6[[#This Row],[Affected Feeder ]],'Basic Data'!$A:$A,'Basic Data'!$B:$B),"")</f>
        <v>PWEPL</v>
      </c>
      <c r="I328" s="79" t="str">
        <f>IFERROR(_xlfn.XLOOKUP(Table6[[#This Row],[Affected Feeder ]],'Basic Data'!$A:$A,'Basic Data'!$C:$C),"")</f>
        <v>MSEDCL</v>
      </c>
      <c r="J328" s="295">
        <f>IFERROR(_xlfn.XLOOKUP(Table6[[#This Row],[Affected Feeder ]],'Basic Data'!$A:$A,'Basic Data'!$E:$E),"")</f>
        <v>2.2727272727272728E-2</v>
      </c>
      <c r="K328" s="296" t="s">
        <v>171</v>
      </c>
      <c r="L328" s="297">
        <v>1.3888888888888888E-2</v>
      </c>
      <c r="M328" s="297">
        <v>1.3888888888888888E-2</v>
      </c>
      <c r="N328" s="297">
        <v>2.7777777777777776E-2</v>
      </c>
      <c r="O328" s="19">
        <f>(Table6[[#This Row],[Work Start TimeStamp]]-Table6[[#This Row],[Fault Start TimeStamp]])*24</f>
        <v>0</v>
      </c>
      <c r="P328" s="19">
        <f>(Table6[[#This Row],[Fault Clearance time]]-Table6[[#This Row],[Fault Start TimeStamp]])*24</f>
        <v>0.33333333333333331</v>
      </c>
      <c r="Q328" s="19">
        <f>(Table6[[#This Row],[Fault Clearance time]]-Table6[[#This Row],[Fault Start TimeStamp]])*24</f>
        <v>0.33333333333333331</v>
      </c>
      <c r="R328" s="79" t="s">
        <v>353</v>
      </c>
      <c r="S328" s="79" t="s">
        <v>339</v>
      </c>
      <c r="T328" s="298">
        <f>IFERROR(Table6[[#This Row],[Breakdown Time]]*Table6[[#This Row],[Plant Equivalent Weightage]],"")</f>
        <v>7.575757575757576E-3</v>
      </c>
      <c r="U328" s="79" t="s">
        <v>421</v>
      </c>
      <c r="W328" s="79">
        <v>99.5</v>
      </c>
    </row>
    <row r="329" spans="1:23">
      <c r="A329" s="79">
        <f t="shared" si="5"/>
        <v>328</v>
      </c>
      <c r="B329" s="79">
        <f>YEAR(Table6[[#This Row],[Date]])+IF(MONTH(Table6[[#This Row],[Date]])&gt;=4,1,0)</f>
        <v>2026</v>
      </c>
      <c r="C329" s="79">
        <f>YEAR(Table6[[#This Row],[Date]])</f>
        <v>2025</v>
      </c>
      <c r="D329" s="79" t="s">
        <v>344</v>
      </c>
      <c r="E329" s="284">
        <f>Table6[[#This Row],[Date]]-DAY(Table6[[#This Row],[Date]])+1</f>
        <v>45748</v>
      </c>
      <c r="F329" s="285">
        <v>45769</v>
      </c>
      <c r="G329" s="79" t="s">
        <v>99</v>
      </c>
      <c r="H329" s="79" t="str">
        <f>IFERROR(_xlfn.XLOOKUP(Table6[[#This Row],[Affected Feeder ]],'Basic Data'!$A:$A,'Basic Data'!$B:$B),"")</f>
        <v>PWEPL</v>
      </c>
      <c r="I329" s="79" t="str">
        <f>IFERROR(_xlfn.XLOOKUP(Table6[[#This Row],[Affected Feeder ]],'Basic Data'!$A:$A,'Basic Data'!$C:$C),"")</f>
        <v>MSEDCL</v>
      </c>
      <c r="J329" s="295">
        <f>IFERROR(_xlfn.XLOOKUP(Table6[[#This Row],[Affected Feeder ]],'Basic Data'!$A:$A,'Basic Data'!$E:$E),"")</f>
        <v>2.2727272727272728E-2</v>
      </c>
      <c r="K329" s="296" t="s">
        <v>171</v>
      </c>
      <c r="L329" s="297">
        <v>1.3888888888888888E-2</v>
      </c>
      <c r="M329" s="297">
        <v>1.3888888888888888E-2</v>
      </c>
      <c r="N329" s="297">
        <v>2.7777777777777776E-2</v>
      </c>
      <c r="O329" s="19">
        <f>(Table6[[#This Row],[Work Start TimeStamp]]-Table6[[#This Row],[Fault Start TimeStamp]])*24</f>
        <v>0</v>
      </c>
      <c r="P329" s="19">
        <f>(Table6[[#This Row],[Fault Clearance time]]-Table6[[#This Row],[Fault Start TimeStamp]])*24</f>
        <v>0.33333333333333331</v>
      </c>
      <c r="Q329" s="19">
        <f>(Table6[[#This Row],[Fault Clearance time]]-Table6[[#This Row],[Fault Start TimeStamp]])*24</f>
        <v>0.33333333333333331</v>
      </c>
      <c r="R329" s="79" t="s">
        <v>353</v>
      </c>
      <c r="S329" s="79" t="s">
        <v>339</v>
      </c>
      <c r="T329" s="298">
        <f>IFERROR(Table6[[#This Row],[Breakdown Time]]*Table6[[#This Row],[Plant Equivalent Weightage]],"")</f>
        <v>7.575757575757576E-3</v>
      </c>
      <c r="U329" s="79" t="s">
        <v>421</v>
      </c>
      <c r="W329" s="79">
        <v>99.5</v>
      </c>
    </row>
    <row r="330" spans="1:23">
      <c r="A330" s="79">
        <f t="shared" si="5"/>
        <v>329</v>
      </c>
      <c r="B330" s="79">
        <f>YEAR(Table6[[#This Row],[Date]])+IF(MONTH(Table6[[#This Row],[Date]])&gt;=4,1,0)</f>
        <v>2026</v>
      </c>
      <c r="C330" s="79">
        <f>YEAR(Table6[[#This Row],[Date]])</f>
        <v>2025</v>
      </c>
      <c r="D330" s="79" t="s">
        <v>344</v>
      </c>
      <c r="E330" s="284">
        <f>Table6[[#This Row],[Date]]-DAY(Table6[[#This Row],[Date]])+1</f>
        <v>45748</v>
      </c>
      <c r="F330" s="285">
        <v>45769</v>
      </c>
      <c r="G330" s="79" t="s">
        <v>100</v>
      </c>
      <c r="H330" s="79" t="str">
        <f>IFERROR(_xlfn.XLOOKUP(Table6[[#This Row],[Affected Feeder ]],'Basic Data'!$A:$A,'Basic Data'!$B:$B),"")</f>
        <v>PWEPL</v>
      </c>
      <c r="I330" s="79" t="str">
        <f>IFERROR(_xlfn.XLOOKUP(Table6[[#This Row],[Affected Feeder ]],'Basic Data'!$A:$A,'Basic Data'!$C:$C),"")</f>
        <v>MSEDCL</v>
      </c>
      <c r="J330" s="295">
        <f>IFERROR(_xlfn.XLOOKUP(Table6[[#This Row],[Affected Feeder ]],'Basic Data'!$A:$A,'Basic Data'!$E:$E),"")</f>
        <v>2.2727272727272728E-2</v>
      </c>
      <c r="K330" s="296" t="s">
        <v>171</v>
      </c>
      <c r="L330" s="297">
        <v>1.3888888888888888E-2</v>
      </c>
      <c r="M330" s="297">
        <v>1.3888888888888888E-2</v>
      </c>
      <c r="N330" s="297">
        <v>2.7777777777777776E-2</v>
      </c>
      <c r="O330" s="19">
        <f>(Table6[[#This Row],[Work Start TimeStamp]]-Table6[[#This Row],[Fault Start TimeStamp]])*24</f>
        <v>0</v>
      </c>
      <c r="P330" s="19">
        <f>(Table6[[#This Row],[Fault Clearance time]]-Table6[[#This Row],[Fault Start TimeStamp]])*24</f>
        <v>0.33333333333333331</v>
      </c>
      <c r="Q330" s="19">
        <f>(Table6[[#This Row],[Fault Clearance time]]-Table6[[#This Row],[Fault Start TimeStamp]])*24</f>
        <v>0.33333333333333331</v>
      </c>
      <c r="R330" s="79" t="s">
        <v>353</v>
      </c>
      <c r="S330" s="79" t="s">
        <v>339</v>
      </c>
      <c r="T330" s="298">
        <f>IFERROR(Table6[[#This Row],[Breakdown Time]]*Table6[[#This Row],[Plant Equivalent Weightage]],"")</f>
        <v>7.575757575757576E-3</v>
      </c>
      <c r="U330" s="79" t="s">
        <v>421</v>
      </c>
      <c r="W330" s="79">
        <v>99.5</v>
      </c>
    </row>
    <row r="331" spans="1:23">
      <c r="A331" s="79">
        <f t="shared" si="5"/>
        <v>330</v>
      </c>
      <c r="B331" s="79">
        <f>YEAR(Table6[[#This Row],[Date]])+IF(MONTH(Table6[[#This Row],[Date]])&gt;=4,1,0)</f>
        <v>2026</v>
      </c>
      <c r="C331" s="79">
        <f>YEAR(Table6[[#This Row],[Date]])</f>
        <v>2025</v>
      </c>
      <c r="D331" s="79" t="s">
        <v>344</v>
      </c>
      <c r="E331" s="284">
        <f>Table6[[#This Row],[Date]]-DAY(Table6[[#This Row],[Date]])+1</f>
        <v>45748</v>
      </c>
      <c r="F331" s="285">
        <v>45769</v>
      </c>
      <c r="G331" s="79" t="s">
        <v>101</v>
      </c>
      <c r="H331" s="79" t="str">
        <f>IFERROR(_xlfn.XLOOKUP(Table6[[#This Row],[Affected Feeder ]],'Basic Data'!$A:$A,'Basic Data'!$B:$B),"")</f>
        <v>PWEPL</v>
      </c>
      <c r="I331" s="79" t="str">
        <f>IFERROR(_xlfn.XLOOKUP(Table6[[#This Row],[Affected Feeder ]],'Basic Data'!$A:$A,'Basic Data'!$C:$C),"")</f>
        <v>MSEDCL</v>
      </c>
      <c r="J331" s="295">
        <f>IFERROR(_xlfn.XLOOKUP(Table6[[#This Row],[Affected Feeder ]],'Basic Data'!$A:$A,'Basic Data'!$E:$E),"")</f>
        <v>2.2727272727272728E-2</v>
      </c>
      <c r="K331" s="296" t="s">
        <v>171</v>
      </c>
      <c r="L331" s="297">
        <v>1.3888888888888888E-2</v>
      </c>
      <c r="M331" s="297">
        <v>1.3888888888888888E-2</v>
      </c>
      <c r="N331" s="297">
        <v>2.7777777777777776E-2</v>
      </c>
      <c r="O331" s="19">
        <f>(Table6[[#This Row],[Work Start TimeStamp]]-Table6[[#This Row],[Fault Start TimeStamp]])*24</f>
        <v>0</v>
      </c>
      <c r="P331" s="19">
        <f>(Table6[[#This Row],[Fault Clearance time]]-Table6[[#This Row],[Fault Start TimeStamp]])*24</f>
        <v>0.33333333333333331</v>
      </c>
      <c r="Q331" s="19">
        <f>(Table6[[#This Row],[Fault Clearance time]]-Table6[[#This Row],[Fault Start TimeStamp]])*24</f>
        <v>0.33333333333333331</v>
      </c>
      <c r="R331" s="79" t="s">
        <v>353</v>
      </c>
      <c r="S331" s="79" t="s">
        <v>339</v>
      </c>
      <c r="T331" s="298">
        <f>IFERROR(Table6[[#This Row],[Breakdown Time]]*Table6[[#This Row],[Plant Equivalent Weightage]],"")</f>
        <v>7.575757575757576E-3</v>
      </c>
      <c r="U331" s="79" t="s">
        <v>421</v>
      </c>
      <c r="W331" s="79">
        <v>99.5</v>
      </c>
    </row>
    <row r="332" spans="1:23">
      <c r="A332" s="79">
        <f t="shared" si="5"/>
        <v>331</v>
      </c>
      <c r="B332" s="79">
        <f>YEAR(Table6[[#This Row],[Date]])+IF(MONTH(Table6[[#This Row],[Date]])&gt;=4,1,0)</f>
        <v>2026</v>
      </c>
      <c r="C332" s="79">
        <f>YEAR(Table6[[#This Row],[Date]])</f>
        <v>2025</v>
      </c>
      <c r="D332" s="79" t="s">
        <v>344</v>
      </c>
      <c r="E332" s="284">
        <f>Table6[[#This Row],[Date]]-DAY(Table6[[#This Row],[Date]])+1</f>
        <v>45748</v>
      </c>
      <c r="F332" s="285">
        <v>45770</v>
      </c>
      <c r="G332" s="79" t="s">
        <v>83</v>
      </c>
      <c r="H332" s="79" t="str">
        <f>IFERROR(_xlfn.XLOOKUP(Table6[[#This Row],[Affected Feeder ]],'Basic Data'!$A:$A,'Basic Data'!$B:$B),"")</f>
        <v>PWEPL</v>
      </c>
      <c r="I332" s="79" t="str">
        <f>IFERROR(_xlfn.XLOOKUP(Table6[[#This Row],[Affected Feeder ]],'Basic Data'!$A:$A,'Basic Data'!$C:$C),"")</f>
        <v>MSEDCL</v>
      </c>
      <c r="J332" s="295">
        <f>IFERROR(_xlfn.XLOOKUP(Table6[[#This Row],[Affected Feeder ]],'Basic Data'!$A:$A,'Basic Data'!$E:$E),"")</f>
        <v>2.2727272727272728E-2</v>
      </c>
      <c r="K332" s="296" t="s">
        <v>414</v>
      </c>
      <c r="L332" s="297">
        <v>0.42777777777777781</v>
      </c>
      <c r="M332" s="297">
        <v>0.42777777777777781</v>
      </c>
      <c r="N332" s="297">
        <v>0.82986111111111116</v>
      </c>
      <c r="O332" s="19">
        <f>(Table6[[#This Row],[Work Start TimeStamp]]-Table6[[#This Row],[Fault Start TimeStamp]])*24</f>
        <v>0</v>
      </c>
      <c r="P332" s="19">
        <f>(Table6[[#This Row],[Fault Clearance time]]-Table6[[#This Row],[Fault Start TimeStamp]])*24</f>
        <v>9.65</v>
      </c>
      <c r="Q332" s="19">
        <f>(Table6[[#This Row],[Fault Clearance time]]-Table6[[#This Row],[Fault Start TimeStamp]])*24</f>
        <v>9.65</v>
      </c>
      <c r="R332" s="79" t="s">
        <v>457</v>
      </c>
      <c r="S332" s="79" t="s">
        <v>339</v>
      </c>
      <c r="T332" s="298">
        <f>IFERROR(Table6[[#This Row],[Breakdown Time]]*Table6[[#This Row],[Plant Equivalent Weightage]],"")</f>
        <v>0.21931818181818183</v>
      </c>
      <c r="U332" s="79" t="s">
        <v>416</v>
      </c>
      <c r="W332" s="79">
        <v>1694</v>
      </c>
    </row>
    <row r="333" spans="1:23">
      <c r="A333" s="79">
        <f t="shared" si="5"/>
        <v>332</v>
      </c>
      <c r="B333" s="79">
        <f>YEAR(Table6[[#This Row],[Date]])+IF(MONTH(Table6[[#This Row],[Date]])&gt;=4,1,0)</f>
        <v>2026</v>
      </c>
      <c r="C333" s="79">
        <f>YEAR(Table6[[#This Row],[Date]])</f>
        <v>2025</v>
      </c>
      <c r="D333" s="79" t="s">
        <v>344</v>
      </c>
      <c r="E333" s="284">
        <f>Table6[[#This Row],[Date]]-DAY(Table6[[#This Row],[Date]])+1</f>
        <v>45748</v>
      </c>
      <c r="F333" s="285">
        <v>45770</v>
      </c>
      <c r="G333" s="79" t="s">
        <v>83</v>
      </c>
      <c r="H333" s="79" t="str">
        <f>IFERROR(_xlfn.XLOOKUP(Table6[[#This Row],[Affected Feeder ]],'Basic Data'!$A:$A,'Basic Data'!$B:$B),"")</f>
        <v>PWEPL</v>
      </c>
      <c r="I333" s="79" t="str">
        <f>IFERROR(_xlfn.XLOOKUP(Table6[[#This Row],[Affected Feeder ]],'Basic Data'!$A:$A,'Basic Data'!$C:$C),"")</f>
        <v>MSEDCL</v>
      </c>
      <c r="J333" s="295">
        <f>IFERROR(_xlfn.XLOOKUP(Table6[[#This Row],[Affected Feeder ]],'Basic Data'!$A:$A,'Basic Data'!$E:$E),"")</f>
        <v>2.2727272727272728E-2</v>
      </c>
      <c r="K333" s="296" t="s">
        <v>171</v>
      </c>
      <c r="L333" s="297">
        <v>0.82986111111111116</v>
      </c>
      <c r="M333" s="297">
        <v>0.82986111111111116</v>
      </c>
      <c r="N333" s="297">
        <v>0.84375</v>
      </c>
      <c r="O333" s="19">
        <f>(Table6[[#This Row],[Work Start TimeStamp]]-Table6[[#This Row],[Fault Start TimeStamp]])*24</f>
        <v>0</v>
      </c>
      <c r="P333" s="19">
        <f>(Table6[[#This Row],[Fault Clearance time]]-Table6[[#This Row],[Fault Start TimeStamp]])*24</f>
        <v>0.33333333333333215</v>
      </c>
      <c r="Q333" s="19">
        <f>(Table6[[#This Row],[Fault Clearance time]]-Table6[[#This Row],[Fault Start TimeStamp]])*24</f>
        <v>0.33333333333333215</v>
      </c>
      <c r="R333" s="79" t="s">
        <v>353</v>
      </c>
      <c r="S333" s="79" t="s">
        <v>339</v>
      </c>
      <c r="T333" s="298">
        <f>IFERROR(Table6[[#This Row],[Breakdown Time]]*Table6[[#This Row],[Plant Equivalent Weightage]],"")</f>
        <v>7.5757575757575491E-3</v>
      </c>
      <c r="U333" s="79" t="s">
        <v>416</v>
      </c>
      <c r="W333" s="79">
        <v>60</v>
      </c>
    </row>
    <row r="334" spans="1:23">
      <c r="A334" s="79">
        <f t="shared" si="5"/>
        <v>333</v>
      </c>
      <c r="B334" s="79">
        <f>YEAR(Table6[[#This Row],[Date]])+IF(MONTH(Table6[[#This Row],[Date]])&gt;=4,1,0)</f>
        <v>2026</v>
      </c>
      <c r="C334" s="79">
        <f>YEAR(Table6[[#This Row],[Date]])</f>
        <v>2025</v>
      </c>
      <c r="D334" s="79" t="s">
        <v>344</v>
      </c>
      <c r="E334" s="284">
        <f>Table6[[#This Row],[Date]]-DAY(Table6[[#This Row],[Date]])+1</f>
        <v>45748</v>
      </c>
      <c r="F334" s="285">
        <v>45770</v>
      </c>
      <c r="G334" s="79" t="s">
        <v>98</v>
      </c>
      <c r="H334" s="79" t="str">
        <f>IFERROR(_xlfn.XLOOKUP(Table6[[#This Row],[Affected Feeder ]],'Basic Data'!$A:$A,'Basic Data'!$B:$B),"")</f>
        <v>PWEPL</v>
      </c>
      <c r="I334" s="79" t="str">
        <f>IFERROR(_xlfn.XLOOKUP(Table6[[#This Row],[Affected Feeder ]],'Basic Data'!$A:$A,'Basic Data'!$C:$C),"")</f>
        <v>MSEDCL</v>
      </c>
      <c r="J334" s="295">
        <f>IFERROR(_xlfn.XLOOKUP(Table6[[#This Row],[Affected Feeder ]],'Basic Data'!$A:$A,'Basic Data'!$E:$E),"")</f>
        <v>2.2727272727272728E-2</v>
      </c>
      <c r="K334" s="296" t="s">
        <v>414</v>
      </c>
      <c r="L334" s="297">
        <v>0.42777777777777781</v>
      </c>
      <c r="M334" s="297">
        <v>0.42777777777777781</v>
      </c>
      <c r="N334" s="297">
        <v>0.82986111111111116</v>
      </c>
      <c r="O334" s="19">
        <f>(Table6[[#This Row],[Work Start TimeStamp]]-Table6[[#This Row],[Fault Start TimeStamp]])*24</f>
        <v>0</v>
      </c>
      <c r="P334" s="19">
        <f>(Table6[[#This Row],[Fault Clearance time]]-Table6[[#This Row],[Fault Start TimeStamp]])*24</f>
        <v>9.65</v>
      </c>
      <c r="Q334" s="19">
        <f>(Table6[[#This Row],[Fault Clearance time]]-Table6[[#This Row],[Fault Start TimeStamp]])*24</f>
        <v>9.65</v>
      </c>
      <c r="R334" s="79" t="s">
        <v>457</v>
      </c>
      <c r="S334" s="79" t="s">
        <v>339</v>
      </c>
      <c r="T334" s="298">
        <f>IFERROR(Table6[[#This Row],[Breakdown Time]]*Table6[[#This Row],[Plant Equivalent Weightage]],"")</f>
        <v>0.21931818181818183</v>
      </c>
      <c r="U334" s="79" t="s">
        <v>416</v>
      </c>
      <c r="W334" s="79">
        <v>1694</v>
      </c>
    </row>
    <row r="335" spans="1:23">
      <c r="A335" s="79">
        <f t="shared" si="5"/>
        <v>334</v>
      </c>
      <c r="B335" s="79">
        <f>YEAR(Table6[[#This Row],[Date]])+IF(MONTH(Table6[[#This Row],[Date]])&gt;=4,1,0)</f>
        <v>2026</v>
      </c>
      <c r="C335" s="79">
        <f>YEAR(Table6[[#This Row],[Date]])</f>
        <v>2025</v>
      </c>
      <c r="D335" s="79" t="s">
        <v>344</v>
      </c>
      <c r="E335" s="284">
        <f>Table6[[#This Row],[Date]]-DAY(Table6[[#This Row],[Date]])+1</f>
        <v>45748</v>
      </c>
      <c r="F335" s="285">
        <v>45770</v>
      </c>
      <c r="G335" s="79" t="s">
        <v>98</v>
      </c>
      <c r="H335" s="79" t="str">
        <f>IFERROR(_xlfn.XLOOKUP(Table6[[#This Row],[Affected Feeder ]],'Basic Data'!$A:$A,'Basic Data'!$B:$B),"")</f>
        <v>PWEPL</v>
      </c>
      <c r="I335" s="79" t="str">
        <f>IFERROR(_xlfn.XLOOKUP(Table6[[#This Row],[Affected Feeder ]],'Basic Data'!$A:$A,'Basic Data'!$C:$C),"")</f>
        <v>MSEDCL</v>
      </c>
      <c r="J335" s="295">
        <f>IFERROR(_xlfn.XLOOKUP(Table6[[#This Row],[Affected Feeder ]],'Basic Data'!$A:$A,'Basic Data'!$E:$E),"")</f>
        <v>2.2727272727272728E-2</v>
      </c>
      <c r="K335" s="296" t="s">
        <v>171</v>
      </c>
      <c r="L335" s="297">
        <v>0.82986111111111116</v>
      </c>
      <c r="M335" s="297">
        <v>0.82986111111111116</v>
      </c>
      <c r="N335" s="297">
        <v>0.84097222222222223</v>
      </c>
      <c r="O335" s="19">
        <f>(Table6[[#This Row],[Work Start TimeStamp]]-Table6[[#This Row],[Fault Start TimeStamp]])*24</f>
        <v>0</v>
      </c>
      <c r="P335" s="19">
        <f>(Table6[[#This Row],[Fault Clearance time]]-Table6[[#This Row],[Fault Start TimeStamp]])*24</f>
        <v>0.26666666666666572</v>
      </c>
      <c r="Q335" s="19">
        <f>(Table6[[#This Row],[Fault Clearance time]]-Table6[[#This Row],[Fault Start TimeStamp]])*24</f>
        <v>0.26666666666666572</v>
      </c>
      <c r="R335" s="79" t="s">
        <v>353</v>
      </c>
      <c r="S335" s="79" t="s">
        <v>339</v>
      </c>
      <c r="T335" s="298">
        <f>IFERROR(Table6[[#This Row],[Breakdown Time]]*Table6[[#This Row],[Plant Equivalent Weightage]],"")</f>
        <v>6.0606060606060389E-3</v>
      </c>
      <c r="U335" s="79" t="s">
        <v>416</v>
      </c>
      <c r="W335" s="79">
        <v>48</v>
      </c>
    </row>
    <row r="336" spans="1:23">
      <c r="A336" s="79">
        <f t="shared" si="5"/>
        <v>335</v>
      </c>
      <c r="B336" s="79">
        <f>YEAR(Table6[[#This Row],[Date]])+IF(MONTH(Table6[[#This Row],[Date]])&gt;=4,1,0)</f>
        <v>2026</v>
      </c>
      <c r="C336" s="79">
        <f>YEAR(Table6[[#This Row],[Date]])</f>
        <v>2025</v>
      </c>
      <c r="D336" s="79" t="s">
        <v>344</v>
      </c>
      <c r="E336" s="284">
        <f>Table6[[#This Row],[Date]]-DAY(Table6[[#This Row],[Date]])+1</f>
        <v>45748</v>
      </c>
      <c r="F336" s="285">
        <v>45770</v>
      </c>
      <c r="G336" s="79" t="s">
        <v>99</v>
      </c>
      <c r="H336" s="79" t="str">
        <f>IFERROR(_xlfn.XLOOKUP(Table6[[#This Row],[Affected Feeder ]],'Basic Data'!$A:$A,'Basic Data'!$B:$B),"")</f>
        <v>PWEPL</v>
      </c>
      <c r="I336" s="79" t="str">
        <f>IFERROR(_xlfn.XLOOKUP(Table6[[#This Row],[Affected Feeder ]],'Basic Data'!$A:$A,'Basic Data'!$C:$C),"")</f>
        <v>MSEDCL</v>
      </c>
      <c r="J336" s="295">
        <f>IFERROR(_xlfn.XLOOKUP(Table6[[#This Row],[Affected Feeder ]],'Basic Data'!$A:$A,'Basic Data'!$E:$E),"")</f>
        <v>2.2727272727272728E-2</v>
      </c>
      <c r="K336" s="296" t="s">
        <v>414</v>
      </c>
      <c r="L336" s="297">
        <v>0.42777777777777781</v>
      </c>
      <c r="M336" s="297">
        <v>0.42777777777777781</v>
      </c>
      <c r="N336" s="297">
        <v>0.82986111111111116</v>
      </c>
      <c r="O336" s="19">
        <f>(Table6[[#This Row],[Work Start TimeStamp]]-Table6[[#This Row],[Fault Start TimeStamp]])*24</f>
        <v>0</v>
      </c>
      <c r="P336" s="19">
        <f>(Table6[[#This Row],[Fault Clearance time]]-Table6[[#This Row],[Fault Start TimeStamp]])*24</f>
        <v>9.65</v>
      </c>
      <c r="Q336" s="19">
        <f>(Table6[[#This Row],[Fault Clearance time]]-Table6[[#This Row],[Fault Start TimeStamp]])*24</f>
        <v>9.65</v>
      </c>
      <c r="R336" s="79" t="s">
        <v>457</v>
      </c>
      <c r="S336" s="79" t="s">
        <v>339</v>
      </c>
      <c r="T336" s="298">
        <f>IFERROR(Table6[[#This Row],[Breakdown Time]]*Table6[[#This Row],[Plant Equivalent Weightage]],"")</f>
        <v>0.21931818181818183</v>
      </c>
      <c r="U336" s="79" t="s">
        <v>416</v>
      </c>
      <c r="W336" s="79">
        <v>1694</v>
      </c>
    </row>
    <row r="337" spans="1:23">
      <c r="A337" s="79">
        <f t="shared" si="5"/>
        <v>336</v>
      </c>
      <c r="B337" s="79">
        <f>YEAR(Table6[[#This Row],[Date]])+IF(MONTH(Table6[[#This Row],[Date]])&gt;=4,1,0)</f>
        <v>2026</v>
      </c>
      <c r="C337" s="79">
        <f>YEAR(Table6[[#This Row],[Date]])</f>
        <v>2025</v>
      </c>
      <c r="D337" s="79" t="s">
        <v>344</v>
      </c>
      <c r="E337" s="284">
        <f>Table6[[#This Row],[Date]]-DAY(Table6[[#This Row],[Date]])+1</f>
        <v>45748</v>
      </c>
      <c r="F337" s="285">
        <v>45770</v>
      </c>
      <c r="G337" s="79" t="s">
        <v>99</v>
      </c>
      <c r="H337" s="79" t="str">
        <f>IFERROR(_xlfn.XLOOKUP(Table6[[#This Row],[Affected Feeder ]],'Basic Data'!$A:$A,'Basic Data'!$B:$B),"")</f>
        <v>PWEPL</v>
      </c>
      <c r="I337" s="79" t="str">
        <f>IFERROR(_xlfn.XLOOKUP(Table6[[#This Row],[Affected Feeder ]],'Basic Data'!$A:$A,'Basic Data'!$C:$C),"")</f>
        <v>MSEDCL</v>
      </c>
      <c r="J337" s="295">
        <f>IFERROR(_xlfn.XLOOKUP(Table6[[#This Row],[Affected Feeder ]],'Basic Data'!$A:$A,'Basic Data'!$E:$E),"")</f>
        <v>2.2727272727272728E-2</v>
      </c>
      <c r="K337" s="296" t="s">
        <v>171</v>
      </c>
      <c r="L337" s="297">
        <v>0.82986111111111116</v>
      </c>
      <c r="M337" s="297">
        <v>0.82986111111111116</v>
      </c>
      <c r="N337" s="297">
        <v>0.84375</v>
      </c>
      <c r="O337" s="19">
        <f>(Table6[[#This Row],[Work Start TimeStamp]]-Table6[[#This Row],[Fault Start TimeStamp]])*24</f>
        <v>0</v>
      </c>
      <c r="P337" s="19">
        <f>(Table6[[#This Row],[Fault Clearance time]]-Table6[[#This Row],[Fault Start TimeStamp]])*24</f>
        <v>0.33333333333333215</v>
      </c>
      <c r="Q337" s="19">
        <f>(Table6[[#This Row],[Fault Clearance time]]-Table6[[#This Row],[Fault Start TimeStamp]])*24</f>
        <v>0.33333333333333215</v>
      </c>
      <c r="R337" s="79" t="s">
        <v>353</v>
      </c>
      <c r="S337" s="79" t="s">
        <v>339</v>
      </c>
      <c r="T337" s="298">
        <f>IFERROR(Table6[[#This Row],[Breakdown Time]]*Table6[[#This Row],[Plant Equivalent Weightage]],"")</f>
        <v>7.5757575757575491E-3</v>
      </c>
      <c r="U337" s="79" t="s">
        <v>416</v>
      </c>
      <c r="W337" s="79">
        <v>60</v>
      </c>
    </row>
    <row r="338" spans="1:23">
      <c r="A338" s="79">
        <f t="shared" si="5"/>
        <v>337</v>
      </c>
      <c r="B338" s="79">
        <f>YEAR(Table6[[#This Row],[Date]])+IF(MONTH(Table6[[#This Row],[Date]])&gt;=4,1,0)</f>
        <v>2026</v>
      </c>
      <c r="C338" s="79">
        <f>YEAR(Table6[[#This Row],[Date]])</f>
        <v>2025</v>
      </c>
      <c r="D338" s="79" t="s">
        <v>344</v>
      </c>
      <c r="E338" s="284">
        <f>Table6[[#This Row],[Date]]-DAY(Table6[[#This Row],[Date]])+1</f>
        <v>45748</v>
      </c>
      <c r="F338" s="285">
        <v>45770</v>
      </c>
      <c r="G338" s="79" t="s">
        <v>100</v>
      </c>
      <c r="H338" s="79" t="str">
        <f>IFERROR(_xlfn.XLOOKUP(Table6[[#This Row],[Affected Feeder ]],'Basic Data'!$A:$A,'Basic Data'!$B:$B),"")</f>
        <v>PWEPL</v>
      </c>
      <c r="I338" s="79" t="str">
        <f>IFERROR(_xlfn.XLOOKUP(Table6[[#This Row],[Affected Feeder ]],'Basic Data'!$A:$A,'Basic Data'!$C:$C),"")</f>
        <v>MSEDCL</v>
      </c>
      <c r="J338" s="295">
        <f>IFERROR(_xlfn.XLOOKUP(Table6[[#This Row],[Affected Feeder ]],'Basic Data'!$A:$A,'Basic Data'!$E:$E),"")</f>
        <v>2.2727272727272728E-2</v>
      </c>
      <c r="K338" s="296" t="s">
        <v>414</v>
      </c>
      <c r="L338" s="297">
        <v>0.42777777777777781</v>
      </c>
      <c r="M338" s="297">
        <v>0.42777777777777781</v>
      </c>
      <c r="N338" s="297">
        <v>0.82986111111111116</v>
      </c>
      <c r="O338" s="19">
        <f>(Table6[[#This Row],[Work Start TimeStamp]]-Table6[[#This Row],[Fault Start TimeStamp]])*24</f>
        <v>0</v>
      </c>
      <c r="P338" s="19">
        <f>(Table6[[#This Row],[Fault Clearance time]]-Table6[[#This Row],[Fault Start TimeStamp]])*24</f>
        <v>9.65</v>
      </c>
      <c r="Q338" s="19">
        <f>(Table6[[#This Row],[Fault Clearance time]]-Table6[[#This Row],[Fault Start TimeStamp]])*24</f>
        <v>9.65</v>
      </c>
      <c r="R338" s="79" t="s">
        <v>457</v>
      </c>
      <c r="S338" s="79" t="s">
        <v>339</v>
      </c>
      <c r="T338" s="298">
        <f>IFERROR(Table6[[#This Row],[Breakdown Time]]*Table6[[#This Row],[Plant Equivalent Weightage]],"")</f>
        <v>0.21931818181818183</v>
      </c>
      <c r="U338" s="79" t="s">
        <v>416</v>
      </c>
      <c r="W338" s="79">
        <v>1694</v>
      </c>
    </row>
    <row r="339" spans="1:23">
      <c r="A339" s="79">
        <f t="shared" si="5"/>
        <v>338</v>
      </c>
      <c r="B339" s="79">
        <f>YEAR(Table6[[#This Row],[Date]])+IF(MONTH(Table6[[#This Row],[Date]])&gt;=4,1,0)</f>
        <v>2026</v>
      </c>
      <c r="C339" s="79">
        <f>YEAR(Table6[[#This Row],[Date]])</f>
        <v>2025</v>
      </c>
      <c r="D339" s="79" t="s">
        <v>344</v>
      </c>
      <c r="E339" s="284">
        <f>Table6[[#This Row],[Date]]-DAY(Table6[[#This Row],[Date]])+1</f>
        <v>45748</v>
      </c>
      <c r="F339" s="285">
        <v>45770</v>
      </c>
      <c r="G339" s="79" t="s">
        <v>100</v>
      </c>
      <c r="H339" s="79" t="str">
        <f>IFERROR(_xlfn.XLOOKUP(Table6[[#This Row],[Affected Feeder ]],'Basic Data'!$A:$A,'Basic Data'!$B:$B),"")</f>
        <v>PWEPL</v>
      </c>
      <c r="I339" s="79" t="str">
        <f>IFERROR(_xlfn.XLOOKUP(Table6[[#This Row],[Affected Feeder ]],'Basic Data'!$A:$A,'Basic Data'!$C:$C),"")</f>
        <v>MSEDCL</v>
      </c>
      <c r="J339" s="295">
        <f>IFERROR(_xlfn.XLOOKUP(Table6[[#This Row],[Affected Feeder ]],'Basic Data'!$A:$A,'Basic Data'!$E:$E),"")</f>
        <v>2.2727272727272728E-2</v>
      </c>
      <c r="K339" s="296" t="s">
        <v>171</v>
      </c>
      <c r="L339" s="297">
        <v>0.82986111111111116</v>
      </c>
      <c r="M339" s="297">
        <v>0.82986111111111116</v>
      </c>
      <c r="N339" s="297">
        <v>0.84166666666666667</v>
      </c>
      <c r="O339" s="19">
        <f>(Table6[[#This Row],[Work Start TimeStamp]]-Table6[[#This Row],[Fault Start TimeStamp]])*24</f>
        <v>0</v>
      </c>
      <c r="P339" s="19">
        <f>(Table6[[#This Row],[Fault Clearance time]]-Table6[[#This Row],[Fault Start TimeStamp]])*24</f>
        <v>0.28333333333333233</v>
      </c>
      <c r="Q339" s="19">
        <f>(Table6[[#This Row],[Fault Clearance time]]-Table6[[#This Row],[Fault Start TimeStamp]])*24</f>
        <v>0.28333333333333233</v>
      </c>
      <c r="R339" s="79" t="s">
        <v>353</v>
      </c>
      <c r="S339" s="79" t="s">
        <v>339</v>
      </c>
      <c r="T339" s="298">
        <f>IFERROR(Table6[[#This Row],[Breakdown Time]]*Table6[[#This Row],[Plant Equivalent Weightage]],"")</f>
        <v>6.4393939393939167E-3</v>
      </c>
      <c r="U339" s="79" t="s">
        <v>416</v>
      </c>
      <c r="W339" s="79">
        <v>51</v>
      </c>
    </row>
    <row r="340" spans="1:23">
      <c r="A340" s="79">
        <f t="shared" si="5"/>
        <v>339</v>
      </c>
      <c r="B340" s="79">
        <f>YEAR(Table6[[#This Row],[Date]])+IF(MONTH(Table6[[#This Row],[Date]])&gt;=4,1,0)</f>
        <v>2026</v>
      </c>
      <c r="C340" s="79">
        <f>YEAR(Table6[[#This Row],[Date]])</f>
        <v>2025</v>
      </c>
      <c r="D340" s="79" t="s">
        <v>344</v>
      </c>
      <c r="E340" s="284">
        <f>Table6[[#This Row],[Date]]-DAY(Table6[[#This Row],[Date]])+1</f>
        <v>45748</v>
      </c>
      <c r="F340" s="285">
        <v>45770</v>
      </c>
      <c r="G340" s="79" t="s">
        <v>101</v>
      </c>
      <c r="H340" s="79" t="str">
        <f>IFERROR(_xlfn.XLOOKUP(Table6[[#This Row],[Affected Feeder ]],'Basic Data'!$A:$A,'Basic Data'!$B:$B),"")</f>
        <v>PWEPL</v>
      </c>
      <c r="I340" s="79" t="str">
        <f>IFERROR(_xlfn.XLOOKUP(Table6[[#This Row],[Affected Feeder ]],'Basic Data'!$A:$A,'Basic Data'!$C:$C),"")</f>
        <v>MSEDCL</v>
      </c>
      <c r="J340" s="295">
        <f>IFERROR(_xlfn.XLOOKUP(Table6[[#This Row],[Affected Feeder ]],'Basic Data'!$A:$A,'Basic Data'!$E:$E),"")</f>
        <v>2.2727272727272728E-2</v>
      </c>
      <c r="K340" s="296" t="s">
        <v>414</v>
      </c>
      <c r="L340" s="297">
        <v>0.42777777777777781</v>
      </c>
      <c r="M340" s="297">
        <v>0.42777777777777781</v>
      </c>
      <c r="N340" s="297">
        <v>0.82986111111111116</v>
      </c>
      <c r="O340" s="19">
        <f>(Table6[[#This Row],[Work Start TimeStamp]]-Table6[[#This Row],[Fault Start TimeStamp]])*24</f>
        <v>0</v>
      </c>
      <c r="P340" s="19">
        <f>(Table6[[#This Row],[Fault Clearance time]]-Table6[[#This Row],[Fault Start TimeStamp]])*24</f>
        <v>9.65</v>
      </c>
      <c r="Q340" s="19">
        <f>(Table6[[#This Row],[Fault Clearance time]]-Table6[[#This Row],[Fault Start TimeStamp]])*24</f>
        <v>9.65</v>
      </c>
      <c r="R340" s="79" t="s">
        <v>457</v>
      </c>
      <c r="S340" s="79" t="s">
        <v>339</v>
      </c>
      <c r="T340" s="298">
        <f>IFERROR(Table6[[#This Row],[Breakdown Time]]*Table6[[#This Row],[Plant Equivalent Weightage]],"")</f>
        <v>0.21931818181818183</v>
      </c>
      <c r="U340" s="79" t="s">
        <v>416</v>
      </c>
      <c r="W340" s="79">
        <v>1694</v>
      </c>
    </row>
    <row r="341" spans="1:23">
      <c r="A341" s="79">
        <f t="shared" si="5"/>
        <v>340</v>
      </c>
      <c r="B341" s="79">
        <f>YEAR(Table6[[#This Row],[Date]])+IF(MONTH(Table6[[#This Row],[Date]])&gt;=4,1,0)</f>
        <v>2026</v>
      </c>
      <c r="C341" s="79">
        <f>YEAR(Table6[[#This Row],[Date]])</f>
        <v>2025</v>
      </c>
      <c r="D341" s="79" t="s">
        <v>344</v>
      </c>
      <c r="E341" s="284">
        <f>Table6[[#This Row],[Date]]-DAY(Table6[[#This Row],[Date]])+1</f>
        <v>45748</v>
      </c>
      <c r="F341" s="285">
        <v>45770</v>
      </c>
      <c r="G341" s="79" t="s">
        <v>101</v>
      </c>
      <c r="H341" s="79" t="str">
        <f>IFERROR(_xlfn.XLOOKUP(Table6[[#This Row],[Affected Feeder ]],'Basic Data'!$A:$A,'Basic Data'!$B:$B),"")</f>
        <v>PWEPL</v>
      </c>
      <c r="I341" s="79" t="str">
        <f>IFERROR(_xlfn.XLOOKUP(Table6[[#This Row],[Affected Feeder ]],'Basic Data'!$A:$A,'Basic Data'!$C:$C),"")</f>
        <v>MSEDCL</v>
      </c>
      <c r="J341" s="295">
        <f>IFERROR(_xlfn.XLOOKUP(Table6[[#This Row],[Affected Feeder ]],'Basic Data'!$A:$A,'Basic Data'!$E:$E),"")</f>
        <v>2.2727272727272728E-2</v>
      </c>
      <c r="K341" s="296" t="s">
        <v>171</v>
      </c>
      <c r="L341" s="297">
        <v>0.82986111111111116</v>
      </c>
      <c r="M341" s="297">
        <v>0.82986111111111116</v>
      </c>
      <c r="N341" s="297">
        <v>0.84375</v>
      </c>
      <c r="O341" s="19">
        <f>(Table6[[#This Row],[Work Start TimeStamp]]-Table6[[#This Row],[Fault Start TimeStamp]])*24</f>
        <v>0</v>
      </c>
      <c r="P341" s="19">
        <f>(Table6[[#This Row],[Fault Clearance time]]-Table6[[#This Row],[Fault Start TimeStamp]])*24</f>
        <v>0.33333333333333215</v>
      </c>
      <c r="Q341" s="19">
        <f>(Table6[[#This Row],[Fault Clearance time]]-Table6[[#This Row],[Fault Start TimeStamp]])*24</f>
        <v>0.33333333333333215</v>
      </c>
      <c r="R341" s="79" t="s">
        <v>353</v>
      </c>
      <c r="S341" s="79" t="s">
        <v>339</v>
      </c>
      <c r="T341" s="298">
        <f>IFERROR(Table6[[#This Row],[Breakdown Time]]*Table6[[#This Row],[Plant Equivalent Weightage]],"")</f>
        <v>7.5757575757575491E-3</v>
      </c>
      <c r="U341" s="79" t="s">
        <v>416</v>
      </c>
      <c r="W341" s="79">
        <v>60</v>
      </c>
    </row>
    <row r="342" spans="1:23">
      <c r="A342" s="79">
        <f t="shared" si="5"/>
        <v>341</v>
      </c>
      <c r="B342" s="79">
        <f>YEAR(Table6[[#This Row],[Date]])+IF(MONTH(Table6[[#This Row],[Date]])&gt;=4,1,0)</f>
        <v>2026</v>
      </c>
      <c r="C342" s="79">
        <f>YEAR(Table6[[#This Row],[Date]])</f>
        <v>2025</v>
      </c>
      <c r="D342" s="79" t="s">
        <v>344</v>
      </c>
      <c r="E342" s="284">
        <f>Table6[[#This Row],[Date]]-DAY(Table6[[#This Row],[Date]])+1</f>
        <v>45748</v>
      </c>
      <c r="F342" s="285">
        <v>45771</v>
      </c>
      <c r="G342" s="79" t="s">
        <v>84</v>
      </c>
      <c r="H342" s="79" t="str">
        <f>IFERROR(_xlfn.XLOOKUP(Table6[[#This Row],[Affected Feeder ]],'Basic Data'!$A:$A,'Basic Data'!$B:$B),"")</f>
        <v>PWEPL</v>
      </c>
      <c r="I342" s="79" t="str">
        <f>IFERROR(_xlfn.XLOOKUP(Table6[[#This Row],[Affected Feeder ]],'Basic Data'!$A:$A,'Basic Data'!$C:$C),"")</f>
        <v>MSEDCL</v>
      </c>
      <c r="J342" s="295">
        <f>IFERROR(_xlfn.XLOOKUP(Table6[[#This Row],[Affected Feeder ]],'Basic Data'!$A:$A,'Basic Data'!$E:$E),"")</f>
        <v>2.2727272727272728E-2</v>
      </c>
      <c r="K342" s="296" t="s">
        <v>414</v>
      </c>
      <c r="L342" s="297">
        <v>0.37152777777777773</v>
      </c>
      <c r="M342" s="297">
        <v>0.37152777777777773</v>
      </c>
      <c r="N342" s="297">
        <v>0.80208333333333337</v>
      </c>
      <c r="O342" s="19">
        <f>(Table6[[#This Row],[Work Start TimeStamp]]-Table6[[#This Row],[Fault Start TimeStamp]])*24</f>
        <v>0</v>
      </c>
      <c r="P342" s="19">
        <f>(Table6[[#This Row],[Fault Clearance time]]-Table6[[#This Row],[Fault Start TimeStamp]])*24</f>
        <v>10.333333333333336</v>
      </c>
      <c r="Q342" s="19">
        <f>(Table6[[#This Row],[Fault Clearance time]]-Table6[[#This Row],[Fault Start TimeStamp]])*24</f>
        <v>10.333333333333336</v>
      </c>
      <c r="R342" s="79" t="s">
        <v>457</v>
      </c>
      <c r="S342" s="79" t="s">
        <v>339</v>
      </c>
      <c r="T342" s="298">
        <f>IFERROR(Table6[[#This Row],[Breakdown Time]]*Table6[[#This Row],[Plant Equivalent Weightage]],"")</f>
        <v>0.23484848484848492</v>
      </c>
      <c r="U342" s="79" t="s">
        <v>416</v>
      </c>
      <c r="W342" s="79">
        <v>1475</v>
      </c>
    </row>
    <row r="343" spans="1:23">
      <c r="A343" s="79">
        <f t="shared" si="5"/>
        <v>342</v>
      </c>
      <c r="B343" s="79">
        <f>YEAR(Table6[[#This Row],[Date]])+IF(MONTH(Table6[[#This Row],[Date]])&gt;=4,1,0)</f>
        <v>2026</v>
      </c>
      <c r="C343" s="79">
        <f>YEAR(Table6[[#This Row],[Date]])</f>
        <v>2025</v>
      </c>
      <c r="D343" s="79" t="s">
        <v>344</v>
      </c>
      <c r="E343" s="284">
        <f>Table6[[#This Row],[Date]]-DAY(Table6[[#This Row],[Date]])+1</f>
        <v>45748</v>
      </c>
      <c r="F343" s="285">
        <v>45771</v>
      </c>
      <c r="G343" s="79" t="s">
        <v>84</v>
      </c>
      <c r="H343" s="79" t="str">
        <f>IFERROR(_xlfn.XLOOKUP(Table6[[#This Row],[Affected Feeder ]],'Basic Data'!$A:$A,'Basic Data'!$B:$B),"")</f>
        <v>PWEPL</v>
      </c>
      <c r="I343" s="79" t="str">
        <f>IFERROR(_xlfn.XLOOKUP(Table6[[#This Row],[Affected Feeder ]],'Basic Data'!$A:$A,'Basic Data'!$C:$C),"")</f>
        <v>MSEDCL</v>
      </c>
      <c r="J343" s="295">
        <f>IFERROR(_xlfn.XLOOKUP(Table6[[#This Row],[Affected Feeder ]],'Basic Data'!$A:$A,'Basic Data'!$E:$E),"")</f>
        <v>2.2727272727272728E-2</v>
      </c>
      <c r="K343" s="296" t="s">
        <v>171</v>
      </c>
      <c r="L343" s="297">
        <v>0.80208333333333337</v>
      </c>
      <c r="M343" s="297">
        <v>0.80208333333333337</v>
      </c>
      <c r="N343" s="297">
        <v>0.81388888888888899</v>
      </c>
      <c r="O343" s="19">
        <f>(Table6[[#This Row],[Work Start TimeStamp]]-Table6[[#This Row],[Fault Start TimeStamp]])*24</f>
        <v>0</v>
      </c>
      <c r="P343" s="19">
        <f>(Table6[[#This Row],[Fault Clearance time]]-Table6[[#This Row],[Fault Start TimeStamp]])*24</f>
        <v>0.28333333333333499</v>
      </c>
      <c r="Q343" s="19">
        <f>(Table6[[#This Row],[Fault Clearance time]]-Table6[[#This Row],[Fault Start TimeStamp]])*24</f>
        <v>0.28333333333333499</v>
      </c>
      <c r="R343" s="79" t="s">
        <v>353</v>
      </c>
      <c r="S343" s="79" t="s">
        <v>339</v>
      </c>
      <c r="T343" s="298">
        <f>IFERROR(Table6[[#This Row],[Breakdown Time]]*Table6[[#This Row],[Plant Equivalent Weightage]],"")</f>
        <v>6.4393939393939774E-3</v>
      </c>
      <c r="U343" s="79" t="s">
        <v>416</v>
      </c>
      <c r="W343" s="79">
        <v>41</v>
      </c>
    </row>
    <row r="344" spans="1:23">
      <c r="A344" s="79">
        <f t="shared" si="5"/>
        <v>343</v>
      </c>
      <c r="B344" s="79">
        <f>YEAR(Table6[[#This Row],[Date]])+IF(MONTH(Table6[[#This Row],[Date]])&gt;=4,1,0)</f>
        <v>2026</v>
      </c>
      <c r="C344" s="79">
        <f>YEAR(Table6[[#This Row],[Date]])</f>
        <v>2025</v>
      </c>
      <c r="D344" s="79" t="s">
        <v>344</v>
      </c>
      <c r="E344" s="284">
        <f>Table6[[#This Row],[Date]]-DAY(Table6[[#This Row],[Date]])+1</f>
        <v>45748</v>
      </c>
      <c r="F344" s="285">
        <v>45771</v>
      </c>
      <c r="G344" s="79" t="s">
        <v>85</v>
      </c>
      <c r="H344" s="79" t="str">
        <f>IFERROR(_xlfn.XLOOKUP(Table6[[#This Row],[Affected Feeder ]],'Basic Data'!$A:$A,'Basic Data'!$B:$B),"")</f>
        <v>PWEPL</v>
      </c>
      <c r="I344" s="79" t="str">
        <f>IFERROR(_xlfn.XLOOKUP(Table6[[#This Row],[Affected Feeder ]],'Basic Data'!$A:$A,'Basic Data'!$C:$C),"")</f>
        <v>MSEDCL</v>
      </c>
      <c r="J344" s="295">
        <f>IFERROR(_xlfn.XLOOKUP(Table6[[#This Row],[Affected Feeder ]],'Basic Data'!$A:$A,'Basic Data'!$E:$E),"")</f>
        <v>2.2727272727272728E-2</v>
      </c>
      <c r="K344" s="296" t="s">
        <v>414</v>
      </c>
      <c r="L344" s="297">
        <v>0.37152777777777773</v>
      </c>
      <c r="M344" s="297">
        <v>0.37152777777777773</v>
      </c>
      <c r="N344" s="297">
        <v>0.80208333333333337</v>
      </c>
      <c r="O344" s="19">
        <f>(Table6[[#This Row],[Work Start TimeStamp]]-Table6[[#This Row],[Fault Start TimeStamp]])*24</f>
        <v>0</v>
      </c>
      <c r="P344" s="19">
        <f>(Table6[[#This Row],[Fault Clearance time]]-Table6[[#This Row],[Fault Start TimeStamp]])*24</f>
        <v>10.333333333333336</v>
      </c>
      <c r="Q344" s="19">
        <f>(Table6[[#This Row],[Fault Clearance time]]-Table6[[#This Row],[Fault Start TimeStamp]])*24</f>
        <v>10.333333333333336</v>
      </c>
      <c r="R344" s="79" t="s">
        <v>457</v>
      </c>
      <c r="S344" s="79" t="s">
        <v>339</v>
      </c>
      <c r="T344" s="298">
        <f>IFERROR(Table6[[#This Row],[Breakdown Time]]*Table6[[#This Row],[Plant Equivalent Weightage]],"")</f>
        <v>0.23484848484848492</v>
      </c>
      <c r="U344" s="79" t="s">
        <v>416</v>
      </c>
      <c r="W344" s="79">
        <v>1475</v>
      </c>
    </row>
    <row r="345" spans="1:23">
      <c r="A345" s="79">
        <f t="shared" si="5"/>
        <v>344</v>
      </c>
      <c r="B345" s="79">
        <f>YEAR(Table6[[#This Row],[Date]])+IF(MONTH(Table6[[#This Row],[Date]])&gt;=4,1,0)</f>
        <v>2026</v>
      </c>
      <c r="C345" s="79">
        <f>YEAR(Table6[[#This Row],[Date]])</f>
        <v>2025</v>
      </c>
      <c r="D345" s="79" t="s">
        <v>344</v>
      </c>
      <c r="E345" s="284">
        <f>Table6[[#This Row],[Date]]-DAY(Table6[[#This Row],[Date]])+1</f>
        <v>45748</v>
      </c>
      <c r="F345" s="285">
        <v>45771</v>
      </c>
      <c r="G345" s="79" t="s">
        <v>85</v>
      </c>
      <c r="H345" s="79" t="str">
        <f>IFERROR(_xlfn.XLOOKUP(Table6[[#This Row],[Affected Feeder ]],'Basic Data'!$A:$A,'Basic Data'!$B:$B),"")</f>
        <v>PWEPL</v>
      </c>
      <c r="I345" s="79" t="str">
        <f>IFERROR(_xlfn.XLOOKUP(Table6[[#This Row],[Affected Feeder ]],'Basic Data'!$A:$A,'Basic Data'!$C:$C),"")</f>
        <v>MSEDCL</v>
      </c>
      <c r="J345" s="295">
        <f>IFERROR(_xlfn.XLOOKUP(Table6[[#This Row],[Affected Feeder ]],'Basic Data'!$A:$A,'Basic Data'!$E:$E),"")</f>
        <v>2.2727272727272728E-2</v>
      </c>
      <c r="K345" s="296" t="s">
        <v>171</v>
      </c>
      <c r="L345" s="297">
        <v>0.80208333333333337</v>
      </c>
      <c r="M345" s="297">
        <v>0.80208333333333337</v>
      </c>
      <c r="N345" s="297">
        <v>0.81319444444444444</v>
      </c>
      <c r="O345" s="19">
        <f>(Table6[[#This Row],[Work Start TimeStamp]]-Table6[[#This Row],[Fault Start TimeStamp]])*24</f>
        <v>0</v>
      </c>
      <c r="P345" s="19">
        <f>(Table6[[#This Row],[Fault Clearance time]]-Table6[[#This Row],[Fault Start TimeStamp]])*24</f>
        <v>0.26666666666666572</v>
      </c>
      <c r="Q345" s="19">
        <f>(Table6[[#This Row],[Fault Clearance time]]-Table6[[#This Row],[Fault Start TimeStamp]])*24</f>
        <v>0.26666666666666572</v>
      </c>
      <c r="R345" s="79" t="s">
        <v>353</v>
      </c>
      <c r="S345" s="79" t="s">
        <v>339</v>
      </c>
      <c r="T345" s="298">
        <f>IFERROR(Table6[[#This Row],[Breakdown Time]]*Table6[[#This Row],[Plant Equivalent Weightage]],"")</f>
        <v>6.0606060606060389E-3</v>
      </c>
      <c r="U345" s="79" t="s">
        <v>416</v>
      </c>
      <c r="W345" s="79">
        <v>39</v>
      </c>
    </row>
    <row r="346" spans="1:23">
      <c r="A346" s="79">
        <f t="shared" si="5"/>
        <v>345</v>
      </c>
      <c r="B346" s="79">
        <f>YEAR(Table6[[#This Row],[Date]])+IF(MONTH(Table6[[#This Row],[Date]])&gt;=4,1,0)</f>
        <v>2026</v>
      </c>
      <c r="C346" s="79">
        <f>YEAR(Table6[[#This Row],[Date]])</f>
        <v>2025</v>
      </c>
      <c r="D346" s="79" t="s">
        <v>344</v>
      </c>
      <c r="E346" s="284">
        <f>Table6[[#This Row],[Date]]-DAY(Table6[[#This Row],[Date]])+1</f>
        <v>45748</v>
      </c>
      <c r="F346" s="285">
        <v>45771</v>
      </c>
      <c r="G346" s="79" t="s">
        <v>86</v>
      </c>
      <c r="H346" s="79" t="str">
        <f>IFERROR(_xlfn.XLOOKUP(Table6[[#This Row],[Affected Feeder ]],'Basic Data'!$A:$A,'Basic Data'!$B:$B),"")</f>
        <v>PWEPL</v>
      </c>
      <c r="I346" s="79" t="str">
        <f>IFERROR(_xlfn.XLOOKUP(Table6[[#This Row],[Affected Feeder ]],'Basic Data'!$A:$A,'Basic Data'!$C:$C),"")</f>
        <v>MSEDCL</v>
      </c>
      <c r="J346" s="295">
        <f>IFERROR(_xlfn.XLOOKUP(Table6[[#This Row],[Affected Feeder ]],'Basic Data'!$A:$A,'Basic Data'!$E:$E),"")</f>
        <v>2.2727272727272728E-2</v>
      </c>
      <c r="K346" s="296" t="s">
        <v>414</v>
      </c>
      <c r="L346" s="297">
        <v>0.37152777777777773</v>
      </c>
      <c r="M346" s="297">
        <v>0.37152777777777773</v>
      </c>
      <c r="N346" s="297">
        <v>0.80208333333333337</v>
      </c>
      <c r="O346" s="19">
        <f>(Table6[[#This Row],[Work Start TimeStamp]]-Table6[[#This Row],[Fault Start TimeStamp]])*24</f>
        <v>0</v>
      </c>
      <c r="P346" s="19">
        <f>(Table6[[#This Row],[Fault Clearance time]]-Table6[[#This Row],[Fault Start TimeStamp]])*24</f>
        <v>10.333333333333336</v>
      </c>
      <c r="Q346" s="19">
        <f>(Table6[[#This Row],[Fault Clearance time]]-Table6[[#This Row],[Fault Start TimeStamp]])*24</f>
        <v>10.333333333333336</v>
      </c>
      <c r="R346" s="79" t="s">
        <v>457</v>
      </c>
      <c r="S346" s="79" t="s">
        <v>339</v>
      </c>
      <c r="T346" s="298">
        <f>IFERROR(Table6[[#This Row],[Breakdown Time]]*Table6[[#This Row],[Plant Equivalent Weightage]],"")</f>
        <v>0.23484848484848492</v>
      </c>
      <c r="U346" s="79" t="s">
        <v>416</v>
      </c>
      <c r="W346" s="79">
        <v>1475</v>
      </c>
    </row>
    <row r="347" spans="1:23">
      <c r="A347" s="79">
        <f t="shared" si="5"/>
        <v>346</v>
      </c>
      <c r="B347" s="79">
        <f>YEAR(Table6[[#This Row],[Date]])+IF(MONTH(Table6[[#This Row],[Date]])&gt;=4,1,0)</f>
        <v>2026</v>
      </c>
      <c r="C347" s="79">
        <f>YEAR(Table6[[#This Row],[Date]])</f>
        <v>2025</v>
      </c>
      <c r="D347" s="79" t="s">
        <v>344</v>
      </c>
      <c r="E347" s="284">
        <f>Table6[[#This Row],[Date]]-DAY(Table6[[#This Row],[Date]])+1</f>
        <v>45748</v>
      </c>
      <c r="F347" s="285">
        <v>45771</v>
      </c>
      <c r="G347" s="79" t="s">
        <v>86</v>
      </c>
      <c r="H347" s="79" t="str">
        <f>IFERROR(_xlfn.XLOOKUP(Table6[[#This Row],[Affected Feeder ]],'Basic Data'!$A:$A,'Basic Data'!$B:$B),"")</f>
        <v>PWEPL</v>
      </c>
      <c r="I347" s="79" t="str">
        <f>IFERROR(_xlfn.XLOOKUP(Table6[[#This Row],[Affected Feeder ]],'Basic Data'!$A:$A,'Basic Data'!$C:$C),"")</f>
        <v>MSEDCL</v>
      </c>
      <c r="J347" s="295">
        <f>IFERROR(_xlfn.XLOOKUP(Table6[[#This Row],[Affected Feeder ]],'Basic Data'!$A:$A,'Basic Data'!$E:$E),"")</f>
        <v>2.2727272727272728E-2</v>
      </c>
      <c r="K347" s="296" t="s">
        <v>171</v>
      </c>
      <c r="L347" s="297">
        <v>0.80208333333333337</v>
      </c>
      <c r="M347" s="297">
        <v>0.80208333333333337</v>
      </c>
      <c r="N347" s="297">
        <v>0.81388888888888899</v>
      </c>
      <c r="O347" s="19">
        <f>(Table6[[#This Row],[Work Start TimeStamp]]-Table6[[#This Row],[Fault Start TimeStamp]])*24</f>
        <v>0</v>
      </c>
      <c r="P347" s="19">
        <f>(Table6[[#This Row],[Fault Clearance time]]-Table6[[#This Row],[Fault Start TimeStamp]])*24</f>
        <v>0.28333333333333499</v>
      </c>
      <c r="Q347" s="19">
        <f>(Table6[[#This Row],[Fault Clearance time]]-Table6[[#This Row],[Fault Start TimeStamp]])*24</f>
        <v>0.28333333333333499</v>
      </c>
      <c r="R347" s="79" t="s">
        <v>353</v>
      </c>
      <c r="S347" s="79" t="s">
        <v>339</v>
      </c>
      <c r="T347" s="298">
        <f>IFERROR(Table6[[#This Row],[Breakdown Time]]*Table6[[#This Row],[Plant Equivalent Weightage]],"")</f>
        <v>6.4393939393939774E-3</v>
      </c>
      <c r="U347" s="79" t="s">
        <v>416</v>
      </c>
      <c r="W347" s="79">
        <v>41</v>
      </c>
    </row>
    <row r="348" spans="1:23">
      <c r="A348" s="79">
        <f t="shared" si="5"/>
        <v>347</v>
      </c>
      <c r="B348" s="79">
        <f>YEAR(Table6[[#This Row],[Date]])+IF(MONTH(Table6[[#This Row],[Date]])&gt;=4,1,0)</f>
        <v>2026</v>
      </c>
      <c r="C348" s="79">
        <f>YEAR(Table6[[#This Row],[Date]])</f>
        <v>2025</v>
      </c>
      <c r="D348" s="79" t="s">
        <v>344</v>
      </c>
      <c r="E348" s="284">
        <f>Table6[[#This Row],[Date]]-DAY(Table6[[#This Row],[Date]])+1</f>
        <v>45748</v>
      </c>
      <c r="F348" s="285">
        <v>45771</v>
      </c>
      <c r="G348" s="79" t="s">
        <v>87</v>
      </c>
      <c r="H348" s="79" t="str">
        <f>IFERROR(_xlfn.XLOOKUP(Table6[[#This Row],[Affected Feeder ]],'Basic Data'!$A:$A,'Basic Data'!$B:$B),"")</f>
        <v>PWEPL</v>
      </c>
      <c r="I348" s="79" t="str">
        <f>IFERROR(_xlfn.XLOOKUP(Table6[[#This Row],[Affected Feeder ]],'Basic Data'!$A:$A,'Basic Data'!$C:$C),"")</f>
        <v>MSEDCL</v>
      </c>
      <c r="J348" s="295">
        <f>IFERROR(_xlfn.XLOOKUP(Table6[[#This Row],[Affected Feeder ]],'Basic Data'!$A:$A,'Basic Data'!$E:$E),"")</f>
        <v>2.2727272727272728E-2</v>
      </c>
      <c r="K348" s="296" t="s">
        <v>414</v>
      </c>
      <c r="L348" s="297">
        <v>0.37152777777777773</v>
      </c>
      <c r="M348" s="297">
        <v>0.37152777777777773</v>
      </c>
      <c r="N348" s="297">
        <v>0.80208333333333337</v>
      </c>
      <c r="O348" s="19">
        <f>(Table6[[#This Row],[Work Start TimeStamp]]-Table6[[#This Row],[Fault Start TimeStamp]])*24</f>
        <v>0</v>
      </c>
      <c r="P348" s="19">
        <f>(Table6[[#This Row],[Fault Clearance time]]-Table6[[#This Row],[Fault Start TimeStamp]])*24</f>
        <v>10.333333333333336</v>
      </c>
      <c r="Q348" s="19">
        <f>(Table6[[#This Row],[Fault Clearance time]]-Table6[[#This Row],[Fault Start TimeStamp]])*24</f>
        <v>10.333333333333336</v>
      </c>
      <c r="R348" s="79" t="s">
        <v>457</v>
      </c>
      <c r="S348" s="79" t="s">
        <v>339</v>
      </c>
      <c r="T348" s="298">
        <f>IFERROR(Table6[[#This Row],[Breakdown Time]]*Table6[[#This Row],[Plant Equivalent Weightage]],"")</f>
        <v>0.23484848484848492</v>
      </c>
      <c r="U348" s="79" t="s">
        <v>416</v>
      </c>
      <c r="W348" s="79">
        <v>1475</v>
      </c>
    </row>
    <row r="349" spans="1:23">
      <c r="A349" s="79">
        <f t="shared" si="5"/>
        <v>348</v>
      </c>
      <c r="B349" s="79">
        <f>YEAR(Table6[[#This Row],[Date]])+IF(MONTH(Table6[[#This Row],[Date]])&gt;=4,1,0)</f>
        <v>2026</v>
      </c>
      <c r="C349" s="79">
        <f>YEAR(Table6[[#This Row],[Date]])</f>
        <v>2025</v>
      </c>
      <c r="D349" s="79" t="s">
        <v>344</v>
      </c>
      <c r="E349" s="284">
        <f>Table6[[#This Row],[Date]]-DAY(Table6[[#This Row],[Date]])+1</f>
        <v>45748</v>
      </c>
      <c r="F349" s="285">
        <v>45771</v>
      </c>
      <c r="G349" s="79" t="s">
        <v>87</v>
      </c>
      <c r="H349" s="79" t="str">
        <f>IFERROR(_xlfn.XLOOKUP(Table6[[#This Row],[Affected Feeder ]],'Basic Data'!$A:$A,'Basic Data'!$B:$B),"")</f>
        <v>PWEPL</v>
      </c>
      <c r="I349" s="79" t="str">
        <f>IFERROR(_xlfn.XLOOKUP(Table6[[#This Row],[Affected Feeder ]],'Basic Data'!$A:$A,'Basic Data'!$C:$C),"")</f>
        <v>MSEDCL</v>
      </c>
      <c r="J349" s="295">
        <f>IFERROR(_xlfn.XLOOKUP(Table6[[#This Row],[Affected Feeder ]],'Basic Data'!$A:$A,'Basic Data'!$E:$E),"")</f>
        <v>2.2727272727272728E-2</v>
      </c>
      <c r="K349" s="296" t="s">
        <v>171</v>
      </c>
      <c r="L349" s="297">
        <v>0.80208333333333337</v>
      </c>
      <c r="M349" s="297">
        <v>0.80208333333333337</v>
      </c>
      <c r="N349" s="297">
        <v>0.81319444444444444</v>
      </c>
      <c r="O349" s="19">
        <f>(Table6[[#This Row],[Work Start TimeStamp]]-Table6[[#This Row],[Fault Start TimeStamp]])*24</f>
        <v>0</v>
      </c>
      <c r="P349" s="19">
        <f>(Table6[[#This Row],[Fault Clearance time]]-Table6[[#This Row],[Fault Start TimeStamp]])*24</f>
        <v>0.26666666666666572</v>
      </c>
      <c r="Q349" s="19">
        <f>(Table6[[#This Row],[Fault Clearance time]]-Table6[[#This Row],[Fault Start TimeStamp]])*24</f>
        <v>0.26666666666666572</v>
      </c>
      <c r="R349" s="79" t="s">
        <v>353</v>
      </c>
      <c r="S349" s="79" t="s">
        <v>339</v>
      </c>
      <c r="T349" s="298">
        <f>IFERROR(Table6[[#This Row],[Breakdown Time]]*Table6[[#This Row],[Plant Equivalent Weightage]],"")</f>
        <v>6.0606060606060389E-3</v>
      </c>
      <c r="U349" s="79" t="s">
        <v>416</v>
      </c>
      <c r="W349" s="79">
        <v>39</v>
      </c>
    </row>
    <row r="350" spans="1:23">
      <c r="A350" s="79">
        <f t="shared" si="5"/>
        <v>349</v>
      </c>
      <c r="B350" s="79">
        <f>YEAR(Table6[[#This Row],[Date]])+IF(MONTH(Table6[[#This Row],[Date]])&gt;=4,1,0)</f>
        <v>2026</v>
      </c>
      <c r="C350" s="79">
        <f>YEAR(Table6[[#This Row],[Date]])</f>
        <v>2025</v>
      </c>
      <c r="D350" s="79" t="s">
        <v>344</v>
      </c>
      <c r="E350" s="284">
        <f>Table6[[#This Row],[Date]]-DAY(Table6[[#This Row],[Date]])+1</f>
        <v>45748</v>
      </c>
      <c r="F350" s="285">
        <v>45771</v>
      </c>
      <c r="G350" s="79" t="s">
        <v>88</v>
      </c>
      <c r="H350" s="79" t="str">
        <f>IFERROR(_xlfn.XLOOKUP(Table6[[#This Row],[Affected Feeder ]],'Basic Data'!$A:$A,'Basic Data'!$B:$B),"")</f>
        <v>PWEPL</v>
      </c>
      <c r="I350" s="79" t="str">
        <f>IFERROR(_xlfn.XLOOKUP(Table6[[#This Row],[Affected Feeder ]],'Basic Data'!$A:$A,'Basic Data'!$C:$C),"")</f>
        <v>MSEDCL</v>
      </c>
      <c r="J350" s="295">
        <f>IFERROR(_xlfn.XLOOKUP(Table6[[#This Row],[Affected Feeder ]],'Basic Data'!$A:$A,'Basic Data'!$E:$E),"")</f>
        <v>2.2727272727272728E-2</v>
      </c>
      <c r="K350" s="296" t="s">
        <v>414</v>
      </c>
      <c r="L350" s="297">
        <v>0.37152777777777773</v>
      </c>
      <c r="M350" s="297">
        <v>0.37152777777777773</v>
      </c>
      <c r="N350" s="297">
        <v>0.80208333333333337</v>
      </c>
      <c r="O350" s="19">
        <f>(Table6[[#This Row],[Work Start TimeStamp]]-Table6[[#This Row],[Fault Start TimeStamp]])*24</f>
        <v>0</v>
      </c>
      <c r="P350" s="19">
        <f>(Table6[[#This Row],[Fault Clearance time]]-Table6[[#This Row],[Fault Start TimeStamp]])*24</f>
        <v>10.333333333333336</v>
      </c>
      <c r="Q350" s="19">
        <f>(Table6[[#This Row],[Fault Clearance time]]-Table6[[#This Row],[Fault Start TimeStamp]])*24</f>
        <v>10.333333333333336</v>
      </c>
      <c r="R350" s="79" t="s">
        <v>457</v>
      </c>
      <c r="S350" s="79" t="s">
        <v>339</v>
      </c>
      <c r="T350" s="298">
        <f>IFERROR(Table6[[#This Row],[Breakdown Time]]*Table6[[#This Row],[Plant Equivalent Weightage]],"")</f>
        <v>0.23484848484848492</v>
      </c>
      <c r="U350" s="79" t="s">
        <v>416</v>
      </c>
      <c r="W350" s="79">
        <v>1474</v>
      </c>
    </row>
    <row r="351" spans="1:23">
      <c r="A351" s="79">
        <f t="shared" si="5"/>
        <v>350</v>
      </c>
      <c r="B351" s="79">
        <f>YEAR(Table6[[#This Row],[Date]])+IF(MONTH(Table6[[#This Row],[Date]])&gt;=4,1,0)</f>
        <v>2026</v>
      </c>
      <c r="C351" s="79">
        <f>YEAR(Table6[[#This Row],[Date]])</f>
        <v>2025</v>
      </c>
      <c r="D351" s="79" t="s">
        <v>344</v>
      </c>
      <c r="E351" s="284">
        <f>Table6[[#This Row],[Date]]-DAY(Table6[[#This Row],[Date]])+1</f>
        <v>45748</v>
      </c>
      <c r="F351" s="285">
        <v>45771</v>
      </c>
      <c r="G351" s="79" t="s">
        <v>88</v>
      </c>
      <c r="H351" s="79" t="str">
        <f>IFERROR(_xlfn.XLOOKUP(Table6[[#This Row],[Affected Feeder ]],'Basic Data'!$A:$A,'Basic Data'!$B:$B),"")</f>
        <v>PWEPL</v>
      </c>
      <c r="I351" s="79" t="str">
        <f>IFERROR(_xlfn.XLOOKUP(Table6[[#This Row],[Affected Feeder ]],'Basic Data'!$A:$A,'Basic Data'!$C:$C),"")</f>
        <v>MSEDCL</v>
      </c>
      <c r="J351" s="295">
        <f>IFERROR(_xlfn.XLOOKUP(Table6[[#This Row],[Affected Feeder ]],'Basic Data'!$A:$A,'Basic Data'!$E:$E),"")</f>
        <v>2.2727272727272728E-2</v>
      </c>
      <c r="K351" s="296" t="s">
        <v>171</v>
      </c>
      <c r="L351" s="297">
        <v>0.80208333333333337</v>
      </c>
      <c r="M351" s="297">
        <v>0.80208333333333337</v>
      </c>
      <c r="N351" s="297">
        <v>0.81597222222222221</v>
      </c>
      <c r="O351" s="19">
        <f>(Table6[[#This Row],[Work Start TimeStamp]]-Table6[[#This Row],[Fault Start TimeStamp]])*24</f>
        <v>0</v>
      </c>
      <c r="P351" s="19">
        <f>(Table6[[#This Row],[Fault Clearance time]]-Table6[[#This Row],[Fault Start TimeStamp]])*24</f>
        <v>0.33333333333333215</v>
      </c>
      <c r="Q351" s="19">
        <f>(Table6[[#This Row],[Fault Clearance time]]-Table6[[#This Row],[Fault Start TimeStamp]])*24</f>
        <v>0.33333333333333215</v>
      </c>
      <c r="R351" s="79" t="s">
        <v>353</v>
      </c>
      <c r="S351" s="79" t="s">
        <v>339</v>
      </c>
      <c r="T351" s="298">
        <f>IFERROR(Table6[[#This Row],[Breakdown Time]]*Table6[[#This Row],[Plant Equivalent Weightage]],"")</f>
        <v>7.5757575757575491E-3</v>
      </c>
      <c r="U351" s="79" t="s">
        <v>416</v>
      </c>
      <c r="W351" s="79">
        <v>49</v>
      </c>
    </row>
    <row r="352" spans="1:23">
      <c r="A352" s="79">
        <f t="shared" si="5"/>
        <v>351</v>
      </c>
      <c r="B352" s="79">
        <f>YEAR(Table6[[#This Row],[Date]])+IF(MONTH(Table6[[#This Row],[Date]])&gt;=4,1,0)</f>
        <v>2026</v>
      </c>
      <c r="C352" s="79">
        <f>YEAR(Table6[[#This Row],[Date]])</f>
        <v>2025</v>
      </c>
      <c r="D352" s="79" t="s">
        <v>344</v>
      </c>
      <c r="E352" s="284">
        <f>Table6[[#This Row],[Date]]-DAY(Table6[[#This Row],[Date]])+1</f>
        <v>45748</v>
      </c>
      <c r="F352" s="285">
        <v>45772</v>
      </c>
      <c r="G352" s="79" t="s">
        <v>399</v>
      </c>
      <c r="H352" s="79" t="str">
        <f>IFERROR(_xlfn.XLOOKUP(Table6[[#This Row],[Affected Feeder ]],'Basic Data'!$A:$A,'Basic Data'!$B:$B),"")</f>
        <v>PWEPL</v>
      </c>
      <c r="I352" s="79" t="str">
        <f>IFERROR(_xlfn.XLOOKUP(Table6[[#This Row],[Affected Feeder ]],'Basic Data'!$A:$A,'Basic Data'!$C:$C),"")</f>
        <v>MSEDCL</v>
      </c>
      <c r="J352" s="295">
        <f>IFERROR(_xlfn.XLOOKUP(Table6[[#This Row],[Affected Feeder ]],'Basic Data'!$A:$A,'Basic Data'!$E:$E),"")</f>
        <v>0.22727272727272727</v>
      </c>
      <c r="K352" s="296" t="s">
        <v>447</v>
      </c>
      <c r="L352" s="297">
        <v>0.16458333333333333</v>
      </c>
      <c r="M352" s="297">
        <v>0.16458333333333333</v>
      </c>
      <c r="N352" s="297">
        <v>0.18819444444444444</v>
      </c>
      <c r="O352" s="19">
        <f>(Table6[[#This Row],[Work Start TimeStamp]]-Table6[[#This Row],[Fault Start TimeStamp]])*24</f>
        <v>0</v>
      </c>
      <c r="P352" s="19">
        <f>(Table6[[#This Row],[Fault Clearance time]]-Table6[[#This Row],[Fault Start TimeStamp]])*24</f>
        <v>0.56666666666666665</v>
      </c>
      <c r="Q352" s="19">
        <f>(Table6[[#This Row],[Fault Clearance time]]-Table6[[#This Row],[Fault Start TimeStamp]])*24</f>
        <v>0.56666666666666665</v>
      </c>
      <c r="R352" s="79" t="s">
        <v>420</v>
      </c>
      <c r="S352" s="79" t="s">
        <v>339</v>
      </c>
      <c r="T352" s="298">
        <f>IFERROR(Table6[[#This Row],[Breakdown Time]]*Table6[[#This Row],[Plant Equivalent Weightage]],"")</f>
        <v>0.12878787878787878</v>
      </c>
      <c r="U352" s="79" t="s">
        <v>421</v>
      </c>
      <c r="W352" s="79">
        <v>1482</v>
      </c>
    </row>
    <row r="353" spans="1:23">
      <c r="A353" s="79">
        <f t="shared" si="5"/>
        <v>352</v>
      </c>
      <c r="B353" s="79">
        <f>YEAR(Table6[[#This Row],[Date]])+IF(MONTH(Table6[[#This Row],[Date]])&gt;=4,1,0)</f>
        <v>2026</v>
      </c>
      <c r="C353" s="79">
        <f>YEAR(Table6[[#This Row],[Date]])</f>
        <v>2025</v>
      </c>
      <c r="D353" s="79" t="s">
        <v>344</v>
      </c>
      <c r="E353" s="284">
        <f>Table6[[#This Row],[Date]]-DAY(Table6[[#This Row],[Date]])+1</f>
        <v>45748</v>
      </c>
      <c r="F353" s="285">
        <v>45772</v>
      </c>
      <c r="G353" s="79" t="s">
        <v>84</v>
      </c>
      <c r="H353" s="79" t="str">
        <f>IFERROR(_xlfn.XLOOKUP(Table6[[#This Row],[Affected Feeder ]],'Basic Data'!$A:$A,'Basic Data'!$B:$B),"")</f>
        <v>PWEPL</v>
      </c>
      <c r="I353" s="79" t="str">
        <f>IFERROR(_xlfn.XLOOKUP(Table6[[#This Row],[Affected Feeder ]],'Basic Data'!$A:$A,'Basic Data'!$C:$C),"")</f>
        <v>MSEDCL</v>
      </c>
      <c r="J353" s="295">
        <f>IFERROR(_xlfn.XLOOKUP(Table6[[#This Row],[Affected Feeder ]],'Basic Data'!$A:$A,'Basic Data'!$E:$E),"")</f>
        <v>2.2727272727272728E-2</v>
      </c>
      <c r="K353" s="296" t="s">
        <v>171</v>
      </c>
      <c r="L353" s="297">
        <v>0.18819444444444444</v>
      </c>
      <c r="M353" s="297">
        <v>0.18819444444444444</v>
      </c>
      <c r="N353" s="297">
        <v>0.20208333333333331</v>
      </c>
      <c r="O353" s="19">
        <f>(Table6[[#This Row],[Work Start TimeStamp]]-Table6[[#This Row],[Fault Start TimeStamp]])*24</f>
        <v>0</v>
      </c>
      <c r="P353" s="19">
        <f>(Table6[[#This Row],[Fault Clearance time]]-Table6[[#This Row],[Fault Start TimeStamp]])*24</f>
        <v>0.33333333333333282</v>
      </c>
      <c r="Q353" s="19">
        <f>(Table6[[#This Row],[Fault Clearance time]]-Table6[[#This Row],[Fault Start TimeStamp]])*24</f>
        <v>0.33333333333333282</v>
      </c>
      <c r="R353" s="79" t="s">
        <v>353</v>
      </c>
      <c r="S353" s="79" t="s">
        <v>339</v>
      </c>
      <c r="T353" s="298">
        <f>IFERROR(Table6[[#This Row],[Breakdown Time]]*Table6[[#This Row],[Plant Equivalent Weightage]],"")</f>
        <v>7.5757575757575638E-3</v>
      </c>
      <c r="U353" s="79" t="s">
        <v>421</v>
      </c>
      <c r="W353" s="79">
        <v>87</v>
      </c>
    </row>
    <row r="354" spans="1:23">
      <c r="A354" s="79">
        <f t="shared" si="5"/>
        <v>353</v>
      </c>
      <c r="B354" s="79">
        <f>YEAR(Table6[[#This Row],[Date]])+IF(MONTH(Table6[[#This Row],[Date]])&gt;=4,1,0)</f>
        <v>2026</v>
      </c>
      <c r="C354" s="79">
        <f>YEAR(Table6[[#This Row],[Date]])</f>
        <v>2025</v>
      </c>
      <c r="D354" s="79" t="s">
        <v>344</v>
      </c>
      <c r="E354" s="284">
        <f>Table6[[#This Row],[Date]]-DAY(Table6[[#This Row],[Date]])+1</f>
        <v>45748</v>
      </c>
      <c r="F354" s="285">
        <v>45772</v>
      </c>
      <c r="G354" s="79" t="s">
        <v>85</v>
      </c>
      <c r="H354" s="79" t="str">
        <f>IFERROR(_xlfn.XLOOKUP(Table6[[#This Row],[Affected Feeder ]],'Basic Data'!$A:$A,'Basic Data'!$B:$B),"")</f>
        <v>PWEPL</v>
      </c>
      <c r="I354" s="79" t="str">
        <f>IFERROR(_xlfn.XLOOKUP(Table6[[#This Row],[Affected Feeder ]],'Basic Data'!$A:$A,'Basic Data'!$C:$C),"")</f>
        <v>MSEDCL</v>
      </c>
      <c r="J354" s="295">
        <f>IFERROR(_xlfn.XLOOKUP(Table6[[#This Row],[Affected Feeder ]],'Basic Data'!$A:$A,'Basic Data'!$E:$E),"")</f>
        <v>2.2727272727272728E-2</v>
      </c>
      <c r="K354" s="296" t="s">
        <v>171</v>
      </c>
      <c r="L354" s="297">
        <v>0.18819444444444444</v>
      </c>
      <c r="M354" s="297">
        <v>0.18819444444444444</v>
      </c>
      <c r="N354" s="297">
        <v>0.1986111111111111</v>
      </c>
      <c r="O354" s="19">
        <f>(Table6[[#This Row],[Work Start TimeStamp]]-Table6[[#This Row],[Fault Start TimeStamp]])*24</f>
        <v>0</v>
      </c>
      <c r="P354" s="19">
        <f>(Table6[[#This Row],[Fault Clearance time]]-Table6[[#This Row],[Fault Start TimeStamp]])*24</f>
        <v>0.24999999999999978</v>
      </c>
      <c r="Q354" s="19">
        <f>(Table6[[#This Row],[Fault Clearance time]]-Table6[[#This Row],[Fault Start TimeStamp]])*24</f>
        <v>0.24999999999999978</v>
      </c>
      <c r="R354" s="79" t="s">
        <v>353</v>
      </c>
      <c r="S354" s="79" t="s">
        <v>339</v>
      </c>
      <c r="T354" s="298">
        <f>IFERROR(Table6[[#This Row],[Breakdown Time]]*Table6[[#This Row],[Plant Equivalent Weightage]],"")</f>
        <v>5.6818181818181768E-3</v>
      </c>
      <c r="U354" s="79" t="s">
        <v>421</v>
      </c>
      <c r="W354" s="79">
        <v>65</v>
      </c>
    </row>
    <row r="355" spans="1:23">
      <c r="A355" s="79">
        <f t="shared" si="5"/>
        <v>354</v>
      </c>
      <c r="B355" s="79">
        <f>YEAR(Table6[[#This Row],[Date]])+IF(MONTH(Table6[[#This Row],[Date]])&gt;=4,1,0)</f>
        <v>2026</v>
      </c>
      <c r="C355" s="79">
        <f>YEAR(Table6[[#This Row],[Date]])</f>
        <v>2025</v>
      </c>
      <c r="D355" s="79" t="s">
        <v>344</v>
      </c>
      <c r="E355" s="284">
        <f>Table6[[#This Row],[Date]]-DAY(Table6[[#This Row],[Date]])+1</f>
        <v>45748</v>
      </c>
      <c r="F355" s="285">
        <v>45772</v>
      </c>
      <c r="G355" s="79" t="s">
        <v>86</v>
      </c>
      <c r="H355" s="79" t="str">
        <f>IFERROR(_xlfn.XLOOKUP(Table6[[#This Row],[Affected Feeder ]],'Basic Data'!$A:$A,'Basic Data'!$B:$B),"")</f>
        <v>PWEPL</v>
      </c>
      <c r="I355" s="79" t="str">
        <f>IFERROR(_xlfn.XLOOKUP(Table6[[#This Row],[Affected Feeder ]],'Basic Data'!$A:$A,'Basic Data'!$C:$C),"")</f>
        <v>MSEDCL</v>
      </c>
      <c r="J355" s="295">
        <f>IFERROR(_xlfn.XLOOKUP(Table6[[#This Row],[Affected Feeder ]],'Basic Data'!$A:$A,'Basic Data'!$E:$E),"")</f>
        <v>2.2727272727272728E-2</v>
      </c>
      <c r="K355" s="296" t="s">
        <v>171</v>
      </c>
      <c r="L355" s="297">
        <v>0.18819444444444444</v>
      </c>
      <c r="M355" s="297">
        <v>0.18819444444444444</v>
      </c>
      <c r="N355" s="297">
        <v>0.20138888888888887</v>
      </c>
      <c r="O355" s="19">
        <f>(Table6[[#This Row],[Work Start TimeStamp]]-Table6[[#This Row],[Fault Start TimeStamp]])*24</f>
        <v>0</v>
      </c>
      <c r="P355" s="19">
        <f>(Table6[[#This Row],[Fault Clearance time]]-Table6[[#This Row],[Fault Start TimeStamp]])*24</f>
        <v>0.31666666666666621</v>
      </c>
      <c r="Q355" s="19">
        <f>(Table6[[#This Row],[Fault Clearance time]]-Table6[[#This Row],[Fault Start TimeStamp]])*24</f>
        <v>0.31666666666666621</v>
      </c>
      <c r="R355" s="79" t="s">
        <v>353</v>
      </c>
      <c r="S355" s="79" t="s">
        <v>339</v>
      </c>
      <c r="T355" s="298">
        <f>IFERROR(Table6[[#This Row],[Breakdown Time]]*Table6[[#This Row],[Plant Equivalent Weightage]],"")</f>
        <v>7.1969696969696869E-3</v>
      </c>
      <c r="U355" s="79" t="s">
        <v>421</v>
      </c>
      <c r="W355" s="79">
        <v>82</v>
      </c>
    </row>
    <row r="356" spans="1:23">
      <c r="A356" s="79">
        <f t="shared" si="5"/>
        <v>355</v>
      </c>
      <c r="B356" s="79">
        <f>YEAR(Table6[[#This Row],[Date]])+IF(MONTH(Table6[[#This Row],[Date]])&gt;=4,1,0)</f>
        <v>2026</v>
      </c>
      <c r="C356" s="79">
        <f>YEAR(Table6[[#This Row],[Date]])</f>
        <v>2025</v>
      </c>
      <c r="D356" s="79" t="s">
        <v>344</v>
      </c>
      <c r="E356" s="284">
        <f>Table6[[#This Row],[Date]]-DAY(Table6[[#This Row],[Date]])+1</f>
        <v>45748</v>
      </c>
      <c r="F356" s="285">
        <v>45772</v>
      </c>
      <c r="G356" s="79" t="s">
        <v>87</v>
      </c>
      <c r="H356" s="79" t="str">
        <f>IFERROR(_xlfn.XLOOKUP(Table6[[#This Row],[Affected Feeder ]],'Basic Data'!$A:$A,'Basic Data'!$B:$B),"")</f>
        <v>PWEPL</v>
      </c>
      <c r="I356" s="79" t="str">
        <f>IFERROR(_xlfn.XLOOKUP(Table6[[#This Row],[Affected Feeder ]],'Basic Data'!$A:$A,'Basic Data'!$C:$C),"")</f>
        <v>MSEDCL</v>
      </c>
      <c r="J356" s="295">
        <f>IFERROR(_xlfn.XLOOKUP(Table6[[#This Row],[Affected Feeder ]],'Basic Data'!$A:$A,'Basic Data'!$E:$E),"")</f>
        <v>2.2727272727272728E-2</v>
      </c>
      <c r="K356" s="296" t="s">
        <v>171</v>
      </c>
      <c r="L356" s="297">
        <v>0.18819444444444444</v>
      </c>
      <c r="M356" s="297">
        <v>0.18819444444444444</v>
      </c>
      <c r="N356" s="297">
        <v>0.20208333333333331</v>
      </c>
      <c r="O356" s="19">
        <f>(Table6[[#This Row],[Work Start TimeStamp]]-Table6[[#This Row],[Fault Start TimeStamp]])*24</f>
        <v>0</v>
      </c>
      <c r="P356" s="19">
        <f>(Table6[[#This Row],[Fault Clearance time]]-Table6[[#This Row],[Fault Start TimeStamp]])*24</f>
        <v>0.33333333333333282</v>
      </c>
      <c r="Q356" s="19">
        <f>(Table6[[#This Row],[Fault Clearance time]]-Table6[[#This Row],[Fault Start TimeStamp]])*24</f>
        <v>0.33333333333333282</v>
      </c>
      <c r="R356" s="79" t="s">
        <v>353</v>
      </c>
      <c r="S356" s="79" t="s">
        <v>339</v>
      </c>
      <c r="T356" s="298">
        <f>IFERROR(Table6[[#This Row],[Breakdown Time]]*Table6[[#This Row],[Plant Equivalent Weightage]],"")</f>
        <v>7.5757575757575638E-3</v>
      </c>
      <c r="U356" s="79" t="s">
        <v>421</v>
      </c>
      <c r="W356" s="79">
        <v>87</v>
      </c>
    </row>
    <row r="357" spans="1:23">
      <c r="A357" s="79">
        <f t="shared" si="5"/>
        <v>356</v>
      </c>
      <c r="B357" s="79">
        <f>YEAR(Table6[[#This Row],[Date]])+IF(MONTH(Table6[[#This Row],[Date]])&gt;=4,1,0)</f>
        <v>2026</v>
      </c>
      <c r="C357" s="79">
        <f>YEAR(Table6[[#This Row],[Date]])</f>
        <v>2025</v>
      </c>
      <c r="D357" s="79" t="s">
        <v>344</v>
      </c>
      <c r="E357" s="284">
        <f>Table6[[#This Row],[Date]]-DAY(Table6[[#This Row],[Date]])+1</f>
        <v>45748</v>
      </c>
      <c r="F357" s="285">
        <v>45772</v>
      </c>
      <c r="G357" s="79" t="s">
        <v>88</v>
      </c>
      <c r="H357" s="79" t="str">
        <f>IFERROR(_xlfn.XLOOKUP(Table6[[#This Row],[Affected Feeder ]],'Basic Data'!$A:$A,'Basic Data'!$B:$B),"")</f>
        <v>PWEPL</v>
      </c>
      <c r="I357" s="79" t="str">
        <f>IFERROR(_xlfn.XLOOKUP(Table6[[#This Row],[Affected Feeder ]],'Basic Data'!$A:$A,'Basic Data'!$C:$C),"")</f>
        <v>MSEDCL</v>
      </c>
      <c r="J357" s="295">
        <f>IFERROR(_xlfn.XLOOKUP(Table6[[#This Row],[Affected Feeder ]],'Basic Data'!$A:$A,'Basic Data'!$E:$E),"")</f>
        <v>2.2727272727272728E-2</v>
      </c>
      <c r="K357" s="296" t="s">
        <v>171</v>
      </c>
      <c r="L357" s="297">
        <v>0.18819444444444444</v>
      </c>
      <c r="M357" s="297">
        <v>0.18819444444444444</v>
      </c>
      <c r="N357" s="297">
        <v>0.20208333333333331</v>
      </c>
      <c r="O357" s="19">
        <f>(Table6[[#This Row],[Work Start TimeStamp]]-Table6[[#This Row],[Fault Start TimeStamp]])*24</f>
        <v>0</v>
      </c>
      <c r="P357" s="19">
        <f>(Table6[[#This Row],[Fault Clearance time]]-Table6[[#This Row],[Fault Start TimeStamp]])*24</f>
        <v>0.33333333333333282</v>
      </c>
      <c r="Q357" s="19">
        <f>(Table6[[#This Row],[Fault Clearance time]]-Table6[[#This Row],[Fault Start TimeStamp]])*24</f>
        <v>0.33333333333333282</v>
      </c>
      <c r="R357" s="79" t="s">
        <v>353</v>
      </c>
      <c r="S357" s="79" t="s">
        <v>339</v>
      </c>
      <c r="T357" s="298">
        <f>IFERROR(Table6[[#This Row],[Breakdown Time]]*Table6[[#This Row],[Plant Equivalent Weightage]],"")</f>
        <v>7.5757575757575638E-3</v>
      </c>
      <c r="U357" s="79" t="s">
        <v>421</v>
      </c>
      <c r="W357" s="79">
        <v>87</v>
      </c>
    </row>
    <row r="358" spans="1:23">
      <c r="A358" s="79">
        <f t="shared" si="5"/>
        <v>357</v>
      </c>
      <c r="B358" s="79">
        <f>YEAR(Table6[[#This Row],[Date]])+IF(MONTH(Table6[[#This Row],[Date]])&gt;=4,1,0)</f>
        <v>2026</v>
      </c>
      <c r="C358" s="79">
        <f>YEAR(Table6[[#This Row],[Date]])</f>
        <v>2025</v>
      </c>
      <c r="D358" s="79" t="s">
        <v>344</v>
      </c>
      <c r="E358" s="284">
        <f>Table6[[#This Row],[Date]]-DAY(Table6[[#This Row],[Date]])+1</f>
        <v>45748</v>
      </c>
      <c r="F358" s="285">
        <v>45772</v>
      </c>
      <c r="G358" s="79" t="s">
        <v>83</v>
      </c>
      <c r="H358" s="79" t="str">
        <f>IFERROR(_xlfn.XLOOKUP(Table6[[#This Row],[Affected Feeder ]],'Basic Data'!$A:$A,'Basic Data'!$B:$B),"")</f>
        <v>PWEPL</v>
      </c>
      <c r="I358" s="79" t="str">
        <f>IFERROR(_xlfn.XLOOKUP(Table6[[#This Row],[Affected Feeder ]],'Basic Data'!$A:$A,'Basic Data'!$C:$C),"")</f>
        <v>MSEDCL</v>
      </c>
      <c r="J358" s="295">
        <f>IFERROR(_xlfn.XLOOKUP(Table6[[#This Row],[Affected Feeder ]],'Basic Data'!$A:$A,'Basic Data'!$E:$E),"")</f>
        <v>2.2727272727272728E-2</v>
      </c>
      <c r="K358" s="296" t="s">
        <v>171</v>
      </c>
      <c r="L358" s="297">
        <v>0.18819444444444444</v>
      </c>
      <c r="M358" s="297">
        <v>0.18819444444444444</v>
      </c>
      <c r="N358" s="297">
        <v>0.20138888888888887</v>
      </c>
      <c r="O358" s="19">
        <f>(Table6[[#This Row],[Work Start TimeStamp]]-Table6[[#This Row],[Fault Start TimeStamp]])*24</f>
        <v>0</v>
      </c>
      <c r="P358" s="19">
        <f>(Table6[[#This Row],[Fault Clearance time]]-Table6[[#This Row],[Fault Start TimeStamp]])*24</f>
        <v>0.31666666666666621</v>
      </c>
      <c r="Q358" s="19">
        <f>(Table6[[#This Row],[Fault Clearance time]]-Table6[[#This Row],[Fault Start TimeStamp]])*24</f>
        <v>0.31666666666666621</v>
      </c>
      <c r="R358" s="79" t="s">
        <v>353</v>
      </c>
      <c r="S358" s="79" t="s">
        <v>339</v>
      </c>
      <c r="T358" s="298">
        <f>IFERROR(Table6[[#This Row],[Breakdown Time]]*Table6[[#This Row],[Plant Equivalent Weightage]],"")</f>
        <v>7.1969696969696869E-3</v>
      </c>
      <c r="U358" s="79" t="s">
        <v>421</v>
      </c>
      <c r="W358" s="79">
        <v>82</v>
      </c>
    </row>
    <row r="359" spans="1:23">
      <c r="A359" s="79">
        <f t="shared" si="5"/>
        <v>358</v>
      </c>
      <c r="B359" s="79">
        <f>YEAR(Table6[[#This Row],[Date]])+IF(MONTH(Table6[[#This Row],[Date]])&gt;=4,1,0)</f>
        <v>2026</v>
      </c>
      <c r="C359" s="79">
        <f>YEAR(Table6[[#This Row],[Date]])</f>
        <v>2025</v>
      </c>
      <c r="D359" s="79" t="s">
        <v>344</v>
      </c>
      <c r="E359" s="284">
        <f>Table6[[#This Row],[Date]]-DAY(Table6[[#This Row],[Date]])+1</f>
        <v>45748</v>
      </c>
      <c r="F359" s="285">
        <v>45772</v>
      </c>
      <c r="G359" s="79" t="s">
        <v>98</v>
      </c>
      <c r="H359" s="79" t="str">
        <f>IFERROR(_xlfn.XLOOKUP(Table6[[#This Row],[Affected Feeder ]],'Basic Data'!$A:$A,'Basic Data'!$B:$B),"")</f>
        <v>PWEPL</v>
      </c>
      <c r="I359" s="79" t="str">
        <f>IFERROR(_xlfn.XLOOKUP(Table6[[#This Row],[Affected Feeder ]],'Basic Data'!$A:$A,'Basic Data'!$C:$C),"")</f>
        <v>MSEDCL</v>
      </c>
      <c r="J359" s="295">
        <f>IFERROR(_xlfn.XLOOKUP(Table6[[#This Row],[Affected Feeder ]],'Basic Data'!$A:$A,'Basic Data'!$E:$E),"")</f>
        <v>2.2727272727272728E-2</v>
      </c>
      <c r="K359" s="296" t="s">
        <v>171</v>
      </c>
      <c r="L359" s="297">
        <v>0.18819444444444444</v>
      </c>
      <c r="M359" s="297">
        <v>0.18819444444444444</v>
      </c>
      <c r="N359" s="297">
        <v>0.20208333333333331</v>
      </c>
      <c r="O359" s="19">
        <f>(Table6[[#This Row],[Work Start TimeStamp]]-Table6[[#This Row],[Fault Start TimeStamp]])*24</f>
        <v>0</v>
      </c>
      <c r="P359" s="19">
        <f>(Table6[[#This Row],[Fault Clearance time]]-Table6[[#This Row],[Fault Start TimeStamp]])*24</f>
        <v>0.33333333333333282</v>
      </c>
      <c r="Q359" s="19">
        <f>(Table6[[#This Row],[Fault Clearance time]]-Table6[[#This Row],[Fault Start TimeStamp]])*24</f>
        <v>0.33333333333333282</v>
      </c>
      <c r="R359" s="79" t="s">
        <v>353</v>
      </c>
      <c r="S359" s="79" t="s">
        <v>339</v>
      </c>
      <c r="T359" s="298">
        <f>IFERROR(Table6[[#This Row],[Breakdown Time]]*Table6[[#This Row],[Plant Equivalent Weightage]],"")</f>
        <v>7.5757575757575638E-3</v>
      </c>
      <c r="U359" s="79" t="s">
        <v>421</v>
      </c>
      <c r="W359" s="79">
        <v>87</v>
      </c>
    </row>
    <row r="360" spans="1:23">
      <c r="A360" s="79">
        <f t="shared" si="5"/>
        <v>359</v>
      </c>
      <c r="B360" s="79">
        <f>YEAR(Table6[[#This Row],[Date]])+IF(MONTH(Table6[[#This Row],[Date]])&gt;=4,1,0)</f>
        <v>2026</v>
      </c>
      <c r="C360" s="79">
        <f>YEAR(Table6[[#This Row],[Date]])</f>
        <v>2025</v>
      </c>
      <c r="D360" s="79" t="s">
        <v>344</v>
      </c>
      <c r="E360" s="284">
        <f>Table6[[#This Row],[Date]]-DAY(Table6[[#This Row],[Date]])+1</f>
        <v>45748</v>
      </c>
      <c r="F360" s="285">
        <v>45772</v>
      </c>
      <c r="G360" s="79" t="s">
        <v>99</v>
      </c>
      <c r="H360" s="79" t="str">
        <f>IFERROR(_xlfn.XLOOKUP(Table6[[#This Row],[Affected Feeder ]],'Basic Data'!$A:$A,'Basic Data'!$B:$B),"")</f>
        <v>PWEPL</v>
      </c>
      <c r="I360" s="79" t="str">
        <f>IFERROR(_xlfn.XLOOKUP(Table6[[#This Row],[Affected Feeder ]],'Basic Data'!$A:$A,'Basic Data'!$C:$C),"")</f>
        <v>MSEDCL</v>
      </c>
      <c r="J360" s="295">
        <f>IFERROR(_xlfn.XLOOKUP(Table6[[#This Row],[Affected Feeder ]],'Basic Data'!$A:$A,'Basic Data'!$E:$E),"")</f>
        <v>2.2727272727272728E-2</v>
      </c>
      <c r="K360" s="296" t="s">
        <v>171</v>
      </c>
      <c r="L360" s="297">
        <v>0.18819444444444444</v>
      </c>
      <c r="M360" s="297">
        <v>0.18819444444444444</v>
      </c>
      <c r="N360" s="297">
        <v>0.20208333333333331</v>
      </c>
      <c r="O360" s="19">
        <f>(Table6[[#This Row],[Work Start TimeStamp]]-Table6[[#This Row],[Fault Start TimeStamp]])*24</f>
        <v>0</v>
      </c>
      <c r="P360" s="19">
        <f>(Table6[[#This Row],[Fault Clearance time]]-Table6[[#This Row],[Fault Start TimeStamp]])*24</f>
        <v>0.33333333333333282</v>
      </c>
      <c r="Q360" s="19">
        <f>(Table6[[#This Row],[Fault Clearance time]]-Table6[[#This Row],[Fault Start TimeStamp]])*24</f>
        <v>0.33333333333333282</v>
      </c>
      <c r="R360" s="79" t="s">
        <v>353</v>
      </c>
      <c r="S360" s="79" t="s">
        <v>339</v>
      </c>
      <c r="T360" s="298">
        <f>IFERROR(Table6[[#This Row],[Breakdown Time]]*Table6[[#This Row],[Plant Equivalent Weightage]],"")</f>
        <v>7.5757575757575638E-3</v>
      </c>
      <c r="U360" s="79" t="s">
        <v>421</v>
      </c>
      <c r="W360" s="79">
        <v>87</v>
      </c>
    </row>
    <row r="361" spans="1:23">
      <c r="A361" s="79">
        <f t="shared" si="5"/>
        <v>360</v>
      </c>
      <c r="B361" s="79">
        <f>YEAR(Table6[[#This Row],[Date]])+IF(MONTH(Table6[[#This Row],[Date]])&gt;=4,1,0)</f>
        <v>2026</v>
      </c>
      <c r="C361" s="79">
        <f>YEAR(Table6[[#This Row],[Date]])</f>
        <v>2025</v>
      </c>
      <c r="D361" s="79" t="s">
        <v>344</v>
      </c>
      <c r="E361" s="284">
        <f>Table6[[#This Row],[Date]]-DAY(Table6[[#This Row],[Date]])+1</f>
        <v>45748</v>
      </c>
      <c r="F361" s="285">
        <v>45772</v>
      </c>
      <c r="G361" s="79" t="s">
        <v>100</v>
      </c>
      <c r="H361" s="79" t="str">
        <f>IFERROR(_xlfn.XLOOKUP(Table6[[#This Row],[Affected Feeder ]],'Basic Data'!$A:$A,'Basic Data'!$B:$B),"")</f>
        <v>PWEPL</v>
      </c>
      <c r="I361" s="79" t="str">
        <f>IFERROR(_xlfn.XLOOKUP(Table6[[#This Row],[Affected Feeder ]],'Basic Data'!$A:$A,'Basic Data'!$C:$C),"")</f>
        <v>MSEDCL</v>
      </c>
      <c r="J361" s="295">
        <f>IFERROR(_xlfn.XLOOKUP(Table6[[#This Row],[Affected Feeder ]],'Basic Data'!$A:$A,'Basic Data'!$E:$E),"")</f>
        <v>2.2727272727272728E-2</v>
      </c>
      <c r="K361" s="296" t="s">
        <v>171</v>
      </c>
      <c r="L361" s="297">
        <v>0.18819444444444444</v>
      </c>
      <c r="M361" s="297">
        <v>0.18819444444444444</v>
      </c>
      <c r="N361" s="297">
        <v>0.20069444444444443</v>
      </c>
      <c r="O361" s="19">
        <f>(Table6[[#This Row],[Work Start TimeStamp]]-Table6[[#This Row],[Fault Start TimeStamp]])*24</f>
        <v>0</v>
      </c>
      <c r="P361" s="19">
        <f>(Table6[[#This Row],[Fault Clearance time]]-Table6[[#This Row],[Fault Start TimeStamp]])*24</f>
        <v>0.2999999999999996</v>
      </c>
      <c r="Q361" s="19">
        <f>(Table6[[#This Row],[Fault Clearance time]]-Table6[[#This Row],[Fault Start TimeStamp]])*24</f>
        <v>0.2999999999999996</v>
      </c>
      <c r="R361" s="79" t="s">
        <v>353</v>
      </c>
      <c r="S361" s="79" t="s">
        <v>339</v>
      </c>
      <c r="T361" s="298">
        <f>IFERROR(Table6[[#This Row],[Breakdown Time]]*Table6[[#This Row],[Plant Equivalent Weightage]],"")</f>
        <v>6.8181818181818092E-3</v>
      </c>
      <c r="U361" s="79" t="s">
        <v>421</v>
      </c>
      <c r="W361" s="79">
        <v>78</v>
      </c>
    </row>
    <row r="362" spans="1:23">
      <c r="A362" s="79">
        <f t="shared" si="5"/>
        <v>361</v>
      </c>
      <c r="B362" s="79">
        <f>YEAR(Table6[[#This Row],[Date]])+IF(MONTH(Table6[[#This Row],[Date]])&gt;=4,1,0)</f>
        <v>2026</v>
      </c>
      <c r="C362" s="79">
        <f>YEAR(Table6[[#This Row],[Date]])</f>
        <v>2025</v>
      </c>
      <c r="D362" s="79" t="s">
        <v>344</v>
      </c>
      <c r="E362" s="284">
        <f>Table6[[#This Row],[Date]]-DAY(Table6[[#This Row],[Date]])+1</f>
        <v>45748</v>
      </c>
      <c r="F362" s="285">
        <v>45772</v>
      </c>
      <c r="G362" s="79" t="s">
        <v>101</v>
      </c>
      <c r="H362" s="79" t="str">
        <f>IFERROR(_xlfn.XLOOKUP(Table6[[#This Row],[Affected Feeder ]],'Basic Data'!$A:$A,'Basic Data'!$B:$B),"")</f>
        <v>PWEPL</v>
      </c>
      <c r="I362" s="79" t="str">
        <f>IFERROR(_xlfn.XLOOKUP(Table6[[#This Row],[Affected Feeder ]],'Basic Data'!$A:$A,'Basic Data'!$C:$C),"")</f>
        <v>MSEDCL</v>
      </c>
      <c r="J362" s="295">
        <f>IFERROR(_xlfn.XLOOKUP(Table6[[#This Row],[Affected Feeder ]],'Basic Data'!$A:$A,'Basic Data'!$E:$E),"")</f>
        <v>2.2727272727272728E-2</v>
      </c>
      <c r="K362" s="296" t="s">
        <v>171</v>
      </c>
      <c r="L362" s="297">
        <v>0.18819444444444444</v>
      </c>
      <c r="M362" s="297">
        <v>0.18819444444444444</v>
      </c>
      <c r="N362" s="297">
        <v>0.20208333333333331</v>
      </c>
      <c r="O362" s="19">
        <f>(Table6[[#This Row],[Work Start TimeStamp]]-Table6[[#This Row],[Fault Start TimeStamp]])*24</f>
        <v>0</v>
      </c>
      <c r="P362" s="19">
        <f>(Table6[[#This Row],[Fault Clearance time]]-Table6[[#This Row],[Fault Start TimeStamp]])*24</f>
        <v>0.33333333333333282</v>
      </c>
      <c r="Q362" s="19">
        <f>(Table6[[#This Row],[Fault Clearance time]]-Table6[[#This Row],[Fault Start TimeStamp]])*24</f>
        <v>0.33333333333333282</v>
      </c>
      <c r="R362" s="79" t="s">
        <v>353</v>
      </c>
      <c r="S362" s="79" t="s">
        <v>339</v>
      </c>
      <c r="T362" s="298">
        <f>IFERROR(Table6[[#This Row],[Breakdown Time]]*Table6[[#This Row],[Plant Equivalent Weightage]],"")</f>
        <v>7.5757575757575638E-3</v>
      </c>
      <c r="U362" s="79" t="s">
        <v>421</v>
      </c>
      <c r="W362" s="79">
        <v>87</v>
      </c>
    </row>
    <row r="363" spans="1:23">
      <c r="A363" s="79">
        <f t="shared" si="5"/>
        <v>362</v>
      </c>
      <c r="B363" s="79">
        <f>YEAR(Table6[[#This Row],[Date]])+IF(MONTH(Table6[[#This Row],[Date]])&gt;=4,1,0)</f>
        <v>2026</v>
      </c>
      <c r="C363" s="79">
        <f>YEAR(Table6[[#This Row],[Date]])</f>
        <v>2025</v>
      </c>
      <c r="D363" s="79" t="s">
        <v>344</v>
      </c>
      <c r="E363" s="284">
        <f>Table6[[#This Row],[Date]]-DAY(Table6[[#This Row],[Date]])+1</f>
        <v>45748</v>
      </c>
      <c r="F363" s="285">
        <v>45773</v>
      </c>
      <c r="G363" s="79" t="s">
        <v>89</v>
      </c>
      <c r="H363" s="79" t="str">
        <f>IFERROR(_xlfn.XLOOKUP(Table6[[#This Row],[Affected Feeder ]],'Basic Data'!$A:$A,'Basic Data'!$B:$B),"")</f>
        <v>PWEPL</v>
      </c>
      <c r="I363" s="79" t="str">
        <f>IFERROR(_xlfn.XLOOKUP(Table6[[#This Row],[Affected Feeder ]],'Basic Data'!$A:$A,'Basic Data'!$C:$C),"")</f>
        <v>MSEDCL</v>
      </c>
      <c r="J363" s="295">
        <f>IFERROR(_xlfn.XLOOKUP(Table6[[#This Row],[Affected Feeder ]],'Basic Data'!$A:$A,'Basic Data'!$E:$E),"")</f>
        <v>2.2727272727272728E-2</v>
      </c>
      <c r="K363" s="296" t="s">
        <v>414</v>
      </c>
      <c r="L363" s="297">
        <v>0.30486111111111108</v>
      </c>
      <c r="M363" s="297">
        <v>0.30486111111111108</v>
      </c>
      <c r="N363" s="297">
        <v>0.77916666666666667</v>
      </c>
      <c r="O363" s="19">
        <f>(Table6[[#This Row],[Work Start TimeStamp]]-Table6[[#This Row],[Fault Start TimeStamp]])*24</f>
        <v>0</v>
      </c>
      <c r="P363" s="19">
        <f>(Table6[[#This Row],[Fault Clearance time]]-Table6[[#This Row],[Fault Start TimeStamp]])*24</f>
        <v>11.383333333333335</v>
      </c>
      <c r="Q363" s="19">
        <f>(Table6[[#This Row],[Fault Clearance time]]-Table6[[#This Row],[Fault Start TimeStamp]])*24</f>
        <v>11.383333333333335</v>
      </c>
      <c r="R363" s="79" t="s">
        <v>457</v>
      </c>
      <c r="S363" s="79" t="s">
        <v>339</v>
      </c>
      <c r="T363" s="298">
        <f>IFERROR(Table6[[#This Row],[Breakdown Time]]*Table6[[#This Row],[Plant Equivalent Weightage]],"")</f>
        <v>0.25871212121212123</v>
      </c>
      <c r="U363" s="79" t="s">
        <v>416</v>
      </c>
      <c r="W363" s="79">
        <v>1559</v>
      </c>
    </row>
    <row r="364" spans="1:23">
      <c r="A364" s="79">
        <f t="shared" si="5"/>
        <v>363</v>
      </c>
      <c r="B364" s="79">
        <f>YEAR(Table6[[#This Row],[Date]])+IF(MONTH(Table6[[#This Row],[Date]])&gt;=4,1,0)</f>
        <v>2026</v>
      </c>
      <c r="C364" s="79">
        <f>YEAR(Table6[[#This Row],[Date]])</f>
        <v>2025</v>
      </c>
      <c r="D364" s="79" t="s">
        <v>344</v>
      </c>
      <c r="E364" s="284">
        <f>Table6[[#This Row],[Date]]-DAY(Table6[[#This Row],[Date]])+1</f>
        <v>45748</v>
      </c>
      <c r="F364" s="285">
        <v>45773</v>
      </c>
      <c r="G364" s="79" t="s">
        <v>89</v>
      </c>
      <c r="H364" s="79" t="str">
        <f>IFERROR(_xlfn.XLOOKUP(Table6[[#This Row],[Affected Feeder ]],'Basic Data'!$A:$A,'Basic Data'!$B:$B),"")</f>
        <v>PWEPL</v>
      </c>
      <c r="I364" s="79" t="str">
        <f>IFERROR(_xlfn.XLOOKUP(Table6[[#This Row],[Affected Feeder ]],'Basic Data'!$A:$A,'Basic Data'!$C:$C),"")</f>
        <v>MSEDCL</v>
      </c>
      <c r="J364" s="295">
        <f>IFERROR(_xlfn.XLOOKUP(Table6[[#This Row],[Affected Feeder ]],'Basic Data'!$A:$A,'Basic Data'!$E:$E),"")</f>
        <v>2.2727272727272728E-2</v>
      </c>
      <c r="K364" s="296" t="s">
        <v>171</v>
      </c>
      <c r="L364" s="297">
        <v>0.77916666666666667</v>
      </c>
      <c r="M364" s="297">
        <v>0.77916666666666667</v>
      </c>
      <c r="N364" s="297">
        <v>0.79027777777777775</v>
      </c>
      <c r="O364" s="19">
        <f>(Table6[[#This Row],[Work Start TimeStamp]]-Table6[[#This Row],[Fault Start TimeStamp]])*24</f>
        <v>0</v>
      </c>
      <c r="P364" s="19">
        <f>(Table6[[#This Row],[Fault Clearance time]]-Table6[[#This Row],[Fault Start TimeStamp]])*24</f>
        <v>0.26666666666666572</v>
      </c>
      <c r="Q364" s="19">
        <f>(Table6[[#This Row],[Fault Clearance time]]-Table6[[#This Row],[Fault Start TimeStamp]])*24</f>
        <v>0.26666666666666572</v>
      </c>
      <c r="R364" s="79" t="s">
        <v>353</v>
      </c>
      <c r="S364" s="79" t="s">
        <v>339</v>
      </c>
      <c r="T364" s="298">
        <f>IFERROR(Table6[[#This Row],[Breakdown Time]]*Table6[[#This Row],[Plant Equivalent Weightage]],"")</f>
        <v>6.0606060606060389E-3</v>
      </c>
      <c r="U364" s="79" t="s">
        <v>416</v>
      </c>
      <c r="W364" s="79">
        <v>37</v>
      </c>
    </row>
    <row r="365" spans="1:23">
      <c r="A365" s="79">
        <f t="shared" si="5"/>
        <v>364</v>
      </c>
      <c r="B365" s="79">
        <f>YEAR(Table6[[#This Row],[Date]])+IF(MONTH(Table6[[#This Row],[Date]])&gt;=4,1,0)</f>
        <v>2026</v>
      </c>
      <c r="C365" s="79">
        <f>YEAR(Table6[[#This Row],[Date]])</f>
        <v>2025</v>
      </c>
      <c r="D365" s="79" t="s">
        <v>344</v>
      </c>
      <c r="E365" s="284">
        <f>Table6[[#This Row],[Date]]-DAY(Table6[[#This Row],[Date]])+1</f>
        <v>45748</v>
      </c>
      <c r="F365" s="285">
        <v>45773</v>
      </c>
      <c r="G365" s="79" t="s">
        <v>90</v>
      </c>
      <c r="H365" s="79" t="str">
        <f>IFERROR(_xlfn.XLOOKUP(Table6[[#This Row],[Affected Feeder ]],'Basic Data'!$A:$A,'Basic Data'!$B:$B),"")</f>
        <v>PWEPL</v>
      </c>
      <c r="I365" s="79" t="str">
        <f>IFERROR(_xlfn.XLOOKUP(Table6[[#This Row],[Affected Feeder ]],'Basic Data'!$A:$A,'Basic Data'!$C:$C),"")</f>
        <v>MSEDCL</v>
      </c>
      <c r="J365" s="295">
        <f>IFERROR(_xlfn.XLOOKUP(Table6[[#This Row],[Affected Feeder ]],'Basic Data'!$A:$A,'Basic Data'!$E:$E),"")</f>
        <v>2.2727272727272728E-2</v>
      </c>
      <c r="K365" s="296" t="s">
        <v>414</v>
      </c>
      <c r="L365" s="297">
        <v>0.30486111111111108</v>
      </c>
      <c r="M365" s="297">
        <v>0.30486111111111108</v>
      </c>
      <c r="N365" s="297">
        <v>0.77916666666666667</v>
      </c>
      <c r="O365" s="19">
        <f>(Table6[[#This Row],[Work Start TimeStamp]]-Table6[[#This Row],[Fault Start TimeStamp]])*24</f>
        <v>0</v>
      </c>
      <c r="P365" s="19">
        <f>(Table6[[#This Row],[Fault Clearance time]]-Table6[[#This Row],[Fault Start TimeStamp]])*24</f>
        <v>11.383333333333335</v>
      </c>
      <c r="Q365" s="19">
        <f>(Table6[[#This Row],[Fault Clearance time]]-Table6[[#This Row],[Fault Start TimeStamp]])*24</f>
        <v>11.383333333333335</v>
      </c>
      <c r="R365" s="79" t="s">
        <v>457</v>
      </c>
      <c r="S365" s="79" t="s">
        <v>339</v>
      </c>
      <c r="T365" s="298">
        <f>IFERROR(Table6[[#This Row],[Breakdown Time]]*Table6[[#This Row],[Plant Equivalent Weightage]],"")</f>
        <v>0.25871212121212123</v>
      </c>
      <c r="U365" s="79" t="s">
        <v>416</v>
      </c>
      <c r="W365" s="79">
        <v>1560</v>
      </c>
    </row>
    <row r="366" spans="1:23">
      <c r="A366" s="79">
        <f t="shared" si="5"/>
        <v>365</v>
      </c>
      <c r="B366" s="79">
        <f>YEAR(Table6[[#This Row],[Date]])+IF(MONTH(Table6[[#This Row],[Date]])&gt;=4,1,0)</f>
        <v>2026</v>
      </c>
      <c r="C366" s="79">
        <f>YEAR(Table6[[#This Row],[Date]])</f>
        <v>2025</v>
      </c>
      <c r="D366" s="79" t="s">
        <v>344</v>
      </c>
      <c r="E366" s="284">
        <f>Table6[[#This Row],[Date]]-DAY(Table6[[#This Row],[Date]])+1</f>
        <v>45748</v>
      </c>
      <c r="F366" s="285">
        <v>45773</v>
      </c>
      <c r="G366" s="79" t="s">
        <v>90</v>
      </c>
      <c r="H366" s="79" t="str">
        <f>IFERROR(_xlfn.XLOOKUP(Table6[[#This Row],[Affected Feeder ]],'Basic Data'!$A:$A,'Basic Data'!$B:$B),"")</f>
        <v>PWEPL</v>
      </c>
      <c r="I366" s="79" t="str">
        <f>IFERROR(_xlfn.XLOOKUP(Table6[[#This Row],[Affected Feeder ]],'Basic Data'!$A:$A,'Basic Data'!$C:$C),"")</f>
        <v>MSEDCL</v>
      </c>
      <c r="J366" s="295">
        <f>IFERROR(_xlfn.XLOOKUP(Table6[[#This Row],[Affected Feeder ]],'Basic Data'!$A:$A,'Basic Data'!$E:$E),"")</f>
        <v>2.2727272727272728E-2</v>
      </c>
      <c r="K366" s="296" t="s">
        <v>171</v>
      </c>
      <c r="L366" s="297">
        <v>0.77916666666666667</v>
      </c>
      <c r="M366" s="297">
        <v>0.77916666666666667</v>
      </c>
      <c r="N366" s="297">
        <v>0.78611111111111109</v>
      </c>
      <c r="O366" s="19">
        <f>(Table6[[#This Row],[Work Start TimeStamp]]-Table6[[#This Row],[Fault Start TimeStamp]])*24</f>
        <v>0</v>
      </c>
      <c r="P366" s="19">
        <f>(Table6[[#This Row],[Fault Clearance time]]-Table6[[#This Row],[Fault Start TimeStamp]])*24</f>
        <v>0.16666666666666607</v>
      </c>
      <c r="Q366" s="19">
        <f>(Table6[[#This Row],[Fault Clearance time]]-Table6[[#This Row],[Fault Start TimeStamp]])*24</f>
        <v>0.16666666666666607</v>
      </c>
      <c r="R366" s="79" t="s">
        <v>353</v>
      </c>
      <c r="S366" s="79" t="s">
        <v>339</v>
      </c>
      <c r="T366" s="298">
        <f>IFERROR(Table6[[#This Row],[Breakdown Time]]*Table6[[#This Row],[Plant Equivalent Weightage]],"")</f>
        <v>3.7878787878787745E-3</v>
      </c>
      <c r="U366" s="79" t="s">
        <v>416</v>
      </c>
      <c r="W366" s="79">
        <v>23</v>
      </c>
    </row>
    <row r="367" spans="1:23">
      <c r="A367" s="79">
        <f t="shared" si="5"/>
        <v>366</v>
      </c>
      <c r="B367" s="79">
        <f>YEAR(Table6[[#This Row],[Date]])+IF(MONTH(Table6[[#This Row],[Date]])&gt;=4,1,0)</f>
        <v>2026</v>
      </c>
      <c r="C367" s="79">
        <f>YEAR(Table6[[#This Row],[Date]])</f>
        <v>2025</v>
      </c>
      <c r="D367" s="79" t="s">
        <v>344</v>
      </c>
      <c r="E367" s="284">
        <f>Table6[[#This Row],[Date]]-DAY(Table6[[#This Row],[Date]])+1</f>
        <v>45748</v>
      </c>
      <c r="F367" s="285">
        <v>45773</v>
      </c>
      <c r="G367" s="79" t="s">
        <v>91</v>
      </c>
      <c r="H367" s="79" t="str">
        <f>IFERROR(_xlfn.XLOOKUP(Table6[[#This Row],[Affected Feeder ]],'Basic Data'!$A:$A,'Basic Data'!$B:$B),"")</f>
        <v>PWEPL</v>
      </c>
      <c r="I367" s="79" t="str">
        <f>IFERROR(_xlfn.XLOOKUP(Table6[[#This Row],[Affected Feeder ]],'Basic Data'!$A:$A,'Basic Data'!$C:$C),"")</f>
        <v>MSEDCL</v>
      </c>
      <c r="J367" s="295">
        <f>IFERROR(_xlfn.XLOOKUP(Table6[[#This Row],[Affected Feeder ]],'Basic Data'!$A:$A,'Basic Data'!$E:$E),"")</f>
        <v>2.2727272727272728E-2</v>
      </c>
      <c r="K367" s="296" t="s">
        <v>414</v>
      </c>
      <c r="L367" s="297">
        <v>0.30486111111111108</v>
      </c>
      <c r="M367" s="297">
        <v>0.30486111111111108</v>
      </c>
      <c r="N367" s="297">
        <v>0.77916666666666667</v>
      </c>
      <c r="O367" s="19">
        <f>(Table6[[#This Row],[Work Start TimeStamp]]-Table6[[#This Row],[Fault Start TimeStamp]])*24</f>
        <v>0</v>
      </c>
      <c r="P367" s="19">
        <f>(Table6[[#This Row],[Fault Clearance time]]-Table6[[#This Row],[Fault Start TimeStamp]])*24</f>
        <v>11.383333333333335</v>
      </c>
      <c r="Q367" s="19">
        <f>(Table6[[#This Row],[Fault Clearance time]]-Table6[[#This Row],[Fault Start TimeStamp]])*24</f>
        <v>11.383333333333335</v>
      </c>
      <c r="R367" s="79" t="s">
        <v>457</v>
      </c>
      <c r="S367" s="79" t="s">
        <v>339</v>
      </c>
      <c r="T367" s="298">
        <f>IFERROR(Table6[[#This Row],[Breakdown Time]]*Table6[[#This Row],[Plant Equivalent Weightage]],"")</f>
        <v>0.25871212121212123</v>
      </c>
      <c r="U367" s="79" t="s">
        <v>416</v>
      </c>
      <c r="W367" s="79">
        <v>1559</v>
      </c>
    </row>
    <row r="368" spans="1:23">
      <c r="A368" s="79">
        <f t="shared" si="5"/>
        <v>367</v>
      </c>
      <c r="B368" s="79">
        <f>YEAR(Table6[[#This Row],[Date]])+IF(MONTH(Table6[[#This Row],[Date]])&gt;=4,1,0)</f>
        <v>2026</v>
      </c>
      <c r="C368" s="79">
        <f>YEAR(Table6[[#This Row],[Date]])</f>
        <v>2025</v>
      </c>
      <c r="D368" s="79" t="s">
        <v>344</v>
      </c>
      <c r="E368" s="284">
        <f>Table6[[#This Row],[Date]]-DAY(Table6[[#This Row],[Date]])+1</f>
        <v>45748</v>
      </c>
      <c r="F368" s="285">
        <v>45773</v>
      </c>
      <c r="G368" s="79" t="s">
        <v>91</v>
      </c>
      <c r="H368" s="79" t="str">
        <f>IFERROR(_xlfn.XLOOKUP(Table6[[#This Row],[Affected Feeder ]],'Basic Data'!$A:$A,'Basic Data'!$B:$B),"")</f>
        <v>PWEPL</v>
      </c>
      <c r="I368" s="79" t="str">
        <f>IFERROR(_xlfn.XLOOKUP(Table6[[#This Row],[Affected Feeder ]],'Basic Data'!$A:$A,'Basic Data'!$C:$C),"")</f>
        <v>MSEDCL</v>
      </c>
      <c r="J368" s="295">
        <f>IFERROR(_xlfn.XLOOKUP(Table6[[#This Row],[Affected Feeder ]],'Basic Data'!$A:$A,'Basic Data'!$E:$E),"")</f>
        <v>2.2727272727272728E-2</v>
      </c>
      <c r="K368" s="296" t="s">
        <v>171</v>
      </c>
      <c r="L368" s="297">
        <v>0.77916666666666667</v>
      </c>
      <c r="M368" s="297">
        <v>0.77916666666666667</v>
      </c>
      <c r="N368" s="297">
        <v>0.79027777777777775</v>
      </c>
      <c r="O368" s="19">
        <f>(Table6[[#This Row],[Work Start TimeStamp]]-Table6[[#This Row],[Fault Start TimeStamp]])*24</f>
        <v>0</v>
      </c>
      <c r="P368" s="19">
        <f>(Table6[[#This Row],[Fault Clearance time]]-Table6[[#This Row],[Fault Start TimeStamp]])*24</f>
        <v>0.26666666666666572</v>
      </c>
      <c r="Q368" s="19">
        <f>(Table6[[#This Row],[Fault Clearance time]]-Table6[[#This Row],[Fault Start TimeStamp]])*24</f>
        <v>0.26666666666666572</v>
      </c>
      <c r="R368" s="79" t="s">
        <v>353</v>
      </c>
      <c r="S368" s="79" t="s">
        <v>339</v>
      </c>
      <c r="T368" s="298">
        <f>IFERROR(Table6[[#This Row],[Breakdown Time]]*Table6[[#This Row],[Plant Equivalent Weightage]],"")</f>
        <v>6.0606060606060389E-3</v>
      </c>
      <c r="U368" s="79" t="s">
        <v>416</v>
      </c>
      <c r="W368" s="79">
        <v>37</v>
      </c>
    </row>
    <row r="369" spans="1:23">
      <c r="A369" s="79">
        <f t="shared" si="5"/>
        <v>368</v>
      </c>
      <c r="B369" s="79">
        <f>YEAR(Table6[[#This Row],[Date]])+IF(MONTH(Table6[[#This Row],[Date]])&gt;=4,1,0)</f>
        <v>2026</v>
      </c>
      <c r="C369" s="79">
        <f>YEAR(Table6[[#This Row],[Date]])</f>
        <v>2025</v>
      </c>
      <c r="D369" s="79" t="s">
        <v>344</v>
      </c>
      <c r="E369" s="284">
        <f>Table6[[#This Row],[Date]]-DAY(Table6[[#This Row],[Date]])+1</f>
        <v>45748</v>
      </c>
      <c r="F369" s="285">
        <v>45773</v>
      </c>
      <c r="G369" s="79" t="s">
        <v>92</v>
      </c>
      <c r="H369" s="79" t="str">
        <f>IFERROR(_xlfn.XLOOKUP(Table6[[#This Row],[Affected Feeder ]],'Basic Data'!$A:$A,'Basic Data'!$B:$B),"")</f>
        <v>PWEPL</v>
      </c>
      <c r="I369" s="79" t="str">
        <f>IFERROR(_xlfn.XLOOKUP(Table6[[#This Row],[Affected Feeder ]],'Basic Data'!$A:$A,'Basic Data'!$C:$C),"")</f>
        <v>MSEDCL</v>
      </c>
      <c r="J369" s="295">
        <f>IFERROR(_xlfn.XLOOKUP(Table6[[#This Row],[Affected Feeder ]],'Basic Data'!$A:$A,'Basic Data'!$E:$E),"")</f>
        <v>2.2727272727272728E-2</v>
      </c>
      <c r="K369" s="296" t="s">
        <v>414</v>
      </c>
      <c r="L369" s="297">
        <v>0.30486111111111108</v>
      </c>
      <c r="M369" s="297">
        <v>0.30486111111111108</v>
      </c>
      <c r="N369" s="297">
        <v>0.77916666666666667</v>
      </c>
      <c r="O369" s="19">
        <f>(Table6[[#This Row],[Work Start TimeStamp]]-Table6[[#This Row],[Fault Start TimeStamp]])*24</f>
        <v>0</v>
      </c>
      <c r="P369" s="19">
        <f>(Table6[[#This Row],[Fault Clearance time]]-Table6[[#This Row],[Fault Start TimeStamp]])*24</f>
        <v>11.383333333333335</v>
      </c>
      <c r="Q369" s="19">
        <f>(Table6[[#This Row],[Fault Clearance time]]-Table6[[#This Row],[Fault Start TimeStamp]])*24</f>
        <v>11.383333333333335</v>
      </c>
      <c r="R369" s="79" t="s">
        <v>457</v>
      </c>
      <c r="S369" s="79" t="s">
        <v>339</v>
      </c>
      <c r="T369" s="298">
        <f>IFERROR(Table6[[#This Row],[Breakdown Time]]*Table6[[#This Row],[Plant Equivalent Weightage]],"")</f>
        <v>0.25871212121212123</v>
      </c>
      <c r="U369" s="79" t="s">
        <v>416</v>
      </c>
      <c r="W369" s="79">
        <v>1559</v>
      </c>
    </row>
    <row r="370" spans="1:23">
      <c r="A370" s="79">
        <f t="shared" si="5"/>
        <v>369</v>
      </c>
      <c r="B370" s="79">
        <f>YEAR(Table6[[#This Row],[Date]])+IF(MONTH(Table6[[#This Row],[Date]])&gt;=4,1,0)</f>
        <v>2026</v>
      </c>
      <c r="C370" s="79">
        <f>YEAR(Table6[[#This Row],[Date]])</f>
        <v>2025</v>
      </c>
      <c r="D370" s="79" t="s">
        <v>344</v>
      </c>
      <c r="E370" s="284">
        <f>Table6[[#This Row],[Date]]-DAY(Table6[[#This Row],[Date]])+1</f>
        <v>45748</v>
      </c>
      <c r="F370" s="285">
        <v>45773</v>
      </c>
      <c r="G370" s="79" t="s">
        <v>92</v>
      </c>
      <c r="H370" s="79" t="str">
        <f>IFERROR(_xlfn.XLOOKUP(Table6[[#This Row],[Affected Feeder ]],'Basic Data'!$A:$A,'Basic Data'!$B:$B),"")</f>
        <v>PWEPL</v>
      </c>
      <c r="I370" s="79" t="str">
        <f>IFERROR(_xlfn.XLOOKUP(Table6[[#This Row],[Affected Feeder ]],'Basic Data'!$A:$A,'Basic Data'!$C:$C),"")</f>
        <v>MSEDCL</v>
      </c>
      <c r="J370" s="295">
        <f>IFERROR(_xlfn.XLOOKUP(Table6[[#This Row],[Affected Feeder ]],'Basic Data'!$A:$A,'Basic Data'!$E:$E),"")</f>
        <v>2.2727272727272728E-2</v>
      </c>
      <c r="K370" s="296" t="s">
        <v>171</v>
      </c>
      <c r="L370" s="297">
        <v>0.77916666666666667</v>
      </c>
      <c r="M370" s="297">
        <v>0.77916666666666667</v>
      </c>
      <c r="N370" s="297">
        <v>0.7895833333333333</v>
      </c>
      <c r="O370" s="19">
        <f>(Table6[[#This Row],[Work Start TimeStamp]]-Table6[[#This Row],[Fault Start TimeStamp]])*24</f>
        <v>0</v>
      </c>
      <c r="P370" s="19">
        <f>(Table6[[#This Row],[Fault Clearance time]]-Table6[[#This Row],[Fault Start TimeStamp]])*24</f>
        <v>0.24999999999999911</v>
      </c>
      <c r="Q370" s="19">
        <f>(Table6[[#This Row],[Fault Clearance time]]-Table6[[#This Row],[Fault Start TimeStamp]])*24</f>
        <v>0.24999999999999911</v>
      </c>
      <c r="R370" s="79" t="s">
        <v>353</v>
      </c>
      <c r="S370" s="79" t="s">
        <v>339</v>
      </c>
      <c r="T370" s="298">
        <f>IFERROR(Table6[[#This Row],[Breakdown Time]]*Table6[[#This Row],[Plant Equivalent Weightage]],"")</f>
        <v>5.681818181818162E-3</v>
      </c>
      <c r="U370" s="79" t="s">
        <v>416</v>
      </c>
      <c r="W370" s="79">
        <v>35</v>
      </c>
    </row>
    <row r="371" spans="1:23">
      <c r="A371" s="79">
        <f t="shared" si="5"/>
        <v>370</v>
      </c>
      <c r="B371" s="79">
        <f>YEAR(Table6[[#This Row],[Date]])+IF(MONTH(Table6[[#This Row],[Date]])&gt;=4,1,0)</f>
        <v>2026</v>
      </c>
      <c r="C371" s="79">
        <f>YEAR(Table6[[#This Row],[Date]])</f>
        <v>2025</v>
      </c>
      <c r="D371" s="79" t="s">
        <v>344</v>
      </c>
      <c r="E371" s="284">
        <f>Table6[[#This Row],[Date]]-DAY(Table6[[#This Row],[Date]])+1</f>
        <v>45748</v>
      </c>
      <c r="F371" s="285">
        <v>45773</v>
      </c>
      <c r="G371" s="79" t="s">
        <v>94</v>
      </c>
      <c r="H371" s="79" t="str">
        <f>IFERROR(_xlfn.XLOOKUP(Table6[[#This Row],[Affected Feeder ]],'Basic Data'!$A:$A,'Basic Data'!$B:$B),"")</f>
        <v>PWEPL</v>
      </c>
      <c r="I371" s="79" t="str">
        <f>IFERROR(_xlfn.XLOOKUP(Table6[[#This Row],[Affected Feeder ]],'Basic Data'!$A:$A,'Basic Data'!$C:$C),"")</f>
        <v>MSEDCL</v>
      </c>
      <c r="J371" s="295">
        <f>IFERROR(_xlfn.XLOOKUP(Table6[[#This Row],[Affected Feeder ]],'Basic Data'!$A:$A,'Basic Data'!$E:$E),"")</f>
        <v>2.2727272727272728E-2</v>
      </c>
      <c r="K371" s="296" t="s">
        <v>414</v>
      </c>
      <c r="L371" s="297">
        <v>0.30486111111111108</v>
      </c>
      <c r="M371" s="297">
        <v>0.30486111111111108</v>
      </c>
      <c r="N371" s="297">
        <v>0.77916666666666667</v>
      </c>
      <c r="O371" s="19">
        <f>(Table6[[#This Row],[Work Start TimeStamp]]-Table6[[#This Row],[Fault Start TimeStamp]])*24</f>
        <v>0</v>
      </c>
      <c r="P371" s="19">
        <f>(Table6[[#This Row],[Fault Clearance time]]-Table6[[#This Row],[Fault Start TimeStamp]])*24</f>
        <v>11.383333333333335</v>
      </c>
      <c r="Q371" s="19">
        <f>(Table6[[#This Row],[Fault Clearance time]]-Table6[[#This Row],[Fault Start TimeStamp]])*24</f>
        <v>11.383333333333335</v>
      </c>
      <c r="R371" s="79" t="s">
        <v>457</v>
      </c>
      <c r="S371" s="79" t="s">
        <v>339</v>
      </c>
      <c r="T371" s="298">
        <f>IFERROR(Table6[[#This Row],[Breakdown Time]]*Table6[[#This Row],[Plant Equivalent Weightage]],"")</f>
        <v>0.25871212121212123</v>
      </c>
      <c r="U371" s="79" t="s">
        <v>416</v>
      </c>
      <c r="W371" s="79">
        <v>1558</v>
      </c>
    </row>
    <row r="372" spans="1:23">
      <c r="A372" s="79">
        <f t="shared" si="5"/>
        <v>371</v>
      </c>
      <c r="B372" s="79">
        <f>YEAR(Table6[[#This Row],[Date]])+IF(MONTH(Table6[[#This Row],[Date]])&gt;=4,1,0)</f>
        <v>2026</v>
      </c>
      <c r="C372" s="79">
        <f>YEAR(Table6[[#This Row],[Date]])</f>
        <v>2025</v>
      </c>
      <c r="D372" s="79" t="s">
        <v>344</v>
      </c>
      <c r="E372" s="284">
        <f>Table6[[#This Row],[Date]]-DAY(Table6[[#This Row],[Date]])+1</f>
        <v>45748</v>
      </c>
      <c r="F372" s="285">
        <v>45773</v>
      </c>
      <c r="G372" s="79" t="s">
        <v>94</v>
      </c>
      <c r="H372" s="79" t="str">
        <f>IFERROR(_xlfn.XLOOKUP(Table6[[#This Row],[Affected Feeder ]],'Basic Data'!$A:$A,'Basic Data'!$B:$B),"")</f>
        <v>PWEPL</v>
      </c>
      <c r="I372" s="79" t="str">
        <f>IFERROR(_xlfn.XLOOKUP(Table6[[#This Row],[Affected Feeder ]],'Basic Data'!$A:$A,'Basic Data'!$C:$C),"")</f>
        <v>MSEDCL</v>
      </c>
      <c r="J372" s="295">
        <f>IFERROR(_xlfn.XLOOKUP(Table6[[#This Row],[Affected Feeder ]],'Basic Data'!$A:$A,'Basic Data'!$E:$E),"")</f>
        <v>2.2727272727272728E-2</v>
      </c>
      <c r="K372" s="296" t="s">
        <v>171</v>
      </c>
      <c r="L372" s="297">
        <v>0.77916666666666667</v>
      </c>
      <c r="M372" s="297">
        <v>0.77916666666666667</v>
      </c>
      <c r="N372" s="297">
        <v>0.79305555555555562</v>
      </c>
      <c r="O372" s="19">
        <f>(Table6[[#This Row],[Work Start TimeStamp]]-Table6[[#This Row],[Fault Start TimeStamp]])*24</f>
        <v>0</v>
      </c>
      <c r="P372" s="19">
        <f>(Table6[[#This Row],[Fault Clearance time]]-Table6[[#This Row],[Fault Start TimeStamp]])*24</f>
        <v>0.33333333333333481</v>
      </c>
      <c r="Q372" s="19">
        <f>(Table6[[#This Row],[Fault Clearance time]]-Table6[[#This Row],[Fault Start TimeStamp]])*24</f>
        <v>0.33333333333333481</v>
      </c>
      <c r="R372" s="79" t="s">
        <v>353</v>
      </c>
      <c r="S372" s="79" t="s">
        <v>339</v>
      </c>
      <c r="T372" s="298">
        <f>IFERROR(Table6[[#This Row],[Breakdown Time]]*Table6[[#This Row],[Plant Equivalent Weightage]],"")</f>
        <v>7.5757575757576098E-3</v>
      </c>
      <c r="U372" s="79" t="s">
        <v>416</v>
      </c>
      <c r="W372" s="79">
        <v>47</v>
      </c>
    </row>
    <row r="373" spans="1:23">
      <c r="A373" s="79">
        <f t="shared" si="5"/>
        <v>372</v>
      </c>
      <c r="B373" s="79">
        <f>YEAR(Table6[[#This Row],[Date]])+IF(MONTH(Table6[[#This Row],[Date]])&gt;=4,1,0)</f>
        <v>2026</v>
      </c>
      <c r="C373" s="79">
        <f>YEAR(Table6[[#This Row],[Date]])</f>
        <v>2025</v>
      </c>
      <c r="D373" s="79" t="s">
        <v>344</v>
      </c>
      <c r="E373" s="284">
        <f>Table6[[#This Row],[Date]]-DAY(Table6[[#This Row],[Date]])+1</f>
        <v>45748</v>
      </c>
      <c r="F373" s="285">
        <v>45773</v>
      </c>
      <c r="G373" s="79" t="s">
        <v>95</v>
      </c>
      <c r="H373" s="79" t="str">
        <f>IFERROR(_xlfn.XLOOKUP(Table6[[#This Row],[Affected Feeder ]],'Basic Data'!$A:$A,'Basic Data'!$B:$B),"")</f>
        <v>PWEPL</v>
      </c>
      <c r="I373" s="79" t="str">
        <f>IFERROR(_xlfn.XLOOKUP(Table6[[#This Row],[Affected Feeder ]],'Basic Data'!$A:$A,'Basic Data'!$C:$C),"")</f>
        <v>MSEDCL</v>
      </c>
      <c r="J373" s="295">
        <f>IFERROR(_xlfn.XLOOKUP(Table6[[#This Row],[Affected Feeder ]],'Basic Data'!$A:$A,'Basic Data'!$E:$E),"")</f>
        <v>2.2727272727272728E-2</v>
      </c>
      <c r="K373" s="296" t="s">
        <v>414</v>
      </c>
      <c r="L373" s="297">
        <v>0.30486111111111108</v>
      </c>
      <c r="M373" s="297">
        <v>0.30486111111111108</v>
      </c>
      <c r="N373" s="297">
        <v>0.77916666666666667</v>
      </c>
      <c r="O373" s="19">
        <f>(Table6[[#This Row],[Work Start TimeStamp]]-Table6[[#This Row],[Fault Start TimeStamp]])*24</f>
        <v>0</v>
      </c>
      <c r="P373" s="19">
        <f>(Table6[[#This Row],[Fault Clearance time]]-Table6[[#This Row],[Fault Start TimeStamp]])*24</f>
        <v>11.383333333333335</v>
      </c>
      <c r="Q373" s="19">
        <f>(Table6[[#This Row],[Fault Clearance time]]-Table6[[#This Row],[Fault Start TimeStamp]])*24</f>
        <v>11.383333333333335</v>
      </c>
      <c r="R373" s="79" t="s">
        <v>457</v>
      </c>
      <c r="S373" s="79" t="s">
        <v>339</v>
      </c>
      <c r="T373" s="298">
        <f>IFERROR(Table6[[#This Row],[Breakdown Time]]*Table6[[#This Row],[Plant Equivalent Weightage]],"")</f>
        <v>0.25871212121212123</v>
      </c>
      <c r="U373" s="79" t="s">
        <v>416</v>
      </c>
      <c r="W373" s="79">
        <v>1558</v>
      </c>
    </row>
    <row r="374" spans="1:23">
      <c r="A374" s="79">
        <f t="shared" si="5"/>
        <v>373</v>
      </c>
      <c r="B374" s="79">
        <f>YEAR(Table6[[#This Row],[Date]])+IF(MONTH(Table6[[#This Row],[Date]])&gt;=4,1,0)</f>
        <v>2026</v>
      </c>
      <c r="C374" s="79">
        <f>YEAR(Table6[[#This Row],[Date]])</f>
        <v>2025</v>
      </c>
      <c r="D374" s="79" t="s">
        <v>344</v>
      </c>
      <c r="E374" s="284">
        <f>Table6[[#This Row],[Date]]-DAY(Table6[[#This Row],[Date]])+1</f>
        <v>45748</v>
      </c>
      <c r="F374" s="285">
        <v>45773</v>
      </c>
      <c r="G374" s="79" t="s">
        <v>95</v>
      </c>
      <c r="H374" s="79" t="str">
        <f>IFERROR(_xlfn.XLOOKUP(Table6[[#This Row],[Affected Feeder ]],'Basic Data'!$A:$A,'Basic Data'!$B:$B),"")</f>
        <v>PWEPL</v>
      </c>
      <c r="I374" s="79" t="str">
        <f>IFERROR(_xlfn.XLOOKUP(Table6[[#This Row],[Affected Feeder ]],'Basic Data'!$A:$A,'Basic Data'!$C:$C),"")</f>
        <v>MSEDCL</v>
      </c>
      <c r="J374" s="295">
        <f>IFERROR(_xlfn.XLOOKUP(Table6[[#This Row],[Affected Feeder ]],'Basic Data'!$A:$A,'Basic Data'!$E:$E),"")</f>
        <v>2.2727272727272728E-2</v>
      </c>
      <c r="K374" s="296" t="s">
        <v>171</v>
      </c>
      <c r="L374" s="297">
        <v>0.77916666666666667</v>
      </c>
      <c r="M374" s="297">
        <v>0.77916666666666667</v>
      </c>
      <c r="N374" s="297">
        <v>0.79305555555555562</v>
      </c>
      <c r="O374" s="19">
        <f>(Table6[[#This Row],[Work Start TimeStamp]]-Table6[[#This Row],[Fault Start TimeStamp]])*24</f>
        <v>0</v>
      </c>
      <c r="P374" s="19">
        <f>(Table6[[#This Row],[Fault Clearance time]]-Table6[[#This Row],[Fault Start TimeStamp]])*24</f>
        <v>0.33333333333333481</v>
      </c>
      <c r="Q374" s="19">
        <f>(Table6[[#This Row],[Fault Clearance time]]-Table6[[#This Row],[Fault Start TimeStamp]])*24</f>
        <v>0.33333333333333481</v>
      </c>
      <c r="R374" s="79" t="s">
        <v>353</v>
      </c>
      <c r="S374" s="79" t="s">
        <v>339</v>
      </c>
      <c r="T374" s="298">
        <f>IFERROR(Table6[[#This Row],[Breakdown Time]]*Table6[[#This Row],[Plant Equivalent Weightage]],"")</f>
        <v>7.5757575757576098E-3</v>
      </c>
      <c r="U374" s="79" t="s">
        <v>416</v>
      </c>
      <c r="W374" s="79">
        <v>47</v>
      </c>
    </row>
    <row r="375" spans="1:23">
      <c r="A375" s="79">
        <f t="shared" si="5"/>
        <v>374</v>
      </c>
      <c r="B375" s="79">
        <f>YEAR(Table6[[#This Row],[Date]])+IF(MONTH(Table6[[#This Row],[Date]])&gt;=4,1,0)</f>
        <v>2026</v>
      </c>
      <c r="C375" s="79">
        <f>YEAR(Table6[[#This Row],[Date]])</f>
        <v>2025</v>
      </c>
      <c r="D375" s="79" t="s">
        <v>344</v>
      </c>
      <c r="E375" s="284">
        <f>Table6[[#This Row],[Date]]-DAY(Table6[[#This Row],[Date]])+1</f>
        <v>45748</v>
      </c>
      <c r="F375" s="285">
        <v>45773</v>
      </c>
      <c r="G375" s="79" t="s">
        <v>106</v>
      </c>
      <c r="H375" s="79" t="str">
        <f>IFERROR(_xlfn.XLOOKUP(Table6[[#This Row],[Affected Feeder ]],'Basic Data'!$A:$A,'Basic Data'!$B:$B),"")</f>
        <v>PWEPL</v>
      </c>
      <c r="I375" s="79" t="str">
        <f>IFERROR(_xlfn.XLOOKUP(Table6[[#This Row],[Affected Feeder ]],'Basic Data'!$A:$A,'Basic Data'!$C:$C),"")</f>
        <v>MSEDCL</v>
      </c>
      <c r="J375" s="295">
        <f>IFERROR(_xlfn.XLOOKUP(Table6[[#This Row],[Affected Feeder ]],'Basic Data'!$A:$A,'Basic Data'!$E:$E),"")</f>
        <v>2.2727272727272728E-2</v>
      </c>
      <c r="K375" s="296" t="s">
        <v>414</v>
      </c>
      <c r="L375" s="297">
        <v>0.30486111111111108</v>
      </c>
      <c r="M375" s="297">
        <v>0.30486111111111108</v>
      </c>
      <c r="N375" s="297">
        <v>0.77916666666666667</v>
      </c>
      <c r="O375" s="19">
        <f>(Table6[[#This Row],[Work Start TimeStamp]]-Table6[[#This Row],[Fault Start TimeStamp]])*24</f>
        <v>0</v>
      </c>
      <c r="P375" s="19">
        <f>(Table6[[#This Row],[Fault Clearance time]]-Table6[[#This Row],[Fault Start TimeStamp]])*24</f>
        <v>11.383333333333335</v>
      </c>
      <c r="Q375" s="19">
        <f>(Table6[[#This Row],[Fault Clearance time]]-Table6[[#This Row],[Fault Start TimeStamp]])*24</f>
        <v>11.383333333333335</v>
      </c>
      <c r="R375" s="79" t="s">
        <v>457</v>
      </c>
      <c r="S375" s="79" t="s">
        <v>339</v>
      </c>
      <c r="T375" s="298">
        <f>IFERROR(Table6[[#This Row],[Breakdown Time]]*Table6[[#This Row],[Plant Equivalent Weightage]],"")</f>
        <v>0.25871212121212123</v>
      </c>
      <c r="U375" s="79" t="s">
        <v>416</v>
      </c>
      <c r="W375" s="79">
        <v>1558</v>
      </c>
    </row>
    <row r="376" spans="1:23">
      <c r="A376" s="79">
        <f t="shared" si="5"/>
        <v>375</v>
      </c>
      <c r="B376" s="79">
        <f>YEAR(Table6[[#This Row],[Date]])+IF(MONTH(Table6[[#This Row],[Date]])&gt;=4,1,0)</f>
        <v>2026</v>
      </c>
      <c r="C376" s="79">
        <f>YEAR(Table6[[#This Row],[Date]])</f>
        <v>2025</v>
      </c>
      <c r="D376" s="79" t="s">
        <v>344</v>
      </c>
      <c r="E376" s="284">
        <f>Table6[[#This Row],[Date]]-DAY(Table6[[#This Row],[Date]])+1</f>
        <v>45748</v>
      </c>
      <c r="F376" s="285">
        <v>45773</v>
      </c>
      <c r="G376" s="79" t="s">
        <v>106</v>
      </c>
      <c r="H376" s="79" t="str">
        <f>IFERROR(_xlfn.XLOOKUP(Table6[[#This Row],[Affected Feeder ]],'Basic Data'!$A:$A,'Basic Data'!$B:$B),"")</f>
        <v>PWEPL</v>
      </c>
      <c r="I376" s="79" t="str">
        <f>IFERROR(_xlfn.XLOOKUP(Table6[[#This Row],[Affected Feeder ]],'Basic Data'!$A:$A,'Basic Data'!$C:$C),"")</f>
        <v>MSEDCL</v>
      </c>
      <c r="J376" s="295">
        <f>IFERROR(_xlfn.XLOOKUP(Table6[[#This Row],[Affected Feeder ]],'Basic Data'!$A:$A,'Basic Data'!$E:$E),"")</f>
        <v>2.2727272727272728E-2</v>
      </c>
      <c r="K376" s="296" t="s">
        <v>171</v>
      </c>
      <c r="L376" s="297">
        <v>0.77916666666666667</v>
      </c>
      <c r="M376" s="297">
        <v>0.77916666666666667</v>
      </c>
      <c r="N376" s="297">
        <v>0.79305555555555562</v>
      </c>
      <c r="O376" s="19">
        <f>(Table6[[#This Row],[Work Start TimeStamp]]-Table6[[#This Row],[Fault Start TimeStamp]])*24</f>
        <v>0</v>
      </c>
      <c r="P376" s="19">
        <f>(Table6[[#This Row],[Fault Clearance time]]-Table6[[#This Row],[Fault Start TimeStamp]])*24</f>
        <v>0.33333333333333481</v>
      </c>
      <c r="Q376" s="19">
        <f>(Table6[[#This Row],[Fault Clearance time]]-Table6[[#This Row],[Fault Start TimeStamp]])*24</f>
        <v>0.33333333333333481</v>
      </c>
      <c r="R376" s="79" t="s">
        <v>353</v>
      </c>
      <c r="S376" s="79" t="s">
        <v>339</v>
      </c>
      <c r="T376" s="298">
        <f>IFERROR(Table6[[#This Row],[Breakdown Time]]*Table6[[#This Row],[Plant Equivalent Weightage]],"")</f>
        <v>7.5757575757576098E-3</v>
      </c>
      <c r="U376" s="79" t="s">
        <v>416</v>
      </c>
      <c r="W376" s="79">
        <v>47</v>
      </c>
    </row>
    <row r="377" spans="1:23">
      <c r="A377" s="79">
        <f t="shared" si="5"/>
        <v>376</v>
      </c>
      <c r="B377" s="79">
        <f>YEAR(Table6[[#This Row],[Date]])+IF(MONTH(Table6[[#This Row],[Date]])&gt;=4,1,0)</f>
        <v>2026</v>
      </c>
      <c r="C377" s="79">
        <f>YEAR(Table6[[#This Row],[Date]])</f>
        <v>2025</v>
      </c>
      <c r="D377" s="79" t="s">
        <v>344</v>
      </c>
      <c r="E377" s="284">
        <f>Table6[[#This Row],[Date]]-DAY(Table6[[#This Row],[Date]])+1</f>
        <v>45778</v>
      </c>
      <c r="F377" s="285">
        <v>45780</v>
      </c>
      <c r="G377" s="79" t="s">
        <v>79</v>
      </c>
      <c r="H377" s="79" t="str">
        <f>IFERROR(_xlfn.XLOOKUP(Table6[[#This Row],[Affected Feeder ]],'Basic Data'!$A:$A,'Basic Data'!$B:$B),"")</f>
        <v>PWEPL</v>
      </c>
      <c r="I377" s="79" t="str">
        <f>IFERROR(_xlfn.XLOOKUP(Table6[[#This Row],[Affected Feeder ]],'Basic Data'!$A:$A,'Basic Data'!$C:$C),"")</f>
        <v>MSEDCL</v>
      </c>
      <c r="J377" s="295">
        <f>IFERROR(_xlfn.XLOOKUP(Table6[[#This Row],[Affected Feeder ]],'Basic Data'!$A:$A,'Basic Data'!$E:$E),"")</f>
        <v>2.2727272727272728E-2</v>
      </c>
      <c r="K377" s="296" t="s">
        <v>414</v>
      </c>
      <c r="L377" s="297">
        <v>0.32708333333333334</v>
      </c>
      <c r="M377" s="297">
        <v>0.32708333333333334</v>
      </c>
      <c r="N377" s="297">
        <v>0.68055555555555547</v>
      </c>
      <c r="O377" s="19">
        <f>(Table6[[#This Row],[Work Start TimeStamp]]-Table6[[#This Row],[Fault Start TimeStamp]])*24</f>
        <v>0</v>
      </c>
      <c r="P377" s="19">
        <f>(Table6[[#This Row],[Fault Clearance time]]-Table6[[#This Row],[Fault Start TimeStamp]])*24</f>
        <v>8.4833333333333307</v>
      </c>
      <c r="Q377" s="19">
        <f>(Table6[[#This Row],[Fault Clearance time]]-Table6[[#This Row],[Fault Start TimeStamp]])*24</f>
        <v>8.4833333333333307</v>
      </c>
      <c r="R377" s="79" t="s">
        <v>457</v>
      </c>
      <c r="S377" s="79" t="s">
        <v>339</v>
      </c>
      <c r="T377" s="298">
        <f>IFERROR(Table6[[#This Row],[Breakdown Time]]*Table6[[#This Row],[Plant Equivalent Weightage]],"")</f>
        <v>0.19280303030303025</v>
      </c>
      <c r="U377" s="79" t="s">
        <v>416</v>
      </c>
      <c r="W377" s="79">
        <v>3829</v>
      </c>
    </row>
    <row r="378" spans="1:23">
      <c r="A378" s="79">
        <f t="shared" si="5"/>
        <v>377</v>
      </c>
      <c r="B378" s="79">
        <f>YEAR(Table6[[#This Row],[Date]])+IF(MONTH(Table6[[#This Row],[Date]])&gt;=4,1,0)</f>
        <v>2026</v>
      </c>
      <c r="C378" s="79">
        <f>YEAR(Table6[[#This Row],[Date]])</f>
        <v>2025</v>
      </c>
      <c r="D378" s="79" t="s">
        <v>344</v>
      </c>
      <c r="E378" s="284">
        <f>Table6[[#This Row],[Date]]-DAY(Table6[[#This Row],[Date]])+1</f>
        <v>45778</v>
      </c>
      <c r="F378" s="285">
        <v>45780</v>
      </c>
      <c r="G378" s="79" t="s">
        <v>79</v>
      </c>
      <c r="H378" s="79" t="str">
        <f>IFERROR(_xlfn.XLOOKUP(Table6[[#This Row],[Affected Feeder ]],'Basic Data'!$A:$A,'Basic Data'!$B:$B),"")</f>
        <v>PWEPL</v>
      </c>
      <c r="I378" s="79" t="str">
        <f>IFERROR(_xlfn.XLOOKUP(Table6[[#This Row],[Affected Feeder ]],'Basic Data'!$A:$A,'Basic Data'!$C:$C),"")</f>
        <v>MSEDCL</v>
      </c>
      <c r="J378" s="295">
        <f>IFERROR(_xlfn.XLOOKUP(Table6[[#This Row],[Affected Feeder ]],'Basic Data'!$A:$A,'Basic Data'!$E:$E),"")</f>
        <v>2.2727272727272728E-2</v>
      </c>
      <c r="K378" s="296" t="s">
        <v>171</v>
      </c>
      <c r="L378" s="297">
        <v>0.68055555555555547</v>
      </c>
      <c r="M378" s="297">
        <v>0.68055555555555547</v>
      </c>
      <c r="N378" s="297">
        <v>0.69444444444444453</v>
      </c>
      <c r="O378" s="19">
        <f>(Table6[[#This Row],[Work Start TimeStamp]]-Table6[[#This Row],[Fault Start TimeStamp]])*24</f>
        <v>0</v>
      </c>
      <c r="P378" s="19">
        <f>(Table6[[#This Row],[Fault Clearance time]]-Table6[[#This Row],[Fault Start TimeStamp]])*24</f>
        <v>0.33333333333333748</v>
      </c>
      <c r="Q378" s="19">
        <f>(Table6[[#This Row],[Fault Clearance time]]-Table6[[#This Row],[Fault Start TimeStamp]])*24</f>
        <v>0.33333333333333748</v>
      </c>
      <c r="R378" s="79" t="s">
        <v>353</v>
      </c>
      <c r="S378" s="79" t="s">
        <v>339</v>
      </c>
      <c r="T378" s="298">
        <f>IFERROR(Table6[[#This Row],[Breakdown Time]]*Table6[[#This Row],[Plant Equivalent Weightage]],"")</f>
        <v>7.5757575757576705E-3</v>
      </c>
      <c r="U378" s="79" t="s">
        <v>416</v>
      </c>
      <c r="W378" s="79">
        <v>156</v>
      </c>
    </row>
    <row r="379" spans="1:23">
      <c r="A379" s="79">
        <f t="shared" si="5"/>
        <v>378</v>
      </c>
      <c r="B379" s="79">
        <f>YEAR(Table6[[#This Row],[Date]])+IF(MONTH(Table6[[#This Row],[Date]])&gt;=4,1,0)</f>
        <v>2026</v>
      </c>
      <c r="C379" s="79">
        <f>YEAR(Table6[[#This Row],[Date]])</f>
        <v>2025</v>
      </c>
      <c r="D379" s="79" t="s">
        <v>344</v>
      </c>
      <c r="E379" s="284">
        <f>Table6[[#This Row],[Date]]-DAY(Table6[[#This Row],[Date]])+1</f>
        <v>45778</v>
      </c>
      <c r="F379" s="285">
        <v>45780</v>
      </c>
      <c r="G379" s="79" t="s">
        <v>96</v>
      </c>
      <c r="H379" s="79" t="str">
        <f>IFERROR(_xlfn.XLOOKUP(Table6[[#This Row],[Affected Feeder ]],'Basic Data'!$A:$A,'Basic Data'!$B:$B),"")</f>
        <v>PWEPL</v>
      </c>
      <c r="I379" s="79" t="str">
        <f>IFERROR(_xlfn.XLOOKUP(Table6[[#This Row],[Affected Feeder ]],'Basic Data'!$A:$A,'Basic Data'!$C:$C),"")</f>
        <v>MSEDCL</v>
      </c>
      <c r="J379" s="295">
        <f>IFERROR(_xlfn.XLOOKUP(Table6[[#This Row],[Affected Feeder ]],'Basic Data'!$A:$A,'Basic Data'!$E:$E),"")</f>
        <v>2.2727272727272728E-2</v>
      </c>
      <c r="K379" s="296" t="s">
        <v>414</v>
      </c>
      <c r="L379" s="297">
        <v>0.32708333333333334</v>
      </c>
      <c r="M379" s="297">
        <v>0.32708333333333334</v>
      </c>
      <c r="N379" s="297">
        <v>0.68055555555555547</v>
      </c>
      <c r="O379" s="19">
        <f>(Table6[[#This Row],[Work Start TimeStamp]]-Table6[[#This Row],[Fault Start TimeStamp]])*24</f>
        <v>0</v>
      </c>
      <c r="P379" s="19">
        <f>(Table6[[#This Row],[Fault Clearance time]]-Table6[[#This Row],[Fault Start TimeStamp]])*24</f>
        <v>8.4833333333333307</v>
      </c>
      <c r="Q379" s="19">
        <f>(Table6[[#This Row],[Fault Clearance time]]-Table6[[#This Row],[Fault Start TimeStamp]])*24</f>
        <v>8.4833333333333307</v>
      </c>
      <c r="R379" s="79" t="s">
        <v>457</v>
      </c>
      <c r="S379" s="79" t="s">
        <v>339</v>
      </c>
      <c r="T379" s="298">
        <f>IFERROR(Table6[[#This Row],[Breakdown Time]]*Table6[[#This Row],[Plant Equivalent Weightage]],"")</f>
        <v>0.19280303030303025</v>
      </c>
      <c r="U379" s="79" t="s">
        <v>416</v>
      </c>
      <c r="W379" s="79">
        <v>3831</v>
      </c>
    </row>
    <row r="380" spans="1:23">
      <c r="A380" s="79">
        <f t="shared" si="5"/>
        <v>379</v>
      </c>
      <c r="B380" s="79">
        <f>YEAR(Table6[[#This Row],[Date]])+IF(MONTH(Table6[[#This Row],[Date]])&gt;=4,1,0)</f>
        <v>2026</v>
      </c>
      <c r="C380" s="79">
        <f>YEAR(Table6[[#This Row],[Date]])</f>
        <v>2025</v>
      </c>
      <c r="D380" s="79" t="s">
        <v>344</v>
      </c>
      <c r="E380" s="284">
        <f>Table6[[#This Row],[Date]]-DAY(Table6[[#This Row],[Date]])+1</f>
        <v>45778</v>
      </c>
      <c r="F380" s="285">
        <v>45780</v>
      </c>
      <c r="G380" s="79" t="s">
        <v>96</v>
      </c>
      <c r="H380" s="79" t="str">
        <f>IFERROR(_xlfn.XLOOKUP(Table6[[#This Row],[Affected Feeder ]],'Basic Data'!$A:$A,'Basic Data'!$B:$B),"")</f>
        <v>PWEPL</v>
      </c>
      <c r="I380" s="79" t="str">
        <f>IFERROR(_xlfn.XLOOKUP(Table6[[#This Row],[Affected Feeder ]],'Basic Data'!$A:$A,'Basic Data'!$C:$C),"")</f>
        <v>MSEDCL</v>
      </c>
      <c r="J380" s="295">
        <f>IFERROR(_xlfn.XLOOKUP(Table6[[#This Row],[Affected Feeder ]],'Basic Data'!$A:$A,'Basic Data'!$E:$E),"")</f>
        <v>2.2727272727272728E-2</v>
      </c>
      <c r="K380" s="296" t="s">
        <v>171</v>
      </c>
      <c r="L380" s="297">
        <v>0.68055555555555547</v>
      </c>
      <c r="M380" s="297">
        <v>0.68055555555555547</v>
      </c>
      <c r="N380" s="297">
        <v>0.69166666666666676</v>
      </c>
      <c r="O380" s="19">
        <f>(Table6[[#This Row],[Work Start TimeStamp]]-Table6[[#This Row],[Fault Start TimeStamp]])*24</f>
        <v>0</v>
      </c>
      <c r="P380" s="19">
        <f>(Table6[[#This Row],[Fault Clearance time]]-Table6[[#This Row],[Fault Start TimeStamp]])*24</f>
        <v>0.26666666666667105</v>
      </c>
      <c r="Q380" s="19">
        <f>(Table6[[#This Row],[Fault Clearance time]]-Table6[[#This Row],[Fault Start TimeStamp]])*24</f>
        <v>0.26666666666667105</v>
      </c>
      <c r="R380" s="79" t="s">
        <v>353</v>
      </c>
      <c r="S380" s="79" t="s">
        <v>339</v>
      </c>
      <c r="T380" s="298">
        <f>IFERROR(Table6[[#This Row],[Breakdown Time]]*Table6[[#This Row],[Plant Equivalent Weightage]],"")</f>
        <v>6.0606060606061603E-3</v>
      </c>
      <c r="U380" s="79" t="s">
        <v>416</v>
      </c>
      <c r="W380" s="79">
        <v>124</v>
      </c>
    </row>
    <row r="381" spans="1:23">
      <c r="A381" s="79">
        <f t="shared" si="5"/>
        <v>380</v>
      </c>
      <c r="B381" s="79">
        <f>YEAR(Table6[[#This Row],[Date]])+IF(MONTH(Table6[[#This Row],[Date]])&gt;=4,1,0)</f>
        <v>2026</v>
      </c>
      <c r="C381" s="79">
        <f>YEAR(Table6[[#This Row],[Date]])</f>
        <v>2025</v>
      </c>
      <c r="D381" s="79" t="s">
        <v>344</v>
      </c>
      <c r="E381" s="284">
        <f>Table6[[#This Row],[Date]]-DAY(Table6[[#This Row],[Date]])+1</f>
        <v>45778</v>
      </c>
      <c r="F381" s="285">
        <v>45780</v>
      </c>
      <c r="G381" s="79" t="s">
        <v>97</v>
      </c>
      <c r="H381" s="79" t="str">
        <f>IFERROR(_xlfn.XLOOKUP(Table6[[#This Row],[Affected Feeder ]],'Basic Data'!$A:$A,'Basic Data'!$B:$B),"")</f>
        <v>PWEPL</v>
      </c>
      <c r="I381" s="79" t="str">
        <f>IFERROR(_xlfn.XLOOKUP(Table6[[#This Row],[Affected Feeder ]],'Basic Data'!$A:$A,'Basic Data'!$C:$C),"")</f>
        <v>MSEDCL</v>
      </c>
      <c r="J381" s="295">
        <f>IFERROR(_xlfn.XLOOKUP(Table6[[#This Row],[Affected Feeder ]],'Basic Data'!$A:$A,'Basic Data'!$E:$E),"")</f>
        <v>2.2727272727272728E-2</v>
      </c>
      <c r="K381" s="296" t="s">
        <v>414</v>
      </c>
      <c r="L381" s="297">
        <v>0.32708333333333334</v>
      </c>
      <c r="M381" s="297">
        <v>0.32708333333333334</v>
      </c>
      <c r="N381" s="297">
        <v>0.68055555555555547</v>
      </c>
      <c r="O381" s="19">
        <f>(Table6[[#This Row],[Work Start TimeStamp]]-Table6[[#This Row],[Fault Start TimeStamp]])*24</f>
        <v>0</v>
      </c>
      <c r="P381" s="19">
        <f>(Table6[[#This Row],[Fault Clearance time]]-Table6[[#This Row],[Fault Start TimeStamp]])*24</f>
        <v>8.4833333333333307</v>
      </c>
      <c r="Q381" s="19">
        <f>(Table6[[#This Row],[Fault Clearance time]]-Table6[[#This Row],[Fault Start TimeStamp]])*24</f>
        <v>8.4833333333333307</v>
      </c>
      <c r="R381" s="79" t="s">
        <v>457</v>
      </c>
      <c r="S381" s="79" t="s">
        <v>339</v>
      </c>
      <c r="T381" s="298">
        <f>IFERROR(Table6[[#This Row],[Breakdown Time]]*Table6[[#This Row],[Plant Equivalent Weightage]],"")</f>
        <v>0.19280303030303025</v>
      </c>
      <c r="U381" s="79" t="s">
        <v>416</v>
      </c>
      <c r="W381" s="79">
        <v>3830</v>
      </c>
    </row>
    <row r="382" spans="1:23">
      <c r="A382" s="79">
        <f t="shared" si="5"/>
        <v>381</v>
      </c>
      <c r="B382" s="79">
        <f>YEAR(Table6[[#This Row],[Date]])+IF(MONTH(Table6[[#This Row],[Date]])&gt;=4,1,0)</f>
        <v>2026</v>
      </c>
      <c r="C382" s="79">
        <f>YEAR(Table6[[#This Row],[Date]])</f>
        <v>2025</v>
      </c>
      <c r="D382" s="79" t="s">
        <v>344</v>
      </c>
      <c r="E382" s="284">
        <f>Table6[[#This Row],[Date]]-DAY(Table6[[#This Row],[Date]])+1</f>
        <v>45778</v>
      </c>
      <c r="F382" s="285">
        <v>45780</v>
      </c>
      <c r="G382" s="79" t="s">
        <v>97</v>
      </c>
      <c r="H382" s="79" t="str">
        <f>IFERROR(_xlfn.XLOOKUP(Table6[[#This Row],[Affected Feeder ]],'Basic Data'!$A:$A,'Basic Data'!$B:$B),"")</f>
        <v>PWEPL</v>
      </c>
      <c r="I382" s="79" t="str">
        <f>IFERROR(_xlfn.XLOOKUP(Table6[[#This Row],[Affected Feeder ]],'Basic Data'!$A:$A,'Basic Data'!$C:$C),"")</f>
        <v>MSEDCL</v>
      </c>
      <c r="J382" s="295">
        <f>IFERROR(_xlfn.XLOOKUP(Table6[[#This Row],[Affected Feeder ]],'Basic Data'!$A:$A,'Basic Data'!$E:$E),"")</f>
        <v>2.2727272727272728E-2</v>
      </c>
      <c r="K382" s="296" t="s">
        <v>171</v>
      </c>
      <c r="L382" s="297">
        <v>0.68055555555555547</v>
      </c>
      <c r="M382" s="297">
        <v>0.68055555555555547</v>
      </c>
      <c r="N382" s="297">
        <v>0.69236111111111109</v>
      </c>
      <c r="O382" s="19">
        <f>(Table6[[#This Row],[Work Start TimeStamp]]-Table6[[#This Row],[Fault Start TimeStamp]])*24</f>
        <v>0</v>
      </c>
      <c r="P382" s="19">
        <f>(Table6[[#This Row],[Fault Clearance time]]-Table6[[#This Row],[Fault Start TimeStamp]])*24</f>
        <v>0.28333333333333499</v>
      </c>
      <c r="Q382" s="19">
        <f>(Table6[[#This Row],[Fault Clearance time]]-Table6[[#This Row],[Fault Start TimeStamp]])*24</f>
        <v>0.28333333333333499</v>
      </c>
      <c r="R382" s="79" t="s">
        <v>353</v>
      </c>
      <c r="S382" s="79" t="s">
        <v>339</v>
      </c>
      <c r="T382" s="298">
        <f>IFERROR(Table6[[#This Row],[Breakdown Time]]*Table6[[#This Row],[Plant Equivalent Weightage]],"")</f>
        <v>6.4393939393939774E-3</v>
      </c>
      <c r="U382" s="79" t="s">
        <v>416</v>
      </c>
      <c r="W382" s="79">
        <v>132</v>
      </c>
    </row>
    <row r="383" spans="1:23">
      <c r="A383" s="79">
        <f t="shared" si="5"/>
        <v>382</v>
      </c>
      <c r="B383" s="79">
        <f>YEAR(Table6[[#This Row],[Date]])+IF(MONTH(Table6[[#This Row],[Date]])&gt;=4,1,0)</f>
        <v>2026</v>
      </c>
      <c r="C383" s="79">
        <f>YEAR(Table6[[#This Row],[Date]])</f>
        <v>2025</v>
      </c>
      <c r="D383" s="79" t="s">
        <v>344</v>
      </c>
      <c r="E383" s="284">
        <f>Table6[[#This Row],[Date]]-DAY(Table6[[#This Row],[Date]])+1</f>
        <v>45778</v>
      </c>
      <c r="F383" s="285">
        <v>45780</v>
      </c>
      <c r="G383" s="79" t="s">
        <v>104</v>
      </c>
      <c r="H383" s="79" t="str">
        <f>IFERROR(_xlfn.XLOOKUP(Table6[[#This Row],[Affected Feeder ]],'Basic Data'!$A:$A,'Basic Data'!$B:$B),"")</f>
        <v>PWEPL</v>
      </c>
      <c r="I383" s="79" t="str">
        <f>IFERROR(_xlfn.XLOOKUP(Table6[[#This Row],[Affected Feeder ]],'Basic Data'!$A:$A,'Basic Data'!$C:$C),"")</f>
        <v>MSEDCL</v>
      </c>
      <c r="J383" s="295">
        <f>IFERROR(_xlfn.XLOOKUP(Table6[[#This Row],[Affected Feeder ]],'Basic Data'!$A:$A,'Basic Data'!$E:$E),"")</f>
        <v>2.2727272727272728E-2</v>
      </c>
      <c r="K383" s="296" t="s">
        <v>414</v>
      </c>
      <c r="L383" s="297">
        <v>0.32708333333333334</v>
      </c>
      <c r="M383" s="297">
        <v>0.32708333333333334</v>
      </c>
      <c r="N383" s="297">
        <v>0.68055555555555547</v>
      </c>
      <c r="O383" s="19">
        <f>(Table6[[#This Row],[Work Start TimeStamp]]-Table6[[#This Row],[Fault Start TimeStamp]])*24</f>
        <v>0</v>
      </c>
      <c r="P383" s="19">
        <f>(Table6[[#This Row],[Fault Clearance time]]-Table6[[#This Row],[Fault Start TimeStamp]])*24</f>
        <v>8.4833333333333307</v>
      </c>
      <c r="Q383" s="19">
        <f>(Table6[[#This Row],[Fault Clearance time]]-Table6[[#This Row],[Fault Start TimeStamp]])*24</f>
        <v>8.4833333333333307</v>
      </c>
      <c r="R383" s="79" t="s">
        <v>457</v>
      </c>
      <c r="S383" s="79" t="s">
        <v>339</v>
      </c>
      <c r="T383" s="298">
        <f>IFERROR(Table6[[#This Row],[Breakdown Time]]*Table6[[#This Row],[Plant Equivalent Weightage]],"")</f>
        <v>0.19280303030303025</v>
      </c>
      <c r="U383" s="79" t="s">
        <v>416</v>
      </c>
      <c r="W383" s="79">
        <v>3831</v>
      </c>
    </row>
    <row r="384" spans="1:23">
      <c r="A384" s="79">
        <f t="shared" si="5"/>
        <v>383</v>
      </c>
      <c r="B384" s="79">
        <f>YEAR(Table6[[#This Row],[Date]])+IF(MONTH(Table6[[#This Row],[Date]])&gt;=4,1,0)</f>
        <v>2026</v>
      </c>
      <c r="C384" s="79">
        <f>YEAR(Table6[[#This Row],[Date]])</f>
        <v>2025</v>
      </c>
      <c r="D384" s="79" t="s">
        <v>344</v>
      </c>
      <c r="E384" s="284">
        <f>Table6[[#This Row],[Date]]-DAY(Table6[[#This Row],[Date]])+1</f>
        <v>45778</v>
      </c>
      <c r="F384" s="285">
        <v>45780</v>
      </c>
      <c r="G384" s="79" t="s">
        <v>104</v>
      </c>
      <c r="H384" s="79" t="str">
        <f>IFERROR(_xlfn.XLOOKUP(Table6[[#This Row],[Affected Feeder ]],'Basic Data'!$A:$A,'Basic Data'!$B:$B),"")</f>
        <v>PWEPL</v>
      </c>
      <c r="I384" s="79" t="str">
        <f>IFERROR(_xlfn.XLOOKUP(Table6[[#This Row],[Affected Feeder ]],'Basic Data'!$A:$A,'Basic Data'!$C:$C),"")</f>
        <v>MSEDCL</v>
      </c>
      <c r="J384" s="295">
        <f>IFERROR(_xlfn.XLOOKUP(Table6[[#This Row],[Affected Feeder ]],'Basic Data'!$A:$A,'Basic Data'!$E:$E),"")</f>
        <v>2.2727272727272728E-2</v>
      </c>
      <c r="K384" s="296" t="s">
        <v>171</v>
      </c>
      <c r="L384" s="297">
        <v>0.68055555555555547</v>
      </c>
      <c r="M384" s="297">
        <v>0.68055555555555547</v>
      </c>
      <c r="N384" s="297">
        <v>0.69097222222222221</v>
      </c>
      <c r="O384" s="19">
        <f>(Table6[[#This Row],[Work Start TimeStamp]]-Table6[[#This Row],[Fault Start TimeStamp]])*24</f>
        <v>0</v>
      </c>
      <c r="P384" s="19">
        <f>(Table6[[#This Row],[Fault Clearance time]]-Table6[[#This Row],[Fault Start TimeStamp]])*24</f>
        <v>0.25000000000000178</v>
      </c>
      <c r="Q384" s="19">
        <f>(Table6[[#This Row],[Fault Clearance time]]-Table6[[#This Row],[Fault Start TimeStamp]])*24</f>
        <v>0.25000000000000178</v>
      </c>
      <c r="R384" s="79" t="s">
        <v>353</v>
      </c>
      <c r="S384" s="79" t="s">
        <v>339</v>
      </c>
      <c r="T384" s="298">
        <f>IFERROR(Table6[[#This Row],[Breakdown Time]]*Table6[[#This Row],[Plant Equivalent Weightage]],"")</f>
        <v>5.6818181818182227E-3</v>
      </c>
      <c r="U384" s="79" t="s">
        <v>416</v>
      </c>
      <c r="W384" s="79">
        <v>116</v>
      </c>
    </row>
    <row r="385" spans="1:23">
      <c r="A385" s="79">
        <f t="shared" si="5"/>
        <v>384</v>
      </c>
      <c r="B385" s="79">
        <f>YEAR(Table6[[#This Row],[Date]])+IF(MONTH(Table6[[#This Row],[Date]])&gt;=4,1,0)</f>
        <v>2026</v>
      </c>
      <c r="C385" s="79">
        <f>YEAR(Table6[[#This Row],[Date]])</f>
        <v>2025</v>
      </c>
      <c r="D385" s="79" t="s">
        <v>344</v>
      </c>
      <c r="E385" s="284">
        <f>Table6[[#This Row],[Date]]-DAY(Table6[[#This Row],[Date]])+1</f>
        <v>45778</v>
      </c>
      <c r="F385" s="285">
        <v>45780</v>
      </c>
      <c r="G385" s="79" t="s">
        <v>110</v>
      </c>
      <c r="H385" s="79" t="str">
        <f>IFERROR(_xlfn.XLOOKUP(Table6[[#This Row],[Affected Feeder ]],'Basic Data'!$A:$A,'Basic Data'!$B:$B),"")</f>
        <v>PWEPL</v>
      </c>
      <c r="I385" s="79" t="str">
        <f>IFERROR(_xlfn.XLOOKUP(Table6[[#This Row],[Affected Feeder ]],'Basic Data'!$A:$A,'Basic Data'!$C:$C),"")</f>
        <v>MSEDCL</v>
      </c>
      <c r="J385" s="295">
        <f>IFERROR(_xlfn.XLOOKUP(Table6[[#This Row],[Affected Feeder ]],'Basic Data'!$A:$A,'Basic Data'!$E:$E),"")</f>
        <v>2.2727272727272728E-2</v>
      </c>
      <c r="K385" s="296" t="s">
        <v>414</v>
      </c>
      <c r="L385" s="297">
        <v>0.32708333333333334</v>
      </c>
      <c r="M385" s="297">
        <v>0.32708333333333334</v>
      </c>
      <c r="N385" s="297">
        <v>0.68055555555555547</v>
      </c>
      <c r="O385" s="19">
        <f>(Table6[[#This Row],[Work Start TimeStamp]]-Table6[[#This Row],[Fault Start TimeStamp]])*24</f>
        <v>0</v>
      </c>
      <c r="P385" s="19">
        <f>(Table6[[#This Row],[Fault Clearance time]]-Table6[[#This Row],[Fault Start TimeStamp]])*24</f>
        <v>8.4833333333333307</v>
      </c>
      <c r="Q385" s="19">
        <f>(Table6[[#This Row],[Fault Clearance time]]-Table6[[#This Row],[Fault Start TimeStamp]])*24</f>
        <v>8.4833333333333307</v>
      </c>
      <c r="R385" s="79" t="s">
        <v>457</v>
      </c>
      <c r="S385" s="79" t="s">
        <v>339</v>
      </c>
      <c r="T385" s="298">
        <f>IFERROR(Table6[[#This Row],[Breakdown Time]]*Table6[[#This Row],[Plant Equivalent Weightage]],"")</f>
        <v>0.19280303030303025</v>
      </c>
      <c r="U385" s="79" t="s">
        <v>416</v>
      </c>
      <c r="W385" s="79">
        <v>3831</v>
      </c>
    </row>
    <row r="386" spans="1:23">
      <c r="A386" s="79">
        <f t="shared" si="5"/>
        <v>385</v>
      </c>
      <c r="B386" s="79">
        <f>YEAR(Table6[[#This Row],[Date]])+IF(MONTH(Table6[[#This Row],[Date]])&gt;=4,1,0)</f>
        <v>2026</v>
      </c>
      <c r="C386" s="79">
        <f>YEAR(Table6[[#This Row],[Date]])</f>
        <v>2025</v>
      </c>
      <c r="D386" s="79" t="s">
        <v>344</v>
      </c>
      <c r="E386" s="284">
        <f>Table6[[#This Row],[Date]]-DAY(Table6[[#This Row],[Date]])+1</f>
        <v>45778</v>
      </c>
      <c r="F386" s="285">
        <v>45780</v>
      </c>
      <c r="G386" s="79" t="s">
        <v>110</v>
      </c>
      <c r="H386" s="79" t="str">
        <f>IFERROR(_xlfn.XLOOKUP(Table6[[#This Row],[Affected Feeder ]],'Basic Data'!$A:$A,'Basic Data'!$B:$B),"")</f>
        <v>PWEPL</v>
      </c>
      <c r="I386" s="79" t="str">
        <f>IFERROR(_xlfn.XLOOKUP(Table6[[#This Row],[Affected Feeder ]],'Basic Data'!$A:$A,'Basic Data'!$C:$C),"")</f>
        <v>MSEDCL</v>
      </c>
      <c r="J386" s="295">
        <f>IFERROR(_xlfn.XLOOKUP(Table6[[#This Row],[Affected Feeder ]],'Basic Data'!$A:$A,'Basic Data'!$E:$E),"")</f>
        <v>2.2727272727272728E-2</v>
      </c>
      <c r="K386" s="296" t="s">
        <v>171</v>
      </c>
      <c r="L386" s="297">
        <v>0.68055555555555547</v>
      </c>
      <c r="M386" s="297">
        <v>0.68055555555555547</v>
      </c>
      <c r="N386" s="297">
        <v>0.69097222222222221</v>
      </c>
      <c r="O386" s="19">
        <f>(Table6[[#This Row],[Work Start TimeStamp]]-Table6[[#This Row],[Fault Start TimeStamp]])*24</f>
        <v>0</v>
      </c>
      <c r="P386" s="19">
        <f>(Table6[[#This Row],[Fault Clearance time]]-Table6[[#This Row],[Fault Start TimeStamp]])*24</f>
        <v>0.25000000000000178</v>
      </c>
      <c r="Q386" s="19">
        <f>(Table6[[#This Row],[Fault Clearance time]]-Table6[[#This Row],[Fault Start TimeStamp]])*24</f>
        <v>0.25000000000000178</v>
      </c>
      <c r="R386" s="79" t="s">
        <v>353</v>
      </c>
      <c r="S386" s="79" t="s">
        <v>339</v>
      </c>
      <c r="T386" s="298">
        <f>IFERROR(Table6[[#This Row],[Breakdown Time]]*Table6[[#This Row],[Plant Equivalent Weightage]],"")</f>
        <v>5.6818181818182227E-3</v>
      </c>
      <c r="U386" s="79" t="s">
        <v>416</v>
      </c>
      <c r="W386" s="79">
        <v>116</v>
      </c>
    </row>
    <row r="387" spans="1:23">
      <c r="A387" s="79">
        <f t="shared" si="5"/>
        <v>386</v>
      </c>
      <c r="B387" s="79">
        <f>YEAR(Table6[[#This Row],[Date]])+IF(MONTH(Table6[[#This Row],[Date]])&gt;=4,1,0)</f>
        <v>2026</v>
      </c>
      <c r="C387" s="79">
        <f>YEAR(Table6[[#This Row],[Date]])</f>
        <v>2025</v>
      </c>
      <c r="D387" s="79" t="s">
        <v>344</v>
      </c>
      <c r="E387" s="284">
        <f>Table6[[#This Row],[Date]]-DAY(Table6[[#This Row],[Date]])+1</f>
        <v>45778</v>
      </c>
      <c r="F387" s="285">
        <v>45785</v>
      </c>
      <c r="G387" s="79" t="s">
        <v>94</v>
      </c>
      <c r="H387" s="79" t="str">
        <f>IFERROR(_xlfn.XLOOKUP(Table6[[#This Row],[Affected Feeder ]],'Basic Data'!$A:$A,'Basic Data'!$B:$B),"")</f>
        <v>PWEPL</v>
      </c>
      <c r="I387" s="79" t="str">
        <f>IFERROR(_xlfn.XLOOKUP(Table6[[#This Row],[Affected Feeder ]],'Basic Data'!$A:$A,'Basic Data'!$C:$C),"")</f>
        <v>MSEDCL</v>
      </c>
      <c r="J387" s="295">
        <f>IFERROR(_xlfn.XLOOKUP(Table6[[#This Row],[Affected Feeder ]],'Basic Data'!$A:$A,'Basic Data'!$E:$E),"")</f>
        <v>2.2727272727272728E-2</v>
      </c>
      <c r="K387" s="296" t="s">
        <v>796</v>
      </c>
      <c r="L387" s="297">
        <v>0.42986111111111108</v>
      </c>
      <c r="M387" s="297">
        <v>0.42986111111111108</v>
      </c>
      <c r="N387" s="297">
        <v>0.4548611111111111</v>
      </c>
      <c r="O387" s="19">
        <f>(Table6[[#This Row],[Work Start TimeStamp]]-Table6[[#This Row],[Fault Start TimeStamp]])*24</f>
        <v>0</v>
      </c>
      <c r="P387" s="19">
        <f>(Table6[[#This Row],[Fault Clearance time]]-Table6[[#This Row],[Fault Start TimeStamp]])*24</f>
        <v>0.60000000000000053</v>
      </c>
      <c r="Q387" s="19">
        <f>(Table6[[#This Row],[Fault Clearance time]]-Table6[[#This Row],[Fault Start TimeStamp]])*24</f>
        <v>0.60000000000000053</v>
      </c>
      <c r="R387" s="79" t="s">
        <v>424</v>
      </c>
      <c r="S387" s="79" t="s">
        <v>339</v>
      </c>
      <c r="T387" s="298">
        <f>IFERROR(Table6[[#This Row],[Breakdown Time]]*Table6[[#This Row],[Plant Equivalent Weightage]],"")</f>
        <v>1.363636363636365E-2</v>
      </c>
      <c r="U387" s="79" t="s">
        <v>421</v>
      </c>
      <c r="W387" s="79">
        <v>760</v>
      </c>
    </row>
    <row r="388" spans="1:23">
      <c r="A388" s="79">
        <f t="shared" ref="A388:A451" si="6">A387+1</f>
        <v>387</v>
      </c>
      <c r="B388" s="79">
        <f>YEAR(Table6[[#This Row],[Date]])+IF(MONTH(Table6[[#This Row],[Date]])&gt;=4,1,0)</f>
        <v>2026</v>
      </c>
      <c r="C388" s="79">
        <f>YEAR(Table6[[#This Row],[Date]])</f>
        <v>2025</v>
      </c>
      <c r="D388" s="79" t="s">
        <v>344</v>
      </c>
      <c r="E388" s="284">
        <f>Table6[[#This Row],[Date]]-DAY(Table6[[#This Row],[Date]])+1</f>
        <v>45778</v>
      </c>
      <c r="F388" s="285">
        <v>45785</v>
      </c>
      <c r="G388" s="79" t="s">
        <v>94</v>
      </c>
      <c r="H388" s="79" t="str">
        <f>IFERROR(_xlfn.XLOOKUP(Table6[[#This Row],[Affected Feeder ]],'Basic Data'!$A:$A,'Basic Data'!$B:$B),"")</f>
        <v>PWEPL</v>
      </c>
      <c r="I388" s="79" t="str">
        <f>IFERROR(_xlfn.XLOOKUP(Table6[[#This Row],[Affected Feeder ]],'Basic Data'!$A:$A,'Basic Data'!$C:$C),"")</f>
        <v>MSEDCL</v>
      </c>
      <c r="J388" s="295">
        <f>IFERROR(_xlfn.XLOOKUP(Table6[[#This Row],[Affected Feeder ]],'Basic Data'!$A:$A,'Basic Data'!$E:$E),"")</f>
        <v>2.2727272727272728E-2</v>
      </c>
      <c r="K388" s="296" t="s">
        <v>171</v>
      </c>
      <c r="L388" s="297">
        <v>0.4548611111111111</v>
      </c>
      <c r="M388" s="297">
        <v>0.4548611111111111</v>
      </c>
      <c r="N388" s="297">
        <v>0.46875</v>
      </c>
      <c r="O388" s="19">
        <f>(Table6[[#This Row],[Work Start TimeStamp]]-Table6[[#This Row],[Fault Start TimeStamp]])*24</f>
        <v>0</v>
      </c>
      <c r="P388" s="19">
        <f>(Table6[[#This Row],[Fault Clearance time]]-Table6[[#This Row],[Fault Start TimeStamp]])*24</f>
        <v>0.33333333333333348</v>
      </c>
      <c r="Q388" s="19">
        <f>(Table6[[#This Row],[Fault Clearance time]]-Table6[[#This Row],[Fault Start TimeStamp]])*24</f>
        <v>0.33333333333333348</v>
      </c>
      <c r="R388" s="79" t="s">
        <v>353</v>
      </c>
      <c r="S388" s="79" t="s">
        <v>339</v>
      </c>
      <c r="T388" s="298">
        <f>IFERROR(Table6[[#This Row],[Breakdown Time]]*Table6[[#This Row],[Plant Equivalent Weightage]],"")</f>
        <v>7.5757575757575794E-3</v>
      </c>
      <c r="U388" s="79" t="s">
        <v>421</v>
      </c>
      <c r="W388" s="79">
        <v>421</v>
      </c>
    </row>
    <row r="389" spans="1:23">
      <c r="A389" s="79">
        <f t="shared" si="6"/>
        <v>388</v>
      </c>
      <c r="B389" s="79">
        <f>YEAR(Table6[[#This Row],[Date]])+IF(MONTH(Table6[[#This Row],[Date]])&gt;=4,1,0)</f>
        <v>2026</v>
      </c>
      <c r="C389" s="79">
        <f>YEAR(Table6[[#This Row],[Date]])</f>
        <v>2025</v>
      </c>
      <c r="D389" s="79" t="s">
        <v>344</v>
      </c>
      <c r="E389" s="284">
        <f>Table6[[#This Row],[Date]]-DAY(Table6[[#This Row],[Date]])+1</f>
        <v>45778</v>
      </c>
      <c r="F389" s="285">
        <v>45786</v>
      </c>
      <c r="G389" s="79" t="s">
        <v>109</v>
      </c>
      <c r="H389" s="79" t="str">
        <f>IFERROR(_xlfn.XLOOKUP(Table6[[#This Row],[Affected Feeder ]],'Basic Data'!$A:$A,'Basic Data'!$B:$B),"")</f>
        <v>PWEPL</v>
      </c>
      <c r="I389" s="79" t="str">
        <f>IFERROR(_xlfn.XLOOKUP(Table6[[#This Row],[Affected Feeder ]],'Basic Data'!$A:$A,'Basic Data'!$C:$C),"")</f>
        <v>MSEDCL</v>
      </c>
      <c r="J389" s="295">
        <f>IFERROR(_xlfn.XLOOKUP(Table6[[#This Row],[Affected Feeder ]],'Basic Data'!$A:$A,'Basic Data'!$E:$E),"")</f>
        <v>2.2727272727272728E-2</v>
      </c>
      <c r="K389" s="296" t="s">
        <v>414</v>
      </c>
      <c r="L389" s="297">
        <v>0.3354166666666667</v>
      </c>
      <c r="M389" s="297">
        <v>0.3354166666666667</v>
      </c>
      <c r="N389" s="297">
        <v>0.56111111111111112</v>
      </c>
      <c r="O389" s="19">
        <f>(Table6[[#This Row],[Work Start TimeStamp]]-Table6[[#This Row],[Fault Start TimeStamp]])*24</f>
        <v>0</v>
      </c>
      <c r="P389" s="19">
        <f>(Table6[[#This Row],[Fault Clearance time]]-Table6[[#This Row],[Fault Start TimeStamp]])*24</f>
        <v>5.4166666666666661</v>
      </c>
      <c r="Q389" s="19">
        <f>(Table6[[#This Row],[Fault Clearance time]]-Table6[[#This Row],[Fault Start TimeStamp]])*24</f>
        <v>5.4166666666666661</v>
      </c>
      <c r="R389" s="79" t="s">
        <v>457</v>
      </c>
      <c r="S389" s="79" t="s">
        <v>339</v>
      </c>
      <c r="T389" s="298">
        <f>IFERROR(Table6[[#This Row],[Breakdown Time]]*Table6[[#This Row],[Plant Equivalent Weightage]],"")</f>
        <v>0.12310606060606059</v>
      </c>
      <c r="U389" s="79" t="s">
        <v>416</v>
      </c>
      <c r="W389" s="79">
        <v>1075</v>
      </c>
    </row>
    <row r="390" spans="1:23">
      <c r="A390" s="79">
        <f t="shared" si="6"/>
        <v>389</v>
      </c>
      <c r="B390" s="79">
        <f>YEAR(Table6[[#This Row],[Date]])+IF(MONTH(Table6[[#This Row],[Date]])&gt;=4,1,0)</f>
        <v>2026</v>
      </c>
      <c r="C390" s="79">
        <f>YEAR(Table6[[#This Row],[Date]])</f>
        <v>2025</v>
      </c>
      <c r="D390" s="79" t="s">
        <v>344</v>
      </c>
      <c r="E390" s="284">
        <f>Table6[[#This Row],[Date]]-DAY(Table6[[#This Row],[Date]])+1</f>
        <v>45778</v>
      </c>
      <c r="F390" s="285">
        <v>45786</v>
      </c>
      <c r="G390" s="79" t="s">
        <v>109</v>
      </c>
      <c r="H390" s="79" t="str">
        <f>IFERROR(_xlfn.XLOOKUP(Table6[[#This Row],[Affected Feeder ]],'Basic Data'!$A:$A,'Basic Data'!$B:$B),"")</f>
        <v>PWEPL</v>
      </c>
      <c r="I390" s="79" t="str">
        <f>IFERROR(_xlfn.XLOOKUP(Table6[[#This Row],[Affected Feeder ]],'Basic Data'!$A:$A,'Basic Data'!$C:$C),"")</f>
        <v>MSEDCL</v>
      </c>
      <c r="J390" s="295">
        <f>IFERROR(_xlfn.XLOOKUP(Table6[[#This Row],[Affected Feeder ]],'Basic Data'!$A:$A,'Basic Data'!$E:$E),"")</f>
        <v>2.2727272727272728E-2</v>
      </c>
      <c r="K390" s="296" t="s">
        <v>171</v>
      </c>
      <c r="L390" s="297">
        <v>0.56111111111111112</v>
      </c>
      <c r="M390" s="297">
        <v>0.56111111111111112</v>
      </c>
      <c r="N390" s="297">
        <v>0.5708333333333333</v>
      </c>
      <c r="O390" s="19">
        <f>(Table6[[#This Row],[Work Start TimeStamp]]-Table6[[#This Row],[Fault Start TimeStamp]])*24</f>
        <v>0</v>
      </c>
      <c r="P390" s="19">
        <f>(Table6[[#This Row],[Fault Clearance time]]-Table6[[#This Row],[Fault Start TimeStamp]])*24</f>
        <v>0.2333333333333325</v>
      </c>
      <c r="Q390" s="19">
        <f>(Table6[[#This Row],[Fault Clearance time]]-Table6[[#This Row],[Fault Start TimeStamp]])*24</f>
        <v>0.2333333333333325</v>
      </c>
      <c r="R390" s="79" t="s">
        <v>353</v>
      </c>
      <c r="S390" s="79" t="s">
        <v>339</v>
      </c>
      <c r="T390" s="298">
        <f>IFERROR(Table6[[#This Row],[Breakdown Time]]*Table6[[#This Row],[Plant Equivalent Weightage]],"")</f>
        <v>5.3030303030302843E-3</v>
      </c>
      <c r="U390" s="79" t="s">
        <v>416</v>
      </c>
      <c r="W390" s="79">
        <v>48</v>
      </c>
    </row>
    <row r="391" spans="1:23">
      <c r="A391" s="79">
        <f t="shared" si="6"/>
        <v>390</v>
      </c>
      <c r="B391" s="79">
        <f>YEAR(Table6[[#This Row],[Date]])+IF(MONTH(Table6[[#This Row],[Date]])&gt;=4,1,0)</f>
        <v>2026</v>
      </c>
      <c r="C391" s="79">
        <f>YEAR(Table6[[#This Row],[Date]])</f>
        <v>2025</v>
      </c>
      <c r="D391" s="79" t="s">
        <v>344</v>
      </c>
      <c r="E391" s="284">
        <f>Table6[[#This Row],[Date]]-DAY(Table6[[#This Row],[Date]])+1</f>
        <v>45778</v>
      </c>
      <c r="F391" s="285">
        <v>45786</v>
      </c>
      <c r="G391" s="79" t="s">
        <v>111</v>
      </c>
      <c r="H391" s="79" t="str">
        <f>IFERROR(_xlfn.XLOOKUP(Table6[[#This Row],[Affected Feeder ]],'Basic Data'!$A:$A,'Basic Data'!$B:$B),"")</f>
        <v>PWEPL</v>
      </c>
      <c r="I391" s="79" t="str">
        <f>IFERROR(_xlfn.XLOOKUP(Table6[[#This Row],[Affected Feeder ]],'Basic Data'!$A:$A,'Basic Data'!$C:$C),"")</f>
        <v>MSEDCL</v>
      </c>
      <c r="J391" s="295">
        <f>IFERROR(_xlfn.XLOOKUP(Table6[[#This Row],[Affected Feeder ]],'Basic Data'!$A:$A,'Basic Data'!$E:$E),"")</f>
        <v>2.2727272727272728E-2</v>
      </c>
      <c r="K391" s="296" t="s">
        <v>414</v>
      </c>
      <c r="L391" s="297">
        <v>0.3354166666666667</v>
      </c>
      <c r="M391" s="297">
        <v>0.3354166666666667</v>
      </c>
      <c r="N391" s="297">
        <v>0.56111111111111112</v>
      </c>
      <c r="O391" s="19">
        <f>(Table6[[#This Row],[Work Start TimeStamp]]-Table6[[#This Row],[Fault Start TimeStamp]])*24</f>
        <v>0</v>
      </c>
      <c r="P391" s="19">
        <f>(Table6[[#This Row],[Fault Clearance time]]-Table6[[#This Row],[Fault Start TimeStamp]])*24</f>
        <v>5.4166666666666661</v>
      </c>
      <c r="Q391" s="19">
        <f>(Table6[[#This Row],[Fault Clearance time]]-Table6[[#This Row],[Fault Start TimeStamp]])*24</f>
        <v>5.4166666666666661</v>
      </c>
      <c r="R391" s="79" t="s">
        <v>457</v>
      </c>
      <c r="S391" s="79" t="s">
        <v>339</v>
      </c>
      <c r="T391" s="298">
        <f>IFERROR(Table6[[#This Row],[Breakdown Time]]*Table6[[#This Row],[Plant Equivalent Weightage]],"")</f>
        <v>0.12310606060606059</v>
      </c>
      <c r="U391" s="79" t="s">
        <v>416</v>
      </c>
      <c r="W391" s="79">
        <v>1075</v>
      </c>
    </row>
    <row r="392" spans="1:23">
      <c r="A392" s="79">
        <f t="shared" si="6"/>
        <v>391</v>
      </c>
      <c r="B392" s="79">
        <f>YEAR(Table6[[#This Row],[Date]])+IF(MONTH(Table6[[#This Row],[Date]])&gt;=4,1,0)</f>
        <v>2026</v>
      </c>
      <c r="C392" s="79">
        <f>YEAR(Table6[[#This Row],[Date]])</f>
        <v>2025</v>
      </c>
      <c r="D392" s="79" t="s">
        <v>344</v>
      </c>
      <c r="E392" s="284">
        <f>Table6[[#This Row],[Date]]-DAY(Table6[[#This Row],[Date]])+1</f>
        <v>45778</v>
      </c>
      <c r="F392" s="285">
        <v>45786</v>
      </c>
      <c r="G392" s="79" t="s">
        <v>111</v>
      </c>
      <c r="H392" s="79" t="str">
        <f>IFERROR(_xlfn.XLOOKUP(Table6[[#This Row],[Affected Feeder ]],'Basic Data'!$A:$A,'Basic Data'!$B:$B),"")</f>
        <v>PWEPL</v>
      </c>
      <c r="I392" s="79" t="str">
        <f>IFERROR(_xlfn.XLOOKUP(Table6[[#This Row],[Affected Feeder ]],'Basic Data'!$A:$A,'Basic Data'!$C:$C),"")</f>
        <v>MSEDCL</v>
      </c>
      <c r="J392" s="295">
        <f>IFERROR(_xlfn.XLOOKUP(Table6[[#This Row],[Affected Feeder ]],'Basic Data'!$A:$A,'Basic Data'!$E:$E),"")</f>
        <v>2.2727272727272728E-2</v>
      </c>
      <c r="K392" s="296" t="s">
        <v>171</v>
      </c>
      <c r="L392" s="297">
        <v>0.56111111111111112</v>
      </c>
      <c r="M392" s="297">
        <v>0.56111111111111112</v>
      </c>
      <c r="N392" s="297">
        <v>0.5708333333333333</v>
      </c>
      <c r="O392" s="19">
        <f>(Table6[[#This Row],[Work Start TimeStamp]]-Table6[[#This Row],[Fault Start TimeStamp]])*24</f>
        <v>0</v>
      </c>
      <c r="P392" s="19">
        <f>(Table6[[#This Row],[Fault Clearance time]]-Table6[[#This Row],[Fault Start TimeStamp]])*24</f>
        <v>0.2333333333333325</v>
      </c>
      <c r="Q392" s="19">
        <f>(Table6[[#This Row],[Fault Clearance time]]-Table6[[#This Row],[Fault Start TimeStamp]])*24</f>
        <v>0.2333333333333325</v>
      </c>
      <c r="R392" s="79" t="s">
        <v>353</v>
      </c>
      <c r="S392" s="79" t="s">
        <v>339</v>
      </c>
      <c r="T392" s="298">
        <f>IFERROR(Table6[[#This Row],[Breakdown Time]]*Table6[[#This Row],[Plant Equivalent Weightage]],"")</f>
        <v>5.3030303030302843E-3</v>
      </c>
      <c r="U392" s="79" t="s">
        <v>416</v>
      </c>
      <c r="W392" s="79">
        <v>48</v>
      </c>
    </row>
    <row r="393" spans="1:23">
      <c r="A393" s="79">
        <f t="shared" si="6"/>
        <v>392</v>
      </c>
      <c r="B393" s="79">
        <f>YEAR(Table6[[#This Row],[Date]])+IF(MONTH(Table6[[#This Row],[Date]])&gt;=4,1,0)</f>
        <v>2026</v>
      </c>
      <c r="C393" s="79">
        <f>YEAR(Table6[[#This Row],[Date]])</f>
        <v>2025</v>
      </c>
      <c r="D393" s="79" t="s">
        <v>344</v>
      </c>
      <c r="E393" s="284">
        <f>Table6[[#This Row],[Date]]-DAY(Table6[[#This Row],[Date]])+1</f>
        <v>45778</v>
      </c>
      <c r="F393" s="285">
        <v>45786</v>
      </c>
      <c r="G393" s="79" t="s">
        <v>112</v>
      </c>
      <c r="H393" s="79" t="str">
        <f>IFERROR(_xlfn.XLOOKUP(Table6[[#This Row],[Affected Feeder ]],'Basic Data'!$A:$A,'Basic Data'!$B:$B),"")</f>
        <v>PWEPL</v>
      </c>
      <c r="I393" s="79" t="str">
        <f>IFERROR(_xlfn.XLOOKUP(Table6[[#This Row],[Affected Feeder ]],'Basic Data'!$A:$A,'Basic Data'!$C:$C),"")</f>
        <v>MSEDCL</v>
      </c>
      <c r="J393" s="295">
        <f>IFERROR(_xlfn.XLOOKUP(Table6[[#This Row],[Affected Feeder ]],'Basic Data'!$A:$A,'Basic Data'!$E:$E),"")</f>
        <v>2.2727272727272728E-2</v>
      </c>
      <c r="K393" s="296" t="s">
        <v>414</v>
      </c>
      <c r="L393" s="297">
        <v>0.3354166666666667</v>
      </c>
      <c r="M393" s="297">
        <v>0.3354166666666667</v>
      </c>
      <c r="N393" s="297">
        <v>0.56111111111111112</v>
      </c>
      <c r="O393" s="19">
        <f>(Table6[[#This Row],[Work Start TimeStamp]]-Table6[[#This Row],[Fault Start TimeStamp]])*24</f>
        <v>0</v>
      </c>
      <c r="P393" s="19">
        <f>(Table6[[#This Row],[Fault Clearance time]]-Table6[[#This Row],[Fault Start TimeStamp]])*24</f>
        <v>5.4166666666666661</v>
      </c>
      <c r="Q393" s="19">
        <f>(Table6[[#This Row],[Fault Clearance time]]-Table6[[#This Row],[Fault Start TimeStamp]])*24</f>
        <v>5.4166666666666661</v>
      </c>
      <c r="R393" s="79" t="s">
        <v>457</v>
      </c>
      <c r="S393" s="79" t="s">
        <v>339</v>
      </c>
      <c r="T393" s="298">
        <f>IFERROR(Table6[[#This Row],[Breakdown Time]]*Table6[[#This Row],[Plant Equivalent Weightage]],"")</f>
        <v>0.12310606060606059</v>
      </c>
      <c r="U393" s="79" t="s">
        <v>416</v>
      </c>
      <c r="W393" s="79">
        <v>1075</v>
      </c>
    </row>
    <row r="394" spans="1:23">
      <c r="A394" s="79">
        <f t="shared" si="6"/>
        <v>393</v>
      </c>
      <c r="B394" s="79">
        <f>YEAR(Table6[[#This Row],[Date]])+IF(MONTH(Table6[[#This Row],[Date]])&gt;=4,1,0)</f>
        <v>2026</v>
      </c>
      <c r="C394" s="79">
        <f>YEAR(Table6[[#This Row],[Date]])</f>
        <v>2025</v>
      </c>
      <c r="D394" s="79" t="s">
        <v>344</v>
      </c>
      <c r="E394" s="284">
        <f>Table6[[#This Row],[Date]]-DAY(Table6[[#This Row],[Date]])+1</f>
        <v>45778</v>
      </c>
      <c r="F394" s="285">
        <v>45786</v>
      </c>
      <c r="G394" s="79" t="s">
        <v>112</v>
      </c>
      <c r="H394" s="79" t="str">
        <f>IFERROR(_xlfn.XLOOKUP(Table6[[#This Row],[Affected Feeder ]],'Basic Data'!$A:$A,'Basic Data'!$B:$B),"")</f>
        <v>PWEPL</v>
      </c>
      <c r="I394" s="79" t="str">
        <f>IFERROR(_xlfn.XLOOKUP(Table6[[#This Row],[Affected Feeder ]],'Basic Data'!$A:$A,'Basic Data'!$C:$C),"")</f>
        <v>MSEDCL</v>
      </c>
      <c r="J394" s="295">
        <f>IFERROR(_xlfn.XLOOKUP(Table6[[#This Row],[Affected Feeder ]],'Basic Data'!$A:$A,'Basic Data'!$E:$E),"")</f>
        <v>2.2727272727272728E-2</v>
      </c>
      <c r="K394" s="296" t="s">
        <v>171</v>
      </c>
      <c r="L394" s="297">
        <v>0.56111111111111112</v>
      </c>
      <c r="M394" s="297">
        <v>0.56111111111111112</v>
      </c>
      <c r="N394" s="297">
        <v>0.56944444444444442</v>
      </c>
      <c r="O394" s="19">
        <f>(Table6[[#This Row],[Work Start TimeStamp]]-Table6[[#This Row],[Fault Start TimeStamp]])*24</f>
        <v>0</v>
      </c>
      <c r="P394" s="19">
        <f>(Table6[[#This Row],[Fault Clearance time]]-Table6[[#This Row],[Fault Start TimeStamp]])*24</f>
        <v>0.19999999999999929</v>
      </c>
      <c r="Q394" s="19">
        <f>(Table6[[#This Row],[Fault Clearance time]]-Table6[[#This Row],[Fault Start TimeStamp]])*24</f>
        <v>0.19999999999999929</v>
      </c>
      <c r="R394" s="79" t="s">
        <v>353</v>
      </c>
      <c r="S394" s="79" t="s">
        <v>339</v>
      </c>
      <c r="T394" s="298">
        <f>IFERROR(Table6[[#This Row],[Breakdown Time]]*Table6[[#This Row],[Plant Equivalent Weightage]],"")</f>
        <v>4.5454545454545296E-3</v>
      </c>
      <c r="U394" s="79" t="s">
        <v>416</v>
      </c>
      <c r="W394" s="79">
        <v>41</v>
      </c>
    </row>
    <row r="395" spans="1:23">
      <c r="A395" s="79">
        <f t="shared" si="6"/>
        <v>394</v>
      </c>
      <c r="B395" s="79">
        <f>YEAR(Table6[[#This Row],[Date]])+IF(MONTH(Table6[[#This Row],[Date]])&gt;=4,1,0)</f>
        <v>2026</v>
      </c>
      <c r="C395" s="79">
        <f>YEAR(Table6[[#This Row],[Date]])</f>
        <v>2025</v>
      </c>
      <c r="D395" s="79" t="s">
        <v>344</v>
      </c>
      <c r="E395" s="284">
        <f>Table6[[#This Row],[Date]]-DAY(Table6[[#This Row],[Date]])+1</f>
        <v>45778</v>
      </c>
      <c r="F395" s="285">
        <v>45786</v>
      </c>
      <c r="G395" s="79" t="s">
        <v>113</v>
      </c>
      <c r="H395" s="79" t="str">
        <f>IFERROR(_xlfn.XLOOKUP(Table6[[#This Row],[Affected Feeder ]],'Basic Data'!$A:$A,'Basic Data'!$B:$B),"")</f>
        <v>PWEPL</v>
      </c>
      <c r="I395" s="79" t="str">
        <f>IFERROR(_xlfn.XLOOKUP(Table6[[#This Row],[Affected Feeder ]],'Basic Data'!$A:$A,'Basic Data'!$C:$C),"")</f>
        <v>MSEDCL</v>
      </c>
      <c r="J395" s="295">
        <f>IFERROR(_xlfn.XLOOKUP(Table6[[#This Row],[Affected Feeder ]],'Basic Data'!$A:$A,'Basic Data'!$E:$E),"")</f>
        <v>2.2727272727272728E-2</v>
      </c>
      <c r="K395" s="296" t="s">
        <v>414</v>
      </c>
      <c r="L395" s="297">
        <v>0.3354166666666667</v>
      </c>
      <c r="M395" s="297">
        <v>0.3354166666666667</v>
      </c>
      <c r="N395" s="297">
        <v>0.56111111111111112</v>
      </c>
      <c r="O395" s="19">
        <f>(Table6[[#This Row],[Work Start TimeStamp]]-Table6[[#This Row],[Fault Start TimeStamp]])*24</f>
        <v>0</v>
      </c>
      <c r="P395" s="19">
        <f>(Table6[[#This Row],[Fault Clearance time]]-Table6[[#This Row],[Fault Start TimeStamp]])*24</f>
        <v>5.4166666666666661</v>
      </c>
      <c r="Q395" s="19">
        <f>(Table6[[#This Row],[Fault Clearance time]]-Table6[[#This Row],[Fault Start TimeStamp]])*24</f>
        <v>5.4166666666666661</v>
      </c>
      <c r="R395" s="79" t="s">
        <v>457</v>
      </c>
      <c r="S395" s="79" t="s">
        <v>339</v>
      </c>
      <c r="T395" s="298">
        <f>IFERROR(Table6[[#This Row],[Breakdown Time]]*Table6[[#This Row],[Plant Equivalent Weightage]],"")</f>
        <v>0.12310606060606059</v>
      </c>
      <c r="U395" s="79" t="s">
        <v>416</v>
      </c>
      <c r="W395" s="79">
        <v>1075</v>
      </c>
    </row>
    <row r="396" spans="1:23">
      <c r="A396" s="79">
        <f t="shared" si="6"/>
        <v>395</v>
      </c>
      <c r="B396" s="79">
        <f>YEAR(Table6[[#This Row],[Date]])+IF(MONTH(Table6[[#This Row],[Date]])&gt;=4,1,0)</f>
        <v>2026</v>
      </c>
      <c r="C396" s="79">
        <f>YEAR(Table6[[#This Row],[Date]])</f>
        <v>2025</v>
      </c>
      <c r="D396" s="79" t="s">
        <v>344</v>
      </c>
      <c r="E396" s="284">
        <f>Table6[[#This Row],[Date]]-DAY(Table6[[#This Row],[Date]])+1</f>
        <v>45778</v>
      </c>
      <c r="F396" s="285">
        <v>45786</v>
      </c>
      <c r="G396" s="79" t="s">
        <v>113</v>
      </c>
      <c r="H396" s="79" t="str">
        <f>IFERROR(_xlfn.XLOOKUP(Table6[[#This Row],[Affected Feeder ]],'Basic Data'!$A:$A,'Basic Data'!$B:$B),"")</f>
        <v>PWEPL</v>
      </c>
      <c r="I396" s="79" t="str">
        <f>IFERROR(_xlfn.XLOOKUP(Table6[[#This Row],[Affected Feeder ]],'Basic Data'!$A:$A,'Basic Data'!$C:$C),"")</f>
        <v>MSEDCL</v>
      </c>
      <c r="J396" s="295">
        <f>IFERROR(_xlfn.XLOOKUP(Table6[[#This Row],[Affected Feeder ]],'Basic Data'!$A:$A,'Basic Data'!$E:$E),"")</f>
        <v>2.2727272727272728E-2</v>
      </c>
      <c r="K396" s="296" t="s">
        <v>171</v>
      </c>
      <c r="L396" s="297">
        <v>0.56111111111111112</v>
      </c>
      <c r="M396" s="297">
        <v>0.56111111111111112</v>
      </c>
      <c r="N396" s="297">
        <v>0.56944444444444442</v>
      </c>
      <c r="O396" s="19">
        <f>(Table6[[#This Row],[Work Start TimeStamp]]-Table6[[#This Row],[Fault Start TimeStamp]])*24</f>
        <v>0</v>
      </c>
      <c r="P396" s="19">
        <f>(Table6[[#This Row],[Fault Clearance time]]-Table6[[#This Row],[Fault Start TimeStamp]])*24</f>
        <v>0.19999999999999929</v>
      </c>
      <c r="Q396" s="19">
        <f>(Table6[[#This Row],[Fault Clearance time]]-Table6[[#This Row],[Fault Start TimeStamp]])*24</f>
        <v>0.19999999999999929</v>
      </c>
      <c r="R396" s="79" t="s">
        <v>353</v>
      </c>
      <c r="S396" s="79" t="s">
        <v>339</v>
      </c>
      <c r="T396" s="298">
        <f>IFERROR(Table6[[#This Row],[Breakdown Time]]*Table6[[#This Row],[Plant Equivalent Weightage]],"")</f>
        <v>4.5454545454545296E-3</v>
      </c>
      <c r="U396" s="79" t="s">
        <v>416</v>
      </c>
      <c r="W396" s="79">
        <v>41</v>
      </c>
    </row>
    <row r="397" spans="1:23">
      <c r="A397" s="79">
        <f t="shared" si="6"/>
        <v>396</v>
      </c>
      <c r="B397" s="79">
        <f>YEAR(Table6[[#This Row],[Date]])+IF(MONTH(Table6[[#This Row],[Date]])&gt;=4,1,0)</f>
        <v>2026</v>
      </c>
      <c r="C397" s="79">
        <f>YEAR(Table6[[#This Row],[Date]])</f>
        <v>2025</v>
      </c>
      <c r="D397" s="79" t="s">
        <v>344</v>
      </c>
      <c r="E397" s="284">
        <f>Table6[[#This Row],[Date]]-DAY(Table6[[#This Row],[Date]])+1</f>
        <v>45778</v>
      </c>
      <c r="F397" s="285">
        <v>45786</v>
      </c>
      <c r="G397" s="79" t="s">
        <v>114</v>
      </c>
      <c r="H397" s="79" t="str">
        <f>IFERROR(_xlfn.XLOOKUP(Table6[[#This Row],[Affected Feeder ]],'Basic Data'!$A:$A,'Basic Data'!$B:$B),"")</f>
        <v>PWEPL</v>
      </c>
      <c r="I397" s="79" t="str">
        <f>IFERROR(_xlfn.XLOOKUP(Table6[[#This Row],[Affected Feeder ]],'Basic Data'!$A:$A,'Basic Data'!$C:$C),"")</f>
        <v>MSEDCL</v>
      </c>
      <c r="J397" s="295">
        <f>IFERROR(_xlfn.XLOOKUP(Table6[[#This Row],[Affected Feeder ]],'Basic Data'!$A:$A,'Basic Data'!$E:$E),"")</f>
        <v>2.2727272727272728E-2</v>
      </c>
      <c r="K397" s="296" t="s">
        <v>414</v>
      </c>
      <c r="L397" s="297">
        <v>0.3354166666666667</v>
      </c>
      <c r="M397" s="297">
        <v>0.3354166666666667</v>
      </c>
      <c r="N397" s="297">
        <v>0.56111111111111112</v>
      </c>
      <c r="O397" s="19">
        <f>(Table6[[#This Row],[Work Start TimeStamp]]-Table6[[#This Row],[Fault Start TimeStamp]])*24</f>
        <v>0</v>
      </c>
      <c r="P397" s="19">
        <f>(Table6[[#This Row],[Fault Clearance time]]-Table6[[#This Row],[Fault Start TimeStamp]])*24</f>
        <v>5.4166666666666661</v>
      </c>
      <c r="Q397" s="19">
        <f>(Table6[[#This Row],[Fault Clearance time]]-Table6[[#This Row],[Fault Start TimeStamp]])*24</f>
        <v>5.4166666666666661</v>
      </c>
      <c r="R397" s="79" t="s">
        <v>457</v>
      </c>
      <c r="S397" s="79" t="s">
        <v>339</v>
      </c>
      <c r="T397" s="298">
        <f>IFERROR(Table6[[#This Row],[Breakdown Time]]*Table6[[#This Row],[Plant Equivalent Weightage]],"")</f>
        <v>0.12310606060606059</v>
      </c>
      <c r="U397" s="79" t="s">
        <v>416</v>
      </c>
      <c r="W397" s="79">
        <v>1075</v>
      </c>
    </row>
    <row r="398" spans="1:23">
      <c r="A398" s="79">
        <f t="shared" si="6"/>
        <v>397</v>
      </c>
      <c r="B398" s="79">
        <f>YEAR(Table6[[#This Row],[Date]])+IF(MONTH(Table6[[#This Row],[Date]])&gt;=4,1,0)</f>
        <v>2026</v>
      </c>
      <c r="C398" s="79">
        <f>YEAR(Table6[[#This Row],[Date]])</f>
        <v>2025</v>
      </c>
      <c r="D398" s="79" t="s">
        <v>344</v>
      </c>
      <c r="E398" s="284">
        <f>Table6[[#This Row],[Date]]-DAY(Table6[[#This Row],[Date]])+1</f>
        <v>45778</v>
      </c>
      <c r="F398" s="285">
        <v>45786</v>
      </c>
      <c r="G398" s="79" t="s">
        <v>114</v>
      </c>
      <c r="H398" s="79" t="str">
        <f>IFERROR(_xlfn.XLOOKUP(Table6[[#This Row],[Affected Feeder ]],'Basic Data'!$A:$A,'Basic Data'!$B:$B),"")</f>
        <v>PWEPL</v>
      </c>
      <c r="I398" s="79" t="str">
        <f>IFERROR(_xlfn.XLOOKUP(Table6[[#This Row],[Affected Feeder ]],'Basic Data'!$A:$A,'Basic Data'!$C:$C),"")</f>
        <v>MSEDCL</v>
      </c>
      <c r="J398" s="295">
        <f>IFERROR(_xlfn.XLOOKUP(Table6[[#This Row],[Affected Feeder ]],'Basic Data'!$A:$A,'Basic Data'!$E:$E),"")</f>
        <v>2.2727272727272728E-2</v>
      </c>
      <c r="K398" s="296" t="s">
        <v>171</v>
      </c>
      <c r="L398" s="297">
        <v>0.56111111111111112</v>
      </c>
      <c r="M398" s="297">
        <v>0.56111111111111112</v>
      </c>
      <c r="N398" s="297">
        <v>0.56944444444444442</v>
      </c>
      <c r="O398" s="19">
        <f>(Table6[[#This Row],[Work Start TimeStamp]]-Table6[[#This Row],[Fault Start TimeStamp]])*24</f>
        <v>0</v>
      </c>
      <c r="P398" s="19">
        <f>(Table6[[#This Row],[Fault Clearance time]]-Table6[[#This Row],[Fault Start TimeStamp]])*24</f>
        <v>0.19999999999999929</v>
      </c>
      <c r="Q398" s="19">
        <f>(Table6[[#This Row],[Fault Clearance time]]-Table6[[#This Row],[Fault Start TimeStamp]])*24</f>
        <v>0.19999999999999929</v>
      </c>
      <c r="R398" s="79" t="s">
        <v>353</v>
      </c>
      <c r="S398" s="79" t="s">
        <v>339</v>
      </c>
      <c r="T398" s="298">
        <f>IFERROR(Table6[[#This Row],[Breakdown Time]]*Table6[[#This Row],[Plant Equivalent Weightage]],"")</f>
        <v>4.5454545454545296E-3</v>
      </c>
      <c r="U398" s="79" t="s">
        <v>416</v>
      </c>
      <c r="W398" s="79">
        <v>41</v>
      </c>
    </row>
    <row r="399" spans="1:23">
      <c r="A399" s="79">
        <f t="shared" si="6"/>
        <v>398</v>
      </c>
      <c r="B399" s="79">
        <f>YEAR(Table6[[#This Row],[Date]])+IF(MONTH(Table6[[#This Row],[Date]])&gt;=4,1,0)</f>
        <v>2026</v>
      </c>
      <c r="C399" s="79">
        <f>YEAR(Table6[[#This Row],[Date]])</f>
        <v>2025</v>
      </c>
      <c r="D399" s="79" t="s">
        <v>344</v>
      </c>
      <c r="E399" s="284">
        <f>Table6[[#This Row],[Date]]-DAY(Table6[[#This Row],[Date]])+1</f>
        <v>45778</v>
      </c>
      <c r="F399" s="285">
        <v>45787</v>
      </c>
      <c r="G399" s="79" t="s">
        <v>76</v>
      </c>
      <c r="H399" s="79" t="str">
        <f>IFERROR(_xlfn.XLOOKUP(Table6[[#This Row],[Affected Feeder ]],'Basic Data'!$A:$A,'Basic Data'!$B:$B),"")</f>
        <v>PWEPL</v>
      </c>
      <c r="I399" s="79" t="str">
        <f>IFERROR(_xlfn.XLOOKUP(Table6[[#This Row],[Affected Feeder ]],'Basic Data'!$A:$A,'Basic Data'!$C:$C),"")</f>
        <v>MSEDCL</v>
      </c>
      <c r="J399" s="295">
        <f>IFERROR(_xlfn.XLOOKUP(Table6[[#This Row],[Affected Feeder ]],'Basic Data'!$A:$A,'Basic Data'!$E:$E),"")</f>
        <v>2.2727272727272728E-2</v>
      </c>
      <c r="K399" s="296" t="s">
        <v>414</v>
      </c>
      <c r="L399" s="297">
        <v>0.31944444444444448</v>
      </c>
      <c r="M399" s="297">
        <v>0.31944444444444448</v>
      </c>
      <c r="N399" s="297">
        <v>0.5805555555555556</v>
      </c>
      <c r="O399" s="19">
        <f>(Table6[[#This Row],[Work Start TimeStamp]]-Table6[[#This Row],[Fault Start TimeStamp]])*24</f>
        <v>0</v>
      </c>
      <c r="P399" s="19">
        <f>(Table6[[#This Row],[Fault Clearance time]]-Table6[[#This Row],[Fault Start TimeStamp]])*24</f>
        <v>6.2666666666666675</v>
      </c>
      <c r="Q399" s="19">
        <f>(Table6[[#This Row],[Fault Clearance time]]-Table6[[#This Row],[Fault Start TimeStamp]])*24</f>
        <v>6.2666666666666675</v>
      </c>
      <c r="R399" s="79" t="s">
        <v>457</v>
      </c>
      <c r="S399" s="79" t="s">
        <v>339</v>
      </c>
      <c r="T399" s="298">
        <f>IFERROR(Table6[[#This Row],[Breakdown Time]]*Table6[[#This Row],[Plant Equivalent Weightage]],"")</f>
        <v>0.14242424242424245</v>
      </c>
      <c r="U399" s="79" t="s">
        <v>416</v>
      </c>
      <c r="W399" s="79">
        <v>926</v>
      </c>
    </row>
    <row r="400" spans="1:23">
      <c r="A400" s="79">
        <f t="shared" si="6"/>
        <v>399</v>
      </c>
      <c r="B400" s="79">
        <f>YEAR(Table6[[#This Row],[Date]])+IF(MONTH(Table6[[#This Row],[Date]])&gt;=4,1,0)</f>
        <v>2026</v>
      </c>
      <c r="C400" s="79">
        <f>YEAR(Table6[[#This Row],[Date]])</f>
        <v>2025</v>
      </c>
      <c r="D400" s="79" t="s">
        <v>344</v>
      </c>
      <c r="E400" s="284">
        <f>Table6[[#This Row],[Date]]-DAY(Table6[[#This Row],[Date]])+1</f>
        <v>45778</v>
      </c>
      <c r="F400" s="285">
        <v>45787</v>
      </c>
      <c r="G400" s="79" t="s">
        <v>76</v>
      </c>
      <c r="H400" s="79" t="str">
        <f>IFERROR(_xlfn.XLOOKUP(Table6[[#This Row],[Affected Feeder ]],'Basic Data'!$A:$A,'Basic Data'!$B:$B),"")</f>
        <v>PWEPL</v>
      </c>
      <c r="I400" s="79" t="str">
        <f>IFERROR(_xlfn.XLOOKUP(Table6[[#This Row],[Affected Feeder ]],'Basic Data'!$A:$A,'Basic Data'!$C:$C),"")</f>
        <v>MSEDCL</v>
      </c>
      <c r="J400" s="295">
        <f>IFERROR(_xlfn.XLOOKUP(Table6[[#This Row],[Affected Feeder ]],'Basic Data'!$A:$A,'Basic Data'!$E:$E),"")</f>
        <v>2.2727272727272728E-2</v>
      </c>
      <c r="K400" s="296" t="s">
        <v>171</v>
      </c>
      <c r="L400" s="297">
        <v>0.5805555555555556</v>
      </c>
      <c r="M400" s="297">
        <v>0.5805555555555556</v>
      </c>
      <c r="N400" s="297">
        <v>0.59097222222222223</v>
      </c>
      <c r="O400" s="19">
        <f>(Table6[[#This Row],[Work Start TimeStamp]]-Table6[[#This Row],[Fault Start TimeStamp]])*24</f>
        <v>0</v>
      </c>
      <c r="P400" s="19">
        <f>(Table6[[#This Row],[Fault Clearance time]]-Table6[[#This Row],[Fault Start TimeStamp]])*24</f>
        <v>0.24999999999999911</v>
      </c>
      <c r="Q400" s="19">
        <f>(Table6[[#This Row],[Fault Clearance time]]-Table6[[#This Row],[Fault Start TimeStamp]])*24</f>
        <v>0.24999999999999911</v>
      </c>
      <c r="R400" s="79" t="s">
        <v>353</v>
      </c>
      <c r="S400" s="79" t="s">
        <v>339</v>
      </c>
      <c r="T400" s="298">
        <f>IFERROR(Table6[[#This Row],[Breakdown Time]]*Table6[[#This Row],[Plant Equivalent Weightage]],"")</f>
        <v>5.681818181818162E-3</v>
      </c>
      <c r="U400" s="79" t="s">
        <v>416</v>
      </c>
      <c r="W400" s="79">
        <v>38</v>
      </c>
    </row>
    <row r="401" spans="1:23">
      <c r="A401" s="79">
        <f t="shared" si="6"/>
        <v>400</v>
      </c>
      <c r="B401" s="79">
        <f>YEAR(Table6[[#This Row],[Date]])+IF(MONTH(Table6[[#This Row],[Date]])&gt;=4,1,0)</f>
        <v>2026</v>
      </c>
      <c r="C401" s="79">
        <f>YEAR(Table6[[#This Row],[Date]])</f>
        <v>2025</v>
      </c>
      <c r="D401" s="79" t="s">
        <v>344</v>
      </c>
      <c r="E401" s="284">
        <f>Table6[[#This Row],[Date]]-DAY(Table6[[#This Row],[Date]])+1</f>
        <v>45778</v>
      </c>
      <c r="F401" s="285">
        <v>45787</v>
      </c>
      <c r="G401" s="79" t="s">
        <v>77</v>
      </c>
      <c r="H401" s="79" t="str">
        <f>IFERROR(_xlfn.XLOOKUP(Table6[[#This Row],[Affected Feeder ]],'Basic Data'!$A:$A,'Basic Data'!$B:$B),"")</f>
        <v>PWEPL</v>
      </c>
      <c r="I401" s="79" t="str">
        <f>IFERROR(_xlfn.XLOOKUP(Table6[[#This Row],[Affected Feeder ]],'Basic Data'!$A:$A,'Basic Data'!$C:$C),"")</f>
        <v>MSEDCL</v>
      </c>
      <c r="J401" s="295">
        <f>IFERROR(_xlfn.XLOOKUP(Table6[[#This Row],[Affected Feeder ]],'Basic Data'!$A:$A,'Basic Data'!$E:$E),"")</f>
        <v>2.2727272727272728E-2</v>
      </c>
      <c r="K401" s="296" t="s">
        <v>414</v>
      </c>
      <c r="L401" s="297">
        <v>0.31944444444444448</v>
      </c>
      <c r="M401" s="297">
        <v>0.31944444444444448</v>
      </c>
      <c r="N401" s="297">
        <v>0.5805555555555556</v>
      </c>
      <c r="O401" s="19">
        <f>(Table6[[#This Row],[Work Start TimeStamp]]-Table6[[#This Row],[Fault Start TimeStamp]])*24</f>
        <v>0</v>
      </c>
      <c r="P401" s="19">
        <f>(Table6[[#This Row],[Fault Clearance time]]-Table6[[#This Row],[Fault Start TimeStamp]])*24</f>
        <v>6.2666666666666675</v>
      </c>
      <c r="Q401" s="19">
        <f>(Table6[[#This Row],[Fault Clearance time]]-Table6[[#This Row],[Fault Start TimeStamp]])*24</f>
        <v>6.2666666666666675</v>
      </c>
      <c r="R401" s="79" t="s">
        <v>457</v>
      </c>
      <c r="S401" s="79" t="s">
        <v>339</v>
      </c>
      <c r="T401" s="298">
        <f>IFERROR(Table6[[#This Row],[Breakdown Time]]*Table6[[#This Row],[Plant Equivalent Weightage]],"")</f>
        <v>0.14242424242424245</v>
      </c>
      <c r="U401" s="79" t="s">
        <v>416</v>
      </c>
      <c r="W401" s="79">
        <v>927</v>
      </c>
    </row>
    <row r="402" spans="1:23">
      <c r="A402" s="79">
        <f t="shared" si="6"/>
        <v>401</v>
      </c>
      <c r="B402" s="79">
        <f>YEAR(Table6[[#This Row],[Date]])+IF(MONTH(Table6[[#This Row],[Date]])&gt;=4,1,0)</f>
        <v>2026</v>
      </c>
      <c r="C402" s="79">
        <f>YEAR(Table6[[#This Row],[Date]])</f>
        <v>2025</v>
      </c>
      <c r="D402" s="79" t="s">
        <v>344</v>
      </c>
      <c r="E402" s="284">
        <f>Table6[[#This Row],[Date]]-DAY(Table6[[#This Row],[Date]])+1</f>
        <v>45778</v>
      </c>
      <c r="F402" s="285">
        <v>45787</v>
      </c>
      <c r="G402" s="79" t="s">
        <v>77</v>
      </c>
      <c r="H402" s="79" t="str">
        <f>IFERROR(_xlfn.XLOOKUP(Table6[[#This Row],[Affected Feeder ]],'Basic Data'!$A:$A,'Basic Data'!$B:$B),"")</f>
        <v>PWEPL</v>
      </c>
      <c r="I402" s="79" t="str">
        <f>IFERROR(_xlfn.XLOOKUP(Table6[[#This Row],[Affected Feeder ]],'Basic Data'!$A:$A,'Basic Data'!$C:$C),"")</f>
        <v>MSEDCL</v>
      </c>
      <c r="J402" s="295">
        <f>IFERROR(_xlfn.XLOOKUP(Table6[[#This Row],[Affected Feeder ]],'Basic Data'!$A:$A,'Basic Data'!$E:$E),"")</f>
        <v>2.2727272727272728E-2</v>
      </c>
      <c r="K402" s="296" t="s">
        <v>171</v>
      </c>
      <c r="L402" s="297">
        <v>0.5805555555555556</v>
      </c>
      <c r="M402" s="297">
        <v>0.5805555555555556</v>
      </c>
      <c r="N402" s="297">
        <v>0.58402777777777781</v>
      </c>
      <c r="O402" s="19">
        <f>(Table6[[#This Row],[Work Start TimeStamp]]-Table6[[#This Row],[Fault Start TimeStamp]])*24</f>
        <v>0</v>
      </c>
      <c r="P402" s="19">
        <f>(Table6[[#This Row],[Fault Clearance time]]-Table6[[#This Row],[Fault Start TimeStamp]])*24</f>
        <v>8.3333333333333037E-2</v>
      </c>
      <c r="Q402" s="19">
        <f>(Table6[[#This Row],[Fault Clearance time]]-Table6[[#This Row],[Fault Start TimeStamp]])*24</f>
        <v>8.3333333333333037E-2</v>
      </c>
      <c r="R402" s="79" t="s">
        <v>353</v>
      </c>
      <c r="S402" s="79" t="s">
        <v>339</v>
      </c>
      <c r="T402" s="298">
        <f>IFERROR(Table6[[#This Row],[Breakdown Time]]*Table6[[#This Row],[Plant Equivalent Weightage]],"")</f>
        <v>1.8939393939393873E-3</v>
      </c>
      <c r="U402" s="79" t="s">
        <v>416</v>
      </c>
      <c r="W402" s="79">
        <v>12</v>
      </c>
    </row>
    <row r="403" spans="1:23">
      <c r="A403" s="79">
        <f t="shared" si="6"/>
        <v>402</v>
      </c>
      <c r="B403" s="79">
        <f>YEAR(Table6[[#This Row],[Date]])+IF(MONTH(Table6[[#This Row],[Date]])&gt;=4,1,0)</f>
        <v>2026</v>
      </c>
      <c r="C403" s="79">
        <f>YEAR(Table6[[#This Row],[Date]])</f>
        <v>2025</v>
      </c>
      <c r="D403" s="79" t="s">
        <v>344</v>
      </c>
      <c r="E403" s="284">
        <f>Table6[[#This Row],[Date]]-DAY(Table6[[#This Row],[Date]])+1</f>
        <v>45778</v>
      </c>
      <c r="F403" s="285">
        <v>45787</v>
      </c>
      <c r="G403" s="79" t="s">
        <v>78</v>
      </c>
      <c r="H403" s="79" t="str">
        <f>IFERROR(_xlfn.XLOOKUP(Table6[[#This Row],[Affected Feeder ]],'Basic Data'!$A:$A,'Basic Data'!$B:$B),"")</f>
        <v>PWEPL</v>
      </c>
      <c r="I403" s="79" t="str">
        <f>IFERROR(_xlfn.XLOOKUP(Table6[[#This Row],[Affected Feeder ]],'Basic Data'!$A:$A,'Basic Data'!$C:$C),"")</f>
        <v>MSEDCL</v>
      </c>
      <c r="J403" s="295">
        <f>IFERROR(_xlfn.XLOOKUP(Table6[[#This Row],[Affected Feeder ]],'Basic Data'!$A:$A,'Basic Data'!$E:$E),"")</f>
        <v>2.2727272727272728E-2</v>
      </c>
      <c r="K403" s="296" t="s">
        <v>414</v>
      </c>
      <c r="L403" s="297">
        <v>0.31944444444444448</v>
      </c>
      <c r="M403" s="297">
        <v>0.31944444444444448</v>
      </c>
      <c r="N403" s="297">
        <v>0.5805555555555556</v>
      </c>
      <c r="O403" s="19">
        <f>(Table6[[#This Row],[Work Start TimeStamp]]-Table6[[#This Row],[Fault Start TimeStamp]])*24</f>
        <v>0</v>
      </c>
      <c r="P403" s="19">
        <f>(Table6[[#This Row],[Fault Clearance time]]-Table6[[#This Row],[Fault Start TimeStamp]])*24</f>
        <v>6.2666666666666675</v>
      </c>
      <c r="Q403" s="19">
        <f>(Table6[[#This Row],[Fault Clearance time]]-Table6[[#This Row],[Fault Start TimeStamp]])*24</f>
        <v>6.2666666666666675</v>
      </c>
      <c r="R403" s="79" t="s">
        <v>457</v>
      </c>
      <c r="S403" s="79" t="s">
        <v>339</v>
      </c>
      <c r="T403" s="298">
        <f>IFERROR(Table6[[#This Row],[Breakdown Time]]*Table6[[#This Row],[Plant Equivalent Weightage]],"")</f>
        <v>0.14242424242424245</v>
      </c>
      <c r="U403" s="79" t="s">
        <v>416</v>
      </c>
      <c r="W403" s="79">
        <v>924</v>
      </c>
    </row>
    <row r="404" spans="1:23">
      <c r="A404" s="79">
        <f t="shared" si="6"/>
        <v>403</v>
      </c>
      <c r="B404" s="79">
        <f>YEAR(Table6[[#This Row],[Date]])+IF(MONTH(Table6[[#This Row],[Date]])&gt;=4,1,0)</f>
        <v>2026</v>
      </c>
      <c r="C404" s="79">
        <f>YEAR(Table6[[#This Row],[Date]])</f>
        <v>2025</v>
      </c>
      <c r="D404" s="79" t="s">
        <v>344</v>
      </c>
      <c r="E404" s="284">
        <f>Table6[[#This Row],[Date]]-DAY(Table6[[#This Row],[Date]])+1</f>
        <v>45778</v>
      </c>
      <c r="F404" s="285">
        <v>45787</v>
      </c>
      <c r="G404" s="79" t="s">
        <v>78</v>
      </c>
      <c r="H404" s="79" t="str">
        <f>IFERROR(_xlfn.XLOOKUP(Table6[[#This Row],[Affected Feeder ]],'Basic Data'!$A:$A,'Basic Data'!$B:$B),"")</f>
        <v>PWEPL</v>
      </c>
      <c r="I404" s="79" t="str">
        <f>IFERROR(_xlfn.XLOOKUP(Table6[[#This Row],[Affected Feeder ]],'Basic Data'!$A:$A,'Basic Data'!$C:$C),"")</f>
        <v>MSEDCL</v>
      </c>
      <c r="J404" s="295">
        <f>IFERROR(_xlfn.XLOOKUP(Table6[[#This Row],[Affected Feeder ]],'Basic Data'!$A:$A,'Basic Data'!$E:$E),"")</f>
        <v>2.2727272727272728E-2</v>
      </c>
      <c r="K404" s="296" t="s">
        <v>171</v>
      </c>
      <c r="L404" s="297">
        <v>0.5805555555555556</v>
      </c>
      <c r="M404" s="297">
        <v>0.5805555555555556</v>
      </c>
      <c r="N404" s="297">
        <v>0.59375</v>
      </c>
      <c r="O404" s="19">
        <f>(Table6[[#This Row],[Work Start TimeStamp]]-Table6[[#This Row],[Fault Start TimeStamp]])*24</f>
        <v>0</v>
      </c>
      <c r="P404" s="19">
        <f>(Table6[[#This Row],[Fault Clearance time]]-Table6[[#This Row],[Fault Start TimeStamp]])*24</f>
        <v>0.31666666666666554</v>
      </c>
      <c r="Q404" s="19">
        <f>(Table6[[#This Row],[Fault Clearance time]]-Table6[[#This Row],[Fault Start TimeStamp]])*24</f>
        <v>0.31666666666666554</v>
      </c>
      <c r="R404" s="79" t="s">
        <v>353</v>
      </c>
      <c r="S404" s="79" t="s">
        <v>339</v>
      </c>
      <c r="T404" s="298">
        <f>IFERROR(Table6[[#This Row],[Breakdown Time]]*Table6[[#This Row],[Plant Equivalent Weightage]],"")</f>
        <v>7.1969696969696713E-3</v>
      </c>
      <c r="U404" s="79" t="s">
        <v>416</v>
      </c>
      <c r="W404" s="79">
        <v>49</v>
      </c>
    </row>
    <row r="405" spans="1:23">
      <c r="A405" s="79">
        <f t="shared" si="6"/>
        <v>404</v>
      </c>
      <c r="B405" s="79">
        <f>YEAR(Table6[[#This Row],[Date]])+IF(MONTH(Table6[[#This Row],[Date]])&gt;=4,1,0)</f>
        <v>2026</v>
      </c>
      <c r="C405" s="79">
        <f>YEAR(Table6[[#This Row],[Date]])</f>
        <v>2025</v>
      </c>
      <c r="D405" s="79" t="s">
        <v>344</v>
      </c>
      <c r="E405" s="284">
        <f>Table6[[#This Row],[Date]]-DAY(Table6[[#This Row],[Date]])+1</f>
        <v>45778</v>
      </c>
      <c r="F405" s="285">
        <v>45787</v>
      </c>
      <c r="G405" s="79" t="s">
        <v>82</v>
      </c>
      <c r="H405" s="79" t="str">
        <f>IFERROR(_xlfn.XLOOKUP(Table6[[#This Row],[Affected Feeder ]],'Basic Data'!$A:$A,'Basic Data'!$B:$B),"")</f>
        <v>PWEPL</v>
      </c>
      <c r="I405" s="79" t="str">
        <f>IFERROR(_xlfn.XLOOKUP(Table6[[#This Row],[Affected Feeder ]],'Basic Data'!$A:$A,'Basic Data'!$C:$C),"")</f>
        <v>MSEDCL</v>
      </c>
      <c r="J405" s="295">
        <f>IFERROR(_xlfn.XLOOKUP(Table6[[#This Row],[Affected Feeder ]],'Basic Data'!$A:$A,'Basic Data'!$E:$E),"")</f>
        <v>2.2727272727272728E-2</v>
      </c>
      <c r="K405" s="296" t="s">
        <v>414</v>
      </c>
      <c r="L405" s="297">
        <v>0.31944444444444448</v>
      </c>
      <c r="M405" s="297">
        <v>0.31944444444444448</v>
      </c>
      <c r="N405" s="297">
        <v>0.5805555555555556</v>
      </c>
      <c r="O405" s="19">
        <f>(Table6[[#This Row],[Work Start TimeStamp]]-Table6[[#This Row],[Fault Start TimeStamp]])*24</f>
        <v>0</v>
      </c>
      <c r="P405" s="19">
        <f>(Table6[[#This Row],[Fault Clearance time]]-Table6[[#This Row],[Fault Start TimeStamp]])*24</f>
        <v>6.2666666666666675</v>
      </c>
      <c r="Q405" s="19">
        <f>(Table6[[#This Row],[Fault Clearance time]]-Table6[[#This Row],[Fault Start TimeStamp]])*24</f>
        <v>6.2666666666666675</v>
      </c>
      <c r="R405" s="79" t="s">
        <v>457</v>
      </c>
      <c r="S405" s="79" t="s">
        <v>339</v>
      </c>
      <c r="T405" s="298">
        <f>IFERROR(Table6[[#This Row],[Breakdown Time]]*Table6[[#This Row],[Plant Equivalent Weightage]],"")</f>
        <v>0.14242424242424245</v>
      </c>
      <c r="U405" s="79" t="s">
        <v>416</v>
      </c>
      <c r="W405" s="79">
        <v>926</v>
      </c>
    </row>
    <row r="406" spans="1:23">
      <c r="A406" s="79">
        <f t="shared" si="6"/>
        <v>405</v>
      </c>
      <c r="B406" s="79">
        <f>YEAR(Table6[[#This Row],[Date]])+IF(MONTH(Table6[[#This Row],[Date]])&gt;=4,1,0)</f>
        <v>2026</v>
      </c>
      <c r="C406" s="79">
        <f>YEAR(Table6[[#This Row],[Date]])</f>
        <v>2025</v>
      </c>
      <c r="D406" s="79" t="s">
        <v>344</v>
      </c>
      <c r="E406" s="284">
        <f>Table6[[#This Row],[Date]]-DAY(Table6[[#This Row],[Date]])+1</f>
        <v>45778</v>
      </c>
      <c r="F406" s="285">
        <v>45787</v>
      </c>
      <c r="G406" s="79" t="s">
        <v>82</v>
      </c>
      <c r="H406" s="79" t="str">
        <f>IFERROR(_xlfn.XLOOKUP(Table6[[#This Row],[Affected Feeder ]],'Basic Data'!$A:$A,'Basic Data'!$B:$B),"")</f>
        <v>PWEPL</v>
      </c>
      <c r="I406" s="79" t="str">
        <f>IFERROR(_xlfn.XLOOKUP(Table6[[#This Row],[Affected Feeder ]],'Basic Data'!$A:$A,'Basic Data'!$C:$C),"")</f>
        <v>MSEDCL</v>
      </c>
      <c r="J406" s="295">
        <f>IFERROR(_xlfn.XLOOKUP(Table6[[#This Row],[Affected Feeder ]],'Basic Data'!$A:$A,'Basic Data'!$E:$E),"")</f>
        <v>2.2727272727272728E-2</v>
      </c>
      <c r="K406" s="296" t="s">
        <v>171</v>
      </c>
      <c r="L406" s="297">
        <v>0.5805555555555556</v>
      </c>
      <c r="M406" s="297">
        <v>0.5805555555555556</v>
      </c>
      <c r="N406" s="297">
        <v>0.58750000000000002</v>
      </c>
      <c r="O406" s="19">
        <f>(Table6[[#This Row],[Work Start TimeStamp]]-Table6[[#This Row],[Fault Start TimeStamp]])*24</f>
        <v>0</v>
      </c>
      <c r="P406" s="19">
        <f>(Table6[[#This Row],[Fault Clearance time]]-Table6[[#This Row],[Fault Start TimeStamp]])*24</f>
        <v>0.16666666666666607</v>
      </c>
      <c r="Q406" s="19">
        <f>(Table6[[#This Row],[Fault Clearance time]]-Table6[[#This Row],[Fault Start TimeStamp]])*24</f>
        <v>0.16666666666666607</v>
      </c>
      <c r="R406" s="79" t="s">
        <v>353</v>
      </c>
      <c r="S406" s="79" t="s">
        <v>339</v>
      </c>
      <c r="T406" s="298">
        <f>IFERROR(Table6[[#This Row],[Breakdown Time]]*Table6[[#This Row],[Plant Equivalent Weightage]],"")</f>
        <v>3.7878787878787745E-3</v>
      </c>
      <c r="U406" s="79" t="s">
        <v>416</v>
      </c>
      <c r="W406" s="79">
        <v>25</v>
      </c>
    </row>
    <row r="407" spans="1:23">
      <c r="A407" s="79">
        <f t="shared" si="6"/>
        <v>406</v>
      </c>
      <c r="B407" s="79">
        <f>YEAR(Table6[[#This Row],[Date]])+IF(MONTH(Table6[[#This Row],[Date]])&gt;=4,1,0)</f>
        <v>2026</v>
      </c>
      <c r="C407" s="79">
        <f>YEAR(Table6[[#This Row],[Date]])</f>
        <v>2025</v>
      </c>
      <c r="D407" s="79" t="s">
        <v>344</v>
      </c>
      <c r="E407" s="284">
        <f>Table6[[#This Row],[Date]]-DAY(Table6[[#This Row],[Date]])+1</f>
        <v>45778</v>
      </c>
      <c r="F407" s="285">
        <v>45787</v>
      </c>
      <c r="G407" s="79" t="s">
        <v>93</v>
      </c>
      <c r="H407" s="79" t="str">
        <f>IFERROR(_xlfn.XLOOKUP(Table6[[#This Row],[Affected Feeder ]],'Basic Data'!$A:$A,'Basic Data'!$B:$B),"")</f>
        <v>PWEPL</v>
      </c>
      <c r="I407" s="79" t="str">
        <f>IFERROR(_xlfn.XLOOKUP(Table6[[#This Row],[Affected Feeder ]],'Basic Data'!$A:$A,'Basic Data'!$C:$C),"")</f>
        <v>MSEDCL</v>
      </c>
      <c r="J407" s="295">
        <f>IFERROR(_xlfn.XLOOKUP(Table6[[#This Row],[Affected Feeder ]],'Basic Data'!$A:$A,'Basic Data'!$E:$E),"")</f>
        <v>2.2727272727272728E-2</v>
      </c>
      <c r="K407" s="296" t="s">
        <v>414</v>
      </c>
      <c r="L407" s="297">
        <v>0.31944444444444448</v>
      </c>
      <c r="M407" s="297">
        <v>0.31944444444444448</v>
      </c>
      <c r="N407" s="297">
        <v>0.5805555555555556</v>
      </c>
      <c r="O407" s="19">
        <f>(Table6[[#This Row],[Work Start TimeStamp]]-Table6[[#This Row],[Fault Start TimeStamp]])*24</f>
        <v>0</v>
      </c>
      <c r="P407" s="19">
        <f>(Table6[[#This Row],[Fault Clearance time]]-Table6[[#This Row],[Fault Start TimeStamp]])*24</f>
        <v>6.2666666666666675</v>
      </c>
      <c r="Q407" s="19">
        <f>(Table6[[#This Row],[Fault Clearance time]]-Table6[[#This Row],[Fault Start TimeStamp]])*24</f>
        <v>6.2666666666666675</v>
      </c>
      <c r="R407" s="79" t="s">
        <v>457</v>
      </c>
      <c r="S407" s="79" t="s">
        <v>339</v>
      </c>
      <c r="T407" s="298">
        <f>IFERROR(Table6[[#This Row],[Breakdown Time]]*Table6[[#This Row],[Plant Equivalent Weightage]],"")</f>
        <v>0.14242424242424245</v>
      </c>
      <c r="U407" s="79" t="s">
        <v>416</v>
      </c>
      <c r="W407" s="79">
        <v>926</v>
      </c>
    </row>
    <row r="408" spans="1:23">
      <c r="A408" s="79">
        <f t="shared" si="6"/>
        <v>407</v>
      </c>
      <c r="B408" s="79">
        <f>YEAR(Table6[[#This Row],[Date]])+IF(MONTH(Table6[[#This Row],[Date]])&gt;=4,1,0)</f>
        <v>2026</v>
      </c>
      <c r="C408" s="79">
        <f>YEAR(Table6[[#This Row],[Date]])</f>
        <v>2025</v>
      </c>
      <c r="D408" s="79" t="s">
        <v>344</v>
      </c>
      <c r="E408" s="284">
        <f>Table6[[#This Row],[Date]]-DAY(Table6[[#This Row],[Date]])+1</f>
        <v>45778</v>
      </c>
      <c r="F408" s="285">
        <v>45787</v>
      </c>
      <c r="G408" s="79" t="s">
        <v>93</v>
      </c>
      <c r="H408" s="79" t="str">
        <f>IFERROR(_xlfn.XLOOKUP(Table6[[#This Row],[Affected Feeder ]],'Basic Data'!$A:$A,'Basic Data'!$B:$B),"")</f>
        <v>PWEPL</v>
      </c>
      <c r="I408" s="79" t="str">
        <f>IFERROR(_xlfn.XLOOKUP(Table6[[#This Row],[Affected Feeder ]],'Basic Data'!$A:$A,'Basic Data'!$C:$C),"")</f>
        <v>MSEDCL</v>
      </c>
      <c r="J408" s="295">
        <f>IFERROR(_xlfn.XLOOKUP(Table6[[#This Row],[Affected Feeder ]],'Basic Data'!$A:$A,'Basic Data'!$E:$E),"")</f>
        <v>2.2727272727272728E-2</v>
      </c>
      <c r="K408" s="296" t="s">
        <v>171</v>
      </c>
      <c r="L408" s="297">
        <v>0.5805555555555556</v>
      </c>
      <c r="M408" s="297">
        <v>0.5805555555555556</v>
      </c>
      <c r="N408" s="297">
        <v>0.58819444444444446</v>
      </c>
      <c r="O408" s="19">
        <f>(Table6[[#This Row],[Work Start TimeStamp]]-Table6[[#This Row],[Fault Start TimeStamp]])*24</f>
        <v>0</v>
      </c>
      <c r="P408" s="19">
        <f>(Table6[[#This Row],[Fault Clearance time]]-Table6[[#This Row],[Fault Start TimeStamp]])*24</f>
        <v>0.18333333333333268</v>
      </c>
      <c r="Q408" s="19">
        <f>(Table6[[#This Row],[Fault Clearance time]]-Table6[[#This Row],[Fault Start TimeStamp]])*24</f>
        <v>0.18333333333333268</v>
      </c>
      <c r="R408" s="79" t="s">
        <v>353</v>
      </c>
      <c r="S408" s="79" t="s">
        <v>339</v>
      </c>
      <c r="T408" s="298">
        <f>IFERROR(Table6[[#This Row],[Breakdown Time]]*Table6[[#This Row],[Plant Equivalent Weightage]],"")</f>
        <v>4.1666666666666519E-3</v>
      </c>
      <c r="U408" s="79" t="s">
        <v>416</v>
      </c>
      <c r="W408" s="79">
        <v>28</v>
      </c>
    </row>
    <row r="409" spans="1:23">
      <c r="A409" s="79">
        <f t="shared" si="6"/>
        <v>408</v>
      </c>
      <c r="B409" s="79">
        <f>YEAR(Table6[[#This Row],[Date]])+IF(MONTH(Table6[[#This Row],[Date]])&gt;=4,1,0)</f>
        <v>2026</v>
      </c>
      <c r="C409" s="79">
        <f>YEAR(Table6[[#This Row],[Date]])</f>
        <v>2025</v>
      </c>
      <c r="D409" s="79" t="s">
        <v>344</v>
      </c>
      <c r="E409" s="284">
        <f>Table6[[#This Row],[Date]]-DAY(Table6[[#This Row],[Date]])+1</f>
        <v>45778</v>
      </c>
      <c r="F409" s="285">
        <v>45787</v>
      </c>
      <c r="G409" s="79" t="s">
        <v>102</v>
      </c>
      <c r="H409" s="79" t="str">
        <f>IFERROR(_xlfn.XLOOKUP(Table6[[#This Row],[Affected Feeder ]],'Basic Data'!$A:$A,'Basic Data'!$B:$B),"")</f>
        <v>PWEPL</v>
      </c>
      <c r="I409" s="79" t="str">
        <f>IFERROR(_xlfn.XLOOKUP(Table6[[#This Row],[Affected Feeder ]],'Basic Data'!$A:$A,'Basic Data'!$C:$C),"")</f>
        <v>MSEDCL</v>
      </c>
      <c r="J409" s="295">
        <f>IFERROR(_xlfn.XLOOKUP(Table6[[#This Row],[Affected Feeder ]],'Basic Data'!$A:$A,'Basic Data'!$E:$E),"")</f>
        <v>2.2727272727272728E-2</v>
      </c>
      <c r="K409" s="296" t="s">
        <v>414</v>
      </c>
      <c r="L409" s="297">
        <v>0.31944444444444448</v>
      </c>
      <c r="M409" s="297">
        <v>0.31944444444444448</v>
      </c>
      <c r="N409" s="297">
        <v>0.5805555555555556</v>
      </c>
      <c r="O409" s="19">
        <f>(Table6[[#This Row],[Work Start TimeStamp]]-Table6[[#This Row],[Fault Start TimeStamp]])*24</f>
        <v>0</v>
      </c>
      <c r="P409" s="19">
        <f>(Table6[[#This Row],[Fault Clearance time]]-Table6[[#This Row],[Fault Start TimeStamp]])*24</f>
        <v>6.2666666666666675</v>
      </c>
      <c r="Q409" s="19">
        <f>(Table6[[#This Row],[Fault Clearance time]]-Table6[[#This Row],[Fault Start TimeStamp]])*24</f>
        <v>6.2666666666666675</v>
      </c>
      <c r="R409" s="79" t="s">
        <v>457</v>
      </c>
      <c r="S409" s="79" t="s">
        <v>339</v>
      </c>
      <c r="T409" s="298">
        <f>IFERROR(Table6[[#This Row],[Breakdown Time]]*Table6[[#This Row],[Plant Equivalent Weightage]],"")</f>
        <v>0.14242424242424245</v>
      </c>
      <c r="U409" s="79" t="s">
        <v>416</v>
      </c>
      <c r="W409" s="79">
        <v>936</v>
      </c>
    </row>
    <row r="410" spans="1:23">
      <c r="A410" s="79">
        <f t="shared" si="6"/>
        <v>409</v>
      </c>
      <c r="B410" s="79">
        <f>YEAR(Table6[[#This Row],[Date]])+IF(MONTH(Table6[[#This Row],[Date]])&gt;=4,1,0)</f>
        <v>2026</v>
      </c>
      <c r="C410" s="79">
        <f>YEAR(Table6[[#This Row],[Date]])</f>
        <v>2025</v>
      </c>
      <c r="D410" s="79" t="s">
        <v>344</v>
      </c>
      <c r="E410" s="284">
        <f>Table6[[#This Row],[Date]]-DAY(Table6[[#This Row],[Date]])+1</f>
        <v>45778</v>
      </c>
      <c r="F410" s="285">
        <v>45787</v>
      </c>
      <c r="G410" s="79" t="s">
        <v>102</v>
      </c>
      <c r="H410" s="79" t="str">
        <f>IFERROR(_xlfn.XLOOKUP(Table6[[#This Row],[Affected Feeder ]],'Basic Data'!$A:$A,'Basic Data'!$B:$B),"")</f>
        <v>PWEPL</v>
      </c>
      <c r="I410" s="79" t="str">
        <f>IFERROR(_xlfn.XLOOKUP(Table6[[#This Row],[Affected Feeder ]],'Basic Data'!$A:$A,'Basic Data'!$C:$C),"")</f>
        <v>MSEDCL</v>
      </c>
      <c r="J410" s="295">
        <f>IFERROR(_xlfn.XLOOKUP(Table6[[#This Row],[Affected Feeder ]],'Basic Data'!$A:$A,'Basic Data'!$E:$E),"")</f>
        <v>2.2727272727272728E-2</v>
      </c>
      <c r="K410" s="296" t="s">
        <v>171</v>
      </c>
      <c r="L410" s="297">
        <v>0.5805555555555556</v>
      </c>
      <c r="M410" s="297">
        <v>0.5805555555555556</v>
      </c>
      <c r="N410" s="297">
        <v>0.58680555555555558</v>
      </c>
      <c r="O410" s="19">
        <f>(Table6[[#This Row],[Work Start TimeStamp]]-Table6[[#This Row],[Fault Start TimeStamp]])*24</f>
        <v>0</v>
      </c>
      <c r="P410" s="19">
        <f>(Table6[[#This Row],[Fault Clearance time]]-Table6[[#This Row],[Fault Start TimeStamp]])*24</f>
        <v>0.14999999999999947</v>
      </c>
      <c r="Q410" s="19">
        <f>(Table6[[#This Row],[Fault Clearance time]]-Table6[[#This Row],[Fault Start TimeStamp]])*24</f>
        <v>0.14999999999999947</v>
      </c>
      <c r="R410" s="79" t="s">
        <v>353</v>
      </c>
      <c r="S410" s="79" t="s">
        <v>339</v>
      </c>
      <c r="T410" s="298">
        <f>IFERROR(Table6[[#This Row],[Breakdown Time]]*Table6[[#This Row],[Plant Equivalent Weightage]],"")</f>
        <v>3.4090909090908972E-3</v>
      </c>
      <c r="U410" s="79" t="s">
        <v>416</v>
      </c>
      <c r="W410" s="79">
        <v>23</v>
      </c>
    </row>
    <row r="411" spans="1:23">
      <c r="A411" s="79">
        <f t="shared" si="6"/>
        <v>410</v>
      </c>
      <c r="B411" s="79">
        <f>YEAR(Table6[[#This Row],[Date]])+IF(MONTH(Table6[[#This Row],[Date]])&gt;=4,1,0)</f>
        <v>2026</v>
      </c>
      <c r="C411" s="79">
        <f>YEAR(Table6[[#This Row],[Date]])</f>
        <v>2025</v>
      </c>
      <c r="D411" s="79" t="s">
        <v>344</v>
      </c>
      <c r="E411" s="284">
        <f>Table6[[#This Row],[Date]]-DAY(Table6[[#This Row],[Date]])+1</f>
        <v>45778</v>
      </c>
      <c r="F411" s="285">
        <v>45787</v>
      </c>
      <c r="G411" s="79" t="s">
        <v>119</v>
      </c>
      <c r="H411" s="79" t="str">
        <f>IFERROR(_xlfn.XLOOKUP(Table6[[#This Row],[Affected Feeder ]],'Basic Data'!$A:$A,'Basic Data'!$B:$B),"")</f>
        <v>PWEPL</v>
      </c>
      <c r="I411" s="79" t="str">
        <f>IFERROR(_xlfn.XLOOKUP(Table6[[#This Row],[Affected Feeder ]],'Basic Data'!$A:$A,'Basic Data'!$C:$C),"")</f>
        <v>MSEDCL</v>
      </c>
      <c r="J411" s="295">
        <f>IFERROR(_xlfn.XLOOKUP(Table6[[#This Row],[Affected Feeder ]],'Basic Data'!$A:$A,'Basic Data'!$E:$E),"")</f>
        <v>2.2727272727272728E-2</v>
      </c>
      <c r="K411" s="296" t="s">
        <v>414</v>
      </c>
      <c r="L411" s="297">
        <v>0.31944444444444448</v>
      </c>
      <c r="M411" s="297">
        <v>0.31944444444444448</v>
      </c>
      <c r="N411" s="297">
        <v>0.5805555555555556</v>
      </c>
      <c r="O411" s="19">
        <f>(Table6[[#This Row],[Work Start TimeStamp]]-Table6[[#This Row],[Fault Start TimeStamp]])*24</f>
        <v>0</v>
      </c>
      <c r="P411" s="19">
        <f>(Table6[[#This Row],[Fault Clearance time]]-Table6[[#This Row],[Fault Start TimeStamp]])*24</f>
        <v>6.2666666666666675</v>
      </c>
      <c r="Q411" s="19">
        <f>(Table6[[#This Row],[Fault Clearance time]]-Table6[[#This Row],[Fault Start TimeStamp]])*24</f>
        <v>6.2666666666666675</v>
      </c>
      <c r="R411" s="79" t="s">
        <v>457</v>
      </c>
      <c r="S411" s="79" t="s">
        <v>339</v>
      </c>
      <c r="T411" s="298">
        <f>IFERROR(Table6[[#This Row],[Breakdown Time]]*Table6[[#This Row],[Plant Equivalent Weightage]],"")</f>
        <v>0.14242424242424245</v>
      </c>
      <c r="U411" s="79" t="s">
        <v>416</v>
      </c>
      <c r="W411" s="79">
        <v>926</v>
      </c>
    </row>
    <row r="412" spans="1:23">
      <c r="A412" s="79">
        <f t="shared" si="6"/>
        <v>411</v>
      </c>
      <c r="B412" s="79">
        <f>YEAR(Table6[[#This Row],[Date]])+IF(MONTH(Table6[[#This Row],[Date]])&gt;=4,1,0)</f>
        <v>2026</v>
      </c>
      <c r="C412" s="79">
        <f>YEAR(Table6[[#This Row],[Date]])</f>
        <v>2025</v>
      </c>
      <c r="D412" s="79" t="s">
        <v>344</v>
      </c>
      <c r="E412" s="284">
        <f>Table6[[#This Row],[Date]]-DAY(Table6[[#This Row],[Date]])+1</f>
        <v>45778</v>
      </c>
      <c r="F412" s="285">
        <v>45787</v>
      </c>
      <c r="G412" s="79" t="s">
        <v>119</v>
      </c>
      <c r="H412" s="79" t="str">
        <f>IFERROR(_xlfn.XLOOKUP(Table6[[#This Row],[Affected Feeder ]],'Basic Data'!$A:$A,'Basic Data'!$B:$B),"")</f>
        <v>PWEPL</v>
      </c>
      <c r="I412" s="79" t="str">
        <f>IFERROR(_xlfn.XLOOKUP(Table6[[#This Row],[Affected Feeder ]],'Basic Data'!$A:$A,'Basic Data'!$C:$C),"")</f>
        <v>MSEDCL</v>
      </c>
      <c r="J412" s="295">
        <f>IFERROR(_xlfn.XLOOKUP(Table6[[#This Row],[Affected Feeder ]],'Basic Data'!$A:$A,'Basic Data'!$E:$E),"")</f>
        <v>2.2727272727272728E-2</v>
      </c>
      <c r="K412" s="296" t="s">
        <v>171</v>
      </c>
      <c r="L412" s="297">
        <v>0.5805555555555556</v>
      </c>
      <c r="M412" s="297">
        <v>0.5805555555555556</v>
      </c>
      <c r="N412" s="297">
        <v>0.58819444444444446</v>
      </c>
      <c r="O412" s="19">
        <f>(Table6[[#This Row],[Work Start TimeStamp]]-Table6[[#This Row],[Fault Start TimeStamp]])*24</f>
        <v>0</v>
      </c>
      <c r="P412" s="19">
        <f>(Table6[[#This Row],[Fault Clearance time]]-Table6[[#This Row],[Fault Start TimeStamp]])*24</f>
        <v>0.18333333333333268</v>
      </c>
      <c r="Q412" s="19">
        <f>(Table6[[#This Row],[Fault Clearance time]]-Table6[[#This Row],[Fault Start TimeStamp]])*24</f>
        <v>0.18333333333333268</v>
      </c>
      <c r="R412" s="79" t="s">
        <v>353</v>
      </c>
      <c r="S412" s="79" t="s">
        <v>339</v>
      </c>
      <c r="T412" s="298">
        <f>IFERROR(Table6[[#This Row],[Breakdown Time]]*Table6[[#This Row],[Plant Equivalent Weightage]],"")</f>
        <v>4.1666666666666519E-3</v>
      </c>
      <c r="U412" s="79" t="s">
        <v>416</v>
      </c>
      <c r="W412" s="79">
        <v>28</v>
      </c>
    </row>
    <row r="413" spans="1:23">
      <c r="A413" s="79">
        <f t="shared" si="6"/>
        <v>412</v>
      </c>
      <c r="B413" s="79">
        <f>YEAR(Table6[[#This Row],[Date]])+IF(MONTH(Table6[[#This Row],[Date]])&gt;=4,1,0)</f>
        <v>2026</v>
      </c>
      <c r="C413" s="79">
        <f>YEAR(Table6[[#This Row],[Date]])</f>
        <v>2025</v>
      </c>
      <c r="D413" s="79" t="s">
        <v>344</v>
      </c>
      <c r="E413" s="284">
        <f>Table6[[#This Row],[Date]]-DAY(Table6[[#This Row],[Date]])+1</f>
        <v>45778</v>
      </c>
      <c r="F413" s="285">
        <v>45789</v>
      </c>
      <c r="G413" s="79" t="s">
        <v>103</v>
      </c>
      <c r="H413" s="79" t="str">
        <f>IFERROR(_xlfn.XLOOKUP(Table6[[#This Row],[Affected Feeder ]],'Basic Data'!$A:$A,'Basic Data'!$B:$B),"")</f>
        <v>PWEPL</v>
      </c>
      <c r="I413" s="79" t="str">
        <f>IFERROR(_xlfn.XLOOKUP(Table6[[#This Row],[Affected Feeder ]],'Basic Data'!$A:$A,'Basic Data'!$C:$C),"")</f>
        <v>MSEDCL</v>
      </c>
      <c r="J413" s="295">
        <f>IFERROR(_xlfn.XLOOKUP(Table6[[#This Row],[Affected Feeder ]],'Basic Data'!$A:$A,'Basic Data'!$E:$E),"")</f>
        <v>2.2727272727272728E-2</v>
      </c>
      <c r="K413" s="296" t="s">
        <v>414</v>
      </c>
      <c r="L413" s="297">
        <v>0.3444444444444445</v>
      </c>
      <c r="M413" s="297">
        <v>0.3444444444444445</v>
      </c>
      <c r="N413" s="297">
        <v>0.59305555555555556</v>
      </c>
      <c r="O413" s="19">
        <f>(Table6[[#This Row],[Work Start TimeStamp]]-Table6[[#This Row],[Fault Start TimeStamp]])*24</f>
        <v>0</v>
      </c>
      <c r="P413" s="19">
        <f>(Table6[[#This Row],[Fault Clearance time]]-Table6[[#This Row],[Fault Start TimeStamp]])*24</f>
        <v>5.966666666666665</v>
      </c>
      <c r="Q413" s="19">
        <f>(Table6[[#This Row],[Fault Clearance time]]-Table6[[#This Row],[Fault Start TimeStamp]])*24</f>
        <v>5.966666666666665</v>
      </c>
      <c r="R413" s="79" t="s">
        <v>457</v>
      </c>
      <c r="S413" s="79" t="s">
        <v>339</v>
      </c>
      <c r="T413" s="298">
        <f>IFERROR(Table6[[#This Row],[Breakdown Time]]*Table6[[#This Row],[Plant Equivalent Weightage]],"")</f>
        <v>0.13560606060606056</v>
      </c>
      <c r="U413" s="79" t="s">
        <v>416</v>
      </c>
      <c r="W413" s="79">
        <v>519</v>
      </c>
    </row>
    <row r="414" spans="1:23">
      <c r="A414" s="79">
        <f t="shared" si="6"/>
        <v>413</v>
      </c>
      <c r="B414" s="79">
        <f>YEAR(Table6[[#This Row],[Date]])+IF(MONTH(Table6[[#This Row],[Date]])&gt;=4,1,0)</f>
        <v>2026</v>
      </c>
      <c r="C414" s="79">
        <f>YEAR(Table6[[#This Row],[Date]])</f>
        <v>2025</v>
      </c>
      <c r="D414" s="79" t="s">
        <v>344</v>
      </c>
      <c r="E414" s="284">
        <f>Table6[[#This Row],[Date]]-DAY(Table6[[#This Row],[Date]])+1</f>
        <v>45778</v>
      </c>
      <c r="F414" s="285">
        <v>45789</v>
      </c>
      <c r="G414" s="79" t="s">
        <v>103</v>
      </c>
      <c r="H414" s="79" t="str">
        <f>IFERROR(_xlfn.XLOOKUP(Table6[[#This Row],[Affected Feeder ]],'Basic Data'!$A:$A,'Basic Data'!$B:$B),"")</f>
        <v>PWEPL</v>
      </c>
      <c r="I414" s="79" t="str">
        <f>IFERROR(_xlfn.XLOOKUP(Table6[[#This Row],[Affected Feeder ]],'Basic Data'!$A:$A,'Basic Data'!$C:$C),"")</f>
        <v>MSEDCL</v>
      </c>
      <c r="J414" s="295">
        <f>IFERROR(_xlfn.XLOOKUP(Table6[[#This Row],[Affected Feeder ]],'Basic Data'!$A:$A,'Basic Data'!$E:$E),"")</f>
        <v>2.2727272727272728E-2</v>
      </c>
      <c r="K414" s="296" t="s">
        <v>171</v>
      </c>
      <c r="L414" s="297">
        <v>0.59305555555555556</v>
      </c>
      <c r="M414" s="297">
        <v>0.59305555555555556</v>
      </c>
      <c r="N414" s="297">
        <v>0.60069444444444442</v>
      </c>
      <c r="O414" s="19">
        <f>(Table6[[#This Row],[Work Start TimeStamp]]-Table6[[#This Row],[Fault Start TimeStamp]])*24</f>
        <v>0</v>
      </c>
      <c r="P414" s="19">
        <f>(Table6[[#This Row],[Fault Clearance time]]-Table6[[#This Row],[Fault Start TimeStamp]])*24</f>
        <v>0.18333333333333268</v>
      </c>
      <c r="Q414" s="19">
        <f>(Table6[[#This Row],[Fault Clearance time]]-Table6[[#This Row],[Fault Start TimeStamp]])*24</f>
        <v>0.18333333333333268</v>
      </c>
      <c r="R414" s="79" t="s">
        <v>353</v>
      </c>
      <c r="S414" s="79" t="s">
        <v>339</v>
      </c>
      <c r="T414" s="298">
        <f>IFERROR(Table6[[#This Row],[Breakdown Time]]*Table6[[#This Row],[Plant Equivalent Weightage]],"")</f>
        <v>4.1666666666666519E-3</v>
      </c>
      <c r="U414" s="79" t="s">
        <v>416</v>
      </c>
      <c r="W414" s="79">
        <v>16</v>
      </c>
    </row>
    <row r="415" spans="1:23">
      <c r="A415" s="79">
        <f t="shared" si="6"/>
        <v>414</v>
      </c>
      <c r="B415" s="79">
        <f>YEAR(Table6[[#This Row],[Date]])+IF(MONTH(Table6[[#This Row],[Date]])&gt;=4,1,0)</f>
        <v>2026</v>
      </c>
      <c r="C415" s="79">
        <f>YEAR(Table6[[#This Row],[Date]])</f>
        <v>2025</v>
      </c>
      <c r="D415" s="79" t="s">
        <v>344</v>
      </c>
      <c r="E415" s="284">
        <f>Table6[[#This Row],[Date]]-DAY(Table6[[#This Row],[Date]])+1</f>
        <v>45778</v>
      </c>
      <c r="F415" s="285">
        <v>45789</v>
      </c>
      <c r="G415" s="79" t="s">
        <v>105</v>
      </c>
      <c r="H415" s="79" t="str">
        <f>IFERROR(_xlfn.XLOOKUP(Table6[[#This Row],[Affected Feeder ]],'Basic Data'!$A:$A,'Basic Data'!$B:$B),"")</f>
        <v>PWEPL</v>
      </c>
      <c r="I415" s="79" t="str">
        <f>IFERROR(_xlfn.XLOOKUP(Table6[[#This Row],[Affected Feeder ]],'Basic Data'!$A:$A,'Basic Data'!$C:$C),"")</f>
        <v>MSEDCL</v>
      </c>
      <c r="J415" s="295">
        <f>IFERROR(_xlfn.XLOOKUP(Table6[[#This Row],[Affected Feeder ]],'Basic Data'!$A:$A,'Basic Data'!$E:$E),"")</f>
        <v>2.2727272727272728E-2</v>
      </c>
      <c r="K415" s="296" t="s">
        <v>414</v>
      </c>
      <c r="L415" s="297">
        <v>0.3444444444444445</v>
      </c>
      <c r="M415" s="297">
        <v>0.3444444444444445</v>
      </c>
      <c r="N415" s="297">
        <v>0.59305555555555556</v>
      </c>
      <c r="O415" s="19">
        <f>(Table6[[#This Row],[Work Start TimeStamp]]-Table6[[#This Row],[Fault Start TimeStamp]])*24</f>
        <v>0</v>
      </c>
      <c r="P415" s="19">
        <f>(Table6[[#This Row],[Fault Clearance time]]-Table6[[#This Row],[Fault Start TimeStamp]])*24</f>
        <v>5.966666666666665</v>
      </c>
      <c r="Q415" s="19">
        <f>(Table6[[#This Row],[Fault Clearance time]]-Table6[[#This Row],[Fault Start TimeStamp]])*24</f>
        <v>5.966666666666665</v>
      </c>
      <c r="R415" s="79" t="s">
        <v>457</v>
      </c>
      <c r="S415" s="79" t="s">
        <v>339</v>
      </c>
      <c r="T415" s="298">
        <f>IFERROR(Table6[[#This Row],[Breakdown Time]]*Table6[[#This Row],[Plant Equivalent Weightage]],"")</f>
        <v>0.13560606060606056</v>
      </c>
      <c r="U415" s="79" t="s">
        <v>416</v>
      </c>
      <c r="W415" s="79">
        <v>518</v>
      </c>
    </row>
    <row r="416" spans="1:23">
      <c r="A416" s="79">
        <f t="shared" si="6"/>
        <v>415</v>
      </c>
      <c r="B416" s="79">
        <f>YEAR(Table6[[#This Row],[Date]])+IF(MONTH(Table6[[#This Row],[Date]])&gt;=4,1,0)</f>
        <v>2026</v>
      </c>
      <c r="C416" s="79">
        <f>YEAR(Table6[[#This Row],[Date]])</f>
        <v>2025</v>
      </c>
      <c r="D416" s="79" t="s">
        <v>344</v>
      </c>
      <c r="E416" s="284">
        <f>Table6[[#This Row],[Date]]-DAY(Table6[[#This Row],[Date]])+1</f>
        <v>45778</v>
      </c>
      <c r="F416" s="285">
        <v>45789</v>
      </c>
      <c r="G416" s="79" t="s">
        <v>105</v>
      </c>
      <c r="H416" s="79" t="str">
        <f>IFERROR(_xlfn.XLOOKUP(Table6[[#This Row],[Affected Feeder ]],'Basic Data'!$A:$A,'Basic Data'!$B:$B),"")</f>
        <v>PWEPL</v>
      </c>
      <c r="I416" s="79" t="str">
        <f>IFERROR(_xlfn.XLOOKUP(Table6[[#This Row],[Affected Feeder ]],'Basic Data'!$A:$A,'Basic Data'!$C:$C),"")</f>
        <v>MSEDCL</v>
      </c>
      <c r="J416" s="295">
        <f>IFERROR(_xlfn.XLOOKUP(Table6[[#This Row],[Affected Feeder ]],'Basic Data'!$A:$A,'Basic Data'!$E:$E),"")</f>
        <v>2.2727272727272728E-2</v>
      </c>
      <c r="K416" s="296" t="s">
        <v>171</v>
      </c>
      <c r="L416" s="297">
        <v>0.59305555555555556</v>
      </c>
      <c r="M416" s="297">
        <v>0.59305555555555556</v>
      </c>
      <c r="N416" s="297">
        <v>0.6069444444444444</v>
      </c>
      <c r="O416" s="19">
        <f>(Table6[[#This Row],[Work Start TimeStamp]]-Table6[[#This Row],[Fault Start TimeStamp]])*24</f>
        <v>0</v>
      </c>
      <c r="P416" s="19">
        <f>(Table6[[#This Row],[Fault Clearance time]]-Table6[[#This Row],[Fault Start TimeStamp]])*24</f>
        <v>0.33333333333333215</v>
      </c>
      <c r="Q416" s="19">
        <f>(Table6[[#This Row],[Fault Clearance time]]-Table6[[#This Row],[Fault Start TimeStamp]])*24</f>
        <v>0.33333333333333215</v>
      </c>
      <c r="R416" s="79" t="s">
        <v>353</v>
      </c>
      <c r="S416" s="79" t="s">
        <v>339</v>
      </c>
      <c r="T416" s="298">
        <f>IFERROR(Table6[[#This Row],[Breakdown Time]]*Table6[[#This Row],[Plant Equivalent Weightage]],"")</f>
        <v>7.5757575757575491E-3</v>
      </c>
      <c r="U416" s="79" t="s">
        <v>416</v>
      </c>
      <c r="W416" s="79">
        <v>30</v>
      </c>
    </row>
    <row r="417" spans="1:23">
      <c r="A417" s="79">
        <f t="shared" si="6"/>
        <v>416</v>
      </c>
      <c r="B417" s="79">
        <f>YEAR(Table6[[#This Row],[Date]])+IF(MONTH(Table6[[#This Row],[Date]])&gt;=4,1,0)</f>
        <v>2026</v>
      </c>
      <c r="C417" s="79">
        <f>YEAR(Table6[[#This Row],[Date]])</f>
        <v>2025</v>
      </c>
      <c r="D417" s="79" t="s">
        <v>344</v>
      </c>
      <c r="E417" s="284">
        <f>Table6[[#This Row],[Date]]-DAY(Table6[[#This Row],[Date]])+1</f>
        <v>45778</v>
      </c>
      <c r="F417" s="285">
        <v>45789</v>
      </c>
      <c r="G417" s="79" t="s">
        <v>115</v>
      </c>
      <c r="H417" s="79" t="str">
        <f>IFERROR(_xlfn.XLOOKUP(Table6[[#This Row],[Affected Feeder ]],'Basic Data'!$A:$A,'Basic Data'!$B:$B),"")</f>
        <v>PWEPL</v>
      </c>
      <c r="I417" s="79" t="str">
        <f>IFERROR(_xlfn.XLOOKUP(Table6[[#This Row],[Affected Feeder ]],'Basic Data'!$A:$A,'Basic Data'!$C:$C),"")</f>
        <v>MSEDCL</v>
      </c>
      <c r="J417" s="295">
        <f>IFERROR(_xlfn.XLOOKUP(Table6[[#This Row],[Affected Feeder ]],'Basic Data'!$A:$A,'Basic Data'!$E:$E),"")</f>
        <v>2.2727272727272728E-2</v>
      </c>
      <c r="K417" s="296" t="s">
        <v>414</v>
      </c>
      <c r="L417" s="297">
        <v>0.3444444444444445</v>
      </c>
      <c r="M417" s="297">
        <v>0.3444444444444445</v>
      </c>
      <c r="N417" s="297">
        <v>0.59305555555555556</v>
      </c>
      <c r="O417" s="19">
        <f>(Table6[[#This Row],[Work Start TimeStamp]]-Table6[[#This Row],[Fault Start TimeStamp]])*24</f>
        <v>0</v>
      </c>
      <c r="P417" s="19">
        <f>(Table6[[#This Row],[Fault Clearance time]]-Table6[[#This Row],[Fault Start TimeStamp]])*24</f>
        <v>5.966666666666665</v>
      </c>
      <c r="Q417" s="19">
        <f>(Table6[[#This Row],[Fault Clearance time]]-Table6[[#This Row],[Fault Start TimeStamp]])*24</f>
        <v>5.966666666666665</v>
      </c>
      <c r="R417" s="79" t="s">
        <v>457</v>
      </c>
      <c r="S417" s="79" t="s">
        <v>339</v>
      </c>
      <c r="T417" s="298">
        <f>IFERROR(Table6[[#This Row],[Breakdown Time]]*Table6[[#This Row],[Plant Equivalent Weightage]],"")</f>
        <v>0.13560606060606056</v>
      </c>
      <c r="U417" s="79" t="s">
        <v>416</v>
      </c>
      <c r="W417" s="79">
        <v>518</v>
      </c>
    </row>
    <row r="418" spans="1:23">
      <c r="A418" s="79">
        <f t="shared" si="6"/>
        <v>417</v>
      </c>
      <c r="B418" s="79">
        <f>YEAR(Table6[[#This Row],[Date]])+IF(MONTH(Table6[[#This Row],[Date]])&gt;=4,1,0)</f>
        <v>2026</v>
      </c>
      <c r="C418" s="79">
        <f>YEAR(Table6[[#This Row],[Date]])</f>
        <v>2025</v>
      </c>
      <c r="D418" s="79" t="s">
        <v>344</v>
      </c>
      <c r="E418" s="284">
        <f>Table6[[#This Row],[Date]]-DAY(Table6[[#This Row],[Date]])+1</f>
        <v>45778</v>
      </c>
      <c r="F418" s="285">
        <v>45789</v>
      </c>
      <c r="G418" s="79" t="s">
        <v>115</v>
      </c>
      <c r="H418" s="79" t="str">
        <f>IFERROR(_xlfn.XLOOKUP(Table6[[#This Row],[Affected Feeder ]],'Basic Data'!$A:$A,'Basic Data'!$B:$B),"")</f>
        <v>PWEPL</v>
      </c>
      <c r="I418" s="79" t="str">
        <f>IFERROR(_xlfn.XLOOKUP(Table6[[#This Row],[Affected Feeder ]],'Basic Data'!$A:$A,'Basic Data'!$C:$C),"")</f>
        <v>MSEDCL</v>
      </c>
      <c r="J418" s="295">
        <f>IFERROR(_xlfn.XLOOKUP(Table6[[#This Row],[Affected Feeder ]],'Basic Data'!$A:$A,'Basic Data'!$E:$E),"")</f>
        <v>2.2727272727272728E-2</v>
      </c>
      <c r="K418" s="296" t="s">
        <v>171</v>
      </c>
      <c r="L418" s="297">
        <v>0.59305555555555556</v>
      </c>
      <c r="M418" s="297">
        <v>0.59305555555555556</v>
      </c>
      <c r="N418" s="297">
        <v>0.60416666666666663</v>
      </c>
      <c r="O418" s="19">
        <f>(Table6[[#This Row],[Work Start TimeStamp]]-Table6[[#This Row],[Fault Start TimeStamp]])*24</f>
        <v>0</v>
      </c>
      <c r="P418" s="19">
        <f>(Table6[[#This Row],[Fault Clearance time]]-Table6[[#This Row],[Fault Start TimeStamp]])*24</f>
        <v>0.26666666666666572</v>
      </c>
      <c r="Q418" s="19">
        <f>(Table6[[#This Row],[Fault Clearance time]]-Table6[[#This Row],[Fault Start TimeStamp]])*24</f>
        <v>0.26666666666666572</v>
      </c>
      <c r="R418" s="79" t="s">
        <v>353</v>
      </c>
      <c r="S418" s="79" t="s">
        <v>339</v>
      </c>
      <c r="T418" s="298">
        <f>IFERROR(Table6[[#This Row],[Breakdown Time]]*Table6[[#This Row],[Plant Equivalent Weightage]],"")</f>
        <v>6.0606060606060389E-3</v>
      </c>
      <c r="U418" s="79" t="s">
        <v>416</v>
      </c>
      <c r="W418" s="79">
        <v>24</v>
      </c>
    </row>
    <row r="419" spans="1:23">
      <c r="A419" s="79">
        <f t="shared" si="6"/>
        <v>418</v>
      </c>
      <c r="B419" s="79">
        <f>YEAR(Table6[[#This Row],[Date]])+IF(MONTH(Table6[[#This Row],[Date]])&gt;=4,1,0)</f>
        <v>2026</v>
      </c>
      <c r="C419" s="79">
        <f>YEAR(Table6[[#This Row],[Date]])</f>
        <v>2025</v>
      </c>
      <c r="D419" s="79" t="s">
        <v>344</v>
      </c>
      <c r="E419" s="284">
        <f>Table6[[#This Row],[Date]]-DAY(Table6[[#This Row],[Date]])+1</f>
        <v>45778</v>
      </c>
      <c r="F419" s="285">
        <v>45789</v>
      </c>
      <c r="G419" s="79" t="s">
        <v>116</v>
      </c>
      <c r="H419" s="79" t="str">
        <f>IFERROR(_xlfn.XLOOKUP(Table6[[#This Row],[Affected Feeder ]],'Basic Data'!$A:$A,'Basic Data'!$B:$B),"")</f>
        <v>PWEPL</v>
      </c>
      <c r="I419" s="79" t="str">
        <f>IFERROR(_xlfn.XLOOKUP(Table6[[#This Row],[Affected Feeder ]],'Basic Data'!$A:$A,'Basic Data'!$C:$C),"")</f>
        <v>MSEDCL</v>
      </c>
      <c r="J419" s="295">
        <f>IFERROR(_xlfn.XLOOKUP(Table6[[#This Row],[Affected Feeder ]],'Basic Data'!$A:$A,'Basic Data'!$E:$E),"")</f>
        <v>2.2727272727272728E-2</v>
      </c>
      <c r="K419" s="296" t="s">
        <v>414</v>
      </c>
      <c r="L419" s="297">
        <v>0.3444444444444445</v>
      </c>
      <c r="M419" s="297">
        <v>0.3444444444444445</v>
      </c>
      <c r="N419" s="297">
        <v>0.59305555555555556</v>
      </c>
      <c r="O419" s="19">
        <f>(Table6[[#This Row],[Work Start TimeStamp]]-Table6[[#This Row],[Fault Start TimeStamp]])*24</f>
        <v>0</v>
      </c>
      <c r="P419" s="19">
        <f>(Table6[[#This Row],[Fault Clearance time]]-Table6[[#This Row],[Fault Start TimeStamp]])*24</f>
        <v>5.966666666666665</v>
      </c>
      <c r="Q419" s="19">
        <f>(Table6[[#This Row],[Fault Clearance time]]-Table6[[#This Row],[Fault Start TimeStamp]])*24</f>
        <v>5.966666666666665</v>
      </c>
      <c r="R419" s="79" t="s">
        <v>457</v>
      </c>
      <c r="S419" s="79" t="s">
        <v>339</v>
      </c>
      <c r="T419" s="298">
        <f>IFERROR(Table6[[#This Row],[Breakdown Time]]*Table6[[#This Row],[Plant Equivalent Weightage]],"")</f>
        <v>0.13560606060606056</v>
      </c>
      <c r="U419" s="79" t="s">
        <v>416</v>
      </c>
      <c r="W419" s="79">
        <v>518</v>
      </c>
    </row>
    <row r="420" spans="1:23">
      <c r="A420" s="79">
        <f t="shared" si="6"/>
        <v>419</v>
      </c>
      <c r="B420" s="79">
        <f>YEAR(Table6[[#This Row],[Date]])+IF(MONTH(Table6[[#This Row],[Date]])&gt;=4,1,0)</f>
        <v>2026</v>
      </c>
      <c r="C420" s="79">
        <f>YEAR(Table6[[#This Row],[Date]])</f>
        <v>2025</v>
      </c>
      <c r="D420" s="79" t="s">
        <v>344</v>
      </c>
      <c r="E420" s="284">
        <f>Table6[[#This Row],[Date]]-DAY(Table6[[#This Row],[Date]])+1</f>
        <v>45778</v>
      </c>
      <c r="F420" s="285">
        <v>45789</v>
      </c>
      <c r="G420" s="79" t="s">
        <v>116</v>
      </c>
      <c r="H420" s="79" t="str">
        <f>IFERROR(_xlfn.XLOOKUP(Table6[[#This Row],[Affected Feeder ]],'Basic Data'!$A:$A,'Basic Data'!$B:$B),"")</f>
        <v>PWEPL</v>
      </c>
      <c r="I420" s="79" t="str">
        <f>IFERROR(_xlfn.XLOOKUP(Table6[[#This Row],[Affected Feeder ]],'Basic Data'!$A:$A,'Basic Data'!$C:$C),"")</f>
        <v>MSEDCL</v>
      </c>
      <c r="J420" s="295">
        <f>IFERROR(_xlfn.XLOOKUP(Table6[[#This Row],[Affected Feeder ]],'Basic Data'!$A:$A,'Basic Data'!$E:$E),"")</f>
        <v>2.2727272727272728E-2</v>
      </c>
      <c r="K420" s="296" t="s">
        <v>171</v>
      </c>
      <c r="L420" s="297">
        <v>0.59305555555555556</v>
      </c>
      <c r="M420" s="297">
        <v>0.59305555555555556</v>
      </c>
      <c r="N420" s="297">
        <v>0.6020833333333333</v>
      </c>
      <c r="O420" s="19">
        <f>(Table6[[#This Row],[Work Start TimeStamp]]-Table6[[#This Row],[Fault Start TimeStamp]])*24</f>
        <v>0</v>
      </c>
      <c r="P420" s="19">
        <f>(Table6[[#This Row],[Fault Clearance time]]-Table6[[#This Row],[Fault Start TimeStamp]])*24</f>
        <v>0.2166666666666659</v>
      </c>
      <c r="Q420" s="19">
        <f>(Table6[[#This Row],[Fault Clearance time]]-Table6[[#This Row],[Fault Start TimeStamp]])*24</f>
        <v>0.2166666666666659</v>
      </c>
      <c r="R420" s="79" t="s">
        <v>353</v>
      </c>
      <c r="S420" s="79" t="s">
        <v>339</v>
      </c>
      <c r="T420" s="298">
        <f>IFERROR(Table6[[#This Row],[Breakdown Time]]*Table6[[#This Row],[Plant Equivalent Weightage]],"")</f>
        <v>4.9242424242424065E-3</v>
      </c>
      <c r="U420" s="79" t="s">
        <v>416</v>
      </c>
      <c r="W420" s="79">
        <v>19</v>
      </c>
    </row>
    <row r="421" spans="1:23">
      <c r="A421" s="79">
        <f t="shared" si="6"/>
        <v>420</v>
      </c>
      <c r="B421" s="79">
        <f>YEAR(Table6[[#This Row],[Date]])+IF(MONTH(Table6[[#This Row],[Date]])&gt;=4,1,0)</f>
        <v>2026</v>
      </c>
      <c r="C421" s="79">
        <f>YEAR(Table6[[#This Row],[Date]])</f>
        <v>2025</v>
      </c>
      <c r="D421" s="79" t="s">
        <v>344</v>
      </c>
      <c r="E421" s="284">
        <f>Table6[[#This Row],[Date]]-DAY(Table6[[#This Row],[Date]])+1</f>
        <v>45778</v>
      </c>
      <c r="F421" s="285">
        <v>45789</v>
      </c>
      <c r="G421" s="79" t="s">
        <v>117</v>
      </c>
      <c r="H421" s="79" t="str">
        <f>IFERROR(_xlfn.XLOOKUP(Table6[[#This Row],[Affected Feeder ]],'Basic Data'!$A:$A,'Basic Data'!$B:$B),"")</f>
        <v>PWEPL</v>
      </c>
      <c r="I421" s="79" t="str">
        <f>IFERROR(_xlfn.XLOOKUP(Table6[[#This Row],[Affected Feeder ]],'Basic Data'!$A:$A,'Basic Data'!$C:$C),"")</f>
        <v>MSEDCL</v>
      </c>
      <c r="J421" s="295">
        <f>IFERROR(_xlfn.XLOOKUP(Table6[[#This Row],[Affected Feeder ]],'Basic Data'!$A:$A,'Basic Data'!$E:$E),"")</f>
        <v>2.2727272727272728E-2</v>
      </c>
      <c r="K421" s="296" t="s">
        <v>414</v>
      </c>
      <c r="L421" s="297">
        <v>0.3444444444444445</v>
      </c>
      <c r="M421" s="297">
        <v>0.3444444444444445</v>
      </c>
      <c r="N421" s="297">
        <v>0.59305555555555556</v>
      </c>
      <c r="O421" s="19">
        <f>(Table6[[#This Row],[Work Start TimeStamp]]-Table6[[#This Row],[Fault Start TimeStamp]])*24</f>
        <v>0</v>
      </c>
      <c r="P421" s="19">
        <f>(Table6[[#This Row],[Fault Clearance time]]-Table6[[#This Row],[Fault Start TimeStamp]])*24</f>
        <v>5.966666666666665</v>
      </c>
      <c r="Q421" s="19">
        <f>(Table6[[#This Row],[Fault Clearance time]]-Table6[[#This Row],[Fault Start TimeStamp]])*24</f>
        <v>5.966666666666665</v>
      </c>
      <c r="R421" s="79" t="s">
        <v>457</v>
      </c>
      <c r="S421" s="79" t="s">
        <v>339</v>
      </c>
      <c r="T421" s="298">
        <f>IFERROR(Table6[[#This Row],[Breakdown Time]]*Table6[[#This Row],[Plant Equivalent Weightage]],"")</f>
        <v>0.13560606060606056</v>
      </c>
      <c r="U421" s="79" t="s">
        <v>416</v>
      </c>
      <c r="W421" s="79">
        <v>518</v>
      </c>
    </row>
    <row r="422" spans="1:23">
      <c r="A422" s="79">
        <f t="shared" si="6"/>
        <v>421</v>
      </c>
      <c r="B422" s="79">
        <f>YEAR(Table6[[#This Row],[Date]])+IF(MONTH(Table6[[#This Row],[Date]])&gt;=4,1,0)</f>
        <v>2026</v>
      </c>
      <c r="C422" s="79">
        <f>YEAR(Table6[[#This Row],[Date]])</f>
        <v>2025</v>
      </c>
      <c r="D422" s="79" t="s">
        <v>344</v>
      </c>
      <c r="E422" s="284">
        <f>Table6[[#This Row],[Date]]-DAY(Table6[[#This Row],[Date]])+1</f>
        <v>45778</v>
      </c>
      <c r="F422" s="285">
        <v>45789</v>
      </c>
      <c r="G422" s="79" t="s">
        <v>117</v>
      </c>
      <c r="H422" s="79" t="str">
        <f>IFERROR(_xlfn.XLOOKUP(Table6[[#This Row],[Affected Feeder ]],'Basic Data'!$A:$A,'Basic Data'!$B:$B),"")</f>
        <v>PWEPL</v>
      </c>
      <c r="I422" s="79" t="str">
        <f>IFERROR(_xlfn.XLOOKUP(Table6[[#This Row],[Affected Feeder ]],'Basic Data'!$A:$A,'Basic Data'!$C:$C),"")</f>
        <v>MSEDCL</v>
      </c>
      <c r="J422" s="295">
        <f>IFERROR(_xlfn.XLOOKUP(Table6[[#This Row],[Affected Feeder ]],'Basic Data'!$A:$A,'Basic Data'!$E:$E),"")</f>
        <v>2.2727272727272728E-2</v>
      </c>
      <c r="K422" s="296" t="s">
        <v>171</v>
      </c>
      <c r="L422" s="297">
        <v>0.59305555555555556</v>
      </c>
      <c r="M422" s="297">
        <v>0.59305555555555556</v>
      </c>
      <c r="N422" s="297">
        <v>0.6069444444444444</v>
      </c>
      <c r="O422" s="19">
        <f>(Table6[[#This Row],[Work Start TimeStamp]]-Table6[[#This Row],[Fault Start TimeStamp]])*24</f>
        <v>0</v>
      </c>
      <c r="P422" s="19">
        <f>(Table6[[#This Row],[Fault Clearance time]]-Table6[[#This Row],[Fault Start TimeStamp]])*24</f>
        <v>0.33333333333333215</v>
      </c>
      <c r="Q422" s="19">
        <f>(Table6[[#This Row],[Fault Clearance time]]-Table6[[#This Row],[Fault Start TimeStamp]])*24</f>
        <v>0.33333333333333215</v>
      </c>
      <c r="R422" s="79" t="s">
        <v>353</v>
      </c>
      <c r="S422" s="79" t="s">
        <v>339</v>
      </c>
      <c r="T422" s="298">
        <f>IFERROR(Table6[[#This Row],[Breakdown Time]]*Table6[[#This Row],[Plant Equivalent Weightage]],"")</f>
        <v>7.5757575757575491E-3</v>
      </c>
      <c r="U422" s="79" t="s">
        <v>416</v>
      </c>
      <c r="W422" s="79">
        <v>30</v>
      </c>
    </row>
    <row r="423" spans="1:23">
      <c r="A423" s="79">
        <f t="shared" si="6"/>
        <v>422</v>
      </c>
      <c r="B423" s="79">
        <f>YEAR(Table6[[#This Row],[Date]])+IF(MONTH(Table6[[#This Row],[Date]])&gt;=4,1,0)</f>
        <v>2026</v>
      </c>
      <c r="C423" s="79">
        <f>YEAR(Table6[[#This Row],[Date]])</f>
        <v>2025</v>
      </c>
      <c r="D423" s="79" t="s">
        <v>344</v>
      </c>
      <c r="E423" s="284">
        <f>Table6[[#This Row],[Date]]-DAY(Table6[[#This Row],[Date]])+1</f>
        <v>45778</v>
      </c>
      <c r="F423" s="285">
        <v>45789</v>
      </c>
      <c r="G423" s="79" t="s">
        <v>118</v>
      </c>
      <c r="H423" s="79" t="str">
        <f>IFERROR(_xlfn.XLOOKUP(Table6[[#This Row],[Affected Feeder ]],'Basic Data'!$A:$A,'Basic Data'!$B:$B),"")</f>
        <v>PWEPL</v>
      </c>
      <c r="I423" s="79" t="str">
        <f>IFERROR(_xlfn.XLOOKUP(Table6[[#This Row],[Affected Feeder ]],'Basic Data'!$A:$A,'Basic Data'!$C:$C),"")</f>
        <v>MSEDCL</v>
      </c>
      <c r="J423" s="295">
        <f>IFERROR(_xlfn.XLOOKUP(Table6[[#This Row],[Affected Feeder ]],'Basic Data'!$A:$A,'Basic Data'!$E:$E),"")</f>
        <v>2.2727272727272728E-2</v>
      </c>
      <c r="K423" s="296" t="s">
        <v>414</v>
      </c>
      <c r="L423" s="297">
        <v>0.3444444444444445</v>
      </c>
      <c r="M423" s="297">
        <v>0.3444444444444445</v>
      </c>
      <c r="N423" s="297">
        <v>0.59305555555555556</v>
      </c>
      <c r="O423" s="19">
        <f>(Table6[[#This Row],[Work Start TimeStamp]]-Table6[[#This Row],[Fault Start TimeStamp]])*24</f>
        <v>0</v>
      </c>
      <c r="P423" s="19">
        <f>(Table6[[#This Row],[Fault Clearance time]]-Table6[[#This Row],[Fault Start TimeStamp]])*24</f>
        <v>5.966666666666665</v>
      </c>
      <c r="Q423" s="19">
        <f>(Table6[[#This Row],[Fault Clearance time]]-Table6[[#This Row],[Fault Start TimeStamp]])*24</f>
        <v>5.966666666666665</v>
      </c>
      <c r="R423" s="79" t="s">
        <v>457</v>
      </c>
      <c r="S423" s="79" t="s">
        <v>339</v>
      </c>
      <c r="T423" s="298">
        <f>IFERROR(Table6[[#This Row],[Breakdown Time]]*Table6[[#This Row],[Plant Equivalent Weightage]],"")</f>
        <v>0.13560606060606056</v>
      </c>
      <c r="U423" s="79" t="s">
        <v>416</v>
      </c>
      <c r="W423" s="79">
        <v>518</v>
      </c>
    </row>
    <row r="424" spans="1:23">
      <c r="A424" s="79">
        <f t="shared" si="6"/>
        <v>423</v>
      </c>
      <c r="B424" s="79">
        <f>YEAR(Table6[[#This Row],[Date]])+IF(MONTH(Table6[[#This Row],[Date]])&gt;=4,1,0)</f>
        <v>2026</v>
      </c>
      <c r="C424" s="79">
        <f>YEAR(Table6[[#This Row],[Date]])</f>
        <v>2025</v>
      </c>
      <c r="D424" s="79" t="s">
        <v>344</v>
      </c>
      <c r="E424" s="284">
        <f>Table6[[#This Row],[Date]]-DAY(Table6[[#This Row],[Date]])+1</f>
        <v>45778</v>
      </c>
      <c r="F424" s="285">
        <v>45789</v>
      </c>
      <c r="G424" s="79" t="s">
        <v>118</v>
      </c>
      <c r="H424" s="79" t="str">
        <f>IFERROR(_xlfn.XLOOKUP(Table6[[#This Row],[Affected Feeder ]],'Basic Data'!$A:$A,'Basic Data'!$B:$B),"")</f>
        <v>PWEPL</v>
      </c>
      <c r="I424" s="79" t="str">
        <f>IFERROR(_xlfn.XLOOKUP(Table6[[#This Row],[Affected Feeder ]],'Basic Data'!$A:$A,'Basic Data'!$C:$C),"")</f>
        <v>MSEDCL</v>
      </c>
      <c r="J424" s="295">
        <f>IFERROR(_xlfn.XLOOKUP(Table6[[#This Row],[Affected Feeder ]],'Basic Data'!$A:$A,'Basic Data'!$E:$E),"")</f>
        <v>2.2727272727272728E-2</v>
      </c>
      <c r="K424" s="296" t="s">
        <v>171</v>
      </c>
      <c r="L424" s="297">
        <v>0.59305555555555556</v>
      </c>
      <c r="M424" s="297">
        <v>0.59305555555555556</v>
      </c>
      <c r="N424" s="297">
        <v>0.6</v>
      </c>
      <c r="O424" s="19">
        <f>(Table6[[#This Row],[Work Start TimeStamp]]-Table6[[#This Row],[Fault Start TimeStamp]])*24</f>
        <v>0</v>
      </c>
      <c r="P424" s="19">
        <f>(Table6[[#This Row],[Fault Clearance time]]-Table6[[#This Row],[Fault Start TimeStamp]])*24</f>
        <v>0.16666666666666607</v>
      </c>
      <c r="Q424" s="19">
        <f>(Table6[[#This Row],[Fault Clearance time]]-Table6[[#This Row],[Fault Start TimeStamp]])*24</f>
        <v>0.16666666666666607</v>
      </c>
      <c r="R424" s="79" t="s">
        <v>353</v>
      </c>
      <c r="S424" s="79" t="s">
        <v>339</v>
      </c>
      <c r="T424" s="298">
        <f>IFERROR(Table6[[#This Row],[Breakdown Time]]*Table6[[#This Row],[Plant Equivalent Weightage]],"")</f>
        <v>3.7878787878787745E-3</v>
      </c>
      <c r="U424" s="79" t="s">
        <v>416</v>
      </c>
      <c r="W424" s="79">
        <v>15</v>
      </c>
    </row>
    <row r="425" spans="1:23">
      <c r="A425" s="79">
        <f t="shared" si="6"/>
        <v>424</v>
      </c>
      <c r="B425" s="79">
        <f>YEAR(Table6[[#This Row],[Date]])+IF(MONTH(Table6[[#This Row],[Date]])&gt;=4,1,0)</f>
        <v>2026</v>
      </c>
      <c r="C425" s="79">
        <f>YEAR(Table6[[#This Row],[Date]])</f>
        <v>2025</v>
      </c>
      <c r="D425" s="79" t="s">
        <v>344</v>
      </c>
      <c r="E425" s="284">
        <f>Table6[[#This Row],[Date]]-DAY(Table6[[#This Row],[Date]])+1</f>
        <v>45778</v>
      </c>
      <c r="F425" s="285">
        <v>45789</v>
      </c>
      <c r="G425" s="79" t="s">
        <v>405</v>
      </c>
      <c r="H425" s="79" t="str">
        <f>IFERROR(_xlfn.XLOOKUP(Table6[[#This Row],[Affected Feeder ]],'Basic Data'!$A:$A,'Basic Data'!$B:$B),"")</f>
        <v>PWEPL</v>
      </c>
      <c r="I425" s="79" t="str">
        <f>IFERROR(_xlfn.XLOOKUP(Table6[[#This Row],[Affected Feeder ]],'Basic Data'!$A:$A,'Basic Data'!$C:$C),"")</f>
        <v>MSEDCL</v>
      </c>
      <c r="J425" s="295">
        <f>IFERROR(_xlfn.XLOOKUP(Table6[[#This Row],[Affected Feeder ]],'Basic Data'!$A:$A,'Basic Data'!$E:$E),"")</f>
        <v>0.20454545454545453</v>
      </c>
      <c r="K425" s="296" t="s">
        <v>447</v>
      </c>
      <c r="L425" s="297">
        <v>0.67986111111111114</v>
      </c>
      <c r="M425" s="297">
        <v>0.67986111111111114</v>
      </c>
      <c r="N425" s="297">
        <v>0.75</v>
      </c>
      <c r="O425" s="19">
        <f>(Table6[[#This Row],[Work Start TimeStamp]]-Table6[[#This Row],[Fault Start TimeStamp]])*24</f>
        <v>0</v>
      </c>
      <c r="P425" s="19">
        <f>(Table6[[#This Row],[Fault Clearance time]]-Table6[[#This Row],[Fault Start TimeStamp]])*24</f>
        <v>1.6833333333333327</v>
      </c>
      <c r="Q425" s="19">
        <f>(Table6[[#This Row],[Fault Clearance time]]-Table6[[#This Row],[Fault Start TimeStamp]])*24</f>
        <v>1.6833333333333327</v>
      </c>
      <c r="R425" s="79" t="s">
        <v>420</v>
      </c>
      <c r="S425" s="79" t="s">
        <v>339</v>
      </c>
      <c r="T425" s="298">
        <f>IFERROR(Table6[[#This Row],[Breakdown Time]]*Table6[[#This Row],[Plant Equivalent Weightage]],"")</f>
        <v>0.34431818181818163</v>
      </c>
      <c r="U425" s="79" t="s">
        <v>421</v>
      </c>
      <c r="W425" s="79">
        <v>949</v>
      </c>
    </row>
    <row r="426" spans="1:23">
      <c r="A426" s="79">
        <f t="shared" si="6"/>
        <v>425</v>
      </c>
      <c r="B426" s="79">
        <f>YEAR(Table6[[#This Row],[Date]])+IF(MONTH(Table6[[#This Row],[Date]])&gt;=4,1,0)</f>
        <v>2026</v>
      </c>
      <c r="C426" s="79">
        <f>YEAR(Table6[[#This Row],[Date]])</f>
        <v>2025</v>
      </c>
      <c r="D426" s="79" t="s">
        <v>344</v>
      </c>
      <c r="E426" s="284">
        <f>Table6[[#This Row],[Date]]-DAY(Table6[[#This Row],[Date]])+1</f>
        <v>45778</v>
      </c>
      <c r="F426" s="285">
        <v>45789</v>
      </c>
      <c r="G426" s="79" t="s">
        <v>80</v>
      </c>
      <c r="H426" s="79" t="str">
        <f>IFERROR(_xlfn.XLOOKUP(Table6[[#This Row],[Affected Feeder ]],'Basic Data'!$A:$A,'Basic Data'!$B:$B),"")</f>
        <v>PWEPL</v>
      </c>
      <c r="I426" s="79" t="str">
        <f>IFERROR(_xlfn.XLOOKUP(Table6[[#This Row],[Affected Feeder ]],'Basic Data'!$A:$A,'Basic Data'!$C:$C),"")</f>
        <v>MSEDCL</v>
      </c>
      <c r="J426" s="295">
        <f>IFERROR(_xlfn.XLOOKUP(Table6[[#This Row],[Affected Feeder ]],'Basic Data'!$A:$A,'Basic Data'!$E:$E),"")</f>
        <v>2.2727272727272728E-2</v>
      </c>
      <c r="K426" s="296" t="s">
        <v>171</v>
      </c>
      <c r="L426" s="297">
        <v>0.75</v>
      </c>
      <c r="M426" s="297">
        <v>0.75</v>
      </c>
      <c r="N426" s="297">
        <v>0.76388888888888884</v>
      </c>
      <c r="O426" s="19">
        <f>(Table6[[#This Row],[Work Start TimeStamp]]-Table6[[#This Row],[Fault Start TimeStamp]])*24</f>
        <v>0</v>
      </c>
      <c r="P426" s="19">
        <f>(Table6[[#This Row],[Fault Clearance time]]-Table6[[#This Row],[Fault Start TimeStamp]])*24</f>
        <v>0.33333333333333215</v>
      </c>
      <c r="Q426" s="19">
        <f>(Table6[[#This Row],[Fault Clearance time]]-Table6[[#This Row],[Fault Start TimeStamp]])*24</f>
        <v>0.33333333333333215</v>
      </c>
      <c r="R426" s="79" t="s">
        <v>353</v>
      </c>
      <c r="S426" s="79" t="s">
        <v>339</v>
      </c>
      <c r="T426" s="298">
        <f>IFERROR(Table6[[#This Row],[Breakdown Time]]*Table6[[#This Row],[Plant Equivalent Weightage]],"")</f>
        <v>7.5757575757575491E-3</v>
      </c>
      <c r="U426" s="79" t="s">
        <v>421</v>
      </c>
      <c r="W426" s="79">
        <v>47</v>
      </c>
    </row>
    <row r="427" spans="1:23">
      <c r="A427" s="79">
        <f t="shared" si="6"/>
        <v>426</v>
      </c>
      <c r="B427" s="79">
        <f>YEAR(Table6[[#This Row],[Date]])+IF(MONTH(Table6[[#This Row],[Date]])&gt;=4,1,0)</f>
        <v>2026</v>
      </c>
      <c r="C427" s="79">
        <f>YEAR(Table6[[#This Row],[Date]])</f>
        <v>2025</v>
      </c>
      <c r="D427" s="79" t="s">
        <v>344</v>
      </c>
      <c r="E427" s="284">
        <f>Table6[[#This Row],[Date]]-DAY(Table6[[#This Row],[Date]])+1</f>
        <v>45778</v>
      </c>
      <c r="F427" s="285">
        <v>45789</v>
      </c>
      <c r="G427" s="79" t="s">
        <v>81</v>
      </c>
      <c r="H427" s="79" t="str">
        <f>IFERROR(_xlfn.XLOOKUP(Table6[[#This Row],[Affected Feeder ]],'Basic Data'!$A:$A,'Basic Data'!$B:$B),"")</f>
        <v>PWEPL</v>
      </c>
      <c r="I427" s="79" t="str">
        <f>IFERROR(_xlfn.XLOOKUP(Table6[[#This Row],[Affected Feeder ]],'Basic Data'!$A:$A,'Basic Data'!$C:$C),"")</f>
        <v>MSEDCL</v>
      </c>
      <c r="J427" s="295">
        <f>IFERROR(_xlfn.XLOOKUP(Table6[[#This Row],[Affected Feeder ]],'Basic Data'!$A:$A,'Basic Data'!$E:$E),"")</f>
        <v>2.2727272727272728E-2</v>
      </c>
      <c r="K427" s="296" t="s">
        <v>171</v>
      </c>
      <c r="L427" s="297">
        <v>0.75</v>
      </c>
      <c r="M427" s="297">
        <v>0.75</v>
      </c>
      <c r="N427" s="297">
        <v>0.76111111111111107</v>
      </c>
      <c r="O427" s="19">
        <f>(Table6[[#This Row],[Work Start TimeStamp]]-Table6[[#This Row],[Fault Start TimeStamp]])*24</f>
        <v>0</v>
      </c>
      <c r="P427" s="19">
        <f>(Table6[[#This Row],[Fault Clearance time]]-Table6[[#This Row],[Fault Start TimeStamp]])*24</f>
        <v>0.26666666666666572</v>
      </c>
      <c r="Q427" s="19">
        <f>(Table6[[#This Row],[Fault Clearance time]]-Table6[[#This Row],[Fault Start TimeStamp]])*24</f>
        <v>0.26666666666666572</v>
      </c>
      <c r="R427" s="79" t="s">
        <v>353</v>
      </c>
      <c r="S427" s="79" t="s">
        <v>339</v>
      </c>
      <c r="T427" s="298">
        <f>IFERROR(Table6[[#This Row],[Breakdown Time]]*Table6[[#This Row],[Plant Equivalent Weightage]],"")</f>
        <v>6.0606060606060389E-3</v>
      </c>
      <c r="U427" s="79" t="s">
        <v>421</v>
      </c>
      <c r="W427" s="79">
        <v>37</v>
      </c>
    </row>
    <row r="428" spans="1:23">
      <c r="A428" s="79">
        <f t="shared" si="6"/>
        <v>427</v>
      </c>
      <c r="B428" s="79">
        <f>YEAR(Table6[[#This Row],[Date]])+IF(MONTH(Table6[[#This Row],[Date]])&gt;=4,1,0)</f>
        <v>2026</v>
      </c>
      <c r="C428" s="79">
        <f>YEAR(Table6[[#This Row],[Date]])</f>
        <v>2025</v>
      </c>
      <c r="D428" s="79" t="s">
        <v>344</v>
      </c>
      <c r="E428" s="284">
        <f>Table6[[#This Row],[Date]]-DAY(Table6[[#This Row],[Date]])+1</f>
        <v>45778</v>
      </c>
      <c r="F428" s="285">
        <v>45789</v>
      </c>
      <c r="G428" s="79" t="s">
        <v>107</v>
      </c>
      <c r="H428" s="79" t="str">
        <f>IFERROR(_xlfn.XLOOKUP(Table6[[#This Row],[Affected Feeder ]],'Basic Data'!$A:$A,'Basic Data'!$B:$B),"")</f>
        <v>PWEPL</v>
      </c>
      <c r="I428" s="79" t="str">
        <f>IFERROR(_xlfn.XLOOKUP(Table6[[#This Row],[Affected Feeder ]],'Basic Data'!$A:$A,'Basic Data'!$C:$C),"")</f>
        <v>MSEDCL</v>
      </c>
      <c r="J428" s="295">
        <f>IFERROR(_xlfn.XLOOKUP(Table6[[#This Row],[Affected Feeder ]],'Basic Data'!$A:$A,'Basic Data'!$E:$E),"")</f>
        <v>2.2727272727272728E-2</v>
      </c>
      <c r="K428" s="296" t="s">
        <v>171</v>
      </c>
      <c r="L428" s="297">
        <v>0.75</v>
      </c>
      <c r="M428" s="297">
        <v>0.75</v>
      </c>
      <c r="N428" s="297">
        <v>0.76388888888888884</v>
      </c>
      <c r="O428" s="19">
        <f>(Table6[[#This Row],[Work Start TimeStamp]]-Table6[[#This Row],[Fault Start TimeStamp]])*24</f>
        <v>0</v>
      </c>
      <c r="P428" s="19">
        <f>(Table6[[#This Row],[Fault Clearance time]]-Table6[[#This Row],[Fault Start TimeStamp]])*24</f>
        <v>0.33333333333333215</v>
      </c>
      <c r="Q428" s="19">
        <f>(Table6[[#This Row],[Fault Clearance time]]-Table6[[#This Row],[Fault Start TimeStamp]])*24</f>
        <v>0.33333333333333215</v>
      </c>
      <c r="R428" s="79" t="s">
        <v>353</v>
      </c>
      <c r="S428" s="79" t="s">
        <v>339</v>
      </c>
      <c r="T428" s="298">
        <f>IFERROR(Table6[[#This Row],[Breakdown Time]]*Table6[[#This Row],[Plant Equivalent Weightage]],"")</f>
        <v>7.5757575757575491E-3</v>
      </c>
      <c r="U428" s="79" t="s">
        <v>421</v>
      </c>
      <c r="W428" s="79">
        <v>47</v>
      </c>
    </row>
    <row r="429" spans="1:23">
      <c r="A429" s="79">
        <f t="shared" si="6"/>
        <v>428</v>
      </c>
      <c r="B429" s="79">
        <f>YEAR(Table6[[#This Row],[Date]])+IF(MONTH(Table6[[#This Row],[Date]])&gt;=4,1,0)</f>
        <v>2026</v>
      </c>
      <c r="C429" s="79">
        <f>YEAR(Table6[[#This Row],[Date]])</f>
        <v>2025</v>
      </c>
      <c r="D429" s="79" t="s">
        <v>344</v>
      </c>
      <c r="E429" s="284">
        <f>Table6[[#This Row],[Date]]-DAY(Table6[[#This Row],[Date]])+1</f>
        <v>45778</v>
      </c>
      <c r="F429" s="285">
        <v>45789</v>
      </c>
      <c r="G429" s="79" t="s">
        <v>108</v>
      </c>
      <c r="H429" s="79" t="str">
        <f>IFERROR(_xlfn.XLOOKUP(Table6[[#This Row],[Affected Feeder ]],'Basic Data'!$A:$A,'Basic Data'!$B:$B),"")</f>
        <v>PWEPL</v>
      </c>
      <c r="I429" s="79" t="str">
        <f>IFERROR(_xlfn.XLOOKUP(Table6[[#This Row],[Affected Feeder ]],'Basic Data'!$A:$A,'Basic Data'!$C:$C),"")</f>
        <v>MSEDCL</v>
      </c>
      <c r="J429" s="295">
        <f>IFERROR(_xlfn.XLOOKUP(Table6[[#This Row],[Affected Feeder ]],'Basic Data'!$A:$A,'Basic Data'!$E:$E),"")</f>
        <v>2.2727272727272728E-2</v>
      </c>
      <c r="K429" s="296" t="s">
        <v>171</v>
      </c>
      <c r="L429" s="297">
        <v>0.75</v>
      </c>
      <c r="M429" s="297">
        <v>0.75</v>
      </c>
      <c r="N429" s="297">
        <v>0.76388888888888884</v>
      </c>
      <c r="O429" s="19">
        <f>(Table6[[#This Row],[Work Start TimeStamp]]-Table6[[#This Row],[Fault Start TimeStamp]])*24</f>
        <v>0</v>
      </c>
      <c r="P429" s="19">
        <f>(Table6[[#This Row],[Fault Clearance time]]-Table6[[#This Row],[Fault Start TimeStamp]])*24</f>
        <v>0.33333333333333215</v>
      </c>
      <c r="Q429" s="19">
        <f>(Table6[[#This Row],[Fault Clearance time]]-Table6[[#This Row],[Fault Start TimeStamp]])*24</f>
        <v>0.33333333333333215</v>
      </c>
      <c r="R429" s="79" t="s">
        <v>353</v>
      </c>
      <c r="S429" s="79" t="s">
        <v>339</v>
      </c>
      <c r="T429" s="298">
        <f>IFERROR(Table6[[#This Row],[Breakdown Time]]*Table6[[#This Row],[Plant Equivalent Weightage]],"")</f>
        <v>7.5757575757575491E-3</v>
      </c>
      <c r="U429" s="79" t="s">
        <v>421</v>
      </c>
      <c r="W429" s="79">
        <v>47</v>
      </c>
    </row>
    <row r="430" spans="1:23">
      <c r="A430" s="79">
        <f t="shared" si="6"/>
        <v>429</v>
      </c>
      <c r="B430" s="79">
        <f>YEAR(Table6[[#This Row],[Date]])+IF(MONTH(Table6[[#This Row],[Date]])&gt;=4,1,0)</f>
        <v>2026</v>
      </c>
      <c r="C430" s="79">
        <f>YEAR(Table6[[#This Row],[Date]])</f>
        <v>2025</v>
      </c>
      <c r="D430" s="79" t="s">
        <v>344</v>
      </c>
      <c r="E430" s="284">
        <f>Table6[[#This Row],[Date]]-DAY(Table6[[#This Row],[Date]])+1</f>
        <v>45778</v>
      </c>
      <c r="F430" s="285">
        <v>45789</v>
      </c>
      <c r="G430" s="79" t="s">
        <v>109</v>
      </c>
      <c r="H430" s="79" t="str">
        <f>IFERROR(_xlfn.XLOOKUP(Table6[[#This Row],[Affected Feeder ]],'Basic Data'!$A:$A,'Basic Data'!$B:$B),"")</f>
        <v>PWEPL</v>
      </c>
      <c r="I430" s="79" t="str">
        <f>IFERROR(_xlfn.XLOOKUP(Table6[[#This Row],[Affected Feeder ]],'Basic Data'!$A:$A,'Basic Data'!$C:$C),"")</f>
        <v>MSEDCL</v>
      </c>
      <c r="J430" s="295">
        <f>IFERROR(_xlfn.XLOOKUP(Table6[[#This Row],[Affected Feeder ]],'Basic Data'!$A:$A,'Basic Data'!$E:$E),"")</f>
        <v>2.2727272727272728E-2</v>
      </c>
      <c r="K430" s="296" t="s">
        <v>803</v>
      </c>
      <c r="L430" s="297">
        <v>0.75</v>
      </c>
      <c r="M430" s="297">
        <v>0.75</v>
      </c>
      <c r="N430" s="297">
        <v>0.7729166666666667</v>
      </c>
      <c r="O430" s="19">
        <f>(Table6[[#This Row],[Work Start TimeStamp]]-Table6[[#This Row],[Fault Start TimeStamp]])*24</f>
        <v>0</v>
      </c>
      <c r="P430" s="19">
        <f>(Table6[[#This Row],[Fault Clearance time]]-Table6[[#This Row],[Fault Start TimeStamp]])*24</f>
        <v>0.55000000000000071</v>
      </c>
      <c r="Q430" s="19">
        <f>(Table6[[#This Row],[Fault Clearance time]]-Table6[[#This Row],[Fault Start TimeStamp]])*24</f>
        <v>0.55000000000000071</v>
      </c>
      <c r="R430" s="79" t="s">
        <v>804</v>
      </c>
      <c r="S430" s="79" t="s">
        <v>339</v>
      </c>
      <c r="T430" s="298">
        <f>IFERROR(Table6[[#This Row],[Breakdown Time]]*Table6[[#This Row],[Plant Equivalent Weightage]],"")</f>
        <v>1.2500000000000016E-2</v>
      </c>
      <c r="U430" s="79" t="s">
        <v>421</v>
      </c>
      <c r="W430" s="79">
        <v>723</v>
      </c>
    </row>
    <row r="431" spans="1:23">
      <c r="A431" s="79">
        <f t="shared" si="6"/>
        <v>430</v>
      </c>
      <c r="B431" s="79">
        <f>YEAR(Table6[[#This Row],[Date]])+IF(MONTH(Table6[[#This Row],[Date]])&gt;=4,1,0)</f>
        <v>2026</v>
      </c>
      <c r="C431" s="79">
        <f>YEAR(Table6[[#This Row],[Date]])</f>
        <v>2025</v>
      </c>
      <c r="D431" s="79" t="s">
        <v>344</v>
      </c>
      <c r="E431" s="284">
        <f>Table6[[#This Row],[Date]]-DAY(Table6[[#This Row],[Date]])+1</f>
        <v>45778</v>
      </c>
      <c r="F431" s="285">
        <v>45789</v>
      </c>
      <c r="G431" s="79" t="s">
        <v>109</v>
      </c>
      <c r="H431" s="79" t="str">
        <f>IFERROR(_xlfn.XLOOKUP(Table6[[#This Row],[Affected Feeder ]],'Basic Data'!$A:$A,'Basic Data'!$B:$B),"")</f>
        <v>PWEPL</v>
      </c>
      <c r="I431" s="79" t="str">
        <f>IFERROR(_xlfn.XLOOKUP(Table6[[#This Row],[Affected Feeder ]],'Basic Data'!$A:$A,'Basic Data'!$C:$C),"")</f>
        <v>MSEDCL</v>
      </c>
      <c r="J431" s="295">
        <f>IFERROR(_xlfn.XLOOKUP(Table6[[#This Row],[Affected Feeder ]],'Basic Data'!$A:$A,'Basic Data'!$E:$E),"")</f>
        <v>2.2727272727272728E-2</v>
      </c>
      <c r="K431" s="296" t="s">
        <v>171</v>
      </c>
      <c r="L431" s="297">
        <v>0.7729166666666667</v>
      </c>
      <c r="M431" s="297">
        <v>0.7729166666666667</v>
      </c>
      <c r="N431" s="297">
        <v>0.78680555555555554</v>
      </c>
      <c r="O431" s="19">
        <f>(Table6[[#This Row],[Work Start TimeStamp]]-Table6[[#This Row],[Fault Start TimeStamp]])*24</f>
        <v>0</v>
      </c>
      <c r="P431" s="19">
        <f>(Table6[[#This Row],[Fault Clearance time]]-Table6[[#This Row],[Fault Start TimeStamp]])*24</f>
        <v>0.33333333333333215</v>
      </c>
      <c r="Q431" s="19">
        <f>(Table6[[#This Row],[Fault Clearance time]]-Table6[[#This Row],[Fault Start TimeStamp]])*24</f>
        <v>0.33333333333333215</v>
      </c>
      <c r="R431" s="79" t="s">
        <v>353</v>
      </c>
      <c r="S431" s="79" t="s">
        <v>339</v>
      </c>
      <c r="T431" s="298">
        <f>IFERROR(Table6[[#This Row],[Breakdown Time]]*Table6[[#This Row],[Plant Equivalent Weightage]],"")</f>
        <v>7.5757575757575491E-3</v>
      </c>
      <c r="U431" s="79" t="s">
        <v>421</v>
      </c>
      <c r="W431" s="79">
        <v>99</v>
      </c>
    </row>
    <row r="432" spans="1:23">
      <c r="A432" s="79">
        <f t="shared" si="6"/>
        <v>431</v>
      </c>
      <c r="B432" s="79">
        <f>YEAR(Table6[[#This Row],[Date]])+IF(MONTH(Table6[[#This Row],[Date]])&gt;=4,1,0)</f>
        <v>2026</v>
      </c>
      <c r="C432" s="79">
        <f>YEAR(Table6[[#This Row],[Date]])</f>
        <v>2025</v>
      </c>
      <c r="D432" s="79" t="s">
        <v>344</v>
      </c>
      <c r="E432" s="284">
        <f>Table6[[#This Row],[Date]]-DAY(Table6[[#This Row],[Date]])+1</f>
        <v>45778</v>
      </c>
      <c r="F432" s="285">
        <v>45789</v>
      </c>
      <c r="G432" s="79" t="s">
        <v>111</v>
      </c>
      <c r="H432" s="79" t="str">
        <f>IFERROR(_xlfn.XLOOKUP(Table6[[#This Row],[Affected Feeder ]],'Basic Data'!$A:$A,'Basic Data'!$B:$B),"")</f>
        <v>PWEPL</v>
      </c>
      <c r="I432" s="79" t="str">
        <f>IFERROR(_xlfn.XLOOKUP(Table6[[#This Row],[Affected Feeder ]],'Basic Data'!$A:$A,'Basic Data'!$C:$C),"")</f>
        <v>MSEDCL</v>
      </c>
      <c r="J432" s="295">
        <f>IFERROR(_xlfn.XLOOKUP(Table6[[#This Row],[Affected Feeder ]],'Basic Data'!$A:$A,'Basic Data'!$E:$E),"")</f>
        <v>2.2727272727272728E-2</v>
      </c>
      <c r="K432" s="296" t="s">
        <v>803</v>
      </c>
      <c r="L432" s="297">
        <v>0.75</v>
      </c>
      <c r="M432" s="297">
        <v>0.75</v>
      </c>
      <c r="N432" s="297">
        <v>0.7729166666666667</v>
      </c>
      <c r="O432" s="19">
        <f>(Table6[[#This Row],[Work Start TimeStamp]]-Table6[[#This Row],[Fault Start TimeStamp]])*24</f>
        <v>0</v>
      </c>
      <c r="P432" s="19">
        <f>(Table6[[#This Row],[Fault Clearance time]]-Table6[[#This Row],[Fault Start TimeStamp]])*24</f>
        <v>0.55000000000000071</v>
      </c>
      <c r="Q432" s="19">
        <f>(Table6[[#This Row],[Fault Clearance time]]-Table6[[#This Row],[Fault Start TimeStamp]])*24</f>
        <v>0.55000000000000071</v>
      </c>
      <c r="R432" s="79" t="s">
        <v>804</v>
      </c>
      <c r="S432" s="79" t="s">
        <v>339</v>
      </c>
      <c r="T432" s="298">
        <f>IFERROR(Table6[[#This Row],[Breakdown Time]]*Table6[[#This Row],[Plant Equivalent Weightage]],"")</f>
        <v>1.2500000000000016E-2</v>
      </c>
      <c r="U432" s="79" t="s">
        <v>421</v>
      </c>
      <c r="W432" s="79">
        <v>738</v>
      </c>
    </row>
    <row r="433" spans="1:23">
      <c r="A433" s="79">
        <f t="shared" si="6"/>
        <v>432</v>
      </c>
      <c r="B433" s="79">
        <f>YEAR(Table6[[#This Row],[Date]])+IF(MONTH(Table6[[#This Row],[Date]])&gt;=4,1,0)</f>
        <v>2026</v>
      </c>
      <c r="C433" s="79">
        <f>YEAR(Table6[[#This Row],[Date]])</f>
        <v>2025</v>
      </c>
      <c r="D433" s="79" t="s">
        <v>344</v>
      </c>
      <c r="E433" s="284">
        <f>Table6[[#This Row],[Date]]-DAY(Table6[[#This Row],[Date]])+1</f>
        <v>45778</v>
      </c>
      <c r="F433" s="285">
        <v>45789</v>
      </c>
      <c r="G433" s="79" t="s">
        <v>111</v>
      </c>
      <c r="H433" s="79" t="str">
        <f>IFERROR(_xlfn.XLOOKUP(Table6[[#This Row],[Affected Feeder ]],'Basic Data'!$A:$A,'Basic Data'!$B:$B),"")</f>
        <v>PWEPL</v>
      </c>
      <c r="I433" s="79" t="str">
        <f>IFERROR(_xlfn.XLOOKUP(Table6[[#This Row],[Affected Feeder ]],'Basic Data'!$A:$A,'Basic Data'!$C:$C),"")</f>
        <v>MSEDCL</v>
      </c>
      <c r="J433" s="295">
        <f>IFERROR(_xlfn.XLOOKUP(Table6[[#This Row],[Affected Feeder ]],'Basic Data'!$A:$A,'Basic Data'!$E:$E),"")</f>
        <v>2.2727272727272728E-2</v>
      </c>
      <c r="K433" s="296" t="s">
        <v>171</v>
      </c>
      <c r="L433" s="297">
        <v>0.7729166666666667</v>
      </c>
      <c r="M433" s="297">
        <v>0.7729166666666667</v>
      </c>
      <c r="N433" s="297">
        <v>0.78472222222222221</v>
      </c>
      <c r="O433" s="19">
        <f>(Table6[[#This Row],[Work Start TimeStamp]]-Table6[[#This Row],[Fault Start TimeStamp]])*24</f>
        <v>0</v>
      </c>
      <c r="P433" s="19">
        <f>(Table6[[#This Row],[Fault Clearance time]]-Table6[[#This Row],[Fault Start TimeStamp]])*24</f>
        <v>0.28333333333333233</v>
      </c>
      <c r="Q433" s="19">
        <f>(Table6[[#This Row],[Fault Clearance time]]-Table6[[#This Row],[Fault Start TimeStamp]])*24</f>
        <v>0.28333333333333233</v>
      </c>
      <c r="R433" s="79" t="s">
        <v>353</v>
      </c>
      <c r="S433" s="79" t="s">
        <v>339</v>
      </c>
      <c r="T433" s="298">
        <f>IFERROR(Table6[[#This Row],[Breakdown Time]]*Table6[[#This Row],[Plant Equivalent Weightage]],"")</f>
        <v>6.4393939393939167E-3</v>
      </c>
      <c r="U433" s="79" t="s">
        <v>421</v>
      </c>
      <c r="W433" s="79">
        <v>84</v>
      </c>
    </row>
    <row r="434" spans="1:23">
      <c r="A434" s="79">
        <f t="shared" si="6"/>
        <v>433</v>
      </c>
      <c r="B434" s="79">
        <f>YEAR(Table6[[#This Row],[Date]])+IF(MONTH(Table6[[#This Row],[Date]])&gt;=4,1,0)</f>
        <v>2026</v>
      </c>
      <c r="C434" s="79">
        <f>YEAR(Table6[[#This Row],[Date]])</f>
        <v>2025</v>
      </c>
      <c r="D434" s="79" t="s">
        <v>344</v>
      </c>
      <c r="E434" s="284">
        <f>Table6[[#This Row],[Date]]-DAY(Table6[[#This Row],[Date]])+1</f>
        <v>45778</v>
      </c>
      <c r="F434" s="285">
        <v>45789</v>
      </c>
      <c r="G434" s="79" t="s">
        <v>112</v>
      </c>
      <c r="H434" s="79" t="str">
        <f>IFERROR(_xlfn.XLOOKUP(Table6[[#This Row],[Affected Feeder ]],'Basic Data'!$A:$A,'Basic Data'!$B:$B),"")</f>
        <v>PWEPL</v>
      </c>
      <c r="I434" s="79" t="str">
        <f>IFERROR(_xlfn.XLOOKUP(Table6[[#This Row],[Affected Feeder ]],'Basic Data'!$A:$A,'Basic Data'!$C:$C),"")</f>
        <v>MSEDCL</v>
      </c>
      <c r="J434" s="295">
        <f>IFERROR(_xlfn.XLOOKUP(Table6[[#This Row],[Affected Feeder ]],'Basic Data'!$A:$A,'Basic Data'!$E:$E),"")</f>
        <v>2.2727272727272728E-2</v>
      </c>
      <c r="K434" s="296" t="s">
        <v>803</v>
      </c>
      <c r="L434" s="297">
        <v>0.75</v>
      </c>
      <c r="M434" s="297">
        <v>0.75</v>
      </c>
      <c r="N434" s="297">
        <v>0.7729166666666667</v>
      </c>
      <c r="O434" s="19">
        <f>(Table6[[#This Row],[Work Start TimeStamp]]-Table6[[#This Row],[Fault Start TimeStamp]])*24</f>
        <v>0</v>
      </c>
      <c r="P434" s="19">
        <f>(Table6[[#This Row],[Fault Clearance time]]-Table6[[#This Row],[Fault Start TimeStamp]])*24</f>
        <v>0.55000000000000071</v>
      </c>
      <c r="Q434" s="19">
        <f>(Table6[[#This Row],[Fault Clearance time]]-Table6[[#This Row],[Fault Start TimeStamp]])*24</f>
        <v>0.55000000000000071</v>
      </c>
      <c r="R434" s="79" t="s">
        <v>804</v>
      </c>
      <c r="S434" s="79" t="s">
        <v>339</v>
      </c>
      <c r="T434" s="298">
        <f>IFERROR(Table6[[#This Row],[Breakdown Time]]*Table6[[#This Row],[Plant Equivalent Weightage]],"")</f>
        <v>1.2500000000000016E-2</v>
      </c>
      <c r="U434" s="79" t="s">
        <v>421</v>
      </c>
      <c r="W434" s="79">
        <v>723</v>
      </c>
    </row>
    <row r="435" spans="1:23">
      <c r="A435" s="79">
        <f t="shared" si="6"/>
        <v>434</v>
      </c>
      <c r="B435" s="79">
        <f>YEAR(Table6[[#This Row],[Date]])+IF(MONTH(Table6[[#This Row],[Date]])&gt;=4,1,0)</f>
        <v>2026</v>
      </c>
      <c r="C435" s="79">
        <f>YEAR(Table6[[#This Row],[Date]])</f>
        <v>2025</v>
      </c>
      <c r="D435" s="79" t="s">
        <v>344</v>
      </c>
      <c r="E435" s="284">
        <f>Table6[[#This Row],[Date]]-DAY(Table6[[#This Row],[Date]])+1</f>
        <v>45778</v>
      </c>
      <c r="F435" s="285">
        <v>45789</v>
      </c>
      <c r="G435" s="79" t="s">
        <v>112</v>
      </c>
      <c r="H435" s="79" t="str">
        <f>IFERROR(_xlfn.XLOOKUP(Table6[[#This Row],[Affected Feeder ]],'Basic Data'!$A:$A,'Basic Data'!$B:$B),"")</f>
        <v>PWEPL</v>
      </c>
      <c r="I435" s="79" t="str">
        <f>IFERROR(_xlfn.XLOOKUP(Table6[[#This Row],[Affected Feeder ]],'Basic Data'!$A:$A,'Basic Data'!$C:$C),"")</f>
        <v>MSEDCL</v>
      </c>
      <c r="J435" s="295">
        <f>IFERROR(_xlfn.XLOOKUP(Table6[[#This Row],[Affected Feeder ]],'Basic Data'!$A:$A,'Basic Data'!$E:$E),"")</f>
        <v>2.2727272727272728E-2</v>
      </c>
      <c r="K435" s="296" t="s">
        <v>171</v>
      </c>
      <c r="L435" s="297">
        <v>0.7729166666666667</v>
      </c>
      <c r="M435" s="297">
        <v>0.7729166666666667</v>
      </c>
      <c r="N435" s="297">
        <v>0.78680555555555554</v>
      </c>
      <c r="O435" s="19">
        <f>(Table6[[#This Row],[Work Start TimeStamp]]-Table6[[#This Row],[Fault Start TimeStamp]])*24</f>
        <v>0</v>
      </c>
      <c r="P435" s="19">
        <f>(Table6[[#This Row],[Fault Clearance time]]-Table6[[#This Row],[Fault Start TimeStamp]])*24</f>
        <v>0.33333333333333215</v>
      </c>
      <c r="Q435" s="19">
        <f>(Table6[[#This Row],[Fault Clearance time]]-Table6[[#This Row],[Fault Start TimeStamp]])*24</f>
        <v>0.33333333333333215</v>
      </c>
      <c r="R435" s="79" t="s">
        <v>353</v>
      </c>
      <c r="S435" s="79" t="s">
        <v>339</v>
      </c>
      <c r="T435" s="298">
        <f>IFERROR(Table6[[#This Row],[Breakdown Time]]*Table6[[#This Row],[Plant Equivalent Weightage]],"")</f>
        <v>7.5757575757575491E-3</v>
      </c>
      <c r="U435" s="79" t="s">
        <v>421</v>
      </c>
      <c r="W435" s="79">
        <v>99</v>
      </c>
    </row>
    <row r="436" spans="1:23">
      <c r="A436" s="79">
        <f t="shared" si="6"/>
        <v>435</v>
      </c>
      <c r="B436" s="79">
        <f>YEAR(Table6[[#This Row],[Date]])+IF(MONTH(Table6[[#This Row],[Date]])&gt;=4,1,0)</f>
        <v>2026</v>
      </c>
      <c r="C436" s="79">
        <f>YEAR(Table6[[#This Row],[Date]])</f>
        <v>2025</v>
      </c>
      <c r="D436" s="79" t="s">
        <v>344</v>
      </c>
      <c r="E436" s="284">
        <f>Table6[[#This Row],[Date]]-DAY(Table6[[#This Row],[Date]])+1</f>
        <v>45778</v>
      </c>
      <c r="F436" s="285">
        <v>45789</v>
      </c>
      <c r="G436" s="79" t="s">
        <v>113</v>
      </c>
      <c r="H436" s="79" t="str">
        <f>IFERROR(_xlfn.XLOOKUP(Table6[[#This Row],[Affected Feeder ]],'Basic Data'!$A:$A,'Basic Data'!$B:$B),"")</f>
        <v>PWEPL</v>
      </c>
      <c r="I436" s="79" t="str">
        <f>IFERROR(_xlfn.XLOOKUP(Table6[[#This Row],[Affected Feeder ]],'Basic Data'!$A:$A,'Basic Data'!$C:$C),"")</f>
        <v>MSEDCL</v>
      </c>
      <c r="J436" s="295">
        <f>IFERROR(_xlfn.XLOOKUP(Table6[[#This Row],[Affected Feeder ]],'Basic Data'!$A:$A,'Basic Data'!$E:$E),"")</f>
        <v>2.2727272727272728E-2</v>
      </c>
      <c r="K436" s="296" t="s">
        <v>803</v>
      </c>
      <c r="L436" s="297">
        <v>0.75</v>
      </c>
      <c r="M436" s="297">
        <v>0.75</v>
      </c>
      <c r="N436" s="297">
        <v>0.7729166666666667</v>
      </c>
      <c r="O436" s="19">
        <f>(Table6[[#This Row],[Work Start TimeStamp]]-Table6[[#This Row],[Fault Start TimeStamp]])*24</f>
        <v>0</v>
      </c>
      <c r="P436" s="19">
        <f>(Table6[[#This Row],[Fault Clearance time]]-Table6[[#This Row],[Fault Start TimeStamp]])*24</f>
        <v>0.55000000000000071</v>
      </c>
      <c r="Q436" s="19">
        <f>(Table6[[#This Row],[Fault Clearance time]]-Table6[[#This Row],[Fault Start TimeStamp]])*24</f>
        <v>0.55000000000000071</v>
      </c>
      <c r="R436" s="79" t="s">
        <v>804</v>
      </c>
      <c r="S436" s="79" t="s">
        <v>339</v>
      </c>
      <c r="T436" s="298">
        <f>IFERROR(Table6[[#This Row],[Breakdown Time]]*Table6[[#This Row],[Plant Equivalent Weightage]],"")</f>
        <v>1.2500000000000016E-2</v>
      </c>
      <c r="U436" s="79" t="s">
        <v>421</v>
      </c>
      <c r="W436" s="79">
        <v>723</v>
      </c>
    </row>
    <row r="437" spans="1:23">
      <c r="A437" s="79">
        <f t="shared" si="6"/>
        <v>436</v>
      </c>
      <c r="B437" s="79">
        <f>YEAR(Table6[[#This Row],[Date]])+IF(MONTH(Table6[[#This Row],[Date]])&gt;=4,1,0)</f>
        <v>2026</v>
      </c>
      <c r="C437" s="79">
        <f>YEAR(Table6[[#This Row],[Date]])</f>
        <v>2025</v>
      </c>
      <c r="D437" s="79" t="s">
        <v>344</v>
      </c>
      <c r="E437" s="284">
        <f>Table6[[#This Row],[Date]]-DAY(Table6[[#This Row],[Date]])+1</f>
        <v>45778</v>
      </c>
      <c r="F437" s="285">
        <v>45789</v>
      </c>
      <c r="G437" s="79" t="s">
        <v>113</v>
      </c>
      <c r="H437" s="79" t="str">
        <f>IFERROR(_xlfn.XLOOKUP(Table6[[#This Row],[Affected Feeder ]],'Basic Data'!$A:$A,'Basic Data'!$B:$B),"")</f>
        <v>PWEPL</v>
      </c>
      <c r="I437" s="79" t="str">
        <f>IFERROR(_xlfn.XLOOKUP(Table6[[#This Row],[Affected Feeder ]],'Basic Data'!$A:$A,'Basic Data'!$C:$C),"")</f>
        <v>MSEDCL</v>
      </c>
      <c r="J437" s="295">
        <f>IFERROR(_xlfn.XLOOKUP(Table6[[#This Row],[Affected Feeder ]],'Basic Data'!$A:$A,'Basic Data'!$E:$E),"")</f>
        <v>2.2727272727272728E-2</v>
      </c>
      <c r="K437" s="296" t="s">
        <v>171</v>
      </c>
      <c r="L437" s="297">
        <v>0.7729166666666667</v>
      </c>
      <c r="M437" s="297">
        <v>0.7729166666666667</v>
      </c>
      <c r="N437" s="297">
        <v>0.78680555555555554</v>
      </c>
      <c r="O437" s="19">
        <f>(Table6[[#This Row],[Work Start TimeStamp]]-Table6[[#This Row],[Fault Start TimeStamp]])*24</f>
        <v>0</v>
      </c>
      <c r="P437" s="19">
        <f>(Table6[[#This Row],[Fault Clearance time]]-Table6[[#This Row],[Fault Start TimeStamp]])*24</f>
        <v>0.33333333333333215</v>
      </c>
      <c r="Q437" s="19">
        <f>(Table6[[#This Row],[Fault Clearance time]]-Table6[[#This Row],[Fault Start TimeStamp]])*24</f>
        <v>0.33333333333333215</v>
      </c>
      <c r="R437" s="79" t="s">
        <v>353</v>
      </c>
      <c r="S437" s="79" t="s">
        <v>339</v>
      </c>
      <c r="T437" s="298">
        <f>IFERROR(Table6[[#This Row],[Breakdown Time]]*Table6[[#This Row],[Plant Equivalent Weightage]],"")</f>
        <v>7.5757575757575491E-3</v>
      </c>
      <c r="U437" s="79" t="s">
        <v>421</v>
      </c>
      <c r="W437" s="79">
        <v>99</v>
      </c>
    </row>
    <row r="438" spans="1:23">
      <c r="A438" s="79">
        <f t="shared" si="6"/>
        <v>437</v>
      </c>
      <c r="B438" s="79">
        <f>YEAR(Table6[[#This Row],[Date]])+IF(MONTH(Table6[[#This Row],[Date]])&gt;=4,1,0)</f>
        <v>2026</v>
      </c>
      <c r="C438" s="79">
        <f>YEAR(Table6[[#This Row],[Date]])</f>
        <v>2025</v>
      </c>
      <c r="D438" s="79" t="s">
        <v>344</v>
      </c>
      <c r="E438" s="284">
        <f>Table6[[#This Row],[Date]]-DAY(Table6[[#This Row],[Date]])+1</f>
        <v>45778</v>
      </c>
      <c r="F438" s="285">
        <v>45789</v>
      </c>
      <c r="G438" s="79" t="s">
        <v>114</v>
      </c>
      <c r="H438" s="79" t="str">
        <f>IFERROR(_xlfn.XLOOKUP(Table6[[#This Row],[Affected Feeder ]],'Basic Data'!$A:$A,'Basic Data'!$B:$B),"")</f>
        <v>PWEPL</v>
      </c>
      <c r="I438" s="79" t="str">
        <f>IFERROR(_xlfn.XLOOKUP(Table6[[#This Row],[Affected Feeder ]],'Basic Data'!$A:$A,'Basic Data'!$C:$C),"")</f>
        <v>MSEDCL</v>
      </c>
      <c r="J438" s="295">
        <f>IFERROR(_xlfn.XLOOKUP(Table6[[#This Row],[Affected Feeder ]],'Basic Data'!$A:$A,'Basic Data'!$E:$E),"")</f>
        <v>2.2727272727272728E-2</v>
      </c>
      <c r="K438" s="296" t="s">
        <v>803</v>
      </c>
      <c r="L438" s="297">
        <v>0.75</v>
      </c>
      <c r="M438" s="297">
        <v>0.75</v>
      </c>
      <c r="N438" s="297">
        <v>0.7729166666666667</v>
      </c>
      <c r="O438" s="19">
        <f>(Table6[[#This Row],[Work Start TimeStamp]]-Table6[[#This Row],[Fault Start TimeStamp]])*24</f>
        <v>0</v>
      </c>
      <c r="P438" s="19">
        <f>(Table6[[#This Row],[Fault Clearance time]]-Table6[[#This Row],[Fault Start TimeStamp]])*24</f>
        <v>0.55000000000000071</v>
      </c>
      <c r="Q438" s="19">
        <f>(Table6[[#This Row],[Fault Clearance time]]-Table6[[#This Row],[Fault Start TimeStamp]])*24</f>
        <v>0.55000000000000071</v>
      </c>
      <c r="R438" s="79" t="s">
        <v>804</v>
      </c>
      <c r="S438" s="79" t="s">
        <v>339</v>
      </c>
      <c r="T438" s="298">
        <f>IFERROR(Table6[[#This Row],[Breakdown Time]]*Table6[[#This Row],[Plant Equivalent Weightage]],"")</f>
        <v>1.2500000000000016E-2</v>
      </c>
      <c r="U438" s="79" t="s">
        <v>421</v>
      </c>
      <c r="W438" s="79">
        <v>723</v>
      </c>
    </row>
    <row r="439" spans="1:23">
      <c r="A439" s="79">
        <f t="shared" si="6"/>
        <v>438</v>
      </c>
      <c r="B439" s="79">
        <f>YEAR(Table6[[#This Row],[Date]])+IF(MONTH(Table6[[#This Row],[Date]])&gt;=4,1,0)</f>
        <v>2026</v>
      </c>
      <c r="C439" s="79">
        <f>YEAR(Table6[[#This Row],[Date]])</f>
        <v>2025</v>
      </c>
      <c r="D439" s="79" t="s">
        <v>344</v>
      </c>
      <c r="E439" s="284">
        <f>Table6[[#This Row],[Date]]-DAY(Table6[[#This Row],[Date]])+1</f>
        <v>45778</v>
      </c>
      <c r="F439" s="285">
        <v>45789</v>
      </c>
      <c r="G439" s="79" t="s">
        <v>114</v>
      </c>
      <c r="H439" s="79" t="str">
        <f>IFERROR(_xlfn.XLOOKUP(Table6[[#This Row],[Affected Feeder ]],'Basic Data'!$A:$A,'Basic Data'!$B:$B),"")</f>
        <v>PWEPL</v>
      </c>
      <c r="I439" s="79" t="str">
        <f>IFERROR(_xlfn.XLOOKUP(Table6[[#This Row],[Affected Feeder ]],'Basic Data'!$A:$A,'Basic Data'!$C:$C),"")</f>
        <v>MSEDCL</v>
      </c>
      <c r="J439" s="295">
        <f>IFERROR(_xlfn.XLOOKUP(Table6[[#This Row],[Affected Feeder ]],'Basic Data'!$A:$A,'Basic Data'!$E:$E),"")</f>
        <v>2.2727272727272728E-2</v>
      </c>
      <c r="K439" s="296" t="s">
        <v>171</v>
      </c>
      <c r="L439" s="297">
        <v>0.7729166666666667</v>
      </c>
      <c r="M439" s="297">
        <v>0.7729166666666667</v>
      </c>
      <c r="N439" s="297">
        <v>0.78680555555555554</v>
      </c>
      <c r="O439" s="19">
        <f>(Table6[[#This Row],[Work Start TimeStamp]]-Table6[[#This Row],[Fault Start TimeStamp]])*24</f>
        <v>0</v>
      </c>
      <c r="P439" s="19">
        <f>(Table6[[#This Row],[Fault Clearance time]]-Table6[[#This Row],[Fault Start TimeStamp]])*24</f>
        <v>0.33333333333333215</v>
      </c>
      <c r="Q439" s="19">
        <f>(Table6[[#This Row],[Fault Clearance time]]-Table6[[#This Row],[Fault Start TimeStamp]])*24</f>
        <v>0.33333333333333215</v>
      </c>
      <c r="R439" s="79" t="s">
        <v>353</v>
      </c>
      <c r="S439" s="79" t="s">
        <v>339</v>
      </c>
      <c r="T439" s="298">
        <f>IFERROR(Table6[[#This Row],[Breakdown Time]]*Table6[[#This Row],[Plant Equivalent Weightage]],"")</f>
        <v>7.5757575757575491E-3</v>
      </c>
      <c r="U439" s="79" t="s">
        <v>421</v>
      </c>
      <c r="W439" s="79">
        <v>99</v>
      </c>
    </row>
    <row r="440" spans="1:23">
      <c r="A440" s="79">
        <f t="shared" si="6"/>
        <v>439</v>
      </c>
      <c r="B440" s="79">
        <f>YEAR(Table6[[#This Row],[Date]])+IF(MONTH(Table6[[#This Row],[Date]])&gt;=4,1,0)</f>
        <v>2026</v>
      </c>
      <c r="C440" s="79">
        <f>YEAR(Table6[[#This Row],[Date]])</f>
        <v>2025</v>
      </c>
      <c r="D440" s="79" t="s">
        <v>344</v>
      </c>
      <c r="E440" s="284">
        <f>Table6[[#This Row],[Date]]-DAY(Table6[[#This Row],[Date]])+1</f>
        <v>45778</v>
      </c>
      <c r="F440" s="285">
        <v>45789</v>
      </c>
      <c r="G440" s="79" t="s">
        <v>109</v>
      </c>
      <c r="H440" s="79" t="str">
        <f>IFERROR(_xlfn.XLOOKUP(Table6[[#This Row],[Affected Feeder ]],'Basic Data'!$A:$A,'Basic Data'!$B:$B),"")</f>
        <v>PWEPL</v>
      </c>
      <c r="I440" s="79" t="str">
        <f>IFERROR(_xlfn.XLOOKUP(Table6[[#This Row],[Affected Feeder ]],'Basic Data'!$A:$A,'Basic Data'!$C:$C),"")</f>
        <v>MSEDCL</v>
      </c>
      <c r="J440" s="295">
        <f>IFERROR(_xlfn.XLOOKUP(Table6[[#This Row],[Affected Feeder ]],'Basic Data'!$A:$A,'Basic Data'!$E:$E),"")</f>
        <v>2.2727272727272728E-2</v>
      </c>
      <c r="K440" s="296" t="s">
        <v>796</v>
      </c>
      <c r="L440" s="297">
        <v>0.78680555555555554</v>
      </c>
      <c r="M440" s="297">
        <v>0.78680555555555554</v>
      </c>
      <c r="N440" s="297">
        <v>0.82500000000000007</v>
      </c>
      <c r="O440" s="19">
        <f>(Table6[[#This Row],[Work Start TimeStamp]]-Table6[[#This Row],[Fault Start TimeStamp]])*24</f>
        <v>0</v>
      </c>
      <c r="P440" s="19">
        <f>(Table6[[#This Row],[Fault Clearance time]]-Table6[[#This Row],[Fault Start TimeStamp]])*24</f>
        <v>0.91666666666666874</v>
      </c>
      <c r="Q440" s="19">
        <f>(Table6[[#This Row],[Fault Clearance time]]-Table6[[#This Row],[Fault Start TimeStamp]])*24</f>
        <v>0.91666666666666874</v>
      </c>
      <c r="R440" s="79" t="s">
        <v>424</v>
      </c>
      <c r="S440" s="79" t="s">
        <v>339</v>
      </c>
      <c r="T440" s="298">
        <f>IFERROR(Table6[[#This Row],[Breakdown Time]]*Table6[[#This Row],[Plant Equivalent Weightage]],"")</f>
        <v>2.0833333333333381E-2</v>
      </c>
      <c r="U440" s="79" t="s">
        <v>421</v>
      </c>
      <c r="W440" s="79">
        <v>325</v>
      </c>
    </row>
    <row r="441" spans="1:23">
      <c r="A441" s="79">
        <f t="shared" si="6"/>
        <v>440</v>
      </c>
      <c r="B441" s="79">
        <f>YEAR(Table6[[#This Row],[Date]])+IF(MONTH(Table6[[#This Row],[Date]])&gt;=4,1,0)</f>
        <v>2026</v>
      </c>
      <c r="C441" s="79">
        <f>YEAR(Table6[[#This Row],[Date]])</f>
        <v>2025</v>
      </c>
      <c r="D441" s="79" t="s">
        <v>344</v>
      </c>
      <c r="E441" s="284">
        <f>Table6[[#This Row],[Date]]-DAY(Table6[[#This Row],[Date]])+1</f>
        <v>45778</v>
      </c>
      <c r="F441" s="285">
        <v>45789</v>
      </c>
      <c r="G441" s="79" t="s">
        <v>109</v>
      </c>
      <c r="H441" s="79" t="str">
        <f>IFERROR(_xlfn.XLOOKUP(Table6[[#This Row],[Affected Feeder ]],'Basic Data'!$A:$A,'Basic Data'!$B:$B),"")</f>
        <v>PWEPL</v>
      </c>
      <c r="I441" s="79" t="str">
        <f>IFERROR(_xlfn.XLOOKUP(Table6[[#This Row],[Affected Feeder ]],'Basic Data'!$A:$A,'Basic Data'!$C:$C),"")</f>
        <v>MSEDCL</v>
      </c>
      <c r="J441" s="295">
        <f>IFERROR(_xlfn.XLOOKUP(Table6[[#This Row],[Affected Feeder ]],'Basic Data'!$A:$A,'Basic Data'!$E:$E),"")</f>
        <v>2.2727272727272728E-2</v>
      </c>
      <c r="K441" s="296" t="s">
        <v>171</v>
      </c>
      <c r="L441" s="297">
        <v>0.82500000000000007</v>
      </c>
      <c r="M441" s="297">
        <v>0.82500000000000007</v>
      </c>
      <c r="N441" s="297">
        <v>0.83680555555555547</v>
      </c>
      <c r="O441" s="19">
        <f>(Table6[[#This Row],[Work Start TimeStamp]]-Table6[[#This Row],[Fault Start TimeStamp]])*24</f>
        <v>0</v>
      </c>
      <c r="P441" s="19">
        <f>(Table6[[#This Row],[Fault Clearance time]]-Table6[[#This Row],[Fault Start TimeStamp]])*24</f>
        <v>0.28333333333332966</v>
      </c>
      <c r="Q441" s="19">
        <f>(Table6[[#This Row],[Fault Clearance time]]-Table6[[#This Row],[Fault Start TimeStamp]])*24</f>
        <v>0.28333333333332966</v>
      </c>
      <c r="R441" s="79" t="s">
        <v>353</v>
      </c>
      <c r="S441" s="79" t="s">
        <v>339</v>
      </c>
      <c r="T441" s="298">
        <f>IFERROR(Table6[[#This Row],[Breakdown Time]]*Table6[[#This Row],[Plant Equivalent Weightage]],"")</f>
        <v>6.439393939393856E-3</v>
      </c>
      <c r="U441" s="79" t="s">
        <v>421</v>
      </c>
      <c r="W441" s="79">
        <v>144</v>
      </c>
    </row>
    <row r="442" spans="1:23">
      <c r="A442" s="79">
        <f t="shared" si="6"/>
        <v>441</v>
      </c>
      <c r="B442" s="79">
        <f>YEAR(Table6[[#This Row],[Date]])+IF(MONTH(Table6[[#This Row],[Date]])&gt;=4,1,0)</f>
        <v>2026</v>
      </c>
      <c r="C442" s="79">
        <f>YEAR(Table6[[#This Row],[Date]])</f>
        <v>2025</v>
      </c>
      <c r="D442" s="79" t="s">
        <v>344</v>
      </c>
      <c r="E442" s="284">
        <f>Table6[[#This Row],[Date]]-DAY(Table6[[#This Row],[Date]])+1</f>
        <v>45778</v>
      </c>
      <c r="F442" s="285">
        <v>45791</v>
      </c>
      <c r="G442" s="79" t="s">
        <v>80</v>
      </c>
      <c r="H442" s="79" t="str">
        <f>IFERROR(_xlfn.XLOOKUP(Table6[[#This Row],[Affected Feeder ]],'Basic Data'!$A:$A,'Basic Data'!$B:$B),"")</f>
        <v>PWEPL</v>
      </c>
      <c r="I442" s="79" t="str">
        <f>IFERROR(_xlfn.XLOOKUP(Table6[[#This Row],[Affected Feeder ]],'Basic Data'!$A:$A,'Basic Data'!$C:$C),"")</f>
        <v>MSEDCL</v>
      </c>
      <c r="J442" s="295">
        <f>IFERROR(_xlfn.XLOOKUP(Table6[[#This Row],[Affected Feeder ]],'Basic Data'!$A:$A,'Basic Data'!$E:$E),"")</f>
        <v>2.2727272727272728E-2</v>
      </c>
      <c r="K442" s="296" t="s">
        <v>414</v>
      </c>
      <c r="L442" s="297">
        <v>0.52013888888888882</v>
      </c>
      <c r="M442" s="297">
        <v>0.52013888888888882</v>
      </c>
      <c r="N442" s="297">
        <v>0.56388888888888888</v>
      </c>
      <c r="O442" s="19">
        <f>(Table6[[#This Row],[Work Start TimeStamp]]-Table6[[#This Row],[Fault Start TimeStamp]])*24</f>
        <v>0</v>
      </c>
      <c r="P442" s="19">
        <f>(Table6[[#This Row],[Fault Clearance time]]-Table6[[#This Row],[Fault Start TimeStamp]])*24</f>
        <v>1.0500000000000016</v>
      </c>
      <c r="Q442" s="19">
        <f>(Table6[[#This Row],[Fault Clearance time]]-Table6[[#This Row],[Fault Start TimeStamp]])*24</f>
        <v>1.0500000000000016</v>
      </c>
      <c r="R442" s="79" t="s">
        <v>457</v>
      </c>
      <c r="S442" s="79" t="s">
        <v>339</v>
      </c>
      <c r="T442" s="298">
        <f>IFERROR(Table6[[#This Row],[Breakdown Time]]*Table6[[#This Row],[Plant Equivalent Weightage]],"")</f>
        <v>2.3863636363636399E-2</v>
      </c>
      <c r="U442" s="79" t="s">
        <v>416</v>
      </c>
      <c r="W442" s="79">
        <v>97</v>
      </c>
    </row>
    <row r="443" spans="1:23">
      <c r="A443" s="79">
        <f t="shared" si="6"/>
        <v>442</v>
      </c>
      <c r="B443" s="79">
        <f>YEAR(Table6[[#This Row],[Date]])+IF(MONTH(Table6[[#This Row],[Date]])&gt;=4,1,0)</f>
        <v>2026</v>
      </c>
      <c r="C443" s="79">
        <f>YEAR(Table6[[#This Row],[Date]])</f>
        <v>2025</v>
      </c>
      <c r="D443" s="79" t="s">
        <v>344</v>
      </c>
      <c r="E443" s="284">
        <f>Table6[[#This Row],[Date]]-DAY(Table6[[#This Row],[Date]])+1</f>
        <v>45778</v>
      </c>
      <c r="F443" s="285">
        <v>45791</v>
      </c>
      <c r="G443" s="79" t="s">
        <v>81</v>
      </c>
      <c r="H443" s="79" t="str">
        <f>IFERROR(_xlfn.XLOOKUP(Table6[[#This Row],[Affected Feeder ]],'Basic Data'!$A:$A,'Basic Data'!$B:$B),"")</f>
        <v>PWEPL</v>
      </c>
      <c r="I443" s="79" t="str">
        <f>IFERROR(_xlfn.XLOOKUP(Table6[[#This Row],[Affected Feeder ]],'Basic Data'!$A:$A,'Basic Data'!$C:$C),"")</f>
        <v>MSEDCL</v>
      </c>
      <c r="J443" s="295">
        <f>IFERROR(_xlfn.XLOOKUP(Table6[[#This Row],[Affected Feeder ]],'Basic Data'!$A:$A,'Basic Data'!$E:$E),"")</f>
        <v>2.2727272727272728E-2</v>
      </c>
      <c r="K443" s="296" t="s">
        <v>414</v>
      </c>
      <c r="L443" s="297">
        <v>0.52013888888888882</v>
      </c>
      <c r="M443" s="297">
        <v>0.52013888888888882</v>
      </c>
      <c r="N443" s="297">
        <v>0.56388888888888888</v>
      </c>
      <c r="O443" s="19">
        <f>(Table6[[#This Row],[Work Start TimeStamp]]-Table6[[#This Row],[Fault Start TimeStamp]])*24</f>
        <v>0</v>
      </c>
      <c r="P443" s="19">
        <f>(Table6[[#This Row],[Fault Clearance time]]-Table6[[#This Row],[Fault Start TimeStamp]])*24</f>
        <v>1.0500000000000016</v>
      </c>
      <c r="Q443" s="19">
        <f>(Table6[[#This Row],[Fault Clearance time]]-Table6[[#This Row],[Fault Start TimeStamp]])*24</f>
        <v>1.0500000000000016</v>
      </c>
      <c r="R443" s="79" t="s">
        <v>457</v>
      </c>
      <c r="S443" s="79" t="s">
        <v>339</v>
      </c>
      <c r="T443" s="298">
        <f>IFERROR(Table6[[#This Row],[Breakdown Time]]*Table6[[#This Row],[Plant Equivalent Weightage]],"")</f>
        <v>2.3863636363636399E-2</v>
      </c>
      <c r="U443" s="79" t="s">
        <v>416</v>
      </c>
      <c r="W443" s="79">
        <v>97</v>
      </c>
    </row>
    <row r="444" spans="1:23">
      <c r="A444" s="79">
        <f t="shared" si="6"/>
        <v>443</v>
      </c>
      <c r="B444" s="79">
        <f>YEAR(Table6[[#This Row],[Date]])+IF(MONTH(Table6[[#This Row],[Date]])&gt;=4,1,0)</f>
        <v>2026</v>
      </c>
      <c r="C444" s="79">
        <f>YEAR(Table6[[#This Row],[Date]])</f>
        <v>2025</v>
      </c>
      <c r="D444" s="79" t="s">
        <v>344</v>
      </c>
      <c r="E444" s="284">
        <f>Table6[[#This Row],[Date]]-DAY(Table6[[#This Row],[Date]])+1</f>
        <v>45778</v>
      </c>
      <c r="F444" s="285">
        <v>45791</v>
      </c>
      <c r="G444" s="79" t="s">
        <v>107</v>
      </c>
      <c r="H444" s="79" t="str">
        <f>IFERROR(_xlfn.XLOOKUP(Table6[[#This Row],[Affected Feeder ]],'Basic Data'!$A:$A,'Basic Data'!$B:$B),"")</f>
        <v>PWEPL</v>
      </c>
      <c r="I444" s="79" t="str">
        <f>IFERROR(_xlfn.XLOOKUP(Table6[[#This Row],[Affected Feeder ]],'Basic Data'!$A:$A,'Basic Data'!$C:$C),"")</f>
        <v>MSEDCL</v>
      </c>
      <c r="J444" s="295">
        <f>IFERROR(_xlfn.XLOOKUP(Table6[[#This Row],[Affected Feeder ]],'Basic Data'!$A:$A,'Basic Data'!$E:$E),"")</f>
        <v>2.2727272727272728E-2</v>
      </c>
      <c r="K444" s="296" t="s">
        <v>414</v>
      </c>
      <c r="L444" s="297">
        <v>0.52013888888888882</v>
      </c>
      <c r="M444" s="297">
        <v>0.52013888888888882</v>
      </c>
      <c r="N444" s="297">
        <v>0.56388888888888888</v>
      </c>
      <c r="O444" s="19">
        <f>(Table6[[#This Row],[Work Start TimeStamp]]-Table6[[#This Row],[Fault Start TimeStamp]])*24</f>
        <v>0</v>
      </c>
      <c r="P444" s="19">
        <f>(Table6[[#This Row],[Fault Clearance time]]-Table6[[#This Row],[Fault Start TimeStamp]])*24</f>
        <v>1.0500000000000016</v>
      </c>
      <c r="Q444" s="19">
        <f>(Table6[[#This Row],[Fault Clearance time]]-Table6[[#This Row],[Fault Start TimeStamp]])*24</f>
        <v>1.0500000000000016</v>
      </c>
      <c r="R444" s="79" t="s">
        <v>457</v>
      </c>
      <c r="S444" s="79" t="s">
        <v>339</v>
      </c>
      <c r="T444" s="298">
        <f>IFERROR(Table6[[#This Row],[Breakdown Time]]*Table6[[#This Row],[Plant Equivalent Weightage]],"")</f>
        <v>2.3863636363636399E-2</v>
      </c>
      <c r="U444" s="79" t="s">
        <v>416</v>
      </c>
      <c r="W444" s="79">
        <v>97</v>
      </c>
    </row>
    <row r="445" spans="1:23">
      <c r="A445" s="79">
        <f t="shared" si="6"/>
        <v>444</v>
      </c>
      <c r="B445" s="79">
        <f>YEAR(Table6[[#This Row],[Date]])+IF(MONTH(Table6[[#This Row],[Date]])&gt;=4,1,0)</f>
        <v>2026</v>
      </c>
      <c r="C445" s="79">
        <f>YEAR(Table6[[#This Row],[Date]])</f>
        <v>2025</v>
      </c>
      <c r="D445" s="79" t="s">
        <v>344</v>
      </c>
      <c r="E445" s="284">
        <f>Table6[[#This Row],[Date]]-DAY(Table6[[#This Row],[Date]])+1</f>
        <v>45778</v>
      </c>
      <c r="F445" s="285">
        <v>45791</v>
      </c>
      <c r="G445" s="79" t="s">
        <v>108</v>
      </c>
      <c r="H445" s="79" t="str">
        <f>IFERROR(_xlfn.XLOOKUP(Table6[[#This Row],[Affected Feeder ]],'Basic Data'!$A:$A,'Basic Data'!$B:$B),"")</f>
        <v>PWEPL</v>
      </c>
      <c r="I445" s="79" t="str">
        <f>IFERROR(_xlfn.XLOOKUP(Table6[[#This Row],[Affected Feeder ]],'Basic Data'!$A:$A,'Basic Data'!$C:$C),"")</f>
        <v>MSEDCL</v>
      </c>
      <c r="J445" s="295">
        <f>IFERROR(_xlfn.XLOOKUP(Table6[[#This Row],[Affected Feeder ]],'Basic Data'!$A:$A,'Basic Data'!$E:$E),"")</f>
        <v>2.2727272727272728E-2</v>
      </c>
      <c r="K445" s="296" t="s">
        <v>414</v>
      </c>
      <c r="L445" s="297">
        <v>0.52013888888888882</v>
      </c>
      <c r="M445" s="297">
        <v>0.52013888888888882</v>
      </c>
      <c r="N445" s="297">
        <v>0.56388888888888888</v>
      </c>
      <c r="O445" s="19">
        <f>(Table6[[#This Row],[Work Start TimeStamp]]-Table6[[#This Row],[Fault Start TimeStamp]])*24</f>
        <v>0</v>
      </c>
      <c r="P445" s="19">
        <f>(Table6[[#This Row],[Fault Clearance time]]-Table6[[#This Row],[Fault Start TimeStamp]])*24</f>
        <v>1.0500000000000016</v>
      </c>
      <c r="Q445" s="19">
        <f>(Table6[[#This Row],[Fault Clearance time]]-Table6[[#This Row],[Fault Start TimeStamp]])*24</f>
        <v>1.0500000000000016</v>
      </c>
      <c r="R445" s="79" t="s">
        <v>457</v>
      </c>
      <c r="S445" s="79" t="s">
        <v>339</v>
      </c>
      <c r="T445" s="298">
        <f>IFERROR(Table6[[#This Row],[Breakdown Time]]*Table6[[#This Row],[Plant Equivalent Weightage]],"")</f>
        <v>2.3863636363636399E-2</v>
      </c>
      <c r="U445" s="79" t="s">
        <v>416</v>
      </c>
      <c r="W445" s="79">
        <v>97</v>
      </c>
    </row>
    <row r="446" spans="1:23">
      <c r="A446" s="79">
        <f t="shared" si="6"/>
        <v>445</v>
      </c>
      <c r="B446" s="79">
        <f>YEAR(Table6[[#This Row],[Date]])+IF(MONTH(Table6[[#This Row],[Date]])&gt;=4,1,0)</f>
        <v>2026</v>
      </c>
      <c r="C446" s="79">
        <f>YEAR(Table6[[#This Row],[Date]])</f>
        <v>2025</v>
      </c>
      <c r="D446" s="79" t="s">
        <v>344</v>
      </c>
      <c r="E446" s="284">
        <f>Table6[[#This Row],[Date]]-DAY(Table6[[#This Row],[Date]])+1</f>
        <v>45778</v>
      </c>
      <c r="F446" s="285">
        <v>45791</v>
      </c>
      <c r="G446" s="79" t="s">
        <v>405</v>
      </c>
      <c r="H446" s="79" t="str">
        <f>IFERROR(_xlfn.XLOOKUP(Table6[[#This Row],[Affected Feeder ]],'Basic Data'!$A:$A,'Basic Data'!$B:$B),"")</f>
        <v>PWEPL</v>
      </c>
      <c r="I446" s="79" t="str">
        <f>IFERROR(_xlfn.XLOOKUP(Table6[[#This Row],[Affected Feeder ]],'Basic Data'!$A:$A,'Basic Data'!$C:$C),"")</f>
        <v>MSEDCL</v>
      </c>
      <c r="J446" s="295">
        <f>IFERROR(_xlfn.XLOOKUP(Table6[[#This Row],[Affected Feeder ]],'Basic Data'!$A:$A,'Basic Data'!$E:$E),"")</f>
        <v>0.20454545454545453</v>
      </c>
      <c r="K446" s="296" t="s">
        <v>447</v>
      </c>
      <c r="L446" s="297">
        <v>0.56388888888888888</v>
      </c>
      <c r="M446" s="297">
        <v>0.56388888888888888</v>
      </c>
      <c r="N446" s="297">
        <v>0.58402777777777781</v>
      </c>
      <c r="O446" s="19">
        <f>(Table6[[#This Row],[Work Start TimeStamp]]-Table6[[#This Row],[Fault Start TimeStamp]])*24</f>
        <v>0</v>
      </c>
      <c r="P446" s="19">
        <f>(Table6[[#This Row],[Fault Clearance time]]-Table6[[#This Row],[Fault Start TimeStamp]])*24</f>
        <v>0.48333333333333428</v>
      </c>
      <c r="Q446" s="19">
        <f>(Table6[[#This Row],[Fault Clearance time]]-Table6[[#This Row],[Fault Start TimeStamp]])*24</f>
        <v>0.48333333333333428</v>
      </c>
      <c r="R446" s="79" t="s">
        <v>420</v>
      </c>
      <c r="S446" s="79" t="s">
        <v>339</v>
      </c>
      <c r="T446" s="298">
        <f>IFERROR(Table6[[#This Row],[Breakdown Time]]*Table6[[#This Row],[Plant Equivalent Weightage]],"")</f>
        <v>9.8863636363636556E-2</v>
      </c>
      <c r="U446" s="79" t="s">
        <v>421</v>
      </c>
      <c r="W446" s="79">
        <v>438</v>
      </c>
    </row>
    <row r="447" spans="1:23">
      <c r="A447" s="79">
        <f t="shared" si="6"/>
        <v>446</v>
      </c>
      <c r="B447" s="79">
        <f>YEAR(Table6[[#This Row],[Date]])+IF(MONTH(Table6[[#This Row],[Date]])&gt;=4,1,0)</f>
        <v>2026</v>
      </c>
      <c r="C447" s="79">
        <f>YEAR(Table6[[#This Row],[Date]])</f>
        <v>2025</v>
      </c>
      <c r="D447" s="79" t="s">
        <v>344</v>
      </c>
      <c r="E447" s="284">
        <f>Table6[[#This Row],[Date]]-DAY(Table6[[#This Row],[Date]])+1</f>
        <v>45778</v>
      </c>
      <c r="F447" s="285">
        <v>45791</v>
      </c>
      <c r="G447" s="79" t="s">
        <v>109</v>
      </c>
      <c r="H447" s="79" t="str">
        <f>IFERROR(_xlfn.XLOOKUP(Table6[[#This Row],[Affected Feeder ]],'Basic Data'!$A:$A,'Basic Data'!$B:$B),"")</f>
        <v>PWEPL</v>
      </c>
      <c r="I447" s="79" t="str">
        <f>IFERROR(_xlfn.XLOOKUP(Table6[[#This Row],[Affected Feeder ]],'Basic Data'!$A:$A,'Basic Data'!$C:$C),"")</f>
        <v>MSEDCL</v>
      </c>
      <c r="J447" s="295">
        <f>IFERROR(_xlfn.XLOOKUP(Table6[[#This Row],[Affected Feeder ]],'Basic Data'!$A:$A,'Basic Data'!$E:$E),"")</f>
        <v>2.2727272727272728E-2</v>
      </c>
      <c r="K447" s="296" t="s">
        <v>171</v>
      </c>
      <c r="L447" s="297">
        <v>0.58402777777777781</v>
      </c>
      <c r="M447" s="297">
        <v>0.58402777777777781</v>
      </c>
      <c r="N447" s="297">
        <v>0.59444444444444444</v>
      </c>
      <c r="O447" s="19">
        <f>(Table6[[#This Row],[Work Start TimeStamp]]-Table6[[#This Row],[Fault Start TimeStamp]])*24</f>
        <v>0</v>
      </c>
      <c r="P447" s="19">
        <f>(Table6[[#This Row],[Fault Clearance time]]-Table6[[#This Row],[Fault Start TimeStamp]])*24</f>
        <v>0.24999999999999911</v>
      </c>
      <c r="Q447" s="19">
        <f>(Table6[[#This Row],[Fault Clearance time]]-Table6[[#This Row],[Fault Start TimeStamp]])*24</f>
        <v>0.24999999999999911</v>
      </c>
      <c r="R447" s="79" t="s">
        <v>353</v>
      </c>
      <c r="S447" s="79" t="s">
        <v>339</v>
      </c>
      <c r="T447" s="298">
        <f>IFERROR(Table6[[#This Row],[Breakdown Time]]*Table6[[#This Row],[Plant Equivalent Weightage]],"")</f>
        <v>5.681818181818162E-3</v>
      </c>
      <c r="U447" s="79" t="s">
        <v>421</v>
      </c>
      <c r="W447" s="79">
        <v>25</v>
      </c>
    </row>
    <row r="448" spans="1:23">
      <c r="A448" s="79">
        <f t="shared" si="6"/>
        <v>447</v>
      </c>
      <c r="B448" s="79">
        <f>YEAR(Table6[[#This Row],[Date]])+IF(MONTH(Table6[[#This Row],[Date]])&gt;=4,1,0)</f>
        <v>2026</v>
      </c>
      <c r="C448" s="79">
        <f>YEAR(Table6[[#This Row],[Date]])</f>
        <v>2025</v>
      </c>
      <c r="D448" s="79" t="s">
        <v>344</v>
      </c>
      <c r="E448" s="284">
        <f>Table6[[#This Row],[Date]]-DAY(Table6[[#This Row],[Date]])+1</f>
        <v>45778</v>
      </c>
      <c r="F448" s="285">
        <v>45791</v>
      </c>
      <c r="G448" s="79" t="s">
        <v>111</v>
      </c>
      <c r="H448" s="79" t="str">
        <f>IFERROR(_xlfn.XLOOKUP(Table6[[#This Row],[Affected Feeder ]],'Basic Data'!$A:$A,'Basic Data'!$B:$B),"")</f>
        <v>PWEPL</v>
      </c>
      <c r="I448" s="79" t="str">
        <f>IFERROR(_xlfn.XLOOKUP(Table6[[#This Row],[Affected Feeder ]],'Basic Data'!$A:$A,'Basic Data'!$C:$C),"")</f>
        <v>MSEDCL</v>
      </c>
      <c r="J448" s="295">
        <f>IFERROR(_xlfn.XLOOKUP(Table6[[#This Row],[Affected Feeder ]],'Basic Data'!$A:$A,'Basic Data'!$E:$E),"")</f>
        <v>2.2727272727272728E-2</v>
      </c>
      <c r="K448" s="296" t="s">
        <v>171</v>
      </c>
      <c r="L448" s="297">
        <v>0.58402777777777781</v>
      </c>
      <c r="M448" s="297">
        <v>0.58402777777777781</v>
      </c>
      <c r="N448" s="297">
        <v>0.59444444444444444</v>
      </c>
      <c r="O448" s="19">
        <f>(Table6[[#This Row],[Work Start TimeStamp]]-Table6[[#This Row],[Fault Start TimeStamp]])*24</f>
        <v>0</v>
      </c>
      <c r="P448" s="19">
        <f>(Table6[[#This Row],[Fault Clearance time]]-Table6[[#This Row],[Fault Start TimeStamp]])*24</f>
        <v>0.24999999999999911</v>
      </c>
      <c r="Q448" s="19">
        <f>(Table6[[#This Row],[Fault Clearance time]]-Table6[[#This Row],[Fault Start TimeStamp]])*24</f>
        <v>0.24999999999999911</v>
      </c>
      <c r="R448" s="79" t="s">
        <v>353</v>
      </c>
      <c r="S448" s="79" t="s">
        <v>339</v>
      </c>
      <c r="T448" s="298">
        <f>IFERROR(Table6[[#This Row],[Breakdown Time]]*Table6[[#This Row],[Plant Equivalent Weightage]],"")</f>
        <v>5.681818181818162E-3</v>
      </c>
      <c r="U448" s="79" t="s">
        <v>421</v>
      </c>
      <c r="W448" s="79">
        <v>25</v>
      </c>
    </row>
    <row r="449" spans="1:23">
      <c r="A449" s="79">
        <f t="shared" si="6"/>
        <v>448</v>
      </c>
      <c r="B449" s="79">
        <f>YEAR(Table6[[#This Row],[Date]])+IF(MONTH(Table6[[#This Row],[Date]])&gt;=4,1,0)</f>
        <v>2026</v>
      </c>
      <c r="C449" s="79">
        <f>YEAR(Table6[[#This Row],[Date]])</f>
        <v>2025</v>
      </c>
      <c r="D449" s="79" t="s">
        <v>344</v>
      </c>
      <c r="E449" s="284">
        <f>Table6[[#This Row],[Date]]-DAY(Table6[[#This Row],[Date]])+1</f>
        <v>45778</v>
      </c>
      <c r="F449" s="285">
        <v>45791</v>
      </c>
      <c r="G449" s="79" t="s">
        <v>112</v>
      </c>
      <c r="H449" s="79" t="str">
        <f>IFERROR(_xlfn.XLOOKUP(Table6[[#This Row],[Affected Feeder ]],'Basic Data'!$A:$A,'Basic Data'!$B:$B),"")</f>
        <v>PWEPL</v>
      </c>
      <c r="I449" s="79" t="str">
        <f>IFERROR(_xlfn.XLOOKUP(Table6[[#This Row],[Affected Feeder ]],'Basic Data'!$A:$A,'Basic Data'!$C:$C),"")</f>
        <v>MSEDCL</v>
      </c>
      <c r="J449" s="295">
        <f>IFERROR(_xlfn.XLOOKUP(Table6[[#This Row],[Affected Feeder ]],'Basic Data'!$A:$A,'Basic Data'!$E:$E),"")</f>
        <v>2.2727272727272728E-2</v>
      </c>
      <c r="K449" s="296" t="s">
        <v>171</v>
      </c>
      <c r="L449" s="297">
        <v>0.58402777777777781</v>
      </c>
      <c r="M449" s="297">
        <v>0.58402777777777781</v>
      </c>
      <c r="N449" s="297">
        <v>0.59444444444444444</v>
      </c>
      <c r="O449" s="19">
        <f>(Table6[[#This Row],[Work Start TimeStamp]]-Table6[[#This Row],[Fault Start TimeStamp]])*24</f>
        <v>0</v>
      </c>
      <c r="P449" s="19">
        <f>(Table6[[#This Row],[Fault Clearance time]]-Table6[[#This Row],[Fault Start TimeStamp]])*24</f>
        <v>0.24999999999999911</v>
      </c>
      <c r="Q449" s="19">
        <f>(Table6[[#This Row],[Fault Clearance time]]-Table6[[#This Row],[Fault Start TimeStamp]])*24</f>
        <v>0.24999999999999911</v>
      </c>
      <c r="R449" s="79" t="s">
        <v>353</v>
      </c>
      <c r="S449" s="79" t="s">
        <v>339</v>
      </c>
      <c r="T449" s="298">
        <f>IFERROR(Table6[[#This Row],[Breakdown Time]]*Table6[[#This Row],[Plant Equivalent Weightage]],"")</f>
        <v>5.681818181818162E-3</v>
      </c>
      <c r="U449" s="79" t="s">
        <v>421</v>
      </c>
      <c r="W449" s="79">
        <v>25</v>
      </c>
    </row>
    <row r="450" spans="1:23">
      <c r="A450" s="79">
        <f t="shared" si="6"/>
        <v>449</v>
      </c>
      <c r="B450" s="79">
        <f>YEAR(Table6[[#This Row],[Date]])+IF(MONTH(Table6[[#This Row],[Date]])&gt;=4,1,0)</f>
        <v>2026</v>
      </c>
      <c r="C450" s="79">
        <f>YEAR(Table6[[#This Row],[Date]])</f>
        <v>2025</v>
      </c>
      <c r="D450" s="79" t="s">
        <v>344</v>
      </c>
      <c r="E450" s="284">
        <f>Table6[[#This Row],[Date]]-DAY(Table6[[#This Row],[Date]])+1</f>
        <v>45778</v>
      </c>
      <c r="F450" s="285">
        <v>45791</v>
      </c>
      <c r="G450" s="79" t="s">
        <v>113</v>
      </c>
      <c r="H450" s="79" t="str">
        <f>IFERROR(_xlfn.XLOOKUP(Table6[[#This Row],[Affected Feeder ]],'Basic Data'!$A:$A,'Basic Data'!$B:$B),"")</f>
        <v>PWEPL</v>
      </c>
      <c r="I450" s="79" t="str">
        <f>IFERROR(_xlfn.XLOOKUP(Table6[[#This Row],[Affected Feeder ]],'Basic Data'!$A:$A,'Basic Data'!$C:$C),"")</f>
        <v>MSEDCL</v>
      </c>
      <c r="J450" s="295">
        <f>IFERROR(_xlfn.XLOOKUP(Table6[[#This Row],[Affected Feeder ]],'Basic Data'!$A:$A,'Basic Data'!$E:$E),"")</f>
        <v>2.2727272727272728E-2</v>
      </c>
      <c r="K450" s="296" t="s">
        <v>171</v>
      </c>
      <c r="L450" s="297">
        <v>0.58402777777777781</v>
      </c>
      <c r="M450" s="297">
        <v>0.58402777777777781</v>
      </c>
      <c r="N450" s="297">
        <v>0.59444444444444444</v>
      </c>
      <c r="O450" s="19">
        <f>(Table6[[#This Row],[Work Start TimeStamp]]-Table6[[#This Row],[Fault Start TimeStamp]])*24</f>
        <v>0</v>
      </c>
      <c r="P450" s="19">
        <f>(Table6[[#This Row],[Fault Clearance time]]-Table6[[#This Row],[Fault Start TimeStamp]])*24</f>
        <v>0.24999999999999911</v>
      </c>
      <c r="Q450" s="19">
        <f>(Table6[[#This Row],[Fault Clearance time]]-Table6[[#This Row],[Fault Start TimeStamp]])*24</f>
        <v>0.24999999999999911</v>
      </c>
      <c r="R450" s="79" t="s">
        <v>353</v>
      </c>
      <c r="S450" s="79" t="s">
        <v>339</v>
      </c>
      <c r="T450" s="298">
        <f>IFERROR(Table6[[#This Row],[Breakdown Time]]*Table6[[#This Row],[Plant Equivalent Weightage]],"")</f>
        <v>5.681818181818162E-3</v>
      </c>
      <c r="U450" s="79" t="s">
        <v>421</v>
      </c>
      <c r="W450" s="79">
        <v>25</v>
      </c>
    </row>
    <row r="451" spans="1:23">
      <c r="A451" s="79">
        <f t="shared" si="6"/>
        <v>450</v>
      </c>
      <c r="B451" s="79">
        <f>YEAR(Table6[[#This Row],[Date]])+IF(MONTH(Table6[[#This Row],[Date]])&gt;=4,1,0)</f>
        <v>2026</v>
      </c>
      <c r="C451" s="79">
        <f>YEAR(Table6[[#This Row],[Date]])</f>
        <v>2025</v>
      </c>
      <c r="D451" s="79" t="s">
        <v>344</v>
      </c>
      <c r="E451" s="284">
        <f>Table6[[#This Row],[Date]]-DAY(Table6[[#This Row],[Date]])+1</f>
        <v>45778</v>
      </c>
      <c r="F451" s="285">
        <v>45791</v>
      </c>
      <c r="G451" s="79" t="s">
        <v>114</v>
      </c>
      <c r="H451" s="79" t="str">
        <f>IFERROR(_xlfn.XLOOKUP(Table6[[#This Row],[Affected Feeder ]],'Basic Data'!$A:$A,'Basic Data'!$B:$B),"")</f>
        <v>PWEPL</v>
      </c>
      <c r="I451" s="79" t="str">
        <f>IFERROR(_xlfn.XLOOKUP(Table6[[#This Row],[Affected Feeder ]],'Basic Data'!$A:$A,'Basic Data'!$C:$C),"")</f>
        <v>MSEDCL</v>
      </c>
      <c r="J451" s="295">
        <f>IFERROR(_xlfn.XLOOKUP(Table6[[#This Row],[Affected Feeder ]],'Basic Data'!$A:$A,'Basic Data'!$E:$E),"")</f>
        <v>2.2727272727272728E-2</v>
      </c>
      <c r="K451" s="296" t="s">
        <v>171</v>
      </c>
      <c r="L451" s="297">
        <v>0.58402777777777781</v>
      </c>
      <c r="M451" s="297">
        <v>0.58402777777777781</v>
      </c>
      <c r="N451" s="297">
        <v>0.59444444444444444</v>
      </c>
      <c r="O451" s="19">
        <f>(Table6[[#This Row],[Work Start TimeStamp]]-Table6[[#This Row],[Fault Start TimeStamp]])*24</f>
        <v>0</v>
      </c>
      <c r="P451" s="19">
        <f>(Table6[[#This Row],[Fault Clearance time]]-Table6[[#This Row],[Fault Start TimeStamp]])*24</f>
        <v>0.24999999999999911</v>
      </c>
      <c r="Q451" s="19">
        <f>(Table6[[#This Row],[Fault Clearance time]]-Table6[[#This Row],[Fault Start TimeStamp]])*24</f>
        <v>0.24999999999999911</v>
      </c>
      <c r="R451" s="79" t="s">
        <v>353</v>
      </c>
      <c r="S451" s="79" t="s">
        <v>339</v>
      </c>
      <c r="T451" s="298">
        <f>IFERROR(Table6[[#This Row],[Breakdown Time]]*Table6[[#This Row],[Plant Equivalent Weightage]],"")</f>
        <v>5.681818181818162E-3</v>
      </c>
      <c r="U451" s="79" t="s">
        <v>421</v>
      </c>
      <c r="W451" s="79">
        <v>25</v>
      </c>
    </row>
    <row r="452" spans="1:23">
      <c r="A452" s="79">
        <f t="shared" ref="A452:A515" si="7">A451+1</f>
        <v>451</v>
      </c>
      <c r="B452" s="79">
        <f>YEAR(Table6[[#This Row],[Date]])+IF(MONTH(Table6[[#This Row],[Date]])&gt;=4,1,0)</f>
        <v>2026</v>
      </c>
      <c r="C452" s="79">
        <f>YEAR(Table6[[#This Row],[Date]])</f>
        <v>2025</v>
      </c>
      <c r="D452" s="79" t="s">
        <v>344</v>
      </c>
      <c r="E452" s="284">
        <f>Table6[[#This Row],[Date]]-DAY(Table6[[#This Row],[Date]])+1</f>
        <v>45778</v>
      </c>
      <c r="F452" s="285">
        <v>45791</v>
      </c>
      <c r="G452" s="79" t="s">
        <v>80</v>
      </c>
      <c r="H452" s="79" t="str">
        <f>IFERROR(_xlfn.XLOOKUP(Table6[[#This Row],[Affected Feeder ]],'Basic Data'!$A:$A,'Basic Data'!$B:$B),"")</f>
        <v>PWEPL</v>
      </c>
      <c r="I452" s="79" t="str">
        <f>IFERROR(_xlfn.XLOOKUP(Table6[[#This Row],[Affected Feeder ]],'Basic Data'!$A:$A,'Basic Data'!$C:$C),"")</f>
        <v>MSEDCL</v>
      </c>
      <c r="J452" s="295">
        <f>IFERROR(_xlfn.XLOOKUP(Table6[[#This Row],[Affected Feeder ]],'Basic Data'!$A:$A,'Basic Data'!$E:$E),"")</f>
        <v>2.2727272727272728E-2</v>
      </c>
      <c r="K452" s="296" t="s">
        <v>414</v>
      </c>
      <c r="L452" s="297">
        <v>0.58402777777777781</v>
      </c>
      <c r="M452" s="297">
        <v>0.58402777777777781</v>
      </c>
      <c r="N452" s="297">
        <v>0.59444444444444444</v>
      </c>
      <c r="O452" s="19">
        <f>(Table6[[#This Row],[Work Start TimeStamp]]-Table6[[#This Row],[Fault Start TimeStamp]])*24</f>
        <v>0</v>
      </c>
      <c r="P452" s="19">
        <f>(Table6[[#This Row],[Fault Clearance time]]-Table6[[#This Row],[Fault Start TimeStamp]])*24</f>
        <v>0.24999999999999911</v>
      </c>
      <c r="Q452" s="19">
        <f>(Table6[[#This Row],[Fault Clearance time]]-Table6[[#This Row],[Fault Start TimeStamp]])*24</f>
        <v>0.24999999999999911</v>
      </c>
      <c r="R452" s="79" t="s">
        <v>457</v>
      </c>
      <c r="S452" s="79" t="s">
        <v>339</v>
      </c>
      <c r="T452" s="298">
        <f>IFERROR(Table6[[#This Row],[Breakdown Time]]*Table6[[#This Row],[Plant Equivalent Weightage]],"")</f>
        <v>5.681818181818162E-3</v>
      </c>
      <c r="U452" s="79" t="s">
        <v>416</v>
      </c>
      <c r="W452" s="79">
        <v>23</v>
      </c>
    </row>
    <row r="453" spans="1:23">
      <c r="A453" s="79">
        <f t="shared" si="7"/>
        <v>452</v>
      </c>
      <c r="B453" s="79">
        <f>YEAR(Table6[[#This Row],[Date]])+IF(MONTH(Table6[[#This Row],[Date]])&gt;=4,1,0)</f>
        <v>2026</v>
      </c>
      <c r="C453" s="79">
        <f>YEAR(Table6[[#This Row],[Date]])</f>
        <v>2025</v>
      </c>
      <c r="D453" s="79" t="s">
        <v>344</v>
      </c>
      <c r="E453" s="284">
        <f>Table6[[#This Row],[Date]]-DAY(Table6[[#This Row],[Date]])+1</f>
        <v>45778</v>
      </c>
      <c r="F453" s="285">
        <v>45791</v>
      </c>
      <c r="G453" s="79" t="s">
        <v>81</v>
      </c>
      <c r="H453" s="79" t="str">
        <f>IFERROR(_xlfn.XLOOKUP(Table6[[#This Row],[Affected Feeder ]],'Basic Data'!$A:$A,'Basic Data'!$B:$B),"")</f>
        <v>PWEPL</v>
      </c>
      <c r="I453" s="79" t="str">
        <f>IFERROR(_xlfn.XLOOKUP(Table6[[#This Row],[Affected Feeder ]],'Basic Data'!$A:$A,'Basic Data'!$C:$C),"")</f>
        <v>MSEDCL</v>
      </c>
      <c r="J453" s="295">
        <f>IFERROR(_xlfn.XLOOKUP(Table6[[#This Row],[Affected Feeder ]],'Basic Data'!$A:$A,'Basic Data'!$E:$E),"")</f>
        <v>2.2727272727272728E-2</v>
      </c>
      <c r="K453" s="296" t="s">
        <v>414</v>
      </c>
      <c r="L453" s="297">
        <v>0.58402777777777781</v>
      </c>
      <c r="M453" s="297">
        <v>0.58402777777777781</v>
      </c>
      <c r="N453" s="297">
        <v>0.59444444444444444</v>
      </c>
      <c r="O453" s="19">
        <f>(Table6[[#This Row],[Work Start TimeStamp]]-Table6[[#This Row],[Fault Start TimeStamp]])*24</f>
        <v>0</v>
      </c>
      <c r="P453" s="19">
        <f>(Table6[[#This Row],[Fault Clearance time]]-Table6[[#This Row],[Fault Start TimeStamp]])*24</f>
        <v>0.24999999999999911</v>
      </c>
      <c r="Q453" s="19">
        <f>(Table6[[#This Row],[Fault Clearance time]]-Table6[[#This Row],[Fault Start TimeStamp]])*24</f>
        <v>0.24999999999999911</v>
      </c>
      <c r="R453" s="79" t="s">
        <v>457</v>
      </c>
      <c r="S453" s="79" t="s">
        <v>339</v>
      </c>
      <c r="T453" s="298">
        <f>IFERROR(Table6[[#This Row],[Breakdown Time]]*Table6[[#This Row],[Plant Equivalent Weightage]],"")</f>
        <v>5.681818181818162E-3</v>
      </c>
      <c r="U453" s="79" t="s">
        <v>416</v>
      </c>
      <c r="W453" s="79">
        <v>23</v>
      </c>
    </row>
    <row r="454" spans="1:23">
      <c r="A454" s="79">
        <f t="shared" si="7"/>
        <v>453</v>
      </c>
      <c r="B454" s="79">
        <f>YEAR(Table6[[#This Row],[Date]])+IF(MONTH(Table6[[#This Row],[Date]])&gt;=4,1,0)</f>
        <v>2026</v>
      </c>
      <c r="C454" s="79">
        <f>YEAR(Table6[[#This Row],[Date]])</f>
        <v>2025</v>
      </c>
      <c r="D454" s="79" t="s">
        <v>344</v>
      </c>
      <c r="E454" s="284">
        <f>Table6[[#This Row],[Date]]-DAY(Table6[[#This Row],[Date]])+1</f>
        <v>45778</v>
      </c>
      <c r="F454" s="285">
        <v>45791</v>
      </c>
      <c r="G454" s="79" t="s">
        <v>107</v>
      </c>
      <c r="H454" s="79" t="str">
        <f>IFERROR(_xlfn.XLOOKUP(Table6[[#This Row],[Affected Feeder ]],'Basic Data'!$A:$A,'Basic Data'!$B:$B),"")</f>
        <v>PWEPL</v>
      </c>
      <c r="I454" s="79" t="str">
        <f>IFERROR(_xlfn.XLOOKUP(Table6[[#This Row],[Affected Feeder ]],'Basic Data'!$A:$A,'Basic Data'!$C:$C),"")</f>
        <v>MSEDCL</v>
      </c>
      <c r="J454" s="295">
        <f>IFERROR(_xlfn.XLOOKUP(Table6[[#This Row],[Affected Feeder ]],'Basic Data'!$A:$A,'Basic Data'!$E:$E),"")</f>
        <v>2.2727272727272728E-2</v>
      </c>
      <c r="K454" s="296" t="s">
        <v>414</v>
      </c>
      <c r="L454" s="297">
        <v>0.58402777777777781</v>
      </c>
      <c r="M454" s="297">
        <v>0.58402777777777781</v>
      </c>
      <c r="N454" s="297">
        <v>0.59444444444444444</v>
      </c>
      <c r="O454" s="19">
        <f>(Table6[[#This Row],[Work Start TimeStamp]]-Table6[[#This Row],[Fault Start TimeStamp]])*24</f>
        <v>0</v>
      </c>
      <c r="P454" s="19">
        <f>(Table6[[#This Row],[Fault Clearance time]]-Table6[[#This Row],[Fault Start TimeStamp]])*24</f>
        <v>0.24999999999999911</v>
      </c>
      <c r="Q454" s="19">
        <f>(Table6[[#This Row],[Fault Clearance time]]-Table6[[#This Row],[Fault Start TimeStamp]])*24</f>
        <v>0.24999999999999911</v>
      </c>
      <c r="R454" s="79" t="s">
        <v>457</v>
      </c>
      <c r="S454" s="79" t="s">
        <v>339</v>
      </c>
      <c r="T454" s="298">
        <f>IFERROR(Table6[[#This Row],[Breakdown Time]]*Table6[[#This Row],[Plant Equivalent Weightage]],"")</f>
        <v>5.681818181818162E-3</v>
      </c>
      <c r="U454" s="79" t="s">
        <v>416</v>
      </c>
      <c r="W454" s="79">
        <v>23</v>
      </c>
    </row>
    <row r="455" spans="1:23">
      <c r="A455" s="79">
        <f t="shared" si="7"/>
        <v>454</v>
      </c>
      <c r="B455" s="79">
        <f>YEAR(Table6[[#This Row],[Date]])+IF(MONTH(Table6[[#This Row],[Date]])&gt;=4,1,0)</f>
        <v>2026</v>
      </c>
      <c r="C455" s="79">
        <f>YEAR(Table6[[#This Row],[Date]])</f>
        <v>2025</v>
      </c>
      <c r="D455" s="79" t="s">
        <v>344</v>
      </c>
      <c r="E455" s="284">
        <f>Table6[[#This Row],[Date]]-DAY(Table6[[#This Row],[Date]])+1</f>
        <v>45778</v>
      </c>
      <c r="F455" s="285">
        <v>45791</v>
      </c>
      <c r="G455" s="79" t="s">
        <v>108</v>
      </c>
      <c r="H455" s="79" t="str">
        <f>IFERROR(_xlfn.XLOOKUP(Table6[[#This Row],[Affected Feeder ]],'Basic Data'!$A:$A,'Basic Data'!$B:$B),"")</f>
        <v>PWEPL</v>
      </c>
      <c r="I455" s="79" t="str">
        <f>IFERROR(_xlfn.XLOOKUP(Table6[[#This Row],[Affected Feeder ]],'Basic Data'!$A:$A,'Basic Data'!$C:$C),"")</f>
        <v>MSEDCL</v>
      </c>
      <c r="J455" s="295">
        <f>IFERROR(_xlfn.XLOOKUP(Table6[[#This Row],[Affected Feeder ]],'Basic Data'!$A:$A,'Basic Data'!$E:$E),"")</f>
        <v>2.2727272727272728E-2</v>
      </c>
      <c r="K455" s="296" t="s">
        <v>414</v>
      </c>
      <c r="L455" s="297">
        <v>0.58402777777777781</v>
      </c>
      <c r="M455" s="297">
        <v>0.58402777777777781</v>
      </c>
      <c r="N455" s="297">
        <v>0.59444444444444444</v>
      </c>
      <c r="O455" s="19">
        <f>(Table6[[#This Row],[Work Start TimeStamp]]-Table6[[#This Row],[Fault Start TimeStamp]])*24</f>
        <v>0</v>
      </c>
      <c r="P455" s="19">
        <f>(Table6[[#This Row],[Fault Clearance time]]-Table6[[#This Row],[Fault Start TimeStamp]])*24</f>
        <v>0.24999999999999911</v>
      </c>
      <c r="Q455" s="19">
        <f>(Table6[[#This Row],[Fault Clearance time]]-Table6[[#This Row],[Fault Start TimeStamp]])*24</f>
        <v>0.24999999999999911</v>
      </c>
      <c r="R455" s="79" t="s">
        <v>457</v>
      </c>
      <c r="S455" s="79" t="s">
        <v>339</v>
      </c>
      <c r="T455" s="298">
        <f>IFERROR(Table6[[#This Row],[Breakdown Time]]*Table6[[#This Row],[Plant Equivalent Weightage]],"")</f>
        <v>5.681818181818162E-3</v>
      </c>
      <c r="U455" s="79" t="s">
        <v>416</v>
      </c>
      <c r="W455" s="79">
        <v>23</v>
      </c>
    </row>
    <row r="456" spans="1:23">
      <c r="A456" s="79">
        <f t="shared" si="7"/>
        <v>455</v>
      </c>
      <c r="B456" s="79">
        <f>YEAR(Table6[[#This Row],[Date]])+IF(MONTH(Table6[[#This Row],[Date]])&gt;=4,1,0)</f>
        <v>2026</v>
      </c>
      <c r="C456" s="79">
        <f>YEAR(Table6[[#This Row],[Date]])</f>
        <v>2025</v>
      </c>
      <c r="D456" s="79" t="s">
        <v>344</v>
      </c>
      <c r="E456" s="284">
        <f>Table6[[#This Row],[Date]]-DAY(Table6[[#This Row],[Date]])+1</f>
        <v>45778</v>
      </c>
      <c r="F456" s="285">
        <v>45791</v>
      </c>
      <c r="G456" s="79" t="s">
        <v>405</v>
      </c>
      <c r="H456" s="79" t="str">
        <f>IFERROR(_xlfn.XLOOKUP(Table6[[#This Row],[Affected Feeder ]],'Basic Data'!$A:$A,'Basic Data'!$B:$B),"")</f>
        <v>PWEPL</v>
      </c>
      <c r="I456" s="79" t="str">
        <f>IFERROR(_xlfn.XLOOKUP(Table6[[#This Row],[Affected Feeder ]],'Basic Data'!$A:$A,'Basic Data'!$C:$C),"")</f>
        <v>MSEDCL</v>
      </c>
      <c r="J456" s="295">
        <f>IFERROR(_xlfn.XLOOKUP(Table6[[#This Row],[Affected Feeder ]],'Basic Data'!$A:$A,'Basic Data'!$E:$E),"")</f>
        <v>0.20454545454545453</v>
      </c>
      <c r="K456" s="296" t="s">
        <v>447</v>
      </c>
      <c r="L456" s="297">
        <v>0.59444444444444444</v>
      </c>
      <c r="M456" s="297">
        <v>0.59444444444444444</v>
      </c>
      <c r="N456" s="297">
        <v>0.63402777777777775</v>
      </c>
      <c r="O456" s="19">
        <f>(Table6[[#This Row],[Work Start TimeStamp]]-Table6[[#This Row],[Fault Start TimeStamp]])*24</f>
        <v>0</v>
      </c>
      <c r="P456" s="19">
        <f>(Table6[[#This Row],[Fault Clearance time]]-Table6[[#This Row],[Fault Start TimeStamp]])*24</f>
        <v>0.94999999999999929</v>
      </c>
      <c r="Q456" s="19">
        <f>(Table6[[#This Row],[Fault Clearance time]]-Table6[[#This Row],[Fault Start TimeStamp]])*24</f>
        <v>0.94999999999999929</v>
      </c>
      <c r="R456" s="79" t="s">
        <v>420</v>
      </c>
      <c r="S456" s="79" t="s">
        <v>339</v>
      </c>
      <c r="T456" s="298">
        <f>IFERROR(Table6[[#This Row],[Breakdown Time]]*Table6[[#This Row],[Plant Equivalent Weightage]],"")</f>
        <v>0.19431818181818167</v>
      </c>
      <c r="U456" s="79" t="s">
        <v>421</v>
      </c>
      <c r="W456" s="79">
        <v>952</v>
      </c>
    </row>
    <row r="457" spans="1:23">
      <c r="A457" s="79">
        <f t="shared" si="7"/>
        <v>456</v>
      </c>
      <c r="B457" s="79">
        <f>YEAR(Table6[[#This Row],[Date]])+IF(MONTH(Table6[[#This Row],[Date]])&gt;=4,1,0)</f>
        <v>2026</v>
      </c>
      <c r="C457" s="79">
        <f>YEAR(Table6[[#This Row],[Date]])</f>
        <v>2025</v>
      </c>
      <c r="D457" s="79" t="s">
        <v>344</v>
      </c>
      <c r="E457" s="284">
        <f>Table6[[#This Row],[Date]]-DAY(Table6[[#This Row],[Date]])+1</f>
        <v>45778</v>
      </c>
      <c r="F457" s="285">
        <v>45791</v>
      </c>
      <c r="G457" s="79" t="s">
        <v>109</v>
      </c>
      <c r="H457" s="79" t="str">
        <f>IFERROR(_xlfn.XLOOKUP(Table6[[#This Row],[Affected Feeder ]],'Basic Data'!$A:$A,'Basic Data'!$B:$B),"")</f>
        <v>PWEPL</v>
      </c>
      <c r="I457" s="79" t="str">
        <f>IFERROR(_xlfn.XLOOKUP(Table6[[#This Row],[Affected Feeder ]],'Basic Data'!$A:$A,'Basic Data'!$C:$C),"")</f>
        <v>MSEDCL</v>
      </c>
      <c r="J457" s="295">
        <f>IFERROR(_xlfn.XLOOKUP(Table6[[#This Row],[Affected Feeder ]],'Basic Data'!$A:$A,'Basic Data'!$E:$E),"")</f>
        <v>2.2727272727272728E-2</v>
      </c>
      <c r="K457" s="296" t="s">
        <v>414</v>
      </c>
      <c r="L457" s="297">
        <v>0.63402777777777775</v>
      </c>
      <c r="M457" s="297">
        <v>0.63402777777777775</v>
      </c>
      <c r="N457" s="297">
        <v>0.64652777777777781</v>
      </c>
      <c r="O457" s="19">
        <f>(Table6[[#This Row],[Work Start TimeStamp]]-Table6[[#This Row],[Fault Start TimeStamp]])*24</f>
        <v>0</v>
      </c>
      <c r="P457" s="19">
        <f>(Table6[[#This Row],[Fault Clearance time]]-Table6[[#This Row],[Fault Start TimeStamp]])*24</f>
        <v>0.3000000000000016</v>
      </c>
      <c r="Q457" s="19">
        <f>(Table6[[#This Row],[Fault Clearance time]]-Table6[[#This Row],[Fault Start TimeStamp]])*24</f>
        <v>0.3000000000000016</v>
      </c>
      <c r="R457" s="79" t="s">
        <v>353</v>
      </c>
      <c r="S457" s="79" t="s">
        <v>339</v>
      </c>
      <c r="T457" s="298">
        <f>IFERROR(Table6[[#This Row],[Breakdown Time]]*Table6[[#This Row],[Plant Equivalent Weightage]],"")</f>
        <v>6.8181818181818543E-3</v>
      </c>
      <c r="U457" s="79" t="s">
        <v>421</v>
      </c>
      <c r="W457" s="79">
        <v>60</v>
      </c>
    </row>
    <row r="458" spans="1:23">
      <c r="A458" s="79">
        <f t="shared" si="7"/>
        <v>457</v>
      </c>
      <c r="B458" s="79">
        <f>YEAR(Table6[[#This Row],[Date]])+IF(MONTH(Table6[[#This Row],[Date]])&gt;=4,1,0)</f>
        <v>2026</v>
      </c>
      <c r="C458" s="79">
        <f>YEAR(Table6[[#This Row],[Date]])</f>
        <v>2025</v>
      </c>
      <c r="D458" s="79" t="s">
        <v>344</v>
      </c>
      <c r="E458" s="284">
        <f>Table6[[#This Row],[Date]]-DAY(Table6[[#This Row],[Date]])+1</f>
        <v>45778</v>
      </c>
      <c r="F458" s="285">
        <v>45791</v>
      </c>
      <c r="G458" s="79" t="s">
        <v>111</v>
      </c>
      <c r="H458" s="79" t="str">
        <f>IFERROR(_xlfn.XLOOKUP(Table6[[#This Row],[Affected Feeder ]],'Basic Data'!$A:$A,'Basic Data'!$B:$B),"")</f>
        <v>PWEPL</v>
      </c>
      <c r="I458" s="79" t="str">
        <f>IFERROR(_xlfn.XLOOKUP(Table6[[#This Row],[Affected Feeder ]],'Basic Data'!$A:$A,'Basic Data'!$C:$C),"")</f>
        <v>MSEDCL</v>
      </c>
      <c r="J458" s="295">
        <f>IFERROR(_xlfn.XLOOKUP(Table6[[#This Row],[Affected Feeder ]],'Basic Data'!$A:$A,'Basic Data'!$E:$E),"")</f>
        <v>2.2727272727272728E-2</v>
      </c>
      <c r="K458" s="296" t="s">
        <v>414</v>
      </c>
      <c r="L458" s="297">
        <v>0.63402777777777775</v>
      </c>
      <c r="M458" s="297">
        <v>0.63402777777777775</v>
      </c>
      <c r="N458" s="297">
        <v>0.64652777777777781</v>
      </c>
      <c r="O458" s="19">
        <f>(Table6[[#This Row],[Work Start TimeStamp]]-Table6[[#This Row],[Fault Start TimeStamp]])*24</f>
        <v>0</v>
      </c>
      <c r="P458" s="19">
        <f>(Table6[[#This Row],[Fault Clearance time]]-Table6[[#This Row],[Fault Start TimeStamp]])*24</f>
        <v>0.3000000000000016</v>
      </c>
      <c r="Q458" s="19">
        <f>(Table6[[#This Row],[Fault Clearance time]]-Table6[[#This Row],[Fault Start TimeStamp]])*24</f>
        <v>0.3000000000000016</v>
      </c>
      <c r="R458" s="79" t="s">
        <v>353</v>
      </c>
      <c r="S458" s="79" t="s">
        <v>339</v>
      </c>
      <c r="T458" s="298">
        <f>IFERROR(Table6[[#This Row],[Breakdown Time]]*Table6[[#This Row],[Plant Equivalent Weightage]],"")</f>
        <v>6.8181818181818543E-3</v>
      </c>
      <c r="U458" s="79" t="s">
        <v>421</v>
      </c>
      <c r="W458" s="79">
        <v>60</v>
      </c>
    </row>
    <row r="459" spans="1:23">
      <c r="A459" s="79">
        <f t="shared" si="7"/>
        <v>458</v>
      </c>
      <c r="B459" s="79">
        <f>YEAR(Table6[[#This Row],[Date]])+IF(MONTH(Table6[[#This Row],[Date]])&gt;=4,1,0)</f>
        <v>2026</v>
      </c>
      <c r="C459" s="79">
        <f>YEAR(Table6[[#This Row],[Date]])</f>
        <v>2025</v>
      </c>
      <c r="D459" s="79" t="s">
        <v>344</v>
      </c>
      <c r="E459" s="284">
        <f>Table6[[#This Row],[Date]]-DAY(Table6[[#This Row],[Date]])+1</f>
        <v>45778</v>
      </c>
      <c r="F459" s="285">
        <v>45791</v>
      </c>
      <c r="G459" s="79" t="s">
        <v>112</v>
      </c>
      <c r="H459" s="79" t="str">
        <f>IFERROR(_xlfn.XLOOKUP(Table6[[#This Row],[Affected Feeder ]],'Basic Data'!$A:$A,'Basic Data'!$B:$B),"")</f>
        <v>PWEPL</v>
      </c>
      <c r="I459" s="79" t="str">
        <f>IFERROR(_xlfn.XLOOKUP(Table6[[#This Row],[Affected Feeder ]],'Basic Data'!$A:$A,'Basic Data'!$C:$C),"")</f>
        <v>MSEDCL</v>
      </c>
      <c r="J459" s="295">
        <f>IFERROR(_xlfn.XLOOKUP(Table6[[#This Row],[Affected Feeder ]],'Basic Data'!$A:$A,'Basic Data'!$E:$E),"")</f>
        <v>2.2727272727272728E-2</v>
      </c>
      <c r="K459" s="296" t="s">
        <v>414</v>
      </c>
      <c r="L459" s="297">
        <v>0.63402777777777775</v>
      </c>
      <c r="M459" s="297">
        <v>0.63402777777777775</v>
      </c>
      <c r="N459" s="297">
        <v>0.63958333333333328</v>
      </c>
      <c r="O459" s="19">
        <f>(Table6[[#This Row],[Work Start TimeStamp]]-Table6[[#This Row],[Fault Start TimeStamp]])*24</f>
        <v>0</v>
      </c>
      <c r="P459" s="19">
        <f>(Table6[[#This Row],[Fault Clearance time]]-Table6[[#This Row],[Fault Start TimeStamp]])*24</f>
        <v>0.13333333333333286</v>
      </c>
      <c r="Q459" s="19">
        <f>(Table6[[#This Row],[Fault Clearance time]]-Table6[[#This Row],[Fault Start TimeStamp]])*24</f>
        <v>0.13333333333333286</v>
      </c>
      <c r="R459" s="79" t="s">
        <v>353</v>
      </c>
      <c r="S459" s="79" t="s">
        <v>339</v>
      </c>
      <c r="T459" s="298">
        <f>IFERROR(Table6[[#This Row],[Breakdown Time]]*Table6[[#This Row],[Plant Equivalent Weightage]],"")</f>
        <v>3.0303030303030195E-3</v>
      </c>
      <c r="U459" s="79" t="s">
        <v>421</v>
      </c>
      <c r="W459" s="79">
        <v>33</v>
      </c>
    </row>
    <row r="460" spans="1:23">
      <c r="A460" s="79">
        <f t="shared" si="7"/>
        <v>459</v>
      </c>
      <c r="B460" s="79">
        <f>YEAR(Table6[[#This Row],[Date]])+IF(MONTH(Table6[[#This Row],[Date]])&gt;=4,1,0)</f>
        <v>2026</v>
      </c>
      <c r="C460" s="79">
        <f>YEAR(Table6[[#This Row],[Date]])</f>
        <v>2025</v>
      </c>
      <c r="D460" s="79" t="s">
        <v>344</v>
      </c>
      <c r="E460" s="284">
        <f>Table6[[#This Row],[Date]]-DAY(Table6[[#This Row],[Date]])+1</f>
        <v>45778</v>
      </c>
      <c r="F460" s="285">
        <v>45791</v>
      </c>
      <c r="G460" s="79" t="s">
        <v>113</v>
      </c>
      <c r="H460" s="79" t="str">
        <f>IFERROR(_xlfn.XLOOKUP(Table6[[#This Row],[Affected Feeder ]],'Basic Data'!$A:$A,'Basic Data'!$B:$B),"")</f>
        <v>PWEPL</v>
      </c>
      <c r="I460" s="79" t="str">
        <f>IFERROR(_xlfn.XLOOKUP(Table6[[#This Row],[Affected Feeder ]],'Basic Data'!$A:$A,'Basic Data'!$C:$C),"")</f>
        <v>MSEDCL</v>
      </c>
      <c r="J460" s="295">
        <f>IFERROR(_xlfn.XLOOKUP(Table6[[#This Row],[Affected Feeder ]],'Basic Data'!$A:$A,'Basic Data'!$E:$E),"")</f>
        <v>2.2727272727272728E-2</v>
      </c>
      <c r="K460" s="296" t="s">
        <v>414</v>
      </c>
      <c r="L460" s="297">
        <v>0.63402777777777775</v>
      </c>
      <c r="M460" s="297">
        <v>0.63402777777777775</v>
      </c>
      <c r="N460" s="297">
        <v>0.6479166666666667</v>
      </c>
      <c r="O460" s="19">
        <f>(Table6[[#This Row],[Work Start TimeStamp]]-Table6[[#This Row],[Fault Start TimeStamp]])*24</f>
        <v>0</v>
      </c>
      <c r="P460" s="19">
        <f>(Table6[[#This Row],[Fault Clearance time]]-Table6[[#This Row],[Fault Start TimeStamp]])*24</f>
        <v>0.33333333333333481</v>
      </c>
      <c r="Q460" s="19">
        <f>(Table6[[#This Row],[Fault Clearance time]]-Table6[[#This Row],[Fault Start TimeStamp]])*24</f>
        <v>0.33333333333333481</v>
      </c>
      <c r="R460" s="79" t="s">
        <v>353</v>
      </c>
      <c r="S460" s="79" t="s">
        <v>339</v>
      </c>
      <c r="T460" s="298">
        <f>IFERROR(Table6[[#This Row],[Breakdown Time]]*Table6[[#This Row],[Plant Equivalent Weightage]],"")</f>
        <v>7.5757575757576098E-3</v>
      </c>
      <c r="U460" s="79" t="s">
        <v>421</v>
      </c>
      <c r="W460" s="79">
        <v>66</v>
      </c>
    </row>
    <row r="461" spans="1:23">
      <c r="A461" s="79">
        <f t="shared" si="7"/>
        <v>460</v>
      </c>
      <c r="B461" s="79">
        <f>YEAR(Table6[[#This Row],[Date]])+IF(MONTH(Table6[[#This Row],[Date]])&gt;=4,1,0)</f>
        <v>2026</v>
      </c>
      <c r="C461" s="79">
        <f>YEAR(Table6[[#This Row],[Date]])</f>
        <v>2025</v>
      </c>
      <c r="D461" s="79" t="s">
        <v>344</v>
      </c>
      <c r="E461" s="284">
        <f>Table6[[#This Row],[Date]]-DAY(Table6[[#This Row],[Date]])+1</f>
        <v>45778</v>
      </c>
      <c r="F461" s="285">
        <v>45791</v>
      </c>
      <c r="G461" s="79" t="s">
        <v>114</v>
      </c>
      <c r="H461" s="79" t="str">
        <f>IFERROR(_xlfn.XLOOKUP(Table6[[#This Row],[Affected Feeder ]],'Basic Data'!$A:$A,'Basic Data'!$B:$B),"")</f>
        <v>PWEPL</v>
      </c>
      <c r="I461" s="79" t="str">
        <f>IFERROR(_xlfn.XLOOKUP(Table6[[#This Row],[Affected Feeder ]],'Basic Data'!$A:$A,'Basic Data'!$C:$C),"")</f>
        <v>MSEDCL</v>
      </c>
      <c r="J461" s="295">
        <f>IFERROR(_xlfn.XLOOKUP(Table6[[#This Row],[Affected Feeder ]],'Basic Data'!$A:$A,'Basic Data'!$E:$E),"")</f>
        <v>2.2727272727272728E-2</v>
      </c>
      <c r="K461" s="296" t="s">
        <v>414</v>
      </c>
      <c r="L461" s="297">
        <v>0.63402777777777775</v>
      </c>
      <c r="M461" s="297">
        <v>0.63402777777777775</v>
      </c>
      <c r="N461" s="297">
        <v>0.64652777777777781</v>
      </c>
      <c r="O461" s="19">
        <f>(Table6[[#This Row],[Work Start TimeStamp]]-Table6[[#This Row],[Fault Start TimeStamp]])*24</f>
        <v>0</v>
      </c>
      <c r="P461" s="19">
        <f>(Table6[[#This Row],[Fault Clearance time]]-Table6[[#This Row],[Fault Start TimeStamp]])*24</f>
        <v>0.3000000000000016</v>
      </c>
      <c r="Q461" s="19">
        <f>(Table6[[#This Row],[Fault Clearance time]]-Table6[[#This Row],[Fault Start TimeStamp]])*24</f>
        <v>0.3000000000000016</v>
      </c>
      <c r="R461" s="79" t="s">
        <v>353</v>
      </c>
      <c r="S461" s="79" t="s">
        <v>339</v>
      </c>
      <c r="T461" s="298">
        <f>IFERROR(Table6[[#This Row],[Breakdown Time]]*Table6[[#This Row],[Plant Equivalent Weightage]],"")</f>
        <v>6.8181818181818543E-3</v>
      </c>
      <c r="U461" s="79" t="s">
        <v>421</v>
      </c>
      <c r="W461" s="79">
        <v>60</v>
      </c>
    </row>
    <row r="462" spans="1:23">
      <c r="A462" s="79">
        <f t="shared" si="7"/>
        <v>461</v>
      </c>
      <c r="B462" s="79">
        <f>YEAR(Table6[[#This Row],[Date]])+IF(MONTH(Table6[[#This Row],[Date]])&gt;=4,1,0)</f>
        <v>2026</v>
      </c>
      <c r="C462" s="79">
        <f>YEAR(Table6[[#This Row],[Date]])</f>
        <v>2025</v>
      </c>
      <c r="D462" s="79" t="s">
        <v>344</v>
      </c>
      <c r="E462" s="284">
        <f>Table6[[#This Row],[Date]]-DAY(Table6[[#This Row],[Date]])+1</f>
        <v>45778</v>
      </c>
      <c r="F462" s="285">
        <v>45791</v>
      </c>
      <c r="G462" s="79" t="s">
        <v>80</v>
      </c>
      <c r="H462" s="79" t="str">
        <f>IFERROR(_xlfn.XLOOKUP(Table6[[#This Row],[Affected Feeder ]],'Basic Data'!$A:$A,'Basic Data'!$B:$B),"")</f>
        <v>PWEPL</v>
      </c>
      <c r="I462" s="79" t="str">
        <f>IFERROR(_xlfn.XLOOKUP(Table6[[#This Row],[Affected Feeder ]],'Basic Data'!$A:$A,'Basic Data'!$C:$C),"")</f>
        <v>MSEDCL</v>
      </c>
      <c r="J462" s="295">
        <f>IFERROR(_xlfn.XLOOKUP(Table6[[#This Row],[Affected Feeder ]],'Basic Data'!$A:$A,'Basic Data'!$E:$E),"")</f>
        <v>2.2727272727272728E-2</v>
      </c>
      <c r="K462" s="296" t="s">
        <v>808</v>
      </c>
      <c r="L462" s="297">
        <v>0.63402777777777775</v>
      </c>
      <c r="M462" s="297">
        <v>0.63402777777777775</v>
      </c>
      <c r="N462" s="297">
        <v>0.74513888888888891</v>
      </c>
      <c r="O462" s="19">
        <f>(Table6[[#This Row],[Work Start TimeStamp]]-Table6[[#This Row],[Fault Start TimeStamp]])*24</f>
        <v>0</v>
      </c>
      <c r="P462" s="19">
        <f>(Table6[[#This Row],[Fault Clearance time]]-Table6[[#This Row],[Fault Start TimeStamp]])*24</f>
        <v>2.6666666666666679</v>
      </c>
      <c r="Q462" s="19">
        <f>(Table6[[#This Row],[Fault Clearance time]]-Table6[[#This Row],[Fault Start TimeStamp]])*24</f>
        <v>2.6666666666666679</v>
      </c>
      <c r="R462" s="79" t="s">
        <v>812</v>
      </c>
      <c r="S462" s="79" t="s">
        <v>339</v>
      </c>
      <c r="T462" s="298">
        <f>IFERROR(Table6[[#This Row],[Breakdown Time]]*Table6[[#This Row],[Plant Equivalent Weightage]],"")</f>
        <v>6.0606060606060635E-2</v>
      </c>
      <c r="U462" s="79" t="s">
        <v>421</v>
      </c>
      <c r="W462" s="79">
        <v>1443</v>
      </c>
    </row>
    <row r="463" spans="1:23">
      <c r="A463" s="79">
        <f t="shared" si="7"/>
        <v>462</v>
      </c>
      <c r="B463" s="79">
        <f>YEAR(Table6[[#This Row],[Date]])+IF(MONTH(Table6[[#This Row],[Date]])&gt;=4,1,0)</f>
        <v>2026</v>
      </c>
      <c r="C463" s="79">
        <f>YEAR(Table6[[#This Row],[Date]])</f>
        <v>2025</v>
      </c>
      <c r="D463" s="79" t="s">
        <v>344</v>
      </c>
      <c r="E463" s="284">
        <f>Table6[[#This Row],[Date]]-DAY(Table6[[#This Row],[Date]])+1</f>
        <v>45778</v>
      </c>
      <c r="F463" s="285">
        <v>45791</v>
      </c>
      <c r="G463" s="79" t="s">
        <v>80</v>
      </c>
      <c r="H463" s="79" t="str">
        <f>IFERROR(_xlfn.XLOOKUP(Table6[[#This Row],[Affected Feeder ]],'Basic Data'!$A:$A,'Basic Data'!$B:$B),"")</f>
        <v>PWEPL</v>
      </c>
      <c r="I463" s="79" t="str">
        <f>IFERROR(_xlfn.XLOOKUP(Table6[[#This Row],[Affected Feeder ]],'Basic Data'!$A:$A,'Basic Data'!$C:$C),"")</f>
        <v>MSEDCL</v>
      </c>
      <c r="J463" s="295">
        <f>IFERROR(_xlfn.XLOOKUP(Table6[[#This Row],[Affected Feeder ]],'Basic Data'!$A:$A,'Basic Data'!$E:$E),"")</f>
        <v>2.2727272727272728E-2</v>
      </c>
      <c r="K463" s="296" t="s">
        <v>171</v>
      </c>
      <c r="L463" s="297">
        <v>0.74513888888888891</v>
      </c>
      <c r="M463" s="297">
        <v>0.74513888888888891</v>
      </c>
      <c r="N463" s="297">
        <v>0.75902777777777775</v>
      </c>
      <c r="O463" s="19">
        <f>(Table6[[#This Row],[Work Start TimeStamp]]-Table6[[#This Row],[Fault Start TimeStamp]])*24</f>
        <v>0</v>
      </c>
      <c r="P463" s="19">
        <f>(Table6[[#This Row],[Fault Clearance time]]-Table6[[#This Row],[Fault Start TimeStamp]])*24</f>
        <v>0.33333333333333215</v>
      </c>
      <c r="Q463" s="19">
        <f>(Table6[[#This Row],[Fault Clearance time]]-Table6[[#This Row],[Fault Start TimeStamp]])*24</f>
        <v>0.33333333333333215</v>
      </c>
      <c r="R463" s="79" t="s">
        <v>353</v>
      </c>
      <c r="S463" s="79" t="s">
        <v>339</v>
      </c>
      <c r="T463" s="298">
        <f>IFERROR(Table6[[#This Row],[Breakdown Time]]*Table6[[#This Row],[Plant Equivalent Weightage]],"")</f>
        <v>7.5757575757575491E-3</v>
      </c>
      <c r="U463" s="79" t="s">
        <v>421</v>
      </c>
      <c r="W463" s="79">
        <v>46</v>
      </c>
    </row>
    <row r="464" spans="1:23">
      <c r="A464" s="79">
        <f t="shared" si="7"/>
        <v>463</v>
      </c>
      <c r="B464" s="79">
        <f>YEAR(Table6[[#This Row],[Date]])+IF(MONTH(Table6[[#This Row],[Date]])&gt;=4,1,0)</f>
        <v>2026</v>
      </c>
      <c r="C464" s="79">
        <f>YEAR(Table6[[#This Row],[Date]])</f>
        <v>2025</v>
      </c>
      <c r="D464" s="79" t="s">
        <v>344</v>
      </c>
      <c r="E464" s="284">
        <f>Table6[[#This Row],[Date]]-DAY(Table6[[#This Row],[Date]])+1</f>
        <v>45778</v>
      </c>
      <c r="F464" s="285">
        <v>45791</v>
      </c>
      <c r="G464" s="79" t="s">
        <v>81</v>
      </c>
      <c r="H464" s="79" t="str">
        <f>IFERROR(_xlfn.XLOOKUP(Table6[[#This Row],[Affected Feeder ]],'Basic Data'!$A:$A,'Basic Data'!$B:$B),"")</f>
        <v>PWEPL</v>
      </c>
      <c r="I464" s="79" t="str">
        <f>IFERROR(_xlfn.XLOOKUP(Table6[[#This Row],[Affected Feeder ]],'Basic Data'!$A:$A,'Basic Data'!$C:$C),"")</f>
        <v>MSEDCL</v>
      </c>
      <c r="J464" s="295">
        <f>IFERROR(_xlfn.XLOOKUP(Table6[[#This Row],[Affected Feeder ]],'Basic Data'!$A:$A,'Basic Data'!$E:$E),"")</f>
        <v>2.2727272727272728E-2</v>
      </c>
      <c r="K464" s="296" t="s">
        <v>809</v>
      </c>
      <c r="L464" s="297">
        <v>0.63402777777777775</v>
      </c>
      <c r="M464" s="297">
        <v>0.63402777777777775</v>
      </c>
      <c r="N464" s="297">
        <v>0.74513888888888891</v>
      </c>
      <c r="O464" s="19">
        <f>(Table6[[#This Row],[Work Start TimeStamp]]-Table6[[#This Row],[Fault Start TimeStamp]])*24</f>
        <v>0</v>
      </c>
      <c r="P464" s="19">
        <f>(Table6[[#This Row],[Fault Clearance time]]-Table6[[#This Row],[Fault Start TimeStamp]])*24</f>
        <v>2.6666666666666679</v>
      </c>
      <c r="Q464" s="19">
        <f>(Table6[[#This Row],[Fault Clearance time]]-Table6[[#This Row],[Fault Start TimeStamp]])*24</f>
        <v>2.6666666666666679</v>
      </c>
      <c r="R464" s="79" t="s">
        <v>812</v>
      </c>
      <c r="S464" s="79" t="s">
        <v>339</v>
      </c>
      <c r="T464" s="298">
        <f>IFERROR(Table6[[#This Row],[Breakdown Time]]*Table6[[#This Row],[Plant Equivalent Weightage]],"")</f>
        <v>6.0606060606060635E-2</v>
      </c>
      <c r="U464" s="79" t="s">
        <v>421</v>
      </c>
      <c r="W464" s="79">
        <v>1443</v>
      </c>
    </row>
    <row r="465" spans="1:23">
      <c r="A465" s="79">
        <f t="shared" si="7"/>
        <v>464</v>
      </c>
      <c r="B465" s="79">
        <f>YEAR(Table6[[#This Row],[Date]])+IF(MONTH(Table6[[#This Row],[Date]])&gt;=4,1,0)</f>
        <v>2026</v>
      </c>
      <c r="C465" s="79">
        <f>YEAR(Table6[[#This Row],[Date]])</f>
        <v>2025</v>
      </c>
      <c r="D465" s="79" t="s">
        <v>344</v>
      </c>
      <c r="E465" s="284">
        <f>Table6[[#This Row],[Date]]-DAY(Table6[[#This Row],[Date]])+1</f>
        <v>45778</v>
      </c>
      <c r="F465" s="285">
        <v>45791</v>
      </c>
      <c r="G465" s="79" t="s">
        <v>81</v>
      </c>
      <c r="H465" s="79" t="str">
        <f>IFERROR(_xlfn.XLOOKUP(Table6[[#This Row],[Affected Feeder ]],'Basic Data'!$A:$A,'Basic Data'!$B:$B),"")</f>
        <v>PWEPL</v>
      </c>
      <c r="I465" s="79" t="str">
        <f>IFERROR(_xlfn.XLOOKUP(Table6[[#This Row],[Affected Feeder ]],'Basic Data'!$A:$A,'Basic Data'!$C:$C),"")</f>
        <v>MSEDCL</v>
      </c>
      <c r="J465" s="295">
        <f>IFERROR(_xlfn.XLOOKUP(Table6[[#This Row],[Affected Feeder ]],'Basic Data'!$A:$A,'Basic Data'!$E:$E),"")</f>
        <v>2.2727272727272728E-2</v>
      </c>
      <c r="K465" s="296" t="s">
        <v>171</v>
      </c>
      <c r="L465" s="297">
        <v>0.74513888888888891</v>
      </c>
      <c r="M465" s="297">
        <v>0.74513888888888891</v>
      </c>
      <c r="N465" s="297">
        <v>0.75902777777777775</v>
      </c>
      <c r="O465" s="19">
        <f>(Table6[[#This Row],[Work Start TimeStamp]]-Table6[[#This Row],[Fault Start TimeStamp]])*24</f>
        <v>0</v>
      </c>
      <c r="P465" s="19">
        <f>(Table6[[#This Row],[Fault Clearance time]]-Table6[[#This Row],[Fault Start TimeStamp]])*24</f>
        <v>0.33333333333333215</v>
      </c>
      <c r="Q465" s="19">
        <f>(Table6[[#This Row],[Fault Clearance time]]-Table6[[#This Row],[Fault Start TimeStamp]])*24</f>
        <v>0.33333333333333215</v>
      </c>
      <c r="R465" s="79" t="s">
        <v>353</v>
      </c>
      <c r="S465" s="79" t="s">
        <v>339</v>
      </c>
      <c r="T465" s="298">
        <f>IFERROR(Table6[[#This Row],[Breakdown Time]]*Table6[[#This Row],[Plant Equivalent Weightage]],"")</f>
        <v>7.5757575757575491E-3</v>
      </c>
      <c r="U465" s="79" t="s">
        <v>421</v>
      </c>
      <c r="W465" s="79">
        <v>46</v>
      </c>
    </row>
    <row r="466" spans="1:23">
      <c r="A466" s="79">
        <f t="shared" si="7"/>
        <v>465</v>
      </c>
      <c r="B466" s="79">
        <f>YEAR(Table6[[#This Row],[Date]])+IF(MONTH(Table6[[#This Row],[Date]])&gt;=4,1,0)</f>
        <v>2026</v>
      </c>
      <c r="C466" s="79">
        <f>YEAR(Table6[[#This Row],[Date]])</f>
        <v>2025</v>
      </c>
      <c r="D466" s="79" t="s">
        <v>344</v>
      </c>
      <c r="E466" s="284">
        <f>Table6[[#This Row],[Date]]-DAY(Table6[[#This Row],[Date]])+1</f>
        <v>45778</v>
      </c>
      <c r="F466" s="285">
        <v>45791</v>
      </c>
      <c r="G466" s="79" t="s">
        <v>107</v>
      </c>
      <c r="H466" s="79" t="str">
        <f>IFERROR(_xlfn.XLOOKUP(Table6[[#This Row],[Affected Feeder ]],'Basic Data'!$A:$A,'Basic Data'!$B:$B),"")</f>
        <v>PWEPL</v>
      </c>
      <c r="I466" s="79" t="str">
        <f>IFERROR(_xlfn.XLOOKUP(Table6[[#This Row],[Affected Feeder ]],'Basic Data'!$A:$A,'Basic Data'!$C:$C),"")</f>
        <v>MSEDCL</v>
      </c>
      <c r="J466" s="295">
        <f>IFERROR(_xlfn.XLOOKUP(Table6[[#This Row],[Affected Feeder ]],'Basic Data'!$A:$A,'Basic Data'!$E:$E),"")</f>
        <v>2.2727272727272728E-2</v>
      </c>
      <c r="K466" s="296" t="s">
        <v>810</v>
      </c>
      <c r="L466" s="297">
        <v>0.63402777777777775</v>
      </c>
      <c r="M466" s="297">
        <v>0.63402777777777775</v>
      </c>
      <c r="N466" s="297">
        <v>0.74513888888888891</v>
      </c>
      <c r="O466" s="19">
        <f>(Table6[[#This Row],[Work Start TimeStamp]]-Table6[[#This Row],[Fault Start TimeStamp]])*24</f>
        <v>0</v>
      </c>
      <c r="P466" s="19">
        <f>(Table6[[#This Row],[Fault Clearance time]]-Table6[[#This Row],[Fault Start TimeStamp]])*24</f>
        <v>2.6666666666666679</v>
      </c>
      <c r="Q466" s="19">
        <f>(Table6[[#This Row],[Fault Clearance time]]-Table6[[#This Row],[Fault Start TimeStamp]])*24</f>
        <v>2.6666666666666679</v>
      </c>
      <c r="R466" s="79" t="s">
        <v>812</v>
      </c>
      <c r="S466" s="79" t="s">
        <v>339</v>
      </c>
      <c r="T466" s="298">
        <f>IFERROR(Table6[[#This Row],[Breakdown Time]]*Table6[[#This Row],[Plant Equivalent Weightage]],"")</f>
        <v>6.0606060606060635E-2</v>
      </c>
      <c r="U466" s="79" t="s">
        <v>421</v>
      </c>
      <c r="W466" s="79">
        <v>1443</v>
      </c>
    </row>
    <row r="467" spans="1:23">
      <c r="A467" s="79">
        <f t="shared" si="7"/>
        <v>466</v>
      </c>
      <c r="B467" s="79">
        <f>YEAR(Table6[[#This Row],[Date]])+IF(MONTH(Table6[[#This Row],[Date]])&gt;=4,1,0)</f>
        <v>2026</v>
      </c>
      <c r="C467" s="79">
        <f>YEAR(Table6[[#This Row],[Date]])</f>
        <v>2025</v>
      </c>
      <c r="D467" s="79" t="s">
        <v>344</v>
      </c>
      <c r="E467" s="284">
        <f>Table6[[#This Row],[Date]]-DAY(Table6[[#This Row],[Date]])+1</f>
        <v>45778</v>
      </c>
      <c r="F467" s="285">
        <v>45791</v>
      </c>
      <c r="G467" s="79" t="s">
        <v>107</v>
      </c>
      <c r="H467" s="79" t="str">
        <f>IFERROR(_xlfn.XLOOKUP(Table6[[#This Row],[Affected Feeder ]],'Basic Data'!$A:$A,'Basic Data'!$B:$B),"")</f>
        <v>PWEPL</v>
      </c>
      <c r="I467" s="79" t="str">
        <f>IFERROR(_xlfn.XLOOKUP(Table6[[#This Row],[Affected Feeder ]],'Basic Data'!$A:$A,'Basic Data'!$C:$C),"")</f>
        <v>MSEDCL</v>
      </c>
      <c r="J467" s="295">
        <f>IFERROR(_xlfn.XLOOKUP(Table6[[#This Row],[Affected Feeder ]],'Basic Data'!$A:$A,'Basic Data'!$E:$E),"")</f>
        <v>2.2727272727272728E-2</v>
      </c>
      <c r="K467" s="296" t="s">
        <v>171</v>
      </c>
      <c r="L467" s="297">
        <v>0.74513888888888891</v>
      </c>
      <c r="M467" s="297">
        <v>0.74513888888888891</v>
      </c>
      <c r="N467" s="297">
        <v>0.75902777777777775</v>
      </c>
      <c r="O467" s="19">
        <f>(Table6[[#This Row],[Work Start TimeStamp]]-Table6[[#This Row],[Fault Start TimeStamp]])*24</f>
        <v>0</v>
      </c>
      <c r="P467" s="19">
        <f>(Table6[[#This Row],[Fault Clearance time]]-Table6[[#This Row],[Fault Start TimeStamp]])*24</f>
        <v>0.33333333333333215</v>
      </c>
      <c r="Q467" s="19">
        <f>(Table6[[#This Row],[Fault Clearance time]]-Table6[[#This Row],[Fault Start TimeStamp]])*24</f>
        <v>0.33333333333333215</v>
      </c>
      <c r="R467" s="79" t="s">
        <v>353</v>
      </c>
      <c r="S467" s="79" t="s">
        <v>339</v>
      </c>
      <c r="T467" s="298">
        <f>IFERROR(Table6[[#This Row],[Breakdown Time]]*Table6[[#This Row],[Plant Equivalent Weightage]],"")</f>
        <v>7.5757575757575491E-3</v>
      </c>
      <c r="U467" s="79" t="s">
        <v>421</v>
      </c>
      <c r="W467" s="79">
        <v>46</v>
      </c>
    </row>
    <row r="468" spans="1:23">
      <c r="A468" s="79">
        <f t="shared" si="7"/>
        <v>467</v>
      </c>
      <c r="B468" s="79">
        <f>YEAR(Table6[[#This Row],[Date]])+IF(MONTH(Table6[[#This Row],[Date]])&gt;=4,1,0)</f>
        <v>2026</v>
      </c>
      <c r="C468" s="79">
        <f>YEAR(Table6[[#This Row],[Date]])</f>
        <v>2025</v>
      </c>
      <c r="D468" s="79" t="s">
        <v>344</v>
      </c>
      <c r="E468" s="284">
        <f>Table6[[#This Row],[Date]]-DAY(Table6[[#This Row],[Date]])+1</f>
        <v>45778</v>
      </c>
      <c r="F468" s="285">
        <v>45791</v>
      </c>
      <c r="G468" s="79" t="s">
        <v>108</v>
      </c>
      <c r="H468" s="79" t="str">
        <f>IFERROR(_xlfn.XLOOKUP(Table6[[#This Row],[Affected Feeder ]],'Basic Data'!$A:$A,'Basic Data'!$B:$B),"")</f>
        <v>PWEPL</v>
      </c>
      <c r="I468" s="79" t="str">
        <f>IFERROR(_xlfn.XLOOKUP(Table6[[#This Row],[Affected Feeder ]],'Basic Data'!$A:$A,'Basic Data'!$C:$C),"")</f>
        <v>MSEDCL</v>
      </c>
      <c r="J468" s="295">
        <f>IFERROR(_xlfn.XLOOKUP(Table6[[#This Row],[Affected Feeder ]],'Basic Data'!$A:$A,'Basic Data'!$E:$E),"")</f>
        <v>2.2727272727272728E-2</v>
      </c>
      <c r="K468" s="296" t="s">
        <v>811</v>
      </c>
      <c r="L468" s="297">
        <v>0.63402777777777775</v>
      </c>
      <c r="M468" s="297">
        <v>0.63402777777777775</v>
      </c>
      <c r="N468" s="297">
        <v>0.74513888888888891</v>
      </c>
      <c r="O468" s="19">
        <f>(Table6[[#This Row],[Work Start TimeStamp]]-Table6[[#This Row],[Fault Start TimeStamp]])*24</f>
        <v>0</v>
      </c>
      <c r="P468" s="19">
        <f>(Table6[[#This Row],[Fault Clearance time]]-Table6[[#This Row],[Fault Start TimeStamp]])*24</f>
        <v>2.6666666666666679</v>
      </c>
      <c r="Q468" s="19">
        <f>(Table6[[#This Row],[Fault Clearance time]]-Table6[[#This Row],[Fault Start TimeStamp]])*24</f>
        <v>2.6666666666666679</v>
      </c>
      <c r="R468" s="79" t="s">
        <v>812</v>
      </c>
      <c r="S468" s="79" t="s">
        <v>339</v>
      </c>
      <c r="T468" s="298">
        <f>IFERROR(Table6[[#This Row],[Breakdown Time]]*Table6[[#This Row],[Plant Equivalent Weightage]],"")</f>
        <v>6.0606060606060635E-2</v>
      </c>
      <c r="U468" s="79" t="s">
        <v>421</v>
      </c>
      <c r="W468" s="79">
        <v>1445</v>
      </c>
    </row>
    <row r="469" spans="1:23">
      <c r="A469" s="79">
        <f t="shared" si="7"/>
        <v>468</v>
      </c>
      <c r="B469" s="79">
        <f>YEAR(Table6[[#This Row],[Date]])+IF(MONTH(Table6[[#This Row],[Date]])&gt;=4,1,0)</f>
        <v>2026</v>
      </c>
      <c r="C469" s="79">
        <f>YEAR(Table6[[#This Row],[Date]])</f>
        <v>2025</v>
      </c>
      <c r="D469" s="79" t="s">
        <v>344</v>
      </c>
      <c r="E469" s="284">
        <f>Table6[[#This Row],[Date]]-DAY(Table6[[#This Row],[Date]])+1</f>
        <v>45778</v>
      </c>
      <c r="F469" s="285">
        <v>45791</v>
      </c>
      <c r="G469" s="79" t="s">
        <v>108</v>
      </c>
      <c r="H469" s="79" t="str">
        <f>IFERROR(_xlfn.XLOOKUP(Table6[[#This Row],[Affected Feeder ]],'Basic Data'!$A:$A,'Basic Data'!$B:$B),"")</f>
        <v>PWEPL</v>
      </c>
      <c r="I469" s="79" t="str">
        <f>IFERROR(_xlfn.XLOOKUP(Table6[[#This Row],[Affected Feeder ]],'Basic Data'!$A:$A,'Basic Data'!$C:$C),"")</f>
        <v>MSEDCL</v>
      </c>
      <c r="J469" s="295">
        <f>IFERROR(_xlfn.XLOOKUP(Table6[[#This Row],[Affected Feeder ]],'Basic Data'!$A:$A,'Basic Data'!$E:$E),"")</f>
        <v>2.2727272727272728E-2</v>
      </c>
      <c r="K469" s="296" t="s">
        <v>171</v>
      </c>
      <c r="L469" s="297">
        <v>0.74513888888888891</v>
      </c>
      <c r="M469" s="297">
        <v>0.74513888888888891</v>
      </c>
      <c r="N469" s="297">
        <v>0.7583333333333333</v>
      </c>
      <c r="O469" s="19">
        <f>(Table6[[#This Row],[Work Start TimeStamp]]-Table6[[#This Row],[Fault Start TimeStamp]])*24</f>
        <v>0</v>
      </c>
      <c r="P469" s="19">
        <f>(Table6[[#This Row],[Fault Clearance time]]-Table6[[#This Row],[Fault Start TimeStamp]])*24</f>
        <v>0.31666666666666554</v>
      </c>
      <c r="Q469" s="19">
        <f>(Table6[[#This Row],[Fault Clearance time]]-Table6[[#This Row],[Fault Start TimeStamp]])*24</f>
        <v>0.31666666666666554</v>
      </c>
      <c r="R469" s="79" t="s">
        <v>353</v>
      </c>
      <c r="S469" s="79" t="s">
        <v>339</v>
      </c>
      <c r="T469" s="298">
        <f>IFERROR(Table6[[#This Row],[Breakdown Time]]*Table6[[#This Row],[Plant Equivalent Weightage]],"")</f>
        <v>7.1969696969696713E-3</v>
      </c>
      <c r="U469" s="79" t="s">
        <v>421</v>
      </c>
      <c r="W469" s="79">
        <v>44</v>
      </c>
    </row>
    <row r="470" spans="1:23">
      <c r="A470" s="79">
        <f t="shared" si="7"/>
        <v>469</v>
      </c>
      <c r="B470" s="79">
        <f>YEAR(Table6[[#This Row],[Date]])+IF(MONTH(Table6[[#This Row],[Date]])&gt;=4,1,0)</f>
        <v>2026</v>
      </c>
      <c r="C470" s="79">
        <f>YEAR(Table6[[#This Row],[Date]])</f>
        <v>2025</v>
      </c>
      <c r="D470" s="79" t="s">
        <v>344</v>
      </c>
      <c r="E470" s="284">
        <f>Table6[[#This Row],[Date]]-DAY(Table6[[#This Row],[Date]])+1</f>
        <v>45778</v>
      </c>
      <c r="F470" s="285">
        <v>45791</v>
      </c>
      <c r="G470" s="79" t="s">
        <v>406</v>
      </c>
      <c r="H470" s="79" t="str">
        <f>IFERROR(_xlfn.XLOOKUP(Table6[[#This Row],[Affected Feeder ]],'Basic Data'!$A:$A,'Basic Data'!$B:$B),"")</f>
        <v>PWEPL</v>
      </c>
      <c r="I470" s="79" t="str">
        <f>IFERROR(_xlfn.XLOOKUP(Table6[[#This Row],[Affected Feeder ]],'Basic Data'!$A:$A,'Basic Data'!$C:$C),"")</f>
        <v>MSEDCL</v>
      </c>
      <c r="J470" s="295">
        <f>IFERROR(_xlfn.XLOOKUP(Table6[[#This Row],[Affected Feeder ]],'Basic Data'!$A:$A,'Basic Data'!$E:$E),"")</f>
        <v>0.29545454545454541</v>
      </c>
      <c r="K470" s="296" t="s">
        <v>447</v>
      </c>
      <c r="L470" s="297">
        <v>0.59513888888888888</v>
      </c>
      <c r="M470" s="297">
        <v>0.59513888888888888</v>
      </c>
      <c r="N470" s="297">
        <v>0.6333333333333333</v>
      </c>
      <c r="O470" s="19">
        <f>(Table6[[#This Row],[Work Start TimeStamp]]-Table6[[#This Row],[Fault Start TimeStamp]])*24</f>
        <v>0</v>
      </c>
      <c r="P470" s="19">
        <f>(Table6[[#This Row],[Fault Clearance time]]-Table6[[#This Row],[Fault Start TimeStamp]])*24</f>
        <v>0.91666666666666607</v>
      </c>
      <c r="Q470" s="19">
        <f>(Table6[[#This Row],[Fault Clearance time]]-Table6[[#This Row],[Fault Start TimeStamp]])*24</f>
        <v>0.91666666666666607</v>
      </c>
      <c r="R470" s="79" t="s">
        <v>420</v>
      </c>
      <c r="S470" s="79" t="s">
        <v>339</v>
      </c>
      <c r="T470" s="298">
        <f>IFERROR(Table6[[#This Row],[Breakdown Time]]*Table6[[#This Row],[Plant Equivalent Weightage]],"")</f>
        <v>0.27083333333333315</v>
      </c>
      <c r="U470" s="79" t="s">
        <v>421</v>
      </c>
      <c r="W470" s="79">
        <v>3013</v>
      </c>
    </row>
    <row r="471" spans="1:23">
      <c r="A471" s="79">
        <f t="shared" si="7"/>
        <v>470</v>
      </c>
      <c r="B471" s="79">
        <f>YEAR(Table6[[#This Row],[Date]])+IF(MONTH(Table6[[#This Row],[Date]])&gt;=4,1,0)</f>
        <v>2026</v>
      </c>
      <c r="C471" s="79">
        <f>YEAR(Table6[[#This Row],[Date]])</f>
        <v>2025</v>
      </c>
      <c r="D471" s="79" t="s">
        <v>344</v>
      </c>
      <c r="E471" s="284">
        <f>Table6[[#This Row],[Date]]-DAY(Table6[[#This Row],[Date]])+1</f>
        <v>45778</v>
      </c>
      <c r="F471" s="285">
        <v>45791</v>
      </c>
      <c r="G471" s="79" t="s">
        <v>76</v>
      </c>
      <c r="H471" s="79" t="str">
        <f>IFERROR(_xlfn.XLOOKUP(Table6[[#This Row],[Affected Feeder ]],'Basic Data'!$A:$A,'Basic Data'!$B:$B),"")</f>
        <v>PWEPL</v>
      </c>
      <c r="I471" s="79" t="str">
        <f>IFERROR(_xlfn.XLOOKUP(Table6[[#This Row],[Affected Feeder ]],'Basic Data'!$A:$A,'Basic Data'!$C:$C),"")</f>
        <v>MSEDCL</v>
      </c>
      <c r="J471" s="295">
        <f>IFERROR(_xlfn.XLOOKUP(Table6[[#This Row],[Affected Feeder ]],'Basic Data'!$A:$A,'Basic Data'!$E:$E),"")</f>
        <v>2.2727272727272728E-2</v>
      </c>
      <c r="K471" s="296" t="s">
        <v>171</v>
      </c>
      <c r="L471" s="297">
        <v>0.6333333333333333</v>
      </c>
      <c r="M471" s="297">
        <v>0.6333333333333333</v>
      </c>
      <c r="N471" s="297">
        <v>0.64583333333333337</v>
      </c>
      <c r="O471" s="19">
        <f>(Table6[[#This Row],[Work Start TimeStamp]]-Table6[[#This Row],[Fault Start TimeStamp]])*24</f>
        <v>0</v>
      </c>
      <c r="P471" s="19">
        <f>(Table6[[#This Row],[Fault Clearance time]]-Table6[[#This Row],[Fault Start TimeStamp]])*24</f>
        <v>0.3000000000000016</v>
      </c>
      <c r="Q471" s="19">
        <f>(Table6[[#This Row],[Fault Clearance time]]-Table6[[#This Row],[Fault Start TimeStamp]])*24</f>
        <v>0.3000000000000016</v>
      </c>
      <c r="R471" s="79" t="s">
        <v>353</v>
      </c>
      <c r="S471" s="79" t="s">
        <v>339</v>
      </c>
      <c r="T471" s="298">
        <f>IFERROR(Table6[[#This Row],[Breakdown Time]]*Table6[[#This Row],[Plant Equivalent Weightage]],"")</f>
        <v>6.8181818181818543E-3</v>
      </c>
      <c r="U471" s="79" t="s">
        <v>421</v>
      </c>
      <c r="W471" s="79">
        <v>75</v>
      </c>
    </row>
    <row r="472" spans="1:23">
      <c r="A472" s="79">
        <f t="shared" si="7"/>
        <v>471</v>
      </c>
      <c r="B472" s="79">
        <f>YEAR(Table6[[#This Row],[Date]])+IF(MONTH(Table6[[#This Row],[Date]])&gt;=4,1,0)</f>
        <v>2026</v>
      </c>
      <c r="C472" s="79">
        <f>YEAR(Table6[[#This Row],[Date]])</f>
        <v>2025</v>
      </c>
      <c r="D472" s="79" t="s">
        <v>344</v>
      </c>
      <c r="E472" s="284">
        <f>Table6[[#This Row],[Date]]-DAY(Table6[[#This Row],[Date]])+1</f>
        <v>45778</v>
      </c>
      <c r="F472" s="285">
        <v>45791</v>
      </c>
      <c r="G472" s="79" t="s">
        <v>77</v>
      </c>
      <c r="H472" s="79" t="str">
        <f>IFERROR(_xlfn.XLOOKUP(Table6[[#This Row],[Affected Feeder ]],'Basic Data'!$A:$A,'Basic Data'!$B:$B),"")</f>
        <v>PWEPL</v>
      </c>
      <c r="I472" s="79" t="str">
        <f>IFERROR(_xlfn.XLOOKUP(Table6[[#This Row],[Affected Feeder ]],'Basic Data'!$A:$A,'Basic Data'!$C:$C),"")</f>
        <v>MSEDCL</v>
      </c>
      <c r="J472" s="295">
        <f>IFERROR(_xlfn.XLOOKUP(Table6[[#This Row],[Affected Feeder ]],'Basic Data'!$A:$A,'Basic Data'!$E:$E),"")</f>
        <v>2.2727272727272728E-2</v>
      </c>
      <c r="K472" s="296" t="s">
        <v>171</v>
      </c>
      <c r="L472" s="297">
        <v>0.6333333333333333</v>
      </c>
      <c r="M472" s="297">
        <v>0.6333333333333333</v>
      </c>
      <c r="N472" s="297">
        <v>0.64374999999999993</v>
      </c>
      <c r="O472" s="19">
        <f>(Table6[[#This Row],[Work Start TimeStamp]]-Table6[[#This Row],[Fault Start TimeStamp]])*24</f>
        <v>0</v>
      </c>
      <c r="P472" s="19">
        <f>(Table6[[#This Row],[Fault Clearance time]]-Table6[[#This Row],[Fault Start TimeStamp]])*24</f>
        <v>0.24999999999999911</v>
      </c>
      <c r="Q472" s="19">
        <f>(Table6[[#This Row],[Fault Clearance time]]-Table6[[#This Row],[Fault Start TimeStamp]])*24</f>
        <v>0.24999999999999911</v>
      </c>
      <c r="R472" s="79" t="s">
        <v>353</v>
      </c>
      <c r="S472" s="79" t="s">
        <v>339</v>
      </c>
      <c r="T472" s="298">
        <f>IFERROR(Table6[[#This Row],[Breakdown Time]]*Table6[[#This Row],[Plant Equivalent Weightage]],"")</f>
        <v>5.681818181818162E-3</v>
      </c>
      <c r="U472" s="79" t="s">
        <v>421</v>
      </c>
      <c r="W472" s="79">
        <v>63</v>
      </c>
    </row>
    <row r="473" spans="1:23">
      <c r="A473" s="79">
        <f t="shared" si="7"/>
        <v>472</v>
      </c>
      <c r="B473" s="79">
        <f>YEAR(Table6[[#This Row],[Date]])+IF(MONTH(Table6[[#This Row],[Date]])&gt;=4,1,0)</f>
        <v>2026</v>
      </c>
      <c r="C473" s="79">
        <f>YEAR(Table6[[#This Row],[Date]])</f>
        <v>2025</v>
      </c>
      <c r="D473" s="79" t="s">
        <v>344</v>
      </c>
      <c r="E473" s="284">
        <f>Table6[[#This Row],[Date]]-DAY(Table6[[#This Row],[Date]])+1</f>
        <v>45778</v>
      </c>
      <c r="F473" s="285">
        <v>45791</v>
      </c>
      <c r="G473" s="79" t="s">
        <v>78</v>
      </c>
      <c r="H473" s="79" t="str">
        <f>IFERROR(_xlfn.XLOOKUP(Table6[[#This Row],[Affected Feeder ]],'Basic Data'!$A:$A,'Basic Data'!$B:$B),"")</f>
        <v>PWEPL</v>
      </c>
      <c r="I473" s="79" t="str">
        <f>IFERROR(_xlfn.XLOOKUP(Table6[[#This Row],[Affected Feeder ]],'Basic Data'!$A:$A,'Basic Data'!$C:$C),"")</f>
        <v>MSEDCL</v>
      </c>
      <c r="J473" s="295">
        <f>IFERROR(_xlfn.XLOOKUP(Table6[[#This Row],[Affected Feeder ]],'Basic Data'!$A:$A,'Basic Data'!$E:$E),"")</f>
        <v>2.2727272727272728E-2</v>
      </c>
      <c r="K473" s="296" t="s">
        <v>171</v>
      </c>
      <c r="L473" s="297">
        <v>0.6333333333333333</v>
      </c>
      <c r="M473" s="297">
        <v>0.6333333333333333</v>
      </c>
      <c r="N473" s="297">
        <v>0.64583333333333337</v>
      </c>
      <c r="O473" s="19">
        <f>(Table6[[#This Row],[Work Start TimeStamp]]-Table6[[#This Row],[Fault Start TimeStamp]])*24</f>
        <v>0</v>
      </c>
      <c r="P473" s="19">
        <f>(Table6[[#This Row],[Fault Clearance time]]-Table6[[#This Row],[Fault Start TimeStamp]])*24</f>
        <v>0.3000000000000016</v>
      </c>
      <c r="Q473" s="19">
        <f>(Table6[[#This Row],[Fault Clearance time]]-Table6[[#This Row],[Fault Start TimeStamp]])*24</f>
        <v>0.3000000000000016</v>
      </c>
      <c r="R473" s="79" t="s">
        <v>353</v>
      </c>
      <c r="S473" s="79" t="s">
        <v>339</v>
      </c>
      <c r="T473" s="298">
        <f>IFERROR(Table6[[#This Row],[Breakdown Time]]*Table6[[#This Row],[Plant Equivalent Weightage]],"")</f>
        <v>6.8181818181818543E-3</v>
      </c>
      <c r="U473" s="79" t="s">
        <v>421</v>
      </c>
      <c r="W473" s="79">
        <v>75</v>
      </c>
    </row>
    <row r="474" spans="1:23">
      <c r="A474" s="79">
        <f t="shared" si="7"/>
        <v>473</v>
      </c>
      <c r="B474" s="79">
        <f>YEAR(Table6[[#This Row],[Date]])+IF(MONTH(Table6[[#This Row],[Date]])&gt;=4,1,0)</f>
        <v>2026</v>
      </c>
      <c r="C474" s="79">
        <f>YEAR(Table6[[#This Row],[Date]])</f>
        <v>2025</v>
      </c>
      <c r="D474" s="79" t="s">
        <v>344</v>
      </c>
      <c r="E474" s="284">
        <f>Table6[[#This Row],[Date]]-DAY(Table6[[#This Row],[Date]])+1</f>
        <v>45778</v>
      </c>
      <c r="F474" s="285">
        <v>45791</v>
      </c>
      <c r="G474" s="79" t="s">
        <v>82</v>
      </c>
      <c r="H474" s="79" t="str">
        <f>IFERROR(_xlfn.XLOOKUP(Table6[[#This Row],[Affected Feeder ]],'Basic Data'!$A:$A,'Basic Data'!$B:$B),"")</f>
        <v>PWEPL</v>
      </c>
      <c r="I474" s="79" t="str">
        <f>IFERROR(_xlfn.XLOOKUP(Table6[[#This Row],[Affected Feeder ]],'Basic Data'!$A:$A,'Basic Data'!$C:$C),"")</f>
        <v>MSEDCL</v>
      </c>
      <c r="J474" s="295">
        <f>IFERROR(_xlfn.XLOOKUP(Table6[[#This Row],[Affected Feeder ]],'Basic Data'!$A:$A,'Basic Data'!$E:$E),"")</f>
        <v>2.2727272727272728E-2</v>
      </c>
      <c r="K474" s="296" t="s">
        <v>171</v>
      </c>
      <c r="L474" s="297">
        <v>0.6333333333333333</v>
      </c>
      <c r="M474" s="297">
        <v>0.6333333333333333</v>
      </c>
      <c r="N474" s="297">
        <v>0.64583333333333337</v>
      </c>
      <c r="O474" s="19">
        <f>(Table6[[#This Row],[Work Start TimeStamp]]-Table6[[#This Row],[Fault Start TimeStamp]])*24</f>
        <v>0</v>
      </c>
      <c r="P474" s="19">
        <f>(Table6[[#This Row],[Fault Clearance time]]-Table6[[#This Row],[Fault Start TimeStamp]])*24</f>
        <v>0.3000000000000016</v>
      </c>
      <c r="Q474" s="19">
        <f>(Table6[[#This Row],[Fault Clearance time]]-Table6[[#This Row],[Fault Start TimeStamp]])*24</f>
        <v>0.3000000000000016</v>
      </c>
      <c r="R474" s="79" t="s">
        <v>353</v>
      </c>
      <c r="S474" s="79" t="s">
        <v>339</v>
      </c>
      <c r="T474" s="298">
        <f>IFERROR(Table6[[#This Row],[Breakdown Time]]*Table6[[#This Row],[Plant Equivalent Weightage]],"")</f>
        <v>6.8181818181818543E-3</v>
      </c>
      <c r="U474" s="79" t="s">
        <v>421</v>
      </c>
      <c r="W474" s="79">
        <v>75</v>
      </c>
    </row>
    <row r="475" spans="1:23">
      <c r="A475" s="79">
        <f t="shared" si="7"/>
        <v>474</v>
      </c>
      <c r="B475" s="79">
        <f>YEAR(Table6[[#This Row],[Date]])+IF(MONTH(Table6[[#This Row],[Date]])&gt;=4,1,0)</f>
        <v>2026</v>
      </c>
      <c r="C475" s="79">
        <f>YEAR(Table6[[#This Row],[Date]])</f>
        <v>2025</v>
      </c>
      <c r="D475" s="79" t="s">
        <v>344</v>
      </c>
      <c r="E475" s="284">
        <f>Table6[[#This Row],[Date]]-DAY(Table6[[#This Row],[Date]])+1</f>
        <v>45778</v>
      </c>
      <c r="F475" s="285">
        <v>45791</v>
      </c>
      <c r="G475" s="79" t="s">
        <v>93</v>
      </c>
      <c r="H475" s="79" t="str">
        <f>IFERROR(_xlfn.XLOOKUP(Table6[[#This Row],[Affected Feeder ]],'Basic Data'!$A:$A,'Basic Data'!$B:$B),"")</f>
        <v>PWEPL</v>
      </c>
      <c r="I475" s="79" t="str">
        <f>IFERROR(_xlfn.XLOOKUP(Table6[[#This Row],[Affected Feeder ]],'Basic Data'!$A:$A,'Basic Data'!$C:$C),"")</f>
        <v>MSEDCL</v>
      </c>
      <c r="J475" s="295">
        <f>IFERROR(_xlfn.XLOOKUP(Table6[[#This Row],[Affected Feeder ]],'Basic Data'!$A:$A,'Basic Data'!$E:$E),"")</f>
        <v>2.2727272727272728E-2</v>
      </c>
      <c r="K475" s="296" t="s">
        <v>171</v>
      </c>
      <c r="L475" s="297">
        <v>0.6333333333333333</v>
      </c>
      <c r="M475" s="297">
        <v>0.6333333333333333</v>
      </c>
      <c r="N475" s="297">
        <v>0.64583333333333337</v>
      </c>
      <c r="O475" s="19">
        <f>(Table6[[#This Row],[Work Start TimeStamp]]-Table6[[#This Row],[Fault Start TimeStamp]])*24</f>
        <v>0</v>
      </c>
      <c r="P475" s="19">
        <f>(Table6[[#This Row],[Fault Clearance time]]-Table6[[#This Row],[Fault Start TimeStamp]])*24</f>
        <v>0.3000000000000016</v>
      </c>
      <c r="Q475" s="19">
        <f>(Table6[[#This Row],[Fault Clearance time]]-Table6[[#This Row],[Fault Start TimeStamp]])*24</f>
        <v>0.3000000000000016</v>
      </c>
      <c r="R475" s="79" t="s">
        <v>353</v>
      </c>
      <c r="S475" s="79" t="s">
        <v>339</v>
      </c>
      <c r="T475" s="298">
        <f>IFERROR(Table6[[#This Row],[Breakdown Time]]*Table6[[#This Row],[Plant Equivalent Weightage]],"")</f>
        <v>6.8181818181818543E-3</v>
      </c>
      <c r="U475" s="79" t="s">
        <v>421</v>
      </c>
      <c r="W475" s="79">
        <v>75</v>
      </c>
    </row>
    <row r="476" spans="1:23">
      <c r="A476" s="79">
        <f t="shared" si="7"/>
        <v>475</v>
      </c>
      <c r="B476" s="79">
        <f>YEAR(Table6[[#This Row],[Date]])+IF(MONTH(Table6[[#This Row],[Date]])&gt;=4,1,0)</f>
        <v>2026</v>
      </c>
      <c r="C476" s="79">
        <f>YEAR(Table6[[#This Row],[Date]])</f>
        <v>2025</v>
      </c>
      <c r="D476" s="79" t="s">
        <v>344</v>
      </c>
      <c r="E476" s="284">
        <f>Table6[[#This Row],[Date]]-DAY(Table6[[#This Row],[Date]])+1</f>
        <v>45778</v>
      </c>
      <c r="F476" s="285">
        <v>45791</v>
      </c>
      <c r="G476" s="79" t="s">
        <v>102</v>
      </c>
      <c r="H476" s="79" t="str">
        <f>IFERROR(_xlfn.XLOOKUP(Table6[[#This Row],[Affected Feeder ]],'Basic Data'!$A:$A,'Basic Data'!$B:$B),"")</f>
        <v>PWEPL</v>
      </c>
      <c r="I476" s="79" t="str">
        <f>IFERROR(_xlfn.XLOOKUP(Table6[[#This Row],[Affected Feeder ]],'Basic Data'!$A:$A,'Basic Data'!$C:$C),"")</f>
        <v>MSEDCL</v>
      </c>
      <c r="J476" s="295">
        <f>IFERROR(_xlfn.XLOOKUP(Table6[[#This Row],[Affected Feeder ]],'Basic Data'!$A:$A,'Basic Data'!$E:$E),"")</f>
        <v>2.2727272727272728E-2</v>
      </c>
      <c r="K476" s="296" t="s">
        <v>171</v>
      </c>
      <c r="L476" s="297">
        <v>0.6333333333333333</v>
      </c>
      <c r="M476" s="297">
        <v>0.6333333333333333</v>
      </c>
      <c r="N476" s="297">
        <v>0.64513888888888882</v>
      </c>
      <c r="O476" s="19">
        <f>(Table6[[#This Row],[Work Start TimeStamp]]-Table6[[#This Row],[Fault Start TimeStamp]])*24</f>
        <v>0</v>
      </c>
      <c r="P476" s="19">
        <f>(Table6[[#This Row],[Fault Clearance time]]-Table6[[#This Row],[Fault Start TimeStamp]])*24</f>
        <v>0.28333333333333233</v>
      </c>
      <c r="Q476" s="19">
        <f>(Table6[[#This Row],[Fault Clearance time]]-Table6[[#This Row],[Fault Start TimeStamp]])*24</f>
        <v>0.28333333333333233</v>
      </c>
      <c r="R476" s="79" t="s">
        <v>353</v>
      </c>
      <c r="S476" s="79" t="s">
        <v>339</v>
      </c>
      <c r="T476" s="298">
        <f>IFERROR(Table6[[#This Row],[Breakdown Time]]*Table6[[#This Row],[Plant Equivalent Weightage]],"")</f>
        <v>6.4393939393939167E-3</v>
      </c>
      <c r="U476" s="79" t="s">
        <v>421</v>
      </c>
      <c r="W476" s="79">
        <v>71</v>
      </c>
    </row>
    <row r="477" spans="1:23">
      <c r="A477" s="79">
        <f t="shared" si="7"/>
        <v>476</v>
      </c>
      <c r="B477" s="79">
        <f>YEAR(Table6[[#This Row],[Date]])+IF(MONTH(Table6[[#This Row],[Date]])&gt;=4,1,0)</f>
        <v>2026</v>
      </c>
      <c r="C477" s="79">
        <f>YEAR(Table6[[#This Row],[Date]])</f>
        <v>2025</v>
      </c>
      <c r="D477" s="79" t="s">
        <v>344</v>
      </c>
      <c r="E477" s="284">
        <f>Table6[[#This Row],[Date]]-DAY(Table6[[#This Row],[Date]])+1</f>
        <v>45778</v>
      </c>
      <c r="F477" s="285">
        <v>45791</v>
      </c>
      <c r="G477" s="79" t="s">
        <v>119</v>
      </c>
      <c r="H477" s="79" t="str">
        <f>IFERROR(_xlfn.XLOOKUP(Table6[[#This Row],[Affected Feeder ]],'Basic Data'!$A:$A,'Basic Data'!$B:$B),"")</f>
        <v>PWEPL</v>
      </c>
      <c r="I477" s="79" t="str">
        <f>IFERROR(_xlfn.XLOOKUP(Table6[[#This Row],[Affected Feeder ]],'Basic Data'!$A:$A,'Basic Data'!$C:$C),"")</f>
        <v>MSEDCL</v>
      </c>
      <c r="J477" s="295">
        <f>IFERROR(_xlfn.XLOOKUP(Table6[[#This Row],[Affected Feeder ]],'Basic Data'!$A:$A,'Basic Data'!$E:$E),"")</f>
        <v>2.2727272727272728E-2</v>
      </c>
      <c r="K477" s="296" t="s">
        <v>171</v>
      </c>
      <c r="L477" s="297">
        <v>0.6333333333333333</v>
      </c>
      <c r="M477" s="297">
        <v>0.6333333333333333</v>
      </c>
      <c r="N477" s="297">
        <v>0.64166666666666672</v>
      </c>
      <c r="O477" s="19">
        <f>(Table6[[#This Row],[Work Start TimeStamp]]-Table6[[#This Row],[Fault Start TimeStamp]])*24</f>
        <v>0</v>
      </c>
      <c r="P477" s="19">
        <f>(Table6[[#This Row],[Fault Clearance time]]-Table6[[#This Row],[Fault Start TimeStamp]])*24</f>
        <v>0.20000000000000195</v>
      </c>
      <c r="Q477" s="19">
        <f>(Table6[[#This Row],[Fault Clearance time]]-Table6[[#This Row],[Fault Start TimeStamp]])*24</f>
        <v>0.20000000000000195</v>
      </c>
      <c r="R477" s="79" t="s">
        <v>353</v>
      </c>
      <c r="S477" s="79" t="s">
        <v>339</v>
      </c>
      <c r="T477" s="298">
        <f>IFERROR(Table6[[#This Row],[Breakdown Time]]*Table6[[#This Row],[Plant Equivalent Weightage]],"")</f>
        <v>4.5454545454545903E-3</v>
      </c>
      <c r="U477" s="79" t="s">
        <v>421</v>
      </c>
      <c r="W477" s="79">
        <v>50</v>
      </c>
    </row>
    <row r="478" spans="1:23">
      <c r="A478" s="79">
        <f t="shared" si="7"/>
        <v>477</v>
      </c>
      <c r="B478" s="79">
        <f>YEAR(Table6[[#This Row],[Date]])+IF(MONTH(Table6[[#This Row],[Date]])&gt;=4,1,0)</f>
        <v>2026</v>
      </c>
      <c r="C478" s="79">
        <f>YEAR(Table6[[#This Row],[Date]])</f>
        <v>2025</v>
      </c>
      <c r="D478" s="79" t="s">
        <v>344</v>
      </c>
      <c r="E478" s="284">
        <f>Table6[[#This Row],[Date]]-DAY(Table6[[#This Row],[Date]])+1</f>
        <v>45778</v>
      </c>
      <c r="F478" s="285">
        <v>45791</v>
      </c>
      <c r="G478" s="79" t="s">
        <v>103</v>
      </c>
      <c r="H478" s="79" t="str">
        <f>IFERROR(_xlfn.XLOOKUP(Table6[[#This Row],[Affected Feeder ]],'Basic Data'!$A:$A,'Basic Data'!$B:$B),"")</f>
        <v>PWEPL</v>
      </c>
      <c r="I478" s="79" t="str">
        <f>IFERROR(_xlfn.XLOOKUP(Table6[[#This Row],[Affected Feeder ]],'Basic Data'!$A:$A,'Basic Data'!$C:$C),"")</f>
        <v>MSEDCL</v>
      </c>
      <c r="J478" s="295">
        <f>IFERROR(_xlfn.XLOOKUP(Table6[[#This Row],[Affected Feeder ]],'Basic Data'!$A:$A,'Basic Data'!$E:$E),"")</f>
        <v>2.2727272727272728E-2</v>
      </c>
      <c r="K478" s="296" t="s">
        <v>171</v>
      </c>
      <c r="L478" s="297">
        <v>0.6333333333333333</v>
      </c>
      <c r="M478" s="297">
        <v>0.6333333333333333</v>
      </c>
      <c r="N478" s="297">
        <v>0.64374999999999993</v>
      </c>
      <c r="O478" s="19">
        <f>(Table6[[#This Row],[Work Start TimeStamp]]-Table6[[#This Row],[Fault Start TimeStamp]])*24</f>
        <v>0</v>
      </c>
      <c r="P478" s="19">
        <f>(Table6[[#This Row],[Fault Clearance time]]-Table6[[#This Row],[Fault Start TimeStamp]])*24</f>
        <v>0.24999999999999911</v>
      </c>
      <c r="Q478" s="19">
        <f>(Table6[[#This Row],[Fault Clearance time]]-Table6[[#This Row],[Fault Start TimeStamp]])*24</f>
        <v>0.24999999999999911</v>
      </c>
      <c r="R478" s="79" t="s">
        <v>353</v>
      </c>
      <c r="S478" s="79" t="s">
        <v>339</v>
      </c>
      <c r="T478" s="298">
        <f>IFERROR(Table6[[#This Row],[Breakdown Time]]*Table6[[#This Row],[Plant Equivalent Weightage]],"")</f>
        <v>5.681818181818162E-3</v>
      </c>
      <c r="U478" s="79" t="s">
        <v>421</v>
      </c>
      <c r="W478" s="79">
        <v>63</v>
      </c>
    </row>
    <row r="479" spans="1:23">
      <c r="A479" s="79">
        <f t="shared" si="7"/>
        <v>478</v>
      </c>
      <c r="B479" s="79">
        <f>YEAR(Table6[[#This Row],[Date]])+IF(MONTH(Table6[[#This Row],[Date]])&gt;=4,1,0)</f>
        <v>2026</v>
      </c>
      <c r="C479" s="79">
        <f>YEAR(Table6[[#This Row],[Date]])</f>
        <v>2025</v>
      </c>
      <c r="D479" s="79" t="s">
        <v>344</v>
      </c>
      <c r="E479" s="284">
        <f>Table6[[#This Row],[Date]]-DAY(Table6[[#This Row],[Date]])+1</f>
        <v>45778</v>
      </c>
      <c r="F479" s="285">
        <v>45791</v>
      </c>
      <c r="G479" s="79" t="s">
        <v>105</v>
      </c>
      <c r="H479" s="79" t="str">
        <f>IFERROR(_xlfn.XLOOKUP(Table6[[#This Row],[Affected Feeder ]],'Basic Data'!$A:$A,'Basic Data'!$B:$B),"")</f>
        <v>PWEPL</v>
      </c>
      <c r="I479" s="79" t="str">
        <f>IFERROR(_xlfn.XLOOKUP(Table6[[#This Row],[Affected Feeder ]],'Basic Data'!$A:$A,'Basic Data'!$C:$C),"")</f>
        <v>MSEDCL</v>
      </c>
      <c r="J479" s="295">
        <f>IFERROR(_xlfn.XLOOKUP(Table6[[#This Row],[Affected Feeder ]],'Basic Data'!$A:$A,'Basic Data'!$E:$E),"")</f>
        <v>2.2727272727272728E-2</v>
      </c>
      <c r="K479" s="296" t="s">
        <v>171</v>
      </c>
      <c r="L479" s="297">
        <v>0.6333333333333333</v>
      </c>
      <c r="M479" s="297">
        <v>0.6333333333333333</v>
      </c>
      <c r="N479" s="297">
        <v>0.6430555555555556</v>
      </c>
      <c r="O479" s="19">
        <f>(Table6[[#This Row],[Work Start TimeStamp]]-Table6[[#This Row],[Fault Start TimeStamp]])*24</f>
        <v>0</v>
      </c>
      <c r="P479" s="19">
        <f>(Table6[[#This Row],[Fault Clearance time]]-Table6[[#This Row],[Fault Start TimeStamp]])*24</f>
        <v>0.23333333333333517</v>
      </c>
      <c r="Q479" s="19">
        <f>(Table6[[#This Row],[Fault Clearance time]]-Table6[[#This Row],[Fault Start TimeStamp]])*24</f>
        <v>0.23333333333333517</v>
      </c>
      <c r="R479" s="79" t="s">
        <v>353</v>
      </c>
      <c r="S479" s="79" t="s">
        <v>339</v>
      </c>
      <c r="T479" s="298">
        <f>IFERROR(Table6[[#This Row],[Breakdown Time]]*Table6[[#This Row],[Plant Equivalent Weightage]],"")</f>
        <v>5.303030303030345E-3</v>
      </c>
      <c r="U479" s="79" t="s">
        <v>421</v>
      </c>
      <c r="W479" s="79">
        <v>58</v>
      </c>
    </row>
    <row r="480" spans="1:23">
      <c r="A480" s="79">
        <f t="shared" si="7"/>
        <v>479</v>
      </c>
      <c r="B480" s="79">
        <f>YEAR(Table6[[#This Row],[Date]])+IF(MONTH(Table6[[#This Row],[Date]])&gt;=4,1,0)</f>
        <v>2026</v>
      </c>
      <c r="C480" s="79">
        <f>YEAR(Table6[[#This Row],[Date]])</f>
        <v>2025</v>
      </c>
      <c r="D480" s="79" t="s">
        <v>344</v>
      </c>
      <c r="E480" s="284">
        <f>Table6[[#This Row],[Date]]-DAY(Table6[[#This Row],[Date]])+1</f>
        <v>45778</v>
      </c>
      <c r="F480" s="285">
        <v>45791</v>
      </c>
      <c r="G480" s="79" t="s">
        <v>115</v>
      </c>
      <c r="H480" s="79" t="str">
        <f>IFERROR(_xlfn.XLOOKUP(Table6[[#This Row],[Affected Feeder ]],'Basic Data'!$A:$A,'Basic Data'!$B:$B),"")</f>
        <v>PWEPL</v>
      </c>
      <c r="I480" s="79" t="str">
        <f>IFERROR(_xlfn.XLOOKUP(Table6[[#This Row],[Affected Feeder ]],'Basic Data'!$A:$A,'Basic Data'!$C:$C),"")</f>
        <v>MSEDCL</v>
      </c>
      <c r="J480" s="295">
        <f>IFERROR(_xlfn.XLOOKUP(Table6[[#This Row],[Affected Feeder ]],'Basic Data'!$A:$A,'Basic Data'!$E:$E),"")</f>
        <v>2.2727272727272728E-2</v>
      </c>
      <c r="K480" s="296" t="s">
        <v>171</v>
      </c>
      <c r="L480" s="297">
        <v>0.6333333333333333</v>
      </c>
      <c r="M480" s="297">
        <v>0.6333333333333333</v>
      </c>
      <c r="N480" s="297">
        <v>0.64166666666666672</v>
      </c>
      <c r="O480" s="19">
        <f>(Table6[[#This Row],[Work Start TimeStamp]]-Table6[[#This Row],[Fault Start TimeStamp]])*24</f>
        <v>0</v>
      </c>
      <c r="P480" s="19">
        <f>(Table6[[#This Row],[Fault Clearance time]]-Table6[[#This Row],[Fault Start TimeStamp]])*24</f>
        <v>0.20000000000000195</v>
      </c>
      <c r="Q480" s="19">
        <f>(Table6[[#This Row],[Fault Clearance time]]-Table6[[#This Row],[Fault Start TimeStamp]])*24</f>
        <v>0.20000000000000195</v>
      </c>
      <c r="R480" s="79" t="s">
        <v>353</v>
      </c>
      <c r="S480" s="79" t="s">
        <v>339</v>
      </c>
      <c r="T480" s="298">
        <f>IFERROR(Table6[[#This Row],[Breakdown Time]]*Table6[[#This Row],[Plant Equivalent Weightage]],"")</f>
        <v>4.5454545454545903E-3</v>
      </c>
      <c r="U480" s="79" t="s">
        <v>421</v>
      </c>
      <c r="W480" s="79">
        <v>50</v>
      </c>
    </row>
    <row r="481" spans="1:23">
      <c r="A481" s="79">
        <f t="shared" si="7"/>
        <v>480</v>
      </c>
      <c r="B481" s="79">
        <f>YEAR(Table6[[#This Row],[Date]])+IF(MONTH(Table6[[#This Row],[Date]])&gt;=4,1,0)</f>
        <v>2026</v>
      </c>
      <c r="C481" s="79">
        <f>YEAR(Table6[[#This Row],[Date]])</f>
        <v>2025</v>
      </c>
      <c r="D481" s="79" t="s">
        <v>344</v>
      </c>
      <c r="E481" s="284">
        <f>Table6[[#This Row],[Date]]-DAY(Table6[[#This Row],[Date]])+1</f>
        <v>45778</v>
      </c>
      <c r="F481" s="285">
        <v>45791</v>
      </c>
      <c r="G481" s="79" t="s">
        <v>116</v>
      </c>
      <c r="H481" s="79" t="str">
        <f>IFERROR(_xlfn.XLOOKUP(Table6[[#This Row],[Affected Feeder ]],'Basic Data'!$A:$A,'Basic Data'!$B:$B),"")</f>
        <v>PWEPL</v>
      </c>
      <c r="I481" s="79" t="str">
        <f>IFERROR(_xlfn.XLOOKUP(Table6[[#This Row],[Affected Feeder ]],'Basic Data'!$A:$A,'Basic Data'!$C:$C),"")</f>
        <v>MSEDCL</v>
      </c>
      <c r="J481" s="295">
        <f>IFERROR(_xlfn.XLOOKUP(Table6[[#This Row],[Affected Feeder ]],'Basic Data'!$A:$A,'Basic Data'!$E:$E),"")</f>
        <v>2.2727272727272728E-2</v>
      </c>
      <c r="K481" s="296" t="s">
        <v>171</v>
      </c>
      <c r="L481" s="297">
        <v>0.6333333333333333</v>
      </c>
      <c r="M481" s="297">
        <v>0.6333333333333333</v>
      </c>
      <c r="N481" s="297">
        <v>0.6430555555555556</v>
      </c>
      <c r="O481" s="19">
        <f>(Table6[[#This Row],[Work Start TimeStamp]]-Table6[[#This Row],[Fault Start TimeStamp]])*24</f>
        <v>0</v>
      </c>
      <c r="P481" s="19">
        <f>(Table6[[#This Row],[Fault Clearance time]]-Table6[[#This Row],[Fault Start TimeStamp]])*24</f>
        <v>0.23333333333333517</v>
      </c>
      <c r="Q481" s="19">
        <f>(Table6[[#This Row],[Fault Clearance time]]-Table6[[#This Row],[Fault Start TimeStamp]])*24</f>
        <v>0.23333333333333517</v>
      </c>
      <c r="R481" s="79" t="s">
        <v>353</v>
      </c>
      <c r="S481" s="79" t="s">
        <v>339</v>
      </c>
      <c r="T481" s="298">
        <f>IFERROR(Table6[[#This Row],[Breakdown Time]]*Table6[[#This Row],[Plant Equivalent Weightage]],"")</f>
        <v>5.303030303030345E-3</v>
      </c>
      <c r="U481" s="79" t="s">
        <v>421</v>
      </c>
      <c r="W481" s="79">
        <v>58</v>
      </c>
    </row>
    <row r="482" spans="1:23">
      <c r="A482" s="79">
        <f t="shared" si="7"/>
        <v>481</v>
      </c>
      <c r="B482" s="79">
        <f>YEAR(Table6[[#This Row],[Date]])+IF(MONTH(Table6[[#This Row],[Date]])&gt;=4,1,0)</f>
        <v>2026</v>
      </c>
      <c r="C482" s="79">
        <f>YEAR(Table6[[#This Row],[Date]])</f>
        <v>2025</v>
      </c>
      <c r="D482" s="79" t="s">
        <v>344</v>
      </c>
      <c r="E482" s="284">
        <f>Table6[[#This Row],[Date]]-DAY(Table6[[#This Row],[Date]])+1</f>
        <v>45778</v>
      </c>
      <c r="F482" s="285">
        <v>45791</v>
      </c>
      <c r="G482" s="79" t="s">
        <v>117</v>
      </c>
      <c r="H482" s="79" t="str">
        <f>IFERROR(_xlfn.XLOOKUP(Table6[[#This Row],[Affected Feeder ]],'Basic Data'!$A:$A,'Basic Data'!$B:$B),"")</f>
        <v>PWEPL</v>
      </c>
      <c r="I482" s="79" t="str">
        <f>IFERROR(_xlfn.XLOOKUP(Table6[[#This Row],[Affected Feeder ]],'Basic Data'!$A:$A,'Basic Data'!$C:$C),"")</f>
        <v>MSEDCL</v>
      </c>
      <c r="J482" s="295">
        <f>IFERROR(_xlfn.XLOOKUP(Table6[[#This Row],[Affected Feeder ]],'Basic Data'!$A:$A,'Basic Data'!$E:$E),"")</f>
        <v>2.2727272727272728E-2</v>
      </c>
      <c r="K482" s="296" t="s">
        <v>171</v>
      </c>
      <c r="L482" s="297">
        <v>0.6333333333333333</v>
      </c>
      <c r="M482" s="297">
        <v>0.6333333333333333</v>
      </c>
      <c r="N482" s="297">
        <v>0.64722222222222225</v>
      </c>
      <c r="O482" s="19">
        <f>(Table6[[#This Row],[Work Start TimeStamp]]-Table6[[#This Row],[Fault Start TimeStamp]])*24</f>
        <v>0</v>
      </c>
      <c r="P482" s="19">
        <f>(Table6[[#This Row],[Fault Clearance time]]-Table6[[#This Row],[Fault Start TimeStamp]])*24</f>
        <v>0.33333333333333481</v>
      </c>
      <c r="Q482" s="19">
        <f>(Table6[[#This Row],[Fault Clearance time]]-Table6[[#This Row],[Fault Start TimeStamp]])*24</f>
        <v>0.33333333333333481</v>
      </c>
      <c r="R482" s="79" t="s">
        <v>353</v>
      </c>
      <c r="S482" s="79" t="s">
        <v>339</v>
      </c>
      <c r="T482" s="298">
        <f>IFERROR(Table6[[#This Row],[Breakdown Time]]*Table6[[#This Row],[Plant Equivalent Weightage]],"")</f>
        <v>7.5757575757576098E-3</v>
      </c>
      <c r="U482" s="79" t="s">
        <v>421</v>
      </c>
      <c r="W482" s="79">
        <v>84</v>
      </c>
    </row>
    <row r="483" spans="1:23">
      <c r="A483" s="79">
        <f t="shared" si="7"/>
        <v>482</v>
      </c>
      <c r="B483" s="79">
        <f>YEAR(Table6[[#This Row],[Date]])+IF(MONTH(Table6[[#This Row],[Date]])&gt;=4,1,0)</f>
        <v>2026</v>
      </c>
      <c r="C483" s="79">
        <f>YEAR(Table6[[#This Row],[Date]])</f>
        <v>2025</v>
      </c>
      <c r="D483" s="79" t="s">
        <v>344</v>
      </c>
      <c r="E483" s="284">
        <f>Table6[[#This Row],[Date]]-DAY(Table6[[#This Row],[Date]])+1</f>
        <v>45778</v>
      </c>
      <c r="F483" s="285">
        <v>45791</v>
      </c>
      <c r="G483" s="79" t="s">
        <v>118</v>
      </c>
      <c r="H483" s="79" t="str">
        <f>IFERROR(_xlfn.XLOOKUP(Table6[[#This Row],[Affected Feeder ]],'Basic Data'!$A:$A,'Basic Data'!$B:$B),"")</f>
        <v>PWEPL</v>
      </c>
      <c r="I483" s="79" t="str">
        <f>IFERROR(_xlfn.XLOOKUP(Table6[[#This Row],[Affected Feeder ]],'Basic Data'!$A:$A,'Basic Data'!$C:$C),"")</f>
        <v>MSEDCL</v>
      </c>
      <c r="J483" s="295">
        <f>IFERROR(_xlfn.XLOOKUP(Table6[[#This Row],[Affected Feeder ]],'Basic Data'!$A:$A,'Basic Data'!$E:$E),"")</f>
        <v>2.2727272727272728E-2</v>
      </c>
      <c r="K483" s="296" t="s">
        <v>171</v>
      </c>
      <c r="L483" s="297">
        <v>0.6333333333333333</v>
      </c>
      <c r="M483" s="297">
        <v>0.6333333333333333</v>
      </c>
      <c r="N483" s="297">
        <v>0.64652777777777781</v>
      </c>
      <c r="O483" s="19">
        <f>(Table6[[#This Row],[Work Start TimeStamp]]-Table6[[#This Row],[Fault Start TimeStamp]])*24</f>
        <v>0</v>
      </c>
      <c r="P483" s="19">
        <f>(Table6[[#This Row],[Fault Clearance time]]-Table6[[#This Row],[Fault Start TimeStamp]])*24</f>
        <v>0.31666666666666821</v>
      </c>
      <c r="Q483" s="19">
        <f>(Table6[[#This Row],[Fault Clearance time]]-Table6[[#This Row],[Fault Start TimeStamp]])*24</f>
        <v>0.31666666666666821</v>
      </c>
      <c r="R483" s="79" t="s">
        <v>353</v>
      </c>
      <c r="S483" s="79" t="s">
        <v>339</v>
      </c>
      <c r="T483" s="298">
        <f>IFERROR(Table6[[#This Row],[Breakdown Time]]*Table6[[#This Row],[Plant Equivalent Weightage]],"")</f>
        <v>7.196969696969732E-3</v>
      </c>
      <c r="U483" s="79" t="s">
        <v>421</v>
      </c>
      <c r="W483" s="79">
        <v>80</v>
      </c>
    </row>
    <row r="484" spans="1:23">
      <c r="A484" s="79">
        <f t="shared" si="7"/>
        <v>483</v>
      </c>
      <c r="B484" s="79">
        <f>YEAR(Table6[[#This Row],[Date]])+IF(MONTH(Table6[[#This Row],[Date]])&gt;=4,1,0)</f>
        <v>2026</v>
      </c>
      <c r="C484" s="79">
        <f>YEAR(Table6[[#This Row],[Date]])</f>
        <v>2025</v>
      </c>
      <c r="D484" s="79" t="s">
        <v>344</v>
      </c>
      <c r="E484" s="284">
        <f>Table6[[#This Row],[Date]]-DAY(Table6[[#This Row],[Date]])+1</f>
        <v>45778</v>
      </c>
      <c r="F484" s="285">
        <v>45792</v>
      </c>
      <c r="G484" s="79" t="s">
        <v>405</v>
      </c>
      <c r="H484" s="79" t="str">
        <f>IFERROR(_xlfn.XLOOKUP(Table6[[#This Row],[Affected Feeder ]],'Basic Data'!$A:$A,'Basic Data'!$B:$B),"")</f>
        <v>PWEPL</v>
      </c>
      <c r="I484" s="79" t="str">
        <f>IFERROR(_xlfn.XLOOKUP(Table6[[#This Row],[Affected Feeder ]],'Basic Data'!$A:$A,'Basic Data'!$C:$C),"")</f>
        <v>MSEDCL</v>
      </c>
      <c r="J484" s="295">
        <f>IFERROR(_xlfn.XLOOKUP(Table6[[#This Row],[Affected Feeder ]],'Basic Data'!$A:$A,'Basic Data'!$E:$E),"")</f>
        <v>0.20454545454545453</v>
      </c>
      <c r="K484" s="296" t="s">
        <v>813</v>
      </c>
      <c r="L484" s="297">
        <v>0.3527777777777778</v>
      </c>
      <c r="M484" s="297">
        <v>0.3527777777777778</v>
      </c>
      <c r="N484" s="297">
        <v>0.6381944444444444</v>
      </c>
      <c r="O484" s="19">
        <f>(Table6[[#This Row],[Work Start TimeStamp]]-Table6[[#This Row],[Fault Start TimeStamp]])*24</f>
        <v>0</v>
      </c>
      <c r="P484" s="19">
        <f>(Table6[[#This Row],[Fault Clearance time]]-Table6[[#This Row],[Fault Start TimeStamp]])*24</f>
        <v>6.8499999999999979</v>
      </c>
      <c r="Q484" s="19">
        <f>(Table6[[#This Row],[Fault Clearance time]]-Table6[[#This Row],[Fault Start TimeStamp]])*24</f>
        <v>6.8499999999999979</v>
      </c>
      <c r="R484" s="79" t="s">
        <v>814</v>
      </c>
      <c r="S484" s="79" t="s">
        <v>339</v>
      </c>
      <c r="T484" s="298">
        <f>IFERROR(Table6[[#This Row],[Breakdown Time]]*Table6[[#This Row],[Plant Equivalent Weightage]],"")</f>
        <v>1.4011363636363632</v>
      </c>
      <c r="U484" s="79" t="s">
        <v>416</v>
      </c>
      <c r="W484" s="79">
        <v>1376</v>
      </c>
    </row>
    <row r="485" spans="1:23">
      <c r="A485" s="79">
        <f t="shared" si="7"/>
        <v>484</v>
      </c>
      <c r="B485" s="79">
        <f>YEAR(Table6[[#This Row],[Date]])+IF(MONTH(Table6[[#This Row],[Date]])&gt;=4,1,0)</f>
        <v>2026</v>
      </c>
      <c r="C485" s="79">
        <f>YEAR(Table6[[#This Row],[Date]])</f>
        <v>2025</v>
      </c>
      <c r="D485" s="79" t="s">
        <v>344</v>
      </c>
      <c r="E485" s="284">
        <f>Table6[[#This Row],[Date]]-DAY(Table6[[#This Row],[Date]])+1</f>
        <v>45778</v>
      </c>
      <c r="F485" s="285">
        <v>45792</v>
      </c>
      <c r="G485" s="79" t="s">
        <v>109</v>
      </c>
      <c r="H485" s="79" t="str">
        <f>IFERROR(_xlfn.XLOOKUP(Table6[[#This Row],[Affected Feeder ]],'Basic Data'!$A:$A,'Basic Data'!$B:$B),"")</f>
        <v>PWEPL</v>
      </c>
      <c r="I485" s="79" t="str">
        <f>IFERROR(_xlfn.XLOOKUP(Table6[[#This Row],[Affected Feeder ]],'Basic Data'!$A:$A,'Basic Data'!$C:$C),"")</f>
        <v>MSEDCL</v>
      </c>
      <c r="J485" s="295">
        <f>IFERROR(_xlfn.XLOOKUP(Table6[[#This Row],[Affected Feeder ]],'Basic Data'!$A:$A,'Basic Data'!$E:$E),"")</f>
        <v>2.2727272727272728E-2</v>
      </c>
      <c r="K485" s="296" t="s">
        <v>171</v>
      </c>
      <c r="L485" s="297">
        <v>0.6381944444444444</v>
      </c>
      <c r="M485" s="297">
        <v>0.6381944444444444</v>
      </c>
      <c r="N485" s="297">
        <v>0.64861111111111114</v>
      </c>
      <c r="O485" s="19">
        <f>(Table6[[#This Row],[Work Start TimeStamp]]-Table6[[#This Row],[Fault Start TimeStamp]])*24</f>
        <v>0</v>
      </c>
      <c r="P485" s="19">
        <f>(Table6[[#This Row],[Fault Clearance time]]-Table6[[#This Row],[Fault Start TimeStamp]])*24</f>
        <v>0.25000000000000178</v>
      </c>
      <c r="Q485" s="19">
        <f>(Table6[[#This Row],[Fault Clearance time]]-Table6[[#This Row],[Fault Start TimeStamp]])*24</f>
        <v>0.25000000000000178</v>
      </c>
      <c r="R485" s="79" t="s">
        <v>353</v>
      </c>
      <c r="S485" s="79" t="s">
        <v>339</v>
      </c>
      <c r="T485" s="298">
        <f>IFERROR(Table6[[#This Row],[Breakdown Time]]*Table6[[#This Row],[Plant Equivalent Weightage]],"")</f>
        <v>5.6818181818182227E-3</v>
      </c>
      <c r="U485" s="79" t="s">
        <v>416</v>
      </c>
      <c r="W485" s="79">
        <v>5</v>
      </c>
    </row>
    <row r="486" spans="1:23">
      <c r="A486" s="79">
        <f t="shared" si="7"/>
        <v>485</v>
      </c>
      <c r="B486" s="79">
        <f>YEAR(Table6[[#This Row],[Date]])+IF(MONTH(Table6[[#This Row],[Date]])&gt;=4,1,0)</f>
        <v>2026</v>
      </c>
      <c r="C486" s="79">
        <f>YEAR(Table6[[#This Row],[Date]])</f>
        <v>2025</v>
      </c>
      <c r="D486" s="79" t="s">
        <v>344</v>
      </c>
      <c r="E486" s="284">
        <f>Table6[[#This Row],[Date]]-DAY(Table6[[#This Row],[Date]])+1</f>
        <v>45778</v>
      </c>
      <c r="F486" s="285">
        <v>45792</v>
      </c>
      <c r="G486" s="79" t="s">
        <v>111</v>
      </c>
      <c r="H486" s="79" t="str">
        <f>IFERROR(_xlfn.XLOOKUP(Table6[[#This Row],[Affected Feeder ]],'Basic Data'!$A:$A,'Basic Data'!$B:$B),"")</f>
        <v>PWEPL</v>
      </c>
      <c r="I486" s="79" t="str">
        <f>IFERROR(_xlfn.XLOOKUP(Table6[[#This Row],[Affected Feeder ]],'Basic Data'!$A:$A,'Basic Data'!$C:$C),"")</f>
        <v>MSEDCL</v>
      </c>
      <c r="J486" s="295">
        <f>IFERROR(_xlfn.XLOOKUP(Table6[[#This Row],[Affected Feeder ]],'Basic Data'!$A:$A,'Basic Data'!$E:$E),"")</f>
        <v>2.2727272727272728E-2</v>
      </c>
      <c r="K486" s="296" t="s">
        <v>171</v>
      </c>
      <c r="L486" s="297">
        <v>0.6381944444444444</v>
      </c>
      <c r="M486" s="297">
        <v>0.6381944444444444</v>
      </c>
      <c r="N486" s="297">
        <v>0.64861111111111114</v>
      </c>
      <c r="O486" s="19">
        <f>(Table6[[#This Row],[Work Start TimeStamp]]-Table6[[#This Row],[Fault Start TimeStamp]])*24</f>
        <v>0</v>
      </c>
      <c r="P486" s="19">
        <f>(Table6[[#This Row],[Fault Clearance time]]-Table6[[#This Row],[Fault Start TimeStamp]])*24</f>
        <v>0.25000000000000178</v>
      </c>
      <c r="Q486" s="19">
        <f>(Table6[[#This Row],[Fault Clearance time]]-Table6[[#This Row],[Fault Start TimeStamp]])*24</f>
        <v>0.25000000000000178</v>
      </c>
      <c r="R486" s="79" t="s">
        <v>353</v>
      </c>
      <c r="S486" s="79" t="s">
        <v>339</v>
      </c>
      <c r="T486" s="298">
        <f>IFERROR(Table6[[#This Row],[Breakdown Time]]*Table6[[#This Row],[Plant Equivalent Weightage]],"")</f>
        <v>5.6818181818182227E-3</v>
      </c>
      <c r="U486" s="79" t="s">
        <v>416</v>
      </c>
      <c r="W486" s="79">
        <v>5</v>
      </c>
    </row>
    <row r="487" spans="1:23">
      <c r="A487" s="79">
        <f t="shared" si="7"/>
        <v>486</v>
      </c>
      <c r="B487" s="79">
        <f>YEAR(Table6[[#This Row],[Date]])+IF(MONTH(Table6[[#This Row],[Date]])&gt;=4,1,0)</f>
        <v>2026</v>
      </c>
      <c r="C487" s="79">
        <f>YEAR(Table6[[#This Row],[Date]])</f>
        <v>2025</v>
      </c>
      <c r="D487" s="79" t="s">
        <v>344</v>
      </c>
      <c r="E487" s="284">
        <f>Table6[[#This Row],[Date]]-DAY(Table6[[#This Row],[Date]])+1</f>
        <v>45778</v>
      </c>
      <c r="F487" s="285">
        <v>45792</v>
      </c>
      <c r="G487" s="79" t="s">
        <v>112</v>
      </c>
      <c r="H487" s="79" t="str">
        <f>IFERROR(_xlfn.XLOOKUP(Table6[[#This Row],[Affected Feeder ]],'Basic Data'!$A:$A,'Basic Data'!$B:$B),"")</f>
        <v>PWEPL</v>
      </c>
      <c r="I487" s="79" t="str">
        <f>IFERROR(_xlfn.XLOOKUP(Table6[[#This Row],[Affected Feeder ]],'Basic Data'!$A:$A,'Basic Data'!$C:$C),"")</f>
        <v>MSEDCL</v>
      </c>
      <c r="J487" s="295">
        <f>IFERROR(_xlfn.XLOOKUP(Table6[[#This Row],[Affected Feeder ]],'Basic Data'!$A:$A,'Basic Data'!$E:$E),"")</f>
        <v>2.2727272727272728E-2</v>
      </c>
      <c r="K487" s="296" t="s">
        <v>171</v>
      </c>
      <c r="L487" s="297">
        <v>0.6381944444444444</v>
      </c>
      <c r="M487" s="297">
        <v>0.6381944444444444</v>
      </c>
      <c r="N487" s="297">
        <v>0.6479166666666667</v>
      </c>
      <c r="O487" s="19">
        <f>(Table6[[#This Row],[Work Start TimeStamp]]-Table6[[#This Row],[Fault Start TimeStamp]])*24</f>
        <v>0</v>
      </c>
      <c r="P487" s="19">
        <f>(Table6[[#This Row],[Fault Clearance time]]-Table6[[#This Row],[Fault Start TimeStamp]])*24</f>
        <v>0.23333333333333517</v>
      </c>
      <c r="Q487" s="19">
        <f>(Table6[[#This Row],[Fault Clearance time]]-Table6[[#This Row],[Fault Start TimeStamp]])*24</f>
        <v>0.23333333333333517</v>
      </c>
      <c r="R487" s="79" t="s">
        <v>353</v>
      </c>
      <c r="S487" s="79" t="s">
        <v>339</v>
      </c>
      <c r="T487" s="298">
        <f>IFERROR(Table6[[#This Row],[Breakdown Time]]*Table6[[#This Row],[Plant Equivalent Weightage]],"")</f>
        <v>5.303030303030345E-3</v>
      </c>
      <c r="U487" s="79" t="s">
        <v>416</v>
      </c>
      <c r="W487" s="79">
        <v>5</v>
      </c>
    </row>
    <row r="488" spans="1:23">
      <c r="A488" s="79">
        <f t="shared" si="7"/>
        <v>487</v>
      </c>
      <c r="B488" s="79">
        <f>YEAR(Table6[[#This Row],[Date]])+IF(MONTH(Table6[[#This Row],[Date]])&gt;=4,1,0)</f>
        <v>2026</v>
      </c>
      <c r="C488" s="79">
        <f>YEAR(Table6[[#This Row],[Date]])</f>
        <v>2025</v>
      </c>
      <c r="D488" s="79" t="s">
        <v>344</v>
      </c>
      <c r="E488" s="284">
        <f>Table6[[#This Row],[Date]]-DAY(Table6[[#This Row],[Date]])+1</f>
        <v>45778</v>
      </c>
      <c r="F488" s="285">
        <v>45792</v>
      </c>
      <c r="G488" s="79" t="s">
        <v>113</v>
      </c>
      <c r="H488" s="79" t="str">
        <f>IFERROR(_xlfn.XLOOKUP(Table6[[#This Row],[Affected Feeder ]],'Basic Data'!$A:$A,'Basic Data'!$B:$B),"")</f>
        <v>PWEPL</v>
      </c>
      <c r="I488" s="79" t="str">
        <f>IFERROR(_xlfn.XLOOKUP(Table6[[#This Row],[Affected Feeder ]],'Basic Data'!$A:$A,'Basic Data'!$C:$C),"")</f>
        <v>MSEDCL</v>
      </c>
      <c r="J488" s="295">
        <f>IFERROR(_xlfn.XLOOKUP(Table6[[#This Row],[Affected Feeder ]],'Basic Data'!$A:$A,'Basic Data'!$E:$E),"")</f>
        <v>2.2727272727272728E-2</v>
      </c>
      <c r="K488" s="296" t="s">
        <v>171</v>
      </c>
      <c r="L488" s="297">
        <v>0.6381944444444444</v>
      </c>
      <c r="M488" s="297">
        <v>0.6381944444444444</v>
      </c>
      <c r="N488" s="297">
        <v>0.64861111111111114</v>
      </c>
      <c r="O488" s="19">
        <f>(Table6[[#This Row],[Work Start TimeStamp]]-Table6[[#This Row],[Fault Start TimeStamp]])*24</f>
        <v>0</v>
      </c>
      <c r="P488" s="19">
        <f>(Table6[[#This Row],[Fault Clearance time]]-Table6[[#This Row],[Fault Start TimeStamp]])*24</f>
        <v>0.25000000000000178</v>
      </c>
      <c r="Q488" s="19">
        <f>(Table6[[#This Row],[Fault Clearance time]]-Table6[[#This Row],[Fault Start TimeStamp]])*24</f>
        <v>0.25000000000000178</v>
      </c>
      <c r="R488" s="79" t="s">
        <v>353</v>
      </c>
      <c r="S488" s="79" t="s">
        <v>339</v>
      </c>
      <c r="T488" s="298">
        <f>IFERROR(Table6[[#This Row],[Breakdown Time]]*Table6[[#This Row],[Plant Equivalent Weightage]],"")</f>
        <v>5.6818181818182227E-3</v>
      </c>
      <c r="U488" s="79" t="s">
        <v>416</v>
      </c>
      <c r="W488" s="79">
        <v>5</v>
      </c>
    </row>
    <row r="489" spans="1:23">
      <c r="A489" s="79">
        <f t="shared" si="7"/>
        <v>488</v>
      </c>
      <c r="B489" s="79">
        <f>YEAR(Table6[[#This Row],[Date]])+IF(MONTH(Table6[[#This Row],[Date]])&gt;=4,1,0)</f>
        <v>2026</v>
      </c>
      <c r="C489" s="79">
        <f>YEAR(Table6[[#This Row],[Date]])</f>
        <v>2025</v>
      </c>
      <c r="D489" s="79" t="s">
        <v>344</v>
      </c>
      <c r="E489" s="284">
        <f>Table6[[#This Row],[Date]]-DAY(Table6[[#This Row],[Date]])+1</f>
        <v>45778</v>
      </c>
      <c r="F489" s="285">
        <v>45792</v>
      </c>
      <c r="G489" s="79" t="s">
        <v>114</v>
      </c>
      <c r="H489" s="79" t="str">
        <f>IFERROR(_xlfn.XLOOKUP(Table6[[#This Row],[Affected Feeder ]],'Basic Data'!$A:$A,'Basic Data'!$B:$B),"")</f>
        <v>PWEPL</v>
      </c>
      <c r="I489" s="79" t="str">
        <f>IFERROR(_xlfn.XLOOKUP(Table6[[#This Row],[Affected Feeder ]],'Basic Data'!$A:$A,'Basic Data'!$C:$C),"")</f>
        <v>MSEDCL</v>
      </c>
      <c r="J489" s="295">
        <f>IFERROR(_xlfn.XLOOKUP(Table6[[#This Row],[Affected Feeder ]],'Basic Data'!$A:$A,'Basic Data'!$E:$E),"")</f>
        <v>2.2727272727272728E-2</v>
      </c>
      <c r="K489" s="296" t="s">
        <v>171</v>
      </c>
      <c r="L489" s="297">
        <v>0.6381944444444444</v>
      </c>
      <c r="M489" s="297">
        <v>0.6381944444444444</v>
      </c>
      <c r="N489" s="297">
        <v>0.6479166666666667</v>
      </c>
      <c r="O489" s="19">
        <f>(Table6[[#This Row],[Work Start TimeStamp]]-Table6[[#This Row],[Fault Start TimeStamp]])*24</f>
        <v>0</v>
      </c>
      <c r="P489" s="19">
        <f>(Table6[[#This Row],[Fault Clearance time]]-Table6[[#This Row],[Fault Start TimeStamp]])*24</f>
        <v>0.23333333333333517</v>
      </c>
      <c r="Q489" s="19">
        <f>(Table6[[#This Row],[Fault Clearance time]]-Table6[[#This Row],[Fault Start TimeStamp]])*24</f>
        <v>0.23333333333333517</v>
      </c>
      <c r="R489" s="79" t="s">
        <v>353</v>
      </c>
      <c r="S489" s="79" t="s">
        <v>339</v>
      </c>
      <c r="T489" s="298">
        <f>IFERROR(Table6[[#This Row],[Breakdown Time]]*Table6[[#This Row],[Plant Equivalent Weightage]],"")</f>
        <v>5.303030303030345E-3</v>
      </c>
      <c r="U489" s="79" t="s">
        <v>416</v>
      </c>
      <c r="W489" s="79">
        <v>5</v>
      </c>
    </row>
    <row r="490" spans="1:23">
      <c r="A490" s="79">
        <f t="shared" si="7"/>
        <v>489</v>
      </c>
      <c r="B490" s="79">
        <f>YEAR(Table6[[#This Row],[Date]])+IF(MONTH(Table6[[#This Row],[Date]])&gt;=4,1,0)</f>
        <v>2026</v>
      </c>
      <c r="C490" s="79">
        <f>YEAR(Table6[[#This Row],[Date]])</f>
        <v>2025</v>
      </c>
      <c r="D490" s="79" t="s">
        <v>344</v>
      </c>
      <c r="E490" s="284">
        <f>Table6[[#This Row],[Date]]-DAY(Table6[[#This Row],[Date]])+1</f>
        <v>45778</v>
      </c>
      <c r="F490" s="285">
        <v>45792</v>
      </c>
      <c r="G490" s="79" t="s">
        <v>80</v>
      </c>
      <c r="H490" s="79" t="str">
        <f>IFERROR(_xlfn.XLOOKUP(Table6[[#This Row],[Affected Feeder ]],'Basic Data'!$A:$A,'Basic Data'!$B:$B),"")</f>
        <v>PWEPL</v>
      </c>
      <c r="I490" s="79" t="str">
        <f>IFERROR(_xlfn.XLOOKUP(Table6[[#This Row],[Affected Feeder ]],'Basic Data'!$A:$A,'Basic Data'!$C:$C),"")</f>
        <v>MSEDCL</v>
      </c>
      <c r="J490" s="295">
        <f>IFERROR(_xlfn.XLOOKUP(Table6[[#This Row],[Affected Feeder ]],'Basic Data'!$A:$A,'Basic Data'!$E:$E),"")</f>
        <v>2.2727272727272728E-2</v>
      </c>
      <c r="K490" s="296" t="s">
        <v>171</v>
      </c>
      <c r="L490" s="297">
        <v>0.6381944444444444</v>
      </c>
      <c r="M490" s="297">
        <v>0.6381944444444444</v>
      </c>
      <c r="N490" s="297">
        <v>0.6479166666666667</v>
      </c>
      <c r="O490" s="19">
        <f>(Table6[[#This Row],[Work Start TimeStamp]]-Table6[[#This Row],[Fault Start TimeStamp]])*24</f>
        <v>0</v>
      </c>
      <c r="P490" s="19">
        <f>(Table6[[#This Row],[Fault Clearance time]]-Table6[[#This Row],[Fault Start TimeStamp]])*24</f>
        <v>0.23333333333333517</v>
      </c>
      <c r="Q490" s="19">
        <f>(Table6[[#This Row],[Fault Clearance time]]-Table6[[#This Row],[Fault Start TimeStamp]])*24</f>
        <v>0.23333333333333517</v>
      </c>
      <c r="R490" s="79" t="s">
        <v>353</v>
      </c>
      <c r="S490" s="79" t="s">
        <v>339</v>
      </c>
      <c r="T490" s="298">
        <f>IFERROR(Table6[[#This Row],[Breakdown Time]]*Table6[[#This Row],[Plant Equivalent Weightage]],"")</f>
        <v>5.303030303030345E-3</v>
      </c>
      <c r="U490" s="79" t="s">
        <v>416</v>
      </c>
      <c r="W490" s="79">
        <v>5</v>
      </c>
    </row>
    <row r="491" spans="1:23">
      <c r="A491" s="79">
        <f t="shared" si="7"/>
        <v>490</v>
      </c>
      <c r="B491" s="79">
        <f>YEAR(Table6[[#This Row],[Date]])+IF(MONTH(Table6[[#This Row],[Date]])&gt;=4,1,0)</f>
        <v>2026</v>
      </c>
      <c r="C491" s="79">
        <f>YEAR(Table6[[#This Row],[Date]])</f>
        <v>2025</v>
      </c>
      <c r="D491" s="79" t="s">
        <v>344</v>
      </c>
      <c r="E491" s="284">
        <f>Table6[[#This Row],[Date]]-DAY(Table6[[#This Row],[Date]])+1</f>
        <v>45778</v>
      </c>
      <c r="F491" s="285">
        <v>45792</v>
      </c>
      <c r="G491" s="79" t="s">
        <v>81</v>
      </c>
      <c r="H491" s="79" t="str">
        <f>IFERROR(_xlfn.XLOOKUP(Table6[[#This Row],[Affected Feeder ]],'Basic Data'!$A:$A,'Basic Data'!$B:$B),"")</f>
        <v>PWEPL</v>
      </c>
      <c r="I491" s="79" t="str">
        <f>IFERROR(_xlfn.XLOOKUP(Table6[[#This Row],[Affected Feeder ]],'Basic Data'!$A:$A,'Basic Data'!$C:$C),"")</f>
        <v>MSEDCL</v>
      </c>
      <c r="J491" s="295">
        <f>IFERROR(_xlfn.XLOOKUP(Table6[[#This Row],[Affected Feeder ]],'Basic Data'!$A:$A,'Basic Data'!$E:$E),"")</f>
        <v>2.2727272727272728E-2</v>
      </c>
      <c r="K491" s="296" t="s">
        <v>171</v>
      </c>
      <c r="L491" s="297">
        <v>0.6381944444444444</v>
      </c>
      <c r="M491" s="297">
        <v>0.6381944444444444</v>
      </c>
      <c r="N491" s="297">
        <v>0.64513888888888882</v>
      </c>
      <c r="O491" s="19">
        <f>(Table6[[#This Row],[Work Start TimeStamp]]-Table6[[#This Row],[Fault Start TimeStamp]])*24</f>
        <v>0</v>
      </c>
      <c r="P491" s="19">
        <f>(Table6[[#This Row],[Fault Clearance time]]-Table6[[#This Row],[Fault Start TimeStamp]])*24</f>
        <v>0.16666666666666607</v>
      </c>
      <c r="Q491" s="19">
        <f>(Table6[[#This Row],[Fault Clearance time]]-Table6[[#This Row],[Fault Start TimeStamp]])*24</f>
        <v>0.16666666666666607</v>
      </c>
      <c r="R491" s="79" t="s">
        <v>353</v>
      </c>
      <c r="S491" s="79" t="s">
        <v>339</v>
      </c>
      <c r="T491" s="298">
        <f>IFERROR(Table6[[#This Row],[Breakdown Time]]*Table6[[#This Row],[Plant Equivalent Weightage]],"")</f>
        <v>3.7878787878787745E-3</v>
      </c>
      <c r="U491" s="79" t="s">
        <v>416</v>
      </c>
      <c r="W491" s="79">
        <v>3.7</v>
      </c>
    </row>
    <row r="492" spans="1:23">
      <c r="A492" s="79">
        <f t="shared" si="7"/>
        <v>491</v>
      </c>
      <c r="B492" s="79">
        <f>YEAR(Table6[[#This Row],[Date]])+IF(MONTH(Table6[[#This Row],[Date]])&gt;=4,1,0)</f>
        <v>2026</v>
      </c>
      <c r="C492" s="79">
        <f>YEAR(Table6[[#This Row],[Date]])</f>
        <v>2025</v>
      </c>
      <c r="D492" s="79" t="s">
        <v>344</v>
      </c>
      <c r="E492" s="284">
        <f>Table6[[#This Row],[Date]]-DAY(Table6[[#This Row],[Date]])+1</f>
        <v>45778</v>
      </c>
      <c r="F492" s="285">
        <v>45792</v>
      </c>
      <c r="G492" s="79" t="s">
        <v>107</v>
      </c>
      <c r="H492" s="79" t="str">
        <f>IFERROR(_xlfn.XLOOKUP(Table6[[#This Row],[Affected Feeder ]],'Basic Data'!$A:$A,'Basic Data'!$B:$B),"")</f>
        <v>PWEPL</v>
      </c>
      <c r="I492" s="79" t="str">
        <f>IFERROR(_xlfn.XLOOKUP(Table6[[#This Row],[Affected Feeder ]],'Basic Data'!$A:$A,'Basic Data'!$C:$C),"")</f>
        <v>MSEDCL</v>
      </c>
      <c r="J492" s="295">
        <f>IFERROR(_xlfn.XLOOKUP(Table6[[#This Row],[Affected Feeder ]],'Basic Data'!$A:$A,'Basic Data'!$E:$E),"")</f>
        <v>2.2727272727272728E-2</v>
      </c>
      <c r="K492" s="296" t="s">
        <v>171</v>
      </c>
      <c r="L492" s="297">
        <v>0.6381944444444444</v>
      </c>
      <c r="M492" s="297">
        <v>0.6381944444444444</v>
      </c>
      <c r="N492" s="297">
        <v>0.64444444444444449</v>
      </c>
      <c r="O492" s="19">
        <f>(Table6[[#This Row],[Work Start TimeStamp]]-Table6[[#This Row],[Fault Start TimeStamp]])*24</f>
        <v>0</v>
      </c>
      <c r="P492" s="19">
        <f>(Table6[[#This Row],[Fault Clearance time]]-Table6[[#This Row],[Fault Start TimeStamp]])*24</f>
        <v>0.15000000000000213</v>
      </c>
      <c r="Q492" s="19">
        <f>(Table6[[#This Row],[Fault Clearance time]]-Table6[[#This Row],[Fault Start TimeStamp]])*24</f>
        <v>0.15000000000000213</v>
      </c>
      <c r="R492" s="79" t="s">
        <v>353</v>
      </c>
      <c r="S492" s="79" t="s">
        <v>339</v>
      </c>
      <c r="T492" s="298">
        <f>IFERROR(Table6[[#This Row],[Breakdown Time]]*Table6[[#This Row],[Plant Equivalent Weightage]],"")</f>
        <v>3.4090909090909575E-3</v>
      </c>
      <c r="U492" s="79" t="s">
        <v>416</v>
      </c>
      <c r="W492" s="79">
        <v>3.3</v>
      </c>
    </row>
    <row r="493" spans="1:23">
      <c r="A493" s="79">
        <f t="shared" si="7"/>
        <v>492</v>
      </c>
      <c r="B493" s="79">
        <f>YEAR(Table6[[#This Row],[Date]])+IF(MONTH(Table6[[#This Row],[Date]])&gt;=4,1,0)</f>
        <v>2026</v>
      </c>
      <c r="C493" s="79">
        <f>YEAR(Table6[[#This Row],[Date]])</f>
        <v>2025</v>
      </c>
      <c r="D493" s="79" t="s">
        <v>344</v>
      </c>
      <c r="E493" s="284">
        <f>Table6[[#This Row],[Date]]-DAY(Table6[[#This Row],[Date]])+1</f>
        <v>45778</v>
      </c>
      <c r="F493" s="285">
        <v>45792</v>
      </c>
      <c r="G493" s="79" t="s">
        <v>108</v>
      </c>
      <c r="H493" s="79" t="str">
        <f>IFERROR(_xlfn.XLOOKUP(Table6[[#This Row],[Affected Feeder ]],'Basic Data'!$A:$A,'Basic Data'!$B:$B),"")</f>
        <v>PWEPL</v>
      </c>
      <c r="I493" s="79" t="str">
        <f>IFERROR(_xlfn.XLOOKUP(Table6[[#This Row],[Affected Feeder ]],'Basic Data'!$A:$A,'Basic Data'!$C:$C),"")</f>
        <v>MSEDCL</v>
      </c>
      <c r="J493" s="295">
        <f>IFERROR(_xlfn.XLOOKUP(Table6[[#This Row],[Affected Feeder ]],'Basic Data'!$A:$A,'Basic Data'!$E:$E),"")</f>
        <v>2.2727272727272728E-2</v>
      </c>
      <c r="K493" s="296" t="s">
        <v>171</v>
      </c>
      <c r="L493" s="297">
        <v>0.6381944444444444</v>
      </c>
      <c r="M493" s="297">
        <v>0.6381944444444444</v>
      </c>
      <c r="N493" s="297">
        <v>0.65138888888888891</v>
      </c>
      <c r="O493" s="19">
        <f>(Table6[[#This Row],[Work Start TimeStamp]]-Table6[[#This Row],[Fault Start TimeStamp]])*24</f>
        <v>0</v>
      </c>
      <c r="P493" s="19">
        <f>(Table6[[#This Row],[Fault Clearance time]]-Table6[[#This Row],[Fault Start TimeStamp]])*24</f>
        <v>0.31666666666666821</v>
      </c>
      <c r="Q493" s="19">
        <f>(Table6[[#This Row],[Fault Clearance time]]-Table6[[#This Row],[Fault Start TimeStamp]])*24</f>
        <v>0.31666666666666821</v>
      </c>
      <c r="R493" s="79" t="s">
        <v>353</v>
      </c>
      <c r="S493" s="79" t="s">
        <v>339</v>
      </c>
      <c r="T493" s="298">
        <f>IFERROR(Table6[[#This Row],[Breakdown Time]]*Table6[[#This Row],[Plant Equivalent Weightage]],"")</f>
        <v>7.196969696969732E-3</v>
      </c>
      <c r="U493" s="79" t="s">
        <v>416</v>
      </c>
      <c r="W493" s="79">
        <v>7</v>
      </c>
    </row>
    <row r="494" spans="1:23">
      <c r="A494" s="79">
        <f t="shared" si="7"/>
        <v>493</v>
      </c>
      <c r="B494" s="79">
        <f>YEAR(Table6[[#This Row],[Date]])+IF(MONTH(Table6[[#This Row],[Date]])&gt;=4,1,0)</f>
        <v>2026</v>
      </c>
      <c r="C494" s="79">
        <f>YEAR(Table6[[#This Row],[Date]])</f>
        <v>2025</v>
      </c>
      <c r="D494" s="79" t="s">
        <v>344</v>
      </c>
      <c r="E494" s="284">
        <f>Table6[[#This Row],[Date]]-DAY(Table6[[#This Row],[Date]])+1</f>
        <v>45778</v>
      </c>
      <c r="F494" s="285">
        <v>45792</v>
      </c>
      <c r="G494" s="79" t="s">
        <v>406</v>
      </c>
      <c r="H494" s="79" t="str">
        <f>IFERROR(_xlfn.XLOOKUP(Table6[[#This Row],[Affected Feeder ]],'Basic Data'!$A:$A,'Basic Data'!$B:$B),"")</f>
        <v>PWEPL</v>
      </c>
      <c r="I494" s="79" t="str">
        <f>IFERROR(_xlfn.XLOOKUP(Table6[[#This Row],[Affected Feeder ]],'Basic Data'!$A:$A,'Basic Data'!$C:$C),"")</f>
        <v>MSEDCL</v>
      </c>
      <c r="J494" s="295">
        <f>IFERROR(_xlfn.XLOOKUP(Table6[[#This Row],[Affected Feeder ]],'Basic Data'!$A:$A,'Basic Data'!$E:$E),"")</f>
        <v>0.29545454545454541</v>
      </c>
      <c r="K494" s="296" t="s">
        <v>813</v>
      </c>
      <c r="L494" s="297">
        <v>0.3527777777777778</v>
      </c>
      <c r="M494" s="297">
        <v>0.3527777777777778</v>
      </c>
      <c r="N494" s="297">
        <v>0.6381944444444444</v>
      </c>
      <c r="O494" s="19">
        <f>(Table6[[#This Row],[Work Start TimeStamp]]-Table6[[#This Row],[Fault Start TimeStamp]])*24</f>
        <v>0</v>
      </c>
      <c r="P494" s="19">
        <f>(Table6[[#This Row],[Fault Clearance time]]-Table6[[#This Row],[Fault Start TimeStamp]])*24</f>
        <v>6.8499999999999979</v>
      </c>
      <c r="Q494" s="19">
        <f>(Table6[[#This Row],[Fault Clearance time]]-Table6[[#This Row],[Fault Start TimeStamp]])*24</f>
        <v>6.8499999999999979</v>
      </c>
      <c r="R494" s="79" t="s">
        <v>814</v>
      </c>
      <c r="S494" s="79" t="s">
        <v>339</v>
      </c>
      <c r="T494" s="298">
        <f>IFERROR(Table6[[#This Row],[Breakdown Time]]*Table6[[#This Row],[Plant Equivalent Weightage]],"")</f>
        <v>2.0238636363636355</v>
      </c>
      <c r="U494" s="79" t="s">
        <v>416</v>
      </c>
      <c r="W494" s="79">
        <v>2249</v>
      </c>
    </row>
    <row r="495" spans="1:23">
      <c r="A495" s="79">
        <f t="shared" si="7"/>
        <v>494</v>
      </c>
      <c r="B495" s="79">
        <f>YEAR(Table6[[#This Row],[Date]])+IF(MONTH(Table6[[#This Row],[Date]])&gt;=4,1,0)</f>
        <v>2026</v>
      </c>
      <c r="C495" s="79">
        <f>YEAR(Table6[[#This Row],[Date]])</f>
        <v>2025</v>
      </c>
      <c r="D495" s="79" t="s">
        <v>344</v>
      </c>
      <c r="E495" s="284">
        <f>Table6[[#This Row],[Date]]-DAY(Table6[[#This Row],[Date]])+1</f>
        <v>45778</v>
      </c>
      <c r="F495" s="285">
        <v>45792</v>
      </c>
      <c r="G495" s="79" t="s">
        <v>76</v>
      </c>
      <c r="H495" s="79" t="str">
        <f>IFERROR(_xlfn.XLOOKUP(Table6[[#This Row],[Affected Feeder ]],'Basic Data'!$A:$A,'Basic Data'!$B:$B),"")</f>
        <v>PWEPL</v>
      </c>
      <c r="I495" s="79" t="str">
        <f>IFERROR(_xlfn.XLOOKUP(Table6[[#This Row],[Affected Feeder ]],'Basic Data'!$A:$A,'Basic Data'!$C:$C),"")</f>
        <v>MSEDCL</v>
      </c>
      <c r="J495" s="295">
        <f>IFERROR(_xlfn.XLOOKUP(Table6[[#This Row],[Affected Feeder ]],'Basic Data'!$A:$A,'Basic Data'!$E:$E),"")</f>
        <v>2.2727272727272728E-2</v>
      </c>
      <c r="K495" s="296" t="s">
        <v>171</v>
      </c>
      <c r="L495" s="297">
        <v>0.6381944444444444</v>
      </c>
      <c r="M495" s="297">
        <v>0.6381944444444444</v>
      </c>
      <c r="N495" s="297">
        <v>0.6479166666666667</v>
      </c>
      <c r="O495" s="19">
        <f>(Table6[[#This Row],[Work Start TimeStamp]]-Table6[[#This Row],[Fault Start TimeStamp]])*24</f>
        <v>0</v>
      </c>
      <c r="P495" s="19">
        <f>(Table6[[#This Row],[Fault Clearance time]]-Table6[[#This Row],[Fault Start TimeStamp]])*24</f>
        <v>0.23333333333333517</v>
      </c>
      <c r="Q495" s="19">
        <f>(Table6[[#This Row],[Fault Clearance time]]-Table6[[#This Row],[Fault Start TimeStamp]])*24</f>
        <v>0.23333333333333517</v>
      </c>
      <c r="R495" s="79" t="s">
        <v>353</v>
      </c>
      <c r="S495" s="79" t="s">
        <v>339</v>
      </c>
      <c r="T495" s="298">
        <f>IFERROR(Table6[[#This Row],[Breakdown Time]]*Table6[[#This Row],[Plant Equivalent Weightage]],"")</f>
        <v>5.303030303030345E-3</v>
      </c>
      <c r="U495" s="79" t="s">
        <v>416</v>
      </c>
      <c r="W495" s="79">
        <v>5.9</v>
      </c>
    </row>
    <row r="496" spans="1:23">
      <c r="A496" s="79">
        <f t="shared" si="7"/>
        <v>495</v>
      </c>
      <c r="B496" s="79">
        <f>YEAR(Table6[[#This Row],[Date]])+IF(MONTH(Table6[[#This Row],[Date]])&gt;=4,1,0)</f>
        <v>2026</v>
      </c>
      <c r="C496" s="79">
        <f>YEAR(Table6[[#This Row],[Date]])</f>
        <v>2025</v>
      </c>
      <c r="D496" s="79" t="s">
        <v>344</v>
      </c>
      <c r="E496" s="284">
        <f>Table6[[#This Row],[Date]]-DAY(Table6[[#This Row],[Date]])+1</f>
        <v>45778</v>
      </c>
      <c r="F496" s="285">
        <v>45792</v>
      </c>
      <c r="G496" s="79" t="s">
        <v>77</v>
      </c>
      <c r="H496" s="79" t="str">
        <f>IFERROR(_xlfn.XLOOKUP(Table6[[#This Row],[Affected Feeder ]],'Basic Data'!$A:$A,'Basic Data'!$B:$B),"")</f>
        <v>PWEPL</v>
      </c>
      <c r="I496" s="79" t="str">
        <f>IFERROR(_xlfn.XLOOKUP(Table6[[#This Row],[Affected Feeder ]],'Basic Data'!$A:$A,'Basic Data'!$C:$C),"")</f>
        <v>MSEDCL</v>
      </c>
      <c r="J496" s="295">
        <f>IFERROR(_xlfn.XLOOKUP(Table6[[#This Row],[Affected Feeder ]],'Basic Data'!$A:$A,'Basic Data'!$E:$E),"")</f>
        <v>2.2727272727272728E-2</v>
      </c>
      <c r="K496" s="296" t="s">
        <v>171</v>
      </c>
      <c r="L496" s="297">
        <v>0.6381944444444444</v>
      </c>
      <c r="M496" s="297">
        <v>0.6381944444444444</v>
      </c>
      <c r="N496" s="297">
        <v>0.64513888888888882</v>
      </c>
      <c r="O496" s="19">
        <f>(Table6[[#This Row],[Work Start TimeStamp]]-Table6[[#This Row],[Fault Start TimeStamp]])*24</f>
        <v>0</v>
      </c>
      <c r="P496" s="19">
        <f>(Table6[[#This Row],[Fault Clearance time]]-Table6[[#This Row],[Fault Start TimeStamp]])*24</f>
        <v>0.16666666666666607</v>
      </c>
      <c r="Q496" s="19">
        <f>(Table6[[#This Row],[Fault Clearance time]]-Table6[[#This Row],[Fault Start TimeStamp]])*24</f>
        <v>0.16666666666666607</v>
      </c>
      <c r="R496" s="79" t="s">
        <v>353</v>
      </c>
      <c r="S496" s="79" t="s">
        <v>339</v>
      </c>
      <c r="T496" s="298">
        <f>IFERROR(Table6[[#This Row],[Breakdown Time]]*Table6[[#This Row],[Plant Equivalent Weightage]],"")</f>
        <v>3.7878787878787745E-3</v>
      </c>
      <c r="U496" s="79" t="s">
        <v>416</v>
      </c>
      <c r="W496" s="79">
        <v>4</v>
      </c>
    </row>
    <row r="497" spans="1:23">
      <c r="A497" s="79">
        <f t="shared" si="7"/>
        <v>496</v>
      </c>
      <c r="B497" s="79">
        <f>YEAR(Table6[[#This Row],[Date]])+IF(MONTH(Table6[[#This Row],[Date]])&gt;=4,1,0)</f>
        <v>2026</v>
      </c>
      <c r="C497" s="79">
        <f>YEAR(Table6[[#This Row],[Date]])</f>
        <v>2025</v>
      </c>
      <c r="D497" s="79" t="s">
        <v>344</v>
      </c>
      <c r="E497" s="284">
        <f>Table6[[#This Row],[Date]]-DAY(Table6[[#This Row],[Date]])+1</f>
        <v>45778</v>
      </c>
      <c r="F497" s="285">
        <v>45792</v>
      </c>
      <c r="G497" s="79" t="s">
        <v>78</v>
      </c>
      <c r="H497" s="79" t="str">
        <f>IFERROR(_xlfn.XLOOKUP(Table6[[#This Row],[Affected Feeder ]],'Basic Data'!$A:$A,'Basic Data'!$B:$B),"")</f>
        <v>PWEPL</v>
      </c>
      <c r="I497" s="79" t="str">
        <f>IFERROR(_xlfn.XLOOKUP(Table6[[#This Row],[Affected Feeder ]],'Basic Data'!$A:$A,'Basic Data'!$C:$C),"")</f>
        <v>MSEDCL</v>
      </c>
      <c r="J497" s="295">
        <f>IFERROR(_xlfn.XLOOKUP(Table6[[#This Row],[Affected Feeder ]],'Basic Data'!$A:$A,'Basic Data'!$E:$E),"")</f>
        <v>2.2727272727272728E-2</v>
      </c>
      <c r="K497" s="296" t="s">
        <v>171</v>
      </c>
      <c r="L497" s="297">
        <v>0.6381944444444444</v>
      </c>
      <c r="M497" s="297">
        <v>0.6381944444444444</v>
      </c>
      <c r="N497" s="297">
        <v>0.6479166666666667</v>
      </c>
      <c r="O497" s="19">
        <f>(Table6[[#This Row],[Work Start TimeStamp]]-Table6[[#This Row],[Fault Start TimeStamp]])*24</f>
        <v>0</v>
      </c>
      <c r="P497" s="19">
        <f>(Table6[[#This Row],[Fault Clearance time]]-Table6[[#This Row],[Fault Start TimeStamp]])*24</f>
        <v>0.23333333333333517</v>
      </c>
      <c r="Q497" s="19">
        <f>(Table6[[#This Row],[Fault Clearance time]]-Table6[[#This Row],[Fault Start TimeStamp]])*24</f>
        <v>0.23333333333333517</v>
      </c>
      <c r="R497" s="79" t="s">
        <v>353</v>
      </c>
      <c r="S497" s="79" t="s">
        <v>339</v>
      </c>
      <c r="T497" s="298">
        <f>IFERROR(Table6[[#This Row],[Breakdown Time]]*Table6[[#This Row],[Plant Equivalent Weightage]],"")</f>
        <v>5.303030303030345E-3</v>
      </c>
      <c r="U497" s="79" t="s">
        <v>416</v>
      </c>
      <c r="W497" s="79">
        <v>5.9</v>
      </c>
    </row>
    <row r="498" spans="1:23">
      <c r="A498" s="79">
        <f t="shared" si="7"/>
        <v>497</v>
      </c>
      <c r="B498" s="79">
        <f>YEAR(Table6[[#This Row],[Date]])+IF(MONTH(Table6[[#This Row],[Date]])&gt;=4,1,0)</f>
        <v>2026</v>
      </c>
      <c r="C498" s="79">
        <f>YEAR(Table6[[#This Row],[Date]])</f>
        <v>2025</v>
      </c>
      <c r="D498" s="79" t="s">
        <v>344</v>
      </c>
      <c r="E498" s="284">
        <f>Table6[[#This Row],[Date]]-DAY(Table6[[#This Row],[Date]])+1</f>
        <v>45778</v>
      </c>
      <c r="F498" s="285">
        <v>45792</v>
      </c>
      <c r="G498" s="79" t="s">
        <v>82</v>
      </c>
      <c r="H498" s="79" t="str">
        <f>IFERROR(_xlfn.XLOOKUP(Table6[[#This Row],[Affected Feeder ]],'Basic Data'!$A:$A,'Basic Data'!$B:$B),"")</f>
        <v>PWEPL</v>
      </c>
      <c r="I498" s="79" t="str">
        <f>IFERROR(_xlfn.XLOOKUP(Table6[[#This Row],[Affected Feeder ]],'Basic Data'!$A:$A,'Basic Data'!$C:$C),"")</f>
        <v>MSEDCL</v>
      </c>
      <c r="J498" s="295">
        <f>IFERROR(_xlfn.XLOOKUP(Table6[[#This Row],[Affected Feeder ]],'Basic Data'!$A:$A,'Basic Data'!$E:$E),"")</f>
        <v>2.2727272727272728E-2</v>
      </c>
      <c r="K498" s="296" t="s">
        <v>171</v>
      </c>
      <c r="L498" s="297">
        <v>0.6381944444444444</v>
      </c>
      <c r="M498" s="297">
        <v>0.6381944444444444</v>
      </c>
      <c r="N498" s="297">
        <v>0.6479166666666667</v>
      </c>
      <c r="O498" s="19">
        <f>(Table6[[#This Row],[Work Start TimeStamp]]-Table6[[#This Row],[Fault Start TimeStamp]])*24</f>
        <v>0</v>
      </c>
      <c r="P498" s="19">
        <f>(Table6[[#This Row],[Fault Clearance time]]-Table6[[#This Row],[Fault Start TimeStamp]])*24</f>
        <v>0.23333333333333517</v>
      </c>
      <c r="Q498" s="19">
        <f>(Table6[[#This Row],[Fault Clearance time]]-Table6[[#This Row],[Fault Start TimeStamp]])*24</f>
        <v>0.23333333333333517</v>
      </c>
      <c r="R498" s="79" t="s">
        <v>353</v>
      </c>
      <c r="S498" s="79" t="s">
        <v>339</v>
      </c>
      <c r="T498" s="298">
        <f>IFERROR(Table6[[#This Row],[Breakdown Time]]*Table6[[#This Row],[Plant Equivalent Weightage]],"")</f>
        <v>5.303030303030345E-3</v>
      </c>
      <c r="U498" s="79" t="s">
        <v>416</v>
      </c>
      <c r="W498" s="79">
        <v>5.9</v>
      </c>
    </row>
    <row r="499" spans="1:23">
      <c r="A499" s="79">
        <f t="shared" si="7"/>
        <v>498</v>
      </c>
      <c r="B499" s="79">
        <f>YEAR(Table6[[#This Row],[Date]])+IF(MONTH(Table6[[#This Row],[Date]])&gt;=4,1,0)</f>
        <v>2026</v>
      </c>
      <c r="C499" s="79">
        <f>YEAR(Table6[[#This Row],[Date]])</f>
        <v>2025</v>
      </c>
      <c r="D499" s="79" t="s">
        <v>344</v>
      </c>
      <c r="E499" s="284">
        <f>Table6[[#This Row],[Date]]-DAY(Table6[[#This Row],[Date]])+1</f>
        <v>45778</v>
      </c>
      <c r="F499" s="285">
        <v>45792</v>
      </c>
      <c r="G499" s="79" t="s">
        <v>93</v>
      </c>
      <c r="H499" s="79" t="str">
        <f>IFERROR(_xlfn.XLOOKUP(Table6[[#This Row],[Affected Feeder ]],'Basic Data'!$A:$A,'Basic Data'!$B:$B),"")</f>
        <v>PWEPL</v>
      </c>
      <c r="I499" s="79" t="str">
        <f>IFERROR(_xlfn.XLOOKUP(Table6[[#This Row],[Affected Feeder ]],'Basic Data'!$A:$A,'Basic Data'!$C:$C),"")</f>
        <v>MSEDCL</v>
      </c>
      <c r="J499" s="295">
        <f>IFERROR(_xlfn.XLOOKUP(Table6[[#This Row],[Affected Feeder ]],'Basic Data'!$A:$A,'Basic Data'!$E:$E),"")</f>
        <v>2.2727272727272728E-2</v>
      </c>
      <c r="K499" s="296" t="s">
        <v>171</v>
      </c>
      <c r="L499" s="297">
        <v>0.6381944444444444</v>
      </c>
      <c r="M499" s="297">
        <v>0.6381944444444444</v>
      </c>
      <c r="N499" s="297">
        <v>0.65208333333333335</v>
      </c>
      <c r="O499" s="19">
        <f>(Table6[[#This Row],[Work Start TimeStamp]]-Table6[[#This Row],[Fault Start TimeStamp]])*24</f>
        <v>0</v>
      </c>
      <c r="P499" s="19">
        <f>(Table6[[#This Row],[Fault Clearance time]]-Table6[[#This Row],[Fault Start TimeStamp]])*24</f>
        <v>0.33333333333333481</v>
      </c>
      <c r="Q499" s="19">
        <f>(Table6[[#This Row],[Fault Clearance time]]-Table6[[#This Row],[Fault Start TimeStamp]])*24</f>
        <v>0.33333333333333481</v>
      </c>
      <c r="R499" s="79" t="s">
        <v>353</v>
      </c>
      <c r="S499" s="79" t="s">
        <v>339</v>
      </c>
      <c r="T499" s="298">
        <f>IFERROR(Table6[[#This Row],[Breakdown Time]]*Table6[[#This Row],[Plant Equivalent Weightage]],"")</f>
        <v>7.5757575757576098E-3</v>
      </c>
      <c r="U499" s="79" t="s">
        <v>416</v>
      </c>
      <c r="W499" s="79">
        <v>8</v>
      </c>
    </row>
    <row r="500" spans="1:23">
      <c r="A500" s="79">
        <f t="shared" si="7"/>
        <v>499</v>
      </c>
      <c r="B500" s="79">
        <f>YEAR(Table6[[#This Row],[Date]])+IF(MONTH(Table6[[#This Row],[Date]])&gt;=4,1,0)</f>
        <v>2026</v>
      </c>
      <c r="C500" s="79">
        <f>YEAR(Table6[[#This Row],[Date]])</f>
        <v>2025</v>
      </c>
      <c r="D500" s="79" t="s">
        <v>344</v>
      </c>
      <c r="E500" s="284">
        <f>Table6[[#This Row],[Date]]-DAY(Table6[[#This Row],[Date]])+1</f>
        <v>45778</v>
      </c>
      <c r="F500" s="285">
        <v>45792</v>
      </c>
      <c r="G500" s="79" t="s">
        <v>102</v>
      </c>
      <c r="H500" s="79" t="str">
        <f>IFERROR(_xlfn.XLOOKUP(Table6[[#This Row],[Affected Feeder ]],'Basic Data'!$A:$A,'Basic Data'!$B:$B),"")</f>
        <v>PWEPL</v>
      </c>
      <c r="I500" s="79" t="str">
        <f>IFERROR(_xlfn.XLOOKUP(Table6[[#This Row],[Affected Feeder ]],'Basic Data'!$A:$A,'Basic Data'!$C:$C),"")</f>
        <v>MSEDCL</v>
      </c>
      <c r="J500" s="295">
        <f>IFERROR(_xlfn.XLOOKUP(Table6[[#This Row],[Affected Feeder ]],'Basic Data'!$A:$A,'Basic Data'!$E:$E),"")</f>
        <v>2.2727272727272728E-2</v>
      </c>
      <c r="K500" s="296" t="s">
        <v>171</v>
      </c>
      <c r="L500" s="297">
        <v>0.6381944444444444</v>
      </c>
      <c r="M500" s="297">
        <v>0.6381944444444444</v>
      </c>
      <c r="N500" s="297">
        <v>0.64444444444444449</v>
      </c>
      <c r="O500" s="19">
        <f>(Table6[[#This Row],[Work Start TimeStamp]]-Table6[[#This Row],[Fault Start TimeStamp]])*24</f>
        <v>0</v>
      </c>
      <c r="P500" s="19">
        <f>(Table6[[#This Row],[Fault Clearance time]]-Table6[[#This Row],[Fault Start TimeStamp]])*24</f>
        <v>0.15000000000000213</v>
      </c>
      <c r="Q500" s="19">
        <f>(Table6[[#This Row],[Fault Clearance time]]-Table6[[#This Row],[Fault Start TimeStamp]])*24</f>
        <v>0.15000000000000213</v>
      </c>
      <c r="R500" s="79" t="s">
        <v>353</v>
      </c>
      <c r="S500" s="79" t="s">
        <v>339</v>
      </c>
      <c r="T500" s="298">
        <f>IFERROR(Table6[[#This Row],[Breakdown Time]]*Table6[[#This Row],[Plant Equivalent Weightage]],"")</f>
        <v>3.4090909090909575E-3</v>
      </c>
      <c r="U500" s="79" t="s">
        <v>416</v>
      </c>
      <c r="W500" s="79">
        <v>3.8</v>
      </c>
    </row>
    <row r="501" spans="1:23">
      <c r="A501" s="79">
        <f t="shared" si="7"/>
        <v>500</v>
      </c>
      <c r="B501" s="79">
        <f>YEAR(Table6[[#This Row],[Date]])+IF(MONTH(Table6[[#This Row],[Date]])&gt;=4,1,0)</f>
        <v>2026</v>
      </c>
      <c r="C501" s="79">
        <f>YEAR(Table6[[#This Row],[Date]])</f>
        <v>2025</v>
      </c>
      <c r="D501" s="79" t="s">
        <v>344</v>
      </c>
      <c r="E501" s="284">
        <f>Table6[[#This Row],[Date]]-DAY(Table6[[#This Row],[Date]])+1</f>
        <v>45778</v>
      </c>
      <c r="F501" s="285">
        <v>45792</v>
      </c>
      <c r="G501" s="79" t="s">
        <v>119</v>
      </c>
      <c r="H501" s="79" t="str">
        <f>IFERROR(_xlfn.XLOOKUP(Table6[[#This Row],[Affected Feeder ]],'Basic Data'!$A:$A,'Basic Data'!$B:$B),"")</f>
        <v>PWEPL</v>
      </c>
      <c r="I501" s="79" t="str">
        <f>IFERROR(_xlfn.XLOOKUP(Table6[[#This Row],[Affected Feeder ]],'Basic Data'!$A:$A,'Basic Data'!$C:$C),"")</f>
        <v>MSEDCL</v>
      </c>
      <c r="J501" s="295">
        <f>IFERROR(_xlfn.XLOOKUP(Table6[[#This Row],[Affected Feeder ]],'Basic Data'!$A:$A,'Basic Data'!$E:$E),"")</f>
        <v>2.2727272727272728E-2</v>
      </c>
      <c r="K501" s="296" t="s">
        <v>171</v>
      </c>
      <c r="L501" s="297">
        <v>0.6381944444444444</v>
      </c>
      <c r="M501" s="297">
        <v>0.6381944444444444</v>
      </c>
      <c r="N501" s="297">
        <v>0.64861111111111114</v>
      </c>
      <c r="O501" s="19">
        <f>(Table6[[#This Row],[Work Start TimeStamp]]-Table6[[#This Row],[Fault Start TimeStamp]])*24</f>
        <v>0</v>
      </c>
      <c r="P501" s="19">
        <f>(Table6[[#This Row],[Fault Clearance time]]-Table6[[#This Row],[Fault Start TimeStamp]])*24</f>
        <v>0.25000000000000178</v>
      </c>
      <c r="Q501" s="19">
        <f>(Table6[[#This Row],[Fault Clearance time]]-Table6[[#This Row],[Fault Start TimeStamp]])*24</f>
        <v>0.25000000000000178</v>
      </c>
      <c r="R501" s="79" t="s">
        <v>353</v>
      </c>
      <c r="S501" s="79" t="s">
        <v>339</v>
      </c>
      <c r="T501" s="298">
        <f>IFERROR(Table6[[#This Row],[Breakdown Time]]*Table6[[#This Row],[Plant Equivalent Weightage]],"")</f>
        <v>5.6818181818182227E-3</v>
      </c>
      <c r="U501" s="79" t="s">
        <v>416</v>
      </c>
      <c r="W501" s="79">
        <v>6</v>
      </c>
    </row>
    <row r="502" spans="1:23">
      <c r="A502" s="79">
        <f t="shared" si="7"/>
        <v>501</v>
      </c>
      <c r="B502" s="79">
        <f>YEAR(Table6[[#This Row],[Date]])+IF(MONTH(Table6[[#This Row],[Date]])&gt;=4,1,0)</f>
        <v>2026</v>
      </c>
      <c r="C502" s="79">
        <f>YEAR(Table6[[#This Row],[Date]])</f>
        <v>2025</v>
      </c>
      <c r="D502" s="79" t="s">
        <v>344</v>
      </c>
      <c r="E502" s="284">
        <f>Table6[[#This Row],[Date]]-DAY(Table6[[#This Row],[Date]])+1</f>
        <v>45778</v>
      </c>
      <c r="F502" s="285">
        <v>45792</v>
      </c>
      <c r="G502" s="79" t="s">
        <v>103</v>
      </c>
      <c r="H502" s="79" t="str">
        <f>IFERROR(_xlfn.XLOOKUP(Table6[[#This Row],[Affected Feeder ]],'Basic Data'!$A:$A,'Basic Data'!$B:$B),"")</f>
        <v>PWEPL</v>
      </c>
      <c r="I502" s="79" t="str">
        <f>IFERROR(_xlfn.XLOOKUP(Table6[[#This Row],[Affected Feeder ]],'Basic Data'!$A:$A,'Basic Data'!$C:$C),"")</f>
        <v>MSEDCL</v>
      </c>
      <c r="J502" s="295">
        <f>IFERROR(_xlfn.XLOOKUP(Table6[[#This Row],[Affected Feeder ]],'Basic Data'!$A:$A,'Basic Data'!$E:$E),"")</f>
        <v>2.2727272727272728E-2</v>
      </c>
      <c r="K502" s="296" t="s">
        <v>171</v>
      </c>
      <c r="L502" s="297">
        <v>0.6381944444444444</v>
      </c>
      <c r="M502" s="297">
        <v>0.6381944444444444</v>
      </c>
      <c r="N502" s="297">
        <v>0.65208333333333335</v>
      </c>
      <c r="O502" s="19">
        <f>(Table6[[#This Row],[Work Start TimeStamp]]-Table6[[#This Row],[Fault Start TimeStamp]])*24</f>
        <v>0</v>
      </c>
      <c r="P502" s="19">
        <f>(Table6[[#This Row],[Fault Clearance time]]-Table6[[#This Row],[Fault Start TimeStamp]])*24</f>
        <v>0.33333333333333481</v>
      </c>
      <c r="Q502" s="19">
        <f>(Table6[[#This Row],[Fault Clearance time]]-Table6[[#This Row],[Fault Start TimeStamp]])*24</f>
        <v>0.33333333333333481</v>
      </c>
      <c r="R502" s="79" t="s">
        <v>353</v>
      </c>
      <c r="S502" s="79" t="s">
        <v>339</v>
      </c>
      <c r="T502" s="298">
        <f>IFERROR(Table6[[#This Row],[Breakdown Time]]*Table6[[#This Row],[Plant Equivalent Weightage]],"")</f>
        <v>7.5757575757576098E-3</v>
      </c>
      <c r="U502" s="79" t="s">
        <v>416</v>
      </c>
      <c r="W502" s="79">
        <v>8</v>
      </c>
    </row>
    <row r="503" spans="1:23">
      <c r="A503" s="79">
        <f t="shared" si="7"/>
        <v>502</v>
      </c>
      <c r="B503" s="79">
        <f>YEAR(Table6[[#This Row],[Date]])+IF(MONTH(Table6[[#This Row],[Date]])&gt;=4,1,0)</f>
        <v>2026</v>
      </c>
      <c r="C503" s="79">
        <f>YEAR(Table6[[#This Row],[Date]])</f>
        <v>2025</v>
      </c>
      <c r="D503" s="79" t="s">
        <v>344</v>
      </c>
      <c r="E503" s="284">
        <f>Table6[[#This Row],[Date]]-DAY(Table6[[#This Row],[Date]])+1</f>
        <v>45778</v>
      </c>
      <c r="F503" s="285">
        <v>45792</v>
      </c>
      <c r="G503" s="79" t="s">
        <v>105</v>
      </c>
      <c r="H503" s="79" t="str">
        <f>IFERROR(_xlfn.XLOOKUP(Table6[[#This Row],[Affected Feeder ]],'Basic Data'!$A:$A,'Basic Data'!$B:$B),"")</f>
        <v>PWEPL</v>
      </c>
      <c r="I503" s="79" t="str">
        <f>IFERROR(_xlfn.XLOOKUP(Table6[[#This Row],[Affected Feeder ]],'Basic Data'!$A:$A,'Basic Data'!$C:$C),"")</f>
        <v>MSEDCL</v>
      </c>
      <c r="J503" s="295">
        <f>IFERROR(_xlfn.XLOOKUP(Table6[[#This Row],[Affected Feeder ]],'Basic Data'!$A:$A,'Basic Data'!$E:$E),"")</f>
        <v>2.2727272727272728E-2</v>
      </c>
      <c r="K503" s="296" t="s">
        <v>171</v>
      </c>
      <c r="L503" s="297">
        <v>0.6381944444444444</v>
      </c>
      <c r="M503" s="297">
        <v>0.6381944444444444</v>
      </c>
      <c r="N503" s="297">
        <v>0.65</v>
      </c>
      <c r="O503" s="19">
        <f>(Table6[[#This Row],[Work Start TimeStamp]]-Table6[[#This Row],[Fault Start TimeStamp]])*24</f>
        <v>0</v>
      </c>
      <c r="P503" s="19">
        <f>(Table6[[#This Row],[Fault Clearance time]]-Table6[[#This Row],[Fault Start TimeStamp]])*24</f>
        <v>0.28333333333333499</v>
      </c>
      <c r="Q503" s="19">
        <f>(Table6[[#This Row],[Fault Clearance time]]-Table6[[#This Row],[Fault Start TimeStamp]])*24</f>
        <v>0.28333333333333499</v>
      </c>
      <c r="R503" s="79" t="s">
        <v>353</v>
      </c>
      <c r="S503" s="79" t="s">
        <v>339</v>
      </c>
      <c r="T503" s="298">
        <f>IFERROR(Table6[[#This Row],[Breakdown Time]]*Table6[[#This Row],[Plant Equivalent Weightage]],"")</f>
        <v>6.4393939393939774E-3</v>
      </c>
      <c r="U503" s="79" t="s">
        <v>416</v>
      </c>
      <c r="W503" s="79">
        <v>7</v>
      </c>
    </row>
    <row r="504" spans="1:23">
      <c r="A504" s="79">
        <f t="shared" si="7"/>
        <v>503</v>
      </c>
      <c r="B504" s="79">
        <f>YEAR(Table6[[#This Row],[Date]])+IF(MONTH(Table6[[#This Row],[Date]])&gt;=4,1,0)</f>
        <v>2026</v>
      </c>
      <c r="C504" s="79">
        <f>YEAR(Table6[[#This Row],[Date]])</f>
        <v>2025</v>
      </c>
      <c r="D504" s="79" t="s">
        <v>344</v>
      </c>
      <c r="E504" s="284">
        <f>Table6[[#This Row],[Date]]-DAY(Table6[[#This Row],[Date]])+1</f>
        <v>45778</v>
      </c>
      <c r="F504" s="285">
        <v>45792</v>
      </c>
      <c r="G504" s="79" t="s">
        <v>115</v>
      </c>
      <c r="H504" s="79" t="str">
        <f>IFERROR(_xlfn.XLOOKUP(Table6[[#This Row],[Affected Feeder ]],'Basic Data'!$A:$A,'Basic Data'!$B:$B),"")</f>
        <v>PWEPL</v>
      </c>
      <c r="I504" s="79" t="str">
        <f>IFERROR(_xlfn.XLOOKUP(Table6[[#This Row],[Affected Feeder ]],'Basic Data'!$A:$A,'Basic Data'!$C:$C),"")</f>
        <v>MSEDCL</v>
      </c>
      <c r="J504" s="295">
        <f>IFERROR(_xlfn.XLOOKUP(Table6[[#This Row],[Affected Feeder ]],'Basic Data'!$A:$A,'Basic Data'!$E:$E),"")</f>
        <v>2.2727272727272728E-2</v>
      </c>
      <c r="K504" s="296" t="s">
        <v>171</v>
      </c>
      <c r="L504" s="297">
        <v>0.6381944444444444</v>
      </c>
      <c r="M504" s="297">
        <v>0.6381944444444444</v>
      </c>
      <c r="N504" s="297">
        <v>0.64722222222222225</v>
      </c>
      <c r="O504" s="19">
        <f>(Table6[[#This Row],[Work Start TimeStamp]]-Table6[[#This Row],[Fault Start TimeStamp]])*24</f>
        <v>0</v>
      </c>
      <c r="P504" s="19">
        <f>(Table6[[#This Row],[Fault Clearance time]]-Table6[[#This Row],[Fault Start TimeStamp]])*24</f>
        <v>0.21666666666666856</v>
      </c>
      <c r="Q504" s="19">
        <f>(Table6[[#This Row],[Fault Clearance time]]-Table6[[#This Row],[Fault Start TimeStamp]])*24</f>
        <v>0.21666666666666856</v>
      </c>
      <c r="R504" s="79" t="s">
        <v>353</v>
      </c>
      <c r="S504" s="79" t="s">
        <v>339</v>
      </c>
      <c r="T504" s="298">
        <f>IFERROR(Table6[[#This Row],[Breakdown Time]]*Table6[[#This Row],[Plant Equivalent Weightage]],"")</f>
        <v>4.9242424242424672E-3</v>
      </c>
      <c r="U504" s="79" t="s">
        <v>416</v>
      </c>
      <c r="W504" s="79">
        <v>5.4</v>
      </c>
    </row>
    <row r="505" spans="1:23">
      <c r="A505" s="79">
        <f t="shared" si="7"/>
        <v>504</v>
      </c>
      <c r="B505" s="79">
        <f>YEAR(Table6[[#This Row],[Date]])+IF(MONTH(Table6[[#This Row],[Date]])&gt;=4,1,0)</f>
        <v>2026</v>
      </c>
      <c r="C505" s="79">
        <f>YEAR(Table6[[#This Row],[Date]])</f>
        <v>2025</v>
      </c>
      <c r="D505" s="79" t="s">
        <v>344</v>
      </c>
      <c r="E505" s="284">
        <f>Table6[[#This Row],[Date]]-DAY(Table6[[#This Row],[Date]])+1</f>
        <v>45778</v>
      </c>
      <c r="F505" s="285">
        <v>45792</v>
      </c>
      <c r="G505" s="79" t="s">
        <v>116</v>
      </c>
      <c r="H505" s="79" t="str">
        <f>IFERROR(_xlfn.XLOOKUP(Table6[[#This Row],[Affected Feeder ]],'Basic Data'!$A:$A,'Basic Data'!$B:$B),"")</f>
        <v>PWEPL</v>
      </c>
      <c r="I505" s="79" t="str">
        <f>IFERROR(_xlfn.XLOOKUP(Table6[[#This Row],[Affected Feeder ]],'Basic Data'!$A:$A,'Basic Data'!$C:$C),"")</f>
        <v>MSEDCL</v>
      </c>
      <c r="J505" s="295">
        <f>IFERROR(_xlfn.XLOOKUP(Table6[[#This Row],[Affected Feeder ]],'Basic Data'!$A:$A,'Basic Data'!$E:$E),"")</f>
        <v>2.2727272727272728E-2</v>
      </c>
      <c r="K505" s="296" t="s">
        <v>171</v>
      </c>
      <c r="L505" s="297">
        <v>0.6381944444444444</v>
      </c>
      <c r="M505" s="297">
        <v>0.6381944444444444</v>
      </c>
      <c r="N505" s="297">
        <v>0.64722222222222225</v>
      </c>
      <c r="O505" s="19">
        <f>(Table6[[#This Row],[Work Start TimeStamp]]-Table6[[#This Row],[Fault Start TimeStamp]])*24</f>
        <v>0</v>
      </c>
      <c r="P505" s="19">
        <f>(Table6[[#This Row],[Fault Clearance time]]-Table6[[#This Row],[Fault Start TimeStamp]])*24</f>
        <v>0.21666666666666856</v>
      </c>
      <c r="Q505" s="19">
        <f>(Table6[[#This Row],[Fault Clearance time]]-Table6[[#This Row],[Fault Start TimeStamp]])*24</f>
        <v>0.21666666666666856</v>
      </c>
      <c r="R505" s="79" t="s">
        <v>353</v>
      </c>
      <c r="S505" s="79" t="s">
        <v>339</v>
      </c>
      <c r="T505" s="298">
        <f>IFERROR(Table6[[#This Row],[Breakdown Time]]*Table6[[#This Row],[Plant Equivalent Weightage]],"")</f>
        <v>4.9242424242424672E-3</v>
      </c>
      <c r="U505" s="79" t="s">
        <v>416</v>
      </c>
      <c r="W505" s="79">
        <v>5.4</v>
      </c>
    </row>
    <row r="506" spans="1:23">
      <c r="A506" s="79">
        <f t="shared" si="7"/>
        <v>505</v>
      </c>
      <c r="B506" s="79">
        <f>YEAR(Table6[[#This Row],[Date]])+IF(MONTH(Table6[[#This Row],[Date]])&gt;=4,1,0)</f>
        <v>2026</v>
      </c>
      <c r="C506" s="79">
        <f>YEAR(Table6[[#This Row],[Date]])</f>
        <v>2025</v>
      </c>
      <c r="D506" s="79" t="s">
        <v>344</v>
      </c>
      <c r="E506" s="284">
        <f>Table6[[#This Row],[Date]]-DAY(Table6[[#This Row],[Date]])+1</f>
        <v>45778</v>
      </c>
      <c r="F506" s="285">
        <v>45792</v>
      </c>
      <c r="G506" s="79" t="s">
        <v>117</v>
      </c>
      <c r="H506" s="79" t="str">
        <f>IFERROR(_xlfn.XLOOKUP(Table6[[#This Row],[Affected Feeder ]],'Basic Data'!$A:$A,'Basic Data'!$B:$B),"")</f>
        <v>PWEPL</v>
      </c>
      <c r="I506" s="79" t="str">
        <f>IFERROR(_xlfn.XLOOKUP(Table6[[#This Row],[Affected Feeder ]],'Basic Data'!$A:$A,'Basic Data'!$C:$C),"")</f>
        <v>MSEDCL</v>
      </c>
      <c r="J506" s="295">
        <f>IFERROR(_xlfn.XLOOKUP(Table6[[#This Row],[Affected Feeder ]],'Basic Data'!$A:$A,'Basic Data'!$E:$E),"")</f>
        <v>2.2727272727272728E-2</v>
      </c>
      <c r="K506" s="296" t="s">
        <v>171</v>
      </c>
      <c r="L506" s="297">
        <v>0.6381944444444444</v>
      </c>
      <c r="M506" s="297">
        <v>0.6381944444444444</v>
      </c>
      <c r="N506" s="297">
        <v>0.65208333333333335</v>
      </c>
      <c r="O506" s="19">
        <f>(Table6[[#This Row],[Work Start TimeStamp]]-Table6[[#This Row],[Fault Start TimeStamp]])*24</f>
        <v>0</v>
      </c>
      <c r="P506" s="19">
        <f>(Table6[[#This Row],[Fault Clearance time]]-Table6[[#This Row],[Fault Start TimeStamp]])*24</f>
        <v>0.33333333333333481</v>
      </c>
      <c r="Q506" s="19">
        <f>(Table6[[#This Row],[Fault Clearance time]]-Table6[[#This Row],[Fault Start TimeStamp]])*24</f>
        <v>0.33333333333333481</v>
      </c>
      <c r="R506" s="79" t="s">
        <v>353</v>
      </c>
      <c r="S506" s="79" t="s">
        <v>339</v>
      </c>
      <c r="T506" s="298">
        <f>IFERROR(Table6[[#This Row],[Breakdown Time]]*Table6[[#This Row],[Plant Equivalent Weightage]],"")</f>
        <v>7.5757575757576098E-3</v>
      </c>
      <c r="U506" s="79" t="s">
        <v>416</v>
      </c>
      <c r="W506" s="79">
        <v>8</v>
      </c>
    </row>
    <row r="507" spans="1:23">
      <c r="A507" s="79">
        <f t="shared" si="7"/>
        <v>506</v>
      </c>
      <c r="B507" s="79">
        <f>YEAR(Table6[[#This Row],[Date]])+IF(MONTH(Table6[[#This Row],[Date]])&gt;=4,1,0)</f>
        <v>2026</v>
      </c>
      <c r="C507" s="79">
        <f>YEAR(Table6[[#This Row],[Date]])</f>
        <v>2025</v>
      </c>
      <c r="D507" s="79" t="s">
        <v>344</v>
      </c>
      <c r="E507" s="284">
        <f>Table6[[#This Row],[Date]]-DAY(Table6[[#This Row],[Date]])+1</f>
        <v>45778</v>
      </c>
      <c r="F507" s="285">
        <v>45792</v>
      </c>
      <c r="G507" s="79" t="s">
        <v>118</v>
      </c>
      <c r="H507" s="79" t="str">
        <f>IFERROR(_xlfn.XLOOKUP(Table6[[#This Row],[Affected Feeder ]],'Basic Data'!$A:$A,'Basic Data'!$B:$B),"")</f>
        <v>PWEPL</v>
      </c>
      <c r="I507" s="79" t="str">
        <f>IFERROR(_xlfn.XLOOKUP(Table6[[#This Row],[Affected Feeder ]],'Basic Data'!$A:$A,'Basic Data'!$C:$C),"")</f>
        <v>MSEDCL</v>
      </c>
      <c r="J507" s="295">
        <f>IFERROR(_xlfn.XLOOKUP(Table6[[#This Row],[Affected Feeder ]],'Basic Data'!$A:$A,'Basic Data'!$E:$E),"")</f>
        <v>2.2727272727272728E-2</v>
      </c>
      <c r="K507" s="296" t="s">
        <v>171</v>
      </c>
      <c r="L507" s="297">
        <v>0.6381944444444444</v>
      </c>
      <c r="M507" s="297">
        <v>0.6381944444444444</v>
      </c>
      <c r="N507" s="297">
        <v>0.63888888888888895</v>
      </c>
      <c r="O507" s="19">
        <f>(Table6[[#This Row],[Work Start TimeStamp]]-Table6[[#This Row],[Fault Start TimeStamp]])*24</f>
        <v>0</v>
      </c>
      <c r="P507" s="19">
        <f>(Table6[[#This Row],[Fault Clearance time]]-Table6[[#This Row],[Fault Start TimeStamp]])*24</f>
        <v>1.6666666666669272E-2</v>
      </c>
      <c r="Q507" s="19">
        <f>(Table6[[#This Row],[Fault Clearance time]]-Table6[[#This Row],[Fault Start TimeStamp]])*24</f>
        <v>1.6666666666669272E-2</v>
      </c>
      <c r="R507" s="79" t="s">
        <v>353</v>
      </c>
      <c r="S507" s="79" t="s">
        <v>339</v>
      </c>
      <c r="T507" s="298">
        <f>IFERROR(Table6[[#This Row],[Breakdown Time]]*Table6[[#This Row],[Plant Equivalent Weightage]],"")</f>
        <v>3.7878787878793798E-4</v>
      </c>
      <c r="U507" s="79" t="s">
        <v>416</v>
      </c>
      <c r="W507" s="79">
        <v>0.4</v>
      </c>
    </row>
    <row r="508" spans="1:23">
      <c r="A508" s="79">
        <f t="shared" si="7"/>
        <v>507</v>
      </c>
      <c r="B508" s="79">
        <f>YEAR(Table6[[#This Row],[Date]])+IF(MONTH(Table6[[#This Row],[Date]])&gt;=4,1,0)</f>
        <v>2026</v>
      </c>
      <c r="C508" s="79">
        <f>YEAR(Table6[[#This Row],[Date]])</f>
        <v>2025</v>
      </c>
      <c r="D508" s="79" t="s">
        <v>344</v>
      </c>
      <c r="E508" s="284">
        <f>Table6[[#This Row],[Date]]-DAY(Table6[[#This Row],[Date]])+1</f>
        <v>45778</v>
      </c>
      <c r="F508" s="285">
        <v>45793</v>
      </c>
      <c r="G508" s="79" t="s">
        <v>399</v>
      </c>
      <c r="H508" s="79" t="str">
        <f>IFERROR(_xlfn.XLOOKUP(Table6[[#This Row],[Affected Feeder ]],'Basic Data'!$A:$A,'Basic Data'!$B:$B),"")</f>
        <v>PWEPL</v>
      </c>
      <c r="I508" s="79" t="str">
        <f>IFERROR(_xlfn.XLOOKUP(Table6[[#This Row],[Affected Feeder ]],'Basic Data'!$A:$A,'Basic Data'!$C:$C),"")</f>
        <v>MSEDCL</v>
      </c>
      <c r="J508" s="295">
        <f>IFERROR(_xlfn.XLOOKUP(Table6[[#This Row],[Affected Feeder ]],'Basic Data'!$A:$A,'Basic Data'!$E:$E),"")</f>
        <v>0.22727272727272727</v>
      </c>
      <c r="K508" s="296" t="s">
        <v>815</v>
      </c>
      <c r="L508" s="297">
        <v>0.41319444444444442</v>
      </c>
      <c r="M508" s="297">
        <v>0.41319444444444442</v>
      </c>
      <c r="N508" s="297">
        <v>0.65208333333333335</v>
      </c>
      <c r="O508" s="19">
        <f>(Table6[[#This Row],[Work Start TimeStamp]]-Table6[[#This Row],[Fault Start TimeStamp]])*24</f>
        <v>0</v>
      </c>
      <c r="P508" s="19">
        <f>(Table6[[#This Row],[Fault Clearance time]]-Table6[[#This Row],[Fault Start TimeStamp]])*24</f>
        <v>5.7333333333333343</v>
      </c>
      <c r="Q508" s="19">
        <f>(Table6[[#This Row],[Fault Clearance time]]-Table6[[#This Row],[Fault Start TimeStamp]])*24</f>
        <v>5.7333333333333343</v>
      </c>
      <c r="R508" s="79" t="s">
        <v>816</v>
      </c>
      <c r="S508" s="79" t="s">
        <v>339</v>
      </c>
      <c r="T508" s="298">
        <f>IFERROR(Table6[[#This Row],[Breakdown Time]]*Table6[[#This Row],[Plant Equivalent Weightage]],"")</f>
        <v>1.3030303030303032</v>
      </c>
      <c r="U508" s="79" t="s">
        <v>416</v>
      </c>
      <c r="W508" s="79">
        <v>102</v>
      </c>
    </row>
    <row r="509" spans="1:23">
      <c r="A509" s="79">
        <f t="shared" si="7"/>
        <v>508</v>
      </c>
      <c r="B509" s="79">
        <f>YEAR(Table6[[#This Row],[Date]])+IF(MONTH(Table6[[#This Row],[Date]])&gt;=4,1,0)</f>
        <v>2026</v>
      </c>
      <c r="C509" s="79">
        <f>YEAR(Table6[[#This Row],[Date]])</f>
        <v>2025</v>
      </c>
      <c r="D509" s="79" t="s">
        <v>344</v>
      </c>
      <c r="E509" s="284">
        <f>Table6[[#This Row],[Date]]-DAY(Table6[[#This Row],[Date]])+1</f>
        <v>45778</v>
      </c>
      <c r="F509" s="285">
        <v>45793</v>
      </c>
      <c r="G509" s="79" t="s">
        <v>84</v>
      </c>
      <c r="H509" s="79" t="str">
        <f>IFERROR(_xlfn.XLOOKUP(Table6[[#This Row],[Affected Feeder ]],'Basic Data'!$A:$A,'Basic Data'!$B:$B),"")</f>
        <v>PWEPL</v>
      </c>
      <c r="I509" s="79" t="str">
        <f>IFERROR(_xlfn.XLOOKUP(Table6[[#This Row],[Affected Feeder ]],'Basic Data'!$A:$A,'Basic Data'!$C:$C),"")</f>
        <v>MSEDCL</v>
      </c>
      <c r="J509" s="295">
        <f>IFERROR(_xlfn.XLOOKUP(Table6[[#This Row],[Affected Feeder ]],'Basic Data'!$A:$A,'Basic Data'!$E:$E),"")</f>
        <v>2.2727272727272728E-2</v>
      </c>
      <c r="K509" s="296" t="s">
        <v>171</v>
      </c>
      <c r="L509" s="297">
        <v>0.65208333333333335</v>
      </c>
      <c r="M509" s="297">
        <v>0.65208333333333335</v>
      </c>
      <c r="N509" s="297">
        <v>0.65763888888888888</v>
      </c>
      <c r="O509" s="19">
        <f>(Table6[[#This Row],[Work Start TimeStamp]]-Table6[[#This Row],[Fault Start TimeStamp]])*24</f>
        <v>0</v>
      </c>
      <c r="P509" s="19">
        <f>(Table6[[#This Row],[Fault Clearance time]]-Table6[[#This Row],[Fault Start TimeStamp]])*24</f>
        <v>0.13333333333333286</v>
      </c>
      <c r="Q509" s="19">
        <f>(Table6[[#This Row],[Fault Clearance time]]-Table6[[#This Row],[Fault Start TimeStamp]])*24</f>
        <v>0.13333333333333286</v>
      </c>
      <c r="R509" s="79" t="s">
        <v>353</v>
      </c>
      <c r="S509" s="79" t="s">
        <v>339</v>
      </c>
      <c r="T509" s="298">
        <f>IFERROR(Table6[[#This Row],[Breakdown Time]]*Table6[[#This Row],[Plant Equivalent Weightage]],"")</f>
        <v>3.0303030303030195E-3</v>
      </c>
      <c r="U509" s="79" t="s">
        <v>416</v>
      </c>
      <c r="W509" s="79">
        <v>0.2</v>
      </c>
    </row>
    <row r="510" spans="1:23">
      <c r="A510" s="79">
        <f t="shared" si="7"/>
        <v>509</v>
      </c>
      <c r="B510" s="79">
        <f>YEAR(Table6[[#This Row],[Date]])+IF(MONTH(Table6[[#This Row],[Date]])&gt;=4,1,0)</f>
        <v>2026</v>
      </c>
      <c r="C510" s="79">
        <f>YEAR(Table6[[#This Row],[Date]])</f>
        <v>2025</v>
      </c>
      <c r="D510" s="79" t="s">
        <v>344</v>
      </c>
      <c r="E510" s="284">
        <f>Table6[[#This Row],[Date]]-DAY(Table6[[#This Row],[Date]])+1</f>
        <v>45778</v>
      </c>
      <c r="F510" s="285">
        <v>45793</v>
      </c>
      <c r="G510" s="79" t="s">
        <v>85</v>
      </c>
      <c r="H510" s="79" t="str">
        <f>IFERROR(_xlfn.XLOOKUP(Table6[[#This Row],[Affected Feeder ]],'Basic Data'!$A:$A,'Basic Data'!$B:$B),"")</f>
        <v>PWEPL</v>
      </c>
      <c r="I510" s="79" t="str">
        <f>IFERROR(_xlfn.XLOOKUP(Table6[[#This Row],[Affected Feeder ]],'Basic Data'!$A:$A,'Basic Data'!$C:$C),"")</f>
        <v>MSEDCL</v>
      </c>
      <c r="J510" s="295">
        <f>IFERROR(_xlfn.XLOOKUP(Table6[[#This Row],[Affected Feeder ]],'Basic Data'!$A:$A,'Basic Data'!$E:$E),"")</f>
        <v>2.2727272727272728E-2</v>
      </c>
      <c r="K510" s="296" t="s">
        <v>171</v>
      </c>
      <c r="L510" s="297">
        <v>0.65208333333333335</v>
      </c>
      <c r="M510" s="297">
        <v>0.65208333333333335</v>
      </c>
      <c r="N510" s="297">
        <v>0.65555555555555556</v>
      </c>
      <c r="O510" s="19">
        <f>(Table6[[#This Row],[Work Start TimeStamp]]-Table6[[#This Row],[Fault Start TimeStamp]])*24</f>
        <v>0</v>
      </c>
      <c r="P510" s="19">
        <f>(Table6[[#This Row],[Fault Clearance time]]-Table6[[#This Row],[Fault Start TimeStamp]])*24</f>
        <v>8.3333333333333037E-2</v>
      </c>
      <c r="Q510" s="19">
        <f>(Table6[[#This Row],[Fault Clearance time]]-Table6[[#This Row],[Fault Start TimeStamp]])*24</f>
        <v>8.3333333333333037E-2</v>
      </c>
      <c r="R510" s="79" t="s">
        <v>353</v>
      </c>
      <c r="S510" s="79" t="s">
        <v>339</v>
      </c>
      <c r="T510" s="298">
        <f>IFERROR(Table6[[#This Row],[Breakdown Time]]*Table6[[#This Row],[Plant Equivalent Weightage]],"")</f>
        <v>1.8939393939393873E-3</v>
      </c>
      <c r="U510" s="79" t="s">
        <v>416</v>
      </c>
      <c r="W510" s="79">
        <v>0.1</v>
      </c>
    </row>
    <row r="511" spans="1:23">
      <c r="A511" s="79">
        <f t="shared" si="7"/>
        <v>510</v>
      </c>
      <c r="B511" s="79">
        <f>YEAR(Table6[[#This Row],[Date]])+IF(MONTH(Table6[[#This Row],[Date]])&gt;=4,1,0)</f>
        <v>2026</v>
      </c>
      <c r="C511" s="79">
        <f>YEAR(Table6[[#This Row],[Date]])</f>
        <v>2025</v>
      </c>
      <c r="D511" s="79" t="s">
        <v>344</v>
      </c>
      <c r="E511" s="284">
        <f>Table6[[#This Row],[Date]]-DAY(Table6[[#This Row],[Date]])+1</f>
        <v>45778</v>
      </c>
      <c r="F511" s="285">
        <v>45793</v>
      </c>
      <c r="G511" s="79" t="s">
        <v>86</v>
      </c>
      <c r="H511" s="79" t="str">
        <f>IFERROR(_xlfn.XLOOKUP(Table6[[#This Row],[Affected Feeder ]],'Basic Data'!$A:$A,'Basic Data'!$B:$B),"")</f>
        <v>PWEPL</v>
      </c>
      <c r="I511" s="79" t="str">
        <f>IFERROR(_xlfn.XLOOKUP(Table6[[#This Row],[Affected Feeder ]],'Basic Data'!$A:$A,'Basic Data'!$C:$C),"")</f>
        <v>MSEDCL</v>
      </c>
      <c r="J511" s="295">
        <f>IFERROR(_xlfn.XLOOKUP(Table6[[#This Row],[Affected Feeder ]],'Basic Data'!$A:$A,'Basic Data'!$E:$E),"")</f>
        <v>2.2727272727272728E-2</v>
      </c>
      <c r="K511" s="296" t="s">
        <v>171</v>
      </c>
      <c r="L511" s="297">
        <v>0.65208333333333335</v>
      </c>
      <c r="M511" s="297">
        <v>0.65208333333333335</v>
      </c>
      <c r="N511" s="297">
        <v>0.65763888888888888</v>
      </c>
      <c r="O511" s="19">
        <f>(Table6[[#This Row],[Work Start TimeStamp]]-Table6[[#This Row],[Fault Start TimeStamp]])*24</f>
        <v>0</v>
      </c>
      <c r="P511" s="19">
        <f>(Table6[[#This Row],[Fault Clearance time]]-Table6[[#This Row],[Fault Start TimeStamp]])*24</f>
        <v>0.13333333333333286</v>
      </c>
      <c r="Q511" s="19">
        <f>(Table6[[#This Row],[Fault Clearance time]]-Table6[[#This Row],[Fault Start TimeStamp]])*24</f>
        <v>0.13333333333333286</v>
      </c>
      <c r="R511" s="79" t="s">
        <v>353</v>
      </c>
      <c r="S511" s="79" t="s">
        <v>339</v>
      </c>
      <c r="T511" s="298">
        <f>IFERROR(Table6[[#This Row],[Breakdown Time]]*Table6[[#This Row],[Plant Equivalent Weightage]],"")</f>
        <v>3.0303030303030195E-3</v>
      </c>
      <c r="U511" s="79" t="s">
        <v>416</v>
      </c>
      <c r="W511" s="79">
        <v>0.2</v>
      </c>
    </row>
    <row r="512" spans="1:23">
      <c r="A512" s="79">
        <f t="shared" si="7"/>
        <v>511</v>
      </c>
      <c r="B512" s="79">
        <f>YEAR(Table6[[#This Row],[Date]])+IF(MONTH(Table6[[#This Row],[Date]])&gt;=4,1,0)</f>
        <v>2026</v>
      </c>
      <c r="C512" s="79">
        <f>YEAR(Table6[[#This Row],[Date]])</f>
        <v>2025</v>
      </c>
      <c r="D512" s="79" t="s">
        <v>344</v>
      </c>
      <c r="E512" s="284">
        <f>Table6[[#This Row],[Date]]-DAY(Table6[[#This Row],[Date]])+1</f>
        <v>45778</v>
      </c>
      <c r="F512" s="285">
        <v>45793</v>
      </c>
      <c r="G512" s="79" t="s">
        <v>87</v>
      </c>
      <c r="H512" s="79" t="str">
        <f>IFERROR(_xlfn.XLOOKUP(Table6[[#This Row],[Affected Feeder ]],'Basic Data'!$A:$A,'Basic Data'!$B:$B),"")</f>
        <v>PWEPL</v>
      </c>
      <c r="I512" s="79" t="str">
        <f>IFERROR(_xlfn.XLOOKUP(Table6[[#This Row],[Affected Feeder ]],'Basic Data'!$A:$A,'Basic Data'!$C:$C),"")</f>
        <v>MSEDCL</v>
      </c>
      <c r="J512" s="295">
        <f>IFERROR(_xlfn.XLOOKUP(Table6[[#This Row],[Affected Feeder ]],'Basic Data'!$A:$A,'Basic Data'!$E:$E),"")</f>
        <v>2.2727272727272728E-2</v>
      </c>
      <c r="K512" s="296" t="s">
        <v>171</v>
      </c>
      <c r="L512" s="297">
        <v>0.65208333333333335</v>
      </c>
      <c r="M512" s="297">
        <v>0.65208333333333335</v>
      </c>
      <c r="N512" s="297">
        <v>0.65694444444444444</v>
      </c>
      <c r="O512" s="19">
        <f>(Table6[[#This Row],[Work Start TimeStamp]]-Table6[[#This Row],[Fault Start TimeStamp]])*24</f>
        <v>0</v>
      </c>
      <c r="P512" s="19">
        <f>(Table6[[#This Row],[Fault Clearance time]]-Table6[[#This Row],[Fault Start TimeStamp]])*24</f>
        <v>0.11666666666666625</v>
      </c>
      <c r="Q512" s="19">
        <f>(Table6[[#This Row],[Fault Clearance time]]-Table6[[#This Row],[Fault Start TimeStamp]])*24</f>
        <v>0.11666666666666625</v>
      </c>
      <c r="R512" s="79" t="s">
        <v>353</v>
      </c>
      <c r="S512" s="79" t="s">
        <v>339</v>
      </c>
      <c r="T512" s="298">
        <f>IFERROR(Table6[[#This Row],[Breakdown Time]]*Table6[[#This Row],[Plant Equivalent Weightage]],"")</f>
        <v>2.6515151515151421E-3</v>
      </c>
      <c r="U512" s="79" t="s">
        <v>416</v>
      </c>
      <c r="W512" s="79">
        <v>0.2</v>
      </c>
    </row>
    <row r="513" spans="1:23">
      <c r="A513" s="79">
        <f t="shared" si="7"/>
        <v>512</v>
      </c>
      <c r="B513" s="79">
        <f>YEAR(Table6[[#This Row],[Date]])+IF(MONTH(Table6[[#This Row],[Date]])&gt;=4,1,0)</f>
        <v>2026</v>
      </c>
      <c r="C513" s="79">
        <f>YEAR(Table6[[#This Row],[Date]])</f>
        <v>2025</v>
      </c>
      <c r="D513" s="79" t="s">
        <v>344</v>
      </c>
      <c r="E513" s="284">
        <f>Table6[[#This Row],[Date]]-DAY(Table6[[#This Row],[Date]])+1</f>
        <v>45778</v>
      </c>
      <c r="F513" s="285">
        <v>45793</v>
      </c>
      <c r="G513" s="79" t="s">
        <v>88</v>
      </c>
      <c r="H513" s="79" t="str">
        <f>IFERROR(_xlfn.XLOOKUP(Table6[[#This Row],[Affected Feeder ]],'Basic Data'!$A:$A,'Basic Data'!$B:$B),"")</f>
        <v>PWEPL</v>
      </c>
      <c r="I513" s="79" t="str">
        <f>IFERROR(_xlfn.XLOOKUP(Table6[[#This Row],[Affected Feeder ]],'Basic Data'!$A:$A,'Basic Data'!$C:$C),"")</f>
        <v>MSEDCL</v>
      </c>
      <c r="J513" s="295">
        <f>IFERROR(_xlfn.XLOOKUP(Table6[[#This Row],[Affected Feeder ]],'Basic Data'!$A:$A,'Basic Data'!$E:$E),"")</f>
        <v>2.2727272727272728E-2</v>
      </c>
      <c r="K513" s="296" t="s">
        <v>171</v>
      </c>
      <c r="L513" s="297">
        <v>0.65208333333333335</v>
      </c>
      <c r="M513" s="297">
        <v>0.65208333333333335</v>
      </c>
      <c r="N513" s="297">
        <v>0.65902777777777777</v>
      </c>
      <c r="O513" s="19">
        <f>(Table6[[#This Row],[Work Start TimeStamp]]-Table6[[#This Row],[Fault Start TimeStamp]])*24</f>
        <v>0</v>
      </c>
      <c r="P513" s="19">
        <f>(Table6[[#This Row],[Fault Clearance time]]-Table6[[#This Row],[Fault Start TimeStamp]])*24</f>
        <v>0.16666666666666607</v>
      </c>
      <c r="Q513" s="19">
        <f>(Table6[[#This Row],[Fault Clearance time]]-Table6[[#This Row],[Fault Start TimeStamp]])*24</f>
        <v>0.16666666666666607</v>
      </c>
      <c r="R513" s="79" t="s">
        <v>353</v>
      </c>
      <c r="S513" s="79" t="s">
        <v>339</v>
      </c>
      <c r="T513" s="298">
        <f>IFERROR(Table6[[#This Row],[Breakdown Time]]*Table6[[#This Row],[Plant Equivalent Weightage]],"")</f>
        <v>3.7878787878787745E-3</v>
      </c>
      <c r="U513" s="79" t="s">
        <v>416</v>
      </c>
      <c r="W513" s="79">
        <v>0.3</v>
      </c>
    </row>
    <row r="514" spans="1:23">
      <c r="A514" s="79">
        <f t="shared" si="7"/>
        <v>513</v>
      </c>
      <c r="B514" s="79">
        <f>YEAR(Table6[[#This Row],[Date]])+IF(MONTH(Table6[[#This Row],[Date]])&gt;=4,1,0)</f>
        <v>2026</v>
      </c>
      <c r="C514" s="79">
        <f>YEAR(Table6[[#This Row],[Date]])</f>
        <v>2025</v>
      </c>
      <c r="D514" s="79" t="s">
        <v>344</v>
      </c>
      <c r="E514" s="284">
        <f>Table6[[#This Row],[Date]]-DAY(Table6[[#This Row],[Date]])+1</f>
        <v>45778</v>
      </c>
      <c r="F514" s="285">
        <v>45793</v>
      </c>
      <c r="G514" s="79" t="s">
        <v>83</v>
      </c>
      <c r="H514" s="79" t="str">
        <f>IFERROR(_xlfn.XLOOKUP(Table6[[#This Row],[Affected Feeder ]],'Basic Data'!$A:$A,'Basic Data'!$B:$B),"")</f>
        <v>PWEPL</v>
      </c>
      <c r="I514" s="79" t="str">
        <f>IFERROR(_xlfn.XLOOKUP(Table6[[#This Row],[Affected Feeder ]],'Basic Data'!$A:$A,'Basic Data'!$C:$C),"")</f>
        <v>MSEDCL</v>
      </c>
      <c r="J514" s="295">
        <f>IFERROR(_xlfn.XLOOKUP(Table6[[#This Row],[Affected Feeder ]],'Basic Data'!$A:$A,'Basic Data'!$E:$E),"")</f>
        <v>2.2727272727272728E-2</v>
      </c>
      <c r="K514" s="296" t="s">
        <v>171</v>
      </c>
      <c r="L514" s="297">
        <v>0.65208333333333335</v>
      </c>
      <c r="M514" s="297">
        <v>0.65208333333333335</v>
      </c>
      <c r="N514" s="297">
        <v>0.65694444444444444</v>
      </c>
      <c r="O514" s="19">
        <f>(Table6[[#This Row],[Work Start TimeStamp]]-Table6[[#This Row],[Fault Start TimeStamp]])*24</f>
        <v>0</v>
      </c>
      <c r="P514" s="19">
        <f>(Table6[[#This Row],[Fault Clearance time]]-Table6[[#This Row],[Fault Start TimeStamp]])*24</f>
        <v>0.11666666666666625</v>
      </c>
      <c r="Q514" s="19">
        <f>(Table6[[#This Row],[Fault Clearance time]]-Table6[[#This Row],[Fault Start TimeStamp]])*24</f>
        <v>0.11666666666666625</v>
      </c>
      <c r="R514" s="79" t="s">
        <v>353</v>
      </c>
      <c r="S514" s="79" t="s">
        <v>339</v>
      </c>
      <c r="T514" s="298">
        <f>IFERROR(Table6[[#This Row],[Breakdown Time]]*Table6[[#This Row],[Plant Equivalent Weightage]],"")</f>
        <v>2.6515151515151421E-3</v>
      </c>
      <c r="U514" s="79" t="s">
        <v>416</v>
      </c>
      <c r="W514" s="79">
        <v>0.2</v>
      </c>
    </row>
    <row r="515" spans="1:23">
      <c r="A515" s="79">
        <f t="shared" si="7"/>
        <v>514</v>
      </c>
      <c r="B515" s="79">
        <f>YEAR(Table6[[#This Row],[Date]])+IF(MONTH(Table6[[#This Row],[Date]])&gt;=4,1,0)</f>
        <v>2026</v>
      </c>
      <c r="C515" s="79">
        <f>YEAR(Table6[[#This Row],[Date]])</f>
        <v>2025</v>
      </c>
      <c r="D515" s="79" t="s">
        <v>344</v>
      </c>
      <c r="E515" s="284">
        <f>Table6[[#This Row],[Date]]-DAY(Table6[[#This Row],[Date]])+1</f>
        <v>45778</v>
      </c>
      <c r="F515" s="285">
        <v>45793</v>
      </c>
      <c r="G515" s="79" t="s">
        <v>98</v>
      </c>
      <c r="H515" s="79" t="str">
        <f>IFERROR(_xlfn.XLOOKUP(Table6[[#This Row],[Affected Feeder ]],'Basic Data'!$A:$A,'Basic Data'!$B:$B),"")</f>
        <v>PWEPL</v>
      </c>
      <c r="I515" s="79" t="str">
        <f>IFERROR(_xlfn.XLOOKUP(Table6[[#This Row],[Affected Feeder ]],'Basic Data'!$A:$A,'Basic Data'!$C:$C),"")</f>
        <v>MSEDCL</v>
      </c>
      <c r="J515" s="295">
        <f>IFERROR(_xlfn.XLOOKUP(Table6[[#This Row],[Affected Feeder ]],'Basic Data'!$A:$A,'Basic Data'!$E:$E),"")</f>
        <v>2.2727272727272728E-2</v>
      </c>
      <c r="K515" s="296" t="s">
        <v>171</v>
      </c>
      <c r="L515" s="297">
        <v>0.65208333333333335</v>
      </c>
      <c r="M515" s="297">
        <v>0.65208333333333335</v>
      </c>
      <c r="N515" s="297">
        <v>0.66597222222222219</v>
      </c>
      <c r="O515" s="19">
        <f>(Table6[[#This Row],[Work Start TimeStamp]]-Table6[[#This Row],[Fault Start TimeStamp]])*24</f>
        <v>0</v>
      </c>
      <c r="P515" s="19">
        <f>(Table6[[#This Row],[Fault Clearance time]]-Table6[[#This Row],[Fault Start TimeStamp]])*24</f>
        <v>0.33333333333333215</v>
      </c>
      <c r="Q515" s="19">
        <f>(Table6[[#This Row],[Fault Clearance time]]-Table6[[#This Row],[Fault Start TimeStamp]])*24</f>
        <v>0.33333333333333215</v>
      </c>
      <c r="R515" s="79" t="s">
        <v>353</v>
      </c>
      <c r="S515" s="79" t="s">
        <v>339</v>
      </c>
      <c r="T515" s="298">
        <f>IFERROR(Table6[[#This Row],[Breakdown Time]]*Table6[[#This Row],[Plant Equivalent Weightage]],"")</f>
        <v>7.5757575757575491E-3</v>
      </c>
      <c r="U515" s="79" t="s">
        <v>416</v>
      </c>
      <c r="W515" s="79">
        <v>0.6</v>
      </c>
    </row>
    <row r="516" spans="1:23">
      <c r="A516" s="79">
        <f t="shared" ref="A516:A579" si="8">A515+1</f>
        <v>515</v>
      </c>
      <c r="B516" s="79">
        <f>YEAR(Table6[[#This Row],[Date]])+IF(MONTH(Table6[[#This Row],[Date]])&gt;=4,1,0)</f>
        <v>2026</v>
      </c>
      <c r="C516" s="79">
        <f>YEAR(Table6[[#This Row],[Date]])</f>
        <v>2025</v>
      </c>
      <c r="D516" s="79" t="s">
        <v>344</v>
      </c>
      <c r="E516" s="284">
        <f>Table6[[#This Row],[Date]]-DAY(Table6[[#This Row],[Date]])+1</f>
        <v>45778</v>
      </c>
      <c r="F516" s="285">
        <v>45793</v>
      </c>
      <c r="G516" s="79" t="s">
        <v>99</v>
      </c>
      <c r="H516" s="79" t="str">
        <f>IFERROR(_xlfn.XLOOKUP(Table6[[#This Row],[Affected Feeder ]],'Basic Data'!$A:$A,'Basic Data'!$B:$B),"")</f>
        <v>PWEPL</v>
      </c>
      <c r="I516" s="79" t="str">
        <f>IFERROR(_xlfn.XLOOKUP(Table6[[#This Row],[Affected Feeder ]],'Basic Data'!$A:$A,'Basic Data'!$C:$C),"")</f>
        <v>MSEDCL</v>
      </c>
      <c r="J516" s="295">
        <f>IFERROR(_xlfn.XLOOKUP(Table6[[#This Row],[Affected Feeder ]],'Basic Data'!$A:$A,'Basic Data'!$E:$E),"")</f>
        <v>2.2727272727272728E-2</v>
      </c>
      <c r="K516" s="296" t="s">
        <v>171</v>
      </c>
      <c r="L516" s="297">
        <v>0.65208333333333335</v>
      </c>
      <c r="M516" s="297">
        <v>0.65208333333333335</v>
      </c>
      <c r="N516" s="297">
        <v>0.66597222222222219</v>
      </c>
      <c r="O516" s="19">
        <f>(Table6[[#This Row],[Work Start TimeStamp]]-Table6[[#This Row],[Fault Start TimeStamp]])*24</f>
        <v>0</v>
      </c>
      <c r="P516" s="19">
        <f>(Table6[[#This Row],[Fault Clearance time]]-Table6[[#This Row],[Fault Start TimeStamp]])*24</f>
        <v>0.33333333333333215</v>
      </c>
      <c r="Q516" s="19">
        <f>(Table6[[#This Row],[Fault Clearance time]]-Table6[[#This Row],[Fault Start TimeStamp]])*24</f>
        <v>0.33333333333333215</v>
      </c>
      <c r="R516" s="79" t="s">
        <v>353</v>
      </c>
      <c r="S516" s="79" t="s">
        <v>339</v>
      </c>
      <c r="T516" s="298">
        <f>IFERROR(Table6[[#This Row],[Breakdown Time]]*Table6[[#This Row],[Plant Equivalent Weightage]],"")</f>
        <v>7.5757575757575491E-3</v>
      </c>
      <c r="U516" s="79" t="s">
        <v>416</v>
      </c>
      <c r="W516" s="79">
        <v>0.6</v>
      </c>
    </row>
    <row r="517" spans="1:23">
      <c r="A517" s="79">
        <f t="shared" si="8"/>
        <v>516</v>
      </c>
      <c r="B517" s="79">
        <f>YEAR(Table6[[#This Row],[Date]])+IF(MONTH(Table6[[#This Row],[Date]])&gt;=4,1,0)</f>
        <v>2026</v>
      </c>
      <c r="C517" s="79">
        <f>YEAR(Table6[[#This Row],[Date]])</f>
        <v>2025</v>
      </c>
      <c r="D517" s="79" t="s">
        <v>344</v>
      </c>
      <c r="E517" s="284">
        <f>Table6[[#This Row],[Date]]-DAY(Table6[[#This Row],[Date]])+1</f>
        <v>45778</v>
      </c>
      <c r="F517" s="285">
        <v>45793</v>
      </c>
      <c r="G517" s="79" t="s">
        <v>100</v>
      </c>
      <c r="H517" s="79" t="str">
        <f>IFERROR(_xlfn.XLOOKUP(Table6[[#This Row],[Affected Feeder ]],'Basic Data'!$A:$A,'Basic Data'!$B:$B),"")</f>
        <v>PWEPL</v>
      </c>
      <c r="I517" s="79" t="str">
        <f>IFERROR(_xlfn.XLOOKUP(Table6[[#This Row],[Affected Feeder ]],'Basic Data'!$A:$A,'Basic Data'!$C:$C),"")</f>
        <v>MSEDCL</v>
      </c>
      <c r="J517" s="295">
        <f>IFERROR(_xlfn.XLOOKUP(Table6[[#This Row],[Affected Feeder ]],'Basic Data'!$A:$A,'Basic Data'!$E:$E),"")</f>
        <v>2.2727272727272728E-2</v>
      </c>
      <c r="K517" s="296" t="s">
        <v>171</v>
      </c>
      <c r="L517" s="297">
        <v>0.65208333333333335</v>
      </c>
      <c r="M517" s="297">
        <v>0.65208333333333335</v>
      </c>
      <c r="N517" s="297">
        <v>0.66597222222222219</v>
      </c>
      <c r="O517" s="19">
        <f>(Table6[[#This Row],[Work Start TimeStamp]]-Table6[[#This Row],[Fault Start TimeStamp]])*24</f>
        <v>0</v>
      </c>
      <c r="P517" s="19">
        <f>(Table6[[#This Row],[Fault Clearance time]]-Table6[[#This Row],[Fault Start TimeStamp]])*24</f>
        <v>0.33333333333333215</v>
      </c>
      <c r="Q517" s="19">
        <f>(Table6[[#This Row],[Fault Clearance time]]-Table6[[#This Row],[Fault Start TimeStamp]])*24</f>
        <v>0.33333333333333215</v>
      </c>
      <c r="R517" s="79" t="s">
        <v>353</v>
      </c>
      <c r="S517" s="79" t="s">
        <v>339</v>
      </c>
      <c r="T517" s="298">
        <f>IFERROR(Table6[[#This Row],[Breakdown Time]]*Table6[[#This Row],[Plant Equivalent Weightage]],"")</f>
        <v>7.5757575757575491E-3</v>
      </c>
      <c r="U517" s="79" t="s">
        <v>416</v>
      </c>
      <c r="W517" s="79">
        <v>0.6</v>
      </c>
    </row>
    <row r="518" spans="1:23">
      <c r="A518" s="79">
        <f t="shared" si="8"/>
        <v>517</v>
      </c>
      <c r="B518" s="79">
        <f>YEAR(Table6[[#This Row],[Date]])+IF(MONTH(Table6[[#This Row],[Date]])&gt;=4,1,0)</f>
        <v>2026</v>
      </c>
      <c r="C518" s="79">
        <f>YEAR(Table6[[#This Row],[Date]])</f>
        <v>2025</v>
      </c>
      <c r="D518" s="79" t="s">
        <v>344</v>
      </c>
      <c r="E518" s="284">
        <f>Table6[[#This Row],[Date]]-DAY(Table6[[#This Row],[Date]])+1</f>
        <v>45778</v>
      </c>
      <c r="F518" s="285">
        <v>45793</v>
      </c>
      <c r="G518" s="79" t="s">
        <v>101</v>
      </c>
      <c r="H518" s="79" t="str">
        <f>IFERROR(_xlfn.XLOOKUP(Table6[[#This Row],[Affected Feeder ]],'Basic Data'!$A:$A,'Basic Data'!$B:$B),"")</f>
        <v>PWEPL</v>
      </c>
      <c r="I518" s="79" t="str">
        <f>IFERROR(_xlfn.XLOOKUP(Table6[[#This Row],[Affected Feeder ]],'Basic Data'!$A:$A,'Basic Data'!$C:$C),"")</f>
        <v>MSEDCL</v>
      </c>
      <c r="J518" s="295">
        <f>IFERROR(_xlfn.XLOOKUP(Table6[[#This Row],[Affected Feeder ]],'Basic Data'!$A:$A,'Basic Data'!$E:$E),"")</f>
        <v>2.2727272727272728E-2</v>
      </c>
      <c r="K518" s="296" t="s">
        <v>171</v>
      </c>
      <c r="L518" s="297">
        <v>0.65208333333333335</v>
      </c>
      <c r="M518" s="297">
        <v>0.65208333333333335</v>
      </c>
      <c r="N518" s="297">
        <v>0.66597222222222219</v>
      </c>
      <c r="O518" s="19">
        <f>(Table6[[#This Row],[Work Start TimeStamp]]-Table6[[#This Row],[Fault Start TimeStamp]])*24</f>
        <v>0</v>
      </c>
      <c r="P518" s="19">
        <f>(Table6[[#This Row],[Fault Clearance time]]-Table6[[#This Row],[Fault Start TimeStamp]])*24</f>
        <v>0.33333333333333215</v>
      </c>
      <c r="Q518" s="19">
        <f>(Table6[[#This Row],[Fault Clearance time]]-Table6[[#This Row],[Fault Start TimeStamp]])*24</f>
        <v>0.33333333333333215</v>
      </c>
      <c r="R518" s="79" t="s">
        <v>353</v>
      </c>
      <c r="S518" s="79" t="s">
        <v>339</v>
      </c>
      <c r="T518" s="298">
        <f>IFERROR(Table6[[#This Row],[Breakdown Time]]*Table6[[#This Row],[Plant Equivalent Weightage]],"")</f>
        <v>7.5757575757575491E-3</v>
      </c>
      <c r="U518" s="79" t="s">
        <v>416</v>
      </c>
      <c r="W518" s="79">
        <v>0.6</v>
      </c>
    </row>
    <row r="519" spans="1:23">
      <c r="A519" s="79">
        <f t="shared" si="8"/>
        <v>518</v>
      </c>
      <c r="B519" s="79">
        <f>YEAR(Table6[[#This Row],[Date]])+IF(MONTH(Table6[[#This Row],[Date]])&gt;=4,1,0)</f>
        <v>2026</v>
      </c>
      <c r="C519" s="79">
        <f>YEAR(Table6[[#This Row],[Date]])</f>
        <v>2025</v>
      </c>
      <c r="D519" s="79" t="s">
        <v>344</v>
      </c>
      <c r="E519" s="284">
        <f>Table6[[#This Row],[Date]]-DAY(Table6[[#This Row],[Date]])+1</f>
        <v>45778</v>
      </c>
      <c r="F519" s="285">
        <v>45793</v>
      </c>
      <c r="G519" s="79" t="s">
        <v>404</v>
      </c>
      <c r="H519" s="79" t="str">
        <f>IFERROR(_xlfn.XLOOKUP(Table6[[#This Row],[Affected Feeder ]],'Basic Data'!$A:$A,'Basic Data'!$B:$B),"")</f>
        <v>PWEPL</v>
      </c>
      <c r="I519" s="79" t="str">
        <f>IFERROR(_xlfn.XLOOKUP(Table6[[#This Row],[Affected Feeder ]],'Basic Data'!$A:$A,'Basic Data'!$C:$C),"")</f>
        <v>MSEDCL</v>
      </c>
      <c r="J519" s="295">
        <f>IFERROR(_xlfn.XLOOKUP(Table6[[#This Row],[Affected Feeder ]],'Basic Data'!$A:$A,'Basic Data'!$E:$E),"")</f>
        <v>0.27272727272727276</v>
      </c>
      <c r="K519" s="296" t="s">
        <v>815</v>
      </c>
      <c r="L519" s="297">
        <v>0.41319444444444442</v>
      </c>
      <c r="M519" s="297">
        <v>0.41319444444444442</v>
      </c>
      <c r="N519" s="297">
        <v>0.65208333333333335</v>
      </c>
      <c r="O519" s="19">
        <f>(Table6[[#This Row],[Work Start TimeStamp]]-Table6[[#This Row],[Fault Start TimeStamp]])*24</f>
        <v>0</v>
      </c>
      <c r="P519" s="19">
        <f>(Table6[[#This Row],[Fault Clearance time]]-Table6[[#This Row],[Fault Start TimeStamp]])*24</f>
        <v>5.7333333333333343</v>
      </c>
      <c r="Q519" s="19">
        <f>(Table6[[#This Row],[Fault Clearance time]]-Table6[[#This Row],[Fault Start TimeStamp]])*24</f>
        <v>5.7333333333333343</v>
      </c>
      <c r="R519" s="79" t="s">
        <v>816</v>
      </c>
      <c r="S519" s="79" t="s">
        <v>339</v>
      </c>
      <c r="T519" s="298">
        <f>IFERROR(Table6[[#This Row],[Breakdown Time]]*Table6[[#This Row],[Plant Equivalent Weightage]],"")</f>
        <v>1.5636363636363642</v>
      </c>
      <c r="U519" s="79" t="s">
        <v>416</v>
      </c>
      <c r="W519" s="79">
        <v>133</v>
      </c>
    </row>
    <row r="520" spans="1:23">
      <c r="A520" s="79">
        <f t="shared" si="8"/>
        <v>519</v>
      </c>
      <c r="B520" s="79">
        <f>YEAR(Table6[[#This Row],[Date]])+IF(MONTH(Table6[[#This Row],[Date]])&gt;=4,1,0)</f>
        <v>2026</v>
      </c>
      <c r="C520" s="79">
        <f>YEAR(Table6[[#This Row],[Date]])</f>
        <v>2025</v>
      </c>
      <c r="D520" s="79" t="s">
        <v>344</v>
      </c>
      <c r="E520" s="284">
        <f>Table6[[#This Row],[Date]]-DAY(Table6[[#This Row],[Date]])+1</f>
        <v>45778</v>
      </c>
      <c r="F520" s="285">
        <v>45793</v>
      </c>
      <c r="G520" s="79" t="s">
        <v>89</v>
      </c>
      <c r="H520" s="79" t="str">
        <f>IFERROR(_xlfn.XLOOKUP(Table6[[#This Row],[Affected Feeder ]],'Basic Data'!$A:$A,'Basic Data'!$B:$B),"")</f>
        <v>PWEPL</v>
      </c>
      <c r="I520" s="79" t="str">
        <f>IFERROR(_xlfn.XLOOKUP(Table6[[#This Row],[Affected Feeder ]],'Basic Data'!$A:$A,'Basic Data'!$C:$C),"")</f>
        <v>MSEDCL</v>
      </c>
      <c r="J520" s="295">
        <f>IFERROR(_xlfn.XLOOKUP(Table6[[#This Row],[Affected Feeder ]],'Basic Data'!$A:$A,'Basic Data'!$E:$E),"")</f>
        <v>2.2727272727272728E-2</v>
      </c>
      <c r="K520" s="296" t="s">
        <v>171</v>
      </c>
      <c r="L520" s="297">
        <v>0.65208333333333335</v>
      </c>
      <c r="M520" s="297">
        <v>0.65208333333333335</v>
      </c>
      <c r="N520" s="297">
        <v>0.65694444444444444</v>
      </c>
      <c r="O520" s="19">
        <f>(Table6[[#This Row],[Work Start TimeStamp]]-Table6[[#This Row],[Fault Start TimeStamp]])*24</f>
        <v>0</v>
      </c>
      <c r="P520" s="19">
        <f>(Table6[[#This Row],[Fault Clearance time]]-Table6[[#This Row],[Fault Start TimeStamp]])*24</f>
        <v>0.11666666666666625</v>
      </c>
      <c r="Q520" s="19">
        <f>(Table6[[#This Row],[Fault Clearance time]]-Table6[[#This Row],[Fault Start TimeStamp]])*24</f>
        <v>0.11666666666666625</v>
      </c>
      <c r="R520" s="79" t="s">
        <v>353</v>
      </c>
      <c r="S520" s="79" t="s">
        <v>339</v>
      </c>
      <c r="T520" s="298">
        <f>IFERROR(Table6[[#This Row],[Breakdown Time]]*Table6[[#This Row],[Plant Equivalent Weightage]],"")</f>
        <v>2.6515151515151421E-3</v>
      </c>
      <c r="U520" s="79" t="s">
        <v>416</v>
      </c>
      <c r="W520" s="79">
        <v>0.2</v>
      </c>
    </row>
    <row r="521" spans="1:23">
      <c r="A521" s="79">
        <f t="shared" si="8"/>
        <v>520</v>
      </c>
      <c r="B521" s="79">
        <f>YEAR(Table6[[#This Row],[Date]])+IF(MONTH(Table6[[#This Row],[Date]])&gt;=4,1,0)</f>
        <v>2026</v>
      </c>
      <c r="C521" s="79">
        <f>YEAR(Table6[[#This Row],[Date]])</f>
        <v>2025</v>
      </c>
      <c r="D521" s="79" t="s">
        <v>344</v>
      </c>
      <c r="E521" s="284">
        <f>Table6[[#This Row],[Date]]-DAY(Table6[[#This Row],[Date]])+1</f>
        <v>45778</v>
      </c>
      <c r="F521" s="285">
        <v>45793</v>
      </c>
      <c r="G521" s="79" t="s">
        <v>90</v>
      </c>
      <c r="H521" s="79" t="str">
        <f>IFERROR(_xlfn.XLOOKUP(Table6[[#This Row],[Affected Feeder ]],'Basic Data'!$A:$A,'Basic Data'!$B:$B),"")</f>
        <v>PWEPL</v>
      </c>
      <c r="I521" s="79" t="str">
        <f>IFERROR(_xlfn.XLOOKUP(Table6[[#This Row],[Affected Feeder ]],'Basic Data'!$A:$A,'Basic Data'!$C:$C),"")</f>
        <v>MSEDCL</v>
      </c>
      <c r="J521" s="295">
        <f>IFERROR(_xlfn.XLOOKUP(Table6[[#This Row],[Affected Feeder ]],'Basic Data'!$A:$A,'Basic Data'!$E:$E),"")</f>
        <v>2.2727272727272728E-2</v>
      </c>
      <c r="K521" s="296" t="s">
        <v>171</v>
      </c>
      <c r="L521" s="297">
        <v>0.65208333333333335</v>
      </c>
      <c r="M521" s="297">
        <v>0.65208333333333335</v>
      </c>
      <c r="N521" s="297">
        <v>0.65694444444444444</v>
      </c>
      <c r="O521" s="19">
        <f>(Table6[[#This Row],[Work Start TimeStamp]]-Table6[[#This Row],[Fault Start TimeStamp]])*24</f>
        <v>0</v>
      </c>
      <c r="P521" s="19">
        <f>(Table6[[#This Row],[Fault Clearance time]]-Table6[[#This Row],[Fault Start TimeStamp]])*24</f>
        <v>0.11666666666666625</v>
      </c>
      <c r="Q521" s="19">
        <f>(Table6[[#This Row],[Fault Clearance time]]-Table6[[#This Row],[Fault Start TimeStamp]])*24</f>
        <v>0.11666666666666625</v>
      </c>
      <c r="R521" s="79" t="s">
        <v>353</v>
      </c>
      <c r="S521" s="79" t="s">
        <v>339</v>
      </c>
      <c r="T521" s="298">
        <f>IFERROR(Table6[[#This Row],[Breakdown Time]]*Table6[[#This Row],[Plant Equivalent Weightage]],"")</f>
        <v>2.6515151515151421E-3</v>
      </c>
      <c r="U521" s="79" t="s">
        <v>416</v>
      </c>
      <c r="W521" s="79">
        <v>0.2</v>
      </c>
    </row>
    <row r="522" spans="1:23">
      <c r="A522" s="79">
        <f t="shared" si="8"/>
        <v>521</v>
      </c>
      <c r="B522" s="79">
        <f>YEAR(Table6[[#This Row],[Date]])+IF(MONTH(Table6[[#This Row],[Date]])&gt;=4,1,0)</f>
        <v>2026</v>
      </c>
      <c r="C522" s="79">
        <f>YEAR(Table6[[#This Row],[Date]])</f>
        <v>2025</v>
      </c>
      <c r="D522" s="79" t="s">
        <v>344</v>
      </c>
      <c r="E522" s="284">
        <f>Table6[[#This Row],[Date]]-DAY(Table6[[#This Row],[Date]])+1</f>
        <v>45778</v>
      </c>
      <c r="F522" s="285">
        <v>45793</v>
      </c>
      <c r="G522" s="79" t="s">
        <v>91</v>
      </c>
      <c r="H522" s="79" t="str">
        <f>IFERROR(_xlfn.XLOOKUP(Table6[[#This Row],[Affected Feeder ]],'Basic Data'!$A:$A,'Basic Data'!$B:$B),"")</f>
        <v>PWEPL</v>
      </c>
      <c r="I522" s="79" t="str">
        <f>IFERROR(_xlfn.XLOOKUP(Table6[[#This Row],[Affected Feeder ]],'Basic Data'!$A:$A,'Basic Data'!$C:$C),"")</f>
        <v>MSEDCL</v>
      </c>
      <c r="J522" s="295">
        <f>IFERROR(_xlfn.XLOOKUP(Table6[[#This Row],[Affected Feeder ]],'Basic Data'!$A:$A,'Basic Data'!$E:$E),"")</f>
        <v>2.2727272727272728E-2</v>
      </c>
      <c r="K522" s="296" t="s">
        <v>171</v>
      </c>
      <c r="L522" s="297">
        <v>0.65208333333333335</v>
      </c>
      <c r="M522" s="297">
        <v>0.65208333333333335</v>
      </c>
      <c r="N522" s="297">
        <v>0.65694444444444444</v>
      </c>
      <c r="O522" s="19">
        <f>(Table6[[#This Row],[Work Start TimeStamp]]-Table6[[#This Row],[Fault Start TimeStamp]])*24</f>
        <v>0</v>
      </c>
      <c r="P522" s="19">
        <f>(Table6[[#This Row],[Fault Clearance time]]-Table6[[#This Row],[Fault Start TimeStamp]])*24</f>
        <v>0.11666666666666625</v>
      </c>
      <c r="Q522" s="19">
        <f>(Table6[[#This Row],[Fault Clearance time]]-Table6[[#This Row],[Fault Start TimeStamp]])*24</f>
        <v>0.11666666666666625</v>
      </c>
      <c r="R522" s="79" t="s">
        <v>353</v>
      </c>
      <c r="S522" s="79" t="s">
        <v>339</v>
      </c>
      <c r="T522" s="298">
        <f>IFERROR(Table6[[#This Row],[Breakdown Time]]*Table6[[#This Row],[Plant Equivalent Weightage]],"")</f>
        <v>2.6515151515151421E-3</v>
      </c>
      <c r="U522" s="79" t="s">
        <v>416</v>
      </c>
      <c r="W522" s="79">
        <v>0.2</v>
      </c>
    </row>
    <row r="523" spans="1:23">
      <c r="A523" s="79">
        <f t="shared" si="8"/>
        <v>522</v>
      </c>
      <c r="B523" s="79">
        <f>YEAR(Table6[[#This Row],[Date]])+IF(MONTH(Table6[[#This Row],[Date]])&gt;=4,1,0)</f>
        <v>2026</v>
      </c>
      <c r="C523" s="79">
        <f>YEAR(Table6[[#This Row],[Date]])</f>
        <v>2025</v>
      </c>
      <c r="D523" s="79" t="s">
        <v>344</v>
      </c>
      <c r="E523" s="284">
        <f>Table6[[#This Row],[Date]]-DAY(Table6[[#This Row],[Date]])+1</f>
        <v>45778</v>
      </c>
      <c r="F523" s="285">
        <v>45793</v>
      </c>
      <c r="G523" s="79" t="s">
        <v>92</v>
      </c>
      <c r="H523" s="79" t="str">
        <f>IFERROR(_xlfn.XLOOKUP(Table6[[#This Row],[Affected Feeder ]],'Basic Data'!$A:$A,'Basic Data'!$B:$B),"")</f>
        <v>PWEPL</v>
      </c>
      <c r="I523" s="79" t="str">
        <f>IFERROR(_xlfn.XLOOKUP(Table6[[#This Row],[Affected Feeder ]],'Basic Data'!$A:$A,'Basic Data'!$C:$C),"")</f>
        <v>MSEDCL</v>
      </c>
      <c r="J523" s="295">
        <f>IFERROR(_xlfn.XLOOKUP(Table6[[#This Row],[Affected Feeder ]],'Basic Data'!$A:$A,'Basic Data'!$E:$E),"")</f>
        <v>2.2727272727272728E-2</v>
      </c>
      <c r="K523" s="296" t="s">
        <v>171</v>
      </c>
      <c r="L523" s="297">
        <v>0.65208333333333335</v>
      </c>
      <c r="M523" s="297">
        <v>0.65208333333333335</v>
      </c>
      <c r="N523" s="297">
        <v>0.65694444444444444</v>
      </c>
      <c r="O523" s="19">
        <f>(Table6[[#This Row],[Work Start TimeStamp]]-Table6[[#This Row],[Fault Start TimeStamp]])*24</f>
        <v>0</v>
      </c>
      <c r="P523" s="19">
        <f>(Table6[[#This Row],[Fault Clearance time]]-Table6[[#This Row],[Fault Start TimeStamp]])*24</f>
        <v>0.11666666666666625</v>
      </c>
      <c r="Q523" s="19">
        <f>(Table6[[#This Row],[Fault Clearance time]]-Table6[[#This Row],[Fault Start TimeStamp]])*24</f>
        <v>0.11666666666666625</v>
      </c>
      <c r="R523" s="79" t="s">
        <v>353</v>
      </c>
      <c r="S523" s="79" t="s">
        <v>339</v>
      </c>
      <c r="T523" s="298">
        <f>IFERROR(Table6[[#This Row],[Breakdown Time]]*Table6[[#This Row],[Plant Equivalent Weightage]],"")</f>
        <v>2.6515151515151421E-3</v>
      </c>
      <c r="U523" s="79" t="s">
        <v>416</v>
      </c>
      <c r="W523" s="79">
        <v>0.2</v>
      </c>
    </row>
    <row r="524" spans="1:23">
      <c r="A524" s="79">
        <f t="shared" si="8"/>
        <v>523</v>
      </c>
      <c r="B524" s="79">
        <f>YEAR(Table6[[#This Row],[Date]])+IF(MONTH(Table6[[#This Row],[Date]])&gt;=4,1,0)</f>
        <v>2026</v>
      </c>
      <c r="C524" s="79">
        <f>YEAR(Table6[[#This Row],[Date]])</f>
        <v>2025</v>
      </c>
      <c r="D524" s="79" t="s">
        <v>344</v>
      </c>
      <c r="E524" s="284">
        <f>Table6[[#This Row],[Date]]-DAY(Table6[[#This Row],[Date]])+1</f>
        <v>45778</v>
      </c>
      <c r="F524" s="285">
        <v>45793</v>
      </c>
      <c r="G524" s="79" t="s">
        <v>94</v>
      </c>
      <c r="H524" s="79" t="str">
        <f>IFERROR(_xlfn.XLOOKUP(Table6[[#This Row],[Affected Feeder ]],'Basic Data'!$A:$A,'Basic Data'!$B:$B),"")</f>
        <v>PWEPL</v>
      </c>
      <c r="I524" s="79" t="str">
        <f>IFERROR(_xlfn.XLOOKUP(Table6[[#This Row],[Affected Feeder ]],'Basic Data'!$A:$A,'Basic Data'!$C:$C),"")</f>
        <v>MSEDCL</v>
      </c>
      <c r="J524" s="295">
        <f>IFERROR(_xlfn.XLOOKUP(Table6[[#This Row],[Affected Feeder ]],'Basic Data'!$A:$A,'Basic Data'!$E:$E),"")</f>
        <v>2.2727272727272728E-2</v>
      </c>
      <c r="K524" s="296" t="s">
        <v>171</v>
      </c>
      <c r="L524" s="297">
        <v>0.65208333333333335</v>
      </c>
      <c r="M524" s="297">
        <v>0.65208333333333335</v>
      </c>
      <c r="N524" s="297">
        <v>0.65833333333333333</v>
      </c>
      <c r="O524" s="19">
        <f>(Table6[[#This Row],[Work Start TimeStamp]]-Table6[[#This Row],[Fault Start TimeStamp]])*24</f>
        <v>0</v>
      </c>
      <c r="P524" s="19">
        <f>(Table6[[#This Row],[Fault Clearance time]]-Table6[[#This Row],[Fault Start TimeStamp]])*24</f>
        <v>0.14999999999999947</v>
      </c>
      <c r="Q524" s="19">
        <f>(Table6[[#This Row],[Fault Clearance time]]-Table6[[#This Row],[Fault Start TimeStamp]])*24</f>
        <v>0.14999999999999947</v>
      </c>
      <c r="R524" s="79" t="s">
        <v>353</v>
      </c>
      <c r="S524" s="79" t="s">
        <v>339</v>
      </c>
      <c r="T524" s="298">
        <f>IFERROR(Table6[[#This Row],[Breakdown Time]]*Table6[[#This Row],[Plant Equivalent Weightage]],"")</f>
        <v>3.4090909090908972E-3</v>
      </c>
      <c r="U524" s="79" t="s">
        <v>416</v>
      </c>
      <c r="W524" s="79">
        <v>0.3</v>
      </c>
    </row>
    <row r="525" spans="1:23">
      <c r="A525" s="79">
        <f t="shared" si="8"/>
        <v>524</v>
      </c>
      <c r="B525" s="79">
        <f>YEAR(Table6[[#This Row],[Date]])+IF(MONTH(Table6[[#This Row],[Date]])&gt;=4,1,0)</f>
        <v>2026</v>
      </c>
      <c r="C525" s="79">
        <f>YEAR(Table6[[#This Row],[Date]])</f>
        <v>2025</v>
      </c>
      <c r="D525" s="79" t="s">
        <v>344</v>
      </c>
      <c r="E525" s="284">
        <f>Table6[[#This Row],[Date]]-DAY(Table6[[#This Row],[Date]])+1</f>
        <v>45778</v>
      </c>
      <c r="F525" s="285">
        <v>45793</v>
      </c>
      <c r="G525" s="79" t="s">
        <v>95</v>
      </c>
      <c r="H525" s="79" t="str">
        <f>IFERROR(_xlfn.XLOOKUP(Table6[[#This Row],[Affected Feeder ]],'Basic Data'!$A:$A,'Basic Data'!$B:$B),"")</f>
        <v>PWEPL</v>
      </c>
      <c r="I525" s="79" t="str">
        <f>IFERROR(_xlfn.XLOOKUP(Table6[[#This Row],[Affected Feeder ]],'Basic Data'!$A:$A,'Basic Data'!$C:$C),"")</f>
        <v>MSEDCL</v>
      </c>
      <c r="J525" s="295">
        <f>IFERROR(_xlfn.XLOOKUP(Table6[[#This Row],[Affected Feeder ]],'Basic Data'!$A:$A,'Basic Data'!$E:$E),"")</f>
        <v>2.2727272727272728E-2</v>
      </c>
      <c r="K525" s="296" t="s">
        <v>171</v>
      </c>
      <c r="L525" s="297">
        <v>0.65208333333333335</v>
      </c>
      <c r="M525" s="297">
        <v>0.65208333333333335</v>
      </c>
      <c r="N525" s="297">
        <v>0.65694444444444444</v>
      </c>
      <c r="O525" s="19">
        <f>(Table6[[#This Row],[Work Start TimeStamp]]-Table6[[#This Row],[Fault Start TimeStamp]])*24</f>
        <v>0</v>
      </c>
      <c r="P525" s="19">
        <f>(Table6[[#This Row],[Fault Clearance time]]-Table6[[#This Row],[Fault Start TimeStamp]])*24</f>
        <v>0.11666666666666625</v>
      </c>
      <c r="Q525" s="19">
        <f>(Table6[[#This Row],[Fault Clearance time]]-Table6[[#This Row],[Fault Start TimeStamp]])*24</f>
        <v>0.11666666666666625</v>
      </c>
      <c r="R525" s="79" t="s">
        <v>353</v>
      </c>
      <c r="S525" s="79" t="s">
        <v>339</v>
      </c>
      <c r="T525" s="298">
        <f>IFERROR(Table6[[#This Row],[Breakdown Time]]*Table6[[#This Row],[Plant Equivalent Weightage]],"")</f>
        <v>2.6515151515151421E-3</v>
      </c>
      <c r="U525" s="79" t="s">
        <v>416</v>
      </c>
      <c r="W525" s="79">
        <v>0.2</v>
      </c>
    </row>
    <row r="526" spans="1:23">
      <c r="A526" s="79">
        <f t="shared" si="8"/>
        <v>525</v>
      </c>
      <c r="B526" s="79">
        <f>YEAR(Table6[[#This Row],[Date]])+IF(MONTH(Table6[[#This Row],[Date]])&gt;=4,1,0)</f>
        <v>2026</v>
      </c>
      <c r="C526" s="79">
        <f>YEAR(Table6[[#This Row],[Date]])</f>
        <v>2025</v>
      </c>
      <c r="D526" s="79" t="s">
        <v>344</v>
      </c>
      <c r="E526" s="284">
        <f>Table6[[#This Row],[Date]]-DAY(Table6[[#This Row],[Date]])+1</f>
        <v>45778</v>
      </c>
      <c r="F526" s="285">
        <v>45793</v>
      </c>
      <c r="G526" s="79" t="s">
        <v>106</v>
      </c>
      <c r="H526" s="79" t="str">
        <f>IFERROR(_xlfn.XLOOKUP(Table6[[#This Row],[Affected Feeder ]],'Basic Data'!$A:$A,'Basic Data'!$B:$B),"")</f>
        <v>PWEPL</v>
      </c>
      <c r="I526" s="79" t="str">
        <f>IFERROR(_xlfn.XLOOKUP(Table6[[#This Row],[Affected Feeder ]],'Basic Data'!$A:$A,'Basic Data'!$C:$C),"")</f>
        <v>MSEDCL</v>
      </c>
      <c r="J526" s="295">
        <f>IFERROR(_xlfn.XLOOKUP(Table6[[#This Row],[Affected Feeder ]],'Basic Data'!$A:$A,'Basic Data'!$E:$E),"")</f>
        <v>2.2727272727272728E-2</v>
      </c>
      <c r="K526" s="296" t="s">
        <v>171</v>
      </c>
      <c r="L526" s="297">
        <v>0.65208333333333335</v>
      </c>
      <c r="M526" s="297">
        <v>0.65208333333333335</v>
      </c>
      <c r="N526" s="297">
        <v>0.65694444444444444</v>
      </c>
      <c r="O526" s="19">
        <f>(Table6[[#This Row],[Work Start TimeStamp]]-Table6[[#This Row],[Fault Start TimeStamp]])*24</f>
        <v>0</v>
      </c>
      <c r="P526" s="19">
        <f>(Table6[[#This Row],[Fault Clearance time]]-Table6[[#This Row],[Fault Start TimeStamp]])*24</f>
        <v>0.11666666666666625</v>
      </c>
      <c r="Q526" s="19">
        <f>(Table6[[#This Row],[Fault Clearance time]]-Table6[[#This Row],[Fault Start TimeStamp]])*24</f>
        <v>0.11666666666666625</v>
      </c>
      <c r="R526" s="79" t="s">
        <v>353</v>
      </c>
      <c r="S526" s="79" t="s">
        <v>339</v>
      </c>
      <c r="T526" s="298">
        <f>IFERROR(Table6[[#This Row],[Breakdown Time]]*Table6[[#This Row],[Plant Equivalent Weightage]],"")</f>
        <v>2.6515151515151421E-3</v>
      </c>
      <c r="U526" s="79" t="s">
        <v>416</v>
      </c>
      <c r="W526" s="79">
        <v>0.2</v>
      </c>
    </row>
    <row r="527" spans="1:23">
      <c r="A527" s="79">
        <f t="shared" si="8"/>
        <v>526</v>
      </c>
      <c r="B527" s="79">
        <f>YEAR(Table6[[#This Row],[Date]])+IF(MONTH(Table6[[#This Row],[Date]])&gt;=4,1,0)</f>
        <v>2026</v>
      </c>
      <c r="C527" s="79">
        <f>YEAR(Table6[[#This Row],[Date]])</f>
        <v>2025</v>
      </c>
      <c r="D527" s="79" t="s">
        <v>344</v>
      </c>
      <c r="E527" s="284">
        <f>Table6[[#This Row],[Date]]-DAY(Table6[[#This Row],[Date]])+1</f>
        <v>45778</v>
      </c>
      <c r="F527" s="285">
        <v>45793</v>
      </c>
      <c r="G527" s="79" t="s">
        <v>79</v>
      </c>
      <c r="H527" s="79" t="str">
        <f>IFERROR(_xlfn.XLOOKUP(Table6[[#This Row],[Affected Feeder ]],'Basic Data'!$A:$A,'Basic Data'!$B:$B),"")</f>
        <v>PWEPL</v>
      </c>
      <c r="I527" s="79" t="str">
        <f>IFERROR(_xlfn.XLOOKUP(Table6[[#This Row],[Affected Feeder ]],'Basic Data'!$A:$A,'Basic Data'!$C:$C),"")</f>
        <v>MSEDCL</v>
      </c>
      <c r="J527" s="295">
        <f>IFERROR(_xlfn.XLOOKUP(Table6[[#This Row],[Affected Feeder ]],'Basic Data'!$A:$A,'Basic Data'!$E:$E),"")</f>
        <v>2.2727272727272728E-2</v>
      </c>
      <c r="K527" s="296" t="s">
        <v>171</v>
      </c>
      <c r="L527" s="297">
        <v>0.65208333333333335</v>
      </c>
      <c r="M527" s="297">
        <v>0.65208333333333335</v>
      </c>
      <c r="N527" s="297">
        <v>0.66527777777777775</v>
      </c>
      <c r="O527" s="19">
        <f>(Table6[[#This Row],[Work Start TimeStamp]]-Table6[[#This Row],[Fault Start TimeStamp]])*24</f>
        <v>0</v>
      </c>
      <c r="P527" s="19">
        <f>(Table6[[#This Row],[Fault Clearance time]]-Table6[[#This Row],[Fault Start TimeStamp]])*24</f>
        <v>0.31666666666666554</v>
      </c>
      <c r="Q527" s="19">
        <f>(Table6[[#This Row],[Fault Clearance time]]-Table6[[#This Row],[Fault Start TimeStamp]])*24</f>
        <v>0.31666666666666554</v>
      </c>
      <c r="R527" s="79" t="s">
        <v>353</v>
      </c>
      <c r="S527" s="79" t="s">
        <v>339</v>
      </c>
      <c r="T527" s="298">
        <f>IFERROR(Table6[[#This Row],[Breakdown Time]]*Table6[[#This Row],[Plant Equivalent Weightage]],"")</f>
        <v>7.1969696969696713E-3</v>
      </c>
      <c r="U527" s="79" t="s">
        <v>416</v>
      </c>
      <c r="W527" s="79">
        <v>0.6</v>
      </c>
    </row>
    <row r="528" spans="1:23">
      <c r="A528" s="79">
        <f t="shared" si="8"/>
        <v>527</v>
      </c>
      <c r="B528" s="79">
        <f>YEAR(Table6[[#This Row],[Date]])+IF(MONTH(Table6[[#This Row],[Date]])&gt;=4,1,0)</f>
        <v>2026</v>
      </c>
      <c r="C528" s="79">
        <f>YEAR(Table6[[#This Row],[Date]])</f>
        <v>2025</v>
      </c>
      <c r="D528" s="79" t="s">
        <v>344</v>
      </c>
      <c r="E528" s="284">
        <f>Table6[[#This Row],[Date]]-DAY(Table6[[#This Row],[Date]])+1</f>
        <v>45778</v>
      </c>
      <c r="F528" s="285">
        <v>45793</v>
      </c>
      <c r="G528" s="79" t="s">
        <v>96</v>
      </c>
      <c r="H528" s="79" t="str">
        <f>IFERROR(_xlfn.XLOOKUP(Table6[[#This Row],[Affected Feeder ]],'Basic Data'!$A:$A,'Basic Data'!$B:$B),"")</f>
        <v>PWEPL</v>
      </c>
      <c r="I528" s="79" t="str">
        <f>IFERROR(_xlfn.XLOOKUP(Table6[[#This Row],[Affected Feeder ]],'Basic Data'!$A:$A,'Basic Data'!$C:$C),"")</f>
        <v>MSEDCL</v>
      </c>
      <c r="J528" s="295">
        <f>IFERROR(_xlfn.XLOOKUP(Table6[[#This Row],[Affected Feeder ]],'Basic Data'!$A:$A,'Basic Data'!$E:$E),"")</f>
        <v>2.2727272727272728E-2</v>
      </c>
      <c r="K528" s="296" t="s">
        <v>171</v>
      </c>
      <c r="L528" s="297">
        <v>0.65208333333333335</v>
      </c>
      <c r="M528" s="297">
        <v>0.65208333333333335</v>
      </c>
      <c r="N528" s="297">
        <v>0.66527777777777775</v>
      </c>
      <c r="O528" s="19">
        <f>(Table6[[#This Row],[Work Start TimeStamp]]-Table6[[#This Row],[Fault Start TimeStamp]])*24</f>
        <v>0</v>
      </c>
      <c r="P528" s="19">
        <f>(Table6[[#This Row],[Fault Clearance time]]-Table6[[#This Row],[Fault Start TimeStamp]])*24</f>
        <v>0.31666666666666554</v>
      </c>
      <c r="Q528" s="19">
        <f>(Table6[[#This Row],[Fault Clearance time]]-Table6[[#This Row],[Fault Start TimeStamp]])*24</f>
        <v>0.31666666666666554</v>
      </c>
      <c r="R528" s="79" t="s">
        <v>353</v>
      </c>
      <c r="S528" s="79" t="s">
        <v>339</v>
      </c>
      <c r="T528" s="298">
        <f>IFERROR(Table6[[#This Row],[Breakdown Time]]*Table6[[#This Row],[Plant Equivalent Weightage]],"")</f>
        <v>7.1969696969696713E-3</v>
      </c>
      <c r="U528" s="79" t="s">
        <v>416</v>
      </c>
      <c r="W528" s="79">
        <v>0.6</v>
      </c>
    </row>
    <row r="529" spans="1:23">
      <c r="A529" s="79">
        <f t="shared" si="8"/>
        <v>528</v>
      </c>
      <c r="B529" s="79">
        <f>YEAR(Table6[[#This Row],[Date]])+IF(MONTH(Table6[[#This Row],[Date]])&gt;=4,1,0)</f>
        <v>2026</v>
      </c>
      <c r="C529" s="79">
        <f>YEAR(Table6[[#This Row],[Date]])</f>
        <v>2025</v>
      </c>
      <c r="D529" s="79" t="s">
        <v>344</v>
      </c>
      <c r="E529" s="284">
        <f>Table6[[#This Row],[Date]]-DAY(Table6[[#This Row],[Date]])+1</f>
        <v>45778</v>
      </c>
      <c r="F529" s="285">
        <v>45793</v>
      </c>
      <c r="G529" s="79" t="s">
        <v>97</v>
      </c>
      <c r="H529" s="79" t="str">
        <f>IFERROR(_xlfn.XLOOKUP(Table6[[#This Row],[Affected Feeder ]],'Basic Data'!$A:$A,'Basic Data'!$B:$B),"")</f>
        <v>PWEPL</v>
      </c>
      <c r="I529" s="79" t="str">
        <f>IFERROR(_xlfn.XLOOKUP(Table6[[#This Row],[Affected Feeder ]],'Basic Data'!$A:$A,'Basic Data'!$C:$C),"")</f>
        <v>MSEDCL</v>
      </c>
      <c r="J529" s="295">
        <f>IFERROR(_xlfn.XLOOKUP(Table6[[#This Row],[Affected Feeder ]],'Basic Data'!$A:$A,'Basic Data'!$E:$E),"")</f>
        <v>2.2727272727272728E-2</v>
      </c>
      <c r="K529" s="296" t="s">
        <v>171</v>
      </c>
      <c r="L529" s="297">
        <v>0.65208333333333335</v>
      </c>
      <c r="M529" s="297">
        <v>0.65208333333333335</v>
      </c>
      <c r="N529" s="297">
        <v>0.66527777777777775</v>
      </c>
      <c r="O529" s="19">
        <f>(Table6[[#This Row],[Work Start TimeStamp]]-Table6[[#This Row],[Fault Start TimeStamp]])*24</f>
        <v>0</v>
      </c>
      <c r="P529" s="19">
        <f>(Table6[[#This Row],[Fault Clearance time]]-Table6[[#This Row],[Fault Start TimeStamp]])*24</f>
        <v>0.31666666666666554</v>
      </c>
      <c r="Q529" s="19">
        <f>(Table6[[#This Row],[Fault Clearance time]]-Table6[[#This Row],[Fault Start TimeStamp]])*24</f>
        <v>0.31666666666666554</v>
      </c>
      <c r="R529" s="79" t="s">
        <v>353</v>
      </c>
      <c r="S529" s="79" t="s">
        <v>339</v>
      </c>
      <c r="T529" s="298">
        <f>IFERROR(Table6[[#This Row],[Breakdown Time]]*Table6[[#This Row],[Plant Equivalent Weightage]],"")</f>
        <v>7.1969696969696713E-3</v>
      </c>
      <c r="U529" s="79" t="s">
        <v>416</v>
      </c>
      <c r="W529" s="79">
        <v>0.6</v>
      </c>
    </row>
    <row r="530" spans="1:23">
      <c r="A530" s="79">
        <f t="shared" si="8"/>
        <v>529</v>
      </c>
      <c r="B530" s="79">
        <f>YEAR(Table6[[#This Row],[Date]])+IF(MONTH(Table6[[#This Row],[Date]])&gt;=4,1,0)</f>
        <v>2026</v>
      </c>
      <c r="C530" s="79">
        <f>YEAR(Table6[[#This Row],[Date]])</f>
        <v>2025</v>
      </c>
      <c r="D530" s="79" t="s">
        <v>344</v>
      </c>
      <c r="E530" s="284">
        <f>Table6[[#This Row],[Date]]-DAY(Table6[[#This Row],[Date]])+1</f>
        <v>45778</v>
      </c>
      <c r="F530" s="285">
        <v>45793</v>
      </c>
      <c r="G530" s="79" t="s">
        <v>104</v>
      </c>
      <c r="H530" s="79" t="str">
        <f>IFERROR(_xlfn.XLOOKUP(Table6[[#This Row],[Affected Feeder ]],'Basic Data'!$A:$A,'Basic Data'!$B:$B),"")</f>
        <v>PWEPL</v>
      </c>
      <c r="I530" s="79" t="str">
        <f>IFERROR(_xlfn.XLOOKUP(Table6[[#This Row],[Affected Feeder ]],'Basic Data'!$A:$A,'Basic Data'!$C:$C),"")</f>
        <v>MSEDCL</v>
      </c>
      <c r="J530" s="295">
        <f>IFERROR(_xlfn.XLOOKUP(Table6[[#This Row],[Affected Feeder ]],'Basic Data'!$A:$A,'Basic Data'!$E:$E),"")</f>
        <v>2.2727272727272728E-2</v>
      </c>
      <c r="K530" s="296" t="s">
        <v>171</v>
      </c>
      <c r="L530" s="297">
        <v>0.65208333333333335</v>
      </c>
      <c r="M530" s="297">
        <v>0.65208333333333335</v>
      </c>
      <c r="N530" s="297">
        <v>0.66527777777777775</v>
      </c>
      <c r="O530" s="19">
        <f>(Table6[[#This Row],[Work Start TimeStamp]]-Table6[[#This Row],[Fault Start TimeStamp]])*24</f>
        <v>0</v>
      </c>
      <c r="P530" s="19">
        <f>(Table6[[#This Row],[Fault Clearance time]]-Table6[[#This Row],[Fault Start TimeStamp]])*24</f>
        <v>0.31666666666666554</v>
      </c>
      <c r="Q530" s="19">
        <f>(Table6[[#This Row],[Fault Clearance time]]-Table6[[#This Row],[Fault Start TimeStamp]])*24</f>
        <v>0.31666666666666554</v>
      </c>
      <c r="R530" s="79" t="s">
        <v>353</v>
      </c>
      <c r="S530" s="79" t="s">
        <v>339</v>
      </c>
      <c r="T530" s="298">
        <f>IFERROR(Table6[[#This Row],[Breakdown Time]]*Table6[[#This Row],[Plant Equivalent Weightage]],"")</f>
        <v>7.1969696969696713E-3</v>
      </c>
      <c r="U530" s="79" t="s">
        <v>416</v>
      </c>
      <c r="W530" s="79">
        <v>0.6</v>
      </c>
    </row>
    <row r="531" spans="1:23">
      <c r="A531" s="79">
        <f t="shared" si="8"/>
        <v>530</v>
      </c>
      <c r="B531" s="79">
        <f>YEAR(Table6[[#This Row],[Date]])+IF(MONTH(Table6[[#This Row],[Date]])&gt;=4,1,0)</f>
        <v>2026</v>
      </c>
      <c r="C531" s="79">
        <f>YEAR(Table6[[#This Row],[Date]])</f>
        <v>2025</v>
      </c>
      <c r="D531" s="79" t="s">
        <v>344</v>
      </c>
      <c r="E531" s="284">
        <f>Table6[[#This Row],[Date]]-DAY(Table6[[#This Row],[Date]])+1</f>
        <v>45778</v>
      </c>
      <c r="F531" s="285">
        <v>45793</v>
      </c>
      <c r="G531" s="79" t="s">
        <v>110</v>
      </c>
      <c r="H531" s="79" t="str">
        <f>IFERROR(_xlfn.XLOOKUP(Table6[[#This Row],[Affected Feeder ]],'Basic Data'!$A:$A,'Basic Data'!$B:$B),"")</f>
        <v>PWEPL</v>
      </c>
      <c r="I531" s="79" t="str">
        <f>IFERROR(_xlfn.XLOOKUP(Table6[[#This Row],[Affected Feeder ]],'Basic Data'!$A:$A,'Basic Data'!$C:$C),"")</f>
        <v>MSEDCL</v>
      </c>
      <c r="J531" s="295">
        <f>IFERROR(_xlfn.XLOOKUP(Table6[[#This Row],[Affected Feeder ]],'Basic Data'!$A:$A,'Basic Data'!$E:$E),"")</f>
        <v>2.2727272727272728E-2</v>
      </c>
      <c r="K531" s="296" t="s">
        <v>171</v>
      </c>
      <c r="L531" s="297">
        <v>0.65208333333333335</v>
      </c>
      <c r="M531" s="297">
        <v>0.65208333333333335</v>
      </c>
      <c r="N531" s="297">
        <v>0.66527777777777775</v>
      </c>
      <c r="O531" s="19">
        <f>(Table6[[#This Row],[Work Start TimeStamp]]-Table6[[#This Row],[Fault Start TimeStamp]])*24</f>
        <v>0</v>
      </c>
      <c r="P531" s="19">
        <f>(Table6[[#This Row],[Fault Clearance time]]-Table6[[#This Row],[Fault Start TimeStamp]])*24</f>
        <v>0.31666666666666554</v>
      </c>
      <c r="Q531" s="19">
        <f>(Table6[[#This Row],[Fault Clearance time]]-Table6[[#This Row],[Fault Start TimeStamp]])*24</f>
        <v>0.31666666666666554</v>
      </c>
      <c r="R531" s="79" t="s">
        <v>353</v>
      </c>
      <c r="S531" s="79" t="s">
        <v>339</v>
      </c>
      <c r="T531" s="298">
        <f>IFERROR(Table6[[#This Row],[Breakdown Time]]*Table6[[#This Row],[Plant Equivalent Weightage]],"")</f>
        <v>7.1969696969696713E-3</v>
      </c>
      <c r="U531" s="79" t="s">
        <v>416</v>
      </c>
      <c r="W531" s="79">
        <v>0.6</v>
      </c>
    </row>
    <row r="532" spans="1:23">
      <c r="A532" s="79">
        <f t="shared" si="8"/>
        <v>531</v>
      </c>
      <c r="B532" s="79">
        <f>YEAR(Table6[[#This Row],[Date]])+IF(MONTH(Table6[[#This Row],[Date]])&gt;=4,1,0)</f>
        <v>2026</v>
      </c>
      <c r="C532" s="79">
        <f>YEAR(Table6[[#This Row],[Date]])</f>
        <v>2025</v>
      </c>
      <c r="D532" s="79" t="s">
        <v>344</v>
      </c>
      <c r="E532" s="284">
        <f>Table6[[#This Row],[Date]]-DAY(Table6[[#This Row],[Date]])+1</f>
        <v>45778</v>
      </c>
      <c r="F532" s="285">
        <v>45793</v>
      </c>
      <c r="G532" s="79" t="s">
        <v>405</v>
      </c>
      <c r="H532" s="79" t="str">
        <f>IFERROR(_xlfn.XLOOKUP(Table6[[#This Row],[Affected Feeder ]],'Basic Data'!$A:$A,'Basic Data'!$B:$B),"")</f>
        <v>PWEPL</v>
      </c>
      <c r="I532" s="79" t="str">
        <f>IFERROR(_xlfn.XLOOKUP(Table6[[#This Row],[Affected Feeder ]],'Basic Data'!$A:$A,'Basic Data'!$C:$C),"")</f>
        <v>MSEDCL</v>
      </c>
      <c r="J532" s="295">
        <f>IFERROR(_xlfn.XLOOKUP(Table6[[#This Row],[Affected Feeder ]],'Basic Data'!$A:$A,'Basic Data'!$E:$E),"")</f>
        <v>0.20454545454545453</v>
      </c>
      <c r="K532" s="296" t="s">
        <v>815</v>
      </c>
      <c r="L532" s="297">
        <v>0.40972222222222227</v>
      </c>
      <c r="M532" s="297">
        <v>0.40972222222222227</v>
      </c>
      <c r="N532" s="297">
        <v>0.65972222222222221</v>
      </c>
      <c r="O532" s="19">
        <f>(Table6[[#This Row],[Work Start TimeStamp]]-Table6[[#This Row],[Fault Start TimeStamp]])*24</f>
        <v>0</v>
      </c>
      <c r="P532" s="19">
        <f>(Table6[[#This Row],[Fault Clearance time]]-Table6[[#This Row],[Fault Start TimeStamp]])*24</f>
        <v>5.9999999999999982</v>
      </c>
      <c r="Q532" s="19">
        <f>(Table6[[#This Row],[Fault Clearance time]]-Table6[[#This Row],[Fault Start TimeStamp]])*24</f>
        <v>5.9999999999999982</v>
      </c>
      <c r="R532" s="79" t="s">
        <v>816</v>
      </c>
      <c r="S532" s="79" t="s">
        <v>339</v>
      </c>
      <c r="T532" s="298">
        <f>IFERROR(Table6[[#This Row],[Breakdown Time]]*Table6[[#This Row],[Plant Equivalent Weightage]],"")</f>
        <v>1.2272727272727268</v>
      </c>
      <c r="U532" s="79" t="s">
        <v>416</v>
      </c>
      <c r="W532" s="79">
        <v>144</v>
      </c>
    </row>
    <row r="533" spans="1:23">
      <c r="A533" s="79">
        <f t="shared" si="8"/>
        <v>532</v>
      </c>
      <c r="B533" s="79">
        <f>YEAR(Table6[[#This Row],[Date]])+IF(MONTH(Table6[[#This Row],[Date]])&gt;=4,1,0)</f>
        <v>2026</v>
      </c>
      <c r="C533" s="79">
        <f>YEAR(Table6[[#This Row],[Date]])</f>
        <v>2025</v>
      </c>
      <c r="D533" s="79" t="s">
        <v>344</v>
      </c>
      <c r="E533" s="284">
        <f>Table6[[#This Row],[Date]]-DAY(Table6[[#This Row],[Date]])+1</f>
        <v>45778</v>
      </c>
      <c r="F533" s="285">
        <v>45793</v>
      </c>
      <c r="G533" s="79" t="s">
        <v>109</v>
      </c>
      <c r="H533" s="79" t="str">
        <f>IFERROR(_xlfn.XLOOKUP(Table6[[#This Row],[Affected Feeder ]],'Basic Data'!$A:$A,'Basic Data'!$B:$B),"")</f>
        <v>PWEPL</v>
      </c>
      <c r="I533" s="79" t="str">
        <f>IFERROR(_xlfn.XLOOKUP(Table6[[#This Row],[Affected Feeder ]],'Basic Data'!$A:$A,'Basic Data'!$C:$C),"")</f>
        <v>MSEDCL</v>
      </c>
      <c r="J533" s="295">
        <f>IFERROR(_xlfn.XLOOKUP(Table6[[#This Row],[Affected Feeder ]],'Basic Data'!$A:$A,'Basic Data'!$E:$E),"")</f>
        <v>2.2727272727272728E-2</v>
      </c>
      <c r="K533" s="296" t="s">
        <v>171</v>
      </c>
      <c r="L533" s="297">
        <v>0.65972222222222221</v>
      </c>
      <c r="M533" s="297">
        <v>0.65972222222222221</v>
      </c>
      <c r="N533" s="297">
        <v>0.66805555555555562</v>
      </c>
      <c r="O533" s="19">
        <f>(Table6[[#This Row],[Work Start TimeStamp]]-Table6[[#This Row],[Fault Start TimeStamp]])*24</f>
        <v>0</v>
      </c>
      <c r="P533" s="19">
        <f>(Table6[[#This Row],[Fault Clearance time]]-Table6[[#This Row],[Fault Start TimeStamp]])*24</f>
        <v>0.20000000000000195</v>
      </c>
      <c r="Q533" s="19">
        <f>(Table6[[#This Row],[Fault Clearance time]]-Table6[[#This Row],[Fault Start TimeStamp]])*24</f>
        <v>0.20000000000000195</v>
      </c>
      <c r="R533" s="79" t="s">
        <v>353</v>
      </c>
      <c r="S533" s="79" t="s">
        <v>339</v>
      </c>
      <c r="T533" s="298">
        <f>IFERROR(Table6[[#This Row],[Breakdown Time]]*Table6[[#This Row],[Plant Equivalent Weightage]],"")</f>
        <v>4.5454545454545903E-3</v>
      </c>
      <c r="U533" s="79" t="s">
        <v>416</v>
      </c>
      <c r="W533" s="79">
        <v>0.5</v>
      </c>
    </row>
    <row r="534" spans="1:23">
      <c r="A534" s="79">
        <f t="shared" si="8"/>
        <v>533</v>
      </c>
      <c r="B534" s="79">
        <f>YEAR(Table6[[#This Row],[Date]])+IF(MONTH(Table6[[#This Row],[Date]])&gt;=4,1,0)</f>
        <v>2026</v>
      </c>
      <c r="C534" s="79">
        <f>YEAR(Table6[[#This Row],[Date]])</f>
        <v>2025</v>
      </c>
      <c r="D534" s="79" t="s">
        <v>344</v>
      </c>
      <c r="E534" s="284">
        <f>Table6[[#This Row],[Date]]-DAY(Table6[[#This Row],[Date]])+1</f>
        <v>45778</v>
      </c>
      <c r="F534" s="285">
        <v>45793</v>
      </c>
      <c r="G534" s="79" t="s">
        <v>111</v>
      </c>
      <c r="H534" s="79" t="str">
        <f>IFERROR(_xlfn.XLOOKUP(Table6[[#This Row],[Affected Feeder ]],'Basic Data'!$A:$A,'Basic Data'!$B:$B),"")</f>
        <v>PWEPL</v>
      </c>
      <c r="I534" s="79" t="str">
        <f>IFERROR(_xlfn.XLOOKUP(Table6[[#This Row],[Affected Feeder ]],'Basic Data'!$A:$A,'Basic Data'!$C:$C),"")</f>
        <v>MSEDCL</v>
      </c>
      <c r="J534" s="295">
        <f>IFERROR(_xlfn.XLOOKUP(Table6[[#This Row],[Affected Feeder ]],'Basic Data'!$A:$A,'Basic Data'!$E:$E),"")</f>
        <v>2.2727272727272728E-2</v>
      </c>
      <c r="K534" s="296" t="s">
        <v>171</v>
      </c>
      <c r="L534" s="297">
        <v>0.65972222222222221</v>
      </c>
      <c r="M534" s="297">
        <v>0.65972222222222221</v>
      </c>
      <c r="N534" s="297">
        <v>0.67222222222222217</v>
      </c>
      <c r="O534" s="19">
        <f>(Table6[[#This Row],[Work Start TimeStamp]]-Table6[[#This Row],[Fault Start TimeStamp]])*24</f>
        <v>0</v>
      </c>
      <c r="P534" s="19">
        <f>(Table6[[#This Row],[Fault Clearance time]]-Table6[[#This Row],[Fault Start TimeStamp]])*24</f>
        <v>0.29999999999999893</v>
      </c>
      <c r="Q534" s="19">
        <f>(Table6[[#This Row],[Fault Clearance time]]-Table6[[#This Row],[Fault Start TimeStamp]])*24</f>
        <v>0.29999999999999893</v>
      </c>
      <c r="R534" s="79" t="s">
        <v>353</v>
      </c>
      <c r="S534" s="79" t="s">
        <v>339</v>
      </c>
      <c r="T534" s="298">
        <f>IFERROR(Table6[[#This Row],[Breakdown Time]]*Table6[[#This Row],[Plant Equivalent Weightage]],"")</f>
        <v>6.8181818181817944E-3</v>
      </c>
      <c r="U534" s="79" t="s">
        <v>416</v>
      </c>
      <c r="W534" s="79">
        <v>0.8</v>
      </c>
    </row>
    <row r="535" spans="1:23">
      <c r="A535" s="79">
        <f t="shared" si="8"/>
        <v>534</v>
      </c>
      <c r="B535" s="79">
        <f>YEAR(Table6[[#This Row],[Date]])+IF(MONTH(Table6[[#This Row],[Date]])&gt;=4,1,0)</f>
        <v>2026</v>
      </c>
      <c r="C535" s="79">
        <f>YEAR(Table6[[#This Row],[Date]])</f>
        <v>2025</v>
      </c>
      <c r="D535" s="79" t="s">
        <v>344</v>
      </c>
      <c r="E535" s="284">
        <f>Table6[[#This Row],[Date]]-DAY(Table6[[#This Row],[Date]])+1</f>
        <v>45778</v>
      </c>
      <c r="F535" s="285">
        <v>45793</v>
      </c>
      <c r="G535" s="79" t="s">
        <v>112</v>
      </c>
      <c r="H535" s="79" t="str">
        <f>IFERROR(_xlfn.XLOOKUP(Table6[[#This Row],[Affected Feeder ]],'Basic Data'!$A:$A,'Basic Data'!$B:$B),"")</f>
        <v>PWEPL</v>
      </c>
      <c r="I535" s="79" t="str">
        <f>IFERROR(_xlfn.XLOOKUP(Table6[[#This Row],[Affected Feeder ]],'Basic Data'!$A:$A,'Basic Data'!$C:$C),"")</f>
        <v>MSEDCL</v>
      </c>
      <c r="J535" s="295">
        <f>IFERROR(_xlfn.XLOOKUP(Table6[[#This Row],[Affected Feeder ]],'Basic Data'!$A:$A,'Basic Data'!$E:$E),"")</f>
        <v>2.2727272727272728E-2</v>
      </c>
      <c r="K535" s="296" t="s">
        <v>171</v>
      </c>
      <c r="L535" s="297">
        <v>0.65972222222222221</v>
      </c>
      <c r="M535" s="297">
        <v>0.65972222222222221</v>
      </c>
      <c r="N535" s="297">
        <v>0.67152777777777783</v>
      </c>
      <c r="O535" s="19">
        <f>(Table6[[#This Row],[Work Start TimeStamp]]-Table6[[#This Row],[Fault Start TimeStamp]])*24</f>
        <v>0</v>
      </c>
      <c r="P535" s="19">
        <f>(Table6[[#This Row],[Fault Clearance time]]-Table6[[#This Row],[Fault Start TimeStamp]])*24</f>
        <v>0.28333333333333499</v>
      </c>
      <c r="Q535" s="19">
        <f>(Table6[[#This Row],[Fault Clearance time]]-Table6[[#This Row],[Fault Start TimeStamp]])*24</f>
        <v>0.28333333333333499</v>
      </c>
      <c r="R535" s="79" t="s">
        <v>353</v>
      </c>
      <c r="S535" s="79" t="s">
        <v>339</v>
      </c>
      <c r="T535" s="298">
        <f>IFERROR(Table6[[#This Row],[Breakdown Time]]*Table6[[#This Row],[Plant Equivalent Weightage]],"")</f>
        <v>6.4393939393939774E-3</v>
      </c>
      <c r="U535" s="79" t="s">
        <v>416</v>
      </c>
      <c r="W535" s="79">
        <v>0.7</v>
      </c>
    </row>
    <row r="536" spans="1:23">
      <c r="A536" s="79">
        <f t="shared" si="8"/>
        <v>535</v>
      </c>
      <c r="B536" s="79">
        <f>YEAR(Table6[[#This Row],[Date]])+IF(MONTH(Table6[[#This Row],[Date]])&gt;=4,1,0)</f>
        <v>2026</v>
      </c>
      <c r="C536" s="79">
        <f>YEAR(Table6[[#This Row],[Date]])</f>
        <v>2025</v>
      </c>
      <c r="D536" s="79" t="s">
        <v>344</v>
      </c>
      <c r="E536" s="284">
        <f>Table6[[#This Row],[Date]]-DAY(Table6[[#This Row],[Date]])+1</f>
        <v>45778</v>
      </c>
      <c r="F536" s="285">
        <v>45793</v>
      </c>
      <c r="G536" s="79" t="s">
        <v>113</v>
      </c>
      <c r="H536" s="79" t="str">
        <f>IFERROR(_xlfn.XLOOKUP(Table6[[#This Row],[Affected Feeder ]],'Basic Data'!$A:$A,'Basic Data'!$B:$B),"")</f>
        <v>PWEPL</v>
      </c>
      <c r="I536" s="79" t="str">
        <f>IFERROR(_xlfn.XLOOKUP(Table6[[#This Row],[Affected Feeder ]],'Basic Data'!$A:$A,'Basic Data'!$C:$C),"")</f>
        <v>MSEDCL</v>
      </c>
      <c r="J536" s="295">
        <f>IFERROR(_xlfn.XLOOKUP(Table6[[#This Row],[Affected Feeder ]],'Basic Data'!$A:$A,'Basic Data'!$E:$E),"")</f>
        <v>2.2727272727272728E-2</v>
      </c>
      <c r="K536" s="296" t="s">
        <v>171</v>
      </c>
      <c r="L536" s="297">
        <v>0.65972222222222221</v>
      </c>
      <c r="M536" s="297">
        <v>0.65972222222222221</v>
      </c>
      <c r="N536" s="297">
        <v>0.66666666666666663</v>
      </c>
      <c r="O536" s="19">
        <f>(Table6[[#This Row],[Work Start TimeStamp]]-Table6[[#This Row],[Fault Start TimeStamp]])*24</f>
        <v>0</v>
      </c>
      <c r="P536" s="19">
        <f>(Table6[[#This Row],[Fault Clearance time]]-Table6[[#This Row],[Fault Start TimeStamp]])*24</f>
        <v>0.16666666666666607</v>
      </c>
      <c r="Q536" s="19">
        <f>(Table6[[#This Row],[Fault Clearance time]]-Table6[[#This Row],[Fault Start TimeStamp]])*24</f>
        <v>0.16666666666666607</v>
      </c>
      <c r="R536" s="79" t="s">
        <v>353</v>
      </c>
      <c r="S536" s="79" t="s">
        <v>339</v>
      </c>
      <c r="T536" s="298">
        <f>IFERROR(Table6[[#This Row],[Breakdown Time]]*Table6[[#This Row],[Plant Equivalent Weightage]],"")</f>
        <v>3.7878787878787745E-3</v>
      </c>
      <c r="U536" s="79" t="s">
        <v>416</v>
      </c>
      <c r="W536" s="79">
        <v>0.4</v>
      </c>
    </row>
    <row r="537" spans="1:23">
      <c r="A537" s="79">
        <f t="shared" si="8"/>
        <v>536</v>
      </c>
      <c r="B537" s="79">
        <f>YEAR(Table6[[#This Row],[Date]])+IF(MONTH(Table6[[#This Row],[Date]])&gt;=4,1,0)</f>
        <v>2026</v>
      </c>
      <c r="C537" s="79">
        <f>YEAR(Table6[[#This Row],[Date]])</f>
        <v>2025</v>
      </c>
      <c r="D537" s="79" t="s">
        <v>344</v>
      </c>
      <c r="E537" s="284">
        <f>Table6[[#This Row],[Date]]-DAY(Table6[[#This Row],[Date]])+1</f>
        <v>45778</v>
      </c>
      <c r="F537" s="285">
        <v>45793</v>
      </c>
      <c r="G537" s="79" t="s">
        <v>114</v>
      </c>
      <c r="H537" s="79" t="str">
        <f>IFERROR(_xlfn.XLOOKUP(Table6[[#This Row],[Affected Feeder ]],'Basic Data'!$A:$A,'Basic Data'!$B:$B),"")</f>
        <v>PWEPL</v>
      </c>
      <c r="I537" s="79" t="str">
        <f>IFERROR(_xlfn.XLOOKUP(Table6[[#This Row],[Affected Feeder ]],'Basic Data'!$A:$A,'Basic Data'!$C:$C),"")</f>
        <v>MSEDCL</v>
      </c>
      <c r="J537" s="295">
        <f>IFERROR(_xlfn.XLOOKUP(Table6[[#This Row],[Affected Feeder ]],'Basic Data'!$A:$A,'Basic Data'!$E:$E),"")</f>
        <v>2.2727272727272728E-2</v>
      </c>
      <c r="K537" s="296" t="s">
        <v>171</v>
      </c>
      <c r="L537" s="297">
        <v>0.65972222222222221</v>
      </c>
      <c r="M537" s="297">
        <v>0.65972222222222221</v>
      </c>
      <c r="N537" s="297">
        <v>0.67152777777777783</v>
      </c>
      <c r="O537" s="19">
        <f>(Table6[[#This Row],[Work Start TimeStamp]]-Table6[[#This Row],[Fault Start TimeStamp]])*24</f>
        <v>0</v>
      </c>
      <c r="P537" s="19">
        <f>(Table6[[#This Row],[Fault Clearance time]]-Table6[[#This Row],[Fault Start TimeStamp]])*24</f>
        <v>0.28333333333333499</v>
      </c>
      <c r="Q537" s="19">
        <f>(Table6[[#This Row],[Fault Clearance time]]-Table6[[#This Row],[Fault Start TimeStamp]])*24</f>
        <v>0.28333333333333499</v>
      </c>
      <c r="R537" s="79" t="s">
        <v>353</v>
      </c>
      <c r="S537" s="79" t="s">
        <v>339</v>
      </c>
      <c r="T537" s="298">
        <f>IFERROR(Table6[[#This Row],[Breakdown Time]]*Table6[[#This Row],[Plant Equivalent Weightage]],"")</f>
        <v>6.4393939393939774E-3</v>
      </c>
      <c r="U537" s="79" t="s">
        <v>416</v>
      </c>
      <c r="W537" s="79">
        <v>0.7</v>
      </c>
    </row>
    <row r="538" spans="1:23">
      <c r="A538" s="79">
        <f t="shared" si="8"/>
        <v>537</v>
      </c>
      <c r="B538" s="79">
        <f>YEAR(Table6[[#This Row],[Date]])+IF(MONTH(Table6[[#This Row],[Date]])&gt;=4,1,0)</f>
        <v>2026</v>
      </c>
      <c r="C538" s="79">
        <f>YEAR(Table6[[#This Row],[Date]])</f>
        <v>2025</v>
      </c>
      <c r="D538" s="79" t="s">
        <v>344</v>
      </c>
      <c r="E538" s="284">
        <f>Table6[[#This Row],[Date]]-DAY(Table6[[#This Row],[Date]])+1</f>
        <v>45778</v>
      </c>
      <c r="F538" s="285">
        <v>45793</v>
      </c>
      <c r="G538" s="79" t="s">
        <v>80</v>
      </c>
      <c r="H538" s="79" t="str">
        <f>IFERROR(_xlfn.XLOOKUP(Table6[[#This Row],[Affected Feeder ]],'Basic Data'!$A:$A,'Basic Data'!$B:$B),"")</f>
        <v>PWEPL</v>
      </c>
      <c r="I538" s="79" t="str">
        <f>IFERROR(_xlfn.XLOOKUP(Table6[[#This Row],[Affected Feeder ]],'Basic Data'!$A:$A,'Basic Data'!$C:$C),"")</f>
        <v>MSEDCL</v>
      </c>
      <c r="J538" s="295">
        <f>IFERROR(_xlfn.XLOOKUP(Table6[[#This Row],[Affected Feeder ]],'Basic Data'!$A:$A,'Basic Data'!$E:$E),"")</f>
        <v>2.2727272727272728E-2</v>
      </c>
      <c r="K538" s="296" t="s">
        <v>171</v>
      </c>
      <c r="L538" s="297">
        <v>0.65972222222222221</v>
      </c>
      <c r="M538" s="297">
        <v>0.65972222222222221</v>
      </c>
      <c r="N538" s="297">
        <v>0.67152777777777783</v>
      </c>
      <c r="O538" s="19">
        <f>(Table6[[#This Row],[Work Start TimeStamp]]-Table6[[#This Row],[Fault Start TimeStamp]])*24</f>
        <v>0</v>
      </c>
      <c r="P538" s="19">
        <f>(Table6[[#This Row],[Fault Clearance time]]-Table6[[#This Row],[Fault Start TimeStamp]])*24</f>
        <v>0.28333333333333499</v>
      </c>
      <c r="Q538" s="19">
        <f>(Table6[[#This Row],[Fault Clearance time]]-Table6[[#This Row],[Fault Start TimeStamp]])*24</f>
        <v>0.28333333333333499</v>
      </c>
      <c r="R538" s="79" t="s">
        <v>353</v>
      </c>
      <c r="S538" s="79" t="s">
        <v>339</v>
      </c>
      <c r="T538" s="298">
        <f>IFERROR(Table6[[#This Row],[Breakdown Time]]*Table6[[#This Row],[Plant Equivalent Weightage]],"")</f>
        <v>6.4393939393939774E-3</v>
      </c>
      <c r="U538" s="79" t="s">
        <v>416</v>
      </c>
      <c r="W538" s="79">
        <v>0.7</v>
      </c>
    </row>
    <row r="539" spans="1:23">
      <c r="A539" s="79">
        <f t="shared" si="8"/>
        <v>538</v>
      </c>
      <c r="B539" s="79">
        <f>YEAR(Table6[[#This Row],[Date]])+IF(MONTH(Table6[[#This Row],[Date]])&gt;=4,1,0)</f>
        <v>2026</v>
      </c>
      <c r="C539" s="79">
        <f>YEAR(Table6[[#This Row],[Date]])</f>
        <v>2025</v>
      </c>
      <c r="D539" s="79" t="s">
        <v>344</v>
      </c>
      <c r="E539" s="284">
        <f>Table6[[#This Row],[Date]]-DAY(Table6[[#This Row],[Date]])+1</f>
        <v>45778</v>
      </c>
      <c r="F539" s="285">
        <v>45793</v>
      </c>
      <c r="G539" s="79" t="s">
        <v>81</v>
      </c>
      <c r="H539" s="79" t="str">
        <f>IFERROR(_xlfn.XLOOKUP(Table6[[#This Row],[Affected Feeder ]],'Basic Data'!$A:$A,'Basic Data'!$B:$B),"")</f>
        <v>PWEPL</v>
      </c>
      <c r="I539" s="79" t="str">
        <f>IFERROR(_xlfn.XLOOKUP(Table6[[#This Row],[Affected Feeder ]],'Basic Data'!$A:$A,'Basic Data'!$C:$C),"")</f>
        <v>MSEDCL</v>
      </c>
      <c r="J539" s="295">
        <f>IFERROR(_xlfn.XLOOKUP(Table6[[#This Row],[Affected Feeder ]],'Basic Data'!$A:$A,'Basic Data'!$E:$E),"")</f>
        <v>2.2727272727272728E-2</v>
      </c>
      <c r="K539" s="296" t="s">
        <v>171</v>
      </c>
      <c r="L539" s="297">
        <v>0.65972222222222221</v>
      </c>
      <c r="M539" s="297">
        <v>0.65972222222222221</v>
      </c>
      <c r="N539" s="297">
        <v>0.67152777777777783</v>
      </c>
      <c r="O539" s="19">
        <f>(Table6[[#This Row],[Work Start TimeStamp]]-Table6[[#This Row],[Fault Start TimeStamp]])*24</f>
        <v>0</v>
      </c>
      <c r="P539" s="19">
        <f>(Table6[[#This Row],[Fault Clearance time]]-Table6[[#This Row],[Fault Start TimeStamp]])*24</f>
        <v>0.28333333333333499</v>
      </c>
      <c r="Q539" s="19">
        <f>(Table6[[#This Row],[Fault Clearance time]]-Table6[[#This Row],[Fault Start TimeStamp]])*24</f>
        <v>0.28333333333333499</v>
      </c>
      <c r="R539" s="79" t="s">
        <v>353</v>
      </c>
      <c r="S539" s="79" t="s">
        <v>339</v>
      </c>
      <c r="T539" s="298">
        <f>IFERROR(Table6[[#This Row],[Breakdown Time]]*Table6[[#This Row],[Plant Equivalent Weightage]],"")</f>
        <v>6.4393939393939774E-3</v>
      </c>
      <c r="U539" s="79" t="s">
        <v>416</v>
      </c>
      <c r="W539" s="79">
        <v>0.7</v>
      </c>
    </row>
    <row r="540" spans="1:23">
      <c r="A540" s="79">
        <f t="shared" si="8"/>
        <v>539</v>
      </c>
      <c r="B540" s="79">
        <f>YEAR(Table6[[#This Row],[Date]])+IF(MONTH(Table6[[#This Row],[Date]])&gt;=4,1,0)</f>
        <v>2026</v>
      </c>
      <c r="C540" s="79">
        <f>YEAR(Table6[[#This Row],[Date]])</f>
        <v>2025</v>
      </c>
      <c r="D540" s="79" t="s">
        <v>344</v>
      </c>
      <c r="E540" s="284">
        <f>Table6[[#This Row],[Date]]-DAY(Table6[[#This Row],[Date]])+1</f>
        <v>45778</v>
      </c>
      <c r="F540" s="285">
        <v>45793</v>
      </c>
      <c r="G540" s="79" t="s">
        <v>107</v>
      </c>
      <c r="H540" s="79" t="str">
        <f>IFERROR(_xlfn.XLOOKUP(Table6[[#This Row],[Affected Feeder ]],'Basic Data'!$A:$A,'Basic Data'!$B:$B),"")</f>
        <v>PWEPL</v>
      </c>
      <c r="I540" s="79" t="str">
        <f>IFERROR(_xlfn.XLOOKUP(Table6[[#This Row],[Affected Feeder ]],'Basic Data'!$A:$A,'Basic Data'!$C:$C),"")</f>
        <v>MSEDCL</v>
      </c>
      <c r="J540" s="295">
        <f>IFERROR(_xlfn.XLOOKUP(Table6[[#This Row],[Affected Feeder ]],'Basic Data'!$A:$A,'Basic Data'!$E:$E),"")</f>
        <v>2.2727272727272728E-2</v>
      </c>
      <c r="K540" s="296" t="s">
        <v>171</v>
      </c>
      <c r="L540" s="297">
        <v>0.65972222222222221</v>
      </c>
      <c r="M540" s="297">
        <v>0.65972222222222221</v>
      </c>
      <c r="N540" s="297">
        <v>0.67361111111111116</v>
      </c>
      <c r="O540" s="19">
        <f>(Table6[[#This Row],[Work Start TimeStamp]]-Table6[[#This Row],[Fault Start TimeStamp]])*24</f>
        <v>0</v>
      </c>
      <c r="P540" s="19">
        <f>(Table6[[#This Row],[Fault Clearance time]]-Table6[[#This Row],[Fault Start TimeStamp]])*24</f>
        <v>0.33333333333333481</v>
      </c>
      <c r="Q540" s="19">
        <f>(Table6[[#This Row],[Fault Clearance time]]-Table6[[#This Row],[Fault Start TimeStamp]])*24</f>
        <v>0.33333333333333481</v>
      </c>
      <c r="R540" s="79" t="s">
        <v>353</v>
      </c>
      <c r="S540" s="79" t="s">
        <v>339</v>
      </c>
      <c r="T540" s="298">
        <f>IFERROR(Table6[[#This Row],[Breakdown Time]]*Table6[[#This Row],[Plant Equivalent Weightage]],"")</f>
        <v>7.5757575757576098E-3</v>
      </c>
      <c r="U540" s="79" t="s">
        <v>416</v>
      </c>
      <c r="W540" s="79">
        <v>0.9</v>
      </c>
    </row>
    <row r="541" spans="1:23">
      <c r="A541" s="79">
        <f t="shared" si="8"/>
        <v>540</v>
      </c>
      <c r="B541" s="79">
        <f>YEAR(Table6[[#This Row],[Date]])+IF(MONTH(Table6[[#This Row],[Date]])&gt;=4,1,0)</f>
        <v>2026</v>
      </c>
      <c r="C541" s="79">
        <f>YEAR(Table6[[#This Row],[Date]])</f>
        <v>2025</v>
      </c>
      <c r="D541" s="79" t="s">
        <v>344</v>
      </c>
      <c r="E541" s="284">
        <f>Table6[[#This Row],[Date]]-DAY(Table6[[#This Row],[Date]])+1</f>
        <v>45778</v>
      </c>
      <c r="F541" s="285">
        <v>45793</v>
      </c>
      <c r="G541" s="79" t="s">
        <v>108</v>
      </c>
      <c r="H541" s="79" t="str">
        <f>IFERROR(_xlfn.XLOOKUP(Table6[[#This Row],[Affected Feeder ]],'Basic Data'!$A:$A,'Basic Data'!$B:$B),"")</f>
        <v>PWEPL</v>
      </c>
      <c r="I541" s="79" t="str">
        <f>IFERROR(_xlfn.XLOOKUP(Table6[[#This Row],[Affected Feeder ]],'Basic Data'!$A:$A,'Basic Data'!$C:$C),"")</f>
        <v>MSEDCL</v>
      </c>
      <c r="J541" s="295">
        <f>IFERROR(_xlfn.XLOOKUP(Table6[[#This Row],[Affected Feeder ]],'Basic Data'!$A:$A,'Basic Data'!$E:$E),"")</f>
        <v>2.2727272727272728E-2</v>
      </c>
      <c r="K541" s="296" t="s">
        <v>171</v>
      </c>
      <c r="L541" s="297">
        <v>0.65972222222222221</v>
      </c>
      <c r="M541" s="297">
        <v>0.65972222222222221</v>
      </c>
      <c r="N541" s="297">
        <v>0.67152777777777783</v>
      </c>
      <c r="O541" s="19">
        <f>(Table6[[#This Row],[Work Start TimeStamp]]-Table6[[#This Row],[Fault Start TimeStamp]])*24</f>
        <v>0</v>
      </c>
      <c r="P541" s="19">
        <f>(Table6[[#This Row],[Fault Clearance time]]-Table6[[#This Row],[Fault Start TimeStamp]])*24</f>
        <v>0.28333333333333499</v>
      </c>
      <c r="Q541" s="19">
        <f>(Table6[[#This Row],[Fault Clearance time]]-Table6[[#This Row],[Fault Start TimeStamp]])*24</f>
        <v>0.28333333333333499</v>
      </c>
      <c r="R541" s="79" t="s">
        <v>353</v>
      </c>
      <c r="S541" s="79" t="s">
        <v>339</v>
      </c>
      <c r="T541" s="298">
        <f>IFERROR(Table6[[#This Row],[Breakdown Time]]*Table6[[#This Row],[Plant Equivalent Weightage]],"")</f>
        <v>6.4393939393939774E-3</v>
      </c>
      <c r="U541" s="79" t="s">
        <v>416</v>
      </c>
      <c r="W541" s="79">
        <v>0.7</v>
      </c>
    </row>
    <row r="542" spans="1:23">
      <c r="A542" s="79">
        <f t="shared" si="8"/>
        <v>541</v>
      </c>
      <c r="B542" s="79">
        <f>YEAR(Table6[[#This Row],[Date]])+IF(MONTH(Table6[[#This Row],[Date]])&gt;=4,1,0)</f>
        <v>2026</v>
      </c>
      <c r="C542" s="79">
        <f>YEAR(Table6[[#This Row],[Date]])</f>
        <v>2025</v>
      </c>
      <c r="D542" s="79" t="s">
        <v>344</v>
      </c>
      <c r="E542" s="284">
        <f>Table6[[#This Row],[Date]]-DAY(Table6[[#This Row],[Date]])+1</f>
        <v>45778</v>
      </c>
      <c r="F542" s="285">
        <v>45793</v>
      </c>
      <c r="G542" s="79" t="s">
        <v>406</v>
      </c>
      <c r="H542" s="79" t="str">
        <f>IFERROR(_xlfn.XLOOKUP(Table6[[#This Row],[Affected Feeder ]],'Basic Data'!$A:$A,'Basic Data'!$B:$B),"")</f>
        <v>PWEPL</v>
      </c>
      <c r="I542" s="79" t="str">
        <f>IFERROR(_xlfn.XLOOKUP(Table6[[#This Row],[Affected Feeder ]],'Basic Data'!$A:$A,'Basic Data'!$C:$C),"")</f>
        <v>MSEDCL</v>
      </c>
      <c r="J542" s="295">
        <f>IFERROR(_xlfn.XLOOKUP(Table6[[#This Row],[Affected Feeder ]],'Basic Data'!$A:$A,'Basic Data'!$E:$E),"")</f>
        <v>0.29545454545454541</v>
      </c>
      <c r="K542" s="296" t="s">
        <v>815</v>
      </c>
      <c r="L542" s="297">
        <v>0.40972222222222227</v>
      </c>
      <c r="M542" s="297">
        <v>0.40972222222222227</v>
      </c>
      <c r="N542" s="297">
        <v>0.65972222222222221</v>
      </c>
      <c r="O542" s="19">
        <f>(Table6[[#This Row],[Work Start TimeStamp]]-Table6[[#This Row],[Fault Start TimeStamp]])*24</f>
        <v>0</v>
      </c>
      <c r="P542" s="19">
        <f>(Table6[[#This Row],[Fault Clearance time]]-Table6[[#This Row],[Fault Start TimeStamp]])*24</f>
        <v>5.9999999999999982</v>
      </c>
      <c r="Q542" s="19">
        <f>(Table6[[#This Row],[Fault Clearance time]]-Table6[[#This Row],[Fault Start TimeStamp]])*24</f>
        <v>5.9999999999999982</v>
      </c>
      <c r="R542" s="79" t="s">
        <v>816</v>
      </c>
      <c r="S542" s="79" t="s">
        <v>339</v>
      </c>
      <c r="T542" s="298">
        <f>IFERROR(Table6[[#This Row],[Breakdown Time]]*Table6[[#This Row],[Plant Equivalent Weightage]],"")</f>
        <v>1.772727272727272</v>
      </c>
      <c r="U542" s="79" t="s">
        <v>416</v>
      </c>
      <c r="W542" s="79">
        <v>151</v>
      </c>
    </row>
    <row r="543" spans="1:23">
      <c r="A543" s="79">
        <f t="shared" si="8"/>
        <v>542</v>
      </c>
      <c r="B543" s="79">
        <f>YEAR(Table6[[#This Row],[Date]])+IF(MONTH(Table6[[#This Row],[Date]])&gt;=4,1,0)</f>
        <v>2026</v>
      </c>
      <c r="C543" s="79">
        <f>YEAR(Table6[[#This Row],[Date]])</f>
        <v>2025</v>
      </c>
      <c r="D543" s="79" t="s">
        <v>344</v>
      </c>
      <c r="E543" s="284">
        <f>Table6[[#This Row],[Date]]-DAY(Table6[[#This Row],[Date]])+1</f>
        <v>45778</v>
      </c>
      <c r="F543" s="285">
        <v>45793</v>
      </c>
      <c r="G543" s="79" t="s">
        <v>76</v>
      </c>
      <c r="H543" s="79" t="str">
        <f>IFERROR(_xlfn.XLOOKUP(Table6[[#This Row],[Affected Feeder ]],'Basic Data'!$A:$A,'Basic Data'!$B:$B),"")</f>
        <v>PWEPL</v>
      </c>
      <c r="I543" s="79" t="str">
        <f>IFERROR(_xlfn.XLOOKUP(Table6[[#This Row],[Affected Feeder ]],'Basic Data'!$A:$A,'Basic Data'!$C:$C),"")</f>
        <v>MSEDCL</v>
      </c>
      <c r="J543" s="295">
        <f>IFERROR(_xlfn.XLOOKUP(Table6[[#This Row],[Affected Feeder ]],'Basic Data'!$A:$A,'Basic Data'!$E:$E),"")</f>
        <v>2.2727272727272728E-2</v>
      </c>
      <c r="K543" s="296" t="s">
        <v>171</v>
      </c>
      <c r="L543" s="297">
        <v>0.65972222222222221</v>
      </c>
      <c r="M543" s="297">
        <v>0.65972222222222221</v>
      </c>
      <c r="N543" s="297">
        <v>0.67013888888888884</v>
      </c>
      <c r="O543" s="19">
        <f>(Table6[[#This Row],[Work Start TimeStamp]]-Table6[[#This Row],[Fault Start TimeStamp]])*24</f>
        <v>0</v>
      </c>
      <c r="P543" s="19">
        <f>(Table6[[#This Row],[Fault Clearance time]]-Table6[[#This Row],[Fault Start TimeStamp]])*24</f>
        <v>0.24999999999999911</v>
      </c>
      <c r="Q543" s="19">
        <f>(Table6[[#This Row],[Fault Clearance time]]-Table6[[#This Row],[Fault Start TimeStamp]])*24</f>
        <v>0.24999999999999911</v>
      </c>
      <c r="R543" s="79" t="s">
        <v>353</v>
      </c>
      <c r="S543" s="79" t="s">
        <v>339</v>
      </c>
      <c r="T543" s="298">
        <f>IFERROR(Table6[[#This Row],[Breakdown Time]]*Table6[[#This Row],[Plant Equivalent Weightage]],"")</f>
        <v>5.681818181818162E-3</v>
      </c>
      <c r="U543" s="79" t="s">
        <v>416</v>
      </c>
      <c r="W543" s="79">
        <v>0.5</v>
      </c>
    </row>
    <row r="544" spans="1:23">
      <c r="A544" s="79">
        <f t="shared" si="8"/>
        <v>543</v>
      </c>
      <c r="B544" s="79">
        <f>YEAR(Table6[[#This Row],[Date]])+IF(MONTH(Table6[[#This Row],[Date]])&gt;=4,1,0)</f>
        <v>2026</v>
      </c>
      <c r="C544" s="79">
        <f>YEAR(Table6[[#This Row],[Date]])</f>
        <v>2025</v>
      </c>
      <c r="D544" s="79" t="s">
        <v>344</v>
      </c>
      <c r="E544" s="284">
        <f>Table6[[#This Row],[Date]]-DAY(Table6[[#This Row],[Date]])+1</f>
        <v>45778</v>
      </c>
      <c r="F544" s="285">
        <v>45793</v>
      </c>
      <c r="G544" s="79" t="s">
        <v>77</v>
      </c>
      <c r="H544" s="79" t="str">
        <f>IFERROR(_xlfn.XLOOKUP(Table6[[#This Row],[Affected Feeder ]],'Basic Data'!$A:$A,'Basic Data'!$B:$B),"")</f>
        <v>PWEPL</v>
      </c>
      <c r="I544" s="79" t="str">
        <f>IFERROR(_xlfn.XLOOKUP(Table6[[#This Row],[Affected Feeder ]],'Basic Data'!$A:$A,'Basic Data'!$C:$C),"")</f>
        <v>MSEDCL</v>
      </c>
      <c r="J544" s="295">
        <f>IFERROR(_xlfn.XLOOKUP(Table6[[#This Row],[Affected Feeder ]],'Basic Data'!$A:$A,'Basic Data'!$E:$E),"")</f>
        <v>2.2727272727272728E-2</v>
      </c>
      <c r="K544" s="296" t="s">
        <v>171</v>
      </c>
      <c r="L544" s="297">
        <v>0.65972222222222221</v>
      </c>
      <c r="M544" s="297">
        <v>0.65972222222222221</v>
      </c>
      <c r="N544" s="297">
        <v>0.66041666666666665</v>
      </c>
      <c r="O544" s="19">
        <f>(Table6[[#This Row],[Work Start TimeStamp]]-Table6[[#This Row],[Fault Start TimeStamp]])*24</f>
        <v>0</v>
      </c>
      <c r="P544" s="19">
        <f>(Table6[[#This Row],[Fault Clearance time]]-Table6[[#This Row],[Fault Start TimeStamp]])*24</f>
        <v>1.6666666666666607E-2</v>
      </c>
      <c r="Q544" s="19">
        <f>(Table6[[#This Row],[Fault Clearance time]]-Table6[[#This Row],[Fault Start TimeStamp]])*24</f>
        <v>1.6666666666666607E-2</v>
      </c>
      <c r="R544" s="79" t="s">
        <v>353</v>
      </c>
      <c r="S544" s="79" t="s">
        <v>339</v>
      </c>
      <c r="T544" s="298">
        <f>IFERROR(Table6[[#This Row],[Breakdown Time]]*Table6[[#This Row],[Plant Equivalent Weightage]],"")</f>
        <v>3.7878787878787743E-4</v>
      </c>
      <c r="U544" s="79" t="s">
        <v>416</v>
      </c>
      <c r="W544" s="79">
        <v>0</v>
      </c>
    </row>
    <row r="545" spans="1:23">
      <c r="A545" s="79">
        <f t="shared" si="8"/>
        <v>544</v>
      </c>
      <c r="B545" s="79">
        <f>YEAR(Table6[[#This Row],[Date]])+IF(MONTH(Table6[[#This Row],[Date]])&gt;=4,1,0)</f>
        <v>2026</v>
      </c>
      <c r="C545" s="79">
        <f>YEAR(Table6[[#This Row],[Date]])</f>
        <v>2025</v>
      </c>
      <c r="D545" s="79" t="s">
        <v>344</v>
      </c>
      <c r="E545" s="284">
        <f>Table6[[#This Row],[Date]]-DAY(Table6[[#This Row],[Date]])+1</f>
        <v>45778</v>
      </c>
      <c r="F545" s="285">
        <v>45793</v>
      </c>
      <c r="G545" s="79" t="s">
        <v>78</v>
      </c>
      <c r="H545" s="79" t="str">
        <f>IFERROR(_xlfn.XLOOKUP(Table6[[#This Row],[Affected Feeder ]],'Basic Data'!$A:$A,'Basic Data'!$B:$B),"")</f>
        <v>PWEPL</v>
      </c>
      <c r="I545" s="79" t="str">
        <f>IFERROR(_xlfn.XLOOKUP(Table6[[#This Row],[Affected Feeder ]],'Basic Data'!$A:$A,'Basic Data'!$C:$C),"")</f>
        <v>MSEDCL</v>
      </c>
      <c r="J545" s="295">
        <f>IFERROR(_xlfn.XLOOKUP(Table6[[#This Row],[Affected Feeder ]],'Basic Data'!$A:$A,'Basic Data'!$E:$E),"")</f>
        <v>2.2727272727272728E-2</v>
      </c>
      <c r="K545" s="296" t="s">
        <v>171</v>
      </c>
      <c r="L545" s="297">
        <v>0.65972222222222221</v>
      </c>
      <c r="M545" s="297">
        <v>0.65972222222222221</v>
      </c>
      <c r="N545" s="297">
        <v>0.6694444444444444</v>
      </c>
      <c r="O545" s="19">
        <f>(Table6[[#This Row],[Work Start TimeStamp]]-Table6[[#This Row],[Fault Start TimeStamp]])*24</f>
        <v>0</v>
      </c>
      <c r="P545" s="19">
        <f>(Table6[[#This Row],[Fault Clearance time]]-Table6[[#This Row],[Fault Start TimeStamp]])*24</f>
        <v>0.2333333333333325</v>
      </c>
      <c r="Q545" s="19">
        <f>(Table6[[#This Row],[Fault Clearance time]]-Table6[[#This Row],[Fault Start TimeStamp]])*24</f>
        <v>0.2333333333333325</v>
      </c>
      <c r="R545" s="79" t="s">
        <v>353</v>
      </c>
      <c r="S545" s="79" t="s">
        <v>339</v>
      </c>
      <c r="T545" s="298">
        <f>IFERROR(Table6[[#This Row],[Breakdown Time]]*Table6[[#This Row],[Plant Equivalent Weightage]],"")</f>
        <v>5.3030303030302843E-3</v>
      </c>
      <c r="U545" s="79" t="s">
        <v>416</v>
      </c>
      <c r="W545" s="79">
        <v>0.45</v>
      </c>
    </row>
    <row r="546" spans="1:23">
      <c r="A546" s="79">
        <f t="shared" si="8"/>
        <v>545</v>
      </c>
      <c r="B546" s="79">
        <f>YEAR(Table6[[#This Row],[Date]])+IF(MONTH(Table6[[#This Row],[Date]])&gt;=4,1,0)</f>
        <v>2026</v>
      </c>
      <c r="C546" s="79">
        <f>YEAR(Table6[[#This Row],[Date]])</f>
        <v>2025</v>
      </c>
      <c r="D546" s="79" t="s">
        <v>344</v>
      </c>
      <c r="E546" s="284">
        <f>Table6[[#This Row],[Date]]-DAY(Table6[[#This Row],[Date]])+1</f>
        <v>45778</v>
      </c>
      <c r="F546" s="285">
        <v>45793</v>
      </c>
      <c r="G546" s="79" t="s">
        <v>82</v>
      </c>
      <c r="H546" s="79" t="str">
        <f>IFERROR(_xlfn.XLOOKUP(Table6[[#This Row],[Affected Feeder ]],'Basic Data'!$A:$A,'Basic Data'!$B:$B),"")</f>
        <v>PWEPL</v>
      </c>
      <c r="I546" s="79" t="str">
        <f>IFERROR(_xlfn.XLOOKUP(Table6[[#This Row],[Affected Feeder ]],'Basic Data'!$A:$A,'Basic Data'!$C:$C),"")</f>
        <v>MSEDCL</v>
      </c>
      <c r="J546" s="295">
        <f>IFERROR(_xlfn.XLOOKUP(Table6[[#This Row],[Affected Feeder ]],'Basic Data'!$A:$A,'Basic Data'!$E:$E),"")</f>
        <v>2.2727272727272728E-2</v>
      </c>
      <c r="K546" s="296" t="s">
        <v>171</v>
      </c>
      <c r="L546" s="297">
        <v>0.65972222222222221</v>
      </c>
      <c r="M546" s="297">
        <v>0.65972222222222221</v>
      </c>
      <c r="N546" s="297">
        <v>0.6694444444444444</v>
      </c>
      <c r="O546" s="19">
        <f>(Table6[[#This Row],[Work Start TimeStamp]]-Table6[[#This Row],[Fault Start TimeStamp]])*24</f>
        <v>0</v>
      </c>
      <c r="P546" s="19">
        <f>(Table6[[#This Row],[Fault Clearance time]]-Table6[[#This Row],[Fault Start TimeStamp]])*24</f>
        <v>0.2333333333333325</v>
      </c>
      <c r="Q546" s="19">
        <f>(Table6[[#This Row],[Fault Clearance time]]-Table6[[#This Row],[Fault Start TimeStamp]])*24</f>
        <v>0.2333333333333325</v>
      </c>
      <c r="R546" s="79" t="s">
        <v>353</v>
      </c>
      <c r="S546" s="79" t="s">
        <v>339</v>
      </c>
      <c r="T546" s="298">
        <f>IFERROR(Table6[[#This Row],[Breakdown Time]]*Table6[[#This Row],[Plant Equivalent Weightage]],"")</f>
        <v>5.3030303030302843E-3</v>
      </c>
      <c r="U546" s="79" t="s">
        <v>416</v>
      </c>
      <c r="W546" s="79">
        <v>0.45</v>
      </c>
    </row>
    <row r="547" spans="1:23">
      <c r="A547" s="79">
        <f t="shared" si="8"/>
        <v>546</v>
      </c>
      <c r="B547" s="79">
        <f>YEAR(Table6[[#This Row],[Date]])+IF(MONTH(Table6[[#This Row],[Date]])&gt;=4,1,0)</f>
        <v>2026</v>
      </c>
      <c r="C547" s="79">
        <f>YEAR(Table6[[#This Row],[Date]])</f>
        <v>2025</v>
      </c>
      <c r="D547" s="79" t="s">
        <v>344</v>
      </c>
      <c r="E547" s="284">
        <f>Table6[[#This Row],[Date]]-DAY(Table6[[#This Row],[Date]])+1</f>
        <v>45778</v>
      </c>
      <c r="F547" s="285">
        <v>45793</v>
      </c>
      <c r="G547" s="79" t="s">
        <v>93</v>
      </c>
      <c r="H547" s="79" t="str">
        <f>IFERROR(_xlfn.XLOOKUP(Table6[[#This Row],[Affected Feeder ]],'Basic Data'!$A:$A,'Basic Data'!$B:$B),"")</f>
        <v>PWEPL</v>
      </c>
      <c r="I547" s="79" t="str">
        <f>IFERROR(_xlfn.XLOOKUP(Table6[[#This Row],[Affected Feeder ]],'Basic Data'!$A:$A,'Basic Data'!$C:$C),"")</f>
        <v>MSEDCL</v>
      </c>
      <c r="J547" s="295">
        <f>IFERROR(_xlfn.XLOOKUP(Table6[[#This Row],[Affected Feeder ]],'Basic Data'!$A:$A,'Basic Data'!$E:$E),"")</f>
        <v>2.2727272727272728E-2</v>
      </c>
      <c r="K547" s="296" t="s">
        <v>171</v>
      </c>
      <c r="L547" s="297">
        <v>0.65972222222222221</v>
      </c>
      <c r="M547" s="297">
        <v>0.65972222222222221</v>
      </c>
      <c r="N547" s="297">
        <v>0.66666666666666663</v>
      </c>
      <c r="O547" s="19">
        <f>(Table6[[#This Row],[Work Start TimeStamp]]-Table6[[#This Row],[Fault Start TimeStamp]])*24</f>
        <v>0</v>
      </c>
      <c r="P547" s="19">
        <f>(Table6[[#This Row],[Fault Clearance time]]-Table6[[#This Row],[Fault Start TimeStamp]])*24</f>
        <v>0.16666666666666607</v>
      </c>
      <c r="Q547" s="19">
        <f>(Table6[[#This Row],[Fault Clearance time]]-Table6[[#This Row],[Fault Start TimeStamp]])*24</f>
        <v>0.16666666666666607</v>
      </c>
      <c r="R547" s="79" t="s">
        <v>353</v>
      </c>
      <c r="S547" s="79" t="s">
        <v>339</v>
      </c>
      <c r="T547" s="298">
        <f>IFERROR(Table6[[#This Row],[Breakdown Time]]*Table6[[#This Row],[Plant Equivalent Weightage]],"")</f>
        <v>3.7878787878787745E-3</v>
      </c>
      <c r="U547" s="79" t="s">
        <v>416</v>
      </c>
      <c r="W547" s="79">
        <v>0.3</v>
      </c>
    </row>
    <row r="548" spans="1:23">
      <c r="A548" s="79">
        <f t="shared" si="8"/>
        <v>547</v>
      </c>
      <c r="B548" s="79">
        <f>YEAR(Table6[[#This Row],[Date]])+IF(MONTH(Table6[[#This Row],[Date]])&gt;=4,1,0)</f>
        <v>2026</v>
      </c>
      <c r="C548" s="79">
        <f>YEAR(Table6[[#This Row],[Date]])</f>
        <v>2025</v>
      </c>
      <c r="D548" s="79" t="s">
        <v>344</v>
      </c>
      <c r="E548" s="284">
        <f>Table6[[#This Row],[Date]]-DAY(Table6[[#This Row],[Date]])+1</f>
        <v>45778</v>
      </c>
      <c r="F548" s="285">
        <v>45793</v>
      </c>
      <c r="G548" s="79" t="s">
        <v>102</v>
      </c>
      <c r="H548" s="79" t="str">
        <f>IFERROR(_xlfn.XLOOKUP(Table6[[#This Row],[Affected Feeder ]],'Basic Data'!$A:$A,'Basic Data'!$B:$B),"")</f>
        <v>PWEPL</v>
      </c>
      <c r="I548" s="79" t="str">
        <f>IFERROR(_xlfn.XLOOKUP(Table6[[#This Row],[Affected Feeder ]],'Basic Data'!$A:$A,'Basic Data'!$C:$C),"")</f>
        <v>MSEDCL</v>
      </c>
      <c r="J548" s="295">
        <f>IFERROR(_xlfn.XLOOKUP(Table6[[#This Row],[Affected Feeder ]],'Basic Data'!$A:$A,'Basic Data'!$E:$E),"")</f>
        <v>2.2727272727272728E-2</v>
      </c>
      <c r="K548" s="296" t="s">
        <v>171</v>
      </c>
      <c r="L548" s="297">
        <v>0.65972222222222221</v>
      </c>
      <c r="M548" s="297">
        <v>0.65972222222222221</v>
      </c>
      <c r="N548" s="297">
        <v>0.6694444444444444</v>
      </c>
      <c r="O548" s="19">
        <f>(Table6[[#This Row],[Work Start TimeStamp]]-Table6[[#This Row],[Fault Start TimeStamp]])*24</f>
        <v>0</v>
      </c>
      <c r="P548" s="19">
        <f>(Table6[[#This Row],[Fault Clearance time]]-Table6[[#This Row],[Fault Start TimeStamp]])*24</f>
        <v>0.2333333333333325</v>
      </c>
      <c r="Q548" s="19">
        <f>(Table6[[#This Row],[Fault Clearance time]]-Table6[[#This Row],[Fault Start TimeStamp]])*24</f>
        <v>0.2333333333333325</v>
      </c>
      <c r="R548" s="79" t="s">
        <v>353</v>
      </c>
      <c r="S548" s="79" t="s">
        <v>339</v>
      </c>
      <c r="T548" s="298">
        <f>IFERROR(Table6[[#This Row],[Breakdown Time]]*Table6[[#This Row],[Plant Equivalent Weightage]],"")</f>
        <v>5.3030303030302843E-3</v>
      </c>
      <c r="U548" s="79" t="s">
        <v>416</v>
      </c>
      <c r="W548" s="79">
        <v>0.45</v>
      </c>
    </row>
    <row r="549" spans="1:23">
      <c r="A549" s="79">
        <f t="shared" si="8"/>
        <v>548</v>
      </c>
      <c r="B549" s="79">
        <f>YEAR(Table6[[#This Row],[Date]])+IF(MONTH(Table6[[#This Row],[Date]])&gt;=4,1,0)</f>
        <v>2026</v>
      </c>
      <c r="C549" s="79">
        <f>YEAR(Table6[[#This Row],[Date]])</f>
        <v>2025</v>
      </c>
      <c r="D549" s="79" t="s">
        <v>344</v>
      </c>
      <c r="E549" s="284">
        <f>Table6[[#This Row],[Date]]-DAY(Table6[[#This Row],[Date]])+1</f>
        <v>45778</v>
      </c>
      <c r="F549" s="285">
        <v>45793</v>
      </c>
      <c r="G549" s="79" t="s">
        <v>119</v>
      </c>
      <c r="H549" s="79" t="str">
        <f>IFERROR(_xlfn.XLOOKUP(Table6[[#This Row],[Affected Feeder ]],'Basic Data'!$A:$A,'Basic Data'!$B:$B),"")</f>
        <v>PWEPL</v>
      </c>
      <c r="I549" s="79" t="str">
        <f>IFERROR(_xlfn.XLOOKUP(Table6[[#This Row],[Affected Feeder ]],'Basic Data'!$A:$A,'Basic Data'!$C:$C),"")</f>
        <v>MSEDCL</v>
      </c>
      <c r="J549" s="295">
        <f>IFERROR(_xlfn.XLOOKUP(Table6[[#This Row],[Affected Feeder ]],'Basic Data'!$A:$A,'Basic Data'!$E:$E),"")</f>
        <v>2.2727272727272728E-2</v>
      </c>
      <c r="K549" s="296" t="s">
        <v>171</v>
      </c>
      <c r="L549" s="297">
        <v>0.65972222222222221</v>
      </c>
      <c r="M549" s="297">
        <v>0.65972222222222221</v>
      </c>
      <c r="N549" s="297">
        <v>0.66736111111111107</v>
      </c>
      <c r="O549" s="19">
        <f>(Table6[[#This Row],[Work Start TimeStamp]]-Table6[[#This Row],[Fault Start TimeStamp]])*24</f>
        <v>0</v>
      </c>
      <c r="P549" s="19">
        <f>(Table6[[#This Row],[Fault Clearance time]]-Table6[[#This Row],[Fault Start TimeStamp]])*24</f>
        <v>0.18333333333333268</v>
      </c>
      <c r="Q549" s="19">
        <f>(Table6[[#This Row],[Fault Clearance time]]-Table6[[#This Row],[Fault Start TimeStamp]])*24</f>
        <v>0.18333333333333268</v>
      </c>
      <c r="R549" s="79" t="s">
        <v>353</v>
      </c>
      <c r="S549" s="79" t="s">
        <v>339</v>
      </c>
      <c r="T549" s="298">
        <f>IFERROR(Table6[[#This Row],[Breakdown Time]]*Table6[[#This Row],[Plant Equivalent Weightage]],"")</f>
        <v>4.1666666666666519E-3</v>
      </c>
      <c r="U549" s="79" t="s">
        <v>416</v>
      </c>
      <c r="W549" s="79">
        <v>0.35</v>
      </c>
    </row>
    <row r="550" spans="1:23">
      <c r="A550" s="79">
        <f t="shared" si="8"/>
        <v>549</v>
      </c>
      <c r="B550" s="79">
        <f>YEAR(Table6[[#This Row],[Date]])+IF(MONTH(Table6[[#This Row],[Date]])&gt;=4,1,0)</f>
        <v>2026</v>
      </c>
      <c r="C550" s="79">
        <f>YEAR(Table6[[#This Row],[Date]])</f>
        <v>2025</v>
      </c>
      <c r="D550" s="79" t="s">
        <v>344</v>
      </c>
      <c r="E550" s="284">
        <f>Table6[[#This Row],[Date]]-DAY(Table6[[#This Row],[Date]])+1</f>
        <v>45778</v>
      </c>
      <c r="F550" s="285">
        <v>45793</v>
      </c>
      <c r="G550" s="79" t="s">
        <v>103</v>
      </c>
      <c r="H550" s="79" t="str">
        <f>IFERROR(_xlfn.XLOOKUP(Table6[[#This Row],[Affected Feeder ]],'Basic Data'!$A:$A,'Basic Data'!$B:$B),"")</f>
        <v>PWEPL</v>
      </c>
      <c r="I550" s="79" t="str">
        <f>IFERROR(_xlfn.XLOOKUP(Table6[[#This Row],[Affected Feeder ]],'Basic Data'!$A:$A,'Basic Data'!$C:$C),"")</f>
        <v>MSEDCL</v>
      </c>
      <c r="J550" s="295">
        <f>IFERROR(_xlfn.XLOOKUP(Table6[[#This Row],[Affected Feeder ]],'Basic Data'!$A:$A,'Basic Data'!$E:$E),"")</f>
        <v>2.2727272727272728E-2</v>
      </c>
      <c r="K550" s="296" t="s">
        <v>171</v>
      </c>
      <c r="L550" s="297">
        <v>0.65972222222222221</v>
      </c>
      <c r="M550" s="297">
        <v>0.65972222222222221</v>
      </c>
      <c r="N550" s="297">
        <v>0.6694444444444444</v>
      </c>
      <c r="O550" s="19">
        <f>(Table6[[#This Row],[Work Start TimeStamp]]-Table6[[#This Row],[Fault Start TimeStamp]])*24</f>
        <v>0</v>
      </c>
      <c r="P550" s="19">
        <f>(Table6[[#This Row],[Fault Clearance time]]-Table6[[#This Row],[Fault Start TimeStamp]])*24</f>
        <v>0.2333333333333325</v>
      </c>
      <c r="Q550" s="19">
        <f>(Table6[[#This Row],[Fault Clearance time]]-Table6[[#This Row],[Fault Start TimeStamp]])*24</f>
        <v>0.2333333333333325</v>
      </c>
      <c r="R550" s="79" t="s">
        <v>353</v>
      </c>
      <c r="S550" s="79" t="s">
        <v>339</v>
      </c>
      <c r="T550" s="298">
        <f>IFERROR(Table6[[#This Row],[Breakdown Time]]*Table6[[#This Row],[Plant Equivalent Weightage]],"")</f>
        <v>5.3030303030302843E-3</v>
      </c>
      <c r="U550" s="79" t="s">
        <v>416</v>
      </c>
      <c r="W550" s="79">
        <v>0.45</v>
      </c>
    </row>
    <row r="551" spans="1:23">
      <c r="A551" s="79">
        <f t="shared" si="8"/>
        <v>550</v>
      </c>
      <c r="B551" s="79">
        <f>YEAR(Table6[[#This Row],[Date]])+IF(MONTH(Table6[[#This Row],[Date]])&gt;=4,1,0)</f>
        <v>2026</v>
      </c>
      <c r="C551" s="79">
        <f>YEAR(Table6[[#This Row],[Date]])</f>
        <v>2025</v>
      </c>
      <c r="D551" s="79" t="s">
        <v>344</v>
      </c>
      <c r="E551" s="284">
        <f>Table6[[#This Row],[Date]]-DAY(Table6[[#This Row],[Date]])+1</f>
        <v>45778</v>
      </c>
      <c r="F551" s="285">
        <v>45793</v>
      </c>
      <c r="G551" s="79" t="s">
        <v>105</v>
      </c>
      <c r="H551" s="79" t="str">
        <f>IFERROR(_xlfn.XLOOKUP(Table6[[#This Row],[Affected Feeder ]],'Basic Data'!$A:$A,'Basic Data'!$B:$B),"")</f>
        <v>PWEPL</v>
      </c>
      <c r="I551" s="79" t="str">
        <f>IFERROR(_xlfn.XLOOKUP(Table6[[#This Row],[Affected Feeder ]],'Basic Data'!$A:$A,'Basic Data'!$C:$C),"")</f>
        <v>MSEDCL</v>
      </c>
      <c r="J551" s="295">
        <f>IFERROR(_xlfn.XLOOKUP(Table6[[#This Row],[Affected Feeder ]],'Basic Data'!$A:$A,'Basic Data'!$E:$E),"")</f>
        <v>2.2727272727272728E-2</v>
      </c>
      <c r="K551" s="296" t="s">
        <v>171</v>
      </c>
      <c r="L551" s="297">
        <v>0.65972222222222221</v>
      </c>
      <c r="M551" s="297">
        <v>0.65972222222222221</v>
      </c>
      <c r="N551" s="297">
        <v>0.66666666666666663</v>
      </c>
      <c r="O551" s="19">
        <f>(Table6[[#This Row],[Work Start TimeStamp]]-Table6[[#This Row],[Fault Start TimeStamp]])*24</f>
        <v>0</v>
      </c>
      <c r="P551" s="19">
        <f>(Table6[[#This Row],[Fault Clearance time]]-Table6[[#This Row],[Fault Start TimeStamp]])*24</f>
        <v>0.16666666666666607</v>
      </c>
      <c r="Q551" s="19">
        <f>(Table6[[#This Row],[Fault Clearance time]]-Table6[[#This Row],[Fault Start TimeStamp]])*24</f>
        <v>0.16666666666666607</v>
      </c>
      <c r="R551" s="79" t="s">
        <v>353</v>
      </c>
      <c r="S551" s="79" t="s">
        <v>339</v>
      </c>
      <c r="T551" s="298">
        <f>IFERROR(Table6[[#This Row],[Breakdown Time]]*Table6[[#This Row],[Plant Equivalent Weightage]],"")</f>
        <v>3.7878787878787745E-3</v>
      </c>
      <c r="U551" s="79" t="s">
        <v>416</v>
      </c>
      <c r="W551" s="79">
        <v>0.3</v>
      </c>
    </row>
    <row r="552" spans="1:23">
      <c r="A552" s="79">
        <f t="shared" si="8"/>
        <v>551</v>
      </c>
      <c r="B552" s="79">
        <f>YEAR(Table6[[#This Row],[Date]])+IF(MONTH(Table6[[#This Row],[Date]])&gt;=4,1,0)</f>
        <v>2026</v>
      </c>
      <c r="C552" s="79">
        <f>YEAR(Table6[[#This Row],[Date]])</f>
        <v>2025</v>
      </c>
      <c r="D552" s="79" t="s">
        <v>344</v>
      </c>
      <c r="E552" s="284">
        <f>Table6[[#This Row],[Date]]-DAY(Table6[[#This Row],[Date]])+1</f>
        <v>45778</v>
      </c>
      <c r="F552" s="285">
        <v>45793</v>
      </c>
      <c r="G552" s="79" t="s">
        <v>115</v>
      </c>
      <c r="H552" s="79" t="str">
        <f>IFERROR(_xlfn.XLOOKUP(Table6[[#This Row],[Affected Feeder ]],'Basic Data'!$A:$A,'Basic Data'!$B:$B),"")</f>
        <v>PWEPL</v>
      </c>
      <c r="I552" s="79" t="str">
        <f>IFERROR(_xlfn.XLOOKUP(Table6[[#This Row],[Affected Feeder ]],'Basic Data'!$A:$A,'Basic Data'!$C:$C),"")</f>
        <v>MSEDCL</v>
      </c>
      <c r="J552" s="295">
        <f>IFERROR(_xlfn.XLOOKUP(Table6[[#This Row],[Affected Feeder ]],'Basic Data'!$A:$A,'Basic Data'!$E:$E),"")</f>
        <v>2.2727272727272728E-2</v>
      </c>
      <c r="K552" s="296" t="s">
        <v>171</v>
      </c>
      <c r="L552" s="297">
        <v>0.65972222222222221</v>
      </c>
      <c r="M552" s="297">
        <v>0.65972222222222221</v>
      </c>
      <c r="N552" s="297">
        <v>0.66666666666666663</v>
      </c>
      <c r="O552" s="19">
        <f>(Table6[[#This Row],[Work Start TimeStamp]]-Table6[[#This Row],[Fault Start TimeStamp]])*24</f>
        <v>0</v>
      </c>
      <c r="P552" s="19">
        <f>(Table6[[#This Row],[Fault Clearance time]]-Table6[[#This Row],[Fault Start TimeStamp]])*24</f>
        <v>0.16666666666666607</v>
      </c>
      <c r="Q552" s="19">
        <f>(Table6[[#This Row],[Fault Clearance time]]-Table6[[#This Row],[Fault Start TimeStamp]])*24</f>
        <v>0.16666666666666607</v>
      </c>
      <c r="R552" s="79" t="s">
        <v>353</v>
      </c>
      <c r="S552" s="79" t="s">
        <v>339</v>
      </c>
      <c r="T552" s="298">
        <f>IFERROR(Table6[[#This Row],[Breakdown Time]]*Table6[[#This Row],[Plant Equivalent Weightage]],"")</f>
        <v>3.7878787878787745E-3</v>
      </c>
      <c r="U552" s="79" t="s">
        <v>416</v>
      </c>
      <c r="W552" s="79">
        <v>0.3</v>
      </c>
    </row>
    <row r="553" spans="1:23">
      <c r="A553" s="79">
        <f t="shared" si="8"/>
        <v>552</v>
      </c>
      <c r="B553" s="79">
        <f>YEAR(Table6[[#This Row],[Date]])+IF(MONTH(Table6[[#This Row],[Date]])&gt;=4,1,0)</f>
        <v>2026</v>
      </c>
      <c r="C553" s="79">
        <f>YEAR(Table6[[#This Row],[Date]])</f>
        <v>2025</v>
      </c>
      <c r="D553" s="79" t="s">
        <v>344</v>
      </c>
      <c r="E553" s="284">
        <f>Table6[[#This Row],[Date]]-DAY(Table6[[#This Row],[Date]])+1</f>
        <v>45778</v>
      </c>
      <c r="F553" s="285">
        <v>45793</v>
      </c>
      <c r="G553" s="79" t="s">
        <v>116</v>
      </c>
      <c r="H553" s="79" t="str">
        <f>IFERROR(_xlfn.XLOOKUP(Table6[[#This Row],[Affected Feeder ]],'Basic Data'!$A:$A,'Basic Data'!$B:$B),"")</f>
        <v>PWEPL</v>
      </c>
      <c r="I553" s="79" t="str">
        <f>IFERROR(_xlfn.XLOOKUP(Table6[[#This Row],[Affected Feeder ]],'Basic Data'!$A:$A,'Basic Data'!$C:$C),"")</f>
        <v>MSEDCL</v>
      </c>
      <c r="J553" s="295">
        <f>IFERROR(_xlfn.XLOOKUP(Table6[[#This Row],[Affected Feeder ]],'Basic Data'!$A:$A,'Basic Data'!$E:$E),"")</f>
        <v>2.2727272727272728E-2</v>
      </c>
      <c r="K553" s="296" t="s">
        <v>171</v>
      </c>
      <c r="L553" s="297">
        <v>0.65972222222222221</v>
      </c>
      <c r="M553" s="297">
        <v>0.65972222222222221</v>
      </c>
      <c r="N553" s="297">
        <v>0.66666666666666663</v>
      </c>
      <c r="O553" s="19">
        <f>(Table6[[#This Row],[Work Start TimeStamp]]-Table6[[#This Row],[Fault Start TimeStamp]])*24</f>
        <v>0</v>
      </c>
      <c r="P553" s="19">
        <f>(Table6[[#This Row],[Fault Clearance time]]-Table6[[#This Row],[Fault Start TimeStamp]])*24</f>
        <v>0.16666666666666607</v>
      </c>
      <c r="Q553" s="19">
        <f>(Table6[[#This Row],[Fault Clearance time]]-Table6[[#This Row],[Fault Start TimeStamp]])*24</f>
        <v>0.16666666666666607</v>
      </c>
      <c r="R553" s="79" t="s">
        <v>353</v>
      </c>
      <c r="S553" s="79" t="s">
        <v>339</v>
      </c>
      <c r="T553" s="298">
        <f>IFERROR(Table6[[#This Row],[Breakdown Time]]*Table6[[#This Row],[Plant Equivalent Weightage]],"")</f>
        <v>3.7878787878787745E-3</v>
      </c>
      <c r="U553" s="79" t="s">
        <v>416</v>
      </c>
      <c r="W553" s="79">
        <v>0.3</v>
      </c>
    </row>
    <row r="554" spans="1:23">
      <c r="A554" s="79">
        <f t="shared" si="8"/>
        <v>553</v>
      </c>
      <c r="B554" s="79">
        <f>YEAR(Table6[[#This Row],[Date]])+IF(MONTH(Table6[[#This Row],[Date]])&gt;=4,1,0)</f>
        <v>2026</v>
      </c>
      <c r="C554" s="79">
        <f>YEAR(Table6[[#This Row],[Date]])</f>
        <v>2025</v>
      </c>
      <c r="D554" s="79" t="s">
        <v>344</v>
      </c>
      <c r="E554" s="284">
        <f>Table6[[#This Row],[Date]]-DAY(Table6[[#This Row],[Date]])+1</f>
        <v>45778</v>
      </c>
      <c r="F554" s="285">
        <v>45793</v>
      </c>
      <c r="G554" s="79" t="s">
        <v>117</v>
      </c>
      <c r="H554" s="79" t="str">
        <f>IFERROR(_xlfn.XLOOKUP(Table6[[#This Row],[Affected Feeder ]],'Basic Data'!$A:$A,'Basic Data'!$B:$B),"")</f>
        <v>PWEPL</v>
      </c>
      <c r="I554" s="79" t="str">
        <f>IFERROR(_xlfn.XLOOKUP(Table6[[#This Row],[Affected Feeder ]],'Basic Data'!$A:$A,'Basic Data'!$C:$C),"")</f>
        <v>MSEDCL</v>
      </c>
      <c r="J554" s="295">
        <f>IFERROR(_xlfn.XLOOKUP(Table6[[#This Row],[Affected Feeder ]],'Basic Data'!$A:$A,'Basic Data'!$E:$E),"")</f>
        <v>2.2727272727272728E-2</v>
      </c>
      <c r="K554" s="296" t="s">
        <v>171</v>
      </c>
      <c r="L554" s="297">
        <v>0.65972222222222221</v>
      </c>
      <c r="M554" s="297">
        <v>0.65972222222222221</v>
      </c>
      <c r="N554" s="297">
        <v>0.66875000000000007</v>
      </c>
      <c r="O554" s="19">
        <f>(Table6[[#This Row],[Work Start TimeStamp]]-Table6[[#This Row],[Fault Start TimeStamp]])*24</f>
        <v>0</v>
      </c>
      <c r="P554" s="19">
        <f>(Table6[[#This Row],[Fault Clearance time]]-Table6[[#This Row],[Fault Start TimeStamp]])*24</f>
        <v>0.21666666666666856</v>
      </c>
      <c r="Q554" s="19">
        <f>(Table6[[#This Row],[Fault Clearance time]]-Table6[[#This Row],[Fault Start TimeStamp]])*24</f>
        <v>0.21666666666666856</v>
      </c>
      <c r="R554" s="79" t="s">
        <v>353</v>
      </c>
      <c r="S554" s="79" t="s">
        <v>339</v>
      </c>
      <c r="T554" s="298">
        <f>IFERROR(Table6[[#This Row],[Breakdown Time]]*Table6[[#This Row],[Plant Equivalent Weightage]],"")</f>
        <v>4.9242424242424672E-3</v>
      </c>
      <c r="U554" s="79" t="s">
        <v>416</v>
      </c>
      <c r="W554" s="79">
        <v>0.4</v>
      </c>
    </row>
    <row r="555" spans="1:23">
      <c r="A555" s="79">
        <f t="shared" si="8"/>
        <v>554</v>
      </c>
      <c r="B555" s="79">
        <f>YEAR(Table6[[#This Row],[Date]])+IF(MONTH(Table6[[#This Row],[Date]])&gt;=4,1,0)</f>
        <v>2026</v>
      </c>
      <c r="C555" s="79">
        <f>YEAR(Table6[[#This Row],[Date]])</f>
        <v>2025</v>
      </c>
      <c r="D555" s="79" t="s">
        <v>344</v>
      </c>
      <c r="E555" s="284">
        <f>Table6[[#This Row],[Date]]-DAY(Table6[[#This Row],[Date]])+1</f>
        <v>45778</v>
      </c>
      <c r="F555" s="285">
        <v>45793</v>
      </c>
      <c r="G555" s="79" t="s">
        <v>118</v>
      </c>
      <c r="H555" s="79" t="str">
        <f>IFERROR(_xlfn.XLOOKUP(Table6[[#This Row],[Affected Feeder ]],'Basic Data'!$A:$A,'Basic Data'!$B:$B),"")</f>
        <v>PWEPL</v>
      </c>
      <c r="I555" s="79" t="str">
        <f>IFERROR(_xlfn.XLOOKUP(Table6[[#This Row],[Affected Feeder ]],'Basic Data'!$A:$A,'Basic Data'!$C:$C),"")</f>
        <v>MSEDCL</v>
      </c>
      <c r="J555" s="295">
        <f>IFERROR(_xlfn.XLOOKUP(Table6[[#This Row],[Affected Feeder ]],'Basic Data'!$A:$A,'Basic Data'!$E:$E),"")</f>
        <v>2.2727272727272728E-2</v>
      </c>
      <c r="K555" s="296" t="s">
        <v>171</v>
      </c>
      <c r="L555" s="297">
        <v>0.65972222222222221</v>
      </c>
      <c r="M555" s="297">
        <v>0.65972222222222221</v>
      </c>
      <c r="N555" s="297">
        <v>0.66666666666666663</v>
      </c>
      <c r="O555" s="19">
        <f>(Table6[[#This Row],[Work Start TimeStamp]]-Table6[[#This Row],[Fault Start TimeStamp]])*24</f>
        <v>0</v>
      </c>
      <c r="P555" s="19">
        <f>(Table6[[#This Row],[Fault Clearance time]]-Table6[[#This Row],[Fault Start TimeStamp]])*24</f>
        <v>0.16666666666666607</v>
      </c>
      <c r="Q555" s="19">
        <f>(Table6[[#This Row],[Fault Clearance time]]-Table6[[#This Row],[Fault Start TimeStamp]])*24</f>
        <v>0.16666666666666607</v>
      </c>
      <c r="R555" s="79" t="s">
        <v>353</v>
      </c>
      <c r="S555" s="79" t="s">
        <v>339</v>
      </c>
      <c r="T555" s="298">
        <f>IFERROR(Table6[[#This Row],[Breakdown Time]]*Table6[[#This Row],[Plant Equivalent Weightage]],"")</f>
        <v>3.7878787878787745E-3</v>
      </c>
      <c r="U555" s="79" t="s">
        <v>416</v>
      </c>
      <c r="W555" s="79">
        <v>0.3</v>
      </c>
    </row>
    <row r="556" spans="1:23">
      <c r="A556" s="79">
        <f t="shared" si="8"/>
        <v>555</v>
      </c>
      <c r="B556" s="79">
        <f>YEAR(Table6[[#This Row],[Date]])+IF(MONTH(Table6[[#This Row],[Date]])&gt;=4,1,0)</f>
        <v>2026</v>
      </c>
      <c r="C556" s="79">
        <f>YEAR(Table6[[#This Row],[Date]])</f>
        <v>2025</v>
      </c>
      <c r="D556" s="79" t="s">
        <v>344</v>
      </c>
      <c r="E556" s="284">
        <f>Table6[[#This Row],[Date]]-DAY(Table6[[#This Row],[Date]])+1</f>
        <v>45778</v>
      </c>
      <c r="F556" s="285">
        <v>45794</v>
      </c>
      <c r="G556" s="79" t="s">
        <v>87</v>
      </c>
      <c r="H556" s="79" t="str">
        <f>IFERROR(_xlfn.XLOOKUP(Table6[[#This Row],[Affected Feeder ]],'Basic Data'!$A:$A,'Basic Data'!$B:$B),"")</f>
        <v>PWEPL</v>
      </c>
      <c r="I556" s="79" t="str">
        <f>IFERROR(_xlfn.XLOOKUP(Table6[[#This Row],[Affected Feeder ]],'Basic Data'!$A:$A,'Basic Data'!$C:$C),"")</f>
        <v>MSEDCL</v>
      </c>
      <c r="J556" s="295">
        <f>IFERROR(_xlfn.XLOOKUP(Table6[[#This Row],[Affected Feeder ]],'Basic Data'!$A:$A,'Basic Data'!$E:$E),"")</f>
        <v>2.2727272727272728E-2</v>
      </c>
      <c r="K556" s="296" t="s">
        <v>817</v>
      </c>
      <c r="L556" s="297">
        <v>0.49305555555555558</v>
      </c>
      <c r="M556" s="297">
        <v>0.49305555555555558</v>
      </c>
      <c r="N556" s="297">
        <v>0.50624999999999998</v>
      </c>
      <c r="O556" s="19">
        <f>(Table6[[#This Row],[Work Start TimeStamp]]-Table6[[#This Row],[Fault Start TimeStamp]])*24</f>
        <v>0</v>
      </c>
      <c r="P556" s="19">
        <f>(Table6[[#This Row],[Fault Clearance time]]-Table6[[#This Row],[Fault Start TimeStamp]])*24</f>
        <v>0.31666666666666554</v>
      </c>
      <c r="Q556" s="19">
        <f>(Table6[[#This Row],[Fault Clearance time]]-Table6[[#This Row],[Fault Start TimeStamp]])*24</f>
        <v>0.31666666666666554</v>
      </c>
      <c r="R556" s="79" t="s">
        <v>818</v>
      </c>
      <c r="S556" s="79" t="s">
        <v>339</v>
      </c>
      <c r="T556" s="298">
        <f>IFERROR(Table6[[#This Row],[Breakdown Time]]*Table6[[#This Row],[Plant Equivalent Weightage]],"")</f>
        <v>7.1969696969696713E-3</v>
      </c>
      <c r="U556" s="79" t="s">
        <v>416</v>
      </c>
      <c r="W556" s="79">
        <v>48</v>
      </c>
    </row>
    <row r="557" spans="1:23">
      <c r="A557" s="79">
        <f t="shared" si="8"/>
        <v>556</v>
      </c>
      <c r="B557" s="79">
        <f>YEAR(Table6[[#This Row],[Date]])+IF(MONTH(Table6[[#This Row],[Date]])&gt;=4,1,0)</f>
        <v>2026</v>
      </c>
      <c r="C557" s="79">
        <f>YEAR(Table6[[#This Row],[Date]])</f>
        <v>2025</v>
      </c>
      <c r="D557" s="79" t="s">
        <v>344</v>
      </c>
      <c r="E557" s="284">
        <f>Table6[[#This Row],[Date]]-DAY(Table6[[#This Row],[Date]])+1</f>
        <v>45778</v>
      </c>
      <c r="F557" s="285">
        <v>45794</v>
      </c>
      <c r="G557" s="79" t="s">
        <v>87</v>
      </c>
      <c r="H557" s="79" t="str">
        <f>IFERROR(_xlfn.XLOOKUP(Table6[[#This Row],[Affected Feeder ]],'Basic Data'!$A:$A,'Basic Data'!$B:$B),"")</f>
        <v>PWEPL</v>
      </c>
      <c r="I557" s="79" t="str">
        <f>IFERROR(_xlfn.XLOOKUP(Table6[[#This Row],[Affected Feeder ]],'Basic Data'!$A:$A,'Basic Data'!$C:$C),"")</f>
        <v>MSEDCL</v>
      </c>
      <c r="J557" s="295">
        <f>IFERROR(_xlfn.XLOOKUP(Table6[[#This Row],[Affected Feeder ]],'Basic Data'!$A:$A,'Basic Data'!$E:$E),"")</f>
        <v>2.2727272727272728E-2</v>
      </c>
      <c r="K557" s="296" t="s">
        <v>171</v>
      </c>
      <c r="L557" s="297">
        <v>0.50624999999999998</v>
      </c>
      <c r="M557" s="297">
        <v>0.50624999999999998</v>
      </c>
      <c r="N557" s="297">
        <v>0.5131944444444444</v>
      </c>
      <c r="O557" s="19">
        <f>(Table6[[#This Row],[Work Start TimeStamp]]-Table6[[#This Row],[Fault Start TimeStamp]])*24</f>
        <v>0</v>
      </c>
      <c r="P557" s="19">
        <f>(Table6[[#This Row],[Fault Clearance time]]-Table6[[#This Row],[Fault Start TimeStamp]])*24</f>
        <v>0.16666666666666607</v>
      </c>
      <c r="Q557" s="19">
        <f>(Table6[[#This Row],[Fault Clearance time]]-Table6[[#This Row],[Fault Start TimeStamp]])*24</f>
        <v>0.16666666666666607</v>
      </c>
      <c r="R557" s="79" t="s">
        <v>353</v>
      </c>
      <c r="S557" s="79" t="s">
        <v>339</v>
      </c>
      <c r="T557" s="298">
        <f>IFERROR(Table6[[#This Row],[Breakdown Time]]*Table6[[#This Row],[Plant Equivalent Weightage]],"")</f>
        <v>3.7878787878787745E-3</v>
      </c>
      <c r="U557" s="79" t="s">
        <v>416</v>
      </c>
      <c r="W557" s="79">
        <v>52</v>
      </c>
    </row>
    <row r="558" spans="1:23">
      <c r="A558" s="79">
        <f t="shared" si="8"/>
        <v>557</v>
      </c>
      <c r="B558" s="79">
        <f>YEAR(Table6[[#This Row],[Date]])+IF(MONTH(Table6[[#This Row],[Date]])&gt;=4,1,0)</f>
        <v>2026</v>
      </c>
      <c r="C558" s="79">
        <f>YEAR(Table6[[#This Row],[Date]])</f>
        <v>2025</v>
      </c>
      <c r="D558" s="79" t="s">
        <v>344</v>
      </c>
      <c r="E558" s="284">
        <f>Table6[[#This Row],[Date]]-DAY(Table6[[#This Row],[Date]])+1</f>
        <v>45778</v>
      </c>
      <c r="F558" s="285">
        <v>45794</v>
      </c>
      <c r="G558" s="79" t="s">
        <v>89</v>
      </c>
      <c r="H558" s="79" t="str">
        <f>IFERROR(_xlfn.XLOOKUP(Table6[[#This Row],[Affected Feeder ]],'Basic Data'!$A:$A,'Basic Data'!$B:$B),"")</f>
        <v>PWEPL</v>
      </c>
      <c r="I558" s="79" t="str">
        <f>IFERROR(_xlfn.XLOOKUP(Table6[[#This Row],[Affected Feeder ]],'Basic Data'!$A:$A,'Basic Data'!$C:$C),"")</f>
        <v>MSEDCL</v>
      </c>
      <c r="J558" s="295">
        <f>IFERROR(_xlfn.XLOOKUP(Table6[[#This Row],[Affected Feeder ]],'Basic Data'!$A:$A,'Basic Data'!$E:$E),"")</f>
        <v>2.2727272727272728E-2</v>
      </c>
      <c r="K558" s="296" t="s">
        <v>819</v>
      </c>
      <c r="L558" s="297">
        <v>0.52222222222222225</v>
      </c>
      <c r="M558" s="297">
        <v>0.52222222222222225</v>
      </c>
      <c r="N558" s="297">
        <v>0.53472222222222221</v>
      </c>
      <c r="O558" s="19">
        <f>(Table6[[#This Row],[Work Start TimeStamp]]-Table6[[#This Row],[Fault Start TimeStamp]])*24</f>
        <v>0</v>
      </c>
      <c r="P558" s="19">
        <f>(Table6[[#This Row],[Fault Clearance time]]-Table6[[#This Row],[Fault Start TimeStamp]])*24</f>
        <v>0.29999999999999893</v>
      </c>
      <c r="Q558" s="19">
        <f>(Table6[[#This Row],[Fault Clearance time]]-Table6[[#This Row],[Fault Start TimeStamp]])*24</f>
        <v>0.29999999999999893</v>
      </c>
      <c r="R558" s="79" t="s">
        <v>818</v>
      </c>
      <c r="S558" s="79" t="s">
        <v>339</v>
      </c>
      <c r="T558" s="298">
        <f>IFERROR(Table6[[#This Row],[Breakdown Time]]*Table6[[#This Row],[Plant Equivalent Weightage]],"")</f>
        <v>6.8181818181817944E-3</v>
      </c>
      <c r="U558" s="79" t="s">
        <v>416</v>
      </c>
      <c r="W558" s="79">
        <v>8.5500000000000007</v>
      </c>
    </row>
    <row r="559" spans="1:23">
      <c r="A559" s="79">
        <f t="shared" si="8"/>
        <v>558</v>
      </c>
      <c r="B559" s="79">
        <f>YEAR(Table6[[#This Row],[Date]])+IF(MONTH(Table6[[#This Row],[Date]])&gt;=4,1,0)</f>
        <v>2026</v>
      </c>
      <c r="C559" s="79">
        <f>YEAR(Table6[[#This Row],[Date]])</f>
        <v>2025</v>
      </c>
      <c r="D559" s="79" t="s">
        <v>344</v>
      </c>
      <c r="E559" s="284">
        <f>Table6[[#This Row],[Date]]-DAY(Table6[[#This Row],[Date]])+1</f>
        <v>45778</v>
      </c>
      <c r="F559" s="285">
        <v>45794</v>
      </c>
      <c r="G559" s="79" t="s">
        <v>89</v>
      </c>
      <c r="H559" s="79" t="str">
        <f>IFERROR(_xlfn.XLOOKUP(Table6[[#This Row],[Affected Feeder ]],'Basic Data'!$A:$A,'Basic Data'!$B:$B),"")</f>
        <v>PWEPL</v>
      </c>
      <c r="I559" s="79" t="str">
        <f>IFERROR(_xlfn.XLOOKUP(Table6[[#This Row],[Affected Feeder ]],'Basic Data'!$A:$A,'Basic Data'!$C:$C),"")</f>
        <v>MSEDCL</v>
      </c>
      <c r="J559" s="295">
        <f>IFERROR(_xlfn.XLOOKUP(Table6[[#This Row],[Affected Feeder ]],'Basic Data'!$A:$A,'Basic Data'!$E:$E),"")</f>
        <v>2.2727272727272728E-2</v>
      </c>
      <c r="K559" s="296" t="s">
        <v>171</v>
      </c>
      <c r="L559" s="297">
        <v>0.53472222222222221</v>
      </c>
      <c r="M559" s="297">
        <v>0.53472222222222221</v>
      </c>
      <c r="N559" s="297">
        <v>0.53749999999999998</v>
      </c>
      <c r="O559" s="19">
        <f>(Table6[[#This Row],[Work Start TimeStamp]]-Table6[[#This Row],[Fault Start TimeStamp]])*24</f>
        <v>0</v>
      </c>
      <c r="P559" s="19">
        <f>(Table6[[#This Row],[Fault Clearance time]]-Table6[[#This Row],[Fault Start TimeStamp]])*24</f>
        <v>6.666666666666643E-2</v>
      </c>
      <c r="Q559" s="19">
        <f>(Table6[[#This Row],[Fault Clearance time]]-Table6[[#This Row],[Fault Start TimeStamp]])*24</f>
        <v>6.666666666666643E-2</v>
      </c>
      <c r="R559" s="79" t="s">
        <v>353</v>
      </c>
      <c r="S559" s="79" t="s">
        <v>339</v>
      </c>
      <c r="T559" s="298">
        <f>IFERROR(Table6[[#This Row],[Breakdown Time]]*Table6[[#This Row],[Plant Equivalent Weightage]],"")</f>
        <v>1.5151515151515097E-3</v>
      </c>
      <c r="U559" s="79" t="s">
        <v>416</v>
      </c>
      <c r="W559" s="79">
        <v>2.44</v>
      </c>
    </row>
    <row r="560" spans="1:23">
      <c r="A560" s="79">
        <f t="shared" si="8"/>
        <v>559</v>
      </c>
      <c r="B560" s="79">
        <f>YEAR(Table6[[#This Row],[Date]])+IF(MONTH(Table6[[#This Row],[Date]])&gt;=4,1,0)</f>
        <v>2026</v>
      </c>
      <c r="C560" s="79">
        <f>YEAR(Table6[[#This Row],[Date]])</f>
        <v>2025</v>
      </c>
      <c r="D560" s="79" t="s">
        <v>344</v>
      </c>
      <c r="E560" s="284">
        <f>Table6[[#This Row],[Date]]-DAY(Table6[[#This Row],[Date]])+1</f>
        <v>45778</v>
      </c>
      <c r="F560" s="285">
        <v>45794</v>
      </c>
      <c r="G560" s="79" t="s">
        <v>88</v>
      </c>
      <c r="H560" s="79" t="str">
        <f>IFERROR(_xlfn.XLOOKUP(Table6[[#This Row],[Affected Feeder ]],'Basic Data'!$A:$A,'Basic Data'!$B:$B),"")</f>
        <v>PWEPL</v>
      </c>
      <c r="I560" s="79" t="str">
        <f>IFERROR(_xlfn.XLOOKUP(Table6[[#This Row],[Affected Feeder ]],'Basic Data'!$A:$A,'Basic Data'!$C:$C),"")</f>
        <v>MSEDCL</v>
      </c>
      <c r="J560" s="295">
        <f>IFERROR(_xlfn.XLOOKUP(Table6[[#This Row],[Affected Feeder ]],'Basic Data'!$A:$A,'Basic Data'!$E:$E),"")</f>
        <v>2.2727272727272728E-2</v>
      </c>
      <c r="K560" s="296" t="s">
        <v>820</v>
      </c>
      <c r="L560" s="297">
        <v>0.59652777777777777</v>
      </c>
      <c r="M560" s="297">
        <v>0.59652777777777777</v>
      </c>
      <c r="N560" s="297">
        <v>0.61527777777777781</v>
      </c>
      <c r="O560" s="19">
        <f>(Table6[[#This Row],[Work Start TimeStamp]]-Table6[[#This Row],[Fault Start TimeStamp]])*24</f>
        <v>0</v>
      </c>
      <c r="P560" s="19">
        <f>(Table6[[#This Row],[Fault Clearance time]]-Table6[[#This Row],[Fault Start TimeStamp]])*24</f>
        <v>0.45000000000000107</v>
      </c>
      <c r="Q560" s="19">
        <f>(Table6[[#This Row],[Fault Clearance time]]-Table6[[#This Row],[Fault Start TimeStamp]])*24</f>
        <v>0.45000000000000107</v>
      </c>
      <c r="R560" s="79" t="s">
        <v>818</v>
      </c>
      <c r="S560" s="79" t="s">
        <v>339</v>
      </c>
      <c r="T560" s="298">
        <f>IFERROR(Table6[[#This Row],[Breakdown Time]]*Table6[[#This Row],[Plant Equivalent Weightage]],"")</f>
        <v>1.0227272727272751E-2</v>
      </c>
      <c r="U560" s="79" t="s">
        <v>416</v>
      </c>
      <c r="W560" s="79">
        <v>173</v>
      </c>
    </row>
    <row r="561" spans="1:23">
      <c r="A561" s="79">
        <f t="shared" si="8"/>
        <v>560</v>
      </c>
      <c r="B561" s="79">
        <f>YEAR(Table6[[#This Row],[Date]])+IF(MONTH(Table6[[#This Row],[Date]])&gt;=4,1,0)</f>
        <v>2026</v>
      </c>
      <c r="C561" s="79">
        <f>YEAR(Table6[[#This Row],[Date]])</f>
        <v>2025</v>
      </c>
      <c r="D561" s="79" t="s">
        <v>344</v>
      </c>
      <c r="E561" s="284">
        <f>Table6[[#This Row],[Date]]-DAY(Table6[[#This Row],[Date]])+1</f>
        <v>45778</v>
      </c>
      <c r="F561" s="285">
        <v>45794</v>
      </c>
      <c r="G561" s="79" t="s">
        <v>88</v>
      </c>
      <c r="H561" s="79" t="str">
        <f>IFERROR(_xlfn.XLOOKUP(Table6[[#This Row],[Affected Feeder ]],'Basic Data'!$A:$A,'Basic Data'!$B:$B),"")</f>
        <v>PWEPL</v>
      </c>
      <c r="I561" s="79" t="str">
        <f>IFERROR(_xlfn.XLOOKUP(Table6[[#This Row],[Affected Feeder ]],'Basic Data'!$A:$A,'Basic Data'!$C:$C),"")</f>
        <v>MSEDCL</v>
      </c>
      <c r="J561" s="295">
        <f>IFERROR(_xlfn.XLOOKUP(Table6[[#This Row],[Affected Feeder ]],'Basic Data'!$A:$A,'Basic Data'!$E:$E),"")</f>
        <v>2.2727272727272728E-2</v>
      </c>
      <c r="K561" s="296" t="s">
        <v>171</v>
      </c>
      <c r="L561" s="297">
        <v>0.61527777777777781</v>
      </c>
      <c r="M561" s="297">
        <v>0.61527777777777781</v>
      </c>
      <c r="N561" s="297">
        <v>0.62777777777777777</v>
      </c>
      <c r="O561" s="19">
        <f>(Table6[[#This Row],[Work Start TimeStamp]]-Table6[[#This Row],[Fault Start TimeStamp]])*24</f>
        <v>0</v>
      </c>
      <c r="P561" s="19">
        <f>(Table6[[#This Row],[Fault Clearance time]]-Table6[[#This Row],[Fault Start TimeStamp]])*24</f>
        <v>0.29999999999999893</v>
      </c>
      <c r="Q561" s="19">
        <f>(Table6[[#This Row],[Fault Clearance time]]-Table6[[#This Row],[Fault Start TimeStamp]])*24</f>
        <v>0.29999999999999893</v>
      </c>
      <c r="R561" s="79" t="s">
        <v>353</v>
      </c>
      <c r="S561" s="79" t="s">
        <v>339</v>
      </c>
      <c r="T561" s="298">
        <f>IFERROR(Table6[[#This Row],[Breakdown Time]]*Table6[[#This Row],[Plant Equivalent Weightage]],"")</f>
        <v>6.8181818181817944E-3</v>
      </c>
      <c r="U561" s="79" t="s">
        <v>416</v>
      </c>
      <c r="W561" s="79">
        <v>87</v>
      </c>
    </row>
    <row r="562" spans="1:23">
      <c r="A562" s="79">
        <f t="shared" si="8"/>
        <v>561</v>
      </c>
      <c r="B562" s="79">
        <f>YEAR(Table6[[#This Row],[Date]])+IF(MONTH(Table6[[#This Row],[Date]])&gt;=4,1,0)</f>
        <v>2026</v>
      </c>
      <c r="C562" s="79">
        <f>YEAR(Table6[[#This Row],[Date]])</f>
        <v>2025</v>
      </c>
      <c r="D562" s="79" t="s">
        <v>344</v>
      </c>
      <c r="E562" s="284">
        <f>Table6[[#This Row],[Date]]-DAY(Table6[[#This Row],[Date]])+1</f>
        <v>45778</v>
      </c>
      <c r="F562" s="285">
        <v>45795</v>
      </c>
      <c r="G562" s="79" t="s">
        <v>399</v>
      </c>
      <c r="H562" s="79" t="str">
        <f>IFERROR(_xlfn.XLOOKUP(Table6[[#This Row],[Affected Feeder ]],'Basic Data'!$A:$A,'Basic Data'!$B:$B),"")</f>
        <v>PWEPL</v>
      </c>
      <c r="I562" s="79" t="str">
        <f>IFERROR(_xlfn.XLOOKUP(Table6[[#This Row],[Affected Feeder ]],'Basic Data'!$A:$A,'Basic Data'!$C:$C),"")</f>
        <v>MSEDCL</v>
      </c>
      <c r="J562" s="295">
        <f>IFERROR(_xlfn.XLOOKUP(Table6[[#This Row],[Affected Feeder ]],'Basic Data'!$A:$A,'Basic Data'!$E:$E),"")</f>
        <v>0.22727272727272727</v>
      </c>
      <c r="K562" s="296" t="s">
        <v>813</v>
      </c>
      <c r="L562" s="297">
        <v>0.41666666666666669</v>
      </c>
      <c r="M562" s="297">
        <v>0.41666666666666669</v>
      </c>
      <c r="N562" s="297">
        <v>0.65972222222222221</v>
      </c>
      <c r="O562" s="19">
        <f>(Table6[[#This Row],[Work Start TimeStamp]]-Table6[[#This Row],[Fault Start TimeStamp]])*24</f>
        <v>0</v>
      </c>
      <c r="P562" s="19">
        <f>(Table6[[#This Row],[Fault Clearance time]]-Table6[[#This Row],[Fault Start TimeStamp]])*24</f>
        <v>5.8333333333333321</v>
      </c>
      <c r="Q562" s="19">
        <f>(Table6[[#This Row],[Fault Clearance time]]-Table6[[#This Row],[Fault Start TimeStamp]])*24</f>
        <v>5.8333333333333321</v>
      </c>
      <c r="R562" s="79" t="s">
        <v>814</v>
      </c>
      <c r="S562" s="79" t="s">
        <v>339</v>
      </c>
      <c r="T562" s="298">
        <f>IFERROR(Table6[[#This Row],[Breakdown Time]]*Table6[[#This Row],[Plant Equivalent Weightage]],"")</f>
        <v>1.3257575757575755</v>
      </c>
      <c r="U562" s="79" t="s">
        <v>416</v>
      </c>
      <c r="W562" s="79">
        <v>1816</v>
      </c>
    </row>
    <row r="563" spans="1:23">
      <c r="A563" s="79">
        <f t="shared" si="8"/>
        <v>562</v>
      </c>
      <c r="B563" s="79">
        <f>YEAR(Table6[[#This Row],[Date]])+IF(MONTH(Table6[[#This Row],[Date]])&gt;=4,1,0)</f>
        <v>2026</v>
      </c>
      <c r="C563" s="79">
        <f>YEAR(Table6[[#This Row],[Date]])</f>
        <v>2025</v>
      </c>
      <c r="D563" s="79" t="s">
        <v>344</v>
      </c>
      <c r="E563" s="284">
        <f>Table6[[#This Row],[Date]]-DAY(Table6[[#This Row],[Date]])+1</f>
        <v>45778</v>
      </c>
      <c r="F563" s="285">
        <v>45795</v>
      </c>
      <c r="G563" s="79" t="s">
        <v>84</v>
      </c>
      <c r="H563" s="79" t="str">
        <f>IFERROR(_xlfn.XLOOKUP(Table6[[#This Row],[Affected Feeder ]],'Basic Data'!$A:$A,'Basic Data'!$B:$B),"")</f>
        <v>PWEPL</v>
      </c>
      <c r="I563" s="79" t="str">
        <f>IFERROR(_xlfn.XLOOKUP(Table6[[#This Row],[Affected Feeder ]],'Basic Data'!$A:$A,'Basic Data'!$C:$C),"")</f>
        <v>MSEDCL</v>
      </c>
      <c r="J563" s="295">
        <f>IFERROR(_xlfn.XLOOKUP(Table6[[#This Row],[Affected Feeder ]],'Basic Data'!$A:$A,'Basic Data'!$E:$E),"")</f>
        <v>2.2727272727272728E-2</v>
      </c>
      <c r="K563" s="296" t="s">
        <v>171</v>
      </c>
      <c r="L563" s="297">
        <v>0.65972222222222221</v>
      </c>
      <c r="M563" s="297">
        <v>0.65972222222222221</v>
      </c>
      <c r="N563" s="297">
        <v>0.67361111111111116</v>
      </c>
      <c r="O563" s="19">
        <f>(Table6[[#This Row],[Work Start TimeStamp]]-Table6[[#This Row],[Fault Start TimeStamp]])*24</f>
        <v>0</v>
      </c>
      <c r="P563" s="19">
        <f>(Table6[[#This Row],[Fault Clearance time]]-Table6[[#This Row],[Fault Start TimeStamp]])*24</f>
        <v>0.33333333333333481</v>
      </c>
      <c r="Q563" s="19">
        <f>(Table6[[#This Row],[Fault Clearance time]]-Table6[[#This Row],[Fault Start TimeStamp]])*24</f>
        <v>0.33333333333333481</v>
      </c>
      <c r="R563" s="79" t="s">
        <v>353</v>
      </c>
      <c r="S563" s="79" t="s">
        <v>339</v>
      </c>
      <c r="T563" s="298">
        <f>IFERROR(Table6[[#This Row],[Breakdown Time]]*Table6[[#This Row],[Plant Equivalent Weightage]],"")</f>
        <v>7.5757575757576098E-3</v>
      </c>
      <c r="U563" s="79" t="s">
        <v>416</v>
      </c>
      <c r="W563" s="79">
        <v>10</v>
      </c>
    </row>
    <row r="564" spans="1:23">
      <c r="A564" s="79">
        <f t="shared" si="8"/>
        <v>563</v>
      </c>
      <c r="B564" s="79">
        <f>YEAR(Table6[[#This Row],[Date]])+IF(MONTH(Table6[[#This Row],[Date]])&gt;=4,1,0)</f>
        <v>2026</v>
      </c>
      <c r="C564" s="79">
        <f>YEAR(Table6[[#This Row],[Date]])</f>
        <v>2025</v>
      </c>
      <c r="D564" s="79" t="s">
        <v>344</v>
      </c>
      <c r="E564" s="284">
        <f>Table6[[#This Row],[Date]]-DAY(Table6[[#This Row],[Date]])+1</f>
        <v>45778</v>
      </c>
      <c r="F564" s="285">
        <v>45795</v>
      </c>
      <c r="G564" s="79" t="s">
        <v>85</v>
      </c>
      <c r="H564" s="79" t="str">
        <f>IFERROR(_xlfn.XLOOKUP(Table6[[#This Row],[Affected Feeder ]],'Basic Data'!$A:$A,'Basic Data'!$B:$B),"")</f>
        <v>PWEPL</v>
      </c>
      <c r="I564" s="79" t="str">
        <f>IFERROR(_xlfn.XLOOKUP(Table6[[#This Row],[Affected Feeder ]],'Basic Data'!$A:$A,'Basic Data'!$C:$C),"")</f>
        <v>MSEDCL</v>
      </c>
      <c r="J564" s="295">
        <f>IFERROR(_xlfn.XLOOKUP(Table6[[#This Row],[Affected Feeder ]],'Basic Data'!$A:$A,'Basic Data'!$E:$E),"")</f>
        <v>2.2727272727272728E-2</v>
      </c>
      <c r="K564" s="296" t="s">
        <v>171</v>
      </c>
      <c r="L564" s="297">
        <v>0.65972222222222221</v>
      </c>
      <c r="M564" s="297">
        <v>0.65972222222222221</v>
      </c>
      <c r="N564" s="297">
        <v>0.67361111111111116</v>
      </c>
      <c r="O564" s="19">
        <f>(Table6[[#This Row],[Work Start TimeStamp]]-Table6[[#This Row],[Fault Start TimeStamp]])*24</f>
        <v>0</v>
      </c>
      <c r="P564" s="19">
        <f>(Table6[[#This Row],[Fault Clearance time]]-Table6[[#This Row],[Fault Start TimeStamp]])*24</f>
        <v>0.33333333333333481</v>
      </c>
      <c r="Q564" s="19">
        <f>(Table6[[#This Row],[Fault Clearance time]]-Table6[[#This Row],[Fault Start TimeStamp]])*24</f>
        <v>0.33333333333333481</v>
      </c>
      <c r="R564" s="79" t="s">
        <v>353</v>
      </c>
      <c r="S564" s="79" t="s">
        <v>339</v>
      </c>
      <c r="T564" s="298">
        <f>IFERROR(Table6[[#This Row],[Breakdown Time]]*Table6[[#This Row],[Plant Equivalent Weightage]],"")</f>
        <v>7.5757575757576098E-3</v>
      </c>
      <c r="U564" s="79" t="s">
        <v>416</v>
      </c>
      <c r="W564" s="79">
        <v>10</v>
      </c>
    </row>
    <row r="565" spans="1:23">
      <c r="A565" s="79">
        <f t="shared" si="8"/>
        <v>564</v>
      </c>
      <c r="B565" s="79">
        <f>YEAR(Table6[[#This Row],[Date]])+IF(MONTH(Table6[[#This Row],[Date]])&gt;=4,1,0)</f>
        <v>2026</v>
      </c>
      <c r="C565" s="79">
        <f>YEAR(Table6[[#This Row],[Date]])</f>
        <v>2025</v>
      </c>
      <c r="D565" s="79" t="s">
        <v>344</v>
      </c>
      <c r="E565" s="284">
        <f>Table6[[#This Row],[Date]]-DAY(Table6[[#This Row],[Date]])+1</f>
        <v>45778</v>
      </c>
      <c r="F565" s="285">
        <v>45795</v>
      </c>
      <c r="G565" s="79" t="s">
        <v>86</v>
      </c>
      <c r="H565" s="79" t="str">
        <f>IFERROR(_xlfn.XLOOKUP(Table6[[#This Row],[Affected Feeder ]],'Basic Data'!$A:$A,'Basic Data'!$B:$B),"")</f>
        <v>PWEPL</v>
      </c>
      <c r="I565" s="79" t="str">
        <f>IFERROR(_xlfn.XLOOKUP(Table6[[#This Row],[Affected Feeder ]],'Basic Data'!$A:$A,'Basic Data'!$C:$C),"")</f>
        <v>MSEDCL</v>
      </c>
      <c r="J565" s="295">
        <f>IFERROR(_xlfn.XLOOKUP(Table6[[#This Row],[Affected Feeder ]],'Basic Data'!$A:$A,'Basic Data'!$E:$E),"")</f>
        <v>2.2727272727272728E-2</v>
      </c>
      <c r="K565" s="296" t="s">
        <v>171</v>
      </c>
      <c r="L565" s="297">
        <v>0.65972222222222221</v>
      </c>
      <c r="M565" s="297">
        <v>0.65972222222222221</v>
      </c>
      <c r="N565" s="297">
        <v>0.67361111111111116</v>
      </c>
      <c r="O565" s="19">
        <f>(Table6[[#This Row],[Work Start TimeStamp]]-Table6[[#This Row],[Fault Start TimeStamp]])*24</f>
        <v>0</v>
      </c>
      <c r="P565" s="19">
        <f>(Table6[[#This Row],[Fault Clearance time]]-Table6[[#This Row],[Fault Start TimeStamp]])*24</f>
        <v>0.33333333333333481</v>
      </c>
      <c r="Q565" s="19">
        <f>(Table6[[#This Row],[Fault Clearance time]]-Table6[[#This Row],[Fault Start TimeStamp]])*24</f>
        <v>0.33333333333333481</v>
      </c>
      <c r="R565" s="79" t="s">
        <v>353</v>
      </c>
      <c r="S565" s="79" t="s">
        <v>339</v>
      </c>
      <c r="T565" s="298">
        <f>IFERROR(Table6[[#This Row],[Breakdown Time]]*Table6[[#This Row],[Plant Equivalent Weightage]],"")</f>
        <v>7.5757575757576098E-3</v>
      </c>
      <c r="U565" s="79" t="s">
        <v>416</v>
      </c>
      <c r="W565" s="79">
        <v>10</v>
      </c>
    </row>
    <row r="566" spans="1:23">
      <c r="A566" s="79">
        <f t="shared" si="8"/>
        <v>565</v>
      </c>
      <c r="B566" s="79">
        <f>YEAR(Table6[[#This Row],[Date]])+IF(MONTH(Table6[[#This Row],[Date]])&gt;=4,1,0)</f>
        <v>2026</v>
      </c>
      <c r="C566" s="79">
        <f>YEAR(Table6[[#This Row],[Date]])</f>
        <v>2025</v>
      </c>
      <c r="D566" s="79" t="s">
        <v>344</v>
      </c>
      <c r="E566" s="284">
        <f>Table6[[#This Row],[Date]]-DAY(Table6[[#This Row],[Date]])+1</f>
        <v>45778</v>
      </c>
      <c r="F566" s="285">
        <v>45795</v>
      </c>
      <c r="G566" s="79" t="s">
        <v>87</v>
      </c>
      <c r="H566" s="79" t="str">
        <f>IFERROR(_xlfn.XLOOKUP(Table6[[#This Row],[Affected Feeder ]],'Basic Data'!$A:$A,'Basic Data'!$B:$B),"")</f>
        <v>PWEPL</v>
      </c>
      <c r="I566" s="79" t="str">
        <f>IFERROR(_xlfn.XLOOKUP(Table6[[#This Row],[Affected Feeder ]],'Basic Data'!$A:$A,'Basic Data'!$C:$C),"")</f>
        <v>MSEDCL</v>
      </c>
      <c r="J566" s="295">
        <f>IFERROR(_xlfn.XLOOKUP(Table6[[#This Row],[Affected Feeder ]],'Basic Data'!$A:$A,'Basic Data'!$E:$E),"")</f>
        <v>2.2727272727272728E-2</v>
      </c>
      <c r="K566" s="296" t="s">
        <v>171</v>
      </c>
      <c r="L566" s="297">
        <v>0.65972222222222221</v>
      </c>
      <c r="M566" s="297">
        <v>0.65972222222222221</v>
      </c>
      <c r="N566" s="297">
        <v>0.67361111111111116</v>
      </c>
      <c r="O566" s="19">
        <f>(Table6[[#This Row],[Work Start TimeStamp]]-Table6[[#This Row],[Fault Start TimeStamp]])*24</f>
        <v>0</v>
      </c>
      <c r="P566" s="19">
        <f>(Table6[[#This Row],[Fault Clearance time]]-Table6[[#This Row],[Fault Start TimeStamp]])*24</f>
        <v>0.33333333333333481</v>
      </c>
      <c r="Q566" s="19">
        <f>(Table6[[#This Row],[Fault Clearance time]]-Table6[[#This Row],[Fault Start TimeStamp]])*24</f>
        <v>0.33333333333333481</v>
      </c>
      <c r="R566" s="79" t="s">
        <v>353</v>
      </c>
      <c r="S566" s="79" t="s">
        <v>339</v>
      </c>
      <c r="T566" s="298">
        <f>IFERROR(Table6[[#This Row],[Breakdown Time]]*Table6[[#This Row],[Plant Equivalent Weightage]],"")</f>
        <v>7.5757575757576098E-3</v>
      </c>
      <c r="U566" s="79" t="s">
        <v>416</v>
      </c>
      <c r="W566" s="79">
        <v>10</v>
      </c>
    </row>
    <row r="567" spans="1:23">
      <c r="A567" s="79">
        <f t="shared" si="8"/>
        <v>566</v>
      </c>
      <c r="B567" s="79">
        <f>YEAR(Table6[[#This Row],[Date]])+IF(MONTH(Table6[[#This Row],[Date]])&gt;=4,1,0)</f>
        <v>2026</v>
      </c>
      <c r="C567" s="79">
        <f>YEAR(Table6[[#This Row],[Date]])</f>
        <v>2025</v>
      </c>
      <c r="D567" s="79" t="s">
        <v>344</v>
      </c>
      <c r="E567" s="284">
        <f>Table6[[#This Row],[Date]]-DAY(Table6[[#This Row],[Date]])+1</f>
        <v>45778</v>
      </c>
      <c r="F567" s="285">
        <v>45795</v>
      </c>
      <c r="G567" s="79" t="s">
        <v>88</v>
      </c>
      <c r="H567" s="79" t="str">
        <f>IFERROR(_xlfn.XLOOKUP(Table6[[#This Row],[Affected Feeder ]],'Basic Data'!$A:$A,'Basic Data'!$B:$B),"")</f>
        <v>PWEPL</v>
      </c>
      <c r="I567" s="79" t="str">
        <f>IFERROR(_xlfn.XLOOKUP(Table6[[#This Row],[Affected Feeder ]],'Basic Data'!$A:$A,'Basic Data'!$C:$C),"")</f>
        <v>MSEDCL</v>
      </c>
      <c r="J567" s="295">
        <f>IFERROR(_xlfn.XLOOKUP(Table6[[#This Row],[Affected Feeder ]],'Basic Data'!$A:$A,'Basic Data'!$E:$E),"")</f>
        <v>2.2727272727272728E-2</v>
      </c>
      <c r="K567" s="296" t="s">
        <v>171</v>
      </c>
      <c r="L567" s="297">
        <v>0.65972222222222221</v>
      </c>
      <c r="M567" s="297">
        <v>0.65972222222222221</v>
      </c>
      <c r="N567" s="297">
        <v>0.67361111111111116</v>
      </c>
      <c r="O567" s="19">
        <f>(Table6[[#This Row],[Work Start TimeStamp]]-Table6[[#This Row],[Fault Start TimeStamp]])*24</f>
        <v>0</v>
      </c>
      <c r="P567" s="19">
        <f>(Table6[[#This Row],[Fault Clearance time]]-Table6[[#This Row],[Fault Start TimeStamp]])*24</f>
        <v>0.33333333333333481</v>
      </c>
      <c r="Q567" s="19">
        <f>(Table6[[#This Row],[Fault Clearance time]]-Table6[[#This Row],[Fault Start TimeStamp]])*24</f>
        <v>0.33333333333333481</v>
      </c>
      <c r="R567" s="79" t="s">
        <v>353</v>
      </c>
      <c r="S567" s="79" t="s">
        <v>339</v>
      </c>
      <c r="T567" s="298">
        <f>IFERROR(Table6[[#This Row],[Breakdown Time]]*Table6[[#This Row],[Plant Equivalent Weightage]],"")</f>
        <v>7.5757575757576098E-3</v>
      </c>
      <c r="U567" s="79" t="s">
        <v>416</v>
      </c>
      <c r="W567" s="79">
        <v>10</v>
      </c>
    </row>
    <row r="568" spans="1:23">
      <c r="A568" s="79">
        <f t="shared" si="8"/>
        <v>567</v>
      </c>
      <c r="B568" s="79">
        <f>YEAR(Table6[[#This Row],[Date]])+IF(MONTH(Table6[[#This Row],[Date]])&gt;=4,1,0)</f>
        <v>2026</v>
      </c>
      <c r="C568" s="79">
        <f>YEAR(Table6[[#This Row],[Date]])</f>
        <v>2025</v>
      </c>
      <c r="D568" s="79" t="s">
        <v>344</v>
      </c>
      <c r="E568" s="284">
        <f>Table6[[#This Row],[Date]]-DAY(Table6[[#This Row],[Date]])+1</f>
        <v>45778</v>
      </c>
      <c r="F568" s="285">
        <v>45795</v>
      </c>
      <c r="G568" s="79" t="s">
        <v>83</v>
      </c>
      <c r="H568" s="79" t="str">
        <f>IFERROR(_xlfn.XLOOKUP(Table6[[#This Row],[Affected Feeder ]],'Basic Data'!$A:$A,'Basic Data'!$B:$B),"")</f>
        <v>PWEPL</v>
      </c>
      <c r="I568" s="79" t="str">
        <f>IFERROR(_xlfn.XLOOKUP(Table6[[#This Row],[Affected Feeder ]],'Basic Data'!$A:$A,'Basic Data'!$C:$C),"")</f>
        <v>MSEDCL</v>
      </c>
      <c r="J568" s="295">
        <f>IFERROR(_xlfn.XLOOKUP(Table6[[#This Row],[Affected Feeder ]],'Basic Data'!$A:$A,'Basic Data'!$E:$E),"")</f>
        <v>2.2727272727272728E-2</v>
      </c>
      <c r="K568" s="296" t="s">
        <v>171</v>
      </c>
      <c r="L568" s="297">
        <v>0.65972222222222221</v>
      </c>
      <c r="M568" s="297">
        <v>0.65972222222222221</v>
      </c>
      <c r="N568" s="297">
        <v>0.67361111111111116</v>
      </c>
      <c r="O568" s="19">
        <f>(Table6[[#This Row],[Work Start TimeStamp]]-Table6[[#This Row],[Fault Start TimeStamp]])*24</f>
        <v>0</v>
      </c>
      <c r="P568" s="19">
        <f>(Table6[[#This Row],[Fault Clearance time]]-Table6[[#This Row],[Fault Start TimeStamp]])*24</f>
        <v>0.33333333333333481</v>
      </c>
      <c r="Q568" s="19">
        <f>(Table6[[#This Row],[Fault Clearance time]]-Table6[[#This Row],[Fault Start TimeStamp]])*24</f>
        <v>0.33333333333333481</v>
      </c>
      <c r="R568" s="79" t="s">
        <v>353</v>
      </c>
      <c r="S568" s="79" t="s">
        <v>339</v>
      </c>
      <c r="T568" s="298">
        <f>IFERROR(Table6[[#This Row],[Breakdown Time]]*Table6[[#This Row],[Plant Equivalent Weightage]],"")</f>
        <v>7.5757575757576098E-3</v>
      </c>
      <c r="U568" s="79" t="s">
        <v>416</v>
      </c>
      <c r="W568" s="79">
        <v>10</v>
      </c>
    </row>
    <row r="569" spans="1:23">
      <c r="A569" s="79">
        <f t="shared" si="8"/>
        <v>568</v>
      </c>
      <c r="B569" s="79">
        <f>YEAR(Table6[[#This Row],[Date]])+IF(MONTH(Table6[[#This Row],[Date]])&gt;=4,1,0)</f>
        <v>2026</v>
      </c>
      <c r="C569" s="79">
        <f>YEAR(Table6[[#This Row],[Date]])</f>
        <v>2025</v>
      </c>
      <c r="D569" s="79" t="s">
        <v>344</v>
      </c>
      <c r="E569" s="284">
        <f>Table6[[#This Row],[Date]]-DAY(Table6[[#This Row],[Date]])+1</f>
        <v>45778</v>
      </c>
      <c r="F569" s="285">
        <v>45795</v>
      </c>
      <c r="G569" s="79" t="s">
        <v>98</v>
      </c>
      <c r="H569" s="79" t="str">
        <f>IFERROR(_xlfn.XLOOKUP(Table6[[#This Row],[Affected Feeder ]],'Basic Data'!$A:$A,'Basic Data'!$B:$B),"")</f>
        <v>PWEPL</v>
      </c>
      <c r="I569" s="79" t="str">
        <f>IFERROR(_xlfn.XLOOKUP(Table6[[#This Row],[Affected Feeder ]],'Basic Data'!$A:$A,'Basic Data'!$C:$C),"")</f>
        <v>MSEDCL</v>
      </c>
      <c r="J569" s="295">
        <f>IFERROR(_xlfn.XLOOKUP(Table6[[#This Row],[Affected Feeder ]],'Basic Data'!$A:$A,'Basic Data'!$E:$E),"")</f>
        <v>2.2727272727272728E-2</v>
      </c>
      <c r="K569" s="296" t="s">
        <v>171</v>
      </c>
      <c r="L569" s="297">
        <v>0.65972222222222221</v>
      </c>
      <c r="M569" s="297">
        <v>0.65972222222222221</v>
      </c>
      <c r="N569" s="297">
        <v>0.67361111111111116</v>
      </c>
      <c r="O569" s="19">
        <f>(Table6[[#This Row],[Work Start TimeStamp]]-Table6[[#This Row],[Fault Start TimeStamp]])*24</f>
        <v>0</v>
      </c>
      <c r="P569" s="19">
        <f>(Table6[[#This Row],[Fault Clearance time]]-Table6[[#This Row],[Fault Start TimeStamp]])*24</f>
        <v>0.33333333333333481</v>
      </c>
      <c r="Q569" s="19">
        <f>(Table6[[#This Row],[Fault Clearance time]]-Table6[[#This Row],[Fault Start TimeStamp]])*24</f>
        <v>0.33333333333333481</v>
      </c>
      <c r="R569" s="79" t="s">
        <v>353</v>
      </c>
      <c r="S569" s="79" t="s">
        <v>339</v>
      </c>
      <c r="T569" s="298">
        <f>IFERROR(Table6[[#This Row],[Breakdown Time]]*Table6[[#This Row],[Plant Equivalent Weightage]],"")</f>
        <v>7.5757575757576098E-3</v>
      </c>
      <c r="U569" s="79" t="s">
        <v>416</v>
      </c>
      <c r="W569" s="79">
        <v>10</v>
      </c>
    </row>
    <row r="570" spans="1:23">
      <c r="A570" s="79">
        <f t="shared" si="8"/>
        <v>569</v>
      </c>
      <c r="B570" s="79">
        <f>YEAR(Table6[[#This Row],[Date]])+IF(MONTH(Table6[[#This Row],[Date]])&gt;=4,1,0)</f>
        <v>2026</v>
      </c>
      <c r="C570" s="79">
        <f>YEAR(Table6[[#This Row],[Date]])</f>
        <v>2025</v>
      </c>
      <c r="D570" s="79" t="s">
        <v>344</v>
      </c>
      <c r="E570" s="284">
        <f>Table6[[#This Row],[Date]]-DAY(Table6[[#This Row],[Date]])+1</f>
        <v>45778</v>
      </c>
      <c r="F570" s="285">
        <v>45795</v>
      </c>
      <c r="G570" s="79" t="s">
        <v>99</v>
      </c>
      <c r="H570" s="79" t="str">
        <f>IFERROR(_xlfn.XLOOKUP(Table6[[#This Row],[Affected Feeder ]],'Basic Data'!$A:$A,'Basic Data'!$B:$B),"")</f>
        <v>PWEPL</v>
      </c>
      <c r="I570" s="79" t="str">
        <f>IFERROR(_xlfn.XLOOKUP(Table6[[#This Row],[Affected Feeder ]],'Basic Data'!$A:$A,'Basic Data'!$C:$C),"")</f>
        <v>MSEDCL</v>
      </c>
      <c r="J570" s="295">
        <f>IFERROR(_xlfn.XLOOKUP(Table6[[#This Row],[Affected Feeder ]],'Basic Data'!$A:$A,'Basic Data'!$E:$E),"")</f>
        <v>2.2727272727272728E-2</v>
      </c>
      <c r="K570" s="296" t="s">
        <v>171</v>
      </c>
      <c r="L570" s="297">
        <v>0.65972222222222221</v>
      </c>
      <c r="M570" s="297">
        <v>0.65972222222222221</v>
      </c>
      <c r="N570" s="297">
        <v>0.67361111111111116</v>
      </c>
      <c r="O570" s="19">
        <f>(Table6[[#This Row],[Work Start TimeStamp]]-Table6[[#This Row],[Fault Start TimeStamp]])*24</f>
        <v>0</v>
      </c>
      <c r="P570" s="19">
        <f>(Table6[[#This Row],[Fault Clearance time]]-Table6[[#This Row],[Fault Start TimeStamp]])*24</f>
        <v>0.33333333333333481</v>
      </c>
      <c r="Q570" s="19">
        <f>(Table6[[#This Row],[Fault Clearance time]]-Table6[[#This Row],[Fault Start TimeStamp]])*24</f>
        <v>0.33333333333333481</v>
      </c>
      <c r="R570" s="79" t="s">
        <v>353</v>
      </c>
      <c r="S570" s="79" t="s">
        <v>339</v>
      </c>
      <c r="T570" s="298">
        <f>IFERROR(Table6[[#This Row],[Breakdown Time]]*Table6[[#This Row],[Plant Equivalent Weightage]],"")</f>
        <v>7.5757575757576098E-3</v>
      </c>
      <c r="U570" s="79" t="s">
        <v>416</v>
      </c>
      <c r="W570" s="79">
        <v>10</v>
      </c>
    </row>
    <row r="571" spans="1:23">
      <c r="A571" s="79">
        <f t="shared" si="8"/>
        <v>570</v>
      </c>
      <c r="B571" s="79">
        <f>YEAR(Table6[[#This Row],[Date]])+IF(MONTH(Table6[[#This Row],[Date]])&gt;=4,1,0)</f>
        <v>2026</v>
      </c>
      <c r="C571" s="79">
        <f>YEAR(Table6[[#This Row],[Date]])</f>
        <v>2025</v>
      </c>
      <c r="D571" s="79" t="s">
        <v>344</v>
      </c>
      <c r="E571" s="284">
        <f>Table6[[#This Row],[Date]]-DAY(Table6[[#This Row],[Date]])+1</f>
        <v>45778</v>
      </c>
      <c r="F571" s="285">
        <v>45795</v>
      </c>
      <c r="G571" s="79" t="s">
        <v>100</v>
      </c>
      <c r="H571" s="79" t="str">
        <f>IFERROR(_xlfn.XLOOKUP(Table6[[#This Row],[Affected Feeder ]],'Basic Data'!$A:$A,'Basic Data'!$B:$B),"")</f>
        <v>PWEPL</v>
      </c>
      <c r="I571" s="79" t="str">
        <f>IFERROR(_xlfn.XLOOKUP(Table6[[#This Row],[Affected Feeder ]],'Basic Data'!$A:$A,'Basic Data'!$C:$C),"")</f>
        <v>MSEDCL</v>
      </c>
      <c r="J571" s="295">
        <f>IFERROR(_xlfn.XLOOKUP(Table6[[#This Row],[Affected Feeder ]],'Basic Data'!$A:$A,'Basic Data'!$E:$E),"")</f>
        <v>2.2727272727272728E-2</v>
      </c>
      <c r="K571" s="296" t="s">
        <v>171</v>
      </c>
      <c r="L571" s="297">
        <v>0.65972222222222221</v>
      </c>
      <c r="M571" s="297">
        <v>0.65972222222222221</v>
      </c>
      <c r="N571" s="297">
        <v>0.67361111111111116</v>
      </c>
      <c r="O571" s="19">
        <f>(Table6[[#This Row],[Work Start TimeStamp]]-Table6[[#This Row],[Fault Start TimeStamp]])*24</f>
        <v>0</v>
      </c>
      <c r="P571" s="19">
        <f>(Table6[[#This Row],[Fault Clearance time]]-Table6[[#This Row],[Fault Start TimeStamp]])*24</f>
        <v>0.33333333333333481</v>
      </c>
      <c r="Q571" s="19">
        <f>(Table6[[#This Row],[Fault Clearance time]]-Table6[[#This Row],[Fault Start TimeStamp]])*24</f>
        <v>0.33333333333333481</v>
      </c>
      <c r="R571" s="79" t="s">
        <v>353</v>
      </c>
      <c r="S571" s="79" t="s">
        <v>339</v>
      </c>
      <c r="T571" s="298">
        <f>IFERROR(Table6[[#This Row],[Breakdown Time]]*Table6[[#This Row],[Plant Equivalent Weightage]],"")</f>
        <v>7.5757575757576098E-3</v>
      </c>
      <c r="U571" s="79" t="s">
        <v>416</v>
      </c>
      <c r="W571" s="79">
        <v>10</v>
      </c>
    </row>
    <row r="572" spans="1:23">
      <c r="A572" s="79">
        <f t="shared" si="8"/>
        <v>571</v>
      </c>
      <c r="B572" s="79">
        <f>YEAR(Table6[[#This Row],[Date]])+IF(MONTH(Table6[[#This Row],[Date]])&gt;=4,1,0)</f>
        <v>2026</v>
      </c>
      <c r="C572" s="79">
        <f>YEAR(Table6[[#This Row],[Date]])</f>
        <v>2025</v>
      </c>
      <c r="D572" s="79" t="s">
        <v>344</v>
      </c>
      <c r="E572" s="284">
        <f>Table6[[#This Row],[Date]]-DAY(Table6[[#This Row],[Date]])+1</f>
        <v>45778</v>
      </c>
      <c r="F572" s="285">
        <v>45795</v>
      </c>
      <c r="G572" s="79" t="s">
        <v>101</v>
      </c>
      <c r="H572" s="79" t="str">
        <f>IFERROR(_xlfn.XLOOKUP(Table6[[#This Row],[Affected Feeder ]],'Basic Data'!$A:$A,'Basic Data'!$B:$B),"")</f>
        <v>PWEPL</v>
      </c>
      <c r="I572" s="79" t="str">
        <f>IFERROR(_xlfn.XLOOKUP(Table6[[#This Row],[Affected Feeder ]],'Basic Data'!$A:$A,'Basic Data'!$C:$C),"")</f>
        <v>MSEDCL</v>
      </c>
      <c r="J572" s="295">
        <f>IFERROR(_xlfn.XLOOKUP(Table6[[#This Row],[Affected Feeder ]],'Basic Data'!$A:$A,'Basic Data'!$E:$E),"")</f>
        <v>2.2727272727272728E-2</v>
      </c>
      <c r="K572" s="296" t="s">
        <v>171</v>
      </c>
      <c r="L572" s="297">
        <v>0.65972222222222221</v>
      </c>
      <c r="M572" s="297">
        <v>0.65972222222222221</v>
      </c>
      <c r="N572" s="297">
        <v>0.67361111111111116</v>
      </c>
      <c r="O572" s="19">
        <f>(Table6[[#This Row],[Work Start TimeStamp]]-Table6[[#This Row],[Fault Start TimeStamp]])*24</f>
        <v>0</v>
      </c>
      <c r="P572" s="19">
        <f>(Table6[[#This Row],[Fault Clearance time]]-Table6[[#This Row],[Fault Start TimeStamp]])*24</f>
        <v>0.33333333333333481</v>
      </c>
      <c r="Q572" s="19">
        <f>(Table6[[#This Row],[Fault Clearance time]]-Table6[[#This Row],[Fault Start TimeStamp]])*24</f>
        <v>0.33333333333333481</v>
      </c>
      <c r="R572" s="79" t="s">
        <v>353</v>
      </c>
      <c r="S572" s="79" t="s">
        <v>339</v>
      </c>
      <c r="T572" s="298">
        <f>IFERROR(Table6[[#This Row],[Breakdown Time]]*Table6[[#This Row],[Plant Equivalent Weightage]],"")</f>
        <v>7.5757575757576098E-3</v>
      </c>
      <c r="U572" s="79" t="s">
        <v>416</v>
      </c>
      <c r="W572" s="79">
        <v>10</v>
      </c>
    </row>
    <row r="573" spans="1:23">
      <c r="A573" s="79">
        <f t="shared" si="8"/>
        <v>572</v>
      </c>
      <c r="B573" s="79">
        <f>YEAR(Table6[[#This Row],[Date]])+IF(MONTH(Table6[[#This Row],[Date]])&gt;=4,1,0)</f>
        <v>2026</v>
      </c>
      <c r="C573" s="79">
        <f>YEAR(Table6[[#This Row],[Date]])</f>
        <v>2025</v>
      </c>
      <c r="D573" s="79" t="s">
        <v>344</v>
      </c>
      <c r="E573" s="284">
        <f>Table6[[#This Row],[Date]]-DAY(Table6[[#This Row],[Date]])+1</f>
        <v>45778</v>
      </c>
      <c r="F573" s="285">
        <v>45795</v>
      </c>
      <c r="G573" s="79" t="s">
        <v>404</v>
      </c>
      <c r="H573" s="79" t="str">
        <f>IFERROR(_xlfn.XLOOKUP(Table6[[#This Row],[Affected Feeder ]],'Basic Data'!$A:$A,'Basic Data'!$B:$B),"")</f>
        <v>PWEPL</v>
      </c>
      <c r="I573" s="79" t="str">
        <f>IFERROR(_xlfn.XLOOKUP(Table6[[#This Row],[Affected Feeder ]],'Basic Data'!$A:$A,'Basic Data'!$C:$C),"")</f>
        <v>MSEDCL</v>
      </c>
      <c r="J573" s="295">
        <f>IFERROR(_xlfn.XLOOKUP(Table6[[#This Row],[Affected Feeder ]],'Basic Data'!$A:$A,'Basic Data'!$E:$E),"")</f>
        <v>0.27272727272727276</v>
      </c>
      <c r="K573" s="296" t="s">
        <v>813</v>
      </c>
      <c r="L573" s="297">
        <v>0.41666666666666669</v>
      </c>
      <c r="M573" s="297">
        <v>0.41666666666666669</v>
      </c>
      <c r="N573" s="297">
        <v>0.65972222222222221</v>
      </c>
      <c r="O573" s="19">
        <f>(Table6[[#This Row],[Work Start TimeStamp]]-Table6[[#This Row],[Fault Start TimeStamp]])*24</f>
        <v>0</v>
      </c>
      <c r="P573" s="19">
        <f>(Table6[[#This Row],[Fault Clearance time]]-Table6[[#This Row],[Fault Start TimeStamp]])*24</f>
        <v>5.8333333333333321</v>
      </c>
      <c r="Q573" s="19">
        <f>(Table6[[#This Row],[Fault Clearance time]]-Table6[[#This Row],[Fault Start TimeStamp]])*24</f>
        <v>5.8333333333333321</v>
      </c>
      <c r="R573" s="79" t="s">
        <v>814</v>
      </c>
      <c r="S573" s="79" t="s">
        <v>339</v>
      </c>
      <c r="T573" s="298">
        <f>IFERROR(Table6[[#This Row],[Breakdown Time]]*Table6[[#This Row],[Plant Equivalent Weightage]],"")</f>
        <v>1.5909090909090908</v>
      </c>
      <c r="U573" s="79" t="s">
        <v>416</v>
      </c>
      <c r="W573" s="79">
        <v>2315</v>
      </c>
    </row>
    <row r="574" spans="1:23">
      <c r="A574" s="79">
        <f t="shared" si="8"/>
        <v>573</v>
      </c>
      <c r="B574" s="79">
        <f>YEAR(Table6[[#This Row],[Date]])+IF(MONTH(Table6[[#This Row],[Date]])&gt;=4,1,0)</f>
        <v>2026</v>
      </c>
      <c r="C574" s="79">
        <f>YEAR(Table6[[#This Row],[Date]])</f>
        <v>2025</v>
      </c>
      <c r="D574" s="79" t="s">
        <v>344</v>
      </c>
      <c r="E574" s="284">
        <f>Table6[[#This Row],[Date]]-DAY(Table6[[#This Row],[Date]])+1</f>
        <v>45778</v>
      </c>
      <c r="F574" s="285">
        <v>45795</v>
      </c>
      <c r="G574" s="79" t="s">
        <v>89</v>
      </c>
      <c r="H574" s="79" t="str">
        <f>IFERROR(_xlfn.XLOOKUP(Table6[[#This Row],[Affected Feeder ]],'Basic Data'!$A:$A,'Basic Data'!$B:$B),"")</f>
        <v>PWEPL</v>
      </c>
      <c r="I574" s="79" t="str">
        <f>IFERROR(_xlfn.XLOOKUP(Table6[[#This Row],[Affected Feeder ]],'Basic Data'!$A:$A,'Basic Data'!$C:$C),"")</f>
        <v>MSEDCL</v>
      </c>
      <c r="J574" s="295">
        <f>IFERROR(_xlfn.XLOOKUP(Table6[[#This Row],[Affected Feeder ]],'Basic Data'!$A:$A,'Basic Data'!$E:$E),"")</f>
        <v>2.2727272727272728E-2</v>
      </c>
      <c r="K574" s="296" t="s">
        <v>171</v>
      </c>
      <c r="L574" s="297">
        <v>0.65972222222222221</v>
      </c>
      <c r="M574" s="297">
        <v>0.65972222222222221</v>
      </c>
      <c r="N574" s="297">
        <v>0.67361111111111116</v>
      </c>
      <c r="O574" s="19">
        <f>(Table6[[#This Row],[Work Start TimeStamp]]-Table6[[#This Row],[Fault Start TimeStamp]])*24</f>
        <v>0</v>
      </c>
      <c r="P574" s="19">
        <f>(Table6[[#This Row],[Fault Clearance time]]-Table6[[#This Row],[Fault Start TimeStamp]])*24</f>
        <v>0.33333333333333481</v>
      </c>
      <c r="Q574" s="19">
        <f>(Table6[[#This Row],[Fault Clearance time]]-Table6[[#This Row],[Fault Start TimeStamp]])*24</f>
        <v>0.33333333333333481</v>
      </c>
      <c r="R574" s="79" t="s">
        <v>353</v>
      </c>
      <c r="S574" s="79" t="s">
        <v>339</v>
      </c>
      <c r="T574" s="298">
        <f>IFERROR(Table6[[#This Row],[Breakdown Time]]*Table6[[#This Row],[Plant Equivalent Weightage]],"")</f>
        <v>7.5757575757576098E-3</v>
      </c>
      <c r="U574" s="79" t="s">
        <v>416</v>
      </c>
      <c r="W574" s="79">
        <v>11</v>
      </c>
    </row>
    <row r="575" spans="1:23">
      <c r="A575" s="79">
        <f t="shared" si="8"/>
        <v>574</v>
      </c>
      <c r="B575" s="79">
        <f>YEAR(Table6[[#This Row],[Date]])+IF(MONTH(Table6[[#This Row],[Date]])&gt;=4,1,0)</f>
        <v>2026</v>
      </c>
      <c r="C575" s="79">
        <f>YEAR(Table6[[#This Row],[Date]])</f>
        <v>2025</v>
      </c>
      <c r="D575" s="79" t="s">
        <v>344</v>
      </c>
      <c r="E575" s="284">
        <f>Table6[[#This Row],[Date]]-DAY(Table6[[#This Row],[Date]])+1</f>
        <v>45778</v>
      </c>
      <c r="F575" s="285">
        <v>45795</v>
      </c>
      <c r="G575" s="79" t="s">
        <v>90</v>
      </c>
      <c r="H575" s="79" t="str">
        <f>IFERROR(_xlfn.XLOOKUP(Table6[[#This Row],[Affected Feeder ]],'Basic Data'!$A:$A,'Basic Data'!$B:$B),"")</f>
        <v>PWEPL</v>
      </c>
      <c r="I575" s="79" t="str">
        <f>IFERROR(_xlfn.XLOOKUP(Table6[[#This Row],[Affected Feeder ]],'Basic Data'!$A:$A,'Basic Data'!$C:$C),"")</f>
        <v>MSEDCL</v>
      </c>
      <c r="J575" s="295">
        <f>IFERROR(_xlfn.XLOOKUP(Table6[[#This Row],[Affected Feeder ]],'Basic Data'!$A:$A,'Basic Data'!$E:$E),"")</f>
        <v>2.2727272727272728E-2</v>
      </c>
      <c r="K575" s="296" t="s">
        <v>171</v>
      </c>
      <c r="L575" s="297">
        <v>0.65972222222222221</v>
      </c>
      <c r="M575" s="297">
        <v>0.65972222222222221</v>
      </c>
      <c r="N575" s="297">
        <v>0.67361111111111116</v>
      </c>
      <c r="O575" s="19">
        <f>(Table6[[#This Row],[Work Start TimeStamp]]-Table6[[#This Row],[Fault Start TimeStamp]])*24</f>
        <v>0</v>
      </c>
      <c r="P575" s="19">
        <f>(Table6[[#This Row],[Fault Clearance time]]-Table6[[#This Row],[Fault Start TimeStamp]])*24</f>
        <v>0.33333333333333481</v>
      </c>
      <c r="Q575" s="19">
        <f>(Table6[[#This Row],[Fault Clearance time]]-Table6[[#This Row],[Fault Start TimeStamp]])*24</f>
        <v>0.33333333333333481</v>
      </c>
      <c r="R575" s="79" t="s">
        <v>353</v>
      </c>
      <c r="S575" s="79" t="s">
        <v>339</v>
      </c>
      <c r="T575" s="298">
        <f>IFERROR(Table6[[#This Row],[Breakdown Time]]*Table6[[#This Row],[Plant Equivalent Weightage]],"")</f>
        <v>7.5757575757576098E-3</v>
      </c>
      <c r="U575" s="79" t="s">
        <v>416</v>
      </c>
      <c r="W575" s="79">
        <v>11</v>
      </c>
    </row>
    <row r="576" spans="1:23">
      <c r="A576" s="79">
        <f t="shared" si="8"/>
        <v>575</v>
      </c>
      <c r="B576" s="79">
        <f>YEAR(Table6[[#This Row],[Date]])+IF(MONTH(Table6[[#This Row],[Date]])&gt;=4,1,0)</f>
        <v>2026</v>
      </c>
      <c r="C576" s="79">
        <f>YEAR(Table6[[#This Row],[Date]])</f>
        <v>2025</v>
      </c>
      <c r="D576" s="79" t="s">
        <v>344</v>
      </c>
      <c r="E576" s="284">
        <f>Table6[[#This Row],[Date]]-DAY(Table6[[#This Row],[Date]])+1</f>
        <v>45778</v>
      </c>
      <c r="F576" s="285">
        <v>45795</v>
      </c>
      <c r="G576" s="79" t="s">
        <v>91</v>
      </c>
      <c r="H576" s="79" t="str">
        <f>IFERROR(_xlfn.XLOOKUP(Table6[[#This Row],[Affected Feeder ]],'Basic Data'!$A:$A,'Basic Data'!$B:$B),"")</f>
        <v>PWEPL</v>
      </c>
      <c r="I576" s="79" t="str">
        <f>IFERROR(_xlfn.XLOOKUP(Table6[[#This Row],[Affected Feeder ]],'Basic Data'!$A:$A,'Basic Data'!$C:$C),"")</f>
        <v>MSEDCL</v>
      </c>
      <c r="J576" s="295">
        <f>IFERROR(_xlfn.XLOOKUP(Table6[[#This Row],[Affected Feeder ]],'Basic Data'!$A:$A,'Basic Data'!$E:$E),"")</f>
        <v>2.2727272727272728E-2</v>
      </c>
      <c r="K576" s="296" t="s">
        <v>171</v>
      </c>
      <c r="L576" s="297">
        <v>0.65972222222222221</v>
      </c>
      <c r="M576" s="297">
        <v>0.65972222222222221</v>
      </c>
      <c r="N576" s="297">
        <v>0.67361111111111116</v>
      </c>
      <c r="O576" s="19">
        <f>(Table6[[#This Row],[Work Start TimeStamp]]-Table6[[#This Row],[Fault Start TimeStamp]])*24</f>
        <v>0</v>
      </c>
      <c r="P576" s="19">
        <f>(Table6[[#This Row],[Fault Clearance time]]-Table6[[#This Row],[Fault Start TimeStamp]])*24</f>
        <v>0.33333333333333481</v>
      </c>
      <c r="Q576" s="19">
        <f>(Table6[[#This Row],[Fault Clearance time]]-Table6[[#This Row],[Fault Start TimeStamp]])*24</f>
        <v>0.33333333333333481</v>
      </c>
      <c r="R576" s="79" t="s">
        <v>353</v>
      </c>
      <c r="S576" s="79" t="s">
        <v>339</v>
      </c>
      <c r="T576" s="298">
        <f>IFERROR(Table6[[#This Row],[Breakdown Time]]*Table6[[#This Row],[Plant Equivalent Weightage]],"")</f>
        <v>7.5757575757576098E-3</v>
      </c>
      <c r="U576" s="79" t="s">
        <v>416</v>
      </c>
      <c r="W576" s="79">
        <v>11</v>
      </c>
    </row>
    <row r="577" spans="1:23">
      <c r="A577" s="79">
        <f t="shared" si="8"/>
        <v>576</v>
      </c>
      <c r="B577" s="79">
        <f>YEAR(Table6[[#This Row],[Date]])+IF(MONTH(Table6[[#This Row],[Date]])&gt;=4,1,0)</f>
        <v>2026</v>
      </c>
      <c r="C577" s="79">
        <f>YEAR(Table6[[#This Row],[Date]])</f>
        <v>2025</v>
      </c>
      <c r="D577" s="79" t="s">
        <v>344</v>
      </c>
      <c r="E577" s="284">
        <f>Table6[[#This Row],[Date]]-DAY(Table6[[#This Row],[Date]])+1</f>
        <v>45778</v>
      </c>
      <c r="F577" s="285">
        <v>45795</v>
      </c>
      <c r="G577" s="79" t="s">
        <v>92</v>
      </c>
      <c r="H577" s="79" t="str">
        <f>IFERROR(_xlfn.XLOOKUP(Table6[[#This Row],[Affected Feeder ]],'Basic Data'!$A:$A,'Basic Data'!$B:$B),"")</f>
        <v>PWEPL</v>
      </c>
      <c r="I577" s="79" t="str">
        <f>IFERROR(_xlfn.XLOOKUP(Table6[[#This Row],[Affected Feeder ]],'Basic Data'!$A:$A,'Basic Data'!$C:$C),"")</f>
        <v>MSEDCL</v>
      </c>
      <c r="J577" s="295">
        <f>IFERROR(_xlfn.XLOOKUP(Table6[[#This Row],[Affected Feeder ]],'Basic Data'!$A:$A,'Basic Data'!$E:$E),"")</f>
        <v>2.2727272727272728E-2</v>
      </c>
      <c r="K577" s="296" t="s">
        <v>171</v>
      </c>
      <c r="L577" s="297">
        <v>0.65972222222222221</v>
      </c>
      <c r="M577" s="297">
        <v>0.65972222222222221</v>
      </c>
      <c r="N577" s="297">
        <v>0.67361111111111116</v>
      </c>
      <c r="O577" s="19">
        <f>(Table6[[#This Row],[Work Start TimeStamp]]-Table6[[#This Row],[Fault Start TimeStamp]])*24</f>
        <v>0</v>
      </c>
      <c r="P577" s="19">
        <f>(Table6[[#This Row],[Fault Clearance time]]-Table6[[#This Row],[Fault Start TimeStamp]])*24</f>
        <v>0.33333333333333481</v>
      </c>
      <c r="Q577" s="19">
        <f>(Table6[[#This Row],[Fault Clearance time]]-Table6[[#This Row],[Fault Start TimeStamp]])*24</f>
        <v>0.33333333333333481</v>
      </c>
      <c r="R577" s="79" t="s">
        <v>353</v>
      </c>
      <c r="S577" s="79" t="s">
        <v>339</v>
      </c>
      <c r="T577" s="298">
        <f>IFERROR(Table6[[#This Row],[Breakdown Time]]*Table6[[#This Row],[Plant Equivalent Weightage]],"")</f>
        <v>7.5757575757576098E-3</v>
      </c>
      <c r="U577" s="79" t="s">
        <v>416</v>
      </c>
      <c r="W577" s="79">
        <v>11</v>
      </c>
    </row>
    <row r="578" spans="1:23">
      <c r="A578" s="79">
        <f t="shared" si="8"/>
        <v>577</v>
      </c>
      <c r="B578" s="79">
        <f>YEAR(Table6[[#This Row],[Date]])+IF(MONTH(Table6[[#This Row],[Date]])&gt;=4,1,0)</f>
        <v>2026</v>
      </c>
      <c r="C578" s="79">
        <f>YEAR(Table6[[#This Row],[Date]])</f>
        <v>2025</v>
      </c>
      <c r="D578" s="79" t="s">
        <v>344</v>
      </c>
      <c r="E578" s="284">
        <f>Table6[[#This Row],[Date]]-DAY(Table6[[#This Row],[Date]])+1</f>
        <v>45778</v>
      </c>
      <c r="F578" s="285">
        <v>45795</v>
      </c>
      <c r="G578" s="79" t="s">
        <v>94</v>
      </c>
      <c r="H578" s="79" t="str">
        <f>IFERROR(_xlfn.XLOOKUP(Table6[[#This Row],[Affected Feeder ]],'Basic Data'!$A:$A,'Basic Data'!$B:$B),"")</f>
        <v>PWEPL</v>
      </c>
      <c r="I578" s="79" t="str">
        <f>IFERROR(_xlfn.XLOOKUP(Table6[[#This Row],[Affected Feeder ]],'Basic Data'!$A:$A,'Basic Data'!$C:$C),"")</f>
        <v>MSEDCL</v>
      </c>
      <c r="J578" s="295">
        <f>IFERROR(_xlfn.XLOOKUP(Table6[[#This Row],[Affected Feeder ]],'Basic Data'!$A:$A,'Basic Data'!$E:$E),"")</f>
        <v>2.2727272727272728E-2</v>
      </c>
      <c r="K578" s="296" t="s">
        <v>171</v>
      </c>
      <c r="L578" s="297">
        <v>0.65972222222222221</v>
      </c>
      <c r="M578" s="297">
        <v>0.65972222222222221</v>
      </c>
      <c r="N578" s="297">
        <v>0.67361111111111116</v>
      </c>
      <c r="O578" s="19">
        <f>(Table6[[#This Row],[Work Start TimeStamp]]-Table6[[#This Row],[Fault Start TimeStamp]])*24</f>
        <v>0</v>
      </c>
      <c r="P578" s="19">
        <f>(Table6[[#This Row],[Fault Clearance time]]-Table6[[#This Row],[Fault Start TimeStamp]])*24</f>
        <v>0.33333333333333481</v>
      </c>
      <c r="Q578" s="19">
        <f>(Table6[[#This Row],[Fault Clearance time]]-Table6[[#This Row],[Fault Start TimeStamp]])*24</f>
        <v>0.33333333333333481</v>
      </c>
      <c r="R578" s="79" t="s">
        <v>353</v>
      </c>
      <c r="S578" s="79" t="s">
        <v>339</v>
      </c>
      <c r="T578" s="298">
        <f>IFERROR(Table6[[#This Row],[Breakdown Time]]*Table6[[#This Row],[Plant Equivalent Weightage]],"")</f>
        <v>7.5757575757576098E-3</v>
      </c>
      <c r="U578" s="79" t="s">
        <v>416</v>
      </c>
      <c r="W578" s="79">
        <v>11</v>
      </c>
    </row>
    <row r="579" spans="1:23">
      <c r="A579" s="79">
        <f t="shared" si="8"/>
        <v>578</v>
      </c>
      <c r="B579" s="79">
        <f>YEAR(Table6[[#This Row],[Date]])+IF(MONTH(Table6[[#This Row],[Date]])&gt;=4,1,0)</f>
        <v>2026</v>
      </c>
      <c r="C579" s="79">
        <f>YEAR(Table6[[#This Row],[Date]])</f>
        <v>2025</v>
      </c>
      <c r="D579" s="79" t="s">
        <v>344</v>
      </c>
      <c r="E579" s="284">
        <f>Table6[[#This Row],[Date]]-DAY(Table6[[#This Row],[Date]])+1</f>
        <v>45778</v>
      </c>
      <c r="F579" s="285">
        <v>45795</v>
      </c>
      <c r="G579" s="79" t="s">
        <v>95</v>
      </c>
      <c r="H579" s="79" t="str">
        <f>IFERROR(_xlfn.XLOOKUP(Table6[[#This Row],[Affected Feeder ]],'Basic Data'!$A:$A,'Basic Data'!$B:$B),"")</f>
        <v>PWEPL</v>
      </c>
      <c r="I579" s="79" t="str">
        <f>IFERROR(_xlfn.XLOOKUP(Table6[[#This Row],[Affected Feeder ]],'Basic Data'!$A:$A,'Basic Data'!$C:$C),"")</f>
        <v>MSEDCL</v>
      </c>
      <c r="J579" s="295">
        <f>IFERROR(_xlfn.XLOOKUP(Table6[[#This Row],[Affected Feeder ]],'Basic Data'!$A:$A,'Basic Data'!$E:$E),"")</f>
        <v>2.2727272727272728E-2</v>
      </c>
      <c r="K579" s="296" t="s">
        <v>171</v>
      </c>
      <c r="L579" s="297">
        <v>0.65972222222222221</v>
      </c>
      <c r="M579" s="297">
        <v>0.65972222222222221</v>
      </c>
      <c r="N579" s="297">
        <v>0.67361111111111116</v>
      </c>
      <c r="O579" s="19">
        <f>(Table6[[#This Row],[Work Start TimeStamp]]-Table6[[#This Row],[Fault Start TimeStamp]])*24</f>
        <v>0</v>
      </c>
      <c r="P579" s="19">
        <f>(Table6[[#This Row],[Fault Clearance time]]-Table6[[#This Row],[Fault Start TimeStamp]])*24</f>
        <v>0.33333333333333481</v>
      </c>
      <c r="Q579" s="19">
        <f>(Table6[[#This Row],[Fault Clearance time]]-Table6[[#This Row],[Fault Start TimeStamp]])*24</f>
        <v>0.33333333333333481</v>
      </c>
      <c r="R579" s="79" t="s">
        <v>353</v>
      </c>
      <c r="S579" s="79" t="s">
        <v>339</v>
      </c>
      <c r="T579" s="298">
        <f>IFERROR(Table6[[#This Row],[Breakdown Time]]*Table6[[#This Row],[Plant Equivalent Weightage]],"")</f>
        <v>7.5757575757576098E-3</v>
      </c>
      <c r="U579" s="79" t="s">
        <v>416</v>
      </c>
      <c r="W579" s="79">
        <v>11</v>
      </c>
    </row>
    <row r="580" spans="1:23">
      <c r="A580" s="79">
        <f t="shared" ref="A580:A643" si="9">A579+1</f>
        <v>579</v>
      </c>
      <c r="B580" s="79">
        <f>YEAR(Table6[[#This Row],[Date]])+IF(MONTH(Table6[[#This Row],[Date]])&gt;=4,1,0)</f>
        <v>2026</v>
      </c>
      <c r="C580" s="79">
        <f>YEAR(Table6[[#This Row],[Date]])</f>
        <v>2025</v>
      </c>
      <c r="D580" s="79" t="s">
        <v>344</v>
      </c>
      <c r="E580" s="284">
        <f>Table6[[#This Row],[Date]]-DAY(Table6[[#This Row],[Date]])+1</f>
        <v>45778</v>
      </c>
      <c r="F580" s="285">
        <v>45795</v>
      </c>
      <c r="G580" s="79" t="s">
        <v>106</v>
      </c>
      <c r="H580" s="79" t="str">
        <f>IFERROR(_xlfn.XLOOKUP(Table6[[#This Row],[Affected Feeder ]],'Basic Data'!$A:$A,'Basic Data'!$B:$B),"")</f>
        <v>PWEPL</v>
      </c>
      <c r="I580" s="79" t="str">
        <f>IFERROR(_xlfn.XLOOKUP(Table6[[#This Row],[Affected Feeder ]],'Basic Data'!$A:$A,'Basic Data'!$C:$C),"")</f>
        <v>MSEDCL</v>
      </c>
      <c r="J580" s="295">
        <f>IFERROR(_xlfn.XLOOKUP(Table6[[#This Row],[Affected Feeder ]],'Basic Data'!$A:$A,'Basic Data'!$E:$E),"")</f>
        <v>2.2727272727272728E-2</v>
      </c>
      <c r="K580" s="296" t="s">
        <v>171</v>
      </c>
      <c r="L580" s="297">
        <v>0.65972222222222221</v>
      </c>
      <c r="M580" s="297">
        <v>0.65972222222222221</v>
      </c>
      <c r="N580" s="297">
        <v>0.67361111111111116</v>
      </c>
      <c r="O580" s="19">
        <f>(Table6[[#This Row],[Work Start TimeStamp]]-Table6[[#This Row],[Fault Start TimeStamp]])*24</f>
        <v>0</v>
      </c>
      <c r="P580" s="19">
        <f>(Table6[[#This Row],[Fault Clearance time]]-Table6[[#This Row],[Fault Start TimeStamp]])*24</f>
        <v>0.33333333333333481</v>
      </c>
      <c r="Q580" s="19">
        <f>(Table6[[#This Row],[Fault Clearance time]]-Table6[[#This Row],[Fault Start TimeStamp]])*24</f>
        <v>0.33333333333333481</v>
      </c>
      <c r="R580" s="79" t="s">
        <v>353</v>
      </c>
      <c r="S580" s="79" t="s">
        <v>339</v>
      </c>
      <c r="T580" s="298">
        <f>IFERROR(Table6[[#This Row],[Breakdown Time]]*Table6[[#This Row],[Plant Equivalent Weightage]],"")</f>
        <v>7.5757575757576098E-3</v>
      </c>
      <c r="U580" s="79" t="s">
        <v>416</v>
      </c>
      <c r="W580" s="79">
        <v>11</v>
      </c>
    </row>
    <row r="581" spans="1:23">
      <c r="A581" s="79">
        <f t="shared" si="9"/>
        <v>580</v>
      </c>
      <c r="B581" s="79">
        <f>YEAR(Table6[[#This Row],[Date]])+IF(MONTH(Table6[[#This Row],[Date]])&gt;=4,1,0)</f>
        <v>2026</v>
      </c>
      <c r="C581" s="79">
        <f>YEAR(Table6[[#This Row],[Date]])</f>
        <v>2025</v>
      </c>
      <c r="D581" s="79" t="s">
        <v>344</v>
      </c>
      <c r="E581" s="284">
        <f>Table6[[#This Row],[Date]]-DAY(Table6[[#This Row],[Date]])+1</f>
        <v>45778</v>
      </c>
      <c r="F581" s="285">
        <v>45795</v>
      </c>
      <c r="G581" s="79" t="s">
        <v>79</v>
      </c>
      <c r="H581" s="79" t="str">
        <f>IFERROR(_xlfn.XLOOKUP(Table6[[#This Row],[Affected Feeder ]],'Basic Data'!$A:$A,'Basic Data'!$B:$B),"")</f>
        <v>PWEPL</v>
      </c>
      <c r="I581" s="79" t="str">
        <f>IFERROR(_xlfn.XLOOKUP(Table6[[#This Row],[Affected Feeder ]],'Basic Data'!$A:$A,'Basic Data'!$C:$C),"")</f>
        <v>MSEDCL</v>
      </c>
      <c r="J581" s="295">
        <f>IFERROR(_xlfn.XLOOKUP(Table6[[#This Row],[Affected Feeder ]],'Basic Data'!$A:$A,'Basic Data'!$E:$E),"")</f>
        <v>2.2727272727272728E-2</v>
      </c>
      <c r="K581" s="296" t="s">
        <v>171</v>
      </c>
      <c r="L581" s="297">
        <v>0.65972222222222221</v>
      </c>
      <c r="M581" s="297">
        <v>0.65972222222222221</v>
      </c>
      <c r="N581" s="297">
        <v>0.67361111111111116</v>
      </c>
      <c r="O581" s="19">
        <f>(Table6[[#This Row],[Work Start TimeStamp]]-Table6[[#This Row],[Fault Start TimeStamp]])*24</f>
        <v>0</v>
      </c>
      <c r="P581" s="19">
        <f>(Table6[[#This Row],[Fault Clearance time]]-Table6[[#This Row],[Fault Start TimeStamp]])*24</f>
        <v>0.33333333333333481</v>
      </c>
      <c r="Q581" s="19">
        <f>(Table6[[#This Row],[Fault Clearance time]]-Table6[[#This Row],[Fault Start TimeStamp]])*24</f>
        <v>0.33333333333333481</v>
      </c>
      <c r="R581" s="79" t="s">
        <v>353</v>
      </c>
      <c r="S581" s="79" t="s">
        <v>339</v>
      </c>
      <c r="T581" s="298">
        <f>IFERROR(Table6[[#This Row],[Breakdown Time]]*Table6[[#This Row],[Plant Equivalent Weightage]],"")</f>
        <v>7.5757575757576098E-3</v>
      </c>
      <c r="U581" s="79" t="s">
        <v>416</v>
      </c>
      <c r="W581" s="79">
        <v>11</v>
      </c>
    </row>
    <row r="582" spans="1:23">
      <c r="A582" s="79">
        <f t="shared" si="9"/>
        <v>581</v>
      </c>
      <c r="B582" s="79">
        <f>YEAR(Table6[[#This Row],[Date]])+IF(MONTH(Table6[[#This Row],[Date]])&gt;=4,1,0)</f>
        <v>2026</v>
      </c>
      <c r="C582" s="79">
        <f>YEAR(Table6[[#This Row],[Date]])</f>
        <v>2025</v>
      </c>
      <c r="D582" s="79" t="s">
        <v>344</v>
      </c>
      <c r="E582" s="284">
        <f>Table6[[#This Row],[Date]]-DAY(Table6[[#This Row],[Date]])+1</f>
        <v>45778</v>
      </c>
      <c r="F582" s="285">
        <v>45795</v>
      </c>
      <c r="G582" s="79" t="s">
        <v>96</v>
      </c>
      <c r="H582" s="79" t="str">
        <f>IFERROR(_xlfn.XLOOKUP(Table6[[#This Row],[Affected Feeder ]],'Basic Data'!$A:$A,'Basic Data'!$B:$B),"")</f>
        <v>PWEPL</v>
      </c>
      <c r="I582" s="79" t="str">
        <f>IFERROR(_xlfn.XLOOKUP(Table6[[#This Row],[Affected Feeder ]],'Basic Data'!$A:$A,'Basic Data'!$C:$C),"")</f>
        <v>MSEDCL</v>
      </c>
      <c r="J582" s="295">
        <f>IFERROR(_xlfn.XLOOKUP(Table6[[#This Row],[Affected Feeder ]],'Basic Data'!$A:$A,'Basic Data'!$E:$E),"")</f>
        <v>2.2727272727272728E-2</v>
      </c>
      <c r="K582" s="296" t="s">
        <v>171</v>
      </c>
      <c r="L582" s="297">
        <v>0.65972222222222221</v>
      </c>
      <c r="M582" s="297">
        <v>0.65972222222222221</v>
      </c>
      <c r="N582" s="297">
        <v>0.67361111111111116</v>
      </c>
      <c r="O582" s="19">
        <f>(Table6[[#This Row],[Work Start TimeStamp]]-Table6[[#This Row],[Fault Start TimeStamp]])*24</f>
        <v>0</v>
      </c>
      <c r="P582" s="19">
        <f>(Table6[[#This Row],[Fault Clearance time]]-Table6[[#This Row],[Fault Start TimeStamp]])*24</f>
        <v>0.33333333333333481</v>
      </c>
      <c r="Q582" s="19">
        <f>(Table6[[#This Row],[Fault Clearance time]]-Table6[[#This Row],[Fault Start TimeStamp]])*24</f>
        <v>0.33333333333333481</v>
      </c>
      <c r="R582" s="79" t="s">
        <v>353</v>
      </c>
      <c r="S582" s="79" t="s">
        <v>339</v>
      </c>
      <c r="T582" s="298">
        <f>IFERROR(Table6[[#This Row],[Breakdown Time]]*Table6[[#This Row],[Plant Equivalent Weightage]],"")</f>
        <v>7.5757575757576098E-3</v>
      </c>
      <c r="U582" s="79" t="s">
        <v>416</v>
      </c>
      <c r="W582" s="79">
        <v>11</v>
      </c>
    </row>
    <row r="583" spans="1:23">
      <c r="A583" s="79">
        <f t="shared" si="9"/>
        <v>582</v>
      </c>
      <c r="B583" s="79">
        <f>YEAR(Table6[[#This Row],[Date]])+IF(MONTH(Table6[[#This Row],[Date]])&gt;=4,1,0)</f>
        <v>2026</v>
      </c>
      <c r="C583" s="79">
        <f>YEAR(Table6[[#This Row],[Date]])</f>
        <v>2025</v>
      </c>
      <c r="D583" s="79" t="s">
        <v>344</v>
      </c>
      <c r="E583" s="284">
        <f>Table6[[#This Row],[Date]]-DAY(Table6[[#This Row],[Date]])+1</f>
        <v>45778</v>
      </c>
      <c r="F583" s="285">
        <v>45795</v>
      </c>
      <c r="G583" s="79" t="s">
        <v>97</v>
      </c>
      <c r="H583" s="79" t="str">
        <f>IFERROR(_xlfn.XLOOKUP(Table6[[#This Row],[Affected Feeder ]],'Basic Data'!$A:$A,'Basic Data'!$B:$B),"")</f>
        <v>PWEPL</v>
      </c>
      <c r="I583" s="79" t="str">
        <f>IFERROR(_xlfn.XLOOKUP(Table6[[#This Row],[Affected Feeder ]],'Basic Data'!$A:$A,'Basic Data'!$C:$C),"")</f>
        <v>MSEDCL</v>
      </c>
      <c r="J583" s="295">
        <f>IFERROR(_xlfn.XLOOKUP(Table6[[#This Row],[Affected Feeder ]],'Basic Data'!$A:$A,'Basic Data'!$E:$E),"")</f>
        <v>2.2727272727272728E-2</v>
      </c>
      <c r="K583" s="296" t="s">
        <v>171</v>
      </c>
      <c r="L583" s="297">
        <v>0.65972222222222221</v>
      </c>
      <c r="M583" s="297">
        <v>0.65972222222222221</v>
      </c>
      <c r="N583" s="297">
        <v>0.67361111111111116</v>
      </c>
      <c r="O583" s="19">
        <f>(Table6[[#This Row],[Work Start TimeStamp]]-Table6[[#This Row],[Fault Start TimeStamp]])*24</f>
        <v>0</v>
      </c>
      <c r="P583" s="19">
        <f>(Table6[[#This Row],[Fault Clearance time]]-Table6[[#This Row],[Fault Start TimeStamp]])*24</f>
        <v>0.33333333333333481</v>
      </c>
      <c r="Q583" s="19">
        <f>(Table6[[#This Row],[Fault Clearance time]]-Table6[[#This Row],[Fault Start TimeStamp]])*24</f>
        <v>0.33333333333333481</v>
      </c>
      <c r="R583" s="79" t="s">
        <v>353</v>
      </c>
      <c r="S583" s="79" t="s">
        <v>339</v>
      </c>
      <c r="T583" s="298">
        <f>IFERROR(Table6[[#This Row],[Breakdown Time]]*Table6[[#This Row],[Plant Equivalent Weightage]],"")</f>
        <v>7.5757575757576098E-3</v>
      </c>
      <c r="U583" s="79" t="s">
        <v>416</v>
      </c>
      <c r="W583" s="79">
        <v>11</v>
      </c>
    </row>
    <row r="584" spans="1:23">
      <c r="A584" s="79">
        <f t="shared" si="9"/>
        <v>583</v>
      </c>
      <c r="B584" s="79">
        <f>YEAR(Table6[[#This Row],[Date]])+IF(MONTH(Table6[[#This Row],[Date]])&gt;=4,1,0)</f>
        <v>2026</v>
      </c>
      <c r="C584" s="79">
        <f>YEAR(Table6[[#This Row],[Date]])</f>
        <v>2025</v>
      </c>
      <c r="D584" s="79" t="s">
        <v>344</v>
      </c>
      <c r="E584" s="284">
        <f>Table6[[#This Row],[Date]]-DAY(Table6[[#This Row],[Date]])+1</f>
        <v>45778</v>
      </c>
      <c r="F584" s="285">
        <v>45795</v>
      </c>
      <c r="G584" s="79" t="s">
        <v>104</v>
      </c>
      <c r="H584" s="79" t="str">
        <f>IFERROR(_xlfn.XLOOKUP(Table6[[#This Row],[Affected Feeder ]],'Basic Data'!$A:$A,'Basic Data'!$B:$B),"")</f>
        <v>PWEPL</v>
      </c>
      <c r="I584" s="79" t="str">
        <f>IFERROR(_xlfn.XLOOKUP(Table6[[#This Row],[Affected Feeder ]],'Basic Data'!$A:$A,'Basic Data'!$C:$C),"")</f>
        <v>MSEDCL</v>
      </c>
      <c r="J584" s="295">
        <f>IFERROR(_xlfn.XLOOKUP(Table6[[#This Row],[Affected Feeder ]],'Basic Data'!$A:$A,'Basic Data'!$E:$E),"")</f>
        <v>2.2727272727272728E-2</v>
      </c>
      <c r="K584" s="296" t="s">
        <v>171</v>
      </c>
      <c r="L584" s="297">
        <v>0.65972222222222221</v>
      </c>
      <c r="M584" s="297">
        <v>0.65972222222222221</v>
      </c>
      <c r="N584" s="297">
        <v>0.67361111111111116</v>
      </c>
      <c r="O584" s="19">
        <f>(Table6[[#This Row],[Work Start TimeStamp]]-Table6[[#This Row],[Fault Start TimeStamp]])*24</f>
        <v>0</v>
      </c>
      <c r="P584" s="19">
        <f>(Table6[[#This Row],[Fault Clearance time]]-Table6[[#This Row],[Fault Start TimeStamp]])*24</f>
        <v>0.33333333333333481</v>
      </c>
      <c r="Q584" s="19">
        <f>(Table6[[#This Row],[Fault Clearance time]]-Table6[[#This Row],[Fault Start TimeStamp]])*24</f>
        <v>0.33333333333333481</v>
      </c>
      <c r="R584" s="79" t="s">
        <v>353</v>
      </c>
      <c r="S584" s="79" t="s">
        <v>339</v>
      </c>
      <c r="T584" s="298">
        <f>IFERROR(Table6[[#This Row],[Breakdown Time]]*Table6[[#This Row],[Plant Equivalent Weightage]],"")</f>
        <v>7.5757575757576098E-3</v>
      </c>
      <c r="U584" s="79" t="s">
        <v>416</v>
      </c>
      <c r="W584" s="79">
        <v>11</v>
      </c>
    </row>
    <row r="585" spans="1:23">
      <c r="A585" s="79">
        <f t="shared" si="9"/>
        <v>584</v>
      </c>
      <c r="B585" s="79">
        <f>YEAR(Table6[[#This Row],[Date]])+IF(MONTH(Table6[[#This Row],[Date]])&gt;=4,1,0)</f>
        <v>2026</v>
      </c>
      <c r="C585" s="79">
        <f>YEAR(Table6[[#This Row],[Date]])</f>
        <v>2025</v>
      </c>
      <c r="D585" s="79" t="s">
        <v>344</v>
      </c>
      <c r="E585" s="284">
        <f>Table6[[#This Row],[Date]]-DAY(Table6[[#This Row],[Date]])+1</f>
        <v>45778</v>
      </c>
      <c r="F585" s="285">
        <v>45795</v>
      </c>
      <c r="G585" s="79" t="s">
        <v>110</v>
      </c>
      <c r="H585" s="79" t="str">
        <f>IFERROR(_xlfn.XLOOKUP(Table6[[#This Row],[Affected Feeder ]],'Basic Data'!$A:$A,'Basic Data'!$B:$B),"")</f>
        <v>PWEPL</v>
      </c>
      <c r="I585" s="79" t="str">
        <f>IFERROR(_xlfn.XLOOKUP(Table6[[#This Row],[Affected Feeder ]],'Basic Data'!$A:$A,'Basic Data'!$C:$C),"")</f>
        <v>MSEDCL</v>
      </c>
      <c r="J585" s="295">
        <f>IFERROR(_xlfn.XLOOKUP(Table6[[#This Row],[Affected Feeder ]],'Basic Data'!$A:$A,'Basic Data'!$E:$E),"")</f>
        <v>2.2727272727272728E-2</v>
      </c>
      <c r="K585" s="296" t="s">
        <v>171</v>
      </c>
      <c r="L585" s="297">
        <v>0.65972222222222221</v>
      </c>
      <c r="M585" s="297">
        <v>0.65972222222222221</v>
      </c>
      <c r="N585" s="297">
        <v>0.67361111111111116</v>
      </c>
      <c r="O585" s="19">
        <f>(Table6[[#This Row],[Work Start TimeStamp]]-Table6[[#This Row],[Fault Start TimeStamp]])*24</f>
        <v>0</v>
      </c>
      <c r="P585" s="19">
        <f>(Table6[[#This Row],[Fault Clearance time]]-Table6[[#This Row],[Fault Start TimeStamp]])*24</f>
        <v>0.33333333333333481</v>
      </c>
      <c r="Q585" s="19">
        <f>(Table6[[#This Row],[Fault Clearance time]]-Table6[[#This Row],[Fault Start TimeStamp]])*24</f>
        <v>0.33333333333333481</v>
      </c>
      <c r="R585" s="79" t="s">
        <v>353</v>
      </c>
      <c r="S585" s="79" t="s">
        <v>339</v>
      </c>
      <c r="T585" s="298">
        <f>IFERROR(Table6[[#This Row],[Breakdown Time]]*Table6[[#This Row],[Plant Equivalent Weightage]],"")</f>
        <v>7.5757575757576098E-3</v>
      </c>
      <c r="U585" s="79" t="s">
        <v>416</v>
      </c>
      <c r="W585" s="79">
        <v>11</v>
      </c>
    </row>
    <row r="586" spans="1:23">
      <c r="A586" s="79">
        <f t="shared" si="9"/>
        <v>585</v>
      </c>
      <c r="B586" s="79">
        <f>YEAR(Table6[[#This Row],[Date]])+IF(MONTH(Table6[[#This Row],[Date]])&gt;=4,1,0)</f>
        <v>2026</v>
      </c>
      <c r="C586" s="79">
        <f>YEAR(Table6[[#This Row],[Date]])</f>
        <v>2025</v>
      </c>
      <c r="D586" s="79" t="s">
        <v>344</v>
      </c>
      <c r="E586" s="284">
        <f>Table6[[#This Row],[Date]]-DAY(Table6[[#This Row],[Date]])+1</f>
        <v>45778</v>
      </c>
      <c r="F586" s="285">
        <v>45796</v>
      </c>
      <c r="G586" s="79" t="s">
        <v>405</v>
      </c>
      <c r="H586" s="79" t="str">
        <f>IFERROR(_xlfn.XLOOKUP(Table6[[#This Row],[Affected Feeder ]],'Basic Data'!$A:$A,'Basic Data'!$B:$B),"")</f>
        <v>PWEPL</v>
      </c>
      <c r="I586" s="79" t="str">
        <f>IFERROR(_xlfn.XLOOKUP(Table6[[#This Row],[Affected Feeder ]],'Basic Data'!$A:$A,'Basic Data'!$C:$C),"")</f>
        <v>MSEDCL</v>
      </c>
      <c r="J586" s="295">
        <f>IFERROR(_xlfn.XLOOKUP(Table6[[#This Row],[Affected Feeder ]],'Basic Data'!$A:$A,'Basic Data'!$E:$E),"")</f>
        <v>0.20454545454545453</v>
      </c>
      <c r="K586" s="296" t="s">
        <v>419</v>
      </c>
      <c r="L586" s="297">
        <v>0.27916666666666667</v>
      </c>
      <c r="M586" s="297">
        <v>0.27916666666666667</v>
      </c>
      <c r="N586" s="297">
        <v>0.33124999999999999</v>
      </c>
      <c r="O586" s="19">
        <f>(Table6[[#This Row],[Work Start TimeStamp]]-Table6[[#This Row],[Fault Start TimeStamp]])*24</f>
        <v>0</v>
      </c>
      <c r="P586" s="19">
        <f>(Table6[[#This Row],[Fault Clearance time]]-Table6[[#This Row],[Fault Start TimeStamp]])*24</f>
        <v>1.2499999999999996</v>
      </c>
      <c r="Q586" s="19">
        <f>(Table6[[#This Row],[Fault Clearance time]]-Table6[[#This Row],[Fault Start TimeStamp]])*24</f>
        <v>1.2499999999999996</v>
      </c>
      <c r="R586" s="79" t="s">
        <v>420</v>
      </c>
      <c r="S586" s="79" t="s">
        <v>339</v>
      </c>
      <c r="T586" s="298">
        <f>IFERROR(Table6[[#This Row],[Breakdown Time]]*Table6[[#This Row],[Plant Equivalent Weightage]],"")</f>
        <v>0.25568181818181807</v>
      </c>
      <c r="U586" s="79" t="s">
        <v>421</v>
      </c>
      <c r="W586" s="79">
        <v>900</v>
      </c>
    </row>
    <row r="587" spans="1:23">
      <c r="A587" s="79">
        <f t="shared" si="9"/>
        <v>586</v>
      </c>
      <c r="B587" s="79">
        <f>YEAR(Table6[[#This Row],[Date]])+IF(MONTH(Table6[[#This Row],[Date]])&gt;=4,1,0)</f>
        <v>2026</v>
      </c>
      <c r="C587" s="79">
        <f>YEAR(Table6[[#This Row],[Date]])</f>
        <v>2025</v>
      </c>
      <c r="D587" s="79" t="s">
        <v>344</v>
      </c>
      <c r="E587" s="284">
        <f>Table6[[#This Row],[Date]]-DAY(Table6[[#This Row],[Date]])+1</f>
        <v>45778</v>
      </c>
      <c r="F587" s="285">
        <v>45796</v>
      </c>
      <c r="G587" s="79" t="s">
        <v>109</v>
      </c>
      <c r="H587" s="79" t="str">
        <f>IFERROR(_xlfn.XLOOKUP(Table6[[#This Row],[Affected Feeder ]],'Basic Data'!$A:$A,'Basic Data'!$B:$B),"")</f>
        <v>PWEPL</v>
      </c>
      <c r="I587" s="79" t="str">
        <f>IFERROR(_xlfn.XLOOKUP(Table6[[#This Row],[Affected Feeder ]],'Basic Data'!$A:$A,'Basic Data'!$C:$C),"")</f>
        <v>MSEDCL</v>
      </c>
      <c r="J587" s="295">
        <f>IFERROR(_xlfn.XLOOKUP(Table6[[#This Row],[Affected Feeder ]],'Basic Data'!$A:$A,'Basic Data'!$E:$E),"")</f>
        <v>2.2727272727272728E-2</v>
      </c>
      <c r="K587" s="296" t="s">
        <v>825</v>
      </c>
      <c r="L587" s="297">
        <v>0.33124999999999999</v>
      </c>
      <c r="M587" s="297">
        <v>0.33124999999999999</v>
      </c>
      <c r="N587" s="297">
        <v>0.34027777777777773</v>
      </c>
      <c r="O587" s="19">
        <f>(Table6[[#This Row],[Work Start TimeStamp]]-Table6[[#This Row],[Fault Start TimeStamp]])*24</f>
        <v>0</v>
      </c>
      <c r="P587" s="19">
        <f>(Table6[[#This Row],[Fault Clearance time]]-Table6[[#This Row],[Fault Start TimeStamp]])*24</f>
        <v>0.2166666666666659</v>
      </c>
      <c r="Q587" s="19">
        <f>(Table6[[#This Row],[Fault Clearance time]]-Table6[[#This Row],[Fault Start TimeStamp]])*24</f>
        <v>0.2166666666666659</v>
      </c>
      <c r="R587" s="79" t="s">
        <v>828</v>
      </c>
      <c r="S587" s="79" t="s">
        <v>339</v>
      </c>
      <c r="T587" s="298">
        <f>IFERROR(Table6[[#This Row],[Breakdown Time]]*Table6[[#This Row],[Plant Equivalent Weightage]],"")</f>
        <v>4.9242424242424065E-3</v>
      </c>
      <c r="U587" s="79" t="s">
        <v>421</v>
      </c>
      <c r="W587" s="79">
        <v>15</v>
      </c>
    </row>
    <row r="588" spans="1:23">
      <c r="A588" s="79">
        <f t="shared" si="9"/>
        <v>587</v>
      </c>
      <c r="B588" s="79">
        <f>YEAR(Table6[[#This Row],[Date]])+IF(MONTH(Table6[[#This Row],[Date]])&gt;=4,1,0)</f>
        <v>2026</v>
      </c>
      <c r="C588" s="79">
        <f>YEAR(Table6[[#This Row],[Date]])</f>
        <v>2025</v>
      </c>
      <c r="D588" s="79" t="s">
        <v>344</v>
      </c>
      <c r="E588" s="284">
        <f>Table6[[#This Row],[Date]]-DAY(Table6[[#This Row],[Date]])+1</f>
        <v>45778</v>
      </c>
      <c r="F588" s="285">
        <v>45796</v>
      </c>
      <c r="G588" s="79" t="s">
        <v>109</v>
      </c>
      <c r="H588" s="79" t="str">
        <f>IFERROR(_xlfn.XLOOKUP(Table6[[#This Row],[Affected Feeder ]],'Basic Data'!$A:$A,'Basic Data'!$B:$B),"")</f>
        <v>PWEPL</v>
      </c>
      <c r="I588" s="79" t="str">
        <f>IFERROR(_xlfn.XLOOKUP(Table6[[#This Row],[Affected Feeder ]],'Basic Data'!$A:$A,'Basic Data'!$C:$C),"")</f>
        <v>MSEDCL</v>
      </c>
      <c r="J588" s="295">
        <f>IFERROR(_xlfn.XLOOKUP(Table6[[#This Row],[Affected Feeder ]],'Basic Data'!$A:$A,'Basic Data'!$E:$E),"")</f>
        <v>2.2727272727272728E-2</v>
      </c>
      <c r="K588" s="296" t="s">
        <v>171</v>
      </c>
      <c r="L588" s="297">
        <v>0.34027777777777773</v>
      </c>
      <c r="M588" s="297">
        <v>0.34027777777777773</v>
      </c>
      <c r="N588" s="297">
        <v>0.35416666666666669</v>
      </c>
      <c r="O588" s="19">
        <f>(Table6[[#This Row],[Work Start TimeStamp]]-Table6[[#This Row],[Fault Start TimeStamp]])*24</f>
        <v>0</v>
      </c>
      <c r="P588" s="19">
        <f>(Table6[[#This Row],[Fault Clearance time]]-Table6[[#This Row],[Fault Start TimeStamp]])*24</f>
        <v>0.33333333333333481</v>
      </c>
      <c r="Q588" s="19">
        <f>(Table6[[#This Row],[Fault Clearance time]]-Table6[[#This Row],[Fault Start TimeStamp]])*24</f>
        <v>0.33333333333333481</v>
      </c>
      <c r="R588" s="79" t="s">
        <v>353</v>
      </c>
      <c r="S588" s="79" t="s">
        <v>339</v>
      </c>
      <c r="T588" s="298">
        <f>IFERROR(Table6[[#This Row],[Breakdown Time]]*Table6[[#This Row],[Plant Equivalent Weightage]],"")</f>
        <v>7.5757575757576098E-3</v>
      </c>
      <c r="U588" s="79" t="s">
        <v>421</v>
      </c>
      <c r="W588" s="79">
        <v>15</v>
      </c>
    </row>
    <row r="589" spans="1:23">
      <c r="A589" s="79">
        <f t="shared" si="9"/>
        <v>588</v>
      </c>
      <c r="B589" s="79">
        <f>YEAR(Table6[[#This Row],[Date]])+IF(MONTH(Table6[[#This Row],[Date]])&gt;=4,1,0)</f>
        <v>2026</v>
      </c>
      <c r="C589" s="79">
        <f>YEAR(Table6[[#This Row],[Date]])</f>
        <v>2025</v>
      </c>
      <c r="D589" s="79" t="s">
        <v>344</v>
      </c>
      <c r="E589" s="284">
        <f>Table6[[#This Row],[Date]]-DAY(Table6[[#This Row],[Date]])+1</f>
        <v>45778</v>
      </c>
      <c r="F589" s="285">
        <v>45796</v>
      </c>
      <c r="G589" s="79" t="s">
        <v>111</v>
      </c>
      <c r="H589" s="79" t="str">
        <f>IFERROR(_xlfn.XLOOKUP(Table6[[#This Row],[Affected Feeder ]],'Basic Data'!$A:$A,'Basic Data'!$B:$B),"")</f>
        <v>PWEPL</v>
      </c>
      <c r="I589" s="79" t="str">
        <f>IFERROR(_xlfn.XLOOKUP(Table6[[#This Row],[Affected Feeder ]],'Basic Data'!$A:$A,'Basic Data'!$C:$C),"")</f>
        <v>MSEDCL</v>
      </c>
      <c r="J589" s="295">
        <f>IFERROR(_xlfn.XLOOKUP(Table6[[#This Row],[Affected Feeder ]],'Basic Data'!$A:$A,'Basic Data'!$E:$E),"")</f>
        <v>2.2727272727272728E-2</v>
      </c>
      <c r="K589" s="296" t="s">
        <v>825</v>
      </c>
      <c r="L589" s="297">
        <v>0.33124999999999999</v>
      </c>
      <c r="M589" s="297">
        <v>0.33124999999999999</v>
      </c>
      <c r="N589" s="297">
        <v>0.34027777777777773</v>
      </c>
      <c r="O589" s="19">
        <f>(Table6[[#This Row],[Work Start TimeStamp]]-Table6[[#This Row],[Fault Start TimeStamp]])*24</f>
        <v>0</v>
      </c>
      <c r="P589" s="19">
        <f>(Table6[[#This Row],[Fault Clearance time]]-Table6[[#This Row],[Fault Start TimeStamp]])*24</f>
        <v>0.2166666666666659</v>
      </c>
      <c r="Q589" s="19">
        <f>(Table6[[#This Row],[Fault Clearance time]]-Table6[[#This Row],[Fault Start TimeStamp]])*24</f>
        <v>0.2166666666666659</v>
      </c>
      <c r="R589" s="79" t="s">
        <v>828</v>
      </c>
      <c r="S589" s="79" t="s">
        <v>339</v>
      </c>
      <c r="T589" s="298">
        <f>IFERROR(Table6[[#This Row],[Breakdown Time]]*Table6[[#This Row],[Plant Equivalent Weightage]],"")</f>
        <v>4.9242424242424065E-3</v>
      </c>
      <c r="U589" s="79" t="s">
        <v>421</v>
      </c>
      <c r="W589" s="79">
        <v>15</v>
      </c>
    </row>
    <row r="590" spans="1:23">
      <c r="A590" s="79">
        <f t="shared" si="9"/>
        <v>589</v>
      </c>
      <c r="B590" s="79">
        <f>YEAR(Table6[[#This Row],[Date]])+IF(MONTH(Table6[[#This Row],[Date]])&gt;=4,1,0)</f>
        <v>2026</v>
      </c>
      <c r="C590" s="79">
        <f>YEAR(Table6[[#This Row],[Date]])</f>
        <v>2025</v>
      </c>
      <c r="D590" s="79" t="s">
        <v>344</v>
      </c>
      <c r="E590" s="284">
        <f>Table6[[#This Row],[Date]]-DAY(Table6[[#This Row],[Date]])+1</f>
        <v>45778</v>
      </c>
      <c r="F590" s="285">
        <v>45796</v>
      </c>
      <c r="G590" s="79" t="s">
        <v>111</v>
      </c>
      <c r="H590" s="79" t="str">
        <f>IFERROR(_xlfn.XLOOKUP(Table6[[#This Row],[Affected Feeder ]],'Basic Data'!$A:$A,'Basic Data'!$B:$B),"")</f>
        <v>PWEPL</v>
      </c>
      <c r="I590" s="79" t="str">
        <f>IFERROR(_xlfn.XLOOKUP(Table6[[#This Row],[Affected Feeder ]],'Basic Data'!$A:$A,'Basic Data'!$C:$C),"")</f>
        <v>MSEDCL</v>
      </c>
      <c r="J590" s="295">
        <f>IFERROR(_xlfn.XLOOKUP(Table6[[#This Row],[Affected Feeder ]],'Basic Data'!$A:$A,'Basic Data'!$E:$E),"")</f>
        <v>2.2727272727272728E-2</v>
      </c>
      <c r="K590" s="296" t="s">
        <v>171</v>
      </c>
      <c r="L590" s="297">
        <v>0.34027777777777773</v>
      </c>
      <c r="M590" s="297">
        <v>0.34027777777777773</v>
      </c>
      <c r="N590" s="297">
        <v>0.35416666666666669</v>
      </c>
      <c r="O590" s="19">
        <f>(Table6[[#This Row],[Work Start TimeStamp]]-Table6[[#This Row],[Fault Start TimeStamp]])*24</f>
        <v>0</v>
      </c>
      <c r="P590" s="19">
        <f>(Table6[[#This Row],[Fault Clearance time]]-Table6[[#This Row],[Fault Start TimeStamp]])*24</f>
        <v>0.33333333333333481</v>
      </c>
      <c r="Q590" s="19">
        <f>(Table6[[#This Row],[Fault Clearance time]]-Table6[[#This Row],[Fault Start TimeStamp]])*24</f>
        <v>0.33333333333333481</v>
      </c>
      <c r="R590" s="79" t="s">
        <v>353</v>
      </c>
      <c r="S590" s="79" t="s">
        <v>339</v>
      </c>
      <c r="T590" s="298">
        <f>IFERROR(Table6[[#This Row],[Breakdown Time]]*Table6[[#This Row],[Plant Equivalent Weightage]],"")</f>
        <v>7.5757575757576098E-3</v>
      </c>
      <c r="U590" s="79" t="s">
        <v>421</v>
      </c>
      <c r="W590" s="79">
        <v>15</v>
      </c>
    </row>
    <row r="591" spans="1:23">
      <c r="A591" s="79">
        <f t="shared" si="9"/>
        <v>590</v>
      </c>
      <c r="B591" s="79">
        <f>YEAR(Table6[[#This Row],[Date]])+IF(MONTH(Table6[[#This Row],[Date]])&gt;=4,1,0)</f>
        <v>2026</v>
      </c>
      <c r="C591" s="79">
        <f>YEAR(Table6[[#This Row],[Date]])</f>
        <v>2025</v>
      </c>
      <c r="D591" s="79" t="s">
        <v>344</v>
      </c>
      <c r="E591" s="284">
        <f>Table6[[#This Row],[Date]]-DAY(Table6[[#This Row],[Date]])+1</f>
        <v>45778</v>
      </c>
      <c r="F591" s="285">
        <v>45796</v>
      </c>
      <c r="G591" s="79" t="s">
        <v>112</v>
      </c>
      <c r="H591" s="79" t="str">
        <f>IFERROR(_xlfn.XLOOKUP(Table6[[#This Row],[Affected Feeder ]],'Basic Data'!$A:$A,'Basic Data'!$B:$B),"")</f>
        <v>PWEPL</v>
      </c>
      <c r="I591" s="79" t="str">
        <f>IFERROR(_xlfn.XLOOKUP(Table6[[#This Row],[Affected Feeder ]],'Basic Data'!$A:$A,'Basic Data'!$C:$C),"")</f>
        <v>MSEDCL</v>
      </c>
      <c r="J591" s="295">
        <f>IFERROR(_xlfn.XLOOKUP(Table6[[#This Row],[Affected Feeder ]],'Basic Data'!$A:$A,'Basic Data'!$E:$E),"")</f>
        <v>2.2727272727272728E-2</v>
      </c>
      <c r="K591" s="296" t="s">
        <v>825</v>
      </c>
      <c r="L591" s="297">
        <v>0.33124999999999999</v>
      </c>
      <c r="M591" s="297">
        <v>0.33124999999999999</v>
      </c>
      <c r="N591" s="297">
        <v>0.34027777777777773</v>
      </c>
      <c r="O591" s="19">
        <f>(Table6[[#This Row],[Work Start TimeStamp]]-Table6[[#This Row],[Fault Start TimeStamp]])*24</f>
        <v>0</v>
      </c>
      <c r="P591" s="19">
        <f>(Table6[[#This Row],[Fault Clearance time]]-Table6[[#This Row],[Fault Start TimeStamp]])*24</f>
        <v>0.2166666666666659</v>
      </c>
      <c r="Q591" s="19">
        <f>(Table6[[#This Row],[Fault Clearance time]]-Table6[[#This Row],[Fault Start TimeStamp]])*24</f>
        <v>0.2166666666666659</v>
      </c>
      <c r="R591" s="79" t="s">
        <v>828</v>
      </c>
      <c r="S591" s="79" t="s">
        <v>339</v>
      </c>
      <c r="T591" s="298">
        <f>IFERROR(Table6[[#This Row],[Breakdown Time]]*Table6[[#This Row],[Plant Equivalent Weightage]],"")</f>
        <v>4.9242424242424065E-3</v>
      </c>
      <c r="U591" s="79" t="s">
        <v>421</v>
      </c>
      <c r="W591" s="79">
        <v>15</v>
      </c>
    </row>
    <row r="592" spans="1:23">
      <c r="A592" s="79">
        <f t="shared" si="9"/>
        <v>591</v>
      </c>
      <c r="B592" s="79">
        <f>YEAR(Table6[[#This Row],[Date]])+IF(MONTH(Table6[[#This Row],[Date]])&gt;=4,1,0)</f>
        <v>2026</v>
      </c>
      <c r="C592" s="79">
        <f>YEAR(Table6[[#This Row],[Date]])</f>
        <v>2025</v>
      </c>
      <c r="D592" s="79" t="s">
        <v>344</v>
      </c>
      <c r="E592" s="284">
        <f>Table6[[#This Row],[Date]]-DAY(Table6[[#This Row],[Date]])+1</f>
        <v>45778</v>
      </c>
      <c r="F592" s="285">
        <v>45796</v>
      </c>
      <c r="G592" s="79" t="s">
        <v>112</v>
      </c>
      <c r="H592" s="79" t="str">
        <f>IFERROR(_xlfn.XLOOKUP(Table6[[#This Row],[Affected Feeder ]],'Basic Data'!$A:$A,'Basic Data'!$B:$B),"")</f>
        <v>PWEPL</v>
      </c>
      <c r="I592" s="79" t="str">
        <f>IFERROR(_xlfn.XLOOKUP(Table6[[#This Row],[Affected Feeder ]],'Basic Data'!$A:$A,'Basic Data'!$C:$C),"")</f>
        <v>MSEDCL</v>
      </c>
      <c r="J592" s="295">
        <f>IFERROR(_xlfn.XLOOKUP(Table6[[#This Row],[Affected Feeder ]],'Basic Data'!$A:$A,'Basic Data'!$E:$E),"")</f>
        <v>2.2727272727272728E-2</v>
      </c>
      <c r="K592" s="296" t="s">
        <v>171</v>
      </c>
      <c r="L592" s="297">
        <v>0.34027777777777773</v>
      </c>
      <c r="M592" s="297">
        <v>0.34027777777777773</v>
      </c>
      <c r="N592" s="297">
        <v>0.35416666666666669</v>
      </c>
      <c r="O592" s="19">
        <f>(Table6[[#This Row],[Work Start TimeStamp]]-Table6[[#This Row],[Fault Start TimeStamp]])*24</f>
        <v>0</v>
      </c>
      <c r="P592" s="19">
        <f>(Table6[[#This Row],[Fault Clearance time]]-Table6[[#This Row],[Fault Start TimeStamp]])*24</f>
        <v>0.33333333333333481</v>
      </c>
      <c r="Q592" s="19">
        <f>(Table6[[#This Row],[Fault Clearance time]]-Table6[[#This Row],[Fault Start TimeStamp]])*24</f>
        <v>0.33333333333333481</v>
      </c>
      <c r="R592" s="79" t="s">
        <v>353</v>
      </c>
      <c r="S592" s="79" t="s">
        <v>339</v>
      </c>
      <c r="T592" s="298">
        <f>IFERROR(Table6[[#This Row],[Breakdown Time]]*Table6[[#This Row],[Plant Equivalent Weightage]],"")</f>
        <v>7.5757575757576098E-3</v>
      </c>
      <c r="U592" s="79" t="s">
        <v>421</v>
      </c>
      <c r="W592" s="79">
        <v>15</v>
      </c>
    </row>
    <row r="593" spans="1:23">
      <c r="A593" s="79">
        <f t="shared" si="9"/>
        <v>592</v>
      </c>
      <c r="B593" s="79">
        <f>YEAR(Table6[[#This Row],[Date]])+IF(MONTH(Table6[[#This Row],[Date]])&gt;=4,1,0)</f>
        <v>2026</v>
      </c>
      <c r="C593" s="79">
        <f>YEAR(Table6[[#This Row],[Date]])</f>
        <v>2025</v>
      </c>
      <c r="D593" s="79" t="s">
        <v>344</v>
      </c>
      <c r="E593" s="284">
        <f>Table6[[#This Row],[Date]]-DAY(Table6[[#This Row],[Date]])+1</f>
        <v>45778</v>
      </c>
      <c r="F593" s="285">
        <v>45796</v>
      </c>
      <c r="G593" s="79" t="s">
        <v>113</v>
      </c>
      <c r="H593" s="79" t="str">
        <f>IFERROR(_xlfn.XLOOKUP(Table6[[#This Row],[Affected Feeder ]],'Basic Data'!$A:$A,'Basic Data'!$B:$B),"")</f>
        <v>PWEPL</v>
      </c>
      <c r="I593" s="79" t="str">
        <f>IFERROR(_xlfn.XLOOKUP(Table6[[#This Row],[Affected Feeder ]],'Basic Data'!$A:$A,'Basic Data'!$C:$C),"")</f>
        <v>MSEDCL</v>
      </c>
      <c r="J593" s="295">
        <f>IFERROR(_xlfn.XLOOKUP(Table6[[#This Row],[Affected Feeder ]],'Basic Data'!$A:$A,'Basic Data'!$E:$E),"")</f>
        <v>2.2727272727272728E-2</v>
      </c>
      <c r="K593" s="296" t="s">
        <v>825</v>
      </c>
      <c r="L593" s="297">
        <v>0.33124999999999999</v>
      </c>
      <c r="M593" s="297">
        <v>0.33124999999999999</v>
      </c>
      <c r="N593" s="297">
        <v>0.34027777777777773</v>
      </c>
      <c r="O593" s="19">
        <f>(Table6[[#This Row],[Work Start TimeStamp]]-Table6[[#This Row],[Fault Start TimeStamp]])*24</f>
        <v>0</v>
      </c>
      <c r="P593" s="19">
        <f>(Table6[[#This Row],[Fault Clearance time]]-Table6[[#This Row],[Fault Start TimeStamp]])*24</f>
        <v>0.2166666666666659</v>
      </c>
      <c r="Q593" s="19">
        <f>(Table6[[#This Row],[Fault Clearance time]]-Table6[[#This Row],[Fault Start TimeStamp]])*24</f>
        <v>0.2166666666666659</v>
      </c>
      <c r="R593" s="79" t="s">
        <v>828</v>
      </c>
      <c r="S593" s="79" t="s">
        <v>339</v>
      </c>
      <c r="T593" s="298">
        <f>IFERROR(Table6[[#This Row],[Breakdown Time]]*Table6[[#This Row],[Plant Equivalent Weightage]],"")</f>
        <v>4.9242424242424065E-3</v>
      </c>
      <c r="U593" s="79" t="s">
        <v>421</v>
      </c>
      <c r="W593" s="79">
        <v>15</v>
      </c>
    </row>
    <row r="594" spans="1:23">
      <c r="A594" s="79">
        <f t="shared" si="9"/>
        <v>593</v>
      </c>
      <c r="B594" s="79">
        <f>YEAR(Table6[[#This Row],[Date]])+IF(MONTH(Table6[[#This Row],[Date]])&gt;=4,1,0)</f>
        <v>2026</v>
      </c>
      <c r="C594" s="79">
        <f>YEAR(Table6[[#This Row],[Date]])</f>
        <v>2025</v>
      </c>
      <c r="D594" s="79" t="s">
        <v>344</v>
      </c>
      <c r="E594" s="284">
        <f>Table6[[#This Row],[Date]]-DAY(Table6[[#This Row],[Date]])+1</f>
        <v>45778</v>
      </c>
      <c r="F594" s="285">
        <v>45796</v>
      </c>
      <c r="G594" s="79" t="s">
        <v>113</v>
      </c>
      <c r="H594" s="79" t="str">
        <f>IFERROR(_xlfn.XLOOKUP(Table6[[#This Row],[Affected Feeder ]],'Basic Data'!$A:$A,'Basic Data'!$B:$B),"")</f>
        <v>PWEPL</v>
      </c>
      <c r="I594" s="79" t="str">
        <f>IFERROR(_xlfn.XLOOKUP(Table6[[#This Row],[Affected Feeder ]],'Basic Data'!$A:$A,'Basic Data'!$C:$C),"")</f>
        <v>MSEDCL</v>
      </c>
      <c r="J594" s="295">
        <f>IFERROR(_xlfn.XLOOKUP(Table6[[#This Row],[Affected Feeder ]],'Basic Data'!$A:$A,'Basic Data'!$E:$E),"")</f>
        <v>2.2727272727272728E-2</v>
      </c>
      <c r="K594" s="296" t="s">
        <v>171</v>
      </c>
      <c r="L594" s="297">
        <v>0.34027777777777773</v>
      </c>
      <c r="M594" s="297">
        <v>0.34027777777777773</v>
      </c>
      <c r="N594" s="297">
        <v>0.35416666666666669</v>
      </c>
      <c r="O594" s="19">
        <f>(Table6[[#This Row],[Work Start TimeStamp]]-Table6[[#This Row],[Fault Start TimeStamp]])*24</f>
        <v>0</v>
      </c>
      <c r="P594" s="19">
        <f>(Table6[[#This Row],[Fault Clearance time]]-Table6[[#This Row],[Fault Start TimeStamp]])*24</f>
        <v>0.33333333333333481</v>
      </c>
      <c r="Q594" s="19">
        <f>(Table6[[#This Row],[Fault Clearance time]]-Table6[[#This Row],[Fault Start TimeStamp]])*24</f>
        <v>0.33333333333333481</v>
      </c>
      <c r="R594" s="79" t="s">
        <v>353</v>
      </c>
      <c r="S594" s="79" t="s">
        <v>339</v>
      </c>
      <c r="T594" s="298">
        <f>IFERROR(Table6[[#This Row],[Breakdown Time]]*Table6[[#This Row],[Plant Equivalent Weightage]],"")</f>
        <v>7.5757575757576098E-3</v>
      </c>
      <c r="U594" s="79" t="s">
        <v>421</v>
      </c>
      <c r="W594" s="79">
        <v>15</v>
      </c>
    </row>
    <row r="595" spans="1:23">
      <c r="A595" s="79">
        <f t="shared" si="9"/>
        <v>594</v>
      </c>
      <c r="B595" s="79">
        <f>YEAR(Table6[[#This Row],[Date]])+IF(MONTH(Table6[[#This Row],[Date]])&gt;=4,1,0)</f>
        <v>2026</v>
      </c>
      <c r="C595" s="79">
        <f>YEAR(Table6[[#This Row],[Date]])</f>
        <v>2025</v>
      </c>
      <c r="D595" s="79" t="s">
        <v>344</v>
      </c>
      <c r="E595" s="284">
        <f>Table6[[#This Row],[Date]]-DAY(Table6[[#This Row],[Date]])+1</f>
        <v>45778</v>
      </c>
      <c r="F595" s="285">
        <v>45796</v>
      </c>
      <c r="G595" s="79" t="s">
        <v>114</v>
      </c>
      <c r="H595" s="79" t="str">
        <f>IFERROR(_xlfn.XLOOKUP(Table6[[#This Row],[Affected Feeder ]],'Basic Data'!$A:$A,'Basic Data'!$B:$B),"")</f>
        <v>PWEPL</v>
      </c>
      <c r="I595" s="79" t="str">
        <f>IFERROR(_xlfn.XLOOKUP(Table6[[#This Row],[Affected Feeder ]],'Basic Data'!$A:$A,'Basic Data'!$C:$C),"")</f>
        <v>MSEDCL</v>
      </c>
      <c r="J595" s="295">
        <f>IFERROR(_xlfn.XLOOKUP(Table6[[#This Row],[Affected Feeder ]],'Basic Data'!$A:$A,'Basic Data'!$E:$E),"")</f>
        <v>2.2727272727272728E-2</v>
      </c>
      <c r="K595" s="296" t="s">
        <v>825</v>
      </c>
      <c r="L595" s="297">
        <v>0.33124999999999999</v>
      </c>
      <c r="M595" s="297">
        <v>0.33124999999999999</v>
      </c>
      <c r="N595" s="297">
        <v>0.34027777777777773</v>
      </c>
      <c r="O595" s="19">
        <f>(Table6[[#This Row],[Work Start TimeStamp]]-Table6[[#This Row],[Fault Start TimeStamp]])*24</f>
        <v>0</v>
      </c>
      <c r="P595" s="19">
        <f>(Table6[[#This Row],[Fault Clearance time]]-Table6[[#This Row],[Fault Start TimeStamp]])*24</f>
        <v>0.2166666666666659</v>
      </c>
      <c r="Q595" s="19">
        <f>(Table6[[#This Row],[Fault Clearance time]]-Table6[[#This Row],[Fault Start TimeStamp]])*24</f>
        <v>0.2166666666666659</v>
      </c>
      <c r="R595" s="79" t="s">
        <v>828</v>
      </c>
      <c r="S595" s="79" t="s">
        <v>339</v>
      </c>
      <c r="T595" s="298">
        <f>IFERROR(Table6[[#This Row],[Breakdown Time]]*Table6[[#This Row],[Plant Equivalent Weightage]],"")</f>
        <v>4.9242424242424065E-3</v>
      </c>
      <c r="U595" s="79" t="s">
        <v>421</v>
      </c>
      <c r="W595" s="79">
        <v>15</v>
      </c>
    </row>
    <row r="596" spans="1:23">
      <c r="A596" s="79">
        <f t="shared" si="9"/>
        <v>595</v>
      </c>
      <c r="B596" s="79">
        <f>YEAR(Table6[[#This Row],[Date]])+IF(MONTH(Table6[[#This Row],[Date]])&gt;=4,1,0)</f>
        <v>2026</v>
      </c>
      <c r="C596" s="79">
        <f>YEAR(Table6[[#This Row],[Date]])</f>
        <v>2025</v>
      </c>
      <c r="D596" s="79" t="s">
        <v>344</v>
      </c>
      <c r="E596" s="284">
        <f>Table6[[#This Row],[Date]]-DAY(Table6[[#This Row],[Date]])+1</f>
        <v>45778</v>
      </c>
      <c r="F596" s="285">
        <v>45796</v>
      </c>
      <c r="G596" s="79" t="s">
        <v>114</v>
      </c>
      <c r="H596" s="79" t="str">
        <f>IFERROR(_xlfn.XLOOKUP(Table6[[#This Row],[Affected Feeder ]],'Basic Data'!$A:$A,'Basic Data'!$B:$B),"")</f>
        <v>PWEPL</v>
      </c>
      <c r="I596" s="79" t="str">
        <f>IFERROR(_xlfn.XLOOKUP(Table6[[#This Row],[Affected Feeder ]],'Basic Data'!$A:$A,'Basic Data'!$C:$C),"")</f>
        <v>MSEDCL</v>
      </c>
      <c r="J596" s="295">
        <f>IFERROR(_xlfn.XLOOKUP(Table6[[#This Row],[Affected Feeder ]],'Basic Data'!$A:$A,'Basic Data'!$E:$E),"")</f>
        <v>2.2727272727272728E-2</v>
      </c>
      <c r="K596" s="296" t="s">
        <v>171</v>
      </c>
      <c r="L596" s="297">
        <v>0.34027777777777773</v>
      </c>
      <c r="M596" s="297">
        <v>0.34027777777777773</v>
      </c>
      <c r="N596" s="297">
        <v>0.35416666666666669</v>
      </c>
      <c r="O596" s="19">
        <f>(Table6[[#This Row],[Work Start TimeStamp]]-Table6[[#This Row],[Fault Start TimeStamp]])*24</f>
        <v>0</v>
      </c>
      <c r="P596" s="19">
        <f>(Table6[[#This Row],[Fault Clearance time]]-Table6[[#This Row],[Fault Start TimeStamp]])*24</f>
        <v>0.33333333333333481</v>
      </c>
      <c r="Q596" s="19">
        <f>(Table6[[#This Row],[Fault Clearance time]]-Table6[[#This Row],[Fault Start TimeStamp]])*24</f>
        <v>0.33333333333333481</v>
      </c>
      <c r="R596" s="79" t="s">
        <v>353</v>
      </c>
      <c r="S596" s="79" t="s">
        <v>339</v>
      </c>
      <c r="T596" s="298">
        <f>IFERROR(Table6[[#This Row],[Breakdown Time]]*Table6[[#This Row],[Plant Equivalent Weightage]],"")</f>
        <v>7.5757575757576098E-3</v>
      </c>
      <c r="U596" s="79" t="s">
        <v>421</v>
      </c>
      <c r="W596" s="79">
        <v>15</v>
      </c>
    </row>
    <row r="597" spans="1:23">
      <c r="A597" s="79">
        <f t="shared" si="9"/>
        <v>596</v>
      </c>
      <c r="B597" s="79">
        <f>YEAR(Table6[[#This Row],[Date]])+IF(MONTH(Table6[[#This Row],[Date]])&gt;=4,1,0)</f>
        <v>2026</v>
      </c>
      <c r="C597" s="79">
        <f>YEAR(Table6[[#This Row],[Date]])</f>
        <v>2025</v>
      </c>
      <c r="D597" s="79" t="s">
        <v>344</v>
      </c>
      <c r="E597" s="284">
        <f>Table6[[#This Row],[Date]]-DAY(Table6[[#This Row],[Date]])+1</f>
        <v>45778</v>
      </c>
      <c r="F597" s="285">
        <v>45796</v>
      </c>
      <c r="G597" s="79" t="s">
        <v>80</v>
      </c>
      <c r="H597" s="79" t="str">
        <f>IFERROR(_xlfn.XLOOKUP(Table6[[#This Row],[Affected Feeder ]],'Basic Data'!$A:$A,'Basic Data'!$B:$B),"")</f>
        <v>PWEPL</v>
      </c>
      <c r="I597" s="79" t="str">
        <f>IFERROR(_xlfn.XLOOKUP(Table6[[#This Row],[Affected Feeder ]],'Basic Data'!$A:$A,'Basic Data'!$C:$C),"")</f>
        <v>MSEDCL</v>
      </c>
      <c r="J597" s="295">
        <f>IFERROR(_xlfn.XLOOKUP(Table6[[#This Row],[Affected Feeder ]],'Basic Data'!$A:$A,'Basic Data'!$E:$E),"")</f>
        <v>2.2727272727272728E-2</v>
      </c>
      <c r="K597" s="296" t="s">
        <v>171</v>
      </c>
      <c r="L597" s="297">
        <v>0.33124999999999999</v>
      </c>
      <c r="M597" s="297">
        <v>0.33124999999999999</v>
      </c>
      <c r="N597" s="297">
        <v>0.34513888888888888</v>
      </c>
      <c r="O597" s="19">
        <f>(Table6[[#This Row],[Work Start TimeStamp]]-Table6[[#This Row],[Fault Start TimeStamp]])*24</f>
        <v>0</v>
      </c>
      <c r="P597" s="19">
        <f>(Table6[[#This Row],[Fault Clearance time]]-Table6[[#This Row],[Fault Start TimeStamp]])*24</f>
        <v>0.33333333333333348</v>
      </c>
      <c r="Q597" s="19">
        <f>(Table6[[#This Row],[Fault Clearance time]]-Table6[[#This Row],[Fault Start TimeStamp]])*24</f>
        <v>0.33333333333333348</v>
      </c>
      <c r="R597" s="79" t="s">
        <v>353</v>
      </c>
      <c r="S597" s="79" t="s">
        <v>339</v>
      </c>
      <c r="T597" s="298">
        <f>IFERROR(Table6[[#This Row],[Breakdown Time]]*Table6[[#This Row],[Plant Equivalent Weightage]],"")</f>
        <v>7.5757575757575794E-3</v>
      </c>
      <c r="U597" s="79" t="s">
        <v>421</v>
      </c>
      <c r="W597" s="79">
        <v>15</v>
      </c>
    </row>
    <row r="598" spans="1:23">
      <c r="A598" s="79">
        <f t="shared" si="9"/>
        <v>597</v>
      </c>
      <c r="B598" s="79">
        <f>YEAR(Table6[[#This Row],[Date]])+IF(MONTH(Table6[[#This Row],[Date]])&gt;=4,1,0)</f>
        <v>2026</v>
      </c>
      <c r="C598" s="79">
        <f>YEAR(Table6[[#This Row],[Date]])</f>
        <v>2025</v>
      </c>
      <c r="D598" s="79" t="s">
        <v>344</v>
      </c>
      <c r="E598" s="284">
        <f>Table6[[#This Row],[Date]]-DAY(Table6[[#This Row],[Date]])+1</f>
        <v>45778</v>
      </c>
      <c r="F598" s="285">
        <v>45796</v>
      </c>
      <c r="G598" s="79" t="s">
        <v>81</v>
      </c>
      <c r="H598" s="79" t="str">
        <f>IFERROR(_xlfn.XLOOKUP(Table6[[#This Row],[Affected Feeder ]],'Basic Data'!$A:$A,'Basic Data'!$B:$B),"")</f>
        <v>PWEPL</v>
      </c>
      <c r="I598" s="79" t="str">
        <f>IFERROR(_xlfn.XLOOKUP(Table6[[#This Row],[Affected Feeder ]],'Basic Data'!$A:$A,'Basic Data'!$C:$C),"")</f>
        <v>MSEDCL</v>
      </c>
      <c r="J598" s="295">
        <f>IFERROR(_xlfn.XLOOKUP(Table6[[#This Row],[Affected Feeder ]],'Basic Data'!$A:$A,'Basic Data'!$E:$E),"")</f>
        <v>2.2727272727272728E-2</v>
      </c>
      <c r="K598" s="296" t="s">
        <v>171</v>
      </c>
      <c r="L598" s="297">
        <v>0.33124999999999999</v>
      </c>
      <c r="M598" s="297">
        <v>0.33124999999999999</v>
      </c>
      <c r="N598" s="297">
        <v>0.34513888888888888</v>
      </c>
      <c r="O598" s="19">
        <f>(Table6[[#This Row],[Work Start TimeStamp]]-Table6[[#This Row],[Fault Start TimeStamp]])*24</f>
        <v>0</v>
      </c>
      <c r="P598" s="19">
        <f>(Table6[[#This Row],[Fault Clearance time]]-Table6[[#This Row],[Fault Start TimeStamp]])*24</f>
        <v>0.33333333333333348</v>
      </c>
      <c r="Q598" s="19">
        <f>(Table6[[#This Row],[Fault Clearance time]]-Table6[[#This Row],[Fault Start TimeStamp]])*24</f>
        <v>0.33333333333333348</v>
      </c>
      <c r="R598" s="79" t="s">
        <v>353</v>
      </c>
      <c r="S598" s="79" t="s">
        <v>339</v>
      </c>
      <c r="T598" s="298">
        <f>IFERROR(Table6[[#This Row],[Breakdown Time]]*Table6[[#This Row],[Plant Equivalent Weightage]],"")</f>
        <v>7.5757575757575794E-3</v>
      </c>
      <c r="U598" s="79" t="s">
        <v>421</v>
      </c>
      <c r="W598" s="79">
        <v>15</v>
      </c>
    </row>
    <row r="599" spans="1:23">
      <c r="A599" s="79">
        <f t="shared" si="9"/>
        <v>598</v>
      </c>
      <c r="B599" s="79">
        <f>YEAR(Table6[[#This Row],[Date]])+IF(MONTH(Table6[[#This Row],[Date]])&gt;=4,1,0)</f>
        <v>2026</v>
      </c>
      <c r="C599" s="79">
        <f>YEAR(Table6[[#This Row],[Date]])</f>
        <v>2025</v>
      </c>
      <c r="D599" s="79" t="s">
        <v>344</v>
      </c>
      <c r="E599" s="284">
        <f>Table6[[#This Row],[Date]]-DAY(Table6[[#This Row],[Date]])+1</f>
        <v>45778</v>
      </c>
      <c r="F599" s="285">
        <v>45796</v>
      </c>
      <c r="G599" s="79" t="s">
        <v>107</v>
      </c>
      <c r="H599" s="79" t="str">
        <f>IFERROR(_xlfn.XLOOKUP(Table6[[#This Row],[Affected Feeder ]],'Basic Data'!$A:$A,'Basic Data'!$B:$B),"")</f>
        <v>PWEPL</v>
      </c>
      <c r="I599" s="79" t="str">
        <f>IFERROR(_xlfn.XLOOKUP(Table6[[#This Row],[Affected Feeder ]],'Basic Data'!$A:$A,'Basic Data'!$C:$C),"")</f>
        <v>MSEDCL</v>
      </c>
      <c r="J599" s="295">
        <f>IFERROR(_xlfn.XLOOKUP(Table6[[#This Row],[Affected Feeder ]],'Basic Data'!$A:$A,'Basic Data'!$E:$E),"")</f>
        <v>2.2727272727272728E-2</v>
      </c>
      <c r="K599" s="296" t="s">
        <v>171</v>
      </c>
      <c r="L599" s="297">
        <v>0.33124999999999999</v>
      </c>
      <c r="M599" s="297">
        <v>0.33124999999999999</v>
      </c>
      <c r="N599" s="297">
        <v>0.34513888888888888</v>
      </c>
      <c r="O599" s="19">
        <f>(Table6[[#This Row],[Work Start TimeStamp]]-Table6[[#This Row],[Fault Start TimeStamp]])*24</f>
        <v>0</v>
      </c>
      <c r="P599" s="19">
        <f>(Table6[[#This Row],[Fault Clearance time]]-Table6[[#This Row],[Fault Start TimeStamp]])*24</f>
        <v>0.33333333333333348</v>
      </c>
      <c r="Q599" s="19">
        <f>(Table6[[#This Row],[Fault Clearance time]]-Table6[[#This Row],[Fault Start TimeStamp]])*24</f>
        <v>0.33333333333333348</v>
      </c>
      <c r="R599" s="79" t="s">
        <v>353</v>
      </c>
      <c r="S599" s="79" t="s">
        <v>339</v>
      </c>
      <c r="T599" s="298">
        <f>IFERROR(Table6[[#This Row],[Breakdown Time]]*Table6[[#This Row],[Plant Equivalent Weightage]],"")</f>
        <v>7.5757575757575794E-3</v>
      </c>
      <c r="U599" s="79" t="s">
        <v>421</v>
      </c>
      <c r="W599" s="79">
        <v>15</v>
      </c>
    </row>
    <row r="600" spans="1:23">
      <c r="A600" s="79">
        <f t="shared" si="9"/>
        <v>599</v>
      </c>
      <c r="B600" s="79">
        <f>YEAR(Table6[[#This Row],[Date]])+IF(MONTH(Table6[[#This Row],[Date]])&gt;=4,1,0)</f>
        <v>2026</v>
      </c>
      <c r="C600" s="79">
        <f>YEAR(Table6[[#This Row],[Date]])</f>
        <v>2025</v>
      </c>
      <c r="D600" s="79" t="s">
        <v>344</v>
      </c>
      <c r="E600" s="284">
        <f>Table6[[#This Row],[Date]]-DAY(Table6[[#This Row],[Date]])+1</f>
        <v>45778</v>
      </c>
      <c r="F600" s="285">
        <v>45796</v>
      </c>
      <c r="G600" s="79" t="s">
        <v>108</v>
      </c>
      <c r="H600" s="79" t="str">
        <f>IFERROR(_xlfn.XLOOKUP(Table6[[#This Row],[Affected Feeder ]],'Basic Data'!$A:$A,'Basic Data'!$B:$B),"")</f>
        <v>PWEPL</v>
      </c>
      <c r="I600" s="79" t="str">
        <f>IFERROR(_xlfn.XLOOKUP(Table6[[#This Row],[Affected Feeder ]],'Basic Data'!$A:$A,'Basic Data'!$C:$C),"")</f>
        <v>MSEDCL</v>
      </c>
      <c r="J600" s="295">
        <f>IFERROR(_xlfn.XLOOKUP(Table6[[#This Row],[Affected Feeder ]],'Basic Data'!$A:$A,'Basic Data'!$E:$E),"")</f>
        <v>2.2727272727272728E-2</v>
      </c>
      <c r="K600" s="296" t="s">
        <v>171</v>
      </c>
      <c r="L600" s="297">
        <v>0.33124999999999999</v>
      </c>
      <c r="M600" s="297">
        <v>0.33124999999999999</v>
      </c>
      <c r="N600" s="297">
        <v>0.34513888888888888</v>
      </c>
      <c r="O600" s="19">
        <f>(Table6[[#This Row],[Work Start TimeStamp]]-Table6[[#This Row],[Fault Start TimeStamp]])*24</f>
        <v>0</v>
      </c>
      <c r="P600" s="19">
        <f>(Table6[[#This Row],[Fault Clearance time]]-Table6[[#This Row],[Fault Start TimeStamp]])*24</f>
        <v>0.33333333333333348</v>
      </c>
      <c r="Q600" s="19">
        <f>(Table6[[#This Row],[Fault Clearance time]]-Table6[[#This Row],[Fault Start TimeStamp]])*24</f>
        <v>0.33333333333333348</v>
      </c>
      <c r="R600" s="79" t="s">
        <v>353</v>
      </c>
      <c r="S600" s="79" t="s">
        <v>339</v>
      </c>
      <c r="T600" s="298">
        <f>IFERROR(Table6[[#This Row],[Breakdown Time]]*Table6[[#This Row],[Plant Equivalent Weightage]],"")</f>
        <v>7.5757575757575794E-3</v>
      </c>
      <c r="U600" s="79" t="s">
        <v>421</v>
      </c>
      <c r="W600" s="79">
        <v>15</v>
      </c>
    </row>
    <row r="601" spans="1:23">
      <c r="A601" s="79">
        <f t="shared" si="9"/>
        <v>600</v>
      </c>
      <c r="B601" s="79">
        <f>YEAR(Table6[[#This Row],[Date]])+IF(MONTH(Table6[[#This Row],[Date]])&gt;=4,1,0)</f>
        <v>2026</v>
      </c>
      <c r="C601" s="79">
        <f>YEAR(Table6[[#This Row],[Date]])</f>
        <v>2025</v>
      </c>
      <c r="D601" s="79" t="s">
        <v>344</v>
      </c>
      <c r="E601" s="284">
        <f>Table6[[#This Row],[Date]]-DAY(Table6[[#This Row],[Date]])+1</f>
        <v>45778</v>
      </c>
      <c r="F601" s="285">
        <v>45796</v>
      </c>
      <c r="G601" s="79" t="s">
        <v>406</v>
      </c>
      <c r="H601" s="79" t="str">
        <f>IFERROR(_xlfn.XLOOKUP(Table6[[#This Row],[Affected Feeder ]],'Basic Data'!$A:$A,'Basic Data'!$B:$B),"")</f>
        <v>PWEPL</v>
      </c>
      <c r="I601" s="79" t="str">
        <f>IFERROR(_xlfn.XLOOKUP(Table6[[#This Row],[Affected Feeder ]],'Basic Data'!$A:$A,'Basic Data'!$C:$C),"")</f>
        <v>MSEDCL</v>
      </c>
      <c r="J601" s="295">
        <f>IFERROR(_xlfn.XLOOKUP(Table6[[#This Row],[Affected Feeder ]],'Basic Data'!$A:$A,'Basic Data'!$E:$E),"")</f>
        <v>0.29545454545454541</v>
      </c>
      <c r="K601" s="296" t="s">
        <v>419</v>
      </c>
      <c r="L601" s="297">
        <v>0.3520833333333333</v>
      </c>
      <c r="M601" s="297">
        <v>0.3520833333333333</v>
      </c>
      <c r="N601" s="297">
        <v>0.37986111111111115</v>
      </c>
      <c r="O601" s="19">
        <f>(Table6[[#This Row],[Work Start TimeStamp]]-Table6[[#This Row],[Fault Start TimeStamp]])*24</f>
        <v>0</v>
      </c>
      <c r="P601" s="19">
        <f>(Table6[[#This Row],[Fault Clearance time]]-Table6[[#This Row],[Fault Start TimeStamp]])*24</f>
        <v>0.66666666666666829</v>
      </c>
      <c r="Q601" s="19">
        <f>(Table6[[#This Row],[Fault Clearance time]]-Table6[[#This Row],[Fault Start TimeStamp]])*24</f>
        <v>0.66666666666666829</v>
      </c>
      <c r="R601" s="79" t="s">
        <v>420</v>
      </c>
      <c r="S601" s="79" t="s">
        <v>339</v>
      </c>
      <c r="T601" s="298">
        <f>IFERROR(Table6[[#This Row],[Breakdown Time]]*Table6[[#This Row],[Plant Equivalent Weightage]],"")</f>
        <v>0.19696969696969743</v>
      </c>
      <c r="U601" s="79" t="s">
        <v>421</v>
      </c>
      <c r="W601" s="79">
        <v>780</v>
      </c>
    </row>
    <row r="602" spans="1:23">
      <c r="A602" s="79">
        <f t="shared" si="9"/>
        <v>601</v>
      </c>
      <c r="B602" s="79">
        <f>YEAR(Table6[[#This Row],[Date]])+IF(MONTH(Table6[[#This Row],[Date]])&gt;=4,1,0)</f>
        <v>2026</v>
      </c>
      <c r="C602" s="79">
        <f>YEAR(Table6[[#This Row],[Date]])</f>
        <v>2025</v>
      </c>
      <c r="D602" s="79" t="s">
        <v>344</v>
      </c>
      <c r="E602" s="284">
        <f>Table6[[#This Row],[Date]]-DAY(Table6[[#This Row],[Date]])+1</f>
        <v>45778</v>
      </c>
      <c r="F602" s="285">
        <v>45796</v>
      </c>
      <c r="G602" s="79" t="s">
        <v>76</v>
      </c>
      <c r="H602" s="79" t="str">
        <f>IFERROR(_xlfn.XLOOKUP(Table6[[#This Row],[Affected Feeder ]],'Basic Data'!$A:$A,'Basic Data'!$B:$B),"")</f>
        <v>PWEPL</v>
      </c>
      <c r="I602" s="79" t="str">
        <f>IFERROR(_xlfn.XLOOKUP(Table6[[#This Row],[Affected Feeder ]],'Basic Data'!$A:$A,'Basic Data'!$C:$C),"")</f>
        <v>MSEDCL</v>
      </c>
      <c r="J602" s="295">
        <f>IFERROR(_xlfn.XLOOKUP(Table6[[#This Row],[Affected Feeder ]],'Basic Data'!$A:$A,'Basic Data'!$E:$E),"")</f>
        <v>2.2727272727272728E-2</v>
      </c>
      <c r="K602" s="296" t="s">
        <v>171</v>
      </c>
      <c r="L602" s="297">
        <v>0.37986111111111115</v>
      </c>
      <c r="M602" s="297">
        <v>0.37986111111111115</v>
      </c>
      <c r="N602" s="297">
        <v>0.39374999999999999</v>
      </c>
      <c r="O602" s="19">
        <f>(Table6[[#This Row],[Work Start TimeStamp]]-Table6[[#This Row],[Fault Start TimeStamp]])*24</f>
        <v>0</v>
      </c>
      <c r="P602" s="19">
        <f>(Table6[[#This Row],[Fault Clearance time]]-Table6[[#This Row],[Fault Start TimeStamp]])*24</f>
        <v>0.33333333333333215</v>
      </c>
      <c r="Q602" s="19">
        <f>(Table6[[#This Row],[Fault Clearance time]]-Table6[[#This Row],[Fault Start TimeStamp]])*24</f>
        <v>0.33333333333333215</v>
      </c>
      <c r="R602" s="79" t="s">
        <v>353</v>
      </c>
      <c r="S602" s="79" t="s">
        <v>339</v>
      </c>
      <c r="T602" s="298">
        <f>IFERROR(Table6[[#This Row],[Breakdown Time]]*Table6[[#This Row],[Plant Equivalent Weightage]],"")</f>
        <v>7.5757575757575491E-3</v>
      </c>
      <c r="U602" s="79" t="s">
        <v>421</v>
      </c>
      <c r="W602" s="79">
        <v>15</v>
      </c>
    </row>
    <row r="603" spans="1:23">
      <c r="A603" s="79">
        <f t="shared" si="9"/>
        <v>602</v>
      </c>
      <c r="B603" s="79">
        <f>YEAR(Table6[[#This Row],[Date]])+IF(MONTH(Table6[[#This Row],[Date]])&gt;=4,1,0)</f>
        <v>2026</v>
      </c>
      <c r="C603" s="79">
        <f>YEAR(Table6[[#This Row],[Date]])</f>
        <v>2025</v>
      </c>
      <c r="D603" s="79" t="s">
        <v>344</v>
      </c>
      <c r="E603" s="284">
        <f>Table6[[#This Row],[Date]]-DAY(Table6[[#This Row],[Date]])+1</f>
        <v>45778</v>
      </c>
      <c r="F603" s="285">
        <v>45796</v>
      </c>
      <c r="G603" s="79" t="s">
        <v>77</v>
      </c>
      <c r="H603" s="79" t="str">
        <f>IFERROR(_xlfn.XLOOKUP(Table6[[#This Row],[Affected Feeder ]],'Basic Data'!$A:$A,'Basic Data'!$B:$B),"")</f>
        <v>PWEPL</v>
      </c>
      <c r="I603" s="79" t="str">
        <f>IFERROR(_xlfn.XLOOKUP(Table6[[#This Row],[Affected Feeder ]],'Basic Data'!$A:$A,'Basic Data'!$C:$C),"")</f>
        <v>MSEDCL</v>
      </c>
      <c r="J603" s="295">
        <f>IFERROR(_xlfn.XLOOKUP(Table6[[#This Row],[Affected Feeder ]],'Basic Data'!$A:$A,'Basic Data'!$E:$E),"")</f>
        <v>2.2727272727272728E-2</v>
      </c>
      <c r="K603" s="296" t="s">
        <v>171</v>
      </c>
      <c r="L603" s="297">
        <v>0.37986111111111115</v>
      </c>
      <c r="M603" s="297">
        <v>0.37986111111111115</v>
      </c>
      <c r="N603" s="297">
        <v>0.39374999999999999</v>
      </c>
      <c r="O603" s="19">
        <f>(Table6[[#This Row],[Work Start TimeStamp]]-Table6[[#This Row],[Fault Start TimeStamp]])*24</f>
        <v>0</v>
      </c>
      <c r="P603" s="19">
        <f>(Table6[[#This Row],[Fault Clearance time]]-Table6[[#This Row],[Fault Start TimeStamp]])*24</f>
        <v>0.33333333333333215</v>
      </c>
      <c r="Q603" s="19">
        <f>(Table6[[#This Row],[Fault Clearance time]]-Table6[[#This Row],[Fault Start TimeStamp]])*24</f>
        <v>0.33333333333333215</v>
      </c>
      <c r="R603" s="79" t="s">
        <v>353</v>
      </c>
      <c r="S603" s="79" t="s">
        <v>339</v>
      </c>
      <c r="T603" s="298">
        <f>IFERROR(Table6[[#This Row],[Breakdown Time]]*Table6[[#This Row],[Plant Equivalent Weightage]],"")</f>
        <v>7.5757575757575491E-3</v>
      </c>
      <c r="U603" s="79" t="s">
        <v>421</v>
      </c>
      <c r="W603" s="79">
        <v>15</v>
      </c>
    </row>
    <row r="604" spans="1:23">
      <c r="A604" s="79">
        <f t="shared" si="9"/>
        <v>603</v>
      </c>
      <c r="B604" s="79">
        <f>YEAR(Table6[[#This Row],[Date]])+IF(MONTH(Table6[[#This Row],[Date]])&gt;=4,1,0)</f>
        <v>2026</v>
      </c>
      <c r="C604" s="79">
        <f>YEAR(Table6[[#This Row],[Date]])</f>
        <v>2025</v>
      </c>
      <c r="D604" s="79" t="s">
        <v>344</v>
      </c>
      <c r="E604" s="284">
        <f>Table6[[#This Row],[Date]]-DAY(Table6[[#This Row],[Date]])+1</f>
        <v>45778</v>
      </c>
      <c r="F604" s="285">
        <v>45796</v>
      </c>
      <c r="G604" s="79" t="s">
        <v>78</v>
      </c>
      <c r="H604" s="79" t="str">
        <f>IFERROR(_xlfn.XLOOKUP(Table6[[#This Row],[Affected Feeder ]],'Basic Data'!$A:$A,'Basic Data'!$B:$B),"")</f>
        <v>PWEPL</v>
      </c>
      <c r="I604" s="79" t="str">
        <f>IFERROR(_xlfn.XLOOKUP(Table6[[#This Row],[Affected Feeder ]],'Basic Data'!$A:$A,'Basic Data'!$C:$C),"")</f>
        <v>MSEDCL</v>
      </c>
      <c r="J604" s="295">
        <f>IFERROR(_xlfn.XLOOKUP(Table6[[#This Row],[Affected Feeder ]],'Basic Data'!$A:$A,'Basic Data'!$E:$E),"")</f>
        <v>2.2727272727272728E-2</v>
      </c>
      <c r="K604" s="296" t="s">
        <v>171</v>
      </c>
      <c r="L604" s="297">
        <v>0.37986111111111115</v>
      </c>
      <c r="M604" s="297">
        <v>0.37986111111111115</v>
      </c>
      <c r="N604" s="297">
        <v>0.39374999999999999</v>
      </c>
      <c r="O604" s="19">
        <f>(Table6[[#This Row],[Work Start TimeStamp]]-Table6[[#This Row],[Fault Start TimeStamp]])*24</f>
        <v>0</v>
      </c>
      <c r="P604" s="19">
        <f>(Table6[[#This Row],[Fault Clearance time]]-Table6[[#This Row],[Fault Start TimeStamp]])*24</f>
        <v>0.33333333333333215</v>
      </c>
      <c r="Q604" s="19">
        <f>(Table6[[#This Row],[Fault Clearance time]]-Table6[[#This Row],[Fault Start TimeStamp]])*24</f>
        <v>0.33333333333333215</v>
      </c>
      <c r="R604" s="79" t="s">
        <v>353</v>
      </c>
      <c r="S604" s="79" t="s">
        <v>339</v>
      </c>
      <c r="T604" s="298">
        <f>IFERROR(Table6[[#This Row],[Breakdown Time]]*Table6[[#This Row],[Plant Equivalent Weightage]],"")</f>
        <v>7.5757575757575491E-3</v>
      </c>
      <c r="U604" s="79" t="s">
        <v>421</v>
      </c>
      <c r="W604" s="79">
        <v>15</v>
      </c>
    </row>
    <row r="605" spans="1:23">
      <c r="A605" s="79">
        <f t="shared" si="9"/>
        <v>604</v>
      </c>
      <c r="B605" s="79">
        <f>YEAR(Table6[[#This Row],[Date]])+IF(MONTH(Table6[[#This Row],[Date]])&gt;=4,1,0)</f>
        <v>2026</v>
      </c>
      <c r="C605" s="79">
        <f>YEAR(Table6[[#This Row],[Date]])</f>
        <v>2025</v>
      </c>
      <c r="D605" s="79" t="s">
        <v>344</v>
      </c>
      <c r="E605" s="284">
        <f>Table6[[#This Row],[Date]]-DAY(Table6[[#This Row],[Date]])+1</f>
        <v>45778</v>
      </c>
      <c r="F605" s="285">
        <v>45796</v>
      </c>
      <c r="G605" s="79" t="s">
        <v>82</v>
      </c>
      <c r="H605" s="79" t="str">
        <f>IFERROR(_xlfn.XLOOKUP(Table6[[#This Row],[Affected Feeder ]],'Basic Data'!$A:$A,'Basic Data'!$B:$B),"")</f>
        <v>PWEPL</v>
      </c>
      <c r="I605" s="79" t="str">
        <f>IFERROR(_xlfn.XLOOKUP(Table6[[#This Row],[Affected Feeder ]],'Basic Data'!$A:$A,'Basic Data'!$C:$C),"")</f>
        <v>MSEDCL</v>
      </c>
      <c r="J605" s="295">
        <f>IFERROR(_xlfn.XLOOKUP(Table6[[#This Row],[Affected Feeder ]],'Basic Data'!$A:$A,'Basic Data'!$E:$E),"")</f>
        <v>2.2727272727272728E-2</v>
      </c>
      <c r="K605" s="296" t="s">
        <v>171</v>
      </c>
      <c r="L605" s="297">
        <v>0.37986111111111115</v>
      </c>
      <c r="M605" s="297">
        <v>0.37986111111111115</v>
      </c>
      <c r="N605" s="297">
        <v>0.39374999999999999</v>
      </c>
      <c r="O605" s="19">
        <f>(Table6[[#This Row],[Work Start TimeStamp]]-Table6[[#This Row],[Fault Start TimeStamp]])*24</f>
        <v>0</v>
      </c>
      <c r="P605" s="19">
        <f>(Table6[[#This Row],[Fault Clearance time]]-Table6[[#This Row],[Fault Start TimeStamp]])*24</f>
        <v>0.33333333333333215</v>
      </c>
      <c r="Q605" s="19">
        <f>(Table6[[#This Row],[Fault Clearance time]]-Table6[[#This Row],[Fault Start TimeStamp]])*24</f>
        <v>0.33333333333333215</v>
      </c>
      <c r="R605" s="79" t="s">
        <v>353</v>
      </c>
      <c r="S605" s="79" t="s">
        <v>339</v>
      </c>
      <c r="T605" s="298">
        <f>IFERROR(Table6[[#This Row],[Breakdown Time]]*Table6[[#This Row],[Plant Equivalent Weightage]],"")</f>
        <v>7.5757575757575491E-3</v>
      </c>
      <c r="U605" s="79" t="s">
        <v>421</v>
      </c>
      <c r="W605" s="79">
        <v>15</v>
      </c>
    </row>
    <row r="606" spans="1:23">
      <c r="A606" s="79">
        <f t="shared" si="9"/>
        <v>605</v>
      </c>
      <c r="B606" s="79">
        <f>YEAR(Table6[[#This Row],[Date]])+IF(MONTH(Table6[[#This Row],[Date]])&gt;=4,1,0)</f>
        <v>2026</v>
      </c>
      <c r="C606" s="79">
        <f>YEAR(Table6[[#This Row],[Date]])</f>
        <v>2025</v>
      </c>
      <c r="D606" s="79" t="s">
        <v>344</v>
      </c>
      <c r="E606" s="284">
        <f>Table6[[#This Row],[Date]]-DAY(Table6[[#This Row],[Date]])+1</f>
        <v>45778</v>
      </c>
      <c r="F606" s="285">
        <v>45796</v>
      </c>
      <c r="G606" s="79" t="s">
        <v>93</v>
      </c>
      <c r="H606" s="79" t="str">
        <f>IFERROR(_xlfn.XLOOKUP(Table6[[#This Row],[Affected Feeder ]],'Basic Data'!$A:$A,'Basic Data'!$B:$B),"")</f>
        <v>PWEPL</v>
      </c>
      <c r="I606" s="79" t="str">
        <f>IFERROR(_xlfn.XLOOKUP(Table6[[#This Row],[Affected Feeder ]],'Basic Data'!$A:$A,'Basic Data'!$C:$C),"")</f>
        <v>MSEDCL</v>
      </c>
      <c r="J606" s="295">
        <f>IFERROR(_xlfn.XLOOKUP(Table6[[#This Row],[Affected Feeder ]],'Basic Data'!$A:$A,'Basic Data'!$E:$E),"")</f>
        <v>2.2727272727272728E-2</v>
      </c>
      <c r="K606" s="296" t="s">
        <v>171</v>
      </c>
      <c r="L606" s="297">
        <v>0.37986111111111115</v>
      </c>
      <c r="M606" s="297">
        <v>0.37986111111111115</v>
      </c>
      <c r="N606" s="297">
        <v>0.39374999999999999</v>
      </c>
      <c r="O606" s="19">
        <f>(Table6[[#This Row],[Work Start TimeStamp]]-Table6[[#This Row],[Fault Start TimeStamp]])*24</f>
        <v>0</v>
      </c>
      <c r="P606" s="19">
        <f>(Table6[[#This Row],[Fault Clearance time]]-Table6[[#This Row],[Fault Start TimeStamp]])*24</f>
        <v>0.33333333333333215</v>
      </c>
      <c r="Q606" s="19">
        <f>(Table6[[#This Row],[Fault Clearance time]]-Table6[[#This Row],[Fault Start TimeStamp]])*24</f>
        <v>0.33333333333333215</v>
      </c>
      <c r="R606" s="79" t="s">
        <v>353</v>
      </c>
      <c r="S606" s="79" t="s">
        <v>339</v>
      </c>
      <c r="T606" s="298">
        <f>IFERROR(Table6[[#This Row],[Breakdown Time]]*Table6[[#This Row],[Plant Equivalent Weightage]],"")</f>
        <v>7.5757575757575491E-3</v>
      </c>
      <c r="U606" s="79" t="s">
        <v>421</v>
      </c>
      <c r="W606" s="79">
        <v>15</v>
      </c>
    </row>
    <row r="607" spans="1:23">
      <c r="A607" s="79">
        <f t="shared" si="9"/>
        <v>606</v>
      </c>
      <c r="B607" s="79">
        <f>YEAR(Table6[[#This Row],[Date]])+IF(MONTH(Table6[[#This Row],[Date]])&gt;=4,1,0)</f>
        <v>2026</v>
      </c>
      <c r="C607" s="79">
        <f>YEAR(Table6[[#This Row],[Date]])</f>
        <v>2025</v>
      </c>
      <c r="D607" s="79" t="s">
        <v>344</v>
      </c>
      <c r="E607" s="284">
        <f>Table6[[#This Row],[Date]]-DAY(Table6[[#This Row],[Date]])+1</f>
        <v>45778</v>
      </c>
      <c r="F607" s="285">
        <v>45796</v>
      </c>
      <c r="G607" s="79" t="s">
        <v>102</v>
      </c>
      <c r="H607" s="79" t="str">
        <f>IFERROR(_xlfn.XLOOKUP(Table6[[#This Row],[Affected Feeder ]],'Basic Data'!$A:$A,'Basic Data'!$B:$B),"")</f>
        <v>PWEPL</v>
      </c>
      <c r="I607" s="79" t="str">
        <f>IFERROR(_xlfn.XLOOKUP(Table6[[#This Row],[Affected Feeder ]],'Basic Data'!$A:$A,'Basic Data'!$C:$C),"")</f>
        <v>MSEDCL</v>
      </c>
      <c r="J607" s="295">
        <f>IFERROR(_xlfn.XLOOKUP(Table6[[#This Row],[Affected Feeder ]],'Basic Data'!$A:$A,'Basic Data'!$E:$E),"")</f>
        <v>2.2727272727272728E-2</v>
      </c>
      <c r="K607" s="296" t="s">
        <v>171</v>
      </c>
      <c r="L607" s="297">
        <v>0.37986111111111115</v>
      </c>
      <c r="M607" s="297">
        <v>0.37986111111111115</v>
      </c>
      <c r="N607" s="297">
        <v>0.39374999999999999</v>
      </c>
      <c r="O607" s="19">
        <f>(Table6[[#This Row],[Work Start TimeStamp]]-Table6[[#This Row],[Fault Start TimeStamp]])*24</f>
        <v>0</v>
      </c>
      <c r="P607" s="19">
        <f>(Table6[[#This Row],[Fault Clearance time]]-Table6[[#This Row],[Fault Start TimeStamp]])*24</f>
        <v>0.33333333333333215</v>
      </c>
      <c r="Q607" s="19">
        <f>(Table6[[#This Row],[Fault Clearance time]]-Table6[[#This Row],[Fault Start TimeStamp]])*24</f>
        <v>0.33333333333333215</v>
      </c>
      <c r="R607" s="79" t="s">
        <v>353</v>
      </c>
      <c r="S607" s="79" t="s">
        <v>339</v>
      </c>
      <c r="T607" s="298">
        <f>IFERROR(Table6[[#This Row],[Breakdown Time]]*Table6[[#This Row],[Plant Equivalent Weightage]],"")</f>
        <v>7.5757575757575491E-3</v>
      </c>
      <c r="U607" s="79" t="s">
        <v>421</v>
      </c>
      <c r="W607" s="79">
        <v>15</v>
      </c>
    </row>
    <row r="608" spans="1:23">
      <c r="A608" s="79">
        <f t="shared" si="9"/>
        <v>607</v>
      </c>
      <c r="B608" s="79">
        <f>YEAR(Table6[[#This Row],[Date]])+IF(MONTH(Table6[[#This Row],[Date]])&gt;=4,1,0)</f>
        <v>2026</v>
      </c>
      <c r="C608" s="79">
        <f>YEAR(Table6[[#This Row],[Date]])</f>
        <v>2025</v>
      </c>
      <c r="D608" s="79" t="s">
        <v>344</v>
      </c>
      <c r="E608" s="284">
        <f>Table6[[#This Row],[Date]]-DAY(Table6[[#This Row],[Date]])+1</f>
        <v>45778</v>
      </c>
      <c r="F608" s="285">
        <v>45796</v>
      </c>
      <c r="G608" s="79" t="s">
        <v>119</v>
      </c>
      <c r="H608" s="79" t="str">
        <f>IFERROR(_xlfn.XLOOKUP(Table6[[#This Row],[Affected Feeder ]],'Basic Data'!$A:$A,'Basic Data'!$B:$B),"")</f>
        <v>PWEPL</v>
      </c>
      <c r="I608" s="79" t="str">
        <f>IFERROR(_xlfn.XLOOKUP(Table6[[#This Row],[Affected Feeder ]],'Basic Data'!$A:$A,'Basic Data'!$C:$C),"")</f>
        <v>MSEDCL</v>
      </c>
      <c r="J608" s="295">
        <f>IFERROR(_xlfn.XLOOKUP(Table6[[#This Row],[Affected Feeder ]],'Basic Data'!$A:$A,'Basic Data'!$E:$E),"")</f>
        <v>2.2727272727272728E-2</v>
      </c>
      <c r="K608" s="296" t="s">
        <v>171</v>
      </c>
      <c r="L608" s="297">
        <v>0.37986111111111115</v>
      </c>
      <c r="M608" s="297">
        <v>0.37986111111111115</v>
      </c>
      <c r="N608" s="297">
        <v>0.39374999999999999</v>
      </c>
      <c r="O608" s="19">
        <f>(Table6[[#This Row],[Work Start TimeStamp]]-Table6[[#This Row],[Fault Start TimeStamp]])*24</f>
        <v>0</v>
      </c>
      <c r="P608" s="19">
        <f>(Table6[[#This Row],[Fault Clearance time]]-Table6[[#This Row],[Fault Start TimeStamp]])*24</f>
        <v>0.33333333333333215</v>
      </c>
      <c r="Q608" s="19">
        <f>(Table6[[#This Row],[Fault Clearance time]]-Table6[[#This Row],[Fault Start TimeStamp]])*24</f>
        <v>0.33333333333333215</v>
      </c>
      <c r="R608" s="79" t="s">
        <v>353</v>
      </c>
      <c r="S608" s="79" t="s">
        <v>339</v>
      </c>
      <c r="T608" s="298">
        <f>IFERROR(Table6[[#This Row],[Breakdown Time]]*Table6[[#This Row],[Plant Equivalent Weightage]],"")</f>
        <v>7.5757575757575491E-3</v>
      </c>
      <c r="U608" s="79" t="s">
        <v>421</v>
      </c>
      <c r="W608" s="79">
        <v>15</v>
      </c>
    </row>
    <row r="609" spans="1:23">
      <c r="A609" s="79">
        <f t="shared" si="9"/>
        <v>608</v>
      </c>
      <c r="B609" s="79">
        <f>YEAR(Table6[[#This Row],[Date]])+IF(MONTH(Table6[[#This Row],[Date]])&gt;=4,1,0)</f>
        <v>2026</v>
      </c>
      <c r="C609" s="79">
        <f>YEAR(Table6[[#This Row],[Date]])</f>
        <v>2025</v>
      </c>
      <c r="D609" s="79" t="s">
        <v>344</v>
      </c>
      <c r="E609" s="284">
        <f>Table6[[#This Row],[Date]]-DAY(Table6[[#This Row],[Date]])+1</f>
        <v>45778</v>
      </c>
      <c r="F609" s="285">
        <v>45796</v>
      </c>
      <c r="G609" s="79" t="s">
        <v>103</v>
      </c>
      <c r="H609" s="79" t="str">
        <f>IFERROR(_xlfn.XLOOKUP(Table6[[#This Row],[Affected Feeder ]],'Basic Data'!$A:$A,'Basic Data'!$B:$B),"")</f>
        <v>PWEPL</v>
      </c>
      <c r="I609" s="79" t="str">
        <f>IFERROR(_xlfn.XLOOKUP(Table6[[#This Row],[Affected Feeder ]],'Basic Data'!$A:$A,'Basic Data'!$C:$C),"")</f>
        <v>MSEDCL</v>
      </c>
      <c r="J609" s="295">
        <f>IFERROR(_xlfn.XLOOKUP(Table6[[#This Row],[Affected Feeder ]],'Basic Data'!$A:$A,'Basic Data'!$E:$E),"")</f>
        <v>2.2727272727272728E-2</v>
      </c>
      <c r="K609" s="296" t="s">
        <v>171</v>
      </c>
      <c r="L609" s="297">
        <v>0.37986111111111115</v>
      </c>
      <c r="M609" s="297">
        <v>0.37986111111111115</v>
      </c>
      <c r="N609" s="297">
        <v>0.39374999999999999</v>
      </c>
      <c r="O609" s="19">
        <f>(Table6[[#This Row],[Work Start TimeStamp]]-Table6[[#This Row],[Fault Start TimeStamp]])*24</f>
        <v>0</v>
      </c>
      <c r="P609" s="19">
        <f>(Table6[[#This Row],[Fault Clearance time]]-Table6[[#This Row],[Fault Start TimeStamp]])*24</f>
        <v>0.33333333333333215</v>
      </c>
      <c r="Q609" s="19">
        <f>(Table6[[#This Row],[Fault Clearance time]]-Table6[[#This Row],[Fault Start TimeStamp]])*24</f>
        <v>0.33333333333333215</v>
      </c>
      <c r="R609" s="79" t="s">
        <v>353</v>
      </c>
      <c r="S609" s="79" t="s">
        <v>339</v>
      </c>
      <c r="T609" s="298">
        <f>IFERROR(Table6[[#This Row],[Breakdown Time]]*Table6[[#This Row],[Plant Equivalent Weightage]],"")</f>
        <v>7.5757575757575491E-3</v>
      </c>
      <c r="U609" s="79" t="s">
        <v>421</v>
      </c>
      <c r="W609" s="79">
        <v>15</v>
      </c>
    </row>
    <row r="610" spans="1:23">
      <c r="A610" s="79">
        <f t="shared" si="9"/>
        <v>609</v>
      </c>
      <c r="B610" s="79">
        <f>YEAR(Table6[[#This Row],[Date]])+IF(MONTH(Table6[[#This Row],[Date]])&gt;=4,1,0)</f>
        <v>2026</v>
      </c>
      <c r="C610" s="79">
        <f>YEAR(Table6[[#This Row],[Date]])</f>
        <v>2025</v>
      </c>
      <c r="D610" s="79" t="s">
        <v>344</v>
      </c>
      <c r="E610" s="284">
        <f>Table6[[#This Row],[Date]]-DAY(Table6[[#This Row],[Date]])+1</f>
        <v>45778</v>
      </c>
      <c r="F610" s="285">
        <v>45796</v>
      </c>
      <c r="G610" s="79" t="s">
        <v>105</v>
      </c>
      <c r="H610" s="79" t="str">
        <f>IFERROR(_xlfn.XLOOKUP(Table6[[#This Row],[Affected Feeder ]],'Basic Data'!$A:$A,'Basic Data'!$B:$B),"")</f>
        <v>PWEPL</v>
      </c>
      <c r="I610" s="79" t="str">
        <f>IFERROR(_xlfn.XLOOKUP(Table6[[#This Row],[Affected Feeder ]],'Basic Data'!$A:$A,'Basic Data'!$C:$C),"")</f>
        <v>MSEDCL</v>
      </c>
      <c r="J610" s="295">
        <f>IFERROR(_xlfn.XLOOKUP(Table6[[#This Row],[Affected Feeder ]],'Basic Data'!$A:$A,'Basic Data'!$E:$E),"")</f>
        <v>2.2727272727272728E-2</v>
      </c>
      <c r="K610" s="296" t="s">
        <v>171</v>
      </c>
      <c r="L610" s="297">
        <v>0.37986111111111115</v>
      </c>
      <c r="M610" s="297">
        <v>0.37986111111111115</v>
      </c>
      <c r="N610" s="297">
        <v>0.39374999999999999</v>
      </c>
      <c r="O610" s="19">
        <f>(Table6[[#This Row],[Work Start TimeStamp]]-Table6[[#This Row],[Fault Start TimeStamp]])*24</f>
        <v>0</v>
      </c>
      <c r="P610" s="19">
        <f>(Table6[[#This Row],[Fault Clearance time]]-Table6[[#This Row],[Fault Start TimeStamp]])*24</f>
        <v>0.33333333333333215</v>
      </c>
      <c r="Q610" s="19">
        <f>(Table6[[#This Row],[Fault Clearance time]]-Table6[[#This Row],[Fault Start TimeStamp]])*24</f>
        <v>0.33333333333333215</v>
      </c>
      <c r="R610" s="79" t="s">
        <v>353</v>
      </c>
      <c r="S610" s="79" t="s">
        <v>339</v>
      </c>
      <c r="T610" s="298">
        <f>IFERROR(Table6[[#This Row],[Breakdown Time]]*Table6[[#This Row],[Plant Equivalent Weightage]],"")</f>
        <v>7.5757575757575491E-3</v>
      </c>
      <c r="U610" s="79" t="s">
        <v>421</v>
      </c>
      <c r="W610" s="79">
        <v>15</v>
      </c>
    </row>
    <row r="611" spans="1:23">
      <c r="A611" s="79">
        <f t="shared" si="9"/>
        <v>610</v>
      </c>
      <c r="B611" s="79">
        <f>YEAR(Table6[[#This Row],[Date]])+IF(MONTH(Table6[[#This Row],[Date]])&gt;=4,1,0)</f>
        <v>2026</v>
      </c>
      <c r="C611" s="79">
        <f>YEAR(Table6[[#This Row],[Date]])</f>
        <v>2025</v>
      </c>
      <c r="D611" s="79" t="s">
        <v>344</v>
      </c>
      <c r="E611" s="284">
        <f>Table6[[#This Row],[Date]]-DAY(Table6[[#This Row],[Date]])+1</f>
        <v>45778</v>
      </c>
      <c r="F611" s="285">
        <v>45796</v>
      </c>
      <c r="G611" s="79" t="s">
        <v>115</v>
      </c>
      <c r="H611" s="79" t="str">
        <f>IFERROR(_xlfn.XLOOKUP(Table6[[#This Row],[Affected Feeder ]],'Basic Data'!$A:$A,'Basic Data'!$B:$B),"")</f>
        <v>PWEPL</v>
      </c>
      <c r="I611" s="79" t="str">
        <f>IFERROR(_xlfn.XLOOKUP(Table6[[#This Row],[Affected Feeder ]],'Basic Data'!$A:$A,'Basic Data'!$C:$C),"")</f>
        <v>MSEDCL</v>
      </c>
      <c r="J611" s="295">
        <f>IFERROR(_xlfn.XLOOKUP(Table6[[#This Row],[Affected Feeder ]],'Basic Data'!$A:$A,'Basic Data'!$E:$E),"")</f>
        <v>2.2727272727272728E-2</v>
      </c>
      <c r="K611" s="296" t="s">
        <v>171</v>
      </c>
      <c r="L611" s="297">
        <v>0.37986111111111115</v>
      </c>
      <c r="M611" s="297">
        <v>0.37986111111111115</v>
      </c>
      <c r="N611" s="297">
        <v>0.39374999999999999</v>
      </c>
      <c r="O611" s="19">
        <f>(Table6[[#This Row],[Work Start TimeStamp]]-Table6[[#This Row],[Fault Start TimeStamp]])*24</f>
        <v>0</v>
      </c>
      <c r="P611" s="19">
        <f>(Table6[[#This Row],[Fault Clearance time]]-Table6[[#This Row],[Fault Start TimeStamp]])*24</f>
        <v>0.33333333333333215</v>
      </c>
      <c r="Q611" s="19">
        <f>(Table6[[#This Row],[Fault Clearance time]]-Table6[[#This Row],[Fault Start TimeStamp]])*24</f>
        <v>0.33333333333333215</v>
      </c>
      <c r="R611" s="79" t="s">
        <v>353</v>
      </c>
      <c r="S611" s="79" t="s">
        <v>339</v>
      </c>
      <c r="T611" s="298">
        <f>IFERROR(Table6[[#This Row],[Breakdown Time]]*Table6[[#This Row],[Plant Equivalent Weightage]],"")</f>
        <v>7.5757575757575491E-3</v>
      </c>
      <c r="U611" s="79" t="s">
        <v>421</v>
      </c>
      <c r="W611" s="79">
        <v>15</v>
      </c>
    </row>
    <row r="612" spans="1:23">
      <c r="A612" s="79">
        <f t="shared" si="9"/>
        <v>611</v>
      </c>
      <c r="B612" s="79">
        <f>YEAR(Table6[[#This Row],[Date]])+IF(MONTH(Table6[[#This Row],[Date]])&gt;=4,1,0)</f>
        <v>2026</v>
      </c>
      <c r="C612" s="79">
        <f>YEAR(Table6[[#This Row],[Date]])</f>
        <v>2025</v>
      </c>
      <c r="D612" s="79" t="s">
        <v>344</v>
      </c>
      <c r="E612" s="284">
        <f>Table6[[#This Row],[Date]]-DAY(Table6[[#This Row],[Date]])+1</f>
        <v>45778</v>
      </c>
      <c r="F612" s="285">
        <v>45796</v>
      </c>
      <c r="G612" s="79" t="s">
        <v>116</v>
      </c>
      <c r="H612" s="79" t="str">
        <f>IFERROR(_xlfn.XLOOKUP(Table6[[#This Row],[Affected Feeder ]],'Basic Data'!$A:$A,'Basic Data'!$B:$B),"")</f>
        <v>PWEPL</v>
      </c>
      <c r="I612" s="79" t="str">
        <f>IFERROR(_xlfn.XLOOKUP(Table6[[#This Row],[Affected Feeder ]],'Basic Data'!$A:$A,'Basic Data'!$C:$C),"")</f>
        <v>MSEDCL</v>
      </c>
      <c r="J612" s="295">
        <f>IFERROR(_xlfn.XLOOKUP(Table6[[#This Row],[Affected Feeder ]],'Basic Data'!$A:$A,'Basic Data'!$E:$E),"")</f>
        <v>2.2727272727272728E-2</v>
      </c>
      <c r="K612" s="296" t="s">
        <v>171</v>
      </c>
      <c r="L612" s="297">
        <v>0.37986111111111115</v>
      </c>
      <c r="M612" s="297">
        <v>0.37986111111111115</v>
      </c>
      <c r="N612" s="297">
        <v>0.39374999999999999</v>
      </c>
      <c r="O612" s="19">
        <f>(Table6[[#This Row],[Work Start TimeStamp]]-Table6[[#This Row],[Fault Start TimeStamp]])*24</f>
        <v>0</v>
      </c>
      <c r="P612" s="19">
        <f>(Table6[[#This Row],[Fault Clearance time]]-Table6[[#This Row],[Fault Start TimeStamp]])*24</f>
        <v>0.33333333333333215</v>
      </c>
      <c r="Q612" s="19">
        <f>(Table6[[#This Row],[Fault Clearance time]]-Table6[[#This Row],[Fault Start TimeStamp]])*24</f>
        <v>0.33333333333333215</v>
      </c>
      <c r="R612" s="79" t="s">
        <v>353</v>
      </c>
      <c r="S612" s="79" t="s">
        <v>339</v>
      </c>
      <c r="T612" s="298">
        <f>IFERROR(Table6[[#This Row],[Breakdown Time]]*Table6[[#This Row],[Plant Equivalent Weightage]],"")</f>
        <v>7.5757575757575491E-3</v>
      </c>
      <c r="U612" s="79" t="s">
        <v>421</v>
      </c>
      <c r="W612" s="79">
        <v>15</v>
      </c>
    </row>
    <row r="613" spans="1:23">
      <c r="A613" s="79">
        <f t="shared" si="9"/>
        <v>612</v>
      </c>
      <c r="B613" s="79">
        <f>YEAR(Table6[[#This Row],[Date]])+IF(MONTH(Table6[[#This Row],[Date]])&gt;=4,1,0)</f>
        <v>2026</v>
      </c>
      <c r="C613" s="79">
        <f>YEAR(Table6[[#This Row],[Date]])</f>
        <v>2025</v>
      </c>
      <c r="D613" s="79" t="s">
        <v>344</v>
      </c>
      <c r="E613" s="284">
        <f>Table6[[#This Row],[Date]]-DAY(Table6[[#This Row],[Date]])+1</f>
        <v>45778</v>
      </c>
      <c r="F613" s="285">
        <v>45796</v>
      </c>
      <c r="G613" s="79" t="s">
        <v>117</v>
      </c>
      <c r="H613" s="79" t="str">
        <f>IFERROR(_xlfn.XLOOKUP(Table6[[#This Row],[Affected Feeder ]],'Basic Data'!$A:$A,'Basic Data'!$B:$B),"")</f>
        <v>PWEPL</v>
      </c>
      <c r="I613" s="79" t="str">
        <f>IFERROR(_xlfn.XLOOKUP(Table6[[#This Row],[Affected Feeder ]],'Basic Data'!$A:$A,'Basic Data'!$C:$C),"")</f>
        <v>MSEDCL</v>
      </c>
      <c r="J613" s="295">
        <f>IFERROR(_xlfn.XLOOKUP(Table6[[#This Row],[Affected Feeder ]],'Basic Data'!$A:$A,'Basic Data'!$E:$E),"")</f>
        <v>2.2727272727272728E-2</v>
      </c>
      <c r="K613" s="296" t="s">
        <v>171</v>
      </c>
      <c r="L613" s="297">
        <v>0.37986111111111115</v>
      </c>
      <c r="M613" s="297">
        <v>0.37986111111111115</v>
      </c>
      <c r="N613" s="297">
        <v>0.39374999999999999</v>
      </c>
      <c r="O613" s="19">
        <f>(Table6[[#This Row],[Work Start TimeStamp]]-Table6[[#This Row],[Fault Start TimeStamp]])*24</f>
        <v>0</v>
      </c>
      <c r="P613" s="19">
        <f>(Table6[[#This Row],[Fault Clearance time]]-Table6[[#This Row],[Fault Start TimeStamp]])*24</f>
        <v>0.33333333333333215</v>
      </c>
      <c r="Q613" s="19">
        <f>(Table6[[#This Row],[Fault Clearance time]]-Table6[[#This Row],[Fault Start TimeStamp]])*24</f>
        <v>0.33333333333333215</v>
      </c>
      <c r="R613" s="79" t="s">
        <v>353</v>
      </c>
      <c r="S613" s="79" t="s">
        <v>339</v>
      </c>
      <c r="T613" s="298">
        <f>IFERROR(Table6[[#This Row],[Breakdown Time]]*Table6[[#This Row],[Plant Equivalent Weightage]],"")</f>
        <v>7.5757575757575491E-3</v>
      </c>
      <c r="U613" s="79" t="s">
        <v>421</v>
      </c>
      <c r="W613" s="79">
        <v>15</v>
      </c>
    </row>
    <row r="614" spans="1:23">
      <c r="A614" s="79">
        <f t="shared" si="9"/>
        <v>613</v>
      </c>
      <c r="B614" s="79">
        <f>YEAR(Table6[[#This Row],[Date]])+IF(MONTH(Table6[[#This Row],[Date]])&gt;=4,1,0)</f>
        <v>2026</v>
      </c>
      <c r="C614" s="79">
        <f>YEAR(Table6[[#This Row],[Date]])</f>
        <v>2025</v>
      </c>
      <c r="D614" s="79" t="s">
        <v>344</v>
      </c>
      <c r="E614" s="284">
        <f>Table6[[#This Row],[Date]]-DAY(Table6[[#This Row],[Date]])+1</f>
        <v>45778</v>
      </c>
      <c r="F614" s="285">
        <v>45796</v>
      </c>
      <c r="G614" s="79" t="s">
        <v>118</v>
      </c>
      <c r="H614" s="79" t="str">
        <f>IFERROR(_xlfn.XLOOKUP(Table6[[#This Row],[Affected Feeder ]],'Basic Data'!$A:$A,'Basic Data'!$B:$B),"")</f>
        <v>PWEPL</v>
      </c>
      <c r="I614" s="79" t="str">
        <f>IFERROR(_xlfn.XLOOKUP(Table6[[#This Row],[Affected Feeder ]],'Basic Data'!$A:$A,'Basic Data'!$C:$C),"")</f>
        <v>MSEDCL</v>
      </c>
      <c r="J614" s="295">
        <f>IFERROR(_xlfn.XLOOKUP(Table6[[#This Row],[Affected Feeder ]],'Basic Data'!$A:$A,'Basic Data'!$E:$E),"")</f>
        <v>2.2727272727272728E-2</v>
      </c>
      <c r="K614" s="296" t="s">
        <v>171</v>
      </c>
      <c r="L614" s="297">
        <v>0.37986111111111115</v>
      </c>
      <c r="M614" s="297">
        <v>0.37986111111111115</v>
      </c>
      <c r="N614" s="297">
        <v>0.39374999999999999</v>
      </c>
      <c r="O614" s="19">
        <f>(Table6[[#This Row],[Work Start TimeStamp]]-Table6[[#This Row],[Fault Start TimeStamp]])*24</f>
        <v>0</v>
      </c>
      <c r="P614" s="19">
        <f>(Table6[[#This Row],[Fault Clearance time]]-Table6[[#This Row],[Fault Start TimeStamp]])*24</f>
        <v>0.33333333333333215</v>
      </c>
      <c r="Q614" s="19">
        <f>(Table6[[#This Row],[Fault Clearance time]]-Table6[[#This Row],[Fault Start TimeStamp]])*24</f>
        <v>0.33333333333333215</v>
      </c>
      <c r="R614" s="79" t="s">
        <v>353</v>
      </c>
      <c r="S614" s="79" t="s">
        <v>339</v>
      </c>
      <c r="T614" s="298">
        <f>IFERROR(Table6[[#This Row],[Breakdown Time]]*Table6[[#This Row],[Plant Equivalent Weightage]],"")</f>
        <v>7.5757575757575491E-3</v>
      </c>
      <c r="U614" s="79" t="s">
        <v>421</v>
      </c>
      <c r="W614" s="79">
        <v>15</v>
      </c>
    </row>
    <row r="615" spans="1:23">
      <c r="A615" s="79">
        <f t="shared" si="9"/>
        <v>614</v>
      </c>
      <c r="B615" s="79">
        <f>YEAR(Table6[[#This Row],[Date]])+IF(MONTH(Table6[[#This Row],[Date]])&gt;=4,1,0)</f>
        <v>2026</v>
      </c>
      <c r="C615" s="79">
        <f>YEAR(Table6[[#This Row],[Date]])</f>
        <v>2025</v>
      </c>
      <c r="D615" s="79" t="s">
        <v>344</v>
      </c>
      <c r="E615" s="284">
        <f>Table6[[#This Row],[Date]]-DAY(Table6[[#This Row],[Date]])+1</f>
        <v>45778</v>
      </c>
      <c r="F615" s="285">
        <v>45796</v>
      </c>
      <c r="G615" s="79" t="s">
        <v>79</v>
      </c>
      <c r="H615" s="79" t="str">
        <f>IFERROR(_xlfn.XLOOKUP(Table6[[#This Row],[Affected Feeder ]],'Basic Data'!$A:$A,'Basic Data'!$B:$B),"")</f>
        <v>PWEPL</v>
      </c>
      <c r="I615" s="79" t="str">
        <f>IFERROR(_xlfn.XLOOKUP(Table6[[#This Row],[Affected Feeder ]],'Basic Data'!$A:$A,'Basic Data'!$C:$C),"")</f>
        <v>MSEDCL</v>
      </c>
      <c r="J615" s="295">
        <f>IFERROR(_xlfn.XLOOKUP(Table6[[#This Row],[Affected Feeder ]],'Basic Data'!$A:$A,'Basic Data'!$E:$E),"")</f>
        <v>2.2727272727272728E-2</v>
      </c>
      <c r="K615" s="296" t="s">
        <v>826</v>
      </c>
      <c r="L615" s="297">
        <v>0.49652777777777773</v>
      </c>
      <c r="M615" s="297">
        <v>0.49652777777777773</v>
      </c>
      <c r="N615" s="297">
        <v>0.50277777777777777</v>
      </c>
      <c r="O615" s="19">
        <f>(Table6[[#This Row],[Work Start TimeStamp]]-Table6[[#This Row],[Fault Start TimeStamp]])*24</f>
        <v>0</v>
      </c>
      <c r="P615" s="19">
        <f>(Table6[[#This Row],[Fault Clearance time]]-Table6[[#This Row],[Fault Start TimeStamp]])*24</f>
        <v>0.1500000000000008</v>
      </c>
      <c r="Q615" s="19">
        <f>(Table6[[#This Row],[Fault Clearance time]]-Table6[[#This Row],[Fault Start TimeStamp]])*24</f>
        <v>0.1500000000000008</v>
      </c>
      <c r="R615" s="79" t="s">
        <v>818</v>
      </c>
      <c r="S615" s="79" t="s">
        <v>339</v>
      </c>
      <c r="T615" s="298">
        <f>IFERROR(Table6[[#This Row],[Breakdown Time]]*Table6[[#This Row],[Plant Equivalent Weightage]],"")</f>
        <v>3.4090909090909271E-3</v>
      </c>
      <c r="U615" s="79" t="s">
        <v>416</v>
      </c>
      <c r="W615" s="79">
        <v>0</v>
      </c>
    </row>
    <row r="616" spans="1:23">
      <c r="A616" s="79">
        <f t="shared" si="9"/>
        <v>615</v>
      </c>
      <c r="B616" s="79">
        <f>YEAR(Table6[[#This Row],[Date]])+IF(MONTH(Table6[[#This Row],[Date]])&gt;=4,1,0)</f>
        <v>2026</v>
      </c>
      <c r="C616" s="79">
        <f>YEAR(Table6[[#This Row],[Date]])</f>
        <v>2025</v>
      </c>
      <c r="D616" s="79" t="s">
        <v>344</v>
      </c>
      <c r="E616" s="284">
        <f>Table6[[#This Row],[Date]]-DAY(Table6[[#This Row],[Date]])+1</f>
        <v>45778</v>
      </c>
      <c r="F616" s="285">
        <v>45796</v>
      </c>
      <c r="G616" s="79" t="s">
        <v>79</v>
      </c>
      <c r="H616" s="79" t="str">
        <f>IFERROR(_xlfn.XLOOKUP(Table6[[#This Row],[Affected Feeder ]],'Basic Data'!$A:$A,'Basic Data'!$B:$B),"")</f>
        <v>PWEPL</v>
      </c>
      <c r="I616" s="79" t="str">
        <f>IFERROR(_xlfn.XLOOKUP(Table6[[#This Row],[Affected Feeder ]],'Basic Data'!$A:$A,'Basic Data'!$C:$C),"")</f>
        <v>MSEDCL</v>
      </c>
      <c r="J616" s="295">
        <f>IFERROR(_xlfn.XLOOKUP(Table6[[#This Row],[Affected Feeder ]],'Basic Data'!$A:$A,'Basic Data'!$E:$E),"")</f>
        <v>2.2727272727272728E-2</v>
      </c>
      <c r="K616" s="296" t="s">
        <v>171</v>
      </c>
      <c r="L616" s="297">
        <v>0.50277777777777777</v>
      </c>
      <c r="M616" s="297">
        <v>0.50277777777777777</v>
      </c>
      <c r="N616" s="297">
        <v>0.51666666666666672</v>
      </c>
      <c r="O616" s="19">
        <f>(Table6[[#This Row],[Work Start TimeStamp]]-Table6[[#This Row],[Fault Start TimeStamp]])*24</f>
        <v>0</v>
      </c>
      <c r="P616" s="19">
        <f>(Table6[[#This Row],[Fault Clearance time]]-Table6[[#This Row],[Fault Start TimeStamp]])*24</f>
        <v>0.33333333333333481</v>
      </c>
      <c r="Q616" s="19">
        <f>(Table6[[#This Row],[Fault Clearance time]]-Table6[[#This Row],[Fault Start TimeStamp]])*24</f>
        <v>0.33333333333333481</v>
      </c>
      <c r="R616" s="79" t="s">
        <v>353</v>
      </c>
      <c r="S616" s="79" t="s">
        <v>339</v>
      </c>
      <c r="T616" s="298">
        <f>IFERROR(Table6[[#This Row],[Breakdown Time]]*Table6[[#This Row],[Plant Equivalent Weightage]],"")</f>
        <v>7.5757575757576098E-3</v>
      </c>
      <c r="U616" s="79" t="s">
        <v>416</v>
      </c>
      <c r="W616" s="79">
        <v>0</v>
      </c>
    </row>
    <row r="617" spans="1:23">
      <c r="A617" s="79">
        <f t="shared" si="9"/>
        <v>616</v>
      </c>
      <c r="B617" s="79">
        <f>YEAR(Table6[[#This Row],[Date]])+IF(MONTH(Table6[[#This Row],[Date]])&gt;=4,1,0)</f>
        <v>2026</v>
      </c>
      <c r="C617" s="79">
        <f>YEAR(Table6[[#This Row],[Date]])</f>
        <v>2025</v>
      </c>
      <c r="D617" s="79" t="s">
        <v>344</v>
      </c>
      <c r="E617" s="284">
        <f>Table6[[#This Row],[Date]]-DAY(Table6[[#This Row],[Date]])+1</f>
        <v>45778</v>
      </c>
      <c r="F617" s="285">
        <v>45796</v>
      </c>
      <c r="G617" s="79" t="s">
        <v>97</v>
      </c>
      <c r="H617" s="79" t="str">
        <f>IFERROR(_xlfn.XLOOKUP(Table6[[#This Row],[Affected Feeder ]],'Basic Data'!$A:$A,'Basic Data'!$B:$B),"")</f>
        <v>PWEPL</v>
      </c>
      <c r="I617" s="79" t="str">
        <f>IFERROR(_xlfn.XLOOKUP(Table6[[#This Row],[Affected Feeder ]],'Basic Data'!$A:$A,'Basic Data'!$C:$C),"")</f>
        <v>MSEDCL</v>
      </c>
      <c r="J617" s="295">
        <f>IFERROR(_xlfn.XLOOKUP(Table6[[#This Row],[Affected Feeder ]],'Basic Data'!$A:$A,'Basic Data'!$E:$E),"")</f>
        <v>2.2727272727272728E-2</v>
      </c>
      <c r="K617" s="296" t="s">
        <v>827</v>
      </c>
      <c r="L617" s="297">
        <v>0.51180555555555551</v>
      </c>
      <c r="M617" s="297">
        <v>0.51180555555555551</v>
      </c>
      <c r="N617" s="297">
        <v>0.52152777777777781</v>
      </c>
      <c r="O617" s="19">
        <f>(Table6[[#This Row],[Work Start TimeStamp]]-Table6[[#This Row],[Fault Start TimeStamp]])*24</f>
        <v>0</v>
      </c>
      <c r="P617" s="19">
        <f>(Table6[[#This Row],[Fault Clearance time]]-Table6[[#This Row],[Fault Start TimeStamp]])*24</f>
        <v>0.23333333333333517</v>
      </c>
      <c r="Q617" s="19">
        <f>(Table6[[#This Row],[Fault Clearance time]]-Table6[[#This Row],[Fault Start TimeStamp]])*24</f>
        <v>0.23333333333333517</v>
      </c>
      <c r="R617" s="79" t="s">
        <v>818</v>
      </c>
      <c r="S617" s="79" t="s">
        <v>339</v>
      </c>
      <c r="T617" s="298">
        <f>IFERROR(Table6[[#This Row],[Breakdown Time]]*Table6[[#This Row],[Plant Equivalent Weightage]],"")</f>
        <v>5.303030303030345E-3</v>
      </c>
      <c r="U617" s="79" t="s">
        <v>416</v>
      </c>
      <c r="W617" s="79">
        <v>0</v>
      </c>
    </row>
    <row r="618" spans="1:23">
      <c r="A618" s="79">
        <f t="shared" si="9"/>
        <v>617</v>
      </c>
      <c r="B618" s="79">
        <f>YEAR(Table6[[#This Row],[Date]])+IF(MONTH(Table6[[#This Row],[Date]])&gt;=4,1,0)</f>
        <v>2026</v>
      </c>
      <c r="C618" s="79">
        <f>YEAR(Table6[[#This Row],[Date]])</f>
        <v>2025</v>
      </c>
      <c r="D618" s="79" t="s">
        <v>344</v>
      </c>
      <c r="E618" s="284">
        <f>Table6[[#This Row],[Date]]-DAY(Table6[[#This Row],[Date]])+1</f>
        <v>45778</v>
      </c>
      <c r="F618" s="285">
        <v>45796</v>
      </c>
      <c r="G618" s="79" t="s">
        <v>97</v>
      </c>
      <c r="H618" s="79" t="str">
        <f>IFERROR(_xlfn.XLOOKUP(Table6[[#This Row],[Affected Feeder ]],'Basic Data'!$A:$A,'Basic Data'!$B:$B),"")</f>
        <v>PWEPL</v>
      </c>
      <c r="I618" s="79" t="str">
        <f>IFERROR(_xlfn.XLOOKUP(Table6[[#This Row],[Affected Feeder ]],'Basic Data'!$A:$A,'Basic Data'!$C:$C),"")</f>
        <v>MSEDCL</v>
      </c>
      <c r="J618" s="295">
        <f>IFERROR(_xlfn.XLOOKUP(Table6[[#This Row],[Affected Feeder ]],'Basic Data'!$A:$A,'Basic Data'!$E:$E),"")</f>
        <v>2.2727272727272728E-2</v>
      </c>
      <c r="K618" s="296" t="s">
        <v>171</v>
      </c>
      <c r="L618" s="297">
        <v>0.52152777777777781</v>
      </c>
      <c r="M618" s="297">
        <v>0.52152777777777781</v>
      </c>
      <c r="N618" s="297">
        <v>0.53541666666666665</v>
      </c>
      <c r="O618" s="19">
        <f>(Table6[[#This Row],[Work Start TimeStamp]]-Table6[[#This Row],[Fault Start TimeStamp]])*24</f>
        <v>0</v>
      </c>
      <c r="P618" s="19">
        <f>(Table6[[#This Row],[Fault Clearance time]]-Table6[[#This Row],[Fault Start TimeStamp]])*24</f>
        <v>0.33333333333333215</v>
      </c>
      <c r="Q618" s="19">
        <f>(Table6[[#This Row],[Fault Clearance time]]-Table6[[#This Row],[Fault Start TimeStamp]])*24</f>
        <v>0.33333333333333215</v>
      </c>
      <c r="R618" s="79" t="s">
        <v>353</v>
      </c>
      <c r="S618" s="79" t="s">
        <v>339</v>
      </c>
      <c r="T618" s="298">
        <f>IFERROR(Table6[[#This Row],[Breakdown Time]]*Table6[[#This Row],[Plant Equivalent Weightage]],"")</f>
        <v>7.5757575757575491E-3</v>
      </c>
      <c r="U618" s="79" t="s">
        <v>416</v>
      </c>
      <c r="W618" s="79">
        <v>0</v>
      </c>
    </row>
    <row r="619" spans="1:23">
      <c r="A619" s="79">
        <f t="shared" si="9"/>
        <v>618</v>
      </c>
      <c r="B619" s="79">
        <f>YEAR(Table6[[#This Row],[Date]])+IF(MONTH(Table6[[#This Row],[Date]])&gt;=4,1,0)</f>
        <v>2026</v>
      </c>
      <c r="C619" s="79">
        <f>YEAR(Table6[[#This Row],[Date]])</f>
        <v>2025</v>
      </c>
      <c r="D619" s="79" t="s">
        <v>344</v>
      </c>
      <c r="E619" s="284">
        <f>Table6[[#This Row],[Date]]-DAY(Table6[[#This Row],[Date]])+1</f>
        <v>45778</v>
      </c>
      <c r="F619" s="285">
        <v>45796</v>
      </c>
      <c r="G619" s="79" t="s">
        <v>110</v>
      </c>
      <c r="H619" s="79" t="str">
        <f>IFERROR(_xlfn.XLOOKUP(Table6[[#This Row],[Affected Feeder ]],'Basic Data'!$A:$A,'Basic Data'!$B:$B),"")</f>
        <v>PWEPL</v>
      </c>
      <c r="I619" s="79" t="str">
        <f>IFERROR(_xlfn.XLOOKUP(Table6[[#This Row],[Affected Feeder ]],'Basic Data'!$A:$A,'Basic Data'!$C:$C),"")</f>
        <v>MSEDCL</v>
      </c>
      <c r="J619" s="295">
        <f>IFERROR(_xlfn.XLOOKUP(Table6[[#This Row],[Affected Feeder ]],'Basic Data'!$A:$A,'Basic Data'!$E:$E),"")</f>
        <v>2.2727272727272728E-2</v>
      </c>
      <c r="K619" s="296" t="s">
        <v>817</v>
      </c>
      <c r="L619" s="297">
        <v>0.53611111111111109</v>
      </c>
      <c r="M619" s="297">
        <v>0.53611111111111109</v>
      </c>
      <c r="N619" s="297">
        <v>0.54236111111111118</v>
      </c>
      <c r="O619" s="19">
        <f>(Table6[[#This Row],[Work Start TimeStamp]]-Table6[[#This Row],[Fault Start TimeStamp]])*24</f>
        <v>0</v>
      </c>
      <c r="P619" s="19">
        <f>(Table6[[#This Row],[Fault Clearance time]]-Table6[[#This Row],[Fault Start TimeStamp]])*24</f>
        <v>0.15000000000000213</v>
      </c>
      <c r="Q619" s="19">
        <f>(Table6[[#This Row],[Fault Clearance time]]-Table6[[#This Row],[Fault Start TimeStamp]])*24</f>
        <v>0.15000000000000213</v>
      </c>
      <c r="R619" s="79" t="s">
        <v>818</v>
      </c>
      <c r="S619" s="79" t="s">
        <v>339</v>
      </c>
      <c r="T619" s="298">
        <f>IFERROR(Table6[[#This Row],[Breakdown Time]]*Table6[[#This Row],[Plant Equivalent Weightage]],"")</f>
        <v>3.4090909090909575E-3</v>
      </c>
      <c r="U619" s="79" t="s">
        <v>416</v>
      </c>
      <c r="W619" s="79">
        <v>0</v>
      </c>
    </row>
    <row r="620" spans="1:23">
      <c r="A620" s="79">
        <f t="shared" si="9"/>
        <v>619</v>
      </c>
      <c r="B620" s="79">
        <f>YEAR(Table6[[#This Row],[Date]])+IF(MONTH(Table6[[#This Row],[Date]])&gt;=4,1,0)</f>
        <v>2026</v>
      </c>
      <c r="C620" s="79">
        <f>YEAR(Table6[[#This Row],[Date]])</f>
        <v>2025</v>
      </c>
      <c r="D620" s="79" t="s">
        <v>344</v>
      </c>
      <c r="E620" s="284">
        <f>Table6[[#This Row],[Date]]-DAY(Table6[[#This Row],[Date]])+1</f>
        <v>45778</v>
      </c>
      <c r="F620" s="285">
        <v>45796</v>
      </c>
      <c r="G620" s="79" t="s">
        <v>110</v>
      </c>
      <c r="H620" s="79" t="str">
        <f>IFERROR(_xlfn.XLOOKUP(Table6[[#This Row],[Affected Feeder ]],'Basic Data'!$A:$A,'Basic Data'!$B:$B),"")</f>
        <v>PWEPL</v>
      </c>
      <c r="I620" s="79" t="str">
        <f>IFERROR(_xlfn.XLOOKUP(Table6[[#This Row],[Affected Feeder ]],'Basic Data'!$A:$A,'Basic Data'!$C:$C),"")</f>
        <v>MSEDCL</v>
      </c>
      <c r="J620" s="295">
        <f>IFERROR(_xlfn.XLOOKUP(Table6[[#This Row],[Affected Feeder ]],'Basic Data'!$A:$A,'Basic Data'!$E:$E),"")</f>
        <v>2.2727272727272728E-2</v>
      </c>
      <c r="K620" s="296" t="s">
        <v>171</v>
      </c>
      <c r="L620" s="297">
        <v>0.54236111111111118</v>
      </c>
      <c r="M620" s="297">
        <v>0.54236111111111118</v>
      </c>
      <c r="N620" s="297">
        <v>0.55625000000000002</v>
      </c>
      <c r="O620" s="19">
        <f>(Table6[[#This Row],[Work Start TimeStamp]]-Table6[[#This Row],[Fault Start TimeStamp]])*24</f>
        <v>0</v>
      </c>
      <c r="P620" s="19">
        <f>(Table6[[#This Row],[Fault Clearance time]]-Table6[[#This Row],[Fault Start TimeStamp]])*24</f>
        <v>0.33333333333333215</v>
      </c>
      <c r="Q620" s="19">
        <f>(Table6[[#This Row],[Fault Clearance time]]-Table6[[#This Row],[Fault Start TimeStamp]])*24</f>
        <v>0.33333333333333215</v>
      </c>
      <c r="R620" s="79" t="s">
        <v>353</v>
      </c>
      <c r="S620" s="79" t="s">
        <v>339</v>
      </c>
      <c r="T620" s="298">
        <f>IFERROR(Table6[[#This Row],[Breakdown Time]]*Table6[[#This Row],[Plant Equivalent Weightage]],"")</f>
        <v>7.5757575757575491E-3</v>
      </c>
      <c r="U620" s="79" t="s">
        <v>416</v>
      </c>
      <c r="W620" s="79">
        <v>0</v>
      </c>
    </row>
    <row r="621" spans="1:23">
      <c r="A621" s="79">
        <f t="shared" si="9"/>
        <v>620</v>
      </c>
      <c r="B621" s="79">
        <f>YEAR(Table6[[#This Row],[Date]])+IF(MONTH(Table6[[#This Row],[Date]])&gt;=4,1,0)</f>
        <v>2026</v>
      </c>
      <c r="C621" s="79">
        <f>YEAR(Table6[[#This Row],[Date]])</f>
        <v>2025</v>
      </c>
      <c r="D621" s="79" t="s">
        <v>344</v>
      </c>
      <c r="E621" s="284">
        <f>Table6[[#This Row],[Date]]-DAY(Table6[[#This Row],[Date]])+1</f>
        <v>45778</v>
      </c>
      <c r="F621" s="285">
        <v>45796</v>
      </c>
      <c r="G621" s="79" t="s">
        <v>117</v>
      </c>
      <c r="H621" s="79" t="str">
        <f>IFERROR(_xlfn.XLOOKUP(Table6[[#This Row],[Affected Feeder ]],'Basic Data'!$A:$A,'Basic Data'!$B:$B),"")</f>
        <v>PWEPL</v>
      </c>
      <c r="I621" s="79" t="str">
        <f>IFERROR(_xlfn.XLOOKUP(Table6[[#This Row],[Affected Feeder ]],'Basic Data'!$A:$A,'Basic Data'!$C:$C),"")</f>
        <v>MSEDCL</v>
      </c>
      <c r="J621" s="295">
        <f>IFERROR(_xlfn.XLOOKUP(Table6[[#This Row],[Affected Feeder ]],'Basic Data'!$A:$A,'Basic Data'!$E:$E),"")</f>
        <v>2.2727272727272728E-2</v>
      </c>
      <c r="K621" s="296" t="s">
        <v>827</v>
      </c>
      <c r="L621" s="297">
        <v>0.56527777777777777</v>
      </c>
      <c r="M621" s="297">
        <v>0.56527777777777777</v>
      </c>
      <c r="N621" s="297">
        <v>0.5756944444444444</v>
      </c>
      <c r="O621" s="19">
        <f>(Table6[[#This Row],[Work Start TimeStamp]]-Table6[[#This Row],[Fault Start TimeStamp]])*24</f>
        <v>0</v>
      </c>
      <c r="P621" s="19">
        <f>(Table6[[#This Row],[Fault Clearance time]]-Table6[[#This Row],[Fault Start TimeStamp]])*24</f>
        <v>0.24999999999999911</v>
      </c>
      <c r="Q621" s="19">
        <f>(Table6[[#This Row],[Fault Clearance time]]-Table6[[#This Row],[Fault Start TimeStamp]])*24</f>
        <v>0.24999999999999911</v>
      </c>
      <c r="R621" s="79" t="s">
        <v>818</v>
      </c>
      <c r="S621" s="79" t="s">
        <v>339</v>
      </c>
      <c r="T621" s="298">
        <f>IFERROR(Table6[[#This Row],[Breakdown Time]]*Table6[[#This Row],[Plant Equivalent Weightage]],"")</f>
        <v>5.681818181818162E-3</v>
      </c>
      <c r="U621" s="79" t="s">
        <v>416</v>
      </c>
      <c r="W621" s="79">
        <v>0</v>
      </c>
    </row>
    <row r="622" spans="1:23">
      <c r="A622" s="79">
        <f t="shared" si="9"/>
        <v>621</v>
      </c>
      <c r="B622" s="79">
        <f>YEAR(Table6[[#This Row],[Date]])+IF(MONTH(Table6[[#This Row],[Date]])&gt;=4,1,0)</f>
        <v>2026</v>
      </c>
      <c r="C622" s="79">
        <f>YEAR(Table6[[#This Row],[Date]])</f>
        <v>2025</v>
      </c>
      <c r="D622" s="79" t="s">
        <v>344</v>
      </c>
      <c r="E622" s="284">
        <f>Table6[[#This Row],[Date]]-DAY(Table6[[#This Row],[Date]])+1</f>
        <v>45778</v>
      </c>
      <c r="F622" s="285">
        <v>45796</v>
      </c>
      <c r="G622" s="79" t="s">
        <v>117</v>
      </c>
      <c r="H622" s="79" t="str">
        <f>IFERROR(_xlfn.XLOOKUP(Table6[[#This Row],[Affected Feeder ]],'Basic Data'!$A:$A,'Basic Data'!$B:$B),"")</f>
        <v>PWEPL</v>
      </c>
      <c r="I622" s="79" t="str">
        <f>IFERROR(_xlfn.XLOOKUP(Table6[[#This Row],[Affected Feeder ]],'Basic Data'!$A:$A,'Basic Data'!$C:$C),"")</f>
        <v>MSEDCL</v>
      </c>
      <c r="J622" s="295">
        <f>IFERROR(_xlfn.XLOOKUP(Table6[[#This Row],[Affected Feeder ]],'Basic Data'!$A:$A,'Basic Data'!$E:$E),"")</f>
        <v>2.2727272727272728E-2</v>
      </c>
      <c r="K622" s="296" t="s">
        <v>171</v>
      </c>
      <c r="L622" s="297">
        <v>0.5756944444444444</v>
      </c>
      <c r="M622" s="297">
        <v>0.5756944444444444</v>
      </c>
      <c r="N622" s="297">
        <v>0.58958333333333335</v>
      </c>
      <c r="O622" s="19">
        <f>(Table6[[#This Row],[Work Start TimeStamp]]-Table6[[#This Row],[Fault Start TimeStamp]])*24</f>
        <v>0</v>
      </c>
      <c r="P622" s="19">
        <f>(Table6[[#This Row],[Fault Clearance time]]-Table6[[#This Row],[Fault Start TimeStamp]])*24</f>
        <v>0.33333333333333481</v>
      </c>
      <c r="Q622" s="19">
        <f>(Table6[[#This Row],[Fault Clearance time]]-Table6[[#This Row],[Fault Start TimeStamp]])*24</f>
        <v>0.33333333333333481</v>
      </c>
      <c r="R622" s="79" t="s">
        <v>353</v>
      </c>
      <c r="S622" s="79" t="s">
        <v>339</v>
      </c>
      <c r="T622" s="298">
        <f>IFERROR(Table6[[#This Row],[Breakdown Time]]*Table6[[#This Row],[Plant Equivalent Weightage]],"")</f>
        <v>7.5757575757576098E-3</v>
      </c>
      <c r="U622" s="79" t="s">
        <v>416</v>
      </c>
      <c r="W622" s="79">
        <v>0</v>
      </c>
    </row>
    <row r="623" spans="1:23">
      <c r="A623" s="79">
        <f t="shared" si="9"/>
        <v>622</v>
      </c>
      <c r="B623" s="79">
        <f>YEAR(Table6[[#This Row],[Date]])+IF(MONTH(Table6[[#This Row],[Date]])&gt;=4,1,0)</f>
        <v>2026</v>
      </c>
      <c r="C623" s="79">
        <f>YEAR(Table6[[#This Row],[Date]])</f>
        <v>2025</v>
      </c>
      <c r="D623" s="79" t="s">
        <v>344</v>
      </c>
      <c r="E623" s="284">
        <f>Table6[[#This Row],[Date]]-DAY(Table6[[#This Row],[Date]])+1</f>
        <v>45778</v>
      </c>
      <c r="F623" s="285">
        <v>45796</v>
      </c>
      <c r="G623" s="79" t="s">
        <v>77</v>
      </c>
      <c r="H623" s="79" t="str">
        <f>IFERROR(_xlfn.XLOOKUP(Table6[[#This Row],[Affected Feeder ]],'Basic Data'!$A:$A,'Basic Data'!$B:$B),"")</f>
        <v>PWEPL</v>
      </c>
      <c r="I623" s="79" t="str">
        <f>IFERROR(_xlfn.XLOOKUP(Table6[[#This Row],[Affected Feeder ]],'Basic Data'!$A:$A,'Basic Data'!$C:$C),"")</f>
        <v>MSEDCL</v>
      </c>
      <c r="J623" s="295">
        <f>IFERROR(_xlfn.XLOOKUP(Table6[[#This Row],[Affected Feeder ]],'Basic Data'!$A:$A,'Basic Data'!$E:$E),"")</f>
        <v>2.2727272727272728E-2</v>
      </c>
      <c r="K623" s="296" t="s">
        <v>817</v>
      </c>
      <c r="L623" s="297">
        <v>0.63472222222222219</v>
      </c>
      <c r="M623" s="297">
        <v>0.63472222222222219</v>
      </c>
      <c r="N623" s="297">
        <v>0.6430555555555556</v>
      </c>
      <c r="O623" s="19">
        <f>(Table6[[#This Row],[Work Start TimeStamp]]-Table6[[#This Row],[Fault Start TimeStamp]])*24</f>
        <v>0</v>
      </c>
      <c r="P623" s="19">
        <f>(Table6[[#This Row],[Fault Clearance time]]-Table6[[#This Row],[Fault Start TimeStamp]])*24</f>
        <v>0.20000000000000195</v>
      </c>
      <c r="Q623" s="19">
        <f>(Table6[[#This Row],[Fault Clearance time]]-Table6[[#This Row],[Fault Start TimeStamp]])*24</f>
        <v>0.20000000000000195</v>
      </c>
      <c r="R623" s="79" t="s">
        <v>818</v>
      </c>
      <c r="S623" s="79" t="s">
        <v>339</v>
      </c>
      <c r="T623" s="298">
        <f>IFERROR(Table6[[#This Row],[Breakdown Time]]*Table6[[#This Row],[Plant Equivalent Weightage]],"")</f>
        <v>4.5454545454545903E-3</v>
      </c>
      <c r="U623" s="79" t="s">
        <v>416</v>
      </c>
      <c r="W623" s="79">
        <v>0</v>
      </c>
    </row>
    <row r="624" spans="1:23">
      <c r="A624" s="79">
        <f t="shared" si="9"/>
        <v>623</v>
      </c>
      <c r="B624" s="79">
        <f>YEAR(Table6[[#This Row],[Date]])+IF(MONTH(Table6[[#This Row],[Date]])&gt;=4,1,0)</f>
        <v>2026</v>
      </c>
      <c r="C624" s="79">
        <f>YEAR(Table6[[#This Row],[Date]])</f>
        <v>2025</v>
      </c>
      <c r="D624" s="79" t="s">
        <v>344</v>
      </c>
      <c r="E624" s="284">
        <f>Table6[[#This Row],[Date]]-DAY(Table6[[#This Row],[Date]])+1</f>
        <v>45778</v>
      </c>
      <c r="F624" s="285">
        <v>45796</v>
      </c>
      <c r="G624" s="79" t="s">
        <v>77</v>
      </c>
      <c r="H624" s="79" t="str">
        <f>IFERROR(_xlfn.XLOOKUP(Table6[[#This Row],[Affected Feeder ]],'Basic Data'!$A:$A,'Basic Data'!$B:$B),"")</f>
        <v>PWEPL</v>
      </c>
      <c r="I624" s="79" t="str">
        <f>IFERROR(_xlfn.XLOOKUP(Table6[[#This Row],[Affected Feeder ]],'Basic Data'!$A:$A,'Basic Data'!$C:$C),"")</f>
        <v>MSEDCL</v>
      </c>
      <c r="J624" s="295">
        <f>IFERROR(_xlfn.XLOOKUP(Table6[[#This Row],[Affected Feeder ]],'Basic Data'!$A:$A,'Basic Data'!$E:$E),"")</f>
        <v>2.2727272727272728E-2</v>
      </c>
      <c r="K624" s="296" t="s">
        <v>171</v>
      </c>
      <c r="L624" s="297">
        <v>0.6430555555555556</v>
      </c>
      <c r="M624" s="297">
        <v>0.6430555555555556</v>
      </c>
      <c r="N624" s="297">
        <v>0.65694444444444444</v>
      </c>
      <c r="O624" s="19">
        <f>(Table6[[#This Row],[Work Start TimeStamp]]-Table6[[#This Row],[Fault Start TimeStamp]])*24</f>
        <v>0</v>
      </c>
      <c r="P624" s="19">
        <f>(Table6[[#This Row],[Fault Clearance time]]-Table6[[#This Row],[Fault Start TimeStamp]])*24</f>
        <v>0.33333333333333215</v>
      </c>
      <c r="Q624" s="19">
        <f>(Table6[[#This Row],[Fault Clearance time]]-Table6[[#This Row],[Fault Start TimeStamp]])*24</f>
        <v>0.33333333333333215</v>
      </c>
      <c r="R624" s="79" t="s">
        <v>353</v>
      </c>
      <c r="S624" s="79" t="s">
        <v>339</v>
      </c>
      <c r="T624" s="298">
        <f>IFERROR(Table6[[#This Row],[Breakdown Time]]*Table6[[#This Row],[Plant Equivalent Weightage]],"")</f>
        <v>7.5757575757575491E-3</v>
      </c>
      <c r="U624" s="79" t="s">
        <v>416</v>
      </c>
      <c r="W624" s="79">
        <v>0</v>
      </c>
    </row>
    <row r="625" spans="1:23">
      <c r="A625" s="79">
        <f t="shared" si="9"/>
        <v>624</v>
      </c>
      <c r="B625" s="79">
        <f>YEAR(Table6[[#This Row],[Date]])+IF(MONTH(Table6[[#This Row],[Date]])&gt;=4,1,0)</f>
        <v>2026</v>
      </c>
      <c r="C625" s="79">
        <f>YEAR(Table6[[#This Row],[Date]])</f>
        <v>2025</v>
      </c>
      <c r="D625" s="79" t="s">
        <v>344</v>
      </c>
      <c r="E625" s="284">
        <f>Table6[[#This Row],[Date]]-DAY(Table6[[#This Row],[Date]])+1</f>
        <v>45778</v>
      </c>
      <c r="F625" s="285">
        <v>45797</v>
      </c>
      <c r="G625" s="79" t="s">
        <v>399</v>
      </c>
      <c r="H625" s="79" t="str">
        <f>IFERROR(_xlfn.XLOOKUP(Table6[[#This Row],[Affected Feeder ]],'Basic Data'!$A:$A,'Basic Data'!$B:$B),"")</f>
        <v>PWEPL</v>
      </c>
      <c r="I625" s="79" t="str">
        <f>IFERROR(_xlfn.XLOOKUP(Table6[[#This Row],[Affected Feeder ]],'Basic Data'!$A:$A,'Basic Data'!$C:$C),"")</f>
        <v>MSEDCL</v>
      </c>
      <c r="J625" s="295">
        <f>IFERROR(_xlfn.XLOOKUP(Table6[[#This Row],[Affected Feeder ]],'Basic Data'!$A:$A,'Basic Data'!$E:$E),"")</f>
        <v>0.22727272727272727</v>
      </c>
      <c r="K625" s="296" t="s">
        <v>813</v>
      </c>
      <c r="L625" s="297">
        <v>0.36805555555555558</v>
      </c>
      <c r="M625" s="297">
        <v>0.36805555555555558</v>
      </c>
      <c r="N625" s="297">
        <v>0.71388888888888891</v>
      </c>
      <c r="O625" s="19">
        <f>(Table6[[#This Row],[Work Start TimeStamp]]-Table6[[#This Row],[Fault Start TimeStamp]])*24</f>
        <v>0</v>
      </c>
      <c r="P625" s="19">
        <f>(Table6[[#This Row],[Fault Clearance time]]-Table6[[#This Row],[Fault Start TimeStamp]])*24</f>
        <v>8.3000000000000007</v>
      </c>
      <c r="Q625" s="19">
        <f>(Table6[[#This Row],[Fault Clearance time]]-Table6[[#This Row],[Fault Start TimeStamp]])*24</f>
        <v>8.3000000000000007</v>
      </c>
      <c r="R625" s="79" t="s">
        <v>814</v>
      </c>
      <c r="S625" s="79" t="s">
        <v>339</v>
      </c>
      <c r="T625" s="298">
        <f>IFERROR(Table6[[#This Row],[Breakdown Time]]*Table6[[#This Row],[Plant Equivalent Weightage]],"")</f>
        <v>1.8863636363636365</v>
      </c>
      <c r="U625" s="79" t="s">
        <v>416</v>
      </c>
      <c r="W625" s="79">
        <v>557</v>
      </c>
    </row>
    <row r="626" spans="1:23">
      <c r="A626" s="79">
        <f t="shared" si="9"/>
        <v>625</v>
      </c>
      <c r="B626" s="79">
        <f>YEAR(Table6[[#This Row],[Date]])+IF(MONTH(Table6[[#This Row],[Date]])&gt;=4,1,0)</f>
        <v>2026</v>
      </c>
      <c r="C626" s="79">
        <f>YEAR(Table6[[#This Row],[Date]])</f>
        <v>2025</v>
      </c>
      <c r="D626" s="79" t="s">
        <v>344</v>
      </c>
      <c r="E626" s="284">
        <f>Table6[[#This Row],[Date]]-DAY(Table6[[#This Row],[Date]])+1</f>
        <v>45778</v>
      </c>
      <c r="F626" s="285">
        <v>45797</v>
      </c>
      <c r="G626" s="79" t="s">
        <v>84</v>
      </c>
      <c r="H626" s="79" t="str">
        <f>IFERROR(_xlfn.XLOOKUP(Table6[[#This Row],[Affected Feeder ]],'Basic Data'!$A:$A,'Basic Data'!$B:$B),"")</f>
        <v>PWEPL</v>
      </c>
      <c r="I626" s="79" t="str">
        <f>IFERROR(_xlfn.XLOOKUP(Table6[[#This Row],[Affected Feeder ]],'Basic Data'!$A:$A,'Basic Data'!$C:$C),"")</f>
        <v>MSEDCL</v>
      </c>
      <c r="J626" s="295">
        <f>IFERROR(_xlfn.XLOOKUP(Table6[[#This Row],[Affected Feeder ]],'Basic Data'!$A:$A,'Basic Data'!$E:$E),"")</f>
        <v>2.2727272727272728E-2</v>
      </c>
      <c r="K626" s="296" t="s">
        <v>171</v>
      </c>
      <c r="L626" s="297">
        <v>0.71388888888888891</v>
      </c>
      <c r="M626" s="297">
        <v>0.71388888888888891</v>
      </c>
      <c r="N626" s="297">
        <v>0.72777777777777775</v>
      </c>
      <c r="O626" s="19">
        <f>(Table6[[#This Row],[Work Start TimeStamp]]-Table6[[#This Row],[Fault Start TimeStamp]])*24</f>
        <v>0</v>
      </c>
      <c r="P626" s="19">
        <f>(Table6[[#This Row],[Fault Clearance time]]-Table6[[#This Row],[Fault Start TimeStamp]])*24</f>
        <v>0.33333333333333215</v>
      </c>
      <c r="Q626" s="19">
        <f>(Table6[[#This Row],[Fault Clearance time]]-Table6[[#This Row],[Fault Start TimeStamp]])*24</f>
        <v>0.33333333333333215</v>
      </c>
      <c r="R626" s="79" t="s">
        <v>353</v>
      </c>
      <c r="S626" s="79" t="s">
        <v>339</v>
      </c>
      <c r="T626" s="298">
        <f>IFERROR(Table6[[#This Row],[Breakdown Time]]*Table6[[#This Row],[Plant Equivalent Weightage]],"")</f>
        <v>7.5757575757575491E-3</v>
      </c>
      <c r="U626" s="79" t="s">
        <v>416</v>
      </c>
      <c r="W626" s="79">
        <v>22</v>
      </c>
    </row>
    <row r="627" spans="1:23">
      <c r="A627" s="79">
        <f t="shared" si="9"/>
        <v>626</v>
      </c>
      <c r="B627" s="79">
        <f>YEAR(Table6[[#This Row],[Date]])+IF(MONTH(Table6[[#This Row],[Date]])&gt;=4,1,0)</f>
        <v>2026</v>
      </c>
      <c r="C627" s="79">
        <f>YEAR(Table6[[#This Row],[Date]])</f>
        <v>2025</v>
      </c>
      <c r="D627" s="79" t="s">
        <v>344</v>
      </c>
      <c r="E627" s="284">
        <f>Table6[[#This Row],[Date]]-DAY(Table6[[#This Row],[Date]])+1</f>
        <v>45778</v>
      </c>
      <c r="F627" s="285">
        <v>45797</v>
      </c>
      <c r="G627" s="79" t="s">
        <v>85</v>
      </c>
      <c r="H627" s="79" t="str">
        <f>IFERROR(_xlfn.XLOOKUP(Table6[[#This Row],[Affected Feeder ]],'Basic Data'!$A:$A,'Basic Data'!$B:$B),"")</f>
        <v>PWEPL</v>
      </c>
      <c r="I627" s="79" t="str">
        <f>IFERROR(_xlfn.XLOOKUP(Table6[[#This Row],[Affected Feeder ]],'Basic Data'!$A:$A,'Basic Data'!$C:$C),"")</f>
        <v>MSEDCL</v>
      </c>
      <c r="J627" s="295">
        <f>IFERROR(_xlfn.XLOOKUP(Table6[[#This Row],[Affected Feeder ]],'Basic Data'!$A:$A,'Basic Data'!$E:$E),"")</f>
        <v>2.2727272727272728E-2</v>
      </c>
      <c r="K627" s="296" t="s">
        <v>171</v>
      </c>
      <c r="L627" s="297">
        <v>0.71388888888888891</v>
      </c>
      <c r="M627" s="297">
        <v>0.71388888888888891</v>
      </c>
      <c r="N627" s="297">
        <v>0.72777777777777775</v>
      </c>
      <c r="O627" s="19">
        <f>(Table6[[#This Row],[Work Start TimeStamp]]-Table6[[#This Row],[Fault Start TimeStamp]])*24</f>
        <v>0</v>
      </c>
      <c r="P627" s="19">
        <f>(Table6[[#This Row],[Fault Clearance time]]-Table6[[#This Row],[Fault Start TimeStamp]])*24</f>
        <v>0.33333333333333215</v>
      </c>
      <c r="Q627" s="19">
        <f>(Table6[[#This Row],[Fault Clearance time]]-Table6[[#This Row],[Fault Start TimeStamp]])*24</f>
        <v>0.33333333333333215</v>
      </c>
      <c r="R627" s="79" t="s">
        <v>353</v>
      </c>
      <c r="S627" s="79" t="s">
        <v>339</v>
      </c>
      <c r="T627" s="298">
        <f>IFERROR(Table6[[#This Row],[Breakdown Time]]*Table6[[#This Row],[Plant Equivalent Weightage]],"")</f>
        <v>7.5757575757575491E-3</v>
      </c>
      <c r="U627" s="79" t="s">
        <v>416</v>
      </c>
      <c r="W627" s="79">
        <v>22</v>
      </c>
    </row>
    <row r="628" spans="1:23">
      <c r="A628" s="79">
        <f t="shared" si="9"/>
        <v>627</v>
      </c>
      <c r="B628" s="79">
        <f>YEAR(Table6[[#This Row],[Date]])+IF(MONTH(Table6[[#This Row],[Date]])&gt;=4,1,0)</f>
        <v>2026</v>
      </c>
      <c r="C628" s="79">
        <f>YEAR(Table6[[#This Row],[Date]])</f>
        <v>2025</v>
      </c>
      <c r="D628" s="79" t="s">
        <v>344</v>
      </c>
      <c r="E628" s="284">
        <f>Table6[[#This Row],[Date]]-DAY(Table6[[#This Row],[Date]])+1</f>
        <v>45778</v>
      </c>
      <c r="F628" s="285">
        <v>45797</v>
      </c>
      <c r="G628" s="79" t="s">
        <v>86</v>
      </c>
      <c r="H628" s="79" t="str">
        <f>IFERROR(_xlfn.XLOOKUP(Table6[[#This Row],[Affected Feeder ]],'Basic Data'!$A:$A,'Basic Data'!$B:$B),"")</f>
        <v>PWEPL</v>
      </c>
      <c r="I628" s="79" t="str">
        <f>IFERROR(_xlfn.XLOOKUP(Table6[[#This Row],[Affected Feeder ]],'Basic Data'!$A:$A,'Basic Data'!$C:$C),"")</f>
        <v>MSEDCL</v>
      </c>
      <c r="J628" s="295">
        <f>IFERROR(_xlfn.XLOOKUP(Table6[[#This Row],[Affected Feeder ]],'Basic Data'!$A:$A,'Basic Data'!$E:$E),"")</f>
        <v>2.2727272727272728E-2</v>
      </c>
      <c r="K628" s="296" t="s">
        <v>171</v>
      </c>
      <c r="L628" s="297">
        <v>0.71388888888888891</v>
      </c>
      <c r="M628" s="297">
        <v>0.71388888888888891</v>
      </c>
      <c r="N628" s="297">
        <v>0.72777777777777775</v>
      </c>
      <c r="O628" s="19">
        <f>(Table6[[#This Row],[Work Start TimeStamp]]-Table6[[#This Row],[Fault Start TimeStamp]])*24</f>
        <v>0</v>
      </c>
      <c r="P628" s="19">
        <f>(Table6[[#This Row],[Fault Clearance time]]-Table6[[#This Row],[Fault Start TimeStamp]])*24</f>
        <v>0.33333333333333215</v>
      </c>
      <c r="Q628" s="19">
        <f>(Table6[[#This Row],[Fault Clearance time]]-Table6[[#This Row],[Fault Start TimeStamp]])*24</f>
        <v>0.33333333333333215</v>
      </c>
      <c r="R628" s="79" t="s">
        <v>353</v>
      </c>
      <c r="S628" s="79" t="s">
        <v>339</v>
      </c>
      <c r="T628" s="298">
        <f>IFERROR(Table6[[#This Row],[Breakdown Time]]*Table6[[#This Row],[Plant Equivalent Weightage]],"")</f>
        <v>7.5757575757575491E-3</v>
      </c>
      <c r="U628" s="79" t="s">
        <v>416</v>
      </c>
      <c r="W628" s="79">
        <v>22</v>
      </c>
    </row>
    <row r="629" spans="1:23">
      <c r="A629" s="79">
        <f t="shared" si="9"/>
        <v>628</v>
      </c>
      <c r="B629" s="79">
        <f>YEAR(Table6[[#This Row],[Date]])+IF(MONTH(Table6[[#This Row],[Date]])&gt;=4,1,0)</f>
        <v>2026</v>
      </c>
      <c r="C629" s="79">
        <f>YEAR(Table6[[#This Row],[Date]])</f>
        <v>2025</v>
      </c>
      <c r="D629" s="79" t="s">
        <v>344</v>
      </c>
      <c r="E629" s="284">
        <f>Table6[[#This Row],[Date]]-DAY(Table6[[#This Row],[Date]])+1</f>
        <v>45778</v>
      </c>
      <c r="F629" s="285">
        <v>45797</v>
      </c>
      <c r="G629" s="79" t="s">
        <v>87</v>
      </c>
      <c r="H629" s="79" t="str">
        <f>IFERROR(_xlfn.XLOOKUP(Table6[[#This Row],[Affected Feeder ]],'Basic Data'!$A:$A,'Basic Data'!$B:$B),"")</f>
        <v>PWEPL</v>
      </c>
      <c r="I629" s="79" t="str">
        <f>IFERROR(_xlfn.XLOOKUP(Table6[[#This Row],[Affected Feeder ]],'Basic Data'!$A:$A,'Basic Data'!$C:$C),"")</f>
        <v>MSEDCL</v>
      </c>
      <c r="J629" s="295">
        <f>IFERROR(_xlfn.XLOOKUP(Table6[[#This Row],[Affected Feeder ]],'Basic Data'!$A:$A,'Basic Data'!$E:$E),"")</f>
        <v>2.2727272727272728E-2</v>
      </c>
      <c r="K629" s="296" t="s">
        <v>171</v>
      </c>
      <c r="L629" s="297">
        <v>0.71388888888888891</v>
      </c>
      <c r="M629" s="297">
        <v>0.71388888888888891</v>
      </c>
      <c r="N629" s="297">
        <v>0.72777777777777775</v>
      </c>
      <c r="O629" s="19">
        <f>(Table6[[#This Row],[Work Start TimeStamp]]-Table6[[#This Row],[Fault Start TimeStamp]])*24</f>
        <v>0</v>
      </c>
      <c r="P629" s="19">
        <f>(Table6[[#This Row],[Fault Clearance time]]-Table6[[#This Row],[Fault Start TimeStamp]])*24</f>
        <v>0.33333333333333215</v>
      </c>
      <c r="Q629" s="19">
        <f>(Table6[[#This Row],[Fault Clearance time]]-Table6[[#This Row],[Fault Start TimeStamp]])*24</f>
        <v>0.33333333333333215</v>
      </c>
      <c r="R629" s="79" t="s">
        <v>353</v>
      </c>
      <c r="S629" s="79" t="s">
        <v>339</v>
      </c>
      <c r="T629" s="298">
        <f>IFERROR(Table6[[#This Row],[Breakdown Time]]*Table6[[#This Row],[Plant Equivalent Weightage]],"")</f>
        <v>7.5757575757575491E-3</v>
      </c>
      <c r="U629" s="79" t="s">
        <v>416</v>
      </c>
      <c r="W629" s="79">
        <v>22</v>
      </c>
    </row>
    <row r="630" spans="1:23">
      <c r="A630" s="79">
        <f t="shared" si="9"/>
        <v>629</v>
      </c>
      <c r="B630" s="79">
        <f>YEAR(Table6[[#This Row],[Date]])+IF(MONTH(Table6[[#This Row],[Date]])&gt;=4,1,0)</f>
        <v>2026</v>
      </c>
      <c r="C630" s="79">
        <f>YEAR(Table6[[#This Row],[Date]])</f>
        <v>2025</v>
      </c>
      <c r="D630" s="79" t="s">
        <v>344</v>
      </c>
      <c r="E630" s="284">
        <f>Table6[[#This Row],[Date]]-DAY(Table6[[#This Row],[Date]])+1</f>
        <v>45778</v>
      </c>
      <c r="F630" s="285">
        <v>45797</v>
      </c>
      <c r="G630" s="79" t="s">
        <v>88</v>
      </c>
      <c r="H630" s="79" t="str">
        <f>IFERROR(_xlfn.XLOOKUP(Table6[[#This Row],[Affected Feeder ]],'Basic Data'!$A:$A,'Basic Data'!$B:$B),"")</f>
        <v>PWEPL</v>
      </c>
      <c r="I630" s="79" t="str">
        <f>IFERROR(_xlfn.XLOOKUP(Table6[[#This Row],[Affected Feeder ]],'Basic Data'!$A:$A,'Basic Data'!$C:$C),"")</f>
        <v>MSEDCL</v>
      </c>
      <c r="J630" s="295">
        <f>IFERROR(_xlfn.XLOOKUP(Table6[[#This Row],[Affected Feeder ]],'Basic Data'!$A:$A,'Basic Data'!$E:$E),"")</f>
        <v>2.2727272727272728E-2</v>
      </c>
      <c r="K630" s="296" t="s">
        <v>171</v>
      </c>
      <c r="L630" s="297">
        <v>0.71388888888888891</v>
      </c>
      <c r="M630" s="297">
        <v>0.71388888888888891</v>
      </c>
      <c r="N630" s="297">
        <v>0.72777777777777775</v>
      </c>
      <c r="O630" s="19">
        <f>(Table6[[#This Row],[Work Start TimeStamp]]-Table6[[#This Row],[Fault Start TimeStamp]])*24</f>
        <v>0</v>
      </c>
      <c r="P630" s="19">
        <f>(Table6[[#This Row],[Fault Clearance time]]-Table6[[#This Row],[Fault Start TimeStamp]])*24</f>
        <v>0.33333333333333215</v>
      </c>
      <c r="Q630" s="19">
        <f>(Table6[[#This Row],[Fault Clearance time]]-Table6[[#This Row],[Fault Start TimeStamp]])*24</f>
        <v>0.33333333333333215</v>
      </c>
      <c r="R630" s="79" t="s">
        <v>353</v>
      </c>
      <c r="S630" s="79" t="s">
        <v>339</v>
      </c>
      <c r="T630" s="298">
        <f>IFERROR(Table6[[#This Row],[Breakdown Time]]*Table6[[#This Row],[Plant Equivalent Weightage]],"")</f>
        <v>7.5757575757575491E-3</v>
      </c>
      <c r="U630" s="79" t="s">
        <v>416</v>
      </c>
      <c r="W630" s="79">
        <v>22</v>
      </c>
    </row>
    <row r="631" spans="1:23">
      <c r="A631" s="79">
        <f t="shared" si="9"/>
        <v>630</v>
      </c>
      <c r="B631" s="79">
        <f>YEAR(Table6[[#This Row],[Date]])+IF(MONTH(Table6[[#This Row],[Date]])&gt;=4,1,0)</f>
        <v>2026</v>
      </c>
      <c r="C631" s="79">
        <f>YEAR(Table6[[#This Row],[Date]])</f>
        <v>2025</v>
      </c>
      <c r="D631" s="79" t="s">
        <v>344</v>
      </c>
      <c r="E631" s="284">
        <f>Table6[[#This Row],[Date]]-DAY(Table6[[#This Row],[Date]])+1</f>
        <v>45778</v>
      </c>
      <c r="F631" s="285">
        <v>45797</v>
      </c>
      <c r="G631" s="79" t="s">
        <v>83</v>
      </c>
      <c r="H631" s="79" t="str">
        <f>IFERROR(_xlfn.XLOOKUP(Table6[[#This Row],[Affected Feeder ]],'Basic Data'!$A:$A,'Basic Data'!$B:$B),"")</f>
        <v>PWEPL</v>
      </c>
      <c r="I631" s="79" t="str">
        <f>IFERROR(_xlfn.XLOOKUP(Table6[[#This Row],[Affected Feeder ]],'Basic Data'!$A:$A,'Basic Data'!$C:$C),"")</f>
        <v>MSEDCL</v>
      </c>
      <c r="J631" s="295">
        <f>IFERROR(_xlfn.XLOOKUP(Table6[[#This Row],[Affected Feeder ]],'Basic Data'!$A:$A,'Basic Data'!$E:$E),"")</f>
        <v>2.2727272727272728E-2</v>
      </c>
      <c r="K631" s="296" t="s">
        <v>171</v>
      </c>
      <c r="L631" s="297">
        <v>0.71388888888888891</v>
      </c>
      <c r="M631" s="297">
        <v>0.71388888888888891</v>
      </c>
      <c r="N631" s="297">
        <v>0.72777777777777775</v>
      </c>
      <c r="O631" s="19">
        <f>(Table6[[#This Row],[Work Start TimeStamp]]-Table6[[#This Row],[Fault Start TimeStamp]])*24</f>
        <v>0</v>
      </c>
      <c r="P631" s="19">
        <f>(Table6[[#This Row],[Fault Clearance time]]-Table6[[#This Row],[Fault Start TimeStamp]])*24</f>
        <v>0.33333333333333215</v>
      </c>
      <c r="Q631" s="19">
        <f>(Table6[[#This Row],[Fault Clearance time]]-Table6[[#This Row],[Fault Start TimeStamp]])*24</f>
        <v>0.33333333333333215</v>
      </c>
      <c r="R631" s="79" t="s">
        <v>353</v>
      </c>
      <c r="S631" s="79" t="s">
        <v>339</v>
      </c>
      <c r="T631" s="298">
        <f>IFERROR(Table6[[#This Row],[Breakdown Time]]*Table6[[#This Row],[Plant Equivalent Weightage]],"")</f>
        <v>7.5757575757575491E-3</v>
      </c>
      <c r="U631" s="79" t="s">
        <v>416</v>
      </c>
      <c r="W631" s="79">
        <v>22</v>
      </c>
    </row>
    <row r="632" spans="1:23">
      <c r="A632" s="79">
        <f t="shared" si="9"/>
        <v>631</v>
      </c>
      <c r="B632" s="79">
        <f>YEAR(Table6[[#This Row],[Date]])+IF(MONTH(Table6[[#This Row],[Date]])&gt;=4,1,0)</f>
        <v>2026</v>
      </c>
      <c r="C632" s="79">
        <f>YEAR(Table6[[#This Row],[Date]])</f>
        <v>2025</v>
      </c>
      <c r="D632" s="79" t="s">
        <v>344</v>
      </c>
      <c r="E632" s="284">
        <f>Table6[[#This Row],[Date]]-DAY(Table6[[#This Row],[Date]])+1</f>
        <v>45778</v>
      </c>
      <c r="F632" s="285">
        <v>45797</v>
      </c>
      <c r="G632" s="79" t="s">
        <v>98</v>
      </c>
      <c r="H632" s="79" t="str">
        <f>IFERROR(_xlfn.XLOOKUP(Table6[[#This Row],[Affected Feeder ]],'Basic Data'!$A:$A,'Basic Data'!$B:$B),"")</f>
        <v>PWEPL</v>
      </c>
      <c r="I632" s="79" t="str">
        <f>IFERROR(_xlfn.XLOOKUP(Table6[[#This Row],[Affected Feeder ]],'Basic Data'!$A:$A,'Basic Data'!$C:$C),"")</f>
        <v>MSEDCL</v>
      </c>
      <c r="J632" s="295">
        <f>IFERROR(_xlfn.XLOOKUP(Table6[[#This Row],[Affected Feeder ]],'Basic Data'!$A:$A,'Basic Data'!$E:$E),"")</f>
        <v>2.2727272727272728E-2</v>
      </c>
      <c r="K632" s="296" t="s">
        <v>171</v>
      </c>
      <c r="L632" s="297">
        <v>0.71388888888888891</v>
      </c>
      <c r="M632" s="297">
        <v>0.71388888888888891</v>
      </c>
      <c r="N632" s="297">
        <v>0.72777777777777775</v>
      </c>
      <c r="O632" s="19">
        <f>(Table6[[#This Row],[Work Start TimeStamp]]-Table6[[#This Row],[Fault Start TimeStamp]])*24</f>
        <v>0</v>
      </c>
      <c r="P632" s="19">
        <f>(Table6[[#This Row],[Fault Clearance time]]-Table6[[#This Row],[Fault Start TimeStamp]])*24</f>
        <v>0.33333333333333215</v>
      </c>
      <c r="Q632" s="19">
        <f>(Table6[[#This Row],[Fault Clearance time]]-Table6[[#This Row],[Fault Start TimeStamp]])*24</f>
        <v>0.33333333333333215</v>
      </c>
      <c r="R632" s="79" t="s">
        <v>353</v>
      </c>
      <c r="S632" s="79" t="s">
        <v>339</v>
      </c>
      <c r="T632" s="298">
        <f>IFERROR(Table6[[#This Row],[Breakdown Time]]*Table6[[#This Row],[Plant Equivalent Weightage]],"")</f>
        <v>7.5757575757575491E-3</v>
      </c>
      <c r="U632" s="79" t="s">
        <v>416</v>
      </c>
      <c r="W632" s="79">
        <v>22</v>
      </c>
    </row>
    <row r="633" spans="1:23">
      <c r="A633" s="79">
        <f t="shared" si="9"/>
        <v>632</v>
      </c>
      <c r="B633" s="79">
        <f>YEAR(Table6[[#This Row],[Date]])+IF(MONTH(Table6[[#This Row],[Date]])&gt;=4,1,0)</f>
        <v>2026</v>
      </c>
      <c r="C633" s="79">
        <f>YEAR(Table6[[#This Row],[Date]])</f>
        <v>2025</v>
      </c>
      <c r="D633" s="79" t="s">
        <v>344</v>
      </c>
      <c r="E633" s="284">
        <f>Table6[[#This Row],[Date]]-DAY(Table6[[#This Row],[Date]])+1</f>
        <v>45778</v>
      </c>
      <c r="F633" s="285">
        <v>45797</v>
      </c>
      <c r="G633" s="79" t="s">
        <v>99</v>
      </c>
      <c r="H633" s="79" t="str">
        <f>IFERROR(_xlfn.XLOOKUP(Table6[[#This Row],[Affected Feeder ]],'Basic Data'!$A:$A,'Basic Data'!$B:$B),"")</f>
        <v>PWEPL</v>
      </c>
      <c r="I633" s="79" t="str">
        <f>IFERROR(_xlfn.XLOOKUP(Table6[[#This Row],[Affected Feeder ]],'Basic Data'!$A:$A,'Basic Data'!$C:$C),"")</f>
        <v>MSEDCL</v>
      </c>
      <c r="J633" s="295">
        <f>IFERROR(_xlfn.XLOOKUP(Table6[[#This Row],[Affected Feeder ]],'Basic Data'!$A:$A,'Basic Data'!$E:$E),"")</f>
        <v>2.2727272727272728E-2</v>
      </c>
      <c r="K633" s="296" t="s">
        <v>171</v>
      </c>
      <c r="L633" s="297">
        <v>0.71388888888888891</v>
      </c>
      <c r="M633" s="297">
        <v>0.71388888888888891</v>
      </c>
      <c r="N633" s="297">
        <v>0.72777777777777775</v>
      </c>
      <c r="O633" s="19">
        <f>(Table6[[#This Row],[Work Start TimeStamp]]-Table6[[#This Row],[Fault Start TimeStamp]])*24</f>
        <v>0</v>
      </c>
      <c r="P633" s="19">
        <f>(Table6[[#This Row],[Fault Clearance time]]-Table6[[#This Row],[Fault Start TimeStamp]])*24</f>
        <v>0.33333333333333215</v>
      </c>
      <c r="Q633" s="19">
        <f>(Table6[[#This Row],[Fault Clearance time]]-Table6[[#This Row],[Fault Start TimeStamp]])*24</f>
        <v>0.33333333333333215</v>
      </c>
      <c r="R633" s="79" t="s">
        <v>353</v>
      </c>
      <c r="S633" s="79" t="s">
        <v>339</v>
      </c>
      <c r="T633" s="298">
        <f>IFERROR(Table6[[#This Row],[Breakdown Time]]*Table6[[#This Row],[Plant Equivalent Weightage]],"")</f>
        <v>7.5757575757575491E-3</v>
      </c>
      <c r="U633" s="79" t="s">
        <v>416</v>
      </c>
      <c r="W633" s="79">
        <v>22</v>
      </c>
    </row>
    <row r="634" spans="1:23">
      <c r="A634" s="79">
        <f t="shared" si="9"/>
        <v>633</v>
      </c>
      <c r="B634" s="79">
        <f>YEAR(Table6[[#This Row],[Date]])+IF(MONTH(Table6[[#This Row],[Date]])&gt;=4,1,0)</f>
        <v>2026</v>
      </c>
      <c r="C634" s="79">
        <f>YEAR(Table6[[#This Row],[Date]])</f>
        <v>2025</v>
      </c>
      <c r="D634" s="79" t="s">
        <v>344</v>
      </c>
      <c r="E634" s="284">
        <f>Table6[[#This Row],[Date]]-DAY(Table6[[#This Row],[Date]])+1</f>
        <v>45778</v>
      </c>
      <c r="F634" s="285">
        <v>45797</v>
      </c>
      <c r="G634" s="79" t="s">
        <v>100</v>
      </c>
      <c r="H634" s="79" t="str">
        <f>IFERROR(_xlfn.XLOOKUP(Table6[[#This Row],[Affected Feeder ]],'Basic Data'!$A:$A,'Basic Data'!$B:$B),"")</f>
        <v>PWEPL</v>
      </c>
      <c r="I634" s="79" t="str">
        <f>IFERROR(_xlfn.XLOOKUP(Table6[[#This Row],[Affected Feeder ]],'Basic Data'!$A:$A,'Basic Data'!$C:$C),"")</f>
        <v>MSEDCL</v>
      </c>
      <c r="J634" s="295">
        <f>IFERROR(_xlfn.XLOOKUP(Table6[[#This Row],[Affected Feeder ]],'Basic Data'!$A:$A,'Basic Data'!$E:$E),"")</f>
        <v>2.2727272727272728E-2</v>
      </c>
      <c r="K634" s="296" t="s">
        <v>171</v>
      </c>
      <c r="L634" s="297">
        <v>0.71388888888888891</v>
      </c>
      <c r="M634" s="297">
        <v>0.71388888888888891</v>
      </c>
      <c r="N634" s="297">
        <v>0.72777777777777775</v>
      </c>
      <c r="O634" s="19">
        <f>(Table6[[#This Row],[Work Start TimeStamp]]-Table6[[#This Row],[Fault Start TimeStamp]])*24</f>
        <v>0</v>
      </c>
      <c r="P634" s="19">
        <f>(Table6[[#This Row],[Fault Clearance time]]-Table6[[#This Row],[Fault Start TimeStamp]])*24</f>
        <v>0.33333333333333215</v>
      </c>
      <c r="Q634" s="19">
        <f>(Table6[[#This Row],[Fault Clearance time]]-Table6[[#This Row],[Fault Start TimeStamp]])*24</f>
        <v>0.33333333333333215</v>
      </c>
      <c r="R634" s="79" t="s">
        <v>353</v>
      </c>
      <c r="S634" s="79" t="s">
        <v>339</v>
      </c>
      <c r="T634" s="298">
        <f>IFERROR(Table6[[#This Row],[Breakdown Time]]*Table6[[#This Row],[Plant Equivalent Weightage]],"")</f>
        <v>7.5757575757575491E-3</v>
      </c>
      <c r="U634" s="79" t="s">
        <v>416</v>
      </c>
      <c r="W634" s="79">
        <v>22</v>
      </c>
    </row>
    <row r="635" spans="1:23">
      <c r="A635" s="79">
        <f t="shared" si="9"/>
        <v>634</v>
      </c>
      <c r="B635" s="79">
        <f>YEAR(Table6[[#This Row],[Date]])+IF(MONTH(Table6[[#This Row],[Date]])&gt;=4,1,0)</f>
        <v>2026</v>
      </c>
      <c r="C635" s="79">
        <f>YEAR(Table6[[#This Row],[Date]])</f>
        <v>2025</v>
      </c>
      <c r="D635" s="79" t="s">
        <v>344</v>
      </c>
      <c r="E635" s="284">
        <f>Table6[[#This Row],[Date]]-DAY(Table6[[#This Row],[Date]])+1</f>
        <v>45778</v>
      </c>
      <c r="F635" s="285">
        <v>45797</v>
      </c>
      <c r="G635" s="79" t="s">
        <v>101</v>
      </c>
      <c r="H635" s="79" t="str">
        <f>IFERROR(_xlfn.XLOOKUP(Table6[[#This Row],[Affected Feeder ]],'Basic Data'!$A:$A,'Basic Data'!$B:$B),"")</f>
        <v>PWEPL</v>
      </c>
      <c r="I635" s="79" t="str">
        <f>IFERROR(_xlfn.XLOOKUP(Table6[[#This Row],[Affected Feeder ]],'Basic Data'!$A:$A,'Basic Data'!$C:$C),"")</f>
        <v>MSEDCL</v>
      </c>
      <c r="J635" s="295">
        <f>IFERROR(_xlfn.XLOOKUP(Table6[[#This Row],[Affected Feeder ]],'Basic Data'!$A:$A,'Basic Data'!$E:$E),"")</f>
        <v>2.2727272727272728E-2</v>
      </c>
      <c r="K635" s="296" t="s">
        <v>171</v>
      </c>
      <c r="L635" s="297">
        <v>0.71388888888888891</v>
      </c>
      <c r="M635" s="297">
        <v>0.71388888888888891</v>
      </c>
      <c r="N635" s="297">
        <v>0.72777777777777775</v>
      </c>
      <c r="O635" s="19">
        <f>(Table6[[#This Row],[Work Start TimeStamp]]-Table6[[#This Row],[Fault Start TimeStamp]])*24</f>
        <v>0</v>
      </c>
      <c r="P635" s="19">
        <f>(Table6[[#This Row],[Fault Clearance time]]-Table6[[#This Row],[Fault Start TimeStamp]])*24</f>
        <v>0.33333333333333215</v>
      </c>
      <c r="Q635" s="19">
        <f>(Table6[[#This Row],[Fault Clearance time]]-Table6[[#This Row],[Fault Start TimeStamp]])*24</f>
        <v>0.33333333333333215</v>
      </c>
      <c r="R635" s="79" t="s">
        <v>353</v>
      </c>
      <c r="S635" s="79" t="s">
        <v>339</v>
      </c>
      <c r="T635" s="298">
        <f>IFERROR(Table6[[#This Row],[Breakdown Time]]*Table6[[#This Row],[Plant Equivalent Weightage]],"")</f>
        <v>7.5757575757575491E-3</v>
      </c>
      <c r="U635" s="79" t="s">
        <v>416</v>
      </c>
      <c r="W635" s="79">
        <v>22</v>
      </c>
    </row>
    <row r="636" spans="1:23">
      <c r="A636" s="79">
        <f t="shared" si="9"/>
        <v>635</v>
      </c>
      <c r="B636" s="79">
        <f>YEAR(Table6[[#This Row],[Date]])+IF(MONTH(Table6[[#This Row],[Date]])&gt;=4,1,0)</f>
        <v>2026</v>
      </c>
      <c r="C636" s="79">
        <f>YEAR(Table6[[#This Row],[Date]])</f>
        <v>2025</v>
      </c>
      <c r="D636" s="79" t="s">
        <v>344</v>
      </c>
      <c r="E636" s="284">
        <f>Table6[[#This Row],[Date]]-DAY(Table6[[#This Row],[Date]])+1</f>
        <v>45778</v>
      </c>
      <c r="F636" s="285">
        <v>45797</v>
      </c>
      <c r="G636" s="79" t="s">
        <v>404</v>
      </c>
      <c r="H636" s="79" t="str">
        <f>IFERROR(_xlfn.XLOOKUP(Table6[[#This Row],[Affected Feeder ]],'Basic Data'!$A:$A,'Basic Data'!$B:$B),"")</f>
        <v>PWEPL</v>
      </c>
      <c r="I636" s="79" t="str">
        <f>IFERROR(_xlfn.XLOOKUP(Table6[[#This Row],[Affected Feeder ]],'Basic Data'!$A:$A,'Basic Data'!$C:$C),"")</f>
        <v>MSEDCL</v>
      </c>
      <c r="J636" s="295">
        <f>IFERROR(_xlfn.XLOOKUP(Table6[[#This Row],[Affected Feeder ]],'Basic Data'!$A:$A,'Basic Data'!$E:$E),"")</f>
        <v>0.27272727272727276</v>
      </c>
      <c r="K636" s="296" t="s">
        <v>813</v>
      </c>
      <c r="L636" s="297">
        <v>0.36805555555555558</v>
      </c>
      <c r="M636" s="297">
        <v>0.36805555555555558</v>
      </c>
      <c r="N636" s="297">
        <v>0.72291666666666676</v>
      </c>
      <c r="O636" s="19">
        <f>(Table6[[#This Row],[Work Start TimeStamp]]-Table6[[#This Row],[Fault Start TimeStamp]])*24</f>
        <v>0</v>
      </c>
      <c r="P636" s="19">
        <f>(Table6[[#This Row],[Fault Clearance time]]-Table6[[#This Row],[Fault Start TimeStamp]])*24</f>
        <v>8.5166666666666693</v>
      </c>
      <c r="Q636" s="19">
        <f>(Table6[[#This Row],[Fault Clearance time]]-Table6[[#This Row],[Fault Start TimeStamp]])*24</f>
        <v>8.5166666666666693</v>
      </c>
      <c r="R636" s="79" t="s">
        <v>814</v>
      </c>
      <c r="S636" s="79" t="s">
        <v>339</v>
      </c>
      <c r="T636" s="298">
        <f>IFERROR(Table6[[#This Row],[Breakdown Time]]*Table6[[#This Row],[Plant Equivalent Weightage]],"")</f>
        <v>2.3227272727272736</v>
      </c>
      <c r="U636" s="79" t="s">
        <v>416</v>
      </c>
      <c r="W636" s="79">
        <v>7609</v>
      </c>
    </row>
    <row r="637" spans="1:23">
      <c r="A637" s="79">
        <f t="shared" si="9"/>
        <v>636</v>
      </c>
      <c r="B637" s="79">
        <f>YEAR(Table6[[#This Row],[Date]])+IF(MONTH(Table6[[#This Row],[Date]])&gt;=4,1,0)</f>
        <v>2026</v>
      </c>
      <c r="C637" s="79">
        <f>YEAR(Table6[[#This Row],[Date]])</f>
        <v>2025</v>
      </c>
      <c r="D637" s="79" t="s">
        <v>344</v>
      </c>
      <c r="E637" s="284">
        <f>Table6[[#This Row],[Date]]-DAY(Table6[[#This Row],[Date]])+1</f>
        <v>45778</v>
      </c>
      <c r="F637" s="285">
        <v>45797</v>
      </c>
      <c r="G637" s="79" t="s">
        <v>89</v>
      </c>
      <c r="H637" s="79" t="str">
        <f>IFERROR(_xlfn.XLOOKUP(Table6[[#This Row],[Affected Feeder ]],'Basic Data'!$A:$A,'Basic Data'!$B:$B),"")</f>
        <v>PWEPL</v>
      </c>
      <c r="I637" s="79" t="str">
        <f>IFERROR(_xlfn.XLOOKUP(Table6[[#This Row],[Affected Feeder ]],'Basic Data'!$A:$A,'Basic Data'!$C:$C),"")</f>
        <v>MSEDCL</v>
      </c>
      <c r="J637" s="295">
        <f>IFERROR(_xlfn.XLOOKUP(Table6[[#This Row],[Affected Feeder ]],'Basic Data'!$A:$A,'Basic Data'!$E:$E),"")</f>
        <v>2.2727272727272728E-2</v>
      </c>
      <c r="K637" s="296" t="s">
        <v>171</v>
      </c>
      <c r="L637" s="297">
        <v>0.72291666666666676</v>
      </c>
      <c r="M637" s="297">
        <v>0.72291666666666676</v>
      </c>
      <c r="N637" s="297">
        <v>0.7368055555555556</v>
      </c>
      <c r="O637" s="19">
        <f>(Table6[[#This Row],[Work Start TimeStamp]]-Table6[[#This Row],[Fault Start TimeStamp]])*24</f>
        <v>0</v>
      </c>
      <c r="P637" s="19">
        <f>(Table6[[#This Row],[Fault Clearance time]]-Table6[[#This Row],[Fault Start TimeStamp]])*24</f>
        <v>0.33333333333333215</v>
      </c>
      <c r="Q637" s="19">
        <f>(Table6[[#This Row],[Fault Clearance time]]-Table6[[#This Row],[Fault Start TimeStamp]])*24</f>
        <v>0.33333333333333215</v>
      </c>
      <c r="R637" s="79" t="s">
        <v>353</v>
      </c>
      <c r="S637" s="79" t="s">
        <v>339</v>
      </c>
      <c r="T637" s="298">
        <f>IFERROR(Table6[[#This Row],[Breakdown Time]]*Table6[[#This Row],[Plant Equivalent Weightage]],"")</f>
        <v>7.5757575757575491E-3</v>
      </c>
      <c r="U637" s="79" t="s">
        <v>416</v>
      </c>
      <c r="W637" s="79">
        <v>24</v>
      </c>
    </row>
    <row r="638" spans="1:23">
      <c r="A638" s="79">
        <f t="shared" si="9"/>
        <v>637</v>
      </c>
      <c r="B638" s="79">
        <f>YEAR(Table6[[#This Row],[Date]])+IF(MONTH(Table6[[#This Row],[Date]])&gt;=4,1,0)</f>
        <v>2026</v>
      </c>
      <c r="C638" s="79">
        <f>YEAR(Table6[[#This Row],[Date]])</f>
        <v>2025</v>
      </c>
      <c r="D638" s="79" t="s">
        <v>344</v>
      </c>
      <c r="E638" s="284">
        <f>Table6[[#This Row],[Date]]-DAY(Table6[[#This Row],[Date]])+1</f>
        <v>45778</v>
      </c>
      <c r="F638" s="285">
        <v>45797</v>
      </c>
      <c r="G638" s="79" t="s">
        <v>90</v>
      </c>
      <c r="H638" s="79" t="str">
        <f>IFERROR(_xlfn.XLOOKUP(Table6[[#This Row],[Affected Feeder ]],'Basic Data'!$A:$A,'Basic Data'!$B:$B),"")</f>
        <v>PWEPL</v>
      </c>
      <c r="I638" s="79" t="str">
        <f>IFERROR(_xlfn.XLOOKUP(Table6[[#This Row],[Affected Feeder ]],'Basic Data'!$A:$A,'Basic Data'!$C:$C),"")</f>
        <v>MSEDCL</v>
      </c>
      <c r="J638" s="295">
        <f>IFERROR(_xlfn.XLOOKUP(Table6[[#This Row],[Affected Feeder ]],'Basic Data'!$A:$A,'Basic Data'!$E:$E),"")</f>
        <v>2.2727272727272728E-2</v>
      </c>
      <c r="K638" s="296" t="s">
        <v>171</v>
      </c>
      <c r="L638" s="297">
        <v>0.72291666666666676</v>
      </c>
      <c r="M638" s="297">
        <v>0.72291666666666676</v>
      </c>
      <c r="N638" s="297">
        <v>0.7368055555555556</v>
      </c>
      <c r="O638" s="19">
        <f>(Table6[[#This Row],[Work Start TimeStamp]]-Table6[[#This Row],[Fault Start TimeStamp]])*24</f>
        <v>0</v>
      </c>
      <c r="P638" s="19">
        <f>(Table6[[#This Row],[Fault Clearance time]]-Table6[[#This Row],[Fault Start TimeStamp]])*24</f>
        <v>0.33333333333333215</v>
      </c>
      <c r="Q638" s="19">
        <f>(Table6[[#This Row],[Fault Clearance time]]-Table6[[#This Row],[Fault Start TimeStamp]])*24</f>
        <v>0.33333333333333215</v>
      </c>
      <c r="R638" s="79" t="s">
        <v>353</v>
      </c>
      <c r="S638" s="79" t="s">
        <v>339</v>
      </c>
      <c r="T638" s="298">
        <f>IFERROR(Table6[[#This Row],[Breakdown Time]]*Table6[[#This Row],[Plant Equivalent Weightage]],"")</f>
        <v>7.5757575757575491E-3</v>
      </c>
      <c r="U638" s="79" t="s">
        <v>416</v>
      </c>
      <c r="W638" s="79">
        <v>24</v>
      </c>
    </row>
    <row r="639" spans="1:23">
      <c r="A639" s="79">
        <f t="shared" si="9"/>
        <v>638</v>
      </c>
      <c r="B639" s="79">
        <f>YEAR(Table6[[#This Row],[Date]])+IF(MONTH(Table6[[#This Row],[Date]])&gt;=4,1,0)</f>
        <v>2026</v>
      </c>
      <c r="C639" s="79">
        <f>YEAR(Table6[[#This Row],[Date]])</f>
        <v>2025</v>
      </c>
      <c r="D639" s="79" t="s">
        <v>344</v>
      </c>
      <c r="E639" s="284">
        <f>Table6[[#This Row],[Date]]-DAY(Table6[[#This Row],[Date]])+1</f>
        <v>45778</v>
      </c>
      <c r="F639" s="285">
        <v>45797</v>
      </c>
      <c r="G639" s="79" t="s">
        <v>91</v>
      </c>
      <c r="H639" s="79" t="str">
        <f>IFERROR(_xlfn.XLOOKUP(Table6[[#This Row],[Affected Feeder ]],'Basic Data'!$A:$A,'Basic Data'!$B:$B),"")</f>
        <v>PWEPL</v>
      </c>
      <c r="I639" s="79" t="str">
        <f>IFERROR(_xlfn.XLOOKUP(Table6[[#This Row],[Affected Feeder ]],'Basic Data'!$A:$A,'Basic Data'!$C:$C),"")</f>
        <v>MSEDCL</v>
      </c>
      <c r="J639" s="295">
        <f>IFERROR(_xlfn.XLOOKUP(Table6[[#This Row],[Affected Feeder ]],'Basic Data'!$A:$A,'Basic Data'!$E:$E),"")</f>
        <v>2.2727272727272728E-2</v>
      </c>
      <c r="K639" s="296" t="s">
        <v>171</v>
      </c>
      <c r="L639" s="297">
        <v>0.72291666666666676</v>
      </c>
      <c r="M639" s="297">
        <v>0.72291666666666676</v>
      </c>
      <c r="N639" s="297">
        <v>0.7368055555555556</v>
      </c>
      <c r="O639" s="19">
        <f>(Table6[[#This Row],[Work Start TimeStamp]]-Table6[[#This Row],[Fault Start TimeStamp]])*24</f>
        <v>0</v>
      </c>
      <c r="P639" s="19">
        <f>(Table6[[#This Row],[Fault Clearance time]]-Table6[[#This Row],[Fault Start TimeStamp]])*24</f>
        <v>0.33333333333333215</v>
      </c>
      <c r="Q639" s="19">
        <f>(Table6[[#This Row],[Fault Clearance time]]-Table6[[#This Row],[Fault Start TimeStamp]])*24</f>
        <v>0.33333333333333215</v>
      </c>
      <c r="R639" s="79" t="s">
        <v>353</v>
      </c>
      <c r="S639" s="79" t="s">
        <v>339</v>
      </c>
      <c r="T639" s="298">
        <f>IFERROR(Table6[[#This Row],[Breakdown Time]]*Table6[[#This Row],[Plant Equivalent Weightage]],"")</f>
        <v>7.5757575757575491E-3</v>
      </c>
      <c r="U639" s="79" t="s">
        <v>416</v>
      </c>
      <c r="W639" s="79">
        <v>24</v>
      </c>
    </row>
    <row r="640" spans="1:23">
      <c r="A640" s="79">
        <f t="shared" si="9"/>
        <v>639</v>
      </c>
      <c r="B640" s="79">
        <f>YEAR(Table6[[#This Row],[Date]])+IF(MONTH(Table6[[#This Row],[Date]])&gt;=4,1,0)</f>
        <v>2026</v>
      </c>
      <c r="C640" s="79">
        <f>YEAR(Table6[[#This Row],[Date]])</f>
        <v>2025</v>
      </c>
      <c r="D640" s="79" t="s">
        <v>344</v>
      </c>
      <c r="E640" s="284">
        <f>Table6[[#This Row],[Date]]-DAY(Table6[[#This Row],[Date]])+1</f>
        <v>45778</v>
      </c>
      <c r="F640" s="285">
        <v>45797</v>
      </c>
      <c r="G640" s="79" t="s">
        <v>92</v>
      </c>
      <c r="H640" s="79" t="str">
        <f>IFERROR(_xlfn.XLOOKUP(Table6[[#This Row],[Affected Feeder ]],'Basic Data'!$A:$A,'Basic Data'!$B:$B),"")</f>
        <v>PWEPL</v>
      </c>
      <c r="I640" s="79" t="str">
        <f>IFERROR(_xlfn.XLOOKUP(Table6[[#This Row],[Affected Feeder ]],'Basic Data'!$A:$A,'Basic Data'!$C:$C),"")</f>
        <v>MSEDCL</v>
      </c>
      <c r="J640" s="295">
        <f>IFERROR(_xlfn.XLOOKUP(Table6[[#This Row],[Affected Feeder ]],'Basic Data'!$A:$A,'Basic Data'!$E:$E),"")</f>
        <v>2.2727272727272728E-2</v>
      </c>
      <c r="K640" s="296" t="s">
        <v>171</v>
      </c>
      <c r="L640" s="297">
        <v>0.72291666666666676</v>
      </c>
      <c r="M640" s="297">
        <v>0.72291666666666676</v>
      </c>
      <c r="N640" s="297">
        <v>0.7368055555555556</v>
      </c>
      <c r="O640" s="19">
        <f>(Table6[[#This Row],[Work Start TimeStamp]]-Table6[[#This Row],[Fault Start TimeStamp]])*24</f>
        <v>0</v>
      </c>
      <c r="P640" s="19">
        <f>(Table6[[#This Row],[Fault Clearance time]]-Table6[[#This Row],[Fault Start TimeStamp]])*24</f>
        <v>0.33333333333333215</v>
      </c>
      <c r="Q640" s="19">
        <f>(Table6[[#This Row],[Fault Clearance time]]-Table6[[#This Row],[Fault Start TimeStamp]])*24</f>
        <v>0.33333333333333215</v>
      </c>
      <c r="R640" s="79" t="s">
        <v>353</v>
      </c>
      <c r="S640" s="79" t="s">
        <v>339</v>
      </c>
      <c r="T640" s="298">
        <f>IFERROR(Table6[[#This Row],[Breakdown Time]]*Table6[[#This Row],[Plant Equivalent Weightage]],"")</f>
        <v>7.5757575757575491E-3</v>
      </c>
      <c r="U640" s="79" t="s">
        <v>416</v>
      </c>
      <c r="W640" s="79">
        <v>24</v>
      </c>
    </row>
    <row r="641" spans="1:23">
      <c r="A641" s="79">
        <f t="shared" si="9"/>
        <v>640</v>
      </c>
      <c r="B641" s="79">
        <f>YEAR(Table6[[#This Row],[Date]])+IF(MONTH(Table6[[#This Row],[Date]])&gt;=4,1,0)</f>
        <v>2026</v>
      </c>
      <c r="C641" s="79">
        <f>YEAR(Table6[[#This Row],[Date]])</f>
        <v>2025</v>
      </c>
      <c r="D641" s="79" t="s">
        <v>344</v>
      </c>
      <c r="E641" s="284">
        <f>Table6[[#This Row],[Date]]-DAY(Table6[[#This Row],[Date]])+1</f>
        <v>45778</v>
      </c>
      <c r="F641" s="285">
        <v>45797</v>
      </c>
      <c r="G641" s="79" t="s">
        <v>94</v>
      </c>
      <c r="H641" s="79" t="str">
        <f>IFERROR(_xlfn.XLOOKUP(Table6[[#This Row],[Affected Feeder ]],'Basic Data'!$A:$A,'Basic Data'!$B:$B),"")</f>
        <v>PWEPL</v>
      </c>
      <c r="I641" s="79" t="str">
        <f>IFERROR(_xlfn.XLOOKUP(Table6[[#This Row],[Affected Feeder ]],'Basic Data'!$A:$A,'Basic Data'!$C:$C),"")</f>
        <v>MSEDCL</v>
      </c>
      <c r="J641" s="295">
        <f>IFERROR(_xlfn.XLOOKUP(Table6[[#This Row],[Affected Feeder ]],'Basic Data'!$A:$A,'Basic Data'!$E:$E),"")</f>
        <v>2.2727272727272728E-2</v>
      </c>
      <c r="K641" s="296" t="s">
        <v>171</v>
      </c>
      <c r="L641" s="297">
        <v>0.72291666666666676</v>
      </c>
      <c r="M641" s="297">
        <v>0.72291666666666676</v>
      </c>
      <c r="N641" s="297">
        <v>0.7368055555555556</v>
      </c>
      <c r="O641" s="19">
        <f>(Table6[[#This Row],[Work Start TimeStamp]]-Table6[[#This Row],[Fault Start TimeStamp]])*24</f>
        <v>0</v>
      </c>
      <c r="P641" s="19">
        <f>(Table6[[#This Row],[Fault Clearance time]]-Table6[[#This Row],[Fault Start TimeStamp]])*24</f>
        <v>0.33333333333333215</v>
      </c>
      <c r="Q641" s="19">
        <f>(Table6[[#This Row],[Fault Clearance time]]-Table6[[#This Row],[Fault Start TimeStamp]])*24</f>
        <v>0.33333333333333215</v>
      </c>
      <c r="R641" s="79" t="s">
        <v>353</v>
      </c>
      <c r="S641" s="79" t="s">
        <v>339</v>
      </c>
      <c r="T641" s="298">
        <f>IFERROR(Table6[[#This Row],[Breakdown Time]]*Table6[[#This Row],[Plant Equivalent Weightage]],"")</f>
        <v>7.5757575757575491E-3</v>
      </c>
      <c r="U641" s="79" t="s">
        <v>416</v>
      </c>
      <c r="W641" s="79">
        <v>24</v>
      </c>
    </row>
    <row r="642" spans="1:23">
      <c r="A642" s="79">
        <f t="shared" si="9"/>
        <v>641</v>
      </c>
      <c r="B642" s="79">
        <f>YEAR(Table6[[#This Row],[Date]])+IF(MONTH(Table6[[#This Row],[Date]])&gt;=4,1,0)</f>
        <v>2026</v>
      </c>
      <c r="C642" s="79">
        <f>YEAR(Table6[[#This Row],[Date]])</f>
        <v>2025</v>
      </c>
      <c r="D642" s="79" t="s">
        <v>344</v>
      </c>
      <c r="E642" s="284">
        <f>Table6[[#This Row],[Date]]-DAY(Table6[[#This Row],[Date]])+1</f>
        <v>45778</v>
      </c>
      <c r="F642" s="285">
        <v>45797</v>
      </c>
      <c r="G642" s="79" t="s">
        <v>95</v>
      </c>
      <c r="H642" s="79" t="str">
        <f>IFERROR(_xlfn.XLOOKUP(Table6[[#This Row],[Affected Feeder ]],'Basic Data'!$A:$A,'Basic Data'!$B:$B),"")</f>
        <v>PWEPL</v>
      </c>
      <c r="I642" s="79" t="str">
        <f>IFERROR(_xlfn.XLOOKUP(Table6[[#This Row],[Affected Feeder ]],'Basic Data'!$A:$A,'Basic Data'!$C:$C),"")</f>
        <v>MSEDCL</v>
      </c>
      <c r="J642" s="295">
        <f>IFERROR(_xlfn.XLOOKUP(Table6[[#This Row],[Affected Feeder ]],'Basic Data'!$A:$A,'Basic Data'!$E:$E),"")</f>
        <v>2.2727272727272728E-2</v>
      </c>
      <c r="K642" s="296" t="s">
        <v>171</v>
      </c>
      <c r="L642" s="297">
        <v>0.72291666666666676</v>
      </c>
      <c r="M642" s="297">
        <v>0.72291666666666676</v>
      </c>
      <c r="N642" s="297">
        <v>0.7368055555555556</v>
      </c>
      <c r="O642" s="19">
        <f>(Table6[[#This Row],[Work Start TimeStamp]]-Table6[[#This Row],[Fault Start TimeStamp]])*24</f>
        <v>0</v>
      </c>
      <c r="P642" s="19">
        <f>(Table6[[#This Row],[Fault Clearance time]]-Table6[[#This Row],[Fault Start TimeStamp]])*24</f>
        <v>0.33333333333333215</v>
      </c>
      <c r="Q642" s="19">
        <f>(Table6[[#This Row],[Fault Clearance time]]-Table6[[#This Row],[Fault Start TimeStamp]])*24</f>
        <v>0.33333333333333215</v>
      </c>
      <c r="R642" s="79" t="s">
        <v>353</v>
      </c>
      <c r="S642" s="79" t="s">
        <v>339</v>
      </c>
      <c r="T642" s="298">
        <f>IFERROR(Table6[[#This Row],[Breakdown Time]]*Table6[[#This Row],[Plant Equivalent Weightage]],"")</f>
        <v>7.5757575757575491E-3</v>
      </c>
      <c r="U642" s="79" t="s">
        <v>416</v>
      </c>
      <c r="W642" s="79">
        <v>24</v>
      </c>
    </row>
    <row r="643" spans="1:23">
      <c r="A643" s="79">
        <f t="shared" si="9"/>
        <v>642</v>
      </c>
      <c r="B643" s="79">
        <f>YEAR(Table6[[#This Row],[Date]])+IF(MONTH(Table6[[#This Row],[Date]])&gt;=4,1,0)</f>
        <v>2026</v>
      </c>
      <c r="C643" s="79">
        <f>YEAR(Table6[[#This Row],[Date]])</f>
        <v>2025</v>
      </c>
      <c r="D643" s="79" t="s">
        <v>344</v>
      </c>
      <c r="E643" s="284">
        <f>Table6[[#This Row],[Date]]-DAY(Table6[[#This Row],[Date]])+1</f>
        <v>45778</v>
      </c>
      <c r="F643" s="285">
        <v>45797</v>
      </c>
      <c r="G643" s="79" t="s">
        <v>106</v>
      </c>
      <c r="H643" s="79" t="str">
        <f>IFERROR(_xlfn.XLOOKUP(Table6[[#This Row],[Affected Feeder ]],'Basic Data'!$A:$A,'Basic Data'!$B:$B),"")</f>
        <v>PWEPL</v>
      </c>
      <c r="I643" s="79" t="str">
        <f>IFERROR(_xlfn.XLOOKUP(Table6[[#This Row],[Affected Feeder ]],'Basic Data'!$A:$A,'Basic Data'!$C:$C),"")</f>
        <v>MSEDCL</v>
      </c>
      <c r="J643" s="295">
        <f>IFERROR(_xlfn.XLOOKUP(Table6[[#This Row],[Affected Feeder ]],'Basic Data'!$A:$A,'Basic Data'!$E:$E),"")</f>
        <v>2.2727272727272728E-2</v>
      </c>
      <c r="K643" s="296" t="s">
        <v>171</v>
      </c>
      <c r="L643" s="297">
        <v>0.72291666666666676</v>
      </c>
      <c r="M643" s="297">
        <v>0.72291666666666676</v>
      </c>
      <c r="N643" s="297">
        <v>0.7368055555555556</v>
      </c>
      <c r="O643" s="19">
        <f>(Table6[[#This Row],[Work Start TimeStamp]]-Table6[[#This Row],[Fault Start TimeStamp]])*24</f>
        <v>0</v>
      </c>
      <c r="P643" s="19">
        <f>(Table6[[#This Row],[Fault Clearance time]]-Table6[[#This Row],[Fault Start TimeStamp]])*24</f>
        <v>0.33333333333333215</v>
      </c>
      <c r="Q643" s="19">
        <f>(Table6[[#This Row],[Fault Clearance time]]-Table6[[#This Row],[Fault Start TimeStamp]])*24</f>
        <v>0.33333333333333215</v>
      </c>
      <c r="R643" s="79" t="s">
        <v>353</v>
      </c>
      <c r="S643" s="79" t="s">
        <v>339</v>
      </c>
      <c r="T643" s="298">
        <f>IFERROR(Table6[[#This Row],[Breakdown Time]]*Table6[[#This Row],[Plant Equivalent Weightage]],"")</f>
        <v>7.5757575757575491E-3</v>
      </c>
      <c r="U643" s="79" t="s">
        <v>416</v>
      </c>
      <c r="W643" s="79">
        <v>24</v>
      </c>
    </row>
    <row r="644" spans="1:23">
      <c r="A644" s="79">
        <f t="shared" ref="A644:A707" si="10">A643+1</f>
        <v>643</v>
      </c>
      <c r="B644" s="79">
        <f>YEAR(Table6[[#This Row],[Date]])+IF(MONTH(Table6[[#This Row],[Date]])&gt;=4,1,0)</f>
        <v>2026</v>
      </c>
      <c r="C644" s="79">
        <f>YEAR(Table6[[#This Row],[Date]])</f>
        <v>2025</v>
      </c>
      <c r="D644" s="79" t="s">
        <v>344</v>
      </c>
      <c r="E644" s="284">
        <f>Table6[[#This Row],[Date]]-DAY(Table6[[#This Row],[Date]])+1</f>
        <v>45778</v>
      </c>
      <c r="F644" s="285">
        <v>45797</v>
      </c>
      <c r="G644" s="79" t="s">
        <v>79</v>
      </c>
      <c r="H644" s="79" t="str">
        <f>IFERROR(_xlfn.XLOOKUP(Table6[[#This Row],[Affected Feeder ]],'Basic Data'!$A:$A,'Basic Data'!$B:$B),"")</f>
        <v>PWEPL</v>
      </c>
      <c r="I644" s="79" t="str">
        <f>IFERROR(_xlfn.XLOOKUP(Table6[[#This Row],[Affected Feeder ]],'Basic Data'!$A:$A,'Basic Data'!$C:$C),"")</f>
        <v>MSEDCL</v>
      </c>
      <c r="J644" s="295">
        <f>IFERROR(_xlfn.XLOOKUP(Table6[[#This Row],[Affected Feeder ]],'Basic Data'!$A:$A,'Basic Data'!$E:$E),"")</f>
        <v>2.2727272727272728E-2</v>
      </c>
      <c r="K644" s="296" t="s">
        <v>171</v>
      </c>
      <c r="L644" s="297">
        <v>0.72291666666666676</v>
      </c>
      <c r="M644" s="297">
        <v>0.72291666666666676</v>
      </c>
      <c r="N644" s="297">
        <v>0.7368055555555556</v>
      </c>
      <c r="O644" s="19">
        <f>(Table6[[#This Row],[Work Start TimeStamp]]-Table6[[#This Row],[Fault Start TimeStamp]])*24</f>
        <v>0</v>
      </c>
      <c r="P644" s="19">
        <f>(Table6[[#This Row],[Fault Clearance time]]-Table6[[#This Row],[Fault Start TimeStamp]])*24</f>
        <v>0.33333333333333215</v>
      </c>
      <c r="Q644" s="19">
        <f>(Table6[[#This Row],[Fault Clearance time]]-Table6[[#This Row],[Fault Start TimeStamp]])*24</f>
        <v>0.33333333333333215</v>
      </c>
      <c r="R644" s="79" t="s">
        <v>353</v>
      </c>
      <c r="S644" s="79" t="s">
        <v>339</v>
      </c>
      <c r="T644" s="298">
        <f>IFERROR(Table6[[#This Row],[Breakdown Time]]*Table6[[#This Row],[Plant Equivalent Weightage]],"")</f>
        <v>7.5757575757575491E-3</v>
      </c>
      <c r="U644" s="79" t="s">
        <v>416</v>
      </c>
      <c r="W644" s="79">
        <v>24</v>
      </c>
    </row>
    <row r="645" spans="1:23">
      <c r="A645" s="79">
        <f t="shared" si="10"/>
        <v>644</v>
      </c>
      <c r="B645" s="79">
        <f>YEAR(Table6[[#This Row],[Date]])+IF(MONTH(Table6[[#This Row],[Date]])&gt;=4,1,0)</f>
        <v>2026</v>
      </c>
      <c r="C645" s="79">
        <f>YEAR(Table6[[#This Row],[Date]])</f>
        <v>2025</v>
      </c>
      <c r="D645" s="79" t="s">
        <v>344</v>
      </c>
      <c r="E645" s="284">
        <f>Table6[[#This Row],[Date]]-DAY(Table6[[#This Row],[Date]])+1</f>
        <v>45778</v>
      </c>
      <c r="F645" s="285">
        <v>45797</v>
      </c>
      <c r="G645" s="79" t="s">
        <v>96</v>
      </c>
      <c r="H645" s="79" t="str">
        <f>IFERROR(_xlfn.XLOOKUP(Table6[[#This Row],[Affected Feeder ]],'Basic Data'!$A:$A,'Basic Data'!$B:$B),"")</f>
        <v>PWEPL</v>
      </c>
      <c r="I645" s="79" t="str">
        <f>IFERROR(_xlfn.XLOOKUP(Table6[[#This Row],[Affected Feeder ]],'Basic Data'!$A:$A,'Basic Data'!$C:$C),"")</f>
        <v>MSEDCL</v>
      </c>
      <c r="J645" s="295">
        <f>IFERROR(_xlfn.XLOOKUP(Table6[[#This Row],[Affected Feeder ]],'Basic Data'!$A:$A,'Basic Data'!$E:$E),"")</f>
        <v>2.2727272727272728E-2</v>
      </c>
      <c r="K645" s="296" t="s">
        <v>171</v>
      </c>
      <c r="L645" s="297">
        <v>0.72291666666666676</v>
      </c>
      <c r="M645" s="297">
        <v>0.72291666666666676</v>
      </c>
      <c r="N645" s="297">
        <v>0.7368055555555556</v>
      </c>
      <c r="O645" s="19">
        <f>(Table6[[#This Row],[Work Start TimeStamp]]-Table6[[#This Row],[Fault Start TimeStamp]])*24</f>
        <v>0</v>
      </c>
      <c r="P645" s="19">
        <f>(Table6[[#This Row],[Fault Clearance time]]-Table6[[#This Row],[Fault Start TimeStamp]])*24</f>
        <v>0.33333333333333215</v>
      </c>
      <c r="Q645" s="19">
        <f>(Table6[[#This Row],[Fault Clearance time]]-Table6[[#This Row],[Fault Start TimeStamp]])*24</f>
        <v>0.33333333333333215</v>
      </c>
      <c r="R645" s="79" t="s">
        <v>353</v>
      </c>
      <c r="S645" s="79" t="s">
        <v>339</v>
      </c>
      <c r="T645" s="298">
        <f>IFERROR(Table6[[#This Row],[Breakdown Time]]*Table6[[#This Row],[Plant Equivalent Weightage]],"")</f>
        <v>7.5757575757575491E-3</v>
      </c>
      <c r="U645" s="79" t="s">
        <v>416</v>
      </c>
      <c r="W645" s="79">
        <v>24</v>
      </c>
    </row>
    <row r="646" spans="1:23">
      <c r="A646" s="79">
        <f t="shared" si="10"/>
        <v>645</v>
      </c>
      <c r="B646" s="79">
        <f>YEAR(Table6[[#This Row],[Date]])+IF(MONTH(Table6[[#This Row],[Date]])&gt;=4,1,0)</f>
        <v>2026</v>
      </c>
      <c r="C646" s="79">
        <f>YEAR(Table6[[#This Row],[Date]])</f>
        <v>2025</v>
      </c>
      <c r="D646" s="79" t="s">
        <v>344</v>
      </c>
      <c r="E646" s="284">
        <f>Table6[[#This Row],[Date]]-DAY(Table6[[#This Row],[Date]])+1</f>
        <v>45778</v>
      </c>
      <c r="F646" s="285">
        <v>45797</v>
      </c>
      <c r="G646" s="79" t="s">
        <v>97</v>
      </c>
      <c r="H646" s="79" t="str">
        <f>IFERROR(_xlfn.XLOOKUP(Table6[[#This Row],[Affected Feeder ]],'Basic Data'!$A:$A,'Basic Data'!$B:$B),"")</f>
        <v>PWEPL</v>
      </c>
      <c r="I646" s="79" t="str">
        <f>IFERROR(_xlfn.XLOOKUP(Table6[[#This Row],[Affected Feeder ]],'Basic Data'!$A:$A,'Basic Data'!$C:$C),"")</f>
        <v>MSEDCL</v>
      </c>
      <c r="J646" s="295">
        <f>IFERROR(_xlfn.XLOOKUP(Table6[[#This Row],[Affected Feeder ]],'Basic Data'!$A:$A,'Basic Data'!$E:$E),"")</f>
        <v>2.2727272727272728E-2</v>
      </c>
      <c r="K646" s="296" t="s">
        <v>171</v>
      </c>
      <c r="L646" s="297">
        <v>0.72291666666666676</v>
      </c>
      <c r="M646" s="297">
        <v>0.72291666666666676</v>
      </c>
      <c r="N646" s="297">
        <v>0.7368055555555556</v>
      </c>
      <c r="O646" s="19">
        <f>(Table6[[#This Row],[Work Start TimeStamp]]-Table6[[#This Row],[Fault Start TimeStamp]])*24</f>
        <v>0</v>
      </c>
      <c r="P646" s="19">
        <f>(Table6[[#This Row],[Fault Clearance time]]-Table6[[#This Row],[Fault Start TimeStamp]])*24</f>
        <v>0.33333333333333215</v>
      </c>
      <c r="Q646" s="19">
        <f>(Table6[[#This Row],[Fault Clearance time]]-Table6[[#This Row],[Fault Start TimeStamp]])*24</f>
        <v>0.33333333333333215</v>
      </c>
      <c r="R646" s="79" t="s">
        <v>353</v>
      </c>
      <c r="S646" s="79" t="s">
        <v>339</v>
      </c>
      <c r="T646" s="298">
        <f>IFERROR(Table6[[#This Row],[Breakdown Time]]*Table6[[#This Row],[Plant Equivalent Weightage]],"")</f>
        <v>7.5757575757575491E-3</v>
      </c>
      <c r="U646" s="79" t="s">
        <v>416</v>
      </c>
      <c r="W646" s="79">
        <v>24</v>
      </c>
    </row>
    <row r="647" spans="1:23">
      <c r="A647" s="79">
        <f t="shared" si="10"/>
        <v>646</v>
      </c>
      <c r="B647" s="79">
        <f>YEAR(Table6[[#This Row],[Date]])+IF(MONTH(Table6[[#This Row],[Date]])&gt;=4,1,0)</f>
        <v>2026</v>
      </c>
      <c r="C647" s="79">
        <f>YEAR(Table6[[#This Row],[Date]])</f>
        <v>2025</v>
      </c>
      <c r="D647" s="79" t="s">
        <v>344</v>
      </c>
      <c r="E647" s="284">
        <f>Table6[[#This Row],[Date]]-DAY(Table6[[#This Row],[Date]])+1</f>
        <v>45778</v>
      </c>
      <c r="F647" s="285">
        <v>45797</v>
      </c>
      <c r="G647" s="79" t="s">
        <v>104</v>
      </c>
      <c r="H647" s="79" t="str">
        <f>IFERROR(_xlfn.XLOOKUP(Table6[[#This Row],[Affected Feeder ]],'Basic Data'!$A:$A,'Basic Data'!$B:$B),"")</f>
        <v>PWEPL</v>
      </c>
      <c r="I647" s="79" t="str">
        <f>IFERROR(_xlfn.XLOOKUP(Table6[[#This Row],[Affected Feeder ]],'Basic Data'!$A:$A,'Basic Data'!$C:$C),"")</f>
        <v>MSEDCL</v>
      </c>
      <c r="J647" s="295">
        <f>IFERROR(_xlfn.XLOOKUP(Table6[[#This Row],[Affected Feeder ]],'Basic Data'!$A:$A,'Basic Data'!$E:$E),"")</f>
        <v>2.2727272727272728E-2</v>
      </c>
      <c r="K647" s="296" t="s">
        <v>171</v>
      </c>
      <c r="L647" s="297">
        <v>0.72291666666666676</v>
      </c>
      <c r="M647" s="297">
        <v>0.72291666666666676</v>
      </c>
      <c r="N647" s="297">
        <v>0.7368055555555556</v>
      </c>
      <c r="O647" s="19">
        <f>(Table6[[#This Row],[Work Start TimeStamp]]-Table6[[#This Row],[Fault Start TimeStamp]])*24</f>
        <v>0</v>
      </c>
      <c r="P647" s="19">
        <f>(Table6[[#This Row],[Fault Clearance time]]-Table6[[#This Row],[Fault Start TimeStamp]])*24</f>
        <v>0.33333333333333215</v>
      </c>
      <c r="Q647" s="19">
        <f>(Table6[[#This Row],[Fault Clearance time]]-Table6[[#This Row],[Fault Start TimeStamp]])*24</f>
        <v>0.33333333333333215</v>
      </c>
      <c r="R647" s="79" t="s">
        <v>353</v>
      </c>
      <c r="S647" s="79" t="s">
        <v>339</v>
      </c>
      <c r="T647" s="298">
        <f>IFERROR(Table6[[#This Row],[Breakdown Time]]*Table6[[#This Row],[Plant Equivalent Weightage]],"")</f>
        <v>7.5757575757575491E-3</v>
      </c>
      <c r="U647" s="79" t="s">
        <v>416</v>
      </c>
      <c r="W647" s="79">
        <v>24</v>
      </c>
    </row>
    <row r="648" spans="1:23">
      <c r="A648" s="79">
        <f t="shared" si="10"/>
        <v>647</v>
      </c>
      <c r="B648" s="79">
        <f>YEAR(Table6[[#This Row],[Date]])+IF(MONTH(Table6[[#This Row],[Date]])&gt;=4,1,0)</f>
        <v>2026</v>
      </c>
      <c r="C648" s="79">
        <f>YEAR(Table6[[#This Row],[Date]])</f>
        <v>2025</v>
      </c>
      <c r="D648" s="79" t="s">
        <v>344</v>
      </c>
      <c r="E648" s="284">
        <f>Table6[[#This Row],[Date]]-DAY(Table6[[#This Row],[Date]])+1</f>
        <v>45778</v>
      </c>
      <c r="F648" s="285">
        <v>45797</v>
      </c>
      <c r="G648" s="79" t="s">
        <v>110</v>
      </c>
      <c r="H648" s="79" t="str">
        <f>IFERROR(_xlfn.XLOOKUP(Table6[[#This Row],[Affected Feeder ]],'Basic Data'!$A:$A,'Basic Data'!$B:$B),"")</f>
        <v>PWEPL</v>
      </c>
      <c r="I648" s="79" t="str">
        <f>IFERROR(_xlfn.XLOOKUP(Table6[[#This Row],[Affected Feeder ]],'Basic Data'!$A:$A,'Basic Data'!$C:$C),"")</f>
        <v>MSEDCL</v>
      </c>
      <c r="J648" s="295">
        <f>IFERROR(_xlfn.XLOOKUP(Table6[[#This Row],[Affected Feeder ]],'Basic Data'!$A:$A,'Basic Data'!$E:$E),"")</f>
        <v>2.2727272727272728E-2</v>
      </c>
      <c r="K648" s="296" t="s">
        <v>171</v>
      </c>
      <c r="L648" s="297">
        <v>0.72291666666666676</v>
      </c>
      <c r="M648" s="297">
        <v>0.72291666666666676</v>
      </c>
      <c r="N648" s="297">
        <v>0.7368055555555556</v>
      </c>
      <c r="O648" s="19">
        <f>(Table6[[#This Row],[Work Start TimeStamp]]-Table6[[#This Row],[Fault Start TimeStamp]])*24</f>
        <v>0</v>
      </c>
      <c r="P648" s="19">
        <f>(Table6[[#This Row],[Fault Clearance time]]-Table6[[#This Row],[Fault Start TimeStamp]])*24</f>
        <v>0.33333333333333215</v>
      </c>
      <c r="Q648" s="19">
        <f>(Table6[[#This Row],[Fault Clearance time]]-Table6[[#This Row],[Fault Start TimeStamp]])*24</f>
        <v>0.33333333333333215</v>
      </c>
      <c r="R648" s="79" t="s">
        <v>353</v>
      </c>
      <c r="S648" s="79" t="s">
        <v>339</v>
      </c>
      <c r="T648" s="298">
        <f>IFERROR(Table6[[#This Row],[Breakdown Time]]*Table6[[#This Row],[Plant Equivalent Weightage]],"")</f>
        <v>7.5757575757575491E-3</v>
      </c>
      <c r="U648" s="79" t="s">
        <v>416</v>
      </c>
      <c r="W648" s="79">
        <v>24</v>
      </c>
    </row>
    <row r="649" spans="1:23">
      <c r="A649" s="79">
        <f t="shared" si="10"/>
        <v>648</v>
      </c>
      <c r="B649" s="79">
        <f>YEAR(Table6[[#This Row],[Date]])+IF(MONTH(Table6[[#This Row],[Date]])&gt;=4,1,0)</f>
        <v>2026</v>
      </c>
      <c r="C649" s="79">
        <f>YEAR(Table6[[#This Row],[Date]])</f>
        <v>2025</v>
      </c>
      <c r="D649" s="79" t="s">
        <v>344</v>
      </c>
      <c r="E649" s="284">
        <f>Table6[[#This Row],[Date]]-DAY(Table6[[#This Row],[Date]])+1</f>
        <v>45778</v>
      </c>
      <c r="F649" s="285">
        <v>45799</v>
      </c>
      <c r="G649" s="79" t="s">
        <v>103</v>
      </c>
      <c r="H649" s="79" t="str">
        <f>IFERROR(_xlfn.XLOOKUP(Table6[[#This Row],[Affected Feeder ]],'Basic Data'!$A:$A,'Basic Data'!$B:$B),"")</f>
        <v>PWEPL</v>
      </c>
      <c r="I649" s="79" t="str">
        <f>IFERROR(_xlfn.XLOOKUP(Table6[[#This Row],[Affected Feeder ]],'Basic Data'!$A:$A,'Basic Data'!$C:$C),"")</f>
        <v>MSEDCL</v>
      </c>
      <c r="J649" s="295">
        <f>IFERROR(_xlfn.XLOOKUP(Table6[[#This Row],[Affected Feeder ]],'Basic Data'!$A:$A,'Basic Data'!$E:$E),"")</f>
        <v>2.2727272727272728E-2</v>
      </c>
      <c r="K649" s="296" t="s">
        <v>829</v>
      </c>
      <c r="L649" s="297">
        <v>0.4909722222222222</v>
      </c>
      <c r="M649" s="297">
        <v>0.4909722222222222</v>
      </c>
      <c r="N649" s="297">
        <v>0.5</v>
      </c>
      <c r="O649" s="19">
        <f>(Table6[[#This Row],[Work Start TimeStamp]]-Table6[[#This Row],[Fault Start TimeStamp]])*24</f>
        <v>0</v>
      </c>
      <c r="P649" s="19">
        <f>(Table6[[#This Row],[Fault Clearance time]]-Table6[[#This Row],[Fault Start TimeStamp]])*24</f>
        <v>0.21666666666666723</v>
      </c>
      <c r="Q649" s="19">
        <f>(Table6[[#This Row],[Fault Clearance time]]-Table6[[#This Row],[Fault Start TimeStamp]])*24</f>
        <v>0.21666666666666723</v>
      </c>
      <c r="R649" s="79" t="s">
        <v>818</v>
      </c>
      <c r="S649" s="79" t="s">
        <v>339</v>
      </c>
      <c r="T649" s="298">
        <f>IFERROR(Table6[[#This Row],[Breakdown Time]]*Table6[[#This Row],[Plant Equivalent Weightage]],"")</f>
        <v>4.9242424242424369E-3</v>
      </c>
      <c r="U649" s="79" t="s">
        <v>416</v>
      </c>
      <c r="W649" s="79">
        <v>69</v>
      </c>
    </row>
    <row r="650" spans="1:23">
      <c r="A650" s="79">
        <f t="shared" si="10"/>
        <v>649</v>
      </c>
      <c r="B650" s="79">
        <f>YEAR(Table6[[#This Row],[Date]])+IF(MONTH(Table6[[#This Row],[Date]])&gt;=4,1,0)</f>
        <v>2026</v>
      </c>
      <c r="C650" s="79">
        <f>YEAR(Table6[[#This Row],[Date]])</f>
        <v>2025</v>
      </c>
      <c r="D650" s="79" t="s">
        <v>344</v>
      </c>
      <c r="E650" s="284">
        <f>Table6[[#This Row],[Date]]-DAY(Table6[[#This Row],[Date]])+1</f>
        <v>45778</v>
      </c>
      <c r="F650" s="285">
        <v>45799</v>
      </c>
      <c r="G650" s="79" t="s">
        <v>103</v>
      </c>
      <c r="H650" s="79" t="str">
        <f>IFERROR(_xlfn.XLOOKUP(Table6[[#This Row],[Affected Feeder ]],'Basic Data'!$A:$A,'Basic Data'!$B:$B),"")</f>
        <v>PWEPL</v>
      </c>
      <c r="I650" s="79" t="str">
        <f>IFERROR(_xlfn.XLOOKUP(Table6[[#This Row],[Affected Feeder ]],'Basic Data'!$A:$A,'Basic Data'!$C:$C),"")</f>
        <v>MSEDCL</v>
      </c>
      <c r="J650" s="295">
        <f>IFERROR(_xlfn.XLOOKUP(Table6[[#This Row],[Affected Feeder ]],'Basic Data'!$A:$A,'Basic Data'!$E:$E),"")</f>
        <v>2.2727272727272728E-2</v>
      </c>
      <c r="K650" s="296" t="s">
        <v>171</v>
      </c>
      <c r="L650" s="297">
        <v>0.5</v>
      </c>
      <c r="M650" s="297">
        <v>0.5</v>
      </c>
      <c r="N650" s="297">
        <v>0.51388888888888895</v>
      </c>
      <c r="O650" s="19">
        <f>(Table6[[#This Row],[Work Start TimeStamp]]-Table6[[#This Row],[Fault Start TimeStamp]])*24</f>
        <v>0</v>
      </c>
      <c r="P650" s="19">
        <f>(Table6[[#This Row],[Fault Clearance time]]-Table6[[#This Row],[Fault Start TimeStamp]])*24</f>
        <v>0.33333333333333481</v>
      </c>
      <c r="Q650" s="19">
        <f>(Table6[[#This Row],[Fault Clearance time]]-Table6[[#This Row],[Fault Start TimeStamp]])*24</f>
        <v>0.33333333333333481</v>
      </c>
      <c r="R650" s="79" t="s">
        <v>353</v>
      </c>
      <c r="S650" s="79" t="s">
        <v>339</v>
      </c>
      <c r="T650" s="298">
        <f>IFERROR(Table6[[#This Row],[Breakdown Time]]*Table6[[#This Row],[Plant Equivalent Weightage]],"")</f>
        <v>7.5757575757576098E-3</v>
      </c>
      <c r="U650" s="79" t="s">
        <v>416</v>
      </c>
      <c r="W650" s="79">
        <v>94</v>
      </c>
    </row>
    <row r="651" spans="1:23">
      <c r="A651" s="79">
        <f t="shared" si="10"/>
        <v>650</v>
      </c>
      <c r="B651" s="79">
        <f>YEAR(Table6[[#This Row],[Date]])+IF(MONTH(Table6[[#This Row],[Date]])&gt;=4,1,0)</f>
        <v>2026</v>
      </c>
      <c r="C651" s="79">
        <f>YEAR(Table6[[#This Row],[Date]])</f>
        <v>2025</v>
      </c>
      <c r="D651" s="79" t="s">
        <v>344</v>
      </c>
      <c r="E651" s="284">
        <f>Table6[[#This Row],[Date]]-DAY(Table6[[#This Row],[Date]])+1</f>
        <v>45778</v>
      </c>
      <c r="F651" s="285">
        <v>45799</v>
      </c>
      <c r="G651" s="79" t="s">
        <v>105</v>
      </c>
      <c r="H651" s="79" t="str">
        <f>IFERROR(_xlfn.XLOOKUP(Table6[[#This Row],[Affected Feeder ]],'Basic Data'!$A:$A,'Basic Data'!$B:$B),"")</f>
        <v>PWEPL</v>
      </c>
      <c r="I651" s="79" t="str">
        <f>IFERROR(_xlfn.XLOOKUP(Table6[[#This Row],[Affected Feeder ]],'Basic Data'!$A:$A,'Basic Data'!$C:$C),"")</f>
        <v>MSEDCL</v>
      </c>
      <c r="J651" s="295">
        <f>IFERROR(_xlfn.XLOOKUP(Table6[[#This Row],[Affected Feeder ]],'Basic Data'!$A:$A,'Basic Data'!$E:$E),"")</f>
        <v>2.2727272727272728E-2</v>
      </c>
      <c r="K651" s="296" t="s">
        <v>830</v>
      </c>
      <c r="L651" s="297">
        <v>0.51458333333333328</v>
      </c>
      <c r="M651" s="297">
        <v>0.51458333333333328</v>
      </c>
      <c r="N651" s="297">
        <v>0.52152777777777781</v>
      </c>
      <c r="O651" s="19">
        <f>(Table6[[#This Row],[Work Start TimeStamp]]-Table6[[#This Row],[Fault Start TimeStamp]])*24</f>
        <v>0</v>
      </c>
      <c r="P651" s="19">
        <f>(Table6[[#This Row],[Fault Clearance time]]-Table6[[#This Row],[Fault Start TimeStamp]])*24</f>
        <v>0.16666666666666874</v>
      </c>
      <c r="Q651" s="19">
        <f>(Table6[[#This Row],[Fault Clearance time]]-Table6[[#This Row],[Fault Start TimeStamp]])*24</f>
        <v>0.16666666666666874</v>
      </c>
      <c r="R651" s="79" t="s">
        <v>818</v>
      </c>
      <c r="S651" s="79" t="s">
        <v>339</v>
      </c>
      <c r="T651" s="298">
        <f>IFERROR(Table6[[#This Row],[Breakdown Time]]*Table6[[#This Row],[Plant Equivalent Weightage]],"")</f>
        <v>3.7878787878788353E-3</v>
      </c>
      <c r="U651" s="79" t="s">
        <v>416</v>
      </c>
      <c r="W651" s="79">
        <v>6</v>
      </c>
    </row>
    <row r="652" spans="1:23">
      <c r="A652" s="79">
        <f t="shared" si="10"/>
        <v>651</v>
      </c>
      <c r="B652" s="79">
        <f>YEAR(Table6[[#This Row],[Date]])+IF(MONTH(Table6[[#This Row],[Date]])&gt;=4,1,0)</f>
        <v>2026</v>
      </c>
      <c r="C652" s="79">
        <f>YEAR(Table6[[#This Row],[Date]])</f>
        <v>2025</v>
      </c>
      <c r="D652" s="79" t="s">
        <v>344</v>
      </c>
      <c r="E652" s="284">
        <f>Table6[[#This Row],[Date]]-DAY(Table6[[#This Row],[Date]])+1</f>
        <v>45778</v>
      </c>
      <c r="F652" s="285">
        <v>45799</v>
      </c>
      <c r="G652" s="79" t="s">
        <v>105</v>
      </c>
      <c r="H652" s="79" t="str">
        <f>IFERROR(_xlfn.XLOOKUP(Table6[[#This Row],[Affected Feeder ]],'Basic Data'!$A:$A,'Basic Data'!$B:$B),"")</f>
        <v>PWEPL</v>
      </c>
      <c r="I652" s="79" t="str">
        <f>IFERROR(_xlfn.XLOOKUP(Table6[[#This Row],[Affected Feeder ]],'Basic Data'!$A:$A,'Basic Data'!$C:$C),"")</f>
        <v>MSEDCL</v>
      </c>
      <c r="J652" s="295">
        <f>IFERROR(_xlfn.XLOOKUP(Table6[[#This Row],[Affected Feeder ]],'Basic Data'!$A:$A,'Basic Data'!$E:$E),"")</f>
        <v>2.2727272727272728E-2</v>
      </c>
      <c r="K652" s="296" t="s">
        <v>171</v>
      </c>
      <c r="L652" s="297">
        <v>0.52152777777777781</v>
      </c>
      <c r="M652" s="297">
        <v>0.52152777777777781</v>
      </c>
      <c r="N652" s="297">
        <v>0.53541666666666665</v>
      </c>
      <c r="O652" s="19">
        <f>(Table6[[#This Row],[Work Start TimeStamp]]-Table6[[#This Row],[Fault Start TimeStamp]])*24</f>
        <v>0</v>
      </c>
      <c r="P652" s="19">
        <f>(Table6[[#This Row],[Fault Clearance time]]-Table6[[#This Row],[Fault Start TimeStamp]])*24</f>
        <v>0.33333333333333215</v>
      </c>
      <c r="Q652" s="19">
        <f>(Table6[[#This Row],[Fault Clearance time]]-Table6[[#This Row],[Fault Start TimeStamp]])*24</f>
        <v>0.33333333333333215</v>
      </c>
      <c r="R652" s="79" t="s">
        <v>353</v>
      </c>
      <c r="S652" s="79" t="s">
        <v>339</v>
      </c>
      <c r="T652" s="298">
        <f>IFERROR(Table6[[#This Row],[Breakdown Time]]*Table6[[#This Row],[Plant Equivalent Weightage]],"")</f>
        <v>7.5757575757575491E-3</v>
      </c>
      <c r="U652" s="79" t="s">
        <v>416</v>
      </c>
      <c r="W652" s="79">
        <v>47</v>
      </c>
    </row>
    <row r="653" spans="1:23">
      <c r="A653" s="79">
        <f t="shared" si="10"/>
        <v>652</v>
      </c>
      <c r="B653" s="79">
        <f>YEAR(Table6[[#This Row],[Date]])+IF(MONTH(Table6[[#This Row],[Date]])&gt;=4,1,0)</f>
        <v>2026</v>
      </c>
      <c r="C653" s="79">
        <f>YEAR(Table6[[#This Row],[Date]])</f>
        <v>2025</v>
      </c>
      <c r="D653" s="79" t="s">
        <v>344</v>
      </c>
      <c r="E653" s="284">
        <f>Table6[[#This Row],[Date]]-DAY(Table6[[#This Row],[Date]])+1</f>
        <v>45778</v>
      </c>
      <c r="F653" s="285">
        <v>45799</v>
      </c>
      <c r="G653" s="79" t="s">
        <v>98</v>
      </c>
      <c r="H653" s="79" t="str">
        <f>IFERROR(_xlfn.XLOOKUP(Table6[[#This Row],[Affected Feeder ]],'Basic Data'!$A:$A,'Basic Data'!$B:$B),"")</f>
        <v>PWEPL</v>
      </c>
      <c r="I653" s="79" t="str">
        <f>IFERROR(_xlfn.XLOOKUP(Table6[[#This Row],[Affected Feeder ]],'Basic Data'!$A:$A,'Basic Data'!$C:$C),"")</f>
        <v>MSEDCL</v>
      </c>
      <c r="J653" s="295">
        <f>IFERROR(_xlfn.XLOOKUP(Table6[[#This Row],[Affected Feeder ]],'Basic Data'!$A:$A,'Basic Data'!$E:$E),"")</f>
        <v>2.2727272727272728E-2</v>
      </c>
      <c r="K653" s="296" t="s">
        <v>827</v>
      </c>
      <c r="L653" s="297">
        <v>0.6430555555555556</v>
      </c>
      <c r="M653" s="297">
        <v>0.6430555555555556</v>
      </c>
      <c r="N653" s="297">
        <v>0.65972222222222221</v>
      </c>
      <c r="O653" s="19">
        <f>(Table6[[#This Row],[Work Start TimeStamp]]-Table6[[#This Row],[Fault Start TimeStamp]])*24</f>
        <v>0</v>
      </c>
      <c r="P653" s="19">
        <f>(Table6[[#This Row],[Fault Clearance time]]-Table6[[#This Row],[Fault Start TimeStamp]])*24</f>
        <v>0.39999999999999858</v>
      </c>
      <c r="Q653" s="19">
        <f>(Table6[[#This Row],[Fault Clearance time]]-Table6[[#This Row],[Fault Start TimeStamp]])*24</f>
        <v>0.39999999999999858</v>
      </c>
      <c r="R653" s="79" t="s">
        <v>818</v>
      </c>
      <c r="S653" s="79" t="s">
        <v>339</v>
      </c>
      <c r="T653" s="298">
        <f>IFERROR(Table6[[#This Row],[Breakdown Time]]*Table6[[#This Row],[Plant Equivalent Weightage]],"")</f>
        <v>9.0909090909090592E-3</v>
      </c>
      <c r="U653" s="79" t="s">
        <v>416</v>
      </c>
      <c r="W653" s="79">
        <v>152</v>
      </c>
    </row>
    <row r="654" spans="1:23">
      <c r="A654" s="79">
        <f t="shared" si="10"/>
        <v>653</v>
      </c>
      <c r="B654" s="79">
        <f>YEAR(Table6[[#This Row],[Date]])+IF(MONTH(Table6[[#This Row],[Date]])&gt;=4,1,0)</f>
        <v>2026</v>
      </c>
      <c r="C654" s="79">
        <f>YEAR(Table6[[#This Row],[Date]])</f>
        <v>2025</v>
      </c>
      <c r="D654" s="79" t="s">
        <v>344</v>
      </c>
      <c r="E654" s="284">
        <f>Table6[[#This Row],[Date]]-DAY(Table6[[#This Row],[Date]])+1</f>
        <v>45778</v>
      </c>
      <c r="F654" s="285">
        <v>45799</v>
      </c>
      <c r="G654" s="79" t="s">
        <v>98</v>
      </c>
      <c r="H654" s="79" t="str">
        <f>IFERROR(_xlfn.XLOOKUP(Table6[[#This Row],[Affected Feeder ]],'Basic Data'!$A:$A,'Basic Data'!$B:$B),"")</f>
        <v>PWEPL</v>
      </c>
      <c r="I654" s="79" t="str">
        <f>IFERROR(_xlfn.XLOOKUP(Table6[[#This Row],[Affected Feeder ]],'Basic Data'!$A:$A,'Basic Data'!$C:$C),"")</f>
        <v>MSEDCL</v>
      </c>
      <c r="J654" s="295">
        <f>IFERROR(_xlfn.XLOOKUP(Table6[[#This Row],[Affected Feeder ]],'Basic Data'!$A:$A,'Basic Data'!$E:$E),"")</f>
        <v>2.2727272727272728E-2</v>
      </c>
      <c r="K654" s="296" t="s">
        <v>171</v>
      </c>
      <c r="L654" s="297">
        <v>0.65972222222222221</v>
      </c>
      <c r="M654" s="297">
        <v>0.65972222222222221</v>
      </c>
      <c r="N654" s="297">
        <v>0.67361111111111116</v>
      </c>
      <c r="O654" s="19">
        <f>(Table6[[#This Row],[Work Start TimeStamp]]-Table6[[#This Row],[Fault Start TimeStamp]])*24</f>
        <v>0</v>
      </c>
      <c r="P654" s="19">
        <f>(Table6[[#This Row],[Fault Clearance time]]-Table6[[#This Row],[Fault Start TimeStamp]])*24</f>
        <v>0.33333333333333481</v>
      </c>
      <c r="Q654" s="19">
        <f>(Table6[[#This Row],[Fault Clearance time]]-Table6[[#This Row],[Fault Start TimeStamp]])*24</f>
        <v>0.33333333333333481</v>
      </c>
      <c r="R654" s="79" t="s">
        <v>353</v>
      </c>
      <c r="S654" s="79" t="s">
        <v>339</v>
      </c>
      <c r="T654" s="298">
        <f>IFERROR(Table6[[#This Row],[Breakdown Time]]*Table6[[#This Row],[Plant Equivalent Weightage]],"")</f>
        <v>7.5757575757576098E-3</v>
      </c>
      <c r="U654" s="79" t="s">
        <v>416</v>
      </c>
      <c r="W654" s="79">
        <v>21</v>
      </c>
    </row>
    <row r="655" spans="1:23">
      <c r="A655" s="79">
        <f t="shared" si="10"/>
        <v>654</v>
      </c>
      <c r="B655" s="79">
        <f>YEAR(Table6[[#This Row],[Date]])+IF(MONTH(Table6[[#This Row],[Date]])&gt;=4,1,0)</f>
        <v>2026</v>
      </c>
      <c r="C655" s="79">
        <f>YEAR(Table6[[#This Row],[Date]])</f>
        <v>2025</v>
      </c>
      <c r="D655" s="79" t="s">
        <v>344</v>
      </c>
      <c r="E655" s="284">
        <f>Table6[[#This Row],[Date]]-DAY(Table6[[#This Row],[Date]])+1</f>
        <v>45778</v>
      </c>
      <c r="F655" s="285">
        <v>45799</v>
      </c>
      <c r="G655" s="79" t="s">
        <v>100</v>
      </c>
      <c r="H655" s="79" t="str">
        <f>IFERROR(_xlfn.XLOOKUP(Table6[[#This Row],[Affected Feeder ]],'Basic Data'!$A:$A,'Basic Data'!$B:$B),"")</f>
        <v>PWEPL</v>
      </c>
      <c r="I655" s="79" t="str">
        <f>IFERROR(_xlfn.XLOOKUP(Table6[[#This Row],[Affected Feeder ]],'Basic Data'!$A:$A,'Basic Data'!$C:$C),"")</f>
        <v>MSEDCL</v>
      </c>
      <c r="J655" s="295">
        <f>IFERROR(_xlfn.XLOOKUP(Table6[[#This Row],[Affected Feeder ]],'Basic Data'!$A:$A,'Basic Data'!$E:$E),"")</f>
        <v>2.2727272727272728E-2</v>
      </c>
      <c r="K655" s="296" t="s">
        <v>830</v>
      </c>
      <c r="L655" s="297">
        <v>0.58124999999999993</v>
      </c>
      <c r="M655" s="297">
        <v>0.58124999999999993</v>
      </c>
      <c r="N655" s="297">
        <v>0.6020833333333333</v>
      </c>
      <c r="O655" s="19">
        <f>(Table6[[#This Row],[Work Start TimeStamp]]-Table6[[#This Row],[Fault Start TimeStamp]])*24</f>
        <v>0</v>
      </c>
      <c r="P655" s="19">
        <f>(Table6[[#This Row],[Fault Clearance time]]-Table6[[#This Row],[Fault Start TimeStamp]])*24</f>
        <v>0.50000000000000089</v>
      </c>
      <c r="Q655" s="19">
        <f>(Table6[[#This Row],[Fault Clearance time]]-Table6[[#This Row],[Fault Start TimeStamp]])*24</f>
        <v>0.50000000000000089</v>
      </c>
      <c r="R655" s="79" t="s">
        <v>818</v>
      </c>
      <c r="S655" s="79" t="s">
        <v>339</v>
      </c>
      <c r="T655" s="298">
        <f>IFERROR(Table6[[#This Row],[Breakdown Time]]*Table6[[#This Row],[Plant Equivalent Weightage]],"")</f>
        <v>1.1363636363636385E-2</v>
      </c>
      <c r="U655" s="79" t="s">
        <v>416</v>
      </c>
      <c r="W655" s="79">
        <v>369</v>
      </c>
    </row>
    <row r="656" spans="1:23">
      <c r="A656" s="79">
        <f t="shared" si="10"/>
        <v>655</v>
      </c>
      <c r="B656" s="79">
        <f>YEAR(Table6[[#This Row],[Date]])+IF(MONTH(Table6[[#This Row],[Date]])&gt;=4,1,0)</f>
        <v>2026</v>
      </c>
      <c r="C656" s="79">
        <f>YEAR(Table6[[#This Row],[Date]])</f>
        <v>2025</v>
      </c>
      <c r="D656" s="79" t="s">
        <v>344</v>
      </c>
      <c r="E656" s="284">
        <f>Table6[[#This Row],[Date]]-DAY(Table6[[#This Row],[Date]])+1</f>
        <v>45778</v>
      </c>
      <c r="F656" s="285">
        <v>45799</v>
      </c>
      <c r="G656" s="79" t="s">
        <v>100</v>
      </c>
      <c r="H656" s="79" t="str">
        <f>IFERROR(_xlfn.XLOOKUP(Table6[[#This Row],[Affected Feeder ]],'Basic Data'!$A:$A,'Basic Data'!$B:$B),"")</f>
        <v>PWEPL</v>
      </c>
      <c r="I656" s="79" t="str">
        <f>IFERROR(_xlfn.XLOOKUP(Table6[[#This Row],[Affected Feeder ]],'Basic Data'!$A:$A,'Basic Data'!$C:$C),"")</f>
        <v>MSEDCL</v>
      </c>
      <c r="J656" s="295">
        <f>IFERROR(_xlfn.XLOOKUP(Table6[[#This Row],[Affected Feeder ]],'Basic Data'!$A:$A,'Basic Data'!$E:$E),"")</f>
        <v>2.2727272727272728E-2</v>
      </c>
      <c r="K656" s="296" t="s">
        <v>171</v>
      </c>
      <c r="L656" s="297">
        <v>0.6020833333333333</v>
      </c>
      <c r="M656" s="297">
        <v>0.6020833333333333</v>
      </c>
      <c r="N656" s="297">
        <v>0.61597222222222225</v>
      </c>
      <c r="O656" s="19">
        <f>(Table6[[#This Row],[Work Start TimeStamp]]-Table6[[#This Row],[Fault Start TimeStamp]])*24</f>
        <v>0</v>
      </c>
      <c r="P656" s="19">
        <f>(Table6[[#This Row],[Fault Clearance time]]-Table6[[#This Row],[Fault Start TimeStamp]])*24</f>
        <v>0.33333333333333481</v>
      </c>
      <c r="Q656" s="19">
        <f>(Table6[[#This Row],[Fault Clearance time]]-Table6[[#This Row],[Fault Start TimeStamp]])*24</f>
        <v>0.33333333333333481</v>
      </c>
      <c r="R656" s="79" t="s">
        <v>353</v>
      </c>
      <c r="S656" s="79" t="s">
        <v>339</v>
      </c>
      <c r="T656" s="298">
        <f>IFERROR(Table6[[#This Row],[Breakdown Time]]*Table6[[#This Row],[Plant Equivalent Weightage]],"")</f>
        <v>7.5757575757576098E-3</v>
      </c>
      <c r="U656" s="79" t="s">
        <v>416</v>
      </c>
      <c r="W656" s="79">
        <v>60</v>
      </c>
    </row>
    <row r="657" spans="1:23">
      <c r="A657" s="79">
        <f t="shared" si="10"/>
        <v>656</v>
      </c>
      <c r="B657" s="79">
        <f>YEAR(Table6[[#This Row],[Date]])+IF(MONTH(Table6[[#This Row],[Date]])&gt;=4,1,0)</f>
        <v>2026</v>
      </c>
      <c r="C657" s="79">
        <f>YEAR(Table6[[#This Row],[Date]])</f>
        <v>2025</v>
      </c>
      <c r="D657" s="79" t="s">
        <v>344</v>
      </c>
      <c r="E657" s="284">
        <f>Table6[[#This Row],[Date]]-DAY(Table6[[#This Row],[Date]])+1</f>
        <v>45778</v>
      </c>
      <c r="F657" s="285">
        <v>45799</v>
      </c>
      <c r="G657" s="79" t="s">
        <v>406</v>
      </c>
      <c r="H657" s="79" t="str">
        <f>IFERROR(_xlfn.XLOOKUP(Table6[[#This Row],[Affected Feeder ]],'Basic Data'!$A:$A,'Basic Data'!$B:$B),"")</f>
        <v>PWEPL</v>
      </c>
      <c r="I657" s="79" t="str">
        <f>IFERROR(_xlfn.XLOOKUP(Table6[[#This Row],[Affected Feeder ]],'Basic Data'!$A:$A,'Basic Data'!$C:$C),"")</f>
        <v>MSEDCL</v>
      </c>
      <c r="J657" s="295">
        <f>IFERROR(_xlfn.XLOOKUP(Table6[[#This Row],[Affected Feeder ]],'Basic Data'!$A:$A,'Basic Data'!$E:$E),"")</f>
        <v>0.29545454545454541</v>
      </c>
      <c r="K657" s="296" t="s">
        <v>419</v>
      </c>
      <c r="L657" s="297">
        <v>0.91041666666666676</v>
      </c>
      <c r="M657" s="297">
        <v>0.91041666666666676</v>
      </c>
      <c r="N657" s="297">
        <v>0.9243055555555556</v>
      </c>
      <c r="O657" s="19">
        <f>(Table6[[#This Row],[Work Start TimeStamp]]-Table6[[#This Row],[Fault Start TimeStamp]])*24</f>
        <v>0</v>
      </c>
      <c r="P657" s="19">
        <f>(Table6[[#This Row],[Fault Clearance time]]-Table6[[#This Row],[Fault Start TimeStamp]])*24</f>
        <v>0.33333333333333215</v>
      </c>
      <c r="Q657" s="19">
        <f>(Table6[[#This Row],[Fault Clearance time]]-Table6[[#This Row],[Fault Start TimeStamp]])*24</f>
        <v>0.33333333333333215</v>
      </c>
      <c r="R657" s="79" t="s">
        <v>420</v>
      </c>
      <c r="S657" s="79" t="s">
        <v>339</v>
      </c>
      <c r="T657" s="298">
        <f>IFERROR(Table6[[#This Row],[Breakdown Time]]*Table6[[#This Row],[Plant Equivalent Weightage]],"")</f>
        <v>9.848484848484812E-2</v>
      </c>
      <c r="U657" s="79" t="s">
        <v>421</v>
      </c>
      <c r="W657" s="79">
        <v>938</v>
      </c>
    </row>
    <row r="658" spans="1:23">
      <c r="A658" s="79">
        <f t="shared" si="10"/>
        <v>657</v>
      </c>
      <c r="B658" s="79">
        <f>YEAR(Table6[[#This Row],[Date]])+IF(MONTH(Table6[[#This Row],[Date]])&gt;=4,1,0)</f>
        <v>2026</v>
      </c>
      <c r="C658" s="79">
        <f>YEAR(Table6[[#This Row],[Date]])</f>
        <v>2025</v>
      </c>
      <c r="D658" s="79" t="s">
        <v>344</v>
      </c>
      <c r="E658" s="284">
        <f>Table6[[#This Row],[Date]]-DAY(Table6[[#This Row],[Date]])+1</f>
        <v>45778</v>
      </c>
      <c r="F658" s="285">
        <v>45799</v>
      </c>
      <c r="G658" s="79" t="s">
        <v>76</v>
      </c>
      <c r="H658" s="79" t="str">
        <f>IFERROR(_xlfn.XLOOKUP(Table6[[#This Row],[Affected Feeder ]],'Basic Data'!$A:$A,'Basic Data'!$B:$B),"")</f>
        <v>PWEPL</v>
      </c>
      <c r="I658" s="79" t="str">
        <f>IFERROR(_xlfn.XLOOKUP(Table6[[#This Row],[Affected Feeder ]],'Basic Data'!$A:$A,'Basic Data'!$C:$C),"")</f>
        <v>MSEDCL</v>
      </c>
      <c r="J658" s="295">
        <f>IFERROR(_xlfn.XLOOKUP(Table6[[#This Row],[Affected Feeder ]],'Basic Data'!$A:$A,'Basic Data'!$E:$E),"")</f>
        <v>2.2727272727272728E-2</v>
      </c>
      <c r="K658" s="296" t="s">
        <v>171</v>
      </c>
      <c r="L658" s="297">
        <v>0.9243055555555556</v>
      </c>
      <c r="M658" s="297">
        <v>0.9243055555555556</v>
      </c>
      <c r="N658" s="297">
        <v>0.93819444444444444</v>
      </c>
      <c r="O658" s="19">
        <f>(Table6[[#This Row],[Work Start TimeStamp]]-Table6[[#This Row],[Fault Start TimeStamp]])*24</f>
        <v>0</v>
      </c>
      <c r="P658" s="19">
        <f>(Table6[[#This Row],[Fault Clearance time]]-Table6[[#This Row],[Fault Start TimeStamp]])*24</f>
        <v>0.33333333333333215</v>
      </c>
      <c r="Q658" s="19">
        <f>(Table6[[#This Row],[Fault Clearance time]]-Table6[[#This Row],[Fault Start TimeStamp]])*24</f>
        <v>0.33333333333333215</v>
      </c>
      <c r="R658" s="79" t="s">
        <v>353</v>
      </c>
      <c r="S658" s="79" t="s">
        <v>339</v>
      </c>
      <c r="T658" s="298">
        <f>IFERROR(Table6[[#This Row],[Breakdown Time]]*Table6[[#This Row],[Plant Equivalent Weightage]],"")</f>
        <v>7.5757575757575491E-3</v>
      </c>
      <c r="U658" s="79" t="s">
        <v>421</v>
      </c>
      <c r="W658" s="79">
        <v>72</v>
      </c>
    </row>
    <row r="659" spans="1:23">
      <c r="A659" s="79">
        <f t="shared" si="10"/>
        <v>658</v>
      </c>
      <c r="B659" s="79">
        <f>YEAR(Table6[[#This Row],[Date]])+IF(MONTH(Table6[[#This Row],[Date]])&gt;=4,1,0)</f>
        <v>2026</v>
      </c>
      <c r="C659" s="79">
        <f>YEAR(Table6[[#This Row],[Date]])</f>
        <v>2025</v>
      </c>
      <c r="D659" s="79" t="s">
        <v>344</v>
      </c>
      <c r="E659" s="284">
        <f>Table6[[#This Row],[Date]]-DAY(Table6[[#This Row],[Date]])+1</f>
        <v>45778</v>
      </c>
      <c r="F659" s="285">
        <v>45799</v>
      </c>
      <c r="G659" s="79" t="s">
        <v>77</v>
      </c>
      <c r="H659" s="79" t="str">
        <f>IFERROR(_xlfn.XLOOKUP(Table6[[#This Row],[Affected Feeder ]],'Basic Data'!$A:$A,'Basic Data'!$B:$B),"")</f>
        <v>PWEPL</v>
      </c>
      <c r="I659" s="79" t="str">
        <f>IFERROR(_xlfn.XLOOKUP(Table6[[#This Row],[Affected Feeder ]],'Basic Data'!$A:$A,'Basic Data'!$C:$C),"")</f>
        <v>MSEDCL</v>
      </c>
      <c r="J659" s="295">
        <f>IFERROR(_xlfn.XLOOKUP(Table6[[#This Row],[Affected Feeder ]],'Basic Data'!$A:$A,'Basic Data'!$E:$E),"")</f>
        <v>2.2727272727272728E-2</v>
      </c>
      <c r="K659" s="296" t="s">
        <v>171</v>
      </c>
      <c r="L659" s="297">
        <v>0.9243055555555556</v>
      </c>
      <c r="M659" s="297">
        <v>0.9243055555555556</v>
      </c>
      <c r="N659" s="297">
        <v>0.93819444444444444</v>
      </c>
      <c r="O659" s="19">
        <f>(Table6[[#This Row],[Work Start TimeStamp]]-Table6[[#This Row],[Fault Start TimeStamp]])*24</f>
        <v>0</v>
      </c>
      <c r="P659" s="19">
        <f>(Table6[[#This Row],[Fault Clearance time]]-Table6[[#This Row],[Fault Start TimeStamp]])*24</f>
        <v>0.33333333333333215</v>
      </c>
      <c r="Q659" s="19">
        <f>(Table6[[#This Row],[Fault Clearance time]]-Table6[[#This Row],[Fault Start TimeStamp]])*24</f>
        <v>0.33333333333333215</v>
      </c>
      <c r="R659" s="79" t="s">
        <v>353</v>
      </c>
      <c r="S659" s="79" t="s">
        <v>339</v>
      </c>
      <c r="T659" s="298">
        <f>IFERROR(Table6[[#This Row],[Breakdown Time]]*Table6[[#This Row],[Plant Equivalent Weightage]],"")</f>
        <v>7.5757575757575491E-3</v>
      </c>
      <c r="U659" s="79" t="s">
        <v>421</v>
      </c>
      <c r="W659" s="79">
        <v>72</v>
      </c>
    </row>
    <row r="660" spans="1:23">
      <c r="A660" s="79">
        <f t="shared" si="10"/>
        <v>659</v>
      </c>
      <c r="B660" s="79">
        <f>YEAR(Table6[[#This Row],[Date]])+IF(MONTH(Table6[[#This Row],[Date]])&gt;=4,1,0)</f>
        <v>2026</v>
      </c>
      <c r="C660" s="79">
        <f>YEAR(Table6[[#This Row],[Date]])</f>
        <v>2025</v>
      </c>
      <c r="D660" s="79" t="s">
        <v>344</v>
      </c>
      <c r="E660" s="284">
        <f>Table6[[#This Row],[Date]]-DAY(Table6[[#This Row],[Date]])+1</f>
        <v>45778</v>
      </c>
      <c r="F660" s="285">
        <v>45799</v>
      </c>
      <c r="G660" s="79" t="s">
        <v>78</v>
      </c>
      <c r="H660" s="79" t="str">
        <f>IFERROR(_xlfn.XLOOKUP(Table6[[#This Row],[Affected Feeder ]],'Basic Data'!$A:$A,'Basic Data'!$B:$B),"")</f>
        <v>PWEPL</v>
      </c>
      <c r="I660" s="79" t="str">
        <f>IFERROR(_xlfn.XLOOKUP(Table6[[#This Row],[Affected Feeder ]],'Basic Data'!$A:$A,'Basic Data'!$C:$C),"")</f>
        <v>MSEDCL</v>
      </c>
      <c r="J660" s="295">
        <f>IFERROR(_xlfn.XLOOKUP(Table6[[#This Row],[Affected Feeder ]],'Basic Data'!$A:$A,'Basic Data'!$E:$E),"")</f>
        <v>2.2727272727272728E-2</v>
      </c>
      <c r="K660" s="296" t="s">
        <v>171</v>
      </c>
      <c r="L660" s="297">
        <v>0.9243055555555556</v>
      </c>
      <c r="M660" s="297">
        <v>0.9243055555555556</v>
      </c>
      <c r="N660" s="297">
        <v>0.93819444444444444</v>
      </c>
      <c r="O660" s="19">
        <f>(Table6[[#This Row],[Work Start TimeStamp]]-Table6[[#This Row],[Fault Start TimeStamp]])*24</f>
        <v>0</v>
      </c>
      <c r="P660" s="19">
        <f>(Table6[[#This Row],[Fault Clearance time]]-Table6[[#This Row],[Fault Start TimeStamp]])*24</f>
        <v>0.33333333333333215</v>
      </c>
      <c r="Q660" s="19">
        <f>(Table6[[#This Row],[Fault Clearance time]]-Table6[[#This Row],[Fault Start TimeStamp]])*24</f>
        <v>0.33333333333333215</v>
      </c>
      <c r="R660" s="79" t="s">
        <v>353</v>
      </c>
      <c r="S660" s="79" t="s">
        <v>339</v>
      </c>
      <c r="T660" s="298">
        <f>IFERROR(Table6[[#This Row],[Breakdown Time]]*Table6[[#This Row],[Plant Equivalent Weightage]],"")</f>
        <v>7.5757575757575491E-3</v>
      </c>
      <c r="U660" s="79" t="s">
        <v>421</v>
      </c>
      <c r="W660" s="79">
        <v>72</v>
      </c>
    </row>
    <row r="661" spans="1:23">
      <c r="A661" s="79">
        <f t="shared" si="10"/>
        <v>660</v>
      </c>
      <c r="B661" s="79">
        <f>YEAR(Table6[[#This Row],[Date]])+IF(MONTH(Table6[[#This Row],[Date]])&gt;=4,1,0)</f>
        <v>2026</v>
      </c>
      <c r="C661" s="79">
        <f>YEAR(Table6[[#This Row],[Date]])</f>
        <v>2025</v>
      </c>
      <c r="D661" s="79" t="s">
        <v>344</v>
      </c>
      <c r="E661" s="284">
        <f>Table6[[#This Row],[Date]]-DAY(Table6[[#This Row],[Date]])+1</f>
        <v>45778</v>
      </c>
      <c r="F661" s="285">
        <v>45799</v>
      </c>
      <c r="G661" s="79" t="s">
        <v>82</v>
      </c>
      <c r="H661" s="79" t="str">
        <f>IFERROR(_xlfn.XLOOKUP(Table6[[#This Row],[Affected Feeder ]],'Basic Data'!$A:$A,'Basic Data'!$B:$B),"")</f>
        <v>PWEPL</v>
      </c>
      <c r="I661" s="79" t="str">
        <f>IFERROR(_xlfn.XLOOKUP(Table6[[#This Row],[Affected Feeder ]],'Basic Data'!$A:$A,'Basic Data'!$C:$C),"")</f>
        <v>MSEDCL</v>
      </c>
      <c r="J661" s="295">
        <f>IFERROR(_xlfn.XLOOKUP(Table6[[#This Row],[Affected Feeder ]],'Basic Data'!$A:$A,'Basic Data'!$E:$E),"")</f>
        <v>2.2727272727272728E-2</v>
      </c>
      <c r="K661" s="296" t="s">
        <v>171</v>
      </c>
      <c r="L661" s="297">
        <v>0.9243055555555556</v>
      </c>
      <c r="M661" s="297">
        <v>0.9243055555555556</v>
      </c>
      <c r="N661" s="297">
        <v>0.93819444444444444</v>
      </c>
      <c r="O661" s="19">
        <f>(Table6[[#This Row],[Work Start TimeStamp]]-Table6[[#This Row],[Fault Start TimeStamp]])*24</f>
        <v>0</v>
      </c>
      <c r="P661" s="19">
        <f>(Table6[[#This Row],[Fault Clearance time]]-Table6[[#This Row],[Fault Start TimeStamp]])*24</f>
        <v>0.33333333333333215</v>
      </c>
      <c r="Q661" s="19">
        <f>(Table6[[#This Row],[Fault Clearance time]]-Table6[[#This Row],[Fault Start TimeStamp]])*24</f>
        <v>0.33333333333333215</v>
      </c>
      <c r="R661" s="79" t="s">
        <v>353</v>
      </c>
      <c r="S661" s="79" t="s">
        <v>339</v>
      </c>
      <c r="T661" s="298">
        <f>IFERROR(Table6[[#This Row],[Breakdown Time]]*Table6[[#This Row],[Plant Equivalent Weightage]],"")</f>
        <v>7.5757575757575491E-3</v>
      </c>
      <c r="U661" s="79" t="s">
        <v>421</v>
      </c>
      <c r="W661" s="79">
        <v>72</v>
      </c>
    </row>
    <row r="662" spans="1:23">
      <c r="A662" s="79">
        <f t="shared" si="10"/>
        <v>661</v>
      </c>
      <c r="B662" s="79">
        <f>YEAR(Table6[[#This Row],[Date]])+IF(MONTH(Table6[[#This Row],[Date]])&gt;=4,1,0)</f>
        <v>2026</v>
      </c>
      <c r="C662" s="79">
        <f>YEAR(Table6[[#This Row],[Date]])</f>
        <v>2025</v>
      </c>
      <c r="D662" s="79" t="s">
        <v>344</v>
      </c>
      <c r="E662" s="284">
        <f>Table6[[#This Row],[Date]]-DAY(Table6[[#This Row],[Date]])+1</f>
        <v>45778</v>
      </c>
      <c r="F662" s="285">
        <v>45799</v>
      </c>
      <c r="G662" s="79" t="s">
        <v>93</v>
      </c>
      <c r="H662" s="79" t="str">
        <f>IFERROR(_xlfn.XLOOKUP(Table6[[#This Row],[Affected Feeder ]],'Basic Data'!$A:$A,'Basic Data'!$B:$B),"")</f>
        <v>PWEPL</v>
      </c>
      <c r="I662" s="79" t="str">
        <f>IFERROR(_xlfn.XLOOKUP(Table6[[#This Row],[Affected Feeder ]],'Basic Data'!$A:$A,'Basic Data'!$C:$C),"")</f>
        <v>MSEDCL</v>
      </c>
      <c r="J662" s="295">
        <f>IFERROR(_xlfn.XLOOKUP(Table6[[#This Row],[Affected Feeder ]],'Basic Data'!$A:$A,'Basic Data'!$E:$E),"")</f>
        <v>2.2727272727272728E-2</v>
      </c>
      <c r="K662" s="296" t="s">
        <v>171</v>
      </c>
      <c r="L662" s="297">
        <v>0.9243055555555556</v>
      </c>
      <c r="M662" s="297">
        <v>0.9243055555555556</v>
      </c>
      <c r="N662" s="297">
        <v>0.93819444444444444</v>
      </c>
      <c r="O662" s="19">
        <f>(Table6[[#This Row],[Work Start TimeStamp]]-Table6[[#This Row],[Fault Start TimeStamp]])*24</f>
        <v>0</v>
      </c>
      <c r="P662" s="19">
        <f>(Table6[[#This Row],[Fault Clearance time]]-Table6[[#This Row],[Fault Start TimeStamp]])*24</f>
        <v>0.33333333333333215</v>
      </c>
      <c r="Q662" s="19">
        <f>(Table6[[#This Row],[Fault Clearance time]]-Table6[[#This Row],[Fault Start TimeStamp]])*24</f>
        <v>0.33333333333333215</v>
      </c>
      <c r="R662" s="79" t="s">
        <v>353</v>
      </c>
      <c r="S662" s="79" t="s">
        <v>339</v>
      </c>
      <c r="T662" s="298">
        <f>IFERROR(Table6[[#This Row],[Breakdown Time]]*Table6[[#This Row],[Plant Equivalent Weightage]],"")</f>
        <v>7.5757575757575491E-3</v>
      </c>
      <c r="U662" s="79" t="s">
        <v>421</v>
      </c>
      <c r="W662" s="79">
        <v>72</v>
      </c>
    </row>
    <row r="663" spans="1:23">
      <c r="A663" s="79">
        <f t="shared" si="10"/>
        <v>662</v>
      </c>
      <c r="B663" s="79">
        <f>YEAR(Table6[[#This Row],[Date]])+IF(MONTH(Table6[[#This Row],[Date]])&gt;=4,1,0)</f>
        <v>2026</v>
      </c>
      <c r="C663" s="79">
        <f>YEAR(Table6[[#This Row],[Date]])</f>
        <v>2025</v>
      </c>
      <c r="D663" s="79" t="s">
        <v>344</v>
      </c>
      <c r="E663" s="284">
        <f>Table6[[#This Row],[Date]]-DAY(Table6[[#This Row],[Date]])+1</f>
        <v>45778</v>
      </c>
      <c r="F663" s="285">
        <v>45799</v>
      </c>
      <c r="G663" s="79" t="s">
        <v>102</v>
      </c>
      <c r="H663" s="79" t="str">
        <f>IFERROR(_xlfn.XLOOKUP(Table6[[#This Row],[Affected Feeder ]],'Basic Data'!$A:$A,'Basic Data'!$B:$B),"")</f>
        <v>PWEPL</v>
      </c>
      <c r="I663" s="79" t="str">
        <f>IFERROR(_xlfn.XLOOKUP(Table6[[#This Row],[Affected Feeder ]],'Basic Data'!$A:$A,'Basic Data'!$C:$C),"")</f>
        <v>MSEDCL</v>
      </c>
      <c r="J663" s="295">
        <f>IFERROR(_xlfn.XLOOKUP(Table6[[#This Row],[Affected Feeder ]],'Basic Data'!$A:$A,'Basic Data'!$E:$E),"")</f>
        <v>2.2727272727272728E-2</v>
      </c>
      <c r="K663" s="296" t="s">
        <v>171</v>
      </c>
      <c r="L663" s="297">
        <v>0.9243055555555556</v>
      </c>
      <c r="M663" s="297">
        <v>0.9243055555555556</v>
      </c>
      <c r="N663" s="297">
        <v>0.93819444444444444</v>
      </c>
      <c r="O663" s="19">
        <f>(Table6[[#This Row],[Work Start TimeStamp]]-Table6[[#This Row],[Fault Start TimeStamp]])*24</f>
        <v>0</v>
      </c>
      <c r="P663" s="19">
        <f>(Table6[[#This Row],[Fault Clearance time]]-Table6[[#This Row],[Fault Start TimeStamp]])*24</f>
        <v>0.33333333333333215</v>
      </c>
      <c r="Q663" s="19">
        <f>(Table6[[#This Row],[Fault Clearance time]]-Table6[[#This Row],[Fault Start TimeStamp]])*24</f>
        <v>0.33333333333333215</v>
      </c>
      <c r="R663" s="79" t="s">
        <v>353</v>
      </c>
      <c r="S663" s="79" t="s">
        <v>339</v>
      </c>
      <c r="T663" s="298">
        <f>IFERROR(Table6[[#This Row],[Breakdown Time]]*Table6[[#This Row],[Plant Equivalent Weightage]],"")</f>
        <v>7.5757575757575491E-3</v>
      </c>
      <c r="U663" s="79" t="s">
        <v>421</v>
      </c>
      <c r="W663" s="79">
        <v>72</v>
      </c>
    </row>
    <row r="664" spans="1:23">
      <c r="A664" s="79">
        <f t="shared" si="10"/>
        <v>663</v>
      </c>
      <c r="B664" s="79">
        <f>YEAR(Table6[[#This Row],[Date]])+IF(MONTH(Table6[[#This Row],[Date]])&gt;=4,1,0)</f>
        <v>2026</v>
      </c>
      <c r="C664" s="79">
        <f>YEAR(Table6[[#This Row],[Date]])</f>
        <v>2025</v>
      </c>
      <c r="D664" s="79" t="s">
        <v>344</v>
      </c>
      <c r="E664" s="284">
        <f>Table6[[#This Row],[Date]]-DAY(Table6[[#This Row],[Date]])+1</f>
        <v>45778</v>
      </c>
      <c r="F664" s="285">
        <v>45799</v>
      </c>
      <c r="G664" s="79" t="s">
        <v>119</v>
      </c>
      <c r="H664" s="79" t="str">
        <f>IFERROR(_xlfn.XLOOKUP(Table6[[#This Row],[Affected Feeder ]],'Basic Data'!$A:$A,'Basic Data'!$B:$B),"")</f>
        <v>PWEPL</v>
      </c>
      <c r="I664" s="79" t="str">
        <f>IFERROR(_xlfn.XLOOKUP(Table6[[#This Row],[Affected Feeder ]],'Basic Data'!$A:$A,'Basic Data'!$C:$C),"")</f>
        <v>MSEDCL</v>
      </c>
      <c r="J664" s="295">
        <f>IFERROR(_xlfn.XLOOKUP(Table6[[#This Row],[Affected Feeder ]],'Basic Data'!$A:$A,'Basic Data'!$E:$E),"")</f>
        <v>2.2727272727272728E-2</v>
      </c>
      <c r="K664" s="296" t="s">
        <v>171</v>
      </c>
      <c r="L664" s="297">
        <v>0.9243055555555556</v>
      </c>
      <c r="M664" s="297">
        <v>0.9243055555555556</v>
      </c>
      <c r="N664" s="297">
        <v>0.93819444444444444</v>
      </c>
      <c r="O664" s="19">
        <f>(Table6[[#This Row],[Work Start TimeStamp]]-Table6[[#This Row],[Fault Start TimeStamp]])*24</f>
        <v>0</v>
      </c>
      <c r="P664" s="19">
        <f>(Table6[[#This Row],[Fault Clearance time]]-Table6[[#This Row],[Fault Start TimeStamp]])*24</f>
        <v>0.33333333333333215</v>
      </c>
      <c r="Q664" s="19">
        <f>(Table6[[#This Row],[Fault Clearance time]]-Table6[[#This Row],[Fault Start TimeStamp]])*24</f>
        <v>0.33333333333333215</v>
      </c>
      <c r="R664" s="79" t="s">
        <v>353</v>
      </c>
      <c r="S664" s="79" t="s">
        <v>339</v>
      </c>
      <c r="T664" s="298">
        <f>IFERROR(Table6[[#This Row],[Breakdown Time]]*Table6[[#This Row],[Plant Equivalent Weightage]],"")</f>
        <v>7.5757575757575491E-3</v>
      </c>
      <c r="U664" s="79" t="s">
        <v>421</v>
      </c>
      <c r="W664" s="79">
        <v>72</v>
      </c>
    </row>
    <row r="665" spans="1:23">
      <c r="A665" s="79">
        <f t="shared" si="10"/>
        <v>664</v>
      </c>
      <c r="B665" s="79">
        <f>YEAR(Table6[[#This Row],[Date]])+IF(MONTH(Table6[[#This Row],[Date]])&gt;=4,1,0)</f>
        <v>2026</v>
      </c>
      <c r="C665" s="79">
        <f>YEAR(Table6[[#This Row],[Date]])</f>
        <v>2025</v>
      </c>
      <c r="D665" s="79" t="s">
        <v>344</v>
      </c>
      <c r="E665" s="284">
        <f>Table6[[#This Row],[Date]]-DAY(Table6[[#This Row],[Date]])+1</f>
        <v>45778</v>
      </c>
      <c r="F665" s="285">
        <v>45799</v>
      </c>
      <c r="G665" s="79" t="s">
        <v>103</v>
      </c>
      <c r="H665" s="79" t="str">
        <f>IFERROR(_xlfn.XLOOKUP(Table6[[#This Row],[Affected Feeder ]],'Basic Data'!$A:$A,'Basic Data'!$B:$B),"")</f>
        <v>PWEPL</v>
      </c>
      <c r="I665" s="79" t="str">
        <f>IFERROR(_xlfn.XLOOKUP(Table6[[#This Row],[Affected Feeder ]],'Basic Data'!$A:$A,'Basic Data'!$C:$C),"")</f>
        <v>MSEDCL</v>
      </c>
      <c r="J665" s="295">
        <f>IFERROR(_xlfn.XLOOKUP(Table6[[#This Row],[Affected Feeder ]],'Basic Data'!$A:$A,'Basic Data'!$E:$E),"")</f>
        <v>2.2727272727272728E-2</v>
      </c>
      <c r="K665" s="296" t="s">
        <v>171</v>
      </c>
      <c r="L665" s="297">
        <v>0.9243055555555556</v>
      </c>
      <c r="M665" s="297">
        <v>0.9243055555555556</v>
      </c>
      <c r="N665" s="297">
        <v>0.93819444444444444</v>
      </c>
      <c r="O665" s="19">
        <f>(Table6[[#This Row],[Work Start TimeStamp]]-Table6[[#This Row],[Fault Start TimeStamp]])*24</f>
        <v>0</v>
      </c>
      <c r="P665" s="19">
        <f>(Table6[[#This Row],[Fault Clearance time]]-Table6[[#This Row],[Fault Start TimeStamp]])*24</f>
        <v>0.33333333333333215</v>
      </c>
      <c r="Q665" s="19">
        <f>(Table6[[#This Row],[Fault Clearance time]]-Table6[[#This Row],[Fault Start TimeStamp]])*24</f>
        <v>0.33333333333333215</v>
      </c>
      <c r="R665" s="79" t="s">
        <v>353</v>
      </c>
      <c r="S665" s="79" t="s">
        <v>339</v>
      </c>
      <c r="T665" s="298">
        <f>IFERROR(Table6[[#This Row],[Breakdown Time]]*Table6[[#This Row],[Plant Equivalent Weightage]],"")</f>
        <v>7.5757575757575491E-3</v>
      </c>
      <c r="U665" s="79" t="s">
        <v>421</v>
      </c>
      <c r="W665" s="79">
        <v>72</v>
      </c>
    </row>
    <row r="666" spans="1:23">
      <c r="A666" s="79">
        <f t="shared" si="10"/>
        <v>665</v>
      </c>
      <c r="B666" s="79">
        <f>YEAR(Table6[[#This Row],[Date]])+IF(MONTH(Table6[[#This Row],[Date]])&gt;=4,1,0)</f>
        <v>2026</v>
      </c>
      <c r="C666" s="79">
        <f>YEAR(Table6[[#This Row],[Date]])</f>
        <v>2025</v>
      </c>
      <c r="D666" s="79" t="s">
        <v>344</v>
      </c>
      <c r="E666" s="284">
        <f>Table6[[#This Row],[Date]]-DAY(Table6[[#This Row],[Date]])+1</f>
        <v>45778</v>
      </c>
      <c r="F666" s="285">
        <v>45799</v>
      </c>
      <c r="G666" s="79" t="s">
        <v>105</v>
      </c>
      <c r="H666" s="79" t="str">
        <f>IFERROR(_xlfn.XLOOKUP(Table6[[#This Row],[Affected Feeder ]],'Basic Data'!$A:$A,'Basic Data'!$B:$B),"")</f>
        <v>PWEPL</v>
      </c>
      <c r="I666" s="79" t="str">
        <f>IFERROR(_xlfn.XLOOKUP(Table6[[#This Row],[Affected Feeder ]],'Basic Data'!$A:$A,'Basic Data'!$C:$C),"")</f>
        <v>MSEDCL</v>
      </c>
      <c r="J666" s="295">
        <f>IFERROR(_xlfn.XLOOKUP(Table6[[#This Row],[Affected Feeder ]],'Basic Data'!$A:$A,'Basic Data'!$E:$E),"")</f>
        <v>2.2727272727272728E-2</v>
      </c>
      <c r="K666" s="296" t="s">
        <v>171</v>
      </c>
      <c r="L666" s="297">
        <v>0.9243055555555556</v>
      </c>
      <c r="M666" s="297">
        <v>0.9243055555555556</v>
      </c>
      <c r="N666" s="297">
        <v>0.93819444444444444</v>
      </c>
      <c r="O666" s="19">
        <f>(Table6[[#This Row],[Work Start TimeStamp]]-Table6[[#This Row],[Fault Start TimeStamp]])*24</f>
        <v>0</v>
      </c>
      <c r="P666" s="19">
        <f>(Table6[[#This Row],[Fault Clearance time]]-Table6[[#This Row],[Fault Start TimeStamp]])*24</f>
        <v>0.33333333333333215</v>
      </c>
      <c r="Q666" s="19">
        <f>(Table6[[#This Row],[Fault Clearance time]]-Table6[[#This Row],[Fault Start TimeStamp]])*24</f>
        <v>0.33333333333333215</v>
      </c>
      <c r="R666" s="79" t="s">
        <v>353</v>
      </c>
      <c r="S666" s="79" t="s">
        <v>339</v>
      </c>
      <c r="T666" s="298">
        <f>IFERROR(Table6[[#This Row],[Breakdown Time]]*Table6[[#This Row],[Plant Equivalent Weightage]],"")</f>
        <v>7.5757575757575491E-3</v>
      </c>
      <c r="U666" s="79" t="s">
        <v>421</v>
      </c>
      <c r="W666" s="79">
        <v>72</v>
      </c>
    </row>
    <row r="667" spans="1:23">
      <c r="A667" s="79">
        <f t="shared" si="10"/>
        <v>666</v>
      </c>
      <c r="B667" s="79">
        <f>YEAR(Table6[[#This Row],[Date]])+IF(MONTH(Table6[[#This Row],[Date]])&gt;=4,1,0)</f>
        <v>2026</v>
      </c>
      <c r="C667" s="79">
        <f>YEAR(Table6[[#This Row],[Date]])</f>
        <v>2025</v>
      </c>
      <c r="D667" s="79" t="s">
        <v>344</v>
      </c>
      <c r="E667" s="284">
        <f>Table6[[#This Row],[Date]]-DAY(Table6[[#This Row],[Date]])+1</f>
        <v>45778</v>
      </c>
      <c r="F667" s="285">
        <v>45799</v>
      </c>
      <c r="G667" s="79" t="s">
        <v>115</v>
      </c>
      <c r="H667" s="79" t="str">
        <f>IFERROR(_xlfn.XLOOKUP(Table6[[#This Row],[Affected Feeder ]],'Basic Data'!$A:$A,'Basic Data'!$B:$B),"")</f>
        <v>PWEPL</v>
      </c>
      <c r="I667" s="79" t="str">
        <f>IFERROR(_xlfn.XLOOKUP(Table6[[#This Row],[Affected Feeder ]],'Basic Data'!$A:$A,'Basic Data'!$C:$C),"")</f>
        <v>MSEDCL</v>
      </c>
      <c r="J667" s="295">
        <f>IFERROR(_xlfn.XLOOKUP(Table6[[#This Row],[Affected Feeder ]],'Basic Data'!$A:$A,'Basic Data'!$E:$E),"")</f>
        <v>2.2727272727272728E-2</v>
      </c>
      <c r="K667" s="296" t="s">
        <v>171</v>
      </c>
      <c r="L667" s="297">
        <v>0.9243055555555556</v>
      </c>
      <c r="M667" s="297">
        <v>0.9243055555555556</v>
      </c>
      <c r="N667" s="297">
        <v>0.93819444444444444</v>
      </c>
      <c r="O667" s="19">
        <f>(Table6[[#This Row],[Work Start TimeStamp]]-Table6[[#This Row],[Fault Start TimeStamp]])*24</f>
        <v>0</v>
      </c>
      <c r="P667" s="19">
        <f>(Table6[[#This Row],[Fault Clearance time]]-Table6[[#This Row],[Fault Start TimeStamp]])*24</f>
        <v>0.33333333333333215</v>
      </c>
      <c r="Q667" s="19">
        <f>(Table6[[#This Row],[Fault Clearance time]]-Table6[[#This Row],[Fault Start TimeStamp]])*24</f>
        <v>0.33333333333333215</v>
      </c>
      <c r="R667" s="79" t="s">
        <v>353</v>
      </c>
      <c r="S667" s="79" t="s">
        <v>339</v>
      </c>
      <c r="T667" s="298">
        <f>IFERROR(Table6[[#This Row],[Breakdown Time]]*Table6[[#This Row],[Plant Equivalent Weightage]],"")</f>
        <v>7.5757575757575491E-3</v>
      </c>
      <c r="U667" s="79" t="s">
        <v>421</v>
      </c>
      <c r="W667" s="79">
        <v>72</v>
      </c>
    </row>
    <row r="668" spans="1:23">
      <c r="A668" s="79">
        <f t="shared" si="10"/>
        <v>667</v>
      </c>
      <c r="B668" s="79">
        <f>YEAR(Table6[[#This Row],[Date]])+IF(MONTH(Table6[[#This Row],[Date]])&gt;=4,1,0)</f>
        <v>2026</v>
      </c>
      <c r="C668" s="79">
        <f>YEAR(Table6[[#This Row],[Date]])</f>
        <v>2025</v>
      </c>
      <c r="D668" s="79" t="s">
        <v>344</v>
      </c>
      <c r="E668" s="284">
        <f>Table6[[#This Row],[Date]]-DAY(Table6[[#This Row],[Date]])+1</f>
        <v>45778</v>
      </c>
      <c r="F668" s="285">
        <v>45799</v>
      </c>
      <c r="G668" s="79" t="s">
        <v>116</v>
      </c>
      <c r="H668" s="79" t="str">
        <f>IFERROR(_xlfn.XLOOKUP(Table6[[#This Row],[Affected Feeder ]],'Basic Data'!$A:$A,'Basic Data'!$B:$B),"")</f>
        <v>PWEPL</v>
      </c>
      <c r="I668" s="79" t="str">
        <f>IFERROR(_xlfn.XLOOKUP(Table6[[#This Row],[Affected Feeder ]],'Basic Data'!$A:$A,'Basic Data'!$C:$C),"")</f>
        <v>MSEDCL</v>
      </c>
      <c r="J668" s="295">
        <f>IFERROR(_xlfn.XLOOKUP(Table6[[#This Row],[Affected Feeder ]],'Basic Data'!$A:$A,'Basic Data'!$E:$E),"")</f>
        <v>2.2727272727272728E-2</v>
      </c>
      <c r="K668" s="296" t="s">
        <v>171</v>
      </c>
      <c r="L668" s="297">
        <v>0.9243055555555556</v>
      </c>
      <c r="M668" s="297">
        <v>0.9243055555555556</v>
      </c>
      <c r="N668" s="297">
        <v>0.93819444444444444</v>
      </c>
      <c r="O668" s="19">
        <f>(Table6[[#This Row],[Work Start TimeStamp]]-Table6[[#This Row],[Fault Start TimeStamp]])*24</f>
        <v>0</v>
      </c>
      <c r="P668" s="19">
        <f>(Table6[[#This Row],[Fault Clearance time]]-Table6[[#This Row],[Fault Start TimeStamp]])*24</f>
        <v>0.33333333333333215</v>
      </c>
      <c r="Q668" s="19">
        <f>(Table6[[#This Row],[Fault Clearance time]]-Table6[[#This Row],[Fault Start TimeStamp]])*24</f>
        <v>0.33333333333333215</v>
      </c>
      <c r="R668" s="79" t="s">
        <v>353</v>
      </c>
      <c r="S668" s="79" t="s">
        <v>339</v>
      </c>
      <c r="T668" s="298">
        <f>IFERROR(Table6[[#This Row],[Breakdown Time]]*Table6[[#This Row],[Plant Equivalent Weightage]],"")</f>
        <v>7.5757575757575491E-3</v>
      </c>
      <c r="U668" s="79" t="s">
        <v>421</v>
      </c>
      <c r="W668" s="79">
        <v>72</v>
      </c>
    </row>
    <row r="669" spans="1:23">
      <c r="A669" s="79">
        <f t="shared" si="10"/>
        <v>668</v>
      </c>
      <c r="B669" s="79">
        <f>YEAR(Table6[[#This Row],[Date]])+IF(MONTH(Table6[[#This Row],[Date]])&gt;=4,1,0)</f>
        <v>2026</v>
      </c>
      <c r="C669" s="79">
        <f>YEAR(Table6[[#This Row],[Date]])</f>
        <v>2025</v>
      </c>
      <c r="D669" s="79" t="s">
        <v>344</v>
      </c>
      <c r="E669" s="284">
        <f>Table6[[#This Row],[Date]]-DAY(Table6[[#This Row],[Date]])+1</f>
        <v>45778</v>
      </c>
      <c r="F669" s="285">
        <v>45799</v>
      </c>
      <c r="G669" s="79" t="s">
        <v>117</v>
      </c>
      <c r="H669" s="79" t="str">
        <f>IFERROR(_xlfn.XLOOKUP(Table6[[#This Row],[Affected Feeder ]],'Basic Data'!$A:$A,'Basic Data'!$B:$B),"")</f>
        <v>PWEPL</v>
      </c>
      <c r="I669" s="79" t="str">
        <f>IFERROR(_xlfn.XLOOKUP(Table6[[#This Row],[Affected Feeder ]],'Basic Data'!$A:$A,'Basic Data'!$C:$C),"")</f>
        <v>MSEDCL</v>
      </c>
      <c r="J669" s="295">
        <f>IFERROR(_xlfn.XLOOKUP(Table6[[#This Row],[Affected Feeder ]],'Basic Data'!$A:$A,'Basic Data'!$E:$E),"")</f>
        <v>2.2727272727272728E-2</v>
      </c>
      <c r="K669" s="296" t="s">
        <v>171</v>
      </c>
      <c r="L669" s="297">
        <v>0.9243055555555556</v>
      </c>
      <c r="M669" s="297">
        <v>0.9243055555555556</v>
      </c>
      <c r="N669" s="297">
        <v>0.93819444444444444</v>
      </c>
      <c r="O669" s="19">
        <f>(Table6[[#This Row],[Work Start TimeStamp]]-Table6[[#This Row],[Fault Start TimeStamp]])*24</f>
        <v>0</v>
      </c>
      <c r="P669" s="19">
        <f>(Table6[[#This Row],[Fault Clearance time]]-Table6[[#This Row],[Fault Start TimeStamp]])*24</f>
        <v>0.33333333333333215</v>
      </c>
      <c r="Q669" s="19">
        <f>(Table6[[#This Row],[Fault Clearance time]]-Table6[[#This Row],[Fault Start TimeStamp]])*24</f>
        <v>0.33333333333333215</v>
      </c>
      <c r="R669" s="79" t="s">
        <v>353</v>
      </c>
      <c r="S669" s="79" t="s">
        <v>339</v>
      </c>
      <c r="T669" s="298">
        <f>IFERROR(Table6[[#This Row],[Breakdown Time]]*Table6[[#This Row],[Plant Equivalent Weightage]],"")</f>
        <v>7.5757575757575491E-3</v>
      </c>
      <c r="U669" s="79" t="s">
        <v>421</v>
      </c>
      <c r="W669" s="79">
        <v>72</v>
      </c>
    </row>
    <row r="670" spans="1:23">
      <c r="A670" s="79">
        <f t="shared" si="10"/>
        <v>669</v>
      </c>
      <c r="B670" s="79">
        <f>YEAR(Table6[[#This Row],[Date]])+IF(MONTH(Table6[[#This Row],[Date]])&gt;=4,1,0)</f>
        <v>2026</v>
      </c>
      <c r="C670" s="79">
        <f>YEAR(Table6[[#This Row],[Date]])</f>
        <v>2025</v>
      </c>
      <c r="D670" s="79" t="s">
        <v>344</v>
      </c>
      <c r="E670" s="284">
        <f>Table6[[#This Row],[Date]]-DAY(Table6[[#This Row],[Date]])+1</f>
        <v>45778</v>
      </c>
      <c r="F670" s="285">
        <v>45799</v>
      </c>
      <c r="G670" s="79" t="s">
        <v>118</v>
      </c>
      <c r="H670" s="79" t="str">
        <f>IFERROR(_xlfn.XLOOKUP(Table6[[#This Row],[Affected Feeder ]],'Basic Data'!$A:$A,'Basic Data'!$B:$B),"")</f>
        <v>PWEPL</v>
      </c>
      <c r="I670" s="79" t="str">
        <f>IFERROR(_xlfn.XLOOKUP(Table6[[#This Row],[Affected Feeder ]],'Basic Data'!$A:$A,'Basic Data'!$C:$C),"")</f>
        <v>MSEDCL</v>
      </c>
      <c r="J670" s="295">
        <f>IFERROR(_xlfn.XLOOKUP(Table6[[#This Row],[Affected Feeder ]],'Basic Data'!$A:$A,'Basic Data'!$E:$E),"")</f>
        <v>2.2727272727272728E-2</v>
      </c>
      <c r="K670" s="296" t="s">
        <v>171</v>
      </c>
      <c r="L670" s="297">
        <v>0.9243055555555556</v>
      </c>
      <c r="M670" s="297">
        <v>0.9243055555555556</v>
      </c>
      <c r="N670" s="297">
        <v>0.93819444444444444</v>
      </c>
      <c r="O670" s="19">
        <f>(Table6[[#This Row],[Work Start TimeStamp]]-Table6[[#This Row],[Fault Start TimeStamp]])*24</f>
        <v>0</v>
      </c>
      <c r="P670" s="19">
        <f>(Table6[[#This Row],[Fault Clearance time]]-Table6[[#This Row],[Fault Start TimeStamp]])*24</f>
        <v>0.33333333333333215</v>
      </c>
      <c r="Q670" s="19">
        <f>(Table6[[#This Row],[Fault Clearance time]]-Table6[[#This Row],[Fault Start TimeStamp]])*24</f>
        <v>0.33333333333333215</v>
      </c>
      <c r="R670" s="79" t="s">
        <v>353</v>
      </c>
      <c r="S670" s="79" t="s">
        <v>339</v>
      </c>
      <c r="T670" s="298">
        <f>IFERROR(Table6[[#This Row],[Breakdown Time]]*Table6[[#This Row],[Plant Equivalent Weightage]],"")</f>
        <v>7.5757575757575491E-3</v>
      </c>
      <c r="U670" s="79" t="s">
        <v>421</v>
      </c>
      <c r="W670" s="79">
        <v>72</v>
      </c>
    </row>
    <row r="671" spans="1:23">
      <c r="A671" s="79">
        <f t="shared" si="10"/>
        <v>670</v>
      </c>
      <c r="B671" s="79">
        <f>YEAR(Table6[[#This Row],[Date]])+IF(MONTH(Table6[[#This Row],[Date]])&gt;=4,1,0)</f>
        <v>2026</v>
      </c>
      <c r="C671" s="79">
        <f>YEAR(Table6[[#This Row],[Date]])</f>
        <v>2025</v>
      </c>
      <c r="D671" s="79" t="s">
        <v>344</v>
      </c>
      <c r="E671" s="284">
        <f>Table6[[#This Row],[Date]]-DAY(Table6[[#This Row],[Date]])+1</f>
        <v>45778</v>
      </c>
      <c r="F671" s="285">
        <v>45800</v>
      </c>
      <c r="G671" s="79" t="s">
        <v>406</v>
      </c>
      <c r="H671" s="79" t="str">
        <f>IFERROR(_xlfn.XLOOKUP(Table6[[#This Row],[Affected Feeder ]],'Basic Data'!$A:$A,'Basic Data'!$B:$B),"")</f>
        <v>PWEPL</v>
      </c>
      <c r="I671" s="79" t="str">
        <f>IFERROR(_xlfn.XLOOKUP(Table6[[#This Row],[Affected Feeder ]],'Basic Data'!$A:$A,'Basic Data'!$C:$C),"")</f>
        <v>MSEDCL</v>
      </c>
      <c r="J671" s="295">
        <f>IFERROR(_xlfn.XLOOKUP(Table6[[#This Row],[Affected Feeder ]],'Basic Data'!$A:$A,'Basic Data'!$E:$E),"")</f>
        <v>0.29545454545454541</v>
      </c>
      <c r="K671" s="296" t="s">
        <v>419</v>
      </c>
      <c r="L671" s="297">
        <v>5.8333333333333327E-2</v>
      </c>
      <c r="M671" s="297">
        <v>5.8333333333333327E-2</v>
      </c>
      <c r="N671" s="297">
        <v>7.2222222222222229E-2</v>
      </c>
      <c r="O671" s="19">
        <f>(Table6[[#This Row],[Work Start TimeStamp]]-Table6[[#This Row],[Fault Start TimeStamp]])*24</f>
        <v>0</v>
      </c>
      <c r="P671" s="19">
        <f>(Table6[[#This Row],[Fault Clearance time]]-Table6[[#This Row],[Fault Start TimeStamp]])*24</f>
        <v>0.33333333333333365</v>
      </c>
      <c r="Q671" s="19">
        <f>(Table6[[#This Row],[Fault Clearance time]]-Table6[[#This Row],[Fault Start TimeStamp]])*24</f>
        <v>0.33333333333333365</v>
      </c>
      <c r="R671" s="79" t="s">
        <v>420</v>
      </c>
      <c r="S671" s="79" t="s">
        <v>339</v>
      </c>
      <c r="T671" s="298">
        <f>IFERROR(Table6[[#This Row],[Breakdown Time]]*Table6[[#This Row],[Plant Equivalent Weightage]],"")</f>
        <v>9.8484848484848564E-2</v>
      </c>
      <c r="U671" s="79" t="s">
        <v>421</v>
      </c>
      <c r="W671" s="79">
        <v>1248</v>
      </c>
    </row>
    <row r="672" spans="1:23">
      <c r="A672" s="79">
        <f t="shared" si="10"/>
        <v>671</v>
      </c>
      <c r="B672" s="79">
        <f>YEAR(Table6[[#This Row],[Date]])+IF(MONTH(Table6[[#This Row],[Date]])&gt;=4,1,0)</f>
        <v>2026</v>
      </c>
      <c r="C672" s="79">
        <f>YEAR(Table6[[#This Row],[Date]])</f>
        <v>2025</v>
      </c>
      <c r="D672" s="79" t="s">
        <v>344</v>
      </c>
      <c r="E672" s="284">
        <f>Table6[[#This Row],[Date]]-DAY(Table6[[#This Row],[Date]])+1</f>
        <v>45778</v>
      </c>
      <c r="F672" s="285">
        <v>45800</v>
      </c>
      <c r="G672" s="79" t="s">
        <v>76</v>
      </c>
      <c r="H672" s="79" t="str">
        <f>IFERROR(_xlfn.XLOOKUP(Table6[[#This Row],[Affected Feeder ]],'Basic Data'!$A:$A,'Basic Data'!$B:$B),"")</f>
        <v>PWEPL</v>
      </c>
      <c r="I672" s="79" t="str">
        <f>IFERROR(_xlfn.XLOOKUP(Table6[[#This Row],[Affected Feeder ]],'Basic Data'!$A:$A,'Basic Data'!$C:$C),"")</f>
        <v>MSEDCL</v>
      </c>
      <c r="J672" s="295">
        <f>IFERROR(_xlfn.XLOOKUP(Table6[[#This Row],[Affected Feeder ]],'Basic Data'!$A:$A,'Basic Data'!$E:$E),"")</f>
        <v>2.2727272727272728E-2</v>
      </c>
      <c r="K672" s="296" t="s">
        <v>171</v>
      </c>
      <c r="L672" s="297">
        <v>7.2222222222222229E-2</v>
      </c>
      <c r="M672" s="297">
        <v>7.2222222222222229E-2</v>
      </c>
      <c r="N672" s="297">
        <v>7.7777777777777779E-2</v>
      </c>
      <c r="O672" s="19">
        <f>(Table6[[#This Row],[Work Start TimeStamp]]-Table6[[#This Row],[Fault Start TimeStamp]])*24</f>
        <v>0</v>
      </c>
      <c r="P672" s="19">
        <f>(Table6[[#This Row],[Fault Clearance time]]-Table6[[#This Row],[Fault Start TimeStamp]])*24</f>
        <v>0.13333333333333319</v>
      </c>
      <c r="Q672" s="19">
        <f>(Table6[[#This Row],[Fault Clearance time]]-Table6[[#This Row],[Fault Start TimeStamp]])*24</f>
        <v>0.13333333333333319</v>
      </c>
      <c r="R672" s="79" t="s">
        <v>353</v>
      </c>
      <c r="S672" s="79" t="s">
        <v>339</v>
      </c>
      <c r="T672" s="298">
        <f>IFERROR(Table6[[#This Row],[Breakdown Time]]*Table6[[#This Row],[Plant Equivalent Weightage]],"")</f>
        <v>3.0303030303030273E-3</v>
      </c>
      <c r="U672" s="79" t="s">
        <v>421</v>
      </c>
      <c r="W672" s="79">
        <v>96</v>
      </c>
    </row>
    <row r="673" spans="1:23">
      <c r="A673" s="79">
        <f t="shared" si="10"/>
        <v>672</v>
      </c>
      <c r="B673" s="79">
        <f>YEAR(Table6[[#This Row],[Date]])+IF(MONTH(Table6[[#This Row],[Date]])&gt;=4,1,0)</f>
        <v>2026</v>
      </c>
      <c r="C673" s="79">
        <f>YEAR(Table6[[#This Row],[Date]])</f>
        <v>2025</v>
      </c>
      <c r="D673" s="79" t="s">
        <v>344</v>
      </c>
      <c r="E673" s="284">
        <f>Table6[[#This Row],[Date]]-DAY(Table6[[#This Row],[Date]])+1</f>
        <v>45778</v>
      </c>
      <c r="F673" s="285">
        <v>45800</v>
      </c>
      <c r="G673" s="79" t="s">
        <v>77</v>
      </c>
      <c r="H673" s="79" t="str">
        <f>IFERROR(_xlfn.XLOOKUP(Table6[[#This Row],[Affected Feeder ]],'Basic Data'!$A:$A,'Basic Data'!$B:$B),"")</f>
        <v>PWEPL</v>
      </c>
      <c r="I673" s="79" t="str">
        <f>IFERROR(_xlfn.XLOOKUP(Table6[[#This Row],[Affected Feeder ]],'Basic Data'!$A:$A,'Basic Data'!$C:$C),"")</f>
        <v>MSEDCL</v>
      </c>
      <c r="J673" s="295">
        <f>IFERROR(_xlfn.XLOOKUP(Table6[[#This Row],[Affected Feeder ]],'Basic Data'!$A:$A,'Basic Data'!$E:$E),"")</f>
        <v>2.2727272727272728E-2</v>
      </c>
      <c r="K673" s="296" t="s">
        <v>171</v>
      </c>
      <c r="L673" s="297">
        <v>7.2222222222222229E-2</v>
      </c>
      <c r="M673" s="297">
        <v>7.2222222222222229E-2</v>
      </c>
      <c r="N673" s="297">
        <v>7.7777777777777779E-2</v>
      </c>
      <c r="O673" s="19">
        <f>(Table6[[#This Row],[Work Start TimeStamp]]-Table6[[#This Row],[Fault Start TimeStamp]])*24</f>
        <v>0</v>
      </c>
      <c r="P673" s="19">
        <f>(Table6[[#This Row],[Fault Clearance time]]-Table6[[#This Row],[Fault Start TimeStamp]])*24</f>
        <v>0.13333333333333319</v>
      </c>
      <c r="Q673" s="19">
        <f>(Table6[[#This Row],[Fault Clearance time]]-Table6[[#This Row],[Fault Start TimeStamp]])*24</f>
        <v>0.13333333333333319</v>
      </c>
      <c r="R673" s="79" t="s">
        <v>353</v>
      </c>
      <c r="S673" s="79" t="s">
        <v>339</v>
      </c>
      <c r="T673" s="298">
        <f>IFERROR(Table6[[#This Row],[Breakdown Time]]*Table6[[#This Row],[Plant Equivalent Weightage]],"")</f>
        <v>3.0303030303030273E-3</v>
      </c>
      <c r="U673" s="79" t="s">
        <v>421</v>
      </c>
      <c r="W673" s="79">
        <v>96</v>
      </c>
    </row>
    <row r="674" spans="1:23">
      <c r="A674" s="79">
        <f t="shared" si="10"/>
        <v>673</v>
      </c>
      <c r="B674" s="79">
        <f>YEAR(Table6[[#This Row],[Date]])+IF(MONTH(Table6[[#This Row],[Date]])&gt;=4,1,0)</f>
        <v>2026</v>
      </c>
      <c r="C674" s="79">
        <f>YEAR(Table6[[#This Row],[Date]])</f>
        <v>2025</v>
      </c>
      <c r="D674" s="79" t="s">
        <v>344</v>
      </c>
      <c r="E674" s="284">
        <f>Table6[[#This Row],[Date]]-DAY(Table6[[#This Row],[Date]])+1</f>
        <v>45778</v>
      </c>
      <c r="F674" s="285">
        <v>45800</v>
      </c>
      <c r="G674" s="79" t="s">
        <v>78</v>
      </c>
      <c r="H674" s="79" t="str">
        <f>IFERROR(_xlfn.XLOOKUP(Table6[[#This Row],[Affected Feeder ]],'Basic Data'!$A:$A,'Basic Data'!$B:$B),"")</f>
        <v>PWEPL</v>
      </c>
      <c r="I674" s="79" t="str">
        <f>IFERROR(_xlfn.XLOOKUP(Table6[[#This Row],[Affected Feeder ]],'Basic Data'!$A:$A,'Basic Data'!$C:$C),"")</f>
        <v>MSEDCL</v>
      </c>
      <c r="J674" s="295">
        <f>IFERROR(_xlfn.XLOOKUP(Table6[[#This Row],[Affected Feeder ]],'Basic Data'!$A:$A,'Basic Data'!$E:$E),"")</f>
        <v>2.2727272727272728E-2</v>
      </c>
      <c r="K674" s="296" t="s">
        <v>171</v>
      </c>
      <c r="L674" s="297">
        <v>7.2222222222222229E-2</v>
      </c>
      <c r="M674" s="297">
        <v>7.2222222222222229E-2</v>
      </c>
      <c r="N674" s="297">
        <v>7.7777777777777779E-2</v>
      </c>
      <c r="O674" s="19">
        <f>(Table6[[#This Row],[Work Start TimeStamp]]-Table6[[#This Row],[Fault Start TimeStamp]])*24</f>
        <v>0</v>
      </c>
      <c r="P674" s="19">
        <f>(Table6[[#This Row],[Fault Clearance time]]-Table6[[#This Row],[Fault Start TimeStamp]])*24</f>
        <v>0.13333333333333319</v>
      </c>
      <c r="Q674" s="19">
        <f>(Table6[[#This Row],[Fault Clearance time]]-Table6[[#This Row],[Fault Start TimeStamp]])*24</f>
        <v>0.13333333333333319</v>
      </c>
      <c r="R674" s="79" t="s">
        <v>353</v>
      </c>
      <c r="S674" s="79" t="s">
        <v>339</v>
      </c>
      <c r="T674" s="298">
        <f>IFERROR(Table6[[#This Row],[Breakdown Time]]*Table6[[#This Row],[Plant Equivalent Weightage]],"")</f>
        <v>3.0303030303030273E-3</v>
      </c>
      <c r="U674" s="79" t="s">
        <v>421</v>
      </c>
      <c r="W674" s="79">
        <v>96</v>
      </c>
    </row>
    <row r="675" spans="1:23">
      <c r="A675" s="79">
        <f t="shared" si="10"/>
        <v>674</v>
      </c>
      <c r="B675" s="79">
        <f>YEAR(Table6[[#This Row],[Date]])+IF(MONTH(Table6[[#This Row],[Date]])&gt;=4,1,0)</f>
        <v>2026</v>
      </c>
      <c r="C675" s="79">
        <f>YEAR(Table6[[#This Row],[Date]])</f>
        <v>2025</v>
      </c>
      <c r="D675" s="79" t="s">
        <v>344</v>
      </c>
      <c r="E675" s="284">
        <f>Table6[[#This Row],[Date]]-DAY(Table6[[#This Row],[Date]])+1</f>
        <v>45778</v>
      </c>
      <c r="F675" s="285">
        <v>45800</v>
      </c>
      <c r="G675" s="79" t="s">
        <v>82</v>
      </c>
      <c r="H675" s="79" t="str">
        <f>IFERROR(_xlfn.XLOOKUP(Table6[[#This Row],[Affected Feeder ]],'Basic Data'!$A:$A,'Basic Data'!$B:$B),"")</f>
        <v>PWEPL</v>
      </c>
      <c r="I675" s="79" t="str">
        <f>IFERROR(_xlfn.XLOOKUP(Table6[[#This Row],[Affected Feeder ]],'Basic Data'!$A:$A,'Basic Data'!$C:$C),"")</f>
        <v>MSEDCL</v>
      </c>
      <c r="J675" s="295">
        <f>IFERROR(_xlfn.XLOOKUP(Table6[[#This Row],[Affected Feeder ]],'Basic Data'!$A:$A,'Basic Data'!$E:$E),"")</f>
        <v>2.2727272727272728E-2</v>
      </c>
      <c r="K675" s="296" t="s">
        <v>171</v>
      </c>
      <c r="L675" s="297">
        <v>7.2222222222222229E-2</v>
      </c>
      <c r="M675" s="297">
        <v>7.2222222222222229E-2</v>
      </c>
      <c r="N675" s="297">
        <v>7.7777777777777779E-2</v>
      </c>
      <c r="O675" s="19">
        <f>(Table6[[#This Row],[Work Start TimeStamp]]-Table6[[#This Row],[Fault Start TimeStamp]])*24</f>
        <v>0</v>
      </c>
      <c r="P675" s="19">
        <f>(Table6[[#This Row],[Fault Clearance time]]-Table6[[#This Row],[Fault Start TimeStamp]])*24</f>
        <v>0.13333333333333319</v>
      </c>
      <c r="Q675" s="19">
        <f>(Table6[[#This Row],[Fault Clearance time]]-Table6[[#This Row],[Fault Start TimeStamp]])*24</f>
        <v>0.13333333333333319</v>
      </c>
      <c r="R675" s="79" t="s">
        <v>353</v>
      </c>
      <c r="S675" s="79" t="s">
        <v>339</v>
      </c>
      <c r="T675" s="298">
        <f>IFERROR(Table6[[#This Row],[Breakdown Time]]*Table6[[#This Row],[Plant Equivalent Weightage]],"")</f>
        <v>3.0303030303030273E-3</v>
      </c>
      <c r="U675" s="79" t="s">
        <v>421</v>
      </c>
      <c r="W675" s="79">
        <v>96</v>
      </c>
    </row>
    <row r="676" spans="1:23">
      <c r="A676" s="79">
        <f t="shared" si="10"/>
        <v>675</v>
      </c>
      <c r="B676" s="79">
        <f>YEAR(Table6[[#This Row],[Date]])+IF(MONTH(Table6[[#This Row],[Date]])&gt;=4,1,0)</f>
        <v>2026</v>
      </c>
      <c r="C676" s="79">
        <f>YEAR(Table6[[#This Row],[Date]])</f>
        <v>2025</v>
      </c>
      <c r="D676" s="79" t="s">
        <v>344</v>
      </c>
      <c r="E676" s="284">
        <f>Table6[[#This Row],[Date]]-DAY(Table6[[#This Row],[Date]])+1</f>
        <v>45778</v>
      </c>
      <c r="F676" s="285">
        <v>45800</v>
      </c>
      <c r="G676" s="79" t="s">
        <v>93</v>
      </c>
      <c r="H676" s="79" t="str">
        <f>IFERROR(_xlfn.XLOOKUP(Table6[[#This Row],[Affected Feeder ]],'Basic Data'!$A:$A,'Basic Data'!$B:$B),"")</f>
        <v>PWEPL</v>
      </c>
      <c r="I676" s="79" t="str">
        <f>IFERROR(_xlfn.XLOOKUP(Table6[[#This Row],[Affected Feeder ]],'Basic Data'!$A:$A,'Basic Data'!$C:$C),"")</f>
        <v>MSEDCL</v>
      </c>
      <c r="J676" s="295">
        <f>IFERROR(_xlfn.XLOOKUP(Table6[[#This Row],[Affected Feeder ]],'Basic Data'!$A:$A,'Basic Data'!$E:$E),"")</f>
        <v>2.2727272727272728E-2</v>
      </c>
      <c r="K676" s="296" t="s">
        <v>171</v>
      </c>
      <c r="L676" s="297">
        <v>7.2222222222222229E-2</v>
      </c>
      <c r="M676" s="297">
        <v>7.2222222222222229E-2</v>
      </c>
      <c r="N676" s="297">
        <v>7.7777777777777779E-2</v>
      </c>
      <c r="O676" s="19">
        <f>(Table6[[#This Row],[Work Start TimeStamp]]-Table6[[#This Row],[Fault Start TimeStamp]])*24</f>
        <v>0</v>
      </c>
      <c r="P676" s="19">
        <f>(Table6[[#This Row],[Fault Clearance time]]-Table6[[#This Row],[Fault Start TimeStamp]])*24</f>
        <v>0.13333333333333319</v>
      </c>
      <c r="Q676" s="19">
        <f>(Table6[[#This Row],[Fault Clearance time]]-Table6[[#This Row],[Fault Start TimeStamp]])*24</f>
        <v>0.13333333333333319</v>
      </c>
      <c r="R676" s="79" t="s">
        <v>353</v>
      </c>
      <c r="S676" s="79" t="s">
        <v>339</v>
      </c>
      <c r="T676" s="298">
        <f>IFERROR(Table6[[#This Row],[Breakdown Time]]*Table6[[#This Row],[Plant Equivalent Weightage]],"")</f>
        <v>3.0303030303030273E-3</v>
      </c>
      <c r="U676" s="79" t="s">
        <v>421</v>
      </c>
      <c r="W676" s="79">
        <v>96</v>
      </c>
    </row>
    <row r="677" spans="1:23">
      <c r="A677" s="79">
        <f t="shared" si="10"/>
        <v>676</v>
      </c>
      <c r="B677" s="79">
        <f>YEAR(Table6[[#This Row],[Date]])+IF(MONTH(Table6[[#This Row],[Date]])&gt;=4,1,0)</f>
        <v>2026</v>
      </c>
      <c r="C677" s="79">
        <f>YEAR(Table6[[#This Row],[Date]])</f>
        <v>2025</v>
      </c>
      <c r="D677" s="79" t="s">
        <v>344</v>
      </c>
      <c r="E677" s="284">
        <f>Table6[[#This Row],[Date]]-DAY(Table6[[#This Row],[Date]])+1</f>
        <v>45778</v>
      </c>
      <c r="F677" s="285">
        <v>45800</v>
      </c>
      <c r="G677" s="79" t="s">
        <v>102</v>
      </c>
      <c r="H677" s="79" t="str">
        <f>IFERROR(_xlfn.XLOOKUP(Table6[[#This Row],[Affected Feeder ]],'Basic Data'!$A:$A,'Basic Data'!$B:$B),"")</f>
        <v>PWEPL</v>
      </c>
      <c r="I677" s="79" t="str">
        <f>IFERROR(_xlfn.XLOOKUP(Table6[[#This Row],[Affected Feeder ]],'Basic Data'!$A:$A,'Basic Data'!$C:$C),"")</f>
        <v>MSEDCL</v>
      </c>
      <c r="J677" s="295">
        <f>IFERROR(_xlfn.XLOOKUP(Table6[[#This Row],[Affected Feeder ]],'Basic Data'!$A:$A,'Basic Data'!$E:$E),"")</f>
        <v>2.2727272727272728E-2</v>
      </c>
      <c r="K677" s="296" t="s">
        <v>171</v>
      </c>
      <c r="L677" s="297">
        <v>7.2222222222222229E-2</v>
      </c>
      <c r="M677" s="297">
        <v>7.2222222222222229E-2</v>
      </c>
      <c r="N677" s="297">
        <v>7.7777777777777779E-2</v>
      </c>
      <c r="O677" s="19">
        <f>(Table6[[#This Row],[Work Start TimeStamp]]-Table6[[#This Row],[Fault Start TimeStamp]])*24</f>
        <v>0</v>
      </c>
      <c r="P677" s="19">
        <f>(Table6[[#This Row],[Fault Clearance time]]-Table6[[#This Row],[Fault Start TimeStamp]])*24</f>
        <v>0.13333333333333319</v>
      </c>
      <c r="Q677" s="19">
        <f>(Table6[[#This Row],[Fault Clearance time]]-Table6[[#This Row],[Fault Start TimeStamp]])*24</f>
        <v>0.13333333333333319</v>
      </c>
      <c r="R677" s="79" t="s">
        <v>353</v>
      </c>
      <c r="S677" s="79" t="s">
        <v>339</v>
      </c>
      <c r="T677" s="298">
        <f>IFERROR(Table6[[#This Row],[Breakdown Time]]*Table6[[#This Row],[Plant Equivalent Weightage]],"")</f>
        <v>3.0303030303030273E-3</v>
      </c>
      <c r="U677" s="79" t="s">
        <v>421</v>
      </c>
      <c r="W677" s="79">
        <v>96</v>
      </c>
    </row>
    <row r="678" spans="1:23">
      <c r="A678" s="79">
        <f t="shared" si="10"/>
        <v>677</v>
      </c>
      <c r="B678" s="79">
        <f>YEAR(Table6[[#This Row],[Date]])+IF(MONTH(Table6[[#This Row],[Date]])&gt;=4,1,0)</f>
        <v>2026</v>
      </c>
      <c r="C678" s="79">
        <f>YEAR(Table6[[#This Row],[Date]])</f>
        <v>2025</v>
      </c>
      <c r="D678" s="79" t="s">
        <v>344</v>
      </c>
      <c r="E678" s="284">
        <f>Table6[[#This Row],[Date]]-DAY(Table6[[#This Row],[Date]])+1</f>
        <v>45778</v>
      </c>
      <c r="F678" s="285">
        <v>45800</v>
      </c>
      <c r="G678" s="79" t="s">
        <v>119</v>
      </c>
      <c r="H678" s="79" t="str">
        <f>IFERROR(_xlfn.XLOOKUP(Table6[[#This Row],[Affected Feeder ]],'Basic Data'!$A:$A,'Basic Data'!$B:$B),"")</f>
        <v>PWEPL</v>
      </c>
      <c r="I678" s="79" t="str">
        <f>IFERROR(_xlfn.XLOOKUP(Table6[[#This Row],[Affected Feeder ]],'Basic Data'!$A:$A,'Basic Data'!$C:$C),"")</f>
        <v>MSEDCL</v>
      </c>
      <c r="J678" s="295">
        <f>IFERROR(_xlfn.XLOOKUP(Table6[[#This Row],[Affected Feeder ]],'Basic Data'!$A:$A,'Basic Data'!$E:$E),"")</f>
        <v>2.2727272727272728E-2</v>
      </c>
      <c r="K678" s="296" t="s">
        <v>171</v>
      </c>
      <c r="L678" s="297">
        <v>7.2222222222222229E-2</v>
      </c>
      <c r="M678" s="297">
        <v>7.2222222222222229E-2</v>
      </c>
      <c r="N678" s="297">
        <v>7.7777777777777779E-2</v>
      </c>
      <c r="O678" s="19">
        <f>(Table6[[#This Row],[Work Start TimeStamp]]-Table6[[#This Row],[Fault Start TimeStamp]])*24</f>
        <v>0</v>
      </c>
      <c r="P678" s="19">
        <f>(Table6[[#This Row],[Fault Clearance time]]-Table6[[#This Row],[Fault Start TimeStamp]])*24</f>
        <v>0.13333333333333319</v>
      </c>
      <c r="Q678" s="19">
        <f>(Table6[[#This Row],[Fault Clearance time]]-Table6[[#This Row],[Fault Start TimeStamp]])*24</f>
        <v>0.13333333333333319</v>
      </c>
      <c r="R678" s="79" t="s">
        <v>353</v>
      </c>
      <c r="S678" s="79" t="s">
        <v>339</v>
      </c>
      <c r="T678" s="298">
        <f>IFERROR(Table6[[#This Row],[Breakdown Time]]*Table6[[#This Row],[Plant Equivalent Weightage]],"")</f>
        <v>3.0303030303030273E-3</v>
      </c>
      <c r="U678" s="79" t="s">
        <v>421</v>
      </c>
      <c r="W678" s="79">
        <v>96</v>
      </c>
    </row>
    <row r="679" spans="1:23">
      <c r="A679" s="79">
        <f t="shared" si="10"/>
        <v>678</v>
      </c>
      <c r="B679" s="79">
        <f>YEAR(Table6[[#This Row],[Date]])+IF(MONTH(Table6[[#This Row],[Date]])&gt;=4,1,0)</f>
        <v>2026</v>
      </c>
      <c r="C679" s="79">
        <f>YEAR(Table6[[#This Row],[Date]])</f>
        <v>2025</v>
      </c>
      <c r="D679" s="79" t="s">
        <v>344</v>
      </c>
      <c r="E679" s="284">
        <f>Table6[[#This Row],[Date]]-DAY(Table6[[#This Row],[Date]])+1</f>
        <v>45778</v>
      </c>
      <c r="F679" s="285">
        <v>45800</v>
      </c>
      <c r="G679" s="79" t="s">
        <v>103</v>
      </c>
      <c r="H679" s="79" t="str">
        <f>IFERROR(_xlfn.XLOOKUP(Table6[[#This Row],[Affected Feeder ]],'Basic Data'!$A:$A,'Basic Data'!$B:$B),"")</f>
        <v>PWEPL</v>
      </c>
      <c r="I679" s="79" t="str">
        <f>IFERROR(_xlfn.XLOOKUP(Table6[[#This Row],[Affected Feeder ]],'Basic Data'!$A:$A,'Basic Data'!$C:$C),"")</f>
        <v>MSEDCL</v>
      </c>
      <c r="J679" s="295">
        <f>IFERROR(_xlfn.XLOOKUP(Table6[[#This Row],[Affected Feeder ]],'Basic Data'!$A:$A,'Basic Data'!$E:$E),"")</f>
        <v>2.2727272727272728E-2</v>
      </c>
      <c r="K679" s="296" t="s">
        <v>171</v>
      </c>
      <c r="L679" s="297">
        <v>7.2222222222222229E-2</v>
      </c>
      <c r="M679" s="297">
        <v>7.2222222222222229E-2</v>
      </c>
      <c r="N679" s="297">
        <v>7.7777777777777779E-2</v>
      </c>
      <c r="O679" s="19">
        <f>(Table6[[#This Row],[Work Start TimeStamp]]-Table6[[#This Row],[Fault Start TimeStamp]])*24</f>
        <v>0</v>
      </c>
      <c r="P679" s="19">
        <f>(Table6[[#This Row],[Fault Clearance time]]-Table6[[#This Row],[Fault Start TimeStamp]])*24</f>
        <v>0.13333333333333319</v>
      </c>
      <c r="Q679" s="19">
        <f>(Table6[[#This Row],[Fault Clearance time]]-Table6[[#This Row],[Fault Start TimeStamp]])*24</f>
        <v>0.13333333333333319</v>
      </c>
      <c r="R679" s="79" t="s">
        <v>353</v>
      </c>
      <c r="S679" s="79" t="s">
        <v>339</v>
      </c>
      <c r="T679" s="298">
        <f>IFERROR(Table6[[#This Row],[Breakdown Time]]*Table6[[#This Row],[Plant Equivalent Weightage]],"")</f>
        <v>3.0303030303030273E-3</v>
      </c>
      <c r="U679" s="79" t="s">
        <v>421</v>
      </c>
      <c r="W679" s="79">
        <v>96</v>
      </c>
    </row>
    <row r="680" spans="1:23">
      <c r="A680" s="79">
        <f t="shared" si="10"/>
        <v>679</v>
      </c>
      <c r="B680" s="79">
        <f>YEAR(Table6[[#This Row],[Date]])+IF(MONTH(Table6[[#This Row],[Date]])&gt;=4,1,0)</f>
        <v>2026</v>
      </c>
      <c r="C680" s="79">
        <f>YEAR(Table6[[#This Row],[Date]])</f>
        <v>2025</v>
      </c>
      <c r="D680" s="79" t="s">
        <v>344</v>
      </c>
      <c r="E680" s="284">
        <f>Table6[[#This Row],[Date]]-DAY(Table6[[#This Row],[Date]])+1</f>
        <v>45778</v>
      </c>
      <c r="F680" s="285">
        <v>45800</v>
      </c>
      <c r="G680" s="79" t="s">
        <v>105</v>
      </c>
      <c r="H680" s="79" t="str">
        <f>IFERROR(_xlfn.XLOOKUP(Table6[[#This Row],[Affected Feeder ]],'Basic Data'!$A:$A,'Basic Data'!$B:$B),"")</f>
        <v>PWEPL</v>
      </c>
      <c r="I680" s="79" t="str">
        <f>IFERROR(_xlfn.XLOOKUP(Table6[[#This Row],[Affected Feeder ]],'Basic Data'!$A:$A,'Basic Data'!$C:$C),"")</f>
        <v>MSEDCL</v>
      </c>
      <c r="J680" s="295">
        <f>IFERROR(_xlfn.XLOOKUP(Table6[[#This Row],[Affected Feeder ]],'Basic Data'!$A:$A,'Basic Data'!$E:$E),"")</f>
        <v>2.2727272727272728E-2</v>
      </c>
      <c r="K680" s="296" t="s">
        <v>171</v>
      </c>
      <c r="L680" s="297">
        <v>7.2222222222222229E-2</v>
      </c>
      <c r="M680" s="297">
        <v>7.2222222222222229E-2</v>
      </c>
      <c r="N680" s="297">
        <v>7.7777777777777779E-2</v>
      </c>
      <c r="O680" s="19">
        <f>(Table6[[#This Row],[Work Start TimeStamp]]-Table6[[#This Row],[Fault Start TimeStamp]])*24</f>
        <v>0</v>
      </c>
      <c r="P680" s="19">
        <f>(Table6[[#This Row],[Fault Clearance time]]-Table6[[#This Row],[Fault Start TimeStamp]])*24</f>
        <v>0.13333333333333319</v>
      </c>
      <c r="Q680" s="19">
        <f>(Table6[[#This Row],[Fault Clearance time]]-Table6[[#This Row],[Fault Start TimeStamp]])*24</f>
        <v>0.13333333333333319</v>
      </c>
      <c r="R680" s="79" t="s">
        <v>353</v>
      </c>
      <c r="S680" s="79" t="s">
        <v>339</v>
      </c>
      <c r="T680" s="298">
        <f>IFERROR(Table6[[#This Row],[Breakdown Time]]*Table6[[#This Row],[Plant Equivalent Weightage]],"")</f>
        <v>3.0303030303030273E-3</v>
      </c>
      <c r="U680" s="79" t="s">
        <v>421</v>
      </c>
      <c r="W680" s="79">
        <v>96</v>
      </c>
    </row>
    <row r="681" spans="1:23">
      <c r="A681" s="79">
        <f t="shared" si="10"/>
        <v>680</v>
      </c>
      <c r="B681" s="79">
        <f>YEAR(Table6[[#This Row],[Date]])+IF(MONTH(Table6[[#This Row],[Date]])&gt;=4,1,0)</f>
        <v>2026</v>
      </c>
      <c r="C681" s="79">
        <f>YEAR(Table6[[#This Row],[Date]])</f>
        <v>2025</v>
      </c>
      <c r="D681" s="79" t="s">
        <v>344</v>
      </c>
      <c r="E681" s="284">
        <f>Table6[[#This Row],[Date]]-DAY(Table6[[#This Row],[Date]])+1</f>
        <v>45778</v>
      </c>
      <c r="F681" s="285">
        <v>45800</v>
      </c>
      <c r="G681" s="79" t="s">
        <v>115</v>
      </c>
      <c r="H681" s="79" t="str">
        <f>IFERROR(_xlfn.XLOOKUP(Table6[[#This Row],[Affected Feeder ]],'Basic Data'!$A:$A,'Basic Data'!$B:$B),"")</f>
        <v>PWEPL</v>
      </c>
      <c r="I681" s="79" t="str">
        <f>IFERROR(_xlfn.XLOOKUP(Table6[[#This Row],[Affected Feeder ]],'Basic Data'!$A:$A,'Basic Data'!$C:$C),"")</f>
        <v>MSEDCL</v>
      </c>
      <c r="J681" s="295">
        <f>IFERROR(_xlfn.XLOOKUP(Table6[[#This Row],[Affected Feeder ]],'Basic Data'!$A:$A,'Basic Data'!$E:$E),"")</f>
        <v>2.2727272727272728E-2</v>
      </c>
      <c r="K681" s="296" t="s">
        <v>171</v>
      </c>
      <c r="L681" s="297">
        <v>7.2222222222222229E-2</v>
      </c>
      <c r="M681" s="297">
        <v>7.2222222222222229E-2</v>
      </c>
      <c r="N681" s="297">
        <v>7.7777777777777779E-2</v>
      </c>
      <c r="O681" s="19">
        <f>(Table6[[#This Row],[Work Start TimeStamp]]-Table6[[#This Row],[Fault Start TimeStamp]])*24</f>
        <v>0</v>
      </c>
      <c r="P681" s="19">
        <f>(Table6[[#This Row],[Fault Clearance time]]-Table6[[#This Row],[Fault Start TimeStamp]])*24</f>
        <v>0.13333333333333319</v>
      </c>
      <c r="Q681" s="19">
        <f>(Table6[[#This Row],[Fault Clearance time]]-Table6[[#This Row],[Fault Start TimeStamp]])*24</f>
        <v>0.13333333333333319</v>
      </c>
      <c r="R681" s="79" t="s">
        <v>353</v>
      </c>
      <c r="S681" s="79" t="s">
        <v>339</v>
      </c>
      <c r="T681" s="298">
        <f>IFERROR(Table6[[#This Row],[Breakdown Time]]*Table6[[#This Row],[Plant Equivalent Weightage]],"")</f>
        <v>3.0303030303030273E-3</v>
      </c>
      <c r="U681" s="79" t="s">
        <v>421</v>
      </c>
      <c r="W681" s="79">
        <v>96</v>
      </c>
    </row>
    <row r="682" spans="1:23">
      <c r="A682" s="79">
        <f t="shared" si="10"/>
        <v>681</v>
      </c>
      <c r="B682" s="79">
        <f>YEAR(Table6[[#This Row],[Date]])+IF(MONTH(Table6[[#This Row],[Date]])&gt;=4,1,0)</f>
        <v>2026</v>
      </c>
      <c r="C682" s="79">
        <f>YEAR(Table6[[#This Row],[Date]])</f>
        <v>2025</v>
      </c>
      <c r="D682" s="79" t="s">
        <v>344</v>
      </c>
      <c r="E682" s="284">
        <f>Table6[[#This Row],[Date]]-DAY(Table6[[#This Row],[Date]])+1</f>
        <v>45778</v>
      </c>
      <c r="F682" s="285">
        <v>45800</v>
      </c>
      <c r="G682" s="79" t="s">
        <v>116</v>
      </c>
      <c r="H682" s="79" t="str">
        <f>IFERROR(_xlfn.XLOOKUP(Table6[[#This Row],[Affected Feeder ]],'Basic Data'!$A:$A,'Basic Data'!$B:$B),"")</f>
        <v>PWEPL</v>
      </c>
      <c r="I682" s="79" t="str">
        <f>IFERROR(_xlfn.XLOOKUP(Table6[[#This Row],[Affected Feeder ]],'Basic Data'!$A:$A,'Basic Data'!$C:$C),"")</f>
        <v>MSEDCL</v>
      </c>
      <c r="J682" s="295">
        <f>IFERROR(_xlfn.XLOOKUP(Table6[[#This Row],[Affected Feeder ]],'Basic Data'!$A:$A,'Basic Data'!$E:$E),"")</f>
        <v>2.2727272727272728E-2</v>
      </c>
      <c r="K682" s="296" t="s">
        <v>171</v>
      </c>
      <c r="L682" s="297">
        <v>7.2222222222222229E-2</v>
      </c>
      <c r="M682" s="297">
        <v>7.2222222222222229E-2</v>
      </c>
      <c r="N682" s="297">
        <v>7.7777777777777779E-2</v>
      </c>
      <c r="O682" s="19">
        <f>(Table6[[#This Row],[Work Start TimeStamp]]-Table6[[#This Row],[Fault Start TimeStamp]])*24</f>
        <v>0</v>
      </c>
      <c r="P682" s="19">
        <f>(Table6[[#This Row],[Fault Clearance time]]-Table6[[#This Row],[Fault Start TimeStamp]])*24</f>
        <v>0.13333333333333319</v>
      </c>
      <c r="Q682" s="19">
        <f>(Table6[[#This Row],[Fault Clearance time]]-Table6[[#This Row],[Fault Start TimeStamp]])*24</f>
        <v>0.13333333333333319</v>
      </c>
      <c r="R682" s="79" t="s">
        <v>353</v>
      </c>
      <c r="S682" s="79" t="s">
        <v>339</v>
      </c>
      <c r="T682" s="298">
        <f>IFERROR(Table6[[#This Row],[Breakdown Time]]*Table6[[#This Row],[Plant Equivalent Weightage]],"")</f>
        <v>3.0303030303030273E-3</v>
      </c>
      <c r="U682" s="79" t="s">
        <v>421</v>
      </c>
      <c r="W682" s="79">
        <v>96</v>
      </c>
    </row>
    <row r="683" spans="1:23">
      <c r="A683" s="79">
        <f t="shared" si="10"/>
        <v>682</v>
      </c>
      <c r="B683" s="79">
        <f>YEAR(Table6[[#This Row],[Date]])+IF(MONTH(Table6[[#This Row],[Date]])&gt;=4,1,0)</f>
        <v>2026</v>
      </c>
      <c r="C683" s="79">
        <f>YEAR(Table6[[#This Row],[Date]])</f>
        <v>2025</v>
      </c>
      <c r="D683" s="79" t="s">
        <v>344</v>
      </c>
      <c r="E683" s="284">
        <f>Table6[[#This Row],[Date]]-DAY(Table6[[#This Row],[Date]])+1</f>
        <v>45778</v>
      </c>
      <c r="F683" s="285">
        <v>45800</v>
      </c>
      <c r="G683" s="79" t="s">
        <v>117</v>
      </c>
      <c r="H683" s="79" t="str">
        <f>IFERROR(_xlfn.XLOOKUP(Table6[[#This Row],[Affected Feeder ]],'Basic Data'!$A:$A,'Basic Data'!$B:$B),"")</f>
        <v>PWEPL</v>
      </c>
      <c r="I683" s="79" t="str">
        <f>IFERROR(_xlfn.XLOOKUP(Table6[[#This Row],[Affected Feeder ]],'Basic Data'!$A:$A,'Basic Data'!$C:$C),"")</f>
        <v>MSEDCL</v>
      </c>
      <c r="J683" s="295">
        <f>IFERROR(_xlfn.XLOOKUP(Table6[[#This Row],[Affected Feeder ]],'Basic Data'!$A:$A,'Basic Data'!$E:$E),"")</f>
        <v>2.2727272727272728E-2</v>
      </c>
      <c r="K683" s="296" t="s">
        <v>171</v>
      </c>
      <c r="L683" s="297">
        <v>7.2222222222222229E-2</v>
      </c>
      <c r="M683" s="297">
        <v>7.2222222222222229E-2</v>
      </c>
      <c r="N683" s="297">
        <v>7.7777777777777779E-2</v>
      </c>
      <c r="O683" s="19">
        <f>(Table6[[#This Row],[Work Start TimeStamp]]-Table6[[#This Row],[Fault Start TimeStamp]])*24</f>
        <v>0</v>
      </c>
      <c r="P683" s="19">
        <f>(Table6[[#This Row],[Fault Clearance time]]-Table6[[#This Row],[Fault Start TimeStamp]])*24</f>
        <v>0.13333333333333319</v>
      </c>
      <c r="Q683" s="19">
        <f>(Table6[[#This Row],[Fault Clearance time]]-Table6[[#This Row],[Fault Start TimeStamp]])*24</f>
        <v>0.13333333333333319</v>
      </c>
      <c r="R683" s="79" t="s">
        <v>353</v>
      </c>
      <c r="S683" s="79" t="s">
        <v>339</v>
      </c>
      <c r="T683" s="298">
        <f>IFERROR(Table6[[#This Row],[Breakdown Time]]*Table6[[#This Row],[Plant Equivalent Weightage]],"")</f>
        <v>3.0303030303030273E-3</v>
      </c>
      <c r="U683" s="79" t="s">
        <v>421</v>
      </c>
      <c r="W683" s="79">
        <v>96</v>
      </c>
    </row>
    <row r="684" spans="1:23">
      <c r="A684" s="79">
        <f t="shared" si="10"/>
        <v>683</v>
      </c>
      <c r="B684" s="79">
        <f>YEAR(Table6[[#This Row],[Date]])+IF(MONTH(Table6[[#This Row],[Date]])&gt;=4,1,0)</f>
        <v>2026</v>
      </c>
      <c r="C684" s="79">
        <f>YEAR(Table6[[#This Row],[Date]])</f>
        <v>2025</v>
      </c>
      <c r="D684" s="79" t="s">
        <v>344</v>
      </c>
      <c r="E684" s="284">
        <f>Table6[[#This Row],[Date]]-DAY(Table6[[#This Row],[Date]])+1</f>
        <v>45778</v>
      </c>
      <c r="F684" s="285">
        <v>45800</v>
      </c>
      <c r="G684" s="79" t="s">
        <v>118</v>
      </c>
      <c r="H684" s="79" t="str">
        <f>IFERROR(_xlfn.XLOOKUP(Table6[[#This Row],[Affected Feeder ]],'Basic Data'!$A:$A,'Basic Data'!$B:$B),"")</f>
        <v>PWEPL</v>
      </c>
      <c r="I684" s="79" t="str">
        <f>IFERROR(_xlfn.XLOOKUP(Table6[[#This Row],[Affected Feeder ]],'Basic Data'!$A:$A,'Basic Data'!$C:$C),"")</f>
        <v>MSEDCL</v>
      </c>
      <c r="J684" s="295">
        <f>IFERROR(_xlfn.XLOOKUP(Table6[[#This Row],[Affected Feeder ]],'Basic Data'!$A:$A,'Basic Data'!$E:$E),"")</f>
        <v>2.2727272727272728E-2</v>
      </c>
      <c r="K684" s="296" t="s">
        <v>171</v>
      </c>
      <c r="L684" s="297">
        <v>7.2222222222222229E-2</v>
      </c>
      <c r="M684" s="297">
        <v>7.2222222222222229E-2</v>
      </c>
      <c r="N684" s="297">
        <v>7.7777777777777779E-2</v>
      </c>
      <c r="O684" s="19">
        <f>(Table6[[#This Row],[Work Start TimeStamp]]-Table6[[#This Row],[Fault Start TimeStamp]])*24</f>
        <v>0</v>
      </c>
      <c r="P684" s="19">
        <f>(Table6[[#This Row],[Fault Clearance time]]-Table6[[#This Row],[Fault Start TimeStamp]])*24</f>
        <v>0.13333333333333319</v>
      </c>
      <c r="Q684" s="19">
        <f>(Table6[[#This Row],[Fault Clearance time]]-Table6[[#This Row],[Fault Start TimeStamp]])*24</f>
        <v>0.13333333333333319</v>
      </c>
      <c r="R684" s="79" t="s">
        <v>353</v>
      </c>
      <c r="S684" s="79" t="s">
        <v>339</v>
      </c>
      <c r="T684" s="298">
        <f>IFERROR(Table6[[#This Row],[Breakdown Time]]*Table6[[#This Row],[Plant Equivalent Weightage]],"")</f>
        <v>3.0303030303030273E-3</v>
      </c>
      <c r="U684" s="79" t="s">
        <v>421</v>
      </c>
      <c r="W684" s="79">
        <v>96</v>
      </c>
    </row>
    <row r="685" spans="1:23">
      <c r="A685" s="79">
        <f t="shared" si="10"/>
        <v>684</v>
      </c>
      <c r="B685" s="79">
        <f>YEAR(Table6[[#This Row],[Date]])+IF(MONTH(Table6[[#This Row],[Date]])&gt;=4,1,0)</f>
        <v>2026</v>
      </c>
      <c r="C685" s="79">
        <f>YEAR(Table6[[#This Row],[Date]])</f>
        <v>2025</v>
      </c>
      <c r="D685" s="79" t="s">
        <v>344</v>
      </c>
      <c r="E685" s="284">
        <f>Table6[[#This Row],[Date]]-DAY(Table6[[#This Row],[Date]])+1</f>
        <v>45778</v>
      </c>
      <c r="F685" s="285">
        <v>45800</v>
      </c>
      <c r="G685" s="79" t="s">
        <v>406</v>
      </c>
      <c r="H685" s="79" t="str">
        <f>IFERROR(_xlfn.XLOOKUP(Table6[[#This Row],[Affected Feeder ]],'Basic Data'!$A:$A,'Basic Data'!$B:$B),"")</f>
        <v>PWEPL</v>
      </c>
      <c r="I685" s="79" t="str">
        <f>IFERROR(_xlfn.XLOOKUP(Table6[[#This Row],[Affected Feeder ]],'Basic Data'!$A:$A,'Basic Data'!$C:$C),"")</f>
        <v>MSEDCL</v>
      </c>
      <c r="J685" s="295">
        <f>IFERROR(_xlfn.XLOOKUP(Table6[[#This Row],[Affected Feeder ]],'Basic Data'!$A:$A,'Basic Data'!$E:$E),"")</f>
        <v>0.29545454545454541</v>
      </c>
      <c r="K685" s="296" t="s">
        <v>419</v>
      </c>
      <c r="L685" s="297">
        <v>7.7777777777777779E-2</v>
      </c>
      <c r="M685" s="297">
        <v>7.7777777777777779E-2</v>
      </c>
      <c r="N685" s="297">
        <v>0.20486111111111113</v>
      </c>
      <c r="O685" s="19">
        <f>(Table6[[#This Row],[Work Start TimeStamp]]-Table6[[#This Row],[Fault Start TimeStamp]])*24</f>
        <v>0</v>
      </c>
      <c r="P685" s="19">
        <f>(Table6[[#This Row],[Fault Clearance time]]-Table6[[#This Row],[Fault Start TimeStamp]])*24</f>
        <v>3.0500000000000007</v>
      </c>
      <c r="Q685" s="19">
        <f>(Table6[[#This Row],[Fault Clearance time]]-Table6[[#This Row],[Fault Start TimeStamp]])*24</f>
        <v>3.0500000000000007</v>
      </c>
      <c r="R685" s="79" t="s">
        <v>834</v>
      </c>
      <c r="S685" s="79" t="s">
        <v>339</v>
      </c>
      <c r="T685" s="298">
        <f>IFERROR(Table6[[#This Row],[Breakdown Time]]*Table6[[#This Row],[Plant Equivalent Weightage]],"")</f>
        <v>0.90113636363636374</v>
      </c>
      <c r="U685" s="79" t="s">
        <v>421</v>
      </c>
      <c r="W685" s="79">
        <v>18067</v>
      </c>
    </row>
    <row r="686" spans="1:23">
      <c r="A686" s="79">
        <f t="shared" si="10"/>
        <v>685</v>
      </c>
      <c r="B686" s="79">
        <f>YEAR(Table6[[#This Row],[Date]])+IF(MONTH(Table6[[#This Row],[Date]])&gt;=4,1,0)</f>
        <v>2026</v>
      </c>
      <c r="C686" s="79">
        <f>YEAR(Table6[[#This Row],[Date]])</f>
        <v>2025</v>
      </c>
      <c r="D686" s="79" t="s">
        <v>344</v>
      </c>
      <c r="E686" s="284">
        <f>Table6[[#This Row],[Date]]-DAY(Table6[[#This Row],[Date]])+1</f>
        <v>45778</v>
      </c>
      <c r="F686" s="285">
        <v>45800</v>
      </c>
      <c r="G686" s="79" t="s">
        <v>76</v>
      </c>
      <c r="H686" s="79" t="str">
        <f>IFERROR(_xlfn.XLOOKUP(Table6[[#This Row],[Affected Feeder ]],'Basic Data'!$A:$A,'Basic Data'!$B:$B),"")</f>
        <v>PWEPL</v>
      </c>
      <c r="I686" s="79" t="str">
        <f>IFERROR(_xlfn.XLOOKUP(Table6[[#This Row],[Affected Feeder ]],'Basic Data'!$A:$A,'Basic Data'!$C:$C),"")</f>
        <v>MSEDCL</v>
      </c>
      <c r="J686" s="295">
        <f>IFERROR(_xlfn.XLOOKUP(Table6[[#This Row],[Affected Feeder ]],'Basic Data'!$A:$A,'Basic Data'!$E:$E),"")</f>
        <v>2.2727272727272728E-2</v>
      </c>
      <c r="K686" s="296" t="s">
        <v>171</v>
      </c>
      <c r="L686" s="297">
        <v>0.20486111111111113</v>
      </c>
      <c r="M686" s="297">
        <v>0.20486111111111113</v>
      </c>
      <c r="N686" s="297">
        <v>0.21875</v>
      </c>
      <c r="O686" s="19">
        <f>(Table6[[#This Row],[Work Start TimeStamp]]-Table6[[#This Row],[Fault Start TimeStamp]])*24</f>
        <v>0</v>
      </c>
      <c r="P686" s="19">
        <f>(Table6[[#This Row],[Fault Clearance time]]-Table6[[#This Row],[Fault Start TimeStamp]])*24</f>
        <v>0.33333333333333282</v>
      </c>
      <c r="Q686" s="19">
        <f>(Table6[[#This Row],[Fault Clearance time]]-Table6[[#This Row],[Fault Start TimeStamp]])*24</f>
        <v>0.33333333333333282</v>
      </c>
      <c r="R686" s="79" t="s">
        <v>353</v>
      </c>
      <c r="S686" s="79" t="s">
        <v>339</v>
      </c>
      <c r="T686" s="298">
        <f>IFERROR(Table6[[#This Row],[Breakdown Time]]*Table6[[#This Row],[Plant Equivalent Weightage]],"")</f>
        <v>7.5757575757575638E-3</v>
      </c>
      <c r="U686" s="79" t="s">
        <v>421</v>
      </c>
      <c r="W686" s="79">
        <v>150</v>
      </c>
    </row>
    <row r="687" spans="1:23">
      <c r="A687" s="79">
        <f t="shared" si="10"/>
        <v>686</v>
      </c>
      <c r="B687" s="79">
        <f>YEAR(Table6[[#This Row],[Date]])+IF(MONTH(Table6[[#This Row],[Date]])&gt;=4,1,0)</f>
        <v>2026</v>
      </c>
      <c r="C687" s="79">
        <f>YEAR(Table6[[#This Row],[Date]])</f>
        <v>2025</v>
      </c>
      <c r="D687" s="79" t="s">
        <v>344</v>
      </c>
      <c r="E687" s="284">
        <f>Table6[[#This Row],[Date]]-DAY(Table6[[#This Row],[Date]])+1</f>
        <v>45778</v>
      </c>
      <c r="F687" s="285">
        <v>45800</v>
      </c>
      <c r="G687" s="79" t="s">
        <v>77</v>
      </c>
      <c r="H687" s="79" t="str">
        <f>IFERROR(_xlfn.XLOOKUP(Table6[[#This Row],[Affected Feeder ]],'Basic Data'!$A:$A,'Basic Data'!$B:$B),"")</f>
        <v>PWEPL</v>
      </c>
      <c r="I687" s="79" t="str">
        <f>IFERROR(_xlfn.XLOOKUP(Table6[[#This Row],[Affected Feeder ]],'Basic Data'!$A:$A,'Basic Data'!$C:$C),"")</f>
        <v>MSEDCL</v>
      </c>
      <c r="J687" s="295">
        <f>IFERROR(_xlfn.XLOOKUP(Table6[[#This Row],[Affected Feeder ]],'Basic Data'!$A:$A,'Basic Data'!$E:$E),"")</f>
        <v>2.2727272727272728E-2</v>
      </c>
      <c r="K687" s="296" t="s">
        <v>171</v>
      </c>
      <c r="L687" s="297">
        <v>0.20486111111111113</v>
      </c>
      <c r="M687" s="297">
        <v>0.20486111111111113</v>
      </c>
      <c r="N687" s="297">
        <v>0.21875</v>
      </c>
      <c r="O687" s="19">
        <f>(Table6[[#This Row],[Work Start TimeStamp]]-Table6[[#This Row],[Fault Start TimeStamp]])*24</f>
        <v>0</v>
      </c>
      <c r="P687" s="19">
        <f>(Table6[[#This Row],[Fault Clearance time]]-Table6[[#This Row],[Fault Start TimeStamp]])*24</f>
        <v>0.33333333333333282</v>
      </c>
      <c r="Q687" s="19">
        <f>(Table6[[#This Row],[Fault Clearance time]]-Table6[[#This Row],[Fault Start TimeStamp]])*24</f>
        <v>0.33333333333333282</v>
      </c>
      <c r="R687" s="79" t="s">
        <v>353</v>
      </c>
      <c r="S687" s="79" t="s">
        <v>339</v>
      </c>
      <c r="T687" s="298">
        <f>IFERROR(Table6[[#This Row],[Breakdown Time]]*Table6[[#This Row],[Plant Equivalent Weightage]],"")</f>
        <v>7.5757575757575638E-3</v>
      </c>
      <c r="U687" s="79" t="s">
        <v>421</v>
      </c>
      <c r="W687" s="79">
        <v>150</v>
      </c>
    </row>
    <row r="688" spans="1:23">
      <c r="A688" s="79">
        <f t="shared" si="10"/>
        <v>687</v>
      </c>
      <c r="B688" s="79">
        <f>YEAR(Table6[[#This Row],[Date]])+IF(MONTH(Table6[[#This Row],[Date]])&gt;=4,1,0)</f>
        <v>2026</v>
      </c>
      <c r="C688" s="79">
        <f>YEAR(Table6[[#This Row],[Date]])</f>
        <v>2025</v>
      </c>
      <c r="D688" s="79" t="s">
        <v>344</v>
      </c>
      <c r="E688" s="284">
        <f>Table6[[#This Row],[Date]]-DAY(Table6[[#This Row],[Date]])+1</f>
        <v>45778</v>
      </c>
      <c r="F688" s="285">
        <v>45800</v>
      </c>
      <c r="G688" s="79" t="s">
        <v>78</v>
      </c>
      <c r="H688" s="79" t="str">
        <f>IFERROR(_xlfn.XLOOKUP(Table6[[#This Row],[Affected Feeder ]],'Basic Data'!$A:$A,'Basic Data'!$B:$B),"")</f>
        <v>PWEPL</v>
      </c>
      <c r="I688" s="79" t="str">
        <f>IFERROR(_xlfn.XLOOKUP(Table6[[#This Row],[Affected Feeder ]],'Basic Data'!$A:$A,'Basic Data'!$C:$C),"")</f>
        <v>MSEDCL</v>
      </c>
      <c r="J688" s="295">
        <f>IFERROR(_xlfn.XLOOKUP(Table6[[#This Row],[Affected Feeder ]],'Basic Data'!$A:$A,'Basic Data'!$E:$E),"")</f>
        <v>2.2727272727272728E-2</v>
      </c>
      <c r="K688" s="296" t="s">
        <v>171</v>
      </c>
      <c r="L688" s="297">
        <v>0.20486111111111113</v>
      </c>
      <c r="M688" s="297">
        <v>0.20486111111111113</v>
      </c>
      <c r="N688" s="297">
        <v>0.21875</v>
      </c>
      <c r="O688" s="19">
        <f>(Table6[[#This Row],[Work Start TimeStamp]]-Table6[[#This Row],[Fault Start TimeStamp]])*24</f>
        <v>0</v>
      </c>
      <c r="P688" s="19">
        <f>(Table6[[#This Row],[Fault Clearance time]]-Table6[[#This Row],[Fault Start TimeStamp]])*24</f>
        <v>0.33333333333333282</v>
      </c>
      <c r="Q688" s="19">
        <f>(Table6[[#This Row],[Fault Clearance time]]-Table6[[#This Row],[Fault Start TimeStamp]])*24</f>
        <v>0.33333333333333282</v>
      </c>
      <c r="R688" s="79" t="s">
        <v>353</v>
      </c>
      <c r="S688" s="79" t="s">
        <v>339</v>
      </c>
      <c r="T688" s="298">
        <f>IFERROR(Table6[[#This Row],[Breakdown Time]]*Table6[[#This Row],[Plant Equivalent Weightage]],"")</f>
        <v>7.5757575757575638E-3</v>
      </c>
      <c r="U688" s="79" t="s">
        <v>421</v>
      </c>
      <c r="W688" s="79">
        <v>150</v>
      </c>
    </row>
    <row r="689" spans="1:23">
      <c r="A689" s="79">
        <f t="shared" si="10"/>
        <v>688</v>
      </c>
      <c r="B689" s="79">
        <f>YEAR(Table6[[#This Row],[Date]])+IF(MONTH(Table6[[#This Row],[Date]])&gt;=4,1,0)</f>
        <v>2026</v>
      </c>
      <c r="C689" s="79">
        <f>YEAR(Table6[[#This Row],[Date]])</f>
        <v>2025</v>
      </c>
      <c r="D689" s="79" t="s">
        <v>344</v>
      </c>
      <c r="E689" s="284">
        <f>Table6[[#This Row],[Date]]-DAY(Table6[[#This Row],[Date]])+1</f>
        <v>45778</v>
      </c>
      <c r="F689" s="285">
        <v>45800</v>
      </c>
      <c r="G689" s="79" t="s">
        <v>82</v>
      </c>
      <c r="H689" s="79" t="str">
        <f>IFERROR(_xlfn.XLOOKUP(Table6[[#This Row],[Affected Feeder ]],'Basic Data'!$A:$A,'Basic Data'!$B:$B),"")</f>
        <v>PWEPL</v>
      </c>
      <c r="I689" s="79" t="str">
        <f>IFERROR(_xlfn.XLOOKUP(Table6[[#This Row],[Affected Feeder ]],'Basic Data'!$A:$A,'Basic Data'!$C:$C),"")</f>
        <v>MSEDCL</v>
      </c>
      <c r="J689" s="295">
        <f>IFERROR(_xlfn.XLOOKUP(Table6[[#This Row],[Affected Feeder ]],'Basic Data'!$A:$A,'Basic Data'!$E:$E),"")</f>
        <v>2.2727272727272728E-2</v>
      </c>
      <c r="K689" s="296" t="s">
        <v>171</v>
      </c>
      <c r="L689" s="297">
        <v>0.20486111111111113</v>
      </c>
      <c r="M689" s="297">
        <v>0.20486111111111113</v>
      </c>
      <c r="N689" s="297">
        <v>0.21875</v>
      </c>
      <c r="O689" s="19">
        <f>(Table6[[#This Row],[Work Start TimeStamp]]-Table6[[#This Row],[Fault Start TimeStamp]])*24</f>
        <v>0</v>
      </c>
      <c r="P689" s="19">
        <f>(Table6[[#This Row],[Fault Clearance time]]-Table6[[#This Row],[Fault Start TimeStamp]])*24</f>
        <v>0.33333333333333282</v>
      </c>
      <c r="Q689" s="19">
        <f>(Table6[[#This Row],[Fault Clearance time]]-Table6[[#This Row],[Fault Start TimeStamp]])*24</f>
        <v>0.33333333333333282</v>
      </c>
      <c r="R689" s="79" t="s">
        <v>353</v>
      </c>
      <c r="S689" s="79" t="s">
        <v>339</v>
      </c>
      <c r="T689" s="298">
        <f>IFERROR(Table6[[#This Row],[Breakdown Time]]*Table6[[#This Row],[Plant Equivalent Weightage]],"")</f>
        <v>7.5757575757575638E-3</v>
      </c>
      <c r="U689" s="79" t="s">
        <v>421</v>
      </c>
      <c r="W689" s="79">
        <v>150</v>
      </c>
    </row>
    <row r="690" spans="1:23">
      <c r="A690" s="79">
        <f t="shared" si="10"/>
        <v>689</v>
      </c>
      <c r="B690" s="79">
        <f>YEAR(Table6[[#This Row],[Date]])+IF(MONTH(Table6[[#This Row],[Date]])&gt;=4,1,0)</f>
        <v>2026</v>
      </c>
      <c r="C690" s="79">
        <f>YEAR(Table6[[#This Row],[Date]])</f>
        <v>2025</v>
      </c>
      <c r="D690" s="79" t="s">
        <v>344</v>
      </c>
      <c r="E690" s="284">
        <f>Table6[[#This Row],[Date]]-DAY(Table6[[#This Row],[Date]])+1</f>
        <v>45778</v>
      </c>
      <c r="F690" s="285">
        <v>45800</v>
      </c>
      <c r="G690" s="79" t="s">
        <v>93</v>
      </c>
      <c r="H690" s="79" t="str">
        <f>IFERROR(_xlfn.XLOOKUP(Table6[[#This Row],[Affected Feeder ]],'Basic Data'!$A:$A,'Basic Data'!$B:$B),"")</f>
        <v>PWEPL</v>
      </c>
      <c r="I690" s="79" t="str">
        <f>IFERROR(_xlfn.XLOOKUP(Table6[[#This Row],[Affected Feeder ]],'Basic Data'!$A:$A,'Basic Data'!$C:$C),"")</f>
        <v>MSEDCL</v>
      </c>
      <c r="J690" s="295">
        <f>IFERROR(_xlfn.XLOOKUP(Table6[[#This Row],[Affected Feeder ]],'Basic Data'!$A:$A,'Basic Data'!$E:$E),"")</f>
        <v>2.2727272727272728E-2</v>
      </c>
      <c r="K690" s="296" t="s">
        <v>171</v>
      </c>
      <c r="L690" s="297">
        <v>0.20486111111111113</v>
      </c>
      <c r="M690" s="297">
        <v>0.20486111111111113</v>
      </c>
      <c r="N690" s="297">
        <v>0.21875</v>
      </c>
      <c r="O690" s="19">
        <f>(Table6[[#This Row],[Work Start TimeStamp]]-Table6[[#This Row],[Fault Start TimeStamp]])*24</f>
        <v>0</v>
      </c>
      <c r="P690" s="19">
        <f>(Table6[[#This Row],[Fault Clearance time]]-Table6[[#This Row],[Fault Start TimeStamp]])*24</f>
        <v>0.33333333333333282</v>
      </c>
      <c r="Q690" s="19">
        <f>(Table6[[#This Row],[Fault Clearance time]]-Table6[[#This Row],[Fault Start TimeStamp]])*24</f>
        <v>0.33333333333333282</v>
      </c>
      <c r="R690" s="79" t="s">
        <v>353</v>
      </c>
      <c r="S690" s="79" t="s">
        <v>339</v>
      </c>
      <c r="T690" s="298">
        <f>IFERROR(Table6[[#This Row],[Breakdown Time]]*Table6[[#This Row],[Plant Equivalent Weightage]],"")</f>
        <v>7.5757575757575638E-3</v>
      </c>
      <c r="U690" s="79" t="s">
        <v>421</v>
      </c>
      <c r="W690" s="79">
        <v>150</v>
      </c>
    </row>
    <row r="691" spans="1:23">
      <c r="A691" s="79">
        <f t="shared" si="10"/>
        <v>690</v>
      </c>
      <c r="B691" s="79">
        <f>YEAR(Table6[[#This Row],[Date]])+IF(MONTH(Table6[[#This Row],[Date]])&gt;=4,1,0)</f>
        <v>2026</v>
      </c>
      <c r="C691" s="79">
        <f>YEAR(Table6[[#This Row],[Date]])</f>
        <v>2025</v>
      </c>
      <c r="D691" s="79" t="s">
        <v>344</v>
      </c>
      <c r="E691" s="284">
        <f>Table6[[#This Row],[Date]]-DAY(Table6[[#This Row],[Date]])+1</f>
        <v>45778</v>
      </c>
      <c r="F691" s="285">
        <v>45800</v>
      </c>
      <c r="G691" s="79" t="s">
        <v>102</v>
      </c>
      <c r="H691" s="79" t="str">
        <f>IFERROR(_xlfn.XLOOKUP(Table6[[#This Row],[Affected Feeder ]],'Basic Data'!$A:$A,'Basic Data'!$B:$B),"")</f>
        <v>PWEPL</v>
      </c>
      <c r="I691" s="79" t="str">
        <f>IFERROR(_xlfn.XLOOKUP(Table6[[#This Row],[Affected Feeder ]],'Basic Data'!$A:$A,'Basic Data'!$C:$C),"")</f>
        <v>MSEDCL</v>
      </c>
      <c r="J691" s="295">
        <f>IFERROR(_xlfn.XLOOKUP(Table6[[#This Row],[Affected Feeder ]],'Basic Data'!$A:$A,'Basic Data'!$E:$E),"")</f>
        <v>2.2727272727272728E-2</v>
      </c>
      <c r="K691" s="296" t="s">
        <v>171</v>
      </c>
      <c r="L691" s="297">
        <v>0.20486111111111113</v>
      </c>
      <c r="M691" s="297">
        <v>0.20486111111111113</v>
      </c>
      <c r="N691" s="297">
        <v>0.21875</v>
      </c>
      <c r="O691" s="19">
        <f>(Table6[[#This Row],[Work Start TimeStamp]]-Table6[[#This Row],[Fault Start TimeStamp]])*24</f>
        <v>0</v>
      </c>
      <c r="P691" s="19">
        <f>(Table6[[#This Row],[Fault Clearance time]]-Table6[[#This Row],[Fault Start TimeStamp]])*24</f>
        <v>0.33333333333333282</v>
      </c>
      <c r="Q691" s="19">
        <f>(Table6[[#This Row],[Fault Clearance time]]-Table6[[#This Row],[Fault Start TimeStamp]])*24</f>
        <v>0.33333333333333282</v>
      </c>
      <c r="R691" s="79" t="s">
        <v>353</v>
      </c>
      <c r="S691" s="79" t="s">
        <v>339</v>
      </c>
      <c r="T691" s="298">
        <f>IFERROR(Table6[[#This Row],[Breakdown Time]]*Table6[[#This Row],[Plant Equivalent Weightage]],"")</f>
        <v>7.5757575757575638E-3</v>
      </c>
      <c r="U691" s="79" t="s">
        <v>421</v>
      </c>
      <c r="W691" s="79">
        <v>150</v>
      </c>
    </row>
    <row r="692" spans="1:23">
      <c r="A692" s="79">
        <f t="shared" si="10"/>
        <v>691</v>
      </c>
      <c r="B692" s="79">
        <f>YEAR(Table6[[#This Row],[Date]])+IF(MONTH(Table6[[#This Row],[Date]])&gt;=4,1,0)</f>
        <v>2026</v>
      </c>
      <c r="C692" s="79">
        <f>YEAR(Table6[[#This Row],[Date]])</f>
        <v>2025</v>
      </c>
      <c r="D692" s="79" t="s">
        <v>344</v>
      </c>
      <c r="E692" s="284">
        <f>Table6[[#This Row],[Date]]-DAY(Table6[[#This Row],[Date]])+1</f>
        <v>45778</v>
      </c>
      <c r="F692" s="285">
        <v>45800</v>
      </c>
      <c r="G692" s="79" t="s">
        <v>119</v>
      </c>
      <c r="H692" s="79" t="str">
        <f>IFERROR(_xlfn.XLOOKUP(Table6[[#This Row],[Affected Feeder ]],'Basic Data'!$A:$A,'Basic Data'!$B:$B),"")</f>
        <v>PWEPL</v>
      </c>
      <c r="I692" s="79" t="str">
        <f>IFERROR(_xlfn.XLOOKUP(Table6[[#This Row],[Affected Feeder ]],'Basic Data'!$A:$A,'Basic Data'!$C:$C),"")</f>
        <v>MSEDCL</v>
      </c>
      <c r="J692" s="295">
        <f>IFERROR(_xlfn.XLOOKUP(Table6[[#This Row],[Affected Feeder ]],'Basic Data'!$A:$A,'Basic Data'!$E:$E),"")</f>
        <v>2.2727272727272728E-2</v>
      </c>
      <c r="K692" s="296" t="s">
        <v>171</v>
      </c>
      <c r="L692" s="297">
        <v>0.20486111111111113</v>
      </c>
      <c r="M692" s="297">
        <v>0.20486111111111113</v>
      </c>
      <c r="N692" s="297">
        <v>0.21875</v>
      </c>
      <c r="O692" s="19">
        <f>(Table6[[#This Row],[Work Start TimeStamp]]-Table6[[#This Row],[Fault Start TimeStamp]])*24</f>
        <v>0</v>
      </c>
      <c r="P692" s="19">
        <f>(Table6[[#This Row],[Fault Clearance time]]-Table6[[#This Row],[Fault Start TimeStamp]])*24</f>
        <v>0.33333333333333282</v>
      </c>
      <c r="Q692" s="19">
        <f>(Table6[[#This Row],[Fault Clearance time]]-Table6[[#This Row],[Fault Start TimeStamp]])*24</f>
        <v>0.33333333333333282</v>
      </c>
      <c r="R692" s="79" t="s">
        <v>353</v>
      </c>
      <c r="S692" s="79" t="s">
        <v>339</v>
      </c>
      <c r="T692" s="298">
        <f>IFERROR(Table6[[#This Row],[Breakdown Time]]*Table6[[#This Row],[Plant Equivalent Weightage]],"")</f>
        <v>7.5757575757575638E-3</v>
      </c>
      <c r="U692" s="79" t="s">
        <v>421</v>
      </c>
      <c r="W692" s="79">
        <v>150</v>
      </c>
    </row>
    <row r="693" spans="1:23">
      <c r="A693" s="79">
        <f t="shared" si="10"/>
        <v>692</v>
      </c>
      <c r="B693" s="79">
        <f>YEAR(Table6[[#This Row],[Date]])+IF(MONTH(Table6[[#This Row],[Date]])&gt;=4,1,0)</f>
        <v>2026</v>
      </c>
      <c r="C693" s="79">
        <f>YEAR(Table6[[#This Row],[Date]])</f>
        <v>2025</v>
      </c>
      <c r="D693" s="79" t="s">
        <v>344</v>
      </c>
      <c r="E693" s="284">
        <f>Table6[[#This Row],[Date]]-DAY(Table6[[#This Row],[Date]])+1</f>
        <v>45778</v>
      </c>
      <c r="F693" s="285">
        <v>45800</v>
      </c>
      <c r="G693" s="79" t="s">
        <v>103</v>
      </c>
      <c r="H693" s="79" t="str">
        <f>IFERROR(_xlfn.XLOOKUP(Table6[[#This Row],[Affected Feeder ]],'Basic Data'!$A:$A,'Basic Data'!$B:$B),"")</f>
        <v>PWEPL</v>
      </c>
      <c r="I693" s="79" t="str">
        <f>IFERROR(_xlfn.XLOOKUP(Table6[[#This Row],[Affected Feeder ]],'Basic Data'!$A:$A,'Basic Data'!$C:$C),"")</f>
        <v>MSEDCL</v>
      </c>
      <c r="J693" s="295">
        <f>IFERROR(_xlfn.XLOOKUP(Table6[[#This Row],[Affected Feeder ]],'Basic Data'!$A:$A,'Basic Data'!$E:$E),"")</f>
        <v>2.2727272727272728E-2</v>
      </c>
      <c r="K693" s="296" t="s">
        <v>171</v>
      </c>
      <c r="L693" s="297">
        <v>0.20486111111111113</v>
      </c>
      <c r="M693" s="297">
        <v>0.20486111111111113</v>
      </c>
      <c r="N693" s="297">
        <v>0.21875</v>
      </c>
      <c r="O693" s="19">
        <f>(Table6[[#This Row],[Work Start TimeStamp]]-Table6[[#This Row],[Fault Start TimeStamp]])*24</f>
        <v>0</v>
      </c>
      <c r="P693" s="19">
        <f>(Table6[[#This Row],[Fault Clearance time]]-Table6[[#This Row],[Fault Start TimeStamp]])*24</f>
        <v>0.33333333333333282</v>
      </c>
      <c r="Q693" s="19">
        <f>(Table6[[#This Row],[Fault Clearance time]]-Table6[[#This Row],[Fault Start TimeStamp]])*24</f>
        <v>0.33333333333333282</v>
      </c>
      <c r="R693" s="79" t="s">
        <v>353</v>
      </c>
      <c r="S693" s="79" t="s">
        <v>339</v>
      </c>
      <c r="T693" s="298">
        <f>IFERROR(Table6[[#This Row],[Breakdown Time]]*Table6[[#This Row],[Plant Equivalent Weightage]],"")</f>
        <v>7.5757575757575638E-3</v>
      </c>
      <c r="U693" s="79" t="s">
        <v>421</v>
      </c>
      <c r="W693" s="79">
        <v>150</v>
      </c>
    </row>
    <row r="694" spans="1:23">
      <c r="A694" s="79">
        <f t="shared" si="10"/>
        <v>693</v>
      </c>
      <c r="B694" s="79">
        <f>YEAR(Table6[[#This Row],[Date]])+IF(MONTH(Table6[[#This Row],[Date]])&gt;=4,1,0)</f>
        <v>2026</v>
      </c>
      <c r="C694" s="79">
        <f>YEAR(Table6[[#This Row],[Date]])</f>
        <v>2025</v>
      </c>
      <c r="D694" s="79" t="s">
        <v>344</v>
      </c>
      <c r="E694" s="284">
        <f>Table6[[#This Row],[Date]]-DAY(Table6[[#This Row],[Date]])+1</f>
        <v>45778</v>
      </c>
      <c r="F694" s="285">
        <v>45800</v>
      </c>
      <c r="G694" s="79" t="s">
        <v>105</v>
      </c>
      <c r="H694" s="79" t="str">
        <f>IFERROR(_xlfn.XLOOKUP(Table6[[#This Row],[Affected Feeder ]],'Basic Data'!$A:$A,'Basic Data'!$B:$B),"")</f>
        <v>PWEPL</v>
      </c>
      <c r="I694" s="79" t="str">
        <f>IFERROR(_xlfn.XLOOKUP(Table6[[#This Row],[Affected Feeder ]],'Basic Data'!$A:$A,'Basic Data'!$C:$C),"")</f>
        <v>MSEDCL</v>
      </c>
      <c r="J694" s="295">
        <f>IFERROR(_xlfn.XLOOKUP(Table6[[#This Row],[Affected Feeder ]],'Basic Data'!$A:$A,'Basic Data'!$E:$E),"")</f>
        <v>2.2727272727272728E-2</v>
      </c>
      <c r="K694" s="296" t="s">
        <v>171</v>
      </c>
      <c r="L694" s="297">
        <v>0.20486111111111113</v>
      </c>
      <c r="M694" s="297">
        <v>0.20486111111111113</v>
      </c>
      <c r="N694" s="297">
        <v>0.21875</v>
      </c>
      <c r="O694" s="19">
        <f>(Table6[[#This Row],[Work Start TimeStamp]]-Table6[[#This Row],[Fault Start TimeStamp]])*24</f>
        <v>0</v>
      </c>
      <c r="P694" s="19">
        <f>(Table6[[#This Row],[Fault Clearance time]]-Table6[[#This Row],[Fault Start TimeStamp]])*24</f>
        <v>0.33333333333333282</v>
      </c>
      <c r="Q694" s="19">
        <f>(Table6[[#This Row],[Fault Clearance time]]-Table6[[#This Row],[Fault Start TimeStamp]])*24</f>
        <v>0.33333333333333282</v>
      </c>
      <c r="R694" s="79" t="s">
        <v>353</v>
      </c>
      <c r="S694" s="79" t="s">
        <v>339</v>
      </c>
      <c r="T694" s="298">
        <f>IFERROR(Table6[[#This Row],[Breakdown Time]]*Table6[[#This Row],[Plant Equivalent Weightage]],"")</f>
        <v>7.5757575757575638E-3</v>
      </c>
      <c r="U694" s="79" t="s">
        <v>421</v>
      </c>
      <c r="W694" s="79">
        <v>150</v>
      </c>
    </row>
    <row r="695" spans="1:23">
      <c r="A695" s="79">
        <f t="shared" si="10"/>
        <v>694</v>
      </c>
      <c r="B695" s="79">
        <f>YEAR(Table6[[#This Row],[Date]])+IF(MONTH(Table6[[#This Row],[Date]])&gt;=4,1,0)</f>
        <v>2026</v>
      </c>
      <c r="C695" s="79">
        <f>YEAR(Table6[[#This Row],[Date]])</f>
        <v>2025</v>
      </c>
      <c r="D695" s="79" t="s">
        <v>344</v>
      </c>
      <c r="E695" s="284">
        <f>Table6[[#This Row],[Date]]-DAY(Table6[[#This Row],[Date]])+1</f>
        <v>45778</v>
      </c>
      <c r="F695" s="285">
        <v>45800</v>
      </c>
      <c r="G695" s="79" t="s">
        <v>115</v>
      </c>
      <c r="H695" s="79" t="str">
        <f>IFERROR(_xlfn.XLOOKUP(Table6[[#This Row],[Affected Feeder ]],'Basic Data'!$A:$A,'Basic Data'!$B:$B),"")</f>
        <v>PWEPL</v>
      </c>
      <c r="I695" s="79" t="str">
        <f>IFERROR(_xlfn.XLOOKUP(Table6[[#This Row],[Affected Feeder ]],'Basic Data'!$A:$A,'Basic Data'!$C:$C),"")</f>
        <v>MSEDCL</v>
      </c>
      <c r="J695" s="295">
        <f>IFERROR(_xlfn.XLOOKUP(Table6[[#This Row],[Affected Feeder ]],'Basic Data'!$A:$A,'Basic Data'!$E:$E),"")</f>
        <v>2.2727272727272728E-2</v>
      </c>
      <c r="K695" s="296" t="s">
        <v>171</v>
      </c>
      <c r="L695" s="297">
        <v>0.20486111111111113</v>
      </c>
      <c r="M695" s="297">
        <v>0.20486111111111113</v>
      </c>
      <c r="N695" s="297">
        <v>0.21875</v>
      </c>
      <c r="O695" s="19">
        <f>(Table6[[#This Row],[Work Start TimeStamp]]-Table6[[#This Row],[Fault Start TimeStamp]])*24</f>
        <v>0</v>
      </c>
      <c r="P695" s="19">
        <f>(Table6[[#This Row],[Fault Clearance time]]-Table6[[#This Row],[Fault Start TimeStamp]])*24</f>
        <v>0.33333333333333282</v>
      </c>
      <c r="Q695" s="19">
        <f>(Table6[[#This Row],[Fault Clearance time]]-Table6[[#This Row],[Fault Start TimeStamp]])*24</f>
        <v>0.33333333333333282</v>
      </c>
      <c r="R695" s="79" t="s">
        <v>353</v>
      </c>
      <c r="S695" s="79" t="s">
        <v>339</v>
      </c>
      <c r="T695" s="298">
        <f>IFERROR(Table6[[#This Row],[Breakdown Time]]*Table6[[#This Row],[Plant Equivalent Weightage]],"")</f>
        <v>7.5757575757575638E-3</v>
      </c>
      <c r="U695" s="79" t="s">
        <v>421</v>
      </c>
      <c r="W695" s="79">
        <v>150</v>
      </c>
    </row>
    <row r="696" spans="1:23">
      <c r="A696" s="79">
        <f t="shared" si="10"/>
        <v>695</v>
      </c>
      <c r="B696" s="79">
        <f>YEAR(Table6[[#This Row],[Date]])+IF(MONTH(Table6[[#This Row],[Date]])&gt;=4,1,0)</f>
        <v>2026</v>
      </c>
      <c r="C696" s="79">
        <f>YEAR(Table6[[#This Row],[Date]])</f>
        <v>2025</v>
      </c>
      <c r="D696" s="79" t="s">
        <v>344</v>
      </c>
      <c r="E696" s="284">
        <f>Table6[[#This Row],[Date]]-DAY(Table6[[#This Row],[Date]])+1</f>
        <v>45778</v>
      </c>
      <c r="F696" s="285">
        <v>45800</v>
      </c>
      <c r="G696" s="79" t="s">
        <v>116</v>
      </c>
      <c r="H696" s="79" t="str">
        <f>IFERROR(_xlfn.XLOOKUP(Table6[[#This Row],[Affected Feeder ]],'Basic Data'!$A:$A,'Basic Data'!$B:$B),"")</f>
        <v>PWEPL</v>
      </c>
      <c r="I696" s="79" t="str">
        <f>IFERROR(_xlfn.XLOOKUP(Table6[[#This Row],[Affected Feeder ]],'Basic Data'!$A:$A,'Basic Data'!$C:$C),"")</f>
        <v>MSEDCL</v>
      </c>
      <c r="J696" s="295">
        <f>IFERROR(_xlfn.XLOOKUP(Table6[[#This Row],[Affected Feeder ]],'Basic Data'!$A:$A,'Basic Data'!$E:$E),"")</f>
        <v>2.2727272727272728E-2</v>
      </c>
      <c r="K696" s="296" t="s">
        <v>171</v>
      </c>
      <c r="L696" s="297">
        <v>0.20486111111111113</v>
      </c>
      <c r="M696" s="297">
        <v>0.20486111111111113</v>
      </c>
      <c r="N696" s="297">
        <v>0.21875</v>
      </c>
      <c r="O696" s="19">
        <f>(Table6[[#This Row],[Work Start TimeStamp]]-Table6[[#This Row],[Fault Start TimeStamp]])*24</f>
        <v>0</v>
      </c>
      <c r="P696" s="19">
        <f>(Table6[[#This Row],[Fault Clearance time]]-Table6[[#This Row],[Fault Start TimeStamp]])*24</f>
        <v>0.33333333333333282</v>
      </c>
      <c r="Q696" s="19">
        <f>(Table6[[#This Row],[Fault Clearance time]]-Table6[[#This Row],[Fault Start TimeStamp]])*24</f>
        <v>0.33333333333333282</v>
      </c>
      <c r="R696" s="79" t="s">
        <v>353</v>
      </c>
      <c r="S696" s="79" t="s">
        <v>339</v>
      </c>
      <c r="T696" s="298">
        <f>IFERROR(Table6[[#This Row],[Breakdown Time]]*Table6[[#This Row],[Plant Equivalent Weightage]],"")</f>
        <v>7.5757575757575638E-3</v>
      </c>
      <c r="U696" s="79" t="s">
        <v>421</v>
      </c>
      <c r="W696" s="79">
        <v>150</v>
      </c>
    </row>
    <row r="697" spans="1:23">
      <c r="A697" s="79">
        <f t="shared" si="10"/>
        <v>696</v>
      </c>
      <c r="B697" s="79">
        <f>YEAR(Table6[[#This Row],[Date]])+IF(MONTH(Table6[[#This Row],[Date]])&gt;=4,1,0)</f>
        <v>2026</v>
      </c>
      <c r="C697" s="79">
        <f>YEAR(Table6[[#This Row],[Date]])</f>
        <v>2025</v>
      </c>
      <c r="D697" s="79" t="s">
        <v>344</v>
      </c>
      <c r="E697" s="284">
        <f>Table6[[#This Row],[Date]]-DAY(Table6[[#This Row],[Date]])+1</f>
        <v>45778</v>
      </c>
      <c r="F697" s="285">
        <v>45800</v>
      </c>
      <c r="G697" s="79" t="s">
        <v>117</v>
      </c>
      <c r="H697" s="79" t="str">
        <f>IFERROR(_xlfn.XLOOKUP(Table6[[#This Row],[Affected Feeder ]],'Basic Data'!$A:$A,'Basic Data'!$B:$B),"")</f>
        <v>PWEPL</v>
      </c>
      <c r="I697" s="79" t="str">
        <f>IFERROR(_xlfn.XLOOKUP(Table6[[#This Row],[Affected Feeder ]],'Basic Data'!$A:$A,'Basic Data'!$C:$C),"")</f>
        <v>MSEDCL</v>
      </c>
      <c r="J697" s="295">
        <f>IFERROR(_xlfn.XLOOKUP(Table6[[#This Row],[Affected Feeder ]],'Basic Data'!$A:$A,'Basic Data'!$E:$E),"")</f>
        <v>2.2727272727272728E-2</v>
      </c>
      <c r="K697" s="296" t="s">
        <v>171</v>
      </c>
      <c r="L697" s="297">
        <v>0.20486111111111113</v>
      </c>
      <c r="M697" s="297">
        <v>0.20486111111111113</v>
      </c>
      <c r="N697" s="297">
        <v>0.21875</v>
      </c>
      <c r="O697" s="19">
        <f>(Table6[[#This Row],[Work Start TimeStamp]]-Table6[[#This Row],[Fault Start TimeStamp]])*24</f>
        <v>0</v>
      </c>
      <c r="P697" s="19">
        <f>(Table6[[#This Row],[Fault Clearance time]]-Table6[[#This Row],[Fault Start TimeStamp]])*24</f>
        <v>0.33333333333333282</v>
      </c>
      <c r="Q697" s="19">
        <f>(Table6[[#This Row],[Fault Clearance time]]-Table6[[#This Row],[Fault Start TimeStamp]])*24</f>
        <v>0.33333333333333282</v>
      </c>
      <c r="R697" s="79" t="s">
        <v>353</v>
      </c>
      <c r="S697" s="79" t="s">
        <v>339</v>
      </c>
      <c r="T697" s="298">
        <f>IFERROR(Table6[[#This Row],[Breakdown Time]]*Table6[[#This Row],[Plant Equivalent Weightage]],"")</f>
        <v>7.5757575757575638E-3</v>
      </c>
      <c r="U697" s="79" t="s">
        <v>421</v>
      </c>
      <c r="W697" s="79">
        <v>150</v>
      </c>
    </row>
    <row r="698" spans="1:23">
      <c r="A698" s="79">
        <f t="shared" si="10"/>
        <v>697</v>
      </c>
      <c r="B698" s="79">
        <f>YEAR(Table6[[#This Row],[Date]])+IF(MONTH(Table6[[#This Row],[Date]])&gt;=4,1,0)</f>
        <v>2026</v>
      </c>
      <c r="C698" s="79">
        <f>YEAR(Table6[[#This Row],[Date]])</f>
        <v>2025</v>
      </c>
      <c r="D698" s="79" t="s">
        <v>344</v>
      </c>
      <c r="E698" s="284">
        <f>Table6[[#This Row],[Date]]-DAY(Table6[[#This Row],[Date]])+1</f>
        <v>45778</v>
      </c>
      <c r="F698" s="285">
        <v>45800</v>
      </c>
      <c r="G698" s="79" t="s">
        <v>118</v>
      </c>
      <c r="H698" s="79" t="str">
        <f>IFERROR(_xlfn.XLOOKUP(Table6[[#This Row],[Affected Feeder ]],'Basic Data'!$A:$A,'Basic Data'!$B:$B),"")</f>
        <v>PWEPL</v>
      </c>
      <c r="I698" s="79" t="str">
        <f>IFERROR(_xlfn.XLOOKUP(Table6[[#This Row],[Affected Feeder ]],'Basic Data'!$A:$A,'Basic Data'!$C:$C),"")</f>
        <v>MSEDCL</v>
      </c>
      <c r="J698" s="295">
        <f>IFERROR(_xlfn.XLOOKUP(Table6[[#This Row],[Affected Feeder ]],'Basic Data'!$A:$A,'Basic Data'!$E:$E),"")</f>
        <v>2.2727272727272728E-2</v>
      </c>
      <c r="K698" s="296" t="s">
        <v>171</v>
      </c>
      <c r="L698" s="297">
        <v>0.20486111111111113</v>
      </c>
      <c r="M698" s="297">
        <v>0.20486111111111113</v>
      </c>
      <c r="N698" s="297">
        <v>0.21875</v>
      </c>
      <c r="O698" s="19">
        <f>(Table6[[#This Row],[Work Start TimeStamp]]-Table6[[#This Row],[Fault Start TimeStamp]])*24</f>
        <v>0</v>
      </c>
      <c r="P698" s="19">
        <f>(Table6[[#This Row],[Fault Clearance time]]-Table6[[#This Row],[Fault Start TimeStamp]])*24</f>
        <v>0.33333333333333282</v>
      </c>
      <c r="Q698" s="19">
        <f>(Table6[[#This Row],[Fault Clearance time]]-Table6[[#This Row],[Fault Start TimeStamp]])*24</f>
        <v>0.33333333333333282</v>
      </c>
      <c r="R698" s="79" t="s">
        <v>353</v>
      </c>
      <c r="S698" s="79" t="s">
        <v>339</v>
      </c>
      <c r="T698" s="298">
        <f>IFERROR(Table6[[#This Row],[Breakdown Time]]*Table6[[#This Row],[Plant Equivalent Weightage]],"")</f>
        <v>7.5757575757575638E-3</v>
      </c>
      <c r="U698" s="79" t="s">
        <v>421</v>
      </c>
      <c r="W698" s="79">
        <v>150</v>
      </c>
    </row>
    <row r="699" spans="1:23">
      <c r="A699" s="79">
        <f t="shared" si="10"/>
        <v>698</v>
      </c>
      <c r="B699" s="79">
        <f>YEAR(Table6[[#This Row],[Date]])+IF(MONTH(Table6[[#This Row],[Date]])&gt;=4,1,0)</f>
        <v>2026</v>
      </c>
      <c r="C699" s="79">
        <f>YEAR(Table6[[#This Row],[Date]])</f>
        <v>2025</v>
      </c>
      <c r="D699" s="79" t="s">
        <v>344</v>
      </c>
      <c r="E699" s="284">
        <f>Table6[[#This Row],[Date]]-DAY(Table6[[#This Row],[Date]])+1</f>
        <v>45778</v>
      </c>
      <c r="F699" s="285">
        <v>45800</v>
      </c>
      <c r="G699" s="79" t="s">
        <v>80</v>
      </c>
      <c r="H699" s="79" t="str">
        <f>IFERROR(_xlfn.XLOOKUP(Table6[[#This Row],[Affected Feeder ]],'Basic Data'!$A:$A,'Basic Data'!$B:$B),"")</f>
        <v>PWEPL</v>
      </c>
      <c r="I699" s="79" t="str">
        <f>IFERROR(_xlfn.XLOOKUP(Table6[[#This Row],[Affected Feeder ]],'Basic Data'!$A:$A,'Basic Data'!$C:$C),"")</f>
        <v>MSEDCL</v>
      </c>
      <c r="J699" s="295">
        <f>IFERROR(_xlfn.XLOOKUP(Table6[[#This Row],[Affected Feeder ]],'Basic Data'!$A:$A,'Basic Data'!$E:$E),"")</f>
        <v>2.2727272727272728E-2</v>
      </c>
      <c r="K699" s="296" t="s">
        <v>830</v>
      </c>
      <c r="L699" s="297">
        <v>0.48541666666666666</v>
      </c>
      <c r="M699" s="297">
        <v>0.48541666666666666</v>
      </c>
      <c r="N699" s="297">
        <v>0.49444444444444446</v>
      </c>
      <c r="O699" s="19">
        <f>(Table6[[#This Row],[Work Start TimeStamp]]-Table6[[#This Row],[Fault Start TimeStamp]])*24</f>
        <v>0</v>
      </c>
      <c r="P699" s="19">
        <f>(Table6[[#This Row],[Fault Clearance time]]-Table6[[#This Row],[Fault Start TimeStamp]])*24</f>
        <v>0.21666666666666723</v>
      </c>
      <c r="Q699" s="19">
        <f>(Table6[[#This Row],[Fault Clearance time]]-Table6[[#This Row],[Fault Start TimeStamp]])*24</f>
        <v>0.21666666666666723</v>
      </c>
      <c r="R699" s="79" t="s">
        <v>818</v>
      </c>
      <c r="S699" s="79" t="s">
        <v>339</v>
      </c>
      <c r="T699" s="298">
        <f>IFERROR(Table6[[#This Row],[Breakdown Time]]*Table6[[#This Row],[Plant Equivalent Weightage]],"")</f>
        <v>4.9242424242424369E-3</v>
      </c>
      <c r="U699" s="79" t="s">
        <v>421</v>
      </c>
      <c r="W699" s="79">
        <v>219</v>
      </c>
    </row>
    <row r="700" spans="1:23">
      <c r="A700" s="79">
        <f t="shared" si="10"/>
        <v>699</v>
      </c>
      <c r="B700" s="79">
        <f>YEAR(Table6[[#This Row],[Date]])+IF(MONTH(Table6[[#This Row],[Date]])&gt;=4,1,0)</f>
        <v>2026</v>
      </c>
      <c r="C700" s="79">
        <f>YEAR(Table6[[#This Row],[Date]])</f>
        <v>2025</v>
      </c>
      <c r="D700" s="79" t="s">
        <v>344</v>
      </c>
      <c r="E700" s="284">
        <f>Table6[[#This Row],[Date]]-DAY(Table6[[#This Row],[Date]])+1</f>
        <v>45778</v>
      </c>
      <c r="F700" s="285">
        <v>45800</v>
      </c>
      <c r="G700" s="79" t="s">
        <v>80</v>
      </c>
      <c r="H700" s="79" t="str">
        <f>IFERROR(_xlfn.XLOOKUP(Table6[[#This Row],[Affected Feeder ]],'Basic Data'!$A:$A,'Basic Data'!$B:$B),"")</f>
        <v>PWEPL</v>
      </c>
      <c r="I700" s="79" t="str">
        <f>IFERROR(_xlfn.XLOOKUP(Table6[[#This Row],[Affected Feeder ]],'Basic Data'!$A:$A,'Basic Data'!$C:$C),"")</f>
        <v>MSEDCL</v>
      </c>
      <c r="J700" s="295">
        <f>IFERROR(_xlfn.XLOOKUP(Table6[[#This Row],[Affected Feeder ]],'Basic Data'!$A:$A,'Basic Data'!$E:$E),"")</f>
        <v>2.2727272727272728E-2</v>
      </c>
      <c r="K700" s="296" t="s">
        <v>171</v>
      </c>
      <c r="L700" s="297">
        <v>0.49444444444444446</v>
      </c>
      <c r="M700" s="297">
        <v>0.49444444444444446</v>
      </c>
      <c r="N700" s="297">
        <v>0.5083333333333333</v>
      </c>
      <c r="O700" s="19">
        <f>(Table6[[#This Row],[Work Start TimeStamp]]-Table6[[#This Row],[Fault Start TimeStamp]])*24</f>
        <v>0</v>
      </c>
      <c r="P700" s="19">
        <f>(Table6[[#This Row],[Fault Clearance time]]-Table6[[#This Row],[Fault Start TimeStamp]])*24</f>
        <v>0.33333333333333215</v>
      </c>
      <c r="Q700" s="19">
        <f>(Table6[[#This Row],[Fault Clearance time]]-Table6[[#This Row],[Fault Start TimeStamp]])*24</f>
        <v>0.33333333333333215</v>
      </c>
      <c r="R700" s="79" t="s">
        <v>353</v>
      </c>
      <c r="S700" s="79" t="s">
        <v>339</v>
      </c>
      <c r="T700" s="298">
        <f>IFERROR(Table6[[#This Row],[Breakdown Time]]*Table6[[#This Row],[Plant Equivalent Weightage]],"")</f>
        <v>7.5757575757575491E-3</v>
      </c>
      <c r="U700" s="79" t="s">
        <v>416</v>
      </c>
      <c r="W700" s="79">
        <v>34</v>
      </c>
    </row>
    <row r="701" spans="1:23">
      <c r="A701" s="79">
        <f t="shared" si="10"/>
        <v>700</v>
      </c>
      <c r="B701" s="79">
        <f>YEAR(Table6[[#This Row],[Date]])+IF(MONTH(Table6[[#This Row],[Date]])&gt;=4,1,0)</f>
        <v>2026</v>
      </c>
      <c r="C701" s="79">
        <f>YEAR(Table6[[#This Row],[Date]])</f>
        <v>2025</v>
      </c>
      <c r="D701" s="79" t="s">
        <v>344</v>
      </c>
      <c r="E701" s="284">
        <f>Table6[[#This Row],[Date]]-DAY(Table6[[#This Row],[Date]])+1</f>
        <v>45778</v>
      </c>
      <c r="F701" s="285">
        <v>45802</v>
      </c>
      <c r="G701" s="79" t="s">
        <v>406</v>
      </c>
      <c r="H701" s="79" t="str">
        <f>IFERROR(_xlfn.XLOOKUP(Table6[[#This Row],[Affected Feeder ]],'Basic Data'!$A:$A,'Basic Data'!$B:$B),"")</f>
        <v>PWEPL</v>
      </c>
      <c r="I701" s="79" t="str">
        <f>IFERROR(_xlfn.XLOOKUP(Table6[[#This Row],[Affected Feeder ]],'Basic Data'!$A:$A,'Basic Data'!$C:$C),"")</f>
        <v>MSEDCL</v>
      </c>
      <c r="J701" s="295">
        <f>IFERROR(_xlfn.XLOOKUP(Table6[[#This Row],[Affected Feeder ]],'Basic Data'!$A:$A,'Basic Data'!$E:$E),"")</f>
        <v>0.29545454545454541</v>
      </c>
      <c r="K701" s="296" t="s">
        <v>419</v>
      </c>
      <c r="L701" s="297">
        <v>0.10902777777777778</v>
      </c>
      <c r="M701" s="297">
        <v>0.10902777777777778</v>
      </c>
      <c r="N701" s="297">
        <v>0.15763888888888888</v>
      </c>
      <c r="O701" s="19">
        <f>(Table6[[#This Row],[Work Start TimeStamp]]-Table6[[#This Row],[Fault Start TimeStamp]])*24</f>
        <v>0</v>
      </c>
      <c r="P701" s="19">
        <f>(Table6[[#This Row],[Fault Clearance time]]-Table6[[#This Row],[Fault Start TimeStamp]])*24</f>
        <v>1.1666666666666665</v>
      </c>
      <c r="Q701" s="19">
        <f>(Table6[[#This Row],[Fault Clearance time]]-Table6[[#This Row],[Fault Start TimeStamp]])*24</f>
        <v>1.1666666666666665</v>
      </c>
      <c r="R701" s="79" t="s">
        <v>865</v>
      </c>
      <c r="S701" s="79" t="s">
        <v>339</v>
      </c>
      <c r="T701" s="298">
        <f>IFERROR(Table6[[#This Row],[Breakdown Time]]*Table6[[#This Row],[Plant Equivalent Weightage]],"")</f>
        <v>0.34469696969696961</v>
      </c>
      <c r="U701" s="79" t="s">
        <v>421</v>
      </c>
      <c r="W701" s="79">
        <v>899</v>
      </c>
    </row>
    <row r="702" spans="1:23">
      <c r="A702" s="79">
        <f t="shared" si="10"/>
        <v>701</v>
      </c>
      <c r="B702" s="79">
        <f>YEAR(Table6[[#This Row],[Date]])+IF(MONTH(Table6[[#This Row],[Date]])&gt;=4,1,0)</f>
        <v>2026</v>
      </c>
      <c r="C702" s="79">
        <f>YEAR(Table6[[#This Row],[Date]])</f>
        <v>2025</v>
      </c>
      <c r="D702" s="79" t="s">
        <v>344</v>
      </c>
      <c r="E702" s="284">
        <f>Table6[[#This Row],[Date]]-DAY(Table6[[#This Row],[Date]])+1</f>
        <v>45778</v>
      </c>
      <c r="F702" s="285">
        <v>45802</v>
      </c>
      <c r="G702" s="79" t="s">
        <v>76</v>
      </c>
      <c r="H702" s="79" t="str">
        <f>IFERROR(_xlfn.XLOOKUP(Table6[[#This Row],[Affected Feeder ]],'Basic Data'!$A:$A,'Basic Data'!$B:$B),"")</f>
        <v>PWEPL</v>
      </c>
      <c r="I702" s="79" t="str">
        <f>IFERROR(_xlfn.XLOOKUP(Table6[[#This Row],[Affected Feeder ]],'Basic Data'!$A:$A,'Basic Data'!$C:$C),"")</f>
        <v>MSEDCL</v>
      </c>
      <c r="J702" s="295">
        <f>IFERROR(_xlfn.XLOOKUP(Table6[[#This Row],[Affected Feeder ]],'Basic Data'!$A:$A,'Basic Data'!$E:$E),"")</f>
        <v>2.2727272727272728E-2</v>
      </c>
      <c r="K702" s="296" t="s">
        <v>171</v>
      </c>
      <c r="L702" s="297">
        <v>0.15763888888888888</v>
      </c>
      <c r="M702" s="297">
        <v>0.15763888888888888</v>
      </c>
      <c r="N702" s="297">
        <v>0.17152777777777775</v>
      </c>
      <c r="O702" s="19">
        <f>(Table6[[#This Row],[Work Start TimeStamp]]-Table6[[#This Row],[Fault Start TimeStamp]])*24</f>
        <v>0</v>
      </c>
      <c r="P702" s="19">
        <f>(Table6[[#This Row],[Fault Clearance time]]-Table6[[#This Row],[Fault Start TimeStamp]])*24</f>
        <v>0.33333333333333282</v>
      </c>
      <c r="Q702" s="19">
        <f>(Table6[[#This Row],[Fault Clearance time]]-Table6[[#This Row],[Fault Start TimeStamp]])*24</f>
        <v>0.33333333333333282</v>
      </c>
      <c r="R702" s="79" t="s">
        <v>353</v>
      </c>
      <c r="S702" s="79" t="s">
        <v>339</v>
      </c>
      <c r="T702" s="298">
        <f>IFERROR(Table6[[#This Row],[Breakdown Time]]*Table6[[#This Row],[Plant Equivalent Weightage]],"")</f>
        <v>7.5757575757575638E-3</v>
      </c>
      <c r="U702" s="79" t="s">
        <v>421</v>
      </c>
      <c r="W702" s="79">
        <v>20</v>
      </c>
    </row>
    <row r="703" spans="1:23">
      <c r="A703" s="79">
        <f t="shared" si="10"/>
        <v>702</v>
      </c>
      <c r="B703" s="79">
        <f>YEAR(Table6[[#This Row],[Date]])+IF(MONTH(Table6[[#This Row],[Date]])&gt;=4,1,0)</f>
        <v>2026</v>
      </c>
      <c r="C703" s="79">
        <f>YEAR(Table6[[#This Row],[Date]])</f>
        <v>2025</v>
      </c>
      <c r="D703" s="79" t="s">
        <v>344</v>
      </c>
      <c r="E703" s="284">
        <f>Table6[[#This Row],[Date]]-DAY(Table6[[#This Row],[Date]])+1</f>
        <v>45778</v>
      </c>
      <c r="F703" s="285">
        <v>45802</v>
      </c>
      <c r="G703" s="79" t="s">
        <v>77</v>
      </c>
      <c r="H703" s="79" t="str">
        <f>IFERROR(_xlfn.XLOOKUP(Table6[[#This Row],[Affected Feeder ]],'Basic Data'!$A:$A,'Basic Data'!$B:$B),"")</f>
        <v>PWEPL</v>
      </c>
      <c r="I703" s="79" t="str">
        <f>IFERROR(_xlfn.XLOOKUP(Table6[[#This Row],[Affected Feeder ]],'Basic Data'!$A:$A,'Basic Data'!$C:$C),"")</f>
        <v>MSEDCL</v>
      </c>
      <c r="J703" s="295">
        <f>IFERROR(_xlfn.XLOOKUP(Table6[[#This Row],[Affected Feeder ]],'Basic Data'!$A:$A,'Basic Data'!$E:$E),"")</f>
        <v>2.2727272727272728E-2</v>
      </c>
      <c r="K703" s="296" t="s">
        <v>171</v>
      </c>
      <c r="L703" s="297">
        <v>0.15763888888888888</v>
      </c>
      <c r="M703" s="297">
        <v>0.15763888888888888</v>
      </c>
      <c r="N703" s="297">
        <v>0.17152777777777775</v>
      </c>
      <c r="O703" s="19">
        <f>(Table6[[#This Row],[Work Start TimeStamp]]-Table6[[#This Row],[Fault Start TimeStamp]])*24</f>
        <v>0</v>
      </c>
      <c r="P703" s="19">
        <f>(Table6[[#This Row],[Fault Clearance time]]-Table6[[#This Row],[Fault Start TimeStamp]])*24</f>
        <v>0.33333333333333282</v>
      </c>
      <c r="Q703" s="19">
        <f>(Table6[[#This Row],[Fault Clearance time]]-Table6[[#This Row],[Fault Start TimeStamp]])*24</f>
        <v>0.33333333333333282</v>
      </c>
      <c r="R703" s="79" t="s">
        <v>353</v>
      </c>
      <c r="S703" s="79" t="s">
        <v>339</v>
      </c>
      <c r="T703" s="298">
        <f>IFERROR(Table6[[#This Row],[Breakdown Time]]*Table6[[#This Row],[Plant Equivalent Weightage]],"")</f>
        <v>7.5757575757575638E-3</v>
      </c>
      <c r="U703" s="79" t="s">
        <v>421</v>
      </c>
      <c r="W703" s="79">
        <v>20</v>
      </c>
    </row>
    <row r="704" spans="1:23">
      <c r="A704" s="79">
        <f t="shared" si="10"/>
        <v>703</v>
      </c>
      <c r="B704" s="79">
        <f>YEAR(Table6[[#This Row],[Date]])+IF(MONTH(Table6[[#This Row],[Date]])&gt;=4,1,0)</f>
        <v>2026</v>
      </c>
      <c r="C704" s="79">
        <f>YEAR(Table6[[#This Row],[Date]])</f>
        <v>2025</v>
      </c>
      <c r="D704" s="79" t="s">
        <v>344</v>
      </c>
      <c r="E704" s="284">
        <f>Table6[[#This Row],[Date]]-DAY(Table6[[#This Row],[Date]])+1</f>
        <v>45778</v>
      </c>
      <c r="F704" s="285">
        <v>45802</v>
      </c>
      <c r="G704" s="79" t="s">
        <v>78</v>
      </c>
      <c r="H704" s="79" t="str">
        <f>IFERROR(_xlfn.XLOOKUP(Table6[[#This Row],[Affected Feeder ]],'Basic Data'!$A:$A,'Basic Data'!$B:$B),"")</f>
        <v>PWEPL</v>
      </c>
      <c r="I704" s="79" t="str">
        <f>IFERROR(_xlfn.XLOOKUP(Table6[[#This Row],[Affected Feeder ]],'Basic Data'!$A:$A,'Basic Data'!$C:$C),"")</f>
        <v>MSEDCL</v>
      </c>
      <c r="J704" s="295">
        <f>IFERROR(_xlfn.XLOOKUP(Table6[[#This Row],[Affected Feeder ]],'Basic Data'!$A:$A,'Basic Data'!$E:$E),"")</f>
        <v>2.2727272727272728E-2</v>
      </c>
      <c r="K704" s="296" t="s">
        <v>171</v>
      </c>
      <c r="L704" s="297">
        <v>0.15763888888888888</v>
      </c>
      <c r="M704" s="297">
        <v>0.15763888888888888</v>
      </c>
      <c r="N704" s="297">
        <v>0.17152777777777775</v>
      </c>
      <c r="O704" s="19">
        <f>(Table6[[#This Row],[Work Start TimeStamp]]-Table6[[#This Row],[Fault Start TimeStamp]])*24</f>
        <v>0</v>
      </c>
      <c r="P704" s="19">
        <f>(Table6[[#This Row],[Fault Clearance time]]-Table6[[#This Row],[Fault Start TimeStamp]])*24</f>
        <v>0.33333333333333282</v>
      </c>
      <c r="Q704" s="19">
        <f>(Table6[[#This Row],[Fault Clearance time]]-Table6[[#This Row],[Fault Start TimeStamp]])*24</f>
        <v>0.33333333333333282</v>
      </c>
      <c r="R704" s="79" t="s">
        <v>353</v>
      </c>
      <c r="S704" s="79" t="s">
        <v>339</v>
      </c>
      <c r="T704" s="298">
        <f>IFERROR(Table6[[#This Row],[Breakdown Time]]*Table6[[#This Row],[Plant Equivalent Weightage]],"")</f>
        <v>7.5757575757575638E-3</v>
      </c>
      <c r="U704" s="79" t="s">
        <v>421</v>
      </c>
      <c r="W704" s="79">
        <v>20</v>
      </c>
    </row>
    <row r="705" spans="1:23">
      <c r="A705" s="79">
        <f t="shared" si="10"/>
        <v>704</v>
      </c>
      <c r="B705" s="79">
        <f>YEAR(Table6[[#This Row],[Date]])+IF(MONTH(Table6[[#This Row],[Date]])&gt;=4,1,0)</f>
        <v>2026</v>
      </c>
      <c r="C705" s="79">
        <f>YEAR(Table6[[#This Row],[Date]])</f>
        <v>2025</v>
      </c>
      <c r="D705" s="79" t="s">
        <v>344</v>
      </c>
      <c r="E705" s="284">
        <f>Table6[[#This Row],[Date]]-DAY(Table6[[#This Row],[Date]])+1</f>
        <v>45778</v>
      </c>
      <c r="F705" s="285">
        <v>45802</v>
      </c>
      <c r="G705" s="79" t="s">
        <v>82</v>
      </c>
      <c r="H705" s="79" t="str">
        <f>IFERROR(_xlfn.XLOOKUP(Table6[[#This Row],[Affected Feeder ]],'Basic Data'!$A:$A,'Basic Data'!$B:$B),"")</f>
        <v>PWEPL</v>
      </c>
      <c r="I705" s="79" t="str">
        <f>IFERROR(_xlfn.XLOOKUP(Table6[[#This Row],[Affected Feeder ]],'Basic Data'!$A:$A,'Basic Data'!$C:$C),"")</f>
        <v>MSEDCL</v>
      </c>
      <c r="J705" s="295">
        <f>IFERROR(_xlfn.XLOOKUP(Table6[[#This Row],[Affected Feeder ]],'Basic Data'!$A:$A,'Basic Data'!$E:$E),"")</f>
        <v>2.2727272727272728E-2</v>
      </c>
      <c r="K705" s="296" t="s">
        <v>171</v>
      </c>
      <c r="L705" s="297">
        <v>0.15763888888888888</v>
      </c>
      <c r="M705" s="297">
        <v>0.15763888888888888</v>
      </c>
      <c r="N705" s="297">
        <v>0.17152777777777775</v>
      </c>
      <c r="O705" s="19">
        <f>(Table6[[#This Row],[Work Start TimeStamp]]-Table6[[#This Row],[Fault Start TimeStamp]])*24</f>
        <v>0</v>
      </c>
      <c r="P705" s="19">
        <f>(Table6[[#This Row],[Fault Clearance time]]-Table6[[#This Row],[Fault Start TimeStamp]])*24</f>
        <v>0.33333333333333282</v>
      </c>
      <c r="Q705" s="19">
        <f>(Table6[[#This Row],[Fault Clearance time]]-Table6[[#This Row],[Fault Start TimeStamp]])*24</f>
        <v>0.33333333333333282</v>
      </c>
      <c r="R705" s="79" t="s">
        <v>353</v>
      </c>
      <c r="S705" s="79" t="s">
        <v>339</v>
      </c>
      <c r="T705" s="298">
        <f>IFERROR(Table6[[#This Row],[Breakdown Time]]*Table6[[#This Row],[Plant Equivalent Weightage]],"")</f>
        <v>7.5757575757575638E-3</v>
      </c>
      <c r="U705" s="79" t="s">
        <v>421</v>
      </c>
      <c r="W705" s="79">
        <v>20</v>
      </c>
    </row>
    <row r="706" spans="1:23">
      <c r="A706" s="79">
        <f t="shared" si="10"/>
        <v>705</v>
      </c>
      <c r="B706" s="79">
        <f>YEAR(Table6[[#This Row],[Date]])+IF(MONTH(Table6[[#This Row],[Date]])&gt;=4,1,0)</f>
        <v>2026</v>
      </c>
      <c r="C706" s="79">
        <f>YEAR(Table6[[#This Row],[Date]])</f>
        <v>2025</v>
      </c>
      <c r="D706" s="79" t="s">
        <v>344</v>
      </c>
      <c r="E706" s="284">
        <f>Table6[[#This Row],[Date]]-DAY(Table6[[#This Row],[Date]])+1</f>
        <v>45778</v>
      </c>
      <c r="F706" s="285">
        <v>45802</v>
      </c>
      <c r="G706" s="79" t="s">
        <v>93</v>
      </c>
      <c r="H706" s="79" t="str">
        <f>IFERROR(_xlfn.XLOOKUP(Table6[[#This Row],[Affected Feeder ]],'Basic Data'!$A:$A,'Basic Data'!$B:$B),"")</f>
        <v>PWEPL</v>
      </c>
      <c r="I706" s="79" t="str">
        <f>IFERROR(_xlfn.XLOOKUP(Table6[[#This Row],[Affected Feeder ]],'Basic Data'!$A:$A,'Basic Data'!$C:$C),"")</f>
        <v>MSEDCL</v>
      </c>
      <c r="J706" s="295">
        <f>IFERROR(_xlfn.XLOOKUP(Table6[[#This Row],[Affected Feeder ]],'Basic Data'!$A:$A,'Basic Data'!$E:$E),"")</f>
        <v>2.2727272727272728E-2</v>
      </c>
      <c r="K706" s="296" t="s">
        <v>171</v>
      </c>
      <c r="L706" s="297">
        <v>0.15763888888888888</v>
      </c>
      <c r="M706" s="297">
        <v>0.15763888888888888</v>
      </c>
      <c r="N706" s="297">
        <v>0.17152777777777775</v>
      </c>
      <c r="O706" s="19">
        <f>(Table6[[#This Row],[Work Start TimeStamp]]-Table6[[#This Row],[Fault Start TimeStamp]])*24</f>
        <v>0</v>
      </c>
      <c r="P706" s="19">
        <f>(Table6[[#This Row],[Fault Clearance time]]-Table6[[#This Row],[Fault Start TimeStamp]])*24</f>
        <v>0.33333333333333282</v>
      </c>
      <c r="Q706" s="19">
        <f>(Table6[[#This Row],[Fault Clearance time]]-Table6[[#This Row],[Fault Start TimeStamp]])*24</f>
        <v>0.33333333333333282</v>
      </c>
      <c r="R706" s="79" t="s">
        <v>353</v>
      </c>
      <c r="S706" s="79" t="s">
        <v>339</v>
      </c>
      <c r="T706" s="298">
        <f>IFERROR(Table6[[#This Row],[Breakdown Time]]*Table6[[#This Row],[Plant Equivalent Weightage]],"")</f>
        <v>7.5757575757575638E-3</v>
      </c>
      <c r="U706" s="79" t="s">
        <v>421</v>
      </c>
      <c r="W706" s="79">
        <v>20</v>
      </c>
    </row>
    <row r="707" spans="1:23">
      <c r="A707" s="79">
        <f t="shared" si="10"/>
        <v>706</v>
      </c>
      <c r="B707" s="79">
        <f>YEAR(Table6[[#This Row],[Date]])+IF(MONTH(Table6[[#This Row],[Date]])&gt;=4,1,0)</f>
        <v>2026</v>
      </c>
      <c r="C707" s="79">
        <f>YEAR(Table6[[#This Row],[Date]])</f>
        <v>2025</v>
      </c>
      <c r="D707" s="79" t="s">
        <v>344</v>
      </c>
      <c r="E707" s="284">
        <f>Table6[[#This Row],[Date]]-DAY(Table6[[#This Row],[Date]])+1</f>
        <v>45778</v>
      </c>
      <c r="F707" s="285">
        <v>45802</v>
      </c>
      <c r="G707" s="79" t="s">
        <v>102</v>
      </c>
      <c r="H707" s="79" t="str">
        <f>IFERROR(_xlfn.XLOOKUP(Table6[[#This Row],[Affected Feeder ]],'Basic Data'!$A:$A,'Basic Data'!$B:$B),"")</f>
        <v>PWEPL</v>
      </c>
      <c r="I707" s="79" t="str">
        <f>IFERROR(_xlfn.XLOOKUP(Table6[[#This Row],[Affected Feeder ]],'Basic Data'!$A:$A,'Basic Data'!$C:$C),"")</f>
        <v>MSEDCL</v>
      </c>
      <c r="J707" s="295">
        <f>IFERROR(_xlfn.XLOOKUP(Table6[[#This Row],[Affected Feeder ]],'Basic Data'!$A:$A,'Basic Data'!$E:$E),"")</f>
        <v>2.2727272727272728E-2</v>
      </c>
      <c r="K707" s="296" t="s">
        <v>171</v>
      </c>
      <c r="L707" s="297">
        <v>0.15763888888888888</v>
      </c>
      <c r="M707" s="297">
        <v>0.15763888888888888</v>
      </c>
      <c r="N707" s="297">
        <v>0.17152777777777775</v>
      </c>
      <c r="O707" s="19">
        <f>(Table6[[#This Row],[Work Start TimeStamp]]-Table6[[#This Row],[Fault Start TimeStamp]])*24</f>
        <v>0</v>
      </c>
      <c r="P707" s="19">
        <f>(Table6[[#This Row],[Fault Clearance time]]-Table6[[#This Row],[Fault Start TimeStamp]])*24</f>
        <v>0.33333333333333282</v>
      </c>
      <c r="Q707" s="19">
        <f>(Table6[[#This Row],[Fault Clearance time]]-Table6[[#This Row],[Fault Start TimeStamp]])*24</f>
        <v>0.33333333333333282</v>
      </c>
      <c r="R707" s="79" t="s">
        <v>353</v>
      </c>
      <c r="S707" s="79" t="s">
        <v>339</v>
      </c>
      <c r="T707" s="298">
        <f>IFERROR(Table6[[#This Row],[Breakdown Time]]*Table6[[#This Row],[Plant Equivalent Weightage]],"")</f>
        <v>7.5757575757575638E-3</v>
      </c>
      <c r="U707" s="79" t="s">
        <v>421</v>
      </c>
      <c r="W707" s="79">
        <v>20</v>
      </c>
    </row>
    <row r="708" spans="1:23">
      <c r="A708" s="79">
        <f t="shared" ref="A708:A771" si="11">A707+1</f>
        <v>707</v>
      </c>
      <c r="B708" s="79">
        <f>YEAR(Table6[[#This Row],[Date]])+IF(MONTH(Table6[[#This Row],[Date]])&gt;=4,1,0)</f>
        <v>2026</v>
      </c>
      <c r="C708" s="79">
        <f>YEAR(Table6[[#This Row],[Date]])</f>
        <v>2025</v>
      </c>
      <c r="D708" s="79" t="s">
        <v>344</v>
      </c>
      <c r="E708" s="284">
        <f>Table6[[#This Row],[Date]]-DAY(Table6[[#This Row],[Date]])+1</f>
        <v>45778</v>
      </c>
      <c r="F708" s="285">
        <v>45802</v>
      </c>
      <c r="G708" s="79" t="s">
        <v>119</v>
      </c>
      <c r="H708" s="79" t="str">
        <f>IFERROR(_xlfn.XLOOKUP(Table6[[#This Row],[Affected Feeder ]],'Basic Data'!$A:$A,'Basic Data'!$B:$B),"")</f>
        <v>PWEPL</v>
      </c>
      <c r="I708" s="79" t="str">
        <f>IFERROR(_xlfn.XLOOKUP(Table6[[#This Row],[Affected Feeder ]],'Basic Data'!$A:$A,'Basic Data'!$C:$C),"")</f>
        <v>MSEDCL</v>
      </c>
      <c r="J708" s="295">
        <f>IFERROR(_xlfn.XLOOKUP(Table6[[#This Row],[Affected Feeder ]],'Basic Data'!$A:$A,'Basic Data'!$E:$E),"")</f>
        <v>2.2727272727272728E-2</v>
      </c>
      <c r="K708" s="296" t="s">
        <v>171</v>
      </c>
      <c r="L708" s="297">
        <v>0.15763888888888888</v>
      </c>
      <c r="M708" s="297">
        <v>0.15763888888888888</v>
      </c>
      <c r="N708" s="297">
        <v>0.17152777777777775</v>
      </c>
      <c r="O708" s="19">
        <f>(Table6[[#This Row],[Work Start TimeStamp]]-Table6[[#This Row],[Fault Start TimeStamp]])*24</f>
        <v>0</v>
      </c>
      <c r="P708" s="19">
        <f>(Table6[[#This Row],[Fault Clearance time]]-Table6[[#This Row],[Fault Start TimeStamp]])*24</f>
        <v>0.33333333333333282</v>
      </c>
      <c r="Q708" s="19">
        <f>(Table6[[#This Row],[Fault Clearance time]]-Table6[[#This Row],[Fault Start TimeStamp]])*24</f>
        <v>0.33333333333333282</v>
      </c>
      <c r="R708" s="79" t="s">
        <v>353</v>
      </c>
      <c r="S708" s="79" t="s">
        <v>339</v>
      </c>
      <c r="T708" s="298">
        <f>IFERROR(Table6[[#This Row],[Breakdown Time]]*Table6[[#This Row],[Plant Equivalent Weightage]],"")</f>
        <v>7.5757575757575638E-3</v>
      </c>
      <c r="U708" s="79" t="s">
        <v>421</v>
      </c>
      <c r="W708" s="79">
        <v>20</v>
      </c>
    </row>
    <row r="709" spans="1:23">
      <c r="A709" s="79">
        <f t="shared" si="11"/>
        <v>708</v>
      </c>
      <c r="B709" s="79">
        <f>YEAR(Table6[[#This Row],[Date]])+IF(MONTH(Table6[[#This Row],[Date]])&gt;=4,1,0)</f>
        <v>2026</v>
      </c>
      <c r="C709" s="79">
        <f>YEAR(Table6[[#This Row],[Date]])</f>
        <v>2025</v>
      </c>
      <c r="D709" s="79" t="s">
        <v>344</v>
      </c>
      <c r="E709" s="284">
        <f>Table6[[#This Row],[Date]]-DAY(Table6[[#This Row],[Date]])+1</f>
        <v>45778</v>
      </c>
      <c r="F709" s="285">
        <v>45802</v>
      </c>
      <c r="G709" s="79" t="s">
        <v>103</v>
      </c>
      <c r="H709" s="79" t="str">
        <f>IFERROR(_xlfn.XLOOKUP(Table6[[#This Row],[Affected Feeder ]],'Basic Data'!$A:$A,'Basic Data'!$B:$B),"")</f>
        <v>PWEPL</v>
      </c>
      <c r="I709" s="79" t="str">
        <f>IFERROR(_xlfn.XLOOKUP(Table6[[#This Row],[Affected Feeder ]],'Basic Data'!$A:$A,'Basic Data'!$C:$C),"")</f>
        <v>MSEDCL</v>
      </c>
      <c r="J709" s="295">
        <f>IFERROR(_xlfn.XLOOKUP(Table6[[#This Row],[Affected Feeder ]],'Basic Data'!$A:$A,'Basic Data'!$E:$E),"")</f>
        <v>2.2727272727272728E-2</v>
      </c>
      <c r="K709" s="296" t="s">
        <v>171</v>
      </c>
      <c r="L709" s="297">
        <v>0.15763888888888888</v>
      </c>
      <c r="M709" s="297">
        <v>0.15763888888888888</v>
      </c>
      <c r="N709" s="297">
        <v>0.17152777777777775</v>
      </c>
      <c r="O709" s="19">
        <f>(Table6[[#This Row],[Work Start TimeStamp]]-Table6[[#This Row],[Fault Start TimeStamp]])*24</f>
        <v>0</v>
      </c>
      <c r="P709" s="19">
        <f>(Table6[[#This Row],[Fault Clearance time]]-Table6[[#This Row],[Fault Start TimeStamp]])*24</f>
        <v>0.33333333333333282</v>
      </c>
      <c r="Q709" s="19">
        <f>(Table6[[#This Row],[Fault Clearance time]]-Table6[[#This Row],[Fault Start TimeStamp]])*24</f>
        <v>0.33333333333333282</v>
      </c>
      <c r="R709" s="79" t="s">
        <v>353</v>
      </c>
      <c r="S709" s="79" t="s">
        <v>339</v>
      </c>
      <c r="T709" s="298">
        <f>IFERROR(Table6[[#This Row],[Breakdown Time]]*Table6[[#This Row],[Plant Equivalent Weightage]],"")</f>
        <v>7.5757575757575638E-3</v>
      </c>
      <c r="U709" s="79" t="s">
        <v>421</v>
      </c>
      <c r="W709" s="79">
        <v>20</v>
      </c>
    </row>
    <row r="710" spans="1:23">
      <c r="A710" s="79">
        <f t="shared" si="11"/>
        <v>709</v>
      </c>
      <c r="B710" s="79">
        <f>YEAR(Table6[[#This Row],[Date]])+IF(MONTH(Table6[[#This Row],[Date]])&gt;=4,1,0)</f>
        <v>2026</v>
      </c>
      <c r="C710" s="79">
        <f>YEAR(Table6[[#This Row],[Date]])</f>
        <v>2025</v>
      </c>
      <c r="D710" s="79" t="s">
        <v>344</v>
      </c>
      <c r="E710" s="284">
        <f>Table6[[#This Row],[Date]]-DAY(Table6[[#This Row],[Date]])+1</f>
        <v>45778</v>
      </c>
      <c r="F710" s="285">
        <v>45802</v>
      </c>
      <c r="G710" s="79" t="s">
        <v>105</v>
      </c>
      <c r="H710" s="79" t="str">
        <f>IFERROR(_xlfn.XLOOKUP(Table6[[#This Row],[Affected Feeder ]],'Basic Data'!$A:$A,'Basic Data'!$B:$B),"")</f>
        <v>PWEPL</v>
      </c>
      <c r="I710" s="79" t="str">
        <f>IFERROR(_xlfn.XLOOKUP(Table6[[#This Row],[Affected Feeder ]],'Basic Data'!$A:$A,'Basic Data'!$C:$C),"")</f>
        <v>MSEDCL</v>
      </c>
      <c r="J710" s="295">
        <f>IFERROR(_xlfn.XLOOKUP(Table6[[#This Row],[Affected Feeder ]],'Basic Data'!$A:$A,'Basic Data'!$E:$E),"")</f>
        <v>2.2727272727272728E-2</v>
      </c>
      <c r="K710" s="296" t="s">
        <v>171</v>
      </c>
      <c r="L710" s="297">
        <v>0.15763888888888888</v>
      </c>
      <c r="M710" s="297">
        <v>0.15763888888888888</v>
      </c>
      <c r="N710" s="297">
        <v>0.17152777777777775</v>
      </c>
      <c r="O710" s="19">
        <f>(Table6[[#This Row],[Work Start TimeStamp]]-Table6[[#This Row],[Fault Start TimeStamp]])*24</f>
        <v>0</v>
      </c>
      <c r="P710" s="19">
        <f>(Table6[[#This Row],[Fault Clearance time]]-Table6[[#This Row],[Fault Start TimeStamp]])*24</f>
        <v>0.33333333333333282</v>
      </c>
      <c r="Q710" s="19">
        <f>(Table6[[#This Row],[Fault Clearance time]]-Table6[[#This Row],[Fault Start TimeStamp]])*24</f>
        <v>0.33333333333333282</v>
      </c>
      <c r="R710" s="79" t="s">
        <v>353</v>
      </c>
      <c r="S710" s="79" t="s">
        <v>339</v>
      </c>
      <c r="T710" s="298">
        <f>IFERROR(Table6[[#This Row],[Breakdown Time]]*Table6[[#This Row],[Plant Equivalent Weightage]],"")</f>
        <v>7.5757575757575638E-3</v>
      </c>
      <c r="U710" s="79" t="s">
        <v>421</v>
      </c>
      <c r="W710" s="79">
        <v>20</v>
      </c>
    </row>
    <row r="711" spans="1:23">
      <c r="A711" s="79">
        <f t="shared" si="11"/>
        <v>710</v>
      </c>
      <c r="B711" s="79">
        <f>YEAR(Table6[[#This Row],[Date]])+IF(MONTH(Table6[[#This Row],[Date]])&gt;=4,1,0)</f>
        <v>2026</v>
      </c>
      <c r="C711" s="79">
        <f>YEAR(Table6[[#This Row],[Date]])</f>
        <v>2025</v>
      </c>
      <c r="D711" s="79" t="s">
        <v>344</v>
      </c>
      <c r="E711" s="284">
        <f>Table6[[#This Row],[Date]]-DAY(Table6[[#This Row],[Date]])+1</f>
        <v>45778</v>
      </c>
      <c r="F711" s="285">
        <v>45802</v>
      </c>
      <c r="G711" s="79" t="s">
        <v>115</v>
      </c>
      <c r="H711" s="79" t="str">
        <f>IFERROR(_xlfn.XLOOKUP(Table6[[#This Row],[Affected Feeder ]],'Basic Data'!$A:$A,'Basic Data'!$B:$B),"")</f>
        <v>PWEPL</v>
      </c>
      <c r="I711" s="79" t="str">
        <f>IFERROR(_xlfn.XLOOKUP(Table6[[#This Row],[Affected Feeder ]],'Basic Data'!$A:$A,'Basic Data'!$C:$C),"")</f>
        <v>MSEDCL</v>
      </c>
      <c r="J711" s="295">
        <f>IFERROR(_xlfn.XLOOKUP(Table6[[#This Row],[Affected Feeder ]],'Basic Data'!$A:$A,'Basic Data'!$E:$E),"")</f>
        <v>2.2727272727272728E-2</v>
      </c>
      <c r="K711" s="296" t="s">
        <v>171</v>
      </c>
      <c r="L711" s="297">
        <v>0.15763888888888888</v>
      </c>
      <c r="M711" s="297">
        <v>0.15763888888888888</v>
      </c>
      <c r="N711" s="297">
        <v>0.17152777777777775</v>
      </c>
      <c r="O711" s="19">
        <f>(Table6[[#This Row],[Work Start TimeStamp]]-Table6[[#This Row],[Fault Start TimeStamp]])*24</f>
        <v>0</v>
      </c>
      <c r="P711" s="19">
        <f>(Table6[[#This Row],[Fault Clearance time]]-Table6[[#This Row],[Fault Start TimeStamp]])*24</f>
        <v>0.33333333333333282</v>
      </c>
      <c r="Q711" s="19">
        <f>(Table6[[#This Row],[Fault Clearance time]]-Table6[[#This Row],[Fault Start TimeStamp]])*24</f>
        <v>0.33333333333333282</v>
      </c>
      <c r="R711" s="79" t="s">
        <v>353</v>
      </c>
      <c r="S711" s="79" t="s">
        <v>339</v>
      </c>
      <c r="T711" s="298">
        <f>IFERROR(Table6[[#This Row],[Breakdown Time]]*Table6[[#This Row],[Plant Equivalent Weightage]],"")</f>
        <v>7.5757575757575638E-3</v>
      </c>
      <c r="U711" s="79" t="s">
        <v>421</v>
      </c>
      <c r="W711" s="79">
        <v>20</v>
      </c>
    </row>
    <row r="712" spans="1:23">
      <c r="A712" s="79">
        <f t="shared" si="11"/>
        <v>711</v>
      </c>
      <c r="B712" s="79">
        <f>YEAR(Table6[[#This Row],[Date]])+IF(MONTH(Table6[[#This Row],[Date]])&gt;=4,1,0)</f>
        <v>2026</v>
      </c>
      <c r="C712" s="79">
        <f>YEAR(Table6[[#This Row],[Date]])</f>
        <v>2025</v>
      </c>
      <c r="D712" s="79" t="s">
        <v>344</v>
      </c>
      <c r="E712" s="284">
        <f>Table6[[#This Row],[Date]]-DAY(Table6[[#This Row],[Date]])+1</f>
        <v>45778</v>
      </c>
      <c r="F712" s="285">
        <v>45802</v>
      </c>
      <c r="G712" s="79" t="s">
        <v>116</v>
      </c>
      <c r="H712" s="79" t="str">
        <f>IFERROR(_xlfn.XLOOKUP(Table6[[#This Row],[Affected Feeder ]],'Basic Data'!$A:$A,'Basic Data'!$B:$B),"")</f>
        <v>PWEPL</v>
      </c>
      <c r="I712" s="79" t="str">
        <f>IFERROR(_xlfn.XLOOKUP(Table6[[#This Row],[Affected Feeder ]],'Basic Data'!$A:$A,'Basic Data'!$C:$C),"")</f>
        <v>MSEDCL</v>
      </c>
      <c r="J712" s="295">
        <f>IFERROR(_xlfn.XLOOKUP(Table6[[#This Row],[Affected Feeder ]],'Basic Data'!$A:$A,'Basic Data'!$E:$E),"")</f>
        <v>2.2727272727272728E-2</v>
      </c>
      <c r="K712" s="296" t="s">
        <v>171</v>
      </c>
      <c r="L712" s="297">
        <v>0.15763888888888888</v>
      </c>
      <c r="M712" s="297">
        <v>0.15763888888888888</v>
      </c>
      <c r="N712" s="297">
        <v>0.17152777777777775</v>
      </c>
      <c r="O712" s="19">
        <f>(Table6[[#This Row],[Work Start TimeStamp]]-Table6[[#This Row],[Fault Start TimeStamp]])*24</f>
        <v>0</v>
      </c>
      <c r="P712" s="19">
        <f>(Table6[[#This Row],[Fault Clearance time]]-Table6[[#This Row],[Fault Start TimeStamp]])*24</f>
        <v>0.33333333333333282</v>
      </c>
      <c r="Q712" s="19">
        <f>(Table6[[#This Row],[Fault Clearance time]]-Table6[[#This Row],[Fault Start TimeStamp]])*24</f>
        <v>0.33333333333333282</v>
      </c>
      <c r="R712" s="79" t="s">
        <v>353</v>
      </c>
      <c r="S712" s="79" t="s">
        <v>339</v>
      </c>
      <c r="T712" s="298">
        <f>IFERROR(Table6[[#This Row],[Breakdown Time]]*Table6[[#This Row],[Plant Equivalent Weightage]],"")</f>
        <v>7.5757575757575638E-3</v>
      </c>
      <c r="U712" s="79" t="s">
        <v>421</v>
      </c>
      <c r="W712" s="79">
        <v>20</v>
      </c>
    </row>
    <row r="713" spans="1:23">
      <c r="A713" s="79">
        <f t="shared" si="11"/>
        <v>712</v>
      </c>
      <c r="B713" s="79">
        <f>YEAR(Table6[[#This Row],[Date]])+IF(MONTH(Table6[[#This Row],[Date]])&gt;=4,1,0)</f>
        <v>2026</v>
      </c>
      <c r="C713" s="79">
        <f>YEAR(Table6[[#This Row],[Date]])</f>
        <v>2025</v>
      </c>
      <c r="D713" s="79" t="s">
        <v>344</v>
      </c>
      <c r="E713" s="284">
        <f>Table6[[#This Row],[Date]]-DAY(Table6[[#This Row],[Date]])+1</f>
        <v>45778</v>
      </c>
      <c r="F713" s="285">
        <v>45802</v>
      </c>
      <c r="G713" s="79" t="s">
        <v>117</v>
      </c>
      <c r="H713" s="79" t="str">
        <f>IFERROR(_xlfn.XLOOKUP(Table6[[#This Row],[Affected Feeder ]],'Basic Data'!$A:$A,'Basic Data'!$B:$B),"")</f>
        <v>PWEPL</v>
      </c>
      <c r="I713" s="79" t="str">
        <f>IFERROR(_xlfn.XLOOKUP(Table6[[#This Row],[Affected Feeder ]],'Basic Data'!$A:$A,'Basic Data'!$C:$C),"")</f>
        <v>MSEDCL</v>
      </c>
      <c r="J713" s="295">
        <f>IFERROR(_xlfn.XLOOKUP(Table6[[#This Row],[Affected Feeder ]],'Basic Data'!$A:$A,'Basic Data'!$E:$E),"")</f>
        <v>2.2727272727272728E-2</v>
      </c>
      <c r="K713" s="296" t="s">
        <v>171</v>
      </c>
      <c r="L713" s="297">
        <v>0.15763888888888888</v>
      </c>
      <c r="M713" s="297">
        <v>0.15763888888888888</v>
      </c>
      <c r="N713" s="297">
        <v>0.17152777777777775</v>
      </c>
      <c r="O713" s="19">
        <f>(Table6[[#This Row],[Work Start TimeStamp]]-Table6[[#This Row],[Fault Start TimeStamp]])*24</f>
        <v>0</v>
      </c>
      <c r="P713" s="19">
        <f>(Table6[[#This Row],[Fault Clearance time]]-Table6[[#This Row],[Fault Start TimeStamp]])*24</f>
        <v>0.33333333333333282</v>
      </c>
      <c r="Q713" s="19">
        <f>(Table6[[#This Row],[Fault Clearance time]]-Table6[[#This Row],[Fault Start TimeStamp]])*24</f>
        <v>0.33333333333333282</v>
      </c>
      <c r="R713" s="79" t="s">
        <v>353</v>
      </c>
      <c r="S713" s="79" t="s">
        <v>339</v>
      </c>
      <c r="T713" s="298">
        <f>IFERROR(Table6[[#This Row],[Breakdown Time]]*Table6[[#This Row],[Plant Equivalent Weightage]],"")</f>
        <v>7.5757575757575638E-3</v>
      </c>
      <c r="U713" s="79" t="s">
        <v>421</v>
      </c>
      <c r="W713" s="79">
        <v>20</v>
      </c>
    </row>
    <row r="714" spans="1:23">
      <c r="A714" s="79">
        <f t="shared" si="11"/>
        <v>713</v>
      </c>
      <c r="B714" s="79">
        <f>YEAR(Table6[[#This Row],[Date]])+IF(MONTH(Table6[[#This Row],[Date]])&gt;=4,1,0)</f>
        <v>2026</v>
      </c>
      <c r="C714" s="79">
        <f>YEAR(Table6[[#This Row],[Date]])</f>
        <v>2025</v>
      </c>
      <c r="D714" s="79" t="s">
        <v>344</v>
      </c>
      <c r="E714" s="284">
        <f>Table6[[#This Row],[Date]]-DAY(Table6[[#This Row],[Date]])+1</f>
        <v>45778</v>
      </c>
      <c r="F714" s="285">
        <v>45802</v>
      </c>
      <c r="G714" s="79" t="s">
        <v>118</v>
      </c>
      <c r="H714" s="79" t="str">
        <f>IFERROR(_xlfn.XLOOKUP(Table6[[#This Row],[Affected Feeder ]],'Basic Data'!$A:$A,'Basic Data'!$B:$B),"")</f>
        <v>PWEPL</v>
      </c>
      <c r="I714" s="79" t="str">
        <f>IFERROR(_xlfn.XLOOKUP(Table6[[#This Row],[Affected Feeder ]],'Basic Data'!$A:$A,'Basic Data'!$C:$C),"")</f>
        <v>MSEDCL</v>
      </c>
      <c r="J714" s="295">
        <f>IFERROR(_xlfn.XLOOKUP(Table6[[#This Row],[Affected Feeder ]],'Basic Data'!$A:$A,'Basic Data'!$E:$E),"")</f>
        <v>2.2727272727272728E-2</v>
      </c>
      <c r="K714" s="296" t="s">
        <v>171</v>
      </c>
      <c r="L714" s="297">
        <v>0.15763888888888888</v>
      </c>
      <c r="M714" s="297">
        <v>0.15763888888888888</v>
      </c>
      <c r="N714" s="297">
        <v>0.17152777777777775</v>
      </c>
      <c r="O714" s="19">
        <f>(Table6[[#This Row],[Work Start TimeStamp]]-Table6[[#This Row],[Fault Start TimeStamp]])*24</f>
        <v>0</v>
      </c>
      <c r="P714" s="19">
        <f>(Table6[[#This Row],[Fault Clearance time]]-Table6[[#This Row],[Fault Start TimeStamp]])*24</f>
        <v>0.33333333333333282</v>
      </c>
      <c r="Q714" s="19">
        <f>(Table6[[#This Row],[Fault Clearance time]]-Table6[[#This Row],[Fault Start TimeStamp]])*24</f>
        <v>0.33333333333333282</v>
      </c>
      <c r="R714" s="79" t="s">
        <v>353</v>
      </c>
      <c r="S714" s="79" t="s">
        <v>339</v>
      </c>
      <c r="T714" s="298">
        <f>IFERROR(Table6[[#This Row],[Breakdown Time]]*Table6[[#This Row],[Plant Equivalent Weightage]],"")</f>
        <v>7.5757575757575638E-3</v>
      </c>
      <c r="U714" s="79" t="s">
        <v>421</v>
      </c>
      <c r="W714" s="79">
        <v>20</v>
      </c>
    </row>
    <row r="715" spans="1:23">
      <c r="A715" s="79">
        <f t="shared" si="11"/>
        <v>714</v>
      </c>
      <c r="B715" s="79">
        <f>YEAR(Table6[[#This Row],[Date]])+IF(MONTH(Table6[[#This Row],[Date]])&gt;=4,1,0)</f>
        <v>2026</v>
      </c>
      <c r="C715" s="79">
        <f>YEAR(Table6[[#This Row],[Date]])</f>
        <v>2025</v>
      </c>
      <c r="D715" s="79" t="s">
        <v>344</v>
      </c>
      <c r="E715" s="284">
        <f>Table6[[#This Row],[Date]]-DAY(Table6[[#This Row],[Date]])+1</f>
        <v>45778</v>
      </c>
      <c r="F715" s="285">
        <v>45803</v>
      </c>
      <c r="G715" s="79" t="s">
        <v>406</v>
      </c>
      <c r="H715" s="79" t="str">
        <f>IFERROR(_xlfn.XLOOKUP(Table6[[#This Row],[Affected Feeder ]],'Basic Data'!$A:$A,'Basic Data'!$B:$B),"")</f>
        <v>PWEPL</v>
      </c>
      <c r="I715" s="79" t="str">
        <f>IFERROR(_xlfn.XLOOKUP(Table6[[#This Row],[Affected Feeder ]],'Basic Data'!$A:$A,'Basic Data'!$C:$C),"")</f>
        <v>MSEDCL</v>
      </c>
      <c r="J715" s="295">
        <f>IFERROR(_xlfn.XLOOKUP(Table6[[#This Row],[Affected Feeder ]],'Basic Data'!$A:$A,'Basic Data'!$E:$E),"")</f>
        <v>0.29545454545454541</v>
      </c>
      <c r="K715" s="296" t="s">
        <v>447</v>
      </c>
      <c r="L715" s="297">
        <v>0.24236111111111111</v>
      </c>
      <c r="M715" s="297">
        <v>0.24236111111111111</v>
      </c>
      <c r="N715" s="297">
        <v>0.26180555555555557</v>
      </c>
      <c r="O715" s="19">
        <f>(Table6[[#This Row],[Work Start TimeStamp]]-Table6[[#This Row],[Fault Start TimeStamp]])*24</f>
        <v>0</v>
      </c>
      <c r="P715" s="19">
        <f>(Table6[[#This Row],[Fault Clearance time]]-Table6[[#This Row],[Fault Start TimeStamp]])*24</f>
        <v>0.46666666666666701</v>
      </c>
      <c r="Q715" s="19">
        <f>(Table6[[#This Row],[Fault Clearance time]]-Table6[[#This Row],[Fault Start TimeStamp]])*24</f>
        <v>0.46666666666666701</v>
      </c>
      <c r="R715" s="79" t="s">
        <v>420</v>
      </c>
      <c r="S715" s="79" t="s">
        <v>339</v>
      </c>
      <c r="T715" s="298">
        <f>IFERROR(Table6[[#This Row],[Breakdown Time]]*Table6[[#This Row],[Plant Equivalent Weightage]],"")</f>
        <v>0.13787878787878796</v>
      </c>
      <c r="U715" s="79" t="s">
        <v>421</v>
      </c>
      <c r="W715" s="79">
        <v>3324</v>
      </c>
    </row>
    <row r="716" spans="1:23">
      <c r="A716" s="79">
        <f t="shared" si="11"/>
        <v>715</v>
      </c>
      <c r="B716" s="79">
        <f>YEAR(Table6[[#This Row],[Date]])+IF(MONTH(Table6[[#This Row],[Date]])&gt;=4,1,0)</f>
        <v>2026</v>
      </c>
      <c r="C716" s="79">
        <f>YEAR(Table6[[#This Row],[Date]])</f>
        <v>2025</v>
      </c>
      <c r="D716" s="79" t="s">
        <v>344</v>
      </c>
      <c r="E716" s="284">
        <f>Table6[[#This Row],[Date]]-DAY(Table6[[#This Row],[Date]])+1</f>
        <v>45778</v>
      </c>
      <c r="F716" s="285">
        <v>45803</v>
      </c>
      <c r="G716" s="79" t="s">
        <v>76</v>
      </c>
      <c r="H716" s="79" t="str">
        <f>IFERROR(_xlfn.XLOOKUP(Table6[[#This Row],[Affected Feeder ]],'Basic Data'!$A:$A,'Basic Data'!$B:$B),"")</f>
        <v>PWEPL</v>
      </c>
      <c r="I716" s="79" t="str">
        <f>IFERROR(_xlfn.XLOOKUP(Table6[[#This Row],[Affected Feeder ]],'Basic Data'!$A:$A,'Basic Data'!$C:$C),"")</f>
        <v>MSEDCL</v>
      </c>
      <c r="J716" s="295">
        <f>IFERROR(_xlfn.XLOOKUP(Table6[[#This Row],[Affected Feeder ]],'Basic Data'!$A:$A,'Basic Data'!$E:$E),"")</f>
        <v>2.2727272727272728E-2</v>
      </c>
      <c r="K716" s="296" t="s">
        <v>171</v>
      </c>
      <c r="L716" s="297">
        <v>0.26180555555555557</v>
      </c>
      <c r="M716" s="297">
        <v>0.26180555555555557</v>
      </c>
      <c r="N716" s="297">
        <v>0.27569444444444446</v>
      </c>
      <c r="O716" s="19">
        <f>(Table6[[#This Row],[Work Start TimeStamp]]-Table6[[#This Row],[Fault Start TimeStamp]])*24</f>
        <v>0</v>
      </c>
      <c r="P716" s="19">
        <f>(Table6[[#This Row],[Fault Clearance time]]-Table6[[#This Row],[Fault Start TimeStamp]])*24</f>
        <v>0.33333333333333348</v>
      </c>
      <c r="Q716" s="19">
        <f>(Table6[[#This Row],[Fault Clearance time]]-Table6[[#This Row],[Fault Start TimeStamp]])*24</f>
        <v>0.33333333333333348</v>
      </c>
      <c r="R716" s="79" t="s">
        <v>353</v>
      </c>
      <c r="S716" s="79" t="s">
        <v>339</v>
      </c>
      <c r="T716" s="298">
        <f>IFERROR(Table6[[#This Row],[Breakdown Time]]*Table6[[#This Row],[Plant Equivalent Weightage]],"")</f>
        <v>7.5757575757575794E-3</v>
      </c>
      <c r="U716" s="79" t="s">
        <v>421</v>
      </c>
      <c r="W716" s="79">
        <v>183</v>
      </c>
    </row>
    <row r="717" spans="1:23">
      <c r="A717" s="79">
        <f t="shared" si="11"/>
        <v>716</v>
      </c>
      <c r="B717" s="79">
        <f>YEAR(Table6[[#This Row],[Date]])+IF(MONTH(Table6[[#This Row],[Date]])&gt;=4,1,0)</f>
        <v>2026</v>
      </c>
      <c r="C717" s="79">
        <f>YEAR(Table6[[#This Row],[Date]])</f>
        <v>2025</v>
      </c>
      <c r="D717" s="79" t="s">
        <v>344</v>
      </c>
      <c r="E717" s="284">
        <f>Table6[[#This Row],[Date]]-DAY(Table6[[#This Row],[Date]])+1</f>
        <v>45778</v>
      </c>
      <c r="F717" s="285">
        <v>45803</v>
      </c>
      <c r="G717" s="79" t="s">
        <v>77</v>
      </c>
      <c r="H717" s="79" t="str">
        <f>IFERROR(_xlfn.XLOOKUP(Table6[[#This Row],[Affected Feeder ]],'Basic Data'!$A:$A,'Basic Data'!$B:$B),"")</f>
        <v>PWEPL</v>
      </c>
      <c r="I717" s="79" t="str">
        <f>IFERROR(_xlfn.XLOOKUP(Table6[[#This Row],[Affected Feeder ]],'Basic Data'!$A:$A,'Basic Data'!$C:$C),"")</f>
        <v>MSEDCL</v>
      </c>
      <c r="J717" s="295">
        <f>IFERROR(_xlfn.XLOOKUP(Table6[[#This Row],[Affected Feeder ]],'Basic Data'!$A:$A,'Basic Data'!$E:$E),"")</f>
        <v>2.2727272727272728E-2</v>
      </c>
      <c r="K717" s="296" t="s">
        <v>171</v>
      </c>
      <c r="L717" s="297">
        <v>0.26180555555555557</v>
      </c>
      <c r="M717" s="297">
        <v>0.26180555555555557</v>
      </c>
      <c r="N717" s="297">
        <v>0.27569444444444446</v>
      </c>
      <c r="O717" s="19">
        <f>(Table6[[#This Row],[Work Start TimeStamp]]-Table6[[#This Row],[Fault Start TimeStamp]])*24</f>
        <v>0</v>
      </c>
      <c r="P717" s="19">
        <f>(Table6[[#This Row],[Fault Clearance time]]-Table6[[#This Row],[Fault Start TimeStamp]])*24</f>
        <v>0.33333333333333348</v>
      </c>
      <c r="Q717" s="19">
        <f>(Table6[[#This Row],[Fault Clearance time]]-Table6[[#This Row],[Fault Start TimeStamp]])*24</f>
        <v>0.33333333333333348</v>
      </c>
      <c r="R717" s="79" t="s">
        <v>353</v>
      </c>
      <c r="S717" s="79" t="s">
        <v>339</v>
      </c>
      <c r="T717" s="298">
        <f>IFERROR(Table6[[#This Row],[Breakdown Time]]*Table6[[#This Row],[Plant Equivalent Weightage]],"")</f>
        <v>7.5757575757575794E-3</v>
      </c>
      <c r="U717" s="79" t="s">
        <v>421</v>
      </c>
      <c r="W717" s="79">
        <v>183</v>
      </c>
    </row>
    <row r="718" spans="1:23">
      <c r="A718" s="79">
        <f t="shared" si="11"/>
        <v>717</v>
      </c>
      <c r="B718" s="79">
        <f>YEAR(Table6[[#This Row],[Date]])+IF(MONTH(Table6[[#This Row],[Date]])&gt;=4,1,0)</f>
        <v>2026</v>
      </c>
      <c r="C718" s="79">
        <f>YEAR(Table6[[#This Row],[Date]])</f>
        <v>2025</v>
      </c>
      <c r="D718" s="79" t="s">
        <v>344</v>
      </c>
      <c r="E718" s="284">
        <f>Table6[[#This Row],[Date]]-DAY(Table6[[#This Row],[Date]])+1</f>
        <v>45778</v>
      </c>
      <c r="F718" s="285">
        <v>45803</v>
      </c>
      <c r="G718" s="79" t="s">
        <v>78</v>
      </c>
      <c r="H718" s="79" t="str">
        <f>IFERROR(_xlfn.XLOOKUP(Table6[[#This Row],[Affected Feeder ]],'Basic Data'!$A:$A,'Basic Data'!$B:$B),"")</f>
        <v>PWEPL</v>
      </c>
      <c r="I718" s="79" t="str">
        <f>IFERROR(_xlfn.XLOOKUP(Table6[[#This Row],[Affected Feeder ]],'Basic Data'!$A:$A,'Basic Data'!$C:$C),"")</f>
        <v>MSEDCL</v>
      </c>
      <c r="J718" s="295">
        <f>IFERROR(_xlfn.XLOOKUP(Table6[[#This Row],[Affected Feeder ]],'Basic Data'!$A:$A,'Basic Data'!$E:$E),"")</f>
        <v>2.2727272727272728E-2</v>
      </c>
      <c r="K718" s="296" t="s">
        <v>171</v>
      </c>
      <c r="L718" s="297">
        <v>0.26180555555555557</v>
      </c>
      <c r="M718" s="297">
        <v>0.26180555555555557</v>
      </c>
      <c r="N718" s="297">
        <v>0.27569444444444446</v>
      </c>
      <c r="O718" s="19">
        <f>(Table6[[#This Row],[Work Start TimeStamp]]-Table6[[#This Row],[Fault Start TimeStamp]])*24</f>
        <v>0</v>
      </c>
      <c r="P718" s="19">
        <f>(Table6[[#This Row],[Fault Clearance time]]-Table6[[#This Row],[Fault Start TimeStamp]])*24</f>
        <v>0.33333333333333348</v>
      </c>
      <c r="Q718" s="19">
        <f>(Table6[[#This Row],[Fault Clearance time]]-Table6[[#This Row],[Fault Start TimeStamp]])*24</f>
        <v>0.33333333333333348</v>
      </c>
      <c r="R718" s="79" t="s">
        <v>353</v>
      </c>
      <c r="S718" s="79" t="s">
        <v>339</v>
      </c>
      <c r="T718" s="298">
        <f>IFERROR(Table6[[#This Row],[Breakdown Time]]*Table6[[#This Row],[Plant Equivalent Weightage]],"")</f>
        <v>7.5757575757575794E-3</v>
      </c>
      <c r="U718" s="79" t="s">
        <v>421</v>
      </c>
      <c r="W718" s="79">
        <v>183</v>
      </c>
    </row>
    <row r="719" spans="1:23">
      <c r="A719" s="79">
        <f t="shared" si="11"/>
        <v>718</v>
      </c>
      <c r="B719" s="79">
        <f>YEAR(Table6[[#This Row],[Date]])+IF(MONTH(Table6[[#This Row],[Date]])&gt;=4,1,0)</f>
        <v>2026</v>
      </c>
      <c r="C719" s="79">
        <f>YEAR(Table6[[#This Row],[Date]])</f>
        <v>2025</v>
      </c>
      <c r="D719" s="79" t="s">
        <v>344</v>
      </c>
      <c r="E719" s="284">
        <f>Table6[[#This Row],[Date]]-DAY(Table6[[#This Row],[Date]])+1</f>
        <v>45778</v>
      </c>
      <c r="F719" s="285">
        <v>45803</v>
      </c>
      <c r="G719" s="79" t="s">
        <v>82</v>
      </c>
      <c r="H719" s="79" t="str">
        <f>IFERROR(_xlfn.XLOOKUP(Table6[[#This Row],[Affected Feeder ]],'Basic Data'!$A:$A,'Basic Data'!$B:$B),"")</f>
        <v>PWEPL</v>
      </c>
      <c r="I719" s="79" t="str">
        <f>IFERROR(_xlfn.XLOOKUP(Table6[[#This Row],[Affected Feeder ]],'Basic Data'!$A:$A,'Basic Data'!$C:$C),"")</f>
        <v>MSEDCL</v>
      </c>
      <c r="J719" s="295">
        <f>IFERROR(_xlfn.XLOOKUP(Table6[[#This Row],[Affected Feeder ]],'Basic Data'!$A:$A,'Basic Data'!$E:$E),"")</f>
        <v>2.2727272727272728E-2</v>
      </c>
      <c r="K719" s="296" t="s">
        <v>171</v>
      </c>
      <c r="L719" s="297">
        <v>0.26180555555555557</v>
      </c>
      <c r="M719" s="297">
        <v>0.26180555555555557</v>
      </c>
      <c r="N719" s="297">
        <v>0.27569444444444446</v>
      </c>
      <c r="O719" s="19">
        <f>(Table6[[#This Row],[Work Start TimeStamp]]-Table6[[#This Row],[Fault Start TimeStamp]])*24</f>
        <v>0</v>
      </c>
      <c r="P719" s="19">
        <f>(Table6[[#This Row],[Fault Clearance time]]-Table6[[#This Row],[Fault Start TimeStamp]])*24</f>
        <v>0.33333333333333348</v>
      </c>
      <c r="Q719" s="19">
        <f>(Table6[[#This Row],[Fault Clearance time]]-Table6[[#This Row],[Fault Start TimeStamp]])*24</f>
        <v>0.33333333333333348</v>
      </c>
      <c r="R719" s="79" t="s">
        <v>353</v>
      </c>
      <c r="S719" s="79" t="s">
        <v>339</v>
      </c>
      <c r="T719" s="298">
        <f>IFERROR(Table6[[#This Row],[Breakdown Time]]*Table6[[#This Row],[Plant Equivalent Weightage]],"")</f>
        <v>7.5757575757575794E-3</v>
      </c>
      <c r="U719" s="79" t="s">
        <v>421</v>
      </c>
      <c r="W719" s="79">
        <v>183</v>
      </c>
    </row>
    <row r="720" spans="1:23">
      <c r="A720" s="79">
        <f t="shared" si="11"/>
        <v>719</v>
      </c>
      <c r="B720" s="79">
        <f>YEAR(Table6[[#This Row],[Date]])+IF(MONTH(Table6[[#This Row],[Date]])&gt;=4,1,0)</f>
        <v>2026</v>
      </c>
      <c r="C720" s="79">
        <f>YEAR(Table6[[#This Row],[Date]])</f>
        <v>2025</v>
      </c>
      <c r="D720" s="79" t="s">
        <v>344</v>
      </c>
      <c r="E720" s="284">
        <f>Table6[[#This Row],[Date]]-DAY(Table6[[#This Row],[Date]])+1</f>
        <v>45778</v>
      </c>
      <c r="F720" s="285">
        <v>45803</v>
      </c>
      <c r="G720" s="79" t="s">
        <v>93</v>
      </c>
      <c r="H720" s="79" t="str">
        <f>IFERROR(_xlfn.XLOOKUP(Table6[[#This Row],[Affected Feeder ]],'Basic Data'!$A:$A,'Basic Data'!$B:$B),"")</f>
        <v>PWEPL</v>
      </c>
      <c r="I720" s="79" t="str">
        <f>IFERROR(_xlfn.XLOOKUP(Table6[[#This Row],[Affected Feeder ]],'Basic Data'!$A:$A,'Basic Data'!$C:$C),"")</f>
        <v>MSEDCL</v>
      </c>
      <c r="J720" s="295">
        <f>IFERROR(_xlfn.XLOOKUP(Table6[[#This Row],[Affected Feeder ]],'Basic Data'!$A:$A,'Basic Data'!$E:$E),"")</f>
        <v>2.2727272727272728E-2</v>
      </c>
      <c r="K720" s="296" t="s">
        <v>171</v>
      </c>
      <c r="L720" s="297">
        <v>0.26180555555555557</v>
      </c>
      <c r="M720" s="297">
        <v>0.26180555555555557</v>
      </c>
      <c r="N720" s="297">
        <v>0.27569444444444446</v>
      </c>
      <c r="O720" s="19">
        <f>(Table6[[#This Row],[Work Start TimeStamp]]-Table6[[#This Row],[Fault Start TimeStamp]])*24</f>
        <v>0</v>
      </c>
      <c r="P720" s="19">
        <f>(Table6[[#This Row],[Fault Clearance time]]-Table6[[#This Row],[Fault Start TimeStamp]])*24</f>
        <v>0.33333333333333348</v>
      </c>
      <c r="Q720" s="19">
        <f>(Table6[[#This Row],[Fault Clearance time]]-Table6[[#This Row],[Fault Start TimeStamp]])*24</f>
        <v>0.33333333333333348</v>
      </c>
      <c r="R720" s="79" t="s">
        <v>353</v>
      </c>
      <c r="S720" s="79" t="s">
        <v>339</v>
      </c>
      <c r="T720" s="298">
        <f>IFERROR(Table6[[#This Row],[Breakdown Time]]*Table6[[#This Row],[Plant Equivalent Weightage]],"")</f>
        <v>7.5757575757575794E-3</v>
      </c>
      <c r="U720" s="79" t="s">
        <v>421</v>
      </c>
      <c r="W720" s="79">
        <v>183</v>
      </c>
    </row>
    <row r="721" spans="1:23">
      <c r="A721" s="79">
        <f t="shared" si="11"/>
        <v>720</v>
      </c>
      <c r="B721" s="79">
        <f>YEAR(Table6[[#This Row],[Date]])+IF(MONTH(Table6[[#This Row],[Date]])&gt;=4,1,0)</f>
        <v>2026</v>
      </c>
      <c r="C721" s="79">
        <f>YEAR(Table6[[#This Row],[Date]])</f>
        <v>2025</v>
      </c>
      <c r="D721" s="79" t="s">
        <v>344</v>
      </c>
      <c r="E721" s="284">
        <f>Table6[[#This Row],[Date]]-DAY(Table6[[#This Row],[Date]])+1</f>
        <v>45778</v>
      </c>
      <c r="F721" s="285">
        <v>45803</v>
      </c>
      <c r="G721" s="79" t="s">
        <v>102</v>
      </c>
      <c r="H721" s="79" t="str">
        <f>IFERROR(_xlfn.XLOOKUP(Table6[[#This Row],[Affected Feeder ]],'Basic Data'!$A:$A,'Basic Data'!$B:$B),"")</f>
        <v>PWEPL</v>
      </c>
      <c r="I721" s="79" t="str">
        <f>IFERROR(_xlfn.XLOOKUP(Table6[[#This Row],[Affected Feeder ]],'Basic Data'!$A:$A,'Basic Data'!$C:$C),"")</f>
        <v>MSEDCL</v>
      </c>
      <c r="J721" s="295">
        <f>IFERROR(_xlfn.XLOOKUP(Table6[[#This Row],[Affected Feeder ]],'Basic Data'!$A:$A,'Basic Data'!$E:$E),"")</f>
        <v>2.2727272727272728E-2</v>
      </c>
      <c r="K721" s="296" t="s">
        <v>171</v>
      </c>
      <c r="L721" s="297">
        <v>0.26180555555555557</v>
      </c>
      <c r="M721" s="297">
        <v>0.26180555555555557</v>
      </c>
      <c r="N721" s="297">
        <v>0.27569444444444446</v>
      </c>
      <c r="O721" s="19">
        <f>(Table6[[#This Row],[Work Start TimeStamp]]-Table6[[#This Row],[Fault Start TimeStamp]])*24</f>
        <v>0</v>
      </c>
      <c r="P721" s="19">
        <f>(Table6[[#This Row],[Fault Clearance time]]-Table6[[#This Row],[Fault Start TimeStamp]])*24</f>
        <v>0.33333333333333348</v>
      </c>
      <c r="Q721" s="19">
        <f>(Table6[[#This Row],[Fault Clearance time]]-Table6[[#This Row],[Fault Start TimeStamp]])*24</f>
        <v>0.33333333333333348</v>
      </c>
      <c r="R721" s="79" t="s">
        <v>353</v>
      </c>
      <c r="S721" s="79" t="s">
        <v>339</v>
      </c>
      <c r="T721" s="298">
        <f>IFERROR(Table6[[#This Row],[Breakdown Time]]*Table6[[#This Row],[Plant Equivalent Weightage]],"")</f>
        <v>7.5757575757575794E-3</v>
      </c>
      <c r="U721" s="79" t="s">
        <v>421</v>
      </c>
      <c r="W721" s="79">
        <v>183</v>
      </c>
    </row>
    <row r="722" spans="1:23">
      <c r="A722" s="79">
        <f t="shared" si="11"/>
        <v>721</v>
      </c>
      <c r="B722" s="79">
        <f>YEAR(Table6[[#This Row],[Date]])+IF(MONTH(Table6[[#This Row],[Date]])&gt;=4,1,0)</f>
        <v>2026</v>
      </c>
      <c r="C722" s="79">
        <f>YEAR(Table6[[#This Row],[Date]])</f>
        <v>2025</v>
      </c>
      <c r="D722" s="79" t="s">
        <v>344</v>
      </c>
      <c r="E722" s="284">
        <f>Table6[[#This Row],[Date]]-DAY(Table6[[#This Row],[Date]])+1</f>
        <v>45778</v>
      </c>
      <c r="F722" s="285">
        <v>45803</v>
      </c>
      <c r="G722" s="79" t="s">
        <v>119</v>
      </c>
      <c r="H722" s="79" t="str">
        <f>IFERROR(_xlfn.XLOOKUP(Table6[[#This Row],[Affected Feeder ]],'Basic Data'!$A:$A,'Basic Data'!$B:$B),"")</f>
        <v>PWEPL</v>
      </c>
      <c r="I722" s="79" t="str">
        <f>IFERROR(_xlfn.XLOOKUP(Table6[[#This Row],[Affected Feeder ]],'Basic Data'!$A:$A,'Basic Data'!$C:$C),"")</f>
        <v>MSEDCL</v>
      </c>
      <c r="J722" s="295">
        <f>IFERROR(_xlfn.XLOOKUP(Table6[[#This Row],[Affected Feeder ]],'Basic Data'!$A:$A,'Basic Data'!$E:$E),"")</f>
        <v>2.2727272727272728E-2</v>
      </c>
      <c r="K722" s="296" t="s">
        <v>171</v>
      </c>
      <c r="L722" s="297">
        <v>0.26180555555555557</v>
      </c>
      <c r="M722" s="297">
        <v>0.26180555555555557</v>
      </c>
      <c r="N722" s="297">
        <v>0.27569444444444446</v>
      </c>
      <c r="O722" s="19">
        <f>(Table6[[#This Row],[Work Start TimeStamp]]-Table6[[#This Row],[Fault Start TimeStamp]])*24</f>
        <v>0</v>
      </c>
      <c r="P722" s="19">
        <f>(Table6[[#This Row],[Fault Clearance time]]-Table6[[#This Row],[Fault Start TimeStamp]])*24</f>
        <v>0.33333333333333348</v>
      </c>
      <c r="Q722" s="19">
        <f>(Table6[[#This Row],[Fault Clearance time]]-Table6[[#This Row],[Fault Start TimeStamp]])*24</f>
        <v>0.33333333333333348</v>
      </c>
      <c r="R722" s="79" t="s">
        <v>353</v>
      </c>
      <c r="S722" s="79" t="s">
        <v>339</v>
      </c>
      <c r="T722" s="298">
        <f>IFERROR(Table6[[#This Row],[Breakdown Time]]*Table6[[#This Row],[Plant Equivalent Weightage]],"")</f>
        <v>7.5757575757575794E-3</v>
      </c>
      <c r="U722" s="79" t="s">
        <v>421</v>
      </c>
      <c r="W722" s="79">
        <v>183</v>
      </c>
    </row>
    <row r="723" spans="1:23">
      <c r="A723" s="79">
        <f t="shared" si="11"/>
        <v>722</v>
      </c>
      <c r="B723" s="79">
        <f>YEAR(Table6[[#This Row],[Date]])+IF(MONTH(Table6[[#This Row],[Date]])&gt;=4,1,0)</f>
        <v>2026</v>
      </c>
      <c r="C723" s="79">
        <f>YEAR(Table6[[#This Row],[Date]])</f>
        <v>2025</v>
      </c>
      <c r="D723" s="79" t="s">
        <v>344</v>
      </c>
      <c r="E723" s="284">
        <f>Table6[[#This Row],[Date]]-DAY(Table6[[#This Row],[Date]])+1</f>
        <v>45778</v>
      </c>
      <c r="F723" s="285">
        <v>45803</v>
      </c>
      <c r="G723" s="79" t="s">
        <v>103</v>
      </c>
      <c r="H723" s="79" t="str">
        <f>IFERROR(_xlfn.XLOOKUP(Table6[[#This Row],[Affected Feeder ]],'Basic Data'!$A:$A,'Basic Data'!$B:$B),"")</f>
        <v>PWEPL</v>
      </c>
      <c r="I723" s="79" t="str">
        <f>IFERROR(_xlfn.XLOOKUP(Table6[[#This Row],[Affected Feeder ]],'Basic Data'!$A:$A,'Basic Data'!$C:$C),"")</f>
        <v>MSEDCL</v>
      </c>
      <c r="J723" s="295">
        <f>IFERROR(_xlfn.XLOOKUP(Table6[[#This Row],[Affected Feeder ]],'Basic Data'!$A:$A,'Basic Data'!$E:$E),"")</f>
        <v>2.2727272727272728E-2</v>
      </c>
      <c r="K723" s="296" t="s">
        <v>171</v>
      </c>
      <c r="L723" s="297">
        <v>0.26180555555555557</v>
      </c>
      <c r="M723" s="297">
        <v>0.26180555555555557</v>
      </c>
      <c r="N723" s="297">
        <v>0.27569444444444446</v>
      </c>
      <c r="O723" s="19">
        <f>(Table6[[#This Row],[Work Start TimeStamp]]-Table6[[#This Row],[Fault Start TimeStamp]])*24</f>
        <v>0</v>
      </c>
      <c r="P723" s="19">
        <f>(Table6[[#This Row],[Fault Clearance time]]-Table6[[#This Row],[Fault Start TimeStamp]])*24</f>
        <v>0.33333333333333348</v>
      </c>
      <c r="Q723" s="19">
        <f>(Table6[[#This Row],[Fault Clearance time]]-Table6[[#This Row],[Fault Start TimeStamp]])*24</f>
        <v>0.33333333333333348</v>
      </c>
      <c r="R723" s="79" t="s">
        <v>353</v>
      </c>
      <c r="S723" s="79" t="s">
        <v>339</v>
      </c>
      <c r="T723" s="298">
        <f>IFERROR(Table6[[#This Row],[Breakdown Time]]*Table6[[#This Row],[Plant Equivalent Weightage]],"")</f>
        <v>7.5757575757575794E-3</v>
      </c>
      <c r="U723" s="79" t="s">
        <v>421</v>
      </c>
      <c r="W723" s="79">
        <v>183</v>
      </c>
    </row>
    <row r="724" spans="1:23">
      <c r="A724" s="79">
        <f t="shared" si="11"/>
        <v>723</v>
      </c>
      <c r="B724" s="79">
        <f>YEAR(Table6[[#This Row],[Date]])+IF(MONTH(Table6[[#This Row],[Date]])&gt;=4,1,0)</f>
        <v>2026</v>
      </c>
      <c r="C724" s="79">
        <f>YEAR(Table6[[#This Row],[Date]])</f>
        <v>2025</v>
      </c>
      <c r="D724" s="79" t="s">
        <v>344</v>
      </c>
      <c r="E724" s="284">
        <f>Table6[[#This Row],[Date]]-DAY(Table6[[#This Row],[Date]])+1</f>
        <v>45778</v>
      </c>
      <c r="F724" s="285">
        <v>45803</v>
      </c>
      <c r="G724" s="79" t="s">
        <v>105</v>
      </c>
      <c r="H724" s="79" t="str">
        <f>IFERROR(_xlfn.XLOOKUP(Table6[[#This Row],[Affected Feeder ]],'Basic Data'!$A:$A,'Basic Data'!$B:$B),"")</f>
        <v>PWEPL</v>
      </c>
      <c r="I724" s="79" t="str">
        <f>IFERROR(_xlfn.XLOOKUP(Table6[[#This Row],[Affected Feeder ]],'Basic Data'!$A:$A,'Basic Data'!$C:$C),"")</f>
        <v>MSEDCL</v>
      </c>
      <c r="J724" s="295">
        <f>IFERROR(_xlfn.XLOOKUP(Table6[[#This Row],[Affected Feeder ]],'Basic Data'!$A:$A,'Basic Data'!$E:$E),"")</f>
        <v>2.2727272727272728E-2</v>
      </c>
      <c r="K724" s="296" t="s">
        <v>171</v>
      </c>
      <c r="L724" s="297">
        <v>0.26180555555555557</v>
      </c>
      <c r="M724" s="297">
        <v>0.26180555555555557</v>
      </c>
      <c r="N724" s="297">
        <v>0.27569444444444446</v>
      </c>
      <c r="O724" s="19">
        <f>(Table6[[#This Row],[Work Start TimeStamp]]-Table6[[#This Row],[Fault Start TimeStamp]])*24</f>
        <v>0</v>
      </c>
      <c r="P724" s="19">
        <f>(Table6[[#This Row],[Fault Clearance time]]-Table6[[#This Row],[Fault Start TimeStamp]])*24</f>
        <v>0.33333333333333348</v>
      </c>
      <c r="Q724" s="19">
        <f>(Table6[[#This Row],[Fault Clearance time]]-Table6[[#This Row],[Fault Start TimeStamp]])*24</f>
        <v>0.33333333333333348</v>
      </c>
      <c r="R724" s="79" t="s">
        <v>353</v>
      </c>
      <c r="S724" s="79" t="s">
        <v>339</v>
      </c>
      <c r="T724" s="298">
        <f>IFERROR(Table6[[#This Row],[Breakdown Time]]*Table6[[#This Row],[Plant Equivalent Weightage]],"")</f>
        <v>7.5757575757575794E-3</v>
      </c>
      <c r="U724" s="79" t="s">
        <v>421</v>
      </c>
      <c r="W724" s="79">
        <v>183</v>
      </c>
    </row>
    <row r="725" spans="1:23">
      <c r="A725" s="79">
        <f t="shared" si="11"/>
        <v>724</v>
      </c>
      <c r="B725" s="79">
        <f>YEAR(Table6[[#This Row],[Date]])+IF(MONTH(Table6[[#This Row],[Date]])&gt;=4,1,0)</f>
        <v>2026</v>
      </c>
      <c r="C725" s="79">
        <f>YEAR(Table6[[#This Row],[Date]])</f>
        <v>2025</v>
      </c>
      <c r="D725" s="79" t="s">
        <v>344</v>
      </c>
      <c r="E725" s="284">
        <f>Table6[[#This Row],[Date]]-DAY(Table6[[#This Row],[Date]])+1</f>
        <v>45778</v>
      </c>
      <c r="F725" s="285">
        <v>45803</v>
      </c>
      <c r="G725" s="79" t="s">
        <v>115</v>
      </c>
      <c r="H725" s="79" t="str">
        <f>IFERROR(_xlfn.XLOOKUP(Table6[[#This Row],[Affected Feeder ]],'Basic Data'!$A:$A,'Basic Data'!$B:$B),"")</f>
        <v>PWEPL</v>
      </c>
      <c r="I725" s="79" t="str">
        <f>IFERROR(_xlfn.XLOOKUP(Table6[[#This Row],[Affected Feeder ]],'Basic Data'!$A:$A,'Basic Data'!$C:$C),"")</f>
        <v>MSEDCL</v>
      </c>
      <c r="J725" s="295">
        <f>IFERROR(_xlfn.XLOOKUP(Table6[[#This Row],[Affected Feeder ]],'Basic Data'!$A:$A,'Basic Data'!$E:$E),"")</f>
        <v>2.2727272727272728E-2</v>
      </c>
      <c r="K725" s="296" t="s">
        <v>171</v>
      </c>
      <c r="L725" s="297">
        <v>0.26180555555555557</v>
      </c>
      <c r="M725" s="297">
        <v>0.26180555555555557</v>
      </c>
      <c r="N725" s="297">
        <v>0.27569444444444446</v>
      </c>
      <c r="O725" s="19">
        <f>(Table6[[#This Row],[Work Start TimeStamp]]-Table6[[#This Row],[Fault Start TimeStamp]])*24</f>
        <v>0</v>
      </c>
      <c r="P725" s="19">
        <f>(Table6[[#This Row],[Fault Clearance time]]-Table6[[#This Row],[Fault Start TimeStamp]])*24</f>
        <v>0.33333333333333348</v>
      </c>
      <c r="Q725" s="19">
        <f>(Table6[[#This Row],[Fault Clearance time]]-Table6[[#This Row],[Fault Start TimeStamp]])*24</f>
        <v>0.33333333333333348</v>
      </c>
      <c r="R725" s="79" t="s">
        <v>353</v>
      </c>
      <c r="S725" s="79" t="s">
        <v>339</v>
      </c>
      <c r="T725" s="298">
        <f>IFERROR(Table6[[#This Row],[Breakdown Time]]*Table6[[#This Row],[Plant Equivalent Weightage]],"")</f>
        <v>7.5757575757575794E-3</v>
      </c>
      <c r="U725" s="79" t="s">
        <v>421</v>
      </c>
      <c r="W725" s="79">
        <v>183</v>
      </c>
    </row>
    <row r="726" spans="1:23">
      <c r="A726" s="79">
        <f t="shared" si="11"/>
        <v>725</v>
      </c>
      <c r="B726" s="79">
        <f>YEAR(Table6[[#This Row],[Date]])+IF(MONTH(Table6[[#This Row],[Date]])&gt;=4,1,0)</f>
        <v>2026</v>
      </c>
      <c r="C726" s="79">
        <f>YEAR(Table6[[#This Row],[Date]])</f>
        <v>2025</v>
      </c>
      <c r="D726" s="79" t="s">
        <v>344</v>
      </c>
      <c r="E726" s="284">
        <f>Table6[[#This Row],[Date]]-DAY(Table6[[#This Row],[Date]])+1</f>
        <v>45778</v>
      </c>
      <c r="F726" s="285">
        <v>45803</v>
      </c>
      <c r="G726" s="79" t="s">
        <v>116</v>
      </c>
      <c r="H726" s="79" t="str">
        <f>IFERROR(_xlfn.XLOOKUP(Table6[[#This Row],[Affected Feeder ]],'Basic Data'!$A:$A,'Basic Data'!$B:$B),"")</f>
        <v>PWEPL</v>
      </c>
      <c r="I726" s="79" t="str">
        <f>IFERROR(_xlfn.XLOOKUP(Table6[[#This Row],[Affected Feeder ]],'Basic Data'!$A:$A,'Basic Data'!$C:$C),"")</f>
        <v>MSEDCL</v>
      </c>
      <c r="J726" s="295">
        <f>IFERROR(_xlfn.XLOOKUP(Table6[[#This Row],[Affected Feeder ]],'Basic Data'!$A:$A,'Basic Data'!$E:$E),"")</f>
        <v>2.2727272727272728E-2</v>
      </c>
      <c r="K726" s="296" t="s">
        <v>171</v>
      </c>
      <c r="L726" s="297">
        <v>0.26180555555555557</v>
      </c>
      <c r="M726" s="297">
        <v>0.26180555555555557</v>
      </c>
      <c r="N726" s="297">
        <v>0.27569444444444446</v>
      </c>
      <c r="O726" s="19">
        <f>(Table6[[#This Row],[Work Start TimeStamp]]-Table6[[#This Row],[Fault Start TimeStamp]])*24</f>
        <v>0</v>
      </c>
      <c r="P726" s="19">
        <f>(Table6[[#This Row],[Fault Clearance time]]-Table6[[#This Row],[Fault Start TimeStamp]])*24</f>
        <v>0.33333333333333348</v>
      </c>
      <c r="Q726" s="19">
        <f>(Table6[[#This Row],[Fault Clearance time]]-Table6[[#This Row],[Fault Start TimeStamp]])*24</f>
        <v>0.33333333333333348</v>
      </c>
      <c r="R726" s="79" t="s">
        <v>353</v>
      </c>
      <c r="S726" s="79" t="s">
        <v>339</v>
      </c>
      <c r="T726" s="298">
        <f>IFERROR(Table6[[#This Row],[Breakdown Time]]*Table6[[#This Row],[Plant Equivalent Weightage]],"")</f>
        <v>7.5757575757575794E-3</v>
      </c>
      <c r="U726" s="79" t="s">
        <v>421</v>
      </c>
      <c r="W726" s="79">
        <v>183</v>
      </c>
    </row>
    <row r="727" spans="1:23">
      <c r="A727" s="79">
        <f t="shared" si="11"/>
        <v>726</v>
      </c>
      <c r="B727" s="79">
        <f>YEAR(Table6[[#This Row],[Date]])+IF(MONTH(Table6[[#This Row],[Date]])&gt;=4,1,0)</f>
        <v>2026</v>
      </c>
      <c r="C727" s="79">
        <f>YEAR(Table6[[#This Row],[Date]])</f>
        <v>2025</v>
      </c>
      <c r="D727" s="79" t="s">
        <v>344</v>
      </c>
      <c r="E727" s="284">
        <f>Table6[[#This Row],[Date]]-DAY(Table6[[#This Row],[Date]])+1</f>
        <v>45778</v>
      </c>
      <c r="F727" s="285">
        <v>45803</v>
      </c>
      <c r="G727" s="79" t="s">
        <v>117</v>
      </c>
      <c r="H727" s="79" t="str">
        <f>IFERROR(_xlfn.XLOOKUP(Table6[[#This Row],[Affected Feeder ]],'Basic Data'!$A:$A,'Basic Data'!$B:$B),"")</f>
        <v>PWEPL</v>
      </c>
      <c r="I727" s="79" t="str">
        <f>IFERROR(_xlfn.XLOOKUP(Table6[[#This Row],[Affected Feeder ]],'Basic Data'!$A:$A,'Basic Data'!$C:$C),"")</f>
        <v>MSEDCL</v>
      </c>
      <c r="J727" s="295">
        <f>IFERROR(_xlfn.XLOOKUP(Table6[[#This Row],[Affected Feeder ]],'Basic Data'!$A:$A,'Basic Data'!$E:$E),"")</f>
        <v>2.2727272727272728E-2</v>
      </c>
      <c r="K727" s="296" t="s">
        <v>171</v>
      </c>
      <c r="L727" s="297">
        <v>0.26180555555555557</v>
      </c>
      <c r="M727" s="297">
        <v>0.26180555555555557</v>
      </c>
      <c r="N727" s="297">
        <v>0.27569444444444446</v>
      </c>
      <c r="O727" s="19">
        <f>(Table6[[#This Row],[Work Start TimeStamp]]-Table6[[#This Row],[Fault Start TimeStamp]])*24</f>
        <v>0</v>
      </c>
      <c r="P727" s="19">
        <f>(Table6[[#This Row],[Fault Clearance time]]-Table6[[#This Row],[Fault Start TimeStamp]])*24</f>
        <v>0.33333333333333348</v>
      </c>
      <c r="Q727" s="19">
        <f>(Table6[[#This Row],[Fault Clearance time]]-Table6[[#This Row],[Fault Start TimeStamp]])*24</f>
        <v>0.33333333333333348</v>
      </c>
      <c r="R727" s="79" t="s">
        <v>353</v>
      </c>
      <c r="S727" s="79" t="s">
        <v>339</v>
      </c>
      <c r="T727" s="298">
        <f>IFERROR(Table6[[#This Row],[Breakdown Time]]*Table6[[#This Row],[Plant Equivalent Weightage]],"")</f>
        <v>7.5757575757575794E-3</v>
      </c>
      <c r="U727" s="79" t="s">
        <v>421</v>
      </c>
      <c r="W727" s="79">
        <v>183</v>
      </c>
    </row>
    <row r="728" spans="1:23">
      <c r="A728" s="79">
        <f t="shared" si="11"/>
        <v>727</v>
      </c>
      <c r="B728" s="79">
        <f>YEAR(Table6[[#This Row],[Date]])+IF(MONTH(Table6[[#This Row],[Date]])&gt;=4,1,0)</f>
        <v>2026</v>
      </c>
      <c r="C728" s="79">
        <f>YEAR(Table6[[#This Row],[Date]])</f>
        <v>2025</v>
      </c>
      <c r="D728" s="79" t="s">
        <v>344</v>
      </c>
      <c r="E728" s="284">
        <f>Table6[[#This Row],[Date]]-DAY(Table6[[#This Row],[Date]])+1</f>
        <v>45778</v>
      </c>
      <c r="F728" s="285">
        <v>45803</v>
      </c>
      <c r="G728" s="79" t="s">
        <v>118</v>
      </c>
      <c r="H728" s="79" t="str">
        <f>IFERROR(_xlfn.XLOOKUP(Table6[[#This Row],[Affected Feeder ]],'Basic Data'!$A:$A,'Basic Data'!$B:$B),"")</f>
        <v>PWEPL</v>
      </c>
      <c r="I728" s="79" t="str">
        <f>IFERROR(_xlfn.XLOOKUP(Table6[[#This Row],[Affected Feeder ]],'Basic Data'!$A:$A,'Basic Data'!$C:$C),"")</f>
        <v>MSEDCL</v>
      </c>
      <c r="J728" s="295">
        <f>IFERROR(_xlfn.XLOOKUP(Table6[[#This Row],[Affected Feeder ]],'Basic Data'!$A:$A,'Basic Data'!$E:$E),"")</f>
        <v>2.2727272727272728E-2</v>
      </c>
      <c r="K728" s="296" t="s">
        <v>171</v>
      </c>
      <c r="L728" s="297">
        <v>0.26180555555555557</v>
      </c>
      <c r="M728" s="297">
        <v>0.26180555555555557</v>
      </c>
      <c r="N728" s="297">
        <v>0.27569444444444446</v>
      </c>
      <c r="O728" s="19">
        <f>(Table6[[#This Row],[Work Start TimeStamp]]-Table6[[#This Row],[Fault Start TimeStamp]])*24</f>
        <v>0</v>
      </c>
      <c r="P728" s="19">
        <f>(Table6[[#This Row],[Fault Clearance time]]-Table6[[#This Row],[Fault Start TimeStamp]])*24</f>
        <v>0.33333333333333348</v>
      </c>
      <c r="Q728" s="19">
        <f>(Table6[[#This Row],[Fault Clearance time]]-Table6[[#This Row],[Fault Start TimeStamp]])*24</f>
        <v>0.33333333333333348</v>
      </c>
      <c r="R728" s="79" t="s">
        <v>353</v>
      </c>
      <c r="S728" s="79" t="s">
        <v>339</v>
      </c>
      <c r="T728" s="298">
        <f>IFERROR(Table6[[#This Row],[Breakdown Time]]*Table6[[#This Row],[Plant Equivalent Weightage]],"")</f>
        <v>7.5757575757575794E-3</v>
      </c>
      <c r="U728" s="79" t="s">
        <v>421</v>
      </c>
      <c r="W728" s="79">
        <v>183</v>
      </c>
    </row>
    <row r="729" spans="1:23">
      <c r="A729" s="79">
        <f t="shared" si="11"/>
        <v>728</v>
      </c>
      <c r="B729" s="79">
        <f>YEAR(Table6[[#This Row],[Date]])+IF(MONTH(Table6[[#This Row],[Date]])&gt;=4,1,0)</f>
        <v>2026</v>
      </c>
      <c r="C729" s="79">
        <f>YEAR(Table6[[#This Row],[Date]])</f>
        <v>2025</v>
      </c>
      <c r="D729" s="79" t="s">
        <v>344</v>
      </c>
      <c r="E729" s="284">
        <f>Table6[[#This Row],[Date]]-DAY(Table6[[#This Row],[Date]])+1</f>
        <v>45778</v>
      </c>
      <c r="F729" s="285">
        <v>45803</v>
      </c>
      <c r="G729" s="79" t="s">
        <v>406</v>
      </c>
      <c r="H729" s="79" t="str">
        <f>IFERROR(_xlfn.XLOOKUP(Table6[[#This Row],[Affected Feeder ]],'Basic Data'!$A:$A,'Basic Data'!$B:$B),"")</f>
        <v>PWEPL</v>
      </c>
      <c r="I729" s="79" t="str">
        <f>IFERROR(_xlfn.XLOOKUP(Table6[[#This Row],[Affected Feeder ]],'Basic Data'!$A:$A,'Basic Data'!$C:$C),"")</f>
        <v>MSEDCL</v>
      </c>
      <c r="J729" s="295">
        <f>IFERROR(_xlfn.XLOOKUP(Table6[[#This Row],[Affected Feeder ]],'Basic Data'!$A:$A,'Basic Data'!$E:$E),"")</f>
        <v>0.29545454545454541</v>
      </c>
      <c r="K729" s="296" t="s">
        <v>447</v>
      </c>
      <c r="L729" s="297">
        <v>0.40763888888888888</v>
      </c>
      <c r="M729" s="297">
        <v>0.40763888888888888</v>
      </c>
      <c r="N729" s="297">
        <v>0.42708333333333331</v>
      </c>
      <c r="O729" s="19">
        <f>(Table6[[#This Row],[Work Start TimeStamp]]-Table6[[#This Row],[Fault Start TimeStamp]])*24</f>
        <v>0</v>
      </c>
      <c r="P729" s="19">
        <f>(Table6[[#This Row],[Fault Clearance time]]-Table6[[#This Row],[Fault Start TimeStamp]])*24</f>
        <v>0.46666666666666634</v>
      </c>
      <c r="Q729" s="19">
        <f>(Table6[[#This Row],[Fault Clearance time]]-Table6[[#This Row],[Fault Start TimeStamp]])*24</f>
        <v>0.46666666666666634</v>
      </c>
      <c r="R729" s="79" t="s">
        <v>420</v>
      </c>
      <c r="S729" s="79" t="s">
        <v>339</v>
      </c>
      <c r="T729" s="298">
        <f>IFERROR(Table6[[#This Row],[Breakdown Time]]*Table6[[#This Row],[Plant Equivalent Weightage]],"")</f>
        <v>0.13787878787878777</v>
      </c>
      <c r="U729" s="79" t="s">
        <v>421</v>
      </c>
      <c r="W729" s="79">
        <v>8936</v>
      </c>
    </row>
    <row r="730" spans="1:23">
      <c r="A730" s="79">
        <f t="shared" si="11"/>
        <v>729</v>
      </c>
      <c r="B730" s="79">
        <f>YEAR(Table6[[#This Row],[Date]])+IF(MONTH(Table6[[#This Row],[Date]])&gt;=4,1,0)</f>
        <v>2026</v>
      </c>
      <c r="C730" s="79">
        <f>YEAR(Table6[[#This Row],[Date]])</f>
        <v>2025</v>
      </c>
      <c r="D730" s="79" t="s">
        <v>344</v>
      </c>
      <c r="E730" s="284">
        <f>Table6[[#This Row],[Date]]-DAY(Table6[[#This Row],[Date]])+1</f>
        <v>45778</v>
      </c>
      <c r="F730" s="285">
        <v>45803</v>
      </c>
      <c r="G730" s="79" t="s">
        <v>76</v>
      </c>
      <c r="H730" s="79" t="str">
        <f>IFERROR(_xlfn.XLOOKUP(Table6[[#This Row],[Affected Feeder ]],'Basic Data'!$A:$A,'Basic Data'!$B:$B),"")</f>
        <v>PWEPL</v>
      </c>
      <c r="I730" s="79" t="str">
        <f>IFERROR(_xlfn.XLOOKUP(Table6[[#This Row],[Affected Feeder ]],'Basic Data'!$A:$A,'Basic Data'!$C:$C),"")</f>
        <v>MSEDCL</v>
      </c>
      <c r="J730" s="295">
        <f>IFERROR(_xlfn.XLOOKUP(Table6[[#This Row],[Affected Feeder ]],'Basic Data'!$A:$A,'Basic Data'!$E:$E),"")</f>
        <v>2.2727272727272728E-2</v>
      </c>
      <c r="K730" s="296" t="s">
        <v>171</v>
      </c>
      <c r="L730" s="297">
        <v>0.42708333333333331</v>
      </c>
      <c r="M730" s="297">
        <v>0.42708333333333331</v>
      </c>
      <c r="N730" s="297">
        <v>0.44097222222222227</v>
      </c>
      <c r="O730" s="19">
        <f>(Table6[[#This Row],[Work Start TimeStamp]]-Table6[[#This Row],[Fault Start TimeStamp]])*24</f>
        <v>0</v>
      </c>
      <c r="P730" s="19">
        <f>(Table6[[#This Row],[Fault Clearance time]]-Table6[[#This Row],[Fault Start TimeStamp]])*24</f>
        <v>0.33333333333333481</v>
      </c>
      <c r="Q730" s="19">
        <f>(Table6[[#This Row],[Fault Clearance time]]-Table6[[#This Row],[Fault Start TimeStamp]])*24</f>
        <v>0.33333333333333481</v>
      </c>
      <c r="R730" s="79" t="s">
        <v>353</v>
      </c>
      <c r="S730" s="79" t="s">
        <v>339</v>
      </c>
      <c r="T730" s="298">
        <f>IFERROR(Table6[[#This Row],[Breakdown Time]]*Table6[[#This Row],[Plant Equivalent Weightage]],"")</f>
        <v>7.5757575757576098E-3</v>
      </c>
      <c r="U730" s="79" t="s">
        <v>421</v>
      </c>
      <c r="W730" s="79">
        <v>491</v>
      </c>
    </row>
    <row r="731" spans="1:23">
      <c r="A731" s="79">
        <f t="shared" si="11"/>
        <v>730</v>
      </c>
      <c r="B731" s="79">
        <f>YEAR(Table6[[#This Row],[Date]])+IF(MONTH(Table6[[#This Row],[Date]])&gt;=4,1,0)</f>
        <v>2026</v>
      </c>
      <c r="C731" s="79">
        <f>YEAR(Table6[[#This Row],[Date]])</f>
        <v>2025</v>
      </c>
      <c r="D731" s="79" t="s">
        <v>344</v>
      </c>
      <c r="E731" s="284">
        <f>Table6[[#This Row],[Date]]-DAY(Table6[[#This Row],[Date]])+1</f>
        <v>45778</v>
      </c>
      <c r="F731" s="285">
        <v>45803</v>
      </c>
      <c r="G731" s="79" t="s">
        <v>77</v>
      </c>
      <c r="H731" s="79" t="str">
        <f>IFERROR(_xlfn.XLOOKUP(Table6[[#This Row],[Affected Feeder ]],'Basic Data'!$A:$A,'Basic Data'!$B:$B),"")</f>
        <v>PWEPL</v>
      </c>
      <c r="I731" s="79" t="str">
        <f>IFERROR(_xlfn.XLOOKUP(Table6[[#This Row],[Affected Feeder ]],'Basic Data'!$A:$A,'Basic Data'!$C:$C),"")</f>
        <v>MSEDCL</v>
      </c>
      <c r="J731" s="295">
        <f>IFERROR(_xlfn.XLOOKUP(Table6[[#This Row],[Affected Feeder ]],'Basic Data'!$A:$A,'Basic Data'!$E:$E),"")</f>
        <v>2.2727272727272728E-2</v>
      </c>
      <c r="K731" s="296" t="s">
        <v>171</v>
      </c>
      <c r="L731" s="297">
        <v>0.42708333333333331</v>
      </c>
      <c r="M731" s="297">
        <v>0.42708333333333331</v>
      </c>
      <c r="N731" s="297">
        <v>0.44097222222222227</v>
      </c>
      <c r="O731" s="19">
        <f>(Table6[[#This Row],[Work Start TimeStamp]]-Table6[[#This Row],[Fault Start TimeStamp]])*24</f>
        <v>0</v>
      </c>
      <c r="P731" s="19">
        <f>(Table6[[#This Row],[Fault Clearance time]]-Table6[[#This Row],[Fault Start TimeStamp]])*24</f>
        <v>0.33333333333333481</v>
      </c>
      <c r="Q731" s="19">
        <f>(Table6[[#This Row],[Fault Clearance time]]-Table6[[#This Row],[Fault Start TimeStamp]])*24</f>
        <v>0.33333333333333481</v>
      </c>
      <c r="R731" s="79" t="s">
        <v>353</v>
      </c>
      <c r="S731" s="79" t="s">
        <v>339</v>
      </c>
      <c r="T731" s="298">
        <f>IFERROR(Table6[[#This Row],[Breakdown Time]]*Table6[[#This Row],[Plant Equivalent Weightage]],"")</f>
        <v>7.5757575757576098E-3</v>
      </c>
      <c r="U731" s="79" t="s">
        <v>421</v>
      </c>
      <c r="W731" s="79">
        <v>491</v>
      </c>
    </row>
    <row r="732" spans="1:23">
      <c r="A732" s="79">
        <f t="shared" si="11"/>
        <v>731</v>
      </c>
      <c r="B732" s="79">
        <f>YEAR(Table6[[#This Row],[Date]])+IF(MONTH(Table6[[#This Row],[Date]])&gt;=4,1,0)</f>
        <v>2026</v>
      </c>
      <c r="C732" s="79">
        <f>YEAR(Table6[[#This Row],[Date]])</f>
        <v>2025</v>
      </c>
      <c r="D732" s="79" t="s">
        <v>344</v>
      </c>
      <c r="E732" s="284">
        <f>Table6[[#This Row],[Date]]-DAY(Table6[[#This Row],[Date]])+1</f>
        <v>45778</v>
      </c>
      <c r="F732" s="285">
        <v>45803</v>
      </c>
      <c r="G732" s="79" t="s">
        <v>78</v>
      </c>
      <c r="H732" s="79" t="str">
        <f>IFERROR(_xlfn.XLOOKUP(Table6[[#This Row],[Affected Feeder ]],'Basic Data'!$A:$A,'Basic Data'!$B:$B),"")</f>
        <v>PWEPL</v>
      </c>
      <c r="I732" s="79" t="str">
        <f>IFERROR(_xlfn.XLOOKUP(Table6[[#This Row],[Affected Feeder ]],'Basic Data'!$A:$A,'Basic Data'!$C:$C),"")</f>
        <v>MSEDCL</v>
      </c>
      <c r="J732" s="295">
        <f>IFERROR(_xlfn.XLOOKUP(Table6[[#This Row],[Affected Feeder ]],'Basic Data'!$A:$A,'Basic Data'!$E:$E),"")</f>
        <v>2.2727272727272728E-2</v>
      </c>
      <c r="K732" s="296" t="s">
        <v>171</v>
      </c>
      <c r="L732" s="297">
        <v>0.42708333333333331</v>
      </c>
      <c r="M732" s="297">
        <v>0.42708333333333331</v>
      </c>
      <c r="N732" s="297">
        <v>0.44097222222222227</v>
      </c>
      <c r="O732" s="19">
        <f>(Table6[[#This Row],[Work Start TimeStamp]]-Table6[[#This Row],[Fault Start TimeStamp]])*24</f>
        <v>0</v>
      </c>
      <c r="P732" s="19">
        <f>(Table6[[#This Row],[Fault Clearance time]]-Table6[[#This Row],[Fault Start TimeStamp]])*24</f>
        <v>0.33333333333333481</v>
      </c>
      <c r="Q732" s="19">
        <f>(Table6[[#This Row],[Fault Clearance time]]-Table6[[#This Row],[Fault Start TimeStamp]])*24</f>
        <v>0.33333333333333481</v>
      </c>
      <c r="R732" s="79" t="s">
        <v>353</v>
      </c>
      <c r="S732" s="79" t="s">
        <v>339</v>
      </c>
      <c r="T732" s="298">
        <f>IFERROR(Table6[[#This Row],[Breakdown Time]]*Table6[[#This Row],[Plant Equivalent Weightage]],"")</f>
        <v>7.5757575757576098E-3</v>
      </c>
      <c r="U732" s="79" t="s">
        <v>421</v>
      </c>
      <c r="W732" s="79">
        <v>491</v>
      </c>
    </row>
    <row r="733" spans="1:23">
      <c r="A733" s="79">
        <f t="shared" si="11"/>
        <v>732</v>
      </c>
      <c r="B733" s="79">
        <f>YEAR(Table6[[#This Row],[Date]])+IF(MONTH(Table6[[#This Row],[Date]])&gt;=4,1,0)</f>
        <v>2026</v>
      </c>
      <c r="C733" s="79">
        <f>YEAR(Table6[[#This Row],[Date]])</f>
        <v>2025</v>
      </c>
      <c r="D733" s="79" t="s">
        <v>344</v>
      </c>
      <c r="E733" s="284">
        <f>Table6[[#This Row],[Date]]-DAY(Table6[[#This Row],[Date]])+1</f>
        <v>45778</v>
      </c>
      <c r="F733" s="285">
        <v>45803</v>
      </c>
      <c r="G733" s="79" t="s">
        <v>82</v>
      </c>
      <c r="H733" s="79" t="str">
        <f>IFERROR(_xlfn.XLOOKUP(Table6[[#This Row],[Affected Feeder ]],'Basic Data'!$A:$A,'Basic Data'!$B:$B),"")</f>
        <v>PWEPL</v>
      </c>
      <c r="I733" s="79" t="str">
        <f>IFERROR(_xlfn.XLOOKUP(Table6[[#This Row],[Affected Feeder ]],'Basic Data'!$A:$A,'Basic Data'!$C:$C),"")</f>
        <v>MSEDCL</v>
      </c>
      <c r="J733" s="295">
        <f>IFERROR(_xlfn.XLOOKUP(Table6[[#This Row],[Affected Feeder ]],'Basic Data'!$A:$A,'Basic Data'!$E:$E),"")</f>
        <v>2.2727272727272728E-2</v>
      </c>
      <c r="K733" s="296" t="s">
        <v>171</v>
      </c>
      <c r="L733" s="297">
        <v>0.42708333333333331</v>
      </c>
      <c r="M733" s="297">
        <v>0.42708333333333331</v>
      </c>
      <c r="N733" s="297">
        <v>0.44097222222222227</v>
      </c>
      <c r="O733" s="19">
        <f>(Table6[[#This Row],[Work Start TimeStamp]]-Table6[[#This Row],[Fault Start TimeStamp]])*24</f>
        <v>0</v>
      </c>
      <c r="P733" s="19">
        <f>(Table6[[#This Row],[Fault Clearance time]]-Table6[[#This Row],[Fault Start TimeStamp]])*24</f>
        <v>0.33333333333333481</v>
      </c>
      <c r="Q733" s="19">
        <f>(Table6[[#This Row],[Fault Clearance time]]-Table6[[#This Row],[Fault Start TimeStamp]])*24</f>
        <v>0.33333333333333481</v>
      </c>
      <c r="R733" s="79" t="s">
        <v>353</v>
      </c>
      <c r="S733" s="79" t="s">
        <v>339</v>
      </c>
      <c r="T733" s="298">
        <f>IFERROR(Table6[[#This Row],[Breakdown Time]]*Table6[[#This Row],[Plant Equivalent Weightage]],"")</f>
        <v>7.5757575757576098E-3</v>
      </c>
      <c r="U733" s="79" t="s">
        <v>421</v>
      </c>
      <c r="W733" s="79">
        <v>491</v>
      </c>
    </row>
    <row r="734" spans="1:23">
      <c r="A734" s="79">
        <f t="shared" si="11"/>
        <v>733</v>
      </c>
      <c r="B734" s="79">
        <f>YEAR(Table6[[#This Row],[Date]])+IF(MONTH(Table6[[#This Row],[Date]])&gt;=4,1,0)</f>
        <v>2026</v>
      </c>
      <c r="C734" s="79">
        <f>YEAR(Table6[[#This Row],[Date]])</f>
        <v>2025</v>
      </c>
      <c r="D734" s="79" t="s">
        <v>344</v>
      </c>
      <c r="E734" s="284">
        <f>Table6[[#This Row],[Date]]-DAY(Table6[[#This Row],[Date]])+1</f>
        <v>45778</v>
      </c>
      <c r="F734" s="285">
        <v>45803</v>
      </c>
      <c r="G734" s="79" t="s">
        <v>93</v>
      </c>
      <c r="H734" s="79" t="str">
        <f>IFERROR(_xlfn.XLOOKUP(Table6[[#This Row],[Affected Feeder ]],'Basic Data'!$A:$A,'Basic Data'!$B:$B),"")</f>
        <v>PWEPL</v>
      </c>
      <c r="I734" s="79" t="str">
        <f>IFERROR(_xlfn.XLOOKUP(Table6[[#This Row],[Affected Feeder ]],'Basic Data'!$A:$A,'Basic Data'!$C:$C),"")</f>
        <v>MSEDCL</v>
      </c>
      <c r="J734" s="295">
        <f>IFERROR(_xlfn.XLOOKUP(Table6[[#This Row],[Affected Feeder ]],'Basic Data'!$A:$A,'Basic Data'!$E:$E),"")</f>
        <v>2.2727272727272728E-2</v>
      </c>
      <c r="K734" s="296" t="s">
        <v>171</v>
      </c>
      <c r="L734" s="297">
        <v>0.42708333333333331</v>
      </c>
      <c r="M734" s="297">
        <v>0.42708333333333331</v>
      </c>
      <c r="N734" s="297">
        <v>0.44097222222222227</v>
      </c>
      <c r="O734" s="19">
        <f>(Table6[[#This Row],[Work Start TimeStamp]]-Table6[[#This Row],[Fault Start TimeStamp]])*24</f>
        <v>0</v>
      </c>
      <c r="P734" s="19">
        <f>(Table6[[#This Row],[Fault Clearance time]]-Table6[[#This Row],[Fault Start TimeStamp]])*24</f>
        <v>0.33333333333333481</v>
      </c>
      <c r="Q734" s="19">
        <f>(Table6[[#This Row],[Fault Clearance time]]-Table6[[#This Row],[Fault Start TimeStamp]])*24</f>
        <v>0.33333333333333481</v>
      </c>
      <c r="R734" s="79" t="s">
        <v>353</v>
      </c>
      <c r="S734" s="79" t="s">
        <v>339</v>
      </c>
      <c r="T734" s="298">
        <f>IFERROR(Table6[[#This Row],[Breakdown Time]]*Table6[[#This Row],[Plant Equivalent Weightage]],"")</f>
        <v>7.5757575757576098E-3</v>
      </c>
      <c r="U734" s="79" t="s">
        <v>421</v>
      </c>
      <c r="W734" s="79">
        <v>491</v>
      </c>
    </row>
    <row r="735" spans="1:23">
      <c r="A735" s="79">
        <f t="shared" si="11"/>
        <v>734</v>
      </c>
      <c r="B735" s="79">
        <f>YEAR(Table6[[#This Row],[Date]])+IF(MONTH(Table6[[#This Row],[Date]])&gt;=4,1,0)</f>
        <v>2026</v>
      </c>
      <c r="C735" s="79">
        <f>YEAR(Table6[[#This Row],[Date]])</f>
        <v>2025</v>
      </c>
      <c r="D735" s="79" t="s">
        <v>344</v>
      </c>
      <c r="E735" s="284">
        <f>Table6[[#This Row],[Date]]-DAY(Table6[[#This Row],[Date]])+1</f>
        <v>45778</v>
      </c>
      <c r="F735" s="285">
        <v>45803</v>
      </c>
      <c r="G735" s="79" t="s">
        <v>102</v>
      </c>
      <c r="H735" s="79" t="str">
        <f>IFERROR(_xlfn.XLOOKUP(Table6[[#This Row],[Affected Feeder ]],'Basic Data'!$A:$A,'Basic Data'!$B:$B),"")</f>
        <v>PWEPL</v>
      </c>
      <c r="I735" s="79" t="str">
        <f>IFERROR(_xlfn.XLOOKUP(Table6[[#This Row],[Affected Feeder ]],'Basic Data'!$A:$A,'Basic Data'!$C:$C),"")</f>
        <v>MSEDCL</v>
      </c>
      <c r="J735" s="295">
        <f>IFERROR(_xlfn.XLOOKUP(Table6[[#This Row],[Affected Feeder ]],'Basic Data'!$A:$A,'Basic Data'!$E:$E),"")</f>
        <v>2.2727272727272728E-2</v>
      </c>
      <c r="K735" s="296" t="s">
        <v>171</v>
      </c>
      <c r="L735" s="297">
        <v>0.42708333333333331</v>
      </c>
      <c r="M735" s="297">
        <v>0.42708333333333331</v>
      </c>
      <c r="N735" s="297">
        <v>0.44097222222222227</v>
      </c>
      <c r="O735" s="19">
        <f>(Table6[[#This Row],[Work Start TimeStamp]]-Table6[[#This Row],[Fault Start TimeStamp]])*24</f>
        <v>0</v>
      </c>
      <c r="P735" s="19">
        <f>(Table6[[#This Row],[Fault Clearance time]]-Table6[[#This Row],[Fault Start TimeStamp]])*24</f>
        <v>0.33333333333333481</v>
      </c>
      <c r="Q735" s="19">
        <f>(Table6[[#This Row],[Fault Clearance time]]-Table6[[#This Row],[Fault Start TimeStamp]])*24</f>
        <v>0.33333333333333481</v>
      </c>
      <c r="R735" s="79" t="s">
        <v>353</v>
      </c>
      <c r="S735" s="79" t="s">
        <v>339</v>
      </c>
      <c r="T735" s="298">
        <f>IFERROR(Table6[[#This Row],[Breakdown Time]]*Table6[[#This Row],[Plant Equivalent Weightage]],"")</f>
        <v>7.5757575757576098E-3</v>
      </c>
      <c r="U735" s="79" t="s">
        <v>421</v>
      </c>
      <c r="W735" s="79">
        <v>491</v>
      </c>
    </row>
    <row r="736" spans="1:23">
      <c r="A736" s="79">
        <f t="shared" si="11"/>
        <v>735</v>
      </c>
      <c r="B736" s="79">
        <f>YEAR(Table6[[#This Row],[Date]])+IF(MONTH(Table6[[#This Row],[Date]])&gt;=4,1,0)</f>
        <v>2026</v>
      </c>
      <c r="C736" s="79">
        <f>YEAR(Table6[[#This Row],[Date]])</f>
        <v>2025</v>
      </c>
      <c r="D736" s="79" t="s">
        <v>344</v>
      </c>
      <c r="E736" s="284">
        <f>Table6[[#This Row],[Date]]-DAY(Table6[[#This Row],[Date]])+1</f>
        <v>45778</v>
      </c>
      <c r="F736" s="285">
        <v>45803</v>
      </c>
      <c r="G736" s="79" t="s">
        <v>119</v>
      </c>
      <c r="H736" s="79" t="str">
        <f>IFERROR(_xlfn.XLOOKUP(Table6[[#This Row],[Affected Feeder ]],'Basic Data'!$A:$A,'Basic Data'!$B:$B),"")</f>
        <v>PWEPL</v>
      </c>
      <c r="I736" s="79" t="str">
        <f>IFERROR(_xlfn.XLOOKUP(Table6[[#This Row],[Affected Feeder ]],'Basic Data'!$A:$A,'Basic Data'!$C:$C),"")</f>
        <v>MSEDCL</v>
      </c>
      <c r="J736" s="295">
        <f>IFERROR(_xlfn.XLOOKUP(Table6[[#This Row],[Affected Feeder ]],'Basic Data'!$A:$A,'Basic Data'!$E:$E),"")</f>
        <v>2.2727272727272728E-2</v>
      </c>
      <c r="K736" s="296" t="s">
        <v>171</v>
      </c>
      <c r="L736" s="297">
        <v>0.42708333333333331</v>
      </c>
      <c r="M736" s="297">
        <v>0.42708333333333331</v>
      </c>
      <c r="N736" s="297">
        <v>0.44097222222222227</v>
      </c>
      <c r="O736" s="19">
        <f>(Table6[[#This Row],[Work Start TimeStamp]]-Table6[[#This Row],[Fault Start TimeStamp]])*24</f>
        <v>0</v>
      </c>
      <c r="P736" s="19">
        <f>(Table6[[#This Row],[Fault Clearance time]]-Table6[[#This Row],[Fault Start TimeStamp]])*24</f>
        <v>0.33333333333333481</v>
      </c>
      <c r="Q736" s="19">
        <f>(Table6[[#This Row],[Fault Clearance time]]-Table6[[#This Row],[Fault Start TimeStamp]])*24</f>
        <v>0.33333333333333481</v>
      </c>
      <c r="R736" s="79" t="s">
        <v>353</v>
      </c>
      <c r="S736" s="79" t="s">
        <v>339</v>
      </c>
      <c r="T736" s="298">
        <f>IFERROR(Table6[[#This Row],[Breakdown Time]]*Table6[[#This Row],[Plant Equivalent Weightage]],"")</f>
        <v>7.5757575757576098E-3</v>
      </c>
      <c r="U736" s="79" t="s">
        <v>421</v>
      </c>
      <c r="W736" s="79">
        <v>491</v>
      </c>
    </row>
    <row r="737" spans="1:23">
      <c r="A737" s="79">
        <f t="shared" si="11"/>
        <v>736</v>
      </c>
      <c r="B737" s="79">
        <f>YEAR(Table6[[#This Row],[Date]])+IF(MONTH(Table6[[#This Row],[Date]])&gt;=4,1,0)</f>
        <v>2026</v>
      </c>
      <c r="C737" s="79">
        <f>YEAR(Table6[[#This Row],[Date]])</f>
        <v>2025</v>
      </c>
      <c r="D737" s="79" t="s">
        <v>344</v>
      </c>
      <c r="E737" s="284">
        <f>Table6[[#This Row],[Date]]-DAY(Table6[[#This Row],[Date]])+1</f>
        <v>45778</v>
      </c>
      <c r="F737" s="285">
        <v>45803</v>
      </c>
      <c r="G737" s="79" t="s">
        <v>103</v>
      </c>
      <c r="H737" s="79" t="str">
        <f>IFERROR(_xlfn.XLOOKUP(Table6[[#This Row],[Affected Feeder ]],'Basic Data'!$A:$A,'Basic Data'!$B:$B),"")</f>
        <v>PWEPL</v>
      </c>
      <c r="I737" s="79" t="str">
        <f>IFERROR(_xlfn.XLOOKUP(Table6[[#This Row],[Affected Feeder ]],'Basic Data'!$A:$A,'Basic Data'!$C:$C),"")</f>
        <v>MSEDCL</v>
      </c>
      <c r="J737" s="295">
        <f>IFERROR(_xlfn.XLOOKUP(Table6[[#This Row],[Affected Feeder ]],'Basic Data'!$A:$A,'Basic Data'!$E:$E),"")</f>
        <v>2.2727272727272728E-2</v>
      </c>
      <c r="K737" s="296" t="s">
        <v>171</v>
      </c>
      <c r="L737" s="297">
        <v>0.42708333333333331</v>
      </c>
      <c r="M737" s="297">
        <v>0.42708333333333331</v>
      </c>
      <c r="N737" s="297">
        <v>0.44097222222222227</v>
      </c>
      <c r="O737" s="19">
        <f>(Table6[[#This Row],[Work Start TimeStamp]]-Table6[[#This Row],[Fault Start TimeStamp]])*24</f>
        <v>0</v>
      </c>
      <c r="P737" s="19">
        <f>(Table6[[#This Row],[Fault Clearance time]]-Table6[[#This Row],[Fault Start TimeStamp]])*24</f>
        <v>0.33333333333333481</v>
      </c>
      <c r="Q737" s="19">
        <f>(Table6[[#This Row],[Fault Clearance time]]-Table6[[#This Row],[Fault Start TimeStamp]])*24</f>
        <v>0.33333333333333481</v>
      </c>
      <c r="R737" s="79" t="s">
        <v>353</v>
      </c>
      <c r="S737" s="79" t="s">
        <v>339</v>
      </c>
      <c r="T737" s="298">
        <f>IFERROR(Table6[[#This Row],[Breakdown Time]]*Table6[[#This Row],[Plant Equivalent Weightage]],"")</f>
        <v>7.5757575757576098E-3</v>
      </c>
      <c r="U737" s="79" t="s">
        <v>421</v>
      </c>
      <c r="W737" s="79">
        <v>491</v>
      </c>
    </row>
    <row r="738" spans="1:23">
      <c r="A738" s="79">
        <f t="shared" si="11"/>
        <v>737</v>
      </c>
      <c r="B738" s="79">
        <f>YEAR(Table6[[#This Row],[Date]])+IF(MONTH(Table6[[#This Row],[Date]])&gt;=4,1,0)</f>
        <v>2026</v>
      </c>
      <c r="C738" s="79">
        <f>YEAR(Table6[[#This Row],[Date]])</f>
        <v>2025</v>
      </c>
      <c r="D738" s="79" t="s">
        <v>344</v>
      </c>
      <c r="E738" s="284">
        <f>Table6[[#This Row],[Date]]-DAY(Table6[[#This Row],[Date]])+1</f>
        <v>45778</v>
      </c>
      <c r="F738" s="285">
        <v>45803</v>
      </c>
      <c r="G738" s="79" t="s">
        <v>105</v>
      </c>
      <c r="H738" s="79" t="str">
        <f>IFERROR(_xlfn.XLOOKUP(Table6[[#This Row],[Affected Feeder ]],'Basic Data'!$A:$A,'Basic Data'!$B:$B),"")</f>
        <v>PWEPL</v>
      </c>
      <c r="I738" s="79" t="str">
        <f>IFERROR(_xlfn.XLOOKUP(Table6[[#This Row],[Affected Feeder ]],'Basic Data'!$A:$A,'Basic Data'!$C:$C),"")</f>
        <v>MSEDCL</v>
      </c>
      <c r="J738" s="295">
        <f>IFERROR(_xlfn.XLOOKUP(Table6[[#This Row],[Affected Feeder ]],'Basic Data'!$A:$A,'Basic Data'!$E:$E),"")</f>
        <v>2.2727272727272728E-2</v>
      </c>
      <c r="K738" s="296" t="s">
        <v>171</v>
      </c>
      <c r="L738" s="297">
        <v>0.42708333333333331</v>
      </c>
      <c r="M738" s="297">
        <v>0.42708333333333331</v>
      </c>
      <c r="N738" s="297">
        <v>0.44097222222222227</v>
      </c>
      <c r="O738" s="19">
        <f>(Table6[[#This Row],[Work Start TimeStamp]]-Table6[[#This Row],[Fault Start TimeStamp]])*24</f>
        <v>0</v>
      </c>
      <c r="P738" s="19">
        <f>(Table6[[#This Row],[Fault Clearance time]]-Table6[[#This Row],[Fault Start TimeStamp]])*24</f>
        <v>0.33333333333333481</v>
      </c>
      <c r="Q738" s="19">
        <f>(Table6[[#This Row],[Fault Clearance time]]-Table6[[#This Row],[Fault Start TimeStamp]])*24</f>
        <v>0.33333333333333481</v>
      </c>
      <c r="R738" s="79" t="s">
        <v>353</v>
      </c>
      <c r="S738" s="79" t="s">
        <v>339</v>
      </c>
      <c r="T738" s="298">
        <f>IFERROR(Table6[[#This Row],[Breakdown Time]]*Table6[[#This Row],[Plant Equivalent Weightage]],"")</f>
        <v>7.5757575757576098E-3</v>
      </c>
      <c r="U738" s="79" t="s">
        <v>421</v>
      </c>
      <c r="W738" s="79">
        <v>491</v>
      </c>
    </row>
    <row r="739" spans="1:23">
      <c r="A739" s="79">
        <f t="shared" si="11"/>
        <v>738</v>
      </c>
      <c r="B739" s="79">
        <f>YEAR(Table6[[#This Row],[Date]])+IF(MONTH(Table6[[#This Row],[Date]])&gt;=4,1,0)</f>
        <v>2026</v>
      </c>
      <c r="C739" s="79">
        <f>YEAR(Table6[[#This Row],[Date]])</f>
        <v>2025</v>
      </c>
      <c r="D739" s="79" t="s">
        <v>344</v>
      </c>
      <c r="E739" s="284">
        <f>Table6[[#This Row],[Date]]-DAY(Table6[[#This Row],[Date]])+1</f>
        <v>45778</v>
      </c>
      <c r="F739" s="285">
        <v>45803</v>
      </c>
      <c r="G739" s="79" t="s">
        <v>115</v>
      </c>
      <c r="H739" s="79" t="str">
        <f>IFERROR(_xlfn.XLOOKUP(Table6[[#This Row],[Affected Feeder ]],'Basic Data'!$A:$A,'Basic Data'!$B:$B),"")</f>
        <v>PWEPL</v>
      </c>
      <c r="I739" s="79" t="str">
        <f>IFERROR(_xlfn.XLOOKUP(Table6[[#This Row],[Affected Feeder ]],'Basic Data'!$A:$A,'Basic Data'!$C:$C),"")</f>
        <v>MSEDCL</v>
      </c>
      <c r="J739" s="295">
        <f>IFERROR(_xlfn.XLOOKUP(Table6[[#This Row],[Affected Feeder ]],'Basic Data'!$A:$A,'Basic Data'!$E:$E),"")</f>
        <v>2.2727272727272728E-2</v>
      </c>
      <c r="K739" s="296" t="s">
        <v>171</v>
      </c>
      <c r="L739" s="297">
        <v>0.42708333333333331</v>
      </c>
      <c r="M739" s="297">
        <v>0.42708333333333331</v>
      </c>
      <c r="N739" s="297">
        <v>0.44097222222222227</v>
      </c>
      <c r="O739" s="19">
        <f>(Table6[[#This Row],[Work Start TimeStamp]]-Table6[[#This Row],[Fault Start TimeStamp]])*24</f>
        <v>0</v>
      </c>
      <c r="P739" s="19">
        <f>(Table6[[#This Row],[Fault Clearance time]]-Table6[[#This Row],[Fault Start TimeStamp]])*24</f>
        <v>0.33333333333333481</v>
      </c>
      <c r="Q739" s="19">
        <f>(Table6[[#This Row],[Fault Clearance time]]-Table6[[#This Row],[Fault Start TimeStamp]])*24</f>
        <v>0.33333333333333481</v>
      </c>
      <c r="R739" s="79" t="s">
        <v>353</v>
      </c>
      <c r="S739" s="79" t="s">
        <v>339</v>
      </c>
      <c r="T739" s="298">
        <f>IFERROR(Table6[[#This Row],[Breakdown Time]]*Table6[[#This Row],[Plant Equivalent Weightage]],"")</f>
        <v>7.5757575757576098E-3</v>
      </c>
      <c r="U739" s="79" t="s">
        <v>421</v>
      </c>
      <c r="W739" s="79">
        <v>491</v>
      </c>
    </row>
    <row r="740" spans="1:23">
      <c r="A740" s="79">
        <f t="shared" si="11"/>
        <v>739</v>
      </c>
      <c r="B740" s="79">
        <f>YEAR(Table6[[#This Row],[Date]])+IF(MONTH(Table6[[#This Row],[Date]])&gt;=4,1,0)</f>
        <v>2026</v>
      </c>
      <c r="C740" s="79">
        <f>YEAR(Table6[[#This Row],[Date]])</f>
        <v>2025</v>
      </c>
      <c r="D740" s="79" t="s">
        <v>344</v>
      </c>
      <c r="E740" s="284">
        <f>Table6[[#This Row],[Date]]-DAY(Table6[[#This Row],[Date]])+1</f>
        <v>45778</v>
      </c>
      <c r="F740" s="285">
        <v>45803</v>
      </c>
      <c r="G740" s="79" t="s">
        <v>116</v>
      </c>
      <c r="H740" s="79" t="str">
        <f>IFERROR(_xlfn.XLOOKUP(Table6[[#This Row],[Affected Feeder ]],'Basic Data'!$A:$A,'Basic Data'!$B:$B),"")</f>
        <v>PWEPL</v>
      </c>
      <c r="I740" s="79" t="str">
        <f>IFERROR(_xlfn.XLOOKUP(Table6[[#This Row],[Affected Feeder ]],'Basic Data'!$A:$A,'Basic Data'!$C:$C),"")</f>
        <v>MSEDCL</v>
      </c>
      <c r="J740" s="295">
        <f>IFERROR(_xlfn.XLOOKUP(Table6[[#This Row],[Affected Feeder ]],'Basic Data'!$A:$A,'Basic Data'!$E:$E),"")</f>
        <v>2.2727272727272728E-2</v>
      </c>
      <c r="K740" s="296" t="s">
        <v>171</v>
      </c>
      <c r="L740" s="297">
        <v>0.42708333333333331</v>
      </c>
      <c r="M740" s="297">
        <v>0.42708333333333331</v>
      </c>
      <c r="N740" s="297">
        <v>0.44097222222222227</v>
      </c>
      <c r="O740" s="19">
        <f>(Table6[[#This Row],[Work Start TimeStamp]]-Table6[[#This Row],[Fault Start TimeStamp]])*24</f>
        <v>0</v>
      </c>
      <c r="P740" s="19">
        <f>(Table6[[#This Row],[Fault Clearance time]]-Table6[[#This Row],[Fault Start TimeStamp]])*24</f>
        <v>0.33333333333333481</v>
      </c>
      <c r="Q740" s="19">
        <f>(Table6[[#This Row],[Fault Clearance time]]-Table6[[#This Row],[Fault Start TimeStamp]])*24</f>
        <v>0.33333333333333481</v>
      </c>
      <c r="R740" s="79" t="s">
        <v>353</v>
      </c>
      <c r="S740" s="79" t="s">
        <v>339</v>
      </c>
      <c r="T740" s="298">
        <f>IFERROR(Table6[[#This Row],[Breakdown Time]]*Table6[[#This Row],[Plant Equivalent Weightage]],"")</f>
        <v>7.5757575757576098E-3</v>
      </c>
      <c r="U740" s="79" t="s">
        <v>421</v>
      </c>
      <c r="W740" s="79">
        <v>491</v>
      </c>
    </row>
    <row r="741" spans="1:23">
      <c r="A741" s="79">
        <f t="shared" si="11"/>
        <v>740</v>
      </c>
      <c r="B741" s="79">
        <f>YEAR(Table6[[#This Row],[Date]])+IF(MONTH(Table6[[#This Row],[Date]])&gt;=4,1,0)</f>
        <v>2026</v>
      </c>
      <c r="C741" s="79">
        <f>YEAR(Table6[[#This Row],[Date]])</f>
        <v>2025</v>
      </c>
      <c r="D741" s="79" t="s">
        <v>344</v>
      </c>
      <c r="E741" s="284">
        <f>Table6[[#This Row],[Date]]-DAY(Table6[[#This Row],[Date]])+1</f>
        <v>45778</v>
      </c>
      <c r="F741" s="285">
        <v>45803</v>
      </c>
      <c r="G741" s="79" t="s">
        <v>117</v>
      </c>
      <c r="H741" s="79" t="str">
        <f>IFERROR(_xlfn.XLOOKUP(Table6[[#This Row],[Affected Feeder ]],'Basic Data'!$A:$A,'Basic Data'!$B:$B),"")</f>
        <v>PWEPL</v>
      </c>
      <c r="I741" s="79" t="str">
        <f>IFERROR(_xlfn.XLOOKUP(Table6[[#This Row],[Affected Feeder ]],'Basic Data'!$A:$A,'Basic Data'!$C:$C),"")</f>
        <v>MSEDCL</v>
      </c>
      <c r="J741" s="295">
        <f>IFERROR(_xlfn.XLOOKUP(Table6[[#This Row],[Affected Feeder ]],'Basic Data'!$A:$A,'Basic Data'!$E:$E),"")</f>
        <v>2.2727272727272728E-2</v>
      </c>
      <c r="K741" s="296" t="s">
        <v>171</v>
      </c>
      <c r="L741" s="297">
        <v>0.42708333333333331</v>
      </c>
      <c r="M741" s="297">
        <v>0.42708333333333331</v>
      </c>
      <c r="N741" s="297">
        <v>0.44097222222222227</v>
      </c>
      <c r="O741" s="19">
        <f>(Table6[[#This Row],[Work Start TimeStamp]]-Table6[[#This Row],[Fault Start TimeStamp]])*24</f>
        <v>0</v>
      </c>
      <c r="P741" s="19">
        <f>(Table6[[#This Row],[Fault Clearance time]]-Table6[[#This Row],[Fault Start TimeStamp]])*24</f>
        <v>0.33333333333333481</v>
      </c>
      <c r="Q741" s="19">
        <f>(Table6[[#This Row],[Fault Clearance time]]-Table6[[#This Row],[Fault Start TimeStamp]])*24</f>
        <v>0.33333333333333481</v>
      </c>
      <c r="R741" s="79" t="s">
        <v>353</v>
      </c>
      <c r="S741" s="79" t="s">
        <v>339</v>
      </c>
      <c r="T741" s="298">
        <f>IFERROR(Table6[[#This Row],[Breakdown Time]]*Table6[[#This Row],[Plant Equivalent Weightage]],"")</f>
        <v>7.5757575757576098E-3</v>
      </c>
      <c r="U741" s="79" t="s">
        <v>421</v>
      </c>
      <c r="W741" s="79">
        <v>491</v>
      </c>
    </row>
    <row r="742" spans="1:23">
      <c r="A742" s="79">
        <f t="shared" si="11"/>
        <v>741</v>
      </c>
      <c r="B742" s="79">
        <f>YEAR(Table6[[#This Row],[Date]])+IF(MONTH(Table6[[#This Row],[Date]])&gt;=4,1,0)</f>
        <v>2026</v>
      </c>
      <c r="C742" s="79">
        <f>YEAR(Table6[[#This Row],[Date]])</f>
        <v>2025</v>
      </c>
      <c r="D742" s="79" t="s">
        <v>344</v>
      </c>
      <c r="E742" s="284">
        <f>Table6[[#This Row],[Date]]-DAY(Table6[[#This Row],[Date]])+1</f>
        <v>45778</v>
      </c>
      <c r="F742" s="285">
        <v>45803</v>
      </c>
      <c r="G742" s="79" t="s">
        <v>118</v>
      </c>
      <c r="H742" s="79" t="str">
        <f>IFERROR(_xlfn.XLOOKUP(Table6[[#This Row],[Affected Feeder ]],'Basic Data'!$A:$A,'Basic Data'!$B:$B),"")</f>
        <v>PWEPL</v>
      </c>
      <c r="I742" s="79" t="str">
        <f>IFERROR(_xlfn.XLOOKUP(Table6[[#This Row],[Affected Feeder ]],'Basic Data'!$A:$A,'Basic Data'!$C:$C),"")</f>
        <v>MSEDCL</v>
      </c>
      <c r="J742" s="295">
        <f>IFERROR(_xlfn.XLOOKUP(Table6[[#This Row],[Affected Feeder ]],'Basic Data'!$A:$A,'Basic Data'!$E:$E),"")</f>
        <v>2.2727272727272728E-2</v>
      </c>
      <c r="K742" s="296" t="s">
        <v>171</v>
      </c>
      <c r="L742" s="297">
        <v>0.42708333333333331</v>
      </c>
      <c r="M742" s="297">
        <v>0.42708333333333331</v>
      </c>
      <c r="N742" s="297">
        <v>0.44097222222222227</v>
      </c>
      <c r="O742" s="19">
        <f>(Table6[[#This Row],[Work Start TimeStamp]]-Table6[[#This Row],[Fault Start TimeStamp]])*24</f>
        <v>0</v>
      </c>
      <c r="P742" s="19">
        <f>(Table6[[#This Row],[Fault Clearance time]]-Table6[[#This Row],[Fault Start TimeStamp]])*24</f>
        <v>0.33333333333333481</v>
      </c>
      <c r="Q742" s="19">
        <f>(Table6[[#This Row],[Fault Clearance time]]-Table6[[#This Row],[Fault Start TimeStamp]])*24</f>
        <v>0.33333333333333481</v>
      </c>
      <c r="R742" s="79" t="s">
        <v>353</v>
      </c>
      <c r="S742" s="79" t="s">
        <v>339</v>
      </c>
      <c r="T742" s="298">
        <f>IFERROR(Table6[[#This Row],[Breakdown Time]]*Table6[[#This Row],[Plant Equivalent Weightage]],"")</f>
        <v>7.5757575757576098E-3</v>
      </c>
      <c r="U742" s="79" t="s">
        <v>421</v>
      </c>
      <c r="W742" s="79">
        <v>491</v>
      </c>
    </row>
    <row r="743" spans="1:23">
      <c r="A743" s="79">
        <f t="shared" si="11"/>
        <v>742</v>
      </c>
      <c r="B743" s="79">
        <f>YEAR(Table6[[#This Row],[Date]])+IF(MONTH(Table6[[#This Row],[Date]])&gt;=4,1,0)</f>
        <v>2026</v>
      </c>
      <c r="C743" s="79">
        <f>YEAR(Table6[[#This Row],[Date]])</f>
        <v>2025</v>
      </c>
      <c r="D743" s="79" t="s">
        <v>344</v>
      </c>
      <c r="E743" s="284">
        <f>Table6[[#This Row],[Date]]-DAY(Table6[[#This Row],[Date]])+1</f>
        <v>45778</v>
      </c>
      <c r="F743" s="285">
        <v>45803</v>
      </c>
      <c r="G743" s="79" t="s">
        <v>406</v>
      </c>
      <c r="H743" s="79" t="str">
        <f>IFERROR(_xlfn.XLOOKUP(Table6[[#This Row],[Affected Feeder ]],'Basic Data'!$A:$A,'Basic Data'!$B:$B),"")</f>
        <v>PWEPL</v>
      </c>
      <c r="I743" s="79" t="str">
        <f>IFERROR(_xlfn.XLOOKUP(Table6[[#This Row],[Affected Feeder ]],'Basic Data'!$A:$A,'Basic Data'!$C:$C),"")</f>
        <v>MSEDCL</v>
      </c>
      <c r="J743" s="295">
        <f>IFERROR(_xlfn.XLOOKUP(Table6[[#This Row],[Affected Feeder ]],'Basic Data'!$A:$A,'Basic Data'!$E:$E),"")</f>
        <v>0.29545454545454541</v>
      </c>
      <c r="K743" s="296" t="s">
        <v>447</v>
      </c>
      <c r="L743" s="297">
        <v>0.7597222222222223</v>
      </c>
      <c r="M743" s="297">
        <v>0.7597222222222223</v>
      </c>
      <c r="N743" s="297">
        <v>0.7680555555555556</v>
      </c>
      <c r="O743" s="19">
        <f>(Table6[[#This Row],[Work Start TimeStamp]]-Table6[[#This Row],[Fault Start TimeStamp]])*24</f>
        <v>0</v>
      </c>
      <c r="P743" s="19">
        <f>(Table6[[#This Row],[Fault Clearance time]]-Table6[[#This Row],[Fault Start TimeStamp]])*24</f>
        <v>0.19999999999999929</v>
      </c>
      <c r="Q743" s="19">
        <f>(Table6[[#This Row],[Fault Clearance time]]-Table6[[#This Row],[Fault Start TimeStamp]])*24</f>
        <v>0.19999999999999929</v>
      </c>
      <c r="R743" s="79" t="s">
        <v>420</v>
      </c>
      <c r="S743" s="79" t="s">
        <v>339</v>
      </c>
      <c r="T743" s="298">
        <f>IFERROR(Table6[[#This Row],[Breakdown Time]]*Table6[[#This Row],[Plant Equivalent Weightage]],"")</f>
        <v>5.9090909090908875E-2</v>
      </c>
      <c r="U743" s="79" t="s">
        <v>421</v>
      </c>
      <c r="W743" s="79">
        <v>1953</v>
      </c>
    </row>
    <row r="744" spans="1:23">
      <c r="A744" s="79">
        <f t="shared" si="11"/>
        <v>743</v>
      </c>
      <c r="B744" s="79">
        <f>YEAR(Table6[[#This Row],[Date]])+IF(MONTH(Table6[[#This Row],[Date]])&gt;=4,1,0)</f>
        <v>2026</v>
      </c>
      <c r="C744" s="79">
        <f>YEAR(Table6[[#This Row],[Date]])</f>
        <v>2025</v>
      </c>
      <c r="D744" s="79" t="s">
        <v>344</v>
      </c>
      <c r="E744" s="284">
        <f>Table6[[#This Row],[Date]]-DAY(Table6[[#This Row],[Date]])+1</f>
        <v>45778</v>
      </c>
      <c r="F744" s="285">
        <v>45803</v>
      </c>
      <c r="G744" s="79" t="s">
        <v>76</v>
      </c>
      <c r="H744" s="79" t="str">
        <f>IFERROR(_xlfn.XLOOKUP(Table6[[#This Row],[Affected Feeder ]],'Basic Data'!$A:$A,'Basic Data'!$B:$B),"")</f>
        <v>PWEPL</v>
      </c>
      <c r="I744" s="79" t="str">
        <f>IFERROR(_xlfn.XLOOKUP(Table6[[#This Row],[Affected Feeder ]],'Basic Data'!$A:$A,'Basic Data'!$C:$C),"")</f>
        <v>MSEDCL</v>
      </c>
      <c r="J744" s="295">
        <f>IFERROR(_xlfn.XLOOKUP(Table6[[#This Row],[Affected Feeder ]],'Basic Data'!$A:$A,'Basic Data'!$E:$E),"")</f>
        <v>2.2727272727272728E-2</v>
      </c>
      <c r="K744" s="296" t="s">
        <v>171</v>
      </c>
      <c r="L744" s="297">
        <v>0.7680555555555556</v>
      </c>
      <c r="M744" s="297">
        <v>0.7680555555555556</v>
      </c>
      <c r="N744" s="297">
        <v>0.78194444444444444</v>
      </c>
      <c r="O744" s="19">
        <f>(Table6[[#This Row],[Work Start TimeStamp]]-Table6[[#This Row],[Fault Start TimeStamp]])*24</f>
        <v>0</v>
      </c>
      <c r="P744" s="19">
        <f>(Table6[[#This Row],[Fault Clearance time]]-Table6[[#This Row],[Fault Start TimeStamp]])*24</f>
        <v>0.33333333333333215</v>
      </c>
      <c r="Q744" s="19">
        <f>(Table6[[#This Row],[Fault Clearance time]]-Table6[[#This Row],[Fault Start TimeStamp]])*24</f>
        <v>0.33333333333333215</v>
      </c>
      <c r="R744" s="79" t="s">
        <v>353</v>
      </c>
      <c r="S744" s="79" t="s">
        <v>339</v>
      </c>
      <c r="T744" s="298">
        <f>IFERROR(Table6[[#This Row],[Breakdown Time]]*Table6[[#This Row],[Plant Equivalent Weightage]],"")</f>
        <v>7.5757575757575491E-3</v>
      </c>
      <c r="U744" s="79" t="s">
        <v>421</v>
      </c>
      <c r="W744" s="79">
        <v>250</v>
      </c>
    </row>
    <row r="745" spans="1:23">
      <c r="A745" s="79">
        <f t="shared" si="11"/>
        <v>744</v>
      </c>
      <c r="B745" s="79">
        <f>YEAR(Table6[[#This Row],[Date]])+IF(MONTH(Table6[[#This Row],[Date]])&gt;=4,1,0)</f>
        <v>2026</v>
      </c>
      <c r="C745" s="79">
        <f>YEAR(Table6[[#This Row],[Date]])</f>
        <v>2025</v>
      </c>
      <c r="D745" s="79" t="s">
        <v>344</v>
      </c>
      <c r="E745" s="284">
        <f>Table6[[#This Row],[Date]]-DAY(Table6[[#This Row],[Date]])+1</f>
        <v>45778</v>
      </c>
      <c r="F745" s="285">
        <v>45803</v>
      </c>
      <c r="G745" s="79" t="s">
        <v>77</v>
      </c>
      <c r="H745" s="79" t="str">
        <f>IFERROR(_xlfn.XLOOKUP(Table6[[#This Row],[Affected Feeder ]],'Basic Data'!$A:$A,'Basic Data'!$B:$B),"")</f>
        <v>PWEPL</v>
      </c>
      <c r="I745" s="79" t="str">
        <f>IFERROR(_xlfn.XLOOKUP(Table6[[#This Row],[Affected Feeder ]],'Basic Data'!$A:$A,'Basic Data'!$C:$C),"")</f>
        <v>MSEDCL</v>
      </c>
      <c r="J745" s="295">
        <f>IFERROR(_xlfn.XLOOKUP(Table6[[#This Row],[Affected Feeder ]],'Basic Data'!$A:$A,'Basic Data'!$E:$E),"")</f>
        <v>2.2727272727272728E-2</v>
      </c>
      <c r="K745" s="296" t="s">
        <v>171</v>
      </c>
      <c r="L745" s="297">
        <v>0.7680555555555556</v>
      </c>
      <c r="M745" s="297">
        <v>0.7680555555555556</v>
      </c>
      <c r="N745" s="297">
        <v>0.78194444444444444</v>
      </c>
      <c r="O745" s="19">
        <f>(Table6[[#This Row],[Work Start TimeStamp]]-Table6[[#This Row],[Fault Start TimeStamp]])*24</f>
        <v>0</v>
      </c>
      <c r="P745" s="19">
        <f>(Table6[[#This Row],[Fault Clearance time]]-Table6[[#This Row],[Fault Start TimeStamp]])*24</f>
        <v>0.33333333333333215</v>
      </c>
      <c r="Q745" s="19">
        <f>(Table6[[#This Row],[Fault Clearance time]]-Table6[[#This Row],[Fault Start TimeStamp]])*24</f>
        <v>0.33333333333333215</v>
      </c>
      <c r="R745" s="79" t="s">
        <v>353</v>
      </c>
      <c r="S745" s="79" t="s">
        <v>339</v>
      </c>
      <c r="T745" s="298">
        <f>IFERROR(Table6[[#This Row],[Breakdown Time]]*Table6[[#This Row],[Plant Equivalent Weightage]],"")</f>
        <v>7.5757575757575491E-3</v>
      </c>
      <c r="U745" s="79" t="s">
        <v>421</v>
      </c>
      <c r="W745" s="79">
        <v>250</v>
      </c>
    </row>
    <row r="746" spans="1:23">
      <c r="A746" s="79">
        <f t="shared" si="11"/>
        <v>745</v>
      </c>
      <c r="B746" s="79">
        <f>YEAR(Table6[[#This Row],[Date]])+IF(MONTH(Table6[[#This Row],[Date]])&gt;=4,1,0)</f>
        <v>2026</v>
      </c>
      <c r="C746" s="79">
        <f>YEAR(Table6[[#This Row],[Date]])</f>
        <v>2025</v>
      </c>
      <c r="D746" s="79" t="s">
        <v>344</v>
      </c>
      <c r="E746" s="284">
        <f>Table6[[#This Row],[Date]]-DAY(Table6[[#This Row],[Date]])+1</f>
        <v>45778</v>
      </c>
      <c r="F746" s="285">
        <v>45803</v>
      </c>
      <c r="G746" s="79" t="s">
        <v>78</v>
      </c>
      <c r="H746" s="79" t="str">
        <f>IFERROR(_xlfn.XLOOKUP(Table6[[#This Row],[Affected Feeder ]],'Basic Data'!$A:$A,'Basic Data'!$B:$B),"")</f>
        <v>PWEPL</v>
      </c>
      <c r="I746" s="79" t="str">
        <f>IFERROR(_xlfn.XLOOKUP(Table6[[#This Row],[Affected Feeder ]],'Basic Data'!$A:$A,'Basic Data'!$C:$C),"")</f>
        <v>MSEDCL</v>
      </c>
      <c r="J746" s="295">
        <f>IFERROR(_xlfn.XLOOKUP(Table6[[#This Row],[Affected Feeder ]],'Basic Data'!$A:$A,'Basic Data'!$E:$E),"")</f>
        <v>2.2727272727272728E-2</v>
      </c>
      <c r="K746" s="296" t="s">
        <v>171</v>
      </c>
      <c r="L746" s="297">
        <v>0.7680555555555556</v>
      </c>
      <c r="M746" s="297">
        <v>0.7680555555555556</v>
      </c>
      <c r="N746" s="297">
        <v>0.78194444444444444</v>
      </c>
      <c r="O746" s="19">
        <f>(Table6[[#This Row],[Work Start TimeStamp]]-Table6[[#This Row],[Fault Start TimeStamp]])*24</f>
        <v>0</v>
      </c>
      <c r="P746" s="19">
        <f>(Table6[[#This Row],[Fault Clearance time]]-Table6[[#This Row],[Fault Start TimeStamp]])*24</f>
        <v>0.33333333333333215</v>
      </c>
      <c r="Q746" s="19">
        <f>(Table6[[#This Row],[Fault Clearance time]]-Table6[[#This Row],[Fault Start TimeStamp]])*24</f>
        <v>0.33333333333333215</v>
      </c>
      <c r="R746" s="79" t="s">
        <v>353</v>
      </c>
      <c r="S746" s="79" t="s">
        <v>339</v>
      </c>
      <c r="T746" s="298">
        <f>IFERROR(Table6[[#This Row],[Breakdown Time]]*Table6[[#This Row],[Plant Equivalent Weightage]],"")</f>
        <v>7.5757575757575491E-3</v>
      </c>
      <c r="U746" s="79" t="s">
        <v>421</v>
      </c>
      <c r="W746" s="79">
        <v>250</v>
      </c>
    </row>
    <row r="747" spans="1:23">
      <c r="A747" s="79">
        <f t="shared" si="11"/>
        <v>746</v>
      </c>
      <c r="B747" s="79">
        <f>YEAR(Table6[[#This Row],[Date]])+IF(MONTH(Table6[[#This Row],[Date]])&gt;=4,1,0)</f>
        <v>2026</v>
      </c>
      <c r="C747" s="79">
        <f>YEAR(Table6[[#This Row],[Date]])</f>
        <v>2025</v>
      </c>
      <c r="D747" s="79" t="s">
        <v>344</v>
      </c>
      <c r="E747" s="284">
        <f>Table6[[#This Row],[Date]]-DAY(Table6[[#This Row],[Date]])+1</f>
        <v>45778</v>
      </c>
      <c r="F747" s="285">
        <v>45803</v>
      </c>
      <c r="G747" s="79" t="s">
        <v>82</v>
      </c>
      <c r="H747" s="79" t="str">
        <f>IFERROR(_xlfn.XLOOKUP(Table6[[#This Row],[Affected Feeder ]],'Basic Data'!$A:$A,'Basic Data'!$B:$B),"")</f>
        <v>PWEPL</v>
      </c>
      <c r="I747" s="79" t="str">
        <f>IFERROR(_xlfn.XLOOKUP(Table6[[#This Row],[Affected Feeder ]],'Basic Data'!$A:$A,'Basic Data'!$C:$C),"")</f>
        <v>MSEDCL</v>
      </c>
      <c r="J747" s="295">
        <f>IFERROR(_xlfn.XLOOKUP(Table6[[#This Row],[Affected Feeder ]],'Basic Data'!$A:$A,'Basic Data'!$E:$E),"")</f>
        <v>2.2727272727272728E-2</v>
      </c>
      <c r="K747" s="296" t="s">
        <v>171</v>
      </c>
      <c r="L747" s="297">
        <v>0.7680555555555556</v>
      </c>
      <c r="M747" s="297">
        <v>0.7680555555555556</v>
      </c>
      <c r="N747" s="297">
        <v>0.78194444444444444</v>
      </c>
      <c r="O747" s="19">
        <f>(Table6[[#This Row],[Work Start TimeStamp]]-Table6[[#This Row],[Fault Start TimeStamp]])*24</f>
        <v>0</v>
      </c>
      <c r="P747" s="19">
        <f>(Table6[[#This Row],[Fault Clearance time]]-Table6[[#This Row],[Fault Start TimeStamp]])*24</f>
        <v>0.33333333333333215</v>
      </c>
      <c r="Q747" s="19">
        <f>(Table6[[#This Row],[Fault Clearance time]]-Table6[[#This Row],[Fault Start TimeStamp]])*24</f>
        <v>0.33333333333333215</v>
      </c>
      <c r="R747" s="79" t="s">
        <v>353</v>
      </c>
      <c r="S747" s="79" t="s">
        <v>339</v>
      </c>
      <c r="T747" s="298">
        <f>IFERROR(Table6[[#This Row],[Breakdown Time]]*Table6[[#This Row],[Plant Equivalent Weightage]],"")</f>
        <v>7.5757575757575491E-3</v>
      </c>
      <c r="U747" s="79" t="s">
        <v>421</v>
      </c>
      <c r="W747" s="79">
        <v>250</v>
      </c>
    </row>
    <row r="748" spans="1:23">
      <c r="A748" s="79">
        <f t="shared" si="11"/>
        <v>747</v>
      </c>
      <c r="B748" s="79">
        <f>YEAR(Table6[[#This Row],[Date]])+IF(MONTH(Table6[[#This Row],[Date]])&gt;=4,1,0)</f>
        <v>2026</v>
      </c>
      <c r="C748" s="79">
        <f>YEAR(Table6[[#This Row],[Date]])</f>
        <v>2025</v>
      </c>
      <c r="D748" s="79" t="s">
        <v>344</v>
      </c>
      <c r="E748" s="284">
        <f>Table6[[#This Row],[Date]]-DAY(Table6[[#This Row],[Date]])+1</f>
        <v>45778</v>
      </c>
      <c r="F748" s="285">
        <v>45803</v>
      </c>
      <c r="G748" s="79" t="s">
        <v>93</v>
      </c>
      <c r="H748" s="79" t="str">
        <f>IFERROR(_xlfn.XLOOKUP(Table6[[#This Row],[Affected Feeder ]],'Basic Data'!$A:$A,'Basic Data'!$B:$B),"")</f>
        <v>PWEPL</v>
      </c>
      <c r="I748" s="79" t="str">
        <f>IFERROR(_xlfn.XLOOKUP(Table6[[#This Row],[Affected Feeder ]],'Basic Data'!$A:$A,'Basic Data'!$C:$C),"")</f>
        <v>MSEDCL</v>
      </c>
      <c r="J748" s="295">
        <f>IFERROR(_xlfn.XLOOKUP(Table6[[#This Row],[Affected Feeder ]],'Basic Data'!$A:$A,'Basic Data'!$E:$E),"")</f>
        <v>2.2727272727272728E-2</v>
      </c>
      <c r="K748" s="296" t="s">
        <v>171</v>
      </c>
      <c r="L748" s="297">
        <v>0.7680555555555556</v>
      </c>
      <c r="M748" s="297">
        <v>0.7680555555555556</v>
      </c>
      <c r="N748" s="297">
        <v>0.78194444444444444</v>
      </c>
      <c r="O748" s="19">
        <f>(Table6[[#This Row],[Work Start TimeStamp]]-Table6[[#This Row],[Fault Start TimeStamp]])*24</f>
        <v>0</v>
      </c>
      <c r="P748" s="19">
        <f>(Table6[[#This Row],[Fault Clearance time]]-Table6[[#This Row],[Fault Start TimeStamp]])*24</f>
        <v>0.33333333333333215</v>
      </c>
      <c r="Q748" s="19">
        <f>(Table6[[#This Row],[Fault Clearance time]]-Table6[[#This Row],[Fault Start TimeStamp]])*24</f>
        <v>0.33333333333333215</v>
      </c>
      <c r="R748" s="79" t="s">
        <v>353</v>
      </c>
      <c r="S748" s="79" t="s">
        <v>339</v>
      </c>
      <c r="T748" s="298">
        <f>IFERROR(Table6[[#This Row],[Breakdown Time]]*Table6[[#This Row],[Plant Equivalent Weightage]],"")</f>
        <v>7.5757575757575491E-3</v>
      </c>
      <c r="U748" s="79" t="s">
        <v>421</v>
      </c>
      <c r="W748" s="79">
        <v>250</v>
      </c>
    </row>
    <row r="749" spans="1:23">
      <c r="A749" s="79">
        <f t="shared" si="11"/>
        <v>748</v>
      </c>
      <c r="B749" s="79">
        <f>YEAR(Table6[[#This Row],[Date]])+IF(MONTH(Table6[[#This Row],[Date]])&gt;=4,1,0)</f>
        <v>2026</v>
      </c>
      <c r="C749" s="79">
        <f>YEAR(Table6[[#This Row],[Date]])</f>
        <v>2025</v>
      </c>
      <c r="D749" s="79" t="s">
        <v>344</v>
      </c>
      <c r="E749" s="284">
        <f>Table6[[#This Row],[Date]]-DAY(Table6[[#This Row],[Date]])+1</f>
        <v>45778</v>
      </c>
      <c r="F749" s="285">
        <v>45803</v>
      </c>
      <c r="G749" s="79" t="s">
        <v>102</v>
      </c>
      <c r="H749" s="79" t="str">
        <f>IFERROR(_xlfn.XLOOKUP(Table6[[#This Row],[Affected Feeder ]],'Basic Data'!$A:$A,'Basic Data'!$B:$B),"")</f>
        <v>PWEPL</v>
      </c>
      <c r="I749" s="79" t="str">
        <f>IFERROR(_xlfn.XLOOKUP(Table6[[#This Row],[Affected Feeder ]],'Basic Data'!$A:$A,'Basic Data'!$C:$C),"")</f>
        <v>MSEDCL</v>
      </c>
      <c r="J749" s="295">
        <f>IFERROR(_xlfn.XLOOKUP(Table6[[#This Row],[Affected Feeder ]],'Basic Data'!$A:$A,'Basic Data'!$E:$E),"")</f>
        <v>2.2727272727272728E-2</v>
      </c>
      <c r="K749" s="296" t="s">
        <v>171</v>
      </c>
      <c r="L749" s="297">
        <v>0.7680555555555556</v>
      </c>
      <c r="M749" s="297">
        <v>0.7680555555555556</v>
      </c>
      <c r="N749" s="297">
        <v>0.78194444444444444</v>
      </c>
      <c r="O749" s="19">
        <f>(Table6[[#This Row],[Work Start TimeStamp]]-Table6[[#This Row],[Fault Start TimeStamp]])*24</f>
        <v>0</v>
      </c>
      <c r="P749" s="19">
        <f>(Table6[[#This Row],[Fault Clearance time]]-Table6[[#This Row],[Fault Start TimeStamp]])*24</f>
        <v>0.33333333333333215</v>
      </c>
      <c r="Q749" s="19">
        <f>(Table6[[#This Row],[Fault Clearance time]]-Table6[[#This Row],[Fault Start TimeStamp]])*24</f>
        <v>0.33333333333333215</v>
      </c>
      <c r="R749" s="79" t="s">
        <v>353</v>
      </c>
      <c r="S749" s="79" t="s">
        <v>339</v>
      </c>
      <c r="T749" s="298">
        <f>IFERROR(Table6[[#This Row],[Breakdown Time]]*Table6[[#This Row],[Plant Equivalent Weightage]],"")</f>
        <v>7.5757575757575491E-3</v>
      </c>
      <c r="U749" s="79" t="s">
        <v>421</v>
      </c>
      <c r="W749" s="79">
        <v>250</v>
      </c>
    </row>
    <row r="750" spans="1:23">
      <c r="A750" s="79">
        <f t="shared" si="11"/>
        <v>749</v>
      </c>
      <c r="B750" s="79">
        <f>YEAR(Table6[[#This Row],[Date]])+IF(MONTH(Table6[[#This Row],[Date]])&gt;=4,1,0)</f>
        <v>2026</v>
      </c>
      <c r="C750" s="79">
        <f>YEAR(Table6[[#This Row],[Date]])</f>
        <v>2025</v>
      </c>
      <c r="D750" s="79" t="s">
        <v>344</v>
      </c>
      <c r="E750" s="284">
        <f>Table6[[#This Row],[Date]]-DAY(Table6[[#This Row],[Date]])+1</f>
        <v>45778</v>
      </c>
      <c r="F750" s="285">
        <v>45803</v>
      </c>
      <c r="G750" s="79" t="s">
        <v>119</v>
      </c>
      <c r="H750" s="79" t="str">
        <f>IFERROR(_xlfn.XLOOKUP(Table6[[#This Row],[Affected Feeder ]],'Basic Data'!$A:$A,'Basic Data'!$B:$B),"")</f>
        <v>PWEPL</v>
      </c>
      <c r="I750" s="79" t="str">
        <f>IFERROR(_xlfn.XLOOKUP(Table6[[#This Row],[Affected Feeder ]],'Basic Data'!$A:$A,'Basic Data'!$C:$C),"")</f>
        <v>MSEDCL</v>
      </c>
      <c r="J750" s="295">
        <f>IFERROR(_xlfn.XLOOKUP(Table6[[#This Row],[Affected Feeder ]],'Basic Data'!$A:$A,'Basic Data'!$E:$E),"")</f>
        <v>2.2727272727272728E-2</v>
      </c>
      <c r="K750" s="296" t="s">
        <v>171</v>
      </c>
      <c r="L750" s="297">
        <v>0.7680555555555556</v>
      </c>
      <c r="M750" s="297">
        <v>0.7680555555555556</v>
      </c>
      <c r="N750" s="297">
        <v>0.78194444444444444</v>
      </c>
      <c r="O750" s="19">
        <f>(Table6[[#This Row],[Work Start TimeStamp]]-Table6[[#This Row],[Fault Start TimeStamp]])*24</f>
        <v>0</v>
      </c>
      <c r="P750" s="19">
        <f>(Table6[[#This Row],[Fault Clearance time]]-Table6[[#This Row],[Fault Start TimeStamp]])*24</f>
        <v>0.33333333333333215</v>
      </c>
      <c r="Q750" s="19">
        <f>(Table6[[#This Row],[Fault Clearance time]]-Table6[[#This Row],[Fault Start TimeStamp]])*24</f>
        <v>0.33333333333333215</v>
      </c>
      <c r="R750" s="79" t="s">
        <v>353</v>
      </c>
      <c r="S750" s="79" t="s">
        <v>339</v>
      </c>
      <c r="T750" s="298">
        <f>IFERROR(Table6[[#This Row],[Breakdown Time]]*Table6[[#This Row],[Plant Equivalent Weightage]],"")</f>
        <v>7.5757575757575491E-3</v>
      </c>
      <c r="U750" s="79" t="s">
        <v>421</v>
      </c>
      <c r="W750" s="79">
        <v>250</v>
      </c>
    </row>
    <row r="751" spans="1:23">
      <c r="A751" s="79">
        <f t="shared" si="11"/>
        <v>750</v>
      </c>
      <c r="B751" s="79">
        <f>YEAR(Table6[[#This Row],[Date]])+IF(MONTH(Table6[[#This Row],[Date]])&gt;=4,1,0)</f>
        <v>2026</v>
      </c>
      <c r="C751" s="79">
        <f>YEAR(Table6[[#This Row],[Date]])</f>
        <v>2025</v>
      </c>
      <c r="D751" s="79" t="s">
        <v>344</v>
      </c>
      <c r="E751" s="284">
        <f>Table6[[#This Row],[Date]]-DAY(Table6[[#This Row],[Date]])+1</f>
        <v>45778</v>
      </c>
      <c r="F751" s="285">
        <v>45803</v>
      </c>
      <c r="G751" s="79" t="s">
        <v>103</v>
      </c>
      <c r="H751" s="79" t="str">
        <f>IFERROR(_xlfn.XLOOKUP(Table6[[#This Row],[Affected Feeder ]],'Basic Data'!$A:$A,'Basic Data'!$B:$B),"")</f>
        <v>PWEPL</v>
      </c>
      <c r="I751" s="79" t="str">
        <f>IFERROR(_xlfn.XLOOKUP(Table6[[#This Row],[Affected Feeder ]],'Basic Data'!$A:$A,'Basic Data'!$C:$C),"")</f>
        <v>MSEDCL</v>
      </c>
      <c r="J751" s="295">
        <f>IFERROR(_xlfn.XLOOKUP(Table6[[#This Row],[Affected Feeder ]],'Basic Data'!$A:$A,'Basic Data'!$E:$E),"")</f>
        <v>2.2727272727272728E-2</v>
      </c>
      <c r="K751" s="296" t="s">
        <v>171</v>
      </c>
      <c r="L751" s="297">
        <v>0.7680555555555556</v>
      </c>
      <c r="M751" s="297">
        <v>0.7680555555555556</v>
      </c>
      <c r="N751" s="297">
        <v>0.78194444444444444</v>
      </c>
      <c r="O751" s="19">
        <f>(Table6[[#This Row],[Work Start TimeStamp]]-Table6[[#This Row],[Fault Start TimeStamp]])*24</f>
        <v>0</v>
      </c>
      <c r="P751" s="19">
        <f>(Table6[[#This Row],[Fault Clearance time]]-Table6[[#This Row],[Fault Start TimeStamp]])*24</f>
        <v>0.33333333333333215</v>
      </c>
      <c r="Q751" s="19">
        <f>(Table6[[#This Row],[Fault Clearance time]]-Table6[[#This Row],[Fault Start TimeStamp]])*24</f>
        <v>0.33333333333333215</v>
      </c>
      <c r="R751" s="79" t="s">
        <v>353</v>
      </c>
      <c r="S751" s="79" t="s">
        <v>339</v>
      </c>
      <c r="T751" s="298">
        <f>IFERROR(Table6[[#This Row],[Breakdown Time]]*Table6[[#This Row],[Plant Equivalent Weightage]],"")</f>
        <v>7.5757575757575491E-3</v>
      </c>
      <c r="U751" s="79" t="s">
        <v>421</v>
      </c>
      <c r="W751" s="79">
        <v>250</v>
      </c>
    </row>
    <row r="752" spans="1:23">
      <c r="A752" s="79">
        <f t="shared" si="11"/>
        <v>751</v>
      </c>
      <c r="B752" s="79">
        <f>YEAR(Table6[[#This Row],[Date]])+IF(MONTH(Table6[[#This Row],[Date]])&gt;=4,1,0)</f>
        <v>2026</v>
      </c>
      <c r="C752" s="79">
        <f>YEAR(Table6[[#This Row],[Date]])</f>
        <v>2025</v>
      </c>
      <c r="D752" s="79" t="s">
        <v>344</v>
      </c>
      <c r="E752" s="284">
        <f>Table6[[#This Row],[Date]]-DAY(Table6[[#This Row],[Date]])+1</f>
        <v>45778</v>
      </c>
      <c r="F752" s="285">
        <v>45803</v>
      </c>
      <c r="G752" s="79" t="s">
        <v>105</v>
      </c>
      <c r="H752" s="79" t="str">
        <f>IFERROR(_xlfn.XLOOKUP(Table6[[#This Row],[Affected Feeder ]],'Basic Data'!$A:$A,'Basic Data'!$B:$B),"")</f>
        <v>PWEPL</v>
      </c>
      <c r="I752" s="79" t="str">
        <f>IFERROR(_xlfn.XLOOKUP(Table6[[#This Row],[Affected Feeder ]],'Basic Data'!$A:$A,'Basic Data'!$C:$C),"")</f>
        <v>MSEDCL</v>
      </c>
      <c r="J752" s="295">
        <f>IFERROR(_xlfn.XLOOKUP(Table6[[#This Row],[Affected Feeder ]],'Basic Data'!$A:$A,'Basic Data'!$E:$E),"")</f>
        <v>2.2727272727272728E-2</v>
      </c>
      <c r="K752" s="296" t="s">
        <v>171</v>
      </c>
      <c r="L752" s="297">
        <v>0.7680555555555556</v>
      </c>
      <c r="M752" s="297">
        <v>0.7680555555555556</v>
      </c>
      <c r="N752" s="297">
        <v>0.78194444444444444</v>
      </c>
      <c r="O752" s="19">
        <f>(Table6[[#This Row],[Work Start TimeStamp]]-Table6[[#This Row],[Fault Start TimeStamp]])*24</f>
        <v>0</v>
      </c>
      <c r="P752" s="19">
        <f>(Table6[[#This Row],[Fault Clearance time]]-Table6[[#This Row],[Fault Start TimeStamp]])*24</f>
        <v>0.33333333333333215</v>
      </c>
      <c r="Q752" s="19">
        <f>(Table6[[#This Row],[Fault Clearance time]]-Table6[[#This Row],[Fault Start TimeStamp]])*24</f>
        <v>0.33333333333333215</v>
      </c>
      <c r="R752" s="79" t="s">
        <v>353</v>
      </c>
      <c r="S752" s="79" t="s">
        <v>339</v>
      </c>
      <c r="T752" s="298">
        <f>IFERROR(Table6[[#This Row],[Breakdown Time]]*Table6[[#This Row],[Plant Equivalent Weightage]],"")</f>
        <v>7.5757575757575491E-3</v>
      </c>
      <c r="U752" s="79" t="s">
        <v>421</v>
      </c>
      <c r="W752" s="79">
        <v>250</v>
      </c>
    </row>
    <row r="753" spans="1:23">
      <c r="A753" s="79">
        <f t="shared" si="11"/>
        <v>752</v>
      </c>
      <c r="B753" s="79">
        <f>YEAR(Table6[[#This Row],[Date]])+IF(MONTH(Table6[[#This Row],[Date]])&gt;=4,1,0)</f>
        <v>2026</v>
      </c>
      <c r="C753" s="79">
        <f>YEAR(Table6[[#This Row],[Date]])</f>
        <v>2025</v>
      </c>
      <c r="D753" s="79" t="s">
        <v>344</v>
      </c>
      <c r="E753" s="284">
        <f>Table6[[#This Row],[Date]]-DAY(Table6[[#This Row],[Date]])+1</f>
        <v>45778</v>
      </c>
      <c r="F753" s="285">
        <v>45803</v>
      </c>
      <c r="G753" s="79" t="s">
        <v>115</v>
      </c>
      <c r="H753" s="79" t="str">
        <f>IFERROR(_xlfn.XLOOKUP(Table6[[#This Row],[Affected Feeder ]],'Basic Data'!$A:$A,'Basic Data'!$B:$B),"")</f>
        <v>PWEPL</v>
      </c>
      <c r="I753" s="79" t="str">
        <f>IFERROR(_xlfn.XLOOKUP(Table6[[#This Row],[Affected Feeder ]],'Basic Data'!$A:$A,'Basic Data'!$C:$C),"")</f>
        <v>MSEDCL</v>
      </c>
      <c r="J753" s="295">
        <f>IFERROR(_xlfn.XLOOKUP(Table6[[#This Row],[Affected Feeder ]],'Basic Data'!$A:$A,'Basic Data'!$E:$E),"")</f>
        <v>2.2727272727272728E-2</v>
      </c>
      <c r="K753" s="296" t="s">
        <v>171</v>
      </c>
      <c r="L753" s="297">
        <v>0.7680555555555556</v>
      </c>
      <c r="M753" s="297">
        <v>0.7680555555555556</v>
      </c>
      <c r="N753" s="297">
        <v>0.78194444444444444</v>
      </c>
      <c r="O753" s="19">
        <f>(Table6[[#This Row],[Work Start TimeStamp]]-Table6[[#This Row],[Fault Start TimeStamp]])*24</f>
        <v>0</v>
      </c>
      <c r="P753" s="19">
        <f>(Table6[[#This Row],[Fault Clearance time]]-Table6[[#This Row],[Fault Start TimeStamp]])*24</f>
        <v>0.33333333333333215</v>
      </c>
      <c r="Q753" s="19">
        <f>(Table6[[#This Row],[Fault Clearance time]]-Table6[[#This Row],[Fault Start TimeStamp]])*24</f>
        <v>0.33333333333333215</v>
      </c>
      <c r="R753" s="79" t="s">
        <v>353</v>
      </c>
      <c r="S753" s="79" t="s">
        <v>339</v>
      </c>
      <c r="T753" s="298">
        <f>IFERROR(Table6[[#This Row],[Breakdown Time]]*Table6[[#This Row],[Plant Equivalent Weightage]],"")</f>
        <v>7.5757575757575491E-3</v>
      </c>
      <c r="U753" s="79" t="s">
        <v>421</v>
      </c>
      <c r="W753" s="79">
        <v>250</v>
      </c>
    </row>
    <row r="754" spans="1:23">
      <c r="A754" s="79">
        <f t="shared" si="11"/>
        <v>753</v>
      </c>
      <c r="B754" s="79">
        <f>YEAR(Table6[[#This Row],[Date]])+IF(MONTH(Table6[[#This Row],[Date]])&gt;=4,1,0)</f>
        <v>2026</v>
      </c>
      <c r="C754" s="79">
        <f>YEAR(Table6[[#This Row],[Date]])</f>
        <v>2025</v>
      </c>
      <c r="D754" s="79" t="s">
        <v>344</v>
      </c>
      <c r="E754" s="284">
        <f>Table6[[#This Row],[Date]]-DAY(Table6[[#This Row],[Date]])+1</f>
        <v>45778</v>
      </c>
      <c r="F754" s="285">
        <v>45803</v>
      </c>
      <c r="G754" s="79" t="s">
        <v>116</v>
      </c>
      <c r="H754" s="79" t="str">
        <f>IFERROR(_xlfn.XLOOKUP(Table6[[#This Row],[Affected Feeder ]],'Basic Data'!$A:$A,'Basic Data'!$B:$B),"")</f>
        <v>PWEPL</v>
      </c>
      <c r="I754" s="79" t="str">
        <f>IFERROR(_xlfn.XLOOKUP(Table6[[#This Row],[Affected Feeder ]],'Basic Data'!$A:$A,'Basic Data'!$C:$C),"")</f>
        <v>MSEDCL</v>
      </c>
      <c r="J754" s="295">
        <f>IFERROR(_xlfn.XLOOKUP(Table6[[#This Row],[Affected Feeder ]],'Basic Data'!$A:$A,'Basic Data'!$E:$E),"")</f>
        <v>2.2727272727272728E-2</v>
      </c>
      <c r="K754" s="296" t="s">
        <v>171</v>
      </c>
      <c r="L754" s="297">
        <v>0.7680555555555556</v>
      </c>
      <c r="M754" s="297">
        <v>0.7680555555555556</v>
      </c>
      <c r="N754" s="297">
        <v>0.78194444444444444</v>
      </c>
      <c r="O754" s="19">
        <f>(Table6[[#This Row],[Work Start TimeStamp]]-Table6[[#This Row],[Fault Start TimeStamp]])*24</f>
        <v>0</v>
      </c>
      <c r="P754" s="19">
        <f>(Table6[[#This Row],[Fault Clearance time]]-Table6[[#This Row],[Fault Start TimeStamp]])*24</f>
        <v>0.33333333333333215</v>
      </c>
      <c r="Q754" s="19">
        <f>(Table6[[#This Row],[Fault Clearance time]]-Table6[[#This Row],[Fault Start TimeStamp]])*24</f>
        <v>0.33333333333333215</v>
      </c>
      <c r="R754" s="79" t="s">
        <v>353</v>
      </c>
      <c r="S754" s="79" t="s">
        <v>339</v>
      </c>
      <c r="T754" s="298">
        <f>IFERROR(Table6[[#This Row],[Breakdown Time]]*Table6[[#This Row],[Plant Equivalent Weightage]],"")</f>
        <v>7.5757575757575491E-3</v>
      </c>
      <c r="U754" s="79" t="s">
        <v>421</v>
      </c>
      <c r="W754" s="79">
        <v>250</v>
      </c>
    </row>
    <row r="755" spans="1:23">
      <c r="A755" s="79">
        <f t="shared" si="11"/>
        <v>754</v>
      </c>
      <c r="B755" s="79">
        <f>YEAR(Table6[[#This Row],[Date]])+IF(MONTH(Table6[[#This Row],[Date]])&gt;=4,1,0)</f>
        <v>2026</v>
      </c>
      <c r="C755" s="79">
        <f>YEAR(Table6[[#This Row],[Date]])</f>
        <v>2025</v>
      </c>
      <c r="D755" s="79" t="s">
        <v>344</v>
      </c>
      <c r="E755" s="284">
        <f>Table6[[#This Row],[Date]]-DAY(Table6[[#This Row],[Date]])+1</f>
        <v>45778</v>
      </c>
      <c r="F755" s="285">
        <v>45803</v>
      </c>
      <c r="G755" s="79" t="s">
        <v>117</v>
      </c>
      <c r="H755" s="79" t="str">
        <f>IFERROR(_xlfn.XLOOKUP(Table6[[#This Row],[Affected Feeder ]],'Basic Data'!$A:$A,'Basic Data'!$B:$B),"")</f>
        <v>PWEPL</v>
      </c>
      <c r="I755" s="79" t="str">
        <f>IFERROR(_xlfn.XLOOKUP(Table6[[#This Row],[Affected Feeder ]],'Basic Data'!$A:$A,'Basic Data'!$C:$C),"")</f>
        <v>MSEDCL</v>
      </c>
      <c r="J755" s="295">
        <f>IFERROR(_xlfn.XLOOKUP(Table6[[#This Row],[Affected Feeder ]],'Basic Data'!$A:$A,'Basic Data'!$E:$E),"")</f>
        <v>2.2727272727272728E-2</v>
      </c>
      <c r="K755" s="296" t="s">
        <v>171</v>
      </c>
      <c r="L755" s="297">
        <v>0.7680555555555556</v>
      </c>
      <c r="M755" s="297">
        <v>0.7680555555555556</v>
      </c>
      <c r="N755" s="297">
        <v>0.78194444444444444</v>
      </c>
      <c r="O755" s="19">
        <f>(Table6[[#This Row],[Work Start TimeStamp]]-Table6[[#This Row],[Fault Start TimeStamp]])*24</f>
        <v>0</v>
      </c>
      <c r="P755" s="19">
        <f>(Table6[[#This Row],[Fault Clearance time]]-Table6[[#This Row],[Fault Start TimeStamp]])*24</f>
        <v>0.33333333333333215</v>
      </c>
      <c r="Q755" s="19">
        <f>(Table6[[#This Row],[Fault Clearance time]]-Table6[[#This Row],[Fault Start TimeStamp]])*24</f>
        <v>0.33333333333333215</v>
      </c>
      <c r="R755" s="79" t="s">
        <v>353</v>
      </c>
      <c r="S755" s="79" t="s">
        <v>339</v>
      </c>
      <c r="T755" s="298">
        <f>IFERROR(Table6[[#This Row],[Breakdown Time]]*Table6[[#This Row],[Plant Equivalent Weightage]],"")</f>
        <v>7.5757575757575491E-3</v>
      </c>
      <c r="U755" s="79" t="s">
        <v>421</v>
      </c>
      <c r="W755" s="79">
        <v>250</v>
      </c>
    </row>
    <row r="756" spans="1:23">
      <c r="A756" s="79">
        <f t="shared" si="11"/>
        <v>755</v>
      </c>
      <c r="B756" s="79">
        <f>YEAR(Table6[[#This Row],[Date]])+IF(MONTH(Table6[[#This Row],[Date]])&gt;=4,1,0)</f>
        <v>2026</v>
      </c>
      <c r="C756" s="79">
        <f>YEAR(Table6[[#This Row],[Date]])</f>
        <v>2025</v>
      </c>
      <c r="D756" s="79" t="s">
        <v>344</v>
      </c>
      <c r="E756" s="284">
        <f>Table6[[#This Row],[Date]]-DAY(Table6[[#This Row],[Date]])+1</f>
        <v>45778</v>
      </c>
      <c r="F756" s="285">
        <v>45803</v>
      </c>
      <c r="G756" s="79" t="s">
        <v>118</v>
      </c>
      <c r="H756" s="79" t="str">
        <f>IFERROR(_xlfn.XLOOKUP(Table6[[#This Row],[Affected Feeder ]],'Basic Data'!$A:$A,'Basic Data'!$B:$B),"")</f>
        <v>PWEPL</v>
      </c>
      <c r="I756" s="79" t="str">
        <f>IFERROR(_xlfn.XLOOKUP(Table6[[#This Row],[Affected Feeder ]],'Basic Data'!$A:$A,'Basic Data'!$C:$C),"")</f>
        <v>MSEDCL</v>
      </c>
      <c r="J756" s="295">
        <f>IFERROR(_xlfn.XLOOKUP(Table6[[#This Row],[Affected Feeder ]],'Basic Data'!$A:$A,'Basic Data'!$E:$E),"")</f>
        <v>2.2727272727272728E-2</v>
      </c>
      <c r="K756" s="296" t="s">
        <v>171</v>
      </c>
      <c r="L756" s="297">
        <v>0.7680555555555556</v>
      </c>
      <c r="M756" s="297">
        <v>0.7680555555555556</v>
      </c>
      <c r="N756" s="297">
        <v>0.78194444444444444</v>
      </c>
      <c r="O756" s="19">
        <f>(Table6[[#This Row],[Work Start TimeStamp]]-Table6[[#This Row],[Fault Start TimeStamp]])*24</f>
        <v>0</v>
      </c>
      <c r="P756" s="19">
        <f>(Table6[[#This Row],[Fault Clearance time]]-Table6[[#This Row],[Fault Start TimeStamp]])*24</f>
        <v>0.33333333333333215</v>
      </c>
      <c r="Q756" s="19">
        <f>(Table6[[#This Row],[Fault Clearance time]]-Table6[[#This Row],[Fault Start TimeStamp]])*24</f>
        <v>0.33333333333333215</v>
      </c>
      <c r="R756" s="79" t="s">
        <v>353</v>
      </c>
      <c r="S756" s="79" t="s">
        <v>339</v>
      </c>
      <c r="T756" s="298">
        <f>IFERROR(Table6[[#This Row],[Breakdown Time]]*Table6[[#This Row],[Plant Equivalent Weightage]],"")</f>
        <v>7.5757575757575491E-3</v>
      </c>
      <c r="U756" s="79" t="s">
        <v>421</v>
      </c>
      <c r="W756" s="79">
        <v>250</v>
      </c>
    </row>
    <row r="757" spans="1:23">
      <c r="A757" s="79">
        <f t="shared" si="11"/>
        <v>756</v>
      </c>
      <c r="B757" s="79">
        <f>YEAR(Table6[[#This Row],[Date]])+IF(MONTH(Table6[[#This Row],[Date]])&gt;=4,1,0)</f>
        <v>2026</v>
      </c>
      <c r="C757" s="79">
        <f>YEAR(Table6[[#This Row],[Date]])</f>
        <v>2025</v>
      </c>
      <c r="D757" s="79" t="s">
        <v>344</v>
      </c>
      <c r="E757" s="284">
        <f>Table6[[#This Row],[Date]]-DAY(Table6[[#This Row],[Date]])+1</f>
        <v>45778</v>
      </c>
      <c r="F757" s="285">
        <v>45805</v>
      </c>
      <c r="G757" s="79" t="s">
        <v>405</v>
      </c>
      <c r="H757" s="79" t="str">
        <f>IFERROR(_xlfn.XLOOKUP(Table6[[#This Row],[Affected Feeder ]],'Basic Data'!$A:$A,'Basic Data'!$B:$B),"")</f>
        <v>PWEPL</v>
      </c>
      <c r="I757" s="79" t="str">
        <f>IFERROR(_xlfn.XLOOKUP(Table6[[#This Row],[Affected Feeder ]],'Basic Data'!$A:$A,'Basic Data'!$C:$C),"")</f>
        <v>MSEDCL</v>
      </c>
      <c r="J757" s="295">
        <f>IFERROR(_xlfn.XLOOKUP(Table6[[#This Row],[Affected Feeder ]],'Basic Data'!$A:$A,'Basic Data'!$E:$E),"")</f>
        <v>0.20454545454545453</v>
      </c>
      <c r="K757" s="296" t="s">
        <v>447</v>
      </c>
      <c r="L757" s="297">
        <v>0.72291666666666676</v>
      </c>
      <c r="M757" s="297">
        <v>0.72291666666666676</v>
      </c>
      <c r="N757" s="297">
        <v>0.90277777777777779</v>
      </c>
      <c r="O757" s="19">
        <f>(Table6[[#This Row],[Work Start TimeStamp]]-Table6[[#This Row],[Fault Start TimeStamp]])*24</f>
        <v>0</v>
      </c>
      <c r="P757" s="19">
        <f>(Table6[[#This Row],[Fault Clearance time]]-Table6[[#This Row],[Fault Start TimeStamp]])*24</f>
        <v>4.3166666666666647</v>
      </c>
      <c r="Q757" s="19">
        <f>(Table6[[#This Row],[Fault Clearance time]]-Table6[[#This Row],[Fault Start TimeStamp]])*24</f>
        <v>4.3166666666666647</v>
      </c>
      <c r="R757" s="79" t="s">
        <v>867</v>
      </c>
      <c r="S757" s="79" t="s">
        <v>339</v>
      </c>
      <c r="T757" s="298">
        <f>IFERROR(Table6[[#This Row],[Breakdown Time]]*Table6[[#This Row],[Plant Equivalent Weightage]],"")</f>
        <v>0.88295454545454499</v>
      </c>
      <c r="U757" s="79" t="s">
        <v>421</v>
      </c>
      <c r="W757" s="79">
        <v>16932</v>
      </c>
    </row>
    <row r="758" spans="1:23">
      <c r="A758" s="79">
        <f t="shared" si="11"/>
        <v>757</v>
      </c>
      <c r="B758" s="79">
        <f>YEAR(Table6[[#This Row],[Date]])+IF(MONTH(Table6[[#This Row],[Date]])&gt;=4,1,0)</f>
        <v>2026</v>
      </c>
      <c r="C758" s="79">
        <f>YEAR(Table6[[#This Row],[Date]])</f>
        <v>2025</v>
      </c>
      <c r="D758" s="79" t="s">
        <v>344</v>
      </c>
      <c r="E758" s="284">
        <f>Table6[[#This Row],[Date]]-DAY(Table6[[#This Row],[Date]])+1</f>
        <v>45778</v>
      </c>
      <c r="F758" s="285">
        <v>45805</v>
      </c>
      <c r="G758" s="79" t="s">
        <v>109</v>
      </c>
      <c r="H758" s="79" t="str">
        <f>IFERROR(_xlfn.XLOOKUP(Table6[[#This Row],[Affected Feeder ]],'Basic Data'!$A:$A,'Basic Data'!$B:$B),"")</f>
        <v>PWEPL</v>
      </c>
      <c r="I758" s="79" t="str">
        <f>IFERROR(_xlfn.XLOOKUP(Table6[[#This Row],[Affected Feeder ]],'Basic Data'!$A:$A,'Basic Data'!$C:$C),"")</f>
        <v>MSEDCL</v>
      </c>
      <c r="J758" s="295">
        <f>IFERROR(_xlfn.XLOOKUP(Table6[[#This Row],[Affected Feeder ]],'Basic Data'!$A:$A,'Basic Data'!$E:$E),"")</f>
        <v>2.2727272727272728E-2</v>
      </c>
      <c r="K758" s="296" t="s">
        <v>171</v>
      </c>
      <c r="L758" s="297">
        <v>0.90277777777777779</v>
      </c>
      <c r="M758" s="297">
        <v>0.90277777777777779</v>
      </c>
      <c r="N758" s="297">
        <v>0.91666666666666663</v>
      </c>
      <c r="O758" s="19">
        <f>(Table6[[#This Row],[Work Start TimeStamp]]-Table6[[#This Row],[Fault Start TimeStamp]])*24</f>
        <v>0</v>
      </c>
      <c r="P758" s="19">
        <f>(Table6[[#This Row],[Fault Clearance time]]-Table6[[#This Row],[Fault Start TimeStamp]])*24</f>
        <v>0.33333333333333215</v>
      </c>
      <c r="Q758" s="19">
        <f>(Table6[[#This Row],[Fault Clearance time]]-Table6[[#This Row],[Fault Start TimeStamp]])*24</f>
        <v>0.33333333333333215</v>
      </c>
      <c r="R758" s="79" t="s">
        <v>353</v>
      </c>
      <c r="S758" s="79" t="s">
        <v>339</v>
      </c>
      <c r="T758" s="298">
        <f>IFERROR(Table6[[#This Row],[Breakdown Time]]*Table6[[#This Row],[Plant Equivalent Weightage]],"")</f>
        <v>7.5757575757575491E-3</v>
      </c>
      <c r="U758" s="79" t="s">
        <v>421</v>
      </c>
      <c r="W758" s="79">
        <v>156</v>
      </c>
    </row>
    <row r="759" spans="1:23">
      <c r="A759" s="79">
        <f t="shared" si="11"/>
        <v>758</v>
      </c>
      <c r="B759" s="79">
        <f>YEAR(Table6[[#This Row],[Date]])+IF(MONTH(Table6[[#This Row],[Date]])&gt;=4,1,0)</f>
        <v>2026</v>
      </c>
      <c r="C759" s="79">
        <f>YEAR(Table6[[#This Row],[Date]])</f>
        <v>2025</v>
      </c>
      <c r="D759" s="79" t="s">
        <v>344</v>
      </c>
      <c r="E759" s="284">
        <f>Table6[[#This Row],[Date]]-DAY(Table6[[#This Row],[Date]])+1</f>
        <v>45778</v>
      </c>
      <c r="F759" s="285">
        <v>45805</v>
      </c>
      <c r="G759" s="79" t="s">
        <v>111</v>
      </c>
      <c r="H759" s="79" t="str">
        <f>IFERROR(_xlfn.XLOOKUP(Table6[[#This Row],[Affected Feeder ]],'Basic Data'!$A:$A,'Basic Data'!$B:$B),"")</f>
        <v>PWEPL</v>
      </c>
      <c r="I759" s="79" t="str">
        <f>IFERROR(_xlfn.XLOOKUP(Table6[[#This Row],[Affected Feeder ]],'Basic Data'!$A:$A,'Basic Data'!$C:$C),"")</f>
        <v>MSEDCL</v>
      </c>
      <c r="J759" s="295">
        <f>IFERROR(_xlfn.XLOOKUP(Table6[[#This Row],[Affected Feeder ]],'Basic Data'!$A:$A,'Basic Data'!$E:$E),"")</f>
        <v>2.2727272727272728E-2</v>
      </c>
      <c r="K759" s="296" t="s">
        <v>171</v>
      </c>
      <c r="L759" s="297">
        <v>0.90277777777777779</v>
      </c>
      <c r="M759" s="297">
        <v>0.90277777777777779</v>
      </c>
      <c r="N759" s="297">
        <v>0.91666666666666663</v>
      </c>
      <c r="O759" s="19">
        <f>(Table6[[#This Row],[Work Start TimeStamp]]-Table6[[#This Row],[Fault Start TimeStamp]])*24</f>
        <v>0</v>
      </c>
      <c r="P759" s="19">
        <f>(Table6[[#This Row],[Fault Clearance time]]-Table6[[#This Row],[Fault Start TimeStamp]])*24</f>
        <v>0.33333333333333215</v>
      </c>
      <c r="Q759" s="19">
        <f>(Table6[[#This Row],[Fault Clearance time]]-Table6[[#This Row],[Fault Start TimeStamp]])*24</f>
        <v>0.33333333333333215</v>
      </c>
      <c r="R759" s="79" t="s">
        <v>353</v>
      </c>
      <c r="S759" s="79" t="s">
        <v>339</v>
      </c>
      <c r="T759" s="298">
        <f>IFERROR(Table6[[#This Row],[Breakdown Time]]*Table6[[#This Row],[Plant Equivalent Weightage]],"")</f>
        <v>7.5757575757575491E-3</v>
      </c>
      <c r="U759" s="79" t="s">
        <v>421</v>
      </c>
      <c r="W759" s="79">
        <v>156</v>
      </c>
    </row>
    <row r="760" spans="1:23">
      <c r="A760" s="79">
        <f t="shared" si="11"/>
        <v>759</v>
      </c>
      <c r="B760" s="79">
        <f>YEAR(Table6[[#This Row],[Date]])+IF(MONTH(Table6[[#This Row],[Date]])&gt;=4,1,0)</f>
        <v>2026</v>
      </c>
      <c r="C760" s="79">
        <f>YEAR(Table6[[#This Row],[Date]])</f>
        <v>2025</v>
      </c>
      <c r="D760" s="79" t="s">
        <v>344</v>
      </c>
      <c r="E760" s="284">
        <f>Table6[[#This Row],[Date]]-DAY(Table6[[#This Row],[Date]])+1</f>
        <v>45778</v>
      </c>
      <c r="F760" s="285">
        <v>45805</v>
      </c>
      <c r="G760" s="79" t="s">
        <v>112</v>
      </c>
      <c r="H760" s="79" t="str">
        <f>IFERROR(_xlfn.XLOOKUP(Table6[[#This Row],[Affected Feeder ]],'Basic Data'!$A:$A,'Basic Data'!$B:$B),"")</f>
        <v>PWEPL</v>
      </c>
      <c r="I760" s="79" t="str">
        <f>IFERROR(_xlfn.XLOOKUP(Table6[[#This Row],[Affected Feeder ]],'Basic Data'!$A:$A,'Basic Data'!$C:$C),"")</f>
        <v>MSEDCL</v>
      </c>
      <c r="J760" s="295">
        <f>IFERROR(_xlfn.XLOOKUP(Table6[[#This Row],[Affected Feeder ]],'Basic Data'!$A:$A,'Basic Data'!$E:$E),"")</f>
        <v>2.2727272727272728E-2</v>
      </c>
      <c r="K760" s="296" t="s">
        <v>171</v>
      </c>
      <c r="L760" s="297">
        <v>0.90277777777777779</v>
      </c>
      <c r="M760" s="297">
        <v>0.90277777777777779</v>
      </c>
      <c r="N760" s="297">
        <v>0.91666666666666663</v>
      </c>
      <c r="O760" s="19">
        <f>(Table6[[#This Row],[Work Start TimeStamp]]-Table6[[#This Row],[Fault Start TimeStamp]])*24</f>
        <v>0</v>
      </c>
      <c r="P760" s="19">
        <f>(Table6[[#This Row],[Fault Clearance time]]-Table6[[#This Row],[Fault Start TimeStamp]])*24</f>
        <v>0.33333333333333215</v>
      </c>
      <c r="Q760" s="19">
        <f>(Table6[[#This Row],[Fault Clearance time]]-Table6[[#This Row],[Fault Start TimeStamp]])*24</f>
        <v>0.33333333333333215</v>
      </c>
      <c r="R760" s="79" t="s">
        <v>353</v>
      </c>
      <c r="S760" s="79" t="s">
        <v>339</v>
      </c>
      <c r="T760" s="298">
        <f>IFERROR(Table6[[#This Row],[Breakdown Time]]*Table6[[#This Row],[Plant Equivalent Weightage]],"")</f>
        <v>7.5757575757575491E-3</v>
      </c>
      <c r="U760" s="79" t="s">
        <v>421</v>
      </c>
      <c r="W760" s="79">
        <v>156</v>
      </c>
    </row>
    <row r="761" spans="1:23">
      <c r="A761" s="79">
        <f t="shared" si="11"/>
        <v>760</v>
      </c>
      <c r="B761" s="79">
        <f>YEAR(Table6[[#This Row],[Date]])+IF(MONTH(Table6[[#This Row],[Date]])&gt;=4,1,0)</f>
        <v>2026</v>
      </c>
      <c r="C761" s="79">
        <f>YEAR(Table6[[#This Row],[Date]])</f>
        <v>2025</v>
      </c>
      <c r="D761" s="79" t="s">
        <v>344</v>
      </c>
      <c r="E761" s="284">
        <f>Table6[[#This Row],[Date]]-DAY(Table6[[#This Row],[Date]])+1</f>
        <v>45778</v>
      </c>
      <c r="F761" s="285">
        <v>45805</v>
      </c>
      <c r="G761" s="79" t="s">
        <v>113</v>
      </c>
      <c r="H761" s="79" t="str">
        <f>IFERROR(_xlfn.XLOOKUP(Table6[[#This Row],[Affected Feeder ]],'Basic Data'!$A:$A,'Basic Data'!$B:$B),"")</f>
        <v>PWEPL</v>
      </c>
      <c r="I761" s="79" t="str">
        <f>IFERROR(_xlfn.XLOOKUP(Table6[[#This Row],[Affected Feeder ]],'Basic Data'!$A:$A,'Basic Data'!$C:$C),"")</f>
        <v>MSEDCL</v>
      </c>
      <c r="J761" s="295">
        <f>IFERROR(_xlfn.XLOOKUP(Table6[[#This Row],[Affected Feeder ]],'Basic Data'!$A:$A,'Basic Data'!$E:$E),"")</f>
        <v>2.2727272727272728E-2</v>
      </c>
      <c r="K761" s="296" t="s">
        <v>171</v>
      </c>
      <c r="L761" s="297">
        <v>0.90277777777777779</v>
      </c>
      <c r="M761" s="297">
        <v>0.90277777777777779</v>
      </c>
      <c r="N761" s="297">
        <v>0.91666666666666663</v>
      </c>
      <c r="O761" s="19">
        <f>(Table6[[#This Row],[Work Start TimeStamp]]-Table6[[#This Row],[Fault Start TimeStamp]])*24</f>
        <v>0</v>
      </c>
      <c r="P761" s="19">
        <f>(Table6[[#This Row],[Fault Clearance time]]-Table6[[#This Row],[Fault Start TimeStamp]])*24</f>
        <v>0.33333333333333215</v>
      </c>
      <c r="Q761" s="19">
        <f>(Table6[[#This Row],[Fault Clearance time]]-Table6[[#This Row],[Fault Start TimeStamp]])*24</f>
        <v>0.33333333333333215</v>
      </c>
      <c r="R761" s="79" t="s">
        <v>353</v>
      </c>
      <c r="S761" s="79" t="s">
        <v>339</v>
      </c>
      <c r="T761" s="298">
        <f>IFERROR(Table6[[#This Row],[Breakdown Time]]*Table6[[#This Row],[Plant Equivalent Weightage]],"")</f>
        <v>7.5757575757575491E-3</v>
      </c>
      <c r="U761" s="79" t="s">
        <v>421</v>
      </c>
      <c r="W761" s="79">
        <v>156</v>
      </c>
    </row>
    <row r="762" spans="1:23">
      <c r="A762" s="79">
        <f t="shared" si="11"/>
        <v>761</v>
      </c>
      <c r="B762" s="79">
        <f>YEAR(Table6[[#This Row],[Date]])+IF(MONTH(Table6[[#This Row],[Date]])&gt;=4,1,0)</f>
        <v>2026</v>
      </c>
      <c r="C762" s="79">
        <f>YEAR(Table6[[#This Row],[Date]])</f>
        <v>2025</v>
      </c>
      <c r="D762" s="79" t="s">
        <v>344</v>
      </c>
      <c r="E762" s="284">
        <f>Table6[[#This Row],[Date]]-DAY(Table6[[#This Row],[Date]])+1</f>
        <v>45778</v>
      </c>
      <c r="F762" s="285">
        <v>45805</v>
      </c>
      <c r="G762" s="79" t="s">
        <v>114</v>
      </c>
      <c r="H762" s="79" t="str">
        <f>IFERROR(_xlfn.XLOOKUP(Table6[[#This Row],[Affected Feeder ]],'Basic Data'!$A:$A,'Basic Data'!$B:$B),"")</f>
        <v>PWEPL</v>
      </c>
      <c r="I762" s="79" t="str">
        <f>IFERROR(_xlfn.XLOOKUP(Table6[[#This Row],[Affected Feeder ]],'Basic Data'!$A:$A,'Basic Data'!$C:$C),"")</f>
        <v>MSEDCL</v>
      </c>
      <c r="J762" s="295">
        <f>IFERROR(_xlfn.XLOOKUP(Table6[[#This Row],[Affected Feeder ]],'Basic Data'!$A:$A,'Basic Data'!$E:$E),"")</f>
        <v>2.2727272727272728E-2</v>
      </c>
      <c r="K762" s="296" t="s">
        <v>171</v>
      </c>
      <c r="L762" s="297">
        <v>0.90277777777777779</v>
      </c>
      <c r="M762" s="297">
        <v>0.90277777777777779</v>
      </c>
      <c r="N762" s="297">
        <v>0.91666666666666663</v>
      </c>
      <c r="O762" s="19">
        <f>(Table6[[#This Row],[Work Start TimeStamp]]-Table6[[#This Row],[Fault Start TimeStamp]])*24</f>
        <v>0</v>
      </c>
      <c r="P762" s="19">
        <f>(Table6[[#This Row],[Fault Clearance time]]-Table6[[#This Row],[Fault Start TimeStamp]])*24</f>
        <v>0.33333333333333215</v>
      </c>
      <c r="Q762" s="19">
        <f>(Table6[[#This Row],[Fault Clearance time]]-Table6[[#This Row],[Fault Start TimeStamp]])*24</f>
        <v>0.33333333333333215</v>
      </c>
      <c r="R762" s="79" t="s">
        <v>353</v>
      </c>
      <c r="S762" s="79" t="s">
        <v>339</v>
      </c>
      <c r="T762" s="298">
        <f>IFERROR(Table6[[#This Row],[Breakdown Time]]*Table6[[#This Row],[Plant Equivalent Weightage]],"")</f>
        <v>7.5757575757575491E-3</v>
      </c>
      <c r="U762" s="79" t="s">
        <v>421</v>
      </c>
      <c r="W762" s="79">
        <v>156</v>
      </c>
    </row>
    <row r="763" spans="1:23">
      <c r="A763" s="79">
        <f t="shared" si="11"/>
        <v>762</v>
      </c>
      <c r="B763" s="79">
        <f>YEAR(Table6[[#This Row],[Date]])+IF(MONTH(Table6[[#This Row],[Date]])&gt;=4,1,0)</f>
        <v>2026</v>
      </c>
      <c r="C763" s="79">
        <f>YEAR(Table6[[#This Row],[Date]])</f>
        <v>2025</v>
      </c>
      <c r="D763" s="79" t="s">
        <v>344</v>
      </c>
      <c r="E763" s="284">
        <f>Table6[[#This Row],[Date]]-DAY(Table6[[#This Row],[Date]])+1</f>
        <v>45778</v>
      </c>
      <c r="F763" s="285">
        <v>45805</v>
      </c>
      <c r="G763" s="79" t="s">
        <v>80</v>
      </c>
      <c r="H763" s="79" t="str">
        <f>IFERROR(_xlfn.XLOOKUP(Table6[[#This Row],[Affected Feeder ]],'Basic Data'!$A:$A,'Basic Data'!$B:$B),"")</f>
        <v>PWEPL</v>
      </c>
      <c r="I763" s="79" t="str">
        <f>IFERROR(_xlfn.XLOOKUP(Table6[[#This Row],[Affected Feeder ]],'Basic Data'!$A:$A,'Basic Data'!$C:$C),"")</f>
        <v>MSEDCL</v>
      </c>
      <c r="J763" s="295">
        <f>IFERROR(_xlfn.XLOOKUP(Table6[[#This Row],[Affected Feeder ]],'Basic Data'!$A:$A,'Basic Data'!$E:$E),"")</f>
        <v>2.2727272727272728E-2</v>
      </c>
      <c r="K763" s="296" t="s">
        <v>171</v>
      </c>
      <c r="L763" s="297">
        <v>0.90277777777777779</v>
      </c>
      <c r="M763" s="297">
        <v>0.90277777777777779</v>
      </c>
      <c r="N763" s="297">
        <v>0.91666666666666663</v>
      </c>
      <c r="O763" s="19">
        <f>(Table6[[#This Row],[Work Start TimeStamp]]-Table6[[#This Row],[Fault Start TimeStamp]])*24</f>
        <v>0</v>
      </c>
      <c r="P763" s="19">
        <f>(Table6[[#This Row],[Fault Clearance time]]-Table6[[#This Row],[Fault Start TimeStamp]])*24</f>
        <v>0.33333333333333215</v>
      </c>
      <c r="Q763" s="19">
        <f>(Table6[[#This Row],[Fault Clearance time]]-Table6[[#This Row],[Fault Start TimeStamp]])*24</f>
        <v>0.33333333333333215</v>
      </c>
      <c r="R763" s="79" t="s">
        <v>353</v>
      </c>
      <c r="S763" s="79" t="s">
        <v>339</v>
      </c>
      <c r="T763" s="298">
        <f>IFERROR(Table6[[#This Row],[Breakdown Time]]*Table6[[#This Row],[Plant Equivalent Weightage]],"")</f>
        <v>7.5757575757575491E-3</v>
      </c>
      <c r="U763" s="79" t="s">
        <v>421</v>
      </c>
      <c r="W763" s="79">
        <v>156</v>
      </c>
    </row>
    <row r="764" spans="1:23">
      <c r="A764" s="79">
        <f t="shared" si="11"/>
        <v>763</v>
      </c>
      <c r="B764" s="79">
        <f>YEAR(Table6[[#This Row],[Date]])+IF(MONTH(Table6[[#This Row],[Date]])&gt;=4,1,0)</f>
        <v>2026</v>
      </c>
      <c r="C764" s="79">
        <f>YEAR(Table6[[#This Row],[Date]])</f>
        <v>2025</v>
      </c>
      <c r="D764" s="79" t="s">
        <v>344</v>
      </c>
      <c r="E764" s="284">
        <f>Table6[[#This Row],[Date]]-DAY(Table6[[#This Row],[Date]])+1</f>
        <v>45778</v>
      </c>
      <c r="F764" s="285">
        <v>45805</v>
      </c>
      <c r="G764" s="79" t="s">
        <v>81</v>
      </c>
      <c r="H764" s="79" t="str">
        <f>IFERROR(_xlfn.XLOOKUP(Table6[[#This Row],[Affected Feeder ]],'Basic Data'!$A:$A,'Basic Data'!$B:$B),"")</f>
        <v>PWEPL</v>
      </c>
      <c r="I764" s="79" t="str">
        <f>IFERROR(_xlfn.XLOOKUP(Table6[[#This Row],[Affected Feeder ]],'Basic Data'!$A:$A,'Basic Data'!$C:$C),"")</f>
        <v>MSEDCL</v>
      </c>
      <c r="J764" s="295">
        <f>IFERROR(_xlfn.XLOOKUP(Table6[[#This Row],[Affected Feeder ]],'Basic Data'!$A:$A,'Basic Data'!$E:$E),"")</f>
        <v>2.2727272727272728E-2</v>
      </c>
      <c r="K764" s="296" t="s">
        <v>171</v>
      </c>
      <c r="L764" s="297">
        <v>0.90277777777777779</v>
      </c>
      <c r="M764" s="297">
        <v>0.90277777777777779</v>
      </c>
      <c r="N764" s="297">
        <v>0.91666666666666663</v>
      </c>
      <c r="O764" s="19">
        <f>(Table6[[#This Row],[Work Start TimeStamp]]-Table6[[#This Row],[Fault Start TimeStamp]])*24</f>
        <v>0</v>
      </c>
      <c r="P764" s="19">
        <f>(Table6[[#This Row],[Fault Clearance time]]-Table6[[#This Row],[Fault Start TimeStamp]])*24</f>
        <v>0.33333333333333215</v>
      </c>
      <c r="Q764" s="19">
        <f>(Table6[[#This Row],[Fault Clearance time]]-Table6[[#This Row],[Fault Start TimeStamp]])*24</f>
        <v>0.33333333333333215</v>
      </c>
      <c r="R764" s="79" t="s">
        <v>353</v>
      </c>
      <c r="S764" s="79" t="s">
        <v>339</v>
      </c>
      <c r="T764" s="298">
        <f>IFERROR(Table6[[#This Row],[Breakdown Time]]*Table6[[#This Row],[Plant Equivalent Weightage]],"")</f>
        <v>7.5757575757575491E-3</v>
      </c>
      <c r="U764" s="79" t="s">
        <v>421</v>
      </c>
      <c r="W764" s="79">
        <v>156</v>
      </c>
    </row>
    <row r="765" spans="1:23">
      <c r="A765" s="79">
        <f t="shared" si="11"/>
        <v>764</v>
      </c>
      <c r="B765" s="79">
        <f>YEAR(Table6[[#This Row],[Date]])+IF(MONTH(Table6[[#This Row],[Date]])&gt;=4,1,0)</f>
        <v>2026</v>
      </c>
      <c r="C765" s="79">
        <f>YEAR(Table6[[#This Row],[Date]])</f>
        <v>2025</v>
      </c>
      <c r="D765" s="79" t="s">
        <v>344</v>
      </c>
      <c r="E765" s="284">
        <f>Table6[[#This Row],[Date]]-DAY(Table6[[#This Row],[Date]])+1</f>
        <v>45778</v>
      </c>
      <c r="F765" s="285">
        <v>45805</v>
      </c>
      <c r="G765" s="79" t="s">
        <v>107</v>
      </c>
      <c r="H765" s="79" t="str">
        <f>IFERROR(_xlfn.XLOOKUP(Table6[[#This Row],[Affected Feeder ]],'Basic Data'!$A:$A,'Basic Data'!$B:$B),"")</f>
        <v>PWEPL</v>
      </c>
      <c r="I765" s="79" t="str">
        <f>IFERROR(_xlfn.XLOOKUP(Table6[[#This Row],[Affected Feeder ]],'Basic Data'!$A:$A,'Basic Data'!$C:$C),"")</f>
        <v>MSEDCL</v>
      </c>
      <c r="J765" s="295">
        <f>IFERROR(_xlfn.XLOOKUP(Table6[[#This Row],[Affected Feeder ]],'Basic Data'!$A:$A,'Basic Data'!$E:$E),"")</f>
        <v>2.2727272727272728E-2</v>
      </c>
      <c r="K765" s="296" t="s">
        <v>171</v>
      </c>
      <c r="L765" s="297">
        <v>0.90277777777777779</v>
      </c>
      <c r="M765" s="297">
        <v>0.90277777777777779</v>
      </c>
      <c r="N765" s="297">
        <v>0.91666666666666663</v>
      </c>
      <c r="O765" s="19">
        <f>(Table6[[#This Row],[Work Start TimeStamp]]-Table6[[#This Row],[Fault Start TimeStamp]])*24</f>
        <v>0</v>
      </c>
      <c r="P765" s="19">
        <f>(Table6[[#This Row],[Fault Clearance time]]-Table6[[#This Row],[Fault Start TimeStamp]])*24</f>
        <v>0.33333333333333215</v>
      </c>
      <c r="Q765" s="19">
        <f>(Table6[[#This Row],[Fault Clearance time]]-Table6[[#This Row],[Fault Start TimeStamp]])*24</f>
        <v>0.33333333333333215</v>
      </c>
      <c r="R765" s="79" t="s">
        <v>353</v>
      </c>
      <c r="S765" s="79" t="s">
        <v>339</v>
      </c>
      <c r="T765" s="298">
        <f>IFERROR(Table6[[#This Row],[Breakdown Time]]*Table6[[#This Row],[Plant Equivalent Weightage]],"")</f>
        <v>7.5757575757575491E-3</v>
      </c>
      <c r="U765" s="79" t="s">
        <v>421</v>
      </c>
      <c r="W765" s="79">
        <v>156</v>
      </c>
    </row>
    <row r="766" spans="1:23">
      <c r="A766" s="79">
        <f t="shared" si="11"/>
        <v>765</v>
      </c>
      <c r="B766" s="79">
        <f>YEAR(Table6[[#This Row],[Date]])+IF(MONTH(Table6[[#This Row],[Date]])&gt;=4,1,0)</f>
        <v>2026</v>
      </c>
      <c r="C766" s="79">
        <f>YEAR(Table6[[#This Row],[Date]])</f>
        <v>2025</v>
      </c>
      <c r="D766" s="79" t="s">
        <v>344</v>
      </c>
      <c r="E766" s="284">
        <f>Table6[[#This Row],[Date]]-DAY(Table6[[#This Row],[Date]])+1</f>
        <v>45778</v>
      </c>
      <c r="F766" s="285">
        <v>45805</v>
      </c>
      <c r="G766" s="79" t="s">
        <v>108</v>
      </c>
      <c r="H766" s="79" t="str">
        <f>IFERROR(_xlfn.XLOOKUP(Table6[[#This Row],[Affected Feeder ]],'Basic Data'!$A:$A,'Basic Data'!$B:$B),"")</f>
        <v>PWEPL</v>
      </c>
      <c r="I766" s="79" t="str">
        <f>IFERROR(_xlfn.XLOOKUP(Table6[[#This Row],[Affected Feeder ]],'Basic Data'!$A:$A,'Basic Data'!$C:$C),"")</f>
        <v>MSEDCL</v>
      </c>
      <c r="J766" s="295">
        <f>IFERROR(_xlfn.XLOOKUP(Table6[[#This Row],[Affected Feeder ]],'Basic Data'!$A:$A,'Basic Data'!$E:$E),"")</f>
        <v>2.2727272727272728E-2</v>
      </c>
      <c r="K766" s="296" t="s">
        <v>171</v>
      </c>
      <c r="L766" s="297">
        <v>0.90277777777777779</v>
      </c>
      <c r="M766" s="297">
        <v>0.90277777777777779</v>
      </c>
      <c r="N766" s="297">
        <v>0.91666666666666663</v>
      </c>
      <c r="O766" s="19">
        <f>(Table6[[#This Row],[Work Start TimeStamp]]-Table6[[#This Row],[Fault Start TimeStamp]])*24</f>
        <v>0</v>
      </c>
      <c r="P766" s="19">
        <f>(Table6[[#This Row],[Fault Clearance time]]-Table6[[#This Row],[Fault Start TimeStamp]])*24</f>
        <v>0.33333333333333215</v>
      </c>
      <c r="Q766" s="19">
        <f>(Table6[[#This Row],[Fault Clearance time]]-Table6[[#This Row],[Fault Start TimeStamp]])*24</f>
        <v>0.33333333333333215</v>
      </c>
      <c r="R766" s="79" t="s">
        <v>353</v>
      </c>
      <c r="S766" s="79" t="s">
        <v>339</v>
      </c>
      <c r="T766" s="298">
        <f>IFERROR(Table6[[#This Row],[Breakdown Time]]*Table6[[#This Row],[Plant Equivalent Weightage]],"")</f>
        <v>7.5757575757575491E-3</v>
      </c>
      <c r="U766" s="79" t="s">
        <v>421</v>
      </c>
      <c r="W766" s="79">
        <v>156</v>
      </c>
    </row>
    <row r="767" spans="1:23">
      <c r="A767" s="79">
        <f t="shared" si="11"/>
        <v>766</v>
      </c>
      <c r="B767" s="79">
        <f>YEAR(Table6[[#This Row],[Date]])+IF(MONTH(Table6[[#This Row],[Date]])&gt;=4,1,0)</f>
        <v>2026</v>
      </c>
      <c r="C767" s="79">
        <f>YEAR(Table6[[#This Row],[Date]])</f>
        <v>2025</v>
      </c>
      <c r="D767" s="79" t="s">
        <v>344</v>
      </c>
      <c r="E767" s="284">
        <f>Table6[[#This Row],[Date]]-DAY(Table6[[#This Row],[Date]])+1</f>
        <v>45778</v>
      </c>
      <c r="F767" s="285">
        <v>45807</v>
      </c>
      <c r="G767" s="79" t="s">
        <v>112</v>
      </c>
      <c r="H767" s="79" t="str">
        <f>IFERROR(_xlfn.XLOOKUP(Table6[[#This Row],[Affected Feeder ]],'Basic Data'!$A:$A,'Basic Data'!$B:$B),"")</f>
        <v>PWEPL</v>
      </c>
      <c r="I767" s="79" t="str">
        <f>IFERROR(_xlfn.XLOOKUP(Table6[[#This Row],[Affected Feeder ]],'Basic Data'!$A:$A,'Basic Data'!$C:$C),"")</f>
        <v>MSEDCL</v>
      </c>
      <c r="J767" s="295">
        <f>IFERROR(_xlfn.XLOOKUP(Table6[[#This Row],[Affected Feeder ]],'Basic Data'!$A:$A,'Basic Data'!$E:$E),"")</f>
        <v>2.2727272727272728E-2</v>
      </c>
      <c r="K767" s="296" t="s">
        <v>796</v>
      </c>
      <c r="L767" s="297">
        <v>0.73888888888888893</v>
      </c>
      <c r="M767" s="297">
        <v>0.73888888888888893</v>
      </c>
      <c r="N767" s="297">
        <v>0.76736111111111116</v>
      </c>
      <c r="O767" s="19">
        <f>(Table6[[#This Row],[Work Start TimeStamp]]-Table6[[#This Row],[Fault Start TimeStamp]])*24</f>
        <v>0</v>
      </c>
      <c r="P767" s="19">
        <f>(Table6[[#This Row],[Fault Clearance time]]-Table6[[#This Row],[Fault Start TimeStamp]])*24</f>
        <v>0.68333333333333357</v>
      </c>
      <c r="Q767" s="19">
        <f>(Table6[[#This Row],[Fault Clearance time]]-Table6[[#This Row],[Fault Start TimeStamp]])*24</f>
        <v>0.68333333333333357</v>
      </c>
      <c r="R767" s="79" t="s">
        <v>424</v>
      </c>
      <c r="S767" s="79" t="s">
        <v>339</v>
      </c>
      <c r="T767" s="298">
        <f>IFERROR(Table6[[#This Row],[Breakdown Time]]*Table6[[#This Row],[Plant Equivalent Weightage]],"")</f>
        <v>1.5530303030303037E-2</v>
      </c>
      <c r="U767" s="79" t="s">
        <v>421</v>
      </c>
      <c r="W767" s="79">
        <v>741</v>
      </c>
    </row>
    <row r="768" spans="1:23">
      <c r="A768" s="79">
        <f t="shared" si="11"/>
        <v>767</v>
      </c>
      <c r="B768" s="79">
        <f>YEAR(Table6[[#This Row],[Date]])+IF(MONTH(Table6[[#This Row],[Date]])&gt;=4,1,0)</f>
        <v>2026</v>
      </c>
      <c r="C768" s="79">
        <f>YEAR(Table6[[#This Row],[Date]])</f>
        <v>2025</v>
      </c>
      <c r="D768" s="79" t="s">
        <v>344</v>
      </c>
      <c r="E768" s="284">
        <f>Table6[[#This Row],[Date]]-DAY(Table6[[#This Row],[Date]])+1</f>
        <v>45778</v>
      </c>
      <c r="F768" s="285">
        <v>45807</v>
      </c>
      <c r="G768" s="79" t="s">
        <v>112</v>
      </c>
      <c r="H768" s="79" t="str">
        <f>IFERROR(_xlfn.XLOOKUP(Table6[[#This Row],[Affected Feeder ]],'Basic Data'!$A:$A,'Basic Data'!$B:$B),"")</f>
        <v>PWEPL</v>
      </c>
      <c r="I768" s="79" t="str">
        <f>IFERROR(_xlfn.XLOOKUP(Table6[[#This Row],[Affected Feeder ]],'Basic Data'!$A:$A,'Basic Data'!$C:$C),"")</f>
        <v>MSEDCL</v>
      </c>
      <c r="J768" s="295">
        <f>IFERROR(_xlfn.XLOOKUP(Table6[[#This Row],[Affected Feeder ]],'Basic Data'!$A:$A,'Basic Data'!$E:$E),"")</f>
        <v>2.2727272727272728E-2</v>
      </c>
      <c r="K768" s="296" t="s">
        <v>171</v>
      </c>
      <c r="L768" s="297">
        <v>0.76736111111111116</v>
      </c>
      <c r="M768" s="297">
        <v>0.76736111111111116</v>
      </c>
      <c r="N768" s="297">
        <v>0.78125</v>
      </c>
      <c r="O768" s="19">
        <f>(Table6[[#This Row],[Work Start TimeStamp]]-Table6[[#This Row],[Fault Start TimeStamp]])*24</f>
        <v>0</v>
      </c>
      <c r="P768" s="19">
        <f>(Table6[[#This Row],[Fault Clearance time]]-Table6[[#This Row],[Fault Start TimeStamp]])*24</f>
        <v>0.33333333333333215</v>
      </c>
      <c r="Q768" s="19">
        <f>(Table6[[#This Row],[Fault Clearance time]]-Table6[[#This Row],[Fault Start TimeStamp]])*24</f>
        <v>0.33333333333333215</v>
      </c>
      <c r="R768" s="79" t="s">
        <v>353</v>
      </c>
      <c r="S768" s="79" t="s">
        <v>339</v>
      </c>
      <c r="T768" s="298">
        <f>IFERROR(Table6[[#This Row],[Breakdown Time]]*Table6[[#This Row],[Plant Equivalent Weightage]],"")</f>
        <v>7.5757575757575491E-3</v>
      </c>
      <c r="U768" s="79" t="s">
        <v>421</v>
      </c>
      <c r="W768" s="79">
        <v>740</v>
      </c>
    </row>
    <row r="769" spans="1:23">
      <c r="A769" s="79">
        <f t="shared" si="11"/>
        <v>768</v>
      </c>
      <c r="B769" s="79">
        <f>YEAR(Table6[[#This Row],[Date]])+IF(MONTH(Table6[[#This Row],[Date]])&gt;=4,1,0)</f>
        <v>2026</v>
      </c>
      <c r="C769" s="79">
        <f>YEAR(Table6[[#This Row],[Date]])</f>
        <v>2025</v>
      </c>
      <c r="D769" s="79" t="s">
        <v>344</v>
      </c>
      <c r="E769" s="284">
        <f>Table6[[#This Row],[Date]]-DAY(Table6[[#This Row],[Date]])+1</f>
        <v>45778</v>
      </c>
      <c r="F769" s="285">
        <v>45808</v>
      </c>
      <c r="G769" s="79" t="s">
        <v>112</v>
      </c>
      <c r="H769" s="79" t="str">
        <f>IFERROR(_xlfn.XLOOKUP(Table6[[#This Row],[Affected Feeder ]],'Basic Data'!$A:$A,'Basic Data'!$B:$B),"")</f>
        <v>PWEPL</v>
      </c>
      <c r="I769" s="79" t="str">
        <f>IFERROR(_xlfn.XLOOKUP(Table6[[#This Row],[Affected Feeder ]],'Basic Data'!$A:$A,'Basic Data'!$C:$C),"")</f>
        <v>MSEDCL</v>
      </c>
      <c r="J769" s="295">
        <f>IFERROR(_xlfn.XLOOKUP(Table6[[#This Row],[Affected Feeder ]],'Basic Data'!$A:$A,'Basic Data'!$E:$E),"")</f>
        <v>2.2727272727272728E-2</v>
      </c>
      <c r="K769" s="296" t="s">
        <v>796</v>
      </c>
      <c r="L769" s="297">
        <v>0.37013888888888885</v>
      </c>
      <c r="M769" s="297">
        <v>0.37013888888888885</v>
      </c>
      <c r="N769" s="297">
        <v>0.3923611111111111</v>
      </c>
      <c r="O769" s="19">
        <f>(Table6[[#This Row],[Work Start TimeStamp]]-Table6[[#This Row],[Fault Start TimeStamp]])*24</f>
        <v>0</v>
      </c>
      <c r="P769" s="19">
        <f>(Table6[[#This Row],[Fault Clearance time]]-Table6[[#This Row],[Fault Start TimeStamp]])*24</f>
        <v>0.5333333333333341</v>
      </c>
      <c r="Q769" s="19">
        <f>(Table6[[#This Row],[Fault Clearance time]]-Table6[[#This Row],[Fault Start TimeStamp]])*24</f>
        <v>0.5333333333333341</v>
      </c>
      <c r="R769" s="79" t="s">
        <v>424</v>
      </c>
      <c r="S769" s="79" t="s">
        <v>339</v>
      </c>
      <c r="T769" s="298">
        <f>IFERROR(Table6[[#This Row],[Breakdown Time]]*Table6[[#This Row],[Plant Equivalent Weightage]],"")</f>
        <v>1.2121212121212139E-2</v>
      </c>
      <c r="U769" s="79" t="s">
        <v>421</v>
      </c>
      <c r="W769" s="79">
        <v>805</v>
      </c>
    </row>
    <row r="770" spans="1:23">
      <c r="A770" s="79">
        <f t="shared" si="11"/>
        <v>769</v>
      </c>
      <c r="B770" s="79">
        <f>YEAR(Table6[[#This Row],[Date]])+IF(MONTH(Table6[[#This Row],[Date]])&gt;=4,1,0)</f>
        <v>2026</v>
      </c>
      <c r="C770" s="79">
        <f>YEAR(Table6[[#This Row],[Date]])</f>
        <v>2025</v>
      </c>
      <c r="D770" s="79" t="s">
        <v>344</v>
      </c>
      <c r="E770" s="284">
        <f>Table6[[#This Row],[Date]]-DAY(Table6[[#This Row],[Date]])+1</f>
        <v>45778</v>
      </c>
      <c r="F770" s="285">
        <v>45808</v>
      </c>
      <c r="G770" s="79" t="s">
        <v>112</v>
      </c>
      <c r="H770" s="79" t="str">
        <f>IFERROR(_xlfn.XLOOKUP(Table6[[#This Row],[Affected Feeder ]],'Basic Data'!$A:$A,'Basic Data'!$B:$B),"")</f>
        <v>PWEPL</v>
      </c>
      <c r="I770" s="79" t="str">
        <f>IFERROR(_xlfn.XLOOKUP(Table6[[#This Row],[Affected Feeder ]],'Basic Data'!$A:$A,'Basic Data'!$C:$C),"")</f>
        <v>MSEDCL</v>
      </c>
      <c r="J770" s="295">
        <f>IFERROR(_xlfn.XLOOKUP(Table6[[#This Row],[Affected Feeder ]],'Basic Data'!$A:$A,'Basic Data'!$E:$E),"")</f>
        <v>2.2727272727272728E-2</v>
      </c>
      <c r="K770" s="296" t="s">
        <v>171</v>
      </c>
      <c r="L770" s="297">
        <v>0.3923611111111111</v>
      </c>
      <c r="M770" s="297">
        <v>0.3923611111111111</v>
      </c>
      <c r="N770" s="297">
        <v>0.40138888888888885</v>
      </c>
      <c r="O770" s="19">
        <f>(Table6[[#This Row],[Work Start TimeStamp]]-Table6[[#This Row],[Fault Start TimeStamp]])*24</f>
        <v>0</v>
      </c>
      <c r="P770" s="19">
        <f>(Table6[[#This Row],[Fault Clearance time]]-Table6[[#This Row],[Fault Start TimeStamp]])*24</f>
        <v>0.2166666666666659</v>
      </c>
      <c r="Q770" s="19">
        <f>(Table6[[#This Row],[Fault Clearance time]]-Table6[[#This Row],[Fault Start TimeStamp]])*24</f>
        <v>0.2166666666666659</v>
      </c>
      <c r="R770" s="79" t="s">
        <v>353</v>
      </c>
      <c r="S770" s="79" t="s">
        <v>339</v>
      </c>
      <c r="T770" s="298">
        <f>IFERROR(Table6[[#This Row],[Breakdown Time]]*Table6[[#This Row],[Plant Equivalent Weightage]],"")</f>
        <v>4.9242424242424065E-3</v>
      </c>
      <c r="U770" s="79" t="s">
        <v>421</v>
      </c>
      <c r="W770" s="79">
        <v>550</v>
      </c>
    </row>
    <row r="771" spans="1:23">
      <c r="A771" s="79">
        <f t="shared" si="11"/>
        <v>770</v>
      </c>
      <c r="B771" s="79">
        <f>YEAR(Table6[[#This Row],[Date]])+IF(MONTH(Table6[[#This Row],[Date]])&gt;=4,1,0)</f>
        <v>2026</v>
      </c>
      <c r="C771" s="79">
        <f>YEAR(Table6[[#This Row],[Date]])</f>
        <v>2025</v>
      </c>
      <c r="D771" s="79" t="s">
        <v>344</v>
      </c>
      <c r="E771" s="284">
        <f>Table6[[#This Row],[Date]]-DAY(Table6[[#This Row],[Date]])+1</f>
        <v>45809</v>
      </c>
      <c r="F771" s="285">
        <v>45810</v>
      </c>
      <c r="G771" s="79" t="s">
        <v>399</v>
      </c>
      <c r="H771" s="79" t="str">
        <f>IFERROR(_xlfn.XLOOKUP(Table6[[#This Row],[Affected Feeder ]],'Basic Data'!$A:$A,'Basic Data'!$B:$B),"")</f>
        <v>PWEPL</v>
      </c>
      <c r="I771" s="79" t="str">
        <f>IFERROR(_xlfn.XLOOKUP(Table6[[#This Row],[Affected Feeder ]],'Basic Data'!$A:$A,'Basic Data'!$C:$C),"")</f>
        <v>MSEDCL</v>
      </c>
      <c r="J771" s="295">
        <f>IFERROR(_xlfn.XLOOKUP(Table6[[#This Row],[Affected Feeder ]],'Basic Data'!$A:$A,'Basic Data'!$E:$E),"")</f>
        <v>0.22727272727272727</v>
      </c>
      <c r="K771" s="296" t="s">
        <v>447</v>
      </c>
      <c r="L771" s="297">
        <v>0.96805555555555556</v>
      </c>
      <c r="M771" s="297">
        <v>0.96805555555555556</v>
      </c>
      <c r="N771" s="297">
        <v>0.97499999999999998</v>
      </c>
      <c r="O771" s="19">
        <f>(Table6[[#This Row],[Work Start TimeStamp]]-Table6[[#This Row],[Fault Start TimeStamp]])*24</f>
        <v>0</v>
      </c>
      <c r="P771" s="19">
        <f>(Table6[[#This Row],[Fault Clearance time]]-Table6[[#This Row],[Fault Start TimeStamp]])*24</f>
        <v>0.16666666666666607</v>
      </c>
      <c r="Q771" s="19">
        <f>(Table6[[#This Row],[Fault Clearance time]]-Table6[[#This Row],[Fault Start TimeStamp]])*24</f>
        <v>0.16666666666666607</v>
      </c>
      <c r="R771" s="79" t="s">
        <v>420</v>
      </c>
      <c r="S771" s="79" t="s">
        <v>339</v>
      </c>
      <c r="T771" s="298">
        <f>IFERROR(Table6[[#This Row],[Breakdown Time]]*Table6[[#This Row],[Plant Equivalent Weightage]],"")</f>
        <v>3.7878787878787741E-2</v>
      </c>
      <c r="U771" s="79" t="s">
        <v>421</v>
      </c>
      <c r="W771" s="79">
        <v>1200</v>
      </c>
    </row>
    <row r="772" spans="1:23">
      <c r="A772" s="79">
        <f t="shared" ref="A772:A835" si="12">A771+1</f>
        <v>771</v>
      </c>
      <c r="B772" s="79">
        <f>YEAR(Table6[[#This Row],[Date]])+IF(MONTH(Table6[[#This Row],[Date]])&gt;=4,1,0)</f>
        <v>2026</v>
      </c>
      <c r="C772" s="79">
        <f>YEAR(Table6[[#This Row],[Date]])</f>
        <v>2025</v>
      </c>
      <c r="D772" s="79" t="s">
        <v>344</v>
      </c>
      <c r="E772" s="284">
        <f>Table6[[#This Row],[Date]]-DAY(Table6[[#This Row],[Date]])+1</f>
        <v>45809</v>
      </c>
      <c r="F772" s="285">
        <v>45810</v>
      </c>
      <c r="G772" s="79" t="s">
        <v>84</v>
      </c>
      <c r="H772" s="79" t="str">
        <f>IFERROR(_xlfn.XLOOKUP(Table6[[#This Row],[Affected Feeder ]],'Basic Data'!$A:$A,'Basic Data'!$B:$B),"")</f>
        <v>PWEPL</v>
      </c>
      <c r="I772" s="79" t="str">
        <f>IFERROR(_xlfn.XLOOKUP(Table6[[#This Row],[Affected Feeder ]],'Basic Data'!$A:$A,'Basic Data'!$C:$C),"")</f>
        <v>MSEDCL</v>
      </c>
      <c r="J772" s="295">
        <f>IFERROR(_xlfn.XLOOKUP(Table6[[#This Row],[Affected Feeder ]],'Basic Data'!$A:$A,'Basic Data'!$E:$E),"")</f>
        <v>2.2727272727272728E-2</v>
      </c>
      <c r="K772" s="296" t="s">
        <v>171</v>
      </c>
      <c r="L772" s="297">
        <v>0.97499999999999998</v>
      </c>
      <c r="M772" s="297">
        <v>0.97499999999999998</v>
      </c>
      <c r="N772" s="297">
        <v>0.97777777777777775</v>
      </c>
      <c r="O772" s="19">
        <f>(Table6[[#This Row],[Work Start TimeStamp]]-Table6[[#This Row],[Fault Start TimeStamp]])*24</f>
        <v>0</v>
      </c>
      <c r="P772" s="19">
        <f>(Table6[[#This Row],[Fault Clearance time]]-Table6[[#This Row],[Fault Start TimeStamp]])*24</f>
        <v>6.666666666666643E-2</v>
      </c>
      <c r="Q772" s="19">
        <f>(Table6[[#This Row],[Fault Clearance time]]-Table6[[#This Row],[Fault Start TimeStamp]])*24</f>
        <v>6.666666666666643E-2</v>
      </c>
      <c r="R772" s="79" t="s">
        <v>353</v>
      </c>
      <c r="S772" s="79" t="s">
        <v>339</v>
      </c>
      <c r="T772" s="298">
        <f>IFERROR(Table6[[#This Row],[Breakdown Time]]*Table6[[#This Row],[Plant Equivalent Weightage]],"")</f>
        <v>1.5151515151515097E-3</v>
      </c>
      <c r="U772" s="79" t="s">
        <v>421</v>
      </c>
      <c r="W772" s="79">
        <v>48</v>
      </c>
    </row>
    <row r="773" spans="1:23">
      <c r="A773" s="79">
        <f t="shared" si="12"/>
        <v>772</v>
      </c>
      <c r="B773" s="79">
        <f>YEAR(Table6[[#This Row],[Date]])+IF(MONTH(Table6[[#This Row],[Date]])&gt;=4,1,0)</f>
        <v>2026</v>
      </c>
      <c r="C773" s="79">
        <f>YEAR(Table6[[#This Row],[Date]])</f>
        <v>2025</v>
      </c>
      <c r="D773" s="79" t="s">
        <v>344</v>
      </c>
      <c r="E773" s="284">
        <f>Table6[[#This Row],[Date]]-DAY(Table6[[#This Row],[Date]])+1</f>
        <v>45809</v>
      </c>
      <c r="F773" s="285">
        <v>45810</v>
      </c>
      <c r="G773" s="79" t="s">
        <v>85</v>
      </c>
      <c r="H773" s="79" t="str">
        <f>IFERROR(_xlfn.XLOOKUP(Table6[[#This Row],[Affected Feeder ]],'Basic Data'!$A:$A,'Basic Data'!$B:$B),"")</f>
        <v>PWEPL</v>
      </c>
      <c r="I773" s="79" t="str">
        <f>IFERROR(_xlfn.XLOOKUP(Table6[[#This Row],[Affected Feeder ]],'Basic Data'!$A:$A,'Basic Data'!$C:$C),"")</f>
        <v>MSEDCL</v>
      </c>
      <c r="J773" s="295">
        <f>IFERROR(_xlfn.XLOOKUP(Table6[[#This Row],[Affected Feeder ]],'Basic Data'!$A:$A,'Basic Data'!$E:$E),"")</f>
        <v>2.2727272727272728E-2</v>
      </c>
      <c r="K773" s="296" t="s">
        <v>171</v>
      </c>
      <c r="L773" s="297">
        <v>0.97499999999999998</v>
      </c>
      <c r="M773" s="297">
        <v>0.97499999999999998</v>
      </c>
      <c r="N773" s="297">
        <v>0.98333333333333339</v>
      </c>
      <c r="O773" s="19">
        <f>(Table6[[#This Row],[Work Start TimeStamp]]-Table6[[#This Row],[Fault Start TimeStamp]])*24</f>
        <v>0</v>
      </c>
      <c r="P773" s="19">
        <f>(Table6[[#This Row],[Fault Clearance time]]-Table6[[#This Row],[Fault Start TimeStamp]])*24</f>
        <v>0.20000000000000195</v>
      </c>
      <c r="Q773" s="19">
        <f>(Table6[[#This Row],[Fault Clearance time]]-Table6[[#This Row],[Fault Start TimeStamp]])*24</f>
        <v>0.20000000000000195</v>
      </c>
      <c r="R773" s="79" t="s">
        <v>353</v>
      </c>
      <c r="S773" s="79" t="s">
        <v>339</v>
      </c>
      <c r="T773" s="298">
        <f>IFERROR(Table6[[#This Row],[Breakdown Time]]*Table6[[#This Row],[Plant Equivalent Weightage]],"")</f>
        <v>4.5454545454545903E-3</v>
      </c>
      <c r="U773" s="79" t="s">
        <v>421</v>
      </c>
      <c r="W773" s="79">
        <v>144</v>
      </c>
    </row>
    <row r="774" spans="1:23">
      <c r="A774" s="79">
        <f t="shared" si="12"/>
        <v>773</v>
      </c>
      <c r="B774" s="79">
        <f>YEAR(Table6[[#This Row],[Date]])+IF(MONTH(Table6[[#This Row],[Date]])&gt;=4,1,0)</f>
        <v>2026</v>
      </c>
      <c r="C774" s="79">
        <f>YEAR(Table6[[#This Row],[Date]])</f>
        <v>2025</v>
      </c>
      <c r="D774" s="79" t="s">
        <v>344</v>
      </c>
      <c r="E774" s="284">
        <f>Table6[[#This Row],[Date]]-DAY(Table6[[#This Row],[Date]])+1</f>
        <v>45809</v>
      </c>
      <c r="F774" s="285">
        <v>45810</v>
      </c>
      <c r="G774" s="79" t="s">
        <v>86</v>
      </c>
      <c r="H774" s="79" t="str">
        <f>IFERROR(_xlfn.XLOOKUP(Table6[[#This Row],[Affected Feeder ]],'Basic Data'!$A:$A,'Basic Data'!$B:$B),"")</f>
        <v>PWEPL</v>
      </c>
      <c r="I774" s="79" t="str">
        <f>IFERROR(_xlfn.XLOOKUP(Table6[[#This Row],[Affected Feeder ]],'Basic Data'!$A:$A,'Basic Data'!$C:$C),"")</f>
        <v>MSEDCL</v>
      </c>
      <c r="J774" s="295">
        <f>IFERROR(_xlfn.XLOOKUP(Table6[[#This Row],[Affected Feeder ]],'Basic Data'!$A:$A,'Basic Data'!$E:$E),"")</f>
        <v>2.2727272727272728E-2</v>
      </c>
      <c r="K774" s="296" t="s">
        <v>171</v>
      </c>
      <c r="L774" s="297">
        <v>0.97499999999999998</v>
      </c>
      <c r="M774" s="297">
        <v>0.97499999999999998</v>
      </c>
      <c r="N774" s="297">
        <v>0.98263888888888884</v>
      </c>
      <c r="O774" s="19">
        <f>(Table6[[#This Row],[Work Start TimeStamp]]-Table6[[#This Row],[Fault Start TimeStamp]])*24</f>
        <v>0</v>
      </c>
      <c r="P774" s="19">
        <f>(Table6[[#This Row],[Fault Clearance time]]-Table6[[#This Row],[Fault Start TimeStamp]])*24</f>
        <v>0.18333333333333268</v>
      </c>
      <c r="Q774" s="19">
        <f>(Table6[[#This Row],[Fault Clearance time]]-Table6[[#This Row],[Fault Start TimeStamp]])*24</f>
        <v>0.18333333333333268</v>
      </c>
      <c r="R774" s="79" t="s">
        <v>353</v>
      </c>
      <c r="S774" s="79" t="s">
        <v>339</v>
      </c>
      <c r="T774" s="298">
        <f>IFERROR(Table6[[#This Row],[Breakdown Time]]*Table6[[#This Row],[Plant Equivalent Weightage]],"")</f>
        <v>4.1666666666666519E-3</v>
      </c>
      <c r="U774" s="79" t="s">
        <v>421</v>
      </c>
      <c r="W774" s="79">
        <v>132</v>
      </c>
    </row>
    <row r="775" spans="1:23">
      <c r="A775" s="79">
        <f t="shared" si="12"/>
        <v>774</v>
      </c>
      <c r="B775" s="79">
        <f>YEAR(Table6[[#This Row],[Date]])+IF(MONTH(Table6[[#This Row],[Date]])&gt;=4,1,0)</f>
        <v>2026</v>
      </c>
      <c r="C775" s="79">
        <f>YEAR(Table6[[#This Row],[Date]])</f>
        <v>2025</v>
      </c>
      <c r="D775" s="79" t="s">
        <v>344</v>
      </c>
      <c r="E775" s="284">
        <f>Table6[[#This Row],[Date]]-DAY(Table6[[#This Row],[Date]])+1</f>
        <v>45809</v>
      </c>
      <c r="F775" s="285">
        <v>45810</v>
      </c>
      <c r="G775" s="79" t="s">
        <v>87</v>
      </c>
      <c r="H775" s="79" t="str">
        <f>IFERROR(_xlfn.XLOOKUP(Table6[[#This Row],[Affected Feeder ]],'Basic Data'!$A:$A,'Basic Data'!$B:$B),"")</f>
        <v>PWEPL</v>
      </c>
      <c r="I775" s="79" t="str">
        <f>IFERROR(_xlfn.XLOOKUP(Table6[[#This Row],[Affected Feeder ]],'Basic Data'!$A:$A,'Basic Data'!$C:$C),"")</f>
        <v>MSEDCL</v>
      </c>
      <c r="J775" s="295">
        <f>IFERROR(_xlfn.XLOOKUP(Table6[[#This Row],[Affected Feeder ]],'Basic Data'!$A:$A,'Basic Data'!$E:$E),"")</f>
        <v>2.2727272727272728E-2</v>
      </c>
      <c r="K775" s="296" t="s">
        <v>171</v>
      </c>
      <c r="L775" s="297">
        <v>0.97499999999999998</v>
      </c>
      <c r="M775" s="297">
        <v>0.97499999999999998</v>
      </c>
      <c r="N775" s="297">
        <v>0.98541666666666661</v>
      </c>
      <c r="O775" s="19">
        <f>(Table6[[#This Row],[Work Start TimeStamp]]-Table6[[#This Row],[Fault Start TimeStamp]])*24</f>
        <v>0</v>
      </c>
      <c r="P775" s="19">
        <f>(Table6[[#This Row],[Fault Clearance time]]-Table6[[#This Row],[Fault Start TimeStamp]])*24</f>
        <v>0.24999999999999911</v>
      </c>
      <c r="Q775" s="19">
        <f>(Table6[[#This Row],[Fault Clearance time]]-Table6[[#This Row],[Fault Start TimeStamp]])*24</f>
        <v>0.24999999999999911</v>
      </c>
      <c r="R775" s="79" t="s">
        <v>353</v>
      </c>
      <c r="S775" s="79" t="s">
        <v>339</v>
      </c>
      <c r="T775" s="298">
        <f>IFERROR(Table6[[#This Row],[Breakdown Time]]*Table6[[#This Row],[Plant Equivalent Weightage]],"")</f>
        <v>5.681818181818162E-3</v>
      </c>
      <c r="U775" s="79" t="s">
        <v>421</v>
      </c>
      <c r="W775" s="79">
        <v>180</v>
      </c>
    </row>
    <row r="776" spans="1:23">
      <c r="A776" s="79">
        <f t="shared" si="12"/>
        <v>775</v>
      </c>
      <c r="B776" s="79">
        <f>YEAR(Table6[[#This Row],[Date]])+IF(MONTH(Table6[[#This Row],[Date]])&gt;=4,1,0)</f>
        <v>2026</v>
      </c>
      <c r="C776" s="79">
        <f>YEAR(Table6[[#This Row],[Date]])</f>
        <v>2025</v>
      </c>
      <c r="D776" s="79" t="s">
        <v>344</v>
      </c>
      <c r="E776" s="284">
        <f>Table6[[#This Row],[Date]]-DAY(Table6[[#This Row],[Date]])+1</f>
        <v>45809</v>
      </c>
      <c r="F776" s="285">
        <v>45810</v>
      </c>
      <c r="G776" s="79" t="s">
        <v>88</v>
      </c>
      <c r="H776" s="79" t="str">
        <f>IFERROR(_xlfn.XLOOKUP(Table6[[#This Row],[Affected Feeder ]],'Basic Data'!$A:$A,'Basic Data'!$B:$B),"")</f>
        <v>PWEPL</v>
      </c>
      <c r="I776" s="79" t="str">
        <f>IFERROR(_xlfn.XLOOKUP(Table6[[#This Row],[Affected Feeder ]],'Basic Data'!$A:$A,'Basic Data'!$C:$C),"")</f>
        <v>MSEDCL</v>
      </c>
      <c r="J776" s="295">
        <f>IFERROR(_xlfn.XLOOKUP(Table6[[#This Row],[Affected Feeder ]],'Basic Data'!$A:$A,'Basic Data'!$E:$E),"")</f>
        <v>2.2727272727272728E-2</v>
      </c>
      <c r="K776" s="296" t="s">
        <v>171</v>
      </c>
      <c r="L776" s="297">
        <v>0.97499999999999998</v>
      </c>
      <c r="M776" s="297">
        <v>0.97499999999999998</v>
      </c>
      <c r="N776" s="297">
        <v>0.98263888888888884</v>
      </c>
      <c r="O776" s="19">
        <f>(Table6[[#This Row],[Work Start TimeStamp]]-Table6[[#This Row],[Fault Start TimeStamp]])*24</f>
        <v>0</v>
      </c>
      <c r="P776" s="19">
        <f>(Table6[[#This Row],[Fault Clearance time]]-Table6[[#This Row],[Fault Start TimeStamp]])*24</f>
        <v>0.18333333333333268</v>
      </c>
      <c r="Q776" s="19">
        <f>(Table6[[#This Row],[Fault Clearance time]]-Table6[[#This Row],[Fault Start TimeStamp]])*24</f>
        <v>0.18333333333333268</v>
      </c>
      <c r="R776" s="79" t="s">
        <v>353</v>
      </c>
      <c r="S776" s="79" t="s">
        <v>339</v>
      </c>
      <c r="T776" s="298">
        <f>IFERROR(Table6[[#This Row],[Breakdown Time]]*Table6[[#This Row],[Plant Equivalent Weightage]],"")</f>
        <v>4.1666666666666519E-3</v>
      </c>
      <c r="U776" s="79" t="s">
        <v>421</v>
      </c>
      <c r="W776" s="79">
        <v>132</v>
      </c>
    </row>
    <row r="777" spans="1:23">
      <c r="A777" s="79">
        <f t="shared" si="12"/>
        <v>776</v>
      </c>
      <c r="B777" s="79">
        <f>YEAR(Table6[[#This Row],[Date]])+IF(MONTH(Table6[[#This Row],[Date]])&gt;=4,1,0)</f>
        <v>2026</v>
      </c>
      <c r="C777" s="79">
        <f>YEAR(Table6[[#This Row],[Date]])</f>
        <v>2025</v>
      </c>
      <c r="D777" s="79" t="s">
        <v>344</v>
      </c>
      <c r="E777" s="284">
        <f>Table6[[#This Row],[Date]]-DAY(Table6[[#This Row],[Date]])+1</f>
        <v>45809</v>
      </c>
      <c r="F777" s="285">
        <v>45810</v>
      </c>
      <c r="G777" s="79" t="s">
        <v>83</v>
      </c>
      <c r="H777" s="79" t="str">
        <f>IFERROR(_xlfn.XLOOKUP(Table6[[#This Row],[Affected Feeder ]],'Basic Data'!$A:$A,'Basic Data'!$B:$B),"")</f>
        <v>PWEPL</v>
      </c>
      <c r="I777" s="79" t="str">
        <f>IFERROR(_xlfn.XLOOKUP(Table6[[#This Row],[Affected Feeder ]],'Basic Data'!$A:$A,'Basic Data'!$C:$C),"")</f>
        <v>MSEDCL</v>
      </c>
      <c r="J777" s="295">
        <f>IFERROR(_xlfn.XLOOKUP(Table6[[#This Row],[Affected Feeder ]],'Basic Data'!$A:$A,'Basic Data'!$E:$E),"")</f>
        <v>2.2727272727272728E-2</v>
      </c>
      <c r="K777" s="296" t="s">
        <v>171</v>
      </c>
      <c r="L777" s="297">
        <v>0.97499999999999998</v>
      </c>
      <c r="M777" s="297">
        <v>0.97499999999999998</v>
      </c>
      <c r="N777" s="297">
        <v>0.97916666666666663</v>
      </c>
      <c r="O777" s="19">
        <f>(Table6[[#This Row],[Work Start TimeStamp]]-Table6[[#This Row],[Fault Start TimeStamp]])*24</f>
        <v>0</v>
      </c>
      <c r="P777" s="19">
        <f>(Table6[[#This Row],[Fault Clearance time]]-Table6[[#This Row],[Fault Start TimeStamp]])*24</f>
        <v>9.9999999999999645E-2</v>
      </c>
      <c r="Q777" s="19">
        <f>(Table6[[#This Row],[Fault Clearance time]]-Table6[[#This Row],[Fault Start TimeStamp]])*24</f>
        <v>9.9999999999999645E-2</v>
      </c>
      <c r="R777" s="79" t="s">
        <v>353</v>
      </c>
      <c r="S777" s="79" t="s">
        <v>339</v>
      </c>
      <c r="T777" s="298">
        <f>IFERROR(Table6[[#This Row],[Breakdown Time]]*Table6[[#This Row],[Plant Equivalent Weightage]],"")</f>
        <v>2.2727272727272648E-3</v>
      </c>
      <c r="U777" s="79" t="s">
        <v>421</v>
      </c>
      <c r="W777" s="79">
        <v>72</v>
      </c>
    </row>
    <row r="778" spans="1:23">
      <c r="A778" s="79">
        <f t="shared" si="12"/>
        <v>777</v>
      </c>
      <c r="B778" s="79">
        <f>YEAR(Table6[[#This Row],[Date]])+IF(MONTH(Table6[[#This Row],[Date]])&gt;=4,1,0)</f>
        <v>2026</v>
      </c>
      <c r="C778" s="79">
        <f>YEAR(Table6[[#This Row],[Date]])</f>
        <v>2025</v>
      </c>
      <c r="D778" s="79" t="s">
        <v>344</v>
      </c>
      <c r="E778" s="284">
        <f>Table6[[#This Row],[Date]]-DAY(Table6[[#This Row],[Date]])+1</f>
        <v>45809</v>
      </c>
      <c r="F778" s="285">
        <v>45810</v>
      </c>
      <c r="G778" s="79" t="s">
        <v>98</v>
      </c>
      <c r="H778" s="79" t="str">
        <f>IFERROR(_xlfn.XLOOKUP(Table6[[#This Row],[Affected Feeder ]],'Basic Data'!$A:$A,'Basic Data'!$B:$B),"")</f>
        <v>PWEPL</v>
      </c>
      <c r="I778" s="79" t="str">
        <f>IFERROR(_xlfn.XLOOKUP(Table6[[#This Row],[Affected Feeder ]],'Basic Data'!$A:$A,'Basic Data'!$C:$C),"")</f>
        <v>MSEDCL</v>
      </c>
      <c r="J778" s="295">
        <f>IFERROR(_xlfn.XLOOKUP(Table6[[#This Row],[Affected Feeder ]],'Basic Data'!$A:$A,'Basic Data'!$E:$E),"")</f>
        <v>2.2727272727272728E-2</v>
      </c>
      <c r="K778" s="296" t="s">
        <v>171</v>
      </c>
      <c r="L778" s="297">
        <v>0.97499999999999998</v>
      </c>
      <c r="M778" s="297">
        <v>0.97499999999999998</v>
      </c>
      <c r="N778" s="297">
        <v>0.9784722222222223</v>
      </c>
      <c r="O778" s="19">
        <f>(Table6[[#This Row],[Work Start TimeStamp]]-Table6[[#This Row],[Fault Start TimeStamp]])*24</f>
        <v>0</v>
      </c>
      <c r="P778" s="19">
        <f>(Table6[[#This Row],[Fault Clearance time]]-Table6[[#This Row],[Fault Start TimeStamp]])*24</f>
        <v>8.3333333333335702E-2</v>
      </c>
      <c r="Q778" s="19">
        <f>(Table6[[#This Row],[Fault Clearance time]]-Table6[[#This Row],[Fault Start TimeStamp]])*24</f>
        <v>8.3333333333335702E-2</v>
      </c>
      <c r="R778" s="79" t="s">
        <v>353</v>
      </c>
      <c r="S778" s="79" t="s">
        <v>339</v>
      </c>
      <c r="T778" s="298">
        <f>IFERROR(Table6[[#This Row],[Breakdown Time]]*Table6[[#This Row],[Plant Equivalent Weightage]],"")</f>
        <v>1.8939393939394478E-3</v>
      </c>
      <c r="U778" s="79" t="s">
        <v>421</v>
      </c>
      <c r="W778" s="79">
        <v>60</v>
      </c>
    </row>
    <row r="779" spans="1:23">
      <c r="A779" s="79">
        <f t="shared" si="12"/>
        <v>778</v>
      </c>
      <c r="B779" s="79">
        <f>YEAR(Table6[[#This Row],[Date]])+IF(MONTH(Table6[[#This Row],[Date]])&gt;=4,1,0)</f>
        <v>2026</v>
      </c>
      <c r="C779" s="79">
        <f>YEAR(Table6[[#This Row],[Date]])</f>
        <v>2025</v>
      </c>
      <c r="D779" s="79" t="s">
        <v>344</v>
      </c>
      <c r="E779" s="284">
        <f>Table6[[#This Row],[Date]]-DAY(Table6[[#This Row],[Date]])+1</f>
        <v>45809</v>
      </c>
      <c r="F779" s="285">
        <v>45810</v>
      </c>
      <c r="G779" s="79" t="s">
        <v>99</v>
      </c>
      <c r="H779" s="79" t="str">
        <f>IFERROR(_xlfn.XLOOKUP(Table6[[#This Row],[Affected Feeder ]],'Basic Data'!$A:$A,'Basic Data'!$B:$B),"")</f>
        <v>PWEPL</v>
      </c>
      <c r="I779" s="79" t="str">
        <f>IFERROR(_xlfn.XLOOKUP(Table6[[#This Row],[Affected Feeder ]],'Basic Data'!$A:$A,'Basic Data'!$C:$C),"")</f>
        <v>MSEDCL</v>
      </c>
      <c r="J779" s="295">
        <f>IFERROR(_xlfn.XLOOKUP(Table6[[#This Row],[Affected Feeder ]],'Basic Data'!$A:$A,'Basic Data'!$E:$E),"")</f>
        <v>2.2727272727272728E-2</v>
      </c>
      <c r="K779" s="296" t="s">
        <v>171</v>
      </c>
      <c r="L779" s="297">
        <v>0.97499999999999998</v>
      </c>
      <c r="M779" s="297">
        <v>0.97499999999999998</v>
      </c>
      <c r="N779" s="297">
        <v>0.99930555555555556</v>
      </c>
      <c r="O779" s="19">
        <f>(Table6[[#This Row],[Work Start TimeStamp]]-Table6[[#This Row],[Fault Start TimeStamp]])*24</f>
        <v>0</v>
      </c>
      <c r="P779" s="19">
        <f>(Table6[[#This Row],[Fault Clearance time]]-Table6[[#This Row],[Fault Start TimeStamp]])*24</f>
        <v>0.58333333333333393</v>
      </c>
      <c r="Q779" s="19">
        <f>(Table6[[#This Row],[Fault Clearance time]]-Table6[[#This Row],[Fault Start TimeStamp]])*24</f>
        <v>0.58333333333333393</v>
      </c>
      <c r="R779" s="79" t="s">
        <v>353</v>
      </c>
      <c r="S779" s="79" t="s">
        <v>339</v>
      </c>
      <c r="T779" s="298">
        <f>IFERROR(Table6[[#This Row],[Breakdown Time]]*Table6[[#This Row],[Plant Equivalent Weightage]],"")</f>
        <v>1.3257575757575772E-2</v>
      </c>
      <c r="U779" s="79" t="s">
        <v>421</v>
      </c>
      <c r="W779" s="79">
        <v>60</v>
      </c>
    </row>
    <row r="780" spans="1:23">
      <c r="A780" s="79">
        <f t="shared" si="12"/>
        <v>779</v>
      </c>
      <c r="B780" s="79">
        <f>YEAR(Table6[[#This Row],[Date]])+IF(MONTH(Table6[[#This Row],[Date]])&gt;=4,1,0)</f>
        <v>2026</v>
      </c>
      <c r="C780" s="79">
        <f>YEAR(Table6[[#This Row],[Date]])</f>
        <v>2025</v>
      </c>
      <c r="D780" s="79" t="s">
        <v>344</v>
      </c>
      <c r="E780" s="284">
        <f>Table6[[#This Row],[Date]]-DAY(Table6[[#This Row],[Date]])+1</f>
        <v>45809</v>
      </c>
      <c r="F780" s="285">
        <v>45810</v>
      </c>
      <c r="G780" s="79" t="s">
        <v>100</v>
      </c>
      <c r="H780" s="79" t="str">
        <f>IFERROR(_xlfn.XLOOKUP(Table6[[#This Row],[Affected Feeder ]],'Basic Data'!$A:$A,'Basic Data'!$B:$B),"")</f>
        <v>PWEPL</v>
      </c>
      <c r="I780" s="79" t="str">
        <f>IFERROR(_xlfn.XLOOKUP(Table6[[#This Row],[Affected Feeder ]],'Basic Data'!$A:$A,'Basic Data'!$C:$C),"")</f>
        <v>MSEDCL</v>
      </c>
      <c r="J780" s="295">
        <f>IFERROR(_xlfn.XLOOKUP(Table6[[#This Row],[Affected Feeder ]],'Basic Data'!$A:$A,'Basic Data'!$E:$E),"")</f>
        <v>2.2727272727272728E-2</v>
      </c>
      <c r="K780" s="296" t="s">
        <v>171</v>
      </c>
      <c r="L780" s="297">
        <v>0.97499999999999998</v>
      </c>
      <c r="M780" s="297">
        <v>0.97499999999999998</v>
      </c>
      <c r="N780" s="297">
        <v>0.97916666666666663</v>
      </c>
      <c r="O780" s="19">
        <f>(Table6[[#This Row],[Work Start TimeStamp]]-Table6[[#This Row],[Fault Start TimeStamp]])*24</f>
        <v>0</v>
      </c>
      <c r="P780" s="19">
        <f>(Table6[[#This Row],[Fault Clearance time]]-Table6[[#This Row],[Fault Start TimeStamp]])*24</f>
        <v>9.9999999999999645E-2</v>
      </c>
      <c r="Q780" s="19">
        <f>(Table6[[#This Row],[Fault Clearance time]]-Table6[[#This Row],[Fault Start TimeStamp]])*24</f>
        <v>9.9999999999999645E-2</v>
      </c>
      <c r="R780" s="79" t="s">
        <v>353</v>
      </c>
      <c r="S780" s="79" t="s">
        <v>339</v>
      </c>
      <c r="T780" s="298">
        <f>IFERROR(Table6[[#This Row],[Breakdown Time]]*Table6[[#This Row],[Plant Equivalent Weightage]],"")</f>
        <v>2.2727272727272648E-3</v>
      </c>
      <c r="U780" s="79" t="s">
        <v>421</v>
      </c>
      <c r="W780" s="79">
        <v>72</v>
      </c>
    </row>
    <row r="781" spans="1:23">
      <c r="A781" s="79">
        <f t="shared" si="12"/>
        <v>780</v>
      </c>
      <c r="B781" s="79">
        <f>YEAR(Table6[[#This Row],[Date]])+IF(MONTH(Table6[[#This Row],[Date]])&gt;=4,1,0)</f>
        <v>2026</v>
      </c>
      <c r="C781" s="79">
        <f>YEAR(Table6[[#This Row],[Date]])</f>
        <v>2025</v>
      </c>
      <c r="D781" s="79" t="s">
        <v>344</v>
      </c>
      <c r="E781" s="284">
        <f>Table6[[#This Row],[Date]]-DAY(Table6[[#This Row],[Date]])+1</f>
        <v>45809</v>
      </c>
      <c r="F781" s="285">
        <v>45810</v>
      </c>
      <c r="G781" s="79" t="s">
        <v>101</v>
      </c>
      <c r="H781" s="79" t="str">
        <f>IFERROR(_xlfn.XLOOKUP(Table6[[#This Row],[Affected Feeder ]],'Basic Data'!$A:$A,'Basic Data'!$B:$B),"")</f>
        <v>PWEPL</v>
      </c>
      <c r="I781" s="79" t="str">
        <f>IFERROR(_xlfn.XLOOKUP(Table6[[#This Row],[Affected Feeder ]],'Basic Data'!$A:$A,'Basic Data'!$C:$C),"")</f>
        <v>MSEDCL</v>
      </c>
      <c r="J781" s="295">
        <f>IFERROR(_xlfn.XLOOKUP(Table6[[#This Row],[Affected Feeder ]],'Basic Data'!$A:$A,'Basic Data'!$E:$E),"")</f>
        <v>2.2727272727272728E-2</v>
      </c>
      <c r="K781" s="296" t="s">
        <v>171</v>
      </c>
      <c r="L781" s="297">
        <v>0.97499999999999998</v>
      </c>
      <c r="M781" s="297">
        <v>0.97499999999999998</v>
      </c>
      <c r="N781" s="297">
        <v>0.98888888888888893</v>
      </c>
      <c r="O781" s="19">
        <f>(Table6[[#This Row],[Work Start TimeStamp]]-Table6[[#This Row],[Fault Start TimeStamp]])*24</f>
        <v>0</v>
      </c>
      <c r="P781" s="19">
        <f>(Table6[[#This Row],[Fault Clearance time]]-Table6[[#This Row],[Fault Start TimeStamp]])*24</f>
        <v>0.33333333333333481</v>
      </c>
      <c r="Q781" s="19">
        <f>(Table6[[#This Row],[Fault Clearance time]]-Table6[[#This Row],[Fault Start TimeStamp]])*24</f>
        <v>0.33333333333333481</v>
      </c>
      <c r="R781" s="79" t="s">
        <v>353</v>
      </c>
      <c r="S781" s="79" t="s">
        <v>339</v>
      </c>
      <c r="T781" s="298">
        <f>IFERROR(Table6[[#This Row],[Breakdown Time]]*Table6[[#This Row],[Plant Equivalent Weightage]],"")</f>
        <v>7.5757575757576098E-3</v>
      </c>
      <c r="U781" s="79" t="s">
        <v>421</v>
      </c>
      <c r="W781" s="79">
        <v>240</v>
      </c>
    </row>
    <row r="782" spans="1:23">
      <c r="A782" s="79">
        <f t="shared" si="12"/>
        <v>781</v>
      </c>
      <c r="B782" s="79">
        <f>YEAR(Table6[[#This Row],[Date]])+IF(MONTH(Table6[[#This Row],[Date]])&gt;=4,1,0)</f>
        <v>2026</v>
      </c>
      <c r="C782" s="79">
        <f>YEAR(Table6[[#This Row],[Date]])</f>
        <v>2025</v>
      </c>
      <c r="D782" s="79" t="s">
        <v>344</v>
      </c>
      <c r="E782" s="284">
        <f>Table6[[#This Row],[Date]]-DAY(Table6[[#This Row],[Date]])+1</f>
        <v>45809</v>
      </c>
      <c r="F782" s="285">
        <v>45810</v>
      </c>
      <c r="G782" s="79" t="s">
        <v>112</v>
      </c>
      <c r="H782" s="79" t="str">
        <f>IFERROR(_xlfn.XLOOKUP(Table6[[#This Row],[Affected Feeder ]],'Basic Data'!$A:$A,'Basic Data'!$B:$B),"")</f>
        <v>PWEPL</v>
      </c>
      <c r="I782" s="79" t="str">
        <f>IFERROR(_xlfn.XLOOKUP(Table6[[#This Row],[Affected Feeder ]],'Basic Data'!$A:$A,'Basic Data'!$C:$C),"")</f>
        <v>MSEDCL</v>
      </c>
      <c r="J782" s="295">
        <f>IFERROR(_xlfn.XLOOKUP(Table6[[#This Row],[Affected Feeder ]],'Basic Data'!$A:$A,'Basic Data'!$E:$E),"")</f>
        <v>2.2727272727272728E-2</v>
      </c>
      <c r="K782" s="296" t="s">
        <v>796</v>
      </c>
      <c r="L782" s="297">
        <v>0.79166666666666663</v>
      </c>
      <c r="M782" s="297">
        <v>0.79166666666666663</v>
      </c>
      <c r="N782" s="297">
        <v>0.83333333333333337</v>
      </c>
      <c r="O782" s="19">
        <f>(Table6[[#This Row],[Work Start TimeStamp]]-Table6[[#This Row],[Fault Start TimeStamp]])*24</f>
        <v>0</v>
      </c>
      <c r="P782" s="19">
        <f>(Table6[[#This Row],[Fault Clearance time]]-Table6[[#This Row],[Fault Start TimeStamp]])*24</f>
        <v>1.0000000000000018</v>
      </c>
      <c r="Q782" s="19">
        <f>(Table6[[#This Row],[Fault Clearance time]]-Table6[[#This Row],[Fault Start TimeStamp]])*24</f>
        <v>1.0000000000000018</v>
      </c>
      <c r="R782" s="79" t="s">
        <v>424</v>
      </c>
      <c r="S782" s="79" t="s">
        <v>339</v>
      </c>
      <c r="T782" s="298">
        <f>IFERROR(Table6[[#This Row],[Breakdown Time]]*Table6[[#This Row],[Plant Equivalent Weightage]],"")</f>
        <v>2.272727272727277E-2</v>
      </c>
      <c r="U782" s="79" t="s">
        <v>421</v>
      </c>
      <c r="W782" s="79">
        <v>966</v>
      </c>
    </row>
    <row r="783" spans="1:23">
      <c r="A783" s="79">
        <f t="shared" si="12"/>
        <v>782</v>
      </c>
      <c r="B783" s="79">
        <f>YEAR(Table6[[#This Row],[Date]])+IF(MONTH(Table6[[#This Row],[Date]])&gt;=4,1,0)</f>
        <v>2026</v>
      </c>
      <c r="C783" s="79">
        <f>YEAR(Table6[[#This Row],[Date]])</f>
        <v>2025</v>
      </c>
      <c r="D783" s="79" t="s">
        <v>344</v>
      </c>
      <c r="E783" s="284">
        <f>Table6[[#This Row],[Date]]-DAY(Table6[[#This Row],[Date]])+1</f>
        <v>45809</v>
      </c>
      <c r="F783" s="285">
        <v>45810</v>
      </c>
      <c r="G783" s="79" t="s">
        <v>112</v>
      </c>
      <c r="H783" s="79" t="str">
        <f>IFERROR(_xlfn.XLOOKUP(Table6[[#This Row],[Affected Feeder ]],'Basic Data'!$A:$A,'Basic Data'!$B:$B),"")</f>
        <v>PWEPL</v>
      </c>
      <c r="I783" s="79" t="str">
        <f>IFERROR(_xlfn.XLOOKUP(Table6[[#This Row],[Affected Feeder ]],'Basic Data'!$A:$A,'Basic Data'!$C:$C),"")</f>
        <v>MSEDCL</v>
      </c>
      <c r="J783" s="295">
        <f>IFERROR(_xlfn.XLOOKUP(Table6[[#This Row],[Affected Feeder ]],'Basic Data'!$A:$A,'Basic Data'!$E:$E),"")</f>
        <v>2.2727272727272728E-2</v>
      </c>
      <c r="K783" s="296" t="s">
        <v>171</v>
      </c>
      <c r="L783" s="297">
        <v>0.83333333333333337</v>
      </c>
      <c r="M783" s="297">
        <v>0.83333333333333337</v>
      </c>
      <c r="N783" s="297">
        <v>0.84722222222222221</v>
      </c>
      <c r="O783" s="19">
        <f>(Table6[[#This Row],[Work Start TimeStamp]]-Table6[[#This Row],[Fault Start TimeStamp]])*24</f>
        <v>0</v>
      </c>
      <c r="P783" s="19">
        <f>(Table6[[#This Row],[Fault Clearance time]]-Table6[[#This Row],[Fault Start TimeStamp]])*24</f>
        <v>0.33333333333333215</v>
      </c>
      <c r="Q783" s="19">
        <f>(Table6[[#This Row],[Fault Clearance time]]-Table6[[#This Row],[Fault Start TimeStamp]])*24</f>
        <v>0.33333333333333215</v>
      </c>
      <c r="R783" s="79" t="s">
        <v>353</v>
      </c>
      <c r="S783" s="79" t="s">
        <v>339</v>
      </c>
      <c r="T783" s="298">
        <f>IFERROR(Table6[[#This Row],[Breakdown Time]]*Table6[[#This Row],[Plant Equivalent Weightage]],"")</f>
        <v>7.5757575757575491E-3</v>
      </c>
      <c r="U783" s="79" t="s">
        <v>421</v>
      </c>
      <c r="W783" s="79">
        <v>482</v>
      </c>
    </row>
    <row r="784" spans="1:23">
      <c r="A784" s="79">
        <f t="shared" si="12"/>
        <v>783</v>
      </c>
      <c r="B784" s="79">
        <f>YEAR(Table6[[#This Row],[Date]])+IF(MONTH(Table6[[#This Row],[Date]])&gt;=4,1,0)</f>
        <v>2026</v>
      </c>
      <c r="C784" s="79">
        <f>YEAR(Table6[[#This Row],[Date]])</f>
        <v>2025</v>
      </c>
      <c r="D784" s="79" t="s">
        <v>344</v>
      </c>
      <c r="E784" s="284">
        <f>Table6[[#This Row],[Date]]-DAY(Table6[[#This Row],[Date]])+1</f>
        <v>45809</v>
      </c>
      <c r="F784" s="285">
        <v>45811</v>
      </c>
      <c r="G784" s="79" t="s">
        <v>85</v>
      </c>
      <c r="H784" s="79" t="str">
        <f>IFERROR(_xlfn.XLOOKUP(Table6[[#This Row],[Affected Feeder ]],'Basic Data'!$A:$A,'Basic Data'!$B:$B),"")</f>
        <v>PWEPL</v>
      </c>
      <c r="I784" s="79" t="str">
        <f>IFERROR(_xlfn.XLOOKUP(Table6[[#This Row],[Affected Feeder ]],'Basic Data'!$A:$A,'Basic Data'!$C:$C),"")</f>
        <v>MSEDCL</v>
      </c>
      <c r="J784" s="295">
        <f>IFERROR(_xlfn.XLOOKUP(Table6[[#This Row],[Affected Feeder ]],'Basic Data'!$A:$A,'Basic Data'!$E:$E),"")</f>
        <v>2.2727272727272728E-2</v>
      </c>
      <c r="K784" s="296" t="s">
        <v>875</v>
      </c>
      <c r="L784" s="297">
        <v>0.56874999999999998</v>
      </c>
      <c r="M784" s="297">
        <v>0.56874999999999998</v>
      </c>
      <c r="N784" s="297">
        <v>0.60416666666666663</v>
      </c>
      <c r="O784" s="19">
        <f>(Table6[[#This Row],[Work Start TimeStamp]]-Table6[[#This Row],[Fault Start TimeStamp]])*24</f>
        <v>0</v>
      </c>
      <c r="P784" s="19">
        <f>(Table6[[#This Row],[Fault Clearance time]]-Table6[[#This Row],[Fault Start TimeStamp]])*24</f>
        <v>0.84999999999999964</v>
      </c>
      <c r="Q784" s="19">
        <f>(Table6[[#This Row],[Fault Clearance time]]-Table6[[#This Row],[Fault Start TimeStamp]])*24</f>
        <v>0.84999999999999964</v>
      </c>
      <c r="R784" s="79" t="s">
        <v>877</v>
      </c>
      <c r="S784" s="79" t="s">
        <v>339</v>
      </c>
      <c r="T784" s="298">
        <f>IFERROR(Table6[[#This Row],[Breakdown Time]]*Table6[[#This Row],[Plant Equivalent Weightage]],"")</f>
        <v>1.9318181818181811E-2</v>
      </c>
      <c r="U784" s="79" t="s">
        <v>416</v>
      </c>
      <c r="W784" s="79">
        <v>641</v>
      </c>
    </row>
    <row r="785" spans="1:23">
      <c r="A785" s="79">
        <f t="shared" si="12"/>
        <v>784</v>
      </c>
      <c r="B785" s="79">
        <f>YEAR(Table6[[#This Row],[Date]])+IF(MONTH(Table6[[#This Row],[Date]])&gt;=4,1,0)</f>
        <v>2026</v>
      </c>
      <c r="C785" s="79">
        <f>YEAR(Table6[[#This Row],[Date]])</f>
        <v>2025</v>
      </c>
      <c r="D785" s="79" t="s">
        <v>344</v>
      </c>
      <c r="E785" s="284">
        <f>Table6[[#This Row],[Date]]-DAY(Table6[[#This Row],[Date]])+1</f>
        <v>45809</v>
      </c>
      <c r="F785" s="285">
        <v>45811</v>
      </c>
      <c r="G785" s="79" t="s">
        <v>85</v>
      </c>
      <c r="H785" s="79" t="str">
        <f>IFERROR(_xlfn.XLOOKUP(Table6[[#This Row],[Affected Feeder ]],'Basic Data'!$A:$A,'Basic Data'!$B:$B),"")</f>
        <v>PWEPL</v>
      </c>
      <c r="I785" s="79" t="str">
        <f>IFERROR(_xlfn.XLOOKUP(Table6[[#This Row],[Affected Feeder ]],'Basic Data'!$A:$A,'Basic Data'!$C:$C),"")</f>
        <v>MSEDCL</v>
      </c>
      <c r="J785" s="295">
        <f>IFERROR(_xlfn.XLOOKUP(Table6[[#This Row],[Affected Feeder ]],'Basic Data'!$A:$A,'Basic Data'!$E:$E),"")</f>
        <v>2.2727272727272728E-2</v>
      </c>
      <c r="K785" s="296" t="s">
        <v>171</v>
      </c>
      <c r="L785" s="297">
        <v>0.60416666666666663</v>
      </c>
      <c r="M785" s="297">
        <v>0.60416666666666663</v>
      </c>
      <c r="N785" s="297">
        <v>0.61805555555555558</v>
      </c>
      <c r="O785" s="19">
        <f>(Table6[[#This Row],[Work Start TimeStamp]]-Table6[[#This Row],[Fault Start TimeStamp]])*24</f>
        <v>0</v>
      </c>
      <c r="P785" s="19">
        <f>(Table6[[#This Row],[Fault Clearance time]]-Table6[[#This Row],[Fault Start TimeStamp]])*24</f>
        <v>0.33333333333333481</v>
      </c>
      <c r="Q785" s="19">
        <f>(Table6[[#This Row],[Fault Clearance time]]-Table6[[#This Row],[Fault Start TimeStamp]])*24</f>
        <v>0.33333333333333481</v>
      </c>
      <c r="R785" s="79" t="s">
        <v>353</v>
      </c>
      <c r="S785" s="79" t="s">
        <v>339</v>
      </c>
      <c r="T785" s="298">
        <f>IFERROR(Table6[[#This Row],[Breakdown Time]]*Table6[[#This Row],[Plant Equivalent Weightage]],"")</f>
        <v>7.5757575757576098E-3</v>
      </c>
      <c r="U785" s="79" t="s">
        <v>416</v>
      </c>
      <c r="W785" s="79">
        <v>412</v>
      </c>
    </row>
    <row r="786" spans="1:23">
      <c r="A786" s="79">
        <f t="shared" si="12"/>
        <v>785</v>
      </c>
      <c r="B786" s="79">
        <f>YEAR(Table6[[#This Row],[Date]])+IF(MONTH(Table6[[#This Row],[Date]])&gt;=4,1,0)</f>
        <v>2026</v>
      </c>
      <c r="C786" s="79">
        <f>YEAR(Table6[[#This Row],[Date]])</f>
        <v>2025</v>
      </c>
      <c r="D786" s="79" t="s">
        <v>344</v>
      </c>
      <c r="E786" s="284">
        <f>Table6[[#This Row],[Date]]-DAY(Table6[[#This Row],[Date]])+1</f>
        <v>45809</v>
      </c>
      <c r="F786" s="285">
        <v>45811</v>
      </c>
      <c r="G786" s="79" t="s">
        <v>84</v>
      </c>
      <c r="H786" s="79" t="str">
        <f>IFERROR(_xlfn.XLOOKUP(Table6[[#This Row],[Affected Feeder ]],'Basic Data'!$A:$A,'Basic Data'!$B:$B),"")</f>
        <v>PWEPL</v>
      </c>
      <c r="I786" s="79" t="str">
        <f>IFERROR(_xlfn.XLOOKUP(Table6[[#This Row],[Affected Feeder ]],'Basic Data'!$A:$A,'Basic Data'!$C:$C),"")</f>
        <v>MSEDCL</v>
      </c>
      <c r="J786" s="295">
        <f>IFERROR(_xlfn.XLOOKUP(Table6[[#This Row],[Affected Feeder ]],'Basic Data'!$A:$A,'Basic Data'!$E:$E),"")</f>
        <v>2.2727272727272728E-2</v>
      </c>
      <c r="K786" s="296" t="s">
        <v>878</v>
      </c>
      <c r="L786" s="297">
        <v>0.61111111111111105</v>
      </c>
      <c r="M786" s="297">
        <v>0.61111111111111105</v>
      </c>
      <c r="N786" s="297">
        <v>0.64652777777777781</v>
      </c>
      <c r="O786" s="19">
        <f>(Table6[[#This Row],[Work Start TimeStamp]]-Table6[[#This Row],[Fault Start TimeStamp]])*24</f>
        <v>0</v>
      </c>
      <c r="P786" s="19">
        <f>(Table6[[#This Row],[Fault Clearance time]]-Table6[[#This Row],[Fault Start TimeStamp]])*24</f>
        <v>0.85000000000000231</v>
      </c>
      <c r="Q786" s="19">
        <f>(Table6[[#This Row],[Fault Clearance time]]-Table6[[#This Row],[Fault Start TimeStamp]])*24</f>
        <v>0.85000000000000231</v>
      </c>
      <c r="R786" s="79" t="s">
        <v>876</v>
      </c>
      <c r="S786" s="79" t="s">
        <v>339</v>
      </c>
      <c r="T786" s="298">
        <f>IFERROR(Table6[[#This Row],[Breakdown Time]]*Table6[[#This Row],[Plant Equivalent Weightage]],"")</f>
        <v>1.931818181818187E-2</v>
      </c>
      <c r="U786" s="79" t="s">
        <v>416</v>
      </c>
      <c r="W786" s="79">
        <v>381</v>
      </c>
    </row>
    <row r="787" spans="1:23">
      <c r="A787" s="79">
        <f t="shared" si="12"/>
        <v>786</v>
      </c>
      <c r="B787" s="79">
        <f>YEAR(Table6[[#This Row],[Date]])+IF(MONTH(Table6[[#This Row],[Date]])&gt;=4,1,0)</f>
        <v>2026</v>
      </c>
      <c r="C787" s="79">
        <f>YEAR(Table6[[#This Row],[Date]])</f>
        <v>2025</v>
      </c>
      <c r="D787" s="79" t="s">
        <v>344</v>
      </c>
      <c r="E787" s="284">
        <f>Table6[[#This Row],[Date]]-DAY(Table6[[#This Row],[Date]])+1</f>
        <v>45809</v>
      </c>
      <c r="F787" s="285">
        <v>45811</v>
      </c>
      <c r="G787" s="79" t="s">
        <v>84</v>
      </c>
      <c r="H787" s="79" t="str">
        <f>IFERROR(_xlfn.XLOOKUP(Table6[[#This Row],[Affected Feeder ]],'Basic Data'!$A:$A,'Basic Data'!$B:$B),"")</f>
        <v>PWEPL</v>
      </c>
      <c r="I787" s="79" t="str">
        <f>IFERROR(_xlfn.XLOOKUP(Table6[[#This Row],[Affected Feeder ]],'Basic Data'!$A:$A,'Basic Data'!$C:$C),"")</f>
        <v>MSEDCL</v>
      </c>
      <c r="J787" s="295">
        <f>IFERROR(_xlfn.XLOOKUP(Table6[[#This Row],[Affected Feeder ]],'Basic Data'!$A:$A,'Basic Data'!$E:$E),"")</f>
        <v>2.2727272727272728E-2</v>
      </c>
      <c r="K787" s="296" t="s">
        <v>171</v>
      </c>
      <c r="L787" s="297">
        <v>0.64652777777777781</v>
      </c>
      <c r="M787" s="297">
        <v>0.64652777777777781</v>
      </c>
      <c r="N787" s="297">
        <v>0.65763888888888888</v>
      </c>
      <c r="O787" s="19">
        <f>(Table6[[#This Row],[Work Start TimeStamp]]-Table6[[#This Row],[Fault Start TimeStamp]])*24</f>
        <v>0</v>
      </c>
      <c r="P787" s="19">
        <f>(Table6[[#This Row],[Fault Clearance time]]-Table6[[#This Row],[Fault Start TimeStamp]])*24</f>
        <v>0.26666666666666572</v>
      </c>
      <c r="Q787" s="19">
        <f>(Table6[[#This Row],[Fault Clearance time]]-Table6[[#This Row],[Fault Start TimeStamp]])*24</f>
        <v>0.26666666666666572</v>
      </c>
      <c r="R787" s="79" t="s">
        <v>353</v>
      </c>
      <c r="S787" s="79" t="s">
        <v>339</v>
      </c>
      <c r="T787" s="298">
        <f>IFERROR(Table6[[#This Row],[Breakdown Time]]*Table6[[#This Row],[Plant Equivalent Weightage]],"")</f>
        <v>6.0606060606060389E-3</v>
      </c>
      <c r="U787" s="79" t="s">
        <v>416</v>
      </c>
      <c r="W787" s="79">
        <v>174</v>
      </c>
    </row>
    <row r="788" spans="1:23">
      <c r="A788" s="79">
        <f t="shared" si="12"/>
        <v>787</v>
      </c>
      <c r="B788" s="79">
        <f>YEAR(Table6[[#This Row],[Date]])+IF(MONTH(Table6[[#This Row],[Date]])&gt;=4,1,0)</f>
        <v>2026</v>
      </c>
      <c r="C788" s="79">
        <f>YEAR(Table6[[#This Row],[Date]])</f>
        <v>2025</v>
      </c>
      <c r="D788" s="79" t="s">
        <v>344</v>
      </c>
      <c r="E788" s="284">
        <f>Table6[[#This Row],[Date]]-DAY(Table6[[#This Row],[Date]])+1</f>
        <v>45809</v>
      </c>
      <c r="F788" s="285">
        <v>45812</v>
      </c>
      <c r="G788" s="79" t="s">
        <v>86</v>
      </c>
      <c r="H788" s="79" t="str">
        <f>IFERROR(_xlfn.XLOOKUP(Table6[[#This Row],[Affected Feeder ]],'Basic Data'!$A:$A,'Basic Data'!$B:$B),"")</f>
        <v>PWEPL</v>
      </c>
      <c r="I788" s="79" t="str">
        <f>IFERROR(_xlfn.XLOOKUP(Table6[[#This Row],[Affected Feeder ]],'Basic Data'!$A:$A,'Basic Data'!$C:$C),"")</f>
        <v>MSEDCL</v>
      </c>
      <c r="J788" s="295">
        <f>IFERROR(_xlfn.XLOOKUP(Table6[[#This Row],[Affected Feeder ]],'Basic Data'!$A:$A,'Basic Data'!$E:$E),"")</f>
        <v>2.2727272727272728E-2</v>
      </c>
      <c r="K788" s="296" t="s">
        <v>880</v>
      </c>
      <c r="L788" s="297">
        <v>0.49791666666666662</v>
      </c>
      <c r="M788" s="297">
        <v>0.49791666666666662</v>
      </c>
      <c r="N788" s="297">
        <v>0.55833333333333335</v>
      </c>
      <c r="O788" s="19">
        <f>(Table6[[#This Row],[Work Start TimeStamp]]-Table6[[#This Row],[Fault Start TimeStamp]])*24</f>
        <v>0</v>
      </c>
      <c r="P788" s="19">
        <f>(Table6[[#This Row],[Fault Clearance time]]-Table6[[#This Row],[Fault Start TimeStamp]])*24</f>
        <v>1.4500000000000015</v>
      </c>
      <c r="Q788" s="19">
        <f>(Table6[[#This Row],[Fault Clearance time]]-Table6[[#This Row],[Fault Start TimeStamp]])*24</f>
        <v>1.4500000000000015</v>
      </c>
      <c r="R788" s="79" t="s">
        <v>877</v>
      </c>
      <c r="S788" s="79" t="s">
        <v>339</v>
      </c>
      <c r="T788" s="298">
        <f>IFERROR(Table6[[#This Row],[Breakdown Time]]*Table6[[#This Row],[Plant Equivalent Weightage]],"")</f>
        <v>3.2954545454545486E-2</v>
      </c>
      <c r="U788" s="79" t="s">
        <v>416</v>
      </c>
      <c r="W788" s="79">
        <v>172</v>
      </c>
    </row>
    <row r="789" spans="1:23">
      <c r="A789" s="79">
        <f t="shared" si="12"/>
        <v>788</v>
      </c>
      <c r="B789" s="79">
        <f>YEAR(Table6[[#This Row],[Date]])+IF(MONTH(Table6[[#This Row],[Date]])&gt;=4,1,0)</f>
        <v>2026</v>
      </c>
      <c r="C789" s="79">
        <f>YEAR(Table6[[#This Row],[Date]])</f>
        <v>2025</v>
      </c>
      <c r="D789" s="79" t="s">
        <v>344</v>
      </c>
      <c r="E789" s="284">
        <f>Table6[[#This Row],[Date]]-DAY(Table6[[#This Row],[Date]])+1</f>
        <v>45809</v>
      </c>
      <c r="F789" s="285">
        <v>45812</v>
      </c>
      <c r="G789" s="79" t="s">
        <v>86</v>
      </c>
      <c r="H789" s="79" t="str">
        <f>IFERROR(_xlfn.XLOOKUP(Table6[[#This Row],[Affected Feeder ]],'Basic Data'!$A:$A,'Basic Data'!$B:$B),"")</f>
        <v>PWEPL</v>
      </c>
      <c r="I789" s="79" t="str">
        <f>IFERROR(_xlfn.XLOOKUP(Table6[[#This Row],[Affected Feeder ]],'Basic Data'!$A:$A,'Basic Data'!$C:$C),"")</f>
        <v>MSEDCL</v>
      </c>
      <c r="J789" s="295">
        <f>IFERROR(_xlfn.XLOOKUP(Table6[[#This Row],[Affected Feeder ]],'Basic Data'!$A:$A,'Basic Data'!$E:$E),"")</f>
        <v>2.2727272727272728E-2</v>
      </c>
      <c r="K789" s="296" t="s">
        <v>171</v>
      </c>
      <c r="L789" s="297">
        <v>0.55833333333333335</v>
      </c>
      <c r="M789" s="297">
        <v>0.55833333333333335</v>
      </c>
      <c r="N789" s="297">
        <v>0.56874999999999998</v>
      </c>
      <c r="O789" s="19">
        <f>(Table6[[#This Row],[Work Start TimeStamp]]-Table6[[#This Row],[Fault Start TimeStamp]])*24</f>
        <v>0</v>
      </c>
      <c r="P789" s="19">
        <f>(Table6[[#This Row],[Fault Clearance time]]-Table6[[#This Row],[Fault Start TimeStamp]])*24</f>
        <v>0.24999999999999911</v>
      </c>
      <c r="Q789" s="19">
        <f>(Table6[[#This Row],[Fault Clearance time]]-Table6[[#This Row],[Fault Start TimeStamp]])*24</f>
        <v>0.24999999999999911</v>
      </c>
      <c r="R789" s="79" t="s">
        <v>353</v>
      </c>
      <c r="S789" s="79" t="s">
        <v>339</v>
      </c>
      <c r="T789" s="298">
        <f>IFERROR(Table6[[#This Row],[Breakdown Time]]*Table6[[#This Row],[Plant Equivalent Weightage]],"")</f>
        <v>5.681818181818162E-3</v>
      </c>
      <c r="U789" s="79" t="s">
        <v>416</v>
      </c>
      <c r="W789" s="79">
        <v>35</v>
      </c>
    </row>
    <row r="790" spans="1:23">
      <c r="A790" s="79">
        <f t="shared" si="12"/>
        <v>789</v>
      </c>
      <c r="B790" s="79">
        <f>YEAR(Table6[[#This Row],[Date]])+IF(MONTH(Table6[[#This Row],[Date]])&gt;=4,1,0)</f>
        <v>2026</v>
      </c>
      <c r="C790" s="79">
        <f>YEAR(Table6[[#This Row],[Date]])</f>
        <v>2025</v>
      </c>
      <c r="D790" s="79" t="s">
        <v>344</v>
      </c>
      <c r="E790" s="284">
        <f>Table6[[#This Row],[Date]]-DAY(Table6[[#This Row],[Date]])+1</f>
        <v>45809</v>
      </c>
      <c r="F790" s="285">
        <v>45813</v>
      </c>
      <c r="G790" s="79" t="s">
        <v>76</v>
      </c>
      <c r="H790" s="79" t="str">
        <f>IFERROR(_xlfn.XLOOKUP(Table6[[#This Row],[Affected Feeder ]],'Basic Data'!$A:$A,'Basic Data'!$B:$B),"")</f>
        <v>PWEPL</v>
      </c>
      <c r="I790" s="79" t="str">
        <f>IFERROR(_xlfn.XLOOKUP(Table6[[#This Row],[Affected Feeder ]],'Basic Data'!$A:$A,'Basic Data'!$C:$C),"")</f>
        <v>MSEDCL</v>
      </c>
      <c r="J790" s="295">
        <f>IFERROR(_xlfn.XLOOKUP(Table6[[#This Row],[Affected Feeder ]],'Basic Data'!$A:$A,'Basic Data'!$E:$E),"")</f>
        <v>2.2727272727272728E-2</v>
      </c>
      <c r="K790" s="296" t="s">
        <v>878</v>
      </c>
      <c r="L790" s="297">
        <v>0.47222222222222227</v>
      </c>
      <c r="M790" s="297">
        <v>0.47222222222222227</v>
      </c>
      <c r="N790" s="297">
        <v>0.50763888888888886</v>
      </c>
      <c r="O790" s="19">
        <f>(Table6[[#This Row],[Work Start TimeStamp]]-Table6[[#This Row],[Fault Start TimeStamp]])*24</f>
        <v>0</v>
      </c>
      <c r="P790" s="19">
        <f>(Table6[[#This Row],[Fault Clearance time]]-Table6[[#This Row],[Fault Start TimeStamp]])*24</f>
        <v>0.84999999999999831</v>
      </c>
      <c r="Q790" s="19">
        <f>(Table6[[#This Row],[Fault Clearance time]]-Table6[[#This Row],[Fault Start TimeStamp]])*24</f>
        <v>0.84999999999999831</v>
      </c>
      <c r="R790" s="79" t="s">
        <v>876</v>
      </c>
      <c r="S790" s="79" t="s">
        <v>339</v>
      </c>
      <c r="T790" s="298">
        <f>IFERROR(Table6[[#This Row],[Breakdown Time]]*Table6[[#This Row],[Plant Equivalent Weightage]],"")</f>
        <v>1.931818181818178E-2</v>
      </c>
      <c r="U790" s="79" t="s">
        <v>416</v>
      </c>
      <c r="W790" s="79">
        <v>83</v>
      </c>
    </row>
    <row r="791" spans="1:23">
      <c r="A791" s="79">
        <f t="shared" si="12"/>
        <v>790</v>
      </c>
      <c r="B791" s="79">
        <f>YEAR(Table6[[#This Row],[Date]])+IF(MONTH(Table6[[#This Row],[Date]])&gt;=4,1,0)</f>
        <v>2026</v>
      </c>
      <c r="C791" s="79">
        <f>YEAR(Table6[[#This Row],[Date]])</f>
        <v>2025</v>
      </c>
      <c r="D791" s="79" t="s">
        <v>344</v>
      </c>
      <c r="E791" s="284">
        <f>Table6[[#This Row],[Date]]-DAY(Table6[[#This Row],[Date]])+1</f>
        <v>45809</v>
      </c>
      <c r="F791" s="285">
        <v>45813</v>
      </c>
      <c r="G791" s="79" t="s">
        <v>76</v>
      </c>
      <c r="H791" s="79" t="str">
        <f>IFERROR(_xlfn.XLOOKUP(Table6[[#This Row],[Affected Feeder ]],'Basic Data'!$A:$A,'Basic Data'!$B:$B),"")</f>
        <v>PWEPL</v>
      </c>
      <c r="I791" s="79" t="str">
        <f>IFERROR(_xlfn.XLOOKUP(Table6[[#This Row],[Affected Feeder ]],'Basic Data'!$A:$A,'Basic Data'!$C:$C),"")</f>
        <v>MSEDCL</v>
      </c>
      <c r="J791" s="295">
        <f>IFERROR(_xlfn.XLOOKUP(Table6[[#This Row],[Affected Feeder ]],'Basic Data'!$A:$A,'Basic Data'!$E:$E),"")</f>
        <v>2.2727272727272728E-2</v>
      </c>
      <c r="K791" s="296" t="s">
        <v>171</v>
      </c>
      <c r="L791" s="297">
        <v>0.50763888888888886</v>
      </c>
      <c r="M791" s="297">
        <v>0.50763888888888886</v>
      </c>
      <c r="N791" s="297">
        <v>0.51250000000000007</v>
      </c>
      <c r="O791" s="19">
        <f>(Table6[[#This Row],[Work Start TimeStamp]]-Table6[[#This Row],[Fault Start TimeStamp]])*24</f>
        <v>0</v>
      </c>
      <c r="P791" s="19">
        <f>(Table6[[#This Row],[Fault Clearance time]]-Table6[[#This Row],[Fault Start TimeStamp]])*24</f>
        <v>0.11666666666666892</v>
      </c>
      <c r="Q791" s="19">
        <f>(Table6[[#This Row],[Fault Clearance time]]-Table6[[#This Row],[Fault Start TimeStamp]])*24</f>
        <v>0.11666666666666892</v>
      </c>
      <c r="R791" s="79" t="s">
        <v>353</v>
      </c>
      <c r="S791" s="79" t="s">
        <v>339</v>
      </c>
      <c r="T791" s="298">
        <f>IFERROR(Table6[[#This Row],[Breakdown Time]]*Table6[[#This Row],[Plant Equivalent Weightage]],"")</f>
        <v>2.6515151515152028E-3</v>
      </c>
      <c r="U791" s="79" t="s">
        <v>416</v>
      </c>
      <c r="W791" s="79">
        <v>15</v>
      </c>
    </row>
    <row r="792" spans="1:23">
      <c r="A792" s="79">
        <f t="shared" si="12"/>
        <v>791</v>
      </c>
      <c r="B792" s="79">
        <f>YEAR(Table6[[#This Row],[Date]])+IF(MONTH(Table6[[#This Row],[Date]])&gt;=4,1,0)</f>
        <v>2026</v>
      </c>
      <c r="C792" s="79">
        <f>YEAR(Table6[[#This Row],[Date]])</f>
        <v>2025</v>
      </c>
      <c r="D792" s="79" t="s">
        <v>344</v>
      </c>
      <c r="E792" s="284">
        <f>Table6[[#This Row],[Date]]-DAY(Table6[[#This Row],[Date]])+1</f>
        <v>45809</v>
      </c>
      <c r="F792" s="285">
        <v>45813</v>
      </c>
      <c r="G792" s="79" t="s">
        <v>81</v>
      </c>
      <c r="H792" s="79" t="str">
        <f>IFERROR(_xlfn.XLOOKUP(Table6[[#This Row],[Affected Feeder ]],'Basic Data'!$A:$A,'Basic Data'!$B:$B),"")</f>
        <v>PWEPL</v>
      </c>
      <c r="I792" s="79" t="str">
        <f>IFERROR(_xlfn.XLOOKUP(Table6[[#This Row],[Affected Feeder ]],'Basic Data'!$A:$A,'Basic Data'!$C:$C),"")</f>
        <v>MSEDCL</v>
      </c>
      <c r="J792" s="295">
        <f>IFERROR(_xlfn.XLOOKUP(Table6[[#This Row],[Affected Feeder ]],'Basic Data'!$A:$A,'Basic Data'!$E:$E),"")</f>
        <v>2.2727272727272728E-2</v>
      </c>
      <c r="K792" s="296" t="s">
        <v>886</v>
      </c>
      <c r="L792" s="297">
        <v>0.5229166666666667</v>
      </c>
      <c r="M792" s="297">
        <v>0.5229166666666667</v>
      </c>
      <c r="N792" s="297">
        <v>0.54791666666666672</v>
      </c>
      <c r="O792" s="19">
        <f>(Table6[[#This Row],[Work Start TimeStamp]]-Table6[[#This Row],[Fault Start TimeStamp]])*24</f>
        <v>0</v>
      </c>
      <c r="P792" s="19">
        <f>(Table6[[#This Row],[Fault Clearance time]]-Table6[[#This Row],[Fault Start TimeStamp]])*24</f>
        <v>0.60000000000000053</v>
      </c>
      <c r="Q792" s="19">
        <f>(Table6[[#This Row],[Fault Clearance time]]-Table6[[#This Row],[Fault Start TimeStamp]])*24</f>
        <v>0.60000000000000053</v>
      </c>
      <c r="R792" s="79" t="s">
        <v>876</v>
      </c>
      <c r="S792" s="79" t="s">
        <v>339</v>
      </c>
      <c r="T792" s="298">
        <f>IFERROR(Table6[[#This Row],[Breakdown Time]]*Table6[[#This Row],[Plant Equivalent Weightage]],"")</f>
        <v>1.363636363636365E-2</v>
      </c>
      <c r="U792" s="79" t="s">
        <v>416</v>
      </c>
      <c r="W792" s="79">
        <v>219</v>
      </c>
    </row>
    <row r="793" spans="1:23">
      <c r="A793" s="79">
        <f t="shared" si="12"/>
        <v>792</v>
      </c>
      <c r="B793" s="79">
        <f>YEAR(Table6[[#This Row],[Date]])+IF(MONTH(Table6[[#This Row],[Date]])&gt;=4,1,0)</f>
        <v>2026</v>
      </c>
      <c r="C793" s="79">
        <f>YEAR(Table6[[#This Row],[Date]])</f>
        <v>2025</v>
      </c>
      <c r="D793" s="79" t="s">
        <v>344</v>
      </c>
      <c r="E793" s="284">
        <f>Table6[[#This Row],[Date]]-DAY(Table6[[#This Row],[Date]])+1</f>
        <v>45809</v>
      </c>
      <c r="F793" s="285">
        <v>45813</v>
      </c>
      <c r="G793" s="79" t="s">
        <v>81</v>
      </c>
      <c r="H793" s="79" t="str">
        <f>IFERROR(_xlfn.XLOOKUP(Table6[[#This Row],[Affected Feeder ]],'Basic Data'!$A:$A,'Basic Data'!$B:$B),"")</f>
        <v>PWEPL</v>
      </c>
      <c r="I793" s="79" t="str">
        <f>IFERROR(_xlfn.XLOOKUP(Table6[[#This Row],[Affected Feeder ]],'Basic Data'!$A:$A,'Basic Data'!$C:$C),"")</f>
        <v>MSEDCL</v>
      </c>
      <c r="J793" s="295">
        <f>IFERROR(_xlfn.XLOOKUP(Table6[[#This Row],[Affected Feeder ]],'Basic Data'!$A:$A,'Basic Data'!$E:$E),"")</f>
        <v>2.2727272727272728E-2</v>
      </c>
      <c r="K793" s="296" t="s">
        <v>171</v>
      </c>
      <c r="L793" s="297">
        <v>0.54791666666666672</v>
      </c>
      <c r="M793" s="297">
        <v>0.54791666666666672</v>
      </c>
      <c r="N793" s="297">
        <v>0.55486111111111114</v>
      </c>
      <c r="O793" s="19">
        <f>(Table6[[#This Row],[Work Start TimeStamp]]-Table6[[#This Row],[Fault Start TimeStamp]])*24</f>
        <v>0</v>
      </c>
      <c r="P793" s="19">
        <f>(Table6[[#This Row],[Fault Clearance time]]-Table6[[#This Row],[Fault Start TimeStamp]])*24</f>
        <v>0.16666666666666607</v>
      </c>
      <c r="Q793" s="19">
        <f>(Table6[[#This Row],[Fault Clearance time]]-Table6[[#This Row],[Fault Start TimeStamp]])*24</f>
        <v>0.16666666666666607</v>
      </c>
      <c r="R793" s="79" t="s">
        <v>353</v>
      </c>
      <c r="S793" s="79" t="s">
        <v>339</v>
      </c>
      <c r="T793" s="298">
        <f>IFERROR(Table6[[#This Row],[Breakdown Time]]*Table6[[#This Row],[Plant Equivalent Weightage]],"")</f>
        <v>3.7878787878787745E-3</v>
      </c>
      <c r="U793" s="79" t="s">
        <v>416</v>
      </c>
      <c r="W793" s="79">
        <v>83</v>
      </c>
    </row>
    <row r="794" spans="1:23">
      <c r="A794" s="79">
        <f t="shared" si="12"/>
        <v>793</v>
      </c>
      <c r="B794" s="79">
        <f>YEAR(Table6[[#This Row],[Date]])+IF(MONTH(Table6[[#This Row],[Date]])&gt;=4,1,0)</f>
        <v>2026</v>
      </c>
      <c r="C794" s="79">
        <f>YEAR(Table6[[#This Row],[Date]])</f>
        <v>2025</v>
      </c>
      <c r="D794" s="79" t="s">
        <v>344</v>
      </c>
      <c r="E794" s="284">
        <f>Table6[[#This Row],[Date]]-DAY(Table6[[#This Row],[Date]])+1</f>
        <v>45809</v>
      </c>
      <c r="F794" s="285">
        <v>45813</v>
      </c>
      <c r="G794" s="79" t="s">
        <v>405</v>
      </c>
      <c r="H794" s="79" t="str">
        <f>IFERROR(_xlfn.XLOOKUP(Table6[[#This Row],[Affected Feeder ]],'Basic Data'!$A:$A,'Basic Data'!$B:$B),"")</f>
        <v>PWEPL</v>
      </c>
      <c r="I794" s="79" t="str">
        <f>IFERROR(_xlfn.XLOOKUP(Table6[[#This Row],[Affected Feeder ]],'Basic Data'!$A:$A,'Basic Data'!$C:$C),"")</f>
        <v>MSEDCL</v>
      </c>
      <c r="J794" s="295">
        <f>IFERROR(_xlfn.XLOOKUP(Table6[[#This Row],[Affected Feeder ]],'Basic Data'!$A:$A,'Basic Data'!$E:$E),"")</f>
        <v>0.20454545454545453</v>
      </c>
      <c r="K794" s="296" t="s">
        <v>447</v>
      </c>
      <c r="L794" s="297">
        <v>0.69374999999999998</v>
      </c>
      <c r="M794" s="297">
        <v>0.69374999999999998</v>
      </c>
      <c r="N794" s="297">
        <v>0.70624999999999993</v>
      </c>
      <c r="O794" s="19">
        <f>(Table6[[#This Row],[Work Start TimeStamp]]-Table6[[#This Row],[Fault Start TimeStamp]])*24</f>
        <v>0</v>
      </c>
      <c r="P794" s="19">
        <f>(Table6[[#This Row],[Fault Clearance time]]-Table6[[#This Row],[Fault Start TimeStamp]])*24</f>
        <v>0.29999999999999893</v>
      </c>
      <c r="Q794" s="19">
        <f>(Table6[[#This Row],[Fault Clearance time]]-Table6[[#This Row],[Fault Start TimeStamp]])*24</f>
        <v>0.29999999999999893</v>
      </c>
      <c r="R794" s="79" t="s">
        <v>420</v>
      </c>
      <c r="S794" s="79" t="s">
        <v>339</v>
      </c>
      <c r="T794" s="298">
        <f>IFERROR(Table6[[#This Row],[Breakdown Time]]*Table6[[#This Row],[Plant Equivalent Weightage]],"")</f>
        <v>6.1363636363636141E-2</v>
      </c>
      <c r="U794" s="79" t="s">
        <v>421</v>
      </c>
      <c r="W794" s="79">
        <v>1647</v>
      </c>
    </row>
    <row r="795" spans="1:23">
      <c r="A795" s="79">
        <f t="shared" si="12"/>
        <v>794</v>
      </c>
      <c r="B795" s="79">
        <f>YEAR(Table6[[#This Row],[Date]])+IF(MONTH(Table6[[#This Row],[Date]])&gt;=4,1,0)</f>
        <v>2026</v>
      </c>
      <c r="C795" s="79">
        <f>YEAR(Table6[[#This Row],[Date]])</f>
        <v>2025</v>
      </c>
      <c r="D795" s="79" t="s">
        <v>344</v>
      </c>
      <c r="E795" s="284">
        <f>Table6[[#This Row],[Date]]-DAY(Table6[[#This Row],[Date]])+1</f>
        <v>45809</v>
      </c>
      <c r="F795" s="285">
        <v>45813</v>
      </c>
      <c r="G795" s="79" t="s">
        <v>109</v>
      </c>
      <c r="H795" s="79" t="str">
        <f>IFERROR(_xlfn.XLOOKUP(Table6[[#This Row],[Affected Feeder ]],'Basic Data'!$A:$A,'Basic Data'!$B:$B),"")</f>
        <v>PWEPL</v>
      </c>
      <c r="I795" s="79" t="str">
        <f>IFERROR(_xlfn.XLOOKUP(Table6[[#This Row],[Affected Feeder ]],'Basic Data'!$A:$A,'Basic Data'!$C:$C),"")</f>
        <v>MSEDCL</v>
      </c>
      <c r="J795" s="295">
        <f>IFERROR(_xlfn.XLOOKUP(Table6[[#This Row],[Affected Feeder ]],'Basic Data'!$A:$A,'Basic Data'!$E:$E),"")</f>
        <v>2.2727272727272728E-2</v>
      </c>
      <c r="K795" s="296" t="s">
        <v>171</v>
      </c>
      <c r="L795" s="297">
        <v>0.70624999999999993</v>
      </c>
      <c r="M795" s="297">
        <v>0.70624999999999993</v>
      </c>
      <c r="N795" s="297">
        <v>0.71597222222222223</v>
      </c>
      <c r="O795" s="19">
        <f>(Table6[[#This Row],[Work Start TimeStamp]]-Table6[[#This Row],[Fault Start TimeStamp]])*24</f>
        <v>0</v>
      </c>
      <c r="P795" s="19">
        <f>(Table6[[#This Row],[Fault Clearance time]]-Table6[[#This Row],[Fault Start TimeStamp]])*24</f>
        <v>0.23333333333333517</v>
      </c>
      <c r="Q795" s="19">
        <f>(Table6[[#This Row],[Fault Clearance time]]-Table6[[#This Row],[Fault Start TimeStamp]])*24</f>
        <v>0.23333333333333517</v>
      </c>
      <c r="R795" s="79" t="s">
        <v>353</v>
      </c>
      <c r="S795" s="79" t="s">
        <v>339</v>
      </c>
      <c r="T795" s="298">
        <f>IFERROR(Table6[[#This Row],[Breakdown Time]]*Table6[[#This Row],[Plant Equivalent Weightage]],"")</f>
        <v>5.303030303030345E-3</v>
      </c>
      <c r="U795" s="79" t="s">
        <v>421</v>
      </c>
      <c r="W795" s="79">
        <v>142</v>
      </c>
    </row>
    <row r="796" spans="1:23">
      <c r="A796" s="79">
        <f t="shared" si="12"/>
        <v>795</v>
      </c>
      <c r="B796" s="79">
        <f>YEAR(Table6[[#This Row],[Date]])+IF(MONTH(Table6[[#This Row],[Date]])&gt;=4,1,0)</f>
        <v>2026</v>
      </c>
      <c r="C796" s="79">
        <f>YEAR(Table6[[#This Row],[Date]])</f>
        <v>2025</v>
      </c>
      <c r="D796" s="79" t="s">
        <v>344</v>
      </c>
      <c r="E796" s="284">
        <f>Table6[[#This Row],[Date]]-DAY(Table6[[#This Row],[Date]])+1</f>
        <v>45809</v>
      </c>
      <c r="F796" s="285">
        <v>45813</v>
      </c>
      <c r="G796" s="79" t="s">
        <v>111</v>
      </c>
      <c r="H796" s="79" t="str">
        <f>IFERROR(_xlfn.XLOOKUP(Table6[[#This Row],[Affected Feeder ]],'Basic Data'!$A:$A,'Basic Data'!$B:$B),"")</f>
        <v>PWEPL</v>
      </c>
      <c r="I796" s="79" t="str">
        <f>IFERROR(_xlfn.XLOOKUP(Table6[[#This Row],[Affected Feeder ]],'Basic Data'!$A:$A,'Basic Data'!$C:$C),"")</f>
        <v>MSEDCL</v>
      </c>
      <c r="J796" s="295">
        <f>IFERROR(_xlfn.XLOOKUP(Table6[[#This Row],[Affected Feeder ]],'Basic Data'!$A:$A,'Basic Data'!$E:$E),"")</f>
        <v>2.2727272727272728E-2</v>
      </c>
      <c r="K796" s="296" t="s">
        <v>171</v>
      </c>
      <c r="L796" s="297">
        <v>0.70624999999999993</v>
      </c>
      <c r="M796" s="297">
        <v>0.70624999999999993</v>
      </c>
      <c r="N796" s="297">
        <v>0.71597222222222223</v>
      </c>
      <c r="O796" s="19">
        <f>(Table6[[#This Row],[Work Start TimeStamp]]-Table6[[#This Row],[Fault Start TimeStamp]])*24</f>
        <v>0</v>
      </c>
      <c r="P796" s="19">
        <f>(Table6[[#This Row],[Fault Clearance time]]-Table6[[#This Row],[Fault Start TimeStamp]])*24</f>
        <v>0.23333333333333517</v>
      </c>
      <c r="Q796" s="19">
        <f>(Table6[[#This Row],[Fault Clearance time]]-Table6[[#This Row],[Fault Start TimeStamp]])*24</f>
        <v>0.23333333333333517</v>
      </c>
      <c r="R796" s="79" t="s">
        <v>353</v>
      </c>
      <c r="S796" s="79" t="s">
        <v>339</v>
      </c>
      <c r="T796" s="298">
        <f>IFERROR(Table6[[#This Row],[Breakdown Time]]*Table6[[#This Row],[Plant Equivalent Weightage]],"")</f>
        <v>5.303030303030345E-3</v>
      </c>
      <c r="U796" s="79" t="s">
        <v>421</v>
      </c>
      <c r="W796" s="79">
        <v>142</v>
      </c>
    </row>
    <row r="797" spans="1:23">
      <c r="A797" s="79">
        <f t="shared" si="12"/>
        <v>796</v>
      </c>
      <c r="B797" s="79">
        <f>YEAR(Table6[[#This Row],[Date]])+IF(MONTH(Table6[[#This Row],[Date]])&gt;=4,1,0)</f>
        <v>2026</v>
      </c>
      <c r="C797" s="79">
        <f>YEAR(Table6[[#This Row],[Date]])</f>
        <v>2025</v>
      </c>
      <c r="D797" s="79" t="s">
        <v>344</v>
      </c>
      <c r="E797" s="284">
        <f>Table6[[#This Row],[Date]]-DAY(Table6[[#This Row],[Date]])+1</f>
        <v>45809</v>
      </c>
      <c r="F797" s="285">
        <v>45813</v>
      </c>
      <c r="G797" s="79" t="s">
        <v>112</v>
      </c>
      <c r="H797" s="79" t="str">
        <f>IFERROR(_xlfn.XLOOKUP(Table6[[#This Row],[Affected Feeder ]],'Basic Data'!$A:$A,'Basic Data'!$B:$B),"")</f>
        <v>PWEPL</v>
      </c>
      <c r="I797" s="79" t="str">
        <f>IFERROR(_xlfn.XLOOKUP(Table6[[#This Row],[Affected Feeder ]],'Basic Data'!$A:$A,'Basic Data'!$C:$C),"")</f>
        <v>MSEDCL</v>
      </c>
      <c r="J797" s="295">
        <f>IFERROR(_xlfn.XLOOKUP(Table6[[#This Row],[Affected Feeder ]],'Basic Data'!$A:$A,'Basic Data'!$E:$E),"")</f>
        <v>2.2727272727272728E-2</v>
      </c>
      <c r="K797" s="296" t="s">
        <v>171</v>
      </c>
      <c r="L797" s="297">
        <v>0.70624999999999993</v>
      </c>
      <c r="M797" s="297">
        <v>0.70624999999999993</v>
      </c>
      <c r="N797" s="297">
        <v>0.71458333333333324</v>
      </c>
      <c r="O797" s="19">
        <f>(Table6[[#This Row],[Work Start TimeStamp]]-Table6[[#This Row],[Fault Start TimeStamp]])*24</f>
        <v>0</v>
      </c>
      <c r="P797" s="19">
        <f>(Table6[[#This Row],[Fault Clearance time]]-Table6[[#This Row],[Fault Start TimeStamp]])*24</f>
        <v>0.19999999999999929</v>
      </c>
      <c r="Q797" s="19">
        <f>(Table6[[#This Row],[Fault Clearance time]]-Table6[[#This Row],[Fault Start TimeStamp]])*24</f>
        <v>0.19999999999999929</v>
      </c>
      <c r="R797" s="79" t="s">
        <v>353</v>
      </c>
      <c r="S797" s="79" t="s">
        <v>339</v>
      </c>
      <c r="T797" s="298">
        <f>IFERROR(Table6[[#This Row],[Breakdown Time]]*Table6[[#This Row],[Plant Equivalent Weightage]],"")</f>
        <v>4.5454545454545296E-3</v>
      </c>
      <c r="U797" s="79" t="s">
        <v>421</v>
      </c>
      <c r="W797" s="79">
        <v>122</v>
      </c>
    </row>
    <row r="798" spans="1:23">
      <c r="A798" s="79">
        <f t="shared" si="12"/>
        <v>797</v>
      </c>
      <c r="B798" s="79">
        <f>YEAR(Table6[[#This Row],[Date]])+IF(MONTH(Table6[[#This Row],[Date]])&gt;=4,1,0)</f>
        <v>2026</v>
      </c>
      <c r="C798" s="79">
        <f>YEAR(Table6[[#This Row],[Date]])</f>
        <v>2025</v>
      </c>
      <c r="D798" s="79" t="s">
        <v>344</v>
      </c>
      <c r="E798" s="284">
        <f>Table6[[#This Row],[Date]]-DAY(Table6[[#This Row],[Date]])+1</f>
        <v>45809</v>
      </c>
      <c r="F798" s="285">
        <v>45813</v>
      </c>
      <c r="G798" s="79" t="s">
        <v>113</v>
      </c>
      <c r="H798" s="79" t="str">
        <f>IFERROR(_xlfn.XLOOKUP(Table6[[#This Row],[Affected Feeder ]],'Basic Data'!$A:$A,'Basic Data'!$B:$B),"")</f>
        <v>PWEPL</v>
      </c>
      <c r="I798" s="79" t="str">
        <f>IFERROR(_xlfn.XLOOKUP(Table6[[#This Row],[Affected Feeder ]],'Basic Data'!$A:$A,'Basic Data'!$C:$C),"")</f>
        <v>MSEDCL</v>
      </c>
      <c r="J798" s="295">
        <f>IFERROR(_xlfn.XLOOKUP(Table6[[#This Row],[Affected Feeder ]],'Basic Data'!$A:$A,'Basic Data'!$E:$E),"")</f>
        <v>2.2727272727272728E-2</v>
      </c>
      <c r="K798" s="296" t="s">
        <v>171</v>
      </c>
      <c r="L798" s="297">
        <v>0.70624999999999993</v>
      </c>
      <c r="M798" s="297">
        <v>0.70624999999999993</v>
      </c>
      <c r="N798" s="297">
        <v>0.71458333333333324</v>
      </c>
      <c r="O798" s="19">
        <f>(Table6[[#This Row],[Work Start TimeStamp]]-Table6[[#This Row],[Fault Start TimeStamp]])*24</f>
        <v>0</v>
      </c>
      <c r="P798" s="19">
        <f>(Table6[[#This Row],[Fault Clearance time]]-Table6[[#This Row],[Fault Start TimeStamp]])*24</f>
        <v>0.19999999999999929</v>
      </c>
      <c r="Q798" s="19">
        <f>(Table6[[#This Row],[Fault Clearance time]]-Table6[[#This Row],[Fault Start TimeStamp]])*24</f>
        <v>0.19999999999999929</v>
      </c>
      <c r="R798" s="79" t="s">
        <v>353</v>
      </c>
      <c r="S798" s="79" t="s">
        <v>339</v>
      </c>
      <c r="T798" s="298">
        <f>IFERROR(Table6[[#This Row],[Breakdown Time]]*Table6[[#This Row],[Plant Equivalent Weightage]],"")</f>
        <v>4.5454545454545296E-3</v>
      </c>
      <c r="U798" s="79" t="s">
        <v>421</v>
      </c>
      <c r="W798" s="79">
        <v>122</v>
      </c>
    </row>
    <row r="799" spans="1:23">
      <c r="A799" s="79">
        <f t="shared" si="12"/>
        <v>798</v>
      </c>
      <c r="B799" s="79">
        <f>YEAR(Table6[[#This Row],[Date]])+IF(MONTH(Table6[[#This Row],[Date]])&gt;=4,1,0)</f>
        <v>2026</v>
      </c>
      <c r="C799" s="79">
        <f>YEAR(Table6[[#This Row],[Date]])</f>
        <v>2025</v>
      </c>
      <c r="D799" s="79" t="s">
        <v>344</v>
      </c>
      <c r="E799" s="284">
        <f>Table6[[#This Row],[Date]]-DAY(Table6[[#This Row],[Date]])+1</f>
        <v>45809</v>
      </c>
      <c r="F799" s="285">
        <v>45813</v>
      </c>
      <c r="G799" s="79" t="s">
        <v>114</v>
      </c>
      <c r="H799" s="79" t="str">
        <f>IFERROR(_xlfn.XLOOKUP(Table6[[#This Row],[Affected Feeder ]],'Basic Data'!$A:$A,'Basic Data'!$B:$B),"")</f>
        <v>PWEPL</v>
      </c>
      <c r="I799" s="79" t="str">
        <f>IFERROR(_xlfn.XLOOKUP(Table6[[#This Row],[Affected Feeder ]],'Basic Data'!$A:$A,'Basic Data'!$C:$C),"")</f>
        <v>MSEDCL</v>
      </c>
      <c r="J799" s="295">
        <f>IFERROR(_xlfn.XLOOKUP(Table6[[#This Row],[Affected Feeder ]],'Basic Data'!$A:$A,'Basic Data'!$E:$E),"")</f>
        <v>2.2727272727272728E-2</v>
      </c>
      <c r="K799" s="296" t="s">
        <v>171</v>
      </c>
      <c r="L799" s="297">
        <v>0.70624999999999993</v>
      </c>
      <c r="M799" s="297">
        <v>0.70624999999999993</v>
      </c>
      <c r="N799" s="297">
        <v>0.71527777777777779</v>
      </c>
      <c r="O799" s="19">
        <f>(Table6[[#This Row],[Work Start TimeStamp]]-Table6[[#This Row],[Fault Start TimeStamp]])*24</f>
        <v>0</v>
      </c>
      <c r="P799" s="19">
        <f>(Table6[[#This Row],[Fault Clearance time]]-Table6[[#This Row],[Fault Start TimeStamp]])*24</f>
        <v>0.21666666666666856</v>
      </c>
      <c r="Q799" s="19">
        <f>(Table6[[#This Row],[Fault Clearance time]]-Table6[[#This Row],[Fault Start TimeStamp]])*24</f>
        <v>0.21666666666666856</v>
      </c>
      <c r="R799" s="79" t="s">
        <v>353</v>
      </c>
      <c r="S799" s="79" t="s">
        <v>339</v>
      </c>
      <c r="T799" s="298">
        <f>IFERROR(Table6[[#This Row],[Breakdown Time]]*Table6[[#This Row],[Plant Equivalent Weightage]],"")</f>
        <v>4.9242424242424672E-3</v>
      </c>
      <c r="U799" s="79" t="s">
        <v>421</v>
      </c>
      <c r="W799" s="79">
        <v>132</v>
      </c>
    </row>
    <row r="800" spans="1:23">
      <c r="A800" s="79">
        <f t="shared" si="12"/>
        <v>799</v>
      </c>
      <c r="B800" s="79">
        <f>YEAR(Table6[[#This Row],[Date]])+IF(MONTH(Table6[[#This Row],[Date]])&gt;=4,1,0)</f>
        <v>2026</v>
      </c>
      <c r="C800" s="79">
        <f>YEAR(Table6[[#This Row],[Date]])</f>
        <v>2025</v>
      </c>
      <c r="D800" s="79" t="s">
        <v>344</v>
      </c>
      <c r="E800" s="284">
        <f>Table6[[#This Row],[Date]]-DAY(Table6[[#This Row],[Date]])+1</f>
        <v>45809</v>
      </c>
      <c r="F800" s="285">
        <v>45813</v>
      </c>
      <c r="G800" s="79" t="s">
        <v>80</v>
      </c>
      <c r="H800" s="79" t="str">
        <f>IFERROR(_xlfn.XLOOKUP(Table6[[#This Row],[Affected Feeder ]],'Basic Data'!$A:$A,'Basic Data'!$B:$B),"")</f>
        <v>PWEPL</v>
      </c>
      <c r="I800" s="79" t="str">
        <f>IFERROR(_xlfn.XLOOKUP(Table6[[#This Row],[Affected Feeder ]],'Basic Data'!$A:$A,'Basic Data'!$C:$C),"")</f>
        <v>MSEDCL</v>
      </c>
      <c r="J800" s="295">
        <f>IFERROR(_xlfn.XLOOKUP(Table6[[#This Row],[Affected Feeder ]],'Basic Data'!$A:$A,'Basic Data'!$E:$E),"")</f>
        <v>2.2727272727272728E-2</v>
      </c>
      <c r="K800" s="296" t="s">
        <v>171</v>
      </c>
      <c r="L800" s="297">
        <v>0.70624999999999993</v>
      </c>
      <c r="M800" s="297">
        <v>0.70624999999999993</v>
      </c>
      <c r="N800" s="297">
        <v>0.71458333333333324</v>
      </c>
      <c r="O800" s="19">
        <f>(Table6[[#This Row],[Work Start TimeStamp]]-Table6[[#This Row],[Fault Start TimeStamp]])*24</f>
        <v>0</v>
      </c>
      <c r="P800" s="19">
        <f>(Table6[[#This Row],[Fault Clearance time]]-Table6[[#This Row],[Fault Start TimeStamp]])*24</f>
        <v>0.19999999999999929</v>
      </c>
      <c r="Q800" s="19">
        <f>(Table6[[#This Row],[Fault Clearance time]]-Table6[[#This Row],[Fault Start TimeStamp]])*24</f>
        <v>0.19999999999999929</v>
      </c>
      <c r="R800" s="79" t="s">
        <v>353</v>
      </c>
      <c r="S800" s="79" t="s">
        <v>339</v>
      </c>
      <c r="T800" s="298">
        <f>IFERROR(Table6[[#This Row],[Breakdown Time]]*Table6[[#This Row],[Plant Equivalent Weightage]],"")</f>
        <v>4.5454545454545296E-3</v>
      </c>
      <c r="U800" s="79" t="s">
        <v>421</v>
      </c>
      <c r="W800" s="79">
        <v>122</v>
      </c>
    </row>
    <row r="801" spans="1:23">
      <c r="A801" s="79">
        <f t="shared" si="12"/>
        <v>800</v>
      </c>
      <c r="B801" s="79">
        <f>YEAR(Table6[[#This Row],[Date]])+IF(MONTH(Table6[[#This Row],[Date]])&gt;=4,1,0)</f>
        <v>2026</v>
      </c>
      <c r="C801" s="79">
        <f>YEAR(Table6[[#This Row],[Date]])</f>
        <v>2025</v>
      </c>
      <c r="D801" s="79" t="s">
        <v>344</v>
      </c>
      <c r="E801" s="284">
        <f>Table6[[#This Row],[Date]]-DAY(Table6[[#This Row],[Date]])+1</f>
        <v>45809</v>
      </c>
      <c r="F801" s="285">
        <v>45813</v>
      </c>
      <c r="G801" s="79" t="s">
        <v>81</v>
      </c>
      <c r="H801" s="79" t="str">
        <f>IFERROR(_xlfn.XLOOKUP(Table6[[#This Row],[Affected Feeder ]],'Basic Data'!$A:$A,'Basic Data'!$B:$B),"")</f>
        <v>PWEPL</v>
      </c>
      <c r="I801" s="79" t="str">
        <f>IFERROR(_xlfn.XLOOKUP(Table6[[#This Row],[Affected Feeder ]],'Basic Data'!$A:$A,'Basic Data'!$C:$C),"")</f>
        <v>MSEDCL</v>
      </c>
      <c r="J801" s="295">
        <f>IFERROR(_xlfn.XLOOKUP(Table6[[#This Row],[Affected Feeder ]],'Basic Data'!$A:$A,'Basic Data'!$E:$E),"")</f>
        <v>2.2727272727272728E-2</v>
      </c>
      <c r="K801" s="296" t="s">
        <v>171</v>
      </c>
      <c r="L801" s="297">
        <v>0.70624999999999993</v>
      </c>
      <c r="M801" s="297">
        <v>0.70624999999999993</v>
      </c>
      <c r="N801" s="297">
        <v>0.71736111111111101</v>
      </c>
      <c r="O801" s="19">
        <f>(Table6[[#This Row],[Work Start TimeStamp]]-Table6[[#This Row],[Fault Start TimeStamp]])*24</f>
        <v>0</v>
      </c>
      <c r="P801" s="19">
        <f>(Table6[[#This Row],[Fault Clearance time]]-Table6[[#This Row],[Fault Start TimeStamp]])*24</f>
        <v>0.26666666666666572</v>
      </c>
      <c r="Q801" s="19">
        <f>(Table6[[#This Row],[Fault Clearance time]]-Table6[[#This Row],[Fault Start TimeStamp]])*24</f>
        <v>0.26666666666666572</v>
      </c>
      <c r="R801" s="79" t="s">
        <v>353</v>
      </c>
      <c r="S801" s="79" t="s">
        <v>339</v>
      </c>
      <c r="T801" s="298">
        <f>IFERROR(Table6[[#This Row],[Breakdown Time]]*Table6[[#This Row],[Plant Equivalent Weightage]],"")</f>
        <v>6.0606060606060389E-3</v>
      </c>
      <c r="U801" s="79" t="s">
        <v>421</v>
      </c>
      <c r="W801" s="79">
        <v>162</v>
      </c>
    </row>
    <row r="802" spans="1:23">
      <c r="A802" s="79">
        <f t="shared" si="12"/>
        <v>801</v>
      </c>
      <c r="B802" s="79">
        <f>YEAR(Table6[[#This Row],[Date]])+IF(MONTH(Table6[[#This Row],[Date]])&gt;=4,1,0)</f>
        <v>2026</v>
      </c>
      <c r="C802" s="79">
        <f>YEAR(Table6[[#This Row],[Date]])</f>
        <v>2025</v>
      </c>
      <c r="D802" s="79" t="s">
        <v>344</v>
      </c>
      <c r="E802" s="284">
        <f>Table6[[#This Row],[Date]]-DAY(Table6[[#This Row],[Date]])+1</f>
        <v>45809</v>
      </c>
      <c r="F802" s="285">
        <v>45813</v>
      </c>
      <c r="G802" s="79" t="s">
        <v>107</v>
      </c>
      <c r="H802" s="79" t="str">
        <f>IFERROR(_xlfn.XLOOKUP(Table6[[#This Row],[Affected Feeder ]],'Basic Data'!$A:$A,'Basic Data'!$B:$B),"")</f>
        <v>PWEPL</v>
      </c>
      <c r="I802" s="79" t="str">
        <f>IFERROR(_xlfn.XLOOKUP(Table6[[#This Row],[Affected Feeder ]],'Basic Data'!$A:$A,'Basic Data'!$C:$C),"")</f>
        <v>MSEDCL</v>
      </c>
      <c r="J802" s="295">
        <f>IFERROR(_xlfn.XLOOKUP(Table6[[#This Row],[Affected Feeder ]],'Basic Data'!$A:$A,'Basic Data'!$E:$E),"")</f>
        <v>2.2727272727272728E-2</v>
      </c>
      <c r="K802" s="296" t="s">
        <v>171</v>
      </c>
      <c r="L802" s="297">
        <v>0.70624999999999993</v>
      </c>
      <c r="M802" s="297">
        <v>0.70624999999999993</v>
      </c>
      <c r="N802" s="297">
        <v>0.71666666666666667</v>
      </c>
      <c r="O802" s="19">
        <f>(Table6[[#This Row],[Work Start TimeStamp]]-Table6[[#This Row],[Fault Start TimeStamp]])*24</f>
        <v>0</v>
      </c>
      <c r="P802" s="19">
        <f>(Table6[[#This Row],[Fault Clearance time]]-Table6[[#This Row],[Fault Start TimeStamp]])*24</f>
        <v>0.25000000000000178</v>
      </c>
      <c r="Q802" s="19">
        <f>(Table6[[#This Row],[Fault Clearance time]]-Table6[[#This Row],[Fault Start TimeStamp]])*24</f>
        <v>0.25000000000000178</v>
      </c>
      <c r="R802" s="79" t="s">
        <v>353</v>
      </c>
      <c r="S802" s="79" t="s">
        <v>339</v>
      </c>
      <c r="T802" s="298">
        <f>IFERROR(Table6[[#This Row],[Breakdown Time]]*Table6[[#This Row],[Plant Equivalent Weightage]],"")</f>
        <v>5.6818181818182227E-3</v>
      </c>
      <c r="U802" s="79" t="s">
        <v>421</v>
      </c>
      <c r="W802" s="79">
        <v>152</v>
      </c>
    </row>
    <row r="803" spans="1:23">
      <c r="A803" s="79">
        <f t="shared" si="12"/>
        <v>802</v>
      </c>
      <c r="B803" s="79">
        <f>YEAR(Table6[[#This Row],[Date]])+IF(MONTH(Table6[[#This Row],[Date]])&gt;=4,1,0)</f>
        <v>2026</v>
      </c>
      <c r="C803" s="79">
        <f>YEAR(Table6[[#This Row],[Date]])</f>
        <v>2025</v>
      </c>
      <c r="D803" s="79" t="s">
        <v>344</v>
      </c>
      <c r="E803" s="284">
        <f>Table6[[#This Row],[Date]]-DAY(Table6[[#This Row],[Date]])+1</f>
        <v>45809</v>
      </c>
      <c r="F803" s="285">
        <v>45813</v>
      </c>
      <c r="G803" s="79" t="s">
        <v>108</v>
      </c>
      <c r="H803" s="79" t="str">
        <f>IFERROR(_xlfn.XLOOKUP(Table6[[#This Row],[Affected Feeder ]],'Basic Data'!$A:$A,'Basic Data'!$B:$B),"")</f>
        <v>PWEPL</v>
      </c>
      <c r="I803" s="79" t="str">
        <f>IFERROR(_xlfn.XLOOKUP(Table6[[#This Row],[Affected Feeder ]],'Basic Data'!$A:$A,'Basic Data'!$C:$C),"")</f>
        <v>MSEDCL</v>
      </c>
      <c r="J803" s="295">
        <f>IFERROR(_xlfn.XLOOKUP(Table6[[#This Row],[Affected Feeder ]],'Basic Data'!$A:$A,'Basic Data'!$E:$E),"")</f>
        <v>2.2727272727272728E-2</v>
      </c>
      <c r="K803" s="296" t="s">
        <v>171</v>
      </c>
      <c r="L803" s="297">
        <v>0.70624999999999993</v>
      </c>
      <c r="M803" s="297">
        <v>0.70624999999999993</v>
      </c>
      <c r="N803" s="297">
        <v>0.71944444444444444</v>
      </c>
      <c r="O803" s="19">
        <f>(Table6[[#This Row],[Work Start TimeStamp]]-Table6[[#This Row],[Fault Start TimeStamp]])*24</f>
        <v>0</v>
      </c>
      <c r="P803" s="19">
        <f>(Table6[[#This Row],[Fault Clearance time]]-Table6[[#This Row],[Fault Start TimeStamp]])*24</f>
        <v>0.31666666666666821</v>
      </c>
      <c r="Q803" s="19">
        <f>(Table6[[#This Row],[Fault Clearance time]]-Table6[[#This Row],[Fault Start TimeStamp]])*24</f>
        <v>0.31666666666666821</v>
      </c>
      <c r="R803" s="79" t="s">
        <v>353</v>
      </c>
      <c r="S803" s="79" t="s">
        <v>339</v>
      </c>
      <c r="T803" s="298">
        <f>IFERROR(Table6[[#This Row],[Breakdown Time]]*Table6[[#This Row],[Plant Equivalent Weightage]],"")</f>
        <v>7.196969696969732E-3</v>
      </c>
      <c r="U803" s="79" t="s">
        <v>421</v>
      </c>
      <c r="W803" s="79">
        <v>193</v>
      </c>
    </row>
    <row r="804" spans="1:23">
      <c r="A804" s="79">
        <f t="shared" si="12"/>
        <v>803</v>
      </c>
      <c r="B804" s="79">
        <f>YEAR(Table6[[#This Row],[Date]])+IF(MONTH(Table6[[#This Row],[Date]])&gt;=4,1,0)</f>
        <v>2026</v>
      </c>
      <c r="C804" s="79">
        <f>YEAR(Table6[[#This Row],[Date]])</f>
        <v>2025</v>
      </c>
      <c r="D804" s="79" t="s">
        <v>344</v>
      </c>
      <c r="E804" s="284">
        <f>Table6[[#This Row],[Date]]-DAY(Table6[[#This Row],[Date]])+1</f>
        <v>45809</v>
      </c>
      <c r="F804" s="285">
        <v>45825</v>
      </c>
      <c r="G804" s="79" t="s">
        <v>406</v>
      </c>
      <c r="H804" s="79" t="str">
        <f>IFERROR(_xlfn.XLOOKUP(Table6[[#This Row],[Affected Feeder ]],'Basic Data'!$A:$A,'Basic Data'!$B:$B),"")</f>
        <v>PWEPL</v>
      </c>
      <c r="I804" s="79" t="str">
        <f>IFERROR(_xlfn.XLOOKUP(Table6[[#This Row],[Affected Feeder ]],'Basic Data'!$A:$A,'Basic Data'!$C:$C),"")</f>
        <v>MSEDCL</v>
      </c>
      <c r="J804" s="295">
        <f>IFERROR(_xlfn.XLOOKUP(Table6[[#This Row],[Affected Feeder ]],'Basic Data'!$A:$A,'Basic Data'!$E:$E),"")</f>
        <v>0.29545454545454541</v>
      </c>
      <c r="K804" s="296" t="s">
        <v>419</v>
      </c>
      <c r="L804" s="297">
        <v>0.73402777777777783</v>
      </c>
      <c r="M804" s="297">
        <v>0.73402777777777783</v>
      </c>
      <c r="N804" s="297">
        <v>0.77777777777777779</v>
      </c>
      <c r="O804" s="19">
        <f>(Table6[[#This Row],[Work Start TimeStamp]]-Table6[[#This Row],[Fault Start TimeStamp]])*24</f>
        <v>0</v>
      </c>
      <c r="P804" s="19">
        <f>(Table6[[#This Row],[Fault Clearance time]]-Table6[[#This Row],[Fault Start TimeStamp]])*24</f>
        <v>1.0499999999999989</v>
      </c>
      <c r="Q804" s="19">
        <f>(Table6[[#This Row],[Fault Clearance time]]-Table6[[#This Row],[Fault Start TimeStamp]])*24</f>
        <v>1.0499999999999989</v>
      </c>
      <c r="R804" s="79" t="s">
        <v>420</v>
      </c>
      <c r="S804" s="79" t="s">
        <v>339</v>
      </c>
      <c r="T804" s="298">
        <f>IFERROR(Table6[[#This Row],[Breakdown Time]]*Table6[[#This Row],[Plant Equivalent Weightage]],"")</f>
        <v>0.31022727272727235</v>
      </c>
      <c r="U804" s="79" t="s">
        <v>421</v>
      </c>
      <c r="W804" s="79">
        <v>23181</v>
      </c>
    </row>
    <row r="805" spans="1:23">
      <c r="A805" s="79">
        <f t="shared" si="12"/>
        <v>804</v>
      </c>
      <c r="B805" s="79">
        <f>YEAR(Table6[[#This Row],[Date]])+IF(MONTH(Table6[[#This Row],[Date]])&gt;=4,1,0)</f>
        <v>2026</v>
      </c>
      <c r="C805" s="79">
        <f>YEAR(Table6[[#This Row],[Date]])</f>
        <v>2025</v>
      </c>
      <c r="D805" s="79" t="s">
        <v>344</v>
      </c>
      <c r="E805" s="284">
        <f>Table6[[#This Row],[Date]]-DAY(Table6[[#This Row],[Date]])+1</f>
        <v>45809</v>
      </c>
      <c r="F805" s="285">
        <v>45825</v>
      </c>
      <c r="G805" s="79" t="s">
        <v>76</v>
      </c>
      <c r="H805" s="79" t="str">
        <f>IFERROR(_xlfn.XLOOKUP(Table6[[#This Row],[Affected Feeder ]],'Basic Data'!$A:$A,'Basic Data'!$B:$B),"")</f>
        <v>PWEPL</v>
      </c>
      <c r="I805" s="79" t="str">
        <f>IFERROR(_xlfn.XLOOKUP(Table6[[#This Row],[Affected Feeder ]],'Basic Data'!$A:$A,'Basic Data'!$C:$C),"")</f>
        <v>MSEDCL</v>
      </c>
      <c r="J805" s="295">
        <f>IFERROR(_xlfn.XLOOKUP(Table6[[#This Row],[Affected Feeder ]],'Basic Data'!$A:$A,'Basic Data'!$E:$E),"")</f>
        <v>2.2727272727272728E-2</v>
      </c>
      <c r="K805" s="296" t="s">
        <v>171</v>
      </c>
      <c r="L805" s="297">
        <v>0.77777777777777779</v>
      </c>
      <c r="M805" s="297">
        <v>0.77777777777777779</v>
      </c>
      <c r="N805" s="297">
        <v>0.79166666666666663</v>
      </c>
      <c r="O805" s="19">
        <f>(Table6[[#This Row],[Work Start TimeStamp]]-Table6[[#This Row],[Fault Start TimeStamp]])*24</f>
        <v>0</v>
      </c>
      <c r="P805" s="19">
        <f>(Table6[[#This Row],[Fault Clearance time]]-Table6[[#This Row],[Fault Start TimeStamp]])*24</f>
        <v>0.33333333333333215</v>
      </c>
      <c r="Q805" s="19">
        <f>(Table6[[#This Row],[Fault Clearance time]]-Table6[[#This Row],[Fault Start TimeStamp]])*24</f>
        <v>0.33333333333333215</v>
      </c>
      <c r="R805" s="79" t="s">
        <v>353</v>
      </c>
      <c r="S805" s="79" t="s">
        <v>339</v>
      </c>
      <c r="T805" s="298">
        <f>IFERROR(Table6[[#This Row],[Breakdown Time]]*Table6[[#This Row],[Plant Equivalent Weightage]],"")</f>
        <v>7.5757575757575491E-3</v>
      </c>
      <c r="U805" s="79" t="s">
        <v>421</v>
      </c>
      <c r="W805" s="79">
        <v>445</v>
      </c>
    </row>
    <row r="806" spans="1:23">
      <c r="A806" s="79">
        <f t="shared" si="12"/>
        <v>805</v>
      </c>
      <c r="B806" s="79">
        <f>YEAR(Table6[[#This Row],[Date]])+IF(MONTH(Table6[[#This Row],[Date]])&gt;=4,1,0)</f>
        <v>2026</v>
      </c>
      <c r="C806" s="79">
        <f>YEAR(Table6[[#This Row],[Date]])</f>
        <v>2025</v>
      </c>
      <c r="D806" s="79" t="s">
        <v>344</v>
      </c>
      <c r="E806" s="284">
        <f>Table6[[#This Row],[Date]]-DAY(Table6[[#This Row],[Date]])+1</f>
        <v>45809</v>
      </c>
      <c r="F806" s="285">
        <v>45825</v>
      </c>
      <c r="G806" s="79" t="s">
        <v>77</v>
      </c>
      <c r="H806" s="79" t="str">
        <f>IFERROR(_xlfn.XLOOKUP(Table6[[#This Row],[Affected Feeder ]],'Basic Data'!$A:$A,'Basic Data'!$B:$B),"")</f>
        <v>PWEPL</v>
      </c>
      <c r="I806" s="79" t="str">
        <f>IFERROR(_xlfn.XLOOKUP(Table6[[#This Row],[Affected Feeder ]],'Basic Data'!$A:$A,'Basic Data'!$C:$C),"")</f>
        <v>MSEDCL</v>
      </c>
      <c r="J806" s="295">
        <f>IFERROR(_xlfn.XLOOKUP(Table6[[#This Row],[Affected Feeder ]],'Basic Data'!$A:$A,'Basic Data'!$E:$E),"")</f>
        <v>2.2727272727272728E-2</v>
      </c>
      <c r="K806" s="296" t="s">
        <v>171</v>
      </c>
      <c r="L806" s="297">
        <v>0.77777777777777779</v>
      </c>
      <c r="M806" s="297">
        <v>0.77777777777777779</v>
      </c>
      <c r="N806" s="297">
        <v>0.79166666666666663</v>
      </c>
      <c r="O806" s="19">
        <f>(Table6[[#This Row],[Work Start TimeStamp]]-Table6[[#This Row],[Fault Start TimeStamp]])*24</f>
        <v>0</v>
      </c>
      <c r="P806" s="19">
        <f>(Table6[[#This Row],[Fault Clearance time]]-Table6[[#This Row],[Fault Start TimeStamp]])*24</f>
        <v>0.33333333333333215</v>
      </c>
      <c r="Q806" s="19">
        <f>(Table6[[#This Row],[Fault Clearance time]]-Table6[[#This Row],[Fault Start TimeStamp]])*24</f>
        <v>0.33333333333333215</v>
      </c>
      <c r="R806" s="79" t="s">
        <v>353</v>
      </c>
      <c r="S806" s="79" t="s">
        <v>339</v>
      </c>
      <c r="T806" s="298">
        <f>IFERROR(Table6[[#This Row],[Breakdown Time]]*Table6[[#This Row],[Plant Equivalent Weightage]],"")</f>
        <v>7.5757575757575491E-3</v>
      </c>
      <c r="U806" s="79" t="s">
        <v>421</v>
      </c>
      <c r="W806" s="79">
        <v>445</v>
      </c>
    </row>
    <row r="807" spans="1:23">
      <c r="A807" s="79">
        <f t="shared" si="12"/>
        <v>806</v>
      </c>
      <c r="B807" s="79">
        <f>YEAR(Table6[[#This Row],[Date]])+IF(MONTH(Table6[[#This Row],[Date]])&gt;=4,1,0)</f>
        <v>2026</v>
      </c>
      <c r="C807" s="79">
        <f>YEAR(Table6[[#This Row],[Date]])</f>
        <v>2025</v>
      </c>
      <c r="D807" s="79" t="s">
        <v>344</v>
      </c>
      <c r="E807" s="284">
        <f>Table6[[#This Row],[Date]]-DAY(Table6[[#This Row],[Date]])+1</f>
        <v>45809</v>
      </c>
      <c r="F807" s="285">
        <v>45825</v>
      </c>
      <c r="G807" s="79" t="s">
        <v>78</v>
      </c>
      <c r="H807" s="79" t="str">
        <f>IFERROR(_xlfn.XLOOKUP(Table6[[#This Row],[Affected Feeder ]],'Basic Data'!$A:$A,'Basic Data'!$B:$B),"")</f>
        <v>PWEPL</v>
      </c>
      <c r="I807" s="79" t="str">
        <f>IFERROR(_xlfn.XLOOKUP(Table6[[#This Row],[Affected Feeder ]],'Basic Data'!$A:$A,'Basic Data'!$C:$C),"")</f>
        <v>MSEDCL</v>
      </c>
      <c r="J807" s="295">
        <f>IFERROR(_xlfn.XLOOKUP(Table6[[#This Row],[Affected Feeder ]],'Basic Data'!$A:$A,'Basic Data'!$E:$E),"")</f>
        <v>2.2727272727272728E-2</v>
      </c>
      <c r="K807" s="296" t="s">
        <v>171</v>
      </c>
      <c r="L807" s="297">
        <v>0.77777777777777779</v>
      </c>
      <c r="M807" s="297">
        <v>0.77777777777777779</v>
      </c>
      <c r="N807" s="297">
        <v>0.79166666666666663</v>
      </c>
      <c r="O807" s="19">
        <f>(Table6[[#This Row],[Work Start TimeStamp]]-Table6[[#This Row],[Fault Start TimeStamp]])*24</f>
        <v>0</v>
      </c>
      <c r="P807" s="19">
        <f>(Table6[[#This Row],[Fault Clearance time]]-Table6[[#This Row],[Fault Start TimeStamp]])*24</f>
        <v>0.33333333333333215</v>
      </c>
      <c r="Q807" s="19">
        <f>(Table6[[#This Row],[Fault Clearance time]]-Table6[[#This Row],[Fault Start TimeStamp]])*24</f>
        <v>0.33333333333333215</v>
      </c>
      <c r="R807" s="79" t="s">
        <v>353</v>
      </c>
      <c r="S807" s="79" t="s">
        <v>339</v>
      </c>
      <c r="T807" s="298">
        <f>IFERROR(Table6[[#This Row],[Breakdown Time]]*Table6[[#This Row],[Plant Equivalent Weightage]],"")</f>
        <v>7.5757575757575491E-3</v>
      </c>
      <c r="U807" s="79" t="s">
        <v>421</v>
      </c>
      <c r="W807" s="79">
        <v>445</v>
      </c>
    </row>
    <row r="808" spans="1:23">
      <c r="A808" s="79">
        <f t="shared" si="12"/>
        <v>807</v>
      </c>
      <c r="B808" s="79">
        <f>YEAR(Table6[[#This Row],[Date]])+IF(MONTH(Table6[[#This Row],[Date]])&gt;=4,1,0)</f>
        <v>2026</v>
      </c>
      <c r="C808" s="79">
        <f>YEAR(Table6[[#This Row],[Date]])</f>
        <v>2025</v>
      </c>
      <c r="D808" s="79" t="s">
        <v>344</v>
      </c>
      <c r="E808" s="284">
        <f>Table6[[#This Row],[Date]]-DAY(Table6[[#This Row],[Date]])+1</f>
        <v>45809</v>
      </c>
      <c r="F808" s="285">
        <v>45825</v>
      </c>
      <c r="G808" s="79" t="s">
        <v>82</v>
      </c>
      <c r="H808" s="79" t="str">
        <f>IFERROR(_xlfn.XLOOKUP(Table6[[#This Row],[Affected Feeder ]],'Basic Data'!$A:$A,'Basic Data'!$B:$B),"")</f>
        <v>PWEPL</v>
      </c>
      <c r="I808" s="79" t="str">
        <f>IFERROR(_xlfn.XLOOKUP(Table6[[#This Row],[Affected Feeder ]],'Basic Data'!$A:$A,'Basic Data'!$C:$C),"")</f>
        <v>MSEDCL</v>
      </c>
      <c r="J808" s="295">
        <f>IFERROR(_xlfn.XLOOKUP(Table6[[#This Row],[Affected Feeder ]],'Basic Data'!$A:$A,'Basic Data'!$E:$E),"")</f>
        <v>2.2727272727272728E-2</v>
      </c>
      <c r="K808" s="296" t="s">
        <v>171</v>
      </c>
      <c r="L808" s="297">
        <v>0.77777777777777779</v>
      </c>
      <c r="M808" s="297">
        <v>0.77777777777777779</v>
      </c>
      <c r="N808" s="297">
        <v>0.79166666666666663</v>
      </c>
      <c r="O808" s="19">
        <f>(Table6[[#This Row],[Work Start TimeStamp]]-Table6[[#This Row],[Fault Start TimeStamp]])*24</f>
        <v>0</v>
      </c>
      <c r="P808" s="19">
        <f>(Table6[[#This Row],[Fault Clearance time]]-Table6[[#This Row],[Fault Start TimeStamp]])*24</f>
        <v>0.33333333333333215</v>
      </c>
      <c r="Q808" s="19">
        <f>(Table6[[#This Row],[Fault Clearance time]]-Table6[[#This Row],[Fault Start TimeStamp]])*24</f>
        <v>0.33333333333333215</v>
      </c>
      <c r="R808" s="79" t="s">
        <v>353</v>
      </c>
      <c r="S808" s="79" t="s">
        <v>339</v>
      </c>
      <c r="T808" s="298">
        <f>IFERROR(Table6[[#This Row],[Breakdown Time]]*Table6[[#This Row],[Plant Equivalent Weightage]],"")</f>
        <v>7.5757575757575491E-3</v>
      </c>
      <c r="U808" s="79" t="s">
        <v>421</v>
      </c>
      <c r="W808" s="79">
        <v>445</v>
      </c>
    </row>
    <row r="809" spans="1:23">
      <c r="A809" s="79">
        <f t="shared" si="12"/>
        <v>808</v>
      </c>
      <c r="B809" s="79">
        <f>YEAR(Table6[[#This Row],[Date]])+IF(MONTH(Table6[[#This Row],[Date]])&gt;=4,1,0)</f>
        <v>2026</v>
      </c>
      <c r="C809" s="79">
        <f>YEAR(Table6[[#This Row],[Date]])</f>
        <v>2025</v>
      </c>
      <c r="D809" s="79" t="s">
        <v>344</v>
      </c>
      <c r="E809" s="284">
        <f>Table6[[#This Row],[Date]]-DAY(Table6[[#This Row],[Date]])+1</f>
        <v>45809</v>
      </c>
      <c r="F809" s="285">
        <v>45825</v>
      </c>
      <c r="G809" s="79" t="s">
        <v>93</v>
      </c>
      <c r="H809" s="79" t="str">
        <f>IFERROR(_xlfn.XLOOKUP(Table6[[#This Row],[Affected Feeder ]],'Basic Data'!$A:$A,'Basic Data'!$B:$B),"")</f>
        <v>PWEPL</v>
      </c>
      <c r="I809" s="79" t="str">
        <f>IFERROR(_xlfn.XLOOKUP(Table6[[#This Row],[Affected Feeder ]],'Basic Data'!$A:$A,'Basic Data'!$C:$C),"")</f>
        <v>MSEDCL</v>
      </c>
      <c r="J809" s="295">
        <f>IFERROR(_xlfn.XLOOKUP(Table6[[#This Row],[Affected Feeder ]],'Basic Data'!$A:$A,'Basic Data'!$E:$E),"")</f>
        <v>2.2727272727272728E-2</v>
      </c>
      <c r="K809" s="296" t="s">
        <v>171</v>
      </c>
      <c r="L809" s="297">
        <v>0.77777777777777779</v>
      </c>
      <c r="M809" s="297">
        <v>0.77777777777777779</v>
      </c>
      <c r="N809" s="297">
        <v>0.79166666666666663</v>
      </c>
      <c r="O809" s="19">
        <f>(Table6[[#This Row],[Work Start TimeStamp]]-Table6[[#This Row],[Fault Start TimeStamp]])*24</f>
        <v>0</v>
      </c>
      <c r="P809" s="19">
        <f>(Table6[[#This Row],[Fault Clearance time]]-Table6[[#This Row],[Fault Start TimeStamp]])*24</f>
        <v>0.33333333333333215</v>
      </c>
      <c r="Q809" s="19">
        <f>(Table6[[#This Row],[Fault Clearance time]]-Table6[[#This Row],[Fault Start TimeStamp]])*24</f>
        <v>0.33333333333333215</v>
      </c>
      <c r="R809" s="79" t="s">
        <v>353</v>
      </c>
      <c r="S809" s="79" t="s">
        <v>339</v>
      </c>
      <c r="T809" s="298">
        <f>IFERROR(Table6[[#This Row],[Breakdown Time]]*Table6[[#This Row],[Plant Equivalent Weightage]],"")</f>
        <v>7.5757575757575491E-3</v>
      </c>
      <c r="U809" s="79" t="s">
        <v>421</v>
      </c>
      <c r="W809" s="79">
        <v>445</v>
      </c>
    </row>
    <row r="810" spans="1:23">
      <c r="A810" s="79">
        <f t="shared" si="12"/>
        <v>809</v>
      </c>
      <c r="B810" s="79">
        <f>YEAR(Table6[[#This Row],[Date]])+IF(MONTH(Table6[[#This Row],[Date]])&gt;=4,1,0)</f>
        <v>2026</v>
      </c>
      <c r="C810" s="79">
        <f>YEAR(Table6[[#This Row],[Date]])</f>
        <v>2025</v>
      </c>
      <c r="D810" s="79" t="s">
        <v>344</v>
      </c>
      <c r="E810" s="284">
        <f>Table6[[#This Row],[Date]]-DAY(Table6[[#This Row],[Date]])+1</f>
        <v>45809</v>
      </c>
      <c r="F810" s="285">
        <v>45825</v>
      </c>
      <c r="G810" s="79" t="s">
        <v>102</v>
      </c>
      <c r="H810" s="79" t="str">
        <f>IFERROR(_xlfn.XLOOKUP(Table6[[#This Row],[Affected Feeder ]],'Basic Data'!$A:$A,'Basic Data'!$B:$B),"")</f>
        <v>PWEPL</v>
      </c>
      <c r="I810" s="79" t="str">
        <f>IFERROR(_xlfn.XLOOKUP(Table6[[#This Row],[Affected Feeder ]],'Basic Data'!$A:$A,'Basic Data'!$C:$C),"")</f>
        <v>MSEDCL</v>
      </c>
      <c r="J810" s="295">
        <f>IFERROR(_xlfn.XLOOKUP(Table6[[#This Row],[Affected Feeder ]],'Basic Data'!$A:$A,'Basic Data'!$E:$E),"")</f>
        <v>2.2727272727272728E-2</v>
      </c>
      <c r="K810" s="296" t="s">
        <v>171</v>
      </c>
      <c r="L810" s="297">
        <v>0.77777777777777779</v>
      </c>
      <c r="M810" s="297">
        <v>0.77777777777777779</v>
      </c>
      <c r="N810" s="297">
        <v>0.79166666666666663</v>
      </c>
      <c r="O810" s="19">
        <f>(Table6[[#This Row],[Work Start TimeStamp]]-Table6[[#This Row],[Fault Start TimeStamp]])*24</f>
        <v>0</v>
      </c>
      <c r="P810" s="19">
        <f>(Table6[[#This Row],[Fault Clearance time]]-Table6[[#This Row],[Fault Start TimeStamp]])*24</f>
        <v>0.33333333333333215</v>
      </c>
      <c r="Q810" s="19">
        <f>(Table6[[#This Row],[Fault Clearance time]]-Table6[[#This Row],[Fault Start TimeStamp]])*24</f>
        <v>0.33333333333333215</v>
      </c>
      <c r="R810" s="79" t="s">
        <v>353</v>
      </c>
      <c r="S810" s="79" t="s">
        <v>339</v>
      </c>
      <c r="T810" s="298">
        <f>IFERROR(Table6[[#This Row],[Breakdown Time]]*Table6[[#This Row],[Plant Equivalent Weightage]],"")</f>
        <v>7.5757575757575491E-3</v>
      </c>
      <c r="U810" s="79" t="s">
        <v>421</v>
      </c>
      <c r="W810" s="79">
        <v>445</v>
      </c>
    </row>
    <row r="811" spans="1:23">
      <c r="A811" s="79">
        <f t="shared" si="12"/>
        <v>810</v>
      </c>
      <c r="B811" s="79">
        <f>YEAR(Table6[[#This Row],[Date]])+IF(MONTH(Table6[[#This Row],[Date]])&gt;=4,1,0)</f>
        <v>2026</v>
      </c>
      <c r="C811" s="79">
        <f>YEAR(Table6[[#This Row],[Date]])</f>
        <v>2025</v>
      </c>
      <c r="D811" s="79" t="s">
        <v>344</v>
      </c>
      <c r="E811" s="284">
        <f>Table6[[#This Row],[Date]]-DAY(Table6[[#This Row],[Date]])+1</f>
        <v>45809</v>
      </c>
      <c r="F811" s="285">
        <v>45825</v>
      </c>
      <c r="G811" s="79" t="s">
        <v>119</v>
      </c>
      <c r="H811" s="79" t="str">
        <f>IFERROR(_xlfn.XLOOKUP(Table6[[#This Row],[Affected Feeder ]],'Basic Data'!$A:$A,'Basic Data'!$B:$B),"")</f>
        <v>PWEPL</v>
      </c>
      <c r="I811" s="79" t="str">
        <f>IFERROR(_xlfn.XLOOKUP(Table6[[#This Row],[Affected Feeder ]],'Basic Data'!$A:$A,'Basic Data'!$C:$C),"")</f>
        <v>MSEDCL</v>
      </c>
      <c r="J811" s="295">
        <f>IFERROR(_xlfn.XLOOKUP(Table6[[#This Row],[Affected Feeder ]],'Basic Data'!$A:$A,'Basic Data'!$E:$E),"")</f>
        <v>2.2727272727272728E-2</v>
      </c>
      <c r="K811" s="296" t="s">
        <v>171</v>
      </c>
      <c r="L811" s="297">
        <v>0.77777777777777779</v>
      </c>
      <c r="M811" s="297">
        <v>0.77777777777777779</v>
      </c>
      <c r="N811" s="297">
        <v>0.78472222222222221</v>
      </c>
      <c r="O811" s="19">
        <f>(Table6[[#This Row],[Work Start TimeStamp]]-Table6[[#This Row],[Fault Start TimeStamp]])*24</f>
        <v>0</v>
      </c>
      <c r="P811" s="19">
        <f>(Table6[[#This Row],[Fault Clearance time]]-Table6[[#This Row],[Fault Start TimeStamp]])*24</f>
        <v>0.16666666666666607</v>
      </c>
      <c r="Q811" s="19">
        <f>(Table6[[#This Row],[Fault Clearance time]]-Table6[[#This Row],[Fault Start TimeStamp]])*24</f>
        <v>0.16666666666666607</v>
      </c>
      <c r="R811" s="79" t="s">
        <v>353</v>
      </c>
      <c r="S811" s="79" t="s">
        <v>339</v>
      </c>
      <c r="T811" s="298">
        <f>IFERROR(Table6[[#This Row],[Breakdown Time]]*Table6[[#This Row],[Plant Equivalent Weightage]],"")</f>
        <v>3.7878787878787745E-3</v>
      </c>
      <c r="U811" s="79" t="s">
        <v>421</v>
      </c>
      <c r="W811" s="79">
        <v>445</v>
      </c>
    </row>
    <row r="812" spans="1:23">
      <c r="A812" s="79">
        <f t="shared" si="12"/>
        <v>811</v>
      </c>
      <c r="B812" s="79">
        <f>YEAR(Table6[[#This Row],[Date]])+IF(MONTH(Table6[[#This Row],[Date]])&gt;=4,1,0)</f>
        <v>2026</v>
      </c>
      <c r="C812" s="79">
        <f>YEAR(Table6[[#This Row],[Date]])</f>
        <v>2025</v>
      </c>
      <c r="D812" s="79" t="s">
        <v>344</v>
      </c>
      <c r="E812" s="284">
        <f>Table6[[#This Row],[Date]]-DAY(Table6[[#This Row],[Date]])+1</f>
        <v>45809</v>
      </c>
      <c r="F812" s="285">
        <v>45825</v>
      </c>
      <c r="G812" s="79" t="s">
        <v>103</v>
      </c>
      <c r="H812" s="79" t="str">
        <f>IFERROR(_xlfn.XLOOKUP(Table6[[#This Row],[Affected Feeder ]],'Basic Data'!$A:$A,'Basic Data'!$B:$B),"")</f>
        <v>PWEPL</v>
      </c>
      <c r="I812" s="79" t="str">
        <f>IFERROR(_xlfn.XLOOKUP(Table6[[#This Row],[Affected Feeder ]],'Basic Data'!$A:$A,'Basic Data'!$C:$C),"")</f>
        <v>MSEDCL</v>
      </c>
      <c r="J812" s="295">
        <f>IFERROR(_xlfn.XLOOKUP(Table6[[#This Row],[Affected Feeder ]],'Basic Data'!$A:$A,'Basic Data'!$E:$E),"")</f>
        <v>2.2727272727272728E-2</v>
      </c>
      <c r="K812" s="296" t="s">
        <v>171</v>
      </c>
      <c r="L812" s="297">
        <v>0.77777777777777779</v>
      </c>
      <c r="M812" s="297">
        <v>0.77777777777777779</v>
      </c>
      <c r="N812" s="297">
        <v>0.79166666666666663</v>
      </c>
      <c r="O812" s="19">
        <f>(Table6[[#This Row],[Work Start TimeStamp]]-Table6[[#This Row],[Fault Start TimeStamp]])*24</f>
        <v>0</v>
      </c>
      <c r="P812" s="19">
        <f>(Table6[[#This Row],[Fault Clearance time]]-Table6[[#This Row],[Fault Start TimeStamp]])*24</f>
        <v>0.33333333333333215</v>
      </c>
      <c r="Q812" s="19">
        <f>(Table6[[#This Row],[Fault Clearance time]]-Table6[[#This Row],[Fault Start TimeStamp]])*24</f>
        <v>0.33333333333333215</v>
      </c>
      <c r="R812" s="79" t="s">
        <v>353</v>
      </c>
      <c r="S812" s="79" t="s">
        <v>339</v>
      </c>
      <c r="T812" s="298">
        <f>IFERROR(Table6[[#This Row],[Breakdown Time]]*Table6[[#This Row],[Plant Equivalent Weightage]],"")</f>
        <v>7.5757575757575491E-3</v>
      </c>
      <c r="U812" s="79" t="s">
        <v>421</v>
      </c>
      <c r="W812" s="79">
        <v>445</v>
      </c>
    </row>
    <row r="813" spans="1:23">
      <c r="A813" s="79">
        <f t="shared" si="12"/>
        <v>812</v>
      </c>
      <c r="B813" s="79">
        <f>YEAR(Table6[[#This Row],[Date]])+IF(MONTH(Table6[[#This Row],[Date]])&gt;=4,1,0)</f>
        <v>2026</v>
      </c>
      <c r="C813" s="79">
        <f>YEAR(Table6[[#This Row],[Date]])</f>
        <v>2025</v>
      </c>
      <c r="D813" s="79" t="s">
        <v>344</v>
      </c>
      <c r="E813" s="284">
        <f>Table6[[#This Row],[Date]]-DAY(Table6[[#This Row],[Date]])+1</f>
        <v>45809</v>
      </c>
      <c r="F813" s="285">
        <v>45825</v>
      </c>
      <c r="G813" s="79" t="s">
        <v>105</v>
      </c>
      <c r="H813" s="79" t="str">
        <f>IFERROR(_xlfn.XLOOKUP(Table6[[#This Row],[Affected Feeder ]],'Basic Data'!$A:$A,'Basic Data'!$B:$B),"")</f>
        <v>PWEPL</v>
      </c>
      <c r="I813" s="79" t="str">
        <f>IFERROR(_xlfn.XLOOKUP(Table6[[#This Row],[Affected Feeder ]],'Basic Data'!$A:$A,'Basic Data'!$C:$C),"")</f>
        <v>MSEDCL</v>
      </c>
      <c r="J813" s="295">
        <f>IFERROR(_xlfn.XLOOKUP(Table6[[#This Row],[Affected Feeder ]],'Basic Data'!$A:$A,'Basic Data'!$E:$E),"")</f>
        <v>2.2727272727272728E-2</v>
      </c>
      <c r="K813" s="296" t="s">
        <v>171</v>
      </c>
      <c r="L813" s="297">
        <v>0.77777777777777779</v>
      </c>
      <c r="M813" s="297">
        <v>0.77777777777777779</v>
      </c>
      <c r="N813" s="297">
        <v>0.79166666666666663</v>
      </c>
      <c r="O813" s="19">
        <f>(Table6[[#This Row],[Work Start TimeStamp]]-Table6[[#This Row],[Fault Start TimeStamp]])*24</f>
        <v>0</v>
      </c>
      <c r="P813" s="19">
        <f>(Table6[[#This Row],[Fault Clearance time]]-Table6[[#This Row],[Fault Start TimeStamp]])*24</f>
        <v>0.33333333333333215</v>
      </c>
      <c r="Q813" s="19">
        <f>(Table6[[#This Row],[Fault Clearance time]]-Table6[[#This Row],[Fault Start TimeStamp]])*24</f>
        <v>0.33333333333333215</v>
      </c>
      <c r="R813" s="79" t="s">
        <v>353</v>
      </c>
      <c r="S813" s="79" t="s">
        <v>339</v>
      </c>
      <c r="T813" s="298">
        <f>IFERROR(Table6[[#This Row],[Breakdown Time]]*Table6[[#This Row],[Plant Equivalent Weightage]],"")</f>
        <v>7.5757575757575491E-3</v>
      </c>
      <c r="U813" s="79" t="s">
        <v>421</v>
      </c>
      <c r="W813" s="79">
        <v>445</v>
      </c>
    </row>
    <row r="814" spans="1:23">
      <c r="A814" s="79">
        <f t="shared" si="12"/>
        <v>813</v>
      </c>
      <c r="B814" s="79">
        <f>YEAR(Table6[[#This Row],[Date]])+IF(MONTH(Table6[[#This Row],[Date]])&gt;=4,1,0)</f>
        <v>2026</v>
      </c>
      <c r="C814" s="79">
        <f>YEAR(Table6[[#This Row],[Date]])</f>
        <v>2025</v>
      </c>
      <c r="D814" s="79" t="s">
        <v>344</v>
      </c>
      <c r="E814" s="284">
        <f>Table6[[#This Row],[Date]]-DAY(Table6[[#This Row],[Date]])+1</f>
        <v>45809</v>
      </c>
      <c r="F814" s="285">
        <v>45825</v>
      </c>
      <c r="G814" s="79" t="s">
        <v>115</v>
      </c>
      <c r="H814" s="79" t="str">
        <f>IFERROR(_xlfn.XLOOKUP(Table6[[#This Row],[Affected Feeder ]],'Basic Data'!$A:$A,'Basic Data'!$B:$B),"")</f>
        <v>PWEPL</v>
      </c>
      <c r="I814" s="79" t="str">
        <f>IFERROR(_xlfn.XLOOKUP(Table6[[#This Row],[Affected Feeder ]],'Basic Data'!$A:$A,'Basic Data'!$C:$C),"")</f>
        <v>MSEDCL</v>
      </c>
      <c r="J814" s="295">
        <f>IFERROR(_xlfn.XLOOKUP(Table6[[#This Row],[Affected Feeder ]],'Basic Data'!$A:$A,'Basic Data'!$E:$E),"")</f>
        <v>2.2727272727272728E-2</v>
      </c>
      <c r="K814" s="296" t="s">
        <v>171</v>
      </c>
      <c r="L814" s="297">
        <v>0.77777777777777779</v>
      </c>
      <c r="M814" s="297">
        <v>0.77777777777777779</v>
      </c>
      <c r="N814" s="297">
        <v>0.79166666666666663</v>
      </c>
      <c r="O814" s="19">
        <f>(Table6[[#This Row],[Work Start TimeStamp]]-Table6[[#This Row],[Fault Start TimeStamp]])*24</f>
        <v>0</v>
      </c>
      <c r="P814" s="19">
        <f>(Table6[[#This Row],[Fault Clearance time]]-Table6[[#This Row],[Fault Start TimeStamp]])*24</f>
        <v>0.33333333333333215</v>
      </c>
      <c r="Q814" s="19">
        <f>(Table6[[#This Row],[Fault Clearance time]]-Table6[[#This Row],[Fault Start TimeStamp]])*24</f>
        <v>0.33333333333333215</v>
      </c>
      <c r="R814" s="79" t="s">
        <v>353</v>
      </c>
      <c r="S814" s="79" t="s">
        <v>339</v>
      </c>
      <c r="T814" s="298">
        <f>IFERROR(Table6[[#This Row],[Breakdown Time]]*Table6[[#This Row],[Plant Equivalent Weightage]],"")</f>
        <v>7.5757575757575491E-3</v>
      </c>
      <c r="U814" s="79" t="s">
        <v>421</v>
      </c>
      <c r="W814" s="79">
        <v>445</v>
      </c>
    </row>
    <row r="815" spans="1:23">
      <c r="A815" s="79">
        <f t="shared" si="12"/>
        <v>814</v>
      </c>
      <c r="B815" s="79">
        <f>YEAR(Table6[[#This Row],[Date]])+IF(MONTH(Table6[[#This Row],[Date]])&gt;=4,1,0)</f>
        <v>2026</v>
      </c>
      <c r="C815" s="79">
        <f>YEAR(Table6[[#This Row],[Date]])</f>
        <v>2025</v>
      </c>
      <c r="D815" s="79" t="s">
        <v>344</v>
      </c>
      <c r="E815" s="284">
        <f>Table6[[#This Row],[Date]]-DAY(Table6[[#This Row],[Date]])+1</f>
        <v>45809</v>
      </c>
      <c r="F815" s="285">
        <v>45825</v>
      </c>
      <c r="G815" s="79" t="s">
        <v>116</v>
      </c>
      <c r="H815" s="79" t="str">
        <f>IFERROR(_xlfn.XLOOKUP(Table6[[#This Row],[Affected Feeder ]],'Basic Data'!$A:$A,'Basic Data'!$B:$B),"")</f>
        <v>PWEPL</v>
      </c>
      <c r="I815" s="79" t="str">
        <f>IFERROR(_xlfn.XLOOKUP(Table6[[#This Row],[Affected Feeder ]],'Basic Data'!$A:$A,'Basic Data'!$C:$C),"")</f>
        <v>MSEDCL</v>
      </c>
      <c r="J815" s="295">
        <f>IFERROR(_xlfn.XLOOKUP(Table6[[#This Row],[Affected Feeder ]],'Basic Data'!$A:$A,'Basic Data'!$E:$E),"")</f>
        <v>2.2727272727272728E-2</v>
      </c>
      <c r="K815" s="296" t="s">
        <v>171</v>
      </c>
      <c r="L815" s="297">
        <v>0.77777777777777779</v>
      </c>
      <c r="M815" s="297">
        <v>0.77777777777777779</v>
      </c>
      <c r="N815" s="297">
        <v>0.79166666666666663</v>
      </c>
      <c r="O815" s="19">
        <f>(Table6[[#This Row],[Work Start TimeStamp]]-Table6[[#This Row],[Fault Start TimeStamp]])*24</f>
        <v>0</v>
      </c>
      <c r="P815" s="19">
        <f>(Table6[[#This Row],[Fault Clearance time]]-Table6[[#This Row],[Fault Start TimeStamp]])*24</f>
        <v>0.33333333333333215</v>
      </c>
      <c r="Q815" s="19">
        <f>(Table6[[#This Row],[Fault Clearance time]]-Table6[[#This Row],[Fault Start TimeStamp]])*24</f>
        <v>0.33333333333333215</v>
      </c>
      <c r="R815" s="79" t="s">
        <v>353</v>
      </c>
      <c r="S815" s="79" t="s">
        <v>339</v>
      </c>
      <c r="T815" s="298">
        <f>IFERROR(Table6[[#This Row],[Breakdown Time]]*Table6[[#This Row],[Plant Equivalent Weightage]],"")</f>
        <v>7.5757575757575491E-3</v>
      </c>
      <c r="U815" s="79" t="s">
        <v>421</v>
      </c>
      <c r="W815" s="79">
        <v>445</v>
      </c>
    </row>
    <row r="816" spans="1:23">
      <c r="A816" s="79">
        <f t="shared" si="12"/>
        <v>815</v>
      </c>
      <c r="B816" s="79">
        <f>YEAR(Table6[[#This Row],[Date]])+IF(MONTH(Table6[[#This Row],[Date]])&gt;=4,1,0)</f>
        <v>2026</v>
      </c>
      <c r="C816" s="79">
        <f>YEAR(Table6[[#This Row],[Date]])</f>
        <v>2025</v>
      </c>
      <c r="D816" s="79" t="s">
        <v>344</v>
      </c>
      <c r="E816" s="284">
        <f>Table6[[#This Row],[Date]]-DAY(Table6[[#This Row],[Date]])+1</f>
        <v>45809</v>
      </c>
      <c r="F816" s="285">
        <v>45825</v>
      </c>
      <c r="G816" s="79" t="s">
        <v>117</v>
      </c>
      <c r="H816" s="79" t="str">
        <f>IFERROR(_xlfn.XLOOKUP(Table6[[#This Row],[Affected Feeder ]],'Basic Data'!$A:$A,'Basic Data'!$B:$B),"")</f>
        <v>PWEPL</v>
      </c>
      <c r="I816" s="79" t="str">
        <f>IFERROR(_xlfn.XLOOKUP(Table6[[#This Row],[Affected Feeder ]],'Basic Data'!$A:$A,'Basic Data'!$C:$C),"")</f>
        <v>MSEDCL</v>
      </c>
      <c r="J816" s="295">
        <f>IFERROR(_xlfn.XLOOKUP(Table6[[#This Row],[Affected Feeder ]],'Basic Data'!$A:$A,'Basic Data'!$E:$E),"")</f>
        <v>2.2727272727272728E-2</v>
      </c>
      <c r="K816" s="296" t="s">
        <v>171</v>
      </c>
      <c r="L816" s="297">
        <v>0.77777777777777779</v>
      </c>
      <c r="M816" s="297">
        <v>0.77777777777777779</v>
      </c>
      <c r="N816" s="297">
        <v>0.79166666666666663</v>
      </c>
      <c r="O816" s="19">
        <f>(Table6[[#This Row],[Work Start TimeStamp]]-Table6[[#This Row],[Fault Start TimeStamp]])*24</f>
        <v>0</v>
      </c>
      <c r="P816" s="19">
        <f>(Table6[[#This Row],[Fault Clearance time]]-Table6[[#This Row],[Fault Start TimeStamp]])*24</f>
        <v>0.33333333333333215</v>
      </c>
      <c r="Q816" s="19">
        <f>(Table6[[#This Row],[Fault Clearance time]]-Table6[[#This Row],[Fault Start TimeStamp]])*24</f>
        <v>0.33333333333333215</v>
      </c>
      <c r="R816" s="79" t="s">
        <v>353</v>
      </c>
      <c r="S816" s="79" t="s">
        <v>339</v>
      </c>
      <c r="T816" s="298">
        <f>IFERROR(Table6[[#This Row],[Breakdown Time]]*Table6[[#This Row],[Plant Equivalent Weightage]],"")</f>
        <v>7.5757575757575491E-3</v>
      </c>
      <c r="U816" s="79" t="s">
        <v>421</v>
      </c>
      <c r="W816" s="79">
        <v>445</v>
      </c>
    </row>
    <row r="817" spans="1:23">
      <c r="A817" s="79">
        <f t="shared" si="12"/>
        <v>816</v>
      </c>
      <c r="B817" s="79">
        <f>YEAR(Table6[[#This Row],[Date]])+IF(MONTH(Table6[[#This Row],[Date]])&gt;=4,1,0)</f>
        <v>2026</v>
      </c>
      <c r="C817" s="79">
        <f>YEAR(Table6[[#This Row],[Date]])</f>
        <v>2025</v>
      </c>
      <c r="D817" s="79" t="s">
        <v>344</v>
      </c>
      <c r="E817" s="284">
        <f>Table6[[#This Row],[Date]]-DAY(Table6[[#This Row],[Date]])+1</f>
        <v>45809</v>
      </c>
      <c r="F817" s="285">
        <v>45825</v>
      </c>
      <c r="G817" s="79" t="s">
        <v>118</v>
      </c>
      <c r="H817" s="79" t="str">
        <f>IFERROR(_xlfn.XLOOKUP(Table6[[#This Row],[Affected Feeder ]],'Basic Data'!$A:$A,'Basic Data'!$B:$B),"")</f>
        <v>PWEPL</v>
      </c>
      <c r="I817" s="79" t="str">
        <f>IFERROR(_xlfn.XLOOKUP(Table6[[#This Row],[Affected Feeder ]],'Basic Data'!$A:$A,'Basic Data'!$C:$C),"")</f>
        <v>MSEDCL</v>
      </c>
      <c r="J817" s="295">
        <f>IFERROR(_xlfn.XLOOKUP(Table6[[#This Row],[Affected Feeder ]],'Basic Data'!$A:$A,'Basic Data'!$E:$E),"")</f>
        <v>2.2727272727272728E-2</v>
      </c>
      <c r="K817" s="296" t="s">
        <v>171</v>
      </c>
      <c r="L817" s="297">
        <v>0.77777777777777779</v>
      </c>
      <c r="M817" s="297">
        <v>0.77777777777777779</v>
      </c>
      <c r="N817" s="297">
        <v>0.79166666666666663</v>
      </c>
      <c r="O817" s="19">
        <f>(Table6[[#This Row],[Work Start TimeStamp]]-Table6[[#This Row],[Fault Start TimeStamp]])*24</f>
        <v>0</v>
      </c>
      <c r="P817" s="19">
        <f>(Table6[[#This Row],[Fault Clearance time]]-Table6[[#This Row],[Fault Start TimeStamp]])*24</f>
        <v>0.33333333333333215</v>
      </c>
      <c r="Q817" s="19">
        <f>(Table6[[#This Row],[Fault Clearance time]]-Table6[[#This Row],[Fault Start TimeStamp]])*24</f>
        <v>0.33333333333333215</v>
      </c>
      <c r="R817" s="79" t="s">
        <v>353</v>
      </c>
      <c r="S817" s="79" t="s">
        <v>339</v>
      </c>
      <c r="T817" s="298">
        <f>IFERROR(Table6[[#This Row],[Breakdown Time]]*Table6[[#This Row],[Plant Equivalent Weightage]],"")</f>
        <v>7.5757575757575491E-3</v>
      </c>
      <c r="U817" s="79" t="s">
        <v>421</v>
      </c>
      <c r="W817" s="79">
        <v>445</v>
      </c>
    </row>
    <row r="818" spans="1:23">
      <c r="A818" s="79">
        <f t="shared" si="12"/>
        <v>817</v>
      </c>
      <c r="B818" s="79">
        <f>YEAR(Table6[[#This Row],[Date]])+IF(MONTH(Table6[[#This Row],[Date]])&gt;=4,1,0)</f>
        <v>2026</v>
      </c>
      <c r="C818" s="79">
        <f>YEAR(Table6[[#This Row],[Date]])</f>
        <v>2025</v>
      </c>
      <c r="D818" s="79" t="s">
        <v>344</v>
      </c>
      <c r="E818" s="284">
        <f>Table6[[#This Row],[Date]]-DAY(Table6[[#This Row],[Date]])+1</f>
        <v>45809</v>
      </c>
      <c r="F818" s="285">
        <v>45825</v>
      </c>
      <c r="G818" s="79" t="s">
        <v>406</v>
      </c>
      <c r="H818" s="79" t="str">
        <f>IFERROR(_xlfn.XLOOKUP(Table6[[#This Row],[Affected Feeder ]],'Basic Data'!$A:$A,'Basic Data'!$B:$B),"")</f>
        <v>PWEPL</v>
      </c>
      <c r="I818" s="79" t="str">
        <f>IFERROR(_xlfn.XLOOKUP(Table6[[#This Row],[Affected Feeder ]],'Basic Data'!$A:$A,'Basic Data'!$C:$C),"")</f>
        <v>MSEDCL</v>
      </c>
      <c r="J818" s="295">
        <f>IFERROR(_xlfn.XLOOKUP(Table6[[#This Row],[Affected Feeder ]],'Basic Data'!$A:$A,'Basic Data'!$E:$E),"")</f>
        <v>0.29545454545454541</v>
      </c>
      <c r="K818" s="296" t="s">
        <v>419</v>
      </c>
      <c r="L818" s="297">
        <v>0.82986111111111116</v>
      </c>
      <c r="M818" s="297">
        <v>0.82986111111111116</v>
      </c>
      <c r="N818" s="297">
        <v>0.85763888888888884</v>
      </c>
      <c r="O818" s="19">
        <f>(Table6[[#This Row],[Work Start TimeStamp]]-Table6[[#This Row],[Fault Start TimeStamp]])*24</f>
        <v>0</v>
      </c>
      <c r="P818" s="19">
        <f>(Table6[[#This Row],[Fault Clearance time]]-Table6[[#This Row],[Fault Start TimeStamp]])*24</f>
        <v>0.6666666666666643</v>
      </c>
      <c r="Q818" s="19">
        <f>(Table6[[#This Row],[Fault Clearance time]]-Table6[[#This Row],[Fault Start TimeStamp]])*24</f>
        <v>0.6666666666666643</v>
      </c>
      <c r="R818" s="79" t="s">
        <v>420</v>
      </c>
      <c r="S818" s="79" t="s">
        <v>339</v>
      </c>
      <c r="T818" s="298">
        <f>IFERROR(Table6[[#This Row],[Breakdown Time]]*Table6[[#This Row],[Plant Equivalent Weightage]],"")</f>
        <v>0.19696969696969624</v>
      </c>
      <c r="U818" s="79" t="s">
        <v>421</v>
      </c>
      <c r="W818" s="79">
        <v>14837</v>
      </c>
    </row>
    <row r="819" spans="1:23">
      <c r="A819" s="79">
        <f t="shared" si="12"/>
        <v>818</v>
      </c>
      <c r="B819" s="79">
        <f>YEAR(Table6[[#This Row],[Date]])+IF(MONTH(Table6[[#This Row],[Date]])&gt;=4,1,0)</f>
        <v>2026</v>
      </c>
      <c r="C819" s="79">
        <f>YEAR(Table6[[#This Row],[Date]])</f>
        <v>2025</v>
      </c>
      <c r="D819" s="79" t="s">
        <v>344</v>
      </c>
      <c r="E819" s="284">
        <f>Table6[[#This Row],[Date]]-DAY(Table6[[#This Row],[Date]])+1</f>
        <v>45809</v>
      </c>
      <c r="F819" s="285">
        <v>45825</v>
      </c>
      <c r="G819" s="79" t="s">
        <v>76</v>
      </c>
      <c r="H819" s="79" t="str">
        <f>IFERROR(_xlfn.XLOOKUP(Table6[[#This Row],[Affected Feeder ]],'Basic Data'!$A:$A,'Basic Data'!$B:$B),"")</f>
        <v>PWEPL</v>
      </c>
      <c r="I819" s="79" t="str">
        <f>IFERROR(_xlfn.XLOOKUP(Table6[[#This Row],[Affected Feeder ]],'Basic Data'!$A:$A,'Basic Data'!$C:$C),"")</f>
        <v>MSEDCL</v>
      </c>
      <c r="J819" s="295">
        <f>IFERROR(_xlfn.XLOOKUP(Table6[[#This Row],[Affected Feeder ]],'Basic Data'!$A:$A,'Basic Data'!$E:$E),"")</f>
        <v>2.2727272727272728E-2</v>
      </c>
      <c r="K819" s="296" t="s">
        <v>171</v>
      </c>
      <c r="L819" s="297">
        <v>0.85763888888888884</v>
      </c>
      <c r="M819" s="297">
        <v>0.85763888888888884</v>
      </c>
      <c r="N819" s="297">
        <v>0.8666666666666667</v>
      </c>
      <c r="O819" s="19">
        <f>(Table6[[#This Row],[Work Start TimeStamp]]-Table6[[#This Row],[Fault Start TimeStamp]])*24</f>
        <v>0</v>
      </c>
      <c r="P819" s="19">
        <f>(Table6[[#This Row],[Fault Clearance time]]-Table6[[#This Row],[Fault Start TimeStamp]])*24</f>
        <v>0.21666666666666856</v>
      </c>
      <c r="Q819" s="19">
        <f>(Table6[[#This Row],[Fault Clearance time]]-Table6[[#This Row],[Fault Start TimeStamp]])*24</f>
        <v>0.21666666666666856</v>
      </c>
      <c r="R819" s="79" t="s">
        <v>353</v>
      </c>
      <c r="S819" s="79" t="s">
        <v>339</v>
      </c>
      <c r="T819" s="298">
        <f>IFERROR(Table6[[#This Row],[Breakdown Time]]*Table6[[#This Row],[Plant Equivalent Weightage]],"")</f>
        <v>4.9242424242424672E-3</v>
      </c>
      <c r="U819" s="79" t="s">
        <v>421</v>
      </c>
      <c r="W819" s="79">
        <v>431</v>
      </c>
    </row>
    <row r="820" spans="1:23">
      <c r="A820" s="79">
        <f t="shared" si="12"/>
        <v>819</v>
      </c>
      <c r="B820" s="79">
        <f>YEAR(Table6[[#This Row],[Date]])+IF(MONTH(Table6[[#This Row],[Date]])&gt;=4,1,0)</f>
        <v>2026</v>
      </c>
      <c r="C820" s="79">
        <f>YEAR(Table6[[#This Row],[Date]])</f>
        <v>2025</v>
      </c>
      <c r="D820" s="79" t="s">
        <v>344</v>
      </c>
      <c r="E820" s="284">
        <f>Table6[[#This Row],[Date]]-DAY(Table6[[#This Row],[Date]])+1</f>
        <v>45809</v>
      </c>
      <c r="F820" s="285">
        <v>45825</v>
      </c>
      <c r="G820" s="79" t="s">
        <v>77</v>
      </c>
      <c r="H820" s="79" t="str">
        <f>IFERROR(_xlfn.XLOOKUP(Table6[[#This Row],[Affected Feeder ]],'Basic Data'!$A:$A,'Basic Data'!$B:$B),"")</f>
        <v>PWEPL</v>
      </c>
      <c r="I820" s="79" t="str">
        <f>IFERROR(_xlfn.XLOOKUP(Table6[[#This Row],[Affected Feeder ]],'Basic Data'!$A:$A,'Basic Data'!$C:$C),"")</f>
        <v>MSEDCL</v>
      </c>
      <c r="J820" s="295">
        <f>IFERROR(_xlfn.XLOOKUP(Table6[[#This Row],[Affected Feeder ]],'Basic Data'!$A:$A,'Basic Data'!$E:$E),"")</f>
        <v>2.2727272727272728E-2</v>
      </c>
      <c r="K820" s="296" t="s">
        <v>171</v>
      </c>
      <c r="L820" s="297">
        <v>0.85763888888888884</v>
      </c>
      <c r="M820" s="297">
        <v>0.85763888888888884</v>
      </c>
      <c r="N820" s="297">
        <v>0.86319444444444438</v>
      </c>
      <c r="O820" s="19">
        <f>(Table6[[#This Row],[Work Start TimeStamp]]-Table6[[#This Row],[Fault Start TimeStamp]])*24</f>
        <v>0</v>
      </c>
      <c r="P820" s="19">
        <f>(Table6[[#This Row],[Fault Clearance time]]-Table6[[#This Row],[Fault Start TimeStamp]])*24</f>
        <v>0.13333333333333286</v>
      </c>
      <c r="Q820" s="19">
        <f>(Table6[[#This Row],[Fault Clearance time]]-Table6[[#This Row],[Fault Start TimeStamp]])*24</f>
        <v>0.13333333333333286</v>
      </c>
      <c r="R820" s="79" t="s">
        <v>353</v>
      </c>
      <c r="S820" s="79" t="s">
        <v>339</v>
      </c>
      <c r="T820" s="298">
        <f>IFERROR(Table6[[#This Row],[Breakdown Time]]*Table6[[#This Row],[Plant Equivalent Weightage]],"")</f>
        <v>3.0303030303030195E-3</v>
      </c>
      <c r="U820" s="79" t="s">
        <v>421</v>
      </c>
      <c r="W820" s="79">
        <v>265</v>
      </c>
    </row>
    <row r="821" spans="1:23">
      <c r="A821" s="79">
        <f t="shared" si="12"/>
        <v>820</v>
      </c>
      <c r="B821" s="79">
        <f>YEAR(Table6[[#This Row],[Date]])+IF(MONTH(Table6[[#This Row],[Date]])&gt;=4,1,0)</f>
        <v>2026</v>
      </c>
      <c r="C821" s="79">
        <f>YEAR(Table6[[#This Row],[Date]])</f>
        <v>2025</v>
      </c>
      <c r="D821" s="79" t="s">
        <v>344</v>
      </c>
      <c r="E821" s="284">
        <f>Table6[[#This Row],[Date]]-DAY(Table6[[#This Row],[Date]])+1</f>
        <v>45809</v>
      </c>
      <c r="F821" s="285">
        <v>45825</v>
      </c>
      <c r="G821" s="79" t="s">
        <v>78</v>
      </c>
      <c r="H821" s="79" t="str">
        <f>IFERROR(_xlfn.XLOOKUP(Table6[[#This Row],[Affected Feeder ]],'Basic Data'!$A:$A,'Basic Data'!$B:$B),"")</f>
        <v>PWEPL</v>
      </c>
      <c r="I821" s="79" t="str">
        <f>IFERROR(_xlfn.XLOOKUP(Table6[[#This Row],[Affected Feeder ]],'Basic Data'!$A:$A,'Basic Data'!$C:$C),"")</f>
        <v>MSEDCL</v>
      </c>
      <c r="J821" s="295">
        <f>IFERROR(_xlfn.XLOOKUP(Table6[[#This Row],[Affected Feeder ]],'Basic Data'!$A:$A,'Basic Data'!$E:$E),"")</f>
        <v>2.2727272727272728E-2</v>
      </c>
      <c r="K821" s="296" t="s">
        <v>171</v>
      </c>
      <c r="L821" s="297">
        <v>0.85763888888888884</v>
      </c>
      <c r="M821" s="297">
        <v>0.85763888888888884</v>
      </c>
      <c r="N821" s="297">
        <v>0.86597222222222225</v>
      </c>
      <c r="O821" s="19">
        <f>(Table6[[#This Row],[Work Start TimeStamp]]-Table6[[#This Row],[Fault Start TimeStamp]])*24</f>
        <v>0</v>
      </c>
      <c r="P821" s="19">
        <f>(Table6[[#This Row],[Fault Clearance time]]-Table6[[#This Row],[Fault Start TimeStamp]])*24</f>
        <v>0.20000000000000195</v>
      </c>
      <c r="Q821" s="19">
        <f>(Table6[[#This Row],[Fault Clearance time]]-Table6[[#This Row],[Fault Start TimeStamp]])*24</f>
        <v>0.20000000000000195</v>
      </c>
      <c r="R821" s="79" t="s">
        <v>353</v>
      </c>
      <c r="S821" s="79" t="s">
        <v>339</v>
      </c>
      <c r="T821" s="298">
        <f>IFERROR(Table6[[#This Row],[Breakdown Time]]*Table6[[#This Row],[Plant Equivalent Weightage]],"")</f>
        <v>4.5454545454545903E-3</v>
      </c>
      <c r="U821" s="79" t="s">
        <v>421</v>
      </c>
      <c r="W821" s="79">
        <v>398</v>
      </c>
    </row>
    <row r="822" spans="1:23">
      <c r="A822" s="79">
        <f t="shared" si="12"/>
        <v>821</v>
      </c>
      <c r="B822" s="79">
        <f>YEAR(Table6[[#This Row],[Date]])+IF(MONTH(Table6[[#This Row],[Date]])&gt;=4,1,0)</f>
        <v>2026</v>
      </c>
      <c r="C822" s="79">
        <f>YEAR(Table6[[#This Row],[Date]])</f>
        <v>2025</v>
      </c>
      <c r="D822" s="79" t="s">
        <v>344</v>
      </c>
      <c r="E822" s="284">
        <f>Table6[[#This Row],[Date]]-DAY(Table6[[#This Row],[Date]])+1</f>
        <v>45809</v>
      </c>
      <c r="F822" s="285">
        <v>45825</v>
      </c>
      <c r="G822" s="79" t="s">
        <v>82</v>
      </c>
      <c r="H822" s="79" t="str">
        <f>IFERROR(_xlfn.XLOOKUP(Table6[[#This Row],[Affected Feeder ]],'Basic Data'!$A:$A,'Basic Data'!$B:$B),"")</f>
        <v>PWEPL</v>
      </c>
      <c r="I822" s="79" t="str">
        <f>IFERROR(_xlfn.XLOOKUP(Table6[[#This Row],[Affected Feeder ]],'Basic Data'!$A:$A,'Basic Data'!$C:$C),"")</f>
        <v>MSEDCL</v>
      </c>
      <c r="J822" s="295">
        <f>IFERROR(_xlfn.XLOOKUP(Table6[[#This Row],[Affected Feeder ]],'Basic Data'!$A:$A,'Basic Data'!$E:$E),"")</f>
        <v>2.2727272727272728E-2</v>
      </c>
      <c r="K822" s="296" t="s">
        <v>171</v>
      </c>
      <c r="L822" s="297">
        <v>0.85763888888888884</v>
      </c>
      <c r="M822" s="297">
        <v>0.85763888888888884</v>
      </c>
      <c r="N822" s="297">
        <v>0.86458333333333337</v>
      </c>
      <c r="O822" s="19">
        <f>(Table6[[#This Row],[Work Start TimeStamp]]-Table6[[#This Row],[Fault Start TimeStamp]])*24</f>
        <v>0</v>
      </c>
      <c r="P822" s="19">
        <f>(Table6[[#This Row],[Fault Clearance time]]-Table6[[#This Row],[Fault Start TimeStamp]])*24</f>
        <v>0.16666666666666874</v>
      </c>
      <c r="Q822" s="19">
        <f>(Table6[[#This Row],[Fault Clearance time]]-Table6[[#This Row],[Fault Start TimeStamp]])*24</f>
        <v>0.16666666666666874</v>
      </c>
      <c r="R822" s="79" t="s">
        <v>353</v>
      </c>
      <c r="S822" s="79" t="s">
        <v>339</v>
      </c>
      <c r="T822" s="298">
        <f>IFERROR(Table6[[#This Row],[Breakdown Time]]*Table6[[#This Row],[Plant Equivalent Weightage]],"")</f>
        <v>3.7878787878788353E-3</v>
      </c>
      <c r="U822" s="79" t="s">
        <v>421</v>
      </c>
      <c r="W822" s="79">
        <v>331</v>
      </c>
    </row>
    <row r="823" spans="1:23">
      <c r="A823" s="79">
        <f t="shared" si="12"/>
        <v>822</v>
      </c>
      <c r="B823" s="79">
        <f>YEAR(Table6[[#This Row],[Date]])+IF(MONTH(Table6[[#This Row],[Date]])&gt;=4,1,0)</f>
        <v>2026</v>
      </c>
      <c r="C823" s="79">
        <f>YEAR(Table6[[#This Row],[Date]])</f>
        <v>2025</v>
      </c>
      <c r="D823" s="79" t="s">
        <v>344</v>
      </c>
      <c r="E823" s="284">
        <f>Table6[[#This Row],[Date]]-DAY(Table6[[#This Row],[Date]])+1</f>
        <v>45809</v>
      </c>
      <c r="F823" s="285">
        <v>45825</v>
      </c>
      <c r="G823" s="79" t="s">
        <v>93</v>
      </c>
      <c r="H823" s="79" t="str">
        <f>IFERROR(_xlfn.XLOOKUP(Table6[[#This Row],[Affected Feeder ]],'Basic Data'!$A:$A,'Basic Data'!$B:$B),"")</f>
        <v>PWEPL</v>
      </c>
      <c r="I823" s="79" t="str">
        <f>IFERROR(_xlfn.XLOOKUP(Table6[[#This Row],[Affected Feeder ]],'Basic Data'!$A:$A,'Basic Data'!$C:$C),"")</f>
        <v>MSEDCL</v>
      </c>
      <c r="J823" s="295">
        <f>IFERROR(_xlfn.XLOOKUP(Table6[[#This Row],[Affected Feeder ]],'Basic Data'!$A:$A,'Basic Data'!$E:$E),"")</f>
        <v>2.2727272727272728E-2</v>
      </c>
      <c r="K823" s="296" t="s">
        <v>171</v>
      </c>
      <c r="L823" s="297">
        <v>0.85763888888888884</v>
      </c>
      <c r="M823" s="297">
        <v>0.85763888888888884</v>
      </c>
      <c r="N823" s="297">
        <v>0.86458333333333337</v>
      </c>
      <c r="O823" s="19">
        <f>(Table6[[#This Row],[Work Start TimeStamp]]-Table6[[#This Row],[Fault Start TimeStamp]])*24</f>
        <v>0</v>
      </c>
      <c r="P823" s="19">
        <f>(Table6[[#This Row],[Fault Clearance time]]-Table6[[#This Row],[Fault Start TimeStamp]])*24</f>
        <v>0.16666666666666874</v>
      </c>
      <c r="Q823" s="19">
        <f>(Table6[[#This Row],[Fault Clearance time]]-Table6[[#This Row],[Fault Start TimeStamp]])*24</f>
        <v>0.16666666666666874</v>
      </c>
      <c r="R823" s="79" t="s">
        <v>353</v>
      </c>
      <c r="S823" s="79" t="s">
        <v>339</v>
      </c>
      <c r="T823" s="298">
        <f>IFERROR(Table6[[#This Row],[Breakdown Time]]*Table6[[#This Row],[Plant Equivalent Weightage]],"")</f>
        <v>3.7878787878788353E-3</v>
      </c>
      <c r="U823" s="79" t="s">
        <v>421</v>
      </c>
      <c r="W823" s="79">
        <v>331</v>
      </c>
    </row>
    <row r="824" spans="1:23">
      <c r="A824" s="79">
        <f t="shared" si="12"/>
        <v>823</v>
      </c>
      <c r="B824" s="79">
        <f>YEAR(Table6[[#This Row],[Date]])+IF(MONTH(Table6[[#This Row],[Date]])&gt;=4,1,0)</f>
        <v>2026</v>
      </c>
      <c r="C824" s="79">
        <f>YEAR(Table6[[#This Row],[Date]])</f>
        <v>2025</v>
      </c>
      <c r="D824" s="79" t="s">
        <v>344</v>
      </c>
      <c r="E824" s="284">
        <f>Table6[[#This Row],[Date]]-DAY(Table6[[#This Row],[Date]])+1</f>
        <v>45809</v>
      </c>
      <c r="F824" s="285">
        <v>45825</v>
      </c>
      <c r="G824" s="79" t="s">
        <v>102</v>
      </c>
      <c r="H824" s="79" t="str">
        <f>IFERROR(_xlfn.XLOOKUP(Table6[[#This Row],[Affected Feeder ]],'Basic Data'!$A:$A,'Basic Data'!$B:$B),"")</f>
        <v>PWEPL</v>
      </c>
      <c r="I824" s="79" t="str">
        <f>IFERROR(_xlfn.XLOOKUP(Table6[[#This Row],[Affected Feeder ]],'Basic Data'!$A:$A,'Basic Data'!$C:$C),"")</f>
        <v>MSEDCL</v>
      </c>
      <c r="J824" s="295">
        <f>IFERROR(_xlfn.XLOOKUP(Table6[[#This Row],[Affected Feeder ]],'Basic Data'!$A:$A,'Basic Data'!$E:$E),"")</f>
        <v>2.2727272727272728E-2</v>
      </c>
      <c r="K824" s="296" t="s">
        <v>171</v>
      </c>
      <c r="L824" s="297">
        <v>0.85763888888888884</v>
      </c>
      <c r="M824" s="297">
        <v>0.85763888888888884</v>
      </c>
      <c r="N824" s="297">
        <v>0.8666666666666667</v>
      </c>
      <c r="O824" s="19">
        <f>(Table6[[#This Row],[Work Start TimeStamp]]-Table6[[#This Row],[Fault Start TimeStamp]])*24</f>
        <v>0</v>
      </c>
      <c r="P824" s="19">
        <f>(Table6[[#This Row],[Fault Clearance time]]-Table6[[#This Row],[Fault Start TimeStamp]])*24</f>
        <v>0.21666666666666856</v>
      </c>
      <c r="Q824" s="19">
        <f>(Table6[[#This Row],[Fault Clearance time]]-Table6[[#This Row],[Fault Start TimeStamp]])*24</f>
        <v>0.21666666666666856</v>
      </c>
      <c r="R824" s="79" t="s">
        <v>353</v>
      </c>
      <c r="S824" s="79" t="s">
        <v>339</v>
      </c>
      <c r="T824" s="298">
        <f>IFERROR(Table6[[#This Row],[Breakdown Time]]*Table6[[#This Row],[Plant Equivalent Weightage]],"")</f>
        <v>4.9242424242424672E-3</v>
      </c>
      <c r="U824" s="79" t="s">
        <v>421</v>
      </c>
      <c r="W824" s="79">
        <v>398</v>
      </c>
    </row>
    <row r="825" spans="1:23">
      <c r="A825" s="79">
        <f t="shared" si="12"/>
        <v>824</v>
      </c>
      <c r="B825" s="79">
        <f>YEAR(Table6[[#This Row],[Date]])+IF(MONTH(Table6[[#This Row],[Date]])&gt;=4,1,0)</f>
        <v>2026</v>
      </c>
      <c r="C825" s="79">
        <f>YEAR(Table6[[#This Row],[Date]])</f>
        <v>2025</v>
      </c>
      <c r="D825" s="79" t="s">
        <v>344</v>
      </c>
      <c r="E825" s="284">
        <f>Table6[[#This Row],[Date]]-DAY(Table6[[#This Row],[Date]])+1</f>
        <v>45809</v>
      </c>
      <c r="F825" s="285">
        <v>45825</v>
      </c>
      <c r="G825" s="79" t="s">
        <v>119</v>
      </c>
      <c r="H825" s="79" t="str">
        <f>IFERROR(_xlfn.XLOOKUP(Table6[[#This Row],[Affected Feeder ]],'Basic Data'!$A:$A,'Basic Data'!$B:$B),"")</f>
        <v>PWEPL</v>
      </c>
      <c r="I825" s="79" t="str">
        <f>IFERROR(_xlfn.XLOOKUP(Table6[[#This Row],[Affected Feeder ]],'Basic Data'!$A:$A,'Basic Data'!$C:$C),"")</f>
        <v>MSEDCL</v>
      </c>
      <c r="J825" s="295">
        <f>IFERROR(_xlfn.XLOOKUP(Table6[[#This Row],[Affected Feeder ]],'Basic Data'!$A:$A,'Basic Data'!$E:$E),"")</f>
        <v>2.2727272727272728E-2</v>
      </c>
      <c r="K825" s="296" t="s">
        <v>171</v>
      </c>
      <c r="L825" s="297">
        <v>0.85763888888888884</v>
      </c>
      <c r="M825" s="297">
        <v>0.85763888888888884</v>
      </c>
      <c r="N825" s="297">
        <v>0.8652777777777777</v>
      </c>
      <c r="O825" s="19">
        <f>(Table6[[#This Row],[Work Start TimeStamp]]-Table6[[#This Row],[Fault Start TimeStamp]])*24</f>
        <v>0</v>
      </c>
      <c r="P825" s="19">
        <f>(Table6[[#This Row],[Fault Clearance time]]-Table6[[#This Row],[Fault Start TimeStamp]])*24</f>
        <v>0.18333333333333268</v>
      </c>
      <c r="Q825" s="19">
        <f>(Table6[[#This Row],[Fault Clearance time]]-Table6[[#This Row],[Fault Start TimeStamp]])*24</f>
        <v>0.18333333333333268</v>
      </c>
      <c r="R825" s="79" t="s">
        <v>353</v>
      </c>
      <c r="S825" s="79" t="s">
        <v>339</v>
      </c>
      <c r="T825" s="298">
        <f>IFERROR(Table6[[#This Row],[Breakdown Time]]*Table6[[#This Row],[Plant Equivalent Weightage]],"")</f>
        <v>4.1666666666666519E-3</v>
      </c>
      <c r="U825" s="79" t="s">
        <v>421</v>
      </c>
      <c r="W825" s="79">
        <v>364</v>
      </c>
    </row>
    <row r="826" spans="1:23">
      <c r="A826" s="79">
        <f t="shared" si="12"/>
        <v>825</v>
      </c>
      <c r="B826" s="79">
        <f>YEAR(Table6[[#This Row],[Date]])+IF(MONTH(Table6[[#This Row],[Date]])&gt;=4,1,0)</f>
        <v>2026</v>
      </c>
      <c r="C826" s="79">
        <f>YEAR(Table6[[#This Row],[Date]])</f>
        <v>2025</v>
      </c>
      <c r="D826" s="79" t="s">
        <v>344</v>
      </c>
      <c r="E826" s="284">
        <f>Table6[[#This Row],[Date]]-DAY(Table6[[#This Row],[Date]])+1</f>
        <v>45809</v>
      </c>
      <c r="F826" s="285">
        <v>45825</v>
      </c>
      <c r="G826" s="79" t="s">
        <v>103</v>
      </c>
      <c r="H826" s="79" t="str">
        <f>IFERROR(_xlfn.XLOOKUP(Table6[[#This Row],[Affected Feeder ]],'Basic Data'!$A:$A,'Basic Data'!$B:$B),"")</f>
        <v>PWEPL</v>
      </c>
      <c r="I826" s="79" t="str">
        <f>IFERROR(_xlfn.XLOOKUP(Table6[[#This Row],[Affected Feeder ]],'Basic Data'!$A:$A,'Basic Data'!$C:$C),"")</f>
        <v>MSEDCL</v>
      </c>
      <c r="J826" s="295">
        <f>IFERROR(_xlfn.XLOOKUP(Table6[[#This Row],[Affected Feeder ]],'Basic Data'!$A:$A,'Basic Data'!$E:$E),"")</f>
        <v>2.2727272727272728E-2</v>
      </c>
      <c r="K826" s="296" t="s">
        <v>909</v>
      </c>
      <c r="L826" s="297">
        <v>0.85763888888888884</v>
      </c>
      <c r="M826" s="297">
        <v>0.85763888888888884</v>
      </c>
      <c r="N826" s="297">
        <v>0.92152777777777783</v>
      </c>
      <c r="O826" s="19">
        <f>(Table6[[#This Row],[Work Start TimeStamp]]-Table6[[#This Row],[Fault Start TimeStamp]])*24</f>
        <v>0</v>
      </c>
      <c r="P826" s="19">
        <f>(Table6[[#This Row],[Fault Clearance time]]-Table6[[#This Row],[Fault Start TimeStamp]])*24</f>
        <v>1.5333333333333359</v>
      </c>
      <c r="Q826" s="19">
        <f>(Table6[[#This Row],[Fault Clearance time]]-Table6[[#This Row],[Fault Start TimeStamp]])*24</f>
        <v>1.5333333333333359</v>
      </c>
      <c r="R826" s="79" t="s">
        <v>353</v>
      </c>
      <c r="S826" s="79" t="s">
        <v>339</v>
      </c>
      <c r="T826" s="298">
        <f>IFERROR(Table6[[#This Row],[Breakdown Time]]*Table6[[#This Row],[Plant Equivalent Weightage]],"")</f>
        <v>3.4848484848484906E-2</v>
      </c>
      <c r="U826" s="79" t="s">
        <v>421</v>
      </c>
      <c r="W826" s="79">
        <v>1034</v>
      </c>
    </row>
    <row r="827" spans="1:23">
      <c r="A827" s="79">
        <f t="shared" si="12"/>
        <v>826</v>
      </c>
      <c r="B827" s="79">
        <f>YEAR(Table6[[#This Row],[Date]])+IF(MONTH(Table6[[#This Row],[Date]])&gt;=4,1,0)</f>
        <v>2026</v>
      </c>
      <c r="C827" s="79">
        <f>YEAR(Table6[[#This Row],[Date]])</f>
        <v>2025</v>
      </c>
      <c r="D827" s="79" t="s">
        <v>344</v>
      </c>
      <c r="E827" s="284">
        <f>Table6[[#This Row],[Date]]-DAY(Table6[[#This Row],[Date]])+1</f>
        <v>45809</v>
      </c>
      <c r="F827" s="285">
        <v>45825</v>
      </c>
      <c r="G827" s="79" t="s">
        <v>103</v>
      </c>
      <c r="H827" s="79" t="str">
        <f>IFERROR(_xlfn.XLOOKUP(Table6[[#This Row],[Affected Feeder ]],'Basic Data'!$A:$A,'Basic Data'!$B:$B),"")</f>
        <v>PWEPL</v>
      </c>
      <c r="I827" s="79" t="str">
        <f>IFERROR(_xlfn.XLOOKUP(Table6[[#This Row],[Affected Feeder ]],'Basic Data'!$A:$A,'Basic Data'!$C:$C),"")</f>
        <v>MSEDCL</v>
      </c>
      <c r="J827" s="295">
        <f>IFERROR(_xlfn.XLOOKUP(Table6[[#This Row],[Affected Feeder ]],'Basic Data'!$A:$A,'Basic Data'!$E:$E),"")</f>
        <v>2.2727272727272728E-2</v>
      </c>
      <c r="K827" s="296" t="s">
        <v>171</v>
      </c>
      <c r="L827" s="297">
        <v>0.92152777777777783</v>
      </c>
      <c r="M827" s="297">
        <v>0.92152777777777783</v>
      </c>
      <c r="N827" s="297">
        <v>0.93541666666666667</v>
      </c>
      <c r="O827" s="19">
        <f>(Table6[[#This Row],[Work Start TimeStamp]]-Table6[[#This Row],[Fault Start TimeStamp]])*24</f>
        <v>0</v>
      </c>
      <c r="P827" s="19">
        <f>(Table6[[#This Row],[Fault Clearance time]]-Table6[[#This Row],[Fault Start TimeStamp]])*24</f>
        <v>0.33333333333333215</v>
      </c>
      <c r="Q827" s="19">
        <f>(Table6[[#This Row],[Fault Clearance time]]-Table6[[#This Row],[Fault Start TimeStamp]])*24</f>
        <v>0.33333333333333215</v>
      </c>
      <c r="R827" s="79" t="s">
        <v>353</v>
      </c>
      <c r="S827" s="79" t="s">
        <v>339</v>
      </c>
      <c r="T827" s="298">
        <f>IFERROR(Table6[[#This Row],[Breakdown Time]]*Table6[[#This Row],[Plant Equivalent Weightage]],"")</f>
        <v>7.5757575757575491E-3</v>
      </c>
      <c r="U827" s="79" t="s">
        <v>421</v>
      </c>
      <c r="W827" s="79">
        <v>517</v>
      </c>
    </row>
    <row r="828" spans="1:23">
      <c r="A828" s="79">
        <f t="shared" si="12"/>
        <v>827</v>
      </c>
      <c r="B828" s="79">
        <f>YEAR(Table6[[#This Row],[Date]])+IF(MONTH(Table6[[#This Row],[Date]])&gt;=4,1,0)</f>
        <v>2026</v>
      </c>
      <c r="C828" s="79">
        <f>YEAR(Table6[[#This Row],[Date]])</f>
        <v>2025</v>
      </c>
      <c r="D828" s="79" t="s">
        <v>344</v>
      </c>
      <c r="E828" s="284">
        <f>Table6[[#This Row],[Date]]-DAY(Table6[[#This Row],[Date]])+1</f>
        <v>45809</v>
      </c>
      <c r="F828" s="285">
        <v>45825</v>
      </c>
      <c r="G828" s="79" t="s">
        <v>105</v>
      </c>
      <c r="H828" s="79" t="str">
        <f>IFERROR(_xlfn.XLOOKUP(Table6[[#This Row],[Affected Feeder ]],'Basic Data'!$A:$A,'Basic Data'!$B:$B),"")</f>
        <v>PWEPL</v>
      </c>
      <c r="I828" s="79" t="str">
        <f>IFERROR(_xlfn.XLOOKUP(Table6[[#This Row],[Affected Feeder ]],'Basic Data'!$A:$A,'Basic Data'!$C:$C),"")</f>
        <v>MSEDCL</v>
      </c>
      <c r="J828" s="295">
        <f>IFERROR(_xlfn.XLOOKUP(Table6[[#This Row],[Affected Feeder ]],'Basic Data'!$A:$A,'Basic Data'!$E:$E),"")</f>
        <v>2.2727272727272728E-2</v>
      </c>
      <c r="K828" s="296" t="s">
        <v>909</v>
      </c>
      <c r="L828" s="297">
        <v>0.85763888888888884</v>
      </c>
      <c r="M828" s="297">
        <v>0.85763888888888884</v>
      </c>
      <c r="N828" s="297">
        <v>0.92152777777777783</v>
      </c>
      <c r="O828" s="19">
        <f>(Table6[[#This Row],[Work Start TimeStamp]]-Table6[[#This Row],[Fault Start TimeStamp]])*24</f>
        <v>0</v>
      </c>
      <c r="P828" s="19">
        <f>(Table6[[#This Row],[Fault Clearance time]]-Table6[[#This Row],[Fault Start TimeStamp]])*24</f>
        <v>1.5333333333333359</v>
      </c>
      <c r="Q828" s="19">
        <f>(Table6[[#This Row],[Fault Clearance time]]-Table6[[#This Row],[Fault Start TimeStamp]])*24</f>
        <v>1.5333333333333359</v>
      </c>
      <c r="R828" s="79" t="s">
        <v>353</v>
      </c>
      <c r="S828" s="79" t="s">
        <v>339</v>
      </c>
      <c r="T828" s="298">
        <f>IFERROR(Table6[[#This Row],[Breakdown Time]]*Table6[[#This Row],[Plant Equivalent Weightage]],"")</f>
        <v>3.4848484848484906E-2</v>
      </c>
      <c r="U828" s="79" t="s">
        <v>421</v>
      </c>
      <c r="W828" s="79">
        <v>1034</v>
      </c>
    </row>
    <row r="829" spans="1:23">
      <c r="A829" s="79">
        <f t="shared" si="12"/>
        <v>828</v>
      </c>
      <c r="B829" s="79">
        <f>YEAR(Table6[[#This Row],[Date]])+IF(MONTH(Table6[[#This Row],[Date]])&gt;=4,1,0)</f>
        <v>2026</v>
      </c>
      <c r="C829" s="79">
        <f>YEAR(Table6[[#This Row],[Date]])</f>
        <v>2025</v>
      </c>
      <c r="D829" s="79" t="s">
        <v>344</v>
      </c>
      <c r="E829" s="284">
        <f>Table6[[#This Row],[Date]]-DAY(Table6[[#This Row],[Date]])+1</f>
        <v>45809</v>
      </c>
      <c r="F829" s="285">
        <v>45825</v>
      </c>
      <c r="G829" s="79" t="s">
        <v>105</v>
      </c>
      <c r="H829" s="79" t="str">
        <f>IFERROR(_xlfn.XLOOKUP(Table6[[#This Row],[Affected Feeder ]],'Basic Data'!$A:$A,'Basic Data'!$B:$B),"")</f>
        <v>PWEPL</v>
      </c>
      <c r="I829" s="79" t="str">
        <f>IFERROR(_xlfn.XLOOKUP(Table6[[#This Row],[Affected Feeder ]],'Basic Data'!$A:$A,'Basic Data'!$C:$C),"")</f>
        <v>MSEDCL</v>
      </c>
      <c r="J829" s="295">
        <f>IFERROR(_xlfn.XLOOKUP(Table6[[#This Row],[Affected Feeder ]],'Basic Data'!$A:$A,'Basic Data'!$E:$E),"")</f>
        <v>2.2727272727272728E-2</v>
      </c>
      <c r="K829" s="296" t="s">
        <v>171</v>
      </c>
      <c r="L829" s="297">
        <v>0.92152777777777783</v>
      </c>
      <c r="M829" s="297">
        <v>0.92152777777777783</v>
      </c>
      <c r="N829" s="297">
        <v>0.93541666666666667</v>
      </c>
      <c r="O829" s="19">
        <f>(Table6[[#This Row],[Work Start TimeStamp]]-Table6[[#This Row],[Fault Start TimeStamp]])*24</f>
        <v>0</v>
      </c>
      <c r="P829" s="19">
        <f>(Table6[[#This Row],[Fault Clearance time]]-Table6[[#This Row],[Fault Start TimeStamp]])*24</f>
        <v>0.33333333333333215</v>
      </c>
      <c r="Q829" s="19">
        <f>(Table6[[#This Row],[Fault Clearance time]]-Table6[[#This Row],[Fault Start TimeStamp]])*24</f>
        <v>0.33333333333333215</v>
      </c>
      <c r="R829" s="79" t="s">
        <v>353</v>
      </c>
      <c r="S829" s="79" t="s">
        <v>339</v>
      </c>
      <c r="T829" s="298">
        <f>IFERROR(Table6[[#This Row],[Breakdown Time]]*Table6[[#This Row],[Plant Equivalent Weightage]],"")</f>
        <v>7.5757575757575491E-3</v>
      </c>
      <c r="U829" s="79" t="s">
        <v>421</v>
      </c>
      <c r="W829" s="79">
        <v>517</v>
      </c>
    </row>
    <row r="830" spans="1:23">
      <c r="A830" s="79">
        <f t="shared" si="12"/>
        <v>829</v>
      </c>
      <c r="B830" s="79">
        <f>YEAR(Table6[[#This Row],[Date]])+IF(MONTH(Table6[[#This Row],[Date]])&gt;=4,1,0)</f>
        <v>2026</v>
      </c>
      <c r="C830" s="79">
        <f>YEAR(Table6[[#This Row],[Date]])</f>
        <v>2025</v>
      </c>
      <c r="D830" s="79" t="s">
        <v>344</v>
      </c>
      <c r="E830" s="284">
        <f>Table6[[#This Row],[Date]]-DAY(Table6[[#This Row],[Date]])+1</f>
        <v>45809</v>
      </c>
      <c r="F830" s="285">
        <v>45825</v>
      </c>
      <c r="G830" s="79" t="s">
        <v>115</v>
      </c>
      <c r="H830" s="79" t="str">
        <f>IFERROR(_xlfn.XLOOKUP(Table6[[#This Row],[Affected Feeder ]],'Basic Data'!$A:$A,'Basic Data'!$B:$B),"")</f>
        <v>PWEPL</v>
      </c>
      <c r="I830" s="79" t="str">
        <f>IFERROR(_xlfn.XLOOKUP(Table6[[#This Row],[Affected Feeder ]],'Basic Data'!$A:$A,'Basic Data'!$C:$C),"")</f>
        <v>MSEDCL</v>
      </c>
      <c r="J830" s="295">
        <f>IFERROR(_xlfn.XLOOKUP(Table6[[#This Row],[Affected Feeder ]],'Basic Data'!$A:$A,'Basic Data'!$E:$E),"")</f>
        <v>2.2727272727272728E-2</v>
      </c>
      <c r="K830" s="296" t="s">
        <v>909</v>
      </c>
      <c r="L830" s="297">
        <v>0.85763888888888884</v>
      </c>
      <c r="M830" s="297">
        <v>0.85763888888888884</v>
      </c>
      <c r="N830" s="297">
        <v>0.92152777777777783</v>
      </c>
      <c r="O830" s="19">
        <f>(Table6[[#This Row],[Work Start TimeStamp]]-Table6[[#This Row],[Fault Start TimeStamp]])*24</f>
        <v>0</v>
      </c>
      <c r="P830" s="19">
        <f>(Table6[[#This Row],[Fault Clearance time]]-Table6[[#This Row],[Fault Start TimeStamp]])*24</f>
        <v>1.5333333333333359</v>
      </c>
      <c r="Q830" s="19">
        <f>(Table6[[#This Row],[Fault Clearance time]]-Table6[[#This Row],[Fault Start TimeStamp]])*24</f>
        <v>1.5333333333333359</v>
      </c>
      <c r="R830" s="79" t="s">
        <v>353</v>
      </c>
      <c r="S830" s="79" t="s">
        <v>339</v>
      </c>
      <c r="T830" s="298">
        <f>IFERROR(Table6[[#This Row],[Breakdown Time]]*Table6[[#This Row],[Plant Equivalent Weightage]],"")</f>
        <v>3.4848484848484906E-2</v>
      </c>
      <c r="U830" s="79" t="s">
        <v>421</v>
      </c>
      <c r="W830" s="79">
        <v>1034</v>
      </c>
    </row>
    <row r="831" spans="1:23">
      <c r="A831" s="79">
        <f t="shared" si="12"/>
        <v>830</v>
      </c>
      <c r="B831" s="79">
        <f>YEAR(Table6[[#This Row],[Date]])+IF(MONTH(Table6[[#This Row],[Date]])&gt;=4,1,0)</f>
        <v>2026</v>
      </c>
      <c r="C831" s="79">
        <f>YEAR(Table6[[#This Row],[Date]])</f>
        <v>2025</v>
      </c>
      <c r="D831" s="79" t="s">
        <v>344</v>
      </c>
      <c r="E831" s="284">
        <f>Table6[[#This Row],[Date]]-DAY(Table6[[#This Row],[Date]])+1</f>
        <v>45809</v>
      </c>
      <c r="F831" s="285">
        <v>45825</v>
      </c>
      <c r="G831" s="79" t="s">
        <v>115</v>
      </c>
      <c r="H831" s="79" t="str">
        <f>IFERROR(_xlfn.XLOOKUP(Table6[[#This Row],[Affected Feeder ]],'Basic Data'!$A:$A,'Basic Data'!$B:$B),"")</f>
        <v>PWEPL</v>
      </c>
      <c r="I831" s="79" t="str">
        <f>IFERROR(_xlfn.XLOOKUP(Table6[[#This Row],[Affected Feeder ]],'Basic Data'!$A:$A,'Basic Data'!$C:$C),"")</f>
        <v>MSEDCL</v>
      </c>
      <c r="J831" s="295">
        <f>IFERROR(_xlfn.XLOOKUP(Table6[[#This Row],[Affected Feeder ]],'Basic Data'!$A:$A,'Basic Data'!$E:$E),"")</f>
        <v>2.2727272727272728E-2</v>
      </c>
      <c r="K831" s="296" t="s">
        <v>171</v>
      </c>
      <c r="L831" s="297">
        <v>0.92152777777777783</v>
      </c>
      <c r="M831" s="297">
        <v>0.92152777777777783</v>
      </c>
      <c r="N831" s="297">
        <v>0.93541666666666667</v>
      </c>
      <c r="O831" s="19">
        <f>(Table6[[#This Row],[Work Start TimeStamp]]-Table6[[#This Row],[Fault Start TimeStamp]])*24</f>
        <v>0</v>
      </c>
      <c r="P831" s="19">
        <f>(Table6[[#This Row],[Fault Clearance time]]-Table6[[#This Row],[Fault Start TimeStamp]])*24</f>
        <v>0.33333333333333215</v>
      </c>
      <c r="Q831" s="19">
        <f>(Table6[[#This Row],[Fault Clearance time]]-Table6[[#This Row],[Fault Start TimeStamp]])*24</f>
        <v>0.33333333333333215</v>
      </c>
      <c r="R831" s="79" t="s">
        <v>353</v>
      </c>
      <c r="S831" s="79" t="s">
        <v>339</v>
      </c>
      <c r="T831" s="298">
        <f>IFERROR(Table6[[#This Row],[Breakdown Time]]*Table6[[#This Row],[Plant Equivalent Weightage]],"")</f>
        <v>7.5757575757575491E-3</v>
      </c>
      <c r="U831" s="79" t="s">
        <v>421</v>
      </c>
      <c r="W831" s="79">
        <v>517</v>
      </c>
    </row>
    <row r="832" spans="1:23">
      <c r="A832" s="79">
        <f t="shared" si="12"/>
        <v>831</v>
      </c>
      <c r="B832" s="79">
        <f>YEAR(Table6[[#This Row],[Date]])+IF(MONTH(Table6[[#This Row],[Date]])&gt;=4,1,0)</f>
        <v>2026</v>
      </c>
      <c r="C832" s="79">
        <f>YEAR(Table6[[#This Row],[Date]])</f>
        <v>2025</v>
      </c>
      <c r="D832" s="79" t="s">
        <v>344</v>
      </c>
      <c r="E832" s="284">
        <f>Table6[[#This Row],[Date]]-DAY(Table6[[#This Row],[Date]])+1</f>
        <v>45809</v>
      </c>
      <c r="F832" s="285">
        <v>45825</v>
      </c>
      <c r="G832" s="79" t="s">
        <v>116</v>
      </c>
      <c r="H832" s="79" t="str">
        <f>IFERROR(_xlfn.XLOOKUP(Table6[[#This Row],[Affected Feeder ]],'Basic Data'!$A:$A,'Basic Data'!$B:$B),"")</f>
        <v>PWEPL</v>
      </c>
      <c r="I832" s="79" t="str">
        <f>IFERROR(_xlfn.XLOOKUP(Table6[[#This Row],[Affected Feeder ]],'Basic Data'!$A:$A,'Basic Data'!$C:$C),"")</f>
        <v>MSEDCL</v>
      </c>
      <c r="J832" s="295">
        <f>IFERROR(_xlfn.XLOOKUP(Table6[[#This Row],[Affected Feeder ]],'Basic Data'!$A:$A,'Basic Data'!$E:$E),"")</f>
        <v>2.2727272727272728E-2</v>
      </c>
      <c r="K832" s="296" t="s">
        <v>909</v>
      </c>
      <c r="L832" s="297">
        <v>0.85763888888888884</v>
      </c>
      <c r="M832" s="297">
        <v>0.85763888888888884</v>
      </c>
      <c r="N832" s="297">
        <v>0.92152777777777783</v>
      </c>
      <c r="O832" s="19">
        <f>(Table6[[#This Row],[Work Start TimeStamp]]-Table6[[#This Row],[Fault Start TimeStamp]])*24</f>
        <v>0</v>
      </c>
      <c r="P832" s="19">
        <f>(Table6[[#This Row],[Fault Clearance time]]-Table6[[#This Row],[Fault Start TimeStamp]])*24</f>
        <v>1.5333333333333359</v>
      </c>
      <c r="Q832" s="19">
        <f>(Table6[[#This Row],[Fault Clearance time]]-Table6[[#This Row],[Fault Start TimeStamp]])*24</f>
        <v>1.5333333333333359</v>
      </c>
      <c r="R832" s="79" t="s">
        <v>353</v>
      </c>
      <c r="S832" s="79" t="s">
        <v>339</v>
      </c>
      <c r="T832" s="298">
        <f>IFERROR(Table6[[#This Row],[Breakdown Time]]*Table6[[#This Row],[Plant Equivalent Weightage]],"")</f>
        <v>3.4848484848484906E-2</v>
      </c>
      <c r="U832" s="79" t="s">
        <v>421</v>
      </c>
      <c r="W832" s="79">
        <v>1034</v>
      </c>
    </row>
    <row r="833" spans="1:23">
      <c r="A833" s="79">
        <f t="shared" si="12"/>
        <v>832</v>
      </c>
      <c r="B833" s="79">
        <f>YEAR(Table6[[#This Row],[Date]])+IF(MONTH(Table6[[#This Row],[Date]])&gt;=4,1,0)</f>
        <v>2026</v>
      </c>
      <c r="C833" s="79">
        <f>YEAR(Table6[[#This Row],[Date]])</f>
        <v>2025</v>
      </c>
      <c r="D833" s="79" t="s">
        <v>344</v>
      </c>
      <c r="E833" s="284">
        <f>Table6[[#This Row],[Date]]-DAY(Table6[[#This Row],[Date]])+1</f>
        <v>45809</v>
      </c>
      <c r="F833" s="285">
        <v>45825</v>
      </c>
      <c r="G833" s="79" t="s">
        <v>116</v>
      </c>
      <c r="H833" s="79" t="str">
        <f>IFERROR(_xlfn.XLOOKUP(Table6[[#This Row],[Affected Feeder ]],'Basic Data'!$A:$A,'Basic Data'!$B:$B),"")</f>
        <v>PWEPL</v>
      </c>
      <c r="I833" s="79" t="str">
        <f>IFERROR(_xlfn.XLOOKUP(Table6[[#This Row],[Affected Feeder ]],'Basic Data'!$A:$A,'Basic Data'!$C:$C),"")</f>
        <v>MSEDCL</v>
      </c>
      <c r="J833" s="295">
        <f>IFERROR(_xlfn.XLOOKUP(Table6[[#This Row],[Affected Feeder ]],'Basic Data'!$A:$A,'Basic Data'!$E:$E),"")</f>
        <v>2.2727272727272728E-2</v>
      </c>
      <c r="K833" s="296" t="s">
        <v>171</v>
      </c>
      <c r="L833" s="297">
        <v>0.92152777777777783</v>
      </c>
      <c r="M833" s="297">
        <v>0.92152777777777783</v>
      </c>
      <c r="N833" s="297">
        <v>0.93541666666666667</v>
      </c>
      <c r="O833" s="19">
        <f>(Table6[[#This Row],[Work Start TimeStamp]]-Table6[[#This Row],[Fault Start TimeStamp]])*24</f>
        <v>0</v>
      </c>
      <c r="P833" s="19">
        <f>(Table6[[#This Row],[Fault Clearance time]]-Table6[[#This Row],[Fault Start TimeStamp]])*24</f>
        <v>0.33333333333333215</v>
      </c>
      <c r="Q833" s="19">
        <f>(Table6[[#This Row],[Fault Clearance time]]-Table6[[#This Row],[Fault Start TimeStamp]])*24</f>
        <v>0.33333333333333215</v>
      </c>
      <c r="R833" s="79" t="s">
        <v>353</v>
      </c>
      <c r="S833" s="79" t="s">
        <v>339</v>
      </c>
      <c r="T833" s="298">
        <f>IFERROR(Table6[[#This Row],[Breakdown Time]]*Table6[[#This Row],[Plant Equivalent Weightage]],"")</f>
        <v>7.5757575757575491E-3</v>
      </c>
      <c r="U833" s="79" t="s">
        <v>421</v>
      </c>
      <c r="W833" s="79">
        <v>517</v>
      </c>
    </row>
    <row r="834" spans="1:23">
      <c r="A834" s="79">
        <f t="shared" si="12"/>
        <v>833</v>
      </c>
      <c r="B834" s="79">
        <f>YEAR(Table6[[#This Row],[Date]])+IF(MONTH(Table6[[#This Row],[Date]])&gt;=4,1,0)</f>
        <v>2026</v>
      </c>
      <c r="C834" s="79">
        <f>YEAR(Table6[[#This Row],[Date]])</f>
        <v>2025</v>
      </c>
      <c r="D834" s="79" t="s">
        <v>344</v>
      </c>
      <c r="E834" s="284">
        <f>Table6[[#This Row],[Date]]-DAY(Table6[[#This Row],[Date]])+1</f>
        <v>45809</v>
      </c>
      <c r="F834" s="285">
        <v>45825</v>
      </c>
      <c r="G834" s="79" t="s">
        <v>117</v>
      </c>
      <c r="H834" s="79" t="str">
        <f>IFERROR(_xlfn.XLOOKUP(Table6[[#This Row],[Affected Feeder ]],'Basic Data'!$A:$A,'Basic Data'!$B:$B),"")</f>
        <v>PWEPL</v>
      </c>
      <c r="I834" s="79" t="str">
        <f>IFERROR(_xlfn.XLOOKUP(Table6[[#This Row],[Affected Feeder ]],'Basic Data'!$A:$A,'Basic Data'!$C:$C),"")</f>
        <v>MSEDCL</v>
      </c>
      <c r="J834" s="295">
        <f>IFERROR(_xlfn.XLOOKUP(Table6[[#This Row],[Affected Feeder ]],'Basic Data'!$A:$A,'Basic Data'!$E:$E),"")</f>
        <v>2.2727272727272728E-2</v>
      </c>
      <c r="K834" s="296" t="s">
        <v>909</v>
      </c>
      <c r="L834" s="297">
        <v>0.85763888888888884</v>
      </c>
      <c r="M834" s="297">
        <v>0.85763888888888884</v>
      </c>
      <c r="N834" s="297">
        <v>0.92152777777777783</v>
      </c>
      <c r="O834" s="19">
        <f>(Table6[[#This Row],[Work Start TimeStamp]]-Table6[[#This Row],[Fault Start TimeStamp]])*24</f>
        <v>0</v>
      </c>
      <c r="P834" s="19">
        <f>(Table6[[#This Row],[Fault Clearance time]]-Table6[[#This Row],[Fault Start TimeStamp]])*24</f>
        <v>1.5333333333333359</v>
      </c>
      <c r="Q834" s="19">
        <f>(Table6[[#This Row],[Fault Clearance time]]-Table6[[#This Row],[Fault Start TimeStamp]])*24</f>
        <v>1.5333333333333359</v>
      </c>
      <c r="R834" s="79" t="s">
        <v>353</v>
      </c>
      <c r="S834" s="79" t="s">
        <v>339</v>
      </c>
      <c r="T834" s="298">
        <f>IFERROR(Table6[[#This Row],[Breakdown Time]]*Table6[[#This Row],[Plant Equivalent Weightage]],"")</f>
        <v>3.4848484848484906E-2</v>
      </c>
      <c r="U834" s="79" t="s">
        <v>421</v>
      </c>
      <c r="W834" s="79">
        <v>1034</v>
      </c>
    </row>
    <row r="835" spans="1:23">
      <c r="A835" s="79">
        <f t="shared" si="12"/>
        <v>834</v>
      </c>
      <c r="B835" s="79">
        <f>YEAR(Table6[[#This Row],[Date]])+IF(MONTH(Table6[[#This Row],[Date]])&gt;=4,1,0)</f>
        <v>2026</v>
      </c>
      <c r="C835" s="79">
        <f>YEAR(Table6[[#This Row],[Date]])</f>
        <v>2025</v>
      </c>
      <c r="D835" s="79" t="s">
        <v>344</v>
      </c>
      <c r="E835" s="284">
        <f>Table6[[#This Row],[Date]]-DAY(Table6[[#This Row],[Date]])+1</f>
        <v>45809</v>
      </c>
      <c r="F835" s="285">
        <v>45825</v>
      </c>
      <c r="G835" s="79" t="s">
        <v>117</v>
      </c>
      <c r="H835" s="79" t="str">
        <f>IFERROR(_xlfn.XLOOKUP(Table6[[#This Row],[Affected Feeder ]],'Basic Data'!$A:$A,'Basic Data'!$B:$B),"")</f>
        <v>PWEPL</v>
      </c>
      <c r="I835" s="79" t="str">
        <f>IFERROR(_xlfn.XLOOKUP(Table6[[#This Row],[Affected Feeder ]],'Basic Data'!$A:$A,'Basic Data'!$C:$C),"")</f>
        <v>MSEDCL</v>
      </c>
      <c r="J835" s="295">
        <f>IFERROR(_xlfn.XLOOKUP(Table6[[#This Row],[Affected Feeder ]],'Basic Data'!$A:$A,'Basic Data'!$E:$E),"")</f>
        <v>2.2727272727272728E-2</v>
      </c>
      <c r="K835" s="296" t="s">
        <v>171</v>
      </c>
      <c r="L835" s="297">
        <v>0.92152777777777783</v>
      </c>
      <c r="M835" s="297">
        <v>0.92152777777777783</v>
      </c>
      <c r="N835" s="297">
        <v>0.93541666666666667</v>
      </c>
      <c r="O835" s="19">
        <f>(Table6[[#This Row],[Work Start TimeStamp]]-Table6[[#This Row],[Fault Start TimeStamp]])*24</f>
        <v>0</v>
      </c>
      <c r="P835" s="19">
        <f>(Table6[[#This Row],[Fault Clearance time]]-Table6[[#This Row],[Fault Start TimeStamp]])*24</f>
        <v>0.33333333333333215</v>
      </c>
      <c r="Q835" s="19">
        <f>(Table6[[#This Row],[Fault Clearance time]]-Table6[[#This Row],[Fault Start TimeStamp]])*24</f>
        <v>0.33333333333333215</v>
      </c>
      <c r="R835" s="79" t="s">
        <v>353</v>
      </c>
      <c r="S835" s="79" t="s">
        <v>339</v>
      </c>
      <c r="T835" s="298">
        <f>IFERROR(Table6[[#This Row],[Breakdown Time]]*Table6[[#This Row],[Plant Equivalent Weightage]],"")</f>
        <v>7.5757575757575491E-3</v>
      </c>
      <c r="U835" s="79" t="s">
        <v>421</v>
      </c>
      <c r="W835" s="79">
        <v>517</v>
      </c>
    </row>
    <row r="836" spans="1:23">
      <c r="A836" s="79">
        <f t="shared" ref="A836:A899" si="13">A835+1</f>
        <v>835</v>
      </c>
      <c r="B836" s="79">
        <f>YEAR(Table6[[#This Row],[Date]])+IF(MONTH(Table6[[#This Row],[Date]])&gt;=4,1,0)</f>
        <v>2026</v>
      </c>
      <c r="C836" s="79">
        <f>YEAR(Table6[[#This Row],[Date]])</f>
        <v>2025</v>
      </c>
      <c r="D836" s="79" t="s">
        <v>344</v>
      </c>
      <c r="E836" s="284">
        <f>Table6[[#This Row],[Date]]-DAY(Table6[[#This Row],[Date]])+1</f>
        <v>45809</v>
      </c>
      <c r="F836" s="285">
        <v>45825</v>
      </c>
      <c r="G836" s="79" t="s">
        <v>118</v>
      </c>
      <c r="H836" s="79" t="str">
        <f>IFERROR(_xlfn.XLOOKUP(Table6[[#This Row],[Affected Feeder ]],'Basic Data'!$A:$A,'Basic Data'!$B:$B),"")</f>
        <v>PWEPL</v>
      </c>
      <c r="I836" s="79" t="str">
        <f>IFERROR(_xlfn.XLOOKUP(Table6[[#This Row],[Affected Feeder ]],'Basic Data'!$A:$A,'Basic Data'!$C:$C),"")</f>
        <v>MSEDCL</v>
      </c>
      <c r="J836" s="295">
        <f>IFERROR(_xlfn.XLOOKUP(Table6[[#This Row],[Affected Feeder ]],'Basic Data'!$A:$A,'Basic Data'!$E:$E),"")</f>
        <v>2.2727272727272728E-2</v>
      </c>
      <c r="K836" s="296" t="s">
        <v>909</v>
      </c>
      <c r="L836" s="297">
        <v>0.85763888888888884</v>
      </c>
      <c r="M836" s="297">
        <v>0.85763888888888884</v>
      </c>
      <c r="N836" s="297">
        <v>0.92152777777777783</v>
      </c>
      <c r="O836" s="19">
        <f>(Table6[[#This Row],[Work Start TimeStamp]]-Table6[[#This Row],[Fault Start TimeStamp]])*24</f>
        <v>0</v>
      </c>
      <c r="P836" s="19">
        <f>(Table6[[#This Row],[Fault Clearance time]]-Table6[[#This Row],[Fault Start TimeStamp]])*24</f>
        <v>1.5333333333333359</v>
      </c>
      <c r="Q836" s="19">
        <f>(Table6[[#This Row],[Fault Clearance time]]-Table6[[#This Row],[Fault Start TimeStamp]])*24</f>
        <v>1.5333333333333359</v>
      </c>
      <c r="R836" s="79" t="s">
        <v>353</v>
      </c>
      <c r="S836" s="79" t="s">
        <v>339</v>
      </c>
      <c r="T836" s="298">
        <f>IFERROR(Table6[[#This Row],[Breakdown Time]]*Table6[[#This Row],[Plant Equivalent Weightage]],"")</f>
        <v>3.4848484848484906E-2</v>
      </c>
      <c r="U836" s="79" t="s">
        <v>421</v>
      </c>
      <c r="W836" s="79">
        <v>1034</v>
      </c>
    </row>
    <row r="837" spans="1:23">
      <c r="A837" s="79">
        <f t="shared" si="13"/>
        <v>836</v>
      </c>
      <c r="B837" s="79">
        <f>YEAR(Table6[[#This Row],[Date]])+IF(MONTH(Table6[[#This Row],[Date]])&gt;=4,1,0)</f>
        <v>2026</v>
      </c>
      <c r="C837" s="79">
        <f>YEAR(Table6[[#This Row],[Date]])</f>
        <v>2025</v>
      </c>
      <c r="D837" s="79" t="s">
        <v>344</v>
      </c>
      <c r="E837" s="284">
        <f>Table6[[#This Row],[Date]]-DAY(Table6[[#This Row],[Date]])+1</f>
        <v>45809</v>
      </c>
      <c r="F837" s="285">
        <v>45825</v>
      </c>
      <c r="G837" s="79" t="s">
        <v>103</v>
      </c>
      <c r="H837" s="79" t="str">
        <f>IFERROR(_xlfn.XLOOKUP(Table6[[#This Row],[Affected Feeder ]],'Basic Data'!$A:$A,'Basic Data'!$B:$B),"")</f>
        <v>PWEPL</v>
      </c>
      <c r="I837" s="79" t="str">
        <f>IFERROR(_xlfn.XLOOKUP(Table6[[#This Row],[Affected Feeder ]],'Basic Data'!$A:$A,'Basic Data'!$C:$C),"")</f>
        <v>MSEDCL</v>
      </c>
      <c r="J837" s="295">
        <f>IFERROR(_xlfn.XLOOKUP(Table6[[#This Row],[Affected Feeder ]],'Basic Data'!$A:$A,'Basic Data'!$E:$E),"")</f>
        <v>2.2727272727272728E-2</v>
      </c>
      <c r="K837" s="296" t="s">
        <v>910</v>
      </c>
      <c r="L837" s="297">
        <v>0.98472222222222217</v>
      </c>
      <c r="M837" s="297">
        <v>0.98472222222222217</v>
      </c>
      <c r="N837" s="297">
        <v>0.99930555555555556</v>
      </c>
      <c r="O837" s="19">
        <f>(Table6[[#This Row],[Work Start TimeStamp]]-Table6[[#This Row],[Fault Start TimeStamp]])*24</f>
        <v>0</v>
      </c>
      <c r="P837" s="19">
        <f>(Table6[[#This Row],[Fault Clearance time]]-Table6[[#This Row],[Fault Start TimeStamp]])*24</f>
        <v>0.35000000000000142</v>
      </c>
      <c r="Q837" s="19">
        <f>(Table6[[#This Row],[Fault Clearance time]]-Table6[[#This Row],[Fault Start TimeStamp]])*24</f>
        <v>0.35000000000000142</v>
      </c>
      <c r="R837" s="79" t="s">
        <v>456</v>
      </c>
      <c r="S837" s="79" t="s">
        <v>339</v>
      </c>
      <c r="T837" s="298">
        <f>IFERROR(Table6[[#This Row],[Breakdown Time]]*Table6[[#This Row],[Plant Equivalent Weightage]],"")</f>
        <v>7.9545454545454867E-3</v>
      </c>
      <c r="U837" s="79" t="s">
        <v>421</v>
      </c>
      <c r="W837" s="79">
        <v>659</v>
      </c>
    </row>
    <row r="838" spans="1:23">
      <c r="A838" s="79">
        <f t="shared" si="13"/>
        <v>837</v>
      </c>
      <c r="B838" s="79">
        <f>YEAR(Table6[[#This Row],[Date]])+IF(MONTH(Table6[[#This Row],[Date]])&gt;=4,1,0)</f>
        <v>2026</v>
      </c>
      <c r="C838" s="79">
        <f>YEAR(Table6[[#This Row],[Date]])</f>
        <v>2025</v>
      </c>
      <c r="D838" s="79" t="s">
        <v>344</v>
      </c>
      <c r="E838" s="284">
        <f>Table6[[#This Row],[Date]]-DAY(Table6[[#This Row],[Date]])+1</f>
        <v>45809</v>
      </c>
      <c r="F838" s="285">
        <v>45825</v>
      </c>
      <c r="G838" s="79" t="s">
        <v>105</v>
      </c>
      <c r="H838" s="79" t="str">
        <f>IFERROR(_xlfn.XLOOKUP(Table6[[#This Row],[Affected Feeder ]],'Basic Data'!$A:$A,'Basic Data'!$B:$B),"")</f>
        <v>PWEPL</v>
      </c>
      <c r="I838" s="79" t="str">
        <f>IFERROR(_xlfn.XLOOKUP(Table6[[#This Row],[Affected Feeder ]],'Basic Data'!$A:$A,'Basic Data'!$C:$C),"")</f>
        <v>MSEDCL</v>
      </c>
      <c r="J838" s="295">
        <f>IFERROR(_xlfn.XLOOKUP(Table6[[#This Row],[Affected Feeder ]],'Basic Data'!$A:$A,'Basic Data'!$E:$E),"")</f>
        <v>2.2727272727272728E-2</v>
      </c>
      <c r="K838" s="296" t="s">
        <v>910</v>
      </c>
      <c r="L838" s="297">
        <v>0.98472222222222217</v>
      </c>
      <c r="M838" s="297">
        <v>0.98472222222222217</v>
      </c>
      <c r="N838" s="297">
        <v>0.99930555555555556</v>
      </c>
      <c r="O838" s="19">
        <f>(Table6[[#This Row],[Work Start TimeStamp]]-Table6[[#This Row],[Fault Start TimeStamp]])*24</f>
        <v>0</v>
      </c>
      <c r="P838" s="19">
        <f>(Table6[[#This Row],[Fault Clearance time]]-Table6[[#This Row],[Fault Start TimeStamp]])*24</f>
        <v>0.35000000000000142</v>
      </c>
      <c r="Q838" s="19">
        <f>(Table6[[#This Row],[Fault Clearance time]]-Table6[[#This Row],[Fault Start TimeStamp]])*24</f>
        <v>0.35000000000000142</v>
      </c>
      <c r="R838" s="79" t="s">
        <v>456</v>
      </c>
      <c r="S838" s="79" t="s">
        <v>339</v>
      </c>
      <c r="T838" s="298">
        <f>IFERROR(Table6[[#This Row],[Breakdown Time]]*Table6[[#This Row],[Plant Equivalent Weightage]],"")</f>
        <v>7.9545454545454867E-3</v>
      </c>
      <c r="U838" s="79" t="s">
        <v>421</v>
      </c>
      <c r="W838" s="79">
        <v>659</v>
      </c>
    </row>
    <row r="839" spans="1:23">
      <c r="A839" s="79">
        <f t="shared" si="13"/>
        <v>838</v>
      </c>
      <c r="B839" s="79">
        <f>YEAR(Table6[[#This Row],[Date]])+IF(MONTH(Table6[[#This Row],[Date]])&gt;=4,1,0)</f>
        <v>2026</v>
      </c>
      <c r="C839" s="79">
        <f>YEAR(Table6[[#This Row],[Date]])</f>
        <v>2025</v>
      </c>
      <c r="D839" s="79" t="s">
        <v>344</v>
      </c>
      <c r="E839" s="284">
        <f>Table6[[#This Row],[Date]]-DAY(Table6[[#This Row],[Date]])+1</f>
        <v>45809</v>
      </c>
      <c r="F839" s="285">
        <v>45825</v>
      </c>
      <c r="G839" s="79" t="s">
        <v>115</v>
      </c>
      <c r="H839" s="79" t="str">
        <f>IFERROR(_xlfn.XLOOKUP(Table6[[#This Row],[Affected Feeder ]],'Basic Data'!$A:$A,'Basic Data'!$B:$B),"")</f>
        <v>PWEPL</v>
      </c>
      <c r="I839" s="79" t="str">
        <f>IFERROR(_xlfn.XLOOKUP(Table6[[#This Row],[Affected Feeder ]],'Basic Data'!$A:$A,'Basic Data'!$C:$C),"")</f>
        <v>MSEDCL</v>
      </c>
      <c r="J839" s="295">
        <f>IFERROR(_xlfn.XLOOKUP(Table6[[#This Row],[Affected Feeder ]],'Basic Data'!$A:$A,'Basic Data'!$E:$E),"")</f>
        <v>2.2727272727272728E-2</v>
      </c>
      <c r="K839" s="296" t="s">
        <v>910</v>
      </c>
      <c r="L839" s="297">
        <v>0.98472222222222217</v>
      </c>
      <c r="M839" s="297">
        <v>0.98472222222222217</v>
      </c>
      <c r="N839" s="297">
        <v>0.99930555555555556</v>
      </c>
      <c r="O839" s="19">
        <f>(Table6[[#This Row],[Work Start TimeStamp]]-Table6[[#This Row],[Fault Start TimeStamp]])*24</f>
        <v>0</v>
      </c>
      <c r="P839" s="19">
        <f>(Table6[[#This Row],[Fault Clearance time]]-Table6[[#This Row],[Fault Start TimeStamp]])*24</f>
        <v>0.35000000000000142</v>
      </c>
      <c r="Q839" s="19">
        <f>(Table6[[#This Row],[Fault Clearance time]]-Table6[[#This Row],[Fault Start TimeStamp]])*24</f>
        <v>0.35000000000000142</v>
      </c>
      <c r="R839" s="79" t="s">
        <v>456</v>
      </c>
      <c r="S839" s="79" t="s">
        <v>339</v>
      </c>
      <c r="T839" s="298">
        <f>IFERROR(Table6[[#This Row],[Breakdown Time]]*Table6[[#This Row],[Plant Equivalent Weightage]],"")</f>
        <v>7.9545454545454867E-3</v>
      </c>
      <c r="U839" s="79" t="s">
        <v>421</v>
      </c>
      <c r="W839" s="79">
        <v>659</v>
      </c>
    </row>
    <row r="840" spans="1:23">
      <c r="A840" s="79">
        <f t="shared" si="13"/>
        <v>839</v>
      </c>
      <c r="B840" s="79">
        <f>YEAR(Table6[[#This Row],[Date]])+IF(MONTH(Table6[[#This Row],[Date]])&gt;=4,1,0)</f>
        <v>2026</v>
      </c>
      <c r="C840" s="79">
        <f>YEAR(Table6[[#This Row],[Date]])</f>
        <v>2025</v>
      </c>
      <c r="D840" s="79" t="s">
        <v>344</v>
      </c>
      <c r="E840" s="284">
        <f>Table6[[#This Row],[Date]]-DAY(Table6[[#This Row],[Date]])+1</f>
        <v>45809</v>
      </c>
      <c r="F840" s="285">
        <v>45825</v>
      </c>
      <c r="G840" s="79" t="s">
        <v>116</v>
      </c>
      <c r="H840" s="79" t="str">
        <f>IFERROR(_xlfn.XLOOKUP(Table6[[#This Row],[Affected Feeder ]],'Basic Data'!$A:$A,'Basic Data'!$B:$B),"")</f>
        <v>PWEPL</v>
      </c>
      <c r="I840" s="79" t="str">
        <f>IFERROR(_xlfn.XLOOKUP(Table6[[#This Row],[Affected Feeder ]],'Basic Data'!$A:$A,'Basic Data'!$C:$C),"")</f>
        <v>MSEDCL</v>
      </c>
      <c r="J840" s="295">
        <f>IFERROR(_xlfn.XLOOKUP(Table6[[#This Row],[Affected Feeder ]],'Basic Data'!$A:$A,'Basic Data'!$E:$E),"")</f>
        <v>2.2727272727272728E-2</v>
      </c>
      <c r="K840" s="296" t="s">
        <v>910</v>
      </c>
      <c r="L840" s="297">
        <v>0.98472222222222217</v>
      </c>
      <c r="M840" s="297">
        <v>0.98472222222222217</v>
      </c>
      <c r="N840" s="297">
        <v>0.99930555555555556</v>
      </c>
      <c r="O840" s="19">
        <f>(Table6[[#This Row],[Work Start TimeStamp]]-Table6[[#This Row],[Fault Start TimeStamp]])*24</f>
        <v>0</v>
      </c>
      <c r="P840" s="19">
        <f>(Table6[[#This Row],[Fault Clearance time]]-Table6[[#This Row],[Fault Start TimeStamp]])*24</f>
        <v>0.35000000000000142</v>
      </c>
      <c r="Q840" s="19">
        <f>(Table6[[#This Row],[Fault Clearance time]]-Table6[[#This Row],[Fault Start TimeStamp]])*24</f>
        <v>0.35000000000000142</v>
      </c>
      <c r="R840" s="79" t="s">
        <v>456</v>
      </c>
      <c r="S840" s="79" t="s">
        <v>339</v>
      </c>
      <c r="T840" s="298">
        <f>IFERROR(Table6[[#This Row],[Breakdown Time]]*Table6[[#This Row],[Plant Equivalent Weightage]],"")</f>
        <v>7.9545454545454867E-3</v>
      </c>
      <c r="U840" s="79" t="s">
        <v>421</v>
      </c>
      <c r="W840" s="79">
        <v>659</v>
      </c>
    </row>
    <row r="841" spans="1:23">
      <c r="A841" s="79">
        <f t="shared" si="13"/>
        <v>840</v>
      </c>
      <c r="B841" s="79">
        <f>YEAR(Table6[[#This Row],[Date]])+IF(MONTH(Table6[[#This Row],[Date]])&gt;=4,1,0)</f>
        <v>2026</v>
      </c>
      <c r="C841" s="79">
        <f>YEAR(Table6[[#This Row],[Date]])</f>
        <v>2025</v>
      </c>
      <c r="D841" s="79" t="s">
        <v>344</v>
      </c>
      <c r="E841" s="284">
        <f>Table6[[#This Row],[Date]]-DAY(Table6[[#This Row],[Date]])+1</f>
        <v>45809</v>
      </c>
      <c r="F841" s="285">
        <v>45825</v>
      </c>
      <c r="G841" s="79" t="s">
        <v>117</v>
      </c>
      <c r="H841" s="79" t="str">
        <f>IFERROR(_xlfn.XLOOKUP(Table6[[#This Row],[Affected Feeder ]],'Basic Data'!$A:$A,'Basic Data'!$B:$B),"")</f>
        <v>PWEPL</v>
      </c>
      <c r="I841" s="79" t="str">
        <f>IFERROR(_xlfn.XLOOKUP(Table6[[#This Row],[Affected Feeder ]],'Basic Data'!$A:$A,'Basic Data'!$C:$C),"")</f>
        <v>MSEDCL</v>
      </c>
      <c r="J841" s="295">
        <f>IFERROR(_xlfn.XLOOKUP(Table6[[#This Row],[Affected Feeder ]],'Basic Data'!$A:$A,'Basic Data'!$E:$E),"")</f>
        <v>2.2727272727272728E-2</v>
      </c>
      <c r="K841" s="296" t="s">
        <v>910</v>
      </c>
      <c r="L841" s="297">
        <v>0.98472222222222217</v>
      </c>
      <c r="M841" s="297">
        <v>0.98472222222222217</v>
      </c>
      <c r="N841" s="297">
        <v>0.99930555555555556</v>
      </c>
      <c r="O841" s="19">
        <f>(Table6[[#This Row],[Work Start TimeStamp]]-Table6[[#This Row],[Fault Start TimeStamp]])*24</f>
        <v>0</v>
      </c>
      <c r="P841" s="19">
        <f>(Table6[[#This Row],[Fault Clearance time]]-Table6[[#This Row],[Fault Start TimeStamp]])*24</f>
        <v>0.35000000000000142</v>
      </c>
      <c r="Q841" s="19">
        <f>(Table6[[#This Row],[Fault Clearance time]]-Table6[[#This Row],[Fault Start TimeStamp]])*24</f>
        <v>0.35000000000000142</v>
      </c>
      <c r="R841" s="79" t="s">
        <v>456</v>
      </c>
      <c r="S841" s="79" t="s">
        <v>339</v>
      </c>
      <c r="T841" s="298">
        <f>IFERROR(Table6[[#This Row],[Breakdown Time]]*Table6[[#This Row],[Plant Equivalent Weightage]],"")</f>
        <v>7.9545454545454867E-3</v>
      </c>
      <c r="U841" s="79" t="s">
        <v>421</v>
      </c>
      <c r="W841" s="79">
        <v>659</v>
      </c>
    </row>
    <row r="842" spans="1:23">
      <c r="A842" s="79">
        <f t="shared" si="13"/>
        <v>841</v>
      </c>
      <c r="B842" s="79">
        <f>YEAR(Table6[[#This Row],[Date]])+IF(MONTH(Table6[[#This Row],[Date]])&gt;=4,1,0)</f>
        <v>2026</v>
      </c>
      <c r="C842" s="79">
        <f>YEAR(Table6[[#This Row],[Date]])</f>
        <v>2025</v>
      </c>
      <c r="D842" s="79" t="s">
        <v>344</v>
      </c>
      <c r="E842" s="284">
        <f>Table6[[#This Row],[Date]]-DAY(Table6[[#This Row],[Date]])+1</f>
        <v>45809</v>
      </c>
      <c r="F842" s="285">
        <v>45825</v>
      </c>
      <c r="G842" s="79" t="s">
        <v>118</v>
      </c>
      <c r="H842" s="79" t="str">
        <f>IFERROR(_xlfn.XLOOKUP(Table6[[#This Row],[Affected Feeder ]],'Basic Data'!$A:$A,'Basic Data'!$B:$B),"")</f>
        <v>PWEPL</v>
      </c>
      <c r="I842" s="79" t="str">
        <f>IFERROR(_xlfn.XLOOKUP(Table6[[#This Row],[Affected Feeder ]],'Basic Data'!$A:$A,'Basic Data'!$C:$C),"")</f>
        <v>MSEDCL</v>
      </c>
      <c r="J842" s="295">
        <f>IFERROR(_xlfn.XLOOKUP(Table6[[#This Row],[Affected Feeder ]],'Basic Data'!$A:$A,'Basic Data'!$E:$E),"")</f>
        <v>2.2727272727272728E-2</v>
      </c>
      <c r="K842" s="296" t="s">
        <v>910</v>
      </c>
      <c r="L842" s="297">
        <v>0.92152777777777772</v>
      </c>
      <c r="M842" s="297">
        <v>0.92152777777777772</v>
      </c>
      <c r="N842" s="297">
        <v>0.99930555555555556</v>
      </c>
      <c r="O842" s="19">
        <f>(Table6[[#This Row],[Work Start TimeStamp]]-Table6[[#This Row],[Fault Start TimeStamp]])*24</f>
        <v>0</v>
      </c>
      <c r="P842" s="19">
        <f>(Table6[[#This Row],[Fault Clearance time]]-Table6[[#This Row],[Fault Start TimeStamp]])*24</f>
        <v>1.866666666666668</v>
      </c>
      <c r="Q842" s="19">
        <f>(Table6[[#This Row],[Fault Clearance time]]-Table6[[#This Row],[Fault Start TimeStamp]])*24</f>
        <v>1.866666666666668</v>
      </c>
      <c r="R842" s="79" t="s">
        <v>456</v>
      </c>
      <c r="S842" s="79" t="s">
        <v>339</v>
      </c>
      <c r="T842" s="298">
        <f>IFERROR(Table6[[#This Row],[Breakdown Time]]*Table6[[#This Row],[Plant Equivalent Weightage]],"")</f>
        <v>4.2424242424242455E-2</v>
      </c>
      <c r="U842" s="79" t="s">
        <v>421</v>
      </c>
      <c r="W842" s="79">
        <v>2587</v>
      </c>
    </row>
    <row r="843" spans="1:23">
      <c r="A843" s="79">
        <f t="shared" si="13"/>
        <v>842</v>
      </c>
      <c r="B843" s="79">
        <f>YEAR(Table6[[#This Row],[Date]])+IF(MONTH(Table6[[#This Row],[Date]])&gt;=4,1,0)</f>
        <v>2026</v>
      </c>
      <c r="C843" s="79">
        <f>YEAR(Table6[[#This Row],[Date]])</f>
        <v>2025</v>
      </c>
      <c r="D843" s="79" t="s">
        <v>344</v>
      </c>
      <c r="E843" s="284">
        <f>Table6[[#This Row],[Date]]-DAY(Table6[[#This Row],[Date]])+1</f>
        <v>45809</v>
      </c>
      <c r="F843" s="285">
        <v>45826</v>
      </c>
      <c r="G843" s="79" t="s">
        <v>103</v>
      </c>
      <c r="H843" s="79" t="str">
        <f>IFERROR(_xlfn.XLOOKUP(Table6[[#This Row],[Affected Feeder ]],'Basic Data'!$A:$A,'Basic Data'!$B:$B),"")</f>
        <v>PWEPL</v>
      </c>
      <c r="I843" s="79" t="str">
        <f>IFERROR(_xlfn.XLOOKUP(Table6[[#This Row],[Affected Feeder ]],'Basic Data'!$A:$A,'Basic Data'!$C:$C),"")</f>
        <v>MSEDCL</v>
      </c>
      <c r="J843" s="295">
        <f>IFERROR(_xlfn.XLOOKUP(Table6[[#This Row],[Affected Feeder ]],'Basic Data'!$A:$A,'Basic Data'!$E:$E),"")</f>
        <v>2.2727272727272728E-2</v>
      </c>
      <c r="K843" s="296" t="s">
        <v>910</v>
      </c>
      <c r="L843" s="297">
        <v>0</v>
      </c>
      <c r="M843" s="297">
        <v>0</v>
      </c>
      <c r="N843" s="297">
        <v>1.2499999999999999E-2</v>
      </c>
      <c r="O843" s="19">
        <f>(Table6[[#This Row],[Work Start TimeStamp]]-Table6[[#This Row],[Fault Start TimeStamp]])*24</f>
        <v>0</v>
      </c>
      <c r="P843" s="19">
        <f>(Table6[[#This Row],[Fault Clearance time]]-Table6[[#This Row],[Fault Start TimeStamp]])*24</f>
        <v>0.3</v>
      </c>
      <c r="Q843" s="19">
        <f>(Table6[[#This Row],[Fault Clearance time]]-Table6[[#This Row],[Fault Start TimeStamp]])*24</f>
        <v>0.3</v>
      </c>
      <c r="R843" s="79" t="s">
        <v>911</v>
      </c>
      <c r="S843" s="79" t="s">
        <v>339</v>
      </c>
      <c r="T843" s="298">
        <f>IFERROR(Table6[[#This Row],[Breakdown Time]]*Table6[[#This Row],[Plant Equivalent Weightage]],"")</f>
        <v>6.8181818181818179E-3</v>
      </c>
      <c r="U843" s="79" t="s">
        <v>421</v>
      </c>
      <c r="W843" s="79">
        <v>792</v>
      </c>
    </row>
    <row r="844" spans="1:23">
      <c r="A844" s="79">
        <f t="shared" si="13"/>
        <v>843</v>
      </c>
      <c r="B844" s="79">
        <f>YEAR(Table6[[#This Row],[Date]])+IF(MONTH(Table6[[#This Row],[Date]])&gt;=4,1,0)</f>
        <v>2026</v>
      </c>
      <c r="C844" s="79">
        <f>YEAR(Table6[[#This Row],[Date]])</f>
        <v>2025</v>
      </c>
      <c r="D844" s="79" t="s">
        <v>344</v>
      </c>
      <c r="E844" s="284">
        <f>Table6[[#This Row],[Date]]-DAY(Table6[[#This Row],[Date]])+1</f>
        <v>45809</v>
      </c>
      <c r="F844" s="285">
        <v>45826</v>
      </c>
      <c r="G844" s="79" t="s">
        <v>103</v>
      </c>
      <c r="H844" s="79" t="str">
        <f>IFERROR(_xlfn.XLOOKUP(Table6[[#This Row],[Affected Feeder ]],'Basic Data'!$A:$A,'Basic Data'!$B:$B),"")</f>
        <v>PWEPL</v>
      </c>
      <c r="I844" s="79" t="str">
        <f>IFERROR(_xlfn.XLOOKUP(Table6[[#This Row],[Affected Feeder ]],'Basic Data'!$A:$A,'Basic Data'!$C:$C),"")</f>
        <v>MSEDCL</v>
      </c>
      <c r="J844" s="295">
        <f>IFERROR(_xlfn.XLOOKUP(Table6[[#This Row],[Affected Feeder ]],'Basic Data'!$A:$A,'Basic Data'!$E:$E),"")</f>
        <v>2.2727272727272728E-2</v>
      </c>
      <c r="K844" s="296" t="s">
        <v>171</v>
      </c>
      <c r="L844" s="297">
        <v>1.2499999999999999E-2</v>
      </c>
      <c r="M844" s="297">
        <v>1.2499999999999999E-2</v>
      </c>
      <c r="N844" s="297">
        <v>1.5972222222222224E-2</v>
      </c>
      <c r="O844" s="19">
        <f>(Table6[[#This Row],[Work Start TimeStamp]]-Table6[[#This Row],[Fault Start TimeStamp]])*24</f>
        <v>0</v>
      </c>
      <c r="P844" s="19">
        <f>(Table6[[#This Row],[Fault Clearance time]]-Table6[[#This Row],[Fault Start TimeStamp]])*24</f>
        <v>8.3333333333333412E-2</v>
      </c>
      <c r="Q844" s="19">
        <f>(Table6[[#This Row],[Fault Clearance time]]-Table6[[#This Row],[Fault Start TimeStamp]])*24</f>
        <v>8.3333333333333412E-2</v>
      </c>
      <c r="R844" s="79" t="s">
        <v>353</v>
      </c>
      <c r="S844" s="79" t="s">
        <v>339</v>
      </c>
      <c r="T844" s="298">
        <f>IFERROR(Table6[[#This Row],[Breakdown Time]]*Table6[[#This Row],[Plant Equivalent Weightage]],"")</f>
        <v>1.8939393939393957E-3</v>
      </c>
      <c r="U844" s="79" t="s">
        <v>421</v>
      </c>
      <c r="W844" s="79">
        <v>304</v>
      </c>
    </row>
    <row r="845" spans="1:23">
      <c r="A845" s="79">
        <f t="shared" si="13"/>
        <v>844</v>
      </c>
      <c r="B845" s="79">
        <f>YEAR(Table6[[#This Row],[Date]])+IF(MONTH(Table6[[#This Row],[Date]])&gt;=4,1,0)</f>
        <v>2026</v>
      </c>
      <c r="C845" s="79">
        <f>YEAR(Table6[[#This Row],[Date]])</f>
        <v>2025</v>
      </c>
      <c r="D845" s="79" t="s">
        <v>344</v>
      </c>
      <c r="E845" s="284">
        <f>Table6[[#This Row],[Date]]-DAY(Table6[[#This Row],[Date]])+1</f>
        <v>45809</v>
      </c>
      <c r="F845" s="285">
        <v>45826</v>
      </c>
      <c r="G845" s="79" t="s">
        <v>105</v>
      </c>
      <c r="H845" s="79" t="str">
        <f>IFERROR(_xlfn.XLOOKUP(Table6[[#This Row],[Affected Feeder ]],'Basic Data'!$A:$A,'Basic Data'!$B:$B),"")</f>
        <v>PWEPL</v>
      </c>
      <c r="I845" s="79" t="str">
        <f>IFERROR(_xlfn.XLOOKUP(Table6[[#This Row],[Affected Feeder ]],'Basic Data'!$A:$A,'Basic Data'!$C:$C),"")</f>
        <v>MSEDCL</v>
      </c>
      <c r="J845" s="295">
        <f>IFERROR(_xlfn.XLOOKUP(Table6[[#This Row],[Affected Feeder ]],'Basic Data'!$A:$A,'Basic Data'!$E:$E),"")</f>
        <v>2.2727272727272728E-2</v>
      </c>
      <c r="K845" s="296" t="s">
        <v>910</v>
      </c>
      <c r="L845" s="297">
        <v>0</v>
      </c>
      <c r="M845" s="297">
        <v>0</v>
      </c>
      <c r="N845" s="297">
        <v>1.2499999999999999E-2</v>
      </c>
      <c r="O845" s="19">
        <f>(Table6[[#This Row],[Work Start TimeStamp]]-Table6[[#This Row],[Fault Start TimeStamp]])*24</f>
        <v>0</v>
      </c>
      <c r="P845" s="19">
        <f>(Table6[[#This Row],[Fault Clearance time]]-Table6[[#This Row],[Fault Start TimeStamp]])*24</f>
        <v>0.3</v>
      </c>
      <c r="Q845" s="19">
        <f>(Table6[[#This Row],[Fault Clearance time]]-Table6[[#This Row],[Fault Start TimeStamp]])*24</f>
        <v>0.3</v>
      </c>
      <c r="R845" s="79" t="s">
        <v>911</v>
      </c>
      <c r="S845" s="79" t="s">
        <v>339</v>
      </c>
      <c r="T845" s="298">
        <f>IFERROR(Table6[[#This Row],[Breakdown Time]]*Table6[[#This Row],[Plant Equivalent Weightage]],"")</f>
        <v>6.8181818181818179E-3</v>
      </c>
      <c r="U845" s="79" t="s">
        <v>421</v>
      </c>
      <c r="W845" s="79">
        <v>792</v>
      </c>
    </row>
    <row r="846" spans="1:23">
      <c r="A846" s="79">
        <f t="shared" si="13"/>
        <v>845</v>
      </c>
      <c r="B846" s="79">
        <f>YEAR(Table6[[#This Row],[Date]])+IF(MONTH(Table6[[#This Row],[Date]])&gt;=4,1,0)</f>
        <v>2026</v>
      </c>
      <c r="C846" s="79">
        <f>YEAR(Table6[[#This Row],[Date]])</f>
        <v>2025</v>
      </c>
      <c r="D846" s="79" t="s">
        <v>344</v>
      </c>
      <c r="E846" s="284">
        <f>Table6[[#This Row],[Date]]-DAY(Table6[[#This Row],[Date]])+1</f>
        <v>45809</v>
      </c>
      <c r="F846" s="285">
        <v>45826</v>
      </c>
      <c r="G846" s="79" t="s">
        <v>105</v>
      </c>
      <c r="H846" s="79" t="str">
        <f>IFERROR(_xlfn.XLOOKUP(Table6[[#This Row],[Affected Feeder ]],'Basic Data'!$A:$A,'Basic Data'!$B:$B),"")</f>
        <v>PWEPL</v>
      </c>
      <c r="I846" s="79" t="str">
        <f>IFERROR(_xlfn.XLOOKUP(Table6[[#This Row],[Affected Feeder ]],'Basic Data'!$A:$A,'Basic Data'!$C:$C),"")</f>
        <v>MSEDCL</v>
      </c>
      <c r="J846" s="295">
        <f>IFERROR(_xlfn.XLOOKUP(Table6[[#This Row],[Affected Feeder ]],'Basic Data'!$A:$A,'Basic Data'!$E:$E),"")</f>
        <v>2.2727272727272728E-2</v>
      </c>
      <c r="K846" s="296" t="s">
        <v>171</v>
      </c>
      <c r="L846" s="297">
        <v>1.2499999999999999E-2</v>
      </c>
      <c r="M846" s="297">
        <v>1.2499999999999999E-2</v>
      </c>
      <c r="N846" s="297">
        <v>1.5972222222222224E-2</v>
      </c>
      <c r="O846" s="19">
        <f>(Table6[[#This Row],[Work Start TimeStamp]]-Table6[[#This Row],[Fault Start TimeStamp]])*24</f>
        <v>0</v>
      </c>
      <c r="P846" s="19">
        <f>(Table6[[#This Row],[Fault Clearance time]]-Table6[[#This Row],[Fault Start TimeStamp]])*24</f>
        <v>8.3333333333333412E-2</v>
      </c>
      <c r="Q846" s="19">
        <f>(Table6[[#This Row],[Fault Clearance time]]-Table6[[#This Row],[Fault Start TimeStamp]])*24</f>
        <v>8.3333333333333412E-2</v>
      </c>
      <c r="R846" s="79" t="s">
        <v>353</v>
      </c>
      <c r="S846" s="79" t="s">
        <v>339</v>
      </c>
      <c r="T846" s="298">
        <f>IFERROR(Table6[[#This Row],[Breakdown Time]]*Table6[[#This Row],[Plant Equivalent Weightage]],"")</f>
        <v>1.8939393939393957E-3</v>
      </c>
      <c r="U846" s="79" t="s">
        <v>421</v>
      </c>
      <c r="W846" s="79">
        <v>304</v>
      </c>
    </row>
    <row r="847" spans="1:23">
      <c r="A847" s="79">
        <f t="shared" si="13"/>
        <v>846</v>
      </c>
      <c r="B847" s="79">
        <f>YEAR(Table6[[#This Row],[Date]])+IF(MONTH(Table6[[#This Row],[Date]])&gt;=4,1,0)</f>
        <v>2026</v>
      </c>
      <c r="C847" s="79">
        <f>YEAR(Table6[[#This Row],[Date]])</f>
        <v>2025</v>
      </c>
      <c r="D847" s="79" t="s">
        <v>344</v>
      </c>
      <c r="E847" s="284">
        <f>Table6[[#This Row],[Date]]-DAY(Table6[[#This Row],[Date]])+1</f>
        <v>45809</v>
      </c>
      <c r="F847" s="285">
        <v>45826</v>
      </c>
      <c r="G847" s="79" t="s">
        <v>115</v>
      </c>
      <c r="H847" s="79" t="str">
        <f>IFERROR(_xlfn.XLOOKUP(Table6[[#This Row],[Affected Feeder ]],'Basic Data'!$A:$A,'Basic Data'!$B:$B),"")</f>
        <v>PWEPL</v>
      </c>
      <c r="I847" s="79" t="str">
        <f>IFERROR(_xlfn.XLOOKUP(Table6[[#This Row],[Affected Feeder ]],'Basic Data'!$A:$A,'Basic Data'!$C:$C),"")</f>
        <v>MSEDCL</v>
      </c>
      <c r="J847" s="295">
        <f>IFERROR(_xlfn.XLOOKUP(Table6[[#This Row],[Affected Feeder ]],'Basic Data'!$A:$A,'Basic Data'!$E:$E),"")</f>
        <v>2.2727272727272728E-2</v>
      </c>
      <c r="K847" s="296" t="s">
        <v>910</v>
      </c>
      <c r="L847" s="297">
        <v>0</v>
      </c>
      <c r="M847" s="297">
        <v>0</v>
      </c>
      <c r="N847" s="297">
        <v>1.2499999999999999E-2</v>
      </c>
      <c r="O847" s="19">
        <f>(Table6[[#This Row],[Work Start TimeStamp]]-Table6[[#This Row],[Fault Start TimeStamp]])*24</f>
        <v>0</v>
      </c>
      <c r="P847" s="19">
        <f>(Table6[[#This Row],[Fault Clearance time]]-Table6[[#This Row],[Fault Start TimeStamp]])*24</f>
        <v>0.3</v>
      </c>
      <c r="Q847" s="19">
        <f>(Table6[[#This Row],[Fault Clearance time]]-Table6[[#This Row],[Fault Start TimeStamp]])*24</f>
        <v>0.3</v>
      </c>
      <c r="R847" s="79" t="s">
        <v>911</v>
      </c>
      <c r="S847" s="79" t="s">
        <v>339</v>
      </c>
      <c r="T847" s="298">
        <f>IFERROR(Table6[[#This Row],[Breakdown Time]]*Table6[[#This Row],[Plant Equivalent Weightage]],"")</f>
        <v>6.8181818181818179E-3</v>
      </c>
      <c r="U847" s="79" t="s">
        <v>421</v>
      </c>
      <c r="W847" s="79">
        <v>792</v>
      </c>
    </row>
    <row r="848" spans="1:23">
      <c r="A848" s="79">
        <f t="shared" si="13"/>
        <v>847</v>
      </c>
      <c r="B848" s="79">
        <f>YEAR(Table6[[#This Row],[Date]])+IF(MONTH(Table6[[#This Row],[Date]])&gt;=4,1,0)</f>
        <v>2026</v>
      </c>
      <c r="C848" s="79">
        <f>YEAR(Table6[[#This Row],[Date]])</f>
        <v>2025</v>
      </c>
      <c r="D848" s="79" t="s">
        <v>344</v>
      </c>
      <c r="E848" s="284">
        <f>Table6[[#This Row],[Date]]-DAY(Table6[[#This Row],[Date]])+1</f>
        <v>45809</v>
      </c>
      <c r="F848" s="285">
        <v>45826</v>
      </c>
      <c r="G848" s="79" t="s">
        <v>115</v>
      </c>
      <c r="H848" s="79" t="str">
        <f>IFERROR(_xlfn.XLOOKUP(Table6[[#This Row],[Affected Feeder ]],'Basic Data'!$A:$A,'Basic Data'!$B:$B),"")</f>
        <v>PWEPL</v>
      </c>
      <c r="I848" s="79" t="str">
        <f>IFERROR(_xlfn.XLOOKUP(Table6[[#This Row],[Affected Feeder ]],'Basic Data'!$A:$A,'Basic Data'!$C:$C),"")</f>
        <v>MSEDCL</v>
      </c>
      <c r="J848" s="295">
        <f>IFERROR(_xlfn.XLOOKUP(Table6[[#This Row],[Affected Feeder ]],'Basic Data'!$A:$A,'Basic Data'!$E:$E),"")</f>
        <v>2.2727272727272728E-2</v>
      </c>
      <c r="K848" s="296" t="s">
        <v>171</v>
      </c>
      <c r="L848" s="297">
        <v>1.2499999999999999E-2</v>
      </c>
      <c r="M848" s="297">
        <v>1.2499999999999999E-2</v>
      </c>
      <c r="N848" s="297">
        <v>1.5972222222222224E-2</v>
      </c>
      <c r="O848" s="19">
        <f>(Table6[[#This Row],[Work Start TimeStamp]]-Table6[[#This Row],[Fault Start TimeStamp]])*24</f>
        <v>0</v>
      </c>
      <c r="P848" s="19">
        <f>(Table6[[#This Row],[Fault Clearance time]]-Table6[[#This Row],[Fault Start TimeStamp]])*24</f>
        <v>8.3333333333333412E-2</v>
      </c>
      <c r="Q848" s="19">
        <f>(Table6[[#This Row],[Fault Clearance time]]-Table6[[#This Row],[Fault Start TimeStamp]])*24</f>
        <v>8.3333333333333412E-2</v>
      </c>
      <c r="R848" s="79" t="s">
        <v>353</v>
      </c>
      <c r="S848" s="79" t="s">
        <v>339</v>
      </c>
      <c r="T848" s="298">
        <f>IFERROR(Table6[[#This Row],[Breakdown Time]]*Table6[[#This Row],[Plant Equivalent Weightage]],"")</f>
        <v>1.8939393939393957E-3</v>
      </c>
      <c r="U848" s="79" t="s">
        <v>421</v>
      </c>
      <c r="W848" s="79">
        <v>304</v>
      </c>
    </row>
    <row r="849" spans="1:23">
      <c r="A849" s="79">
        <f t="shared" si="13"/>
        <v>848</v>
      </c>
      <c r="B849" s="79">
        <f>YEAR(Table6[[#This Row],[Date]])+IF(MONTH(Table6[[#This Row],[Date]])&gt;=4,1,0)</f>
        <v>2026</v>
      </c>
      <c r="C849" s="79">
        <f>YEAR(Table6[[#This Row],[Date]])</f>
        <v>2025</v>
      </c>
      <c r="D849" s="79" t="s">
        <v>344</v>
      </c>
      <c r="E849" s="284">
        <f>Table6[[#This Row],[Date]]-DAY(Table6[[#This Row],[Date]])+1</f>
        <v>45809</v>
      </c>
      <c r="F849" s="285">
        <v>45826</v>
      </c>
      <c r="G849" s="79" t="s">
        <v>116</v>
      </c>
      <c r="H849" s="79" t="str">
        <f>IFERROR(_xlfn.XLOOKUP(Table6[[#This Row],[Affected Feeder ]],'Basic Data'!$A:$A,'Basic Data'!$B:$B),"")</f>
        <v>PWEPL</v>
      </c>
      <c r="I849" s="79" t="str">
        <f>IFERROR(_xlfn.XLOOKUP(Table6[[#This Row],[Affected Feeder ]],'Basic Data'!$A:$A,'Basic Data'!$C:$C),"")</f>
        <v>MSEDCL</v>
      </c>
      <c r="J849" s="295">
        <f>IFERROR(_xlfn.XLOOKUP(Table6[[#This Row],[Affected Feeder ]],'Basic Data'!$A:$A,'Basic Data'!$E:$E),"")</f>
        <v>2.2727272727272728E-2</v>
      </c>
      <c r="K849" s="296" t="s">
        <v>910</v>
      </c>
      <c r="L849" s="297">
        <v>0</v>
      </c>
      <c r="M849" s="297">
        <v>0</v>
      </c>
      <c r="N849" s="297">
        <v>1.2499999999999999E-2</v>
      </c>
      <c r="O849" s="19">
        <f>(Table6[[#This Row],[Work Start TimeStamp]]-Table6[[#This Row],[Fault Start TimeStamp]])*24</f>
        <v>0</v>
      </c>
      <c r="P849" s="19">
        <f>(Table6[[#This Row],[Fault Clearance time]]-Table6[[#This Row],[Fault Start TimeStamp]])*24</f>
        <v>0.3</v>
      </c>
      <c r="Q849" s="19">
        <f>(Table6[[#This Row],[Fault Clearance time]]-Table6[[#This Row],[Fault Start TimeStamp]])*24</f>
        <v>0.3</v>
      </c>
      <c r="R849" s="79" t="s">
        <v>911</v>
      </c>
      <c r="S849" s="79" t="s">
        <v>339</v>
      </c>
      <c r="T849" s="298">
        <f>IFERROR(Table6[[#This Row],[Breakdown Time]]*Table6[[#This Row],[Plant Equivalent Weightage]],"")</f>
        <v>6.8181818181818179E-3</v>
      </c>
      <c r="U849" s="79" t="s">
        <v>421</v>
      </c>
      <c r="W849" s="79">
        <v>792</v>
      </c>
    </row>
    <row r="850" spans="1:23">
      <c r="A850" s="79">
        <f t="shared" si="13"/>
        <v>849</v>
      </c>
      <c r="B850" s="79">
        <f>YEAR(Table6[[#This Row],[Date]])+IF(MONTH(Table6[[#This Row],[Date]])&gt;=4,1,0)</f>
        <v>2026</v>
      </c>
      <c r="C850" s="79">
        <f>YEAR(Table6[[#This Row],[Date]])</f>
        <v>2025</v>
      </c>
      <c r="D850" s="79" t="s">
        <v>344</v>
      </c>
      <c r="E850" s="284">
        <f>Table6[[#This Row],[Date]]-DAY(Table6[[#This Row],[Date]])+1</f>
        <v>45809</v>
      </c>
      <c r="F850" s="285">
        <v>45826</v>
      </c>
      <c r="G850" s="79" t="s">
        <v>116</v>
      </c>
      <c r="H850" s="79" t="str">
        <f>IFERROR(_xlfn.XLOOKUP(Table6[[#This Row],[Affected Feeder ]],'Basic Data'!$A:$A,'Basic Data'!$B:$B),"")</f>
        <v>PWEPL</v>
      </c>
      <c r="I850" s="79" t="str">
        <f>IFERROR(_xlfn.XLOOKUP(Table6[[#This Row],[Affected Feeder ]],'Basic Data'!$A:$A,'Basic Data'!$C:$C),"")</f>
        <v>MSEDCL</v>
      </c>
      <c r="J850" s="295">
        <f>IFERROR(_xlfn.XLOOKUP(Table6[[#This Row],[Affected Feeder ]],'Basic Data'!$A:$A,'Basic Data'!$E:$E),"")</f>
        <v>2.2727272727272728E-2</v>
      </c>
      <c r="K850" s="296" t="s">
        <v>171</v>
      </c>
      <c r="L850" s="297">
        <v>1.2499999999999999E-2</v>
      </c>
      <c r="M850" s="297">
        <v>1.2499999999999999E-2</v>
      </c>
      <c r="N850" s="297">
        <v>1.5972222222222224E-2</v>
      </c>
      <c r="O850" s="19">
        <f>(Table6[[#This Row],[Work Start TimeStamp]]-Table6[[#This Row],[Fault Start TimeStamp]])*24</f>
        <v>0</v>
      </c>
      <c r="P850" s="19">
        <f>(Table6[[#This Row],[Fault Clearance time]]-Table6[[#This Row],[Fault Start TimeStamp]])*24</f>
        <v>8.3333333333333412E-2</v>
      </c>
      <c r="Q850" s="19">
        <f>(Table6[[#This Row],[Fault Clearance time]]-Table6[[#This Row],[Fault Start TimeStamp]])*24</f>
        <v>8.3333333333333412E-2</v>
      </c>
      <c r="R850" s="79" t="s">
        <v>353</v>
      </c>
      <c r="S850" s="79" t="s">
        <v>339</v>
      </c>
      <c r="T850" s="298">
        <f>IFERROR(Table6[[#This Row],[Breakdown Time]]*Table6[[#This Row],[Plant Equivalent Weightage]],"")</f>
        <v>1.8939393939393957E-3</v>
      </c>
      <c r="U850" s="79" t="s">
        <v>421</v>
      </c>
      <c r="W850" s="79">
        <v>304</v>
      </c>
    </row>
    <row r="851" spans="1:23">
      <c r="A851" s="79">
        <f t="shared" si="13"/>
        <v>850</v>
      </c>
      <c r="B851" s="79">
        <f>YEAR(Table6[[#This Row],[Date]])+IF(MONTH(Table6[[#This Row],[Date]])&gt;=4,1,0)</f>
        <v>2026</v>
      </c>
      <c r="C851" s="79">
        <f>YEAR(Table6[[#This Row],[Date]])</f>
        <v>2025</v>
      </c>
      <c r="D851" s="79" t="s">
        <v>344</v>
      </c>
      <c r="E851" s="284">
        <f>Table6[[#This Row],[Date]]-DAY(Table6[[#This Row],[Date]])+1</f>
        <v>45809</v>
      </c>
      <c r="F851" s="285">
        <v>45826</v>
      </c>
      <c r="G851" s="79" t="s">
        <v>117</v>
      </c>
      <c r="H851" s="79" t="str">
        <f>IFERROR(_xlfn.XLOOKUP(Table6[[#This Row],[Affected Feeder ]],'Basic Data'!$A:$A,'Basic Data'!$B:$B),"")</f>
        <v>PWEPL</v>
      </c>
      <c r="I851" s="79" t="str">
        <f>IFERROR(_xlfn.XLOOKUP(Table6[[#This Row],[Affected Feeder ]],'Basic Data'!$A:$A,'Basic Data'!$C:$C),"")</f>
        <v>MSEDCL</v>
      </c>
      <c r="J851" s="295">
        <f>IFERROR(_xlfn.XLOOKUP(Table6[[#This Row],[Affected Feeder ]],'Basic Data'!$A:$A,'Basic Data'!$E:$E),"")</f>
        <v>2.2727272727272728E-2</v>
      </c>
      <c r="K851" s="296" t="s">
        <v>910</v>
      </c>
      <c r="L851" s="297">
        <v>0</v>
      </c>
      <c r="M851" s="297">
        <v>0</v>
      </c>
      <c r="N851" s="297">
        <v>1.2499999999999999E-2</v>
      </c>
      <c r="O851" s="19">
        <f>(Table6[[#This Row],[Work Start TimeStamp]]-Table6[[#This Row],[Fault Start TimeStamp]])*24</f>
        <v>0</v>
      </c>
      <c r="P851" s="19">
        <f>(Table6[[#This Row],[Fault Clearance time]]-Table6[[#This Row],[Fault Start TimeStamp]])*24</f>
        <v>0.3</v>
      </c>
      <c r="Q851" s="19">
        <f>(Table6[[#This Row],[Fault Clearance time]]-Table6[[#This Row],[Fault Start TimeStamp]])*24</f>
        <v>0.3</v>
      </c>
      <c r="R851" s="79" t="s">
        <v>911</v>
      </c>
      <c r="S851" s="79" t="s">
        <v>339</v>
      </c>
      <c r="T851" s="298">
        <f>IFERROR(Table6[[#This Row],[Breakdown Time]]*Table6[[#This Row],[Plant Equivalent Weightage]],"")</f>
        <v>6.8181818181818179E-3</v>
      </c>
      <c r="U851" s="79" t="s">
        <v>421</v>
      </c>
      <c r="W851" s="79">
        <v>716</v>
      </c>
    </row>
    <row r="852" spans="1:23">
      <c r="A852" s="79">
        <f t="shared" si="13"/>
        <v>851</v>
      </c>
      <c r="B852" s="79">
        <f>YEAR(Table6[[#This Row],[Date]])+IF(MONTH(Table6[[#This Row],[Date]])&gt;=4,1,0)</f>
        <v>2026</v>
      </c>
      <c r="C852" s="79">
        <f>YEAR(Table6[[#This Row],[Date]])</f>
        <v>2025</v>
      </c>
      <c r="D852" s="79" t="s">
        <v>344</v>
      </c>
      <c r="E852" s="284">
        <f>Table6[[#This Row],[Date]]-DAY(Table6[[#This Row],[Date]])+1</f>
        <v>45809</v>
      </c>
      <c r="F852" s="285">
        <v>45826</v>
      </c>
      <c r="G852" s="79" t="s">
        <v>117</v>
      </c>
      <c r="H852" s="79" t="str">
        <f>IFERROR(_xlfn.XLOOKUP(Table6[[#This Row],[Affected Feeder ]],'Basic Data'!$A:$A,'Basic Data'!$B:$B),"")</f>
        <v>PWEPL</v>
      </c>
      <c r="I852" s="79" t="str">
        <f>IFERROR(_xlfn.XLOOKUP(Table6[[#This Row],[Affected Feeder ]],'Basic Data'!$A:$A,'Basic Data'!$C:$C),"")</f>
        <v>MSEDCL</v>
      </c>
      <c r="J852" s="295">
        <f>IFERROR(_xlfn.XLOOKUP(Table6[[#This Row],[Affected Feeder ]],'Basic Data'!$A:$A,'Basic Data'!$E:$E),"")</f>
        <v>2.2727272727272728E-2</v>
      </c>
      <c r="K852" s="296" t="s">
        <v>171</v>
      </c>
      <c r="L852" s="297">
        <v>1.2499999999999999E-2</v>
      </c>
      <c r="M852" s="297">
        <v>1.2499999999999999E-2</v>
      </c>
      <c r="N852" s="297">
        <v>1.5972222222222224E-2</v>
      </c>
      <c r="O852" s="19">
        <f>(Table6[[#This Row],[Work Start TimeStamp]]-Table6[[#This Row],[Fault Start TimeStamp]])*24</f>
        <v>0</v>
      </c>
      <c r="P852" s="19">
        <f>(Table6[[#This Row],[Fault Clearance time]]-Table6[[#This Row],[Fault Start TimeStamp]])*24</f>
        <v>8.3333333333333412E-2</v>
      </c>
      <c r="Q852" s="19">
        <f>(Table6[[#This Row],[Fault Clearance time]]-Table6[[#This Row],[Fault Start TimeStamp]])*24</f>
        <v>8.3333333333333412E-2</v>
      </c>
      <c r="R852" s="79" t="s">
        <v>353</v>
      </c>
      <c r="S852" s="79" t="s">
        <v>339</v>
      </c>
      <c r="T852" s="298">
        <f>IFERROR(Table6[[#This Row],[Breakdown Time]]*Table6[[#This Row],[Plant Equivalent Weightage]],"")</f>
        <v>1.8939393939393957E-3</v>
      </c>
      <c r="U852" s="79" t="s">
        <v>421</v>
      </c>
      <c r="W852" s="79">
        <v>358</v>
      </c>
    </row>
    <row r="853" spans="1:23">
      <c r="A853" s="79">
        <f t="shared" si="13"/>
        <v>852</v>
      </c>
      <c r="B853" s="79">
        <f>YEAR(Table6[[#This Row],[Date]])+IF(MONTH(Table6[[#This Row],[Date]])&gt;=4,1,0)</f>
        <v>2026</v>
      </c>
      <c r="C853" s="79">
        <f>YEAR(Table6[[#This Row],[Date]])</f>
        <v>2025</v>
      </c>
      <c r="D853" s="79" t="s">
        <v>344</v>
      </c>
      <c r="E853" s="284">
        <f>Table6[[#This Row],[Date]]-DAY(Table6[[#This Row],[Date]])+1</f>
        <v>45809</v>
      </c>
      <c r="F853" s="285">
        <v>45826</v>
      </c>
      <c r="G853" s="79" t="s">
        <v>118</v>
      </c>
      <c r="H853" s="79" t="str">
        <f>IFERROR(_xlfn.XLOOKUP(Table6[[#This Row],[Affected Feeder ]],'Basic Data'!$A:$A,'Basic Data'!$B:$B),"")</f>
        <v>PWEPL</v>
      </c>
      <c r="I853" s="79" t="str">
        <f>IFERROR(_xlfn.XLOOKUP(Table6[[#This Row],[Affected Feeder ]],'Basic Data'!$A:$A,'Basic Data'!$C:$C),"")</f>
        <v>MSEDCL</v>
      </c>
      <c r="J853" s="295">
        <f>IFERROR(_xlfn.XLOOKUP(Table6[[#This Row],[Affected Feeder ]],'Basic Data'!$A:$A,'Basic Data'!$E:$E),"")</f>
        <v>2.2727272727272728E-2</v>
      </c>
      <c r="K853" s="296" t="s">
        <v>910</v>
      </c>
      <c r="L853" s="297">
        <v>0</v>
      </c>
      <c r="M853" s="297">
        <v>0</v>
      </c>
      <c r="N853" s="297">
        <v>1.2499999999999999E-2</v>
      </c>
      <c r="O853" s="19">
        <f>(Table6[[#This Row],[Work Start TimeStamp]]-Table6[[#This Row],[Fault Start TimeStamp]])*24</f>
        <v>0</v>
      </c>
      <c r="P853" s="19">
        <f>(Table6[[#This Row],[Fault Clearance time]]-Table6[[#This Row],[Fault Start TimeStamp]])*24</f>
        <v>0.3</v>
      </c>
      <c r="Q853" s="19">
        <f>(Table6[[#This Row],[Fault Clearance time]]-Table6[[#This Row],[Fault Start TimeStamp]])*24</f>
        <v>0.3</v>
      </c>
      <c r="R853" s="79" t="s">
        <v>911</v>
      </c>
      <c r="S853" s="79" t="s">
        <v>339</v>
      </c>
      <c r="T853" s="298">
        <f>IFERROR(Table6[[#This Row],[Breakdown Time]]*Table6[[#This Row],[Plant Equivalent Weightage]],"")</f>
        <v>6.8181818181818179E-3</v>
      </c>
      <c r="U853" s="79" t="s">
        <v>421</v>
      </c>
      <c r="W853" s="79">
        <v>954</v>
      </c>
    </row>
    <row r="854" spans="1:23">
      <c r="A854" s="79">
        <f t="shared" si="13"/>
        <v>853</v>
      </c>
      <c r="B854" s="79">
        <f>YEAR(Table6[[#This Row],[Date]])+IF(MONTH(Table6[[#This Row],[Date]])&gt;=4,1,0)</f>
        <v>2026</v>
      </c>
      <c r="C854" s="79">
        <f>YEAR(Table6[[#This Row],[Date]])</f>
        <v>2025</v>
      </c>
      <c r="D854" s="79" t="s">
        <v>344</v>
      </c>
      <c r="E854" s="284">
        <f>Table6[[#This Row],[Date]]-DAY(Table6[[#This Row],[Date]])+1</f>
        <v>45809</v>
      </c>
      <c r="F854" s="285">
        <v>45826</v>
      </c>
      <c r="G854" s="79" t="s">
        <v>118</v>
      </c>
      <c r="H854" s="79" t="str">
        <f>IFERROR(_xlfn.XLOOKUP(Table6[[#This Row],[Affected Feeder ]],'Basic Data'!$A:$A,'Basic Data'!$B:$B),"")</f>
        <v>PWEPL</v>
      </c>
      <c r="I854" s="79" t="str">
        <f>IFERROR(_xlfn.XLOOKUP(Table6[[#This Row],[Affected Feeder ]],'Basic Data'!$A:$A,'Basic Data'!$C:$C),"")</f>
        <v>MSEDCL</v>
      </c>
      <c r="J854" s="295">
        <f>IFERROR(_xlfn.XLOOKUP(Table6[[#This Row],[Affected Feeder ]],'Basic Data'!$A:$A,'Basic Data'!$E:$E),"")</f>
        <v>2.2727272727272728E-2</v>
      </c>
      <c r="K854" s="296" t="s">
        <v>171</v>
      </c>
      <c r="L854" s="297">
        <v>1.2499999999999999E-2</v>
      </c>
      <c r="M854" s="297">
        <v>1.2499999999999999E-2</v>
      </c>
      <c r="N854" s="297">
        <v>1.5972222222222224E-2</v>
      </c>
      <c r="O854" s="19">
        <f>(Table6[[#This Row],[Work Start TimeStamp]]-Table6[[#This Row],[Fault Start TimeStamp]])*24</f>
        <v>0</v>
      </c>
      <c r="P854" s="19">
        <f>(Table6[[#This Row],[Fault Clearance time]]-Table6[[#This Row],[Fault Start TimeStamp]])*24</f>
        <v>8.3333333333333412E-2</v>
      </c>
      <c r="Q854" s="19">
        <f>(Table6[[#This Row],[Fault Clearance time]]-Table6[[#This Row],[Fault Start TimeStamp]])*24</f>
        <v>8.3333333333333412E-2</v>
      </c>
      <c r="R854" s="79" t="s">
        <v>353</v>
      </c>
      <c r="S854" s="79" t="s">
        <v>339</v>
      </c>
      <c r="T854" s="298">
        <f>IFERROR(Table6[[#This Row],[Breakdown Time]]*Table6[[#This Row],[Plant Equivalent Weightage]],"")</f>
        <v>1.8939393939393957E-3</v>
      </c>
      <c r="U854" s="79" t="s">
        <v>421</v>
      </c>
      <c r="W854" s="79">
        <v>366</v>
      </c>
    </row>
    <row r="855" spans="1:23">
      <c r="A855" s="79">
        <f t="shared" si="13"/>
        <v>854</v>
      </c>
      <c r="B855" s="79">
        <f>YEAR(Table6[[#This Row],[Date]])+IF(MONTH(Table6[[#This Row],[Date]])&gt;=4,1,0)</f>
        <v>2026</v>
      </c>
      <c r="C855" s="79">
        <f>YEAR(Table6[[#This Row],[Date]])</f>
        <v>2025</v>
      </c>
      <c r="D855" s="79" t="s">
        <v>344</v>
      </c>
      <c r="E855" s="284">
        <f>Table6[[#This Row],[Date]]-DAY(Table6[[#This Row],[Date]])+1</f>
        <v>45809</v>
      </c>
      <c r="F855" s="285">
        <v>45826</v>
      </c>
      <c r="G855" s="79" t="s">
        <v>406</v>
      </c>
      <c r="H855" s="79" t="str">
        <f>IFERROR(_xlfn.XLOOKUP(Table6[[#This Row],[Affected Feeder ]],'Basic Data'!$A:$A,'Basic Data'!$B:$B),"")</f>
        <v>PWEPL</v>
      </c>
      <c r="I855" s="79" t="str">
        <f>IFERROR(_xlfn.XLOOKUP(Table6[[#This Row],[Affected Feeder ]],'Basic Data'!$A:$A,'Basic Data'!$C:$C),"")</f>
        <v>MSEDCL</v>
      </c>
      <c r="J855" s="295">
        <f>IFERROR(_xlfn.XLOOKUP(Table6[[#This Row],[Affected Feeder ]],'Basic Data'!$A:$A,'Basic Data'!$E:$E),"")</f>
        <v>0.29545454545454541</v>
      </c>
      <c r="K855" s="296" t="s">
        <v>447</v>
      </c>
      <c r="L855" s="297">
        <v>0.80069444444444438</v>
      </c>
      <c r="M855" s="297">
        <v>0.80069444444444438</v>
      </c>
      <c r="N855" s="297">
        <v>0.81180555555555556</v>
      </c>
      <c r="O855" s="19">
        <f>(Table6[[#This Row],[Work Start TimeStamp]]-Table6[[#This Row],[Fault Start TimeStamp]])*24</f>
        <v>0</v>
      </c>
      <c r="P855" s="19">
        <f>(Table6[[#This Row],[Fault Clearance time]]-Table6[[#This Row],[Fault Start TimeStamp]])*24</f>
        <v>0.26666666666666838</v>
      </c>
      <c r="Q855" s="19">
        <f>(Table6[[#This Row],[Fault Clearance time]]-Table6[[#This Row],[Fault Start TimeStamp]])*24</f>
        <v>0.26666666666666838</v>
      </c>
      <c r="R855" s="79" t="s">
        <v>420</v>
      </c>
      <c r="S855" s="79" t="s">
        <v>339</v>
      </c>
      <c r="T855" s="298">
        <f>IFERROR(Table6[[#This Row],[Breakdown Time]]*Table6[[#This Row],[Plant Equivalent Weightage]],"")</f>
        <v>7.8787878787879281E-2</v>
      </c>
      <c r="U855" s="79" t="s">
        <v>421</v>
      </c>
      <c r="W855" s="79">
        <v>7689</v>
      </c>
    </row>
    <row r="856" spans="1:23">
      <c r="A856" s="79">
        <f t="shared" si="13"/>
        <v>855</v>
      </c>
      <c r="B856" s="79">
        <f>YEAR(Table6[[#This Row],[Date]])+IF(MONTH(Table6[[#This Row],[Date]])&gt;=4,1,0)</f>
        <v>2026</v>
      </c>
      <c r="C856" s="79">
        <f>YEAR(Table6[[#This Row],[Date]])</f>
        <v>2025</v>
      </c>
      <c r="D856" s="79" t="s">
        <v>344</v>
      </c>
      <c r="E856" s="284">
        <f>Table6[[#This Row],[Date]]-DAY(Table6[[#This Row],[Date]])+1</f>
        <v>45809</v>
      </c>
      <c r="F856" s="285">
        <v>45826</v>
      </c>
      <c r="G856" s="79" t="s">
        <v>76</v>
      </c>
      <c r="H856" s="79" t="str">
        <f>IFERROR(_xlfn.XLOOKUP(Table6[[#This Row],[Affected Feeder ]],'Basic Data'!$A:$A,'Basic Data'!$B:$B),"")</f>
        <v>PWEPL</v>
      </c>
      <c r="I856" s="79" t="str">
        <f>IFERROR(_xlfn.XLOOKUP(Table6[[#This Row],[Affected Feeder ]],'Basic Data'!$A:$A,'Basic Data'!$C:$C),"")</f>
        <v>MSEDCL</v>
      </c>
      <c r="J856" s="295">
        <f>IFERROR(_xlfn.XLOOKUP(Table6[[#This Row],[Affected Feeder ]],'Basic Data'!$A:$A,'Basic Data'!$E:$E),"")</f>
        <v>2.2727272727272728E-2</v>
      </c>
      <c r="K856" s="296" t="s">
        <v>171</v>
      </c>
      <c r="L856" s="297">
        <v>0.81180555555555556</v>
      </c>
      <c r="M856" s="297">
        <v>0.81180555555555556</v>
      </c>
      <c r="N856" s="297">
        <v>0.82291666666666663</v>
      </c>
      <c r="O856" s="19">
        <f>(Table6[[#This Row],[Work Start TimeStamp]]-Table6[[#This Row],[Fault Start TimeStamp]])*24</f>
        <v>0</v>
      </c>
      <c r="P856" s="19">
        <f>(Table6[[#This Row],[Fault Clearance time]]-Table6[[#This Row],[Fault Start TimeStamp]])*24</f>
        <v>0.26666666666666572</v>
      </c>
      <c r="Q856" s="19">
        <f>(Table6[[#This Row],[Fault Clearance time]]-Table6[[#This Row],[Fault Start TimeStamp]])*24</f>
        <v>0.26666666666666572</v>
      </c>
      <c r="R856" s="79" t="s">
        <v>353</v>
      </c>
      <c r="S856" s="79" t="s">
        <v>339</v>
      </c>
      <c r="T856" s="298">
        <f>IFERROR(Table6[[#This Row],[Breakdown Time]]*Table6[[#This Row],[Plant Equivalent Weightage]],"")</f>
        <v>6.0606060606060389E-3</v>
      </c>
      <c r="U856" s="79" t="s">
        <v>421</v>
      </c>
      <c r="W856" s="79">
        <v>591</v>
      </c>
    </row>
    <row r="857" spans="1:23">
      <c r="A857" s="79">
        <f t="shared" si="13"/>
        <v>856</v>
      </c>
      <c r="B857" s="79">
        <f>YEAR(Table6[[#This Row],[Date]])+IF(MONTH(Table6[[#This Row],[Date]])&gt;=4,1,0)</f>
        <v>2026</v>
      </c>
      <c r="C857" s="79">
        <f>YEAR(Table6[[#This Row],[Date]])</f>
        <v>2025</v>
      </c>
      <c r="D857" s="79" t="s">
        <v>344</v>
      </c>
      <c r="E857" s="284">
        <f>Table6[[#This Row],[Date]]-DAY(Table6[[#This Row],[Date]])+1</f>
        <v>45809</v>
      </c>
      <c r="F857" s="285">
        <v>45826</v>
      </c>
      <c r="G857" s="79" t="s">
        <v>77</v>
      </c>
      <c r="H857" s="79" t="str">
        <f>IFERROR(_xlfn.XLOOKUP(Table6[[#This Row],[Affected Feeder ]],'Basic Data'!$A:$A,'Basic Data'!$B:$B),"")</f>
        <v>PWEPL</v>
      </c>
      <c r="I857" s="79" t="str">
        <f>IFERROR(_xlfn.XLOOKUP(Table6[[#This Row],[Affected Feeder ]],'Basic Data'!$A:$A,'Basic Data'!$C:$C),"")</f>
        <v>MSEDCL</v>
      </c>
      <c r="J857" s="295">
        <f>IFERROR(_xlfn.XLOOKUP(Table6[[#This Row],[Affected Feeder ]],'Basic Data'!$A:$A,'Basic Data'!$E:$E),"")</f>
        <v>2.2727272727272728E-2</v>
      </c>
      <c r="K857" s="296" t="s">
        <v>171</v>
      </c>
      <c r="L857" s="297">
        <v>0.81180555555555556</v>
      </c>
      <c r="M857" s="297">
        <v>0.81180555555555556</v>
      </c>
      <c r="N857" s="297">
        <v>0.82291666666666663</v>
      </c>
      <c r="O857" s="19">
        <f>(Table6[[#This Row],[Work Start TimeStamp]]-Table6[[#This Row],[Fault Start TimeStamp]])*24</f>
        <v>0</v>
      </c>
      <c r="P857" s="19">
        <f>(Table6[[#This Row],[Fault Clearance time]]-Table6[[#This Row],[Fault Start TimeStamp]])*24</f>
        <v>0.26666666666666572</v>
      </c>
      <c r="Q857" s="19">
        <f>(Table6[[#This Row],[Fault Clearance time]]-Table6[[#This Row],[Fault Start TimeStamp]])*24</f>
        <v>0.26666666666666572</v>
      </c>
      <c r="R857" s="79" t="s">
        <v>353</v>
      </c>
      <c r="S857" s="79" t="s">
        <v>339</v>
      </c>
      <c r="T857" s="298">
        <f>IFERROR(Table6[[#This Row],[Breakdown Time]]*Table6[[#This Row],[Plant Equivalent Weightage]],"")</f>
        <v>6.0606060606060389E-3</v>
      </c>
      <c r="U857" s="79" t="s">
        <v>421</v>
      </c>
      <c r="W857" s="79">
        <v>591</v>
      </c>
    </row>
    <row r="858" spans="1:23">
      <c r="A858" s="79">
        <f t="shared" si="13"/>
        <v>857</v>
      </c>
      <c r="B858" s="79">
        <f>YEAR(Table6[[#This Row],[Date]])+IF(MONTH(Table6[[#This Row],[Date]])&gt;=4,1,0)</f>
        <v>2026</v>
      </c>
      <c r="C858" s="79">
        <f>YEAR(Table6[[#This Row],[Date]])</f>
        <v>2025</v>
      </c>
      <c r="D858" s="79" t="s">
        <v>344</v>
      </c>
      <c r="E858" s="284">
        <f>Table6[[#This Row],[Date]]-DAY(Table6[[#This Row],[Date]])+1</f>
        <v>45809</v>
      </c>
      <c r="F858" s="285">
        <v>45826</v>
      </c>
      <c r="G858" s="79" t="s">
        <v>78</v>
      </c>
      <c r="H858" s="79" t="str">
        <f>IFERROR(_xlfn.XLOOKUP(Table6[[#This Row],[Affected Feeder ]],'Basic Data'!$A:$A,'Basic Data'!$B:$B),"")</f>
        <v>PWEPL</v>
      </c>
      <c r="I858" s="79" t="str">
        <f>IFERROR(_xlfn.XLOOKUP(Table6[[#This Row],[Affected Feeder ]],'Basic Data'!$A:$A,'Basic Data'!$C:$C),"")</f>
        <v>MSEDCL</v>
      </c>
      <c r="J858" s="295">
        <f>IFERROR(_xlfn.XLOOKUP(Table6[[#This Row],[Affected Feeder ]],'Basic Data'!$A:$A,'Basic Data'!$E:$E),"")</f>
        <v>2.2727272727272728E-2</v>
      </c>
      <c r="K858" s="296" t="s">
        <v>171</v>
      </c>
      <c r="L858" s="297">
        <v>0.81180555555555556</v>
      </c>
      <c r="M858" s="297">
        <v>0.81180555555555556</v>
      </c>
      <c r="N858" s="297">
        <v>0.8256944444444444</v>
      </c>
      <c r="O858" s="19">
        <f>(Table6[[#This Row],[Work Start TimeStamp]]-Table6[[#This Row],[Fault Start TimeStamp]])*24</f>
        <v>0</v>
      </c>
      <c r="P858" s="19">
        <f>(Table6[[#This Row],[Fault Clearance time]]-Table6[[#This Row],[Fault Start TimeStamp]])*24</f>
        <v>0.33333333333333215</v>
      </c>
      <c r="Q858" s="19">
        <f>(Table6[[#This Row],[Fault Clearance time]]-Table6[[#This Row],[Fault Start TimeStamp]])*24</f>
        <v>0.33333333333333215</v>
      </c>
      <c r="R858" s="79" t="s">
        <v>353</v>
      </c>
      <c r="S858" s="79" t="s">
        <v>339</v>
      </c>
      <c r="T858" s="298">
        <f>IFERROR(Table6[[#This Row],[Breakdown Time]]*Table6[[#This Row],[Plant Equivalent Weightage]],"")</f>
        <v>7.5757575757575491E-3</v>
      </c>
      <c r="U858" s="79" t="s">
        <v>421</v>
      </c>
      <c r="W858" s="79">
        <v>739</v>
      </c>
    </row>
    <row r="859" spans="1:23">
      <c r="A859" s="79">
        <f t="shared" si="13"/>
        <v>858</v>
      </c>
      <c r="B859" s="79">
        <f>YEAR(Table6[[#This Row],[Date]])+IF(MONTH(Table6[[#This Row],[Date]])&gt;=4,1,0)</f>
        <v>2026</v>
      </c>
      <c r="C859" s="79">
        <f>YEAR(Table6[[#This Row],[Date]])</f>
        <v>2025</v>
      </c>
      <c r="D859" s="79" t="s">
        <v>344</v>
      </c>
      <c r="E859" s="284">
        <f>Table6[[#This Row],[Date]]-DAY(Table6[[#This Row],[Date]])+1</f>
        <v>45809</v>
      </c>
      <c r="F859" s="285">
        <v>45826</v>
      </c>
      <c r="G859" s="79" t="s">
        <v>82</v>
      </c>
      <c r="H859" s="79" t="str">
        <f>IFERROR(_xlfn.XLOOKUP(Table6[[#This Row],[Affected Feeder ]],'Basic Data'!$A:$A,'Basic Data'!$B:$B),"")</f>
        <v>PWEPL</v>
      </c>
      <c r="I859" s="79" t="str">
        <f>IFERROR(_xlfn.XLOOKUP(Table6[[#This Row],[Affected Feeder ]],'Basic Data'!$A:$A,'Basic Data'!$C:$C),"")</f>
        <v>MSEDCL</v>
      </c>
      <c r="J859" s="295">
        <f>IFERROR(_xlfn.XLOOKUP(Table6[[#This Row],[Affected Feeder ]],'Basic Data'!$A:$A,'Basic Data'!$E:$E),"")</f>
        <v>2.2727272727272728E-2</v>
      </c>
      <c r="K859" s="296" t="s">
        <v>171</v>
      </c>
      <c r="L859" s="297">
        <v>0.81180555555555556</v>
      </c>
      <c r="M859" s="297">
        <v>0.81180555555555556</v>
      </c>
      <c r="N859" s="297">
        <v>0.81944444444444453</v>
      </c>
      <c r="O859" s="19">
        <f>(Table6[[#This Row],[Work Start TimeStamp]]-Table6[[#This Row],[Fault Start TimeStamp]])*24</f>
        <v>0</v>
      </c>
      <c r="P859" s="19">
        <f>(Table6[[#This Row],[Fault Clearance time]]-Table6[[#This Row],[Fault Start TimeStamp]])*24</f>
        <v>0.18333333333333535</v>
      </c>
      <c r="Q859" s="19">
        <f>(Table6[[#This Row],[Fault Clearance time]]-Table6[[#This Row],[Fault Start TimeStamp]])*24</f>
        <v>0.18333333333333535</v>
      </c>
      <c r="R859" s="79" t="s">
        <v>353</v>
      </c>
      <c r="S859" s="79" t="s">
        <v>339</v>
      </c>
      <c r="T859" s="298">
        <f>IFERROR(Table6[[#This Row],[Breakdown Time]]*Table6[[#This Row],[Plant Equivalent Weightage]],"")</f>
        <v>4.1666666666667126E-3</v>
      </c>
      <c r="U859" s="79" t="s">
        <v>421</v>
      </c>
      <c r="W859" s="79">
        <v>406</v>
      </c>
    </row>
    <row r="860" spans="1:23">
      <c r="A860" s="79">
        <f t="shared" si="13"/>
        <v>859</v>
      </c>
      <c r="B860" s="79">
        <f>YEAR(Table6[[#This Row],[Date]])+IF(MONTH(Table6[[#This Row],[Date]])&gt;=4,1,0)</f>
        <v>2026</v>
      </c>
      <c r="C860" s="79">
        <f>YEAR(Table6[[#This Row],[Date]])</f>
        <v>2025</v>
      </c>
      <c r="D860" s="79" t="s">
        <v>344</v>
      </c>
      <c r="E860" s="284">
        <f>Table6[[#This Row],[Date]]-DAY(Table6[[#This Row],[Date]])+1</f>
        <v>45809</v>
      </c>
      <c r="F860" s="285">
        <v>45826</v>
      </c>
      <c r="G860" s="79" t="s">
        <v>93</v>
      </c>
      <c r="H860" s="79" t="str">
        <f>IFERROR(_xlfn.XLOOKUP(Table6[[#This Row],[Affected Feeder ]],'Basic Data'!$A:$A,'Basic Data'!$B:$B),"")</f>
        <v>PWEPL</v>
      </c>
      <c r="I860" s="79" t="str">
        <f>IFERROR(_xlfn.XLOOKUP(Table6[[#This Row],[Affected Feeder ]],'Basic Data'!$A:$A,'Basic Data'!$C:$C),"")</f>
        <v>MSEDCL</v>
      </c>
      <c r="J860" s="295">
        <f>IFERROR(_xlfn.XLOOKUP(Table6[[#This Row],[Affected Feeder ]],'Basic Data'!$A:$A,'Basic Data'!$E:$E),"")</f>
        <v>2.2727272727272728E-2</v>
      </c>
      <c r="K860" s="296" t="s">
        <v>171</v>
      </c>
      <c r="L860" s="297">
        <v>0.81180555555555556</v>
      </c>
      <c r="M860" s="297">
        <v>0.81180555555555556</v>
      </c>
      <c r="N860" s="297">
        <v>0.8208333333333333</v>
      </c>
      <c r="O860" s="19">
        <f>(Table6[[#This Row],[Work Start TimeStamp]]-Table6[[#This Row],[Fault Start TimeStamp]])*24</f>
        <v>0</v>
      </c>
      <c r="P860" s="19">
        <f>(Table6[[#This Row],[Fault Clearance time]]-Table6[[#This Row],[Fault Start TimeStamp]])*24</f>
        <v>0.2166666666666659</v>
      </c>
      <c r="Q860" s="19">
        <f>(Table6[[#This Row],[Fault Clearance time]]-Table6[[#This Row],[Fault Start TimeStamp]])*24</f>
        <v>0.2166666666666659</v>
      </c>
      <c r="R860" s="79" t="s">
        <v>353</v>
      </c>
      <c r="S860" s="79" t="s">
        <v>339</v>
      </c>
      <c r="T860" s="298">
        <f>IFERROR(Table6[[#This Row],[Breakdown Time]]*Table6[[#This Row],[Plant Equivalent Weightage]],"")</f>
        <v>4.9242424242424065E-3</v>
      </c>
      <c r="U860" s="79" t="s">
        <v>421</v>
      </c>
      <c r="W860" s="79">
        <v>480</v>
      </c>
    </row>
    <row r="861" spans="1:23">
      <c r="A861" s="79">
        <f t="shared" si="13"/>
        <v>860</v>
      </c>
      <c r="B861" s="79">
        <f>YEAR(Table6[[#This Row],[Date]])+IF(MONTH(Table6[[#This Row],[Date]])&gt;=4,1,0)</f>
        <v>2026</v>
      </c>
      <c r="C861" s="79">
        <f>YEAR(Table6[[#This Row],[Date]])</f>
        <v>2025</v>
      </c>
      <c r="D861" s="79" t="s">
        <v>344</v>
      </c>
      <c r="E861" s="284">
        <f>Table6[[#This Row],[Date]]-DAY(Table6[[#This Row],[Date]])+1</f>
        <v>45809</v>
      </c>
      <c r="F861" s="285">
        <v>45826</v>
      </c>
      <c r="G861" s="79" t="s">
        <v>102</v>
      </c>
      <c r="H861" s="79" t="str">
        <f>IFERROR(_xlfn.XLOOKUP(Table6[[#This Row],[Affected Feeder ]],'Basic Data'!$A:$A,'Basic Data'!$B:$B),"")</f>
        <v>PWEPL</v>
      </c>
      <c r="I861" s="79" t="str">
        <f>IFERROR(_xlfn.XLOOKUP(Table6[[#This Row],[Affected Feeder ]],'Basic Data'!$A:$A,'Basic Data'!$C:$C),"")</f>
        <v>MSEDCL</v>
      </c>
      <c r="J861" s="295">
        <f>IFERROR(_xlfn.XLOOKUP(Table6[[#This Row],[Affected Feeder ]],'Basic Data'!$A:$A,'Basic Data'!$E:$E),"")</f>
        <v>2.2727272727272728E-2</v>
      </c>
      <c r="K861" s="296" t="s">
        <v>171</v>
      </c>
      <c r="L861" s="297">
        <v>0.81180555555555556</v>
      </c>
      <c r="M861" s="297">
        <v>0.81180555555555556</v>
      </c>
      <c r="N861" s="297">
        <v>0.8256944444444444</v>
      </c>
      <c r="O861" s="19">
        <f>(Table6[[#This Row],[Work Start TimeStamp]]-Table6[[#This Row],[Fault Start TimeStamp]])*24</f>
        <v>0</v>
      </c>
      <c r="P861" s="19">
        <f>(Table6[[#This Row],[Fault Clearance time]]-Table6[[#This Row],[Fault Start TimeStamp]])*24</f>
        <v>0.33333333333333215</v>
      </c>
      <c r="Q861" s="19">
        <f>(Table6[[#This Row],[Fault Clearance time]]-Table6[[#This Row],[Fault Start TimeStamp]])*24</f>
        <v>0.33333333333333215</v>
      </c>
      <c r="R861" s="79" t="s">
        <v>353</v>
      </c>
      <c r="S861" s="79" t="s">
        <v>339</v>
      </c>
      <c r="T861" s="298">
        <f>IFERROR(Table6[[#This Row],[Breakdown Time]]*Table6[[#This Row],[Plant Equivalent Weightage]],"")</f>
        <v>7.5757575757575491E-3</v>
      </c>
      <c r="U861" s="79" t="s">
        <v>421</v>
      </c>
      <c r="W861" s="79">
        <v>739</v>
      </c>
    </row>
    <row r="862" spans="1:23">
      <c r="A862" s="79">
        <f t="shared" si="13"/>
        <v>861</v>
      </c>
      <c r="B862" s="79">
        <f>YEAR(Table6[[#This Row],[Date]])+IF(MONTH(Table6[[#This Row],[Date]])&gt;=4,1,0)</f>
        <v>2026</v>
      </c>
      <c r="C862" s="79">
        <f>YEAR(Table6[[#This Row],[Date]])</f>
        <v>2025</v>
      </c>
      <c r="D862" s="79" t="s">
        <v>344</v>
      </c>
      <c r="E862" s="284">
        <f>Table6[[#This Row],[Date]]-DAY(Table6[[#This Row],[Date]])+1</f>
        <v>45809</v>
      </c>
      <c r="F862" s="285">
        <v>45826</v>
      </c>
      <c r="G862" s="79" t="s">
        <v>119</v>
      </c>
      <c r="H862" s="79" t="str">
        <f>IFERROR(_xlfn.XLOOKUP(Table6[[#This Row],[Affected Feeder ]],'Basic Data'!$A:$A,'Basic Data'!$B:$B),"")</f>
        <v>PWEPL</v>
      </c>
      <c r="I862" s="79" t="str">
        <f>IFERROR(_xlfn.XLOOKUP(Table6[[#This Row],[Affected Feeder ]],'Basic Data'!$A:$A,'Basic Data'!$C:$C),"")</f>
        <v>MSEDCL</v>
      </c>
      <c r="J862" s="295">
        <f>IFERROR(_xlfn.XLOOKUP(Table6[[#This Row],[Affected Feeder ]],'Basic Data'!$A:$A,'Basic Data'!$E:$E),"")</f>
        <v>2.2727272727272728E-2</v>
      </c>
      <c r="K862" s="296" t="s">
        <v>171</v>
      </c>
      <c r="L862" s="297">
        <v>0.81180555555555556</v>
      </c>
      <c r="M862" s="297">
        <v>0.81180555555555556</v>
      </c>
      <c r="N862" s="297">
        <v>0.8256944444444444</v>
      </c>
      <c r="O862" s="19">
        <f>(Table6[[#This Row],[Work Start TimeStamp]]-Table6[[#This Row],[Fault Start TimeStamp]])*24</f>
        <v>0</v>
      </c>
      <c r="P862" s="19">
        <f>(Table6[[#This Row],[Fault Clearance time]]-Table6[[#This Row],[Fault Start TimeStamp]])*24</f>
        <v>0.33333333333333215</v>
      </c>
      <c r="Q862" s="19">
        <f>(Table6[[#This Row],[Fault Clearance time]]-Table6[[#This Row],[Fault Start TimeStamp]])*24</f>
        <v>0.33333333333333215</v>
      </c>
      <c r="R862" s="79" t="s">
        <v>353</v>
      </c>
      <c r="S862" s="79" t="s">
        <v>339</v>
      </c>
      <c r="T862" s="298">
        <f>IFERROR(Table6[[#This Row],[Breakdown Time]]*Table6[[#This Row],[Plant Equivalent Weightage]],"")</f>
        <v>7.5757575757575491E-3</v>
      </c>
      <c r="U862" s="79" t="s">
        <v>421</v>
      </c>
      <c r="W862" s="79">
        <v>739</v>
      </c>
    </row>
    <row r="863" spans="1:23">
      <c r="A863" s="79">
        <f t="shared" si="13"/>
        <v>862</v>
      </c>
      <c r="B863" s="79">
        <f>YEAR(Table6[[#This Row],[Date]])+IF(MONTH(Table6[[#This Row],[Date]])&gt;=4,1,0)</f>
        <v>2026</v>
      </c>
      <c r="C863" s="79">
        <f>YEAR(Table6[[#This Row],[Date]])</f>
        <v>2025</v>
      </c>
      <c r="D863" s="79" t="s">
        <v>344</v>
      </c>
      <c r="E863" s="284">
        <f>Table6[[#This Row],[Date]]-DAY(Table6[[#This Row],[Date]])+1</f>
        <v>45809</v>
      </c>
      <c r="F863" s="285">
        <v>45826</v>
      </c>
      <c r="G863" s="79" t="s">
        <v>103</v>
      </c>
      <c r="H863" s="79" t="str">
        <f>IFERROR(_xlfn.XLOOKUP(Table6[[#This Row],[Affected Feeder ]],'Basic Data'!$A:$A,'Basic Data'!$B:$B),"")</f>
        <v>PWEPL</v>
      </c>
      <c r="I863" s="79" t="str">
        <f>IFERROR(_xlfn.XLOOKUP(Table6[[#This Row],[Affected Feeder ]],'Basic Data'!$A:$A,'Basic Data'!$C:$C),"")</f>
        <v>MSEDCL</v>
      </c>
      <c r="J863" s="295">
        <f>IFERROR(_xlfn.XLOOKUP(Table6[[#This Row],[Affected Feeder ]],'Basic Data'!$A:$A,'Basic Data'!$E:$E),"")</f>
        <v>2.2727272727272728E-2</v>
      </c>
      <c r="K863" s="296" t="s">
        <v>171</v>
      </c>
      <c r="L863" s="297">
        <v>0.81180555555555556</v>
      </c>
      <c r="M863" s="297">
        <v>0.81180555555555556</v>
      </c>
      <c r="N863" s="297">
        <v>0.81874999999999998</v>
      </c>
      <c r="O863" s="19">
        <f>(Table6[[#This Row],[Work Start TimeStamp]]-Table6[[#This Row],[Fault Start TimeStamp]])*24</f>
        <v>0</v>
      </c>
      <c r="P863" s="19">
        <f>(Table6[[#This Row],[Fault Clearance time]]-Table6[[#This Row],[Fault Start TimeStamp]])*24</f>
        <v>0.16666666666666607</v>
      </c>
      <c r="Q863" s="19">
        <f>(Table6[[#This Row],[Fault Clearance time]]-Table6[[#This Row],[Fault Start TimeStamp]])*24</f>
        <v>0.16666666666666607</v>
      </c>
      <c r="R863" s="79" t="s">
        <v>353</v>
      </c>
      <c r="S863" s="79" t="s">
        <v>339</v>
      </c>
      <c r="T863" s="298">
        <f>IFERROR(Table6[[#This Row],[Breakdown Time]]*Table6[[#This Row],[Plant Equivalent Weightage]],"")</f>
        <v>3.7878787878787745E-3</v>
      </c>
      <c r="U863" s="79" t="s">
        <v>421</v>
      </c>
      <c r="W863" s="79">
        <v>369</v>
      </c>
    </row>
    <row r="864" spans="1:23">
      <c r="A864" s="79">
        <f t="shared" si="13"/>
        <v>863</v>
      </c>
      <c r="B864" s="79">
        <f>YEAR(Table6[[#This Row],[Date]])+IF(MONTH(Table6[[#This Row],[Date]])&gt;=4,1,0)</f>
        <v>2026</v>
      </c>
      <c r="C864" s="79">
        <f>YEAR(Table6[[#This Row],[Date]])</f>
        <v>2025</v>
      </c>
      <c r="D864" s="79" t="s">
        <v>344</v>
      </c>
      <c r="E864" s="284">
        <f>Table6[[#This Row],[Date]]-DAY(Table6[[#This Row],[Date]])+1</f>
        <v>45809</v>
      </c>
      <c r="F864" s="285">
        <v>45826</v>
      </c>
      <c r="G864" s="79" t="s">
        <v>105</v>
      </c>
      <c r="H864" s="79" t="str">
        <f>IFERROR(_xlfn.XLOOKUP(Table6[[#This Row],[Affected Feeder ]],'Basic Data'!$A:$A,'Basic Data'!$B:$B),"")</f>
        <v>PWEPL</v>
      </c>
      <c r="I864" s="79" t="str">
        <f>IFERROR(_xlfn.XLOOKUP(Table6[[#This Row],[Affected Feeder ]],'Basic Data'!$A:$A,'Basic Data'!$C:$C),"")</f>
        <v>MSEDCL</v>
      </c>
      <c r="J864" s="295">
        <f>IFERROR(_xlfn.XLOOKUP(Table6[[#This Row],[Affected Feeder ]],'Basic Data'!$A:$A,'Basic Data'!$E:$E),"")</f>
        <v>2.2727272727272728E-2</v>
      </c>
      <c r="K864" s="296" t="s">
        <v>171</v>
      </c>
      <c r="L864" s="297">
        <v>0.81180555555555556</v>
      </c>
      <c r="M864" s="297">
        <v>0.81180555555555556</v>
      </c>
      <c r="N864" s="297">
        <v>0.81874999999999998</v>
      </c>
      <c r="O864" s="19">
        <f>(Table6[[#This Row],[Work Start TimeStamp]]-Table6[[#This Row],[Fault Start TimeStamp]])*24</f>
        <v>0</v>
      </c>
      <c r="P864" s="19">
        <f>(Table6[[#This Row],[Fault Clearance time]]-Table6[[#This Row],[Fault Start TimeStamp]])*24</f>
        <v>0.16666666666666607</v>
      </c>
      <c r="Q864" s="19">
        <f>(Table6[[#This Row],[Fault Clearance time]]-Table6[[#This Row],[Fault Start TimeStamp]])*24</f>
        <v>0.16666666666666607</v>
      </c>
      <c r="R864" s="79" t="s">
        <v>353</v>
      </c>
      <c r="S864" s="79" t="s">
        <v>339</v>
      </c>
      <c r="T864" s="298">
        <f>IFERROR(Table6[[#This Row],[Breakdown Time]]*Table6[[#This Row],[Plant Equivalent Weightage]],"")</f>
        <v>3.7878787878787745E-3</v>
      </c>
      <c r="U864" s="79" t="s">
        <v>421</v>
      </c>
      <c r="W864" s="79">
        <v>369</v>
      </c>
    </row>
    <row r="865" spans="1:23">
      <c r="A865" s="79">
        <f t="shared" si="13"/>
        <v>864</v>
      </c>
      <c r="B865" s="79">
        <f>YEAR(Table6[[#This Row],[Date]])+IF(MONTH(Table6[[#This Row],[Date]])&gt;=4,1,0)</f>
        <v>2026</v>
      </c>
      <c r="C865" s="79">
        <f>YEAR(Table6[[#This Row],[Date]])</f>
        <v>2025</v>
      </c>
      <c r="D865" s="79" t="s">
        <v>344</v>
      </c>
      <c r="E865" s="284">
        <f>Table6[[#This Row],[Date]]-DAY(Table6[[#This Row],[Date]])+1</f>
        <v>45809</v>
      </c>
      <c r="F865" s="285">
        <v>45826</v>
      </c>
      <c r="G865" s="79" t="s">
        <v>115</v>
      </c>
      <c r="H865" s="79" t="str">
        <f>IFERROR(_xlfn.XLOOKUP(Table6[[#This Row],[Affected Feeder ]],'Basic Data'!$A:$A,'Basic Data'!$B:$B),"")</f>
        <v>PWEPL</v>
      </c>
      <c r="I865" s="79" t="str">
        <f>IFERROR(_xlfn.XLOOKUP(Table6[[#This Row],[Affected Feeder ]],'Basic Data'!$A:$A,'Basic Data'!$C:$C),"")</f>
        <v>MSEDCL</v>
      </c>
      <c r="J865" s="295">
        <f>IFERROR(_xlfn.XLOOKUP(Table6[[#This Row],[Affected Feeder ]],'Basic Data'!$A:$A,'Basic Data'!$E:$E),"")</f>
        <v>2.2727272727272728E-2</v>
      </c>
      <c r="K865" s="296" t="s">
        <v>171</v>
      </c>
      <c r="L865" s="297">
        <v>0.81180555555555556</v>
      </c>
      <c r="M865" s="297">
        <v>0.81180555555555556</v>
      </c>
      <c r="N865" s="297">
        <v>0.81874999999999998</v>
      </c>
      <c r="O865" s="19">
        <f>(Table6[[#This Row],[Work Start TimeStamp]]-Table6[[#This Row],[Fault Start TimeStamp]])*24</f>
        <v>0</v>
      </c>
      <c r="P865" s="19">
        <f>(Table6[[#This Row],[Fault Clearance time]]-Table6[[#This Row],[Fault Start TimeStamp]])*24</f>
        <v>0.16666666666666607</v>
      </c>
      <c r="Q865" s="19">
        <f>(Table6[[#This Row],[Fault Clearance time]]-Table6[[#This Row],[Fault Start TimeStamp]])*24</f>
        <v>0.16666666666666607</v>
      </c>
      <c r="R865" s="79" t="s">
        <v>353</v>
      </c>
      <c r="S865" s="79" t="s">
        <v>339</v>
      </c>
      <c r="T865" s="298">
        <f>IFERROR(Table6[[#This Row],[Breakdown Time]]*Table6[[#This Row],[Plant Equivalent Weightage]],"")</f>
        <v>3.7878787878787745E-3</v>
      </c>
      <c r="U865" s="79" t="s">
        <v>421</v>
      </c>
      <c r="W865" s="79">
        <v>369</v>
      </c>
    </row>
    <row r="866" spans="1:23">
      <c r="A866" s="79">
        <f t="shared" si="13"/>
        <v>865</v>
      </c>
      <c r="B866" s="79">
        <f>YEAR(Table6[[#This Row],[Date]])+IF(MONTH(Table6[[#This Row],[Date]])&gt;=4,1,0)</f>
        <v>2026</v>
      </c>
      <c r="C866" s="79">
        <f>YEAR(Table6[[#This Row],[Date]])</f>
        <v>2025</v>
      </c>
      <c r="D866" s="79" t="s">
        <v>344</v>
      </c>
      <c r="E866" s="284">
        <f>Table6[[#This Row],[Date]]-DAY(Table6[[#This Row],[Date]])+1</f>
        <v>45809</v>
      </c>
      <c r="F866" s="285">
        <v>45826</v>
      </c>
      <c r="G866" s="79" t="s">
        <v>116</v>
      </c>
      <c r="H866" s="79" t="str">
        <f>IFERROR(_xlfn.XLOOKUP(Table6[[#This Row],[Affected Feeder ]],'Basic Data'!$A:$A,'Basic Data'!$B:$B),"")</f>
        <v>PWEPL</v>
      </c>
      <c r="I866" s="79" t="str">
        <f>IFERROR(_xlfn.XLOOKUP(Table6[[#This Row],[Affected Feeder ]],'Basic Data'!$A:$A,'Basic Data'!$C:$C),"")</f>
        <v>MSEDCL</v>
      </c>
      <c r="J866" s="295">
        <f>IFERROR(_xlfn.XLOOKUP(Table6[[#This Row],[Affected Feeder ]],'Basic Data'!$A:$A,'Basic Data'!$E:$E),"")</f>
        <v>2.2727272727272728E-2</v>
      </c>
      <c r="K866" s="296" t="s">
        <v>171</v>
      </c>
      <c r="L866" s="297">
        <v>0.81180555555555556</v>
      </c>
      <c r="M866" s="297">
        <v>0.81180555555555556</v>
      </c>
      <c r="N866" s="297">
        <v>0.81874999999999998</v>
      </c>
      <c r="O866" s="19">
        <f>(Table6[[#This Row],[Work Start TimeStamp]]-Table6[[#This Row],[Fault Start TimeStamp]])*24</f>
        <v>0</v>
      </c>
      <c r="P866" s="19">
        <f>(Table6[[#This Row],[Fault Clearance time]]-Table6[[#This Row],[Fault Start TimeStamp]])*24</f>
        <v>0.16666666666666607</v>
      </c>
      <c r="Q866" s="19">
        <f>(Table6[[#This Row],[Fault Clearance time]]-Table6[[#This Row],[Fault Start TimeStamp]])*24</f>
        <v>0.16666666666666607</v>
      </c>
      <c r="R866" s="79" t="s">
        <v>353</v>
      </c>
      <c r="S866" s="79" t="s">
        <v>339</v>
      </c>
      <c r="T866" s="298">
        <f>IFERROR(Table6[[#This Row],[Breakdown Time]]*Table6[[#This Row],[Plant Equivalent Weightage]],"")</f>
        <v>3.7878787878787745E-3</v>
      </c>
      <c r="U866" s="79" t="s">
        <v>421</v>
      </c>
      <c r="W866" s="79">
        <v>369</v>
      </c>
    </row>
    <row r="867" spans="1:23">
      <c r="A867" s="79">
        <f t="shared" si="13"/>
        <v>866</v>
      </c>
      <c r="B867" s="79">
        <f>YEAR(Table6[[#This Row],[Date]])+IF(MONTH(Table6[[#This Row],[Date]])&gt;=4,1,0)</f>
        <v>2026</v>
      </c>
      <c r="C867" s="79">
        <f>YEAR(Table6[[#This Row],[Date]])</f>
        <v>2025</v>
      </c>
      <c r="D867" s="79" t="s">
        <v>344</v>
      </c>
      <c r="E867" s="284">
        <f>Table6[[#This Row],[Date]]-DAY(Table6[[#This Row],[Date]])+1</f>
        <v>45809</v>
      </c>
      <c r="F867" s="285">
        <v>45826</v>
      </c>
      <c r="G867" s="79" t="s">
        <v>117</v>
      </c>
      <c r="H867" s="79" t="str">
        <f>IFERROR(_xlfn.XLOOKUP(Table6[[#This Row],[Affected Feeder ]],'Basic Data'!$A:$A,'Basic Data'!$B:$B),"")</f>
        <v>PWEPL</v>
      </c>
      <c r="I867" s="79" t="str">
        <f>IFERROR(_xlfn.XLOOKUP(Table6[[#This Row],[Affected Feeder ]],'Basic Data'!$A:$A,'Basic Data'!$C:$C),"")</f>
        <v>MSEDCL</v>
      </c>
      <c r="J867" s="295">
        <f>IFERROR(_xlfn.XLOOKUP(Table6[[#This Row],[Affected Feeder ]],'Basic Data'!$A:$A,'Basic Data'!$E:$E),"")</f>
        <v>2.2727272727272728E-2</v>
      </c>
      <c r="K867" s="296" t="s">
        <v>171</v>
      </c>
      <c r="L867" s="297">
        <v>0.81180555555555556</v>
      </c>
      <c r="M867" s="297">
        <v>0.81180555555555556</v>
      </c>
      <c r="N867" s="297">
        <v>0.81805555555555554</v>
      </c>
      <c r="O867" s="19">
        <f>(Table6[[#This Row],[Work Start TimeStamp]]-Table6[[#This Row],[Fault Start TimeStamp]])*24</f>
        <v>0</v>
      </c>
      <c r="P867" s="19">
        <f>(Table6[[#This Row],[Fault Clearance time]]-Table6[[#This Row],[Fault Start TimeStamp]])*24</f>
        <v>0.14999999999999947</v>
      </c>
      <c r="Q867" s="19">
        <f>(Table6[[#This Row],[Fault Clearance time]]-Table6[[#This Row],[Fault Start TimeStamp]])*24</f>
        <v>0.14999999999999947</v>
      </c>
      <c r="R867" s="79" t="s">
        <v>353</v>
      </c>
      <c r="S867" s="79" t="s">
        <v>339</v>
      </c>
      <c r="T867" s="298">
        <f>IFERROR(Table6[[#This Row],[Breakdown Time]]*Table6[[#This Row],[Plant Equivalent Weightage]],"")</f>
        <v>3.4090909090908972E-3</v>
      </c>
      <c r="U867" s="79" t="s">
        <v>421</v>
      </c>
      <c r="W867" s="79">
        <v>332</v>
      </c>
    </row>
    <row r="868" spans="1:23">
      <c r="A868" s="79">
        <f t="shared" si="13"/>
        <v>867</v>
      </c>
      <c r="B868" s="79">
        <f>YEAR(Table6[[#This Row],[Date]])+IF(MONTH(Table6[[#This Row],[Date]])&gt;=4,1,0)</f>
        <v>2026</v>
      </c>
      <c r="C868" s="79">
        <f>YEAR(Table6[[#This Row],[Date]])</f>
        <v>2025</v>
      </c>
      <c r="D868" s="79" t="s">
        <v>344</v>
      </c>
      <c r="E868" s="284">
        <f>Table6[[#This Row],[Date]]-DAY(Table6[[#This Row],[Date]])+1</f>
        <v>45809</v>
      </c>
      <c r="F868" s="285">
        <v>45826</v>
      </c>
      <c r="G868" s="79" t="s">
        <v>118</v>
      </c>
      <c r="H868" s="79" t="str">
        <f>IFERROR(_xlfn.XLOOKUP(Table6[[#This Row],[Affected Feeder ]],'Basic Data'!$A:$A,'Basic Data'!$B:$B),"")</f>
        <v>PWEPL</v>
      </c>
      <c r="I868" s="79" t="str">
        <f>IFERROR(_xlfn.XLOOKUP(Table6[[#This Row],[Affected Feeder ]],'Basic Data'!$A:$A,'Basic Data'!$C:$C),"")</f>
        <v>MSEDCL</v>
      </c>
      <c r="J868" s="295">
        <f>IFERROR(_xlfn.XLOOKUP(Table6[[#This Row],[Affected Feeder ]],'Basic Data'!$A:$A,'Basic Data'!$E:$E),"")</f>
        <v>2.2727272727272728E-2</v>
      </c>
      <c r="K868" s="296" t="s">
        <v>171</v>
      </c>
      <c r="L868" s="297">
        <v>0.81180555555555556</v>
      </c>
      <c r="M868" s="297">
        <v>0.81180555555555556</v>
      </c>
      <c r="N868" s="297">
        <v>0.8256944444444444</v>
      </c>
      <c r="O868" s="19">
        <f>(Table6[[#This Row],[Work Start TimeStamp]]-Table6[[#This Row],[Fault Start TimeStamp]])*24</f>
        <v>0</v>
      </c>
      <c r="P868" s="19">
        <f>(Table6[[#This Row],[Fault Clearance time]]-Table6[[#This Row],[Fault Start TimeStamp]])*24</f>
        <v>0.33333333333333215</v>
      </c>
      <c r="Q868" s="19">
        <f>(Table6[[#This Row],[Fault Clearance time]]-Table6[[#This Row],[Fault Start TimeStamp]])*24</f>
        <v>0.33333333333333215</v>
      </c>
      <c r="R868" s="79" t="s">
        <v>353</v>
      </c>
      <c r="S868" s="79" t="s">
        <v>339</v>
      </c>
      <c r="T868" s="298">
        <f>IFERROR(Table6[[#This Row],[Breakdown Time]]*Table6[[#This Row],[Plant Equivalent Weightage]],"")</f>
        <v>7.5757575757575491E-3</v>
      </c>
      <c r="U868" s="79" t="s">
        <v>421</v>
      </c>
      <c r="W868" s="79">
        <v>369</v>
      </c>
    </row>
    <row r="869" spans="1:23">
      <c r="A869" s="79">
        <f t="shared" si="13"/>
        <v>868</v>
      </c>
      <c r="B869" s="79">
        <f>YEAR(Table6[[#This Row],[Date]])+IF(MONTH(Table6[[#This Row],[Date]])&gt;=4,1,0)</f>
        <v>2026</v>
      </c>
      <c r="C869" s="79">
        <f>YEAR(Table6[[#This Row],[Date]])</f>
        <v>2025</v>
      </c>
      <c r="D869" s="79" t="s">
        <v>344</v>
      </c>
      <c r="E869" s="284">
        <f>Table6[[#This Row],[Date]]-DAY(Table6[[#This Row],[Date]])+1</f>
        <v>45809</v>
      </c>
      <c r="F869" s="285">
        <v>45827</v>
      </c>
      <c r="G869" s="79" t="s">
        <v>406</v>
      </c>
      <c r="H869" s="79" t="str">
        <f>IFERROR(_xlfn.XLOOKUP(Table6[[#This Row],[Affected Feeder ]],'Basic Data'!$A:$A,'Basic Data'!$B:$B),"")</f>
        <v>PWEPL</v>
      </c>
      <c r="I869" s="79" t="str">
        <f>IFERROR(_xlfn.XLOOKUP(Table6[[#This Row],[Affected Feeder ]],'Basic Data'!$A:$A,'Basic Data'!$C:$C),"")</f>
        <v>MSEDCL</v>
      </c>
      <c r="J869" s="295">
        <f>IFERROR(_xlfn.XLOOKUP(Table6[[#This Row],[Affected Feeder ]],'Basic Data'!$A:$A,'Basic Data'!$E:$E),"")</f>
        <v>0.29545454545454541</v>
      </c>
      <c r="K869" s="296" t="s">
        <v>447</v>
      </c>
      <c r="L869" s="297">
        <v>0.15902777777777777</v>
      </c>
      <c r="M869" s="297">
        <v>0.15902777777777777</v>
      </c>
      <c r="N869" s="297">
        <v>0.17430555555555557</v>
      </c>
      <c r="O869" s="19">
        <f>(Table6[[#This Row],[Work Start TimeStamp]]-Table6[[#This Row],[Fault Start TimeStamp]])*24</f>
        <v>0</v>
      </c>
      <c r="P869" s="19">
        <f>(Table6[[#This Row],[Fault Clearance time]]-Table6[[#This Row],[Fault Start TimeStamp]])*24</f>
        <v>0.36666666666666736</v>
      </c>
      <c r="Q869" s="19">
        <f>(Table6[[#This Row],[Fault Clearance time]]-Table6[[#This Row],[Fault Start TimeStamp]])*24</f>
        <v>0.36666666666666736</v>
      </c>
      <c r="R869" s="79" t="s">
        <v>420</v>
      </c>
      <c r="S869" s="79" t="s">
        <v>339</v>
      </c>
      <c r="T869" s="298">
        <f>IFERROR(Table6[[#This Row],[Breakdown Time]]*Table6[[#This Row],[Plant Equivalent Weightage]],"")</f>
        <v>0.10833333333333352</v>
      </c>
      <c r="U869" s="79" t="s">
        <v>421</v>
      </c>
      <c r="W869" s="79">
        <v>9109</v>
      </c>
    </row>
    <row r="870" spans="1:23">
      <c r="A870" s="79">
        <f t="shared" si="13"/>
        <v>869</v>
      </c>
      <c r="B870" s="79">
        <f>YEAR(Table6[[#This Row],[Date]])+IF(MONTH(Table6[[#This Row],[Date]])&gt;=4,1,0)</f>
        <v>2026</v>
      </c>
      <c r="C870" s="79">
        <f>YEAR(Table6[[#This Row],[Date]])</f>
        <v>2025</v>
      </c>
      <c r="D870" s="79" t="s">
        <v>344</v>
      </c>
      <c r="E870" s="284">
        <f>Table6[[#This Row],[Date]]-DAY(Table6[[#This Row],[Date]])+1</f>
        <v>45809</v>
      </c>
      <c r="F870" s="285">
        <v>45827</v>
      </c>
      <c r="G870" s="79" t="s">
        <v>76</v>
      </c>
      <c r="H870" s="79" t="str">
        <f>IFERROR(_xlfn.XLOOKUP(Table6[[#This Row],[Affected Feeder ]],'Basic Data'!$A:$A,'Basic Data'!$B:$B),"")</f>
        <v>PWEPL</v>
      </c>
      <c r="I870" s="79" t="str">
        <f>IFERROR(_xlfn.XLOOKUP(Table6[[#This Row],[Affected Feeder ]],'Basic Data'!$A:$A,'Basic Data'!$C:$C),"")</f>
        <v>MSEDCL</v>
      </c>
      <c r="J870" s="295">
        <f>IFERROR(_xlfn.XLOOKUP(Table6[[#This Row],[Affected Feeder ]],'Basic Data'!$A:$A,'Basic Data'!$E:$E),"")</f>
        <v>2.2727272727272728E-2</v>
      </c>
      <c r="K870" s="296" t="s">
        <v>171</v>
      </c>
      <c r="L870" s="297">
        <v>0.17430555555555557</v>
      </c>
      <c r="M870" s="297">
        <v>0.17430555555555557</v>
      </c>
      <c r="N870" s="297">
        <v>0.18819444444444444</v>
      </c>
      <c r="O870" s="19">
        <f>(Table6[[#This Row],[Work Start TimeStamp]]-Table6[[#This Row],[Fault Start TimeStamp]])*24</f>
        <v>0</v>
      </c>
      <c r="P870" s="19">
        <f>(Table6[[#This Row],[Fault Clearance time]]-Table6[[#This Row],[Fault Start TimeStamp]])*24</f>
        <v>0.33333333333333282</v>
      </c>
      <c r="Q870" s="19">
        <f>(Table6[[#This Row],[Fault Clearance time]]-Table6[[#This Row],[Fault Start TimeStamp]])*24</f>
        <v>0.33333333333333282</v>
      </c>
      <c r="R870" s="79" t="s">
        <v>353</v>
      </c>
      <c r="S870" s="79" t="s">
        <v>339</v>
      </c>
      <c r="T870" s="298">
        <f>IFERROR(Table6[[#This Row],[Breakdown Time]]*Table6[[#This Row],[Plant Equivalent Weightage]],"")</f>
        <v>7.5757575757575638E-3</v>
      </c>
      <c r="U870" s="79" t="s">
        <v>421</v>
      </c>
      <c r="W870" s="79">
        <v>637</v>
      </c>
    </row>
    <row r="871" spans="1:23">
      <c r="A871" s="79">
        <f t="shared" si="13"/>
        <v>870</v>
      </c>
      <c r="B871" s="79">
        <f>YEAR(Table6[[#This Row],[Date]])+IF(MONTH(Table6[[#This Row],[Date]])&gt;=4,1,0)</f>
        <v>2026</v>
      </c>
      <c r="C871" s="79">
        <f>YEAR(Table6[[#This Row],[Date]])</f>
        <v>2025</v>
      </c>
      <c r="D871" s="79" t="s">
        <v>344</v>
      </c>
      <c r="E871" s="284">
        <f>Table6[[#This Row],[Date]]-DAY(Table6[[#This Row],[Date]])+1</f>
        <v>45809</v>
      </c>
      <c r="F871" s="285">
        <v>45827</v>
      </c>
      <c r="G871" s="79" t="s">
        <v>77</v>
      </c>
      <c r="H871" s="79" t="str">
        <f>IFERROR(_xlfn.XLOOKUP(Table6[[#This Row],[Affected Feeder ]],'Basic Data'!$A:$A,'Basic Data'!$B:$B),"")</f>
        <v>PWEPL</v>
      </c>
      <c r="I871" s="79" t="str">
        <f>IFERROR(_xlfn.XLOOKUP(Table6[[#This Row],[Affected Feeder ]],'Basic Data'!$A:$A,'Basic Data'!$C:$C),"")</f>
        <v>MSEDCL</v>
      </c>
      <c r="J871" s="295">
        <f>IFERROR(_xlfn.XLOOKUP(Table6[[#This Row],[Affected Feeder ]],'Basic Data'!$A:$A,'Basic Data'!$E:$E),"")</f>
        <v>2.2727272727272728E-2</v>
      </c>
      <c r="K871" s="296" t="s">
        <v>171</v>
      </c>
      <c r="L871" s="297">
        <v>0.17430555555555557</v>
      </c>
      <c r="M871" s="297">
        <v>0.17430555555555557</v>
      </c>
      <c r="N871" s="297">
        <v>0.18819444444444444</v>
      </c>
      <c r="O871" s="19">
        <f>(Table6[[#This Row],[Work Start TimeStamp]]-Table6[[#This Row],[Fault Start TimeStamp]])*24</f>
        <v>0</v>
      </c>
      <c r="P871" s="19">
        <f>(Table6[[#This Row],[Fault Clearance time]]-Table6[[#This Row],[Fault Start TimeStamp]])*24</f>
        <v>0.33333333333333282</v>
      </c>
      <c r="Q871" s="19">
        <f>(Table6[[#This Row],[Fault Clearance time]]-Table6[[#This Row],[Fault Start TimeStamp]])*24</f>
        <v>0.33333333333333282</v>
      </c>
      <c r="R871" s="79" t="s">
        <v>353</v>
      </c>
      <c r="S871" s="79" t="s">
        <v>339</v>
      </c>
      <c r="T871" s="298">
        <f>IFERROR(Table6[[#This Row],[Breakdown Time]]*Table6[[#This Row],[Plant Equivalent Weightage]],"")</f>
        <v>7.5757575757575638E-3</v>
      </c>
      <c r="U871" s="79" t="s">
        <v>421</v>
      </c>
      <c r="W871" s="79">
        <v>637</v>
      </c>
    </row>
    <row r="872" spans="1:23">
      <c r="A872" s="79">
        <f t="shared" si="13"/>
        <v>871</v>
      </c>
      <c r="B872" s="79">
        <f>YEAR(Table6[[#This Row],[Date]])+IF(MONTH(Table6[[#This Row],[Date]])&gt;=4,1,0)</f>
        <v>2026</v>
      </c>
      <c r="C872" s="79">
        <f>YEAR(Table6[[#This Row],[Date]])</f>
        <v>2025</v>
      </c>
      <c r="D872" s="79" t="s">
        <v>344</v>
      </c>
      <c r="E872" s="284">
        <f>Table6[[#This Row],[Date]]-DAY(Table6[[#This Row],[Date]])+1</f>
        <v>45809</v>
      </c>
      <c r="F872" s="285">
        <v>45827</v>
      </c>
      <c r="G872" s="79" t="s">
        <v>78</v>
      </c>
      <c r="H872" s="79" t="str">
        <f>IFERROR(_xlfn.XLOOKUP(Table6[[#This Row],[Affected Feeder ]],'Basic Data'!$A:$A,'Basic Data'!$B:$B),"")</f>
        <v>PWEPL</v>
      </c>
      <c r="I872" s="79" t="str">
        <f>IFERROR(_xlfn.XLOOKUP(Table6[[#This Row],[Affected Feeder ]],'Basic Data'!$A:$A,'Basic Data'!$C:$C),"")</f>
        <v>MSEDCL</v>
      </c>
      <c r="J872" s="295">
        <f>IFERROR(_xlfn.XLOOKUP(Table6[[#This Row],[Affected Feeder ]],'Basic Data'!$A:$A,'Basic Data'!$E:$E),"")</f>
        <v>2.2727272727272728E-2</v>
      </c>
      <c r="K872" s="296" t="s">
        <v>171</v>
      </c>
      <c r="L872" s="297">
        <v>0.17430555555555557</v>
      </c>
      <c r="M872" s="297">
        <v>0.17430555555555557</v>
      </c>
      <c r="N872" s="297">
        <v>0.18819444444444444</v>
      </c>
      <c r="O872" s="19">
        <f>(Table6[[#This Row],[Work Start TimeStamp]]-Table6[[#This Row],[Fault Start TimeStamp]])*24</f>
        <v>0</v>
      </c>
      <c r="P872" s="19">
        <f>(Table6[[#This Row],[Fault Clearance time]]-Table6[[#This Row],[Fault Start TimeStamp]])*24</f>
        <v>0.33333333333333282</v>
      </c>
      <c r="Q872" s="19">
        <f>(Table6[[#This Row],[Fault Clearance time]]-Table6[[#This Row],[Fault Start TimeStamp]])*24</f>
        <v>0.33333333333333282</v>
      </c>
      <c r="R872" s="79" t="s">
        <v>353</v>
      </c>
      <c r="S872" s="79" t="s">
        <v>339</v>
      </c>
      <c r="T872" s="298">
        <f>IFERROR(Table6[[#This Row],[Breakdown Time]]*Table6[[#This Row],[Plant Equivalent Weightage]],"")</f>
        <v>7.5757575757575638E-3</v>
      </c>
      <c r="U872" s="79" t="s">
        <v>421</v>
      </c>
      <c r="W872" s="79">
        <v>637</v>
      </c>
    </row>
    <row r="873" spans="1:23">
      <c r="A873" s="79">
        <f t="shared" si="13"/>
        <v>872</v>
      </c>
      <c r="B873" s="79">
        <f>YEAR(Table6[[#This Row],[Date]])+IF(MONTH(Table6[[#This Row],[Date]])&gt;=4,1,0)</f>
        <v>2026</v>
      </c>
      <c r="C873" s="79">
        <f>YEAR(Table6[[#This Row],[Date]])</f>
        <v>2025</v>
      </c>
      <c r="D873" s="79" t="s">
        <v>344</v>
      </c>
      <c r="E873" s="284">
        <f>Table6[[#This Row],[Date]]-DAY(Table6[[#This Row],[Date]])+1</f>
        <v>45809</v>
      </c>
      <c r="F873" s="285">
        <v>45827</v>
      </c>
      <c r="G873" s="79" t="s">
        <v>82</v>
      </c>
      <c r="H873" s="79" t="str">
        <f>IFERROR(_xlfn.XLOOKUP(Table6[[#This Row],[Affected Feeder ]],'Basic Data'!$A:$A,'Basic Data'!$B:$B),"")</f>
        <v>PWEPL</v>
      </c>
      <c r="I873" s="79" t="str">
        <f>IFERROR(_xlfn.XLOOKUP(Table6[[#This Row],[Affected Feeder ]],'Basic Data'!$A:$A,'Basic Data'!$C:$C),"")</f>
        <v>MSEDCL</v>
      </c>
      <c r="J873" s="295">
        <f>IFERROR(_xlfn.XLOOKUP(Table6[[#This Row],[Affected Feeder ]],'Basic Data'!$A:$A,'Basic Data'!$E:$E),"")</f>
        <v>2.2727272727272728E-2</v>
      </c>
      <c r="K873" s="296" t="s">
        <v>171</v>
      </c>
      <c r="L873" s="297">
        <v>0.17430555555555557</v>
      </c>
      <c r="M873" s="297">
        <v>0.17430555555555557</v>
      </c>
      <c r="N873" s="297">
        <v>0.18819444444444444</v>
      </c>
      <c r="O873" s="19">
        <f>(Table6[[#This Row],[Work Start TimeStamp]]-Table6[[#This Row],[Fault Start TimeStamp]])*24</f>
        <v>0</v>
      </c>
      <c r="P873" s="19">
        <f>(Table6[[#This Row],[Fault Clearance time]]-Table6[[#This Row],[Fault Start TimeStamp]])*24</f>
        <v>0.33333333333333282</v>
      </c>
      <c r="Q873" s="19">
        <f>(Table6[[#This Row],[Fault Clearance time]]-Table6[[#This Row],[Fault Start TimeStamp]])*24</f>
        <v>0.33333333333333282</v>
      </c>
      <c r="R873" s="79" t="s">
        <v>353</v>
      </c>
      <c r="S873" s="79" t="s">
        <v>339</v>
      </c>
      <c r="T873" s="298">
        <f>IFERROR(Table6[[#This Row],[Breakdown Time]]*Table6[[#This Row],[Plant Equivalent Weightage]],"")</f>
        <v>7.5757575757575638E-3</v>
      </c>
      <c r="U873" s="79" t="s">
        <v>421</v>
      </c>
      <c r="W873" s="79">
        <v>637</v>
      </c>
    </row>
    <row r="874" spans="1:23">
      <c r="A874" s="79">
        <f t="shared" si="13"/>
        <v>873</v>
      </c>
      <c r="B874" s="79">
        <f>YEAR(Table6[[#This Row],[Date]])+IF(MONTH(Table6[[#This Row],[Date]])&gt;=4,1,0)</f>
        <v>2026</v>
      </c>
      <c r="C874" s="79">
        <f>YEAR(Table6[[#This Row],[Date]])</f>
        <v>2025</v>
      </c>
      <c r="D874" s="79" t="s">
        <v>344</v>
      </c>
      <c r="E874" s="284">
        <f>Table6[[#This Row],[Date]]-DAY(Table6[[#This Row],[Date]])+1</f>
        <v>45809</v>
      </c>
      <c r="F874" s="285">
        <v>45827</v>
      </c>
      <c r="G874" s="79" t="s">
        <v>93</v>
      </c>
      <c r="H874" s="79" t="str">
        <f>IFERROR(_xlfn.XLOOKUP(Table6[[#This Row],[Affected Feeder ]],'Basic Data'!$A:$A,'Basic Data'!$B:$B),"")</f>
        <v>PWEPL</v>
      </c>
      <c r="I874" s="79" t="str">
        <f>IFERROR(_xlfn.XLOOKUP(Table6[[#This Row],[Affected Feeder ]],'Basic Data'!$A:$A,'Basic Data'!$C:$C),"")</f>
        <v>MSEDCL</v>
      </c>
      <c r="J874" s="295">
        <f>IFERROR(_xlfn.XLOOKUP(Table6[[#This Row],[Affected Feeder ]],'Basic Data'!$A:$A,'Basic Data'!$E:$E),"")</f>
        <v>2.2727272727272728E-2</v>
      </c>
      <c r="K874" s="296" t="s">
        <v>171</v>
      </c>
      <c r="L874" s="297">
        <v>0.17430555555555557</v>
      </c>
      <c r="M874" s="297">
        <v>0.17430555555555557</v>
      </c>
      <c r="N874" s="297">
        <v>0.18819444444444444</v>
      </c>
      <c r="O874" s="19">
        <f>(Table6[[#This Row],[Work Start TimeStamp]]-Table6[[#This Row],[Fault Start TimeStamp]])*24</f>
        <v>0</v>
      </c>
      <c r="P874" s="19">
        <f>(Table6[[#This Row],[Fault Clearance time]]-Table6[[#This Row],[Fault Start TimeStamp]])*24</f>
        <v>0.33333333333333282</v>
      </c>
      <c r="Q874" s="19">
        <f>(Table6[[#This Row],[Fault Clearance time]]-Table6[[#This Row],[Fault Start TimeStamp]])*24</f>
        <v>0.33333333333333282</v>
      </c>
      <c r="R874" s="79" t="s">
        <v>353</v>
      </c>
      <c r="S874" s="79" t="s">
        <v>339</v>
      </c>
      <c r="T874" s="298">
        <f>IFERROR(Table6[[#This Row],[Breakdown Time]]*Table6[[#This Row],[Plant Equivalent Weightage]],"")</f>
        <v>7.5757575757575638E-3</v>
      </c>
      <c r="U874" s="79" t="s">
        <v>421</v>
      </c>
      <c r="W874" s="79">
        <v>637</v>
      </c>
    </row>
    <row r="875" spans="1:23">
      <c r="A875" s="79">
        <f t="shared" si="13"/>
        <v>874</v>
      </c>
      <c r="B875" s="79">
        <f>YEAR(Table6[[#This Row],[Date]])+IF(MONTH(Table6[[#This Row],[Date]])&gt;=4,1,0)</f>
        <v>2026</v>
      </c>
      <c r="C875" s="79">
        <f>YEAR(Table6[[#This Row],[Date]])</f>
        <v>2025</v>
      </c>
      <c r="D875" s="79" t="s">
        <v>344</v>
      </c>
      <c r="E875" s="284">
        <f>Table6[[#This Row],[Date]]-DAY(Table6[[#This Row],[Date]])+1</f>
        <v>45809</v>
      </c>
      <c r="F875" s="285">
        <v>45827</v>
      </c>
      <c r="G875" s="79" t="s">
        <v>102</v>
      </c>
      <c r="H875" s="79" t="str">
        <f>IFERROR(_xlfn.XLOOKUP(Table6[[#This Row],[Affected Feeder ]],'Basic Data'!$A:$A,'Basic Data'!$B:$B),"")</f>
        <v>PWEPL</v>
      </c>
      <c r="I875" s="79" t="str">
        <f>IFERROR(_xlfn.XLOOKUP(Table6[[#This Row],[Affected Feeder ]],'Basic Data'!$A:$A,'Basic Data'!$C:$C),"")</f>
        <v>MSEDCL</v>
      </c>
      <c r="J875" s="295">
        <f>IFERROR(_xlfn.XLOOKUP(Table6[[#This Row],[Affected Feeder ]],'Basic Data'!$A:$A,'Basic Data'!$E:$E),"")</f>
        <v>2.2727272727272728E-2</v>
      </c>
      <c r="K875" s="296" t="s">
        <v>171</v>
      </c>
      <c r="L875" s="297">
        <v>0.17430555555555557</v>
      </c>
      <c r="M875" s="297">
        <v>0.17430555555555557</v>
      </c>
      <c r="N875" s="297">
        <v>0.18819444444444444</v>
      </c>
      <c r="O875" s="19">
        <f>(Table6[[#This Row],[Work Start TimeStamp]]-Table6[[#This Row],[Fault Start TimeStamp]])*24</f>
        <v>0</v>
      </c>
      <c r="P875" s="19">
        <f>(Table6[[#This Row],[Fault Clearance time]]-Table6[[#This Row],[Fault Start TimeStamp]])*24</f>
        <v>0.33333333333333282</v>
      </c>
      <c r="Q875" s="19">
        <f>(Table6[[#This Row],[Fault Clearance time]]-Table6[[#This Row],[Fault Start TimeStamp]])*24</f>
        <v>0.33333333333333282</v>
      </c>
      <c r="R875" s="79" t="s">
        <v>353</v>
      </c>
      <c r="S875" s="79" t="s">
        <v>339</v>
      </c>
      <c r="T875" s="298">
        <f>IFERROR(Table6[[#This Row],[Breakdown Time]]*Table6[[#This Row],[Plant Equivalent Weightage]],"")</f>
        <v>7.5757575757575638E-3</v>
      </c>
      <c r="U875" s="79" t="s">
        <v>421</v>
      </c>
      <c r="W875" s="79">
        <v>637</v>
      </c>
    </row>
    <row r="876" spans="1:23">
      <c r="A876" s="79">
        <f t="shared" si="13"/>
        <v>875</v>
      </c>
      <c r="B876" s="79">
        <f>YEAR(Table6[[#This Row],[Date]])+IF(MONTH(Table6[[#This Row],[Date]])&gt;=4,1,0)</f>
        <v>2026</v>
      </c>
      <c r="C876" s="79">
        <f>YEAR(Table6[[#This Row],[Date]])</f>
        <v>2025</v>
      </c>
      <c r="D876" s="79" t="s">
        <v>344</v>
      </c>
      <c r="E876" s="284">
        <f>Table6[[#This Row],[Date]]-DAY(Table6[[#This Row],[Date]])+1</f>
        <v>45809</v>
      </c>
      <c r="F876" s="285">
        <v>45827</v>
      </c>
      <c r="G876" s="79" t="s">
        <v>119</v>
      </c>
      <c r="H876" s="79" t="str">
        <f>IFERROR(_xlfn.XLOOKUP(Table6[[#This Row],[Affected Feeder ]],'Basic Data'!$A:$A,'Basic Data'!$B:$B),"")</f>
        <v>PWEPL</v>
      </c>
      <c r="I876" s="79" t="str">
        <f>IFERROR(_xlfn.XLOOKUP(Table6[[#This Row],[Affected Feeder ]],'Basic Data'!$A:$A,'Basic Data'!$C:$C),"")</f>
        <v>MSEDCL</v>
      </c>
      <c r="J876" s="295">
        <f>IFERROR(_xlfn.XLOOKUP(Table6[[#This Row],[Affected Feeder ]],'Basic Data'!$A:$A,'Basic Data'!$E:$E),"")</f>
        <v>2.2727272727272728E-2</v>
      </c>
      <c r="K876" s="296" t="s">
        <v>171</v>
      </c>
      <c r="L876" s="297">
        <v>0.17430555555555557</v>
      </c>
      <c r="M876" s="297">
        <v>0.17430555555555557</v>
      </c>
      <c r="N876" s="297">
        <v>0.18819444444444444</v>
      </c>
      <c r="O876" s="19">
        <f>(Table6[[#This Row],[Work Start TimeStamp]]-Table6[[#This Row],[Fault Start TimeStamp]])*24</f>
        <v>0</v>
      </c>
      <c r="P876" s="19">
        <f>(Table6[[#This Row],[Fault Clearance time]]-Table6[[#This Row],[Fault Start TimeStamp]])*24</f>
        <v>0.33333333333333282</v>
      </c>
      <c r="Q876" s="19">
        <f>(Table6[[#This Row],[Fault Clearance time]]-Table6[[#This Row],[Fault Start TimeStamp]])*24</f>
        <v>0.33333333333333282</v>
      </c>
      <c r="R876" s="79" t="s">
        <v>353</v>
      </c>
      <c r="S876" s="79" t="s">
        <v>339</v>
      </c>
      <c r="T876" s="298">
        <f>IFERROR(Table6[[#This Row],[Breakdown Time]]*Table6[[#This Row],[Plant Equivalent Weightage]],"")</f>
        <v>7.5757575757575638E-3</v>
      </c>
      <c r="U876" s="79" t="s">
        <v>421</v>
      </c>
      <c r="W876" s="79">
        <v>637</v>
      </c>
    </row>
    <row r="877" spans="1:23">
      <c r="A877" s="79">
        <f t="shared" si="13"/>
        <v>876</v>
      </c>
      <c r="B877" s="79">
        <f>YEAR(Table6[[#This Row],[Date]])+IF(MONTH(Table6[[#This Row],[Date]])&gt;=4,1,0)</f>
        <v>2026</v>
      </c>
      <c r="C877" s="79">
        <f>YEAR(Table6[[#This Row],[Date]])</f>
        <v>2025</v>
      </c>
      <c r="D877" s="79" t="s">
        <v>344</v>
      </c>
      <c r="E877" s="284">
        <f>Table6[[#This Row],[Date]]-DAY(Table6[[#This Row],[Date]])+1</f>
        <v>45809</v>
      </c>
      <c r="F877" s="285">
        <v>45827</v>
      </c>
      <c r="G877" s="79" t="s">
        <v>103</v>
      </c>
      <c r="H877" s="79" t="str">
        <f>IFERROR(_xlfn.XLOOKUP(Table6[[#This Row],[Affected Feeder ]],'Basic Data'!$A:$A,'Basic Data'!$B:$B),"")</f>
        <v>PWEPL</v>
      </c>
      <c r="I877" s="79" t="str">
        <f>IFERROR(_xlfn.XLOOKUP(Table6[[#This Row],[Affected Feeder ]],'Basic Data'!$A:$A,'Basic Data'!$C:$C),"")</f>
        <v>MSEDCL</v>
      </c>
      <c r="J877" s="295">
        <f>IFERROR(_xlfn.XLOOKUP(Table6[[#This Row],[Affected Feeder ]],'Basic Data'!$A:$A,'Basic Data'!$E:$E),"")</f>
        <v>2.2727272727272728E-2</v>
      </c>
      <c r="K877" s="296" t="s">
        <v>171</v>
      </c>
      <c r="L877" s="297">
        <v>0.17430555555555557</v>
      </c>
      <c r="M877" s="297">
        <v>0.17430555555555557</v>
      </c>
      <c r="N877" s="297">
        <v>0.18819444444444444</v>
      </c>
      <c r="O877" s="19">
        <f>(Table6[[#This Row],[Work Start TimeStamp]]-Table6[[#This Row],[Fault Start TimeStamp]])*24</f>
        <v>0</v>
      </c>
      <c r="P877" s="19">
        <f>(Table6[[#This Row],[Fault Clearance time]]-Table6[[#This Row],[Fault Start TimeStamp]])*24</f>
        <v>0.33333333333333282</v>
      </c>
      <c r="Q877" s="19">
        <f>(Table6[[#This Row],[Fault Clearance time]]-Table6[[#This Row],[Fault Start TimeStamp]])*24</f>
        <v>0.33333333333333282</v>
      </c>
      <c r="R877" s="79" t="s">
        <v>353</v>
      </c>
      <c r="S877" s="79" t="s">
        <v>339</v>
      </c>
      <c r="T877" s="298">
        <f>IFERROR(Table6[[#This Row],[Breakdown Time]]*Table6[[#This Row],[Plant Equivalent Weightage]],"")</f>
        <v>7.5757575757575638E-3</v>
      </c>
      <c r="U877" s="79" t="s">
        <v>421</v>
      </c>
      <c r="W877" s="79">
        <v>637</v>
      </c>
    </row>
    <row r="878" spans="1:23">
      <c r="A878" s="79">
        <f t="shared" si="13"/>
        <v>877</v>
      </c>
      <c r="B878" s="79">
        <f>YEAR(Table6[[#This Row],[Date]])+IF(MONTH(Table6[[#This Row],[Date]])&gt;=4,1,0)</f>
        <v>2026</v>
      </c>
      <c r="C878" s="79">
        <f>YEAR(Table6[[#This Row],[Date]])</f>
        <v>2025</v>
      </c>
      <c r="D878" s="79" t="s">
        <v>344</v>
      </c>
      <c r="E878" s="284">
        <f>Table6[[#This Row],[Date]]-DAY(Table6[[#This Row],[Date]])+1</f>
        <v>45809</v>
      </c>
      <c r="F878" s="285">
        <v>45827</v>
      </c>
      <c r="G878" s="79" t="s">
        <v>105</v>
      </c>
      <c r="H878" s="79" t="str">
        <f>IFERROR(_xlfn.XLOOKUP(Table6[[#This Row],[Affected Feeder ]],'Basic Data'!$A:$A,'Basic Data'!$B:$B),"")</f>
        <v>PWEPL</v>
      </c>
      <c r="I878" s="79" t="str">
        <f>IFERROR(_xlfn.XLOOKUP(Table6[[#This Row],[Affected Feeder ]],'Basic Data'!$A:$A,'Basic Data'!$C:$C),"")</f>
        <v>MSEDCL</v>
      </c>
      <c r="J878" s="295">
        <f>IFERROR(_xlfn.XLOOKUP(Table6[[#This Row],[Affected Feeder ]],'Basic Data'!$A:$A,'Basic Data'!$E:$E),"")</f>
        <v>2.2727272727272728E-2</v>
      </c>
      <c r="K878" s="296" t="s">
        <v>171</v>
      </c>
      <c r="L878" s="297">
        <v>0.17430555555555557</v>
      </c>
      <c r="M878" s="297">
        <v>0.17430555555555557</v>
      </c>
      <c r="N878" s="297">
        <v>0.18819444444444444</v>
      </c>
      <c r="O878" s="19">
        <f>(Table6[[#This Row],[Work Start TimeStamp]]-Table6[[#This Row],[Fault Start TimeStamp]])*24</f>
        <v>0</v>
      </c>
      <c r="P878" s="19">
        <f>(Table6[[#This Row],[Fault Clearance time]]-Table6[[#This Row],[Fault Start TimeStamp]])*24</f>
        <v>0.33333333333333282</v>
      </c>
      <c r="Q878" s="19">
        <f>(Table6[[#This Row],[Fault Clearance time]]-Table6[[#This Row],[Fault Start TimeStamp]])*24</f>
        <v>0.33333333333333282</v>
      </c>
      <c r="R878" s="79" t="s">
        <v>353</v>
      </c>
      <c r="S878" s="79" t="s">
        <v>339</v>
      </c>
      <c r="T878" s="298">
        <f>IFERROR(Table6[[#This Row],[Breakdown Time]]*Table6[[#This Row],[Plant Equivalent Weightage]],"")</f>
        <v>7.5757575757575638E-3</v>
      </c>
      <c r="U878" s="79" t="s">
        <v>421</v>
      </c>
      <c r="W878" s="79">
        <v>637</v>
      </c>
    </row>
    <row r="879" spans="1:23">
      <c r="A879" s="79">
        <f t="shared" si="13"/>
        <v>878</v>
      </c>
      <c r="B879" s="79">
        <f>YEAR(Table6[[#This Row],[Date]])+IF(MONTH(Table6[[#This Row],[Date]])&gt;=4,1,0)</f>
        <v>2026</v>
      </c>
      <c r="C879" s="79">
        <f>YEAR(Table6[[#This Row],[Date]])</f>
        <v>2025</v>
      </c>
      <c r="D879" s="79" t="s">
        <v>344</v>
      </c>
      <c r="E879" s="284">
        <f>Table6[[#This Row],[Date]]-DAY(Table6[[#This Row],[Date]])+1</f>
        <v>45809</v>
      </c>
      <c r="F879" s="285">
        <v>45827</v>
      </c>
      <c r="G879" s="79" t="s">
        <v>115</v>
      </c>
      <c r="H879" s="79" t="str">
        <f>IFERROR(_xlfn.XLOOKUP(Table6[[#This Row],[Affected Feeder ]],'Basic Data'!$A:$A,'Basic Data'!$B:$B),"")</f>
        <v>PWEPL</v>
      </c>
      <c r="I879" s="79" t="str">
        <f>IFERROR(_xlfn.XLOOKUP(Table6[[#This Row],[Affected Feeder ]],'Basic Data'!$A:$A,'Basic Data'!$C:$C),"")</f>
        <v>MSEDCL</v>
      </c>
      <c r="J879" s="295">
        <f>IFERROR(_xlfn.XLOOKUP(Table6[[#This Row],[Affected Feeder ]],'Basic Data'!$A:$A,'Basic Data'!$E:$E),"")</f>
        <v>2.2727272727272728E-2</v>
      </c>
      <c r="K879" s="296" t="s">
        <v>171</v>
      </c>
      <c r="L879" s="297">
        <v>0.17430555555555557</v>
      </c>
      <c r="M879" s="297">
        <v>0.17430555555555557</v>
      </c>
      <c r="N879" s="297">
        <v>0.18819444444444444</v>
      </c>
      <c r="O879" s="19">
        <f>(Table6[[#This Row],[Work Start TimeStamp]]-Table6[[#This Row],[Fault Start TimeStamp]])*24</f>
        <v>0</v>
      </c>
      <c r="P879" s="19">
        <f>(Table6[[#This Row],[Fault Clearance time]]-Table6[[#This Row],[Fault Start TimeStamp]])*24</f>
        <v>0.33333333333333282</v>
      </c>
      <c r="Q879" s="19">
        <f>(Table6[[#This Row],[Fault Clearance time]]-Table6[[#This Row],[Fault Start TimeStamp]])*24</f>
        <v>0.33333333333333282</v>
      </c>
      <c r="R879" s="79" t="s">
        <v>353</v>
      </c>
      <c r="S879" s="79" t="s">
        <v>339</v>
      </c>
      <c r="T879" s="298">
        <f>IFERROR(Table6[[#This Row],[Breakdown Time]]*Table6[[#This Row],[Plant Equivalent Weightage]],"")</f>
        <v>7.5757575757575638E-3</v>
      </c>
      <c r="U879" s="79" t="s">
        <v>421</v>
      </c>
      <c r="W879" s="79">
        <v>637</v>
      </c>
    </row>
    <row r="880" spans="1:23">
      <c r="A880" s="79">
        <f t="shared" si="13"/>
        <v>879</v>
      </c>
      <c r="B880" s="79">
        <f>YEAR(Table6[[#This Row],[Date]])+IF(MONTH(Table6[[#This Row],[Date]])&gt;=4,1,0)</f>
        <v>2026</v>
      </c>
      <c r="C880" s="79">
        <f>YEAR(Table6[[#This Row],[Date]])</f>
        <v>2025</v>
      </c>
      <c r="D880" s="79" t="s">
        <v>344</v>
      </c>
      <c r="E880" s="284">
        <f>Table6[[#This Row],[Date]]-DAY(Table6[[#This Row],[Date]])+1</f>
        <v>45809</v>
      </c>
      <c r="F880" s="285">
        <v>45827</v>
      </c>
      <c r="G880" s="79" t="s">
        <v>116</v>
      </c>
      <c r="H880" s="79" t="str">
        <f>IFERROR(_xlfn.XLOOKUP(Table6[[#This Row],[Affected Feeder ]],'Basic Data'!$A:$A,'Basic Data'!$B:$B),"")</f>
        <v>PWEPL</v>
      </c>
      <c r="I880" s="79" t="str">
        <f>IFERROR(_xlfn.XLOOKUP(Table6[[#This Row],[Affected Feeder ]],'Basic Data'!$A:$A,'Basic Data'!$C:$C),"")</f>
        <v>MSEDCL</v>
      </c>
      <c r="J880" s="295">
        <f>IFERROR(_xlfn.XLOOKUP(Table6[[#This Row],[Affected Feeder ]],'Basic Data'!$A:$A,'Basic Data'!$E:$E),"")</f>
        <v>2.2727272727272728E-2</v>
      </c>
      <c r="K880" s="296" t="s">
        <v>171</v>
      </c>
      <c r="L880" s="297">
        <v>0.17430555555555557</v>
      </c>
      <c r="M880" s="297">
        <v>0.17430555555555557</v>
      </c>
      <c r="N880" s="297">
        <v>0.18819444444444444</v>
      </c>
      <c r="O880" s="19">
        <f>(Table6[[#This Row],[Work Start TimeStamp]]-Table6[[#This Row],[Fault Start TimeStamp]])*24</f>
        <v>0</v>
      </c>
      <c r="P880" s="19">
        <f>(Table6[[#This Row],[Fault Clearance time]]-Table6[[#This Row],[Fault Start TimeStamp]])*24</f>
        <v>0.33333333333333282</v>
      </c>
      <c r="Q880" s="19">
        <f>(Table6[[#This Row],[Fault Clearance time]]-Table6[[#This Row],[Fault Start TimeStamp]])*24</f>
        <v>0.33333333333333282</v>
      </c>
      <c r="R880" s="79" t="s">
        <v>353</v>
      </c>
      <c r="S880" s="79" t="s">
        <v>339</v>
      </c>
      <c r="T880" s="298">
        <f>IFERROR(Table6[[#This Row],[Breakdown Time]]*Table6[[#This Row],[Plant Equivalent Weightage]],"")</f>
        <v>7.5757575757575638E-3</v>
      </c>
      <c r="U880" s="79" t="s">
        <v>421</v>
      </c>
      <c r="W880" s="79">
        <v>637</v>
      </c>
    </row>
    <row r="881" spans="1:23">
      <c r="A881" s="79">
        <f t="shared" si="13"/>
        <v>880</v>
      </c>
      <c r="B881" s="79">
        <f>YEAR(Table6[[#This Row],[Date]])+IF(MONTH(Table6[[#This Row],[Date]])&gt;=4,1,0)</f>
        <v>2026</v>
      </c>
      <c r="C881" s="79">
        <f>YEAR(Table6[[#This Row],[Date]])</f>
        <v>2025</v>
      </c>
      <c r="D881" s="79" t="s">
        <v>344</v>
      </c>
      <c r="E881" s="284">
        <f>Table6[[#This Row],[Date]]-DAY(Table6[[#This Row],[Date]])+1</f>
        <v>45809</v>
      </c>
      <c r="F881" s="285">
        <v>45827</v>
      </c>
      <c r="G881" s="79" t="s">
        <v>117</v>
      </c>
      <c r="H881" s="79" t="str">
        <f>IFERROR(_xlfn.XLOOKUP(Table6[[#This Row],[Affected Feeder ]],'Basic Data'!$A:$A,'Basic Data'!$B:$B),"")</f>
        <v>PWEPL</v>
      </c>
      <c r="I881" s="79" t="str">
        <f>IFERROR(_xlfn.XLOOKUP(Table6[[#This Row],[Affected Feeder ]],'Basic Data'!$A:$A,'Basic Data'!$C:$C),"")</f>
        <v>MSEDCL</v>
      </c>
      <c r="J881" s="295">
        <f>IFERROR(_xlfn.XLOOKUP(Table6[[#This Row],[Affected Feeder ]],'Basic Data'!$A:$A,'Basic Data'!$E:$E),"")</f>
        <v>2.2727272727272728E-2</v>
      </c>
      <c r="K881" s="296" t="s">
        <v>171</v>
      </c>
      <c r="L881" s="297">
        <v>0.17430555555555557</v>
      </c>
      <c r="M881" s="297">
        <v>0.17430555555555557</v>
      </c>
      <c r="N881" s="297">
        <v>0.18819444444444444</v>
      </c>
      <c r="O881" s="19">
        <f>(Table6[[#This Row],[Work Start TimeStamp]]-Table6[[#This Row],[Fault Start TimeStamp]])*24</f>
        <v>0</v>
      </c>
      <c r="P881" s="19">
        <f>(Table6[[#This Row],[Fault Clearance time]]-Table6[[#This Row],[Fault Start TimeStamp]])*24</f>
        <v>0.33333333333333282</v>
      </c>
      <c r="Q881" s="19">
        <f>(Table6[[#This Row],[Fault Clearance time]]-Table6[[#This Row],[Fault Start TimeStamp]])*24</f>
        <v>0.33333333333333282</v>
      </c>
      <c r="R881" s="79" t="s">
        <v>353</v>
      </c>
      <c r="S881" s="79" t="s">
        <v>339</v>
      </c>
      <c r="T881" s="298">
        <f>IFERROR(Table6[[#This Row],[Breakdown Time]]*Table6[[#This Row],[Plant Equivalent Weightage]],"")</f>
        <v>7.5757575757575638E-3</v>
      </c>
      <c r="U881" s="79" t="s">
        <v>421</v>
      </c>
      <c r="W881" s="79">
        <v>637</v>
      </c>
    </row>
    <row r="882" spans="1:23">
      <c r="A882" s="79">
        <f t="shared" si="13"/>
        <v>881</v>
      </c>
      <c r="B882" s="79">
        <f>YEAR(Table6[[#This Row],[Date]])+IF(MONTH(Table6[[#This Row],[Date]])&gt;=4,1,0)</f>
        <v>2026</v>
      </c>
      <c r="C882" s="79">
        <f>YEAR(Table6[[#This Row],[Date]])</f>
        <v>2025</v>
      </c>
      <c r="D882" s="79" t="s">
        <v>344</v>
      </c>
      <c r="E882" s="284">
        <f>Table6[[#This Row],[Date]]-DAY(Table6[[#This Row],[Date]])+1</f>
        <v>45809</v>
      </c>
      <c r="F882" s="285">
        <v>45827</v>
      </c>
      <c r="G882" s="79" t="s">
        <v>118</v>
      </c>
      <c r="H882" s="79" t="str">
        <f>IFERROR(_xlfn.XLOOKUP(Table6[[#This Row],[Affected Feeder ]],'Basic Data'!$A:$A,'Basic Data'!$B:$B),"")</f>
        <v>PWEPL</v>
      </c>
      <c r="I882" s="79" t="str">
        <f>IFERROR(_xlfn.XLOOKUP(Table6[[#This Row],[Affected Feeder ]],'Basic Data'!$A:$A,'Basic Data'!$C:$C),"")</f>
        <v>MSEDCL</v>
      </c>
      <c r="J882" s="295">
        <f>IFERROR(_xlfn.XLOOKUP(Table6[[#This Row],[Affected Feeder ]],'Basic Data'!$A:$A,'Basic Data'!$E:$E),"")</f>
        <v>2.2727272727272728E-2</v>
      </c>
      <c r="K882" s="296" t="s">
        <v>171</v>
      </c>
      <c r="L882" s="297">
        <v>0.17430555555555557</v>
      </c>
      <c r="M882" s="297">
        <v>0.17430555555555557</v>
      </c>
      <c r="N882" s="297">
        <v>0.18819444444444444</v>
      </c>
      <c r="O882" s="19">
        <f>(Table6[[#This Row],[Work Start TimeStamp]]-Table6[[#This Row],[Fault Start TimeStamp]])*24</f>
        <v>0</v>
      </c>
      <c r="P882" s="19">
        <f>(Table6[[#This Row],[Fault Clearance time]]-Table6[[#This Row],[Fault Start TimeStamp]])*24</f>
        <v>0.33333333333333282</v>
      </c>
      <c r="Q882" s="19">
        <f>(Table6[[#This Row],[Fault Clearance time]]-Table6[[#This Row],[Fault Start TimeStamp]])*24</f>
        <v>0.33333333333333282</v>
      </c>
      <c r="R882" s="79" t="s">
        <v>353</v>
      </c>
      <c r="S882" s="79" t="s">
        <v>339</v>
      </c>
      <c r="T882" s="298">
        <f>IFERROR(Table6[[#This Row],[Breakdown Time]]*Table6[[#This Row],[Plant Equivalent Weightage]],"")</f>
        <v>7.5757575757575638E-3</v>
      </c>
      <c r="U882" s="79" t="s">
        <v>421</v>
      </c>
      <c r="W882" s="79">
        <v>637</v>
      </c>
    </row>
    <row r="883" spans="1:23">
      <c r="A883" s="79">
        <f t="shared" si="13"/>
        <v>882</v>
      </c>
      <c r="B883" s="79">
        <f>YEAR(Table6[[#This Row],[Date]])+IF(MONTH(Table6[[#This Row],[Date]])&gt;=4,1,0)</f>
        <v>2026</v>
      </c>
      <c r="C883" s="79">
        <f>YEAR(Table6[[#This Row],[Date]])</f>
        <v>2025</v>
      </c>
      <c r="D883" s="79" t="s">
        <v>344</v>
      </c>
      <c r="E883" s="284">
        <f>Table6[[#This Row],[Date]]-DAY(Table6[[#This Row],[Date]])+1</f>
        <v>45809</v>
      </c>
      <c r="F883" s="285">
        <v>45827</v>
      </c>
      <c r="G883" s="79" t="s">
        <v>406</v>
      </c>
      <c r="H883" s="79" t="str">
        <f>IFERROR(_xlfn.XLOOKUP(Table6[[#This Row],[Affected Feeder ]],'Basic Data'!$A:$A,'Basic Data'!$B:$B),"")</f>
        <v>PWEPL</v>
      </c>
      <c r="I883" s="79" t="str">
        <f>IFERROR(_xlfn.XLOOKUP(Table6[[#This Row],[Affected Feeder ]],'Basic Data'!$A:$A,'Basic Data'!$C:$C),"")</f>
        <v>MSEDCL</v>
      </c>
      <c r="J883" s="295">
        <f>IFERROR(_xlfn.XLOOKUP(Table6[[#This Row],[Affected Feeder ]],'Basic Data'!$A:$A,'Basic Data'!$E:$E),"")</f>
        <v>0.29545454545454541</v>
      </c>
      <c r="K883" s="296" t="s">
        <v>447</v>
      </c>
      <c r="L883" s="297">
        <v>0.20416666666666669</v>
      </c>
      <c r="M883" s="297">
        <v>0.20416666666666669</v>
      </c>
      <c r="N883" s="297">
        <v>0.22013888888888888</v>
      </c>
      <c r="O883" s="19">
        <f>(Table6[[#This Row],[Work Start TimeStamp]]-Table6[[#This Row],[Fault Start TimeStamp]])*24</f>
        <v>0</v>
      </c>
      <c r="P883" s="19">
        <f>(Table6[[#This Row],[Fault Clearance time]]-Table6[[#This Row],[Fault Start TimeStamp]])*24</f>
        <v>0.38333333333333264</v>
      </c>
      <c r="Q883" s="19">
        <f>(Table6[[#This Row],[Fault Clearance time]]-Table6[[#This Row],[Fault Start TimeStamp]])*24</f>
        <v>0.38333333333333264</v>
      </c>
      <c r="R883" s="79" t="s">
        <v>420</v>
      </c>
      <c r="S883" s="79" t="s">
        <v>339</v>
      </c>
      <c r="T883" s="298">
        <f>IFERROR(Table6[[#This Row],[Breakdown Time]]*Table6[[#This Row],[Plant Equivalent Weightage]],"")</f>
        <v>0.11325757575757554</v>
      </c>
      <c r="U883" s="79" t="s">
        <v>421</v>
      </c>
      <c r="W883" s="79">
        <v>8563</v>
      </c>
    </row>
    <row r="884" spans="1:23">
      <c r="A884" s="79">
        <f t="shared" si="13"/>
        <v>883</v>
      </c>
      <c r="B884" s="79">
        <f>YEAR(Table6[[#This Row],[Date]])+IF(MONTH(Table6[[#This Row],[Date]])&gt;=4,1,0)</f>
        <v>2026</v>
      </c>
      <c r="C884" s="79">
        <f>YEAR(Table6[[#This Row],[Date]])</f>
        <v>2025</v>
      </c>
      <c r="D884" s="79" t="s">
        <v>344</v>
      </c>
      <c r="E884" s="284">
        <f>Table6[[#This Row],[Date]]-DAY(Table6[[#This Row],[Date]])+1</f>
        <v>45809</v>
      </c>
      <c r="F884" s="285">
        <v>45827</v>
      </c>
      <c r="G884" s="79" t="s">
        <v>76</v>
      </c>
      <c r="H884" s="79" t="str">
        <f>IFERROR(_xlfn.XLOOKUP(Table6[[#This Row],[Affected Feeder ]],'Basic Data'!$A:$A,'Basic Data'!$B:$B),"")</f>
        <v>PWEPL</v>
      </c>
      <c r="I884" s="79" t="str">
        <f>IFERROR(_xlfn.XLOOKUP(Table6[[#This Row],[Affected Feeder ]],'Basic Data'!$A:$A,'Basic Data'!$C:$C),"")</f>
        <v>MSEDCL</v>
      </c>
      <c r="J884" s="295">
        <f>IFERROR(_xlfn.XLOOKUP(Table6[[#This Row],[Affected Feeder ]],'Basic Data'!$A:$A,'Basic Data'!$E:$E),"")</f>
        <v>2.2727272727272728E-2</v>
      </c>
      <c r="K884" s="296" t="s">
        <v>171</v>
      </c>
      <c r="L884" s="297">
        <v>0.22013888888888888</v>
      </c>
      <c r="M884" s="297">
        <v>0.22013888888888888</v>
      </c>
      <c r="N884" s="297">
        <v>0.23402777777777781</v>
      </c>
      <c r="O884" s="19">
        <f>(Table6[[#This Row],[Work Start TimeStamp]]-Table6[[#This Row],[Fault Start TimeStamp]])*24</f>
        <v>0</v>
      </c>
      <c r="P884" s="19">
        <f>(Table6[[#This Row],[Fault Clearance time]]-Table6[[#This Row],[Fault Start TimeStamp]])*24</f>
        <v>0.33333333333333415</v>
      </c>
      <c r="Q884" s="19">
        <f>(Table6[[#This Row],[Fault Clearance time]]-Table6[[#This Row],[Fault Start TimeStamp]])*24</f>
        <v>0.33333333333333415</v>
      </c>
      <c r="R884" s="79" t="s">
        <v>353</v>
      </c>
      <c r="S884" s="79" t="s">
        <v>339</v>
      </c>
      <c r="T884" s="298">
        <f>IFERROR(Table6[[#This Row],[Breakdown Time]]*Table6[[#This Row],[Plant Equivalent Weightage]],"")</f>
        <v>7.5757575757575942E-3</v>
      </c>
      <c r="U884" s="79" t="s">
        <v>421</v>
      </c>
      <c r="W884" s="79">
        <v>716</v>
      </c>
    </row>
    <row r="885" spans="1:23">
      <c r="A885" s="79">
        <f t="shared" si="13"/>
        <v>884</v>
      </c>
      <c r="B885" s="79">
        <f>YEAR(Table6[[#This Row],[Date]])+IF(MONTH(Table6[[#This Row],[Date]])&gt;=4,1,0)</f>
        <v>2026</v>
      </c>
      <c r="C885" s="79">
        <f>YEAR(Table6[[#This Row],[Date]])</f>
        <v>2025</v>
      </c>
      <c r="D885" s="79" t="s">
        <v>344</v>
      </c>
      <c r="E885" s="284">
        <f>Table6[[#This Row],[Date]]-DAY(Table6[[#This Row],[Date]])+1</f>
        <v>45809</v>
      </c>
      <c r="F885" s="285">
        <v>45827</v>
      </c>
      <c r="G885" s="79" t="s">
        <v>77</v>
      </c>
      <c r="H885" s="79" t="str">
        <f>IFERROR(_xlfn.XLOOKUP(Table6[[#This Row],[Affected Feeder ]],'Basic Data'!$A:$A,'Basic Data'!$B:$B),"")</f>
        <v>PWEPL</v>
      </c>
      <c r="I885" s="79" t="str">
        <f>IFERROR(_xlfn.XLOOKUP(Table6[[#This Row],[Affected Feeder ]],'Basic Data'!$A:$A,'Basic Data'!$C:$C),"")</f>
        <v>MSEDCL</v>
      </c>
      <c r="J885" s="295">
        <f>IFERROR(_xlfn.XLOOKUP(Table6[[#This Row],[Affected Feeder ]],'Basic Data'!$A:$A,'Basic Data'!$E:$E),"")</f>
        <v>2.2727272727272728E-2</v>
      </c>
      <c r="K885" s="296" t="s">
        <v>171</v>
      </c>
      <c r="L885" s="297">
        <v>0.22013888888888888</v>
      </c>
      <c r="M885" s="297">
        <v>0.22013888888888888</v>
      </c>
      <c r="N885" s="297">
        <v>0.23402777777777781</v>
      </c>
      <c r="O885" s="19">
        <f>(Table6[[#This Row],[Work Start TimeStamp]]-Table6[[#This Row],[Fault Start TimeStamp]])*24</f>
        <v>0</v>
      </c>
      <c r="P885" s="19">
        <f>(Table6[[#This Row],[Fault Clearance time]]-Table6[[#This Row],[Fault Start TimeStamp]])*24</f>
        <v>0.33333333333333415</v>
      </c>
      <c r="Q885" s="19">
        <f>(Table6[[#This Row],[Fault Clearance time]]-Table6[[#This Row],[Fault Start TimeStamp]])*24</f>
        <v>0.33333333333333415</v>
      </c>
      <c r="R885" s="79" t="s">
        <v>353</v>
      </c>
      <c r="S885" s="79" t="s">
        <v>339</v>
      </c>
      <c r="T885" s="298">
        <f>IFERROR(Table6[[#This Row],[Breakdown Time]]*Table6[[#This Row],[Plant Equivalent Weightage]],"")</f>
        <v>7.5757575757575942E-3</v>
      </c>
      <c r="U885" s="79" t="s">
        <v>421</v>
      </c>
      <c r="W885" s="79">
        <v>716</v>
      </c>
    </row>
    <row r="886" spans="1:23">
      <c r="A886" s="79">
        <f t="shared" si="13"/>
        <v>885</v>
      </c>
      <c r="B886" s="79">
        <f>YEAR(Table6[[#This Row],[Date]])+IF(MONTH(Table6[[#This Row],[Date]])&gt;=4,1,0)</f>
        <v>2026</v>
      </c>
      <c r="C886" s="79">
        <f>YEAR(Table6[[#This Row],[Date]])</f>
        <v>2025</v>
      </c>
      <c r="D886" s="79" t="s">
        <v>344</v>
      </c>
      <c r="E886" s="284">
        <f>Table6[[#This Row],[Date]]-DAY(Table6[[#This Row],[Date]])+1</f>
        <v>45809</v>
      </c>
      <c r="F886" s="285">
        <v>45827</v>
      </c>
      <c r="G886" s="79" t="s">
        <v>78</v>
      </c>
      <c r="H886" s="79" t="str">
        <f>IFERROR(_xlfn.XLOOKUP(Table6[[#This Row],[Affected Feeder ]],'Basic Data'!$A:$A,'Basic Data'!$B:$B),"")</f>
        <v>PWEPL</v>
      </c>
      <c r="I886" s="79" t="str">
        <f>IFERROR(_xlfn.XLOOKUP(Table6[[#This Row],[Affected Feeder ]],'Basic Data'!$A:$A,'Basic Data'!$C:$C),"")</f>
        <v>MSEDCL</v>
      </c>
      <c r="J886" s="295">
        <f>IFERROR(_xlfn.XLOOKUP(Table6[[#This Row],[Affected Feeder ]],'Basic Data'!$A:$A,'Basic Data'!$E:$E),"")</f>
        <v>2.2727272727272728E-2</v>
      </c>
      <c r="K886" s="296" t="s">
        <v>171</v>
      </c>
      <c r="L886" s="297">
        <v>0.22013888888888888</v>
      </c>
      <c r="M886" s="297">
        <v>0.22013888888888888</v>
      </c>
      <c r="N886" s="297">
        <v>0.23402777777777781</v>
      </c>
      <c r="O886" s="19">
        <f>(Table6[[#This Row],[Work Start TimeStamp]]-Table6[[#This Row],[Fault Start TimeStamp]])*24</f>
        <v>0</v>
      </c>
      <c r="P886" s="19">
        <f>(Table6[[#This Row],[Fault Clearance time]]-Table6[[#This Row],[Fault Start TimeStamp]])*24</f>
        <v>0.33333333333333415</v>
      </c>
      <c r="Q886" s="19">
        <f>(Table6[[#This Row],[Fault Clearance time]]-Table6[[#This Row],[Fault Start TimeStamp]])*24</f>
        <v>0.33333333333333415</v>
      </c>
      <c r="R886" s="79" t="s">
        <v>353</v>
      </c>
      <c r="S886" s="79" t="s">
        <v>339</v>
      </c>
      <c r="T886" s="298">
        <f>IFERROR(Table6[[#This Row],[Breakdown Time]]*Table6[[#This Row],[Plant Equivalent Weightage]],"")</f>
        <v>7.5757575757575942E-3</v>
      </c>
      <c r="U886" s="79" t="s">
        <v>421</v>
      </c>
      <c r="W886" s="79">
        <v>716</v>
      </c>
    </row>
    <row r="887" spans="1:23">
      <c r="A887" s="79">
        <f t="shared" si="13"/>
        <v>886</v>
      </c>
      <c r="B887" s="79">
        <f>YEAR(Table6[[#This Row],[Date]])+IF(MONTH(Table6[[#This Row],[Date]])&gt;=4,1,0)</f>
        <v>2026</v>
      </c>
      <c r="C887" s="79">
        <f>YEAR(Table6[[#This Row],[Date]])</f>
        <v>2025</v>
      </c>
      <c r="D887" s="79" t="s">
        <v>344</v>
      </c>
      <c r="E887" s="284">
        <f>Table6[[#This Row],[Date]]-DAY(Table6[[#This Row],[Date]])+1</f>
        <v>45809</v>
      </c>
      <c r="F887" s="285">
        <v>45827</v>
      </c>
      <c r="G887" s="79" t="s">
        <v>82</v>
      </c>
      <c r="H887" s="79" t="str">
        <f>IFERROR(_xlfn.XLOOKUP(Table6[[#This Row],[Affected Feeder ]],'Basic Data'!$A:$A,'Basic Data'!$B:$B),"")</f>
        <v>PWEPL</v>
      </c>
      <c r="I887" s="79" t="str">
        <f>IFERROR(_xlfn.XLOOKUP(Table6[[#This Row],[Affected Feeder ]],'Basic Data'!$A:$A,'Basic Data'!$C:$C),"")</f>
        <v>MSEDCL</v>
      </c>
      <c r="J887" s="295">
        <f>IFERROR(_xlfn.XLOOKUP(Table6[[#This Row],[Affected Feeder ]],'Basic Data'!$A:$A,'Basic Data'!$E:$E),"")</f>
        <v>2.2727272727272728E-2</v>
      </c>
      <c r="K887" s="296" t="s">
        <v>171</v>
      </c>
      <c r="L887" s="297">
        <v>0.22013888888888888</v>
      </c>
      <c r="M887" s="297">
        <v>0.22013888888888888</v>
      </c>
      <c r="N887" s="297">
        <v>0.23402777777777781</v>
      </c>
      <c r="O887" s="19">
        <f>(Table6[[#This Row],[Work Start TimeStamp]]-Table6[[#This Row],[Fault Start TimeStamp]])*24</f>
        <v>0</v>
      </c>
      <c r="P887" s="19">
        <f>(Table6[[#This Row],[Fault Clearance time]]-Table6[[#This Row],[Fault Start TimeStamp]])*24</f>
        <v>0.33333333333333415</v>
      </c>
      <c r="Q887" s="19">
        <f>(Table6[[#This Row],[Fault Clearance time]]-Table6[[#This Row],[Fault Start TimeStamp]])*24</f>
        <v>0.33333333333333415</v>
      </c>
      <c r="R887" s="79" t="s">
        <v>353</v>
      </c>
      <c r="S887" s="79" t="s">
        <v>339</v>
      </c>
      <c r="T887" s="298">
        <f>IFERROR(Table6[[#This Row],[Breakdown Time]]*Table6[[#This Row],[Plant Equivalent Weightage]],"")</f>
        <v>7.5757575757575942E-3</v>
      </c>
      <c r="U887" s="79" t="s">
        <v>421</v>
      </c>
      <c r="W887" s="79">
        <v>716</v>
      </c>
    </row>
    <row r="888" spans="1:23">
      <c r="A888" s="79">
        <f t="shared" si="13"/>
        <v>887</v>
      </c>
      <c r="B888" s="79">
        <f>YEAR(Table6[[#This Row],[Date]])+IF(MONTH(Table6[[#This Row],[Date]])&gt;=4,1,0)</f>
        <v>2026</v>
      </c>
      <c r="C888" s="79">
        <f>YEAR(Table6[[#This Row],[Date]])</f>
        <v>2025</v>
      </c>
      <c r="D888" s="79" t="s">
        <v>344</v>
      </c>
      <c r="E888" s="284">
        <f>Table6[[#This Row],[Date]]-DAY(Table6[[#This Row],[Date]])+1</f>
        <v>45809</v>
      </c>
      <c r="F888" s="285">
        <v>45827</v>
      </c>
      <c r="G888" s="79" t="s">
        <v>93</v>
      </c>
      <c r="H888" s="79" t="str">
        <f>IFERROR(_xlfn.XLOOKUP(Table6[[#This Row],[Affected Feeder ]],'Basic Data'!$A:$A,'Basic Data'!$B:$B),"")</f>
        <v>PWEPL</v>
      </c>
      <c r="I888" s="79" t="str">
        <f>IFERROR(_xlfn.XLOOKUP(Table6[[#This Row],[Affected Feeder ]],'Basic Data'!$A:$A,'Basic Data'!$C:$C),"")</f>
        <v>MSEDCL</v>
      </c>
      <c r="J888" s="295">
        <f>IFERROR(_xlfn.XLOOKUP(Table6[[#This Row],[Affected Feeder ]],'Basic Data'!$A:$A,'Basic Data'!$E:$E),"")</f>
        <v>2.2727272727272728E-2</v>
      </c>
      <c r="K888" s="296" t="s">
        <v>171</v>
      </c>
      <c r="L888" s="297">
        <v>0.22013888888888888</v>
      </c>
      <c r="M888" s="297">
        <v>0.22013888888888888</v>
      </c>
      <c r="N888" s="297">
        <v>0.23402777777777781</v>
      </c>
      <c r="O888" s="19">
        <f>(Table6[[#This Row],[Work Start TimeStamp]]-Table6[[#This Row],[Fault Start TimeStamp]])*24</f>
        <v>0</v>
      </c>
      <c r="P888" s="19">
        <f>(Table6[[#This Row],[Fault Clearance time]]-Table6[[#This Row],[Fault Start TimeStamp]])*24</f>
        <v>0.33333333333333415</v>
      </c>
      <c r="Q888" s="19">
        <f>(Table6[[#This Row],[Fault Clearance time]]-Table6[[#This Row],[Fault Start TimeStamp]])*24</f>
        <v>0.33333333333333415</v>
      </c>
      <c r="R888" s="79" t="s">
        <v>353</v>
      </c>
      <c r="S888" s="79" t="s">
        <v>339</v>
      </c>
      <c r="T888" s="298">
        <f>IFERROR(Table6[[#This Row],[Breakdown Time]]*Table6[[#This Row],[Plant Equivalent Weightage]],"")</f>
        <v>7.5757575757575942E-3</v>
      </c>
      <c r="U888" s="79" t="s">
        <v>421</v>
      </c>
      <c r="W888" s="79">
        <v>716</v>
      </c>
    </row>
    <row r="889" spans="1:23">
      <c r="A889" s="79">
        <f t="shared" si="13"/>
        <v>888</v>
      </c>
      <c r="B889" s="79">
        <f>YEAR(Table6[[#This Row],[Date]])+IF(MONTH(Table6[[#This Row],[Date]])&gt;=4,1,0)</f>
        <v>2026</v>
      </c>
      <c r="C889" s="79">
        <f>YEAR(Table6[[#This Row],[Date]])</f>
        <v>2025</v>
      </c>
      <c r="D889" s="79" t="s">
        <v>344</v>
      </c>
      <c r="E889" s="284">
        <f>Table6[[#This Row],[Date]]-DAY(Table6[[#This Row],[Date]])+1</f>
        <v>45809</v>
      </c>
      <c r="F889" s="285">
        <v>45827</v>
      </c>
      <c r="G889" s="79" t="s">
        <v>102</v>
      </c>
      <c r="H889" s="79" t="str">
        <f>IFERROR(_xlfn.XLOOKUP(Table6[[#This Row],[Affected Feeder ]],'Basic Data'!$A:$A,'Basic Data'!$B:$B),"")</f>
        <v>PWEPL</v>
      </c>
      <c r="I889" s="79" t="str">
        <f>IFERROR(_xlfn.XLOOKUP(Table6[[#This Row],[Affected Feeder ]],'Basic Data'!$A:$A,'Basic Data'!$C:$C),"")</f>
        <v>MSEDCL</v>
      </c>
      <c r="J889" s="295">
        <f>IFERROR(_xlfn.XLOOKUP(Table6[[#This Row],[Affected Feeder ]],'Basic Data'!$A:$A,'Basic Data'!$E:$E),"")</f>
        <v>2.2727272727272728E-2</v>
      </c>
      <c r="K889" s="296" t="s">
        <v>171</v>
      </c>
      <c r="L889" s="297">
        <v>0.22013888888888888</v>
      </c>
      <c r="M889" s="297">
        <v>0.22013888888888888</v>
      </c>
      <c r="N889" s="297">
        <v>0.23402777777777781</v>
      </c>
      <c r="O889" s="19">
        <f>(Table6[[#This Row],[Work Start TimeStamp]]-Table6[[#This Row],[Fault Start TimeStamp]])*24</f>
        <v>0</v>
      </c>
      <c r="P889" s="19">
        <f>(Table6[[#This Row],[Fault Clearance time]]-Table6[[#This Row],[Fault Start TimeStamp]])*24</f>
        <v>0.33333333333333415</v>
      </c>
      <c r="Q889" s="19">
        <f>(Table6[[#This Row],[Fault Clearance time]]-Table6[[#This Row],[Fault Start TimeStamp]])*24</f>
        <v>0.33333333333333415</v>
      </c>
      <c r="R889" s="79" t="s">
        <v>353</v>
      </c>
      <c r="S889" s="79" t="s">
        <v>339</v>
      </c>
      <c r="T889" s="298">
        <f>IFERROR(Table6[[#This Row],[Breakdown Time]]*Table6[[#This Row],[Plant Equivalent Weightage]],"")</f>
        <v>7.5757575757575942E-3</v>
      </c>
      <c r="U889" s="79" t="s">
        <v>421</v>
      </c>
      <c r="W889" s="79">
        <v>716</v>
      </c>
    </row>
    <row r="890" spans="1:23">
      <c r="A890" s="79">
        <f t="shared" si="13"/>
        <v>889</v>
      </c>
      <c r="B890" s="79">
        <f>YEAR(Table6[[#This Row],[Date]])+IF(MONTH(Table6[[#This Row],[Date]])&gt;=4,1,0)</f>
        <v>2026</v>
      </c>
      <c r="C890" s="79">
        <f>YEAR(Table6[[#This Row],[Date]])</f>
        <v>2025</v>
      </c>
      <c r="D890" s="79" t="s">
        <v>344</v>
      </c>
      <c r="E890" s="284">
        <f>Table6[[#This Row],[Date]]-DAY(Table6[[#This Row],[Date]])+1</f>
        <v>45809</v>
      </c>
      <c r="F890" s="285">
        <v>45827</v>
      </c>
      <c r="G890" s="79" t="s">
        <v>119</v>
      </c>
      <c r="H890" s="79" t="str">
        <f>IFERROR(_xlfn.XLOOKUP(Table6[[#This Row],[Affected Feeder ]],'Basic Data'!$A:$A,'Basic Data'!$B:$B),"")</f>
        <v>PWEPL</v>
      </c>
      <c r="I890" s="79" t="str">
        <f>IFERROR(_xlfn.XLOOKUP(Table6[[#This Row],[Affected Feeder ]],'Basic Data'!$A:$A,'Basic Data'!$C:$C),"")</f>
        <v>MSEDCL</v>
      </c>
      <c r="J890" s="295">
        <f>IFERROR(_xlfn.XLOOKUP(Table6[[#This Row],[Affected Feeder ]],'Basic Data'!$A:$A,'Basic Data'!$E:$E),"")</f>
        <v>2.2727272727272728E-2</v>
      </c>
      <c r="K890" s="296" t="s">
        <v>171</v>
      </c>
      <c r="L890" s="297">
        <v>0.22013888888888888</v>
      </c>
      <c r="M890" s="297">
        <v>0.22013888888888888</v>
      </c>
      <c r="N890" s="297">
        <v>0.23402777777777781</v>
      </c>
      <c r="O890" s="19">
        <f>(Table6[[#This Row],[Work Start TimeStamp]]-Table6[[#This Row],[Fault Start TimeStamp]])*24</f>
        <v>0</v>
      </c>
      <c r="P890" s="19">
        <f>(Table6[[#This Row],[Fault Clearance time]]-Table6[[#This Row],[Fault Start TimeStamp]])*24</f>
        <v>0.33333333333333415</v>
      </c>
      <c r="Q890" s="19">
        <f>(Table6[[#This Row],[Fault Clearance time]]-Table6[[#This Row],[Fault Start TimeStamp]])*24</f>
        <v>0.33333333333333415</v>
      </c>
      <c r="R890" s="79" t="s">
        <v>353</v>
      </c>
      <c r="S890" s="79" t="s">
        <v>339</v>
      </c>
      <c r="T890" s="298">
        <f>IFERROR(Table6[[#This Row],[Breakdown Time]]*Table6[[#This Row],[Plant Equivalent Weightage]],"")</f>
        <v>7.5757575757575942E-3</v>
      </c>
      <c r="U890" s="79" t="s">
        <v>421</v>
      </c>
      <c r="W890" s="79">
        <v>716</v>
      </c>
    </row>
    <row r="891" spans="1:23">
      <c r="A891" s="79">
        <f t="shared" si="13"/>
        <v>890</v>
      </c>
      <c r="B891" s="79">
        <f>YEAR(Table6[[#This Row],[Date]])+IF(MONTH(Table6[[#This Row],[Date]])&gt;=4,1,0)</f>
        <v>2026</v>
      </c>
      <c r="C891" s="79">
        <f>YEAR(Table6[[#This Row],[Date]])</f>
        <v>2025</v>
      </c>
      <c r="D891" s="79" t="s">
        <v>344</v>
      </c>
      <c r="E891" s="284">
        <f>Table6[[#This Row],[Date]]-DAY(Table6[[#This Row],[Date]])+1</f>
        <v>45809</v>
      </c>
      <c r="F891" s="285">
        <v>45827</v>
      </c>
      <c r="G891" s="79" t="s">
        <v>103</v>
      </c>
      <c r="H891" s="79" t="str">
        <f>IFERROR(_xlfn.XLOOKUP(Table6[[#This Row],[Affected Feeder ]],'Basic Data'!$A:$A,'Basic Data'!$B:$B),"")</f>
        <v>PWEPL</v>
      </c>
      <c r="I891" s="79" t="str">
        <f>IFERROR(_xlfn.XLOOKUP(Table6[[#This Row],[Affected Feeder ]],'Basic Data'!$A:$A,'Basic Data'!$C:$C),"")</f>
        <v>MSEDCL</v>
      </c>
      <c r="J891" s="295">
        <f>IFERROR(_xlfn.XLOOKUP(Table6[[#This Row],[Affected Feeder ]],'Basic Data'!$A:$A,'Basic Data'!$E:$E),"")</f>
        <v>2.2727272727272728E-2</v>
      </c>
      <c r="K891" s="296" t="s">
        <v>171</v>
      </c>
      <c r="L891" s="297">
        <v>0.22013888888888888</v>
      </c>
      <c r="M891" s="297">
        <v>0.22013888888888888</v>
      </c>
      <c r="N891" s="297">
        <v>0.23402777777777781</v>
      </c>
      <c r="O891" s="19">
        <f>(Table6[[#This Row],[Work Start TimeStamp]]-Table6[[#This Row],[Fault Start TimeStamp]])*24</f>
        <v>0</v>
      </c>
      <c r="P891" s="19">
        <f>(Table6[[#This Row],[Fault Clearance time]]-Table6[[#This Row],[Fault Start TimeStamp]])*24</f>
        <v>0.33333333333333415</v>
      </c>
      <c r="Q891" s="19">
        <f>(Table6[[#This Row],[Fault Clearance time]]-Table6[[#This Row],[Fault Start TimeStamp]])*24</f>
        <v>0.33333333333333415</v>
      </c>
      <c r="R891" s="79" t="s">
        <v>353</v>
      </c>
      <c r="S891" s="79" t="s">
        <v>339</v>
      </c>
      <c r="T891" s="298">
        <f>IFERROR(Table6[[#This Row],[Breakdown Time]]*Table6[[#This Row],[Plant Equivalent Weightage]],"")</f>
        <v>7.5757575757575942E-3</v>
      </c>
      <c r="U891" s="79" t="s">
        <v>421</v>
      </c>
      <c r="W891" s="79">
        <v>716</v>
      </c>
    </row>
    <row r="892" spans="1:23">
      <c r="A892" s="79">
        <f t="shared" si="13"/>
        <v>891</v>
      </c>
      <c r="B892" s="79">
        <f>YEAR(Table6[[#This Row],[Date]])+IF(MONTH(Table6[[#This Row],[Date]])&gt;=4,1,0)</f>
        <v>2026</v>
      </c>
      <c r="C892" s="79">
        <f>YEAR(Table6[[#This Row],[Date]])</f>
        <v>2025</v>
      </c>
      <c r="D892" s="79" t="s">
        <v>344</v>
      </c>
      <c r="E892" s="284">
        <f>Table6[[#This Row],[Date]]-DAY(Table6[[#This Row],[Date]])+1</f>
        <v>45809</v>
      </c>
      <c r="F892" s="285">
        <v>45827</v>
      </c>
      <c r="G892" s="79" t="s">
        <v>105</v>
      </c>
      <c r="H892" s="79" t="str">
        <f>IFERROR(_xlfn.XLOOKUP(Table6[[#This Row],[Affected Feeder ]],'Basic Data'!$A:$A,'Basic Data'!$B:$B),"")</f>
        <v>PWEPL</v>
      </c>
      <c r="I892" s="79" t="str">
        <f>IFERROR(_xlfn.XLOOKUP(Table6[[#This Row],[Affected Feeder ]],'Basic Data'!$A:$A,'Basic Data'!$C:$C),"")</f>
        <v>MSEDCL</v>
      </c>
      <c r="J892" s="295">
        <f>IFERROR(_xlfn.XLOOKUP(Table6[[#This Row],[Affected Feeder ]],'Basic Data'!$A:$A,'Basic Data'!$E:$E),"")</f>
        <v>2.2727272727272728E-2</v>
      </c>
      <c r="K892" s="296" t="s">
        <v>171</v>
      </c>
      <c r="L892" s="297">
        <v>0.22013888888888888</v>
      </c>
      <c r="M892" s="297">
        <v>0.22013888888888888</v>
      </c>
      <c r="N892" s="297">
        <v>0.23402777777777781</v>
      </c>
      <c r="O892" s="19">
        <f>(Table6[[#This Row],[Work Start TimeStamp]]-Table6[[#This Row],[Fault Start TimeStamp]])*24</f>
        <v>0</v>
      </c>
      <c r="P892" s="19">
        <f>(Table6[[#This Row],[Fault Clearance time]]-Table6[[#This Row],[Fault Start TimeStamp]])*24</f>
        <v>0.33333333333333415</v>
      </c>
      <c r="Q892" s="19">
        <f>(Table6[[#This Row],[Fault Clearance time]]-Table6[[#This Row],[Fault Start TimeStamp]])*24</f>
        <v>0.33333333333333415</v>
      </c>
      <c r="R892" s="79" t="s">
        <v>353</v>
      </c>
      <c r="S892" s="79" t="s">
        <v>339</v>
      </c>
      <c r="T892" s="298">
        <f>IFERROR(Table6[[#This Row],[Breakdown Time]]*Table6[[#This Row],[Plant Equivalent Weightage]],"")</f>
        <v>7.5757575757575942E-3</v>
      </c>
      <c r="U892" s="79" t="s">
        <v>421</v>
      </c>
      <c r="W892" s="79">
        <v>716</v>
      </c>
    </row>
    <row r="893" spans="1:23">
      <c r="A893" s="79">
        <f t="shared" si="13"/>
        <v>892</v>
      </c>
      <c r="B893" s="79">
        <f>YEAR(Table6[[#This Row],[Date]])+IF(MONTH(Table6[[#This Row],[Date]])&gt;=4,1,0)</f>
        <v>2026</v>
      </c>
      <c r="C893" s="79">
        <f>YEAR(Table6[[#This Row],[Date]])</f>
        <v>2025</v>
      </c>
      <c r="D893" s="79" t="s">
        <v>344</v>
      </c>
      <c r="E893" s="284">
        <f>Table6[[#This Row],[Date]]-DAY(Table6[[#This Row],[Date]])+1</f>
        <v>45809</v>
      </c>
      <c r="F893" s="285">
        <v>45827</v>
      </c>
      <c r="G893" s="79" t="s">
        <v>115</v>
      </c>
      <c r="H893" s="79" t="str">
        <f>IFERROR(_xlfn.XLOOKUP(Table6[[#This Row],[Affected Feeder ]],'Basic Data'!$A:$A,'Basic Data'!$B:$B),"")</f>
        <v>PWEPL</v>
      </c>
      <c r="I893" s="79" t="str">
        <f>IFERROR(_xlfn.XLOOKUP(Table6[[#This Row],[Affected Feeder ]],'Basic Data'!$A:$A,'Basic Data'!$C:$C),"")</f>
        <v>MSEDCL</v>
      </c>
      <c r="J893" s="295">
        <f>IFERROR(_xlfn.XLOOKUP(Table6[[#This Row],[Affected Feeder ]],'Basic Data'!$A:$A,'Basic Data'!$E:$E),"")</f>
        <v>2.2727272727272728E-2</v>
      </c>
      <c r="K893" s="296" t="s">
        <v>171</v>
      </c>
      <c r="L893" s="297">
        <v>0.22013888888888888</v>
      </c>
      <c r="M893" s="297">
        <v>0.22013888888888888</v>
      </c>
      <c r="N893" s="297">
        <v>0.23402777777777781</v>
      </c>
      <c r="O893" s="19">
        <f>(Table6[[#This Row],[Work Start TimeStamp]]-Table6[[#This Row],[Fault Start TimeStamp]])*24</f>
        <v>0</v>
      </c>
      <c r="P893" s="19">
        <f>(Table6[[#This Row],[Fault Clearance time]]-Table6[[#This Row],[Fault Start TimeStamp]])*24</f>
        <v>0.33333333333333415</v>
      </c>
      <c r="Q893" s="19">
        <f>(Table6[[#This Row],[Fault Clearance time]]-Table6[[#This Row],[Fault Start TimeStamp]])*24</f>
        <v>0.33333333333333415</v>
      </c>
      <c r="R893" s="79" t="s">
        <v>353</v>
      </c>
      <c r="S893" s="79" t="s">
        <v>339</v>
      </c>
      <c r="T893" s="298">
        <f>IFERROR(Table6[[#This Row],[Breakdown Time]]*Table6[[#This Row],[Plant Equivalent Weightage]],"")</f>
        <v>7.5757575757575942E-3</v>
      </c>
      <c r="U893" s="79" t="s">
        <v>421</v>
      </c>
      <c r="W893" s="79">
        <v>716</v>
      </c>
    </row>
    <row r="894" spans="1:23">
      <c r="A894" s="79">
        <f t="shared" si="13"/>
        <v>893</v>
      </c>
      <c r="B894" s="79">
        <f>YEAR(Table6[[#This Row],[Date]])+IF(MONTH(Table6[[#This Row],[Date]])&gt;=4,1,0)</f>
        <v>2026</v>
      </c>
      <c r="C894" s="79">
        <f>YEAR(Table6[[#This Row],[Date]])</f>
        <v>2025</v>
      </c>
      <c r="D894" s="79" t="s">
        <v>344</v>
      </c>
      <c r="E894" s="284">
        <f>Table6[[#This Row],[Date]]-DAY(Table6[[#This Row],[Date]])+1</f>
        <v>45809</v>
      </c>
      <c r="F894" s="285">
        <v>45827</v>
      </c>
      <c r="G894" s="79" t="s">
        <v>116</v>
      </c>
      <c r="H894" s="79" t="str">
        <f>IFERROR(_xlfn.XLOOKUP(Table6[[#This Row],[Affected Feeder ]],'Basic Data'!$A:$A,'Basic Data'!$B:$B),"")</f>
        <v>PWEPL</v>
      </c>
      <c r="I894" s="79" t="str">
        <f>IFERROR(_xlfn.XLOOKUP(Table6[[#This Row],[Affected Feeder ]],'Basic Data'!$A:$A,'Basic Data'!$C:$C),"")</f>
        <v>MSEDCL</v>
      </c>
      <c r="J894" s="295">
        <f>IFERROR(_xlfn.XLOOKUP(Table6[[#This Row],[Affected Feeder ]],'Basic Data'!$A:$A,'Basic Data'!$E:$E),"")</f>
        <v>2.2727272727272728E-2</v>
      </c>
      <c r="K894" s="296" t="s">
        <v>171</v>
      </c>
      <c r="L894" s="297">
        <v>0.22013888888888888</v>
      </c>
      <c r="M894" s="297">
        <v>0.22013888888888888</v>
      </c>
      <c r="N894" s="297">
        <v>0.23402777777777781</v>
      </c>
      <c r="O894" s="19">
        <f>(Table6[[#This Row],[Work Start TimeStamp]]-Table6[[#This Row],[Fault Start TimeStamp]])*24</f>
        <v>0</v>
      </c>
      <c r="P894" s="19">
        <f>(Table6[[#This Row],[Fault Clearance time]]-Table6[[#This Row],[Fault Start TimeStamp]])*24</f>
        <v>0.33333333333333415</v>
      </c>
      <c r="Q894" s="19">
        <f>(Table6[[#This Row],[Fault Clearance time]]-Table6[[#This Row],[Fault Start TimeStamp]])*24</f>
        <v>0.33333333333333415</v>
      </c>
      <c r="R894" s="79" t="s">
        <v>353</v>
      </c>
      <c r="S894" s="79" t="s">
        <v>339</v>
      </c>
      <c r="T894" s="298">
        <f>IFERROR(Table6[[#This Row],[Breakdown Time]]*Table6[[#This Row],[Plant Equivalent Weightage]],"")</f>
        <v>7.5757575757575942E-3</v>
      </c>
      <c r="U894" s="79" t="s">
        <v>421</v>
      </c>
      <c r="W894" s="79">
        <v>716</v>
      </c>
    </row>
    <row r="895" spans="1:23">
      <c r="A895" s="79">
        <f t="shared" si="13"/>
        <v>894</v>
      </c>
      <c r="B895" s="79">
        <f>YEAR(Table6[[#This Row],[Date]])+IF(MONTH(Table6[[#This Row],[Date]])&gt;=4,1,0)</f>
        <v>2026</v>
      </c>
      <c r="C895" s="79">
        <f>YEAR(Table6[[#This Row],[Date]])</f>
        <v>2025</v>
      </c>
      <c r="D895" s="79" t="s">
        <v>344</v>
      </c>
      <c r="E895" s="284">
        <f>Table6[[#This Row],[Date]]-DAY(Table6[[#This Row],[Date]])+1</f>
        <v>45809</v>
      </c>
      <c r="F895" s="285">
        <v>45827</v>
      </c>
      <c r="G895" s="79" t="s">
        <v>117</v>
      </c>
      <c r="H895" s="79" t="str">
        <f>IFERROR(_xlfn.XLOOKUP(Table6[[#This Row],[Affected Feeder ]],'Basic Data'!$A:$A,'Basic Data'!$B:$B),"")</f>
        <v>PWEPL</v>
      </c>
      <c r="I895" s="79" t="str">
        <f>IFERROR(_xlfn.XLOOKUP(Table6[[#This Row],[Affected Feeder ]],'Basic Data'!$A:$A,'Basic Data'!$C:$C),"")</f>
        <v>MSEDCL</v>
      </c>
      <c r="J895" s="295">
        <f>IFERROR(_xlfn.XLOOKUP(Table6[[#This Row],[Affected Feeder ]],'Basic Data'!$A:$A,'Basic Data'!$E:$E),"")</f>
        <v>2.2727272727272728E-2</v>
      </c>
      <c r="K895" s="296" t="s">
        <v>171</v>
      </c>
      <c r="L895" s="297">
        <v>0.22013888888888888</v>
      </c>
      <c r="M895" s="297">
        <v>0.22013888888888888</v>
      </c>
      <c r="N895" s="297">
        <v>0.23402777777777781</v>
      </c>
      <c r="O895" s="19">
        <f>(Table6[[#This Row],[Work Start TimeStamp]]-Table6[[#This Row],[Fault Start TimeStamp]])*24</f>
        <v>0</v>
      </c>
      <c r="P895" s="19">
        <f>(Table6[[#This Row],[Fault Clearance time]]-Table6[[#This Row],[Fault Start TimeStamp]])*24</f>
        <v>0.33333333333333415</v>
      </c>
      <c r="Q895" s="19">
        <f>(Table6[[#This Row],[Fault Clearance time]]-Table6[[#This Row],[Fault Start TimeStamp]])*24</f>
        <v>0.33333333333333415</v>
      </c>
      <c r="R895" s="79" t="s">
        <v>353</v>
      </c>
      <c r="S895" s="79" t="s">
        <v>339</v>
      </c>
      <c r="T895" s="298">
        <f>IFERROR(Table6[[#This Row],[Breakdown Time]]*Table6[[#This Row],[Plant Equivalent Weightage]],"")</f>
        <v>7.5757575757575942E-3</v>
      </c>
      <c r="U895" s="79" t="s">
        <v>421</v>
      </c>
      <c r="W895" s="79">
        <v>716</v>
      </c>
    </row>
    <row r="896" spans="1:23">
      <c r="A896" s="79">
        <f t="shared" si="13"/>
        <v>895</v>
      </c>
      <c r="B896" s="79">
        <f>YEAR(Table6[[#This Row],[Date]])+IF(MONTH(Table6[[#This Row],[Date]])&gt;=4,1,0)</f>
        <v>2026</v>
      </c>
      <c r="C896" s="79">
        <f>YEAR(Table6[[#This Row],[Date]])</f>
        <v>2025</v>
      </c>
      <c r="D896" s="79" t="s">
        <v>344</v>
      </c>
      <c r="E896" s="284">
        <f>Table6[[#This Row],[Date]]-DAY(Table6[[#This Row],[Date]])+1</f>
        <v>45809</v>
      </c>
      <c r="F896" s="285">
        <v>45827</v>
      </c>
      <c r="G896" s="79" t="s">
        <v>118</v>
      </c>
      <c r="H896" s="79" t="str">
        <f>IFERROR(_xlfn.XLOOKUP(Table6[[#This Row],[Affected Feeder ]],'Basic Data'!$A:$A,'Basic Data'!$B:$B),"")</f>
        <v>PWEPL</v>
      </c>
      <c r="I896" s="79" t="str">
        <f>IFERROR(_xlfn.XLOOKUP(Table6[[#This Row],[Affected Feeder ]],'Basic Data'!$A:$A,'Basic Data'!$C:$C),"")</f>
        <v>MSEDCL</v>
      </c>
      <c r="J896" s="295">
        <f>IFERROR(_xlfn.XLOOKUP(Table6[[#This Row],[Affected Feeder ]],'Basic Data'!$A:$A,'Basic Data'!$E:$E),"")</f>
        <v>2.2727272727272728E-2</v>
      </c>
      <c r="K896" s="296" t="s">
        <v>171</v>
      </c>
      <c r="L896" s="297">
        <v>0.22013888888888888</v>
      </c>
      <c r="M896" s="297">
        <v>0.22013888888888888</v>
      </c>
      <c r="N896" s="297">
        <v>0.23402777777777781</v>
      </c>
      <c r="O896" s="19">
        <f>(Table6[[#This Row],[Work Start TimeStamp]]-Table6[[#This Row],[Fault Start TimeStamp]])*24</f>
        <v>0</v>
      </c>
      <c r="P896" s="19">
        <f>(Table6[[#This Row],[Fault Clearance time]]-Table6[[#This Row],[Fault Start TimeStamp]])*24</f>
        <v>0.33333333333333415</v>
      </c>
      <c r="Q896" s="19">
        <f>(Table6[[#This Row],[Fault Clearance time]]-Table6[[#This Row],[Fault Start TimeStamp]])*24</f>
        <v>0.33333333333333415</v>
      </c>
      <c r="R896" s="79" t="s">
        <v>353</v>
      </c>
      <c r="S896" s="79" t="s">
        <v>339</v>
      </c>
      <c r="T896" s="298">
        <f>IFERROR(Table6[[#This Row],[Breakdown Time]]*Table6[[#This Row],[Plant Equivalent Weightage]],"")</f>
        <v>7.5757575757575942E-3</v>
      </c>
      <c r="U896" s="79" t="s">
        <v>421</v>
      </c>
      <c r="W896" s="79">
        <v>716</v>
      </c>
    </row>
    <row r="897" spans="1:23">
      <c r="A897" s="79">
        <f t="shared" si="13"/>
        <v>896</v>
      </c>
      <c r="B897" s="79">
        <f>YEAR(Table6[[#This Row],[Date]])+IF(MONTH(Table6[[#This Row],[Date]])&gt;=4,1,0)</f>
        <v>2026</v>
      </c>
      <c r="C897" s="79">
        <f>YEAR(Table6[[#This Row],[Date]])</f>
        <v>2025</v>
      </c>
      <c r="D897" s="79" t="s">
        <v>344</v>
      </c>
      <c r="E897" s="284">
        <f>Table6[[#This Row],[Date]]-DAY(Table6[[#This Row],[Date]])+1</f>
        <v>45809</v>
      </c>
      <c r="F897" s="285">
        <v>45827</v>
      </c>
      <c r="G897" s="79" t="s">
        <v>406</v>
      </c>
      <c r="H897" s="79" t="str">
        <f>IFERROR(_xlfn.XLOOKUP(Table6[[#This Row],[Affected Feeder ]],'Basic Data'!$A:$A,'Basic Data'!$B:$B),"")</f>
        <v>PWEPL</v>
      </c>
      <c r="I897" s="79" t="str">
        <f>IFERROR(_xlfn.XLOOKUP(Table6[[#This Row],[Affected Feeder ]],'Basic Data'!$A:$A,'Basic Data'!$C:$C),"")</f>
        <v>MSEDCL</v>
      </c>
      <c r="J897" s="295">
        <f>IFERROR(_xlfn.XLOOKUP(Table6[[#This Row],[Affected Feeder ]],'Basic Data'!$A:$A,'Basic Data'!$E:$E),"")</f>
        <v>0.29545454545454541</v>
      </c>
      <c r="K897" s="296" t="s">
        <v>419</v>
      </c>
      <c r="L897" s="297">
        <v>0.68541666666666667</v>
      </c>
      <c r="M897" s="297">
        <v>0.68541666666666667</v>
      </c>
      <c r="N897" s="297">
        <v>0.7055555555555556</v>
      </c>
      <c r="O897" s="19">
        <f>(Table6[[#This Row],[Work Start TimeStamp]]-Table6[[#This Row],[Fault Start TimeStamp]])*24</f>
        <v>0</v>
      </c>
      <c r="P897" s="19">
        <f>(Table6[[#This Row],[Fault Clearance time]]-Table6[[#This Row],[Fault Start TimeStamp]])*24</f>
        <v>0.48333333333333428</v>
      </c>
      <c r="Q897" s="19">
        <f>(Table6[[#This Row],[Fault Clearance time]]-Table6[[#This Row],[Fault Start TimeStamp]])*24</f>
        <v>0.48333333333333428</v>
      </c>
      <c r="R897" s="79" t="s">
        <v>420</v>
      </c>
      <c r="S897" s="79" t="s">
        <v>339</v>
      </c>
      <c r="T897" s="298">
        <f>IFERROR(Table6[[#This Row],[Breakdown Time]]*Table6[[#This Row],[Plant Equivalent Weightage]],"")</f>
        <v>0.14280303030303057</v>
      </c>
      <c r="U897" s="79" t="s">
        <v>421</v>
      </c>
      <c r="W897" s="79">
        <v>9372</v>
      </c>
    </row>
    <row r="898" spans="1:23">
      <c r="A898" s="79">
        <f t="shared" si="13"/>
        <v>897</v>
      </c>
      <c r="B898" s="79">
        <f>YEAR(Table6[[#This Row],[Date]])+IF(MONTH(Table6[[#This Row],[Date]])&gt;=4,1,0)</f>
        <v>2026</v>
      </c>
      <c r="C898" s="79">
        <f>YEAR(Table6[[#This Row],[Date]])</f>
        <v>2025</v>
      </c>
      <c r="D898" s="79" t="s">
        <v>344</v>
      </c>
      <c r="E898" s="284">
        <f>Table6[[#This Row],[Date]]-DAY(Table6[[#This Row],[Date]])+1</f>
        <v>45809</v>
      </c>
      <c r="F898" s="285">
        <v>45827</v>
      </c>
      <c r="G898" s="79" t="s">
        <v>76</v>
      </c>
      <c r="H898" s="79" t="str">
        <f>IFERROR(_xlfn.XLOOKUP(Table6[[#This Row],[Affected Feeder ]],'Basic Data'!$A:$A,'Basic Data'!$B:$B),"")</f>
        <v>PWEPL</v>
      </c>
      <c r="I898" s="79" t="str">
        <f>IFERROR(_xlfn.XLOOKUP(Table6[[#This Row],[Affected Feeder ]],'Basic Data'!$A:$A,'Basic Data'!$C:$C),"")</f>
        <v>MSEDCL</v>
      </c>
      <c r="J898" s="295">
        <f>IFERROR(_xlfn.XLOOKUP(Table6[[#This Row],[Affected Feeder ]],'Basic Data'!$A:$A,'Basic Data'!$E:$E),"")</f>
        <v>2.2727272727272728E-2</v>
      </c>
      <c r="K898" s="296" t="s">
        <v>171</v>
      </c>
      <c r="L898" s="297">
        <v>0.7055555555555556</v>
      </c>
      <c r="M898" s="297">
        <v>0.7055555555555556</v>
      </c>
      <c r="N898" s="297">
        <v>0.71944444444444444</v>
      </c>
      <c r="O898" s="19">
        <f>(Table6[[#This Row],[Work Start TimeStamp]]-Table6[[#This Row],[Fault Start TimeStamp]])*24</f>
        <v>0</v>
      </c>
      <c r="P898" s="19">
        <f>(Table6[[#This Row],[Fault Clearance time]]-Table6[[#This Row],[Fault Start TimeStamp]])*24</f>
        <v>0.33333333333333215</v>
      </c>
      <c r="Q898" s="19">
        <f>(Table6[[#This Row],[Fault Clearance time]]-Table6[[#This Row],[Fault Start TimeStamp]])*24</f>
        <v>0.33333333333333215</v>
      </c>
      <c r="R898" s="79" t="s">
        <v>353</v>
      </c>
      <c r="S898" s="79" t="s">
        <v>339</v>
      </c>
      <c r="T898" s="298">
        <f>IFERROR(Table6[[#This Row],[Breakdown Time]]*Table6[[#This Row],[Plant Equivalent Weightage]],"")</f>
        <v>7.5757575757575491E-3</v>
      </c>
      <c r="U898" s="79" t="s">
        <v>421</v>
      </c>
      <c r="W898" s="79">
        <v>497</v>
      </c>
    </row>
    <row r="899" spans="1:23">
      <c r="A899" s="79">
        <f t="shared" si="13"/>
        <v>898</v>
      </c>
      <c r="B899" s="79">
        <f>YEAR(Table6[[#This Row],[Date]])+IF(MONTH(Table6[[#This Row],[Date]])&gt;=4,1,0)</f>
        <v>2026</v>
      </c>
      <c r="C899" s="79">
        <f>YEAR(Table6[[#This Row],[Date]])</f>
        <v>2025</v>
      </c>
      <c r="D899" s="79" t="s">
        <v>344</v>
      </c>
      <c r="E899" s="284">
        <f>Table6[[#This Row],[Date]]-DAY(Table6[[#This Row],[Date]])+1</f>
        <v>45809</v>
      </c>
      <c r="F899" s="285">
        <v>45827</v>
      </c>
      <c r="G899" s="79" t="s">
        <v>77</v>
      </c>
      <c r="H899" s="79" t="str">
        <f>IFERROR(_xlfn.XLOOKUP(Table6[[#This Row],[Affected Feeder ]],'Basic Data'!$A:$A,'Basic Data'!$B:$B),"")</f>
        <v>PWEPL</v>
      </c>
      <c r="I899" s="79" t="str">
        <f>IFERROR(_xlfn.XLOOKUP(Table6[[#This Row],[Affected Feeder ]],'Basic Data'!$A:$A,'Basic Data'!$C:$C),"")</f>
        <v>MSEDCL</v>
      </c>
      <c r="J899" s="295">
        <f>IFERROR(_xlfn.XLOOKUP(Table6[[#This Row],[Affected Feeder ]],'Basic Data'!$A:$A,'Basic Data'!$E:$E),"")</f>
        <v>2.2727272727272728E-2</v>
      </c>
      <c r="K899" s="296" t="s">
        <v>171</v>
      </c>
      <c r="L899" s="297">
        <v>0.7055555555555556</v>
      </c>
      <c r="M899" s="297">
        <v>0.7055555555555556</v>
      </c>
      <c r="N899" s="297">
        <v>0.70694444444444438</v>
      </c>
      <c r="O899" s="19">
        <f>(Table6[[#This Row],[Work Start TimeStamp]]-Table6[[#This Row],[Fault Start TimeStamp]])*24</f>
        <v>0</v>
      </c>
      <c r="P899" s="19">
        <f>(Table6[[#This Row],[Fault Clearance time]]-Table6[[#This Row],[Fault Start TimeStamp]])*24</f>
        <v>3.333333333333055E-2</v>
      </c>
      <c r="Q899" s="19">
        <f>(Table6[[#This Row],[Fault Clearance time]]-Table6[[#This Row],[Fault Start TimeStamp]])*24</f>
        <v>3.333333333333055E-2</v>
      </c>
      <c r="R899" s="79" t="s">
        <v>353</v>
      </c>
      <c r="S899" s="79" t="s">
        <v>339</v>
      </c>
      <c r="T899" s="298">
        <f>IFERROR(Table6[[#This Row],[Breakdown Time]]*Table6[[#This Row],[Plant Equivalent Weightage]],"")</f>
        <v>7.5757575757569437E-4</v>
      </c>
      <c r="U899" s="79" t="s">
        <v>421</v>
      </c>
      <c r="W899" s="79">
        <v>49</v>
      </c>
    </row>
    <row r="900" spans="1:23">
      <c r="A900" s="79">
        <f t="shared" ref="A900:A963" si="14">A899+1</f>
        <v>899</v>
      </c>
      <c r="B900" s="79">
        <f>YEAR(Table6[[#This Row],[Date]])+IF(MONTH(Table6[[#This Row],[Date]])&gt;=4,1,0)</f>
        <v>2026</v>
      </c>
      <c r="C900" s="79">
        <f>YEAR(Table6[[#This Row],[Date]])</f>
        <v>2025</v>
      </c>
      <c r="D900" s="79" t="s">
        <v>344</v>
      </c>
      <c r="E900" s="284">
        <f>Table6[[#This Row],[Date]]-DAY(Table6[[#This Row],[Date]])+1</f>
        <v>45809</v>
      </c>
      <c r="F900" s="285">
        <v>45827</v>
      </c>
      <c r="G900" s="79" t="s">
        <v>78</v>
      </c>
      <c r="H900" s="79" t="str">
        <f>IFERROR(_xlfn.XLOOKUP(Table6[[#This Row],[Affected Feeder ]],'Basic Data'!$A:$A,'Basic Data'!$B:$B),"")</f>
        <v>PWEPL</v>
      </c>
      <c r="I900" s="79" t="str">
        <f>IFERROR(_xlfn.XLOOKUP(Table6[[#This Row],[Affected Feeder ]],'Basic Data'!$A:$A,'Basic Data'!$C:$C),"")</f>
        <v>MSEDCL</v>
      </c>
      <c r="J900" s="295">
        <f>IFERROR(_xlfn.XLOOKUP(Table6[[#This Row],[Affected Feeder ]],'Basic Data'!$A:$A,'Basic Data'!$E:$E),"")</f>
        <v>2.2727272727272728E-2</v>
      </c>
      <c r="K900" s="296" t="s">
        <v>171</v>
      </c>
      <c r="L900" s="297">
        <v>0.7055555555555556</v>
      </c>
      <c r="M900" s="297">
        <v>0.7055555555555556</v>
      </c>
      <c r="N900" s="297">
        <v>0.71944444444444444</v>
      </c>
      <c r="O900" s="19">
        <f>(Table6[[#This Row],[Work Start TimeStamp]]-Table6[[#This Row],[Fault Start TimeStamp]])*24</f>
        <v>0</v>
      </c>
      <c r="P900" s="19">
        <f>(Table6[[#This Row],[Fault Clearance time]]-Table6[[#This Row],[Fault Start TimeStamp]])*24</f>
        <v>0.33333333333333215</v>
      </c>
      <c r="Q900" s="19">
        <f>(Table6[[#This Row],[Fault Clearance time]]-Table6[[#This Row],[Fault Start TimeStamp]])*24</f>
        <v>0.33333333333333215</v>
      </c>
      <c r="R900" s="79" t="s">
        <v>353</v>
      </c>
      <c r="S900" s="79" t="s">
        <v>339</v>
      </c>
      <c r="T900" s="298">
        <f>IFERROR(Table6[[#This Row],[Breakdown Time]]*Table6[[#This Row],[Plant Equivalent Weightage]],"")</f>
        <v>7.5757575757575491E-3</v>
      </c>
      <c r="U900" s="79" t="s">
        <v>421</v>
      </c>
      <c r="W900" s="79">
        <v>497</v>
      </c>
    </row>
    <row r="901" spans="1:23">
      <c r="A901" s="79">
        <f t="shared" si="14"/>
        <v>900</v>
      </c>
      <c r="B901" s="79">
        <f>YEAR(Table6[[#This Row],[Date]])+IF(MONTH(Table6[[#This Row],[Date]])&gt;=4,1,0)</f>
        <v>2026</v>
      </c>
      <c r="C901" s="79">
        <f>YEAR(Table6[[#This Row],[Date]])</f>
        <v>2025</v>
      </c>
      <c r="D901" s="79" t="s">
        <v>344</v>
      </c>
      <c r="E901" s="284">
        <f>Table6[[#This Row],[Date]]-DAY(Table6[[#This Row],[Date]])+1</f>
        <v>45809</v>
      </c>
      <c r="F901" s="285">
        <v>45827</v>
      </c>
      <c r="G901" s="79" t="s">
        <v>82</v>
      </c>
      <c r="H901" s="79" t="str">
        <f>IFERROR(_xlfn.XLOOKUP(Table6[[#This Row],[Affected Feeder ]],'Basic Data'!$A:$A,'Basic Data'!$B:$B),"")</f>
        <v>PWEPL</v>
      </c>
      <c r="I901" s="79" t="str">
        <f>IFERROR(_xlfn.XLOOKUP(Table6[[#This Row],[Affected Feeder ]],'Basic Data'!$A:$A,'Basic Data'!$C:$C),"")</f>
        <v>MSEDCL</v>
      </c>
      <c r="J901" s="295">
        <f>IFERROR(_xlfn.XLOOKUP(Table6[[#This Row],[Affected Feeder ]],'Basic Data'!$A:$A,'Basic Data'!$E:$E),"")</f>
        <v>2.2727272727272728E-2</v>
      </c>
      <c r="K901" s="296" t="s">
        <v>171</v>
      </c>
      <c r="L901" s="297">
        <v>0.7055555555555556</v>
      </c>
      <c r="M901" s="297">
        <v>0.7055555555555556</v>
      </c>
      <c r="N901" s="297">
        <v>0.71944444444444444</v>
      </c>
      <c r="O901" s="19">
        <f>(Table6[[#This Row],[Work Start TimeStamp]]-Table6[[#This Row],[Fault Start TimeStamp]])*24</f>
        <v>0</v>
      </c>
      <c r="P901" s="19">
        <f>(Table6[[#This Row],[Fault Clearance time]]-Table6[[#This Row],[Fault Start TimeStamp]])*24</f>
        <v>0.33333333333333215</v>
      </c>
      <c r="Q901" s="19">
        <f>(Table6[[#This Row],[Fault Clearance time]]-Table6[[#This Row],[Fault Start TimeStamp]])*24</f>
        <v>0.33333333333333215</v>
      </c>
      <c r="R901" s="79" t="s">
        <v>353</v>
      </c>
      <c r="S901" s="79" t="s">
        <v>339</v>
      </c>
      <c r="T901" s="298">
        <f>IFERROR(Table6[[#This Row],[Breakdown Time]]*Table6[[#This Row],[Plant Equivalent Weightage]],"")</f>
        <v>7.5757575757575491E-3</v>
      </c>
      <c r="U901" s="79" t="s">
        <v>421</v>
      </c>
      <c r="W901" s="79">
        <v>497</v>
      </c>
    </row>
    <row r="902" spans="1:23">
      <c r="A902" s="79">
        <f t="shared" si="14"/>
        <v>901</v>
      </c>
      <c r="B902" s="79">
        <f>YEAR(Table6[[#This Row],[Date]])+IF(MONTH(Table6[[#This Row],[Date]])&gt;=4,1,0)</f>
        <v>2026</v>
      </c>
      <c r="C902" s="79">
        <f>YEAR(Table6[[#This Row],[Date]])</f>
        <v>2025</v>
      </c>
      <c r="D902" s="79" t="s">
        <v>344</v>
      </c>
      <c r="E902" s="284">
        <f>Table6[[#This Row],[Date]]-DAY(Table6[[#This Row],[Date]])+1</f>
        <v>45809</v>
      </c>
      <c r="F902" s="285">
        <v>45827</v>
      </c>
      <c r="G902" s="79" t="s">
        <v>93</v>
      </c>
      <c r="H902" s="79" t="str">
        <f>IFERROR(_xlfn.XLOOKUP(Table6[[#This Row],[Affected Feeder ]],'Basic Data'!$A:$A,'Basic Data'!$B:$B),"")</f>
        <v>PWEPL</v>
      </c>
      <c r="I902" s="79" t="str">
        <f>IFERROR(_xlfn.XLOOKUP(Table6[[#This Row],[Affected Feeder ]],'Basic Data'!$A:$A,'Basic Data'!$C:$C),"")</f>
        <v>MSEDCL</v>
      </c>
      <c r="J902" s="295">
        <f>IFERROR(_xlfn.XLOOKUP(Table6[[#This Row],[Affected Feeder ]],'Basic Data'!$A:$A,'Basic Data'!$E:$E),"")</f>
        <v>2.2727272727272728E-2</v>
      </c>
      <c r="K902" s="296" t="s">
        <v>171</v>
      </c>
      <c r="L902" s="297">
        <v>0.7055555555555556</v>
      </c>
      <c r="M902" s="297">
        <v>0.7055555555555556</v>
      </c>
      <c r="N902" s="297">
        <v>0.71944444444444444</v>
      </c>
      <c r="O902" s="19">
        <f>(Table6[[#This Row],[Work Start TimeStamp]]-Table6[[#This Row],[Fault Start TimeStamp]])*24</f>
        <v>0</v>
      </c>
      <c r="P902" s="19">
        <f>(Table6[[#This Row],[Fault Clearance time]]-Table6[[#This Row],[Fault Start TimeStamp]])*24</f>
        <v>0.33333333333333215</v>
      </c>
      <c r="Q902" s="19">
        <f>(Table6[[#This Row],[Fault Clearance time]]-Table6[[#This Row],[Fault Start TimeStamp]])*24</f>
        <v>0.33333333333333215</v>
      </c>
      <c r="R902" s="79" t="s">
        <v>353</v>
      </c>
      <c r="S902" s="79" t="s">
        <v>339</v>
      </c>
      <c r="T902" s="298">
        <f>IFERROR(Table6[[#This Row],[Breakdown Time]]*Table6[[#This Row],[Plant Equivalent Weightage]],"")</f>
        <v>7.5757575757575491E-3</v>
      </c>
      <c r="U902" s="79" t="s">
        <v>421</v>
      </c>
      <c r="W902" s="79">
        <v>497</v>
      </c>
    </row>
    <row r="903" spans="1:23">
      <c r="A903" s="79">
        <f t="shared" si="14"/>
        <v>902</v>
      </c>
      <c r="B903" s="79">
        <f>YEAR(Table6[[#This Row],[Date]])+IF(MONTH(Table6[[#This Row],[Date]])&gt;=4,1,0)</f>
        <v>2026</v>
      </c>
      <c r="C903" s="79">
        <f>YEAR(Table6[[#This Row],[Date]])</f>
        <v>2025</v>
      </c>
      <c r="D903" s="79" t="s">
        <v>344</v>
      </c>
      <c r="E903" s="284">
        <f>Table6[[#This Row],[Date]]-DAY(Table6[[#This Row],[Date]])+1</f>
        <v>45809</v>
      </c>
      <c r="F903" s="285">
        <v>45827</v>
      </c>
      <c r="G903" s="79" t="s">
        <v>102</v>
      </c>
      <c r="H903" s="79" t="str">
        <f>IFERROR(_xlfn.XLOOKUP(Table6[[#This Row],[Affected Feeder ]],'Basic Data'!$A:$A,'Basic Data'!$B:$B),"")</f>
        <v>PWEPL</v>
      </c>
      <c r="I903" s="79" t="str">
        <f>IFERROR(_xlfn.XLOOKUP(Table6[[#This Row],[Affected Feeder ]],'Basic Data'!$A:$A,'Basic Data'!$C:$C),"")</f>
        <v>MSEDCL</v>
      </c>
      <c r="J903" s="295">
        <f>IFERROR(_xlfn.XLOOKUP(Table6[[#This Row],[Affected Feeder ]],'Basic Data'!$A:$A,'Basic Data'!$E:$E),"")</f>
        <v>2.2727272727272728E-2</v>
      </c>
      <c r="K903" s="296" t="s">
        <v>171</v>
      </c>
      <c r="L903" s="297">
        <v>0.7055555555555556</v>
      </c>
      <c r="M903" s="297">
        <v>0.7055555555555556</v>
      </c>
      <c r="N903" s="297">
        <v>0.71944444444444444</v>
      </c>
      <c r="O903" s="19">
        <f>(Table6[[#This Row],[Work Start TimeStamp]]-Table6[[#This Row],[Fault Start TimeStamp]])*24</f>
        <v>0</v>
      </c>
      <c r="P903" s="19">
        <f>(Table6[[#This Row],[Fault Clearance time]]-Table6[[#This Row],[Fault Start TimeStamp]])*24</f>
        <v>0.33333333333333215</v>
      </c>
      <c r="Q903" s="19">
        <f>(Table6[[#This Row],[Fault Clearance time]]-Table6[[#This Row],[Fault Start TimeStamp]])*24</f>
        <v>0.33333333333333215</v>
      </c>
      <c r="R903" s="79" t="s">
        <v>353</v>
      </c>
      <c r="S903" s="79" t="s">
        <v>339</v>
      </c>
      <c r="T903" s="298">
        <f>IFERROR(Table6[[#This Row],[Breakdown Time]]*Table6[[#This Row],[Plant Equivalent Weightage]],"")</f>
        <v>7.5757575757575491E-3</v>
      </c>
      <c r="U903" s="79" t="s">
        <v>421</v>
      </c>
      <c r="W903" s="79">
        <v>497</v>
      </c>
    </row>
    <row r="904" spans="1:23">
      <c r="A904" s="79">
        <f t="shared" si="14"/>
        <v>903</v>
      </c>
      <c r="B904" s="79">
        <f>YEAR(Table6[[#This Row],[Date]])+IF(MONTH(Table6[[#This Row],[Date]])&gt;=4,1,0)</f>
        <v>2026</v>
      </c>
      <c r="C904" s="79">
        <f>YEAR(Table6[[#This Row],[Date]])</f>
        <v>2025</v>
      </c>
      <c r="D904" s="79" t="s">
        <v>344</v>
      </c>
      <c r="E904" s="284">
        <f>Table6[[#This Row],[Date]]-DAY(Table6[[#This Row],[Date]])+1</f>
        <v>45809</v>
      </c>
      <c r="F904" s="285">
        <v>45827</v>
      </c>
      <c r="G904" s="79" t="s">
        <v>119</v>
      </c>
      <c r="H904" s="79" t="str">
        <f>IFERROR(_xlfn.XLOOKUP(Table6[[#This Row],[Affected Feeder ]],'Basic Data'!$A:$A,'Basic Data'!$B:$B),"")</f>
        <v>PWEPL</v>
      </c>
      <c r="I904" s="79" t="str">
        <f>IFERROR(_xlfn.XLOOKUP(Table6[[#This Row],[Affected Feeder ]],'Basic Data'!$A:$A,'Basic Data'!$C:$C),"")</f>
        <v>MSEDCL</v>
      </c>
      <c r="J904" s="295">
        <f>IFERROR(_xlfn.XLOOKUP(Table6[[#This Row],[Affected Feeder ]],'Basic Data'!$A:$A,'Basic Data'!$E:$E),"")</f>
        <v>2.2727272727272728E-2</v>
      </c>
      <c r="K904" s="296" t="s">
        <v>171</v>
      </c>
      <c r="L904" s="297">
        <v>0.7055555555555556</v>
      </c>
      <c r="M904" s="297">
        <v>0.7055555555555556</v>
      </c>
      <c r="N904" s="297">
        <v>0.71944444444444444</v>
      </c>
      <c r="O904" s="19">
        <f>(Table6[[#This Row],[Work Start TimeStamp]]-Table6[[#This Row],[Fault Start TimeStamp]])*24</f>
        <v>0</v>
      </c>
      <c r="P904" s="19">
        <f>(Table6[[#This Row],[Fault Clearance time]]-Table6[[#This Row],[Fault Start TimeStamp]])*24</f>
        <v>0.33333333333333215</v>
      </c>
      <c r="Q904" s="19">
        <f>(Table6[[#This Row],[Fault Clearance time]]-Table6[[#This Row],[Fault Start TimeStamp]])*24</f>
        <v>0.33333333333333215</v>
      </c>
      <c r="R904" s="79" t="s">
        <v>353</v>
      </c>
      <c r="S904" s="79" t="s">
        <v>339</v>
      </c>
      <c r="T904" s="298">
        <f>IFERROR(Table6[[#This Row],[Breakdown Time]]*Table6[[#This Row],[Plant Equivalent Weightage]],"")</f>
        <v>7.5757575757575491E-3</v>
      </c>
      <c r="U904" s="79" t="s">
        <v>421</v>
      </c>
      <c r="W904" s="79">
        <v>497</v>
      </c>
    </row>
    <row r="905" spans="1:23">
      <c r="A905" s="79">
        <f t="shared" si="14"/>
        <v>904</v>
      </c>
      <c r="B905" s="79">
        <f>YEAR(Table6[[#This Row],[Date]])+IF(MONTH(Table6[[#This Row],[Date]])&gt;=4,1,0)</f>
        <v>2026</v>
      </c>
      <c r="C905" s="79">
        <f>YEAR(Table6[[#This Row],[Date]])</f>
        <v>2025</v>
      </c>
      <c r="D905" s="79" t="s">
        <v>344</v>
      </c>
      <c r="E905" s="284">
        <f>Table6[[#This Row],[Date]]-DAY(Table6[[#This Row],[Date]])+1</f>
        <v>45809</v>
      </c>
      <c r="F905" s="285">
        <v>45827</v>
      </c>
      <c r="G905" s="79" t="s">
        <v>103</v>
      </c>
      <c r="H905" s="79" t="str">
        <f>IFERROR(_xlfn.XLOOKUP(Table6[[#This Row],[Affected Feeder ]],'Basic Data'!$A:$A,'Basic Data'!$B:$B),"")</f>
        <v>PWEPL</v>
      </c>
      <c r="I905" s="79" t="str">
        <f>IFERROR(_xlfn.XLOOKUP(Table6[[#This Row],[Affected Feeder ]],'Basic Data'!$A:$A,'Basic Data'!$C:$C),"")</f>
        <v>MSEDCL</v>
      </c>
      <c r="J905" s="295">
        <f>IFERROR(_xlfn.XLOOKUP(Table6[[#This Row],[Affected Feeder ]],'Basic Data'!$A:$A,'Basic Data'!$E:$E),"")</f>
        <v>2.2727272727272728E-2</v>
      </c>
      <c r="K905" s="296" t="s">
        <v>171</v>
      </c>
      <c r="L905" s="297">
        <v>0.7055555555555556</v>
      </c>
      <c r="M905" s="297">
        <v>0.7055555555555556</v>
      </c>
      <c r="N905" s="297">
        <v>0.71944444444444444</v>
      </c>
      <c r="O905" s="19">
        <f>(Table6[[#This Row],[Work Start TimeStamp]]-Table6[[#This Row],[Fault Start TimeStamp]])*24</f>
        <v>0</v>
      </c>
      <c r="P905" s="19">
        <f>(Table6[[#This Row],[Fault Clearance time]]-Table6[[#This Row],[Fault Start TimeStamp]])*24</f>
        <v>0.33333333333333215</v>
      </c>
      <c r="Q905" s="19">
        <f>(Table6[[#This Row],[Fault Clearance time]]-Table6[[#This Row],[Fault Start TimeStamp]])*24</f>
        <v>0.33333333333333215</v>
      </c>
      <c r="R905" s="79" t="s">
        <v>353</v>
      </c>
      <c r="S905" s="79" t="s">
        <v>339</v>
      </c>
      <c r="T905" s="298">
        <f>IFERROR(Table6[[#This Row],[Breakdown Time]]*Table6[[#This Row],[Plant Equivalent Weightage]],"")</f>
        <v>7.5757575757575491E-3</v>
      </c>
      <c r="U905" s="79" t="s">
        <v>421</v>
      </c>
      <c r="W905" s="79">
        <v>497</v>
      </c>
    </row>
    <row r="906" spans="1:23">
      <c r="A906" s="79">
        <f t="shared" si="14"/>
        <v>905</v>
      </c>
      <c r="B906" s="79">
        <f>YEAR(Table6[[#This Row],[Date]])+IF(MONTH(Table6[[#This Row],[Date]])&gt;=4,1,0)</f>
        <v>2026</v>
      </c>
      <c r="C906" s="79">
        <f>YEAR(Table6[[#This Row],[Date]])</f>
        <v>2025</v>
      </c>
      <c r="D906" s="79" t="s">
        <v>344</v>
      </c>
      <c r="E906" s="284">
        <f>Table6[[#This Row],[Date]]-DAY(Table6[[#This Row],[Date]])+1</f>
        <v>45809</v>
      </c>
      <c r="F906" s="285">
        <v>45827</v>
      </c>
      <c r="G906" s="79" t="s">
        <v>105</v>
      </c>
      <c r="H906" s="79" t="str">
        <f>IFERROR(_xlfn.XLOOKUP(Table6[[#This Row],[Affected Feeder ]],'Basic Data'!$A:$A,'Basic Data'!$B:$B),"")</f>
        <v>PWEPL</v>
      </c>
      <c r="I906" s="79" t="str">
        <f>IFERROR(_xlfn.XLOOKUP(Table6[[#This Row],[Affected Feeder ]],'Basic Data'!$A:$A,'Basic Data'!$C:$C),"")</f>
        <v>MSEDCL</v>
      </c>
      <c r="J906" s="295">
        <f>IFERROR(_xlfn.XLOOKUP(Table6[[#This Row],[Affected Feeder ]],'Basic Data'!$A:$A,'Basic Data'!$E:$E),"")</f>
        <v>2.2727272727272728E-2</v>
      </c>
      <c r="K906" s="296" t="s">
        <v>171</v>
      </c>
      <c r="L906" s="297">
        <v>0.7055555555555556</v>
      </c>
      <c r="M906" s="297">
        <v>0.7055555555555556</v>
      </c>
      <c r="N906" s="297">
        <v>0.71944444444444444</v>
      </c>
      <c r="O906" s="19">
        <f>(Table6[[#This Row],[Work Start TimeStamp]]-Table6[[#This Row],[Fault Start TimeStamp]])*24</f>
        <v>0</v>
      </c>
      <c r="P906" s="19">
        <f>(Table6[[#This Row],[Fault Clearance time]]-Table6[[#This Row],[Fault Start TimeStamp]])*24</f>
        <v>0.33333333333333215</v>
      </c>
      <c r="Q906" s="19">
        <f>(Table6[[#This Row],[Fault Clearance time]]-Table6[[#This Row],[Fault Start TimeStamp]])*24</f>
        <v>0.33333333333333215</v>
      </c>
      <c r="R906" s="79" t="s">
        <v>353</v>
      </c>
      <c r="S906" s="79" t="s">
        <v>339</v>
      </c>
      <c r="T906" s="298">
        <f>IFERROR(Table6[[#This Row],[Breakdown Time]]*Table6[[#This Row],[Plant Equivalent Weightage]],"")</f>
        <v>7.5757575757575491E-3</v>
      </c>
      <c r="U906" s="79" t="s">
        <v>421</v>
      </c>
      <c r="W906" s="79">
        <v>497</v>
      </c>
    </row>
    <row r="907" spans="1:23">
      <c r="A907" s="79">
        <f t="shared" si="14"/>
        <v>906</v>
      </c>
      <c r="B907" s="79">
        <f>YEAR(Table6[[#This Row],[Date]])+IF(MONTH(Table6[[#This Row],[Date]])&gt;=4,1,0)</f>
        <v>2026</v>
      </c>
      <c r="C907" s="79">
        <f>YEAR(Table6[[#This Row],[Date]])</f>
        <v>2025</v>
      </c>
      <c r="D907" s="79" t="s">
        <v>344</v>
      </c>
      <c r="E907" s="284">
        <f>Table6[[#This Row],[Date]]-DAY(Table6[[#This Row],[Date]])+1</f>
        <v>45809</v>
      </c>
      <c r="F907" s="285">
        <v>45827</v>
      </c>
      <c r="G907" s="79" t="s">
        <v>115</v>
      </c>
      <c r="H907" s="79" t="str">
        <f>IFERROR(_xlfn.XLOOKUP(Table6[[#This Row],[Affected Feeder ]],'Basic Data'!$A:$A,'Basic Data'!$B:$B),"")</f>
        <v>PWEPL</v>
      </c>
      <c r="I907" s="79" t="str">
        <f>IFERROR(_xlfn.XLOOKUP(Table6[[#This Row],[Affected Feeder ]],'Basic Data'!$A:$A,'Basic Data'!$C:$C),"")</f>
        <v>MSEDCL</v>
      </c>
      <c r="J907" s="295">
        <f>IFERROR(_xlfn.XLOOKUP(Table6[[#This Row],[Affected Feeder ]],'Basic Data'!$A:$A,'Basic Data'!$E:$E),"")</f>
        <v>2.2727272727272728E-2</v>
      </c>
      <c r="K907" s="296" t="s">
        <v>171</v>
      </c>
      <c r="L907" s="297">
        <v>0.7055555555555556</v>
      </c>
      <c r="M907" s="297">
        <v>0.7055555555555556</v>
      </c>
      <c r="N907" s="297">
        <v>0.71944444444444444</v>
      </c>
      <c r="O907" s="19">
        <f>(Table6[[#This Row],[Work Start TimeStamp]]-Table6[[#This Row],[Fault Start TimeStamp]])*24</f>
        <v>0</v>
      </c>
      <c r="P907" s="19">
        <f>(Table6[[#This Row],[Fault Clearance time]]-Table6[[#This Row],[Fault Start TimeStamp]])*24</f>
        <v>0.33333333333333215</v>
      </c>
      <c r="Q907" s="19">
        <f>(Table6[[#This Row],[Fault Clearance time]]-Table6[[#This Row],[Fault Start TimeStamp]])*24</f>
        <v>0.33333333333333215</v>
      </c>
      <c r="R907" s="79" t="s">
        <v>353</v>
      </c>
      <c r="S907" s="79" t="s">
        <v>339</v>
      </c>
      <c r="T907" s="298">
        <f>IFERROR(Table6[[#This Row],[Breakdown Time]]*Table6[[#This Row],[Plant Equivalent Weightage]],"")</f>
        <v>7.5757575757575491E-3</v>
      </c>
      <c r="U907" s="79" t="s">
        <v>421</v>
      </c>
      <c r="W907" s="79">
        <v>497</v>
      </c>
    </row>
    <row r="908" spans="1:23">
      <c r="A908" s="79">
        <f t="shared" si="14"/>
        <v>907</v>
      </c>
      <c r="B908" s="79">
        <f>YEAR(Table6[[#This Row],[Date]])+IF(MONTH(Table6[[#This Row],[Date]])&gt;=4,1,0)</f>
        <v>2026</v>
      </c>
      <c r="C908" s="79">
        <f>YEAR(Table6[[#This Row],[Date]])</f>
        <v>2025</v>
      </c>
      <c r="D908" s="79" t="s">
        <v>344</v>
      </c>
      <c r="E908" s="284">
        <f>Table6[[#This Row],[Date]]-DAY(Table6[[#This Row],[Date]])+1</f>
        <v>45809</v>
      </c>
      <c r="F908" s="285">
        <v>45827</v>
      </c>
      <c r="G908" s="79" t="s">
        <v>116</v>
      </c>
      <c r="H908" s="79" t="str">
        <f>IFERROR(_xlfn.XLOOKUP(Table6[[#This Row],[Affected Feeder ]],'Basic Data'!$A:$A,'Basic Data'!$B:$B),"")</f>
        <v>PWEPL</v>
      </c>
      <c r="I908" s="79" t="str">
        <f>IFERROR(_xlfn.XLOOKUP(Table6[[#This Row],[Affected Feeder ]],'Basic Data'!$A:$A,'Basic Data'!$C:$C),"")</f>
        <v>MSEDCL</v>
      </c>
      <c r="J908" s="295">
        <f>IFERROR(_xlfn.XLOOKUP(Table6[[#This Row],[Affected Feeder ]],'Basic Data'!$A:$A,'Basic Data'!$E:$E),"")</f>
        <v>2.2727272727272728E-2</v>
      </c>
      <c r="K908" s="296" t="s">
        <v>171</v>
      </c>
      <c r="L908" s="297">
        <v>0.7055555555555556</v>
      </c>
      <c r="M908" s="297">
        <v>0.7055555555555556</v>
      </c>
      <c r="N908" s="297">
        <v>0.71944444444444444</v>
      </c>
      <c r="O908" s="19">
        <f>(Table6[[#This Row],[Work Start TimeStamp]]-Table6[[#This Row],[Fault Start TimeStamp]])*24</f>
        <v>0</v>
      </c>
      <c r="P908" s="19">
        <f>(Table6[[#This Row],[Fault Clearance time]]-Table6[[#This Row],[Fault Start TimeStamp]])*24</f>
        <v>0.33333333333333215</v>
      </c>
      <c r="Q908" s="19">
        <f>(Table6[[#This Row],[Fault Clearance time]]-Table6[[#This Row],[Fault Start TimeStamp]])*24</f>
        <v>0.33333333333333215</v>
      </c>
      <c r="R908" s="79" t="s">
        <v>353</v>
      </c>
      <c r="S908" s="79" t="s">
        <v>339</v>
      </c>
      <c r="T908" s="298">
        <f>IFERROR(Table6[[#This Row],[Breakdown Time]]*Table6[[#This Row],[Plant Equivalent Weightage]],"")</f>
        <v>7.5757575757575491E-3</v>
      </c>
      <c r="U908" s="79" t="s">
        <v>421</v>
      </c>
      <c r="W908" s="79">
        <v>497</v>
      </c>
    </row>
    <row r="909" spans="1:23">
      <c r="A909" s="79">
        <f t="shared" si="14"/>
        <v>908</v>
      </c>
      <c r="B909" s="79">
        <f>YEAR(Table6[[#This Row],[Date]])+IF(MONTH(Table6[[#This Row],[Date]])&gt;=4,1,0)</f>
        <v>2026</v>
      </c>
      <c r="C909" s="79">
        <f>YEAR(Table6[[#This Row],[Date]])</f>
        <v>2025</v>
      </c>
      <c r="D909" s="79" t="s">
        <v>344</v>
      </c>
      <c r="E909" s="284">
        <f>Table6[[#This Row],[Date]]-DAY(Table6[[#This Row],[Date]])+1</f>
        <v>45809</v>
      </c>
      <c r="F909" s="285">
        <v>45827</v>
      </c>
      <c r="G909" s="79" t="s">
        <v>117</v>
      </c>
      <c r="H909" s="79" t="str">
        <f>IFERROR(_xlfn.XLOOKUP(Table6[[#This Row],[Affected Feeder ]],'Basic Data'!$A:$A,'Basic Data'!$B:$B),"")</f>
        <v>PWEPL</v>
      </c>
      <c r="I909" s="79" t="str">
        <f>IFERROR(_xlfn.XLOOKUP(Table6[[#This Row],[Affected Feeder ]],'Basic Data'!$A:$A,'Basic Data'!$C:$C),"")</f>
        <v>MSEDCL</v>
      </c>
      <c r="J909" s="295">
        <f>IFERROR(_xlfn.XLOOKUP(Table6[[#This Row],[Affected Feeder ]],'Basic Data'!$A:$A,'Basic Data'!$E:$E),"")</f>
        <v>2.2727272727272728E-2</v>
      </c>
      <c r="K909" s="296" t="s">
        <v>171</v>
      </c>
      <c r="L909" s="297">
        <v>0.7055555555555556</v>
      </c>
      <c r="M909" s="297">
        <v>0.7055555555555556</v>
      </c>
      <c r="N909" s="297">
        <v>0.71944444444444444</v>
      </c>
      <c r="O909" s="19">
        <f>(Table6[[#This Row],[Work Start TimeStamp]]-Table6[[#This Row],[Fault Start TimeStamp]])*24</f>
        <v>0</v>
      </c>
      <c r="P909" s="19">
        <f>(Table6[[#This Row],[Fault Clearance time]]-Table6[[#This Row],[Fault Start TimeStamp]])*24</f>
        <v>0.33333333333333215</v>
      </c>
      <c r="Q909" s="19">
        <f>(Table6[[#This Row],[Fault Clearance time]]-Table6[[#This Row],[Fault Start TimeStamp]])*24</f>
        <v>0.33333333333333215</v>
      </c>
      <c r="R909" s="79" t="s">
        <v>353</v>
      </c>
      <c r="S909" s="79" t="s">
        <v>339</v>
      </c>
      <c r="T909" s="298">
        <f>IFERROR(Table6[[#This Row],[Breakdown Time]]*Table6[[#This Row],[Plant Equivalent Weightage]],"")</f>
        <v>7.5757575757575491E-3</v>
      </c>
      <c r="U909" s="79" t="s">
        <v>421</v>
      </c>
      <c r="W909" s="79">
        <v>497</v>
      </c>
    </row>
    <row r="910" spans="1:23">
      <c r="A910" s="79">
        <f t="shared" si="14"/>
        <v>909</v>
      </c>
      <c r="B910" s="79">
        <f>YEAR(Table6[[#This Row],[Date]])+IF(MONTH(Table6[[#This Row],[Date]])&gt;=4,1,0)</f>
        <v>2026</v>
      </c>
      <c r="C910" s="79">
        <f>YEAR(Table6[[#This Row],[Date]])</f>
        <v>2025</v>
      </c>
      <c r="D910" s="79" t="s">
        <v>344</v>
      </c>
      <c r="E910" s="284">
        <f>Table6[[#This Row],[Date]]-DAY(Table6[[#This Row],[Date]])+1</f>
        <v>45809</v>
      </c>
      <c r="F910" s="285">
        <v>45827</v>
      </c>
      <c r="G910" s="79" t="s">
        <v>118</v>
      </c>
      <c r="H910" s="79" t="str">
        <f>IFERROR(_xlfn.XLOOKUP(Table6[[#This Row],[Affected Feeder ]],'Basic Data'!$A:$A,'Basic Data'!$B:$B),"")</f>
        <v>PWEPL</v>
      </c>
      <c r="I910" s="79" t="str">
        <f>IFERROR(_xlfn.XLOOKUP(Table6[[#This Row],[Affected Feeder ]],'Basic Data'!$A:$A,'Basic Data'!$C:$C),"")</f>
        <v>MSEDCL</v>
      </c>
      <c r="J910" s="295">
        <f>IFERROR(_xlfn.XLOOKUP(Table6[[#This Row],[Affected Feeder ]],'Basic Data'!$A:$A,'Basic Data'!$E:$E),"")</f>
        <v>2.2727272727272728E-2</v>
      </c>
      <c r="K910" s="296" t="s">
        <v>171</v>
      </c>
      <c r="L910" s="297">
        <v>0.7055555555555556</v>
      </c>
      <c r="M910" s="297">
        <v>0.7055555555555556</v>
      </c>
      <c r="N910" s="297">
        <v>0.71944444444444444</v>
      </c>
      <c r="O910" s="19">
        <f>(Table6[[#This Row],[Work Start TimeStamp]]-Table6[[#This Row],[Fault Start TimeStamp]])*24</f>
        <v>0</v>
      </c>
      <c r="P910" s="19">
        <f>(Table6[[#This Row],[Fault Clearance time]]-Table6[[#This Row],[Fault Start TimeStamp]])*24</f>
        <v>0.33333333333333215</v>
      </c>
      <c r="Q910" s="19">
        <f>(Table6[[#This Row],[Fault Clearance time]]-Table6[[#This Row],[Fault Start TimeStamp]])*24</f>
        <v>0.33333333333333215</v>
      </c>
      <c r="R910" s="79" t="s">
        <v>353</v>
      </c>
      <c r="S910" s="79" t="s">
        <v>339</v>
      </c>
      <c r="T910" s="298">
        <f>IFERROR(Table6[[#This Row],[Breakdown Time]]*Table6[[#This Row],[Plant Equivalent Weightage]],"")</f>
        <v>7.5757575757575491E-3</v>
      </c>
      <c r="U910" s="79" t="s">
        <v>421</v>
      </c>
      <c r="W910" s="79">
        <v>497</v>
      </c>
    </row>
    <row r="911" spans="1:23">
      <c r="A911" s="79">
        <f t="shared" si="14"/>
        <v>910</v>
      </c>
      <c r="B911" s="79">
        <f>YEAR(Table6[[#This Row],[Date]])+IF(MONTH(Table6[[#This Row],[Date]])&gt;=4,1,0)</f>
        <v>2026</v>
      </c>
      <c r="C911" s="79">
        <f>YEAR(Table6[[#This Row],[Date]])</f>
        <v>2025</v>
      </c>
      <c r="D911" s="79" t="s">
        <v>344</v>
      </c>
      <c r="E911" s="284">
        <f>Table6[[#This Row],[Date]]-DAY(Table6[[#This Row],[Date]])+1</f>
        <v>45809</v>
      </c>
      <c r="F911" s="285">
        <v>45827</v>
      </c>
      <c r="G911" s="79" t="s">
        <v>103</v>
      </c>
      <c r="H911" s="79" t="str">
        <f>IFERROR(_xlfn.XLOOKUP(Table6[[#This Row],[Affected Feeder ]],'Basic Data'!$A:$A,'Basic Data'!$B:$B),"")</f>
        <v>PWEPL</v>
      </c>
      <c r="I911" s="79" t="str">
        <f>IFERROR(_xlfn.XLOOKUP(Table6[[#This Row],[Affected Feeder ]],'Basic Data'!$A:$A,'Basic Data'!$C:$C),"")</f>
        <v>MSEDCL</v>
      </c>
      <c r="J911" s="295">
        <f>IFERROR(_xlfn.XLOOKUP(Table6[[#This Row],[Affected Feeder ]],'Basic Data'!$A:$A,'Basic Data'!$E:$E),"")</f>
        <v>2.2727272727272728E-2</v>
      </c>
      <c r="K911" s="296" t="s">
        <v>796</v>
      </c>
      <c r="L911" s="297">
        <v>0.23402777777777781</v>
      </c>
      <c r="M911" s="297">
        <v>0.23402777777777781</v>
      </c>
      <c r="N911" s="297">
        <v>0.3034722222222222</v>
      </c>
      <c r="O911" s="19">
        <f>(Table6[[#This Row],[Work Start TimeStamp]]-Table6[[#This Row],[Fault Start TimeStamp]])*24</f>
        <v>0</v>
      </c>
      <c r="P911" s="19">
        <f>(Table6[[#This Row],[Fault Clearance time]]-Table6[[#This Row],[Fault Start TimeStamp]])*24</f>
        <v>1.6666666666666654</v>
      </c>
      <c r="Q911" s="19">
        <f>(Table6[[#This Row],[Fault Clearance time]]-Table6[[#This Row],[Fault Start TimeStamp]])*24</f>
        <v>1.6666666666666654</v>
      </c>
      <c r="R911" s="79" t="s">
        <v>424</v>
      </c>
      <c r="S911" s="79" t="s">
        <v>339</v>
      </c>
      <c r="T911" s="298">
        <f>IFERROR(Table6[[#This Row],[Breakdown Time]]*Table6[[#This Row],[Plant Equivalent Weightage]],"")</f>
        <v>3.7878787878787852E-2</v>
      </c>
      <c r="U911" s="79" t="s">
        <v>421</v>
      </c>
      <c r="W911" s="79">
        <v>0</v>
      </c>
    </row>
    <row r="912" spans="1:23">
      <c r="A912" s="79">
        <f t="shared" si="14"/>
        <v>911</v>
      </c>
      <c r="B912" s="79">
        <f>YEAR(Table6[[#This Row],[Date]])+IF(MONTH(Table6[[#This Row],[Date]])&gt;=4,1,0)</f>
        <v>2026</v>
      </c>
      <c r="C912" s="79">
        <f>YEAR(Table6[[#This Row],[Date]])</f>
        <v>2025</v>
      </c>
      <c r="D912" s="79" t="s">
        <v>344</v>
      </c>
      <c r="E912" s="284">
        <f>Table6[[#This Row],[Date]]-DAY(Table6[[#This Row],[Date]])+1</f>
        <v>45809</v>
      </c>
      <c r="F912" s="285">
        <v>45827</v>
      </c>
      <c r="G912" s="79" t="s">
        <v>103</v>
      </c>
      <c r="H912" s="79" t="str">
        <f>IFERROR(_xlfn.XLOOKUP(Table6[[#This Row],[Affected Feeder ]],'Basic Data'!$A:$A,'Basic Data'!$B:$B),"")</f>
        <v>PWEPL</v>
      </c>
      <c r="I912" s="79" t="str">
        <f>IFERROR(_xlfn.XLOOKUP(Table6[[#This Row],[Affected Feeder ]],'Basic Data'!$A:$A,'Basic Data'!$C:$C),"")</f>
        <v>MSEDCL</v>
      </c>
      <c r="J912" s="295">
        <f>IFERROR(_xlfn.XLOOKUP(Table6[[#This Row],[Affected Feeder ]],'Basic Data'!$A:$A,'Basic Data'!$E:$E),"")</f>
        <v>2.2727272727272728E-2</v>
      </c>
      <c r="K912" s="296" t="s">
        <v>171</v>
      </c>
      <c r="L912" s="297">
        <v>0.3034722222222222</v>
      </c>
      <c r="M912" s="297">
        <v>0.3034722222222222</v>
      </c>
      <c r="N912" s="297">
        <v>0.31736111111111115</v>
      </c>
      <c r="O912" s="19">
        <f>(Table6[[#This Row],[Work Start TimeStamp]]-Table6[[#This Row],[Fault Start TimeStamp]])*24</f>
        <v>0</v>
      </c>
      <c r="P912" s="19">
        <f>(Table6[[#This Row],[Fault Clearance time]]-Table6[[#This Row],[Fault Start TimeStamp]])*24</f>
        <v>0.33333333333333481</v>
      </c>
      <c r="Q912" s="19">
        <f>(Table6[[#This Row],[Fault Clearance time]]-Table6[[#This Row],[Fault Start TimeStamp]])*24</f>
        <v>0.33333333333333481</v>
      </c>
      <c r="R912" s="79" t="s">
        <v>353</v>
      </c>
      <c r="S912" s="79" t="s">
        <v>339</v>
      </c>
      <c r="T912" s="298">
        <f>IFERROR(Table6[[#This Row],[Breakdown Time]]*Table6[[#This Row],[Plant Equivalent Weightage]],"")</f>
        <v>7.5757575757576098E-3</v>
      </c>
      <c r="U912" s="79" t="s">
        <v>421</v>
      </c>
      <c r="W912" s="79">
        <v>0</v>
      </c>
    </row>
    <row r="913" spans="1:23">
      <c r="A913" s="79">
        <f t="shared" si="14"/>
        <v>912</v>
      </c>
      <c r="B913" s="79">
        <f>YEAR(Table6[[#This Row],[Date]])+IF(MONTH(Table6[[#This Row],[Date]])&gt;=4,1,0)</f>
        <v>2026</v>
      </c>
      <c r="C913" s="79">
        <f>YEAR(Table6[[#This Row],[Date]])</f>
        <v>2025</v>
      </c>
      <c r="D913" s="79" t="s">
        <v>344</v>
      </c>
      <c r="E913" s="284">
        <f>Table6[[#This Row],[Date]]-DAY(Table6[[#This Row],[Date]])+1</f>
        <v>45809</v>
      </c>
      <c r="F913" s="285">
        <v>45827</v>
      </c>
      <c r="G913" s="79" t="s">
        <v>117</v>
      </c>
      <c r="H913" s="79" t="str">
        <f>IFERROR(_xlfn.XLOOKUP(Table6[[#This Row],[Affected Feeder ]],'Basic Data'!$A:$A,'Basic Data'!$B:$B),"")</f>
        <v>PWEPL</v>
      </c>
      <c r="I913" s="79" t="str">
        <f>IFERROR(_xlfn.XLOOKUP(Table6[[#This Row],[Affected Feeder ]],'Basic Data'!$A:$A,'Basic Data'!$C:$C),"")</f>
        <v>MSEDCL</v>
      </c>
      <c r="J913" s="295">
        <f>IFERROR(_xlfn.XLOOKUP(Table6[[#This Row],[Affected Feeder ]],'Basic Data'!$A:$A,'Basic Data'!$E:$E),"")</f>
        <v>2.2727272727272728E-2</v>
      </c>
      <c r="K913" s="296" t="s">
        <v>796</v>
      </c>
      <c r="L913" s="297">
        <v>0.23402777777777781</v>
      </c>
      <c r="M913" s="297">
        <v>0.23402777777777781</v>
      </c>
      <c r="N913" s="297">
        <v>0.3034722222222222</v>
      </c>
      <c r="O913" s="19">
        <f>(Table6[[#This Row],[Work Start TimeStamp]]-Table6[[#This Row],[Fault Start TimeStamp]])*24</f>
        <v>0</v>
      </c>
      <c r="P913" s="19">
        <f>(Table6[[#This Row],[Fault Clearance time]]-Table6[[#This Row],[Fault Start TimeStamp]])*24</f>
        <v>1.6666666666666654</v>
      </c>
      <c r="Q913" s="19">
        <f>(Table6[[#This Row],[Fault Clearance time]]-Table6[[#This Row],[Fault Start TimeStamp]])*24</f>
        <v>1.6666666666666654</v>
      </c>
      <c r="R913" s="79" t="s">
        <v>424</v>
      </c>
      <c r="S913" s="79" t="s">
        <v>339</v>
      </c>
      <c r="T913" s="298">
        <f>IFERROR(Table6[[#This Row],[Breakdown Time]]*Table6[[#This Row],[Plant Equivalent Weightage]],"")</f>
        <v>3.7878787878787852E-2</v>
      </c>
      <c r="U913" s="79" t="s">
        <v>421</v>
      </c>
      <c r="W913" s="79">
        <v>6723</v>
      </c>
    </row>
    <row r="914" spans="1:23">
      <c r="A914" s="79">
        <f t="shared" si="14"/>
        <v>913</v>
      </c>
      <c r="B914" s="79">
        <f>YEAR(Table6[[#This Row],[Date]])+IF(MONTH(Table6[[#This Row],[Date]])&gt;=4,1,0)</f>
        <v>2026</v>
      </c>
      <c r="C914" s="79">
        <f>YEAR(Table6[[#This Row],[Date]])</f>
        <v>2025</v>
      </c>
      <c r="D914" s="79" t="s">
        <v>344</v>
      </c>
      <c r="E914" s="284">
        <f>Table6[[#This Row],[Date]]-DAY(Table6[[#This Row],[Date]])+1</f>
        <v>45809</v>
      </c>
      <c r="F914" s="285">
        <v>45827</v>
      </c>
      <c r="G914" s="79" t="s">
        <v>117</v>
      </c>
      <c r="H914" s="79" t="str">
        <f>IFERROR(_xlfn.XLOOKUP(Table6[[#This Row],[Affected Feeder ]],'Basic Data'!$A:$A,'Basic Data'!$B:$B),"")</f>
        <v>PWEPL</v>
      </c>
      <c r="I914" s="79" t="str">
        <f>IFERROR(_xlfn.XLOOKUP(Table6[[#This Row],[Affected Feeder ]],'Basic Data'!$A:$A,'Basic Data'!$C:$C),"")</f>
        <v>MSEDCL</v>
      </c>
      <c r="J914" s="295">
        <f>IFERROR(_xlfn.XLOOKUP(Table6[[#This Row],[Affected Feeder ]],'Basic Data'!$A:$A,'Basic Data'!$E:$E),"")</f>
        <v>2.2727272727272728E-2</v>
      </c>
      <c r="K914" s="296" t="s">
        <v>171</v>
      </c>
      <c r="L914" s="297">
        <v>0.3034722222222222</v>
      </c>
      <c r="M914" s="297">
        <v>0.3034722222222222</v>
      </c>
      <c r="N914" s="297">
        <v>0.31736111111111115</v>
      </c>
      <c r="O914" s="19">
        <f>(Table6[[#This Row],[Work Start TimeStamp]]-Table6[[#This Row],[Fault Start TimeStamp]])*24</f>
        <v>0</v>
      </c>
      <c r="P914" s="19">
        <f>(Table6[[#This Row],[Fault Clearance time]]-Table6[[#This Row],[Fault Start TimeStamp]])*24</f>
        <v>0.33333333333333481</v>
      </c>
      <c r="Q914" s="19">
        <f>(Table6[[#This Row],[Fault Clearance time]]-Table6[[#This Row],[Fault Start TimeStamp]])*24</f>
        <v>0.33333333333333481</v>
      </c>
      <c r="R914" s="79" t="s">
        <v>353</v>
      </c>
      <c r="S914" s="79" t="s">
        <v>339</v>
      </c>
      <c r="T914" s="298">
        <f>IFERROR(Table6[[#This Row],[Breakdown Time]]*Table6[[#This Row],[Plant Equivalent Weightage]],"")</f>
        <v>7.5757575757576098E-3</v>
      </c>
      <c r="U914" s="79" t="s">
        <v>421</v>
      </c>
      <c r="W914" s="79">
        <v>1680</v>
      </c>
    </row>
    <row r="915" spans="1:23">
      <c r="A915" s="79">
        <f t="shared" si="14"/>
        <v>914</v>
      </c>
      <c r="B915" s="79">
        <f>YEAR(Table6[[#This Row],[Date]])+IF(MONTH(Table6[[#This Row],[Date]])&gt;=4,1,0)</f>
        <v>2026</v>
      </c>
      <c r="C915" s="79">
        <f>YEAR(Table6[[#This Row],[Date]])</f>
        <v>2025</v>
      </c>
      <c r="D915" s="79" t="s">
        <v>344</v>
      </c>
      <c r="E915" s="284">
        <f>Table6[[#This Row],[Date]]-DAY(Table6[[#This Row],[Date]])+1</f>
        <v>45809</v>
      </c>
      <c r="F915" s="285">
        <v>45827</v>
      </c>
      <c r="G915" s="79" t="s">
        <v>118</v>
      </c>
      <c r="H915" s="79" t="str">
        <f>IFERROR(_xlfn.XLOOKUP(Table6[[#This Row],[Affected Feeder ]],'Basic Data'!$A:$A,'Basic Data'!$B:$B),"")</f>
        <v>PWEPL</v>
      </c>
      <c r="I915" s="79" t="str">
        <f>IFERROR(_xlfn.XLOOKUP(Table6[[#This Row],[Affected Feeder ]],'Basic Data'!$A:$A,'Basic Data'!$C:$C),"")</f>
        <v>MSEDCL</v>
      </c>
      <c r="J915" s="295">
        <f>IFERROR(_xlfn.XLOOKUP(Table6[[#This Row],[Affected Feeder ]],'Basic Data'!$A:$A,'Basic Data'!$E:$E),"")</f>
        <v>2.2727272727272728E-2</v>
      </c>
      <c r="K915" s="296" t="s">
        <v>796</v>
      </c>
      <c r="L915" s="297">
        <v>0.23402777777777781</v>
      </c>
      <c r="M915" s="297">
        <v>0.23402777777777781</v>
      </c>
      <c r="N915" s="297">
        <v>0.3034722222222222</v>
      </c>
      <c r="O915" s="19">
        <f>(Table6[[#This Row],[Work Start TimeStamp]]-Table6[[#This Row],[Fault Start TimeStamp]])*24</f>
        <v>0</v>
      </c>
      <c r="P915" s="19">
        <f>(Table6[[#This Row],[Fault Clearance time]]-Table6[[#This Row],[Fault Start TimeStamp]])*24</f>
        <v>1.6666666666666654</v>
      </c>
      <c r="Q915" s="19">
        <f>(Table6[[#This Row],[Fault Clearance time]]-Table6[[#This Row],[Fault Start TimeStamp]])*24</f>
        <v>1.6666666666666654</v>
      </c>
      <c r="R915" s="79" t="s">
        <v>424</v>
      </c>
      <c r="S915" s="79" t="s">
        <v>339</v>
      </c>
      <c r="T915" s="298">
        <f>IFERROR(Table6[[#This Row],[Breakdown Time]]*Table6[[#This Row],[Plant Equivalent Weightage]],"")</f>
        <v>3.7878787878787852E-2</v>
      </c>
      <c r="U915" s="79" t="s">
        <v>421</v>
      </c>
      <c r="W915" s="79">
        <v>759</v>
      </c>
    </row>
    <row r="916" spans="1:23">
      <c r="A916" s="79">
        <f t="shared" si="14"/>
        <v>915</v>
      </c>
      <c r="B916" s="79">
        <f>YEAR(Table6[[#This Row],[Date]])+IF(MONTH(Table6[[#This Row],[Date]])&gt;=4,1,0)</f>
        <v>2026</v>
      </c>
      <c r="C916" s="79">
        <f>YEAR(Table6[[#This Row],[Date]])</f>
        <v>2025</v>
      </c>
      <c r="D916" s="79" t="s">
        <v>344</v>
      </c>
      <c r="E916" s="284">
        <f>Table6[[#This Row],[Date]]-DAY(Table6[[#This Row],[Date]])+1</f>
        <v>45809</v>
      </c>
      <c r="F916" s="285">
        <v>45827</v>
      </c>
      <c r="G916" s="79" t="s">
        <v>118</v>
      </c>
      <c r="H916" s="79" t="str">
        <f>IFERROR(_xlfn.XLOOKUP(Table6[[#This Row],[Affected Feeder ]],'Basic Data'!$A:$A,'Basic Data'!$B:$B),"")</f>
        <v>PWEPL</v>
      </c>
      <c r="I916" s="79" t="str">
        <f>IFERROR(_xlfn.XLOOKUP(Table6[[#This Row],[Affected Feeder ]],'Basic Data'!$A:$A,'Basic Data'!$C:$C),"")</f>
        <v>MSEDCL</v>
      </c>
      <c r="J916" s="295">
        <f>IFERROR(_xlfn.XLOOKUP(Table6[[#This Row],[Affected Feeder ]],'Basic Data'!$A:$A,'Basic Data'!$E:$E),"")</f>
        <v>2.2727272727272728E-2</v>
      </c>
      <c r="K916" s="296" t="s">
        <v>171</v>
      </c>
      <c r="L916" s="297">
        <v>0.3034722222222222</v>
      </c>
      <c r="M916" s="297">
        <v>0.3034722222222222</v>
      </c>
      <c r="N916" s="297">
        <v>0.31736111111111115</v>
      </c>
      <c r="O916" s="19">
        <f>(Table6[[#This Row],[Work Start TimeStamp]]-Table6[[#This Row],[Fault Start TimeStamp]])*24</f>
        <v>0</v>
      </c>
      <c r="P916" s="19">
        <f>(Table6[[#This Row],[Fault Clearance time]]-Table6[[#This Row],[Fault Start TimeStamp]])*24</f>
        <v>0.33333333333333481</v>
      </c>
      <c r="Q916" s="19">
        <f>(Table6[[#This Row],[Fault Clearance time]]-Table6[[#This Row],[Fault Start TimeStamp]])*24</f>
        <v>0.33333333333333481</v>
      </c>
      <c r="R916" s="79" t="s">
        <v>353</v>
      </c>
      <c r="S916" s="79" t="s">
        <v>339</v>
      </c>
      <c r="T916" s="298">
        <f>IFERROR(Table6[[#This Row],[Breakdown Time]]*Table6[[#This Row],[Plant Equivalent Weightage]],"")</f>
        <v>7.5757575757576098E-3</v>
      </c>
      <c r="U916" s="79" t="s">
        <v>421</v>
      </c>
      <c r="W916" s="79">
        <v>189</v>
      </c>
    </row>
    <row r="917" spans="1:23">
      <c r="A917" s="79">
        <f t="shared" si="14"/>
        <v>916</v>
      </c>
      <c r="B917" s="79">
        <f>YEAR(Table6[[#This Row],[Date]])+IF(MONTH(Table6[[#This Row],[Date]])&gt;=4,1,0)</f>
        <v>2026</v>
      </c>
      <c r="C917" s="79">
        <f>YEAR(Table6[[#This Row],[Date]])</f>
        <v>2025</v>
      </c>
      <c r="D917" s="79" t="s">
        <v>344</v>
      </c>
      <c r="E917" s="284">
        <f>Table6[[#This Row],[Date]]-DAY(Table6[[#This Row],[Date]])+1</f>
        <v>45809</v>
      </c>
      <c r="F917" s="285">
        <v>45827</v>
      </c>
      <c r="G917" s="79" t="s">
        <v>97</v>
      </c>
      <c r="H917" s="79" t="str">
        <f>IFERROR(_xlfn.XLOOKUP(Table6[[#This Row],[Affected Feeder ]],'Basic Data'!$A:$A,'Basic Data'!$B:$B),"")</f>
        <v>PWEPL</v>
      </c>
      <c r="I917" s="79" t="str">
        <f>IFERROR(_xlfn.XLOOKUP(Table6[[#This Row],[Affected Feeder ]],'Basic Data'!$A:$A,'Basic Data'!$C:$C),"")</f>
        <v>MSEDCL</v>
      </c>
      <c r="J917" s="295">
        <f>IFERROR(_xlfn.XLOOKUP(Table6[[#This Row],[Affected Feeder ]],'Basic Data'!$A:$A,'Basic Data'!$E:$E),"")</f>
        <v>2.2727272727272728E-2</v>
      </c>
      <c r="K917" s="296" t="s">
        <v>796</v>
      </c>
      <c r="L917" s="297">
        <v>0.15902777777777777</v>
      </c>
      <c r="M917" s="297">
        <v>0.15902777777777777</v>
      </c>
      <c r="N917" s="297">
        <v>0.20138888888888887</v>
      </c>
      <c r="O917" s="19">
        <f>(Table6[[#This Row],[Work Start TimeStamp]]-Table6[[#This Row],[Fault Start TimeStamp]])*24</f>
        <v>0</v>
      </c>
      <c r="P917" s="19">
        <f>(Table6[[#This Row],[Fault Clearance time]]-Table6[[#This Row],[Fault Start TimeStamp]])*24</f>
        <v>1.0166666666666664</v>
      </c>
      <c r="Q917" s="19">
        <f>(Table6[[#This Row],[Fault Clearance time]]-Table6[[#This Row],[Fault Start TimeStamp]])*24</f>
        <v>1.0166666666666664</v>
      </c>
      <c r="R917" s="79" t="s">
        <v>424</v>
      </c>
      <c r="S917" s="79" t="s">
        <v>339</v>
      </c>
      <c r="T917" s="298">
        <f>IFERROR(Table6[[#This Row],[Breakdown Time]]*Table6[[#This Row],[Plant Equivalent Weightage]],"")</f>
        <v>2.3106060606060599E-2</v>
      </c>
      <c r="U917" s="79" t="s">
        <v>421</v>
      </c>
      <c r="W917" s="79">
        <v>1721</v>
      </c>
    </row>
    <row r="918" spans="1:23">
      <c r="A918" s="79">
        <f t="shared" si="14"/>
        <v>917</v>
      </c>
      <c r="B918" s="79">
        <f>YEAR(Table6[[#This Row],[Date]])+IF(MONTH(Table6[[#This Row],[Date]])&gt;=4,1,0)</f>
        <v>2026</v>
      </c>
      <c r="C918" s="79">
        <f>YEAR(Table6[[#This Row],[Date]])</f>
        <v>2025</v>
      </c>
      <c r="D918" s="79" t="s">
        <v>344</v>
      </c>
      <c r="E918" s="284">
        <f>Table6[[#This Row],[Date]]-DAY(Table6[[#This Row],[Date]])+1</f>
        <v>45809</v>
      </c>
      <c r="F918" s="285">
        <v>45827</v>
      </c>
      <c r="G918" s="79" t="s">
        <v>97</v>
      </c>
      <c r="H918" s="79" t="str">
        <f>IFERROR(_xlfn.XLOOKUP(Table6[[#This Row],[Affected Feeder ]],'Basic Data'!$A:$A,'Basic Data'!$B:$B),"")</f>
        <v>PWEPL</v>
      </c>
      <c r="I918" s="79" t="str">
        <f>IFERROR(_xlfn.XLOOKUP(Table6[[#This Row],[Affected Feeder ]],'Basic Data'!$A:$A,'Basic Data'!$C:$C),"")</f>
        <v>MSEDCL</v>
      </c>
      <c r="J918" s="295">
        <f>IFERROR(_xlfn.XLOOKUP(Table6[[#This Row],[Affected Feeder ]],'Basic Data'!$A:$A,'Basic Data'!$E:$E),"")</f>
        <v>2.2727272727272728E-2</v>
      </c>
      <c r="K918" s="296" t="s">
        <v>171</v>
      </c>
      <c r="L918" s="297">
        <v>0.20138888888888887</v>
      </c>
      <c r="M918" s="297">
        <v>0.20138888888888887</v>
      </c>
      <c r="N918" s="297">
        <v>0.20486111111111113</v>
      </c>
      <c r="O918" s="19">
        <f>(Table6[[#This Row],[Work Start TimeStamp]]-Table6[[#This Row],[Fault Start TimeStamp]])*24</f>
        <v>0</v>
      </c>
      <c r="P918" s="19">
        <f>(Table6[[#This Row],[Fault Clearance time]]-Table6[[#This Row],[Fault Start TimeStamp]])*24</f>
        <v>8.333333333333437E-2</v>
      </c>
      <c r="Q918" s="19">
        <f>(Table6[[#This Row],[Fault Clearance time]]-Table6[[#This Row],[Fault Start TimeStamp]])*24</f>
        <v>8.333333333333437E-2</v>
      </c>
      <c r="R918" s="79" t="s">
        <v>353</v>
      </c>
      <c r="S918" s="79" t="s">
        <v>339</v>
      </c>
      <c r="T918" s="298">
        <f>IFERROR(Table6[[#This Row],[Breakdown Time]]*Table6[[#This Row],[Plant Equivalent Weightage]],"")</f>
        <v>1.8939393939394176E-3</v>
      </c>
      <c r="U918" s="79" t="s">
        <v>421</v>
      </c>
      <c r="W918" s="79">
        <v>153</v>
      </c>
    </row>
    <row r="919" spans="1:23">
      <c r="A919" s="79">
        <f t="shared" si="14"/>
        <v>918</v>
      </c>
      <c r="B919" s="79">
        <f>YEAR(Table6[[#This Row],[Date]])+IF(MONTH(Table6[[#This Row],[Date]])&gt;=4,1,0)</f>
        <v>2026</v>
      </c>
      <c r="C919" s="79">
        <f>YEAR(Table6[[#This Row],[Date]])</f>
        <v>2025</v>
      </c>
      <c r="D919" s="79" t="s">
        <v>344</v>
      </c>
      <c r="E919" s="284">
        <f>Table6[[#This Row],[Date]]-DAY(Table6[[#This Row],[Date]])+1</f>
        <v>45809</v>
      </c>
      <c r="F919" s="285">
        <v>45827</v>
      </c>
      <c r="G919" s="79" t="s">
        <v>87</v>
      </c>
      <c r="H919" s="79" t="str">
        <f>IFERROR(_xlfn.XLOOKUP(Table6[[#This Row],[Affected Feeder ]],'Basic Data'!$A:$A,'Basic Data'!$B:$B),"")</f>
        <v>PWEPL</v>
      </c>
      <c r="I919" s="79" t="str">
        <f>IFERROR(_xlfn.XLOOKUP(Table6[[#This Row],[Affected Feeder ]],'Basic Data'!$A:$A,'Basic Data'!$C:$C),"")</f>
        <v>MSEDCL</v>
      </c>
      <c r="J919" s="295">
        <f>IFERROR(_xlfn.XLOOKUP(Table6[[#This Row],[Affected Feeder ]],'Basic Data'!$A:$A,'Basic Data'!$E:$E),"")</f>
        <v>2.2727272727272728E-2</v>
      </c>
      <c r="K919" s="296" t="s">
        <v>796</v>
      </c>
      <c r="L919" s="297">
        <v>0.20416666666666669</v>
      </c>
      <c r="M919" s="297">
        <v>0.20416666666666669</v>
      </c>
      <c r="N919" s="297">
        <v>0.23124999999999998</v>
      </c>
      <c r="O919" s="19">
        <f>(Table6[[#This Row],[Work Start TimeStamp]]-Table6[[#This Row],[Fault Start TimeStamp]])*24</f>
        <v>0</v>
      </c>
      <c r="P919" s="19">
        <f>(Table6[[#This Row],[Fault Clearance time]]-Table6[[#This Row],[Fault Start TimeStamp]])*24</f>
        <v>0.64999999999999902</v>
      </c>
      <c r="Q919" s="19">
        <f>(Table6[[#This Row],[Fault Clearance time]]-Table6[[#This Row],[Fault Start TimeStamp]])*24</f>
        <v>0.64999999999999902</v>
      </c>
      <c r="R919" s="79" t="s">
        <v>424</v>
      </c>
      <c r="S919" s="79" t="s">
        <v>339</v>
      </c>
      <c r="T919" s="298">
        <f>IFERROR(Table6[[#This Row],[Breakdown Time]]*Table6[[#This Row],[Plant Equivalent Weightage]],"")</f>
        <v>1.4772727272727252E-2</v>
      </c>
      <c r="U919" s="79" t="s">
        <v>421</v>
      </c>
      <c r="W919" s="79">
        <v>896</v>
      </c>
    </row>
    <row r="920" spans="1:23">
      <c r="A920" s="79">
        <f t="shared" si="14"/>
        <v>919</v>
      </c>
      <c r="B920" s="79">
        <f>YEAR(Table6[[#This Row],[Date]])+IF(MONTH(Table6[[#This Row],[Date]])&gt;=4,1,0)</f>
        <v>2026</v>
      </c>
      <c r="C920" s="79">
        <f>YEAR(Table6[[#This Row],[Date]])</f>
        <v>2025</v>
      </c>
      <c r="D920" s="79" t="s">
        <v>344</v>
      </c>
      <c r="E920" s="284">
        <f>Table6[[#This Row],[Date]]-DAY(Table6[[#This Row],[Date]])+1</f>
        <v>45809</v>
      </c>
      <c r="F920" s="285">
        <v>45827</v>
      </c>
      <c r="G920" s="79" t="s">
        <v>87</v>
      </c>
      <c r="H920" s="79" t="str">
        <f>IFERROR(_xlfn.XLOOKUP(Table6[[#This Row],[Affected Feeder ]],'Basic Data'!$A:$A,'Basic Data'!$B:$B),"")</f>
        <v>PWEPL</v>
      </c>
      <c r="I920" s="79" t="str">
        <f>IFERROR(_xlfn.XLOOKUP(Table6[[#This Row],[Affected Feeder ]],'Basic Data'!$A:$A,'Basic Data'!$C:$C),"")</f>
        <v>MSEDCL</v>
      </c>
      <c r="J920" s="295">
        <f>IFERROR(_xlfn.XLOOKUP(Table6[[#This Row],[Affected Feeder ]],'Basic Data'!$A:$A,'Basic Data'!$E:$E),"")</f>
        <v>2.2727272727272728E-2</v>
      </c>
      <c r="K920" s="296" t="s">
        <v>171</v>
      </c>
      <c r="L920" s="297">
        <v>0.23124999999999998</v>
      </c>
      <c r="M920" s="297">
        <v>0.23124999999999998</v>
      </c>
      <c r="N920" s="297">
        <v>0.24513888888888888</v>
      </c>
      <c r="O920" s="19">
        <f>(Table6[[#This Row],[Work Start TimeStamp]]-Table6[[#This Row],[Fault Start TimeStamp]])*24</f>
        <v>0</v>
      </c>
      <c r="P920" s="19">
        <f>(Table6[[#This Row],[Fault Clearance time]]-Table6[[#This Row],[Fault Start TimeStamp]])*24</f>
        <v>0.33333333333333348</v>
      </c>
      <c r="Q920" s="19">
        <f>(Table6[[#This Row],[Fault Clearance time]]-Table6[[#This Row],[Fault Start TimeStamp]])*24</f>
        <v>0.33333333333333348</v>
      </c>
      <c r="R920" s="79" t="s">
        <v>353</v>
      </c>
      <c r="S920" s="79" t="s">
        <v>339</v>
      </c>
      <c r="T920" s="298">
        <f>IFERROR(Table6[[#This Row],[Breakdown Time]]*Table6[[#This Row],[Plant Equivalent Weightage]],"")</f>
        <v>7.5757575757575794E-3</v>
      </c>
      <c r="U920" s="79" t="s">
        <v>421</v>
      </c>
      <c r="W920" s="79">
        <v>943</v>
      </c>
    </row>
    <row r="921" spans="1:23">
      <c r="A921" s="79">
        <f t="shared" si="14"/>
        <v>920</v>
      </c>
      <c r="B921" s="79">
        <f>YEAR(Table6[[#This Row],[Date]])+IF(MONTH(Table6[[#This Row],[Date]])&gt;=4,1,0)</f>
        <v>2026</v>
      </c>
      <c r="C921" s="79">
        <f>YEAR(Table6[[#This Row],[Date]])</f>
        <v>2025</v>
      </c>
      <c r="D921" s="79" t="s">
        <v>344</v>
      </c>
      <c r="E921" s="284">
        <f>Table6[[#This Row],[Date]]-DAY(Table6[[#This Row],[Date]])+1</f>
        <v>45809</v>
      </c>
      <c r="F921" s="285">
        <v>45827</v>
      </c>
      <c r="G921" s="79" t="s">
        <v>103</v>
      </c>
      <c r="H921" s="79" t="str">
        <f>IFERROR(_xlfn.XLOOKUP(Table6[[#This Row],[Affected Feeder ]],'Basic Data'!$A:$A,'Basic Data'!$B:$B),"")</f>
        <v>PWEPL</v>
      </c>
      <c r="I921" s="79" t="str">
        <f>IFERROR(_xlfn.XLOOKUP(Table6[[#This Row],[Affected Feeder ]],'Basic Data'!$A:$A,'Basic Data'!$C:$C),"")</f>
        <v>MSEDCL</v>
      </c>
      <c r="J921" s="295">
        <f>IFERROR(_xlfn.XLOOKUP(Table6[[#This Row],[Affected Feeder ]],'Basic Data'!$A:$A,'Basic Data'!$E:$E),"")</f>
        <v>2.2727272727272728E-2</v>
      </c>
      <c r="K921" s="296" t="s">
        <v>796</v>
      </c>
      <c r="L921" s="297">
        <v>0.71944444444444444</v>
      </c>
      <c r="M921" s="297">
        <v>0.71944444444444444</v>
      </c>
      <c r="N921" s="297">
        <v>0.8027777777777777</v>
      </c>
      <c r="O921" s="19">
        <f>(Table6[[#This Row],[Work Start TimeStamp]]-Table6[[#This Row],[Fault Start TimeStamp]])*24</f>
        <v>0</v>
      </c>
      <c r="P921" s="19">
        <f>(Table6[[#This Row],[Fault Clearance time]]-Table6[[#This Row],[Fault Start TimeStamp]])*24</f>
        <v>1.9999999999999982</v>
      </c>
      <c r="Q921" s="19">
        <f>(Table6[[#This Row],[Fault Clearance time]]-Table6[[#This Row],[Fault Start TimeStamp]])*24</f>
        <v>1.9999999999999982</v>
      </c>
      <c r="R921" s="79" t="s">
        <v>424</v>
      </c>
      <c r="S921" s="79" t="s">
        <v>339</v>
      </c>
      <c r="T921" s="298">
        <f>IFERROR(Table6[[#This Row],[Breakdown Time]]*Table6[[#This Row],[Plant Equivalent Weightage]],"")</f>
        <v>4.5454545454545414E-2</v>
      </c>
      <c r="U921" s="79" t="s">
        <v>421</v>
      </c>
      <c r="W921" s="79">
        <v>1178</v>
      </c>
    </row>
    <row r="922" spans="1:23">
      <c r="A922" s="79">
        <f t="shared" si="14"/>
        <v>921</v>
      </c>
      <c r="B922" s="79">
        <f>YEAR(Table6[[#This Row],[Date]])+IF(MONTH(Table6[[#This Row],[Date]])&gt;=4,1,0)</f>
        <v>2026</v>
      </c>
      <c r="C922" s="79">
        <f>YEAR(Table6[[#This Row],[Date]])</f>
        <v>2025</v>
      </c>
      <c r="D922" s="79" t="s">
        <v>344</v>
      </c>
      <c r="E922" s="284">
        <f>Table6[[#This Row],[Date]]-DAY(Table6[[#This Row],[Date]])+1</f>
        <v>45809</v>
      </c>
      <c r="F922" s="285">
        <v>45827</v>
      </c>
      <c r="G922" s="79" t="s">
        <v>103</v>
      </c>
      <c r="H922" s="79" t="str">
        <f>IFERROR(_xlfn.XLOOKUP(Table6[[#This Row],[Affected Feeder ]],'Basic Data'!$A:$A,'Basic Data'!$B:$B),"")</f>
        <v>PWEPL</v>
      </c>
      <c r="I922" s="79" t="str">
        <f>IFERROR(_xlfn.XLOOKUP(Table6[[#This Row],[Affected Feeder ]],'Basic Data'!$A:$A,'Basic Data'!$C:$C),"")</f>
        <v>MSEDCL</v>
      </c>
      <c r="J922" s="295">
        <f>IFERROR(_xlfn.XLOOKUP(Table6[[#This Row],[Affected Feeder ]],'Basic Data'!$A:$A,'Basic Data'!$E:$E),"")</f>
        <v>2.2727272727272728E-2</v>
      </c>
      <c r="K922" s="296" t="s">
        <v>171</v>
      </c>
      <c r="L922" s="297">
        <v>0.8027777777777777</v>
      </c>
      <c r="M922" s="297">
        <v>0.8027777777777777</v>
      </c>
      <c r="N922" s="297">
        <v>0.81527777777777777</v>
      </c>
      <c r="O922" s="19">
        <f>(Table6[[#This Row],[Work Start TimeStamp]]-Table6[[#This Row],[Fault Start TimeStamp]])*24</f>
        <v>0</v>
      </c>
      <c r="P922" s="19">
        <f>(Table6[[#This Row],[Fault Clearance time]]-Table6[[#This Row],[Fault Start TimeStamp]])*24</f>
        <v>0.3000000000000016</v>
      </c>
      <c r="Q922" s="19">
        <f>(Table6[[#This Row],[Fault Clearance time]]-Table6[[#This Row],[Fault Start TimeStamp]])*24</f>
        <v>0.3000000000000016</v>
      </c>
      <c r="R922" s="79" t="s">
        <v>353</v>
      </c>
      <c r="S922" s="79" t="s">
        <v>339</v>
      </c>
      <c r="T922" s="298">
        <f>IFERROR(Table6[[#This Row],[Breakdown Time]]*Table6[[#This Row],[Plant Equivalent Weightage]],"")</f>
        <v>6.8181818181818543E-3</v>
      </c>
      <c r="U922" s="79" t="s">
        <v>421</v>
      </c>
      <c r="W922" s="79">
        <v>207</v>
      </c>
    </row>
    <row r="923" spans="1:23">
      <c r="A923" s="79">
        <f t="shared" si="14"/>
        <v>922</v>
      </c>
      <c r="B923" s="79">
        <f>YEAR(Table6[[#This Row],[Date]])+IF(MONTH(Table6[[#This Row],[Date]])&gt;=4,1,0)</f>
        <v>2026</v>
      </c>
      <c r="C923" s="79">
        <f>YEAR(Table6[[#This Row],[Date]])</f>
        <v>2025</v>
      </c>
      <c r="D923" s="79" t="s">
        <v>344</v>
      </c>
      <c r="E923" s="284">
        <f>Table6[[#This Row],[Date]]-DAY(Table6[[#This Row],[Date]])+1</f>
        <v>45809</v>
      </c>
      <c r="F923" s="285">
        <v>45827</v>
      </c>
      <c r="G923" s="79" t="s">
        <v>117</v>
      </c>
      <c r="H923" s="79" t="str">
        <f>IFERROR(_xlfn.XLOOKUP(Table6[[#This Row],[Affected Feeder ]],'Basic Data'!$A:$A,'Basic Data'!$B:$B),"")</f>
        <v>PWEPL</v>
      </c>
      <c r="I923" s="79" t="str">
        <f>IFERROR(_xlfn.XLOOKUP(Table6[[#This Row],[Affected Feeder ]],'Basic Data'!$A:$A,'Basic Data'!$C:$C),"")</f>
        <v>MSEDCL</v>
      </c>
      <c r="J923" s="295">
        <f>IFERROR(_xlfn.XLOOKUP(Table6[[#This Row],[Affected Feeder ]],'Basic Data'!$A:$A,'Basic Data'!$E:$E),"")</f>
        <v>2.2727272727272728E-2</v>
      </c>
      <c r="K923" s="296" t="s">
        <v>796</v>
      </c>
      <c r="L923" s="297">
        <v>0.71944444444444444</v>
      </c>
      <c r="M923" s="297">
        <v>0.71944444444444444</v>
      </c>
      <c r="N923" s="297">
        <v>0.76111111111111107</v>
      </c>
      <c r="O923" s="19">
        <f>(Table6[[#This Row],[Work Start TimeStamp]]-Table6[[#This Row],[Fault Start TimeStamp]])*24</f>
        <v>0</v>
      </c>
      <c r="P923" s="19">
        <f>(Table6[[#This Row],[Fault Clearance time]]-Table6[[#This Row],[Fault Start TimeStamp]])*24</f>
        <v>0.99999999999999911</v>
      </c>
      <c r="Q923" s="19">
        <f>(Table6[[#This Row],[Fault Clearance time]]-Table6[[#This Row],[Fault Start TimeStamp]])*24</f>
        <v>0.99999999999999911</v>
      </c>
      <c r="R923" s="79" t="s">
        <v>424</v>
      </c>
      <c r="S923" s="79" t="s">
        <v>339</v>
      </c>
      <c r="T923" s="298">
        <f>IFERROR(Table6[[#This Row],[Breakdown Time]]*Table6[[#This Row],[Plant Equivalent Weightage]],"")</f>
        <v>2.2727272727272707E-2</v>
      </c>
      <c r="U923" s="79" t="s">
        <v>421</v>
      </c>
      <c r="W923" s="79">
        <v>101.65</v>
      </c>
    </row>
    <row r="924" spans="1:23">
      <c r="A924" s="79">
        <f t="shared" si="14"/>
        <v>923</v>
      </c>
      <c r="B924" s="79">
        <f>YEAR(Table6[[#This Row],[Date]])+IF(MONTH(Table6[[#This Row],[Date]])&gt;=4,1,0)</f>
        <v>2026</v>
      </c>
      <c r="C924" s="79">
        <f>YEAR(Table6[[#This Row],[Date]])</f>
        <v>2025</v>
      </c>
      <c r="D924" s="79" t="s">
        <v>344</v>
      </c>
      <c r="E924" s="284">
        <f>Table6[[#This Row],[Date]]-DAY(Table6[[#This Row],[Date]])+1</f>
        <v>45809</v>
      </c>
      <c r="F924" s="285">
        <v>45827</v>
      </c>
      <c r="G924" s="79" t="s">
        <v>117</v>
      </c>
      <c r="H924" s="79" t="str">
        <f>IFERROR(_xlfn.XLOOKUP(Table6[[#This Row],[Affected Feeder ]],'Basic Data'!$A:$A,'Basic Data'!$B:$B),"")</f>
        <v>PWEPL</v>
      </c>
      <c r="I924" s="79" t="str">
        <f>IFERROR(_xlfn.XLOOKUP(Table6[[#This Row],[Affected Feeder ]],'Basic Data'!$A:$A,'Basic Data'!$C:$C),"")</f>
        <v>MSEDCL</v>
      </c>
      <c r="J924" s="295">
        <f>IFERROR(_xlfn.XLOOKUP(Table6[[#This Row],[Affected Feeder ]],'Basic Data'!$A:$A,'Basic Data'!$E:$E),"")</f>
        <v>2.2727272727272728E-2</v>
      </c>
      <c r="K924" s="296" t="s">
        <v>171</v>
      </c>
      <c r="L924" s="297">
        <v>0.76111111111111107</v>
      </c>
      <c r="M924" s="297">
        <v>0.76111111111111107</v>
      </c>
      <c r="N924" s="297">
        <v>0.76458333333333339</v>
      </c>
      <c r="O924" s="19">
        <f>(Table6[[#This Row],[Work Start TimeStamp]]-Table6[[#This Row],[Fault Start TimeStamp]])*24</f>
        <v>0</v>
      </c>
      <c r="P924" s="19">
        <f>(Table6[[#This Row],[Fault Clearance time]]-Table6[[#This Row],[Fault Start TimeStamp]])*24</f>
        <v>8.3333333333335702E-2</v>
      </c>
      <c r="Q924" s="19">
        <f>(Table6[[#This Row],[Fault Clearance time]]-Table6[[#This Row],[Fault Start TimeStamp]])*24</f>
        <v>8.3333333333335702E-2</v>
      </c>
      <c r="R924" s="79" t="s">
        <v>353</v>
      </c>
      <c r="S924" s="79" t="s">
        <v>339</v>
      </c>
      <c r="T924" s="298">
        <f>IFERROR(Table6[[#This Row],[Breakdown Time]]*Table6[[#This Row],[Plant Equivalent Weightage]],"")</f>
        <v>1.8939393939394478E-3</v>
      </c>
      <c r="U924" s="79" t="s">
        <v>421</v>
      </c>
      <c r="W924" s="79">
        <v>5.35</v>
      </c>
    </row>
    <row r="925" spans="1:23">
      <c r="A925" s="79">
        <f t="shared" si="14"/>
        <v>924</v>
      </c>
      <c r="B925" s="79">
        <f>YEAR(Table6[[#This Row],[Date]])+IF(MONTH(Table6[[#This Row],[Date]])&gt;=4,1,0)</f>
        <v>2026</v>
      </c>
      <c r="C925" s="79">
        <f>YEAR(Table6[[#This Row],[Date]])</f>
        <v>2025</v>
      </c>
      <c r="D925" s="79" t="s">
        <v>344</v>
      </c>
      <c r="E925" s="284">
        <f>Table6[[#This Row],[Date]]-DAY(Table6[[#This Row],[Date]])+1</f>
        <v>45809</v>
      </c>
      <c r="F925" s="285">
        <v>45827</v>
      </c>
      <c r="G925" s="79" t="s">
        <v>118</v>
      </c>
      <c r="H925" s="79" t="str">
        <f>IFERROR(_xlfn.XLOOKUP(Table6[[#This Row],[Affected Feeder ]],'Basic Data'!$A:$A,'Basic Data'!$B:$B),"")</f>
        <v>PWEPL</v>
      </c>
      <c r="I925" s="79" t="str">
        <f>IFERROR(_xlfn.XLOOKUP(Table6[[#This Row],[Affected Feeder ]],'Basic Data'!$A:$A,'Basic Data'!$C:$C),"")</f>
        <v>MSEDCL</v>
      </c>
      <c r="J925" s="295">
        <f>IFERROR(_xlfn.XLOOKUP(Table6[[#This Row],[Affected Feeder ]],'Basic Data'!$A:$A,'Basic Data'!$E:$E),"")</f>
        <v>2.2727272727272728E-2</v>
      </c>
      <c r="K925" s="296" t="s">
        <v>796</v>
      </c>
      <c r="L925" s="297">
        <v>0.71944444444444444</v>
      </c>
      <c r="M925" s="297">
        <v>0.71944444444444444</v>
      </c>
      <c r="N925" s="297">
        <v>0.8027777777777777</v>
      </c>
      <c r="O925" s="19">
        <f>(Table6[[#This Row],[Work Start TimeStamp]]-Table6[[#This Row],[Fault Start TimeStamp]])*24</f>
        <v>0</v>
      </c>
      <c r="P925" s="19">
        <f>(Table6[[#This Row],[Fault Clearance time]]-Table6[[#This Row],[Fault Start TimeStamp]])*24</f>
        <v>1.9999999999999982</v>
      </c>
      <c r="Q925" s="19">
        <f>(Table6[[#This Row],[Fault Clearance time]]-Table6[[#This Row],[Fault Start TimeStamp]])*24</f>
        <v>1.9999999999999982</v>
      </c>
      <c r="R925" s="79" t="s">
        <v>424</v>
      </c>
      <c r="S925" s="79" t="s">
        <v>339</v>
      </c>
      <c r="T925" s="298">
        <f>IFERROR(Table6[[#This Row],[Breakdown Time]]*Table6[[#This Row],[Plant Equivalent Weightage]],"")</f>
        <v>4.5454545454545414E-2</v>
      </c>
      <c r="U925" s="79" t="s">
        <v>421</v>
      </c>
      <c r="W925" s="79">
        <v>3400</v>
      </c>
    </row>
    <row r="926" spans="1:23">
      <c r="A926" s="79">
        <f t="shared" si="14"/>
        <v>925</v>
      </c>
      <c r="B926" s="79">
        <f>YEAR(Table6[[#This Row],[Date]])+IF(MONTH(Table6[[#This Row],[Date]])&gt;=4,1,0)</f>
        <v>2026</v>
      </c>
      <c r="C926" s="79">
        <f>YEAR(Table6[[#This Row],[Date]])</f>
        <v>2025</v>
      </c>
      <c r="D926" s="79" t="s">
        <v>344</v>
      </c>
      <c r="E926" s="284">
        <f>Table6[[#This Row],[Date]]-DAY(Table6[[#This Row],[Date]])+1</f>
        <v>45809</v>
      </c>
      <c r="F926" s="285">
        <v>45827</v>
      </c>
      <c r="G926" s="79" t="s">
        <v>118</v>
      </c>
      <c r="H926" s="79" t="str">
        <f>IFERROR(_xlfn.XLOOKUP(Table6[[#This Row],[Affected Feeder ]],'Basic Data'!$A:$A,'Basic Data'!$B:$B),"")</f>
        <v>PWEPL</v>
      </c>
      <c r="I926" s="79" t="str">
        <f>IFERROR(_xlfn.XLOOKUP(Table6[[#This Row],[Affected Feeder ]],'Basic Data'!$A:$A,'Basic Data'!$C:$C),"")</f>
        <v>MSEDCL</v>
      </c>
      <c r="J926" s="295">
        <f>IFERROR(_xlfn.XLOOKUP(Table6[[#This Row],[Affected Feeder ]],'Basic Data'!$A:$A,'Basic Data'!$E:$E),"")</f>
        <v>2.2727272727272728E-2</v>
      </c>
      <c r="K926" s="296" t="s">
        <v>171</v>
      </c>
      <c r="L926" s="297">
        <v>0.8027777777777777</v>
      </c>
      <c r="M926" s="297">
        <v>0.8027777777777777</v>
      </c>
      <c r="N926" s="297">
        <v>0.81041666666666667</v>
      </c>
      <c r="O926" s="19">
        <f>(Table6[[#This Row],[Work Start TimeStamp]]-Table6[[#This Row],[Fault Start TimeStamp]])*24</f>
        <v>0</v>
      </c>
      <c r="P926" s="19">
        <f>(Table6[[#This Row],[Fault Clearance time]]-Table6[[#This Row],[Fault Start TimeStamp]])*24</f>
        <v>0.18333333333333535</v>
      </c>
      <c r="Q926" s="19">
        <f>(Table6[[#This Row],[Fault Clearance time]]-Table6[[#This Row],[Fault Start TimeStamp]])*24</f>
        <v>0.18333333333333535</v>
      </c>
      <c r="R926" s="79" t="s">
        <v>353</v>
      </c>
      <c r="S926" s="79" t="s">
        <v>339</v>
      </c>
      <c r="T926" s="298">
        <f>IFERROR(Table6[[#This Row],[Breakdown Time]]*Table6[[#This Row],[Plant Equivalent Weightage]],"")</f>
        <v>4.1666666666667126E-3</v>
      </c>
      <c r="U926" s="79" t="s">
        <v>421</v>
      </c>
      <c r="W926" s="79">
        <v>343</v>
      </c>
    </row>
    <row r="927" spans="1:23">
      <c r="A927" s="79">
        <f t="shared" si="14"/>
        <v>926</v>
      </c>
      <c r="B927" s="79">
        <f>YEAR(Table6[[#This Row],[Date]])+IF(MONTH(Table6[[#This Row],[Date]])&gt;=4,1,0)</f>
        <v>2026</v>
      </c>
      <c r="C927" s="79">
        <f>YEAR(Table6[[#This Row],[Date]])</f>
        <v>2025</v>
      </c>
      <c r="D927" s="79" t="s">
        <v>344</v>
      </c>
      <c r="E927" s="284">
        <f>Table6[[#This Row],[Date]]-DAY(Table6[[#This Row],[Date]])+1</f>
        <v>45809</v>
      </c>
      <c r="F927" s="285">
        <v>45828</v>
      </c>
      <c r="G927" s="79" t="s">
        <v>406</v>
      </c>
      <c r="H927" s="79" t="str">
        <f>IFERROR(_xlfn.XLOOKUP(Table6[[#This Row],[Affected Feeder ]],'Basic Data'!$A:$A,'Basic Data'!$B:$B),"")</f>
        <v>PWEPL</v>
      </c>
      <c r="I927" s="79" t="str">
        <f>IFERROR(_xlfn.XLOOKUP(Table6[[#This Row],[Affected Feeder ]],'Basic Data'!$A:$A,'Basic Data'!$C:$C),"")</f>
        <v>MSEDCL</v>
      </c>
      <c r="J927" s="295">
        <f>IFERROR(_xlfn.XLOOKUP(Table6[[#This Row],[Affected Feeder ]],'Basic Data'!$A:$A,'Basic Data'!$E:$E),"")</f>
        <v>0.29545454545454541</v>
      </c>
      <c r="K927" s="296" t="s">
        <v>447</v>
      </c>
      <c r="L927" s="297">
        <v>6.8749999999999992E-2</v>
      </c>
      <c r="M927" s="297">
        <v>6.8749999999999992E-2</v>
      </c>
      <c r="N927" s="297">
        <v>7.4305555555555555E-2</v>
      </c>
      <c r="O927" s="298">
        <f>(Table6[[#This Row],[Work Start TimeStamp]]-Table6[[#This Row],[Fault Start TimeStamp]])*24</f>
        <v>0</v>
      </c>
      <c r="P927" s="298">
        <f>(Table6[[#This Row],[Fault Clearance time]]-Table6[[#This Row],[Fault Start TimeStamp]])*24</f>
        <v>0.13333333333333353</v>
      </c>
      <c r="Q927" s="298">
        <f>(Table6[[#This Row],[Fault Clearance time]]-Table6[[#This Row],[Fault Start TimeStamp]])*24</f>
        <v>0.13333333333333353</v>
      </c>
      <c r="R927" s="79" t="s">
        <v>420</v>
      </c>
      <c r="S927" s="79" t="s">
        <v>339</v>
      </c>
      <c r="T927" s="298">
        <f>IFERROR(Table6[[#This Row],[Breakdown Time]]*Table6[[#This Row],[Plant Equivalent Weightage]],"")</f>
        <v>3.9393939393939446E-2</v>
      </c>
      <c r="U927" s="79" t="s">
        <v>421</v>
      </c>
      <c r="W927" s="79">
        <v>3504</v>
      </c>
    </row>
    <row r="928" spans="1:23">
      <c r="A928" s="79">
        <f t="shared" si="14"/>
        <v>927</v>
      </c>
      <c r="B928" s="79">
        <f>YEAR(Table6[[#This Row],[Date]])+IF(MONTH(Table6[[#This Row],[Date]])&gt;=4,1,0)</f>
        <v>2026</v>
      </c>
      <c r="C928" s="79">
        <f>YEAR(Table6[[#This Row],[Date]])</f>
        <v>2025</v>
      </c>
      <c r="D928" s="79" t="s">
        <v>344</v>
      </c>
      <c r="E928" s="284">
        <f>Table6[[#This Row],[Date]]-DAY(Table6[[#This Row],[Date]])+1</f>
        <v>45809</v>
      </c>
      <c r="F928" s="285">
        <v>45828</v>
      </c>
      <c r="G928" s="79" t="s">
        <v>76</v>
      </c>
      <c r="H928" s="79" t="str">
        <f>IFERROR(_xlfn.XLOOKUP(Table6[[#This Row],[Affected Feeder ]],'Basic Data'!$A:$A,'Basic Data'!$B:$B),"")</f>
        <v>PWEPL</v>
      </c>
      <c r="I928" s="79" t="str">
        <f>IFERROR(_xlfn.XLOOKUP(Table6[[#This Row],[Affected Feeder ]],'Basic Data'!$A:$A,'Basic Data'!$C:$C),"")</f>
        <v>MSEDCL</v>
      </c>
      <c r="J928" s="295">
        <f>IFERROR(_xlfn.XLOOKUP(Table6[[#This Row],[Affected Feeder ]],'Basic Data'!$A:$A,'Basic Data'!$E:$E),"")</f>
        <v>2.2727272727272728E-2</v>
      </c>
      <c r="K928" s="296" t="s">
        <v>171</v>
      </c>
      <c r="L928" s="297">
        <v>7.4305555555555555E-2</v>
      </c>
      <c r="M928" s="297">
        <v>7.4305555555555555E-2</v>
      </c>
      <c r="N928" s="297">
        <v>8.819444444444445E-2</v>
      </c>
      <c r="O928" s="298">
        <f>(Table6[[#This Row],[Work Start TimeStamp]]-Table6[[#This Row],[Fault Start TimeStamp]])*24</f>
        <v>0</v>
      </c>
      <c r="P928" s="298">
        <f>(Table6[[#This Row],[Fault Clearance time]]-Table6[[#This Row],[Fault Start TimeStamp]])*24</f>
        <v>0.33333333333333348</v>
      </c>
      <c r="Q928" s="298">
        <f>(Table6[[#This Row],[Fault Clearance time]]-Table6[[#This Row],[Fault Start TimeStamp]])*24</f>
        <v>0.33333333333333348</v>
      </c>
      <c r="R928" s="79" t="s">
        <v>353</v>
      </c>
      <c r="S928" s="79" t="s">
        <v>339</v>
      </c>
      <c r="T928" s="298">
        <f>IFERROR(Table6[[#This Row],[Breakdown Time]]*Table6[[#This Row],[Plant Equivalent Weightage]],"")</f>
        <v>7.5757575757575794E-3</v>
      </c>
      <c r="U928" s="79" t="s">
        <v>421</v>
      </c>
      <c r="W928" s="79">
        <v>674</v>
      </c>
    </row>
    <row r="929" spans="1:23">
      <c r="A929" s="79">
        <f t="shared" si="14"/>
        <v>928</v>
      </c>
      <c r="B929" s="79">
        <f>YEAR(Table6[[#This Row],[Date]])+IF(MONTH(Table6[[#This Row],[Date]])&gt;=4,1,0)</f>
        <v>2026</v>
      </c>
      <c r="C929" s="79">
        <f>YEAR(Table6[[#This Row],[Date]])</f>
        <v>2025</v>
      </c>
      <c r="D929" s="79" t="s">
        <v>344</v>
      </c>
      <c r="E929" s="284">
        <f>Table6[[#This Row],[Date]]-DAY(Table6[[#This Row],[Date]])+1</f>
        <v>45809</v>
      </c>
      <c r="F929" s="285">
        <v>45828</v>
      </c>
      <c r="G929" s="79" t="s">
        <v>77</v>
      </c>
      <c r="H929" s="79" t="str">
        <f>IFERROR(_xlfn.XLOOKUP(Table6[[#This Row],[Affected Feeder ]],'Basic Data'!$A:$A,'Basic Data'!$B:$B),"")</f>
        <v>PWEPL</v>
      </c>
      <c r="I929" s="79" t="str">
        <f>IFERROR(_xlfn.XLOOKUP(Table6[[#This Row],[Affected Feeder ]],'Basic Data'!$A:$A,'Basic Data'!$C:$C),"")</f>
        <v>MSEDCL</v>
      </c>
      <c r="J929" s="295">
        <f>IFERROR(_xlfn.XLOOKUP(Table6[[#This Row],[Affected Feeder ]],'Basic Data'!$A:$A,'Basic Data'!$E:$E),"")</f>
        <v>2.2727272727272728E-2</v>
      </c>
      <c r="K929" s="296" t="s">
        <v>171</v>
      </c>
      <c r="L929" s="297">
        <v>7.4305555555555555E-2</v>
      </c>
      <c r="M929" s="297">
        <v>7.4305555555555555E-2</v>
      </c>
      <c r="N929" s="297">
        <v>8.819444444444445E-2</v>
      </c>
      <c r="O929" s="298">
        <f>(Table6[[#This Row],[Work Start TimeStamp]]-Table6[[#This Row],[Fault Start TimeStamp]])*24</f>
        <v>0</v>
      </c>
      <c r="P929" s="298">
        <f>(Table6[[#This Row],[Fault Clearance time]]-Table6[[#This Row],[Fault Start TimeStamp]])*24</f>
        <v>0.33333333333333348</v>
      </c>
      <c r="Q929" s="298">
        <f>(Table6[[#This Row],[Fault Clearance time]]-Table6[[#This Row],[Fault Start TimeStamp]])*24</f>
        <v>0.33333333333333348</v>
      </c>
      <c r="R929" s="79" t="s">
        <v>353</v>
      </c>
      <c r="S929" s="79" t="s">
        <v>339</v>
      </c>
      <c r="T929" s="298">
        <f>IFERROR(Table6[[#This Row],[Breakdown Time]]*Table6[[#This Row],[Plant Equivalent Weightage]],"")</f>
        <v>7.5757575757575794E-3</v>
      </c>
      <c r="U929" s="79" t="s">
        <v>421</v>
      </c>
      <c r="W929" s="79">
        <v>674</v>
      </c>
    </row>
    <row r="930" spans="1:23">
      <c r="A930" s="79">
        <f t="shared" si="14"/>
        <v>929</v>
      </c>
      <c r="B930" s="79">
        <f>YEAR(Table6[[#This Row],[Date]])+IF(MONTH(Table6[[#This Row],[Date]])&gt;=4,1,0)</f>
        <v>2026</v>
      </c>
      <c r="C930" s="79">
        <f>YEAR(Table6[[#This Row],[Date]])</f>
        <v>2025</v>
      </c>
      <c r="D930" s="79" t="s">
        <v>344</v>
      </c>
      <c r="E930" s="284">
        <f>Table6[[#This Row],[Date]]-DAY(Table6[[#This Row],[Date]])+1</f>
        <v>45809</v>
      </c>
      <c r="F930" s="285">
        <v>45828</v>
      </c>
      <c r="G930" s="79" t="s">
        <v>78</v>
      </c>
      <c r="H930" s="79" t="str">
        <f>IFERROR(_xlfn.XLOOKUP(Table6[[#This Row],[Affected Feeder ]],'Basic Data'!$A:$A,'Basic Data'!$B:$B),"")</f>
        <v>PWEPL</v>
      </c>
      <c r="I930" s="79" t="str">
        <f>IFERROR(_xlfn.XLOOKUP(Table6[[#This Row],[Affected Feeder ]],'Basic Data'!$A:$A,'Basic Data'!$C:$C),"")</f>
        <v>MSEDCL</v>
      </c>
      <c r="J930" s="295">
        <f>IFERROR(_xlfn.XLOOKUP(Table6[[#This Row],[Affected Feeder ]],'Basic Data'!$A:$A,'Basic Data'!$E:$E),"")</f>
        <v>2.2727272727272728E-2</v>
      </c>
      <c r="K930" s="296" t="s">
        <v>171</v>
      </c>
      <c r="L930" s="297">
        <v>7.4305555555555555E-2</v>
      </c>
      <c r="M930" s="297">
        <v>7.4305555555555555E-2</v>
      </c>
      <c r="N930" s="297">
        <v>8.819444444444445E-2</v>
      </c>
      <c r="O930" s="298">
        <f>(Table6[[#This Row],[Work Start TimeStamp]]-Table6[[#This Row],[Fault Start TimeStamp]])*24</f>
        <v>0</v>
      </c>
      <c r="P930" s="298">
        <f>(Table6[[#This Row],[Fault Clearance time]]-Table6[[#This Row],[Fault Start TimeStamp]])*24</f>
        <v>0.33333333333333348</v>
      </c>
      <c r="Q930" s="298">
        <f>(Table6[[#This Row],[Fault Clearance time]]-Table6[[#This Row],[Fault Start TimeStamp]])*24</f>
        <v>0.33333333333333348</v>
      </c>
      <c r="R930" s="79" t="s">
        <v>353</v>
      </c>
      <c r="S930" s="79" t="s">
        <v>339</v>
      </c>
      <c r="T930" s="298">
        <f>IFERROR(Table6[[#This Row],[Breakdown Time]]*Table6[[#This Row],[Plant Equivalent Weightage]],"")</f>
        <v>7.5757575757575794E-3</v>
      </c>
      <c r="U930" s="79" t="s">
        <v>421</v>
      </c>
      <c r="W930" s="79">
        <v>674</v>
      </c>
    </row>
    <row r="931" spans="1:23">
      <c r="A931" s="79">
        <f t="shared" si="14"/>
        <v>930</v>
      </c>
      <c r="B931" s="79">
        <f>YEAR(Table6[[#This Row],[Date]])+IF(MONTH(Table6[[#This Row],[Date]])&gt;=4,1,0)</f>
        <v>2026</v>
      </c>
      <c r="C931" s="79">
        <f>YEAR(Table6[[#This Row],[Date]])</f>
        <v>2025</v>
      </c>
      <c r="D931" s="79" t="s">
        <v>344</v>
      </c>
      <c r="E931" s="284">
        <f>Table6[[#This Row],[Date]]-DAY(Table6[[#This Row],[Date]])+1</f>
        <v>45809</v>
      </c>
      <c r="F931" s="285">
        <v>45828</v>
      </c>
      <c r="G931" s="79" t="s">
        <v>82</v>
      </c>
      <c r="H931" s="79" t="str">
        <f>IFERROR(_xlfn.XLOOKUP(Table6[[#This Row],[Affected Feeder ]],'Basic Data'!$A:$A,'Basic Data'!$B:$B),"")</f>
        <v>PWEPL</v>
      </c>
      <c r="I931" s="79" t="str">
        <f>IFERROR(_xlfn.XLOOKUP(Table6[[#This Row],[Affected Feeder ]],'Basic Data'!$A:$A,'Basic Data'!$C:$C),"")</f>
        <v>MSEDCL</v>
      </c>
      <c r="J931" s="295">
        <f>IFERROR(_xlfn.XLOOKUP(Table6[[#This Row],[Affected Feeder ]],'Basic Data'!$A:$A,'Basic Data'!$E:$E),"")</f>
        <v>2.2727272727272728E-2</v>
      </c>
      <c r="K931" s="296" t="s">
        <v>171</v>
      </c>
      <c r="L931" s="297">
        <v>7.4305555555555555E-2</v>
      </c>
      <c r="M931" s="297">
        <v>7.4305555555555555E-2</v>
      </c>
      <c r="N931" s="297">
        <v>8.819444444444445E-2</v>
      </c>
      <c r="O931" s="298">
        <f>(Table6[[#This Row],[Work Start TimeStamp]]-Table6[[#This Row],[Fault Start TimeStamp]])*24</f>
        <v>0</v>
      </c>
      <c r="P931" s="298">
        <f>(Table6[[#This Row],[Fault Clearance time]]-Table6[[#This Row],[Fault Start TimeStamp]])*24</f>
        <v>0.33333333333333348</v>
      </c>
      <c r="Q931" s="298">
        <f>(Table6[[#This Row],[Fault Clearance time]]-Table6[[#This Row],[Fault Start TimeStamp]])*24</f>
        <v>0.33333333333333348</v>
      </c>
      <c r="R931" s="79" t="s">
        <v>353</v>
      </c>
      <c r="S931" s="79" t="s">
        <v>339</v>
      </c>
      <c r="T931" s="298">
        <f>IFERROR(Table6[[#This Row],[Breakdown Time]]*Table6[[#This Row],[Plant Equivalent Weightage]],"")</f>
        <v>7.5757575757575794E-3</v>
      </c>
      <c r="U931" s="79" t="s">
        <v>421</v>
      </c>
      <c r="W931" s="79">
        <v>674</v>
      </c>
    </row>
    <row r="932" spans="1:23">
      <c r="A932" s="79">
        <f t="shared" si="14"/>
        <v>931</v>
      </c>
      <c r="B932" s="79">
        <f>YEAR(Table6[[#This Row],[Date]])+IF(MONTH(Table6[[#This Row],[Date]])&gt;=4,1,0)</f>
        <v>2026</v>
      </c>
      <c r="C932" s="79">
        <f>YEAR(Table6[[#This Row],[Date]])</f>
        <v>2025</v>
      </c>
      <c r="D932" s="79" t="s">
        <v>344</v>
      </c>
      <c r="E932" s="284">
        <f>Table6[[#This Row],[Date]]-DAY(Table6[[#This Row],[Date]])+1</f>
        <v>45809</v>
      </c>
      <c r="F932" s="285">
        <v>45828</v>
      </c>
      <c r="G932" s="79" t="s">
        <v>93</v>
      </c>
      <c r="H932" s="79" t="str">
        <f>IFERROR(_xlfn.XLOOKUP(Table6[[#This Row],[Affected Feeder ]],'Basic Data'!$A:$A,'Basic Data'!$B:$B),"")</f>
        <v>PWEPL</v>
      </c>
      <c r="I932" s="79" t="str">
        <f>IFERROR(_xlfn.XLOOKUP(Table6[[#This Row],[Affected Feeder ]],'Basic Data'!$A:$A,'Basic Data'!$C:$C),"")</f>
        <v>MSEDCL</v>
      </c>
      <c r="J932" s="295">
        <f>IFERROR(_xlfn.XLOOKUP(Table6[[#This Row],[Affected Feeder ]],'Basic Data'!$A:$A,'Basic Data'!$E:$E),"")</f>
        <v>2.2727272727272728E-2</v>
      </c>
      <c r="K932" s="296" t="s">
        <v>171</v>
      </c>
      <c r="L932" s="297">
        <v>7.4305555555555555E-2</v>
      </c>
      <c r="M932" s="297">
        <v>7.4305555555555555E-2</v>
      </c>
      <c r="N932" s="297">
        <v>8.819444444444445E-2</v>
      </c>
      <c r="O932" s="298">
        <f>(Table6[[#This Row],[Work Start TimeStamp]]-Table6[[#This Row],[Fault Start TimeStamp]])*24</f>
        <v>0</v>
      </c>
      <c r="P932" s="298">
        <f>(Table6[[#This Row],[Fault Clearance time]]-Table6[[#This Row],[Fault Start TimeStamp]])*24</f>
        <v>0.33333333333333348</v>
      </c>
      <c r="Q932" s="298">
        <f>(Table6[[#This Row],[Fault Clearance time]]-Table6[[#This Row],[Fault Start TimeStamp]])*24</f>
        <v>0.33333333333333348</v>
      </c>
      <c r="R932" s="79" t="s">
        <v>353</v>
      </c>
      <c r="S932" s="79" t="s">
        <v>339</v>
      </c>
      <c r="T932" s="298">
        <f>IFERROR(Table6[[#This Row],[Breakdown Time]]*Table6[[#This Row],[Plant Equivalent Weightage]],"")</f>
        <v>7.5757575757575794E-3</v>
      </c>
      <c r="U932" s="79" t="s">
        <v>421</v>
      </c>
      <c r="W932" s="79">
        <v>674</v>
      </c>
    </row>
    <row r="933" spans="1:23">
      <c r="A933" s="79">
        <f t="shared" si="14"/>
        <v>932</v>
      </c>
      <c r="B933" s="79">
        <f>YEAR(Table6[[#This Row],[Date]])+IF(MONTH(Table6[[#This Row],[Date]])&gt;=4,1,0)</f>
        <v>2026</v>
      </c>
      <c r="C933" s="79">
        <f>YEAR(Table6[[#This Row],[Date]])</f>
        <v>2025</v>
      </c>
      <c r="D933" s="79" t="s">
        <v>344</v>
      </c>
      <c r="E933" s="284">
        <f>Table6[[#This Row],[Date]]-DAY(Table6[[#This Row],[Date]])+1</f>
        <v>45809</v>
      </c>
      <c r="F933" s="285">
        <v>45828</v>
      </c>
      <c r="G933" s="79" t="s">
        <v>102</v>
      </c>
      <c r="H933" s="79" t="str">
        <f>IFERROR(_xlfn.XLOOKUP(Table6[[#This Row],[Affected Feeder ]],'Basic Data'!$A:$A,'Basic Data'!$B:$B),"")</f>
        <v>PWEPL</v>
      </c>
      <c r="I933" s="79" t="str">
        <f>IFERROR(_xlfn.XLOOKUP(Table6[[#This Row],[Affected Feeder ]],'Basic Data'!$A:$A,'Basic Data'!$C:$C),"")</f>
        <v>MSEDCL</v>
      </c>
      <c r="J933" s="295">
        <f>IFERROR(_xlfn.XLOOKUP(Table6[[#This Row],[Affected Feeder ]],'Basic Data'!$A:$A,'Basic Data'!$E:$E),"")</f>
        <v>2.2727272727272728E-2</v>
      </c>
      <c r="K933" s="296" t="s">
        <v>171</v>
      </c>
      <c r="L933" s="297">
        <v>7.4305555555555555E-2</v>
      </c>
      <c r="M933" s="297">
        <v>7.4305555555555555E-2</v>
      </c>
      <c r="N933" s="297">
        <v>8.819444444444445E-2</v>
      </c>
      <c r="O933" s="298">
        <f>(Table6[[#This Row],[Work Start TimeStamp]]-Table6[[#This Row],[Fault Start TimeStamp]])*24</f>
        <v>0</v>
      </c>
      <c r="P933" s="298">
        <f>(Table6[[#This Row],[Fault Clearance time]]-Table6[[#This Row],[Fault Start TimeStamp]])*24</f>
        <v>0.33333333333333348</v>
      </c>
      <c r="Q933" s="298">
        <f>(Table6[[#This Row],[Fault Clearance time]]-Table6[[#This Row],[Fault Start TimeStamp]])*24</f>
        <v>0.33333333333333348</v>
      </c>
      <c r="R933" s="79" t="s">
        <v>353</v>
      </c>
      <c r="S933" s="79" t="s">
        <v>339</v>
      </c>
      <c r="T933" s="298">
        <f>IFERROR(Table6[[#This Row],[Breakdown Time]]*Table6[[#This Row],[Plant Equivalent Weightage]],"")</f>
        <v>7.5757575757575794E-3</v>
      </c>
      <c r="U933" s="79" t="s">
        <v>421</v>
      </c>
      <c r="W933" s="79">
        <v>674</v>
      </c>
    </row>
    <row r="934" spans="1:23">
      <c r="A934" s="79">
        <f t="shared" si="14"/>
        <v>933</v>
      </c>
      <c r="B934" s="79">
        <f>YEAR(Table6[[#This Row],[Date]])+IF(MONTH(Table6[[#This Row],[Date]])&gt;=4,1,0)</f>
        <v>2026</v>
      </c>
      <c r="C934" s="79">
        <f>YEAR(Table6[[#This Row],[Date]])</f>
        <v>2025</v>
      </c>
      <c r="D934" s="79" t="s">
        <v>344</v>
      </c>
      <c r="E934" s="284">
        <f>Table6[[#This Row],[Date]]-DAY(Table6[[#This Row],[Date]])+1</f>
        <v>45809</v>
      </c>
      <c r="F934" s="285">
        <v>45828</v>
      </c>
      <c r="G934" s="79" t="s">
        <v>119</v>
      </c>
      <c r="H934" s="79" t="str">
        <f>IFERROR(_xlfn.XLOOKUP(Table6[[#This Row],[Affected Feeder ]],'Basic Data'!$A:$A,'Basic Data'!$B:$B),"")</f>
        <v>PWEPL</v>
      </c>
      <c r="I934" s="79" t="str">
        <f>IFERROR(_xlfn.XLOOKUP(Table6[[#This Row],[Affected Feeder ]],'Basic Data'!$A:$A,'Basic Data'!$C:$C),"")</f>
        <v>MSEDCL</v>
      </c>
      <c r="J934" s="295">
        <f>IFERROR(_xlfn.XLOOKUP(Table6[[#This Row],[Affected Feeder ]],'Basic Data'!$A:$A,'Basic Data'!$E:$E),"")</f>
        <v>2.2727272727272728E-2</v>
      </c>
      <c r="K934" s="296" t="s">
        <v>171</v>
      </c>
      <c r="L934" s="297">
        <v>7.4305555555555555E-2</v>
      </c>
      <c r="M934" s="297">
        <v>7.4305555555555555E-2</v>
      </c>
      <c r="N934" s="297">
        <v>8.819444444444445E-2</v>
      </c>
      <c r="O934" s="298">
        <f>(Table6[[#This Row],[Work Start TimeStamp]]-Table6[[#This Row],[Fault Start TimeStamp]])*24</f>
        <v>0</v>
      </c>
      <c r="P934" s="298">
        <f>(Table6[[#This Row],[Fault Clearance time]]-Table6[[#This Row],[Fault Start TimeStamp]])*24</f>
        <v>0.33333333333333348</v>
      </c>
      <c r="Q934" s="298">
        <f>(Table6[[#This Row],[Fault Clearance time]]-Table6[[#This Row],[Fault Start TimeStamp]])*24</f>
        <v>0.33333333333333348</v>
      </c>
      <c r="R934" s="79" t="s">
        <v>353</v>
      </c>
      <c r="S934" s="79" t="s">
        <v>339</v>
      </c>
      <c r="T934" s="298">
        <f>IFERROR(Table6[[#This Row],[Breakdown Time]]*Table6[[#This Row],[Plant Equivalent Weightage]],"")</f>
        <v>7.5757575757575794E-3</v>
      </c>
      <c r="U934" s="79" t="s">
        <v>421</v>
      </c>
      <c r="W934" s="79">
        <v>674</v>
      </c>
    </row>
    <row r="935" spans="1:23">
      <c r="A935" s="79">
        <f t="shared" si="14"/>
        <v>934</v>
      </c>
      <c r="B935" s="79">
        <f>YEAR(Table6[[#This Row],[Date]])+IF(MONTH(Table6[[#This Row],[Date]])&gt;=4,1,0)</f>
        <v>2026</v>
      </c>
      <c r="C935" s="79">
        <f>YEAR(Table6[[#This Row],[Date]])</f>
        <v>2025</v>
      </c>
      <c r="D935" s="79" t="s">
        <v>344</v>
      </c>
      <c r="E935" s="284">
        <f>Table6[[#This Row],[Date]]-DAY(Table6[[#This Row],[Date]])+1</f>
        <v>45809</v>
      </c>
      <c r="F935" s="285">
        <v>45828</v>
      </c>
      <c r="G935" s="79" t="s">
        <v>103</v>
      </c>
      <c r="H935" s="79" t="str">
        <f>IFERROR(_xlfn.XLOOKUP(Table6[[#This Row],[Affected Feeder ]],'Basic Data'!$A:$A,'Basic Data'!$B:$B),"")</f>
        <v>PWEPL</v>
      </c>
      <c r="I935" s="79" t="str">
        <f>IFERROR(_xlfn.XLOOKUP(Table6[[#This Row],[Affected Feeder ]],'Basic Data'!$A:$A,'Basic Data'!$C:$C),"")</f>
        <v>MSEDCL</v>
      </c>
      <c r="J935" s="295">
        <f>IFERROR(_xlfn.XLOOKUP(Table6[[#This Row],[Affected Feeder ]],'Basic Data'!$A:$A,'Basic Data'!$E:$E),"")</f>
        <v>2.2727272727272728E-2</v>
      </c>
      <c r="K935" s="296" t="s">
        <v>171</v>
      </c>
      <c r="L935" s="297">
        <v>7.4305555555555555E-2</v>
      </c>
      <c r="M935" s="297">
        <v>7.4305555555555555E-2</v>
      </c>
      <c r="N935" s="297">
        <v>8.819444444444445E-2</v>
      </c>
      <c r="O935" s="298">
        <f>(Table6[[#This Row],[Work Start TimeStamp]]-Table6[[#This Row],[Fault Start TimeStamp]])*24</f>
        <v>0</v>
      </c>
      <c r="P935" s="298">
        <f>(Table6[[#This Row],[Fault Clearance time]]-Table6[[#This Row],[Fault Start TimeStamp]])*24</f>
        <v>0.33333333333333348</v>
      </c>
      <c r="Q935" s="298">
        <f>(Table6[[#This Row],[Fault Clearance time]]-Table6[[#This Row],[Fault Start TimeStamp]])*24</f>
        <v>0.33333333333333348</v>
      </c>
      <c r="R935" s="79" t="s">
        <v>353</v>
      </c>
      <c r="S935" s="79" t="s">
        <v>339</v>
      </c>
      <c r="T935" s="298">
        <f>IFERROR(Table6[[#This Row],[Breakdown Time]]*Table6[[#This Row],[Plant Equivalent Weightage]],"")</f>
        <v>7.5757575757575794E-3</v>
      </c>
      <c r="U935" s="79" t="s">
        <v>421</v>
      </c>
      <c r="W935" s="79">
        <v>674</v>
      </c>
    </row>
    <row r="936" spans="1:23">
      <c r="A936" s="79">
        <f t="shared" si="14"/>
        <v>935</v>
      </c>
      <c r="B936" s="79">
        <f>YEAR(Table6[[#This Row],[Date]])+IF(MONTH(Table6[[#This Row],[Date]])&gt;=4,1,0)</f>
        <v>2026</v>
      </c>
      <c r="C936" s="79">
        <f>YEAR(Table6[[#This Row],[Date]])</f>
        <v>2025</v>
      </c>
      <c r="D936" s="79" t="s">
        <v>344</v>
      </c>
      <c r="E936" s="284">
        <f>Table6[[#This Row],[Date]]-DAY(Table6[[#This Row],[Date]])+1</f>
        <v>45809</v>
      </c>
      <c r="F936" s="285">
        <v>45828</v>
      </c>
      <c r="G936" s="79" t="s">
        <v>105</v>
      </c>
      <c r="H936" s="79" t="str">
        <f>IFERROR(_xlfn.XLOOKUP(Table6[[#This Row],[Affected Feeder ]],'Basic Data'!$A:$A,'Basic Data'!$B:$B),"")</f>
        <v>PWEPL</v>
      </c>
      <c r="I936" s="79" t="str">
        <f>IFERROR(_xlfn.XLOOKUP(Table6[[#This Row],[Affected Feeder ]],'Basic Data'!$A:$A,'Basic Data'!$C:$C),"")</f>
        <v>MSEDCL</v>
      </c>
      <c r="J936" s="295">
        <f>IFERROR(_xlfn.XLOOKUP(Table6[[#This Row],[Affected Feeder ]],'Basic Data'!$A:$A,'Basic Data'!$E:$E),"")</f>
        <v>2.2727272727272728E-2</v>
      </c>
      <c r="K936" s="296" t="s">
        <v>171</v>
      </c>
      <c r="L936" s="297">
        <v>7.4305555555555555E-2</v>
      </c>
      <c r="M936" s="297">
        <v>7.4305555555555555E-2</v>
      </c>
      <c r="N936" s="297">
        <v>8.819444444444445E-2</v>
      </c>
      <c r="O936" s="298">
        <f>(Table6[[#This Row],[Work Start TimeStamp]]-Table6[[#This Row],[Fault Start TimeStamp]])*24</f>
        <v>0</v>
      </c>
      <c r="P936" s="298">
        <f>(Table6[[#This Row],[Fault Clearance time]]-Table6[[#This Row],[Fault Start TimeStamp]])*24</f>
        <v>0.33333333333333348</v>
      </c>
      <c r="Q936" s="298">
        <f>(Table6[[#This Row],[Fault Clearance time]]-Table6[[#This Row],[Fault Start TimeStamp]])*24</f>
        <v>0.33333333333333348</v>
      </c>
      <c r="R936" s="79" t="s">
        <v>353</v>
      </c>
      <c r="S936" s="79" t="s">
        <v>339</v>
      </c>
      <c r="T936" s="298">
        <f>IFERROR(Table6[[#This Row],[Breakdown Time]]*Table6[[#This Row],[Plant Equivalent Weightage]],"")</f>
        <v>7.5757575757575794E-3</v>
      </c>
      <c r="U936" s="79" t="s">
        <v>421</v>
      </c>
      <c r="W936" s="79">
        <v>674</v>
      </c>
    </row>
    <row r="937" spans="1:23">
      <c r="A937" s="79">
        <f t="shared" si="14"/>
        <v>936</v>
      </c>
      <c r="B937" s="79">
        <f>YEAR(Table6[[#This Row],[Date]])+IF(MONTH(Table6[[#This Row],[Date]])&gt;=4,1,0)</f>
        <v>2026</v>
      </c>
      <c r="C937" s="79">
        <f>YEAR(Table6[[#This Row],[Date]])</f>
        <v>2025</v>
      </c>
      <c r="D937" s="79" t="s">
        <v>344</v>
      </c>
      <c r="E937" s="284">
        <f>Table6[[#This Row],[Date]]-DAY(Table6[[#This Row],[Date]])+1</f>
        <v>45809</v>
      </c>
      <c r="F937" s="285">
        <v>45828</v>
      </c>
      <c r="G937" s="79" t="s">
        <v>115</v>
      </c>
      <c r="H937" s="79" t="str">
        <f>IFERROR(_xlfn.XLOOKUP(Table6[[#This Row],[Affected Feeder ]],'Basic Data'!$A:$A,'Basic Data'!$B:$B),"")</f>
        <v>PWEPL</v>
      </c>
      <c r="I937" s="79" t="str">
        <f>IFERROR(_xlfn.XLOOKUP(Table6[[#This Row],[Affected Feeder ]],'Basic Data'!$A:$A,'Basic Data'!$C:$C),"")</f>
        <v>MSEDCL</v>
      </c>
      <c r="J937" s="295">
        <f>IFERROR(_xlfn.XLOOKUP(Table6[[#This Row],[Affected Feeder ]],'Basic Data'!$A:$A,'Basic Data'!$E:$E),"")</f>
        <v>2.2727272727272728E-2</v>
      </c>
      <c r="K937" s="296" t="s">
        <v>171</v>
      </c>
      <c r="L937" s="297">
        <v>7.4305555555555555E-2</v>
      </c>
      <c r="M937" s="297">
        <v>7.4305555555555555E-2</v>
      </c>
      <c r="N937" s="297">
        <v>8.819444444444445E-2</v>
      </c>
      <c r="O937" s="298">
        <f>(Table6[[#This Row],[Work Start TimeStamp]]-Table6[[#This Row],[Fault Start TimeStamp]])*24</f>
        <v>0</v>
      </c>
      <c r="P937" s="298">
        <f>(Table6[[#This Row],[Fault Clearance time]]-Table6[[#This Row],[Fault Start TimeStamp]])*24</f>
        <v>0.33333333333333348</v>
      </c>
      <c r="Q937" s="298">
        <f>(Table6[[#This Row],[Fault Clearance time]]-Table6[[#This Row],[Fault Start TimeStamp]])*24</f>
        <v>0.33333333333333348</v>
      </c>
      <c r="R937" s="79" t="s">
        <v>353</v>
      </c>
      <c r="S937" s="79" t="s">
        <v>339</v>
      </c>
      <c r="T937" s="298">
        <f>IFERROR(Table6[[#This Row],[Breakdown Time]]*Table6[[#This Row],[Plant Equivalent Weightage]],"")</f>
        <v>7.5757575757575794E-3</v>
      </c>
      <c r="U937" s="79" t="s">
        <v>421</v>
      </c>
      <c r="W937" s="79">
        <v>674</v>
      </c>
    </row>
    <row r="938" spans="1:23">
      <c r="A938" s="79">
        <f t="shared" si="14"/>
        <v>937</v>
      </c>
      <c r="B938" s="79">
        <f>YEAR(Table6[[#This Row],[Date]])+IF(MONTH(Table6[[#This Row],[Date]])&gt;=4,1,0)</f>
        <v>2026</v>
      </c>
      <c r="C938" s="79">
        <f>YEAR(Table6[[#This Row],[Date]])</f>
        <v>2025</v>
      </c>
      <c r="D938" s="79" t="s">
        <v>344</v>
      </c>
      <c r="E938" s="284">
        <f>Table6[[#This Row],[Date]]-DAY(Table6[[#This Row],[Date]])+1</f>
        <v>45809</v>
      </c>
      <c r="F938" s="285">
        <v>45828</v>
      </c>
      <c r="G938" s="79" t="s">
        <v>116</v>
      </c>
      <c r="H938" s="79" t="str">
        <f>IFERROR(_xlfn.XLOOKUP(Table6[[#This Row],[Affected Feeder ]],'Basic Data'!$A:$A,'Basic Data'!$B:$B),"")</f>
        <v>PWEPL</v>
      </c>
      <c r="I938" s="79" t="str">
        <f>IFERROR(_xlfn.XLOOKUP(Table6[[#This Row],[Affected Feeder ]],'Basic Data'!$A:$A,'Basic Data'!$C:$C),"")</f>
        <v>MSEDCL</v>
      </c>
      <c r="J938" s="295">
        <f>IFERROR(_xlfn.XLOOKUP(Table6[[#This Row],[Affected Feeder ]],'Basic Data'!$A:$A,'Basic Data'!$E:$E),"")</f>
        <v>2.2727272727272728E-2</v>
      </c>
      <c r="K938" s="296" t="s">
        <v>171</v>
      </c>
      <c r="L938" s="297">
        <v>7.4305555555555555E-2</v>
      </c>
      <c r="M938" s="297">
        <v>7.4305555555555555E-2</v>
      </c>
      <c r="N938" s="297">
        <v>8.819444444444445E-2</v>
      </c>
      <c r="O938" s="298">
        <f>(Table6[[#This Row],[Work Start TimeStamp]]-Table6[[#This Row],[Fault Start TimeStamp]])*24</f>
        <v>0</v>
      </c>
      <c r="P938" s="298">
        <f>(Table6[[#This Row],[Fault Clearance time]]-Table6[[#This Row],[Fault Start TimeStamp]])*24</f>
        <v>0.33333333333333348</v>
      </c>
      <c r="Q938" s="298">
        <f>(Table6[[#This Row],[Fault Clearance time]]-Table6[[#This Row],[Fault Start TimeStamp]])*24</f>
        <v>0.33333333333333348</v>
      </c>
      <c r="R938" s="79" t="s">
        <v>353</v>
      </c>
      <c r="S938" s="79" t="s">
        <v>339</v>
      </c>
      <c r="T938" s="298">
        <f>IFERROR(Table6[[#This Row],[Breakdown Time]]*Table6[[#This Row],[Plant Equivalent Weightage]],"")</f>
        <v>7.5757575757575794E-3</v>
      </c>
      <c r="U938" s="79" t="s">
        <v>421</v>
      </c>
      <c r="W938" s="79">
        <v>674</v>
      </c>
    </row>
    <row r="939" spans="1:23">
      <c r="A939" s="79">
        <f t="shared" si="14"/>
        <v>938</v>
      </c>
      <c r="B939" s="79">
        <f>YEAR(Table6[[#This Row],[Date]])+IF(MONTH(Table6[[#This Row],[Date]])&gt;=4,1,0)</f>
        <v>2026</v>
      </c>
      <c r="C939" s="79">
        <f>YEAR(Table6[[#This Row],[Date]])</f>
        <v>2025</v>
      </c>
      <c r="D939" s="79" t="s">
        <v>344</v>
      </c>
      <c r="E939" s="284">
        <f>Table6[[#This Row],[Date]]-DAY(Table6[[#This Row],[Date]])+1</f>
        <v>45809</v>
      </c>
      <c r="F939" s="285">
        <v>45828</v>
      </c>
      <c r="G939" s="79" t="s">
        <v>117</v>
      </c>
      <c r="H939" s="79" t="str">
        <f>IFERROR(_xlfn.XLOOKUP(Table6[[#This Row],[Affected Feeder ]],'Basic Data'!$A:$A,'Basic Data'!$B:$B),"")</f>
        <v>PWEPL</v>
      </c>
      <c r="I939" s="79" t="str">
        <f>IFERROR(_xlfn.XLOOKUP(Table6[[#This Row],[Affected Feeder ]],'Basic Data'!$A:$A,'Basic Data'!$C:$C),"")</f>
        <v>MSEDCL</v>
      </c>
      <c r="J939" s="295">
        <f>IFERROR(_xlfn.XLOOKUP(Table6[[#This Row],[Affected Feeder ]],'Basic Data'!$A:$A,'Basic Data'!$E:$E),"")</f>
        <v>2.2727272727272728E-2</v>
      </c>
      <c r="K939" s="296" t="s">
        <v>171</v>
      </c>
      <c r="L939" s="297">
        <v>7.4305555555555555E-2</v>
      </c>
      <c r="M939" s="297">
        <v>7.4305555555555555E-2</v>
      </c>
      <c r="N939" s="297">
        <v>8.819444444444445E-2</v>
      </c>
      <c r="O939" s="298">
        <f>(Table6[[#This Row],[Work Start TimeStamp]]-Table6[[#This Row],[Fault Start TimeStamp]])*24</f>
        <v>0</v>
      </c>
      <c r="P939" s="298">
        <f>(Table6[[#This Row],[Fault Clearance time]]-Table6[[#This Row],[Fault Start TimeStamp]])*24</f>
        <v>0.33333333333333348</v>
      </c>
      <c r="Q939" s="298">
        <f>(Table6[[#This Row],[Fault Clearance time]]-Table6[[#This Row],[Fault Start TimeStamp]])*24</f>
        <v>0.33333333333333348</v>
      </c>
      <c r="R939" s="79" t="s">
        <v>353</v>
      </c>
      <c r="S939" s="79" t="s">
        <v>339</v>
      </c>
      <c r="T939" s="298">
        <f>IFERROR(Table6[[#This Row],[Breakdown Time]]*Table6[[#This Row],[Plant Equivalent Weightage]],"")</f>
        <v>7.5757575757575794E-3</v>
      </c>
      <c r="U939" s="79" t="s">
        <v>421</v>
      </c>
      <c r="W939" s="79">
        <v>674</v>
      </c>
    </row>
    <row r="940" spans="1:23">
      <c r="A940" s="79">
        <f t="shared" si="14"/>
        <v>939</v>
      </c>
      <c r="B940" s="79">
        <f>YEAR(Table6[[#This Row],[Date]])+IF(MONTH(Table6[[#This Row],[Date]])&gt;=4,1,0)</f>
        <v>2026</v>
      </c>
      <c r="C940" s="79">
        <f>YEAR(Table6[[#This Row],[Date]])</f>
        <v>2025</v>
      </c>
      <c r="D940" s="79" t="s">
        <v>344</v>
      </c>
      <c r="E940" s="284">
        <f>Table6[[#This Row],[Date]]-DAY(Table6[[#This Row],[Date]])+1</f>
        <v>45809</v>
      </c>
      <c r="F940" s="285">
        <v>45828</v>
      </c>
      <c r="G940" s="79" t="s">
        <v>118</v>
      </c>
      <c r="H940" s="79" t="str">
        <f>IFERROR(_xlfn.XLOOKUP(Table6[[#This Row],[Affected Feeder ]],'Basic Data'!$A:$A,'Basic Data'!$B:$B),"")</f>
        <v>PWEPL</v>
      </c>
      <c r="I940" s="79" t="str">
        <f>IFERROR(_xlfn.XLOOKUP(Table6[[#This Row],[Affected Feeder ]],'Basic Data'!$A:$A,'Basic Data'!$C:$C),"")</f>
        <v>MSEDCL</v>
      </c>
      <c r="J940" s="295">
        <f>IFERROR(_xlfn.XLOOKUP(Table6[[#This Row],[Affected Feeder ]],'Basic Data'!$A:$A,'Basic Data'!$E:$E),"")</f>
        <v>2.2727272727272728E-2</v>
      </c>
      <c r="K940" s="296" t="s">
        <v>171</v>
      </c>
      <c r="L940" s="297">
        <v>7.4305555555555555E-2</v>
      </c>
      <c r="M940" s="297">
        <v>7.4305555555555555E-2</v>
      </c>
      <c r="N940" s="297">
        <v>8.819444444444445E-2</v>
      </c>
      <c r="O940" s="298">
        <f>(Table6[[#This Row],[Work Start TimeStamp]]-Table6[[#This Row],[Fault Start TimeStamp]])*24</f>
        <v>0</v>
      </c>
      <c r="P940" s="298">
        <f>(Table6[[#This Row],[Fault Clearance time]]-Table6[[#This Row],[Fault Start TimeStamp]])*24</f>
        <v>0.33333333333333348</v>
      </c>
      <c r="Q940" s="298">
        <f>(Table6[[#This Row],[Fault Clearance time]]-Table6[[#This Row],[Fault Start TimeStamp]])*24</f>
        <v>0.33333333333333348</v>
      </c>
      <c r="R940" s="79" t="s">
        <v>353</v>
      </c>
      <c r="S940" s="79" t="s">
        <v>339</v>
      </c>
      <c r="T940" s="298">
        <f>IFERROR(Table6[[#This Row],[Breakdown Time]]*Table6[[#This Row],[Plant Equivalent Weightage]],"")</f>
        <v>7.5757575757575794E-3</v>
      </c>
      <c r="U940" s="79" t="s">
        <v>421</v>
      </c>
      <c r="W940" s="79">
        <v>674</v>
      </c>
    </row>
    <row r="941" spans="1:23">
      <c r="A941" s="79">
        <f t="shared" si="14"/>
        <v>940</v>
      </c>
      <c r="B941" s="79">
        <f>YEAR(Table6[[#This Row],[Date]])+IF(MONTH(Table6[[#This Row],[Date]])&gt;=4,1,0)</f>
        <v>2026</v>
      </c>
      <c r="C941" s="79">
        <f>YEAR(Table6[[#This Row],[Date]])</f>
        <v>2025</v>
      </c>
      <c r="D941" s="79" t="s">
        <v>344</v>
      </c>
      <c r="E941" s="284">
        <f>Table6[[#This Row],[Date]]-DAY(Table6[[#This Row],[Date]])+1</f>
        <v>45809</v>
      </c>
      <c r="F941" s="285">
        <v>45828</v>
      </c>
      <c r="G941" s="79" t="s">
        <v>406</v>
      </c>
      <c r="H941" s="79" t="str">
        <f>IFERROR(_xlfn.XLOOKUP(Table6[[#This Row],[Affected Feeder ]],'Basic Data'!$A:$A,'Basic Data'!$B:$B),"")</f>
        <v>PWEPL</v>
      </c>
      <c r="I941" s="79" t="str">
        <f>IFERROR(_xlfn.XLOOKUP(Table6[[#This Row],[Affected Feeder ]],'Basic Data'!$A:$A,'Basic Data'!$C:$C),"")</f>
        <v>MSEDCL</v>
      </c>
      <c r="J941" s="295">
        <f>IFERROR(_xlfn.XLOOKUP(Table6[[#This Row],[Affected Feeder ]],'Basic Data'!$A:$A,'Basic Data'!$E:$E),"")</f>
        <v>0.29545454545454541</v>
      </c>
      <c r="K941" s="296" t="s">
        <v>447</v>
      </c>
      <c r="L941" s="297">
        <v>0.10347222222222223</v>
      </c>
      <c r="M941" s="297">
        <v>0.10347222222222223</v>
      </c>
      <c r="N941" s="297">
        <v>0.12222222222222223</v>
      </c>
      <c r="O941" s="298">
        <f>(Table6[[#This Row],[Work Start TimeStamp]]-Table6[[#This Row],[Fault Start TimeStamp]])*24</f>
        <v>0</v>
      </c>
      <c r="P941" s="298">
        <f>(Table6[[#This Row],[Fault Clearance time]]-Table6[[#This Row],[Fault Start TimeStamp]])*24</f>
        <v>0.45000000000000007</v>
      </c>
      <c r="Q941" s="298">
        <f>(Table6[[#This Row],[Fault Clearance time]]-Table6[[#This Row],[Fault Start TimeStamp]])*24</f>
        <v>0.45000000000000007</v>
      </c>
      <c r="R941" s="79" t="s">
        <v>420</v>
      </c>
      <c r="S941" s="79" t="s">
        <v>339</v>
      </c>
      <c r="T941" s="298">
        <f>IFERROR(Table6[[#This Row],[Breakdown Time]]*Table6[[#This Row],[Plant Equivalent Weightage]],"")</f>
        <v>0.13295454545454546</v>
      </c>
      <c r="U941" s="79" t="s">
        <v>421</v>
      </c>
      <c r="W941" s="79">
        <v>9577</v>
      </c>
    </row>
    <row r="942" spans="1:23">
      <c r="A942" s="79">
        <f t="shared" si="14"/>
        <v>941</v>
      </c>
      <c r="B942" s="79">
        <f>YEAR(Table6[[#This Row],[Date]])+IF(MONTH(Table6[[#This Row],[Date]])&gt;=4,1,0)</f>
        <v>2026</v>
      </c>
      <c r="C942" s="79">
        <f>YEAR(Table6[[#This Row],[Date]])</f>
        <v>2025</v>
      </c>
      <c r="D942" s="79" t="s">
        <v>344</v>
      </c>
      <c r="E942" s="284">
        <f>Table6[[#This Row],[Date]]-DAY(Table6[[#This Row],[Date]])+1</f>
        <v>45809</v>
      </c>
      <c r="F942" s="285">
        <v>45828</v>
      </c>
      <c r="G942" s="79" t="s">
        <v>76</v>
      </c>
      <c r="H942" s="79" t="str">
        <f>IFERROR(_xlfn.XLOOKUP(Table6[[#This Row],[Affected Feeder ]],'Basic Data'!$A:$A,'Basic Data'!$B:$B),"")</f>
        <v>PWEPL</v>
      </c>
      <c r="I942" s="79" t="str">
        <f>IFERROR(_xlfn.XLOOKUP(Table6[[#This Row],[Affected Feeder ]],'Basic Data'!$A:$A,'Basic Data'!$C:$C),"")</f>
        <v>MSEDCL</v>
      </c>
      <c r="J942" s="295">
        <f>IFERROR(_xlfn.XLOOKUP(Table6[[#This Row],[Affected Feeder ]],'Basic Data'!$A:$A,'Basic Data'!$E:$E),"")</f>
        <v>2.2727272727272728E-2</v>
      </c>
      <c r="K942" s="296" t="s">
        <v>171</v>
      </c>
      <c r="L942" s="297">
        <v>0.12222222222222223</v>
      </c>
      <c r="M942" s="297">
        <v>0.12222222222222223</v>
      </c>
      <c r="N942" s="297">
        <v>0.1361111111111111</v>
      </c>
      <c r="O942" s="298">
        <f>(Table6[[#This Row],[Work Start TimeStamp]]-Table6[[#This Row],[Fault Start TimeStamp]])*24</f>
        <v>0</v>
      </c>
      <c r="P942" s="298">
        <f>(Table6[[#This Row],[Fault Clearance time]]-Table6[[#This Row],[Fault Start TimeStamp]])*24</f>
        <v>0.33333333333333282</v>
      </c>
      <c r="Q942" s="298">
        <f>(Table6[[#This Row],[Fault Clearance time]]-Table6[[#This Row],[Fault Start TimeStamp]])*24</f>
        <v>0.33333333333333282</v>
      </c>
      <c r="R942" s="79" t="s">
        <v>353</v>
      </c>
      <c r="S942" s="79" t="s">
        <v>339</v>
      </c>
      <c r="T942" s="298">
        <f>IFERROR(Table6[[#This Row],[Breakdown Time]]*Table6[[#This Row],[Plant Equivalent Weightage]],"")</f>
        <v>7.5757575757575638E-3</v>
      </c>
      <c r="U942" s="79" t="s">
        <v>421</v>
      </c>
      <c r="W942" s="79">
        <v>591</v>
      </c>
    </row>
    <row r="943" spans="1:23">
      <c r="A943" s="79">
        <f t="shared" si="14"/>
        <v>942</v>
      </c>
      <c r="B943" s="79">
        <f>YEAR(Table6[[#This Row],[Date]])+IF(MONTH(Table6[[#This Row],[Date]])&gt;=4,1,0)</f>
        <v>2026</v>
      </c>
      <c r="C943" s="79">
        <f>YEAR(Table6[[#This Row],[Date]])</f>
        <v>2025</v>
      </c>
      <c r="D943" s="79" t="s">
        <v>344</v>
      </c>
      <c r="E943" s="284">
        <f>Table6[[#This Row],[Date]]-DAY(Table6[[#This Row],[Date]])+1</f>
        <v>45809</v>
      </c>
      <c r="F943" s="285">
        <v>45828</v>
      </c>
      <c r="G943" s="79" t="s">
        <v>77</v>
      </c>
      <c r="H943" s="79" t="str">
        <f>IFERROR(_xlfn.XLOOKUP(Table6[[#This Row],[Affected Feeder ]],'Basic Data'!$A:$A,'Basic Data'!$B:$B),"")</f>
        <v>PWEPL</v>
      </c>
      <c r="I943" s="79" t="str">
        <f>IFERROR(_xlfn.XLOOKUP(Table6[[#This Row],[Affected Feeder ]],'Basic Data'!$A:$A,'Basic Data'!$C:$C),"")</f>
        <v>MSEDCL</v>
      </c>
      <c r="J943" s="295">
        <f>IFERROR(_xlfn.XLOOKUP(Table6[[#This Row],[Affected Feeder ]],'Basic Data'!$A:$A,'Basic Data'!$E:$E),"")</f>
        <v>2.2727272727272728E-2</v>
      </c>
      <c r="K943" s="296" t="s">
        <v>171</v>
      </c>
      <c r="L943" s="297">
        <v>0.12222222222222223</v>
      </c>
      <c r="M943" s="297">
        <v>0.12222222222222223</v>
      </c>
      <c r="N943" s="297">
        <v>0.1361111111111111</v>
      </c>
      <c r="O943" s="298">
        <f>(Table6[[#This Row],[Work Start TimeStamp]]-Table6[[#This Row],[Fault Start TimeStamp]])*24</f>
        <v>0</v>
      </c>
      <c r="P943" s="298">
        <f>(Table6[[#This Row],[Fault Clearance time]]-Table6[[#This Row],[Fault Start TimeStamp]])*24</f>
        <v>0.33333333333333282</v>
      </c>
      <c r="Q943" s="298">
        <f>(Table6[[#This Row],[Fault Clearance time]]-Table6[[#This Row],[Fault Start TimeStamp]])*24</f>
        <v>0.33333333333333282</v>
      </c>
      <c r="R943" s="79" t="s">
        <v>353</v>
      </c>
      <c r="S943" s="79" t="s">
        <v>339</v>
      </c>
      <c r="T943" s="298">
        <f>IFERROR(Table6[[#This Row],[Breakdown Time]]*Table6[[#This Row],[Plant Equivalent Weightage]],"")</f>
        <v>7.5757575757575638E-3</v>
      </c>
      <c r="U943" s="79" t="s">
        <v>421</v>
      </c>
      <c r="W943" s="79">
        <v>591</v>
      </c>
    </row>
    <row r="944" spans="1:23">
      <c r="A944" s="79">
        <f t="shared" si="14"/>
        <v>943</v>
      </c>
      <c r="B944" s="79">
        <f>YEAR(Table6[[#This Row],[Date]])+IF(MONTH(Table6[[#This Row],[Date]])&gt;=4,1,0)</f>
        <v>2026</v>
      </c>
      <c r="C944" s="79">
        <f>YEAR(Table6[[#This Row],[Date]])</f>
        <v>2025</v>
      </c>
      <c r="D944" s="79" t="s">
        <v>344</v>
      </c>
      <c r="E944" s="284">
        <f>Table6[[#This Row],[Date]]-DAY(Table6[[#This Row],[Date]])+1</f>
        <v>45809</v>
      </c>
      <c r="F944" s="285">
        <v>45828</v>
      </c>
      <c r="G944" s="79" t="s">
        <v>78</v>
      </c>
      <c r="H944" s="79" t="str">
        <f>IFERROR(_xlfn.XLOOKUP(Table6[[#This Row],[Affected Feeder ]],'Basic Data'!$A:$A,'Basic Data'!$B:$B),"")</f>
        <v>PWEPL</v>
      </c>
      <c r="I944" s="79" t="str">
        <f>IFERROR(_xlfn.XLOOKUP(Table6[[#This Row],[Affected Feeder ]],'Basic Data'!$A:$A,'Basic Data'!$C:$C),"")</f>
        <v>MSEDCL</v>
      </c>
      <c r="J944" s="295">
        <f>IFERROR(_xlfn.XLOOKUP(Table6[[#This Row],[Affected Feeder ]],'Basic Data'!$A:$A,'Basic Data'!$E:$E),"")</f>
        <v>2.2727272727272728E-2</v>
      </c>
      <c r="K944" s="296" t="s">
        <v>171</v>
      </c>
      <c r="L944" s="297">
        <v>0.12222222222222223</v>
      </c>
      <c r="M944" s="297">
        <v>0.12222222222222223</v>
      </c>
      <c r="N944" s="297">
        <v>0.1361111111111111</v>
      </c>
      <c r="O944" s="298">
        <f>(Table6[[#This Row],[Work Start TimeStamp]]-Table6[[#This Row],[Fault Start TimeStamp]])*24</f>
        <v>0</v>
      </c>
      <c r="P944" s="298">
        <f>(Table6[[#This Row],[Fault Clearance time]]-Table6[[#This Row],[Fault Start TimeStamp]])*24</f>
        <v>0.33333333333333282</v>
      </c>
      <c r="Q944" s="298">
        <f>(Table6[[#This Row],[Fault Clearance time]]-Table6[[#This Row],[Fault Start TimeStamp]])*24</f>
        <v>0.33333333333333282</v>
      </c>
      <c r="R944" s="79" t="s">
        <v>353</v>
      </c>
      <c r="S944" s="79" t="s">
        <v>339</v>
      </c>
      <c r="T944" s="298">
        <f>IFERROR(Table6[[#This Row],[Breakdown Time]]*Table6[[#This Row],[Plant Equivalent Weightage]],"")</f>
        <v>7.5757575757575638E-3</v>
      </c>
      <c r="U944" s="79" t="s">
        <v>421</v>
      </c>
      <c r="W944" s="79">
        <v>591</v>
      </c>
    </row>
    <row r="945" spans="1:23">
      <c r="A945" s="79">
        <f t="shared" si="14"/>
        <v>944</v>
      </c>
      <c r="B945" s="79">
        <f>YEAR(Table6[[#This Row],[Date]])+IF(MONTH(Table6[[#This Row],[Date]])&gt;=4,1,0)</f>
        <v>2026</v>
      </c>
      <c r="C945" s="79">
        <f>YEAR(Table6[[#This Row],[Date]])</f>
        <v>2025</v>
      </c>
      <c r="D945" s="79" t="s">
        <v>344</v>
      </c>
      <c r="E945" s="284">
        <f>Table6[[#This Row],[Date]]-DAY(Table6[[#This Row],[Date]])+1</f>
        <v>45809</v>
      </c>
      <c r="F945" s="285">
        <v>45828</v>
      </c>
      <c r="G945" s="79" t="s">
        <v>82</v>
      </c>
      <c r="H945" s="79" t="str">
        <f>IFERROR(_xlfn.XLOOKUP(Table6[[#This Row],[Affected Feeder ]],'Basic Data'!$A:$A,'Basic Data'!$B:$B),"")</f>
        <v>PWEPL</v>
      </c>
      <c r="I945" s="79" t="str">
        <f>IFERROR(_xlfn.XLOOKUP(Table6[[#This Row],[Affected Feeder ]],'Basic Data'!$A:$A,'Basic Data'!$C:$C),"")</f>
        <v>MSEDCL</v>
      </c>
      <c r="J945" s="295">
        <f>IFERROR(_xlfn.XLOOKUP(Table6[[#This Row],[Affected Feeder ]],'Basic Data'!$A:$A,'Basic Data'!$E:$E),"")</f>
        <v>2.2727272727272728E-2</v>
      </c>
      <c r="K945" s="296" t="s">
        <v>171</v>
      </c>
      <c r="L945" s="297">
        <v>0.12222222222222223</v>
      </c>
      <c r="M945" s="297">
        <v>0.12222222222222223</v>
      </c>
      <c r="N945" s="297">
        <v>0.1361111111111111</v>
      </c>
      <c r="O945" s="298">
        <f>(Table6[[#This Row],[Work Start TimeStamp]]-Table6[[#This Row],[Fault Start TimeStamp]])*24</f>
        <v>0</v>
      </c>
      <c r="P945" s="298">
        <f>(Table6[[#This Row],[Fault Clearance time]]-Table6[[#This Row],[Fault Start TimeStamp]])*24</f>
        <v>0.33333333333333282</v>
      </c>
      <c r="Q945" s="298">
        <f>(Table6[[#This Row],[Fault Clearance time]]-Table6[[#This Row],[Fault Start TimeStamp]])*24</f>
        <v>0.33333333333333282</v>
      </c>
      <c r="R945" s="79" t="s">
        <v>353</v>
      </c>
      <c r="S945" s="79" t="s">
        <v>339</v>
      </c>
      <c r="T945" s="298">
        <f>IFERROR(Table6[[#This Row],[Breakdown Time]]*Table6[[#This Row],[Plant Equivalent Weightage]],"")</f>
        <v>7.5757575757575638E-3</v>
      </c>
      <c r="U945" s="79" t="s">
        <v>421</v>
      </c>
      <c r="W945" s="79">
        <v>591</v>
      </c>
    </row>
    <row r="946" spans="1:23">
      <c r="A946" s="79">
        <f t="shared" si="14"/>
        <v>945</v>
      </c>
      <c r="B946" s="79">
        <f>YEAR(Table6[[#This Row],[Date]])+IF(MONTH(Table6[[#This Row],[Date]])&gt;=4,1,0)</f>
        <v>2026</v>
      </c>
      <c r="C946" s="79">
        <f>YEAR(Table6[[#This Row],[Date]])</f>
        <v>2025</v>
      </c>
      <c r="D946" s="79" t="s">
        <v>344</v>
      </c>
      <c r="E946" s="284">
        <f>Table6[[#This Row],[Date]]-DAY(Table6[[#This Row],[Date]])+1</f>
        <v>45809</v>
      </c>
      <c r="F946" s="285">
        <v>45828</v>
      </c>
      <c r="G946" s="79" t="s">
        <v>93</v>
      </c>
      <c r="H946" s="79" t="str">
        <f>IFERROR(_xlfn.XLOOKUP(Table6[[#This Row],[Affected Feeder ]],'Basic Data'!$A:$A,'Basic Data'!$B:$B),"")</f>
        <v>PWEPL</v>
      </c>
      <c r="I946" s="79" t="str">
        <f>IFERROR(_xlfn.XLOOKUP(Table6[[#This Row],[Affected Feeder ]],'Basic Data'!$A:$A,'Basic Data'!$C:$C),"")</f>
        <v>MSEDCL</v>
      </c>
      <c r="J946" s="295">
        <f>IFERROR(_xlfn.XLOOKUP(Table6[[#This Row],[Affected Feeder ]],'Basic Data'!$A:$A,'Basic Data'!$E:$E),"")</f>
        <v>2.2727272727272728E-2</v>
      </c>
      <c r="K946" s="296" t="s">
        <v>171</v>
      </c>
      <c r="L946" s="297">
        <v>0.12222222222222223</v>
      </c>
      <c r="M946" s="297">
        <v>0.12222222222222223</v>
      </c>
      <c r="N946" s="297">
        <v>0.1361111111111111</v>
      </c>
      <c r="O946" s="298">
        <f>(Table6[[#This Row],[Work Start TimeStamp]]-Table6[[#This Row],[Fault Start TimeStamp]])*24</f>
        <v>0</v>
      </c>
      <c r="P946" s="298">
        <f>(Table6[[#This Row],[Fault Clearance time]]-Table6[[#This Row],[Fault Start TimeStamp]])*24</f>
        <v>0.33333333333333282</v>
      </c>
      <c r="Q946" s="298">
        <f>(Table6[[#This Row],[Fault Clearance time]]-Table6[[#This Row],[Fault Start TimeStamp]])*24</f>
        <v>0.33333333333333282</v>
      </c>
      <c r="R946" s="79" t="s">
        <v>353</v>
      </c>
      <c r="S946" s="79" t="s">
        <v>339</v>
      </c>
      <c r="T946" s="298">
        <f>IFERROR(Table6[[#This Row],[Breakdown Time]]*Table6[[#This Row],[Plant Equivalent Weightage]],"")</f>
        <v>7.5757575757575638E-3</v>
      </c>
      <c r="U946" s="79" t="s">
        <v>421</v>
      </c>
      <c r="W946" s="79">
        <v>591</v>
      </c>
    </row>
    <row r="947" spans="1:23">
      <c r="A947" s="79">
        <f t="shared" si="14"/>
        <v>946</v>
      </c>
      <c r="B947" s="79">
        <f>YEAR(Table6[[#This Row],[Date]])+IF(MONTH(Table6[[#This Row],[Date]])&gt;=4,1,0)</f>
        <v>2026</v>
      </c>
      <c r="C947" s="79">
        <f>YEAR(Table6[[#This Row],[Date]])</f>
        <v>2025</v>
      </c>
      <c r="D947" s="79" t="s">
        <v>344</v>
      </c>
      <c r="E947" s="284">
        <f>Table6[[#This Row],[Date]]-DAY(Table6[[#This Row],[Date]])+1</f>
        <v>45809</v>
      </c>
      <c r="F947" s="285">
        <v>45828</v>
      </c>
      <c r="G947" s="79" t="s">
        <v>102</v>
      </c>
      <c r="H947" s="79" t="str">
        <f>IFERROR(_xlfn.XLOOKUP(Table6[[#This Row],[Affected Feeder ]],'Basic Data'!$A:$A,'Basic Data'!$B:$B),"")</f>
        <v>PWEPL</v>
      </c>
      <c r="I947" s="79" t="str">
        <f>IFERROR(_xlfn.XLOOKUP(Table6[[#This Row],[Affected Feeder ]],'Basic Data'!$A:$A,'Basic Data'!$C:$C),"")</f>
        <v>MSEDCL</v>
      </c>
      <c r="J947" s="295">
        <f>IFERROR(_xlfn.XLOOKUP(Table6[[#This Row],[Affected Feeder ]],'Basic Data'!$A:$A,'Basic Data'!$E:$E),"")</f>
        <v>2.2727272727272728E-2</v>
      </c>
      <c r="K947" s="296" t="s">
        <v>171</v>
      </c>
      <c r="L947" s="297">
        <v>0.12222222222222223</v>
      </c>
      <c r="M947" s="297">
        <v>0.12222222222222223</v>
      </c>
      <c r="N947" s="297">
        <v>0.1361111111111111</v>
      </c>
      <c r="O947" s="298">
        <f>(Table6[[#This Row],[Work Start TimeStamp]]-Table6[[#This Row],[Fault Start TimeStamp]])*24</f>
        <v>0</v>
      </c>
      <c r="P947" s="298">
        <f>(Table6[[#This Row],[Fault Clearance time]]-Table6[[#This Row],[Fault Start TimeStamp]])*24</f>
        <v>0.33333333333333282</v>
      </c>
      <c r="Q947" s="298">
        <f>(Table6[[#This Row],[Fault Clearance time]]-Table6[[#This Row],[Fault Start TimeStamp]])*24</f>
        <v>0.33333333333333282</v>
      </c>
      <c r="R947" s="79" t="s">
        <v>353</v>
      </c>
      <c r="S947" s="79" t="s">
        <v>339</v>
      </c>
      <c r="T947" s="298">
        <f>IFERROR(Table6[[#This Row],[Breakdown Time]]*Table6[[#This Row],[Plant Equivalent Weightage]],"")</f>
        <v>7.5757575757575638E-3</v>
      </c>
      <c r="U947" s="79" t="s">
        <v>421</v>
      </c>
      <c r="W947" s="79">
        <v>591</v>
      </c>
    </row>
    <row r="948" spans="1:23">
      <c r="A948" s="79">
        <f t="shared" si="14"/>
        <v>947</v>
      </c>
      <c r="B948" s="79">
        <f>YEAR(Table6[[#This Row],[Date]])+IF(MONTH(Table6[[#This Row],[Date]])&gt;=4,1,0)</f>
        <v>2026</v>
      </c>
      <c r="C948" s="79">
        <f>YEAR(Table6[[#This Row],[Date]])</f>
        <v>2025</v>
      </c>
      <c r="D948" s="79" t="s">
        <v>344</v>
      </c>
      <c r="E948" s="284">
        <f>Table6[[#This Row],[Date]]-DAY(Table6[[#This Row],[Date]])+1</f>
        <v>45809</v>
      </c>
      <c r="F948" s="285">
        <v>45828</v>
      </c>
      <c r="G948" s="79" t="s">
        <v>119</v>
      </c>
      <c r="H948" s="79" t="str">
        <f>IFERROR(_xlfn.XLOOKUP(Table6[[#This Row],[Affected Feeder ]],'Basic Data'!$A:$A,'Basic Data'!$B:$B),"")</f>
        <v>PWEPL</v>
      </c>
      <c r="I948" s="79" t="str">
        <f>IFERROR(_xlfn.XLOOKUP(Table6[[#This Row],[Affected Feeder ]],'Basic Data'!$A:$A,'Basic Data'!$C:$C),"")</f>
        <v>MSEDCL</v>
      </c>
      <c r="J948" s="295">
        <f>IFERROR(_xlfn.XLOOKUP(Table6[[#This Row],[Affected Feeder ]],'Basic Data'!$A:$A,'Basic Data'!$E:$E),"")</f>
        <v>2.2727272727272728E-2</v>
      </c>
      <c r="K948" s="296" t="s">
        <v>171</v>
      </c>
      <c r="L948" s="297">
        <v>0.12222222222222223</v>
      </c>
      <c r="M948" s="297">
        <v>0.12222222222222223</v>
      </c>
      <c r="N948" s="297">
        <v>0.1361111111111111</v>
      </c>
      <c r="O948" s="298">
        <f>(Table6[[#This Row],[Work Start TimeStamp]]-Table6[[#This Row],[Fault Start TimeStamp]])*24</f>
        <v>0</v>
      </c>
      <c r="P948" s="298">
        <f>(Table6[[#This Row],[Fault Clearance time]]-Table6[[#This Row],[Fault Start TimeStamp]])*24</f>
        <v>0.33333333333333282</v>
      </c>
      <c r="Q948" s="298">
        <f>(Table6[[#This Row],[Fault Clearance time]]-Table6[[#This Row],[Fault Start TimeStamp]])*24</f>
        <v>0.33333333333333282</v>
      </c>
      <c r="R948" s="79" t="s">
        <v>353</v>
      </c>
      <c r="S948" s="79" t="s">
        <v>339</v>
      </c>
      <c r="T948" s="298">
        <f>IFERROR(Table6[[#This Row],[Breakdown Time]]*Table6[[#This Row],[Plant Equivalent Weightage]],"")</f>
        <v>7.5757575757575638E-3</v>
      </c>
      <c r="U948" s="79" t="s">
        <v>421</v>
      </c>
      <c r="W948" s="79">
        <v>591</v>
      </c>
    </row>
    <row r="949" spans="1:23">
      <c r="A949" s="79">
        <f t="shared" si="14"/>
        <v>948</v>
      </c>
      <c r="B949" s="79">
        <f>YEAR(Table6[[#This Row],[Date]])+IF(MONTH(Table6[[#This Row],[Date]])&gt;=4,1,0)</f>
        <v>2026</v>
      </c>
      <c r="C949" s="79">
        <f>YEAR(Table6[[#This Row],[Date]])</f>
        <v>2025</v>
      </c>
      <c r="D949" s="79" t="s">
        <v>344</v>
      </c>
      <c r="E949" s="284">
        <f>Table6[[#This Row],[Date]]-DAY(Table6[[#This Row],[Date]])+1</f>
        <v>45809</v>
      </c>
      <c r="F949" s="285">
        <v>45828</v>
      </c>
      <c r="G949" s="79" t="s">
        <v>105</v>
      </c>
      <c r="H949" s="79" t="str">
        <f>IFERROR(_xlfn.XLOOKUP(Table6[[#This Row],[Affected Feeder ]],'Basic Data'!$A:$A,'Basic Data'!$B:$B),"")</f>
        <v>PWEPL</v>
      </c>
      <c r="I949" s="79" t="str">
        <f>IFERROR(_xlfn.XLOOKUP(Table6[[#This Row],[Affected Feeder ]],'Basic Data'!$A:$A,'Basic Data'!$C:$C),"")</f>
        <v>MSEDCL</v>
      </c>
      <c r="J949" s="295">
        <f>IFERROR(_xlfn.XLOOKUP(Table6[[#This Row],[Affected Feeder ]],'Basic Data'!$A:$A,'Basic Data'!$E:$E),"")</f>
        <v>2.2727272727272728E-2</v>
      </c>
      <c r="K949" s="296" t="s">
        <v>171</v>
      </c>
      <c r="L949" s="297">
        <v>0.12222222222222223</v>
      </c>
      <c r="M949" s="297">
        <v>0.12222222222222223</v>
      </c>
      <c r="N949" s="297">
        <v>0.1361111111111111</v>
      </c>
      <c r="O949" s="298">
        <f>(Table6[[#This Row],[Work Start TimeStamp]]-Table6[[#This Row],[Fault Start TimeStamp]])*24</f>
        <v>0</v>
      </c>
      <c r="P949" s="298">
        <f>(Table6[[#This Row],[Fault Clearance time]]-Table6[[#This Row],[Fault Start TimeStamp]])*24</f>
        <v>0.33333333333333282</v>
      </c>
      <c r="Q949" s="298">
        <f>(Table6[[#This Row],[Fault Clearance time]]-Table6[[#This Row],[Fault Start TimeStamp]])*24</f>
        <v>0.33333333333333282</v>
      </c>
      <c r="R949" s="79" t="s">
        <v>353</v>
      </c>
      <c r="S949" s="79" t="s">
        <v>339</v>
      </c>
      <c r="T949" s="298">
        <f>IFERROR(Table6[[#This Row],[Breakdown Time]]*Table6[[#This Row],[Plant Equivalent Weightage]],"")</f>
        <v>7.5757575757575638E-3</v>
      </c>
      <c r="U949" s="79" t="s">
        <v>421</v>
      </c>
      <c r="W949" s="79">
        <v>591</v>
      </c>
    </row>
    <row r="950" spans="1:23">
      <c r="A950" s="79">
        <f t="shared" si="14"/>
        <v>949</v>
      </c>
      <c r="B950" s="79">
        <f>YEAR(Table6[[#This Row],[Date]])+IF(MONTH(Table6[[#This Row],[Date]])&gt;=4,1,0)</f>
        <v>2026</v>
      </c>
      <c r="C950" s="79">
        <f>YEAR(Table6[[#This Row],[Date]])</f>
        <v>2025</v>
      </c>
      <c r="D950" s="79" t="s">
        <v>344</v>
      </c>
      <c r="E950" s="284">
        <f>Table6[[#This Row],[Date]]-DAY(Table6[[#This Row],[Date]])+1</f>
        <v>45809</v>
      </c>
      <c r="F950" s="285">
        <v>45828</v>
      </c>
      <c r="G950" s="79" t="s">
        <v>115</v>
      </c>
      <c r="H950" s="79" t="str">
        <f>IFERROR(_xlfn.XLOOKUP(Table6[[#This Row],[Affected Feeder ]],'Basic Data'!$A:$A,'Basic Data'!$B:$B),"")</f>
        <v>PWEPL</v>
      </c>
      <c r="I950" s="79" t="str">
        <f>IFERROR(_xlfn.XLOOKUP(Table6[[#This Row],[Affected Feeder ]],'Basic Data'!$A:$A,'Basic Data'!$C:$C),"")</f>
        <v>MSEDCL</v>
      </c>
      <c r="J950" s="295">
        <f>IFERROR(_xlfn.XLOOKUP(Table6[[#This Row],[Affected Feeder ]],'Basic Data'!$A:$A,'Basic Data'!$E:$E),"")</f>
        <v>2.2727272727272728E-2</v>
      </c>
      <c r="K950" s="296" t="s">
        <v>171</v>
      </c>
      <c r="L950" s="297">
        <v>0.12222222222222223</v>
      </c>
      <c r="M950" s="297">
        <v>0.12222222222222223</v>
      </c>
      <c r="N950" s="297">
        <v>0.1361111111111111</v>
      </c>
      <c r="O950" s="298">
        <f>(Table6[[#This Row],[Work Start TimeStamp]]-Table6[[#This Row],[Fault Start TimeStamp]])*24</f>
        <v>0</v>
      </c>
      <c r="P950" s="298">
        <f>(Table6[[#This Row],[Fault Clearance time]]-Table6[[#This Row],[Fault Start TimeStamp]])*24</f>
        <v>0.33333333333333282</v>
      </c>
      <c r="Q950" s="298">
        <f>(Table6[[#This Row],[Fault Clearance time]]-Table6[[#This Row],[Fault Start TimeStamp]])*24</f>
        <v>0.33333333333333282</v>
      </c>
      <c r="R950" s="79" t="s">
        <v>353</v>
      </c>
      <c r="S950" s="79" t="s">
        <v>339</v>
      </c>
      <c r="T950" s="298">
        <f>IFERROR(Table6[[#This Row],[Breakdown Time]]*Table6[[#This Row],[Plant Equivalent Weightage]],"")</f>
        <v>7.5757575757575638E-3</v>
      </c>
      <c r="U950" s="79" t="s">
        <v>421</v>
      </c>
      <c r="W950" s="79">
        <v>591</v>
      </c>
    </row>
    <row r="951" spans="1:23">
      <c r="A951" s="79">
        <f t="shared" si="14"/>
        <v>950</v>
      </c>
      <c r="B951" s="79">
        <f>YEAR(Table6[[#This Row],[Date]])+IF(MONTH(Table6[[#This Row],[Date]])&gt;=4,1,0)</f>
        <v>2026</v>
      </c>
      <c r="C951" s="79">
        <f>YEAR(Table6[[#This Row],[Date]])</f>
        <v>2025</v>
      </c>
      <c r="D951" s="79" t="s">
        <v>344</v>
      </c>
      <c r="E951" s="284">
        <f>Table6[[#This Row],[Date]]-DAY(Table6[[#This Row],[Date]])+1</f>
        <v>45809</v>
      </c>
      <c r="F951" s="285">
        <v>45828</v>
      </c>
      <c r="G951" s="79" t="s">
        <v>116</v>
      </c>
      <c r="H951" s="79" t="str">
        <f>IFERROR(_xlfn.XLOOKUP(Table6[[#This Row],[Affected Feeder ]],'Basic Data'!$A:$A,'Basic Data'!$B:$B),"")</f>
        <v>PWEPL</v>
      </c>
      <c r="I951" s="79" t="str">
        <f>IFERROR(_xlfn.XLOOKUP(Table6[[#This Row],[Affected Feeder ]],'Basic Data'!$A:$A,'Basic Data'!$C:$C),"")</f>
        <v>MSEDCL</v>
      </c>
      <c r="J951" s="295">
        <f>IFERROR(_xlfn.XLOOKUP(Table6[[#This Row],[Affected Feeder ]],'Basic Data'!$A:$A,'Basic Data'!$E:$E),"")</f>
        <v>2.2727272727272728E-2</v>
      </c>
      <c r="K951" s="296" t="s">
        <v>171</v>
      </c>
      <c r="L951" s="297">
        <v>0.12222222222222223</v>
      </c>
      <c r="M951" s="297">
        <v>0.12222222222222223</v>
      </c>
      <c r="N951" s="297">
        <v>0.1361111111111111</v>
      </c>
      <c r="O951" s="298">
        <f>(Table6[[#This Row],[Work Start TimeStamp]]-Table6[[#This Row],[Fault Start TimeStamp]])*24</f>
        <v>0</v>
      </c>
      <c r="P951" s="298">
        <f>(Table6[[#This Row],[Fault Clearance time]]-Table6[[#This Row],[Fault Start TimeStamp]])*24</f>
        <v>0.33333333333333282</v>
      </c>
      <c r="Q951" s="298">
        <f>(Table6[[#This Row],[Fault Clearance time]]-Table6[[#This Row],[Fault Start TimeStamp]])*24</f>
        <v>0.33333333333333282</v>
      </c>
      <c r="R951" s="79" t="s">
        <v>353</v>
      </c>
      <c r="S951" s="79" t="s">
        <v>339</v>
      </c>
      <c r="T951" s="298">
        <f>IFERROR(Table6[[#This Row],[Breakdown Time]]*Table6[[#This Row],[Plant Equivalent Weightage]],"")</f>
        <v>7.5757575757575638E-3</v>
      </c>
      <c r="U951" s="79" t="s">
        <v>421</v>
      </c>
      <c r="W951" s="79">
        <v>591</v>
      </c>
    </row>
    <row r="952" spans="1:23">
      <c r="A952" s="79">
        <f t="shared" si="14"/>
        <v>951</v>
      </c>
      <c r="B952" s="79">
        <f>YEAR(Table6[[#This Row],[Date]])+IF(MONTH(Table6[[#This Row],[Date]])&gt;=4,1,0)</f>
        <v>2026</v>
      </c>
      <c r="C952" s="79">
        <f>YEAR(Table6[[#This Row],[Date]])</f>
        <v>2025</v>
      </c>
      <c r="D952" s="79" t="s">
        <v>344</v>
      </c>
      <c r="E952" s="284">
        <f>Table6[[#This Row],[Date]]-DAY(Table6[[#This Row],[Date]])+1</f>
        <v>45809</v>
      </c>
      <c r="F952" s="285">
        <v>45828</v>
      </c>
      <c r="G952" s="79" t="s">
        <v>117</v>
      </c>
      <c r="H952" s="79" t="str">
        <f>IFERROR(_xlfn.XLOOKUP(Table6[[#This Row],[Affected Feeder ]],'Basic Data'!$A:$A,'Basic Data'!$B:$B),"")</f>
        <v>PWEPL</v>
      </c>
      <c r="I952" s="79" t="str">
        <f>IFERROR(_xlfn.XLOOKUP(Table6[[#This Row],[Affected Feeder ]],'Basic Data'!$A:$A,'Basic Data'!$C:$C),"")</f>
        <v>MSEDCL</v>
      </c>
      <c r="J952" s="295">
        <f>IFERROR(_xlfn.XLOOKUP(Table6[[#This Row],[Affected Feeder ]],'Basic Data'!$A:$A,'Basic Data'!$E:$E),"")</f>
        <v>2.2727272727272728E-2</v>
      </c>
      <c r="K952" s="296" t="s">
        <v>171</v>
      </c>
      <c r="L952" s="297">
        <v>0.12222222222222223</v>
      </c>
      <c r="M952" s="297">
        <v>0.12222222222222223</v>
      </c>
      <c r="N952" s="297">
        <v>0.1361111111111111</v>
      </c>
      <c r="O952" s="298">
        <f>(Table6[[#This Row],[Work Start TimeStamp]]-Table6[[#This Row],[Fault Start TimeStamp]])*24</f>
        <v>0</v>
      </c>
      <c r="P952" s="298">
        <f>(Table6[[#This Row],[Fault Clearance time]]-Table6[[#This Row],[Fault Start TimeStamp]])*24</f>
        <v>0.33333333333333282</v>
      </c>
      <c r="Q952" s="298">
        <f>(Table6[[#This Row],[Fault Clearance time]]-Table6[[#This Row],[Fault Start TimeStamp]])*24</f>
        <v>0.33333333333333282</v>
      </c>
      <c r="R952" s="79" t="s">
        <v>353</v>
      </c>
      <c r="S952" s="79" t="s">
        <v>339</v>
      </c>
      <c r="T952" s="298">
        <f>IFERROR(Table6[[#This Row],[Breakdown Time]]*Table6[[#This Row],[Plant Equivalent Weightage]],"")</f>
        <v>7.5757575757575638E-3</v>
      </c>
      <c r="U952" s="79" t="s">
        <v>421</v>
      </c>
      <c r="W952" s="79">
        <v>591</v>
      </c>
    </row>
    <row r="953" spans="1:23">
      <c r="A953" s="79">
        <f t="shared" si="14"/>
        <v>952</v>
      </c>
      <c r="B953" s="79">
        <f>YEAR(Table6[[#This Row],[Date]])+IF(MONTH(Table6[[#This Row],[Date]])&gt;=4,1,0)</f>
        <v>2026</v>
      </c>
      <c r="C953" s="79">
        <f>YEAR(Table6[[#This Row],[Date]])</f>
        <v>2025</v>
      </c>
      <c r="D953" s="79" t="s">
        <v>344</v>
      </c>
      <c r="E953" s="284">
        <f>Table6[[#This Row],[Date]]-DAY(Table6[[#This Row],[Date]])+1</f>
        <v>45809</v>
      </c>
      <c r="F953" s="285">
        <v>45828</v>
      </c>
      <c r="G953" s="79" t="s">
        <v>118</v>
      </c>
      <c r="H953" s="79" t="str">
        <f>IFERROR(_xlfn.XLOOKUP(Table6[[#This Row],[Affected Feeder ]],'Basic Data'!$A:$A,'Basic Data'!$B:$B),"")</f>
        <v>PWEPL</v>
      </c>
      <c r="I953" s="79" t="str">
        <f>IFERROR(_xlfn.XLOOKUP(Table6[[#This Row],[Affected Feeder ]],'Basic Data'!$A:$A,'Basic Data'!$C:$C),"")</f>
        <v>MSEDCL</v>
      </c>
      <c r="J953" s="295">
        <f>IFERROR(_xlfn.XLOOKUP(Table6[[#This Row],[Affected Feeder ]],'Basic Data'!$A:$A,'Basic Data'!$E:$E),"")</f>
        <v>2.2727272727272728E-2</v>
      </c>
      <c r="K953" s="296" t="s">
        <v>171</v>
      </c>
      <c r="L953" s="297">
        <v>0.12222222222222223</v>
      </c>
      <c r="M953" s="297">
        <v>0.12222222222222223</v>
      </c>
      <c r="N953" s="297">
        <v>0.1361111111111111</v>
      </c>
      <c r="O953" s="298">
        <f>(Table6[[#This Row],[Work Start TimeStamp]]-Table6[[#This Row],[Fault Start TimeStamp]])*24</f>
        <v>0</v>
      </c>
      <c r="P953" s="298">
        <f>(Table6[[#This Row],[Fault Clearance time]]-Table6[[#This Row],[Fault Start TimeStamp]])*24</f>
        <v>0.33333333333333282</v>
      </c>
      <c r="Q953" s="298">
        <f>(Table6[[#This Row],[Fault Clearance time]]-Table6[[#This Row],[Fault Start TimeStamp]])*24</f>
        <v>0.33333333333333282</v>
      </c>
      <c r="R953" s="79" t="s">
        <v>353</v>
      </c>
      <c r="S953" s="79" t="s">
        <v>339</v>
      </c>
      <c r="T953" s="298">
        <f>IFERROR(Table6[[#This Row],[Breakdown Time]]*Table6[[#This Row],[Plant Equivalent Weightage]],"")</f>
        <v>7.5757575757575638E-3</v>
      </c>
      <c r="U953" s="79" t="s">
        <v>421</v>
      </c>
      <c r="W953" s="79">
        <v>591</v>
      </c>
    </row>
    <row r="954" spans="1:23">
      <c r="A954" s="79">
        <f t="shared" si="14"/>
        <v>953</v>
      </c>
      <c r="B954" s="79">
        <f>YEAR(Table6[[#This Row],[Date]])+IF(MONTH(Table6[[#This Row],[Date]])&gt;=4,1,0)</f>
        <v>2026</v>
      </c>
      <c r="C954" s="79">
        <f>YEAR(Table6[[#This Row],[Date]])</f>
        <v>2025</v>
      </c>
      <c r="D954" s="79" t="s">
        <v>344</v>
      </c>
      <c r="E954" s="284">
        <f>Table6[[#This Row],[Date]]-DAY(Table6[[#This Row],[Date]])+1</f>
        <v>45809</v>
      </c>
      <c r="F954" s="285">
        <v>45828</v>
      </c>
      <c r="G954" s="79" t="s">
        <v>103</v>
      </c>
      <c r="H954" s="79" t="str">
        <f>IFERROR(_xlfn.XLOOKUP(Table6[[#This Row],[Affected Feeder ]],'Basic Data'!$A:$A,'Basic Data'!$B:$B),"")</f>
        <v>PWEPL</v>
      </c>
      <c r="I954" s="79" t="str">
        <f>IFERROR(_xlfn.XLOOKUP(Table6[[#This Row],[Affected Feeder ]],'Basic Data'!$A:$A,'Basic Data'!$C:$C),"")</f>
        <v>MSEDCL</v>
      </c>
      <c r="J954" s="295">
        <f>IFERROR(_xlfn.XLOOKUP(Table6[[#This Row],[Affected Feeder ]],'Basic Data'!$A:$A,'Basic Data'!$E:$E),"")</f>
        <v>2.2727272727272728E-2</v>
      </c>
      <c r="K954" s="296" t="s">
        <v>934</v>
      </c>
      <c r="L954" s="297">
        <v>0.12222222222222223</v>
      </c>
      <c r="M954" s="297">
        <v>0.12222222222222223</v>
      </c>
      <c r="N954" s="297">
        <v>0.18055555555555555</v>
      </c>
      <c r="O954" s="298">
        <f>(Table6[[#This Row],[Work Start TimeStamp]]-Table6[[#This Row],[Fault Start TimeStamp]])*24</f>
        <v>0</v>
      </c>
      <c r="P954" s="298">
        <f>(Table6[[#This Row],[Fault Clearance time]]-Table6[[#This Row],[Fault Start TimeStamp]])*24</f>
        <v>1.3999999999999997</v>
      </c>
      <c r="Q954" s="298">
        <f>(Table6[[#This Row],[Fault Clearance time]]-Table6[[#This Row],[Fault Start TimeStamp]])*24</f>
        <v>1.3999999999999997</v>
      </c>
      <c r="R954" s="79" t="s">
        <v>935</v>
      </c>
      <c r="S954" s="79" t="s">
        <v>339</v>
      </c>
      <c r="T954" s="298">
        <f>IFERROR(Table6[[#This Row],[Breakdown Time]]*Table6[[#This Row],[Plant Equivalent Weightage]],"")</f>
        <v>3.1818181818181815E-2</v>
      </c>
      <c r="U954" s="79" t="s">
        <v>421</v>
      </c>
      <c r="W954" s="79">
        <v>194</v>
      </c>
    </row>
    <row r="955" spans="1:23">
      <c r="A955" s="79">
        <f t="shared" si="14"/>
        <v>954</v>
      </c>
      <c r="B955" s="79">
        <f>YEAR(Table6[[#This Row],[Date]])+IF(MONTH(Table6[[#This Row],[Date]])&gt;=4,1,0)</f>
        <v>2026</v>
      </c>
      <c r="C955" s="79">
        <f>YEAR(Table6[[#This Row],[Date]])</f>
        <v>2025</v>
      </c>
      <c r="D955" s="79" t="s">
        <v>344</v>
      </c>
      <c r="E955" s="284">
        <f>Table6[[#This Row],[Date]]-DAY(Table6[[#This Row],[Date]])+1</f>
        <v>45809</v>
      </c>
      <c r="F955" s="285">
        <v>45828</v>
      </c>
      <c r="G955" s="79" t="s">
        <v>103</v>
      </c>
      <c r="H955" s="79" t="str">
        <f>IFERROR(_xlfn.XLOOKUP(Table6[[#This Row],[Affected Feeder ]],'Basic Data'!$A:$A,'Basic Data'!$B:$B),"")</f>
        <v>PWEPL</v>
      </c>
      <c r="I955" s="79" t="str">
        <f>IFERROR(_xlfn.XLOOKUP(Table6[[#This Row],[Affected Feeder ]],'Basic Data'!$A:$A,'Basic Data'!$C:$C),"")</f>
        <v>MSEDCL</v>
      </c>
      <c r="J955" s="295">
        <f>IFERROR(_xlfn.XLOOKUP(Table6[[#This Row],[Affected Feeder ]],'Basic Data'!$A:$A,'Basic Data'!$E:$E),"")</f>
        <v>2.2727272727272728E-2</v>
      </c>
      <c r="K955" s="296" t="s">
        <v>171</v>
      </c>
      <c r="L955" s="297">
        <v>0.18055555555555555</v>
      </c>
      <c r="M955" s="297">
        <v>0.18055555555555555</v>
      </c>
      <c r="N955" s="297">
        <v>0.19444444444444445</v>
      </c>
      <c r="O955" s="298">
        <f>(Table6[[#This Row],[Work Start TimeStamp]]-Table6[[#This Row],[Fault Start TimeStamp]])*24</f>
        <v>0</v>
      </c>
      <c r="P955" s="298">
        <f>(Table6[[#This Row],[Fault Clearance time]]-Table6[[#This Row],[Fault Start TimeStamp]])*24</f>
        <v>0.33333333333333348</v>
      </c>
      <c r="Q955" s="298">
        <f>(Table6[[#This Row],[Fault Clearance time]]-Table6[[#This Row],[Fault Start TimeStamp]])*24</f>
        <v>0.33333333333333348</v>
      </c>
      <c r="R955" s="79" t="s">
        <v>353</v>
      </c>
      <c r="S955" s="79" t="s">
        <v>339</v>
      </c>
      <c r="T955" s="298">
        <f>IFERROR(Table6[[#This Row],[Breakdown Time]]*Table6[[#This Row],[Plant Equivalent Weightage]],"")</f>
        <v>7.5757575757575794E-3</v>
      </c>
      <c r="U955" s="79" t="s">
        <v>421</v>
      </c>
      <c r="W955" s="79">
        <v>60</v>
      </c>
    </row>
    <row r="956" spans="1:23">
      <c r="A956" s="79">
        <f t="shared" si="14"/>
        <v>955</v>
      </c>
      <c r="B956" s="79">
        <f>YEAR(Table6[[#This Row],[Date]])+IF(MONTH(Table6[[#This Row],[Date]])&gt;=4,1,0)</f>
        <v>2026</v>
      </c>
      <c r="C956" s="79">
        <f>YEAR(Table6[[#This Row],[Date]])</f>
        <v>2025</v>
      </c>
      <c r="D956" s="79" t="s">
        <v>344</v>
      </c>
      <c r="E956" s="284">
        <f>Table6[[#This Row],[Date]]-DAY(Table6[[#This Row],[Date]])+1</f>
        <v>45809</v>
      </c>
      <c r="F956" s="285">
        <v>45828</v>
      </c>
      <c r="G956" s="79" t="s">
        <v>103</v>
      </c>
      <c r="H956" s="79" t="str">
        <f>IFERROR(_xlfn.XLOOKUP(Table6[[#This Row],[Affected Feeder ]],'Basic Data'!$A:$A,'Basic Data'!$B:$B),"")</f>
        <v>PWEPL</v>
      </c>
      <c r="I956" s="79" t="str">
        <f>IFERROR(_xlfn.XLOOKUP(Table6[[#This Row],[Affected Feeder ]],'Basic Data'!$A:$A,'Basic Data'!$C:$C),"")</f>
        <v>MSEDCL</v>
      </c>
      <c r="J956" s="295">
        <f>IFERROR(_xlfn.XLOOKUP(Table6[[#This Row],[Affected Feeder ]],'Basic Data'!$A:$A,'Basic Data'!$E:$E),"")</f>
        <v>2.2727272727272728E-2</v>
      </c>
      <c r="K956" s="296" t="s">
        <v>796</v>
      </c>
      <c r="L956" s="297">
        <v>8.819444444444445E-2</v>
      </c>
      <c r="M956" s="297">
        <v>8.819444444444445E-2</v>
      </c>
      <c r="N956" s="297">
        <v>0.14097222222222222</v>
      </c>
      <c r="O956" s="298">
        <f>(Table6[[#This Row],[Work Start TimeStamp]]-Table6[[#This Row],[Fault Start TimeStamp]])*24</f>
        <v>0</v>
      </c>
      <c r="P956" s="298">
        <f>(Table6[[#This Row],[Fault Clearance time]]-Table6[[#This Row],[Fault Start TimeStamp]])*24</f>
        <v>1.2666666666666666</v>
      </c>
      <c r="Q956" s="298">
        <f>(Table6[[#This Row],[Fault Clearance time]]-Table6[[#This Row],[Fault Start TimeStamp]])*24</f>
        <v>1.2666666666666666</v>
      </c>
      <c r="R956" s="79" t="s">
        <v>424</v>
      </c>
      <c r="S956" s="79" t="s">
        <v>339</v>
      </c>
      <c r="T956" s="298">
        <f>IFERROR(Table6[[#This Row],[Breakdown Time]]*Table6[[#This Row],[Plant Equivalent Weightage]],"")</f>
        <v>2.8787878787878786E-2</v>
      </c>
      <c r="U956" s="79" t="s">
        <v>421</v>
      </c>
      <c r="W956" s="79">
        <v>0</v>
      </c>
    </row>
    <row r="957" spans="1:23">
      <c r="A957" s="79">
        <f t="shared" si="14"/>
        <v>956</v>
      </c>
      <c r="B957" s="79">
        <f>YEAR(Table6[[#This Row],[Date]])+IF(MONTH(Table6[[#This Row],[Date]])&gt;=4,1,0)</f>
        <v>2026</v>
      </c>
      <c r="C957" s="79">
        <f>YEAR(Table6[[#This Row],[Date]])</f>
        <v>2025</v>
      </c>
      <c r="D957" s="79" t="s">
        <v>344</v>
      </c>
      <c r="E957" s="284">
        <f>Table6[[#This Row],[Date]]-DAY(Table6[[#This Row],[Date]])+1</f>
        <v>45809</v>
      </c>
      <c r="F957" s="285">
        <v>45828</v>
      </c>
      <c r="G957" s="79" t="s">
        <v>103</v>
      </c>
      <c r="H957" s="79" t="str">
        <f>IFERROR(_xlfn.XLOOKUP(Table6[[#This Row],[Affected Feeder ]],'Basic Data'!$A:$A,'Basic Data'!$B:$B),"")</f>
        <v>PWEPL</v>
      </c>
      <c r="I957" s="79" t="str">
        <f>IFERROR(_xlfn.XLOOKUP(Table6[[#This Row],[Affected Feeder ]],'Basic Data'!$A:$A,'Basic Data'!$C:$C),"")</f>
        <v>MSEDCL</v>
      </c>
      <c r="J957" s="295">
        <f>IFERROR(_xlfn.XLOOKUP(Table6[[#This Row],[Affected Feeder ]],'Basic Data'!$A:$A,'Basic Data'!$E:$E),"")</f>
        <v>2.2727272727272728E-2</v>
      </c>
      <c r="K957" s="296" t="s">
        <v>171</v>
      </c>
      <c r="L957" s="297">
        <v>0.14097222222222222</v>
      </c>
      <c r="M957" s="297">
        <v>0.14097222222222222</v>
      </c>
      <c r="N957" s="297">
        <v>0.15486111111111112</v>
      </c>
      <c r="O957" s="298">
        <f>(Table6[[#This Row],[Work Start TimeStamp]]-Table6[[#This Row],[Fault Start TimeStamp]])*24</f>
        <v>0</v>
      </c>
      <c r="P957" s="298">
        <f>(Table6[[#This Row],[Fault Clearance time]]-Table6[[#This Row],[Fault Start TimeStamp]])*24</f>
        <v>0.33333333333333348</v>
      </c>
      <c r="Q957" s="298">
        <f>(Table6[[#This Row],[Fault Clearance time]]-Table6[[#This Row],[Fault Start TimeStamp]])*24</f>
        <v>0.33333333333333348</v>
      </c>
      <c r="R957" s="79" t="s">
        <v>353</v>
      </c>
      <c r="S957" s="79" t="s">
        <v>339</v>
      </c>
      <c r="T957" s="298">
        <f>IFERROR(Table6[[#This Row],[Breakdown Time]]*Table6[[#This Row],[Plant Equivalent Weightage]],"")</f>
        <v>7.5757575757575794E-3</v>
      </c>
      <c r="U957" s="79" t="s">
        <v>421</v>
      </c>
      <c r="W957" s="79">
        <v>0</v>
      </c>
    </row>
    <row r="958" spans="1:23">
      <c r="A958" s="79">
        <f t="shared" si="14"/>
        <v>957</v>
      </c>
      <c r="B958" s="79">
        <f>YEAR(Table6[[#This Row],[Date]])+IF(MONTH(Table6[[#This Row],[Date]])&gt;=4,1,0)</f>
        <v>2026</v>
      </c>
      <c r="C958" s="79">
        <f>YEAR(Table6[[#This Row],[Date]])</f>
        <v>2025</v>
      </c>
      <c r="D958" s="79" t="s">
        <v>344</v>
      </c>
      <c r="E958" s="284">
        <f>Table6[[#This Row],[Date]]-DAY(Table6[[#This Row],[Date]])+1</f>
        <v>45809</v>
      </c>
      <c r="F958" s="285">
        <v>45828</v>
      </c>
      <c r="G958" s="79" t="s">
        <v>117</v>
      </c>
      <c r="H958" s="79" t="str">
        <f>IFERROR(_xlfn.XLOOKUP(Table6[[#This Row],[Affected Feeder ]],'Basic Data'!$A:$A,'Basic Data'!$B:$B),"")</f>
        <v>PWEPL</v>
      </c>
      <c r="I958" s="79" t="str">
        <f>IFERROR(_xlfn.XLOOKUP(Table6[[#This Row],[Affected Feeder ]],'Basic Data'!$A:$A,'Basic Data'!$C:$C),"")</f>
        <v>MSEDCL</v>
      </c>
      <c r="J958" s="295">
        <f>IFERROR(_xlfn.XLOOKUP(Table6[[#This Row],[Affected Feeder ]],'Basic Data'!$A:$A,'Basic Data'!$E:$E),"")</f>
        <v>2.2727272727272728E-2</v>
      </c>
      <c r="K958" s="296" t="s">
        <v>796</v>
      </c>
      <c r="L958" s="297">
        <v>8.819444444444445E-2</v>
      </c>
      <c r="M958" s="297">
        <v>8.819444444444445E-2</v>
      </c>
      <c r="N958" s="297">
        <v>0.14097222222222222</v>
      </c>
      <c r="O958" s="298">
        <f>(Table6[[#This Row],[Work Start TimeStamp]]-Table6[[#This Row],[Fault Start TimeStamp]])*24</f>
        <v>0</v>
      </c>
      <c r="P958" s="298">
        <f>(Table6[[#This Row],[Fault Clearance time]]-Table6[[#This Row],[Fault Start TimeStamp]])*24</f>
        <v>1.2666666666666666</v>
      </c>
      <c r="Q958" s="298">
        <f>(Table6[[#This Row],[Fault Clearance time]]-Table6[[#This Row],[Fault Start TimeStamp]])*24</f>
        <v>1.2666666666666666</v>
      </c>
      <c r="R958" s="79" t="s">
        <v>424</v>
      </c>
      <c r="S958" s="79" t="s">
        <v>339</v>
      </c>
      <c r="T958" s="298">
        <f>IFERROR(Table6[[#This Row],[Breakdown Time]]*Table6[[#This Row],[Plant Equivalent Weightage]],"")</f>
        <v>2.8787878787878786E-2</v>
      </c>
      <c r="U958" s="79" t="s">
        <v>421</v>
      </c>
      <c r="W958" s="79">
        <v>320</v>
      </c>
    </row>
    <row r="959" spans="1:23">
      <c r="A959" s="79">
        <f t="shared" si="14"/>
        <v>958</v>
      </c>
      <c r="B959" s="79">
        <f>YEAR(Table6[[#This Row],[Date]])+IF(MONTH(Table6[[#This Row],[Date]])&gt;=4,1,0)</f>
        <v>2026</v>
      </c>
      <c r="C959" s="79">
        <f>YEAR(Table6[[#This Row],[Date]])</f>
        <v>2025</v>
      </c>
      <c r="D959" s="79" t="s">
        <v>344</v>
      </c>
      <c r="E959" s="284">
        <f>Table6[[#This Row],[Date]]-DAY(Table6[[#This Row],[Date]])+1</f>
        <v>45809</v>
      </c>
      <c r="F959" s="285">
        <v>45828</v>
      </c>
      <c r="G959" s="79" t="s">
        <v>117</v>
      </c>
      <c r="H959" s="79" t="str">
        <f>IFERROR(_xlfn.XLOOKUP(Table6[[#This Row],[Affected Feeder ]],'Basic Data'!$A:$A,'Basic Data'!$B:$B),"")</f>
        <v>PWEPL</v>
      </c>
      <c r="I959" s="79" t="str">
        <f>IFERROR(_xlfn.XLOOKUP(Table6[[#This Row],[Affected Feeder ]],'Basic Data'!$A:$A,'Basic Data'!$C:$C),"")</f>
        <v>MSEDCL</v>
      </c>
      <c r="J959" s="295">
        <f>IFERROR(_xlfn.XLOOKUP(Table6[[#This Row],[Affected Feeder ]],'Basic Data'!$A:$A,'Basic Data'!$E:$E),"")</f>
        <v>2.2727272727272728E-2</v>
      </c>
      <c r="K959" s="296" t="s">
        <v>171</v>
      </c>
      <c r="L959" s="297">
        <v>0.14097222222222222</v>
      </c>
      <c r="M959" s="297">
        <v>0.14097222222222222</v>
      </c>
      <c r="N959" s="297">
        <v>0.15486111111111112</v>
      </c>
      <c r="O959" s="298">
        <f>(Table6[[#This Row],[Work Start TimeStamp]]-Table6[[#This Row],[Fault Start TimeStamp]])*24</f>
        <v>0</v>
      </c>
      <c r="P959" s="298">
        <f>(Table6[[#This Row],[Fault Clearance time]]-Table6[[#This Row],[Fault Start TimeStamp]])*24</f>
        <v>0.33333333333333348</v>
      </c>
      <c r="Q959" s="298">
        <f>(Table6[[#This Row],[Fault Clearance time]]-Table6[[#This Row],[Fault Start TimeStamp]])*24</f>
        <v>0.33333333333333348</v>
      </c>
      <c r="R959" s="79" t="s">
        <v>353</v>
      </c>
      <c r="S959" s="79" t="s">
        <v>339</v>
      </c>
      <c r="T959" s="298">
        <f>IFERROR(Table6[[#This Row],[Breakdown Time]]*Table6[[#This Row],[Plant Equivalent Weightage]],"")</f>
        <v>7.5757575757575794E-3</v>
      </c>
      <c r="U959" s="79" t="s">
        <v>421</v>
      </c>
      <c r="W959" s="79">
        <v>113</v>
      </c>
    </row>
    <row r="960" spans="1:23">
      <c r="A960" s="79">
        <f t="shared" si="14"/>
        <v>959</v>
      </c>
      <c r="B960" s="79">
        <f>YEAR(Table6[[#This Row],[Date]])+IF(MONTH(Table6[[#This Row],[Date]])&gt;=4,1,0)</f>
        <v>2026</v>
      </c>
      <c r="C960" s="79">
        <f>YEAR(Table6[[#This Row],[Date]])</f>
        <v>2025</v>
      </c>
      <c r="D960" s="79" t="s">
        <v>344</v>
      </c>
      <c r="E960" s="284">
        <f>Table6[[#This Row],[Date]]-DAY(Table6[[#This Row],[Date]])+1</f>
        <v>45809</v>
      </c>
      <c r="F960" s="285">
        <v>45828</v>
      </c>
      <c r="G960" s="79" t="s">
        <v>118</v>
      </c>
      <c r="H960" s="79" t="str">
        <f>IFERROR(_xlfn.XLOOKUP(Table6[[#This Row],[Affected Feeder ]],'Basic Data'!$A:$A,'Basic Data'!$B:$B),"")</f>
        <v>PWEPL</v>
      </c>
      <c r="I960" s="79" t="str">
        <f>IFERROR(_xlfn.XLOOKUP(Table6[[#This Row],[Affected Feeder ]],'Basic Data'!$A:$A,'Basic Data'!$C:$C),"")</f>
        <v>MSEDCL</v>
      </c>
      <c r="J960" s="295">
        <f>IFERROR(_xlfn.XLOOKUP(Table6[[#This Row],[Affected Feeder ]],'Basic Data'!$A:$A,'Basic Data'!$E:$E),"")</f>
        <v>2.2727272727272728E-2</v>
      </c>
      <c r="K960" s="296" t="s">
        <v>796</v>
      </c>
      <c r="L960" s="297">
        <v>8.819444444444445E-2</v>
      </c>
      <c r="M960" s="297">
        <v>8.819444444444445E-2</v>
      </c>
      <c r="N960" s="297">
        <v>0.10416666666666667</v>
      </c>
      <c r="O960" s="298">
        <f>(Table6[[#This Row],[Work Start TimeStamp]]-Table6[[#This Row],[Fault Start TimeStamp]])*24</f>
        <v>0</v>
      </c>
      <c r="P960" s="298">
        <f>(Table6[[#This Row],[Fault Clearance time]]-Table6[[#This Row],[Fault Start TimeStamp]])*24</f>
        <v>0.3833333333333333</v>
      </c>
      <c r="Q960" s="298">
        <f>(Table6[[#This Row],[Fault Clearance time]]-Table6[[#This Row],[Fault Start TimeStamp]])*24</f>
        <v>0.3833333333333333</v>
      </c>
      <c r="R960" s="79" t="s">
        <v>424</v>
      </c>
      <c r="S960" s="79" t="s">
        <v>339</v>
      </c>
      <c r="T960" s="298">
        <f>IFERROR(Table6[[#This Row],[Breakdown Time]]*Table6[[#This Row],[Plant Equivalent Weightage]],"")</f>
        <v>8.712121212121211E-3</v>
      </c>
      <c r="U960" s="79" t="s">
        <v>421</v>
      </c>
      <c r="W960" s="79">
        <v>746</v>
      </c>
    </row>
    <row r="961" spans="1:23">
      <c r="A961" s="79">
        <f t="shared" si="14"/>
        <v>960</v>
      </c>
      <c r="B961" s="79">
        <f>YEAR(Table6[[#This Row],[Date]])+IF(MONTH(Table6[[#This Row],[Date]])&gt;=4,1,0)</f>
        <v>2026</v>
      </c>
      <c r="C961" s="79">
        <f>YEAR(Table6[[#This Row],[Date]])</f>
        <v>2025</v>
      </c>
      <c r="D961" s="79" t="s">
        <v>344</v>
      </c>
      <c r="E961" s="284">
        <f>Table6[[#This Row],[Date]]-DAY(Table6[[#This Row],[Date]])+1</f>
        <v>45809</v>
      </c>
      <c r="F961" s="285">
        <v>45828</v>
      </c>
      <c r="G961" s="79" t="s">
        <v>118</v>
      </c>
      <c r="H961" s="79" t="str">
        <f>IFERROR(_xlfn.XLOOKUP(Table6[[#This Row],[Affected Feeder ]],'Basic Data'!$A:$A,'Basic Data'!$B:$B),"")</f>
        <v>PWEPL</v>
      </c>
      <c r="I961" s="79" t="str">
        <f>IFERROR(_xlfn.XLOOKUP(Table6[[#This Row],[Affected Feeder ]],'Basic Data'!$A:$A,'Basic Data'!$C:$C),"")</f>
        <v>MSEDCL</v>
      </c>
      <c r="J961" s="295">
        <f>IFERROR(_xlfn.XLOOKUP(Table6[[#This Row],[Affected Feeder ]],'Basic Data'!$A:$A,'Basic Data'!$E:$E),"")</f>
        <v>2.2727272727272728E-2</v>
      </c>
      <c r="K961" s="296" t="s">
        <v>171</v>
      </c>
      <c r="L961" s="297">
        <v>0.10416666666666667</v>
      </c>
      <c r="M961" s="297">
        <v>0.10416666666666667</v>
      </c>
      <c r="N961" s="297">
        <v>0.10902777777777778</v>
      </c>
      <c r="O961" s="298">
        <f>(Table6[[#This Row],[Work Start TimeStamp]]-Table6[[#This Row],[Fault Start TimeStamp]])*24</f>
        <v>0</v>
      </c>
      <c r="P961" s="298">
        <f>(Table6[[#This Row],[Fault Clearance time]]-Table6[[#This Row],[Fault Start TimeStamp]])*24</f>
        <v>0.11666666666666659</v>
      </c>
      <c r="Q961" s="298">
        <f>(Table6[[#This Row],[Fault Clearance time]]-Table6[[#This Row],[Fault Start TimeStamp]])*24</f>
        <v>0.11666666666666659</v>
      </c>
      <c r="R961" s="79" t="s">
        <v>353</v>
      </c>
      <c r="S961" s="79" t="s">
        <v>339</v>
      </c>
      <c r="T961" s="298">
        <f>IFERROR(Table6[[#This Row],[Breakdown Time]]*Table6[[#This Row],[Plant Equivalent Weightage]],"")</f>
        <v>2.6515151515151499E-3</v>
      </c>
      <c r="U961" s="79" t="s">
        <v>421</v>
      </c>
      <c r="W961" s="79">
        <v>326</v>
      </c>
    </row>
    <row r="962" spans="1:23">
      <c r="A962" s="79">
        <f t="shared" si="14"/>
        <v>961</v>
      </c>
      <c r="B962" s="79">
        <f>YEAR(Table6[[#This Row],[Date]])+IF(MONTH(Table6[[#This Row],[Date]])&gt;=4,1,0)</f>
        <v>2026</v>
      </c>
      <c r="C962" s="79">
        <f>YEAR(Table6[[#This Row],[Date]])</f>
        <v>2025</v>
      </c>
      <c r="D962" s="79" t="s">
        <v>344</v>
      </c>
      <c r="E962" s="284">
        <f>Table6[[#This Row],[Date]]-DAY(Table6[[#This Row],[Date]])+1</f>
        <v>45809</v>
      </c>
      <c r="F962" s="285">
        <v>45828</v>
      </c>
      <c r="G962" s="79" t="s">
        <v>117</v>
      </c>
      <c r="H962" s="79" t="str">
        <f>IFERROR(_xlfn.XLOOKUP(Table6[[#This Row],[Affected Feeder ]],'Basic Data'!$A:$A,'Basic Data'!$B:$B),"")</f>
        <v>PWEPL</v>
      </c>
      <c r="I962" s="79" t="str">
        <f>IFERROR(_xlfn.XLOOKUP(Table6[[#This Row],[Affected Feeder ]],'Basic Data'!$A:$A,'Basic Data'!$C:$C),"")</f>
        <v>MSEDCL</v>
      </c>
      <c r="J962" s="295">
        <f>IFERROR(_xlfn.XLOOKUP(Table6[[#This Row],[Affected Feeder ]],'Basic Data'!$A:$A,'Basic Data'!$E:$E),"")</f>
        <v>2.2727272727272728E-2</v>
      </c>
      <c r="K962" s="296" t="s">
        <v>796</v>
      </c>
      <c r="L962" s="297">
        <v>0.1361111111111111</v>
      </c>
      <c r="M962" s="297">
        <v>0.1361111111111111</v>
      </c>
      <c r="N962" s="297">
        <v>0.18194444444444444</v>
      </c>
      <c r="O962" s="298">
        <f>(Table6[[#This Row],[Work Start TimeStamp]]-Table6[[#This Row],[Fault Start TimeStamp]])*24</f>
        <v>0</v>
      </c>
      <c r="P962" s="298">
        <f>(Table6[[#This Row],[Fault Clearance time]]-Table6[[#This Row],[Fault Start TimeStamp]])*24</f>
        <v>1.1000000000000001</v>
      </c>
      <c r="Q962" s="298">
        <f>(Table6[[#This Row],[Fault Clearance time]]-Table6[[#This Row],[Fault Start TimeStamp]])*24</f>
        <v>1.1000000000000001</v>
      </c>
      <c r="R962" s="79" t="s">
        <v>424</v>
      </c>
      <c r="S962" s="79" t="s">
        <v>339</v>
      </c>
      <c r="T962" s="298">
        <f>IFERROR(Table6[[#This Row],[Breakdown Time]]*Table6[[#This Row],[Plant Equivalent Weightage]],"")</f>
        <v>2.5000000000000001E-2</v>
      </c>
      <c r="U962" s="79" t="s">
        <v>421</v>
      </c>
      <c r="W962" s="79">
        <v>87</v>
      </c>
    </row>
    <row r="963" spans="1:23">
      <c r="A963" s="79">
        <f t="shared" si="14"/>
        <v>962</v>
      </c>
      <c r="B963" s="79">
        <f>YEAR(Table6[[#This Row],[Date]])+IF(MONTH(Table6[[#This Row],[Date]])&gt;=4,1,0)</f>
        <v>2026</v>
      </c>
      <c r="C963" s="79">
        <f>YEAR(Table6[[#This Row],[Date]])</f>
        <v>2025</v>
      </c>
      <c r="D963" s="79" t="s">
        <v>344</v>
      </c>
      <c r="E963" s="284">
        <f>Table6[[#This Row],[Date]]-DAY(Table6[[#This Row],[Date]])+1</f>
        <v>45809</v>
      </c>
      <c r="F963" s="285">
        <v>45828</v>
      </c>
      <c r="G963" s="79" t="s">
        <v>117</v>
      </c>
      <c r="H963" s="79" t="str">
        <f>IFERROR(_xlfn.XLOOKUP(Table6[[#This Row],[Affected Feeder ]],'Basic Data'!$A:$A,'Basic Data'!$B:$B),"")</f>
        <v>PWEPL</v>
      </c>
      <c r="I963" s="79" t="str">
        <f>IFERROR(_xlfn.XLOOKUP(Table6[[#This Row],[Affected Feeder ]],'Basic Data'!$A:$A,'Basic Data'!$C:$C),"")</f>
        <v>MSEDCL</v>
      </c>
      <c r="J963" s="295">
        <f>IFERROR(_xlfn.XLOOKUP(Table6[[#This Row],[Affected Feeder ]],'Basic Data'!$A:$A,'Basic Data'!$E:$E),"")</f>
        <v>2.2727272727272728E-2</v>
      </c>
      <c r="K963" s="296" t="s">
        <v>171</v>
      </c>
      <c r="L963" s="297">
        <v>0.18194444444444444</v>
      </c>
      <c r="M963" s="297">
        <v>0.18194444444444444</v>
      </c>
      <c r="N963" s="297">
        <v>0.19583333333333333</v>
      </c>
      <c r="O963" s="298">
        <f>(Table6[[#This Row],[Work Start TimeStamp]]-Table6[[#This Row],[Fault Start TimeStamp]])*24</f>
        <v>0</v>
      </c>
      <c r="P963" s="298">
        <f>(Table6[[#This Row],[Fault Clearance time]]-Table6[[#This Row],[Fault Start TimeStamp]])*24</f>
        <v>0.33333333333333348</v>
      </c>
      <c r="Q963" s="298">
        <f>(Table6[[#This Row],[Fault Clearance time]]-Table6[[#This Row],[Fault Start TimeStamp]])*24</f>
        <v>0.33333333333333348</v>
      </c>
      <c r="R963" s="79" t="s">
        <v>353</v>
      </c>
      <c r="S963" s="79" t="s">
        <v>339</v>
      </c>
      <c r="T963" s="298">
        <f>IFERROR(Table6[[#This Row],[Breakdown Time]]*Table6[[#This Row],[Plant Equivalent Weightage]],"")</f>
        <v>7.5757575757575794E-3</v>
      </c>
      <c r="U963" s="79" t="s">
        <v>421</v>
      </c>
      <c r="W963" s="79">
        <v>37</v>
      </c>
    </row>
    <row r="964" spans="1:23">
      <c r="A964" s="79">
        <f t="shared" ref="A964:A1027" si="15">A963+1</f>
        <v>963</v>
      </c>
      <c r="B964" s="79">
        <f>YEAR(Table6[[#This Row],[Date]])+IF(MONTH(Table6[[#This Row],[Date]])&gt;=4,1,0)</f>
        <v>2026</v>
      </c>
      <c r="C964" s="79">
        <f>YEAR(Table6[[#This Row],[Date]])</f>
        <v>2025</v>
      </c>
      <c r="D964" s="79" t="s">
        <v>344</v>
      </c>
      <c r="E964" s="284">
        <f>Table6[[#This Row],[Date]]-DAY(Table6[[#This Row],[Date]])+1</f>
        <v>45809</v>
      </c>
      <c r="F964" s="285">
        <v>45828</v>
      </c>
      <c r="G964" s="79" t="s">
        <v>406</v>
      </c>
      <c r="H964" s="79" t="str">
        <f>IFERROR(_xlfn.XLOOKUP(Table6[[#This Row],[Affected Feeder ]],'Basic Data'!$A:$A,'Basic Data'!$B:$B),"")</f>
        <v>PWEPL</v>
      </c>
      <c r="I964" s="79" t="str">
        <f>IFERROR(_xlfn.XLOOKUP(Table6[[#This Row],[Affected Feeder ]],'Basic Data'!$A:$A,'Basic Data'!$C:$C),"")</f>
        <v>MSEDCL</v>
      </c>
      <c r="J964" s="295">
        <f>IFERROR(_xlfn.XLOOKUP(Table6[[#This Row],[Affected Feeder ]],'Basic Data'!$A:$A,'Basic Data'!$E:$E),"")</f>
        <v>0.29545454545454541</v>
      </c>
      <c r="K964" s="296" t="s">
        <v>447</v>
      </c>
      <c r="L964" s="297">
        <v>0.25277777777777777</v>
      </c>
      <c r="M964" s="297">
        <v>0.25277777777777777</v>
      </c>
      <c r="N964" s="297">
        <v>0.28263888888888888</v>
      </c>
      <c r="O964" s="298">
        <f>(Table6[[#This Row],[Work Start TimeStamp]]-Table6[[#This Row],[Fault Start TimeStamp]])*24</f>
        <v>0</v>
      </c>
      <c r="P964" s="298">
        <f>(Table6[[#This Row],[Fault Clearance time]]-Table6[[#This Row],[Fault Start TimeStamp]])*24</f>
        <v>0.71666666666666679</v>
      </c>
      <c r="Q964" s="298">
        <f>(Table6[[#This Row],[Fault Clearance time]]-Table6[[#This Row],[Fault Start TimeStamp]])*24</f>
        <v>0.71666666666666679</v>
      </c>
      <c r="R964" s="79" t="s">
        <v>420</v>
      </c>
      <c r="S964" s="79" t="s">
        <v>339</v>
      </c>
      <c r="T964" s="298">
        <f>IFERROR(Table6[[#This Row],[Breakdown Time]]*Table6[[#This Row],[Plant Equivalent Weightage]],"")</f>
        <v>0.21174242424242426</v>
      </c>
      <c r="U964" s="79" t="s">
        <v>421</v>
      </c>
      <c r="W964" s="79">
        <v>13176</v>
      </c>
    </row>
    <row r="965" spans="1:23">
      <c r="A965" s="79">
        <f t="shared" si="15"/>
        <v>964</v>
      </c>
      <c r="B965" s="79">
        <f>YEAR(Table6[[#This Row],[Date]])+IF(MONTH(Table6[[#This Row],[Date]])&gt;=4,1,0)</f>
        <v>2026</v>
      </c>
      <c r="C965" s="79">
        <f>YEAR(Table6[[#This Row],[Date]])</f>
        <v>2025</v>
      </c>
      <c r="D965" s="79" t="s">
        <v>344</v>
      </c>
      <c r="E965" s="284">
        <f>Table6[[#This Row],[Date]]-DAY(Table6[[#This Row],[Date]])+1</f>
        <v>45809</v>
      </c>
      <c r="F965" s="285">
        <v>45828</v>
      </c>
      <c r="G965" s="79" t="s">
        <v>76</v>
      </c>
      <c r="H965" s="79" t="str">
        <f>IFERROR(_xlfn.XLOOKUP(Table6[[#This Row],[Affected Feeder ]],'Basic Data'!$A:$A,'Basic Data'!$B:$B),"")</f>
        <v>PWEPL</v>
      </c>
      <c r="I965" s="79" t="str">
        <f>IFERROR(_xlfn.XLOOKUP(Table6[[#This Row],[Affected Feeder ]],'Basic Data'!$A:$A,'Basic Data'!$C:$C),"")</f>
        <v>MSEDCL</v>
      </c>
      <c r="J965" s="295">
        <f>IFERROR(_xlfn.XLOOKUP(Table6[[#This Row],[Affected Feeder ]],'Basic Data'!$A:$A,'Basic Data'!$E:$E),"")</f>
        <v>2.2727272727272728E-2</v>
      </c>
      <c r="K965" s="296" t="s">
        <v>171</v>
      </c>
      <c r="L965" s="297">
        <v>0.28263888888888888</v>
      </c>
      <c r="M965" s="297">
        <v>0.28263888888888888</v>
      </c>
      <c r="N965" s="297">
        <v>0.29652777777777778</v>
      </c>
      <c r="O965" s="298">
        <f>(Table6[[#This Row],[Work Start TimeStamp]]-Table6[[#This Row],[Fault Start TimeStamp]])*24</f>
        <v>0</v>
      </c>
      <c r="P965" s="298">
        <f>(Table6[[#This Row],[Fault Clearance time]]-Table6[[#This Row],[Fault Start TimeStamp]])*24</f>
        <v>0.33333333333333348</v>
      </c>
      <c r="Q965" s="298">
        <f>(Table6[[#This Row],[Fault Clearance time]]-Table6[[#This Row],[Fault Start TimeStamp]])*24</f>
        <v>0.33333333333333348</v>
      </c>
      <c r="R965" s="79" t="s">
        <v>353</v>
      </c>
      <c r="S965" s="79" t="s">
        <v>339</v>
      </c>
      <c r="T965" s="298">
        <f>IFERROR(Table6[[#This Row],[Breakdown Time]]*Table6[[#This Row],[Plant Equivalent Weightage]],"")</f>
        <v>7.5757575757575794E-3</v>
      </c>
      <c r="U965" s="79" t="s">
        <v>421</v>
      </c>
      <c r="W965" s="79">
        <v>471</v>
      </c>
    </row>
    <row r="966" spans="1:23">
      <c r="A966" s="79">
        <f t="shared" si="15"/>
        <v>965</v>
      </c>
      <c r="B966" s="79">
        <f>YEAR(Table6[[#This Row],[Date]])+IF(MONTH(Table6[[#This Row],[Date]])&gt;=4,1,0)</f>
        <v>2026</v>
      </c>
      <c r="C966" s="79">
        <f>YEAR(Table6[[#This Row],[Date]])</f>
        <v>2025</v>
      </c>
      <c r="D966" s="79" t="s">
        <v>344</v>
      </c>
      <c r="E966" s="284">
        <f>Table6[[#This Row],[Date]]-DAY(Table6[[#This Row],[Date]])+1</f>
        <v>45809</v>
      </c>
      <c r="F966" s="285">
        <v>45828</v>
      </c>
      <c r="G966" s="79" t="s">
        <v>77</v>
      </c>
      <c r="H966" s="79" t="str">
        <f>IFERROR(_xlfn.XLOOKUP(Table6[[#This Row],[Affected Feeder ]],'Basic Data'!$A:$A,'Basic Data'!$B:$B),"")</f>
        <v>PWEPL</v>
      </c>
      <c r="I966" s="79" t="str">
        <f>IFERROR(_xlfn.XLOOKUP(Table6[[#This Row],[Affected Feeder ]],'Basic Data'!$A:$A,'Basic Data'!$C:$C),"")</f>
        <v>MSEDCL</v>
      </c>
      <c r="J966" s="295">
        <f>IFERROR(_xlfn.XLOOKUP(Table6[[#This Row],[Affected Feeder ]],'Basic Data'!$A:$A,'Basic Data'!$E:$E),"")</f>
        <v>2.2727272727272728E-2</v>
      </c>
      <c r="K966" s="296" t="s">
        <v>171</v>
      </c>
      <c r="L966" s="297">
        <v>0.28263888888888888</v>
      </c>
      <c r="M966" s="297">
        <v>0.28263888888888888</v>
      </c>
      <c r="N966" s="297">
        <v>0.28541666666666665</v>
      </c>
      <c r="O966" s="298">
        <f>(Table6[[#This Row],[Work Start TimeStamp]]-Table6[[#This Row],[Fault Start TimeStamp]])*24</f>
        <v>0</v>
      </c>
      <c r="P966" s="298">
        <f>(Table6[[#This Row],[Fault Clearance time]]-Table6[[#This Row],[Fault Start TimeStamp]])*24</f>
        <v>6.666666666666643E-2</v>
      </c>
      <c r="Q966" s="298">
        <f>(Table6[[#This Row],[Fault Clearance time]]-Table6[[#This Row],[Fault Start TimeStamp]])*24</f>
        <v>6.666666666666643E-2</v>
      </c>
      <c r="R966" s="79" t="s">
        <v>353</v>
      </c>
      <c r="S966" s="79" t="s">
        <v>339</v>
      </c>
      <c r="T966" s="298">
        <f>IFERROR(Table6[[#This Row],[Breakdown Time]]*Table6[[#This Row],[Plant Equivalent Weightage]],"")</f>
        <v>1.5151515151515097E-3</v>
      </c>
      <c r="U966" s="79" t="s">
        <v>421</v>
      </c>
      <c r="W966" s="79">
        <v>94</v>
      </c>
    </row>
    <row r="967" spans="1:23">
      <c r="A967" s="79">
        <f t="shared" si="15"/>
        <v>966</v>
      </c>
      <c r="B967" s="79">
        <f>YEAR(Table6[[#This Row],[Date]])+IF(MONTH(Table6[[#This Row],[Date]])&gt;=4,1,0)</f>
        <v>2026</v>
      </c>
      <c r="C967" s="79">
        <f>YEAR(Table6[[#This Row],[Date]])</f>
        <v>2025</v>
      </c>
      <c r="D967" s="79" t="s">
        <v>344</v>
      </c>
      <c r="E967" s="284">
        <f>Table6[[#This Row],[Date]]-DAY(Table6[[#This Row],[Date]])+1</f>
        <v>45809</v>
      </c>
      <c r="F967" s="285">
        <v>45828</v>
      </c>
      <c r="G967" s="79" t="s">
        <v>78</v>
      </c>
      <c r="H967" s="79" t="str">
        <f>IFERROR(_xlfn.XLOOKUP(Table6[[#This Row],[Affected Feeder ]],'Basic Data'!$A:$A,'Basic Data'!$B:$B),"")</f>
        <v>PWEPL</v>
      </c>
      <c r="I967" s="79" t="str">
        <f>IFERROR(_xlfn.XLOOKUP(Table6[[#This Row],[Affected Feeder ]],'Basic Data'!$A:$A,'Basic Data'!$C:$C),"")</f>
        <v>MSEDCL</v>
      </c>
      <c r="J967" s="295">
        <f>IFERROR(_xlfn.XLOOKUP(Table6[[#This Row],[Affected Feeder ]],'Basic Data'!$A:$A,'Basic Data'!$E:$E),"")</f>
        <v>2.2727272727272728E-2</v>
      </c>
      <c r="K967" s="296" t="s">
        <v>171</v>
      </c>
      <c r="L967" s="297">
        <v>0.28263888888888888</v>
      </c>
      <c r="M967" s="297">
        <v>0.28263888888888888</v>
      </c>
      <c r="N967" s="297">
        <v>0.29652777777777778</v>
      </c>
      <c r="O967" s="298">
        <f>(Table6[[#This Row],[Work Start TimeStamp]]-Table6[[#This Row],[Fault Start TimeStamp]])*24</f>
        <v>0</v>
      </c>
      <c r="P967" s="298">
        <f>(Table6[[#This Row],[Fault Clearance time]]-Table6[[#This Row],[Fault Start TimeStamp]])*24</f>
        <v>0.33333333333333348</v>
      </c>
      <c r="Q967" s="298">
        <f>(Table6[[#This Row],[Fault Clearance time]]-Table6[[#This Row],[Fault Start TimeStamp]])*24</f>
        <v>0.33333333333333348</v>
      </c>
      <c r="R967" s="79" t="s">
        <v>353</v>
      </c>
      <c r="S967" s="79" t="s">
        <v>339</v>
      </c>
      <c r="T967" s="298">
        <f>IFERROR(Table6[[#This Row],[Breakdown Time]]*Table6[[#This Row],[Plant Equivalent Weightage]],"")</f>
        <v>7.5757575757575794E-3</v>
      </c>
      <c r="U967" s="79" t="s">
        <v>421</v>
      </c>
      <c r="W967" s="79">
        <v>471</v>
      </c>
    </row>
    <row r="968" spans="1:23">
      <c r="A968" s="79">
        <f t="shared" si="15"/>
        <v>967</v>
      </c>
      <c r="B968" s="79">
        <f>YEAR(Table6[[#This Row],[Date]])+IF(MONTH(Table6[[#This Row],[Date]])&gt;=4,1,0)</f>
        <v>2026</v>
      </c>
      <c r="C968" s="79">
        <f>YEAR(Table6[[#This Row],[Date]])</f>
        <v>2025</v>
      </c>
      <c r="D968" s="79" t="s">
        <v>344</v>
      </c>
      <c r="E968" s="284">
        <f>Table6[[#This Row],[Date]]-DAY(Table6[[#This Row],[Date]])+1</f>
        <v>45809</v>
      </c>
      <c r="F968" s="285">
        <v>45828</v>
      </c>
      <c r="G968" s="79" t="s">
        <v>82</v>
      </c>
      <c r="H968" s="79" t="str">
        <f>IFERROR(_xlfn.XLOOKUP(Table6[[#This Row],[Affected Feeder ]],'Basic Data'!$A:$A,'Basic Data'!$B:$B),"")</f>
        <v>PWEPL</v>
      </c>
      <c r="I968" s="79" t="str">
        <f>IFERROR(_xlfn.XLOOKUP(Table6[[#This Row],[Affected Feeder ]],'Basic Data'!$A:$A,'Basic Data'!$C:$C),"")</f>
        <v>MSEDCL</v>
      </c>
      <c r="J968" s="295">
        <f>IFERROR(_xlfn.XLOOKUP(Table6[[#This Row],[Affected Feeder ]],'Basic Data'!$A:$A,'Basic Data'!$E:$E),"")</f>
        <v>2.2727272727272728E-2</v>
      </c>
      <c r="K968" s="296" t="s">
        <v>171</v>
      </c>
      <c r="L968" s="297">
        <v>0.28263888888888888</v>
      </c>
      <c r="M968" s="297">
        <v>0.28263888888888888</v>
      </c>
      <c r="N968" s="297">
        <v>0.29236111111111113</v>
      </c>
      <c r="O968" s="298">
        <f>(Table6[[#This Row],[Work Start TimeStamp]]-Table6[[#This Row],[Fault Start TimeStamp]])*24</f>
        <v>0</v>
      </c>
      <c r="P968" s="298">
        <f>(Table6[[#This Row],[Fault Clearance time]]-Table6[[#This Row],[Fault Start TimeStamp]])*24</f>
        <v>0.23333333333333384</v>
      </c>
      <c r="Q968" s="298">
        <f>(Table6[[#This Row],[Fault Clearance time]]-Table6[[#This Row],[Fault Start TimeStamp]])*24</f>
        <v>0.23333333333333384</v>
      </c>
      <c r="R968" s="79" t="s">
        <v>353</v>
      </c>
      <c r="S968" s="79" t="s">
        <v>339</v>
      </c>
      <c r="T968" s="298">
        <f>IFERROR(Table6[[#This Row],[Breakdown Time]]*Table6[[#This Row],[Plant Equivalent Weightage]],"")</f>
        <v>5.3030303030303146E-3</v>
      </c>
      <c r="U968" s="79" t="s">
        <v>421</v>
      </c>
      <c r="W968" s="79">
        <v>330</v>
      </c>
    </row>
    <row r="969" spans="1:23">
      <c r="A969" s="79">
        <f t="shared" si="15"/>
        <v>968</v>
      </c>
      <c r="B969" s="79">
        <f>YEAR(Table6[[#This Row],[Date]])+IF(MONTH(Table6[[#This Row],[Date]])&gt;=4,1,0)</f>
        <v>2026</v>
      </c>
      <c r="C969" s="79">
        <f>YEAR(Table6[[#This Row],[Date]])</f>
        <v>2025</v>
      </c>
      <c r="D969" s="79" t="s">
        <v>344</v>
      </c>
      <c r="E969" s="284">
        <f>Table6[[#This Row],[Date]]-DAY(Table6[[#This Row],[Date]])+1</f>
        <v>45809</v>
      </c>
      <c r="F969" s="285">
        <v>45828</v>
      </c>
      <c r="G969" s="79" t="s">
        <v>93</v>
      </c>
      <c r="H969" s="79" t="str">
        <f>IFERROR(_xlfn.XLOOKUP(Table6[[#This Row],[Affected Feeder ]],'Basic Data'!$A:$A,'Basic Data'!$B:$B),"")</f>
        <v>PWEPL</v>
      </c>
      <c r="I969" s="79" t="str">
        <f>IFERROR(_xlfn.XLOOKUP(Table6[[#This Row],[Affected Feeder ]],'Basic Data'!$A:$A,'Basic Data'!$C:$C),"")</f>
        <v>MSEDCL</v>
      </c>
      <c r="J969" s="295">
        <f>IFERROR(_xlfn.XLOOKUP(Table6[[#This Row],[Affected Feeder ]],'Basic Data'!$A:$A,'Basic Data'!$E:$E),"")</f>
        <v>2.2727272727272728E-2</v>
      </c>
      <c r="K969" s="296" t="s">
        <v>171</v>
      </c>
      <c r="L969" s="297">
        <v>0.28263888888888888</v>
      </c>
      <c r="M969" s="297">
        <v>0.28263888888888888</v>
      </c>
      <c r="N969" s="297">
        <v>0.29652777777777778</v>
      </c>
      <c r="O969" s="298">
        <f>(Table6[[#This Row],[Work Start TimeStamp]]-Table6[[#This Row],[Fault Start TimeStamp]])*24</f>
        <v>0</v>
      </c>
      <c r="P969" s="298">
        <f>(Table6[[#This Row],[Fault Clearance time]]-Table6[[#This Row],[Fault Start TimeStamp]])*24</f>
        <v>0.33333333333333348</v>
      </c>
      <c r="Q969" s="298">
        <f>(Table6[[#This Row],[Fault Clearance time]]-Table6[[#This Row],[Fault Start TimeStamp]])*24</f>
        <v>0.33333333333333348</v>
      </c>
      <c r="R969" s="79" t="s">
        <v>353</v>
      </c>
      <c r="S969" s="79" t="s">
        <v>339</v>
      </c>
      <c r="T969" s="298">
        <f>IFERROR(Table6[[#This Row],[Breakdown Time]]*Table6[[#This Row],[Plant Equivalent Weightage]],"")</f>
        <v>7.5757575757575794E-3</v>
      </c>
      <c r="U969" s="79" t="s">
        <v>421</v>
      </c>
      <c r="W969" s="79">
        <v>471</v>
      </c>
    </row>
    <row r="970" spans="1:23">
      <c r="A970" s="79">
        <f t="shared" si="15"/>
        <v>969</v>
      </c>
      <c r="B970" s="79">
        <f>YEAR(Table6[[#This Row],[Date]])+IF(MONTH(Table6[[#This Row],[Date]])&gt;=4,1,0)</f>
        <v>2026</v>
      </c>
      <c r="C970" s="79">
        <f>YEAR(Table6[[#This Row],[Date]])</f>
        <v>2025</v>
      </c>
      <c r="D970" s="79" t="s">
        <v>344</v>
      </c>
      <c r="E970" s="284">
        <f>Table6[[#This Row],[Date]]-DAY(Table6[[#This Row],[Date]])+1</f>
        <v>45809</v>
      </c>
      <c r="F970" s="285">
        <v>45828</v>
      </c>
      <c r="G970" s="79" t="s">
        <v>102</v>
      </c>
      <c r="H970" s="79" t="str">
        <f>IFERROR(_xlfn.XLOOKUP(Table6[[#This Row],[Affected Feeder ]],'Basic Data'!$A:$A,'Basic Data'!$B:$B),"")</f>
        <v>PWEPL</v>
      </c>
      <c r="I970" s="79" t="str">
        <f>IFERROR(_xlfn.XLOOKUP(Table6[[#This Row],[Affected Feeder ]],'Basic Data'!$A:$A,'Basic Data'!$C:$C),"")</f>
        <v>MSEDCL</v>
      </c>
      <c r="J970" s="295">
        <f>IFERROR(_xlfn.XLOOKUP(Table6[[#This Row],[Affected Feeder ]],'Basic Data'!$A:$A,'Basic Data'!$E:$E),"")</f>
        <v>2.2727272727272728E-2</v>
      </c>
      <c r="K970" s="296" t="s">
        <v>171</v>
      </c>
      <c r="L970" s="297">
        <v>0.28263888888888888</v>
      </c>
      <c r="M970" s="297">
        <v>0.28263888888888888</v>
      </c>
      <c r="N970" s="297">
        <v>0.29652777777777778</v>
      </c>
      <c r="O970" s="298">
        <f>(Table6[[#This Row],[Work Start TimeStamp]]-Table6[[#This Row],[Fault Start TimeStamp]])*24</f>
        <v>0</v>
      </c>
      <c r="P970" s="298">
        <f>(Table6[[#This Row],[Fault Clearance time]]-Table6[[#This Row],[Fault Start TimeStamp]])*24</f>
        <v>0.33333333333333348</v>
      </c>
      <c r="Q970" s="298">
        <f>(Table6[[#This Row],[Fault Clearance time]]-Table6[[#This Row],[Fault Start TimeStamp]])*24</f>
        <v>0.33333333333333348</v>
      </c>
      <c r="R970" s="79" t="s">
        <v>353</v>
      </c>
      <c r="S970" s="79" t="s">
        <v>339</v>
      </c>
      <c r="T970" s="298">
        <f>IFERROR(Table6[[#This Row],[Breakdown Time]]*Table6[[#This Row],[Plant Equivalent Weightage]],"")</f>
        <v>7.5757575757575794E-3</v>
      </c>
      <c r="U970" s="79" t="s">
        <v>421</v>
      </c>
      <c r="W970" s="79">
        <v>471</v>
      </c>
    </row>
    <row r="971" spans="1:23">
      <c r="A971" s="79">
        <f t="shared" si="15"/>
        <v>970</v>
      </c>
      <c r="B971" s="79">
        <f>YEAR(Table6[[#This Row],[Date]])+IF(MONTH(Table6[[#This Row],[Date]])&gt;=4,1,0)</f>
        <v>2026</v>
      </c>
      <c r="C971" s="79">
        <f>YEAR(Table6[[#This Row],[Date]])</f>
        <v>2025</v>
      </c>
      <c r="D971" s="79" t="s">
        <v>344</v>
      </c>
      <c r="E971" s="284">
        <f>Table6[[#This Row],[Date]]-DAY(Table6[[#This Row],[Date]])+1</f>
        <v>45809</v>
      </c>
      <c r="F971" s="285">
        <v>45828</v>
      </c>
      <c r="G971" s="79" t="s">
        <v>119</v>
      </c>
      <c r="H971" s="79" t="str">
        <f>IFERROR(_xlfn.XLOOKUP(Table6[[#This Row],[Affected Feeder ]],'Basic Data'!$A:$A,'Basic Data'!$B:$B),"")</f>
        <v>PWEPL</v>
      </c>
      <c r="I971" s="79" t="str">
        <f>IFERROR(_xlfn.XLOOKUP(Table6[[#This Row],[Affected Feeder ]],'Basic Data'!$A:$A,'Basic Data'!$C:$C),"")</f>
        <v>MSEDCL</v>
      </c>
      <c r="J971" s="295">
        <f>IFERROR(_xlfn.XLOOKUP(Table6[[#This Row],[Affected Feeder ]],'Basic Data'!$A:$A,'Basic Data'!$E:$E),"")</f>
        <v>2.2727272727272728E-2</v>
      </c>
      <c r="K971" s="296" t="s">
        <v>171</v>
      </c>
      <c r="L971" s="297">
        <v>0.28263888888888888</v>
      </c>
      <c r="M971" s="297">
        <v>0.28263888888888888</v>
      </c>
      <c r="N971" s="297">
        <v>0.29652777777777778</v>
      </c>
      <c r="O971" s="298">
        <f>(Table6[[#This Row],[Work Start TimeStamp]]-Table6[[#This Row],[Fault Start TimeStamp]])*24</f>
        <v>0</v>
      </c>
      <c r="P971" s="298">
        <f>(Table6[[#This Row],[Fault Clearance time]]-Table6[[#This Row],[Fault Start TimeStamp]])*24</f>
        <v>0.33333333333333348</v>
      </c>
      <c r="Q971" s="298">
        <f>(Table6[[#This Row],[Fault Clearance time]]-Table6[[#This Row],[Fault Start TimeStamp]])*24</f>
        <v>0.33333333333333348</v>
      </c>
      <c r="R971" s="79" t="s">
        <v>353</v>
      </c>
      <c r="S971" s="79" t="s">
        <v>339</v>
      </c>
      <c r="T971" s="298">
        <f>IFERROR(Table6[[#This Row],[Breakdown Time]]*Table6[[#This Row],[Plant Equivalent Weightage]],"")</f>
        <v>7.5757575757575794E-3</v>
      </c>
      <c r="U971" s="79" t="s">
        <v>421</v>
      </c>
      <c r="W971" s="79">
        <v>471</v>
      </c>
    </row>
    <row r="972" spans="1:23">
      <c r="A972" s="79">
        <f t="shared" si="15"/>
        <v>971</v>
      </c>
      <c r="B972" s="79">
        <f>YEAR(Table6[[#This Row],[Date]])+IF(MONTH(Table6[[#This Row],[Date]])&gt;=4,1,0)</f>
        <v>2026</v>
      </c>
      <c r="C972" s="79">
        <f>YEAR(Table6[[#This Row],[Date]])</f>
        <v>2025</v>
      </c>
      <c r="D972" s="79" t="s">
        <v>344</v>
      </c>
      <c r="E972" s="284">
        <f>Table6[[#This Row],[Date]]-DAY(Table6[[#This Row],[Date]])+1</f>
        <v>45809</v>
      </c>
      <c r="F972" s="285">
        <v>45828</v>
      </c>
      <c r="G972" s="79" t="s">
        <v>103</v>
      </c>
      <c r="H972" s="79" t="str">
        <f>IFERROR(_xlfn.XLOOKUP(Table6[[#This Row],[Affected Feeder ]],'Basic Data'!$A:$A,'Basic Data'!$B:$B),"")</f>
        <v>PWEPL</v>
      </c>
      <c r="I972" s="79" t="str">
        <f>IFERROR(_xlfn.XLOOKUP(Table6[[#This Row],[Affected Feeder ]],'Basic Data'!$A:$A,'Basic Data'!$C:$C),"")</f>
        <v>MSEDCL</v>
      </c>
      <c r="J972" s="295">
        <f>IFERROR(_xlfn.XLOOKUP(Table6[[#This Row],[Affected Feeder ]],'Basic Data'!$A:$A,'Basic Data'!$E:$E),"")</f>
        <v>2.2727272727272728E-2</v>
      </c>
      <c r="K972" s="296" t="s">
        <v>171</v>
      </c>
      <c r="L972" s="297">
        <v>0.28263888888888888</v>
      </c>
      <c r="M972" s="297">
        <v>0.28263888888888888</v>
      </c>
      <c r="N972" s="297">
        <v>0.29652777777777778</v>
      </c>
      <c r="O972" s="298">
        <f>(Table6[[#This Row],[Work Start TimeStamp]]-Table6[[#This Row],[Fault Start TimeStamp]])*24</f>
        <v>0</v>
      </c>
      <c r="P972" s="298">
        <f>(Table6[[#This Row],[Fault Clearance time]]-Table6[[#This Row],[Fault Start TimeStamp]])*24</f>
        <v>0.33333333333333348</v>
      </c>
      <c r="Q972" s="298">
        <f>(Table6[[#This Row],[Fault Clearance time]]-Table6[[#This Row],[Fault Start TimeStamp]])*24</f>
        <v>0.33333333333333348</v>
      </c>
      <c r="R972" s="79" t="s">
        <v>353</v>
      </c>
      <c r="S972" s="79" t="s">
        <v>339</v>
      </c>
      <c r="T972" s="298">
        <f>IFERROR(Table6[[#This Row],[Breakdown Time]]*Table6[[#This Row],[Plant Equivalent Weightage]],"")</f>
        <v>7.5757575757575794E-3</v>
      </c>
      <c r="U972" s="79" t="s">
        <v>421</v>
      </c>
      <c r="W972" s="79">
        <v>471</v>
      </c>
    </row>
    <row r="973" spans="1:23">
      <c r="A973" s="79">
        <f t="shared" si="15"/>
        <v>972</v>
      </c>
      <c r="B973" s="79">
        <f>YEAR(Table6[[#This Row],[Date]])+IF(MONTH(Table6[[#This Row],[Date]])&gt;=4,1,0)</f>
        <v>2026</v>
      </c>
      <c r="C973" s="79">
        <f>YEAR(Table6[[#This Row],[Date]])</f>
        <v>2025</v>
      </c>
      <c r="D973" s="79" t="s">
        <v>344</v>
      </c>
      <c r="E973" s="284">
        <f>Table6[[#This Row],[Date]]-DAY(Table6[[#This Row],[Date]])+1</f>
        <v>45809</v>
      </c>
      <c r="F973" s="285">
        <v>45828</v>
      </c>
      <c r="G973" s="79" t="s">
        <v>105</v>
      </c>
      <c r="H973" s="79" t="str">
        <f>IFERROR(_xlfn.XLOOKUP(Table6[[#This Row],[Affected Feeder ]],'Basic Data'!$A:$A,'Basic Data'!$B:$B),"")</f>
        <v>PWEPL</v>
      </c>
      <c r="I973" s="79" t="str">
        <f>IFERROR(_xlfn.XLOOKUP(Table6[[#This Row],[Affected Feeder ]],'Basic Data'!$A:$A,'Basic Data'!$C:$C),"")</f>
        <v>MSEDCL</v>
      </c>
      <c r="J973" s="295">
        <f>IFERROR(_xlfn.XLOOKUP(Table6[[#This Row],[Affected Feeder ]],'Basic Data'!$A:$A,'Basic Data'!$E:$E),"")</f>
        <v>2.2727272727272728E-2</v>
      </c>
      <c r="K973" s="296" t="s">
        <v>171</v>
      </c>
      <c r="L973" s="297">
        <v>0.28263888888888888</v>
      </c>
      <c r="M973" s="297">
        <v>0.28263888888888888</v>
      </c>
      <c r="N973" s="297">
        <v>0.29652777777777778</v>
      </c>
      <c r="O973" s="298">
        <f>(Table6[[#This Row],[Work Start TimeStamp]]-Table6[[#This Row],[Fault Start TimeStamp]])*24</f>
        <v>0</v>
      </c>
      <c r="P973" s="298">
        <f>(Table6[[#This Row],[Fault Clearance time]]-Table6[[#This Row],[Fault Start TimeStamp]])*24</f>
        <v>0.33333333333333348</v>
      </c>
      <c r="Q973" s="298">
        <f>(Table6[[#This Row],[Fault Clearance time]]-Table6[[#This Row],[Fault Start TimeStamp]])*24</f>
        <v>0.33333333333333348</v>
      </c>
      <c r="R973" s="79" t="s">
        <v>353</v>
      </c>
      <c r="S973" s="79" t="s">
        <v>339</v>
      </c>
      <c r="T973" s="298">
        <f>IFERROR(Table6[[#This Row],[Breakdown Time]]*Table6[[#This Row],[Plant Equivalent Weightage]],"")</f>
        <v>7.5757575757575794E-3</v>
      </c>
      <c r="U973" s="79" t="s">
        <v>421</v>
      </c>
      <c r="W973" s="79">
        <v>471</v>
      </c>
    </row>
    <row r="974" spans="1:23">
      <c r="A974" s="79">
        <f t="shared" si="15"/>
        <v>973</v>
      </c>
      <c r="B974" s="79">
        <f>YEAR(Table6[[#This Row],[Date]])+IF(MONTH(Table6[[#This Row],[Date]])&gt;=4,1,0)</f>
        <v>2026</v>
      </c>
      <c r="C974" s="79">
        <f>YEAR(Table6[[#This Row],[Date]])</f>
        <v>2025</v>
      </c>
      <c r="D974" s="79" t="s">
        <v>344</v>
      </c>
      <c r="E974" s="284">
        <f>Table6[[#This Row],[Date]]-DAY(Table6[[#This Row],[Date]])+1</f>
        <v>45809</v>
      </c>
      <c r="F974" s="285">
        <v>45828</v>
      </c>
      <c r="G974" s="79" t="s">
        <v>115</v>
      </c>
      <c r="H974" s="79" t="str">
        <f>IFERROR(_xlfn.XLOOKUP(Table6[[#This Row],[Affected Feeder ]],'Basic Data'!$A:$A,'Basic Data'!$B:$B),"")</f>
        <v>PWEPL</v>
      </c>
      <c r="I974" s="79" t="str">
        <f>IFERROR(_xlfn.XLOOKUP(Table6[[#This Row],[Affected Feeder ]],'Basic Data'!$A:$A,'Basic Data'!$C:$C),"")</f>
        <v>MSEDCL</v>
      </c>
      <c r="J974" s="295">
        <f>IFERROR(_xlfn.XLOOKUP(Table6[[#This Row],[Affected Feeder ]],'Basic Data'!$A:$A,'Basic Data'!$E:$E),"")</f>
        <v>2.2727272727272728E-2</v>
      </c>
      <c r="K974" s="296" t="s">
        <v>171</v>
      </c>
      <c r="L974" s="297">
        <v>0.28263888888888888</v>
      </c>
      <c r="M974" s="297">
        <v>0.28263888888888888</v>
      </c>
      <c r="N974" s="297">
        <v>0.29652777777777778</v>
      </c>
      <c r="O974" s="298">
        <f>(Table6[[#This Row],[Work Start TimeStamp]]-Table6[[#This Row],[Fault Start TimeStamp]])*24</f>
        <v>0</v>
      </c>
      <c r="P974" s="298">
        <f>(Table6[[#This Row],[Fault Clearance time]]-Table6[[#This Row],[Fault Start TimeStamp]])*24</f>
        <v>0.33333333333333348</v>
      </c>
      <c r="Q974" s="298">
        <f>(Table6[[#This Row],[Fault Clearance time]]-Table6[[#This Row],[Fault Start TimeStamp]])*24</f>
        <v>0.33333333333333348</v>
      </c>
      <c r="R974" s="79" t="s">
        <v>353</v>
      </c>
      <c r="S974" s="79" t="s">
        <v>339</v>
      </c>
      <c r="T974" s="298">
        <f>IFERROR(Table6[[#This Row],[Breakdown Time]]*Table6[[#This Row],[Plant Equivalent Weightage]],"")</f>
        <v>7.5757575757575794E-3</v>
      </c>
      <c r="U974" s="79" t="s">
        <v>421</v>
      </c>
      <c r="W974" s="79">
        <v>471</v>
      </c>
    </row>
    <row r="975" spans="1:23">
      <c r="A975" s="79">
        <f t="shared" si="15"/>
        <v>974</v>
      </c>
      <c r="B975" s="79">
        <f>YEAR(Table6[[#This Row],[Date]])+IF(MONTH(Table6[[#This Row],[Date]])&gt;=4,1,0)</f>
        <v>2026</v>
      </c>
      <c r="C975" s="79">
        <f>YEAR(Table6[[#This Row],[Date]])</f>
        <v>2025</v>
      </c>
      <c r="D975" s="79" t="s">
        <v>344</v>
      </c>
      <c r="E975" s="284">
        <f>Table6[[#This Row],[Date]]-DAY(Table6[[#This Row],[Date]])+1</f>
        <v>45809</v>
      </c>
      <c r="F975" s="285">
        <v>45828</v>
      </c>
      <c r="G975" s="79" t="s">
        <v>116</v>
      </c>
      <c r="H975" s="79" t="str">
        <f>IFERROR(_xlfn.XLOOKUP(Table6[[#This Row],[Affected Feeder ]],'Basic Data'!$A:$A,'Basic Data'!$B:$B),"")</f>
        <v>PWEPL</v>
      </c>
      <c r="I975" s="79" t="str">
        <f>IFERROR(_xlfn.XLOOKUP(Table6[[#This Row],[Affected Feeder ]],'Basic Data'!$A:$A,'Basic Data'!$C:$C),"")</f>
        <v>MSEDCL</v>
      </c>
      <c r="J975" s="295">
        <f>IFERROR(_xlfn.XLOOKUP(Table6[[#This Row],[Affected Feeder ]],'Basic Data'!$A:$A,'Basic Data'!$E:$E),"")</f>
        <v>2.2727272727272728E-2</v>
      </c>
      <c r="K975" s="296" t="s">
        <v>171</v>
      </c>
      <c r="L975" s="297">
        <v>0.28263888888888888</v>
      </c>
      <c r="M975" s="297">
        <v>0.28263888888888888</v>
      </c>
      <c r="N975" s="297">
        <v>0.29652777777777778</v>
      </c>
      <c r="O975" s="298">
        <f>(Table6[[#This Row],[Work Start TimeStamp]]-Table6[[#This Row],[Fault Start TimeStamp]])*24</f>
        <v>0</v>
      </c>
      <c r="P975" s="298">
        <f>(Table6[[#This Row],[Fault Clearance time]]-Table6[[#This Row],[Fault Start TimeStamp]])*24</f>
        <v>0.33333333333333348</v>
      </c>
      <c r="Q975" s="298">
        <f>(Table6[[#This Row],[Fault Clearance time]]-Table6[[#This Row],[Fault Start TimeStamp]])*24</f>
        <v>0.33333333333333348</v>
      </c>
      <c r="R975" s="79" t="s">
        <v>353</v>
      </c>
      <c r="S975" s="79" t="s">
        <v>339</v>
      </c>
      <c r="T975" s="298">
        <f>IFERROR(Table6[[#This Row],[Breakdown Time]]*Table6[[#This Row],[Plant Equivalent Weightage]],"")</f>
        <v>7.5757575757575794E-3</v>
      </c>
      <c r="U975" s="79" t="s">
        <v>421</v>
      </c>
      <c r="W975" s="79">
        <v>471</v>
      </c>
    </row>
    <row r="976" spans="1:23">
      <c r="A976" s="79">
        <f t="shared" si="15"/>
        <v>975</v>
      </c>
      <c r="B976" s="79">
        <f>YEAR(Table6[[#This Row],[Date]])+IF(MONTH(Table6[[#This Row],[Date]])&gt;=4,1,0)</f>
        <v>2026</v>
      </c>
      <c r="C976" s="79">
        <f>YEAR(Table6[[#This Row],[Date]])</f>
        <v>2025</v>
      </c>
      <c r="D976" s="79" t="s">
        <v>344</v>
      </c>
      <c r="E976" s="284">
        <f>Table6[[#This Row],[Date]]-DAY(Table6[[#This Row],[Date]])+1</f>
        <v>45809</v>
      </c>
      <c r="F976" s="285">
        <v>45828</v>
      </c>
      <c r="G976" s="79" t="s">
        <v>117</v>
      </c>
      <c r="H976" s="79" t="str">
        <f>IFERROR(_xlfn.XLOOKUP(Table6[[#This Row],[Affected Feeder ]],'Basic Data'!$A:$A,'Basic Data'!$B:$B),"")</f>
        <v>PWEPL</v>
      </c>
      <c r="I976" s="79" t="str">
        <f>IFERROR(_xlfn.XLOOKUP(Table6[[#This Row],[Affected Feeder ]],'Basic Data'!$A:$A,'Basic Data'!$C:$C),"")</f>
        <v>MSEDCL</v>
      </c>
      <c r="J976" s="295">
        <f>IFERROR(_xlfn.XLOOKUP(Table6[[#This Row],[Affected Feeder ]],'Basic Data'!$A:$A,'Basic Data'!$E:$E),"")</f>
        <v>2.2727272727272728E-2</v>
      </c>
      <c r="K976" s="296" t="s">
        <v>171</v>
      </c>
      <c r="L976" s="297">
        <v>0.28263888888888888</v>
      </c>
      <c r="M976" s="297">
        <v>0.28263888888888888</v>
      </c>
      <c r="N976" s="297">
        <v>0.29652777777777778</v>
      </c>
      <c r="O976" s="298">
        <f>(Table6[[#This Row],[Work Start TimeStamp]]-Table6[[#This Row],[Fault Start TimeStamp]])*24</f>
        <v>0</v>
      </c>
      <c r="P976" s="298">
        <f>(Table6[[#This Row],[Fault Clearance time]]-Table6[[#This Row],[Fault Start TimeStamp]])*24</f>
        <v>0.33333333333333348</v>
      </c>
      <c r="Q976" s="298">
        <f>(Table6[[#This Row],[Fault Clearance time]]-Table6[[#This Row],[Fault Start TimeStamp]])*24</f>
        <v>0.33333333333333348</v>
      </c>
      <c r="R976" s="79" t="s">
        <v>353</v>
      </c>
      <c r="S976" s="79" t="s">
        <v>339</v>
      </c>
      <c r="T976" s="298">
        <f>IFERROR(Table6[[#This Row],[Breakdown Time]]*Table6[[#This Row],[Plant Equivalent Weightage]],"")</f>
        <v>7.5757575757575794E-3</v>
      </c>
      <c r="U976" s="79" t="s">
        <v>421</v>
      </c>
      <c r="W976" s="79">
        <v>471</v>
      </c>
    </row>
    <row r="977" spans="1:23">
      <c r="A977" s="79">
        <f t="shared" si="15"/>
        <v>976</v>
      </c>
      <c r="B977" s="79">
        <f>YEAR(Table6[[#This Row],[Date]])+IF(MONTH(Table6[[#This Row],[Date]])&gt;=4,1,0)</f>
        <v>2026</v>
      </c>
      <c r="C977" s="79">
        <f>YEAR(Table6[[#This Row],[Date]])</f>
        <v>2025</v>
      </c>
      <c r="D977" s="79" t="s">
        <v>344</v>
      </c>
      <c r="E977" s="284">
        <f>Table6[[#This Row],[Date]]-DAY(Table6[[#This Row],[Date]])+1</f>
        <v>45809</v>
      </c>
      <c r="F977" s="285">
        <v>45828</v>
      </c>
      <c r="G977" s="79" t="s">
        <v>118</v>
      </c>
      <c r="H977" s="79" t="str">
        <f>IFERROR(_xlfn.XLOOKUP(Table6[[#This Row],[Affected Feeder ]],'Basic Data'!$A:$A,'Basic Data'!$B:$B),"")</f>
        <v>PWEPL</v>
      </c>
      <c r="I977" s="79" t="str">
        <f>IFERROR(_xlfn.XLOOKUP(Table6[[#This Row],[Affected Feeder ]],'Basic Data'!$A:$A,'Basic Data'!$C:$C),"")</f>
        <v>MSEDCL</v>
      </c>
      <c r="J977" s="295">
        <f>IFERROR(_xlfn.XLOOKUP(Table6[[#This Row],[Affected Feeder ]],'Basic Data'!$A:$A,'Basic Data'!$E:$E),"")</f>
        <v>2.2727272727272728E-2</v>
      </c>
      <c r="K977" s="296" t="s">
        <v>171</v>
      </c>
      <c r="L977" s="297">
        <v>0.28263888888888888</v>
      </c>
      <c r="M977" s="297">
        <v>0.28263888888888888</v>
      </c>
      <c r="N977" s="297">
        <v>0.29652777777777778</v>
      </c>
      <c r="O977" s="298">
        <f>(Table6[[#This Row],[Work Start TimeStamp]]-Table6[[#This Row],[Fault Start TimeStamp]])*24</f>
        <v>0</v>
      </c>
      <c r="P977" s="298">
        <f>(Table6[[#This Row],[Fault Clearance time]]-Table6[[#This Row],[Fault Start TimeStamp]])*24</f>
        <v>0.33333333333333348</v>
      </c>
      <c r="Q977" s="298">
        <f>(Table6[[#This Row],[Fault Clearance time]]-Table6[[#This Row],[Fault Start TimeStamp]])*24</f>
        <v>0.33333333333333348</v>
      </c>
      <c r="R977" s="79" t="s">
        <v>353</v>
      </c>
      <c r="S977" s="79" t="s">
        <v>339</v>
      </c>
      <c r="T977" s="298">
        <f>IFERROR(Table6[[#This Row],[Breakdown Time]]*Table6[[#This Row],[Plant Equivalent Weightage]],"")</f>
        <v>7.5757575757575794E-3</v>
      </c>
      <c r="U977" s="79" t="s">
        <v>421</v>
      </c>
      <c r="W977" s="79">
        <v>471</v>
      </c>
    </row>
    <row r="978" spans="1:23">
      <c r="A978" s="79">
        <f t="shared" si="15"/>
        <v>977</v>
      </c>
      <c r="B978" s="79">
        <f>YEAR(Table6[[#This Row],[Date]])+IF(MONTH(Table6[[#This Row],[Date]])&gt;=4,1,0)</f>
        <v>2026</v>
      </c>
      <c r="C978" s="79">
        <f>YEAR(Table6[[#This Row],[Date]])</f>
        <v>2025</v>
      </c>
      <c r="D978" s="79" t="s">
        <v>344</v>
      </c>
      <c r="E978" s="284">
        <f>Table6[[#This Row],[Date]]-DAY(Table6[[#This Row],[Date]])+1</f>
        <v>45809</v>
      </c>
      <c r="F978" s="285">
        <v>45828</v>
      </c>
      <c r="G978" s="79" t="s">
        <v>103</v>
      </c>
      <c r="H978" s="79" t="str">
        <f>IFERROR(_xlfn.XLOOKUP(Table6[[#This Row],[Affected Feeder ]],'Basic Data'!$A:$A,'Basic Data'!$B:$B),"")</f>
        <v>PWEPL</v>
      </c>
      <c r="I978" s="79" t="str">
        <f>IFERROR(_xlfn.XLOOKUP(Table6[[#This Row],[Affected Feeder ]],'Basic Data'!$A:$A,'Basic Data'!$C:$C),"")</f>
        <v>MSEDCL</v>
      </c>
      <c r="J978" s="295">
        <f>IFERROR(_xlfn.XLOOKUP(Table6[[#This Row],[Affected Feeder ]],'Basic Data'!$A:$A,'Basic Data'!$E:$E),"")</f>
        <v>2.2727272727272728E-2</v>
      </c>
      <c r="K978" s="296" t="s">
        <v>936</v>
      </c>
      <c r="L978" s="297">
        <v>0.55208333333333337</v>
      </c>
      <c r="M978" s="297">
        <v>0.55208333333333337</v>
      </c>
      <c r="N978" s="297">
        <v>0.64722222222222225</v>
      </c>
      <c r="O978" s="298">
        <f>(Table6[[#This Row],[Work Start TimeStamp]]-Table6[[#This Row],[Fault Start TimeStamp]])*24</f>
        <v>0</v>
      </c>
      <c r="P978" s="298">
        <f>(Table6[[#This Row],[Fault Clearance time]]-Table6[[#This Row],[Fault Start TimeStamp]])*24</f>
        <v>2.2833333333333332</v>
      </c>
      <c r="Q978" s="298">
        <f>(Table6[[#This Row],[Fault Clearance time]]-Table6[[#This Row],[Fault Start TimeStamp]])*24</f>
        <v>2.2833333333333332</v>
      </c>
      <c r="R978" s="79" t="s">
        <v>937</v>
      </c>
      <c r="S978" s="79" t="s">
        <v>339</v>
      </c>
      <c r="T978" s="298">
        <f>IFERROR(Table6[[#This Row],[Breakdown Time]]*Table6[[#This Row],[Plant Equivalent Weightage]],"")</f>
        <v>5.1893939393939395E-2</v>
      </c>
      <c r="U978" s="79" t="s">
        <v>416</v>
      </c>
      <c r="W978" s="79">
        <v>258</v>
      </c>
    </row>
    <row r="979" spans="1:23">
      <c r="A979" s="79">
        <f t="shared" si="15"/>
        <v>978</v>
      </c>
      <c r="B979" s="79">
        <f>YEAR(Table6[[#This Row],[Date]])+IF(MONTH(Table6[[#This Row],[Date]])&gt;=4,1,0)</f>
        <v>2026</v>
      </c>
      <c r="C979" s="79">
        <f>YEAR(Table6[[#This Row],[Date]])</f>
        <v>2025</v>
      </c>
      <c r="D979" s="79" t="s">
        <v>344</v>
      </c>
      <c r="E979" s="284">
        <f>Table6[[#This Row],[Date]]-DAY(Table6[[#This Row],[Date]])+1</f>
        <v>45809</v>
      </c>
      <c r="F979" s="285">
        <v>45828</v>
      </c>
      <c r="G979" s="79" t="s">
        <v>103</v>
      </c>
      <c r="H979" s="79" t="str">
        <f>IFERROR(_xlfn.XLOOKUP(Table6[[#This Row],[Affected Feeder ]],'Basic Data'!$A:$A,'Basic Data'!$B:$B),"")</f>
        <v>PWEPL</v>
      </c>
      <c r="I979" s="79" t="str">
        <f>IFERROR(_xlfn.XLOOKUP(Table6[[#This Row],[Affected Feeder ]],'Basic Data'!$A:$A,'Basic Data'!$C:$C),"")</f>
        <v>MSEDCL</v>
      </c>
      <c r="J979" s="295">
        <f>IFERROR(_xlfn.XLOOKUP(Table6[[#This Row],[Affected Feeder ]],'Basic Data'!$A:$A,'Basic Data'!$E:$E),"")</f>
        <v>2.2727272727272728E-2</v>
      </c>
      <c r="K979" s="296" t="s">
        <v>171</v>
      </c>
      <c r="L979" s="297">
        <v>0.64722222222222225</v>
      </c>
      <c r="M979" s="297">
        <v>0.64722222222222225</v>
      </c>
      <c r="N979" s="297">
        <v>0.66111111111111109</v>
      </c>
      <c r="O979" s="298">
        <f>(Table6[[#This Row],[Work Start TimeStamp]]-Table6[[#This Row],[Fault Start TimeStamp]])*24</f>
        <v>0</v>
      </c>
      <c r="P979" s="298">
        <f>(Table6[[#This Row],[Fault Clearance time]]-Table6[[#This Row],[Fault Start TimeStamp]])*24</f>
        <v>0.33333333333333215</v>
      </c>
      <c r="Q979" s="298">
        <f>(Table6[[#This Row],[Fault Clearance time]]-Table6[[#This Row],[Fault Start TimeStamp]])*24</f>
        <v>0.33333333333333215</v>
      </c>
      <c r="R979" s="79" t="s">
        <v>353</v>
      </c>
      <c r="S979" s="79" t="s">
        <v>339</v>
      </c>
      <c r="T979" s="298">
        <f>IFERROR(Table6[[#This Row],[Breakdown Time]]*Table6[[#This Row],[Plant Equivalent Weightage]],"")</f>
        <v>7.5757575757575491E-3</v>
      </c>
      <c r="U979" s="79" t="s">
        <v>416</v>
      </c>
      <c r="W979" s="79">
        <v>43</v>
      </c>
    </row>
    <row r="980" spans="1:23">
      <c r="A980" s="79">
        <f t="shared" si="15"/>
        <v>979</v>
      </c>
      <c r="B980" s="79">
        <f>YEAR(Table6[[#This Row],[Date]])+IF(MONTH(Table6[[#This Row],[Date]])&gt;=4,1,0)</f>
        <v>2026</v>
      </c>
      <c r="C980" s="79">
        <f>YEAR(Table6[[#This Row],[Date]])</f>
        <v>2025</v>
      </c>
      <c r="D980" s="79" t="s">
        <v>344</v>
      </c>
      <c r="E980" s="284">
        <f>Table6[[#This Row],[Date]]-DAY(Table6[[#This Row],[Date]])+1</f>
        <v>45809</v>
      </c>
      <c r="F980" s="285">
        <v>45828</v>
      </c>
      <c r="G980" s="79" t="s">
        <v>105</v>
      </c>
      <c r="H980" s="79" t="str">
        <f>IFERROR(_xlfn.XLOOKUP(Table6[[#This Row],[Affected Feeder ]],'Basic Data'!$A:$A,'Basic Data'!$B:$B),"")</f>
        <v>PWEPL</v>
      </c>
      <c r="I980" s="79" t="str">
        <f>IFERROR(_xlfn.XLOOKUP(Table6[[#This Row],[Affected Feeder ]],'Basic Data'!$A:$A,'Basic Data'!$C:$C),"")</f>
        <v>MSEDCL</v>
      </c>
      <c r="J980" s="295">
        <f>IFERROR(_xlfn.XLOOKUP(Table6[[#This Row],[Affected Feeder ]],'Basic Data'!$A:$A,'Basic Data'!$E:$E),"")</f>
        <v>2.2727272727272728E-2</v>
      </c>
      <c r="K980" s="296" t="s">
        <v>936</v>
      </c>
      <c r="L980" s="297">
        <v>0.55208333333333337</v>
      </c>
      <c r="M980" s="297">
        <v>0.55208333333333337</v>
      </c>
      <c r="N980" s="297">
        <v>0.64722222222222225</v>
      </c>
      <c r="O980" s="298">
        <f>(Table6[[#This Row],[Work Start TimeStamp]]-Table6[[#This Row],[Fault Start TimeStamp]])*24</f>
        <v>0</v>
      </c>
      <c r="P980" s="298">
        <f>(Table6[[#This Row],[Fault Clearance time]]-Table6[[#This Row],[Fault Start TimeStamp]])*24</f>
        <v>2.2833333333333332</v>
      </c>
      <c r="Q980" s="298">
        <f>(Table6[[#This Row],[Fault Clearance time]]-Table6[[#This Row],[Fault Start TimeStamp]])*24</f>
        <v>2.2833333333333332</v>
      </c>
      <c r="R980" s="79" t="s">
        <v>937</v>
      </c>
      <c r="S980" s="79" t="s">
        <v>339</v>
      </c>
      <c r="T980" s="298">
        <f>IFERROR(Table6[[#This Row],[Breakdown Time]]*Table6[[#This Row],[Plant Equivalent Weightage]],"")</f>
        <v>5.1893939393939395E-2</v>
      </c>
      <c r="U980" s="79" t="s">
        <v>416</v>
      </c>
      <c r="W980" s="79">
        <v>211</v>
      </c>
    </row>
    <row r="981" spans="1:23">
      <c r="A981" s="79">
        <f t="shared" si="15"/>
        <v>980</v>
      </c>
      <c r="B981" s="79">
        <f>YEAR(Table6[[#This Row],[Date]])+IF(MONTH(Table6[[#This Row],[Date]])&gt;=4,1,0)</f>
        <v>2026</v>
      </c>
      <c r="C981" s="79">
        <f>YEAR(Table6[[#This Row],[Date]])</f>
        <v>2025</v>
      </c>
      <c r="D981" s="79" t="s">
        <v>344</v>
      </c>
      <c r="E981" s="284">
        <f>Table6[[#This Row],[Date]]-DAY(Table6[[#This Row],[Date]])+1</f>
        <v>45809</v>
      </c>
      <c r="F981" s="285">
        <v>45828</v>
      </c>
      <c r="G981" s="79" t="s">
        <v>105</v>
      </c>
      <c r="H981" s="79" t="str">
        <f>IFERROR(_xlfn.XLOOKUP(Table6[[#This Row],[Affected Feeder ]],'Basic Data'!$A:$A,'Basic Data'!$B:$B),"")</f>
        <v>PWEPL</v>
      </c>
      <c r="I981" s="79" t="str">
        <f>IFERROR(_xlfn.XLOOKUP(Table6[[#This Row],[Affected Feeder ]],'Basic Data'!$A:$A,'Basic Data'!$C:$C),"")</f>
        <v>MSEDCL</v>
      </c>
      <c r="J981" s="295">
        <f>IFERROR(_xlfn.XLOOKUP(Table6[[#This Row],[Affected Feeder ]],'Basic Data'!$A:$A,'Basic Data'!$E:$E),"")</f>
        <v>2.2727272727272728E-2</v>
      </c>
      <c r="K981" s="296" t="s">
        <v>171</v>
      </c>
      <c r="L981" s="297">
        <v>0.64722222222222225</v>
      </c>
      <c r="M981" s="297">
        <v>0.64722222222222225</v>
      </c>
      <c r="N981" s="297">
        <v>0.66111111111111109</v>
      </c>
      <c r="O981" s="298">
        <f>(Table6[[#This Row],[Work Start TimeStamp]]-Table6[[#This Row],[Fault Start TimeStamp]])*24</f>
        <v>0</v>
      </c>
      <c r="P981" s="298">
        <f>(Table6[[#This Row],[Fault Clearance time]]-Table6[[#This Row],[Fault Start TimeStamp]])*24</f>
        <v>0.33333333333333215</v>
      </c>
      <c r="Q981" s="298">
        <f>(Table6[[#This Row],[Fault Clearance time]]-Table6[[#This Row],[Fault Start TimeStamp]])*24</f>
        <v>0.33333333333333215</v>
      </c>
      <c r="R981" s="79" t="s">
        <v>353</v>
      </c>
      <c r="S981" s="79" t="s">
        <v>339</v>
      </c>
      <c r="T981" s="298">
        <f>IFERROR(Table6[[#This Row],[Breakdown Time]]*Table6[[#This Row],[Plant Equivalent Weightage]],"")</f>
        <v>7.5757575757575491E-3</v>
      </c>
      <c r="U981" s="79" t="s">
        <v>416</v>
      </c>
      <c r="W981" s="79">
        <v>36</v>
      </c>
    </row>
    <row r="982" spans="1:23">
      <c r="A982" s="79">
        <f t="shared" si="15"/>
        <v>981</v>
      </c>
      <c r="B982" s="79">
        <f>YEAR(Table6[[#This Row],[Date]])+IF(MONTH(Table6[[#This Row],[Date]])&gt;=4,1,0)</f>
        <v>2026</v>
      </c>
      <c r="C982" s="79">
        <f>YEAR(Table6[[#This Row],[Date]])</f>
        <v>2025</v>
      </c>
      <c r="D982" s="79" t="s">
        <v>344</v>
      </c>
      <c r="E982" s="284">
        <f>Table6[[#This Row],[Date]]-DAY(Table6[[#This Row],[Date]])+1</f>
        <v>45809</v>
      </c>
      <c r="F982" s="285">
        <v>45828</v>
      </c>
      <c r="G982" s="79" t="s">
        <v>115</v>
      </c>
      <c r="H982" s="79" t="str">
        <f>IFERROR(_xlfn.XLOOKUP(Table6[[#This Row],[Affected Feeder ]],'Basic Data'!$A:$A,'Basic Data'!$B:$B),"")</f>
        <v>PWEPL</v>
      </c>
      <c r="I982" s="79" t="str">
        <f>IFERROR(_xlfn.XLOOKUP(Table6[[#This Row],[Affected Feeder ]],'Basic Data'!$A:$A,'Basic Data'!$C:$C),"")</f>
        <v>MSEDCL</v>
      </c>
      <c r="J982" s="295">
        <f>IFERROR(_xlfn.XLOOKUP(Table6[[#This Row],[Affected Feeder ]],'Basic Data'!$A:$A,'Basic Data'!$E:$E),"")</f>
        <v>2.2727272727272728E-2</v>
      </c>
      <c r="K982" s="296" t="s">
        <v>936</v>
      </c>
      <c r="L982" s="297">
        <v>0.55208333333333337</v>
      </c>
      <c r="M982" s="297">
        <v>0.55208333333333337</v>
      </c>
      <c r="N982" s="297">
        <v>0.64722222222222225</v>
      </c>
      <c r="O982" s="298">
        <f>(Table6[[#This Row],[Work Start TimeStamp]]-Table6[[#This Row],[Fault Start TimeStamp]])*24</f>
        <v>0</v>
      </c>
      <c r="P982" s="298">
        <f>(Table6[[#This Row],[Fault Clearance time]]-Table6[[#This Row],[Fault Start TimeStamp]])*24</f>
        <v>2.2833333333333332</v>
      </c>
      <c r="Q982" s="298">
        <f>(Table6[[#This Row],[Fault Clearance time]]-Table6[[#This Row],[Fault Start TimeStamp]])*24</f>
        <v>2.2833333333333332</v>
      </c>
      <c r="R982" s="79" t="s">
        <v>937</v>
      </c>
      <c r="S982" s="79" t="s">
        <v>339</v>
      </c>
      <c r="T982" s="298">
        <f>IFERROR(Table6[[#This Row],[Breakdown Time]]*Table6[[#This Row],[Plant Equivalent Weightage]],"")</f>
        <v>5.1893939393939395E-2</v>
      </c>
      <c r="U982" s="79" t="s">
        <v>416</v>
      </c>
      <c r="W982" s="79">
        <v>211</v>
      </c>
    </row>
    <row r="983" spans="1:23">
      <c r="A983" s="79">
        <f t="shared" si="15"/>
        <v>982</v>
      </c>
      <c r="B983" s="79">
        <f>YEAR(Table6[[#This Row],[Date]])+IF(MONTH(Table6[[#This Row],[Date]])&gt;=4,1,0)</f>
        <v>2026</v>
      </c>
      <c r="C983" s="79">
        <f>YEAR(Table6[[#This Row],[Date]])</f>
        <v>2025</v>
      </c>
      <c r="D983" s="79" t="s">
        <v>344</v>
      </c>
      <c r="E983" s="284">
        <f>Table6[[#This Row],[Date]]-DAY(Table6[[#This Row],[Date]])+1</f>
        <v>45809</v>
      </c>
      <c r="F983" s="285">
        <v>45828</v>
      </c>
      <c r="G983" s="79" t="s">
        <v>115</v>
      </c>
      <c r="H983" s="79" t="str">
        <f>IFERROR(_xlfn.XLOOKUP(Table6[[#This Row],[Affected Feeder ]],'Basic Data'!$A:$A,'Basic Data'!$B:$B),"")</f>
        <v>PWEPL</v>
      </c>
      <c r="I983" s="79" t="str">
        <f>IFERROR(_xlfn.XLOOKUP(Table6[[#This Row],[Affected Feeder ]],'Basic Data'!$A:$A,'Basic Data'!$C:$C),"")</f>
        <v>MSEDCL</v>
      </c>
      <c r="J983" s="295">
        <f>IFERROR(_xlfn.XLOOKUP(Table6[[#This Row],[Affected Feeder ]],'Basic Data'!$A:$A,'Basic Data'!$E:$E),"")</f>
        <v>2.2727272727272728E-2</v>
      </c>
      <c r="K983" s="296" t="s">
        <v>171</v>
      </c>
      <c r="L983" s="297">
        <v>0.64722222222222225</v>
      </c>
      <c r="M983" s="297">
        <v>0.64722222222222225</v>
      </c>
      <c r="N983" s="297">
        <v>0.66111111111111109</v>
      </c>
      <c r="O983" s="298">
        <f>(Table6[[#This Row],[Work Start TimeStamp]]-Table6[[#This Row],[Fault Start TimeStamp]])*24</f>
        <v>0</v>
      </c>
      <c r="P983" s="298">
        <f>(Table6[[#This Row],[Fault Clearance time]]-Table6[[#This Row],[Fault Start TimeStamp]])*24</f>
        <v>0.33333333333333215</v>
      </c>
      <c r="Q983" s="298">
        <f>(Table6[[#This Row],[Fault Clearance time]]-Table6[[#This Row],[Fault Start TimeStamp]])*24</f>
        <v>0.33333333333333215</v>
      </c>
      <c r="R983" s="79" t="s">
        <v>353</v>
      </c>
      <c r="S983" s="79" t="s">
        <v>339</v>
      </c>
      <c r="T983" s="298">
        <f>IFERROR(Table6[[#This Row],[Breakdown Time]]*Table6[[#This Row],[Plant Equivalent Weightage]],"")</f>
        <v>7.5757575757575491E-3</v>
      </c>
      <c r="U983" s="79" t="s">
        <v>416</v>
      </c>
      <c r="W983" s="79">
        <v>36</v>
      </c>
    </row>
    <row r="984" spans="1:23">
      <c r="A984" s="79">
        <f t="shared" si="15"/>
        <v>983</v>
      </c>
      <c r="B984" s="79">
        <f>YEAR(Table6[[#This Row],[Date]])+IF(MONTH(Table6[[#This Row],[Date]])&gt;=4,1,0)</f>
        <v>2026</v>
      </c>
      <c r="C984" s="79">
        <f>YEAR(Table6[[#This Row],[Date]])</f>
        <v>2025</v>
      </c>
      <c r="D984" s="79" t="s">
        <v>344</v>
      </c>
      <c r="E984" s="284">
        <f>Table6[[#This Row],[Date]]-DAY(Table6[[#This Row],[Date]])+1</f>
        <v>45809</v>
      </c>
      <c r="F984" s="285">
        <v>45828</v>
      </c>
      <c r="G984" s="79" t="s">
        <v>116</v>
      </c>
      <c r="H984" s="79" t="str">
        <f>IFERROR(_xlfn.XLOOKUP(Table6[[#This Row],[Affected Feeder ]],'Basic Data'!$A:$A,'Basic Data'!$B:$B),"")</f>
        <v>PWEPL</v>
      </c>
      <c r="I984" s="79" t="str">
        <f>IFERROR(_xlfn.XLOOKUP(Table6[[#This Row],[Affected Feeder ]],'Basic Data'!$A:$A,'Basic Data'!$C:$C),"")</f>
        <v>MSEDCL</v>
      </c>
      <c r="J984" s="295">
        <f>IFERROR(_xlfn.XLOOKUP(Table6[[#This Row],[Affected Feeder ]],'Basic Data'!$A:$A,'Basic Data'!$E:$E),"")</f>
        <v>2.2727272727272728E-2</v>
      </c>
      <c r="K984" s="296" t="s">
        <v>936</v>
      </c>
      <c r="L984" s="297">
        <v>0.55208333333333337</v>
      </c>
      <c r="M984" s="297">
        <v>0.55208333333333337</v>
      </c>
      <c r="N984" s="297">
        <v>0.64722222222222225</v>
      </c>
      <c r="O984" s="298">
        <f>(Table6[[#This Row],[Work Start TimeStamp]]-Table6[[#This Row],[Fault Start TimeStamp]])*24</f>
        <v>0</v>
      </c>
      <c r="P984" s="298">
        <f>(Table6[[#This Row],[Fault Clearance time]]-Table6[[#This Row],[Fault Start TimeStamp]])*24</f>
        <v>2.2833333333333332</v>
      </c>
      <c r="Q984" s="298">
        <f>(Table6[[#This Row],[Fault Clearance time]]-Table6[[#This Row],[Fault Start TimeStamp]])*24</f>
        <v>2.2833333333333332</v>
      </c>
      <c r="R984" s="79" t="s">
        <v>937</v>
      </c>
      <c r="S984" s="79" t="s">
        <v>339</v>
      </c>
      <c r="T984" s="298">
        <f>IFERROR(Table6[[#This Row],[Breakdown Time]]*Table6[[#This Row],[Plant Equivalent Weightage]],"")</f>
        <v>5.1893939393939395E-2</v>
      </c>
      <c r="U984" s="79" t="s">
        <v>416</v>
      </c>
      <c r="W984" s="79">
        <v>262</v>
      </c>
    </row>
    <row r="985" spans="1:23">
      <c r="A985" s="79">
        <f t="shared" si="15"/>
        <v>984</v>
      </c>
      <c r="B985" s="79">
        <f>YEAR(Table6[[#This Row],[Date]])+IF(MONTH(Table6[[#This Row],[Date]])&gt;=4,1,0)</f>
        <v>2026</v>
      </c>
      <c r="C985" s="79">
        <f>YEAR(Table6[[#This Row],[Date]])</f>
        <v>2025</v>
      </c>
      <c r="D985" s="79" t="s">
        <v>344</v>
      </c>
      <c r="E985" s="284">
        <f>Table6[[#This Row],[Date]]-DAY(Table6[[#This Row],[Date]])+1</f>
        <v>45809</v>
      </c>
      <c r="F985" s="285">
        <v>45828</v>
      </c>
      <c r="G985" s="79" t="s">
        <v>116</v>
      </c>
      <c r="H985" s="79" t="str">
        <f>IFERROR(_xlfn.XLOOKUP(Table6[[#This Row],[Affected Feeder ]],'Basic Data'!$A:$A,'Basic Data'!$B:$B),"")</f>
        <v>PWEPL</v>
      </c>
      <c r="I985" s="79" t="str">
        <f>IFERROR(_xlfn.XLOOKUP(Table6[[#This Row],[Affected Feeder ]],'Basic Data'!$A:$A,'Basic Data'!$C:$C),"")</f>
        <v>MSEDCL</v>
      </c>
      <c r="J985" s="295">
        <f>IFERROR(_xlfn.XLOOKUP(Table6[[#This Row],[Affected Feeder ]],'Basic Data'!$A:$A,'Basic Data'!$E:$E),"")</f>
        <v>2.2727272727272728E-2</v>
      </c>
      <c r="K985" s="296" t="s">
        <v>171</v>
      </c>
      <c r="L985" s="297">
        <v>0.64722222222222225</v>
      </c>
      <c r="M985" s="297">
        <v>0.64722222222222225</v>
      </c>
      <c r="N985" s="297">
        <v>0.66111111111111109</v>
      </c>
      <c r="O985" s="298">
        <f>(Table6[[#This Row],[Work Start TimeStamp]]-Table6[[#This Row],[Fault Start TimeStamp]])*24</f>
        <v>0</v>
      </c>
      <c r="P985" s="298">
        <f>(Table6[[#This Row],[Fault Clearance time]]-Table6[[#This Row],[Fault Start TimeStamp]])*24</f>
        <v>0.33333333333333215</v>
      </c>
      <c r="Q985" s="298">
        <f>(Table6[[#This Row],[Fault Clearance time]]-Table6[[#This Row],[Fault Start TimeStamp]])*24</f>
        <v>0.33333333333333215</v>
      </c>
      <c r="R985" s="79" t="s">
        <v>353</v>
      </c>
      <c r="S985" s="79" t="s">
        <v>339</v>
      </c>
      <c r="T985" s="298">
        <f>IFERROR(Table6[[#This Row],[Breakdown Time]]*Table6[[#This Row],[Plant Equivalent Weightage]],"")</f>
        <v>7.5757575757575491E-3</v>
      </c>
      <c r="U985" s="79" t="s">
        <v>416</v>
      </c>
      <c r="W985" s="79">
        <v>44</v>
      </c>
    </row>
    <row r="986" spans="1:23">
      <c r="A986" s="79">
        <f t="shared" si="15"/>
        <v>985</v>
      </c>
      <c r="B986" s="79">
        <f>YEAR(Table6[[#This Row],[Date]])+IF(MONTH(Table6[[#This Row],[Date]])&gt;=4,1,0)</f>
        <v>2026</v>
      </c>
      <c r="C986" s="79">
        <f>YEAR(Table6[[#This Row],[Date]])</f>
        <v>2025</v>
      </c>
      <c r="D986" s="79" t="s">
        <v>344</v>
      </c>
      <c r="E986" s="284">
        <f>Table6[[#This Row],[Date]]-DAY(Table6[[#This Row],[Date]])+1</f>
        <v>45809</v>
      </c>
      <c r="F986" s="285">
        <v>45828</v>
      </c>
      <c r="G986" s="79" t="s">
        <v>117</v>
      </c>
      <c r="H986" s="79" t="str">
        <f>IFERROR(_xlfn.XLOOKUP(Table6[[#This Row],[Affected Feeder ]],'Basic Data'!$A:$A,'Basic Data'!$B:$B),"")</f>
        <v>PWEPL</v>
      </c>
      <c r="I986" s="79" t="str">
        <f>IFERROR(_xlfn.XLOOKUP(Table6[[#This Row],[Affected Feeder ]],'Basic Data'!$A:$A,'Basic Data'!$C:$C),"")</f>
        <v>MSEDCL</v>
      </c>
      <c r="J986" s="295">
        <f>IFERROR(_xlfn.XLOOKUP(Table6[[#This Row],[Affected Feeder ]],'Basic Data'!$A:$A,'Basic Data'!$E:$E),"")</f>
        <v>2.2727272727272728E-2</v>
      </c>
      <c r="K986" s="296" t="s">
        <v>936</v>
      </c>
      <c r="L986" s="297">
        <v>0.55208333333333337</v>
      </c>
      <c r="M986" s="297">
        <v>0.55208333333333337</v>
      </c>
      <c r="N986" s="297">
        <v>0.64722222222222225</v>
      </c>
      <c r="O986" s="298">
        <f>(Table6[[#This Row],[Work Start TimeStamp]]-Table6[[#This Row],[Fault Start TimeStamp]])*24</f>
        <v>0</v>
      </c>
      <c r="P986" s="298">
        <f>(Table6[[#This Row],[Fault Clearance time]]-Table6[[#This Row],[Fault Start TimeStamp]])*24</f>
        <v>2.2833333333333332</v>
      </c>
      <c r="Q986" s="298">
        <f>(Table6[[#This Row],[Fault Clearance time]]-Table6[[#This Row],[Fault Start TimeStamp]])*24</f>
        <v>2.2833333333333332</v>
      </c>
      <c r="R986" s="79" t="s">
        <v>937</v>
      </c>
      <c r="S986" s="79" t="s">
        <v>339</v>
      </c>
      <c r="T986" s="298">
        <f>IFERROR(Table6[[#This Row],[Breakdown Time]]*Table6[[#This Row],[Plant Equivalent Weightage]],"")</f>
        <v>5.1893939393939395E-2</v>
      </c>
      <c r="U986" s="79" t="s">
        <v>416</v>
      </c>
      <c r="W986" s="79">
        <v>211</v>
      </c>
    </row>
    <row r="987" spans="1:23">
      <c r="A987" s="79">
        <f t="shared" si="15"/>
        <v>986</v>
      </c>
      <c r="B987" s="79">
        <f>YEAR(Table6[[#This Row],[Date]])+IF(MONTH(Table6[[#This Row],[Date]])&gt;=4,1,0)</f>
        <v>2026</v>
      </c>
      <c r="C987" s="79">
        <f>YEAR(Table6[[#This Row],[Date]])</f>
        <v>2025</v>
      </c>
      <c r="D987" s="79" t="s">
        <v>344</v>
      </c>
      <c r="E987" s="284">
        <f>Table6[[#This Row],[Date]]-DAY(Table6[[#This Row],[Date]])+1</f>
        <v>45809</v>
      </c>
      <c r="F987" s="285">
        <v>45828</v>
      </c>
      <c r="G987" s="79" t="s">
        <v>117</v>
      </c>
      <c r="H987" s="79" t="str">
        <f>IFERROR(_xlfn.XLOOKUP(Table6[[#This Row],[Affected Feeder ]],'Basic Data'!$A:$A,'Basic Data'!$B:$B),"")</f>
        <v>PWEPL</v>
      </c>
      <c r="I987" s="79" t="str">
        <f>IFERROR(_xlfn.XLOOKUP(Table6[[#This Row],[Affected Feeder ]],'Basic Data'!$A:$A,'Basic Data'!$C:$C),"")</f>
        <v>MSEDCL</v>
      </c>
      <c r="J987" s="295">
        <f>IFERROR(_xlfn.XLOOKUP(Table6[[#This Row],[Affected Feeder ]],'Basic Data'!$A:$A,'Basic Data'!$E:$E),"")</f>
        <v>2.2727272727272728E-2</v>
      </c>
      <c r="K987" s="296" t="s">
        <v>171</v>
      </c>
      <c r="L987" s="297">
        <v>0.64722222222222225</v>
      </c>
      <c r="M987" s="297">
        <v>0.64722222222222225</v>
      </c>
      <c r="N987" s="297">
        <v>0.66111111111111109</v>
      </c>
      <c r="O987" s="298">
        <f>(Table6[[#This Row],[Work Start TimeStamp]]-Table6[[#This Row],[Fault Start TimeStamp]])*24</f>
        <v>0</v>
      </c>
      <c r="P987" s="298">
        <f>(Table6[[#This Row],[Fault Clearance time]]-Table6[[#This Row],[Fault Start TimeStamp]])*24</f>
        <v>0.33333333333333215</v>
      </c>
      <c r="Q987" s="298">
        <f>(Table6[[#This Row],[Fault Clearance time]]-Table6[[#This Row],[Fault Start TimeStamp]])*24</f>
        <v>0.33333333333333215</v>
      </c>
      <c r="R987" s="79" t="s">
        <v>353</v>
      </c>
      <c r="S987" s="79" t="s">
        <v>339</v>
      </c>
      <c r="T987" s="298">
        <f>IFERROR(Table6[[#This Row],[Breakdown Time]]*Table6[[#This Row],[Plant Equivalent Weightage]],"")</f>
        <v>7.5757575757575491E-3</v>
      </c>
      <c r="U987" s="79" t="s">
        <v>416</v>
      </c>
      <c r="W987" s="79">
        <v>36</v>
      </c>
    </row>
    <row r="988" spans="1:23">
      <c r="A988" s="79">
        <f t="shared" si="15"/>
        <v>987</v>
      </c>
      <c r="B988" s="79">
        <f>YEAR(Table6[[#This Row],[Date]])+IF(MONTH(Table6[[#This Row],[Date]])&gt;=4,1,0)</f>
        <v>2026</v>
      </c>
      <c r="C988" s="79">
        <f>YEAR(Table6[[#This Row],[Date]])</f>
        <v>2025</v>
      </c>
      <c r="D988" s="79" t="s">
        <v>344</v>
      </c>
      <c r="E988" s="284">
        <f>Table6[[#This Row],[Date]]-DAY(Table6[[#This Row],[Date]])+1</f>
        <v>45809</v>
      </c>
      <c r="F988" s="285">
        <v>45828</v>
      </c>
      <c r="G988" s="79" t="s">
        <v>118</v>
      </c>
      <c r="H988" s="79" t="str">
        <f>IFERROR(_xlfn.XLOOKUP(Table6[[#This Row],[Affected Feeder ]],'Basic Data'!$A:$A,'Basic Data'!$B:$B),"")</f>
        <v>PWEPL</v>
      </c>
      <c r="I988" s="79" t="str">
        <f>IFERROR(_xlfn.XLOOKUP(Table6[[#This Row],[Affected Feeder ]],'Basic Data'!$A:$A,'Basic Data'!$C:$C),"")</f>
        <v>MSEDCL</v>
      </c>
      <c r="J988" s="295">
        <f>IFERROR(_xlfn.XLOOKUP(Table6[[#This Row],[Affected Feeder ]],'Basic Data'!$A:$A,'Basic Data'!$E:$E),"")</f>
        <v>2.2727272727272728E-2</v>
      </c>
      <c r="K988" s="296" t="s">
        <v>936</v>
      </c>
      <c r="L988" s="297">
        <v>0.55208333333333337</v>
      </c>
      <c r="M988" s="297">
        <v>0.55208333333333337</v>
      </c>
      <c r="N988" s="297">
        <v>0.64722222222222225</v>
      </c>
      <c r="O988" s="298">
        <f>(Table6[[#This Row],[Work Start TimeStamp]]-Table6[[#This Row],[Fault Start TimeStamp]])*24</f>
        <v>0</v>
      </c>
      <c r="P988" s="298">
        <f>(Table6[[#This Row],[Fault Clearance time]]-Table6[[#This Row],[Fault Start TimeStamp]])*24</f>
        <v>2.2833333333333332</v>
      </c>
      <c r="Q988" s="298">
        <f>(Table6[[#This Row],[Fault Clearance time]]-Table6[[#This Row],[Fault Start TimeStamp]])*24</f>
        <v>2.2833333333333332</v>
      </c>
      <c r="R988" s="79" t="s">
        <v>937</v>
      </c>
      <c r="S988" s="79" t="s">
        <v>339</v>
      </c>
      <c r="T988" s="298">
        <f>IFERROR(Table6[[#This Row],[Breakdown Time]]*Table6[[#This Row],[Plant Equivalent Weightage]],"")</f>
        <v>5.1893939393939395E-2</v>
      </c>
      <c r="U988" s="79" t="s">
        <v>416</v>
      </c>
      <c r="W988" s="79">
        <v>3825</v>
      </c>
    </row>
    <row r="989" spans="1:23">
      <c r="A989" s="79">
        <f t="shared" si="15"/>
        <v>988</v>
      </c>
      <c r="B989" s="79">
        <f>YEAR(Table6[[#This Row],[Date]])+IF(MONTH(Table6[[#This Row],[Date]])&gt;=4,1,0)</f>
        <v>2026</v>
      </c>
      <c r="C989" s="79">
        <f>YEAR(Table6[[#This Row],[Date]])</f>
        <v>2025</v>
      </c>
      <c r="D989" s="79" t="s">
        <v>344</v>
      </c>
      <c r="E989" s="284">
        <f>Table6[[#This Row],[Date]]-DAY(Table6[[#This Row],[Date]])+1</f>
        <v>45809</v>
      </c>
      <c r="F989" s="285">
        <v>45828</v>
      </c>
      <c r="G989" s="79" t="s">
        <v>118</v>
      </c>
      <c r="H989" s="79" t="str">
        <f>IFERROR(_xlfn.XLOOKUP(Table6[[#This Row],[Affected Feeder ]],'Basic Data'!$A:$A,'Basic Data'!$B:$B),"")</f>
        <v>PWEPL</v>
      </c>
      <c r="I989" s="79" t="str">
        <f>IFERROR(_xlfn.XLOOKUP(Table6[[#This Row],[Affected Feeder ]],'Basic Data'!$A:$A,'Basic Data'!$C:$C),"")</f>
        <v>MSEDCL</v>
      </c>
      <c r="J989" s="295">
        <f>IFERROR(_xlfn.XLOOKUP(Table6[[#This Row],[Affected Feeder ]],'Basic Data'!$A:$A,'Basic Data'!$E:$E),"")</f>
        <v>2.2727272727272728E-2</v>
      </c>
      <c r="K989" s="296" t="s">
        <v>171</v>
      </c>
      <c r="L989" s="297">
        <v>0.64722222222222225</v>
      </c>
      <c r="M989" s="297">
        <v>0.64722222222222225</v>
      </c>
      <c r="N989" s="297">
        <v>0.66111111111111109</v>
      </c>
      <c r="O989" s="298">
        <f>(Table6[[#This Row],[Work Start TimeStamp]]-Table6[[#This Row],[Fault Start TimeStamp]])*24</f>
        <v>0</v>
      </c>
      <c r="P989" s="298">
        <f>(Table6[[#This Row],[Fault Clearance time]]-Table6[[#This Row],[Fault Start TimeStamp]])*24</f>
        <v>0.33333333333333215</v>
      </c>
      <c r="Q989" s="298">
        <f>(Table6[[#This Row],[Fault Clearance time]]-Table6[[#This Row],[Fault Start TimeStamp]])*24</f>
        <v>0.33333333333333215</v>
      </c>
      <c r="R989" s="79" t="s">
        <v>353</v>
      </c>
      <c r="S989" s="79" t="s">
        <v>339</v>
      </c>
      <c r="T989" s="298">
        <f>IFERROR(Table6[[#This Row],[Breakdown Time]]*Table6[[#This Row],[Plant Equivalent Weightage]],"")</f>
        <v>7.5757575757575491E-3</v>
      </c>
      <c r="U989" s="79" t="s">
        <v>416</v>
      </c>
      <c r="W989" s="79">
        <v>653</v>
      </c>
    </row>
    <row r="990" spans="1:23">
      <c r="A990" s="79">
        <f t="shared" si="15"/>
        <v>989</v>
      </c>
      <c r="B990" s="79">
        <f>YEAR(Table6[[#This Row],[Date]])+IF(MONTH(Table6[[#This Row],[Date]])&gt;=4,1,0)</f>
        <v>2026</v>
      </c>
      <c r="C990" s="79">
        <f>YEAR(Table6[[#This Row],[Date]])</f>
        <v>2025</v>
      </c>
      <c r="D990" s="79" t="s">
        <v>344</v>
      </c>
      <c r="E990" s="284">
        <f>Table6[[#This Row],[Date]]-DAY(Table6[[#This Row],[Date]])+1</f>
        <v>45809</v>
      </c>
      <c r="F990" s="285">
        <v>45831</v>
      </c>
      <c r="G990" s="79" t="s">
        <v>406</v>
      </c>
      <c r="H990" s="79" t="str">
        <f>IFERROR(_xlfn.XLOOKUP(Table6[[#This Row],[Affected Feeder ]],'Basic Data'!$A:$A,'Basic Data'!$B:$B),"")</f>
        <v>PWEPL</v>
      </c>
      <c r="I990" s="79" t="str">
        <f>IFERROR(_xlfn.XLOOKUP(Table6[[#This Row],[Affected Feeder ]],'Basic Data'!$A:$A,'Basic Data'!$C:$C),"")</f>
        <v>MSEDCL</v>
      </c>
      <c r="J990" s="295">
        <f>IFERROR(_xlfn.XLOOKUP(Table6[[#This Row],[Affected Feeder ]],'Basic Data'!$A:$A,'Basic Data'!$E:$E),"")</f>
        <v>0.29545454545454541</v>
      </c>
      <c r="K990" s="296" t="s">
        <v>447</v>
      </c>
      <c r="L990" s="297">
        <v>0.32500000000000001</v>
      </c>
      <c r="M990" s="297">
        <v>0.32500000000000001</v>
      </c>
      <c r="N990" s="297">
        <v>0.47916666666666669</v>
      </c>
      <c r="O990" s="298">
        <f>(Table6[[#This Row],[Work Start TimeStamp]]-Table6[[#This Row],[Fault Start TimeStamp]])*24</f>
        <v>0</v>
      </c>
      <c r="P990" s="298">
        <f>(Table6[[#This Row],[Fault Clearance time]]-Table6[[#This Row],[Fault Start TimeStamp]])*24</f>
        <v>3.7</v>
      </c>
      <c r="Q990" s="298">
        <f>(Table6[[#This Row],[Fault Clearance time]]-Table6[[#This Row],[Fault Start TimeStamp]])*24</f>
        <v>3.7</v>
      </c>
      <c r="R990" s="79" t="s">
        <v>420</v>
      </c>
      <c r="S990" s="79" t="s">
        <v>339</v>
      </c>
      <c r="T990" s="298">
        <f>IFERROR(Table6[[#This Row],[Breakdown Time]]*Table6[[#This Row],[Plant Equivalent Weightage]],"")</f>
        <v>1.093181818181818</v>
      </c>
      <c r="U990" s="79" t="s">
        <v>421</v>
      </c>
      <c r="W990" s="79">
        <v>33792</v>
      </c>
    </row>
    <row r="991" spans="1:23">
      <c r="A991" s="79">
        <f t="shared" si="15"/>
        <v>990</v>
      </c>
      <c r="B991" s="79">
        <f>YEAR(Table6[[#This Row],[Date]])+IF(MONTH(Table6[[#This Row],[Date]])&gt;=4,1,0)</f>
        <v>2026</v>
      </c>
      <c r="C991" s="79">
        <f>YEAR(Table6[[#This Row],[Date]])</f>
        <v>2025</v>
      </c>
      <c r="D991" s="79" t="s">
        <v>344</v>
      </c>
      <c r="E991" s="284">
        <f>Table6[[#This Row],[Date]]-DAY(Table6[[#This Row],[Date]])+1</f>
        <v>45809</v>
      </c>
      <c r="F991" s="285">
        <v>45831</v>
      </c>
      <c r="G991" s="79" t="s">
        <v>76</v>
      </c>
      <c r="H991" s="79" t="str">
        <f>IFERROR(_xlfn.XLOOKUP(Table6[[#This Row],[Affected Feeder ]],'Basic Data'!$A:$A,'Basic Data'!$B:$B),"")</f>
        <v>PWEPL</v>
      </c>
      <c r="I991" s="79" t="str">
        <f>IFERROR(_xlfn.XLOOKUP(Table6[[#This Row],[Affected Feeder ]],'Basic Data'!$A:$A,'Basic Data'!$C:$C),"")</f>
        <v>MSEDCL</v>
      </c>
      <c r="J991" s="295">
        <f>IFERROR(_xlfn.XLOOKUP(Table6[[#This Row],[Affected Feeder ]],'Basic Data'!$A:$A,'Basic Data'!$E:$E),"")</f>
        <v>2.2727272727272728E-2</v>
      </c>
      <c r="K991" s="296" t="s">
        <v>171</v>
      </c>
      <c r="L991" s="297">
        <v>0.47916666666666669</v>
      </c>
      <c r="M991" s="297">
        <v>0.47916666666666669</v>
      </c>
      <c r="N991" s="297">
        <v>0.48680555555555555</v>
      </c>
      <c r="O991" s="298">
        <f>(Table6[[#This Row],[Work Start TimeStamp]]-Table6[[#This Row],[Fault Start TimeStamp]])*24</f>
        <v>0</v>
      </c>
      <c r="P991" s="298">
        <f>(Table6[[#This Row],[Fault Clearance time]]-Table6[[#This Row],[Fault Start TimeStamp]])*24</f>
        <v>0.18333333333333268</v>
      </c>
      <c r="Q991" s="298">
        <f>(Table6[[#This Row],[Fault Clearance time]]-Table6[[#This Row],[Fault Start TimeStamp]])*24</f>
        <v>0.18333333333333268</v>
      </c>
      <c r="R991" s="79" t="s">
        <v>353</v>
      </c>
      <c r="S991" s="79" t="s">
        <v>339</v>
      </c>
      <c r="T991" s="298">
        <f>IFERROR(Table6[[#This Row],[Breakdown Time]]*Table6[[#This Row],[Plant Equivalent Weightage]],"")</f>
        <v>4.1666666666666519E-3</v>
      </c>
      <c r="U991" s="79" t="s">
        <v>421</v>
      </c>
      <c r="W991" s="79">
        <v>241</v>
      </c>
    </row>
    <row r="992" spans="1:23">
      <c r="A992" s="79">
        <f t="shared" si="15"/>
        <v>991</v>
      </c>
      <c r="B992" s="79">
        <f>YEAR(Table6[[#This Row],[Date]])+IF(MONTH(Table6[[#This Row],[Date]])&gt;=4,1,0)</f>
        <v>2026</v>
      </c>
      <c r="C992" s="79">
        <f>YEAR(Table6[[#This Row],[Date]])</f>
        <v>2025</v>
      </c>
      <c r="D992" s="79" t="s">
        <v>344</v>
      </c>
      <c r="E992" s="284">
        <f>Table6[[#This Row],[Date]]-DAY(Table6[[#This Row],[Date]])+1</f>
        <v>45809</v>
      </c>
      <c r="F992" s="285">
        <v>45831</v>
      </c>
      <c r="G992" s="79" t="s">
        <v>77</v>
      </c>
      <c r="H992" s="79" t="str">
        <f>IFERROR(_xlfn.XLOOKUP(Table6[[#This Row],[Affected Feeder ]],'Basic Data'!$A:$A,'Basic Data'!$B:$B),"")</f>
        <v>PWEPL</v>
      </c>
      <c r="I992" s="79" t="str">
        <f>IFERROR(_xlfn.XLOOKUP(Table6[[#This Row],[Affected Feeder ]],'Basic Data'!$A:$A,'Basic Data'!$C:$C),"")</f>
        <v>MSEDCL</v>
      </c>
      <c r="J992" s="295">
        <f>IFERROR(_xlfn.XLOOKUP(Table6[[#This Row],[Affected Feeder ]],'Basic Data'!$A:$A,'Basic Data'!$E:$E),"")</f>
        <v>2.2727272727272728E-2</v>
      </c>
      <c r="K992" s="296" t="s">
        <v>171</v>
      </c>
      <c r="L992" s="297">
        <v>0.47916666666666669</v>
      </c>
      <c r="M992" s="297">
        <v>0.47916666666666669</v>
      </c>
      <c r="N992" s="297">
        <v>0.48472222222222222</v>
      </c>
      <c r="O992" s="298">
        <f>(Table6[[#This Row],[Work Start TimeStamp]]-Table6[[#This Row],[Fault Start TimeStamp]])*24</f>
        <v>0</v>
      </c>
      <c r="P992" s="298">
        <f>(Table6[[#This Row],[Fault Clearance time]]-Table6[[#This Row],[Fault Start TimeStamp]])*24</f>
        <v>0.13333333333333286</v>
      </c>
      <c r="Q992" s="298">
        <f>(Table6[[#This Row],[Fault Clearance time]]-Table6[[#This Row],[Fault Start TimeStamp]])*24</f>
        <v>0.13333333333333286</v>
      </c>
      <c r="R992" s="79" t="s">
        <v>353</v>
      </c>
      <c r="S992" s="79" t="s">
        <v>339</v>
      </c>
      <c r="T992" s="298">
        <f>IFERROR(Table6[[#This Row],[Breakdown Time]]*Table6[[#This Row],[Plant Equivalent Weightage]],"")</f>
        <v>3.0303030303030195E-3</v>
      </c>
      <c r="U992" s="79" t="s">
        <v>421</v>
      </c>
      <c r="W992" s="79">
        <v>175</v>
      </c>
    </row>
    <row r="993" spans="1:23">
      <c r="A993" s="79">
        <f t="shared" si="15"/>
        <v>992</v>
      </c>
      <c r="B993" s="79">
        <f>YEAR(Table6[[#This Row],[Date]])+IF(MONTH(Table6[[#This Row],[Date]])&gt;=4,1,0)</f>
        <v>2026</v>
      </c>
      <c r="C993" s="79">
        <f>YEAR(Table6[[#This Row],[Date]])</f>
        <v>2025</v>
      </c>
      <c r="D993" s="79" t="s">
        <v>344</v>
      </c>
      <c r="E993" s="284">
        <f>Table6[[#This Row],[Date]]-DAY(Table6[[#This Row],[Date]])+1</f>
        <v>45809</v>
      </c>
      <c r="F993" s="285">
        <v>45831</v>
      </c>
      <c r="G993" s="79" t="s">
        <v>78</v>
      </c>
      <c r="H993" s="79" t="str">
        <f>IFERROR(_xlfn.XLOOKUP(Table6[[#This Row],[Affected Feeder ]],'Basic Data'!$A:$A,'Basic Data'!$B:$B),"")</f>
        <v>PWEPL</v>
      </c>
      <c r="I993" s="79" t="str">
        <f>IFERROR(_xlfn.XLOOKUP(Table6[[#This Row],[Affected Feeder ]],'Basic Data'!$A:$A,'Basic Data'!$C:$C),"")</f>
        <v>MSEDCL</v>
      </c>
      <c r="J993" s="295">
        <f>IFERROR(_xlfn.XLOOKUP(Table6[[#This Row],[Affected Feeder ]],'Basic Data'!$A:$A,'Basic Data'!$E:$E),"")</f>
        <v>2.2727272727272728E-2</v>
      </c>
      <c r="K993" s="296" t="s">
        <v>171</v>
      </c>
      <c r="L993" s="297">
        <v>0.47916666666666669</v>
      </c>
      <c r="M993" s="297">
        <v>0.47916666666666669</v>
      </c>
      <c r="N993" s="297">
        <v>0.48819444444444443</v>
      </c>
      <c r="O993" s="298">
        <f>(Table6[[#This Row],[Work Start TimeStamp]]-Table6[[#This Row],[Fault Start TimeStamp]])*24</f>
        <v>0</v>
      </c>
      <c r="P993" s="298">
        <f>(Table6[[#This Row],[Fault Clearance time]]-Table6[[#This Row],[Fault Start TimeStamp]])*24</f>
        <v>0.2166666666666659</v>
      </c>
      <c r="Q993" s="298">
        <f>(Table6[[#This Row],[Fault Clearance time]]-Table6[[#This Row],[Fault Start TimeStamp]])*24</f>
        <v>0.2166666666666659</v>
      </c>
      <c r="R993" s="79" t="s">
        <v>353</v>
      </c>
      <c r="S993" s="79" t="s">
        <v>339</v>
      </c>
      <c r="T993" s="298">
        <f>IFERROR(Table6[[#This Row],[Breakdown Time]]*Table6[[#This Row],[Plant Equivalent Weightage]],"")</f>
        <v>4.9242424242424065E-3</v>
      </c>
      <c r="U993" s="79" t="s">
        <v>421</v>
      </c>
      <c r="W993" s="79">
        <v>285</v>
      </c>
    </row>
    <row r="994" spans="1:23">
      <c r="A994" s="79">
        <f t="shared" si="15"/>
        <v>993</v>
      </c>
      <c r="B994" s="79">
        <f>YEAR(Table6[[#This Row],[Date]])+IF(MONTH(Table6[[#This Row],[Date]])&gt;=4,1,0)</f>
        <v>2026</v>
      </c>
      <c r="C994" s="79">
        <f>YEAR(Table6[[#This Row],[Date]])</f>
        <v>2025</v>
      </c>
      <c r="D994" s="79" t="s">
        <v>344</v>
      </c>
      <c r="E994" s="284">
        <f>Table6[[#This Row],[Date]]-DAY(Table6[[#This Row],[Date]])+1</f>
        <v>45809</v>
      </c>
      <c r="F994" s="285">
        <v>45831</v>
      </c>
      <c r="G994" s="79" t="s">
        <v>82</v>
      </c>
      <c r="H994" s="79" t="str">
        <f>IFERROR(_xlfn.XLOOKUP(Table6[[#This Row],[Affected Feeder ]],'Basic Data'!$A:$A,'Basic Data'!$B:$B),"")</f>
        <v>PWEPL</v>
      </c>
      <c r="I994" s="79" t="str">
        <f>IFERROR(_xlfn.XLOOKUP(Table6[[#This Row],[Affected Feeder ]],'Basic Data'!$A:$A,'Basic Data'!$C:$C),"")</f>
        <v>MSEDCL</v>
      </c>
      <c r="J994" s="295">
        <f>IFERROR(_xlfn.XLOOKUP(Table6[[#This Row],[Affected Feeder ]],'Basic Data'!$A:$A,'Basic Data'!$E:$E),"")</f>
        <v>2.2727272727272728E-2</v>
      </c>
      <c r="K994" s="296" t="s">
        <v>171</v>
      </c>
      <c r="L994" s="297">
        <v>0.47916666666666669</v>
      </c>
      <c r="M994" s="297">
        <v>0.47916666666666669</v>
      </c>
      <c r="N994" s="297">
        <v>0.48888888888888887</v>
      </c>
      <c r="O994" s="298">
        <f>(Table6[[#This Row],[Work Start TimeStamp]]-Table6[[#This Row],[Fault Start TimeStamp]])*24</f>
        <v>0</v>
      </c>
      <c r="P994" s="298">
        <f>(Table6[[#This Row],[Fault Clearance time]]-Table6[[#This Row],[Fault Start TimeStamp]])*24</f>
        <v>0.2333333333333325</v>
      </c>
      <c r="Q994" s="298">
        <f>(Table6[[#This Row],[Fault Clearance time]]-Table6[[#This Row],[Fault Start TimeStamp]])*24</f>
        <v>0.2333333333333325</v>
      </c>
      <c r="R994" s="79" t="s">
        <v>353</v>
      </c>
      <c r="S994" s="79" t="s">
        <v>339</v>
      </c>
      <c r="T994" s="298">
        <f>IFERROR(Table6[[#This Row],[Breakdown Time]]*Table6[[#This Row],[Plant Equivalent Weightage]],"")</f>
        <v>5.3030303030302843E-3</v>
      </c>
      <c r="U994" s="79" t="s">
        <v>421</v>
      </c>
      <c r="W994" s="79">
        <v>307</v>
      </c>
    </row>
    <row r="995" spans="1:23">
      <c r="A995" s="79">
        <f t="shared" si="15"/>
        <v>994</v>
      </c>
      <c r="B995" s="79">
        <f>YEAR(Table6[[#This Row],[Date]])+IF(MONTH(Table6[[#This Row],[Date]])&gt;=4,1,0)</f>
        <v>2026</v>
      </c>
      <c r="C995" s="79">
        <f>YEAR(Table6[[#This Row],[Date]])</f>
        <v>2025</v>
      </c>
      <c r="D995" s="79" t="s">
        <v>344</v>
      </c>
      <c r="E995" s="284">
        <f>Table6[[#This Row],[Date]]-DAY(Table6[[#This Row],[Date]])+1</f>
        <v>45809</v>
      </c>
      <c r="F995" s="285">
        <v>45831</v>
      </c>
      <c r="G995" s="79" t="s">
        <v>93</v>
      </c>
      <c r="H995" s="79" t="str">
        <f>IFERROR(_xlfn.XLOOKUP(Table6[[#This Row],[Affected Feeder ]],'Basic Data'!$A:$A,'Basic Data'!$B:$B),"")</f>
        <v>PWEPL</v>
      </c>
      <c r="I995" s="79" t="str">
        <f>IFERROR(_xlfn.XLOOKUP(Table6[[#This Row],[Affected Feeder ]],'Basic Data'!$A:$A,'Basic Data'!$C:$C),"")</f>
        <v>MSEDCL</v>
      </c>
      <c r="J995" s="295">
        <f>IFERROR(_xlfn.XLOOKUP(Table6[[#This Row],[Affected Feeder ]],'Basic Data'!$A:$A,'Basic Data'!$E:$E),"")</f>
        <v>2.2727272727272728E-2</v>
      </c>
      <c r="K995" s="296" t="s">
        <v>171</v>
      </c>
      <c r="L995" s="297">
        <v>0.47916666666666669</v>
      </c>
      <c r="M995" s="297">
        <v>0.47916666666666669</v>
      </c>
      <c r="N995" s="297">
        <v>0.48888888888888887</v>
      </c>
      <c r="O995" s="298">
        <f>(Table6[[#This Row],[Work Start TimeStamp]]-Table6[[#This Row],[Fault Start TimeStamp]])*24</f>
        <v>0</v>
      </c>
      <c r="P995" s="298">
        <f>(Table6[[#This Row],[Fault Clearance time]]-Table6[[#This Row],[Fault Start TimeStamp]])*24</f>
        <v>0.2333333333333325</v>
      </c>
      <c r="Q995" s="298">
        <f>(Table6[[#This Row],[Fault Clearance time]]-Table6[[#This Row],[Fault Start TimeStamp]])*24</f>
        <v>0.2333333333333325</v>
      </c>
      <c r="R995" s="79" t="s">
        <v>353</v>
      </c>
      <c r="S995" s="79" t="s">
        <v>339</v>
      </c>
      <c r="T995" s="298">
        <f>IFERROR(Table6[[#This Row],[Breakdown Time]]*Table6[[#This Row],[Plant Equivalent Weightage]],"")</f>
        <v>5.3030303030302843E-3</v>
      </c>
      <c r="U995" s="79" t="s">
        <v>421</v>
      </c>
      <c r="W995" s="79">
        <v>307</v>
      </c>
    </row>
    <row r="996" spans="1:23">
      <c r="A996" s="79">
        <f t="shared" si="15"/>
        <v>995</v>
      </c>
      <c r="B996" s="79">
        <f>YEAR(Table6[[#This Row],[Date]])+IF(MONTH(Table6[[#This Row],[Date]])&gt;=4,1,0)</f>
        <v>2026</v>
      </c>
      <c r="C996" s="79">
        <f>YEAR(Table6[[#This Row],[Date]])</f>
        <v>2025</v>
      </c>
      <c r="D996" s="79" t="s">
        <v>344</v>
      </c>
      <c r="E996" s="284">
        <f>Table6[[#This Row],[Date]]-DAY(Table6[[#This Row],[Date]])+1</f>
        <v>45809</v>
      </c>
      <c r="F996" s="285">
        <v>45831</v>
      </c>
      <c r="G996" s="79" t="s">
        <v>102</v>
      </c>
      <c r="H996" s="79" t="str">
        <f>IFERROR(_xlfn.XLOOKUP(Table6[[#This Row],[Affected Feeder ]],'Basic Data'!$A:$A,'Basic Data'!$B:$B),"")</f>
        <v>PWEPL</v>
      </c>
      <c r="I996" s="79" t="str">
        <f>IFERROR(_xlfn.XLOOKUP(Table6[[#This Row],[Affected Feeder ]],'Basic Data'!$A:$A,'Basic Data'!$C:$C),"")</f>
        <v>MSEDCL</v>
      </c>
      <c r="J996" s="295">
        <f>IFERROR(_xlfn.XLOOKUP(Table6[[#This Row],[Affected Feeder ]],'Basic Data'!$A:$A,'Basic Data'!$E:$E),"")</f>
        <v>2.2727272727272728E-2</v>
      </c>
      <c r="K996" s="296" t="s">
        <v>171</v>
      </c>
      <c r="L996" s="297">
        <v>0.47916666666666669</v>
      </c>
      <c r="M996" s="297">
        <v>0.47916666666666669</v>
      </c>
      <c r="N996" s="297">
        <v>0.48958333333333331</v>
      </c>
      <c r="O996" s="298">
        <f>(Table6[[#This Row],[Work Start TimeStamp]]-Table6[[#This Row],[Fault Start TimeStamp]])*24</f>
        <v>0</v>
      </c>
      <c r="P996" s="298">
        <f>(Table6[[#This Row],[Fault Clearance time]]-Table6[[#This Row],[Fault Start TimeStamp]])*24</f>
        <v>0.24999999999999911</v>
      </c>
      <c r="Q996" s="298">
        <f>(Table6[[#This Row],[Fault Clearance time]]-Table6[[#This Row],[Fault Start TimeStamp]])*24</f>
        <v>0.24999999999999911</v>
      </c>
      <c r="R996" s="79" t="s">
        <v>353</v>
      </c>
      <c r="S996" s="79" t="s">
        <v>339</v>
      </c>
      <c r="T996" s="298">
        <f>IFERROR(Table6[[#This Row],[Breakdown Time]]*Table6[[#This Row],[Plant Equivalent Weightage]],"")</f>
        <v>5.681818181818162E-3</v>
      </c>
      <c r="U996" s="79" t="s">
        <v>421</v>
      </c>
      <c r="W996" s="79">
        <v>329</v>
      </c>
    </row>
    <row r="997" spans="1:23">
      <c r="A997" s="79">
        <f t="shared" si="15"/>
        <v>996</v>
      </c>
      <c r="B997" s="79">
        <f>YEAR(Table6[[#This Row],[Date]])+IF(MONTH(Table6[[#This Row],[Date]])&gt;=4,1,0)</f>
        <v>2026</v>
      </c>
      <c r="C997" s="79">
        <f>YEAR(Table6[[#This Row],[Date]])</f>
        <v>2025</v>
      </c>
      <c r="D997" s="79" t="s">
        <v>344</v>
      </c>
      <c r="E997" s="284">
        <f>Table6[[#This Row],[Date]]-DAY(Table6[[#This Row],[Date]])+1</f>
        <v>45809</v>
      </c>
      <c r="F997" s="285">
        <v>45831</v>
      </c>
      <c r="G997" s="79" t="s">
        <v>119</v>
      </c>
      <c r="H997" s="79" t="str">
        <f>IFERROR(_xlfn.XLOOKUP(Table6[[#This Row],[Affected Feeder ]],'Basic Data'!$A:$A,'Basic Data'!$B:$B),"")</f>
        <v>PWEPL</v>
      </c>
      <c r="I997" s="79" t="str">
        <f>IFERROR(_xlfn.XLOOKUP(Table6[[#This Row],[Affected Feeder ]],'Basic Data'!$A:$A,'Basic Data'!$C:$C),"")</f>
        <v>MSEDCL</v>
      </c>
      <c r="J997" s="295">
        <f>IFERROR(_xlfn.XLOOKUP(Table6[[#This Row],[Affected Feeder ]],'Basic Data'!$A:$A,'Basic Data'!$E:$E),"")</f>
        <v>2.2727272727272728E-2</v>
      </c>
      <c r="K997" s="296" t="s">
        <v>171</v>
      </c>
      <c r="L997" s="297">
        <v>0.47916666666666669</v>
      </c>
      <c r="M997" s="297">
        <v>0.47916666666666669</v>
      </c>
      <c r="N997" s="297">
        <v>0.48402777777777778</v>
      </c>
      <c r="O997" s="298">
        <f>(Table6[[#This Row],[Work Start TimeStamp]]-Table6[[#This Row],[Fault Start TimeStamp]])*24</f>
        <v>0</v>
      </c>
      <c r="P997" s="298">
        <f>(Table6[[#This Row],[Fault Clearance time]]-Table6[[#This Row],[Fault Start TimeStamp]])*24</f>
        <v>0.11666666666666625</v>
      </c>
      <c r="Q997" s="298">
        <f>(Table6[[#This Row],[Fault Clearance time]]-Table6[[#This Row],[Fault Start TimeStamp]])*24</f>
        <v>0.11666666666666625</v>
      </c>
      <c r="R997" s="79" t="s">
        <v>353</v>
      </c>
      <c r="S997" s="79" t="s">
        <v>339</v>
      </c>
      <c r="T997" s="298">
        <f>IFERROR(Table6[[#This Row],[Breakdown Time]]*Table6[[#This Row],[Plant Equivalent Weightage]],"")</f>
        <v>2.6515151515151421E-3</v>
      </c>
      <c r="U997" s="79" t="s">
        <v>421</v>
      </c>
      <c r="W997" s="79">
        <v>153</v>
      </c>
    </row>
    <row r="998" spans="1:23">
      <c r="A998" s="79">
        <f t="shared" si="15"/>
        <v>997</v>
      </c>
      <c r="B998" s="79">
        <f>YEAR(Table6[[#This Row],[Date]])+IF(MONTH(Table6[[#This Row],[Date]])&gt;=4,1,0)</f>
        <v>2026</v>
      </c>
      <c r="C998" s="79">
        <f>YEAR(Table6[[#This Row],[Date]])</f>
        <v>2025</v>
      </c>
      <c r="D998" s="79" t="s">
        <v>344</v>
      </c>
      <c r="E998" s="284">
        <f>Table6[[#This Row],[Date]]-DAY(Table6[[#This Row],[Date]])+1</f>
        <v>45809</v>
      </c>
      <c r="F998" s="285">
        <v>45831</v>
      </c>
      <c r="G998" s="79" t="s">
        <v>103</v>
      </c>
      <c r="H998" s="79" t="str">
        <f>IFERROR(_xlfn.XLOOKUP(Table6[[#This Row],[Affected Feeder ]],'Basic Data'!$A:$A,'Basic Data'!$B:$B),"")</f>
        <v>PWEPL</v>
      </c>
      <c r="I998" s="79" t="str">
        <f>IFERROR(_xlfn.XLOOKUP(Table6[[#This Row],[Affected Feeder ]],'Basic Data'!$A:$A,'Basic Data'!$C:$C),"")</f>
        <v>MSEDCL</v>
      </c>
      <c r="J998" s="295">
        <f>IFERROR(_xlfn.XLOOKUP(Table6[[#This Row],[Affected Feeder ]],'Basic Data'!$A:$A,'Basic Data'!$E:$E),"")</f>
        <v>2.2727272727272728E-2</v>
      </c>
      <c r="K998" s="296" t="s">
        <v>909</v>
      </c>
      <c r="L998" s="297">
        <v>0.47916666666666669</v>
      </c>
      <c r="M998" s="297">
        <v>0.47916666666666669</v>
      </c>
      <c r="N998" s="297">
        <v>0.50763888888888886</v>
      </c>
      <c r="O998" s="298">
        <f>(Table6[[#This Row],[Work Start TimeStamp]]-Table6[[#This Row],[Fault Start TimeStamp]])*24</f>
        <v>0</v>
      </c>
      <c r="P998" s="298">
        <f>(Table6[[#This Row],[Fault Clearance time]]-Table6[[#This Row],[Fault Start TimeStamp]])*24</f>
        <v>0.68333333333333224</v>
      </c>
      <c r="Q998" s="298">
        <f>(Table6[[#This Row],[Fault Clearance time]]-Table6[[#This Row],[Fault Start TimeStamp]])*24</f>
        <v>0.68333333333333224</v>
      </c>
      <c r="R998" s="79" t="s">
        <v>353</v>
      </c>
      <c r="S998" s="79" t="s">
        <v>339</v>
      </c>
      <c r="T998" s="298">
        <f>IFERROR(Table6[[#This Row],[Breakdown Time]]*Table6[[#This Row],[Plant Equivalent Weightage]],"")</f>
        <v>1.5530303030303005E-2</v>
      </c>
      <c r="U998" s="79" t="s">
        <v>421</v>
      </c>
      <c r="W998" s="79">
        <v>1062</v>
      </c>
    </row>
    <row r="999" spans="1:23">
      <c r="A999" s="79">
        <f t="shared" si="15"/>
        <v>998</v>
      </c>
      <c r="B999" s="79">
        <f>YEAR(Table6[[#This Row],[Date]])+IF(MONTH(Table6[[#This Row],[Date]])&gt;=4,1,0)</f>
        <v>2026</v>
      </c>
      <c r="C999" s="79">
        <f>YEAR(Table6[[#This Row],[Date]])</f>
        <v>2025</v>
      </c>
      <c r="D999" s="79" t="s">
        <v>344</v>
      </c>
      <c r="E999" s="284">
        <f>Table6[[#This Row],[Date]]-DAY(Table6[[#This Row],[Date]])+1</f>
        <v>45809</v>
      </c>
      <c r="F999" s="285">
        <v>45831</v>
      </c>
      <c r="G999" s="79" t="s">
        <v>103</v>
      </c>
      <c r="H999" s="79" t="str">
        <f>IFERROR(_xlfn.XLOOKUP(Table6[[#This Row],[Affected Feeder ]],'Basic Data'!$A:$A,'Basic Data'!$B:$B),"")</f>
        <v>PWEPL</v>
      </c>
      <c r="I999" s="79" t="str">
        <f>IFERROR(_xlfn.XLOOKUP(Table6[[#This Row],[Affected Feeder ]],'Basic Data'!$A:$A,'Basic Data'!$C:$C),"")</f>
        <v>MSEDCL</v>
      </c>
      <c r="J999" s="295">
        <f>IFERROR(_xlfn.XLOOKUP(Table6[[#This Row],[Affected Feeder ]],'Basic Data'!$A:$A,'Basic Data'!$E:$E),"")</f>
        <v>2.2727272727272728E-2</v>
      </c>
      <c r="K999" s="296" t="s">
        <v>171</v>
      </c>
      <c r="L999" s="297">
        <v>0.50763888888888886</v>
      </c>
      <c r="M999" s="297">
        <v>0.50763888888888886</v>
      </c>
      <c r="N999" s="297">
        <v>0.52152777777777781</v>
      </c>
      <c r="O999" s="298">
        <f>(Table6[[#This Row],[Work Start TimeStamp]]-Table6[[#This Row],[Fault Start TimeStamp]])*24</f>
        <v>0</v>
      </c>
      <c r="P999" s="298">
        <f>(Table6[[#This Row],[Fault Clearance time]]-Table6[[#This Row],[Fault Start TimeStamp]])*24</f>
        <v>0.33333333333333481</v>
      </c>
      <c r="Q999" s="298">
        <f>(Table6[[#This Row],[Fault Clearance time]]-Table6[[#This Row],[Fault Start TimeStamp]])*24</f>
        <v>0.33333333333333481</v>
      </c>
      <c r="R999" s="79" t="s">
        <v>353</v>
      </c>
      <c r="S999" s="79" t="s">
        <v>339</v>
      </c>
      <c r="T999" s="298">
        <f>IFERROR(Table6[[#This Row],[Breakdown Time]]*Table6[[#This Row],[Plant Equivalent Weightage]],"")</f>
        <v>7.5757575757576098E-3</v>
      </c>
      <c r="U999" s="79" t="s">
        <v>421</v>
      </c>
      <c r="W999" s="79">
        <v>531</v>
      </c>
    </row>
    <row r="1000" spans="1:23">
      <c r="A1000" s="79">
        <f t="shared" si="15"/>
        <v>999</v>
      </c>
      <c r="B1000" s="79">
        <f>YEAR(Table6[[#This Row],[Date]])+IF(MONTH(Table6[[#This Row],[Date]])&gt;=4,1,0)</f>
        <v>2026</v>
      </c>
      <c r="C1000" s="79">
        <f>YEAR(Table6[[#This Row],[Date]])</f>
        <v>2025</v>
      </c>
      <c r="D1000" s="79" t="s">
        <v>344</v>
      </c>
      <c r="E1000" s="284">
        <f>Table6[[#This Row],[Date]]-DAY(Table6[[#This Row],[Date]])+1</f>
        <v>45809</v>
      </c>
      <c r="F1000" s="285">
        <v>45831</v>
      </c>
      <c r="G1000" s="79" t="s">
        <v>105</v>
      </c>
      <c r="H1000" s="79" t="str">
        <f>IFERROR(_xlfn.XLOOKUP(Table6[[#This Row],[Affected Feeder ]],'Basic Data'!$A:$A,'Basic Data'!$B:$B),"")</f>
        <v>PWEPL</v>
      </c>
      <c r="I1000" s="79" t="str">
        <f>IFERROR(_xlfn.XLOOKUP(Table6[[#This Row],[Affected Feeder ]],'Basic Data'!$A:$A,'Basic Data'!$C:$C),"")</f>
        <v>MSEDCL</v>
      </c>
      <c r="J1000" s="295">
        <f>IFERROR(_xlfn.XLOOKUP(Table6[[#This Row],[Affected Feeder ]],'Basic Data'!$A:$A,'Basic Data'!$E:$E),"")</f>
        <v>2.2727272727272728E-2</v>
      </c>
      <c r="K1000" s="296" t="s">
        <v>909</v>
      </c>
      <c r="L1000" s="297">
        <v>0.47916666666666669</v>
      </c>
      <c r="M1000" s="297">
        <v>0.47916666666666669</v>
      </c>
      <c r="N1000" s="297">
        <v>0.50763888888888886</v>
      </c>
      <c r="O1000" s="298">
        <f>(Table6[[#This Row],[Work Start TimeStamp]]-Table6[[#This Row],[Fault Start TimeStamp]])*24</f>
        <v>0</v>
      </c>
      <c r="P1000" s="298">
        <f>(Table6[[#This Row],[Fault Clearance time]]-Table6[[#This Row],[Fault Start TimeStamp]])*24</f>
        <v>0.68333333333333224</v>
      </c>
      <c r="Q1000" s="298">
        <f>(Table6[[#This Row],[Fault Clearance time]]-Table6[[#This Row],[Fault Start TimeStamp]])*24</f>
        <v>0.68333333333333224</v>
      </c>
      <c r="R1000" s="79" t="s">
        <v>353</v>
      </c>
      <c r="S1000" s="79" t="s">
        <v>339</v>
      </c>
      <c r="T1000" s="298">
        <f>IFERROR(Table6[[#This Row],[Breakdown Time]]*Table6[[#This Row],[Plant Equivalent Weightage]],"")</f>
        <v>1.5530303030303005E-2</v>
      </c>
      <c r="U1000" s="79" t="s">
        <v>421</v>
      </c>
      <c r="W1000" s="79">
        <v>1248</v>
      </c>
    </row>
    <row r="1001" spans="1:23">
      <c r="A1001" s="79">
        <f t="shared" si="15"/>
        <v>1000</v>
      </c>
      <c r="B1001" s="79">
        <f>YEAR(Table6[[#This Row],[Date]])+IF(MONTH(Table6[[#This Row],[Date]])&gt;=4,1,0)</f>
        <v>2026</v>
      </c>
      <c r="C1001" s="79">
        <f>YEAR(Table6[[#This Row],[Date]])</f>
        <v>2025</v>
      </c>
      <c r="D1001" s="79" t="s">
        <v>344</v>
      </c>
      <c r="E1001" s="284">
        <f>Table6[[#This Row],[Date]]-DAY(Table6[[#This Row],[Date]])+1</f>
        <v>45809</v>
      </c>
      <c r="F1001" s="285">
        <v>45831</v>
      </c>
      <c r="G1001" s="79" t="s">
        <v>105</v>
      </c>
      <c r="H1001" s="79" t="str">
        <f>IFERROR(_xlfn.XLOOKUP(Table6[[#This Row],[Affected Feeder ]],'Basic Data'!$A:$A,'Basic Data'!$B:$B),"")</f>
        <v>PWEPL</v>
      </c>
      <c r="I1001" s="79" t="str">
        <f>IFERROR(_xlfn.XLOOKUP(Table6[[#This Row],[Affected Feeder ]],'Basic Data'!$A:$A,'Basic Data'!$C:$C),"")</f>
        <v>MSEDCL</v>
      </c>
      <c r="J1001" s="295">
        <f>IFERROR(_xlfn.XLOOKUP(Table6[[#This Row],[Affected Feeder ]],'Basic Data'!$A:$A,'Basic Data'!$E:$E),"")</f>
        <v>2.2727272727272728E-2</v>
      </c>
      <c r="K1001" s="296" t="s">
        <v>171</v>
      </c>
      <c r="L1001" s="297">
        <v>0.50763888888888886</v>
      </c>
      <c r="M1001" s="297">
        <v>0.50763888888888886</v>
      </c>
      <c r="N1001" s="297">
        <v>0.51666666666666672</v>
      </c>
      <c r="O1001" s="298">
        <f>(Table6[[#This Row],[Work Start TimeStamp]]-Table6[[#This Row],[Fault Start TimeStamp]])*24</f>
        <v>0</v>
      </c>
      <c r="P1001" s="298">
        <f>(Table6[[#This Row],[Fault Clearance time]]-Table6[[#This Row],[Fault Start TimeStamp]])*24</f>
        <v>0.21666666666666856</v>
      </c>
      <c r="Q1001" s="298">
        <f>(Table6[[#This Row],[Fault Clearance time]]-Table6[[#This Row],[Fault Start TimeStamp]])*24</f>
        <v>0.21666666666666856</v>
      </c>
      <c r="R1001" s="79" t="s">
        <v>353</v>
      </c>
      <c r="S1001" s="79" t="s">
        <v>339</v>
      </c>
      <c r="T1001" s="298">
        <f>IFERROR(Table6[[#This Row],[Breakdown Time]]*Table6[[#This Row],[Plant Equivalent Weightage]],"")</f>
        <v>4.9242424242424672E-3</v>
      </c>
      <c r="U1001" s="79" t="s">
        <v>421</v>
      </c>
      <c r="W1001" s="79">
        <v>345</v>
      </c>
    </row>
    <row r="1002" spans="1:23">
      <c r="A1002" s="79">
        <f t="shared" si="15"/>
        <v>1001</v>
      </c>
      <c r="B1002" s="79">
        <f>YEAR(Table6[[#This Row],[Date]])+IF(MONTH(Table6[[#This Row],[Date]])&gt;=4,1,0)</f>
        <v>2026</v>
      </c>
      <c r="C1002" s="79">
        <f>YEAR(Table6[[#This Row],[Date]])</f>
        <v>2025</v>
      </c>
      <c r="D1002" s="79" t="s">
        <v>344</v>
      </c>
      <c r="E1002" s="284">
        <f>Table6[[#This Row],[Date]]-DAY(Table6[[#This Row],[Date]])+1</f>
        <v>45809</v>
      </c>
      <c r="F1002" s="285">
        <v>45831</v>
      </c>
      <c r="G1002" s="79" t="s">
        <v>115</v>
      </c>
      <c r="H1002" s="79" t="str">
        <f>IFERROR(_xlfn.XLOOKUP(Table6[[#This Row],[Affected Feeder ]],'Basic Data'!$A:$A,'Basic Data'!$B:$B),"")</f>
        <v>PWEPL</v>
      </c>
      <c r="I1002" s="79" t="str">
        <f>IFERROR(_xlfn.XLOOKUP(Table6[[#This Row],[Affected Feeder ]],'Basic Data'!$A:$A,'Basic Data'!$C:$C),"")</f>
        <v>MSEDCL</v>
      </c>
      <c r="J1002" s="295">
        <f>IFERROR(_xlfn.XLOOKUP(Table6[[#This Row],[Affected Feeder ]],'Basic Data'!$A:$A,'Basic Data'!$E:$E),"")</f>
        <v>2.2727272727272728E-2</v>
      </c>
      <c r="K1002" s="296" t="s">
        <v>909</v>
      </c>
      <c r="L1002" s="297">
        <v>0.47916666666666669</v>
      </c>
      <c r="M1002" s="297">
        <v>0.47916666666666669</v>
      </c>
      <c r="N1002" s="297">
        <v>0.50763888888888886</v>
      </c>
      <c r="O1002" s="298">
        <f>(Table6[[#This Row],[Work Start TimeStamp]]-Table6[[#This Row],[Fault Start TimeStamp]])*24</f>
        <v>0</v>
      </c>
      <c r="P1002" s="298">
        <f>(Table6[[#This Row],[Fault Clearance time]]-Table6[[#This Row],[Fault Start TimeStamp]])*24</f>
        <v>0.68333333333333224</v>
      </c>
      <c r="Q1002" s="298">
        <f>(Table6[[#This Row],[Fault Clearance time]]-Table6[[#This Row],[Fault Start TimeStamp]])*24</f>
        <v>0.68333333333333224</v>
      </c>
      <c r="R1002" s="79" t="s">
        <v>353</v>
      </c>
      <c r="S1002" s="79" t="s">
        <v>339</v>
      </c>
      <c r="T1002" s="298">
        <f>IFERROR(Table6[[#This Row],[Breakdown Time]]*Table6[[#This Row],[Plant Equivalent Weightage]],"")</f>
        <v>1.5530303030303005E-2</v>
      </c>
      <c r="U1002" s="79" t="s">
        <v>421</v>
      </c>
      <c r="W1002" s="79">
        <v>1102</v>
      </c>
    </row>
    <row r="1003" spans="1:23">
      <c r="A1003" s="79">
        <f t="shared" si="15"/>
        <v>1002</v>
      </c>
      <c r="B1003" s="79">
        <f>YEAR(Table6[[#This Row],[Date]])+IF(MONTH(Table6[[#This Row],[Date]])&gt;=4,1,0)</f>
        <v>2026</v>
      </c>
      <c r="C1003" s="79">
        <f>YEAR(Table6[[#This Row],[Date]])</f>
        <v>2025</v>
      </c>
      <c r="D1003" s="79" t="s">
        <v>344</v>
      </c>
      <c r="E1003" s="284">
        <f>Table6[[#This Row],[Date]]-DAY(Table6[[#This Row],[Date]])+1</f>
        <v>45809</v>
      </c>
      <c r="F1003" s="285">
        <v>45831</v>
      </c>
      <c r="G1003" s="79" t="s">
        <v>115</v>
      </c>
      <c r="H1003" s="79" t="str">
        <f>IFERROR(_xlfn.XLOOKUP(Table6[[#This Row],[Affected Feeder ]],'Basic Data'!$A:$A,'Basic Data'!$B:$B),"")</f>
        <v>PWEPL</v>
      </c>
      <c r="I1003" s="79" t="str">
        <f>IFERROR(_xlfn.XLOOKUP(Table6[[#This Row],[Affected Feeder ]],'Basic Data'!$A:$A,'Basic Data'!$C:$C),"")</f>
        <v>MSEDCL</v>
      </c>
      <c r="J1003" s="295">
        <f>IFERROR(_xlfn.XLOOKUP(Table6[[#This Row],[Affected Feeder ]],'Basic Data'!$A:$A,'Basic Data'!$E:$E),"")</f>
        <v>2.2727272727272728E-2</v>
      </c>
      <c r="K1003" s="296" t="s">
        <v>171</v>
      </c>
      <c r="L1003" s="297">
        <v>0.50763888888888886</v>
      </c>
      <c r="M1003" s="297">
        <v>0.50763888888888886</v>
      </c>
      <c r="N1003" s="297">
        <v>0.51944444444444449</v>
      </c>
      <c r="O1003" s="298">
        <f>(Table6[[#This Row],[Work Start TimeStamp]]-Table6[[#This Row],[Fault Start TimeStamp]])*24</f>
        <v>0</v>
      </c>
      <c r="P1003" s="298">
        <f>(Table6[[#This Row],[Fault Clearance time]]-Table6[[#This Row],[Fault Start TimeStamp]])*24</f>
        <v>0.28333333333333499</v>
      </c>
      <c r="Q1003" s="298">
        <f>(Table6[[#This Row],[Fault Clearance time]]-Table6[[#This Row],[Fault Start TimeStamp]])*24</f>
        <v>0.28333333333333499</v>
      </c>
      <c r="R1003" s="79" t="s">
        <v>353</v>
      </c>
      <c r="S1003" s="79" t="s">
        <v>339</v>
      </c>
      <c r="T1003" s="298">
        <f>IFERROR(Table6[[#This Row],[Breakdown Time]]*Table6[[#This Row],[Plant Equivalent Weightage]],"")</f>
        <v>6.4393939393939774E-3</v>
      </c>
      <c r="U1003" s="79" t="s">
        <v>421</v>
      </c>
      <c r="W1003" s="79">
        <v>451</v>
      </c>
    </row>
    <row r="1004" spans="1:23">
      <c r="A1004" s="79">
        <f t="shared" si="15"/>
        <v>1003</v>
      </c>
      <c r="B1004" s="79">
        <f>YEAR(Table6[[#This Row],[Date]])+IF(MONTH(Table6[[#This Row],[Date]])&gt;=4,1,0)</f>
        <v>2026</v>
      </c>
      <c r="C1004" s="79">
        <f>YEAR(Table6[[#This Row],[Date]])</f>
        <v>2025</v>
      </c>
      <c r="D1004" s="79" t="s">
        <v>344</v>
      </c>
      <c r="E1004" s="284">
        <f>Table6[[#This Row],[Date]]-DAY(Table6[[#This Row],[Date]])+1</f>
        <v>45809</v>
      </c>
      <c r="F1004" s="285">
        <v>45831</v>
      </c>
      <c r="G1004" s="79" t="s">
        <v>116</v>
      </c>
      <c r="H1004" s="79" t="str">
        <f>IFERROR(_xlfn.XLOOKUP(Table6[[#This Row],[Affected Feeder ]],'Basic Data'!$A:$A,'Basic Data'!$B:$B),"")</f>
        <v>PWEPL</v>
      </c>
      <c r="I1004" s="79" t="str">
        <f>IFERROR(_xlfn.XLOOKUP(Table6[[#This Row],[Affected Feeder ]],'Basic Data'!$A:$A,'Basic Data'!$C:$C),"")</f>
        <v>MSEDCL</v>
      </c>
      <c r="J1004" s="295">
        <f>IFERROR(_xlfn.XLOOKUP(Table6[[#This Row],[Affected Feeder ]],'Basic Data'!$A:$A,'Basic Data'!$E:$E),"")</f>
        <v>2.2727272727272728E-2</v>
      </c>
      <c r="K1004" s="296" t="s">
        <v>909</v>
      </c>
      <c r="L1004" s="297">
        <v>0.47916666666666669</v>
      </c>
      <c r="M1004" s="297">
        <v>0.47916666666666669</v>
      </c>
      <c r="N1004" s="297">
        <v>0.50763888888888886</v>
      </c>
      <c r="O1004" s="298">
        <f>(Table6[[#This Row],[Work Start TimeStamp]]-Table6[[#This Row],[Fault Start TimeStamp]])*24</f>
        <v>0</v>
      </c>
      <c r="P1004" s="298">
        <f>(Table6[[#This Row],[Fault Clearance time]]-Table6[[#This Row],[Fault Start TimeStamp]])*24</f>
        <v>0.68333333333333224</v>
      </c>
      <c r="Q1004" s="298">
        <f>(Table6[[#This Row],[Fault Clearance time]]-Table6[[#This Row],[Fault Start TimeStamp]])*24</f>
        <v>0.68333333333333224</v>
      </c>
      <c r="R1004" s="79" t="s">
        <v>353</v>
      </c>
      <c r="S1004" s="79" t="s">
        <v>339</v>
      </c>
      <c r="T1004" s="298">
        <f>IFERROR(Table6[[#This Row],[Breakdown Time]]*Table6[[#This Row],[Plant Equivalent Weightage]],"")</f>
        <v>1.5530303030303005E-2</v>
      </c>
      <c r="U1004" s="79" t="s">
        <v>421</v>
      </c>
      <c r="W1004" s="79">
        <v>1102</v>
      </c>
    </row>
    <row r="1005" spans="1:23">
      <c r="A1005" s="79">
        <f t="shared" si="15"/>
        <v>1004</v>
      </c>
      <c r="B1005" s="79">
        <f>YEAR(Table6[[#This Row],[Date]])+IF(MONTH(Table6[[#This Row],[Date]])&gt;=4,1,0)</f>
        <v>2026</v>
      </c>
      <c r="C1005" s="79">
        <f>YEAR(Table6[[#This Row],[Date]])</f>
        <v>2025</v>
      </c>
      <c r="D1005" s="79" t="s">
        <v>344</v>
      </c>
      <c r="E1005" s="284">
        <f>Table6[[#This Row],[Date]]-DAY(Table6[[#This Row],[Date]])+1</f>
        <v>45809</v>
      </c>
      <c r="F1005" s="285">
        <v>45831</v>
      </c>
      <c r="G1005" s="79" t="s">
        <v>116</v>
      </c>
      <c r="H1005" s="79" t="str">
        <f>IFERROR(_xlfn.XLOOKUP(Table6[[#This Row],[Affected Feeder ]],'Basic Data'!$A:$A,'Basic Data'!$B:$B),"")</f>
        <v>PWEPL</v>
      </c>
      <c r="I1005" s="79" t="str">
        <f>IFERROR(_xlfn.XLOOKUP(Table6[[#This Row],[Affected Feeder ]],'Basic Data'!$A:$A,'Basic Data'!$C:$C),"")</f>
        <v>MSEDCL</v>
      </c>
      <c r="J1005" s="295">
        <f>IFERROR(_xlfn.XLOOKUP(Table6[[#This Row],[Affected Feeder ]],'Basic Data'!$A:$A,'Basic Data'!$E:$E),"")</f>
        <v>2.2727272727272728E-2</v>
      </c>
      <c r="K1005" s="296" t="s">
        <v>171</v>
      </c>
      <c r="L1005" s="297">
        <v>0.50763888888888886</v>
      </c>
      <c r="M1005" s="297">
        <v>0.50763888888888886</v>
      </c>
      <c r="N1005" s="297">
        <v>0.51944444444444449</v>
      </c>
      <c r="O1005" s="298">
        <f>(Table6[[#This Row],[Work Start TimeStamp]]-Table6[[#This Row],[Fault Start TimeStamp]])*24</f>
        <v>0</v>
      </c>
      <c r="P1005" s="298">
        <f>(Table6[[#This Row],[Fault Clearance time]]-Table6[[#This Row],[Fault Start TimeStamp]])*24</f>
        <v>0.28333333333333499</v>
      </c>
      <c r="Q1005" s="298">
        <f>(Table6[[#This Row],[Fault Clearance time]]-Table6[[#This Row],[Fault Start TimeStamp]])*24</f>
        <v>0.28333333333333499</v>
      </c>
      <c r="R1005" s="79" t="s">
        <v>353</v>
      </c>
      <c r="S1005" s="79" t="s">
        <v>339</v>
      </c>
      <c r="T1005" s="298">
        <f>IFERROR(Table6[[#This Row],[Breakdown Time]]*Table6[[#This Row],[Plant Equivalent Weightage]],"")</f>
        <v>6.4393939393939774E-3</v>
      </c>
      <c r="U1005" s="79" t="s">
        <v>421</v>
      </c>
      <c r="W1005" s="79">
        <v>451</v>
      </c>
    </row>
    <row r="1006" spans="1:23">
      <c r="A1006" s="79">
        <f t="shared" si="15"/>
        <v>1005</v>
      </c>
      <c r="B1006" s="79">
        <f>YEAR(Table6[[#This Row],[Date]])+IF(MONTH(Table6[[#This Row],[Date]])&gt;=4,1,0)</f>
        <v>2026</v>
      </c>
      <c r="C1006" s="79">
        <f>YEAR(Table6[[#This Row],[Date]])</f>
        <v>2025</v>
      </c>
      <c r="D1006" s="79" t="s">
        <v>344</v>
      </c>
      <c r="E1006" s="284">
        <f>Table6[[#This Row],[Date]]-DAY(Table6[[#This Row],[Date]])+1</f>
        <v>45809</v>
      </c>
      <c r="F1006" s="285">
        <v>45831</v>
      </c>
      <c r="G1006" s="79" t="s">
        <v>117</v>
      </c>
      <c r="H1006" s="79" t="str">
        <f>IFERROR(_xlfn.XLOOKUP(Table6[[#This Row],[Affected Feeder ]],'Basic Data'!$A:$A,'Basic Data'!$B:$B),"")</f>
        <v>PWEPL</v>
      </c>
      <c r="I1006" s="79" t="str">
        <f>IFERROR(_xlfn.XLOOKUP(Table6[[#This Row],[Affected Feeder ]],'Basic Data'!$A:$A,'Basic Data'!$C:$C),"")</f>
        <v>MSEDCL</v>
      </c>
      <c r="J1006" s="295">
        <f>IFERROR(_xlfn.XLOOKUP(Table6[[#This Row],[Affected Feeder ]],'Basic Data'!$A:$A,'Basic Data'!$E:$E),"")</f>
        <v>2.2727272727272728E-2</v>
      </c>
      <c r="K1006" s="296" t="s">
        <v>909</v>
      </c>
      <c r="L1006" s="297">
        <v>0.47916666666666669</v>
      </c>
      <c r="M1006" s="297">
        <v>0.47916666666666669</v>
      </c>
      <c r="N1006" s="297">
        <v>0.50763888888888886</v>
      </c>
      <c r="O1006" s="298">
        <f>(Table6[[#This Row],[Work Start TimeStamp]]-Table6[[#This Row],[Fault Start TimeStamp]])*24</f>
        <v>0</v>
      </c>
      <c r="P1006" s="298">
        <f>(Table6[[#This Row],[Fault Clearance time]]-Table6[[#This Row],[Fault Start TimeStamp]])*24</f>
        <v>0.68333333333333224</v>
      </c>
      <c r="Q1006" s="298">
        <f>(Table6[[#This Row],[Fault Clearance time]]-Table6[[#This Row],[Fault Start TimeStamp]])*24</f>
        <v>0.68333333333333224</v>
      </c>
      <c r="R1006" s="79" t="s">
        <v>353</v>
      </c>
      <c r="S1006" s="79" t="s">
        <v>339</v>
      </c>
      <c r="T1006" s="298">
        <f>IFERROR(Table6[[#This Row],[Breakdown Time]]*Table6[[#This Row],[Plant Equivalent Weightage]],"")</f>
        <v>1.5530303030303005E-2</v>
      </c>
      <c r="U1006" s="79" t="s">
        <v>421</v>
      </c>
      <c r="W1006" s="79">
        <v>1089</v>
      </c>
    </row>
    <row r="1007" spans="1:23">
      <c r="A1007" s="79">
        <f t="shared" si="15"/>
        <v>1006</v>
      </c>
      <c r="B1007" s="79">
        <f>YEAR(Table6[[#This Row],[Date]])+IF(MONTH(Table6[[#This Row],[Date]])&gt;=4,1,0)</f>
        <v>2026</v>
      </c>
      <c r="C1007" s="79">
        <f>YEAR(Table6[[#This Row],[Date]])</f>
        <v>2025</v>
      </c>
      <c r="D1007" s="79" t="s">
        <v>344</v>
      </c>
      <c r="E1007" s="284">
        <f>Table6[[#This Row],[Date]]-DAY(Table6[[#This Row],[Date]])+1</f>
        <v>45809</v>
      </c>
      <c r="F1007" s="285">
        <v>45831</v>
      </c>
      <c r="G1007" s="79" t="s">
        <v>117</v>
      </c>
      <c r="H1007" s="79" t="str">
        <f>IFERROR(_xlfn.XLOOKUP(Table6[[#This Row],[Affected Feeder ]],'Basic Data'!$A:$A,'Basic Data'!$B:$B),"")</f>
        <v>PWEPL</v>
      </c>
      <c r="I1007" s="79" t="str">
        <f>IFERROR(_xlfn.XLOOKUP(Table6[[#This Row],[Affected Feeder ]],'Basic Data'!$A:$A,'Basic Data'!$C:$C),"")</f>
        <v>MSEDCL</v>
      </c>
      <c r="J1007" s="295">
        <f>IFERROR(_xlfn.XLOOKUP(Table6[[#This Row],[Affected Feeder ]],'Basic Data'!$A:$A,'Basic Data'!$E:$E),"")</f>
        <v>2.2727272727272728E-2</v>
      </c>
      <c r="K1007" s="296" t="s">
        <v>171</v>
      </c>
      <c r="L1007" s="297">
        <v>0.50763888888888886</v>
      </c>
      <c r="M1007" s="297">
        <v>0.50763888888888886</v>
      </c>
      <c r="N1007" s="297">
        <v>0.52083333333333337</v>
      </c>
      <c r="O1007" s="298">
        <f>(Table6[[#This Row],[Work Start TimeStamp]]-Table6[[#This Row],[Fault Start TimeStamp]])*24</f>
        <v>0</v>
      </c>
      <c r="P1007" s="298">
        <f>(Table6[[#This Row],[Fault Clearance time]]-Table6[[#This Row],[Fault Start TimeStamp]])*24</f>
        <v>0.31666666666666821</v>
      </c>
      <c r="Q1007" s="298">
        <f>(Table6[[#This Row],[Fault Clearance time]]-Table6[[#This Row],[Fault Start TimeStamp]])*24</f>
        <v>0.31666666666666821</v>
      </c>
      <c r="R1007" s="79" t="s">
        <v>353</v>
      </c>
      <c r="S1007" s="79" t="s">
        <v>339</v>
      </c>
      <c r="T1007" s="298">
        <f>IFERROR(Table6[[#This Row],[Breakdown Time]]*Table6[[#This Row],[Plant Equivalent Weightage]],"")</f>
        <v>7.196969696969732E-3</v>
      </c>
      <c r="U1007" s="79" t="s">
        <v>421</v>
      </c>
      <c r="W1007" s="79">
        <v>504</v>
      </c>
    </row>
    <row r="1008" spans="1:23">
      <c r="A1008" s="79">
        <f t="shared" si="15"/>
        <v>1007</v>
      </c>
      <c r="B1008" s="79">
        <f>YEAR(Table6[[#This Row],[Date]])+IF(MONTH(Table6[[#This Row],[Date]])&gt;=4,1,0)</f>
        <v>2026</v>
      </c>
      <c r="C1008" s="79">
        <f>YEAR(Table6[[#This Row],[Date]])</f>
        <v>2025</v>
      </c>
      <c r="D1008" s="79" t="s">
        <v>344</v>
      </c>
      <c r="E1008" s="284">
        <f>Table6[[#This Row],[Date]]-DAY(Table6[[#This Row],[Date]])+1</f>
        <v>45809</v>
      </c>
      <c r="F1008" s="285">
        <v>45831</v>
      </c>
      <c r="G1008" s="79" t="s">
        <v>118</v>
      </c>
      <c r="H1008" s="79" t="str">
        <f>IFERROR(_xlfn.XLOOKUP(Table6[[#This Row],[Affected Feeder ]],'Basic Data'!$A:$A,'Basic Data'!$B:$B),"")</f>
        <v>PWEPL</v>
      </c>
      <c r="I1008" s="79" t="str">
        <f>IFERROR(_xlfn.XLOOKUP(Table6[[#This Row],[Affected Feeder ]],'Basic Data'!$A:$A,'Basic Data'!$C:$C),"")</f>
        <v>MSEDCL</v>
      </c>
      <c r="J1008" s="295">
        <f>IFERROR(_xlfn.XLOOKUP(Table6[[#This Row],[Affected Feeder ]],'Basic Data'!$A:$A,'Basic Data'!$E:$E),"")</f>
        <v>2.2727272727272728E-2</v>
      </c>
      <c r="K1008" s="296" t="s">
        <v>909</v>
      </c>
      <c r="L1008" s="297">
        <v>0.47916666666666669</v>
      </c>
      <c r="M1008" s="297">
        <v>0.47916666666666669</v>
      </c>
      <c r="N1008" s="297">
        <v>0.50763888888888886</v>
      </c>
      <c r="O1008" s="298">
        <f>(Table6[[#This Row],[Work Start TimeStamp]]-Table6[[#This Row],[Fault Start TimeStamp]])*24</f>
        <v>0</v>
      </c>
      <c r="P1008" s="298">
        <f>(Table6[[#This Row],[Fault Clearance time]]-Table6[[#This Row],[Fault Start TimeStamp]])*24</f>
        <v>0.68333333333333224</v>
      </c>
      <c r="Q1008" s="298">
        <f>(Table6[[#This Row],[Fault Clearance time]]-Table6[[#This Row],[Fault Start TimeStamp]])*24</f>
        <v>0.68333333333333224</v>
      </c>
      <c r="R1008" s="79" t="s">
        <v>353</v>
      </c>
      <c r="S1008" s="79" t="s">
        <v>339</v>
      </c>
      <c r="T1008" s="298">
        <f>IFERROR(Table6[[#This Row],[Breakdown Time]]*Table6[[#This Row],[Plant Equivalent Weightage]],"")</f>
        <v>1.5530303030303005E-2</v>
      </c>
      <c r="U1008" s="79" t="s">
        <v>421</v>
      </c>
      <c r="W1008" s="79">
        <v>1301</v>
      </c>
    </row>
    <row r="1009" spans="1:23">
      <c r="A1009" s="79">
        <f t="shared" si="15"/>
        <v>1008</v>
      </c>
      <c r="B1009" s="79">
        <f>YEAR(Table6[[#This Row],[Date]])+IF(MONTH(Table6[[#This Row],[Date]])&gt;=4,1,0)</f>
        <v>2026</v>
      </c>
      <c r="C1009" s="79">
        <f>YEAR(Table6[[#This Row],[Date]])</f>
        <v>2025</v>
      </c>
      <c r="D1009" s="79" t="s">
        <v>344</v>
      </c>
      <c r="E1009" s="284">
        <f>Table6[[#This Row],[Date]]-DAY(Table6[[#This Row],[Date]])+1</f>
        <v>45809</v>
      </c>
      <c r="F1009" s="285">
        <v>45831</v>
      </c>
      <c r="G1009" s="79" t="s">
        <v>118</v>
      </c>
      <c r="H1009" s="79" t="str">
        <f>IFERROR(_xlfn.XLOOKUP(Table6[[#This Row],[Affected Feeder ]],'Basic Data'!$A:$A,'Basic Data'!$B:$B),"")</f>
        <v>PWEPL</v>
      </c>
      <c r="I1009" s="79" t="str">
        <f>IFERROR(_xlfn.XLOOKUP(Table6[[#This Row],[Affected Feeder ]],'Basic Data'!$A:$A,'Basic Data'!$C:$C),"")</f>
        <v>MSEDCL</v>
      </c>
      <c r="J1009" s="295">
        <f>IFERROR(_xlfn.XLOOKUP(Table6[[#This Row],[Affected Feeder ]],'Basic Data'!$A:$A,'Basic Data'!$E:$E),"")</f>
        <v>2.2727272727272728E-2</v>
      </c>
      <c r="K1009" s="296" t="s">
        <v>171</v>
      </c>
      <c r="L1009" s="297">
        <v>0.50763888888888886</v>
      </c>
      <c r="M1009" s="297">
        <v>0.50763888888888886</v>
      </c>
      <c r="N1009" s="297">
        <v>0.51527777777777783</v>
      </c>
      <c r="O1009" s="298">
        <f>(Table6[[#This Row],[Work Start TimeStamp]]-Table6[[#This Row],[Fault Start TimeStamp]])*24</f>
        <v>0</v>
      </c>
      <c r="P1009" s="298">
        <f>(Table6[[#This Row],[Fault Clearance time]]-Table6[[#This Row],[Fault Start TimeStamp]])*24</f>
        <v>0.18333333333333535</v>
      </c>
      <c r="Q1009" s="298">
        <f>(Table6[[#This Row],[Fault Clearance time]]-Table6[[#This Row],[Fault Start TimeStamp]])*24</f>
        <v>0.18333333333333535</v>
      </c>
      <c r="R1009" s="79" t="s">
        <v>353</v>
      </c>
      <c r="S1009" s="79" t="s">
        <v>339</v>
      </c>
      <c r="T1009" s="298">
        <f>IFERROR(Table6[[#This Row],[Breakdown Time]]*Table6[[#This Row],[Plant Equivalent Weightage]],"")</f>
        <v>4.1666666666667126E-3</v>
      </c>
      <c r="U1009" s="79" t="s">
        <v>421</v>
      </c>
      <c r="W1009" s="79">
        <v>292</v>
      </c>
    </row>
    <row r="1010" spans="1:23">
      <c r="A1010" s="79">
        <f t="shared" si="15"/>
        <v>1009</v>
      </c>
      <c r="B1010" s="79">
        <f>YEAR(Table6[[#This Row],[Date]])+IF(MONTH(Table6[[#This Row],[Date]])&gt;=4,1,0)</f>
        <v>2026</v>
      </c>
      <c r="C1010" s="79">
        <f>YEAR(Table6[[#This Row],[Date]])</f>
        <v>2025</v>
      </c>
      <c r="D1010" s="79" t="s">
        <v>344</v>
      </c>
      <c r="E1010" s="284">
        <f>Table6[[#This Row],[Date]]-DAY(Table6[[#This Row],[Date]])+1</f>
        <v>45809</v>
      </c>
      <c r="F1010" s="285">
        <v>45831</v>
      </c>
      <c r="G1010" s="79" t="s">
        <v>109</v>
      </c>
      <c r="H1010" s="79" t="str">
        <f>IFERROR(_xlfn.XLOOKUP(Table6[[#This Row],[Affected Feeder ]],'Basic Data'!$A:$A,'Basic Data'!$B:$B),"")</f>
        <v>PWEPL</v>
      </c>
      <c r="I1010" s="79" t="str">
        <f>IFERROR(_xlfn.XLOOKUP(Table6[[#This Row],[Affected Feeder ]],'Basic Data'!$A:$A,'Basic Data'!$C:$C),"")</f>
        <v>MSEDCL</v>
      </c>
      <c r="J1010" s="295">
        <f>IFERROR(_xlfn.XLOOKUP(Table6[[#This Row],[Affected Feeder ]],'Basic Data'!$A:$A,'Basic Data'!$E:$E),"")</f>
        <v>2.2727272727272728E-2</v>
      </c>
      <c r="K1010" s="296" t="s">
        <v>796</v>
      </c>
      <c r="L1010" s="297">
        <v>0.3611111111111111</v>
      </c>
      <c r="M1010" s="297">
        <v>0.3611111111111111</v>
      </c>
      <c r="N1010" s="297">
        <v>0.41666666666666669</v>
      </c>
      <c r="O1010" s="298">
        <f>(Table6[[#This Row],[Work Start TimeStamp]]-Table6[[#This Row],[Fault Start TimeStamp]])*24</f>
        <v>0</v>
      </c>
      <c r="P1010" s="298">
        <f>(Table6[[#This Row],[Fault Clearance time]]-Table6[[#This Row],[Fault Start TimeStamp]])*24</f>
        <v>1.3333333333333339</v>
      </c>
      <c r="Q1010" s="298">
        <f>(Table6[[#This Row],[Fault Clearance time]]-Table6[[#This Row],[Fault Start TimeStamp]])*24</f>
        <v>1.3333333333333339</v>
      </c>
      <c r="R1010" s="79" t="s">
        <v>424</v>
      </c>
      <c r="S1010" s="79" t="s">
        <v>339</v>
      </c>
      <c r="T1010" s="298">
        <f>IFERROR(Table6[[#This Row],[Breakdown Time]]*Table6[[#This Row],[Plant Equivalent Weightage]],"")</f>
        <v>3.0303030303030318E-2</v>
      </c>
      <c r="U1010" s="79" t="s">
        <v>421</v>
      </c>
      <c r="W1010" s="79">
        <v>2211</v>
      </c>
    </row>
    <row r="1011" spans="1:23">
      <c r="A1011" s="79">
        <f t="shared" si="15"/>
        <v>1010</v>
      </c>
      <c r="B1011" s="79">
        <f>YEAR(Table6[[#This Row],[Date]])+IF(MONTH(Table6[[#This Row],[Date]])&gt;=4,1,0)</f>
        <v>2026</v>
      </c>
      <c r="C1011" s="79">
        <f>YEAR(Table6[[#This Row],[Date]])</f>
        <v>2025</v>
      </c>
      <c r="D1011" s="79" t="s">
        <v>344</v>
      </c>
      <c r="E1011" s="284">
        <f>Table6[[#This Row],[Date]]-DAY(Table6[[#This Row],[Date]])+1</f>
        <v>45809</v>
      </c>
      <c r="F1011" s="285">
        <v>45831</v>
      </c>
      <c r="G1011" s="79" t="s">
        <v>109</v>
      </c>
      <c r="H1011" s="79" t="str">
        <f>IFERROR(_xlfn.XLOOKUP(Table6[[#This Row],[Affected Feeder ]],'Basic Data'!$A:$A,'Basic Data'!$B:$B),"")</f>
        <v>PWEPL</v>
      </c>
      <c r="I1011" s="79" t="str">
        <f>IFERROR(_xlfn.XLOOKUP(Table6[[#This Row],[Affected Feeder ]],'Basic Data'!$A:$A,'Basic Data'!$C:$C),"")</f>
        <v>MSEDCL</v>
      </c>
      <c r="J1011" s="295">
        <f>IFERROR(_xlfn.XLOOKUP(Table6[[#This Row],[Affected Feeder ]],'Basic Data'!$A:$A,'Basic Data'!$E:$E),"")</f>
        <v>2.2727272727272728E-2</v>
      </c>
      <c r="K1011" s="296" t="s">
        <v>171</v>
      </c>
      <c r="L1011" s="297">
        <v>0.41666666666666669</v>
      </c>
      <c r="M1011" s="297">
        <v>0.41666666666666669</v>
      </c>
      <c r="N1011" s="297">
        <v>0.42638888888888887</v>
      </c>
      <c r="O1011" s="298">
        <f>(Table6[[#This Row],[Work Start TimeStamp]]-Table6[[#This Row],[Fault Start TimeStamp]])*24</f>
        <v>0</v>
      </c>
      <c r="P1011" s="298">
        <f>(Table6[[#This Row],[Fault Clearance time]]-Table6[[#This Row],[Fault Start TimeStamp]])*24</f>
        <v>0.2333333333333325</v>
      </c>
      <c r="Q1011" s="298">
        <f>(Table6[[#This Row],[Fault Clearance time]]-Table6[[#This Row],[Fault Start TimeStamp]])*24</f>
        <v>0.2333333333333325</v>
      </c>
      <c r="R1011" s="79" t="s">
        <v>353</v>
      </c>
      <c r="S1011" s="79" t="s">
        <v>339</v>
      </c>
      <c r="T1011" s="298">
        <f>IFERROR(Table6[[#This Row],[Breakdown Time]]*Table6[[#This Row],[Plant Equivalent Weightage]],"")</f>
        <v>5.3030303030302843E-3</v>
      </c>
      <c r="U1011" s="79" t="s">
        <v>421</v>
      </c>
      <c r="W1011" s="79">
        <v>468</v>
      </c>
    </row>
    <row r="1012" spans="1:23">
      <c r="A1012" s="79">
        <f t="shared" si="15"/>
        <v>1011</v>
      </c>
      <c r="B1012" s="79">
        <f>YEAR(Table6[[#This Row],[Date]])+IF(MONTH(Table6[[#This Row],[Date]])&gt;=4,1,0)</f>
        <v>2026</v>
      </c>
      <c r="C1012" s="79">
        <f>YEAR(Table6[[#This Row],[Date]])</f>
        <v>2025</v>
      </c>
      <c r="D1012" s="79" t="s">
        <v>344</v>
      </c>
      <c r="E1012" s="284">
        <f>Table6[[#This Row],[Date]]-DAY(Table6[[#This Row],[Date]])+1</f>
        <v>45809</v>
      </c>
      <c r="F1012" s="285">
        <v>45832</v>
      </c>
      <c r="G1012" s="79" t="s">
        <v>406</v>
      </c>
      <c r="H1012" s="79" t="str">
        <f>IFERROR(_xlfn.XLOOKUP(Table6[[#This Row],[Affected Feeder ]],'Basic Data'!$A:$A,'Basic Data'!$B:$B),"")</f>
        <v>PWEPL</v>
      </c>
      <c r="I1012" s="79" t="str">
        <f>IFERROR(_xlfn.XLOOKUP(Table6[[#This Row],[Affected Feeder ]],'Basic Data'!$A:$A,'Basic Data'!$C:$C),"")</f>
        <v>MSEDCL</v>
      </c>
      <c r="J1012" s="295">
        <f>IFERROR(_xlfn.XLOOKUP(Table6[[#This Row],[Affected Feeder ]],'Basic Data'!$A:$A,'Basic Data'!$E:$E),"")</f>
        <v>0.29545454545454541</v>
      </c>
      <c r="K1012" s="296" t="s">
        <v>447</v>
      </c>
      <c r="L1012" s="297">
        <v>0.41666666666666669</v>
      </c>
      <c r="M1012" s="297">
        <v>0.41666666666666669</v>
      </c>
      <c r="N1012" s="297">
        <v>0.44236111111111115</v>
      </c>
      <c r="O1012" s="298">
        <f>(Table6[[#This Row],[Work Start TimeStamp]]-Table6[[#This Row],[Fault Start TimeStamp]])*24</f>
        <v>0</v>
      </c>
      <c r="P1012" s="298">
        <f>(Table6[[#This Row],[Fault Clearance time]]-Table6[[#This Row],[Fault Start TimeStamp]])*24</f>
        <v>0.61666666666666714</v>
      </c>
      <c r="Q1012" s="298">
        <f>(Table6[[#This Row],[Fault Clearance time]]-Table6[[#This Row],[Fault Start TimeStamp]])*24</f>
        <v>0.61666666666666714</v>
      </c>
      <c r="R1012" s="79" t="s">
        <v>420</v>
      </c>
      <c r="S1012" s="79" t="s">
        <v>339</v>
      </c>
      <c r="T1012" s="298">
        <f>IFERROR(Table6[[#This Row],[Breakdown Time]]*Table6[[#This Row],[Plant Equivalent Weightage]],"")</f>
        <v>0.1821969696969698</v>
      </c>
      <c r="U1012" s="79" t="s">
        <v>421</v>
      </c>
      <c r="W1012" s="79">
        <v>14822</v>
      </c>
    </row>
    <row r="1013" spans="1:23">
      <c r="A1013" s="79">
        <f t="shared" si="15"/>
        <v>1012</v>
      </c>
      <c r="B1013" s="79">
        <f>YEAR(Table6[[#This Row],[Date]])+IF(MONTH(Table6[[#This Row],[Date]])&gt;=4,1,0)</f>
        <v>2026</v>
      </c>
      <c r="C1013" s="79">
        <f>YEAR(Table6[[#This Row],[Date]])</f>
        <v>2025</v>
      </c>
      <c r="D1013" s="79" t="s">
        <v>344</v>
      </c>
      <c r="E1013" s="284">
        <f>Table6[[#This Row],[Date]]-DAY(Table6[[#This Row],[Date]])+1</f>
        <v>45809</v>
      </c>
      <c r="F1013" s="285">
        <v>45832</v>
      </c>
      <c r="G1013" s="79" t="s">
        <v>76</v>
      </c>
      <c r="H1013" s="79" t="str">
        <f>IFERROR(_xlfn.XLOOKUP(Table6[[#This Row],[Affected Feeder ]],'Basic Data'!$A:$A,'Basic Data'!$B:$B),"")</f>
        <v>PWEPL</v>
      </c>
      <c r="I1013" s="79" t="str">
        <f>IFERROR(_xlfn.XLOOKUP(Table6[[#This Row],[Affected Feeder ]],'Basic Data'!$A:$A,'Basic Data'!$C:$C),"")</f>
        <v>MSEDCL</v>
      </c>
      <c r="J1013" s="295">
        <f>IFERROR(_xlfn.XLOOKUP(Table6[[#This Row],[Affected Feeder ]],'Basic Data'!$A:$A,'Basic Data'!$E:$E),"")</f>
        <v>2.2727272727272728E-2</v>
      </c>
      <c r="K1013" s="296" t="s">
        <v>171</v>
      </c>
      <c r="L1013" s="297">
        <v>0.44236111111111115</v>
      </c>
      <c r="M1013" s="297">
        <v>0.44236111111111115</v>
      </c>
      <c r="N1013" s="297">
        <v>0.45555555555555555</v>
      </c>
      <c r="O1013" s="298">
        <f>(Table6[[#This Row],[Work Start TimeStamp]]-Table6[[#This Row],[Fault Start TimeStamp]])*24</f>
        <v>0</v>
      </c>
      <c r="P1013" s="298">
        <f>(Table6[[#This Row],[Fault Clearance time]]-Table6[[#This Row],[Fault Start TimeStamp]])*24</f>
        <v>0.31666666666666554</v>
      </c>
      <c r="Q1013" s="298">
        <f>(Table6[[#This Row],[Fault Clearance time]]-Table6[[#This Row],[Fault Start TimeStamp]])*24</f>
        <v>0.31666666666666554</v>
      </c>
      <c r="R1013" s="79" t="s">
        <v>353</v>
      </c>
      <c r="S1013" s="79" t="s">
        <v>339</v>
      </c>
      <c r="T1013" s="298">
        <f>IFERROR(Table6[[#This Row],[Breakdown Time]]*Table6[[#This Row],[Plant Equivalent Weightage]],"")</f>
        <v>7.1969696969696713E-3</v>
      </c>
      <c r="U1013" s="79" t="s">
        <v>421</v>
      </c>
      <c r="W1013" s="79">
        <v>585</v>
      </c>
    </row>
    <row r="1014" spans="1:23">
      <c r="A1014" s="79">
        <f t="shared" si="15"/>
        <v>1013</v>
      </c>
      <c r="B1014" s="79">
        <f>YEAR(Table6[[#This Row],[Date]])+IF(MONTH(Table6[[#This Row],[Date]])&gt;=4,1,0)</f>
        <v>2026</v>
      </c>
      <c r="C1014" s="79">
        <f>YEAR(Table6[[#This Row],[Date]])</f>
        <v>2025</v>
      </c>
      <c r="D1014" s="79" t="s">
        <v>344</v>
      </c>
      <c r="E1014" s="284">
        <f>Table6[[#This Row],[Date]]-DAY(Table6[[#This Row],[Date]])+1</f>
        <v>45809</v>
      </c>
      <c r="F1014" s="285">
        <v>45832</v>
      </c>
      <c r="G1014" s="79" t="s">
        <v>77</v>
      </c>
      <c r="H1014" s="79" t="str">
        <f>IFERROR(_xlfn.XLOOKUP(Table6[[#This Row],[Affected Feeder ]],'Basic Data'!$A:$A,'Basic Data'!$B:$B),"")</f>
        <v>PWEPL</v>
      </c>
      <c r="I1014" s="79" t="str">
        <f>IFERROR(_xlfn.XLOOKUP(Table6[[#This Row],[Affected Feeder ]],'Basic Data'!$A:$A,'Basic Data'!$C:$C),"")</f>
        <v>MSEDCL</v>
      </c>
      <c r="J1014" s="295">
        <f>IFERROR(_xlfn.XLOOKUP(Table6[[#This Row],[Affected Feeder ]],'Basic Data'!$A:$A,'Basic Data'!$E:$E),"")</f>
        <v>2.2727272727272728E-2</v>
      </c>
      <c r="K1014" s="296" t="s">
        <v>171</v>
      </c>
      <c r="L1014" s="297">
        <v>0.44236111111111115</v>
      </c>
      <c r="M1014" s="297">
        <v>0.44236111111111115</v>
      </c>
      <c r="N1014" s="297">
        <v>0.45</v>
      </c>
      <c r="O1014" s="298">
        <f>(Table6[[#This Row],[Work Start TimeStamp]]-Table6[[#This Row],[Fault Start TimeStamp]])*24</f>
        <v>0</v>
      </c>
      <c r="P1014" s="298">
        <f>(Table6[[#This Row],[Fault Clearance time]]-Table6[[#This Row],[Fault Start TimeStamp]])*24</f>
        <v>0.18333333333333268</v>
      </c>
      <c r="Q1014" s="298">
        <f>(Table6[[#This Row],[Fault Clearance time]]-Table6[[#This Row],[Fault Start TimeStamp]])*24</f>
        <v>0.18333333333333268</v>
      </c>
      <c r="R1014" s="79" t="s">
        <v>353</v>
      </c>
      <c r="S1014" s="79" t="s">
        <v>339</v>
      </c>
      <c r="T1014" s="298">
        <f>IFERROR(Table6[[#This Row],[Breakdown Time]]*Table6[[#This Row],[Plant Equivalent Weightage]],"")</f>
        <v>4.1666666666666519E-3</v>
      </c>
      <c r="U1014" s="79" t="s">
        <v>421</v>
      </c>
      <c r="W1014" s="79">
        <v>338</v>
      </c>
    </row>
    <row r="1015" spans="1:23">
      <c r="A1015" s="79">
        <f t="shared" si="15"/>
        <v>1014</v>
      </c>
      <c r="B1015" s="79">
        <f>YEAR(Table6[[#This Row],[Date]])+IF(MONTH(Table6[[#This Row],[Date]])&gt;=4,1,0)</f>
        <v>2026</v>
      </c>
      <c r="C1015" s="79">
        <f>YEAR(Table6[[#This Row],[Date]])</f>
        <v>2025</v>
      </c>
      <c r="D1015" s="79" t="s">
        <v>344</v>
      </c>
      <c r="E1015" s="284">
        <f>Table6[[#This Row],[Date]]-DAY(Table6[[#This Row],[Date]])+1</f>
        <v>45809</v>
      </c>
      <c r="F1015" s="285">
        <v>45832</v>
      </c>
      <c r="G1015" s="79" t="s">
        <v>78</v>
      </c>
      <c r="H1015" s="79" t="str">
        <f>IFERROR(_xlfn.XLOOKUP(Table6[[#This Row],[Affected Feeder ]],'Basic Data'!$A:$A,'Basic Data'!$B:$B),"")</f>
        <v>PWEPL</v>
      </c>
      <c r="I1015" s="79" t="str">
        <f>IFERROR(_xlfn.XLOOKUP(Table6[[#This Row],[Affected Feeder ]],'Basic Data'!$A:$A,'Basic Data'!$C:$C),"")</f>
        <v>MSEDCL</v>
      </c>
      <c r="J1015" s="295">
        <f>IFERROR(_xlfn.XLOOKUP(Table6[[#This Row],[Affected Feeder ]],'Basic Data'!$A:$A,'Basic Data'!$E:$E),"")</f>
        <v>2.2727272727272728E-2</v>
      </c>
      <c r="K1015" s="296" t="s">
        <v>171</v>
      </c>
      <c r="L1015" s="297">
        <v>0.44236111111111115</v>
      </c>
      <c r="M1015" s="297">
        <v>0.44236111111111115</v>
      </c>
      <c r="N1015" s="297">
        <v>0.45624999999999999</v>
      </c>
      <c r="O1015" s="298">
        <f>(Table6[[#This Row],[Work Start TimeStamp]]-Table6[[#This Row],[Fault Start TimeStamp]])*24</f>
        <v>0</v>
      </c>
      <c r="P1015" s="298">
        <f>(Table6[[#This Row],[Fault Clearance time]]-Table6[[#This Row],[Fault Start TimeStamp]])*24</f>
        <v>0.33333333333333215</v>
      </c>
      <c r="Q1015" s="298">
        <f>(Table6[[#This Row],[Fault Clearance time]]-Table6[[#This Row],[Fault Start TimeStamp]])*24</f>
        <v>0.33333333333333215</v>
      </c>
      <c r="R1015" s="79" t="s">
        <v>353</v>
      </c>
      <c r="S1015" s="79" t="s">
        <v>339</v>
      </c>
      <c r="T1015" s="298">
        <f>IFERROR(Table6[[#This Row],[Breakdown Time]]*Table6[[#This Row],[Plant Equivalent Weightage]],"")</f>
        <v>7.5757575757575491E-3</v>
      </c>
      <c r="U1015" s="79" t="s">
        <v>421</v>
      </c>
      <c r="W1015" s="79">
        <v>616</v>
      </c>
    </row>
    <row r="1016" spans="1:23">
      <c r="A1016" s="79">
        <f t="shared" si="15"/>
        <v>1015</v>
      </c>
      <c r="B1016" s="79">
        <f>YEAR(Table6[[#This Row],[Date]])+IF(MONTH(Table6[[#This Row],[Date]])&gt;=4,1,0)</f>
        <v>2026</v>
      </c>
      <c r="C1016" s="79">
        <f>YEAR(Table6[[#This Row],[Date]])</f>
        <v>2025</v>
      </c>
      <c r="D1016" s="79" t="s">
        <v>344</v>
      </c>
      <c r="E1016" s="284">
        <f>Table6[[#This Row],[Date]]-DAY(Table6[[#This Row],[Date]])+1</f>
        <v>45809</v>
      </c>
      <c r="F1016" s="285">
        <v>45832</v>
      </c>
      <c r="G1016" s="79" t="s">
        <v>93</v>
      </c>
      <c r="H1016" s="79" t="str">
        <f>IFERROR(_xlfn.XLOOKUP(Table6[[#This Row],[Affected Feeder ]],'Basic Data'!$A:$A,'Basic Data'!$B:$B),"")</f>
        <v>PWEPL</v>
      </c>
      <c r="I1016" s="79" t="str">
        <f>IFERROR(_xlfn.XLOOKUP(Table6[[#This Row],[Affected Feeder ]],'Basic Data'!$A:$A,'Basic Data'!$C:$C),"")</f>
        <v>MSEDCL</v>
      </c>
      <c r="J1016" s="295">
        <f>IFERROR(_xlfn.XLOOKUP(Table6[[#This Row],[Affected Feeder ]],'Basic Data'!$A:$A,'Basic Data'!$E:$E),"")</f>
        <v>2.2727272727272728E-2</v>
      </c>
      <c r="K1016" s="296" t="s">
        <v>171</v>
      </c>
      <c r="L1016" s="297">
        <v>0.44236111111111115</v>
      </c>
      <c r="M1016" s="297">
        <v>0.44236111111111115</v>
      </c>
      <c r="N1016" s="297">
        <v>0.45</v>
      </c>
      <c r="O1016" s="298">
        <f>(Table6[[#This Row],[Work Start TimeStamp]]-Table6[[#This Row],[Fault Start TimeStamp]])*24</f>
        <v>0</v>
      </c>
      <c r="P1016" s="298">
        <f>(Table6[[#This Row],[Fault Clearance time]]-Table6[[#This Row],[Fault Start TimeStamp]])*24</f>
        <v>0.18333333333333268</v>
      </c>
      <c r="Q1016" s="298">
        <f>(Table6[[#This Row],[Fault Clearance time]]-Table6[[#This Row],[Fault Start TimeStamp]])*24</f>
        <v>0.18333333333333268</v>
      </c>
      <c r="R1016" s="79" t="s">
        <v>353</v>
      </c>
      <c r="S1016" s="79" t="s">
        <v>339</v>
      </c>
      <c r="T1016" s="298">
        <f>IFERROR(Table6[[#This Row],[Breakdown Time]]*Table6[[#This Row],[Plant Equivalent Weightage]],"")</f>
        <v>4.1666666666666519E-3</v>
      </c>
      <c r="U1016" s="79" t="s">
        <v>421</v>
      </c>
      <c r="W1016" s="79">
        <v>338</v>
      </c>
    </row>
    <row r="1017" spans="1:23">
      <c r="A1017" s="79">
        <f t="shared" si="15"/>
        <v>1016</v>
      </c>
      <c r="B1017" s="79">
        <f>YEAR(Table6[[#This Row],[Date]])+IF(MONTH(Table6[[#This Row],[Date]])&gt;=4,1,0)</f>
        <v>2026</v>
      </c>
      <c r="C1017" s="79">
        <f>YEAR(Table6[[#This Row],[Date]])</f>
        <v>2025</v>
      </c>
      <c r="D1017" s="79" t="s">
        <v>344</v>
      </c>
      <c r="E1017" s="284">
        <f>Table6[[#This Row],[Date]]-DAY(Table6[[#This Row],[Date]])+1</f>
        <v>45809</v>
      </c>
      <c r="F1017" s="285">
        <v>45832</v>
      </c>
      <c r="G1017" s="79" t="s">
        <v>102</v>
      </c>
      <c r="H1017" s="79" t="str">
        <f>IFERROR(_xlfn.XLOOKUP(Table6[[#This Row],[Affected Feeder ]],'Basic Data'!$A:$A,'Basic Data'!$B:$B),"")</f>
        <v>PWEPL</v>
      </c>
      <c r="I1017" s="79" t="str">
        <f>IFERROR(_xlfn.XLOOKUP(Table6[[#This Row],[Affected Feeder ]],'Basic Data'!$A:$A,'Basic Data'!$C:$C),"")</f>
        <v>MSEDCL</v>
      </c>
      <c r="J1017" s="295">
        <f>IFERROR(_xlfn.XLOOKUP(Table6[[#This Row],[Affected Feeder ]],'Basic Data'!$A:$A,'Basic Data'!$E:$E),"")</f>
        <v>2.2727272727272728E-2</v>
      </c>
      <c r="K1017" s="296" t="s">
        <v>171</v>
      </c>
      <c r="L1017" s="297">
        <v>0.44236111111111115</v>
      </c>
      <c r="M1017" s="297">
        <v>0.44236111111111115</v>
      </c>
      <c r="N1017" s="297">
        <v>0.45555555555555555</v>
      </c>
      <c r="O1017" s="298">
        <f>(Table6[[#This Row],[Work Start TimeStamp]]-Table6[[#This Row],[Fault Start TimeStamp]])*24</f>
        <v>0</v>
      </c>
      <c r="P1017" s="298">
        <f>(Table6[[#This Row],[Fault Clearance time]]-Table6[[#This Row],[Fault Start TimeStamp]])*24</f>
        <v>0.31666666666666554</v>
      </c>
      <c r="Q1017" s="298">
        <f>(Table6[[#This Row],[Fault Clearance time]]-Table6[[#This Row],[Fault Start TimeStamp]])*24</f>
        <v>0.31666666666666554</v>
      </c>
      <c r="R1017" s="79" t="s">
        <v>353</v>
      </c>
      <c r="S1017" s="79" t="s">
        <v>339</v>
      </c>
      <c r="T1017" s="298">
        <f>IFERROR(Table6[[#This Row],[Breakdown Time]]*Table6[[#This Row],[Plant Equivalent Weightage]],"")</f>
        <v>7.1969696969696713E-3</v>
      </c>
      <c r="U1017" s="79" t="s">
        <v>421</v>
      </c>
      <c r="W1017" s="79">
        <v>585</v>
      </c>
    </row>
    <row r="1018" spans="1:23">
      <c r="A1018" s="79">
        <f t="shared" si="15"/>
        <v>1017</v>
      </c>
      <c r="B1018" s="79">
        <f>YEAR(Table6[[#This Row],[Date]])+IF(MONTH(Table6[[#This Row],[Date]])&gt;=4,1,0)</f>
        <v>2026</v>
      </c>
      <c r="C1018" s="79">
        <f>YEAR(Table6[[#This Row],[Date]])</f>
        <v>2025</v>
      </c>
      <c r="D1018" s="79" t="s">
        <v>344</v>
      </c>
      <c r="E1018" s="284">
        <f>Table6[[#This Row],[Date]]-DAY(Table6[[#This Row],[Date]])+1</f>
        <v>45809</v>
      </c>
      <c r="F1018" s="285">
        <v>45832</v>
      </c>
      <c r="G1018" s="79" t="s">
        <v>119</v>
      </c>
      <c r="H1018" s="79" t="str">
        <f>IFERROR(_xlfn.XLOOKUP(Table6[[#This Row],[Affected Feeder ]],'Basic Data'!$A:$A,'Basic Data'!$B:$B),"")</f>
        <v>PWEPL</v>
      </c>
      <c r="I1018" s="79" t="str">
        <f>IFERROR(_xlfn.XLOOKUP(Table6[[#This Row],[Affected Feeder ]],'Basic Data'!$A:$A,'Basic Data'!$C:$C),"")</f>
        <v>MSEDCL</v>
      </c>
      <c r="J1018" s="295">
        <f>IFERROR(_xlfn.XLOOKUP(Table6[[#This Row],[Affected Feeder ]],'Basic Data'!$A:$A,'Basic Data'!$E:$E),"")</f>
        <v>2.2727272727272728E-2</v>
      </c>
      <c r="K1018" s="296" t="s">
        <v>171</v>
      </c>
      <c r="L1018" s="297">
        <v>0.44236111111111115</v>
      </c>
      <c r="M1018" s="297">
        <v>0.44236111111111115</v>
      </c>
      <c r="N1018" s="297">
        <v>0.45347222222222222</v>
      </c>
      <c r="O1018" s="298">
        <f>(Table6[[#This Row],[Work Start TimeStamp]]-Table6[[#This Row],[Fault Start TimeStamp]])*24</f>
        <v>0</v>
      </c>
      <c r="P1018" s="298">
        <f>(Table6[[#This Row],[Fault Clearance time]]-Table6[[#This Row],[Fault Start TimeStamp]])*24</f>
        <v>0.26666666666666572</v>
      </c>
      <c r="Q1018" s="298">
        <f>(Table6[[#This Row],[Fault Clearance time]]-Table6[[#This Row],[Fault Start TimeStamp]])*24</f>
        <v>0.26666666666666572</v>
      </c>
      <c r="R1018" s="79" t="s">
        <v>353</v>
      </c>
      <c r="S1018" s="79" t="s">
        <v>339</v>
      </c>
      <c r="T1018" s="298">
        <f>IFERROR(Table6[[#This Row],[Breakdown Time]]*Table6[[#This Row],[Plant Equivalent Weightage]],"")</f>
        <v>6.0606060606060389E-3</v>
      </c>
      <c r="U1018" s="79" t="s">
        <v>421</v>
      </c>
      <c r="W1018" s="79">
        <v>493</v>
      </c>
    </row>
    <row r="1019" spans="1:23">
      <c r="A1019" s="79">
        <f t="shared" si="15"/>
        <v>1018</v>
      </c>
      <c r="B1019" s="79">
        <f>YEAR(Table6[[#This Row],[Date]])+IF(MONTH(Table6[[#This Row],[Date]])&gt;=4,1,0)</f>
        <v>2026</v>
      </c>
      <c r="C1019" s="79">
        <f>YEAR(Table6[[#This Row],[Date]])</f>
        <v>2025</v>
      </c>
      <c r="D1019" s="79" t="s">
        <v>344</v>
      </c>
      <c r="E1019" s="284">
        <f>Table6[[#This Row],[Date]]-DAY(Table6[[#This Row],[Date]])+1</f>
        <v>45809</v>
      </c>
      <c r="F1019" s="285">
        <v>45832</v>
      </c>
      <c r="G1019" s="79" t="s">
        <v>103</v>
      </c>
      <c r="H1019" s="79" t="str">
        <f>IFERROR(_xlfn.XLOOKUP(Table6[[#This Row],[Affected Feeder ]],'Basic Data'!$A:$A,'Basic Data'!$B:$B),"")</f>
        <v>PWEPL</v>
      </c>
      <c r="I1019" s="79" t="str">
        <f>IFERROR(_xlfn.XLOOKUP(Table6[[#This Row],[Affected Feeder ]],'Basic Data'!$A:$A,'Basic Data'!$C:$C),"")</f>
        <v>MSEDCL</v>
      </c>
      <c r="J1019" s="295">
        <f>IFERROR(_xlfn.XLOOKUP(Table6[[#This Row],[Affected Feeder ]],'Basic Data'!$A:$A,'Basic Data'!$E:$E),"")</f>
        <v>2.2727272727272728E-2</v>
      </c>
      <c r="K1019" s="296" t="s">
        <v>171</v>
      </c>
      <c r="L1019" s="297">
        <v>0.44236111111111115</v>
      </c>
      <c r="M1019" s="297">
        <v>0.44236111111111115</v>
      </c>
      <c r="N1019" s="297">
        <v>0.45624999999999999</v>
      </c>
      <c r="O1019" s="298">
        <f>(Table6[[#This Row],[Work Start TimeStamp]]-Table6[[#This Row],[Fault Start TimeStamp]])*24</f>
        <v>0</v>
      </c>
      <c r="P1019" s="298">
        <f>(Table6[[#This Row],[Fault Clearance time]]-Table6[[#This Row],[Fault Start TimeStamp]])*24</f>
        <v>0.33333333333333215</v>
      </c>
      <c r="Q1019" s="298">
        <f>(Table6[[#This Row],[Fault Clearance time]]-Table6[[#This Row],[Fault Start TimeStamp]])*24</f>
        <v>0.33333333333333215</v>
      </c>
      <c r="R1019" s="79" t="s">
        <v>353</v>
      </c>
      <c r="S1019" s="79" t="s">
        <v>339</v>
      </c>
      <c r="T1019" s="298">
        <f>IFERROR(Table6[[#This Row],[Breakdown Time]]*Table6[[#This Row],[Plant Equivalent Weightage]],"")</f>
        <v>7.5757575757575491E-3</v>
      </c>
      <c r="U1019" s="79" t="s">
        <v>421</v>
      </c>
      <c r="W1019" s="79">
        <v>616</v>
      </c>
    </row>
    <row r="1020" spans="1:23">
      <c r="A1020" s="79">
        <f t="shared" si="15"/>
        <v>1019</v>
      </c>
      <c r="B1020" s="79">
        <f>YEAR(Table6[[#This Row],[Date]])+IF(MONTH(Table6[[#This Row],[Date]])&gt;=4,1,0)</f>
        <v>2026</v>
      </c>
      <c r="C1020" s="79">
        <f>YEAR(Table6[[#This Row],[Date]])</f>
        <v>2025</v>
      </c>
      <c r="D1020" s="79" t="s">
        <v>344</v>
      </c>
      <c r="E1020" s="284">
        <f>Table6[[#This Row],[Date]]-DAY(Table6[[#This Row],[Date]])+1</f>
        <v>45809</v>
      </c>
      <c r="F1020" s="285">
        <v>45832</v>
      </c>
      <c r="G1020" s="79" t="s">
        <v>105</v>
      </c>
      <c r="H1020" s="79" t="str">
        <f>IFERROR(_xlfn.XLOOKUP(Table6[[#This Row],[Affected Feeder ]],'Basic Data'!$A:$A,'Basic Data'!$B:$B),"")</f>
        <v>PWEPL</v>
      </c>
      <c r="I1020" s="79" t="str">
        <f>IFERROR(_xlfn.XLOOKUP(Table6[[#This Row],[Affected Feeder ]],'Basic Data'!$A:$A,'Basic Data'!$C:$C),"")</f>
        <v>MSEDCL</v>
      </c>
      <c r="J1020" s="295">
        <f>IFERROR(_xlfn.XLOOKUP(Table6[[#This Row],[Affected Feeder ]],'Basic Data'!$A:$A,'Basic Data'!$E:$E),"")</f>
        <v>2.2727272727272728E-2</v>
      </c>
      <c r="K1020" s="296" t="s">
        <v>171</v>
      </c>
      <c r="L1020" s="297">
        <v>0.44236111111111115</v>
      </c>
      <c r="M1020" s="297">
        <v>0.44236111111111115</v>
      </c>
      <c r="N1020" s="297">
        <v>0.45624999999999999</v>
      </c>
      <c r="O1020" s="298">
        <f>(Table6[[#This Row],[Work Start TimeStamp]]-Table6[[#This Row],[Fault Start TimeStamp]])*24</f>
        <v>0</v>
      </c>
      <c r="P1020" s="298">
        <f>(Table6[[#This Row],[Fault Clearance time]]-Table6[[#This Row],[Fault Start TimeStamp]])*24</f>
        <v>0.33333333333333215</v>
      </c>
      <c r="Q1020" s="298">
        <f>(Table6[[#This Row],[Fault Clearance time]]-Table6[[#This Row],[Fault Start TimeStamp]])*24</f>
        <v>0.33333333333333215</v>
      </c>
      <c r="R1020" s="79" t="s">
        <v>353</v>
      </c>
      <c r="S1020" s="79" t="s">
        <v>339</v>
      </c>
      <c r="T1020" s="298">
        <f>IFERROR(Table6[[#This Row],[Breakdown Time]]*Table6[[#This Row],[Plant Equivalent Weightage]],"")</f>
        <v>7.5757575757575491E-3</v>
      </c>
      <c r="U1020" s="79" t="s">
        <v>421</v>
      </c>
      <c r="W1020" s="79">
        <v>616</v>
      </c>
    </row>
    <row r="1021" spans="1:23">
      <c r="A1021" s="79">
        <f t="shared" si="15"/>
        <v>1020</v>
      </c>
      <c r="B1021" s="79">
        <f>YEAR(Table6[[#This Row],[Date]])+IF(MONTH(Table6[[#This Row],[Date]])&gt;=4,1,0)</f>
        <v>2026</v>
      </c>
      <c r="C1021" s="79">
        <f>YEAR(Table6[[#This Row],[Date]])</f>
        <v>2025</v>
      </c>
      <c r="D1021" s="79" t="s">
        <v>344</v>
      </c>
      <c r="E1021" s="284">
        <f>Table6[[#This Row],[Date]]-DAY(Table6[[#This Row],[Date]])+1</f>
        <v>45809</v>
      </c>
      <c r="F1021" s="285">
        <v>45832</v>
      </c>
      <c r="G1021" s="79" t="s">
        <v>115</v>
      </c>
      <c r="H1021" s="79" t="str">
        <f>IFERROR(_xlfn.XLOOKUP(Table6[[#This Row],[Affected Feeder ]],'Basic Data'!$A:$A,'Basic Data'!$B:$B),"")</f>
        <v>PWEPL</v>
      </c>
      <c r="I1021" s="79" t="str">
        <f>IFERROR(_xlfn.XLOOKUP(Table6[[#This Row],[Affected Feeder ]],'Basic Data'!$A:$A,'Basic Data'!$C:$C),"")</f>
        <v>MSEDCL</v>
      </c>
      <c r="J1021" s="295">
        <f>IFERROR(_xlfn.XLOOKUP(Table6[[#This Row],[Affected Feeder ]],'Basic Data'!$A:$A,'Basic Data'!$E:$E),"")</f>
        <v>2.2727272727272728E-2</v>
      </c>
      <c r="K1021" s="296" t="s">
        <v>171</v>
      </c>
      <c r="L1021" s="297">
        <v>0.44236111111111115</v>
      </c>
      <c r="M1021" s="297">
        <v>0.44236111111111115</v>
      </c>
      <c r="N1021" s="297">
        <v>0.45624999999999999</v>
      </c>
      <c r="O1021" s="298">
        <f>(Table6[[#This Row],[Work Start TimeStamp]]-Table6[[#This Row],[Fault Start TimeStamp]])*24</f>
        <v>0</v>
      </c>
      <c r="P1021" s="298">
        <f>(Table6[[#This Row],[Fault Clearance time]]-Table6[[#This Row],[Fault Start TimeStamp]])*24</f>
        <v>0.33333333333333215</v>
      </c>
      <c r="Q1021" s="298">
        <f>(Table6[[#This Row],[Fault Clearance time]]-Table6[[#This Row],[Fault Start TimeStamp]])*24</f>
        <v>0.33333333333333215</v>
      </c>
      <c r="R1021" s="79" t="s">
        <v>353</v>
      </c>
      <c r="S1021" s="79" t="s">
        <v>339</v>
      </c>
      <c r="T1021" s="298">
        <f>IFERROR(Table6[[#This Row],[Breakdown Time]]*Table6[[#This Row],[Plant Equivalent Weightage]],"")</f>
        <v>7.5757575757575491E-3</v>
      </c>
      <c r="U1021" s="79" t="s">
        <v>421</v>
      </c>
      <c r="W1021" s="79">
        <v>616</v>
      </c>
    </row>
    <row r="1022" spans="1:23">
      <c r="A1022" s="79">
        <f t="shared" si="15"/>
        <v>1021</v>
      </c>
      <c r="B1022" s="79">
        <f>YEAR(Table6[[#This Row],[Date]])+IF(MONTH(Table6[[#This Row],[Date]])&gt;=4,1,0)</f>
        <v>2026</v>
      </c>
      <c r="C1022" s="79">
        <f>YEAR(Table6[[#This Row],[Date]])</f>
        <v>2025</v>
      </c>
      <c r="D1022" s="79" t="s">
        <v>344</v>
      </c>
      <c r="E1022" s="284">
        <f>Table6[[#This Row],[Date]]-DAY(Table6[[#This Row],[Date]])+1</f>
        <v>45809</v>
      </c>
      <c r="F1022" s="285">
        <v>45832</v>
      </c>
      <c r="G1022" s="79" t="s">
        <v>116</v>
      </c>
      <c r="H1022" s="79" t="str">
        <f>IFERROR(_xlfn.XLOOKUP(Table6[[#This Row],[Affected Feeder ]],'Basic Data'!$A:$A,'Basic Data'!$B:$B),"")</f>
        <v>PWEPL</v>
      </c>
      <c r="I1022" s="79" t="str">
        <f>IFERROR(_xlfn.XLOOKUP(Table6[[#This Row],[Affected Feeder ]],'Basic Data'!$A:$A,'Basic Data'!$C:$C),"")</f>
        <v>MSEDCL</v>
      </c>
      <c r="J1022" s="295">
        <f>IFERROR(_xlfn.XLOOKUP(Table6[[#This Row],[Affected Feeder ]],'Basic Data'!$A:$A,'Basic Data'!$E:$E),"")</f>
        <v>2.2727272727272728E-2</v>
      </c>
      <c r="K1022" s="296" t="s">
        <v>171</v>
      </c>
      <c r="L1022" s="297">
        <v>0.44236111111111115</v>
      </c>
      <c r="M1022" s="297">
        <v>0.44236111111111115</v>
      </c>
      <c r="N1022" s="297">
        <v>0.45624999999999999</v>
      </c>
      <c r="O1022" s="298">
        <f>(Table6[[#This Row],[Work Start TimeStamp]]-Table6[[#This Row],[Fault Start TimeStamp]])*24</f>
        <v>0</v>
      </c>
      <c r="P1022" s="298">
        <f>(Table6[[#This Row],[Fault Clearance time]]-Table6[[#This Row],[Fault Start TimeStamp]])*24</f>
        <v>0.33333333333333215</v>
      </c>
      <c r="Q1022" s="298">
        <f>(Table6[[#This Row],[Fault Clearance time]]-Table6[[#This Row],[Fault Start TimeStamp]])*24</f>
        <v>0.33333333333333215</v>
      </c>
      <c r="R1022" s="79" t="s">
        <v>353</v>
      </c>
      <c r="S1022" s="79" t="s">
        <v>339</v>
      </c>
      <c r="T1022" s="298">
        <f>IFERROR(Table6[[#This Row],[Breakdown Time]]*Table6[[#This Row],[Plant Equivalent Weightage]],"")</f>
        <v>7.5757575757575491E-3</v>
      </c>
      <c r="U1022" s="79" t="s">
        <v>421</v>
      </c>
      <c r="W1022" s="79">
        <v>616</v>
      </c>
    </row>
    <row r="1023" spans="1:23">
      <c r="A1023" s="79">
        <f t="shared" si="15"/>
        <v>1022</v>
      </c>
      <c r="B1023" s="79">
        <f>YEAR(Table6[[#This Row],[Date]])+IF(MONTH(Table6[[#This Row],[Date]])&gt;=4,1,0)</f>
        <v>2026</v>
      </c>
      <c r="C1023" s="79">
        <f>YEAR(Table6[[#This Row],[Date]])</f>
        <v>2025</v>
      </c>
      <c r="D1023" s="79" t="s">
        <v>344</v>
      </c>
      <c r="E1023" s="284">
        <f>Table6[[#This Row],[Date]]-DAY(Table6[[#This Row],[Date]])+1</f>
        <v>45809</v>
      </c>
      <c r="F1023" s="285">
        <v>45832</v>
      </c>
      <c r="G1023" s="79" t="s">
        <v>117</v>
      </c>
      <c r="H1023" s="79" t="str">
        <f>IFERROR(_xlfn.XLOOKUP(Table6[[#This Row],[Affected Feeder ]],'Basic Data'!$A:$A,'Basic Data'!$B:$B),"")</f>
        <v>PWEPL</v>
      </c>
      <c r="I1023" s="79" t="str">
        <f>IFERROR(_xlfn.XLOOKUP(Table6[[#This Row],[Affected Feeder ]],'Basic Data'!$A:$A,'Basic Data'!$C:$C),"")</f>
        <v>MSEDCL</v>
      </c>
      <c r="J1023" s="295">
        <f>IFERROR(_xlfn.XLOOKUP(Table6[[#This Row],[Affected Feeder ]],'Basic Data'!$A:$A,'Basic Data'!$E:$E),"")</f>
        <v>2.2727272727272728E-2</v>
      </c>
      <c r="K1023" s="296" t="s">
        <v>171</v>
      </c>
      <c r="L1023" s="297">
        <v>0.44236111111111115</v>
      </c>
      <c r="M1023" s="297">
        <v>0.44236111111111115</v>
      </c>
      <c r="N1023" s="297">
        <v>0.45624999999999999</v>
      </c>
      <c r="O1023" s="298">
        <f>(Table6[[#This Row],[Work Start TimeStamp]]-Table6[[#This Row],[Fault Start TimeStamp]])*24</f>
        <v>0</v>
      </c>
      <c r="P1023" s="298">
        <f>(Table6[[#This Row],[Fault Clearance time]]-Table6[[#This Row],[Fault Start TimeStamp]])*24</f>
        <v>0.33333333333333215</v>
      </c>
      <c r="Q1023" s="298">
        <f>(Table6[[#This Row],[Fault Clearance time]]-Table6[[#This Row],[Fault Start TimeStamp]])*24</f>
        <v>0.33333333333333215</v>
      </c>
      <c r="R1023" s="79" t="s">
        <v>353</v>
      </c>
      <c r="S1023" s="79" t="s">
        <v>339</v>
      </c>
      <c r="T1023" s="298">
        <f>IFERROR(Table6[[#This Row],[Breakdown Time]]*Table6[[#This Row],[Plant Equivalent Weightage]],"")</f>
        <v>7.5757575757575491E-3</v>
      </c>
      <c r="U1023" s="79" t="s">
        <v>421</v>
      </c>
      <c r="W1023" s="79">
        <v>616</v>
      </c>
    </row>
    <row r="1024" spans="1:23">
      <c r="A1024" s="79">
        <f t="shared" si="15"/>
        <v>1023</v>
      </c>
      <c r="B1024" s="79">
        <f>YEAR(Table6[[#This Row],[Date]])+IF(MONTH(Table6[[#This Row],[Date]])&gt;=4,1,0)</f>
        <v>2026</v>
      </c>
      <c r="C1024" s="79">
        <f>YEAR(Table6[[#This Row],[Date]])</f>
        <v>2025</v>
      </c>
      <c r="D1024" s="79" t="s">
        <v>344</v>
      </c>
      <c r="E1024" s="284">
        <f>Table6[[#This Row],[Date]]-DAY(Table6[[#This Row],[Date]])+1</f>
        <v>45809</v>
      </c>
      <c r="F1024" s="285">
        <v>45832</v>
      </c>
      <c r="G1024" s="79" t="s">
        <v>118</v>
      </c>
      <c r="H1024" s="79" t="str">
        <f>IFERROR(_xlfn.XLOOKUP(Table6[[#This Row],[Affected Feeder ]],'Basic Data'!$A:$A,'Basic Data'!$B:$B),"")</f>
        <v>PWEPL</v>
      </c>
      <c r="I1024" s="79" t="str">
        <f>IFERROR(_xlfn.XLOOKUP(Table6[[#This Row],[Affected Feeder ]],'Basic Data'!$A:$A,'Basic Data'!$C:$C),"")</f>
        <v>MSEDCL</v>
      </c>
      <c r="J1024" s="295">
        <f>IFERROR(_xlfn.XLOOKUP(Table6[[#This Row],[Affected Feeder ]],'Basic Data'!$A:$A,'Basic Data'!$E:$E),"")</f>
        <v>2.2727272727272728E-2</v>
      </c>
      <c r="K1024" s="296" t="s">
        <v>171</v>
      </c>
      <c r="L1024" s="297">
        <v>0.44236111111111115</v>
      </c>
      <c r="M1024" s="297">
        <v>0.44236111111111115</v>
      </c>
      <c r="N1024" s="297">
        <v>0.45624999999999999</v>
      </c>
      <c r="O1024" s="298">
        <f>(Table6[[#This Row],[Work Start TimeStamp]]-Table6[[#This Row],[Fault Start TimeStamp]])*24</f>
        <v>0</v>
      </c>
      <c r="P1024" s="298">
        <f>(Table6[[#This Row],[Fault Clearance time]]-Table6[[#This Row],[Fault Start TimeStamp]])*24</f>
        <v>0.33333333333333215</v>
      </c>
      <c r="Q1024" s="298">
        <f>(Table6[[#This Row],[Fault Clearance time]]-Table6[[#This Row],[Fault Start TimeStamp]])*24</f>
        <v>0.33333333333333215</v>
      </c>
      <c r="R1024" s="79" t="s">
        <v>353</v>
      </c>
      <c r="S1024" s="79" t="s">
        <v>339</v>
      </c>
      <c r="T1024" s="298">
        <f>IFERROR(Table6[[#This Row],[Breakdown Time]]*Table6[[#This Row],[Plant Equivalent Weightage]],"")</f>
        <v>7.5757575757575491E-3</v>
      </c>
      <c r="U1024" s="79" t="s">
        <v>421</v>
      </c>
      <c r="W1024" s="79">
        <v>616</v>
      </c>
    </row>
    <row r="1025" spans="1:23">
      <c r="A1025" s="79">
        <f t="shared" si="15"/>
        <v>1024</v>
      </c>
      <c r="B1025" s="79">
        <f>YEAR(Table6[[#This Row],[Date]])+IF(MONTH(Table6[[#This Row],[Date]])&gt;=4,1,0)</f>
        <v>2026</v>
      </c>
      <c r="C1025" s="79">
        <f>YEAR(Table6[[#This Row],[Date]])</f>
        <v>2025</v>
      </c>
      <c r="D1025" s="79" t="s">
        <v>344</v>
      </c>
      <c r="E1025" s="284">
        <f>Table6[[#This Row],[Date]]-DAY(Table6[[#This Row],[Date]])+1</f>
        <v>45809</v>
      </c>
      <c r="F1025" s="285">
        <v>45832</v>
      </c>
      <c r="G1025" s="79" t="s">
        <v>82</v>
      </c>
      <c r="H1025" s="79" t="str">
        <f>IFERROR(_xlfn.XLOOKUP(Table6[[#This Row],[Affected Feeder ]],'Basic Data'!$A:$A,'Basic Data'!$B:$B),"")</f>
        <v>PWEPL</v>
      </c>
      <c r="I1025" s="79" t="str">
        <f>IFERROR(_xlfn.XLOOKUP(Table6[[#This Row],[Affected Feeder ]],'Basic Data'!$A:$A,'Basic Data'!$C:$C),"")</f>
        <v>MSEDCL</v>
      </c>
      <c r="J1025" s="295">
        <f>IFERROR(_xlfn.XLOOKUP(Table6[[#This Row],[Affected Feeder ]],'Basic Data'!$A:$A,'Basic Data'!$E:$E),"")</f>
        <v>2.2727272727272728E-2</v>
      </c>
      <c r="K1025" s="296" t="s">
        <v>934</v>
      </c>
      <c r="L1025" s="297">
        <v>0.44236111111111115</v>
      </c>
      <c r="M1025" s="297">
        <v>0.44236111111111115</v>
      </c>
      <c r="N1025" s="297">
        <v>0.46319444444444446</v>
      </c>
      <c r="O1025" s="298">
        <f>(Table6[[#This Row],[Work Start TimeStamp]]-Table6[[#This Row],[Fault Start TimeStamp]])*24</f>
        <v>0</v>
      </c>
      <c r="P1025" s="298">
        <f>(Table6[[#This Row],[Fault Clearance time]]-Table6[[#This Row],[Fault Start TimeStamp]])*24</f>
        <v>0.49999999999999956</v>
      </c>
      <c r="Q1025" s="298">
        <f>(Table6[[#This Row],[Fault Clearance time]]-Table6[[#This Row],[Fault Start TimeStamp]])*24</f>
        <v>0.49999999999999956</v>
      </c>
      <c r="R1025" s="79" t="s">
        <v>935</v>
      </c>
      <c r="S1025" s="79" t="s">
        <v>339</v>
      </c>
      <c r="T1025" s="298">
        <f>IFERROR(Table6[[#This Row],[Breakdown Time]]*Table6[[#This Row],[Plant Equivalent Weightage]],"")</f>
        <v>1.1363636363636354E-2</v>
      </c>
      <c r="U1025" s="79" t="s">
        <v>421</v>
      </c>
      <c r="W1025" s="79">
        <v>215</v>
      </c>
    </row>
    <row r="1026" spans="1:23">
      <c r="A1026" s="79">
        <f t="shared" si="15"/>
        <v>1025</v>
      </c>
      <c r="B1026" s="79">
        <f>YEAR(Table6[[#This Row],[Date]])+IF(MONTH(Table6[[#This Row],[Date]])&gt;=4,1,0)</f>
        <v>2026</v>
      </c>
      <c r="C1026" s="79">
        <f>YEAR(Table6[[#This Row],[Date]])</f>
        <v>2025</v>
      </c>
      <c r="D1026" s="79" t="s">
        <v>344</v>
      </c>
      <c r="E1026" s="284">
        <f>Table6[[#This Row],[Date]]-DAY(Table6[[#This Row],[Date]])+1</f>
        <v>45809</v>
      </c>
      <c r="F1026" s="285">
        <v>45832</v>
      </c>
      <c r="G1026" s="79" t="s">
        <v>82</v>
      </c>
      <c r="H1026" s="79" t="str">
        <f>IFERROR(_xlfn.XLOOKUP(Table6[[#This Row],[Affected Feeder ]],'Basic Data'!$A:$A,'Basic Data'!$B:$B),"")</f>
        <v>PWEPL</v>
      </c>
      <c r="I1026" s="79" t="str">
        <f>IFERROR(_xlfn.XLOOKUP(Table6[[#This Row],[Affected Feeder ]],'Basic Data'!$A:$A,'Basic Data'!$C:$C),"")</f>
        <v>MSEDCL</v>
      </c>
      <c r="J1026" s="295">
        <f>IFERROR(_xlfn.XLOOKUP(Table6[[#This Row],[Affected Feeder ]],'Basic Data'!$A:$A,'Basic Data'!$E:$E),"")</f>
        <v>2.2727272727272728E-2</v>
      </c>
      <c r="K1026" s="296" t="s">
        <v>171</v>
      </c>
      <c r="L1026" s="297">
        <v>0.46319444444444446</v>
      </c>
      <c r="M1026" s="297">
        <v>0.46319444444444446</v>
      </c>
      <c r="N1026" s="297">
        <v>0.47569444444444442</v>
      </c>
      <c r="O1026" s="298">
        <f>(Table6[[#This Row],[Work Start TimeStamp]]-Table6[[#This Row],[Fault Start TimeStamp]])*24</f>
        <v>0</v>
      </c>
      <c r="P1026" s="298">
        <f>(Table6[[#This Row],[Fault Clearance time]]-Table6[[#This Row],[Fault Start TimeStamp]])*24</f>
        <v>0.29999999999999893</v>
      </c>
      <c r="Q1026" s="298">
        <f>(Table6[[#This Row],[Fault Clearance time]]-Table6[[#This Row],[Fault Start TimeStamp]])*24</f>
        <v>0.29999999999999893</v>
      </c>
      <c r="R1026" s="79" t="s">
        <v>353</v>
      </c>
      <c r="S1026" s="79" t="s">
        <v>339</v>
      </c>
      <c r="T1026" s="298">
        <f>IFERROR(Table6[[#This Row],[Breakdown Time]]*Table6[[#This Row],[Plant Equivalent Weightage]],"")</f>
        <v>6.8181818181817944E-3</v>
      </c>
      <c r="U1026" s="79" t="s">
        <v>421</v>
      </c>
      <c r="W1026" s="79">
        <v>321</v>
      </c>
    </row>
    <row r="1027" spans="1:23">
      <c r="A1027" s="79">
        <f t="shared" si="15"/>
        <v>1026</v>
      </c>
      <c r="B1027" s="79">
        <f>YEAR(Table6[[#This Row],[Date]])+IF(MONTH(Table6[[#This Row],[Date]])&gt;=4,1,0)</f>
        <v>2026</v>
      </c>
      <c r="C1027" s="79">
        <f>YEAR(Table6[[#This Row],[Date]])</f>
        <v>2025</v>
      </c>
      <c r="D1027" s="79" t="s">
        <v>344</v>
      </c>
      <c r="E1027" s="284">
        <f>Table6[[#This Row],[Date]]-DAY(Table6[[#This Row],[Date]])+1</f>
        <v>45809</v>
      </c>
      <c r="F1027" s="285">
        <v>45832</v>
      </c>
      <c r="G1027" s="79" t="s">
        <v>118</v>
      </c>
      <c r="H1027" s="79" t="str">
        <f>IFERROR(_xlfn.XLOOKUP(Table6[[#This Row],[Affected Feeder ]],'Basic Data'!$A:$A,'Basic Data'!$B:$B),"")</f>
        <v>PWEPL</v>
      </c>
      <c r="I1027" s="79" t="str">
        <f>IFERROR(_xlfn.XLOOKUP(Table6[[#This Row],[Affected Feeder ]],'Basic Data'!$A:$A,'Basic Data'!$C:$C),"")</f>
        <v>MSEDCL</v>
      </c>
      <c r="J1027" s="295">
        <f>IFERROR(_xlfn.XLOOKUP(Table6[[#This Row],[Affected Feeder ]],'Basic Data'!$A:$A,'Basic Data'!$E:$E),"")</f>
        <v>2.2727272727272728E-2</v>
      </c>
      <c r="K1027" s="296" t="s">
        <v>796</v>
      </c>
      <c r="L1027" s="297">
        <v>0.45624999999999999</v>
      </c>
      <c r="M1027" s="297">
        <v>0.45624999999999999</v>
      </c>
      <c r="N1027" s="297">
        <v>0.47152777777777777</v>
      </c>
      <c r="O1027" s="298">
        <f>(Table6[[#This Row],[Work Start TimeStamp]]-Table6[[#This Row],[Fault Start TimeStamp]])*24</f>
        <v>0</v>
      </c>
      <c r="P1027" s="298">
        <f>(Table6[[#This Row],[Fault Clearance time]]-Table6[[#This Row],[Fault Start TimeStamp]])*24</f>
        <v>0.3666666666666667</v>
      </c>
      <c r="Q1027" s="298">
        <f>(Table6[[#This Row],[Fault Clearance time]]-Table6[[#This Row],[Fault Start TimeStamp]])*24</f>
        <v>0.3666666666666667</v>
      </c>
      <c r="R1027" s="79" t="s">
        <v>424</v>
      </c>
      <c r="S1027" s="79" t="s">
        <v>339</v>
      </c>
      <c r="T1027" s="298">
        <f>IFERROR(Table6[[#This Row],[Breakdown Time]]*Table6[[#This Row],[Plant Equivalent Weightage]],"")</f>
        <v>8.333333333333335E-3</v>
      </c>
      <c r="U1027" s="79" t="s">
        <v>421</v>
      </c>
      <c r="W1027" s="79">
        <v>333</v>
      </c>
    </row>
    <row r="1028" spans="1:23">
      <c r="A1028" s="79">
        <f t="shared" ref="A1028:A1091" si="16">A1027+1</f>
        <v>1027</v>
      </c>
      <c r="B1028" s="79">
        <f>YEAR(Table6[[#This Row],[Date]])+IF(MONTH(Table6[[#This Row],[Date]])&gt;=4,1,0)</f>
        <v>2026</v>
      </c>
      <c r="C1028" s="79">
        <f>YEAR(Table6[[#This Row],[Date]])</f>
        <v>2025</v>
      </c>
      <c r="D1028" s="79" t="s">
        <v>344</v>
      </c>
      <c r="E1028" s="284">
        <f>Table6[[#This Row],[Date]]-DAY(Table6[[#This Row],[Date]])+1</f>
        <v>45809</v>
      </c>
      <c r="F1028" s="285">
        <v>45832</v>
      </c>
      <c r="G1028" s="79" t="s">
        <v>118</v>
      </c>
      <c r="H1028" s="79" t="str">
        <f>IFERROR(_xlfn.XLOOKUP(Table6[[#This Row],[Affected Feeder ]],'Basic Data'!$A:$A,'Basic Data'!$B:$B),"")</f>
        <v>PWEPL</v>
      </c>
      <c r="I1028" s="79" t="str">
        <f>IFERROR(_xlfn.XLOOKUP(Table6[[#This Row],[Affected Feeder ]],'Basic Data'!$A:$A,'Basic Data'!$C:$C),"")</f>
        <v>MSEDCL</v>
      </c>
      <c r="J1028" s="295">
        <f>IFERROR(_xlfn.XLOOKUP(Table6[[#This Row],[Affected Feeder ]],'Basic Data'!$A:$A,'Basic Data'!$E:$E),"")</f>
        <v>2.2727272727272728E-2</v>
      </c>
      <c r="K1028" s="296" t="s">
        <v>171</v>
      </c>
      <c r="L1028" s="297">
        <v>0.47152777777777777</v>
      </c>
      <c r="M1028" s="297">
        <v>0.47152777777777777</v>
      </c>
      <c r="N1028" s="297">
        <v>0.4777777777777778</v>
      </c>
      <c r="O1028" s="298">
        <f>(Table6[[#This Row],[Work Start TimeStamp]]-Table6[[#This Row],[Fault Start TimeStamp]])*24</f>
        <v>0</v>
      </c>
      <c r="P1028" s="298">
        <f>(Table6[[#This Row],[Fault Clearance time]]-Table6[[#This Row],[Fault Start TimeStamp]])*24</f>
        <v>0.1500000000000008</v>
      </c>
      <c r="Q1028" s="298">
        <f>(Table6[[#This Row],[Fault Clearance time]]-Table6[[#This Row],[Fault Start TimeStamp]])*24</f>
        <v>0.1500000000000008</v>
      </c>
      <c r="R1028" s="79" t="s">
        <v>353</v>
      </c>
      <c r="S1028" s="79" t="s">
        <v>339</v>
      </c>
      <c r="T1028" s="298">
        <f>IFERROR(Table6[[#This Row],[Breakdown Time]]*Table6[[#This Row],[Plant Equivalent Weightage]],"")</f>
        <v>3.4090909090909271E-3</v>
      </c>
      <c r="U1028" s="79" t="s">
        <v>421</v>
      </c>
      <c r="W1028" s="79">
        <v>230</v>
      </c>
    </row>
    <row r="1029" spans="1:23">
      <c r="A1029" s="79">
        <f t="shared" si="16"/>
        <v>1028</v>
      </c>
      <c r="B1029" s="79">
        <f>YEAR(Table6[[#This Row],[Date]])+IF(MONTH(Table6[[#This Row],[Date]])&gt;=4,1,0)</f>
        <v>2026</v>
      </c>
      <c r="C1029" s="79">
        <f>YEAR(Table6[[#This Row],[Date]])</f>
        <v>2025</v>
      </c>
      <c r="D1029" s="79" t="s">
        <v>344</v>
      </c>
      <c r="E1029" s="284">
        <f>Table6[[#This Row],[Date]]-DAY(Table6[[#This Row],[Date]])+1</f>
        <v>45809</v>
      </c>
      <c r="F1029" s="285">
        <v>45834</v>
      </c>
      <c r="G1029" s="79" t="s">
        <v>406</v>
      </c>
      <c r="H1029" s="79" t="str">
        <f>IFERROR(_xlfn.XLOOKUP(Table6[[#This Row],[Affected Feeder ]],'Basic Data'!$A:$A,'Basic Data'!$B:$B),"")</f>
        <v>PWEPL</v>
      </c>
      <c r="I1029" s="79" t="str">
        <f>IFERROR(_xlfn.XLOOKUP(Table6[[#This Row],[Affected Feeder ]],'Basic Data'!$A:$A,'Basic Data'!$C:$C),"")</f>
        <v>MSEDCL</v>
      </c>
      <c r="J1029" s="295">
        <f>IFERROR(_xlfn.XLOOKUP(Table6[[#This Row],[Affected Feeder ]],'Basic Data'!$A:$A,'Basic Data'!$E:$E),"")</f>
        <v>0.29545454545454541</v>
      </c>
      <c r="K1029" s="296" t="s">
        <v>447</v>
      </c>
      <c r="L1029" s="297">
        <v>0.49652777777777779</v>
      </c>
      <c r="M1029" s="297">
        <v>0.49652777777777779</v>
      </c>
      <c r="N1029" s="297">
        <v>0.50277777777777777</v>
      </c>
      <c r="O1029" s="298">
        <f>(Table6[[#This Row],[Work Start TimeStamp]]-Table6[[#This Row],[Fault Start TimeStamp]])*24</f>
        <v>0</v>
      </c>
      <c r="P1029" s="298">
        <f>(Table6[[#This Row],[Fault Clearance time]]-Table6[[#This Row],[Fault Start TimeStamp]])*24</f>
        <v>0.14999999999999947</v>
      </c>
      <c r="Q1029" s="298">
        <f>(Table6[[#This Row],[Fault Clearance time]]-Table6[[#This Row],[Fault Start TimeStamp]])*24</f>
        <v>0.14999999999999947</v>
      </c>
      <c r="R1029" s="79" t="s">
        <v>420</v>
      </c>
      <c r="S1029" s="79" t="s">
        <v>339</v>
      </c>
      <c r="T1029" s="298">
        <f>IFERROR(Table6[[#This Row],[Breakdown Time]]*Table6[[#This Row],[Plant Equivalent Weightage]],"")</f>
        <v>4.4318181818181653E-2</v>
      </c>
      <c r="U1029" s="79" t="s">
        <v>421</v>
      </c>
      <c r="W1029" s="79">
        <v>3923</v>
      </c>
    </row>
    <row r="1030" spans="1:23">
      <c r="A1030" s="79">
        <f t="shared" si="16"/>
        <v>1029</v>
      </c>
      <c r="B1030" s="79">
        <f>YEAR(Table6[[#This Row],[Date]])+IF(MONTH(Table6[[#This Row],[Date]])&gt;=4,1,0)</f>
        <v>2026</v>
      </c>
      <c r="C1030" s="79">
        <f>YEAR(Table6[[#This Row],[Date]])</f>
        <v>2025</v>
      </c>
      <c r="D1030" s="79" t="s">
        <v>344</v>
      </c>
      <c r="E1030" s="284">
        <f>Table6[[#This Row],[Date]]-DAY(Table6[[#This Row],[Date]])+1</f>
        <v>45809</v>
      </c>
      <c r="F1030" s="285">
        <v>45834</v>
      </c>
      <c r="G1030" s="79" t="s">
        <v>76</v>
      </c>
      <c r="H1030" s="79" t="str">
        <f>IFERROR(_xlfn.XLOOKUP(Table6[[#This Row],[Affected Feeder ]],'Basic Data'!$A:$A,'Basic Data'!$B:$B),"")</f>
        <v>PWEPL</v>
      </c>
      <c r="I1030" s="79" t="str">
        <f>IFERROR(_xlfn.XLOOKUP(Table6[[#This Row],[Affected Feeder ]],'Basic Data'!$A:$A,'Basic Data'!$C:$C),"")</f>
        <v>MSEDCL</v>
      </c>
      <c r="J1030" s="295">
        <f>IFERROR(_xlfn.XLOOKUP(Table6[[#This Row],[Affected Feeder ]],'Basic Data'!$A:$A,'Basic Data'!$E:$E),"")</f>
        <v>2.2727272727272728E-2</v>
      </c>
      <c r="K1030" s="296" t="s">
        <v>171</v>
      </c>
      <c r="L1030" s="297">
        <v>0.50277777777777777</v>
      </c>
      <c r="M1030" s="297">
        <v>0.50277777777777777</v>
      </c>
      <c r="N1030" s="297">
        <v>0.50555555555555554</v>
      </c>
      <c r="O1030" s="298">
        <f>(Table6[[#This Row],[Work Start TimeStamp]]-Table6[[#This Row],[Fault Start TimeStamp]])*24</f>
        <v>0</v>
      </c>
      <c r="P1030" s="298">
        <f>(Table6[[#This Row],[Fault Clearance time]]-Table6[[#This Row],[Fault Start TimeStamp]])*24</f>
        <v>6.666666666666643E-2</v>
      </c>
      <c r="Q1030" s="298">
        <f>(Table6[[#This Row],[Fault Clearance time]]-Table6[[#This Row],[Fault Start TimeStamp]])*24</f>
        <v>6.666666666666643E-2</v>
      </c>
      <c r="R1030" s="79" t="s">
        <v>353</v>
      </c>
      <c r="S1030" s="79" t="s">
        <v>339</v>
      </c>
      <c r="T1030" s="298">
        <f>IFERROR(Table6[[#This Row],[Breakdown Time]]*Table6[[#This Row],[Plant Equivalent Weightage]],"")</f>
        <v>1.5151515151515097E-3</v>
      </c>
      <c r="U1030" s="79" t="s">
        <v>421</v>
      </c>
      <c r="W1030" s="79">
        <v>134</v>
      </c>
    </row>
    <row r="1031" spans="1:23">
      <c r="A1031" s="79">
        <f t="shared" si="16"/>
        <v>1030</v>
      </c>
      <c r="B1031" s="79">
        <f>YEAR(Table6[[#This Row],[Date]])+IF(MONTH(Table6[[#This Row],[Date]])&gt;=4,1,0)</f>
        <v>2026</v>
      </c>
      <c r="C1031" s="79">
        <f>YEAR(Table6[[#This Row],[Date]])</f>
        <v>2025</v>
      </c>
      <c r="D1031" s="79" t="s">
        <v>344</v>
      </c>
      <c r="E1031" s="284">
        <f>Table6[[#This Row],[Date]]-DAY(Table6[[#This Row],[Date]])+1</f>
        <v>45809</v>
      </c>
      <c r="F1031" s="285">
        <v>45834</v>
      </c>
      <c r="G1031" s="79" t="s">
        <v>77</v>
      </c>
      <c r="H1031" s="79" t="str">
        <f>IFERROR(_xlfn.XLOOKUP(Table6[[#This Row],[Affected Feeder ]],'Basic Data'!$A:$A,'Basic Data'!$B:$B),"")</f>
        <v>PWEPL</v>
      </c>
      <c r="I1031" s="79" t="str">
        <f>IFERROR(_xlfn.XLOOKUP(Table6[[#This Row],[Affected Feeder ]],'Basic Data'!$A:$A,'Basic Data'!$C:$C),"")</f>
        <v>MSEDCL</v>
      </c>
      <c r="J1031" s="295">
        <f>IFERROR(_xlfn.XLOOKUP(Table6[[#This Row],[Affected Feeder ]],'Basic Data'!$A:$A,'Basic Data'!$E:$E),"")</f>
        <v>2.2727272727272728E-2</v>
      </c>
      <c r="K1031" s="296" t="s">
        <v>171</v>
      </c>
      <c r="L1031" s="297">
        <v>0.50277777777777777</v>
      </c>
      <c r="M1031" s="297">
        <v>0.50277777777777777</v>
      </c>
      <c r="N1031" s="297">
        <v>0.51180555555555551</v>
      </c>
      <c r="O1031" s="298">
        <f>(Table6[[#This Row],[Work Start TimeStamp]]-Table6[[#This Row],[Fault Start TimeStamp]])*24</f>
        <v>0</v>
      </c>
      <c r="P1031" s="298">
        <f>(Table6[[#This Row],[Fault Clearance time]]-Table6[[#This Row],[Fault Start TimeStamp]])*24</f>
        <v>0.2166666666666659</v>
      </c>
      <c r="Q1031" s="298">
        <f>(Table6[[#This Row],[Fault Clearance time]]-Table6[[#This Row],[Fault Start TimeStamp]])*24</f>
        <v>0.2166666666666659</v>
      </c>
      <c r="R1031" s="79" t="s">
        <v>353</v>
      </c>
      <c r="S1031" s="79" t="s">
        <v>339</v>
      </c>
      <c r="T1031" s="298">
        <f>IFERROR(Table6[[#This Row],[Breakdown Time]]*Table6[[#This Row],[Plant Equivalent Weightage]],"")</f>
        <v>4.9242424242424065E-3</v>
      </c>
      <c r="U1031" s="79" t="s">
        <v>421</v>
      </c>
      <c r="W1031" s="79">
        <v>435</v>
      </c>
    </row>
    <row r="1032" spans="1:23">
      <c r="A1032" s="79">
        <f t="shared" si="16"/>
        <v>1031</v>
      </c>
      <c r="B1032" s="79">
        <f>YEAR(Table6[[#This Row],[Date]])+IF(MONTH(Table6[[#This Row],[Date]])&gt;=4,1,0)</f>
        <v>2026</v>
      </c>
      <c r="C1032" s="79">
        <f>YEAR(Table6[[#This Row],[Date]])</f>
        <v>2025</v>
      </c>
      <c r="D1032" s="79" t="s">
        <v>344</v>
      </c>
      <c r="E1032" s="284">
        <f>Table6[[#This Row],[Date]]-DAY(Table6[[#This Row],[Date]])+1</f>
        <v>45809</v>
      </c>
      <c r="F1032" s="285">
        <v>45834</v>
      </c>
      <c r="G1032" s="79" t="s">
        <v>78</v>
      </c>
      <c r="H1032" s="79" t="str">
        <f>IFERROR(_xlfn.XLOOKUP(Table6[[#This Row],[Affected Feeder ]],'Basic Data'!$A:$A,'Basic Data'!$B:$B),"")</f>
        <v>PWEPL</v>
      </c>
      <c r="I1032" s="79" t="str">
        <f>IFERROR(_xlfn.XLOOKUP(Table6[[#This Row],[Affected Feeder ]],'Basic Data'!$A:$A,'Basic Data'!$C:$C),"")</f>
        <v>MSEDCL</v>
      </c>
      <c r="J1032" s="295">
        <f>IFERROR(_xlfn.XLOOKUP(Table6[[#This Row],[Affected Feeder ]],'Basic Data'!$A:$A,'Basic Data'!$E:$E),"")</f>
        <v>2.2727272727272728E-2</v>
      </c>
      <c r="K1032" s="296" t="s">
        <v>171</v>
      </c>
      <c r="L1032" s="297">
        <v>0.50277777777777777</v>
      </c>
      <c r="M1032" s="297">
        <v>0.50277777777777777</v>
      </c>
      <c r="N1032" s="297">
        <v>0.51458333333333328</v>
      </c>
      <c r="O1032" s="298">
        <f>(Table6[[#This Row],[Work Start TimeStamp]]-Table6[[#This Row],[Fault Start TimeStamp]])*24</f>
        <v>0</v>
      </c>
      <c r="P1032" s="298">
        <f>(Table6[[#This Row],[Fault Clearance time]]-Table6[[#This Row],[Fault Start TimeStamp]])*24</f>
        <v>0.28333333333333233</v>
      </c>
      <c r="Q1032" s="298">
        <f>(Table6[[#This Row],[Fault Clearance time]]-Table6[[#This Row],[Fault Start TimeStamp]])*24</f>
        <v>0.28333333333333233</v>
      </c>
      <c r="R1032" s="79" t="s">
        <v>353</v>
      </c>
      <c r="S1032" s="79" t="s">
        <v>339</v>
      </c>
      <c r="T1032" s="298">
        <f>IFERROR(Table6[[#This Row],[Breakdown Time]]*Table6[[#This Row],[Plant Equivalent Weightage]],"")</f>
        <v>6.4393939393939167E-3</v>
      </c>
      <c r="U1032" s="79" t="s">
        <v>421</v>
      </c>
      <c r="W1032" s="79">
        <v>570</v>
      </c>
    </row>
    <row r="1033" spans="1:23">
      <c r="A1033" s="79">
        <f t="shared" si="16"/>
        <v>1032</v>
      </c>
      <c r="B1033" s="79">
        <f>YEAR(Table6[[#This Row],[Date]])+IF(MONTH(Table6[[#This Row],[Date]])&gt;=4,1,0)</f>
        <v>2026</v>
      </c>
      <c r="C1033" s="79">
        <f>YEAR(Table6[[#This Row],[Date]])</f>
        <v>2025</v>
      </c>
      <c r="D1033" s="79" t="s">
        <v>344</v>
      </c>
      <c r="E1033" s="284">
        <f>Table6[[#This Row],[Date]]-DAY(Table6[[#This Row],[Date]])+1</f>
        <v>45809</v>
      </c>
      <c r="F1033" s="285">
        <v>45834</v>
      </c>
      <c r="G1033" s="79" t="s">
        <v>82</v>
      </c>
      <c r="H1033" s="79" t="str">
        <f>IFERROR(_xlfn.XLOOKUP(Table6[[#This Row],[Affected Feeder ]],'Basic Data'!$A:$A,'Basic Data'!$B:$B),"")</f>
        <v>PWEPL</v>
      </c>
      <c r="I1033" s="79" t="str">
        <f>IFERROR(_xlfn.XLOOKUP(Table6[[#This Row],[Affected Feeder ]],'Basic Data'!$A:$A,'Basic Data'!$C:$C),"")</f>
        <v>MSEDCL</v>
      </c>
      <c r="J1033" s="295">
        <f>IFERROR(_xlfn.XLOOKUP(Table6[[#This Row],[Affected Feeder ]],'Basic Data'!$A:$A,'Basic Data'!$E:$E),"")</f>
        <v>2.2727272727272728E-2</v>
      </c>
      <c r="K1033" s="296" t="s">
        <v>171</v>
      </c>
      <c r="L1033" s="297">
        <v>0.50277777777777777</v>
      </c>
      <c r="M1033" s="297">
        <v>0.50277777777777777</v>
      </c>
      <c r="N1033" s="297">
        <v>0.51458333333333328</v>
      </c>
      <c r="O1033" s="298">
        <f>(Table6[[#This Row],[Work Start TimeStamp]]-Table6[[#This Row],[Fault Start TimeStamp]])*24</f>
        <v>0</v>
      </c>
      <c r="P1033" s="298">
        <f>(Table6[[#This Row],[Fault Clearance time]]-Table6[[#This Row],[Fault Start TimeStamp]])*24</f>
        <v>0.28333333333333233</v>
      </c>
      <c r="Q1033" s="298">
        <f>(Table6[[#This Row],[Fault Clearance time]]-Table6[[#This Row],[Fault Start TimeStamp]])*24</f>
        <v>0.28333333333333233</v>
      </c>
      <c r="R1033" s="79" t="s">
        <v>353</v>
      </c>
      <c r="S1033" s="79" t="s">
        <v>339</v>
      </c>
      <c r="T1033" s="298">
        <f>IFERROR(Table6[[#This Row],[Breakdown Time]]*Table6[[#This Row],[Plant Equivalent Weightage]],"")</f>
        <v>6.4393939393939167E-3</v>
      </c>
      <c r="U1033" s="79" t="s">
        <v>421</v>
      </c>
      <c r="W1033" s="79">
        <v>570</v>
      </c>
    </row>
    <row r="1034" spans="1:23">
      <c r="A1034" s="79">
        <f t="shared" si="16"/>
        <v>1033</v>
      </c>
      <c r="B1034" s="79">
        <f>YEAR(Table6[[#This Row],[Date]])+IF(MONTH(Table6[[#This Row],[Date]])&gt;=4,1,0)</f>
        <v>2026</v>
      </c>
      <c r="C1034" s="79">
        <f>YEAR(Table6[[#This Row],[Date]])</f>
        <v>2025</v>
      </c>
      <c r="D1034" s="79" t="s">
        <v>344</v>
      </c>
      <c r="E1034" s="284">
        <f>Table6[[#This Row],[Date]]-DAY(Table6[[#This Row],[Date]])+1</f>
        <v>45809</v>
      </c>
      <c r="F1034" s="285">
        <v>45834</v>
      </c>
      <c r="G1034" s="79" t="s">
        <v>93</v>
      </c>
      <c r="H1034" s="79" t="str">
        <f>IFERROR(_xlfn.XLOOKUP(Table6[[#This Row],[Affected Feeder ]],'Basic Data'!$A:$A,'Basic Data'!$B:$B),"")</f>
        <v>PWEPL</v>
      </c>
      <c r="I1034" s="79" t="str">
        <f>IFERROR(_xlfn.XLOOKUP(Table6[[#This Row],[Affected Feeder ]],'Basic Data'!$A:$A,'Basic Data'!$C:$C),"")</f>
        <v>MSEDCL</v>
      </c>
      <c r="J1034" s="295">
        <f>IFERROR(_xlfn.XLOOKUP(Table6[[#This Row],[Affected Feeder ]],'Basic Data'!$A:$A,'Basic Data'!$E:$E),"")</f>
        <v>2.2727272727272728E-2</v>
      </c>
      <c r="K1034" s="296" t="s">
        <v>171</v>
      </c>
      <c r="L1034" s="297">
        <v>0.50277777777777777</v>
      </c>
      <c r="M1034" s="297">
        <v>0.50277777777777777</v>
      </c>
      <c r="N1034" s="297">
        <v>0.51180555555555551</v>
      </c>
      <c r="O1034" s="298">
        <f>(Table6[[#This Row],[Work Start TimeStamp]]-Table6[[#This Row],[Fault Start TimeStamp]])*24</f>
        <v>0</v>
      </c>
      <c r="P1034" s="298">
        <f>(Table6[[#This Row],[Fault Clearance time]]-Table6[[#This Row],[Fault Start TimeStamp]])*24</f>
        <v>0.2166666666666659</v>
      </c>
      <c r="Q1034" s="298">
        <f>(Table6[[#This Row],[Fault Clearance time]]-Table6[[#This Row],[Fault Start TimeStamp]])*24</f>
        <v>0.2166666666666659</v>
      </c>
      <c r="R1034" s="79" t="s">
        <v>353</v>
      </c>
      <c r="S1034" s="79" t="s">
        <v>339</v>
      </c>
      <c r="T1034" s="298">
        <f>IFERROR(Table6[[#This Row],[Breakdown Time]]*Table6[[#This Row],[Plant Equivalent Weightage]],"")</f>
        <v>4.9242424242424065E-3</v>
      </c>
      <c r="U1034" s="79" t="s">
        <v>421</v>
      </c>
      <c r="W1034" s="79">
        <v>435</v>
      </c>
    </row>
    <row r="1035" spans="1:23">
      <c r="A1035" s="79">
        <f t="shared" si="16"/>
        <v>1034</v>
      </c>
      <c r="B1035" s="79">
        <f>YEAR(Table6[[#This Row],[Date]])+IF(MONTH(Table6[[#This Row],[Date]])&gt;=4,1,0)</f>
        <v>2026</v>
      </c>
      <c r="C1035" s="79">
        <f>YEAR(Table6[[#This Row],[Date]])</f>
        <v>2025</v>
      </c>
      <c r="D1035" s="79" t="s">
        <v>344</v>
      </c>
      <c r="E1035" s="284">
        <f>Table6[[#This Row],[Date]]-DAY(Table6[[#This Row],[Date]])+1</f>
        <v>45809</v>
      </c>
      <c r="F1035" s="285">
        <v>45834</v>
      </c>
      <c r="G1035" s="79" t="s">
        <v>102</v>
      </c>
      <c r="H1035" s="79" t="str">
        <f>IFERROR(_xlfn.XLOOKUP(Table6[[#This Row],[Affected Feeder ]],'Basic Data'!$A:$A,'Basic Data'!$B:$B),"")</f>
        <v>PWEPL</v>
      </c>
      <c r="I1035" s="79" t="str">
        <f>IFERROR(_xlfn.XLOOKUP(Table6[[#This Row],[Affected Feeder ]],'Basic Data'!$A:$A,'Basic Data'!$C:$C),"")</f>
        <v>MSEDCL</v>
      </c>
      <c r="J1035" s="295">
        <f>IFERROR(_xlfn.XLOOKUP(Table6[[#This Row],[Affected Feeder ]],'Basic Data'!$A:$A,'Basic Data'!$E:$E),"")</f>
        <v>2.2727272727272728E-2</v>
      </c>
      <c r="K1035" s="296" t="s">
        <v>171</v>
      </c>
      <c r="L1035" s="297">
        <v>0.50277777777777777</v>
      </c>
      <c r="M1035" s="297">
        <v>0.50277777777777777</v>
      </c>
      <c r="N1035" s="297">
        <v>0.51527777777777772</v>
      </c>
      <c r="O1035" s="298">
        <f>(Table6[[#This Row],[Work Start TimeStamp]]-Table6[[#This Row],[Fault Start TimeStamp]])*24</f>
        <v>0</v>
      </c>
      <c r="P1035" s="298">
        <f>(Table6[[#This Row],[Fault Clearance time]]-Table6[[#This Row],[Fault Start TimeStamp]])*24</f>
        <v>0.29999999999999893</v>
      </c>
      <c r="Q1035" s="298">
        <f>(Table6[[#This Row],[Fault Clearance time]]-Table6[[#This Row],[Fault Start TimeStamp]])*24</f>
        <v>0.29999999999999893</v>
      </c>
      <c r="R1035" s="79" t="s">
        <v>353</v>
      </c>
      <c r="S1035" s="79" t="s">
        <v>339</v>
      </c>
      <c r="T1035" s="298">
        <f>IFERROR(Table6[[#This Row],[Breakdown Time]]*Table6[[#This Row],[Plant Equivalent Weightage]],"")</f>
        <v>6.8181818181817944E-3</v>
      </c>
      <c r="U1035" s="79" t="s">
        <v>421</v>
      </c>
      <c r="W1035" s="79">
        <v>603</v>
      </c>
    </row>
    <row r="1036" spans="1:23">
      <c r="A1036" s="79">
        <f t="shared" si="16"/>
        <v>1035</v>
      </c>
      <c r="B1036" s="79">
        <f>YEAR(Table6[[#This Row],[Date]])+IF(MONTH(Table6[[#This Row],[Date]])&gt;=4,1,0)</f>
        <v>2026</v>
      </c>
      <c r="C1036" s="79">
        <f>YEAR(Table6[[#This Row],[Date]])</f>
        <v>2025</v>
      </c>
      <c r="D1036" s="79" t="s">
        <v>344</v>
      </c>
      <c r="E1036" s="284">
        <f>Table6[[#This Row],[Date]]-DAY(Table6[[#This Row],[Date]])+1</f>
        <v>45809</v>
      </c>
      <c r="F1036" s="285">
        <v>45834</v>
      </c>
      <c r="G1036" s="79" t="s">
        <v>119</v>
      </c>
      <c r="H1036" s="79" t="str">
        <f>IFERROR(_xlfn.XLOOKUP(Table6[[#This Row],[Affected Feeder ]],'Basic Data'!$A:$A,'Basic Data'!$B:$B),"")</f>
        <v>PWEPL</v>
      </c>
      <c r="I1036" s="79" t="str">
        <f>IFERROR(_xlfn.XLOOKUP(Table6[[#This Row],[Affected Feeder ]],'Basic Data'!$A:$A,'Basic Data'!$C:$C),"")</f>
        <v>MSEDCL</v>
      </c>
      <c r="J1036" s="295">
        <f>IFERROR(_xlfn.XLOOKUP(Table6[[#This Row],[Affected Feeder ]],'Basic Data'!$A:$A,'Basic Data'!$E:$E),"")</f>
        <v>2.2727272727272728E-2</v>
      </c>
      <c r="K1036" s="296" t="s">
        <v>171</v>
      </c>
      <c r="L1036" s="297">
        <v>0.50277777777777777</v>
      </c>
      <c r="M1036" s="297">
        <v>0.50277777777777777</v>
      </c>
      <c r="N1036" s="297">
        <v>0.5131944444444444</v>
      </c>
      <c r="O1036" s="298">
        <f>(Table6[[#This Row],[Work Start TimeStamp]]-Table6[[#This Row],[Fault Start TimeStamp]])*24</f>
        <v>0</v>
      </c>
      <c r="P1036" s="298">
        <f>(Table6[[#This Row],[Fault Clearance time]]-Table6[[#This Row],[Fault Start TimeStamp]])*24</f>
        <v>0.24999999999999911</v>
      </c>
      <c r="Q1036" s="298">
        <f>(Table6[[#This Row],[Fault Clearance time]]-Table6[[#This Row],[Fault Start TimeStamp]])*24</f>
        <v>0.24999999999999911</v>
      </c>
      <c r="R1036" s="79" t="s">
        <v>353</v>
      </c>
      <c r="S1036" s="79" t="s">
        <v>339</v>
      </c>
      <c r="T1036" s="298">
        <f>IFERROR(Table6[[#This Row],[Breakdown Time]]*Table6[[#This Row],[Plant Equivalent Weightage]],"")</f>
        <v>5.681818181818162E-3</v>
      </c>
      <c r="U1036" s="79" t="s">
        <v>421</v>
      </c>
      <c r="W1036" s="79">
        <v>503</v>
      </c>
    </row>
    <row r="1037" spans="1:23">
      <c r="A1037" s="79">
        <f t="shared" si="16"/>
        <v>1036</v>
      </c>
      <c r="B1037" s="79">
        <f>YEAR(Table6[[#This Row],[Date]])+IF(MONTH(Table6[[#This Row],[Date]])&gt;=4,1,0)</f>
        <v>2026</v>
      </c>
      <c r="C1037" s="79">
        <f>YEAR(Table6[[#This Row],[Date]])</f>
        <v>2025</v>
      </c>
      <c r="D1037" s="79" t="s">
        <v>344</v>
      </c>
      <c r="E1037" s="284">
        <f>Table6[[#This Row],[Date]]-DAY(Table6[[#This Row],[Date]])+1</f>
        <v>45809</v>
      </c>
      <c r="F1037" s="285">
        <v>45834</v>
      </c>
      <c r="G1037" s="79" t="s">
        <v>103</v>
      </c>
      <c r="H1037" s="79" t="str">
        <f>IFERROR(_xlfn.XLOOKUP(Table6[[#This Row],[Affected Feeder ]],'Basic Data'!$A:$A,'Basic Data'!$B:$B),"")</f>
        <v>PWEPL</v>
      </c>
      <c r="I1037" s="79" t="str">
        <f>IFERROR(_xlfn.XLOOKUP(Table6[[#This Row],[Affected Feeder ]],'Basic Data'!$A:$A,'Basic Data'!$C:$C),"")</f>
        <v>MSEDCL</v>
      </c>
      <c r="J1037" s="295">
        <f>IFERROR(_xlfn.XLOOKUP(Table6[[#This Row],[Affected Feeder ]],'Basic Data'!$A:$A,'Basic Data'!$E:$E),"")</f>
        <v>2.2727272727272728E-2</v>
      </c>
      <c r="K1037" s="296" t="s">
        <v>171</v>
      </c>
      <c r="L1037" s="297">
        <v>0.50277777777777777</v>
      </c>
      <c r="M1037" s="297">
        <v>0.50277777777777777</v>
      </c>
      <c r="N1037" s="297">
        <v>0.51388888888888884</v>
      </c>
      <c r="O1037" s="298">
        <f>(Table6[[#This Row],[Work Start TimeStamp]]-Table6[[#This Row],[Fault Start TimeStamp]])*24</f>
        <v>0</v>
      </c>
      <c r="P1037" s="298">
        <f>(Table6[[#This Row],[Fault Clearance time]]-Table6[[#This Row],[Fault Start TimeStamp]])*24</f>
        <v>0.26666666666666572</v>
      </c>
      <c r="Q1037" s="298">
        <f>(Table6[[#This Row],[Fault Clearance time]]-Table6[[#This Row],[Fault Start TimeStamp]])*24</f>
        <v>0.26666666666666572</v>
      </c>
      <c r="R1037" s="79" t="s">
        <v>353</v>
      </c>
      <c r="S1037" s="79" t="s">
        <v>339</v>
      </c>
      <c r="T1037" s="298">
        <f>IFERROR(Table6[[#This Row],[Breakdown Time]]*Table6[[#This Row],[Plant Equivalent Weightage]],"")</f>
        <v>6.0606060606060389E-3</v>
      </c>
      <c r="U1037" s="79" t="s">
        <v>421</v>
      </c>
      <c r="W1037" s="79">
        <v>536</v>
      </c>
    </row>
    <row r="1038" spans="1:23">
      <c r="A1038" s="79">
        <f t="shared" si="16"/>
        <v>1037</v>
      </c>
      <c r="B1038" s="79">
        <f>YEAR(Table6[[#This Row],[Date]])+IF(MONTH(Table6[[#This Row],[Date]])&gt;=4,1,0)</f>
        <v>2026</v>
      </c>
      <c r="C1038" s="79">
        <f>YEAR(Table6[[#This Row],[Date]])</f>
        <v>2025</v>
      </c>
      <c r="D1038" s="79" t="s">
        <v>344</v>
      </c>
      <c r="E1038" s="284">
        <f>Table6[[#This Row],[Date]]-DAY(Table6[[#This Row],[Date]])+1</f>
        <v>45809</v>
      </c>
      <c r="F1038" s="285">
        <v>45834</v>
      </c>
      <c r="G1038" s="79" t="s">
        <v>105</v>
      </c>
      <c r="H1038" s="79" t="str">
        <f>IFERROR(_xlfn.XLOOKUP(Table6[[#This Row],[Affected Feeder ]],'Basic Data'!$A:$A,'Basic Data'!$B:$B),"")</f>
        <v>PWEPL</v>
      </c>
      <c r="I1038" s="79" t="str">
        <f>IFERROR(_xlfn.XLOOKUP(Table6[[#This Row],[Affected Feeder ]],'Basic Data'!$A:$A,'Basic Data'!$C:$C),"")</f>
        <v>MSEDCL</v>
      </c>
      <c r="J1038" s="295">
        <f>IFERROR(_xlfn.XLOOKUP(Table6[[#This Row],[Affected Feeder ]],'Basic Data'!$A:$A,'Basic Data'!$E:$E),"")</f>
        <v>2.2727272727272728E-2</v>
      </c>
      <c r="K1038" s="296" t="s">
        <v>171</v>
      </c>
      <c r="L1038" s="297">
        <v>0.50277777777777777</v>
      </c>
      <c r="M1038" s="297">
        <v>0.50277777777777777</v>
      </c>
      <c r="N1038" s="297">
        <v>0.51666666666666672</v>
      </c>
      <c r="O1038" s="298">
        <f>(Table6[[#This Row],[Work Start TimeStamp]]-Table6[[#This Row],[Fault Start TimeStamp]])*24</f>
        <v>0</v>
      </c>
      <c r="P1038" s="298">
        <f>(Table6[[#This Row],[Fault Clearance time]]-Table6[[#This Row],[Fault Start TimeStamp]])*24</f>
        <v>0.33333333333333481</v>
      </c>
      <c r="Q1038" s="298">
        <f>(Table6[[#This Row],[Fault Clearance time]]-Table6[[#This Row],[Fault Start TimeStamp]])*24</f>
        <v>0.33333333333333481</v>
      </c>
      <c r="R1038" s="79" t="s">
        <v>353</v>
      </c>
      <c r="S1038" s="79" t="s">
        <v>339</v>
      </c>
      <c r="T1038" s="298">
        <f>IFERROR(Table6[[#This Row],[Breakdown Time]]*Table6[[#This Row],[Plant Equivalent Weightage]],"")</f>
        <v>7.5757575757576098E-3</v>
      </c>
      <c r="U1038" s="79" t="s">
        <v>421</v>
      </c>
      <c r="W1038" s="79">
        <v>670</v>
      </c>
    </row>
    <row r="1039" spans="1:23">
      <c r="A1039" s="79">
        <f t="shared" si="16"/>
        <v>1038</v>
      </c>
      <c r="B1039" s="79">
        <f>YEAR(Table6[[#This Row],[Date]])+IF(MONTH(Table6[[#This Row],[Date]])&gt;=4,1,0)</f>
        <v>2026</v>
      </c>
      <c r="C1039" s="79">
        <f>YEAR(Table6[[#This Row],[Date]])</f>
        <v>2025</v>
      </c>
      <c r="D1039" s="79" t="s">
        <v>344</v>
      </c>
      <c r="E1039" s="284">
        <f>Table6[[#This Row],[Date]]-DAY(Table6[[#This Row],[Date]])+1</f>
        <v>45809</v>
      </c>
      <c r="F1039" s="285">
        <v>45834</v>
      </c>
      <c r="G1039" s="79" t="s">
        <v>115</v>
      </c>
      <c r="H1039" s="79" t="str">
        <f>IFERROR(_xlfn.XLOOKUP(Table6[[#This Row],[Affected Feeder ]],'Basic Data'!$A:$A,'Basic Data'!$B:$B),"")</f>
        <v>PWEPL</v>
      </c>
      <c r="I1039" s="79" t="str">
        <f>IFERROR(_xlfn.XLOOKUP(Table6[[#This Row],[Affected Feeder ]],'Basic Data'!$A:$A,'Basic Data'!$C:$C),"")</f>
        <v>MSEDCL</v>
      </c>
      <c r="J1039" s="295">
        <f>IFERROR(_xlfn.XLOOKUP(Table6[[#This Row],[Affected Feeder ]],'Basic Data'!$A:$A,'Basic Data'!$E:$E),"")</f>
        <v>2.2727272727272728E-2</v>
      </c>
      <c r="K1039" s="296" t="s">
        <v>171</v>
      </c>
      <c r="L1039" s="297">
        <v>0.50277777777777777</v>
      </c>
      <c r="M1039" s="297">
        <v>0.50277777777777777</v>
      </c>
      <c r="N1039" s="297">
        <v>0.51527777777777772</v>
      </c>
      <c r="O1039" s="298">
        <f>(Table6[[#This Row],[Work Start TimeStamp]]-Table6[[#This Row],[Fault Start TimeStamp]])*24</f>
        <v>0</v>
      </c>
      <c r="P1039" s="298">
        <f>(Table6[[#This Row],[Fault Clearance time]]-Table6[[#This Row],[Fault Start TimeStamp]])*24</f>
        <v>0.29999999999999893</v>
      </c>
      <c r="Q1039" s="298">
        <f>(Table6[[#This Row],[Fault Clearance time]]-Table6[[#This Row],[Fault Start TimeStamp]])*24</f>
        <v>0.29999999999999893</v>
      </c>
      <c r="R1039" s="79" t="s">
        <v>353</v>
      </c>
      <c r="S1039" s="79" t="s">
        <v>339</v>
      </c>
      <c r="T1039" s="298">
        <f>IFERROR(Table6[[#This Row],[Breakdown Time]]*Table6[[#This Row],[Plant Equivalent Weightage]],"")</f>
        <v>6.8181818181817944E-3</v>
      </c>
      <c r="U1039" s="79" t="s">
        <v>421</v>
      </c>
      <c r="W1039" s="79">
        <v>603</v>
      </c>
    </row>
    <row r="1040" spans="1:23">
      <c r="A1040" s="79">
        <f t="shared" si="16"/>
        <v>1039</v>
      </c>
      <c r="B1040" s="79">
        <f>YEAR(Table6[[#This Row],[Date]])+IF(MONTH(Table6[[#This Row],[Date]])&gt;=4,1,0)</f>
        <v>2026</v>
      </c>
      <c r="C1040" s="79">
        <f>YEAR(Table6[[#This Row],[Date]])</f>
        <v>2025</v>
      </c>
      <c r="D1040" s="79" t="s">
        <v>344</v>
      </c>
      <c r="E1040" s="284">
        <f>Table6[[#This Row],[Date]]-DAY(Table6[[#This Row],[Date]])+1</f>
        <v>45809</v>
      </c>
      <c r="F1040" s="285">
        <v>45834</v>
      </c>
      <c r="G1040" s="79" t="s">
        <v>116</v>
      </c>
      <c r="H1040" s="79" t="str">
        <f>IFERROR(_xlfn.XLOOKUP(Table6[[#This Row],[Affected Feeder ]],'Basic Data'!$A:$A,'Basic Data'!$B:$B),"")</f>
        <v>PWEPL</v>
      </c>
      <c r="I1040" s="79" t="str">
        <f>IFERROR(_xlfn.XLOOKUP(Table6[[#This Row],[Affected Feeder ]],'Basic Data'!$A:$A,'Basic Data'!$C:$C),"")</f>
        <v>MSEDCL</v>
      </c>
      <c r="J1040" s="295">
        <f>IFERROR(_xlfn.XLOOKUP(Table6[[#This Row],[Affected Feeder ]],'Basic Data'!$A:$A,'Basic Data'!$E:$E),"")</f>
        <v>2.2727272727272728E-2</v>
      </c>
      <c r="K1040" s="296" t="s">
        <v>171</v>
      </c>
      <c r="L1040" s="297">
        <v>0.50277777777777777</v>
      </c>
      <c r="M1040" s="297">
        <v>0.50277777777777777</v>
      </c>
      <c r="N1040" s="297">
        <v>0.51527777777777772</v>
      </c>
      <c r="O1040" s="298">
        <f>(Table6[[#This Row],[Work Start TimeStamp]]-Table6[[#This Row],[Fault Start TimeStamp]])*24</f>
        <v>0</v>
      </c>
      <c r="P1040" s="298">
        <f>(Table6[[#This Row],[Fault Clearance time]]-Table6[[#This Row],[Fault Start TimeStamp]])*24</f>
        <v>0.29999999999999893</v>
      </c>
      <c r="Q1040" s="298">
        <f>(Table6[[#This Row],[Fault Clearance time]]-Table6[[#This Row],[Fault Start TimeStamp]])*24</f>
        <v>0.29999999999999893</v>
      </c>
      <c r="R1040" s="79" t="s">
        <v>353</v>
      </c>
      <c r="S1040" s="79" t="s">
        <v>339</v>
      </c>
      <c r="T1040" s="298">
        <f>IFERROR(Table6[[#This Row],[Breakdown Time]]*Table6[[#This Row],[Plant Equivalent Weightage]],"")</f>
        <v>6.8181818181817944E-3</v>
      </c>
      <c r="U1040" s="79" t="s">
        <v>421</v>
      </c>
      <c r="W1040" s="79">
        <v>570</v>
      </c>
    </row>
    <row r="1041" spans="1:23">
      <c r="A1041" s="79">
        <f t="shared" si="16"/>
        <v>1040</v>
      </c>
      <c r="B1041" s="79">
        <f>YEAR(Table6[[#This Row],[Date]])+IF(MONTH(Table6[[#This Row],[Date]])&gt;=4,1,0)</f>
        <v>2026</v>
      </c>
      <c r="C1041" s="79">
        <f>YEAR(Table6[[#This Row],[Date]])</f>
        <v>2025</v>
      </c>
      <c r="D1041" s="79" t="s">
        <v>344</v>
      </c>
      <c r="E1041" s="284">
        <f>Table6[[#This Row],[Date]]-DAY(Table6[[#This Row],[Date]])+1</f>
        <v>45809</v>
      </c>
      <c r="F1041" s="285">
        <v>45834</v>
      </c>
      <c r="G1041" s="79" t="s">
        <v>117</v>
      </c>
      <c r="H1041" s="79" t="str">
        <f>IFERROR(_xlfn.XLOOKUP(Table6[[#This Row],[Affected Feeder ]],'Basic Data'!$A:$A,'Basic Data'!$B:$B),"")</f>
        <v>PWEPL</v>
      </c>
      <c r="I1041" s="79" t="str">
        <f>IFERROR(_xlfn.XLOOKUP(Table6[[#This Row],[Affected Feeder ]],'Basic Data'!$A:$A,'Basic Data'!$C:$C),"")</f>
        <v>MSEDCL</v>
      </c>
      <c r="J1041" s="295">
        <f>IFERROR(_xlfn.XLOOKUP(Table6[[#This Row],[Affected Feeder ]],'Basic Data'!$A:$A,'Basic Data'!$E:$E),"")</f>
        <v>2.2727272727272728E-2</v>
      </c>
      <c r="K1041" s="296" t="s">
        <v>171</v>
      </c>
      <c r="L1041" s="297">
        <v>0.50277777777777777</v>
      </c>
      <c r="M1041" s="297">
        <v>0.50277777777777777</v>
      </c>
      <c r="N1041" s="297">
        <v>0.51458333333333328</v>
      </c>
      <c r="O1041" s="298">
        <f>(Table6[[#This Row],[Work Start TimeStamp]]-Table6[[#This Row],[Fault Start TimeStamp]])*24</f>
        <v>0</v>
      </c>
      <c r="P1041" s="298">
        <f>(Table6[[#This Row],[Fault Clearance time]]-Table6[[#This Row],[Fault Start TimeStamp]])*24</f>
        <v>0.28333333333333233</v>
      </c>
      <c r="Q1041" s="298">
        <f>(Table6[[#This Row],[Fault Clearance time]]-Table6[[#This Row],[Fault Start TimeStamp]])*24</f>
        <v>0.28333333333333233</v>
      </c>
      <c r="R1041" s="79" t="s">
        <v>353</v>
      </c>
      <c r="S1041" s="79" t="s">
        <v>339</v>
      </c>
      <c r="T1041" s="298">
        <f>IFERROR(Table6[[#This Row],[Breakdown Time]]*Table6[[#This Row],[Plant Equivalent Weightage]],"")</f>
        <v>6.4393939393939167E-3</v>
      </c>
      <c r="U1041" s="79" t="s">
        <v>421</v>
      </c>
      <c r="W1041" s="79">
        <v>603</v>
      </c>
    </row>
    <row r="1042" spans="1:23">
      <c r="A1042" s="79">
        <f t="shared" si="16"/>
        <v>1041</v>
      </c>
      <c r="B1042" s="79">
        <f>YEAR(Table6[[#This Row],[Date]])+IF(MONTH(Table6[[#This Row],[Date]])&gt;=4,1,0)</f>
        <v>2026</v>
      </c>
      <c r="C1042" s="79">
        <f>YEAR(Table6[[#This Row],[Date]])</f>
        <v>2025</v>
      </c>
      <c r="D1042" s="79" t="s">
        <v>344</v>
      </c>
      <c r="E1042" s="284">
        <f>Table6[[#This Row],[Date]]-DAY(Table6[[#This Row],[Date]])+1</f>
        <v>45809</v>
      </c>
      <c r="F1042" s="285">
        <v>45834</v>
      </c>
      <c r="G1042" s="79" t="s">
        <v>118</v>
      </c>
      <c r="H1042" s="79" t="str">
        <f>IFERROR(_xlfn.XLOOKUP(Table6[[#This Row],[Affected Feeder ]],'Basic Data'!$A:$A,'Basic Data'!$B:$B),"")</f>
        <v>PWEPL</v>
      </c>
      <c r="I1042" s="79" t="str">
        <f>IFERROR(_xlfn.XLOOKUP(Table6[[#This Row],[Affected Feeder ]],'Basic Data'!$A:$A,'Basic Data'!$C:$C),"")</f>
        <v>MSEDCL</v>
      </c>
      <c r="J1042" s="295">
        <f>IFERROR(_xlfn.XLOOKUP(Table6[[#This Row],[Affected Feeder ]],'Basic Data'!$A:$A,'Basic Data'!$E:$E),"")</f>
        <v>2.2727272727272728E-2</v>
      </c>
      <c r="K1042" s="296" t="s">
        <v>171</v>
      </c>
      <c r="L1042" s="297">
        <v>0.50277777777777777</v>
      </c>
      <c r="M1042" s="297">
        <v>0.50277777777777777</v>
      </c>
      <c r="N1042" s="297">
        <v>0.51527777777777772</v>
      </c>
      <c r="O1042" s="298">
        <f>(Table6[[#This Row],[Work Start TimeStamp]]-Table6[[#This Row],[Fault Start TimeStamp]])*24</f>
        <v>0</v>
      </c>
      <c r="P1042" s="298">
        <f>(Table6[[#This Row],[Fault Clearance time]]-Table6[[#This Row],[Fault Start TimeStamp]])*24</f>
        <v>0.29999999999999893</v>
      </c>
      <c r="Q1042" s="298">
        <f>(Table6[[#This Row],[Fault Clearance time]]-Table6[[#This Row],[Fault Start TimeStamp]])*24</f>
        <v>0.29999999999999893</v>
      </c>
      <c r="R1042" s="79" t="s">
        <v>353</v>
      </c>
      <c r="S1042" s="79" t="s">
        <v>339</v>
      </c>
      <c r="T1042" s="298">
        <f>IFERROR(Table6[[#This Row],[Breakdown Time]]*Table6[[#This Row],[Plant Equivalent Weightage]],"")</f>
        <v>6.8181818181817944E-3</v>
      </c>
      <c r="U1042" s="79" t="s">
        <v>421</v>
      </c>
      <c r="W1042" s="79">
        <v>737</v>
      </c>
    </row>
    <row r="1043" spans="1:23">
      <c r="A1043" s="79">
        <f t="shared" si="16"/>
        <v>1042</v>
      </c>
      <c r="B1043" s="79">
        <f>YEAR(Table6[[#This Row],[Date]])+IF(MONTH(Table6[[#This Row],[Date]])&gt;=4,1,0)</f>
        <v>2026</v>
      </c>
      <c r="C1043" s="79">
        <f>YEAR(Table6[[#This Row],[Date]])</f>
        <v>2025</v>
      </c>
      <c r="D1043" s="79" t="s">
        <v>344</v>
      </c>
      <c r="E1043" s="284">
        <f>Table6[[#This Row],[Date]]-DAY(Table6[[#This Row],[Date]])+1</f>
        <v>45809</v>
      </c>
      <c r="F1043" s="285">
        <v>45837</v>
      </c>
      <c r="G1043" s="79" t="s">
        <v>89</v>
      </c>
      <c r="H1043" s="79" t="str">
        <f>IFERROR(_xlfn.XLOOKUP(Table6[[#This Row],[Affected Feeder ]],'Basic Data'!$A:$A,'Basic Data'!$B:$B),"")</f>
        <v>PWEPL</v>
      </c>
      <c r="I1043" s="79" t="str">
        <f>IFERROR(_xlfn.XLOOKUP(Table6[[#This Row],[Affected Feeder ]],'Basic Data'!$A:$A,'Basic Data'!$C:$C),"")</f>
        <v>MSEDCL</v>
      </c>
      <c r="J1043" s="295">
        <f>IFERROR(_xlfn.XLOOKUP(Table6[[#This Row],[Affected Feeder ]],'Basic Data'!$A:$A,'Basic Data'!$E:$E),"")</f>
        <v>2.2727272727272728E-2</v>
      </c>
      <c r="K1043" s="296" t="s">
        <v>796</v>
      </c>
      <c r="L1043" s="297">
        <v>1.3888888888888888E-2</v>
      </c>
      <c r="M1043" s="297">
        <v>1.3888888888888888E-2</v>
      </c>
      <c r="N1043" s="297">
        <v>3.888888888888889E-2</v>
      </c>
      <c r="O1043" s="298">
        <f>(Table6[[#This Row],[Work Start TimeStamp]]-Table6[[#This Row],[Fault Start TimeStamp]])*24</f>
        <v>0</v>
      </c>
      <c r="P1043" s="298">
        <f>(Table6[[#This Row],[Fault Clearance time]]-Table6[[#This Row],[Fault Start TimeStamp]])*24</f>
        <v>0.60000000000000009</v>
      </c>
      <c r="Q1043" s="298">
        <f>(Table6[[#This Row],[Fault Clearance time]]-Table6[[#This Row],[Fault Start TimeStamp]])*24</f>
        <v>0.60000000000000009</v>
      </c>
      <c r="R1043" s="79" t="s">
        <v>424</v>
      </c>
      <c r="S1043" s="79" t="s">
        <v>339</v>
      </c>
      <c r="T1043" s="298">
        <f>IFERROR(Table6[[#This Row],[Breakdown Time]]*Table6[[#This Row],[Plant Equivalent Weightage]],"")</f>
        <v>1.3636363636363639E-2</v>
      </c>
      <c r="U1043" s="79" t="s">
        <v>421</v>
      </c>
      <c r="W1043" s="79">
        <v>1147</v>
      </c>
    </row>
    <row r="1044" spans="1:23">
      <c r="A1044" s="79">
        <f t="shared" si="16"/>
        <v>1043</v>
      </c>
      <c r="B1044" s="79">
        <f>YEAR(Table6[[#This Row],[Date]])+IF(MONTH(Table6[[#This Row],[Date]])&gt;=4,1,0)</f>
        <v>2026</v>
      </c>
      <c r="C1044" s="79">
        <f>YEAR(Table6[[#This Row],[Date]])</f>
        <v>2025</v>
      </c>
      <c r="D1044" s="79" t="s">
        <v>344</v>
      </c>
      <c r="E1044" s="284">
        <f>Table6[[#This Row],[Date]]-DAY(Table6[[#This Row],[Date]])+1</f>
        <v>45809</v>
      </c>
      <c r="F1044" s="285">
        <v>45837</v>
      </c>
      <c r="G1044" s="79" t="s">
        <v>89</v>
      </c>
      <c r="H1044" s="79" t="str">
        <f>IFERROR(_xlfn.XLOOKUP(Table6[[#This Row],[Affected Feeder ]],'Basic Data'!$A:$A,'Basic Data'!$B:$B),"")</f>
        <v>PWEPL</v>
      </c>
      <c r="I1044" s="79" t="str">
        <f>IFERROR(_xlfn.XLOOKUP(Table6[[#This Row],[Affected Feeder ]],'Basic Data'!$A:$A,'Basic Data'!$C:$C),"")</f>
        <v>MSEDCL</v>
      </c>
      <c r="J1044" s="295">
        <f>IFERROR(_xlfn.XLOOKUP(Table6[[#This Row],[Affected Feeder ]],'Basic Data'!$A:$A,'Basic Data'!$E:$E),"")</f>
        <v>2.2727272727272728E-2</v>
      </c>
      <c r="K1044" s="296" t="s">
        <v>171</v>
      </c>
      <c r="L1044" s="297">
        <v>3.888888888888889E-2</v>
      </c>
      <c r="M1044" s="297">
        <v>3.888888888888889E-2</v>
      </c>
      <c r="N1044" s="297">
        <v>4.5833333333333337E-2</v>
      </c>
      <c r="O1044" s="298">
        <f>(Table6[[#This Row],[Work Start TimeStamp]]-Table6[[#This Row],[Fault Start TimeStamp]])*24</f>
        <v>0</v>
      </c>
      <c r="P1044" s="298">
        <f>(Table6[[#This Row],[Fault Clearance time]]-Table6[[#This Row],[Fault Start TimeStamp]])*24</f>
        <v>0.16666666666666674</v>
      </c>
      <c r="Q1044" s="298">
        <f>(Table6[[#This Row],[Fault Clearance time]]-Table6[[#This Row],[Fault Start TimeStamp]])*24</f>
        <v>0.16666666666666674</v>
      </c>
      <c r="R1044" s="79" t="s">
        <v>353</v>
      </c>
      <c r="S1044" s="79" t="s">
        <v>339</v>
      </c>
      <c r="T1044" s="298">
        <f>IFERROR(Table6[[#This Row],[Breakdown Time]]*Table6[[#This Row],[Plant Equivalent Weightage]],"")</f>
        <v>3.7878787878787897E-3</v>
      </c>
      <c r="U1044" s="79" t="s">
        <v>421</v>
      </c>
      <c r="W1044" s="79">
        <v>318</v>
      </c>
    </row>
    <row r="1045" spans="1:23">
      <c r="A1045" s="79">
        <f t="shared" si="16"/>
        <v>1044</v>
      </c>
      <c r="B1045" s="79">
        <f>YEAR(Table6[[#This Row],[Date]])+IF(MONTH(Table6[[#This Row],[Date]])&gt;=4,1,0)</f>
        <v>2026</v>
      </c>
      <c r="C1045" s="79">
        <f>YEAR(Table6[[#This Row],[Date]])</f>
        <v>2025</v>
      </c>
      <c r="D1045" s="79" t="s">
        <v>344</v>
      </c>
      <c r="E1045" s="284">
        <f>Table6[[#This Row],[Date]]-DAY(Table6[[#This Row],[Date]])+1</f>
        <v>45809</v>
      </c>
      <c r="F1045" s="285">
        <v>45837</v>
      </c>
      <c r="G1045" s="79" t="s">
        <v>87</v>
      </c>
      <c r="H1045" s="79" t="str">
        <f>IFERROR(_xlfn.XLOOKUP(Table6[[#This Row],[Affected Feeder ]],'Basic Data'!$A:$A,'Basic Data'!$B:$B),"")</f>
        <v>PWEPL</v>
      </c>
      <c r="I1045" s="79" t="str">
        <f>IFERROR(_xlfn.XLOOKUP(Table6[[#This Row],[Affected Feeder ]],'Basic Data'!$A:$A,'Basic Data'!$C:$C),"")</f>
        <v>MSEDCL</v>
      </c>
      <c r="J1045" s="295">
        <f>IFERROR(_xlfn.XLOOKUP(Table6[[#This Row],[Affected Feeder ]],'Basic Data'!$A:$A,'Basic Data'!$E:$E),"")</f>
        <v>2.2727272727272728E-2</v>
      </c>
      <c r="K1045" s="296" t="s">
        <v>796</v>
      </c>
      <c r="L1045" s="297">
        <v>0.22569444444444445</v>
      </c>
      <c r="M1045" s="297">
        <v>0.22569444444444445</v>
      </c>
      <c r="N1045" s="297">
        <v>0.24652777777777779</v>
      </c>
      <c r="O1045" s="298">
        <f>(Table6[[#This Row],[Work Start TimeStamp]]-Table6[[#This Row],[Fault Start TimeStamp]])*24</f>
        <v>0</v>
      </c>
      <c r="P1045" s="298">
        <f>(Table6[[#This Row],[Fault Clearance time]]-Table6[[#This Row],[Fault Start TimeStamp]])*24</f>
        <v>0.50000000000000022</v>
      </c>
      <c r="Q1045" s="298">
        <f>(Table6[[#This Row],[Fault Clearance time]]-Table6[[#This Row],[Fault Start TimeStamp]])*24</f>
        <v>0.50000000000000022</v>
      </c>
      <c r="R1045" s="79" t="s">
        <v>424</v>
      </c>
      <c r="S1045" s="79" t="s">
        <v>339</v>
      </c>
      <c r="T1045" s="298">
        <f>IFERROR(Table6[[#This Row],[Breakdown Time]]*Table6[[#This Row],[Plant Equivalent Weightage]],"")</f>
        <v>1.1363636363636369E-2</v>
      </c>
      <c r="U1045" s="79" t="s">
        <v>421</v>
      </c>
      <c r="W1045" s="79">
        <v>981</v>
      </c>
    </row>
    <row r="1046" spans="1:23">
      <c r="A1046" s="79">
        <f t="shared" si="16"/>
        <v>1045</v>
      </c>
      <c r="B1046" s="79">
        <f>YEAR(Table6[[#This Row],[Date]])+IF(MONTH(Table6[[#This Row],[Date]])&gt;=4,1,0)</f>
        <v>2026</v>
      </c>
      <c r="C1046" s="79">
        <f>YEAR(Table6[[#This Row],[Date]])</f>
        <v>2025</v>
      </c>
      <c r="D1046" s="79" t="s">
        <v>344</v>
      </c>
      <c r="E1046" s="284">
        <f>Table6[[#This Row],[Date]]-DAY(Table6[[#This Row],[Date]])+1</f>
        <v>45809</v>
      </c>
      <c r="F1046" s="285">
        <v>45837</v>
      </c>
      <c r="G1046" s="79" t="s">
        <v>87</v>
      </c>
      <c r="H1046" s="79" t="str">
        <f>IFERROR(_xlfn.XLOOKUP(Table6[[#This Row],[Affected Feeder ]],'Basic Data'!$A:$A,'Basic Data'!$B:$B),"")</f>
        <v>PWEPL</v>
      </c>
      <c r="I1046" s="79" t="str">
        <f>IFERROR(_xlfn.XLOOKUP(Table6[[#This Row],[Affected Feeder ]],'Basic Data'!$A:$A,'Basic Data'!$C:$C),"")</f>
        <v>MSEDCL</v>
      </c>
      <c r="J1046" s="295">
        <f>IFERROR(_xlfn.XLOOKUP(Table6[[#This Row],[Affected Feeder ]],'Basic Data'!$A:$A,'Basic Data'!$E:$E),"")</f>
        <v>2.2727272727272728E-2</v>
      </c>
      <c r="K1046" s="296" t="s">
        <v>171</v>
      </c>
      <c r="L1046" s="297">
        <v>0.24652777777777779</v>
      </c>
      <c r="M1046" s="297">
        <v>0.24652777777777779</v>
      </c>
      <c r="N1046" s="297">
        <v>0.24930555555555556</v>
      </c>
      <c r="O1046" s="298">
        <f>(Table6[[#This Row],[Work Start TimeStamp]]-Table6[[#This Row],[Fault Start TimeStamp]])*24</f>
        <v>0</v>
      </c>
      <c r="P1046" s="298">
        <f>(Table6[[#This Row],[Fault Clearance time]]-Table6[[#This Row],[Fault Start TimeStamp]])*24</f>
        <v>6.666666666666643E-2</v>
      </c>
      <c r="Q1046" s="298">
        <f>(Table6[[#This Row],[Fault Clearance time]]-Table6[[#This Row],[Fault Start TimeStamp]])*24</f>
        <v>6.666666666666643E-2</v>
      </c>
      <c r="R1046" s="79" t="s">
        <v>353</v>
      </c>
      <c r="S1046" s="79" t="s">
        <v>339</v>
      </c>
      <c r="T1046" s="298">
        <f>IFERROR(Table6[[#This Row],[Breakdown Time]]*Table6[[#This Row],[Plant Equivalent Weightage]],"")</f>
        <v>1.5151515151515097E-3</v>
      </c>
      <c r="U1046" s="79" t="s">
        <v>421</v>
      </c>
      <c r="W1046" s="79">
        <v>130</v>
      </c>
    </row>
    <row r="1047" spans="1:23">
      <c r="A1047" s="79">
        <f t="shared" si="16"/>
        <v>1046</v>
      </c>
      <c r="B1047" s="79">
        <f>YEAR(Table6[[#This Row],[Date]])+IF(MONTH(Table6[[#This Row],[Date]])&gt;=4,1,0)</f>
        <v>2026</v>
      </c>
      <c r="C1047" s="79">
        <f>YEAR(Table6[[#This Row],[Date]])</f>
        <v>2025</v>
      </c>
      <c r="D1047" s="79" t="s">
        <v>344</v>
      </c>
      <c r="E1047" s="284">
        <f>Table6[[#This Row],[Date]]-DAY(Table6[[#This Row],[Date]])+1</f>
        <v>45809</v>
      </c>
      <c r="F1047" s="285">
        <v>45837</v>
      </c>
      <c r="G1047" s="79" t="s">
        <v>111</v>
      </c>
      <c r="H1047" s="79" t="str">
        <f>IFERROR(_xlfn.XLOOKUP(Table6[[#This Row],[Affected Feeder ]],'Basic Data'!$A:$A,'Basic Data'!$B:$B),"")</f>
        <v>PWEPL</v>
      </c>
      <c r="I1047" s="79" t="str">
        <f>IFERROR(_xlfn.XLOOKUP(Table6[[#This Row],[Affected Feeder ]],'Basic Data'!$A:$A,'Basic Data'!$C:$C),"")</f>
        <v>MSEDCL</v>
      </c>
      <c r="J1047" s="295">
        <f>IFERROR(_xlfn.XLOOKUP(Table6[[#This Row],[Affected Feeder ]],'Basic Data'!$A:$A,'Basic Data'!$E:$E),"")</f>
        <v>2.2727272727272728E-2</v>
      </c>
      <c r="K1047" s="296" t="s">
        <v>796</v>
      </c>
      <c r="L1047" s="297">
        <v>0.22569444444444445</v>
      </c>
      <c r="M1047" s="297">
        <v>0.22569444444444445</v>
      </c>
      <c r="N1047" s="297">
        <v>0.28750000000000003</v>
      </c>
      <c r="O1047" s="298">
        <f>(Table6[[#This Row],[Work Start TimeStamp]]-Table6[[#This Row],[Fault Start TimeStamp]])*24</f>
        <v>0</v>
      </c>
      <c r="P1047" s="298">
        <f>(Table6[[#This Row],[Fault Clearance time]]-Table6[[#This Row],[Fault Start TimeStamp]])*24</f>
        <v>1.4833333333333341</v>
      </c>
      <c r="Q1047" s="298">
        <f>(Table6[[#This Row],[Fault Clearance time]]-Table6[[#This Row],[Fault Start TimeStamp]])*24</f>
        <v>1.4833333333333341</v>
      </c>
      <c r="R1047" s="79" t="s">
        <v>424</v>
      </c>
      <c r="S1047" s="79" t="s">
        <v>339</v>
      </c>
      <c r="T1047" s="298">
        <f>IFERROR(Table6[[#This Row],[Breakdown Time]]*Table6[[#This Row],[Plant Equivalent Weightage]],"")</f>
        <v>3.3712121212121228E-2</v>
      </c>
      <c r="U1047" s="79" t="s">
        <v>421</v>
      </c>
      <c r="W1047" s="79">
        <v>2000</v>
      </c>
    </row>
    <row r="1048" spans="1:23">
      <c r="A1048" s="79">
        <f t="shared" si="16"/>
        <v>1047</v>
      </c>
      <c r="B1048" s="79">
        <f>YEAR(Table6[[#This Row],[Date]])+IF(MONTH(Table6[[#This Row],[Date]])&gt;=4,1,0)</f>
        <v>2026</v>
      </c>
      <c r="C1048" s="79">
        <f>YEAR(Table6[[#This Row],[Date]])</f>
        <v>2025</v>
      </c>
      <c r="D1048" s="79" t="s">
        <v>344</v>
      </c>
      <c r="E1048" s="284">
        <f>Table6[[#This Row],[Date]]-DAY(Table6[[#This Row],[Date]])+1</f>
        <v>45809</v>
      </c>
      <c r="F1048" s="285">
        <v>45837</v>
      </c>
      <c r="G1048" s="79" t="s">
        <v>111</v>
      </c>
      <c r="H1048" s="79" t="str">
        <f>IFERROR(_xlfn.XLOOKUP(Table6[[#This Row],[Affected Feeder ]],'Basic Data'!$A:$A,'Basic Data'!$B:$B),"")</f>
        <v>PWEPL</v>
      </c>
      <c r="I1048" s="79" t="str">
        <f>IFERROR(_xlfn.XLOOKUP(Table6[[#This Row],[Affected Feeder ]],'Basic Data'!$A:$A,'Basic Data'!$C:$C),"")</f>
        <v>MSEDCL</v>
      </c>
      <c r="J1048" s="295">
        <f>IFERROR(_xlfn.XLOOKUP(Table6[[#This Row],[Affected Feeder ]],'Basic Data'!$A:$A,'Basic Data'!$E:$E),"")</f>
        <v>2.2727272727272728E-2</v>
      </c>
      <c r="K1048" s="296" t="s">
        <v>171</v>
      </c>
      <c r="L1048" s="297">
        <v>0.28750000000000003</v>
      </c>
      <c r="M1048" s="297">
        <v>0.28750000000000003</v>
      </c>
      <c r="N1048" s="297">
        <v>0.2902777777777778</v>
      </c>
      <c r="O1048" s="298">
        <f>(Table6[[#This Row],[Work Start TimeStamp]]-Table6[[#This Row],[Fault Start TimeStamp]])*24</f>
        <v>0</v>
      </c>
      <c r="P1048" s="298">
        <f>(Table6[[#This Row],[Fault Clearance time]]-Table6[[#This Row],[Fault Start TimeStamp]])*24</f>
        <v>6.666666666666643E-2</v>
      </c>
      <c r="Q1048" s="298">
        <f>(Table6[[#This Row],[Fault Clearance time]]-Table6[[#This Row],[Fault Start TimeStamp]])*24</f>
        <v>6.666666666666643E-2</v>
      </c>
      <c r="R1048" s="79" t="s">
        <v>353</v>
      </c>
      <c r="S1048" s="79" t="s">
        <v>339</v>
      </c>
      <c r="T1048" s="298">
        <f>IFERROR(Table6[[#This Row],[Breakdown Time]]*Table6[[#This Row],[Plant Equivalent Weightage]],"")</f>
        <v>1.5151515151515097E-3</v>
      </c>
      <c r="U1048" s="79" t="s">
        <v>421</v>
      </c>
      <c r="W1048" s="79">
        <v>89</v>
      </c>
    </row>
    <row r="1049" spans="1:23">
      <c r="A1049" s="79">
        <f t="shared" si="16"/>
        <v>1048</v>
      </c>
      <c r="B1049" s="79">
        <f>YEAR(Table6[[#This Row],[Date]])+IF(MONTH(Table6[[#This Row],[Date]])&gt;=4,1,0)</f>
        <v>2026</v>
      </c>
      <c r="C1049" s="79">
        <f>YEAR(Table6[[#This Row],[Date]])</f>
        <v>2025</v>
      </c>
      <c r="D1049" s="79" t="s">
        <v>344</v>
      </c>
      <c r="E1049" s="284">
        <f>Table6[[#This Row],[Date]]-DAY(Table6[[#This Row],[Date]])+1</f>
        <v>45809</v>
      </c>
      <c r="F1049" s="285">
        <v>45837</v>
      </c>
      <c r="G1049" s="79" t="s">
        <v>80</v>
      </c>
      <c r="H1049" s="79" t="str">
        <f>IFERROR(_xlfn.XLOOKUP(Table6[[#This Row],[Affected Feeder ]],'Basic Data'!$A:$A,'Basic Data'!$B:$B),"")</f>
        <v>PWEPL</v>
      </c>
      <c r="I1049" s="79" t="str">
        <f>IFERROR(_xlfn.XLOOKUP(Table6[[#This Row],[Affected Feeder ]],'Basic Data'!$A:$A,'Basic Data'!$C:$C),"")</f>
        <v>MSEDCL</v>
      </c>
      <c r="J1049" s="295">
        <f>IFERROR(_xlfn.XLOOKUP(Table6[[#This Row],[Affected Feeder ]],'Basic Data'!$A:$A,'Basic Data'!$E:$E),"")</f>
        <v>2.2727272727272728E-2</v>
      </c>
      <c r="K1049" s="296" t="s">
        <v>796</v>
      </c>
      <c r="L1049" s="297">
        <v>0.53611111111111109</v>
      </c>
      <c r="M1049" s="297">
        <v>0.53611111111111109</v>
      </c>
      <c r="N1049" s="297">
        <v>0.57986111111111105</v>
      </c>
      <c r="O1049" s="298">
        <f>(Table6[[#This Row],[Work Start TimeStamp]]-Table6[[#This Row],[Fault Start TimeStamp]])*24</f>
        <v>0</v>
      </c>
      <c r="P1049" s="298">
        <f>(Table6[[#This Row],[Fault Clearance time]]-Table6[[#This Row],[Fault Start TimeStamp]])*24</f>
        <v>1.0499999999999989</v>
      </c>
      <c r="Q1049" s="298">
        <f>(Table6[[#This Row],[Fault Clearance time]]-Table6[[#This Row],[Fault Start TimeStamp]])*24</f>
        <v>1.0499999999999989</v>
      </c>
      <c r="R1049" s="79" t="s">
        <v>424</v>
      </c>
      <c r="S1049" s="79" t="s">
        <v>339</v>
      </c>
      <c r="T1049" s="298">
        <f>IFERROR(Table6[[#This Row],[Breakdown Time]]*Table6[[#This Row],[Plant Equivalent Weightage]],"")</f>
        <v>2.386363636363634E-2</v>
      </c>
      <c r="U1049" s="79" t="s">
        <v>421</v>
      </c>
      <c r="W1049" s="79">
        <v>1552</v>
      </c>
    </row>
    <row r="1050" spans="1:23">
      <c r="A1050" s="79">
        <f t="shared" si="16"/>
        <v>1049</v>
      </c>
      <c r="B1050" s="79">
        <f>YEAR(Table6[[#This Row],[Date]])+IF(MONTH(Table6[[#This Row],[Date]])&gt;=4,1,0)</f>
        <v>2026</v>
      </c>
      <c r="C1050" s="79">
        <f>YEAR(Table6[[#This Row],[Date]])</f>
        <v>2025</v>
      </c>
      <c r="D1050" s="79" t="s">
        <v>344</v>
      </c>
      <c r="E1050" s="284">
        <f>Table6[[#This Row],[Date]]-DAY(Table6[[#This Row],[Date]])+1</f>
        <v>45809</v>
      </c>
      <c r="F1050" s="285">
        <v>45837</v>
      </c>
      <c r="G1050" s="79" t="s">
        <v>80</v>
      </c>
      <c r="H1050" s="79" t="str">
        <f>IFERROR(_xlfn.XLOOKUP(Table6[[#This Row],[Affected Feeder ]],'Basic Data'!$A:$A,'Basic Data'!$B:$B),"")</f>
        <v>PWEPL</v>
      </c>
      <c r="I1050" s="79" t="str">
        <f>IFERROR(_xlfn.XLOOKUP(Table6[[#This Row],[Affected Feeder ]],'Basic Data'!$A:$A,'Basic Data'!$C:$C),"")</f>
        <v>MSEDCL</v>
      </c>
      <c r="J1050" s="295">
        <f>IFERROR(_xlfn.XLOOKUP(Table6[[#This Row],[Affected Feeder ]],'Basic Data'!$A:$A,'Basic Data'!$E:$E),"")</f>
        <v>2.2727272727272728E-2</v>
      </c>
      <c r="K1050" s="296" t="s">
        <v>171</v>
      </c>
      <c r="L1050" s="297">
        <v>0.57986111111111105</v>
      </c>
      <c r="M1050" s="297">
        <v>0.57986111111111105</v>
      </c>
      <c r="N1050" s="297">
        <v>0.58472222222222225</v>
      </c>
      <c r="O1050" s="298">
        <f>(Table6[[#This Row],[Work Start TimeStamp]]-Table6[[#This Row],[Fault Start TimeStamp]])*24</f>
        <v>0</v>
      </c>
      <c r="P1050" s="298">
        <f>(Table6[[#This Row],[Fault Clearance time]]-Table6[[#This Row],[Fault Start TimeStamp]])*24</f>
        <v>0.11666666666666892</v>
      </c>
      <c r="Q1050" s="298">
        <f>(Table6[[#This Row],[Fault Clearance time]]-Table6[[#This Row],[Fault Start TimeStamp]])*24</f>
        <v>0.11666666666666892</v>
      </c>
      <c r="R1050" s="79" t="s">
        <v>353</v>
      </c>
      <c r="S1050" s="79" t="s">
        <v>339</v>
      </c>
      <c r="T1050" s="298">
        <f>IFERROR(Table6[[#This Row],[Breakdown Time]]*Table6[[#This Row],[Plant Equivalent Weightage]],"")</f>
        <v>2.6515151515152028E-3</v>
      </c>
      <c r="U1050" s="79" t="s">
        <v>421</v>
      </c>
      <c r="W1050" s="79">
        <v>172</v>
      </c>
    </row>
    <row r="1051" spans="1:23">
      <c r="A1051" s="79">
        <f t="shared" si="16"/>
        <v>1050</v>
      </c>
      <c r="B1051" s="79">
        <f>YEAR(Table6[[#This Row],[Date]])+IF(MONTH(Table6[[#This Row],[Date]])&gt;=4,1,0)</f>
        <v>2026</v>
      </c>
      <c r="C1051" s="79">
        <f>YEAR(Table6[[#This Row],[Date]])</f>
        <v>2025</v>
      </c>
      <c r="D1051" s="79" t="s">
        <v>344</v>
      </c>
      <c r="E1051" s="284">
        <f>Table6[[#This Row],[Date]]-DAY(Table6[[#This Row],[Date]])+1</f>
        <v>45809</v>
      </c>
      <c r="F1051" s="285">
        <v>45837</v>
      </c>
      <c r="G1051" s="79" t="s">
        <v>80</v>
      </c>
      <c r="H1051" s="79" t="str">
        <f>IFERROR(_xlfn.XLOOKUP(Table6[[#This Row],[Affected Feeder ]],'Basic Data'!$A:$A,'Basic Data'!$B:$B),"")</f>
        <v>PWEPL</v>
      </c>
      <c r="I1051" s="79" t="str">
        <f>IFERROR(_xlfn.XLOOKUP(Table6[[#This Row],[Affected Feeder ]],'Basic Data'!$A:$A,'Basic Data'!$C:$C),"")</f>
        <v>MSEDCL</v>
      </c>
      <c r="J1051" s="295">
        <f>IFERROR(_xlfn.XLOOKUP(Table6[[#This Row],[Affected Feeder ]],'Basic Data'!$A:$A,'Basic Data'!$E:$E),"")</f>
        <v>2.2727272727272728E-2</v>
      </c>
      <c r="K1051" s="296" t="s">
        <v>796</v>
      </c>
      <c r="L1051" s="297">
        <v>0.99583333333333324</v>
      </c>
      <c r="M1051" s="297">
        <v>0.99583333333333324</v>
      </c>
      <c r="N1051" s="297">
        <v>0.99930555555555556</v>
      </c>
      <c r="O1051" s="298">
        <f>(Table6[[#This Row],[Work Start TimeStamp]]-Table6[[#This Row],[Fault Start TimeStamp]])*24</f>
        <v>0</v>
      </c>
      <c r="P1051" s="298">
        <f>(Table6[[#This Row],[Fault Clearance time]]-Table6[[#This Row],[Fault Start TimeStamp]])*24</f>
        <v>8.3333333333335702E-2</v>
      </c>
      <c r="Q1051" s="298">
        <f>(Table6[[#This Row],[Fault Clearance time]]-Table6[[#This Row],[Fault Start TimeStamp]])*24</f>
        <v>8.3333333333335702E-2</v>
      </c>
      <c r="R1051" s="79" t="s">
        <v>961</v>
      </c>
      <c r="S1051" s="79" t="s">
        <v>960</v>
      </c>
      <c r="T1051" s="298">
        <f>IFERROR(Table6[[#This Row],[Breakdown Time]]*Table6[[#This Row],[Plant Equivalent Weightage]],"")</f>
        <v>1.8939393939394478E-3</v>
      </c>
      <c r="U1051" s="79" t="s">
        <v>421</v>
      </c>
      <c r="W1051" s="79">
        <v>260</v>
      </c>
    </row>
    <row r="1052" spans="1:23">
      <c r="A1052" s="79">
        <f t="shared" si="16"/>
        <v>1051</v>
      </c>
      <c r="B1052" s="79">
        <f>YEAR(Table6[[#This Row],[Date]])+IF(MONTH(Table6[[#This Row],[Date]])&gt;=4,1,0)</f>
        <v>2026</v>
      </c>
      <c r="C1052" s="79">
        <f>YEAR(Table6[[#This Row],[Date]])</f>
        <v>2025</v>
      </c>
      <c r="D1052" s="79" t="s">
        <v>344</v>
      </c>
      <c r="E1052" s="284">
        <f>Table6[[#This Row],[Date]]-DAY(Table6[[#This Row],[Date]])+1</f>
        <v>45809</v>
      </c>
      <c r="F1052" s="285">
        <v>45838</v>
      </c>
      <c r="G1052" s="79" t="s">
        <v>80</v>
      </c>
      <c r="H1052" s="79" t="str">
        <f>IFERROR(_xlfn.XLOOKUP(Table6[[#This Row],[Affected Feeder ]],'Basic Data'!$A:$A,'Basic Data'!$B:$B),"")</f>
        <v>PWEPL</v>
      </c>
      <c r="I1052" s="79" t="str">
        <f>IFERROR(_xlfn.XLOOKUP(Table6[[#This Row],[Affected Feeder ]],'Basic Data'!$A:$A,'Basic Data'!$C:$C),"")</f>
        <v>MSEDCL</v>
      </c>
      <c r="J1052" s="295">
        <f>IFERROR(_xlfn.XLOOKUP(Table6[[#This Row],[Affected Feeder ]],'Basic Data'!$A:$A,'Basic Data'!$E:$E),"")</f>
        <v>2.2727272727272728E-2</v>
      </c>
      <c r="K1052" s="296" t="s">
        <v>796</v>
      </c>
      <c r="L1052" s="297">
        <v>0</v>
      </c>
      <c r="M1052" s="297">
        <v>0</v>
      </c>
      <c r="N1052" s="297">
        <v>5.2083333333333336E-2</v>
      </c>
      <c r="O1052" s="298">
        <f>(Table6[[#This Row],[Work Start TimeStamp]]-Table6[[#This Row],[Fault Start TimeStamp]])*24</f>
        <v>0</v>
      </c>
      <c r="P1052" s="298">
        <f>(Table6[[#This Row],[Fault Clearance time]]-Table6[[#This Row],[Fault Start TimeStamp]])*24</f>
        <v>1.25</v>
      </c>
      <c r="Q1052" s="298">
        <f>(Table6[[#This Row],[Fault Clearance time]]-Table6[[#This Row],[Fault Start TimeStamp]])*24</f>
        <v>1.25</v>
      </c>
      <c r="R1052" s="79" t="s">
        <v>424</v>
      </c>
      <c r="S1052" s="79" t="s">
        <v>339</v>
      </c>
      <c r="T1052" s="298">
        <f>IFERROR(Table6[[#This Row],[Breakdown Time]]*Table6[[#This Row],[Plant Equivalent Weightage]],"")</f>
        <v>2.8409090909090912E-2</v>
      </c>
      <c r="U1052" s="79" t="s">
        <v>421</v>
      </c>
      <c r="W1052" s="79">
        <v>1768</v>
      </c>
    </row>
    <row r="1053" spans="1:23">
      <c r="A1053" s="79">
        <f t="shared" si="16"/>
        <v>1052</v>
      </c>
      <c r="B1053" s="79">
        <f>YEAR(Table6[[#This Row],[Date]])+IF(MONTH(Table6[[#This Row],[Date]])&gt;=4,1,0)</f>
        <v>2026</v>
      </c>
      <c r="C1053" s="79">
        <f>YEAR(Table6[[#This Row],[Date]])</f>
        <v>2025</v>
      </c>
      <c r="D1053" s="79" t="s">
        <v>344</v>
      </c>
      <c r="E1053" s="284">
        <f>Table6[[#This Row],[Date]]-DAY(Table6[[#This Row],[Date]])+1</f>
        <v>45809</v>
      </c>
      <c r="F1053" s="285">
        <v>45838</v>
      </c>
      <c r="G1053" s="79" t="s">
        <v>80</v>
      </c>
      <c r="H1053" s="79" t="str">
        <f>IFERROR(_xlfn.XLOOKUP(Table6[[#This Row],[Affected Feeder ]],'Basic Data'!$A:$A,'Basic Data'!$B:$B),"")</f>
        <v>PWEPL</v>
      </c>
      <c r="I1053" s="79" t="str">
        <f>IFERROR(_xlfn.XLOOKUP(Table6[[#This Row],[Affected Feeder ]],'Basic Data'!$A:$A,'Basic Data'!$C:$C),"")</f>
        <v>MSEDCL</v>
      </c>
      <c r="J1053" s="295">
        <f>IFERROR(_xlfn.XLOOKUP(Table6[[#This Row],[Affected Feeder ]],'Basic Data'!$A:$A,'Basic Data'!$E:$E),"")</f>
        <v>2.2727272727272728E-2</v>
      </c>
      <c r="K1053" s="296" t="s">
        <v>171</v>
      </c>
      <c r="L1053" s="297">
        <v>5.2083333333333336E-2</v>
      </c>
      <c r="M1053" s="297">
        <v>5.2083333333333336E-2</v>
      </c>
      <c r="N1053" s="297">
        <v>5.347222222222222E-2</v>
      </c>
      <c r="O1053" s="298">
        <f>(Table6[[#This Row],[Work Start TimeStamp]]-Table6[[#This Row],[Fault Start TimeStamp]])*24</f>
        <v>0</v>
      </c>
      <c r="P1053" s="298">
        <f>(Table6[[#This Row],[Fault Clearance time]]-Table6[[#This Row],[Fault Start TimeStamp]])*24</f>
        <v>3.3333333333333215E-2</v>
      </c>
      <c r="Q1053" s="298">
        <f>(Table6[[#This Row],[Fault Clearance time]]-Table6[[#This Row],[Fault Start TimeStamp]])*24</f>
        <v>3.3333333333333215E-2</v>
      </c>
      <c r="R1053" s="79" t="s">
        <v>353</v>
      </c>
      <c r="S1053" s="79" t="s">
        <v>339</v>
      </c>
      <c r="T1053" s="298">
        <f>IFERROR(Table6[[#This Row],[Breakdown Time]]*Table6[[#This Row],[Plant Equivalent Weightage]],"")</f>
        <v>7.5757575757575486E-4</v>
      </c>
      <c r="U1053" s="79" t="s">
        <v>421</v>
      </c>
      <c r="W1053" s="79">
        <v>54</v>
      </c>
    </row>
    <row r="1054" spans="1:23">
      <c r="A1054" s="79">
        <f t="shared" si="16"/>
        <v>1053</v>
      </c>
      <c r="B1054" s="79">
        <f>YEAR(Table6[[#This Row],[Date]])+IF(MONTH(Table6[[#This Row],[Date]])&gt;=4,1,0)</f>
        <v>2026</v>
      </c>
      <c r="C1054" s="79">
        <f>YEAR(Table6[[#This Row],[Date]])</f>
        <v>2025</v>
      </c>
      <c r="D1054" s="79" t="s">
        <v>344</v>
      </c>
      <c r="E1054" s="284">
        <f>Table6[[#This Row],[Date]]-DAY(Table6[[#This Row],[Date]])+1</f>
        <v>45809</v>
      </c>
      <c r="F1054" s="285">
        <v>45838</v>
      </c>
      <c r="G1054" s="79" t="s">
        <v>80</v>
      </c>
      <c r="H1054" s="79" t="str">
        <f>IFERROR(_xlfn.XLOOKUP(Table6[[#This Row],[Affected Feeder ]],'Basic Data'!$A:$A,'Basic Data'!$B:$B),"")</f>
        <v>PWEPL</v>
      </c>
      <c r="I1054" s="79" t="str">
        <f>IFERROR(_xlfn.XLOOKUP(Table6[[#This Row],[Affected Feeder ]],'Basic Data'!$A:$A,'Basic Data'!$C:$C),"")</f>
        <v>MSEDCL</v>
      </c>
      <c r="J1054" s="295">
        <f>IFERROR(_xlfn.XLOOKUP(Table6[[#This Row],[Affected Feeder ]],'Basic Data'!$A:$A,'Basic Data'!$E:$E),"")</f>
        <v>2.2727272727272728E-2</v>
      </c>
      <c r="K1054" s="296" t="s">
        <v>796</v>
      </c>
      <c r="L1054" s="297">
        <v>0.90138888888888891</v>
      </c>
      <c r="M1054" s="297">
        <v>0.90138888888888891</v>
      </c>
      <c r="N1054" s="297">
        <v>0.93888888888888899</v>
      </c>
      <c r="O1054" s="298">
        <f>(Table6[[#This Row],[Work Start TimeStamp]]-Table6[[#This Row],[Fault Start TimeStamp]])*24</f>
        <v>0</v>
      </c>
      <c r="P1054" s="298">
        <f>(Table6[[#This Row],[Fault Clearance time]]-Table6[[#This Row],[Fault Start TimeStamp]])*24</f>
        <v>0.90000000000000213</v>
      </c>
      <c r="Q1054" s="298">
        <f>(Table6[[#This Row],[Fault Clearance time]]-Table6[[#This Row],[Fault Start TimeStamp]])*24</f>
        <v>0.90000000000000213</v>
      </c>
      <c r="R1054" s="79" t="s">
        <v>424</v>
      </c>
      <c r="S1054" s="79" t="s">
        <v>339</v>
      </c>
      <c r="T1054" s="298">
        <f>IFERROR(Table6[[#This Row],[Breakdown Time]]*Table6[[#This Row],[Plant Equivalent Weightage]],"")</f>
        <v>2.0454545454545503E-2</v>
      </c>
      <c r="U1054" s="79" t="s">
        <v>421</v>
      </c>
      <c r="W1054" s="79">
        <v>1634</v>
      </c>
    </row>
    <row r="1055" spans="1:23">
      <c r="A1055" s="79">
        <f t="shared" si="16"/>
        <v>1054</v>
      </c>
      <c r="B1055" s="79">
        <f>YEAR(Table6[[#This Row],[Date]])+IF(MONTH(Table6[[#This Row],[Date]])&gt;=4,1,0)</f>
        <v>2026</v>
      </c>
      <c r="C1055" s="79">
        <f>YEAR(Table6[[#This Row],[Date]])</f>
        <v>2025</v>
      </c>
      <c r="D1055" s="79" t="s">
        <v>344</v>
      </c>
      <c r="E1055" s="284">
        <f>Table6[[#This Row],[Date]]-DAY(Table6[[#This Row],[Date]])+1</f>
        <v>45809</v>
      </c>
      <c r="F1055" s="285">
        <v>45838</v>
      </c>
      <c r="G1055" s="79" t="s">
        <v>80</v>
      </c>
      <c r="H1055" s="79" t="str">
        <f>IFERROR(_xlfn.XLOOKUP(Table6[[#This Row],[Affected Feeder ]],'Basic Data'!$A:$A,'Basic Data'!$B:$B),"")</f>
        <v>PWEPL</v>
      </c>
      <c r="I1055" s="79" t="str">
        <f>IFERROR(_xlfn.XLOOKUP(Table6[[#This Row],[Affected Feeder ]],'Basic Data'!$A:$A,'Basic Data'!$C:$C),"")</f>
        <v>MSEDCL</v>
      </c>
      <c r="J1055" s="295">
        <f>IFERROR(_xlfn.XLOOKUP(Table6[[#This Row],[Affected Feeder ]],'Basic Data'!$A:$A,'Basic Data'!$E:$E),"")</f>
        <v>2.2727272727272728E-2</v>
      </c>
      <c r="K1055" s="296" t="s">
        <v>171</v>
      </c>
      <c r="L1055" s="297">
        <v>0.93888888888888899</v>
      </c>
      <c r="M1055" s="297">
        <v>0.93888888888888899</v>
      </c>
      <c r="N1055" s="297">
        <v>0.9458333333333333</v>
      </c>
      <c r="O1055" s="298">
        <f>(Table6[[#This Row],[Work Start TimeStamp]]-Table6[[#This Row],[Fault Start TimeStamp]])*24</f>
        <v>0</v>
      </c>
      <c r="P1055" s="298">
        <f>(Table6[[#This Row],[Fault Clearance time]]-Table6[[#This Row],[Fault Start TimeStamp]])*24</f>
        <v>0.16666666666666341</v>
      </c>
      <c r="Q1055" s="298">
        <f>(Table6[[#This Row],[Fault Clearance time]]-Table6[[#This Row],[Fault Start TimeStamp]])*24</f>
        <v>0.16666666666666341</v>
      </c>
      <c r="R1055" s="79" t="s">
        <v>353</v>
      </c>
      <c r="S1055" s="79" t="s">
        <v>339</v>
      </c>
      <c r="T1055" s="298">
        <f>IFERROR(Table6[[#This Row],[Breakdown Time]]*Table6[[#This Row],[Plant Equivalent Weightage]],"")</f>
        <v>3.7878787878787138E-3</v>
      </c>
      <c r="U1055" s="79" t="s">
        <v>421</v>
      </c>
      <c r="W1055" s="79">
        <v>302</v>
      </c>
    </row>
    <row r="1056" spans="1:23">
      <c r="A1056" s="79">
        <f t="shared" si="16"/>
        <v>1055</v>
      </c>
      <c r="B1056" s="79">
        <f>YEAR(Table6[[#This Row],[Date]])+IF(MONTH(Table6[[#This Row],[Date]])&gt;=4,1,0)</f>
        <v>2026</v>
      </c>
      <c r="C1056" s="79">
        <f>YEAR(Table6[[#This Row],[Date]])</f>
        <v>2025</v>
      </c>
      <c r="D1056" s="79" t="s">
        <v>344</v>
      </c>
      <c r="E1056" s="284">
        <f>Table6[[#This Row],[Date]]-DAY(Table6[[#This Row],[Date]])+1</f>
        <v>45839</v>
      </c>
      <c r="F1056" s="285">
        <v>45839</v>
      </c>
      <c r="G1056" s="79" t="s">
        <v>80</v>
      </c>
      <c r="H1056" s="79" t="str">
        <f>IFERROR(_xlfn.XLOOKUP(Table6[[#This Row],[Affected Feeder ]],'Basic Data'!$A:$A,'Basic Data'!$B:$B),"")</f>
        <v>PWEPL</v>
      </c>
      <c r="I1056" s="79" t="str">
        <f>IFERROR(_xlfn.XLOOKUP(Table6[[#This Row],[Affected Feeder ]],'Basic Data'!$A:$A,'Basic Data'!$C:$C),"")</f>
        <v>MSEDCL</v>
      </c>
      <c r="J1056" s="295">
        <f>IFERROR(_xlfn.XLOOKUP(Table6[[#This Row],[Affected Feeder ]],'Basic Data'!$A:$A,'Basic Data'!$E:$E),"")</f>
        <v>2.2727272727272728E-2</v>
      </c>
      <c r="K1056" s="296" t="s">
        <v>796</v>
      </c>
      <c r="L1056" s="297">
        <v>0.13402777777777777</v>
      </c>
      <c r="M1056" s="297">
        <v>0.13402777777777777</v>
      </c>
      <c r="N1056" s="297">
        <v>0.21111111111111111</v>
      </c>
      <c r="O1056" s="298">
        <f>(Table6[[#This Row],[Work Start TimeStamp]]-Table6[[#This Row],[Fault Start TimeStamp]])*24</f>
        <v>0</v>
      </c>
      <c r="P1056" s="298">
        <f>(Table6[[#This Row],[Fault Clearance time]]-Table6[[#This Row],[Fault Start TimeStamp]])*24</f>
        <v>1.85</v>
      </c>
      <c r="Q1056" s="298">
        <f>(Table6[[#This Row],[Fault Clearance time]]-Table6[[#This Row],[Fault Start TimeStamp]])*24</f>
        <v>1.85</v>
      </c>
      <c r="R1056" s="79" t="s">
        <v>424</v>
      </c>
      <c r="S1056" s="79" t="s">
        <v>339</v>
      </c>
      <c r="T1056" s="298">
        <f>IFERROR(Table6[[#This Row],[Breakdown Time]]*Table6[[#This Row],[Plant Equivalent Weightage]],"")</f>
        <v>4.2045454545454546E-2</v>
      </c>
      <c r="U1056" s="79" t="s">
        <v>421</v>
      </c>
      <c r="W1056" s="79">
        <v>2627</v>
      </c>
    </row>
    <row r="1057" spans="1:23">
      <c r="A1057" s="79">
        <f t="shared" si="16"/>
        <v>1056</v>
      </c>
      <c r="B1057" s="79">
        <f>YEAR(Table6[[#This Row],[Date]])+IF(MONTH(Table6[[#This Row],[Date]])&gt;=4,1,0)</f>
        <v>2026</v>
      </c>
      <c r="C1057" s="79">
        <f>YEAR(Table6[[#This Row],[Date]])</f>
        <v>2025</v>
      </c>
      <c r="D1057" s="79" t="s">
        <v>344</v>
      </c>
      <c r="E1057" s="284">
        <f>Table6[[#This Row],[Date]]-DAY(Table6[[#This Row],[Date]])+1</f>
        <v>45839</v>
      </c>
      <c r="F1057" s="285">
        <v>45839</v>
      </c>
      <c r="G1057" s="79" t="s">
        <v>80</v>
      </c>
      <c r="H1057" s="79" t="str">
        <f>IFERROR(_xlfn.XLOOKUP(Table6[[#This Row],[Affected Feeder ]],'Basic Data'!$A:$A,'Basic Data'!$B:$B),"")</f>
        <v>PWEPL</v>
      </c>
      <c r="I1057" s="79" t="str">
        <f>IFERROR(_xlfn.XLOOKUP(Table6[[#This Row],[Affected Feeder ]],'Basic Data'!$A:$A,'Basic Data'!$C:$C),"")</f>
        <v>MSEDCL</v>
      </c>
      <c r="J1057" s="295">
        <f>IFERROR(_xlfn.XLOOKUP(Table6[[#This Row],[Affected Feeder ]],'Basic Data'!$A:$A,'Basic Data'!$E:$E),"")</f>
        <v>2.2727272727272728E-2</v>
      </c>
      <c r="K1057" s="296" t="s">
        <v>171</v>
      </c>
      <c r="L1057" s="297">
        <v>0.21111111111111111</v>
      </c>
      <c r="M1057" s="297">
        <v>0.21111111111111111</v>
      </c>
      <c r="N1057" s="297">
        <v>0.21249999999999999</v>
      </c>
      <c r="O1057" s="298">
        <f>(Table6[[#This Row],[Work Start TimeStamp]]-Table6[[#This Row],[Fault Start TimeStamp]])*24</f>
        <v>0</v>
      </c>
      <c r="P1057" s="298">
        <f>(Table6[[#This Row],[Fault Clearance time]]-Table6[[#This Row],[Fault Start TimeStamp]])*24</f>
        <v>3.3333333333333215E-2</v>
      </c>
      <c r="Q1057" s="298">
        <f>(Table6[[#This Row],[Fault Clearance time]]-Table6[[#This Row],[Fault Start TimeStamp]])*24</f>
        <v>3.3333333333333215E-2</v>
      </c>
      <c r="R1057" s="79" t="s">
        <v>353</v>
      </c>
      <c r="S1057" s="79" t="s">
        <v>339</v>
      </c>
      <c r="T1057" s="298">
        <f>IFERROR(Table6[[#This Row],[Breakdown Time]]*Table6[[#This Row],[Plant Equivalent Weightage]],"")</f>
        <v>7.5757575757575486E-4</v>
      </c>
      <c r="U1057" s="79" t="s">
        <v>421</v>
      </c>
      <c r="W1057" s="79">
        <v>47</v>
      </c>
    </row>
    <row r="1058" spans="1:23">
      <c r="A1058" s="79">
        <f t="shared" si="16"/>
        <v>1057</v>
      </c>
      <c r="B1058" s="79">
        <f>YEAR(Table6[[#This Row],[Date]])+IF(MONTH(Table6[[#This Row],[Date]])&gt;=4,1,0)</f>
        <v>2026</v>
      </c>
      <c r="C1058" s="79">
        <f>YEAR(Table6[[#This Row],[Date]])</f>
        <v>2025</v>
      </c>
      <c r="D1058" s="79" t="s">
        <v>344</v>
      </c>
      <c r="E1058" s="284">
        <f>Table6[[#This Row],[Date]]-DAY(Table6[[#This Row],[Date]])+1</f>
        <v>45839</v>
      </c>
      <c r="F1058" s="285">
        <v>45839</v>
      </c>
      <c r="G1058" s="79" t="s">
        <v>80</v>
      </c>
      <c r="H1058" s="79" t="str">
        <f>IFERROR(_xlfn.XLOOKUP(Table6[[#This Row],[Affected Feeder ]],'Basic Data'!$A:$A,'Basic Data'!$B:$B),"")</f>
        <v>PWEPL</v>
      </c>
      <c r="I1058" s="79" t="str">
        <f>IFERROR(_xlfn.XLOOKUP(Table6[[#This Row],[Affected Feeder ]],'Basic Data'!$A:$A,'Basic Data'!$C:$C),"")</f>
        <v>MSEDCL</v>
      </c>
      <c r="J1058" s="295">
        <f>IFERROR(_xlfn.XLOOKUP(Table6[[#This Row],[Affected Feeder ]],'Basic Data'!$A:$A,'Basic Data'!$E:$E),"")</f>
        <v>2.2727272727272728E-2</v>
      </c>
      <c r="K1058" s="296" t="s">
        <v>796</v>
      </c>
      <c r="L1058" s="297">
        <v>0.29097222222222224</v>
      </c>
      <c r="M1058" s="297">
        <v>0.29097222222222224</v>
      </c>
      <c r="N1058" s="297">
        <v>0.3833333333333333</v>
      </c>
      <c r="O1058" s="298">
        <f>(Table6[[#This Row],[Work Start TimeStamp]]-Table6[[#This Row],[Fault Start TimeStamp]])*24</f>
        <v>0</v>
      </c>
      <c r="P1058" s="298">
        <f>(Table6[[#This Row],[Fault Clearance time]]-Table6[[#This Row],[Fault Start TimeStamp]])*24</f>
        <v>2.2166666666666655</v>
      </c>
      <c r="Q1058" s="298">
        <f>(Table6[[#This Row],[Fault Clearance time]]-Table6[[#This Row],[Fault Start TimeStamp]])*24</f>
        <v>2.2166666666666655</v>
      </c>
      <c r="R1058" s="79" t="s">
        <v>424</v>
      </c>
      <c r="S1058" s="79" t="s">
        <v>339</v>
      </c>
      <c r="T1058" s="298">
        <f>IFERROR(Table6[[#This Row],[Breakdown Time]]*Table6[[#This Row],[Plant Equivalent Weightage]],"")</f>
        <v>5.0378787878787849E-2</v>
      </c>
      <c r="U1058" s="79" t="s">
        <v>421</v>
      </c>
      <c r="W1058" s="79">
        <v>3420</v>
      </c>
    </row>
    <row r="1059" spans="1:23">
      <c r="A1059" s="79">
        <f t="shared" si="16"/>
        <v>1058</v>
      </c>
      <c r="B1059" s="79">
        <f>YEAR(Table6[[#This Row],[Date]])+IF(MONTH(Table6[[#This Row],[Date]])&gt;=4,1,0)</f>
        <v>2026</v>
      </c>
      <c r="C1059" s="79">
        <f>YEAR(Table6[[#This Row],[Date]])</f>
        <v>2025</v>
      </c>
      <c r="D1059" s="79" t="s">
        <v>344</v>
      </c>
      <c r="E1059" s="284">
        <f>Table6[[#This Row],[Date]]-DAY(Table6[[#This Row],[Date]])+1</f>
        <v>45839</v>
      </c>
      <c r="F1059" s="285">
        <v>45839</v>
      </c>
      <c r="G1059" s="79" t="s">
        <v>80</v>
      </c>
      <c r="H1059" s="79" t="str">
        <f>IFERROR(_xlfn.XLOOKUP(Table6[[#This Row],[Affected Feeder ]],'Basic Data'!$A:$A,'Basic Data'!$B:$B),"")</f>
        <v>PWEPL</v>
      </c>
      <c r="I1059" s="79" t="str">
        <f>IFERROR(_xlfn.XLOOKUP(Table6[[#This Row],[Affected Feeder ]],'Basic Data'!$A:$A,'Basic Data'!$C:$C),"")</f>
        <v>MSEDCL</v>
      </c>
      <c r="J1059" s="295">
        <f>IFERROR(_xlfn.XLOOKUP(Table6[[#This Row],[Affected Feeder ]],'Basic Data'!$A:$A,'Basic Data'!$E:$E),"")</f>
        <v>2.2727272727272728E-2</v>
      </c>
      <c r="K1059" s="296" t="s">
        <v>171</v>
      </c>
      <c r="L1059" s="297">
        <v>0.3833333333333333</v>
      </c>
      <c r="M1059" s="297">
        <v>0.3833333333333333</v>
      </c>
      <c r="N1059" s="297">
        <v>0.38541666666666669</v>
      </c>
      <c r="O1059" s="298">
        <f>(Table6[[#This Row],[Work Start TimeStamp]]-Table6[[#This Row],[Fault Start TimeStamp]])*24</f>
        <v>0</v>
      </c>
      <c r="P1059" s="298">
        <f>(Table6[[#This Row],[Fault Clearance time]]-Table6[[#This Row],[Fault Start TimeStamp]])*24</f>
        <v>5.0000000000001155E-2</v>
      </c>
      <c r="Q1059" s="298">
        <f>(Table6[[#This Row],[Fault Clearance time]]-Table6[[#This Row],[Fault Start TimeStamp]])*24</f>
        <v>5.0000000000001155E-2</v>
      </c>
      <c r="R1059" s="79" t="s">
        <v>353</v>
      </c>
      <c r="S1059" s="79" t="s">
        <v>339</v>
      </c>
      <c r="T1059" s="298">
        <f>IFERROR(Table6[[#This Row],[Breakdown Time]]*Table6[[#This Row],[Plant Equivalent Weightage]],"")</f>
        <v>1.1363636363636625E-3</v>
      </c>
      <c r="U1059" s="79" t="s">
        <v>421</v>
      </c>
      <c r="W1059" s="79">
        <v>77</v>
      </c>
    </row>
    <row r="1060" spans="1:23">
      <c r="A1060" s="79">
        <f t="shared" si="16"/>
        <v>1059</v>
      </c>
      <c r="B1060" s="79">
        <f>YEAR(Table6[[#This Row],[Date]])+IF(MONTH(Table6[[#This Row],[Date]])&gt;=4,1,0)</f>
        <v>2026</v>
      </c>
      <c r="C1060" s="79">
        <f>YEAR(Table6[[#This Row],[Date]])</f>
        <v>2025</v>
      </c>
      <c r="D1060" s="79" t="s">
        <v>344</v>
      </c>
      <c r="E1060" s="284">
        <f>Table6[[#This Row],[Date]]-DAY(Table6[[#This Row],[Date]])+1</f>
        <v>45839</v>
      </c>
      <c r="F1060" s="285">
        <v>45840</v>
      </c>
      <c r="G1060" s="79" t="s">
        <v>404</v>
      </c>
      <c r="H1060" s="79" t="str">
        <f>IFERROR(_xlfn.XLOOKUP(Table6[[#This Row],[Affected Feeder ]],'Basic Data'!$A:$A,'Basic Data'!$B:$B),"")</f>
        <v>PWEPL</v>
      </c>
      <c r="I1060" s="79" t="str">
        <f>IFERROR(_xlfn.XLOOKUP(Table6[[#This Row],[Affected Feeder ]],'Basic Data'!$A:$A,'Basic Data'!$C:$C),"")</f>
        <v>MSEDCL</v>
      </c>
      <c r="J1060" s="295">
        <f>IFERROR(_xlfn.XLOOKUP(Table6[[#This Row],[Affected Feeder ]],'Basic Data'!$A:$A,'Basic Data'!$E:$E),"")</f>
        <v>0.27272727272727276</v>
      </c>
      <c r="K1060" s="296" t="s">
        <v>419</v>
      </c>
      <c r="L1060" s="297">
        <v>0.60902777777777783</v>
      </c>
      <c r="M1060" s="297">
        <v>0.60902777777777783</v>
      </c>
      <c r="N1060" s="297">
        <v>0.63750000000000007</v>
      </c>
      <c r="O1060" s="298">
        <f>(Table6[[#This Row],[Work Start TimeStamp]]-Table6[[#This Row],[Fault Start TimeStamp]])*24</f>
        <v>0</v>
      </c>
      <c r="P1060" s="298">
        <f>(Table6[[#This Row],[Fault Clearance time]]-Table6[[#This Row],[Fault Start TimeStamp]])*24</f>
        <v>0.68333333333333357</v>
      </c>
      <c r="Q1060" s="298">
        <f>(Table6[[#This Row],[Fault Clearance time]]-Table6[[#This Row],[Fault Start TimeStamp]])*24</f>
        <v>0.68333333333333357</v>
      </c>
      <c r="R1060" s="79" t="s">
        <v>420</v>
      </c>
      <c r="S1060" s="79" t="s">
        <v>339</v>
      </c>
      <c r="T1060" s="298">
        <f>IFERROR(Table6[[#This Row],[Breakdown Time]]*Table6[[#This Row],[Plant Equivalent Weightage]],"")</f>
        <v>0.18636363636363645</v>
      </c>
      <c r="U1060" s="79" t="s">
        <v>421</v>
      </c>
      <c r="W1060" s="79">
        <v>8993</v>
      </c>
    </row>
    <row r="1061" spans="1:23">
      <c r="A1061" s="79">
        <f t="shared" si="16"/>
        <v>1060</v>
      </c>
      <c r="B1061" s="79">
        <f>YEAR(Table6[[#This Row],[Date]])+IF(MONTH(Table6[[#This Row],[Date]])&gt;=4,1,0)</f>
        <v>2026</v>
      </c>
      <c r="C1061" s="79">
        <f>YEAR(Table6[[#This Row],[Date]])</f>
        <v>2025</v>
      </c>
      <c r="D1061" s="79" t="s">
        <v>344</v>
      </c>
      <c r="E1061" s="284">
        <f>Table6[[#This Row],[Date]]-DAY(Table6[[#This Row],[Date]])+1</f>
        <v>45839</v>
      </c>
      <c r="F1061" s="285">
        <v>45840</v>
      </c>
      <c r="G1061" s="79" t="s">
        <v>89</v>
      </c>
      <c r="H1061" s="79" t="str">
        <f>IFERROR(_xlfn.XLOOKUP(Table6[[#This Row],[Affected Feeder ]],'Basic Data'!$A:$A,'Basic Data'!$B:$B),"")</f>
        <v>PWEPL</v>
      </c>
      <c r="I1061" s="79" t="str">
        <f>IFERROR(_xlfn.XLOOKUP(Table6[[#This Row],[Affected Feeder ]],'Basic Data'!$A:$A,'Basic Data'!$C:$C),"")</f>
        <v>MSEDCL</v>
      </c>
      <c r="J1061" s="295">
        <f>IFERROR(_xlfn.XLOOKUP(Table6[[#This Row],[Affected Feeder ]],'Basic Data'!$A:$A,'Basic Data'!$E:$E),"")</f>
        <v>2.2727272727272728E-2</v>
      </c>
      <c r="K1061" s="296" t="s">
        <v>171</v>
      </c>
      <c r="L1061" s="297">
        <v>0.63750000000000007</v>
      </c>
      <c r="M1061" s="297">
        <v>0.63750000000000007</v>
      </c>
      <c r="N1061" s="297">
        <v>0.64722222222222225</v>
      </c>
      <c r="O1061" s="298">
        <f>(Table6[[#This Row],[Work Start TimeStamp]]-Table6[[#This Row],[Fault Start TimeStamp]])*24</f>
        <v>0</v>
      </c>
      <c r="P1061" s="298">
        <f>(Table6[[#This Row],[Fault Clearance time]]-Table6[[#This Row],[Fault Start TimeStamp]])*24</f>
        <v>0.2333333333333325</v>
      </c>
      <c r="Q1061" s="298">
        <f>(Table6[[#This Row],[Fault Clearance time]]-Table6[[#This Row],[Fault Start TimeStamp]])*24</f>
        <v>0.2333333333333325</v>
      </c>
      <c r="R1061" s="79" t="s">
        <v>353</v>
      </c>
      <c r="S1061" s="79" t="s">
        <v>339</v>
      </c>
      <c r="T1061" s="298">
        <f>IFERROR(Table6[[#This Row],[Breakdown Time]]*Table6[[#This Row],[Plant Equivalent Weightage]],"")</f>
        <v>5.3030303030302843E-3</v>
      </c>
      <c r="U1061" s="79" t="s">
        <v>421</v>
      </c>
      <c r="W1061" s="79">
        <v>255</v>
      </c>
    </row>
    <row r="1062" spans="1:23">
      <c r="A1062" s="79">
        <f t="shared" si="16"/>
        <v>1061</v>
      </c>
      <c r="B1062" s="79">
        <f>YEAR(Table6[[#This Row],[Date]])+IF(MONTH(Table6[[#This Row],[Date]])&gt;=4,1,0)</f>
        <v>2026</v>
      </c>
      <c r="C1062" s="79">
        <f>YEAR(Table6[[#This Row],[Date]])</f>
        <v>2025</v>
      </c>
      <c r="D1062" s="79" t="s">
        <v>344</v>
      </c>
      <c r="E1062" s="284">
        <f>Table6[[#This Row],[Date]]-DAY(Table6[[#This Row],[Date]])+1</f>
        <v>45839</v>
      </c>
      <c r="F1062" s="285">
        <v>45840</v>
      </c>
      <c r="G1062" s="79" t="s">
        <v>90</v>
      </c>
      <c r="H1062" s="79" t="str">
        <f>IFERROR(_xlfn.XLOOKUP(Table6[[#This Row],[Affected Feeder ]],'Basic Data'!$A:$A,'Basic Data'!$B:$B),"")</f>
        <v>PWEPL</v>
      </c>
      <c r="I1062" s="79" t="str">
        <f>IFERROR(_xlfn.XLOOKUP(Table6[[#This Row],[Affected Feeder ]],'Basic Data'!$A:$A,'Basic Data'!$C:$C),"")</f>
        <v>MSEDCL</v>
      </c>
      <c r="J1062" s="295">
        <f>IFERROR(_xlfn.XLOOKUP(Table6[[#This Row],[Affected Feeder ]],'Basic Data'!$A:$A,'Basic Data'!$E:$E),"")</f>
        <v>2.2727272727272728E-2</v>
      </c>
      <c r="K1062" s="296" t="s">
        <v>422</v>
      </c>
      <c r="L1062" s="297">
        <v>0.63750000000000007</v>
      </c>
      <c r="M1062" s="297">
        <v>0.63750000000000007</v>
      </c>
      <c r="N1062" s="297">
        <v>0.67708333333333337</v>
      </c>
      <c r="O1062" s="298">
        <f>(Table6[[#This Row],[Work Start TimeStamp]]-Table6[[#This Row],[Fault Start TimeStamp]])*24</f>
        <v>0</v>
      </c>
      <c r="P1062" s="298">
        <f>(Table6[[#This Row],[Fault Clearance time]]-Table6[[#This Row],[Fault Start TimeStamp]])*24</f>
        <v>0.94999999999999929</v>
      </c>
      <c r="Q1062" s="298">
        <f>(Table6[[#This Row],[Fault Clearance time]]-Table6[[#This Row],[Fault Start TimeStamp]])*24</f>
        <v>0.94999999999999929</v>
      </c>
      <c r="R1062" s="79" t="s">
        <v>424</v>
      </c>
      <c r="S1062" s="79" t="s">
        <v>339</v>
      </c>
      <c r="T1062" s="298">
        <f>IFERROR(Table6[[#This Row],[Breakdown Time]]*Table6[[#This Row],[Plant Equivalent Weightage]],"")</f>
        <v>2.1590909090909074E-2</v>
      </c>
      <c r="U1062" s="79" t="s">
        <v>421</v>
      </c>
      <c r="W1062" s="79">
        <v>9824</v>
      </c>
    </row>
    <row r="1063" spans="1:23">
      <c r="A1063" s="79">
        <f t="shared" si="16"/>
        <v>1062</v>
      </c>
      <c r="B1063" s="79">
        <f>YEAR(Table6[[#This Row],[Date]])+IF(MONTH(Table6[[#This Row],[Date]])&gt;=4,1,0)</f>
        <v>2026</v>
      </c>
      <c r="C1063" s="79">
        <f>YEAR(Table6[[#This Row],[Date]])</f>
        <v>2025</v>
      </c>
      <c r="D1063" s="79" t="s">
        <v>344</v>
      </c>
      <c r="E1063" s="284">
        <f>Table6[[#This Row],[Date]]-DAY(Table6[[#This Row],[Date]])+1</f>
        <v>45839</v>
      </c>
      <c r="F1063" s="285">
        <v>45840</v>
      </c>
      <c r="G1063" s="79" t="s">
        <v>90</v>
      </c>
      <c r="H1063" s="79" t="str">
        <f>IFERROR(_xlfn.XLOOKUP(Table6[[#This Row],[Affected Feeder ]],'Basic Data'!$A:$A,'Basic Data'!$B:$B),"")</f>
        <v>PWEPL</v>
      </c>
      <c r="I1063" s="79" t="str">
        <f>IFERROR(_xlfn.XLOOKUP(Table6[[#This Row],[Affected Feeder ]],'Basic Data'!$A:$A,'Basic Data'!$C:$C),"")</f>
        <v>MSEDCL</v>
      </c>
      <c r="J1063" s="295">
        <f>IFERROR(_xlfn.XLOOKUP(Table6[[#This Row],[Affected Feeder ]],'Basic Data'!$A:$A,'Basic Data'!$E:$E),"")</f>
        <v>2.2727272727272728E-2</v>
      </c>
      <c r="K1063" s="296" t="s">
        <v>171</v>
      </c>
      <c r="L1063" s="297">
        <v>0.67708333333333337</v>
      </c>
      <c r="M1063" s="297">
        <v>0.67708333333333337</v>
      </c>
      <c r="N1063" s="297">
        <v>0.68402777777777779</v>
      </c>
      <c r="O1063" s="298">
        <f>(Table6[[#This Row],[Work Start TimeStamp]]-Table6[[#This Row],[Fault Start TimeStamp]])*24</f>
        <v>0</v>
      </c>
      <c r="P1063" s="298">
        <f>(Table6[[#This Row],[Fault Clearance time]]-Table6[[#This Row],[Fault Start TimeStamp]])*24</f>
        <v>0.16666666666666607</v>
      </c>
      <c r="Q1063" s="298">
        <f>(Table6[[#This Row],[Fault Clearance time]]-Table6[[#This Row],[Fault Start TimeStamp]])*24</f>
        <v>0.16666666666666607</v>
      </c>
      <c r="R1063" s="79" t="s">
        <v>353</v>
      </c>
      <c r="S1063" s="79" t="s">
        <v>339</v>
      </c>
      <c r="T1063" s="298">
        <f>IFERROR(Table6[[#This Row],[Breakdown Time]]*Table6[[#This Row],[Plant Equivalent Weightage]],"")</f>
        <v>3.7878787878787745E-3</v>
      </c>
      <c r="U1063" s="79" t="s">
        <v>421</v>
      </c>
      <c r="W1063" s="79">
        <v>310</v>
      </c>
    </row>
    <row r="1064" spans="1:23">
      <c r="A1064" s="79">
        <f t="shared" si="16"/>
        <v>1063</v>
      </c>
      <c r="B1064" s="79">
        <f>YEAR(Table6[[#This Row],[Date]])+IF(MONTH(Table6[[#This Row],[Date]])&gt;=4,1,0)</f>
        <v>2026</v>
      </c>
      <c r="C1064" s="79">
        <f>YEAR(Table6[[#This Row],[Date]])</f>
        <v>2025</v>
      </c>
      <c r="D1064" s="79" t="s">
        <v>344</v>
      </c>
      <c r="E1064" s="284">
        <f>Table6[[#This Row],[Date]]-DAY(Table6[[#This Row],[Date]])+1</f>
        <v>45839</v>
      </c>
      <c r="F1064" s="285">
        <v>45840</v>
      </c>
      <c r="G1064" s="79" t="s">
        <v>91</v>
      </c>
      <c r="H1064" s="79" t="str">
        <f>IFERROR(_xlfn.XLOOKUP(Table6[[#This Row],[Affected Feeder ]],'Basic Data'!$A:$A,'Basic Data'!$B:$B),"")</f>
        <v>PWEPL</v>
      </c>
      <c r="I1064" s="79" t="str">
        <f>IFERROR(_xlfn.XLOOKUP(Table6[[#This Row],[Affected Feeder ]],'Basic Data'!$A:$A,'Basic Data'!$C:$C),"")</f>
        <v>MSEDCL</v>
      </c>
      <c r="J1064" s="295">
        <f>IFERROR(_xlfn.XLOOKUP(Table6[[#This Row],[Affected Feeder ]],'Basic Data'!$A:$A,'Basic Data'!$E:$E),"")</f>
        <v>2.2727272727272728E-2</v>
      </c>
      <c r="K1064" s="296" t="s">
        <v>171</v>
      </c>
      <c r="L1064" s="297">
        <v>0.63750000000000007</v>
      </c>
      <c r="M1064" s="297">
        <v>0.63750000000000007</v>
      </c>
      <c r="N1064" s="297">
        <v>0.64930555555555558</v>
      </c>
      <c r="O1064" s="298">
        <f>(Table6[[#This Row],[Work Start TimeStamp]]-Table6[[#This Row],[Fault Start TimeStamp]])*24</f>
        <v>0</v>
      </c>
      <c r="P1064" s="298">
        <f>(Table6[[#This Row],[Fault Clearance time]]-Table6[[#This Row],[Fault Start TimeStamp]])*24</f>
        <v>0.28333333333333233</v>
      </c>
      <c r="Q1064" s="298">
        <f>(Table6[[#This Row],[Fault Clearance time]]-Table6[[#This Row],[Fault Start TimeStamp]])*24</f>
        <v>0.28333333333333233</v>
      </c>
      <c r="R1064" s="79" t="s">
        <v>353</v>
      </c>
      <c r="S1064" s="79" t="s">
        <v>339</v>
      </c>
      <c r="T1064" s="298">
        <f>IFERROR(Table6[[#This Row],[Breakdown Time]]*Table6[[#This Row],[Plant Equivalent Weightage]],"")</f>
        <v>6.4393939393939167E-3</v>
      </c>
      <c r="U1064" s="79" t="s">
        <v>421</v>
      </c>
      <c r="W1064" s="79">
        <v>310</v>
      </c>
    </row>
    <row r="1065" spans="1:23">
      <c r="A1065" s="79">
        <f t="shared" si="16"/>
        <v>1064</v>
      </c>
      <c r="B1065" s="79">
        <f>YEAR(Table6[[#This Row],[Date]])+IF(MONTH(Table6[[#This Row],[Date]])&gt;=4,1,0)</f>
        <v>2026</v>
      </c>
      <c r="C1065" s="79">
        <f>YEAR(Table6[[#This Row],[Date]])</f>
        <v>2025</v>
      </c>
      <c r="D1065" s="79" t="s">
        <v>344</v>
      </c>
      <c r="E1065" s="284">
        <f>Table6[[#This Row],[Date]]-DAY(Table6[[#This Row],[Date]])+1</f>
        <v>45839</v>
      </c>
      <c r="F1065" s="285">
        <v>45840</v>
      </c>
      <c r="G1065" s="79" t="s">
        <v>92</v>
      </c>
      <c r="H1065" s="79" t="str">
        <f>IFERROR(_xlfn.XLOOKUP(Table6[[#This Row],[Affected Feeder ]],'Basic Data'!$A:$A,'Basic Data'!$B:$B),"")</f>
        <v>PWEPL</v>
      </c>
      <c r="I1065" s="79" t="str">
        <f>IFERROR(_xlfn.XLOOKUP(Table6[[#This Row],[Affected Feeder ]],'Basic Data'!$A:$A,'Basic Data'!$C:$C),"")</f>
        <v>MSEDCL</v>
      </c>
      <c r="J1065" s="295">
        <f>IFERROR(_xlfn.XLOOKUP(Table6[[#This Row],[Affected Feeder ]],'Basic Data'!$A:$A,'Basic Data'!$E:$E),"")</f>
        <v>2.2727272727272728E-2</v>
      </c>
      <c r="K1065" s="296" t="s">
        <v>171</v>
      </c>
      <c r="L1065" s="297">
        <v>0.63750000000000007</v>
      </c>
      <c r="M1065" s="297">
        <v>0.63750000000000007</v>
      </c>
      <c r="N1065" s="297">
        <v>0.65138888888888891</v>
      </c>
      <c r="O1065" s="298">
        <f>(Table6[[#This Row],[Work Start TimeStamp]]-Table6[[#This Row],[Fault Start TimeStamp]])*24</f>
        <v>0</v>
      </c>
      <c r="P1065" s="298">
        <f>(Table6[[#This Row],[Fault Clearance time]]-Table6[[#This Row],[Fault Start TimeStamp]])*24</f>
        <v>0.33333333333333215</v>
      </c>
      <c r="Q1065" s="298">
        <f>(Table6[[#This Row],[Fault Clearance time]]-Table6[[#This Row],[Fault Start TimeStamp]])*24</f>
        <v>0.33333333333333215</v>
      </c>
      <c r="R1065" s="79" t="s">
        <v>353</v>
      </c>
      <c r="S1065" s="79" t="s">
        <v>339</v>
      </c>
      <c r="T1065" s="298">
        <f>IFERROR(Table6[[#This Row],[Breakdown Time]]*Table6[[#This Row],[Plant Equivalent Weightage]],"")</f>
        <v>7.5757575757575491E-3</v>
      </c>
      <c r="U1065" s="79" t="s">
        <v>421</v>
      </c>
      <c r="W1065" s="79">
        <v>409</v>
      </c>
    </row>
    <row r="1066" spans="1:23">
      <c r="A1066" s="79">
        <f t="shared" si="16"/>
        <v>1065</v>
      </c>
      <c r="B1066" s="79">
        <f>YEAR(Table6[[#This Row],[Date]])+IF(MONTH(Table6[[#This Row],[Date]])&gt;=4,1,0)</f>
        <v>2026</v>
      </c>
      <c r="C1066" s="79">
        <f>YEAR(Table6[[#This Row],[Date]])</f>
        <v>2025</v>
      </c>
      <c r="D1066" s="79" t="s">
        <v>344</v>
      </c>
      <c r="E1066" s="284">
        <f>Table6[[#This Row],[Date]]-DAY(Table6[[#This Row],[Date]])+1</f>
        <v>45839</v>
      </c>
      <c r="F1066" s="285">
        <v>45840</v>
      </c>
      <c r="G1066" s="79" t="s">
        <v>94</v>
      </c>
      <c r="H1066" s="79" t="str">
        <f>IFERROR(_xlfn.XLOOKUP(Table6[[#This Row],[Affected Feeder ]],'Basic Data'!$A:$A,'Basic Data'!$B:$B),"")</f>
        <v>PWEPL</v>
      </c>
      <c r="I1066" s="79" t="str">
        <f>IFERROR(_xlfn.XLOOKUP(Table6[[#This Row],[Affected Feeder ]],'Basic Data'!$A:$A,'Basic Data'!$C:$C),"")</f>
        <v>MSEDCL</v>
      </c>
      <c r="J1066" s="295">
        <f>IFERROR(_xlfn.XLOOKUP(Table6[[#This Row],[Affected Feeder ]],'Basic Data'!$A:$A,'Basic Data'!$E:$E),"")</f>
        <v>2.2727272727272728E-2</v>
      </c>
      <c r="K1066" s="296" t="s">
        <v>171</v>
      </c>
      <c r="L1066" s="297">
        <v>0.63750000000000007</v>
      </c>
      <c r="M1066" s="297">
        <v>0.63750000000000007</v>
      </c>
      <c r="N1066" s="297">
        <v>0.65138888888888891</v>
      </c>
      <c r="O1066" s="298">
        <f>(Table6[[#This Row],[Work Start TimeStamp]]-Table6[[#This Row],[Fault Start TimeStamp]])*24</f>
        <v>0</v>
      </c>
      <c r="P1066" s="298">
        <f>(Table6[[#This Row],[Fault Clearance time]]-Table6[[#This Row],[Fault Start TimeStamp]])*24</f>
        <v>0.33333333333333215</v>
      </c>
      <c r="Q1066" s="298">
        <f>(Table6[[#This Row],[Fault Clearance time]]-Table6[[#This Row],[Fault Start TimeStamp]])*24</f>
        <v>0.33333333333333215</v>
      </c>
      <c r="R1066" s="79" t="s">
        <v>353</v>
      </c>
      <c r="S1066" s="79" t="s">
        <v>339</v>
      </c>
      <c r="T1066" s="298">
        <f>IFERROR(Table6[[#This Row],[Breakdown Time]]*Table6[[#This Row],[Plant Equivalent Weightage]],"")</f>
        <v>7.5757575757575491E-3</v>
      </c>
      <c r="U1066" s="79" t="s">
        <v>421</v>
      </c>
      <c r="W1066" s="79">
        <v>409</v>
      </c>
    </row>
    <row r="1067" spans="1:23">
      <c r="A1067" s="79">
        <f t="shared" si="16"/>
        <v>1066</v>
      </c>
      <c r="B1067" s="79">
        <f>YEAR(Table6[[#This Row],[Date]])+IF(MONTH(Table6[[#This Row],[Date]])&gt;=4,1,0)</f>
        <v>2026</v>
      </c>
      <c r="C1067" s="79">
        <f>YEAR(Table6[[#This Row],[Date]])</f>
        <v>2025</v>
      </c>
      <c r="D1067" s="79" t="s">
        <v>344</v>
      </c>
      <c r="E1067" s="284">
        <f>Table6[[#This Row],[Date]]-DAY(Table6[[#This Row],[Date]])+1</f>
        <v>45839</v>
      </c>
      <c r="F1067" s="285">
        <v>45840</v>
      </c>
      <c r="G1067" s="79" t="s">
        <v>95</v>
      </c>
      <c r="H1067" s="79" t="str">
        <f>IFERROR(_xlfn.XLOOKUP(Table6[[#This Row],[Affected Feeder ]],'Basic Data'!$A:$A,'Basic Data'!$B:$B),"")</f>
        <v>PWEPL</v>
      </c>
      <c r="I1067" s="79" t="str">
        <f>IFERROR(_xlfn.XLOOKUP(Table6[[#This Row],[Affected Feeder ]],'Basic Data'!$A:$A,'Basic Data'!$C:$C),"")</f>
        <v>MSEDCL</v>
      </c>
      <c r="J1067" s="295">
        <f>IFERROR(_xlfn.XLOOKUP(Table6[[#This Row],[Affected Feeder ]],'Basic Data'!$A:$A,'Basic Data'!$E:$E),"")</f>
        <v>2.2727272727272728E-2</v>
      </c>
      <c r="K1067" s="296" t="s">
        <v>171</v>
      </c>
      <c r="L1067" s="297">
        <v>0.63750000000000007</v>
      </c>
      <c r="M1067" s="297">
        <v>0.63750000000000007</v>
      </c>
      <c r="N1067" s="297">
        <v>0.65138888888888891</v>
      </c>
      <c r="O1067" s="298">
        <f>(Table6[[#This Row],[Work Start TimeStamp]]-Table6[[#This Row],[Fault Start TimeStamp]])*24</f>
        <v>0</v>
      </c>
      <c r="P1067" s="298">
        <f>(Table6[[#This Row],[Fault Clearance time]]-Table6[[#This Row],[Fault Start TimeStamp]])*24</f>
        <v>0.33333333333333215</v>
      </c>
      <c r="Q1067" s="298">
        <f>(Table6[[#This Row],[Fault Clearance time]]-Table6[[#This Row],[Fault Start TimeStamp]])*24</f>
        <v>0.33333333333333215</v>
      </c>
      <c r="R1067" s="79" t="s">
        <v>353</v>
      </c>
      <c r="S1067" s="79" t="s">
        <v>339</v>
      </c>
      <c r="T1067" s="298">
        <f>IFERROR(Table6[[#This Row],[Breakdown Time]]*Table6[[#This Row],[Plant Equivalent Weightage]],"")</f>
        <v>7.5757575757575491E-3</v>
      </c>
      <c r="U1067" s="79" t="s">
        <v>421</v>
      </c>
      <c r="W1067" s="79">
        <v>409</v>
      </c>
    </row>
    <row r="1068" spans="1:23">
      <c r="A1068" s="79">
        <f t="shared" si="16"/>
        <v>1067</v>
      </c>
      <c r="B1068" s="79">
        <f>YEAR(Table6[[#This Row],[Date]])+IF(MONTH(Table6[[#This Row],[Date]])&gt;=4,1,0)</f>
        <v>2026</v>
      </c>
      <c r="C1068" s="79">
        <f>YEAR(Table6[[#This Row],[Date]])</f>
        <v>2025</v>
      </c>
      <c r="D1068" s="79" t="s">
        <v>344</v>
      </c>
      <c r="E1068" s="284">
        <f>Table6[[#This Row],[Date]]-DAY(Table6[[#This Row],[Date]])+1</f>
        <v>45839</v>
      </c>
      <c r="F1068" s="285">
        <v>45840</v>
      </c>
      <c r="G1068" s="79" t="s">
        <v>106</v>
      </c>
      <c r="H1068" s="79" t="str">
        <f>IFERROR(_xlfn.XLOOKUP(Table6[[#This Row],[Affected Feeder ]],'Basic Data'!$A:$A,'Basic Data'!$B:$B),"")</f>
        <v>PWEPL</v>
      </c>
      <c r="I1068" s="79" t="str">
        <f>IFERROR(_xlfn.XLOOKUP(Table6[[#This Row],[Affected Feeder ]],'Basic Data'!$A:$A,'Basic Data'!$C:$C),"")</f>
        <v>MSEDCL</v>
      </c>
      <c r="J1068" s="295">
        <f>IFERROR(_xlfn.XLOOKUP(Table6[[#This Row],[Affected Feeder ]],'Basic Data'!$A:$A,'Basic Data'!$E:$E),"")</f>
        <v>2.2727272727272728E-2</v>
      </c>
      <c r="K1068" s="296" t="s">
        <v>171</v>
      </c>
      <c r="L1068" s="297">
        <v>0.63750000000000007</v>
      </c>
      <c r="M1068" s="297">
        <v>0.63750000000000007</v>
      </c>
      <c r="N1068" s="297">
        <v>0.65138888888888891</v>
      </c>
      <c r="O1068" s="298">
        <f>(Table6[[#This Row],[Work Start TimeStamp]]-Table6[[#This Row],[Fault Start TimeStamp]])*24</f>
        <v>0</v>
      </c>
      <c r="P1068" s="298">
        <f>(Table6[[#This Row],[Fault Clearance time]]-Table6[[#This Row],[Fault Start TimeStamp]])*24</f>
        <v>0.33333333333333215</v>
      </c>
      <c r="Q1068" s="298">
        <f>(Table6[[#This Row],[Fault Clearance time]]-Table6[[#This Row],[Fault Start TimeStamp]])*24</f>
        <v>0.33333333333333215</v>
      </c>
      <c r="R1068" s="79" t="s">
        <v>353</v>
      </c>
      <c r="S1068" s="79" t="s">
        <v>339</v>
      </c>
      <c r="T1068" s="298">
        <f>IFERROR(Table6[[#This Row],[Breakdown Time]]*Table6[[#This Row],[Plant Equivalent Weightage]],"")</f>
        <v>7.5757575757575491E-3</v>
      </c>
      <c r="U1068" s="79" t="s">
        <v>421</v>
      </c>
      <c r="W1068" s="79">
        <v>409</v>
      </c>
    </row>
    <row r="1069" spans="1:23">
      <c r="A1069" s="79">
        <f t="shared" si="16"/>
        <v>1068</v>
      </c>
      <c r="B1069" s="79">
        <f>YEAR(Table6[[#This Row],[Date]])+IF(MONTH(Table6[[#This Row],[Date]])&gt;=4,1,0)</f>
        <v>2026</v>
      </c>
      <c r="C1069" s="79">
        <f>YEAR(Table6[[#This Row],[Date]])</f>
        <v>2025</v>
      </c>
      <c r="D1069" s="79" t="s">
        <v>344</v>
      </c>
      <c r="E1069" s="284">
        <f>Table6[[#This Row],[Date]]-DAY(Table6[[#This Row],[Date]])+1</f>
        <v>45839</v>
      </c>
      <c r="F1069" s="285">
        <v>45840</v>
      </c>
      <c r="G1069" s="79" t="s">
        <v>79</v>
      </c>
      <c r="H1069" s="79" t="str">
        <f>IFERROR(_xlfn.XLOOKUP(Table6[[#This Row],[Affected Feeder ]],'Basic Data'!$A:$A,'Basic Data'!$B:$B),"")</f>
        <v>PWEPL</v>
      </c>
      <c r="I1069" s="79" t="str">
        <f>IFERROR(_xlfn.XLOOKUP(Table6[[#This Row],[Affected Feeder ]],'Basic Data'!$A:$A,'Basic Data'!$C:$C),"")</f>
        <v>MSEDCL</v>
      </c>
      <c r="J1069" s="295">
        <f>IFERROR(_xlfn.XLOOKUP(Table6[[#This Row],[Affected Feeder ]],'Basic Data'!$A:$A,'Basic Data'!$E:$E),"")</f>
        <v>2.2727272727272728E-2</v>
      </c>
      <c r="K1069" s="296" t="s">
        <v>966</v>
      </c>
      <c r="L1069" s="297">
        <v>0.63750000000000007</v>
      </c>
      <c r="M1069" s="297">
        <v>0.63750000000000007</v>
      </c>
      <c r="N1069" s="297">
        <v>0.66805555555555562</v>
      </c>
      <c r="O1069" s="298">
        <f>(Table6[[#This Row],[Work Start TimeStamp]]-Table6[[#This Row],[Fault Start TimeStamp]])*24</f>
        <v>0</v>
      </c>
      <c r="P1069" s="298">
        <f>(Table6[[#This Row],[Fault Clearance time]]-Table6[[#This Row],[Fault Start TimeStamp]])*24</f>
        <v>0.73333333333333339</v>
      </c>
      <c r="Q1069" s="298">
        <f>(Table6[[#This Row],[Fault Clearance time]]-Table6[[#This Row],[Fault Start TimeStamp]])*24</f>
        <v>0.73333333333333339</v>
      </c>
      <c r="R1069" s="79" t="s">
        <v>828</v>
      </c>
      <c r="S1069" s="79" t="s">
        <v>339</v>
      </c>
      <c r="T1069" s="298">
        <f>IFERROR(Table6[[#This Row],[Breakdown Time]]*Table6[[#This Row],[Plant Equivalent Weightage]],"")</f>
        <v>1.666666666666667E-2</v>
      </c>
      <c r="U1069" s="79" t="s">
        <v>421</v>
      </c>
      <c r="W1069" s="79">
        <v>1057</v>
      </c>
    </row>
    <row r="1070" spans="1:23">
      <c r="A1070" s="79">
        <f t="shared" si="16"/>
        <v>1069</v>
      </c>
      <c r="B1070" s="79">
        <f>YEAR(Table6[[#This Row],[Date]])+IF(MONTH(Table6[[#This Row],[Date]])&gt;=4,1,0)</f>
        <v>2026</v>
      </c>
      <c r="C1070" s="79">
        <f>YEAR(Table6[[#This Row],[Date]])</f>
        <v>2025</v>
      </c>
      <c r="D1070" s="79" t="s">
        <v>344</v>
      </c>
      <c r="E1070" s="284">
        <f>Table6[[#This Row],[Date]]-DAY(Table6[[#This Row],[Date]])+1</f>
        <v>45839</v>
      </c>
      <c r="F1070" s="285">
        <v>45840</v>
      </c>
      <c r="G1070" s="79" t="s">
        <v>79</v>
      </c>
      <c r="H1070" s="79" t="str">
        <f>IFERROR(_xlfn.XLOOKUP(Table6[[#This Row],[Affected Feeder ]],'Basic Data'!$A:$A,'Basic Data'!$B:$B),"")</f>
        <v>PWEPL</v>
      </c>
      <c r="I1070" s="79" t="str">
        <f>IFERROR(_xlfn.XLOOKUP(Table6[[#This Row],[Affected Feeder ]],'Basic Data'!$A:$A,'Basic Data'!$C:$C),"")</f>
        <v>MSEDCL</v>
      </c>
      <c r="J1070" s="295">
        <f>IFERROR(_xlfn.XLOOKUP(Table6[[#This Row],[Affected Feeder ]],'Basic Data'!$A:$A,'Basic Data'!$E:$E),"")</f>
        <v>2.2727272727272728E-2</v>
      </c>
      <c r="K1070" s="296" t="s">
        <v>171</v>
      </c>
      <c r="L1070" s="297">
        <v>0.66805555555555562</v>
      </c>
      <c r="M1070" s="297">
        <v>0.66805555555555562</v>
      </c>
      <c r="N1070" s="297">
        <v>0.68125000000000002</v>
      </c>
      <c r="O1070" s="298">
        <f>(Table6[[#This Row],[Work Start TimeStamp]]-Table6[[#This Row],[Fault Start TimeStamp]])*24</f>
        <v>0</v>
      </c>
      <c r="P1070" s="298">
        <f>(Table6[[#This Row],[Fault Clearance time]]-Table6[[#This Row],[Fault Start TimeStamp]])*24</f>
        <v>0.31666666666666554</v>
      </c>
      <c r="Q1070" s="298">
        <f>(Table6[[#This Row],[Fault Clearance time]]-Table6[[#This Row],[Fault Start TimeStamp]])*24</f>
        <v>0.31666666666666554</v>
      </c>
      <c r="R1070" s="79" t="s">
        <v>353</v>
      </c>
      <c r="S1070" s="79" t="s">
        <v>339</v>
      </c>
      <c r="T1070" s="298">
        <f>IFERROR(Table6[[#This Row],[Breakdown Time]]*Table6[[#This Row],[Plant Equivalent Weightage]],"")</f>
        <v>7.1969696969696713E-3</v>
      </c>
      <c r="U1070" s="79" t="s">
        <v>421</v>
      </c>
      <c r="W1070" s="79">
        <v>310</v>
      </c>
    </row>
    <row r="1071" spans="1:23">
      <c r="A1071" s="79">
        <f t="shared" si="16"/>
        <v>1070</v>
      </c>
      <c r="B1071" s="79">
        <f>YEAR(Table6[[#This Row],[Date]])+IF(MONTH(Table6[[#This Row],[Date]])&gt;=4,1,0)</f>
        <v>2026</v>
      </c>
      <c r="C1071" s="79">
        <f>YEAR(Table6[[#This Row],[Date]])</f>
        <v>2025</v>
      </c>
      <c r="D1071" s="79" t="s">
        <v>344</v>
      </c>
      <c r="E1071" s="284">
        <f>Table6[[#This Row],[Date]]-DAY(Table6[[#This Row],[Date]])+1</f>
        <v>45839</v>
      </c>
      <c r="F1071" s="285">
        <v>45840</v>
      </c>
      <c r="G1071" s="79" t="s">
        <v>96</v>
      </c>
      <c r="H1071" s="79" t="str">
        <f>IFERROR(_xlfn.XLOOKUP(Table6[[#This Row],[Affected Feeder ]],'Basic Data'!$A:$A,'Basic Data'!$B:$B),"")</f>
        <v>PWEPL</v>
      </c>
      <c r="I1071" s="79" t="str">
        <f>IFERROR(_xlfn.XLOOKUP(Table6[[#This Row],[Affected Feeder ]],'Basic Data'!$A:$A,'Basic Data'!$C:$C),"")</f>
        <v>MSEDCL</v>
      </c>
      <c r="J1071" s="295">
        <f>IFERROR(_xlfn.XLOOKUP(Table6[[#This Row],[Affected Feeder ]],'Basic Data'!$A:$A,'Basic Data'!$E:$E),"")</f>
        <v>2.2727272727272728E-2</v>
      </c>
      <c r="K1071" s="296" t="s">
        <v>966</v>
      </c>
      <c r="L1071" s="297">
        <v>0.63750000000000007</v>
      </c>
      <c r="M1071" s="297">
        <v>0.63750000000000007</v>
      </c>
      <c r="N1071" s="297">
        <v>0.66805555555555562</v>
      </c>
      <c r="O1071" s="298">
        <f>(Table6[[#This Row],[Work Start TimeStamp]]-Table6[[#This Row],[Fault Start TimeStamp]])*24</f>
        <v>0</v>
      </c>
      <c r="P1071" s="298">
        <f>(Table6[[#This Row],[Fault Clearance time]]-Table6[[#This Row],[Fault Start TimeStamp]])*24</f>
        <v>0.73333333333333339</v>
      </c>
      <c r="Q1071" s="298">
        <f>(Table6[[#This Row],[Fault Clearance time]]-Table6[[#This Row],[Fault Start TimeStamp]])*24</f>
        <v>0.73333333333333339</v>
      </c>
      <c r="R1071" s="79" t="s">
        <v>828</v>
      </c>
      <c r="S1071" s="79" t="s">
        <v>339</v>
      </c>
      <c r="T1071" s="298">
        <f>IFERROR(Table6[[#This Row],[Breakdown Time]]*Table6[[#This Row],[Plant Equivalent Weightage]],"")</f>
        <v>1.666666666666667E-2</v>
      </c>
      <c r="U1071" s="79" t="s">
        <v>421</v>
      </c>
      <c r="W1071" s="79">
        <v>1057</v>
      </c>
    </row>
    <row r="1072" spans="1:23">
      <c r="A1072" s="79">
        <f t="shared" si="16"/>
        <v>1071</v>
      </c>
      <c r="B1072" s="79">
        <f>YEAR(Table6[[#This Row],[Date]])+IF(MONTH(Table6[[#This Row],[Date]])&gt;=4,1,0)</f>
        <v>2026</v>
      </c>
      <c r="C1072" s="79">
        <f>YEAR(Table6[[#This Row],[Date]])</f>
        <v>2025</v>
      </c>
      <c r="D1072" s="79" t="s">
        <v>344</v>
      </c>
      <c r="E1072" s="284">
        <f>Table6[[#This Row],[Date]]-DAY(Table6[[#This Row],[Date]])+1</f>
        <v>45839</v>
      </c>
      <c r="F1072" s="285">
        <v>45840</v>
      </c>
      <c r="G1072" s="79" t="s">
        <v>96</v>
      </c>
      <c r="H1072" s="79" t="str">
        <f>IFERROR(_xlfn.XLOOKUP(Table6[[#This Row],[Affected Feeder ]],'Basic Data'!$A:$A,'Basic Data'!$B:$B),"")</f>
        <v>PWEPL</v>
      </c>
      <c r="I1072" s="79" t="str">
        <f>IFERROR(_xlfn.XLOOKUP(Table6[[#This Row],[Affected Feeder ]],'Basic Data'!$A:$A,'Basic Data'!$C:$C),"")</f>
        <v>MSEDCL</v>
      </c>
      <c r="J1072" s="295">
        <f>IFERROR(_xlfn.XLOOKUP(Table6[[#This Row],[Affected Feeder ]],'Basic Data'!$A:$A,'Basic Data'!$E:$E),"")</f>
        <v>2.2727272727272728E-2</v>
      </c>
      <c r="K1072" s="296" t="s">
        <v>171</v>
      </c>
      <c r="L1072" s="297">
        <v>0.66805555555555562</v>
      </c>
      <c r="M1072" s="297">
        <v>0.66805555555555562</v>
      </c>
      <c r="N1072" s="297">
        <v>0.68194444444444446</v>
      </c>
      <c r="O1072" s="298">
        <f>(Table6[[#This Row],[Work Start TimeStamp]]-Table6[[#This Row],[Fault Start TimeStamp]])*24</f>
        <v>0</v>
      </c>
      <c r="P1072" s="298">
        <f>(Table6[[#This Row],[Fault Clearance time]]-Table6[[#This Row],[Fault Start TimeStamp]])*24</f>
        <v>0.33333333333333215</v>
      </c>
      <c r="Q1072" s="298">
        <f>(Table6[[#This Row],[Fault Clearance time]]-Table6[[#This Row],[Fault Start TimeStamp]])*24</f>
        <v>0.33333333333333215</v>
      </c>
      <c r="R1072" s="79" t="s">
        <v>353</v>
      </c>
      <c r="S1072" s="79" t="s">
        <v>339</v>
      </c>
      <c r="T1072" s="298">
        <f>IFERROR(Table6[[#This Row],[Breakdown Time]]*Table6[[#This Row],[Plant Equivalent Weightage]],"")</f>
        <v>7.5757575757575491E-3</v>
      </c>
      <c r="U1072" s="79" t="s">
        <v>421</v>
      </c>
      <c r="W1072" s="79">
        <v>310</v>
      </c>
    </row>
    <row r="1073" spans="1:23">
      <c r="A1073" s="79">
        <f t="shared" si="16"/>
        <v>1072</v>
      </c>
      <c r="B1073" s="79">
        <f>YEAR(Table6[[#This Row],[Date]])+IF(MONTH(Table6[[#This Row],[Date]])&gt;=4,1,0)</f>
        <v>2026</v>
      </c>
      <c r="C1073" s="79">
        <f>YEAR(Table6[[#This Row],[Date]])</f>
        <v>2025</v>
      </c>
      <c r="D1073" s="79" t="s">
        <v>344</v>
      </c>
      <c r="E1073" s="284">
        <f>Table6[[#This Row],[Date]]-DAY(Table6[[#This Row],[Date]])+1</f>
        <v>45839</v>
      </c>
      <c r="F1073" s="285">
        <v>45840</v>
      </c>
      <c r="G1073" s="79" t="s">
        <v>97</v>
      </c>
      <c r="H1073" s="79" t="str">
        <f>IFERROR(_xlfn.XLOOKUP(Table6[[#This Row],[Affected Feeder ]],'Basic Data'!$A:$A,'Basic Data'!$B:$B),"")</f>
        <v>PWEPL</v>
      </c>
      <c r="I1073" s="79" t="str">
        <f>IFERROR(_xlfn.XLOOKUP(Table6[[#This Row],[Affected Feeder ]],'Basic Data'!$A:$A,'Basic Data'!$C:$C),"")</f>
        <v>MSEDCL</v>
      </c>
      <c r="J1073" s="295">
        <f>IFERROR(_xlfn.XLOOKUP(Table6[[#This Row],[Affected Feeder ]],'Basic Data'!$A:$A,'Basic Data'!$E:$E),"")</f>
        <v>2.2727272727272728E-2</v>
      </c>
      <c r="K1073" s="296" t="s">
        <v>966</v>
      </c>
      <c r="L1073" s="297">
        <v>0.63750000000000007</v>
      </c>
      <c r="M1073" s="297">
        <v>0.63750000000000007</v>
      </c>
      <c r="N1073" s="297">
        <v>0.66805555555555562</v>
      </c>
      <c r="O1073" s="298">
        <f>(Table6[[#This Row],[Work Start TimeStamp]]-Table6[[#This Row],[Fault Start TimeStamp]])*24</f>
        <v>0</v>
      </c>
      <c r="P1073" s="298">
        <f>(Table6[[#This Row],[Fault Clearance time]]-Table6[[#This Row],[Fault Start TimeStamp]])*24</f>
        <v>0.73333333333333339</v>
      </c>
      <c r="Q1073" s="298">
        <f>(Table6[[#This Row],[Fault Clearance time]]-Table6[[#This Row],[Fault Start TimeStamp]])*24</f>
        <v>0.73333333333333339</v>
      </c>
      <c r="R1073" s="79" t="s">
        <v>828</v>
      </c>
      <c r="S1073" s="79" t="s">
        <v>339</v>
      </c>
      <c r="T1073" s="298">
        <f>IFERROR(Table6[[#This Row],[Breakdown Time]]*Table6[[#This Row],[Plant Equivalent Weightage]],"")</f>
        <v>1.666666666666667E-2</v>
      </c>
      <c r="U1073" s="79" t="s">
        <v>421</v>
      </c>
      <c r="W1073" s="79">
        <v>1057</v>
      </c>
    </row>
    <row r="1074" spans="1:23">
      <c r="A1074" s="79">
        <f t="shared" si="16"/>
        <v>1073</v>
      </c>
      <c r="B1074" s="79">
        <f>YEAR(Table6[[#This Row],[Date]])+IF(MONTH(Table6[[#This Row],[Date]])&gt;=4,1,0)</f>
        <v>2026</v>
      </c>
      <c r="C1074" s="79">
        <f>YEAR(Table6[[#This Row],[Date]])</f>
        <v>2025</v>
      </c>
      <c r="D1074" s="79" t="s">
        <v>344</v>
      </c>
      <c r="E1074" s="284">
        <f>Table6[[#This Row],[Date]]-DAY(Table6[[#This Row],[Date]])+1</f>
        <v>45839</v>
      </c>
      <c r="F1074" s="285">
        <v>45840</v>
      </c>
      <c r="G1074" s="79" t="s">
        <v>97</v>
      </c>
      <c r="H1074" s="79" t="str">
        <f>IFERROR(_xlfn.XLOOKUP(Table6[[#This Row],[Affected Feeder ]],'Basic Data'!$A:$A,'Basic Data'!$B:$B),"")</f>
        <v>PWEPL</v>
      </c>
      <c r="I1074" s="79" t="str">
        <f>IFERROR(_xlfn.XLOOKUP(Table6[[#This Row],[Affected Feeder ]],'Basic Data'!$A:$A,'Basic Data'!$C:$C),"")</f>
        <v>MSEDCL</v>
      </c>
      <c r="J1074" s="295">
        <f>IFERROR(_xlfn.XLOOKUP(Table6[[#This Row],[Affected Feeder ]],'Basic Data'!$A:$A,'Basic Data'!$E:$E),"")</f>
        <v>2.2727272727272728E-2</v>
      </c>
      <c r="K1074" s="296" t="s">
        <v>171</v>
      </c>
      <c r="L1074" s="297">
        <v>0.66805555555555562</v>
      </c>
      <c r="M1074" s="297">
        <v>0.66805555555555562</v>
      </c>
      <c r="N1074" s="297">
        <v>0.68194444444444446</v>
      </c>
      <c r="O1074" s="298">
        <f>(Table6[[#This Row],[Work Start TimeStamp]]-Table6[[#This Row],[Fault Start TimeStamp]])*24</f>
        <v>0</v>
      </c>
      <c r="P1074" s="298">
        <f>(Table6[[#This Row],[Fault Clearance time]]-Table6[[#This Row],[Fault Start TimeStamp]])*24</f>
        <v>0.33333333333333215</v>
      </c>
      <c r="Q1074" s="298">
        <f>(Table6[[#This Row],[Fault Clearance time]]-Table6[[#This Row],[Fault Start TimeStamp]])*24</f>
        <v>0.33333333333333215</v>
      </c>
      <c r="R1074" s="79" t="s">
        <v>353</v>
      </c>
      <c r="S1074" s="79" t="s">
        <v>339</v>
      </c>
      <c r="T1074" s="298">
        <f>IFERROR(Table6[[#This Row],[Breakdown Time]]*Table6[[#This Row],[Plant Equivalent Weightage]],"")</f>
        <v>7.5757575757575491E-3</v>
      </c>
      <c r="U1074" s="79" t="s">
        <v>421</v>
      </c>
      <c r="W1074" s="79">
        <v>310</v>
      </c>
    </row>
    <row r="1075" spans="1:23">
      <c r="A1075" s="79">
        <f t="shared" si="16"/>
        <v>1074</v>
      </c>
      <c r="B1075" s="79">
        <f>YEAR(Table6[[#This Row],[Date]])+IF(MONTH(Table6[[#This Row],[Date]])&gt;=4,1,0)</f>
        <v>2026</v>
      </c>
      <c r="C1075" s="79">
        <f>YEAR(Table6[[#This Row],[Date]])</f>
        <v>2025</v>
      </c>
      <c r="D1075" s="79" t="s">
        <v>344</v>
      </c>
      <c r="E1075" s="284">
        <f>Table6[[#This Row],[Date]]-DAY(Table6[[#This Row],[Date]])+1</f>
        <v>45839</v>
      </c>
      <c r="F1075" s="285">
        <v>45840</v>
      </c>
      <c r="G1075" s="79" t="s">
        <v>104</v>
      </c>
      <c r="H1075" s="79" t="str">
        <f>IFERROR(_xlfn.XLOOKUP(Table6[[#This Row],[Affected Feeder ]],'Basic Data'!$A:$A,'Basic Data'!$B:$B),"")</f>
        <v>PWEPL</v>
      </c>
      <c r="I1075" s="79" t="str">
        <f>IFERROR(_xlfn.XLOOKUP(Table6[[#This Row],[Affected Feeder ]],'Basic Data'!$A:$A,'Basic Data'!$C:$C),"")</f>
        <v>MSEDCL</v>
      </c>
      <c r="J1075" s="295">
        <f>IFERROR(_xlfn.XLOOKUP(Table6[[#This Row],[Affected Feeder ]],'Basic Data'!$A:$A,'Basic Data'!$E:$E),"")</f>
        <v>2.2727272727272728E-2</v>
      </c>
      <c r="K1075" s="296" t="s">
        <v>966</v>
      </c>
      <c r="L1075" s="297">
        <v>0.63750000000000007</v>
      </c>
      <c r="M1075" s="297">
        <v>0.63750000000000007</v>
      </c>
      <c r="N1075" s="297">
        <v>0.66805555555555562</v>
      </c>
      <c r="O1075" s="298">
        <f>(Table6[[#This Row],[Work Start TimeStamp]]-Table6[[#This Row],[Fault Start TimeStamp]])*24</f>
        <v>0</v>
      </c>
      <c r="P1075" s="298">
        <f>(Table6[[#This Row],[Fault Clearance time]]-Table6[[#This Row],[Fault Start TimeStamp]])*24</f>
        <v>0.73333333333333339</v>
      </c>
      <c r="Q1075" s="298">
        <f>(Table6[[#This Row],[Fault Clearance time]]-Table6[[#This Row],[Fault Start TimeStamp]])*24</f>
        <v>0.73333333333333339</v>
      </c>
      <c r="R1075" s="79" t="s">
        <v>828</v>
      </c>
      <c r="S1075" s="79" t="s">
        <v>339</v>
      </c>
      <c r="T1075" s="298">
        <f>IFERROR(Table6[[#This Row],[Breakdown Time]]*Table6[[#This Row],[Plant Equivalent Weightage]],"")</f>
        <v>1.666666666666667E-2</v>
      </c>
      <c r="U1075" s="79" t="s">
        <v>421</v>
      </c>
      <c r="W1075" s="79">
        <v>1057</v>
      </c>
    </row>
    <row r="1076" spans="1:23">
      <c r="A1076" s="79">
        <f t="shared" si="16"/>
        <v>1075</v>
      </c>
      <c r="B1076" s="79">
        <f>YEAR(Table6[[#This Row],[Date]])+IF(MONTH(Table6[[#This Row],[Date]])&gt;=4,1,0)</f>
        <v>2026</v>
      </c>
      <c r="C1076" s="79">
        <f>YEAR(Table6[[#This Row],[Date]])</f>
        <v>2025</v>
      </c>
      <c r="D1076" s="79" t="s">
        <v>344</v>
      </c>
      <c r="E1076" s="284">
        <f>Table6[[#This Row],[Date]]-DAY(Table6[[#This Row],[Date]])+1</f>
        <v>45839</v>
      </c>
      <c r="F1076" s="285">
        <v>45840</v>
      </c>
      <c r="G1076" s="79" t="s">
        <v>104</v>
      </c>
      <c r="H1076" s="79" t="str">
        <f>IFERROR(_xlfn.XLOOKUP(Table6[[#This Row],[Affected Feeder ]],'Basic Data'!$A:$A,'Basic Data'!$B:$B),"")</f>
        <v>PWEPL</v>
      </c>
      <c r="I1076" s="79" t="str">
        <f>IFERROR(_xlfn.XLOOKUP(Table6[[#This Row],[Affected Feeder ]],'Basic Data'!$A:$A,'Basic Data'!$C:$C),"")</f>
        <v>MSEDCL</v>
      </c>
      <c r="J1076" s="295">
        <f>IFERROR(_xlfn.XLOOKUP(Table6[[#This Row],[Affected Feeder ]],'Basic Data'!$A:$A,'Basic Data'!$E:$E),"")</f>
        <v>2.2727272727272728E-2</v>
      </c>
      <c r="K1076" s="296" t="s">
        <v>171</v>
      </c>
      <c r="L1076" s="297">
        <v>0.66805555555555562</v>
      </c>
      <c r="M1076" s="297">
        <v>0.66805555555555562</v>
      </c>
      <c r="N1076" s="297">
        <v>0.68194444444444446</v>
      </c>
      <c r="O1076" s="298">
        <f>(Table6[[#This Row],[Work Start TimeStamp]]-Table6[[#This Row],[Fault Start TimeStamp]])*24</f>
        <v>0</v>
      </c>
      <c r="P1076" s="298">
        <f>(Table6[[#This Row],[Fault Clearance time]]-Table6[[#This Row],[Fault Start TimeStamp]])*24</f>
        <v>0.33333333333333215</v>
      </c>
      <c r="Q1076" s="298">
        <f>(Table6[[#This Row],[Fault Clearance time]]-Table6[[#This Row],[Fault Start TimeStamp]])*24</f>
        <v>0.33333333333333215</v>
      </c>
      <c r="R1076" s="79" t="s">
        <v>353</v>
      </c>
      <c r="S1076" s="79" t="s">
        <v>339</v>
      </c>
      <c r="T1076" s="298">
        <f>IFERROR(Table6[[#This Row],[Breakdown Time]]*Table6[[#This Row],[Plant Equivalent Weightage]],"")</f>
        <v>7.5757575757575491E-3</v>
      </c>
      <c r="U1076" s="79" t="s">
        <v>421</v>
      </c>
      <c r="W1076" s="79">
        <v>310</v>
      </c>
    </row>
    <row r="1077" spans="1:23">
      <c r="A1077" s="79">
        <f t="shared" si="16"/>
        <v>1076</v>
      </c>
      <c r="B1077" s="79">
        <f>YEAR(Table6[[#This Row],[Date]])+IF(MONTH(Table6[[#This Row],[Date]])&gt;=4,1,0)</f>
        <v>2026</v>
      </c>
      <c r="C1077" s="79">
        <f>YEAR(Table6[[#This Row],[Date]])</f>
        <v>2025</v>
      </c>
      <c r="D1077" s="79" t="s">
        <v>344</v>
      </c>
      <c r="E1077" s="284">
        <f>Table6[[#This Row],[Date]]-DAY(Table6[[#This Row],[Date]])+1</f>
        <v>45839</v>
      </c>
      <c r="F1077" s="285">
        <v>45840</v>
      </c>
      <c r="G1077" s="79" t="s">
        <v>110</v>
      </c>
      <c r="H1077" s="79" t="str">
        <f>IFERROR(_xlfn.XLOOKUP(Table6[[#This Row],[Affected Feeder ]],'Basic Data'!$A:$A,'Basic Data'!$B:$B),"")</f>
        <v>PWEPL</v>
      </c>
      <c r="I1077" s="79" t="str">
        <f>IFERROR(_xlfn.XLOOKUP(Table6[[#This Row],[Affected Feeder ]],'Basic Data'!$A:$A,'Basic Data'!$C:$C),"")</f>
        <v>MSEDCL</v>
      </c>
      <c r="J1077" s="295">
        <f>IFERROR(_xlfn.XLOOKUP(Table6[[#This Row],[Affected Feeder ]],'Basic Data'!$A:$A,'Basic Data'!$E:$E),"")</f>
        <v>2.2727272727272728E-2</v>
      </c>
      <c r="K1077" s="296" t="s">
        <v>966</v>
      </c>
      <c r="L1077" s="297">
        <v>0.63750000000000007</v>
      </c>
      <c r="M1077" s="297">
        <v>0.63750000000000007</v>
      </c>
      <c r="N1077" s="297">
        <v>0.66805555555555562</v>
      </c>
      <c r="O1077" s="298">
        <f>(Table6[[#This Row],[Work Start TimeStamp]]-Table6[[#This Row],[Fault Start TimeStamp]])*24</f>
        <v>0</v>
      </c>
      <c r="P1077" s="298">
        <f>(Table6[[#This Row],[Fault Clearance time]]-Table6[[#This Row],[Fault Start TimeStamp]])*24</f>
        <v>0.73333333333333339</v>
      </c>
      <c r="Q1077" s="298">
        <f>(Table6[[#This Row],[Fault Clearance time]]-Table6[[#This Row],[Fault Start TimeStamp]])*24</f>
        <v>0.73333333333333339</v>
      </c>
      <c r="R1077" s="79" t="s">
        <v>828</v>
      </c>
      <c r="S1077" s="79" t="s">
        <v>339</v>
      </c>
      <c r="T1077" s="298">
        <f>IFERROR(Table6[[#This Row],[Breakdown Time]]*Table6[[#This Row],[Plant Equivalent Weightage]],"")</f>
        <v>1.666666666666667E-2</v>
      </c>
      <c r="U1077" s="79" t="s">
        <v>421</v>
      </c>
      <c r="W1077" s="79">
        <v>1057</v>
      </c>
    </row>
    <row r="1078" spans="1:23">
      <c r="A1078" s="79">
        <f t="shared" si="16"/>
        <v>1077</v>
      </c>
      <c r="B1078" s="79">
        <f>YEAR(Table6[[#This Row],[Date]])+IF(MONTH(Table6[[#This Row],[Date]])&gt;=4,1,0)</f>
        <v>2026</v>
      </c>
      <c r="C1078" s="79">
        <f>YEAR(Table6[[#This Row],[Date]])</f>
        <v>2025</v>
      </c>
      <c r="D1078" s="79" t="s">
        <v>344</v>
      </c>
      <c r="E1078" s="284">
        <f>Table6[[#This Row],[Date]]-DAY(Table6[[#This Row],[Date]])+1</f>
        <v>45839</v>
      </c>
      <c r="F1078" s="285">
        <v>45840</v>
      </c>
      <c r="G1078" s="79" t="s">
        <v>110</v>
      </c>
      <c r="H1078" s="79" t="str">
        <f>IFERROR(_xlfn.XLOOKUP(Table6[[#This Row],[Affected Feeder ]],'Basic Data'!$A:$A,'Basic Data'!$B:$B),"")</f>
        <v>PWEPL</v>
      </c>
      <c r="I1078" s="79" t="str">
        <f>IFERROR(_xlfn.XLOOKUP(Table6[[#This Row],[Affected Feeder ]],'Basic Data'!$A:$A,'Basic Data'!$C:$C),"")</f>
        <v>MSEDCL</v>
      </c>
      <c r="J1078" s="295">
        <f>IFERROR(_xlfn.XLOOKUP(Table6[[#This Row],[Affected Feeder ]],'Basic Data'!$A:$A,'Basic Data'!$E:$E),"")</f>
        <v>2.2727272727272728E-2</v>
      </c>
      <c r="K1078" s="296" t="s">
        <v>171</v>
      </c>
      <c r="L1078" s="297">
        <v>0.66805555555555562</v>
      </c>
      <c r="M1078" s="297">
        <v>0.66805555555555562</v>
      </c>
      <c r="N1078" s="297">
        <v>0.68194444444444446</v>
      </c>
      <c r="O1078" s="298">
        <f>(Table6[[#This Row],[Work Start TimeStamp]]-Table6[[#This Row],[Fault Start TimeStamp]])*24</f>
        <v>0</v>
      </c>
      <c r="P1078" s="298">
        <f>(Table6[[#This Row],[Fault Clearance time]]-Table6[[#This Row],[Fault Start TimeStamp]])*24</f>
        <v>0.33333333333333215</v>
      </c>
      <c r="Q1078" s="298">
        <f>(Table6[[#This Row],[Fault Clearance time]]-Table6[[#This Row],[Fault Start TimeStamp]])*24</f>
        <v>0.33333333333333215</v>
      </c>
      <c r="R1078" s="79" t="s">
        <v>353</v>
      </c>
      <c r="S1078" s="79" t="s">
        <v>339</v>
      </c>
      <c r="T1078" s="298">
        <f>IFERROR(Table6[[#This Row],[Breakdown Time]]*Table6[[#This Row],[Plant Equivalent Weightage]],"")</f>
        <v>7.5757575757575491E-3</v>
      </c>
      <c r="U1078" s="79" t="s">
        <v>421</v>
      </c>
      <c r="W1078" s="79">
        <v>310</v>
      </c>
    </row>
    <row r="1079" spans="1:23">
      <c r="A1079" s="79">
        <f t="shared" si="16"/>
        <v>1078</v>
      </c>
      <c r="B1079" s="79">
        <f>YEAR(Table6[[#This Row],[Date]])+IF(MONTH(Table6[[#This Row],[Date]])&gt;=4,1,0)</f>
        <v>2026</v>
      </c>
      <c r="C1079" s="79">
        <f>YEAR(Table6[[#This Row],[Date]])</f>
        <v>2025</v>
      </c>
      <c r="D1079" s="79" t="s">
        <v>344</v>
      </c>
      <c r="E1079" s="284">
        <f>Table6[[#This Row],[Date]]-DAY(Table6[[#This Row],[Date]])+1</f>
        <v>45839</v>
      </c>
      <c r="F1079" s="285">
        <v>45841</v>
      </c>
      <c r="G1079" s="79" t="s">
        <v>109</v>
      </c>
      <c r="H1079" s="79" t="str">
        <f>IFERROR(_xlfn.XLOOKUP(Table6[[#This Row],[Affected Feeder ]],'Basic Data'!$A:$A,'Basic Data'!$B:$B),"")</f>
        <v>PWEPL</v>
      </c>
      <c r="I1079" s="79" t="str">
        <f>IFERROR(_xlfn.XLOOKUP(Table6[[#This Row],[Affected Feeder ]],'Basic Data'!$A:$A,'Basic Data'!$C:$C),"")</f>
        <v>MSEDCL</v>
      </c>
      <c r="J1079" s="295">
        <f>IFERROR(_xlfn.XLOOKUP(Table6[[#This Row],[Affected Feeder ]],'Basic Data'!$A:$A,'Basic Data'!$E:$E),"")</f>
        <v>2.2727272727272728E-2</v>
      </c>
      <c r="K1079" s="296" t="s">
        <v>796</v>
      </c>
      <c r="L1079" s="297">
        <v>0.40763888888888888</v>
      </c>
      <c r="M1079" s="297">
        <v>0.40763888888888888</v>
      </c>
      <c r="N1079" s="297">
        <v>0.4381944444444445</v>
      </c>
      <c r="O1079" s="298">
        <f>(Table6[[#This Row],[Work Start TimeStamp]]-Table6[[#This Row],[Fault Start TimeStamp]])*24</f>
        <v>0</v>
      </c>
      <c r="P1079" s="298">
        <f>(Table6[[#This Row],[Fault Clearance time]]-Table6[[#This Row],[Fault Start TimeStamp]])*24</f>
        <v>0.73333333333333472</v>
      </c>
      <c r="Q1079" s="298">
        <f>(Table6[[#This Row],[Fault Clearance time]]-Table6[[#This Row],[Fault Start TimeStamp]])*24</f>
        <v>0.73333333333333472</v>
      </c>
      <c r="R1079" s="79" t="s">
        <v>424</v>
      </c>
      <c r="S1079" s="79" t="s">
        <v>339</v>
      </c>
      <c r="T1079" s="298">
        <f>IFERROR(Table6[[#This Row],[Breakdown Time]]*Table6[[#This Row],[Plant Equivalent Weightage]],"")</f>
        <v>1.6666666666666698E-2</v>
      </c>
      <c r="U1079" s="79" t="s">
        <v>421</v>
      </c>
      <c r="W1079" s="79">
        <v>1375</v>
      </c>
    </row>
    <row r="1080" spans="1:23">
      <c r="A1080" s="79">
        <f t="shared" si="16"/>
        <v>1079</v>
      </c>
      <c r="B1080" s="79">
        <f>YEAR(Table6[[#This Row],[Date]])+IF(MONTH(Table6[[#This Row],[Date]])&gt;=4,1,0)</f>
        <v>2026</v>
      </c>
      <c r="C1080" s="79">
        <f>YEAR(Table6[[#This Row],[Date]])</f>
        <v>2025</v>
      </c>
      <c r="D1080" s="79" t="s">
        <v>344</v>
      </c>
      <c r="E1080" s="284">
        <f>Table6[[#This Row],[Date]]-DAY(Table6[[#This Row],[Date]])+1</f>
        <v>45839</v>
      </c>
      <c r="F1080" s="285">
        <v>45841</v>
      </c>
      <c r="G1080" s="79" t="s">
        <v>109</v>
      </c>
      <c r="H1080" s="79" t="str">
        <f>IFERROR(_xlfn.XLOOKUP(Table6[[#This Row],[Affected Feeder ]],'Basic Data'!$A:$A,'Basic Data'!$B:$B),"")</f>
        <v>PWEPL</v>
      </c>
      <c r="I1080" s="79" t="str">
        <f>IFERROR(_xlfn.XLOOKUP(Table6[[#This Row],[Affected Feeder ]],'Basic Data'!$A:$A,'Basic Data'!$C:$C),"")</f>
        <v>MSEDCL</v>
      </c>
      <c r="J1080" s="295">
        <f>IFERROR(_xlfn.XLOOKUP(Table6[[#This Row],[Affected Feeder ]],'Basic Data'!$A:$A,'Basic Data'!$E:$E),"")</f>
        <v>2.2727272727272728E-2</v>
      </c>
      <c r="K1080" s="296" t="s">
        <v>171</v>
      </c>
      <c r="L1080" s="297">
        <v>0.4381944444444445</v>
      </c>
      <c r="M1080" s="297">
        <v>0.4381944444444445</v>
      </c>
      <c r="N1080" s="297">
        <v>0.45208333333333334</v>
      </c>
      <c r="O1080" s="298">
        <f>(Table6[[#This Row],[Work Start TimeStamp]]-Table6[[#This Row],[Fault Start TimeStamp]])*24</f>
        <v>0</v>
      </c>
      <c r="P1080" s="298">
        <f>(Table6[[#This Row],[Fault Clearance time]]-Table6[[#This Row],[Fault Start TimeStamp]])*24</f>
        <v>0.33333333333333215</v>
      </c>
      <c r="Q1080" s="298">
        <f>(Table6[[#This Row],[Fault Clearance time]]-Table6[[#This Row],[Fault Start TimeStamp]])*24</f>
        <v>0.33333333333333215</v>
      </c>
      <c r="R1080" s="79" t="s">
        <v>353</v>
      </c>
      <c r="S1080" s="79" t="s">
        <v>339</v>
      </c>
      <c r="T1080" s="298">
        <f>IFERROR(Table6[[#This Row],[Breakdown Time]]*Table6[[#This Row],[Plant Equivalent Weightage]],"")</f>
        <v>7.5757575757575491E-3</v>
      </c>
      <c r="U1080" s="79" t="s">
        <v>421</v>
      </c>
      <c r="W1080" s="79">
        <v>625</v>
      </c>
    </row>
    <row r="1081" spans="1:23">
      <c r="A1081" s="79">
        <f t="shared" si="16"/>
        <v>1080</v>
      </c>
      <c r="B1081" s="79">
        <f>YEAR(Table6[[#This Row],[Date]])+IF(MONTH(Table6[[#This Row],[Date]])&gt;=4,1,0)</f>
        <v>2026</v>
      </c>
      <c r="C1081" s="79">
        <f>YEAR(Table6[[#This Row],[Date]])</f>
        <v>2025</v>
      </c>
      <c r="D1081" s="79" t="s">
        <v>344</v>
      </c>
      <c r="E1081" s="284">
        <f>Table6[[#This Row],[Date]]-DAY(Table6[[#This Row],[Date]])+1</f>
        <v>45839</v>
      </c>
      <c r="F1081" s="285">
        <v>45841</v>
      </c>
      <c r="G1081" s="79" t="s">
        <v>90</v>
      </c>
      <c r="H1081" s="79" t="str">
        <f>IFERROR(_xlfn.XLOOKUP(Table6[[#This Row],[Affected Feeder ]],'Basic Data'!$A:$A,'Basic Data'!$B:$B),"")</f>
        <v>PWEPL</v>
      </c>
      <c r="I1081" s="79" t="str">
        <f>IFERROR(_xlfn.XLOOKUP(Table6[[#This Row],[Affected Feeder ]],'Basic Data'!$A:$A,'Basic Data'!$C:$C),"")</f>
        <v>MSEDCL</v>
      </c>
      <c r="J1081" s="295">
        <f>IFERROR(_xlfn.XLOOKUP(Table6[[#This Row],[Affected Feeder ]],'Basic Data'!$A:$A,'Basic Data'!$E:$E),"")</f>
        <v>2.2727272727272728E-2</v>
      </c>
      <c r="K1081" s="296" t="s">
        <v>796</v>
      </c>
      <c r="L1081" s="297">
        <v>0.50347222222222221</v>
      </c>
      <c r="M1081" s="297">
        <v>0.50347222222222221</v>
      </c>
      <c r="N1081" s="297">
        <v>0.51736111111111105</v>
      </c>
      <c r="O1081" s="298">
        <f>(Table6[[#This Row],[Work Start TimeStamp]]-Table6[[#This Row],[Fault Start TimeStamp]])*24</f>
        <v>0</v>
      </c>
      <c r="P1081" s="298">
        <f>(Table6[[#This Row],[Fault Clearance time]]-Table6[[#This Row],[Fault Start TimeStamp]])*24</f>
        <v>0.33333333333333215</v>
      </c>
      <c r="Q1081" s="298">
        <f>(Table6[[#This Row],[Fault Clearance time]]-Table6[[#This Row],[Fault Start TimeStamp]])*24</f>
        <v>0.33333333333333215</v>
      </c>
      <c r="R1081" s="79" t="s">
        <v>424</v>
      </c>
      <c r="S1081" s="79" t="s">
        <v>339</v>
      </c>
      <c r="T1081" s="298">
        <f>IFERROR(Table6[[#This Row],[Breakdown Time]]*Table6[[#This Row],[Plant Equivalent Weightage]],"")</f>
        <v>7.5757575757575491E-3</v>
      </c>
      <c r="U1081" s="79" t="s">
        <v>421</v>
      </c>
      <c r="W1081" s="79">
        <v>620</v>
      </c>
    </row>
    <row r="1082" spans="1:23">
      <c r="A1082" s="79">
        <f t="shared" si="16"/>
        <v>1081</v>
      </c>
      <c r="B1082" s="79">
        <f>YEAR(Table6[[#This Row],[Date]])+IF(MONTH(Table6[[#This Row],[Date]])&gt;=4,1,0)</f>
        <v>2026</v>
      </c>
      <c r="C1082" s="79">
        <f>YEAR(Table6[[#This Row],[Date]])</f>
        <v>2025</v>
      </c>
      <c r="D1082" s="79" t="s">
        <v>344</v>
      </c>
      <c r="E1082" s="284">
        <f>Table6[[#This Row],[Date]]-DAY(Table6[[#This Row],[Date]])+1</f>
        <v>45839</v>
      </c>
      <c r="F1082" s="285">
        <v>45841</v>
      </c>
      <c r="G1082" s="79" t="s">
        <v>90</v>
      </c>
      <c r="H1082" s="79" t="str">
        <f>IFERROR(_xlfn.XLOOKUP(Table6[[#This Row],[Affected Feeder ]],'Basic Data'!$A:$A,'Basic Data'!$B:$B),"")</f>
        <v>PWEPL</v>
      </c>
      <c r="I1082" s="79" t="str">
        <f>IFERROR(_xlfn.XLOOKUP(Table6[[#This Row],[Affected Feeder ]],'Basic Data'!$A:$A,'Basic Data'!$C:$C),"")</f>
        <v>MSEDCL</v>
      </c>
      <c r="J1082" s="295">
        <f>IFERROR(_xlfn.XLOOKUP(Table6[[#This Row],[Affected Feeder ]],'Basic Data'!$A:$A,'Basic Data'!$E:$E),"")</f>
        <v>2.2727272727272728E-2</v>
      </c>
      <c r="K1082" s="296" t="s">
        <v>171</v>
      </c>
      <c r="L1082" s="297">
        <v>0.51736111111111105</v>
      </c>
      <c r="M1082" s="297">
        <v>0.51736111111111105</v>
      </c>
      <c r="N1082" s="297">
        <v>0.52152777777777781</v>
      </c>
      <c r="O1082" s="298">
        <f>(Table6[[#This Row],[Work Start TimeStamp]]-Table6[[#This Row],[Fault Start TimeStamp]])*24</f>
        <v>0</v>
      </c>
      <c r="P1082" s="298">
        <f>(Table6[[#This Row],[Fault Clearance time]]-Table6[[#This Row],[Fault Start TimeStamp]])*24</f>
        <v>0.10000000000000231</v>
      </c>
      <c r="Q1082" s="298">
        <f>(Table6[[#This Row],[Fault Clearance time]]-Table6[[#This Row],[Fault Start TimeStamp]])*24</f>
        <v>0.10000000000000231</v>
      </c>
      <c r="R1082" s="79" t="s">
        <v>353</v>
      </c>
      <c r="S1082" s="79" t="s">
        <v>339</v>
      </c>
      <c r="T1082" s="298">
        <f>IFERROR(Table6[[#This Row],[Breakdown Time]]*Table6[[#This Row],[Plant Equivalent Weightage]],"")</f>
        <v>2.2727272727273251E-3</v>
      </c>
      <c r="U1082" s="79" t="s">
        <v>421</v>
      </c>
      <c r="W1082" s="79">
        <v>186</v>
      </c>
    </row>
    <row r="1083" spans="1:23">
      <c r="A1083" s="79">
        <f t="shared" si="16"/>
        <v>1082</v>
      </c>
      <c r="B1083" s="79">
        <f>YEAR(Table6[[#This Row],[Date]])+IF(MONTH(Table6[[#This Row],[Date]])&gt;=4,1,0)</f>
        <v>2026</v>
      </c>
      <c r="C1083" s="79">
        <f>YEAR(Table6[[#This Row],[Date]])</f>
        <v>2025</v>
      </c>
      <c r="D1083" s="79" t="s">
        <v>344</v>
      </c>
      <c r="E1083" s="284">
        <f>Table6[[#This Row],[Date]]-DAY(Table6[[#This Row],[Date]])+1</f>
        <v>45839</v>
      </c>
      <c r="F1083" s="285">
        <v>45845</v>
      </c>
      <c r="G1083" s="79" t="s">
        <v>79</v>
      </c>
      <c r="H1083" s="79" t="str">
        <f>IFERROR(_xlfn.XLOOKUP(Table6[[#This Row],[Affected Feeder ]],'Basic Data'!$A:$A,'Basic Data'!$B:$B),"")</f>
        <v>PWEPL</v>
      </c>
      <c r="I1083" s="79" t="str">
        <f>IFERROR(_xlfn.XLOOKUP(Table6[[#This Row],[Affected Feeder ]],'Basic Data'!$A:$A,'Basic Data'!$C:$C),"")</f>
        <v>MSEDCL</v>
      </c>
      <c r="J1083" s="295">
        <f>IFERROR(_xlfn.XLOOKUP(Table6[[#This Row],[Affected Feeder ]],'Basic Data'!$A:$A,'Basic Data'!$E:$E),"")</f>
        <v>2.2727272727272728E-2</v>
      </c>
      <c r="K1083" s="296" t="s">
        <v>796</v>
      </c>
      <c r="L1083" s="297">
        <v>0.96944444444444444</v>
      </c>
      <c r="M1083" s="297">
        <v>0.96944444444444444</v>
      </c>
      <c r="N1083" s="297">
        <v>0.99930555555555556</v>
      </c>
      <c r="O1083" s="298">
        <f>(Table6[[#This Row],[Work Start TimeStamp]]-Table6[[#This Row],[Fault Start TimeStamp]])*24</f>
        <v>0</v>
      </c>
      <c r="P1083" s="298">
        <f>(Table6[[#This Row],[Fault Clearance time]]-Table6[[#This Row],[Fault Start TimeStamp]])*24</f>
        <v>0.71666666666666679</v>
      </c>
      <c r="Q1083" s="298">
        <f>(Table6[[#This Row],[Fault Clearance time]]-Table6[[#This Row],[Fault Start TimeStamp]])*24</f>
        <v>0.71666666666666679</v>
      </c>
      <c r="R1083" s="79" t="s">
        <v>956</v>
      </c>
      <c r="S1083" s="79" t="s">
        <v>339</v>
      </c>
      <c r="T1083" s="298">
        <f>IFERROR(Table6[[#This Row],[Breakdown Time]]*Table6[[#This Row],[Plant Equivalent Weightage]],"")</f>
        <v>1.6287878787878792E-2</v>
      </c>
      <c r="U1083" s="79" t="s">
        <v>421</v>
      </c>
      <c r="W1083" s="79">
        <v>1265</v>
      </c>
    </row>
    <row r="1084" spans="1:23">
      <c r="A1084" s="79">
        <f t="shared" si="16"/>
        <v>1083</v>
      </c>
      <c r="B1084" s="79">
        <f>YEAR(Table6[[#This Row],[Date]])+IF(MONTH(Table6[[#This Row],[Date]])&gt;=4,1,0)</f>
        <v>2026</v>
      </c>
      <c r="C1084" s="79">
        <f>YEAR(Table6[[#This Row],[Date]])</f>
        <v>2025</v>
      </c>
      <c r="D1084" s="79" t="s">
        <v>344</v>
      </c>
      <c r="E1084" s="284">
        <f>Table6[[#This Row],[Date]]-DAY(Table6[[#This Row],[Date]])+1</f>
        <v>45839</v>
      </c>
      <c r="F1084" s="285">
        <v>45845</v>
      </c>
      <c r="G1084" s="79" t="s">
        <v>110</v>
      </c>
      <c r="H1084" s="79" t="str">
        <f>IFERROR(_xlfn.XLOOKUP(Table6[[#This Row],[Affected Feeder ]],'Basic Data'!$A:$A,'Basic Data'!$B:$B),"")</f>
        <v>PWEPL</v>
      </c>
      <c r="I1084" s="79" t="str">
        <f>IFERROR(_xlfn.XLOOKUP(Table6[[#This Row],[Affected Feeder ]],'Basic Data'!$A:$A,'Basic Data'!$C:$C),"")</f>
        <v>MSEDCL</v>
      </c>
      <c r="J1084" s="295">
        <f>IFERROR(_xlfn.XLOOKUP(Table6[[#This Row],[Affected Feeder ]],'Basic Data'!$A:$A,'Basic Data'!$E:$E),"")</f>
        <v>2.2727272727272728E-2</v>
      </c>
      <c r="K1084" s="296" t="s">
        <v>796</v>
      </c>
      <c r="L1084" s="297">
        <v>0.93472222222222223</v>
      </c>
      <c r="M1084" s="297">
        <v>0.93472222222222223</v>
      </c>
      <c r="N1084" s="297">
        <v>0.97361111111111109</v>
      </c>
      <c r="O1084" s="298">
        <f>(Table6[[#This Row],[Work Start TimeStamp]]-Table6[[#This Row],[Fault Start TimeStamp]])*24</f>
        <v>0</v>
      </c>
      <c r="P1084" s="298">
        <f>(Table6[[#This Row],[Fault Clearance time]]-Table6[[#This Row],[Fault Start TimeStamp]])*24</f>
        <v>0.93333333333333268</v>
      </c>
      <c r="Q1084" s="298">
        <f>(Table6[[#This Row],[Fault Clearance time]]-Table6[[#This Row],[Fault Start TimeStamp]])*24</f>
        <v>0.93333333333333268</v>
      </c>
      <c r="R1084" s="79" t="s">
        <v>424</v>
      </c>
      <c r="S1084" s="79" t="s">
        <v>339</v>
      </c>
      <c r="T1084" s="298">
        <f>IFERROR(Table6[[#This Row],[Breakdown Time]]*Table6[[#This Row],[Plant Equivalent Weightage]],"")</f>
        <v>2.12121212121212E-2</v>
      </c>
      <c r="U1084" s="79" t="s">
        <v>421</v>
      </c>
      <c r="W1084" s="79">
        <v>1254</v>
      </c>
    </row>
    <row r="1085" spans="1:23">
      <c r="A1085" s="79">
        <f t="shared" si="16"/>
        <v>1084</v>
      </c>
      <c r="B1085" s="79">
        <f>YEAR(Table6[[#This Row],[Date]])+IF(MONTH(Table6[[#This Row],[Date]])&gt;=4,1,0)</f>
        <v>2026</v>
      </c>
      <c r="C1085" s="79">
        <f>YEAR(Table6[[#This Row],[Date]])</f>
        <v>2025</v>
      </c>
      <c r="D1085" s="79" t="s">
        <v>344</v>
      </c>
      <c r="E1085" s="284">
        <f>Table6[[#This Row],[Date]]-DAY(Table6[[#This Row],[Date]])+1</f>
        <v>45839</v>
      </c>
      <c r="F1085" s="285">
        <v>45845</v>
      </c>
      <c r="G1085" s="79" t="s">
        <v>110</v>
      </c>
      <c r="H1085" s="79" t="str">
        <f>IFERROR(_xlfn.XLOOKUP(Table6[[#This Row],[Affected Feeder ]],'Basic Data'!$A:$A,'Basic Data'!$B:$B),"")</f>
        <v>PWEPL</v>
      </c>
      <c r="I1085" s="79" t="str">
        <f>IFERROR(_xlfn.XLOOKUP(Table6[[#This Row],[Affected Feeder ]],'Basic Data'!$A:$A,'Basic Data'!$C:$C),"")</f>
        <v>MSEDCL</v>
      </c>
      <c r="J1085" s="295">
        <f>IFERROR(_xlfn.XLOOKUP(Table6[[#This Row],[Affected Feeder ]],'Basic Data'!$A:$A,'Basic Data'!$E:$E),"")</f>
        <v>2.2727272727272728E-2</v>
      </c>
      <c r="K1085" s="296" t="s">
        <v>171</v>
      </c>
      <c r="L1085" s="297">
        <v>0.97361111111111109</v>
      </c>
      <c r="M1085" s="297">
        <v>0.97361111111111109</v>
      </c>
      <c r="N1085" s="297">
        <v>0.98749999999999993</v>
      </c>
      <c r="O1085" s="298">
        <f>(Table6[[#This Row],[Work Start TimeStamp]]-Table6[[#This Row],[Fault Start TimeStamp]])*24</f>
        <v>0</v>
      </c>
      <c r="P1085" s="298">
        <f>(Table6[[#This Row],[Fault Clearance time]]-Table6[[#This Row],[Fault Start TimeStamp]])*24</f>
        <v>0.33333333333333215</v>
      </c>
      <c r="Q1085" s="298">
        <f>(Table6[[#This Row],[Fault Clearance time]]-Table6[[#This Row],[Fault Start TimeStamp]])*24</f>
        <v>0.33333333333333215</v>
      </c>
      <c r="R1085" s="79" t="s">
        <v>353</v>
      </c>
      <c r="S1085" s="79" t="s">
        <v>339</v>
      </c>
      <c r="T1085" s="298">
        <f>IFERROR(Table6[[#This Row],[Breakdown Time]]*Table6[[#This Row],[Plant Equivalent Weightage]],"")</f>
        <v>7.5757575757575491E-3</v>
      </c>
      <c r="U1085" s="79" t="s">
        <v>421</v>
      </c>
      <c r="W1085" s="79">
        <v>696</v>
      </c>
    </row>
    <row r="1086" spans="1:23">
      <c r="A1086" s="79">
        <f t="shared" si="16"/>
        <v>1085</v>
      </c>
      <c r="B1086" s="79">
        <f>YEAR(Table6[[#This Row],[Date]])+IF(MONTH(Table6[[#This Row],[Date]])&gt;=4,1,0)</f>
        <v>2026</v>
      </c>
      <c r="C1086" s="79">
        <f>YEAR(Table6[[#This Row],[Date]])</f>
        <v>2025</v>
      </c>
      <c r="D1086" s="79" t="s">
        <v>344</v>
      </c>
      <c r="E1086" s="284">
        <f>Table6[[#This Row],[Date]]-DAY(Table6[[#This Row],[Date]])+1</f>
        <v>45839</v>
      </c>
      <c r="F1086" s="285">
        <v>45845</v>
      </c>
      <c r="G1086" s="79" t="s">
        <v>109</v>
      </c>
      <c r="H1086" s="79" t="str">
        <f>IFERROR(_xlfn.XLOOKUP(Table6[[#This Row],[Affected Feeder ]],'Basic Data'!$A:$A,'Basic Data'!$B:$B),"")</f>
        <v>PWEPL</v>
      </c>
      <c r="I1086" s="79" t="str">
        <f>IFERROR(_xlfn.XLOOKUP(Table6[[#This Row],[Affected Feeder ]],'Basic Data'!$A:$A,'Basic Data'!$C:$C),"")</f>
        <v>MSEDCL</v>
      </c>
      <c r="J1086" s="295">
        <f>IFERROR(_xlfn.XLOOKUP(Table6[[#This Row],[Affected Feeder ]],'Basic Data'!$A:$A,'Basic Data'!$E:$E),"")</f>
        <v>2.2727272727272728E-2</v>
      </c>
      <c r="K1086" s="296" t="s">
        <v>796</v>
      </c>
      <c r="L1086" s="297">
        <v>0.96944444444444444</v>
      </c>
      <c r="M1086" s="297">
        <v>0.96944444444444444</v>
      </c>
      <c r="N1086" s="297">
        <v>0.99930555555555556</v>
      </c>
      <c r="O1086" s="298">
        <f>(Table6[[#This Row],[Work Start TimeStamp]]-Table6[[#This Row],[Fault Start TimeStamp]])*24</f>
        <v>0</v>
      </c>
      <c r="P1086" s="298">
        <f>(Table6[[#This Row],[Fault Clearance time]]-Table6[[#This Row],[Fault Start TimeStamp]])*24</f>
        <v>0.71666666666666679</v>
      </c>
      <c r="Q1086" s="298">
        <f>(Table6[[#This Row],[Fault Clearance time]]-Table6[[#This Row],[Fault Start TimeStamp]])*24</f>
        <v>0.71666666666666679</v>
      </c>
      <c r="R1086" s="79" t="s">
        <v>956</v>
      </c>
      <c r="S1086" s="79" t="s">
        <v>339</v>
      </c>
      <c r="T1086" s="298">
        <f>IFERROR(Table6[[#This Row],[Breakdown Time]]*Table6[[#This Row],[Plant Equivalent Weightage]],"")</f>
        <v>1.6287878787878792E-2</v>
      </c>
      <c r="U1086" s="79" t="s">
        <v>421</v>
      </c>
      <c r="W1086" s="79">
        <v>921</v>
      </c>
    </row>
    <row r="1087" spans="1:23">
      <c r="A1087" s="79">
        <f t="shared" si="16"/>
        <v>1086</v>
      </c>
      <c r="B1087" s="79">
        <f>YEAR(Table6[[#This Row],[Date]])+IF(MONTH(Table6[[#This Row],[Date]])&gt;=4,1,0)</f>
        <v>2026</v>
      </c>
      <c r="C1087" s="79">
        <f>YEAR(Table6[[#This Row],[Date]])</f>
        <v>2025</v>
      </c>
      <c r="D1087" s="79" t="s">
        <v>344</v>
      </c>
      <c r="E1087" s="284">
        <f>Table6[[#This Row],[Date]]-DAY(Table6[[#This Row],[Date]])+1</f>
        <v>45839</v>
      </c>
      <c r="F1087" s="285">
        <v>45845</v>
      </c>
      <c r="G1087" s="79" t="s">
        <v>118</v>
      </c>
      <c r="H1087" s="79" t="str">
        <f>IFERROR(_xlfn.XLOOKUP(Table6[[#This Row],[Affected Feeder ]],'Basic Data'!$A:$A,'Basic Data'!$B:$B),"")</f>
        <v>PWEPL</v>
      </c>
      <c r="I1087" s="79" t="str">
        <f>IFERROR(_xlfn.XLOOKUP(Table6[[#This Row],[Affected Feeder ]],'Basic Data'!$A:$A,'Basic Data'!$C:$C),"")</f>
        <v>MSEDCL</v>
      </c>
      <c r="J1087" s="295">
        <f>IFERROR(_xlfn.XLOOKUP(Table6[[#This Row],[Affected Feeder ]],'Basic Data'!$A:$A,'Basic Data'!$E:$E),"")</f>
        <v>2.2727272727272728E-2</v>
      </c>
      <c r="K1087" s="296" t="s">
        <v>796</v>
      </c>
      <c r="L1087" s="297">
        <v>0.95486111111111116</v>
      </c>
      <c r="M1087" s="297">
        <v>0.95486111111111116</v>
      </c>
      <c r="N1087" s="297">
        <v>0.99930555555555556</v>
      </c>
      <c r="O1087" s="298">
        <f>(Table6[[#This Row],[Work Start TimeStamp]]-Table6[[#This Row],[Fault Start TimeStamp]])*24</f>
        <v>0</v>
      </c>
      <c r="P1087" s="298">
        <f>(Table6[[#This Row],[Fault Clearance time]]-Table6[[#This Row],[Fault Start TimeStamp]])*24</f>
        <v>1.0666666666666655</v>
      </c>
      <c r="Q1087" s="298">
        <f>(Table6[[#This Row],[Fault Clearance time]]-Table6[[#This Row],[Fault Start TimeStamp]])*24</f>
        <v>1.0666666666666655</v>
      </c>
      <c r="R1087" s="79" t="s">
        <v>956</v>
      </c>
      <c r="S1087" s="79" t="s">
        <v>339</v>
      </c>
      <c r="T1087" s="298">
        <f>IFERROR(Table6[[#This Row],[Breakdown Time]]*Table6[[#This Row],[Plant Equivalent Weightage]],"")</f>
        <v>2.4242424242424218E-2</v>
      </c>
      <c r="U1087" s="79" t="s">
        <v>421</v>
      </c>
      <c r="W1087" s="79">
        <v>2084</v>
      </c>
    </row>
    <row r="1088" spans="1:23">
      <c r="A1088" s="79">
        <f t="shared" si="16"/>
        <v>1087</v>
      </c>
      <c r="B1088" s="79">
        <f>YEAR(Table6[[#This Row],[Date]])+IF(MONTH(Table6[[#This Row],[Date]])&gt;=4,1,0)</f>
        <v>2026</v>
      </c>
      <c r="C1088" s="79">
        <f>YEAR(Table6[[#This Row],[Date]])</f>
        <v>2025</v>
      </c>
      <c r="D1088" s="79" t="s">
        <v>344</v>
      </c>
      <c r="E1088" s="284">
        <f>Table6[[#This Row],[Date]]-DAY(Table6[[#This Row],[Date]])+1</f>
        <v>45839</v>
      </c>
      <c r="F1088" s="285">
        <v>45846</v>
      </c>
      <c r="G1088" s="79" t="s">
        <v>79</v>
      </c>
      <c r="H1088" s="79" t="str">
        <f>IFERROR(_xlfn.XLOOKUP(Table6[[#This Row],[Affected Feeder ]],'Basic Data'!$A:$A,'Basic Data'!$B:$B),"")</f>
        <v>PWEPL</v>
      </c>
      <c r="I1088" s="79" t="str">
        <f>IFERROR(_xlfn.XLOOKUP(Table6[[#This Row],[Affected Feeder ]],'Basic Data'!$A:$A,'Basic Data'!$C:$C),"")</f>
        <v>MSEDCL</v>
      </c>
      <c r="J1088" s="295">
        <f>IFERROR(_xlfn.XLOOKUP(Table6[[#This Row],[Affected Feeder ]],'Basic Data'!$A:$A,'Basic Data'!$E:$E),"")</f>
        <v>2.2727272727272728E-2</v>
      </c>
      <c r="K1088" s="296" t="s">
        <v>796</v>
      </c>
      <c r="L1088" s="297">
        <v>0</v>
      </c>
      <c r="M1088" s="297">
        <v>0</v>
      </c>
      <c r="N1088" s="297">
        <v>6.9444444444444441E-3</v>
      </c>
      <c r="O1088" s="298">
        <f>(Table6[[#This Row],[Work Start TimeStamp]]-Table6[[#This Row],[Fault Start TimeStamp]])*24</f>
        <v>0</v>
      </c>
      <c r="P1088" s="298">
        <f>(Table6[[#This Row],[Fault Clearance time]]-Table6[[#This Row],[Fault Start TimeStamp]])*24</f>
        <v>0.16666666666666666</v>
      </c>
      <c r="Q1088" s="298">
        <f>(Table6[[#This Row],[Fault Clearance time]]-Table6[[#This Row],[Fault Start TimeStamp]])*24</f>
        <v>0.16666666666666666</v>
      </c>
      <c r="R1088" s="79" t="s">
        <v>424</v>
      </c>
      <c r="S1088" s="79" t="s">
        <v>339</v>
      </c>
      <c r="T1088" s="298">
        <f>IFERROR(Table6[[#This Row],[Breakdown Time]]*Table6[[#This Row],[Plant Equivalent Weightage]],"")</f>
        <v>3.787878787878788E-3</v>
      </c>
      <c r="U1088" s="79" t="s">
        <v>421</v>
      </c>
      <c r="W1088" s="79">
        <v>11</v>
      </c>
    </row>
    <row r="1089" spans="1:23">
      <c r="A1089" s="79">
        <f t="shared" si="16"/>
        <v>1088</v>
      </c>
      <c r="B1089" s="79">
        <f>YEAR(Table6[[#This Row],[Date]])+IF(MONTH(Table6[[#This Row],[Date]])&gt;=4,1,0)</f>
        <v>2026</v>
      </c>
      <c r="C1089" s="79">
        <f>YEAR(Table6[[#This Row],[Date]])</f>
        <v>2025</v>
      </c>
      <c r="D1089" s="79" t="s">
        <v>344</v>
      </c>
      <c r="E1089" s="284">
        <f>Table6[[#This Row],[Date]]-DAY(Table6[[#This Row],[Date]])+1</f>
        <v>45839</v>
      </c>
      <c r="F1089" s="285">
        <v>45846</v>
      </c>
      <c r="G1089" s="79" t="s">
        <v>79</v>
      </c>
      <c r="H1089" s="79" t="str">
        <f>IFERROR(_xlfn.XLOOKUP(Table6[[#This Row],[Affected Feeder ]],'Basic Data'!$A:$A,'Basic Data'!$B:$B),"")</f>
        <v>PWEPL</v>
      </c>
      <c r="I1089" s="79" t="str">
        <f>IFERROR(_xlfn.XLOOKUP(Table6[[#This Row],[Affected Feeder ]],'Basic Data'!$A:$A,'Basic Data'!$C:$C),"")</f>
        <v>MSEDCL</v>
      </c>
      <c r="J1089" s="295">
        <f>IFERROR(_xlfn.XLOOKUP(Table6[[#This Row],[Affected Feeder ]],'Basic Data'!$A:$A,'Basic Data'!$E:$E),"")</f>
        <v>2.2727272727272728E-2</v>
      </c>
      <c r="K1089" s="296" t="s">
        <v>171</v>
      </c>
      <c r="L1089" s="297">
        <v>6.9444444444444441E-3</v>
      </c>
      <c r="M1089" s="297">
        <v>6.9444444444444441E-3</v>
      </c>
      <c r="N1089" s="297">
        <v>1.0416666666666666E-2</v>
      </c>
      <c r="O1089" s="298">
        <f>(Table6[[#This Row],[Work Start TimeStamp]]-Table6[[#This Row],[Fault Start TimeStamp]])*24</f>
        <v>0</v>
      </c>
      <c r="P1089" s="298">
        <f>(Table6[[#This Row],[Fault Clearance time]]-Table6[[#This Row],[Fault Start TimeStamp]])*24</f>
        <v>8.3333333333333329E-2</v>
      </c>
      <c r="Q1089" s="298">
        <f>(Table6[[#This Row],[Fault Clearance time]]-Table6[[#This Row],[Fault Start TimeStamp]])*24</f>
        <v>8.3333333333333329E-2</v>
      </c>
      <c r="R1089" s="79" t="s">
        <v>353</v>
      </c>
      <c r="S1089" s="79" t="s">
        <v>339</v>
      </c>
      <c r="T1089" s="298">
        <f>IFERROR(Table6[[#This Row],[Breakdown Time]]*Table6[[#This Row],[Plant Equivalent Weightage]],"")</f>
        <v>1.893939393939394E-3</v>
      </c>
      <c r="U1089" s="79" t="s">
        <v>421</v>
      </c>
      <c r="W1089" s="79">
        <v>11</v>
      </c>
    </row>
    <row r="1090" spans="1:23">
      <c r="A1090" s="79">
        <f t="shared" si="16"/>
        <v>1089</v>
      </c>
      <c r="B1090" s="79">
        <f>YEAR(Table6[[#This Row],[Date]])+IF(MONTH(Table6[[#This Row],[Date]])&gt;=4,1,0)</f>
        <v>2026</v>
      </c>
      <c r="C1090" s="79">
        <f>YEAR(Table6[[#This Row],[Date]])</f>
        <v>2025</v>
      </c>
      <c r="D1090" s="79" t="s">
        <v>344</v>
      </c>
      <c r="E1090" s="284">
        <f>Table6[[#This Row],[Date]]-DAY(Table6[[#This Row],[Date]])+1</f>
        <v>45839</v>
      </c>
      <c r="F1090" s="285">
        <v>45846</v>
      </c>
      <c r="G1090" s="79" t="s">
        <v>118</v>
      </c>
      <c r="H1090" s="79" t="str">
        <f>IFERROR(_xlfn.XLOOKUP(Table6[[#This Row],[Affected Feeder ]],'Basic Data'!$A:$A,'Basic Data'!$B:$B),"")</f>
        <v>PWEPL</v>
      </c>
      <c r="I1090" s="79" t="str">
        <f>IFERROR(_xlfn.XLOOKUP(Table6[[#This Row],[Affected Feeder ]],'Basic Data'!$A:$A,'Basic Data'!$C:$C),"")</f>
        <v>MSEDCL</v>
      </c>
      <c r="J1090" s="295">
        <f>IFERROR(_xlfn.XLOOKUP(Table6[[#This Row],[Affected Feeder ]],'Basic Data'!$A:$A,'Basic Data'!$E:$E),"")</f>
        <v>2.2727272727272728E-2</v>
      </c>
      <c r="K1090" s="296" t="s">
        <v>796</v>
      </c>
      <c r="L1090" s="297">
        <v>0</v>
      </c>
      <c r="M1090" s="297">
        <v>0</v>
      </c>
      <c r="N1090" s="297">
        <v>4.1666666666666664E-2</v>
      </c>
      <c r="O1090" s="298">
        <f>(Table6[[#This Row],[Work Start TimeStamp]]-Table6[[#This Row],[Fault Start TimeStamp]])*24</f>
        <v>0</v>
      </c>
      <c r="P1090" s="298">
        <f>(Table6[[#This Row],[Fault Clearance time]]-Table6[[#This Row],[Fault Start TimeStamp]])*24</f>
        <v>1</v>
      </c>
      <c r="Q1090" s="298">
        <f>(Table6[[#This Row],[Fault Clearance time]]-Table6[[#This Row],[Fault Start TimeStamp]])*24</f>
        <v>1</v>
      </c>
      <c r="R1090" s="79" t="s">
        <v>424</v>
      </c>
      <c r="S1090" s="79" t="s">
        <v>339</v>
      </c>
      <c r="T1090" s="298">
        <f>IFERROR(Table6[[#This Row],[Breakdown Time]]*Table6[[#This Row],[Plant Equivalent Weightage]],"")</f>
        <v>2.2727272727272728E-2</v>
      </c>
      <c r="U1090" s="79" t="s">
        <v>421</v>
      </c>
      <c r="W1090" s="79">
        <v>1648</v>
      </c>
    </row>
    <row r="1091" spans="1:23">
      <c r="A1091" s="79">
        <f t="shared" si="16"/>
        <v>1090</v>
      </c>
      <c r="B1091" s="79">
        <f>YEAR(Table6[[#This Row],[Date]])+IF(MONTH(Table6[[#This Row],[Date]])&gt;=4,1,0)</f>
        <v>2026</v>
      </c>
      <c r="C1091" s="79">
        <f>YEAR(Table6[[#This Row],[Date]])</f>
        <v>2025</v>
      </c>
      <c r="D1091" s="79" t="s">
        <v>344</v>
      </c>
      <c r="E1091" s="284">
        <f>Table6[[#This Row],[Date]]-DAY(Table6[[#This Row],[Date]])+1</f>
        <v>45839</v>
      </c>
      <c r="F1091" s="285">
        <v>45846</v>
      </c>
      <c r="G1091" s="79" t="s">
        <v>118</v>
      </c>
      <c r="H1091" s="79" t="str">
        <f>IFERROR(_xlfn.XLOOKUP(Table6[[#This Row],[Affected Feeder ]],'Basic Data'!$A:$A,'Basic Data'!$B:$B),"")</f>
        <v>PWEPL</v>
      </c>
      <c r="I1091" s="79" t="str">
        <f>IFERROR(_xlfn.XLOOKUP(Table6[[#This Row],[Affected Feeder ]],'Basic Data'!$A:$A,'Basic Data'!$C:$C),"")</f>
        <v>MSEDCL</v>
      </c>
      <c r="J1091" s="295">
        <f>IFERROR(_xlfn.XLOOKUP(Table6[[#This Row],[Affected Feeder ]],'Basic Data'!$A:$A,'Basic Data'!$E:$E),"")</f>
        <v>2.2727272727272728E-2</v>
      </c>
      <c r="K1091" s="296" t="s">
        <v>171</v>
      </c>
      <c r="L1091" s="297">
        <v>4.1666666666666664E-2</v>
      </c>
      <c r="M1091" s="297">
        <v>4.1666666666666664E-2</v>
      </c>
      <c r="N1091" s="297">
        <v>4.9999999999999996E-2</v>
      </c>
      <c r="O1091" s="298">
        <f>(Table6[[#This Row],[Work Start TimeStamp]]-Table6[[#This Row],[Fault Start TimeStamp]])*24</f>
        <v>0</v>
      </c>
      <c r="P1091" s="298">
        <f>(Table6[[#This Row],[Fault Clearance time]]-Table6[[#This Row],[Fault Start TimeStamp]])*24</f>
        <v>0.19999999999999996</v>
      </c>
      <c r="Q1091" s="298">
        <f>(Table6[[#This Row],[Fault Clearance time]]-Table6[[#This Row],[Fault Start TimeStamp]])*24</f>
        <v>0.19999999999999996</v>
      </c>
      <c r="R1091" s="79" t="s">
        <v>353</v>
      </c>
      <c r="S1091" s="79" t="s">
        <v>339</v>
      </c>
      <c r="T1091" s="298">
        <f>IFERROR(Table6[[#This Row],[Breakdown Time]]*Table6[[#This Row],[Plant Equivalent Weightage]],"")</f>
        <v>4.5454545454545444E-3</v>
      </c>
      <c r="U1091" s="79" t="s">
        <v>421</v>
      </c>
      <c r="W1091" s="79">
        <v>412</v>
      </c>
    </row>
    <row r="1092" spans="1:23">
      <c r="A1092" s="79">
        <f t="shared" ref="A1092:A1155" si="17">A1091+1</f>
        <v>1091</v>
      </c>
      <c r="B1092" s="79">
        <f>YEAR(Table6[[#This Row],[Date]])+IF(MONTH(Table6[[#This Row],[Date]])&gt;=4,1,0)</f>
        <v>2026</v>
      </c>
      <c r="C1092" s="79">
        <f>YEAR(Table6[[#This Row],[Date]])</f>
        <v>2025</v>
      </c>
      <c r="D1092" s="79" t="s">
        <v>344</v>
      </c>
      <c r="E1092" s="284">
        <f>Table6[[#This Row],[Date]]-DAY(Table6[[#This Row],[Date]])+1</f>
        <v>45839</v>
      </c>
      <c r="F1092" s="285">
        <v>45846</v>
      </c>
      <c r="G1092" s="79" t="s">
        <v>109</v>
      </c>
      <c r="H1092" s="79" t="str">
        <f>IFERROR(_xlfn.XLOOKUP(Table6[[#This Row],[Affected Feeder ]],'Basic Data'!$A:$A,'Basic Data'!$B:$B),"")</f>
        <v>PWEPL</v>
      </c>
      <c r="I1092" s="79" t="str">
        <f>IFERROR(_xlfn.XLOOKUP(Table6[[#This Row],[Affected Feeder ]],'Basic Data'!$A:$A,'Basic Data'!$C:$C),"")</f>
        <v>MSEDCL</v>
      </c>
      <c r="J1092" s="295">
        <f>IFERROR(_xlfn.XLOOKUP(Table6[[#This Row],[Affected Feeder ]],'Basic Data'!$A:$A,'Basic Data'!$E:$E),"")</f>
        <v>2.2727272727272728E-2</v>
      </c>
      <c r="K1092" s="296" t="s">
        <v>796</v>
      </c>
      <c r="L1092" s="297">
        <v>0</v>
      </c>
      <c r="M1092" s="297">
        <v>0</v>
      </c>
      <c r="N1092" s="297">
        <v>5.4166666666666669E-2</v>
      </c>
      <c r="O1092" s="298">
        <f>(Table6[[#This Row],[Work Start TimeStamp]]-Table6[[#This Row],[Fault Start TimeStamp]])*24</f>
        <v>0</v>
      </c>
      <c r="P1092" s="298">
        <f>(Table6[[#This Row],[Fault Clearance time]]-Table6[[#This Row],[Fault Start TimeStamp]])*24</f>
        <v>1.3</v>
      </c>
      <c r="Q1092" s="298">
        <f>(Table6[[#This Row],[Fault Clearance time]]-Table6[[#This Row],[Fault Start TimeStamp]])*24</f>
        <v>1.3</v>
      </c>
      <c r="R1092" s="79" t="s">
        <v>424</v>
      </c>
      <c r="S1092" s="79" t="s">
        <v>339</v>
      </c>
      <c r="T1092" s="298">
        <f>IFERROR(Table6[[#This Row],[Breakdown Time]]*Table6[[#This Row],[Plant Equivalent Weightage]],"")</f>
        <v>2.9545454545454548E-2</v>
      </c>
      <c r="U1092" s="79" t="s">
        <v>421</v>
      </c>
      <c r="W1092" s="79">
        <v>2045</v>
      </c>
    </row>
    <row r="1093" spans="1:23">
      <c r="A1093" s="79">
        <f t="shared" si="17"/>
        <v>1092</v>
      </c>
      <c r="B1093" s="79">
        <f>YEAR(Table6[[#This Row],[Date]])+IF(MONTH(Table6[[#This Row],[Date]])&gt;=4,1,0)</f>
        <v>2026</v>
      </c>
      <c r="C1093" s="79">
        <f>YEAR(Table6[[#This Row],[Date]])</f>
        <v>2025</v>
      </c>
      <c r="D1093" s="79" t="s">
        <v>344</v>
      </c>
      <c r="E1093" s="284">
        <f>Table6[[#This Row],[Date]]-DAY(Table6[[#This Row],[Date]])+1</f>
        <v>45839</v>
      </c>
      <c r="F1093" s="285">
        <v>45846</v>
      </c>
      <c r="G1093" s="79" t="s">
        <v>109</v>
      </c>
      <c r="H1093" s="79" t="str">
        <f>IFERROR(_xlfn.XLOOKUP(Table6[[#This Row],[Affected Feeder ]],'Basic Data'!$A:$A,'Basic Data'!$B:$B),"")</f>
        <v>PWEPL</v>
      </c>
      <c r="I1093" s="79" t="str">
        <f>IFERROR(_xlfn.XLOOKUP(Table6[[#This Row],[Affected Feeder ]],'Basic Data'!$A:$A,'Basic Data'!$C:$C),"")</f>
        <v>MSEDCL</v>
      </c>
      <c r="J1093" s="295">
        <f>IFERROR(_xlfn.XLOOKUP(Table6[[#This Row],[Affected Feeder ]],'Basic Data'!$A:$A,'Basic Data'!$E:$E),"")</f>
        <v>2.2727272727272728E-2</v>
      </c>
      <c r="K1093" s="296" t="s">
        <v>171</v>
      </c>
      <c r="L1093" s="297">
        <v>5.4166666666666669E-2</v>
      </c>
      <c r="M1093" s="297">
        <v>5.4166666666666669E-2</v>
      </c>
      <c r="N1093" s="297">
        <v>6.5277777777777782E-2</v>
      </c>
      <c r="O1093" s="298">
        <f>(Table6[[#This Row],[Work Start TimeStamp]]-Table6[[#This Row],[Fault Start TimeStamp]])*24</f>
        <v>0</v>
      </c>
      <c r="P1093" s="298">
        <f>(Table6[[#This Row],[Fault Clearance time]]-Table6[[#This Row],[Fault Start TimeStamp]])*24</f>
        <v>0.26666666666666672</v>
      </c>
      <c r="Q1093" s="298">
        <f>(Table6[[#This Row],[Fault Clearance time]]-Table6[[#This Row],[Fault Start TimeStamp]])*24</f>
        <v>0.26666666666666672</v>
      </c>
      <c r="R1093" s="79" t="s">
        <v>353</v>
      </c>
      <c r="S1093" s="79" t="s">
        <v>339</v>
      </c>
      <c r="T1093" s="298">
        <f>IFERROR(Table6[[#This Row],[Breakdown Time]]*Table6[[#This Row],[Plant Equivalent Weightage]],"")</f>
        <v>6.0606060606060623E-3</v>
      </c>
      <c r="U1093" s="79" t="s">
        <v>421</v>
      </c>
      <c r="W1093" s="79">
        <v>527</v>
      </c>
    </row>
    <row r="1094" spans="1:23">
      <c r="A1094" s="79">
        <f t="shared" si="17"/>
        <v>1093</v>
      </c>
      <c r="B1094" s="79">
        <f>YEAR(Table6[[#This Row],[Date]])+IF(MONTH(Table6[[#This Row],[Date]])&gt;=4,1,0)</f>
        <v>2026</v>
      </c>
      <c r="C1094" s="79">
        <f>YEAR(Table6[[#This Row],[Date]])</f>
        <v>2025</v>
      </c>
      <c r="D1094" s="79" t="s">
        <v>344</v>
      </c>
      <c r="E1094" s="284">
        <f>Table6[[#This Row],[Date]]-DAY(Table6[[#This Row],[Date]])+1</f>
        <v>45839</v>
      </c>
      <c r="F1094" s="285">
        <v>45856</v>
      </c>
      <c r="G1094" s="79" t="s">
        <v>92</v>
      </c>
      <c r="H1094" s="79" t="str">
        <f>IFERROR(_xlfn.XLOOKUP(Table6[[#This Row],[Affected Feeder ]],'Basic Data'!$A:$A,'Basic Data'!$B:$B),"")</f>
        <v>PWEPL</v>
      </c>
      <c r="I1094" s="79" t="str">
        <f>IFERROR(_xlfn.XLOOKUP(Table6[[#This Row],[Affected Feeder ]],'Basic Data'!$A:$A,'Basic Data'!$C:$C),"")</f>
        <v>MSEDCL</v>
      </c>
      <c r="J1094" s="295">
        <f>IFERROR(_xlfn.XLOOKUP(Table6[[#This Row],[Affected Feeder ]],'Basic Data'!$A:$A,'Basic Data'!$E:$E),"")</f>
        <v>2.2727272727272728E-2</v>
      </c>
      <c r="K1094" s="296" t="s">
        <v>796</v>
      </c>
      <c r="L1094" s="297">
        <v>0.36249999999999999</v>
      </c>
      <c r="M1094" s="297">
        <v>0.36249999999999999</v>
      </c>
      <c r="N1094" s="297">
        <v>0.36944444444444446</v>
      </c>
      <c r="O1094" s="298">
        <f>(Table6[[#This Row],[Work Start TimeStamp]]-Table6[[#This Row],[Fault Start TimeStamp]])*24</f>
        <v>0</v>
      </c>
      <c r="P1094" s="298">
        <f>(Table6[[#This Row],[Fault Clearance time]]-Table6[[#This Row],[Fault Start TimeStamp]])*24</f>
        <v>0.16666666666666741</v>
      </c>
      <c r="Q1094" s="298">
        <f>(Table6[[#This Row],[Fault Clearance time]]-Table6[[#This Row],[Fault Start TimeStamp]])*24</f>
        <v>0.16666666666666741</v>
      </c>
      <c r="R1094" s="79" t="s">
        <v>424</v>
      </c>
      <c r="S1094" s="79" t="s">
        <v>339</v>
      </c>
      <c r="T1094" s="298">
        <f>IFERROR(Table6[[#This Row],[Breakdown Time]]*Table6[[#This Row],[Plant Equivalent Weightage]],"")</f>
        <v>3.7878787878788049E-3</v>
      </c>
      <c r="U1094" s="79" t="s">
        <v>421</v>
      </c>
      <c r="W1094" s="79">
        <v>53</v>
      </c>
    </row>
    <row r="1095" spans="1:23">
      <c r="A1095" s="79">
        <f t="shared" si="17"/>
        <v>1094</v>
      </c>
      <c r="B1095" s="79">
        <f>YEAR(Table6[[#This Row],[Date]])+IF(MONTH(Table6[[#This Row],[Date]])&gt;=4,1,0)</f>
        <v>2026</v>
      </c>
      <c r="C1095" s="79">
        <f>YEAR(Table6[[#This Row],[Date]])</f>
        <v>2025</v>
      </c>
      <c r="D1095" s="79" t="s">
        <v>344</v>
      </c>
      <c r="E1095" s="284">
        <f>Table6[[#This Row],[Date]]-DAY(Table6[[#This Row],[Date]])+1</f>
        <v>45839</v>
      </c>
      <c r="F1095" s="285">
        <v>45856</v>
      </c>
      <c r="G1095" s="79" t="s">
        <v>92</v>
      </c>
      <c r="H1095" s="79" t="str">
        <f>IFERROR(_xlfn.XLOOKUP(Table6[[#This Row],[Affected Feeder ]],'Basic Data'!$A:$A,'Basic Data'!$B:$B),"")</f>
        <v>PWEPL</v>
      </c>
      <c r="I1095" s="79" t="str">
        <f>IFERROR(_xlfn.XLOOKUP(Table6[[#This Row],[Affected Feeder ]],'Basic Data'!$A:$A,'Basic Data'!$C:$C),"")</f>
        <v>MSEDCL</v>
      </c>
      <c r="J1095" s="295">
        <f>IFERROR(_xlfn.XLOOKUP(Table6[[#This Row],[Affected Feeder ]],'Basic Data'!$A:$A,'Basic Data'!$E:$E),"")</f>
        <v>2.2727272727272728E-2</v>
      </c>
      <c r="K1095" s="296" t="s">
        <v>171</v>
      </c>
      <c r="L1095" s="297">
        <v>0.36944444444444446</v>
      </c>
      <c r="M1095" s="297">
        <v>0.36944444444444446</v>
      </c>
      <c r="N1095" s="297">
        <v>0.37152777777777773</v>
      </c>
      <c r="O1095" s="298">
        <f>(Table6[[#This Row],[Work Start TimeStamp]]-Table6[[#This Row],[Fault Start TimeStamp]])*24</f>
        <v>0</v>
      </c>
      <c r="P1095" s="298">
        <f>(Table6[[#This Row],[Fault Clearance time]]-Table6[[#This Row],[Fault Start TimeStamp]])*24</f>
        <v>4.999999999999849E-2</v>
      </c>
      <c r="Q1095" s="298">
        <f>(Table6[[#This Row],[Fault Clearance time]]-Table6[[#This Row],[Fault Start TimeStamp]])*24</f>
        <v>4.999999999999849E-2</v>
      </c>
      <c r="R1095" s="79" t="s">
        <v>353</v>
      </c>
      <c r="S1095" s="79" t="s">
        <v>339</v>
      </c>
      <c r="T1095" s="298">
        <f>IFERROR(Table6[[#This Row],[Breakdown Time]]*Table6[[#This Row],[Plant Equivalent Weightage]],"")</f>
        <v>1.136363636363602E-3</v>
      </c>
      <c r="U1095" s="79" t="s">
        <v>421</v>
      </c>
      <c r="W1095" s="79">
        <v>9</v>
      </c>
    </row>
    <row r="1096" spans="1:23">
      <c r="A1096" s="79">
        <f t="shared" si="17"/>
        <v>1095</v>
      </c>
      <c r="B1096" s="79">
        <f>YEAR(Table6[[#This Row],[Date]])+IF(MONTH(Table6[[#This Row],[Date]])&gt;=4,1,0)</f>
        <v>2026</v>
      </c>
      <c r="C1096" s="79">
        <f>YEAR(Table6[[#This Row],[Date]])</f>
        <v>2025</v>
      </c>
      <c r="D1096" s="79" t="s">
        <v>344</v>
      </c>
      <c r="E1096" s="284">
        <f>Table6[[#This Row],[Date]]-DAY(Table6[[#This Row],[Date]])+1</f>
        <v>45839</v>
      </c>
      <c r="F1096" s="285">
        <v>45857</v>
      </c>
      <c r="G1096" s="79" t="s">
        <v>406</v>
      </c>
      <c r="H1096" s="79" t="str">
        <f>IFERROR(_xlfn.XLOOKUP(Table6[[#This Row],[Affected Feeder ]],'Basic Data'!$A:$A,'Basic Data'!$B:$B),"")</f>
        <v>PWEPL</v>
      </c>
      <c r="I1096" s="79" t="str">
        <f>IFERROR(_xlfn.XLOOKUP(Table6[[#This Row],[Affected Feeder ]],'Basic Data'!$A:$A,'Basic Data'!$C:$C),"")</f>
        <v>MSEDCL</v>
      </c>
      <c r="J1096" s="295">
        <f>IFERROR(_xlfn.XLOOKUP(Table6[[#This Row],[Affected Feeder ]],'Basic Data'!$A:$A,'Basic Data'!$E:$E),"")</f>
        <v>0.29545454545454541</v>
      </c>
      <c r="K1096" s="296" t="s">
        <v>419</v>
      </c>
      <c r="L1096" s="297">
        <v>0.63124999999999998</v>
      </c>
      <c r="M1096" s="297">
        <v>0.63124999999999998</v>
      </c>
      <c r="N1096" s="297">
        <v>0.6791666666666667</v>
      </c>
      <c r="O1096" s="298">
        <f>(Table6[[#This Row],[Work Start TimeStamp]]-Table6[[#This Row],[Fault Start TimeStamp]])*24</f>
        <v>0</v>
      </c>
      <c r="P1096" s="298">
        <f>(Table6[[#This Row],[Fault Clearance time]]-Table6[[#This Row],[Fault Start TimeStamp]])*24</f>
        <v>1.1500000000000012</v>
      </c>
      <c r="Q1096" s="298">
        <f>(Table6[[#This Row],[Fault Clearance time]]-Table6[[#This Row],[Fault Start TimeStamp]])*24</f>
        <v>1.1500000000000012</v>
      </c>
      <c r="R1096" s="79" t="s">
        <v>420</v>
      </c>
      <c r="S1096" s="79" t="s">
        <v>339</v>
      </c>
      <c r="T1096" s="298">
        <f>IFERROR(Table6[[#This Row],[Breakdown Time]]*Table6[[#This Row],[Plant Equivalent Weightage]],"")</f>
        <v>0.33977272727272761</v>
      </c>
      <c r="U1096" s="79" t="s">
        <v>421</v>
      </c>
      <c r="W1096" s="79">
        <v>4484</v>
      </c>
    </row>
    <row r="1097" spans="1:23">
      <c r="A1097" s="79">
        <f t="shared" si="17"/>
        <v>1096</v>
      </c>
      <c r="B1097" s="79">
        <f>YEAR(Table6[[#This Row],[Date]])+IF(MONTH(Table6[[#This Row],[Date]])&gt;=4,1,0)</f>
        <v>2026</v>
      </c>
      <c r="C1097" s="79">
        <f>YEAR(Table6[[#This Row],[Date]])</f>
        <v>2025</v>
      </c>
      <c r="D1097" s="79" t="s">
        <v>344</v>
      </c>
      <c r="E1097" s="284">
        <f>Table6[[#This Row],[Date]]-DAY(Table6[[#This Row],[Date]])+1</f>
        <v>45839</v>
      </c>
      <c r="F1097" s="285">
        <v>45857</v>
      </c>
      <c r="G1097" s="79" t="s">
        <v>103</v>
      </c>
      <c r="H1097" s="79" t="str">
        <f>IFERROR(_xlfn.XLOOKUP(Table6[[#This Row],[Affected Feeder ]],'Basic Data'!$A:$A,'Basic Data'!$B:$B),"")</f>
        <v>PWEPL</v>
      </c>
      <c r="I1097" s="79" t="str">
        <f>IFERROR(_xlfn.XLOOKUP(Table6[[#This Row],[Affected Feeder ]],'Basic Data'!$A:$A,'Basic Data'!$C:$C),"")</f>
        <v>MSEDCL</v>
      </c>
      <c r="J1097" s="295">
        <f>IFERROR(_xlfn.XLOOKUP(Table6[[#This Row],[Affected Feeder ]],'Basic Data'!$A:$A,'Basic Data'!$E:$E),"")</f>
        <v>2.2727272727272728E-2</v>
      </c>
      <c r="K1097" s="296" t="s">
        <v>171</v>
      </c>
      <c r="L1097" s="297">
        <v>0.6791666666666667</v>
      </c>
      <c r="M1097" s="297">
        <v>0.6791666666666667</v>
      </c>
      <c r="N1097" s="297">
        <v>0.69305555555555554</v>
      </c>
      <c r="O1097" s="298">
        <f>(Table6[[#This Row],[Work Start TimeStamp]]-Table6[[#This Row],[Fault Start TimeStamp]])*24</f>
        <v>0</v>
      </c>
      <c r="P1097" s="298">
        <f>(Table6[[#This Row],[Fault Clearance time]]-Table6[[#This Row],[Fault Start TimeStamp]])*24</f>
        <v>0.33333333333333215</v>
      </c>
      <c r="Q1097" s="298">
        <f>(Table6[[#This Row],[Fault Clearance time]]-Table6[[#This Row],[Fault Start TimeStamp]])*24</f>
        <v>0.33333333333333215</v>
      </c>
      <c r="R1097" s="79" t="s">
        <v>353</v>
      </c>
      <c r="S1097" s="79" t="s">
        <v>339</v>
      </c>
      <c r="T1097" s="298">
        <f>IFERROR(Table6[[#This Row],[Breakdown Time]]*Table6[[#This Row],[Plant Equivalent Weightage]],"")</f>
        <v>7.5757575757575491E-3</v>
      </c>
      <c r="U1097" s="79" t="s">
        <v>421</v>
      </c>
      <c r="W1097" s="79">
        <v>216</v>
      </c>
    </row>
    <row r="1098" spans="1:23">
      <c r="A1098" s="79">
        <f t="shared" si="17"/>
        <v>1097</v>
      </c>
      <c r="B1098" s="79">
        <f>YEAR(Table6[[#This Row],[Date]])+IF(MONTH(Table6[[#This Row],[Date]])&gt;=4,1,0)</f>
        <v>2026</v>
      </c>
      <c r="C1098" s="79">
        <f>YEAR(Table6[[#This Row],[Date]])</f>
        <v>2025</v>
      </c>
      <c r="D1098" s="79" t="s">
        <v>344</v>
      </c>
      <c r="E1098" s="284">
        <f>Table6[[#This Row],[Date]]-DAY(Table6[[#This Row],[Date]])+1</f>
        <v>45839</v>
      </c>
      <c r="F1098" s="285">
        <v>45857</v>
      </c>
      <c r="G1098" s="79" t="s">
        <v>105</v>
      </c>
      <c r="H1098" s="79" t="str">
        <f>IFERROR(_xlfn.XLOOKUP(Table6[[#This Row],[Affected Feeder ]],'Basic Data'!$A:$A,'Basic Data'!$B:$B),"")</f>
        <v>PWEPL</v>
      </c>
      <c r="I1098" s="79" t="str">
        <f>IFERROR(_xlfn.XLOOKUP(Table6[[#This Row],[Affected Feeder ]],'Basic Data'!$A:$A,'Basic Data'!$C:$C),"")</f>
        <v>MSEDCL</v>
      </c>
      <c r="J1098" s="295">
        <f>IFERROR(_xlfn.XLOOKUP(Table6[[#This Row],[Affected Feeder ]],'Basic Data'!$A:$A,'Basic Data'!$E:$E),"")</f>
        <v>2.2727272727272728E-2</v>
      </c>
      <c r="K1098" s="296" t="s">
        <v>171</v>
      </c>
      <c r="L1098" s="297">
        <v>0.6791666666666667</v>
      </c>
      <c r="M1098" s="297">
        <v>0.6791666666666667</v>
      </c>
      <c r="N1098" s="297">
        <v>0.69305555555555554</v>
      </c>
      <c r="O1098" s="298">
        <f>(Table6[[#This Row],[Work Start TimeStamp]]-Table6[[#This Row],[Fault Start TimeStamp]])*24</f>
        <v>0</v>
      </c>
      <c r="P1098" s="298">
        <f>(Table6[[#This Row],[Fault Clearance time]]-Table6[[#This Row],[Fault Start TimeStamp]])*24</f>
        <v>0.33333333333333215</v>
      </c>
      <c r="Q1098" s="298">
        <f>(Table6[[#This Row],[Fault Clearance time]]-Table6[[#This Row],[Fault Start TimeStamp]])*24</f>
        <v>0.33333333333333215</v>
      </c>
      <c r="R1098" s="79" t="s">
        <v>353</v>
      </c>
      <c r="S1098" s="79" t="s">
        <v>339</v>
      </c>
      <c r="T1098" s="298">
        <f>IFERROR(Table6[[#This Row],[Breakdown Time]]*Table6[[#This Row],[Plant Equivalent Weightage]],"")</f>
        <v>7.5757575757575491E-3</v>
      </c>
      <c r="U1098" s="79" t="s">
        <v>421</v>
      </c>
      <c r="W1098" s="79">
        <v>216</v>
      </c>
    </row>
    <row r="1099" spans="1:23">
      <c r="A1099" s="79">
        <f t="shared" si="17"/>
        <v>1098</v>
      </c>
      <c r="B1099" s="79">
        <f>YEAR(Table6[[#This Row],[Date]])+IF(MONTH(Table6[[#This Row],[Date]])&gt;=4,1,0)</f>
        <v>2026</v>
      </c>
      <c r="C1099" s="79">
        <f>YEAR(Table6[[#This Row],[Date]])</f>
        <v>2025</v>
      </c>
      <c r="D1099" s="79" t="s">
        <v>344</v>
      </c>
      <c r="E1099" s="284">
        <f>Table6[[#This Row],[Date]]-DAY(Table6[[#This Row],[Date]])+1</f>
        <v>45839</v>
      </c>
      <c r="F1099" s="285">
        <v>45857</v>
      </c>
      <c r="G1099" s="79" t="s">
        <v>115</v>
      </c>
      <c r="H1099" s="79" t="str">
        <f>IFERROR(_xlfn.XLOOKUP(Table6[[#This Row],[Affected Feeder ]],'Basic Data'!$A:$A,'Basic Data'!$B:$B),"")</f>
        <v>PWEPL</v>
      </c>
      <c r="I1099" s="79" t="str">
        <f>IFERROR(_xlfn.XLOOKUP(Table6[[#This Row],[Affected Feeder ]],'Basic Data'!$A:$A,'Basic Data'!$C:$C),"")</f>
        <v>MSEDCL</v>
      </c>
      <c r="J1099" s="295">
        <f>IFERROR(_xlfn.XLOOKUP(Table6[[#This Row],[Affected Feeder ]],'Basic Data'!$A:$A,'Basic Data'!$E:$E),"")</f>
        <v>2.2727272727272728E-2</v>
      </c>
      <c r="K1099" s="296" t="s">
        <v>171</v>
      </c>
      <c r="L1099" s="297">
        <v>0.6791666666666667</v>
      </c>
      <c r="M1099" s="297">
        <v>0.6791666666666667</v>
      </c>
      <c r="N1099" s="297">
        <v>0.69305555555555554</v>
      </c>
      <c r="O1099" s="298">
        <f>(Table6[[#This Row],[Work Start TimeStamp]]-Table6[[#This Row],[Fault Start TimeStamp]])*24</f>
        <v>0</v>
      </c>
      <c r="P1099" s="298">
        <f>(Table6[[#This Row],[Fault Clearance time]]-Table6[[#This Row],[Fault Start TimeStamp]])*24</f>
        <v>0.33333333333333215</v>
      </c>
      <c r="Q1099" s="298">
        <f>(Table6[[#This Row],[Fault Clearance time]]-Table6[[#This Row],[Fault Start TimeStamp]])*24</f>
        <v>0.33333333333333215</v>
      </c>
      <c r="R1099" s="79" t="s">
        <v>353</v>
      </c>
      <c r="S1099" s="79" t="s">
        <v>339</v>
      </c>
      <c r="T1099" s="298">
        <f>IFERROR(Table6[[#This Row],[Breakdown Time]]*Table6[[#This Row],[Plant Equivalent Weightage]],"")</f>
        <v>7.5757575757575491E-3</v>
      </c>
      <c r="U1099" s="79" t="s">
        <v>421</v>
      </c>
      <c r="W1099" s="79">
        <v>216</v>
      </c>
    </row>
    <row r="1100" spans="1:23">
      <c r="A1100" s="79">
        <f t="shared" si="17"/>
        <v>1099</v>
      </c>
      <c r="B1100" s="79">
        <f>YEAR(Table6[[#This Row],[Date]])+IF(MONTH(Table6[[#This Row],[Date]])&gt;=4,1,0)</f>
        <v>2026</v>
      </c>
      <c r="C1100" s="79">
        <f>YEAR(Table6[[#This Row],[Date]])</f>
        <v>2025</v>
      </c>
      <c r="D1100" s="79" t="s">
        <v>344</v>
      </c>
      <c r="E1100" s="284">
        <f>Table6[[#This Row],[Date]]-DAY(Table6[[#This Row],[Date]])+1</f>
        <v>45839</v>
      </c>
      <c r="F1100" s="285">
        <v>45857</v>
      </c>
      <c r="G1100" s="79" t="s">
        <v>116</v>
      </c>
      <c r="H1100" s="79" t="str">
        <f>IFERROR(_xlfn.XLOOKUP(Table6[[#This Row],[Affected Feeder ]],'Basic Data'!$A:$A,'Basic Data'!$B:$B),"")</f>
        <v>PWEPL</v>
      </c>
      <c r="I1100" s="79" t="str">
        <f>IFERROR(_xlfn.XLOOKUP(Table6[[#This Row],[Affected Feeder ]],'Basic Data'!$A:$A,'Basic Data'!$C:$C),"")</f>
        <v>MSEDCL</v>
      </c>
      <c r="J1100" s="295">
        <f>IFERROR(_xlfn.XLOOKUP(Table6[[#This Row],[Affected Feeder ]],'Basic Data'!$A:$A,'Basic Data'!$E:$E),"")</f>
        <v>2.2727272727272728E-2</v>
      </c>
      <c r="K1100" s="296" t="s">
        <v>171</v>
      </c>
      <c r="L1100" s="297">
        <v>0.6791666666666667</v>
      </c>
      <c r="M1100" s="297">
        <v>0.6791666666666667</v>
      </c>
      <c r="N1100" s="297">
        <v>0.69305555555555554</v>
      </c>
      <c r="O1100" s="298">
        <f>(Table6[[#This Row],[Work Start TimeStamp]]-Table6[[#This Row],[Fault Start TimeStamp]])*24</f>
        <v>0</v>
      </c>
      <c r="P1100" s="298">
        <f>(Table6[[#This Row],[Fault Clearance time]]-Table6[[#This Row],[Fault Start TimeStamp]])*24</f>
        <v>0.33333333333333215</v>
      </c>
      <c r="Q1100" s="298">
        <f>(Table6[[#This Row],[Fault Clearance time]]-Table6[[#This Row],[Fault Start TimeStamp]])*24</f>
        <v>0.33333333333333215</v>
      </c>
      <c r="R1100" s="79" t="s">
        <v>353</v>
      </c>
      <c r="S1100" s="79" t="s">
        <v>339</v>
      </c>
      <c r="T1100" s="298">
        <f>IFERROR(Table6[[#This Row],[Breakdown Time]]*Table6[[#This Row],[Plant Equivalent Weightage]],"")</f>
        <v>7.5757575757575491E-3</v>
      </c>
      <c r="U1100" s="79" t="s">
        <v>421</v>
      </c>
      <c r="W1100" s="79">
        <v>216</v>
      </c>
    </row>
    <row r="1101" spans="1:23">
      <c r="A1101" s="79">
        <f t="shared" si="17"/>
        <v>1100</v>
      </c>
      <c r="B1101" s="79">
        <f>YEAR(Table6[[#This Row],[Date]])+IF(MONTH(Table6[[#This Row],[Date]])&gt;=4,1,0)</f>
        <v>2026</v>
      </c>
      <c r="C1101" s="79">
        <f>YEAR(Table6[[#This Row],[Date]])</f>
        <v>2025</v>
      </c>
      <c r="D1101" s="79" t="s">
        <v>344</v>
      </c>
      <c r="E1101" s="284">
        <f>Table6[[#This Row],[Date]]-DAY(Table6[[#This Row],[Date]])+1</f>
        <v>45839</v>
      </c>
      <c r="F1101" s="285">
        <v>45857</v>
      </c>
      <c r="G1101" s="79" t="s">
        <v>117</v>
      </c>
      <c r="H1101" s="79" t="str">
        <f>IFERROR(_xlfn.XLOOKUP(Table6[[#This Row],[Affected Feeder ]],'Basic Data'!$A:$A,'Basic Data'!$B:$B),"")</f>
        <v>PWEPL</v>
      </c>
      <c r="I1101" s="79" t="str">
        <f>IFERROR(_xlfn.XLOOKUP(Table6[[#This Row],[Affected Feeder ]],'Basic Data'!$A:$A,'Basic Data'!$C:$C),"")</f>
        <v>MSEDCL</v>
      </c>
      <c r="J1101" s="295">
        <f>IFERROR(_xlfn.XLOOKUP(Table6[[#This Row],[Affected Feeder ]],'Basic Data'!$A:$A,'Basic Data'!$E:$E),"")</f>
        <v>2.2727272727272728E-2</v>
      </c>
      <c r="K1101" s="296" t="s">
        <v>171</v>
      </c>
      <c r="L1101" s="297">
        <v>0.6791666666666667</v>
      </c>
      <c r="M1101" s="297">
        <v>0.6791666666666667</v>
      </c>
      <c r="N1101" s="297">
        <v>0.69305555555555554</v>
      </c>
      <c r="O1101" s="298">
        <f>(Table6[[#This Row],[Work Start TimeStamp]]-Table6[[#This Row],[Fault Start TimeStamp]])*24</f>
        <v>0</v>
      </c>
      <c r="P1101" s="298">
        <f>(Table6[[#This Row],[Fault Clearance time]]-Table6[[#This Row],[Fault Start TimeStamp]])*24</f>
        <v>0.33333333333333215</v>
      </c>
      <c r="Q1101" s="298">
        <f>(Table6[[#This Row],[Fault Clearance time]]-Table6[[#This Row],[Fault Start TimeStamp]])*24</f>
        <v>0.33333333333333215</v>
      </c>
      <c r="R1101" s="79" t="s">
        <v>353</v>
      </c>
      <c r="S1101" s="79" t="s">
        <v>339</v>
      </c>
      <c r="T1101" s="298">
        <f>IFERROR(Table6[[#This Row],[Breakdown Time]]*Table6[[#This Row],[Plant Equivalent Weightage]],"")</f>
        <v>7.5757575757575491E-3</v>
      </c>
      <c r="U1101" s="79" t="s">
        <v>421</v>
      </c>
      <c r="W1101" s="79">
        <v>216</v>
      </c>
    </row>
    <row r="1102" spans="1:23">
      <c r="A1102" s="79">
        <f t="shared" si="17"/>
        <v>1101</v>
      </c>
      <c r="B1102" s="79">
        <f>YEAR(Table6[[#This Row],[Date]])+IF(MONTH(Table6[[#This Row],[Date]])&gt;=4,1,0)</f>
        <v>2026</v>
      </c>
      <c r="C1102" s="79">
        <f>YEAR(Table6[[#This Row],[Date]])</f>
        <v>2025</v>
      </c>
      <c r="D1102" s="79" t="s">
        <v>344</v>
      </c>
      <c r="E1102" s="284">
        <f>Table6[[#This Row],[Date]]-DAY(Table6[[#This Row],[Date]])+1</f>
        <v>45839</v>
      </c>
      <c r="F1102" s="285">
        <v>45857</v>
      </c>
      <c r="G1102" s="79" t="s">
        <v>118</v>
      </c>
      <c r="H1102" s="79" t="str">
        <f>IFERROR(_xlfn.XLOOKUP(Table6[[#This Row],[Affected Feeder ]],'Basic Data'!$A:$A,'Basic Data'!$B:$B),"")</f>
        <v>PWEPL</v>
      </c>
      <c r="I1102" s="79" t="str">
        <f>IFERROR(_xlfn.XLOOKUP(Table6[[#This Row],[Affected Feeder ]],'Basic Data'!$A:$A,'Basic Data'!$C:$C),"")</f>
        <v>MSEDCL</v>
      </c>
      <c r="J1102" s="295">
        <f>IFERROR(_xlfn.XLOOKUP(Table6[[#This Row],[Affected Feeder ]],'Basic Data'!$A:$A,'Basic Data'!$E:$E),"")</f>
        <v>2.2727272727272728E-2</v>
      </c>
      <c r="K1102" s="296" t="s">
        <v>171</v>
      </c>
      <c r="L1102" s="297">
        <v>0.6791666666666667</v>
      </c>
      <c r="M1102" s="297">
        <v>0.6791666666666667</v>
      </c>
      <c r="N1102" s="297">
        <v>0.6875</v>
      </c>
      <c r="O1102" s="298">
        <f>(Table6[[#This Row],[Work Start TimeStamp]]-Table6[[#This Row],[Fault Start TimeStamp]])*24</f>
        <v>0</v>
      </c>
      <c r="P1102" s="298">
        <f>(Table6[[#This Row],[Fault Clearance time]]-Table6[[#This Row],[Fault Start TimeStamp]])*24</f>
        <v>0.19999999999999929</v>
      </c>
      <c r="Q1102" s="298">
        <f>(Table6[[#This Row],[Fault Clearance time]]-Table6[[#This Row],[Fault Start TimeStamp]])*24</f>
        <v>0.19999999999999929</v>
      </c>
      <c r="R1102" s="79" t="s">
        <v>353</v>
      </c>
      <c r="S1102" s="79" t="s">
        <v>339</v>
      </c>
      <c r="T1102" s="298">
        <f>IFERROR(Table6[[#This Row],[Breakdown Time]]*Table6[[#This Row],[Plant Equivalent Weightage]],"")</f>
        <v>4.5454545454545296E-3</v>
      </c>
      <c r="U1102" s="79" t="s">
        <v>421</v>
      </c>
      <c r="W1102" s="79">
        <v>130</v>
      </c>
    </row>
    <row r="1103" spans="1:23">
      <c r="A1103" s="79">
        <f t="shared" si="17"/>
        <v>1102</v>
      </c>
      <c r="B1103" s="79">
        <f>YEAR(Table6[[#This Row],[Date]])+IF(MONTH(Table6[[#This Row],[Date]])&gt;=4,1,0)</f>
        <v>2026</v>
      </c>
      <c r="C1103" s="79">
        <f>YEAR(Table6[[#This Row],[Date]])</f>
        <v>2025</v>
      </c>
      <c r="D1103" s="79" t="s">
        <v>344</v>
      </c>
      <c r="E1103" s="284">
        <f>Table6[[#This Row],[Date]]-DAY(Table6[[#This Row],[Date]])+1</f>
        <v>45839</v>
      </c>
      <c r="F1103" s="285">
        <v>45857</v>
      </c>
      <c r="G1103" s="79" t="s">
        <v>76</v>
      </c>
      <c r="H1103" s="79" t="str">
        <f>IFERROR(_xlfn.XLOOKUP(Table6[[#This Row],[Affected Feeder ]],'Basic Data'!$A:$A,'Basic Data'!$B:$B),"")</f>
        <v>PWEPL</v>
      </c>
      <c r="I1103" s="79" t="str">
        <f>IFERROR(_xlfn.XLOOKUP(Table6[[#This Row],[Affected Feeder ]],'Basic Data'!$A:$A,'Basic Data'!$C:$C),"")</f>
        <v>MSEDCL</v>
      </c>
      <c r="J1103" s="295">
        <f>IFERROR(_xlfn.XLOOKUP(Table6[[#This Row],[Affected Feeder ]],'Basic Data'!$A:$A,'Basic Data'!$E:$E),"")</f>
        <v>2.2727272727272728E-2</v>
      </c>
      <c r="K1103" s="296" t="s">
        <v>986</v>
      </c>
      <c r="L1103" s="297">
        <v>0.6791666666666667</v>
      </c>
      <c r="M1103" s="297">
        <v>0.6791666666666667</v>
      </c>
      <c r="N1103" s="297">
        <v>0.72222222222222221</v>
      </c>
      <c r="O1103" s="298">
        <f>(Table6[[#This Row],[Work Start TimeStamp]]-Table6[[#This Row],[Fault Start TimeStamp]])*24</f>
        <v>0</v>
      </c>
      <c r="P1103" s="298">
        <f>(Table6[[#This Row],[Fault Clearance time]]-Table6[[#This Row],[Fault Start TimeStamp]])*24</f>
        <v>1.0333333333333323</v>
      </c>
      <c r="Q1103" s="298">
        <f>(Table6[[#This Row],[Fault Clearance time]]-Table6[[#This Row],[Fault Start TimeStamp]])*24</f>
        <v>1.0333333333333323</v>
      </c>
      <c r="R1103" s="79" t="s">
        <v>812</v>
      </c>
      <c r="S1103" s="79" t="s">
        <v>339</v>
      </c>
      <c r="T1103" s="298">
        <f>IFERROR(Table6[[#This Row],[Breakdown Time]]*Table6[[#This Row],[Plant Equivalent Weightage]],"")</f>
        <v>2.3484848484848463E-2</v>
      </c>
      <c r="U1103" s="79" t="s">
        <v>421</v>
      </c>
      <c r="W1103" s="79">
        <v>4152</v>
      </c>
    </row>
    <row r="1104" spans="1:23">
      <c r="A1104" s="79">
        <f t="shared" si="17"/>
        <v>1103</v>
      </c>
      <c r="B1104" s="79">
        <f>YEAR(Table6[[#This Row],[Date]])+IF(MONTH(Table6[[#This Row],[Date]])&gt;=4,1,0)</f>
        <v>2026</v>
      </c>
      <c r="C1104" s="79">
        <f>YEAR(Table6[[#This Row],[Date]])</f>
        <v>2025</v>
      </c>
      <c r="D1104" s="79" t="s">
        <v>344</v>
      </c>
      <c r="E1104" s="284">
        <f>Table6[[#This Row],[Date]]-DAY(Table6[[#This Row],[Date]])+1</f>
        <v>45839</v>
      </c>
      <c r="F1104" s="285">
        <v>45857</v>
      </c>
      <c r="G1104" s="79" t="s">
        <v>76</v>
      </c>
      <c r="H1104" s="79" t="str">
        <f>IFERROR(_xlfn.XLOOKUP(Table6[[#This Row],[Affected Feeder ]],'Basic Data'!$A:$A,'Basic Data'!$B:$B),"")</f>
        <v>PWEPL</v>
      </c>
      <c r="I1104" s="79" t="str">
        <f>IFERROR(_xlfn.XLOOKUP(Table6[[#This Row],[Affected Feeder ]],'Basic Data'!$A:$A,'Basic Data'!$C:$C),"")</f>
        <v>MSEDCL</v>
      </c>
      <c r="J1104" s="295">
        <f>IFERROR(_xlfn.XLOOKUP(Table6[[#This Row],[Affected Feeder ]],'Basic Data'!$A:$A,'Basic Data'!$E:$E),"")</f>
        <v>2.2727272727272728E-2</v>
      </c>
      <c r="K1104" s="296" t="s">
        <v>171</v>
      </c>
      <c r="L1104" s="297">
        <v>0.72222222222222221</v>
      </c>
      <c r="M1104" s="297">
        <v>0.72222222222222221</v>
      </c>
      <c r="N1104" s="297">
        <v>0.73611111111111116</v>
      </c>
      <c r="O1104" s="298">
        <f>(Table6[[#This Row],[Work Start TimeStamp]]-Table6[[#This Row],[Fault Start TimeStamp]])*24</f>
        <v>0</v>
      </c>
      <c r="P1104" s="298">
        <f>(Table6[[#This Row],[Fault Clearance time]]-Table6[[#This Row],[Fault Start TimeStamp]])*24</f>
        <v>0.33333333333333481</v>
      </c>
      <c r="Q1104" s="298">
        <f>(Table6[[#This Row],[Fault Clearance time]]-Table6[[#This Row],[Fault Start TimeStamp]])*24</f>
        <v>0.33333333333333481</v>
      </c>
      <c r="R1104" s="79" t="s">
        <v>353</v>
      </c>
      <c r="S1104" s="79" t="s">
        <v>339</v>
      </c>
      <c r="T1104" s="298">
        <f>IFERROR(Table6[[#This Row],[Breakdown Time]]*Table6[[#This Row],[Plant Equivalent Weightage]],"")</f>
        <v>7.5757575757576098E-3</v>
      </c>
      <c r="U1104" s="79" t="s">
        <v>421</v>
      </c>
      <c r="W1104" s="79">
        <v>200</v>
      </c>
    </row>
    <row r="1105" spans="1:23">
      <c r="A1105" s="79">
        <f t="shared" si="17"/>
        <v>1104</v>
      </c>
      <c r="B1105" s="79">
        <f>YEAR(Table6[[#This Row],[Date]])+IF(MONTH(Table6[[#This Row],[Date]])&gt;=4,1,0)</f>
        <v>2026</v>
      </c>
      <c r="C1105" s="79">
        <f>YEAR(Table6[[#This Row],[Date]])</f>
        <v>2025</v>
      </c>
      <c r="D1105" s="79" t="s">
        <v>344</v>
      </c>
      <c r="E1105" s="284">
        <f>Table6[[#This Row],[Date]]-DAY(Table6[[#This Row],[Date]])+1</f>
        <v>45839</v>
      </c>
      <c r="F1105" s="285">
        <v>45857</v>
      </c>
      <c r="G1105" s="79" t="s">
        <v>77</v>
      </c>
      <c r="H1105" s="79" t="str">
        <f>IFERROR(_xlfn.XLOOKUP(Table6[[#This Row],[Affected Feeder ]],'Basic Data'!$A:$A,'Basic Data'!$B:$B),"")</f>
        <v>PWEPL</v>
      </c>
      <c r="I1105" s="79" t="str">
        <f>IFERROR(_xlfn.XLOOKUP(Table6[[#This Row],[Affected Feeder ]],'Basic Data'!$A:$A,'Basic Data'!$C:$C),"")</f>
        <v>MSEDCL</v>
      </c>
      <c r="J1105" s="295">
        <f>IFERROR(_xlfn.XLOOKUP(Table6[[#This Row],[Affected Feeder ]],'Basic Data'!$A:$A,'Basic Data'!$E:$E),"")</f>
        <v>2.2727272727272728E-2</v>
      </c>
      <c r="K1105" s="296" t="s">
        <v>986</v>
      </c>
      <c r="L1105" s="297">
        <v>0.6791666666666667</v>
      </c>
      <c r="M1105" s="297">
        <v>0.6791666666666667</v>
      </c>
      <c r="N1105" s="297">
        <v>0.72222222222222221</v>
      </c>
      <c r="O1105" s="298">
        <f>(Table6[[#This Row],[Work Start TimeStamp]]-Table6[[#This Row],[Fault Start TimeStamp]])*24</f>
        <v>0</v>
      </c>
      <c r="P1105" s="298">
        <f>(Table6[[#This Row],[Fault Clearance time]]-Table6[[#This Row],[Fault Start TimeStamp]])*24</f>
        <v>1.0333333333333323</v>
      </c>
      <c r="Q1105" s="298">
        <f>(Table6[[#This Row],[Fault Clearance time]]-Table6[[#This Row],[Fault Start TimeStamp]])*24</f>
        <v>1.0333333333333323</v>
      </c>
      <c r="R1105" s="79" t="s">
        <v>812</v>
      </c>
      <c r="S1105" s="79" t="s">
        <v>339</v>
      </c>
      <c r="T1105" s="298">
        <f>IFERROR(Table6[[#This Row],[Breakdown Time]]*Table6[[#This Row],[Plant Equivalent Weightage]],"")</f>
        <v>2.3484848484848463E-2</v>
      </c>
      <c r="U1105" s="79" t="s">
        <v>421</v>
      </c>
      <c r="W1105" s="79">
        <v>4232</v>
      </c>
    </row>
    <row r="1106" spans="1:23">
      <c r="A1106" s="79">
        <f t="shared" si="17"/>
        <v>1105</v>
      </c>
      <c r="B1106" s="79">
        <f>YEAR(Table6[[#This Row],[Date]])+IF(MONTH(Table6[[#This Row],[Date]])&gt;=4,1,0)</f>
        <v>2026</v>
      </c>
      <c r="C1106" s="79">
        <f>YEAR(Table6[[#This Row],[Date]])</f>
        <v>2025</v>
      </c>
      <c r="D1106" s="79" t="s">
        <v>344</v>
      </c>
      <c r="E1106" s="284">
        <f>Table6[[#This Row],[Date]]-DAY(Table6[[#This Row],[Date]])+1</f>
        <v>45839</v>
      </c>
      <c r="F1106" s="285">
        <v>45857</v>
      </c>
      <c r="G1106" s="79" t="s">
        <v>77</v>
      </c>
      <c r="H1106" s="79" t="str">
        <f>IFERROR(_xlfn.XLOOKUP(Table6[[#This Row],[Affected Feeder ]],'Basic Data'!$A:$A,'Basic Data'!$B:$B),"")</f>
        <v>PWEPL</v>
      </c>
      <c r="I1106" s="79" t="str">
        <f>IFERROR(_xlfn.XLOOKUP(Table6[[#This Row],[Affected Feeder ]],'Basic Data'!$A:$A,'Basic Data'!$C:$C),"")</f>
        <v>MSEDCL</v>
      </c>
      <c r="J1106" s="295">
        <f>IFERROR(_xlfn.XLOOKUP(Table6[[#This Row],[Affected Feeder ]],'Basic Data'!$A:$A,'Basic Data'!$E:$E),"")</f>
        <v>2.2727272727272728E-2</v>
      </c>
      <c r="K1106" s="296" t="s">
        <v>171</v>
      </c>
      <c r="L1106" s="297">
        <v>0.72222222222222221</v>
      </c>
      <c r="M1106" s="297">
        <v>0.72222222222222221</v>
      </c>
      <c r="N1106" s="297">
        <v>0.73055555555555562</v>
      </c>
      <c r="O1106" s="298">
        <f>(Table6[[#This Row],[Work Start TimeStamp]]-Table6[[#This Row],[Fault Start TimeStamp]])*24</f>
        <v>0</v>
      </c>
      <c r="P1106" s="298">
        <f>(Table6[[#This Row],[Fault Clearance time]]-Table6[[#This Row],[Fault Start TimeStamp]])*24</f>
        <v>0.20000000000000195</v>
      </c>
      <c r="Q1106" s="298">
        <f>(Table6[[#This Row],[Fault Clearance time]]-Table6[[#This Row],[Fault Start TimeStamp]])*24</f>
        <v>0.20000000000000195</v>
      </c>
      <c r="R1106" s="79" t="s">
        <v>353</v>
      </c>
      <c r="S1106" s="79" t="s">
        <v>339</v>
      </c>
      <c r="T1106" s="298">
        <f>IFERROR(Table6[[#This Row],[Breakdown Time]]*Table6[[#This Row],[Plant Equivalent Weightage]],"")</f>
        <v>4.5454545454545903E-3</v>
      </c>
      <c r="U1106" s="79" t="s">
        <v>421</v>
      </c>
      <c r="W1106" s="79">
        <v>120</v>
      </c>
    </row>
    <row r="1107" spans="1:23">
      <c r="A1107" s="79">
        <f t="shared" si="17"/>
        <v>1106</v>
      </c>
      <c r="B1107" s="79">
        <f>YEAR(Table6[[#This Row],[Date]])+IF(MONTH(Table6[[#This Row],[Date]])&gt;=4,1,0)</f>
        <v>2026</v>
      </c>
      <c r="C1107" s="79">
        <f>YEAR(Table6[[#This Row],[Date]])</f>
        <v>2025</v>
      </c>
      <c r="D1107" s="79" t="s">
        <v>344</v>
      </c>
      <c r="E1107" s="284">
        <f>Table6[[#This Row],[Date]]-DAY(Table6[[#This Row],[Date]])+1</f>
        <v>45839</v>
      </c>
      <c r="F1107" s="285">
        <v>45857</v>
      </c>
      <c r="G1107" s="79" t="s">
        <v>78</v>
      </c>
      <c r="H1107" s="79" t="str">
        <f>IFERROR(_xlfn.XLOOKUP(Table6[[#This Row],[Affected Feeder ]],'Basic Data'!$A:$A,'Basic Data'!$B:$B),"")</f>
        <v>PWEPL</v>
      </c>
      <c r="I1107" s="79" t="str">
        <f>IFERROR(_xlfn.XLOOKUP(Table6[[#This Row],[Affected Feeder ]],'Basic Data'!$A:$A,'Basic Data'!$C:$C),"")</f>
        <v>MSEDCL</v>
      </c>
      <c r="J1107" s="295">
        <f>IFERROR(_xlfn.XLOOKUP(Table6[[#This Row],[Affected Feeder ]],'Basic Data'!$A:$A,'Basic Data'!$E:$E),"")</f>
        <v>2.2727272727272728E-2</v>
      </c>
      <c r="K1107" s="296" t="s">
        <v>986</v>
      </c>
      <c r="L1107" s="297">
        <v>0.6791666666666667</v>
      </c>
      <c r="M1107" s="297">
        <v>0.6791666666666667</v>
      </c>
      <c r="N1107" s="297">
        <v>0.72222222222222221</v>
      </c>
      <c r="O1107" s="298">
        <f>(Table6[[#This Row],[Work Start TimeStamp]]-Table6[[#This Row],[Fault Start TimeStamp]])*24</f>
        <v>0</v>
      </c>
      <c r="P1107" s="298">
        <f>(Table6[[#This Row],[Fault Clearance time]]-Table6[[#This Row],[Fault Start TimeStamp]])*24</f>
        <v>1.0333333333333323</v>
      </c>
      <c r="Q1107" s="298">
        <f>(Table6[[#This Row],[Fault Clearance time]]-Table6[[#This Row],[Fault Start TimeStamp]])*24</f>
        <v>1.0333333333333323</v>
      </c>
      <c r="R1107" s="79" t="s">
        <v>812</v>
      </c>
      <c r="S1107" s="79" t="s">
        <v>339</v>
      </c>
      <c r="T1107" s="298">
        <f>IFERROR(Table6[[#This Row],[Breakdown Time]]*Table6[[#This Row],[Plant Equivalent Weightage]],"")</f>
        <v>2.3484848484848463E-2</v>
      </c>
      <c r="U1107" s="79" t="s">
        <v>421</v>
      </c>
      <c r="W1107" s="79">
        <v>4152</v>
      </c>
    </row>
    <row r="1108" spans="1:23">
      <c r="A1108" s="79">
        <f t="shared" si="17"/>
        <v>1107</v>
      </c>
      <c r="B1108" s="79">
        <f>YEAR(Table6[[#This Row],[Date]])+IF(MONTH(Table6[[#This Row],[Date]])&gt;=4,1,0)</f>
        <v>2026</v>
      </c>
      <c r="C1108" s="79">
        <f>YEAR(Table6[[#This Row],[Date]])</f>
        <v>2025</v>
      </c>
      <c r="D1108" s="79" t="s">
        <v>344</v>
      </c>
      <c r="E1108" s="284">
        <f>Table6[[#This Row],[Date]]-DAY(Table6[[#This Row],[Date]])+1</f>
        <v>45839</v>
      </c>
      <c r="F1108" s="285">
        <v>45857</v>
      </c>
      <c r="G1108" s="79" t="s">
        <v>78</v>
      </c>
      <c r="H1108" s="79" t="str">
        <f>IFERROR(_xlfn.XLOOKUP(Table6[[#This Row],[Affected Feeder ]],'Basic Data'!$A:$A,'Basic Data'!$B:$B),"")</f>
        <v>PWEPL</v>
      </c>
      <c r="I1108" s="79" t="str">
        <f>IFERROR(_xlfn.XLOOKUP(Table6[[#This Row],[Affected Feeder ]],'Basic Data'!$A:$A,'Basic Data'!$C:$C),"")</f>
        <v>MSEDCL</v>
      </c>
      <c r="J1108" s="295">
        <f>IFERROR(_xlfn.XLOOKUP(Table6[[#This Row],[Affected Feeder ]],'Basic Data'!$A:$A,'Basic Data'!$E:$E),"")</f>
        <v>2.2727272727272728E-2</v>
      </c>
      <c r="K1108" s="296" t="s">
        <v>171</v>
      </c>
      <c r="L1108" s="297">
        <v>0.72222222222222221</v>
      </c>
      <c r="M1108" s="297">
        <v>0.72222222222222221</v>
      </c>
      <c r="N1108" s="297">
        <v>0.73611111111111116</v>
      </c>
      <c r="O1108" s="298">
        <f>(Table6[[#This Row],[Work Start TimeStamp]]-Table6[[#This Row],[Fault Start TimeStamp]])*24</f>
        <v>0</v>
      </c>
      <c r="P1108" s="298">
        <f>(Table6[[#This Row],[Fault Clearance time]]-Table6[[#This Row],[Fault Start TimeStamp]])*24</f>
        <v>0.33333333333333481</v>
      </c>
      <c r="Q1108" s="298">
        <f>(Table6[[#This Row],[Fault Clearance time]]-Table6[[#This Row],[Fault Start TimeStamp]])*24</f>
        <v>0.33333333333333481</v>
      </c>
      <c r="R1108" s="79" t="s">
        <v>353</v>
      </c>
      <c r="S1108" s="79" t="s">
        <v>339</v>
      </c>
      <c r="T1108" s="298">
        <f>IFERROR(Table6[[#This Row],[Breakdown Time]]*Table6[[#This Row],[Plant Equivalent Weightage]],"")</f>
        <v>7.5757575757576098E-3</v>
      </c>
      <c r="U1108" s="79" t="s">
        <v>421</v>
      </c>
      <c r="W1108" s="79">
        <v>200</v>
      </c>
    </row>
    <row r="1109" spans="1:23">
      <c r="A1109" s="79">
        <f t="shared" si="17"/>
        <v>1108</v>
      </c>
      <c r="B1109" s="79">
        <f>YEAR(Table6[[#This Row],[Date]])+IF(MONTH(Table6[[#This Row],[Date]])&gt;=4,1,0)</f>
        <v>2026</v>
      </c>
      <c r="C1109" s="79">
        <f>YEAR(Table6[[#This Row],[Date]])</f>
        <v>2025</v>
      </c>
      <c r="D1109" s="79" t="s">
        <v>344</v>
      </c>
      <c r="E1109" s="284">
        <f>Table6[[#This Row],[Date]]-DAY(Table6[[#This Row],[Date]])+1</f>
        <v>45839</v>
      </c>
      <c r="F1109" s="285">
        <v>45857</v>
      </c>
      <c r="G1109" s="79" t="s">
        <v>82</v>
      </c>
      <c r="H1109" s="79" t="str">
        <f>IFERROR(_xlfn.XLOOKUP(Table6[[#This Row],[Affected Feeder ]],'Basic Data'!$A:$A,'Basic Data'!$B:$B),"")</f>
        <v>PWEPL</v>
      </c>
      <c r="I1109" s="79" t="str">
        <f>IFERROR(_xlfn.XLOOKUP(Table6[[#This Row],[Affected Feeder ]],'Basic Data'!$A:$A,'Basic Data'!$C:$C),"")</f>
        <v>MSEDCL</v>
      </c>
      <c r="J1109" s="295">
        <f>IFERROR(_xlfn.XLOOKUP(Table6[[#This Row],[Affected Feeder ]],'Basic Data'!$A:$A,'Basic Data'!$E:$E),"")</f>
        <v>2.2727272727272728E-2</v>
      </c>
      <c r="K1109" s="296" t="s">
        <v>986</v>
      </c>
      <c r="L1109" s="297">
        <v>0.6791666666666667</v>
      </c>
      <c r="M1109" s="297">
        <v>0.6791666666666667</v>
      </c>
      <c r="N1109" s="297">
        <v>0.72222222222222221</v>
      </c>
      <c r="O1109" s="298">
        <f>(Table6[[#This Row],[Work Start TimeStamp]]-Table6[[#This Row],[Fault Start TimeStamp]])*24</f>
        <v>0</v>
      </c>
      <c r="P1109" s="298">
        <f>(Table6[[#This Row],[Fault Clearance time]]-Table6[[#This Row],[Fault Start TimeStamp]])*24</f>
        <v>1.0333333333333323</v>
      </c>
      <c r="Q1109" s="298">
        <f>(Table6[[#This Row],[Fault Clearance time]]-Table6[[#This Row],[Fault Start TimeStamp]])*24</f>
        <v>1.0333333333333323</v>
      </c>
      <c r="R1109" s="79" t="s">
        <v>812</v>
      </c>
      <c r="S1109" s="79" t="s">
        <v>339</v>
      </c>
      <c r="T1109" s="298">
        <f>IFERROR(Table6[[#This Row],[Breakdown Time]]*Table6[[#This Row],[Plant Equivalent Weightage]],"")</f>
        <v>2.3484848484848463E-2</v>
      </c>
      <c r="U1109" s="79" t="s">
        <v>421</v>
      </c>
      <c r="W1109" s="79">
        <v>4202</v>
      </c>
    </row>
    <row r="1110" spans="1:23">
      <c r="A1110" s="79">
        <f t="shared" si="17"/>
        <v>1109</v>
      </c>
      <c r="B1110" s="79">
        <f>YEAR(Table6[[#This Row],[Date]])+IF(MONTH(Table6[[#This Row],[Date]])&gt;=4,1,0)</f>
        <v>2026</v>
      </c>
      <c r="C1110" s="79">
        <f>YEAR(Table6[[#This Row],[Date]])</f>
        <v>2025</v>
      </c>
      <c r="D1110" s="79" t="s">
        <v>344</v>
      </c>
      <c r="E1110" s="284">
        <f>Table6[[#This Row],[Date]]-DAY(Table6[[#This Row],[Date]])+1</f>
        <v>45839</v>
      </c>
      <c r="F1110" s="285">
        <v>45857</v>
      </c>
      <c r="G1110" s="79" t="s">
        <v>82</v>
      </c>
      <c r="H1110" s="79" t="str">
        <f>IFERROR(_xlfn.XLOOKUP(Table6[[#This Row],[Affected Feeder ]],'Basic Data'!$A:$A,'Basic Data'!$B:$B),"")</f>
        <v>PWEPL</v>
      </c>
      <c r="I1110" s="79" t="str">
        <f>IFERROR(_xlfn.XLOOKUP(Table6[[#This Row],[Affected Feeder ]],'Basic Data'!$A:$A,'Basic Data'!$C:$C),"")</f>
        <v>MSEDCL</v>
      </c>
      <c r="J1110" s="295">
        <f>IFERROR(_xlfn.XLOOKUP(Table6[[#This Row],[Affected Feeder ]],'Basic Data'!$A:$A,'Basic Data'!$E:$E),"")</f>
        <v>2.2727272727272728E-2</v>
      </c>
      <c r="K1110" s="296" t="s">
        <v>171</v>
      </c>
      <c r="L1110" s="297">
        <v>0.72222222222222221</v>
      </c>
      <c r="M1110" s="297">
        <v>0.72222222222222221</v>
      </c>
      <c r="N1110" s="297">
        <v>0.73263888888888884</v>
      </c>
      <c r="O1110" s="298">
        <f>(Table6[[#This Row],[Work Start TimeStamp]]-Table6[[#This Row],[Fault Start TimeStamp]])*24</f>
        <v>0</v>
      </c>
      <c r="P1110" s="298">
        <f>(Table6[[#This Row],[Fault Clearance time]]-Table6[[#This Row],[Fault Start TimeStamp]])*24</f>
        <v>0.24999999999999911</v>
      </c>
      <c r="Q1110" s="298">
        <f>(Table6[[#This Row],[Fault Clearance time]]-Table6[[#This Row],[Fault Start TimeStamp]])*24</f>
        <v>0.24999999999999911</v>
      </c>
      <c r="R1110" s="79" t="s">
        <v>353</v>
      </c>
      <c r="S1110" s="79" t="s">
        <v>339</v>
      </c>
      <c r="T1110" s="298">
        <f>IFERROR(Table6[[#This Row],[Breakdown Time]]*Table6[[#This Row],[Plant Equivalent Weightage]],"")</f>
        <v>5.681818181818162E-3</v>
      </c>
      <c r="U1110" s="79" t="s">
        <v>421</v>
      </c>
      <c r="W1110" s="79">
        <v>150</v>
      </c>
    </row>
    <row r="1111" spans="1:23">
      <c r="A1111" s="79">
        <f t="shared" si="17"/>
        <v>1110</v>
      </c>
      <c r="B1111" s="79">
        <f>YEAR(Table6[[#This Row],[Date]])+IF(MONTH(Table6[[#This Row],[Date]])&gt;=4,1,0)</f>
        <v>2026</v>
      </c>
      <c r="C1111" s="79">
        <f>YEAR(Table6[[#This Row],[Date]])</f>
        <v>2025</v>
      </c>
      <c r="D1111" s="79" t="s">
        <v>344</v>
      </c>
      <c r="E1111" s="284">
        <f>Table6[[#This Row],[Date]]-DAY(Table6[[#This Row],[Date]])+1</f>
        <v>45839</v>
      </c>
      <c r="F1111" s="285">
        <v>45857</v>
      </c>
      <c r="G1111" s="79" t="s">
        <v>93</v>
      </c>
      <c r="H1111" s="79" t="str">
        <f>IFERROR(_xlfn.XLOOKUP(Table6[[#This Row],[Affected Feeder ]],'Basic Data'!$A:$A,'Basic Data'!$B:$B),"")</f>
        <v>PWEPL</v>
      </c>
      <c r="I1111" s="79" t="str">
        <f>IFERROR(_xlfn.XLOOKUP(Table6[[#This Row],[Affected Feeder ]],'Basic Data'!$A:$A,'Basic Data'!$C:$C),"")</f>
        <v>MSEDCL</v>
      </c>
      <c r="J1111" s="295">
        <f>IFERROR(_xlfn.XLOOKUP(Table6[[#This Row],[Affected Feeder ]],'Basic Data'!$A:$A,'Basic Data'!$E:$E),"")</f>
        <v>2.2727272727272728E-2</v>
      </c>
      <c r="K1111" s="296" t="s">
        <v>986</v>
      </c>
      <c r="L1111" s="297">
        <v>0.6791666666666667</v>
      </c>
      <c r="M1111" s="297">
        <v>0.6791666666666667</v>
      </c>
      <c r="N1111" s="297">
        <v>0.72222222222222221</v>
      </c>
      <c r="O1111" s="298">
        <f>(Table6[[#This Row],[Work Start TimeStamp]]-Table6[[#This Row],[Fault Start TimeStamp]])*24</f>
        <v>0</v>
      </c>
      <c r="P1111" s="298">
        <f>(Table6[[#This Row],[Fault Clearance time]]-Table6[[#This Row],[Fault Start TimeStamp]])*24</f>
        <v>1.0333333333333323</v>
      </c>
      <c r="Q1111" s="298">
        <f>(Table6[[#This Row],[Fault Clearance time]]-Table6[[#This Row],[Fault Start TimeStamp]])*24</f>
        <v>1.0333333333333323</v>
      </c>
      <c r="R1111" s="79" t="s">
        <v>812</v>
      </c>
      <c r="S1111" s="79" t="s">
        <v>339</v>
      </c>
      <c r="T1111" s="298">
        <f>IFERROR(Table6[[#This Row],[Breakdown Time]]*Table6[[#This Row],[Plant Equivalent Weightage]],"")</f>
        <v>2.3484848484848463E-2</v>
      </c>
      <c r="U1111" s="79" t="s">
        <v>421</v>
      </c>
      <c r="W1111" s="79">
        <v>4232</v>
      </c>
    </row>
    <row r="1112" spans="1:23">
      <c r="A1112" s="79">
        <f t="shared" si="17"/>
        <v>1111</v>
      </c>
      <c r="B1112" s="79">
        <f>YEAR(Table6[[#This Row],[Date]])+IF(MONTH(Table6[[#This Row],[Date]])&gt;=4,1,0)</f>
        <v>2026</v>
      </c>
      <c r="C1112" s="79">
        <f>YEAR(Table6[[#This Row],[Date]])</f>
        <v>2025</v>
      </c>
      <c r="D1112" s="79" t="s">
        <v>344</v>
      </c>
      <c r="E1112" s="284">
        <f>Table6[[#This Row],[Date]]-DAY(Table6[[#This Row],[Date]])+1</f>
        <v>45839</v>
      </c>
      <c r="F1112" s="285">
        <v>45857</v>
      </c>
      <c r="G1112" s="79" t="s">
        <v>93</v>
      </c>
      <c r="H1112" s="79" t="str">
        <f>IFERROR(_xlfn.XLOOKUP(Table6[[#This Row],[Affected Feeder ]],'Basic Data'!$A:$A,'Basic Data'!$B:$B),"")</f>
        <v>PWEPL</v>
      </c>
      <c r="I1112" s="79" t="str">
        <f>IFERROR(_xlfn.XLOOKUP(Table6[[#This Row],[Affected Feeder ]],'Basic Data'!$A:$A,'Basic Data'!$C:$C),"")</f>
        <v>MSEDCL</v>
      </c>
      <c r="J1112" s="295">
        <f>IFERROR(_xlfn.XLOOKUP(Table6[[#This Row],[Affected Feeder ]],'Basic Data'!$A:$A,'Basic Data'!$E:$E),"")</f>
        <v>2.2727272727272728E-2</v>
      </c>
      <c r="K1112" s="296" t="s">
        <v>171</v>
      </c>
      <c r="L1112" s="297">
        <v>0.72222222222222221</v>
      </c>
      <c r="M1112" s="297">
        <v>0.72222222222222221</v>
      </c>
      <c r="N1112" s="297">
        <v>0.73055555555555562</v>
      </c>
      <c r="O1112" s="298">
        <f>(Table6[[#This Row],[Work Start TimeStamp]]-Table6[[#This Row],[Fault Start TimeStamp]])*24</f>
        <v>0</v>
      </c>
      <c r="P1112" s="298">
        <f>(Table6[[#This Row],[Fault Clearance time]]-Table6[[#This Row],[Fault Start TimeStamp]])*24</f>
        <v>0.20000000000000195</v>
      </c>
      <c r="Q1112" s="298">
        <f>(Table6[[#This Row],[Fault Clearance time]]-Table6[[#This Row],[Fault Start TimeStamp]])*24</f>
        <v>0.20000000000000195</v>
      </c>
      <c r="R1112" s="79" t="s">
        <v>353</v>
      </c>
      <c r="S1112" s="79" t="s">
        <v>339</v>
      </c>
      <c r="T1112" s="298">
        <f>IFERROR(Table6[[#This Row],[Breakdown Time]]*Table6[[#This Row],[Plant Equivalent Weightage]],"")</f>
        <v>4.5454545454545903E-3</v>
      </c>
      <c r="U1112" s="79" t="s">
        <v>421</v>
      </c>
      <c r="W1112" s="79">
        <v>120</v>
      </c>
    </row>
    <row r="1113" spans="1:23">
      <c r="A1113" s="79">
        <f t="shared" si="17"/>
        <v>1112</v>
      </c>
      <c r="B1113" s="79">
        <f>YEAR(Table6[[#This Row],[Date]])+IF(MONTH(Table6[[#This Row],[Date]])&gt;=4,1,0)</f>
        <v>2026</v>
      </c>
      <c r="C1113" s="79">
        <f>YEAR(Table6[[#This Row],[Date]])</f>
        <v>2025</v>
      </c>
      <c r="D1113" s="79" t="s">
        <v>344</v>
      </c>
      <c r="E1113" s="284">
        <f>Table6[[#This Row],[Date]]-DAY(Table6[[#This Row],[Date]])+1</f>
        <v>45839</v>
      </c>
      <c r="F1113" s="285">
        <v>45857</v>
      </c>
      <c r="G1113" s="79" t="s">
        <v>102</v>
      </c>
      <c r="H1113" s="79" t="str">
        <f>IFERROR(_xlfn.XLOOKUP(Table6[[#This Row],[Affected Feeder ]],'Basic Data'!$A:$A,'Basic Data'!$B:$B),"")</f>
        <v>PWEPL</v>
      </c>
      <c r="I1113" s="79" t="str">
        <f>IFERROR(_xlfn.XLOOKUP(Table6[[#This Row],[Affected Feeder ]],'Basic Data'!$A:$A,'Basic Data'!$C:$C),"")</f>
        <v>MSEDCL</v>
      </c>
      <c r="J1113" s="295">
        <f>IFERROR(_xlfn.XLOOKUP(Table6[[#This Row],[Affected Feeder ]],'Basic Data'!$A:$A,'Basic Data'!$E:$E),"")</f>
        <v>2.2727272727272728E-2</v>
      </c>
      <c r="K1113" s="296" t="s">
        <v>986</v>
      </c>
      <c r="L1113" s="297">
        <v>0.6791666666666667</v>
      </c>
      <c r="M1113" s="297">
        <v>0.6791666666666667</v>
      </c>
      <c r="N1113" s="297">
        <v>0.72222222222222221</v>
      </c>
      <c r="O1113" s="298">
        <f>(Table6[[#This Row],[Work Start TimeStamp]]-Table6[[#This Row],[Fault Start TimeStamp]])*24</f>
        <v>0</v>
      </c>
      <c r="P1113" s="298">
        <f>(Table6[[#This Row],[Fault Clearance time]]-Table6[[#This Row],[Fault Start TimeStamp]])*24</f>
        <v>1.0333333333333323</v>
      </c>
      <c r="Q1113" s="298">
        <f>(Table6[[#This Row],[Fault Clearance time]]-Table6[[#This Row],[Fault Start TimeStamp]])*24</f>
        <v>1.0333333333333323</v>
      </c>
      <c r="R1113" s="79" t="s">
        <v>812</v>
      </c>
      <c r="S1113" s="79" t="s">
        <v>339</v>
      </c>
      <c r="T1113" s="298">
        <f>IFERROR(Table6[[#This Row],[Breakdown Time]]*Table6[[#This Row],[Plant Equivalent Weightage]],"")</f>
        <v>2.3484848484848463E-2</v>
      </c>
      <c r="U1113" s="79" t="s">
        <v>421</v>
      </c>
      <c r="W1113" s="79">
        <v>4212</v>
      </c>
    </row>
    <row r="1114" spans="1:23">
      <c r="A1114" s="79">
        <f t="shared" si="17"/>
        <v>1113</v>
      </c>
      <c r="B1114" s="79">
        <f>YEAR(Table6[[#This Row],[Date]])+IF(MONTH(Table6[[#This Row],[Date]])&gt;=4,1,0)</f>
        <v>2026</v>
      </c>
      <c r="C1114" s="79">
        <f>YEAR(Table6[[#This Row],[Date]])</f>
        <v>2025</v>
      </c>
      <c r="D1114" s="79" t="s">
        <v>344</v>
      </c>
      <c r="E1114" s="284">
        <f>Table6[[#This Row],[Date]]-DAY(Table6[[#This Row],[Date]])+1</f>
        <v>45839</v>
      </c>
      <c r="F1114" s="285">
        <v>45857</v>
      </c>
      <c r="G1114" s="79" t="s">
        <v>102</v>
      </c>
      <c r="H1114" s="79" t="str">
        <f>IFERROR(_xlfn.XLOOKUP(Table6[[#This Row],[Affected Feeder ]],'Basic Data'!$A:$A,'Basic Data'!$B:$B),"")</f>
        <v>PWEPL</v>
      </c>
      <c r="I1114" s="79" t="str">
        <f>IFERROR(_xlfn.XLOOKUP(Table6[[#This Row],[Affected Feeder ]],'Basic Data'!$A:$A,'Basic Data'!$C:$C),"")</f>
        <v>MSEDCL</v>
      </c>
      <c r="J1114" s="295">
        <f>IFERROR(_xlfn.XLOOKUP(Table6[[#This Row],[Affected Feeder ]],'Basic Data'!$A:$A,'Basic Data'!$E:$E),"")</f>
        <v>2.2727272727272728E-2</v>
      </c>
      <c r="K1114" s="296" t="s">
        <v>171</v>
      </c>
      <c r="L1114" s="297">
        <v>0.72222222222222221</v>
      </c>
      <c r="M1114" s="297">
        <v>0.72222222222222221</v>
      </c>
      <c r="N1114" s="297">
        <v>0.7319444444444444</v>
      </c>
      <c r="O1114" s="298">
        <f>(Table6[[#This Row],[Work Start TimeStamp]]-Table6[[#This Row],[Fault Start TimeStamp]])*24</f>
        <v>0</v>
      </c>
      <c r="P1114" s="298">
        <f>(Table6[[#This Row],[Fault Clearance time]]-Table6[[#This Row],[Fault Start TimeStamp]])*24</f>
        <v>0.2333333333333325</v>
      </c>
      <c r="Q1114" s="298">
        <f>(Table6[[#This Row],[Fault Clearance time]]-Table6[[#This Row],[Fault Start TimeStamp]])*24</f>
        <v>0.2333333333333325</v>
      </c>
      <c r="R1114" s="79" t="s">
        <v>353</v>
      </c>
      <c r="S1114" s="79" t="s">
        <v>339</v>
      </c>
      <c r="T1114" s="298">
        <f>IFERROR(Table6[[#This Row],[Breakdown Time]]*Table6[[#This Row],[Plant Equivalent Weightage]],"")</f>
        <v>5.3030303030302843E-3</v>
      </c>
      <c r="U1114" s="79" t="s">
        <v>421</v>
      </c>
      <c r="W1114" s="79">
        <v>140</v>
      </c>
    </row>
    <row r="1115" spans="1:23">
      <c r="A1115" s="79">
        <f t="shared" si="17"/>
        <v>1114</v>
      </c>
      <c r="B1115" s="79">
        <f>YEAR(Table6[[#This Row],[Date]])+IF(MONTH(Table6[[#This Row],[Date]])&gt;=4,1,0)</f>
        <v>2026</v>
      </c>
      <c r="C1115" s="79">
        <f>YEAR(Table6[[#This Row],[Date]])</f>
        <v>2025</v>
      </c>
      <c r="D1115" s="79" t="s">
        <v>344</v>
      </c>
      <c r="E1115" s="284">
        <f>Table6[[#This Row],[Date]]-DAY(Table6[[#This Row],[Date]])+1</f>
        <v>45839</v>
      </c>
      <c r="F1115" s="285">
        <v>45857</v>
      </c>
      <c r="G1115" s="79" t="s">
        <v>119</v>
      </c>
      <c r="H1115" s="79" t="str">
        <f>IFERROR(_xlfn.XLOOKUP(Table6[[#This Row],[Affected Feeder ]],'Basic Data'!$A:$A,'Basic Data'!$B:$B),"")</f>
        <v>PWEPL</v>
      </c>
      <c r="I1115" s="79" t="str">
        <f>IFERROR(_xlfn.XLOOKUP(Table6[[#This Row],[Affected Feeder ]],'Basic Data'!$A:$A,'Basic Data'!$C:$C),"")</f>
        <v>MSEDCL</v>
      </c>
      <c r="J1115" s="295">
        <f>IFERROR(_xlfn.XLOOKUP(Table6[[#This Row],[Affected Feeder ]],'Basic Data'!$A:$A,'Basic Data'!$E:$E),"")</f>
        <v>2.2727272727272728E-2</v>
      </c>
      <c r="K1115" s="296" t="s">
        <v>986</v>
      </c>
      <c r="L1115" s="297">
        <v>0.6791666666666667</v>
      </c>
      <c r="M1115" s="297">
        <v>0.6791666666666667</v>
      </c>
      <c r="N1115" s="297">
        <v>0.72222222222222221</v>
      </c>
      <c r="O1115" s="298">
        <f>(Table6[[#This Row],[Work Start TimeStamp]]-Table6[[#This Row],[Fault Start TimeStamp]])*24</f>
        <v>0</v>
      </c>
      <c r="P1115" s="298">
        <f>(Table6[[#This Row],[Fault Clearance time]]-Table6[[#This Row],[Fault Start TimeStamp]])*24</f>
        <v>1.0333333333333323</v>
      </c>
      <c r="Q1115" s="298">
        <f>(Table6[[#This Row],[Fault Clearance time]]-Table6[[#This Row],[Fault Start TimeStamp]])*24</f>
        <v>1.0333333333333323</v>
      </c>
      <c r="R1115" s="79" t="s">
        <v>812</v>
      </c>
      <c r="S1115" s="79" t="s">
        <v>339</v>
      </c>
      <c r="T1115" s="298">
        <f>IFERROR(Table6[[#This Row],[Breakdown Time]]*Table6[[#This Row],[Plant Equivalent Weightage]],"")</f>
        <v>2.3484848484848463E-2</v>
      </c>
      <c r="U1115" s="79" t="s">
        <v>421</v>
      </c>
      <c r="W1115" s="79">
        <v>4222</v>
      </c>
    </row>
    <row r="1116" spans="1:23">
      <c r="A1116" s="79">
        <f t="shared" si="17"/>
        <v>1115</v>
      </c>
      <c r="B1116" s="79">
        <f>YEAR(Table6[[#This Row],[Date]])+IF(MONTH(Table6[[#This Row],[Date]])&gt;=4,1,0)</f>
        <v>2026</v>
      </c>
      <c r="C1116" s="79">
        <f>YEAR(Table6[[#This Row],[Date]])</f>
        <v>2025</v>
      </c>
      <c r="D1116" s="79" t="s">
        <v>344</v>
      </c>
      <c r="E1116" s="284">
        <f>Table6[[#This Row],[Date]]-DAY(Table6[[#This Row],[Date]])+1</f>
        <v>45839</v>
      </c>
      <c r="F1116" s="285">
        <v>45857</v>
      </c>
      <c r="G1116" s="79" t="s">
        <v>119</v>
      </c>
      <c r="H1116" s="79" t="str">
        <f>IFERROR(_xlfn.XLOOKUP(Table6[[#This Row],[Affected Feeder ]],'Basic Data'!$A:$A,'Basic Data'!$B:$B),"")</f>
        <v>PWEPL</v>
      </c>
      <c r="I1116" s="79" t="str">
        <f>IFERROR(_xlfn.XLOOKUP(Table6[[#This Row],[Affected Feeder ]],'Basic Data'!$A:$A,'Basic Data'!$C:$C),"")</f>
        <v>MSEDCL</v>
      </c>
      <c r="J1116" s="295">
        <f>IFERROR(_xlfn.XLOOKUP(Table6[[#This Row],[Affected Feeder ]],'Basic Data'!$A:$A,'Basic Data'!$E:$E),"")</f>
        <v>2.2727272727272728E-2</v>
      </c>
      <c r="K1116" s="296" t="s">
        <v>171</v>
      </c>
      <c r="L1116" s="297">
        <v>0.72222222222222221</v>
      </c>
      <c r="M1116" s="297">
        <v>0.72222222222222221</v>
      </c>
      <c r="N1116" s="297">
        <v>0.73125000000000007</v>
      </c>
      <c r="O1116" s="298">
        <f>(Table6[[#This Row],[Work Start TimeStamp]]-Table6[[#This Row],[Fault Start TimeStamp]])*24</f>
        <v>0</v>
      </c>
      <c r="P1116" s="298">
        <f>(Table6[[#This Row],[Fault Clearance time]]-Table6[[#This Row],[Fault Start TimeStamp]])*24</f>
        <v>0.21666666666666856</v>
      </c>
      <c r="Q1116" s="298">
        <f>(Table6[[#This Row],[Fault Clearance time]]-Table6[[#This Row],[Fault Start TimeStamp]])*24</f>
        <v>0.21666666666666856</v>
      </c>
      <c r="R1116" s="79" t="s">
        <v>353</v>
      </c>
      <c r="S1116" s="79" t="s">
        <v>339</v>
      </c>
      <c r="T1116" s="298">
        <f>IFERROR(Table6[[#This Row],[Breakdown Time]]*Table6[[#This Row],[Plant Equivalent Weightage]],"")</f>
        <v>4.9242424242424672E-3</v>
      </c>
      <c r="U1116" s="79" t="s">
        <v>421</v>
      </c>
      <c r="W1116" s="79">
        <v>130</v>
      </c>
    </row>
    <row r="1117" spans="1:23">
      <c r="A1117" s="79">
        <f t="shared" si="17"/>
        <v>1116</v>
      </c>
      <c r="B1117" s="79">
        <f>YEAR(Table6[[#This Row],[Date]])+IF(MONTH(Table6[[#This Row],[Date]])&gt;=4,1,0)</f>
        <v>2026</v>
      </c>
      <c r="C1117" s="79">
        <f>YEAR(Table6[[#This Row],[Date]])</f>
        <v>2025</v>
      </c>
      <c r="D1117" s="79" t="s">
        <v>344</v>
      </c>
      <c r="E1117" s="284">
        <f>Table6[[#This Row],[Date]]-DAY(Table6[[#This Row],[Date]])+1</f>
        <v>45839</v>
      </c>
      <c r="F1117" s="285">
        <v>45862</v>
      </c>
      <c r="G1117" s="79" t="s">
        <v>87</v>
      </c>
      <c r="H1117" s="79" t="str">
        <f>IFERROR(_xlfn.XLOOKUP(Table6[[#This Row],[Affected Feeder ]],'Basic Data'!$A:$A,'Basic Data'!$B:$B),"")</f>
        <v>PWEPL</v>
      </c>
      <c r="I1117" s="79" t="str">
        <f>IFERROR(_xlfn.XLOOKUP(Table6[[#This Row],[Affected Feeder ]],'Basic Data'!$A:$A,'Basic Data'!$C:$C),"")</f>
        <v>MSEDCL</v>
      </c>
      <c r="J1117" s="295">
        <f>IFERROR(_xlfn.XLOOKUP(Table6[[#This Row],[Affected Feeder ]],'Basic Data'!$A:$A,'Basic Data'!$E:$E),"")</f>
        <v>2.2727272727272728E-2</v>
      </c>
      <c r="K1117" s="296" t="s">
        <v>993</v>
      </c>
      <c r="L1117" s="297">
        <v>0.57430555555555551</v>
      </c>
      <c r="M1117" s="297">
        <v>0.57430555555555551</v>
      </c>
      <c r="N1117" s="297">
        <v>0.67499999999999993</v>
      </c>
      <c r="O1117" s="298">
        <f>(Table6[[#This Row],[Work Start TimeStamp]]-Table6[[#This Row],[Fault Start TimeStamp]])*24</f>
        <v>0</v>
      </c>
      <c r="P1117" s="298">
        <f>(Table6[[#This Row],[Fault Clearance time]]-Table6[[#This Row],[Fault Start TimeStamp]])*24</f>
        <v>2.4166666666666661</v>
      </c>
      <c r="Q1117" s="298">
        <f>(Table6[[#This Row],[Fault Clearance time]]-Table6[[#This Row],[Fault Start TimeStamp]])*24</f>
        <v>2.4166666666666661</v>
      </c>
      <c r="R1117" s="79" t="s">
        <v>994</v>
      </c>
      <c r="S1117" s="79" t="s">
        <v>339</v>
      </c>
      <c r="T1117" s="298">
        <f>IFERROR(Table6[[#This Row],[Breakdown Time]]*Table6[[#This Row],[Plant Equivalent Weightage]],"")</f>
        <v>5.492424242424241E-2</v>
      </c>
      <c r="U1117" s="79" t="s">
        <v>411</v>
      </c>
      <c r="W1117" s="79">
        <v>2718</v>
      </c>
    </row>
    <row r="1118" spans="1:23">
      <c r="A1118" s="79">
        <f t="shared" si="17"/>
        <v>1117</v>
      </c>
      <c r="B1118" s="79">
        <f>YEAR(Table6[[#This Row],[Date]])+IF(MONTH(Table6[[#This Row],[Date]])&gt;=4,1,0)</f>
        <v>2026</v>
      </c>
      <c r="C1118" s="79">
        <f>YEAR(Table6[[#This Row],[Date]])</f>
        <v>2025</v>
      </c>
      <c r="D1118" s="79" t="s">
        <v>344</v>
      </c>
      <c r="E1118" s="284">
        <f>Table6[[#This Row],[Date]]-DAY(Table6[[#This Row],[Date]])+1</f>
        <v>45839</v>
      </c>
      <c r="F1118" s="285">
        <v>45862</v>
      </c>
      <c r="G1118" s="79" t="s">
        <v>87</v>
      </c>
      <c r="H1118" s="79" t="str">
        <f>IFERROR(_xlfn.XLOOKUP(Table6[[#This Row],[Affected Feeder ]],'Basic Data'!$A:$A,'Basic Data'!$B:$B),"")</f>
        <v>PWEPL</v>
      </c>
      <c r="I1118" s="79" t="str">
        <f>IFERROR(_xlfn.XLOOKUP(Table6[[#This Row],[Affected Feeder ]],'Basic Data'!$A:$A,'Basic Data'!$C:$C),"")</f>
        <v>MSEDCL</v>
      </c>
      <c r="J1118" s="295">
        <f>IFERROR(_xlfn.XLOOKUP(Table6[[#This Row],[Affected Feeder ]],'Basic Data'!$A:$A,'Basic Data'!$E:$E),"")</f>
        <v>2.2727272727272728E-2</v>
      </c>
      <c r="K1118" s="296" t="s">
        <v>171</v>
      </c>
      <c r="L1118" s="297">
        <v>0.67499999999999993</v>
      </c>
      <c r="M1118" s="297">
        <v>0.67499999999999993</v>
      </c>
      <c r="N1118" s="297">
        <v>0.68541666666666667</v>
      </c>
      <c r="O1118" s="298">
        <f>(Table6[[#This Row],[Work Start TimeStamp]]-Table6[[#This Row],[Fault Start TimeStamp]])*24</f>
        <v>0</v>
      </c>
      <c r="P1118" s="298">
        <f>(Table6[[#This Row],[Fault Clearance time]]-Table6[[#This Row],[Fault Start TimeStamp]])*24</f>
        <v>0.25000000000000178</v>
      </c>
      <c r="Q1118" s="298">
        <f>(Table6[[#This Row],[Fault Clearance time]]-Table6[[#This Row],[Fault Start TimeStamp]])*24</f>
        <v>0.25000000000000178</v>
      </c>
      <c r="R1118" s="79" t="s">
        <v>353</v>
      </c>
      <c r="S1118" s="79" t="s">
        <v>339</v>
      </c>
      <c r="T1118" s="298">
        <f>IFERROR(Table6[[#This Row],[Breakdown Time]]*Table6[[#This Row],[Plant Equivalent Weightage]],"")</f>
        <v>5.6818181818182227E-3</v>
      </c>
      <c r="U1118" s="79" t="s">
        <v>411</v>
      </c>
      <c r="W1118" s="79">
        <v>281</v>
      </c>
    </row>
    <row r="1119" spans="1:23">
      <c r="A1119" s="79">
        <f t="shared" si="17"/>
        <v>1118</v>
      </c>
      <c r="B1119" s="79">
        <f>YEAR(Table6[[#This Row],[Date]])+IF(MONTH(Table6[[#This Row],[Date]])&gt;=4,1,0)</f>
        <v>2026</v>
      </c>
      <c r="C1119" s="79">
        <f>YEAR(Table6[[#This Row],[Date]])</f>
        <v>2025</v>
      </c>
      <c r="D1119" s="79" t="s">
        <v>344</v>
      </c>
      <c r="E1119" s="284">
        <f>Table6[[#This Row],[Date]]-DAY(Table6[[#This Row],[Date]])+1</f>
        <v>45839</v>
      </c>
      <c r="F1119" s="285">
        <v>45863</v>
      </c>
      <c r="G1119" s="79" t="s">
        <v>89</v>
      </c>
      <c r="H1119" s="79" t="str">
        <f>IFERROR(_xlfn.XLOOKUP(Table6[[#This Row],[Affected Feeder ]],'Basic Data'!$A:$A,'Basic Data'!$B:$B),"")</f>
        <v>PWEPL</v>
      </c>
      <c r="I1119" s="79" t="str">
        <f>IFERROR(_xlfn.XLOOKUP(Table6[[#This Row],[Affected Feeder ]],'Basic Data'!$A:$A,'Basic Data'!$C:$C),"")</f>
        <v>MSEDCL</v>
      </c>
      <c r="J1119" s="295">
        <f>IFERROR(_xlfn.XLOOKUP(Table6[[#This Row],[Affected Feeder ]],'Basic Data'!$A:$A,'Basic Data'!$E:$E),"")</f>
        <v>2.2727272727272728E-2</v>
      </c>
      <c r="K1119" s="296" t="s">
        <v>796</v>
      </c>
      <c r="L1119" s="297">
        <v>0.2986111111111111</v>
      </c>
      <c r="M1119" s="297">
        <v>0.2986111111111111</v>
      </c>
      <c r="N1119" s="297">
        <v>0.31180555555555556</v>
      </c>
      <c r="O1119" s="298">
        <f>(Table6[[#This Row],[Work Start TimeStamp]]-Table6[[#This Row],[Fault Start TimeStamp]])*24</f>
        <v>0</v>
      </c>
      <c r="P1119" s="298">
        <f>(Table6[[#This Row],[Fault Clearance time]]-Table6[[#This Row],[Fault Start TimeStamp]])*24</f>
        <v>0.31666666666666687</v>
      </c>
      <c r="Q1119" s="298">
        <f>(Table6[[#This Row],[Fault Clearance time]]-Table6[[#This Row],[Fault Start TimeStamp]])*24</f>
        <v>0.31666666666666687</v>
      </c>
      <c r="R1119" s="79" t="s">
        <v>424</v>
      </c>
      <c r="S1119" s="79" t="s">
        <v>339</v>
      </c>
      <c r="T1119" s="298">
        <f>IFERROR(Table6[[#This Row],[Breakdown Time]]*Table6[[#This Row],[Plant Equivalent Weightage]],"")</f>
        <v>7.1969696969697017E-3</v>
      </c>
      <c r="U1119" s="79" t="s">
        <v>421</v>
      </c>
      <c r="W1119" s="79">
        <v>708</v>
      </c>
    </row>
    <row r="1120" spans="1:23">
      <c r="A1120" s="79">
        <f t="shared" si="17"/>
        <v>1119</v>
      </c>
      <c r="B1120" s="79">
        <f>YEAR(Table6[[#This Row],[Date]])+IF(MONTH(Table6[[#This Row],[Date]])&gt;=4,1,0)</f>
        <v>2026</v>
      </c>
      <c r="C1120" s="79">
        <f>YEAR(Table6[[#This Row],[Date]])</f>
        <v>2025</v>
      </c>
      <c r="D1120" s="79" t="s">
        <v>344</v>
      </c>
      <c r="E1120" s="284">
        <f>Table6[[#This Row],[Date]]-DAY(Table6[[#This Row],[Date]])+1</f>
        <v>45839</v>
      </c>
      <c r="F1120" s="285">
        <v>45863</v>
      </c>
      <c r="G1120" s="79" t="s">
        <v>89</v>
      </c>
      <c r="H1120" s="79" t="str">
        <f>IFERROR(_xlfn.XLOOKUP(Table6[[#This Row],[Affected Feeder ]],'Basic Data'!$A:$A,'Basic Data'!$B:$B),"")</f>
        <v>PWEPL</v>
      </c>
      <c r="I1120" s="79" t="str">
        <f>IFERROR(_xlfn.XLOOKUP(Table6[[#This Row],[Affected Feeder ]],'Basic Data'!$A:$A,'Basic Data'!$C:$C),"")</f>
        <v>MSEDCL</v>
      </c>
      <c r="J1120" s="295">
        <f>IFERROR(_xlfn.XLOOKUP(Table6[[#This Row],[Affected Feeder ]],'Basic Data'!$A:$A,'Basic Data'!$E:$E),"")</f>
        <v>2.2727272727272728E-2</v>
      </c>
      <c r="K1120" s="296" t="s">
        <v>171</v>
      </c>
      <c r="L1120" s="297">
        <v>0.31180555555555556</v>
      </c>
      <c r="M1120" s="297">
        <v>0.31180555555555556</v>
      </c>
      <c r="N1120" s="297">
        <v>0.32500000000000001</v>
      </c>
      <c r="O1120" s="298">
        <f>(Table6[[#This Row],[Work Start TimeStamp]]-Table6[[#This Row],[Fault Start TimeStamp]])*24</f>
        <v>0</v>
      </c>
      <c r="P1120" s="298">
        <f>(Table6[[#This Row],[Fault Clearance time]]-Table6[[#This Row],[Fault Start TimeStamp]])*24</f>
        <v>0.31666666666666687</v>
      </c>
      <c r="Q1120" s="298">
        <f>(Table6[[#This Row],[Fault Clearance time]]-Table6[[#This Row],[Fault Start TimeStamp]])*24</f>
        <v>0.31666666666666687</v>
      </c>
      <c r="R1120" s="79" t="s">
        <v>353</v>
      </c>
      <c r="S1120" s="79" t="s">
        <v>339</v>
      </c>
      <c r="T1120" s="298">
        <f>IFERROR(Table6[[#This Row],[Breakdown Time]]*Table6[[#This Row],[Plant Equivalent Weightage]],"")</f>
        <v>7.1969696969697017E-3</v>
      </c>
      <c r="U1120" s="79" t="s">
        <v>421</v>
      </c>
      <c r="W1120" s="79">
        <v>640</v>
      </c>
    </row>
    <row r="1121" spans="1:23">
      <c r="A1121" s="79">
        <f t="shared" si="17"/>
        <v>1120</v>
      </c>
      <c r="B1121" s="79">
        <f>YEAR(Table6[[#This Row],[Date]])+IF(MONTH(Table6[[#This Row],[Date]])&gt;=4,1,0)</f>
        <v>2026</v>
      </c>
      <c r="C1121" s="79">
        <f>YEAR(Table6[[#This Row],[Date]])</f>
        <v>2025</v>
      </c>
      <c r="D1121" s="79" t="s">
        <v>344</v>
      </c>
      <c r="E1121" s="284">
        <f>Table6[[#This Row],[Date]]-DAY(Table6[[#This Row],[Date]])+1</f>
        <v>45839</v>
      </c>
      <c r="F1121" s="285">
        <v>45863</v>
      </c>
      <c r="G1121" s="79" t="s">
        <v>405</v>
      </c>
      <c r="H1121" s="79" t="str">
        <f>IFERROR(_xlfn.XLOOKUP(Table6[[#This Row],[Affected Feeder ]],'Basic Data'!$A:$A,'Basic Data'!$B:$B),"")</f>
        <v>PWEPL</v>
      </c>
      <c r="I1121" s="79" t="str">
        <f>IFERROR(_xlfn.XLOOKUP(Table6[[#This Row],[Affected Feeder ]],'Basic Data'!$A:$A,'Basic Data'!$C:$C),"")</f>
        <v>MSEDCL</v>
      </c>
      <c r="J1121" s="295">
        <f>IFERROR(_xlfn.XLOOKUP(Table6[[#This Row],[Affected Feeder ]],'Basic Data'!$A:$A,'Basic Data'!$E:$E),"")</f>
        <v>0.20454545454545453</v>
      </c>
      <c r="K1121" s="296" t="s">
        <v>419</v>
      </c>
      <c r="L1121" s="297">
        <v>0.31597222222222221</v>
      </c>
      <c r="M1121" s="297">
        <v>0.31597222222222221</v>
      </c>
      <c r="N1121" s="297">
        <v>0.37847222222222227</v>
      </c>
      <c r="O1121" s="298">
        <f>(Table6[[#This Row],[Work Start TimeStamp]]-Table6[[#This Row],[Fault Start TimeStamp]])*24</f>
        <v>0</v>
      </c>
      <c r="P1121" s="298">
        <f>(Table6[[#This Row],[Fault Clearance time]]-Table6[[#This Row],[Fault Start TimeStamp]])*24</f>
        <v>1.5000000000000013</v>
      </c>
      <c r="Q1121" s="298">
        <f>(Table6[[#This Row],[Fault Clearance time]]-Table6[[#This Row],[Fault Start TimeStamp]])*24</f>
        <v>1.5000000000000013</v>
      </c>
      <c r="R1121" s="79" t="s">
        <v>420</v>
      </c>
      <c r="S1121" s="79" t="s">
        <v>339</v>
      </c>
      <c r="T1121" s="298">
        <f>IFERROR(Table6[[#This Row],[Breakdown Time]]*Table6[[#This Row],[Plant Equivalent Weightage]],"")</f>
        <v>0.30681818181818205</v>
      </c>
      <c r="U1121" s="79" t="s">
        <v>421</v>
      </c>
      <c r="W1121" s="79">
        <v>10943</v>
      </c>
    </row>
    <row r="1122" spans="1:23">
      <c r="A1122" s="79">
        <f t="shared" si="17"/>
        <v>1121</v>
      </c>
      <c r="B1122" s="79">
        <f>YEAR(Table6[[#This Row],[Date]])+IF(MONTH(Table6[[#This Row],[Date]])&gt;=4,1,0)</f>
        <v>2026</v>
      </c>
      <c r="C1122" s="79">
        <f>YEAR(Table6[[#This Row],[Date]])</f>
        <v>2025</v>
      </c>
      <c r="D1122" s="79" t="s">
        <v>344</v>
      </c>
      <c r="E1122" s="284">
        <f>Table6[[#This Row],[Date]]-DAY(Table6[[#This Row],[Date]])+1</f>
        <v>45839</v>
      </c>
      <c r="F1122" s="285">
        <v>45863</v>
      </c>
      <c r="G1122" s="79" t="s">
        <v>109</v>
      </c>
      <c r="H1122" s="79" t="str">
        <f>IFERROR(_xlfn.XLOOKUP(Table6[[#This Row],[Affected Feeder ]],'Basic Data'!$A:$A,'Basic Data'!$B:$B),"")</f>
        <v>PWEPL</v>
      </c>
      <c r="I1122" s="79" t="str">
        <f>IFERROR(_xlfn.XLOOKUP(Table6[[#This Row],[Affected Feeder ]],'Basic Data'!$A:$A,'Basic Data'!$C:$C),"")</f>
        <v>MSEDCL</v>
      </c>
      <c r="J1122" s="295">
        <f>IFERROR(_xlfn.XLOOKUP(Table6[[#This Row],[Affected Feeder ]],'Basic Data'!$A:$A,'Basic Data'!$E:$E),"")</f>
        <v>2.2727272727272728E-2</v>
      </c>
      <c r="K1122" s="296" t="s">
        <v>171</v>
      </c>
      <c r="L1122" s="297">
        <v>0.37847222222222227</v>
      </c>
      <c r="M1122" s="297">
        <v>0.37847222222222227</v>
      </c>
      <c r="N1122" s="297">
        <v>0.3923611111111111</v>
      </c>
      <c r="O1122" s="298">
        <f>(Table6[[#This Row],[Work Start TimeStamp]]-Table6[[#This Row],[Fault Start TimeStamp]])*24</f>
        <v>0</v>
      </c>
      <c r="P1122" s="298">
        <f>(Table6[[#This Row],[Fault Clearance time]]-Table6[[#This Row],[Fault Start TimeStamp]])*24</f>
        <v>0.33333333333333215</v>
      </c>
      <c r="Q1122" s="298">
        <f>(Table6[[#This Row],[Fault Clearance time]]-Table6[[#This Row],[Fault Start TimeStamp]])*24</f>
        <v>0.33333333333333215</v>
      </c>
      <c r="R1122" s="79" t="s">
        <v>353</v>
      </c>
      <c r="S1122" s="79" t="s">
        <v>339</v>
      </c>
      <c r="T1122" s="298">
        <f>IFERROR(Table6[[#This Row],[Breakdown Time]]*Table6[[#This Row],[Plant Equivalent Weightage]],"")</f>
        <v>7.5757575757575491E-3</v>
      </c>
      <c r="U1122" s="79" t="s">
        <v>421</v>
      </c>
      <c r="W1122" s="79">
        <v>486</v>
      </c>
    </row>
    <row r="1123" spans="1:23">
      <c r="A1123" s="79">
        <f t="shared" si="17"/>
        <v>1122</v>
      </c>
      <c r="B1123" s="79">
        <f>YEAR(Table6[[#This Row],[Date]])+IF(MONTH(Table6[[#This Row],[Date]])&gt;=4,1,0)</f>
        <v>2026</v>
      </c>
      <c r="C1123" s="79">
        <f>YEAR(Table6[[#This Row],[Date]])</f>
        <v>2025</v>
      </c>
      <c r="D1123" s="79" t="s">
        <v>344</v>
      </c>
      <c r="E1123" s="284">
        <f>Table6[[#This Row],[Date]]-DAY(Table6[[#This Row],[Date]])+1</f>
        <v>45839</v>
      </c>
      <c r="F1123" s="285">
        <v>45863</v>
      </c>
      <c r="G1123" s="79" t="s">
        <v>111</v>
      </c>
      <c r="H1123" s="79" t="str">
        <f>IFERROR(_xlfn.XLOOKUP(Table6[[#This Row],[Affected Feeder ]],'Basic Data'!$A:$A,'Basic Data'!$B:$B),"")</f>
        <v>PWEPL</v>
      </c>
      <c r="I1123" s="79" t="str">
        <f>IFERROR(_xlfn.XLOOKUP(Table6[[#This Row],[Affected Feeder ]],'Basic Data'!$A:$A,'Basic Data'!$C:$C),"")</f>
        <v>MSEDCL</v>
      </c>
      <c r="J1123" s="295">
        <f>IFERROR(_xlfn.XLOOKUP(Table6[[#This Row],[Affected Feeder ]],'Basic Data'!$A:$A,'Basic Data'!$E:$E),"")</f>
        <v>2.2727272727272728E-2</v>
      </c>
      <c r="K1123" s="296" t="s">
        <v>171</v>
      </c>
      <c r="L1123" s="297">
        <v>0.37847222222222227</v>
      </c>
      <c r="M1123" s="297">
        <v>0.37847222222222227</v>
      </c>
      <c r="N1123" s="297">
        <v>0.3923611111111111</v>
      </c>
      <c r="O1123" s="298">
        <f>(Table6[[#This Row],[Work Start TimeStamp]]-Table6[[#This Row],[Fault Start TimeStamp]])*24</f>
        <v>0</v>
      </c>
      <c r="P1123" s="298">
        <f>(Table6[[#This Row],[Fault Clearance time]]-Table6[[#This Row],[Fault Start TimeStamp]])*24</f>
        <v>0.33333333333333215</v>
      </c>
      <c r="Q1123" s="298">
        <f>(Table6[[#This Row],[Fault Clearance time]]-Table6[[#This Row],[Fault Start TimeStamp]])*24</f>
        <v>0.33333333333333215</v>
      </c>
      <c r="R1123" s="79" t="s">
        <v>353</v>
      </c>
      <c r="S1123" s="79" t="s">
        <v>339</v>
      </c>
      <c r="T1123" s="298">
        <f>IFERROR(Table6[[#This Row],[Breakdown Time]]*Table6[[#This Row],[Plant Equivalent Weightage]],"")</f>
        <v>7.5757575757575491E-3</v>
      </c>
      <c r="U1123" s="79" t="s">
        <v>421</v>
      </c>
      <c r="W1123" s="79">
        <v>486</v>
      </c>
    </row>
    <row r="1124" spans="1:23">
      <c r="A1124" s="79">
        <f t="shared" si="17"/>
        <v>1123</v>
      </c>
      <c r="B1124" s="79">
        <f>YEAR(Table6[[#This Row],[Date]])+IF(MONTH(Table6[[#This Row],[Date]])&gt;=4,1,0)</f>
        <v>2026</v>
      </c>
      <c r="C1124" s="79">
        <f>YEAR(Table6[[#This Row],[Date]])</f>
        <v>2025</v>
      </c>
      <c r="D1124" s="79" t="s">
        <v>344</v>
      </c>
      <c r="E1124" s="284">
        <f>Table6[[#This Row],[Date]]-DAY(Table6[[#This Row],[Date]])+1</f>
        <v>45839</v>
      </c>
      <c r="F1124" s="285">
        <v>45863</v>
      </c>
      <c r="G1124" s="79" t="s">
        <v>112</v>
      </c>
      <c r="H1124" s="79" t="str">
        <f>IFERROR(_xlfn.XLOOKUP(Table6[[#This Row],[Affected Feeder ]],'Basic Data'!$A:$A,'Basic Data'!$B:$B),"")</f>
        <v>PWEPL</v>
      </c>
      <c r="I1124" s="79" t="str">
        <f>IFERROR(_xlfn.XLOOKUP(Table6[[#This Row],[Affected Feeder ]],'Basic Data'!$A:$A,'Basic Data'!$C:$C),"")</f>
        <v>MSEDCL</v>
      </c>
      <c r="J1124" s="295">
        <f>IFERROR(_xlfn.XLOOKUP(Table6[[#This Row],[Affected Feeder ]],'Basic Data'!$A:$A,'Basic Data'!$E:$E),"")</f>
        <v>2.2727272727272728E-2</v>
      </c>
      <c r="K1124" s="296" t="s">
        <v>171</v>
      </c>
      <c r="L1124" s="297">
        <v>0.37847222222222227</v>
      </c>
      <c r="M1124" s="297">
        <v>0.37847222222222227</v>
      </c>
      <c r="N1124" s="297">
        <v>0.3923611111111111</v>
      </c>
      <c r="O1124" s="298">
        <f>(Table6[[#This Row],[Work Start TimeStamp]]-Table6[[#This Row],[Fault Start TimeStamp]])*24</f>
        <v>0</v>
      </c>
      <c r="P1124" s="298">
        <f>(Table6[[#This Row],[Fault Clearance time]]-Table6[[#This Row],[Fault Start TimeStamp]])*24</f>
        <v>0.33333333333333215</v>
      </c>
      <c r="Q1124" s="298">
        <f>(Table6[[#This Row],[Fault Clearance time]]-Table6[[#This Row],[Fault Start TimeStamp]])*24</f>
        <v>0.33333333333333215</v>
      </c>
      <c r="R1124" s="79" t="s">
        <v>353</v>
      </c>
      <c r="S1124" s="79" t="s">
        <v>339</v>
      </c>
      <c r="T1124" s="298">
        <f>IFERROR(Table6[[#This Row],[Breakdown Time]]*Table6[[#This Row],[Plant Equivalent Weightage]],"")</f>
        <v>7.5757575757575491E-3</v>
      </c>
      <c r="U1124" s="79" t="s">
        <v>421</v>
      </c>
      <c r="W1124" s="79">
        <v>486</v>
      </c>
    </row>
    <row r="1125" spans="1:23">
      <c r="A1125" s="79">
        <f t="shared" si="17"/>
        <v>1124</v>
      </c>
      <c r="B1125" s="79">
        <f>YEAR(Table6[[#This Row],[Date]])+IF(MONTH(Table6[[#This Row],[Date]])&gt;=4,1,0)</f>
        <v>2026</v>
      </c>
      <c r="C1125" s="79">
        <f>YEAR(Table6[[#This Row],[Date]])</f>
        <v>2025</v>
      </c>
      <c r="D1125" s="79" t="s">
        <v>344</v>
      </c>
      <c r="E1125" s="284">
        <f>Table6[[#This Row],[Date]]-DAY(Table6[[#This Row],[Date]])+1</f>
        <v>45839</v>
      </c>
      <c r="F1125" s="285">
        <v>45863</v>
      </c>
      <c r="G1125" s="79" t="s">
        <v>113</v>
      </c>
      <c r="H1125" s="79" t="str">
        <f>IFERROR(_xlfn.XLOOKUP(Table6[[#This Row],[Affected Feeder ]],'Basic Data'!$A:$A,'Basic Data'!$B:$B),"")</f>
        <v>PWEPL</v>
      </c>
      <c r="I1125" s="79" t="str">
        <f>IFERROR(_xlfn.XLOOKUP(Table6[[#This Row],[Affected Feeder ]],'Basic Data'!$A:$A,'Basic Data'!$C:$C),"")</f>
        <v>MSEDCL</v>
      </c>
      <c r="J1125" s="295">
        <f>IFERROR(_xlfn.XLOOKUP(Table6[[#This Row],[Affected Feeder ]],'Basic Data'!$A:$A,'Basic Data'!$E:$E),"")</f>
        <v>2.2727272727272728E-2</v>
      </c>
      <c r="K1125" s="296" t="s">
        <v>171</v>
      </c>
      <c r="L1125" s="297">
        <v>0.37847222222222227</v>
      </c>
      <c r="M1125" s="297">
        <v>0.37847222222222227</v>
      </c>
      <c r="N1125" s="297">
        <v>0.3923611111111111</v>
      </c>
      <c r="O1125" s="298">
        <f>(Table6[[#This Row],[Work Start TimeStamp]]-Table6[[#This Row],[Fault Start TimeStamp]])*24</f>
        <v>0</v>
      </c>
      <c r="P1125" s="298">
        <f>(Table6[[#This Row],[Fault Clearance time]]-Table6[[#This Row],[Fault Start TimeStamp]])*24</f>
        <v>0.33333333333333215</v>
      </c>
      <c r="Q1125" s="298">
        <f>(Table6[[#This Row],[Fault Clearance time]]-Table6[[#This Row],[Fault Start TimeStamp]])*24</f>
        <v>0.33333333333333215</v>
      </c>
      <c r="R1125" s="79" t="s">
        <v>353</v>
      </c>
      <c r="S1125" s="79" t="s">
        <v>339</v>
      </c>
      <c r="T1125" s="298">
        <f>IFERROR(Table6[[#This Row],[Breakdown Time]]*Table6[[#This Row],[Plant Equivalent Weightage]],"")</f>
        <v>7.5757575757575491E-3</v>
      </c>
      <c r="U1125" s="79" t="s">
        <v>421</v>
      </c>
      <c r="W1125" s="79">
        <v>486</v>
      </c>
    </row>
    <row r="1126" spans="1:23">
      <c r="A1126" s="79">
        <f t="shared" si="17"/>
        <v>1125</v>
      </c>
      <c r="B1126" s="79">
        <f>YEAR(Table6[[#This Row],[Date]])+IF(MONTH(Table6[[#This Row],[Date]])&gt;=4,1,0)</f>
        <v>2026</v>
      </c>
      <c r="C1126" s="79">
        <f>YEAR(Table6[[#This Row],[Date]])</f>
        <v>2025</v>
      </c>
      <c r="D1126" s="79" t="s">
        <v>344</v>
      </c>
      <c r="E1126" s="284">
        <f>Table6[[#This Row],[Date]]-DAY(Table6[[#This Row],[Date]])+1</f>
        <v>45839</v>
      </c>
      <c r="F1126" s="285">
        <v>45863</v>
      </c>
      <c r="G1126" s="79" t="s">
        <v>114</v>
      </c>
      <c r="H1126" s="79" t="str">
        <f>IFERROR(_xlfn.XLOOKUP(Table6[[#This Row],[Affected Feeder ]],'Basic Data'!$A:$A,'Basic Data'!$B:$B),"")</f>
        <v>PWEPL</v>
      </c>
      <c r="I1126" s="79" t="str">
        <f>IFERROR(_xlfn.XLOOKUP(Table6[[#This Row],[Affected Feeder ]],'Basic Data'!$A:$A,'Basic Data'!$C:$C),"")</f>
        <v>MSEDCL</v>
      </c>
      <c r="J1126" s="295">
        <f>IFERROR(_xlfn.XLOOKUP(Table6[[#This Row],[Affected Feeder ]],'Basic Data'!$A:$A,'Basic Data'!$E:$E),"")</f>
        <v>2.2727272727272728E-2</v>
      </c>
      <c r="K1126" s="296" t="s">
        <v>171</v>
      </c>
      <c r="L1126" s="297">
        <v>0.37847222222222227</v>
      </c>
      <c r="M1126" s="297">
        <v>0.37847222222222227</v>
      </c>
      <c r="N1126" s="297">
        <v>0.3923611111111111</v>
      </c>
      <c r="O1126" s="298">
        <f>(Table6[[#This Row],[Work Start TimeStamp]]-Table6[[#This Row],[Fault Start TimeStamp]])*24</f>
        <v>0</v>
      </c>
      <c r="P1126" s="298">
        <f>(Table6[[#This Row],[Fault Clearance time]]-Table6[[#This Row],[Fault Start TimeStamp]])*24</f>
        <v>0.33333333333333215</v>
      </c>
      <c r="Q1126" s="298">
        <f>(Table6[[#This Row],[Fault Clearance time]]-Table6[[#This Row],[Fault Start TimeStamp]])*24</f>
        <v>0.33333333333333215</v>
      </c>
      <c r="R1126" s="79" t="s">
        <v>353</v>
      </c>
      <c r="S1126" s="79" t="s">
        <v>339</v>
      </c>
      <c r="T1126" s="298">
        <f>IFERROR(Table6[[#This Row],[Breakdown Time]]*Table6[[#This Row],[Plant Equivalent Weightage]],"")</f>
        <v>7.5757575757575491E-3</v>
      </c>
      <c r="U1126" s="79" t="s">
        <v>421</v>
      </c>
      <c r="W1126" s="79">
        <v>486</v>
      </c>
    </row>
    <row r="1127" spans="1:23">
      <c r="A1127" s="79">
        <f t="shared" si="17"/>
        <v>1126</v>
      </c>
      <c r="B1127" s="79">
        <f>YEAR(Table6[[#This Row],[Date]])+IF(MONTH(Table6[[#This Row],[Date]])&gt;=4,1,0)</f>
        <v>2026</v>
      </c>
      <c r="C1127" s="79">
        <f>YEAR(Table6[[#This Row],[Date]])</f>
        <v>2025</v>
      </c>
      <c r="D1127" s="79" t="s">
        <v>344</v>
      </c>
      <c r="E1127" s="284">
        <f>Table6[[#This Row],[Date]]-DAY(Table6[[#This Row],[Date]])+1</f>
        <v>45839</v>
      </c>
      <c r="F1127" s="285">
        <v>45863</v>
      </c>
      <c r="G1127" s="79" t="s">
        <v>80</v>
      </c>
      <c r="H1127" s="79" t="str">
        <f>IFERROR(_xlfn.XLOOKUP(Table6[[#This Row],[Affected Feeder ]],'Basic Data'!$A:$A,'Basic Data'!$B:$B),"")</f>
        <v>PWEPL</v>
      </c>
      <c r="I1127" s="79" t="str">
        <f>IFERROR(_xlfn.XLOOKUP(Table6[[#This Row],[Affected Feeder ]],'Basic Data'!$A:$A,'Basic Data'!$C:$C),"")</f>
        <v>MSEDCL</v>
      </c>
      <c r="J1127" s="295">
        <f>IFERROR(_xlfn.XLOOKUP(Table6[[#This Row],[Affected Feeder ]],'Basic Data'!$A:$A,'Basic Data'!$E:$E),"")</f>
        <v>2.2727272727272728E-2</v>
      </c>
      <c r="K1127" s="296" t="s">
        <v>909</v>
      </c>
      <c r="L1127" s="297">
        <v>0.37847222222222227</v>
      </c>
      <c r="M1127" s="297">
        <v>0.37847222222222227</v>
      </c>
      <c r="N1127" s="297">
        <v>0.4069444444444445</v>
      </c>
      <c r="O1127" s="298">
        <f>(Table6[[#This Row],[Work Start TimeStamp]]-Table6[[#This Row],[Fault Start TimeStamp]])*24</f>
        <v>0</v>
      </c>
      <c r="P1127" s="298">
        <f>(Table6[[#This Row],[Fault Clearance time]]-Table6[[#This Row],[Fault Start TimeStamp]])*24</f>
        <v>0.68333333333333357</v>
      </c>
      <c r="Q1127" s="298">
        <f>(Table6[[#This Row],[Fault Clearance time]]-Table6[[#This Row],[Fault Start TimeStamp]])*24</f>
        <v>0.68333333333333357</v>
      </c>
      <c r="R1127" s="79" t="s">
        <v>353</v>
      </c>
      <c r="S1127" s="79" t="s">
        <v>339</v>
      </c>
      <c r="T1127" s="298">
        <f>IFERROR(Table6[[#This Row],[Breakdown Time]]*Table6[[#This Row],[Plant Equivalent Weightage]],"")</f>
        <v>1.5530303030303037E-2</v>
      </c>
      <c r="U1127" s="79" t="s">
        <v>421</v>
      </c>
      <c r="W1127" s="79">
        <v>3493</v>
      </c>
    </row>
    <row r="1128" spans="1:23">
      <c r="A1128" s="79">
        <f t="shared" si="17"/>
        <v>1127</v>
      </c>
      <c r="B1128" s="79">
        <f>YEAR(Table6[[#This Row],[Date]])+IF(MONTH(Table6[[#This Row],[Date]])&gt;=4,1,0)</f>
        <v>2026</v>
      </c>
      <c r="C1128" s="79">
        <f>YEAR(Table6[[#This Row],[Date]])</f>
        <v>2025</v>
      </c>
      <c r="D1128" s="79" t="s">
        <v>344</v>
      </c>
      <c r="E1128" s="284">
        <f>Table6[[#This Row],[Date]]-DAY(Table6[[#This Row],[Date]])+1</f>
        <v>45839</v>
      </c>
      <c r="F1128" s="285">
        <v>45863</v>
      </c>
      <c r="G1128" s="79" t="s">
        <v>80</v>
      </c>
      <c r="H1128" s="79" t="str">
        <f>IFERROR(_xlfn.XLOOKUP(Table6[[#This Row],[Affected Feeder ]],'Basic Data'!$A:$A,'Basic Data'!$B:$B),"")</f>
        <v>PWEPL</v>
      </c>
      <c r="I1128" s="79" t="str">
        <f>IFERROR(_xlfn.XLOOKUP(Table6[[#This Row],[Affected Feeder ]],'Basic Data'!$A:$A,'Basic Data'!$C:$C),"")</f>
        <v>MSEDCL</v>
      </c>
      <c r="J1128" s="295">
        <f>IFERROR(_xlfn.XLOOKUP(Table6[[#This Row],[Affected Feeder ]],'Basic Data'!$A:$A,'Basic Data'!$E:$E),"")</f>
        <v>2.2727272727272728E-2</v>
      </c>
      <c r="K1128" s="296" t="s">
        <v>171</v>
      </c>
      <c r="L1128" s="297">
        <v>0.4069444444444445</v>
      </c>
      <c r="M1128" s="297">
        <v>0.4069444444444445</v>
      </c>
      <c r="N1128" s="297">
        <v>0.41666666666666669</v>
      </c>
      <c r="O1128" s="298">
        <f>(Table6[[#This Row],[Work Start TimeStamp]]-Table6[[#This Row],[Fault Start TimeStamp]])*24</f>
        <v>0</v>
      </c>
      <c r="P1128" s="298">
        <f>(Table6[[#This Row],[Fault Clearance time]]-Table6[[#This Row],[Fault Start TimeStamp]])*24</f>
        <v>0.2333333333333325</v>
      </c>
      <c r="Q1128" s="298">
        <f>(Table6[[#This Row],[Fault Clearance time]]-Table6[[#This Row],[Fault Start TimeStamp]])*24</f>
        <v>0.2333333333333325</v>
      </c>
      <c r="R1128" s="79" t="s">
        <v>353</v>
      </c>
      <c r="S1128" s="79" t="s">
        <v>339</v>
      </c>
      <c r="T1128" s="298">
        <f>IFERROR(Table6[[#This Row],[Breakdown Time]]*Table6[[#This Row],[Plant Equivalent Weightage]],"")</f>
        <v>5.3030303030302843E-3</v>
      </c>
      <c r="U1128" s="79" t="s">
        <v>421</v>
      </c>
      <c r="W1128" s="79">
        <v>325</v>
      </c>
    </row>
    <row r="1129" spans="1:23">
      <c r="A1129" s="79">
        <f t="shared" si="17"/>
        <v>1128</v>
      </c>
      <c r="B1129" s="79">
        <f>YEAR(Table6[[#This Row],[Date]])+IF(MONTH(Table6[[#This Row],[Date]])&gt;=4,1,0)</f>
        <v>2026</v>
      </c>
      <c r="C1129" s="79">
        <f>YEAR(Table6[[#This Row],[Date]])</f>
        <v>2025</v>
      </c>
      <c r="D1129" s="79" t="s">
        <v>344</v>
      </c>
      <c r="E1129" s="284">
        <f>Table6[[#This Row],[Date]]-DAY(Table6[[#This Row],[Date]])+1</f>
        <v>45839</v>
      </c>
      <c r="F1129" s="285">
        <v>45863</v>
      </c>
      <c r="G1129" s="79" t="s">
        <v>81</v>
      </c>
      <c r="H1129" s="79" t="str">
        <f>IFERROR(_xlfn.XLOOKUP(Table6[[#This Row],[Affected Feeder ]],'Basic Data'!$A:$A,'Basic Data'!$B:$B),"")</f>
        <v>PWEPL</v>
      </c>
      <c r="I1129" s="79" t="str">
        <f>IFERROR(_xlfn.XLOOKUP(Table6[[#This Row],[Affected Feeder ]],'Basic Data'!$A:$A,'Basic Data'!$C:$C),"")</f>
        <v>MSEDCL</v>
      </c>
      <c r="J1129" s="295">
        <f>IFERROR(_xlfn.XLOOKUP(Table6[[#This Row],[Affected Feeder ]],'Basic Data'!$A:$A,'Basic Data'!$E:$E),"")</f>
        <v>2.2727272727272728E-2</v>
      </c>
      <c r="K1129" s="296" t="s">
        <v>909</v>
      </c>
      <c r="L1129" s="297">
        <v>0.37847222222222227</v>
      </c>
      <c r="M1129" s="297">
        <v>0.37847222222222227</v>
      </c>
      <c r="N1129" s="297">
        <v>0.4069444444444445</v>
      </c>
      <c r="O1129" s="298">
        <f>(Table6[[#This Row],[Work Start TimeStamp]]-Table6[[#This Row],[Fault Start TimeStamp]])*24</f>
        <v>0</v>
      </c>
      <c r="P1129" s="298">
        <f>(Table6[[#This Row],[Fault Clearance time]]-Table6[[#This Row],[Fault Start TimeStamp]])*24</f>
        <v>0.68333333333333357</v>
      </c>
      <c r="Q1129" s="298">
        <f>(Table6[[#This Row],[Fault Clearance time]]-Table6[[#This Row],[Fault Start TimeStamp]])*24</f>
        <v>0.68333333333333357</v>
      </c>
      <c r="R1129" s="79" t="s">
        <v>353</v>
      </c>
      <c r="S1129" s="79" t="s">
        <v>339</v>
      </c>
      <c r="T1129" s="298">
        <f>IFERROR(Table6[[#This Row],[Breakdown Time]]*Table6[[#This Row],[Plant Equivalent Weightage]],"")</f>
        <v>1.5530303030303037E-2</v>
      </c>
      <c r="U1129" s="79" t="s">
        <v>421</v>
      </c>
      <c r="W1129" s="79">
        <v>3493</v>
      </c>
    </row>
    <row r="1130" spans="1:23">
      <c r="A1130" s="79">
        <f t="shared" si="17"/>
        <v>1129</v>
      </c>
      <c r="B1130" s="79">
        <f>YEAR(Table6[[#This Row],[Date]])+IF(MONTH(Table6[[#This Row],[Date]])&gt;=4,1,0)</f>
        <v>2026</v>
      </c>
      <c r="C1130" s="79">
        <f>YEAR(Table6[[#This Row],[Date]])</f>
        <v>2025</v>
      </c>
      <c r="D1130" s="79" t="s">
        <v>344</v>
      </c>
      <c r="E1130" s="284">
        <f>Table6[[#This Row],[Date]]-DAY(Table6[[#This Row],[Date]])+1</f>
        <v>45839</v>
      </c>
      <c r="F1130" s="285">
        <v>45863</v>
      </c>
      <c r="G1130" s="79" t="s">
        <v>81</v>
      </c>
      <c r="H1130" s="79" t="str">
        <f>IFERROR(_xlfn.XLOOKUP(Table6[[#This Row],[Affected Feeder ]],'Basic Data'!$A:$A,'Basic Data'!$B:$B),"")</f>
        <v>PWEPL</v>
      </c>
      <c r="I1130" s="79" t="str">
        <f>IFERROR(_xlfn.XLOOKUP(Table6[[#This Row],[Affected Feeder ]],'Basic Data'!$A:$A,'Basic Data'!$C:$C),"")</f>
        <v>MSEDCL</v>
      </c>
      <c r="J1130" s="295">
        <f>IFERROR(_xlfn.XLOOKUP(Table6[[#This Row],[Affected Feeder ]],'Basic Data'!$A:$A,'Basic Data'!$E:$E),"")</f>
        <v>2.2727272727272728E-2</v>
      </c>
      <c r="K1130" s="296" t="s">
        <v>171</v>
      </c>
      <c r="L1130" s="297">
        <v>0.4069444444444445</v>
      </c>
      <c r="M1130" s="297">
        <v>0.4069444444444445</v>
      </c>
      <c r="N1130" s="297">
        <v>0.41666666666666669</v>
      </c>
      <c r="O1130" s="298">
        <f>(Table6[[#This Row],[Work Start TimeStamp]]-Table6[[#This Row],[Fault Start TimeStamp]])*24</f>
        <v>0</v>
      </c>
      <c r="P1130" s="298">
        <f>(Table6[[#This Row],[Fault Clearance time]]-Table6[[#This Row],[Fault Start TimeStamp]])*24</f>
        <v>0.2333333333333325</v>
      </c>
      <c r="Q1130" s="298">
        <f>(Table6[[#This Row],[Fault Clearance time]]-Table6[[#This Row],[Fault Start TimeStamp]])*24</f>
        <v>0.2333333333333325</v>
      </c>
      <c r="R1130" s="79" t="s">
        <v>353</v>
      </c>
      <c r="S1130" s="79" t="s">
        <v>339</v>
      </c>
      <c r="T1130" s="298">
        <f>IFERROR(Table6[[#This Row],[Breakdown Time]]*Table6[[#This Row],[Plant Equivalent Weightage]],"")</f>
        <v>5.3030303030302843E-3</v>
      </c>
      <c r="U1130" s="79" t="s">
        <v>421</v>
      </c>
      <c r="W1130" s="79">
        <v>325</v>
      </c>
    </row>
    <row r="1131" spans="1:23">
      <c r="A1131" s="79">
        <f t="shared" si="17"/>
        <v>1130</v>
      </c>
      <c r="B1131" s="79">
        <f>YEAR(Table6[[#This Row],[Date]])+IF(MONTH(Table6[[#This Row],[Date]])&gt;=4,1,0)</f>
        <v>2026</v>
      </c>
      <c r="C1131" s="79">
        <f>YEAR(Table6[[#This Row],[Date]])</f>
        <v>2025</v>
      </c>
      <c r="D1131" s="79" t="s">
        <v>344</v>
      </c>
      <c r="E1131" s="284">
        <f>Table6[[#This Row],[Date]]-DAY(Table6[[#This Row],[Date]])+1</f>
        <v>45839</v>
      </c>
      <c r="F1131" s="285">
        <v>45863</v>
      </c>
      <c r="G1131" s="79" t="s">
        <v>107</v>
      </c>
      <c r="H1131" s="79" t="str">
        <f>IFERROR(_xlfn.XLOOKUP(Table6[[#This Row],[Affected Feeder ]],'Basic Data'!$A:$A,'Basic Data'!$B:$B),"")</f>
        <v>PWEPL</v>
      </c>
      <c r="I1131" s="79" t="str">
        <f>IFERROR(_xlfn.XLOOKUP(Table6[[#This Row],[Affected Feeder ]],'Basic Data'!$A:$A,'Basic Data'!$C:$C),"")</f>
        <v>MSEDCL</v>
      </c>
      <c r="J1131" s="295">
        <f>IFERROR(_xlfn.XLOOKUP(Table6[[#This Row],[Affected Feeder ]],'Basic Data'!$A:$A,'Basic Data'!$E:$E),"")</f>
        <v>2.2727272727272728E-2</v>
      </c>
      <c r="K1131" s="296" t="s">
        <v>909</v>
      </c>
      <c r="L1131" s="297">
        <v>0.37847222222222227</v>
      </c>
      <c r="M1131" s="297">
        <v>0.37847222222222227</v>
      </c>
      <c r="N1131" s="297">
        <v>0.4069444444444445</v>
      </c>
      <c r="O1131" s="298">
        <f>(Table6[[#This Row],[Work Start TimeStamp]]-Table6[[#This Row],[Fault Start TimeStamp]])*24</f>
        <v>0</v>
      </c>
      <c r="P1131" s="298">
        <f>(Table6[[#This Row],[Fault Clearance time]]-Table6[[#This Row],[Fault Start TimeStamp]])*24</f>
        <v>0.68333333333333357</v>
      </c>
      <c r="Q1131" s="298">
        <f>(Table6[[#This Row],[Fault Clearance time]]-Table6[[#This Row],[Fault Start TimeStamp]])*24</f>
        <v>0.68333333333333357</v>
      </c>
      <c r="R1131" s="79" t="s">
        <v>353</v>
      </c>
      <c r="S1131" s="79" t="s">
        <v>339</v>
      </c>
      <c r="T1131" s="298">
        <f>IFERROR(Table6[[#This Row],[Breakdown Time]]*Table6[[#This Row],[Plant Equivalent Weightage]],"")</f>
        <v>1.5530303030303037E-2</v>
      </c>
      <c r="U1131" s="79" t="s">
        <v>421</v>
      </c>
      <c r="W1131" s="79">
        <v>3423</v>
      </c>
    </row>
    <row r="1132" spans="1:23">
      <c r="A1132" s="79">
        <f t="shared" si="17"/>
        <v>1131</v>
      </c>
      <c r="B1132" s="79">
        <f>YEAR(Table6[[#This Row],[Date]])+IF(MONTH(Table6[[#This Row],[Date]])&gt;=4,1,0)</f>
        <v>2026</v>
      </c>
      <c r="C1132" s="79">
        <f>YEAR(Table6[[#This Row],[Date]])</f>
        <v>2025</v>
      </c>
      <c r="D1132" s="79" t="s">
        <v>344</v>
      </c>
      <c r="E1132" s="284">
        <f>Table6[[#This Row],[Date]]-DAY(Table6[[#This Row],[Date]])+1</f>
        <v>45839</v>
      </c>
      <c r="F1132" s="285">
        <v>45863</v>
      </c>
      <c r="G1132" s="79" t="s">
        <v>107</v>
      </c>
      <c r="H1132" s="79" t="str">
        <f>IFERROR(_xlfn.XLOOKUP(Table6[[#This Row],[Affected Feeder ]],'Basic Data'!$A:$A,'Basic Data'!$B:$B),"")</f>
        <v>PWEPL</v>
      </c>
      <c r="I1132" s="79" t="str">
        <f>IFERROR(_xlfn.XLOOKUP(Table6[[#This Row],[Affected Feeder ]],'Basic Data'!$A:$A,'Basic Data'!$C:$C),"")</f>
        <v>MSEDCL</v>
      </c>
      <c r="J1132" s="295">
        <f>IFERROR(_xlfn.XLOOKUP(Table6[[#This Row],[Affected Feeder ]],'Basic Data'!$A:$A,'Basic Data'!$E:$E),"")</f>
        <v>2.2727272727272728E-2</v>
      </c>
      <c r="K1132" s="296" t="s">
        <v>171</v>
      </c>
      <c r="L1132" s="297">
        <v>0.4069444444444445</v>
      </c>
      <c r="M1132" s="297">
        <v>0.4069444444444445</v>
      </c>
      <c r="N1132" s="297">
        <v>0.41875000000000001</v>
      </c>
      <c r="O1132" s="298">
        <f>(Table6[[#This Row],[Work Start TimeStamp]]-Table6[[#This Row],[Fault Start TimeStamp]])*24</f>
        <v>0</v>
      </c>
      <c r="P1132" s="298">
        <f>(Table6[[#This Row],[Fault Clearance time]]-Table6[[#This Row],[Fault Start TimeStamp]])*24</f>
        <v>0.28333333333333233</v>
      </c>
      <c r="Q1132" s="298">
        <f>(Table6[[#This Row],[Fault Clearance time]]-Table6[[#This Row],[Fault Start TimeStamp]])*24</f>
        <v>0.28333333333333233</v>
      </c>
      <c r="R1132" s="79" t="s">
        <v>353</v>
      </c>
      <c r="S1132" s="79" t="s">
        <v>339</v>
      </c>
      <c r="T1132" s="298">
        <f>IFERROR(Table6[[#This Row],[Breakdown Time]]*Table6[[#This Row],[Plant Equivalent Weightage]],"")</f>
        <v>6.4393939393939167E-3</v>
      </c>
      <c r="U1132" s="79" t="s">
        <v>421</v>
      </c>
      <c r="W1132" s="79">
        <v>395</v>
      </c>
    </row>
    <row r="1133" spans="1:23">
      <c r="A1133" s="79">
        <f t="shared" si="17"/>
        <v>1132</v>
      </c>
      <c r="B1133" s="79">
        <f>YEAR(Table6[[#This Row],[Date]])+IF(MONTH(Table6[[#This Row],[Date]])&gt;=4,1,0)</f>
        <v>2026</v>
      </c>
      <c r="C1133" s="79">
        <f>YEAR(Table6[[#This Row],[Date]])</f>
        <v>2025</v>
      </c>
      <c r="D1133" s="79" t="s">
        <v>344</v>
      </c>
      <c r="E1133" s="284">
        <f>Table6[[#This Row],[Date]]-DAY(Table6[[#This Row],[Date]])+1</f>
        <v>45839</v>
      </c>
      <c r="F1133" s="285">
        <v>45863</v>
      </c>
      <c r="G1133" s="79" t="s">
        <v>108</v>
      </c>
      <c r="H1133" s="79" t="str">
        <f>IFERROR(_xlfn.XLOOKUP(Table6[[#This Row],[Affected Feeder ]],'Basic Data'!$A:$A,'Basic Data'!$B:$B),"")</f>
        <v>PWEPL</v>
      </c>
      <c r="I1133" s="79" t="str">
        <f>IFERROR(_xlfn.XLOOKUP(Table6[[#This Row],[Affected Feeder ]],'Basic Data'!$A:$A,'Basic Data'!$C:$C),"")</f>
        <v>MSEDCL</v>
      </c>
      <c r="J1133" s="295">
        <f>IFERROR(_xlfn.XLOOKUP(Table6[[#This Row],[Affected Feeder ]],'Basic Data'!$A:$A,'Basic Data'!$E:$E),"")</f>
        <v>2.2727272727272728E-2</v>
      </c>
      <c r="K1133" s="296" t="s">
        <v>909</v>
      </c>
      <c r="L1133" s="297">
        <v>0.37847222222222227</v>
      </c>
      <c r="M1133" s="297">
        <v>0.37847222222222227</v>
      </c>
      <c r="N1133" s="297">
        <v>0.4069444444444445</v>
      </c>
      <c r="O1133" s="298">
        <f>(Table6[[#This Row],[Work Start TimeStamp]]-Table6[[#This Row],[Fault Start TimeStamp]])*24</f>
        <v>0</v>
      </c>
      <c r="P1133" s="298">
        <f>(Table6[[#This Row],[Fault Clearance time]]-Table6[[#This Row],[Fault Start TimeStamp]])*24</f>
        <v>0.68333333333333357</v>
      </c>
      <c r="Q1133" s="298">
        <f>(Table6[[#This Row],[Fault Clearance time]]-Table6[[#This Row],[Fault Start TimeStamp]])*24</f>
        <v>0.68333333333333357</v>
      </c>
      <c r="R1133" s="79" t="s">
        <v>353</v>
      </c>
      <c r="S1133" s="79" t="s">
        <v>339</v>
      </c>
      <c r="T1133" s="298">
        <f>IFERROR(Table6[[#This Row],[Breakdown Time]]*Table6[[#This Row],[Plant Equivalent Weightage]],"")</f>
        <v>1.5530303030303037E-2</v>
      </c>
      <c r="U1133" s="79" t="s">
        <v>421</v>
      </c>
      <c r="W1133" s="79">
        <v>3423</v>
      </c>
    </row>
    <row r="1134" spans="1:23">
      <c r="A1134" s="79">
        <f t="shared" si="17"/>
        <v>1133</v>
      </c>
      <c r="B1134" s="79">
        <f>YEAR(Table6[[#This Row],[Date]])+IF(MONTH(Table6[[#This Row],[Date]])&gt;=4,1,0)</f>
        <v>2026</v>
      </c>
      <c r="C1134" s="79">
        <f>YEAR(Table6[[#This Row],[Date]])</f>
        <v>2025</v>
      </c>
      <c r="D1134" s="79" t="s">
        <v>344</v>
      </c>
      <c r="E1134" s="284">
        <f>Table6[[#This Row],[Date]]-DAY(Table6[[#This Row],[Date]])+1</f>
        <v>45839</v>
      </c>
      <c r="F1134" s="285">
        <v>45863</v>
      </c>
      <c r="G1134" s="79" t="s">
        <v>108</v>
      </c>
      <c r="H1134" s="79" t="str">
        <f>IFERROR(_xlfn.XLOOKUP(Table6[[#This Row],[Affected Feeder ]],'Basic Data'!$A:$A,'Basic Data'!$B:$B),"")</f>
        <v>PWEPL</v>
      </c>
      <c r="I1134" s="79" t="str">
        <f>IFERROR(_xlfn.XLOOKUP(Table6[[#This Row],[Affected Feeder ]],'Basic Data'!$A:$A,'Basic Data'!$C:$C),"")</f>
        <v>MSEDCL</v>
      </c>
      <c r="J1134" s="295">
        <f>IFERROR(_xlfn.XLOOKUP(Table6[[#This Row],[Affected Feeder ]],'Basic Data'!$A:$A,'Basic Data'!$E:$E),"")</f>
        <v>2.2727272727272728E-2</v>
      </c>
      <c r="K1134" s="296" t="s">
        <v>171</v>
      </c>
      <c r="L1134" s="297">
        <v>0.4069444444444445</v>
      </c>
      <c r="M1134" s="297">
        <v>0.4069444444444445</v>
      </c>
      <c r="N1134" s="297">
        <v>0.41875000000000001</v>
      </c>
      <c r="O1134" s="298">
        <f>(Table6[[#This Row],[Work Start TimeStamp]]-Table6[[#This Row],[Fault Start TimeStamp]])*24</f>
        <v>0</v>
      </c>
      <c r="P1134" s="298">
        <f>(Table6[[#This Row],[Fault Clearance time]]-Table6[[#This Row],[Fault Start TimeStamp]])*24</f>
        <v>0.28333333333333233</v>
      </c>
      <c r="Q1134" s="298">
        <f>(Table6[[#This Row],[Fault Clearance time]]-Table6[[#This Row],[Fault Start TimeStamp]])*24</f>
        <v>0.28333333333333233</v>
      </c>
      <c r="R1134" s="79" t="s">
        <v>353</v>
      </c>
      <c r="S1134" s="79" t="s">
        <v>339</v>
      </c>
      <c r="T1134" s="298">
        <f>IFERROR(Table6[[#This Row],[Breakdown Time]]*Table6[[#This Row],[Plant Equivalent Weightage]],"")</f>
        <v>6.4393939393939167E-3</v>
      </c>
      <c r="U1134" s="79" t="s">
        <v>421</v>
      </c>
      <c r="W1134" s="79">
        <v>395</v>
      </c>
    </row>
    <row r="1135" spans="1:23">
      <c r="A1135" s="79">
        <f t="shared" si="17"/>
        <v>1134</v>
      </c>
      <c r="B1135" s="79">
        <f>YEAR(Table6[[#This Row],[Date]])+IF(MONTH(Table6[[#This Row],[Date]])&gt;=4,1,0)</f>
        <v>2026</v>
      </c>
      <c r="C1135" s="79">
        <f>YEAR(Table6[[#This Row],[Date]])</f>
        <v>2025</v>
      </c>
      <c r="D1135" s="79" t="s">
        <v>344</v>
      </c>
      <c r="E1135" s="284">
        <f>Table6[[#This Row],[Date]]-DAY(Table6[[#This Row],[Date]])+1</f>
        <v>45839</v>
      </c>
      <c r="F1135" s="285">
        <v>45863</v>
      </c>
      <c r="G1135" s="79" t="s">
        <v>111</v>
      </c>
      <c r="H1135" s="79" t="str">
        <f>IFERROR(_xlfn.XLOOKUP(Table6[[#This Row],[Affected Feeder ]],'Basic Data'!$A:$A,'Basic Data'!$B:$B),"")</f>
        <v>PWEPL</v>
      </c>
      <c r="I1135" s="79" t="str">
        <f>IFERROR(_xlfn.XLOOKUP(Table6[[#This Row],[Affected Feeder ]],'Basic Data'!$A:$A,'Basic Data'!$C:$C),"")</f>
        <v>MSEDCL</v>
      </c>
      <c r="J1135" s="295">
        <f>IFERROR(_xlfn.XLOOKUP(Table6[[#This Row],[Affected Feeder ]],'Basic Data'!$A:$A,'Basic Data'!$E:$E),"")</f>
        <v>2.2727272727272728E-2</v>
      </c>
      <c r="K1135" s="296" t="s">
        <v>796</v>
      </c>
      <c r="L1135" s="297">
        <v>0.7895833333333333</v>
      </c>
      <c r="M1135" s="297">
        <v>0.7895833333333333</v>
      </c>
      <c r="N1135" s="297">
        <v>0.90277777777777779</v>
      </c>
      <c r="O1135" s="298">
        <f>(Table6[[#This Row],[Work Start TimeStamp]]-Table6[[#This Row],[Fault Start TimeStamp]])*24</f>
        <v>0</v>
      </c>
      <c r="P1135" s="298">
        <f>(Table6[[#This Row],[Fault Clearance time]]-Table6[[#This Row],[Fault Start TimeStamp]])*24</f>
        <v>2.7166666666666677</v>
      </c>
      <c r="Q1135" s="298">
        <f>(Table6[[#This Row],[Fault Clearance time]]-Table6[[#This Row],[Fault Start TimeStamp]])*24</f>
        <v>2.7166666666666677</v>
      </c>
      <c r="R1135" s="79" t="s">
        <v>424</v>
      </c>
      <c r="S1135" s="79" t="s">
        <v>339</v>
      </c>
      <c r="T1135" s="298">
        <f>IFERROR(Table6[[#This Row],[Breakdown Time]]*Table6[[#This Row],[Plant Equivalent Weightage]],"")</f>
        <v>6.1742424242424265E-2</v>
      </c>
      <c r="U1135" s="79" t="s">
        <v>421</v>
      </c>
      <c r="W1135" s="79">
        <v>4434</v>
      </c>
    </row>
    <row r="1136" spans="1:23">
      <c r="A1136" s="79">
        <f t="shared" si="17"/>
        <v>1135</v>
      </c>
      <c r="B1136" s="79">
        <f>YEAR(Table6[[#This Row],[Date]])+IF(MONTH(Table6[[#This Row],[Date]])&gt;=4,1,0)</f>
        <v>2026</v>
      </c>
      <c r="C1136" s="79">
        <f>YEAR(Table6[[#This Row],[Date]])</f>
        <v>2025</v>
      </c>
      <c r="D1136" s="79" t="s">
        <v>344</v>
      </c>
      <c r="E1136" s="284">
        <f>Table6[[#This Row],[Date]]-DAY(Table6[[#This Row],[Date]])+1</f>
        <v>45839</v>
      </c>
      <c r="F1136" s="285">
        <v>45863</v>
      </c>
      <c r="G1136" s="79" t="s">
        <v>111</v>
      </c>
      <c r="H1136" s="79" t="str">
        <f>IFERROR(_xlfn.XLOOKUP(Table6[[#This Row],[Affected Feeder ]],'Basic Data'!$A:$A,'Basic Data'!$B:$B),"")</f>
        <v>PWEPL</v>
      </c>
      <c r="I1136" s="79" t="str">
        <f>IFERROR(_xlfn.XLOOKUP(Table6[[#This Row],[Affected Feeder ]],'Basic Data'!$A:$A,'Basic Data'!$C:$C),"")</f>
        <v>MSEDCL</v>
      </c>
      <c r="J1136" s="295">
        <f>IFERROR(_xlfn.XLOOKUP(Table6[[#This Row],[Affected Feeder ]],'Basic Data'!$A:$A,'Basic Data'!$E:$E),"")</f>
        <v>2.2727272727272728E-2</v>
      </c>
      <c r="K1136" s="296" t="s">
        <v>171</v>
      </c>
      <c r="L1136" s="297">
        <v>0.90277777777777779</v>
      </c>
      <c r="M1136" s="297">
        <v>0.90277777777777779</v>
      </c>
      <c r="N1136" s="297">
        <v>0.91666666666666663</v>
      </c>
      <c r="O1136" s="298">
        <f>(Table6[[#This Row],[Work Start TimeStamp]]-Table6[[#This Row],[Fault Start TimeStamp]])*24</f>
        <v>0</v>
      </c>
      <c r="P1136" s="298">
        <f>(Table6[[#This Row],[Fault Clearance time]]-Table6[[#This Row],[Fault Start TimeStamp]])*24</f>
        <v>0.33333333333333215</v>
      </c>
      <c r="Q1136" s="298">
        <f>(Table6[[#This Row],[Fault Clearance time]]-Table6[[#This Row],[Fault Start TimeStamp]])*24</f>
        <v>0.33333333333333215</v>
      </c>
      <c r="R1136" s="79" t="s">
        <v>353</v>
      </c>
      <c r="S1136" s="79" t="s">
        <v>339</v>
      </c>
      <c r="T1136" s="298">
        <f>IFERROR(Table6[[#This Row],[Breakdown Time]]*Table6[[#This Row],[Plant Equivalent Weightage]],"")</f>
        <v>7.5757575757575491E-3</v>
      </c>
      <c r="U1136" s="79" t="s">
        <v>421</v>
      </c>
      <c r="W1136" s="79">
        <v>544</v>
      </c>
    </row>
    <row r="1137" spans="1:23">
      <c r="A1137" s="79">
        <f t="shared" si="17"/>
        <v>1136</v>
      </c>
      <c r="B1137" s="79">
        <f>YEAR(Table6[[#This Row],[Date]])+IF(MONTH(Table6[[#This Row],[Date]])&gt;=4,1,0)</f>
        <v>2026</v>
      </c>
      <c r="C1137" s="79">
        <f>YEAR(Table6[[#This Row],[Date]])</f>
        <v>2025</v>
      </c>
      <c r="D1137" s="79" t="s">
        <v>344</v>
      </c>
      <c r="E1137" s="284">
        <f>Table6[[#This Row],[Date]]-DAY(Table6[[#This Row],[Date]])+1</f>
        <v>45839</v>
      </c>
      <c r="F1137" s="285">
        <v>45863</v>
      </c>
      <c r="G1137" s="79" t="s">
        <v>112</v>
      </c>
      <c r="H1137" s="79" t="str">
        <f>IFERROR(_xlfn.XLOOKUP(Table6[[#This Row],[Affected Feeder ]],'Basic Data'!$A:$A,'Basic Data'!$B:$B),"")</f>
        <v>PWEPL</v>
      </c>
      <c r="I1137" s="79" t="str">
        <f>IFERROR(_xlfn.XLOOKUP(Table6[[#This Row],[Affected Feeder ]],'Basic Data'!$A:$A,'Basic Data'!$C:$C),"")</f>
        <v>MSEDCL</v>
      </c>
      <c r="J1137" s="295">
        <f>IFERROR(_xlfn.XLOOKUP(Table6[[#This Row],[Affected Feeder ]],'Basic Data'!$A:$A,'Basic Data'!$E:$E),"")</f>
        <v>2.2727272727272728E-2</v>
      </c>
      <c r="K1137" s="296" t="s">
        <v>796</v>
      </c>
      <c r="L1137" s="297">
        <v>0.7895833333333333</v>
      </c>
      <c r="M1137" s="297">
        <v>0.7895833333333333</v>
      </c>
      <c r="N1137" s="297">
        <v>0.91527777777777775</v>
      </c>
      <c r="O1137" s="298">
        <f>(Table6[[#This Row],[Work Start TimeStamp]]-Table6[[#This Row],[Fault Start TimeStamp]])*24</f>
        <v>0</v>
      </c>
      <c r="P1137" s="298">
        <f>(Table6[[#This Row],[Fault Clearance time]]-Table6[[#This Row],[Fault Start TimeStamp]])*24</f>
        <v>3.0166666666666666</v>
      </c>
      <c r="Q1137" s="298">
        <f>(Table6[[#This Row],[Fault Clearance time]]-Table6[[#This Row],[Fault Start TimeStamp]])*24</f>
        <v>3.0166666666666666</v>
      </c>
      <c r="R1137" s="79" t="s">
        <v>424</v>
      </c>
      <c r="S1137" s="79" t="s">
        <v>339</v>
      </c>
      <c r="T1137" s="298">
        <f>IFERROR(Table6[[#This Row],[Breakdown Time]]*Table6[[#This Row],[Plant Equivalent Weightage]],"")</f>
        <v>6.8560606060606058E-2</v>
      </c>
      <c r="U1137" s="79" t="s">
        <v>421</v>
      </c>
      <c r="W1137" s="79">
        <v>496</v>
      </c>
    </row>
    <row r="1138" spans="1:23">
      <c r="A1138" s="79">
        <f t="shared" si="17"/>
        <v>1137</v>
      </c>
      <c r="B1138" s="79">
        <f>YEAR(Table6[[#This Row],[Date]])+IF(MONTH(Table6[[#This Row],[Date]])&gt;=4,1,0)</f>
        <v>2026</v>
      </c>
      <c r="C1138" s="79">
        <f>YEAR(Table6[[#This Row],[Date]])</f>
        <v>2025</v>
      </c>
      <c r="D1138" s="79" t="s">
        <v>344</v>
      </c>
      <c r="E1138" s="284">
        <f>Table6[[#This Row],[Date]]-DAY(Table6[[#This Row],[Date]])+1</f>
        <v>45839</v>
      </c>
      <c r="F1138" s="285">
        <v>45863</v>
      </c>
      <c r="G1138" s="79" t="s">
        <v>112</v>
      </c>
      <c r="H1138" s="79" t="str">
        <f>IFERROR(_xlfn.XLOOKUP(Table6[[#This Row],[Affected Feeder ]],'Basic Data'!$A:$A,'Basic Data'!$B:$B),"")</f>
        <v>PWEPL</v>
      </c>
      <c r="I1138" s="79" t="str">
        <f>IFERROR(_xlfn.XLOOKUP(Table6[[#This Row],[Affected Feeder ]],'Basic Data'!$A:$A,'Basic Data'!$C:$C),"")</f>
        <v>MSEDCL</v>
      </c>
      <c r="J1138" s="295">
        <f>IFERROR(_xlfn.XLOOKUP(Table6[[#This Row],[Affected Feeder ]],'Basic Data'!$A:$A,'Basic Data'!$E:$E),"")</f>
        <v>2.2727272727272728E-2</v>
      </c>
      <c r="K1138" s="296" t="s">
        <v>171</v>
      </c>
      <c r="L1138" s="297">
        <v>0.91527777777777775</v>
      </c>
      <c r="M1138" s="297">
        <v>0.91527777777777775</v>
      </c>
      <c r="N1138" s="297">
        <v>0.9291666666666667</v>
      </c>
      <c r="O1138" s="298">
        <f>(Table6[[#This Row],[Work Start TimeStamp]]-Table6[[#This Row],[Fault Start TimeStamp]])*24</f>
        <v>0</v>
      </c>
      <c r="P1138" s="298">
        <f>(Table6[[#This Row],[Fault Clearance time]]-Table6[[#This Row],[Fault Start TimeStamp]])*24</f>
        <v>0.33333333333333481</v>
      </c>
      <c r="Q1138" s="298">
        <f>(Table6[[#This Row],[Fault Clearance time]]-Table6[[#This Row],[Fault Start TimeStamp]])*24</f>
        <v>0.33333333333333481</v>
      </c>
      <c r="R1138" s="79" t="s">
        <v>353</v>
      </c>
      <c r="S1138" s="79" t="s">
        <v>339</v>
      </c>
      <c r="T1138" s="298">
        <f>IFERROR(Table6[[#This Row],[Breakdown Time]]*Table6[[#This Row],[Plant Equivalent Weightage]],"")</f>
        <v>7.5757575757576098E-3</v>
      </c>
      <c r="U1138" s="79" t="s">
        <v>421</v>
      </c>
      <c r="W1138" s="79">
        <v>54</v>
      </c>
    </row>
    <row r="1139" spans="1:23">
      <c r="A1139" s="79">
        <f t="shared" si="17"/>
        <v>1138</v>
      </c>
      <c r="B1139" s="79">
        <f>YEAR(Table6[[#This Row],[Date]])+IF(MONTH(Table6[[#This Row],[Date]])&gt;=4,1,0)</f>
        <v>2026</v>
      </c>
      <c r="C1139" s="79">
        <f>YEAR(Table6[[#This Row],[Date]])</f>
        <v>2025</v>
      </c>
      <c r="D1139" s="79" t="s">
        <v>344</v>
      </c>
      <c r="E1139" s="284">
        <f>Table6[[#This Row],[Date]]-DAY(Table6[[#This Row],[Date]])+1</f>
        <v>45839</v>
      </c>
      <c r="F1139" s="285">
        <v>45863</v>
      </c>
      <c r="G1139" s="79" t="s">
        <v>404</v>
      </c>
      <c r="H1139" s="79" t="str">
        <f>IFERROR(_xlfn.XLOOKUP(Table6[[#This Row],[Affected Feeder ]],'Basic Data'!$A:$A,'Basic Data'!$B:$B),"")</f>
        <v>PWEPL</v>
      </c>
      <c r="I1139" s="79" t="str">
        <f>IFERROR(_xlfn.XLOOKUP(Table6[[#This Row],[Affected Feeder ]],'Basic Data'!$A:$A,'Basic Data'!$C:$C),"")</f>
        <v>MSEDCL</v>
      </c>
      <c r="J1139" s="295">
        <f>IFERROR(_xlfn.XLOOKUP(Table6[[#This Row],[Affected Feeder ]],'Basic Data'!$A:$A,'Basic Data'!$E:$E),"")</f>
        <v>0.27272727272727276</v>
      </c>
      <c r="K1139" s="296" t="s">
        <v>419</v>
      </c>
      <c r="L1139" s="297">
        <v>0.7895833333333333</v>
      </c>
      <c r="M1139" s="297">
        <v>0.7895833333333333</v>
      </c>
      <c r="N1139" s="297">
        <v>0.81874999999999998</v>
      </c>
      <c r="O1139" s="298">
        <f>(Table6[[#This Row],[Work Start TimeStamp]]-Table6[[#This Row],[Fault Start TimeStamp]])*24</f>
        <v>0</v>
      </c>
      <c r="P1139" s="298">
        <f>(Table6[[#This Row],[Fault Clearance time]]-Table6[[#This Row],[Fault Start TimeStamp]])*24</f>
        <v>0.70000000000000018</v>
      </c>
      <c r="Q1139" s="298">
        <f>(Table6[[#This Row],[Fault Clearance time]]-Table6[[#This Row],[Fault Start TimeStamp]])*24</f>
        <v>0.70000000000000018</v>
      </c>
      <c r="R1139" s="79" t="s">
        <v>420</v>
      </c>
      <c r="S1139" s="79" t="s">
        <v>339</v>
      </c>
      <c r="T1139" s="298">
        <f>IFERROR(Table6[[#This Row],[Breakdown Time]]*Table6[[#This Row],[Plant Equivalent Weightage]],"")</f>
        <v>0.19090909090909097</v>
      </c>
      <c r="U1139" s="79" t="s">
        <v>421</v>
      </c>
      <c r="W1139" s="79">
        <v>12054</v>
      </c>
    </row>
    <row r="1140" spans="1:23">
      <c r="A1140" s="79">
        <f t="shared" si="17"/>
        <v>1139</v>
      </c>
      <c r="B1140" s="79">
        <f>YEAR(Table6[[#This Row],[Date]])+IF(MONTH(Table6[[#This Row],[Date]])&gt;=4,1,0)</f>
        <v>2026</v>
      </c>
      <c r="C1140" s="79">
        <f>YEAR(Table6[[#This Row],[Date]])</f>
        <v>2025</v>
      </c>
      <c r="D1140" s="79" t="s">
        <v>344</v>
      </c>
      <c r="E1140" s="284">
        <f>Table6[[#This Row],[Date]]-DAY(Table6[[#This Row],[Date]])+1</f>
        <v>45839</v>
      </c>
      <c r="F1140" s="285">
        <v>45863</v>
      </c>
      <c r="G1140" s="79" t="s">
        <v>89</v>
      </c>
      <c r="H1140" s="79" t="str">
        <f>IFERROR(_xlfn.XLOOKUP(Table6[[#This Row],[Affected Feeder ]],'Basic Data'!$A:$A,'Basic Data'!$B:$B),"")</f>
        <v>PWEPL</v>
      </c>
      <c r="I1140" s="79" t="str">
        <f>IFERROR(_xlfn.XLOOKUP(Table6[[#This Row],[Affected Feeder ]],'Basic Data'!$A:$A,'Basic Data'!$C:$C),"")</f>
        <v>MSEDCL</v>
      </c>
      <c r="J1140" s="295">
        <f>IFERROR(_xlfn.XLOOKUP(Table6[[#This Row],[Affected Feeder ]],'Basic Data'!$A:$A,'Basic Data'!$E:$E),"")</f>
        <v>2.2727272727272728E-2</v>
      </c>
      <c r="K1140" s="296" t="s">
        <v>171</v>
      </c>
      <c r="L1140" s="297">
        <v>0.81874999999999998</v>
      </c>
      <c r="M1140" s="297">
        <v>0.81874999999999998</v>
      </c>
      <c r="N1140" s="297">
        <v>0.82638888888888884</v>
      </c>
      <c r="O1140" s="298">
        <f>(Table6[[#This Row],[Work Start TimeStamp]]-Table6[[#This Row],[Fault Start TimeStamp]])*24</f>
        <v>0</v>
      </c>
      <c r="P1140" s="298">
        <f>(Table6[[#This Row],[Fault Clearance time]]-Table6[[#This Row],[Fault Start TimeStamp]])*24</f>
        <v>0.18333333333333268</v>
      </c>
      <c r="Q1140" s="298">
        <f>(Table6[[#This Row],[Fault Clearance time]]-Table6[[#This Row],[Fault Start TimeStamp]])*24</f>
        <v>0.18333333333333268</v>
      </c>
      <c r="R1140" s="79" t="s">
        <v>353</v>
      </c>
      <c r="S1140" s="79" t="s">
        <v>339</v>
      </c>
      <c r="T1140" s="298">
        <f>IFERROR(Table6[[#This Row],[Breakdown Time]]*Table6[[#This Row],[Plant Equivalent Weightage]],"")</f>
        <v>4.1666666666666519E-3</v>
      </c>
      <c r="U1140" s="79" t="s">
        <v>421</v>
      </c>
      <c r="W1140" s="79">
        <v>263</v>
      </c>
    </row>
    <row r="1141" spans="1:23">
      <c r="A1141" s="79">
        <f t="shared" si="17"/>
        <v>1140</v>
      </c>
      <c r="B1141" s="79">
        <f>YEAR(Table6[[#This Row],[Date]])+IF(MONTH(Table6[[#This Row],[Date]])&gt;=4,1,0)</f>
        <v>2026</v>
      </c>
      <c r="C1141" s="79">
        <f>YEAR(Table6[[#This Row],[Date]])</f>
        <v>2025</v>
      </c>
      <c r="D1141" s="79" t="s">
        <v>344</v>
      </c>
      <c r="E1141" s="284">
        <f>Table6[[#This Row],[Date]]-DAY(Table6[[#This Row],[Date]])+1</f>
        <v>45839</v>
      </c>
      <c r="F1141" s="285">
        <v>45863</v>
      </c>
      <c r="G1141" s="79" t="s">
        <v>90</v>
      </c>
      <c r="H1141" s="79" t="str">
        <f>IFERROR(_xlfn.XLOOKUP(Table6[[#This Row],[Affected Feeder ]],'Basic Data'!$A:$A,'Basic Data'!$B:$B),"")</f>
        <v>PWEPL</v>
      </c>
      <c r="I1141" s="79" t="str">
        <f>IFERROR(_xlfn.XLOOKUP(Table6[[#This Row],[Affected Feeder ]],'Basic Data'!$A:$A,'Basic Data'!$C:$C),"")</f>
        <v>MSEDCL</v>
      </c>
      <c r="J1141" s="295">
        <f>IFERROR(_xlfn.XLOOKUP(Table6[[#This Row],[Affected Feeder ]],'Basic Data'!$A:$A,'Basic Data'!$E:$E),"")</f>
        <v>2.2727272727272728E-2</v>
      </c>
      <c r="K1141" s="296" t="s">
        <v>171</v>
      </c>
      <c r="L1141" s="297">
        <v>0.81874999999999998</v>
      </c>
      <c r="M1141" s="297">
        <v>0.81874999999999998</v>
      </c>
      <c r="N1141" s="297">
        <v>0.83124999999999993</v>
      </c>
      <c r="O1141" s="298">
        <f>(Table6[[#This Row],[Work Start TimeStamp]]-Table6[[#This Row],[Fault Start TimeStamp]])*24</f>
        <v>0</v>
      </c>
      <c r="P1141" s="298">
        <f>(Table6[[#This Row],[Fault Clearance time]]-Table6[[#This Row],[Fault Start TimeStamp]])*24</f>
        <v>0.29999999999999893</v>
      </c>
      <c r="Q1141" s="298">
        <f>(Table6[[#This Row],[Fault Clearance time]]-Table6[[#This Row],[Fault Start TimeStamp]])*24</f>
        <v>0.29999999999999893</v>
      </c>
      <c r="R1141" s="79" t="s">
        <v>353</v>
      </c>
      <c r="S1141" s="79" t="s">
        <v>339</v>
      </c>
      <c r="T1141" s="298">
        <f>IFERROR(Table6[[#This Row],[Breakdown Time]]*Table6[[#This Row],[Plant Equivalent Weightage]],"")</f>
        <v>6.8181818181817944E-3</v>
      </c>
      <c r="U1141" s="79" t="s">
        <v>421</v>
      </c>
      <c r="W1141" s="79">
        <v>430</v>
      </c>
    </row>
    <row r="1142" spans="1:23">
      <c r="A1142" s="79">
        <f t="shared" si="17"/>
        <v>1141</v>
      </c>
      <c r="B1142" s="79">
        <f>YEAR(Table6[[#This Row],[Date]])+IF(MONTH(Table6[[#This Row],[Date]])&gt;=4,1,0)</f>
        <v>2026</v>
      </c>
      <c r="C1142" s="79">
        <f>YEAR(Table6[[#This Row],[Date]])</f>
        <v>2025</v>
      </c>
      <c r="D1142" s="79" t="s">
        <v>344</v>
      </c>
      <c r="E1142" s="284">
        <f>Table6[[#This Row],[Date]]-DAY(Table6[[#This Row],[Date]])+1</f>
        <v>45839</v>
      </c>
      <c r="F1142" s="285">
        <v>45863</v>
      </c>
      <c r="G1142" s="79" t="s">
        <v>91</v>
      </c>
      <c r="H1142" s="79" t="str">
        <f>IFERROR(_xlfn.XLOOKUP(Table6[[#This Row],[Affected Feeder ]],'Basic Data'!$A:$A,'Basic Data'!$B:$B),"")</f>
        <v>PWEPL</v>
      </c>
      <c r="I1142" s="79" t="str">
        <f>IFERROR(_xlfn.XLOOKUP(Table6[[#This Row],[Affected Feeder ]],'Basic Data'!$A:$A,'Basic Data'!$C:$C),"")</f>
        <v>MSEDCL</v>
      </c>
      <c r="J1142" s="295">
        <f>IFERROR(_xlfn.XLOOKUP(Table6[[#This Row],[Affected Feeder ]],'Basic Data'!$A:$A,'Basic Data'!$E:$E),"")</f>
        <v>2.2727272727272728E-2</v>
      </c>
      <c r="K1142" s="296" t="s">
        <v>171</v>
      </c>
      <c r="L1142" s="297">
        <v>0.81874999999999998</v>
      </c>
      <c r="M1142" s="297">
        <v>0.81874999999999998</v>
      </c>
      <c r="N1142" s="297">
        <v>0.82916666666666661</v>
      </c>
      <c r="O1142" s="298">
        <f>(Table6[[#This Row],[Work Start TimeStamp]]-Table6[[#This Row],[Fault Start TimeStamp]])*24</f>
        <v>0</v>
      </c>
      <c r="P1142" s="298">
        <f>(Table6[[#This Row],[Fault Clearance time]]-Table6[[#This Row],[Fault Start TimeStamp]])*24</f>
        <v>0.24999999999999911</v>
      </c>
      <c r="Q1142" s="298">
        <f>(Table6[[#This Row],[Fault Clearance time]]-Table6[[#This Row],[Fault Start TimeStamp]])*24</f>
        <v>0.24999999999999911</v>
      </c>
      <c r="R1142" s="79" t="s">
        <v>353</v>
      </c>
      <c r="S1142" s="79" t="s">
        <v>339</v>
      </c>
      <c r="T1142" s="298">
        <f>IFERROR(Table6[[#This Row],[Breakdown Time]]*Table6[[#This Row],[Plant Equivalent Weightage]],"")</f>
        <v>5.681818181818162E-3</v>
      </c>
      <c r="U1142" s="79" t="s">
        <v>421</v>
      </c>
      <c r="W1142" s="79">
        <v>358</v>
      </c>
    </row>
    <row r="1143" spans="1:23">
      <c r="A1143" s="79">
        <f t="shared" si="17"/>
        <v>1142</v>
      </c>
      <c r="B1143" s="79">
        <f>YEAR(Table6[[#This Row],[Date]])+IF(MONTH(Table6[[#This Row],[Date]])&gt;=4,1,0)</f>
        <v>2026</v>
      </c>
      <c r="C1143" s="79">
        <f>YEAR(Table6[[#This Row],[Date]])</f>
        <v>2025</v>
      </c>
      <c r="D1143" s="79" t="s">
        <v>344</v>
      </c>
      <c r="E1143" s="284">
        <f>Table6[[#This Row],[Date]]-DAY(Table6[[#This Row],[Date]])+1</f>
        <v>45839</v>
      </c>
      <c r="F1143" s="285">
        <v>45863</v>
      </c>
      <c r="G1143" s="79" t="s">
        <v>92</v>
      </c>
      <c r="H1143" s="79" t="str">
        <f>IFERROR(_xlfn.XLOOKUP(Table6[[#This Row],[Affected Feeder ]],'Basic Data'!$A:$A,'Basic Data'!$B:$B),"")</f>
        <v>PWEPL</v>
      </c>
      <c r="I1143" s="79" t="str">
        <f>IFERROR(_xlfn.XLOOKUP(Table6[[#This Row],[Affected Feeder ]],'Basic Data'!$A:$A,'Basic Data'!$C:$C),"")</f>
        <v>MSEDCL</v>
      </c>
      <c r="J1143" s="295">
        <f>IFERROR(_xlfn.XLOOKUP(Table6[[#This Row],[Affected Feeder ]],'Basic Data'!$A:$A,'Basic Data'!$E:$E),"")</f>
        <v>2.2727272727272728E-2</v>
      </c>
      <c r="K1143" s="296" t="s">
        <v>171</v>
      </c>
      <c r="L1143" s="297">
        <v>0.81874999999999998</v>
      </c>
      <c r="M1143" s="297">
        <v>0.81874999999999998</v>
      </c>
      <c r="N1143" s="297">
        <v>0.83263888888888893</v>
      </c>
      <c r="O1143" s="298">
        <f>(Table6[[#This Row],[Work Start TimeStamp]]-Table6[[#This Row],[Fault Start TimeStamp]])*24</f>
        <v>0</v>
      </c>
      <c r="P1143" s="298">
        <f>(Table6[[#This Row],[Fault Clearance time]]-Table6[[#This Row],[Fault Start TimeStamp]])*24</f>
        <v>0.33333333333333481</v>
      </c>
      <c r="Q1143" s="298">
        <f>(Table6[[#This Row],[Fault Clearance time]]-Table6[[#This Row],[Fault Start TimeStamp]])*24</f>
        <v>0.33333333333333481</v>
      </c>
      <c r="R1143" s="79" t="s">
        <v>353</v>
      </c>
      <c r="S1143" s="79" t="s">
        <v>339</v>
      </c>
      <c r="T1143" s="298">
        <f>IFERROR(Table6[[#This Row],[Breakdown Time]]*Table6[[#This Row],[Plant Equivalent Weightage]],"")</f>
        <v>7.5757575757576098E-3</v>
      </c>
      <c r="U1143" s="79" t="s">
        <v>421</v>
      </c>
      <c r="W1143" s="79">
        <v>478</v>
      </c>
    </row>
    <row r="1144" spans="1:23">
      <c r="A1144" s="79">
        <f t="shared" si="17"/>
        <v>1143</v>
      </c>
      <c r="B1144" s="79">
        <f>YEAR(Table6[[#This Row],[Date]])+IF(MONTH(Table6[[#This Row],[Date]])&gt;=4,1,0)</f>
        <v>2026</v>
      </c>
      <c r="C1144" s="79">
        <f>YEAR(Table6[[#This Row],[Date]])</f>
        <v>2025</v>
      </c>
      <c r="D1144" s="79" t="s">
        <v>344</v>
      </c>
      <c r="E1144" s="284">
        <f>Table6[[#This Row],[Date]]-DAY(Table6[[#This Row],[Date]])+1</f>
        <v>45839</v>
      </c>
      <c r="F1144" s="285">
        <v>45863</v>
      </c>
      <c r="G1144" s="79" t="s">
        <v>94</v>
      </c>
      <c r="H1144" s="79" t="str">
        <f>IFERROR(_xlfn.XLOOKUP(Table6[[#This Row],[Affected Feeder ]],'Basic Data'!$A:$A,'Basic Data'!$B:$B),"")</f>
        <v>PWEPL</v>
      </c>
      <c r="I1144" s="79" t="str">
        <f>IFERROR(_xlfn.XLOOKUP(Table6[[#This Row],[Affected Feeder ]],'Basic Data'!$A:$A,'Basic Data'!$C:$C),"")</f>
        <v>MSEDCL</v>
      </c>
      <c r="J1144" s="295">
        <f>IFERROR(_xlfn.XLOOKUP(Table6[[#This Row],[Affected Feeder ]],'Basic Data'!$A:$A,'Basic Data'!$E:$E),"")</f>
        <v>2.2727272727272728E-2</v>
      </c>
      <c r="K1144" s="296" t="s">
        <v>171</v>
      </c>
      <c r="L1144" s="297">
        <v>0.81874999999999998</v>
      </c>
      <c r="M1144" s="297">
        <v>0.81874999999999998</v>
      </c>
      <c r="N1144" s="297">
        <v>0.83263888888888893</v>
      </c>
      <c r="O1144" s="298">
        <f>(Table6[[#This Row],[Work Start TimeStamp]]-Table6[[#This Row],[Fault Start TimeStamp]])*24</f>
        <v>0</v>
      </c>
      <c r="P1144" s="298">
        <f>(Table6[[#This Row],[Fault Clearance time]]-Table6[[#This Row],[Fault Start TimeStamp]])*24</f>
        <v>0.33333333333333481</v>
      </c>
      <c r="Q1144" s="298">
        <f>(Table6[[#This Row],[Fault Clearance time]]-Table6[[#This Row],[Fault Start TimeStamp]])*24</f>
        <v>0.33333333333333481</v>
      </c>
      <c r="R1144" s="79" t="s">
        <v>353</v>
      </c>
      <c r="S1144" s="79" t="s">
        <v>339</v>
      </c>
      <c r="T1144" s="298">
        <f>IFERROR(Table6[[#This Row],[Breakdown Time]]*Table6[[#This Row],[Plant Equivalent Weightage]],"")</f>
        <v>7.5757575757576098E-3</v>
      </c>
      <c r="U1144" s="79" t="s">
        <v>421</v>
      </c>
      <c r="W1144" s="79">
        <v>478</v>
      </c>
    </row>
    <row r="1145" spans="1:23">
      <c r="A1145" s="79">
        <f t="shared" si="17"/>
        <v>1144</v>
      </c>
      <c r="B1145" s="79">
        <f>YEAR(Table6[[#This Row],[Date]])+IF(MONTH(Table6[[#This Row],[Date]])&gt;=4,1,0)</f>
        <v>2026</v>
      </c>
      <c r="C1145" s="79">
        <f>YEAR(Table6[[#This Row],[Date]])</f>
        <v>2025</v>
      </c>
      <c r="D1145" s="79" t="s">
        <v>344</v>
      </c>
      <c r="E1145" s="284">
        <f>Table6[[#This Row],[Date]]-DAY(Table6[[#This Row],[Date]])+1</f>
        <v>45839</v>
      </c>
      <c r="F1145" s="285">
        <v>45863</v>
      </c>
      <c r="G1145" s="79" t="s">
        <v>95</v>
      </c>
      <c r="H1145" s="79" t="str">
        <f>IFERROR(_xlfn.XLOOKUP(Table6[[#This Row],[Affected Feeder ]],'Basic Data'!$A:$A,'Basic Data'!$B:$B),"")</f>
        <v>PWEPL</v>
      </c>
      <c r="I1145" s="79" t="str">
        <f>IFERROR(_xlfn.XLOOKUP(Table6[[#This Row],[Affected Feeder ]],'Basic Data'!$A:$A,'Basic Data'!$C:$C),"")</f>
        <v>MSEDCL</v>
      </c>
      <c r="J1145" s="295">
        <f>IFERROR(_xlfn.XLOOKUP(Table6[[#This Row],[Affected Feeder ]],'Basic Data'!$A:$A,'Basic Data'!$E:$E),"")</f>
        <v>2.2727272727272728E-2</v>
      </c>
      <c r="K1145" s="296" t="s">
        <v>171</v>
      </c>
      <c r="L1145" s="297">
        <v>0.81874999999999998</v>
      </c>
      <c r="M1145" s="297">
        <v>0.81874999999999998</v>
      </c>
      <c r="N1145" s="297">
        <v>0.8256944444444444</v>
      </c>
      <c r="O1145" s="298">
        <f>(Table6[[#This Row],[Work Start TimeStamp]]-Table6[[#This Row],[Fault Start TimeStamp]])*24</f>
        <v>0</v>
      </c>
      <c r="P1145" s="298">
        <f>(Table6[[#This Row],[Fault Clearance time]]-Table6[[#This Row],[Fault Start TimeStamp]])*24</f>
        <v>0.16666666666666607</v>
      </c>
      <c r="Q1145" s="298">
        <f>(Table6[[#This Row],[Fault Clearance time]]-Table6[[#This Row],[Fault Start TimeStamp]])*24</f>
        <v>0.16666666666666607</v>
      </c>
      <c r="R1145" s="79" t="s">
        <v>353</v>
      </c>
      <c r="S1145" s="79" t="s">
        <v>339</v>
      </c>
      <c r="T1145" s="298">
        <f>IFERROR(Table6[[#This Row],[Breakdown Time]]*Table6[[#This Row],[Plant Equivalent Weightage]],"")</f>
        <v>3.7878787878787745E-3</v>
      </c>
      <c r="U1145" s="79" t="s">
        <v>421</v>
      </c>
      <c r="W1145" s="79">
        <v>239</v>
      </c>
    </row>
    <row r="1146" spans="1:23">
      <c r="A1146" s="79">
        <f t="shared" si="17"/>
        <v>1145</v>
      </c>
      <c r="B1146" s="79">
        <f>YEAR(Table6[[#This Row],[Date]])+IF(MONTH(Table6[[#This Row],[Date]])&gt;=4,1,0)</f>
        <v>2026</v>
      </c>
      <c r="C1146" s="79">
        <f>YEAR(Table6[[#This Row],[Date]])</f>
        <v>2025</v>
      </c>
      <c r="D1146" s="79" t="s">
        <v>344</v>
      </c>
      <c r="E1146" s="284">
        <f>Table6[[#This Row],[Date]]-DAY(Table6[[#This Row],[Date]])+1</f>
        <v>45839</v>
      </c>
      <c r="F1146" s="285">
        <v>45863</v>
      </c>
      <c r="G1146" s="79" t="s">
        <v>106</v>
      </c>
      <c r="H1146" s="79" t="str">
        <f>IFERROR(_xlfn.XLOOKUP(Table6[[#This Row],[Affected Feeder ]],'Basic Data'!$A:$A,'Basic Data'!$B:$B),"")</f>
        <v>PWEPL</v>
      </c>
      <c r="I1146" s="79" t="str">
        <f>IFERROR(_xlfn.XLOOKUP(Table6[[#This Row],[Affected Feeder ]],'Basic Data'!$A:$A,'Basic Data'!$C:$C),"")</f>
        <v>MSEDCL</v>
      </c>
      <c r="J1146" s="295">
        <f>IFERROR(_xlfn.XLOOKUP(Table6[[#This Row],[Affected Feeder ]],'Basic Data'!$A:$A,'Basic Data'!$E:$E),"")</f>
        <v>2.2727272727272728E-2</v>
      </c>
      <c r="K1146" s="296" t="s">
        <v>171</v>
      </c>
      <c r="L1146" s="297">
        <v>0.81874999999999998</v>
      </c>
      <c r="M1146" s="297">
        <v>0.81874999999999998</v>
      </c>
      <c r="N1146" s="297">
        <v>0.83263888888888893</v>
      </c>
      <c r="O1146" s="298">
        <f>(Table6[[#This Row],[Work Start TimeStamp]]-Table6[[#This Row],[Fault Start TimeStamp]])*24</f>
        <v>0</v>
      </c>
      <c r="P1146" s="298">
        <f>(Table6[[#This Row],[Fault Clearance time]]-Table6[[#This Row],[Fault Start TimeStamp]])*24</f>
        <v>0.33333333333333481</v>
      </c>
      <c r="Q1146" s="298">
        <f>(Table6[[#This Row],[Fault Clearance time]]-Table6[[#This Row],[Fault Start TimeStamp]])*24</f>
        <v>0.33333333333333481</v>
      </c>
      <c r="R1146" s="79" t="s">
        <v>353</v>
      </c>
      <c r="S1146" s="79" t="s">
        <v>339</v>
      </c>
      <c r="T1146" s="298">
        <f>IFERROR(Table6[[#This Row],[Breakdown Time]]*Table6[[#This Row],[Plant Equivalent Weightage]],"")</f>
        <v>7.5757575757576098E-3</v>
      </c>
      <c r="U1146" s="79" t="s">
        <v>421</v>
      </c>
      <c r="W1146" s="79">
        <v>478</v>
      </c>
    </row>
    <row r="1147" spans="1:23">
      <c r="A1147" s="79">
        <f t="shared" si="17"/>
        <v>1146</v>
      </c>
      <c r="B1147" s="79">
        <f>YEAR(Table6[[#This Row],[Date]])+IF(MONTH(Table6[[#This Row],[Date]])&gt;=4,1,0)</f>
        <v>2026</v>
      </c>
      <c r="C1147" s="79">
        <f>YEAR(Table6[[#This Row],[Date]])</f>
        <v>2025</v>
      </c>
      <c r="D1147" s="79" t="s">
        <v>344</v>
      </c>
      <c r="E1147" s="284">
        <f>Table6[[#This Row],[Date]]-DAY(Table6[[#This Row],[Date]])+1</f>
        <v>45839</v>
      </c>
      <c r="F1147" s="285">
        <v>45863</v>
      </c>
      <c r="G1147" s="79" t="s">
        <v>79</v>
      </c>
      <c r="H1147" s="79" t="str">
        <f>IFERROR(_xlfn.XLOOKUP(Table6[[#This Row],[Affected Feeder ]],'Basic Data'!$A:$A,'Basic Data'!$B:$B),"")</f>
        <v>PWEPL</v>
      </c>
      <c r="I1147" s="79" t="str">
        <f>IFERROR(_xlfn.XLOOKUP(Table6[[#This Row],[Affected Feeder ]],'Basic Data'!$A:$A,'Basic Data'!$C:$C),"")</f>
        <v>MSEDCL</v>
      </c>
      <c r="J1147" s="295">
        <f>IFERROR(_xlfn.XLOOKUP(Table6[[#This Row],[Affected Feeder ]],'Basic Data'!$A:$A,'Basic Data'!$E:$E),"")</f>
        <v>2.2727272727272728E-2</v>
      </c>
      <c r="K1147" s="296" t="s">
        <v>171</v>
      </c>
      <c r="L1147" s="297">
        <v>0.81874999999999998</v>
      </c>
      <c r="M1147" s="297">
        <v>0.81874999999999998</v>
      </c>
      <c r="N1147" s="297">
        <v>0.83263888888888893</v>
      </c>
      <c r="O1147" s="298">
        <f>(Table6[[#This Row],[Work Start TimeStamp]]-Table6[[#This Row],[Fault Start TimeStamp]])*24</f>
        <v>0</v>
      </c>
      <c r="P1147" s="298">
        <f>(Table6[[#This Row],[Fault Clearance time]]-Table6[[#This Row],[Fault Start TimeStamp]])*24</f>
        <v>0.33333333333333481</v>
      </c>
      <c r="Q1147" s="298">
        <f>(Table6[[#This Row],[Fault Clearance time]]-Table6[[#This Row],[Fault Start TimeStamp]])*24</f>
        <v>0.33333333333333481</v>
      </c>
      <c r="R1147" s="79" t="s">
        <v>353</v>
      </c>
      <c r="S1147" s="79" t="s">
        <v>339</v>
      </c>
      <c r="T1147" s="298">
        <f>IFERROR(Table6[[#This Row],[Breakdown Time]]*Table6[[#This Row],[Plant Equivalent Weightage]],"")</f>
        <v>7.5757575757576098E-3</v>
      </c>
      <c r="U1147" s="79" t="s">
        <v>421</v>
      </c>
      <c r="W1147" s="79">
        <v>478</v>
      </c>
    </row>
    <row r="1148" spans="1:23">
      <c r="A1148" s="79">
        <f t="shared" si="17"/>
        <v>1147</v>
      </c>
      <c r="B1148" s="79">
        <f>YEAR(Table6[[#This Row],[Date]])+IF(MONTH(Table6[[#This Row],[Date]])&gt;=4,1,0)</f>
        <v>2026</v>
      </c>
      <c r="C1148" s="79">
        <f>YEAR(Table6[[#This Row],[Date]])</f>
        <v>2025</v>
      </c>
      <c r="D1148" s="79" t="s">
        <v>344</v>
      </c>
      <c r="E1148" s="284">
        <f>Table6[[#This Row],[Date]]-DAY(Table6[[#This Row],[Date]])+1</f>
        <v>45839</v>
      </c>
      <c r="F1148" s="285">
        <v>45863</v>
      </c>
      <c r="G1148" s="79" t="s">
        <v>96</v>
      </c>
      <c r="H1148" s="79" t="str">
        <f>IFERROR(_xlfn.XLOOKUP(Table6[[#This Row],[Affected Feeder ]],'Basic Data'!$A:$A,'Basic Data'!$B:$B),"")</f>
        <v>PWEPL</v>
      </c>
      <c r="I1148" s="79" t="str">
        <f>IFERROR(_xlfn.XLOOKUP(Table6[[#This Row],[Affected Feeder ]],'Basic Data'!$A:$A,'Basic Data'!$C:$C),"")</f>
        <v>MSEDCL</v>
      </c>
      <c r="J1148" s="295">
        <f>IFERROR(_xlfn.XLOOKUP(Table6[[#This Row],[Affected Feeder ]],'Basic Data'!$A:$A,'Basic Data'!$E:$E),"")</f>
        <v>2.2727272727272728E-2</v>
      </c>
      <c r="K1148" s="296" t="s">
        <v>171</v>
      </c>
      <c r="L1148" s="297">
        <v>0.81874999999999998</v>
      </c>
      <c r="M1148" s="297">
        <v>0.81874999999999998</v>
      </c>
      <c r="N1148" s="297">
        <v>0.83263888888888893</v>
      </c>
      <c r="O1148" s="298">
        <f>(Table6[[#This Row],[Work Start TimeStamp]]-Table6[[#This Row],[Fault Start TimeStamp]])*24</f>
        <v>0</v>
      </c>
      <c r="P1148" s="298">
        <f>(Table6[[#This Row],[Fault Clearance time]]-Table6[[#This Row],[Fault Start TimeStamp]])*24</f>
        <v>0.33333333333333481</v>
      </c>
      <c r="Q1148" s="298">
        <f>(Table6[[#This Row],[Fault Clearance time]]-Table6[[#This Row],[Fault Start TimeStamp]])*24</f>
        <v>0.33333333333333481</v>
      </c>
      <c r="R1148" s="79" t="s">
        <v>353</v>
      </c>
      <c r="S1148" s="79" t="s">
        <v>339</v>
      </c>
      <c r="T1148" s="298">
        <f>IFERROR(Table6[[#This Row],[Breakdown Time]]*Table6[[#This Row],[Plant Equivalent Weightage]],"")</f>
        <v>7.5757575757576098E-3</v>
      </c>
      <c r="U1148" s="79" t="s">
        <v>421</v>
      </c>
      <c r="W1148" s="79">
        <v>478</v>
      </c>
    </row>
    <row r="1149" spans="1:23">
      <c r="A1149" s="79">
        <f t="shared" si="17"/>
        <v>1148</v>
      </c>
      <c r="B1149" s="79">
        <f>YEAR(Table6[[#This Row],[Date]])+IF(MONTH(Table6[[#This Row],[Date]])&gt;=4,1,0)</f>
        <v>2026</v>
      </c>
      <c r="C1149" s="79">
        <f>YEAR(Table6[[#This Row],[Date]])</f>
        <v>2025</v>
      </c>
      <c r="D1149" s="79" t="s">
        <v>344</v>
      </c>
      <c r="E1149" s="284">
        <f>Table6[[#This Row],[Date]]-DAY(Table6[[#This Row],[Date]])+1</f>
        <v>45839</v>
      </c>
      <c r="F1149" s="285">
        <v>45863</v>
      </c>
      <c r="G1149" s="79" t="s">
        <v>97</v>
      </c>
      <c r="H1149" s="79" t="str">
        <f>IFERROR(_xlfn.XLOOKUP(Table6[[#This Row],[Affected Feeder ]],'Basic Data'!$A:$A,'Basic Data'!$B:$B),"")</f>
        <v>PWEPL</v>
      </c>
      <c r="I1149" s="79" t="str">
        <f>IFERROR(_xlfn.XLOOKUP(Table6[[#This Row],[Affected Feeder ]],'Basic Data'!$A:$A,'Basic Data'!$C:$C),"")</f>
        <v>MSEDCL</v>
      </c>
      <c r="J1149" s="295">
        <f>IFERROR(_xlfn.XLOOKUP(Table6[[#This Row],[Affected Feeder ]],'Basic Data'!$A:$A,'Basic Data'!$E:$E),"")</f>
        <v>2.2727272727272728E-2</v>
      </c>
      <c r="K1149" s="296" t="s">
        <v>171</v>
      </c>
      <c r="L1149" s="297">
        <v>0.81874999999999998</v>
      </c>
      <c r="M1149" s="297">
        <v>0.81874999999999998</v>
      </c>
      <c r="N1149" s="297">
        <v>0.83263888888888893</v>
      </c>
      <c r="O1149" s="298">
        <f>(Table6[[#This Row],[Work Start TimeStamp]]-Table6[[#This Row],[Fault Start TimeStamp]])*24</f>
        <v>0</v>
      </c>
      <c r="P1149" s="298">
        <f>(Table6[[#This Row],[Fault Clearance time]]-Table6[[#This Row],[Fault Start TimeStamp]])*24</f>
        <v>0.33333333333333481</v>
      </c>
      <c r="Q1149" s="298">
        <f>(Table6[[#This Row],[Fault Clearance time]]-Table6[[#This Row],[Fault Start TimeStamp]])*24</f>
        <v>0.33333333333333481</v>
      </c>
      <c r="R1149" s="79" t="s">
        <v>353</v>
      </c>
      <c r="S1149" s="79" t="s">
        <v>339</v>
      </c>
      <c r="T1149" s="298">
        <f>IFERROR(Table6[[#This Row],[Breakdown Time]]*Table6[[#This Row],[Plant Equivalent Weightage]],"")</f>
        <v>7.5757575757576098E-3</v>
      </c>
      <c r="U1149" s="79" t="s">
        <v>421</v>
      </c>
      <c r="W1149" s="79">
        <v>478</v>
      </c>
    </row>
    <row r="1150" spans="1:23">
      <c r="A1150" s="79">
        <f t="shared" si="17"/>
        <v>1149</v>
      </c>
      <c r="B1150" s="79">
        <f>YEAR(Table6[[#This Row],[Date]])+IF(MONTH(Table6[[#This Row],[Date]])&gt;=4,1,0)</f>
        <v>2026</v>
      </c>
      <c r="C1150" s="79">
        <f>YEAR(Table6[[#This Row],[Date]])</f>
        <v>2025</v>
      </c>
      <c r="D1150" s="79" t="s">
        <v>344</v>
      </c>
      <c r="E1150" s="284">
        <f>Table6[[#This Row],[Date]]-DAY(Table6[[#This Row],[Date]])+1</f>
        <v>45839</v>
      </c>
      <c r="F1150" s="285">
        <v>45863</v>
      </c>
      <c r="G1150" s="79" t="s">
        <v>104</v>
      </c>
      <c r="H1150" s="79" t="str">
        <f>IFERROR(_xlfn.XLOOKUP(Table6[[#This Row],[Affected Feeder ]],'Basic Data'!$A:$A,'Basic Data'!$B:$B),"")</f>
        <v>PWEPL</v>
      </c>
      <c r="I1150" s="79" t="str">
        <f>IFERROR(_xlfn.XLOOKUP(Table6[[#This Row],[Affected Feeder ]],'Basic Data'!$A:$A,'Basic Data'!$C:$C),"")</f>
        <v>MSEDCL</v>
      </c>
      <c r="J1150" s="295">
        <f>IFERROR(_xlfn.XLOOKUP(Table6[[#This Row],[Affected Feeder ]],'Basic Data'!$A:$A,'Basic Data'!$E:$E),"")</f>
        <v>2.2727272727272728E-2</v>
      </c>
      <c r="K1150" s="296" t="s">
        <v>171</v>
      </c>
      <c r="L1150" s="297">
        <v>0.81874999999999998</v>
      </c>
      <c r="M1150" s="297">
        <v>0.81874999999999998</v>
      </c>
      <c r="N1150" s="297">
        <v>0.83263888888888893</v>
      </c>
      <c r="O1150" s="298">
        <f>(Table6[[#This Row],[Work Start TimeStamp]]-Table6[[#This Row],[Fault Start TimeStamp]])*24</f>
        <v>0</v>
      </c>
      <c r="P1150" s="298">
        <f>(Table6[[#This Row],[Fault Clearance time]]-Table6[[#This Row],[Fault Start TimeStamp]])*24</f>
        <v>0.33333333333333481</v>
      </c>
      <c r="Q1150" s="298">
        <f>(Table6[[#This Row],[Fault Clearance time]]-Table6[[#This Row],[Fault Start TimeStamp]])*24</f>
        <v>0.33333333333333481</v>
      </c>
      <c r="R1150" s="79" t="s">
        <v>353</v>
      </c>
      <c r="S1150" s="79" t="s">
        <v>339</v>
      </c>
      <c r="T1150" s="298">
        <f>IFERROR(Table6[[#This Row],[Breakdown Time]]*Table6[[#This Row],[Plant Equivalent Weightage]],"")</f>
        <v>7.5757575757576098E-3</v>
      </c>
      <c r="U1150" s="79" t="s">
        <v>421</v>
      </c>
      <c r="W1150" s="79">
        <v>478</v>
      </c>
    </row>
    <row r="1151" spans="1:23">
      <c r="A1151" s="79">
        <f t="shared" si="17"/>
        <v>1150</v>
      </c>
      <c r="B1151" s="79">
        <f>YEAR(Table6[[#This Row],[Date]])+IF(MONTH(Table6[[#This Row],[Date]])&gt;=4,1,0)</f>
        <v>2026</v>
      </c>
      <c r="C1151" s="79">
        <f>YEAR(Table6[[#This Row],[Date]])</f>
        <v>2025</v>
      </c>
      <c r="D1151" s="79" t="s">
        <v>344</v>
      </c>
      <c r="E1151" s="284">
        <f>Table6[[#This Row],[Date]]-DAY(Table6[[#This Row],[Date]])+1</f>
        <v>45839</v>
      </c>
      <c r="F1151" s="285">
        <v>45863</v>
      </c>
      <c r="G1151" s="79" t="s">
        <v>110</v>
      </c>
      <c r="H1151" s="79" t="str">
        <f>IFERROR(_xlfn.XLOOKUP(Table6[[#This Row],[Affected Feeder ]],'Basic Data'!$A:$A,'Basic Data'!$B:$B),"")</f>
        <v>PWEPL</v>
      </c>
      <c r="I1151" s="79" t="str">
        <f>IFERROR(_xlfn.XLOOKUP(Table6[[#This Row],[Affected Feeder ]],'Basic Data'!$A:$A,'Basic Data'!$C:$C),"")</f>
        <v>MSEDCL</v>
      </c>
      <c r="J1151" s="295">
        <f>IFERROR(_xlfn.XLOOKUP(Table6[[#This Row],[Affected Feeder ]],'Basic Data'!$A:$A,'Basic Data'!$E:$E),"")</f>
        <v>2.2727272727272728E-2</v>
      </c>
      <c r="K1151" s="296" t="s">
        <v>171</v>
      </c>
      <c r="L1151" s="297">
        <v>0.81874999999999998</v>
      </c>
      <c r="M1151" s="297">
        <v>0.81874999999999998</v>
      </c>
      <c r="N1151" s="297">
        <v>0.83263888888888893</v>
      </c>
      <c r="O1151" s="298">
        <f>(Table6[[#This Row],[Work Start TimeStamp]]-Table6[[#This Row],[Fault Start TimeStamp]])*24</f>
        <v>0</v>
      </c>
      <c r="P1151" s="298">
        <f>(Table6[[#This Row],[Fault Clearance time]]-Table6[[#This Row],[Fault Start TimeStamp]])*24</f>
        <v>0.33333333333333481</v>
      </c>
      <c r="Q1151" s="298">
        <f>(Table6[[#This Row],[Fault Clearance time]]-Table6[[#This Row],[Fault Start TimeStamp]])*24</f>
        <v>0.33333333333333481</v>
      </c>
      <c r="R1151" s="79" t="s">
        <v>353</v>
      </c>
      <c r="S1151" s="79" t="s">
        <v>339</v>
      </c>
      <c r="T1151" s="298">
        <f>IFERROR(Table6[[#This Row],[Breakdown Time]]*Table6[[#This Row],[Plant Equivalent Weightage]],"")</f>
        <v>7.5757575757576098E-3</v>
      </c>
      <c r="U1151" s="79" t="s">
        <v>421</v>
      </c>
      <c r="W1151" s="79">
        <v>478</v>
      </c>
    </row>
    <row r="1152" spans="1:23">
      <c r="A1152" s="79">
        <f t="shared" si="17"/>
        <v>1151</v>
      </c>
      <c r="B1152" s="79">
        <f>YEAR(Table6[[#This Row],[Date]])+IF(MONTH(Table6[[#This Row],[Date]])&gt;=4,1,0)</f>
        <v>2026</v>
      </c>
      <c r="C1152" s="79">
        <f>YEAR(Table6[[#This Row],[Date]])</f>
        <v>2025</v>
      </c>
      <c r="D1152" s="79" t="s">
        <v>344</v>
      </c>
      <c r="E1152" s="284">
        <f>Table6[[#This Row],[Date]]-DAY(Table6[[#This Row],[Date]])+1</f>
        <v>45839</v>
      </c>
      <c r="F1152" s="285">
        <v>45863</v>
      </c>
      <c r="G1152" s="79" t="s">
        <v>117</v>
      </c>
      <c r="H1152" s="79" t="str">
        <f>IFERROR(_xlfn.XLOOKUP(Table6[[#This Row],[Affected Feeder ]],'Basic Data'!$A:$A,'Basic Data'!$B:$B),"")</f>
        <v>PWEPL</v>
      </c>
      <c r="I1152" s="79" t="str">
        <f>IFERROR(_xlfn.XLOOKUP(Table6[[#This Row],[Affected Feeder ]],'Basic Data'!$A:$A,'Basic Data'!$C:$C),"")</f>
        <v>MSEDCL</v>
      </c>
      <c r="J1152" s="295">
        <f>IFERROR(_xlfn.XLOOKUP(Table6[[#This Row],[Affected Feeder ]],'Basic Data'!$A:$A,'Basic Data'!$E:$E),"")</f>
        <v>2.2727272727272728E-2</v>
      </c>
      <c r="K1152" s="296" t="s">
        <v>796</v>
      </c>
      <c r="L1152" s="297">
        <v>0.7895833333333333</v>
      </c>
      <c r="M1152" s="297">
        <v>0.7895833333333333</v>
      </c>
      <c r="N1152" s="297">
        <v>0.89166666666666661</v>
      </c>
      <c r="O1152" s="298">
        <f>(Table6[[#This Row],[Work Start TimeStamp]]-Table6[[#This Row],[Fault Start TimeStamp]])*24</f>
        <v>0</v>
      </c>
      <c r="P1152" s="298">
        <f>(Table6[[#This Row],[Fault Clearance time]]-Table6[[#This Row],[Fault Start TimeStamp]])*24</f>
        <v>2.4499999999999993</v>
      </c>
      <c r="Q1152" s="298">
        <f>(Table6[[#This Row],[Fault Clearance time]]-Table6[[#This Row],[Fault Start TimeStamp]])*24</f>
        <v>2.4499999999999993</v>
      </c>
      <c r="R1152" s="79" t="s">
        <v>424</v>
      </c>
      <c r="S1152" s="79" t="s">
        <v>339</v>
      </c>
      <c r="T1152" s="298">
        <f>IFERROR(Table6[[#This Row],[Breakdown Time]]*Table6[[#This Row],[Plant Equivalent Weightage]],"")</f>
        <v>5.5681818181818166E-2</v>
      </c>
      <c r="U1152" s="79" t="s">
        <v>421</v>
      </c>
      <c r="W1152" s="79">
        <v>3985</v>
      </c>
    </row>
    <row r="1153" spans="1:23">
      <c r="A1153" s="79">
        <f t="shared" si="17"/>
        <v>1152</v>
      </c>
      <c r="B1153" s="79">
        <f>YEAR(Table6[[#This Row],[Date]])+IF(MONTH(Table6[[#This Row],[Date]])&gt;=4,1,0)</f>
        <v>2026</v>
      </c>
      <c r="C1153" s="79">
        <f>YEAR(Table6[[#This Row],[Date]])</f>
        <v>2025</v>
      </c>
      <c r="D1153" s="79" t="s">
        <v>344</v>
      </c>
      <c r="E1153" s="284">
        <f>Table6[[#This Row],[Date]]-DAY(Table6[[#This Row],[Date]])+1</f>
        <v>45839</v>
      </c>
      <c r="F1153" s="285">
        <v>45863</v>
      </c>
      <c r="G1153" s="79" t="s">
        <v>117</v>
      </c>
      <c r="H1153" s="79" t="str">
        <f>IFERROR(_xlfn.XLOOKUP(Table6[[#This Row],[Affected Feeder ]],'Basic Data'!$A:$A,'Basic Data'!$B:$B),"")</f>
        <v>PWEPL</v>
      </c>
      <c r="I1153" s="79" t="str">
        <f>IFERROR(_xlfn.XLOOKUP(Table6[[#This Row],[Affected Feeder ]],'Basic Data'!$A:$A,'Basic Data'!$C:$C),"")</f>
        <v>MSEDCL</v>
      </c>
      <c r="J1153" s="295">
        <f>IFERROR(_xlfn.XLOOKUP(Table6[[#This Row],[Affected Feeder ]],'Basic Data'!$A:$A,'Basic Data'!$E:$E),"")</f>
        <v>2.2727272727272728E-2</v>
      </c>
      <c r="K1153" s="296" t="s">
        <v>171</v>
      </c>
      <c r="L1153" s="297">
        <v>0.89166666666666661</v>
      </c>
      <c r="M1153" s="297">
        <v>0.89166666666666661</v>
      </c>
      <c r="N1153" s="297">
        <v>0.90069444444444446</v>
      </c>
      <c r="O1153" s="298">
        <f>(Table6[[#This Row],[Work Start TimeStamp]]-Table6[[#This Row],[Fault Start TimeStamp]])*24</f>
        <v>0</v>
      </c>
      <c r="P1153" s="298">
        <f>(Table6[[#This Row],[Fault Clearance time]]-Table6[[#This Row],[Fault Start TimeStamp]])*24</f>
        <v>0.21666666666666856</v>
      </c>
      <c r="Q1153" s="298">
        <f>(Table6[[#This Row],[Fault Clearance time]]-Table6[[#This Row],[Fault Start TimeStamp]])*24</f>
        <v>0.21666666666666856</v>
      </c>
      <c r="R1153" s="79" t="s">
        <v>353</v>
      </c>
      <c r="S1153" s="79" t="s">
        <v>339</v>
      </c>
      <c r="T1153" s="298">
        <f>IFERROR(Table6[[#This Row],[Breakdown Time]]*Table6[[#This Row],[Plant Equivalent Weightage]],"")</f>
        <v>4.9242424242424672E-3</v>
      </c>
      <c r="U1153" s="79" t="s">
        <v>421</v>
      </c>
      <c r="W1153" s="79">
        <v>386</v>
      </c>
    </row>
    <row r="1154" spans="1:23">
      <c r="A1154" s="79">
        <f t="shared" si="17"/>
        <v>1153</v>
      </c>
      <c r="B1154" s="79">
        <f>YEAR(Table6[[#This Row],[Date]])+IF(MONTH(Table6[[#This Row],[Date]])&gt;=4,1,0)</f>
        <v>2026</v>
      </c>
      <c r="C1154" s="79">
        <f>YEAR(Table6[[#This Row],[Date]])</f>
        <v>2025</v>
      </c>
      <c r="D1154" s="79" t="s">
        <v>344</v>
      </c>
      <c r="E1154" s="284">
        <f>Table6[[#This Row],[Date]]-DAY(Table6[[#This Row],[Date]])+1</f>
        <v>45839</v>
      </c>
      <c r="F1154" s="285">
        <v>45863</v>
      </c>
      <c r="G1154" s="79" t="s">
        <v>100</v>
      </c>
      <c r="H1154" s="79" t="str">
        <f>IFERROR(_xlfn.XLOOKUP(Table6[[#This Row],[Affected Feeder ]],'Basic Data'!$A:$A,'Basic Data'!$B:$B),"")</f>
        <v>PWEPL</v>
      </c>
      <c r="I1154" s="79" t="str">
        <f>IFERROR(_xlfn.XLOOKUP(Table6[[#This Row],[Affected Feeder ]],'Basic Data'!$A:$A,'Basic Data'!$C:$C),"")</f>
        <v>MSEDCL</v>
      </c>
      <c r="J1154" s="295">
        <f>IFERROR(_xlfn.XLOOKUP(Table6[[#This Row],[Affected Feeder ]],'Basic Data'!$A:$A,'Basic Data'!$E:$E),"")</f>
        <v>2.2727272727272728E-2</v>
      </c>
      <c r="K1154" s="296" t="s">
        <v>796</v>
      </c>
      <c r="L1154" s="297">
        <v>0.7895833333333333</v>
      </c>
      <c r="M1154" s="297">
        <v>0.7895833333333333</v>
      </c>
      <c r="N1154" s="297">
        <v>0.82430555555555562</v>
      </c>
      <c r="O1154" s="298">
        <f>(Table6[[#This Row],[Work Start TimeStamp]]-Table6[[#This Row],[Fault Start TimeStamp]])*24</f>
        <v>0</v>
      </c>
      <c r="P1154" s="298">
        <f>(Table6[[#This Row],[Fault Clearance time]]-Table6[[#This Row],[Fault Start TimeStamp]])*24</f>
        <v>0.8333333333333357</v>
      </c>
      <c r="Q1154" s="298">
        <f>(Table6[[#This Row],[Fault Clearance time]]-Table6[[#This Row],[Fault Start TimeStamp]])*24</f>
        <v>0.8333333333333357</v>
      </c>
      <c r="R1154" s="79" t="s">
        <v>424</v>
      </c>
      <c r="S1154" s="79" t="s">
        <v>339</v>
      </c>
      <c r="T1154" s="298">
        <f>IFERROR(Table6[[#This Row],[Breakdown Time]]*Table6[[#This Row],[Plant Equivalent Weightage]],"")</f>
        <v>1.8939393939393995E-2</v>
      </c>
      <c r="U1154" s="79" t="s">
        <v>421</v>
      </c>
      <c r="W1154" s="79">
        <v>961</v>
      </c>
    </row>
    <row r="1155" spans="1:23">
      <c r="A1155" s="79">
        <f t="shared" si="17"/>
        <v>1154</v>
      </c>
      <c r="B1155" s="79">
        <f>YEAR(Table6[[#This Row],[Date]])+IF(MONTH(Table6[[#This Row],[Date]])&gt;=4,1,0)</f>
        <v>2026</v>
      </c>
      <c r="C1155" s="79">
        <f>YEAR(Table6[[#This Row],[Date]])</f>
        <v>2025</v>
      </c>
      <c r="D1155" s="79" t="s">
        <v>344</v>
      </c>
      <c r="E1155" s="284">
        <f>Table6[[#This Row],[Date]]-DAY(Table6[[#This Row],[Date]])+1</f>
        <v>45839</v>
      </c>
      <c r="F1155" s="285">
        <v>45863</v>
      </c>
      <c r="G1155" s="79" t="s">
        <v>100</v>
      </c>
      <c r="H1155" s="79" t="str">
        <f>IFERROR(_xlfn.XLOOKUP(Table6[[#This Row],[Affected Feeder ]],'Basic Data'!$A:$A,'Basic Data'!$B:$B),"")</f>
        <v>PWEPL</v>
      </c>
      <c r="I1155" s="79" t="str">
        <f>IFERROR(_xlfn.XLOOKUP(Table6[[#This Row],[Affected Feeder ]],'Basic Data'!$A:$A,'Basic Data'!$C:$C),"")</f>
        <v>MSEDCL</v>
      </c>
      <c r="J1155" s="295">
        <f>IFERROR(_xlfn.XLOOKUP(Table6[[#This Row],[Affected Feeder ]],'Basic Data'!$A:$A,'Basic Data'!$E:$E),"")</f>
        <v>2.2727272727272728E-2</v>
      </c>
      <c r="K1155" s="296" t="s">
        <v>171</v>
      </c>
      <c r="L1155" s="297">
        <v>0.82430555555555562</v>
      </c>
      <c r="M1155" s="297">
        <v>0.82430555555555562</v>
      </c>
      <c r="N1155" s="297">
        <v>0.83611111111111114</v>
      </c>
      <c r="O1155" s="298">
        <f>(Table6[[#This Row],[Work Start TimeStamp]]-Table6[[#This Row],[Fault Start TimeStamp]])*24</f>
        <v>0</v>
      </c>
      <c r="P1155" s="298">
        <f>(Table6[[#This Row],[Fault Clearance time]]-Table6[[#This Row],[Fault Start TimeStamp]])*24</f>
        <v>0.28333333333333233</v>
      </c>
      <c r="Q1155" s="298">
        <f>(Table6[[#This Row],[Fault Clearance time]]-Table6[[#This Row],[Fault Start TimeStamp]])*24</f>
        <v>0.28333333333333233</v>
      </c>
      <c r="R1155" s="79" t="s">
        <v>353</v>
      </c>
      <c r="S1155" s="79" t="s">
        <v>339</v>
      </c>
      <c r="T1155" s="298">
        <f>IFERROR(Table6[[#This Row],[Breakdown Time]]*Table6[[#This Row],[Plant Equivalent Weightage]],"")</f>
        <v>6.4393939393939167E-3</v>
      </c>
      <c r="U1155" s="79" t="s">
        <v>421</v>
      </c>
      <c r="W1155" s="79">
        <v>494</v>
      </c>
    </row>
    <row r="1156" spans="1:23">
      <c r="A1156" s="79">
        <f t="shared" ref="A1156:A1199" si="18">A1155+1</f>
        <v>1155</v>
      </c>
      <c r="B1156" s="79">
        <f>YEAR(Table6[[#This Row],[Date]])+IF(MONTH(Table6[[#This Row],[Date]])&gt;=4,1,0)</f>
        <v>2026</v>
      </c>
      <c r="C1156" s="79">
        <f>YEAR(Table6[[#This Row],[Date]])</f>
        <v>2025</v>
      </c>
      <c r="D1156" s="79" t="s">
        <v>344</v>
      </c>
      <c r="E1156" s="284">
        <f>Table6[[#This Row],[Date]]-DAY(Table6[[#This Row],[Date]])+1</f>
        <v>45839</v>
      </c>
      <c r="F1156" s="285">
        <v>45863</v>
      </c>
      <c r="G1156" s="79" t="s">
        <v>101</v>
      </c>
      <c r="H1156" s="79" t="str">
        <f>IFERROR(_xlfn.XLOOKUP(Table6[[#This Row],[Affected Feeder ]],'Basic Data'!$A:$A,'Basic Data'!$B:$B),"")</f>
        <v>PWEPL</v>
      </c>
      <c r="I1156" s="79" t="str">
        <f>IFERROR(_xlfn.XLOOKUP(Table6[[#This Row],[Affected Feeder ]],'Basic Data'!$A:$A,'Basic Data'!$C:$C),"")</f>
        <v>MSEDCL</v>
      </c>
      <c r="J1156" s="295">
        <f>IFERROR(_xlfn.XLOOKUP(Table6[[#This Row],[Affected Feeder ]],'Basic Data'!$A:$A,'Basic Data'!$E:$E),"")</f>
        <v>2.2727272727272728E-2</v>
      </c>
      <c r="K1156" s="296" t="s">
        <v>796</v>
      </c>
      <c r="L1156" s="297">
        <v>0.7895833333333333</v>
      </c>
      <c r="M1156" s="297">
        <v>0.7895833333333333</v>
      </c>
      <c r="N1156" s="297">
        <v>0.82777777777777783</v>
      </c>
      <c r="O1156" s="298">
        <f>(Table6[[#This Row],[Work Start TimeStamp]]-Table6[[#This Row],[Fault Start TimeStamp]])*24</f>
        <v>0</v>
      </c>
      <c r="P1156" s="298">
        <f>(Table6[[#This Row],[Fault Clearance time]]-Table6[[#This Row],[Fault Start TimeStamp]])*24</f>
        <v>0.91666666666666874</v>
      </c>
      <c r="Q1156" s="298">
        <f>(Table6[[#This Row],[Fault Clearance time]]-Table6[[#This Row],[Fault Start TimeStamp]])*24</f>
        <v>0.91666666666666874</v>
      </c>
      <c r="R1156" s="79" t="s">
        <v>424</v>
      </c>
      <c r="S1156" s="79" t="s">
        <v>339</v>
      </c>
      <c r="T1156" s="298">
        <f>IFERROR(Table6[[#This Row],[Breakdown Time]]*Table6[[#This Row],[Plant Equivalent Weightage]],"")</f>
        <v>2.0833333333333381E-2</v>
      </c>
      <c r="U1156" s="79" t="s">
        <v>421</v>
      </c>
      <c r="W1156" s="79">
        <v>1052</v>
      </c>
    </row>
    <row r="1157" spans="1:23">
      <c r="A1157" s="79">
        <f t="shared" si="18"/>
        <v>1156</v>
      </c>
      <c r="B1157" s="79">
        <f>YEAR(Table6[[#This Row],[Date]])+IF(MONTH(Table6[[#This Row],[Date]])&gt;=4,1,0)</f>
        <v>2026</v>
      </c>
      <c r="C1157" s="79">
        <f>YEAR(Table6[[#This Row],[Date]])</f>
        <v>2025</v>
      </c>
      <c r="D1157" s="79" t="s">
        <v>344</v>
      </c>
      <c r="E1157" s="284">
        <f>Table6[[#This Row],[Date]]-DAY(Table6[[#This Row],[Date]])+1</f>
        <v>45839</v>
      </c>
      <c r="F1157" s="285">
        <v>45863</v>
      </c>
      <c r="G1157" s="79" t="s">
        <v>101</v>
      </c>
      <c r="H1157" s="79" t="str">
        <f>IFERROR(_xlfn.XLOOKUP(Table6[[#This Row],[Affected Feeder ]],'Basic Data'!$A:$A,'Basic Data'!$B:$B),"")</f>
        <v>PWEPL</v>
      </c>
      <c r="I1157" s="79" t="str">
        <f>IFERROR(_xlfn.XLOOKUP(Table6[[#This Row],[Affected Feeder ]],'Basic Data'!$A:$A,'Basic Data'!$C:$C),"")</f>
        <v>MSEDCL</v>
      </c>
      <c r="J1157" s="295">
        <f>IFERROR(_xlfn.XLOOKUP(Table6[[#This Row],[Affected Feeder ]],'Basic Data'!$A:$A,'Basic Data'!$E:$E),"")</f>
        <v>2.2727272727272728E-2</v>
      </c>
      <c r="K1157" s="296" t="s">
        <v>171</v>
      </c>
      <c r="L1157" s="297">
        <v>0.82777777777777783</v>
      </c>
      <c r="M1157" s="297">
        <v>0.82777777777777783</v>
      </c>
      <c r="N1157" s="297">
        <v>0.84097222222222223</v>
      </c>
      <c r="O1157" s="298">
        <f>(Table6[[#This Row],[Work Start TimeStamp]]-Table6[[#This Row],[Fault Start TimeStamp]])*24</f>
        <v>0</v>
      </c>
      <c r="P1157" s="298">
        <f>(Table6[[#This Row],[Fault Clearance time]]-Table6[[#This Row],[Fault Start TimeStamp]])*24</f>
        <v>0.31666666666666554</v>
      </c>
      <c r="Q1157" s="298">
        <f>(Table6[[#This Row],[Fault Clearance time]]-Table6[[#This Row],[Fault Start TimeStamp]])*24</f>
        <v>0.31666666666666554</v>
      </c>
      <c r="R1157" s="79" t="s">
        <v>353</v>
      </c>
      <c r="S1157" s="79" t="s">
        <v>339</v>
      </c>
      <c r="T1157" s="298">
        <f>IFERROR(Table6[[#This Row],[Breakdown Time]]*Table6[[#This Row],[Plant Equivalent Weightage]],"")</f>
        <v>7.1969696969696713E-3</v>
      </c>
      <c r="U1157" s="79" t="s">
        <v>421</v>
      </c>
      <c r="W1157" s="79">
        <v>555</v>
      </c>
    </row>
    <row r="1158" spans="1:23">
      <c r="A1158" s="79">
        <f t="shared" si="18"/>
        <v>1157</v>
      </c>
      <c r="B1158" s="79">
        <f>YEAR(Table6[[#This Row],[Date]])+IF(MONTH(Table6[[#This Row],[Date]])&gt;=4,1,0)</f>
        <v>2026</v>
      </c>
      <c r="C1158" s="79">
        <f>YEAR(Table6[[#This Row],[Date]])</f>
        <v>2025</v>
      </c>
      <c r="D1158" s="79" t="s">
        <v>344</v>
      </c>
      <c r="E1158" s="284">
        <f>Table6[[#This Row],[Date]]-DAY(Table6[[#This Row],[Date]])+1</f>
        <v>45839</v>
      </c>
      <c r="F1158" s="285">
        <v>45864</v>
      </c>
      <c r="G1158" s="79" t="s">
        <v>406</v>
      </c>
      <c r="H1158" s="79" t="str">
        <f>IFERROR(_xlfn.XLOOKUP(Table6[[#This Row],[Affected Feeder ]],'Basic Data'!$A:$A,'Basic Data'!$B:$B),"")</f>
        <v>PWEPL</v>
      </c>
      <c r="I1158" s="79" t="str">
        <f>IFERROR(_xlfn.XLOOKUP(Table6[[#This Row],[Affected Feeder ]],'Basic Data'!$A:$A,'Basic Data'!$C:$C),"")</f>
        <v>MSEDCL</v>
      </c>
      <c r="J1158" s="295">
        <f>IFERROR(_xlfn.XLOOKUP(Table6[[#This Row],[Affected Feeder ]],'Basic Data'!$A:$A,'Basic Data'!$E:$E),"")</f>
        <v>0.29545454545454541</v>
      </c>
      <c r="K1158" s="296" t="s">
        <v>447</v>
      </c>
      <c r="L1158" s="297">
        <v>0.10833333333333334</v>
      </c>
      <c r="M1158" s="297">
        <v>0.10833333333333334</v>
      </c>
      <c r="N1158" s="297">
        <v>0.58819444444444446</v>
      </c>
      <c r="O1158" s="298">
        <f>(Table6[[#This Row],[Work Start TimeStamp]]-Table6[[#This Row],[Fault Start TimeStamp]])*24</f>
        <v>0</v>
      </c>
      <c r="P1158" s="298">
        <f>(Table6[[#This Row],[Fault Clearance time]]-Table6[[#This Row],[Fault Start TimeStamp]])*24</f>
        <v>11.516666666666667</v>
      </c>
      <c r="Q1158" s="298">
        <f>(Table6[[#This Row],[Fault Clearance time]]-Table6[[#This Row],[Fault Start TimeStamp]])*24</f>
        <v>11.516666666666667</v>
      </c>
      <c r="R1158" s="79" t="s">
        <v>1002</v>
      </c>
      <c r="S1158" s="79" t="s">
        <v>339</v>
      </c>
      <c r="T1158" s="298">
        <f>IFERROR(Table6[[#This Row],[Breakdown Time]]*Table6[[#This Row],[Plant Equivalent Weightage]],"")</f>
        <v>3.4026515151515149</v>
      </c>
      <c r="U1158" s="79" t="s">
        <v>421</v>
      </c>
      <c r="W1158" s="79">
        <v>198423</v>
      </c>
    </row>
    <row r="1159" spans="1:23">
      <c r="A1159" s="79">
        <f t="shared" si="18"/>
        <v>1158</v>
      </c>
      <c r="B1159" s="79">
        <f>YEAR(Table6[[#This Row],[Date]])+IF(MONTH(Table6[[#This Row],[Date]])&gt;=4,1,0)</f>
        <v>2026</v>
      </c>
      <c r="C1159" s="79">
        <f>YEAR(Table6[[#This Row],[Date]])</f>
        <v>2025</v>
      </c>
      <c r="D1159" s="79" t="s">
        <v>344</v>
      </c>
      <c r="E1159" s="284">
        <f>Table6[[#This Row],[Date]]-DAY(Table6[[#This Row],[Date]])+1</f>
        <v>45839</v>
      </c>
      <c r="F1159" s="285">
        <v>45864</v>
      </c>
      <c r="G1159" s="79" t="s">
        <v>76</v>
      </c>
      <c r="H1159" s="79" t="str">
        <f>IFERROR(_xlfn.XLOOKUP(Table6[[#This Row],[Affected Feeder ]],'Basic Data'!$A:$A,'Basic Data'!$B:$B),"")</f>
        <v>PWEPL</v>
      </c>
      <c r="I1159" s="79" t="str">
        <f>IFERROR(_xlfn.XLOOKUP(Table6[[#This Row],[Affected Feeder ]],'Basic Data'!$A:$A,'Basic Data'!$C:$C),"")</f>
        <v>MSEDCL</v>
      </c>
      <c r="J1159" s="295">
        <f>IFERROR(_xlfn.XLOOKUP(Table6[[#This Row],[Affected Feeder ]],'Basic Data'!$A:$A,'Basic Data'!$E:$E),"")</f>
        <v>2.2727272727272728E-2</v>
      </c>
      <c r="K1159" s="296" t="s">
        <v>171</v>
      </c>
      <c r="L1159" s="297">
        <v>0.58819444444444446</v>
      </c>
      <c r="M1159" s="297">
        <v>0.58819444444444446</v>
      </c>
      <c r="N1159" s="297">
        <v>0.6020833333333333</v>
      </c>
      <c r="O1159" s="298">
        <f>(Table6[[#This Row],[Work Start TimeStamp]]-Table6[[#This Row],[Fault Start TimeStamp]])*24</f>
        <v>0</v>
      </c>
      <c r="P1159" s="298">
        <f>(Table6[[#This Row],[Fault Clearance time]]-Table6[[#This Row],[Fault Start TimeStamp]])*24</f>
        <v>0.33333333333333215</v>
      </c>
      <c r="Q1159" s="298">
        <f>(Table6[[#This Row],[Fault Clearance time]]-Table6[[#This Row],[Fault Start TimeStamp]])*24</f>
        <v>0.33333333333333215</v>
      </c>
      <c r="R1159" s="79" t="s">
        <v>353</v>
      </c>
      <c r="S1159" s="79" t="s">
        <v>339</v>
      </c>
      <c r="T1159" s="298">
        <f>IFERROR(Table6[[#This Row],[Breakdown Time]]*Table6[[#This Row],[Plant Equivalent Weightage]],"")</f>
        <v>7.5757575757575491E-3</v>
      </c>
      <c r="U1159" s="79" t="s">
        <v>421</v>
      </c>
      <c r="W1159" s="79">
        <v>442</v>
      </c>
    </row>
    <row r="1160" spans="1:23">
      <c r="A1160" s="79">
        <f t="shared" si="18"/>
        <v>1159</v>
      </c>
      <c r="B1160" s="79">
        <f>YEAR(Table6[[#This Row],[Date]])+IF(MONTH(Table6[[#This Row],[Date]])&gt;=4,1,0)</f>
        <v>2026</v>
      </c>
      <c r="C1160" s="79">
        <f>YEAR(Table6[[#This Row],[Date]])</f>
        <v>2025</v>
      </c>
      <c r="D1160" s="79" t="s">
        <v>344</v>
      </c>
      <c r="E1160" s="284">
        <f>Table6[[#This Row],[Date]]-DAY(Table6[[#This Row],[Date]])+1</f>
        <v>45839</v>
      </c>
      <c r="F1160" s="285">
        <v>45864</v>
      </c>
      <c r="G1160" s="79" t="s">
        <v>77</v>
      </c>
      <c r="H1160" s="79" t="str">
        <f>IFERROR(_xlfn.XLOOKUP(Table6[[#This Row],[Affected Feeder ]],'Basic Data'!$A:$A,'Basic Data'!$B:$B),"")</f>
        <v>PWEPL</v>
      </c>
      <c r="I1160" s="79" t="str">
        <f>IFERROR(_xlfn.XLOOKUP(Table6[[#This Row],[Affected Feeder ]],'Basic Data'!$A:$A,'Basic Data'!$C:$C),"")</f>
        <v>MSEDCL</v>
      </c>
      <c r="J1160" s="295">
        <f>IFERROR(_xlfn.XLOOKUP(Table6[[#This Row],[Affected Feeder ]],'Basic Data'!$A:$A,'Basic Data'!$E:$E),"")</f>
        <v>2.2727272727272728E-2</v>
      </c>
      <c r="K1160" s="296" t="s">
        <v>171</v>
      </c>
      <c r="L1160" s="297">
        <v>0.58819444444444446</v>
      </c>
      <c r="M1160" s="297">
        <v>0.58819444444444446</v>
      </c>
      <c r="N1160" s="297">
        <v>0.6020833333333333</v>
      </c>
      <c r="O1160" s="298">
        <f>(Table6[[#This Row],[Work Start TimeStamp]]-Table6[[#This Row],[Fault Start TimeStamp]])*24</f>
        <v>0</v>
      </c>
      <c r="P1160" s="298">
        <f>(Table6[[#This Row],[Fault Clearance time]]-Table6[[#This Row],[Fault Start TimeStamp]])*24</f>
        <v>0.33333333333333215</v>
      </c>
      <c r="Q1160" s="298">
        <f>(Table6[[#This Row],[Fault Clearance time]]-Table6[[#This Row],[Fault Start TimeStamp]])*24</f>
        <v>0.33333333333333215</v>
      </c>
      <c r="R1160" s="79" t="s">
        <v>353</v>
      </c>
      <c r="S1160" s="79" t="s">
        <v>339</v>
      </c>
      <c r="T1160" s="298">
        <f>IFERROR(Table6[[#This Row],[Breakdown Time]]*Table6[[#This Row],[Plant Equivalent Weightage]],"")</f>
        <v>7.5757575757575491E-3</v>
      </c>
      <c r="U1160" s="79" t="s">
        <v>421</v>
      </c>
      <c r="W1160" s="79">
        <v>442</v>
      </c>
    </row>
    <row r="1161" spans="1:23">
      <c r="A1161" s="79">
        <f t="shared" si="18"/>
        <v>1160</v>
      </c>
      <c r="B1161" s="79">
        <f>YEAR(Table6[[#This Row],[Date]])+IF(MONTH(Table6[[#This Row],[Date]])&gt;=4,1,0)</f>
        <v>2026</v>
      </c>
      <c r="C1161" s="79">
        <f>YEAR(Table6[[#This Row],[Date]])</f>
        <v>2025</v>
      </c>
      <c r="D1161" s="79" t="s">
        <v>344</v>
      </c>
      <c r="E1161" s="284">
        <f>Table6[[#This Row],[Date]]-DAY(Table6[[#This Row],[Date]])+1</f>
        <v>45839</v>
      </c>
      <c r="F1161" s="285">
        <v>45864</v>
      </c>
      <c r="G1161" s="79" t="s">
        <v>78</v>
      </c>
      <c r="H1161" s="79" t="str">
        <f>IFERROR(_xlfn.XLOOKUP(Table6[[#This Row],[Affected Feeder ]],'Basic Data'!$A:$A,'Basic Data'!$B:$B),"")</f>
        <v>PWEPL</v>
      </c>
      <c r="I1161" s="79" t="str">
        <f>IFERROR(_xlfn.XLOOKUP(Table6[[#This Row],[Affected Feeder ]],'Basic Data'!$A:$A,'Basic Data'!$C:$C),"")</f>
        <v>MSEDCL</v>
      </c>
      <c r="J1161" s="295">
        <f>IFERROR(_xlfn.XLOOKUP(Table6[[#This Row],[Affected Feeder ]],'Basic Data'!$A:$A,'Basic Data'!$E:$E),"")</f>
        <v>2.2727272727272728E-2</v>
      </c>
      <c r="K1161" s="296" t="s">
        <v>171</v>
      </c>
      <c r="L1161" s="297">
        <v>0.58819444444444446</v>
      </c>
      <c r="M1161" s="297">
        <v>0.58819444444444446</v>
      </c>
      <c r="N1161" s="297">
        <v>0.6020833333333333</v>
      </c>
      <c r="O1161" s="298">
        <f>(Table6[[#This Row],[Work Start TimeStamp]]-Table6[[#This Row],[Fault Start TimeStamp]])*24</f>
        <v>0</v>
      </c>
      <c r="P1161" s="298">
        <f>(Table6[[#This Row],[Fault Clearance time]]-Table6[[#This Row],[Fault Start TimeStamp]])*24</f>
        <v>0.33333333333333215</v>
      </c>
      <c r="Q1161" s="298">
        <f>(Table6[[#This Row],[Fault Clearance time]]-Table6[[#This Row],[Fault Start TimeStamp]])*24</f>
        <v>0.33333333333333215</v>
      </c>
      <c r="R1161" s="79" t="s">
        <v>353</v>
      </c>
      <c r="S1161" s="79" t="s">
        <v>339</v>
      </c>
      <c r="T1161" s="298">
        <f>IFERROR(Table6[[#This Row],[Breakdown Time]]*Table6[[#This Row],[Plant Equivalent Weightage]],"")</f>
        <v>7.5757575757575491E-3</v>
      </c>
      <c r="U1161" s="79" t="s">
        <v>421</v>
      </c>
      <c r="W1161" s="79">
        <v>442</v>
      </c>
    </row>
    <row r="1162" spans="1:23">
      <c r="A1162" s="79">
        <f t="shared" si="18"/>
        <v>1161</v>
      </c>
      <c r="B1162" s="79">
        <f>YEAR(Table6[[#This Row],[Date]])+IF(MONTH(Table6[[#This Row],[Date]])&gt;=4,1,0)</f>
        <v>2026</v>
      </c>
      <c r="C1162" s="79">
        <f>YEAR(Table6[[#This Row],[Date]])</f>
        <v>2025</v>
      </c>
      <c r="D1162" s="79" t="s">
        <v>344</v>
      </c>
      <c r="E1162" s="284">
        <f>Table6[[#This Row],[Date]]-DAY(Table6[[#This Row],[Date]])+1</f>
        <v>45839</v>
      </c>
      <c r="F1162" s="285">
        <v>45864</v>
      </c>
      <c r="G1162" s="79" t="s">
        <v>82</v>
      </c>
      <c r="H1162" s="79" t="str">
        <f>IFERROR(_xlfn.XLOOKUP(Table6[[#This Row],[Affected Feeder ]],'Basic Data'!$A:$A,'Basic Data'!$B:$B),"")</f>
        <v>PWEPL</v>
      </c>
      <c r="I1162" s="79" t="str">
        <f>IFERROR(_xlfn.XLOOKUP(Table6[[#This Row],[Affected Feeder ]],'Basic Data'!$A:$A,'Basic Data'!$C:$C),"")</f>
        <v>MSEDCL</v>
      </c>
      <c r="J1162" s="295">
        <f>IFERROR(_xlfn.XLOOKUP(Table6[[#This Row],[Affected Feeder ]],'Basic Data'!$A:$A,'Basic Data'!$E:$E),"")</f>
        <v>2.2727272727272728E-2</v>
      </c>
      <c r="K1162" s="296" t="s">
        <v>171</v>
      </c>
      <c r="L1162" s="297">
        <v>0.58819444444444446</v>
      </c>
      <c r="M1162" s="297">
        <v>0.58819444444444446</v>
      </c>
      <c r="N1162" s="297">
        <v>0.6020833333333333</v>
      </c>
      <c r="O1162" s="298">
        <f>(Table6[[#This Row],[Work Start TimeStamp]]-Table6[[#This Row],[Fault Start TimeStamp]])*24</f>
        <v>0</v>
      </c>
      <c r="P1162" s="298">
        <f>(Table6[[#This Row],[Fault Clearance time]]-Table6[[#This Row],[Fault Start TimeStamp]])*24</f>
        <v>0.33333333333333215</v>
      </c>
      <c r="Q1162" s="298">
        <f>(Table6[[#This Row],[Fault Clearance time]]-Table6[[#This Row],[Fault Start TimeStamp]])*24</f>
        <v>0.33333333333333215</v>
      </c>
      <c r="R1162" s="79" t="s">
        <v>353</v>
      </c>
      <c r="S1162" s="79" t="s">
        <v>339</v>
      </c>
      <c r="T1162" s="298">
        <f>IFERROR(Table6[[#This Row],[Breakdown Time]]*Table6[[#This Row],[Plant Equivalent Weightage]],"")</f>
        <v>7.5757575757575491E-3</v>
      </c>
      <c r="U1162" s="79" t="s">
        <v>421</v>
      </c>
      <c r="W1162" s="79">
        <v>442</v>
      </c>
    </row>
    <row r="1163" spans="1:23">
      <c r="A1163" s="79">
        <f t="shared" si="18"/>
        <v>1162</v>
      </c>
      <c r="B1163" s="79">
        <f>YEAR(Table6[[#This Row],[Date]])+IF(MONTH(Table6[[#This Row],[Date]])&gt;=4,1,0)</f>
        <v>2026</v>
      </c>
      <c r="C1163" s="79">
        <f>YEAR(Table6[[#This Row],[Date]])</f>
        <v>2025</v>
      </c>
      <c r="D1163" s="79" t="s">
        <v>344</v>
      </c>
      <c r="E1163" s="284">
        <f>Table6[[#This Row],[Date]]-DAY(Table6[[#This Row],[Date]])+1</f>
        <v>45839</v>
      </c>
      <c r="F1163" s="285">
        <v>45864</v>
      </c>
      <c r="G1163" s="79" t="s">
        <v>93</v>
      </c>
      <c r="H1163" s="79" t="str">
        <f>IFERROR(_xlfn.XLOOKUP(Table6[[#This Row],[Affected Feeder ]],'Basic Data'!$A:$A,'Basic Data'!$B:$B),"")</f>
        <v>PWEPL</v>
      </c>
      <c r="I1163" s="79" t="str">
        <f>IFERROR(_xlfn.XLOOKUP(Table6[[#This Row],[Affected Feeder ]],'Basic Data'!$A:$A,'Basic Data'!$C:$C),"")</f>
        <v>MSEDCL</v>
      </c>
      <c r="J1163" s="295">
        <f>IFERROR(_xlfn.XLOOKUP(Table6[[#This Row],[Affected Feeder ]],'Basic Data'!$A:$A,'Basic Data'!$E:$E),"")</f>
        <v>2.2727272727272728E-2</v>
      </c>
      <c r="K1163" s="296" t="s">
        <v>171</v>
      </c>
      <c r="L1163" s="297">
        <v>0.58819444444444446</v>
      </c>
      <c r="M1163" s="297">
        <v>0.58819444444444446</v>
      </c>
      <c r="N1163" s="297">
        <v>0.6020833333333333</v>
      </c>
      <c r="O1163" s="298">
        <f>(Table6[[#This Row],[Work Start TimeStamp]]-Table6[[#This Row],[Fault Start TimeStamp]])*24</f>
        <v>0</v>
      </c>
      <c r="P1163" s="298">
        <f>(Table6[[#This Row],[Fault Clearance time]]-Table6[[#This Row],[Fault Start TimeStamp]])*24</f>
        <v>0.33333333333333215</v>
      </c>
      <c r="Q1163" s="298">
        <f>(Table6[[#This Row],[Fault Clearance time]]-Table6[[#This Row],[Fault Start TimeStamp]])*24</f>
        <v>0.33333333333333215</v>
      </c>
      <c r="R1163" s="79" t="s">
        <v>353</v>
      </c>
      <c r="S1163" s="79" t="s">
        <v>339</v>
      </c>
      <c r="T1163" s="298">
        <f>IFERROR(Table6[[#This Row],[Breakdown Time]]*Table6[[#This Row],[Plant Equivalent Weightage]],"")</f>
        <v>7.5757575757575491E-3</v>
      </c>
      <c r="U1163" s="79" t="s">
        <v>421</v>
      </c>
      <c r="W1163" s="79">
        <v>442</v>
      </c>
    </row>
    <row r="1164" spans="1:23">
      <c r="A1164" s="79">
        <f t="shared" si="18"/>
        <v>1163</v>
      </c>
      <c r="B1164" s="79">
        <f>YEAR(Table6[[#This Row],[Date]])+IF(MONTH(Table6[[#This Row],[Date]])&gt;=4,1,0)</f>
        <v>2026</v>
      </c>
      <c r="C1164" s="79">
        <f>YEAR(Table6[[#This Row],[Date]])</f>
        <v>2025</v>
      </c>
      <c r="D1164" s="79" t="s">
        <v>344</v>
      </c>
      <c r="E1164" s="284">
        <f>Table6[[#This Row],[Date]]-DAY(Table6[[#This Row],[Date]])+1</f>
        <v>45839</v>
      </c>
      <c r="F1164" s="285">
        <v>45864</v>
      </c>
      <c r="G1164" s="79" t="s">
        <v>102</v>
      </c>
      <c r="H1164" s="79" t="str">
        <f>IFERROR(_xlfn.XLOOKUP(Table6[[#This Row],[Affected Feeder ]],'Basic Data'!$A:$A,'Basic Data'!$B:$B),"")</f>
        <v>PWEPL</v>
      </c>
      <c r="I1164" s="79" t="str">
        <f>IFERROR(_xlfn.XLOOKUP(Table6[[#This Row],[Affected Feeder ]],'Basic Data'!$A:$A,'Basic Data'!$C:$C),"")</f>
        <v>MSEDCL</v>
      </c>
      <c r="J1164" s="295">
        <f>IFERROR(_xlfn.XLOOKUP(Table6[[#This Row],[Affected Feeder ]],'Basic Data'!$A:$A,'Basic Data'!$E:$E),"")</f>
        <v>2.2727272727272728E-2</v>
      </c>
      <c r="K1164" s="296" t="s">
        <v>171</v>
      </c>
      <c r="L1164" s="297">
        <v>0.58819444444444446</v>
      </c>
      <c r="M1164" s="297">
        <v>0.58819444444444446</v>
      </c>
      <c r="N1164" s="297">
        <v>0.6020833333333333</v>
      </c>
      <c r="O1164" s="298">
        <f>(Table6[[#This Row],[Work Start TimeStamp]]-Table6[[#This Row],[Fault Start TimeStamp]])*24</f>
        <v>0</v>
      </c>
      <c r="P1164" s="298">
        <f>(Table6[[#This Row],[Fault Clearance time]]-Table6[[#This Row],[Fault Start TimeStamp]])*24</f>
        <v>0.33333333333333215</v>
      </c>
      <c r="Q1164" s="298">
        <f>(Table6[[#This Row],[Fault Clearance time]]-Table6[[#This Row],[Fault Start TimeStamp]])*24</f>
        <v>0.33333333333333215</v>
      </c>
      <c r="R1164" s="79" t="s">
        <v>353</v>
      </c>
      <c r="S1164" s="79" t="s">
        <v>339</v>
      </c>
      <c r="T1164" s="298">
        <f>IFERROR(Table6[[#This Row],[Breakdown Time]]*Table6[[#This Row],[Plant Equivalent Weightage]],"")</f>
        <v>7.5757575757575491E-3</v>
      </c>
      <c r="U1164" s="79" t="s">
        <v>421</v>
      </c>
      <c r="W1164" s="79">
        <v>442</v>
      </c>
    </row>
    <row r="1165" spans="1:23">
      <c r="A1165" s="79">
        <f t="shared" si="18"/>
        <v>1164</v>
      </c>
      <c r="B1165" s="79">
        <f>YEAR(Table6[[#This Row],[Date]])+IF(MONTH(Table6[[#This Row],[Date]])&gt;=4,1,0)</f>
        <v>2026</v>
      </c>
      <c r="C1165" s="79">
        <f>YEAR(Table6[[#This Row],[Date]])</f>
        <v>2025</v>
      </c>
      <c r="D1165" s="79" t="s">
        <v>344</v>
      </c>
      <c r="E1165" s="284">
        <f>Table6[[#This Row],[Date]]-DAY(Table6[[#This Row],[Date]])+1</f>
        <v>45839</v>
      </c>
      <c r="F1165" s="285">
        <v>45864</v>
      </c>
      <c r="G1165" s="79" t="s">
        <v>119</v>
      </c>
      <c r="H1165" s="79" t="str">
        <f>IFERROR(_xlfn.XLOOKUP(Table6[[#This Row],[Affected Feeder ]],'Basic Data'!$A:$A,'Basic Data'!$B:$B),"")</f>
        <v>PWEPL</v>
      </c>
      <c r="I1165" s="79" t="str">
        <f>IFERROR(_xlfn.XLOOKUP(Table6[[#This Row],[Affected Feeder ]],'Basic Data'!$A:$A,'Basic Data'!$C:$C),"")</f>
        <v>MSEDCL</v>
      </c>
      <c r="J1165" s="295">
        <f>IFERROR(_xlfn.XLOOKUP(Table6[[#This Row],[Affected Feeder ]],'Basic Data'!$A:$A,'Basic Data'!$E:$E),"")</f>
        <v>2.2727272727272728E-2</v>
      </c>
      <c r="K1165" s="296" t="s">
        <v>171</v>
      </c>
      <c r="L1165" s="297">
        <v>0.58819444444444446</v>
      </c>
      <c r="M1165" s="297">
        <v>0.58819444444444446</v>
      </c>
      <c r="N1165" s="297">
        <v>0.6020833333333333</v>
      </c>
      <c r="O1165" s="298">
        <f>(Table6[[#This Row],[Work Start TimeStamp]]-Table6[[#This Row],[Fault Start TimeStamp]])*24</f>
        <v>0</v>
      </c>
      <c r="P1165" s="298">
        <f>(Table6[[#This Row],[Fault Clearance time]]-Table6[[#This Row],[Fault Start TimeStamp]])*24</f>
        <v>0.33333333333333215</v>
      </c>
      <c r="Q1165" s="298">
        <f>(Table6[[#This Row],[Fault Clearance time]]-Table6[[#This Row],[Fault Start TimeStamp]])*24</f>
        <v>0.33333333333333215</v>
      </c>
      <c r="R1165" s="79" t="s">
        <v>353</v>
      </c>
      <c r="S1165" s="79" t="s">
        <v>339</v>
      </c>
      <c r="T1165" s="298">
        <f>IFERROR(Table6[[#This Row],[Breakdown Time]]*Table6[[#This Row],[Plant Equivalent Weightage]],"")</f>
        <v>7.5757575757575491E-3</v>
      </c>
      <c r="U1165" s="79" t="s">
        <v>421</v>
      </c>
      <c r="W1165" s="79">
        <v>442</v>
      </c>
    </row>
    <row r="1166" spans="1:23">
      <c r="A1166" s="79">
        <f t="shared" si="18"/>
        <v>1165</v>
      </c>
      <c r="B1166" s="79">
        <f>YEAR(Table6[[#This Row],[Date]])+IF(MONTH(Table6[[#This Row],[Date]])&gt;=4,1,0)</f>
        <v>2026</v>
      </c>
      <c r="C1166" s="79">
        <f>YEAR(Table6[[#This Row],[Date]])</f>
        <v>2025</v>
      </c>
      <c r="D1166" s="79" t="s">
        <v>344</v>
      </c>
      <c r="E1166" s="284">
        <f>Table6[[#This Row],[Date]]-DAY(Table6[[#This Row],[Date]])+1</f>
        <v>45839</v>
      </c>
      <c r="F1166" s="285">
        <v>45864</v>
      </c>
      <c r="G1166" s="79" t="s">
        <v>103</v>
      </c>
      <c r="H1166" s="79" t="str">
        <f>IFERROR(_xlfn.XLOOKUP(Table6[[#This Row],[Affected Feeder ]],'Basic Data'!$A:$A,'Basic Data'!$B:$B),"")</f>
        <v>PWEPL</v>
      </c>
      <c r="I1166" s="79" t="str">
        <f>IFERROR(_xlfn.XLOOKUP(Table6[[#This Row],[Affected Feeder ]],'Basic Data'!$A:$A,'Basic Data'!$C:$C),"")</f>
        <v>MSEDCL</v>
      </c>
      <c r="J1166" s="295">
        <f>IFERROR(_xlfn.XLOOKUP(Table6[[#This Row],[Affected Feeder ]],'Basic Data'!$A:$A,'Basic Data'!$E:$E),"")</f>
        <v>2.2727272727272728E-2</v>
      </c>
      <c r="K1166" s="296" t="s">
        <v>171</v>
      </c>
      <c r="L1166" s="297">
        <v>0.58819444444444446</v>
      </c>
      <c r="M1166" s="297">
        <v>0.58819444444444446</v>
      </c>
      <c r="N1166" s="297">
        <v>0.6020833333333333</v>
      </c>
      <c r="O1166" s="298">
        <f>(Table6[[#This Row],[Work Start TimeStamp]]-Table6[[#This Row],[Fault Start TimeStamp]])*24</f>
        <v>0</v>
      </c>
      <c r="P1166" s="298">
        <f>(Table6[[#This Row],[Fault Clearance time]]-Table6[[#This Row],[Fault Start TimeStamp]])*24</f>
        <v>0.33333333333333215</v>
      </c>
      <c r="Q1166" s="298">
        <f>(Table6[[#This Row],[Fault Clearance time]]-Table6[[#This Row],[Fault Start TimeStamp]])*24</f>
        <v>0.33333333333333215</v>
      </c>
      <c r="R1166" s="79" t="s">
        <v>353</v>
      </c>
      <c r="S1166" s="79" t="s">
        <v>339</v>
      </c>
      <c r="T1166" s="298">
        <f>IFERROR(Table6[[#This Row],[Breakdown Time]]*Table6[[#This Row],[Plant Equivalent Weightage]],"")</f>
        <v>7.5757575757575491E-3</v>
      </c>
      <c r="U1166" s="79" t="s">
        <v>421</v>
      </c>
      <c r="W1166" s="79">
        <v>442</v>
      </c>
    </row>
    <row r="1167" spans="1:23">
      <c r="A1167" s="79">
        <f t="shared" si="18"/>
        <v>1166</v>
      </c>
      <c r="B1167" s="79">
        <f>YEAR(Table6[[#This Row],[Date]])+IF(MONTH(Table6[[#This Row],[Date]])&gt;=4,1,0)</f>
        <v>2026</v>
      </c>
      <c r="C1167" s="79">
        <f>YEAR(Table6[[#This Row],[Date]])</f>
        <v>2025</v>
      </c>
      <c r="D1167" s="79" t="s">
        <v>344</v>
      </c>
      <c r="E1167" s="284">
        <f>Table6[[#This Row],[Date]]-DAY(Table6[[#This Row],[Date]])+1</f>
        <v>45839</v>
      </c>
      <c r="F1167" s="285">
        <v>45864</v>
      </c>
      <c r="G1167" s="79" t="s">
        <v>105</v>
      </c>
      <c r="H1167" s="79" t="str">
        <f>IFERROR(_xlfn.XLOOKUP(Table6[[#This Row],[Affected Feeder ]],'Basic Data'!$A:$A,'Basic Data'!$B:$B),"")</f>
        <v>PWEPL</v>
      </c>
      <c r="I1167" s="79" t="str">
        <f>IFERROR(_xlfn.XLOOKUP(Table6[[#This Row],[Affected Feeder ]],'Basic Data'!$A:$A,'Basic Data'!$C:$C),"")</f>
        <v>MSEDCL</v>
      </c>
      <c r="J1167" s="295">
        <f>IFERROR(_xlfn.XLOOKUP(Table6[[#This Row],[Affected Feeder ]],'Basic Data'!$A:$A,'Basic Data'!$E:$E),"")</f>
        <v>2.2727272727272728E-2</v>
      </c>
      <c r="K1167" s="296" t="s">
        <v>171</v>
      </c>
      <c r="L1167" s="297">
        <v>0.58819444444444446</v>
      </c>
      <c r="M1167" s="297">
        <v>0.58819444444444446</v>
      </c>
      <c r="N1167" s="297">
        <v>0.6020833333333333</v>
      </c>
      <c r="O1167" s="298">
        <f>(Table6[[#This Row],[Work Start TimeStamp]]-Table6[[#This Row],[Fault Start TimeStamp]])*24</f>
        <v>0</v>
      </c>
      <c r="P1167" s="298">
        <f>(Table6[[#This Row],[Fault Clearance time]]-Table6[[#This Row],[Fault Start TimeStamp]])*24</f>
        <v>0.33333333333333215</v>
      </c>
      <c r="Q1167" s="298">
        <f>(Table6[[#This Row],[Fault Clearance time]]-Table6[[#This Row],[Fault Start TimeStamp]])*24</f>
        <v>0.33333333333333215</v>
      </c>
      <c r="R1167" s="79" t="s">
        <v>353</v>
      </c>
      <c r="S1167" s="79" t="s">
        <v>339</v>
      </c>
      <c r="T1167" s="298">
        <f>IFERROR(Table6[[#This Row],[Breakdown Time]]*Table6[[#This Row],[Plant Equivalent Weightage]],"")</f>
        <v>7.5757575757575491E-3</v>
      </c>
      <c r="U1167" s="79" t="s">
        <v>421</v>
      </c>
      <c r="W1167" s="79">
        <v>442</v>
      </c>
    </row>
    <row r="1168" spans="1:23">
      <c r="A1168" s="79">
        <f t="shared" si="18"/>
        <v>1167</v>
      </c>
      <c r="B1168" s="79">
        <f>YEAR(Table6[[#This Row],[Date]])+IF(MONTH(Table6[[#This Row],[Date]])&gt;=4,1,0)</f>
        <v>2026</v>
      </c>
      <c r="C1168" s="79">
        <f>YEAR(Table6[[#This Row],[Date]])</f>
        <v>2025</v>
      </c>
      <c r="D1168" s="79" t="s">
        <v>344</v>
      </c>
      <c r="E1168" s="284">
        <f>Table6[[#This Row],[Date]]-DAY(Table6[[#This Row],[Date]])+1</f>
        <v>45839</v>
      </c>
      <c r="F1168" s="285">
        <v>45864</v>
      </c>
      <c r="G1168" s="79" t="s">
        <v>115</v>
      </c>
      <c r="H1168" s="79" t="str">
        <f>IFERROR(_xlfn.XLOOKUP(Table6[[#This Row],[Affected Feeder ]],'Basic Data'!$A:$A,'Basic Data'!$B:$B),"")</f>
        <v>PWEPL</v>
      </c>
      <c r="I1168" s="79" t="str">
        <f>IFERROR(_xlfn.XLOOKUP(Table6[[#This Row],[Affected Feeder ]],'Basic Data'!$A:$A,'Basic Data'!$C:$C),"")</f>
        <v>MSEDCL</v>
      </c>
      <c r="J1168" s="295">
        <f>IFERROR(_xlfn.XLOOKUP(Table6[[#This Row],[Affected Feeder ]],'Basic Data'!$A:$A,'Basic Data'!$E:$E),"")</f>
        <v>2.2727272727272728E-2</v>
      </c>
      <c r="K1168" s="296" t="s">
        <v>171</v>
      </c>
      <c r="L1168" s="297">
        <v>0.58819444444444446</v>
      </c>
      <c r="M1168" s="297">
        <v>0.58819444444444446</v>
      </c>
      <c r="N1168" s="297">
        <v>0.6020833333333333</v>
      </c>
      <c r="O1168" s="298">
        <f>(Table6[[#This Row],[Work Start TimeStamp]]-Table6[[#This Row],[Fault Start TimeStamp]])*24</f>
        <v>0</v>
      </c>
      <c r="P1168" s="298">
        <f>(Table6[[#This Row],[Fault Clearance time]]-Table6[[#This Row],[Fault Start TimeStamp]])*24</f>
        <v>0.33333333333333215</v>
      </c>
      <c r="Q1168" s="298">
        <f>(Table6[[#This Row],[Fault Clearance time]]-Table6[[#This Row],[Fault Start TimeStamp]])*24</f>
        <v>0.33333333333333215</v>
      </c>
      <c r="R1168" s="79" t="s">
        <v>353</v>
      </c>
      <c r="S1168" s="79" t="s">
        <v>339</v>
      </c>
      <c r="T1168" s="298">
        <f>IFERROR(Table6[[#This Row],[Breakdown Time]]*Table6[[#This Row],[Plant Equivalent Weightage]],"")</f>
        <v>7.5757575757575491E-3</v>
      </c>
      <c r="U1168" s="79" t="s">
        <v>421</v>
      </c>
      <c r="W1168" s="79">
        <v>442</v>
      </c>
    </row>
    <row r="1169" spans="1:23">
      <c r="A1169" s="79">
        <f t="shared" si="18"/>
        <v>1168</v>
      </c>
      <c r="B1169" s="79">
        <f>YEAR(Table6[[#This Row],[Date]])+IF(MONTH(Table6[[#This Row],[Date]])&gt;=4,1,0)</f>
        <v>2026</v>
      </c>
      <c r="C1169" s="79">
        <f>YEAR(Table6[[#This Row],[Date]])</f>
        <v>2025</v>
      </c>
      <c r="D1169" s="79" t="s">
        <v>344</v>
      </c>
      <c r="E1169" s="284">
        <f>Table6[[#This Row],[Date]]-DAY(Table6[[#This Row],[Date]])+1</f>
        <v>45839</v>
      </c>
      <c r="F1169" s="285">
        <v>45864</v>
      </c>
      <c r="G1169" s="79" t="s">
        <v>116</v>
      </c>
      <c r="H1169" s="79" t="str">
        <f>IFERROR(_xlfn.XLOOKUP(Table6[[#This Row],[Affected Feeder ]],'Basic Data'!$A:$A,'Basic Data'!$B:$B),"")</f>
        <v>PWEPL</v>
      </c>
      <c r="I1169" s="79" t="str">
        <f>IFERROR(_xlfn.XLOOKUP(Table6[[#This Row],[Affected Feeder ]],'Basic Data'!$A:$A,'Basic Data'!$C:$C),"")</f>
        <v>MSEDCL</v>
      </c>
      <c r="J1169" s="295">
        <f>IFERROR(_xlfn.XLOOKUP(Table6[[#This Row],[Affected Feeder ]],'Basic Data'!$A:$A,'Basic Data'!$E:$E),"")</f>
        <v>2.2727272727272728E-2</v>
      </c>
      <c r="K1169" s="296" t="s">
        <v>171</v>
      </c>
      <c r="L1169" s="297">
        <v>0.58819444444444446</v>
      </c>
      <c r="M1169" s="297">
        <v>0.58819444444444446</v>
      </c>
      <c r="N1169" s="297">
        <v>0.6020833333333333</v>
      </c>
      <c r="O1169" s="298">
        <f>(Table6[[#This Row],[Work Start TimeStamp]]-Table6[[#This Row],[Fault Start TimeStamp]])*24</f>
        <v>0</v>
      </c>
      <c r="P1169" s="298">
        <f>(Table6[[#This Row],[Fault Clearance time]]-Table6[[#This Row],[Fault Start TimeStamp]])*24</f>
        <v>0.33333333333333215</v>
      </c>
      <c r="Q1169" s="298">
        <f>(Table6[[#This Row],[Fault Clearance time]]-Table6[[#This Row],[Fault Start TimeStamp]])*24</f>
        <v>0.33333333333333215</v>
      </c>
      <c r="R1169" s="79" t="s">
        <v>353</v>
      </c>
      <c r="S1169" s="79" t="s">
        <v>339</v>
      </c>
      <c r="T1169" s="298">
        <f>IFERROR(Table6[[#This Row],[Breakdown Time]]*Table6[[#This Row],[Plant Equivalent Weightage]],"")</f>
        <v>7.5757575757575491E-3</v>
      </c>
      <c r="U1169" s="79" t="s">
        <v>421</v>
      </c>
      <c r="W1169" s="79">
        <v>442</v>
      </c>
    </row>
    <row r="1170" spans="1:23">
      <c r="A1170" s="79">
        <f t="shared" si="18"/>
        <v>1169</v>
      </c>
      <c r="B1170" s="79">
        <f>YEAR(Table6[[#This Row],[Date]])+IF(MONTH(Table6[[#This Row],[Date]])&gt;=4,1,0)</f>
        <v>2026</v>
      </c>
      <c r="C1170" s="79">
        <f>YEAR(Table6[[#This Row],[Date]])</f>
        <v>2025</v>
      </c>
      <c r="D1170" s="79" t="s">
        <v>344</v>
      </c>
      <c r="E1170" s="284">
        <f>Table6[[#This Row],[Date]]-DAY(Table6[[#This Row],[Date]])+1</f>
        <v>45839</v>
      </c>
      <c r="F1170" s="285">
        <v>45864</v>
      </c>
      <c r="G1170" s="79" t="s">
        <v>117</v>
      </c>
      <c r="H1170" s="79" t="str">
        <f>IFERROR(_xlfn.XLOOKUP(Table6[[#This Row],[Affected Feeder ]],'Basic Data'!$A:$A,'Basic Data'!$B:$B),"")</f>
        <v>PWEPL</v>
      </c>
      <c r="I1170" s="79" t="str">
        <f>IFERROR(_xlfn.XLOOKUP(Table6[[#This Row],[Affected Feeder ]],'Basic Data'!$A:$A,'Basic Data'!$C:$C),"")</f>
        <v>MSEDCL</v>
      </c>
      <c r="J1170" s="295">
        <f>IFERROR(_xlfn.XLOOKUP(Table6[[#This Row],[Affected Feeder ]],'Basic Data'!$A:$A,'Basic Data'!$E:$E),"")</f>
        <v>2.2727272727272728E-2</v>
      </c>
      <c r="K1170" s="296" t="s">
        <v>171</v>
      </c>
      <c r="L1170" s="297">
        <v>0.58819444444444446</v>
      </c>
      <c r="M1170" s="297">
        <v>0.58819444444444446</v>
      </c>
      <c r="N1170" s="297">
        <v>0.6020833333333333</v>
      </c>
      <c r="O1170" s="298">
        <f>(Table6[[#This Row],[Work Start TimeStamp]]-Table6[[#This Row],[Fault Start TimeStamp]])*24</f>
        <v>0</v>
      </c>
      <c r="P1170" s="298">
        <f>(Table6[[#This Row],[Fault Clearance time]]-Table6[[#This Row],[Fault Start TimeStamp]])*24</f>
        <v>0.33333333333333215</v>
      </c>
      <c r="Q1170" s="298">
        <f>(Table6[[#This Row],[Fault Clearance time]]-Table6[[#This Row],[Fault Start TimeStamp]])*24</f>
        <v>0.33333333333333215</v>
      </c>
      <c r="R1170" s="79" t="s">
        <v>353</v>
      </c>
      <c r="S1170" s="79" t="s">
        <v>339</v>
      </c>
      <c r="T1170" s="298">
        <f>IFERROR(Table6[[#This Row],[Breakdown Time]]*Table6[[#This Row],[Plant Equivalent Weightage]],"")</f>
        <v>7.5757575757575491E-3</v>
      </c>
      <c r="U1170" s="79" t="s">
        <v>421</v>
      </c>
      <c r="W1170" s="79">
        <v>442</v>
      </c>
    </row>
    <row r="1171" spans="1:23">
      <c r="A1171" s="79">
        <f t="shared" si="18"/>
        <v>1170</v>
      </c>
      <c r="B1171" s="79">
        <f>YEAR(Table6[[#This Row],[Date]])+IF(MONTH(Table6[[#This Row],[Date]])&gt;=4,1,0)</f>
        <v>2026</v>
      </c>
      <c r="C1171" s="79">
        <f>YEAR(Table6[[#This Row],[Date]])</f>
        <v>2025</v>
      </c>
      <c r="D1171" s="79" t="s">
        <v>344</v>
      </c>
      <c r="E1171" s="284">
        <f>Table6[[#This Row],[Date]]-DAY(Table6[[#This Row],[Date]])+1</f>
        <v>45839</v>
      </c>
      <c r="F1171" s="285">
        <v>45864</v>
      </c>
      <c r="G1171" s="79" t="s">
        <v>118</v>
      </c>
      <c r="H1171" s="79" t="str">
        <f>IFERROR(_xlfn.XLOOKUP(Table6[[#This Row],[Affected Feeder ]],'Basic Data'!$A:$A,'Basic Data'!$B:$B),"")</f>
        <v>PWEPL</v>
      </c>
      <c r="I1171" s="79" t="str">
        <f>IFERROR(_xlfn.XLOOKUP(Table6[[#This Row],[Affected Feeder ]],'Basic Data'!$A:$A,'Basic Data'!$C:$C),"")</f>
        <v>MSEDCL</v>
      </c>
      <c r="J1171" s="295">
        <f>IFERROR(_xlfn.XLOOKUP(Table6[[#This Row],[Affected Feeder ]],'Basic Data'!$A:$A,'Basic Data'!$E:$E),"")</f>
        <v>2.2727272727272728E-2</v>
      </c>
      <c r="K1171" s="296" t="s">
        <v>171</v>
      </c>
      <c r="L1171" s="297">
        <v>0.58819444444444446</v>
      </c>
      <c r="M1171" s="297">
        <v>0.58819444444444446</v>
      </c>
      <c r="N1171" s="297">
        <v>0.59791666666666665</v>
      </c>
      <c r="O1171" s="298">
        <f>(Table6[[#This Row],[Work Start TimeStamp]]-Table6[[#This Row],[Fault Start TimeStamp]])*24</f>
        <v>0</v>
      </c>
      <c r="P1171" s="298">
        <f>(Table6[[#This Row],[Fault Clearance time]]-Table6[[#This Row],[Fault Start TimeStamp]])*24</f>
        <v>0.2333333333333325</v>
      </c>
      <c r="Q1171" s="298">
        <f>(Table6[[#This Row],[Fault Clearance time]]-Table6[[#This Row],[Fault Start TimeStamp]])*24</f>
        <v>0.2333333333333325</v>
      </c>
      <c r="R1171" s="79" t="s">
        <v>353</v>
      </c>
      <c r="S1171" s="79" t="s">
        <v>339</v>
      </c>
      <c r="T1171" s="298">
        <f>IFERROR(Table6[[#This Row],[Breakdown Time]]*Table6[[#This Row],[Plant Equivalent Weightage]],"")</f>
        <v>5.3030303030302843E-3</v>
      </c>
      <c r="U1171" s="79" t="s">
        <v>421</v>
      </c>
      <c r="W1171" s="79">
        <v>309</v>
      </c>
    </row>
    <row r="1172" spans="1:23">
      <c r="A1172" s="79">
        <f t="shared" si="18"/>
        <v>1171</v>
      </c>
      <c r="B1172" s="79">
        <f>YEAR(Table6[[#This Row],[Date]])+IF(MONTH(Table6[[#This Row],[Date]])&gt;=4,1,0)</f>
        <v>2026</v>
      </c>
      <c r="C1172" s="79">
        <f>YEAR(Table6[[#This Row],[Date]])</f>
        <v>2025</v>
      </c>
      <c r="D1172" s="79" t="s">
        <v>344</v>
      </c>
      <c r="E1172" s="284">
        <f>Table6[[#This Row],[Date]]-DAY(Table6[[#This Row],[Date]])+1</f>
        <v>45839</v>
      </c>
      <c r="F1172" s="285">
        <v>45864</v>
      </c>
      <c r="G1172" s="79" t="s">
        <v>90</v>
      </c>
      <c r="H1172" s="79" t="str">
        <f>IFERROR(_xlfn.XLOOKUP(Table6[[#This Row],[Affected Feeder ]],'Basic Data'!$A:$A,'Basic Data'!$B:$B),"")</f>
        <v>PWEPL</v>
      </c>
      <c r="I1172" s="79" t="str">
        <f>IFERROR(_xlfn.XLOOKUP(Table6[[#This Row],[Affected Feeder ]],'Basic Data'!$A:$A,'Basic Data'!$C:$C),"")</f>
        <v>MSEDCL</v>
      </c>
      <c r="J1172" s="295">
        <f>IFERROR(_xlfn.XLOOKUP(Table6[[#This Row],[Affected Feeder ]],'Basic Data'!$A:$A,'Basic Data'!$E:$E),"")</f>
        <v>2.2727272727272728E-2</v>
      </c>
      <c r="K1172" s="296" t="s">
        <v>796</v>
      </c>
      <c r="L1172" s="297">
        <v>0.10833333333333334</v>
      </c>
      <c r="M1172" s="297">
        <v>0.10833333333333334</v>
      </c>
      <c r="N1172" s="297">
        <v>0.30277777777777776</v>
      </c>
      <c r="O1172" s="298">
        <f>(Table6[[#This Row],[Work Start TimeStamp]]-Table6[[#This Row],[Fault Start TimeStamp]])*24</f>
        <v>0</v>
      </c>
      <c r="P1172" s="298">
        <f>(Table6[[#This Row],[Fault Clearance time]]-Table6[[#This Row],[Fault Start TimeStamp]])*24</f>
        <v>4.6666666666666661</v>
      </c>
      <c r="Q1172" s="298">
        <f>(Table6[[#This Row],[Fault Clearance time]]-Table6[[#This Row],[Fault Start TimeStamp]])*24</f>
        <v>4.6666666666666661</v>
      </c>
      <c r="R1172" s="79" t="s">
        <v>424</v>
      </c>
      <c r="S1172" s="79" t="s">
        <v>339</v>
      </c>
      <c r="T1172" s="298">
        <f>IFERROR(Table6[[#This Row],[Breakdown Time]]*Table6[[#This Row],[Plant Equivalent Weightage]],"")</f>
        <v>0.10606060606060605</v>
      </c>
      <c r="U1172" s="79" t="s">
        <v>421</v>
      </c>
      <c r="W1172" s="79">
        <v>2440</v>
      </c>
    </row>
    <row r="1173" spans="1:23">
      <c r="A1173" s="79">
        <f t="shared" si="18"/>
        <v>1172</v>
      </c>
      <c r="B1173" s="79">
        <f>YEAR(Table6[[#This Row],[Date]])+IF(MONTH(Table6[[#This Row],[Date]])&gt;=4,1,0)</f>
        <v>2026</v>
      </c>
      <c r="C1173" s="79">
        <f>YEAR(Table6[[#This Row],[Date]])</f>
        <v>2025</v>
      </c>
      <c r="D1173" s="79" t="s">
        <v>344</v>
      </c>
      <c r="E1173" s="284">
        <f>Table6[[#This Row],[Date]]-DAY(Table6[[#This Row],[Date]])+1</f>
        <v>45839</v>
      </c>
      <c r="F1173" s="285">
        <v>45864</v>
      </c>
      <c r="G1173" s="79" t="s">
        <v>90</v>
      </c>
      <c r="H1173" s="79" t="str">
        <f>IFERROR(_xlfn.XLOOKUP(Table6[[#This Row],[Affected Feeder ]],'Basic Data'!$A:$A,'Basic Data'!$B:$B),"")</f>
        <v>PWEPL</v>
      </c>
      <c r="I1173" s="79" t="str">
        <f>IFERROR(_xlfn.XLOOKUP(Table6[[#This Row],[Affected Feeder ]],'Basic Data'!$A:$A,'Basic Data'!$C:$C),"")</f>
        <v>MSEDCL</v>
      </c>
      <c r="J1173" s="295">
        <f>IFERROR(_xlfn.XLOOKUP(Table6[[#This Row],[Affected Feeder ]],'Basic Data'!$A:$A,'Basic Data'!$E:$E),"")</f>
        <v>2.2727272727272728E-2</v>
      </c>
      <c r="K1173" s="296" t="s">
        <v>171</v>
      </c>
      <c r="L1173" s="297">
        <v>0.30277777777777776</v>
      </c>
      <c r="M1173" s="297">
        <v>0.30277777777777776</v>
      </c>
      <c r="N1173" s="297">
        <v>0.31666666666666665</v>
      </c>
      <c r="O1173" s="298">
        <f>(Table6[[#This Row],[Work Start TimeStamp]]-Table6[[#This Row],[Fault Start TimeStamp]])*24</f>
        <v>0</v>
      </c>
      <c r="P1173" s="298">
        <f>(Table6[[#This Row],[Fault Clearance time]]-Table6[[#This Row],[Fault Start TimeStamp]])*24</f>
        <v>0.33333333333333348</v>
      </c>
      <c r="Q1173" s="298">
        <f>(Table6[[#This Row],[Fault Clearance time]]-Table6[[#This Row],[Fault Start TimeStamp]])*24</f>
        <v>0.33333333333333348</v>
      </c>
      <c r="R1173" s="79" t="s">
        <v>353</v>
      </c>
      <c r="S1173" s="79" t="s">
        <v>339</v>
      </c>
      <c r="T1173" s="298">
        <f>IFERROR(Table6[[#This Row],[Breakdown Time]]*Table6[[#This Row],[Plant Equivalent Weightage]],"")</f>
        <v>7.5757575757575794E-3</v>
      </c>
      <c r="U1173" s="79" t="s">
        <v>421</v>
      </c>
      <c r="W1173" s="79">
        <v>221</v>
      </c>
    </row>
    <row r="1174" spans="1:23">
      <c r="A1174" s="79">
        <f t="shared" si="18"/>
        <v>1173</v>
      </c>
      <c r="B1174" s="79">
        <f>YEAR(Table6[[#This Row],[Date]])+IF(MONTH(Table6[[#This Row],[Date]])&gt;=4,1,0)</f>
        <v>2026</v>
      </c>
      <c r="C1174" s="79">
        <f>YEAR(Table6[[#This Row],[Date]])</f>
        <v>2025</v>
      </c>
      <c r="D1174" s="79" t="s">
        <v>344</v>
      </c>
      <c r="E1174" s="284">
        <f>Table6[[#This Row],[Date]]-DAY(Table6[[#This Row],[Date]])+1</f>
        <v>45839</v>
      </c>
      <c r="F1174" s="285">
        <v>45864</v>
      </c>
      <c r="G1174" s="79" t="s">
        <v>100</v>
      </c>
      <c r="H1174" s="79" t="str">
        <f>IFERROR(_xlfn.XLOOKUP(Table6[[#This Row],[Affected Feeder ]],'Basic Data'!$A:$A,'Basic Data'!$B:$B),"")</f>
        <v>PWEPL</v>
      </c>
      <c r="I1174" s="79" t="str">
        <f>IFERROR(_xlfn.XLOOKUP(Table6[[#This Row],[Affected Feeder ]],'Basic Data'!$A:$A,'Basic Data'!$C:$C),"")</f>
        <v>MSEDCL</v>
      </c>
      <c r="J1174" s="295">
        <f>IFERROR(_xlfn.XLOOKUP(Table6[[#This Row],[Affected Feeder ]],'Basic Data'!$A:$A,'Basic Data'!$E:$E),"")</f>
        <v>2.2727272727272728E-2</v>
      </c>
      <c r="K1174" s="296" t="s">
        <v>796</v>
      </c>
      <c r="L1174" s="297">
        <v>0.10833333333333334</v>
      </c>
      <c r="M1174" s="297">
        <v>0.10833333333333334</v>
      </c>
      <c r="N1174" s="297">
        <v>0.12430555555555556</v>
      </c>
      <c r="O1174" s="298">
        <f>(Table6[[#This Row],[Work Start TimeStamp]]-Table6[[#This Row],[Fault Start TimeStamp]])*24</f>
        <v>0</v>
      </c>
      <c r="P1174" s="298">
        <f>(Table6[[#This Row],[Fault Clearance time]]-Table6[[#This Row],[Fault Start TimeStamp]])*24</f>
        <v>0.3833333333333333</v>
      </c>
      <c r="Q1174" s="298">
        <f>(Table6[[#This Row],[Fault Clearance time]]-Table6[[#This Row],[Fault Start TimeStamp]])*24</f>
        <v>0.3833333333333333</v>
      </c>
      <c r="R1174" s="79" t="s">
        <v>424</v>
      </c>
      <c r="S1174" s="79" t="s">
        <v>339</v>
      </c>
      <c r="T1174" s="298">
        <f>IFERROR(Table6[[#This Row],[Breakdown Time]]*Table6[[#This Row],[Plant Equivalent Weightage]],"")</f>
        <v>8.712121212121211E-3</v>
      </c>
      <c r="U1174" s="79" t="s">
        <v>421</v>
      </c>
      <c r="W1174" s="79">
        <v>715</v>
      </c>
    </row>
    <row r="1175" spans="1:23">
      <c r="A1175" s="79">
        <f t="shared" si="18"/>
        <v>1174</v>
      </c>
      <c r="B1175" s="79">
        <f>YEAR(Table6[[#This Row],[Date]])+IF(MONTH(Table6[[#This Row],[Date]])&gt;=4,1,0)</f>
        <v>2026</v>
      </c>
      <c r="C1175" s="79">
        <f>YEAR(Table6[[#This Row],[Date]])</f>
        <v>2025</v>
      </c>
      <c r="D1175" s="79" t="s">
        <v>344</v>
      </c>
      <c r="E1175" s="284">
        <f>Table6[[#This Row],[Date]]-DAY(Table6[[#This Row],[Date]])+1</f>
        <v>45839</v>
      </c>
      <c r="F1175" s="285">
        <v>45864</v>
      </c>
      <c r="G1175" s="79" t="s">
        <v>100</v>
      </c>
      <c r="H1175" s="79" t="str">
        <f>IFERROR(_xlfn.XLOOKUP(Table6[[#This Row],[Affected Feeder ]],'Basic Data'!$A:$A,'Basic Data'!$B:$B),"")</f>
        <v>PWEPL</v>
      </c>
      <c r="I1175" s="79" t="str">
        <f>IFERROR(_xlfn.XLOOKUP(Table6[[#This Row],[Affected Feeder ]],'Basic Data'!$A:$A,'Basic Data'!$C:$C),"")</f>
        <v>MSEDCL</v>
      </c>
      <c r="J1175" s="295">
        <f>IFERROR(_xlfn.XLOOKUP(Table6[[#This Row],[Affected Feeder ]],'Basic Data'!$A:$A,'Basic Data'!$E:$E),"")</f>
        <v>2.2727272727272728E-2</v>
      </c>
      <c r="K1175" s="296" t="s">
        <v>171</v>
      </c>
      <c r="L1175" s="297">
        <v>0.12430555555555556</v>
      </c>
      <c r="M1175" s="297">
        <v>0.12430555555555556</v>
      </c>
      <c r="N1175" s="297">
        <v>0.13819444444444443</v>
      </c>
      <c r="O1175" s="298">
        <f>(Table6[[#This Row],[Work Start TimeStamp]]-Table6[[#This Row],[Fault Start TimeStamp]])*24</f>
        <v>0</v>
      </c>
      <c r="P1175" s="298">
        <f>(Table6[[#This Row],[Fault Clearance time]]-Table6[[#This Row],[Fault Start TimeStamp]])*24</f>
        <v>0.33333333333333282</v>
      </c>
      <c r="Q1175" s="298">
        <f>(Table6[[#This Row],[Fault Clearance time]]-Table6[[#This Row],[Fault Start TimeStamp]])*24</f>
        <v>0.33333333333333282</v>
      </c>
      <c r="R1175" s="79" t="s">
        <v>353</v>
      </c>
      <c r="S1175" s="79" t="s">
        <v>339</v>
      </c>
      <c r="T1175" s="298">
        <f>IFERROR(Table6[[#This Row],[Breakdown Time]]*Table6[[#This Row],[Plant Equivalent Weightage]],"")</f>
        <v>7.5757575757575638E-3</v>
      </c>
      <c r="U1175" s="79" t="s">
        <v>421</v>
      </c>
      <c r="W1175" s="79">
        <v>620</v>
      </c>
    </row>
    <row r="1176" spans="1:23">
      <c r="A1176" s="79">
        <f t="shared" si="18"/>
        <v>1175</v>
      </c>
      <c r="B1176" s="79">
        <f>YEAR(Table6[[#This Row],[Date]])+IF(MONTH(Table6[[#This Row],[Date]])&gt;=4,1,0)</f>
        <v>2026</v>
      </c>
      <c r="C1176" s="79">
        <f>YEAR(Table6[[#This Row],[Date]])</f>
        <v>2025</v>
      </c>
      <c r="D1176" s="79" t="s">
        <v>344</v>
      </c>
      <c r="E1176" s="284">
        <f>Table6[[#This Row],[Date]]-DAY(Table6[[#This Row],[Date]])+1</f>
        <v>45839</v>
      </c>
      <c r="F1176" s="285">
        <v>45864</v>
      </c>
      <c r="G1176" s="79" t="s">
        <v>106</v>
      </c>
      <c r="H1176" s="79" t="str">
        <f>IFERROR(_xlfn.XLOOKUP(Table6[[#This Row],[Affected Feeder ]],'Basic Data'!$A:$A,'Basic Data'!$B:$B),"")</f>
        <v>PWEPL</v>
      </c>
      <c r="I1176" s="79" t="str">
        <f>IFERROR(_xlfn.XLOOKUP(Table6[[#This Row],[Affected Feeder ]],'Basic Data'!$A:$A,'Basic Data'!$C:$C),"")</f>
        <v>MSEDCL</v>
      </c>
      <c r="J1176" s="295">
        <f>IFERROR(_xlfn.XLOOKUP(Table6[[#This Row],[Affected Feeder ]],'Basic Data'!$A:$A,'Basic Data'!$E:$E),"")</f>
        <v>2.2727272727272728E-2</v>
      </c>
      <c r="K1176" s="296" t="s">
        <v>796</v>
      </c>
      <c r="L1176" s="297">
        <v>0.10833333333333334</v>
      </c>
      <c r="M1176" s="297">
        <v>0.10833333333333334</v>
      </c>
      <c r="N1176" s="297">
        <v>0.28472222222222221</v>
      </c>
      <c r="O1176" s="298">
        <f>(Table6[[#This Row],[Work Start TimeStamp]]-Table6[[#This Row],[Fault Start TimeStamp]])*24</f>
        <v>0</v>
      </c>
      <c r="P1176" s="298">
        <f>(Table6[[#This Row],[Fault Clearance time]]-Table6[[#This Row],[Fault Start TimeStamp]])*24</f>
        <v>4.2333333333333325</v>
      </c>
      <c r="Q1176" s="298">
        <f>(Table6[[#This Row],[Fault Clearance time]]-Table6[[#This Row],[Fault Start TimeStamp]])*24</f>
        <v>4.2333333333333325</v>
      </c>
      <c r="R1176" s="79" t="s">
        <v>424</v>
      </c>
      <c r="S1176" s="79" t="s">
        <v>339</v>
      </c>
      <c r="T1176" s="298">
        <f>IFERROR(Table6[[#This Row],[Breakdown Time]]*Table6[[#This Row],[Plant Equivalent Weightage]],"")</f>
        <v>9.6212121212121193E-2</v>
      </c>
      <c r="U1176" s="79" t="s">
        <v>421</v>
      </c>
      <c r="W1176" s="79">
        <v>5743</v>
      </c>
    </row>
    <row r="1177" spans="1:23">
      <c r="A1177" s="79">
        <f t="shared" si="18"/>
        <v>1176</v>
      </c>
      <c r="B1177" s="79">
        <f>YEAR(Table6[[#This Row],[Date]])+IF(MONTH(Table6[[#This Row],[Date]])&gt;=4,1,0)</f>
        <v>2026</v>
      </c>
      <c r="C1177" s="79">
        <f>YEAR(Table6[[#This Row],[Date]])</f>
        <v>2025</v>
      </c>
      <c r="D1177" s="79" t="s">
        <v>344</v>
      </c>
      <c r="E1177" s="284">
        <f>Table6[[#This Row],[Date]]-DAY(Table6[[#This Row],[Date]])+1</f>
        <v>45839</v>
      </c>
      <c r="F1177" s="285">
        <v>45864</v>
      </c>
      <c r="G1177" s="79" t="s">
        <v>106</v>
      </c>
      <c r="H1177" s="79" t="str">
        <f>IFERROR(_xlfn.XLOOKUP(Table6[[#This Row],[Affected Feeder ]],'Basic Data'!$A:$A,'Basic Data'!$B:$B),"")</f>
        <v>PWEPL</v>
      </c>
      <c r="I1177" s="79" t="str">
        <f>IFERROR(_xlfn.XLOOKUP(Table6[[#This Row],[Affected Feeder ]],'Basic Data'!$A:$A,'Basic Data'!$C:$C),"")</f>
        <v>MSEDCL</v>
      </c>
      <c r="J1177" s="295">
        <f>IFERROR(_xlfn.XLOOKUP(Table6[[#This Row],[Affected Feeder ]],'Basic Data'!$A:$A,'Basic Data'!$E:$E),"")</f>
        <v>2.2727272727272728E-2</v>
      </c>
      <c r="K1177" s="296" t="s">
        <v>171</v>
      </c>
      <c r="L1177" s="297">
        <v>0.28472222222222221</v>
      </c>
      <c r="M1177" s="297">
        <v>0.28472222222222221</v>
      </c>
      <c r="N1177" s="297">
        <v>0.29166666666666669</v>
      </c>
      <c r="O1177" s="298">
        <f>(Table6[[#This Row],[Work Start TimeStamp]]-Table6[[#This Row],[Fault Start TimeStamp]])*24</f>
        <v>0</v>
      </c>
      <c r="P1177" s="298">
        <f>(Table6[[#This Row],[Fault Clearance time]]-Table6[[#This Row],[Fault Start TimeStamp]])*24</f>
        <v>0.16666666666666741</v>
      </c>
      <c r="Q1177" s="298">
        <f>(Table6[[#This Row],[Fault Clearance time]]-Table6[[#This Row],[Fault Start TimeStamp]])*24</f>
        <v>0.16666666666666741</v>
      </c>
      <c r="R1177" s="79" t="s">
        <v>353</v>
      </c>
      <c r="S1177" s="79" t="s">
        <v>339</v>
      </c>
      <c r="T1177" s="298">
        <f>IFERROR(Table6[[#This Row],[Breakdown Time]]*Table6[[#This Row],[Plant Equivalent Weightage]],"")</f>
        <v>3.7878787878788049E-3</v>
      </c>
      <c r="U1177" s="79" t="s">
        <v>421</v>
      </c>
      <c r="W1177" s="79">
        <v>235</v>
      </c>
    </row>
    <row r="1178" spans="1:23">
      <c r="A1178" s="79">
        <f t="shared" si="18"/>
        <v>1177</v>
      </c>
      <c r="B1178" s="79">
        <f>YEAR(Table6[[#This Row],[Date]])+IF(MONTH(Table6[[#This Row],[Date]])&gt;=4,1,0)</f>
        <v>2026</v>
      </c>
      <c r="C1178" s="79">
        <f>YEAR(Table6[[#This Row],[Date]])</f>
        <v>2025</v>
      </c>
      <c r="D1178" s="79" t="s">
        <v>344</v>
      </c>
      <c r="E1178" s="284">
        <f>Table6[[#This Row],[Date]]-DAY(Table6[[#This Row],[Date]])+1</f>
        <v>45839</v>
      </c>
      <c r="F1178" s="285">
        <v>45864</v>
      </c>
      <c r="G1178" s="79" t="s">
        <v>109</v>
      </c>
      <c r="H1178" s="79" t="str">
        <f>IFERROR(_xlfn.XLOOKUP(Table6[[#This Row],[Affected Feeder ]],'Basic Data'!$A:$A,'Basic Data'!$B:$B),"")</f>
        <v>PWEPL</v>
      </c>
      <c r="I1178" s="79" t="str">
        <f>IFERROR(_xlfn.XLOOKUP(Table6[[#This Row],[Affected Feeder ]],'Basic Data'!$A:$A,'Basic Data'!$C:$C),"")</f>
        <v>MSEDCL</v>
      </c>
      <c r="J1178" s="295">
        <f>IFERROR(_xlfn.XLOOKUP(Table6[[#This Row],[Affected Feeder ]],'Basic Data'!$A:$A,'Basic Data'!$E:$E),"")</f>
        <v>2.2727272727272728E-2</v>
      </c>
      <c r="K1178" s="296" t="s">
        <v>796</v>
      </c>
      <c r="L1178" s="297">
        <v>0.10833333333333334</v>
      </c>
      <c r="M1178" s="297">
        <v>0.10833333333333334</v>
      </c>
      <c r="N1178" s="297">
        <v>0.19097222222222221</v>
      </c>
      <c r="O1178" s="298">
        <f>(Table6[[#This Row],[Work Start TimeStamp]]-Table6[[#This Row],[Fault Start TimeStamp]])*24</f>
        <v>0</v>
      </c>
      <c r="P1178" s="298">
        <f>(Table6[[#This Row],[Fault Clearance time]]-Table6[[#This Row],[Fault Start TimeStamp]])*24</f>
        <v>1.9833333333333329</v>
      </c>
      <c r="Q1178" s="298">
        <f>(Table6[[#This Row],[Fault Clearance time]]-Table6[[#This Row],[Fault Start TimeStamp]])*24</f>
        <v>1.9833333333333329</v>
      </c>
      <c r="R1178" s="79" t="s">
        <v>424</v>
      </c>
      <c r="S1178" s="79" t="s">
        <v>339</v>
      </c>
      <c r="T1178" s="298">
        <f>IFERROR(Table6[[#This Row],[Breakdown Time]]*Table6[[#This Row],[Plant Equivalent Weightage]],"")</f>
        <v>4.5075757575757568E-2</v>
      </c>
      <c r="U1178" s="79" t="s">
        <v>421</v>
      </c>
      <c r="W1178" s="79">
        <v>3301</v>
      </c>
    </row>
    <row r="1179" spans="1:23">
      <c r="A1179" s="79">
        <f t="shared" si="18"/>
        <v>1178</v>
      </c>
      <c r="B1179" s="79">
        <f>YEAR(Table6[[#This Row],[Date]])+IF(MONTH(Table6[[#This Row],[Date]])&gt;=4,1,0)</f>
        <v>2026</v>
      </c>
      <c r="C1179" s="79">
        <f>YEAR(Table6[[#This Row],[Date]])</f>
        <v>2025</v>
      </c>
      <c r="D1179" s="79" t="s">
        <v>344</v>
      </c>
      <c r="E1179" s="284">
        <f>Table6[[#This Row],[Date]]-DAY(Table6[[#This Row],[Date]])+1</f>
        <v>45839</v>
      </c>
      <c r="F1179" s="285">
        <v>45864</v>
      </c>
      <c r="G1179" s="79" t="s">
        <v>109</v>
      </c>
      <c r="H1179" s="79" t="str">
        <f>IFERROR(_xlfn.XLOOKUP(Table6[[#This Row],[Affected Feeder ]],'Basic Data'!$A:$A,'Basic Data'!$B:$B),"")</f>
        <v>PWEPL</v>
      </c>
      <c r="I1179" s="79" t="str">
        <f>IFERROR(_xlfn.XLOOKUP(Table6[[#This Row],[Affected Feeder ]],'Basic Data'!$A:$A,'Basic Data'!$C:$C),"")</f>
        <v>MSEDCL</v>
      </c>
      <c r="J1179" s="295">
        <f>IFERROR(_xlfn.XLOOKUP(Table6[[#This Row],[Affected Feeder ]],'Basic Data'!$A:$A,'Basic Data'!$E:$E),"")</f>
        <v>2.2727272727272728E-2</v>
      </c>
      <c r="K1179" s="296" t="s">
        <v>171</v>
      </c>
      <c r="L1179" s="297">
        <v>0.19097222222222221</v>
      </c>
      <c r="M1179" s="297">
        <v>0.19097222222222221</v>
      </c>
      <c r="N1179" s="297">
        <v>0.19583333333333333</v>
      </c>
      <c r="O1179" s="298">
        <f>(Table6[[#This Row],[Work Start TimeStamp]]-Table6[[#This Row],[Fault Start TimeStamp]])*24</f>
        <v>0</v>
      </c>
      <c r="P1179" s="298">
        <f>(Table6[[#This Row],[Fault Clearance time]]-Table6[[#This Row],[Fault Start TimeStamp]])*24</f>
        <v>0.11666666666666692</v>
      </c>
      <c r="Q1179" s="298">
        <f>(Table6[[#This Row],[Fault Clearance time]]-Table6[[#This Row],[Fault Start TimeStamp]])*24</f>
        <v>0.11666666666666692</v>
      </c>
      <c r="R1179" s="79" t="s">
        <v>353</v>
      </c>
      <c r="S1179" s="79" t="s">
        <v>339</v>
      </c>
      <c r="T1179" s="298">
        <f>IFERROR(Table6[[#This Row],[Breakdown Time]]*Table6[[#This Row],[Plant Equivalent Weightage]],"")</f>
        <v>2.6515151515151573E-3</v>
      </c>
      <c r="U1179" s="79" t="s">
        <v>421</v>
      </c>
      <c r="W1179" s="79">
        <v>206</v>
      </c>
    </row>
    <row r="1180" spans="1:23">
      <c r="A1180" s="79">
        <f t="shared" si="18"/>
        <v>1179</v>
      </c>
      <c r="B1180" s="79">
        <f>YEAR(Table6[[#This Row],[Date]])+IF(MONTH(Table6[[#This Row],[Date]])&gt;=4,1,0)</f>
        <v>2026</v>
      </c>
      <c r="C1180" s="79">
        <f>YEAR(Table6[[#This Row],[Date]])</f>
        <v>2025</v>
      </c>
      <c r="D1180" s="79" t="s">
        <v>344</v>
      </c>
      <c r="E1180" s="284">
        <f>Table6[[#This Row],[Date]]-DAY(Table6[[#This Row],[Date]])+1</f>
        <v>45839</v>
      </c>
      <c r="F1180" s="285">
        <v>45864</v>
      </c>
      <c r="G1180" s="79" t="s">
        <v>111</v>
      </c>
      <c r="H1180" s="79" t="str">
        <f>IFERROR(_xlfn.XLOOKUP(Table6[[#This Row],[Affected Feeder ]],'Basic Data'!$A:$A,'Basic Data'!$B:$B),"")</f>
        <v>PWEPL</v>
      </c>
      <c r="I1180" s="79" t="str">
        <f>IFERROR(_xlfn.XLOOKUP(Table6[[#This Row],[Affected Feeder ]],'Basic Data'!$A:$A,'Basic Data'!$C:$C),"")</f>
        <v>MSEDCL</v>
      </c>
      <c r="J1180" s="295">
        <f>IFERROR(_xlfn.XLOOKUP(Table6[[#This Row],[Affected Feeder ]],'Basic Data'!$A:$A,'Basic Data'!$E:$E),"")</f>
        <v>2.2727272727272728E-2</v>
      </c>
      <c r="K1180" s="296" t="s">
        <v>796</v>
      </c>
      <c r="L1180" s="297">
        <v>0.10833333333333334</v>
      </c>
      <c r="M1180" s="297">
        <v>0.10833333333333334</v>
      </c>
      <c r="N1180" s="297">
        <v>0.17847222222222223</v>
      </c>
      <c r="O1180" s="298">
        <f>(Table6[[#This Row],[Work Start TimeStamp]]-Table6[[#This Row],[Fault Start TimeStamp]])*24</f>
        <v>0</v>
      </c>
      <c r="P1180" s="298">
        <f>(Table6[[#This Row],[Fault Clearance time]]-Table6[[#This Row],[Fault Start TimeStamp]])*24</f>
        <v>1.6833333333333333</v>
      </c>
      <c r="Q1180" s="298">
        <f>(Table6[[#This Row],[Fault Clearance time]]-Table6[[#This Row],[Fault Start TimeStamp]])*24</f>
        <v>1.6833333333333333</v>
      </c>
      <c r="R1180" s="79" t="s">
        <v>424</v>
      </c>
      <c r="S1180" s="79" t="s">
        <v>339</v>
      </c>
      <c r="T1180" s="298">
        <f>IFERROR(Table6[[#This Row],[Breakdown Time]]*Table6[[#This Row],[Plant Equivalent Weightage]],"")</f>
        <v>3.8257575757575761E-2</v>
      </c>
      <c r="U1180" s="79" t="s">
        <v>421</v>
      </c>
      <c r="W1180" s="79">
        <v>1730</v>
      </c>
    </row>
    <row r="1181" spans="1:23">
      <c r="A1181" s="79">
        <f t="shared" si="18"/>
        <v>1180</v>
      </c>
      <c r="B1181" s="79">
        <f>YEAR(Table6[[#This Row],[Date]])+IF(MONTH(Table6[[#This Row],[Date]])&gt;=4,1,0)</f>
        <v>2026</v>
      </c>
      <c r="C1181" s="79">
        <f>YEAR(Table6[[#This Row],[Date]])</f>
        <v>2025</v>
      </c>
      <c r="D1181" s="79" t="s">
        <v>344</v>
      </c>
      <c r="E1181" s="284">
        <f>Table6[[#This Row],[Date]]-DAY(Table6[[#This Row],[Date]])+1</f>
        <v>45839</v>
      </c>
      <c r="F1181" s="285">
        <v>45864</v>
      </c>
      <c r="G1181" s="79" t="s">
        <v>111</v>
      </c>
      <c r="H1181" s="79" t="str">
        <f>IFERROR(_xlfn.XLOOKUP(Table6[[#This Row],[Affected Feeder ]],'Basic Data'!$A:$A,'Basic Data'!$B:$B),"")</f>
        <v>PWEPL</v>
      </c>
      <c r="I1181" s="79" t="str">
        <f>IFERROR(_xlfn.XLOOKUP(Table6[[#This Row],[Affected Feeder ]],'Basic Data'!$A:$A,'Basic Data'!$C:$C),"")</f>
        <v>MSEDCL</v>
      </c>
      <c r="J1181" s="295">
        <f>IFERROR(_xlfn.XLOOKUP(Table6[[#This Row],[Affected Feeder ]],'Basic Data'!$A:$A,'Basic Data'!$E:$E),"")</f>
        <v>2.2727272727272728E-2</v>
      </c>
      <c r="K1181" s="296" t="s">
        <v>171</v>
      </c>
      <c r="L1181" s="297">
        <v>0.17847222222222223</v>
      </c>
      <c r="M1181" s="297">
        <v>0.17847222222222223</v>
      </c>
      <c r="N1181" s="297">
        <v>0.19236111111111112</v>
      </c>
      <c r="O1181" s="298">
        <f>(Table6[[#This Row],[Work Start TimeStamp]]-Table6[[#This Row],[Fault Start TimeStamp]])*24</f>
        <v>0</v>
      </c>
      <c r="P1181" s="298">
        <f>(Table6[[#This Row],[Fault Clearance time]]-Table6[[#This Row],[Fault Start TimeStamp]])*24</f>
        <v>0.33333333333333348</v>
      </c>
      <c r="Q1181" s="298">
        <f>(Table6[[#This Row],[Fault Clearance time]]-Table6[[#This Row],[Fault Start TimeStamp]])*24</f>
        <v>0.33333333333333348</v>
      </c>
      <c r="R1181" s="79" t="s">
        <v>353</v>
      </c>
      <c r="S1181" s="79" t="s">
        <v>339</v>
      </c>
      <c r="T1181" s="298">
        <f>IFERROR(Table6[[#This Row],[Breakdown Time]]*Table6[[#This Row],[Plant Equivalent Weightage]],"")</f>
        <v>7.5757575757575794E-3</v>
      </c>
      <c r="U1181" s="79" t="s">
        <v>421</v>
      </c>
      <c r="W1181" s="79">
        <v>426</v>
      </c>
    </row>
    <row r="1182" spans="1:23">
      <c r="A1182" s="79">
        <f t="shared" si="18"/>
        <v>1181</v>
      </c>
      <c r="B1182" s="79">
        <f>YEAR(Table6[[#This Row],[Date]])+IF(MONTH(Table6[[#This Row],[Date]])&gt;=4,1,0)</f>
        <v>2026</v>
      </c>
      <c r="C1182" s="79">
        <f>YEAR(Table6[[#This Row],[Date]])</f>
        <v>2025</v>
      </c>
      <c r="D1182" s="79" t="s">
        <v>344</v>
      </c>
      <c r="E1182" s="284">
        <f>Table6[[#This Row],[Date]]-DAY(Table6[[#This Row],[Date]])+1</f>
        <v>45839</v>
      </c>
      <c r="F1182" s="285">
        <v>45864</v>
      </c>
      <c r="G1182" s="79" t="s">
        <v>89</v>
      </c>
      <c r="H1182" s="79" t="str">
        <f>IFERROR(_xlfn.XLOOKUP(Table6[[#This Row],[Affected Feeder ]],'Basic Data'!$A:$A,'Basic Data'!$B:$B),"")</f>
        <v>PWEPL</v>
      </c>
      <c r="I1182" s="79" t="str">
        <f>IFERROR(_xlfn.XLOOKUP(Table6[[#This Row],[Affected Feeder ]],'Basic Data'!$A:$A,'Basic Data'!$C:$C),"")</f>
        <v>MSEDCL</v>
      </c>
      <c r="J1182" s="295">
        <f>IFERROR(_xlfn.XLOOKUP(Table6[[#This Row],[Affected Feeder ]],'Basic Data'!$A:$A,'Basic Data'!$E:$E),"")</f>
        <v>2.2727272727272728E-2</v>
      </c>
      <c r="K1182" s="296" t="s">
        <v>796</v>
      </c>
      <c r="L1182" s="297">
        <v>0.17361111111111113</v>
      </c>
      <c r="M1182" s="297">
        <v>0.17361111111111113</v>
      </c>
      <c r="N1182" s="297">
        <v>0.29166666666666669</v>
      </c>
      <c r="O1182" s="298">
        <f>(Table6[[#This Row],[Work Start TimeStamp]]-Table6[[#This Row],[Fault Start TimeStamp]])*24</f>
        <v>0</v>
      </c>
      <c r="P1182" s="298">
        <f>(Table6[[#This Row],[Fault Clearance time]]-Table6[[#This Row],[Fault Start TimeStamp]])*24</f>
        <v>2.833333333333333</v>
      </c>
      <c r="Q1182" s="298">
        <f>(Table6[[#This Row],[Fault Clearance time]]-Table6[[#This Row],[Fault Start TimeStamp]])*24</f>
        <v>2.833333333333333</v>
      </c>
      <c r="R1182" s="79" t="s">
        <v>424</v>
      </c>
      <c r="S1182" s="79" t="s">
        <v>339</v>
      </c>
      <c r="T1182" s="298">
        <f>IFERROR(Table6[[#This Row],[Breakdown Time]]*Table6[[#This Row],[Plant Equivalent Weightage]],"")</f>
        <v>6.4393939393939392E-2</v>
      </c>
      <c r="U1182" s="79" t="s">
        <v>421</v>
      </c>
      <c r="W1182" s="79">
        <v>2942</v>
      </c>
    </row>
    <row r="1183" spans="1:23">
      <c r="A1183" s="79">
        <f t="shared" si="18"/>
        <v>1182</v>
      </c>
      <c r="B1183" s="79">
        <f>YEAR(Table6[[#This Row],[Date]])+IF(MONTH(Table6[[#This Row],[Date]])&gt;=4,1,0)</f>
        <v>2026</v>
      </c>
      <c r="C1183" s="79">
        <f>YEAR(Table6[[#This Row],[Date]])</f>
        <v>2025</v>
      </c>
      <c r="D1183" s="79" t="s">
        <v>344</v>
      </c>
      <c r="E1183" s="284">
        <f>Table6[[#This Row],[Date]]-DAY(Table6[[#This Row],[Date]])+1</f>
        <v>45839</v>
      </c>
      <c r="F1183" s="285">
        <v>45864</v>
      </c>
      <c r="G1183" s="79" t="s">
        <v>89</v>
      </c>
      <c r="H1183" s="79" t="str">
        <f>IFERROR(_xlfn.XLOOKUP(Table6[[#This Row],[Affected Feeder ]],'Basic Data'!$A:$A,'Basic Data'!$B:$B),"")</f>
        <v>PWEPL</v>
      </c>
      <c r="I1183" s="79" t="str">
        <f>IFERROR(_xlfn.XLOOKUP(Table6[[#This Row],[Affected Feeder ]],'Basic Data'!$A:$A,'Basic Data'!$C:$C),"")</f>
        <v>MSEDCL</v>
      </c>
      <c r="J1183" s="295">
        <f>IFERROR(_xlfn.XLOOKUP(Table6[[#This Row],[Affected Feeder ]],'Basic Data'!$A:$A,'Basic Data'!$E:$E),"")</f>
        <v>2.2727272727272728E-2</v>
      </c>
      <c r="K1183" s="296" t="s">
        <v>171</v>
      </c>
      <c r="L1183" s="297">
        <v>0.29166666666666669</v>
      </c>
      <c r="M1183" s="297">
        <v>0.29166666666666669</v>
      </c>
      <c r="N1183" s="297">
        <v>0.29722222222222222</v>
      </c>
      <c r="O1183" s="298">
        <f>(Table6[[#This Row],[Work Start TimeStamp]]-Table6[[#This Row],[Fault Start TimeStamp]])*24</f>
        <v>0</v>
      </c>
      <c r="P1183" s="298">
        <f>(Table6[[#This Row],[Fault Clearance time]]-Table6[[#This Row],[Fault Start TimeStamp]])*24</f>
        <v>0.13333333333333286</v>
      </c>
      <c r="Q1183" s="298">
        <f>(Table6[[#This Row],[Fault Clearance time]]-Table6[[#This Row],[Fault Start TimeStamp]])*24</f>
        <v>0.13333333333333286</v>
      </c>
      <c r="R1183" s="79" t="s">
        <v>353</v>
      </c>
      <c r="S1183" s="79" t="s">
        <v>339</v>
      </c>
      <c r="T1183" s="298">
        <f>IFERROR(Table6[[#This Row],[Breakdown Time]]*Table6[[#This Row],[Plant Equivalent Weightage]],"")</f>
        <v>3.0303030303030195E-3</v>
      </c>
      <c r="U1183" s="79" t="s">
        <v>421</v>
      </c>
      <c r="W1183" s="79">
        <v>145</v>
      </c>
    </row>
    <row r="1184" spans="1:23">
      <c r="A1184" s="79">
        <f t="shared" si="18"/>
        <v>1183</v>
      </c>
      <c r="B1184" s="79">
        <f>YEAR(Table6[[#This Row],[Date]])+IF(MONTH(Table6[[#This Row],[Date]])&gt;=4,1,0)</f>
        <v>2026</v>
      </c>
      <c r="C1184" s="79">
        <f>YEAR(Table6[[#This Row],[Date]])</f>
        <v>2025</v>
      </c>
      <c r="D1184" s="79" t="s">
        <v>344</v>
      </c>
      <c r="E1184" s="284">
        <f>Table6[[#This Row],[Date]]-DAY(Table6[[#This Row],[Date]])+1</f>
        <v>45839</v>
      </c>
      <c r="F1184" s="285">
        <v>45864</v>
      </c>
      <c r="G1184" s="79" t="s">
        <v>110</v>
      </c>
      <c r="H1184" s="79" t="str">
        <f>IFERROR(_xlfn.XLOOKUP(Table6[[#This Row],[Affected Feeder ]],'Basic Data'!$A:$A,'Basic Data'!$B:$B),"")</f>
        <v>PWEPL</v>
      </c>
      <c r="I1184" s="79" t="str">
        <f>IFERROR(_xlfn.XLOOKUP(Table6[[#This Row],[Affected Feeder ]],'Basic Data'!$A:$A,'Basic Data'!$C:$C),"")</f>
        <v>MSEDCL</v>
      </c>
      <c r="J1184" s="295">
        <f>IFERROR(_xlfn.XLOOKUP(Table6[[#This Row],[Affected Feeder ]],'Basic Data'!$A:$A,'Basic Data'!$E:$E),"")</f>
        <v>2.2727272727272728E-2</v>
      </c>
      <c r="K1184" s="296" t="s">
        <v>796</v>
      </c>
      <c r="L1184" s="297">
        <v>0.16527777777777777</v>
      </c>
      <c r="M1184" s="297">
        <v>0.16527777777777777</v>
      </c>
      <c r="N1184" s="297">
        <v>0.27499999999999997</v>
      </c>
      <c r="O1184" s="298">
        <f>(Table6[[#This Row],[Work Start TimeStamp]]-Table6[[#This Row],[Fault Start TimeStamp]])*24</f>
        <v>0</v>
      </c>
      <c r="P1184" s="298">
        <f>(Table6[[#This Row],[Fault Clearance time]]-Table6[[#This Row],[Fault Start TimeStamp]])*24</f>
        <v>2.6333333333333329</v>
      </c>
      <c r="Q1184" s="298">
        <f>(Table6[[#This Row],[Fault Clearance time]]-Table6[[#This Row],[Fault Start TimeStamp]])*24</f>
        <v>2.6333333333333329</v>
      </c>
      <c r="R1184" s="79" t="s">
        <v>424</v>
      </c>
      <c r="S1184" s="79" t="s">
        <v>339</v>
      </c>
      <c r="T1184" s="298">
        <f>IFERROR(Table6[[#This Row],[Breakdown Time]]*Table6[[#This Row],[Plant Equivalent Weightage]],"")</f>
        <v>5.9848484848484838E-2</v>
      </c>
      <c r="U1184" s="79" t="s">
        <v>421</v>
      </c>
      <c r="W1184" s="79">
        <v>4428</v>
      </c>
    </row>
    <row r="1185" spans="1:23">
      <c r="A1185" s="79">
        <f t="shared" si="18"/>
        <v>1184</v>
      </c>
      <c r="B1185" s="79">
        <f>YEAR(Table6[[#This Row],[Date]])+IF(MONTH(Table6[[#This Row],[Date]])&gt;=4,1,0)</f>
        <v>2026</v>
      </c>
      <c r="C1185" s="79">
        <f>YEAR(Table6[[#This Row],[Date]])</f>
        <v>2025</v>
      </c>
      <c r="D1185" s="79" t="s">
        <v>344</v>
      </c>
      <c r="E1185" s="284">
        <f>Table6[[#This Row],[Date]]-DAY(Table6[[#This Row],[Date]])+1</f>
        <v>45839</v>
      </c>
      <c r="F1185" s="285">
        <v>45864</v>
      </c>
      <c r="G1185" s="79" t="s">
        <v>110</v>
      </c>
      <c r="H1185" s="79" t="str">
        <f>IFERROR(_xlfn.XLOOKUP(Table6[[#This Row],[Affected Feeder ]],'Basic Data'!$A:$A,'Basic Data'!$B:$B),"")</f>
        <v>PWEPL</v>
      </c>
      <c r="I1185" s="79" t="str">
        <f>IFERROR(_xlfn.XLOOKUP(Table6[[#This Row],[Affected Feeder ]],'Basic Data'!$A:$A,'Basic Data'!$C:$C),"")</f>
        <v>MSEDCL</v>
      </c>
      <c r="J1185" s="295">
        <f>IFERROR(_xlfn.XLOOKUP(Table6[[#This Row],[Affected Feeder ]],'Basic Data'!$A:$A,'Basic Data'!$E:$E),"")</f>
        <v>2.2727272727272728E-2</v>
      </c>
      <c r="K1185" s="296" t="s">
        <v>171</v>
      </c>
      <c r="L1185" s="297">
        <v>0.27499999999999997</v>
      </c>
      <c r="M1185" s="297">
        <v>0.27499999999999997</v>
      </c>
      <c r="N1185" s="297">
        <v>0.28888888888888892</v>
      </c>
      <c r="O1185" s="298">
        <f>(Table6[[#This Row],[Work Start TimeStamp]]-Table6[[#This Row],[Fault Start TimeStamp]])*24</f>
        <v>0</v>
      </c>
      <c r="P1185" s="298">
        <f>(Table6[[#This Row],[Fault Clearance time]]-Table6[[#This Row],[Fault Start TimeStamp]])*24</f>
        <v>0.33333333333333481</v>
      </c>
      <c r="Q1185" s="298">
        <f>(Table6[[#This Row],[Fault Clearance time]]-Table6[[#This Row],[Fault Start TimeStamp]])*24</f>
        <v>0.33333333333333481</v>
      </c>
      <c r="R1185" s="79" t="s">
        <v>353</v>
      </c>
      <c r="S1185" s="79" t="s">
        <v>339</v>
      </c>
      <c r="T1185" s="298">
        <f>IFERROR(Table6[[#This Row],[Breakdown Time]]*Table6[[#This Row],[Plant Equivalent Weightage]],"")</f>
        <v>7.5757575757576098E-3</v>
      </c>
      <c r="U1185" s="79" t="s">
        <v>421</v>
      </c>
      <c r="W1185" s="79">
        <v>641</v>
      </c>
    </row>
    <row r="1186" spans="1:23">
      <c r="A1186" s="79">
        <f t="shared" si="18"/>
        <v>1185</v>
      </c>
      <c r="B1186" s="79">
        <f>YEAR(Table6[[#This Row],[Date]])+IF(MONTH(Table6[[#This Row],[Date]])&gt;=4,1,0)</f>
        <v>2026</v>
      </c>
      <c r="C1186" s="79">
        <f>YEAR(Table6[[#This Row],[Date]])</f>
        <v>2025</v>
      </c>
      <c r="D1186" s="79" t="s">
        <v>344</v>
      </c>
      <c r="E1186" s="284">
        <f>Table6[[#This Row],[Date]]-DAY(Table6[[#This Row],[Date]])+1</f>
        <v>45839</v>
      </c>
      <c r="F1186" s="285">
        <v>45864</v>
      </c>
      <c r="G1186" s="79" t="s">
        <v>100</v>
      </c>
      <c r="H1186" s="79" t="str">
        <f>IFERROR(_xlfn.XLOOKUP(Table6[[#This Row],[Affected Feeder ]],'Basic Data'!$A:$A,'Basic Data'!$B:$B),"")</f>
        <v>PWEPL</v>
      </c>
      <c r="I1186" s="79" t="str">
        <f>IFERROR(_xlfn.XLOOKUP(Table6[[#This Row],[Affected Feeder ]],'Basic Data'!$A:$A,'Basic Data'!$C:$C),"")</f>
        <v>MSEDCL</v>
      </c>
      <c r="J1186" s="295">
        <f>IFERROR(_xlfn.XLOOKUP(Table6[[#This Row],[Affected Feeder ]],'Basic Data'!$A:$A,'Basic Data'!$E:$E),"")</f>
        <v>2.2727272727272728E-2</v>
      </c>
      <c r="K1186" s="296" t="s">
        <v>796</v>
      </c>
      <c r="L1186" s="297">
        <v>0.16527777777777777</v>
      </c>
      <c r="M1186" s="297">
        <v>0.16527777777777777</v>
      </c>
      <c r="N1186" s="297">
        <v>0.29583333333333334</v>
      </c>
      <c r="O1186" s="298">
        <f>(Table6[[#This Row],[Work Start TimeStamp]]-Table6[[#This Row],[Fault Start TimeStamp]])*24</f>
        <v>0</v>
      </c>
      <c r="P1186" s="298">
        <f>(Table6[[#This Row],[Fault Clearance time]]-Table6[[#This Row],[Fault Start TimeStamp]])*24</f>
        <v>3.1333333333333337</v>
      </c>
      <c r="Q1186" s="298">
        <f>(Table6[[#This Row],[Fault Clearance time]]-Table6[[#This Row],[Fault Start TimeStamp]])*24</f>
        <v>3.1333333333333337</v>
      </c>
      <c r="R1186" s="79" t="s">
        <v>424</v>
      </c>
      <c r="S1186" s="79" t="s">
        <v>339</v>
      </c>
      <c r="T1186" s="298">
        <f>IFERROR(Table6[[#This Row],[Breakdown Time]]*Table6[[#This Row],[Plant Equivalent Weightage]],"")</f>
        <v>7.1212121212121227E-2</v>
      </c>
      <c r="U1186" s="79" t="s">
        <v>421</v>
      </c>
      <c r="W1186" s="79">
        <v>5252</v>
      </c>
    </row>
    <row r="1187" spans="1:23">
      <c r="A1187" s="79">
        <f t="shared" si="18"/>
        <v>1186</v>
      </c>
      <c r="B1187" s="79">
        <f>YEAR(Table6[[#This Row],[Date]])+IF(MONTH(Table6[[#This Row],[Date]])&gt;=4,1,0)</f>
        <v>2026</v>
      </c>
      <c r="C1187" s="79">
        <f>YEAR(Table6[[#This Row],[Date]])</f>
        <v>2025</v>
      </c>
      <c r="D1187" s="79" t="s">
        <v>344</v>
      </c>
      <c r="E1187" s="284">
        <f>Table6[[#This Row],[Date]]-DAY(Table6[[#This Row],[Date]])+1</f>
        <v>45839</v>
      </c>
      <c r="F1187" s="285">
        <v>45864</v>
      </c>
      <c r="G1187" s="79" t="s">
        <v>100</v>
      </c>
      <c r="H1187" s="79" t="str">
        <f>IFERROR(_xlfn.XLOOKUP(Table6[[#This Row],[Affected Feeder ]],'Basic Data'!$A:$A,'Basic Data'!$B:$B),"")</f>
        <v>PWEPL</v>
      </c>
      <c r="I1187" s="79" t="str">
        <f>IFERROR(_xlfn.XLOOKUP(Table6[[#This Row],[Affected Feeder ]],'Basic Data'!$A:$A,'Basic Data'!$C:$C),"")</f>
        <v>MSEDCL</v>
      </c>
      <c r="J1187" s="295">
        <f>IFERROR(_xlfn.XLOOKUP(Table6[[#This Row],[Affected Feeder ]],'Basic Data'!$A:$A,'Basic Data'!$E:$E),"")</f>
        <v>2.2727272727272728E-2</v>
      </c>
      <c r="K1187" s="296" t="s">
        <v>171</v>
      </c>
      <c r="L1187" s="297">
        <v>0.29583333333333334</v>
      </c>
      <c r="M1187" s="297">
        <v>0.29583333333333334</v>
      </c>
      <c r="N1187" s="297">
        <v>0.30972222222222223</v>
      </c>
      <c r="O1187" s="298">
        <f>(Table6[[#This Row],[Work Start TimeStamp]]-Table6[[#This Row],[Fault Start TimeStamp]])*24</f>
        <v>0</v>
      </c>
      <c r="P1187" s="298">
        <f>(Table6[[#This Row],[Fault Clearance time]]-Table6[[#This Row],[Fault Start TimeStamp]])*24</f>
        <v>0.33333333333333348</v>
      </c>
      <c r="Q1187" s="298">
        <f>(Table6[[#This Row],[Fault Clearance time]]-Table6[[#This Row],[Fault Start TimeStamp]])*24</f>
        <v>0.33333333333333348</v>
      </c>
      <c r="R1187" s="79" t="s">
        <v>353</v>
      </c>
      <c r="S1187" s="79" t="s">
        <v>339</v>
      </c>
      <c r="T1187" s="298">
        <f>IFERROR(Table6[[#This Row],[Breakdown Time]]*Table6[[#This Row],[Plant Equivalent Weightage]],"")</f>
        <v>7.5757575757575794E-3</v>
      </c>
      <c r="U1187" s="79" t="s">
        <v>421</v>
      </c>
      <c r="W1187" s="79">
        <v>625</v>
      </c>
    </row>
    <row r="1188" spans="1:23">
      <c r="A1188" s="79">
        <f t="shared" si="18"/>
        <v>1187</v>
      </c>
      <c r="B1188" s="79">
        <f>YEAR(Table6[[#This Row],[Date]])+IF(MONTH(Table6[[#This Row],[Date]])&gt;=4,1,0)</f>
        <v>2026</v>
      </c>
      <c r="C1188" s="79">
        <f>YEAR(Table6[[#This Row],[Date]])</f>
        <v>2025</v>
      </c>
      <c r="D1188" s="79" t="s">
        <v>344</v>
      </c>
      <c r="E1188" s="284">
        <f>Table6[[#This Row],[Date]]-DAY(Table6[[#This Row],[Date]])+1</f>
        <v>45839</v>
      </c>
      <c r="F1188" s="285">
        <v>45864</v>
      </c>
      <c r="G1188" s="79" t="s">
        <v>89</v>
      </c>
      <c r="H1188" s="79" t="str">
        <f>IFERROR(_xlfn.XLOOKUP(Table6[[#This Row],[Affected Feeder ]],'Basic Data'!$A:$A,'Basic Data'!$B:$B),"")</f>
        <v>PWEPL</v>
      </c>
      <c r="I1188" s="79" t="str">
        <f>IFERROR(_xlfn.XLOOKUP(Table6[[#This Row],[Affected Feeder ]],'Basic Data'!$A:$A,'Basic Data'!$C:$C),"")</f>
        <v>MSEDCL</v>
      </c>
      <c r="J1188" s="295">
        <f>IFERROR(_xlfn.XLOOKUP(Table6[[#This Row],[Affected Feeder ]],'Basic Data'!$A:$A,'Basic Data'!$E:$E),"")</f>
        <v>2.2727272727272728E-2</v>
      </c>
      <c r="K1188" s="296" t="s">
        <v>796</v>
      </c>
      <c r="L1188" s="297">
        <v>0.4465277777777778</v>
      </c>
      <c r="M1188" s="297">
        <v>0.4465277777777778</v>
      </c>
      <c r="N1188" s="297">
        <v>0.48819444444444443</v>
      </c>
      <c r="O1188" s="298">
        <f>(Table6[[#This Row],[Work Start TimeStamp]]-Table6[[#This Row],[Fault Start TimeStamp]])*24</f>
        <v>0</v>
      </c>
      <c r="P1188" s="298">
        <f>(Table6[[#This Row],[Fault Clearance time]]-Table6[[#This Row],[Fault Start TimeStamp]])*24</f>
        <v>0.99999999999999911</v>
      </c>
      <c r="Q1188" s="298">
        <f>(Table6[[#This Row],[Fault Clearance time]]-Table6[[#This Row],[Fault Start TimeStamp]])*24</f>
        <v>0.99999999999999911</v>
      </c>
      <c r="R1188" s="79" t="s">
        <v>424</v>
      </c>
      <c r="S1188" s="79" t="s">
        <v>339</v>
      </c>
      <c r="T1188" s="298">
        <f>IFERROR(Table6[[#This Row],[Breakdown Time]]*Table6[[#This Row],[Plant Equivalent Weightage]],"")</f>
        <v>2.2727272727272707E-2</v>
      </c>
      <c r="U1188" s="79" t="s">
        <v>421</v>
      </c>
      <c r="W1188" s="79">
        <v>1779</v>
      </c>
    </row>
    <row r="1189" spans="1:23">
      <c r="A1189" s="79">
        <f t="shared" si="18"/>
        <v>1188</v>
      </c>
      <c r="B1189" s="79">
        <f>YEAR(Table6[[#This Row],[Date]])+IF(MONTH(Table6[[#This Row],[Date]])&gt;=4,1,0)</f>
        <v>2026</v>
      </c>
      <c r="C1189" s="79">
        <f>YEAR(Table6[[#This Row],[Date]])</f>
        <v>2025</v>
      </c>
      <c r="D1189" s="79" t="s">
        <v>344</v>
      </c>
      <c r="E1189" s="284">
        <f>Table6[[#This Row],[Date]]-DAY(Table6[[#This Row],[Date]])+1</f>
        <v>45839</v>
      </c>
      <c r="F1189" s="285">
        <v>45864</v>
      </c>
      <c r="G1189" s="79" t="s">
        <v>89</v>
      </c>
      <c r="H1189" s="79" t="str">
        <f>IFERROR(_xlfn.XLOOKUP(Table6[[#This Row],[Affected Feeder ]],'Basic Data'!$A:$A,'Basic Data'!$B:$B),"")</f>
        <v>PWEPL</v>
      </c>
      <c r="I1189" s="79" t="str">
        <f>IFERROR(_xlfn.XLOOKUP(Table6[[#This Row],[Affected Feeder ]],'Basic Data'!$A:$A,'Basic Data'!$C:$C),"")</f>
        <v>MSEDCL</v>
      </c>
      <c r="J1189" s="295">
        <f>IFERROR(_xlfn.XLOOKUP(Table6[[#This Row],[Affected Feeder ]],'Basic Data'!$A:$A,'Basic Data'!$E:$E),"")</f>
        <v>2.2727272727272728E-2</v>
      </c>
      <c r="K1189" s="296" t="s">
        <v>171</v>
      </c>
      <c r="L1189" s="297">
        <v>0.48819444444444443</v>
      </c>
      <c r="M1189" s="297">
        <v>0.48819444444444443</v>
      </c>
      <c r="N1189" s="297">
        <v>0.49513888888888885</v>
      </c>
      <c r="O1189" s="298">
        <f>(Table6[[#This Row],[Work Start TimeStamp]]-Table6[[#This Row],[Fault Start TimeStamp]])*24</f>
        <v>0</v>
      </c>
      <c r="P1189" s="298">
        <f>(Table6[[#This Row],[Fault Clearance time]]-Table6[[#This Row],[Fault Start TimeStamp]])*24</f>
        <v>0.16666666666666607</v>
      </c>
      <c r="Q1189" s="298">
        <f>(Table6[[#This Row],[Fault Clearance time]]-Table6[[#This Row],[Fault Start TimeStamp]])*24</f>
        <v>0.16666666666666607</v>
      </c>
      <c r="R1189" s="79" t="s">
        <v>353</v>
      </c>
      <c r="S1189" s="79" t="s">
        <v>339</v>
      </c>
      <c r="T1189" s="298">
        <f>IFERROR(Table6[[#This Row],[Breakdown Time]]*Table6[[#This Row],[Plant Equivalent Weightage]],"")</f>
        <v>3.7878787878787745E-3</v>
      </c>
      <c r="U1189" s="79" t="s">
        <v>421</v>
      </c>
      <c r="W1189" s="79">
        <v>355</v>
      </c>
    </row>
    <row r="1190" spans="1:23">
      <c r="A1190" s="79">
        <f t="shared" si="18"/>
        <v>1189</v>
      </c>
      <c r="B1190" s="79">
        <f>YEAR(Table6[[#This Row],[Date]])+IF(MONTH(Table6[[#This Row],[Date]])&gt;=4,1,0)</f>
        <v>2026</v>
      </c>
      <c r="C1190" s="79">
        <f>YEAR(Table6[[#This Row],[Date]])</f>
        <v>2025</v>
      </c>
      <c r="D1190" s="79" t="s">
        <v>344</v>
      </c>
      <c r="E1190" s="284">
        <f>Table6[[#This Row],[Date]]-DAY(Table6[[#This Row],[Date]])+1</f>
        <v>45839</v>
      </c>
      <c r="F1190" s="285">
        <v>45864</v>
      </c>
      <c r="G1190" s="79" t="s">
        <v>106</v>
      </c>
      <c r="H1190" s="79" t="str">
        <f>IFERROR(_xlfn.XLOOKUP(Table6[[#This Row],[Affected Feeder ]],'Basic Data'!$A:$A,'Basic Data'!$B:$B),"")</f>
        <v>PWEPL</v>
      </c>
      <c r="I1190" s="79" t="str">
        <f>IFERROR(_xlfn.XLOOKUP(Table6[[#This Row],[Affected Feeder ]],'Basic Data'!$A:$A,'Basic Data'!$C:$C),"")</f>
        <v>MSEDCL</v>
      </c>
      <c r="J1190" s="295">
        <f>IFERROR(_xlfn.XLOOKUP(Table6[[#This Row],[Affected Feeder ]],'Basic Data'!$A:$A,'Basic Data'!$E:$E),"")</f>
        <v>2.2727272727272728E-2</v>
      </c>
      <c r="K1190" s="296" t="s">
        <v>796</v>
      </c>
      <c r="L1190" s="297">
        <v>0.4465277777777778</v>
      </c>
      <c r="M1190" s="297">
        <v>0.4465277777777778</v>
      </c>
      <c r="N1190" s="297">
        <v>0.48819444444444443</v>
      </c>
      <c r="O1190" s="298">
        <f>(Table6[[#This Row],[Work Start TimeStamp]]-Table6[[#This Row],[Fault Start TimeStamp]])*24</f>
        <v>0</v>
      </c>
      <c r="P1190" s="298">
        <f>(Table6[[#This Row],[Fault Clearance time]]-Table6[[#This Row],[Fault Start TimeStamp]])*24</f>
        <v>0.99999999999999911</v>
      </c>
      <c r="Q1190" s="298">
        <f>(Table6[[#This Row],[Fault Clearance time]]-Table6[[#This Row],[Fault Start TimeStamp]])*24</f>
        <v>0.99999999999999911</v>
      </c>
      <c r="R1190" s="79" t="s">
        <v>424</v>
      </c>
      <c r="S1190" s="79" t="s">
        <v>339</v>
      </c>
      <c r="T1190" s="298">
        <f>IFERROR(Table6[[#This Row],[Breakdown Time]]*Table6[[#This Row],[Plant Equivalent Weightage]],"")</f>
        <v>2.2727272727272707E-2</v>
      </c>
      <c r="U1190" s="79" t="s">
        <v>421</v>
      </c>
      <c r="W1190" s="79">
        <v>1704</v>
      </c>
    </row>
    <row r="1191" spans="1:23">
      <c r="A1191" s="79">
        <f t="shared" si="18"/>
        <v>1190</v>
      </c>
      <c r="B1191" s="79">
        <f>YEAR(Table6[[#This Row],[Date]])+IF(MONTH(Table6[[#This Row],[Date]])&gt;=4,1,0)</f>
        <v>2026</v>
      </c>
      <c r="C1191" s="79">
        <f>YEAR(Table6[[#This Row],[Date]])</f>
        <v>2025</v>
      </c>
      <c r="D1191" s="79" t="s">
        <v>344</v>
      </c>
      <c r="E1191" s="284">
        <f>Table6[[#This Row],[Date]]-DAY(Table6[[#This Row],[Date]])+1</f>
        <v>45839</v>
      </c>
      <c r="F1191" s="285">
        <v>45864</v>
      </c>
      <c r="G1191" s="79" t="s">
        <v>106</v>
      </c>
      <c r="H1191" s="79" t="str">
        <f>IFERROR(_xlfn.XLOOKUP(Table6[[#This Row],[Affected Feeder ]],'Basic Data'!$A:$A,'Basic Data'!$B:$B),"")</f>
        <v>PWEPL</v>
      </c>
      <c r="I1191" s="79" t="str">
        <f>IFERROR(_xlfn.XLOOKUP(Table6[[#This Row],[Affected Feeder ]],'Basic Data'!$A:$A,'Basic Data'!$C:$C),"")</f>
        <v>MSEDCL</v>
      </c>
      <c r="J1191" s="295">
        <f>IFERROR(_xlfn.XLOOKUP(Table6[[#This Row],[Affected Feeder ]],'Basic Data'!$A:$A,'Basic Data'!$E:$E),"")</f>
        <v>2.2727272727272728E-2</v>
      </c>
      <c r="K1191" s="296" t="s">
        <v>171</v>
      </c>
      <c r="L1191" s="297">
        <v>0.48819444444444443</v>
      </c>
      <c r="M1191" s="297">
        <v>0.48819444444444443</v>
      </c>
      <c r="N1191" s="297">
        <v>0.5</v>
      </c>
      <c r="O1191" s="298">
        <f>(Table6[[#This Row],[Work Start TimeStamp]]-Table6[[#This Row],[Fault Start TimeStamp]])*24</f>
        <v>0</v>
      </c>
      <c r="P1191" s="298">
        <f>(Table6[[#This Row],[Fault Clearance time]]-Table6[[#This Row],[Fault Start TimeStamp]])*24</f>
        <v>0.28333333333333366</v>
      </c>
      <c r="Q1191" s="298">
        <f>(Table6[[#This Row],[Fault Clearance time]]-Table6[[#This Row],[Fault Start TimeStamp]])*24</f>
        <v>0.28333333333333366</v>
      </c>
      <c r="R1191" s="79" t="s">
        <v>353</v>
      </c>
      <c r="S1191" s="79" t="s">
        <v>339</v>
      </c>
      <c r="T1191" s="298">
        <f>IFERROR(Table6[[#This Row],[Breakdown Time]]*Table6[[#This Row],[Plant Equivalent Weightage]],"")</f>
        <v>6.439393939393947E-3</v>
      </c>
      <c r="U1191" s="79" t="s">
        <v>421</v>
      </c>
      <c r="W1191" s="79">
        <v>673</v>
      </c>
    </row>
    <row r="1192" spans="1:23">
      <c r="A1192" s="79">
        <f t="shared" si="18"/>
        <v>1191</v>
      </c>
      <c r="B1192" s="79">
        <f>YEAR(Table6[[#This Row],[Date]])+IF(MONTH(Table6[[#This Row],[Date]])&gt;=4,1,0)</f>
        <v>2026</v>
      </c>
      <c r="C1192" s="79">
        <f>YEAR(Table6[[#This Row],[Date]])</f>
        <v>2025</v>
      </c>
      <c r="D1192" s="79" t="s">
        <v>344</v>
      </c>
      <c r="E1192" s="284">
        <f>Table6[[#This Row],[Date]]-DAY(Table6[[#This Row],[Date]])+1</f>
        <v>45839</v>
      </c>
      <c r="F1192" s="285">
        <v>45864</v>
      </c>
      <c r="G1192" s="79" t="s">
        <v>101</v>
      </c>
      <c r="H1192" s="79" t="str">
        <f>IFERROR(_xlfn.XLOOKUP(Table6[[#This Row],[Affected Feeder ]],'Basic Data'!$A:$A,'Basic Data'!$B:$B),"")</f>
        <v>PWEPL</v>
      </c>
      <c r="I1192" s="79" t="str">
        <f>IFERROR(_xlfn.XLOOKUP(Table6[[#This Row],[Affected Feeder ]],'Basic Data'!$A:$A,'Basic Data'!$C:$C),"")</f>
        <v>MSEDCL</v>
      </c>
      <c r="J1192" s="295">
        <f>IFERROR(_xlfn.XLOOKUP(Table6[[#This Row],[Affected Feeder ]],'Basic Data'!$A:$A,'Basic Data'!$E:$E),"")</f>
        <v>2.2727272727272728E-2</v>
      </c>
      <c r="K1192" s="296" t="s">
        <v>796</v>
      </c>
      <c r="L1192" s="297">
        <v>0.4465277777777778</v>
      </c>
      <c r="M1192" s="297">
        <v>0.4465277777777778</v>
      </c>
      <c r="N1192" s="297">
        <v>0.70624999999999993</v>
      </c>
      <c r="O1192" s="298">
        <f>(Table6[[#This Row],[Work Start TimeStamp]]-Table6[[#This Row],[Fault Start TimeStamp]])*24</f>
        <v>0</v>
      </c>
      <c r="P1192" s="298">
        <f>(Table6[[#This Row],[Fault Clearance time]]-Table6[[#This Row],[Fault Start TimeStamp]])*24</f>
        <v>6.2333333333333307</v>
      </c>
      <c r="Q1192" s="298">
        <f>(Table6[[#This Row],[Fault Clearance time]]-Table6[[#This Row],[Fault Start TimeStamp]])*24</f>
        <v>6.2333333333333307</v>
      </c>
      <c r="R1192" s="79" t="s">
        <v>424</v>
      </c>
      <c r="S1192" s="79" t="s">
        <v>339</v>
      </c>
      <c r="T1192" s="298">
        <f>IFERROR(Table6[[#This Row],[Breakdown Time]]*Table6[[#This Row],[Plant Equivalent Weightage]],"")</f>
        <v>0.14166666666666661</v>
      </c>
      <c r="U1192" s="79" t="s">
        <v>421</v>
      </c>
      <c r="W1192" s="79">
        <v>9274</v>
      </c>
    </row>
    <row r="1193" spans="1:23">
      <c r="A1193" s="79">
        <f t="shared" si="18"/>
        <v>1192</v>
      </c>
      <c r="B1193" s="79">
        <f>YEAR(Table6[[#This Row],[Date]])+IF(MONTH(Table6[[#This Row],[Date]])&gt;=4,1,0)</f>
        <v>2026</v>
      </c>
      <c r="C1193" s="79">
        <f>YEAR(Table6[[#This Row],[Date]])</f>
        <v>2025</v>
      </c>
      <c r="D1193" s="79" t="s">
        <v>344</v>
      </c>
      <c r="E1193" s="284">
        <f>Table6[[#This Row],[Date]]-DAY(Table6[[#This Row],[Date]])+1</f>
        <v>45839</v>
      </c>
      <c r="F1193" s="285">
        <v>45864</v>
      </c>
      <c r="G1193" s="79" t="s">
        <v>101</v>
      </c>
      <c r="H1193" s="79" t="str">
        <f>IFERROR(_xlfn.XLOOKUP(Table6[[#This Row],[Affected Feeder ]],'Basic Data'!$A:$A,'Basic Data'!$B:$B),"")</f>
        <v>PWEPL</v>
      </c>
      <c r="I1193" s="79" t="str">
        <f>IFERROR(_xlfn.XLOOKUP(Table6[[#This Row],[Affected Feeder ]],'Basic Data'!$A:$A,'Basic Data'!$C:$C),"")</f>
        <v>MSEDCL</v>
      </c>
      <c r="J1193" s="295">
        <f>IFERROR(_xlfn.XLOOKUP(Table6[[#This Row],[Affected Feeder ]],'Basic Data'!$A:$A,'Basic Data'!$E:$E),"")</f>
        <v>2.2727272727272728E-2</v>
      </c>
      <c r="K1193" s="296" t="s">
        <v>171</v>
      </c>
      <c r="L1193" s="297">
        <v>0.70624999999999993</v>
      </c>
      <c r="M1193" s="297">
        <v>0.70624999999999993</v>
      </c>
      <c r="N1193" s="297">
        <v>0.72013888888888899</v>
      </c>
      <c r="O1193" s="298">
        <f>(Table6[[#This Row],[Work Start TimeStamp]]-Table6[[#This Row],[Fault Start TimeStamp]])*24</f>
        <v>0</v>
      </c>
      <c r="P1193" s="298">
        <f>(Table6[[#This Row],[Fault Clearance time]]-Table6[[#This Row],[Fault Start TimeStamp]])*24</f>
        <v>0.33333333333333748</v>
      </c>
      <c r="Q1193" s="298">
        <f>(Table6[[#This Row],[Fault Clearance time]]-Table6[[#This Row],[Fault Start TimeStamp]])*24</f>
        <v>0.33333333333333748</v>
      </c>
      <c r="R1193" s="79" t="s">
        <v>353</v>
      </c>
      <c r="S1193" s="79" t="s">
        <v>339</v>
      </c>
      <c r="T1193" s="298">
        <f>IFERROR(Table6[[#This Row],[Breakdown Time]]*Table6[[#This Row],[Plant Equivalent Weightage]],"")</f>
        <v>7.5757575757576705E-3</v>
      </c>
      <c r="U1193" s="79" t="s">
        <v>421</v>
      </c>
      <c r="W1193" s="79">
        <v>524</v>
      </c>
    </row>
    <row r="1194" spans="1:23">
      <c r="A1194" s="79">
        <f t="shared" si="18"/>
        <v>1193</v>
      </c>
      <c r="B1194" s="79">
        <f>YEAR(Table6[[#This Row],[Date]])+IF(MONTH(Table6[[#This Row],[Date]])&gt;=4,1,0)</f>
        <v>2026</v>
      </c>
      <c r="C1194" s="79">
        <f>YEAR(Table6[[#This Row],[Date]])</f>
        <v>2025</v>
      </c>
      <c r="D1194" s="79" t="s">
        <v>344</v>
      </c>
      <c r="E1194" s="284">
        <f>Table6[[#This Row],[Date]]-DAY(Table6[[#This Row],[Date]])+1</f>
        <v>45839</v>
      </c>
      <c r="F1194" s="285">
        <v>45864</v>
      </c>
      <c r="G1194" s="79" t="s">
        <v>112</v>
      </c>
      <c r="H1194" s="79" t="str">
        <f>IFERROR(_xlfn.XLOOKUP(Table6[[#This Row],[Affected Feeder ]],'Basic Data'!$A:$A,'Basic Data'!$B:$B),"")</f>
        <v>PWEPL</v>
      </c>
      <c r="I1194" s="79" t="str">
        <f>IFERROR(_xlfn.XLOOKUP(Table6[[#This Row],[Affected Feeder ]],'Basic Data'!$A:$A,'Basic Data'!$C:$C),"")</f>
        <v>MSEDCL</v>
      </c>
      <c r="J1194" s="295">
        <f>IFERROR(_xlfn.XLOOKUP(Table6[[#This Row],[Affected Feeder ]],'Basic Data'!$A:$A,'Basic Data'!$E:$E),"")</f>
        <v>2.2727272727272728E-2</v>
      </c>
      <c r="K1194" s="296" t="s">
        <v>796</v>
      </c>
      <c r="L1194" s="297">
        <v>0.4465277777777778</v>
      </c>
      <c r="M1194" s="297">
        <v>0.4465277777777778</v>
      </c>
      <c r="N1194" s="297">
        <v>0.49652777777777773</v>
      </c>
      <c r="O1194" s="298">
        <f>(Table6[[#This Row],[Work Start TimeStamp]]-Table6[[#This Row],[Fault Start TimeStamp]])*24</f>
        <v>0</v>
      </c>
      <c r="P1194" s="298">
        <f>(Table6[[#This Row],[Fault Clearance time]]-Table6[[#This Row],[Fault Start TimeStamp]])*24</f>
        <v>1.1999999999999984</v>
      </c>
      <c r="Q1194" s="298">
        <f>(Table6[[#This Row],[Fault Clearance time]]-Table6[[#This Row],[Fault Start TimeStamp]])*24</f>
        <v>1.1999999999999984</v>
      </c>
      <c r="R1194" s="79" t="s">
        <v>424</v>
      </c>
      <c r="S1194" s="79" t="s">
        <v>339</v>
      </c>
      <c r="T1194" s="298">
        <f>IFERROR(Table6[[#This Row],[Breakdown Time]]*Table6[[#This Row],[Plant Equivalent Weightage]],"")</f>
        <v>2.7272727272727237E-2</v>
      </c>
      <c r="U1194" s="79" t="s">
        <v>421</v>
      </c>
      <c r="W1194" s="79">
        <v>703</v>
      </c>
    </row>
    <row r="1195" spans="1:23">
      <c r="A1195" s="79">
        <f t="shared" si="18"/>
        <v>1194</v>
      </c>
      <c r="B1195" s="79">
        <f>YEAR(Table6[[#This Row],[Date]])+IF(MONTH(Table6[[#This Row],[Date]])&gt;=4,1,0)</f>
        <v>2026</v>
      </c>
      <c r="C1195" s="79">
        <f>YEAR(Table6[[#This Row],[Date]])</f>
        <v>2025</v>
      </c>
      <c r="D1195" s="79" t="s">
        <v>344</v>
      </c>
      <c r="E1195" s="284">
        <f>Table6[[#This Row],[Date]]-DAY(Table6[[#This Row],[Date]])+1</f>
        <v>45839</v>
      </c>
      <c r="F1195" s="285">
        <v>45864</v>
      </c>
      <c r="G1195" s="79" t="s">
        <v>112</v>
      </c>
      <c r="H1195" s="79" t="str">
        <f>IFERROR(_xlfn.XLOOKUP(Table6[[#This Row],[Affected Feeder ]],'Basic Data'!$A:$A,'Basic Data'!$B:$B),"")</f>
        <v>PWEPL</v>
      </c>
      <c r="I1195" s="79" t="str">
        <f>IFERROR(_xlfn.XLOOKUP(Table6[[#This Row],[Affected Feeder ]],'Basic Data'!$A:$A,'Basic Data'!$C:$C),"")</f>
        <v>MSEDCL</v>
      </c>
      <c r="J1195" s="295">
        <f>IFERROR(_xlfn.XLOOKUP(Table6[[#This Row],[Affected Feeder ]],'Basic Data'!$A:$A,'Basic Data'!$E:$E),"")</f>
        <v>2.2727272727272728E-2</v>
      </c>
      <c r="K1195" s="296" t="s">
        <v>171</v>
      </c>
      <c r="L1195" s="297">
        <v>0.49652777777777773</v>
      </c>
      <c r="M1195" s="297">
        <v>0.49652777777777773</v>
      </c>
      <c r="N1195" s="297">
        <v>0.51041666666666663</v>
      </c>
      <c r="O1195" s="298">
        <f>(Table6[[#This Row],[Work Start TimeStamp]]-Table6[[#This Row],[Fault Start TimeStamp]])*24</f>
        <v>0</v>
      </c>
      <c r="P1195" s="298">
        <f>(Table6[[#This Row],[Fault Clearance time]]-Table6[[#This Row],[Fault Start TimeStamp]])*24</f>
        <v>0.33333333333333348</v>
      </c>
      <c r="Q1195" s="298">
        <f>(Table6[[#This Row],[Fault Clearance time]]-Table6[[#This Row],[Fault Start TimeStamp]])*24</f>
        <v>0.33333333333333348</v>
      </c>
      <c r="R1195" s="79" t="s">
        <v>353</v>
      </c>
      <c r="S1195" s="79" t="s">
        <v>339</v>
      </c>
      <c r="T1195" s="298">
        <f>IFERROR(Table6[[#This Row],[Breakdown Time]]*Table6[[#This Row],[Plant Equivalent Weightage]],"")</f>
        <v>7.5757575757575794E-3</v>
      </c>
      <c r="U1195" s="79" t="s">
        <v>421</v>
      </c>
      <c r="W1195" s="79">
        <v>270</v>
      </c>
    </row>
    <row r="1196" spans="1:23">
      <c r="A1196" s="79">
        <f t="shared" si="18"/>
        <v>1195</v>
      </c>
      <c r="B1196" s="79">
        <f>YEAR(Table6[[#This Row],[Date]])+IF(MONTH(Table6[[#This Row],[Date]])&gt;=4,1,0)</f>
        <v>2026</v>
      </c>
      <c r="C1196" s="79">
        <f>YEAR(Table6[[#This Row],[Date]])</f>
        <v>2025</v>
      </c>
      <c r="D1196" s="79" t="s">
        <v>344</v>
      </c>
      <c r="E1196" s="284">
        <f>Table6[[#This Row],[Date]]-DAY(Table6[[#This Row],[Date]])+1</f>
        <v>45839</v>
      </c>
      <c r="F1196" s="285">
        <v>45866</v>
      </c>
      <c r="G1196" s="79" t="s">
        <v>89</v>
      </c>
      <c r="H1196" s="79" t="str">
        <f>IFERROR(_xlfn.XLOOKUP(Table6[[#This Row],[Affected Feeder ]],'Basic Data'!$A:$A,'Basic Data'!$B:$B),"")</f>
        <v>PWEPL</v>
      </c>
      <c r="I1196" s="79" t="str">
        <f>IFERROR(_xlfn.XLOOKUP(Table6[[#This Row],[Affected Feeder ]],'Basic Data'!$A:$A,'Basic Data'!$C:$C),"")</f>
        <v>MSEDCL</v>
      </c>
      <c r="J1196" s="295">
        <f>IFERROR(_xlfn.XLOOKUP(Table6[[#This Row],[Affected Feeder ]],'Basic Data'!$A:$A,'Basic Data'!$E:$E),"")</f>
        <v>2.2727272727272728E-2</v>
      </c>
      <c r="K1196" s="296" t="s">
        <v>796</v>
      </c>
      <c r="L1196" s="297">
        <v>0.3263888888888889</v>
      </c>
      <c r="M1196" s="297">
        <v>0.3263888888888889</v>
      </c>
      <c r="N1196" s="297">
        <v>0.3888888888888889</v>
      </c>
      <c r="O1196" s="298">
        <f>(Table6[[#This Row],[Work Start TimeStamp]]-Table6[[#This Row],[Fault Start TimeStamp]])*24</f>
        <v>0</v>
      </c>
      <c r="P1196" s="298">
        <f>(Table6[[#This Row],[Fault Clearance time]]-Table6[[#This Row],[Fault Start TimeStamp]])*24</f>
        <v>1.5</v>
      </c>
      <c r="Q1196" s="298">
        <f>(Table6[[#This Row],[Fault Clearance time]]-Table6[[#This Row],[Fault Start TimeStamp]])*24</f>
        <v>1.5</v>
      </c>
      <c r="R1196" s="79" t="s">
        <v>1009</v>
      </c>
      <c r="S1196" s="79" t="s">
        <v>339</v>
      </c>
      <c r="T1196" s="298">
        <f>IFERROR(Table6[[#This Row],[Breakdown Time]]*Table6[[#This Row],[Plant Equivalent Weightage]],"")</f>
        <v>3.4090909090909088E-2</v>
      </c>
      <c r="U1196" s="79" t="s">
        <v>421</v>
      </c>
      <c r="W1196" s="79">
        <v>2546</v>
      </c>
    </row>
    <row r="1197" spans="1:23">
      <c r="A1197" s="79">
        <f t="shared" si="18"/>
        <v>1196</v>
      </c>
      <c r="B1197" s="79">
        <f>YEAR(Table6[[#This Row],[Date]])+IF(MONTH(Table6[[#This Row],[Date]])&gt;=4,1,0)</f>
        <v>2026</v>
      </c>
      <c r="C1197" s="79">
        <f>YEAR(Table6[[#This Row],[Date]])</f>
        <v>2025</v>
      </c>
      <c r="D1197" s="79" t="s">
        <v>344</v>
      </c>
      <c r="E1197" s="284">
        <f>Table6[[#This Row],[Date]]-DAY(Table6[[#This Row],[Date]])+1</f>
        <v>45839</v>
      </c>
      <c r="F1197" s="285">
        <v>45866</v>
      </c>
      <c r="G1197" s="79" t="s">
        <v>89</v>
      </c>
      <c r="H1197" s="79" t="str">
        <f>IFERROR(_xlfn.XLOOKUP(Table6[[#This Row],[Affected Feeder ]],'Basic Data'!$A:$A,'Basic Data'!$B:$B),"")</f>
        <v>PWEPL</v>
      </c>
      <c r="I1197" s="79" t="str">
        <f>IFERROR(_xlfn.XLOOKUP(Table6[[#This Row],[Affected Feeder ]],'Basic Data'!$A:$A,'Basic Data'!$C:$C),"")</f>
        <v>MSEDCL</v>
      </c>
      <c r="J1197" s="295">
        <f>IFERROR(_xlfn.XLOOKUP(Table6[[#This Row],[Affected Feeder ]],'Basic Data'!$A:$A,'Basic Data'!$E:$E),"")</f>
        <v>2.2727272727272728E-2</v>
      </c>
      <c r="K1197" s="296" t="s">
        <v>171</v>
      </c>
      <c r="L1197" s="297">
        <v>0.3888888888888889</v>
      </c>
      <c r="M1197" s="297">
        <v>0.3888888888888889</v>
      </c>
      <c r="N1197" s="297">
        <v>0.3923611111111111</v>
      </c>
      <c r="O1197" s="298">
        <f>(Table6[[#This Row],[Work Start TimeStamp]]-Table6[[#This Row],[Fault Start TimeStamp]])*24</f>
        <v>0</v>
      </c>
      <c r="P1197" s="298">
        <f>(Table6[[#This Row],[Fault Clearance time]]-Table6[[#This Row],[Fault Start TimeStamp]])*24</f>
        <v>8.3333333333333037E-2</v>
      </c>
      <c r="Q1197" s="298">
        <f>(Table6[[#This Row],[Fault Clearance time]]-Table6[[#This Row],[Fault Start TimeStamp]])*24</f>
        <v>8.3333333333333037E-2</v>
      </c>
      <c r="R1197" s="79" t="s">
        <v>353</v>
      </c>
      <c r="S1197" s="79" t="s">
        <v>339</v>
      </c>
      <c r="T1197" s="298">
        <f>IFERROR(Table6[[#This Row],[Breakdown Time]]*Table6[[#This Row],[Plant Equivalent Weightage]],"")</f>
        <v>1.8939393939393873E-3</v>
      </c>
      <c r="U1197" s="79" t="s">
        <v>421</v>
      </c>
      <c r="W1197" s="79">
        <v>150</v>
      </c>
    </row>
    <row r="1198" spans="1:23">
      <c r="A1198" s="79">
        <f t="shared" si="18"/>
        <v>1197</v>
      </c>
      <c r="B1198" s="79">
        <f>YEAR(Table6[[#This Row],[Date]])+IF(MONTH(Table6[[#This Row],[Date]])&gt;=4,1,0)</f>
        <v>2026</v>
      </c>
      <c r="C1198" s="79">
        <f>YEAR(Table6[[#This Row],[Date]])</f>
        <v>2025</v>
      </c>
      <c r="D1198" s="79" t="s">
        <v>344</v>
      </c>
      <c r="E1198" s="284">
        <f>Table6[[#This Row],[Date]]-DAY(Table6[[#This Row],[Date]])+1</f>
        <v>45839</v>
      </c>
      <c r="F1198" s="285">
        <v>45867</v>
      </c>
      <c r="G1198" s="79" t="s">
        <v>94</v>
      </c>
      <c r="H1198" s="79" t="str">
        <f>IFERROR(_xlfn.XLOOKUP(Table6[[#This Row],[Affected Feeder ]],'Basic Data'!$A:$A,'Basic Data'!$B:$B),"")</f>
        <v>PWEPL</v>
      </c>
      <c r="I1198" s="79" t="str">
        <f>IFERROR(_xlfn.XLOOKUP(Table6[[#This Row],[Affected Feeder ]],'Basic Data'!$A:$A,'Basic Data'!$C:$C),"")</f>
        <v>MSEDCL</v>
      </c>
      <c r="J1198" s="295">
        <f>IFERROR(_xlfn.XLOOKUP(Table6[[#This Row],[Affected Feeder ]],'Basic Data'!$A:$A,'Basic Data'!$E:$E),"")</f>
        <v>2.2727272727272728E-2</v>
      </c>
      <c r="K1198" s="296" t="s">
        <v>796</v>
      </c>
      <c r="L1198" s="297">
        <v>0.79027777777777775</v>
      </c>
      <c r="M1198" s="297">
        <v>0.79027777777777775</v>
      </c>
      <c r="N1198" s="297">
        <v>0.79722222222222217</v>
      </c>
      <c r="O1198" s="298">
        <f>(Table6[[#This Row],[Work Start TimeStamp]]-Table6[[#This Row],[Fault Start TimeStamp]])*24</f>
        <v>0</v>
      </c>
      <c r="P1198" s="298">
        <f>(Table6[[#This Row],[Fault Clearance time]]-Table6[[#This Row],[Fault Start TimeStamp]])*24</f>
        <v>0.16666666666666607</v>
      </c>
      <c r="Q1198" s="298">
        <f>(Table6[[#This Row],[Fault Clearance time]]-Table6[[#This Row],[Fault Start TimeStamp]])*24</f>
        <v>0.16666666666666607</v>
      </c>
      <c r="R1198" s="79" t="s">
        <v>424</v>
      </c>
      <c r="S1198" s="79" t="s">
        <v>339</v>
      </c>
      <c r="T1198" s="298">
        <f>IFERROR(Table6[[#This Row],[Breakdown Time]]*Table6[[#This Row],[Plant Equivalent Weightage]],"")</f>
        <v>3.7878787878787745E-3</v>
      </c>
      <c r="U1198" s="79" t="s">
        <v>421</v>
      </c>
      <c r="W1198" s="79">
        <v>346</v>
      </c>
    </row>
    <row r="1199" spans="1:23">
      <c r="A1199" s="79">
        <f t="shared" si="18"/>
        <v>1198</v>
      </c>
      <c r="B1199" s="79">
        <f>YEAR(Table6[[#This Row],[Date]])+IF(MONTH(Table6[[#This Row],[Date]])&gt;=4,1,0)</f>
        <v>2026</v>
      </c>
      <c r="C1199" s="79">
        <f>YEAR(Table6[[#This Row],[Date]])</f>
        <v>2025</v>
      </c>
      <c r="D1199" s="79" t="s">
        <v>344</v>
      </c>
      <c r="E1199" s="284">
        <f>Table6[[#This Row],[Date]]-DAY(Table6[[#This Row],[Date]])+1</f>
        <v>45839</v>
      </c>
      <c r="F1199" s="285">
        <v>45867</v>
      </c>
      <c r="G1199" s="79" t="s">
        <v>94</v>
      </c>
      <c r="H1199" s="79" t="str">
        <f>IFERROR(_xlfn.XLOOKUP(Table6[[#This Row],[Affected Feeder ]],'Basic Data'!$A:$A,'Basic Data'!$B:$B),"")</f>
        <v>PWEPL</v>
      </c>
      <c r="I1199" s="79" t="str">
        <f>IFERROR(_xlfn.XLOOKUP(Table6[[#This Row],[Affected Feeder ]],'Basic Data'!$A:$A,'Basic Data'!$C:$C),"")</f>
        <v>MSEDCL</v>
      </c>
      <c r="J1199" s="295">
        <f>IFERROR(_xlfn.XLOOKUP(Table6[[#This Row],[Affected Feeder ]],'Basic Data'!$A:$A,'Basic Data'!$E:$E),"")</f>
        <v>2.2727272727272728E-2</v>
      </c>
      <c r="K1199" s="296" t="s">
        <v>171</v>
      </c>
      <c r="L1199" s="297">
        <v>0.79722222222222217</v>
      </c>
      <c r="M1199" s="297">
        <v>0.79722222222222217</v>
      </c>
      <c r="N1199" s="297">
        <v>0.81111111111111101</v>
      </c>
      <c r="O1199" s="298">
        <f>(Table6[[#This Row],[Work Start TimeStamp]]-Table6[[#This Row],[Fault Start TimeStamp]])*24</f>
        <v>0</v>
      </c>
      <c r="P1199" s="298">
        <f>(Table6[[#This Row],[Fault Clearance time]]-Table6[[#This Row],[Fault Start TimeStamp]])*24</f>
        <v>0.33333333333333215</v>
      </c>
      <c r="Q1199" s="298">
        <f>(Table6[[#This Row],[Fault Clearance time]]-Table6[[#This Row],[Fault Start TimeStamp]])*24</f>
        <v>0.33333333333333215</v>
      </c>
      <c r="R1199" s="79" t="s">
        <v>353</v>
      </c>
      <c r="S1199" s="79" t="s">
        <v>339</v>
      </c>
      <c r="T1199" s="298">
        <f>IFERROR(Table6[[#This Row],[Breakdown Time]]*Table6[[#This Row],[Plant Equivalent Weightage]],"")</f>
        <v>7.5757575757575491E-3</v>
      </c>
      <c r="U1199" s="79" t="s">
        <v>421</v>
      </c>
      <c r="W1199" s="79">
        <v>692</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'Basic Data'!$T$4:$T$7</xm:f>
          </x14:formula1>
          <xm:sqref>U2:V1048576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6"/>
  <sheetViews>
    <sheetView workbookViewId="0">
      <pane xSplit="6" ySplit="1" topLeftCell="G2" activePane="bottomRight" state="frozen"/>
      <selection pane="topRight" activeCell="G1" sqref="G1"/>
      <selection pane="bottomLeft" activeCell="A2" sqref="A2"/>
      <selection pane="bottomRight" activeCell="N33" sqref="N33"/>
    </sheetView>
  </sheetViews>
  <sheetFormatPr defaultRowHeight="15"/>
  <cols>
    <col min="6" max="6" width="10.85546875" customWidth="1"/>
    <col min="11" max="11" width="65" bestFit="1" customWidth="1"/>
    <col min="19" max="19" width="51.140625" bestFit="1" customWidth="1"/>
    <col min="22" max="22" width="24.5703125" bestFit="1" customWidth="1"/>
    <col min="23" max="24" width="13.7109375" customWidth="1"/>
  </cols>
  <sheetData>
    <row r="1" spans="1:29" ht="42" customHeight="1">
      <c r="A1" s="279" t="s">
        <v>8</v>
      </c>
      <c r="B1" s="279" t="s">
        <v>3</v>
      </c>
      <c r="C1" s="279" t="s">
        <v>198</v>
      </c>
      <c r="D1" s="279" t="s">
        <v>318</v>
      </c>
      <c r="E1" s="279" t="s">
        <v>317</v>
      </c>
      <c r="F1" s="280" t="s">
        <v>197</v>
      </c>
      <c r="G1" s="279" t="s">
        <v>928</v>
      </c>
      <c r="H1" s="279" t="s">
        <v>320</v>
      </c>
      <c r="I1" s="279" t="s">
        <v>398</v>
      </c>
      <c r="J1" s="279" t="s">
        <v>321</v>
      </c>
      <c r="K1" s="279" t="s">
        <v>324</v>
      </c>
      <c r="L1" s="279" t="s">
        <v>930</v>
      </c>
      <c r="M1" s="279" t="s">
        <v>325</v>
      </c>
      <c r="N1" s="279" t="s">
        <v>326</v>
      </c>
      <c r="O1" s="279" t="s">
        <v>327</v>
      </c>
      <c r="P1" s="279" t="s">
        <v>328</v>
      </c>
      <c r="Q1" s="279" t="s">
        <v>329</v>
      </c>
      <c r="R1" s="279" t="s">
        <v>330</v>
      </c>
      <c r="S1" s="279" t="s">
        <v>331</v>
      </c>
      <c r="T1" s="279" t="s">
        <v>332</v>
      </c>
      <c r="U1" s="281" t="s">
        <v>333</v>
      </c>
      <c r="V1" s="281" t="s">
        <v>879</v>
      </c>
      <c r="W1" s="17" t="s">
        <v>334</v>
      </c>
      <c r="X1" s="304" t="s">
        <v>933</v>
      </c>
      <c r="Y1" s="282" t="s">
        <v>921</v>
      </c>
      <c r="Z1" s="282" t="s">
        <v>931</v>
      </c>
      <c r="AA1" s="282" t="s">
        <v>932</v>
      </c>
      <c r="AB1" s="282" t="s">
        <v>923</v>
      </c>
      <c r="AC1" s="282" t="s">
        <v>924</v>
      </c>
    </row>
    <row r="2" spans="1:29">
      <c r="A2" s="79">
        <v>1</v>
      </c>
      <c r="B2" s="79">
        <f>YEAR(Table9[[#This Row],[Date]])+IF(MONTH(Table9[[#This Row],[Date]])&gt;=4,1,0)</f>
        <v>2026</v>
      </c>
      <c r="C2" s="79">
        <f>YEAR(Table9[[#This Row],[Date]])</f>
        <v>2025</v>
      </c>
      <c r="D2" s="79" t="s">
        <v>344</v>
      </c>
      <c r="E2" s="284">
        <f>Table9[[#This Row],[Date]]-DAY(Table9[[#This Row],[Date]])+1</f>
        <v>45748</v>
      </c>
      <c r="F2" s="285">
        <v>45755</v>
      </c>
      <c r="G2" t="s">
        <v>399</v>
      </c>
      <c r="H2" t="str">
        <f>IFERROR(_xlfn.XLOOKUP(Table9[[#This Row],[Affected Feeder ]],'Basic Data'!$A:$A,'Basic Data'!$B:$B),"")</f>
        <v>PWEPL</v>
      </c>
      <c r="I2" t="str">
        <f>IFERROR(_xlfn.XLOOKUP(Table9[[#This Row],[Affected Feeder ]],'Basic Data'!$A:$A,'Basic Data'!$C:$C),"")</f>
        <v>MSEDCL</v>
      </c>
      <c r="J2" s="303">
        <f>IFERROR(_xlfn.XLOOKUP(Table9[[#This Row],[Affected Feeder ]],'Basic Data'!$A:$A,'Basic Data'!$E:$E),"")</f>
        <v>0.22727272727272727</v>
      </c>
      <c r="K2" t="s">
        <v>400</v>
      </c>
      <c r="M2" s="299">
        <v>0.41249999999999998</v>
      </c>
      <c r="N2" s="300">
        <v>0.41249999999999998</v>
      </c>
      <c r="O2" s="300">
        <v>0.70625000000000004</v>
      </c>
      <c r="P2" s="18">
        <f>(Table9[[#This Row],[Work Start TimeStamp]]-Table9[[#This Row],[Fault Start TimeStamp]])*24</f>
        <v>0</v>
      </c>
      <c r="Q2" s="18">
        <f>IF(Table9[[#This Row],[Work Start TimeStamp]]="","",(Table9[[#This Row],[Fault Clearance time]]-Table9[[#This Row],[Work Start TimeStamp]])*24)</f>
        <v>7.0500000000000016</v>
      </c>
      <c r="R2" s="18">
        <f>(Table9[[#This Row],[Fault Clearance time]]-Table9[[#This Row],[Fault Start TimeStamp]])*24</f>
        <v>7.0500000000000016</v>
      </c>
      <c r="S2" s="301" t="s">
        <v>401</v>
      </c>
      <c r="T2" s="1" t="s">
        <v>339</v>
      </c>
      <c r="U2" s="302">
        <f>IFERROR(Table9[[#This Row],[Breakdown Time]]*Table9[[#This Row],[Plant Equivalent Weightage]],"")</f>
        <v>1.6022727272727275</v>
      </c>
      <c r="V2" s="302" t="s">
        <v>403</v>
      </c>
      <c r="W2" s="302" t="s">
        <v>402</v>
      </c>
      <c r="X2" s="302"/>
      <c r="Y2">
        <v>6060</v>
      </c>
      <c r="AA2" s="85">
        <f>IF(Table9[[#This Row],[Breakdown Type]]="Curtailment Order",(((100%*(24-Table9[[#This Row],[Plant Equivalent breakdown]]))+(((Table9[[#This Row],[Curtailment Order imit.]])/50.6)*Table9[[#This Row],[Plant Equivalent breakdown]]))/24),1)</f>
        <v>1</v>
      </c>
    </row>
    <row r="3" spans="1:29">
      <c r="A3" s="79">
        <f>A2+1</f>
        <v>2</v>
      </c>
      <c r="B3" s="79">
        <f>YEAR(Table9[[#This Row],[Date]])+IF(MONTH(Table9[[#This Row],[Date]])&gt;=4,1,0)</f>
        <v>2026</v>
      </c>
      <c r="C3" s="79">
        <f>YEAR(Table9[[#This Row],[Date]])</f>
        <v>2025</v>
      </c>
      <c r="D3" s="79" t="s">
        <v>344</v>
      </c>
      <c r="E3" s="284">
        <f>Table9[[#This Row],[Date]]-DAY(Table9[[#This Row],[Date]])+1</f>
        <v>45748</v>
      </c>
      <c r="F3" s="285">
        <v>45755</v>
      </c>
      <c r="G3" t="s">
        <v>404</v>
      </c>
      <c r="H3" t="str">
        <f>IFERROR(_xlfn.XLOOKUP(Table9[[#This Row],[Affected Feeder ]],'Basic Data'!$A:$A,'Basic Data'!$B:$B),"")</f>
        <v>PWEPL</v>
      </c>
      <c r="I3" t="str">
        <f>IFERROR(_xlfn.XLOOKUP(Table9[[#This Row],[Affected Feeder ]],'Basic Data'!$A:$A,'Basic Data'!$C:$C),"")</f>
        <v>MSEDCL</v>
      </c>
      <c r="J3" s="303">
        <f>IFERROR(_xlfn.XLOOKUP(Table9[[#This Row],[Affected Feeder ]],'Basic Data'!$A:$A,'Basic Data'!$E:$E),"")</f>
        <v>0.27272727272727276</v>
      </c>
      <c r="K3" t="s">
        <v>400</v>
      </c>
      <c r="M3" s="299">
        <v>0.45694444444444443</v>
      </c>
      <c r="N3" s="300">
        <v>0.45694444444444443</v>
      </c>
      <c r="O3" s="300">
        <v>0.70694444444444449</v>
      </c>
      <c r="P3" s="18">
        <f>(Table9[[#This Row],[Work Start TimeStamp]]-Table9[[#This Row],[Fault Start TimeStamp]])*24</f>
        <v>0</v>
      </c>
      <c r="Q3" s="18">
        <f>IF(Table9[[#This Row],[Work Start TimeStamp]]="","",(Table9[[#This Row],[Fault Clearance time]]-Table9[[#This Row],[Work Start TimeStamp]])*24)</f>
        <v>6.0000000000000018</v>
      </c>
      <c r="R3" s="18">
        <f>(Table9[[#This Row],[Fault Clearance time]]-Table9[[#This Row],[Fault Start TimeStamp]])*24</f>
        <v>6.0000000000000018</v>
      </c>
      <c r="S3" s="301" t="s">
        <v>401</v>
      </c>
      <c r="T3" s="1" t="s">
        <v>339</v>
      </c>
      <c r="U3" s="302">
        <f>IFERROR(Table9[[#This Row],[Breakdown Time]]*Table9[[#This Row],[Plant Equivalent Weightage]],"")</f>
        <v>1.6363636363636371</v>
      </c>
      <c r="V3" s="302" t="s">
        <v>403</v>
      </c>
      <c r="W3" s="302" t="s">
        <v>402</v>
      </c>
      <c r="X3" s="302"/>
      <c r="Y3">
        <v>6204</v>
      </c>
      <c r="AA3" s="85">
        <f>IF(Table9[[#This Row],[Breakdown Type]]="Curtailment Order",(((100%*(24-Table9[[#This Row],[Plant Equivalent breakdown]]))+(((Table9[[#This Row],[Curtailment Order imit.]])/50.6)*Table9[[#This Row],[Plant Equivalent breakdown]]))/24),1)</f>
        <v>1</v>
      </c>
    </row>
    <row r="4" spans="1:29">
      <c r="A4" s="79">
        <f t="shared" ref="A4:A16" si="0">A3+1</f>
        <v>3</v>
      </c>
      <c r="B4" s="79">
        <f>YEAR(Table9[[#This Row],[Date]])+IF(MONTH(Table9[[#This Row],[Date]])&gt;=4,1,0)</f>
        <v>2026</v>
      </c>
      <c r="C4" s="79">
        <f>YEAR(Table9[[#This Row],[Date]])</f>
        <v>2025</v>
      </c>
      <c r="D4" s="79" t="s">
        <v>344</v>
      </c>
      <c r="E4" s="284">
        <f>Table9[[#This Row],[Date]]-DAY(Table9[[#This Row],[Date]])+1</f>
        <v>45748</v>
      </c>
      <c r="F4" s="285">
        <v>45755</v>
      </c>
      <c r="G4" t="s">
        <v>405</v>
      </c>
      <c r="H4" t="str">
        <f>IFERROR(_xlfn.XLOOKUP(Table9[[#This Row],[Affected Feeder ]],'Basic Data'!$A:$A,'Basic Data'!$B:$B),"")</f>
        <v>PWEPL</v>
      </c>
      <c r="I4" t="str">
        <f>IFERROR(_xlfn.XLOOKUP(Table9[[#This Row],[Affected Feeder ]],'Basic Data'!$A:$A,'Basic Data'!$C:$C),"")</f>
        <v>MSEDCL</v>
      </c>
      <c r="J4" s="303">
        <f>IFERROR(_xlfn.XLOOKUP(Table9[[#This Row],[Affected Feeder ]],'Basic Data'!$A:$A,'Basic Data'!$E:$E),"")</f>
        <v>0.20454545454545453</v>
      </c>
      <c r="K4" t="s">
        <v>400</v>
      </c>
      <c r="M4" s="299">
        <v>0.70972222222222225</v>
      </c>
      <c r="N4" s="300">
        <v>0.70972222222222225</v>
      </c>
      <c r="O4" s="300">
        <v>0.84375</v>
      </c>
      <c r="P4" s="18">
        <f>(Table9[[#This Row],[Work Start TimeStamp]]-Table9[[#This Row],[Fault Start TimeStamp]])*24</f>
        <v>0</v>
      </c>
      <c r="Q4" s="18">
        <f>IF(Table9[[#This Row],[Work Start TimeStamp]]="","",(Table9[[#This Row],[Fault Clearance time]]-Table9[[#This Row],[Work Start TimeStamp]])*24)</f>
        <v>3.2166666666666659</v>
      </c>
      <c r="R4" s="18">
        <f>(Table9[[#This Row],[Fault Clearance time]]-Table9[[#This Row],[Fault Start TimeStamp]])*24</f>
        <v>3.2166666666666659</v>
      </c>
      <c r="S4" s="301" t="s">
        <v>401</v>
      </c>
      <c r="T4" s="1" t="s">
        <v>339</v>
      </c>
      <c r="U4" s="302">
        <f>IFERROR(Table9[[#This Row],[Breakdown Time]]*Table9[[#This Row],[Plant Equivalent Weightage]],"")</f>
        <v>0.65795454545454524</v>
      </c>
      <c r="V4" s="302" t="s">
        <v>403</v>
      </c>
      <c r="W4" s="302" t="s">
        <v>402</v>
      </c>
      <c r="X4" s="302"/>
      <c r="Y4">
        <v>2547</v>
      </c>
      <c r="AA4" s="85">
        <f>IF(Table9[[#This Row],[Breakdown Type]]="Curtailment Order",(((100%*(24-Table9[[#This Row],[Plant Equivalent breakdown]]))+(((Table9[[#This Row],[Curtailment Order imit.]])/50.6)*Table9[[#This Row],[Plant Equivalent breakdown]]))/24),1)</f>
        <v>1</v>
      </c>
    </row>
    <row r="5" spans="1:29">
      <c r="A5" s="79">
        <f t="shared" si="0"/>
        <v>4</v>
      </c>
      <c r="B5" s="79">
        <f>YEAR(Table9[[#This Row],[Date]])+IF(MONTH(Table9[[#This Row],[Date]])&gt;=4,1,0)</f>
        <v>2026</v>
      </c>
      <c r="C5" s="79">
        <f>YEAR(Table9[[#This Row],[Date]])</f>
        <v>2025</v>
      </c>
      <c r="D5" s="79" t="s">
        <v>344</v>
      </c>
      <c r="E5" s="284">
        <f>Table9[[#This Row],[Date]]-DAY(Table9[[#This Row],[Date]])+1</f>
        <v>45748</v>
      </c>
      <c r="F5" s="285">
        <v>45755</v>
      </c>
      <c r="G5" t="s">
        <v>406</v>
      </c>
      <c r="H5" t="str">
        <f>IFERROR(_xlfn.XLOOKUP(Table9[[#This Row],[Affected Feeder ]],'Basic Data'!$A:$A,'Basic Data'!$B:$B),"")</f>
        <v>PWEPL</v>
      </c>
      <c r="I5" t="str">
        <f>IFERROR(_xlfn.XLOOKUP(Table9[[#This Row],[Affected Feeder ]],'Basic Data'!$A:$A,'Basic Data'!$C:$C),"")</f>
        <v>MSEDCL</v>
      </c>
      <c r="J5" s="303">
        <f>IFERROR(_xlfn.XLOOKUP(Table9[[#This Row],[Affected Feeder ]],'Basic Data'!$A:$A,'Basic Data'!$E:$E),"")</f>
        <v>0.29545454545454541</v>
      </c>
      <c r="K5" t="s">
        <v>400</v>
      </c>
      <c r="M5" s="299">
        <v>0.71250000000000002</v>
      </c>
      <c r="N5" s="300">
        <v>0.71250000000000002</v>
      </c>
      <c r="O5" s="300">
        <v>0.84375</v>
      </c>
      <c r="P5" s="18">
        <f>(Table9[[#This Row],[Work Start TimeStamp]]-Table9[[#This Row],[Fault Start TimeStamp]])*24</f>
        <v>0</v>
      </c>
      <c r="Q5" s="18">
        <f>IF(Table9[[#This Row],[Work Start TimeStamp]]="","",(Table9[[#This Row],[Fault Clearance time]]-Table9[[#This Row],[Work Start TimeStamp]])*24)</f>
        <v>3.1499999999999995</v>
      </c>
      <c r="R5" s="18">
        <f>(Table9[[#This Row],[Fault Clearance time]]-Table9[[#This Row],[Fault Start TimeStamp]])*24</f>
        <v>3.1499999999999995</v>
      </c>
      <c r="S5" s="301" t="s">
        <v>401</v>
      </c>
      <c r="T5" s="1" t="s">
        <v>339</v>
      </c>
      <c r="U5" s="302">
        <f>IFERROR(Table9[[#This Row],[Breakdown Time]]*Table9[[#This Row],[Plant Equivalent Weightage]],"")</f>
        <v>0.93068181818181794</v>
      </c>
      <c r="V5" s="302" t="s">
        <v>403</v>
      </c>
      <c r="W5" s="302" t="s">
        <v>402</v>
      </c>
      <c r="X5" s="302"/>
      <c r="Y5">
        <v>3601</v>
      </c>
      <c r="AA5" s="85">
        <f>IF(Table9[[#This Row],[Breakdown Type]]="Curtailment Order",(((100%*(24-Table9[[#This Row],[Plant Equivalent breakdown]]))+(((Table9[[#This Row],[Curtailment Order imit.]])/50.6)*Table9[[#This Row],[Plant Equivalent breakdown]]))/24),1)</f>
        <v>1</v>
      </c>
    </row>
    <row r="6" spans="1:29">
      <c r="A6" s="79">
        <f t="shared" si="0"/>
        <v>5</v>
      </c>
      <c r="B6" s="79">
        <f>YEAR(Table9[[#This Row],[Date]])+IF(MONTH(Table9[[#This Row],[Date]])&gt;=4,1,0)</f>
        <v>2026</v>
      </c>
      <c r="C6" s="79">
        <f>YEAR(Table9[[#This Row],[Date]])</f>
        <v>2025</v>
      </c>
      <c r="D6" s="79" t="s">
        <v>344</v>
      </c>
      <c r="E6" s="284">
        <f>Table9[[#This Row],[Date]]-DAY(Table9[[#This Row],[Date]])+1</f>
        <v>45748</v>
      </c>
      <c r="F6" s="285">
        <v>45762</v>
      </c>
      <c r="G6" t="s">
        <v>399</v>
      </c>
      <c r="H6" t="str">
        <f>IFERROR(_xlfn.XLOOKUP(Table9[[#This Row],[Affected Feeder ]],'Basic Data'!$A:$A,'Basic Data'!$B:$B),"")</f>
        <v>PWEPL</v>
      </c>
      <c r="I6" t="str">
        <f>IFERROR(_xlfn.XLOOKUP(Table9[[#This Row],[Affected Feeder ]],'Basic Data'!$A:$A,'Basic Data'!$C:$C),"")</f>
        <v>MSEDCL</v>
      </c>
      <c r="J6" s="303">
        <f>IFERROR(_xlfn.XLOOKUP(Table9[[#This Row],[Affected Feeder ]],'Basic Data'!$A:$A,'Basic Data'!$E:$E),"")</f>
        <v>0.22727272727272727</v>
      </c>
      <c r="K6" t="s">
        <v>407</v>
      </c>
      <c r="M6" s="299">
        <v>0.37152777777777773</v>
      </c>
      <c r="N6" s="300">
        <v>0.37152777777777773</v>
      </c>
      <c r="O6" s="300">
        <v>0.78125</v>
      </c>
      <c r="P6" s="18">
        <f>(Table9[[#This Row],[Work Start TimeStamp]]-Table9[[#This Row],[Fault Start TimeStamp]])*24</f>
        <v>0</v>
      </c>
      <c r="Q6" s="18">
        <f>IF(Table9[[#This Row],[Work Start TimeStamp]]="","",(Table9[[#This Row],[Fault Clearance time]]-Table9[[#This Row],[Work Start TimeStamp]])*24)</f>
        <v>9.8333333333333339</v>
      </c>
      <c r="R6" s="18">
        <f>(Table9[[#This Row],[Fault Clearance time]]-Table9[[#This Row],[Fault Start TimeStamp]])*24</f>
        <v>9.8333333333333339</v>
      </c>
      <c r="S6" s="301" t="s">
        <v>408</v>
      </c>
      <c r="T6" s="1" t="s">
        <v>339</v>
      </c>
      <c r="U6" s="302">
        <f>IFERROR(Table9[[#This Row],[Breakdown Time]]*Table9[[#This Row],[Plant Equivalent Weightage]],"")</f>
        <v>2.2348484848484849</v>
      </c>
      <c r="V6" s="302" t="s">
        <v>403</v>
      </c>
      <c r="W6" s="302" t="s">
        <v>402</v>
      </c>
      <c r="X6" s="302"/>
      <c r="Y6">
        <v>23600</v>
      </c>
      <c r="AA6" s="85">
        <f>IF(Table9[[#This Row],[Breakdown Type]]="Curtailment Order",(((100%*(24-Table9[[#This Row],[Plant Equivalent breakdown]]))+(((Table9[[#This Row],[Curtailment Order imit.]])/50.6)*Table9[[#This Row],[Plant Equivalent breakdown]]))/24),1)</f>
        <v>1</v>
      </c>
    </row>
    <row r="7" spans="1:29">
      <c r="A7" s="79">
        <f t="shared" si="0"/>
        <v>6</v>
      </c>
      <c r="B7" s="79">
        <f>YEAR(Table9[[#This Row],[Date]])+IF(MONTH(Table9[[#This Row],[Date]])&gt;=4,1,0)</f>
        <v>2026</v>
      </c>
      <c r="C7" s="79">
        <f>YEAR(Table9[[#This Row],[Date]])</f>
        <v>2025</v>
      </c>
      <c r="D7" s="79" t="s">
        <v>344</v>
      </c>
      <c r="E7" s="284">
        <f>Table9[[#This Row],[Date]]-DAY(Table9[[#This Row],[Date]])+1</f>
        <v>45748</v>
      </c>
      <c r="F7" s="285">
        <v>45762</v>
      </c>
      <c r="G7" t="s">
        <v>404</v>
      </c>
      <c r="H7" t="str">
        <f>IFERROR(_xlfn.XLOOKUP(Table9[[#This Row],[Affected Feeder ]],'Basic Data'!$A:$A,'Basic Data'!$B:$B),"")</f>
        <v>PWEPL</v>
      </c>
      <c r="I7" t="str">
        <f>IFERROR(_xlfn.XLOOKUP(Table9[[#This Row],[Affected Feeder ]],'Basic Data'!$A:$A,'Basic Data'!$C:$C),"")</f>
        <v>MSEDCL</v>
      </c>
      <c r="J7" s="303">
        <f>IFERROR(_xlfn.XLOOKUP(Table9[[#This Row],[Affected Feeder ]],'Basic Data'!$A:$A,'Basic Data'!$E:$E),"")</f>
        <v>0.27272727272727276</v>
      </c>
      <c r="K7" t="s">
        <v>407</v>
      </c>
      <c r="M7" s="299">
        <v>0.37152777777777773</v>
      </c>
      <c r="N7" s="300">
        <v>0.37152777777777773</v>
      </c>
      <c r="O7" s="300">
        <v>0.78125</v>
      </c>
      <c r="P7" s="18">
        <f>(Table9[[#This Row],[Work Start TimeStamp]]-Table9[[#This Row],[Fault Start TimeStamp]])*24</f>
        <v>0</v>
      </c>
      <c r="Q7" s="18">
        <f>IF(Table9[[#This Row],[Work Start TimeStamp]]="","",(Table9[[#This Row],[Fault Clearance time]]-Table9[[#This Row],[Work Start TimeStamp]])*24)</f>
        <v>9.8333333333333339</v>
      </c>
      <c r="R7" s="18">
        <f>(Table9[[#This Row],[Fault Clearance time]]-Table9[[#This Row],[Fault Start TimeStamp]])*24</f>
        <v>9.8333333333333339</v>
      </c>
      <c r="S7" s="301" t="s">
        <v>408</v>
      </c>
      <c r="T7" s="1" t="s">
        <v>339</v>
      </c>
      <c r="U7" s="302">
        <f>IFERROR(Table9[[#This Row],[Breakdown Time]]*Table9[[#This Row],[Plant Equivalent Weightage]],"")</f>
        <v>2.6818181818181825</v>
      </c>
      <c r="V7" s="302" t="s">
        <v>403</v>
      </c>
      <c r="W7" s="302" t="s">
        <v>402</v>
      </c>
      <c r="X7" s="302"/>
      <c r="Y7">
        <v>28440</v>
      </c>
      <c r="AA7" s="85">
        <f>IF(Table9[[#This Row],[Breakdown Type]]="Curtailment Order",(((100%*(24-Table9[[#This Row],[Plant Equivalent breakdown]]))+(((Table9[[#This Row],[Curtailment Order imit.]])/50.6)*Table9[[#This Row],[Plant Equivalent breakdown]]))/24),1)</f>
        <v>1</v>
      </c>
    </row>
    <row r="8" spans="1:29">
      <c r="A8" s="79">
        <f t="shared" si="0"/>
        <v>7</v>
      </c>
      <c r="B8" s="79">
        <f>YEAR(Table9[[#This Row],[Date]])+IF(MONTH(Table9[[#This Row],[Date]])&gt;=4,1,0)</f>
        <v>2026</v>
      </c>
      <c r="C8" s="79">
        <f>YEAR(Table9[[#This Row],[Date]])</f>
        <v>2025</v>
      </c>
      <c r="D8" s="79" t="s">
        <v>344</v>
      </c>
      <c r="E8" s="284">
        <f>Table9[[#This Row],[Date]]-DAY(Table9[[#This Row],[Date]])+1</f>
        <v>45748</v>
      </c>
      <c r="F8" s="285">
        <v>45769</v>
      </c>
      <c r="G8" t="s">
        <v>405</v>
      </c>
      <c r="H8" t="str">
        <f>IFERROR(_xlfn.XLOOKUP(Table9[[#This Row],[Affected Feeder ]],'Basic Data'!$A:$A,'Basic Data'!$B:$B),"")</f>
        <v>PWEPL</v>
      </c>
      <c r="I8" t="str">
        <f>IFERROR(_xlfn.XLOOKUP(Table9[[#This Row],[Affected Feeder ]],'Basic Data'!$A:$A,'Basic Data'!$C:$C),"")</f>
        <v>MSEDCL</v>
      </c>
      <c r="J8" s="303">
        <f>IFERROR(_xlfn.XLOOKUP(Table9[[#This Row],[Affected Feeder ]],'Basic Data'!$A:$A,'Basic Data'!$E:$E),"")</f>
        <v>0.20454545454545453</v>
      </c>
      <c r="K8" t="s">
        <v>407</v>
      </c>
      <c r="M8" s="299">
        <v>0.43124999999999997</v>
      </c>
      <c r="N8" s="300">
        <v>0.43124999999999997</v>
      </c>
      <c r="O8" s="300">
        <v>0.78819444444444453</v>
      </c>
      <c r="P8" s="18">
        <f>(Table9[[#This Row],[Work Start TimeStamp]]-Table9[[#This Row],[Fault Start TimeStamp]])*24</f>
        <v>0</v>
      </c>
      <c r="Q8" s="18">
        <f>IF(Table9[[#This Row],[Work Start TimeStamp]]="","",(Table9[[#This Row],[Fault Clearance time]]-Table9[[#This Row],[Work Start TimeStamp]])*24)</f>
        <v>8.56666666666667</v>
      </c>
      <c r="R8" s="18">
        <f>(Table9[[#This Row],[Fault Clearance time]]-Table9[[#This Row],[Fault Start TimeStamp]])*24</f>
        <v>8.56666666666667</v>
      </c>
      <c r="S8" s="301" t="s">
        <v>408</v>
      </c>
      <c r="T8" s="1" t="s">
        <v>339</v>
      </c>
      <c r="U8" s="302">
        <f>IFERROR(Table9[[#This Row],[Breakdown Time]]*Table9[[#This Row],[Plant Equivalent Weightage]],"")</f>
        <v>1.7522727272727279</v>
      </c>
      <c r="V8" s="302" t="s">
        <v>403</v>
      </c>
      <c r="W8" s="302" t="s">
        <v>402</v>
      </c>
      <c r="X8" s="302"/>
      <c r="Y8">
        <v>8850</v>
      </c>
      <c r="AA8" s="85">
        <f>IF(Table9[[#This Row],[Breakdown Type]]="Curtailment Order",(((100%*(24-Table9[[#This Row],[Plant Equivalent breakdown]]))+(((Table9[[#This Row],[Curtailment Order imit.]])/50.6)*Table9[[#This Row],[Plant Equivalent breakdown]]))/24),1)</f>
        <v>1</v>
      </c>
    </row>
    <row r="9" spans="1:29">
      <c r="A9" s="79">
        <f t="shared" si="0"/>
        <v>8</v>
      </c>
      <c r="B9" s="79">
        <f>YEAR(Table9[[#This Row],[Date]])+IF(MONTH(Table9[[#This Row],[Date]])&gt;=4,1,0)</f>
        <v>2026</v>
      </c>
      <c r="C9" s="79">
        <f>YEAR(Table9[[#This Row],[Date]])</f>
        <v>2025</v>
      </c>
      <c r="D9" s="79" t="s">
        <v>344</v>
      </c>
      <c r="E9" s="284">
        <f>Table9[[#This Row],[Date]]-DAY(Table9[[#This Row],[Date]])+1</f>
        <v>45748</v>
      </c>
      <c r="F9" s="285">
        <v>45769</v>
      </c>
      <c r="G9" t="s">
        <v>406</v>
      </c>
      <c r="H9" t="str">
        <f>IFERROR(_xlfn.XLOOKUP(Table9[[#This Row],[Affected Feeder ]],'Basic Data'!$A:$A,'Basic Data'!$B:$B),"")</f>
        <v>PWEPL</v>
      </c>
      <c r="I9" t="str">
        <f>IFERROR(_xlfn.XLOOKUP(Table9[[#This Row],[Affected Feeder ]],'Basic Data'!$A:$A,'Basic Data'!$C:$C),"")</f>
        <v>MSEDCL</v>
      </c>
      <c r="J9" s="303">
        <f>IFERROR(_xlfn.XLOOKUP(Table9[[#This Row],[Affected Feeder ]],'Basic Data'!$A:$A,'Basic Data'!$E:$E),"")</f>
        <v>0.29545454545454541</v>
      </c>
      <c r="K9" t="s">
        <v>407</v>
      </c>
      <c r="M9" s="299">
        <v>0.43194444444444446</v>
      </c>
      <c r="N9" s="300">
        <v>0.43194444444444446</v>
      </c>
      <c r="O9" s="300">
        <v>0.77777777777777779</v>
      </c>
      <c r="P9" s="18">
        <f>(Table9[[#This Row],[Work Start TimeStamp]]-Table9[[#This Row],[Fault Start TimeStamp]])*24</f>
        <v>0</v>
      </c>
      <c r="Q9" s="18">
        <f>IF(Table9[[#This Row],[Work Start TimeStamp]]="","",(Table9[[#This Row],[Fault Clearance time]]-Table9[[#This Row],[Work Start TimeStamp]])*24)</f>
        <v>8.3000000000000007</v>
      </c>
      <c r="R9" s="18">
        <f>(Table9[[#This Row],[Fault Clearance time]]-Table9[[#This Row],[Fault Start TimeStamp]])*24</f>
        <v>8.3000000000000007</v>
      </c>
      <c r="S9" s="301" t="s">
        <v>408</v>
      </c>
      <c r="T9" s="1" t="s">
        <v>339</v>
      </c>
      <c r="U9" s="302">
        <f>IFERROR(Table9[[#This Row],[Breakdown Time]]*Table9[[#This Row],[Plant Equivalent Weightage]],"")</f>
        <v>2.4522727272727272</v>
      </c>
      <c r="V9" s="302" t="s">
        <v>403</v>
      </c>
      <c r="W9" s="302" t="s">
        <v>402</v>
      </c>
      <c r="X9" s="302"/>
      <c r="Y9">
        <v>12270</v>
      </c>
      <c r="AA9" s="85">
        <f>IF(Table9[[#This Row],[Breakdown Type]]="Curtailment Order",(((100%*(24-Table9[[#This Row],[Plant Equivalent breakdown]]))+(((Table9[[#This Row],[Curtailment Order imit.]])/50.6)*Table9[[#This Row],[Plant Equivalent breakdown]]))/24),1)</f>
        <v>1</v>
      </c>
    </row>
    <row r="10" spans="1:29">
      <c r="A10" s="79">
        <f t="shared" si="0"/>
        <v>9</v>
      </c>
      <c r="B10" s="79">
        <f>YEAR(Table9[[#This Row],[Date]])+IF(MONTH(Table9[[#This Row],[Date]])&gt;=4,1,0)</f>
        <v>2026</v>
      </c>
      <c r="C10" s="79">
        <f>YEAR(Table9[[#This Row],[Date]])</f>
        <v>2025</v>
      </c>
      <c r="D10" s="79" t="s">
        <v>344</v>
      </c>
      <c r="E10" s="284">
        <f>Table9[[#This Row],[Date]]-DAY(Table9[[#This Row],[Date]])+1</f>
        <v>45778</v>
      </c>
      <c r="F10" s="285">
        <v>45790</v>
      </c>
      <c r="G10" t="s">
        <v>405</v>
      </c>
      <c r="H10" t="str">
        <f>IFERROR(_xlfn.XLOOKUP(Table9[[#This Row],[Affected Feeder ]],'Basic Data'!$A:$A,'Basic Data'!$B:$B),"")</f>
        <v>PWEPL</v>
      </c>
      <c r="I10" t="str">
        <f>IFERROR(_xlfn.XLOOKUP(Table9[[#This Row],[Affected Feeder ]],'Basic Data'!$A:$A,'Basic Data'!$C:$C),"")</f>
        <v>MSEDCL</v>
      </c>
      <c r="J10" s="303">
        <f>IFERROR(_xlfn.XLOOKUP(Table9[[#This Row],[Affected Feeder ]],'Basic Data'!$A:$A,'Basic Data'!$E:$E),"")</f>
        <v>0.20454545454545453</v>
      </c>
      <c r="K10" t="s">
        <v>805</v>
      </c>
      <c r="M10" s="299">
        <v>0.41666666666666669</v>
      </c>
      <c r="N10" s="300">
        <v>0.41666666666666669</v>
      </c>
      <c r="O10" s="300">
        <v>0.69444444444444453</v>
      </c>
      <c r="P10" s="18">
        <f>(Table9[[#This Row],[Work Start TimeStamp]]-Table9[[#This Row],[Fault Start TimeStamp]])*24</f>
        <v>0</v>
      </c>
      <c r="Q10" s="18">
        <f>IF(Table9[[#This Row],[Work Start TimeStamp]]="","",(Table9[[#This Row],[Fault Clearance time]]-Table9[[#This Row],[Work Start TimeStamp]])*24)</f>
        <v>6.6666666666666679</v>
      </c>
      <c r="R10" s="18">
        <f>(Table9[[#This Row],[Fault Clearance time]]-Table9[[#This Row],[Fault Start TimeStamp]])*24</f>
        <v>6.6666666666666679</v>
      </c>
      <c r="S10" s="301" t="s">
        <v>806</v>
      </c>
      <c r="T10" s="1" t="s">
        <v>339</v>
      </c>
      <c r="U10" s="302">
        <f>IFERROR(Table9[[#This Row],[Breakdown Time]]*Table9[[#This Row],[Plant Equivalent Weightage]],"")</f>
        <v>1.3636363636363638</v>
      </c>
      <c r="V10" s="302" t="s">
        <v>403</v>
      </c>
      <c r="W10" s="302" t="s">
        <v>402</v>
      </c>
      <c r="X10" s="302"/>
      <c r="Y10">
        <v>4737</v>
      </c>
      <c r="AA10" s="85">
        <f>IF(Table9[[#This Row],[Breakdown Type]]="Curtailment Order",(((100%*(24-Table9[[#This Row],[Plant Equivalent breakdown]]))+(((Table9[[#This Row],[Curtailment Order imit.]])/50.6)*Table9[[#This Row],[Plant Equivalent breakdown]]))/24),1)</f>
        <v>1</v>
      </c>
    </row>
    <row r="11" spans="1:29">
      <c r="A11" s="79">
        <f t="shared" si="0"/>
        <v>10</v>
      </c>
      <c r="B11" s="79">
        <f>YEAR(Table9[[#This Row],[Date]])+IF(MONTH(Table9[[#This Row],[Date]])&gt;=4,1,0)</f>
        <v>2026</v>
      </c>
      <c r="C11" s="79">
        <f>YEAR(Table9[[#This Row],[Date]])</f>
        <v>2025</v>
      </c>
      <c r="D11" s="79" t="s">
        <v>344</v>
      </c>
      <c r="E11" s="284">
        <f>Table9[[#This Row],[Date]]-DAY(Table9[[#This Row],[Date]])+1</f>
        <v>45778</v>
      </c>
      <c r="F11" s="285">
        <v>45790</v>
      </c>
      <c r="G11" t="s">
        <v>406</v>
      </c>
      <c r="H11" t="str">
        <f>IFERROR(_xlfn.XLOOKUP(Table9[[#This Row],[Affected Feeder ]],'Basic Data'!$A:$A,'Basic Data'!$B:$B),"")</f>
        <v>PWEPL</v>
      </c>
      <c r="I11" t="str">
        <f>IFERROR(_xlfn.XLOOKUP(Table9[[#This Row],[Affected Feeder ]],'Basic Data'!$A:$A,'Basic Data'!$C:$C),"")</f>
        <v>MSEDCL</v>
      </c>
      <c r="J11" s="303">
        <f>IFERROR(_xlfn.XLOOKUP(Table9[[#This Row],[Affected Feeder ]],'Basic Data'!$A:$A,'Basic Data'!$E:$E),"")</f>
        <v>0.29545454545454541</v>
      </c>
      <c r="K11" t="s">
        <v>805</v>
      </c>
      <c r="M11" s="299">
        <v>0.41666666666666669</v>
      </c>
      <c r="N11" s="300">
        <v>0.41666666666666669</v>
      </c>
      <c r="O11" s="300">
        <v>0.69444444444444453</v>
      </c>
      <c r="P11" s="18">
        <f>(Table9[[#This Row],[Work Start TimeStamp]]-Table9[[#This Row],[Fault Start TimeStamp]])*24</f>
        <v>0</v>
      </c>
      <c r="Q11" s="18">
        <f>IF(Table9[[#This Row],[Work Start TimeStamp]]="","",(Table9[[#This Row],[Fault Clearance time]]-Table9[[#This Row],[Work Start TimeStamp]])*24)</f>
        <v>6.6666666666666679</v>
      </c>
      <c r="R11" s="18">
        <f>(Table9[[#This Row],[Fault Clearance time]]-Table9[[#This Row],[Fault Start TimeStamp]])*24</f>
        <v>6.6666666666666679</v>
      </c>
      <c r="S11" s="301" t="s">
        <v>806</v>
      </c>
      <c r="T11" s="1" t="s">
        <v>339</v>
      </c>
      <c r="U11" s="302">
        <f>IFERROR(Table9[[#This Row],[Breakdown Time]]*Table9[[#This Row],[Plant Equivalent Weightage]],"")</f>
        <v>1.9696969696969697</v>
      </c>
      <c r="V11" s="302" t="s">
        <v>403</v>
      </c>
      <c r="W11" s="302" t="s">
        <v>402</v>
      </c>
      <c r="X11" s="302"/>
      <c r="Y11">
        <v>6724</v>
      </c>
      <c r="AA11" s="85">
        <f>IF(Table9[[#This Row],[Breakdown Type]]="Curtailment Order",(((100%*(24-Table9[[#This Row],[Plant Equivalent breakdown]]))+(((Table9[[#This Row],[Curtailment Order imit.]])/50.6)*Table9[[#This Row],[Plant Equivalent breakdown]]))/24),1)</f>
        <v>1</v>
      </c>
    </row>
    <row r="12" spans="1:29">
      <c r="A12" s="79">
        <f t="shared" si="0"/>
        <v>11</v>
      </c>
      <c r="B12" s="79">
        <f>YEAR(Table9[[#This Row],[Date]])+IF(MONTH(Table9[[#This Row],[Date]])&gt;=4,1,0)</f>
        <v>2026</v>
      </c>
      <c r="C12" s="79">
        <f>YEAR(Table9[[#This Row],[Date]])</f>
        <v>2025</v>
      </c>
      <c r="D12" s="79" t="s">
        <v>344</v>
      </c>
      <c r="E12" s="284">
        <f>Table9[[#This Row],[Date]]-DAY(Table9[[#This Row],[Date]])+1</f>
        <v>45809</v>
      </c>
      <c r="F12" s="285">
        <v>45818</v>
      </c>
      <c r="G12" t="s">
        <v>399</v>
      </c>
      <c r="H12" t="str">
        <f>IFERROR(_xlfn.XLOOKUP(Table9[[#This Row],[Affected Feeder ]],'Basic Data'!$A:$A,'Basic Data'!$B:$B),"")</f>
        <v>PWEPL</v>
      </c>
      <c r="I12" t="str">
        <f>IFERROR(_xlfn.XLOOKUP(Table9[[#This Row],[Affected Feeder ]],'Basic Data'!$A:$A,'Basic Data'!$C:$C),"")</f>
        <v>MSEDCL</v>
      </c>
      <c r="J12" s="303">
        <f>IFERROR(_xlfn.XLOOKUP(Table9[[#This Row],[Affected Feeder ]],'Basic Data'!$A:$A,'Basic Data'!$E:$E),"")</f>
        <v>0.22727272727272727</v>
      </c>
      <c r="K12" t="s">
        <v>892</v>
      </c>
      <c r="M12" s="299">
        <v>0.45694444444444443</v>
      </c>
      <c r="N12" s="300">
        <v>0.45694444444444443</v>
      </c>
      <c r="O12" s="300">
        <v>0.57013888888888886</v>
      </c>
      <c r="P12" s="18">
        <f>(Table9[[#This Row],[Work Start TimeStamp]]-Table9[[#This Row],[Fault Start TimeStamp]])*24</f>
        <v>0</v>
      </c>
      <c r="Q12" s="18">
        <f>IF(Table9[[#This Row],[Work Start TimeStamp]]="","",(Table9[[#This Row],[Fault Clearance time]]-Table9[[#This Row],[Work Start TimeStamp]])*24)</f>
        <v>2.7166666666666663</v>
      </c>
      <c r="R12" s="18">
        <f>(Table9[[#This Row],[Fault Clearance time]]-Table9[[#This Row],[Fault Start TimeStamp]])*24</f>
        <v>2.7166666666666663</v>
      </c>
      <c r="S12" s="301" t="s">
        <v>893</v>
      </c>
      <c r="T12" s="1" t="s">
        <v>339</v>
      </c>
      <c r="U12" s="302">
        <f>IFERROR(Table9[[#This Row],[Breakdown Time]]*Table9[[#This Row],[Plant Equivalent Weightage]],"")</f>
        <v>0.61742424242424232</v>
      </c>
      <c r="V12" s="302" t="s">
        <v>403</v>
      </c>
      <c r="W12" s="302" t="s">
        <v>402</v>
      </c>
      <c r="X12" s="302"/>
      <c r="Y12">
        <v>18741</v>
      </c>
      <c r="AA12" s="85">
        <f>IF(Table9[[#This Row],[Breakdown Type]]="Curtailment Order",(((100%*(24-Table9[[#This Row],[Plant Equivalent breakdown]]))+(((Table9[[#This Row],[Curtailment Order imit.]])/50.6)*Table9[[#This Row],[Plant Equivalent breakdown]]))/24),1)</f>
        <v>1</v>
      </c>
    </row>
    <row r="13" spans="1:29">
      <c r="A13" s="79">
        <f t="shared" si="0"/>
        <v>12</v>
      </c>
      <c r="B13" s="79">
        <f>YEAR(Table9[[#This Row],[Date]])+IF(MONTH(Table9[[#This Row],[Date]])&gt;=4,1,0)</f>
        <v>2026</v>
      </c>
      <c r="C13" s="79">
        <f>YEAR(Table9[[#This Row],[Date]])</f>
        <v>2025</v>
      </c>
      <c r="D13" s="79" t="s">
        <v>344</v>
      </c>
      <c r="E13" s="284">
        <f>Table9[[#This Row],[Date]]-DAY(Table9[[#This Row],[Date]])+1</f>
        <v>45809</v>
      </c>
      <c r="F13" s="285">
        <v>45818</v>
      </c>
      <c r="G13" t="s">
        <v>404</v>
      </c>
      <c r="H13" t="str">
        <f>IFERROR(_xlfn.XLOOKUP(Table9[[#This Row],[Affected Feeder ]],'Basic Data'!$A:$A,'Basic Data'!$B:$B),"")</f>
        <v>PWEPL</v>
      </c>
      <c r="I13" t="str">
        <f>IFERROR(_xlfn.XLOOKUP(Table9[[#This Row],[Affected Feeder ]],'Basic Data'!$A:$A,'Basic Data'!$C:$C),"")</f>
        <v>MSEDCL</v>
      </c>
      <c r="J13" s="303">
        <f>IFERROR(_xlfn.XLOOKUP(Table9[[#This Row],[Affected Feeder ]],'Basic Data'!$A:$A,'Basic Data'!$E:$E),"")</f>
        <v>0.27272727272727276</v>
      </c>
      <c r="K13" t="s">
        <v>892</v>
      </c>
      <c r="M13" s="299">
        <v>0.46875</v>
      </c>
      <c r="N13" s="300">
        <v>0.46875</v>
      </c>
      <c r="O13" s="300">
        <v>0.5708333333333333</v>
      </c>
      <c r="P13" s="18">
        <f>(Table9[[#This Row],[Work Start TimeStamp]]-Table9[[#This Row],[Fault Start TimeStamp]])*24</f>
        <v>0</v>
      </c>
      <c r="Q13" s="18">
        <f>IF(Table9[[#This Row],[Work Start TimeStamp]]="","",(Table9[[#This Row],[Fault Clearance time]]-Table9[[#This Row],[Work Start TimeStamp]])*24)</f>
        <v>2.4499999999999993</v>
      </c>
      <c r="R13" s="18">
        <f>(Table9[[#This Row],[Fault Clearance time]]-Table9[[#This Row],[Fault Start TimeStamp]])*24</f>
        <v>2.4499999999999993</v>
      </c>
      <c r="S13" s="301" t="s">
        <v>893</v>
      </c>
      <c r="T13" s="1" t="s">
        <v>339</v>
      </c>
      <c r="U13" s="302">
        <f>IFERROR(Table9[[#This Row],[Breakdown Time]]*Table9[[#This Row],[Plant Equivalent Weightage]],"")</f>
        <v>0.6681818181818181</v>
      </c>
      <c r="V13" s="302" t="s">
        <v>403</v>
      </c>
      <c r="W13" s="302" t="s">
        <v>402</v>
      </c>
      <c r="X13" s="302"/>
      <c r="Y13">
        <v>20430</v>
      </c>
      <c r="AA13" s="85">
        <f>IF(Table9[[#This Row],[Breakdown Type]]="Curtailment Order",(((100%*(24-Table9[[#This Row],[Plant Equivalent breakdown]]))+(((Table9[[#This Row],[Curtailment Order imit.]])/50.6)*Table9[[#This Row],[Plant Equivalent breakdown]]))/24),1)</f>
        <v>1</v>
      </c>
    </row>
    <row r="14" spans="1:29">
      <c r="A14" s="79">
        <f t="shared" si="0"/>
        <v>13</v>
      </c>
      <c r="B14" s="79">
        <f>YEAR(Table9[[#This Row],[Date]])+IF(MONTH(Table9[[#This Row],[Date]])&gt;=4,1,0)</f>
        <v>2026</v>
      </c>
      <c r="C14" s="79">
        <f>YEAR(Table9[[#This Row],[Date]])</f>
        <v>2025</v>
      </c>
      <c r="D14" s="79" t="s">
        <v>344</v>
      </c>
      <c r="E14" s="284">
        <f>Table9[[#This Row],[Date]]-DAY(Table9[[#This Row],[Date]])+1</f>
        <v>45809</v>
      </c>
      <c r="F14" s="285">
        <v>45818</v>
      </c>
      <c r="G14" t="s">
        <v>405</v>
      </c>
      <c r="H14" t="str">
        <f>IFERROR(_xlfn.XLOOKUP(Table9[[#This Row],[Affected Feeder ]],'Basic Data'!$A:$A,'Basic Data'!$B:$B),"")</f>
        <v>PWEPL</v>
      </c>
      <c r="I14" t="str">
        <f>IFERROR(_xlfn.XLOOKUP(Table9[[#This Row],[Affected Feeder ]],'Basic Data'!$A:$A,'Basic Data'!$C:$C),"")</f>
        <v>MSEDCL</v>
      </c>
      <c r="J14" s="303">
        <f>IFERROR(_xlfn.XLOOKUP(Table9[[#This Row],[Affected Feeder ]],'Basic Data'!$A:$A,'Basic Data'!$E:$E),"")</f>
        <v>0.20454545454545453</v>
      </c>
      <c r="K14" t="s">
        <v>892</v>
      </c>
      <c r="M14" s="299">
        <v>0.55902777777777779</v>
      </c>
      <c r="N14" s="300">
        <v>0.55902777777777779</v>
      </c>
      <c r="O14" s="300">
        <v>0.59583333333333333</v>
      </c>
      <c r="P14" s="18">
        <f>(Table9[[#This Row],[Work Start TimeStamp]]-Table9[[#This Row],[Fault Start TimeStamp]])*24</f>
        <v>0</v>
      </c>
      <c r="Q14" s="18">
        <f>IF(Table9[[#This Row],[Work Start TimeStamp]]="","",(Table9[[#This Row],[Fault Clearance time]]-Table9[[#This Row],[Work Start TimeStamp]])*24)</f>
        <v>0.88333333333333286</v>
      </c>
      <c r="R14" s="18">
        <f>(Table9[[#This Row],[Fault Clearance time]]-Table9[[#This Row],[Fault Start TimeStamp]])*24</f>
        <v>0.88333333333333286</v>
      </c>
      <c r="S14" s="301" t="s">
        <v>893</v>
      </c>
      <c r="T14" s="1" t="s">
        <v>339</v>
      </c>
      <c r="U14" s="302">
        <f>IFERROR(Table9[[#This Row],[Breakdown Time]]*Table9[[#This Row],[Plant Equivalent Weightage]],"")</f>
        <v>0.18068181818181808</v>
      </c>
      <c r="V14" s="302" t="s">
        <v>403</v>
      </c>
      <c r="W14" s="302" t="s">
        <v>402</v>
      </c>
      <c r="X14" s="302"/>
      <c r="Y14">
        <v>5386</v>
      </c>
      <c r="AA14" s="85">
        <f>IF(Table9[[#This Row],[Breakdown Type]]="Curtailment Order",(((100%*(24-Table9[[#This Row],[Plant Equivalent breakdown]]))+(((Table9[[#This Row],[Curtailment Order imit.]])/50.6)*Table9[[#This Row],[Plant Equivalent breakdown]]))/24),1)</f>
        <v>1</v>
      </c>
    </row>
    <row r="15" spans="1:29">
      <c r="A15" s="79">
        <f t="shared" si="0"/>
        <v>14</v>
      </c>
      <c r="B15" s="79">
        <f>YEAR(Table9[[#This Row],[Date]])+IF(MONTH(Table9[[#This Row],[Date]])&gt;=4,1,0)</f>
        <v>2026</v>
      </c>
      <c r="C15" s="79">
        <f>YEAR(Table9[[#This Row],[Date]])</f>
        <v>2025</v>
      </c>
      <c r="D15" s="79" t="s">
        <v>344</v>
      </c>
      <c r="E15" s="284">
        <f>Table9[[#This Row],[Date]]-DAY(Table9[[#This Row],[Date]])+1</f>
        <v>45839</v>
      </c>
      <c r="F15" s="285">
        <v>45860</v>
      </c>
      <c r="G15" t="s">
        <v>405</v>
      </c>
      <c r="H15" t="str">
        <f>IFERROR(_xlfn.XLOOKUP(Table9[[#This Row],[Affected Feeder ]],'Basic Data'!$A:$A,'Basic Data'!$B:$B),"")</f>
        <v>PWEPL</v>
      </c>
      <c r="I15" t="str">
        <f>IFERROR(_xlfn.XLOOKUP(Table9[[#This Row],[Affected Feeder ]],'Basic Data'!$A:$A,'Basic Data'!$C:$C),"")</f>
        <v>MSEDCL</v>
      </c>
      <c r="J15" s="356">
        <f>IFERROR(_xlfn.XLOOKUP(Table9[[#This Row],[Affected Feeder ]],'Basic Data'!$A:$A,'Basic Data'!$E:$E),"")</f>
        <v>0.20454545454545453</v>
      </c>
      <c r="K15" t="s">
        <v>987</v>
      </c>
      <c r="M15" s="299">
        <v>0.44097222222222227</v>
      </c>
      <c r="N15" s="300">
        <v>0.44097222222222227</v>
      </c>
      <c r="O15" s="300">
        <v>0.51041666666666663</v>
      </c>
      <c r="P15" s="357">
        <f>(Table9[[#This Row],[Work Start TimeStamp]]-Table9[[#This Row],[Fault Start TimeStamp]])*24</f>
        <v>0</v>
      </c>
      <c r="Q15" s="357">
        <f>IF(Table9[[#This Row],[Work Start TimeStamp]]="","",(Table9[[#This Row],[Fault Clearance time]]-Table9[[#This Row],[Work Start TimeStamp]])*24)</f>
        <v>1.6666666666666647</v>
      </c>
      <c r="R15" s="357">
        <f>(Table9[[#This Row],[Fault Clearance time]]-Table9[[#This Row],[Fault Start TimeStamp]])*24</f>
        <v>1.6666666666666647</v>
      </c>
      <c r="S15" s="358" t="s">
        <v>988</v>
      </c>
      <c r="T15" s="1" t="s">
        <v>339</v>
      </c>
      <c r="U15" s="359">
        <f>IFERROR(Table9[[#This Row],[Breakdown Time]]*Table9[[#This Row],[Plant Equivalent Weightage]],"")</f>
        <v>0.3409090909090905</v>
      </c>
      <c r="V15" s="302" t="s">
        <v>403</v>
      </c>
      <c r="W15" s="302" t="s">
        <v>402</v>
      </c>
      <c r="X15" s="359"/>
      <c r="Y15">
        <v>9275</v>
      </c>
      <c r="AA15" s="85">
        <f>IF(Table9[[#This Row],[Breakdown Type]]="Curtailment Order",(((100%*(24-Table9[[#This Row],[Plant Equivalent breakdown]]))+(((Table9[[#This Row],[Curtailment Order imit.]])/50.6)*Table9[[#This Row],[Plant Equivalent breakdown]]))/24),1)</f>
        <v>1</v>
      </c>
    </row>
    <row r="16" spans="1:29">
      <c r="A16" s="79">
        <f t="shared" si="0"/>
        <v>15</v>
      </c>
      <c r="B16" s="79">
        <f>YEAR(Table9[[#This Row],[Date]])+IF(MONTH(Table9[[#This Row],[Date]])&gt;=4,1,0)</f>
        <v>2026</v>
      </c>
      <c r="C16" s="79">
        <f>YEAR(Table9[[#This Row],[Date]])</f>
        <v>2025</v>
      </c>
      <c r="D16" s="79" t="s">
        <v>344</v>
      </c>
      <c r="E16" s="284">
        <f>Table9[[#This Row],[Date]]-DAY(Table9[[#This Row],[Date]])+1</f>
        <v>45839</v>
      </c>
      <c r="F16" s="285">
        <v>45860</v>
      </c>
      <c r="G16" t="s">
        <v>406</v>
      </c>
      <c r="H16" t="str">
        <f>IFERROR(_xlfn.XLOOKUP(Table9[[#This Row],[Affected Feeder ]],'Basic Data'!$A:$A,'Basic Data'!$B:$B),"")</f>
        <v>PWEPL</v>
      </c>
      <c r="I16" t="str">
        <f>IFERROR(_xlfn.XLOOKUP(Table9[[#This Row],[Affected Feeder ]],'Basic Data'!$A:$A,'Basic Data'!$C:$C),"")</f>
        <v>MSEDCL</v>
      </c>
      <c r="J16" s="356">
        <f>IFERROR(_xlfn.XLOOKUP(Table9[[#This Row],[Affected Feeder ]],'Basic Data'!$A:$A,'Basic Data'!$E:$E),"")</f>
        <v>0.29545454545454541</v>
      </c>
      <c r="K16" t="s">
        <v>987</v>
      </c>
      <c r="M16" s="299">
        <v>0.4993055555555555</v>
      </c>
      <c r="N16" s="300">
        <v>0.4993055555555555</v>
      </c>
      <c r="O16" s="300">
        <v>0.54513888888888895</v>
      </c>
      <c r="P16" s="357">
        <f>(Table9[[#This Row],[Work Start TimeStamp]]-Table9[[#This Row],[Fault Start TimeStamp]])*24</f>
        <v>0</v>
      </c>
      <c r="Q16" s="357">
        <f>IF(Table9[[#This Row],[Work Start TimeStamp]]="","",(Table9[[#This Row],[Fault Clearance time]]-Table9[[#This Row],[Work Start TimeStamp]])*24)</f>
        <v>1.1000000000000028</v>
      </c>
      <c r="R16" s="357">
        <f>(Table9[[#This Row],[Fault Clearance time]]-Table9[[#This Row],[Fault Start TimeStamp]])*24</f>
        <v>1.1000000000000028</v>
      </c>
      <c r="S16" s="358" t="s">
        <v>988</v>
      </c>
      <c r="T16" s="1" t="s">
        <v>339</v>
      </c>
      <c r="U16" s="359">
        <f>IFERROR(Table9[[#This Row],[Breakdown Time]]*Table9[[#This Row],[Plant Equivalent Weightage]],"")</f>
        <v>0.32500000000000079</v>
      </c>
      <c r="V16" s="302" t="s">
        <v>403</v>
      </c>
      <c r="W16" s="302" t="s">
        <v>402</v>
      </c>
      <c r="X16" s="359"/>
      <c r="Y16">
        <v>8504</v>
      </c>
      <c r="AA16" s="85">
        <f>IF(Table9[[#This Row],[Breakdown Type]]="Curtailment Order",(((100%*(24-Table9[[#This Row],[Plant Equivalent breakdown]]))+(((Table9[[#This Row],[Curtailment Order imit.]])/50.6)*Table9[[#This Row],[Plant Equivalent breakdown]]))/24),1)</f>
        <v>1</v>
      </c>
    </row>
  </sheetData>
  <dataValidations count="1">
    <dataValidation type="decimal" allowBlank="1" showInputMessage="1" showErrorMessage="1" sqref="Z2:Z16" xr:uid="{00000000-0002-0000-0900-000000000000}">
      <formula1>0</formula1>
      <formula2>50.6</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1000000}">
          <x14:formula1>
            <xm:f>'Basic Data'!$A$47:$A$50</xm:f>
          </x14:formula1>
          <xm:sqref>G2:G1048576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Q178"/>
  <sheetViews>
    <sheetView zoomScale="90" zoomScaleNormal="90" workbookViewId="0">
      <pane xSplit="3" ySplit="2" topLeftCell="D160" activePane="bottomRight" state="frozen"/>
      <selection pane="topRight" activeCell="D1" sqref="D1"/>
      <selection pane="bottomLeft" activeCell="A3" sqref="A3"/>
      <selection pane="bottomRight" activeCell="O187" sqref="O187"/>
    </sheetView>
  </sheetViews>
  <sheetFormatPr defaultColWidth="9.42578125" defaultRowHeight="14.25"/>
  <cols>
    <col min="1" max="1" width="6.5703125" style="88" customWidth="1"/>
    <col min="2" max="2" width="14.5703125" style="88" customWidth="1"/>
    <col min="3" max="3" width="18.42578125" style="88" hidden="1" customWidth="1"/>
    <col min="4" max="4" width="7.42578125" style="88" customWidth="1"/>
    <col min="5" max="5" width="7.5703125" style="88" customWidth="1"/>
    <col min="6" max="6" width="9.42578125" style="88" customWidth="1"/>
    <col min="7" max="7" width="16.42578125" style="88" hidden="1" customWidth="1"/>
    <col min="8" max="8" width="11" style="88" customWidth="1"/>
    <col min="9" max="9" width="13.42578125" style="88" customWidth="1"/>
    <col min="10" max="10" width="14.42578125" style="88" customWidth="1"/>
    <col min="11" max="12" width="14.5703125" style="88" customWidth="1"/>
    <col min="13" max="14" width="8.42578125" style="88" customWidth="1"/>
    <col min="15" max="15" width="48.5703125" style="88" bestFit="1" customWidth="1"/>
    <col min="16" max="16384" width="9.42578125" style="88"/>
  </cols>
  <sheetData>
    <row r="2" spans="1:15" s="89" customFormat="1" ht="57">
      <c r="A2" s="89" t="s">
        <v>8</v>
      </c>
      <c r="B2" s="89" t="s">
        <v>458</v>
      </c>
      <c r="C2" s="89" t="s">
        <v>459</v>
      </c>
      <c r="D2" s="89" t="s">
        <v>460</v>
      </c>
      <c r="E2" s="89" t="s">
        <v>461</v>
      </c>
      <c r="F2" s="89" t="s">
        <v>462</v>
      </c>
      <c r="G2" s="89" t="s">
        <v>463</v>
      </c>
      <c r="H2" s="89" t="s">
        <v>464</v>
      </c>
      <c r="I2" s="90" t="s">
        <v>465</v>
      </c>
      <c r="J2" s="90" t="s">
        <v>466</v>
      </c>
      <c r="K2" s="90" t="s">
        <v>467</v>
      </c>
      <c r="L2" s="90" t="s">
        <v>468</v>
      </c>
      <c r="M2" s="90" t="s">
        <v>469</v>
      </c>
      <c r="N2" s="90" t="s">
        <v>470</v>
      </c>
      <c r="O2" s="89" t="s">
        <v>471</v>
      </c>
    </row>
    <row r="3" spans="1:15" s="89" customFormat="1">
      <c r="A3" s="89">
        <v>1</v>
      </c>
      <c r="B3" s="89" t="s">
        <v>848</v>
      </c>
      <c r="D3" s="89">
        <v>2024</v>
      </c>
      <c r="E3" s="89">
        <v>2023</v>
      </c>
      <c r="F3" s="89">
        <v>11</v>
      </c>
      <c r="H3" s="89" t="s">
        <v>859</v>
      </c>
      <c r="I3" s="242">
        <v>45201</v>
      </c>
      <c r="J3" s="90"/>
      <c r="K3" s="242">
        <v>45204</v>
      </c>
      <c r="L3" s="90"/>
      <c r="M3" s="89">
        <v>3</v>
      </c>
      <c r="N3" s="90"/>
      <c r="O3" s="89" t="s">
        <v>862</v>
      </c>
    </row>
    <row r="4" spans="1:15" s="89" customFormat="1">
      <c r="A4" s="89">
        <v>2</v>
      </c>
      <c r="B4" s="89" t="s">
        <v>843</v>
      </c>
      <c r="D4" s="89">
        <v>2024</v>
      </c>
      <c r="E4" s="89">
        <v>2023</v>
      </c>
      <c r="F4" s="89">
        <v>11</v>
      </c>
      <c r="H4" s="89" t="s">
        <v>859</v>
      </c>
      <c r="I4" s="242">
        <v>45202</v>
      </c>
      <c r="J4" s="90"/>
      <c r="K4" s="242">
        <v>45205</v>
      </c>
      <c r="L4" s="90"/>
      <c r="M4" s="89">
        <v>3</v>
      </c>
      <c r="N4" s="90"/>
      <c r="O4" s="89" t="s">
        <v>862</v>
      </c>
    </row>
    <row r="5" spans="1:15" s="89" customFormat="1">
      <c r="A5" s="89">
        <v>3</v>
      </c>
      <c r="B5" s="89" t="s">
        <v>846</v>
      </c>
      <c r="D5" s="89">
        <v>2024</v>
      </c>
      <c r="E5" s="89">
        <v>2023</v>
      </c>
      <c r="F5" s="89">
        <v>11</v>
      </c>
      <c r="H5" s="89" t="s">
        <v>859</v>
      </c>
      <c r="I5" s="242">
        <v>45203</v>
      </c>
      <c r="J5" s="90"/>
      <c r="K5" s="242">
        <v>45206</v>
      </c>
      <c r="L5" s="90"/>
      <c r="M5" s="89">
        <v>3</v>
      </c>
      <c r="N5" s="90"/>
      <c r="O5" s="89" t="s">
        <v>862</v>
      </c>
    </row>
    <row r="6" spans="1:15" s="89" customFormat="1">
      <c r="A6" s="89">
        <v>4</v>
      </c>
      <c r="B6" s="89" t="s">
        <v>835</v>
      </c>
      <c r="D6" s="89">
        <v>2024</v>
      </c>
      <c r="E6" s="89">
        <v>2023</v>
      </c>
      <c r="F6" s="89">
        <v>11</v>
      </c>
      <c r="H6" s="89" t="s">
        <v>859</v>
      </c>
      <c r="I6" s="242">
        <v>45204</v>
      </c>
      <c r="J6" s="90"/>
      <c r="K6" s="238">
        <v>45210</v>
      </c>
      <c r="L6" s="90"/>
      <c r="M6" s="89">
        <v>6</v>
      </c>
      <c r="N6" s="90"/>
      <c r="O6" s="89" t="s">
        <v>862</v>
      </c>
    </row>
    <row r="7" spans="1:15" s="89" customFormat="1">
      <c r="A7" s="89">
        <v>5</v>
      </c>
      <c r="B7" s="89" t="s">
        <v>836</v>
      </c>
      <c r="D7" s="89">
        <v>2024</v>
      </c>
      <c r="E7" s="89">
        <v>2023</v>
      </c>
      <c r="F7" s="89">
        <v>11</v>
      </c>
      <c r="H7" s="89" t="s">
        <v>859</v>
      </c>
      <c r="I7" s="242">
        <v>45205</v>
      </c>
      <c r="J7" s="90"/>
      <c r="K7" s="238">
        <v>45211</v>
      </c>
      <c r="L7" s="90"/>
      <c r="M7" s="89">
        <v>6</v>
      </c>
      <c r="N7" s="90"/>
      <c r="O7" s="89" t="s">
        <v>862</v>
      </c>
    </row>
    <row r="8" spans="1:15" s="89" customFormat="1">
      <c r="A8" s="89">
        <v>6</v>
      </c>
      <c r="B8" s="89" t="s">
        <v>837</v>
      </c>
      <c r="D8" s="89">
        <v>2024</v>
      </c>
      <c r="E8" s="89">
        <v>2023</v>
      </c>
      <c r="F8" s="89">
        <v>11</v>
      </c>
      <c r="H8" s="89" t="s">
        <v>859</v>
      </c>
      <c r="I8" s="242">
        <v>45206</v>
      </c>
      <c r="J8" s="90"/>
      <c r="K8" s="238">
        <v>45212</v>
      </c>
      <c r="L8" s="90"/>
      <c r="M8" s="89">
        <v>6</v>
      </c>
      <c r="N8" s="90"/>
      <c r="O8" s="89" t="s">
        <v>862</v>
      </c>
    </row>
    <row r="9" spans="1:15" s="89" customFormat="1">
      <c r="A9" s="89">
        <v>7</v>
      </c>
      <c r="B9" s="89" t="s">
        <v>838</v>
      </c>
      <c r="D9" s="89">
        <v>2024</v>
      </c>
      <c r="E9" s="89">
        <v>2023</v>
      </c>
      <c r="F9" s="89">
        <v>11</v>
      </c>
      <c r="H9" s="89" t="s">
        <v>859</v>
      </c>
      <c r="I9" s="242">
        <v>45208</v>
      </c>
      <c r="J9" s="90"/>
      <c r="K9" s="238">
        <v>45213</v>
      </c>
      <c r="L9" s="90"/>
      <c r="M9" s="89">
        <v>5</v>
      </c>
      <c r="N9" s="90"/>
      <c r="O9" s="89" t="s">
        <v>862</v>
      </c>
    </row>
    <row r="10" spans="1:15" s="89" customFormat="1">
      <c r="A10" s="89">
        <v>8</v>
      </c>
      <c r="B10" s="89" t="s">
        <v>839</v>
      </c>
      <c r="D10" s="89">
        <v>2024</v>
      </c>
      <c r="E10" s="89">
        <v>2023</v>
      </c>
      <c r="F10" s="89">
        <v>11</v>
      </c>
      <c r="H10" s="89" t="s">
        <v>859</v>
      </c>
      <c r="I10" s="242">
        <v>45209</v>
      </c>
      <c r="J10" s="90"/>
      <c r="K10" s="238">
        <v>45215</v>
      </c>
      <c r="L10" s="90"/>
      <c r="M10" s="89">
        <v>6</v>
      </c>
      <c r="N10" s="90"/>
      <c r="O10" s="89" t="s">
        <v>862</v>
      </c>
    </row>
    <row r="11" spans="1:15" s="89" customFormat="1">
      <c r="A11" s="89">
        <v>9</v>
      </c>
      <c r="B11" s="89" t="s">
        <v>840</v>
      </c>
      <c r="D11" s="89">
        <v>2024</v>
      </c>
      <c r="E11" s="89">
        <v>2023</v>
      </c>
      <c r="F11" s="89">
        <v>11</v>
      </c>
      <c r="H11" s="89" t="s">
        <v>859</v>
      </c>
      <c r="I11" s="242">
        <v>45210</v>
      </c>
      <c r="J11" s="90"/>
      <c r="K11" s="238">
        <v>45216</v>
      </c>
      <c r="L11" s="90"/>
      <c r="M11" s="89">
        <v>6</v>
      </c>
      <c r="N11" s="90"/>
      <c r="O11" s="89" t="s">
        <v>862</v>
      </c>
    </row>
    <row r="12" spans="1:15" s="89" customFormat="1">
      <c r="A12" s="89">
        <v>10</v>
      </c>
      <c r="B12" s="89" t="s">
        <v>841</v>
      </c>
      <c r="D12" s="89">
        <v>2024</v>
      </c>
      <c r="E12" s="89">
        <v>2023</v>
      </c>
      <c r="F12" s="89">
        <v>11</v>
      </c>
      <c r="H12" s="89" t="s">
        <v>859</v>
      </c>
      <c r="I12" s="242">
        <v>45211</v>
      </c>
      <c r="J12" s="90"/>
      <c r="K12" s="238">
        <v>45217</v>
      </c>
      <c r="L12" s="90"/>
      <c r="M12" s="89">
        <v>6</v>
      </c>
      <c r="N12" s="90"/>
      <c r="O12" s="89" t="s">
        <v>862</v>
      </c>
    </row>
    <row r="13" spans="1:15" s="89" customFormat="1">
      <c r="A13" s="89">
        <v>11</v>
      </c>
      <c r="B13" s="89" t="s">
        <v>842</v>
      </c>
      <c r="D13" s="89">
        <v>2024</v>
      </c>
      <c r="E13" s="89">
        <v>2023</v>
      </c>
      <c r="F13" s="89">
        <v>11</v>
      </c>
      <c r="H13" s="89" t="s">
        <v>859</v>
      </c>
      <c r="I13" s="242">
        <v>45212</v>
      </c>
      <c r="J13" s="90"/>
      <c r="K13" s="238">
        <v>45218</v>
      </c>
      <c r="L13" s="90"/>
      <c r="M13" s="89">
        <v>6</v>
      </c>
      <c r="N13" s="90"/>
      <c r="O13" s="89" t="s">
        <v>862</v>
      </c>
    </row>
    <row r="14" spans="1:15" s="89" customFormat="1">
      <c r="A14" s="89">
        <v>12</v>
      </c>
      <c r="B14" s="89" t="s">
        <v>844</v>
      </c>
      <c r="D14" s="89">
        <v>2024</v>
      </c>
      <c r="E14" s="89">
        <v>2023</v>
      </c>
      <c r="F14" s="89">
        <v>11</v>
      </c>
      <c r="H14" s="89" t="s">
        <v>859</v>
      </c>
      <c r="I14" s="242">
        <v>45213</v>
      </c>
      <c r="J14" s="90"/>
      <c r="K14" s="238">
        <v>45219</v>
      </c>
      <c r="L14" s="90"/>
      <c r="M14" s="89">
        <v>6</v>
      </c>
      <c r="N14" s="90"/>
      <c r="O14" s="89" t="s">
        <v>862</v>
      </c>
    </row>
    <row r="15" spans="1:15" s="89" customFormat="1">
      <c r="A15" s="89">
        <v>13</v>
      </c>
      <c r="B15" s="89" t="s">
        <v>845</v>
      </c>
      <c r="D15" s="89">
        <v>2024</v>
      </c>
      <c r="E15" s="89">
        <v>2023</v>
      </c>
      <c r="F15" s="89">
        <v>11</v>
      </c>
      <c r="H15" s="89" t="s">
        <v>859</v>
      </c>
      <c r="I15" s="242">
        <v>45215</v>
      </c>
      <c r="J15" s="90"/>
      <c r="K15" s="238">
        <v>45220</v>
      </c>
      <c r="L15" s="90"/>
      <c r="M15" s="89">
        <v>5</v>
      </c>
      <c r="N15" s="90"/>
      <c r="O15" s="89" t="s">
        <v>862</v>
      </c>
    </row>
    <row r="16" spans="1:15" s="89" customFormat="1">
      <c r="A16" s="89">
        <v>14</v>
      </c>
      <c r="B16" s="89" t="s">
        <v>847</v>
      </c>
      <c r="D16" s="89">
        <v>2024</v>
      </c>
      <c r="E16" s="89">
        <v>2023</v>
      </c>
      <c r="F16" s="89">
        <v>11</v>
      </c>
      <c r="H16" s="89" t="s">
        <v>859</v>
      </c>
      <c r="I16" s="242">
        <v>45216</v>
      </c>
      <c r="J16" s="90"/>
      <c r="K16" s="238">
        <v>45224</v>
      </c>
      <c r="L16" s="90"/>
      <c r="M16" s="89">
        <v>8</v>
      </c>
      <c r="N16" s="90"/>
      <c r="O16" s="89" t="s">
        <v>862</v>
      </c>
    </row>
    <row r="17" spans="1:15" s="89" customFormat="1">
      <c r="A17" s="89">
        <v>15</v>
      </c>
      <c r="B17" s="89" t="s">
        <v>849</v>
      </c>
      <c r="D17" s="89">
        <v>2024</v>
      </c>
      <c r="E17" s="89">
        <v>2023</v>
      </c>
      <c r="F17" s="89">
        <v>11</v>
      </c>
      <c r="H17" s="89" t="s">
        <v>859</v>
      </c>
      <c r="I17" s="242">
        <v>45217</v>
      </c>
      <c r="J17" s="90"/>
      <c r="K17" s="238">
        <v>45225</v>
      </c>
      <c r="L17" s="90"/>
      <c r="M17" s="89">
        <v>8</v>
      </c>
      <c r="N17" s="90"/>
      <c r="O17" s="89" t="s">
        <v>862</v>
      </c>
    </row>
    <row r="18" spans="1:15" s="89" customFormat="1">
      <c r="A18" s="89">
        <v>16</v>
      </c>
      <c r="B18" s="89" t="s">
        <v>850</v>
      </c>
      <c r="D18" s="89">
        <v>2024</v>
      </c>
      <c r="E18" s="89">
        <v>2023</v>
      </c>
      <c r="F18" s="89">
        <v>11</v>
      </c>
      <c r="H18" s="89" t="s">
        <v>859</v>
      </c>
      <c r="I18" s="242">
        <v>45218</v>
      </c>
      <c r="J18" s="90"/>
      <c r="K18" s="238">
        <v>45226</v>
      </c>
      <c r="L18" s="90"/>
      <c r="M18" s="89">
        <v>8</v>
      </c>
      <c r="N18" s="90"/>
      <c r="O18" s="89" t="s">
        <v>862</v>
      </c>
    </row>
    <row r="19" spans="1:15" s="89" customFormat="1">
      <c r="A19" s="89">
        <v>17</v>
      </c>
      <c r="B19" s="89" t="s">
        <v>851</v>
      </c>
      <c r="D19" s="89">
        <v>2024</v>
      </c>
      <c r="E19" s="89">
        <v>2023</v>
      </c>
      <c r="F19" s="89">
        <v>11</v>
      </c>
      <c r="H19" s="89" t="s">
        <v>859</v>
      </c>
      <c r="I19" s="242">
        <v>45219</v>
      </c>
      <c r="J19" s="90"/>
      <c r="K19" s="238">
        <v>45227</v>
      </c>
      <c r="L19" s="90"/>
      <c r="M19" s="89">
        <v>8</v>
      </c>
      <c r="N19" s="90"/>
      <c r="O19" s="89" t="s">
        <v>862</v>
      </c>
    </row>
    <row r="20" spans="1:15" s="89" customFormat="1">
      <c r="A20" s="89">
        <v>18</v>
      </c>
      <c r="B20" s="89" t="s">
        <v>852</v>
      </c>
      <c r="D20" s="89">
        <v>2024</v>
      </c>
      <c r="E20" s="89">
        <v>2023</v>
      </c>
      <c r="F20" s="89">
        <v>11</v>
      </c>
      <c r="H20" s="89" t="s">
        <v>859</v>
      </c>
      <c r="I20" s="242">
        <v>45220</v>
      </c>
      <c r="J20" s="90"/>
      <c r="K20" s="238">
        <v>45229</v>
      </c>
      <c r="L20" s="90"/>
      <c r="M20" s="89">
        <v>9</v>
      </c>
      <c r="N20" s="90"/>
      <c r="O20" s="89" t="s">
        <v>862</v>
      </c>
    </row>
    <row r="21" spans="1:15" s="89" customFormat="1">
      <c r="A21" s="89">
        <v>19</v>
      </c>
      <c r="B21" s="89" t="s">
        <v>853</v>
      </c>
      <c r="D21" s="89">
        <v>2024</v>
      </c>
      <c r="E21" s="89">
        <v>2023</v>
      </c>
      <c r="F21" s="89">
        <v>11</v>
      </c>
      <c r="H21" s="89" t="s">
        <v>859</v>
      </c>
      <c r="I21" s="242">
        <v>45222</v>
      </c>
      <c r="J21" s="90"/>
      <c r="K21" s="238">
        <v>45230</v>
      </c>
      <c r="L21" s="90"/>
      <c r="M21" s="89">
        <v>8</v>
      </c>
      <c r="N21" s="90"/>
      <c r="O21" s="89" t="s">
        <v>862</v>
      </c>
    </row>
    <row r="22" spans="1:15" s="89" customFormat="1">
      <c r="A22" s="89">
        <v>20</v>
      </c>
      <c r="B22" s="89" t="s">
        <v>854</v>
      </c>
      <c r="D22" s="89">
        <v>2024</v>
      </c>
      <c r="E22" s="89">
        <v>2023</v>
      </c>
      <c r="F22" s="89">
        <v>11</v>
      </c>
      <c r="H22" s="89" t="s">
        <v>859</v>
      </c>
      <c r="I22" s="242">
        <v>45223</v>
      </c>
      <c r="J22" s="90"/>
      <c r="K22" s="238">
        <v>45231</v>
      </c>
      <c r="L22" s="90"/>
      <c r="M22" s="89">
        <v>8</v>
      </c>
      <c r="N22" s="90"/>
      <c r="O22" s="89" t="s">
        <v>862</v>
      </c>
    </row>
    <row r="23" spans="1:15" s="89" customFormat="1">
      <c r="A23" s="89">
        <v>21</v>
      </c>
      <c r="B23" s="89" t="s">
        <v>855</v>
      </c>
      <c r="D23" s="89">
        <v>2024</v>
      </c>
      <c r="E23" s="89">
        <v>2023</v>
      </c>
      <c r="F23" s="89">
        <v>11</v>
      </c>
      <c r="H23" s="89" t="s">
        <v>859</v>
      </c>
      <c r="I23" s="242">
        <v>45224</v>
      </c>
      <c r="J23" s="90"/>
      <c r="K23" s="238">
        <v>45232</v>
      </c>
      <c r="L23" s="90"/>
      <c r="M23" s="89">
        <v>8</v>
      </c>
      <c r="N23" s="90"/>
      <c r="O23" s="89" t="s">
        <v>862</v>
      </c>
    </row>
    <row r="24" spans="1:15" s="89" customFormat="1">
      <c r="A24" s="89">
        <v>22</v>
      </c>
      <c r="B24" s="89" t="s">
        <v>856</v>
      </c>
      <c r="D24" s="89">
        <v>2024</v>
      </c>
      <c r="E24" s="89">
        <v>2023</v>
      </c>
      <c r="F24" s="89">
        <v>11</v>
      </c>
      <c r="H24" s="89" t="s">
        <v>859</v>
      </c>
      <c r="I24" s="242">
        <v>45225</v>
      </c>
      <c r="J24" s="90"/>
      <c r="K24" s="238">
        <v>45233</v>
      </c>
      <c r="L24" s="90"/>
      <c r="M24" s="89">
        <v>8</v>
      </c>
      <c r="N24" s="90"/>
      <c r="O24" s="89" t="s">
        <v>862</v>
      </c>
    </row>
    <row r="25" spans="1:15" s="89" customFormat="1">
      <c r="A25" s="89">
        <v>23</v>
      </c>
      <c r="B25" s="89" t="s">
        <v>857</v>
      </c>
      <c r="D25" s="89">
        <v>2024</v>
      </c>
      <c r="E25" s="89">
        <v>2023</v>
      </c>
      <c r="F25" s="89">
        <v>11</v>
      </c>
      <c r="H25" s="89" t="s">
        <v>859</v>
      </c>
      <c r="I25" s="242">
        <v>45226</v>
      </c>
      <c r="J25" s="90"/>
      <c r="K25" s="238">
        <v>45234</v>
      </c>
      <c r="L25" s="90"/>
      <c r="M25" s="89">
        <v>8</v>
      </c>
      <c r="N25" s="90"/>
      <c r="O25" s="89" t="s">
        <v>862</v>
      </c>
    </row>
    <row r="26" spans="1:15" s="89" customFormat="1">
      <c r="A26" s="89">
        <v>24</v>
      </c>
      <c r="B26" s="89" t="s">
        <v>858</v>
      </c>
      <c r="D26" s="89">
        <v>2024</v>
      </c>
      <c r="E26" s="89">
        <v>2023</v>
      </c>
      <c r="F26" s="89">
        <v>11</v>
      </c>
      <c r="H26" s="89" t="s">
        <v>859</v>
      </c>
      <c r="I26" s="242">
        <v>45227</v>
      </c>
      <c r="J26" s="90"/>
      <c r="K26" s="238">
        <v>45236</v>
      </c>
      <c r="L26" s="90"/>
      <c r="M26" s="89">
        <v>9</v>
      </c>
      <c r="N26" s="90"/>
      <c r="O26" s="89" t="s">
        <v>862</v>
      </c>
    </row>
    <row r="27" spans="1:15" s="89" customFormat="1">
      <c r="A27" s="89">
        <v>25</v>
      </c>
      <c r="B27" s="89" t="s">
        <v>472</v>
      </c>
      <c r="D27" s="89">
        <v>2024</v>
      </c>
      <c r="E27" s="89">
        <v>2023</v>
      </c>
      <c r="F27" s="89">
        <v>11</v>
      </c>
      <c r="H27" s="89" t="s">
        <v>859</v>
      </c>
      <c r="I27" s="242">
        <v>45229</v>
      </c>
      <c r="J27" s="90"/>
      <c r="K27" s="238">
        <v>45237</v>
      </c>
      <c r="L27" s="90"/>
      <c r="M27" s="89">
        <v>8</v>
      </c>
      <c r="N27" s="90"/>
      <c r="O27" s="89" t="s">
        <v>862</v>
      </c>
    </row>
    <row r="28" spans="1:15" s="89" customFormat="1">
      <c r="A28" s="89">
        <v>26</v>
      </c>
      <c r="B28" s="89" t="s">
        <v>475</v>
      </c>
      <c r="D28" s="89">
        <v>2024</v>
      </c>
      <c r="E28" s="89">
        <v>2023</v>
      </c>
      <c r="F28" s="89">
        <v>11</v>
      </c>
      <c r="H28" s="89" t="s">
        <v>859</v>
      </c>
      <c r="I28" s="242">
        <v>45230</v>
      </c>
      <c r="J28" s="90"/>
      <c r="K28" s="238">
        <v>45238</v>
      </c>
      <c r="L28" s="90"/>
      <c r="M28" s="89">
        <v>8</v>
      </c>
      <c r="N28" s="90"/>
      <c r="O28" s="89" t="s">
        <v>862</v>
      </c>
    </row>
    <row r="29" spans="1:15" s="89" customFormat="1">
      <c r="A29" s="89">
        <v>27</v>
      </c>
      <c r="B29" s="89" t="s">
        <v>476</v>
      </c>
      <c r="D29" s="89">
        <v>2024</v>
      </c>
      <c r="E29" s="89">
        <v>2023</v>
      </c>
      <c r="F29" s="89">
        <v>11</v>
      </c>
      <c r="H29" s="89" t="s">
        <v>859</v>
      </c>
      <c r="I29" s="242">
        <v>45231</v>
      </c>
      <c r="J29" s="90"/>
      <c r="K29" s="238">
        <v>45239</v>
      </c>
      <c r="L29" s="90"/>
      <c r="M29" s="89">
        <v>8</v>
      </c>
      <c r="N29" s="90"/>
      <c r="O29" s="89" t="s">
        <v>862</v>
      </c>
    </row>
    <row r="30" spans="1:15" s="89" customFormat="1">
      <c r="A30" s="89">
        <v>28</v>
      </c>
      <c r="B30" s="89" t="s">
        <v>477</v>
      </c>
      <c r="D30" s="89">
        <v>2024</v>
      </c>
      <c r="E30" s="89">
        <v>2023</v>
      </c>
      <c r="F30" s="89">
        <v>11</v>
      </c>
      <c r="H30" s="89" t="s">
        <v>859</v>
      </c>
      <c r="I30" s="242">
        <v>45232</v>
      </c>
      <c r="J30" s="90"/>
      <c r="K30" s="238">
        <v>45240</v>
      </c>
      <c r="L30" s="90"/>
      <c r="M30" s="89">
        <v>8</v>
      </c>
      <c r="N30" s="90"/>
      <c r="O30" s="89" t="s">
        <v>862</v>
      </c>
    </row>
    <row r="31" spans="1:15" s="89" customFormat="1">
      <c r="A31" s="89">
        <v>29</v>
      </c>
      <c r="B31" s="89" t="s">
        <v>478</v>
      </c>
      <c r="D31" s="89">
        <v>2024</v>
      </c>
      <c r="E31" s="89">
        <v>2023</v>
      </c>
      <c r="F31" s="89">
        <v>11</v>
      </c>
      <c r="H31" s="89" t="s">
        <v>859</v>
      </c>
      <c r="I31" s="242">
        <v>45233</v>
      </c>
      <c r="J31" s="90"/>
      <c r="K31" s="238">
        <v>45241</v>
      </c>
      <c r="L31" s="90"/>
      <c r="M31" s="89">
        <v>8</v>
      </c>
      <c r="N31" s="90"/>
      <c r="O31" s="89" t="s">
        <v>862</v>
      </c>
    </row>
    <row r="32" spans="1:15" s="89" customFormat="1">
      <c r="A32" s="89">
        <v>30</v>
      </c>
      <c r="B32" s="89" t="s">
        <v>479</v>
      </c>
      <c r="D32" s="89">
        <v>2024</v>
      </c>
      <c r="E32" s="89">
        <v>2023</v>
      </c>
      <c r="F32" s="89">
        <v>11</v>
      </c>
      <c r="H32" s="89" t="s">
        <v>859</v>
      </c>
      <c r="I32" s="242">
        <v>45234</v>
      </c>
      <c r="J32" s="90"/>
      <c r="K32" s="238">
        <v>45246</v>
      </c>
      <c r="L32" s="90"/>
      <c r="M32" s="89">
        <v>12</v>
      </c>
      <c r="N32" s="90"/>
      <c r="O32" s="89" t="s">
        <v>862</v>
      </c>
    </row>
    <row r="33" spans="1:15" s="89" customFormat="1">
      <c r="A33" s="89">
        <v>31</v>
      </c>
      <c r="B33" s="89" t="s">
        <v>480</v>
      </c>
      <c r="D33" s="89">
        <v>2024</v>
      </c>
      <c r="E33" s="89">
        <v>2023</v>
      </c>
      <c r="F33" s="89">
        <v>11</v>
      </c>
      <c r="H33" s="89" t="s">
        <v>859</v>
      </c>
      <c r="I33" s="242">
        <v>45236</v>
      </c>
      <c r="J33" s="90"/>
      <c r="K33" s="238">
        <v>45247</v>
      </c>
      <c r="L33" s="90"/>
      <c r="M33" s="89">
        <v>11</v>
      </c>
      <c r="N33" s="90"/>
      <c r="O33" s="89" t="s">
        <v>862</v>
      </c>
    </row>
    <row r="34" spans="1:15" s="89" customFormat="1">
      <c r="A34" s="89">
        <v>32</v>
      </c>
      <c r="B34" s="89" t="s">
        <v>481</v>
      </c>
      <c r="D34" s="89">
        <v>2024</v>
      </c>
      <c r="E34" s="89">
        <v>2023</v>
      </c>
      <c r="F34" s="89">
        <v>11</v>
      </c>
      <c r="H34" s="89" t="s">
        <v>859</v>
      </c>
      <c r="I34" s="242">
        <v>45237</v>
      </c>
      <c r="J34" s="90"/>
      <c r="K34" s="238">
        <v>45248</v>
      </c>
      <c r="L34" s="90"/>
      <c r="M34" s="89">
        <v>11</v>
      </c>
      <c r="N34" s="90"/>
      <c r="O34" s="89" t="s">
        <v>862</v>
      </c>
    </row>
    <row r="35" spans="1:15" s="89" customFormat="1">
      <c r="A35" s="89">
        <v>33</v>
      </c>
      <c r="B35" s="89" t="s">
        <v>482</v>
      </c>
      <c r="D35" s="89">
        <v>2024</v>
      </c>
      <c r="E35" s="89">
        <v>2023</v>
      </c>
      <c r="F35" s="89">
        <v>11</v>
      </c>
      <c r="H35" s="89" t="s">
        <v>859</v>
      </c>
      <c r="I35" s="242">
        <v>45238</v>
      </c>
      <c r="J35" s="90"/>
      <c r="K35" s="238">
        <v>45250</v>
      </c>
      <c r="L35" s="90"/>
      <c r="M35" s="89">
        <v>12</v>
      </c>
      <c r="N35" s="90"/>
      <c r="O35" s="89" t="s">
        <v>862</v>
      </c>
    </row>
    <row r="36" spans="1:15" s="89" customFormat="1">
      <c r="A36" s="89">
        <v>34</v>
      </c>
      <c r="B36" s="89" t="s">
        <v>483</v>
      </c>
      <c r="D36" s="89">
        <v>2024</v>
      </c>
      <c r="E36" s="89">
        <v>2023</v>
      </c>
      <c r="F36" s="89">
        <v>11</v>
      </c>
      <c r="H36" s="89" t="s">
        <v>859</v>
      </c>
      <c r="I36" s="242">
        <v>45239</v>
      </c>
      <c r="J36" s="90"/>
      <c r="K36" s="238">
        <v>45251</v>
      </c>
      <c r="L36" s="90"/>
      <c r="M36" s="89">
        <v>12</v>
      </c>
      <c r="N36" s="90"/>
      <c r="O36" s="89" t="s">
        <v>862</v>
      </c>
    </row>
    <row r="37" spans="1:15" s="89" customFormat="1">
      <c r="A37" s="89">
        <v>35</v>
      </c>
      <c r="B37" s="89" t="s">
        <v>484</v>
      </c>
      <c r="D37" s="89">
        <v>2024</v>
      </c>
      <c r="E37" s="89">
        <v>2023</v>
      </c>
      <c r="F37" s="89">
        <v>11</v>
      </c>
      <c r="H37" s="89" t="s">
        <v>859</v>
      </c>
      <c r="I37" s="242">
        <v>45240</v>
      </c>
      <c r="J37" s="90"/>
      <c r="K37" s="238">
        <v>45252</v>
      </c>
      <c r="L37" s="90"/>
      <c r="M37" s="89">
        <v>12</v>
      </c>
      <c r="N37" s="90"/>
      <c r="O37" s="89" t="s">
        <v>862</v>
      </c>
    </row>
    <row r="38" spans="1:15" s="89" customFormat="1">
      <c r="A38" s="89">
        <v>36</v>
      </c>
      <c r="B38" s="89" t="s">
        <v>485</v>
      </c>
      <c r="D38" s="89">
        <v>2024</v>
      </c>
      <c r="E38" s="89">
        <v>2023</v>
      </c>
      <c r="F38" s="89">
        <v>11</v>
      </c>
      <c r="H38" s="89" t="s">
        <v>859</v>
      </c>
      <c r="I38" s="242">
        <v>45241</v>
      </c>
      <c r="J38" s="90"/>
      <c r="K38" s="238">
        <v>45253</v>
      </c>
      <c r="L38" s="90"/>
      <c r="M38" s="89">
        <v>12</v>
      </c>
      <c r="N38" s="90"/>
      <c r="O38" s="89" t="s">
        <v>862</v>
      </c>
    </row>
    <row r="39" spans="1:15" s="89" customFormat="1">
      <c r="A39" s="89">
        <v>37</v>
      </c>
      <c r="B39" s="89" t="s">
        <v>486</v>
      </c>
      <c r="D39" s="89">
        <v>2024</v>
      </c>
      <c r="E39" s="89">
        <v>2023</v>
      </c>
      <c r="F39" s="89">
        <v>11</v>
      </c>
      <c r="H39" s="89" t="s">
        <v>859</v>
      </c>
      <c r="I39" s="242">
        <v>45250</v>
      </c>
      <c r="J39" s="90"/>
      <c r="K39" s="238">
        <v>45254</v>
      </c>
      <c r="L39" s="90"/>
      <c r="M39" s="89">
        <v>4</v>
      </c>
      <c r="N39" s="90"/>
      <c r="O39" s="89" t="s">
        <v>862</v>
      </c>
    </row>
    <row r="40" spans="1:15" s="89" customFormat="1">
      <c r="A40" s="89">
        <v>38</v>
      </c>
      <c r="B40" s="89" t="s">
        <v>487</v>
      </c>
      <c r="D40" s="89">
        <v>2024</v>
      </c>
      <c r="E40" s="89">
        <v>2023</v>
      </c>
      <c r="F40" s="89">
        <v>11</v>
      </c>
      <c r="H40" s="89" t="s">
        <v>859</v>
      </c>
      <c r="I40" s="242">
        <v>45251</v>
      </c>
      <c r="J40" s="90"/>
      <c r="K40" s="238">
        <v>45255</v>
      </c>
      <c r="L40" s="90"/>
      <c r="M40" s="89">
        <v>4</v>
      </c>
      <c r="N40" s="90"/>
      <c r="O40" s="89" t="s">
        <v>862</v>
      </c>
    </row>
    <row r="41" spans="1:15" s="89" customFormat="1">
      <c r="A41" s="89">
        <v>39</v>
      </c>
      <c r="B41" s="89" t="s">
        <v>488</v>
      </c>
      <c r="D41" s="89">
        <v>2024</v>
      </c>
      <c r="E41" s="89">
        <v>2023</v>
      </c>
      <c r="F41" s="89">
        <v>11</v>
      </c>
      <c r="H41" s="89" t="s">
        <v>859</v>
      </c>
      <c r="I41" s="242">
        <v>45252</v>
      </c>
      <c r="J41" s="90"/>
      <c r="K41" s="238">
        <v>45257</v>
      </c>
      <c r="L41" s="90"/>
      <c r="M41" s="89">
        <v>5</v>
      </c>
      <c r="N41" s="90"/>
      <c r="O41" s="89" t="s">
        <v>862</v>
      </c>
    </row>
    <row r="42" spans="1:15" s="89" customFormat="1">
      <c r="A42" s="89">
        <v>40</v>
      </c>
      <c r="B42" s="89" t="s">
        <v>489</v>
      </c>
      <c r="D42" s="89">
        <v>2024</v>
      </c>
      <c r="E42" s="89">
        <v>2023</v>
      </c>
      <c r="F42" s="89">
        <v>11</v>
      </c>
      <c r="H42" s="89" t="s">
        <v>859</v>
      </c>
      <c r="I42" s="242">
        <v>45253</v>
      </c>
      <c r="J42" s="90"/>
      <c r="K42" s="238">
        <v>45258</v>
      </c>
      <c r="L42" s="90"/>
      <c r="M42" s="89">
        <v>5</v>
      </c>
      <c r="N42" s="90"/>
      <c r="O42" s="89" t="s">
        <v>862</v>
      </c>
    </row>
    <row r="43" spans="1:15" s="89" customFormat="1">
      <c r="A43" s="89">
        <v>41</v>
      </c>
      <c r="B43" s="89" t="s">
        <v>490</v>
      </c>
      <c r="D43" s="89">
        <v>2024</v>
      </c>
      <c r="E43" s="89">
        <v>2023</v>
      </c>
      <c r="F43" s="89">
        <v>11</v>
      </c>
      <c r="H43" s="89" t="s">
        <v>859</v>
      </c>
      <c r="I43" s="242">
        <v>45254</v>
      </c>
      <c r="J43" s="90"/>
      <c r="K43" s="238">
        <v>45259</v>
      </c>
      <c r="L43" s="90"/>
      <c r="M43" s="89">
        <v>5</v>
      </c>
      <c r="N43" s="90"/>
      <c r="O43" s="89" t="s">
        <v>862</v>
      </c>
    </row>
    <row r="44" spans="1:15" s="89" customFormat="1">
      <c r="A44" s="89">
        <v>42</v>
      </c>
      <c r="B44" s="89" t="s">
        <v>491</v>
      </c>
      <c r="D44" s="89">
        <v>2024</v>
      </c>
      <c r="E44" s="89">
        <v>2023</v>
      </c>
      <c r="F44" s="89">
        <v>11</v>
      </c>
      <c r="H44" s="89" t="s">
        <v>859</v>
      </c>
      <c r="I44" s="242">
        <v>45255</v>
      </c>
      <c r="J44" s="90"/>
      <c r="K44" s="238">
        <v>45260</v>
      </c>
      <c r="L44" s="90"/>
      <c r="M44" s="89">
        <v>5</v>
      </c>
      <c r="N44" s="90"/>
      <c r="O44" s="89" t="s">
        <v>862</v>
      </c>
    </row>
    <row r="45" spans="1:15" s="89" customFormat="1">
      <c r="A45" s="89">
        <v>43</v>
      </c>
      <c r="B45" s="89" t="s">
        <v>492</v>
      </c>
      <c r="D45" s="89">
        <v>2024</v>
      </c>
      <c r="E45" s="89">
        <v>2023</v>
      </c>
      <c r="F45" s="89">
        <v>11</v>
      </c>
      <c r="H45" s="89" t="s">
        <v>859</v>
      </c>
      <c r="I45" s="242">
        <v>45257</v>
      </c>
      <c r="J45" s="90"/>
      <c r="K45" s="238">
        <v>45261</v>
      </c>
      <c r="L45" s="90"/>
      <c r="M45" s="89">
        <v>4</v>
      </c>
      <c r="N45" s="90"/>
      <c r="O45" s="89" t="s">
        <v>862</v>
      </c>
    </row>
    <row r="46" spans="1:15" s="89" customFormat="1">
      <c r="A46" s="89">
        <v>44</v>
      </c>
      <c r="B46" s="89" t="s">
        <v>493</v>
      </c>
      <c r="D46" s="89">
        <v>2024</v>
      </c>
      <c r="E46" s="89">
        <v>2023</v>
      </c>
      <c r="F46" s="89">
        <v>11</v>
      </c>
      <c r="H46" s="89" t="s">
        <v>859</v>
      </c>
      <c r="I46" s="242">
        <v>45258</v>
      </c>
      <c r="J46" s="90"/>
      <c r="K46" s="238">
        <v>45262</v>
      </c>
      <c r="L46" s="90"/>
      <c r="M46" s="89">
        <v>4</v>
      </c>
      <c r="N46" s="90"/>
      <c r="O46" s="89" t="s">
        <v>862</v>
      </c>
    </row>
    <row r="47" spans="1:15" s="89" customFormat="1">
      <c r="A47" s="89">
        <v>1</v>
      </c>
      <c r="B47" s="241" t="s">
        <v>835</v>
      </c>
      <c r="D47" s="89">
        <v>2024</v>
      </c>
      <c r="E47" s="89">
        <v>2024</v>
      </c>
      <c r="F47" s="89">
        <v>11</v>
      </c>
      <c r="H47" s="89" t="s">
        <v>473</v>
      </c>
      <c r="I47" s="239">
        <v>45334</v>
      </c>
      <c r="J47" s="239">
        <v>45335</v>
      </c>
      <c r="K47" s="242">
        <v>45335</v>
      </c>
      <c r="L47" s="242">
        <v>45341</v>
      </c>
      <c r="M47" s="89">
        <v>1</v>
      </c>
      <c r="N47" s="89">
        <v>6</v>
      </c>
      <c r="O47" s="89" t="s">
        <v>861</v>
      </c>
    </row>
    <row r="48" spans="1:15" s="89" customFormat="1">
      <c r="A48" s="89">
        <v>2</v>
      </c>
      <c r="B48" s="241" t="s">
        <v>836</v>
      </c>
      <c r="D48" s="89">
        <v>2024</v>
      </c>
      <c r="E48" s="89">
        <v>2024</v>
      </c>
      <c r="F48" s="89">
        <v>11</v>
      </c>
      <c r="H48" s="89" t="s">
        <v>473</v>
      </c>
      <c r="I48" s="239">
        <v>45336</v>
      </c>
      <c r="J48" s="239">
        <v>45337</v>
      </c>
      <c r="K48" s="242">
        <v>45336</v>
      </c>
      <c r="L48" s="242">
        <v>45342</v>
      </c>
      <c r="M48" s="89">
        <v>0</v>
      </c>
      <c r="N48" s="89">
        <v>5</v>
      </c>
      <c r="O48" s="89" t="s">
        <v>861</v>
      </c>
    </row>
    <row r="49" spans="1:15" s="89" customFormat="1" ht="15">
      <c r="A49" s="89">
        <v>3</v>
      </c>
      <c r="B49" s="241" t="s">
        <v>837</v>
      </c>
      <c r="C49"/>
      <c r="D49" s="89">
        <v>2024</v>
      </c>
      <c r="E49" s="89">
        <v>2024</v>
      </c>
      <c r="F49" s="89">
        <v>11</v>
      </c>
      <c r="G49"/>
      <c r="H49" s="89" t="s">
        <v>473</v>
      </c>
      <c r="I49" s="239">
        <v>45338</v>
      </c>
      <c r="J49" s="239">
        <v>45339</v>
      </c>
      <c r="K49" s="242">
        <v>45337</v>
      </c>
      <c r="L49" s="242">
        <v>45344</v>
      </c>
      <c r="M49" s="89">
        <v>-1</v>
      </c>
      <c r="N49" s="89">
        <v>5</v>
      </c>
      <c r="O49" s="89" t="s">
        <v>861</v>
      </c>
    </row>
    <row r="50" spans="1:15" s="89" customFormat="1" ht="15">
      <c r="A50" s="89">
        <v>4</v>
      </c>
      <c r="B50" s="241" t="s">
        <v>838</v>
      </c>
      <c r="C50"/>
      <c r="D50" s="89">
        <v>2024</v>
      </c>
      <c r="E50" s="89">
        <v>2024</v>
      </c>
      <c r="F50" s="89">
        <v>11</v>
      </c>
      <c r="G50"/>
      <c r="H50" s="89" t="s">
        <v>473</v>
      </c>
      <c r="I50" s="239">
        <v>45341</v>
      </c>
      <c r="J50" s="239">
        <v>45342</v>
      </c>
      <c r="K50" s="242">
        <v>45338</v>
      </c>
      <c r="L50" s="242">
        <v>45345</v>
      </c>
      <c r="M50" s="89">
        <v>-3</v>
      </c>
      <c r="N50" s="89">
        <v>3</v>
      </c>
      <c r="O50" s="89" t="s">
        <v>861</v>
      </c>
    </row>
    <row r="51" spans="1:15" s="89" customFormat="1">
      <c r="A51" s="89">
        <v>5</v>
      </c>
      <c r="B51" s="241" t="s">
        <v>839</v>
      </c>
      <c r="D51" s="89">
        <v>2024</v>
      </c>
      <c r="E51" s="89">
        <v>2024</v>
      </c>
      <c r="F51" s="89">
        <v>11</v>
      </c>
      <c r="H51" s="89" t="s">
        <v>473</v>
      </c>
      <c r="I51" s="239">
        <v>45343</v>
      </c>
      <c r="J51" s="239">
        <v>45344</v>
      </c>
      <c r="K51" s="242">
        <v>45348</v>
      </c>
      <c r="L51" s="242">
        <v>45351</v>
      </c>
      <c r="M51" s="89">
        <v>5</v>
      </c>
      <c r="N51" s="89">
        <v>7</v>
      </c>
      <c r="O51" s="89" t="s">
        <v>861</v>
      </c>
    </row>
    <row r="52" spans="1:15" s="89" customFormat="1">
      <c r="A52" s="89">
        <v>6</v>
      </c>
      <c r="B52" s="241" t="s">
        <v>840</v>
      </c>
      <c r="D52" s="89">
        <v>2024</v>
      </c>
      <c r="E52" s="89">
        <v>2024</v>
      </c>
      <c r="F52" s="89">
        <v>11</v>
      </c>
      <c r="H52" s="89" t="s">
        <v>473</v>
      </c>
      <c r="I52" s="239">
        <v>45345</v>
      </c>
      <c r="J52" s="239">
        <v>45346</v>
      </c>
      <c r="K52" s="242">
        <v>45349</v>
      </c>
      <c r="L52" s="242">
        <v>45352</v>
      </c>
      <c r="M52" s="89">
        <v>4</v>
      </c>
      <c r="N52" s="89">
        <v>6</v>
      </c>
      <c r="O52" s="89" t="s">
        <v>861</v>
      </c>
    </row>
    <row r="53" spans="1:15" s="89" customFormat="1" ht="15">
      <c r="A53" s="89">
        <v>7</v>
      </c>
      <c r="B53" s="241" t="s">
        <v>841</v>
      </c>
      <c r="C53"/>
      <c r="D53" s="89">
        <v>2024</v>
      </c>
      <c r="E53" s="89">
        <v>2024</v>
      </c>
      <c r="F53" s="89">
        <v>11</v>
      </c>
      <c r="G53"/>
      <c r="H53" s="89" t="s">
        <v>473</v>
      </c>
      <c r="I53" s="239">
        <v>45348</v>
      </c>
      <c r="J53" s="239">
        <v>45349</v>
      </c>
      <c r="K53" s="242">
        <v>45350</v>
      </c>
      <c r="L53" s="242">
        <v>45359</v>
      </c>
      <c r="M53" s="89">
        <v>2</v>
      </c>
      <c r="N53" s="89">
        <v>10</v>
      </c>
      <c r="O53" s="89" t="s">
        <v>861</v>
      </c>
    </row>
    <row r="54" spans="1:15" s="89" customFormat="1" ht="15">
      <c r="A54" s="89">
        <v>8</v>
      </c>
      <c r="B54" s="241" t="s">
        <v>842</v>
      </c>
      <c r="C54"/>
      <c r="D54" s="89">
        <v>2024</v>
      </c>
      <c r="E54" s="89">
        <v>2024</v>
      </c>
      <c r="F54" s="89">
        <v>11</v>
      </c>
      <c r="G54"/>
      <c r="H54" s="89" t="s">
        <v>473</v>
      </c>
      <c r="I54" s="239">
        <v>45350</v>
      </c>
      <c r="J54" s="239">
        <v>45351</v>
      </c>
      <c r="K54" s="242">
        <v>45356</v>
      </c>
      <c r="L54" s="242">
        <v>45356</v>
      </c>
      <c r="M54" s="89">
        <v>6</v>
      </c>
      <c r="N54" s="89">
        <v>5</v>
      </c>
      <c r="O54" s="89" t="s">
        <v>861</v>
      </c>
    </row>
    <row r="55" spans="1:15" s="89" customFormat="1" ht="15">
      <c r="A55" s="89">
        <v>9</v>
      </c>
      <c r="B55" s="241" t="s">
        <v>843</v>
      </c>
      <c r="C55"/>
      <c r="D55" s="89">
        <v>2024</v>
      </c>
      <c r="E55" s="89">
        <v>2024</v>
      </c>
      <c r="F55" s="89">
        <v>11</v>
      </c>
      <c r="G55"/>
      <c r="H55" s="89" t="s">
        <v>473</v>
      </c>
      <c r="I55" s="239">
        <v>45352</v>
      </c>
      <c r="J55" s="239">
        <v>45353</v>
      </c>
      <c r="K55" s="242">
        <v>45358</v>
      </c>
      <c r="L55" s="242">
        <v>45358</v>
      </c>
      <c r="M55" s="89">
        <v>6</v>
      </c>
      <c r="N55" s="89">
        <v>5</v>
      </c>
      <c r="O55" s="89" t="s">
        <v>861</v>
      </c>
    </row>
    <row r="56" spans="1:15" s="89" customFormat="1" ht="15">
      <c r="A56" s="89">
        <v>10</v>
      </c>
      <c r="B56" s="241" t="s">
        <v>844</v>
      </c>
      <c r="C56"/>
      <c r="D56" s="89">
        <v>2024</v>
      </c>
      <c r="E56" s="89">
        <v>2024</v>
      </c>
      <c r="F56" s="89">
        <v>11</v>
      </c>
      <c r="G56"/>
      <c r="H56" s="89" t="s">
        <v>473</v>
      </c>
      <c r="I56" s="239">
        <v>45355</v>
      </c>
      <c r="J56" s="239">
        <v>45356</v>
      </c>
      <c r="K56" s="242">
        <v>45363</v>
      </c>
      <c r="L56" s="242">
        <v>45363</v>
      </c>
      <c r="M56" s="89">
        <v>8</v>
      </c>
      <c r="N56" s="89">
        <v>7</v>
      </c>
      <c r="O56" s="89" t="s">
        <v>861</v>
      </c>
    </row>
    <row r="57" spans="1:15" s="89" customFormat="1" ht="15">
      <c r="A57" s="89">
        <v>11</v>
      </c>
      <c r="B57" s="241" t="s">
        <v>845</v>
      </c>
      <c r="C57"/>
      <c r="D57" s="89">
        <v>2024</v>
      </c>
      <c r="E57" s="89">
        <v>2024</v>
      </c>
      <c r="F57" s="89">
        <v>11</v>
      </c>
      <c r="G57"/>
      <c r="H57" s="89" t="s">
        <v>473</v>
      </c>
      <c r="I57" s="239">
        <v>45357</v>
      </c>
      <c r="J57" s="239">
        <v>45358</v>
      </c>
      <c r="K57" s="242">
        <v>45364</v>
      </c>
      <c r="L57" s="242">
        <v>45366</v>
      </c>
      <c r="M57" s="89">
        <v>7</v>
      </c>
      <c r="N57" s="89">
        <v>8</v>
      </c>
      <c r="O57" s="89" t="s">
        <v>861</v>
      </c>
    </row>
    <row r="58" spans="1:15" s="89" customFormat="1" ht="15">
      <c r="A58" s="89">
        <v>12</v>
      </c>
      <c r="B58" s="241" t="s">
        <v>846</v>
      </c>
      <c r="C58"/>
      <c r="D58" s="89">
        <v>2024</v>
      </c>
      <c r="E58" s="89">
        <v>2024</v>
      </c>
      <c r="F58" s="89">
        <v>11</v>
      </c>
      <c r="G58"/>
      <c r="H58" s="89" t="s">
        <v>473</v>
      </c>
      <c r="I58" s="239">
        <v>45359</v>
      </c>
      <c r="J58" s="239">
        <v>45360</v>
      </c>
      <c r="K58" s="242">
        <v>45365</v>
      </c>
      <c r="L58" s="242">
        <v>45365</v>
      </c>
      <c r="M58" s="89">
        <v>6</v>
      </c>
      <c r="N58" s="89">
        <v>5</v>
      </c>
      <c r="O58" s="89" t="s">
        <v>861</v>
      </c>
    </row>
    <row r="59" spans="1:15" s="89" customFormat="1" ht="15">
      <c r="A59" s="89">
        <v>13</v>
      </c>
      <c r="B59" s="241" t="s">
        <v>847</v>
      </c>
      <c r="C59"/>
      <c r="D59" s="89">
        <v>2024</v>
      </c>
      <c r="E59" s="89">
        <v>2024</v>
      </c>
      <c r="F59" s="89">
        <v>11</v>
      </c>
      <c r="G59"/>
      <c r="H59" s="89" t="s">
        <v>473</v>
      </c>
      <c r="I59" s="239">
        <v>45362</v>
      </c>
      <c r="J59" s="239">
        <v>45363</v>
      </c>
      <c r="K59" s="242">
        <v>45357</v>
      </c>
      <c r="L59" s="242">
        <v>45357</v>
      </c>
      <c r="M59" s="89">
        <v>-5</v>
      </c>
      <c r="N59" s="89">
        <v>-6</v>
      </c>
      <c r="O59" s="89" t="s">
        <v>861</v>
      </c>
    </row>
    <row r="60" spans="1:15" s="89" customFormat="1" ht="15">
      <c r="A60" s="89">
        <v>14</v>
      </c>
      <c r="B60" s="241" t="s">
        <v>848</v>
      </c>
      <c r="C60"/>
      <c r="D60" s="89">
        <v>2024</v>
      </c>
      <c r="E60" s="89">
        <v>2024</v>
      </c>
      <c r="F60" s="89">
        <v>11</v>
      </c>
      <c r="G60"/>
      <c r="H60" s="89" t="s">
        <v>473</v>
      </c>
      <c r="I60" s="239">
        <v>45364</v>
      </c>
      <c r="J60" s="239">
        <v>45365</v>
      </c>
      <c r="K60" s="242">
        <v>45369</v>
      </c>
      <c r="L60" s="242">
        <v>45372</v>
      </c>
      <c r="M60" s="89">
        <v>5</v>
      </c>
      <c r="N60" s="89">
        <v>7</v>
      </c>
      <c r="O60" s="89" t="s">
        <v>861</v>
      </c>
    </row>
    <row r="61" spans="1:15" s="89" customFormat="1" ht="15">
      <c r="A61" s="89">
        <v>15</v>
      </c>
      <c r="B61" s="241" t="s">
        <v>849</v>
      </c>
      <c r="C61"/>
      <c r="D61" s="89">
        <v>2024</v>
      </c>
      <c r="E61" s="89">
        <v>2024</v>
      </c>
      <c r="F61" s="89">
        <v>11</v>
      </c>
      <c r="G61"/>
      <c r="H61" s="89" t="s">
        <v>473</v>
      </c>
      <c r="I61" s="239">
        <v>45366</v>
      </c>
      <c r="J61" s="239">
        <v>45367</v>
      </c>
      <c r="K61" s="242">
        <v>45370</v>
      </c>
      <c r="L61" s="242">
        <v>45374</v>
      </c>
      <c r="M61" s="89">
        <v>4</v>
      </c>
      <c r="N61" s="89">
        <v>7</v>
      </c>
      <c r="O61" s="89" t="s">
        <v>861</v>
      </c>
    </row>
    <row r="62" spans="1:15" s="89" customFormat="1" ht="15">
      <c r="A62" s="89">
        <v>16</v>
      </c>
      <c r="B62" s="241" t="s">
        <v>850</v>
      </c>
      <c r="C62"/>
      <c r="D62" s="89">
        <v>2024</v>
      </c>
      <c r="E62" s="89">
        <v>2024</v>
      </c>
      <c r="F62" s="89">
        <v>11</v>
      </c>
      <c r="G62"/>
      <c r="H62" s="89" t="s">
        <v>473</v>
      </c>
      <c r="I62" s="239">
        <v>45369</v>
      </c>
      <c r="J62" s="239">
        <v>45370</v>
      </c>
      <c r="K62" s="242">
        <v>45371</v>
      </c>
      <c r="L62" s="242">
        <v>45377</v>
      </c>
      <c r="M62" s="89">
        <v>2</v>
      </c>
      <c r="N62" s="89">
        <v>7</v>
      </c>
      <c r="O62" s="89" t="s">
        <v>861</v>
      </c>
    </row>
    <row r="63" spans="1:15" s="89" customFormat="1" ht="15">
      <c r="A63" s="89">
        <v>17</v>
      </c>
      <c r="B63" s="241" t="s">
        <v>851</v>
      </c>
      <c r="C63"/>
      <c r="D63" s="89">
        <v>2024</v>
      </c>
      <c r="E63" s="89">
        <v>2024</v>
      </c>
      <c r="F63" s="89">
        <v>11</v>
      </c>
      <c r="G63"/>
      <c r="H63" s="89" t="s">
        <v>473</v>
      </c>
      <c r="I63" s="239">
        <v>45371</v>
      </c>
      <c r="J63" s="239">
        <v>45372</v>
      </c>
      <c r="K63" s="242">
        <v>45379</v>
      </c>
      <c r="L63" s="242">
        <v>45380</v>
      </c>
      <c r="M63" s="89">
        <v>8</v>
      </c>
      <c r="N63" s="89">
        <v>8</v>
      </c>
      <c r="O63" s="89" t="s">
        <v>861</v>
      </c>
    </row>
    <row r="64" spans="1:15" s="89" customFormat="1" ht="15">
      <c r="A64" s="89">
        <v>18</v>
      </c>
      <c r="B64" s="241" t="s">
        <v>852</v>
      </c>
      <c r="C64"/>
      <c r="D64" s="89">
        <v>2024</v>
      </c>
      <c r="E64" s="89">
        <v>2024</v>
      </c>
      <c r="F64" s="89">
        <v>11</v>
      </c>
      <c r="G64"/>
      <c r="H64" s="89" t="s">
        <v>473</v>
      </c>
      <c r="I64" s="239">
        <v>45373</v>
      </c>
      <c r="J64" s="239">
        <v>45374</v>
      </c>
      <c r="K64" s="242">
        <v>45382</v>
      </c>
      <c r="L64" s="242">
        <v>45383</v>
      </c>
      <c r="M64" s="89">
        <v>9</v>
      </c>
      <c r="N64" s="89">
        <v>9</v>
      </c>
      <c r="O64" s="89" t="s">
        <v>861</v>
      </c>
    </row>
    <row r="65" spans="1:15" s="89" customFormat="1" ht="15">
      <c r="A65" s="89">
        <v>19</v>
      </c>
      <c r="B65" s="241" t="s">
        <v>853</v>
      </c>
      <c r="C65"/>
      <c r="D65" s="89">
        <v>2024</v>
      </c>
      <c r="E65" s="89">
        <v>2024</v>
      </c>
      <c r="F65" s="89">
        <v>11</v>
      </c>
      <c r="G65"/>
      <c r="H65" s="89" t="s">
        <v>473</v>
      </c>
      <c r="I65" s="239">
        <v>45377</v>
      </c>
      <c r="J65" s="239">
        <v>45378</v>
      </c>
      <c r="K65" s="242">
        <v>45384</v>
      </c>
      <c r="L65" s="242">
        <v>45385</v>
      </c>
      <c r="M65" s="89">
        <v>7</v>
      </c>
      <c r="N65" s="89">
        <v>7</v>
      </c>
      <c r="O65" s="89" t="s">
        <v>861</v>
      </c>
    </row>
    <row r="66" spans="1:15" s="89" customFormat="1" ht="15">
      <c r="A66" s="89">
        <v>20</v>
      </c>
      <c r="B66" s="241" t="s">
        <v>854</v>
      </c>
      <c r="C66"/>
      <c r="D66" s="89">
        <v>2024</v>
      </c>
      <c r="E66" s="89">
        <v>2024</v>
      </c>
      <c r="F66" s="89">
        <v>11</v>
      </c>
      <c r="G66"/>
      <c r="H66" s="89" t="s">
        <v>473</v>
      </c>
      <c r="I66" s="239">
        <v>45379</v>
      </c>
      <c r="J66" s="239">
        <v>45380</v>
      </c>
      <c r="K66" s="242">
        <v>45387</v>
      </c>
      <c r="L66" s="242">
        <v>45388</v>
      </c>
      <c r="M66" s="89">
        <v>8</v>
      </c>
      <c r="N66" s="89">
        <v>8</v>
      </c>
      <c r="O66" s="89" t="s">
        <v>861</v>
      </c>
    </row>
    <row r="67" spans="1:15" s="89" customFormat="1" ht="15">
      <c r="A67" s="89">
        <v>21</v>
      </c>
      <c r="B67" s="241" t="s">
        <v>855</v>
      </c>
      <c r="C67"/>
      <c r="D67" s="89">
        <v>2024</v>
      </c>
      <c r="E67" s="89">
        <v>2024</v>
      </c>
      <c r="F67" s="89">
        <v>11</v>
      </c>
      <c r="G67"/>
      <c r="H67" s="89" t="s">
        <v>473</v>
      </c>
      <c r="I67" s="239">
        <v>45381</v>
      </c>
      <c r="J67" s="239">
        <v>45383</v>
      </c>
      <c r="K67" s="242">
        <v>45390</v>
      </c>
      <c r="L67" s="242">
        <v>45391</v>
      </c>
      <c r="M67" s="89">
        <v>9</v>
      </c>
      <c r="N67" s="89">
        <v>8</v>
      </c>
      <c r="O67" s="89" t="s">
        <v>861</v>
      </c>
    </row>
    <row r="68" spans="1:15" s="89" customFormat="1" ht="15">
      <c r="A68" s="89">
        <v>22</v>
      </c>
      <c r="B68" s="241" t="s">
        <v>856</v>
      </c>
      <c r="C68"/>
      <c r="D68" s="89">
        <v>2024</v>
      </c>
      <c r="E68" s="89">
        <v>2024</v>
      </c>
      <c r="F68" s="89">
        <v>11</v>
      </c>
      <c r="G68"/>
      <c r="H68" s="89" t="s">
        <v>473</v>
      </c>
      <c r="I68" s="239">
        <v>45384</v>
      </c>
      <c r="J68" s="239">
        <v>45385</v>
      </c>
      <c r="K68" s="242">
        <v>45392</v>
      </c>
      <c r="L68" s="242">
        <v>45393</v>
      </c>
      <c r="M68" s="89">
        <v>8</v>
      </c>
      <c r="N68" s="89">
        <v>8</v>
      </c>
      <c r="O68" s="89" t="s">
        <v>861</v>
      </c>
    </row>
    <row r="69" spans="1:15" s="89" customFormat="1" ht="15">
      <c r="A69" s="89">
        <v>23</v>
      </c>
      <c r="B69" s="241" t="s">
        <v>857</v>
      </c>
      <c r="C69"/>
      <c r="D69" s="89">
        <v>2024</v>
      </c>
      <c r="E69" s="89">
        <v>2024</v>
      </c>
      <c r="F69" s="89">
        <v>11</v>
      </c>
      <c r="G69"/>
      <c r="H69" s="89" t="s">
        <v>473</v>
      </c>
      <c r="I69" s="239">
        <v>45386</v>
      </c>
      <c r="J69" s="239">
        <v>45387</v>
      </c>
      <c r="K69" s="238">
        <v>45428</v>
      </c>
      <c r="L69" s="238">
        <v>45429</v>
      </c>
      <c r="M69" s="89">
        <v>42</v>
      </c>
      <c r="N69" s="89">
        <v>42</v>
      </c>
      <c r="O69" s="89" t="s">
        <v>861</v>
      </c>
    </row>
    <row r="70" spans="1:15" s="89" customFormat="1" ht="15">
      <c r="A70" s="89">
        <v>24</v>
      </c>
      <c r="B70" s="241" t="s">
        <v>858</v>
      </c>
      <c r="C70"/>
      <c r="D70" s="89">
        <v>2024</v>
      </c>
      <c r="E70" s="89">
        <v>2024</v>
      </c>
      <c r="F70" s="89">
        <v>11</v>
      </c>
      <c r="G70"/>
      <c r="H70" s="89" t="s">
        <v>473</v>
      </c>
      <c r="I70" s="239">
        <v>45388</v>
      </c>
      <c r="J70" s="239">
        <v>45390</v>
      </c>
      <c r="K70" s="238">
        <v>45430</v>
      </c>
      <c r="L70" s="238">
        <v>45430</v>
      </c>
      <c r="M70" s="89">
        <v>42</v>
      </c>
      <c r="N70" s="89">
        <v>40</v>
      </c>
      <c r="O70" s="89" t="s">
        <v>861</v>
      </c>
    </row>
    <row r="71" spans="1:15" s="89" customFormat="1" ht="15">
      <c r="A71" s="89">
        <v>25</v>
      </c>
      <c r="B71" s="241" t="s">
        <v>472</v>
      </c>
      <c r="C71"/>
      <c r="D71" s="89">
        <v>2024</v>
      </c>
      <c r="E71" s="89">
        <v>2024</v>
      </c>
      <c r="F71" s="89">
        <v>11</v>
      </c>
      <c r="G71"/>
      <c r="H71" s="89" t="s">
        <v>473</v>
      </c>
      <c r="I71" s="239">
        <v>45392</v>
      </c>
      <c r="J71" s="239">
        <v>45393</v>
      </c>
      <c r="K71" s="238">
        <v>45397</v>
      </c>
      <c r="L71" s="238">
        <v>45397</v>
      </c>
      <c r="M71" s="89">
        <v>5</v>
      </c>
      <c r="N71" s="89">
        <v>4</v>
      </c>
      <c r="O71" s="89" t="s">
        <v>861</v>
      </c>
    </row>
    <row r="72" spans="1:15" s="89" customFormat="1" ht="15">
      <c r="A72" s="89">
        <v>26</v>
      </c>
      <c r="B72" s="241" t="s">
        <v>475</v>
      </c>
      <c r="C72"/>
      <c r="D72" s="89">
        <v>2024</v>
      </c>
      <c r="E72" s="89">
        <v>2024</v>
      </c>
      <c r="F72" s="89">
        <v>11</v>
      </c>
      <c r="G72"/>
      <c r="H72" s="89" t="s">
        <v>473</v>
      </c>
      <c r="I72" s="239">
        <v>45394</v>
      </c>
      <c r="J72" s="239">
        <v>45395</v>
      </c>
      <c r="K72" s="238">
        <v>45400</v>
      </c>
      <c r="L72" s="238">
        <v>45400</v>
      </c>
      <c r="M72" s="89">
        <v>6</v>
      </c>
      <c r="N72" s="89">
        <v>5</v>
      </c>
      <c r="O72" s="89" t="s">
        <v>861</v>
      </c>
    </row>
    <row r="73" spans="1:15" s="89" customFormat="1" ht="15">
      <c r="A73" s="89">
        <v>27</v>
      </c>
      <c r="B73" s="241" t="s">
        <v>476</v>
      </c>
      <c r="C73"/>
      <c r="D73" s="89">
        <v>2024</v>
      </c>
      <c r="E73" s="89">
        <v>2024</v>
      </c>
      <c r="F73" s="89">
        <v>11</v>
      </c>
      <c r="G73"/>
      <c r="H73" s="89" t="s">
        <v>473</v>
      </c>
      <c r="I73" s="239">
        <v>45397</v>
      </c>
      <c r="J73" s="239">
        <v>45398</v>
      </c>
      <c r="K73" s="238">
        <v>45398</v>
      </c>
      <c r="L73" s="238">
        <v>45398</v>
      </c>
      <c r="M73" s="89">
        <v>1</v>
      </c>
      <c r="N73" s="89">
        <v>0</v>
      </c>
      <c r="O73" s="89" t="s">
        <v>861</v>
      </c>
    </row>
    <row r="74" spans="1:15" s="89" customFormat="1" ht="15">
      <c r="A74" s="89">
        <v>28</v>
      </c>
      <c r="B74" s="241" t="s">
        <v>477</v>
      </c>
      <c r="C74"/>
      <c r="D74" s="89">
        <v>2024</v>
      </c>
      <c r="E74" s="89">
        <v>2024</v>
      </c>
      <c r="F74" s="89">
        <v>11</v>
      </c>
      <c r="G74"/>
      <c r="H74" s="89" t="s">
        <v>473</v>
      </c>
      <c r="I74" s="239">
        <v>45399</v>
      </c>
      <c r="J74" s="239">
        <v>45400</v>
      </c>
      <c r="K74" s="238">
        <v>45406</v>
      </c>
      <c r="L74" s="238">
        <v>45406</v>
      </c>
      <c r="M74" s="89">
        <v>7</v>
      </c>
      <c r="N74" s="89">
        <v>6</v>
      </c>
      <c r="O74" s="89" t="s">
        <v>861</v>
      </c>
    </row>
    <row r="75" spans="1:15" s="89" customFormat="1" ht="15">
      <c r="A75" s="89">
        <v>29</v>
      </c>
      <c r="B75" s="241" t="s">
        <v>478</v>
      </c>
      <c r="C75"/>
      <c r="D75" s="89">
        <v>2024</v>
      </c>
      <c r="E75" s="89">
        <v>2024</v>
      </c>
      <c r="F75" s="89">
        <v>11</v>
      </c>
      <c r="G75"/>
      <c r="H75" s="89" t="s">
        <v>473</v>
      </c>
      <c r="I75" s="239">
        <v>45401</v>
      </c>
      <c r="J75" s="239">
        <v>45402</v>
      </c>
      <c r="K75" s="238">
        <v>45405</v>
      </c>
      <c r="L75" s="238">
        <v>45405</v>
      </c>
      <c r="M75" s="89">
        <v>4</v>
      </c>
      <c r="N75" s="89">
        <v>3</v>
      </c>
      <c r="O75" s="89" t="s">
        <v>861</v>
      </c>
    </row>
    <row r="76" spans="1:15" s="89" customFormat="1" ht="15">
      <c r="A76" s="89">
        <v>30</v>
      </c>
      <c r="B76" s="241" t="s">
        <v>479</v>
      </c>
      <c r="C76"/>
      <c r="D76" s="89">
        <v>2024</v>
      </c>
      <c r="E76" s="89">
        <v>2024</v>
      </c>
      <c r="F76" s="89">
        <v>11</v>
      </c>
      <c r="G76"/>
      <c r="H76" s="89" t="s">
        <v>473</v>
      </c>
      <c r="I76" s="239">
        <v>45404</v>
      </c>
      <c r="J76" s="239">
        <v>45405</v>
      </c>
      <c r="K76" s="238">
        <v>45402</v>
      </c>
      <c r="L76" s="238">
        <v>45402</v>
      </c>
      <c r="M76" s="89">
        <v>-2</v>
      </c>
      <c r="N76" s="89">
        <v>-3</v>
      </c>
      <c r="O76" s="89" t="s">
        <v>861</v>
      </c>
    </row>
    <row r="77" spans="1:15" s="89" customFormat="1" ht="15">
      <c r="A77" s="89">
        <v>31</v>
      </c>
      <c r="B77" s="241" t="s">
        <v>480</v>
      </c>
      <c r="C77"/>
      <c r="D77" s="89">
        <v>2024</v>
      </c>
      <c r="E77" s="89">
        <v>2024</v>
      </c>
      <c r="F77" s="89">
        <v>11</v>
      </c>
      <c r="G77"/>
      <c r="H77" s="89" t="s">
        <v>473</v>
      </c>
      <c r="I77" s="239">
        <v>45406</v>
      </c>
      <c r="J77" s="239">
        <v>45407</v>
      </c>
      <c r="K77" s="238">
        <v>45407</v>
      </c>
      <c r="L77" s="238">
        <v>45407</v>
      </c>
      <c r="M77" s="89">
        <v>1</v>
      </c>
      <c r="N77" s="89">
        <v>0</v>
      </c>
      <c r="O77" s="89" t="s">
        <v>861</v>
      </c>
    </row>
    <row r="78" spans="1:15" s="89" customFormat="1" ht="15">
      <c r="A78" s="89">
        <v>32</v>
      </c>
      <c r="B78" s="241" t="s">
        <v>481</v>
      </c>
      <c r="C78"/>
      <c r="D78" s="89">
        <v>2024</v>
      </c>
      <c r="E78" s="89">
        <v>2024</v>
      </c>
      <c r="F78" s="89">
        <v>11</v>
      </c>
      <c r="G78"/>
      <c r="H78" s="89" t="s">
        <v>473</v>
      </c>
      <c r="I78" s="239">
        <v>45408</v>
      </c>
      <c r="J78" s="239">
        <v>45409</v>
      </c>
      <c r="K78" s="238">
        <v>45401</v>
      </c>
      <c r="L78" s="238">
        <v>45401</v>
      </c>
      <c r="M78" s="89">
        <v>-7</v>
      </c>
      <c r="N78" s="89">
        <v>-8</v>
      </c>
      <c r="O78" s="89" t="s">
        <v>861</v>
      </c>
    </row>
    <row r="79" spans="1:15" s="89" customFormat="1" ht="15">
      <c r="A79" s="89">
        <v>33</v>
      </c>
      <c r="B79" s="241" t="s">
        <v>482</v>
      </c>
      <c r="C79"/>
      <c r="D79" s="89">
        <v>2024</v>
      </c>
      <c r="E79" s="89">
        <v>2024</v>
      </c>
      <c r="F79" s="89">
        <v>11</v>
      </c>
      <c r="G79"/>
      <c r="H79" s="89" t="s">
        <v>473</v>
      </c>
      <c r="I79" s="239">
        <v>45411</v>
      </c>
      <c r="J79" s="239">
        <v>45412</v>
      </c>
      <c r="K79" s="238">
        <v>45409</v>
      </c>
      <c r="L79" s="238">
        <v>45409</v>
      </c>
      <c r="M79" s="89">
        <v>-2</v>
      </c>
      <c r="N79" s="89">
        <v>-3</v>
      </c>
      <c r="O79" s="89" t="s">
        <v>861</v>
      </c>
    </row>
    <row r="80" spans="1:15" s="89" customFormat="1" ht="15">
      <c r="A80" s="89">
        <v>34</v>
      </c>
      <c r="B80" s="241" t="s">
        <v>483</v>
      </c>
      <c r="C80"/>
      <c r="D80" s="89">
        <v>2024</v>
      </c>
      <c r="E80" s="89">
        <v>2024</v>
      </c>
      <c r="F80" s="89">
        <v>11</v>
      </c>
      <c r="G80"/>
      <c r="H80" s="89" t="s">
        <v>473</v>
      </c>
      <c r="I80" s="239">
        <v>45414</v>
      </c>
      <c r="J80" s="239">
        <v>45415</v>
      </c>
      <c r="K80" s="238">
        <v>45413</v>
      </c>
      <c r="L80" s="238">
        <v>45413</v>
      </c>
      <c r="M80" s="89">
        <v>-1</v>
      </c>
      <c r="N80" s="89">
        <v>-2</v>
      </c>
      <c r="O80" s="89" t="s">
        <v>861</v>
      </c>
    </row>
    <row r="81" spans="1:15" s="89" customFormat="1" ht="15">
      <c r="A81" s="89">
        <v>35</v>
      </c>
      <c r="B81" s="241" t="s">
        <v>484</v>
      </c>
      <c r="C81"/>
      <c r="D81" s="89">
        <v>2024</v>
      </c>
      <c r="E81" s="89">
        <v>2024</v>
      </c>
      <c r="F81" s="89">
        <v>11</v>
      </c>
      <c r="G81"/>
      <c r="H81" s="89" t="s">
        <v>473</v>
      </c>
      <c r="I81" s="239">
        <v>45416</v>
      </c>
      <c r="J81" s="239">
        <v>45418</v>
      </c>
      <c r="K81" s="238">
        <v>45408</v>
      </c>
      <c r="L81" s="238">
        <v>45408</v>
      </c>
      <c r="M81" s="89">
        <v>-8</v>
      </c>
      <c r="N81" s="89">
        <v>-10</v>
      </c>
      <c r="O81" s="89" t="s">
        <v>861</v>
      </c>
    </row>
    <row r="82" spans="1:15" s="89" customFormat="1" ht="15">
      <c r="A82" s="89">
        <v>36</v>
      </c>
      <c r="B82" s="241" t="s">
        <v>485</v>
      </c>
      <c r="C82"/>
      <c r="D82" s="89">
        <v>2024</v>
      </c>
      <c r="E82" s="89">
        <v>2024</v>
      </c>
      <c r="F82" s="89">
        <v>11</v>
      </c>
      <c r="G82"/>
      <c r="H82" s="89" t="s">
        <v>473</v>
      </c>
      <c r="I82" s="239">
        <v>45419</v>
      </c>
      <c r="J82" s="239">
        <v>45420</v>
      </c>
      <c r="K82" s="238">
        <v>45414</v>
      </c>
      <c r="L82" s="238">
        <v>45415</v>
      </c>
      <c r="M82" s="89">
        <v>-5</v>
      </c>
      <c r="N82" s="89">
        <v>-5</v>
      </c>
      <c r="O82" s="89" t="s">
        <v>861</v>
      </c>
    </row>
    <row r="83" spans="1:15" s="89" customFormat="1" ht="15">
      <c r="A83" s="89">
        <v>37</v>
      </c>
      <c r="B83" s="241" t="s">
        <v>486</v>
      </c>
      <c r="C83"/>
      <c r="D83" s="89">
        <v>2024</v>
      </c>
      <c r="E83" s="89">
        <v>2024</v>
      </c>
      <c r="F83" s="89">
        <v>11</v>
      </c>
      <c r="G83"/>
      <c r="H83" s="89" t="s">
        <v>473</v>
      </c>
      <c r="I83" s="239">
        <v>45421</v>
      </c>
      <c r="J83" s="239">
        <v>45422</v>
      </c>
      <c r="K83" s="238">
        <v>45416</v>
      </c>
      <c r="L83" s="238">
        <v>45416</v>
      </c>
      <c r="M83" s="89">
        <v>-5</v>
      </c>
      <c r="N83" s="89">
        <v>-6</v>
      </c>
      <c r="O83" s="89" t="s">
        <v>861</v>
      </c>
    </row>
    <row r="84" spans="1:15" s="89" customFormat="1" ht="15">
      <c r="A84" s="89">
        <v>38</v>
      </c>
      <c r="B84" s="241" t="s">
        <v>487</v>
      </c>
      <c r="C84"/>
      <c r="D84" s="89">
        <v>2024</v>
      </c>
      <c r="E84" s="89">
        <v>2024</v>
      </c>
      <c r="F84" s="89">
        <v>11</v>
      </c>
      <c r="G84"/>
      <c r="H84" s="89" t="s">
        <v>473</v>
      </c>
      <c r="I84" s="239">
        <v>45423</v>
      </c>
      <c r="J84" s="239">
        <v>45425</v>
      </c>
      <c r="K84" s="238">
        <v>45427</v>
      </c>
      <c r="L84" s="238">
        <v>45427</v>
      </c>
      <c r="M84" s="89">
        <v>4</v>
      </c>
      <c r="N84" s="89">
        <v>2</v>
      </c>
      <c r="O84" s="89" t="s">
        <v>861</v>
      </c>
    </row>
    <row r="85" spans="1:15" s="89" customFormat="1" ht="15">
      <c r="A85" s="89">
        <v>39</v>
      </c>
      <c r="B85" s="241" t="s">
        <v>488</v>
      </c>
      <c r="C85"/>
      <c r="D85" s="89">
        <v>2024</v>
      </c>
      <c r="E85" s="89">
        <v>2024</v>
      </c>
      <c r="F85" s="89">
        <v>11</v>
      </c>
      <c r="G85"/>
      <c r="H85" s="89" t="s">
        <v>473</v>
      </c>
      <c r="I85" s="239">
        <v>45426</v>
      </c>
      <c r="J85" s="239">
        <v>45427</v>
      </c>
      <c r="K85" s="238">
        <v>45417</v>
      </c>
      <c r="L85" s="238">
        <v>45417</v>
      </c>
      <c r="M85" s="89">
        <v>-9</v>
      </c>
      <c r="N85" s="89">
        <v>-10</v>
      </c>
      <c r="O85" s="89" t="s">
        <v>861</v>
      </c>
    </row>
    <row r="86" spans="1:15" s="89" customFormat="1" ht="15">
      <c r="A86" s="89">
        <v>40</v>
      </c>
      <c r="B86" s="241" t="s">
        <v>489</v>
      </c>
      <c r="C86"/>
      <c r="D86" s="89">
        <v>2024</v>
      </c>
      <c r="E86" s="89">
        <v>2024</v>
      </c>
      <c r="F86" s="89">
        <v>11</v>
      </c>
      <c r="G86"/>
      <c r="H86" s="89" t="s">
        <v>473</v>
      </c>
      <c r="I86" s="239">
        <v>45428</v>
      </c>
      <c r="J86" s="239">
        <v>45429</v>
      </c>
      <c r="K86" s="238">
        <v>45418</v>
      </c>
      <c r="L86" s="238">
        <v>45418</v>
      </c>
      <c r="M86" s="89">
        <v>-10</v>
      </c>
      <c r="N86" s="89">
        <v>-11</v>
      </c>
      <c r="O86" s="89" t="s">
        <v>861</v>
      </c>
    </row>
    <row r="87" spans="1:15" s="89" customFormat="1" ht="15">
      <c r="A87" s="89">
        <v>41</v>
      </c>
      <c r="B87" s="241" t="s">
        <v>490</v>
      </c>
      <c r="C87"/>
      <c r="D87" s="89">
        <v>2024</v>
      </c>
      <c r="E87" s="89">
        <v>2024</v>
      </c>
      <c r="F87" s="89">
        <v>11</v>
      </c>
      <c r="G87"/>
      <c r="H87" s="89" t="s">
        <v>473</v>
      </c>
      <c r="I87" s="239">
        <v>45430</v>
      </c>
      <c r="J87" s="239">
        <v>45432</v>
      </c>
      <c r="K87" s="238">
        <v>45419</v>
      </c>
      <c r="L87" s="238">
        <v>45419</v>
      </c>
      <c r="M87" s="89">
        <v>-11</v>
      </c>
      <c r="N87" s="89">
        <v>-13</v>
      </c>
      <c r="O87" s="89" t="s">
        <v>861</v>
      </c>
    </row>
    <row r="88" spans="1:15" s="89" customFormat="1" ht="15">
      <c r="A88" s="89">
        <v>42</v>
      </c>
      <c r="B88" s="241" t="s">
        <v>491</v>
      </c>
      <c r="C88"/>
      <c r="D88" s="89">
        <v>2024</v>
      </c>
      <c r="E88" s="89">
        <v>2024</v>
      </c>
      <c r="F88" s="89">
        <v>11</v>
      </c>
      <c r="G88"/>
      <c r="H88" s="89" t="s">
        <v>473</v>
      </c>
      <c r="I88" s="239">
        <v>45433</v>
      </c>
      <c r="J88" s="239">
        <v>45434</v>
      </c>
      <c r="K88" s="238">
        <v>45420</v>
      </c>
      <c r="L88" s="238">
        <v>45420</v>
      </c>
      <c r="M88" s="89">
        <v>-13</v>
      </c>
      <c r="N88" s="89">
        <v>-14</v>
      </c>
      <c r="O88" s="89" t="s">
        <v>861</v>
      </c>
    </row>
    <row r="89" spans="1:15" s="89" customFormat="1" ht="15">
      <c r="A89" s="89">
        <v>43</v>
      </c>
      <c r="B89" s="241" t="s">
        <v>492</v>
      </c>
      <c r="C89"/>
      <c r="D89" s="89">
        <v>2024</v>
      </c>
      <c r="E89" s="89">
        <v>2024</v>
      </c>
      <c r="F89" s="89">
        <v>11</v>
      </c>
      <c r="G89"/>
      <c r="H89" s="89" t="s">
        <v>473</v>
      </c>
      <c r="I89" s="239">
        <v>45435</v>
      </c>
      <c r="J89" s="239">
        <v>45436</v>
      </c>
      <c r="K89" s="238">
        <v>45421</v>
      </c>
      <c r="L89" s="238">
        <v>45421</v>
      </c>
      <c r="M89" s="89">
        <v>-14</v>
      </c>
      <c r="N89" s="89">
        <v>-15</v>
      </c>
      <c r="O89" s="89" t="s">
        <v>861</v>
      </c>
    </row>
    <row r="90" spans="1:15" s="89" customFormat="1" ht="15">
      <c r="A90" s="89">
        <v>44</v>
      </c>
      <c r="B90" s="241" t="s">
        <v>493</v>
      </c>
      <c r="C90"/>
      <c r="D90" s="89">
        <v>2024</v>
      </c>
      <c r="E90" s="89">
        <v>2024</v>
      </c>
      <c r="F90" s="89">
        <v>11</v>
      </c>
      <c r="G90"/>
      <c r="H90" s="89" t="s">
        <v>473</v>
      </c>
      <c r="I90" s="239">
        <v>45437</v>
      </c>
      <c r="J90" s="239">
        <v>45439</v>
      </c>
      <c r="K90" s="238">
        <v>45426</v>
      </c>
      <c r="L90" s="238">
        <v>45426</v>
      </c>
      <c r="M90" s="89">
        <v>-11</v>
      </c>
      <c r="N90" s="89">
        <v>-13</v>
      </c>
      <c r="O90" s="89" t="s">
        <v>861</v>
      </c>
    </row>
    <row r="91" spans="1:15" s="89" customFormat="1">
      <c r="A91" s="89">
        <v>1</v>
      </c>
      <c r="B91" s="241" t="s">
        <v>835</v>
      </c>
      <c r="D91" s="89">
        <v>2024</v>
      </c>
      <c r="E91" s="89">
        <v>2024</v>
      </c>
      <c r="F91" s="89">
        <v>12</v>
      </c>
      <c r="H91" s="89" t="s">
        <v>859</v>
      </c>
      <c r="I91" s="239">
        <v>45568</v>
      </c>
      <c r="J91" s="90"/>
      <c r="K91" s="239">
        <v>45568</v>
      </c>
      <c r="L91" s="90"/>
      <c r="M91" s="89">
        <v>0</v>
      </c>
      <c r="N91" s="90"/>
      <c r="O91" s="89" t="s">
        <v>860</v>
      </c>
    </row>
    <row r="92" spans="1:15" s="89" customFormat="1">
      <c r="A92" s="89">
        <v>2</v>
      </c>
      <c r="B92" s="241" t="s">
        <v>836</v>
      </c>
      <c r="D92" s="89">
        <v>2024</v>
      </c>
      <c r="E92" s="89">
        <v>2024</v>
      </c>
      <c r="F92" s="89">
        <v>12</v>
      </c>
      <c r="H92" s="89" t="s">
        <v>859</v>
      </c>
      <c r="I92" s="239">
        <v>45569</v>
      </c>
      <c r="J92" s="90"/>
      <c r="K92" s="239">
        <v>45569</v>
      </c>
      <c r="L92" s="90"/>
      <c r="M92" s="89">
        <v>0</v>
      </c>
      <c r="N92" s="90"/>
      <c r="O92" s="89" t="s">
        <v>860</v>
      </c>
    </row>
    <row r="93" spans="1:15" s="89" customFormat="1" ht="15">
      <c r="A93" s="89">
        <v>3</v>
      </c>
      <c r="B93" s="241" t="s">
        <v>837</v>
      </c>
      <c r="C93"/>
      <c r="D93" s="89">
        <v>2024</v>
      </c>
      <c r="E93" s="89">
        <v>2024</v>
      </c>
      <c r="F93" s="89">
        <v>12</v>
      </c>
      <c r="G93"/>
      <c r="H93" s="89" t="s">
        <v>859</v>
      </c>
      <c r="I93" s="239">
        <v>45572</v>
      </c>
      <c r="J93" s="90"/>
      <c r="K93" s="239">
        <v>45572</v>
      </c>
      <c r="L93" s="90"/>
      <c r="M93" s="89">
        <v>0</v>
      </c>
      <c r="N93" s="90"/>
      <c r="O93" s="89" t="s">
        <v>860</v>
      </c>
    </row>
    <row r="94" spans="1:15" s="89" customFormat="1" ht="15">
      <c r="A94" s="89">
        <v>4</v>
      </c>
      <c r="B94" s="241" t="s">
        <v>838</v>
      </c>
      <c r="C94"/>
      <c r="D94" s="89">
        <v>2024</v>
      </c>
      <c r="E94" s="89">
        <v>2024</v>
      </c>
      <c r="F94" s="89">
        <v>12</v>
      </c>
      <c r="G94"/>
      <c r="H94" s="89" t="s">
        <v>859</v>
      </c>
      <c r="I94" s="239">
        <v>45573</v>
      </c>
      <c r="J94" s="90"/>
      <c r="K94" s="239">
        <v>45573</v>
      </c>
      <c r="L94" s="90"/>
      <c r="M94" s="89">
        <v>0</v>
      </c>
      <c r="N94" s="90"/>
      <c r="O94" s="89" t="s">
        <v>860</v>
      </c>
    </row>
    <row r="95" spans="1:15" s="89" customFormat="1">
      <c r="A95" s="89">
        <v>5</v>
      </c>
      <c r="B95" s="241" t="s">
        <v>839</v>
      </c>
      <c r="D95" s="89">
        <v>2024</v>
      </c>
      <c r="E95" s="89">
        <v>2024</v>
      </c>
      <c r="F95" s="89">
        <v>12</v>
      </c>
      <c r="H95" s="89" t="s">
        <v>859</v>
      </c>
      <c r="I95" s="239">
        <v>45574</v>
      </c>
      <c r="J95" s="90"/>
      <c r="K95" s="239">
        <v>45574</v>
      </c>
      <c r="L95" s="90"/>
      <c r="M95" s="89">
        <v>0</v>
      </c>
      <c r="N95" s="90"/>
      <c r="O95" s="89" t="s">
        <v>860</v>
      </c>
    </row>
    <row r="96" spans="1:15" s="89" customFormat="1">
      <c r="A96" s="89">
        <v>6</v>
      </c>
      <c r="B96" s="241" t="s">
        <v>840</v>
      </c>
      <c r="D96" s="89">
        <v>2024</v>
      </c>
      <c r="E96" s="89">
        <v>2024</v>
      </c>
      <c r="F96" s="89">
        <v>12</v>
      </c>
      <c r="H96" s="89" t="s">
        <v>859</v>
      </c>
      <c r="I96" s="239">
        <v>45575</v>
      </c>
      <c r="J96" s="90"/>
      <c r="K96" s="239">
        <v>45575</v>
      </c>
      <c r="L96" s="90"/>
      <c r="M96" s="89">
        <v>0</v>
      </c>
      <c r="N96" s="90"/>
      <c r="O96" s="89" t="s">
        <v>860</v>
      </c>
    </row>
    <row r="97" spans="1:15" s="89" customFormat="1" ht="15">
      <c r="A97" s="89">
        <v>7</v>
      </c>
      <c r="B97" s="241" t="s">
        <v>841</v>
      </c>
      <c r="C97"/>
      <c r="D97" s="89">
        <v>2024</v>
      </c>
      <c r="E97" s="89">
        <v>2024</v>
      </c>
      <c r="F97" s="89">
        <v>12</v>
      </c>
      <c r="G97"/>
      <c r="H97" s="89" t="s">
        <v>859</v>
      </c>
      <c r="I97" s="239">
        <v>45576</v>
      </c>
      <c r="J97" s="90"/>
      <c r="K97" s="239">
        <v>45579</v>
      </c>
      <c r="L97" s="90"/>
      <c r="M97" s="89">
        <v>3</v>
      </c>
      <c r="N97" s="90"/>
      <c r="O97" s="89" t="s">
        <v>860</v>
      </c>
    </row>
    <row r="98" spans="1:15" s="89" customFormat="1" ht="15">
      <c r="A98" s="89">
        <v>8</v>
      </c>
      <c r="B98" s="241" t="s">
        <v>842</v>
      </c>
      <c r="C98"/>
      <c r="D98" s="89">
        <v>2024</v>
      </c>
      <c r="E98" s="89">
        <v>2024</v>
      </c>
      <c r="F98" s="89">
        <v>12</v>
      </c>
      <c r="G98"/>
      <c r="H98" s="89" t="s">
        <v>859</v>
      </c>
      <c r="I98" s="239">
        <v>45579</v>
      </c>
      <c r="J98" s="90"/>
      <c r="K98" s="239">
        <v>45580</v>
      </c>
      <c r="L98" s="90"/>
      <c r="M98" s="89">
        <v>1</v>
      </c>
      <c r="N98" s="90"/>
      <c r="O98" s="89" t="s">
        <v>860</v>
      </c>
    </row>
    <row r="99" spans="1:15" s="89" customFormat="1" ht="15">
      <c r="A99" s="89">
        <v>9</v>
      </c>
      <c r="B99" s="241" t="s">
        <v>843</v>
      </c>
      <c r="C99"/>
      <c r="D99" s="89">
        <v>2024</v>
      </c>
      <c r="E99" s="89">
        <v>2024</v>
      </c>
      <c r="F99" s="89">
        <v>12</v>
      </c>
      <c r="G99"/>
      <c r="H99" s="89" t="s">
        <v>859</v>
      </c>
      <c r="I99" s="239">
        <v>45580</v>
      </c>
      <c r="J99" s="90"/>
      <c r="K99" s="239">
        <v>45581</v>
      </c>
      <c r="L99" s="90"/>
      <c r="M99" s="89">
        <v>1</v>
      </c>
      <c r="N99" s="90"/>
      <c r="O99" s="89" t="s">
        <v>860</v>
      </c>
    </row>
    <row r="100" spans="1:15" s="89" customFormat="1" ht="15">
      <c r="A100" s="89">
        <v>10</v>
      </c>
      <c r="B100" s="241" t="s">
        <v>846</v>
      </c>
      <c r="C100"/>
      <c r="D100" s="89">
        <v>2024</v>
      </c>
      <c r="E100" s="89">
        <v>2024</v>
      </c>
      <c r="F100" s="89">
        <v>12</v>
      </c>
      <c r="G100"/>
      <c r="H100" s="89" t="s">
        <v>859</v>
      </c>
      <c r="I100" s="239">
        <v>45581</v>
      </c>
      <c r="J100" s="90"/>
      <c r="K100" s="239">
        <v>45582</v>
      </c>
      <c r="L100" s="90"/>
      <c r="M100" s="89">
        <v>1</v>
      </c>
      <c r="N100" s="90"/>
      <c r="O100" s="89" t="s">
        <v>860</v>
      </c>
    </row>
    <row r="101" spans="1:15" s="89" customFormat="1" ht="15">
      <c r="A101" s="89">
        <v>11</v>
      </c>
      <c r="B101" s="241" t="s">
        <v>845</v>
      </c>
      <c r="C101"/>
      <c r="D101" s="89">
        <v>2024</v>
      </c>
      <c r="E101" s="89">
        <v>2024</v>
      </c>
      <c r="F101" s="89">
        <v>12</v>
      </c>
      <c r="G101"/>
      <c r="H101" s="89" t="s">
        <v>859</v>
      </c>
      <c r="I101" s="239">
        <v>45582</v>
      </c>
      <c r="J101" s="90"/>
      <c r="K101" s="239">
        <v>45583</v>
      </c>
      <c r="L101" s="90"/>
      <c r="M101" s="89">
        <v>1</v>
      </c>
      <c r="N101" s="90"/>
      <c r="O101" s="89" t="s">
        <v>860</v>
      </c>
    </row>
    <row r="102" spans="1:15" s="89" customFormat="1" ht="15">
      <c r="A102" s="89">
        <v>12</v>
      </c>
      <c r="B102" s="241" t="s">
        <v>844</v>
      </c>
      <c r="C102"/>
      <c r="D102" s="89">
        <v>2024</v>
      </c>
      <c r="E102" s="89">
        <v>2024</v>
      </c>
      <c r="F102" s="89">
        <v>12</v>
      </c>
      <c r="G102"/>
      <c r="H102" s="89" t="s">
        <v>859</v>
      </c>
      <c r="I102" s="239">
        <v>45583</v>
      </c>
      <c r="J102" s="90"/>
      <c r="K102" s="239">
        <v>45586</v>
      </c>
      <c r="L102" s="90"/>
      <c r="M102" s="89">
        <v>3</v>
      </c>
      <c r="N102" s="90"/>
      <c r="O102" s="89" t="s">
        <v>860</v>
      </c>
    </row>
    <row r="103" spans="1:15" s="89" customFormat="1" ht="15">
      <c r="A103" s="89">
        <v>13</v>
      </c>
      <c r="B103" s="241" t="s">
        <v>848</v>
      </c>
      <c r="C103"/>
      <c r="D103" s="89">
        <v>2024</v>
      </c>
      <c r="E103" s="89">
        <v>2024</v>
      </c>
      <c r="F103" s="89">
        <v>12</v>
      </c>
      <c r="G103"/>
      <c r="H103" s="89" t="s">
        <v>859</v>
      </c>
      <c r="I103" s="239">
        <v>45586</v>
      </c>
      <c r="J103" s="90"/>
      <c r="K103" s="239">
        <v>45587</v>
      </c>
      <c r="L103" s="90"/>
      <c r="M103" s="89">
        <v>1</v>
      </c>
      <c r="N103" s="90"/>
      <c r="O103" s="89" t="s">
        <v>860</v>
      </c>
    </row>
    <row r="104" spans="1:15" s="89" customFormat="1" ht="15">
      <c r="A104" s="89">
        <v>14</v>
      </c>
      <c r="B104" s="241" t="s">
        <v>847</v>
      </c>
      <c r="C104"/>
      <c r="D104" s="89">
        <v>2024</v>
      </c>
      <c r="E104" s="89">
        <v>2024</v>
      </c>
      <c r="F104" s="89">
        <v>12</v>
      </c>
      <c r="G104"/>
      <c r="H104" s="89" t="s">
        <v>859</v>
      </c>
      <c r="I104" s="239">
        <v>45587</v>
      </c>
      <c r="J104" s="90"/>
      <c r="K104" s="239">
        <v>45588</v>
      </c>
      <c r="L104" s="90"/>
      <c r="M104" s="89">
        <v>1</v>
      </c>
      <c r="N104" s="90"/>
      <c r="O104" s="89" t="s">
        <v>860</v>
      </c>
    </row>
    <row r="105" spans="1:15" s="89" customFormat="1" ht="15">
      <c r="A105" s="89">
        <v>15</v>
      </c>
      <c r="B105" s="241" t="s">
        <v>849</v>
      </c>
      <c r="C105"/>
      <c r="D105" s="89">
        <v>2024</v>
      </c>
      <c r="E105" s="89">
        <v>2024</v>
      </c>
      <c r="F105" s="89">
        <v>12</v>
      </c>
      <c r="G105"/>
      <c r="H105" s="89" t="s">
        <v>859</v>
      </c>
      <c r="I105" s="239">
        <v>45588</v>
      </c>
      <c r="J105" s="90"/>
      <c r="K105" s="239">
        <v>45589</v>
      </c>
      <c r="L105" s="90"/>
      <c r="M105" s="89">
        <v>1</v>
      </c>
      <c r="N105" s="90"/>
      <c r="O105" s="89" t="s">
        <v>860</v>
      </c>
    </row>
    <row r="106" spans="1:15" s="89" customFormat="1" ht="15">
      <c r="A106" s="89">
        <v>16</v>
      </c>
      <c r="B106" s="241" t="s">
        <v>850</v>
      </c>
      <c r="C106"/>
      <c r="D106" s="89">
        <v>2024</v>
      </c>
      <c r="E106" s="89">
        <v>2024</v>
      </c>
      <c r="F106" s="89">
        <v>12</v>
      </c>
      <c r="G106"/>
      <c r="H106" s="89" t="s">
        <v>859</v>
      </c>
      <c r="I106" s="239">
        <v>45589</v>
      </c>
      <c r="J106" s="90"/>
      <c r="K106" s="239">
        <v>45590</v>
      </c>
      <c r="L106" s="90"/>
      <c r="M106" s="89">
        <v>1</v>
      </c>
      <c r="N106" s="90"/>
      <c r="O106" s="89" t="s">
        <v>860</v>
      </c>
    </row>
    <row r="107" spans="1:15" s="89" customFormat="1" ht="15">
      <c r="A107" s="89">
        <v>17</v>
      </c>
      <c r="B107" s="241" t="s">
        <v>851</v>
      </c>
      <c r="C107"/>
      <c r="D107" s="89">
        <v>2024</v>
      </c>
      <c r="E107" s="89">
        <v>2024</v>
      </c>
      <c r="F107" s="89">
        <v>12</v>
      </c>
      <c r="G107"/>
      <c r="H107" s="89" t="s">
        <v>859</v>
      </c>
      <c r="I107" s="239">
        <v>45590</v>
      </c>
      <c r="J107" s="90"/>
      <c r="K107" s="239">
        <v>45591</v>
      </c>
      <c r="L107" s="90"/>
      <c r="M107" s="89">
        <v>1</v>
      </c>
      <c r="N107" s="90"/>
      <c r="O107" s="89" t="s">
        <v>860</v>
      </c>
    </row>
    <row r="108" spans="1:15" s="89" customFormat="1" ht="15">
      <c r="A108" s="89">
        <v>18</v>
      </c>
      <c r="B108" s="241" t="s">
        <v>852</v>
      </c>
      <c r="C108"/>
      <c r="D108" s="89">
        <v>2024</v>
      </c>
      <c r="E108" s="89">
        <v>2024</v>
      </c>
      <c r="F108" s="89">
        <v>12</v>
      </c>
      <c r="G108"/>
      <c r="H108" s="89" t="s">
        <v>859</v>
      </c>
      <c r="I108" s="239">
        <v>45599</v>
      </c>
      <c r="J108" s="90"/>
      <c r="K108" s="239">
        <v>45592</v>
      </c>
      <c r="L108" s="90"/>
      <c r="M108" s="89">
        <v>-7</v>
      </c>
      <c r="N108" s="90"/>
      <c r="O108" s="89" t="s">
        <v>860</v>
      </c>
    </row>
    <row r="109" spans="1:15" s="89" customFormat="1" ht="15">
      <c r="A109" s="89">
        <v>19</v>
      </c>
      <c r="B109" s="241" t="s">
        <v>853</v>
      </c>
      <c r="C109"/>
      <c r="D109" s="89">
        <v>2024</v>
      </c>
      <c r="E109" s="89">
        <v>2024</v>
      </c>
      <c r="F109" s="89">
        <v>12</v>
      </c>
      <c r="G109"/>
      <c r="H109" s="89" t="s">
        <v>859</v>
      </c>
      <c r="I109" s="239">
        <v>45600</v>
      </c>
      <c r="J109" s="90"/>
      <c r="K109" s="239">
        <v>45593</v>
      </c>
      <c r="L109" s="90"/>
      <c r="M109" s="89">
        <v>-7</v>
      </c>
      <c r="N109" s="90"/>
      <c r="O109" s="89" t="s">
        <v>860</v>
      </c>
    </row>
    <row r="110" spans="1:15" s="89" customFormat="1" ht="15">
      <c r="A110" s="89">
        <v>20</v>
      </c>
      <c r="B110" s="241" t="s">
        <v>854</v>
      </c>
      <c r="C110"/>
      <c r="D110" s="89">
        <v>2024</v>
      </c>
      <c r="E110" s="89">
        <v>2024</v>
      </c>
      <c r="F110" s="89">
        <v>12</v>
      </c>
      <c r="G110"/>
      <c r="H110" s="89" t="s">
        <v>859</v>
      </c>
      <c r="I110" s="239">
        <v>45601</v>
      </c>
      <c r="J110" s="90"/>
      <c r="K110" s="239">
        <v>45594</v>
      </c>
      <c r="L110" s="90"/>
      <c r="M110" s="89">
        <v>-7</v>
      </c>
      <c r="N110" s="90"/>
      <c r="O110" s="89" t="s">
        <v>860</v>
      </c>
    </row>
    <row r="111" spans="1:15" s="89" customFormat="1" ht="15">
      <c r="A111" s="89">
        <v>21</v>
      </c>
      <c r="B111" s="241" t="s">
        <v>855</v>
      </c>
      <c r="C111"/>
      <c r="D111" s="89">
        <v>2024</v>
      </c>
      <c r="E111" s="89">
        <v>2024</v>
      </c>
      <c r="F111" s="89">
        <v>12</v>
      </c>
      <c r="G111"/>
      <c r="H111" s="89" t="s">
        <v>859</v>
      </c>
      <c r="I111" s="239">
        <v>45606</v>
      </c>
      <c r="J111" s="90"/>
      <c r="K111" s="239">
        <v>45595</v>
      </c>
      <c r="L111" s="90"/>
      <c r="M111" s="89">
        <v>-11</v>
      </c>
      <c r="N111" s="90"/>
      <c r="O111" s="89" t="s">
        <v>860</v>
      </c>
    </row>
    <row r="112" spans="1:15" s="89" customFormat="1" ht="15">
      <c r="A112" s="89">
        <v>22</v>
      </c>
      <c r="B112" s="241" t="s">
        <v>856</v>
      </c>
      <c r="C112"/>
      <c r="D112" s="89">
        <v>2024</v>
      </c>
      <c r="E112" s="89">
        <v>2024</v>
      </c>
      <c r="F112" s="89">
        <v>12</v>
      </c>
      <c r="G112"/>
      <c r="H112" s="89" t="s">
        <v>859</v>
      </c>
      <c r="I112" s="239">
        <v>45602</v>
      </c>
      <c r="J112" s="90"/>
      <c r="K112" s="239">
        <v>45603</v>
      </c>
      <c r="L112" s="90"/>
      <c r="M112" s="89">
        <v>1</v>
      </c>
      <c r="N112" s="90"/>
      <c r="O112" s="89" t="s">
        <v>860</v>
      </c>
    </row>
    <row r="113" spans="1:15" s="89" customFormat="1" ht="15">
      <c r="A113" s="89">
        <v>23</v>
      </c>
      <c r="B113" s="241" t="s">
        <v>857</v>
      </c>
      <c r="C113"/>
      <c r="D113" s="89">
        <v>2024</v>
      </c>
      <c r="E113" s="89">
        <v>2024</v>
      </c>
      <c r="F113" s="89">
        <v>12</v>
      </c>
      <c r="G113"/>
      <c r="H113" s="89" t="s">
        <v>859</v>
      </c>
      <c r="I113" s="239">
        <v>45607</v>
      </c>
      <c r="J113" s="90"/>
      <c r="K113" s="239">
        <v>45604</v>
      </c>
      <c r="L113" s="90"/>
      <c r="M113" s="89">
        <v>-3</v>
      </c>
      <c r="N113" s="90"/>
      <c r="O113" s="89" t="s">
        <v>860</v>
      </c>
    </row>
    <row r="114" spans="1:15" s="89" customFormat="1" ht="15">
      <c r="A114" s="89">
        <v>24</v>
      </c>
      <c r="B114" s="241" t="s">
        <v>858</v>
      </c>
      <c r="C114"/>
      <c r="D114" s="89">
        <v>2024</v>
      </c>
      <c r="E114" s="89">
        <v>2024</v>
      </c>
      <c r="F114" s="89">
        <v>12</v>
      </c>
      <c r="G114"/>
      <c r="H114" s="89" t="s">
        <v>859</v>
      </c>
      <c r="I114" s="239">
        <v>45608</v>
      </c>
      <c r="J114" s="90"/>
      <c r="K114" s="239">
        <v>45605</v>
      </c>
      <c r="L114" s="90"/>
      <c r="M114" s="89">
        <v>-3</v>
      </c>
      <c r="N114" s="90"/>
      <c r="O114" s="89" t="s">
        <v>860</v>
      </c>
    </row>
    <row r="115" spans="1:15" s="89" customFormat="1" ht="15">
      <c r="A115" s="89">
        <v>25</v>
      </c>
      <c r="B115" s="241" t="s">
        <v>472</v>
      </c>
      <c r="C115"/>
      <c r="D115" s="89">
        <v>2024</v>
      </c>
      <c r="E115" s="89">
        <v>2024</v>
      </c>
      <c r="F115" s="89">
        <v>12</v>
      </c>
      <c r="G115"/>
      <c r="H115" s="89" t="s">
        <v>859</v>
      </c>
      <c r="I115" s="239">
        <v>45609</v>
      </c>
      <c r="J115" s="90"/>
      <c r="K115" s="239">
        <v>45607</v>
      </c>
      <c r="L115" s="90"/>
      <c r="M115" s="89">
        <v>-2</v>
      </c>
      <c r="N115" s="90"/>
      <c r="O115" s="89" t="s">
        <v>860</v>
      </c>
    </row>
    <row r="116" spans="1:15" s="89" customFormat="1" ht="15">
      <c r="A116" s="89">
        <v>26</v>
      </c>
      <c r="B116" s="241" t="s">
        <v>475</v>
      </c>
      <c r="C116"/>
      <c r="D116" s="89">
        <v>2024</v>
      </c>
      <c r="E116" s="89">
        <v>2024</v>
      </c>
      <c r="F116" s="89">
        <v>12</v>
      </c>
      <c r="G116"/>
      <c r="H116" s="89" t="s">
        <v>859</v>
      </c>
      <c r="I116" s="239">
        <v>45610</v>
      </c>
      <c r="J116" s="90"/>
      <c r="K116" s="239">
        <v>45608</v>
      </c>
      <c r="L116" s="90"/>
      <c r="M116" s="89">
        <v>-2</v>
      </c>
      <c r="N116" s="90"/>
      <c r="O116" s="89" t="s">
        <v>860</v>
      </c>
    </row>
    <row r="117" spans="1:15" s="89" customFormat="1" ht="15">
      <c r="A117" s="89">
        <v>27</v>
      </c>
      <c r="B117" s="241" t="s">
        <v>476</v>
      </c>
      <c r="C117"/>
      <c r="D117" s="89">
        <v>2024</v>
      </c>
      <c r="E117" s="89">
        <v>2024</v>
      </c>
      <c r="F117" s="89">
        <v>12</v>
      </c>
      <c r="G117"/>
      <c r="H117" s="89" t="s">
        <v>859</v>
      </c>
      <c r="I117" s="239">
        <v>45613</v>
      </c>
      <c r="J117" s="90"/>
      <c r="K117" s="239">
        <v>45610</v>
      </c>
      <c r="L117" s="90"/>
      <c r="M117" s="89">
        <v>-3</v>
      </c>
      <c r="N117" s="90"/>
      <c r="O117" s="89" t="s">
        <v>860</v>
      </c>
    </row>
    <row r="118" spans="1:15" s="89" customFormat="1" ht="15">
      <c r="A118" s="89">
        <v>28</v>
      </c>
      <c r="B118" s="241" t="s">
        <v>477</v>
      </c>
      <c r="C118"/>
      <c r="D118" s="89">
        <v>2024</v>
      </c>
      <c r="E118" s="89">
        <v>2024</v>
      </c>
      <c r="F118" s="89">
        <v>12</v>
      </c>
      <c r="G118"/>
      <c r="H118" s="89" t="s">
        <v>859</v>
      </c>
      <c r="I118" s="239">
        <v>45614</v>
      </c>
      <c r="J118" s="90"/>
      <c r="K118" s="239">
        <v>45611</v>
      </c>
      <c r="L118" s="90"/>
      <c r="M118" s="89">
        <v>-3</v>
      </c>
      <c r="N118" s="90"/>
      <c r="O118" s="89" t="s">
        <v>860</v>
      </c>
    </row>
    <row r="119" spans="1:15" s="89" customFormat="1" ht="15">
      <c r="A119" s="89">
        <v>29</v>
      </c>
      <c r="B119" s="241" t="s">
        <v>478</v>
      </c>
      <c r="C119"/>
      <c r="D119" s="89">
        <v>2024</v>
      </c>
      <c r="E119" s="89">
        <v>2024</v>
      </c>
      <c r="F119" s="89">
        <v>12</v>
      </c>
      <c r="G119"/>
      <c r="H119" s="89" t="s">
        <v>859</v>
      </c>
      <c r="I119" s="239">
        <v>45615</v>
      </c>
      <c r="J119" s="90"/>
      <c r="K119" s="239">
        <v>45614</v>
      </c>
      <c r="L119" s="90"/>
      <c r="M119" s="89">
        <v>-1</v>
      </c>
      <c r="N119" s="90"/>
      <c r="O119" s="89" t="s">
        <v>860</v>
      </c>
    </row>
    <row r="120" spans="1:15" s="89" customFormat="1" ht="15">
      <c r="A120" s="89">
        <v>30</v>
      </c>
      <c r="B120" s="241" t="s">
        <v>479</v>
      </c>
      <c r="C120"/>
      <c r="D120" s="89">
        <v>2024</v>
      </c>
      <c r="E120" s="89">
        <v>2024</v>
      </c>
      <c r="F120" s="89">
        <v>12</v>
      </c>
      <c r="G120"/>
      <c r="H120" s="89" t="s">
        <v>859</v>
      </c>
      <c r="I120" s="239">
        <v>45616</v>
      </c>
      <c r="J120" s="90"/>
      <c r="K120" s="239">
        <v>45615</v>
      </c>
      <c r="L120" s="90"/>
      <c r="M120" s="89">
        <v>-1</v>
      </c>
      <c r="N120" s="90"/>
      <c r="O120" s="89" t="s">
        <v>860</v>
      </c>
    </row>
    <row r="121" spans="1:15" s="89" customFormat="1" ht="15">
      <c r="A121" s="89">
        <v>31</v>
      </c>
      <c r="B121" s="241" t="s">
        <v>480</v>
      </c>
      <c r="C121"/>
      <c r="D121" s="89">
        <v>2024</v>
      </c>
      <c r="E121" s="89">
        <v>2024</v>
      </c>
      <c r="F121" s="89">
        <v>12</v>
      </c>
      <c r="G121"/>
      <c r="H121" s="89" t="s">
        <v>859</v>
      </c>
      <c r="I121" s="239">
        <v>45617</v>
      </c>
      <c r="J121" s="90"/>
      <c r="K121" s="239">
        <v>45617</v>
      </c>
      <c r="L121" s="90"/>
      <c r="M121" s="89">
        <v>0</v>
      </c>
      <c r="N121" s="90"/>
      <c r="O121" s="89" t="s">
        <v>860</v>
      </c>
    </row>
    <row r="122" spans="1:15" s="89" customFormat="1" ht="15">
      <c r="A122" s="89">
        <v>32</v>
      </c>
      <c r="B122" s="241" t="s">
        <v>481</v>
      </c>
      <c r="C122"/>
      <c r="D122" s="89">
        <v>2024</v>
      </c>
      <c r="E122" s="89">
        <v>2024</v>
      </c>
      <c r="F122" s="89">
        <v>12</v>
      </c>
      <c r="G122"/>
      <c r="H122" s="89" t="s">
        <v>859</v>
      </c>
      <c r="I122" s="239">
        <v>45620</v>
      </c>
      <c r="J122" s="90"/>
      <c r="K122" s="239">
        <v>45618</v>
      </c>
      <c r="L122" s="90"/>
      <c r="M122" s="89">
        <v>-2</v>
      </c>
      <c r="N122" s="90"/>
      <c r="O122" s="89" t="s">
        <v>860</v>
      </c>
    </row>
    <row r="123" spans="1:15" s="89" customFormat="1" ht="15">
      <c r="A123" s="89">
        <v>33</v>
      </c>
      <c r="B123" s="241" t="s">
        <v>482</v>
      </c>
      <c r="C123"/>
      <c r="D123" s="89">
        <v>2024</v>
      </c>
      <c r="E123" s="89">
        <v>2024</v>
      </c>
      <c r="F123" s="89">
        <v>12</v>
      </c>
      <c r="G123"/>
      <c r="H123" s="89" t="s">
        <v>859</v>
      </c>
      <c r="I123" s="239">
        <v>45621</v>
      </c>
      <c r="J123" s="90"/>
      <c r="K123" s="239">
        <v>45621</v>
      </c>
      <c r="L123" s="90"/>
      <c r="M123" s="89">
        <v>0</v>
      </c>
      <c r="N123" s="90"/>
      <c r="O123" s="89" t="s">
        <v>860</v>
      </c>
    </row>
    <row r="124" spans="1:15" s="89" customFormat="1" ht="15">
      <c r="A124" s="89">
        <v>34</v>
      </c>
      <c r="B124" s="241" t="s">
        <v>483</v>
      </c>
      <c r="C124"/>
      <c r="D124" s="89">
        <v>2024</v>
      </c>
      <c r="E124" s="89">
        <v>2024</v>
      </c>
      <c r="F124" s="89">
        <v>12</v>
      </c>
      <c r="G124"/>
      <c r="H124" s="89" t="s">
        <v>859</v>
      </c>
      <c r="I124" s="239">
        <v>45622</v>
      </c>
      <c r="J124" s="90"/>
      <c r="K124" s="239">
        <v>45623</v>
      </c>
      <c r="L124" s="90"/>
      <c r="M124" s="89">
        <v>1</v>
      </c>
      <c r="N124" s="90"/>
      <c r="O124" s="89" t="s">
        <v>860</v>
      </c>
    </row>
    <row r="125" spans="1:15" s="89" customFormat="1" ht="15">
      <c r="A125" s="89">
        <v>35</v>
      </c>
      <c r="B125" s="241" t="s">
        <v>484</v>
      </c>
      <c r="C125"/>
      <c r="D125" s="89">
        <v>2024</v>
      </c>
      <c r="E125" s="89">
        <v>2024</v>
      </c>
      <c r="F125" s="89">
        <v>12</v>
      </c>
      <c r="G125"/>
      <c r="H125" s="89" t="s">
        <v>859</v>
      </c>
      <c r="I125" s="239">
        <v>45623</v>
      </c>
      <c r="J125" s="90"/>
      <c r="K125" s="239">
        <v>45624</v>
      </c>
      <c r="L125" s="90"/>
      <c r="M125" s="89">
        <v>1</v>
      </c>
      <c r="N125" s="90"/>
      <c r="O125" s="89" t="s">
        <v>860</v>
      </c>
    </row>
    <row r="126" spans="1:15" s="89" customFormat="1" ht="15">
      <c r="A126" s="89">
        <v>36</v>
      </c>
      <c r="B126" s="241" t="s">
        <v>485</v>
      </c>
      <c r="C126"/>
      <c r="D126" s="89">
        <v>2024</v>
      </c>
      <c r="E126" s="89">
        <v>2024</v>
      </c>
      <c r="F126" s="89">
        <v>12</v>
      </c>
      <c r="G126"/>
      <c r="H126" s="89" t="s">
        <v>859</v>
      </c>
      <c r="I126" s="239">
        <v>45624</v>
      </c>
      <c r="J126" s="90"/>
      <c r="K126" s="239">
        <v>45626</v>
      </c>
      <c r="L126" s="90"/>
      <c r="M126" s="89">
        <v>2</v>
      </c>
      <c r="N126" s="90"/>
      <c r="O126" s="89" t="s">
        <v>860</v>
      </c>
    </row>
    <row r="127" spans="1:15" s="89" customFormat="1" ht="15">
      <c r="A127" s="89">
        <v>37</v>
      </c>
      <c r="B127" s="241" t="s">
        <v>486</v>
      </c>
      <c r="C127"/>
      <c r="D127" s="89">
        <v>2024</v>
      </c>
      <c r="E127" s="89">
        <v>2024</v>
      </c>
      <c r="F127" s="89">
        <v>12</v>
      </c>
      <c r="G127"/>
      <c r="H127" s="89" t="s">
        <v>859</v>
      </c>
      <c r="I127" s="239">
        <v>45627</v>
      </c>
      <c r="J127" s="90"/>
      <c r="K127" s="239">
        <v>45628</v>
      </c>
      <c r="L127" s="90"/>
      <c r="M127" s="89">
        <v>1</v>
      </c>
      <c r="N127" s="90"/>
      <c r="O127" s="89" t="s">
        <v>860</v>
      </c>
    </row>
    <row r="128" spans="1:15" s="89" customFormat="1" ht="15">
      <c r="A128" s="89">
        <v>38</v>
      </c>
      <c r="B128" s="241" t="s">
        <v>487</v>
      </c>
      <c r="C128"/>
      <c r="D128" s="89">
        <v>2024</v>
      </c>
      <c r="E128" s="89">
        <v>2024</v>
      </c>
      <c r="F128" s="89">
        <v>12</v>
      </c>
      <c r="G128"/>
      <c r="H128" s="89" t="s">
        <v>859</v>
      </c>
      <c r="I128" s="239">
        <v>45628</v>
      </c>
      <c r="J128" s="90"/>
      <c r="K128" s="239">
        <v>45630</v>
      </c>
      <c r="L128" s="90"/>
      <c r="M128" s="89">
        <v>2</v>
      </c>
      <c r="N128" s="90"/>
      <c r="O128" s="89" t="s">
        <v>860</v>
      </c>
    </row>
    <row r="129" spans="1:15" s="89" customFormat="1" ht="15">
      <c r="A129" s="89">
        <v>39</v>
      </c>
      <c r="B129" s="241" t="s">
        <v>488</v>
      </c>
      <c r="C129"/>
      <c r="D129" s="89">
        <v>2024</v>
      </c>
      <c r="E129" s="89">
        <v>2024</v>
      </c>
      <c r="F129" s="89">
        <v>12</v>
      </c>
      <c r="G129"/>
      <c r="H129" s="89" t="s">
        <v>859</v>
      </c>
      <c r="I129" s="239">
        <v>45629</v>
      </c>
      <c r="J129" s="90"/>
      <c r="K129" s="239">
        <v>45631</v>
      </c>
      <c r="L129" s="90"/>
      <c r="M129" s="89">
        <v>2</v>
      </c>
      <c r="N129" s="90"/>
      <c r="O129" s="89" t="s">
        <v>860</v>
      </c>
    </row>
    <row r="130" spans="1:15" s="89" customFormat="1" ht="15">
      <c r="A130" s="89">
        <v>40</v>
      </c>
      <c r="B130" s="241" t="s">
        <v>489</v>
      </c>
      <c r="C130"/>
      <c r="D130" s="89">
        <v>2024</v>
      </c>
      <c r="E130" s="89">
        <v>2024</v>
      </c>
      <c r="F130" s="89">
        <v>12</v>
      </c>
      <c r="G130"/>
      <c r="H130" s="89" t="s">
        <v>859</v>
      </c>
      <c r="I130" s="239">
        <v>45630</v>
      </c>
      <c r="J130" s="90"/>
      <c r="K130" s="239">
        <v>45632</v>
      </c>
      <c r="L130" s="90"/>
      <c r="M130" s="89">
        <v>2</v>
      </c>
      <c r="N130" s="90"/>
      <c r="O130" s="89" t="s">
        <v>860</v>
      </c>
    </row>
    <row r="131" spans="1:15" s="89" customFormat="1" ht="15">
      <c r="A131" s="89">
        <v>41</v>
      </c>
      <c r="B131" s="241" t="s">
        <v>490</v>
      </c>
      <c r="C131"/>
      <c r="D131" s="89">
        <v>2024</v>
      </c>
      <c r="E131" s="89">
        <v>2024</v>
      </c>
      <c r="F131" s="89">
        <v>12</v>
      </c>
      <c r="G131"/>
      <c r="H131" s="89" t="s">
        <v>859</v>
      </c>
      <c r="I131" s="239">
        <v>45631</v>
      </c>
      <c r="J131" s="90"/>
      <c r="K131" s="239">
        <v>45633</v>
      </c>
      <c r="L131" s="90"/>
      <c r="M131" s="89">
        <v>2</v>
      </c>
      <c r="N131" s="90"/>
      <c r="O131" s="89" t="s">
        <v>860</v>
      </c>
    </row>
    <row r="132" spans="1:15" s="89" customFormat="1" ht="15">
      <c r="A132" s="89">
        <v>42</v>
      </c>
      <c r="B132" s="241" t="s">
        <v>491</v>
      </c>
      <c r="C132"/>
      <c r="D132" s="89">
        <v>2024</v>
      </c>
      <c r="E132" s="89">
        <v>2024</v>
      </c>
      <c r="F132" s="89">
        <v>12</v>
      </c>
      <c r="G132"/>
      <c r="H132" s="89" t="s">
        <v>859</v>
      </c>
      <c r="I132" s="239">
        <v>45634</v>
      </c>
      <c r="J132" s="90"/>
      <c r="K132" s="239">
        <v>45635</v>
      </c>
      <c r="L132" s="90"/>
      <c r="M132" s="89">
        <v>1</v>
      </c>
      <c r="N132" s="90"/>
      <c r="O132" s="89" t="s">
        <v>860</v>
      </c>
    </row>
    <row r="133" spans="1:15" s="89" customFormat="1" ht="15">
      <c r="A133" s="89">
        <v>43</v>
      </c>
      <c r="B133" s="241" t="s">
        <v>492</v>
      </c>
      <c r="C133"/>
      <c r="D133" s="89">
        <v>2024</v>
      </c>
      <c r="E133" s="89">
        <v>2024</v>
      </c>
      <c r="F133" s="89">
        <v>12</v>
      </c>
      <c r="G133"/>
      <c r="H133" s="89" t="s">
        <v>859</v>
      </c>
      <c r="I133" s="239">
        <v>45635</v>
      </c>
      <c r="J133" s="90"/>
      <c r="K133" s="239">
        <v>45636</v>
      </c>
      <c r="L133" s="90"/>
      <c r="M133" s="89">
        <v>1</v>
      </c>
      <c r="N133" s="90"/>
      <c r="O133" s="89" t="s">
        <v>860</v>
      </c>
    </row>
    <row r="134" spans="1:15" s="89" customFormat="1" ht="15">
      <c r="A134" s="89">
        <v>44</v>
      </c>
      <c r="B134" s="241" t="s">
        <v>493</v>
      </c>
      <c r="C134"/>
      <c r="D134" s="89">
        <v>2024</v>
      </c>
      <c r="E134" s="89">
        <v>2024</v>
      </c>
      <c r="F134" s="89">
        <v>12</v>
      </c>
      <c r="G134"/>
      <c r="H134" s="89" t="s">
        <v>859</v>
      </c>
      <c r="I134" s="239">
        <v>45636</v>
      </c>
      <c r="J134" s="90"/>
      <c r="K134" s="239">
        <v>45637</v>
      </c>
      <c r="L134" s="90"/>
      <c r="M134" s="89">
        <v>1</v>
      </c>
      <c r="N134" s="90"/>
      <c r="O134" s="89" t="s">
        <v>860</v>
      </c>
    </row>
    <row r="135" spans="1:15">
      <c r="A135" s="89">
        <v>1</v>
      </c>
      <c r="B135" s="241" t="s">
        <v>835</v>
      </c>
      <c r="C135" s="89"/>
      <c r="D135" s="89">
        <v>2025</v>
      </c>
      <c r="E135" s="89">
        <v>2025</v>
      </c>
      <c r="F135" s="89">
        <v>12</v>
      </c>
      <c r="G135" s="89"/>
      <c r="H135" s="89" t="s">
        <v>473</v>
      </c>
      <c r="I135" s="239">
        <v>45691</v>
      </c>
      <c r="J135" s="239">
        <v>45692</v>
      </c>
      <c r="K135" s="242">
        <v>45692</v>
      </c>
      <c r="L135" s="242">
        <v>45699</v>
      </c>
      <c r="M135" s="89">
        <v>1</v>
      </c>
      <c r="N135" s="89">
        <v>7</v>
      </c>
      <c r="O135" s="89" t="s">
        <v>474</v>
      </c>
    </row>
    <row r="136" spans="1:15">
      <c r="A136" s="89">
        <v>2</v>
      </c>
      <c r="B136" s="241" t="s">
        <v>836</v>
      </c>
      <c r="C136" s="89"/>
      <c r="D136" s="89">
        <v>2025</v>
      </c>
      <c r="E136" s="89">
        <v>2025</v>
      </c>
      <c r="F136" s="89">
        <v>12</v>
      </c>
      <c r="G136" s="89"/>
      <c r="H136" s="89" t="s">
        <v>473</v>
      </c>
      <c r="I136" s="239">
        <v>45693</v>
      </c>
      <c r="J136" s="239">
        <v>45694</v>
      </c>
      <c r="K136" s="242">
        <v>45693</v>
      </c>
      <c r="L136" s="242">
        <v>45700</v>
      </c>
      <c r="M136" s="89">
        <v>0</v>
      </c>
      <c r="N136" s="89">
        <v>6</v>
      </c>
      <c r="O136" s="89" t="s">
        <v>474</v>
      </c>
    </row>
    <row r="137" spans="1:15" ht="15">
      <c r="A137" s="89">
        <v>3</v>
      </c>
      <c r="B137" s="241" t="s">
        <v>837</v>
      </c>
      <c r="C137"/>
      <c r="D137" s="89">
        <v>2025</v>
      </c>
      <c r="E137" s="89">
        <v>2025</v>
      </c>
      <c r="F137" s="89">
        <v>12</v>
      </c>
      <c r="G137"/>
      <c r="H137" s="89" t="s">
        <v>473</v>
      </c>
      <c r="I137" s="239">
        <v>45695</v>
      </c>
      <c r="J137" s="239">
        <v>45696</v>
      </c>
      <c r="K137" s="242">
        <v>45694</v>
      </c>
      <c r="L137" s="242">
        <v>45701</v>
      </c>
      <c r="M137" s="89">
        <v>-1</v>
      </c>
      <c r="N137" s="89">
        <v>5</v>
      </c>
      <c r="O137" s="89" t="s">
        <v>474</v>
      </c>
    </row>
    <row r="138" spans="1:15" ht="15">
      <c r="A138" s="89">
        <v>4</v>
      </c>
      <c r="B138" s="241" t="s">
        <v>838</v>
      </c>
      <c r="C138"/>
      <c r="D138" s="89">
        <v>2025</v>
      </c>
      <c r="E138" s="89">
        <v>2025</v>
      </c>
      <c r="F138" s="89">
        <v>12</v>
      </c>
      <c r="G138"/>
      <c r="H138" s="89" t="s">
        <v>473</v>
      </c>
      <c r="I138" s="239">
        <v>45698</v>
      </c>
      <c r="J138" s="239">
        <v>45699</v>
      </c>
      <c r="K138" s="242">
        <v>45695</v>
      </c>
      <c r="L138" s="242">
        <v>45702</v>
      </c>
      <c r="M138" s="89">
        <v>-3</v>
      </c>
      <c r="N138" s="89">
        <v>3</v>
      </c>
      <c r="O138" s="89" t="s">
        <v>474</v>
      </c>
    </row>
    <row r="139" spans="1:15">
      <c r="A139" s="89">
        <v>5</v>
      </c>
      <c r="B139" s="241" t="s">
        <v>839</v>
      </c>
      <c r="C139" s="89"/>
      <c r="D139" s="89">
        <v>2025</v>
      </c>
      <c r="E139" s="89">
        <v>2025</v>
      </c>
      <c r="F139" s="89">
        <v>12</v>
      </c>
      <c r="G139" s="89"/>
      <c r="H139" s="89" t="s">
        <v>473</v>
      </c>
      <c r="I139" s="239">
        <v>45700</v>
      </c>
      <c r="J139" s="239">
        <v>45701</v>
      </c>
      <c r="K139" s="242">
        <v>45696</v>
      </c>
      <c r="L139" s="242">
        <v>45705</v>
      </c>
      <c r="M139" s="89">
        <v>-4</v>
      </c>
      <c r="N139" s="89">
        <v>4</v>
      </c>
      <c r="O139" s="89" t="s">
        <v>474</v>
      </c>
    </row>
    <row r="140" spans="1:15">
      <c r="A140" s="89">
        <v>6</v>
      </c>
      <c r="B140" s="241" t="s">
        <v>840</v>
      </c>
      <c r="C140" s="89"/>
      <c r="D140" s="89">
        <v>2025</v>
      </c>
      <c r="E140" s="89">
        <v>2025</v>
      </c>
      <c r="F140" s="89">
        <v>12</v>
      </c>
      <c r="G140" s="89"/>
      <c r="H140" s="89" t="s">
        <v>473</v>
      </c>
      <c r="I140" s="239">
        <v>45702</v>
      </c>
      <c r="J140" s="239">
        <v>45703</v>
      </c>
      <c r="K140" s="242">
        <v>45698</v>
      </c>
      <c r="L140" s="242">
        <v>45706</v>
      </c>
      <c r="M140" s="89">
        <v>-4</v>
      </c>
      <c r="N140" s="89">
        <v>3</v>
      </c>
      <c r="O140" s="89" t="s">
        <v>474</v>
      </c>
    </row>
    <row r="141" spans="1:15" ht="15">
      <c r="A141" s="89">
        <v>7</v>
      </c>
      <c r="B141" s="241" t="s">
        <v>841</v>
      </c>
      <c r="C141"/>
      <c r="D141" s="89">
        <v>2025</v>
      </c>
      <c r="E141" s="89">
        <v>2025</v>
      </c>
      <c r="F141" s="89">
        <v>12</v>
      </c>
      <c r="G141"/>
      <c r="H141" s="89" t="s">
        <v>473</v>
      </c>
      <c r="I141" s="239">
        <v>45705</v>
      </c>
      <c r="J141" s="239">
        <v>45706</v>
      </c>
      <c r="K141" s="242">
        <v>45707</v>
      </c>
      <c r="L141" s="242">
        <v>45708</v>
      </c>
      <c r="M141" s="89">
        <v>2</v>
      </c>
      <c r="N141" s="89">
        <v>2</v>
      </c>
      <c r="O141" s="89" t="s">
        <v>474</v>
      </c>
    </row>
    <row r="142" spans="1:15" ht="15">
      <c r="A142" s="89">
        <v>8</v>
      </c>
      <c r="B142" s="241" t="s">
        <v>842</v>
      </c>
      <c r="C142"/>
      <c r="D142" s="89">
        <v>2025</v>
      </c>
      <c r="E142" s="89">
        <v>2025</v>
      </c>
      <c r="F142" s="89">
        <v>12</v>
      </c>
      <c r="G142"/>
      <c r="H142" s="89" t="s">
        <v>473</v>
      </c>
      <c r="I142" s="239">
        <v>45707</v>
      </c>
      <c r="J142" s="239">
        <v>45708</v>
      </c>
      <c r="K142" s="242">
        <v>45712</v>
      </c>
      <c r="L142" s="242">
        <v>45713</v>
      </c>
      <c r="M142" s="89">
        <v>5</v>
      </c>
      <c r="N142" s="89">
        <v>5</v>
      </c>
      <c r="O142" s="89" t="s">
        <v>474</v>
      </c>
    </row>
    <row r="143" spans="1:15" ht="15">
      <c r="A143" s="89">
        <v>9</v>
      </c>
      <c r="B143" s="241" t="s">
        <v>843</v>
      </c>
      <c r="C143"/>
      <c r="D143" s="89">
        <v>2025</v>
      </c>
      <c r="E143" s="89">
        <v>2025</v>
      </c>
      <c r="F143" s="89">
        <v>12</v>
      </c>
      <c r="G143"/>
      <c r="H143" s="89" t="s">
        <v>473</v>
      </c>
      <c r="I143" s="239">
        <v>45709</v>
      </c>
      <c r="J143" s="239">
        <v>45710</v>
      </c>
      <c r="K143" s="242">
        <v>45714</v>
      </c>
      <c r="L143" s="242">
        <v>45715</v>
      </c>
      <c r="M143" s="89">
        <v>5</v>
      </c>
      <c r="N143" s="89">
        <v>5</v>
      </c>
      <c r="O143" s="89" t="s">
        <v>474</v>
      </c>
    </row>
    <row r="144" spans="1:15" ht="15">
      <c r="A144" s="89">
        <v>10</v>
      </c>
      <c r="B144" s="241" t="s">
        <v>844</v>
      </c>
      <c r="C144"/>
      <c r="D144" s="89">
        <v>2025</v>
      </c>
      <c r="E144" s="89">
        <v>2025</v>
      </c>
      <c r="F144" s="89">
        <v>12</v>
      </c>
      <c r="G144"/>
      <c r="H144" s="89" t="s">
        <v>473</v>
      </c>
      <c r="I144" s="239">
        <v>45712</v>
      </c>
      <c r="J144" s="239">
        <v>45713</v>
      </c>
      <c r="K144" s="242">
        <v>45719</v>
      </c>
      <c r="L144" s="242">
        <v>45719</v>
      </c>
      <c r="M144" s="89">
        <v>7</v>
      </c>
      <c r="N144" s="89">
        <v>6</v>
      </c>
      <c r="O144" s="89" t="s">
        <v>474</v>
      </c>
    </row>
    <row r="145" spans="1:17" ht="15">
      <c r="A145" s="89">
        <v>11</v>
      </c>
      <c r="B145" s="241" t="s">
        <v>845</v>
      </c>
      <c r="C145"/>
      <c r="D145" s="89">
        <v>2025</v>
      </c>
      <c r="E145" s="89">
        <v>2025</v>
      </c>
      <c r="F145" s="89">
        <v>12</v>
      </c>
      <c r="G145"/>
      <c r="H145" s="89" t="s">
        <v>473</v>
      </c>
      <c r="I145" s="239">
        <v>45714</v>
      </c>
      <c r="J145" s="239">
        <v>45715</v>
      </c>
      <c r="K145" s="242">
        <v>45717</v>
      </c>
      <c r="L145" s="242">
        <v>45718</v>
      </c>
      <c r="M145" s="89">
        <v>3</v>
      </c>
      <c r="N145" s="89">
        <v>3</v>
      </c>
      <c r="O145" s="89" t="s">
        <v>474</v>
      </c>
      <c r="Q145" s="88" t="s">
        <v>6</v>
      </c>
    </row>
    <row r="146" spans="1:17" ht="15">
      <c r="A146" s="89">
        <v>12</v>
      </c>
      <c r="B146" s="241" t="s">
        <v>846</v>
      </c>
      <c r="C146"/>
      <c r="D146" s="89">
        <v>2025</v>
      </c>
      <c r="E146" s="89">
        <v>2025</v>
      </c>
      <c r="F146" s="89">
        <v>12</v>
      </c>
      <c r="G146"/>
      <c r="H146" s="89" t="s">
        <v>473</v>
      </c>
      <c r="I146" s="239">
        <v>45716</v>
      </c>
      <c r="J146" s="239">
        <v>45717</v>
      </c>
      <c r="K146" s="242">
        <v>45716</v>
      </c>
      <c r="L146" s="242">
        <v>45718</v>
      </c>
      <c r="M146" s="89">
        <v>0</v>
      </c>
      <c r="N146" s="89">
        <v>1</v>
      </c>
      <c r="O146" s="89" t="s">
        <v>474</v>
      </c>
    </row>
    <row r="147" spans="1:17" ht="15">
      <c r="A147" s="89">
        <v>13</v>
      </c>
      <c r="B147" s="241" t="s">
        <v>847</v>
      </c>
      <c r="C147"/>
      <c r="D147" s="89">
        <v>2025</v>
      </c>
      <c r="E147" s="89">
        <v>2025</v>
      </c>
      <c r="F147" s="89">
        <v>12</v>
      </c>
      <c r="G147"/>
      <c r="H147" s="89" t="s">
        <v>473</v>
      </c>
      <c r="I147" s="239">
        <v>45719</v>
      </c>
      <c r="J147" s="239">
        <v>45720</v>
      </c>
      <c r="K147" s="242">
        <v>45709</v>
      </c>
      <c r="L147" s="242">
        <v>45710</v>
      </c>
      <c r="M147" s="89">
        <v>-10</v>
      </c>
      <c r="N147" s="89">
        <v>-10</v>
      </c>
      <c r="O147" s="89" t="s">
        <v>474</v>
      </c>
    </row>
    <row r="148" spans="1:17" ht="15">
      <c r="A148" s="89">
        <v>14</v>
      </c>
      <c r="B148" s="241" t="s">
        <v>848</v>
      </c>
      <c r="C148"/>
      <c r="D148" s="89">
        <v>2025</v>
      </c>
      <c r="E148" s="89">
        <v>2025</v>
      </c>
      <c r="F148" s="89">
        <v>12</v>
      </c>
      <c r="G148"/>
      <c r="H148" s="89" t="s">
        <v>473</v>
      </c>
      <c r="I148" s="239">
        <v>45721</v>
      </c>
      <c r="J148" s="239">
        <v>45722</v>
      </c>
      <c r="K148" s="242">
        <v>45720</v>
      </c>
      <c r="L148" s="242">
        <v>45721</v>
      </c>
      <c r="M148" s="89">
        <v>-1</v>
      </c>
      <c r="N148" s="89">
        <v>-1</v>
      </c>
      <c r="O148" s="89" t="s">
        <v>474</v>
      </c>
    </row>
    <row r="149" spans="1:17" ht="15">
      <c r="A149" s="89">
        <v>15</v>
      </c>
      <c r="B149" s="241" t="s">
        <v>849</v>
      </c>
      <c r="C149"/>
      <c r="D149" s="89">
        <v>2025</v>
      </c>
      <c r="E149" s="89">
        <v>2025</v>
      </c>
      <c r="F149" s="89">
        <v>12</v>
      </c>
      <c r="G149"/>
      <c r="H149" s="89" t="s">
        <v>473</v>
      </c>
      <c r="I149" s="239">
        <v>45723</v>
      </c>
      <c r="J149" s="239">
        <v>45724</v>
      </c>
      <c r="K149" s="242">
        <v>45722</v>
      </c>
      <c r="L149" s="242">
        <v>45723</v>
      </c>
      <c r="M149" s="89">
        <v>-1</v>
      </c>
      <c r="N149" s="89">
        <v>-1</v>
      </c>
      <c r="O149" s="89" t="s">
        <v>474</v>
      </c>
    </row>
    <row r="150" spans="1:17" ht="15">
      <c r="A150" s="89">
        <v>16</v>
      </c>
      <c r="B150" s="241" t="s">
        <v>850</v>
      </c>
      <c r="C150"/>
      <c r="D150" s="89">
        <v>2025</v>
      </c>
      <c r="E150" s="89">
        <v>2025</v>
      </c>
      <c r="F150" s="89">
        <v>12</v>
      </c>
      <c r="G150"/>
      <c r="H150" s="89" t="s">
        <v>473</v>
      </c>
      <c r="I150" s="239">
        <v>45726</v>
      </c>
      <c r="J150" s="239">
        <v>45727</v>
      </c>
      <c r="K150" s="242">
        <v>45724</v>
      </c>
      <c r="L150" s="242">
        <v>45724</v>
      </c>
      <c r="M150" s="89">
        <v>-2</v>
      </c>
      <c r="N150" s="89">
        <v>-3</v>
      </c>
      <c r="O150" s="89" t="s">
        <v>474</v>
      </c>
    </row>
    <row r="151" spans="1:17" ht="15">
      <c r="A151" s="89">
        <v>17</v>
      </c>
      <c r="B151" s="241" t="s">
        <v>851</v>
      </c>
      <c r="C151"/>
      <c r="D151" s="89">
        <v>2025</v>
      </c>
      <c r="E151" s="89">
        <v>2025</v>
      </c>
      <c r="F151" s="89">
        <v>12</v>
      </c>
      <c r="G151"/>
      <c r="H151" s="89" t="s">
        <v>473</v>
      </c>
      <c r="I151" s="239">
        <v>45728</v>
      </c>
      <c r="J151" s="239">
        <v>45729</v>
      </c>
      <c r="K151" s="239">
        <v>45726</v>
      </c>
      <c r="L151" s="239">
        <v>45728</v>
      </c>
      <c r="M151" s="89">
        <v>-2</v>
      </c>
      <c r="N151" s="89">
        <v>-1</v>
      </c>
      <c r="O151" s="89" t="s">
        <v>474</v>
      </c>
    </row>
    <row r="152" spans="1:17" ht="15">
      <c r="A152" s="89">
        <v>18</v>
      </c>
      <c r="B152" s="241" t="s">
        <v>852</v>
      </c>
      <c r="C152"/>
      <c r="D152" s="89">
        <v>2025</v>
      </c>
      <c r="E152" s="89">
        <v>2025</v>
      </c>
      <c r="F152" s="89">
        <v>12</v>
      </c>
      <c r="G152"/>
      <c r="H152" s="89" t="s">
        <v>473</v>
      </c>
      <c r="I152" s="239">
        <v>45730</v>
      </c>
      <c r="J152" s="239">
        <v>45731</v>
      </c>
      <c r="K152" s="239">
        <v>45733</v>
      </c>
      <c r="L152" s="239">
        <v>45734</v>
      </c>
      <c r="M152" s="89">
        <v>3</v>
      </c>
      <c r="N152" s="89">
        <v>3</v>
      </c>
      <c r="O152" s="89" t="s">
        <v>474</v>
      </c>
    </row>
    <row r="153" spans="1:17" ht="15">
      <c r="A153" s="89">
        <v>19</v>
      </c>
      <c r="B153" s="241" t="s">
        <v>853</v>
      </c>
      <c r="C153"/>
      <c r="D153" s="89">
        <v>2025</v>
      </c>
      <c r="E153" s="89">
        <v>2025</v>
      </c>
      <c r="F153" s="89">
        <v>12</v>
      </c>
      <c r="G153"/>
      <c r="H153" s="89" t="s">
        <v>473</v>
      </c>
      <c r="I153" s="239">
        <v>45733</v>
      </c>
      <c r="J153" s="239">
        <v>45734</v>
      </c>
      <c r="K153" s="242">
        <v>45729</v>
      </c>
      <c r="L153" s="239">
        <v>45731</v>
      </c>
      <c r="M153" s="89">
        <v>-4</v>
      </c>
      <c r="N153" s="89">
        <v>-3</v>
      </c>
      <c r="O153" s="89" t="s">
        <v>474</v>
      </c>
    </row>
    <row r="154" spans="1:17" ht="15">
      <c r="A154" s="89">
        <v>20</v>
      </c>
      <c r="B154" s="241" t="s">
        <v>854</v>
      </c>
      <c r="C154"/>
      <c r="D154" s="89">
        <v>2025</v>
      </c>
      <c r="E154" s="89">
        <v>2025</v>
      </c>
      <c r="F154" s="89">
        <v>12</v>
      </c>
      <c r="G154"/>
      <c r="H154" s="89" t="s">
        <v>473</v>
      </c>
      <c r="I154" s="239">
        <v>45735</v>
      </c>
      <c r="J154" s="239">
        <v>45736</v>
      </c>
      <c r="K154" s="239">
        <v>45735</v>
      </c>
      <c r="L154" s="239">
        <v>45736</v>
      </c>
      <c r="M154" s="89">
        <v>0</v>
      </c>
      <c r="N154" s="89">
        <v>0</v>
      </c>
      <c r="O154" s="89" t="s">
        <v>474</v>
      </c>
    </row>
    <row r="155" spans="1:17" ht="15">
      <c r="A155" s="89">
        <v>21</v>
      </c>
      <c r="B155" s="241" t="s">
        <v>855</v>
      </c>
      <c r="C155"/>
      <c r="D155" s="89">
        <v>2025</v>
      </c>
      <c r="E155" s="89">
        <v>2025</v>
      </c>
      <c r="F155" s="89">
        <v>12</v>
      </c>
      <c r="G155"/>
      <c r="H155" s="89" t="s">
        <v>473</v>
      </c>
      <c r="I155" s="237">
        <v>45737</v>
      </c>
      <c r="J155" s="240">
        <v>45738</v>
      </c>
      <c r="K155" s="238">
        <v>45737</v>
      </c>
      <c r="L155" s="238">
        <v>45738</v>
      </c>
      <c r="M155" s="89">
        <v>0</v>
      </c>
      <c r="N155" s="89">
        <v>0</v>
      </c>
      <c r="O155" s="89" t="s">
        <v>474</v>
      </c>
    </row>
    <row r="156" spans="1:17" ht="15">
      <c r="A156" s="89">
        <v>22</v>
      </c>
      <c r="B156" s="241" t="s">
        <v>856</v>
      </c>
      <c r="C156"/>
      <c r="D156" s="89">
        <v>2025</v>
      </c>
      <c r="E156" s="89">
        <v>2025</v>
      </c>
      <c r="F156" s="89">
        <v>12</v>
      </c>
      <c r="G156"/>
      <c r="H156" s="89" t="s">
        <v>473</v>
      </c>
      <c r="I156" s="237">
        <v>45740</v>
      </c>
      <c r="J156" s="240">
        <v>45741</v>
      </c>
      <c r="K156" s="238">
        <v>45740</v>
      </c>
      <c r="L156" s="238">
        <v>45740</v>
      </c>
      <c r="M156" s="89">
        <v>0</v>
      </c>
      <c r="N156" s="89">
        <v>-1</v>
      </c>
      <c r="O156" s="89" t="s">
        <v>474</v>
      </c>
    </row>
    <row r="157" spans="1:17" ht="15">
      <c r="A157" s="89">
        <v>23</v>
      </c>
      <c r="B157" s="241" t="s">
        <v>857</v>
      </c>
      <c r="C157"/>
      <c r="D157" s="89">
        <v>2025</v>
      </c>
      <c r="E157" s="89">
        <v>2025</v>
      </c>
      <c r="F157" s="89">
        <v>12</v>
      </c>
      <c r="G157"/>
      <c r="H157" s="89" t="s">
        <v>473</v>
      </c>
      <c r="I157" s="237">
        <v>45742</v>
      </c>
      <c r="J157" s="240">
        <v>45743</v>
      </c>
      <c r="K157" s="238">
        <v>45741</v>
      </c>
      <c r="L157" s="238">
        <v>45741</v>
      </c>
      <c r="M157" s="89">
        <v>-1</v>
      </c>
      <c r="N157" s="89">
        <v>-2</v>
      </c>
      <c r="O157" s="89" t="s">
        <v>474</v>
      </c>
    </row>
    <row r="158" spans="1:17" ht="15">
      <c r="A158" s="89">
        <v>24</v>
      </c>
      <c r="B158" s="241" t="s">
        <v>858</v>
      </c>
      <c r="C158"/>
      <c r="D158" s="89">
        <v>2025</v>
      </c>
      <c r="E158" s="89">
        <v>2025</v>
      </c>
      <c r="F158" s="89">
        <v>12</v>
      </c>
      <c r="G158"/>
      <c r="H158" s="89" t="s">
        <v>473</v>
      </c>
      <c r="I158" s="237">
        <v>45744</v>
      </c>
      <c r="J158" s="240">
        <v>45745</v>
      </c>
      <c r="K158" s="238">
        <v>45742</v>
      </c>
      <c r="L158" s="238">
        <v>45742</v>
      </c>
      <c r="M158" s="89">
        <v>-2</v>
      </c>
      <c r="N158" s="89">
        <v>-3</v>
      </c>
      <c r="O158" s="89" t="s">
        <v>474</v>
      </c>
    </row>
    <row r="159" spans="1:17" ht="15">
      <c r="A159" s="89">
        <v>25</v>
      </c>
      <c r="B159" s="241" t="s">
        <v>472</v>
      </c>
      <c r="C159"/>
      <c r="D159" s="89">
        <v>2025</v>
      </c>
      <c r="E159" s="89">
        <v>2025</v>
      </c>
      <c r="F159" s="89">
        <v>12</v>
      </c>
      <c r="G159"/>
      <c r="H159" s="89" t="s">
        <v>473</v>
      </c>
      <c r="I159" s="237">
        <v>45747</v>
      </c>
      <c r="J159" s="240">
        <v>45748</v>
      </c>
      <c r="K159" s="238">
        <v>45743</v>
      </c>
      <c r="L159" s="238">
        <v>45744</v>
      </c>
      <c r="M159" s="89">
        <v>-4</v>
      </c>
      <c r="N159" s="89">
        <v>-4</v>
      </c>
      <c r="O159" s="89" t="s">
        <v>474</v>
      </c>
    </row>
    <row r="160" spans="1:17" ht="15">
      <c r="A160" s="89">
        <v>26</v>
      </c>
      <c r="B160" s="241" t="s">
        <v>475</v>
      </c>
      <c r="C160"/>
      <c r="D160" s="89">
        <v>2025</v>
      </c>
      <c r="E160" s="89">
        <v>2025</v>
      </c>
      <c r="F160" s="89">
        <v>12</v>
      </c>
      <c r="G160"/>
      <c r="H160" s="89" t="s">
        <v>473</v>
      </c>
      <c r="I160" s="237">
        <v>45749</v>
      </c>
      <c r="J160" s="240">
        <v>45750</v>
      </c>
      <c r="K160" s="238">
        <v>45745</v>
      </c>
      <c r="L160" s="238">
        <v>45745</v>
      </c>
      <c r="M160" s="89">
        <v>-4</v>
      </c>
      <c r="N160" s="89">
        <v>-5</v>
      </c>
      <c r="O160" s="89" t="s">
        <v>474</v>
      </c>
    </row>
    <row r="161" spans="1:15" ht="15">
      <c r="A161" s="89">
        <v>27</v>
      </c>
      <c r="B161" s="241" t="s">
        <v>476</v>
      </c>
      <c r="C161"/>
      <c r="D161" s="89">
        <v>2025</v>
      </c>
      <c r="E161" s="89">
        <v>2025</v>
      </c>
      <c r="F161" s="89">
        <v>12</v>
      </c>
      <c r="G161"/>
      <c r="H161" s="89" t="s">
        <v>473</v>
      </c>
      <c r="I161" s="237">
        <v>45751</v>
      </c>
      <c r="J161" s="240">
        <v>45752</v>
      </c>
      <c r="K161" s="238">
        <v>45747</v>
      </c>
      <c r="L161" s="238">
        <v>45747</v>
      </c>
      <c r="M161" s="89">
        <v>-4</v>
      </c>
      <c r="N161" s="89">
        <v>-5</v>
      </c>
      <c r="O161" s="89" t="s">
        <v>474</v>
      </c>
    </row>
    <row r="162" spans="1:15" ht="15">
      <c r="A162" s="89">
        <v>28</v>
      </c>
      <c r="B162" s="241" t="s">
        <v>477</v>
      </c>
      <c r="C162"/>
      <c r="D162" s="89">
        <v>2025</v>
      </c>
      <c r="E162" s="89">
        <v>2025</v>
      </c>
      <c r="F162" s="89">
        <v>12</v>
      </c>
      <c r="G162"/>
      <c r="H162" s="89" t="s">
        <v>473</v>
      </c>
      <c r="I162" s="237">
        <v>45754</v>
      </c>
      <c r="J162" s="240">
        <v>45755</v>
      </c>
      <c r="K162" s="239">
        <v>45750</v>
      </c>
      <c r="L162" s="238">
        <v>45752</v>
      </c>
      <c r="M162" s="89">
        <v>-4</v>
      </c>
      <c r="N162" s="89">
        <v>-3</v>
      </c>
      <c r="O162" s="89" t="s">
        <v>474</v>
      </c>
    </row>
    <row r="163" spans="1:15" ht="15">
      <c r="A163" s="89">
        <v>29</v>
      </c>
      <c r="B163" s="241" t="s">
        <v>478</v>
      </c>
      <c r="C163"/>
      <c r="D163" s="89">
        <v>2025</v>
      </c>
      <c r="E163" s="89">
        <v>2025</v>
      </c>
      <c r="F163" s="89">
        <v>12</v>
      </c>
      <c r="G163"/>
      <c r="H163" s="89" t="s">
        <v>473</v>
      </c>
      <c r="I163" s="237">
        <v>45756</v>
      </c>
      <c r="J163" s="240">
        <v>45757</v>
      </c>
      <c r="K163" s="239">
        <v>45754</v>
      </c>
      <c r="L163" s="238">
        <v>45754</v>
      </c>
      <c r="M163" s="89">
        <v>-2</v>
      </c>
      <c r="N163" s="89">
        <v>-3</v>
      </c>
      <c r="O163" s="89" t="s">
        <v>474</v>
      </c>
    </row>
    <row r="164" spans="1:15" ht="15">
      <c r="A164" s="89">
        <v>30</v>
      </c>
      <c r="B164" s="241" t="s">
        <v>479</v>
      </c>
      <c r="C164"/>
      <c r="D164" s="89">
        <v>2025</v>
      </c>
      <c r="E164" s="89">
        <v>2025</v>
      </c>
      <c r="F164" s="89">
        <v>12</v>
      </c>
      <c r="G164"/>
      <c r="H164" s="89" t="s">
        <v>473</v>
      </c>
      <c r="I164" s="237">
        <v>45758</v>
      </c>
      <c r="J164" s="240">
        <v>45759</v>
      </c>
      <c r="K164" s="239">
        <v>45755</v>
      </c>
      <c r="L164" s="238">
        <v>45759</v>
      </c>
      <c r="M164" s="89">
        <v>-3</v>
      </c>
      <c r="N164" s="89">
        <v>0</v>
      </c>
      <c r="O164" s="89" t="s">
        <v>474</v>
      </c>
    </row>
    <row r="165" spans="1:15" ht="15">
      <c r="A165" s="89">
        <v>31</v>
      </c>
      <c r="B165" s="241" t="s">
        <v>480</v>
      </c>
      <c r="C165"/>
      <c r="D165" s="89">
        <v>2025</v>
      </c>
      <c r="E165" s="89">
        <v>2025</v>
      </c>
      <c r="F165" s="89">
        <v>12</v>
      </c>
      <c r="G165"/>
      <c r="H165" s="89" t="s">
        <v>473</v>
      </c>
      <c r="I165" s="237">
        <v>45761</v>
      </c>
      <c r="J165" s="240">
        <v>45762</v>
      </c>
      <c r="K165" s="239">
        <v>45756</v>
      </c>
      <c r="L165" s="238">
        <v>45756</v>
      </c>
      <c r="M165" s="89">
        <v>-5</v>
      </c>
      <c r="N165" s="89">
        <v>-6</v>
      </c>
      <c r="O165" s="89" t="s">
        <v>474</v>
      </c>
    </row>
    <row r="166" spans="1:15" ht="15">
      <c r="A166" s="89">
        <v>32</v>
      </c>
      <c r="B166" s="241" t="s">
        <v>481</v>
      </c>
      <c r="C166"/>
      <c r="D166" s="89">
        <v>2025</v>
      </c>
      <c r="E166" s="89">
        <v>2025</v>
      </c>
      <c r="F166" s="89">
        <v>12</v>
      </c>
      <c r="G166"/>
      <c r="H166" s="89" t="s">
        <v>473</v>
      </c>
      <c r="I166" s="237">
        <v>45763</v>
      </c>
      <c r="J166" s="240">
        <v>45764</v>
      </c>
      <c r="K166" s="239">
        <v>45757</v>
      </c>
      <c r="L166" s="238">
        <v>45757</v>
      </c>
      <c r="M166" s="89">
        <v>-6</v>
      </c>
      <c r="N166" s="89">
        <v>-7</v>
      </c>
      <c r="O166" s="89" t="s">
        <v>474</v>
      </c>
    </row>
    <row r="167" spans="1:15" ht="15">
      <c r="A167" s="89">
        <v>33</v>
      </c>
      <c r="B167" s="241" t="s">
        <v>482</v>
      </c>
      <c r="C167"/>
      <c r="D167" s="89">
        <v>2025</v>
      </c>
      <c r="E167" s="89">
        <v>2025</v>
      </c>
      <c r="F167" s="89">
        <v>12</v>
      </c>
      <c r="G167"/>
      <c r="H167" s="89" t="s">
        <v>473</v>
      </c>
      <c r="I167" s="237">
        <v>45765</v>
      </c>
      <c r="J167" s="240">
        <v>45766</v>
      </c>
      <c r="K167" s="239">
        <v>45758</v>
      </c>
      <c r="L167" s="238">
        <v>45777</v>
      </c>
      <c r="M167" s="89">
        <v>-7</v>
      </c>
      <c r="N167" s="89">
        <v>11</v>
      </c>
      <c r="O167" s="89" t="s">
        <v>474</v>
      </c>
    </row>
    <row r="168" spans="1:15" ht="15">
      <c r="A168" s="89">
        <v>34</v>
      </c>
      <c r="B168" s="241" t="s">
        <v>483</v>
      </c>
      <c r="C168"/>
      <c r="D168" s="89">
        <v>2025</v>
      </c>
      <c r="E168" s="89">
        <v>2025</v>
      </c>
      <c r="F168" s="89">
        <v>12</v>
      </c>
      <c r="G168"/>
      <c r="H168" s="89" t="s">
        <v>473</v>
      </c>
      <c r="I168" s="237">
        <v>45768</v>
      </c>
      <c r="J168" s="240">
        <v>45769</v>
      </c>
      <c r="K168" s="239">
        <v>45762</v>
      </c>
      <c r="L168" s="238">
        <v>45763</v>
      </c>
      <c r="M168" s="89">
        <v>-6</v>
      </c>
      <c r="N168" s="89">
        <v>-6</v>
      </c>
      <c r="O168" s="89" t="s">
        <v>474</v>
      </c>
    </row>
    <row r="169" spans="1:15" ht="15">
      <c r="A169" s="89">
        <v>35</v>
      </c>
      <c r="B169" s="241" t="s">
        <v>484</v>
      </c>
      <c r="C169"/>
      <c r="D169" s="89">
        <v>2025</v>
      </c>
      <c r="E169" s="89">
        <v>2025</v>
      </c>
      <c r="F169" s="89">
        <v>12</v>
      </c>
      <c r="G169"/>
      <c r="H169" s="89" t="s">
        <v>473</v>
      </c>
      <c r="I169" s="237">
        <v>45770</v>
      </c>
      <c r="J169" s="240">
        <v>45771</v>
      </c>
      <c r="K169" s="239">
        <v>45764</v>
      </c>
      <c r="L169" s="238">
        <v>45777</v>
      </c>
      <c r="M169" s="89">
        <v>-6</v>
      </c>
      <c r="N169" s="89">
        <v>6</v>
      </c>
      <c r="O169" s="89" t="s">
        <v>474</v>
      </c>
    </row>
    <row r="170" spans="1:15" ht="15">
      <c r="A170" s="89">
        <v>36</v>
      </c>
      <c r="B170" s="241" t="s">
        <v>485</v>
      </c>
      <c r="C170"/>
      <c r="D170" s="89">
        <v>2025</v>
      </c>
      <c r="E170" s="89">
        <v>2025</v>
      </c>
      <c r="F170" s="89">
        <v>12</v>
      </c>
      <c r="G170"/>
      <c r="H170" s="89" t="s">
        <v>473</v>
      </c>
      <c r="I170" s="237">
        <v>45772</v>
      </c>
      <c r="J170" s="240">
        <v>45773</v>
      </c>
      <c r="K170" s="239">
        <v>45765</v>
      </c>
      <c r="L170" s="238">
        <v>45777</v>
      </c>
      <c r="M170" s="89">
        <v>-7</v>
      </c>
      <c r="N170" s="89">
        <v>4</v>
      </c>
      <c r="O170" s="89" t="s">
        <v>474</v>
      </c>
    </row>
    <row r="171" spans="1:15" ht="15">
      <c r="A171" s="89">
        <v>37</v>
      </c>
      <c r="B171" s="241" t="s">
        <v>486</v>
      </c>
      <c r="C171"/>
      <c r="D171" s="89">
        <v>2025</v>
      </c>
      <c r="E171" s="89">
        <v>2025</v>
      </c>
      <c r="F171" s="89">
        <v>12</v>
      </c>
      <c r="G171"/>
      <c r="H171" s="89" t="s">
        <v>473</v>
      </c>
      <c r="I171" s="237">
        <v>45775</v>
      </c>
      <c r="J171" s="240">
        <v>45776</v>
      </c>
      <c r="K171" s="239">
        <v>45766</v>
      </c>
      <c r="L171" s="238">
        <v>45777</v>
      </c>
      <c r="M171" s="89">
        <v>-9</v>
      </c>
      <c r="N171" s="89">
        <v>1</v>
      </c>
      <c r="O171" s="89" t="s">
        <v>474</v>
      </c>
    </row>
    <row r="172" spans="1:15" ht="15">
      <c r="A172" s="89">
        <v>38</v>
      </c>
      <c r="B172" s="241" t="s">
        <v>487</v>
      </c>
      <c r="C172"/>
      <c r="D172" s="89">
        <v>2025</v>
      </c>
      <c r="E172" s="89">
        <v>2025</v>
      </c>
      <c r="F172" s="89">
        <v>12</v>
      </c>
      <c r="G172"/>
      <c r="H172" s="89" t="s">
        <v>473</v>
      </c>
      <c r="I172" s="237">
        <v>45777</v>
      </c>
      <c r="J172" s="240">
        <v>45779</v>
      </c>
      <c r="K172" s="239">
        <v>45770</v>
      </c>
      <c r="L172" s="238">
        <v>45778</v>
      </c>
      <c r="M172" s="89">
        <v>-7</v>
      </c>
      <c r="N172" s="89">
        <v>-1</v>
      </c>
      <c r="O172" s="89" t="s">
        <v>474</v>
      </c>
    </row>
    <row r="173" spans="1:15" ht="15">
      <c r="A173" s="89">
        <v>39</v>
      </c>
      <c r="B173" s="241" t="s">
        <v>488</v>
      </c>
      <c r="C173"/>
      <c r="D173" s="89">
        <v>2025</v>
      </c>
      <c r="E173" s="89">
        <v>2025</v>
      </c>
      <c r="F173" s="89">
        <v>12</v>
      </c>
      <c r="G173"/>
      <c r="H173" s="89" t="s">
        <v>473</v>
      </c>
      <c r="I173" s="237">
        <v>45780</v>
      </c>
      <c r="J173" s="240">
        <v>45782</v>
      </c>
      <c r="K173" s="239">
        <v>45771</v>
      </c>
      <c r="L173" s="238">
        <v>45778</v>
      </c>
      <c r="M173" s="89">
        <v>-9</v>
      </c>
      <c r="N173" s="89">
        <v>-4</v>
      </c>
      <c r="O173" s="89" t="s">
        <v>474</v>
      </c>
    </row>
    <row r="174" spans="1:15" ht="15">
      <c r="A174" s="89">
        <v>40</v>
      </c>
      <c r="B174" s="241" t="s">
        <v>489</v>
      </c>
      <c r="C174"/>
      <c r="D174" s="89">
        <v>2025</v>
      </c>
      <c r="E174" s="89">
        <v>2025</v>
      </c>
      <c r="F174" s="89">
        <v>12</v>
      </c>
      <c r="G174"/>
      <c r="H174" s="89" t="s">
        <v>473</v>
      </c>
      <c r="I174" s="237">
        <v>45783</v>
      </c>
      <c r="J174" s="240">
        <v>45784</v>
      </c>
      <c r="K174" s="239">
        <v>45772</v>
      </c>
      <c r="L174" s="238">
        <v>45778</v>
      </c>
      <c r="M174" s="89">
        <v>-11</v>
      </c>
      <c r="N174" s="89">
        <v>-6</v>
      </c>
      <c r="O174" s="89" t="s">
        <v>474</v>
      </c>
    </row>
    <row r="175" spans="1:15" ht="15">
      <c r="A175" s="89">
        <v>41</v>
      </c>
      <c r="B175" s="241" t="s">
        <v>490</v>
      </c>
      <c r="C175"/>
      <c r="D175" s="89">
        <v>2025</v>
      </c>
      <c r="E175" s="89">
        <v>2025</v>
      </c>
      <c r="F175" s="89">
        <v>12</v>
      </c>
      <c r="G175"/>
      <c r="H175" s="89" t="s">
        <v>473</v>
      </c>
      <c r="I175" s="237">
        <v>45785</v>
      </c>
      <c r="J175" s="240">
        <v>45786</v>
      </c>
      <c r="K175" s="239">
        <v>45773</v>
      </c>
      <c r="L175" s="238">
        <v>45779</v>
      </c>
      <c r="M175" s="89">
        <v>-12</v>
      </c>
      <c r="N175" s="89">
        <v>-8</v>
      </c>
      <c r="O175" s="89" t="s">
        <v>474</v>
      </c>
    </row>
    <row r="176" spans="1:15" ht="15">
      <c r="A176" s="89">
        <v>42</v>
      </c>
      <c r="B176" s="241" t="s">
        <v>491</v>
      </c>
      <c r="C176"/>
      <c r="D176" s="89">
        <v>2025</v>
      </c>
      <c r="E176" s="89">
        <v>2025</v>
      </c>
      <c r="F176" s="89">
        <v>12</v>
      </c>
      <c r="G176"/>
      <c r="H176" s="89" t="s">
        <v>473</v>
      </c>
      <c r="I176" s="237">
        <v>45789</v>
      </c>
      <c r="J176" s="240">
        <v>45790</v>
      </c>
      <c r="K176" s="239">
        <v>45774</v>
      </c>
      <c r="L176" s="238">
        <v>45779</v>
      </c>
      <c r="M176" s="89">
        <v>-15</v>
      </c>
      <c r="N176" s="89">
        <v>-16</v>
      </c>
      <c r="O176" s="89" t="s">
        <v>474</v>
      </c>
    </row>
    <row r="177" spans="1:15" ht="15">
      <c r="A177" s="89">
        <v>43</v>
      </c>
      <c r="B177" s="241" t="s">
        <v>492</v>
      </c>
      <c r="C177"/>
      <c r="D177" s="89">
        <v>2025</v>
      </c>
      <c r="E177" s="89">
        <v>2025</v>
      </c>
      <c r="F177" s="89">
        <v>12</v>
      </c>
      <c r="G177"/>
      <c r="H177" s="89" t="s">
        <v>473</v>
      </c>
      <c r="I177" s="237">
        <v>45791</v>
      </c>
      <c r="J177" s="240">
        <v>45792</v>
      </c>
      <c r="K177" s="239">
        <v>45775</v>
      </c>
      <c r="L177" s="238">
        <v>45779</v>
      </c>
      <c r="M177" s="89">
        <v>-16</v>
      </c>
      <c r="N177" s="89">
        <v>-17</v>
      </c>
      <c r="O177" s="89" t="s">
        <v>474</v>
      </c>
    </row>
    <row r="178" spans="1:15" ht="15">
      <c r="A178" s="89">
        <v>44</v>
      </c>
      <c r="B178" s="241" t="s">
        <v>493</v>
      </c>
      <c r="C178"/>
      <c r="D178" s="89">
        <v>2025</v>
      </c>
      <c r="E178" s="89">
        <v>2025</v>
      </c>
      <c r="F178" s="89">
        <v>12</v>
      </c>
      <c r="G178"/>
      <c r="H178" s="89" t="s">
        <v>473</v>
      </c>
      <c r="I178" s="237">
        <v>45793</v>
      </c>
      <c r="J178" s="240">
        <v>45794</v>
      </c>
      <c r="K178" s="239">
        <v>45776</v>
      </c>
      <c r="L178" s="238">
        <v>45779</v>
      </c>
      <c r="M178" s="89">
        <v>-17</v>
      </c>
      <c r="N178" s="89">
        <v>-18</v>
      </c>
      <c r="O178" s="89" t="s">
        <v>474</v>
      </c>
    </row>
  </sheetData>
  <phoneticPr fontId="9"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55"/>
  <sheetViews>
    <sheetView topLeftCell="O241" workbookViewId="0">
      <selection activeCell="V258" sqref="V258"/>
    </sheetView>
  </sheetViews>
  <sheetFormatPr defaultColWidth="8.5703125" defaultRowHeight="15"/>
  <cols>
    <col min="2" max="2" width="9.42578125" bestFit="1" customWidth="1"/>
    <col min="3" max="3" width="9.5703125" customWidth="1"/>
    <col min="5" max="5" width="23" bestFit="1" customWidth="1"/>
    <col min="6" max="6" width="12.5703125" bestFit="1" customWidth="1"/>
    <col min="7" max="7" width="8.42578125" bestFit="1" customWidth="1"/>
    <col min="8" max="8" width="13.42578125" bestFit="1" customWidth="1"/>
    <col min="9" max="9" width="10" customWidth="1"/>
    <col min="10" max="10" width="8.5703125" style="1"/>
    <col min="19" max="19" width="25.5703125" bestFit="1" customWidth="1"/>
    <col min="20" max="20" width="23.42578125" bestFit="1" customWidth="1"/>
    <col min="21" max="21" width="24.42578125" bestFit="1" customWidth="1"/>
    <col min="22" max="22" width="9.5703125" bestFit="1" customWidth="1"/>
    <col min="23" max="23" width="10.5703125" bestFit="1" customWidth="1"/>
    <col min="24" max="24" width="54.42578125" bestFit="1" customWidth="1"/>
  </cols>
  <sheetData>
    <row r="1" spans="1:24">
      <c r="W1" s="210">
        <v>1</v>
      </c>
      <c r="X1" s="173" t="s">
        <v>495</v>
      </c>
    </row>
    <row r="2" spans="1:24">
      <c r="B2" t="s">
        <v>496</v>
      </c>
      <c r="C2" t="s">
        <v>497</v>
      </c>
      <c r="D2" t="s">
        <v>498</v>
      </c>
      <c r="E2" t="s">
        <v>499</v>
      </c>
      <c r="F2" t="s">
        <v>500</v>
      </c>
      <c r="G2" s="209" t="s">
        <v>501</v>
      </c>
      <c r="H2" s="209" t="s">
        <v>123</v>
      </c>
      <c r="I2" s="209" t="s">
        <v>125</v>
      </c>
      <c r="K2" t="s">
        <v>502</v>
      </c>
      <c r="L2" s="1">
        <f>44*1.6</f>
        <v>70.400000000000006</v>
      </c>
      <c r="W2" s="210">
        <v>2</v>
      </c>
      <c r="X2" s="173" t="s">
        <v>503</v>
      </c>
    </row>
    <row r="3" spans="1:24">
      <c r="A3" t="s">
        <v>76</v>
      </c>
      <c r="B3" s="15" t="s">
        <v>504</v>
      </c>
      <c r="C3" t="s">
        <v>505</v>
      </c>
      <c r="D3" s="1">
        <v>1.6</v>
      </c>
      <c r="E3" s="16">
        <f t="shared" ref="E3:E50" si="0">D3/$L$2</f>
        <v>2.2727272727272728E-2</v>
      </c>
      <c r="F3" t="s">
        <v>406</v>
      </c>
      <c r="G3" t="s">
        <v>76</v>
      </c>
      <c r="I3" t="s">
        <v>506</v>
      </c>
      <c r="M3" t="s">
        <v>507</v>
      </c>
      <c r="O3" t="s">
        <v>508</v>
      </c>
      <c r="S3" t="s">
        <v>509</v>
      </c>
      <c r="T3" t="s">
        <v>510</v>
      </c>
      <c r="U3" t="s">
        <v>511</v>
      </c>
      <c r="W3" s="210">
        <v>3</v>
      </c>
      <c r="X3" s="173" t="s">
        <v>359</v>
      </c>
    </row>
    <row r="4" spans="1:24" ht="15.75" thickBot="1">
      <c r="A4" t="s">
        <v>77</v>
      </c>
      <c r="B4" s="15" t="s">
        <v>504</v>
      </c>
      <c r="C4" t="s">
        <v>505</v>
      </c>
      <c r="D4" s="1">
        <v>1.6</v>
      </c>
      <c r="E4" s="16">
        <f t="shared" si="0"/>
        <v>2.2727272727272728E-2</v>
      </c>
      <c r="F4" t="s">
        <v>406</v>
      </c>
      <c r="G4" t="s">
        <v>77</v>
      </c>
      <c r="I4" t="s">
        <v>506</v>
      </c>
      <c r="M4" t="s">
        <v>339</v>
      </c>
      <c r="O4" t="s">
        <v>512</v>
      </c>
      <c r="S4" s="69" t="s">
        <v>394</v>
      </c>
      <c r="T4" s="69" t="s">
        <v>416</v>
      </c>
      <c r="U4" s="69" t="s">
        <v>513</v>
      </c>
      <c r="W4" s="210">
        <v>6</v>
      </c>
      <c r="X4" s="173" t="s">
        <v>514</v>
      </c>
    </row>
    <row r="5" spans="1:24" ht="15.75" thickBot="1">
      <c r="A5" t="s">
        <v>78</v>
      </c>
      <c r="B5" s="15" t="s">
        <v>504</v>
      </c>
      <c r="C5" t="s">
        <v>505</v>
      </c>
      <c r="D5" s="1">
        <v>1.6</v>
      </c>
      <c r="E5" s="16">
        <f t="shared" si="0"/>
        <v>2.2727272727272728E-2</v>
      </c>
      <c r="F5" t="s">
        <v>406</v>
      </c>
      <c r="G5" t="s">
        <v>78</v>
      </c>
      <c r="I5" t="s">
        <v>506</v>
      </c>
      <c r="R5" t="s">
        <v>512</v>
      </c>
      <c r="S5" s="69" t="s">
        <v>343</v>
      </c>
      <c r="T5" s="69" t="s">
        <v>421</v>
      </c>
      <c r="U5" s="69" t="s">
        <v>515</v>
      </c>
      <c r="W5" s="210">
        <v>7</v>
      </c>
      <c r="X5" s="173" t="s">
        <v>516</v>
      </c>
    </row>
    <row r="6" spans="1:24" ht="15.75" thickBot="1">
      <c r="A6" t="s">
        <v>79</v>
      </c>
      <c r="B6" s="15" t="s">
        <v>504</v>
      </c>
      <c r="C6" t="s">
        <v>505</v>
      </c>
      <c r="D6" s="1">
        <v>1.6</v>
      </c>
      <c r="E6" s="16">
        <f t="shared" si="0"/>
        <v>2.2727272727272728E-2</v>
      </c>
      <c r="F6" t="s">
        <v>404</v>
      </c>
      <c r="G6" t="s">
        <v>79</v>
      </c>
      <c r="I6" t="s">
        <v>506</v>
      </c>
      <c r="R6" t="s">
        <v>508</v>
      </c>
      <c r="S6" s="69" t="s">
        <v>340</v>
      </c>
      <c r="T6" s="69" t="s">
        <v>411</v>
      </c>
      <c r="U6" s="69" t="s">
        <v>403</v>
      </c>
      <c r="W6" s="210">
        <v>8</v>
      </c>
      <c r="X6" s="173" t="s">
        <v>517</v>
      </c>
    </row>
    <row r="7" spans="1:24" ht="15.75" thickBot="1">
      <c r="A7" t="s">
        <v>80</v>
      </c>
      <c r="B7" s="15" t="s">
        <v>504</v>
      </c>
      <c r="C7" t="s">
        <v>505</v>
      </c>
      <c r="D7" s="1">
        <v>1.6</v>
      </c>
      <c r="E7" s="16">
        <f t="shared" si="0"/>
        <v>2.2727272727272728E-2</v>
      </c>
      <c r="F7" t="s">
        <v>405</v>
      </c>
      <c r="G7" t="s">
        <v>80</v>
      </c>
      <c r="I7" t="s">
        <v>506</v>
      </c>
      <c r="S7" s="69" t="s">
        <v>518</v>
      </c>
      <c r="T7" s="69" t="s">
        <v>519</v>
      </c>
      <c r="U7" s="69" t="s">
        <v>520</v>
      </c>
      <c r="W7" s="210">
        <v>9</v>
      </c>
      <c r="X7" s="173" t="s">
        <v>521</v>
      </c>
    </row>
    <row r="8" spans="1:24" ht="15.75" thickBot="1">
      <c r="A8" t="s">
        <v>81</v>
      </c>
      <c r="B8" s="15" t="s">
        <v>504</v>
      </c>
      <c r="C8" t="s">
        <v>505</v>
      </c>
      <c r="D8" s="1">
        <v>1.6</v>
      </c>
      <c r="E8" s="16">
        <f t="shared" si="0"/>
        <v>2.2727272727272728E-2</v>
      </c>
      <c r="F8" t="s">
        <v>405</v>
      </c>
      <c r="G8" t="s">
        <v>81</v>
      </c>
      <c r="I8" t="s">
        <v>506</v>
      </c>
      <c r="S8" s="69" t="s">
        <v>522</v>
      </c>
      <c r="W8" s="210">
        <v>10</v>
      </c>
      <c r="X8" s="173" t="s">
        <v>523</v>
      </c>
    </row>
    <row r="9" spans="1:24">
      <c r="A9" t="s">
        <v>82</v>
      </c>
      <c r="B9" s="15" t="s">
        <v>504</v>
      </c>
      <c r="C9" t="s">
        <v>505</v>
      </c>
      <c r="D9" s="1">
        <v>1.6</v>
      </c>
      <c r="E9" s="16">
        <f t="shared" si="0"/>
        <v>2.2727272727272728E-2</v>
      </c>
      <c r="F9" t="s">
        <v>406</v>
      </c>
      <c r="G9" t="s">
        <v>82</v>
      </c>
      <c r="I9" t="s">
        <v>506</v>
      </c>
      <c r="W9" s="210">
        <v>11</v>
      </c>
      <c r="X9" s="173" t="s">
        <v>524</v>
      </c>
    </row>
    <row r="10" spans="1:24">
      <c r="A10" t="s">
        <v>83</v>
      </c>
      <c r="B10" s="15" t="s">
        <v>504</v>
      </c>
      <c r="C10" t="s">
        <v>505</v>
      </c>
      <c r="D10" s="1">
        <v>1.6</v>
      </c>
      <c r="E10" s="16">
        <f t="shared" si="0"/>
        <v>2.2727272727272728E-2</v>
      </c>
      <c r="F10" t="s">
        <v>399</v>
      </c>
      <c r="G10" t="s">
        <v>83</v>
      </c>
      <c r="I10" t="s">
        <v>506</v>
      </c>
      <c r="S10" t="s">
        <v>925</v>
      </c>
      <c r="W10" s="210">
        <v>12</v>
      </c>
      <c r="X10" s="173" t="s">
        <v>525</v>
      </c>
    </row>
    <row r="11" spans="1:24">
      <c r="A11" t="s">
        <v>84</v>
      </c>
      <c r="B11" s="15" t="s">
        <v>504</v>
      </c>
      <c r="C11" t="s">
        <v>505</v>
      </c>
      <c r="D11" s="1">
        <v>1.6</v>
      </c>
      <c r="E11" s="16">
        <f t="shared" si="0"/>
        <v>2.2727272727272728E-2</v>
      </c>
      <c r="F11" t="s">
        <v>399</v>
      </c>
      <c r="G11" t="s">
        <v>84</v>
      </c>
      <c r="I11" t="s">
        <v>506</v>
      </c>
      <c r="S11" s="291" t="s">
        <v>926</v>
      </c>
      <c r="W11" s="210">
        <v>13</v>
      </c>
      <c r="X11" s="173" t="s">
        <v>526</v>
      </c>
    </row>
    <row r="12" spans="1:24">
      <c r="A12" t="s">
        <v>85</v>
      </c>
      <c r="B12" s="15" t="s">
        <v>504</v>
      </c>
      <c r="C12" t="s">
        <v>505</v>
      </c>
      <c r="D12" s="1">
        <v>1.6</v>
      </c>
      <c r="E12" s="16">
        <f t="shared" si="0"/>
        <v>2.2727272727272728E-2</v>
      </c>
      <c r="F12" t="s">
        <v>399</v>
      </c>
      <c r="G12" t="s">
        <v>85</v>
      </c>
      <c r="I12" t="s">
        <v>506</v>
      </c>
      <c r="S12" s="291" t="s">
        <v>359</v>
      </c>
      <c r="W12" s="210">
        <v>14</v>
      </c>
      <c r="X12" s="173" t="s">
        <v>527</v>
      </c>
    </row>
    <row r="13" spans="1:24">
      <c r="A13" t="s">
        <v>86</v>
      </c>
      <c r="B13" s="15" t="s">
        <v>504</v>
      </c>
      <c r="C13" t="s">
        <v>505</v>
      </c>
      <c r="D13" s="1">
        <v>1.6</v>
      </c>
      <c r="E13" s="16">
        <f t="shared" si="0"/>
        <v>2.2727272727272728E-2</v>
      </c>
      <c r="F13" t="s">
        <v>399</v>
      </c>
      <c r="G13" t="s">
        <v>86</v>
      </c>
      <c r="I13" t="s">
        <v>506</v>
      </c>
      <c r="S13" s="291" t="s">
        <v>927</v>
      </c>
      <c r="W13" s="210">
        <v>15</v>
      </c>
      <c r="X13" s="173" t="s">
        <v>528</v>
      </c>
    </row>
    <row r="14" spans="1:24">
      <c r="A14" t="s">
        <v>87</v>
      </c>
      <c r="B14" s="15" t="s">
        <v>504</v>
      </c>
      <c r="C14" t="s">
        <v>505</v>
      </c>
      <c r="D14" s="1">
        <v>1.6</v>
      </c>
      <c r="E14" s="16">
        <f t="shared" si="0"/>
        <v>2.2727272727272728E-2</v>
      </c>
      <c r="F14" t="s">
        <v>399</v>
      </c>
      <c r="G14" t="s">
        <v>87</v>
      </c>
      <c r="I14" t="s">
        <v>506</v>
      </c>
      <c r="W14" s="210">
        <v>16</v>
      </c>
      <c r="X14" s="173" t="s">
        <v>529</v>
      </c>
    </row>
    <row r="15" spans="1:24">
      <c r="A15" t="s">
        <v>88</v>
      </c>
      <c r="B15" s="15" t="s">
        <v>504</v>
      </c>
      <c r="C15" t="s">
        <v>505</v>
      </c>
      <c r="D15" s="1">
        <v>1.6</v>
      </c>
      <c r="E15" s="16">
        <f t="shared" si="0"/>
        <v>2.2727272727272728E-2</v>
      </c>
      <c r="F15" t="s">
        <v>399</v>
      </c>
      <c r="G15" t="s">
        <v>88</v>
      </c>
      <c r="I15" t="s">
        <v>506</v>
      </c>
      <c r="W15" s="210">
        <v>19</v>
      </c>
      <c r="X15" s="173" t="s">
        <v>530</v>
      </c>
    </row>
    <row r="16" spans="1:24">
      <c r="A16" t="s">
        <v>89</v>
      </c>
      <c r="B16" s="15" t="s">
        <v>504</v>
      </c>
      <c r="C16" t="s">
        <v>505</v>
      </c>
      <c r="D16" s="1">
        <v>1.6</v>
      </c>
      <c r="E16" s="16">
        <f t="shared" si="0"/>
        <v>2.2727272727272728E-2</v>
      </c>
      <c r="F16" t="s">
        <v>404</v>
      </c>
      <c r="G16" t="s">
        <v>89</v>
      </c>
      <c r="I16" t="s">
        <v>506</v>
      </c>
      <c r="W16" s="210">
        <v>20</v>
      </c>
      <c r="X16" s="173" t="s">
        <v>531</v>
      </c>
    </row>
    <row r="17" spans="1:24">
      <c r="A17" t="s">
        <v>90</v>
      </c>
      <c r="B17" s="15" t="s">
        <v>504</v>
      </c>
      <c r="C17" t="s">
        <v>505</v>
      </c>
      <c r="D17" s="1">
        <v>1.6</v>
      </c>
      <c r="E17" s="16">
        <f t="shared" si="0"/>
        <v>2.2727272727272728E-2</v>
      </c>
      <c r="F17" t="s">
        <v>404</v>
      </c>
      <c r="G17" t="s">
        <v>90</v>
      </c>
      <c r="I17" t="s">
        <v>506</v>
      </c>
      <c r="W17" s="210">
        <v>21</v>
      </c>
      <c r="X17" s="173" t="s">
        <v>532</v>
      </c>
    </row>
    <row r="18" spans="1:24">
      <c r="A18" t="s">
        <v>91</v>
      </c>
      <c r="B18" s="15" t="s">
        <v>504</v>
      </c>
      <c r="C18" t="s">
        <v>505</v>
      </c>
      <c r="D18" s="1">
        <v>1.6</v>
      </c>
      <c r="E18" s="16">
        <f t="shared" si="0"/>
        <v>2.2727272727272728E-2</v>
      </c>
      <c r="F18" t="s">
        <v>404</v>
      </c>
      <c r="G18" t="s">
        <v>91</v>
      </c>
      <c r="I18" t="s">
        <v>506</v>
      </c>
      <c r="W18" s="210">
        <v>22</v>
      </c>
      <c r="X18" s="173" t="s">
        <v>533</v>
      </c>
    </row>
    <row r="19" spans="1:24">
      <c r="A19" t="s">
        <v>92</v>
      </c>
      <c r="B19" s="15" t="s">
        <v>504</v>
      </c>
      <c r="C19" t="s">
        <v>505</v>
      </c>
      <c r="D19" s="1">
        <v>1.6</v>
      </c>
      <c r="E19" s="16">
        <f t="shared" si="0"/>
        <v>2.2727272727272728E-2</v>
      </c>
      <c r="F19" t="s">
        <v>404</v>
      </c>
      <c r="G19" t="s">
        <v>92</v>
      </c>
      <c r="I19" t="s">
        <v>506</v>
      </c>
      <c r="W19" s="210">
        <v>23</v>
      </c>
      <c r="X19" s="173" t="s">
        <v>534</v>
      </c>
    </row>
    <row r="20" spans="1:24">
      <c r="A20" t="s">
        <v>93</v>
      </c>
      <c r="B20" s="15" t="s">
        <v>504</v>
      </c>
      <c r="C20" t="s">
        <v>505</v>
      </c>
      <c r="D20" s="1">
        <v>1.6</v>
      </c>
      <c r="E20" s="16">
        <f t="shared" si="0"/>
        <v>2.2727272727272728E-2</v>
      </c>
      <c r="F20" t="s">
        <v>406</v>
      </c>
      <c r="G20" t="s">
        <v>93</v>
      </c>
      <c r="I20" t="s">
        <v>506</v>
      </c>
      <c r="W20" s="210">
        <v>24</v>
      </c>
      <c r="X20" s="173" t="s">
        <v>535</v>
      </c>
    </row>
    <row r="21" spans="1:24">
      <c r="A21" t="s">
        <v>94</v>
      </c>
      <c r="B21" s="15" t="s">
        <v>504</v>
      </c>
      <c r="C21" t="s">
        <v>505</v>
      </c>
      <c r="D21" s="1">
        <v>1.6</v>
      </c>
      <c r="E21" s="16">
        <f t="shared" si="0"/>
        <v>2.2727272727272728E-2</v>
      </c>
      <c r="F21" t="s">
        <v>404</v>
      </c>
      <c r="G21" t="s">
        <v>94</v>
      </c>
      <c r="I21" t="s">
        <v>506</v>
      </c>
      <c r="W21" s="210">
        <v>25</v>
      </c>
      <c r="X21" s="173" t="s">
        <v>536</v>
      </c>
    </row>
    <row r="22" spans="1:24">
      <c r="A22" t="s">
        <v>95</v>
      </c>
      <c r="B22" s="15" t="s">
        <v>504</v>
      </c>
      <c r="C22" t="s">
        <v>505</v>
      </c>
      <c r="D22" s="1">
        <v>1.6</v>
      </c>
      <c r="E22" s="16">
        <f t="shared" si="0"/>
        <v>2.2727272727272728E-2</v>
      </c>
      <c r="F22" t="s">
        <v>404</v>
      </c>
      <c r="G22" t="s">
        <v>95</v>
      </c>
      <c r="I22" t="s">
        <v>506</v>
      </c>
      <c r="W22" s="210">
        <v>27</v>
      </c>
      <c r="X22" s="173" t="s">
        <v>193</v>
      </c>
    </row>
    <row r="23" spans="1:24">
      <c r="A23" t="s">
        <v>96</v>
      </c>
      <c r="B23" s="15" t="s">
        <v>504</v>
      </c>
      <c r="C23" t="s">
        <v>505</v>
      </c>
      <c r="D23" s="1">
        <v>1.6</v>
      </c>
      <c r="E23" s="16">
        <f t="shared" si="0"/>
        <v>2.2727272727272728E-2</v>
      </c>
      <c r="F23" t="s">
        <v>404</v>
      </c>
      <c r="G23" t="s">
        <v>96</v>
      </c>
      <c r="I23" t="s">
        <v>506</v>
      </c>
      <c r="W23" s="210">
        <v>28</v>
      </c>
      <c r="X23" s="173" t="s">
        <v>185</v>
      </c>
    </row>
    <row r="24" spans="1:24">
      <c r="A24" t="s">
        <v>97</v>
      </c>
      <c r="B24" s="15" t="s">
        <v>504</v>
      </c>
      <c r="C24" t="s">
        <v>505</v>
      </c>
      <c r="D24" s="1">
        <v>1.6</v>
      </c>
      <c r="E24" s="16">
        <f t="shared" si="0"/>
        <v>2.2727272727272728E-2</v>
      </c>
      <c r="F24" t="s">
        <v>404</v>
      </c>
      <c r="G24" t="s">
        <v>97</v>
      </c>
      <c r="I24" t="s">
        <v>506</v>
      </c>
      <c r="W24" s="210">
        <v>31</v>
      </c>
      <c r="X24" s="173" t="s">
        <v>166</v>
      </c>
    </row>
    <row r="25" spans="1:24">
      <c r="A25" t="s">
        <v>98</v>
      </c>
      <c r="B25" s="15" t="s">
        <v>504</v>
      </c>
      <c r="C25" t="s">
        <v>505</v>
      </c>
      <c r="D25" s="1">
        <v>1.6</v>
      </c>
      <c r="E25" s="16">
        <f t="shared" si="0"/>
        <v>2.2727272727272728E-2</v>
      </c>
      <c r="F25" t="s">
        <v>399</v>
      </c>
      <c r="G25" t="s">
        <v>98</v>
      </c>
      <c r="I25" t="s">
        <v>506</v>
      </c>
      <c r="W25" s="210">
        <v>34</v>
      </c>
      <c r="X25" s="173" t="s">
        <v>159</v>
      </c>
    </row>
    <row r="26" spans="1:24">
      <c r="A26" t="s">
        <v>99</v>
      </c>
      <c r="B26" s="15" t="s">
        <v>504</v>
      </c>
      <c r="C26" t="s">
        <v>505</v>
      </c>
      <c r="D26" s="1">
        <v>1.6</v>
      </c>
      <c r="E26" s="16">
        <f t="shared" si="0"/>
        <v>2.2727272727272728E-2</v>
      </c>
      <c r="F26" t="s">
        <v>399</v>
      </c>
      <c r="G26" t="s">
        <v>99</v>
      </c>
      <c r="I26" t="s">
        <v>506</v>
      </c>
      <c r="W26" s="210">
        <v>35</v>
      </c>
      <c r="X26" s="173" t="s">
        <v>537</v>
      </c>
    </row>
    <row r="27" spans="1:24">
      <c r="A27" t="s">
        <v>100</v>
      </c>
      <c r="B27" s="15" t="s">
        <v>504</v>
      </c>
      <c r="C27" t="s">
        <v>505</v>
      </c>
      <c r="D27" s="1">
        <v>1.6</v>
      </c>
      <c r="E27" s="16">
        <f t="shared" si="0"/>
        <v>2.2727272727272728E-2</v>
      </c>
      <c r="F27" t="s">
        <v>399</v>
      </c>
      <c r="G27" t="s">
        <v>100</v>
      </c>
      <c r="I27" t="s">
        <v>506</v>
      </c>
      <c r="W27" s="210">
        <v>36</v>
      </c>
      <c r="X27" s="173" t="s">
        <v>538</v>
      </c>
    </row>
    <row r="28" spans="1:24">
      <c r="A28" t="s">
        <v>101</v>
      </c>
      <c r="B28" s="15" t="s">
        <v>504</v>
      </c>
      <c r="C28" t="s">
        <v>505</v>
      </c>
      <c r="D28" s="1">
        <v>1.6</v>
      </c>
      <c r="E28" s="16">
        <f t="shared" si="0"/>
        <v>2.2727272727272728E-2</v>
      </c>
      <c r="F28" t="s">
        <v>399</v>
      </c>
      <c r="G28" t="s">
        <v>101</v>
      </c>
      <c r="I28" t="s">
        <v>506</v>
      </c>
      <c r="W28" s="210">
        <v>38</v>
      </c>
      <c r="X28" s="173" t="s">
        <v>194</v>
      </c>
    </row>
    <row r="29" spans="1:24">
      <c r="A29" t="s">
        <v>102</v>
      </c>
      <c r="B29" s="15" t="s">
        <v>504</v>
      </c>
      <c r="C29" t="s">
        <v>505</v>
      </c>
      <c r="D29" s="1">
        <v>1.6</v>
      </c>
      <c r="E29" s="16">
        <f t="shared" si="0"/>
        <v>2.2727272727272728E-2</v>
      </c>
      <c r="F29" t="s">
        <v>406</v>
      </c>
      <c r="G29" t="s">
        <v>102</v>
      </c>
      <c r="I29" t="s">
        <v>506</v>
      </c>
      <c r="W29" s="210">
        <v>41</v>
      </c>
      <c r="X29" s="173" t="s">
        <v>539</v>
      </c>
    </row>
    <row r="30" spans="1:24">
      <c r="A30" t="s">
        <v>103</v>
      </c>
      <c r="B30" s="15" t="s">
        <v>504</v>
      </c>
      <c r="C30" t="s">
        <v>505</v>
      </c>
      <c r="D30" s="1">
        <v>1.6</v>
      </c>
      <c r="E30" s="16">
        <f t="shared" si="0"/>
        <v>2.2727272727272728E-2</v>
      </c>
      <c r="F30" t="s">
        <v>406</v>
      </c>
      <c r="G30" t="s">
        <v>103</v>
      </c>
      <c r="I30" t="s">
        <v>506</v>
      </c>
      <c r="W30" s="210">
        <v>42</v>
      </c>
      <c r="X30" s="173" t="s">
        <v>540</v>
      </c>
    </row>
    <row r="31" spans="1:24">
      <c r="A31" t="s">
        <v>104</v>
      </c>
      <c r="B31" s="15" t="s">
        <v>504</v>
      </c>
      <c r="C31" t="s">
        <v>505</v>
      </c>
      <c r="D31" s="1">
        <v>1.6</v>
      </c>
      <c r="E31" s="16">
        <f t="shared" si="0"/>
        <v>2.2727272727272728E-2</v>
      </c>
      <c r="F31" t="s">
        <v>404</v>
      </c>
      <c r="G31" t="s">
        <v>104</v>
      </c>
      <c r="I31" t="s">
        <v>506</v>
      </c>
      <c r="W31" s="210">
        <v>45</v>
      </c>
      <c r="X31" s="173" t="s">
        <v>541</v>
      </c>
    </row>
    <row r="32" spans="1:24">
      <c r="A32" t="s">
        <v>105</v>
      </c>
      <c r="B32" s="15" t="s">
        <v>504</v>
      </c>
      <c r="C32" t="s">
        <v>505</v>
      </c>
      <c r="D32" s="1">
        <v>1.6</v>
      </c>
      <c r="E32" s="16">
        <f t="shared" si="0"/>
        <v>2.2727272727272728E-2</v>
      </c>
      <c r="F32" t="s">
        <v>406</v>
      </c>
      <c r="G32" t="s">
        <v>105</v>
      </c>
      <c r="I32" t="s">
        <v>506</v>
      </c>
      <c r="W32" s="210">
        <v>46</v>
      </c>
      <c r="X32" s="173" t="s">
        <v>542</v>
      </c>
    </row>
    <row r="33" spans="1:24">
      <c r="A33" t="s">
        <v>106</v>
      </c>
      <c r="B33" s="15" t="s">
        <v>504</v>
      </c>
      <c r="C33" t="s">
        <v>505</v>
      </c>
      <c r="D33" s="1">
        <v>1.6</v>
      </c>
      <c r="E33" s="16">
        <f t="shared" si="0"/>
        <v>2.2727272727272728E-2</v>
      </c>
      <c r="F33" t="s">
        <v>404</v>
      </c>
      <c r="G33" t="s">
        <v>106</v>
      </c>
      <c r="I33" t="s">
        <v>506</v>
      </c>
      <c r="W33" s="210">
        <v>47</v>
      </c>
      <c r="X33" s="173" t="s">
        <v>543</v>
      </c>
    </row>
    <row r="34" spans="1:24">
      <c r="A34" t="s">
        <v>107</v>
      </c>
      <c r="B34" s="15" t="s">
        <v>504</v>
      </c>
      <c r="C34" t="s">
        <v>505</v>
      </c>
      <c r="D34" s="1">
        <v>1.6</v>
      </c>
      <c r="E34" s="16">
        <f t="shared" si="0"/>
        <v>2.2727272727272728E-2</v>
      </c>
      <c r="F34" t="s">
        <v>405</v>
      </c>
      <c r="G34" t="s">
        <v>107</v>
      </c>
      <c r="I34" t="s">
        <v>506</v>
      </c>
      <c r="W34" s="210">
        <v>48</v>
      </c>
      <c r="X34" s="173" t="s">
        <v>544</v>
      </c>
    </row>
    <row r="35" spans="1:24">
      <c r="A35" t="s">
        <v>108</v>
      </c>
      <c r="B35" s="15" t="s">
        <v>504</v>
      </c>
      <c r="C35" t="s">
        <v>505</v>
      </c>
      <c r="D35" s="1">
        <v>1.6</v>
      </c>
      <c r="E35" s="16">
        <f t="shared" si="0"/>
        <v>2.2727272727272728E-2</v>
      </c>
      <c r="F35" t="s">
        <v>405</v>
      </c>
      <c r="G35" t="s">
        <v>108</v>
      </c>
      <c r="I35" t="s">
        <v>506</v>
      </c>
      <c r="W35" s="210">
        <v>51</v>
      </c>
      <c r="X35" s="173" t="s">
        <v>164</v>
      </c>
    </row>
    <row r="36" spans="1:24">
      <c r="A36" t="s">
        <v>109</v>
      </c>
      <c r="B36" s="15" t="s">
        <v>504</v>
      </c>
      <c r="C36" t="s">
        <v>505</v>
      </c>
      <c r="D36" s="1">
        <v>1.6</v>
      </c>
      <c r="E36" s="16">
        <f t="shared" si="0"/>
        <v>2.2727272727272728E-2</v>
      </c>
      <c r="F36" t="s">
        <v>405</v>
      </c>
      <c r="G36" t="s">
        <v>109</v>
      </c>
      <c r="I36" t="s">
        <v>506</v>
      </c>
      <c r="W36" s="210">
        <v>52</v>
      </c>
      <c r="X36" s="173" t="s">
        <v>545</v>
      </c>
    </row>
    <row r="37" spans="1:24">
      <c r="A37" t="s">
        <v>110</v>
      </c>
      <c r="B37" s="15" t="s">
        <v>504</v>
      </c>
      <c r="C37" t="s">
        <v>505</v>
      </c>
      <c r="D37" s="1">
        <v>1.6</v>
      </c>
      <c r="E37" s="16">
        <f t="shared" si="0"/>
        <v>2.2727272727272728E-2</v>
      </c>
      <c r="F37" t="s">
        <v>404</v>
      </c>
      <c r="G37" t="s">
        <v>110</v>
      </c>
      <c r="I37" t="s">
        <v>506</v>
      </c>
      <c r="W37" s="210">
        <v>53</v>
      </c>
      <c r="X37" s="173" t="s">
        <v>546</v>
      </c>
    </row>
    <row r="38" spans="1:24">
      <c r="A38" t="s">
        <v>111</v>
      </c>
      <c r="B38" s="15" t="s">
        <v>504</v>
      </c>
      <c r="C38" t="s">
        <v>505</v>
      </c>
      <c r="D38" s="1">
        <v>1.6</v>
      </c>
      <c r="E38" s="16">
        <f t="shared" si="0"/>
        <v>2.2727272727272728E-2</v>
      </c>
      <c r="F38" t="s">
        <v>405</v>
      </c>
      <c r="G38" t="s">
        <v>111</v>
      </c>
      <c r="I38" t="s">
        <v>506</v>
      </c>
      <c r="W38" s="210">
        <v>54</v>
      </c>
      <c r="X38" s="173" t="s">
        <v>151</v>
      </c>
    </row>
    <row r="39" spans="1:24">
      <c r="A39" t="s">
        <v>112</v>
      </c>
      <c r="B39" s="15" t="s">
        <v>504</v>
      </c>
      <c r="C39" t="s">
        <v>505</v>
      </c>
      <c r="D39" s="1">
        <v>1.6</v>
      </c>
      <c r="E39" s="16">
        <f t="shared" si="0"/>
        <v>2.2727272727272728E-2</v>
      </c>
      <c r="F39" t="s">
        <v>405</v>
      </c>
      <c r="G39" t="s">
        <v>112</v>
      </c>
      <c r="I39" t="s">
        <v>506</v>
      </c>
      <c r="W39" s="210">
        <v>55</v>
      </c>
      <c r="X39" s="173" t="s">
        <v>547</v>
      </c>
    </row>
    <row r="40" spans="1:24">
      <c r="A40" t="s">
        <v>113</v>
      </c>
      <c r="B40" s="15" t="s">
        <v>504</v>
      </c>
      <c r="C40" t="s">
        <v>505</v>
      </c>
      <c r="D40" s="1">
        <v>1.6</v>
      </c>
      <c r="E40" s="16">
        <f t="shared" si="0"/>
        <v>2.2727272727272728E-2</v>
      </c>
      <c r="F40" t="s">
        <v>405</v>
      </c>
      <c r="G40" t="s">
        <v>113</v>
      </c>
      <c r="I40" t="s">
        <v>506</v>
      </c>
      <c r="W40" s="210">
        <v>56</v>
      </c>
      <c r="X40" s="173" t="s">
        <v>548</v>
      </c>
    </row>
    <row r="41" spans="1:24">
      <c r="A41" t="s">
        <v>114</v>
      </c>
      <c r="B41" s="15" t="s">
        <v>504</v>
      </c>
      <c r="C41" t="s">
        <v>505</v>
      </c>
      <c r="D41" s="1">
        <v>1.6</v>
      </c>
      <c r="E41" s="16">
        <f t="shared" si="0"/>
        <v>2.2727272727272728E-2</v>
      </c>
      <c r="F41" t="s">
        <v>405</v>
      </c>
      <c r="G41" t="s">
        <v>114</v>
      </c>
      <c r="I41" t="s">
        <v>506</v>
      </c>
      <c r="W41" s="210">
        <v>57</v>
      </c>
      <c r="X41" s="173" t="s">
        <v>181</v>
      </c>
    </row>
    <row r="42" spans="1:24">
      <c r="A42" t="s">
        <v>115</v>
      </c>
      <c r="B42" s="15" t="s">
        <v>504</v>
      </c>
      <c r="C42" t="s">
        <v>505</v>
      </c>
      <c r="D42" s="1">
        <v>1.6</v>
      </c>
      <c r="E42" s="16">
        <f t="shared" si="0"/>
        <v>2.2727272727272728E-2</v>
      </c>
      <c r="F42" t="s">
        <v>406</v>
      </c>
      <c r="G42" t="s">
        <v>115</v>
      </c>
      <c r="I42" t="s">
        <v>506</v>
      </c>
      <c r="W42" s="210">
        <v>58</v>
      </c>
      <c r="X42" s="173" t="s">
        <v>549</v>
      </c>
    </row>
    <row r="43" spans="1:24">
      <c r="A43" t="s">
        <v>116</v>
      </c>
      <c r="B43" s="15" t="s">
        <v>504</v>
      </c>
      <c r="C43" t="s">
        <v>505</v>
      </c>
      <c r="D43" s="1">
        <v>1.6</v>
      </c>
      <c r="E43" s="16">
        <f t="shared" si="0"/>
        <v>2.2727272727272728E-2</v>
      </c>
      <c r="F43" t="s">
        <v>406</v>
      </c>
      <c r="G43" t="s">
        <v>116</v>
      </c>
      <c r="I43" t="s">
        <v>506</v>
      </c>
      <c r="W43" s="210">
        <v>59</v>
      </c>
      <c r="X43" s="173" t="s">
        <v>550</v>
      </c>
    </row>
    <row r="44" spans="1:24">
      <c r="A44" t="s">
        <v>117</v>
      </c>
      <c r="B44" s="15" t="s">
        <v>504</v>
      </c>
      <c r="C44" t="s">
        <v>505</v>
      </c>
      <c r="D44" s="1">
        <v>1.6</v>
      </c>
      <c r="E44" s="16">
        <f t="shared" si="0"/>
        <v>2.2727272727272728E-2</v>
      </c>
      <c r="F44" t="s">
        <v>406</v>
      </c>
      <c r="G44" t="s">
        <v>117</v>
      </c>
      <c r="I44" t="s">
        <v>506</v>
      </c>
      <c r="W44" s="210">
        <v>60</v>
      </c>
      <c r="X44" s="173" t="s">
        <v>357</v>
      </c>
    </row>
    <row r="45" spans="1:24">
      <c r="A45" t="s">
        <v>118</v>
      </c>
      <c r="B45" s="15" t="s">
        <v>504</v>
      </c>
      <c r="C45" t="s">
        <v>505</v>
      </c>
      <c r="D45" s="1">
        <v>1.6</v>
      </c>
      <c r="E45" s="16">
        <f t="shared" si="0"/>
        <v>2.2727272727272728E-2</v>
      </c>
      <c r="F45" t="s">
        <v>406</v>
      </c>
      <c r="G45" t="s">
        <v>118</v>
      </c>
      <c r="I45" t="s">
        <v>506</v>
      </c>
      <c r="W45" s="210">
        <v>63</v>
      </c>
      <c r="X45" s="173" t="s">
        <v>189</v>
      </c>
    </row>
    <row r="46" spans="1:24">
      <c r="A46" t="s">
        <v>119</v>
      </c>
      <c r="B46" s="15" t="s">
        <v>504</v>
      </c>
      <c r="C46" t="s">
        <v>505</v>
      </c>
      <c r="D46" s="1">
        <v>1.6</v>
      </c>
      <c r="E46" s="16">
        <f t="shared" si="0"/>
        <v>2.2727272727272728E-2</v>
      </c>
      <c r="F46" t="s">
        <v>406</v>
      </c>
      <c r="G46" t="s">
        <v>119</v>
      </c>
      <c r="I46" t="s">
        <v>506</v>
      </c>
      <c r="W46" s="210">
        <v>65</v>
      </c>
      <c r="X46" s="173" t="s">
        <v>551</v>
      </c>
    </row>
    <row r="47" spans="1:24">
      <c r="A47" t="s">
        <v>399</v>
      </c>
      <c r="B47" s="15" t="s">
        <v>504</v>
      </c>
      <c r="C47" t="s">
        <v>505</v>
      </c>
      <c r="D47" s="1">
        <f>10*1.6</f>
        <v>16</v>
      </c>
      <c r="E47" s="16">
        <f t="shared" si="0"/>
        <v>0.22727272727272727</v>
      </c>
      <c r="I47" t="s">
        <v>506</v>
      </c>
      <c r="W47" s="210">
        <v>71</v>
      </c>
      <c r="X47" s="173" t="s">
        <v>552</v>
      </c>
    </row>
    <row r="48" spans="1:24">
      <c r="A48" t="s">
        <v>404</v>
      </c>
      <c r="B48" s="15" t="s">
        <v>504</v>
      </c>
      <c r="C48" t="s">
        <v>505</v>
      </c>
      <c r="D48" s="1">
        <f>12*1.6</f>
        <v>19.200000000000003</v>
      </c>
      <c r="E48" s="16">
        <f t="shared" si="0"/>
        <v>0.27272727272727276</v>
      </c>
      <c r="I48" t="s">
        <v>506</v>
      </c>
      <c r="W48" s="210">
        <v>72</v>
      </c>
      <c r="X48" s="173" t="s">
        <v>553</v>
      </c>
    </row>
    <row r="49" spans="1:24">
      <c r="A49" t="s">
        <v>405</v>
      </c>
      <c r="B49" s="15" t="s">
        <v>504</v>
      </c>
      <c r="C49" t="s">
        <v>505</v>
      </c>
      <c r="D49" s="1">
        <f>9*1.6</f>
        <v>14.4</v>
      </c>
      <c r="E49" s="16">
        <f t="shared" si="0"/>
        <v>0.20454545454545453</v>
      </c>
      <c r="I49" t="s">
        <v>506</v>
      </c>
      <c r="W49" s="210">
        <v>75</v>
      </c>
      <c r="X49" s="173" t="s">
        <v>554</v>
      </c>
    </row>
    <row r="50" spans="1:24">
      <c r="A50" t="s">
        <v>406</v>
      </c>
      <c r="B50" s="15" t="s">
        <v>504</v>
      </c>
      <c r="C50" t="s">
        <v>505</v>
      </c>
      <c r="D50" s="1">
        <f>13*1.6</f>
        <v>20.8</v>
      </c>
      <c r="E50" s="16">
        <f t="shared" si="0"/>
        <v>0.29545454545454541</v>
      </c>
      <c r="I50" t="s">
        <v>506</v>
      </c>
      <c r="W50" s="210">
        <v>76</v>
      </c>
      <c r="X50" s="173" t="s">
        <v>555</v>
      </c>
    </row>
    <row r="51" spans="1:24">
      <c r="W51" s="210">
        <v>77</v>
      </c>
      <c r="X51" s="173" t="s">
        <v>148</v>
      </c>
    </row>
    <row r="52" spans="1:24">
      <c r="W52" s="210">
        <v>78</v>
      </c>
      <c r="X52" s="173" t="s">
        <v>556</v>
      </c>
    </row>
    <row r="53" spans="1:24">
      <c r="W53" s="210">
        <v>81</v>
      </c>
      <c r="X53" s="173" t="s">
        <v>184</v>
      </c>
    </row>
    <row r="54" spans="1:24">
      <c r="W54" s="210">
        <v>82</v>
      </c>
      <c r="X54" s="173" t="s">
        <v>557</v>
      </c>
    </row>
    <row r="55" spans="1:24">
      <c r="W55" s="210">
        <v>84</v>
      </c>
      <c r="X55" s="173" t="s">
        <v>558</v>
      </c>
    </row>
    <row r="56" spans="1:24">
      <c r="W56" s="210">
        <v>86</v>
      </c>
      <c r="X56" s="173" t="s">
        <v>559</v>
      </c>
    </row>
    <row r="57" spans="1:24">
      <c r="W57" s="210">
        <v>87</v>
      </c>
      <c r="X57" s="173" t="s">
        <v>560</v>
      </c>
    </row>
    <row r="58" spans="1:24">
      <c r="W58" s="210">
        <v>88</v>
      </c>
      <c r="X58" s="173" t="s">
        <v>561</v>
      </c>
    </row>
    <row r="59" spans="1:24">
      <c r="W59" s="210">
        <v>89</v>
      </c>
      <c r="X59" s="173" t="s">
        <v>562</v>
      </c>
    </row>
    <row r="60" spans="1:24">
      <c r="W60" s="210">
        <v>91</v>
      </c>
      <c r="X60" s="173" t="s">
        <v>563</v>
      </c>
    </row>
    <row r="61" spans="1:24">
      <c r="W61" s="210">
        <v>97</v>
      </c>
      <c r="X61" s="173" t="s">
        <v>564</v>
      </c>
    </row>
    <row r="62" spans="1:24">
      <c r="W62" s="210">
        <v>98</v>
      </c>
      <c r="X62" s="173" t="s">
        <v>565</v>
      </c>
    </row>
    <row r="63" spans="1:24">
      <c r="W63" s="210">
        <v>99</v>
      </c>
      <c r="X63" s="173" t="s">
        <v>566</v>
      </c>
    </row>
    <row r="64" spans="1:24">
      <c r="W64" s="210">
        <v>100</v>
      </c>
      <c r="X64" s="173" t="s">
        <v>567</v>
      </c>
    </row>
    <row r="65" spans="23:24">
      <c r="W65" s="210">
        <v>101</v>
      </c>
      <c r="X65" s="173" t="s">
        <v>180</v>
      </c>
    </row>
    <row r="66" spans="23:24">
      <c r="W66" s="210">
        <v>102</v>
      </c>
      <c r="X66" s="173" t="s">
        <v>172</v>
      </c>
    </row>
    <row r="67" spans="23:24">
      <c r="W67" s="210">
        <v>105</v>
      </c>
      <c r="X67" s="173" t="s">
        <v>568</v>
      </c>
    </row>
    <row r="68" spans="23:24">
      <c r="W68" s="210">
        <v>106</v>
      </c>
      <c r="X68" s="173" t="s">
        <v>569</v>
      </c>
    </row>
    <row r="69" spans="23:24">
      <c r="W69" s="210">
        <v>107</v>
      </c>
      <c r="X69" s="173" t="s">
        <v>570</v>
      </c>
    </row>
    <row r="70" spans="23:24">
      <c r="W70" s="210">
        <v>108</v>
      </c>
      <c r="X70" s="173" t="s">
        <v>571</v>
      </c>
    </row>
    <row r="71" spans="23:24">
      <c r="W71" s="210">
        <v>110</v>
      </c>
      <c r="X71" s="173" t="s">
        <v>572</v>
      </c>
    </row>
    <row r="72" spans="23:24">
      <c r="W72" s="210">
        <v>112</v>
      </c>
      <c r="X72" s="173" t="s">
        <v>573</v>
      </c>
    </row>
    <row r="73" spans="23:24">
      <c r="W73" s="210">
        <v>113</v>
      </c>
      <c r="X73" s="173" t="s">
        <v>165</v>
      </c>
    </row>
    <row r="74" spans="23:24">
      <c r="W74" s="210">
        <v>114</v>
      </c>
      <c r="X74" s="173" t="s">
        <v>152</v>
      </c>
    </row>
    <row r="75" spans="23:24">
      <c r="W75" s="210">
        <v>115</v>
      </c>
      <c r="X75" s="173" t="s">
        <v>574</v>
      </c>
    </row>
    <row r="76" spans="23:24">
      <c r="W76" s="210">
        <v>116</v>
      </c>
      <c r="X76" s="173" t="s">
        <v>182</v>
      </c>
    </row>
    <row r="77" spans="23:24">
      <c r="W77" s="210">
        <v>117</v>
      </c>
      <c r="X77" s="173" t="s">
        <v>575</v>
      </c>
    </row>
    <row r="78" spans="23:24">
      <c r="W78" s="210">
        <v>118</v>
      </c>
      <c r="X78" s="173" t="s">
        <v>576</v>
      </c>
    </row>
    <row r="79" spans="23:24">
      <c r="W79" s="210">
        <v>120</v>
      </c>
      <c r="X79" s="173" t="s">
        <v>177</v>
      </c>
    </row>
    <row r="80" spans="23:24">
      <c r="W80" s="210">
        <v>121</v>
      </c>
      <c r="X80" s="173" t="s">
        <v>179</v>
      </c>
    </row>
    <row r="81" spans="23:24">
      <c r="W81" s="210">
        <v>122</v>
      </c>
      <c r="X81" s="173" t="s">
        <v>577</v>
      </c>
    </row>
    <row r="82" spans="23:24">
      <c r="W82" s="210">
        <v>124</v>
      </c>
      <c r="X82" s="173" t="s">
        <v>578</v>
      </c>
    </row>
    <row r="83" spans="23:24">
      <c r="W83" s="210">
        <v>125</v>
      </c>
      <c r="X83" s="173" t="s">
        <v>579</v>
      </c>
    </row>
    <row r="84" spans="23:24">
      <c r="W84" s="210">
        <v>127</v>
      </c>
      <c r="X84" s="173" t="s">
        <v>580</v>
      </c>
    </row>
    <row r="85" spans="23:24">
      <c r="W85" s="210">
        <v>129</v>
      </c>
      <c r="X85" s="173" t="s">
        <v>581</v>
      </c>
    </row>
    <row r="86" spans="23:24">
      <c r="W86" s="210">
        <v>130</v>
      </c>
      <c r="X86" s="173" t="s">
        <v>582</v>
      </c>
    </row>
    <row r="87" spans="23:24">
      <c r="W87" s="210">
        <v>131</v>
      </c>
      <c r="X87" s="173" t="s">
        <v>583</v>
      </c>
    </row>
    <row r="88" spans="23:24">
      <c r="W88" s="210">
        <v>132</v>
      </c>
      <c r="X88" s="173" t="s">
        <v>584</v>
      </c>
    </row>
    <row r="89" spans="23:24">
      <c r="W89" s="210">
        <v>133</v>
      </c>
      <c r="X89" s="173" t="s">
        <v>585</v>
      </c>
    </row>
    <row r="90" spans="23:24">
      <c r="W90" s="210">
        <v>134</v>
      </c>
      <c r="X90" s="173" t="s">
        <v>586</v>
      </c>
    </row>
    <row r="91" spans="23:24">
      <c r="W91" s="210">
        <v>135</v>
      </c>
      <c r="X91" s="173" t="s">
        <v>587</v>
      </c>
    </row>
    <row r="92" spans="23:24">
      <c r="W92" s="210">
        <v>136</v>
      </c>
      <c r="X92" s="173" t="s">
        <v>588</v>
      </c>
    </row>
    <row r="93" spans="23:24">
      <c r="W93" s="210">
        <v>137</v>
      </c>
      <c r="X93" s="173" t="s">
        <v>188</v>
      </c>
    </row>
    <row r="94" spans="23:24">
      <c r="W94" s="210">
        <v>138</v>
      </c>
      <c r="X94" s="173" t="s">
        <v>589</v>
      </c>
    </row>
    <row r="95" spans="23:24">
      <c r="W95" s="210">
        <v>139</v>
      </c>
      <c r="X95" s="173" t="s">
        <v>590</v>
      </c>
    </row>
    <row r="96" spans="23:24">
      <c r="W96" s="210">
        <v>140</v>
      </c>
      <c r="X96" s="173" t="s">
        <v>591</v>
      </c>
    </row>
    <row r="97" spans="23:24">
      <c r="W97" s="210">
        <v>141</v>
      </c>
      <c r="X97" s="173" t="s">
        <v>592</v>
      </c>
    </row>
    <row r="98" spans="23:24">
      <c r="W98" s="210">
        <v>142</v>
      </c>
      <c r="X98" s="173" t="s">
        <v>149</v>
      </c>
    </row>
    <row r="99" spans="23:24">
      <c r="W99" s="210">
        <v>143</v>
      </c>
      <c r="X99" s="173" t="s">
        <v>593</v>
      </c>
    </row>
    <row r="100" spans="23:24">
      <c r="W100" s="210">
        <v>144</v>
      </c>
      <c r="X100" s="173" t="s">
        <v>594</v>
      </c>
    </row>
    <row r="101" spans="23:24">
      <c r="W101" s="210">
        <v>145</v>
      </c>
      <c r="X101" s="173" t="s">
        <v>187</v>
      </c>
    </row>
    <row r="102" spans="23:24">
      <c r="W102" s="210">
        <v>146</v>
      </c>
      <c r="X102" s="173" t="s">
        <v>595</v>
      </c>
    </row>
    <row r="103" spans="23:24">
      <c r="W103" s="210">
        <v>147</v>
      </c>
      <c r="X103" s="173" t="s">
        <v>596</v>
      </c>
    </row>
    <row r="104" spans="23:24">
      <c r="W104" s="210">
        <v>148</v>
      </c>
      <c r="X104" s="173" t="s">
        <v>597</v>
      </c>
    </row>
    <row r="105" spans="23:24">
      <c r="W105" s="210">
        <v>149</v>
      </c>
      <c r="X105" s="173" t="s">
        <v>174</v>
      </c>
    </row>
    <row r="106" spans="23:24">
      <c r="W106" s="210">
        <v>150</v>
      </c>
      <c r="X106" s="173" t="s">
        <v>168</v>
      </c>
    </row>
    <row r="107" spans="23:24">
      <c r="W107" s="210">
        <v>152</v>
      </c>
      <c r="X107" s="173" t="s">
        <v>598</v>
      </c>
    </row>
    <row r="108" spans="23:24">
      <c r="W108" s="210">
        <v>153</v>
      </c>
      <c r="X108" s="173" t="s">
        <v>599</v>
      </c>
    </row>
    <row r="109" spans="23:24">
      <c r="W109" s="210">
        <v>155</v>
      </c>
      <c r="X109" s="173" t="s">
        <v>600</v>
      </c>
    </row>
    <row r="110" spans="23:24">
      <c r="W110" s="210">
        <v>156</v>
      </c>
      <c r="X110" s="173" t="s">
        <v>601</v>
      </c>
    </row>
    <row r="111" spans="23:24">
      <c r="W111" s="210">
        <v>157</v>
      </c>
      <c r="X111" s="173" t="s">
        <v>186</v>
      </c>
    </row>
    <row r="112" spans="23:24">
      <c r="W112" s="210">
        <v>161</v>
      </c>
      <c r="X112" s="173" t="s">
        <v>602</v>
      </c>
    </row>
    <row r="113" spans="23:24">
      <c r="W113" s="210">
        <v>163</v>
      </c>
      <c r="X113" s="173" t="s">
        <v>603</v>
      </c>
    </row>
    <row r="114" spans="23:24">
      <c r="W114" s="210">
        <v>164</v>
      </c>
      <c r="X114" s="173" t="s">
        <v>604</v>
      </c>
    </row>
    <row r="115" spans="23:24">
      <c r="W115" s="210">
        <v>165</v>
      </c>
      <c r="X115" s="173" t="s">
        <v>605</v>
      </c>
    </row>
    <row r="116" spans="23:24">
      <c r="W116" s="210">
        <v>166</v>
      </c>
      <c r="X116" s="173" t="s">
        <v>606</v>
      </c>
    </row>
    <row r="117" spans="23:24">
      <c r="W117" s="210">
        <v>167</v>
      </c>
      <c r="X117" s="173" t="s">
        <v>607</v>
      </c>
    </row>
    <row r="118" spans="23:24">
      <c r="W118" s="210">
        <v>168</v>
      </c>
      <c r="X118" s="173" t="s">
        <v>608</v>
      </c>
    </row>
    <row r="119" spans="23:24">
      <c r="W119" s="210">
        <v>169</v>
      </c>
      <c r="X119" s="173" t="s">
        <v>609</v>
      </c>
    </row>
    <row r="120" spans="23:24">
      <c r="W120" s="210">
        <v>170</v>
      </c>
      <c r="X120" s="173" t="s">
        <v>610</v>
      </c>
    </row>
    <row r="121" spans="23:24">
      <c r="W121" s="210">
        <v>171</v>
      </c>
      <c r="X121" s="173" t="s">
        <v>611</v>
      </c>
    </row>
    <row r="122" spans="23:24">
      <c r="W122" s="210">
        <v>173</v>
      </c>
      <c r="X122" s="173" t="s">
        <v>612</v>
      </c>
    </row>
    <row r="123" spans="23:24">
      <c r="W123" s="210">
        <v>174</v>
      </c>
      <c r="X123" s="173" t="s">
        <v>613</v>
      </c>
    </row>
    <row r="124" spans="23:24">
      <c r="W124" s="210">
        <v>175</v>
      </c>
      <c r="X124" s="173" t="s">
        <v>614</v>
      </c>
    </row>
    <row r="125" spans="23:24">
      <c r="W125" s="210">
        <v>176</v>
      </c>
      <c r="X125" s="173" t="s">
        <v>615</v>
      </c>
    </row>
    <row r="126" spans="23:24">
      <c r="W126" s="210">
        <v>177</v>
      </c>
      <c r="X126" s="173" t="s">
        <v>616</v>
      </c>
    </row>
    <row r="127" spans="23:24">
      <c r="W127" s="210">
        <v>178</v>
      </c>
      <c r="X127" s="173" t="s">
        <v>617</v>
      </c>
    </row>
    <row r="128" spans="23:24">
      <c r="W128" s="210">
        <v>179</v>
      </c>
      <c r="X128" s="173" t="s">
        <v>618</v>
      </c>
    </row>
    <row r="129" spans="23:24">
      <c r="W129" s="210">
        <v>180</v>
      </c>
      <c r="X129" s="173" t="s">
        <v>619</v>
      </c>
    </row>
    <row r="130" spans="23:24">
      <c r="W130" s="210">
        <v>181</v>
      </c>
      <c r="X130" s="173" t="s">
        <v>620</v>
      </c>
    </row>
    <row r="131" spans="23:24">
      <c r="W131" s="210">
        <v>182</v>
      </c>
      <c r="X131" s="173" t="s">
        <v>621</v>
      </c>
    </row>
    <row r="132" spans="23:24">
      <c r="W132" s="210">
        <v>183</v>
      </c>
      <c r="X132" s="173" t="s">
        <v>622</v>
      </c>
    </row>
    <row r="133" spans="23:24">
      <c r="W133" s="210">
        <v>184</v>
      </c>
      <c r="X133" s="173" t="s">
        <v>623</v>
      </c>
    </row>
    <row r="134" spans="23:24">
      <c r="W134" s="210">
        <v>185</v>
      </c>
      <c r="X134" s="173" t="s">
        <v>624</v>
      </c>
    </row>
    <row r="135" spans="23:24">
      <c r="W135" s="210">
        <v>186</v>
      </c>
      <c r="X135" s="173" t="s">
        <v>625</v>
      </c>
    </row>
    <row r="136" spans="23:24">
      <c r="W136" s="210">
        <v>187</v>
      </c>
      <c r="X136" s="173" t="s">
        <v>626</v>
      </c>
    </row>
    <row r="137" spans="23:24">
      <c r="W137" s="210">
        <v>188</v>
      </c>
      <c r="X137" s="173" t="s">
        <v>627</v>
      </c>
    </row>
    <row r="138" spans="23:24">
      <c r="W138" s="210">
        <v>189</v>
      </c>
      <c r="X138" s="173" t="s">
        <v>628</v>
      </c>
    </row>
    <row r="139" spans="23:24">
      <c r="W139" s="210">
        <v>190</v>
      </c>
      <c r="X139" s="173" t="s">
        <v>629</v>
      </c>
    </row>
    <row r="140" spans="23:24">
      <c r="W140" s="210">
        <v>191</v>
      </c>
      <c r="X140" s="173" t="s">
        <v>630</v>
      </c>
    </row>
    <row r="141" spans="23:24">
      <c r="W141" s="210">
        <v>193</v>
      </c>
      <c r="X141" s="173" t="s">
        <v>631</v>
      </c>
    </row>
    <row r="142" spans="23:24">
      <c r="W142" s="210">
        <v>194</v>
      </c>
      <c r="X142" s="173" t="s">
        <v>632</v>
      </c>
    </row>
    <row r="143" spans="23:24">
      <c r="W143" s="210">
        <v>195</v>
      </c>
      <c r="X143" s="173" t="s">
        <v>633</v>
      </c>
    </row>
    <row r="144" spans="23:24">
      <c r="W144" s="210">
        <v>201</v>
      </c>
      <c r="X144" s="173" t="s">
        <v>150</v>
      </c>
    </row>
    <row r="145" spans="23:24">
      <c r="W145" s="210">
        <v>203</v>
      </c>
      <c r="X145" s="173" t="s">
        <v>634</v>
      </c>
    </row>
    <row r="146" spans="23:24">
      <c r="W146" s="210">
        <v>205</v>
      </c>
      <c r="X146" s="173" t="s">
        <v>635</v>
      </c>
    </row>
    <row r="147" spans="23:24">
      <c r="W147" s="210">
        <v>207</v>
      </c>
      <c r="X147" s="173" t="s">
        <v>636</v>
      </c>
    </row>
    <row r="148" spans="23:24">
      <c r="W148" s="210">
        <v>208</v>
      </c>
      <c r="X148" s="173" t="s">
        <v>157</v>
      </c>
    </row>
    <row r="149" spans="23:24">
      <c r="W149" s="210">
        <v>212</v>
      </c>
      <c r="X149" s="173" t="s">
        <v>173</v>
      </c>
    </row>
    <row r="150" spans="23:24">
      <c r="W150" s="210">
        <v>213</v>
      </c>
      <c r="X150" s="173" t="s">
        <v>637</v>
      </c>
    </row>
    <row r="151" spans="23:24">
      <c r="W151" s="210">
        <v>214</v>
      </c>
      <c r="X151" s="173" t="s">
        <v>638</v>
      </c>
    </row>
    <row r="152" spans="23:24">
      <c r="W152" s="210">
        <v>215</v>
      </c>
      <c r="X152" s="173" t="s">
        <v>639</v>
      </c>
    </row>
    <row r="153" spans="23:24">
      <c r="W153" s="210">
        <v>218</v>
      </c>
      <c r="X153" s="173" t="s">
        <v>640</v>
      </c>
    </row>
    <row r="154" spans="23:24">
      <c r="W154" s="210">
        <v>220</v>
      </c>
      <c r="X154" s="173" t="s">
        <v>641</v>
      </c>
    </row>
    <row r="155" spans="23:24">
      <c r="W155" s="210">
        <v>221</v>
      </c>
      <c r="X155" s="173" t="s">
        <v>642</v>
      </c>
    </row>
    <row r="156" spans="23:24">
      <c r="W156" s="210">
        <v>222</v>
      </c>
      <c r="X156" s="173" t="s">
        <v>191</v>
      </c>
    </row>
    <row r="157" spans="23:24">
      <c r="W157" s="210">
        <v>223</v>
      </c>
      <c r="X157" s="173" t="s">
        <v>643</v>
      </c>
    </row>
    <row r="158" spans="23:24">
      <c r="W158" s="210">
        <v>224</v>
      </c>
      <c r="X158" s="173" t="s">
        <v>183</v>
      </c>
    </row>
    <row r="159" spans="23:24">
      <c r="W159" s="210">
        <v>235</v>
      </c>
      <c r="X159" s="173" t="s">
        <v>644</v>
      </c>
    </row>
    <row r="160" spans="23:24">
      <c r="W160" s="210">
        <v>237</v>
      </c>
      <c r="X160" s="173" t="s">
        <v>645</v>
      </c>
    </row>
    <row r="161" spans="23:24">
      <c r="W161" s="210">
        <v>250</v>
      </c>
      <c r="X161" s="173" t="s">
        <v>170</v>
      </c>
    </row>
    <row r="162" spans="23:24">
      <c r="W162" s="210">
        <v>251</v>
      </c>
      <c r="X162" s="173" t="s">
        <v>646</v>
      </c>
    </row>
    <row r="163" spans="23:24">
      <c r="W163" s="210">
        <v>252</v>
      </c>
      <c r="X163" s="173" t="s">
        <v>647</v>
      </c>
    </row>
    <row r="164" spans="23:24">
      <c r="W164" s="210">
        <v>261</v>
      </c>
      <c r="X164" s="173" t="s">
        <v>648</v>
      </c>
    </row>
    <row r="165" spans="23:24">
      <c r="W165" s="210">
        <v>269</v>
      </c>
      <c r="X165" s="173" t="s">
        <v>649</v>
      </c>
    </row>
    <row r="166" spans="23:24">
      <c r="W166" s="210">
        <v>271</v>
      </c>
      <c r="X166" s="173" t="s">
        <v>650</v>
      </c>
    </row>
    <row r="167" spans="23:24">
      <c r="W167" s="210">
        <v>272</v>
      </c>
      <c r="X167" s="173" t="s">
        <v>651</v>
      </c>
    </row>
    <row r="168" spans="23:24">
      <c r="W168" s="210">
        <v>273</v>
      </c>
      <c r="X168" s="173" t="s">
        <v>652</v>
      </c>
    </row>
    <row r="169" spans="23:24">
      <c r="W169" s="210">
        <v>274</v>
      </c>
      <c r="X169" s="173" t="s">
        <v>158</v>
      </c>
    </row>
    <row r="170" spans="23:24">
      <c r="W170" s="210">
        <v>275</v>
      </c>
      <c r="X170" s="173" t="s">
        <v>162</v>
      </c>
    </row>
    <row r="171" spans="23:24">
      <c r="W171" s="210">
        <v>276</v>
      </c>
      <c r="X171" s="173" t="s">
        <v>153</v>
      </c>
    </row>
    <row r="172" spans="23:24">
      <c r="W172" s="210">
        <v>277</v>
      </c>
      <c r="X172" s="173" t="s">
        <v>653</v>
      </c>
    </row>
    <row r="173" spans="23:24">
      <c r="W173" s="210">
        <v>278</v>
      </c>
      <c r="X173" s="173" t="s">
        <v>654</v>
      </c>
    </row>
    <row r="174" spans="23:24">
      <c r="W174" s="210">
        <v>279</v>
      </c>
      <c r="X174" s="173" t="s">
        <v>655</v>
      </c>
    </row>
    <row r="175" spans="23:24">
      <c r="W175" s="210">
        <v>280</v>
      </c>
      <c r="X175" s="173" t="s">
        <v>656</v>
      </c>
    </row>
    <row r="176" spans="23:24">
      <c r="W176" s="210">
        <v>281</v>
      </c>
      <c r="X176" s="173" t="s">
        <v>657</v>
      </c>
    </row>
    <row r="177" spans="23:24">
      <c r="W177" s="210">
        <v>282</v>
      </c>
      <c r="X177" s="173" t="s">
        <v>658</v>
      </c>
    </row>
    <row r="178" spans="23:24">
      <c r="W178" s="210">
        <v>286</v>
      </c>
      <c r="X178" s="173" t="s">
        <v>659</v>
      </c>
    </row>
    <row r="179" spans="23:24">
      <c r="W179" s="210">
        <v>287</v>
      </c>
      <c r="X179" s="173" t="s">
        <v>660</v>
      </c>
    </row>
    <row r="180" spans="23:24">
      <c r="W180" s="210">
        <v>288</v>
      </c>
      <c r="X180" s="173" t="s">
        <v>661</v>
      </c>
    </row>
    <row r="181" spans="23:24">
      <c r="W181" s="210">
        <v>289</v>
      </c>
      <c r="X181" s="173" t="s">
        <v>662</v>
      </c>
    </row>
    <row r="182" spans="23:24">
      <c r="W182" s="210">
        <v>290</v>
      </c>
      <c r="X182" s="173" t="s">
        <v>663</v>
      </c>
    </row>
    <row r="183" spans="23:24">
      <c r="W183" s="210">
        <v>291</v>
      </c>
      <c r="X183" s="173" t="s">
        <v>664</v>
      </c>
    </row>
    <row r="184" spans="23:24">
      <c r="W184" s="210">
        <v>294</v>
      </c>
      <c r="X184" s="173" t="s">
        <v>665</v>
      </c>
    </row>
    <row r="185" spans="23:24">
      <c r="W185" s="210">
        <v>295</v>
      </c>
      <c r="X185" s="173" t="s">
        <v>666</v>
      </c>
    </row>
    <row r="186" spans="23:24">
      <c r="W186" s="210">
        <v>297</v>
      </c>
      <c r="X186" s="173" t="s">
        <v>667</v>
      </c>
    </row>
    <row r="187" spans="23:24">
      <c r="W187" s="210">
        <v>302</v>
      </c>
      <c r="X187" s="173" t="s">
        <v>668</v>
      </c>
    </row>
    <row r="188" spans="23:24">
      <c r="W188" s="210">
        <v>306</v>
      </c>
      <c r="X188" s="173" t="s">
        <v>669</v>
      </c>
    </row>
    <row r="189" spans="23:24">
      <c r="W189" s="210">
        <v>308</v>
      </c>
      <c r="X189" s="173" t="s">
        <v>670</v>
      </c>
    </row>
    <row r="190" spans="23:24">
      <c r="W190" s="210">
        <v>310</v>
      </c>
      <c r="X190" s="173" t="s">
        <v>671</v>
      </c>
    </row>
    <row r="191" spans="23:24">
      <c r="W191" s="210">
        <v>313</v>
      </c>
      <c r="X191" s="173" t="s">
        <v>672</v>
      </c>
    </row>
    <row r="192" spans="23:24">
      <c r="W192" s="210">
        <v>314</v>
      </c>
      <c r="X192" s="173" t="s">
        <v>673</v>
      </c>
    </row>
    <row r="193" spans="23:24">
      <c r="W193" s="210">
        <v>317</v>
      </c>
      <c r="X193" s="173" t="s">
        <v>674</v>
      </c>
    </row>
    <row r="194" spans="23:24">
      <c r="W194" s="210">
        <v>319</v>
      </c>
      <c r="X194" s="173" t="s">
        <v>675</v>
      </c>
    </row>
    <row r="195" spans="23:24">
      <c r="W195" s="210">
        <v>324</v>
      </c>
      <c r="X195" s="173" t="s">
        <v>676</v>
      </c>
    </row>
    <row r="196" spans="23:24">
      <c r="W196" s="210">
        <v>333</v>
      </c>
      <c r="X196" s="173" t="s">
        <v>677</v>
      </c>
    </row>
    <row r="197" spans="23:24">
      <c r="W197" s="210">
        <v>334</v>
      </c>
      <c r="X197" s="173" t="s">
        <v>678</v>
      </c>
    </row>
    <row r="198" spans="23:24">
      <c r="W198" s="210">
        <v>335</v>
      </c>
      <c r="X198" s="173" t="s">
        <v>679</v>
      </c>
    </row>
    <row r="199" spans="23:24">
      <c r="W199" s="210">
        <v>336</v>
      </c>
      <c r="X199" s="173" t="s">
        <v>680</v>
      </c>
    </row>
    <row r="200" spans="23:24">
      <c r="W200" s="210">
        <v>337</v>
      </c>
      <c r="X200" s="173" t="s">
        <v>681</v>
      </c>
    </row>
    <row r="201" spans="23:24">
      <c r="W201" s="210">
        <v>338</v>
      </c>
      <c r="X201" s="173" t="s">
        <v>682</v>
      </c>
    </row>
    <row r="202" spans="23:24">
      <c r="W202" s="210">
        <v>340</v>
      </c>
      <c r="X202" s="173" t="s">
        <v>683</v>
      </c>
    </row>
    <row r="203" spans="23:24">
      <c r="W203" s="210">
        <v>341</v>
      </c>
      <c r="X203" s="173" t="s">
        <v>175</v>
      </c>
    </row>
    <row r="204" spans="23:24">
      <c r="W204" s="210">
        <v>342</v>
      </c>
      <c r="X204" s="173" t="s">
        <v>684</v>
      </c>
    </row>
    <row r="205" spans="23:24">
      <c r="W205" s="210">
        <v>343</v>
      </c>
      <c r="X205" s="173" t="s">
        <v>685</v>
      </c>
    </row>
    <row r="206" spans="23:24">
      <c r="W206" s="210">
        <v>344</v>
      </c>
      <c r="X206" s="173" t="s">
        <v>190</v>
      </c>
    </row>
    <row r="207" spans="23:24">
      <c r="W207" s="210">
        <v>345</v>
      </c>
      <c r="X207" s="173" t="s">
        <v>686</v>
      </c>
    </row>
    <row r="208" spans="23:24">
      <c r="W208" s="210">
        <v>346</v>
      </c>
      <c r="X208" s="173" t="s">
        <v>155</v>
      </c>
    </row>
    <row r="209" spans="23:24">
      <c r="W209" s="210">
        <v>348</v>
      </c>
      <c r="X209" s="173" t="s">
        <v>687</v>
      </c>
    </row>
    <row r="210" spans="23:24">
      <c r="W210" s="210">
        <v>349</v>
      </c>
      <c r="X210" s="173" t="s">
        <v>688</v>
      </c>
    </row>
    <row r="211" spans="23:24">
      <c r="W211" s="210">
        <v>352</v>
      </c>
      <c r="X211" s="173" t="s">
        <v>156</v>
      </c>
    </row>
    <row r="212" spans="23:24">
      <c r="W212" s="210">
        <v>353</v>
      </c>
      <c r="X212" s="173" t="s">
        <v>689</v>
      </c>
    </row>
    <row r="213" spans="23:24">
      <c r="W213" s="210">
        <v>355</v>
      </c>
      <c r="X213" s="173" t="s">
        <v>690</v>
      </c>
    </row>
    <row r="214" spans="23:24">
      <c r="W214" s="210">
        <v>357</v>
      </c>
      <c r="X214" s="173" t="s">
        <v>161</v>
      </c>
    </row>
    <row r="215" spans="23:24">
      <c r="W215" s="210">
        <v>359</v>
      </c>
      <c r="X215" s="173" t="s">
        <v>691</v>
      </c>
    </row>
    <row r="216" spans="23:24">
      <c r="W216" s="210">
        <v>360</v>
      </c>
      <c r="X216" s="173" t="s">
        <v>692</v>
      </c>
    </row>
    <row r="217" spans="23:24">
      <c r="W217" s="210">
        <v>361</v>
      </c>
      <c r="X217" s="173" t="s">
        <v>693</v>
      </c>
    </row>
    <row r="218" spans="23:24">
      <c r="W218" s="210">
        <v>362</v>
      </c>
      <c r="X218" s="173" t="s">
        <v>694</v>
      </c>
    </row>
    <row r="219" spans="23:24">
      <c r="W219" s="210">
        <v>363</v>
      </c>
      <c r="X219" s="173" t="s">
        <v>695</v>
      </c>
    </row>
    <row r="220" spans="23:24">
      <c r="W220" s="210">
        <v>365</v>
      </c>
      <c r="X220" s="173" t="s">
        <v>696</v>
      </c>
    </row>
    <row r="221" spans="23:24">
      <c r="W221" s="210">
        <v>366</v>
      </c>
      <c r="X221" s="173" t="s">
        <v>697</v>
      </c>
    </row>
    <row r="222" spans="23:24">
      <c r="W222" s="210">
        <v>368</v>
      </c>
      <c r="X222" s="173" t="s">
        <v>698</v>
      </c>
    </row>
    <row r="223" spans="23:24">
      <c r="W223" s="210">
        <v>371</v>
      </c>
      <c r="X223" s="173" t="s">
        <v>699</v>
      </c>
    </row>
    <row r="224" spans="23:24">
      <c r="W224" s="210">
        <v>377</v>
      </c>
      <c r="X224" s="173" t="s">
        <v>700</v>
      </c>
    </row>
    <row r="225" spans="22:24">
      <c r="W225" s="210">
        <v>381</v>
      </c>
      <c r="X225" s="173" t="s">
        <v>701</v>
      </c>
    </row>
    <row r="226" spans="22:24">
      <c r="W226" s="210">
        <v>382</v>
      </c>
      <c r="X226" s="173" t="s">
        <v>163</v>
      </c>
    </row>
    <row r="227" spans="22:24">
      <c r="W227" s="210">
        <v>383</v>
      </c>
      <c r="X227" s="173" t="s">
        <v>702</v>
      </c>
    </row>
    <row r="228" spans="22:24">
      <c r="W228" s="210">
        <v>394</v>
      </c>
      <c r="X228" s="173" t="s">
        <v>703</v>
      </c>
    </row>
    <row r="229" spans="22:24">
      <c r="W229" s="210">
        <v>395</v>
      </c>
      <c r="X229" s="173" t="s">
        <v>176</v>
      </c>
    </row>
    <row r="230" spans="22:24">
      <c r="W230" s="210">
        <v>396</v>
      </c>
      <c r="X230" s="173" t="s">
        <v>704</v>
      </c>
    </row>
    <row r="231" spans="22:24">
      <c r="V231" t="s">
        <v>705</v>
      </c>
      <c r="W231" s="79">
        <v>424</v>
      </c>
      <c r="X231" s="77" t="s">
        <v>171</v>
      </c>
    </row>
    <row r="232" spans="22:24">
      <c r="W232" s="82">
        <v>430</v>
      </c>
      <c r="X232" t="s">
        <v>154</v>
      </c>
    </row>
    <row r="233" spans="22:24">
      <c r="W233" s="82">
        <v>431</v>
      </c>
      <c r="X233" t="s">
        <v>167</v>
      </c>
    </row>
    <row r="234" spans="22:24">
      <c r="W234" s="82">
        <v>907</v>
      </c>
      <c r="X234" s="76" t="s">
        <v>169</v>
      </c>
    </row>
    <row r="235" spans="22:24">
      <c r="W235" s="82">
        <v>367</v>
      </c>
      <c r="X235" s="78" t="s">
        <v>160</v>
      </c>
    </row>
    <row r="236" spans="22:24">
      <c r="W236" t="s">
        <v>706</v>
      </c>
      <c r="X236" t="s">
        <v>178</v>
      </c>
    </row>
    <row r="237" spans="22:24">
      <c r="W237" t="s">
        <v>707</v>
      </c>
      <c r="X237" t="s">
        <v>192</v>
      </c>
    </row>
    <row r="238" spans="22:24">
      <c r="W238" t="s">
        <v>708</v>
      </c>
      <c r="X238" t="s">
        <v>359</v>
      </c>
    </row>
    <row r="239" spans="22:24">
      <c r="W239" t="s">
        <v>709</v>
      </c>
      <c r="X239" t="s">
        <v>710</v>
      </c>
    </row>
    <row r="240" spans="22:24">
      <c r="W240" t="s">
        <v>711</v>
      </c>
      <c r="X240" t="s">
        <v>712</v>
      </c>
    </row>
    <row r="241" spans="23:24">
      <c r="W241" t="s">
        <v>713</v>
      </c>
      <c r="X241" t="s">
        <v>714</v>
      </c>
    </row>
    <row r="242" spans="23:24">
      <c r="W242" t="s">
        <v>715</v>
      </c>
      <c r="X242" t="s">
        <v>716</v>
      </c>
    </row>
    <row r="243" spans="23:24">
      <c r="W243" t="s">
        <v>717</v>
      </c>
      <c r="X243" t="s">
        <v>718</v>
      </c>
    </row>
    <row r="244" spans="23:24">
      <c r="W244" t="s">
        <v>719</v>
      </c>
      <c r="X244" t="s">
        <v>720</v>
      </c>
    </row>
    <row r="245" spans="23:24">
      <c r="W245" t="s">
        <v>721</v>
      </c>
      <c r="X245" t="s">
        <v>722</v>
      </c>
    </row>
    <row r="246" spans="23:24">
      <c r="W246" t="s">
        <v>723</v>
      </c>
      <c r="X246" t="s">
        <v>724</v>
      </c>
    </row>
    <row r="247" spans="23:24">
      <c r="W247" t="s">
        <v>725</v>
      </c>
      <c r="X247" t="s">
        <v>726</v>
      </c>
    </row>
    <row r="248" spans="23:24">
      <c r="W248" t="s">
        <v>727</v>
      </c>
      <c r="X248" t="s">
        <v>728</v>
      </c>
    </row>
    <row r="249" spans="23:24">
      <c r="W249" t="s">
        <v>729</v>
      </c>
      <c r="X249" t="s">
        <v>730</v>
      </c>
    </row>
    <row r="250" spans="23:24">
      <c r="W250" t="s">
        <v>336</v>
      </c>
      <c r="X250" t="s">
        <v>731</v>
      </c>
    </row>
    <row r="251" spans="23:24">
      <c r="W251" t="s">
        <v>732</v>
      </c>
      <c r="X251" t="s">
        <v>733</v>
      </c>
    </row>
    <row r="252" spans="23:24">
      <c r="W252" t="s">
        <v>734</v>
      </c>
      <c r="X252" t="s">
        <v>735</v>
      </c>
    </row>
    <row r="253" spans="23:24">
      <c r="W253" t="s">
        <v>736</v>
      </c>
      <c r="X253" t="s">
        <v>737</v>
      </c>
    </row>
    <row r="254" spans="23:24">
      <c r="W254" t="s">
        <v>382</v>
      </c>
      <c r="X254" t="s">
        <v>738</v>
      </c>
    </row>
    <row r="255" spans="23:24">
      <c r="W255">
        <v>123</v>
      </c>
      <c r="X255" t="s">
        <v>380</v>
      </c>
    </row>
  </sheetData>
  <phoneticPr fontId="9" type="noConversion"/>
  <conditionalFormatting sqref="X231">
    <cfRule type="containsText" dxfId="1" priority="3" operator="containsText" text="Incorrect Error Code">
      <formula>NOT(ISERROR(SEARCH("Incorrect Error Code",X231)))</formula>
    </cfRule>
  </conditionalFormatting>
  <conditionalFormatting sqref="X234:X235">
    <cfRule type="containsText" dxfId="0" priority="1" operator="containsText" text="Incorrect Error Code">
      <formula>NOT(ISERROR(SEARCH("Incorrect Error Code",X234)))</formula>
    </cfRule>
  </conditionalFormatting>
  <hyperlinks>
    <hyperlink ref="B3" r:id="rId1" display="O@R1" xr:uid="{00000000-0004-0000-0B00-000000000000}"/>
    <hyperlink ref="B4:B46" r:id="rId2" display="O@R1" xr:uid="{00000000-0004-0000-0B00-000001000000}"/>
    <hyperlink ref="B47" r:id="rId3" display="O@R1" xr:uid="{00000000-0004-0000-0B00-000002000000}"/>
    <hyperlink ref="B48" r:id="rId4" display="O@R1" xr:uid="{00000000-0004-0000-0B00-000003000000}"/>
    <hyperlink ref="B49" r:id="rId5" display="O@R1" xr:uid="{00000000-0004-0000-0B00-000004000000}"/>
    <hyperlink ref="B50" r:id="rId6" display="O@R1" xr:uid="{00000000-0004-0000-0B00-000005000000}"/>
  </hyperlinks>
  <pageMargins left="0.7" right="0.7" top="0.75" bottom="0.75" header="0.3" footer="0.3"/>
  <pageSetup paperSize="9" orientation="portrait" r:id="rId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Y370"/>
  <sheetViews>
    <sheetView workbookViewId="0">
      <pane xSplit="4" ySplit="2" topLeftCell="E110" activePane="bottomRight" state="frozen"/>
      <selection pane="topRight" activeCell="E1" sqref="E1"/>
      <selection pane="bottomLeft" activeCell="A3" sqref="A3"/>
      <selection pane="bottomRight" activeCell="N135" sqref="N135"/>
    </sheetView>
  </sheetViews>
  <sheetFormatPr defaultColWidth="8.5703125" defaultRowHeight="15"/>
  <cols>
    <col min="1" max="1" width="10.140625" style="108" bestFit="1" customWidth="1"/>
    <col min="2" max="2" width="12.140625" style="108" customWidth="1"/>
    <col min="3" max="3" width="12.42578125" style="108" customWidth="1"/>
    <col min="4" max="4" width="10.85546875" style="108" customWidth="1"/>
    <col min="5" max="48" width="8.5703125" style="108"/>
    <col min="49" max="49" width="11.42578125" style="108" customWidth="1"/>
    <col min="50" max="16384" width="8.5703125" style="108"/>
  </cols>
  <sheetData>
    <row r="1" spans="1:51">
      <c r="A1" s="108">
        <v>1</v>
      </c>
      <c r="B1" s="108">
        <f>A1+1</f>
        <v>2</v>
      </c>
      <c r="C1" s="108">
        <f t="shared" ref="C1:AW1" si="0">B1+1</f>
        <v>3</v>
      </c>
      <c r="D1" s="108">
        <f t="shared" si="0"/>
        <v>4</v>
      </c>
      <c r="E1" s="108">
        <f t="shared" si="0"/>
        <v>5</v>
      </c>
      <c r="F1" s="108">
        <f t="shared" si="0"/>
        <v>6</v>
      </c>
      <c r="G1" s="108">
        <f t="shared" si="0"/>
        <v>7</v>
      </c>
      <c r="H1" s="108">
        <f t="shared" si="0"/>
        <v>8</v>
      </c>
      <c r="I1" s="108">
        <f t="shared" si="0"/>
        <v>9</v>
      </c>
      <c r="J1" s="108">
        <f t="shared" si="0"/>
        <v>10</v>
      </c>
      <c r="K1" s="108">
        <f t="shared" si="0"/>
        <v>11</v>
      </c>
      <c r="L1" s="108">
        <f t="shared" si="0"/>
        <v>12</v>
      </c>
      <c r="M1" s="108">
        <f t="shared" si="0"/>
        <v>13</v>
      </c>
      <c r="N1" s="108">
        <f t="shared" si="0"/>
        <v>14</v>
      </c>
      <c r="O1" s="108">
        <f t="shared" si="0"/>
        <v>15</v>
      </c>
      <c r="P1" s="108">
        <f t="shared" si="0"/>
        <v>16</v>
      </c>
      <c r="Q1" s="108">
        <f t="shared" si="0"/>
        <v>17</v>
      </c>
      <c r="R1" s="108">
        <f t="shared" si="0"/>
        <v>18</v>
      </c>
      <c r="S1" s="108">
        <f t="shared" si="0"/>
        <v>19</v>
      </c>
      <c r="T1" s="108">
        <f t="shared" si="0"/>
        <v>20</v>
      </c>
      <c r="U1" s="108">
        <f t="shared" si="0"/>
        <v>21</v>
      </c>
      <c r="V1" s="108">
        <f t="shared" si="0"/>
        <v>22</v>
      </c>
      <c r="W1" s="108">
        <f t="shared" si="0"/>
        <v>23</v>
      </c>
      <c r="X1" s="108">
        <f t="shared" si="0"/>
        <v>24</v>
      </c>
      <c r="Y1" s="108">
        <f t="shared" si="0"/>
        <v>25</v>
      </c>
      <c r="Z1" s="108">
        <f t="shared" si="0"/>
        <v>26</v>
      </c>
      <c r="AA1" s="108">
        <f t="shared" si="0"/>
        <v>27</v>
      </c>
      <c r="AB1" s="108">
        <f t="shared" si="0"/>
        <v>28</v>
      </c>
      <c r="AC1" s="108">
        <f t="shared" si="0"/>
        <v>29</v>
      </c>
      <c r="AD1" s="108">
        <f t="shared" si="0"/>
        <v>30</v>
      </c>
      <c r="AE1" s="108">
        <f t="shared" si="0"/>
        <v>31</v>
      </c>
      <c r="AF1" s="108">
        <f t="shared" si="0"/>
        <v>32</v>
      </c>
      <c r="AG1" s="108">
        <f t="shared" si="0"/>
        <v>33</v>
      </c>
      <c r="AH1" s="108">
        <f t="shared" si="0"/>
        <v>34</v>
      </c>
      <c r="AI1" s="108">
        <f t="shared" si="0"/>
        <v>35</v>
      </c>
      <c r="AJ1" s="108">
        <f t="shared" si="0"/>
        <v>36</v>
      </c>
      <c r="AK1" s="108">
        <f t="shared" si="0"/>
        <v>37</v>
      </c>
      <c r="AL1" s="108">
        <f t="shared" si="0"/>
        <v>38</v>
      </c>
      <c r="AM1" s="108">
        <f t="shared" si="0"/>
        <v>39</v>
      </c>
      <c r="AN1" s="108">
        <f t="shared" si="0"/>
        <v>40</v>
      </c>
      <c r="AO1" s="108">
        <f t="shared" si="0"/>
        <v>41</v>
      </c>
      <c r="AP1" s="108">
        <f t="shared" si="0"/>
        <v>42</v>
      </c>
      <c r="AQ1" s="108">
        <f t="shared" si="0"/>
        <v>43</v>
      </c>
      <c r="AR1" s="108">
        <f t="shared" si="0"/>
        <v>44</v>
      </c>
      <c r="AS1" s="108">
        <f t="shared" si="0"/>
        <v>45</v>
      </c>
      <c r="AT1" s="108">
        <f t="shared" si="0"/>
        <v>46</v>
      </c>
      <c r="AU1" s="108">
        <f t="shared" si="0"/>
        <v>47</v>
      </c>
      <c r="AV1" s="108">
        <f t="shared" si="0"/>
        <v>48</v>
      </c>
      <c r="AW1" s="108">
        <f t="shared" si="0"/>
        <v>49</v>
      </c>
    </row>
    <row r="2" spans="1:51" ht="41.45" customHeight="1">
      <c r="A2" s="144" t="s">
        <v>197</v>
      </c>
      <c r="B2" s="106" t="s">
        <v>3</v>
      </c>
      <c r="C2" s="106" t="s">
        <v>198</v>
      </c>
      <c r="D2" s="106" t="s">
        <v>199</v>
      </c>
      <c r="E2" s="106" t="s">
        <v>76</v>
      </c>
      <c r="F2" s="106" t="s">
        <v>77</v>
      </c>
      <c r="G2" s="106" t="s">
        <v>78</v>
      </c>
      <c r="H2" s="106" t="s">
        <v>79</v>
      </c>
      <c r="I2" s="106" t="s">
        <v>80</v>
      </c>
      <c r="J2" s="106" t="s">
        <v>81</v>
      </c>
      <c r="K2" s="106" t="s">
        <v>82</v>
      </c>
      <c r="L2" s="106" t="s">
        <v>83</v>
      </c>
      <c r="M2" s="106" t="s">
        <v>84</v>
      </c>
      <c r="N2" s="106" t="s">
        <v>85</v>
      </c>
      <c r="O2" s="106" t="s">
        <v>86</v>
      </c>
      <c r="P2" s="106" t="s">
        <v>87</v>
      </c>
      <c r="Q2" s="106" t="s">
        <v>88</v>
      </c>
      <c r="R2" s="106" t="s">
        <v>89</v>
      </c>
      <c r="S2" s="106" t="s">
        <v>90</v>
      </c>
      <c r="T2" s="106" t="s">
        <v>91</v>
      </c>
      <c r="U2" s="106" t="s">
        <v>92</v>
      </c>
      <c r="V2" s="106" t="s">
        <v>93</v>
      </c>
      <c r="W2" s="106" t="s">
        <v>94</v>
      </c>
      <c r="X2" s="106" t="s">
        <v>95</v>
      </c>
      <c r="Y2" s="106" t="s">
        <v>96</v>
      </c>
      <c r="Z2" s="106" t="s">
        <v>97</v>
      </c>
      <c r="AA2" s="106" t="s">
        <v>98</v>
      </c>
      <c r="AB2" s="106" t="s">
        <v>99</v>
      </c>
      <c r="AC2" s="106" t="s">
        <v>100</v>
      </c>
      <c r="AD2" s="106" t="s">
        <v>101</v>
      </c>
      <c r="AE2" s="106" t="s">
        <v>102</v>
      </c>
      <c r="AF2" s="106" t="s">
        <v>103</v>
      </c>
      <c r="AG2" s="106" t="s">
        <v>104</v>
      </c>
      <c r="AH2" s="106" t="s">
        <v>105</v>
      </c>
      <c r="AI2" s="106" t="s">
        <v>106</v>
      </c>
      <c r="AJ2" s="106" t="s">
        <v>107</v>
      </c>
      <c r="AK2" s="106" t="s">
        <v>108</v>
      </c>
      <c r="AL2" s="106" t="s">
        <v>109</v>
      </c>
      <c r="AM2" s="106" t="s">
        <v>110</v>
      </c>
      <c r="AN2" s="106" t="s">
        <v>111</v>
      </c>
      <c r="AO2" s="106" t="s">
        <v>112</v>
      </c>
      <c r="AP2" s="106" t="s">
        <v>113</v>
      </c>
      <c r="AQ2" s="106" t="s">
        <v>114</v>
      </c>
      <c r="AR2" s="106" t="s">
        <v>115</v>
      </c>
      <c r="AS2" s="106" t="s">
        <v>116</v>
      </c>
      <c r="AT2" s="106" t="s">
        <v>117</v>
      </c>
      <c r="AU2" s="106" t="s">
        <v>118</v>
      </c>
      <c r="AV2" s="106" t="s">
        <v>119</v>
      </c>
      <c r="AW2" s="106" t="s">
        <v>494</v>
      </c>
    </row>
    <row r="3" spans="1:51">
      <c r="A3" s="149">
        <v>45745</v>
      </c>
      <c r="B3" s="150">
        <f>YEAR(Table7[[#This Row],[Date]])+IF(MONTH(Table7[[#This Row],[Date]])&gt;=4,1,0)</f>
        <v>2025</v>
      </c>
      <c r="C3" s="151">
        <f>YEAR(Table7[[#This Row],[Date]])</f>
        <v>2025</v>
      </c>
      <c r="D3" s="152">
        <f>Daily_KPI[[#This Row],[Date]]-DAY(Daily_KPI[[#This Row],[Date]])+1</f>
        <v>45717</v>
      </c>
      <c r="AW3" s="108">
        <f t="shared" ref="AW3:AW61" si="1">SUM(E3:AV3)/1000</f>
        <v>0</v>
      </c>
    </row>
    <row r="4" spans="1:51">
      <c r="A4" s="145">
        <v>45746</v>
      </c>
      <c r="B4" s="146">
        <f>YEAR(Table7[[#This Row],[Date]])+IF(MONTH(Table7[[#This Row],[Date]])&gt;=4,1,0)</f>
        <v>2025</v>
      </c>
      <c r="C4" s="147">
        <f>YEAR(Table7[[#This Row],[Date]])</f>
        <v>2025</v>
      </c>
      <c r="D4" s="148">
        <f>Daily_KPI[[#This Row],[Date]]-DAY(Daily_KPI[[#This Row],[Date]])+1</f>
        <v>45717</v>
      </c>
      <c r="AW4" s="108">
        <f t="shared" si="1"/>
        <v>0</v>
      </c>
    </row>
    <row r="5" spans="1:51">
      <c r="A5" s="149">
        <v>45747</v>
      </c>
      <c r="B5" s="150">
        <f>YEAR(Table7[[#This Row],[Date]])+IF(MONTH(Table7[[#This Row],[Date]])&gt;=4,1,0)</f>
        <v>2025</v>
      </c>
      <c r="C5" s="151">
        <f>YEAR(Table7[[#This Row],[Date]])</f>
        <v>2025</v>
      </c>
      <c r="D5" s="152">
        <f>Daily_KPI[[#This Row],[Date]]-DAY(Daily_KPI[[#This Row],[Date]])+1</f>
        <v>45748</v>
      </c>
      <c r="AW5" s="108">
        <f t="shared" si="1"/>
        <v>0</v>
      </c>
    </row>
    <row r="6" spans="1:51">
      <c r="A6" s="145">
        <v>45748</v>
      </c>
      <c r="B6" s="146">
        <f>YEAR(Table7[[#This Row],[Date]])+IF(MONTH(Table7[[#This Row],[Date]])&gt;=4,1,0)</f>
        <v>2026</v>
      </c>
      <c r="C6" s="147">
        <f>YEAR(Table7[[#This Row],[Date]])</f>
        <v>2025</v>
      </c>
      <c r="D6" s="148">
        <f>Daily_KPI[[#This Row],[Date]]-DAY(Daily_KPI[[#This Row],[Date]])+1</f>
        <v>45748</v>
      </c>
      <c r="E6" s="108">
        <v>721.78549999999984</v>
      </c>
      <c r="F6" s="108">
        <v>706.55599999999993</v>
      </c>
      <c r="G6" s="108">
        <v>649.41683333333333</v>
      </c>
      <c r="H6" s="108">
        <v>1211.4641666666653</v>
      </c>
      <c r="I6" s="108">
        <v>927.19549999999981</v>
      </c>
      <c r="J6" s="108">
        <v>923.10349999999971</v>
      </c>
      <c r="K6" s="108">
        <v>457.29250000000002</v>
      </c>
      <c r="L6" s="108">
        <v>847.47816666666665</v>
      </c>
      <c r="M6" s="108">
        <v>717.88083333333316</v>
      </c>
      <c r="N6" s="108">
        <v>1008.006</v>
      </c>
      <c r="O6" s="108">
        <v>1258.9806666666666</v>
      </c>
      <c r="P6" s="108">
        <v>1222.2958333333331</v>
      </c>
      <c r="Q6" s="108">
        <v>1134.9851666666666</v>
      </c>
      <c r="R6" s="108">
        <v>1084.4103333333333</v>
      </c>
      <c r="S6" s="108">
        <v>898.1966666666666</v>
      </c>
      <c r="T6" s="108">
        <v>845.66483333333315</v>
      </c>
      <c r="U6" s="108">
        <v>759.94616666666661</v>
      </c>
      <c r="V6" s="108">
        <v>547.76233333333323</v>
      </c>
      <c r="W6" s="108">
        <v>994.58816666666644</v>
      </c>
      <c r="X6" s="108">
        <v>832.46983333333355</v>
      </c>
      <c r="Y6" s="108">
        <v>1290.206666666666</v>
      </c>
      <c r="Z6" s="108">
        <v>1277.8260000000005</v>
      </c>
      <c r="AA6" s="108">
        <v>1090.8723333333335</v>
      </c>
      <c r="AB6" s="108">
        <v>1058.6229999999998</v>
      </c>
      <c r="AC6" s="108">
        <v>592.31650000000002</v>
      </c>
      <c r="AD6" s="108">
        <v>982.13966666666693</v>
      </c>
      <c r="AE6" s="108">
        <v>599.53683333333345</v>
      </c>
      <c r="AF6" s="108">
        <v>424.31016666666665</v>
      </c>
      <c r="AG6" s="108">
        <v>1014.068666666667</v>
      </c>
      <c r="AH6" s="108">
        <v>450.90999999999985</v>
      </c>
      <c r="AI6" s="108">
        <v>926.22300000000007</v>
      </c>
      <c r="AJ6" s="108">
        <v>672.30550000000005</v>
      </c>
      <c r="AK6" s="108">
        <v>890.81383333333349</v>
      </c>
      <c r="AL6" s="108">
        <v>769.96400000000006</v>
      </c>
      <c r="AM6" s="108">
        <v>1258.6621666666667</v>
      </c>
      <c r="AN6" s="108">
        <v>1286.8588333333335</v>
      </c>
      <c r="AO6" s="108">
        <v>906.57933333333347</v>
      </c>
      <c r="AP6" s="108">
        <v>699.68316666666669</v>
      </c>
      <c r="AQ6" s="108">
        <v>802.40016666666645</v>
      </c>
      <c r="AR6" s="108">
        <v>384.66933333333327</v>
      </c>
      <c r="AS6" s="108">
        <v>475.28000000000003</v>
      </c>
      <c r="AT6" s="108">
        <v>544.08249999999987</v>
      </c>
      <c r="AU6" s="108">
        <v>639.41466666666668</v>
      </c>
      <c r="AV6" s="108">
        <v>531.53183333333334</v>
      </c>
      <c r="AW6" s="108">
        <f t="shared" si="1"/>
        <v>37.31875716666665</v>
      </c>
      <c r="AY6" s="197"/>
    </row>
    <row r="7" spans="1:51">
      <c r="A7" s="149">
        <v>45749</v>
      </c>
      <c r="B7" s="150">
        <f>YEAR(Table7[[#This Row],[Date]])+IF(MONTH(Table7[[#This Row],[Date]])&gt;=4,1,0)</f>
        <v>2026</v>
      </c>
      <c r="C7" s="151">
        <f>YEAR(Table7[[#This Row],[Date]])</f>
        <v>2025</v>
      </c>
      <c r="D7" s="152">
        <f>Daily_KPI[[#This Row],[Date]]-DAY(Daily_KPI[[#This Row],[Date]])+1</f>
        <v>45748</v>
      </c>
      <c r="E7" s="108">
        <v>1279.0201666666665</v>
      </c>
      <c r="F7" s="108">
        <v>1000.0011666666669</v>
      </c>
      <c r="G7" s="108">
        <v>826.36716666666655</v>
      </c>
      <c r="H7" s="108">
        <v>974.13600000000008</v>
      </c>
      <c r="I7" s="108">
        <v>2179.4880000000003</v>
      </c>
      <c r="J7" s="108">
        <v>1830.5526666666658</v>
      </c>
      <c r="K7" s="108">
        <v>1022.207666666667</v>
      </c>
      <c r="L7" s="108">
        <v>940.67550000000028</v>
      </c>
      <c r="M7" s="108">
        <v>648.24866666666662</v>
      </c>
      <c r="N7" s="108">
        <v>1004.622666666667</v>
      </c>
      <c r="O7" s="108">
        <v>1201.2533333333333</v>
      </c>
      <c r="P7" s="108">
        <v>1484.9563333333329</v>
      </c>
      <c r="Q7" s="108">
        <v>1740.9739999999995</v>
      </c>
      <c r="R7" s="108">
        <v>1764.8890000000001</v>
      </c>
      <c r="S7" s="108">
        <v>1291.661166666667</v>
      </c>
      <c r="T7" s="108">
        <v>1538.5458333333327</v>
      </c>
      <c r="U7" s="108">
        <v>1692.3156666666664</v>
      </c>
      <c r="V7" s="108">
        <v>1164.2563333333337</v>
      </c>
      <c r="W7" s="108">
        <v>2025.9788333333338</v>
      </c>
      <c r="X7" s="108">
        <v>1739.0328333333337</v>
      </c>
      <c r="Y7" s="108">
        <v>949.64933333333283</v>
      </c>
      <c r="Z7" s="108">
        <v>981.28050000000076</v>
      </c>
      <c r="AA7" s="108">
        <v>1364.3894999999995</v>
      </c>
      <c r="AB7" s="108">
        <v>1696.8098333333326</v>
      </c>
      <c r="AC7" s="108">
        <v>1684.1341666666674</v>
      </c>
      <c r="AD7" s="108">
        <v>1635.5490000000009</v>
      </c>
      <c r="AE7" s="108">
        <v>861.67366666666692</v>
      </c>
      <c r="AF7" s="108">
        <v>1131.5123333333333</v>
      </c>
      <c r="AG7" s="108">
        <v>711.77666666666676</v>
      </c>
      <c r="AH7" s="108">
        <v>1502.0344999999998</v>
      </c>
      <c r="AI7" s="108">
        <v>1956.7856666666669</v>
      </c>
      <c r="AJ7" s="108">
        <v>1168.4541666666667</v>
      </c>
      <c r="AK7" s="108">
        <v>2110.2431666666671</v>
      </c>
      <c r="AL7" s="108">
        <v>1617.4118333333336</v>
      </c>
      <c r="AM7" s="108">
        <v>1506.773833333333</v>
      </c>
      <c r="AN7" s="108">
        <v>2441.3996666666662</v>
      </c>
      <c r="AO7" s="108">
        <v>1560.4151666666655</v>
      </c>
      <c r="AP7" s="108">
        <v>1820.0439999999999</v>
      </c>
      <c r="AQ7" s="108">
        <v>1734.4628333333333</v>
      </c>
      <c r="AR7" s="108">
        <v>1280.4159999999999</v>
      </c>
      <c r="AS7" s="108">
        <v>1536.9064999999998</v>
      </c>
      <c r="AT7" s="108">
        <v>1486.0708333333325</v>
      </c>
      <c r="AU7" s="108">
        <v>1869.9906666666673</v>
      </c>
      <c r="AV7" s="108">
        <v>1636.3545000000001</v>
      </c>
      <c r="AW7" s="108">
        <f t="shared" si="1"/>
        <v>63.593721333333335</v>
      </c>
    </row>
    <row r="8" spans="1:51">
      <c r="A8" s="145">
        <v>45750</v>
      </c>
      <c r="B8" s="146">
        <f>YEAR(Table7[[#This Row],[Date]])+IF(MONTH(Table7[[#This Row],[Date]])&gt;=4,1,0)</f>
        <v>2026</v>
      </c>
      <c r="C8" s="147">
        <f>YEAR(Table7[[#This Row],[Date]])</f>
        <v>2025</v>
      </c>
      <c r="D8" s="148">
        <f>Daily_KPI[[#This Row],[Date]]-DAY(Daily_KPI[[#This Row],[Date]])+1</f>
        <v>45748</v>
      </c>
      <c r="E8" s="108">
        <v>554.48183333333373</v>
      </c>
      <c r="F8" s="108">
        <v>496.67583333333329</v>
      </c>
      <c r="G8" s="108">
        <v>503.44066666666669</v>
      </c>
      <c r="H8" s="108">
        <v>503.58033333333333</v>
      </c>
      <c r="I8" s="108">
        <v>461.6213333333335</v>
      </c>
      <c r="J8" s="108">
        <v>345.36133333333333</v>
      </c>
      <c r="K8" s="108">
        <v>403.03266666666667</v>
      </c>
      <c r="L8" s="108">
        <v>207.97100000000003</v>
      </c>
      <c r="M8" s="108">
        <v>150.51683333333335</v>
      </c>
      <c r="N8" s="108">
        <v>181.7885</v>
      </c>
      <c r="O8" s="108">
        <v>187.05466666666666</v>
      </c>
      <c r="P8" s="108">
        <v>200.02200000000002</v>
      </c>
      <c r="Q8" s="108">
        <v>200.48366666666666</v>
      </c>
      <c r="R8" s="108">
        <v>104.63516666666665</v>
      </c>
      <c r="S8" s="108">
        <v>108.93516666666669</v>
      </c>
      <c r="T8" s="108">
        <v>136.38316666666665</v>
      </c>
      <c r="U8" s="108">
        <v>171.52766666666662</v>
      </c>
      <c r="V8" s="108">
        <v>501.60383333333328</v>
      </c>
      <c r="W8" s="108">
        <v>188.55900000000005</v>
      </c>
      <c r="X8" s="108">
        <v>155.35649999999998</v>
      </c>
      <c r="Y8" s="108">
        <v>442.68099999999998</v>
      </c>
      <c r="Z8" s="108">
        <v>479.53616666666653</v>
      </c>
      <c r="AA8" s="108">
        <v>261.46283333333332</v>
      </c>
      <c r="AB8" s="108">
        <v>302.95949999999993</v>
      </c>
      <c r="AC8" s="108">
        <v>332.94066666666657</v>
      </c>
      <c r="AD8" s="108">
        <v>295.00616666666673</v>
      </c>
      <c r="AE8" s="108">
        <v>258.44249999999994</v>
      </c>
      <c r="AF8" s="108">
        <v>254.41633333333337</v>
      </c>
      <c r="AG8" s="108">
        <v>508.0893333333334</v>
      </c>
      <c r="AH8" s="108">
        <v>337.80366666666663</v>
      </c>
      <c r="AI8" s="108">
        <v>211.69383333333337</v>
      </c>
      <c r="AJ8" s="108">
        <v>294.40583333333342</v>
      </c>
      <c r="AK8" s="108">
        <v>416.0836666666666</v>
      </c>
      <c r="AL8" s="108">
        <v>507.03400000000005</v>
      </c>
      <c r="AM8" s="108">
        <v>280.36799999999999</v>
      </c>
      <c r="AN8" s="108">
        <v>575.45666666666659</v>
      </c>
      <c r="AO8" s="108">
        <v>529.66650000000016</v>
      </c>
      <c r="AP8" s="108">
        <v>474.1396666666667</v>
      </c>
      <c r="AQ8" s="108">
        <v>516.11333333333334</v>
      </c>
      <c r="AR8" s="108">
        <v>208.44433333333333</v>
      </c>
      <c r="AS8" s="108">
        <v>343.64649999999989</v>
      </c>
      <c r="AT8" s="108">
        <v>340.83483333333328</v>
      </c>
      <c r="AU8" s="108">
        <v>540.7648333333334</v>
      </c>
      <c r="AV8" s="108">
        <v>489.99616666666662</v>
      </c>
      <c r="AW8" s="108">
        <f t="shared" si="1"/>
        <v>14.965017499999998</v>
      </c>
    </row>
    <row r="9" spans="1:51">
      <c r="A9" s="149">
        <v>45751</v>
      </c>
      <c r="B9" s="150">
        <f>YEAR(Table7[[#This Row],[Date]])+IF(MONTH(Table7[[#This Row],[Date]])&gt;=4,1,0)</f>
        <v>2026</v>
      </c>
      <c r="C9" s="151">
        <f>YEAR(Table7[[#This Row],[Date]])</f>
        <v>2025</v>
      </c>
      <c r="D9" s="152">
        <f>Daily_KPI[[#This Row],[Date]]-DAY(Daily_KPI[[#This Row],[Date]])+1</f>
        <v>45748</v>
      </c>
      <c r="E9" s="108">
        <v>489.21983333333333</v>
      </c>
      <c r="F9" s="108">
        <v>529.73749999999984</v>
      </c>
      <c r="G9" s="108">
        <v>586.28533333333314</v>
      </c>
      <c r="H9" s="108">
        <v>564.45533333333321</v>
      </c>
      <c r="I9" s="108">
        <v>625.91166666666652</v>
      </c>
      <c r="J9" s="108">
        <v>482.95700000000011</v>
      </c>
      <c r="K9" s="108">
        <v>493.73300000000012</v>
      </c>
      <c r="L9" s="108">
        <v>420.31900000000002</v>
      </c>
      <c r="M9" s="108">
        <v>304.20099999999996</v>
      </c>
      <c r="N9" s="108">
        <v>337.34783333333331</v>
      </c>
      <c r="O9" s="108">
        <v>339.14550000000014</v>
      </c>
      <c r="P9" s="108">
        <v>342.33316666666656</v>
      </c>
      <c r="Q9" s="108">
        <v>405.76333333333326</v>
      </c>
      <c r="R9" s="108">
        <v>248.77766666666665</v>
      </c>
      <c r="S9" s="108">
        <v>127.59916666666665</v>
      </c>
      <c r="T9" s="108">
        <v>165.78183333333337</v>
      </c>
      <c r="U9" s="108">
        <v>220.4193333333333</v>
      </c>
      <c r="V9" s="108">
        <v>603.6431666666665</v>
      </c>
      <c r="W9" s="108">
        <v>226.83883333333335</v>
      </c>
      <c r="X9" s="108">
        <v>168.49550000000002</v>
      </c>
      <c r="Y9" s="108">
        <v>568.77800000000013</v>
      </c>
      <c r="Z9" s="108">
        <v>634.63150000000007</v>
      </c>
      <c r="AA9" s="108">
        <v>525.7253333333332</v>
      </c>
      <c r="AB9" s="108">
        <v>483.54216666666662</v>
      </c>
      <c r="AC9" s="108">
        <v>568.7924999999999</v>
      </c>
      <c r="AD9" s="108">
        <v>523.55133333333322</v>
      </c>
      <c r="AE9" s="108">
        <v>651.12483333333319</v>
      </c>
      <c r="AF9" s="108">
        <v>412.34633333333335</v>
      </c>
      <c r="AG9" s="108">
        <v>520.44633333333343</v>
      </c>
      <c r="AH9" s="108">
        <v>601.5575</v>
      </c>
      <c r="AI9" s="108">
        <v>226.29149999999996</v>
      </c>
      <c r="AJ9" s="108">
        <v>285.08566666666667</v>
      </c>
      <c r="AK9" s="108">
        <v>566.72899999999993</v>
      </c>
      <c r="AL9" s="108">
        <v>526.55583333333323</v>
      </c>
      <c r="AM9" s="108">
        <v>529.30600000000015</v>
      </c>
      <c r="AN9" s="108">
        <v>875.84800000000007</v>
      </c>
      <c r="AO9" s="108">
        <v>732.82683333333352</v>
      </c>
      <c r="AP9" s="108">
        <v>601.30433333333315</v>
      </c>
      <c r="AQ9" s="108">
        <v>561.92750000000012</v>
      </c>
      <c r="AR9" s="108">
        <v>282.43500000000006</v>
      </c>
      <c r="AS9" s="108">
        <v>496.27299999999991</v>
      </c>
      <c r="AT9" s="108">
        <v>574.69100000000014</v>
      </c>
      <c r="AU9" s="108">
        <v>638.17766666666682</v>
      </c>
      <c r="AV9" s="108">
        <v>607.9771666666669</v>
      </c>
      <c r="AW9" s="108">
        <f t="shared" si="1"/>
        <v>20.678889333333338</v>
      </c>
    </row>
    <row r="10" spans="1:51">
      <c r="A10" s="145">
        <v>45752</v>
      </c>
      <c r="B10" s="146">
        <f>YEAR(Table7[[#This Row],[Date]])+IF(MONTH(Table7[[#This Row],[Date]])&gt;=4,1,0)</f>
        <v>2026</v>
      </c>
      <c r="C10" s="147">
        <f>YEAR(Table7[[#This Row],[Date]])</f>
        <v>2025</v>
      </c>
      <c r="D10" s="148">
        <f>Daily_KPI[[#This Row],[Date]]-DAY(Daily_KPI[[#This Row],[Date]])+1</f>
        <v>45748</v>
      </c>
      <c r="E10" s="108">
        <f>E9/6</f>
        <v>81.536638888888888</v>
      </c>
      <c r="F10" s="108">
        <f t="shared" ref="F10:AV11" si="2">F9/6</f>
        <v>88.289583333333312</v>
      </c>
      <c r="G10" s="108">
        <f t="shared" si="2"/>
        <v>97.71422222222219</v>
      </c>
      <c r="H10" s="108">
        <f t="shared" si="2"/>
        <v>94.075888888888869</v>
      </c>
      <c r="I10" s="108">
        <f t="shared" si="2"/>
        <v>104.31861111111108</v>
      </c>
      <c r="J10" s="108">
        <f t="shared" si="2"/>
        <v>80.492833333333351</v>
      </c>
      <c r="K10" s="108">
        <f t="shared" si="2"/>
        <v>82.288833333333358</v>
      </c>
      <c r="L10" s="108">
        <f t="shared" si="2"/>
        <v>70.053166666666669</v>
      </c>
      <c r="M10" s="108">
        <f t="shared" si="2"/>
        <v>50.700166666666661</v>
      </c>
      <c r="N10" s="108">
        <f t="shared" si="2"/>
        <v>56.224638888888883</v>
      </c>
      <c r="O10" s="108">
        <f t="shared" si="2"/>
        <v>56.524250000000023</v>
      </c>
      <c r="P10" s="108">
        <f t="shared" si="2"/>
        <v>57.055527777777762</v>
      </c>
      <c r="Q10" s="108">
        <f t="shared" si="2"/>
        <v>67.627222222222215</v>
      </c>
      <c r="R10" s="108">
        <f t="shared" si="2"/>
        <v>41.462944444444439</v>
      </c>
      <c r="S10" s="108">
        <f t="shared" si="2"/>
        <v>21.266527777777775</v>
      </c>
      <c r="T10" s="108">
        <f t="shared" si="2"/>
        <v>27.630305555555562</v>
      </c>
      <c r="U10" s="108">
        <f t="shared" si="2"/>
        <v>36.736555555555547</v>
      </c>
      <c r="V10" s="108">
        <f t="shared" si="2"/>
        <v>100.60719444444442</v>
      </c>
      <c r="W10" s="108">
        <f t="shared" si="2"/>
        <v>37.806472222222226</v>
      </c>
      <c r="X10" s="108">
        <f t="shared" si="2"/>
        <v>28.082583333333336</v>
      </c>
      <c r="Y10" s="108">
        <f t="shared" si="2"/>
        <v>94.796333333333351</v>
      </c>
      <c r="Z10" s="108">
        <f t="shared" si="2"/>
        <v>105.77191666666668</v>
      </c>
      <c r="AA10" s="108">
        <f t="shared" si="2"/>
        <v>87.620888888888871</v>
      </c>
      <c r="AB10" s="108">
        <f t="shared" si="2"/>
        <v>80.590361111111108</v>
      </c>
      <c r="AC10" s="108">
        <f t="shared" si="2"/>
        <v>94.798749999999984</v>
      </c>
      <c r="AD10" s="108">
        <f t="shared" si="2"/>
        <v>87.258555555555532</v>
      </c>
      <c r="AE10" s="108">
        <f t="shared" si="2"/>
        <v>108.52080555555553</v>
      </c>
      <c r="AF10" s="108">
        <f t="shared" si="2"/>
        <v>68.724388888888896</v>
      </c>
      <c r="AG10" s="108">
        <f t="shared" si="2"/>
        <v>86.741055555555576</v>
      </c>
      <c r="AH10" s="108">
        <f t="shared" si="2"/>
        <v>100.25958333333334</v>
      </c>
      <c r="AI10" s="108">
        <f t="shared" si="2"/>
        <v>37.71524999999999</v>
      </c>
      <c r="AJ10" s="108">
        <f t="shared" si="2"/>
        <v>47.514277777777778</v>
      </c>
      <c r="AK10" s="108">
        <f t="shared" si="2"/>
        <v>94.454833333333326</v>
      </c>
      <c r="AL10" s="108">
        <f t="shared" si="2"/>
        <v>87.759305555555542</v>
      </c>
      <c r="AM10" s="108">
        <f t="shared" si="2"/>
        <v>88.217666666666688</v>
      </c>
      <c r="AN10" s="108">
        <f t="shared" si="2"/>
        <v>145.97466666666668</v>
      </c>
      <c r="AO10" s="108">
        <f t="shared" si="2"/>
        <v>122.13780555555559</v>
      </c>
      <c r="AP10" s="108">
        <f t="shared" si="2"/>
        <v>100.21738888888886</v>
      </c>
      <c r="AQ10" s="108">
        <f t="shared" si="2"/>
        <v>93.654583333333349</v>
      </c>
      <c r="AR10" s="108">
        <f t="shared" si="2"/>
        <v>47.072500000000012</v>
      </c>
      <c r="AS10" s="108">
        <f t="shared" si="2"/>
        <v>82.712166666666647</v>
      </c>
      <c r="AT10" s="108">
        <f t="shared" si="2"/>
        <v>95.781833333333353</v>
      </c>
      <c r="AU10" s="108">
        <f t="shared" si="2"/>
        <v>106.36294444444447</v>
      </c>
      <c r="AV10" s="108">
        <f t="shared" si="2"/>
        <v>101.32952777777781</v>
      </c>
      <c r="AW10" s="108">
        <f t="shared" si="1"/>
        <v>3.4464815555555566</v>
      </c>
    </row>
    <row r="11" spans="1:51">
      <c r="A11" s="149">
        <v>45753</v>
      </c>
      <c r="B11" s="150">
        <f>YEAR(Table7[[#This Row],[Date]])+IF(MONTH(Table7[[#This Row],[Date]])&gt;=4,1,0)</f>
        <v>2026</v>
      </c>
      <c r="C11" s="151">
        <f>YEAR(Table7[[#This Row],[Date]])</f>
        <v>2025</v>
      </c>
      <c r="D11" s="152">
        <f>Daily_KPI[[#This Row],[Date]]-DAY(Daily_KPI[[#This Row],[Date]])+1</f>
        <v>45748</v>
      </c>
      <c r="E11" s="108">
        <f>E10/6</f>
        <v>13.589439814814815</v>
      </c>
      <c r="F11" s="108">
        <f t="shared" si="2"/>
        <v>14.714930555555553</v>
      </c>
      <c r="G11" s="108">
        <f t="shared" si="2"/>
        <v>16.2857037037037</v>
      </c>
      <c r="H11" s="108">
        <f t="shared" si="2"/>
        <v>15.679314814814811</v>
      </c>
      <c r="I11" s="108">
        <f t="shared" si="2"/>
        <v>17.386435185185181</v>
      </c>
      <c r="J11" s="108">
        <f t="shared" si="2"/>
        <v>13.415472222222226</v>
      </c>
      <c r="K11" s="108">
        <f t="shared" si="2"/>
        <v>13.714805555555559</v>
      </c>
      <c r="L11" s="108">
        <f t="shared" si="2"/>
        <v>11.675527777777779</v>
      </c>
      <c r="M11" s="108">
        <f t="shared" si="2"/>
        <v>8.4500277777777768</v>
      </c>
      <c r="N11" s="108">
        <f t="shared" si="2"/>
        <v>9.3707731481481478</v>
      </c>
      <c r="O11" s="108">
        <f t="shared" si="2"/>
        <v>9.4207083333333372</v>
      </c>
      <c r="P11" s="108">
        <f t="shared" si="2"/>
        <v>9.509254629629627</v>
      </c>
      <c r="Q11" s="108">
        <f t="shared" si="2"/>
        <v>11.271203703703703</v>
      </c>
      <c r="R11" s="108">
        <f t="shared" si="2"/>
        <v>6.9104907407407401</v>
      </c>
      <c r="S11" s="108">
        <f t="shared" si="2"/>
        <v>3.5444212962962958</v>
      </c>
      <c r="T11" s="108">
        <f t="shared" si="2"/>
        <v>4.6050509259259274</v>
      </c>
      <c r="U11" s="108">
        <f t="shared" si="2"/>
        <v>6.1227592592592579</v>
      </c>
      <c r="V11" s="108">
        <f t="shared" si="2"/>
        <v>16.767865740740735</v>
      </c>
      <c r="W11" s="108">
        <f t="shared" si="2"/>
        <v>6.3010787037037046</v>
      </c>
      <c r="X11" s="108">
        <f t="shared" si="2"/>
        <v>4.6804305555555556</v>
      </c>
      <c r="Y11" s="108">
        <f t="shared" si="2"/>
        <v>15.799388888888892</v>
      </c>
      <c r="Z11" s="108">
        <f t="shared" si="2"/>
        <v>17.628652777777781</v>
      </c>
      <c r="AA11" s="108">
        <f t="shared" si="2"/>
        <v>14.603481481481479</v>
      </c>
      <c r="AB11" s="108">
        <f t="shared" si="2"/>
        <v>13.431726851851851</v>
      </c>
      <c r="AC11" s="108">
        <f t="shared" si="2"/>
        <v>15.799791666666664</v>
      </c>
      <c r="AD11" s="108">
        <f t="shared" si="2"/>
        <v>14.543092592592588</v>
      </c>
      <c r="AE11" s="108">
        <f t="shared" si="2"/>
        <v>18.086800925925921</v>
      </c>
      <c r="AF11" s="108">
        <f t="shared" si="2"/>
        <v>11.454064814814815</v>
      </c>
      <c r="AG11" s="108">
        <f t="shared" si="2"/>
        <v>14.456842592592595</v>
      </c>
      <c r="AH11" s="108">
        <f t="shared" si="2"/>
        <v>16.709930555555555</v>
      </c>
      <c r="AI11" s="108">
        <f t="shared" si="2"/>
        <v>6.2858749999999981</v>
      </c>
      <c r="AJ11" s="108">
        <f t="shared" si="2"/>
        <v>7.9190462962962966</v>
      </c>
      <c r="AK11" s="108">
        <f t="shared" si="2"/>
        <v>15.74247222222222</v>
      </c>
      <c r="AL11" s="108">
        <f t="shared" si="2"/>
        <v>14.626550925925924</v>
      </c>
      <c r="AM11" s="108">
        <f t="shared" si="2"/>
        <v>14.702944444444448</v>
      </c>
      <c r="AN11" s="108">
        <f t="shared" si="2"/>
        <v>24.329111111111114</v>
      </c>
      <c r="AO11" s="108">
        <f t="shared" si="2"/>
        <v>20.356300925925932</v>
      </c>
      <c r="AP11" s="108">
        <f t="shared" si="2"/>
        <v>16.702898148148144</v>
      </c>
      <c r="AQ11" s="108">
        <f t="shared" si="2"/>
        <v>15.609097222222225</v>
      </c>
      <c r="AR11" s="108">
        <f t="shared" si="2"/>
        <v>7.8454166666666687</v>
      </c>
      <c r="AS11" s="108">
        <f t="shared" si="2"/>
        <v>13.785361111111108</v>
      </c>
      <c r="AT11" s="108">
        <f t="shared" si="2"/>
        <v>15.963638888888893</v>
      </c>
      <c r="AU11" s="108">
        <f t="shared" si="2"/>
        <v>17.727157407407411</v>
      </c>
      <c r="AV11" s="108">
        <f t="shared" si="2"/>
        <v>16.888254629629635</v>
      </c>
      <c r="AW11" s="108">
        <f t="shared" si="1"/>
        <v>0.57441359259259239</v>
      </c>
    </row>
    <row r="12" spans="1:51">
      <c r="A12" s="145">
        <v>45754</v>
      </c>
      <c r="B12" s="146">
        <f>YEAR(Table7[[#This Row],[Date]])+IF(MONTH(Table7[[#This Row],[Date]])&gt;=4,1,0)</f>
        <v>2026</v>
      </c>
      <c r="C12" s="147">
        <f>YEAR(Table7[[#This Row],[Date]])</f>
        <v>2025</v>
      </c>
      <c r="D12" s="148">
        <f>Daily_KPI[[#This Row],[Date]]-DAY(Daily_KPI[[#This Row],[Date]])+1</f>
        <v>45748</v>
      </c>
      <c r="E12">
        <v>766.14049999999997</v>
      </c>
      <c r="F12">
        <v>953.84799999999984</v>
      </c>
      <c r="G12">
        <v>977.17349999999954</v>
      </c>
      <c r="H12">
        <v>218.83499999999992</v>
      </c>
      <c r="I12">
        <v>402.01649999999989</v>
      </c>
      <c r="J12">
        <v>71.012166666666673</v>
      </c>
      <c r="K12">
        <v>604.976</v>
      </c>
      <c r="L12">
        <v>210.81733333333329</v>
      </c>
      <c r="M12">
        <v>141.71666666666667</v>
      </c>
      <c r="N12">
        <v>174.92416666666668</v>
      </c>
      <c r="O12">
        <v>186.09183333333337</v>
      </c>
      <c r="P12">
        <v>246.55566666666655</v>
      </c>
      <c r="Q12">
        <v>260.53416666666664</v>
      </c>
      <c r="R12">
        <v>296.49949999999995</v>
      </c>
      <c r="S12">
        <v>275.00816666666668</v>
      </c>
      <c r="T12">
        <v>312.46183333333323</v>
      </c>
      <c r="U12">
        <v>322.50433333333342</v>
      </c>
      <c r="V12">
        <v>792.70533333333378</v>
      </c>
      <c r="W12">
        <v>383.83099999999996</v>
      </c>
      <c r="X12">
        <v>333.24433333333315</v>
      </c>
      <c r="Y12">
        <v>639.38016666666647</v>
      </c>
      <c r="Z12">
        <v>759.67183333333332</v>
      </c>
      <c r="AA12">
        <v>376.4815000000001</v>
      </c>
      <c r="AB12">
        <v>391.31650000000008</v>
      </c>
      <c r="AC12">
        <v>447.51583333333343</v>
      </c>
      <c r="AD12">
        <v>418.6393333333333</v>
      </c>
      <c r="AE12">
        <v>1054.5429999999994</v>
      </c>
      <c r="AF12">
        <v>442.23983333333376</v>
      </c>
      <c r="AG12">
        <v>651.26766666666674</v>
      </c>
      <c r="AH12">
        <v>600.4276666666666</v>
      </c>
      <c r="AI12">
        <v>346.38700000000017</v>
      </c>
      <c r="AJ12">
        <v>90.393666666666718</v>
      </c>
      <c r="AK12">
        <v>89.726666666666674</v>
      </c>
      <c r="AL12">
        <v>177.17133333333334</v>
      </c>
      <c r="AM12">
        <v>437.77816666666666</v>
      </c>
      <c r="AN12">
        <v>159.26133333333328</v>
      </c>
      <c r="AO12">
        <v>154.84283333333332</v>
      </c>
      <c r="AP12">
        <v>141.25000000000003</v>
      </c>
      <c r="AQ12">
        <v>134.81899999999999</v>
      </c>
      <c r="AR12">
        <v>511.16666666666697</v>
      </c>
      <c r="AS12">
        <v>768.8696666666666</v>
      </c>
      <c r="AT12">
        <v>804.64499999999953</v>
      </c>
      <c r="AU12">
        <v>819.69783333333316</v>
      </c>
      <c r="AV12">
        <v>661.00783333333322</v>
      </c>
      <c r="AW12" s="108">
        <f t="shared" si="1"/>
        <v>19.009396333333331</v>
      </c>
    </row>
    <row r="13" spans="1:51">
      <c r="A13" s="149">
        <v>45755</v>
      </c>
      <c r="B13" s="150">
        <f>YEAR(Table7[[#This Row],[Date]])+IF(MONTH(Table7[[#This Row],[Date]])&gt;=4,1,0)</f>
        <v>2026</v>
      </c>
      <c r="C13" s="151">
        <f>YEAR(Table7[[#This Row],[Date]])</f>
        <v>2025</v>
      </c>
      <c r="D13" s="152">
        <f>Daily_KPI[[#This Row],[Date]]-DAY(Daily_KPI[[#This Row],[Date]])+1</f>
        <v>45748</v>
      </c>
      <c r="E13" s="108">
        <v>322.8391666666667</v>
      </c>
      <c r="F13" s="108">
        <v>282.56150000000002</v>
      </c>
      <c r="G13" s="108">
        <v>252.75050000000007</v>
      </c>
      <c r="H13" s="108">
        <v>166.80333333333328</v>
      </c>
      <c r="I13" s="108">
        <v>257.20933333333335</v>
      </c>
      <c r="J13" s="108">
        <v>246.51150000000004</v>
      </c>
      <c r="K13" s="108">
        <v>265.04050000000001</v>
      </c>
      <c r="L13" s="108">
        <v>123.12366666666664</v>
      </c>
      <c r="M13" s="108">
        <v>67.971666666666664</v>
      </c>
      <c r="N13" s="108">
        <v>70.810833333333335</v>
      </c>
      <c r="O13" s="108">
        <v>76.451833333333354</v>
      </c>
      <c r="P13" s="108">
        <v>98.839499999999973</v>
      </c>
      <c r="Q13" s="108">
        <v>112.11149999999999</v>
      </c>
      <c r="R13" s="108">
        <v>103.00650000000002</v>
      </c>
      <c r="S13" s="108">
        <v>76.223833333333332</v>
      </c>
      <c r="T13" s="108">
        <v>78.028166666666678</v>
      </c>
      <c r="U13" s="108">
        <v>96.809666666666658</v>
      </c>
      <c r="V13" s="108">
        <v>267.80800000000005</v>
      </c>
      <c r="W13" s="108">
        <v>148.2381666666667</v>
      </c>
      <c r="X13" s="108">
        <v>104.99216666666666</v>
      </c>
      <c r="Y13" s="108">
        <v>228.0206666666667</v>
      </c>
      <c r="Z13" s="108">
        <v>243.11933333333334</v>
      </c>
      <c r="AA13" s="108">
        <v>164.64466666666667</v>
      </c>
      <c r="AB13" s="108">
        <v>150.21366666666665</v>
      </c>
      <c r="AC13" s="108">
        <v>183.56449999999995</v>
      </c>
      <c r="AD13" s="108">
        <v>187.91683333333336</v>
      </c>
      <c r="AE13" s="108">
        <v>132.58000000000004</v>
      </c>
      <c r="AF13" s="108">
        <v>77.80383333333333</v>
      </c>
      <c r="AG13" s="108">
        <v>116.6928333333333</v>
      </c>
      <c r="AH13" s="108">
        <v>184.89133333333334</v>
      </c>
      <c r="AI13" s="108">
        <v>99.638999999999967</v>
      </c>
      <c r="AJ13" s="108">
        <v>161.64483333333337</v>
      </c>
      <c r="AK13" s="108">
        <v>336.34900000000016</v>
      </c>
      <c r="AL13" s="108">
        <v>255.30233333333328</v>
      </c>
      <c r="AM13" s="108">
        <v>147.05750000000003</v>
      </c>
      <c r="AN13" s="108">
        <v>329.40500000000003</v>
      </c>
      <c r="AO13" s="108">
        <v>242.273</v>
      </c>
      <c r="AP13" s="108">
        <v>196.09133333333332</v>
      </c>
      <c r="AQ13" s="108">
        <v>234.42483333333337</v>
      </c>
      <c r="AR13" s="108">
        <v>79.887166666666673</v>
      </c>
      <c r="AS13" s="108">
        <v>143.55650000000003</v>
      </c>
      <c r="AT13" s="108">
        <v>193.26566666666665</v>
      </c>
      <c r="AU13" s="108">
        <v>393.99050000000005</v>
      </c>
      <c r="AV13" s="108">
        <v>279.16166666666669</v>
      </c>
      <c r="AW13" s="108">
        <f t="shared" si="1"/>
        <v>7.9796273333333341</v>
      </c>
    </row>
    <row r="14" spans="1:51">
      <c r="A14" s="145">
        <v>45756</v>
      </c>
      <c r="B14" s="146">
        <f>YEAR(Table7[[#This Row],[Date]])+IF(MONTH(Table7[[#This Row],[Date]])&gt;=4,1,0)</f>
        <v>2026</v>
      </c>
      <c r="C14" s="147">
        <f>YEAR(Table7[[#This Row],[Date]])</f>
        <v>2025</v>
      </c>
      <c r="D14" s="148">
        <f>Daily_KPI[[#This Row],[Date]]-DAY(Daily_KPI[[#This Row],[Date]])+1</f>
        <v>45748</v>
      </c>
      <c r="E14" s="108">
        <v>849.81333333333339</v>
      </c>
      <c r="F14" s="108">
        <v>757.32833333333326</v>
      </c>
      <c r="G14" s="108">
        <v>541.27783333333332</v>
      </c>
      <c r="H14" s="108">
        <v>580.88900000000024</v>
      </c>
      <c r="I14" s="108">
        <v>604.33966666666663</v>
      </c>
      <c r="J14" s="108">
        <v>594.16600000000017</v>
      </c>
      <c r="K14" s="108">
        <v>774.0386666666667</v>
      </c>
      <c r="L14" s="108">
        <v>311.0168333333333</v>
      </c>
      <c r="M14" s="108">
        <v>198.26933333333332</v>
      </c>
      <c r="N14" s="108">
        <v>243.04483333333334</v>
      </c>
      <c r="O14" s="108">
        <v>297.57750000000004</v>
      </c>
      <c r="P14" s="108">
        <v>330.31183333333331</v>
      </c>
      <c r="Q14" s="108">
        <v>350.69266666666658</v>
      </c>
      <c r="R14" s="108">
        <v>375.04050000000007</v>
      </c>
      <c r="S14" s="108">
        <v>349.04633333333328</v>
      </c>
      <c r="T14" s="108">
        <v>423.08133333333325</v>
      </c>
      <c r="U14" s="108">
        <v>449.911</v>
      </c>
      <c r="V14" s="108">
        <v>432.83116666666666</v>
      </c>
      <c r="W14" s="108">
        <v>448.44533333333339</v>
      </c>
      <c r="X14" s="108">
        <v>405.45199999999994</v>
      </c>
      <c r="Y14" s="108">
        <v>557.95066666666685</v>
      </c>
      <c r="Z14" s="108">
        <v>439.6465</v>
      </c>
      <c r="AA14" s="108">
        <v>333.30116666666669</v>
      </c>
      <c r="AB14" s="108">
        <v>417.11750000000012</v>
      </c>
      <c r="AC14" s="108">
        <v>413.44100000000003</v>
      </c>
      <c r="AD14" s="108">
        <v>417.84700000000004</v>
      </c>
      <c r="AE14" s="108">
        <v>443.93766666666653</v>
      </c>
      <c r="AF14" s="108">
        <v>322.28466666666674</v>
      </c>
      <c r="AG14" s="108">
        <v>606.30700000000013</v>
      </c>
      <c r="AH14" s="108">
        <v>417.10000000000014</v>
      </c>
      <c r="AI14" s="108">
        <v>453.23900000000003</v>
      </c>
      <c r="AJ14" s="108">
        <v>418.29533333333325</v>
      </c>
      <c r="AK14" s="108">
        <v>210.5095</v>
      </c>
      <c r="AL14" s="108">
        <v>615.09033333333309</v>
      </c>
      <c r="AM14" s="108">
        <v>383.08750000000009</v>
      </c>
      <c r="AN14" s="108">
        <v>636.40049999999997</v>
      </c>
      <c r="AO14" s="108">
        <v>360.67350000000005</v>
      </c>
      <c r="AP14" s="108">
        <v>419.1400000000001</v>
      </c>
      <c r="AQ14" s="108">
        <v>374.59400000000005</v>
      </c>
      <c r="AR14" s="108">
        <v>411.09216666666686</v>
      </c>
      <c r="AS14" s="108">
        <v>438.69350000000003</v>
      </c>
      <c r="AT14" s="108">
        <v>458.01366666666672</v>
      </c>
      <c r="AU14" s="108">
        <v>801.50849999999991</v>
      </c>
      <c r="AV14" s="108">
        <v>850.62099999999975</v>
      </c>
      <c r="AW14" s="108">
        <f t="shared" si="1"/>
        <v>20.51646516666667</v>
      </c>
    </row>
    <row r="15" spans="1:51">
      <c r="A15" s="149">
        <v>45757</v>
      </c>
      <c r="B15" s="150">
        <f>YEAR(Table7[[#This Row],[Date]])+IF(MONTH(Table7[[#This Row],[Date]])&gt;=4,1,0)</f>
        <v>2026</v>
      </c>
      <c r="C15" s="151">
        <f>YEAR(Table7[[#This Row],[Date]])</f>
        <v>2025</v>
      </c>
      <c r="D15" s="152">
        <f>Daily_KPI[[#This Row],[Date]]-DAY(Daily_KPI[[#This Row],[Date]])+1</f>
        <v>45748</v>
      </c>
      <c r="E15" s="108">
        <v>2114.2596666666664</v>
      </c>
      <c r="F15" s="108">
        <v>2469.970666666668</v>
      </c>
      <c r="G15" s="108">
        <v>1278.5826666666669</v>
      </c>
      <c r="H15" s="108">
        <v>1552.1751666666667</v>
      </c>
      <c r="I15" s="108">
        <v>1427.267000000001</v>
      </c>
      <c r="J15" s="108">
        <v>1568.134</v>
      </c>
      <c r="K15" s="108">
        <v>2346.9181666666664</v>
      </c>
      <c r="L15" s="108">
        <v>728.84650000000011</v>
      </c>
      <c r="M15" s="108">
        <v>402.85616666666675</v>
      </c>
      <c r="N15" s="108">
        <v>420.00799999999998</v>
      </c>
      <c r="O15" s="108">
        <v>566.89983333333328</v>
      </c>
      <c r="P15" s="108">
        <v>723.70400000000006</v>
      </c>
      <c r="Q15" s="108">
        <v>929.53633333333346</v>
      </c>
      <c r="R15" s="108">
        <v>888.34099999999978</v>
      </c>
      <c r="S15" s="108">
        <v>867.80316666666624</v>
      </c>
      <c r="T15" s="108">
        <v>904.2080000000002</v>
      </c>
      <c r="U15" s="108">
        <v>996.64083333333292</v>
      </c>
      <c r="V15" s="108">
        <v>1871.2138333333323</v>
      </c>
      <c r="W15" s="108">
        <v>1019.6708333333328</v>
      </c>
      <c r="X15" s="108">
        <v>845.13083333333361</v>
      </c>
      <c r="Y15" s="108">
        <v>1368.2078333333336</v>
      </c>
      <c r="Z15" s="108">
        <v>1056.7384999999999</v>
      </c>
      <c r="AA15" s="108">
        <v>755.37483333333319</v>
      </c>
      <c r="AB15" s="108">
        <v>867.16549999999961</v>
      </c>
      <c r="AC15" s="108">
        <v>879.73850000000004</v>
      </c>
      <c r="AD15" s="108">
        <v>821.77566666666689</v>
      </c>
      <c r="AE15" s="108">
        <v>851.95533333333333</v>
      </c>
      <c r="AF15" s="108">
        <v>271.60583333333329</v>
      </c>
      <c r="AG15" s="108">
        <v>1519.341999999999</v>
      </c>
      <c r="AH15" s="108">
        <v>392.44033333333351</v>
      </c>
      <c r="AI15" s="108">
        <v>960.69450000000006</v>
      </c>
      <c r="AJ15" s="108">
        <v>859.52383333333307</v>
      </c>
      <c r="AK15" s="108">
        <v>1392.5213333333331</v>
      </c>
      <c r="AL15" s="108">
        <v>1716.1448333333335</v>
      </c>
      <c r="AM15" s="108">
        <v>730.84516666666684</v>
      </c>
      <c r="AN15" s="108">
        <v>1851.0556666666662</v>
      </c>
      <c r="AO15" s="108">
        <v>1830.6424999999992</v>
      </c>
      <c r="AP15" s="108">
        <v>1329.8320000000001</v>
      </c>
      <c r="AQ15" s="108">
        <v>1792.7840000000006</v>
      </c>
      <c r="AR15" s="108">
        <v>527.92383333333328</v>
      </c>
      <c r="AS15" s="108">
        <v>565.9291666666694</v>
      </c>
      <c r="AT15" s="108">
        <v>627.12400000000025</v>
      </c>
      <c r="AU15" s="108">
        <v>2215.0409999999997</v>
      </c>
      <c r="AV15" s="108">
        <v>2454.9790000000003</v>
      </c>
      <c r="AW15" s="108">
        <f t="shared" si="1"/>
        <v>51.561551833333333</v>
      </c>
    </row>
    <row r="16" spans="1:51">
      <c r="A16" s="145">
        <v>45758</v>
      </c>
      <c r="B16" s="146">
        <f>YEAR(Table7[[#This Row],[Date]])+IF(MONTH(Table7[[#This Row],[Date]])&gt;=4,1,0)</f>
        <v>2026</v>
      </c>
      <c r="C16" s="147">
        <f>YEAR(Table7[[#This Row],[Date]])</f>
        <v>2025</v>
      </c>
      <c r="D16" s="148">
        <f>Daily_KPI[[#This Row],[Date]]-DAY(Daily_KPI[[#This Row],[Date]])+1</f>
        <v>45748</v>
      </c>
      <c r="E16" s="108">
        <v>1608.4338333333335</v>
      </c>
      <c r="F16" s="108">
        <v>1381.5393333333338</v>
      </c>
      <c r="G16" s="108">
        <v>1246.4048333333328</v>
      </c>
      <c r="H16" s="108">
        <v>1233.9241666666665</v>
      </c>
      <c r="I16" s="108">
        <v>1655.1191666666671</v>
      </c>
      <c r="J16" s="108">
        <v>1243.6768333333334</v>
      </c>
      <c r="K16" s="108">
        <v>874.83449999999993</v>
      </c>
      <c r="L16" s="108">
        <v>713.35233333333326</v>
      </c>
      <c r="M16" s="108">
        <v>510.96516666666656</v>
      </c>
      <c r="N16" s="108">
        <v>649.73183333333361</v>
      </c>
      <c r="O16" s="108">
        <v>750.99716666666643</v>
      </c>
      <c r="P16" s="108">
        <v>898.92699999999979</v>
      </c>
      <c r="Q16" s="108">
        <v>895.58816666666678</v>
      </c>
      <c r="R16" s="108">
        <v>908.6788333333335</v>
      </c>
      <c r="S16" s="108">
        <v>877.13233333333335</v>
      </c>
      <c r="T16" s="108">
        <v>1011.4341666666664</v>
      </c>
      <c r="U16" s="108">
        <v>1175.6393333333328</v>
      </c>
      <c r="V16" s="108">
        <v>1520.166833333333</v>
      </c>
      <c r="W16" s="108">
        <v>1085.9738333333335</v>
      </c>
      <c r="X16" s="108">
        <v>949.40333333333331</v>
      </c>
      <c r="Y16" s="108">
        <v>1250.7088333333329</v>
      </c>
      <c r="Z16" s="108">
        <v>1258.6676666666665</v>
      </c>
      <c r="AA16" s="108">
        <v>974.65033333333349</v>
      </c>
      <c r="AB16" s="108">
        <v>1072.6844999999998</v>
      </c>
      <c r="AC16" s="108">
        <v>1146.3010000000002</v>
      </c>
      <c r="AD16" s="108">
        <v>1054.3840000000002</v>
      </c>
      <c r="AE16" s="108">
        <v>989.64683333333312</v>
      </c>
      <c r="AF16" s="108">
        <v>93.630166666666923</v>
      </c>
      <c r="AG16" s="108">
        <v>1050.2753333333333</v>
      </c>
      <c r="AH16" s="108">
        <v>156.00950000000006</v>
      </c>
      <c r="AI16" s="108">
        <v>1266.7529999999999</v>
      </c>
      <c r="AJ16" s="108">
        <v>816.26883333333319</v>
      </c>
      <c r="AK16" s="108">
        <v>1571.8700000000001</v>
      </c>
      <c r="AL16" s="108">
        <v>1707.7953333333326</v>
      </c>
      <c r="AM16" s="108">
        <v>920.55300000000022</v>
      </c>
      <c r="AN16" s="108">
        <v>1421.6426666666666</v>
      </c>
      <c r="AO16" s="108">
        <v>1500.4216666666659</v>
      </c>
      <c r="AP16" s="108">
        <v>1326.6895000000004</v>
      </c>
      <c r="AQ16" s="108">
        <v>1558.4938333333332</v>
      </c>
      <c r="AR16" s="108">
        <v>599.00333333333344</v>
      </c>
      <c r="AS16" s="108">
        <v>619.68033333333335</v>
      </c>
      <c r="AT16" s="108">
        <v>712.90383333333284</v>
      </c>
      <c r="AU16" s="108">
        <v>1282.2733333333333</v>
      </c>
      <c r="AV16" s="108">
        <v>1461.959833333334</v>
      </c>
      <c r="AW16" s="108">
        <f t="shared" si="1"/>
        <v>47.005189666666666</v>
      </c>
    </row>
    <row r="17" spans="1:49">
      <c r="A17" s="149">
        <v>45759</v>
      </c>
      <c r="B17" s="150">
        <f>YEAR(Table7[[#This Row],[Date]])+IF(MONTH(Table7[[#This Row],[Date]])&gt;=4,1,0)</f>
        <v>2026</v>
      </c>
      <c r="C17" s="151">
        <f>YEAR(Table7[[#This Row],[Date]])</f>
        <v>2025</v>
      </c>
      <c r="D17" s="152">
        <f>Daily_KPI[[#This Row],[Date]]-DAY(Daily_KPI[[#This Row],[Date]])+1</f>
        <v>45748</v>
      </c>
      <c r="E17" s="108">
        <v>1891.5331666666673</v>
      </c>
      <c r="F17" s="108">
        <v>1542.1888333333325</v>
      </c>
      <c r="G17" s="108">
        <v>1482.7649999999987</v>
      </c>
      <c r="H17" s="108">
        <v>1458.7166666666656</v>
      </c>
      <c r="I17" s="108">
        <v>1396.886833333333</v>
      </c>
      <c r="J17" s="108">
        <v>1039.9976666666664</v>
      </c>
      <c r="K17" s="108">
        <v>1479.2026666666663</v>
      </c>
      <c r="L17" s="108">
        <v>735.70966666666652</v>
      </c>
      <c r="M17" s="108">
        <v>529.09433333333357</v>
      </c>
      <c r="N17" s="108">
        <v>683.76183333333347</v>
      </c>
      <c r="O17" s="108">
        <v>809.74266666666642</v>
      </c>
      <c r="P17" s="108">
        <v>949.32116666666661</v>
      </c>
      <c r="Q17" s="108">
        <v>969.23933333333343</v>
      </c>
      <c r="R17" s="108">
        <v>1048.0093333333336</v>
      </c>
      <c r="S17" s="108">
        <v>985.90399999999988</v>
      </c>
      <c r="T17" s="108">
        <v>1226.3091666666662</v>
      </c>
      <c r="U17" s="108">
        <v>1386.8810000000001</v>
      </c>
      <c r="V17" s="108">
        <v>1621.380833333332</v>
      </c>
      <c r="W17" s="108">
        <v>1232.396</v>
      </c>
      <c r="X17" s="108">
        <v>1066.1259999999991</v>
      </c>
      <c r="Y17" s="108">
        <v>1366.1548333333337</v>
      </c>
      <c r="Z17" s="108">
        <v>1616.0541666666659</v>
      </c>
      <c r="AA17" s="108">
        <v>990.99149999999997</v>
      </c>
      <c r="AB17" s="108">
        <v>1091.9384999999995</v>
      </c>
      <c r="AC17" s="108">
        <v>1276.1626666666668</v>
      </c>
      <c r="AD17" s="108">
        <v>1244.5188333333331</v>
      </c>
      <c r="AE17" s="108">
        <v>1147.5051666666666</v>
      </c>
      <c r="AF17" s="108">
        <v>634.19399999999996</v>
      </c>
      <c r="AG17" s="108">
        <v>1342.5976666666668</v>
      </c>
      <c r="AH17" s="108">
        <v>807.21516666666673</v>
      </c>
      <c r="AI17" s="108">
        <v>1470.8356666666666</v>
      </c>
      <c r="AJ17" s="108">
        <v>797.04883333333373</v>
      </c>
      <c r="AK17" s="108">
        <v>1292.2251666666668</v>
      </c>
      <c r="AL17" s="108">
        <v>1654.4411666666667</v>
      </c>
      <c r="AM17" s="108">
        <v>1175.9679999999998</v>
      </c>
      <c r="AN17" s="108">
        <v>2121.3305000000005</v>
      </c>
      <c r="AO17" s="108">
        <v>2039.987166666667</v>
      </c>
      <c r="AP17" s="108">
        <v>1705.4485000000004</v>
      </c>
      <c r="AQ17" s="108">
        <v>1645.0639999999996</v>
      </c>
      <c r="AR17" s="108">
        <v>635.08450000000005</v>
      </c>
      <c r="AS17" s="108">
        <v>482.07283333333316</v>
      </c>
      <c r="AT17" s="108">
        <v>971.99166666666633</v>
      </c>
      <c r="AU17" s="108">
        <v>1909.6391666666668</v>
      </c>
      <c r="AV17" s="108">
        <v>1559.747333333333</v>
      </c>
      <c r="AW17" s="108">
        <f t="shared" si="1"/>
        <v>54.513383166666657</v>
      </c>
    </row>
    <row r="18" spans="1:49">
      <c r="A18" s="145">
        <v>45760</v>
      </c>
      <c r="B18" s="146">
        <f>YEAR(Table7[[#This Row],[Date]])+IF(MONTH(Table7[[#This Row],[Date]])&gt;=4,1,0)</f>
        <v>2026</v>
      </c>
      <c r="C18" s="147">
        <f>YEAR(Table7[[#This Row],[Date]])</f>
        <v>2025</v>
      </c>
      <c r="D18" s="148">
        <f>Daily_KPI[[#This Row],[Date]]-DAY(Daily_KPI[[#This Row],[Date]])+1</f>
        <v>45748</v>
      </c>
      <c r="E18" s="108">
        <v>2080.7448333333341</v>
      </c>
      <c r="F18" s="108">
        <v>1721.4688333333331</v>
      </c>
      <c r="G18" s="108">
        <v>1831.6139999999994</v>
      </c>
      <c r="H18" s="108">
        <v>1113.559</v>
      </c>
      <c r="I18" s="108">
        <v>1107.5483333333332</v>
      </c>
      <c r="J18" s="108">
        <v>921.04416666666646</v>
      </c>
      <c r="K18" s="108">
        <v>1962.5254999999986</v>
      </c>
      <c r="L18" s="108">
        <v>387.77450000000016</v>
      </c>
      <c r="M18" s="108">
        <v>271.27816666666666</v>
      </c>
      <c r="N18" s="108">
        <v>304.43033333333329</v>
      </c>
      <c r="O18" s="108">
        <v>367.9083333333333</v>
      </c>
      <c r="P18" s="108">
        <v>434.94516666666658</v>
      </c>
      <c r="Q18" s="108">
        <v>410.4843333333335</v>
      </c>
      <c r="R18" s="108">
        <v>444.565</v>
      </c>
      <c r="S18" s="108">
        <v>398.78133333333335</v>
      </c>
      <c r="T18" s="108">
        <v>464.85099999999994</v>
      </c>
      <c r="U18" s="108">
        <v>591.96699999999987</v>
      </c>
      <c r="V18" s="108">
        <v>1817.9848333333327</v>
      </c>
      <c r="W18" s="108">
        <v>578.62016666666682</v>
      </c>
      <c r="X18" s="108">
        <v>591.2591666666666</v>
      </c>
      <c r="Y18" s="108">
        <v>1585.4321666666667</v>
      </c>
      <c r="Z18" s="108">
        <v>1704.2888333333337</v>
      </c>
      <c r="AA18" s="108">
        <v>768.7523333333337</v>
      </c>
      <c r="AB18" s="108">
        <v>792.33016666666651</v>
      </c>
      <c r="AC18" s="108">
        <v>952.30433333333315</v>
      </c>
      <c r="AD18" s="108">
        <v>767.52</v>
      </c>
      <c r="AE18" s="108">
        <v>1393.5975000000001</v>
      </c>
      <c r="AF18" s="108">
        <v>763.93316666666669</v>
      </c>
      <c r="AG18" s="108">
        <v>1085.2165000000007</v>
      </c>
      <c r="AH18" s="108">
        <v>1107.2801666666667</v>
      </c>
      <c r="AI18" s="108">
        <v>684.72266666666644</v>
      </c>
      <c r="AJ18" s="108">
        <v>408.25516666666658</v>
      </c>
      <c r="AK18" s="108">
        <v>1046.9241666666662</v>
      </c>
      <c r="AL18" s="108">
        <v>1612.7378333333334</v>
      </c>
      <c r="AM18" s="108">
        <v>773.67100000000028</v>
      </c>
      <c r="AN18" s="108">
        <v>1569.5888333333339</v>
      </c>
      <c r="AO18" s="108">
        <v>1224.4425000000006</v>
      </c>
      <c r="AP18" s="108">
        <v>1229.4849999999999</v>
      </c>
      <c r="AQ18" s="108">
        <v>1290.5341666666661</v>
      </c>
      <c r="AR18" s="108">
        <v>641.30916666666656</v>
      </c>
      <c r="AS18" s="108">
        <v>1128.9766666666669</v>
      </c>
      <c r="AT18" s="108">
        <v>1597.8045000000004</v>
      </c>
      <c r="AU18" s="108">
        <v>2266.8294999999994</v>
      </c>
      <c r="AV18" s="108">
        <v>1681.5146666666667</v>
      </c>
      <c r="AW18" s="108">
        <f t="shared" si="1"/>
        <v>45.880805000000002</v>
      </c>
    </row>
    <row r="19" spans="1:49">
      <c r="A19" s="149">
        <v>45761</v>
      </c>
      <c r="B19" s="150">
        <f>YEAR(Table7[[#This Row],[Date]])+IF(MONTH(Table7[[#This Row],[Date]])&gt;=4,1,0)</f>
        <v>2026</v>
      </c>
      <c r="C19" s="151">
        <f>YEAR(Table7[[#This Row],[Date]])</f>
        <v>2025</v>
      </c>
      <c r="D19" s="152">
        <f>Daily_KPI[[#This Row],[Date]]-DAY(Daily_KPI[[#This Row],[Date]])+1</f>
        <v>45748</v>
      </c>
      <c r="E19" s="108">
        <v>1760.9980000000003</v>
      </c>
      <c r="F19" s="108">
        <v>2114.2968333333333</v>
      </c>
      <c r="G19" s="108">
        <v>2290.7310000000002</v>
      </c>
      <c r="H19" s="108">
        <v>1070.9975000000004</v>
      </c>
      <c r="I19" s="108">
        <v>1129.1786666666665</v>
      </c>
      <c r="J19" s="108">
        <v>1090.5463333333335</v>
      </c>
      <c r="K19" s="108">
        <v>1294.9526666666673</v>
      </c>
      <c r="L19" s="108">
        <v>658.29333333333363</v>
      </c>
      <c r="M19" s="108">
        <v>467.12066666666675</v>
      </c>
      <c r="N19" s="108">
        <v>488.05633333333338</v>
      </c>
      <c r="O19" s="108">
        <v>525.34900000000027</v>
      </c>
      <c r="P19" s="108">
        <v>581.9281666666667</v>
      </c>
      <c r="Q19" s="108">
        <v>573.27333333333354</v>
      </c>
      <c r="R19" s="108">
        <v>490.74250000000006</v>
      </c>
      <c r="S19" s="108">
        <v>416.11766666666659</v>
      </c>
      <c r="T19" s="108">
        <v>506.48416666666679</v>
      </c>
      <c r="U19" s="108">
        <v>592.01633333333325</v>
      </c>
      <c r="V19" s="108">
        <v>1513.3086666666668</v>
      </c>
      <c r="W19" s="108">
        <v>511.02749999999997</v>
      </c>
      <c r="X19" s="108">
        <v>412.00700000000012</v>
      </c>
      <c r="Y19" s="108">
        <v>1051.1224999999997</v>
      </c>
      <c r="Z19" s="108">
        <v>1189.4933333333336</v>
      </c>
      <c r="AA19" s="108">
        <v>743.9376666666667</v>
      </c>
      <c r="AB19" s="108">
        <v>713.46333333333325</v>
      </c>
      <c r="AC19" s="108">
        <v>856.7233333333329</v>
      </c>
      <c r="AD19" s="108">
        <v>759.01616666666666</v>
      </c>
      <c r="AE19" s="108">
        <v>2129.8541666666674</v>
      </c>
      <c r="AF19" s="108">
        <v>1034.7615000000003</v>
      </c>
      <c r="AG19" s="108">
        <v>1207.2539999999999</v>
      </c>
      <c r="AH19" s="108">
        <v>1279.665</v>
      </c>
      <c r="AI19" s="108">
        <v>584.9233333333334</v>
      </c>
      <c r="AJ19" s="108">
        <v>675.7923333333332</v>
      </c>
      <c r="AK19" s="108">
        <v>1113.8684999999998</v>
      </c>
      <c r="AL19" s="108">
        <v>1264.3828333333336</v>
      </c>
      <c r="AM19" s="108">
        <v>755.81783333333351</v>
      </c>
      <c r="AN19" s="108">
        <v>1596.1131666666677</v>
      </c>
      <c r="AO19" s="108">
        <v>1459.4208333333336</v>
      </c>
      <c r="AP19" s="108">
        <v>1136.8318333333332</v>
      </c>
      <c r="AQ19" s="108">
        <v>1247.9865</v>
      </c>
      <c r="AR19" s="108">
        <v>1124.5064999999997</v>
      </c>
      <c r="AS19" s="108">
        <v>1487.9261666666669</v>
      </c>
      <c r="AT19" s="108">
        <v>1738.2153333333329</v>
      </c>
      <c r="AU19" s="108">
        <v>1553.4983333333332</v>
      </c>
      <c r="AV19" s="108">
        <v>1229.1473333333331</v>
      </c>
      <c r="AW19" s="108">
        <f t="shared" si="1"/>
        <v>46.421147500000011</v>
      </c>
    </row>
    <row r="20" spans="1:49">
      <c r="A20" s="145">
        <v>45762</v>
      </c>
      <c r="B20" s="146">
        <f>YEAR(Table7[[#This Row],[Date]])+IF(MONTH(Table7[[#This Row],[Date]])&gt;=4,1,0)</f>
        <v>2026</v>
      </c>
      <c r="C20" s="147">
        <f>YEAR(Table7[[#This Row],[Date]])</f>
        <v>2025</v>
      </c>
      <c r="D20" s="148">
        <f>Daily_KPI[[#This Row],[Date]]-DAY(Daily_KPI[[#This Row],[Date]])+1</f>
        <v>45748</v>
      </c>
      <c r="E20">
        <v>1164.4358333333332</v>
      </c>
      <c r="F20">
        <v>1117.97</v>
      </c>
      <c r="G20">
        <v>1274.8743333333339</v>
      </c>
      <c r="H20">
        <v>414.20200000000006</v>
      </c>
      <c r="I20">
        <v>687.50400000000002</v>
      </c>
      <c r="J20">
        <v>602.98883333333333</v>
      </c>
      <c r="K20">
        <v>883.98066666666671</v>
      </c>
      <c r="L20">
        <v>179.56399999999996</v>
      </c>
      <c r="M20">
        <v>94.935333333333332</v>
      </c>
      <c r="N20">
        <v>75.062833333333316</v>
      </c>
      <c r="O20">
        <v>74.114333333333335</v>
      </c>
      <c r="P20">
        <v>102.21816666666666</v>
      </c>
      <c r="Q20">
        <v>119.69533333333332</v>
      </c>
      <c r="R20">
        <v>143.67733333333337</v>
      </c>
      <c r="S20">
        <v>124.16866666666668</v>
      </c>
      <c r="T20">
        <v>168.47</v>
      </c>
      <c r="U20">
        <v>236.98100000000002</v>
      </c>
      <c r="V20">
        <v>761.9668333333334</v>
      </c>
      <c r="W20">
        <v>125.48749999999997</v>
      </c>
      <c r="X20">
        <v>98.1011666666667</v>
      </c>
      <c r="Y20">
        <v>694.78133333333335</v>
      </c>
      <c r="Z20">
        <v>868.64800000000002</v>
      </c>
      <c r="AA20">
        <v>264.89416666666659</v>
      </c>
      <c r="AB20">
        <v>273.40033333333332</v>
      </c>
      <c r="AC20">
        <v>364.56349999999998</v>
      </c>
      <c r="AD20">
        <v>321.48216666666673</v>
      </c>
      <c r="AE20">
        <v>1023.2859999999999</v>
      </c>
      <c r="AF20">
        <v>551.31516666666653</v>
      </c>
      <c r="AG20">
        <v>377.91150000000016</v>
      </c>
      <c r="AH20">
        <v>599.62516666666659</v>
      </c>
      <c r="AI20">
        <v>197.07366666666658</v>
      </c>
      <c r="AJ20">
        <v>264.82183333333325</v>
      </c>
      <c r="AK20">
        <v>696.55883333333315</v>
      </c>
      <c r="AL20">
        <v>781.51783333333344</v>
      </c>
      <c r="AM20">
        <v>281.57583333333332</v>
      </c>
      <c r="AN20">
        <v>664.61383333333333</v>
      </c>
      <c r="AO20">
        <v>526.27016666666646</v>
      </c>
      <c r="AP20">
        <v>555.96999999999991</v>
      </c>
      <c r="AQ20">
        <v>537.12083333333351</v>
      </c>
      <c r="AR20">
        <v>1017.6381666666666</v>
      </c>
      <c r="AS20">
        <v>891.65016666666668</v>
      </c>
      <c r="AT20">
        <v>1041.3666666666666</v>
      </c>
      <c r="AU20">
        <v>957.71499999999969</v>
      </c>
      <c r="AV20">
        <v>627.86750000000006</v>
      </c>
      <c r="AW20" s="108">
        <f t="shared" si="1"/>
        <v>22.832065833333331</v>
      </c>
    </row>
    <row r="21" spans="1:49">
      <c r="A21" s="149">
        <v>45763</v>
      </c>
      <c r="B21" s="150">
        <f>YEAR(Table7[[#This Row],[Date]])+IF(MONTH(Table7[[#This Row],[Date]])&gt;=4,1,0)</f>
        <v>2026</v>
      </c>
      <c r="C21" s="151">
        <f>YEAR(Table7[[#This Row],[Date]])</f>
        <v>2025</v>
      </c>
      <c r="D21" s="152">
        <f>Daily_KPI[[#This Row],[Date]]-DAY(Daily_KPI[[#This Row],[Date]])+1</f>
        <v>45748</v>
      </c>
      <c r="E21">
        <v>435.70650000000001</v>
      </c>
      <c r="F21">
        <v>290.26833333333326</v>
      </c>
      <c r="G21">
        <v>253.65416666666667</v>
      </c>
      <c r="H21">
        <v>379.81716666666665</v>
      </c>
      <c r="I21">
        <v>432.53449999999992</v>
      </c>
      <c r="J21">
        <v>295.59750000000003</v>
      </c>
      <c r="K21">
        <v>382.89716666666681</v>
      </c>
      <c r="L21">
        <v>167.49683333333337</v>
      </c>
      <c r="M21">
        <v>118.36616666666669</v>
      </c>
      <c r="N21">
        <v>196.0181666666667</v>
      </c>
      <c r="O21">
        <v>225.83250000000001</v>
      </c>
      <c r="P21">
        <v>266.02450000000005</v>
      </c>
      <c r="Q21">
        <v>288.29066666666671</v>
      </c>
      <c r="R21">
        <v>269.27516666666662</v>
      </c>
      <c r="S21">
        <v>245.52700000000002</v>
      </c>
      <c r="T21">
        <v>269.76266666666669</v>
      </c>
      <c r="U21">
        <v>341.9405000000001</v>
      </c>
      <c r="V21">
        <v>402.48016666666666</v>
      </c>
      <c r="W21">
        <v>284.91633333333328</v>
      </c>
      <c r="X21">
        <v>270.41683333333339</v>
      </c>
      <c r="Y21">
        <v>346.28766666666667</v>
      </c>
      <c r="Z21">
        <v>317.9906666666667</v>
      </c>
      <c r="AA21">
        <v>231.19000000000003</v>
      </c>
      <c r="AB21">
        <v>279.35533333333336</v>
      </c>
      <c r="AC21">
        <v>310.81416666666672</v>
      </c>
      <c r="AD21">
        <v>313.2643333333333</v>
      </c>
      <c r="AE21">
        <v>158.14100000000005</v>
      </c>
      <c r="AF21">
        <v>132.74566666666664</v>
      </c>
      <c r="AG21">
        <v>353.7523333333333</v>
      </c>
      <c r="AH21">
        <v>162.10916666666668</v>
      </c>
      <c r="AI21">
        <v>343.41399999999999</v>
      </c>
      <c r="AJ21">
        <v>193.48933333333332</v>
      </c>
      <c r="AK21">
        <v>383.5736666666665</v>
      </c>
      <c r="AL21">
        <v>448.80466666666661</v>
      </c>
      <c r="AM21">
        <v>253.7585</v>
      </c>
      <c r="AN21">
        <v>249.57733333333331</v>
      </c>
      <c r="AO21">
        <v>323.24816666666675</v>
      </c>
      <c r="AP21">
        <v>327.53016666666673</v>
      </c>
      <c r="AQ21">
        <v>387.54349999999999</v>
      </c>
      <c r="AR21">
        <v>191.97083333333333</v>
      </c>
      <c r="AS21">
        <v>190.20133333333339</v>
      </c>
      <c r="AT21">
        <v>242.30316666666667</v>
      </c>
      <c r="AU21">
        <v>377.03166666666658</v>
      </c>
      <c r="AV21">
        <v>194.20816666666667</v>
      </c>
      <c r="AW21" s="108">
        <f t="shared" si="1"/>
        <v>12.529127666666666</v>
      </c>
    </row>
    <row r="22" spans="1:49">
      <c r="A22" s="145">
        <v>45764</v>
      </c>
      <c r="B22" s="146">
        <f>YEAR(Table7[[#This Row],[Date]])+IF(MONTH(Table7[[#This Row],[Date]])&gt;=4,1,0)</f>
        <v>2026</v>
      </c>
      <c r="C22" s="147">
        <f>YEAR(Table7[[#This Row],[Date]])</f>
        <v>2025</v>
      </c>
      <c r="D22" s="148">
        <f>Daily_KPI[[#This Row],[Date]]-DAY(Daily_KPI[[#This Row],[Date]])+1</f>
        <v>45748</v>
      </c>
      <c r="E22" s="108">
        <v>1972.8161666666656</v>
      </c>
      <c r="F22" s="108">
        <v>1498.9121666666667</v>
      </c>
      <c r="G22" s="108">
        <v>1482.453166666666</v>
      </c>
      <c r="H22" s="108">
        <v>1133.7433333333331</v>
      </c>
      <c r="I22" s="108">
        <v>1727.8893333333333</v>
      </c>
      <c r="J22" s="108">
        <v>1778.6953333333338</v>
      </c>
      <c r="K22" s="108">
        <v>1717.9773333333339</v>
      </c>
      <c r="L22" s="108">
        <v>616.27216666666664</v>
      </c>
      <c r="M22" s="108">
        <v>448.18299999999994</v>
      </c>
      <c r="N22" s="108">
        <v>546.54683333333344</v>
      </c>
      <c r="O22" s="108">
        <v>563.88816666666651</v>
      </c>
      <c r="P22" s="108">
        <v>592.96083333333343</v>
      </c>
      <c r="Q22" s="108">
        <v>618.5250000000002</v>
      </c>
      <c r="R22" s="108">
        <v>638.45983333333334</v>
      </c>
      <c r="S22" s="108">
        <v>537.73716666666644</v>
      </c>
      <c r="T22" s="108">
        <v>644.34500000000003</v>
      </c>
      <c r="U22" s="108">
        <v>710.56533333333346</v>
      </c>
      <c r="V22" s="108">
        <v>1677.4428333333337</v>
      </c>
      <c r="W22" s="108">
        <v>703.90983333333304</v>
      </c>
      <c r="X22" s="108">
        <v>612.03183333333322</v>
      </c>
      <c r="Y22" s="108">
        <v>1350.4221666666665</v>
      </c>
      <c r="Z22" s="108">
        <v>1502.779833333334</v>
      </c>
      <c r="AA22" s="108">
        <v>967.42700000000002</v>
      </c>
      <c r="AB22" s="108">
        <v>941.83533333333344</v>
      </c>
      <c r="AC22" s="108">
        <v>1152.2888333333333</v>
      </c>
      <c r="AD22" s="108">
        <v>1002.5639999999999</v>
      </c>
      <c r="AE22" s="108">
        <v>1215.1803333333332</v>
      </c>
      <c r="AF22" s="108">
        <v>723.43599999999969</v>
      </c>
      <c r="AG22" s="108">
        <v>1118.2323333333329</v>
      </c>
      <c r="AH22" s="108">
        <v>1122.3370000000009</v>
      </c>
      <c r="AI22" s="108">
        <v>694.60049999999967</v>
      </c>
      <c r="AJ22" s="108">
        <v>726.98449999999991</v>
      </c>
      <c r="AK22" s="108">
        <v>1867.0476666666673</v>
      </c>
      <c r="AL22" s="108">
        <v>2293.4819999999995</v>
      </c>
      <c r="AM22" s="108">
        <v>880.67150000000026</v>
      </c>
      <c r="AN22" s="108">
        <v>1905.7311666666667</v>
      </c>
      <c r="AO22" s="108">
        <v>2019.7993333333334</v>
      </c>
      <c r="AP22" s="108">
        <v>1997.4906666666675</v>
      </c>
      <c r="AQ22" s="108">
        <v>2016.6896666666671</v>
      </c>
      <c r="AR22" s="108">
        <v>733.51033333333316</v>
      </c>
      <c r="AS22" s="108">
        <v>1206.4843333333329</v>
      </c>
      <c r="AT22" s="108">
        <v>1573.9703333333334</v>
      </c>
      <c r="AU22" s="108">
        <v>1848.9403333333328</v>
      </c>
      <c r="AV22" s="108">
        <v>1985.8330000000003</v>
      </c>
      <c r="AW22" s="108">
        <f t="shared" si="1"/>
        <v>53.07109283333331</v>
      </c>
    </row>
    <row r="23" spans="1:49">
      <c r="A23" s="149">
        <v>45765</v>
      </c>
      <c r="B23" s="150">
        <f>YEAR(Table7[[#This Row],[Date]])+IF(MONTH(Table7[[#This Row],[Date]])&gt;=4,1,0)</f>
        <v>2026</v>
      </c>
      <c r="C23" s="151">
        <f>YEAR(Table7[[#This Row],[Date]])</f>
        <v>2025</v>
      </c>
      <c r="D23" s="152">
        <f>Daily_KPI[[#This Row],[Date]]-DAY(Daily_KPI[[#This Row],[Date]])+1</f>
        <v>45748</v>
      </c>
      <c r="E23" s="108">
        <v>2078.1465000000003</v>
      </c>
      <c r="F23" s="108">
        <v>1629.2486666666662</v>
      </c>
      <c r="G23" s="108">
        <v>1619.6813333333346</v>
      </c>
      <c r="H23" s="108">
        <v>1382.1411666666663</v>
      </c>
      <c r="I23" s="108">
        <v>1666.8478333333333</v>
      </c>
      <c r="J23" s="108">
        <v>1081.0131666666668</v>
      </c>
      <c r="K23" s="108">
        <v>1837.0563333333337</v>
      </c>
      <c r="L23" s="108">
        <v>689.87216666666689</v>
      </c>
      <c r="M23" s="108">
        <v>454.37583333333328</v>
      </c>
      <c r="N23" s="108">
        <v>599.51200000000006</v>
      </c>
      <c r="O23" s="108">
        <v>674.07150000000001</v>
      </c>
      <c r="P23" s="108">
        <v>695.76333333333343</v>
      </c>
      <c r="Q23" s="108">
        <v>715.11333333333369</v>
      </c>
      <c r="R23" s="108">
        <v>714.55566666666664</v>
      </c>
      <c r="S23" s="108">
        <v>598.47466666666662</v>
      </c>
      <c r="T23" s="108">
        <v>806.57449999999972</v>
      </c>
      <c r="U23" s="108">
        <v>860.29650000000004</v>
      </c>
      <c r="V23" s="108">
        <v>1980.8495000000003</v>
      </c>
      <c r="W23" s="108">
        <v>866.24750000000006</v>
      </c>
      <c r="X23" s="108">
        <v>737.79349999999977</v>
      </c>
      <c r="Y23" s="108">
        <v>1541.7563333333344</v>
      </c>
      <c r="Z23" s="108">
        <v>1540.6816666666666</v>
      </c>
      <c r="AA23" s="108">
        <v>1056.4166666666665</v>
      </c>
      <c r="AB23" s="108">
        <v>1043.2535</v>
      </c>
      <c r="AC23" s="108">
        <v>1140.6380000000001</v>
      </c>
      <c r="AD23" s="108">
        <v>946.47033333333331</v>
      </c>
      <c r="AE23" s="108">
        <v>1077.4003333333335</v>
      </c>
      <c r="AF23" s="108">
        <v>640.82966666666687</v>
      </c>
      <c r="AG23" s="108">
        <v>1217.0738333333338</v>
      </c>
      <c r="AH23" s="108">
        <v>927.79200000000037</v>
      </c>
      <c r="AI23" s="108">
        <v>927.38766666666663</v>
      </c>
      <c r="AJ23" s="108">
        <v>550.57666666666671</v>
      </c>
      <c r="AK23" s="108">
        <v>1488.7143333333336</v>
      </c>
      <c r="AL23" s="108">
        <v>1596.0591666666669</v>
      </c>
      <c r="AM23" s="108">
        <v>923.53766666666672</v>
      </c>
      <c r="AN23" s="108">
        <v>962.37466666666649</v>
      </c>
      <c r="AO23" s="108">
        <v>1296.3574999999998</v>
      </c>
      <c r="AP23" s="108">
        <v>1275.2750000000001</v>
      </c>
      <c r="AQ23" s="108">
        <v>1420.7281666666668</v>
      </c>
      <c r="AR23" s="108">
        <v>847.69449999999995</v>
      </c>
      <c r="AS23" s="108">
        <v>1057.7461666666666</v>
      </c>
      <c r="AT23" s="108">
        <v>1358.1933333333334</v>
      </c>
      <c r="AU23" s="108">
        <v>1976.6916666666673</v>
      </c>
      <c r="AV23" s="108">
        <v>1852.6223333333335</v>
      </c>
      <c r="AW23" s="108">
        <f t="shared" si="1"/>
        <v>50.353906166666675</v>
      </c>
    </row>
    <row r="24" spans="1:49">
      <c r="A24" s="145">
        <v>45766</v>
      </c>
      <c r="B24" s="146">
        <f>YEAR(Table7[[#This Row],[Date]])+IF(MONTH(Table7[[#This Row],[Date]])&gt;=4,1,0)</f>
        <v>2026</v>
      </c>
      <c r="C24" s="147">
        <f>YEAR(Table7[[#This Row],[Date]])</f>
        <v>2025</v>
      </c>
      <c r="D24" s="148">
        <f>Daily_KPI[[#This Row],[Date]]-DAY(Daily_KPI[[#This Row],[Date]])+1</f>
        <v>45748</v>
      </c>
      <c r="E24" s="108">
        <v>2722.8896666666656</v>
      </c>
      <c r="F24" s="108">
        <v>2608.807666666667</v>
      </c>
      <c r="G24" s="108">
        <v>2678.8308333333334</v>
      </c>
      <c r="H24" s="108">
        <v>1666.5986666666658</v>
      </c>
      <c r="I24" s="108">
        <v>2052.9019999999996</v>
      </c>
      <c r="J24" s="108">
        <v>1482.2565000000002</v>
      </c>
      <c r="K24" s="108">
        <v>2153.1464999999994</v>
      </c>
      <c r="L24" s="108">
        <v>767.52216666666629</v>
      </c>
      <c r="M24" s="108">
        <v>565.39216666666664</v>
      </c>
      <c r="N24" s="108">
        <v>692.28650000000016</v>
      </c>
      <c r="O24" s="108">
        <v>709.75866666666673</v>
      </c>
      <c r="P24" s="108">
        <v>741.20400000000006</v>
      </c>
      <c r="Q24" s="108">
        <v>738.51283333333367</v>
      </c>
      <c r="R24" s="108">
        <v>779.8368333333334</v>
      </c>
      <c r="S24" s="108">
        <v>733.63333333333355</v>
      </c>
      <c r="T24" s="108">
        <v>903.68233333333364</v>
      </c>
      <c r="U24" s="108">
        <v>994.05116666666663</v>
      </c>
      <c r="V24" s="108">
        <v>2510.2020000000002</v>
      </c>
      <c r="W24" s="108">
        <v>986.99049999999954</v>
      </c>
      <c r="X24" s="108">
        <v>870.29550000000074</v>
      </c>
      <c r="Y24" s="108">
        <v>1840.5066666666671</v>
      </c>
      <c r="Z24" s="108">
        <v>2120.0230000000006</v>
      </c>
      <c r="AA24" s="108">
        <v>1175.3281666666669</v>
      </c>
      <c r="AB24" s="108">
        <v>1207.336333333333</v>
      </c>
      <c r="AC24" s="108">
        <v>1289.7186666666664</v>
      </c>
      <c r="AD24" s="108">
        <v>1116.9925000000001</v>
      </c>
      <c r="AE24" s="108">
        <v>2355.6053333333325</v>
      </c>
      <c r="AF24" s="108">
        <v>811.84266666666724</v>
      </c>
      <c r="AG24" s="108">
        <v>1597.0256666666655</v>
      </c>
      <c r="AH24" s="108">
        <v>1152.7723333333331</v>
      </c>
      <c r="AI24" s="108">
        <v>1136.702</v>
      </c>
      <c r="AJ24" s="108">
        <v>872.01599999999974</v>
      </c>
      <c r="AK24" s="108">
        <v>1918.8391666666676</v>
      </c>
      <c r="AL24" s="108">
        <v>1793.9929999999995</v>
      </c>
      <c r="AM24" s="108">
        <v>1082.1028333333334</v>
      </c>
      <c r="AN24" s="108">
        <v>1776.8249999999998</v>
      </c>
      <c r="AO24" s="108">
        <v>1055.4001666666668</v>
      </c>
      <c r="AP24" s="108">
        <v>1629.2564999999993</v>
      </c>
      <c r="AQ24" s="108">
        <v>1782.7551666666661</v>
      </c>
      <c r="AR24" s="108">
        <v>819.78583333333393</v>
      </c>
      <c r="AS24" s="108">
        <v>1271.6648333333344</v>
      </c>
      <c r="AT24" s="108">
        <v>1712.0558333333338</v>
      </c>
      <c r="AU24" s="108">
        <v>2335.7151666666664</v>
      </c>
      <c r="AV24" s="108">
        <v>2070.3726666666671</v>
      </c>
      <c r="AW24" s="108">
        <f t="shared" si="1"/>
        <v>63.283435333333351</v>
      </c>
    </row>
    <row r="25" spans="1:49">
      <c r="A25" s="149">
        <v>45767</v>
      </c>
      <c r="B25" s="150">
        <f>YEAR(Table7[[#This Row],[Date]])+IF(MONTH(Table7[[#This Row],[Date]])&gt;=4,1,0)</f>
        <v>2026</v>
      </c>
      <c r="C25" s="151">
        <f>YEAR(Table7[[#This Row],[Date]])</f>
        <v>2025</v>
      </c>
      <c r="D25" s="152">
        <f>Daily_KPI[[#This Row],[Date]]-DAY(Daily_KPI[[#This Row],[Date]])+1</f>
        <v>45748</v>
      </c>
      <c r="E25" s="108">
        <v>2862.763833333333</v>
      </c>
      <c r="F25" s="108">
        <v>2556.8226666666669</v>
      </c>
      <c r="G25" s="108">
        <v>2478.6698333333343</v>
      </c>
      <c r="H25" s="108">
        <v>1370.2926666666672</v>
      </c>
      <c r="I25" s="108">
        <v>1435.9765</v>
      </c>
      <c r="J25" s="108">
        <v>1130.4698333333333</v>
      </c>
      <c r="K25" s="108">
        <v>2483.1531666666674</v>
      </c>
      <c r="L25" s="108">
        <v>675.61316666666653</v>
      </c>
      <c r="M25" s="108">
        <v>425.6995</v>
      </c>
      <c r="N25" s="108">
        <v>494.82466666666687</v>
      </c>
      <c r="O25" s="108">
        <v>521.81983333333335</v>
      </c>
      <c r="P25" s="108">
        <v>597.12883333333355</v>
      </c>
      <c r="Q25" s="108">
        <v>553.69316666666668</v>
      </c>
      <c r="R25" s="108">
        <v>585.20466666666664</v>
      </c>
      <c r="S25" s="108">
        <v>551.26349999999979</v>
      </c>
      <c r="T25" s="108">
        <v>620.14466666666692</v>
      </c>
      <c r="U25" s="108">
        <v>721.0709999999998</v>
      </c>
      <c r="V25" s="108">
        <v>2527.9688333333338</v>
      </c>
      <c r="W25" s="108">
        <v>747.88016666666692</v>
      </c>
      <c r="X25" s="108">
        <v>705.8114999999998</v>
      </c>
      <c r="Y25" s="108">
        <v>1992.7833333333338</v>
      </c>
      <c r="Z25" s="108">
        <v>2342.4738333333325</v>
      </c>
      <c r="AA25" s="108">
        <v>1116.6204999999998</v>
      </c>
      <c r="AB25" s="108">
        <v>1117.8915</v>
      </c>
      <c r="AC25" s="108">
        <v>1336.0983333333331</v>
      </c>
      <c r="AD25" s="108">
        <v>1082.8584999999998</v>
      </c>
      <c r="AE25" s="108">
        <v>2025.8424999999991</v>
      </c>
      <c r="AF25" s="108">
        <v>1038.3293333333334</v>
      </c>
      <c r="AG25" s="108">
        <v>1274.1183333333336</v>
      </c>
      <c r="AH25" s="108">
        <v>1506.588</v>
      </c>
      <c r="AI25" s="108">
        <v>837.27483333333339</v>
      </c>
      <c r="AJ25" s="108">
        <v>671.93800000000022</v>
      </c>
      <c r="AK25" s="108">
        <v>1369.0401666666664</v>
      </c>
      <c r="AL25" s="108">
        <v>1570.0681666666669</v>
      </c>
      <c r="AM25" s="108">
        <v>1084.7991666666667</v>
      </c>
      <c r="AN25" s="108">
        <v>1960.0611666666673</v>
      </c>
      <c r="AO25" s="108">
        <v>1560.123166666667</v>
      </c>
      <c r="AP25" s="108">
        <v>1458.288833333334</v>
      </c>
      <c r="AQ25" s="108">
        <v>1464.8511666666673</v>
      </c>
      <c r="AR25" s="108">
        <v>1294.6816666666668</v>
      </c>
      <c r="AS25" s="108">
        <v>1400.3491666666675</v>
      </c>
      <c r="AT25" s="108">
        <v>2231.6618333333349</v>
      </c>
      <c r="AU25" s="108">
        <v>2756.8546666666666</v>
      </c>
      <c r="AV25" s="108">
        <v>2109.3881666666666</v>
      </c>
      <c r="AW25" s="108">
        <f t="shared" si="1"/>
        <v>60.649256333333334</v>
      </c>
    </row>
    <row r="26" spans="1:49">
      <c r="A26" s="145">
        <v>45768</v>
      </c>
      <c r="B26" s="146">
        <f>YEAR(Table7[[#This Row],[Date]])+IF(MONTH(Table7[[#This Row],[Date]])&gt;=4,1,0)</f>
        <v>2026</v>
      </c>
      <c r="C26" s="147">
        <f>YEAR(Table7[[#This Row],[Date]])</f>
        <v>2025</v>
      </c>
      <c r="D26" s="148">
        <f>Daily_KPI[[#This Row],[Date]]-DAY(Daily_KPI[[#This Row],[Date]])+1</f>
        <v>45748</v>
      </c>
      <c r="E26" s="108">
        <v>1430.9504999999997</v>
      </c>
      <c r="F26" s="108">
        <v>1604.0968333333333</v>
      </c>
      <c r="G26" s="108">
        <v>1691.203833333333</v>
      </c>
      <c r="H26" s="108">
        <v>824.11199999999974</v>
      </c>
      <c r="I26" s="108">
        <v>761.8000000000003</v>
      </c>
      <c r="J26" s="108">
        <v>651.97699999999998</v>
      </c>
      <c r="K26" s="108">
        <v>1297.8166666666662</v>
      </c>
      <c r="L26" s="108">
        <v>405.24083333333323</v>
      </c>
      <c r="M26" s="108">
        <v>211.84233333333341</v>
      </c>
      <c r="N26" s="108">
        <v>256.32366666666661</v>
      </c>
      <c r="O26" s="108">
        <v>281.81366666666673</v>
      </c>
      <c r="P26" s="108">
        <v>355.18416666666667</v>
      </c>
      <c r="Q26" s="108">
        <v>336.25933333333325</v>
      </c>
      <c r="R26" s="108">
        <v>360.68833333333345</v>
      </c>
      <c r="S26" s="108">
        <v>329.80799999999994</v>
      </c>
      <c r="T26" s="108">
        <v>358.34266666666662</v>
      </c>
      <c r="U26" s="108">
        <v>389.28349999999995</v>
      </c>
      <c r="V26" s="108">
        <v>1526.4459999999997</v>
      </c>
      <c r="W26" s="108">
        <v>472.19666666666649</v>
      </c>
      <c r="X26" s="108">
        <v>411.11583333333311</v>
      </c>
      <c r="Y26" s="108">
        <v>1304.5959999999995</v>
      </c>
      <c r="Z26" s="108">
        <v>1534.3645000000006</v>
      </c>
      <c r="AA26" s="108">
        <v>637.1971666666667</v>
      </c>
      <c r="AB26" s="108">
        <v>630.85133333333317</v>
      </c>
      <c r="AC26" s="108">
        <v>806.63933333333364</v>
      </c>
      <c r="AD26" s="108">
        <v>662.03666666666675</v>
      </c>
      <c r="AE26" s="108">
        <v>1580.6054999999994</v>
      </c>
      <c r="AF26" s="108">
        <v>1091.2405000000003</v>
      </c>
      <c r="AG26" s="108">
        <v>759.76733333333323</v>
      </c>
      <c r="AH26" s="108">
        <v>1379.9301666666663</v>
      </c>
      <c r="AI26" s="108">
        <v>459.4441666666666</v>
      </c>
      <c r="AJ26" s="108">
        <v>409.84399999999977</v>
      </c>
      <c r="AK26" s="108">
        <v>725.67700000000013</v>
      </c>
      <c r="AL26" s="108">
        <v>991.6239999999998</v>
      </c>
      <c r="AM26" s="108">
        <v>810.58099999999979</v>
      </c>
      <c r="AN26" s="108">
        <v>1332.1655000000003</v>
      </c>
      <c r="AO26" s="108">
        <v>974.992166666667</v>
      </c>
      <c r="AP26" s="108">
        <v>901.51433333333341</v>
      </c>
      <c r="AQ26" s="108">
        <v>880.15833333333342</v>
      </c>
      <c r="AR26" s="108">
        <v>1193.542333333334</v>
      </c>
      <c r="AS26" s="108">
        <v>1133.4868333333334</v>
      </c>
      <c r="AT26" s="108">
        <v>1710.4473333333333</v>
      </c>
      <c r="AU26" s="108">
        <v>1529.8729999999998</v>
      </c>
      <c r="AV26" s="108">
        <v>1264.9946666666663</v>
      </c>
      <c r="AW26" s="108">
        <f t="shared" si="1"/>
        <v>38.662074999999987</v>
      </c>
    </row>
    <row r="27" spans="1:49">
      <c r="A27" s="149">
        <v>45769</v>
      </c>
      <c r="B27" s="150">
        <f>YEAR(Table7[[#This Row],[Date]])+IF(MONTH(Table7[[#This Row],[Date]])&gt;=4,1,0)</f>
        <v>2026</v>
      </c>
      <c r="C27" s="151">
        <f>YEAR(Table7[[#This Row],[Date]])</f>
        <v>2025</v>
      </c>
      <c r="D27" s="152">
        <f>Daily_KPI[[#This Row],[Date]]-DAY(Daily_KPI[[#This Row],[Date]])+1</f>
        <v>45748</v>
      </c>
      <c r="E27" s="108">
        <v>707.63333333333355</v>
      </c>
      <c r="F27" s="108">
        <v>636.74583333333328</v>
      </c>
      <c r="G27" s="108">
        <v>517.64266666666629</v>
      </c>
      <c r="H27" s="108">
        <v>692.71916666666664</v>
      </c>
      <c r="I27" s="108">
        <v>414.75699999999989</v>
      </c>
      <c r="J27" s="108">
        <v>420.04033333333342</v>
      </c>
      <c r="K27" s="108">
        <v>668.92733333333331</v>
      </c>
      <c r="L27" s="108">
        <v>487.32833333333355</v>
      </c>
      <c r="M27" s="108">
        <v>377.20799999999991</v>
      </c>
      <c r="N27" s="108">
        <v>354.29533333333342</v>
      </c>
      <c r="O27" s="108">
        <v>604.3208333333331</v>
      </c>
      <c r="P27" s="108">
        <v>661.029</v>
      </c>
      <c r="Q27" s="108">
        <v>643.02833333333331</v>
      </c>
      <c r="R27" s="108">
        <v>572.90133333333313</v>
      </c>
      <c r="S27" s="108">
        <v>536.89366666666649</v>
      </c>
      <c r="T27" s="108">
        <v>589.64283333333321</v>
      </c>
      <c r="U27" s="108">
        <v>668.0233333333332</v>
      </c>
      <c r="V27" s="108">
        <v>712.32033333333345</v>
      </c>
      <c r="W27" s="108">
        <v>700.03399999999999</v>
      </c>
      <c r="X27" s="108">
        <v>636.10149999999976</v>
      </c>
      <c r="Y27" s="108">
        <v>839.4730000000003</v>
      </c>
      <c r="Z27" s="108">
        <v>819.65299999999991</v>
      </c>
      <c r="AA27" s="108">
        <v>622.58349999999996</v>
      </c>
      <c r="AB27" s="108">
        <v>694.62966666666659</v>
      </c>
      <c r="AC27" s="108">
        <v>768.41033333333326</v>
      </c>
      <c r="AD27" s="108">
        <v>713.65783333333331</v>
      </c>
      <c r="AE27" s="108">
        <v>424.66333333333336</v>
      </c>
      <c r="AF27" s="108">
        <v>178.982</v>
      </c>
      <c r="AG27" s="108">
        <v>631.25400000000002</v>
      </c>
      <c r="AH27" s="108">
        <v>245.38766666666666</v>
      </c>
      <c r="AI27" s="108">
        <v>730.37283333333323</v>
      </c>
      <c r="AJ27" s="108">
        <v>292.27633333333335</v>
      </c>
      <c r="AK27" s="108">
        <v>405.65483333333344</v>
      </c>
      <c r="AL27" s="108">
        <v>381.86166666666674</v>
      </c>
      <c r="AM27" s="108">
        <v>648.79166666666697</v>
      </c>
      <c r="AN27" s="108">
        <v>656.49416666666662</v>
      </c>
      <c r="AO27" s="108">
        <v>506.83183333333341</v>
      </c>
      <c r="AP27" s="108">
        <v>371.75250000000005</v>
      </c>
      <c r="AQ27" s="108">
        <v>423.73066666666665</v>
      </c>
      <c r="AR27" s="108">
        <v>253.6451666666666</v>
      </c>
      <c r="AS27" s="108">
        <v>229.41499999999999</v>
      </c>
      <c r="AT27" s="108">
        <v>335.7673333333334</v>
      </c>
      <c r="AU27" s="108">
        <v>753.89749999999992</v>
      </c>
      <c r="AV27" s="108">
        <v>649.1158333333334</v>
      </c>
      <c r="AW27" s="108">
        <f t="shared" si="1"/>
        <v>24.179894166666667</v>
      </c>
    </row>
    <row r="28" spans="1:49">
      <c r="A28" s="145">
        <v>45770</v>
      </c>
      <c r="B28" s="146">
        <f>YEAR(Table7[[#This Row],[Date]])+IF(MONTH(Table7[[#This Row],[Date]])&gt;=4,1,0)</f>
        <v>2026</v>
      </c>
      <c r="C28" s="147">
        <f>YEAR(Table7[[#This Row],[Date]])</f>
        <v>2025</v>
      </c>
      <c r="D28" s="148">
        <f>Daily_KPI[[#This Row],[Date]]-DAY(Daily_KPI[[#This Row],[Date]])+1</f>
        <v>45748</v>
      </c>
      <c r="E28" s="108">
        <v>1505.4293333333333</v>
      </c>
      <c r="F28" s="108">
        <v>1195.8596666666665</v>
      </c>
      <c r="G28" s="108">
        <v>1135.2429999999995</v>
      </c>
      <c r="H28" s="108">
        <v>395.03449999999998</v>
      </c>
      <c r="I28" s="108">
        <v>1115.4778333333336</v>
      </c>
      <c r="J28" s="108">
        <v>840.7738333333333</v>
      </c>
      <c r="K28" s="108">
        <v>1357.1359999999997</v>
      </c>
      <c r="L28" s="108">
        <v>200.36233333333325</v>
      </c>
      <c r="M28" s="108">
        <v>383.48433333333327</v>
      </c>
      <c r="N28" s="108">
        <v>522.40166666666676</v>
      </c>
      <c r="O28" s="108">
        <v>608.50283333333334</v>
      </c>
      <c r="P28" s="108">
        <v>685.6586666666667</v>
      </c>
      <c r="Q28" s="108">
        <v>702.26250000000027</v>
      </c>
      <c r="R28" s="108">
        <v>675.07133333333343</v>
      </c>
      <c r="S28" s="108">
        <v>646.80233333333308</v>
      </c>
      <c r="T28" s="108">
        <v>704.66316666666683</v>
      </c>
      <c r="U28" s="108">
        <v>799.69</v>
      </c>
      <c r="V28" s="108">
        <v>1409.1921666666665</v>
      </c>
      <c r="W28" s="108">
        <v>717.66083333333324</v>
      </c>
      <c r="X28" s="108">
        <v>653.40783333333331</v>
      </c>
      <c r="Y28" s="108">
        <v>579.58849999999995</v>
      </c>
      <c r="Z28" s="108">
        <v>601.29733333333331</v>
      </c>
      <c r="AA28" s="108">
        <v>316.12233333333342</v>
      </c>
      <c r="AB28" s="108">
        <v>305.69633333333337</v>
      </c>
      <c r="AC28" s="108">
        <v>372.52366666666677</v>
      </c>
      <c r="AD28" s="108">
        <v>260.91383333333329</v>
      </c>
      <c r="AE28" s="108">
        <v>823.88883333333342</v>
      </c>
      <c r="AF28" s="108">
        <v>541.95666666666671</v>
      </c>
      <c r="AG28" s="108">
        <v>276.6703333333333</v>
      </c>
      <c r="AH28" s="108">
        <v>753.48466666666707</v>
      </c>
      <c r="AI28" s="108">
        <v>768.4938333333331</v>
      </c>
      <c r="AJ28" s="108">
        <v>525.1638333333334</v>
      </c>
      <c r="AK28" s="108">
        <v>1042.3613333333331</v>
      </c>
      <c r="AL28" s="108">
        <v>1263.4588333333334</v>
      </c>
      <c r="AM28" s="108">
        <v>282.94783333333328</v>
      </c>
      <c r="AN28" s="108">
        <v>1234.4691666666668</v>
      </c>
      <c r="AO28" s="108">
        <v>1224.0398333333335</v>
      </c>
      <c r="AP28" s="108">
        <v>266.63483333333335</v>
      </c>
      <c r="AQ28" s="108">
        <v>1146.3631666666668</v>
      </c>
      <c r="AR28" s="108">
        <v>736.68483333333324</v>
      </c>
      <c r="AS28" s="108">
        <v>763.24299999999994</v>
      </c>
      <c r="AT28" s="108">
        <v>963.02999999999986</v>
      </c>
      <c r="AU28" s="108">
        <v>1592.4294999999995</v>
      </c>
      <c r="AV28" s="108">
        <v>1394.7381666666663</v>
      </c>
      <c r="AW28" s="108">
        <f t="shared" si="1"/>
        <v>34.290314833333333</v>
      </c>
    </row>
    <row r="29" spans="1:49">
      <c r="A29" s="149">
        <v>45771</v>
      </c>
      <c r="B29" s="150">
        <f>YEAR(Table7[[#This Row],[Date]])+IF(MONTH(Table7[[#This Row],[Date]])&gt;=4,1,0)</f>
        <v>2026</v>
      </c>
      <c r="C29" s="151">
        <f>YEAR(Table7[[#This Row],[Date]])</f>
        <v>2025</v>
      </c>
      <c r="D29" s="152">
        <f>Daily_KPI[[#This Row],[Date]]-DAY(Daily_KPI[[#This Row],[Date]])+1</f>
        <v>45748</v>
      </c>
      <c r="E29" s="108">
        <v>1505.4293333333333</v>
      </c>
      <c r="F29" s="108">
        <v>1195.8596666666665</v>
      </c>
      <c r="G29" s="108">
        <v>1135.2429999999995</v>
      </c>
      <c r="H29" s="108">
        <v>395.03449999999998</v>
      </c>
      <c r="I29" s="108">
        <v>1115.4778333333336</v>
      </c>
      <c r="J29" s="108">
        <v>840.7738333333333</v>
      </c>
      <c r="K29" s="108">
        <v>1357.1359999999997</v>
      </c>
      <c r="L29" s="108">
        <v>200.36233333333325</v>
      </c>
      <c r="M29" s="108">
        <v>383.48433333333327</v>
      </c>
      <c r="N29" s="108">
        <v>522.40166666666676</v>
      </c>
      <c r="O29" s="108">
        <v>608.50283333333334</v>
      </c>
      <c r="P29" s="108">
        <v>685.6586666666667</v>
      </c>
      <c r="Q29" s="108">
        <v>702.26250000000027</v>
      </c>
      <c r="R29" s="108">
        <v>675.07133333333343</v>
      </c>
      <c r="S29" s="108">
        <v>646.80233333333308</v>
      </c>
      <c r="T29" s="108">
        <v>704.66316666666683</v>
      </c>
      <c r="U29" s="108">
        <v>799.69</v>
      </c>
      <c r="V29" s="108">
        <v>1409.1921666666665</v>
      </c>
      <c r="W29" s="108">
        <v>717.66083333333324</v>
      </c>
      <c r="X29" s="108">
        <v>653.40783333333331</v>
      </c>
      <c r="Y29" s="108">
        <v>579.58849999999995</v>
      </c>
      <c r="Z29" s="108">
        <v>601.29733333333331</v>
      </c>
      <c r="AA29" s="108">
        <v>316.12233333333342</v>
      </c>
      <c r="AB29" s="108">
        <v>305.69633333333337</v>
      </c>
      <c r="AC29" s="108">
        <v>372.52366666666677</v>
      </c>
      <c r="AD29" s="108">
        <v>260.91383333333329</v>
      </c>
      <c r="AE29" s="108">
        <v>823.88883333333342</v>
      </c>
      <c r="AF29" s="108">
        <v>541.95666666666671</v>
      </c>
      <c r="AG29" s="108">
        <v>276.6703333333333</v>
      </c>
      <c r="AH29" s="108">
        <v>753.48466666666707</v>
      </c>
      <c r="AI29" s="108">
        <v>768.4938333333331</v>
      </c>
      <c r="AJ29" s="108">
        <v>525.1638333333334</v>
      </c>
      <c r="AK29" s="108">
        <v>1042.3613333333331</v>
      </c>
      <c r="AL29" s="108">
        <v>1263.4588333333334</v>
      </c>
      <c r="AM29" s="108">
        <v>282.94783333333328</v>
      </c>
      <c r="AN29" s="108">
        <v>1234.4691666666668</v>
      </c>
      <c r="AO29" s="108">
        <v>1224.0398333333335</v>
      </c>
      <c r="AP29" s="108">
        <v>266.63483333333335</v>
      </c>
      <c r="AQ29" s="108">
        <v>1146.3631666666668</v>
      </c>
      <c r="AR29" s="108">
        <v>736.68483333333324</v>
      </c>
      <c r="AS29" s="108">
        <v>763.24299999999994</v>
      </c>
      <c r="AT29" s="108">
        <v>963.02999999999986</v>
      </c>
      <c r="AU29" s="108">
        <v>1592.4294999999995</v>
      </c>
      <c r="AV29" s="108">
        <v>1394.7381666666663</v>
      </c>
      <c r="AW29" s="108">
        <f t="shared" ref="AW29" si="3">SUM(E29:AV29)/1000</f>
        <v>34.290314833333333</v>
      </c>
    </row>
    <row r="30" spans="1:49">
      <c r="A30" s="145">
        <v>45772</v>
      </c>
      <c r="B30" s="146">
        <f>YEAR(Table7[[#This Row],[Date]])+IF(MONTH(Table7[[#This Row],[Date]])&gt;=4,1,0)</f>
        <v>2026</v>
      </c>
      <c r="C30" s="147">
        <f>YEAR(Table7[[#This Row],[Date]])</f>
        <v>2025</v>
      </c>
      <c r="D30" s="148">
        <f>Daily_KPI[[#This Row],[Date]]-DAY(Daily_KPI[[#This Row],[Date]])+1</f>
        <v>45748</v>
      </c>
      <c r="E30" s="108">
        <v>1342.3078333333335</v>
      </c>
      <c r="F30" s="108">
        <v>957.62533333333351</v>
      </c>
      <c r="G30" s="108">
        <v>820.57783333333373</v>
      </c>
      <c r="H30" s="108">
        <v>1061.9793333333337</v>
      </c>
      <c r="I30" s="108">
        <v>1071.0781666666664</v>
      </c>
      <c r="J30" s="108">
        <v>720.28266666666684</v>
      </c>
      <c r="K30" s="108">
        <v>1200.8175000000001</v>
      </c>
      <c r="L30" s="108">
        <v>466.71650000000028</v>
      </c>
      <c r="M30" s="108">
        <v>239.37133333333335</v>
      </c>
      <c r="N30" s="108">
        <v>267.47966666666662</v>
      </c>
      <c r="O30" s="108">
        <v>308.43966666666671</v>
      </c>
      <c r="P30" s="108">
        <v>342.29483333333337</v>
      </c>
      <c r="Q30" s="108">
        <v>409.80950000000007</v>
      </c>
      <c r="R30" s="108">
        <v>467.09433333333328</v>
      </c>
      <c r="S30" s="108">
        <v>448.57299999999992</v>
      </c>
      <c r="T30" s="108">
        <v>546.11833333333311</v>
      </c>
      <c r="U30" s="108">
        <v>671.11933333333332</v>
      </c>
      <c r="V30" s="108">
        <v>1271.1873333333333</v>
      </c>
      <c r="W30" s="108">
        <v>683.26433333333341</v>
      </c>
      <c r="X30" s="108">
        <v>609.12100000000021</v>
      </c>
      <c r="Y30" s="108">
        <v>1207.4765</v>
      </c>
      <c r="Z30" s="108">
        <v>1221.4201666666665</v>
      </c>
      <c r="AA30" s="108">
        <v>722.64250000000027</v>
      </c>
      <c r="AB30" s="108">
        <v>729.21800000000019</v>
      </c>
      <c r="AC30" s="108">
        <v>866.55183333333343</v>
      </c>
      <c r="AD30" s="108">
        <v>805.23766666666677</v>
      </c>
      <c r="AE30" s="108">
        <v>687.49733333333359</v>
      </c>
      <c r="AF30" s="108">
        <v>253.86916666666662</v>
      </c>
      <c r="AG30" s="108">
        <v>827.32016666666675</v>
      </c>
      <c r="AH30" s="108">
        <v>520.74450000000013</v>
      </c>
      <c r="AI30" s="108">
        <v>758.53800000000012</v>
      </c>
      <c r="AJ30" s="108">
        <v>249.78983333333323</v>
      </c>
      <c r="AK30" s="108">
        <v>933.0614999999998</v>
      </c>
      <c r="AL30" s="108">
        <v>1103.5076666666664</v>
      </c>
      <c r="AM30" s="108">
        <v>822.08449999999993</v>
      </c>
      <c r="AN30" s="108">
        <v>1146.6616666666666</v>
      </c>
      <c r="AO30" s="108">
        <v>1060.1326666666669</v>
      </c>
      <c r="AP30" s="108">
        <v>965.46633333333341</v>
      </c>
      <c r="AQ30" s="108">
        <v>1297.3600000000001</v>
      </c>
      <c r="AR30" s="108">
        <v>361.34750000000008</v>
      </c>
      <c r="AS30" s="108">
        <v>426.38333333333321</v>
      </c>
      <c r="AT30" s="108">
        <v>647.8698333333333</v>
      </c>
      <c r="AU30" s="108">
        <v>1471.0760000000002</v>
      </c>
      <c r="AV30" s="108">
        <v>1502.4093333333333</v>
      </c>
      <c r="AW30" s="108">
        <f t="shared" si="1"/>
        <v>34.49292383333335</v>
      </c>
    </row>
    <row r="31" spans="1:49">
      <c r="A31" s="149">
        <v>45773</v>
      </c>
      <c r="B31" s="150">
        <f>YEAR(Table7[[#This Row],[Date]])+IF(MONTH(Table7[[#This Row],[Date]])&gt;=4,1,0)</f>
        <v>2026</v>
      </c>
      <c r="C31" s="151">
        <f>YEAR(Table7[[#This Row],[Date]])</f>
        <v>2025</v>
      </c>
      <c r="D31" s="152">
        <f>Daily_KPI[[#This Row],[Date]]-DAY(Daily_KPI[[#This Row],[Date]])+1</f>
        <v>45748</v>
      </c>
      <c r="E31" s="108">
        <v>1141.5353333333333</v>
      </c>
      <c r="F31" s="108">
        <v>923.90716666666697</v>
      </c>
      <c r="G31" s="108">
        <v>802.78433333333351</v>
      </c>
      <c r="H31" s="108">
        <v>853.19816666666668</v>
      </c>
      <c r="I31" s="108">
        <v>927.18266666666659</v>
      </c>
      <c r="J31" s="108">
        <v>336.62650000000008</v>
      </c>
      <c r="K31" s="108">
        <v>636.40750000000014</v>
      </c>
      <c r="L31" s="108">
        <v>490.23383333333351</v>
      </c>
      <c r="M31" s="108">
        <v>402.25183333333325</v>
      </c>
      <c r="N31" s="108">
        <v>451.15566666666655</v>
      </c>
      <c r="O31" s="108">
        <v>500.6875</v>
      </c>
      <c r="P31" s="108">
        <v>550.70449999999994</v>
      </c>
      <c r="Q31" s="108">
        <v>602.24999999999989</v>
      </c>
      <c r="R31" s="108">
        <v>163.07416666666663</v>
      </c>
      <c r="S31" s="108">
        <v>173.96933333333334</v>
      </c>
      <c r="T31" s="108">
        <v>190.98316666666668</v>
      </c>
      <c r="U31" s="108">
        <v>174.18966666666668</v>
      </c>
      <c r="V31" s="108">
        <v>1011.582666666667</v>
      </c>
      <c r="W31" s="108">
        <v>221.1958333333333</v>
      </c>
      <c r="X31" s="108">
        <v>173.93166666666664</v>
      </c>
      <c r="Y31" s="108">
        <v>836.66249999999991</v>
      </c>
      <c r="Z31" s="108">
        <v>779.03733333333332</v>
      </c>
      <c r="AA31" s="108">
        <v>623.26283333333356</v>
      </c>
      <c r="AB31" s="108">
        <v>675.56050000000016</v>
      </c>
      <c r="AC31" s="108">
        <v>761.06216666666649</v>
      </c>
      <c r="AD31" s="108">
        <v>658.62099999999998</v>
      </c>
      <c r="AE31" s="108">
        <v>835.58033333333333</v>
      </c>
      <c r="AF31" s="108">
        <v>402.31816666666668</v>
      </c>
      <c r="AG31" s="108">
        <v>757.1541666666667</v>
      </c>
      <c r="AH31" s="108">
        <v>663.94616666666661</v>
      </c>
      <c r="AI31" s="108">
        <v>144.19333333333333</v>
      </c>
      <c r="AJ31" s="108">
        <v>596.50149999999996</v>
      </c>
      <c r="AK31" s="108">
        <v>919.22716666666668</v>
      </c>
      <c r="AL31" s="108">
        <v>1184.9716666666668</v>
      </c>
      <c r="AM31" s="108">
        <v>682.50783333333345</v>
      </c>
      <c r="AN31" s="108">
        <v>1001.6180000000004</v>
      </c>
      <c r="AO31" s="108">
        <v>1041.0211666666664</v>
      </c>
      <c r="AP31" s="108">
        <v>947.53150000000005</v>
      </c>
      <c r="AQ31" s="108">
        <v>1077.3883333333333</v>
      </c>
      <c r="AR31" s="108">
        <v>349.73416666666668</v>
      </c>
      <c r="AS31" s="108">
        <v>509.13333333333338</v>
      </c>
      <c r="AT31" s="108">
        <v>670.2403333333333</v>
      </c>
      <c r="AU31" s="108">
        <v>1147.9366666666667</v>
      </c>
      <c r="AV31" s="108">
        <v>1068.3586666666665</v>
      </c>
      <c r="AW31" s="108">
        <f t="shared" si="1"/>
        <v>29.061420333333334</v>
      </c>
    </row>
    <row r="32" spans="1:49">
      <c r="A32" s="145">
        <v>45774</v>
      </c>
      <c r="B32" s="146">
        <f>YEAR(Table7[[#This Row],[Date]])+IF(MONTH(Table7[[#This Row],[Date]])&gt;=4,1,0)</f>
        <v>2026</v>
      </c>
      <c r="C32" s="147">
        <f>YEAR(Table7[[#This Row],[Date]])</f>
        <v>2025</v>
      </c>
      <c r="D32" s="148">
        <f>Daily_KPI[[#This Row],[Date]]-DAY(Daily_KPI[[#This Row],[Date]])+1</f>
        <v>45748</v>
      </c>
      <c r="E32" s="108">
        <v>772.65766666666661</v>
      </c>
      <c r="F32" s="108">
        <v>576.39716666666675</v>
      </c>
      <c r="G32" s="108">
        <v>575.5663333333332</v>
      </c>
      <c r="H32" s="108">
        <v>516.27100000000007</v>
      </c>
      <c r="I32" s="108">
        <v>816.84233333333339</v>
      </c>
      <c r="J32" s="108">
        <v>548.45983333333345</v>
      </c>
      <c r="K32" s="108">
        <v>596.87916666666661</v>
      </c>
      <c r="L32" s="108">
        <v>295.24499999999995</v>
      </c>
      <c r="M32" s="108">
        <v>213.28033333333335</v>
      </c>
      <c r="N32" s="108">
        <v>297.60566666666665</v>
      </c>
      <c r="O32" s="108">
        <v>345.77783333333332</v>
      </c>
      <c r="P32" s="108">
        <v>404.55399999999992</v>
      </c>
      <c r="Q32" s="108">
        <v>434.30183333333343</v>
      </c>
      <c r="R32" s="108">
        <v>400.15116666666654</v>
      </c>
      <c r="S32" s="108">
        <v>387.04700000000003</v>
      </c>
      <c r="T32" s="108">
        <v>403.78783333333325</v>
      </c>
      <c r="U32" s="108">
        <v>465.85583333333346</v>
      </c>
      <c r="V32" s="108">
        <v>682.31266666666659</v>
      </c>
      <c r="W32" s="108">
        <v>435.92816666666681</v>
      </c>
      <c r="X32" s="108">
        <v>405.12033333333352</v>
      </c>
      <c r="Y32" s="108">
        <v>586.5061666666669</v>
      </c>
      <c r="Z32" s="108">
        <v>549.06916666666666</v>
      </c>
      <c r="AA32" s="108">
        <v>454.35999999999996</v>
      </c>
      <c r="AB32" s="108">
        <v>500.63383333333314</v>
      </c>
      <c r="AC32" s="108">
        <v>558.99233333333348</v>
      </c>
      <c r="AD32" s="108">
        <v>501.60483333333332</v>
      </c>
      <c r="AE32" s="108">
        <v>484.25666666666672</v>
      </c>
      <c r="AF32" s="108">
        <v>311.52833333333325</v>
      </c>
      <c r="AG32" s="108">
        <v>523.99983333333353</v>
      </c>
      <c r="AH32" s="108">
        <v>423.98099999999977</v>
      </c>
      <c r="AI32" s="108">
        <v>483.65850000000006</v>
      </c>
      <c r="AJ32" s="108">
        <v>333.01399999999984</v>
      </c>
      <c r="AK32" s="108">
        <v>449.46683333333323</v>
      </c>
      <c r="AL32" s="108">
        <v>881.24099999999999</v>
      </c>
      <c r="AM32" s="108">
        <v>482.90049999999997</v>
      </c>
      <c r="AN32" s="108">
        <v>688.55566666666675</v>
      </c>
      <c r="AO32" s="108">
        <v>712.63599999999997</v>
      </c>
      <c r="AP32" s="108">
        <v>713.80749999999978</v>
      </c>
      <c r="AQ32" s="108">
        <v>796.7879999999999</v>
      </c>
      <c r="AR32" s="108">
        <v>396.31416666666678</v>
      </c>
      <c r="AS32" s="108">
        <v>433.37299999999988</v>
      </c>
      <c r="AT32" s="108">
        <v>532.58633333333353</v>
      </c>
      <c r="AU32" s="108">
        <v>766.48999999999967</v>
      </c>
      <c r="AV32" s="108">
        <v>774.07649999999978</v>
      </c>
      <c r="AW32" s="108">
        <f t="shared" si="1"/>
        <v>22.913881333333325</v>
      </c>
    </row>
    <row r="33" spans="1:49">
      <c r="A33" s="149">
        <v>45775</v>
      </c>
      <c r="B33" s="150">
        <f>YEAR(Table7[[#This Row],[Date]])+IF(MONTH(Table7[[#This Row],[Date]])&gt;=4,1,0)</f>
        <v>2026</v>
      </c>
      <c r="C33" s="151">
        <f>YEAR(Table7[[#This Row],[Date]])</f>
        <v>2025</v>
      </c>
      <c r="D33" s="152">
        <f>Daily_KPI[[#This Row],[Date]]-DAY(Daily_KPI[[#This Row],[Date]])+1</f>
        <v>45748</v>
      </c>
      <c r="E33" s="108">
        <v>772.65766666666661</v>
      </c>
      <c r="F33" s="108">
        <v>576.39716666666675</v>
      </c>
      <c r="G33" s="108">
        <v>575.5663333333332</v>
      </c>
      <c r="H33" s="108">
        <v>516.27100000000007</v>
      </c>
      <c r="I33" s="108">
        <v>816.84233333333339</v>
      </c>
      <c r="J33" s="108">
        <v>548.45983333333345</v>
      </c>
      <c r="K33" s="108">
        <v>596.87916666666661</v>
      </c>
      <c r="L33" s="108">
        <v>295.24499999999995</v>
      </c>
      <c r="M33" s="108">
        <v>213.28033333333335</v>
      </c>
      <c r="N33" s="108">
        <v>297.60566666666665</v>
      </c>
      <c r="O33" s="108">
        <v>345.77783333333332</v>
      </c>
      <c r="P33" s="108">
        <v>404.55399999999992</v>
      </c>
      <c r="Q33" s="108">
        <v>434.30183333333343</v>
      </c>
      <c r="R33" s="108">
        <v>400.15116666666654</v>
      </c>
      <c r="S33" s="108">
        <v>387.04700000000003</v>
      </c>
      <c r="T33" s="108">
        <v>403.78783333333325</v>
      </c>
      <c r="U33" s="108">
        <v>465.85583333333346</v>
      </c>
      <c r="V33" s="108">
        <v>682.31266666666659</v>
      </c>
      <c r="W33" s="108">
        <v>435.92816666666681</v>
      </c>
      <c r="X33" s="108">
        <v>405.12033333333352</v>
      </c>
      <c r="Y33" s="108">
        <v>586.5061666666669</v>
      </c>
      <c r="Z33" s="108">
        <v>549.06916666666666</v>
      </c>
      <c r="AA33" s="108">
        <v>454.35999999999996</v>
      </c>
      <c r="AB33" s="108">
        <v>500.63383333333314</v>
      </c>
      <c r="AC33" s="108">
        <v>558.99233333333348</v>
      </c>
      <c r="AD33" s="108">
        <v>501.60483333333332</v>
      </c>
      <c r="AE33" s="108">
        <v>484.25666666666672</v>
      </c>
      <c r="AF33" s="108">
        <v>311.52833333333325</v>
      </c>
      <c r="AG33" s="108">
        <v>523.99983333333353</v>
      </c>
      <c r="AH33" s="108">
        <v>423.98099999999977</v>
      </c>
      <c r="AI33" s="108">
        <v>483.65850000000006</v>
      </c>
      <c r="AJ33" s="108">
        <v>333.01399999999984</v>
      </c>
      <c r="AK33" s="108">
        <v>449.46683333333323</v>
      </c>
      <c r="AL33" s="108">
        <v>881.24099999999999</v>
      </c>
      <c r="AM33" s="108">
        <v>482.90049999999997</v>
      </c>
      <c r="AN33" s="108">
        <v>688.55566666666675</v>
      </c>
      <c r="AO33" s="108">
        <v>712.63599999999997</v>
      </c>
      <c r="AP33" s="108">
        <v>713.80749999999978</v>
      </c>
      <c r="AQ33" s="108">
        <v>796.7879999999999</v>
      </c>
      <c r="AR33" s="108">
        <v>396.31416666666678</v>
      </c>
      <c r="AS33" s="108">
        <v>433.37299999999988</v>
      </c>
      <c r="AT33" s="108">
        <v>532.58633333333353</v>
      </c>
      <c r="AU33" s="108">
        <v>766.48999999999967</v>
      </c>
      <c r="AV33" s="108">
        <v>774.07649999999978</v>
      </c>
      <c r="AW33" s="108">
        <f t="shared" ref="AW33" si="4">SUM(E33:AV33)/1000</f>
        <v>22.913881333333325</v>
      </c>
    </row>
    <row r="34" spans="1:49">
      <c r="A34" s="145">
        <v>45776</v>
      </c>
      <c r="B34" s="146">
        <f>YEAR(Table7[[#This Row],[Date]])+IF(MONTH(Table7[[#This Row],[Date]])&gt;=4,1,0)</f>
        <v>2026</v>
      </c>
      <c r="C34" s="147">
        <f>YEAR(Table7[[#This Row],[Date]])</f>
        <v>2025</v>
      </c>
      <c r="D34" s="148">
        <f>Daily_KPI[[#This Row],[Date]]-DAY(Daily_KPI[[#This Row],[Date]])+1</f>
        <v>45748</v>
      </c>
      <c r="E34" s="108">
        <v>1560.4041666666669</v>
      </c>
      <c r="F34" s="108">
        <v>1329.7775000000004</v>
      </c>
      <c r="G34" s="108">
        <v>1080.5256666666664</v>
      </c>
      <c r="H34" s="108">
        <v>1083.6691666666663</v>
      </c>
      <c r="I34" s="108">
        <v>1356.5601666666669</v>
      </c>
      <c r="J34" s="108">
        <v>1046.6589999999994</v>
      </c>
      <c r="K34" s="108">
        <v>1238.1288333333334</v>
      </c>
      <c r="L34" s="108">
        <v>553.54749999999979</v>
      </c>
      <c r="M34" s="108">
        <v>408.44166666666666</v>
      </c>
      <c r="N34" s="108">
        <v>539.64566666666667</v>
      </c>
      <c r="O34" s="108">
        <v>596.56550000000004</v>
      </c>
      <c r="P34" s="108">
        <v>679.3694999999999</v>
      </c>
      <c r="Q34" s="108">
        <v>682.37099999999975</v>
      </c>
      <c r="R34" s="108">
        <v>687.45583333333354</v>
      </c>
      <c r="S34" s="108">
        <v>658.90666666666687</v>
      </c>
      <c r="T34" s="108">
        <v>782.96366666666654</v>
      </c>
      <c r="U34" s="108">
        <v>892.04566666666653</v>
      </c>
      <c r="V34" s="108">
        <v>1634.1246666666664</v>
      </c>
      <c r="W34" s="108">
        <v>864.4613333333333</v>
      </c>
      <c r="X34" s="108">
        <v>711.02449999999965</v>
      </c>
      <c r="Y34" s="108">
        <v>1052.3590000000002</v>
      </c>
      <c r="Z34" s="108">
        <v>1190.8056666666669</v>
      </c>
      <c r="AA34" s="108">
        <v>816.22766666666678</v>
      </c>
      <c r="AB34" s="108">
        <v>933.36183333333327</v>
      </c>
      <c r="AC34" s="108">
        <v>1061.0876666666668</v>
      </c>
      <c r="AD34" s="108">
        <v>912.84100000000001</v>
      </c>
      <c r="AE34" s="108">
        <v>695.85516666666683</v>
      </c>
      <c r="AF34" s="108">
        <v>359.39566666666678</v>
      </c>
      <c r="AG34" s="108">
        <v>976.17766666666705</v>
      </c>
      <c r="AH34" s="108">
        <v>559.59950000000015</v>
      </c>
      <c r="AI34" s="108">
        <v>859.52716666666674</v>
      </c>
      <c r="AJ34" s="108">
        <v>249.22816666666674</v>
      </c>
      <c r="AK34" s="108">
        <v>1290.2076666666667</v>
      </c>
      <c r="AL34" s="108">
        <v>1610.1578333333334</v>
      </c>
      <c r="AM34" s="108">
        <v>748.87149999999986</v>
      </c>
      <c r="AN34" s="108">
        <v>1336.8385000000005</v>
      </c>
      <c r="AO34" s="108">
        <v>1281.2798333333333</v>
      </c>
      <c r="AP34" s="108">
        <v>1266.9823333333331</v>
      </c>
      <c r="AQ34" s="108">
        <v>1459.8041666666668</v>
      </c>
      <c r="AR34" s="108">
        <v>403.88733333333334</v>
      </c>
      <c r="AS34" s="108">
        <v>492.50616666666696</v>
      </c>
      <c r="AT34" s="108">
        <v>662.7974999999999</v>
      </c>
      <c r="AU34" s="108">
        <v>1416.8054999999997</v>
      </c>
      <c r="AV34" s="108">
        <v>1400.1438333333335</v>
      </c>
      <c r="AW34" s="108">
        <f t="shared" si="1"/>
        <v>41.423396000000011</v>
      </c>
    </row>
    <row r="35" spans="1:49">
      <c r="A35" s="149">
        <v>45777</v>
      </c>
      <c r="B35" s="150">
        <f>YEAR(Table7[[#This Row],[Date]])+IF(MONTH(Table7[[#This Row],[Date]])&gt;=4,1,0)</f>
        <v>2026</v>
      </c>
      <c r="C35" s="151">
        <f>YEAR(Table7[[#This Row],[Date]])</f>
        <v>2025</v>
      </c>
      <c r="D35" s="152">
        <f>Daily_KPI[[#This Row],[Date]]-DAY(Daily_KPI[[#This Row],[Date]])+1</f>
        <v>45778</v>
      </c>
      <c r="E35" s="108">
        <v>2636.7143333333329</v>
      </c>
      <c r="F35" s="108">
        <v>2208.6974999999998</v>
      </c>
      <c r="G35" s="108">
        <v>2127.2431666666671</v>
      </c>
      <c r="H35" s="108">
        <v>1695.6358333333328</v>
      </c>
      <c r="I35" s="108">
        <v>2056.9986666666668</v>
      </c>
      <c r="J35" s="108">
        <v>1534.8863333333336</v>
      </c>
      <c r="K35" s="108">
        <v>2086.4804999999992</v>
      </c>
      <c r="L35" s="108">
        <v>654.37399999999968</v>
      </c>
      <c r="M35" s="108">
        <v>504.99683333333337</v>
      </c>
      <c r="N35" s="108">
        <v>620.14550000000008</v>
      </c>
      <c r="O35" s="108">
        <v>656.65916666666692</v>
      </c>
      <c r="P35" s="108">
        <v>619.46833333333336</v>
      </c>
      <c r="Q35" s="108">
        <v>711.43766666666681</v>
      </c>
      <c r="R35" s="108">
        <v>782.9060000000004</v>
      </c>
      <c r="S35" s="108">
        <v>752.46900000000005</v>
      </c>
      <c r="T35" s="108">
        <v>886.59083333333331</v>
      </c>
      <c r="U35" s="108">
        <v>970.82633333333331</v>
      </c>
      <c r="V35" s="108">
        <v>2382.119666666666</v>
      </c>
      <c r="W35" s="108">
        <v>922.58350000000007</v>
      </c>
      <c r="X35" s="108">
        <v>726.24883333333321</v>
      </c>
      <c r="Y35" s="108">
        <v>1725.471666666667</v>
      </c>
      <c r="Z35" s="108">
        <v>1957.0940000000012</v>
      </c>
      <c r="AA35" s="108">
        <v>1152.0231666666666</v>
      </c>
      <c r="AB35" s="108">
        <v>1223.6320000000003</v>
      </c>
      <c r="AC35" s="108">
        <v>1362.8791666666664</v>
      </c>
      <c r="AD35" s="108">
        <v>1159.3218333333336</v>
      </c>
      <c r="AE35" s="108">
        <v>1753.5924999999997</v>
      </c>
      <c r="AF35" s="108">
        <v>854.0923333333335</v>
      </c>
      <c r="AG35" s="108">
        <v>1596.458333333333</v>
      </c>
      <c r="AH35" s="108">
        <v>1144.0068333333336</v>
      </c>
      <c r="AI35" s="108">
        <v>1025.1496666666665</v>
      </c>
      <c r="AJ35" s="108">
        <v>750.27699999999993</v>
      </c>
      <c r="AK35" s="108">
        <v>1967.0766666666675</v>
      </c>
      <c r="AL35" s="108">
        <v>2065.9718333333326</v>
      </c>
      <c r="AM35" s="108">
        <v>1080.9808333333333</v>
      </c>
      <c r="AN35" s="108">
        <v>1675.2664999999997</v>
      </c>
      <c r="AO35" s="108">
        <v>1551.2895000000008</v>
      </c>
      <c r="AP35" s="108">
        <v>1637.1128333333336</v>
      </c>
      <c r="AQ35" s="108">
        <v>1833.6531666666669</v>
      </c>
      <c r="AR35" s="108">
        <v>696.95849999999973</v>
      </c>
      <c r="AS35" s="108">
        <v>1401.390333333333</v>
      </c>
      <c r="AT35" s="108">
        <v>1799.533333333334</v>
      </c>
      <c r="AU35" s="108">
        <v>2491.8758333333335</v>
      </c>
      <c r="AV35" s="108">
        <v>2067.6248333333333</v>
      </c>
      <c r="AW35" s="108">
        <f t="shared" si="1"/>
        <v>61.510214666666684</v>
      </c>
    </row>
    <row r="36" spans="1:49">
      <c r="A36" s="145">
        <v>45778</v>
      </c>
      <c r="B36" s="146">
        <f>YEAR(Table7[[#This Row],[Date]])+IF(MONTH(Table7[[#This Row],[Date]])&gt;=4,1,0)</f>
        <v>2026</v>
      </c>
      <c r="C36" s="147">
        <f>YEAR(Table7[[#This Row],[Date]])</f>
        <v>2025</v>
      </c>
      <c r="D36" s="148">
        <f>Daily_KPI[[#This Row],[Date]]-DAY(Daily_KPI[[#This Row],[Date]])+1</f>
        <v>45778</v>
      </c>
      <c r="E36" s="108">
        <v>2769.0955000000008</v>
      </c>
      <c r="F36" s="108">
        <v>2678.2778333333331</v>
      </c>
      <c r="G36" s="108">
        <v>2886.2608333333342</v>
      </c>
      <c r="H36" s="108">
        <v>1881.9640000000006</v>
      </c>
      <c r="I36" s="108">
        <v>1955.3051666666663</v>
      </c>
      <c r="J36" s="108">
        <v>1484.6278333333337</v>
      </c>
      <c r="K36" s="108">
        <v>2409.6514999999995</v>
      </c>
      <c r="L36" s="108">
        <v>632.69833333333304</v>
      </c>
      <c r="M36" s="108">
        <v>376.20250000000004</v>
      </c>
      <c r="N36" s="108">
        <v>436.01049999999987</v>
      </c>
      <c r="O36" s="108">
        <v>451.3138333333336</v>
      </c>
      <c r="P36" s="108">
        <v>512.77866666666671</v>
      </c>
      <c r="Q36" s="108">
        <v>512.03700000000015</v>
      </c>
      <c r="R36" s="108">
        <v>567.84583333333342</v>
      </c>
      <c r="S36" s="108">
        <v>544.72233333333349</v>
      </c>
      <c r="T36" s="108">
        <v>644.23466666666673</v>
      </c>
      <c r="U36" s="108">
        <v>902.35683333333293</v>
      </c>
      <c r="V36" s="108">
        <v>2515.4774999999991</v>
      </c>
      <c r="W36" s="108">
        <v>764.04133333333323</v>
      </c>
      <c r="X36" s="108">
        <v>711.74033333333318</v>
      </c>
      <c r="Y36" s="108">
        <v>2312.384</v>
      </c>
      <c r="Z36" s="108">
        <v>2569.8946666666666</v>
      </c>
      <c r="AA36" s="108">
        <v>1114.3946666666668</v>
      </c>
      <c r="AB36" s="108">
        <v>1070.2673333333332</v>
      </c>
      <c r="AC36" s="108">
        <v>1283.0125</v>
      </c>
      <c r="AD36" s="108">
        <v>975.68399999999974</v>
      </c>
      <c r="AE36" s="108">
        <v>2491.1844999999998</v>
      </c>
      <c r="AF36" s="108">
        <v>1074.3276666666668</v>
      </c>
      <c r="AG36" s="108">
        <v>1669.3173333333334</v>
      </c>
      <c r="AH36" s="108">
        <v>1524.1458333333339</v>
      </c>
      <c r="AI36" s="108">
        <v>927.12666666666644</v>
      </c>
      <c r="AJ36" s="108">
        <v>626.62066666666669</v>
      </c>
      <c r="AK36" s="108">
        <v>1792.999</v>
      </c>
      <c r="AL36" s="108">
        <v>2147.1846666666665</v>
      </c>
      <c r="AM36" s="108">
        <v>1070.2181666666663</v>
      </c>
      <c r="AN36" s="108">
        <v>2270.9491666666663</v>
      </c>
      <c r="AO36" s="108">
        <v>1760.6210000000008</v>
      </c>
      <c r="AP36" s="108">
        <v>1692.9671666666679</v>
      </c>
      <c r="AQ36" s="108">
        <v>1754.4548333333335</v>
      </c>
      <c r="AR36" s="108">
        <v>1639.040666666667</v>
      </c>
      <c r="AS36" s="108">
        <v>1928.2031666666669</v>
      </c>
      <c r="AT36" s="108">
        <v>2523.9095000000002</v>
      </c>
      <c r="AU36" s="108">
        <v>2965.3643333333343</v>
      </c>
      <c r="AV36" s="108">
        <v>2171.5975000000003</v>
      </c>
      <c r="AW36" s="108">
        <f t="shared" si="1"/>
        <v>66.99251133333334</v>
      </c>
    </row>
    <row r="37" spans="1:49">
      <c r="A37" s="149">
        <v>45779</v>
      </c>
      <c r="B37" s="150">
        <f>YEAR(Table7[[#This Row],[Date]])+IF(MONTH(Table7[[#This Row],[Date]])&gt;=4,1,0)</f>
        <v>2026</v>
      </c>
      <c r="C37" s="151">
        <f>YEAR(Table7[[#This Row],[Date]])</f>
        <v>2025</v>
      </c>
      <c r="D37" s="152">
        <f>Daily_KPI[[#This Row],[Date]]-DAY(Daily_KPI[[#This Row],[Date]])+1</f>
        <v>45778</v>
      </c>
      <c r="E37">
        <v>3635.813333333333</v>
      </c>
      <c r="F37">
        <v>3561.9400000000005</v>
      </c>
      <c r="G37">
        <v>3863.5488333333324</v>
      </c>
      <c r="H37">
        <v>1761.8271666666669</v>
      </c>
      <c r="I37">
        <v>2677.8894999999998</v>
      </c>
      <c r="J37">
        <v>2947.3106666666667</v>
      </c>
      <c r="K37">
        <v>3172.9808333333326</v>
      </c>
      <c r="L37">
        <v>1070.1908333333331</v>
      </c>
      <c r="M37">
        <v>725.77549999999974</v>
      </c>
      <c r="N37">
        <v>781.96549999999979</v>
      </c>
      <c r="O37">
        <v>816.15250000000003</v>
      </c>
      <c r="P37">
        <v>921.5865000000008</v>
      </c>
      <c r="Q37">
        <v>940.53516666666701</v>
      </c>
      <c r="R37">
        <v>1097.327666666667</v>
      </c>
      <c r="S37">
        <v>1101.1423333333335</v>
      </c>
      <c r="T37">
        <v>1567.5758333333331</v>
      </c>
      <c r="U37">
        <v>1664.4449999999995</v>
      </c>
      <c r="V37">
        <v>3186.4858333333323</v>
      </c>
      <c r="W37">
        <v>1351.0998333333334</v>
      </c>
      <c r="X37">
        <v>1033.9711666666665</v>
      </c>
      <c r="Y37">
        <v>2183.2716666666661</v>
      </c>
      <c r="Z37">
        <v>2856.9694999999997</v>
      </c>
      <c r="AA37">
        <v>1516.3416666666669</v>
      </c>
      <c r="AB37">
        <v>1518.6858333333339</v>
      </c>
      <c r="AC37">
        <v>1795.4558333333334</v>
      </c>
      <c r="AD37">
        <v>1684.6346666666661</v>
      </c>
      <c r="AE37">
        <v>3743.7538333333337</v>
      </c>
      <c r="AF37">
        <v>2080.3363333333341</v>
      </c>
      <c r="AG37">
        <v>1966.847</v>
      </c>
      <c r="AH37">
        <v>2738.766333333333</v>
      </c>
      <c r="AI37">
        <v>1405.9540000000004</v>
      </c>
      <c r="AJ37">
        <v>1457.938666666666</v>
      </c>
      <c r="AK37">
        <v>2963.6228333333306</v>
      </c>
      <c r="AL37">
        <v>3441.1665000000025</v>
      </c>
      <c r="AM37">
        <v>1510.5094999999999</v>
      </c>
      <c r="AN37">
        <v>3774.8488333333339</v>
      </c>
      <c r="AO37">
        <v>3507.2211666666667</v>
      </c>
      <c r="AP37">
        <v>3175.574833333334</v>
      </c>
      <c r="AQ37">
        <v>3105.6546666666668</v>
      </c>
      <c r="AR37">
        <v>2699.2059999999997</v>
      </c>
      <c r="AS37">
        <v>2875.7876666666666</v>
      </c>
      <c r="AT37">
        <v>3491.4565000000007</v>
      </c>
      <c r="AU37">
        <v>3452.3818333333347</v>
      </c>
      <c r="AV37">
        <v>2937.441666666668</v>
      </c>
      <c r="AW37" s="108">
        <f t="shared" si="1"/>
        <v>99.76339133333336</v>
      </c>
    </row>
    <row r="38" spans="1:49">
      <c r="A38" s="145">
        <v>45780</v>
      </c>
      <c r="B38" s="146">
        <f>YEAR(Table7[[#This Row],[Date]])+IF(MONTH(Table7[[#This Row],[Date]])&gt;=4,1,0)</f>
        <v>2026</v>
      </c>
      <c r="C38" s="147">
        <f>YEAR(Table7[[#This Row],[Date]])</f>
        <v>2025</v>
      </c>
      <c r="D38" s="148">
        <f>Daily_KPI[[#This Row],[Date]]-DAY(Daily_KPI[[#This Row],[Date]])+1</f>
        <v>45778</v>
      </c>
      <c r="E38" s="108">
        <v>3192.2991666666653</v>
      </c>
      <c r="F38" s="108">
        <v>3465.0250000000015</v>
      </c>
      <c r="G38" s="108">
        <v>3522.575166666667</v>
      </c>
      <c r="H38" s="108">
        <v>2322.4706666666661</v>
      </c>
      <c r="I38" s="108">
        <v>2763.052000000001</v>
      </c>
      <c r="J38" s="108">
        <v>2686.4420000000005</v>
      </c>
      <c r="K38" s="108">
        <v>2439.9804999999992</v>
      </c>
      <c r="L38" s="108">
        <v>1117.7605000000001</v>
      </c>
      <c r="M38" s="108">
        <v>1003.5300000000003</v>
      </c>
      <c r="N38" s="108">
        <v>1043.5331666666673</v>
      </c>
      <c r="O38" s="108">
        <v>1050.9514999999999</v>
      </c>
      <c r="P38" s="108">
        <v>1027.5568333333333</v>
      </c>
      <c r="Q38" s="108">
        <v>1037.3063333333334</v>
      </c>
      <c r="R38" s="108">
        <v>1048.2038333333328</v>
      </c>
      <c r="S38" s="108">
        <v>1006.4511666666667</v>
      </c>
      <c r="T38" s="108">
        <v>1139.3343333333335</v>
      </c>
      <c r="U38" s="108">
        <v>1317.8508333333334</v>
      </c>
      <c r="V38" s="108">
        <v>3244.2894999999994</v>
      </c>
      <c r="W38" s="108">
        <v>1396.4378333333334</v>
      </c>
      <c r="X38" s="108">
        <v>1301.4770000000001</v>
      </c>
      <c r="Y38" s="108">
        <v>2247.9969999999989</v>
      </c>
      <c r="Z38" s="108">
        <v>2763.2198333333322</v>
      </c>
      <c r="AA38" s="108">
        <v>1567.8518333333325</v>
      </c>
      <c r="AB38" s="108">
        <v>1552.753333333334</v>
      </c>
      <c r="AC38" s="108">
        <v>1743.8286666666665</v>
      </c>
      <c r="AD38" s="108">
        <v>1562.3963333333331</v>
      </c>
      <c r="AE38" s="108">
        <v>3438.0474999999983</v>
      </c>
      <c r="AF38" s="108">
        <v>2267.6191666666664</v>
      </c>
      <c r="AG38" s="108">
        <v>2776.5668333333324</v>
      </c>
      <c r="AH38" s="108">
        <v>2828.1383333333329</v>
      </c>
      <c r="AI38" s="108">
        <v>1604.7576666666675</v>
      </c>
      <c r="AJ38" s="108">
        <v>2091.074666666666</v>
      </c>
      <c r="AK38" s="108">
        <v>2866.3546666666662</v>
      </c>
      <c r="AL38" s="108">
        <v>2964.5378333333333</v>
      </c>
      <c r="AM38" s="108">
        <v>1452.5079999999991</v>
      </c>
      <c r="AN38" s="108">
        <v>3796.2570000000001</v>
      </c>
      <c r="AO38" s="108">
        <v>3571.4974999999999</v>
      </c>
      <c r="AP38" s="108">
        <v>2946.9928333333341</v>
      </c>
      <c r="AQ38" s="108">
        <v>2942.4300000000003</v>
      </c>
      <c r="AR38" s="108">
        <v>1820.0211666666671</v>
      </c>
      <c r="AS38" s="108">
        <v>2563.9478333333336</v>
      </c>
      <c r="AT38" s="108">
        <v>2812.1283333333326</v>
      </c>
      <c r="AU38" s="108">
        <v>2999.8795000000009</v>
      </c>
      <c r="AV38" s="108">
        <v>2493.598500000001</v>
      </c>
      <c r="AW38" s="108">
        <f t="shared" si="1"/>
        <v>96.800931666666671</v>
      </c>
    </row>
    <row r="39" spans="1:49">
      <c r="A39" s="149">
        <v>45781</v>
      </c>
      <c r="B39" s="150">
        <f>YEAR(Table7[[#This Row],[Date]])+IF(MONTH(Table7[[#This Row],[Date]])&gt;=4,1,0)</f>
        <v>2026</v>
      </c>
      <c r="C39" s="151">
        <f>YEAR(Table7[[#This Row],[Date]])</f>
        <v>2025</v>
      </c>
      <c r="D39" s="152">
        <f>Daily_KPI[[#This Row],[Date]]-DAY(Daily_KPI[[#This Row],[Date]])+1</f>
        <v>45778</v>
      </c>
      <c r="E39" s="108">
        <v>2912.651333333331</v>
      </c>
      <c r="F39" s="108">
        <v>2691.9805000000001</v>
      </c>
      <c r="G39" s="108">
        <v>2363.4183333333335</v>
      </c>
      <c r="H39" s="108">
        <v>3021.5619999999994</v>
      </c>
      <c r="I39" s="108">
        <v>3578.7296666666666</v>
      </c>
      <c r="J39" s="108">
        <v>3305.4008333333313</v>
      </c>
      <c r="K39" s="108">
        <v>2505.4768333333327</v>
      </c>
      <c r="L39" s="108">
        <v>1039.3208333333334</v>
      </c>
      <c r="M39" s="108">
        <v>976.20733333333339</v>
      </c>
      <c r="N39" s="108">
        <v>1108.7759999999996</v>
      </c>
      <c r="O39" s="108">
        <v>1203.0945000000002</v>
      </c>
      <c r="P39" s="108">
        <v>1349.6293333333329</v>
      </c>
      <c r="Q39" s="108">
        <v>1171.0998333333332</v>
      </c>
      <c r="R39" s="108">
        <v>1295.2288333333336</v>
      </c>
      <c r="S39" s="108">
        <v>1154.9283333333335</v>
      </c>
      <c r="T39" s="108">
        <v>1385.1190000000004</v>
      </c>
      <c r="U39" s="108">
        <v>1469.4134999999997</v>
      </c>
      <c r="V39" s="108">
        <v>3309.0896666666667</v>
      </c>
      <c r="W39" s="108">
        <v>1459.9470000000008</v>
      </c>
      <c r="X39" s="108">
        <v>1247.7488333333331</v>
      </c>
      <c r="Y39" s="108">
        <v>2579.8973333333342</v>
      </c>
      <c r="Z39" s="108">
        <v>3084.5384999999987</v>
      </c>
      <c r="AA39" s="108">
        <v>1727.9383333333328</v>
      </c>
      <c r="AB39" s="108">
        <v>1789.027166666667</v>
      </c>
      <c r="AC39" s="108">
        <v>1947.5800000000006</v>
      </c>
      <c r="AD39" s="108">
        <v>1664.8684999999989</v>
      </c>
      <c r="AE39" s="108">
        <v>2652.5443333333333</v>
      </c>
      <c r="AF39" s="108">
        <v>2141.9396666666662</v>
      </c>
      <c r="AG39" s="108">
        <v>3184.0918333333325</v>
      </c>
      <c r="AH39" s="108">
        <v>2928.3898333333309</v>
      </c>
      <c r="AI39" s="108">
        <v>1695.9543333333331</v>
      </c>
      <c r="AJ39" s="108">
        <v>2173.7210000000009</v>
      </c>
      <c r="AK39" s="108">
        <v>3614.1863333333345</v>
      </c>
      <c r="AL39" s="108">
        <v>3520.4679999999994</v>
      </c>
      <c r="AM39" s="108">
        <v>1751.3676666666668</v>
      </c>
      <c r="AN39" s="108">
        <v>4173.4835000000021</v>
      </c>
      <c r="AO39" s="108">
        <v>4010.3185000000008</v>
      </c>
      <c r="AP39" s="108">
        <v>3478.1203333333328</v>
      </c>
      <c r="AQ39" s="108">
        <v>3456.3464999999997</v>
      </c>
      <c r="AR39" s="108">
        <v>866.07400000000007</v>
      </c>
      <c r="AS39" s="108">
        <v>1609.9666666666665</v>
      </c>
      <c r="AT39" s="108">
        <v>2150.098</v>
      </c>
      <c r="AU39" s="108">
        <v>3089.2284999999979</v>
      </c>
      <c r="AV39" s="108">
        <v>3015.6313333333328</v>
      </c>
      <c r="AW39" s="108">
        <f t="shared" si="1"/>
        <v>100.85460266666665</v>
      </c>
    </row>
    <row r="40" spans="1:49">
      <c r="A40" s="145">
        <v>45782</v>
      </c>
      <c r="B40" s="146">
        <f>YEAR(Table7[[#This Row],[Date]])+IF(MONTH(Table7[[#This Row],[Date]])&gt;=4,1,0)</f>
        <v>2026</v>
      </c>
      <c r="C40" s="147">
        <f>YEAR(Table7[[#This Row],[Date]])</f>
        <v>2025</v>
      </c>
      <c r="D40" s="148">
        <f>Daily_KPI[[#This Row],[Date]]-DAY(Daily_KPI[[#This Row],[Date]])+1</f>
        <v>45778</v>
      </c>
      <c r="E40" s="108">
        <v>3489.8154999999992</v>
      </c>
      <c r="F40" s="108">
        <v>3695.5154999999991</v>
      </c>
      <c r="G40" s="108">
        <v>3732.9093333333335</v>
      </c>
      <c r="H40" s="108">
        <v>2669.0658333333336</v>
      </c>
      <c r="I40" s="108">
        <v>2470.9790000000007</v>
      </c>
      <c r="J40" s="108">
        <v>2153.7321666666662</v>
      </c>
      <c r="K40" s="108">
        <v>2417.1913333333323</v>
      </c>
      <c r="L40" s="108">
        <v>756.61783333333312</v>
      </c>
      <c r="M40" s="108">
        <v>829.57799999999997</v>
      </c>
      <c r="N40" s="108">
        <v>1008.9793333333338</v>
      </c>
      <c r="O40" s="108">
        <v>1113.2724999999998</v>
      </c>
      <c r="P40" s="108">
        <v>1224.799</v>
      </c>
      <c r="Q40" s="108">
        <v>1158.9653333333333</v>
      </c>
      <c r="R40" s="108">
        <v>1126.7583333333325</v>
      </c>
      <c r="S40" s="108">
        <v>1010.4368333333335</v>
      </c>
      <c r="T40" s="108">
        <v>1164.7913333333331</v>
      </c>
      <c r="U40" s="108">
        <v>1447.1666666666658</v>
      </c>
      <c r="V40" s="108">
        <v>3277.4523333333332</v>
      </c>
      <c r="W40" s="108">
        <v>1311.0528333333341</v>
      </c>
      <c r="X40" s="108">
        <v>1126.8211666666668</v>
      </c>
      <c r="Y40" s="108">
        <v>2603.3745000000004</v>
      </c>
      <c r="Z40" s="108">
        <v>3088.4918333333321</v>
      </c>
      <c r="AA40" s="108">
        <v>1600.3346666666669</v>
      </c>
      <c r="AB40" s="108">
        <v>1673.9815000000006</v>
      </c>
      <c r="AC40" s="108">
        <v>1904.0848333333331</v>
      </c>
      <c r="AD40" s="108">
        <v>1618.6278333333337</v>
      </c>
      <c r="AE40" s="108">
        <v>3548.7738333333327</v>
      </c>
      <c r="AF40" s="108">
        <v>1915.0051666666666</v>
      </c>
      <c r="AG40" s="108">
        <v>2862.9034999999999</v>
      </c>
      <c r="AH40" s="108">
        <v>2504.1575000000007</v>
      </c>
      <c r="AI40" s="108">
        <v>1595.5933333333339</v>
      </c>
      <c r="AJ40" s="108">
        <v>1450.7693333333336</v>
      </c>
      <c r="AK40" s="108">
        <v>2422.1705000000011</v>
      </c>
      <c r="AL40" s="108">
        <v>2745.9004999999997</v>
      </c>
      <c r="AM40" s="108">
        <v>1708.8076666666666</v>
      </c>
      <c r="AN40" s="108">
        <v>3144.1271666666671</v>
      </c>
      <c r="AO40" s="108">
        <v>2879.0488333333342</v>
      </c>
      <c r="AP40" s="108">
        <v>2490.1526666666659</v>
      </c>
      <c r="AQ40" s="108">
        <v>2472.1531666666679</v>
      </c>
      <c r="AR40" s="108">
        <v>1308.8186666666661</v>
      </c>
      <c r="AS40" s="108">
        <v>2160.5126666666674</v>
      </c>
      <c r="AT40" s="108">
        <v>2748.0033333333326</v>
      </c>
      <c r="AU40" s="108">
        <v>3109.7724999999991</v>
      </c>
      <c r="AV40" s="108">
        <v>2488.9073333333336</v>
      </c>
      <c r="AW40" s="108">
        <f t="shared" si="1"/>
        <v>93.230373000000014</v>
      </c>
    </row>
    <row r="41" spans="1:49">
      <c r="A41" s="149">
        <v>45783</v>
      </c>
      <c r="B41" s="150">
        <f>YEAR(Table7[[#This Row],[Date]])+IF(MONTH(Table7[[#This Row],[Date]])&gt;=4,1,0)</f>
        <v>2026</v>
      </c>
      <c r="C41" s="151">
        <f>YEAR(Table7[[#This Row],[Date]])</f>
        <v>2025</v>
      </c>
      <c r="D41" s="152">
        <f>Daily_KPI[[#This Row],[Date]]-DAY(Daily_KPI[[#This Row],[Date]])+1</f>
        <v>45778</v>
      </c>
      <c r="E41" s="108">
        <v>2575.6895000000009</v>
      </c>
      <c r="F41" s="108">
        <v>2385.0829999999996</v>
      </c>
      <c r="G41" s="108">
        <v>1967.999500000001</v>
      </c>
      <c r="H41" s="108">
        <v>2063.7696666666666</v>
      </c>
      <c r="I41" s="108">
        <v>2218.233333333334</v>
      </c>
      <c r="J41" s="108">
        <v>2078.7281666666654</v>
      </c>
      <c r="K41" s="108">
        <v>1635.1080000000004</v>
      </c>
      <c r="L41" s="108">
        <v>947.31033333333346</v>
      </c>
      <c r="M41" s="108">
        <v>1007.0768333333332</v>
      </c>
      <c r="N41" s="108">
        <v>1242.5616666666667</v>
      </c>
      <c r="O41" s="108">
        <v>1264.0975000000001</v>
      </c>
      <c r="P41" s="108">
        <v>1305.970333333333</v>
      </c>
      <c r="Q41" s="108">
        <v>1227.0705000000003</v>
      </c>
      <c r="R41" s="108">
        <v>1231.9076666666672</v>
      </c>
      <c r="S41" s="108">
        <v>1145.838833333333</v>
      </c>
      <c r="T41" s="108">
        <v>1307.2853333333335</v>
      </c>
      <c r="U41" s="108">
        <v>1424.0314999999994</v>
      </c>
      <c r="V41" s="108">
        <v>2317.528166666666</v>
      </c>
      <c r="W41" s="108">
        <v>1253.5958333333333</v>
      </c>
      <c r="X41" s="108">
        <v>1071.9403333333332</v>
      </c>
      <c r="Y41" s="108">
        <v>1879.0558333333336</v>
      </c>
      <c r="Z41" s="108">
        <v>2062.6849999999986</v>
      </c>
      <c r="AA41" s="108">
        <v>1360.1533333333336</v>
      </c>
      <c r="AB41" s="108">
        <v>1451.4268333333328</v>
      </c>
      <c r="AC41" s="108">
        <v>1546.6249999999998</v>
      </c>
      <c r="AD41" s="108">
        <v>1390.8668333333335</v>
      </c>
      <c r="AE41" s="108">
        <v>2091.0819999999999</v>
      </c>
      <c r="AF41" s="108">
        <v>1468.7154999999996</v>
      </c>
      <c r="AG41" s="108">
        <v>2144.9429999999993</v>
      </c>
      <c r="AH41" s="108">
        <v>1934.3969999999993</v>
      </c>
      <c r="AI41" s="108">
        <v>1475.2290000000005</v>
      </c>
      <c r="AJ41" s="108">
        <v>1484.4491666666656</v>
      </c>
      <c r="AK41" s="108">
        <v>2178.5494999999996</v>
      </c>
      <c r="AL41" s="108">
        <v>2327.8029999999999</v>
      </c>
      <c r="AM41" s="108">
        <v>1505.8514999999998</v>
      </c>
      <c r="AN41" s="108">
        <v>2777.5786666666668</v>
      </c>
      <c r="AO41" s="108">
        <v>2727.5193333333332</v>
      </c>
      <c r="AP41" s="108">
        <v>2418.8174999999992</v>
      </c>
      <c r="AQ41" s="108">
        <v>2413.1078333333348</v>
      </c>
      <c r="AR41" s="108">
        <v>801.96800000000019</v>
      </c>
      <c r="AS41" s="108">
        <v>1613.1078333333332</v>
      </c>
      <c r="AT41" s="108">
        <v>1839.0876666666666</v>
      </c>
      <c r="AU41" s="108">
        <v>2501.23</v>
      </c>
      <c r="AV41" s="108">
        <v>2053.9558333333343</v>
      </c>
      <c r="AW41" s="108">
        <f t="shared" si="1"/>
        <v>77.119031166666659</v>
      </c>
    </row>
    <row r="42" spans="1:49">
      <c r="A42" s="145">
        <v>45784</v>
      </c>
      <c r="B42" s="146">
        <f>YEAR(Table7[[#This Row],[Date]])+IF(MONTH(Table7[[#This Row],[Date]])&gt;=4,1,0)</f>
        <v>2026</v>
      </c>
      <c r="C42" s="147">
        <f>YEAR(Table7[[#This Row],[Date]])</f>
        <v>2025</v>
      </c>
      <c r="D42" s="148">
        <f>Daily_KPI[[#This Row],[Date]]-DAY(Daily_KPI[[#This Row],[Date]])+1</f>
        <v>45778</v>
      </c>
      <c r="E42" s="108">
        <v>3167.049166666668</v>
      </c>
      <c r="F42" s="108">
        <v>2323.4594999999995</v>
      </c>
      <c r="G42" s="108">
        <v>2539.6636666666686</v>
      </c>
      <c r="H42" s="108">
        <v>2376.6853333333343</v>
      </c>
      <c r="I42" s="108">
        <v>3364.5236666666665</v>
      </c>
      <c r="J42" s="108">
        <v>2855.5404999999992</v>
      </c>
      <c r="K42" s="108">
        <v>2300.8849999999998</v>
      </c>
      <c r="L42" s="108">
        <v>1565.3019999999999</v>
      </c>
      <c r="M42" s="108">
        <v>1333.5391666666671</v>
      </c>
      <c r="N42" s="108">
        <v>1919.5543333333319</v>
      </c>
      <c r="O42" s="108">
        <v>2154.2375000000015</v>
      </c>
      <c r="P42" s="108">
        <v>2389.3745000000004</v>
      </c>
      <c r="Q42" s="108">
        <v>2182.8349999999996</v>
      </c>
      <c r="R42" s="108">
        <v>1978.9248333333335</v>
      </c>
      <c r="S42" s="108">
        <v>1749.169666666666</v>
      </c>
      <c r="T42" s="108">
        <v>2029.0158333333338</v>
      </c>
      <c r="U42" s="108">
        <v>1957.2880000000011</v>
      </c>
      <c r="V42" s="108">
        <v>2537.0851666666663</v>
      </c>
      <c r="W42" s="108">
        <v>1963.6389999999994</v>
      </c>
      <c r="X42" s="108">
        <v>1620.0066666666664</v>
      </c>
      <c r="Y42" s="108">
        <v>2184.2623333333345</v>
      </c>
      <c r="Z42" s="108">
        <v>2305.2673333333319</v>
      </c>
      <c r="AA42" s="108">
        <v>1918.3186666666677</v>
      </c>
      <c r="AB42" s="108">
        <v>2091.983166666666</v>
      </c>
      <c r="AC42" s="108">
        <v>2348.2114999999999</v>
      </c>
      <c r="AD42" s="108">
        <v>2055.7453333333319</v>
      </c>
      <c r="AE42" s="108">
        <v>2286.2375000000002</v>
      </c>
      <c r="AF42" s="108">
        <v>1985.6511666666675</v>
      </c>
      <c r="AG42" s="108">
        <v>2387.7089999999985</v>
      </c>
      <c r="AH42" s="108">
        <v>2453.6388333333325</v>
      </c>
      <c r="AI42" s="108">
        <v>2019.6455000000003</v>
      </c>
      <c r="AJ42" s="108">
        <v>2140.3630000000016</v>
      </c>
      <c r="AK42" s="108">
        <v>3354.5283333333314</v>
      </c>
      <c r="AL42" s="108">
        <v>3302.5356666666648</v>
      </c>
      <c r="AM42" s="108">
        <v>1732.3578333333326</v>
      </c>
      <c r="AN42" s="108">
        <v>3803.0048333333325</v>
      </c>
      <c r="AO42" s="108">
        <v>3891.3751666666653</v>
      </c>
      <c r="AP42" s="108">
        <v>3284.6316666666662</v>
      </c>
      <c r="AQ42" s="108">
        <v>3403.6491666666661</v>
      </c>
      <c r="AR42" s="108">
        <v>1747.0783333333331</v>
      </c>
      <c r="AS42" s="108">
        <v>2520.8648333333317</v>
      </c>
      <c r="AT42" s="108">
        <v>2608.574000000001</v>
      </c>
      <c r="AU42" s="108">
        <v>3390.2356666666669</v>
      </c>
      <c r="AV42" s="108">
        <v>2985.8745000000013</v>
      </c>
      <c r="AW42" s="108">
        <f t="shared" si="1"/>
        <v>106.50952183333332</v>
      </c>
    </row>
    <row r="43" spans="1:49">
      <c r="A43" s="149">
        <v>45785</v>
      </c>
      <c r="B43" s="150">
        <f>YEAR(Table7[[#This Row],[Date]])+IF(MONTH(Table7[[#This Row],[Date]])&gt;=4,1,0)</f>
        <v>2026</v>
      </c>
      <c r="C43" s="151">
        <f>YEAR(Table7[[#This Row],[Date]])</f>
        <v>2025</v>
      </c>
      <c r="D43" s="152">
        <f>Daily_KPI[[#This Row],[Date]]-DAY(Daily_KPI[[#This Row],[Date]])+1</f>
        <v>45778</v>
      </c>
      <c r="E43" s="108">
        <v>4065.4566666666656</v>
      </c>
      <c r="F43" s="108">
        <v>3435.2856666666653</v>
      </c>
      <c r="G43" s="108">
        <v>2766.1313333333342</v>
      </c>
      <c r="H43" s="108">
        <v>3294.3103333333347</v>
      </c>
      <c r="I43" s="108">
        <v>3728.4224999999988</v>
      </c>
      <c r="J43" s="108">
        <v>3987.7821666666678</v>
      </c>
      <c r="K43" s="108">
        <v>3706.0016666666652</v>
      </c>
      <c r="L43" s="108">
        <v>2228.0403333333334</v>
      </c>
      <c r="M43" s="108">
        <v>1399.5234999999993</v>
      </c>
      <c r="N43" s="108">
        <v>1508.1715000000002</v>
      </c>
      <c r="O43" s="108">
        <v>1651.0941666666665</v>
      </c>
      <c r="P43" s="108">
        <v>2483.2530000000002</v>
      </c>
      <c r="Q43" s="108">
        <v>2551.748833333334</v>
      </c>
      <c r="R43" s="108">
        <v>2441.0623333333319</v>
      </c>
      <c r="S43" s="108">
        <v>1881.8766666666652</v>
      </c>
      <c r="T43" s="108">
        <v>2447.3368333333356</v>
      </c>
      <c r="U43" s="108">
        <v>2342.2658333333329</v>
      </c>
      <c r="V43" s="108">
        <v>2906.3696666666669</v>
      </c>
      <c r="W43" s="108">
        <v>2215.9841666666662</v>
      </c>
      <c r="X43" s="108">
        <v>1977.9760000000003</v>
      </c>
      <c r="Y43" s="108">
        <v>3058.4283333333328</v>
      </c>
      <c r="Z43" s="108">
        <v>2638.924833333333</v>
      </c>
      <c r="AA43" s="108">
        <v>2365.4576666666671</v>
      </c>
      <c r="AB43" s="108">
        <v>1451.2468333333336</v>
      </c>
      <c r="AC43" s="108">
        <v>2444.7693333333332</v>
      </c>
      <c r="AD43" s="108">
        <v>2044.4481666666677</v>
      </c>
      <c r="AE43" s="108">
        <v>2278.2346666666663</v>
      </c>
      <c r="AF43" s="108">
        <v>2349.8060000000009</v>
      </c>
      <c r="AG43" s="108">
        <v>3179.316166666666</v>
      </c>
      <c r="AH43" s="108">
        <v>2805.5953333333327</v>
      </c>
      <c r="AI43" s="108">
        <v>2081.0681666666669</v>
      </c>
      <c r="AJ43" s="108">
        <v>2820.0561666666654</v>
      </c>
      <c r="AK43" s="108">
        <v>3705.4851666666668</v>
      </c>
      <c r="AL43" s="108">
        <v>3115.2644999999998</v>
      </c>
      <c r="AM43" s="108">
        <v>2056.2139999999995</v>
      </c>
      <c r="AN43" s="108">
        <v>4720.8911666666672</v>
      </c>
      <c r="AO43" s="108">
        <v>4424.1213333333353</v>
      </c>
      <c r="AP43" s="108">
        <v>2863.244999999999</v>
      </c>
      <c r="AQ43" s="108">
        <v>3996.1731666666656</v>
      </c>
      <c r="AR43" s="108">
        <v>2593.5676666666664</v>
      </c>
      <c r="AS43" s="108">
        <v>3003.5839999999989</v>
      </c>
      <c r="AT43" s="108">
        <v>3319.5478333333344</v>
      </c>
      <c r="AU43" s="108">
        <v>4639.753333333334</v>
      </c>
      <c r="AV43" s="108">
        <v>4285.2591666666658</v>
      </c>
      <c r="AW43" s="108">
        <f t="shared" si="1"/>
        <v>125.25855116666663</v>
      </c>
    </row>
    <row r="44" spans="1:49">
      <c r="A44" s="145">
        <v>45786</v>
      </c>
      <c r="B44" s="146">
        <f>YEAR(Table7[[#This Row],[Date]])+IF(MONTH(Table7[[#This Row],[Date]])&gt;=4,1,0)</f>
        <v>2026</v>
      </c>
      <c r="C44" s="147">
        <f>YEAR(Table7[[#This Row],[Date]])</f>
        <v>2025</v>
      </c>
      <c r="D44" s="148">
        <f>Daily_KPI[[#This Row],[Date]]-DAY(Daily_KPI[[#This Row],[Date]])+1</f>
        <v>45778</v>
      </c>
      <c r="E44" s="108">
        <v>1668.5601666666669</v>
      </c>
      <c r="F44" s="108">
        <v>1826.4508333333333</v>
      </c>
      <c r="G44" s="108">
        <v>1226.6009999999999</v>
      </c>
      <c r="H44" s="108">
        <v>1495.9443333333336</v>
      </c>
      <c r="I44" s="108">
        <v>946.58966666666674</v>
      </c>
      <c r="J44" s="108">
        <v>1410.7058333333327</v>
      </c>
      <c r="K44" s="108">
        <v>1571.9698333333336</v>
      </c>
      <c r="L44" s="108">
        <v>899.88300000000015</v>
      </c>
      <c r="M44" s="108">
        <v>516.2299999999999</v>
      </c>
      <c r="N44" s="108">
        <v>352.24733333333347</v>
      </c>
      <c r="O44" s="108">
        <v>364.72966666666667</v>
      </c>
      <c r="P44" s="108">
        <v>742.34333333333313</v>
      </c>
      <c r="Q44" s="108">
        <v>631.44649999999979</v>
      </c>
      <c r="R44" s="108">
        <v>504.31933333333353</v>
      </c>
      <c r="S44" s="108">
        <v>540.34066666666661</v>
      </c>
      <c r="T44" s="108">
        <v>707.62183333333348</v>
      </c>
      <c r="U44" s="108">
        <v>682.27150000000006</v>
      </c>
      <c r="V44" s="108">
        <v>1326.4771666666661</v>
      </c>
      <c r="W44" s="108">
        <v>1015.6376666666662</v>
      </c>
      <c r="X44" s="108">
        <v>677.14433333333329</v>
      </c>
      <c r="Y44" s="108">
        <v>1418.6136666666673</v>
      </c>
      <c r="Z44" s="108">
        <v>1252.0545000000004</v>
      </c>
      <c r="AA44" s="108">
        <v>389.62166666666684</v>
      </c>
      <c r="AB44" s="108">
        <v>273.03316666666666</v>
      </c>
      <c r="AC44" s="108">
        <v>527.66633333333345</v>
      </c>
      <c r="AD44" s="108">
        <v>759.07366666666678</v>
      </c>
      <c r="AE44" s="108">
        <v>897.79433333333327</v>
      </c>
      <c r="AF44" s="108">
        <v>618.59516666666661</v>
      </c>
      <c r="AG44" s="108">
        <v>1453.6958333333334</v>
      </c>
      <c r="AH44" s="108">
        <v>754.95800000000008</v>
      </c>
      <c r="AI44" s="108">
        <v>680.90033333333338</v>
      </c>
      <c r="AJ44" s="108">
        <v>918.24883333333355</v>
      </c>
      <c r="AK44" s="108">
        <v>1158.6008333333343</v>
      </c>
      <c r="AL44" s="108">
        <v>761.23333333333323</v>
      </c>
      <c r="AM44" s="108">
        <v>995.8328333333335</v>
      </c>
      <c r="AN44" s="108">
        <v>1546.3996666666669</v>
      </c>
      <c r="AO44" s="108">
        <v>1387.2356666666672</v>
      </c>
      <c r="AP44" s="108">
        <v>705.17333333333329</v>
      </c>
      <c r="AQ44" s="108">
        <v>1228.8013333333336</v>
      </c>
      <c r="AR44" s="108">
        <v>621.34333333333359</v>
      </c>
      <c r="AS44" s="108">
        <v>725.49450000000013</v>
      </c>
      <c r="AT44" s="108">
        <v>925.04833333333318</v>
      </c>
      <c r="AU44" s="108">
        <v>1703.0403333333336</v>
      </c>
      <c r="AV44" s="108">
        <v>1534.64</v>
      </c>
      <c r="AW44" s="108">
        <f t="shared" si="1"/>
        <v>42.344613000000003</v>
      </c>
    </row>
    <row r="45" spans="1:49">
      <c r="A45" s="145">
        <v>45787</v>
      </c>
      <c r="B45" s="150">
        <f>YEAR(Table7[[#This Row],[Date]])+IF(MONTH(Table7[[#This Row],[Date]])&gt;=4,1,0)</f>
        <v>2026</v>
      </c>
      <c r="C45" s="151">
        <f>YEAR(Table7[[#This Row],[Date]])</f>
        <v>2025</v>
      </c>
      <c r="D45" s="152">
        <f>Daily_KPI[[#This Row],[Date]]-DAY(Daily_KPI[[#This Row],[Date]])+1</f>
        <v>45778</v>
      </c>
      <c r="E45" s="108">
        <v>1130.5383333333332</v>
      </c>
      <c r="F45" s="108">
        <v>1420.1586666666662</v>
      </c>
      <c r="G45" s="108">
        <v>1047.7381666666672</v>
      </c>
      <c r="H45" s="108">
        <v>1086.2245</v>
      </c>
      <c r="I45" s="108">
        <v>781.44516666666652</v>
      </c>
      <c r="J45" s="108">
        <v>983.02300000000048</v>
      </c>
      <c r="K45" s="108">
        <v>1106.5243333333335</v>
      </c>
      <c r="L45" s="108">
        <v>604.32450000000006</v>
      </c>
      <c r="M45" s="108">
        <v>396.02183333333329</v>
      </c>
      <c r="N45" s="108">
        <v>283.81616666666667</v>
      </c>
      <c r="O45" s="108">
        <v>356.31966666666682</v>
      </c>
      <c r="P45" s="108">
        <v>437.69566666666651</v>
      </c>
      <c r="Q45" s="108">
        <v>406.99966666666654</v>
      </c>
      <c r="R45" s="108">
        <v>100.77049999999998</v>
      </c>
      <c r="S45" s="108">
        <v>440.83833333333342</v>
      </c>
      <c r="T45" s="108">
        <v>504.03749999999985</v>
      </c>
      <c r="U45" s="108">
        <v>572.47366666666642</v>
      </c>
      <c r="V45" s="108">
        <v>1087.6328333333333</v>
      </c>
      <c r="W45" s="108">
        <v>738.67666666666662</v>
      </c>
      <c r="X45" s="108">
        <v>580.45850000000007</v>
      </c>
      <c r="Y45" s="108">
        <v>1001.955166666667</v>
      </c>
      <c r="Z45" s="108">
        <v>252.24666666666664</v>
      </c>
      <c r="AA45" s="108">
        <v>531.93166666666673</v>
      </c>
      <c r="AB45" s="108">
        <v>591.49549999999988</v>
      </c>
      <c r="AC45" s="108">
        <v>328.69383333333343</v>
      </c>
      <c r="AD45" s="108">
        <v>456.97500000000008</v>
      </c>
      <c r="AE45" s="108">
        <v>837.00633333333326</v>
      </c>
      <c r="AF45" s="108">
        <v>290.77716666666669</v>
      </c>
      <c r="AG45" s="108">
        <v>1082.4945</v>
      </c>
      <c r="AH45" s="108">
        <v>363.4528333333331</v>
      </c>
      <c r="AI45" s="108">
        <v>558.90066666666644</v>
      </c>
      <c r="AJ45" s="108">
        <v>631.97533333333331</v>
      </c>
      <c r="AK45" s="108">
        <v>698.90216666666629</v>
      </c>
      <c r="AL45" s="108">
        <v>791.88049999999976</v>
      </c>
      <c r="AM45" s="108">
        <v>647.43033333333335</v>
      </c>
      <c r="AN45" s="108">
        <v>1148.8771666666664</v>
      </c>
      <c r="AO45" s="108">
        <v>1028.3548333333329</v>
      </c>
      <c r="AP45" s="108">
        <v>588.46666666666658</v>
      </c>
      <c r="AQ45" s="108">
        <v>942.94883333333291</v>
      </c>
      <c r="AR45" s="108">
        <v>286.12416666666667</v>
      </c>
      <c r="AS45" s="108">
        <v>375.59899999999999</v>
      </c>
      <c r="AT45" s="108">
        <v>443.83216666666664</v>
      </c>
      <c r="AU45" s="108">
        <v>1129.5836666666673</v>
      </c>
      <c r="AV45" s="108">
        <v>1074.8840000000002</v>
      </c>
      <c r="AW45" s="108">
        <f t="shared" si="1"/>
        <v>30.150505833333334</v>
      </c>
    </row>
    <row r="46" spans="1:49">
      <c r="A46" s="145">
        <v>45788</v>
      </c>
      <c r="B46" s="146">
        <f>YEAR(Table7[[#This Row],[Date]])+IF(MONTH(Table7[[#This Row],[Date]])&gt;=4,1,0)</f>
        <v>2026</v>
      </c>
      <c r="C46" s="147">
        <f>YEAR(Table7[[#This Row],[Date]])</f>
        <v>2025</v>
      </c>
      <c r="D46" s="148">
        <f>Daily_KPI[[#This Row],[Date]]-DAY(Daily_KPI[[#This Row],[Date]])+1</f>
        <v>45778</v>
      </c>
      <c r="E46" s="108">
        <v>840.27783333333321</v>
      </c>
      <c r="F46" s="108">
        <v>871.64066666666668</v>
      </c>
      <c r="G46" s="108">
        <v>495.53699999999998</v>
      </c>
      <c r="H46" s="108">
        <v>631.97333333333347</v>
      </c>
      <c r="I46" s="108">
        <v>520.7533333333331</v>
      </c>
      <c r="J46" s="108">
        <v>708.21699999999976</v>
      </c>
      <c r="K46" s="108">
        <v>786.27233333333334</v>
      </c>
      <c r="L46" s="108">
        <v>353.91516666666666</v>
      </c>
      <c r="M46" s="108">
        <v>192.26049999999995</v>
      </c>
      <c r="N46" s="108">
        <v>198.10866666666664</v>
      </c>
      <c r="O46" s="108">
        <v>230.50650000000005</v>
      </c>
      <c r="P46" s="108">
        <v>399.49916666666667</v>
      </c>
      <c r="Q46" s="108">
        <v>363.39233333333328</v>
      </c>
      <c r="R46" s="108">
        <v>380.65633333333335</v>
      </c>
      <c r="S46" s="108">
        <v>336.42850000000004</v>
      </c>
      <c r="T46" s="108">
        <v>385.0598333333333</v>
      </c>
      <c r="U46" s="108">
        <v>384.04866666666663</v>
      </c>
      <c r="V46" s="108">
        <v>563.71016666666662</v>
      </c>
      <c r="W46" s="108">
        <v>484.87866666666673</v>
      </c>
      <c r="X46" s="108">
        <v>370.52316666666667</v>
      </c>
      <c r="Y46" s="108">
        <v>582.27899999999988</v>
      </c>
      <c r="Z46" s="108">
        <v>343.42949999999996</v>
      </c>
      <c r="AA46" s="108">
        <v>368.23349999999988</v>
      </c>
      <c r="AB46" s="108">
        <v>364.3384999999999</v>
      </c>
      <c r="AC46" s="108">
        <v>401.11000000000007</v>
      </c>
      <c r="AD46" s="108">
        <v>340.1181666666667</v>
      </c>
      <c r="AE46" s="108">
        <v>405.5693333333333</v>
      </c>
      <c r="AF46" s="108">
        <v>385.49566666666669</v>
      </c>
      <c r="AG46" s="108">
        <v>641.15749999999991</v>
      </c>
      <c r="AH46" s="108">
        <v>512.01600000000019</v>
      </c>
      <c r="AI46" s="108">
        <v>388.17366666666658</v>
      </c>
      <c r="AJ46" s="108">
        <v>472.44516666666647</v>
      </c>
      <c r="AK46" s="108">
        <v>606.4318333333332</v>
      </c>
      <c r="AL46" s="108">
        <v>529.10216666666668</v>
      </c>
      <c r="AM46" s="108">
        <v>357.90816666666677</v>
      </c>
      <c r="AN46" s="108">
        <v>932.98733333333303</v>
      </c>
      <c r="AO46" s="108">
        <v>837.50716666666631</v>
      </c>
      <c r="AP46" s="108">
        <v>507.05549999999994</v>
      </c>
      <c r="AQ46" s="108">
        <v>723.80150000000003</v>
      </c>
      <c r="AR46" s="108">
        <v>43.30916666666667</v>
      </c>
      <c r="AS46" s="108">
        <v>491.83433333333323</v>
      </c>
      <c r="AT46" s="108">
        <v>153.13533333333336</v>
      </c>
      <c r="AU46" s="108">
        <v>919.58166666666648</v>
      </c>
      <c r="AV46" s="108">
        <v>825.12200000000018</v>
      </c>
      <c r="AW46" s="108">
        <f t="shared" si="1"/>
        <v>21.629801333333329</v>
      </c>
    </row>
    <row r="47" spans="1:49">
      <c r="A47" s="149">
        <v>45789</v>
      </c>
      <c r="B47" s="150">
        <f>YEAR(Table7[[#This Row],[Date]])+IF(MONTH(Table7[[#This Row],[Date]])&gt;=4,1,0)</f>
        <v>2026</v>
      </c>
      <c r="C47" s="151">
        <f>YEAR(Table7[[#This Row],[Date]])</f>
        <v>2025</v>
      </c>
      <c r="D47" s="152">
        <f>Daily_KPI[[#This Row],[Date]]-DAY(Daily_KPI[[#This Row],[Date]])+1</f>
        <v>45778</v>
      </c>
      <c r="E47" s="108">
        <v>948.99983333333296</v>
      </c>
      <c r="F47" s="108">
        <v>291.08316666666661</v>
      </c>
      <c r="G47" s="108">
        <v>788.20333333333372</v>
      </c>
      <c r="H47" s="108">
        <v>521.49</v>
      </c>
      <c r="I47" s="108">
        <v>325.64133333333331</v>
      </c>
      <c r="J47" s="108">
        <v>551.63900000000001</v>
      </c>
      <c r="K47" s="108">
        <v>708.64133333333302</v>
      </c>
      <c r="L47" s="108">
        <v>255.16533333333325</v>
      </c>
      <c r="M47" s="108">
        <v>496.64616666666649</v>
      </c>
      <c r="N47" s="108">
        <v>546.46899999999994</v>
      </c>
      <c r="O47" s="108">
        <v>542.59866666666676</v>
      </c>
      <c r="P47" s="108">
        <v>535.52600000000007</v>
      </c>
      <c r="Q47" s="108">
        <v>518.15233333333333</v>
      </c>
      <c r="R47" s="108">
        <v>579.69033333333357</v>
      </c>
      <c r="S47" s="108">
        <v>593.13349999999991</v>
      </c>
      <c r="T47" s="108">
        <v>644.34233333333339</v>
      </c>
      <c r="U47" s="108">
        <v>703.08966666666663</v>
      </c>
      <c r="V47" s="108">
        <v>708.90666666666687</v>
      </c>
      <c r="W47" s="108">
        <v>672.25450000000001</v>
      </c>
      <c r="X47" s="108">
        <v>664.73983333333331</v>
      </c>
      <c r="Y47" s="108">
        <v>505.90266666666685</v>
      </c>
      <c r="Z47" s="108">
        <v>458.91600000000011</v>
      </c>
      <c r="AA47" s="108">
        <v>290.59199999999998</v>
      </c>
      <c r="AB47" s="108">
        <v>329.86883333333338</v>
      </c>
      <c r="AC47" s="108">
        <v>371.68499999999995</v>
      </c>
      <c r="AD47" s="108">
        <v>353.58899999999994</v>
      </c>
      <c r="AE47" s="108">
        <v>713.21850000000006</v>
      </c>
      <c r="AF47" s="108">
        <v>187.8876666666666</v>
      </c>
      <c r="AG47" s="108">
        <v>525.92700000000002</v>
      </c>
      <c r="AH47" s="108">
        <v>345.84416666666669</v>
      </c>
      <c r="AI47" s="108">
        <v>740.21166666666693</v>
      </c>
      <c r="AJ47" s="108">
        <v>250.43516666666665</v>
      </c>
      <c r="AK47" s="108">
        <v>96.787500000000009</v>
      </c>
      <c r="AL47" s="108">
        <v>464.05583333333334</v>
      </c>
      <c r="AM47" s="108">
        <v>349.65633333333341</v>
      </c>
      <c r="AN47" s="108">
        <v>658.20083333333343</v>
      </c>
      <c r="AO47" s="108">
        <v>543.2734999999999</v>
      </c>
      <c r="AP47" s="108">
        <v>390.72199999999981</v>
      </c>
      <c r="AQ47" s="108">
        <v>565.49133333333327</v>
      </c>
      <c r="AR47" s="108">
        <v>237.96000000000004</v>
      </c>
      <c r="AS47" s="108">
        <v>375.04133333333334</v>
      </c>
      <c r="AT47" s="108">
        <v>174.02449999999999</v>
      </c>
      <c r="AU47" s="108">
        <v>897.72183333333317</v>
      </c>
      <c r="AV47" s="108">
        <v>917.99116666666703</v>
      </c>
      <c r="AW47" s="108">
        <f t="shared" si="1"/>
        <v>22.341416166666665</v>
      </c>
    </row>
    <row r="48" spans="1:49">
      <c r="A48" s="145">
        <v>45790</v>
      </c>
      <c r="B48" s="146">
        <f>YEAR(Table7[[#This Row],[Date]])+IF(MONTH(Table7[[#This Row],[Date]])&gt;=4,1,0)</f>
        <v>2026</v>
      </c>
      <c r="C48" s="147">
        <f>YEAR(Table7[[#This Row],[Date]])</f>
        <v>2025</v>
      </c>
      <c r="D48" s="148">
        <f>Daily_KPI[[#This Row],[Date]]-DAY(Daily_KPI[[#This Row],[Date]])+1</f>
        <v>45778</v>
      </c>
      <c r="E48" s="108">
        <v>344.56383333333338</v>
      </c>
      <c r="F48" s="108">
        <v>251.18166666666664</v>
      </c>
      <c r="G48" s="108">
        <v>290.76016666666663</v>
      </c>
      <c r="H48" s="108">
        <v>611.3806666666668</v>
      </c>
      <c r="I48" s="108">
        <v>398.92683333333338</v>
      </c>
      <c r="J48" s="108">
        <v>268.29183333333339</v>
      </c>
      <c r="K48" s="108">
        <v>221.58549999999994</v>
      </c>
      <c r="L48" s="108">
        <v>365.81816666666674</v>
      </c>
      <c r="M48" s="108">
        <v>267.84366666666665</v>
      </c>
      <c r="N48" s="108">
        <v>318.04000000000013</v>
      </c>
      <c r="O48" s="108">
        <v>449.53466666666662</v>
      </c>
      <c r="P48" s="108">
        <v>377.87133333333327</v>
      </c>
      <c r="Q48" s="108">
        <v>355.74616666666662</v>
      </c>
      <c r="R48" s="108">
        <v>315.37366666666679</v>
      </c>
      <c r="S48" s="108">
        <v>316.92766666666671</v>
      </c>
      <c r="T48" s="108">
        <v>389.68299999999994</v>
      </c>
      <c r="U48" s="108">
        <v>481.23399999999998</v>
      </c>
      <c r="V48" s="108">
        <v>300.49900000000002</v>
      </c>
      <c r="W48" s="108">
        <v>318.63633333333331</v>
      </c>
      <c r="X48" s="108">
        <v>338.70366666666672</v>
      </c>
      <c r="Y48" s="108">
        <v>598.91633333333334</v>
      </c>
      <c r="Z48" s="108">
        <v>581.00349999999992</v>
      </c>
      <c r="AA48" s="108">
        <v>492.35750000000002</v>
      </c>
      <c r="AB48" s="108">
        <v>537.74583333333339</v>
      </c>
      <c r="AC48" s="108">
        <v>549.60616666666681</v>
      </c>
      <c r="AD48" s="108">
        <v>483.27333333333337</v>
      </c>
      <c r="AE48" s="108">
        <v>251.50166666666664</v>
      </c>
      <c r="AF48" s="108">
        <v>177.01866666666669</v>
      </c>
      <c r="AG48" s="108">
        <v>579.59966666666662</v>
      </c>
      <c r="AH48" s="108">
        <v>212.87683333333334</v>
      </c>
      <c r="AI48" s="108">
        <v>496.26683333333335</v>
      </c>
      <c r="AJ48" s="108">
        <v>165.65633333333332</v>
      </c>
      <c r="AK48" s="108">
        <v>0</v>
      </c>
      <c r="AL48" s="108">
        <v>353.14216666666658</v>
      </c>
      <c r="AM48" s="108">
        <v>111.47416666666668</v>
      </c>
      <c r="AN48" s="108">
        <v>386.73383333333339</v>
      </c>
      <c r="AO48" s="108">
        <v>335.63816666666656</v>
      </c>
      <c r="AP48" s="108">
        <v>358.21900000000005</v>
      </c>
      <c r="AQ48" s="108">
        <v>377.48166666666663</v>
      </c>
      <c r="AR48" s="108">
        <v>214.96116666666671</v>
      </c>
      <c r="AS48" s="108">
        <v>262.41366666666664</v>
      </c>
      <c r="AT48" s="108">
        <v>223.18783333333337</v>
      </c>
      <c r="AU48" s="108">
        <v>348.5743333333333</v>
      </c>
      <c r="AV48" s="108">
        <v>303.86733333333336</v>
      </c>
      <c r="AW48" s="108">
        <f t="shared" si="1"/>
        <v>15.384117833333333</v>
      </c>
    </row>
    <row r="49" spans="1:49">
      <c r="A49" s="149">
        <v>45791</v>
      </c>
      <c r="B49" s="150">
        <f>YEAR(Table7[[#This Row],[Date]])+IF(MONTH(Table7[[#This Row],[Date]])&gt;=4,1,0)</f>
        <v>2026</v>
      </c>
      <c r="C49" s="151">
        <f>YEAR(Table7[[#This Row],[Date]])</f>
        <v>2025</v>
      </c>
      <c r="D49" s="152">
        <f>Daily_KPI[[#This Row],[Date]]-DAY(Daily_KPI[[#This Row],[Date]])+1</f>
        <v>45778</v>
      </c>
      <c r="E49" s="108">
        <v>754.6305000000001</v>
      </c>
      <c r="F49" s="108">
        <v>703.53283333333354</v>
      </c>
      <c r="G49" s="108">
        <v>605.72</v>
      </c>
      <c r="H49" s="108">
        <v>100.99033333333334</v>
      </c>
      <c r="I49" s="108">
        <v>114.02433333333335</v>
      </c>
      <c r="J49" s="108">
        <v>328.99233333333342</v>
      </c>
      <c r="K49" s="108">
        <v>471.02233333333334</v>
      </c>
      <c r="L49" s="108">
        <v>293.4108333333333</v>
      </c>
      <c r="M49" s="108">
        <v>220.12716666666674</v>
      </c>
      <c r="N49" s="108">
        <v>250.62566666666666</v>
      </c>
      <c r="O49" s="108">
        <v>241.6106666666667</v>
      </c>
      <c r="P49" s="108">
        <v>286.58266666666674</v>
      </c>
      <c r="Q49" s="108">
        <v>302.97616666666664</v>
      </c>
      <c r="R49" s="108">
        <v>300.99183333333332</v>
      </c>
      <c r="S49" s="108">
        <v>287.12299999999999</v>
      </c>
      <c r="T49" s="108">
        <v>338.59366666666671</v>
      </c>
      <c r="U49" s="108">
        <v>364.51483333333323</v>
      </c>
      <c r="V49" s="108">
        <v>716.7120000000001</v>
      </c>
      <c r="W49" s="108">
        <v>408.53849999999989</v>
      </c>
      <c r="X49" s="108">
        <v>366.98633333333345</v>
      </c>
      <c r="Y49" s="108">
        <v>602.49749999999995</v>
      </c>
      <c r="Z49" s="108">
        <v>637.94016666666641</v>
      </c>
      <c r="AA49" s="108">
        <v>438.23866666666663</v>
      </c>
      <c r="AB49" s="108">
        <v>426.76133333333343</v>
      </c>
      <c r="AC49" s="108">
        <v>499.90616666666665</v>
      </c>
      <c r="AD49" s="108">
        <v>451.68733333333336</v>
      </c>
      <c r="AE49" s="108">
        <v>611.59366666666676</v>
      </c>
      <c r="AF49" s="108">
        <v>318.30416666666662</v>
      </c>
      <c r="AG49" s="108">
        <v>604.31366666666656</v>
      </c>
      <c r="AH49" s="108">
        <v>756.07399999999996</v>
      </c>
      <c r="AI49" s="108">
        <v>327.88600000000014</v>
      </c>
      <c r="AJ49" s="108">
        <v>185.71466666666663</v>
      </c>
      <c r="AK49" s="108">
        <v>227.32883333333339</v>
      </c>
      <c r="AL49" s="108">
        <v>570.01366666666684</v>
      </c>
      <c r="AM49" s="108">
        <v>222.9376666666667</v>
      </c>
      <c r="AN49" s="108">
        <v>631.76716666666664</v>
      </c>
      <c r="AO49" s="108">
        <v>493.95983333333339</v>
      </c>
      <c r="AP49" s="108">
        <v>476.47149999999993</v>
      </c>
      <c r="AQ49" s="108">
        <v>516.91100000000017</v>
      </c>
      <c r="AR49" s="108">
        <v>243.79933333333329</v>
      </c>
      <c r="AS49" s="108">
        <v>409.05500000000001</v>
      </c>
      <c r="AT49" s="108">
        <v>592.93183333333309</v>
      </c>
      <c r="AU49" s="108">
        <v>826.66183333333368</v>
      </c>
      <c r="AV49" s="108">
        <v>761.41866666666635</v>
      </c>
      <c r="AW49" s="108">
        <f t="shared" si="1"/>
        <v>19.29187966666667</v>
      </c>
    </row>
    <row r="50" spans="1:49">
      <c r="A50" s="145">
        <v>45792</v>
      </c>
      <c r="B50" s="146">
        <f>YEAR(Table7[[#This Row],[Date]])+IF(MONTH(Table7[[#This Row],[Date]])&gt;=4,1,0)</f>
        <v>2026</v>
      </c>
      <c r="C50" s="147">
        <f>YEAR(Table7[[#This Row],[Date]])</f>
        <v>2025</v>
      </c>
      <c r="D50" s="148">
        <f>Daily_KPI[[#This Row],[Date]]-DAY(Daily_KPI[[#This Row],[Date]])+1</f>
        <v>45778</v>
      </c>
      <c r="E50" s="108">
        <v>706.18866666666679</v>
      </c>
      <c r="F50" s="108">
        <v>607.49016666666671</v>
      </c>
      <c r="G50" s="108">
        <v>576.33233333333294</v>
      </c>
      <c r="H50" s="108">
        <v>228.49066666666656</v>
      </c>
      <c r="I50" s="108">
        <v>349.63316666666657</v>
      </c>
      <c r="J50" s="108">
        <v>472.89333333333337</v>
      </c>
      <c r="K50" s="108">
        <v>522.61200000000019</v>
      </c>
      <c r="L50" s="108">
        <v>244.23049999999998</v>
      </c>
      <c r="M50" s="108">
        <v>135.84899999999999</v>
      </c>
      <c r="N50" s="108">
        <v>153.64449999999997</v>
      </c>
      <c r="O50" s="108">
        <v>181.21083333333334</v>
      </c>
      <c r="P50" s="108">
        <v>216.67400000000001</v>
      </c>
      <c r="Q50" s="108">
        <v>213.33516666666671</v>
      </c>
      <c r="R50" s="108">
        <v>217.55950000000007</v>
      </c>
      <c r="S50" s="108">
        <v>186.18600000000004</v>
      </c>
      <c r="T50" s="108">
        <v>242.83316666666667</v>
      </c>
      <c r="U50" s="108">
        <v>304.86683333333332</v>
      </c>
      <c r="V50" s="108">
        <v>711.21549999999991</v>
      </c>
      <c r="W50" s="108">
        <v>322.32449999999994</v>
      </c>
      <c r="X50" s="108">
        <v>303.10433333333339</v>
      </c>
      <c r="Y50" s="108">
        <v>704.88666666666677</v>
      </c>
      <c r="Z50" s="108">
        <v>744.51516666666691</v>
      </c>
      <c r="AA50" s="108">
        <v>406.05416666666662</v>
      </c>
      <c r="AB50" s="108">
        <v>428.73033333333319</v>
      </c>
      <c r="AC50" s="108">
        <v>465.62349999999998</v>
      </c>
      <c r="AD50" s="108">
        <v>374.19866666666661</v>
      </c>
      <c r="AE50" s="108">
        <v>508.31416666666678</v>
      </c>
      <c r="AF50" s="108">
        <v>262.96766666666667</v>
      </c>
      <c r="AG50" s="108">
        <v>747.26699999999971</v>
      </c>
      <c r="AH50" s="108">
        <v>504.52816666666678</v>
      </c>
      <c r="AI50" s="108">
        <v>371.00500000000005</v>
      </c>
      <c r="AJ50" s="108">
        <v>244.971</v>
      </c>
      <c r="AK50" s="108">
        <v>501.71583333333319</v>
      </c>
      <c r="AL50" s="108">
        <v>795.75133333333406</v>
      </c>
      <c r="AM50" s="108">
        <v>473.49766666666665</v>
      </c>
      <c r="AN50" s="108">
        <v>709.20416666666699</v>
      </c>
      <c r="AO50" s="108">
        <v>630.74816666666663</v>
      </c>
      <c r="AP50" s="108">
        <v>622.26716666666664</v>
      </c>
      <c r="AQ50" s="108">
        <v>721.5851666666664</v>
      </c>
      <c r="AR50" s="108">
        <v>218.22066666666669</v>
      </c>
      <c r="AS50" s="108">
        <v>367.47666666666669</v>
      </c>
      <c r="AT50" s="108">
        <v>529.98716666666655</v>
      </c>
      <c r="AU50" s="108">
        <v>792.51416666666626</v>
      </c>
      <c r="AV50" s="108">
        <v>774.10966666666684</v>
      </c>
      <c r="AW50" s="108">
        <f t="shared" si="1"/>
        <v>19.796813499999999</v>
      </c>
    </row>
    <row r="51" spans="1:49">
      <c r="A51" s="149">
        <v>45793</v>
      </c>
      <c r="B51" s="150">
        <f>YEAR(Table7[[#This Row],[Date]])+IF(MONTH(Table7[[#This Row],[Date]])&gt;=4,1,0)</f>
        <v>2026</v>
      </c>
      <c r="C51" s="151">
        <f>YEAR(Table7[[#This Row],[Date]])</f>
        <v>2025</v>
      </c>
      <c r="D51" s="152">
        <f>Daily_KPI[[#This Row],[Date]]-DAY(Daily_KPI[[#This Row],[Date]])+1</f>
        <v>45778</v>
      </c>
      <c r="E51" s="108">
        <v>38.431333333333335</v>
      </c>
      <c r="F51" s="108">
        <v>26.578166666666672</v>
      </c>
      <c r="G51" s="108">
        <v>19.451166666666666</v>
      </c>
      <c r="H51" s="108">
        <v>22.724499999999995</v>
      </c>
      <c r="I51" s="108">
        <v>38.141500000000001</v>
      </c>
      <c r="J51" s="108">
        <v>18.758166666666664</v>
      </c>
      <c r="K51" s="108">
        <v>23.164333333333335</v>
      </c>
      <c r="L51" s="108">
        <v>0.81049999999999989</v>
      </c>
      <c r="M51" s="108">
        <v>0</v>
      </c>
      <c r="N51" s="108">
        <v>0</v>
      </c>
      <c r="O51" s="108">
        <v>0</v>
      </c>
      <c r="P51" s="108">
        <v>2.6968333333333336</v>
      </c>
      <c r="Q51" s="108">
        <v>1.3351666666666666</v>
      </c>
      <c r="R51" s="108">
        <v>1.1443333333333332</v>
      </c>
      <c r="S51" s="108">
        <v>1.8928333333333329</v>
      </c>
      <c r="T51" s="108">
        <v>9.1228333333333325</v>
      </c>
      <c r="U51" s="108">
        <v>17.275333333333336</v>
      </c>
      <c r="V51" s="108">
        <v>25.343499999999995</v>
      </c>
      <c r="W51" s="108">
        <v>19.561666666666667</v>
      </c>
      <c r="X51" s="108">
        <v>22.692499999999999</v>
      </c>
      <c r="Y51" s="108">
        <v>24.297666666666661</v>
      </c>
      <c r="Z51" s="108">
        <v>24.759333333333331</v>
      </c>
      <c r="AA51" s="108">
        <v>4.2179999999999991</v>
      </c>
      <c r="AB51" s="108">
        <v>8.2223333333333315</v>
      </c>
      <c r="AC51" s="108">
        <v>10.190166666666665</v>
      </c>
      <c r="AD51" s="108">
        <v>9.3466666666666676</v>
      </c>
      <c r="AE51" s="108">
        <v>5.8356666666666657</v>
      </c>
      <c r="AF51" s="108">
        <v>0.89833333333333332</v>
      </c>
      <c r="AG51" s="108">
        <v>21.205500000000001</v>
      </c>
      <c r="AH51" s="108">
        <v>3.5420000000000003</v>
      </c>
      <c r="AI51" s="108">
        <v>18.334333333333333</v>
      </c>
      <c r="AJ51" s="108">
        <v>3.3249999999999997</v>
      </c>
      <c r="AK51" s="108">
        <v>25.980833333333333</v>
      </c>
      <c r="AL51" s="108">
        <v>54.505166666666675</v>
      </c>
      <c r="AM51" s="108">
        <v>14.353499999999999</v>
      </c>
      <c r="AN51" s="108">
        <v>18.481999999999996</v>
      </c>
      <c r="AO51" s="108">
        <v>19.192</v>
      </c>
      <c r="AP51" s="108">
        <v>24.204333333333334</v>
      </c>
      <c r="AQ51" s="108">
        <v>39.534833333333339</v>
      </c>
      <c r="AR51" s="108">
        <v>12.788833333333335</v>
      </c>
      <c r="AS51" s="108">
        <v>12.155499999999998</v>
      </c>
      <c r="AT51" s="108">
        <v>9.5103333333333335</v>
      </c>
      <c r="AU51" s="108">
        <v>25.825166666666664</v>
      </c>
      <c r="AV51" s="108">
        <v>27.976833333333332</v>
      </c>
      <c r="AW51" s="108">
        <f t="shared" si="1"/>
        <v>0.70780899999999969</v>
      </c>
    </row>
    <row r="52" spans="1:49">
      <c r="A52" s="145">
        <v>45794</v>
      </c>
      <c r="B52" s="146">
        <f>YEAR(Table7[[#This Row],[Date]])+IF(MONTH(Table7[[#This Row],[Date]])&gt;=4,1,0)</f>
        <v>2026</v>
      </c>
      <c r="C52" s="147">
        <f>YEAR(Table7[[#This Row],[Date]])</f>
        <v>2025</v>
      </c>
      <c r="D52" s="148">
        <f>Daily_KPI[[#This Row],[Date]]-DAY(Daily_KPI[[#This Row],[Date]])+1</f>
        <v>45778</v>
      </c>
      <c r="E52" s="108">
        <v>344.56383333333338</v>
      </c>
      <c r="F52" s="108">
        <v>251.18166666666664</v>
      </c>
      <c r="G52" s="108">
        <v>290.76016666666663</v>
      </c>
      <c r="H52" s="108">
        <v>611.3806666666668</v>
      </c>
      <c r="I52" s="108">
        <v>398.92683333333338</v>
      </c>
      <c r="J52" s="108">
        <v>268.29183333333339</v>
      </c>
      <c r="K52" s="108">
        <v>221.58549999999994</v>
      </c>
      <c r="L52" s="108">
        <v>365.81816666666674</v>
      </c>
      <c r="M52" s="108">
        <v>267.84366666666665</v>
      </c>
      <c r="N52" s="108">
        <v>318.04000000000013</v>
      </c>
      <c r="O52" s="108">
        <v>449.53466666666662</v>
      </c>
      <c r="P52" s="108">
        <v>377.87133333333327</v>
      </c>
      <c r="Q52" s="108">
        <v>355.74616666666662</v>
      </c>
      <c r="R52" s="108">
        <v>315.37366666666679</v>
      </c>
      <c r="S52" s="108">
        <v>316.92766666666671</v>
      </c>
      <c r="T52" s="108">
        <v>389.68299999999994</v>
      </c>
      <c r="U52" s="108">
        <v>481.23399999999998</v>
      </c>
      <c r="V52" s="108">
        <v>300.49900000000002</v>
      </c>
      <c r="W52" s="108">
        <v>318.63633333333331</v>
      </c>
      <c r="X52" s="108">
        <v>338.70366666666672</v>
      </c>
      <c r="Y52" s="108">
        <v>598.91633333333334</v>
      </c>
      <c r="Z52" s="108">
        <v>581.00349999999992</v>
      </c>
      <c r="AA52" s="108">
        <v>492.35750000000002</v>
      </c>
      <c r="AB52" s="108">
        <v>537.74583333333339</v>
      </c>
      <c r="AC52" s="108">
        <v>549.60616666666681</v>
      </c>
      <c r="AD52" s="108">
        <v>483.27333333333337</v>
      </c>
      <c r="AE52" s="108">
        <v>251.50166666666664</v>
      </c>
      <c r="AF52" s="108">
        <v>177.01866666666669</v>
      </c>
      <c r="AG52" s="108">
        <v>579.59966666666662</v>
      </c>
      <c r="AH52" s="108">
        <v>212.87683333333334</v>
      </c>
      <c r="AI52" s="108">
        <v>496.26683333333335</v>
      </c>
      <c r="AJ52" s="108">
        <v>165.65633333333332</v>
      </c>
      <c r="AK52" s="108">
        <v>0</v>
      </c>
      <c r="AL52" s="108">
        <v>353.14216666666658</v>
      </c>
      <c r="AM52" s="108">
        <v>111.47416666666668</v>
      </c>
      <c r="AN52" s="108">
        <v>386.73383333333339</v>
      </c>
      <c r="AO52" s="108">
        <v>335.63816666666656</v>
      </c>
      <c r="AP52" s="108">
        <v>358.21900000000005</v>
      </c>
      <c r="AQ52" s="108">
        <v>377.48166666666663</v>
      </c>
      <c r="AR52" s="108">
        <v>214.96116666666671</v>
      </c>
      <c r="AS52" s="108">
        <v>262.41366666666664</v>
      </c>
      <c r="AT52" s="108">
        <v>223.18783333333337</v>
      </c>
      <c r="AU52" s="108">
        <v>348.5743333333333</v>
      </c>
      <c r="AV52" s="108">
        <v>303.86733333333336</v>
      </c>
      <c r="AW52" s="108">
        <f t="shared" ref="AW52:AW53" si="5">SUM(E52:AV52)/1000</f>
        <v>15.384117833333333</v>
      </c>
    </row>
    <row r="53" spans="1:49">
      <c r="A53" s="149">
        <v>45795</v>
      </c>
      <c r="B53" s="150">
        <f>YEAR(Table7[[#This Row],[Date]])+IF(MONTH(Table7[[#This Row],[Date]])&gt;=4,1,0)</f>
        <v>2026</v>
      </c>
      <c r="C53" s="151">
        <f>YEAR(Table7[[#This Row],[Date]])</f>
        <v>2025</v>
      </c>
      <c r="D53" s="152">
        <f>Daily_KPI[[#This Row],[Date]]-DAY(Daily_KPI[[#This Row],[Date]])+1</f>
        <v>45778</v>
      </c>
      <c r="E53" s="108">
        <f>E52/6</f>
        <v>57.427305555555563</v>
      </c>
      <c r="F53" s="108">
        <f t="shared" ref="F53:AV53" si="6">F52/6</f>
        <v>41.863611111111105</v>
      </c>
      <c r="G53" s="108">
        <f t="shared" si="6"/>
        <v>48.460027777777775</v>
      </c>
      <c r="H53" s="108">
        <f t="shared" si="6"/>
        <v>101.8967777777778</v>
      </c>
      <c r="I53" s="108">
        <f t="shared" si="6"/>
        <v>66.487805555555568</v>
      </c>
      <c r="J53" s="108">
        <f t="shared" si="6"/>
        <v>44.715305555555567</v>
      </c>
      <c r="K53" s="108">
        <f t="shared" si="6"/>
        <v>36.930916666666654</v>
      </c>
      <c r="L53" s="108">
        <f t="shared" si="6"/>
        <v>60.969694444444457</v>
      </c>
      <c r="M53" s="108">
        <f t="shared" si="6"/>
        <v>44.640611111111106</v>
      </c>
      <c r="N53" s="108">
        <f t="shared" si="6"/>
        <v>53.006666666666689</v>
      </c>
      <c r="O53" s="108">
        <f t="shared" si="6"/>
        <v>74.922444444444437</v>
      </c>
      <c r="P53" s="108">
        <f t="shared" si="6"/>
        <v>62.978555555555545</v>
      </c>
      <c r="Q53" s="108">
        <f t="shared" si="6"/>
        <v>59.291027777777771</v>
      </c>
      <c r="R53" s="108">
        <f t="shared" si="6"/>
        <v>52.562277777777801</v>
      </c>
      <c r="S53" s="108">
        <f t="shared" si="6"/>
        <v>52.821277777777787</v>
      </c>
      <c r="T53" s="108">
        <f t="shared" si="6"/>
        <v>64.947166666666661</v>
      </c>
      <c r="U53" s="108">
        <f t="shared" si="6"/>
        <v>80.205666666666659</v>
      </c>
      <c r="V53" s="108">
        <f t="shared" si="6"/>
        <v>50.083166666666671</v>
      </c>
      <c r="W53" s="108">
        <f t="shared" si="6"/>
        <v>53.10605555555555</v>
      </c>
      <c r="X53" s="108">
        <f t="shared" si="6"/>
        <v>56.450611111111122</v>
      </c>
      <c r="Y53" s="108">
        <f t="shared" si="6"/>
        <v>99.819388888888895</v>
      </c>
      <c r="Z53" s="108">
        <f t="shared" si="6"/>
        <v>96.833916666666653</v>
      </c>
      <c r="AA53" s="108">
        <f t="shared" si="6"/>
        <v>82.059583333333336</v>
      </c>
      <c r="AB53" s="108">
        <f t="shared" si="6"/>
        <v>89.624305555555566</v>
      </c>
      <c r="AC53" s="108">
        <f t="shared" si="6"/>
        <v>91.601027777777801</v>
      </c>
      <c r="AD53" s="108">
        <f t="shared" si="6"/>
        <v>80.545555555555566</v>
      </c>
      <c r="AE53" s="108">
        <f t="shared" si="6"/>
        <v>41.916944444444439</v>
      </c>
      <c r="AF53" s="108">
        <f t="shared" si="6"/>
        <v>29.503111111111114</v>
      </c>
      <c r="AG53" s="108">
        <f t="shared" si="6"/>
        <v>96.599944444444432</v>
      </c>
      <c r="AH53" s="108">
        <f t="shared" si="6"/>
        <v>35.479472222222221</v>
      </c>
      <c r="AI53" s="108">
        <f t="shared" si="6"/>
        <v>82.711138888888897</v>
      </c>
      <c r="AJ53" s="108">
        <f t="shared" si="6"/>
        <v>27.609388888888887</v>
      </c>
      <c r="AK53" s="108">
        <f t="shared" si="6"/>
        <v>0</v>
      </c>
      <c r="AL53" s="108">
        <f t="shared" si="6"/>
        <v>58.857027777777766</v>
      </c>
      <c r="AM53" s="108">
        <f t="shared" si="6"/>
        <v>18.579027777777778</v>
      </c>
      <c r="AN53" s="108">
        <f t="shared" si="6"/>
        <v>64.455638888888899</v>
      </c>
      <c r="AO53" s="108">
        <f t="shared" si="6"/>
        <v>55.939694444444427</v>
      </c>
      <c r="AP53" s="108">
        <f t="shared" si="6"/>
        <v>59.703166666666675</v>
      </c>
      <c r="AQ53" s="108">
        <f t="shared" si="6"/>
        <v>62.913611111111102</v>
      </c>
      <c r="AR53" s="108">
        <f t="shared" si="6"/>
        <v>35.826861111111121</v>
      </c>
      <c r="AS53" s="108">
        <f t="shared" si="6"/>
        <v>43.735611111111105</v>
      </c>
      <c r="AT53" s="108">
        <f t="shared" si="6"/>
        <v>37.197972222222226</v>
      </c>
      <c r="AU53" s="108">
        <f t="shared" si="6"/>
        <v>58.095722222222214</v>
      </c>
      <c r="AV53" s="108">
        <f t="shared" si="6"/>
        <v>50.644555555555563</v>
      </c>
      <c r="AW53" s="108">
        <f t="shared" si="5"/>
        <v>2.5640196388888894</v>
      </c>
    </row>
    <row r="54" spans="1:49">
      <c r="A54" s="145">
        <v>45796</v>
      </c>
      <c r="B54" s="146">
        <f>YEAR(Table7[[#This Row],[Date]])+IF(MONTH(Table7[[#This Row],[Date]])&gt;=4,1,0)</f>
        <v>2026</v>
      </c>
      <c r="C54" s="147">
        <f>YEAR(Table7[[#This Row],[Date]])</f>
        <v>2025</v>
      </c>
      <c r="D54" s="148">
        <f>Daily_KPI[[#This Row],[Date]]-DAY(Daily_KPI[[#This Row],[Date]])+1</f>
        <v>45778</v>
      </c>
      <c r="E54" s="108">
        <v>70.279249999999976</v>
      </c>
      <c r="F54" s="108">
        <v>62.259333333333338</v>
      </c>
      <c r="G54" s="108">
        <v>62.926666666666655</v>
      </c>
      <c r="H54" s="108">
        <v>56.805</v>
      </c>
      <c r="I54" s="108">
        <v>38.028749999999995</v>
      </c>
      <c r="J54" s="108">
        <v>37.086916666666667</v>
      </c>
      <c r="K54" s="108">
        <v>52.239666666666665</v>
      </c>
      <c r="L54" s="108">
        <v>18.281416666666669</v>
      </c>
      <c r="M54" s="108">
        <v>14.515083333333331</v>
      </c>
      <c r="N54" s="108">
        <v>13.475749999999998</v>
      </c>
      <c r="O54" s="108">
        <v>8.3176666666666659</v>
      </c>
      <c r="P54" s="108">
        <v>11.90025</v>
      </c>
      <c r="Q54" s="108">
        <v>10.980749999999999</v>
      </c>
      <c r="R54" s="108">
        <v>7.9328333333333338</v>
      </c>
      <c r="S54" s="108">
        <v>10.580250000000001</v>
      </c>
      <c r="T54" s="108">
        <v>12.102499999999999</v>
      </c>
      <c r="U54" s="108">
        <v>15.746833333333335</v>
      </c>
      <c r="V54" s="108">
        <v>61.385666666666673</v>
      </c>
      <c r="W54" s="108">
        <v>17.921249999999997</v>
      </c>
      <c r="X54" s="108">
        <v>13.060666666666668</v>
      </c>
      <c r="Y54" s="108">
        <v>57.070416666666667</v>
      </c>
      <c r="Z54" s="108">
        <v>57.296333333333337</v>
      </c>
      <c r="AA54" s="108">
        <v>30.745333333333331</v>
      </c>
      <c r="AB54" s="108">
        <v>26.572749999999999</v>
      </c>
      <c r="AC54" s="108">
        <v>19.633499999999998</v>
      </c>
      <c r="AD54" s="108">
        <v>25.672666666666668</v>
      </c>
      <c r="AE54" s="108">
        <v>76.775166666666664</v>
      </c>
      <c r="AF54" s="108">
        <v>35.589666666666659</v>
      </c>
      <c r="AG54" s="108">
        <v>45.238250000000001</v>
      </c>
      <c r="AH54" s="108">
        <v>43.894749999999995</v>
      </c>
      <c r="AI54" s="108">
        <v>17.431750000000001</v>
      </c>
      <c r="AJ54" s="108">
        <v>21.309416666666667</v>
      </c>
      <c r="AK54" s="108">
        <v>29.491833333333332</v>
      </c>
      <c r="AL54" s="108">
        <v>56.623583333333336</v>
      </c>
      <c r="AM54" s="108">
        <v>39.7455</v>
      </c>
      <c r="AN54" s="108">
        <v>60.06933333333334</v>
      </c>
      <c r="AO54" s="108">
        <v>53.968249999999991</v>
      </c>
      <c r="AP54" s="108">
        <v>48.062916666666673</v>
      </c>
      <c r="AQ54" s="108">
        <v>54.822416666666662</v>
      </c>
      <c r="AR54" s="108">
        <v>11.922666666666666</v>
      </c>
      <c r="AS54" s="108">
        <v>44.41075</v>
      </c>
      <c r="AT54" s="108">
        <v>44.279583333333328</v>
      </c>
      <c r="AU54" s="108">
        <v>67.677583333333331</v>
      </c>
      <c r="AV54" s="108">
        <v>54.911333333333346</v>
      </c>
      <c r="AW54" s="108">
        <f t="shared" si="1"/>
        <v>1.6190422499999999</v>
      </c>
    </row>
    <row r="55" spans="1:49">
      <c r="A55" s="149">
        <v>45797</v>
      </c>
      <c r="B55" s="150">
        <f>YEAR(Table7[[#This Row],[Date]])+IF(MONTH(Table7[[#This Row],[Date]])&gt;=4,1,0)</f>
        <v>2026</v>
      </c>
      <c r="C55" s="151">
        <f>YEAR(Table7[[#This Row],[Date]])</f>
        <v>2025</v>
      </c>
      <c r="D55" s="152">
        <f>Daily_KPI[[#This Row],[Date]]-DAY(Daily_KPI[[#This Row],[Date]])+1</f>
        <v>45778</v>
      </c>
      <c r="E55" s="108">
        <v>10.354333333333335</v>
      </c>
      <c r="F55" s="108">
        <v>8.5570000000000004</v>
      </c>
      <c r="G55" s="108">
        <v>1.1524999999999999</v>
      </c>
      <c r="H55" s="108">
        <v>10.870666666666667</v>
      </c>
      <c r="I55" s="108">
        <v>2.7775000000000003</v>
      </c>
      <c r="J55" s="108">
        <v>6.4840000000000009</v>
      </c>
      <c r="K55" s="108">
        <v>2.6726666666666663</v>
      </c>
      <c r="L55" s="108">
        <v>5.1319999999999997</v>
      </c>
      <c r="M55" s="108">
        <v>9.3113333333333319</v>
      </c>
      <c r="N55" s="108">
        <v>7.25</v>
      </c>
      <c r="O55" s="108">
        <v>12.9285</v>
      </c>
      <c r="P55" s="108">
        <v>10.489333333333335</v>
      </c>
      <c r="Q55" s="108">
        <v>9.7488333333333337</v>
      </c>
      <c r="R55" s="108">
        <v>8.4478333333333335</v>
      </c>
      <c r="S55" s="108">
        <v>3.8361666666666667</v>
      </c>
      <c r="T55" s="108">
        <v>1.4568333333333332</v>
      </c>
      <c r="U55" s="108">
        <v>1.8588333333333333</v>
      </c>
      <c r="V55" s="108">
        <v>0.314</v>
      </c>
      <c r="W55" s="108">
        <v>4.4726666666666661</v>
      </c>
      <c r="X55" s="108">
        <v>0</v>
      </c>
      <c r="Y55" s="108">
        <v>20.177666666666667</v>
      </c>
      <c r="Z55" s="108">
        <v>18.424500000000002</v>
      </c>
      <c r="AA55" s="108">
        <v>16.871333333333336</v>
      </c>
      <c r="AB55" s="108">
        <v>18.402000000000001</v>
      </c>
      <c r="AC55" s="108">
        <v>15.164999999999999</v>
      </c>
      <c r="AD55" s="108">
        <v>16.508666666666667</v>
      </c>
      <c r="AE55" s="108">
        <v>0.29633333333333334</v>
      </c>
      <c r="AF55" s="108">
        <v>4.6191666666666675</v>
      </c>
      <c r="AG55" s="108">
        <v>3.4641666666666668</v>
      </c>
      <c r="AH55" s="108">
        <v>18.387</v>
      </c>
      <c r="AI55" s="108">
        <v>0</v>
      </c>
      <c r="AJ55" s="108">
        <v>3.5728333333333331</v>
      </c>
      <c r="AK55" s="108">
        <v>4.3073333333333332</v>
      </c>
      <c r="AL55" s="108">
        <v>4.5701666666666663</v>
      </c>
      <c r="AM55" s="108">
        <v>19.428999999999998</v>
      </c>
      <c r="AN55" s="108">
        <v>19.669333333333331</v>
      </c>
      <c r="AO55" s="108">
        <v>2.5833333333333335</v>
      </c>
      <c r="AP55" s="108">
        <v>0</v>
      </c>
      <c r="AQ55" s="108">
        <v>4.1188333333333338</v>
      </c>
      <c r="AR55" s="108">
        <v>3.0355000000000003</v>
      </c>
      <c r="AS55" s="108">
        <v>4.3</v>
      </c>
      <c r="AT55" s="108">
        <v>19.753499999999999</v>
      </c>
      <c r="AU55" s="108">
        <v>15.302</v>
      </c>
      <c r="AV55" s="108">
        <v>2.7643333333333331</v>
      </c>
      <c r="AW55" s="108">
        <f t="shared" si="1"/>
        <v>0.35383700000000007</v>
      </c>
    </row>
    <row r="56" spans="1:49">
      <c r="A56" s="145">
        <v>45798</v>
      </c>
      <c r="B56" s="146">
        <f>YEAR(Table7[[#This Row],[Date]])+IF(MONTH(Table7[[#This Row],[Date]])&gt;=4,1,0)</f>
        <v>2026</v>
      </c>
      <c r="C56" s="147">
        <f>YEAR(Table7[[#This Row],[Date]])</f>
        <v>2025</v>
      </c>
      <c r="D56" s="148">
        <f>Daily_KPI[[#This Row],[Date]]-DAY(Daily_KPI[[#This Row],[Date]])+1</f>
        <v>45778</v>
      </c>
      <c r="AW56" s="108">
        <f t="shared" si="1"/>
        <v>0</v>
      </c>
    </row>
    <row r="57" spans="1:49">
      <c r="A57" s="149">
        <v>45799</v>
      </c>
      <c r="B57" s="150">
        <f>YEAR(Table7[[#This Row],[Date]])+IF(MONTH(Table7[[#This Row],[Date]])&gt;=4,1,0)</f>
        <v>2026</v>
      </c>
      <c r="C57" s="151">
        <f>YEAR(Table7[[#This Row],[Date]])</f>
        <v>2025</v>
      </c>
      <c r="D57" s="152">
        <f>Daily_KPI[[#This Row],[Date]]-DAY(Daily_KPI[[#This Row],[Date]])+1</f>
        <v>45778</v>
      </c>
      <c r="E57" s="108">
        <v>568.17416666666702</v>
      </c>
      <c r="F57" s="108">
        <v>641.58516666666549</v>
      </c>
      <c r="G57" s="108">
        <v>539.29133333333323</v>
      </c>
      <c r="H57" s="108">
        <v>251.50833333333298</v>
      </c>
      <c r="I57" s="108">
        <v>93.513833333333324</v>
      </c>
      <c r="J57" s="108">
        <v>346.26100000000019</v>
      </c>
      <c r="K57" s="108">
        <v>485.01699999999954</v>
      </c>
      <c r="L57" s="108">
        <v>521.79783333333364</v>
      </c>
      <c r="M57" s="108">
        <v>583.87216666666723</v>
      </c>
      <c r="N57" s="108">
        <v>397.20516666666708</v>
      </c>
      <c r="O57" s="108">
        <v>510.09133333333244</v>
      </c>
      <c r="P57" s="108">
        <v>579.91783333333387</v>
      </c>
      <c r="Q57" s="108">
        <v>463.48100000000045</v>
      </c>
      <c r="R57" s="108">
        <v>483.87866666666645</v>
      </c>
      <c r="S57" s="108">
        <v>268.8848333333338</v>
      </c>
      <c r="T57" s="108">
        <v>453.72766666666644</v>
      </c>
      <c r="U57" s="108">
        <v>388.05999999999995</v>
      </c>
      <c r="V57" s="108">
        <v>436.75033333333425</v>
      </c>
      <c r="W57" s="108">
        <v>399.42816666666704</v>
      </c>
      <c r="X57" s="108">
        <v>237.33599999999981</v>
      </c>
      <c r="Y57" s="108">
        <v>402.3813333333332</v>
      </c>
      <c r="Z57" s="108">
        <v>472.7203333333336</v>
      </c>
      <c r="AA57" s="108">
        <v>466.16100000000029</v>
      </c>
      <c r="AB57" s="108">
        <v>454.67416666666765</v>
      </c>
      <c r="AC57" s="108">
        <v>524.54233333333229</v>
      </c>
      <c r="AD57" s="108">
        <v>531.33433333333357</v>
      </c>
      <c r="AE57" s="108">
        <v>453.29383333333288</v>
      </c>
      <c r="AF57" s="108">
        <v>61.689833333333333</v>
      </c>
      <c r="AG57" s="108">
        <v>239.3499999999998</v>
      </c>
      <c r="AH57" s="108">
        <v>202.71733333333339</v>
      </c>
      <c r="AI57" s="108">
        <v>152.09200000000007</v>
      </c>
      <c r="AJ57" s="108">
        <v>261.89750000000055</v>
      </c>
      <c r="AK57" s="108">
        <v>222.11250000000049</v>
      </c>
      <c r="AL57" s="108">
        <v>420.35433333333316</v>
      </c>
      <c r="AM57" s="108">
        <v>277.26516666666708</v>
      </c>
      <c r="AN57" s="108">
        <v>753.58450000000039</v>
      </c>
      <c r="AO57" s="108">
        <v>376.55416666666656</v>
      </c>
      <c r="AP57" s="108">
        <v>518.22299999999962</v>
      </c>
      <c r="AQ57" s="108">
        <v>593.20633333333365</v>
      </c>
      <c r="AR57" s="108">
        <v>92.548833333333349</v>
      </c>
      <c r="AS57" s="108">
        <v>128.62883333333335</v>
      </c>
      <c r="AT57" s="108">
        <v>192.07866666666635</v>
      </c>
      <c r="AU57" s="108">
        <v>901.46383333333381</v>
      </c>
      <c r="AV57" s="108">
        <v>593.91966666666747</v>
      </c>
      <c r="AW57" s="108">
        <f t="shared" si="1"/>
        <v>17.942575666666677</v>
      </c>
    </row>
    <row r="58" spans="1:49">
      <c r="A58" s="145">
        <v>45800</v>
      </c>
      <c r="B58" s="146">
        <f>YEAR(Table7[[#This Row],[Date]])+IF(MONTH(Table7[[#This Row],[Date]])&gt;=4,1,0)</f>
        <v>2026</v>
      </c>
      <c r="C58" s="147">
        <f>YEAR(Table7[[#This Row],[Date]])</f>
        <v>2025</v>
      </c>
      <c r="D58" s="148">
        <f>Daily_KPI[[#This Row],[Date]]-DAY(Daily_KPI[[#This Row],[Date]])+1</f>
        <v>45778</v>
      </c>
      <c r="E58" s="108">
        <v>784.08000000000129</v>
      </c>
      <c r="F58" s="108">
        <v>1028.9759999999969</v>
      </c>
      <c r="G58" s="108">
        <v>652.8719999999995</v>
      </c>
      <c r="H58" s="108">
        <v>29.135999999999971</v>
      </c>
      <c r="I58" s="108">
        <v>0</v>
      </c>
      <c r="J58" s="108">
        <v>329.04000000000059</v>
      </c>
      <c r="K58" s="108">
        <v>848.40000000000055</v>
      </c>
      <c r="L58" s="108">
        <v>398.95200000000085</v>
      </c>
      <c r="M58" s="108">
        <v>691.77600000000109</v>
      </c>
      <c r="N58" s="108">
        <v>191.20800000000006</v>
      </c>
      <c r="O58" s="108">
        <v>604.05599999999924</v>
      </c>
      <c r="P58" s="108">
        <v>843.59999999999957</v>
      </c>
      <c r="Q58" s="108">
        <v>530.20800000000145</v>
      </c>
      <c r="R58" s="108">
        <v>812.35199999999907</v>
      </c>
      <c r="S58" s="108">
        <v>250.9920000000005</v>
      </c>
      <c r="T58" s="108">
        <v>846.74399999999889</v>
      </c>
      <c r="U58" s="108">
        <v>471.3599999999999</v>
      </c>
      <c r="V58" s="108">
        <v>391.68000000000006</v>
      </c>
      <c r="W58" s="108">
        <v>444.76800000000031</v>
      </c>
      <c r="X58" s="108">
        <v>208.41599999999968</v>
      </c>
      <c r="Y58" s="108">
        <v>508.53599999999932</v>
      </c>
      <c r="Z58" s="108">
        <v>878.63999999999896</v>
      </c>
      <c r="AA58" s="108">
        <v>467.04000000000065</v>
      </c>
      <c r="AB58" s="108">
        <v>326.37599999999946</v>
      </c>
      <c r="AC58" s="108">
        <v>712.58399999999767</v>
      </c>
      <c r="AD58" s="108">
        <v>466.08000000000101</v>
      </c>
      <c r="AE58" s="108">
        <v>647.3999999999985</v>
      </c>
      <c r="AF58" s="108">
        <v>0</v>
      </c>
      <c r="AG58" s="108">
        <v>210.0479999999994</v>
      </c>
      <c r="AH58" s="108">
        <v>258.62400000000019</v>
      </c>
      <c r="AI58" s="108">
        <v>43.032000000000103</v>
      </c>
      <c r="AJ58" s="108">
        <v>55.295999999999886</v>
      </c>
      <c r="AK58" s="108">
        <v>189.14399999999975</v>
      </c>
      <c r="AL58" s="108">
        <v>523.27199999999982</v>
      </c>
      <c r="AM58" s="108">
        <v>74.928000000000239</v>
      </c>
      <c r="AN58" s="108">
        <v>1051.8959999999988</v>
      </c>
      <c r="AO58" s="108">
        <v>422.92799999999983</v>
      </c>
      <c r="AP58" s="108">
        <v>780.52799999999888</v>
      </c>
      <c r="AQ58" s="108">
        <v>926.95199999999807</v>
      </c>
      <c r="AR58" s="108">
        <v>0</v>
      </c>
      <c r="AS58" s="108">
        <v>0</v>
      </c>
      <c r="AT58" s="108">
        <v>171.79200000000023</v>
      </c>
      <c r="AU58" s="108">
        <v>2005.5120000000022</v>
      </c>
      <c r="AV58" s="108">
        <v>1072.6799999999987</v>
      </c>
      <c r="AW58" s="108">
        <f t="shared" si="1"/>
        <v>22.151903999999991</v>
      </c>
    </row>
    <row r="59" spans="1:49">
      <c r="A59" s="149">
        <v>45801</v>
      </c>
      <c r="B59" s="150">
        <f>YEAR(Table7[[#This Row],[Date]])+IF(MONTH(Table7[[#This Row],[Date]])&gt;=4,1,0)</f>
        <v>2026</v>
      </c>
      <c r="C59" s="151">
        <f>YEAR(Table7[[#This Row],[Date]])</f>
        <v>2025</v>
      </c>
      <c r="D59" s="152">
        <f>Daily_KPI[[#This Row],[Date]]-DAY(Daily_KPI[[#This Row],[Date]])+1</f>
        <v>45778</v>
      </c>
      <c r="E59" s="108">
        <v>784.08000000000129</v>
      </c>
      <c r="F59" s="108">
        <v>1028.9759999999969</v>
      </c>
      <c r="G59" s="108">
        <v>652.8719999999995</v>
      </c>
      <c r="H59" s="108">
        <v>29.135999999999971</v>
      </c>
      <c r="I59" s="108">
        <v>0</v>
      </c>
      <c r="J59" s="108">
        <v>329.04000000000059</v>
      </c>
      <c r="K59" s="108">
        <v>848.40000000000055</v>
      </c>
      <c r="L59" s="108">
        <v>398.95200000000085</v>
      </c>
      <c r="M59" s="108">
        <v>691.77600000000109</v>
      </c>
      <c r="N59" s="108">
        <v>191.20800000000006</v>
      </c>
      <c r="O59" s="108">
        <v>604.05599999999924</v>
      </c>
      <c r="P59" s="108">
        <v>843.59999999999957</v>
      </c>
      <c r="Q59" s="108">
        <v>530.20800000000145</v>
      </c>
      <c r="R59" s="108">
        <v>812.35199999999907</v>
      </c>
      <c r="S59" s="108">
        <v>250.9920000000005</v>
      </c>
      <c r="T59" s="108">
        <v>846.74399999999889</v>
      </c>
      <c r="U59" s="108">
        <v>471.3599999999999</v>
      </c>
      <c r="V59" s="108">
        <v>391.68000000000006</v>
      </c>
      <c r="W59" s="108">
        <v>444.76800000000031</v>
      </c>
      <c r="X59" s="108">
        <v>208.41599999999968</v>
      </c>
      <c r="Y59" s="108">
        <v>508.53599999999932</v>
      </c>
      <c r="Z59" s="108">
        <v>878.63999999999896</v>
      </c>
      <c r="AA59" s="108">
        <v>467.04000000000065</v>
      </c>
      <c r="AB59" s="108">
        <v>326.37599999999946</v>
      </c>
      <c r="AC59" s="108">
        <v>712.58399999999767</v>
      </c>
      <c r="AD59" s="108">
        <v>466.08000000000101</v>
      </c>
      <c r="AE59" s="108">
        <v>647.3999999999985</v>
      </c>
      <c r="AF59" s="108">
        <v>0</v>
      </c>
      <c r="AG59" s="108">
        <v>210.0479999999994</v>
      </c>
      <c r="AH59" s="108">
        <v>258.62400000000019</v>
      </c>
      <c r="AI59" s="108">
        <v>43.032000000000103</v>
      </c>
      <c r="AJ59" s="108">
        <v>55.295999999999886</v>
      </c>
      <c r="AK59" s="108">
        <v>189.14399999999975</v>
      </c>
      <c r="AL59" s="108">
        <v>523.27199999999982</v>
      </c>
      <c r="AM59" s="108">
        <v>74.928000000000239</v>
      </c>
      <c r="AN59" s="108">
        <v>1051.8959999999988</v>
      </c>
      <c r="AO59" s="108">
        <v>422.92799999999983</v>
      </c>
      <c r="AP59" s="108">
        <v>780.52799999999888</v>
      </c>
      <c r="AQ59" s="108">
        <v>926.95199999999807</v>
      </c>
      <c r="AR59" s="108">
        <v>0</v>
      </c>
      <c r="AS59" s="108">
        <v>0</v>
      </c>
      <c r="AT59" s="108">
        <v>171.79200000000023</v>
      </c>
      <c r="AU59" s="108">
        <v>2005.5120000000022</v>
      </c>
      <c r="AV59" s="108">
        <v>1072.6799999999987</v>
      </c>
      <c r="AW59" s="108">
        <f t="shared" si="1"/>
        <v>22.151903999999991</v>
      </c>
    </row>
    <row r="60" spans="1:49">
      <c r="A60" s="145">
        <v>45802</v>
      </c>
      <c r="B60" s="146">
        <f>YEAR(Table7[[#This Row],[Date]])+IF(MONTH(Table7[[#This Row],[Date]])&gt;=4,1,0)</f>
        <v>2026</v>
      </c>
      <c r="C60" s="147">
        <f>YEAR(Table7[[#This Row],[Date]])</f>
        <v>2025</v>
      </c>
      <c r="D60" s="148">
        <f>Daily_KPI[[#This Row],[Date]]-DAY(Daily_KPI[[#This Row],[Date]])+1</f>
        <v>45778</v>
      </c>
      <c r="E60" s="108">
        <v>784.08000000000129</v>
      </c>
      <c r="F60" s="108">
        <v>1028.9759999999969</v>
      </c>
      <c r="G60" s="108">
        <v>652.8719999999995</v>
      </c>
      <c r="H60" s="108">
        <v>29.135999999999971</v>
      </c>
      <c r="I60" s="108">
        <v>0</v>
      </c>
      <c r="J60" s="108">
        <v>329.04000000000059</v>
      </c>
      <c r="K60" s="108">
        <v>848.40000000000055</v>
      </c>
      <c r="L60" s="108">
        <v>398.95200000000085</v>
      </c>
      <c r="M60" s="108">
        <v>691.77600000000109</v>
      </c>
      <c r="N60" s="108">
        <v>191.20800000000006</v>
      </c>
      <c r="O60" s="108">
        <v>604.05599999999924</v>
      </c>
      <c r="P60" s="108">
        <v>843.59999999999957</v>
      </c>
      <c r="Q60" s="108">
        <v>530.20800000000145</v>
      </c>
      <c r="R60" s="108">
        <v>812.35199999999907</v>
      </c>
      <c r="S60" s="108">
        <v>250.9920000000005</v>
      </c>
      <c r="T60" s="108">
        <v>846.74399999999889</v>
      </c>
      <c r="U60" s="108">
        <v>471.3599999999999</v>
      </c>
      <c r="V60" s="108">
        <v>391.68000000000006</v>
      </c>
      <c r="W60" s="108">
        <v>444.76800000000031</v>
      </c>
      <c r="X60" s="108">
        <v>208.41599999999968</v>
      </c>
      <c r="Y60" s="108">
        <v>508.53599999999932</v>
      </c>
      <c r="Z60" s="108">
        <v>878.63999999999896</v>
      </c>
      <c r="AA60" s="108">
        <v>467.04000000000065</v>
      </c>
      <c r="AB60" s="108">
        <v>326.37599999999946</v>
      </c>
      <c r="AC60" s="108">
        <v>712.58399999999767</v>
      </c>
      <c r="AD60" s="108">
        <v>466.08000000000101</v>
      </c>
      <c r="AE60" s="108">
        <v>647.3999999999985</v>
      </c>
      <c r="AF60" s="108">
        <v>0</v>
      </c>
      <c r="AG60" s="108">
        <v>210.0479999999994</v>
      </c>
      <c r="AH60" s="108">
        <v>258.62400000000019</v>
      </c>
      <c r="AI60" s="108">
        <v>43.032000000000103</v>
      </c>
      <c r="AJ60" s="108">
        <v>55.295999999999886</v>
      </c>
      <c r="AK60" s="108">
        <v>189.14399999999975</v>
      </c>
      <c r="AL60" s="108">
        <v>523.27199999999982</v>
      </c>
      <c r="AM60" s="108">
        <v>74.928000000000239</v>
      </c>
      <c r="AN60" s="108">
        <v>1051.8959999999988</v>
      </c>
      <c r="AO60" s="108">
        <v>422.92799999999983</v>
      </c>
      <c r="AP60" s="108">
        <v>780.52799999999888</v>
      </c>
      <c r="AQ60" s="108">
        <v>926.95199999999807</v>
      </c>
      <c r="AR60" s="108">
        <v>0</v>
      </c>
      <c r="AS60" s="108">
        <v>0</v>
      </c>
      <c r="AT60" s="108">
        <v>171.79200000000023</v>
      </c>
      <c r="AU60" s="108">
        <v>2005.5120000000022</v>
      </c>
      <c r="AV60" s="108">
        <v>1072.6799999999987</v>
      </c>
      <c r="AW60" s="108">
        <f t="shared" si="1"/>
        <v>22.151903999999991</v>
      </c>
    </row>
    <row r="61" spans="1:49">
      <c r="A61" s="149">
        <v>45803</v>
      </c>
      <c r="B61" s="150">
        <f>YEAR(Table7[[#This Row],[Date]])+IF(MONTH(Table7[[#This Row],[Date]])&gt;=4,1,0)</f>
        <v>2026</v>
      </c>
      <c r="C61" s="151">
        <f>YEAR(Table7[[#This Row],[Date]])</f>
        <v>2025</v>
      </c>
      <c r="D61" s="152">
        <f>Daily_KPI[[#This Row],[Date]]-DAY(Daily_KPI[[#This Row],[Date]])+1</f>
        <v>45778</v>
      </c>
      <c r="E61" s="108">
        <v>784.08000000000129</v>
      </c>
      <c r="F61" s="108">
        <v>1028.9759999999969</v>
      </c>
      <c r="G61" s="108">
        <v>652.8719999999995</v>
      </c>
      <c r="H61" s="108">
        <v>29.135999999999971</v>
      </c>
      <c r="I61" s="108">
        <v>0</v>
      </c>
      <c r="J61" s="108">
        <v>329.04000000000059</v>
      </c>
      <c r="K61" s="108">
        <v>848.40000000000055</v>
      </c>
      <c r="L61" s="108">
        <v>398.95200000000085</v>
      </c>
      <c r="M61" s="108">
        <v>691.77600000000109</v>
      </c>
      <c r="N61" s="108">
        <v>191.20800000000006</v>
      </c>
      <c r="O61" s="108">
        <v>604.05599999999924</v>
      </c>
      <c r="P61" s="108">
        <v>843.59999999999957</v>
      </c>
      <c r="Q61" s="108">
        <v>530.20800000000145</v>
      </c>
      <c r="R61" s="108">
        <v>812.35199999999907</v>
      </c>
      <c r="S61" s="108">
        <v>250.9920000000005</v>
      </c>
      <c r="T61" s="108">
        <v>846.74399999999889</v>
      </c>
      <c r="U61" s="108">
        <v>471.3599999999999</v>
      </c>
      <c r="V61" s="108">
        <v>391.68000000000006</v>
      </c>
      <c r="W61" s="108">
        <v>444.76800000000031</v>
      </c>
      <c r="X61" s="108">
        <v>208.41599999999968</v>
      </c>
      <c r="Y61" s="108">
        <v>508.53599999999932</v>
      </c>
      <c r="Z61" s="108">
        <v>878.63999999999896</v>
      </c>
      <c r="AA61" s="108">
        <v>467.04000000000065</v>
      </c>
      <c r="AB61" s="108">
        <v>326.37599999999946</v>
      </c>
      <c r="AC61" s="108">
        <v>712.58399999999767</v>
      </c>
      <c r="AD61" s="108">
        <v>466.08000000000101</v>
      </c>
      <c r="AE61" s="108">
        <v>647.3999999999985</v>
      </c>
      <c r="AF61" s="108">
        <v>0</v>
      </c>
      <c r="AG61" s="108">
        <v>210.0479999999994</v>
      </c>
      <c r="AH61" s="108">
        <v>258.62400000000019</v>
      </c>
      <c r="AI61" s="108">
        <v>43.032000000000103</v>
      </c>
      <c r="AJ61" s="108">
        <v>55.295999999999886</v>
      </c>
      <c r="AK61" s="108">
        <v>189.14399999999975</v>
      </c>
      <c r="AL61" s="108">
        <v>523.27199999999982</v>
      </c>
      <c r="AM61" s="108">
        <v>74.928000000000239</v>
      </c>
      <c r="AN61" s="108">
        <v>1051.8959999999988</v>
      </c>
      <c r="AO61" s="108">
        <v>422.92799999999983</v>
      </c>
      <c r="AP61" s="108">
        <v>780.52799999999888</v>
      </c>
      <c r="AQ61" s="108">
        <v>926.95199999999807</v>
      </c>
      <c r="AR61" s="108">
        <v>0</v>
      </c>
      <c r="AS61" s="108">
        <v>0</v>
      </c>
      <c r="AT61" s="108">
        <v>171.79200000000023</v>
      </c>
      <c r="AU61" s="108">
        <v>2005.5120000000022</v>
      </c>
      <c r="AV61" s="108">
        <v>1072.6799999999987</v>
      </c>
      <c r="AW61" s="108">
        <f t="shared" si="1"/>
        <v>22.151903999999991</v>
      </c>
    </row>
    <row r="62" spans="1:49">
      <c r="A62" s="145">
        <v>45804</v>
      </c>
      <c r="B62" s="146">
        <f>YEAR(Table7[[#This Row],[Date]])+IF(MONTH(Table7[[#This Row],[Date]])&gt;=4,1,0)</f>
        <v>2026</v>
      </c>
      <c r="C62" s="147">
        <f>YEAR(Table7[[#This Row],[Date]])</f>
        <v>2025</v>
      </c>
      <c r="D62" s="148">
        <f>Daily_KPI[[#This Row],[Date]]-DAY(Daily_KPI[[#This Row],[Date]])+1</f>
        <v>45778</v>
      </c>
      <c r="E62" s="108">
        <v>784.08000000000129</v>
      </c>
      <c r="F62" s="108">
        <v>1028.9759999999969</v>
      </c>
      <c r="G62" s="108">
        <v>652.8719999999995</v>
      </c>
      <c r="H62" s="108">
        <v>29.135999999999971</v>
      </c>
      <c r="I62" s="108">
        <v>0</v>
      </c>
      <c r="J62" s="108">
        <v>329.04000000000059</v>
      </c>
      <c r="K62" s="108">
        <v>848.40000000000055</v>
      </c>
      <c r="L62" s="108">
        <v>398.95200000000085</v>
      </c>
      <c r="M62" s="108">
        <v>691.77600000000109</v>
      </c>
      <c r="N62" s="108">
        <v>191.20800000000006</v>
      </c>
      <c r="O62" s="108">
        <v>604.05599999999924</v>
      </c>
      <c r="P62" s="108">
        <v>843.59999999999957</v>
      </c>
      <c r="Q62" s="108">
        <v>530.20800000000145</v>
      </c>
      <c r="R62" s="108">
        <v>812.35199999999907</v>
      </c>
      <c r="S62" s="108">
        <v>250.9920000000005</v>
      </c>
      <c r="T62" s="108">
        <v>846.74399999999889</v>
      </c>
      <c r="U62" s="108">
        <v>471.3599999999999</v>
      </c>
      <c r="V62" s="108">
        <v>391.68000000000006</v>
      </c>
      <c r="W62" s="108">
        <v>444.76800000000031</v>
      </c>
      <c r="X62" s="108">
        <v>208.41599999999968</v>
      </c>
      <c r="Y62" s="108">
        <v>508.53599999999932</v>
      </c>
      <c r="Z62" s="108">
        <v>878.63999999999896</v>
      </c>
      <c r="AA62" s="108">
        <v>467.04000000000065</v>
      </c>
      <c r="AB62" s="108">
        <v>326.37599999999946</v>
      </c>
      <c r="AC62" s="108">
        <v>712.58399999999767</v>
      </c>
      <c r="AD62" s="108">
        <v>466.08000000000101</v>
      </c>
      <c r="AE62" s="108">
        <v>647.3999999999985</v>
      </c>
      <c r="AF62" s="108">
        <v>0</v>
      </c>
      <c r="AG62" s="108">
        <v>210.0479999999994</v>
      </c>
      <c r="AH62" s="108">
        <v>258.62400000000019</v>
      </c>
      <c r="AI62" s="108">
        <v>43.032000000000103</v>
      </c>
      <c r="AJ62" s="108">
        <v>55.295999999999886</v>
      </c>
      <c r="AK62" s="108">
        <v>189.14399999999975</v>
      </c>
      <c r="AL62" s="108">
        <v>523.27199999999982</v>
      </c>
      <c r="AM62" s="108">
        <v>74.928000000000239</v>
      </c>
      <c r="AN62" s="108">
        <v>1051.8959999999988</v>
      </c>
      <c r="AO62" s="108">
        <v>422.92799999999983</v>
      </c>
      <c r="AP62" s="108">
        <v>780.52799999999888</v>
      </c>
      <c r="AQ62" s="108">
        <v>926.95199999999807</v>
      </c>
      <c r="AR62" s="108">
        <v>0</v>
      </c>
      <c r="AS62" s="108">
        <v>0</v>
      </c>
      <c r="AT62" s="108">
        <v>171.79200000000023</v>
      </c>
      <c r="AU62" s="108">
        <v>2005.5120000000022</v>
      </c>
      <c r="AV62" s="108">
        <v>1072.6799999999987</v>
      </c>
      <c r="AW62" s="108">
        <f t="shared" ref="AW62:AW125" si="7">SUM(E62:AV62)/1000</f>
        <v>22.151903999999991</v>
      </c>
    </row>
    <row r="63" spans="1:49">
      <c r="A63" s="149">
        <v>45805</v>
      </c>
      <c r="B63" s="150">
        <f>YEAR(Table7[[#This Row],[Date]])+IF(MONTH(Table7[[#This Row],[Date]])&gt;=4,1,0)</f>
        <v>2026</v>
      </c>
      <c r="C63" s="151">
        <f>YEAR(Table7[[#This Row],[Date]])</f>
        <v>2025</v>
      </c>
      <c r="D63" s="152">
        <f>Daily_KPI[[#This Row],[Date]]-DAY(Daily_KPI[[#This Row],[Date]])+1</f>
        <v>45778</v>
      </c>
      <c r="E63" s="108">
        <v>784.08000000000129</v>
      </c>
      <c r="F63" s="108">
        <v>1028.9759999999969</v>
      </c>
      <c r="G63" s="108">
        <v>652.8719999999995</v>
      </c>
      <c r="H63" s="108">
        <v>29.135999999999971</v>
      </c>
      <c r="I63" s="108">
        <v>0</v>
      </c>
      <c r="J63" s="108">
        <v>329.04000000000059</v>
      </c>
      <c r="K63" s="108">
        <v>848.40000000000055</v>
      </c>
      <c r="L63" s="108">
        <v>398.95200000000085</v>
      </c>
      <c r="M63" s="108">
        <v>691.77600000000109</v>
      </c>
      <c r="N63" s="108">
        <v>191.20800000000006</v>
      </c>
      <c r="O63" s="108">
        <v>604.05599999999924</v>
      </c>
      <c r="P63" s="108">
        <v>843.59999999999957</v>
      </c>
      <c r="Q63" s="108">
        <v>530.20800000000145</v>
      </c>
      <c r="R63" s="108">
        <v>812.35199999999907</v>
      </c>
      <c r="S63" s="108">
        <v>250.9920000000005</v>
      </c>
      <c r="T63" s="108">
        <v>846.74399999999889</v>
      </c>
      <c r="U63" s="108">
        <v>471.3599999999999</v>
      </c>
      <c r="V63" s="108">
        <v>391.68000000000006</v>
      </c>
      <c r="W63" s="108">
        <v>444.76800000000031</v>
      </c>
      <c r="X63" s="108">
        <v>208.41599999999968</v>
      </c>
      <c r="Y63" s="108">
        <v>508.53599999999932</v>
      </c>
      <c r="Z63" s="108">
        <v>878.63999999999896</v>
      </c>
      <c r="AA63" s="108">
        <v>467.04000000000065</v>
      </c>
      <c r="AB63" s="108">
        <v>326.37599999999946</v>
      </c>
      <c r="AC63" s="108">
        <v>712.58399999999767</v>
      </c>
      <c r="AD63" s="108">
        <v>466.08000000000101</v>
      </c>
      <c r="AE63" s="108">
        <v>647.3999999999985</v>
      </c>
      <c r="AF63" s="108">
        <v>0</v>
      </c>
      <c r="AG63" s="108">
        <v>210.0479999999994</v>
      </c>
      <c r="AH63" s="108">
        <v>258.62400000000019</v>
      </c>
      <c r="AI63" s="108">
        <v>43.032000000000103</v>
      </c>
      <c r="AJ63" s="108">
        <v>55.295999999999886</v>
      </c>
      <c r="AK63" s="108">
        <v>189.14399999999975</v>
      </c>
      <c r="AL63" s="108">
        <v>523.27199999999982</v>
      </c>
      <c r="AM63" s="108">
        <v>74.928000000000239</v>
      </c>
      <c r="AN63" s="108">
        <v>1051.8959999999988</v>
      </c>
      <c r="AO63" s="108">
        <v>422.92799999999983</v>
      </c>
      <c r="AP63" s="108">
        <v>780.52799999999888</v>
      </c>
      <c r="AQ63" s="108">
        <v>926.95199999999807</v>
      </c>
      <c r="AR63" s="108">
        <v>0</v>
      </c>
      <c r="AS63" s="108">
        <v>0</v>
      </c>
      <c r="AT63" s="108">
        <v>171.79200000000023</v>
      </c>
      <c r="AU63" s="108">
        <v>2005.5120000000022</v>
      </c>
      <c r="AV63" s="108">
        <v>1072.6799999999987</v>
      </c>
      <c r="AW63" s="108">
        <f t="shared" si="7"/>
        <v>22.151903999999991</v>
      </c>
    </row>
    <row r="64" spans="1:49">
      <c r="A64" s="145">
        <v>45806</v>
      </c>
      <c r="B64" s="146">
        <f>YEAR(Table7[[#This Row],[Date]])+IF(MONTH(Table7[[#This Row],[Date]])&gt;=4,1,0)</f>
        <v>2026</v>
      </c>
      <c r="C64" s="147">
        <f>YEAR(Table7[[#This Row],[Date]])</f>
        <v>2025</v>
      </c>
      <c r="D64" s="148">
        <f>Daily_KPI[[#This Row],[Date]]-DAY(Daily_KPI[[#This Row],[Date]])+1</f>
        <v>45778</v>
      </c>
      <c r="E64" s="108">
        <v>784.08000000000129</v>
      </c>
      <c r="F64" s="108">
        <v>1028.9759999999969</v>
      </c>
      <c r="G64" s="108">
        <v>652.8719999999995</v>
      </c>
      <c r="H64" s="108">
        <v>29.135999999999971</v>
      </c>
      <c r="I64" s="108">
        <v>0</v>
      </c>
      <c r="J64" s="108">
        <v>329.04000000000059</v>
      </c>
      <c r="K64" s="108">
        <v>848.40000000000055</v>
      </c>
      <c r="L64" s="108">
        <v>398.95200000000085</v>
      </c>
      <c r="M64" s="108">
        <v>691.77600000000109</v>
      </c>
      <c r="N64" s="108">
        <v>191.20800000000006</v>
      </c>
      <c r="O64" s="108">
        <v>604.05599999999924</v>
      </c>
      <c r="P64" s="108">
        <v>843.59999999999957</v>
      </c>
      <c r="Q64" s="108">
        <v>530.20800000000145</v>
      </c>
      <c r="R64" s="108">
        <v>812.35199999999907</v>
      </c>
      <c r="S64" s="108">
        <v>250.9920000000005</v>
      </c>
      <c r="T64" s="108">
        <v>846.74399999999889</v>
      </c>
      <c r="U64" s="108">
        <v>471.3599999999999</v>
      </c>
      <c r="V64" s="108">
        <v>391.68000000000006</v>
      </c>
      <c r="W64" s="108">
        <v>444.76800000000031</v>
      </c>
      <c r="X64" s="108">
        <v>208.41599999999968</v>
      </c>
      <c r="Y64" s="108">
        <v>508.53599999999932</v>
      </c>
      <c r="Z64" s="108">
        <v>878.63999999999896</v>
      </c>
      <c r="AA64" s="108">
        <v>467.04000000000065</v>
      </c>
      <c r="AB64" s="108">
        <v>326.37599999999946</v>
      </c>
      <c r="AC64" s="108">
        <v>712.58399999999767</v>
      </c>
      <c r="AD64" s="108">
        <v>466.08000000000101</v>
      </c>
      <c r="AE64" s="108">
        <v>647.3999999999985</v>
      </c>
      <c r="AF64" s="108">
        <v>0</v>
      </c>
      <c r="AG64" s="108">
        <v>210.0479999999994</v>
      </c>
      <c r="AH64" s="108">
        <v>258.62400000000019</v>
      </c>
      <c r="AI64" s="108">
        <v>43.032000000000103</v>
      </c>
      <c r="AJ64" s="108">
        <v>55.295999999999886</v>
      </c>
      <c r="AK64" s="108">
        <v>189.14399999999975</v>
      </c>
      <c r="AL64" s="108">
        <v>523.27199999999982</v>
      </c>
      <c r="AM64" s="108">
        <v>74.928000000000239</v>
      </c>
      <c r="AN64" s="108">
        <v>1051.8959999999988</v>
      </c>
      <c r="AO64" s="108">
        <v>422.92799999999983</v>
      </c>
      <c r="AP64" s="108">
        <v>780.52799999999888</v>
      </c>
      <c r="AQ64" s="108">
        <v>926.95199999999807</v>
      </c>
      <c r="AR64" s="108">
        <v>0</v>
      </c>
      <c r="AS64" s="108">
        <v>0</v>
      </c>
      <c r="AT64" s="108">
        <v>171.79200000000023</v>
      </c>
      <c r="AU64" s="108">
        <v>2005.5120000000022</v>
      </c>
      <c r="AV64" s="108">
        <v>1072.6799999999987</v>
      </c>
      <c r="AW64" s="108">
        <f t="shared" si="7"/>
        <v>22.151903999999991</v>
      </c>
    </row>
    <row r="65" spans="1:49">
      <c r="A65" s="149">
        <v>45807</v>
      </c>
      <c r="B65" s="150">
        <f>YEAR(Table7[[#This Row],[Date]])+IF(MONTH(Table7[[#This Row],[Date]])&gt;=4,1,0)</f>
        <v>2026</v>
      </c>
      <c r="C65" s="151">
        <f>YEAR(Table7[[#This Row],[Date]])</f>
        <v>2025</v>
      </c>
      <c r="D65" s="152">
        <f>Daily_KPI[[#This Row],[Date]]-DAY(Daily_KPI[[#This Row],[Date]])+1</f>
        <v>45778</v>
      </c>
      <c r="E65" s="108">
        <v>784.08000000000129</v>
      </c>
      <c r="F65" s="108">
        <v>1028.9759999999969</v>
      </c>
      <c r="G65" s="108">
        <v>652.8719999999995</v>
      </c>
      <c r="H65" s="108">
        <v>29.135999999999971</v>
      </c>
      <c r="I65" s="108">
        <v>0</v>
      </c>
      <c r="J65" s="108">
        <v>329.04000000000059</v>
      </c>
      <c r="K65" s="108">
        <v>848.40000000000055</v>
      </c>
      <c r="L65" s="108">
        <v>398.95200000000085</v>
      </c>
      <c r="M65" s="108">
        <v>691.77600000000109</v>
      </c>
      <c r="N65" s="108">
        <v>191.20800000000006</v>
      </c>
      <c r="O65" s="108">
        <v>604.05599999999924</v>
      </c>
      <c r="P65" s="108">
        <v>843.59999999999957</v>
      </c>
      <c r="Q65" s="108">
        <v>530.20800000000145</v>
      </c>
      <c r="R65" s="108">
        <v>812.35199999999907</v>
      </c>
      <c r="S65" s="108">
        <v>250.9920000000005</v>
      </c>
      <c r="T65" s="108">
        <v>846.74399999999889</v>
      </c>
      <c r="U65" s="108">
        <v>471.3599999999999</v>
      </c>
      <c r="V65" s="108">
        <v>391.68000000000006</v>
      </c>
      <c r="W65" s="108">
        <v>444.76800000000031</v>
      </c>
      <c r="X65" s="108">
        <v>208.41599999999968</v>
      </c>
      <c r="Y65" s="108">
        <v>508.53599999999932</v>
      </c>
      <c r="Z65" s="108">
        <v>878.63999999999896</v>
      </c>
      <c r="AA65" s="108">
        <v>467.04000000000065</v>
      </c>
      <c r="AB65" s="108">
        <v>326.37599999999946</v>
      </c>
      <c r="AC65" s="108">
        <v>712.58399999999767</v>
      </c>
      <c r="AD65" s="108">
        <v>466.08000000000101</v>
      </c>
      <c r="AE65" s="108">
        <v>647.3999999999985</v>
      </c>
      <c r="AF65" s="108">
        <v>0</v>
      </c>
      <c r="AG65" s="108">
        <v>210.0479999999994</v>
      </c>
      <c r="AH65" s="108">
        <v>258.62400000000019</v>
      </c>
      <c r="AI65" s="108">
        <v>43.032000000000103</v>
      </c>
      <c r="AJ65" s="108">
        <v>55.295999999999886</v>
      </c>
      <c r="AK65" s="108">
        <v>189.14399999999975</v>
      </c>
      <c r="AL65" s="108">
        <v>523.27199999999982</v>
      </c>
      <c r="AM65" s="108">
        <v>74.928000000000239</v>
      </c>
      <c r="AN65" s="108">
        <v>1051.8959999999988</v>
      </c>
      <c r="AO65" s="108">
        <v>422.92799999999983</v>
      </c>
      <c r="AP65" s="108">
        <v>780.52799999999888</v>
      </c>
      <c r="AQ65" s="108">
        <v>926.95199999999807</v>
      </c>
      <c r="AR65" s="108">
        <v>0</v>
      </c>
      <c r="AS65" s="108">
        <v>0</v>
      </c>
      <c r="AT65" s="108">
        <v>171.79200000000023</v>
      </c>
      <c r="AU65" s="108">
        <v>2005.5120000000022</v>
      </c>
      <c r="AV65" s="108">
        <v>1072.6799999999987</v>
      </c>
      <c r="AW65" s="108">
        <f t="shared" ref="AW65" si="8">SUM(E65:AV65)/1000</f>
        <v>22.151903999999991</v>
      </c>
    </row>
    <row r="66" spans="1:49">
      <c r="A66" s="145">
        <v>45808</v>
      </c>
      <c r="B66" s="146">
        <f>YEAR(Table7[[#This Row],[Date]])+IF(MONTH(Table7[[#This Row],[Date]])&gt;=4,1,0)</f>
        <v>2026</v>
      </c>
      <c r="C66" s="147">
        <f>YEAR(Table7[[#This Row],[Date]])</f>
        <v>2025</v>
      </c>
      <c r="D66" s="148">
        <f>Daily_KPI[[#This Row],[Date]]-DAY(Daily_KPI[[#This Row],[Date]])+1</f>
        <v>45809</v>
      </c>
      <c r="E66" s="108">
        <v>784.08000000000129</v>
      </c>
      <c r="F66" s="108">
        <v>1028.9759999999969</v>
      </c>
      <c r="G66" s="108">
        <v>652.8719999999995</v>
      </c>
      <c r="H66" s="108">
        <v>29.135999999999971</v>
      </c>
      <c r="I66" s="108">
        <v>0</v>
      </c>
      <c r="J66" s="108">
        <v>329.04000000000059</v>
      </c>
      <c r="K66" s="108">
        <v>848.40000000000055</v>
      </c>
      <c r="L66" s="108">
        <v>398.95200000000085</v>
      </c>
      <c r="M66" s="108">
        <v>691.77600000000109</v>
      </c>
      <c r="N66" s="108">
        <v>191.20800000000006</v>
      </c>
      <c r="O66" s="108">
        <v>604.05599999999924</v>
      </c>
      <c r="P66" s="108">
        <v>843.59999999999957</v>
      </c>
      <c r="Q66" s="108">
        <v>530.20800000000145</v>
      </c>
      <c r="R66" s="108">
        <v>812.35199999999907</v>
      </c>
      <c r="S66" s="108">
        <v>250.9920000000005</v>
      </c>
      <c r="T66" s="108">
        <v>846.74399999999889</v>
      </c>
      <c r="U66" s="108">
        <v>471.3599999999999</v>
      </c>
      <c r="V66" s="108">
        <v>391.68000000000006</v>
      </c>
      <c r="W66" s="108">
        <v>444.76800000000031</v>
      </c>
      <c r="X66" s="108">
        <v>208.41599999999968</v>
      </c>
      <c r="Y66" s="108">
        <v>508.53599999999932</v>
      </c>
      <c r="Z66" s="108">
        <v>878.63999999999896</v>
      </c>
      <c r="AA66" s="108">
        <v>467.04000000000065</v>
      </c>
      <c r="AB66" s="108">
        <v>326.37599999999946</v>
      </c>
      <c r="AC66" s="108">
        <v>712.58399999999767</v>
      </c>
      <c r="AD66" s="108">
        <v>466.08000000000101</v>
      </c>
      <c r="AE66" s="108">
        <v>647.3999999999985</v>
      </c>
      <c r="AF66" s="108">
        <v>0</v>
      </c>
      <c r="AG66" s="108">
        <v>210.0479999999994</v>
      </c>
      <c r="AH66" s="108">
        <v>258.62400000000019</v>
      </c>
      <c r="AI66" s="108">
        <v>43.032000000000103</v>
      </c>
      <c r="AJ66" s="108">
        <v>55.295999999999886</v>
      </c>
      <c r="AK66" s="108">
        <v>189.14399999999975</v>
      </c>
      <c r="AL66" s="108">
        <v>523.27199999999982</v>
      </c>
      <c r="AM66" s="108">
        <v>74.928000000000239</v>
      </c>
      <c r="AN66" s="108">
        <v>1051.8959999999988</v>
      </c>
      <c r="AO66" s="108">
        <v>422.92799999999983</v>
      </c>
      <c r="AP66" s="108">
        <v>780.52799999999888</v>
      </c>
      <c r="AQ66" s="108">
        <v>926.95199999999807</v>
      </c>
      <c r="AR66" s="108">
        <v>0</v>
      </c>
      <c r="AS66" s="108">
        <v>0</v>
      </c>
      <c r="AT66" s="108">
        <v>171.79200000000023</v>
      </c>
      <c r="AU66" s="108">
        <v>2005.5120000000022</v>
      </c>
      <c r="AV66" s="108">
        <v>1072.6799999999987</v>
      </c>
      <c r="AW66" s="108">
        <f t="shared" ref="AW66" si="9">SUM(E66:AV66)/1000</f>
        <v>22.151903999999991</v>
      </c>
    </row>
    <row r="67" spans="1:49">
      <c r="A67" s="149">
        <v>45809</v>
      </c>
      <c r="B67" s="150">
        <f>YEAR(Table7[[#This Row],[Date]])+IF(MONTH(Table7[[#This Row],[Date]])&gt;=4,1,0)</f>
        <v>2026</v>
      </c>
      <c r="C67" s="151">
        <f>YEAR(Table7[[#This Row],[Date]])</f>
        <v>2025</v>
      </c>
      <c r="D67" s="152">
        <f>Daily_KPI[[#This Row],[Date]]-DAY(Daily_KPI[[#This Row],[Date]])+1</f>
        <v>45809</v>
      </c>
      <c r="E67" s="108">
        <v>784.08000000000129</v>
      </c>
      <c r="F67" s="108">
        <v>1028.9759999999969</v>
      </c>
      <c r="G67" s="108">
        <v>652.8719999999995</v>
      </c>
      <c r="H67" s="108">
        <v>29.135999999999971</v>
      </c>
      <c r="I67" s="108">
        <v>0</v>
      </c>
      <c r="J67" s="108">
        <v>329.04000000000059</v>
      </c>
      <c r="K67" s="108">
        <v>848.40000000000055</v>
      </c>
      <c r="L67" s="108">
        <v>398.95200000000085</v>
      </c>
      <c r="M67" s="108">
        <v>691.77600000000109</v>
      </c>
      <c r="N67" s="108">
        <v>191.20800000000006</v>
      </c>
      <c r="O67" s="108">
        <v>604.05599999999924</v>
      </c>
      <c r="P67" s="108">
        <v>843.59999999999957</v>
      </c>
      <c r="Q67" s="108">
        <v>530.20800000000145</v>
      </c>
      <c r="R67" s="108">
        <v>812.35199999999907</v>
      </c>
      <c r="S67" s="108">
        <v>250.9920000000005</v>
      </c>
      <c r="T67" s="108">
        <v>846.74399999999889</v>
      </c>
      <c r="U67" s="108">
        <v>471.3599999999999</v>
      </c>
      <c r="V67" s="108">
        <v>391.68000000000006</v>
      </c>
      <c r="W67" s="108">
        <v>444.76800000000031</v>
      </c>
      <c r="X67" s="108">
        <v>208.41599999999968</v>
      </c>
      <c r="Y67" s="108">
        <v>508.53599999999932</v>
      </c>
      <c r="Z67" s="108">
        <v>878.63999999999896</v>
      </c>
      <c r="AA67" s="108">
        <v>467.04000000000065</v>
      </c>
      <c r="AB67" s="108">
        <v>326.37599999999946</v>
      </c>
      <c r="AC67" s="108">
        <v>712.58399999999767</v>
      </c>
      <c r="AD67" s="108">
        <v>466.08000000000101</v>
      </c>
      <c r="AE67" s="108">
        <v>647.3999999999985</v>
      </c>
      <c r="AF67" s="108">
        <v>0</v>
      </c>
      <c r="AG67" s="108">
        <v>210.0479999999994</v>
      </c>
      <c r="AH67" s="108">
        <v>258.62400000000019</v>
      </c>
      <c r="AI67" s="108">
        <v>43.032000000000103</v>
      </c>
      <c r="AJ67" s="108">
        <v>55.295999999999886</v>
      </c>
      <c r="AK67" s="108">
        <v>189.14399999999975</v>
      </c>
      <c r="AL67" s="108">
        <v>523.27199999999982</v>
      </c>
      <c r="AM67" s="108">
        <v>74.928000000000239</v>
      </c>
      <c r="AN67" s="108">
        <v>1051.8959999999988</v>
      </c>
      <c r="AO67" s="108">
        <v>422.92799999999983</v>
      </c>
      <c r="AP67" s="108">
        <v>780.52799999999888</v>
      </c>
      <c r="AQ67" s="108">
        <v>926.95199999999807</v>
      </c>
      <c r="AR67" s="108">
        <v>0</v>
      </c>
      <c r="AS67" s="108">
        <v>0</v>
      </c>
      <c r="AT67" s="108">
        <v>171.79200000000023</v>
      </c>
      <c r="AU67" s="108">
        <v>2005.5120000000022</v>
      </c>
      <c r="AV67" s="108">
        <v>1072.6799999999987</v>
      </c>
      <c r="AW67" s="108">
        <f t="shared" ref="AW67" si="10">SUM(E67:AV67)/1000</f>
        <v>22.151903999999991</v>
      </c>
    </row>
    <row r="68" spans="1:49">
      <c r="A68" s="145">
        <v>45810</v>
      </c>
      <c r="B68" s="146">
        <f>YEAR(Table7[[#This Row],[Date]])+IF(MONTH(Table7[[#This Row],[Date]])&gt;=4,1,0)</f>
        <v>2026</v>
      </c>
      <c r="C68" s="147">
        <f>YEAR(Table7[[#This Row],[Date]])</f>
        <v>2025</v>
      </c>
      <c r="D68" s="148">
        <f>Daily_KPI[[#This Row],[Date]]-DAY(Daily_KPI[[#This Row],[Date]])+1</f>
        <v>45809</v>
      </c>
      <c r="E68" s="108">
        <v>1183.049</v>
      </c>
      <c r="F68" s="108">
        <v>1271.1273333333336</v>
      </c>
      <c r="G68" s="108">
        <v>761.36733333333325</v>
      </c>
      <c r="H68" s="108">
        <v>883.47883333333357</v>
      </c>
      <c r="I68" s="108">
        <v>992.85483333333343</v>
      </c>
      <c r="J68" s="108">
        <v>1179.9508333333335</v>
      </c>
      <c r="K68" s="108">
        <v>1107.8433333333335</v>
      </c>
      <c r="L68" s="108">
        <v>555.83883333333324</v>
      </c>
      <c r="M68" s="108">
        <v>357.89616666666672</v>
      </c>
      <c r="N68" s="108">
        <v>331.75816666666668</v>
      </c>
      <c r="O68" s="108">
        <v>352.54533333333325</v>
      </c>
      <c r="P68" s="108">
        <v>633.54616666666652</v>
      </c>
      <c r="Q68" s="108">
        <v>648.57716666666659</v>
      </c>
      <c r="R68" s="108">
        <v>718.39166666666677</v>
      </c>
      <c r="S68" s="108">
        <v>539.26399999999978</v>
      </c>
      <c r="T68" s="108">
        <v>629.55799999999988</v>
      </c>
      <c r="U68" s="108">
        <v>431.15533333333332</v>
      </c>
      <c r="V68" s="108">
        <v>792.56500000000005</v>
      </c>
      <c r="W68" s="108">
        <v>723.70999999999992</v>
      </c>
      <c r="X68" s="108">
        <v>451.30700000000002</v>
      </c>
      <c r="Y68" s="108">
        <v>776.67433333333338</v>
      </c>
      <c r="Z68" s="108">
        <v>724.45616666666672</v>
      </c>
      <c r="AA68" s="108">
        <v>620.71833333333325</v>
      </c>
      <c r="AB68" s="108">
        <v>544.3365</v>
      </c>
      <c r="AC68" s="108">
        <v>608.03500000000008</v>
      </c>
      <c r="AD68" s="108">
        <v>490.27733333333327</v>
      </c>
      <c r="AE68" s="108">
        <v>350.78199999999993</v>
      </c>
      <c r="AF68" s="108">
        <v>587.22783333333336</v>
      </c>
      <c r="AG68" s="108">
        <v>905.89716666666664</v>
      </c>
      <c r="AH68" s="108">
        <v>798.02116666666677</v>
      </c>
      <c r="AI68" s="108">
        <v>398.97966666666667</v>
      </c>
      <c r="AJ68" s="108">
        <v>777.36233333333337</v>
      </c>
      <c r="AK68" s="108">
        <v>956.15899999999965</v>
      </c>
      <c r="AL68" s="108">
        <v>678.87716666666654</v>
      </c>
      <c r="AM68" s="108">
        <v>540.24850000000004</v>
      </c>
      <c r="AN68" s="108">
        <v>1402.0771666666667</v>
      </c>
      <c r="AO68" s="108">
        <v>983.75733333333335</v>
      </c>
      <c r="AP68" s="108">
        <v>741.77433333333329</v>
      </c>
      <c r="AQ68" s="108">
        <v>1199.3075000000001</v>
      </c>
      <c r="AR68" s="108">
        <v>694.99466666666683</v>
      </c>
      <c r="AS68" s="108">
        <v>800.06983333333346</v>
      </c>
      <c r="AT68" s="108">
        <v>950.63183333333302</v>
      </c>
      <c r="AU68" s="108">
        <v>1337.6396666666665</v>
      </c>
      <c r="AV68" s="108">
        <v>1251.5353333333333</v>
      </c>
      <c r="AW68" s="108">
        <f t="shared" si="7"/>
        <v>33.6656245</v>
      </c>
    </row>
    <row r="69" spans="1:49">
      <c r="A69" s="149">
        <v>45811</v>
      </c>
      <c r="B69" s="150">
        <f>YEAR(Table7[[#This Row],[Date]])+IF(MONTH(Table7[[#This Row],[Date]])&gt;=4,1,0)</f>
        <v>2026</v>
      </c>
      <c r="C69" s="151">
        <f>YEAR(Table7[[#This Row],[Date]])</f>
        <v>2025</v>
      </c>
      <c r="D69" s="152">
        <f>Daily_KPI[[#This Row],[Date]]-DAY(Daily_KPI[[#This Row],[Date]])+1</f>
        <v>45809</v>
      </c>
      <c r="E69" s="108">
        <v>3036.7900000000068</v>
      </c>
      <c r="F69" s="108">
        <v>2787.6084999999998</v>
      </c>
      <c r="G69" s="108">
        <v>2206.308833333338</v>
      </c>
      <c r="H69" s="108">
        <v>2234.110000000001</v>
      </c>
      <c r="I69" s="108">
        <v>2660.4151666666717</v>
      </c>
      <c r="J69" s="108">
        <v>2844.3665000000015</v>
      </c>
      <c r="K69" s="108">
        <v>2592.8893333333285</v>
      </c>
      <c r="L69" s="108">
        <v>1578.1536666666673</v>
      </c>
      <c r="M69" s="108">
        <v>924.22083333333296</v>
      </c>
      <c r="N69" s="108">
        <v>1176.4079999999997</v>
      </c>
      <c r="O69" s="108">
        <v>2059.5643333333296</v>
      </c>
      <c r="P69" s="108">
        <v>2797.8759999999988</v>
      </c>
      <c r="Q69" s="108">
        <v>2523.2265000000011</v>
      </c>
      <c r="R69" s="108">
        <v>2038.8833333333298</v>
      </c>
      <c r="S69" s="108">
        <v>1798.087833333336</v>
      </c>
      <c r="T69" s="108">
        <v>1804.3424999999977</v>
      </c>
      <c r="U69" s="108">
        <v>1502.5970000000043</v>
      </c>
      <c r="V69" s="108">
        <v>1900.9288333333359</v>
      </c>
      <c r="W69" s="108">
        <v>1791.0951666666622</v>
      </c>
      <c r="X69" s="108">
        <v>1151.6105000000023</v>
      </c>
      <c r="Y69" s="108">
        <v>2126.6659999999997</v>
      </c>
      <c r="Z69" s="108">
        <v>1706.8418333333341</v>
      </c>
      <c r="AA69" s="108">
        <v>1627.1854999999998</v>
      </c>
      <c r="AB69" s="108">
        <v>1761.3403333333329</v>
      </c>
      <c r="AC69" s="108">
        <v>1972.9295000000004</v>
      </c>
      <c r="AD69" s="108">
        <v>1262.6764999999996</v>
      </c>
      <c r="AE69" s="108">
        <v>1790.1241666666649</v>
      </c>
      <c r="AF69" s="108">
        <v>1747.6391666666696</v>
      </c>
      <c r="AG69" s="108">
        <v>2154.3148333333374</v>
      </c>
      <c r="AH69" s="108">
        <v>2300.3379999999943</v>
      </c>
      <c r="AI69" s="108">
        <v>1324.2870000000025</v>
      </c>
      <c r="AJ69" s="108">
        <v>1972.8075000000038</v>
      </c>
      <c r="AK69" s="108">
        <v>2357.1703333333321</v>
      </c>
      <c r="AL69" s="108">
        <v>2611.1196666666624</v>
      </c>
      <c r="AM69" s="108">
        <v>1492.1466666666686</v>
      </c>
      <c r="AN69" s="108">
        <v>3319.5803333333261</v>
      </c>
      <c r="AO69" s="108">
        <v>3419.671666666658</v>
      </c>
      <c r="AP69" s="108">
        <v>2207.2770000000019</v>
      </c>
      <c r="AQ69" s="108">
        <v>3098.3794999999986</v>
      </c>
      <c r="AR69" s="108">
        <v>1813.5995000000014</v>
      </c>
      <c r="AS69" s="108">
        <v>2284.1556666666702</v>
      </c>
      <c r="AT69" s="108">
        <v>2743.8393333333329</v>
      </c>
      <c r="AU69" s="108">
        <v>3434.9161666666769</v>
      </c>
      <c r="AV69" s="108">
        <v>3104.7780000000025</v>
      </c>
      <c r="AW69" s="108">
        <f t="shared" si="7"/>
        <v>95.043267000000029</v>
      </c>
    </row>
    <row r="70" spans="1:49">
      <c r="A70" s="145">
        <v>45812</v>
      </c>
      <c r="B70" s="146">
        <f>YEAR(Table7[[#This Row],[Date]])+IF(MONTH(Table7[[#This Row],[Date]])&gt;=4,1,0)</f>
        <v>2026</v>
      </c>
      <c r="C70" s="147">
        <f>YEAR(Table7[[#This Row],[Date]])</f>
        <v>2025</v>
      </c>
      <c r="D70" s="148">
        <f>Daily_KPI[[#This Row],[Date]]-DAY(Daily_KPI[[#This Row],[Date]])+1</f>
        <v>45809</v>
      </c>
      <c r="E70" s="268">
        <v>3124.5850000000009</v>
      </c>
      <c r="F70" s="268">
        <v>2930.4908333333337</v>
      </c>
      <c r="G70" s="268">
        <v>2925.4906666666666</v>
      </c>
      <c r="H70" s="268">
        <v>2339.7386666666657</v>
      </c>
      <c r="I70" s="268">
        <v>2657.7821666666655</v>
      </c>
      <c r="J70" s="268">
        <v>2863.3913333333344</v>
      </c>
      <c r="K70" s="268">
        <v>2564.2971666666667</v>
      </c>
      <c r="L70" s="268">
        <v>1901.2288333333329</v>
      </c>
      <c r="M70" s="268">
        <v>1678.3185000000001</v>
      </c>
      <c r="N70" s="268">
        <v>1456.0294999999994</v>
      </c>
      <c r="O70" s="268">
        <v>1587.1850000000002</v>
      </c>
      <c r="P70" s="268">
        <v>1712.9484999999997</v>
      </c>
      <c r="Q70" s="268">
        <v>1490.3196666666661</v>
      </c>
      <c r="R70" s="268">
        <v>1509.1541666666665</v>
      </c>
      <c r="S70" s="268">
        <v>1384.5256666666667</v>
      </c>
      <c r="T70" s="268">
        <v>1632.4833333333329</v>
      </c>
      <c r="U70" s="268">
        <v>1801.8911666666663</v>
      </c>
      <c r="V70" s="268">
        <v>2236.5505000000007</v>
      </c>
      <c r="W70" s="268">
        <v>1979.0331666666668</v>
      </c>
      <c r="X70" s="268">
        <v>1410.2003333333334</v>
      </c>
      <c r="Y70" s="268">
        <v>2435.0858333333331</v>
      </c>
      <c r="Z70" s="268">
        <v>2194.4671666666659</v>
      </c>
      <c r="AA70" s="268">
        <v>2407.2573333333335</v>
      </c>
      <c r="AB70" s="268">
        <v>1841.6298333333336</v>
      </c>
      <c r="AC70" s="268">
        <v>1994.9009999999998</v>
      </c>
      <c r="AD70" s="268">
        <v>898.21333333333325</v>
      </c>
      <c r="AE70" s="268">
        <v>2672.5243333333333</v>
      </c>
      <c r="AF70" s="268">
        <v>1746.410666666666</v>
      </c>
      <c r="AG70" s="268">
        <v>2330.1291666666652</v>
      </c>
      <c r="AH70" s="268">
        <v>2079.4133333333339</v>
      </c>
      <c r="AI70" s="268">
        <v>1811.1310000000003</v>
      </c>
      <c r="AJ70" s="268">
        <v>1987.0713333333333</v>
      </c>
      <c r="AK70" s="268">
        <v>2619.2376666666673</v>
      </c>
      <c r="AL70" s="268">
        <v>2256.1960000000008</v>
      </c>
      <c r="AM70" s="268">
        <v>1939.2750000000005</v>
      </c>
      <c r="AN70" s="268">
        <v>3802.0741666666636</v>
      </c>
      <c r="AO70" s="268">
        <v>3331.6131666666647</v>
      </c>
      <c r="AP70" s="268">
        <v>2463.8073333333346</v>
      </c>
      <c r="AQ70" s="268">
        <v>2307.7431666666666</v>
      </c>
      <c r="AR70" s="268">
        <v>1871.2565000000004</v>
      </c>
      <c r="AS70" s="268">
        <v>2261.2651666666675</v>
      </c>
      <c r="AT70" s="268">
        <v>2267.3286666666663</v>
      </c>
      <c r="AU70" s="268">
        <v>3442.9576666666671</v>
      </c>
      <c r="AV70" s="268">
        <v>2492.7375000000002</v>
      </c>
      <c r="AW70" s="108">
        <f t="shared" si="7"/>
        <v>96.639370499999984</v>
      </c>
    </row>
    <row r="71" spans="1:49">
      <c r="A71" s="149">
        <v>45813</v>
      </c>
      <c r="B71" s="150">
        <f>YEAR(Table7[[#This Row],[Date]])+IF(MONTH(Table7[[#This Row],[Date]])&gt;=4,1,0)</f>
        <v>2026</v>
      </c>
      <c r="C71" s="151">
        <f>YEAR(Table7[[#This Row],[Date]])</f>
        <v>2025</v>
      </c>
      <c r="D71" s="152">
        <f>Daily_KPI[[#This Row],[Date]]-DAY(Daily_KPI[[#This Row],[Date]])+1</f>
        <v>45809</v>
      </c>
      <c r="E71" s="108">
        <v>2031.0356666666669</v>
      </c>
      <c r="F71" s="108">
        <v>2167.9003333333335</v>
      </c>
      <c r="G71" s="108">
        <v>2191.7554999999998</v>
      </c>
      <c r="H71" s="108">
        <v>1690.9686666666673</v>
      </c>
      <c r="I71" s="108">
        <v>2146.5250000000001</v>
      </c>
      <c r="J71" s="108">
        <v>2073.3271666666674</v>
      </c>
      <c r="K71" s="108">
        <v>1432.8646666666664</v>
      </c>
      <c r="L71" s="108">
        <v>918.07599999999968</v>
      </c>
      <c r="M71" s="108">
        <v>1078.4706666666659</v>
      </c>
      <c r="N71" s="108">
        <v>1287.7354999999995</v>
      </c>
      <c r="O71" s="108">
        <v>1210.3648333333329</v>
      </c>
      <c r="P71" s="108">
        <v>1222.4653333333335</v>
      </c>
      <c r="Q71" s="108">
        <v>1038.3501666666668</v>
      </c>
      <c r="R71" s="108">
        <v>1132.8109999999995</v>
      </c>
      <c r="S71" s="108">
        <v>941.31166666666684</v>
      </c>
      <c r="T71" s="108">
        <v>1060.7414999999999</v>
      </c>
      <c r="U71" s="108">
        <v>1035.7569999999996</v>
      </c>
      <c r="V71" s="108">
        <v>2085.0216666666679</v>
      </c>
      <c r="W71" s="108">
        <v>907.89933333333408</v>
      </c>
      <c r="X71" s="108">
        <v>751.33899999999994</v>
      </c>
      <c r="Y71" s="108">
        <v>1548.2011666666669</v>
      </c>
      <c r="Z71" s="108">
        <v>1620.847166666668</v>
      </c>
      <c r="AA71" s="108">
        <v>1527.7260000000003</v>
      </c>
      <c r="AB71" s="108">
        <v>1439.3544999999995</v>
      </c>
      <c r="AC71" s="108">
        <v>1386.4013333333332</v>
      </c>
      <c r="AD71" s="108">
        <v>773.50383333333332</v>
      </c>
      <c r="AE71" s="108">
        <v>2689.8836666666662</v>
      </c>
      <c r="AF71" s="108">
        <v>1047.3359999999996</v>
      </c>
      <c r="AG71" s="108">
        <v>1657.2388333333329</v>
      </c>
      <c r="AH71" s="108">
        <v>1440.5699999999997</v>
      </c>
      <c r="AI71" s="108">
        <v>1017.700833333333</v>
      </c>
      <c r="AJ71" s="108">
        <v>1341.7149999999995</v>
      </c>
      <c r="AK71" s="108">
        <v>2267.0226666666672</v>
      </c>
      <c r="AL71" s="108">
        <v>2274.5541666666659</v>
      </c>
      <c r="AM71" s="108">
        <v>1076.6833333333332</v>
      </c>
      <c r="AN71" s="108">
        <v>2270.9686666666676</v>
      </c>
      <c r="AO71" s="108">
        <v>2240.6569999999992</v>
      </c>
      <c r="AP71" s="108">
        <v>2039.2306666666673</v>
      </c>
      <c r="AQ71" s="108">
        <v>2201.6273333333324</v>
      </c>
      <c r="AR71" s="108">
        <v>835.82833333333303</v>
      </c>
      <c r="AS71" s="108">
        <v>1432.0103333333329</v>
      </c>
      <c r="AT71" s="108">
        <v>1587.9913333333336</v>
      </c>
      <c r="AU71" s="108">
        <v>1864.095500000001</v>
      </c>
      <c r="AV71" s="108">
        <v>1705.3730000000005</v>
      </c>
      <c r="AW71" s="108">
        <f t="shared" si="7"/>
        <v>67.691241333333352</v>
      </c>
    </row>
    <row r="72" spans="1:49">
      <c r="A72" s="145">
        <v>45814</v>
      </c>
      <c r="B72" s="146">
        <f>YEAR(Table7[[#This Row],[Date]])+IF(MONTH(Table7[[#This Row],[Date]])&gt;=4,1,0)</f>
        <v>2026</v>
      </c>
      <c r="C72" s="147">
        <f>YEAR(Table7[[#This Row],[Date]])</f>
        <v>2025</v>
      </c>
      <c r="D72" s="148">
        <f>Daily_KPI[[#This Row],[Date]]-DAY(Daily_KPI[[#This Row],[Date]])+1</f>
        <v>45809</v>
      </c>
      <c r="E72" s="108">
        <v>1982.9333333333334</v>
      </c>
      <c r="F72" s="108">
        <v>1957.4334999999994</v>
      </c>
      <c r="G72" s="108">
        <v>1623.2539999999997</v>
      </c>
      <c r="H72" s="108">
        <v>1194.5976666666668</v>
      </c>
      <c r="I72" s="108">
        <v>1122.0001666666669</v>
      </c>
      <c r="J72" s="108">
        <v>1044.1206666666662</v>
      </c>
      <c r="K72" s="108">
        <v>1127.3991666666666</v>
      </c>
      <c r="L72" s="108">
        <v>480.4491666666666</v>
      </c>
      <c r="M72" s="108">
        <v>330.90666666666658</v>
      </c>
      <c r="N72" s="108">
        <v>346.98133333333317</v>
      </c>
      <c r="O72" s="108">
        <v>352.58766666666662</v>
      </c>
      <c r="P72" s="108">
        <v>347.63299999999998</v>
      </c>
      <c r="Q72" s="108">
        <v>214.30000000000015</v>
      </c>
      <c r="R72" s="108">
        <v>376.38300000000004</v>
      </c>
      <c r="S72" s="108">
        <v>344.07933333333341</v>
      </c>
      <c r="T72" s="108">
        <v>406.95866666666649</v>
      </c>
      <c r="U72" s="108">
        <v>509.31449999999995</v>
      </c>
      <c r="V72" s="108">
        <v>1997.2519999999995</v>
      </c>
      <c r="W72" s="108">
        <v>533.38083333333338</v>
      </c>
      <c r="X72" s="108">
        <v>471.58850000000001</v>
      </c>
      <c r="Y72" s="108">
        <v>1245.3435000000002</v>
      </c>
      <c r="Z72" s="108">
        <v>1391.8548333333331</v>
      </c>
      <c r="AA72" s="108">
        <v>734.50066666666669</v>
      </c>
      <c r="AB72" s="108">
        <v>744.69883333333382</v>
      </c>
      <c r="AC72" s="108">
        <v>844.78616666666676</v>
      </c>
      <c r="AD72" s="108">
        <v>737.64633333333325</v>
      </c>
      <c r="AE72" s="108">
        <v>1489.5536666666669</v>
      </c>
      <c r="AF72" s="108">
        <v>737.45666666666693</v>
      </c>
      <c r="AG72" s="108">
        <v>1251.9993333333337</v>
      </c>
      <c r="AH72" s="108">
        <v>1164.2105000000001</v>
      </c>
      <c r="AI72" s="108">
        <v>619.39300000000003</v>
      </c>
      <c r="AJ72" s="108">
        <v>680.07633333333331</v>
      </c>
      <c r="AK72" s="108">
        <v>1131.8051666666674</v>
      </c>
      <c r="AL72" s="108">
        <v>1086.9159999999999</v>
      </c>
      <c r="AM72" s="108">
        <v>960.19516666666652</v>
      </c>
      <c r="AN72" s="108">
        <v>1565.376166666666</v>
      </c>
      <c r="AO72" s="108">
        <v>1373.5471666666665</v>
      </c>
      <c r="AP72" s="108">
        <v>1277.2013333333341</v>
      </c>
      <c r="AQ72" s="108">
        <v>1419.1235000000008</v>
      </c>
      <c r="AR72" s="108">
        <v>302.55</v>
      </c>
      <c r="AS72" s="108">
        <v>1035.0331666666668</v>
      </c>
      <c r="AT72" s="108">
        <v>1354.2916666666667</v>
      </c>
      <c r="AU72" s="108">
        <v>1741.3113333333331</v>
      </c>
      <c r="AV72" s="108">
        <v>1619.2059999999994</v>
      </c>
      <c r="AW72" s="108">
        <f t="shared" si="7"/>
        <v>43.271629666666669</v>
      </c>
    </row>
    <row r="73" spans="1:49">
      <c r="A73" s="149">
        <v>45815</v>
      </c>
      <c r="B73" s="150">
        <f>YEAR(Table7[[#This Row],[Date]])+IF(MONTH(Table7[[#This Row],[Date]])&gt;=4,1,0)</f>
        <v>2026</v>
      </c>
      <c r="C73" s="151">
        <f>YEAR(Table7[[#This Row],[Date]])</f>
        <v>2025</v>
      </c>
      <c r="D73" s="152">
        <f>Daily_KPI[[#This Row],[Date]]-DAY(Daily_KPI[[#This Row],[Date]])+1</f>
        <v>45809</v>
      </c>
      <c r="E73" s="108">
        <v>2079.4483333333333</v>
      </c>
      <c r="F73" s="108">
        <v>1974.6708333333333</v>
      </c>
      <c r="G73" s="108">
        <v>1547.3071666666674</v>
      </c>
      <c r="H73" s="108">
        <v>1640.9431666666667</v>
      </c>
      <c r="I73" s="108">
        <v>1485.2194999999999</v>
      </c>
      <c r="J73" s="108">
        <v>1462.4531666666664</v>
      </c>
      <c r="K73" s="108">
        <v>1217.1478333333337</v>
      </c>
      <c r="L73" s="108">
        <v>659.63200000000018</v>
      </c>
      <c r="M73" s="108">
        <v>570.56899999999996</v>
      </c>
      <c r="N73" s="108">
        <v>619.27649999999983</v>
      </c>
      <c r="O73" s="108">
        <v>612.21450000000016</v>
      </c>
      <c r="P73" s="108">
        <v>592.24016666666671</v>
      </c>
      <c r="Q73" s="108">
        <v>536.2446666666666</v>
      </c>
      <c r="R73" s="108">
        <v>612.44916666666654</v>
      </c>
      <c r="S73" s="108">
        <v>566.75083333333339</v>
      </c>
      <c r="T73" s="108">
        <v>638.73416666666674</v>
      </c>
      <c r="U73" s="108">
        <v>738.96533333333321</v>
      </c>
      <c r="V73" s="108">
        <v>2178.6326666666673</v>
      </c>
      <c r="W73" s="108">
        <v>718.22399999999982</v>
      </c>
      <c r="X73" s="108">
        <v>575.35766666666723</v>
      </c>
      <c r="Y73" s="108">
        <v>1557.0406666666668</v>
      </c>
      <c r="Z73" s="108">
        <v>1661.3696666666665</v>
      </c>
      <c r="AA73" s="108">
        <v>1116.7753333333337</v>
      </c>
      <c r="AB73" s="108">
        <v>1067.1501666666663</v>
      </c>
      <c r="AC73" s="108">
        <v>1146.1476666666665</v>
      </c>
      <c r="AD73" s="108">
        <v>1016.4759999999997</v>
      </c>
      <c r="AE73" s="108">
        <v>1596.6358333333335</v>
      </c>
      <c r="AF73" s="108">
        <v>712.60616666666704</v>
      </c>
      <c r="AG73" s="108">
        <v>1448.9178333333327</v>
      </c>
      <c r="AH73" s="108">
        <v>1187.3393333333336</v>
      </c>
      <c r="AI73" s="108">
        <v>829.64366666666672</v>
      </c>
      <c r="AJ73" s="108">
        <v>975.62999999999977</v>
      </c>
      <c r="AK73" s="108">
        <v>1539.8781666666664</v>
      </c>
      <c r="AL73" s="108">
        <v>2043.8736666666662</v>
      </c>
      <c r="AM73" s="108">
        <v>1196.0390000000004</v>
      </c>
      <c r="AN73" s="108">
        <v>1913.313166666667</v>
      </c>
      <c r="AO73" s="108">
        <v>1766.7399999999996</v>
      </c>
      <c r="AP73" s="108">
        <v>1716.0736666666655</v>
      </c>
      <c r="AQ73" s="108">
        <v>1765.5408333333341</v>
      </c>
      <c r="AR73" s="108">
        <v>288.39199999999988</v>
      </c>
      <c r="AS73" s="108">
        <v>919.03349999999989</v>
      </c>
      <c r="AT73" s="108">
        <v>1228.412</v>
      </c>
      <c r="AU73" s="108">
        <v>1934.6551666666664</v>
      </c>
      <c r="AV73" s="108">
        <v>1788.0708333333348</v>
      </c>
      <c r="AW73" s="108">
        <f t="shared" si="7"/>
        <v>53.442234999999975</v>
      </c>
    </row>
    <row r="74" spans="1:49">
      <c r="A74" s="145">
        <v>45816</v>
      </c>
      <c r="B74" s="146">
        <f>YEAR(Table7[[#This Row],[Date]])+IF(MONTH(Table7[[#This Row],[Date]])&gt;=4,1,0)</f>
        <v>2026</v>
      </c>
      <c r="C74" s="147">
        <f>YEAR(Table7[[#This Row],[Date]])</f>
        <v>2025</v>
      </c>
      <c r="D74" s="148">
        <f>Daily_KPI[[#This Row],[Date]]-DAY(Daily_KPI[[#This Row],[Date]])+1</f>
        <v>45809</v>
      </c>
      <c r="E74" s="108">
        <v>3006.875166666669</v>
      </c>
      <c r="F74" s="108">
        <v>3043.5466666666675</v>
      </c>
      <c r="G74" s="108">
        <v>2686.2795000000006</v>
      </c>
      <c r="H74" s="108">
        <v>2796.2018333333344</v>
      </c>
      <c r="I74" s="108">
        <v>2974.2289999999994</v>
      </c>
      <c r="J74" s="108">
        <v>2898.6975000000016</v>
      </c>
      <c r="K74" s="108">
        <v>2072.6989999999992</v>
      </c>
      <c r="L74" s="108">
        <v>1206.8466666666666</v>
      </c>
      <c r="M74" s="108">
        <v>1221.1431666666674</v>
      </c>
      <c r="N74" s="108">
        <v>1367.0016666666672</v>
      </c>
      <c r="O74" s="108">
        <v>1355.2938333333334</v>
      </c>
      <c r="P74" s="108">
        <v>1333.3394999999998</v>
      </c>
      <c r="Q74" s="108">
        <v>1167.3104999999998</v>
      </c>
      <c r="R74" s="108">
        <v>1283.8678333333339</v>
      </c>
      <c r="S74" s="108">
        <v>1158.4188333333334</v>
      </c>
      <c r="T74" s="108">
        <v>1329.4583333333333</v>
      </c>
      <c r="U74" s="108">
        <v>1357.5438333333334</v>
      </c>
      <c r="V74" s="108">
        <v>3412.8694999999993</v>
      </c>
      <c r="W74" s="108">
        <v>1352.7621666666666</v>
      </c>
      <c r="X74" s="108">
        <v>1152.9491666666663</v>
      </c>
      <c r="Y74" s="108">
        <v>2576.2146666666663</v>
      </c>
      <c r="Z74" s="108">
        <v>2821.6211666666677</v>
      </c>
      <c r="AA74" s="108">
        <v>1980.4156666666668</v>
      </c>
      <c r="AB74" s="108">
        <v>2004.0960000000002</v>
      </c>
      <c r="AC74" s="108">
        <v>2025.8586666666667</v>
      </c>
      <c r="AD74" s="108">
        <v>1729.4663333333328</v>
      </c>
      <c r="AE74" s="108">
        <v>2806.66</v>
      </c>
      <c r="AF74" s="108">
        <v>1308.681499999999</v>
      </c>
      <c r="AG74" s="108">
        <v>2668.1474999999996</v>
      </c>
      <c r="AH74" s="108">
        <v>1927.1199999999997</v>
      </c>
      <c r="AI74" s="108">
        <v>1581.9359999999999</v>
      </c>
      <c r="AJ74" s="108">
        <v>2000.126166666666</v>
      </c>
      <c r="AK74" s="108">
        <v>3107.5846666666675</v>
      </c>
      <c r="AL74" s="108">
        <v>3592.8521666666657</v>
      </c>
      <c r="AM74" s="108">
        <v>1902.8191666666671</v>
      </c>
      <c r="AN74" s="108">
        <v>3176.1011666666677</v>
      </c>
      <c r="AO74" s="108">
        <v>3059.2394999999992</v>
      </c>
      <c r="AP74" s="108">
        <v>2959.7156666666683</v>
      </c>
      <c r="AQ74" s="108">
        <v>3153.4511666666676</v>
      </c>
      <c r="AR74" s="108">
        <v>826.77266666666685</v>
      </c>
      <c r="AS74" s="108">
        <v>1579.1333333333339</v>
      </c>
      <c r="AT74" s="108">
        <v>1989.9150000000006</v>
      </c>
      <c r="AU74" s="108">
        <v>2760.3985000000007</v>
      </c>
      <c r="AV74" s="108">
        <v>2656.7203333333341</v>
      </c>
      <c r="AW74" s="108">
        <f t="shared" si="7"/>
        <v>94.372380666666658</v>
      </c>
    </row>
    <row r="75" spans="1:49">
      <c r="A75" s="149">
        <v>45817</v>
      </c>
      <c r="B75" s="150">
        <f>YEAR(Table7[[#This Row],[Date]])+IF(MONTH(Table7[[#This Row],[Date]])&gt;=4,1,0)</f>
        <v>2026</v>
      </c>
      <c r="C75" s="151">
        <f>YEAR(Table7[[#This Row],[Date]])</f>
        <v>2025</v>
      </c>
      <c r="D75" s="152">
        <f>Daily_KPI[[#This Row],[Date]]-DAY(Daily_KPI[[#This Row],[Date]])+1</f>
        <v>45809</v>
      </c>
      <c r="E75" s="108">
        <v>3091.1316666666676</v>
      </c>
      <c r="F75" s="108">
        <v>3316.7351666666659</v>
      </c>
      <c r="G75" s="108">
        <v>3090.34</v>
      </c>
      <c r="H75" s="108">
        <v>3054.5341666666668</v>
      </c>
      <c r="I75" s="108">
        <v>3846.4001666666682</v>
      </c>
      <c r="J75" s="108">
        <v>3871.6211666666677</v>
      </c>
      <c r="K75" s="108">
        <v>2247.4246666666663</v>
      </c>
      <c r="L75" s="108">
        <v>1627.4771666666666</v>
      </c>
      <c r="M75" s="108">
        <v>1781.2720000000006</v>
      </c>
      <c r="N75" s="108">
        <v>1957.4499999999991</v>
      </c>
      <c r="O75" s="108">
        <v>1925.7440000000004</v>
      </c>
      <c r="P75" s="108">
        <v>1875.1131666666668</v>
      </c>
      <c r="Q75" s="108">
        <v>1692.6070000000002</v>
      </c>
      <c r="R75" s="108">
        <v>1809.0698333333332</v>
      </c>
      <c r="S75" s="108">
        <v>1676.4513333333334</v>
      </c>
      <c r="T75" s="108">
        <v>1762.8601666666664</v>
      </c>
      <c r="U75" s="108">
        <v>1750.7524999999989</v>
      </c>
      <c r="V75" s="108">
        <v>3670.0606666666663</v>
      </c>
      <c r="W75" s="108">
        <v>1842.5351666666668</v>
      </c>
      <c r="X75" s="108">
        <v>1754.5445000000002</v>
      </c>
      <c r="Y75" s="108">
        <v>2998.0393333333309</v>
      </c>
      <c r="Z75" s="108">
        <v>3105.9924999999998</v>
      </c>
      <c r="AA75" s="108">
        <v>2502.991833333333</v>
      </c>
      <c r="AB75" s="108">
        <v>2559.0924999999993</v>
      </c>
      <c r="AC75" s="108">
        <v>2741.112833333334</v>
      </c>
      <c r="AD75" s="108">
        <v>2502.3135000000002</v>
      </c>
      <c r="AE75" s="108">
        <v>3255.5683333333345</v>
      </c>
      <c r="AF75" s="108">
        <v>1688.205666666667</v>
      </c>
      <c r="AG75" s="108">
        <v>2904.9043333333325</v>
      </c>
      <c r="AH75" s="108">
        <v>2421.2949999999996</v>
      </c>
      <c r="AI75" s="108">
        <v>2134.860666666666</v>
      </c>
      <c r="AJ75" s="108">
        <v>2536.141000000001</v>
      </c>
      <c r="AK75" s="108">
        <v>4087.3651666666688</v>
      </c>
      <c r="AL75" s="108">
        <v>4460.3619999999983</v>
      </c>
      <c r="AM75" s="108">
        <v>2541.8953333333334</v>
      </c>
      <c r="AN75" s="108">
        <v>4121.8111666666673</v>
      </c>
      <c r="AO75" s="108">
        <v>4030.2318333333328</v>
      </c>
      <c r="AP75" s="108">
        <v>3832.6203333333342</v>
      </c>
      <c r="AQ75" s="108">
        <v>4197.3928333333315</v>
      </c>
      <c r="AR75" s="108">
        <v>885.64016666666703</v>
      </c>
      <c r="AS75" s="108">
        <v>1982.1976666666669</v>
      </c>
      <c r="AT75" s="108">
        <v>2311.4148333333342</v>
      </c>
      <c r="AU75" s="108">
        <v>3185.3269999999989</v>
      </c>
      <c r="AV75" s="108">
        <v>3239.9229999999989</v>
      </c>
      <c r="AW75" s="108">
        <f t="shared" si="7"/>
        <v>117.87082333333332</v>
      </c>
    </row>
    <row r="76" spans="1:49">
      <c r="A76" s="145">
        <v>45818</v>
      </c>
      <c r="B76" s="146">
        <f>YEAR(Table7[[#This Row],[Date]])+IF(MONTH(Table7[[#This Row],[Date]])&gt;=4,1,0)</f>
        <v>2026</v>
      </c>
      <c r="C76" s="147">
        <f>YEAR(Table7[[#This Row],[Date]])</f>
        <v>2025</v>
      </c>
      <c r="D76" s="148">
        <f>Daily_KPI[[#This Row],[Date]]-DAY(Daily_KPI[[#This Row],[Date]])+1</f>
        <v>45809</v>
      </c>
      <c r="E76" s="108">
        <v>2482.4426666666664</v>
      </c>
      <c r="F76" s="108">
        <v>2485.5340000000001</v>
      </c>
      <c r="G76" s="108">
        <v>2291.8115000000003</v>
      </c>
      <c r="H76" s="108">
        <v>1922.6110000000001</v>
      </c>
      <c r="I76" s="108">
        <v>1825.4868333333336</v>
      </c>
      <c r="J76" s="108">
        <v>1796.0508333333337</v>
      </c>
      <c r="K76" s="108">
        <v>1613.3111666666671</v>
      </c>
      <c r="L76" s="108">
        <v>909.07666666666682</v>
      </c>
      <c r="M76" s="108">
        <v>707.58533333333332</v>
      </c>
      <c r="N76" s="108">
        <v>711.15783333333354</v>
      </c>
      <c r="O76" s="108">
        <v>641.9425</v>
      </c>
      <c r="P76" s="108">
        <v>568.6456666666669</v>
      </c>
      <c r="Q76" s="108">
        <v>547.47816666666688</v>
      </c>
      <c r="R76" s="108">
        <v>637.22816666666665</v>
      </c>
      <c r="S76" s="108">
        <v>600.74733333333336</v>
      </c>
      <c r="T76" s="108">
        <v>641.3180000000001</v>
      </c>
      <c r="U76" s="108">
        <v>614.93283333333341</v>
      </c>
      <c r="V76" s="108">
        <v>2458.4621666666676</v>
      </c>
      <c r="W76" s="108">
        <v>787.2144999999997</v>
      </c>
      <c r="X76" s="108">
        <v>678.85966666666684</v>
      </c>
      <c r="Y76" s="108">
        <v>2069.0888333333323</v>
      </c>
      <c r="Z76" s="108">
        <v>2122.5815000000007</v>
      </c>
      <c r="AA76" s="108">
        <v>1306.3179999999995</v>
      </c>
      <c r="AB76" s="108">
        <v>1236.2758333333336</v>
      </c>
      <c r="AC76" s="108">
        <v>1239.8081666666671</v>
      </c>
      <c r="AD76" s="108">
        <v>1131.2663333333335</v>
      </c>
      <c r="AE76" s="108">
        <v>1838.8234999999995</v>
      </c>
      <c r="AF76" s="108">
        <v>1447.6295000000007</v>
      </c>
      <c r="AG76" s="108">
        <v>2032.4634999999998</v>
      </c>
      <c r="AH76" s="108">
        <v>1935.6473333333324</v>
      </c>
      <c r="AI76" s="108">
        <v>817.63183333333336</v>
      </c>
      <c r="AJ76" s="108">
        <v>1115.8049999999998</v>
      </c>
      <c r="AK76" s="108">
        <v>1879.8508333333336</v>
      </c>
      <c r="AL76" s="108">
        <v>2490.6555000000003</v>
      </c>
      <c r="AM76" s="108">
        <v>1600.6271666666664</v>
      </c>
      <c r="AN76" s="108">
        <v>2401.0671666666672</v>
      </c>
      <c r="AO76" s="108">
        <v>2068.1696666666658</v>
      </c>
      <c r="AP76" s="108">
        <v>2035.912333333333</v>
      </c>
      <c r="AQ76" s="108">
        <v>2267.9216666666675</v>
      </c>
      <c r="AR76" s="108">
        <v>684.03716666666662</v>
      </c>
      <c r="AS76" s="108">
        <v>1925.4353333333336</v>
      </c>
      <c r="AT76" s="108">
        <v>2214.9025000000001</v>
      </c>
      <c r="AU76" s="108">
        <v>2430.1224999999999</v>
      </c>
      <c r="AV76" s="108">
        <v>2248.3428333333336</v>
      </c>
      <c r="AW76" s="108">
        <f t="shared" si="7"/>
        <v>67.462280833333338</v>
      </c>
    </row>
    <row r="77" spans="1:49">
      <c r="A77" s="149">
        <v>45819</v>
      </c>
      <c r="B77" s="150">
        <f>YEAR(Table7[[#This Row],[Date]])+IF(MONTH(Table7[[#This Row],[Date]])&gt;=4,1,0)</f>
        <v>2026</v>
      </c>
      <c r="C77" s="151">
        <f>YEAR(Table7[[#This Row],[Date]])</f>
        <v>2025</v>
      </c>
      <c r="D77" s="152">
        <f>Daily_KPI[[#This Row],[Date]]-DAY(Daily_KPI[[#This Row],[Date]])+1</f>
        <v>45809</v>
      </c>
      <c r="E77" s="108">
        <v>1790.7096666666664</v>
      </c>
      <c r="F77" s="108">
        <v>2166.0123333333327</v>
      </c>
      <c r="G77" s="108">
        <v>2299.6973333333331</v>
      </c>
      <c r="H77" s="108">
        <v>1543.8738333333329</v>
      </c>
      <c r="I77" s="108">
        <v>1963.1891666666663</v>
      </c>
      <c r="J77" s="108">
        <v>1889.0648333333336</v>
      </c>
      <c r="K77" s="108">
        <v>1268.6629999999996</v>
      </c>
      <c r="L77" s="108">
        <v>973.04616666666618</v>
      </c>
      <c r="M77" s="108">
        <v>1118.2548333333332</v>
      </c>
      <c r="N77" s="108">
        <v>1132.2886666666666</v>
      </c>
      <c r="O77" s="108">
        <v>1126.4021666666663</v>
      </c>
      <c r="P77" s="108">
        <v>1089.8483333333338</v>
      </c>
      <c r="Q77" s="108">
        <v>1094.278</v>
      </c>
      <c r="R77" s="108">
        <v>1135.0103333333334</v>
      </c>
      <c r="S77" s="108">
        <v>1046.0923333333337</v>
      </c>
      <c r="T77" s="108">
        <v>1140.6743333333334</v>
      </c>
      <c r="U77" s="108">
        <v>1033.0766666666666</v>
      </c>
      <c r="V77" s="108">
        <v>1918.0006666666666</v>
      </c>
      <c r="W77" s="108">
        <v>1108.5931666666665</v>
      </c>
      <c r="X77" s="108">
        <v>1062.3941666666667</v>
      </c>
      <c r="Y77" s="108">
        <v>1443.9965000000002</v>
      </c>
      <c r="Z77" s="108">
        <v>1619.8076666666668</v>
      </c>
      <c r="AA77" s="108">
        <v>1311.8056666666669</v>
      </c>
      <c r="AB77" s="108">
        <v>1412.9708333333331</v>
      </c>
      <c r="AC77" s="108">
        <v>1456.3166666666668</v>
      </c>
      <c r="AD77" s="108">
        <v>1398.4928333333335</v>
      </c>
      <c r="AE77" s="108">
        <v>2567.8254999999999</v>
      </c>
      <c r="AF77" s="108">
        <v>1093.7773333333341</v>
      </c>
      <c r="AG77" s="108">
        <v>1516.2781666666676</v>
      </c>
      <c r="AH77" s="108">
        <v>1339.617</v>
      </c>
      <c r="AI77" s="108">
        <v>1284.4355</v>
      </c>
      <c r="AJ77" s="108">
        <v>1410.7018333333335</v>
      </c>
      <c r="AK77" s="108">
        <v>2080.1928333333331</v>
      </c>
      <c r="AL77" s="108">
        <v>2135.7103333333334</v>
      </c>
      <c r="AM77" s="108">
        <v>1386.0825000000004</v>
      </c>
      <c r="AN77" s="108">
        <v>1904.7391666666656</v>
      </c>
      <c r="AO77" s="108">
        <v>1898.8708333333332</v>
      </c>
      <c r="AP77" s="108">
        <v>1801.1908333333329</v>
      </c>
      <c r="AQ77" s="108">
        <v>1966.4069999999999</v>
      </c>
      <c r="AR77" s="108">
        <v>743.51483333333329</v>
      </c>
      <c r="AS77" s="108">
        <v>1562.1753333333334</v>
      </c>
      <c r="AT77" s="108">
        <v>1577.8973333333331</v>
      </c>
      <c r="AU77" s="108">
        <v>1519.4418333333335</v>
      </c>
      <c r="AV77" s="108">
        <v>1414.8338333333331</v>
      </c>
      <c r="AW77" s="108">
        <f t="shared" si="7"/>
        <v>65.746252166666665</v>
      </c>
    </row>
    <row r="78" spans="1:49">
      <c r="A78" s="145">
        <v>45820</v>
      </c>
      <c r="B78" s="146">
        <f>YEAR(Table7[[#This Row],[Date]])+IF(MONTH(Table7[[#This Row],[Date]])&gt;=4,1,0)</f>
        <v>2026</v>
      </c>
      <c r="C78" s="147">
        <f>YEAR(Table7[[#This Row],[Date]])</f>
        <v>2025</v>
      </c>
      <c r="D78" s="148">
        <f>Daily_KPI[[#This Row],[Date]]-DAY(Daily_KPI[[#This Row],[Date]])+1</f>
        <v>45809</v>
      </c>
      <c r="E78" s="108">
        <v>4597.7643333333372</v>
      </c>
      <c r="F78" s="108">
        <v>5485.3198333333312</v>
      </c>
      <c r="G78" s="108">
        <v>5601.8051666666661</v>
      </c>
      <c r="H78" s="108">
        <v>2940.9631666666683</v>
      </c>
      <c r="I78" s="108">
        <v>3084.8661666666662</v>
      </c>
      <c r="J78" s="108">
        <v>3149.6283333333336</v>
      </c>
      <c r="K78" s="108">
        <v>3112.2870000000016</v>
      </c>
      <c r="L78" s="108">
        <v>2135.7506666666654</v>
      </c>
      <c r="M78" s="108">
        <v>1934.8241666666681</v>
      </c>
      <c r="N78" s="108">
        <v>1938.6196666666658</v>
      </c>
      <c r="O78" s="108">
        <v>1721.4251666666667</v>
      </c>
      <c r="P78" s="108">
        <v>1587.9643333333336</v>
      </c>
      <c r="Q78" s="108">
        <v>1565.9048333333328</v>
      </c>
      <c r="R78" s="108">
        <v>1628.0686666666663</v>
      </c>
      <c r="S78" s="108">
        <v>1501.1651666666669</v>
      </c>
      <c r="T78" s="108">
        <v>1478.824333333333</v>
      </c>
      <c r="U78" s="108">
        <v>1662.0485000000006</v>
      </c>
      <c r="V78" s="108">
        <v>4492.1826666666666</v>
      </c>
      <c r="W78" s="108">
        <v>1744.6599999999999</v>
      </c>
      <c r="X78" s="108">
        <v>1538.6324999999997</v>
      </c>
      <c r="Y78" s="108">
        <v>3086.2789999999986</v>
      </c>
      <c r="Z78" s="108">
        <v>3640.4603333333343</v>
      </c>
      <c r="AA78" s="108">
        <v>2461.1788333333334</v>
      </c>
      <c r="AB78" s="108">
        <v>2425.4995000000013</v>
      </c>
      <c r="AC78" s="108">
        <v>2579.014666666666</v>
      </c>
      <c r="AD78" s="108">
        <v>2471.1448333333333</v>
      </c>
      <c r="AE78" s="108">
        <v>5611.3319999999985</v>
      </c>
      <c r="AF78" s="108">
        <v>2213.9443333333338</v>
      </c>
      <c r="AG78" s="108">
        <v>3274.2256666666667</v>
      </c>
      <c r="AH78" s="108">
        <v>2897.9889999999978</v>
      </c>
      <c r="AI78" s="108">
        <v>1835.8108333333328</v>
      </c>
      <c r="AJ78" s="108">
        <v>2198.8635000000008</v>
      </c>
      <c r="AK78" s="108">
        <v>3222.4398333333343</v>
      </c>
      <c r="AL78" s="108">
        <v>4201.9018333333352</v>
      </c>
      <c r="AM78" s="108">
        <v>2739.6938333333328</v>
      </c>
      <c r="AN78" s="108">
        <v>4187.0806666666631</v>
      </c>
      <c r="AO78" s="108">
        <v>3985.758333333335</v>
      </c>
      <c r="AP78" s="108">
        <v>3572.6008333333316</v>
      </c>
      <c r="AQ78" s="108">
        <v>3742.4840000000008</v>
      </c>
      <c r="AR78" s="108">
        <v>1735.6668333333328</v>
      </c>
      <c r="AS78" s="108">
        <v>3650.9501666666661</v>
      </c>
      <c r="AT78" s="108">
        <v>3973.7079999999983</v>
      </c>
      <c r="AU78" s="108">
        <v>3897.5101666666669</v>
      </c>
      <c r="AV78" s="108">
        <v>3729.9206666666637</v>
      </c>
      <c r="AW78" s="108">
        <f t="shared" si="7"/>
        <v>130.23816233333332</v>
      </c>
    </row>
    <row r="79" spans="1:49">
      <c r="A79" s="149">
        <v>45821</v>
      </c>
      <c r="B79" s="150">
        <f>YEAR(Table7[[#This Row],[Date]])+IF(MONTH(Table7[[#This Row],[Date]])&gt;=4,1,0)</f>
        <v>2026</v>
      </c>
      <c r="C79" s="151">
        <f>YEAR(Table7[[#This Row],[Date]])</f>
        <v>2025</v>
      </c>
      <c r="D79" s="152">
        <f>Daily_KPI[[#This Row],[Date]]-DAY(Daily_KPI[[#This Row],[Date]])+1</f>
        <v>45809</v>
      </c>
      <c r="E79" s="108">
        <v>117.39583333333333</v>
      </c>
      <c r="F79" s="108">
        <v>134.56550000000001</v>
      </c>
      <c r="G79" s="108">
        <v>145.68749999999997</v>
      </c>
      <c r="H79" s="108">
        <v>90.843333333333348</v>
      </c>
      <c r="I79" s="108">
        <v>49.590833333333336</v>
      </c>
      <c r="J79" s="108">
        <v>48.270166666666675</v>
      </c>
      <c r="K79" s="108">
        <v>118.19416666666667</v>
      </c>
      <c r="L79" s="108">
        <v>51.166666666666657</v>
      </c>
      <c r="M79" s="108">
        <v>34.965166666666669</v>
      </c>
      <c r="N79" s="108">
        <v>27.091999999999999</v>
      </c>
      <c r="O79" s="108">
        <v>49.877833333333335</v>
      </c>
      <c r="P79" s="108">
        <v>42.841333333333324</v>
      </c>
      <c r="Q79" s="108">
        <v>43.051333333333339</v>
      </c>
      <c r="R79" s="108">
        <v>50.124999999999993</v>
      </c>
      <c r="S79" s="108">
        <v>8.153666666666668</v>
      </c>
      <c r="T79" s="108">
        <v>32.867999999999995</v>
      </c>
      <c r="U79" s="108">
        <v>19.518666666666668</v>
      </c>
      <c r="V79" s="108">
        <v>104.11866666666663</v>
      </c>
      <c r="W79" s="108">
        <v>45.999333333333333</v>
      </c>
      <c r="X79" s="108">
        <v>50.015999999999998</v>
      </c>
      <c r="Y79" s="108">
        <v>137.5541666666667</v>
      </c>
      <c r="Z79" s="108">
        <v>65.186833333333325</v>
      </c>
      <c r="AA79" s="108">
        <v>74.659166666666664</v>
      </c>
      <c r="AB79" s="108">
        <v>55.985166666666679</v>
      </c>
      <c r="AC79" s="108">
        <v>67.241500000000002</v>
      </c>
      <c r="AD79" s="108">
        <v>77.289666666666662</v>
      </c>
      <c r="AE79" s="108">
        <v>108.73616666666668</v>
      </c>
      <c r="AF79" s="108">
        <v>54.795666666666676</v>
      </c>
      <c r="AG79" s="108">
        <v>39.410166666666662</v>
      </c>
      <c r="AH79" s="108">
        <v>126.486</v>
      </c>
      <c r="AI79" s="108">
        <v>56.220833333333331</v>
      </c>
      <c r="AJ79" s="108">
        <v>25.666166666666669</v>
      </c>
      <c r="AK79" s="108">
        <v>26.78533333333333</v>
      </c>
      <c r="AL79" s="108">
        <v>66.884500000000003</v>
      </c>
      <c r="AM79" s="108">
        <v>81.643666666666689</v>
      </c>
      <c r="AN79" s="108">
        <v>178.22850000000008</v>
      </c>
      <c r="AO79" s="108">
        <v>89.834666666666649</v>
      </c>
      <c r="AP79" s="108">
        <v>61.038499999999999</v>
      </c>
      <c r="AQ79" s="108">
        <v>73.9405</v>
      </c>
      <c r="AR79" s="108">
        <v>63.923333333333346</v>
      </c>
      <c r="AS79" s="108">
        <v>81.371000000000024</v>
      </c>
      <c r="AT79" s="108">
        <v>128.24683333333334</v>
      </c>
      <c r="AU79" s="108">
        <v>176.53033333333335</v>
      </c>
      <c r="AV79" s="108">
        <v>108.77250000000002</v>
      </c>
      <c r="AW79" s="108">
        <f t="shared" si="7"/>
        <v>3.2907721666666672</v>
      </c>
    </row>
    <row r="80" spans="1:49">
      <c r="A80" s="145">
        <v>45822</v>
      </c>
      <c r="B80" s="146">
        <f>YEAR(Table7[[#This Row],[Date]])+IF(MONTH(Table7[[#This Row],[Date]])&gt;=4,1,0)</f>
        <v>2026</v>
      </c>
      <c r="C80" s="147">
        <f>YEAR(Table7[[#This Row],[Date]])</f>
        <v>2025</v>
      </c>
      <c r="D80" s="148">
        <f>Daily_KPI[[#This Row],[Date]]-DAY(Daily_KPI[[#This Row],[Date]])+1</f>
        <v>45809</v>
      </c>
      <c r="E80" s="108">
        <v>480.64066666666662</v>
      </c>
      <c r="F80" s="108">
        <v>543.3658333333334</v>
      </c>
      <c r="G80" s="108">
        <v>592.59399999999994</v>
      </c>
      <c r="H80" s="108">
        <v>303.42733333333337</v>
      </c>
      <c r="I80" s="108">
        <v>363.75283333333329</v>
      </c>
      <c r="J80" s="108">
        <v>488.28283333333337</v>
      </c>
      <c r="K80" s="108">
        <v>440.98333333333312</v>
      </c>
      <c r="L80" s="108">
        <v>279.13116666666662</v>
      </c>
      <c r="M80" s="108">
        <v>188.30833333333331</v>
      </c>
      <c r="N80" s="108">
        <v>159.89183333333332</v>
      </c>
      <c r="O80" s="108">
        <v>183.12783333333343</v>
      </c>
      <c r="P80" s="108">
        <v>191.99700000000004</v>
      </c>
      <c r="Q80" s="108">
        <v>195.49566666666661</v>
      </c>
      <c r="R80" s="108">
        <v>202.83700000000002</v>
      </c>
      <c r="S80" s="108">
        <v>108.44350000000001</v>
      </c>
      <c r="T80" s="108">
        <v>244.88299999999992</v>
      </c>
      <c r="U80" s="108">
        <v>303.10000000000002</v>
      </c>
      <c r="V80" s="108">
        <v>428.23483333333326</v>
      </c>
      <c r="W80" s="108">
        <v>311.9931666666667</v>
      </c>
      <c r="X80" s="108">
        <v>269.50416666666666</v>
      </c>
      <c r="Y80" s="108">
        <v>300.71016666666662</v>
      </c>
      <c r="Z80" s="108">
        <v>234.83316666666664</v>
      </c>
      <c r="AA80" s="108">
        <v>254.44466666666665</v>
      </c>
      <c r="AB80" s="108">
        <v>236.07283333333328</v>
      </c>
      <c r="AC80" s="108">
        <v>264.89800000000008</v>
      </c>
      <c r="AD80" s="108">
        <v>249.74916666666661</v>
      </c>
      <c r="AE80" s="108">
        <v>568.39716666666664</v>
      </c>
      <c r="AF80" s="108">
        <v>104.70599999999995</v>
      </c>
      <c r="AG80" s="108">
        <v>300.06766666666664</v>
      </c>
      <c r="AH80" s="108">
        <v>148.17116666666666</v>
      </c>
      <c r="AI80" s="108">
        <v>293.76716666666658</v>
      </c>
      <c r="AJ80" s="108">
        <v>431.63116666666673</v>
      </c>
      <c r="AK80" s="108">
        <v>354.2023333333334</v>
      </c>
      <c r="AL80" s="108">
        <v>505.76383333333337</v>
      </c>
      <c r="AM80" s="108">
        <v>185.60666666666668</v>
      </c>
      <c r="AN80" s="108">
        <v>552.72799999999984</v>
      </c>
      <c r="AO80" s="108">
        <v>415.60733333333337</v>
      </c>
      <c r="AP80" s="108">
        <v>403.83516666666657</v>
      </c>
      <c r="AQ80" s="108">
        <v>456.9413333333332</v>
      </c>
      <c r="AR80" s="108">
        <v>109.17133333333332</v>
      </c>
      <c r="AS80" s="108">
        <v>151.39066666666668</v>
      </c>
      <c r="AT80" s="108">
        <v>156.58516666666665</v>
      </c>
      <c r="AU80" s="108">
        <v>509.43633333333315</v>
      </c>
      <c r="AV80" s="108">
        <v>302.91983333333332</v>
      </c>
      <c r="AW80" s="108">
        <f t="shared" si="7"/>
        <v>13.771630666666663</v>
      </c>
    </row>
    <row r="81" spans="1:49">
      <c r="A81" s="149">
        <v>45823</v>
      </c>
      <c r="B81" s="150">
        <f>YEAR(Table7[[#This Row],[Date]])+IF(MONTH(Table7[[#This Row],[Date]])&gt;=4,1,0)</f>
        <v>2026</v>
      </c>
      <c r="C81" s="151">
        <f>YEAR(Table7[[#This Row],[Date]])</f>
        <v>2025</v>
      </c>
      <c r="D81" s="152">
        <f>Daily_KPI[[#This Row],[Date]]-DAY(Daily_KPI[[#This Row],[Date]])+1</f>
        <v>45809</v>
      </c>
      <c r="E81" s="108">
        <v>2571.2254999999996</v>
      </c>
      <c r="F81" s="108">
        <v>2423.61</v>
      </c>
      <c r="G81" s="108">
        <v>1978.6509999999989</v>
      </c>
      <c r="H81" s="108">
        <v>2332.5835000000002</v>
      </c>
      <c r="I81" s="108">
        <v>1689.8610000000001</v>
      </c>
      <c r="J81" s="108">
        <v>2384.6479999999997</v>
      </c>
      <c r="K81" s="108">
        <v>2367.1623333333332</v>
      </c>
      <c r="L81" s="108">
        <v>1851.3523333333335</v>
      </c>
      <c r="M81" s="108">
        <v>1453.7215000000003</v>
      </c>
      <c r="N81" s="108">
        <v>1206.6181666666669</v>
      </c>
      <c r="O81" s="108">
        <v>1494.1131666666668</v>
      </c>
      <c r="P81" s="108">
        <v>1661.1194999999998</v>
      </c>
      <c r="Q81" s="108">
        <v>1070.6785000000002</v>
      </c>
      <c r="R81" s="108">
        <v>1734.1458333333339</v>
      </c>
      <c r="S81" s="108">
        <v>1508.1643333333338</v>
      </c>
      <c r="T81" s="108">
        <v>1664.466999999999</v>
      </c>
      <c r="U81" s="108">
        <v>1695.6016666666676</v>
      </c>
      <c r="V81" s="108">
        <v>1762.4011666666668</v>
      </c>
      <c r="W81" s="108">
        <v>2117.2615000000001</v>
      </c>
      <c r="X81" s="108">
        <v>1469.6791666666668</v>
      </c>
      <c r="Y81" s="108">
        <v>2427.081999999999</v>
      </c>
      <c r="Z81" s="108">
        <v>1930.6516666666673</v>
      </c>
      <c r="AA81" s="108">
        <v>2078.4439999999995</v>
      </c>
      <c r="AB81" s="108">
        <v>1586.3591666666671</v>
      </c>
      <c r="AC81" s="108">
        <v>1773.1274999999998</v>
      </c>
      <c r="AD81" s="108">
        <v>1885.7036666666663</v>
      </c>
      <c r="AE81" s="108">
        <v>1504.9308333333336</v>
      </c>
      <c r="AF81" s="108">
        <v>1404.0316666666668</v>
      </c>
      <c r="AG81" s="108">
        <v>2408.1113333333342</v>
      </c>
      <c r="AH81" s="108">
        <v>1675.2228333333339</v>
      </c>
      <c r="AI81" s="108">
        <v>1596.7359999999992</v>
      </c>
      <c r="AJ81" s="108">
        <v>1746.265333333333</v>
      </c>
      <c r="AK81" s="108">
        <v>1753.4775000000006</v>
      </c>
      <c r="AL81" s="108">
        <v>1813.5200000000002</v>
      </c>
      <c r="AM81" s="108">
        <v>1837.9616666666673</v>
      </c>
      <c r="AN81" s="108">
        <v>3223.1730000000002</v>
      </c>
      <c r="AO81" s="108">
        <v>2578.400833333334</v>
      </c>
      <c r="AP81" s="108">
        <v>1937.8925000000011</v>
      </c>
      <c r="AQ81" s="108">
        <v>1879.0423333333338</v>
      </c>
      <c r="AR81" s="108">
        <v>1549.8238333333331</v>
      </c>
      <c r="AS81" s="108">
        <v>1766.7843333333333</v>
      </c>
      <c r="AT81" s="108">
        <v>1641.6266666666677</v>
      </c>
      <c r="AU81" s="108">
        <v>3152.8356666666677</v>
      </c>
      <c r="AV81" s="108">
        <v>2102.1248333333328</v>
      </c>
      <c r="AW81" s="108">
        <f t="shared" si="7"/>
        <v>83.69039433333333</v>
      </c>
    </row>
    <row r="82" spans="1:49">
      <c r="A82" s="145">
        <v>45824</v>
      </c>
      <c r="B82" s="146">
        <f>YEAR(Table7[[#This Row],[Date]])+IF(MONTH(Table7[[#This Row],[Date]])&gt;=4,1,0)</f>
        <v>2026</v>
      </c>
      <c r="C82" s="147">
        <f>YEAR(Table7[[#This Row],[Date]])</f>
        <v>2025</v>
      </c>
      <c r="D82" s="148">
        <f>Daily_KPI[[#This Row],[Date]]-DAY(Daily_KPI[[#This Row],[Date]])+1</f>
        <v>45809</v>
      </c>
      <c r="E82" s="108">
        <v>6659.6316666666671</v>
      </c>
      <c r="F82" s="108">
        <v>6339.9976666666707</v>
      </c>
      <c r="G82" s="108">
        <v>6052.7018333333317</v>
      </c>
      <c r="H82" s="108">
        <v>6227.5328333333346</v>
      </c>
      <c r="I82" s="108">
        <v>6470.0028333333321</v>
      </c>
      <c r="J82" s="108">
        <v>6420.4954999999982</v>
      </c>
      <c r="K82" s="108">
        <v>6387.555833333332</v>
      </c>
      <c r="L82" s="108">
        <v>5677.1194999999998</v>
      </c>
      <c r="M82" s="108">
        <v>4901.5461666666661</v>
      </c>
      <c r="N82" s="108">
        <v>5271.7800000000016</v>
      </c>
      <c r="O82" s="108">
        <v>5786.680333333331</v>
      </c>
      <c r="P82" s="108">
        <v>6323.109999999996</v>
      </c>
      <c r="Q82" s="108">
        <v>2235.5460000000003</v>
      </c>
      <c r="R82" s="108">
        <v>6116.4796666666671</v>
      </c>
      <c r="S82" s="108">
        <v>5696.2678333333324</v>
      </c>
      <c r="T82" s="108">
        <v>5912.3576666666677</v>
      </c>
      <c r="U82" s="108">
        <v>5909.1299999999983</v>
      </c>
      <c r="V82" s="108">
        <v>6170.6836666666641</v>
      </c>
      <c r="W82" s="108">
        <v>6075.4401666666663</v>
      </c>
      <c r="X82" s="108">
        <v>5441.1674999999996</v>
      </c>
      <c r="Y82" s="108">
        <v>6231.5551666666679</v>
      </c>
      <c r="Z82" s="108">
        <v>5983.7390000000023</v>
      </c>
      <c r="AA82" s="108">
        <v>5910.0125000000035</v>
      </c>
      <c r="AB82" s="108">
        <v>6122.600666666669</v>
      </c>
      <c r="AC82" s="108">
        <v>6135.4045000000033</v>
      </c>
      <c r="AD82" s="108">
        <v>5940.9313333333303</v>
      </c>
      <c r="AE82" s="108">
        <v>5417.364833333334</v>
      </c>
      <c r="AF82" s="108">
        <v>5844.1523333333325</v>
      </c>
      <c r="AG82" s="108">
        <v>4775.7425000000003</v>
      </c>
      <c r="AH82" s="108">
        <v>6270.2241666666623</v>
      </c>
      <c r="AI82" s="108">
        <v>5704.9481666666652</v>
      </c>
      <c r="AJ82" s="108">
        <v>5703.3198333333312</v>
      </c>
      <c r="AK82" s="108">
        <v>6420.3009999999995</v>
      </c>
      <c r="AL82" s="108">
        <v>6406.5085000000008</v>
      </c>
      <c r="AM82" s="108">
        <v>5621.8919999999998</v>
      </c>
      <c r="AN82" s="108">
        <v>6699.6246666666702</v>
      </c>
      <c r="AO82" s="108">
        <v>6702.5933333333296</v>
      </c>
      <c r="AP82" s="108">
        <v>6419.8313333333308</v>
      </c>
      <c r="AQ82" s="108">
        <v>6610.8013333333365</v>
      </c>
      <c r="AR82" s="108">
        <v>5774.6381666666675</v>
      </c>
      <c r="AS82" s="108">
        <v>6312.0425000000023</v>
      </c>
      <c r="AT82" s="108">
        <v>6483.8116666666656</v>
      </c>
      <c r="AU82" s="108">
        <v>6721.9731666666639</v>
      </c>
      <c r="AV82" s="108">
        <v>6593.5778333333292</v>
      </c>
      <c r="AW82" s="108">
        <f t="shared" si="7"/>
        <v>262.88281716666665</v>
      </c>
    </row>
    <row r="83" spans="1:49">
      <c r="A83" s="149">
        <v>45825</v>
      </c>
      <c r="B83" s="150">
        <f>YEAR(Table7[[#This Row],[Date]])+IF(MONTH(Table7[[#This Row],[Date]])&gt;=4,1,0)</f>
        <v>2026</v>
      </c>
      <c r="C83" s="151">
        <f>YEAR(Table7[[#This Row],[Date]])</f>
        <v>2025</v>
      </c>
      <c r="D83" s="152">
        <f>Daily_KPI[[#This Row],[Date]]-DAY(Daily_KPI[[#This Row],[Date]])+1</f>
        <v>45809</v>
      </c>
      <c r="E83" s="108">
        <v>2659.956666666666</v>
      </c>
      <c r="F83" s="108">
        <v>2570.5528333333332</v>
      </c>
      <c r="G83" s="108">
        <v>2270.7157499999998</v>
      </c>
      <c r="H83" s="108">
        <v>1943.7171666666657</v>
      </c>
      <c r="I83" s="108">
        <v>2581.31675</v>
      </c>
      <c r="J83" s="108">
        <v>2707.4779999999987</v>
      </c>
      <c r="K83" s="108">
        <v>2586.130916666667</v>
      </c>
      <c r="L83" s="108">
        <v>2394.4642500000009</v>
      </c>
      <c r="M83" s="108">
        <v>2117.8050833333323</v>
      </c>
      <c r="N83" s="108">
        <v>2029.5751666666672</v>
      </c>
      <c r="O83" s="108">
        <v>2346.5363333333344</v>
      </c>
      <c r="P83" s="108">
        <v>2596.3371666666667</v>
      </c>
      <c r="Q83" s="108">
        <v>2706.8993333333328</v>
      </c>
      <c r="R83" s="108">
        <v>2598.9601666666663</v>
      </c>
      <c r="S83" s="108">
        <v>2395.3356666666655</v>
      </c>
      <c r="T83" s="108">
        <v>2455.5685000000003</v>
      </c>
      <c r="U83" s="108">
        <v>2433.2507500000002</v>
      </c>
      <c r="V83" s="108">
        <v>2431.311416666666</v>
      </c>
      <c r="W83" s="108">
        <v>2595.6710833333327</v>
      </c>
      <c r="X83" s="108">
        <v>2341.2980833333331</v>
      </c>
      <c r="Y83" s="108">
        <v>2586.1642499999994</v>
      </c>
      <c r="Z83" s="108">
        <v>2466.1424166666661</v>
      </c>
      <c r="AA83" s="108">
        <v>2460.0275833333326</v>
      </c>
      <c r="AB83" s="108">
        <v>2545.327499999999</v>
      </c>
      <c r="AC83" s="108">
        <v>2552.0326666666674</v>
      </c>
      <c r="AD83" s="108">
        <v>2340.99325</v>
      </c>
      <c r="AE83" s="108">
        <v>1786.593083333333</v>
      </c>
      <c r="AF83" s="108">
        <v>2341.108999999999</v>
      </c>
      <c r="AG83" s="108">
        <v>2134.9895000000001</v>
      </c>
      <c r="AH83" s="108">
        <v>0</v>
      </c>
      <c r="AI83" s="108">
        <v>2293.2800000000002</v>
      </c>
      <c r="AJ83" s="108">
        <v>2387.502583333333</v>
      </c>
      <c r="AK83" s="108">
        <v>2585.3099166666657</v>
      </c>
      <c r="AL83" s="108">
        <v>2563.6380833333328</v>
      </c>
      <c r="AM83" s="108">
        <v>2337.8909999999996</v>
      </c>
      <c r="AN83" s="108">
        <v>2768.7756666666651</v>
      </c>
      <c r="AO83" s="108">
        <v>2745.4618333333328</v>
      </c>
      <c r="AP83" s="108">
        <v>2547.5995833333336</v>
      </c>
      <c r="AQ83" s="108">
        <v>2706.6439166666664</v>
      </c>
      <c r="AR83" s="108">
        <v>2191.4019166666671</v>
      </c>
      <c r="AS83" s="108">
        <v>2407.5308333333328</v>
      </c>
      <c r="AT83" s="108">
        <v>2594.5209999999997</v>
      </c>
      <c r="AU83" s="108">
        <v>2728.4249999999997</v>
      </c>
      <c r="AV83" s="108">
        <v>2676.6429166666662</v>
      </c>
      <c r="AW83" s="108">
        <f t="shared" si="7"/>
        <v>105.51088458333334</v>
      </c>
    </row>
    <row r="84" spans="1:49">
      <c r="A84" s="145">
        <v>45826</v>
      </c>
      <c r="B84" s="146">
        <f>YEAR(Table7[[#This Row],[Date]])+IF(MONTH(Table7[[#This Row],[Date]])&gt;=4,1,0)</f>
        <v>2026</v>
      </c>
      <c r="C84" s="147">
        <f>YEAR(Table7[[#This Row],[Date]])</f>
        <v>2025</v>
      </c>
      <c r="D84" s="148">
        <f>Daily_KPI[[#This Row],[Date]]-DAY(Daily_KPI[[#This Row],[Date]])+1</f>
        <v>45809</v>
      </c>
      <c r="E84" s="108">
        <v>7132.3976666666649</v>
      </c>
      <c r="F84" s="108">
        <v>6897.3144999999977</v>
      </c>
      <c r="G84" s="108">
        <v>6434.4166666666688</v>
      </c>
      <c r="H84" s="108">
        <v>2737.105</v>
      </c>
      <c r="I84" s="108">
        <v>7056.3845000000065</v>
      </c>
      <c r="J84" s="108">
        <v>7215.3026666666665</v>
      </c>
      <c r="K84" s="108">
        <v>6990.3268333333317</v>
      </c>
      <c r="L84" s="108">
        <v>6580.5214999999989</v>
      </c>
      <c r="M84" s="108">
        <v>5779.5600000000022</v>
      </c>
      <c r="N84" s="108">
        <v>5825.7545000000018</v>
      </c>
      <c r="O84" s="108">
        <v>6441.9618333333347</v>
      </c>
      <c r="P84" s="108">
        <v>7065.5040000000008</v>
      </c>
      <c r="Q84" s="108">
        <v>7177.6129999999985</v>
      </c>
      <c r="R84" s="108">
        <v>6931.2123333333366</v>
      </c>
      <c r="S84" s="108">
        <v>6680.4880000000012</v>
      </c>
      <c r="T84" s="108">
        <v>5105.9628333333339</v>
      </c>
      <c r="U84" s="108">
        <v>6846.0190000000011</v>
      </c>
      <c r="V84" s="108">
        <v>6649.2453333333333</v>
      </c>
      <c r="W84" s="108">
        <v>7003.3931666666676</v>
      </c>
      <c r="X84" s="108">
        <v>6537.8756666666641</v>
      </c>
      <c r="Y84" s="108">
        <v>7121.932833333336</v>
      </c>
      <c r="Z84" s="108">
        <v>6836.1214999999975</v>
      </c>
      <c r="AA84" s="108">
        <v>6738.9133333333339</v>
      </c>
      <c r="AB84" s="108">
        <v>6952.8986666666669</v>
      </c>
      <c r="AC84" s="108">
        <v>7002.9943333333331</v>
      </c>
      <c r="AD84" s="108">
        <v>5645.9973333333328</v>
      </c>
      <c r="AE84" s="108">
        <v>5581.4355000000005</v>
      </c>
      <c r="AF84" s="108">
        <v>6514.9698333333326</v>
      </c>
      <c r="AG84" s="108">
        <v>7165.9871666666686</v>
      </c>
      <c r="AH84" s="108">
        <v>6877.9053333333313</v>
      </c>
      <c r="AI84" s="108">
        <v>6668.2450000000026</v>
      </c>
      <c r="AJ84" s="108">
        <v>6622.1663333333354</v>
      </c>
      <c r="AK84" s="108">
        <v>7099.2793333333357</v>
      </c>
      <c r="AL84" s="108">
        <v>7109.9630000000025</v>
      </c>
      <c r="AM84" s="108">
        <v>6494.2586666666657</v>
      </c>
      <c r="AN84" s="108">
        <v>7347.6973333333326</v>
      </c>
      <c r="AO84" s="108">
        <v>7318.558666666665</v>
      </c>
      <c r="AP84" s="108">
        <v>7100.0770000000039</v>
      </c>
      <c r="AQ84" s="108">
        <v>7284.5131666666684</v>
      </c>
      <c r="AR84" s="108">
        <v>6318.2318333333287</v>
      </c>
      <c r="AS84" s="108">
        <v>6719.867333333329</v>
      </c>
      <c r="AT84" s="108">
        <v>6705.4861666666693</v>
      </c>
      <c r="AU84" s="108">
        <v>7135.7988333333342</v>
      </c>
      <c r="AV84" s="108">
        <v>6854.7615000000014</v>
      </c>
      <c r="AW84" s="108">
        <f t="shared" si="7"/>
        <v>292.30641900000001</v>
      </c>
    </row>
    <row r="85" spans="1:49">
      <c r="A85" s="149">
        <v>45827</v>
      </c>
      <c r="B85" s="150">
        <f>YEAR(Table7[[#This Row],[Date]])+IF(MONTH(Table7[[#This Row],[Date]])&gt;=4,1,0)</f>
        <v>2026</v>
      </c>
      <c r="C85" s="151">
        <f>YEAR(Table7[[#This Row],[Date]])</f>
        <v>2025</v>
      </c>
      <c r="D85" s="152">
        <f>Daily_KPI[[#This Row],[Date]]-DAY(Daily_KPI[[#This Row],[Date]])+1</f>
        <v>45809</v>
      </c>
      <c r="E85" s="108">
        <v>6142.4948333333314</v>
      </c>
      <c r="F85" s="108">
        <v>6083.9500000000007</v>
      </c>
      <c r="G85" s="108">
        <v>6426.0160000000033</v>
      </c>
      <c r="H85" s="108">
        <v>3504.8373333333329</v>
      </c>
      <c r="I85" s="108">
        <v>6990.3896666666697</v>
      </c>
      <c r="J85" s="108">
        <v>6961.2785000000013</v>
      </c>
      <c r="K85" s="108">
        <v>5936.9465000000018</v>
      </c>
      <c r="L85" s="108">
        <v>6424.9720000000025</v>
      </c>
      <c r="M85" s="108">
        <v>5701.9778333333315</v>
      </c>
      <c r="N85" s="108">
        <v>5586.551166666668</v>
      </c>
      <c r="O85" s="108">
        <v>6413.8744999999972</v>
      </c>
      <c r="P85" s="108">
        <v>6304.8538333333317</v>
      </c>
      <c r="Q85" s="108">
        <v>6021.8040000000001</v>
      </c>
      <c r="R85" s="108">
        <v>6680.9721666666637</v>
      </c>
      <c r="S85" s="108">
        <v>5511.5961666666626</v>
      </c>
      <c r="T85" s="108">
        <v>6475.3565000000008</v>
      </c>
      <c r="U85" s="108">
        <v>6709.0770000000039</v>
      </c>
      <c r="V85" s="108">
        <v>6847.7948333333325</v>
      </c>
      <c r="W85" s="108">
        <v>6654.2816666666695</v>
      </c>
      <c r="X85" s="108">
        <v>6129.0856666666668</v>
      </c>
      <c r="Y85" s="108">
        <v>6889.3106666666654</v>
      </c>
      <c r="Z85" s="108">
        <v>6144.1769999999997</v>
      </c>
      <c r="AA85" s="108">
        <v>6493.4608333333308</v>
      </c>
      <c r="AB85" s="108">
        <v>6661.3551666666654</v>
      </c>
      <c r="AC85" s="108">
        <v>6780.0881666666646</v>
      </c>
      <c r="AD85" s="108">
        <v>6645.4421666666685</v>
      </c>
      <c r="AE85" s="108">
        <v>5748.1826666666648</v>
      </c>
      <c r="AF85" s="108">
        <v>4235.8486666666677</v>
      </c>
      <c r="AG85" s="108">
        <v>6787.9279999999972</v>
      </c>
      <c r="AH85" s="108">
        <v>6570.1851666666735</v>
      </c>
      <c r="AI85" s="108">
        <v>6641.0050000000001</v>
      </c>
      <c r="AJ85" s="108">
        <v>6335.2666666666655</v>
      </c>
      <c r="AK85" s="108">
        <v>6956.6493333333347</v>
      </c>
      <c r="AL85" s="108">
        <v>7011.6138333333356</v>
      </c>
      <c r="AM85" s="108">
        <v>6255.2295000000013</v>
      </c>
      <c r="AN85" s="108">
        <v>7155.9364999999971</v>
      </c>
      <c r="AO85" s="108">
        <v>7186.7478333333311</v>
      </c>
      <c r="AP85" s="108">
        <v>6942.9288333333352</v>
      </c>
      <c r="AQ85" s="108">
        <v>7161.6476666666676</v>
      </c>
      <c r="AR85" s="108">
        <v>4364.0368333333345</v>
      </c>
      <c r="AS85" s="108">
        <v>4718.1726666666664</v>
      </c>
      <c r="AT85" s="108">
        <v>4435.5866666666652</v>
      </c>
      <c r="AU85" s="108">
        <v>4999.6448333333328</v>
      </c>
      <c r="AV85" s="108">
        <v>3995.6319999999996</v>
      </c>
      <c r="AW85" s="108">
        <f t="shared" si="7"/>
        <v>270.62418683333334</v>
      </c>
    </row>
    <row r="86" spans="1:49">
      <c r="A86" s="145">
        <v>45828</v>
      </c>
      <c r="B86" s="146">
        <f>YEAR(Table7[[#This Row],[Date]])+IF(MONTH(Table7[[#This Row],[Date]])&gt;=4,1,0)</f>
        <v>2026</v>
      </c>
      <c r="C86" s="147">
        <f>YEAR(Table7[[#This Row],[Date]])</f>
        <v>2025</v>
      </c>
      <c r="D86" s="148">
        <f>Daily_KPI[[#This Row],[Date]]-DAY(Daily_KPI[[#This Row],[Date]])+1</f>
        <v>45809</v>
      </c>
      <c r="E86" s="108">
        <v>6142.4948333333314</v>
      </c>
      <c r="F86" s="108">
        <v>6083.9500000000007</v>
      </c>
      <c r="G86" s="108">
        <v>6426.0160000000033</v>
      </c>
      <c r="H86" s="108">
        <v>3504.8373333333329</v>
      </c>
      <c r="I86" s="108">
        <v>6990.3896666666697</v>
      </c>
      <c r="J86" s="108">
        <v>6961.2785000000013</v>
      </c>
      <c r="K86" s="108">
        <v>5936.9465000000018</v>
      </c>
      <c r="L86" s="108">
        <v>6424.9720000000025</v>
      </c>
      <c r="M86" s="108">
        <v>5701.9778333333315</v>
      </c>
      <c r="N86" s="108">
        <v>5586.551166666668</v>
      </c>
      <c r="O86" s="108">
        <v>6413.8744999999972</v>
      </c>
      <c r="P86" s="108">
        <v>6304.8538333333317</v>
      </c>
      <c r="Q86" s="108">
        <v>6021.8040000000001</v>
      </c>
      <c r="R86" s="108">
        <v>6680.9721666666637</v>
      </c>
      <c r="S86" s="108">
        <v>5511.5961666666626</v>
      </c>
      <c r="T86" s="108">
        <v>6475.3565000000008</v>
      </c>
      <c r="U86" s="108">
        <v>6709.0770000000039</v>
      </c>
      <c r="V86" s="108">
        <v>6847.7948333333325</v>
      </c>
      <c r="W86" s="108">
        <v>6654.2816666666695</v>
      </c>
      <c r="X86" s="108">
        <v>6129.0856666666668</v>
      </c>
      <c r="Y86" s="108">
        <v>6889.3106666666654</v>
      </c>
      <c r="Z86" s="108">
        <v>6144.1769999999997</v>
      </c>
      <c r="AA86" s="108">
        <v>6493.4608333333308</v>
      </c>
      <c r="AB86" s="108">
        <v>6661.3551666666654</v>
      </c>
      <c r="AC86" s="108">
        <v>6780.0881666666646</v>
      </c>
      <c r="AD86" s="108">
        <v>6645.4421666666685</v>
      </c>
      <c r="AE86" s="108">
        <v>5748.1826666666648</v>
      </c>
      <c r="AF86" s="108">
        <v>4235.8486666666677</v>
      </c>
      <c r="AG86" s="108">
        <v>6787.9279999999972</v>
      </c>
      <c r="AH86" s="108">
        <v>6570.1851666666735</v>
      </c>
      <c r="AI86" s="108">
        <v>6641.0050000000001</v>
      </c>
      <c r="AJ86" s="108">
        <v>6335.2666666666655</v>
      </c>
      <c r="AK86" s="108">
        <v>6956.6493333333347</v>
      </c>
      <c r="AL86" s="108">
        <v>7011.6138333333356</v>
      </c>
      <c r="AM86" s="108">
        <v>6255.2295000000013</v>
      </c>
      <c r="AN86" s="108">
        <v>7155.9364999999971</v>
      </c>
      <c r="AO86" s="108">
        <v>7186.7478333333311</v>
      </c>
      <c r="AP86" s="108">
        <v>6942.9288333333352</v>
      </c>
      <c r="AQ86" s="108">
        <v>7161.6476666666676</v>
      </c>
      <c r="AR86" s="108">
        <v>4364.0368333333345</v>
      </c>
      <c r="AS86" s="108">
        <v>4718.1726666666664</v>
      </c>
      <c r="AT86" s="108">
        <v>4435.5866666666652</v>
      </c>
      <c r="AU86" s="108">
        <v>4999.6448333333328</v>
      </c>
      <c r="AV86" s="108">
        <v>3995.6319999999996</v>
      </c>
      <c r="AW86" s="108">
        <f t="shared" ref="AW86:AW87" si="11">SUM(E86:AV86)/1000</f>
        <v>270.62418683333334</v>
      </c>
    </row>
    <row r="87" spans="1:49">
      <c r="A87" s="149">
        <v>45829</v>
      </c>
      <c r="B87" s="150">
        <f>YEAR(Table7[[#This Row],[Date]])+IF(MONTH(Table7[[#This Row],[Date]])&gt;=4,1,0)</f>
        <v>2026</v>
      </c>
      <c r="C87" s="151">
        <f>YEAR(Table7[[#This Row],[Date]])</f>
        <v>2025</v>
      </c>
      <c r="D87" s="152">
        <f>Daily_KPI[[#This Row],[Date]]-DAY(Daily_KPI[[#This Row],[Date]])+1</f>
        <v>45809</v>
      </c>
      <c r="E87" s="108">
        <v>6659.6316666666671</v>
      </c>
      <c r="F87" s="108">
        <v>6339.9976666666707</v>
      </c>
      <c r="G87" s="108">
        <v>6052.7018333333317</v>
      </c>
      <c r="H87" s="108">
        <v>6227.5328333333346</v>
      </c>
      <c r="I87" s="108">
        <v>6470.0028333333321</v>
      </c>
      <c r="J87" s="108">
        <v>6420.4954999999982</v>
      </c>
      <c r="K87" s="108">
        <v>6387.555833333332</v>
      </c>
      <c r="L87" s="108">
        <v>5677.1194999999998</v>
      </c>
      <c r="M87" s="108">
        <v>4901.5461666666661</v>
      </c>
      <c r="N87" s="108">
        <v>5271.7800000000016</v>
      </c>
      <c r="O87" s="108">
        <v>5786.680333333331</v>
      </c>
      <c r="P87" s="108">
        <v>6323.109999999996</v>
      </c>
      <c r="Q87" s="108">
        <v>2235.5460000000003</v>
      </c>
      <c r="R87" s="108">
        <v>6116.4796666666671</v>
      </c>
      <c r="S87" s="108">
        <v>5696.2678333333324</v>
      </c>
      <c r="T87" s="108">
        <v>5912.3576666666677</v>
      </c>
      <c r="U87" s="108">
        <v>5909.1299999999983</v>
      </c>
      <c r="V87" s="108">
        <v>6170.6836666666641</v>
      </c>
      <c r="W87" s="108">
        <v>6075.4401666666663</v>
      </c>
      <c r="X87" s="108">
        <v>5441.1674999999996</v>
      </c>
      <c r="Y87" s="108">
        <v>6231.5551666666679</v>
      </c>
      <c r="Z87" s="108">
        <v>5983.7390000000023</v>
      </c>
      <c r="AA87" s="108">
        <v>5910.0125000000035</v>
      </c>
      <c r="AB87" s="108">
        <v>6122.600666666669</v>
      </c>
      <c r="AC87" s="108">
        <v>6135.4045000000033</v>
      </c>
      <c r="AD87" s="108">
        <v>5940.9313333333303</v>
      </c>
      <c r="AE87" s="108">
        <v>5417.364833333334</v>
      </c>
      <c r="AF87" s="108">
        <v>5844.1523333333325</v>
      </c>
      <c r="AG87" s="108">
        <v>4775.7425000000003</v>
      </c>
      <c r="AH87" s="108">
        <v>6270.2241666666623</v>
      </c>
      <c r="AI87" s="108">
        <v>5704.9481666666652</v>
      </c>
      <c r="AJ87" s="108">
        <v>5703.3198333333312</v>
      </c>
      <c r="AK87" s="108">
        <v>6420.3009999999995</v>
      </c>
      <c r="AL87" s="108">
        <v>6406.5085000000008</v>
      </c>
      <c r="AM87" s="108">
        <v>5621.8919999999998</v>
      </c>
      <c r="AN87" s="108">
        <v>6699.6246666666702</v>
      </c>
      <c r="AO87" s="108">
        <v>6702.5933333333296</v>
      </c>
      <c r="AP87" s="108">
        <v>6419.8313333333308</v>
      </c>
      <c r="AQ87" s="108">
        <v>6610.8013333333365</v>
      </c>
      <c r="AR87" s="108">
        <v>5774.6381666666675</v>
      </c>
      <c r="AS87" s="108">
        <v>6312.0425000000023</v>
      </c>
      <c r="AT87" s="108">
        <v>6483.8116666666656</v>
      </c>
      <c r="AU87" s="108">
        <v>6721.9731666666639</v>
      </c>
      <c r="AV87" s="108">
        <v>6593.5778333333292</v>
      </c>
      <c r="AW87" s="108">
        <f t="shared" si="11"/>
        <v>262.88281716666665</v>
      </c>
    </row>
    <row r="88" spans="1:49">
      <c r="A88" s="145">
        <v>45830</v>
      </c>
      <c r="B88" s="146">
        <f>YEAR(Table7[[#This Row],[Date]])+IF(MONTH(Table7[[#This Row],[Date]])&gt;=4,1,0)</f>
        <v>2026</v>
      </c>
      <c r="C88" s="147">
        <f>YEAR(Table7[[#This Row],[Date]])</f>
        <v>2025</v>
      </c>
      <c r="D88" s="148">
        <f>Daily_KPI[[#This Row],[Date]]-DAY(Daily_KPI[[#This Row],[Date]])+1</f>
        <v>45809</v>
      </c>
      <c r="E88" s="108">
        <v>6583.8866666666645</v>
      </c>
      <c r="F88" s="108">
        <v>5830.8216666666704</v>
      </c>
      <c r="G88" s="108">
        <v>5246.4411666666647</v>
      </c>
      <c r="H88" s="108">
        <v>6318.4368333333332</v>
      </c>
      <c r="I88" s="108">
        <v>6203.3966666666647</v>
      </c>
      <c r="J88" s="108">
        <v>6117.9949999999999</v>
      </c>
      <c r="K88" s="108">
        <v>6338.5656666666646</v>
      </c>
      <c r="L88" s="108">
        <v>5697.4095000000025</v>
      </c>
      <c r="M88" s="108">
        <v>4384.9763333333349</v>
      </c>
      <c r="N88" s="108">
        <v>5078.9801666666672</v>
      </c>
      <c r="O88" s="108">
        <v>5240.7543333333342</v>
      </c>
      <c r="P88" s="108">
        <v>6671.3316666666688</v>
      </c>
      <c r="Q88" s="108">
        <v>6727.0455000000047</v>
      </c>
      <c r="R88" s="108">
        <v>5643.1863333333358</v>
      </c>
      <c r="S88" s="108">
        <v>5612.7780000000012</v>
      </c>
      <c r="T88" s="108">
        <v>5657.7346666666635</v>
      </c>
      <c r="U88" s="108">
        <v>6207.9146666666666</v>
      </c>
      <c r="V88" s="108">
        <v>5658.5565000000024</v>
      </c>
      <c r="W88" s="108">
        <v>5415.6376666666665</v>
      </c>
      <c r="X88" s="108">
        <v>4711.8904999999977</v>
      </c>
      <c r="Y88" s="108">
        <v>6230.4935000000014</v>
      </c>
      <c r="Z88" s="108">
        <v>5053.217333333333</v>
      </c>
      <c r="AA88" s="108">
        <v>5589.8710000000019</v>
      </c>
      <c r="AB88" s="108">
        <v>5832.5966666666673</v>
      </c>
      <c r="AC88" s="108">
        <v>6256.0938333333324</v>
      </c>
      <c r="AD88" s="108">
        <v>6208.1559999999999</v>
      </c>
      <c r="AE88" s="108">
        <v>4659.560333333332</v>
      </c>
      <c r="AF88" s="108">
        <v>5303.0651666666636</v>
      </c>
      <c r="AG88" s="108">
        <v>5882.2280000000019</v>
      </c>
      <c r="AH88" s="108">
        <v>5746.4926666666679</v>
      </c>
      <c r="AI88" s="108">
        <v>5537.3318333333336</v>
      </c>
      <c r="AJ88" s="108">
        <v>4734.2418333333344</v>
      </c>
      <c r="AK88" s="108">
        <v>6074.0483333333332</v>
      </c>
      <c r="AL88" s="108">
        <v>6483.6773333333294</v>
      </c>
      <c r="AM88" s="108">
        <v>5108.9233333333323</v>
      </c>
      <c r="AN88" s="108">
        <v>6782.5423333333338</v>
      </c>
      <c r="AO88" s="108">
        <v>6756.0310000000018</v>
      </c>
      <c r="AP88" s="108">
        <v>6352.7163333333347</v>
      </c>
      <c r="AQ88" s="108">
        <v>6674.6140000000014</v>
      </c>
      <c r="AR88" s="108">
        <v>5918.9604999999974</v>
      </c>
      <c r="AS88" s="108">
        <v>6528.425000000002</v>
      </c>
      <c r="AT88" s="108">
        <v>5121.6359999999986</v>
      </c>
      <c r="AU88" s="108">
        <v>6884.8321666666679</v>
      </c>
      <c r="AV88" s="108">
        <v>6729.9696666666678</v>
      </c>
      <c r="AW88" s="108">
        <f t="shared" si="7"/>
        <v>257.79746366666666</v>
      </c>
    </row>
    <row r="89" spans="1:49">
      <c r="A89" s="149">
        <v>45831</v>
      </c>
      <c r="B89" s="150">
        <f>YEAR(Table7[[#This Row],[Date]])+IF(MONTH(Table7[[#This Row],[Date]])&gt;=4,1,0)</f>
        <v>2026</v>
      </c>
      <c r="C89" s="151">
        <f>YEAR(Table7[[#This Row],[Date]])</f>
        <v>2025</v>
      </c>
      <c r="D89" s="152">
        <f>Daily_KPI[[#This Row],[Date]]-DAY(Daily_KPI[[#This Row],[Date]])+1</f>
        <v>45809</v>
      </c>
      <c r="E89" s="108">
        <v>5866.716166666668</v>
      </c>
      <c r="F89" s="108">
        <v>5703.2975000000015</v>
      </c>
      <c r="G89" s="108">
        <v>5999.0349999999999</v>
      </c>
      <c r="H89" s="108">
        <v>6290.0395000000017</v>
      </c>
      <c r="I89" s="108">
        <v>6713.1671666666671</v>
      </c>
      <c r="J89" s="108">
        <v>6682.7021666666651</v>
      </c>
      <c r="K89" s="108">
        <v>5815.6989999999996</v>
      </c>
      <c r="L89" s="108">
        <v>5944.8578333333307</v>
      </c>
      <c r="M89" s="108">
        <v>4839.5424999999987</v>
      </c>
      <c r="N89" s="108">
        <v>5600.5531666666684</v>
      </c>
      <c r="O89" s="108">
        <v>6303.2343333333329</v>
      </c>
      <c r="P89" s="108">
        <v>6586.902166666664</v>
      </c>
      <c r="Q89" s="108">
        <v>6695.7135000000007</v>
      </c>
      <c r="R89" s="108">
        <v>6354.9646666666695</v>
      </c>
      <c r="S89" s="108">
        <v>6140.4793333333364</v>
      </c>
      <c r="T89" s="108">
        <v>6380.9524999999994</v>
      </c>
      <c r="U89" s="108">
        <v>6362.0679999999984</v>
      </c>
      <c r="V89" s="108">
        <v>5728.6393333333317</v>
      </c>
      <c r="W89" s="108">
        <v>6587.0380000000014</v>
      </c>
      <c r="X89" s="108">
        <v>6323.8801666666632</v>
      </c>
      <c r="Y89" s="108">
        <v>6594.3611666666666</v>
      </c>
      <c r="Z89" s="108">
        <v>6434.1806666666707</v>
      </c>
      <c r="AA89" s="108">
        <v>6429.1021666666647</v>
      </c>
      <c r="AB89" s="108">
        <v>6496.4049999999997</v>
      </c>
      <c r="AC89" s="108">
        <v>6539.1023333333351</v>
      </c>
      <c r="AD89" s="108">
        <v>6449.8675000000003</v>
      </c>
      <c r="AE89" s="108">
        <v>5037.1646666666666</v>
      </c>
      <c r="AF89" s="108">
        <v>4636.2876666666671</v>
      </c>
      <c r="AG89" s="108">
        <v>5851.552833333335</v>
      </c>
      <c r="AH89" s="108">
        <v>7206.7533333333367</v>
      </c>
      <c r="AI89" s="108">
        <v>6483.7225000000008</v>
      </c>
      <c r="AJ89" s="108">
        <v>6267.5246666666653</v>
      </c>
      <c r="AK89" s="108">
        <v>6129.2783333333327</v>
      </c>
      <c r="AL89" s="108">
        <v>6580.1084999999975</v>
      </c>
      <c r="AM89" s="108">
        <v>6284.4951666666702</v>
      </c>
      <c r="AN89" s="108">
        <v>6793.8663333333316</v>
      </c>
      <c r="AO89" s="108">
        <v>6807.8904999999986</v>
      </c>
      <c r="AP89" s="108">
        <v>6733.0395000000035</v>
      </c>
      <c r="AQ89" s="108">
        <v>6792.435333333332</v>
      </c>
      <c r="AR89" s="108">
        <v>5238.3080000000036</v>
      </c>
      <c r="AS89" s="108">
        <v>5436.182333333335</v>
      </c>
      <c r="AT89" s="108">
        <v>4191.5123333333331</v>
      </c>
      <c r="AU89" s="108">
        <v>5694.8506666666653</v>
      </c>
      <c r="AV89" s="108">
        <v>5911.8284999999996</v>
      </c>
      <c r="AW89" s="108">
        <f t="shared" si="7"/>
        <v>269.93930200000011</v>
      </c>
    </row>
    <row r="90" spans="1:49">
      <c r="A90" s="145">
        <v>45832</v>
      </c>
      <c r="B90" s="146">
        <f>YEAR(Table7[[#This Row],[Date]])+IF(MONTH(Table7[[#This Row],[Date]])&gt;=4,1,0)</f>
        <v>2026</v>
      </c>
      <c r="C90" s="147">
        <f>YEAR(Table7[[#This Row],[Date]])</f>
        <v>2025</v>
      </c>
      <c r="D90" s="148">
        <f>Daily_KPI[[#This Row],[Date]]-DAY(Daily_KPI[[#This Row],[Date]])+1</f>
        <v>45809</v>
      </c>
      <c r="E90" s="108">
        <v>7180.0408333333326</v>
      </c>
      <c r="F90" s="108">
        <v>6783.0503333333327</v>
      </c>
      <c r="G90" s="108">
        <v>7102.9886666666707</v>
      </c>
      <c r="H90" s="108">
        <v>7326.6253333333361</v>
      </c>
      <c r="I90" s="108">
        <v>7408.4394999999968</v>
      </c>
      <c r="J90" s="108">
        <v>7231.4666666666644</v>
      </c>
      <c r="K90" s="108">
        <v>6892.5213333333313</v>
      </c>
      <c r="L90" s="108">
        <v>7089.5111666666699</v>
      </c>
      <c r="M90" s="108">
        <v>6184.1808333333329</v>
      </c>
      <c r="N90" s="108">
        <v>6685.4179999999978</v>
      </c>
      <c r="O90" s="108">
        <v>6964.5053333333353</v>
      </c>
      <c r="P90" s="108">
        <v>7391.2921666666671</v>
      </c>
      <c r="Q90" s="108">
        <v>7488.192</v>
      </c>
      <c r="R90" s="108">
        <v>6669.7915000000021</v>
      </c>
      <c r="S90" s="108">
        <v>6718.3311666666659</v>
      </c>
      <c r="T90" s="108">
        <v>7217.416666666667</v>
      </c>
      <c r="U90" s="108">
        <v>6843.2631666666666</v>
      </c>
      <c r="V90" s="108">
        <v>7208.5606666666654</v>
      </c>
      <c r="W90" s="108">
        <v>7078.3774999999996</v>
      </c>
      <c r="X90" s="108">
        <v>6754.8073333333332</v>
      </c>
      <c r="Y90" s="108">
        <v>7284.4663333333328</v>
      </c>
      <c r="Z90" s="108">
        <v>6980.916500000003</v>
      </c>
      <c r="AA90" s="108">
        <v>7168.463499999998</v>
      </c>
      <c r="AB90" s="108">
        <v>7061.3491666666669</v>
      </c>
      <c r="AC90" s="108">
        <v>7445.6686666666692</v>
      </c>
      <c r="AD90" s="108">
        <v>7389.7211666666626</v>
      </c>
      <c r="AE90" s="108">
        <v>6637.528666666668</v>
      </c>
      <c r="AF90" s="108">
        <v>6344.4166666666688</v>
      </c>
      <c r="AG90" s="108">
        <v>5368.4883333333337</v>
      </c>
      <c r="AH90" s="108">
        <v>6695.3844999999974</v>
      </c>
      <c r="AI90" s="108">
        <v>7106.450666666663</v>
      </c>
      <c r="AJ90" s="108">
        <v>6439.2620000000015</v>
      </c>
      <c r="AK90" s="108">
        <v>7154.0121666666664</v>
      </c>
      <c r="AL90" s="108">
        <v>7415.3253333333369</v>
      </c>
      <c r="AM90" s="108">
        <v>6919.3678333333328</v>
      </c>
      <c r="AN90" s="108">
        <v>7547.5139999999992</v>
      </c>
      <c r="AO90" s="108">
        <v>7422.7366666666649</v>
      </c>
      <c r="AP90" s="108">
        <v>7498.5644999999977</v>
      </c>
      <c r="AQ90" s="108">
        <v>7521.1363333333329</v>
      </c>
      <c r="AR90" s="108">
        <v>5457.9363333333331</v>
      </c>
      <c r="AS90" s="108">
        <v>6946.3966666666647</v>
      </c>
      <c r="AT90" s="108">
        <v>5228.7268333333332</v>
      </c>
      <c r="AU90" s="108">
        <v>7076.0649999999987</v>
      </c>
      <c r="AV90" s="108">
        <v>7170.773000000001</v>
      </c>
      <c r="AW90" s="108">
        <f t="shared" si="7"/>
        <v>305.49945099999997</v>
      </c>
    </row>
    <row r="91" spans="1:49">
      <c r="A91" s="149">
        <v>45833</v>
      </c>
      <c r="B91" s="150">
        <f>YEAR(Table7[[#This Row],[Date]])+IF(MONTH(Table7[[#This Row],[Date]])&gt;=4,1,0)</f>
        <v>2026</v>
      </c>
      <c r="C91" s="151">
        <f>YEAR(Table7[[#This Row],[Date]])</f>
        <v>2025</v>
      </c>
      <c r="D91" s="152">
        <f>Daily_KPI[[#This Row],[Date]]-DAY(Daily_KPI[[#This Row],[Date]])+1</f>
        <v>45809</v>
      </c>
      <c r="E91" s="108">
        <v>6975.6901666666672</v>
      </c>
      <c r="F91" s="108">
        <v>6827.2260000000024</v>
      </c>
      <c r="G91" s="108">
        <v>6315.4611666666642</v>
      </c>
      <c r="H91" s="108">
        <v>6471.6671666666671</v>
      </c>
      <c r="I91" s="108">
        <v>6827.0421666666689</v>
      </c>
      <c r="J91" s="108">
        <v>6889.1716666666716</v>
      </c>
      <c r="K91" s="108">
        <v>6924.7906666666677</v>
      </c>
      <c r="L91" s="108">
        <v>6145.4644999999973</v>
      </c>
      <c r="M91" s="108">
        <v>5133.3701666666666</v>
      </c>
      <c r="N91" s="108">
        <v>5276.4023333333325</v>
      </c>
      <c r="O91" s="108">
        <v>6261.4340000000011</v>
      </c>
      <c r="P91" s="108">
        <v>6759.471499999996</v>
      </c>
      <c r="Q91" s="108">
        <v>6871.9138333333349</v>
      </c>
      <c r="R91" s="108">
        <v>6335.8121666666666</v>
      </c>
      <c r="S91" s="108">
        <v>5956.6151666666665</v>
      </c>
      <c r="T91" s="108">
        <v>6227.7500000000045</v>
      </c>
      <c r="U91" s="108">
        <v>6440.5951666666706</v>
      </c>
      <c r="V91" s="108">
        <v>6558.8831666666701</v>
      </c>
      <c r="W91" s="108">
        <v>6280.1349999999984</v>
      </c>
      <c r="X91" s="108">
        <v>5831.2159999999994</v>
      </c>
      <c r="Y91" s="108">
        <v>6710.6286666666647</v>
      </c>
      <c r="Z91" s="108">
        <v>6264.9306666666635</v>
      </c>
      <c r="AA91" s="108">
        <v>5659.8413333333338</v>
      </c>
      <c r="AB91" s="108">
        <v>5445.4488333333338</v>
      </c>
      <c r="AC91" s="108">
        <v>6476.0639999999985</v>
      </c>
      <c r="AD91" s="108">
        <v>6434.4208333333336</v>
      </c>
      <c r="AE91" s="108">
        <v>5704.633833333336</v>
      </c>
      <c r="AF91" s="108">
        <v>6258.8876666666683</v>
      </c>
      <c r="AG91" s="108">
        <v>6875.7290000000003</v>
      </c>
      <c r="AH91" s="108">
        <v>6698.6756666666652</v>
      </c>
      <c r="AI91" s="108">
        <v>6282.874499999999</v>
      </c>
      <c r="AJ91" s="108">
        <v>6125.8471666666628</v>
      </c>
      <c r="AK91" s="108">
        <v>5502.8623333333308</v>
      </c>
      <c r="AL91" s="108">
        <v>6851.243333333332</v>
      </c>
      <c r="AM91" s="108">
        <v>5842.9413333333323</v>
      </c>
      <c r="AN91" s="108">
        <v>7019.1613333333362</v>
      </c>
      <c r="AO91" s="108">
        <v>7009.6993333333339</v>
      </c>
      <c r="AP91" s="108">
        <v>6740.0715000000064</v>
      </c>
      <c r="AQ91" s="108">
        <v>6999.0613333333313</v>
      </c>
      <c r="AR91" s="108">
        <v>6422.9723333333377</v>
      </c>
      <c r="AS91" s="108">
        <v>6893.3864999999996</v>
      </c>
      <c r="AT91" s="108">
        <v>5277.7251666666662</v>
      </c>
      <c r="AU91" s="108">
        <v>7113.4704999999994</v>
      </c>
      <c r="AV91" s="108">
        <v>7060.1491666666707</v>
      </c>
      <c r="AW91" s="108">
        <f t="shared" si="7"/>
        <v>280.98083833333328</v>
      </c>
    </row>
    <row r="92" spans="1:49">
      <c r="A92" s="145">
        <v>45834</v>
      </c>
      <c r="B92" s="146">
        <f>YEAR(Table7[[#This Row],[Date]])+IF(MONTH(Table7[[#This Row],[Date]])&gt;=4,1,0)</f>
        <v>2026</v>
      </c>
      <c r="C92" s="147">
        <f>YEAR(Table7[[#This Row],[Date]])</f>
        <v>2025</v>
      </c>
      <c r="D92" s="148">
        <f>Daily_KPI[[#This Row],[Date]]-DAY(Daily_KPI[[#This Row],[Date]])+1</f>
        <v>45809</v>
      </c>
      <c r="E92" s="108">
        <v>7038.3843333333343</v>
      </c>
      <c r="F92" s="108">
        <v>6866.5471666666699</v>
      </c>
      <c r="G92" s="108">
        <v>6123.4253333333299</v>
      </c>
      <c r="H92" s="108">
        <v>6819.2295000000013</v>
      </c>
      <c r="I92" s="108">
        <v>6959.8859999999986</v>
      </c>
      <c r="J92" s="108">
        <v>6953.5618333333332</v>
      </c>
      <c r="K92" s="108">
        <v>6885.9378333333307</v>
      </c>
      <c r="L92" s="108">
        <v>5890.6495000000004</v>
      </c>
      <c r="M92" s="108">
        <v>5044.1521666666686</v>
      </c>
      <c r="N92" s="108">
        <v>5076.7728333333334</v>
      </c>
      <c r="O92" s="108">
        <v>5864.1828333333351</v>
      </c>
      <c r="P92" s="108">
        <v>6532.8676666666643</v>
      </c>
      <c r="Q92" s="108">
        <v>6819.877166666668</v>
      </c>
      <c r="R92" s="108">
        <v>6475.3576666666695</v>
      </c>
      <c r="S92" s="108">
        <v>5844.4979999999996</v>
      </c>
      <c r="T92" s="108">
        <v>6007.1205000000009</v>
      </c>
      <c r="U92" s="108">
        <v>6124.225833333333</v>
      </c>
      <c r="V92" s="108">
        <v>6384.1990000000042</v>
      </c>
      <c r="W92" s="108">
        <v>6478.1436666666705</v>
      </c>
      <c r="X92" s="108">
        <v>5819.5095000000001</v>
      </c>
      <c r="Y92" s="108">
        <v>6733.9510000000009</v>
      </c>
      <c r="Z92" s="108">
        <v>6206.3381666666619</v>
      </c>
      <c r="AA92" s="108">
        <v>6072.9910000000027</v>
      </c>
      <c r="AB92" s="108">
        <v>6475.3080000000018</v>
      </c>
      <c r="AC92" s="108">
        <v>6402.4436666666661</v>
      </c>
      <c r="AD92" s="108">
        <v>6139.5689999999995</v>
      </c>
      <c r="AE92" s="108">
        <v>5003.2673333333341</v>
      </c>
      <c r="AF92" s="108">
        <v>6003.9678333333322</v>
      </c>
      <c r="AG92" s="108">
        <v>6884.6648333333324</v>
      </c>
      <c r="AH92" s="108">
        <v>6576.471333333332</v>
      </c>
      <c r="AI92" s="108">
        <v>5838.7491666666674</v>
      </c>
      <c r="AJ92" s="108">
        <v>6264.3183333333336</v>
      </c>
      <c r="AK92" s="108">
        <v>5956.3338333333368</v>
      </c>
      <c r="AL92" s="108">
        <v>6762.1843333333336</v>
      </c>
      <c r="AM92" s="108">
        <v>5819.7331666666651</v>
      </c>
      <c r="AN92" s="108">
        <v>7229.1746666666668</v>
      </c>
      <c r="AO92" s="108">
        <v>7186.16366666666</v>
      </c>
      <c r="AP92" s="108">
        <v>6712.3666666666622</v>
      </c>
      <c r="AQ92" s="108">
        <v>7107.2930000000015</v>
      </c>
      <c r="AR92" s="108">
        <v>5723.0363333333335</v>
      </c>
      <c r="AS92" s="108">
        <v>6536.4550000000017</v>
      </c>
      <c r="AT92" s="108">
        <v>5352.4740000000011</v>
      </c>
      <c r="AU92" s="108">
        <v>7074.4191666666666</v>
      </c>
      <c r="AV92" s="108">
        <v>7001.2428333333337</v>
      </c>
      <c r="AW92" s="108">
        <f t="shared" si="7"/>
        <v>279.07144466666659</v>
      </c>
    </row>
    <row r="93" spans="1:49">
      <c r="A93" s="149">
        <v>45835</v>
      </c>
      <c r="B93" s="150">
        <f>YEAR(Table7[[#This Row],[Date]])+IF(MONTH(Table7[[#This Row],[Date]])&gt;=4,1,0)</f>
        <v>2026</v>
      </c>
      <c r="C93" s="151">
        <f>YEAR(Table7[[#This Row],[Date]])</f>
        <v>2025</v>
      </c>
      <c r="D93" s="152">
        <f>Daily_KPI[[#This Row],[Date]]-DAY(Daily_KPI[[#This Row],[Date]])+1</f>
        <v>45809</v>
      </c>
      <c r="E93" s="108">
        <v>7139.6518333333324</v>
      </c>
      <c r="F93" s="108">
        <v>6754.3646666666646</v>
      </c>
      <c r="G93" s="108">
        <v>5168.5133333333351</v>
      </c>
      <c r="H93" s="108">
        <v>6895.372999999996</v>
      </c>
      <c r="I93" s="108">
        <v>6603.8266666666632</v>
      </c>
      <c r="J93" s="108">
        <v>6949.290333333337</v>
      </c>
      <c r="K93" s="108">
        <v>6815.8991666666661</v>
      </c>
      <c r="L93" s="108">
        <v>5779.5234999999984</v>
      </c>
      <c r="M93" s="108">
        <v>5219.4050000000034</v>
      </c>
      <c r="N93" s="108">
        <v>4717.4038333333347</v>
      </c>
      <c r="O93" s="108">
        <v>5320.7400000000016</v>
      </c>
      <c r="P93" s="108">
        <v>6283.0565000000024</v>
      </c>
      <c r="Q93" s="108">
        <v>6643.2353333333331</v>
      </c>
      <c r="R93" s="108">
        <v>6532.4994999999981</v>
      </c>
      <c r="S93" s="108">
        <v>5597.7541666666684</v>
      </c>
      <c r="T93" s="108">
        <v>5758.8253333333314</v>
      </c>
      <c r="U93" s="108">
        <v>5407.695333333334</v>
      </c>
      <c r="V93" s="108">
        <v>5590.7441666666646</v>
      </c>
      <c r="W93" s="108">
        <v>6275.9056666666684</v>
      </c>
      <c r="X93" s="108">
        <v>5172.1634999999997</v>
      </c>
      <c r="Y93" s="108">
        <v>6705.6853333333302</v>
      </c>
      <c r="Z93" s="108">
        <v>6254.2293333333328</v>
      </c>
      <c r="AA93" s="108">
        <v>5936.2053333333315</v>
      </c>
      <c r="AB93" s="108">
        <v>5536.0786666666645</v>
      </c>
      <c r="AC93" s="108">
        <v>6242.1628333333292</v>
      </c>
      <c r="AD93" s="108">
        <v>5825.0175000000008</v>
      </c>
      <c r="AE93" s="108">
        <v>3707.1595000000011</v>
      </c>
      <c r="AF93" s="108">
        <v>5731.9080000000004</v>
      </c>
      <c r="AG93" s="108">
        <v>6803.0435000000034</v>
      </c>
      <c r="AH93" s="108">
        <v>6561.3084999999983</v>
      </c>
      <c r="AI93" s="108">
        <v>4766.1503333333303</v>
      </c>
      <c r="AJ93" s="108">
        <v>5810.3300000000008</v>
      </c>
      <c r="AK93" s="108">
        <v>6502.6399999999994</v>
      </c>
      <c r="AL93" s="108">
        <v>6003.4558333333343</v>
      </c>
      <c r="AM93" s="108">
        <v>5538.9958333333334</v>
      </c>
      <c r="AN93" s="108">
        <v>7414.3101666666735</v>
      </c>
      <c r="AO93" s="108">
        <v>7336.0730000000067</v>
      </c>
      <c r="AP93" s="108">
        <v>6038.7615000000014</v>
      </c>
      <c r="AQ93" s="108">
        <v>7011.7560000000003</v>
      </c>
      <c r="AR93" s="108">
        <v>5353.7875000000022</v>
      </c>
      <c r="AS93" s="108">
        <v>6204.9471666666641</v>
      </c>
      <c r="AT93" s="108">
        <v>6907.5980000000009</v>
      </c>
      <c r="AU93" s="108">
        <v>7483.7256666666644</v>
      </c>
      <c r="AV93" s="108">
        <v>7277.1416666666728</v>
      </c>
      <c r="AW93" s="108">
        <f t="shared" si="7"/>
        <v>269.57834199999996</v>
      </c>
    </row>
    <row r="94" spans="1:49">
      <c r="A94" s="145">
        <v>45836</v>
      </c>
      <c r="B94" s="146">
        <f>YEAR(Table7[[#This Row],[Date]])+IF(MONTH(Table7[[#This Row],[Date]])&gt;=4,1,0)</f>
        <v>2026</v>
      </c>
      <c r="C94" s="147">
        <f>YEAR(Table7[[#This Row],[Date]])</f>
        <v>2025</v>
      </c>
      <c r="D94" s="148">
        <f>Daily_KPI[[#This Row],[Date]]-DAY(Daily_KPI[[#This Row],[Date]])+1</f>
        <v>45809</v>
      </c>
      <c r="E94" s="108">
        <v>6965.8996666666671</v>
      </c>
      <c r="F94" s="108">
        <v>6559.1326666666655</v>
      </c>
      <c r="G94" s="108">
        <v>4978.6546666666663</v>
      </c>
      <c r="H94" s="108">
        <v>6654.9896666666655</v>
      </c>
      <c r="I94" s="108">
        <v>6651.3239999999996</v>
      </c>
      <c r="J94" s="108">
        <v>6942.4448333333339</v>
      </c>
      <c r="K94" s="108">
        <v>6670.6955000000007</v>
      </c>
      <c r="L94" s="108">
        <v>5818.2255000000005</v>
      </c>
      <c r="M94" s="108">
        <v>4891.3441666666668</v>
      </c>
      <c r="N94" s="108">
        <v>4832.0628333333334</v>
      </c>
      <c r="O94" s="108">
        <v>5700.3218333333343</v>
      </c>
      <c r="P94" s="108">
        <v>6660.7653333333337</v>
      </c>
      <c r="Q94" s="108">
        <v>6990.3428333333359</v>
      </c>
      <c r="R94" s="108">
        <v>6563.24866666667</v>
      </c>
      <c r="S94" s="108">
        <v>5803.1265000000012</v>
      </c>
      <c r="T94" s="108">
        <v>6018.9614999999976</v>
      </c>
      <c r="U94" s="108">
        <v>6117.8065000000024</v>
      </c>
      <c r="V94" s="108">
        <v>5398.7461666666695</v>
      </c>
      <c r="W94" s="108">
        <v>6384.7781666666624</v>
      </c>
      <c r="X94" s="108">
        <v>5524.350833333333</v>
      </c>
      <c r="Y94" s="108">
        <v>6601.7776666666678</v>
      </c>
      <c r="Z94" s="108">
        <v>5623.3275000000003</v>
      </c>
      <c r="AA94" s="108">
        <v>5754.5066666666653</v>
      </c>
      <c r="AB94" s="108">
        <v>6143.3246666666664</v>
      </c>
      <c r="AC94" s="108">
        <v>6297.4178333333366</v>
      </c>
      <c r="AD94" s="108">
        <v>6076.5666666666693</v>
      </c>
      <c r="AE94" s="108">
        <v>3573.821833333333</v>
      </c>
      <c r="AF94" s="108">
        <v>5518.0513333333329</v>
      </c>
      <c r="AG94" s="108">
        <v>6822.9393333333328</v>
      </c>
      <c r="AH94" s="108">
        <v>6391.2368333333325</v>
      </c>
      <c r="AI94" s="108">
        <v>5598.3669999999993</v>
      </c>
      <c r="AJ94" s="108">
        <v>5914.6036666666687</v>
      </c>
      <c r="AK94" s="108">
        <v>6485.0421666666671</v>
      </c>
      <c r="AL94" s="108">
        <v>6124.2258333333302</v>
      </c>
      <c r="AM94" s="108">
        <v>4833.4201666666659</v>
      </c>
      <c r="AN94" s="108">
        <v>7377.0560000000014</v>
      </c>
      <c r="AO94" s="108">
        <v>7222.4363333333376</v>
      </c>
      <c r="AP94" s="108">
        <v>5974.6951666666646</v>
      </c>
      <c r="AQ94" s="108">
        <v>7017.6493333333374</v>
      </c>
      <c r="AR94" s="108">
        <v>5504.2690000000002</v>
      </c>
      <c r="AS94" s="108">
        <v>6249.5938333333297</v>
      </c>
      <c r="AT94" s="108">
        <v>6813.1671666666689</v>
      </c>
      <c r="AU94" s="108">
        <v>7406.9621666666653</v>
      </c>
      <c r="AV94" s="108">
        <v>7221.945999999999</v>
      </c>
      <c r="AW94" s="108">
        <f t="shared" si="7"/>
        <v>270.67362600000007</v>
      </c>
    </row>
    <row r="95" spans="1:49">
      <c r="A95" s="149">
        <v>45837</v>
      </c>
      <c r="B95" s="150">
        <f>YEAR(Table7[[#This Row],[Date]])+IF(MONTH(Table7[[#This Row],[Date]])&gt;=4,1,0)</f>
        <v>2026</v>
      </c>
      <c r="C95" s="151">
        <f>YEAR(Table7[[#This Row],[Date]])</f>
        <v>2025</v>
      </c>
      <c r="D95" s="152">
        <f>Daily_KPI[[#This Row],[Date]]-DAY(Daily_KPI[[#This Row],[Date]])+1</f>
        <v>45809</v>
      </c>
      <c r="E95" s="108">
        <v>7001.5820000000022</v>
      </c>
      <c r="F95" s="108">
        <v>6380.7983333333323</v>
      </c>
      <c r="G95" s="108">
        <v>5742.7688333333308</v>
      </c>
      <c r="H95" s="108">
        <v>6624.1359999999995</v>
      </c>
      <c r="I95" s="108">
        <v>6106.1249999999991</v>
      </c>
      <c r="J95" s="108">
        <v>6301.1056666666691</v>
      </c>
      <c r="K95" s="108">
        <v>6498.4805000000006</v>
      </c>
      <c r="L95" s="108">
        <v>6054.9704999999958</v>
      </c>
      <c r="M95" s="108">
        <v>4857.7781666666679</v>
      </c>
      <c r="N95" s="108">
        <v>5316.0990000000002</v>
      </c>
      <c r="O95" s="108">
        <v>6275.7118333333347</v>
      </c>
      <c r="P95" s="108">
        <v>6609.5568333333295</v>
      </c>
      <c r="Q95" s="108">
        <v>6914.5768333333299</v>
      </c>
      <c r="R95" s="108">
        <v>5590.3328333333347</v>
      </c>
      <c r="S95" s="108">
        <v>5482.9401666666645</v>
      </c>
      <c r="T95" s="108">
        <v>5948.3239999999978</v>
      </c>
      <c r="U95" s="108">
        <v>6184.868333333332</v>
      </c>
      <c r="V95" s="108">
        <v>5988.0521666666682</v>
      </c>
      <c r="W95" s="108">
        <v>4111.0489999999991</v>
      </c>
      <c r="X95" s="108">
        <v>5021.1751666666669</v>
      </c>
      <c r="Y95" s="108">
        <v>6536.2914999999994</v>
      </c>
      <c r="Z95" s="108">
        <v>5819.3175000000037</v>
      </c>
      <c r="AA95" s="108">
        <v>5980.650999999998</v>
      </c>
      <c r="AB95" s="108">
        <v>5607.4376666666649</v>
      </c>
      <c r="AC95" s="108">
        <v>6430.0545000000047</v>
      </c>
      <c r="AD95" s="108">
        <v>6329.6753333333363</v>
      </c>
      <c r="AE95" s="108">
        <v>4942.7694999999994</v>
      </c>
      <c r="AF95" s="108">
        <v>5605.7589999999982</v>
      </c>
      <c r="AG95" s="108">
        <v>6665.414499999999</v>
      </c>
      <c r="AH95" s="108">
        <v>6322.058</v>
      </c>
      <c r="AI95" s="108">
        <v>5900.3253333333341</v>
      </c>
      <c r="AJ95" s="108">
        <v>5059.4873333333335</v>
      </c>
      <c r="AK95" s="108">
        <v>6301.3351666666667</v>
      </c>
      <c r="AL95" s="108">
        <v>6605.4955</v>
      </c>
      <c r="AM95" s="108">
        <v>5464.242000000002</v>
      </c>
      <c r="AN95" s="108">
        <v>6700.212999999997</v>
      </c>
      <c r="AO95" s="108">
        <v>7101.7161666666643</v>
      </c>
      <c r="AP95" s="108">
        <v>6463.3403333333345</v>
      </c>
      <c r="AQ95" s="108">
        <v>6976.7578333333358</v>
      </c>
      <c r="AR95" s="108">
        <v>6249.7318333333324</v>
      </c>
      <c r="AS95" s="108">
        <v>6791.4521666666687</v>
      </c>
      <c r="AT95" s="108">
        <v>6736.6461666666664</v>
      </c>
      <c r="AU95" s="108">
        <v>7273.2083333333321</v>
      </c>
      <c r="AV95" s="108">
        <v>7022.2299999999959</v>
      </c>
      <c r="AW95" s="108">
        <f t="shared" si="7"/>
        <v>269.8960408333333</v>
      </c>
    </row>
    <row r="96" spans="1:49">
      <c r="A96" s="145">
        <v>45838</v>
      </c>
      <c r="B96" s="146">
        <f>YEAR(Table7[[#This Row],[Date]])+IF(MONTH(Table7[[#This Row],[Date]])&gt;=4,1,0)</f>
        <v>2026</v>
      </c>
      <c r="C96" s="147">
        <f>YEAR(Table7[[#This Row],[Date]])</f>
        <v>2025</v>
      </c>
      <c r="D96" s="148">
        <f>Daily_KPI[[#This Row],[Date]]-DAY(Daily_KPI[[#This Row],[Date]])+1</f>
        <v>45839</v>
      </c>
      <c r="E96" s="108">
        <v>7099.5178333333324</v>
      </c>
      <c r="F96" s="108">
        <v>6753.738833333332</v>
      </c>
      <c r="G96" s="108">
        <v>2314.5129999999999</v>
      </c>
      <c r="H96" s="108">
        <v>6938.8901666666652</v>
      </c>
      <c r="I96" s="108">
        <v>5964.2755000000006</v>
      </c>
      <c r="J96" s="108">
        <v>6725.3620000000019</v>
      </c>
      <c r="K96" s="108">
        <v>6994.8459999999986</v>
      </c>
      <c r="L96" s="108">
        <v>6481.3266666666677</v>
      </c>
      <c r="M96" s="108">
        <v>5425.6866666666656</v>
      </c>
      <c r="N96" s="108">
        <v>5729.3760000000011</v>
      </c>
      <c r="O96" s="108">
        <v>5938.6165000000028</v>
      </c>
      <c r="P96" s="108">
        <v>7031.5761666666695</v>
      </c>
      <c r="Q96" s="108">
        <v>7092.7215000000006</v>
      </c>
      <c r="R96" s="108">
        <v>6280.103666666666</v>
      </c>
      <c r="S96" s="108">
        <v>6149.9771666666675</v>
      </c>
      <c r="T96" s="108">
        <v>6476.3793333333315</v>
      </c>
      <c r="U96" s="108">
        <v>6586.0836666666655</v>
      </c>
      <c r="V96" s="108">
        <v>6687.3988333333355</v>
      </c>
      <c r="W96" s="108">
        <v>6345.739833333334</v>
      </c>
      <c r="X96" s="108">
        <v>5913.9656666666669</v>
      </c>
      <c r="Y96" s="108">
        <v>6855.7659999999996</v>
      </c>
      <c r="Z96" s="108">
        <v>6408.3463333333348</v>
      </c>
      <c r="AA96" s="108">
        <v>6510.7496666666675</v>
      </c>
      <c r="AB96" s="108">
        <v>6683.2285000000011</v>
      </c>
      <c r="AC96" s="108">
        <v>6821.2706666666636</v>
      </c>
      <c r="AD96" s="108">
        <v>6757.0955000000004</v>
      </c>
      <c r="AE96" s="108">
        <v>6001.2534999999998</v>
      </c>
      <c r="AF96" s="108">
        <v>6285.3611666666657</v>
      </c>
      <c r="AG96" s="108">
        <v>6968.947000000001</v>
      </c>
      <c r="AH96" s="108">
        <v>6759.8179999999984</v>
      </c>
      <c r="AI96" s="108">
        <v>6408.5751666666656</v>
      </c>
      <c r="AJ96" s="108">
        <v>5876.2963333333355</v>
      </c>
      <c r="AK96" s="108">
        <v>6756.4683333333296</v>
      </c>
      <c r="AL96" s="108">
        <v>6906.3436666666639</v>
      </c>
      <c r="AM96" s="108">
        <v>6178.1078333333353</v>
      </c>
      <c r="AN96" s="108">
        <v>7192.4428333333335</v>
      </c>
      <c r="AO96" s="108">
        <v>7182.0924999999979</v>
      </c>
      <c r="AP96" s="108">
        <v>6897.8856666666697</v>
      </c>
      <c r="AQ96" s="108">
        <v>7097.1353333333345</v>
      </c>
      <c r="AR96" s="108">
        <v>6502.689666666668</v>
      </c>
      <c r="AS96" s="108">
        <v>6877.3129999999992</v>
      </c>
      <c r="AT96" s="108">
        <v>6999.4611666666669</v>
      </c>
      <c r="AU96" s="108">
        <v>7242.8308333333325</v>
      </c>
      <c r="AV96" s="108">
        <v>7154.143500000001</v>
      </c>
      <c r="AW96" s="108">
        <f t="shared" si="7"/>
        <v>286.25371716666666</v>
      </c>
    </row>
    <row r="97" spans="1:49">
      <c r="A97" s="149">
        <v>45839</v>
      </c>
      <c r="B97" s="150">
        <f>YEAR(Table7[[#This Row],[Date]])+IF(MONTH(Table7[[#This Row],[Date]])&gt;=4,1,0)</f>
        <v>2026</v>
      </c>
      <c r="C97" s="151">
        <f>YEAR(Table7[[#This Row],[Date]])</f>
        <v>2025</v>
      </c>
      <c r="D97" s="152">
        <f>Daily_KPI[[#This Row],[Date]]-DAY(Daily_KPI[[#This Row],[Date]])+1</f>
        <v>45839</v>
      </c>
      <c r="E97" s="108">
        <v>7188.7034999999987</v>
      </c>
      <c r="F97" s="108">
        <v>6561.6218333333318</v>
      </c>
      <c r="G97" s="108">
        <v>2561.7001666666665</v>
      </c>
      <c r="H97" s="108">
        <v>6730.8018333333348</v>
      </c>
      <c r="I97" s="108">
        <v>5526.4326666666648</v>
      </c>
      <c r="J97" s="108">
        <v>5732.6348333333362</v>
      </c>
      <c r="K97" s="108">
        <v>6761.7054999999991</v>
      </c>
      <c r="L97" s="108">
        <v>6128.8739999999952</v>
      </c>
      <c r="M97" s="108">
        <v>4659.2656666666689</v>
      </c>
      <c r="N97" s="108">
        <v>5472.4578333333311</v>
      </c>
      <c r="O97" s="108">
        <v>6092.217999999998</v>
      </c>
      <c r="P97" s="108">
        <v>7055.4888333333338</v>
      </c>
      <c r="Q97" s="108">
        <v>6935.7013333333352</v>
      </c>
      <c r="R97" s="108">
        <v>5987.028833333331</v>
      </c>
      <c r="S97" s="108">
        <v>5625.5335000000014</v>
      </c>
      <c r="T97" s="108">
        <v>6225.7198333333363</v>
      </c>
      <c r="U97" s="108">
        <v>6480.6593333333331</v>
      </c>
      <c r="V97" s="108">
        <v>6553.8446666666641</v>
      </c>
      <c r="W97" s="108">
        <v>5697.3561666666692</v>
      </c>
      <c r="X97" s="108">
        <v>4996.463833333336</v>
      </c>
      <c r="Y97" s="108">
        <v>6535.6228333333347</v>
      </c>
      <c r="Z97" s="108">
        <v>5857.5761666666685</v>
      </c>
      <c r="AA97" s="108">
        <v>6092.4463333333288</v>
      </c>
      <c r="AB97" s="108">
        <v>6385.8539999999994</v>
      </c>
      <c r="AC97" s="108">
        <v>6757.0979999999981</v>
      </c>
      <c r="AD97" s="108">
        <v>6457.2644999999939</v>
      </c>
      <c r="AE97" s="108">
        <v>6165.1033333333326</v>
      </c>
      <c r="AF97" s="108">
        <v>5696.0661666666674</v>
      </c>
      <c r="AG97" s="108">
        <v>6736.610333333334</v>
      </c>
      <c r="AH97" s="108">
        <v>6432.6703333333344</v>
      </c>
      <c r="AI97" s="108">
        <v>6185.600166666668</v>
      </c>
      <c r="AJ97" s="108">
        <v>4588.2133333333322</v>
      </c>
      <c r="AK97" s="108">
        <v>6602.5896666666658</v>
      </c>
      <c r="AL97" s="108">
        <v>6830.792833333333</v>
      </c>
      <c r="AM97" s="108">
        <v>5607.3765000000012</v>
      </c>
      <c r="AN97" s="108">
        <v>7207.1431666666649</v>
      </c>
      <c r="AO97" s="108">
        <v>7241.8500000000049</v>
      </c>
      <c r="AP97" s="108">
        <v>6877.2463333333371</v>
      </c>
      <c r="AQ97" s="108">
        <v>7012.0553333333346</v>
      </c>
      <c r="AR97" s="108">
        <v>6647.2269999999999</v>
      </c>
      <c r="AS97" s="108">
        <v>6996.604833333331</v>
      </c>
      <c r="AT97" s="108">
        <v>6774.6109999999999</v>
      </c>
      <c r="AU97" s="108">
        <v>7381.9608333333372</v>
      </c>
      <c r="AV97" s="108">
        <v>7125.2581666666656</v>
      </c>
      <c r="AW97" s="108">
        <f t="shared" si="7"/>
        <v>275.16905333333335</v>
      </c>
    </row>
    <row r="98" spans="1:49">
      <c r="A98" s="145">
        <v>45840</v>
      </c>
      <c r="B98" s="146">
        <f>YEAR(Table7[[#This Row],[Date]])+IF(MONTH(Table7[[#This Row],[Date]])&gt;=4,1,0)</f>
        <v>2026</v>
      </c>
      <c r="C98" s="147">
        <f>YEAR(Table7[[#This Row],[Date]])</f>
        <v>2025</v>
      </c>
      <c r="D98" s="148">
        <f>Daily_KPI[[#This Row],[Date]]-DAY(Daily_KPI[[#This Row],[Date]])+1</f>
        <v>45839</v>
      </c>
      <c r="E98" s="108">
        <v>7393.2048333333378</v>
      </c>
      <c r="F98" s="108">
        <v>6998.6566666666695</v>
      </c>
      <c r="G98" s="108">
        <v>6927.6943333333356</v>
      </c>
      <c r="H98" s="108">
        <v>6369.6171666666733</v>
      </c>
      <c r="I98" s="108">
        <v>7274.4151666666648</v>
      </c>
      <c r="J98" s="108">
        <v>6008.1833333333343</v>
      </c>
      <c r="K98" s="108">
        <v>7095.4893333333339</v>
      </c>
      <c r="L98" s="108">
        <v>6551.5054999999984</v>
      </c>
      <c r="M98" s="108">
        <v>5494.1493333333337</v>
      </c>
      <c r="N98" s="108">
        <v>6409.1258333333308</v>
      </c>
      <c r="O98" s="108">
        <v>7124.3681666666635</v>
      </c>
      <c r="P98" s="108">
        <v>7288.464666666664</v>
      </c>
      <c r="Q98" s="108">
        <v>7030.7238333333307</v>
      </c>
      <c r="R98" s="108">
        <v>6382.4355000000023</v>
      </c>
      <c r="S98" s="108">
        <v>5762.4128333333319</v>
      </c>
      <c r="T98" s="108">
        <v>6386.2896666666675</v>
      </c>
      <c r="U98" s="108">
        <v>6431.2846666666665</v>
      </c>
      <c r="V98" s="108">
        <v>6988.7530000000015</v>
      </c>
      <c r="W98" s="108">
        <v>6070.9658333333346</v>
      </c>
      <c r="X98" s="108">
        <v>5311.3880000000026</v>
      </c>
      <c r="Y98" s="108">
        <v>6358.7428333333382</v>
      </c>
      <c r="Z98" s="108">
        <v>6024.2455000000009</v>
      </c>
      <c r="AA98" s="108">
        <v>6710.6598333333341</v>
      </c>
      <c r="AB98" s="108">
        <v>6955.8053333333337</v>
      </c>
      <c r="AC98" s="108">
        <v>7225.0866666666652</v>
      </c>
      <c r="AD98" s="108">
        <v>6897.0784999999996</v>
      </c>
      <c r="AE98" s="108">
        <v>6484.3608333333359</v>
      </c>
      <c r="AF98" s="108">
        <v>6242.7706666666672</v>
      </c>
      <c r="AG98" s="108">
        <v>6414.1276666666663</v>
      </c>
      <c r="AH98" s="108">
        <v>6802.3788333333287</v>
      </c>
      <c r="AI98" s="108">
        <v>6247.2658333333302</v>
      </c>
      <c r="AJ98" s="108">
        <v>5703.2208333333328</v>
      </c>
      <c r="AK98" s="108">
        <v>7209.9071666666705</v>
      </c>
      <c r="AL98" s="108">
        <v>7142.1581666666707</v>
      </c>
      <c r="AM98" s="108">
        <v>6021.3651666666665</v>
      </c>
      <c r="AN98" s="108">
        <v>7408.90466666667</v>
      </c>
      <c r="AO98" s="108">
        <v>7426.0768333333326</v>
      </c>
      <c r="AP98" s="108">
        <v>7263.015833333332</v>
      </c>
      <c r="AQ98" s="108">
        <v>7337.6735000000008</v>
      </c>
      <c r="AR98" s="108">
        <v>7077.4896666666682</v>
      </c>
      <c r="AS98" s="108">
        <v>7243.9301666666679</v>
      </c>
      <c r="AT98" s="108">
        <v>7112.2021666666651</v>
      </c>
      <c r="AU98" s="108">
        <v>7495.1095000000023</v>
      </c>
      <c r="AV98" s="108">
        <v>7317.6108333333323</v>
      </c>
      <c r="AW98" s="108">
        <f t="shared" si="7"/>
        <v>295.42031466666674</v>
      </c>
    </row>
    <row r="99" spans="1:49">
      <c r="A99" s="149">
        <v>45841</v>
      </c>
      <c r="B99" s="150">
        <f>YEAR(Table7[[#This Row],[Date]])+IF(MONTH(Table7[[#This Row],[Date]])&gt;=4,1,0)</f>
        <v>2026</v>
      </c>
      <c r="C99" s="151">
        <f>YEAR(Table7[[#This Row],[Date]])</f>
        <v>2025</v>
      </c>
      <c r="D99" s="152">
        <f>Daily_KPI[[#This Row],[Date]]-DAY(Daily_KPI[[#This Row],[Date]])+1</f>
        <v>45839</v>
      </c>
      <c r="E99" s="108">
        <v>7150.417333333332</v>
      </c>
      <c r="F99" s="108">
        <v>6886.1196666666683</v>
      </c>
      <c r="G99" s="108">
        <v>6365.1361666666671</v>
      </c>
      <c r="H99" s="108">
        <v>6851.323000000003</v>
      </c>
      <c r="I99" s="108">
        <v>7163.1981666666688</v>
      </c>
      <c r="J99" s="108">
        <v>7111.7210000000005</v>
      </c>
      <c r="K99" s="108">
        <v>7108.1226666666653</v>
      </c>
      <c r="L99" s="108">
        <v>6413.5556666666662</v>
      </c>
      <c r="M99" s="108">
        <v>5377.8560000000007</v>
      </c>
      <c r="N99" s="108">
        <v>5404.5778333333328</v>
      </c>
      <c r="O99" s="108">
        <v>6287.9846666666635</v>
      </c>
      <c r="P99" s="108">
        <v>6980.7531666666664</v>
      </c>
      <c r="Q99" s="108">
        <v>7083.5218333333369</v>
      </c>
      <c r="R99" s="108">
        <v>6565.3981666666687</v>
      </c>
      <c r="S99" s="108">
        <v>6122.5476666666664</v>
      </c>
      <c r="T99" s="108">
        <v>6531.6313333333301</v>
      </c>
      <c r="U99" s="108">
        <v>6584.1781666666684</v>
      </c>
      <c r="V99" s="108">
        <v>6686.182833333336</v>
      </c>
      <c r="W99" s="108">
        <v>6646.8451666666688</v>
      </c>
      <c r="X99" s="108">
        <v>6073.3006666666624</v>
      </c>
      <c r="Y99" s="108">
        <v>6661.7706666666681</v>
      </c>
      <c r="Z99" s="108">
        <v>6210.229000000003</v>
      </c>
      <c r="AA99" s="108">
        <v>6449.8998333333302</v>
      </c>
      <c r="AB99" s="108">
        <v>6708.702166666666</v>
      </c>
      <c r="AC99" s="108">
        <v>6833.6716666666689</v>
      </c>
      <c r="AD99" s="108">
        <v>6703.5123333333331</v>
      </c>
      <c r="AE99" s="108">
        <v>5688.8513333333331</v>
      </c>
      <c r="AF99" s="108">
        <v>6149.7615000000005</v>
      </c>
      <c r="AG99" s="108">
        <v>6811.4598333333297</v>
      </c>
      <c r="AH99" s="108">
        <v>6682.6336666666639</v>
      </c>
      <c r="AI99" s="108">
        <v>6305.0264999999963</v>
      </c>
      <c r="AJ99" s="108">
        <v>6328.6475</v>
      </c>
      <c r="AK99" s="108">
        <v>6856.1279999999979</v>
      </c>
      <c r="AL99" s="108">
        <v>6350.374166666672</v>
      </c>
      <c r="AM99" s="108">
        <v>6098.2658333333356</v>
      </c>
      <c r="AN99" s="108">
        <v>7367.7198333333363</v>
      </c>
      <c r="AO99" s="108">
        <v>7367.1176666666643</v>
      </c>
      <c r="AP99" s="108">
        <v>6944.8529999999982</v>
      </c>
      <c r="AQ99" s="108">
        <v>7254.1384999999982</v>
      </c>
      <c r="AR99" s="108">
        <v>6522.2556666666642</v>
      </c>
      <c r="AS99" s="108">
        <v>6852.8461666666635</v>
      </c>
      <c r="AT99" s="108">
        <v>7045.9518333333299</v>
      </c>
      <c r="AU99" s="108">
        <v>7382.3504999999977</v>
      </c>
      <c r="AV99" s="108">
        <v>7339.8934999999992</v>
      </c>
      <c r="AW99" s="108">
        <f t="shared" si="7"/>
        <v>292.31043183333327</v>
      </c>
    </row>
    <row r="100" spans="1:49">
      <c r="A100" s="145">
        <v>45842</v>
      </c>
      <c r="B100" s="146">
        <f>YEAR(Table7[[#This Row],[Date]])+IF(MONTH(Table7[[#This Row],[Date]])&gt;=4,1,0)</f>
        <v>2026</v>
      </c>
      <c r="C100" s="147">
        <f>YEAR(Table7[[#This Row],[Date]])</f>
        <v>2025</v>
      </c>
      <c r="D100" s="148">
        <f>Daily_KPI[[#This Row],[Date]]-DAY(Daily_KPI[[#This Row],[Date]])+1</f>
        <v>45839</v>
      </c>
      <c r="E100" s="108">
        <v>6959.8708333333334</v>
      </c>
      <c r="F100" s="108">
        <v>6605.089333333337</v>
      </c>
      <c r="G100" s="108">
        <v>5458.5694999999996</v>
      </c>
      <c r="H100" s="108">
        <v>6449.1436666666696</v>
      </c>
      <c r="I100" s="108">
        <v>6785.1931666666687</v>
      </c>
      <c r="J100" s="108">
        <v>6424.2890000000007</v>
      </c>
      <c r="K100" s="108">
        <v>6823.4164999999966</v>
      </c>
      <c r="L100" s="108">
        <v>5815.3866666666645</v>
      </c>
      <c r="M100" s="108">
        <v>4799.5116666666645</v>
      </c>
      <c r="N100" s="108">
        <v>4903.5048333333361</v>
      </c>
      <c r="O100" s="108">
        <v>5909.0408333333326</v>
      </c>
      <c r="P100" s="108">
        <v>6495.7648333333345</v>
      </c>
      <c r="Q100" s="108">
        <v>6747.2850000000035</v>
      </c>
      <c r="R100" s="108">
        <v>6229.4758333333348</v>
      </c>
      <c r="S100" s="108">
        <v>5747.1048333333356</v>
      </c>
      <c r="T100" s="108">
        <v>6097.795666666666</v>
      </c>
      <c r="U100" s="108">
        <v>6218.4846666666626</v>
      </c>
      <c r="V100" s="108">
        <v>6320.921666666668</v>
      </c>
      <c r="W100" s="108">
        <v>6041.6664999999994</v>
      </c>
      <c r="X100" s="108">
        <v>5577.6003333333356</v>
      </c>
      <c r="Y100" s="108">
        <v>6157.4166666666679</v>
      </c>
      <c r="Z100" s="108">
        <v>5857.3966666666638</v>
      </c>
      <c r="AA100" s="108">
        <v>5849.9161666666669</v>
      </c>
      <c r="AB100" s="108">
        <v>6236.7889999999979</v>
      </c>
      <c r="AC100" s="108">
        <v>6339.0574999999999</v>
      </c>
      <c r="AD100" s="108">
        <v>6161.5175000000054</v>
      </c>
      <c r="AE100" s="108">
        <v>5353.3281666666662</v>
      </c>
      <c r="AF100" s="108">
        <v>5931.3516666666628</v>
      </c>
      <c r="AG100" s="108">
        <v>6446.301666666669</v>
      </c>
      <c r="AH100" s="108">
        <v>6483.7181666666665</v>
      </c>
      <c r="AI100" s="108">
        <v>6046.5383333333348</v>
      </c>
      <c r="AJ100" s="108">
        <v>5668.2154999999993</v>
      </c>
      <c r="AK100" s="108">
        <v>6642.5406666666677</v>
      </c>
      <c r="AL100" s="108">
        <v>6753.2038333333303</v>
      </c>
      <c r="AM100" s="108">
        <v>5611.6933333333391</v>
      </c>
      <c r="AN100" s="108">
        <v>7054.1333333333314</v>
      </c>
      <c r="AO100" s="108">
        <v>6984.961833333331</v>
      </c>
      <c r="AP100" s="108">
        <v>6649.8181666666669</v>
      </c>
      <c r="AQ100" s="108">
        <v>6991.6445000000022</v>
      </c>
      <c r="AR100" s="108">
        <v>6130.7153333333299</v>
      </c>
      <c r="AS100" s="108">
        <v>6609.616500000001</v>
      </c>
      <c r="AT100" s="108">
        <v>6761.895833333333</v>
      </c>
      <c r="AU100" s="108">
        <v>7109.6091666666653</v>
      </c>
      <c r="AV100" s="108">
        <v>7025.0619999999954</v>
      </c>
      <c r="AW100" s="108">
        <f t="shared" si="7"/>
        <v>275.26555683333328</v>
      </c>
    </row>
    <row r="101" spans="1:49">
      <c r="A101" s="149">
        <v>45843</v>
      </c>
      <c r="B101" s="150">
        <f>YEAR(Table7[[#This Row],[Date]])+IF(MONTH(Table7[[#This Row],[Date]])&gt;=4,1,0)</f>
        <v>2026</v>
      </c>
      <c r="C101" s="151">
        <f>YEAR(Table7[[#This Row],[Date]])</f>
        <v>2025</v>
      </c>
      <c r="D101" s="152">
        <f>Daily_KPI[[#This Row],[Date]]-DAY(Daily_KPI[[#This Row],[Date]])+1</f>
        <v>45839</v>
      </c>
      <c r="E101" s="108">
        <v>6921.0333333333328</v>
      </c>
      <c r="F101" s="108">
        <v>5988.7728333333334</v>
      </c>
      <c r="G101" s="108">
        <v>6888.8623333333317</v>
      </c>
      <c r="H101" s="108">
        <v>7110.8183333333336</v>
      </c>
      <c r="I101" s="108">
        <v>7130.955166666663</v>
      </c>
      <c r="J101" s="108">
        <v>6902.5388333333349</v>
      </c>
      <c r="K101" s="108">
        <v>7258.8868333333339</v>
      </c>
      <c r="L101" s="108">
        <v>6591.3339999999998</v>
      </c>
      <c r="M101" s="108">
        <v>5582.333333333333</v>
      </c>
      <c r="N101" s="108">
        <v>5658.2303333333321</v>
      </c>
      <c r="O101" s="108">
        <v>6615.1939999999986</v>
      </c>
      <c r="P101" s="108">
        <v>7214.6594999999988</v>
      </c>
      <c r="Q101" s="108">
        <v>7223.5544999999975</v>
      </c>
      <c r="R101" s="108">
        <v>6778.1468333333323</v>
      </c>
      <c r="S101" s="108">
        <v>6579.9583333333367</v>
      </c>
      <c r="T101" s="108">
        <v>6680.8278333333301</v>
      </c>
      <c r="U101" s="108">
        <v>7003.1105000000016</v>
      </c>
      <c r="V101" s="108">
        <v>7050.666666666667</v>
      </c>
      <c r="W101" s="108">
        <v>6729.1324999999997</v>
      </c>
      <c r="X101" s="108">
        <v>6341.7160000000013</v>
      </c>
      <c r="Y101" s="108">
        <v>7013.45683333333</v>
      </c>
      <c r="Z101" s="108">
        <v>6587.998333333333</v>
      </c>
      <c r="AA101" s="108">
        <v>6705.4865</v>
      </c>
      <c r="AB101" s="108">
        <v>4758.694833333333</v>
      </c>
      <c r="AC101" s="108">
        <v>7000.258833333336</v>
      </c>
      <c r="AD101" s="108">
        <v>6890.471333333332</v>
      </c>
      <c r="AE101" s="108">
        <v>6324.6686666666646</v>
      </c>
      <c r="AF101" s="108">
        <v>6778.1134999999995</v>
      </c>
      <c r="AG101" s="108">
        <v>7169.2473333333301</v>
      </c>
      <c r="AH101" s="108">
        <v>7109.8555000000006</v>
      </c>
      <c r="AI101" s="108">
        <v>6819.2960000000021</v>
      </c>
      <c r="AJ101" s="108">
        <v>3082.330333333332</v>
      </c>
      <c r="AK101" s="108">
        <v>7177.4034999999967</v>
      </c>
      <c r="AL101" s="108">
        <v>7241.1753333333354</v>
      </c>
      <c r="AM101" s="108">
        <v>6585.3676666666679</v>
      </c>
      <c r="AN101" s="108">
        <v>7392.131000000004</v>
      </c>
      <c r="AO101" s="108">
        <v>7386.1513333333287</v>
      </c>
      <c r="AP101" s="108">
        <v>7210.2586666666648</v>
      </c>
      <c r="AQ101" s="108">
        <v>7336.5098333333326</v>
      </c>
      <c r="AR101" s="108">
        <v>6886.2083333333321</v>
      </c>
      <c r="AS101" s="108">
        <v>7268.7548333333316</v>
      </c>
      <c r="AT101" s="108">
        <v>7311.1633333333348</v>
      </c>
      <c r="AU101" s="108">
        <v>7463.8588333333328</v>
      </c>
      <c r="AV101" s="108">
        <v>7390.2508333333326</v>
      </c>
      <c r="AW101" s="108">
        <f t="shared" si="7"/>
        <v>297.13984350000004</v>
      </c>
    </row>
    <row r="102" spans="1:49">
      <c r="A102" s="145">
        <v>45844</v>
      </c>
      <c r="B102" s="146">
        <f>YEAR(Table7[[#This Row],[Date]])+IF(MONTH(Table7[[#This Row],[Date]])&gt;=4,1,0)</f>
        <v>2026</v>
      </c>
      <c r="C102" s="147">
        <f>YEAR(Table7[[#This Row],[Date]])</f>
        <v>2025</v>
      </c>
      <c r="D102" s="148">
        <f>Daily_KPI[[#This Row],[Date]]-DAY(Daily_KPI[[#This Row],[Date]])+1</f>
        <v>45839</v>
      </c>
      <c r="E102" s="108">
        <v>7394.6078333333317</v>
      </c>
      <c r="F102" s="108">
        <v>7285.165666666664</v>
      </c>
      <c r="G102" s="108">
        <v>6846.954999999999</v>
      </c>
      <c r="H102" s="108">
        <v>7326.9141666666683</v>
      </c>
      <c r="I102" s="108">
        <v>7231.0766666666668</v>
      </c>
      <c r="J102" s="108">
        <v>7325.0525000000007</v>
      </c>
      <c r="K102" s="108">
        <v>7368.7188333333324</v>
      </c>
      <c r="L102" s="108">
        <v>6685.0624999999964</v>
      </c>
      <c r="M102" s="108">
        <v>6185.3358333333354</v>
      </c>
      <c r="N102" s="108">
        <v>6141.0673333333316</v>
      </c>
      <c r="O102" s="108">
        <v>6896.6753333333327</v>
      </c>
      <c r="P102" s="108">
        <v>7305.4585000000006</v>
      </c>
      <c r="Q102" s="108">
        <v>7370.5414999999985</v>
      </c>
      <c r="R102" s="108">
        <v>7054.1579999999985</v>
      </c>
      <c r="S102" s="108">
        <v>6713.6243333333341</v>
      </c>
      <c r="T102" s="108">
        <v>7057.5099999999957</v>
      </c>
      <c r="U102" s="108">
        <v>7186.0103333333291</v>
      </c>
      <c r="V102" s="108">
        <v>7063.5763333333334</v>
      </c>
      <c r="W102" s="108">
        <v>7228.8261666666658</v>
      </c>
      <c r="X102" s="108">
        <v>6952.2156666666679</v>
      </c>
      <c r="Y102" s="108">
        <v>7290.289833333336</v>
      </c>
      <c r="Z102" s="108">
        <v>7084.5513333333329</v>
      </c>
      <c r="AA102" s="108">
        <v>7022.2986666666657</v>
      </c>
      <c r="AB102" s="108">
        <v>7127.3873333333331</v>
      </c>
      <c r="AC102" s="108">
        <v>7212.2874999999949</v>
      </c>
      <c r="AD102" s="108">
        <v>7153.2953333333353</v>
      </c>
      <c r="AE102" s="108">
        <v>6088.5106666666625</v>
      </c>
      <c r="AF102" s="108">
        <v>7097.9411666666683</v>
      </c>
      <c r="AG102" s="108">
        <v>7327.9961666666613</v>
      </c>
      <c r="AH102" s="108">
        <v>7348.0598333333301</v>
      </c>
      <c r="AI102" s="108">
        <v>7226.8951666666699</v>
      </c>
      <c r="AJ102" s="108">
        <v>6928.9091666666691</v>
      </c>
      <c r="AK102" s="108">
        <v>7097.7573333333321</v>
      </c>
      <c r="AL102" s="108">
        <v>7324.1021666666638</v>
      </c>
      <c r="AM102" s="108">
        <v>6838.4045000000069</v>
      </c>
      <c r="AN102" s="108">
        <v>7421.9405000000015</v>
      </c>
      <c r="AO102" s="108">
        <v>7414.694333333332</v>
      </c>
      <c r="AP102" s="108">
        <v>7294.2408333333333</v>
      </c>
      <c r="AQ102" s="108">
        <v>7396.7655000000022</v>
      </c>
      <c r="AR102" s="108">
        <v>6987.318666666667</v>
      </c>
      <c r="AS102" s="108">
        <v>7358.1185000000014</v>
      </c>
      <c r="AT102" s="108">
        <v>7406.3778333333366</v>
      </c>
      <c r="AU102" s="108">
        <v>7449.4325000000017</v>
      </c>
      <c r="AV102" s="108">
        <v>7421.9799999999968</v>
      </c>
      <c r="AW102" s="108">
        <f t="shared" si="7"/>
        <v>312.93810733333328</v>
      </c>
    </row>
    <row r="103" spans="1:49">
      <c r="A103" s="149">
        <v>45845</v>
      </c>
      <c r="B103" s="150">
        <f>YEAR(Table7[[#This Row],[Date]])+IF(MONTH(Table7[[#This Row],[Date]])&gt;=4,1,0)</f>
        <v>2026</v>
      </c>
      <c r="C103" s="151">
        <f>YEAR(Table7[[#This Row],[Date]])</f>
        <v>2025</v>
      </c>
      <c r="D103" s="152">
        <f>Daily_KPI[[#This Row],[Date]]-DAY(Daily_KPI[[#This Row],[Date]])+1</f>
        <v>45839</v>
      </c>
      <c r="E103" s="108">
        <v>6146.7683333333307</v>
      </c>
      <c r="F103" s="108">
        <v>6204.5548333333354</v>
      </c>
      <c r="G103" s="108">
        <v>5736.9429999999984</v>
      </c>
      <c r="H103" s="108">
        <v>6121.7638333333343</v>
      </c>
      <c r="I103" s="108">
        <v>6348.4511666666649</v>
      </c>
      <c r="J103" s="108">
        <v>6110.6298333333325</v>
      </c>
      <c r="K103" s="108">
        <v>6339.873833333334</v>
      </c>
      <c r="L103" s="108">
        <v>5767.5261666666656</v>
      </c>
      <c r="M103" s="108">
        <v>5089.2146666666686</v>
      </c>
      <c r="N103" s="108">
        <v>5220.4386666666642</v>
      </c>
      <c r="O103" s="108">
        <v>6101.5491666666676</v>
      </c>
      <c r="P103" s="108">
        <v>6455.0108333333337</v>
      </c>
      <c r="Q103" s="108">
        <v>6552.4948333333332</v>
      </c>
      <c r="R103" s="108">
        <v>6066.7176666666637</v>
      </c>
      <c r="S103" s="108">
        <v>5740.5441666666638</v>
      </c>
      <c r="T103" s="108">
        <v>5961.0243333333347</v>
      </c>
      <c r="U103" s="108">
        <v>6176.0776666666634</v>
      </c>
      <c r="V103" s="108">
        <v>6015.418999999999</v>
      </c>
      <c r="W103" s="108">
        <v>5986.2150000000001</v>
      </c>
      <c r="X103" s="108">
        <v>5551.1388333333316</v>
      </c>
      <c r="Y103" s="108">
        <v>6316.8106666666708</v>
      </c>
      <c r="Z103" s="108">
        <v>5866.702666666667</v>
      </c>
      <c r="AA103" s="108">
        <v>6009.5943333333335</v>
      </c>
      <c r="AB103" s="108">
        <v>6199.0400000000009</v>
      </c>
      <c r="AC103" s="108">
        <v>6266.6949999999997</v>
      </c>
      <c r="AD103" s="108">
        <v>6203.7775000000001</v>
      </c>
      <c r="AE103" s="108">
        <v>5132.8023333333331</v>
      </c>
      <c r="AF103" s="108">
        <v>5718.7253333333347</v>
      </c>
      <c r="AG103" s="108">
        <v>6099.1613333333289</v>
      </c>
      <c r="AH103" s="108">
        <v>6076.7186666666676</v>
      </c>
      <c r="AI103" s="108">
        <v>6034.2431666666644</v>
      </c>
      <c r="AJ103" s="108">
        <v>5604.052999999999</v>
      </c>
      <c r="AK103" s="108">
        <v>6277.7396666666655</v>
      </c>
      <c r="AL103" s="108">
        <v>6073.4376666666676</v>
      </c>
      <c r="AM103" s="108">
        <v>5379.1101666666636</v>
      </c>
      <c r="AN103" s="108">
        <v>6544.3033333333369</v>
      </c>
      <c r="AO103" s="108">
        <v>6522.9775000000009</v>
      </c>
      <c r="AP103" s="108">
        <v>6282.9546666666647</v>
      </c>
      <c r="AQ103" s="108">
        <v>6486.1379999999999</v>
      </c>
      <c r="AR103" s="108">
        <v>5896.6183333333347</v>
      </c>
      <c r="AS103" s="108">
        <v>6261.4219999999987</v>
      </c>
      <c r="AT103" s="108">
        <v>6431.5564999999997</v>
      </c>
      <c r="AU103" s="108">
        <v>6319.9963333333362</v>
      </c>
      <c r="AV103" s="108">
        <v>6491.8128333333343</v>
      </c>
      <c r="AW103" s="108">
        <f t="shared" si="7"/>
        <v>266.18874683333325</v>
      </c>
    </row>
    <row r="104" spans="1:49">
      <c r="A104" s="145">
        <v>45846</v>
      </c>
      <c r="B104" s="146">
        <f>YEAR(Table7[[#This Row],[Date]])+IF(MONTH(Table7[[#This Row],[Date]])&gt;=4,1,0)</f>
        <v>2026</v>
      </c>
      <c r="C104" s="147">
        <f>YEAR(Table7[[#This Row],[Date]])</f>
        <v>2025</v>
      </c>
      <c r="D104" s="148">
        <f>Daily_KPI[[#This Row],[Date]]-DAY(Daily_KPI[[#This Row],[Date]])+1</f>
        <v>45839</v>
      </c>
      <c r="E104" s="108">
        <v>6592.6573333333326</v>
      </c>
      <c r="F104" s="108">
        <v>6382.0645000000004</v>
      </c>
      <c r="G104" s="108">
        <v>6274.2609999999986</v>
      </c>
      <c r="H104" s="108">
        <v>6511.690833333334</v>
      </c>
      <c r="I104" s="108">
        <v>6689.7396666666673</v>
      </c>
      <c r="J104" s="108">
        <v>5949.1436666666668</v>
      </c>
      <c r="K104" s="108">
        <v>6667.0836666666664</v>
      </c>
      <c r="L104" s="108">
        <v>6041.73</v>
      </c>
      <c r="M104" s="108">
        <v>4637.117166666666</v>
      </c>
      <c r="N104" s="108">
        <v>5385.1233333333321</v>
      </c>
      <c r="O104" s="108">
        <v>5430.8978333333334</v>
      </c>
      <c r="P104" s="108">
        <v>6890.314166666667</v>
      </c>
      <c r="Q104" s="108">
        <v>6809.4310000000005</v>
      </c>
      <c r="R104" s="108">
        <v>5917.9648333333316</v>
      </c>
      <c r="S104" s="108">
        <v>5683.6604999999981</v>
      </c>
      <c r="T104" s="108">
        <v>6261.4726666666711</v>
      </c>
      <c r="U104" s="108">
        <v>6469.1723333333348</v>
      </c>
      <c r="V104" s="108">
        <v>6418.9998333333342</v>
      </c>
      <c r="W104" s="108">
        <v>5695.9463333333324</v>
      </c>
      <c r="X104" s="108">
        <v>5227.0138333333352</v>
      </c>
      <c r="Y104" s="108">
        <v>6399.3633333333337</v>
      </c>
      <c r="Z104" s="108">
        <v>5764.7976666666646</v>
      </c>
      <c r="AA104" s="108">
        <v>5894.7368333333334</v>
      </c>
      <c r="AB104" s="108">
        <v>6162.8385000000017</v>
      </c>
      <c r="AC104" s="108">
        <v>6532.0631666666623</v>
      </c>
      <c r="AD104" s="108">
        <v>6496.9000000000005</v>
      </c>
      <c r="AE104" s="108">
        <v>5737.4325000000026</v>
      </c>
      <c r="AF104" s="108">
        <v>5778.8224999999975</v>
      </c>
      <c r="AG104" s="108">
        <v>6599.6383333333324</v>
      </c>
      <c r="AH104" s="108">
        <v>6242.6374999999998</v>
      </c>
      <c r="AI104" s="108">
        <v>6323.6281666666691</v>
      </c>
      <c r="AJ104" s="108">
        <v>5096.804666666666</v>
      </c>
      <c r="AK104" s="108">
        <v>6588.4126666666634</v>
      </c>
      <c r="AL104" s="108">
        <v>6519.7610000000059</v>
      </c>
      <c r="AM104" s="108">
        <v>5484.5124999999998</v>
      </c>
      <c r="AN104" s="108">
        <v>6886.8538333333372</v>
      </c>
      <c r="AO104" s="108">
        <v>6975.9620000000032</v>
      </c>
      <c r="AP104" s="108">
        <v>6726.5411666666669</v>
      </c>
      <c r="AQ104" s="108">
        <v>6854.7358333333332</v>
      </c>
      <c r="AR104" s="108">
        <v>6542.1861666666664</v>
      </c>
      <c r="AS104" s="108">
        <v>6842.8491666666632</v>
      </c>
      <c r="AT104" s="108">
        <v>6747.0801666666657</v>
      </c>
      <c r="AU104" s="108">
        <v>7028.3843333333307</v>
      </c>
      <c r="AV104" s="108">
        <v>6950.3916666666655</v>
      </c>
      <c r="AW104" s="108">
        <f t="shared" si="7"/>
        <v>275.11281816666661</v>
      </c>
    </row>
    <row r="105" spans="1:49">
      <c r="A105" s="149">
        <v>45847</v>
      </c>
      <c r="B105" s="150">
        <f>YEAR(Table7[[#This Row],[Date]])+IF(MONTH(Table7[[#This Row],[Date]])&gt;=4,1,0)</f>
        <v>2026</v>
      </c>
      <c r="C105" s="151">
        <f>YEAR(Table7[[#This Row],[Date]])</f>
        <v>2025</v>
      </c>
      <c r="D105" s="152">
        <f>Daily_KPI[[#This Row],[Date]]-DAY(Daily_KPI[[#This Row],[Date]])+1</f>
        <v>45839</v>
      </c>
      <c r="E105" s="108">
        <v>5944.869833333335</v>
      </c>
      <c r="F105" s="108">
        <v>4997.7541666666675</v>
      </c>
      <c r="G105" s="108">
        <v>4515.8775000000005</v>
      </c>
      <c r="H105" s="108">
        <v>5669.3458333333328</v>
      </c>
      <c r="I105" s="108">
        <v>5653.3106666666645</v>
      </c>
      <c r="J105" s="108">
        <v>5245.8739999999989</v>
      </c>
      <c r="K105" s="108">
        <v>5496.8066666666673</v>
      </c>
      <c r="L105" s="108">
        <v>5071.3435000000018</v>
      </c>
      <c r="M105" s="108">
        <v>3792.2000000000003</v>
      </c>
      <c r="N105" s="108">
        <v>4251.7428333333328</v>
      </c>
      <c r="O105" s="108">
        <v>5271.9051666666646</v>
      </c>
      <c r="P105" s="108">
        <v>5841.2606666666652</v>
      </c>
      <c r="Q105" s="108">
        <v>5973.308333333337</v>
      </c>
      <c r="R105" s="108">
        <v>4888.7061666666677</v>
      </c>
      <c r="S105" s="108">
        <v>4549.9929999999986</v>
      </c>
      <c r="T105" s="108">
        <v>4913.1585000000023</v>
      </c>
      <c r="U105" s="108">
        <v>5230.9139999999998</v>
      </c>
      <c r="V105" s="108">
        <v>4786.090666666666</v>
      </c>
      <c r="W105" s="108">
        <v>4508.7259999999978</v>
      </c>
      <c r="X105" s="108">
        <v>3959.6755000000026</v>
      </c>
      <c r="Y105" s="108">
        <v>5525.7463333333353</v>
      </c>
      <c r="Z105" s="108">
        <v>4538.0933333333342</v>
      </c>
      <c r="AA105" s="108">
        <v>4738.8378333333339</v>
      </c>
      <c r="AB105" s="108">
        <v>5151.2508333333326</v>
      </c>
      <c r="AC105" s="108">
        <v>5277.0324999999993</v>
      </c>
      <c r="AD105" s="108">
        <v>5128.5966666666654</v>
      </c>
      <c r="AE105" s="108">
        <v>3941.2464999999988</v>
      </c>
      <c r="AF105" s="108">
        <v>4450.8328333333311</v>
      </c>
      <c r="AG105" s="108">
        <v>5825.2856666666712</v>
      </c>
      <c r="AH105" s="108">
        <v>5132.7608333333319</v>
      </c>
      <c r="AI105" s="108">
        <v>5002.6010000000006</v>
      </c>
      <c r="AJ105" s="108">
        <v>3944.3964999999994</v>
      </c>
      <c r="AK105" s="108">
        <v>5425.8539999999985</v>
      </c>
      <c r="AL105" s="108">
        <v>5690.3101666666662</v>
      </c>
      <c r="AM105" s="108">
        <v>4412.3033333333342</v>
      </c>
      <c r="AN105" s="108">
        <v>6239.7023333333336</v>
      </c>
      <c r="AO105" s="108">
        <v>6204.5508333333373</v>
      </c>
      <c r="AP105" s="108">
        <v>5491.679166666665</v>
      </c>
      <c r="AQ105" s="108">
        <v>6003.5373333333373</v>
      </c>
      <c r="AR105" s="108">
        <v>4973.9175000000023</v>
      </c>
      <c r="AS105" s="108">
        <v>5666.3175000000001</v>
      </c>
      <c r="AT105" s="108">
        <v>5648.2173333333349</v>
      </c>
      <c r="AU105" s="108">
        <v>6372.1866666666647</v>
      </c>
      <c r="AV105" s="108">
        <v>6105.3131666666677</v>
      </c>
      <c r="AW105" s="108">
        <f t="shared" si="7"/>
        <v>227.45343316666668</v>
      </c>
    </row>
    <row r="106" spans="1:49">
      <c r="A106" s="145">
        <v>45848</v>
      </c>
      <c r="B106" s="146">
        <f>YEAR(Table7[[#This Row],[Date]])+IF(MONTH(Table7[[#This Row],[Date]])&gt;=4,1,0)</f>
        <v>2026</v>
      </c>
      <c r="C106" s="147">
        <f>YEAR(Table7[[#This Row],[Date]])</f>
        <v>2025</v>
      </c>
      <c r="D106" s="148">
        <f>Daily_KPI[[#This Row],[Date]]-DAY(Daily_KPI[[#This Row],[Date]])+1</f>
        <v>45839</v>
      </c>
      <c r="E106" s="108">
        <v>3891.5691666666676</v>
      </c>
      <c r="F106" s="108">
        <v>2688.9580000000005</v>
      </c>
      <c r="G106" s="108">
        <v>3133.7715000000003</v>
      </c>
      <c r="H106" s="108">
        <v>2898.1068333333328</v>
      </c>
      <c r="I106" s="108">
        <v>3901.9331666666676</v>
      </c>
      <c r="J106" s="108">
        <v>3167.7556666666683</v>
      </c>
      <c r="K106" s="108">
        <v>2843.1889999999989</v>
      </c>
      <c r="L106" s="108">
        <v>2384.1643333333332</v>
      </c>
      <c r="M106" s="108">
        <v>1367.7148333333332</v>
      </c>
      <c r="N106" s="108">
        <v>2040.2909999999993</v>
      </c>
      <c r="O106" s="108">
        <v>2836.3308333333348</v>
      </c>
      <c r="P106" s="108">
        <v>3039.3566666666652</v>
      </c>
      <c r="Q106" s="108">
        <v>2871.8305000000014</v>
      </c>
      <c r="R106" s="108">
        <v>2268.1548333333326</v>
      </c>
      <c r="S106" s="108">
        <v>1976.7686666666652</v>
      </c>
      <c r="T106" s="108">
        <v>2407.3488333333339</v>
      </c>
      <c r="U106" s="108">
        <v>2774.8999999999992</v>
      </c>
      <c r="V106" s="108">
        <v>2877.5480000000002</v>
      </c>
      <c r="W106" s="108">
        <v>2170.7829999999994</v>
      </c>
      <c r="X106" s="108">
        <v>1874.8195000000003</v>
      </c>
      <c r="Y106" s="108">
        <v>2831.5721666666655</v>
      </c>
      <c r="Z106" s="108">
        <v>2281.2805000000003</v>
      </c>
      <c r="AA106" s="108">
        <v>2196.7625000000003</v>
      </c>
      <c r="AB106" s="108">
        <v>2538.8055000000004</v>
      </c>
      <c r="AC106" s="108">
        <v>2760.0485000000003</v>
      </c>
      <c r="AD106" s="108">
        <v>2467.1710000000007</v>
      </c>
      <c r="AE106" s="108">
        <v>2616.1983333333314</v>
      </c>
      <c r="AF106" s="108">
        <v>4068.8564999999962</v>
      </c>
      <c r="AG106" s="108">
        <v>2902.5558333333333</v>
      </c>
      <c r="AH106" s="108">
        <v>3455.4121666666556</v>
      </c>
      <c r="AI106" s="108">
        <v>2576.9908333333342</v>
      </c>
      <c r="AJ106" s="108">
        <v>2046.7188333333345</v>
      </c>
      <c r="AK106" s="108">
        <v>3557.7231666666667</v>
      </c>
      <c r="AL106" s="108">
        <v>3786.6628333333319</v>
      </c>
      <c r="AM106" s="108">
        <v>2085.3931666666663</v>
      </c>
      <c r="AN106" s="108">
        <v>3978.1628333333338</v>
      </c>
      <c r="AO106" s="108">
        <v>4145.2151666666641</v>
      </c>
      <c r="AP106" s="108">
        <v>3727.4493333333344</v>
      </c>
      <c r="AQ106" s="108">
        <v>4031.2431666666675</v>
      </c>
      <c r="AR106" s="108">
        <v>2802.6316666666662</v>
      </c>
      <c r="AS106" s="108">
        <v>3195.152666666665</v>
      </c>
      <c r="AT106" s="108">
        <v>2934.4903333333336</v>
      </c>
      <c r="AU106" s="108">
        <v>4141.0000000000027</v>
      </c>
      <c r="AV106" s="108">
        <v>3675.7353333333326</v>
      </c>
      <c r="AW106" s="108">
        <f t="shared" si="7"/>
        <v>128.21852666666663</v>
      </c>
    </row>
    <row r="107" spans="1:49">
      <c r="A107" s="149">
        <v>45849</v>
      </c>
      <c r="B107" s="150">
        <f>YEAR(Table7[[#This Row],[Date]])+IF(MONTH(Table7[[#This Row],[Date]])&gt;=4,1,0)</f>
        <v>2026</v>
      </c>
      <c r="C107" s="151">
        <f>YEAR(Table7[[#This Row],[Date]])</f>
        <v>2025</v>
      </c>
      <c r="D107" s="152">
        <f>Daily_KPI[[#This Row],[Date]]-DAY(Daily_KPI[[#This Row],[Date]])+1</f>
        <v>45839</v>
      </c>
      <c r="E107" s="108">
        <v>3193.0071666666668</v>
      </c>
      <c r="F107" s="108">
        <v>2074.964833333333</v>
      </c>
      <c r="G107" s="108">
        <v>2504.2995000000005</v>
      </c>
      <c r="H107" s="108">
        <v>2608.2300000000009</v>
      </c>
      <c r="I107" s="108">
        <v>3022.6193333333335</v>
      </c>
      <c r="J107" s="108">
        <v>2447.6316666666667</v>
      </c>
      <c r="K107" s="108">
        <v>2119.915500000001</v>
      </c>
      <c r="L107" s="108">
        <v>2041.0896666666665</v>
      </c>
      <c r="M107" s="108">
        <v>1214.6631666666665</v>
      </c>
      <c r="N107" s="108">
        <v>1518.2741666666661</v>
      </c>
      <c r="O107" s="108">
        <v>2114.8664999999987</v>
      </c>
      <c r="P107" s="108">
        <v>2358.8338333333336</v>
      </c>
      <c r="Q107" s="108">
        <v>2163.0715</v>
      </c>
      <c r="R107" s="108">
        <v>1719.1885000000002</v>
      </c>
      <c r="S107" s="108">
        <v>1500.6196666666667</v>
      </c>
      <c r="T107" s="108">
        <v>1733.9621666666678</v>
      </c>
      <c r="U107" s="108">
        <v>1963.1895000000006</v>
      </c>
      <c r="V107" s="108">
        <v>2321.2023333333341</v>
      </c>
      <c r="W107" s="108">
        <v>1527.3483333333336</v>
      </c>
      <c r="X107" s="108">
        <v>1279.5218333333335</v>
      </c>
      <c r="Y107" s="108">
        <v>2461.9971666666661</v>
      </c>
      <c r="Z107" s="108">
        <v>2056.4383333333344</v>
      </c>
      <c r="AA107" s="108">
        <v>1862.9015000000006</v>
      </c>
      <c r="AB107" s="108">
        <v>2053.9204999999997</v>
      </c>
      <c r="AC107" s="108">
        <v>2103.5790000000006</v>
      </c>
      <c r="AD107" s="108">
        <v>1905.3783333333338</v>
      </c>
      <c r="AE107" s="108">
        <v>2025.1658333333335</v>
      </c>
      <c r="AF107" s="108">
        <v>3753.3883333333306</v>
      </c>
      <c r="AG107" s="108">
        <v>2776.5053333333331</v>
      </c>
      <c r="AH107" s="108">
        <v>3137.9341666666592</v>
      </c>
      <c r="AI107" s="108">
        <v>1848.6948333333337</v>
      </c>
      <c r="AJ107" s="108">
        <v>1512.5004999999994</v>
      </c>
      <c r="AK107" s="108">
        <v>2869.9253333333331</v>
      </c>
      <c r="AL107" s="108">
        <v>3043.3051666666665</v>
      </c>
      <c r="AM107" s="108">
        <v>1644.1695000000002</v>
      </c>
      <c r="AN107" s="108">
        <v>3515.1136666666657</v>
      </c>
      <c r="AO107" s="108">
        <v>3553.0081666666651</v>
      </c>
      <c r="AP107" s="108">
        <v>2983.3946666666675</v>
      </c>
      <c r="AQ107" s="108">
        <v>3296.587833333333</v>
      </c>
      <c r="AR107" s="108">
        <v>2357.8371666666676</v>
      </c>
      <c r="AS107" s="108">
        <v>2680.0758333333333</v>
      </c>
      <c r="AT107" s="108">
        <v>2381.7028333333337</v>
      </c>
      <c r="AU107" s="108">
        <v>3490.8226666666651</v>
      </c>
      <c r="AV107" s="108">
        <v>3004.5445000000004</v>
      </c>
      <c r="AW107" s="108">
        <f t="shared" si="7"/>
        <v>103.74539033333335</v>
      </c>
    </row>
    <row r="108" spans="1:49">
      <c r="A108" s="145">
        <v>45850</v>
      </c>
      <c r="B108" s="146">
        <f>YEAR(Table7[[#This Row],[Date]])+IF(MONTH(Table7[[#This Row],[Date]])&gt;=4,1,0)</f>
        <v>2026</v>
      </c>
      <c r="C108" s="147">
        <f>YEAR(Table7[[#This Row],[Date]])</f>
        <v>2025</v>
      </c>
      <c r="D108" s="148">
        <f>Daily_KPI[[#This Row],[Date]]-DAY(Daily_KPI[[#This Row],[Date]])+1</f>
        <v>45839</v>
      </c>
      <c r="E108" s="108">
        <v>3001.0689999999995</v>
      </c>
      <c r="F108" s="108">
        <v>2357.6424999999995</v>
      </c>
      <c r="G108" s="108">
        <v>2467.967333333333</v>
      </c>
      <c r="H108" s="108">
        <v>2457.7671666666661</v>
      </c>
      <c r="I108" s="108">
        <v>3140.6751666666664</v>
      </c>
      <c r="J108" s="108">
        <v>2407.1501666666677</v>
      </c>
      <c r="K108" s="108">
        <v>2150.2066666666674</v>
      </c>
      <c r="L108" s="108">
        <v>1844.4295</v>
      </c>
      <c r="M108" s="108">
        <v>1539.7184999999999</v>
      </c>
      <c r="N108" s="108">
        <v>2147.4665</v>
      </c>
      <c r="O108" s="108">
        <v>2602.1088333333341</v>
      </c>
      <c r="P108" s="108">
        <v>2521.0670000000005</v>
      </c>
      <c r="Q108" s="108">
        <v>2182.9536666666668</v>
      </c>
      <c r="R108" s="108">
        <v>2085.8909999999996</v>
      </c>
      <c r="S108" s="108">
        <v>1888.2101666666667</v>
      </c>
      <c r="T108" s="108">
        <v>2116.0721666666664</v>
      </c>
      <c r="U108" s="108">
        <v>2209.0606666666667</v>
      </c>
      <c r="V108" s="108">
        <v>2280.7121666666667</v>
      </c>
      <c r="W108" s="108">
        <v>1738.5154999999997</v>
      </c>
      <c r="X108" s="108">
        <v>1365.5493333333332</v>
      </c>
      <c r="Y108" s="108">
        <v>2315.9438333333337</v>
      </c>
      <c r="Z108" s="108">
        <v>2098.6988333333347</v>
      </c>
      <c r="AA108" s="108">
        <v>2246.3295000000012</v>
      </c>
      <c r="AB108" s="108">
        <v>2524.5321666666664</v>
      </c>
      <c r="AC108" s="108">
        <v>2448.7859999999996</v>
      </c>
      <c r="AD108" s="108">
        <v>1987.943833333333</v>
      </c>
      <c r="AE108" s="108">
        <v>2108.3908333333338</v>
      </c>
      <c r="AF108" s="108">
        <v>1684.4879999999994</v>
      </c>
      <c r="AG108" s="108">
        <v>2272.8575000000014</v>
      </c>
      <c r="AH108" s="108">
        <v>2118.2754999999993</v>
      </c>
      <c r="AI108" s="108">
        <v>2020.3750000000007</v>
      </c>
      <c r="AJ108" s="108">
        <v>1538.0141666666666</v>
      </c>
      <c r="AK108" s="108">
        <v>3065.2956666666664</v>
      </c>
      <c r="AL108" s="108">
        <v>2635.1139999999991</v>
      </c>
      <c r="AM108" s="108">
        <v>1477.3279999999997</v>
      </c>
      <c r="AN108" s="108">
        <v>3115.2909999999997</v>
      </c>
      <c r="AO108" s="108">
        <v>3162.4765000000002</v>
      </c>
      <c r="AP108" s="108">
        <v>2826.4989999999993</v>
      </c>
      <c r="AQ108" s="108">
        <v>2979.8505</v>
      </c>
      <c r="AR108" s="108">
        <v>2334.0110000000009</v>
      </c>
      <c r="AS108" s="108">
        <v>2653.7805000000003</v>
      </c>
      <c r="AT108" s="108">
        <v>2605.9534999999996</v>
      </c>
      <c r="AU108" s="108">
        <v>3123.9595000000008</v>
      </c>
      <c r="AV108" s="108">
        <v>2631.4063333333329</v>
      </c>
      <c r="AW108" s="108">
        <f t="shared" si="7"/>
        <v>102.47983366666664</v>
      </c>
    </row>
    <row r="109" spans="1:49">
      <c r="A109" s="149">
        <v>45851</v>
      </c>
      <c r="B109" s="150">
        <f>YEAR(Table7[[#This Row],[Date]])+IF(MONTH(Table7[[#This Row],[Date]])&gt;=4,1,0)</f>
        <v>2026</v>
      </c>
      <c r="C109" s="151">
        <f>YEAR(Table7[[#This Row],[Date]])</f>
        <v>2025</v>
      </c>
      <c r="D109" s="152">
        <f>Daily_KPI[[#This Row],[Date]]-DAY(Daily_KPI[[#This Row],[Date]])+1</f>
        <v>45839</v>
      </c>
      <c r="E109" s="108">
        <v>5031.6449999999986</v>
      </c>
      <c r="F109" s="108">
        <v>3519.8253333333328</v>
      </c>
      <c r="G109" s="108">
        <v>3696.3225000000016</v>
      </c>
      <c r="H109" s="108">
        <v>3768.936666666666</v>
      </c>
      <c r="I109" s="108">
        <v>5066.2054999999991</v>
      </c>
      <c r="J109" s="108">
        <v>4201.5593333333336</v>
      </c>
      <c r="K109" s="108">
        <v>3815.094333333333</v>
      </c>
      <c r="L109" s="108">
        <v>3286.6521666666672</v>
      </c>
      <c r="M109" s="108">
        <v>2226.3793333333329</v>
      </c>
      <c r="N109" s="108">
        <v>2998.8303333333356</v>
      </c>
      <c r="O109" s="108">
        <v>3964.7946666666653</v>
      </c>
      <c r="P109" s="108">
        <v>4295.9040000000005</v>
      </c>
      <c r="Q109" s="108">
        <v>4070.0918333333334</v>
      </c>
      <c r="R109" s="108">
        <v>3307.7469999999994</v>
      </c>
      <c r="S109" s="108">
        <v>2929.0110000000022</v>
      </c>
      <c r="T109" s="108">
        <v>3445.8284999999992</v>
      </c>
      <c r="U109" s="108">
        <v>3867.0798333333319</v>
      </c>
      <c r="V109" s="108">
        <v>3717.2303333333325</v>
      </c>
      <c r="W109" s="108">
        <v>2915.1123333333344</v>
      </c>
      <c r="X109" s="108">
        <v>2446.4168333333337</v>
      </c>
      <c r="Y109" s="108">
        <v>3602.1408333333343</v>
      </c>
      <c r="Z109" s="108">
        <v>2914.3541666666679</v>
      </c>
      <c r="AA109" s="108">
        <v>3086.5133333333342</v>
      </c>
      <c r="AB109" s="108">
        <v>3573.1343333333352</v>
      </c>
      <c r="AC109" s="108">
        <v>3891.3586666666674</v>
      </c>
      <c r="AD109" s="108">
        <v>3463.6493333333328</v>
      </c>
      <c r="AE109" s="108">
        <v>3047.9043333333339</v>
      </c>
      <c r="AF109" s="108">
        <v>2832.7665000000002</v>
      </c>
      <c r="AG109" s="108">
        <v>3766.389666666666</v>
      </c>
      <c r="AH109" s="108">
        <v>3598.5731666666675</v>
      </c>
      <c r="AI109" s="108">
        <v>3520.3159999999993</v>
      </c>
      <c r="AJ109" s="108">
        <v>2661.7093333333328</v>
      </c>
      <c r="AK109" s="108">
        <v>4778.4221666666654</v>
      </c>
      <c r="AL109" s="108">
        <v>4821.5350000000008</v>
      </c>
      <c r="AM109" s="108">
        <v>2770.3241666666672</v>
      </c>
      <c r="AN109" s="108">
        <v>5250.2598333333335</v>
      </c>
      <c r="AO109" s="108">
        <v>5382.2173333333349</v>
      </c>
      <c r="AP109" s="108">
        <v>4740.3975</v>
      </c>
      <c r="AQ109" s="108">
        <v>5152.3859999999977</v>
      </c>
      <c r="AR109" s="108">
        <v>3757.6265000000008</v>
      </c>
      <c r="AS109" s="108">
        <v>4285.5926666666646</v>
      </c>
      <c r="AT109" s="108">
        <v>4052.0271666666672</v>
      </c>
      <c r="AU109" s="108">
        <v>5447.637833333335</v>
      </c>
      <c r="AV109" s="108">
        <v>3725.2156666666656</v>
      </c>
      <c r="AW109" s="108">
        <f t="shared" si="7"/>
        <v>166.69311833333339</v>
      </c>
    </row>
    <row r="110" spans="1:49">
      <c r="A110" s="145">
        <v>45852</v>
      </c>
      <c r="B110" s="146">
        <f>YEAR(Table7[[#This Row],[Date]])+IF(MONTH(Table7[[#This Row],[Date]])&gt;=4,1,0)</f>
        <v>2026</v>
      </c>
      <c r="C110" s="147">
        <f>YEAR(Table7[[#This Row],[Date]])</f>
        <v>2025</v>
      </c>
      <c r="D110" s="148">
        <f>Daily_KPI[[#This Row],[Date]]-DAY(Daily_KPI[[#This Row],[Date]])+1</f>
        <v>45839</v>
      </c>
      <c r="E110" s="108">
        <v>6035.8728333333311</v>
      </c>
      <c r="F110" s="108">
        <v>5072.9016666666676</v>
      </c>
      <c r="G110" s="108">
        <v>4340.6428333333342</v>
      </c>
      <c r="H110" s="108">
        <v>5470.6490000000013</v>
      </c>
      <c r="I110" s="108">
        <v>5573.0464999999967</v>
      </c>
      <c r="J110" s="108">
        <v>5550.3566666666666</v>
      </c>
      <c r="K110" s="108">
        <v>5534.3386666666656</v>
      </c>
      <c r="L110" s="108">
        <v>4571.6533333333336</v>
      </c>
      <c r="M110" s="108">
        <v>3362.9251666666664</v>
      </c>
      <c r="N110" s="108">
        <v>3738.8321666666652</v>
      </c>
      <c r="O110" s="108">
        <v>4988.5915000000005</v>
      </c>
      <c r="P110" s="108">
        <v>5663.3749999999973</v>
      </c>
      <c r="Q110" s="108">
        <v>5706.3666666666641</v>
      </c>
      <c r="R110" s="108">
        <v>4880.7029999999986</v>
      </c>
      <c r="S110" s="108">
        <v>4353.0993333333308</v>
      </c>
      <c r="T110" s="108">
        <v>4625.8374999999987</v>
      </c>
      <c r="U110" s="108">
        <v>4922.1251666666658</v>
      </c>
      <c r="V110" s="108">
        <v>4625.5656666666646</v>
      </c>
      <c r="W110" s="108">
        <v>4367.6235000000006</v>
      </c>
      <c r="X110" s="108">
        <v>3724.3631666666665</v>
      </c>
      <c r="Y110" s="108">
        <v>5311.1518333333306</v>
      </c>
      <c r="Z110" s="108">
        <v>4313.3819999999987</v>
      </c>
      <c r="AA110" s="108">
        <v>4332.5723333333299</v>
      </c>
      <c r="AB110" s="108">
        <v>4969.6769999999988</v>
      </c>
      <c r="AC110" s="108">
        <v>5170.1914999999999</v>
      </c>
      <c r="AD110" s="108">
        <v>4825.2125000000005</v>
      </c>
      <c r="AE110" s="108">
        <v>3557.209333333336</v>
      </c>
      <c r="AF110" s="108">
        <v>4165.4551666666684</v>
      </c>
      <c r="AG110" s="108">
        <v>5465.6973333333335</v>
      </c>
      <c r="AH110" s="108">
        <v>5080.9570000000012</v>
      </c>
      <c r="AI110" s="108">
        <v>4714.6565000000001</v>
      </c>
      <c r="AJ110" s="108">
        <v>3975.2739999999999</v>
      </c>
      <c r="AK110" s="108">
        <v>5332.3251666666702</v>
      </c>
      <c r="AL110" s="108">
        <v>5623.073666666668</v>
      </c>
      <c r="AM110" s="108">
        <v>4006.7563333333342</v>
      </c>
      <c r="AN110" s="108">
        <v>6370.5488333333378</v>
      </c>
      <c r="AO110" s="108">
        <v>6280.766833333334</v>
      </c>
      <c r="AP110" s="108">
        <v>5362.0534999999991</v>
      </c>
      <c r="AQ110" s="108">
        <v>6105.5473333333321</v>
      </c>
      <c r="AR110" s="108">
        <v>4740.3365000000022</v>
      </c>
      <c r="AS110" s="108">
        <v>5390.4763333333331</v>
      </c>
      <c r="AT110" s="108">
        <v>5534.5813333333354</v>
      </c>
      <c r="AU110" s="108">
        <v>6516.3095000000021</v>
      </c>
      <c r="AV110" s="108">
        <v>6142.3278333333328</v>
      </c>
      <c r="AW110" s="108">
        <f t="shared" si="7"/>
        <v>220.39540899999997</v>
      </c>
    </row>
    <row r="111" spans="1:49">
      <c r="A111" s="149">
        <v>45853</v>
      </c>
      <c r="B111" s="150">
        <f>YEAR(Table7[[#This Row],[Date]])+IF(MONTH(Table7[[#This Row],[Date]])&gt;=4,1,0)</f>
        <v>2026</v>
      </c>
      <c r="C111" s="151">
        <f>YEAR(Table7[[#This Row],[Date]])</f>
        <v>2025</v>
      </c>
      <c r="D111" s="152">
        <f>Daily_KPI[[#This Row],[Date]]-DAY(Daily_KPI[[#This Row],[Date]])+1</f>
        <v>45839</v>
      </c>
      <c r="E111" s="108">
        <v>5399.4018333333315</v>
      </c>
      <c r="F111" s="108">
        <v>4344.8345000000018</v>
      </c>
      <c r="G111" s="108">
        <v>4388.632499999997</v>
      </c>
      <c r="H111" s="108">
        <v>4434.207666666669</v>
      </c>
      <c r="I111" s="108">
        <v>5610.0813333333281</v>
      </c>
      <c r="J111" s="108">
        <v>4630.7953333333326</v>
      </c>
      <c r="K111" s="108">
        <v>4246.5674999999992</v>
      </c>
      <c r="L111" s="108">
        <v>3509.9576666666694</v>
      </c>
      <c r="M111" s="108">
        <v>2649.6571666666664</v>
      </c>
      <c r="N111" s="108">
        <v>1998.1513333333321</v>
      </c>
      <c r="O111" s="108">
        <v>4360.2158333333327</v>
      </c>
      <c r="P111" s="108">
        <v>4618.7323333333316</v>
      </c>
      <c r="Q111" s="108">
        <v>4140.3589999999958</v>
      </c>
      <c r="R111" s="108">
        <v>3919.527833333334</v>
      </c>
      <c r="S111" s="108">
        <v>3475.5856666666673</v>
      </c>
      <c r="T111" s="108">
        <v>4042.3786666666674</v>
      </c>
      <c r="U111" s="108">
        <v>4262.1219999999985</v>
      </c>
      <c r="V111" s="108">
        <v>4313.2110000000002</v>
      </c>
      <c r="W111" s="108">
        <v>3633.9130000000005</v>
      </c>
      <c r="X111" s="108">
        <v>3104.9865000000009</v>
      </c>
      <c r="Y111" s="108">
        <v>4254.3488333333298</v>
      </c>
      <c r="Z111" s="108">
        <v>4009.5895</v>
      </c>
      <c r="AA111" s="108">
        <v>3686.7113333333327</v>
      </c>
      <c r="AB111" s="108">
        <v>4225.5691666666653</v>
      </c>
      <c r="AC111" s="108">
        <v>4085.8546666666666</v>
      </c>
      <c r="AD111" s="108">
        <v>3899.046166666667</v>
      </c>
      <c r="AE111" s="108">
        <v>3787.9963333333349</v>
      </c>
      <c r="AF111" s="108">
        <v>3496.0323333333322</v>
      </c>
      <c r="AG111" s="108">
        <v>4352.3463333333357</v>
      </c>
      <c r="AH111" s="108">
        <v>4091.0881666666664</v>
      </c>
      <c r="AI111" s="108">
        <v>4144.9288333333334</v>
      </c>
      <c r="AJ111" s="108">
        <v>3312.4084999999995</v>
      </c>
      <c r="AK111" s="108">
        <v>5403.0166666666655</v>
      </c>
      <c r="AL111" s="108">
        <v>5083.46</v>
      </c>
      <c r="AM111" s="108">
        <v>3469.1666666666638</v>
      </c>
      <c r="AN111" s="108">
        <v>5698.0546666666669</v>
      </c>
      <c r="AO111" s="108">
        <v>5783.3306666666676</v>
      </c>
      <c r="AP111" s="108">
        <v>5226.2623333333322</v>
      </c>
      <c r="AQ111" s="108">
        <v>5473.0780000000022</v>
      </c>
      <c r="AR111" s="108">
        <v>4435.8480000000009</v>
      </c>
      <c r="AS111" s="108">
        <v>4874.9964999999984</v>
      </c>
      <c r="AT111" s="108">
        <v>4586.9956666666694</v>
      </c>
      <c r="AU111" s="108">
        <v>5755.9253333333363</v>
      </c>
      <c r="AV111" s="108">
        <v>4979.0143333333363</v>
      </c>
      <c r="AW111" s="108">
        <f t="shared" si="7"/>
        <v>189.19838766666672</v>
      </c>
    </row>
    <row r="112" spans="1:49">
      <c r="A112" s="145">
        <v>45854</v>
      </c>
      <c r="B112" s="146">
        <f>YEAR(Table7[[#This Row],[Date]])+IF(MONTH(Table7[[#This Row],[Date]])&gt;=4,1,0)</f>
        <v>2026</v>
      </c>
      <c r="C112" s="147">
        <f>YEAR(Table7[[#This Row],[Date]])</f>
        <v>2025</v>
      </c>
      <c r="D112" s="148">
        <f>Daily_KPI[[#This Row],[Date]]-DAY(Daily_KPI[[#This Row],[Date]])+1</f>
        <v>45839</v>
      </c>
      <c r="E112" s="108">
        <v>3848.7578333333331</v>
      </c>
      <c r="F112" s="108">
        <v>3021.9255000000007</v>
      </c>
      <c r="G112" s="108">
        <v>3203.0521666666677</v>
      </c>
      <c r="H112" s="108">
        <v>3034.2991666666671</v>
      </c>
      <c r="I112" s="108">
        <v>3970.7605000000008</v>
      </c>
      <c r="J112" s="108">
        <v>2805.017166666667</v>
      </c>
      <c r="K112" s="108">
        <v>2344.7624999999994</v>
      </c>
      <c r="L112" s="108">
        <v>2045.0446666666667</v>
      </c>
      <c r="M112" s="108">
        <v>1476.1250000000007</v>
      </c>
      <c r="N112" s="108">
        <v>2127.8583333333349</v>
      </c>
      <c r="O112" s="108">
        <v>2671.319833333333</v>
      </c>
      <c r="P112" s="108">
        <v>2756.1661666666673</v>
      </c>
      <c r="Q112" s="108">
        <v>2213.7026666666666</v>
      </c>
      <c r="R112" s="108">
        <v>2333.0414999999989</v>
      </c>
      <c r="S112" s="108">
        <v>2230.267166666667</v>
      </c>
      <c r="T112" s="108">
        <v>2537.2434999999996</v>
      </c>
      <c r="U112" s="108">
        <v>2637.7983333333336</v>
      </c>
      <c r="V112" s="108">
        <v>2918.0736666666658</v>
      </c>
      <c r="W112" s="108">
        <v>2248.7604999999999</v>
      </c>
      <c r="X112" s="108">
        <v>1787.9178333333341</v>
      </c>
      <c r="Y112" s="108">
        <v>2820.833666666666</v>
      </c>
      <c r="Z112" s="108">
        <v>2873.1303333333331</v>
      </c>
      <c r="AA112" s="108">
        <v>2254.7056666666672</v>
      </c>
      <c r="AB112" s="108">
        <v>2373.0898333333334</v>
      </c>
      <c r="AC112" s="108">
        <v>2642.8638333333324</v>
      </c>
      <c r="AD112" s="108">
        <v>2114.308333333332</v>
      </c>
      <c r="AE112" s="108">
        <v>2784.0774999999999</v>
      </c>
      <c r="AF112" s="108">
        <v>2097.221</v>
      </c>
      <c r="AG112" s="108">
        <v>2966.1148333333326</v>
      </c>
      <c r="AH112" s="108">
        <v>2523.1348333333317</v>
      </c>
      <c r="AI112" s="108">
        <v>2472.6148333333344</v>
      </c>
      <c r="AJ112" s="108">
        <v>1912.9290000000003</v>
      </c>
      <c r="AK112" s="108">
        <v>3757.6510000000021</v>
      </c>
      <c r="AL112" s="108">
        <v>3323.0456666666673</v>
      </c>
      <c r="AM112" s="108">
        <v>1736.1105000000007</v>
      </c>
      <c r="AN112" s="108">
        <v>3849.4461666666671</v>
      </c>
      <c r="AO112" s="108">
        <v>3884.8191666666648</v>
      </c>
      <c r="AP112" s="108">
        <v>3522.0790000000002</v>
      </c>
      <c r="AQ112" s="108">
        <v>3685.6978333333332</v>
      </c>
      <c r="AR112" s="108">
        <v>3070.7410000000004</v>
      </c>
      <c r="AS112" s="108">
        <v>3384.9863333333337</v>
      </c>
      <c r="AT112" s="108">
        <v>3074.5376666666684</v>
      </c>
      <c r="AU112" s="108">
        <v>3844.1521666666663</v>
      </c>
      <c r="AV112" s="108">
        <v>3092.6261666666683</v>
      </c>
      <c r="AW112" s="108">
        <f t="shared" si="7"/>
        <v>122.27281033333333</v>
      </c>
    </row>
    <row r="113" spans="1:49">
      <c r="A113" s="149">
        <v>45855</v>
      </c>
      <c r="B113" s="150">
        <f>YEAR(Table7[[#This Row],[Date]])+IF(MONTH(Table7[[#This Row],[Date]])&gt;=4,1,0)</f>
        <v>2026</v>
      </c>
      <c r="C113" s="151">
        <f>YEAR(Table7[[#This Row],[Date]])</f>
        <v>2025</v>
      </c>
      <c r="D113" s="152">
        <f>Daily_KPI[[#This Row],[Date]]-DAY(Daily_KPI[[#This Row],[Date]])+1</f>
        <v>45839</v>
      </c>
      <c r="E113" s="108">
        <v>2240.0843333333337</v>
      </c>
      <c r="F113" s="108">
        <v>1909.0928333333343</v>
      </c>
      <c r="G113" s="108">
        <v>1965.5646666666673</v>
      </c>
      <c r="H113" s="108">
        <v>1843.2439999999999</v>
      </c>
      <c r="I113" s="108">
        <v>2380.16</v>
      </c>
      <c r="J113" s="108">
        <v>1916.5685000000003</v>
      </c>
      <c r="K113" s="108">
        <v>1610.0154999999997</v>
      </c>
      <c r="L113" s="108">
        <v>843.48700000000019</v>
      </c>
      <c r="M113" s="108">
        <v>762.14216666666653</v>
      </c>
      <c r="N113" s="108">
        <v>1011.1278333333331</v>
      </c>
      <c r="O113" s="108">
        <v>1154.7921666666659</v>
      </c>
      <c r="P113" s="108">
        <v>1131.6158333333333</v>
      </c>
      <c r="Q113" s="108">
        <v>931.07566666666662</v>
      </c>
      <c r="R113" s="108">
        <v>1085.2096666666666</v>
      </c>
      <c r="S113" s="108">
        <v>966.76683333333369</v>
      </c>
      <c r="T113" s="108">
        <v>1067.8553333333336</v>
      </c>
      <c r="U113" s="108">
        <v>1180.9128333333329</v>
      </c>
      <c r="V113" s="108">
        <v>1876.4765</v>
      </c>
      <c r="W113" s="108">
        <v>1015.2035000000001</v>
      </c>
      <c r="X113" s="108">
        <v>770.76966666666704</v>
      </c>
      <c r="Y113" s="108">
        <v>1641.8861666666664</v>
      </c>
      <c r="Z113" s="108">
        <v>1750.8319999999997</v>
      </c>
      <c r="AA113" s="108">
        <v>1451.1380000000006</v>
      </c>
      <c r="AB113" s="108">
        <v>1496.9713333333323</v>
      </c>
      <c r="AC113" s="108">
        <v>1471.3573333333336</v>
      </c>
      <c r="AD113" s="108">
        <v>1177.7028333333335</v>
      </c>
      <c r="AE113" s="108">
        <v>1905.4156666666668</v>
      </c>
      <c r="AF113" s="108">
        <v>1093.6861666666666</v>
      </c>
      <c r="AG113" s="108">
        <v>1889.8020000000004</v>
      </c>
      <c r="AH113" s="108">
        <v>1502.1071666666667</v>
      </c>
      <c r="AI113" s="108">
        <v>1131.4783333333332</v>
      </c>
      <c r="AJ113" s="108">
        <v>1197.7970000000003</v>
      </c>
      <c r="AK113" s="108">
        <v>2416.6365000000014</v>
      </c>
      <c r="AL113" s="108">
        <v>1947.9884999999995</v>
      </c>
      <c r="AM113" s="108">
        <v>761.81833333333304</v>
      </c>
      <c r="AN113" s="108">
        <v>2343.6016666666674</v>
      </c>
      <c r="AO113" s="108">
        <v>2319.0986666666686</v>
      </c>
      <c r="AP113" s="108">
        <v>2069.0090000000005</v>
      </c>
      <c r="AQ113" s="108">
        <v>2230.5116666666668</v>
      </c>
      <c r="AR113" s="108">
        <v>1268.9333333333336</v>
      </c>
      <c r="AS113" s="108">
        <v>1653.7108333333326</v>
      </c>
      <c r="AT113" s="108">
        <v>1870.1410000000003</v>
      </c>
      <c r="AU113" s="108">
        <v>2246.1683333333322</v>
      </c>
      <c r="AV113" s="108">
        <v>1748.5958333333338</v>
      </c>
      <c r="AW113" s="108">
        <f t="shared" si="7"/>
        <v>68.248552500000017</v>
      </c>
    </row>
    <row r="114" spans="1:49">
      <c r="A114" s="145">
        <v>45856</v>
      </c>
      <c r="B114" s="146">
        <f>YEAR(Table7[[#This Row],[Date]])+IF(MONTH(Table7[[#This Row],[Date]])&gt;=4,1,0)</f>
        <v>2026</v>
      </c>
      <c r="C114" s="147">
        <f>YEAR(Table7[[#This Row],[Date]])</f>
        <v>2025</v>
      </c>
      <c r="D114" s="148">
        <f>Daily_KPI[[#This Row],[Date]]-DAY(Daily_KPI[[#This Row],[Date]])+1</f>
        <v>45839</v>
      </c>
      <c r="E114" s="268">
        <v>2230.893333333333</v>
      </c>
      <c r="F114" s="268">
        <v>1987.7916666666654</v>
      </c>
      <c r="G114" s="268">
        <v>2074.4388333333322</v>
      </c>
      <c r="H114" s="268">
        <v>1866.1914999999999</v>
      </c>
      <c r="I114" s="268">
        <v>2553.5698333333335</v>
      </c>
      <c r="J114" s="268">
        <v>2103.1421666666661</v>
      </c>
      <c r="K114" s="268">
        <v>1690.5556666666662</v>
      </c>
      <c r="L114" s="268">
        <v>1141.6041666666667</v>
      </c>
      <c r="M114" s="268">
        <v>1070.276833333334</v>
      </c>
      <c r="N114" s="268">
        <v>1340.4490000000005</v>
      </c>
      <c r="O114" s="268">
        <v>1395.1463333333334</v>
      </c>
      <c r="P114" s="268">
        <v>1387.2706666666666</v>
      </c>
      <c r="Q114" s="268">
        <v>1080.6765000000003</v>
      </c>
      <c r="R114" s="268">
        <v>1337.8098333333337</v>
      </c>
      <c r="S114" s="268">
        <v>1230.4514999999994</v>
      </c>
      <c r="T114" s="268">
        <v>1261.1320000000003</v>
      </c>
      <c r="U114" s="268">
        <v>1371.4776666666669</v>
      </c>
      <c r="V114" s="268">
        <v>1996.8329999999999</v>
      </c>
      <c r="W114" s="268">
        <v>1187.0854999999997</v>
      </c>
      <c r="X114" s="268">
        <v>982.88866666666627</v>
      </c>
      <c r="Y114" s="268">
        <v>1732.7356666666662</v>
      </c>
      <c r="Z114" s="268">
        <v>1772.8108333333339</v>
      </c>
      <c r="AA114" s="268">
        <v>1620.8966666666668</v>
      </c>
      <c r="AB114" s="268">
        <v>1632.5775000000001</v>
      </c>
      <c r="AC114" s="268">
        <v>1638.6466666666656</v>
      </c>
      <c r="AD114" s="268">
        <v>1352.4498333333329</v>
      </c>
      <c r="AE114" s="268">
        <v>2093.5948333333336</v>
      </c>
      <c r="AF114" s="268">
        <v>1253.0688333333337</v>
      </c>
      <c r="AG114" s="268">
        <v>1823.6193333333324</v>
      </c>
      <c r="AH114" s="268">
        <v>1632.8291666666667</v>
      </c>
      <c r="AI114" s="268">
        <v>1459.008</v>
      </c>
      <c r="AJ114" s="268">
        <v>1435.8691666666662</v>
      </c>
      <c r="AK114" s="268">
        <v>2658.4231666666678</v>
      </c>
      <c r="AL114" s="268">
        <v>2321.1513333333332</v>
      </c>
      <c r="AM114" s="268">
        <v>1036.3710000000001</v>
      </c>
      <c r="AN114" s="268">
        <v>2643.6623333333328</v>
      </c>
      <c r="AO114" s="268">
        <v>2810.6853333333329</v>
      </c>
      <c r="AP114" s="268">
        <v>2441.5965000000001</v>
      </c>
      <c r="AQ114" s="268">
        <v>2555.6316666666658</v>
      </c>
      <c r="AR114" s="268">
        <v>1291.5458333333333</v>
      </c>
      <c r="AS114" s="268">
        <v>1856.1481666666659</v>
      </c>
      <c r="AT114" s="268">
        <v>1936.6183333333331</v>
      </c>
      <c r="AU114" s="268">
        <v>2327.3065000000006</v>
      </c>
      <c r="AV114" s="268">
        <v>1888.5661666666658</v>
      </c>
      <c r="AW114" s="108">
        <f t="shared" si="7"/>
        <v>76.505497500000033</v>
      </c>
    </row>
    <row r="115" spans="1:49">
      <c r="A115" s="149">
        <v>45857</v>
      </c>
      <c r="B115" s="150">
        <f>YEAR(Table7[[#This Row],[Date]])+IF(MONTH(Table7[[#This Row],[Date]])&gt;=4,1,0)</f>
        <v>2026</v>
      </c>
      <c r="C115" s="151">
        <f>YEAR(Table7[[#This Row],[Date]])</f>
        <v>2025</v>
      </c>
      <c r="D115" s="152">
        <f>Daily_KPI[[#This Row],[Date]]-DAY(Daily_KPI[[#This Row],[Date]])+1</f>
        <v>45839</v>
      </c>
      <c r="E115" s="108">
        <v>1952.7344999999996</v>
      </c>
      <c r="F115" s="108">
        <v>1717.8151666666661</v>
      </c>
      <c r="G115" s="108">
        <v>1856.2685000000004</v>
      </c>
      <c r="H115" s="108">
        <v>2200.7393333333348</v>
      </c>
      <c r="I115" s="108">
        <v>3203.1563333333324</v>
      </c>
      <c r="J115" s="108">
        <v>2783.3105</v>
      </c>
      <c r="K115" s="108">
        <v>1612.9533333333336</v>
      </c>
      <c r="L115" s="108">
        <v>1372.6555000000005</v>
      </c>
      <c r="M115" s="108">
        <v>1378.6191666666671</v>
      </c>
      <c r="N115" s="108">
        <v>1816.8753333333332</v>
      </c>
      <c r="O115" s="108">
        <v>1950.6595000000009</v>
      </c>
      <c r="P115" s="108">
        <v>1994.8673333333338</v>
      </c>
      <c r="Q115" s="108">
        <v>1681.2828333333343</v>
      </c>
      <c r="R115" s="108">
        <v>1963.2684999999992</v>
      </c>
      <c r="S115" s="108">
        <v>1876.8433333333344</v>
      </c>
      <c r="T115" s="108">
        <v>1939.6156666666645</v>
      </c>
      <c r="U115" s="108">
        <v>1999.230666666667</v>
      </c>
      <c r="V115" s="108">
        <v>1743.8261666666665</v>
      </c>
      <c r="W115" s="108">
        <v>1583.2776666666668</v>
      </c>
      <c r="X115" s="108">
        <v>1259.320833333333</v>
      </c>
      <c r="Y115" s="108">
        <v>2040.6288333333332</v>
      </c>
      <c r="Z115" s="108">
        <v>2025.8401666666675</v>
      </c>
      <c r="AA115" s="108">
        <v>2261.8570000000009</v>
      </c>
      <c r="AB115" s="108">
        <v>2402.1983333333328</v>
      </c>
      <c r="AC115" s="108">
        <v>2331.6433333333339</v>
      </c>
      <c r="AD115" s="108">
        <v>1916.3908333333341</v>
      </c>
      <c r="AE115" s="108">
        <v>1804.2228333333339</v>
      </c>
      <c r="AF115" s="108">
        <v>1180.1980000000003</v>
      </c>
      <c r="AG115" s="108">
        <v>2159.668000000001</v>
      </c>
      <c r="AH115" s="108">
        <v>1636.9529999999997</v>
      </c>
      <c r="AI115" s="108">
        <v>1953.9046666666679</v>
      </c>
      <c r="AJ115" s="108">
        <v>1754.2666666666676</v>
      </c>
      <c r="AK115" s="108">
        <v>3279.0523333333326</v>
      </c>
      <c r="AL115" s="108">
        <v>2451.7094999999999</v>
      </c>
      <c r="AM115" s="108">
        <v>1076.6895000000002</v>
      </c>
      <c r="AN115" s="108">
        <v>3370.1531666666633</v>
      </c>
      <c r="AO115" s="108">
        <v>3271.6496666666681</v>
      </c>
      <c r="AP115" s="108">
        <v>2898.144333333335</v>
      </c>
      <c r="AQ115" s="108">
        <v>3019.2123333333325</v>
      </c>
      <c r="AR115" s="108">
        <v>1483.5539999999999</v>
      </c>
      <c r="AS115" s="108">
        <v>1884.7771666666674</v>
      </c>
      <c r="AT115" s="108">
        <v>2058.3086666666663</v>
      </c>
      <c r="AU115" s="108">
        <v>2496.7681666666663</v>
      </c>
      <c r="AV115" s="108">
        <v>1983.1660000000011</v>
      </c>
      <c r="AW115" s="108">
        <f t="shared" si="7"/>
        <v>90.628276666666636</v>
      </c>
    </row>
    <row r="116" spans="1:49">
      <c r="A116" s="145">
        <v>45858</v>
      </c>
      <c r="B116" s="146">
        <f>YEAR(Table7[[#This Row],[Date]])+IF(MONTH(Table7[[#This Row],[Date]])&gt;=4,1,0)</f>
        <v>2026</v>
      </c>
      <c r="C116" s="147">
        <f>YEAR(Table7[[#This Row],[Date]])</f>
        <v>2025</v>
      </c>
      <c r="D116" s="148">
        <f>Daily_KPI[[#This Row],[Date]]-DAY(Daily_KPI[[#This Row],[Date]])+1</f>
        <v>45839</v>
      </c>
      <c r="E116" s="108">
        <v>2621.529500000001</v>
      </c>
      <c r="F116" s="108">
        <v>1763.3149999999996</v>
      </c>
      <c r="G116" s="108">
        <v>1965.7913333333324</v>
      </c>
      <c r="H116" s="108">
        <v>2109.7583333333332</v>
      </c>
      <c r="I116" s="108">
        <v>2651.9623333333343</v>
      </c>
      <c r="J116" s="108">
        <v>2128.2420000000006</v>
      </c>
      <c r="K116" s="108">
        <v>1657.8558333333333</v>
      </c>
      <c r="L116" s="108">
        <v>1411.5266666666669</v>
      </c>
      <c r="M116" s="108">
        <v>984.42033333333347</v>
      </c>
      <c r="N116" s="108">
        <v>1417.1358333333326</v>
      </c>
      <c r="O116" s="108">
        <v>1749.7673333333332</v>
      </c>
      <c r="P116" s="108">
        <v>1823.3521666666668</v>
      </c>
      <c r="Q116" s="108">
        <v>1679.6018333333338</v>
      </c>
      <c r="R116" s="108">
        <v>1570.4428333333326</v>
      </c>
      <c r="S116" s="108">
        <v>1440.0865000000001</v>
      </c>
      <c r="T116" s="108">
        <v>1582.2823333333338</v>
      </c>
      <c r="U116" s="108">
        <v>1710.5456666666671</v>
      </c>
      <c r="V116" s="108">
        <v>1844.0660000000007</v>
      </c>
      <c r="W116" s="108">
        <v>1496.4595000000008</v>
      </c>
      <c r="X116" s="108">
        <v>1158.5483333333327</v>
      </c>
      <c r="Y116" s="108">
        <v>1937.144</v>
      </c>
      <c r="Z116" s="108">
        <v>1833.1318333333331</v>
      </c>
      <c r="AA116" s="108">
        <v>1547.8115</v>
      </c>
      <c r="AB116" s="108">
        <v>1834.4391666666672</v>
      </c>
      <c r="AC116" s="108">
        <v>1933.5848333333333</v>
      </c>
      <c r="AD116" s="108">
        <v>1588.6671666666653</v>
      </c>
      <c r="AE116" s="108">
        <v>1596.8693333333338</v>
      </c>
      <c r="AF116" s="108">
        <v>1376.384</v>
      </c>
      <c r="AG116" s="108">
        <v>1997.2650000000006</v>
      </c>
      <c r="AH116" s="108">
        <v>1798.3918333333329</v>
      </c>
      <c r="AI116" s="108">
        <v>1672.964500000001</v>
      </c>
      <c r="AJ116" s="108">
        <v>1338.0411666666669</v>
      </c>
      <c r="AK116" s="108">
        <v>2533.0018333333323</v>
      </c>
      <c r="AL116" s="108">
        <v>2405.8841666666667</v>
      </c>
      <c r="AM116" s="108">
        <v>1343.4938333333334</v>
      </c>
      <c r="AN116" s="108">
        <v>2788.8431666666656</v>
      </c>
      <c r="AO116" s="108">
        <v>2901.5356666666667</v>
      </c>
      <c r="AP116" s="108">
        <v>2526.6126666666678</v>
      </c>
      <c r="AQ116" s="108">
        <v>2739.9119999999998</v>
      </c>
      <c r="AR116" s="108">
        <v>1646.7246666666672</v>
      </c>
      <c r="AS116" s="108">
        <v>2050.0876666666677</v>
      </c>
      <c r="AT116" s="108">
        <v>1645.9893333333337</v>
      </c>
      <c r="AU116" s="108">
        <v>2730.863499999999</v>
      </c>
      <c r="AV116" s="108">
        <v>2208.7963333333332</v>
      </c>
      <c r="AW116" s="108">
        <f t="shared" si="7"/>
        <v>82.743128833333344</v>
      </c>
    </row>
    <row r="117" spans="1:49">
      <c r="A117" s="149">
        <v>45859</v>
      </c>
      <c r="B117" s="150">
        <f>YEAR(Table7[[#This Row],[Date]])+IF(MONTH(Table7[[#This Row],[Date]])&gt;=4,1,0)</f>
        <v>2026</v>
      </c>
      <c r="C117" s="151">
        <f>YEAR(Table7[[#This Row],[Date]])</f>
        <v>2025</v>
      </c>
      <c r="D117" s="152">
        <f>Daily_KPI[[#This Row],[Date]]-DAY(Daily_KPI[[#This Row],[Date]])+1</f>
        <v>45839</v>
      </c>
      <c r="E117" s="108">
        <v>2862.5888333333346</v>
      </c>
      <c r="F117" s="108">
        <v>2240.269666666667</v>
      </c>
      <c r="G117" s="108">
        <v>2263.4638333333328</v>
      </c>
      <c r="H117" s="108">
        <v>2258.2465000000007</v>
      </c>
      <c r="I117" s="108">
        <v>2673.7870000000007</v>
      </c>
      <c r="J117" s="108">
        <v>2203.4851666666659</v>
      </c>
      <c r="K117" s="108">
        <v>1942.8966666666665</v>
      </c>
      <c r="L117" s="108">
        <v>1487.6468333333332</v>
      </c>
      <c r="M117" s="108">
        <v>873.06400000000019</v>
      </c>
      <c r="N117" s="108">
        <v>1264.7298333333333</v>
      </c>
      <c r="O117" s="108">
        <v>1550.927833333333</v>
      </c>
      <c r="P117" s="108">
        <v>1760.3311666666668</v>
      </c>
      <c r="Q117" s="108">
        <v>1703.0371666666667</v>
      </c>
      <c r="R117" s="108">
        <v>1473.5045000000002</v>
      </c>
      <c r="S117" s="108">
        <v>1422.4671666666663</v>
      </c>
      <c r="T117" s="108">
        <v>1569.4391666666652</v>
      </c>
      <c r="U117" s="108">
        <v>1896.2384999999997</v>
      </c>
      <c r="V117" s="108">
        <v>2131.9504999999995</v>
      </c>
      <c r="W117" s="108">
        <v>1598.8149999999994</v>
      </c>
      <c r="X117" s="108">
        <v>1299.7215000000001</v>
      </c>
      <c r="Y117" s="108">
        <v>2203.7518333333328</v>
      </c>
      <c r="Z117" s="108">
        <v>1988.8276666666661</v>
      </c>
      <c r="AA117" s="108">
        <v>1573.9343333333336</v>
      </c>
      <c r="AB117" s="108">
        <v>1781.1145000000006</v>
      </c>
      <c r="AC117" s="108">
        <v>1971.1990000000012</v>
      </c>
      <c r="AD117" s="108">
        <v>1676.8746666666675</v>
      </c>
      <c r="AE117" s="108">
        <v>1932.1308333333327</v>
      </c>
      <c r="AF117" s="108">
        <v>1536.2918333333334</v>
      </c>
      <c r="AG117" s="108">
        <v>2289.6578333333341</v>
      </c>
      <c r="AH117" s="108">
        <v>1891.6820000000005</v>
      </c>
      <c r="AI117" s="108">
        <v>1835.412</v>
      </c>
      <c r="AJ117" s="108">
        <v>1500.7168333333329</v>
      </c>
      <c r="AK117" s="108">
        <v>2651.675666666667</v>
      </c>
      <c r="AL117" s="108">
        <v>2598.079166666666</v>
      </c>
      <c r="AM117" s="108">
        <v>1481.7358333333339</v>
      </c>
      <c r="AN117" s="108">
        <v>3245.1139999999982</v>
      </c>
      <c r="AO117" s="108">
        <v>3197.5570000000012</v>
      </c>
      <c r="AP117" s="108">
        <v>2621.5618333333318</v>
      </c>
      <c r="AQ117" s="108">
        <v>2900.2183333333337</v>
      </c>
      <c r="AR117" s="108">
        <v>1936.8595000000003</v>
      </c>
      <c r="AS117" s="108">
        <v>2232.1325000000002</v>
      </c>
      <c r="AT117" s="108">
        <v>1995.7789999999995</v>
      </c>
      <c r="AU117" s="108">
        <v>3141.6424999999999</v>
      </c>
      <c r="AV117" s="108">
        <v>2515.9478333333341</v>
      </c>
      <c r="AW117" s="108">
        <f t="shared" si="7"/>
        <v>89.176507333333333</v>
      </c>
    </row>
    <row r="118" spans="1:49">
      <c r="A118" s="145">
        <v>45860</v>
      </c>
      <c r="B118" s="146">
        <f>YEAR(Table7[[#This Row],[Date]])+IF(MONTH(Table7[[#This Row],[Date]])&gt;=4,1,0)</f>
        <v>2026</v>
      </c>
      <c r="C118" s="147">
        <f>YEAR(Table7[[#This Row],[Date]])</f>
        <v>2025</v>
      </c>
      <c r="D118" s="148">
        <f>Daily_KPI[[#This Row],[Date]]-DAY(Daily_KPI[[#This Row],[Date]])+1</f>
        <v>45839</v>
      </c>
      <c r="E118" s="108">
        <v>3976.564166666667</v>
      </c>
      <c r="F118" s="108">
        <v>3081.8138333333318</v>
      </c>
      <c r="G118" s="108">
        <v>3161.2536666666656</v>
      </c>
      <c r="H118" s="108">
        <v>3069.7893333333327</v>
      </c>
      <c r="I118" s="108">
        <v>4025.812833333332</v>
      </c>
      <c r="J118" s="108">
        <v>3137.3406666666665</v>
      </c>
      <c r="K118" s="108">
        <v>2735.9838333333337</v>
      </c>
      <c r="L118" s="108">
        <v>2230.5129999999995</v>
      </c>
      <c r="M118" s="108">
        <v>1858.4585</v>
      </c>
      <c r="N118" s="108">
        <v>2459.1895000000013</v>
      </c>
      <c r="O118" s="108">
        <v>3049.428166666667</v>
      </c>
      <c r="P118" s="108">
        <v>3117.2256666666667</v>
      </c>
      <c r="Q118" s="108">
        <v>2665.8980000000006</v>
      </c>
      <c r="R118" s="108">
        <v>2644.7849999999994</v>
      </c>
      <c r="S118" s="108">
        <v>2387.4505000000004</v>
      </c>
      <c r="T118" s="108">
        <v>2693.0761666666663</v>
      </c>
      <c r="U118" s="108">
        <v>2927.5893333333329</v>
      </c>
      <c r="V118" s="108">
        <v>3001.0529999999999</v>
      </c>
      <c r="W118" s="108">
        <v>2434.6498333333334</v>
      </c>
      <c r="X118" s="108">
        <v>1921.3666666666675</v>
      </c>
      <c r="Y118" s="108">
        <v>2887.488499999999</v>
      </c>
      <c r="Z118" s="108">
        <v>2791.8286666666663</v>
      </c>
      <c r="AA118" s="108">
        <v>2697.7041666666669</v>
      </c>
      <c r="AB118" s="108">
        <v>3027.9733333333347</v>
      </c>
      <c r="AC118" s="108">
        <v>3157.9909999999995</v>
      </c>
      <c r="AD118" s="108">
        <v>2572.3313333333335</v>
      </c>
      <c r="AE118" s="108">
        <v>2686.0053333333335</v>
      </c>
      <c r="AF118" s="108">
        <v>2240.2323333333329</v>
      </c>
      <c r="AG118" s="108">
        <v>3034.3903333333328</v>
      </c>
      <c r="AH118" s="108">
        <v>2764.3484999999996</v>
      </c>
      <c r="AI118" s="108">
        <v>2716.3268333333331</v>
      </c>
      <c r="AJ118" s="108">
        <v>2061.8121666666671</v>
      </c>
      <c r="AK118" s="108">
        <v>3942.1255000000001</v>
      </c>
      <c r="AL118" s="108">
        <v>3364.6366666666654</v>
      </c>
      <c r="AM118" s="108">
        <v>2099.5544999999997</v>
      </c>
      <c r="AN118" s="108">
        <v>4067.1599999999994</v>
      </c>
      <c r="AO118" s="108">
        <v>4061.0393333333359</v>
      </c>
      <c r="AP118" s="108">
        <v>3384.9953333333337</v>
      </c>
      <c r="AQ118" s="108">
        <v>3857.9875000000015</v>
      </c>
      <c r="AR118" s="108">
        <v>3035.4591666666679</v>
      </c>
      <c r="AS118" s="108">
        <v>3389.7745000000014</v>
      </c>
      <c r="AT118" s="108">
        <v>3154.6653333333343</v>
      </c>
      <c r="AU118" s="108">
        <v>4086.3754999999983</v>
      </c>
      <c r="AV118" s="108">
        <v>3394.8236666666685</v>
      </c>
      <c r="AW118" s="108">
        <f t="shared" si="7"/>
        <v>131.05627116666665</v>
      </c>
    </row>
    <row r="119" spans="1:49">
      <c r="A119" s="149">
        <v>45861</v>
      </c>
      <c r="B119" s="150">
        <f>YEAR(Table7[[#This Row],[Date]])+IF(MONTH(Table7[[#This Row],[Date]])&gt;=4,1,0)</f>
        <v>2026</v>
      </c>
      <c r="C119" s="151">
        <f>YEAR(Table7[[#This Row],[Date]])</f>
        <v>2025</v>
      </c>
      <c r="D119" s="152">
        <f>Daily_KPI[[#This Row],[Date]]-DAY(Daily_KPI[[#This Row],[Date]])+1</f>
        <v>45839</v>
      </c>
      <c r="E119" s="108">
        <v>5506.0808333333343</v>
      </c>
      <c r="F119" s="108">
        <v>4582.4034999999985</v>
      </c>
      <c r="G119" s="108">
        <v>4767.4015000000009</v>
      </c>
      <c r="H119" s="108">
        <v>4632.9499999999989</v>
      </c>
      <c r="I119" s="108">
        <v>5732.2013333333343</v>
      </c>
      <c r="J119" s="108">
        <v>4910.6876666666676</v>
      </c>
      <c r="K119" s="108">
        <v>4564.7636666666667</v>
      </c>
      <c r="L119" s="108">
        <v>3905.4745000000016</v>
      </c>
      <c r="M119" s="108">
        <v>3179.7713333333327</v>
      </c>
      <c r="N119" s="108">
        <v>4132.482666666665</v>
      </c>
      <c r="O119" s="108">
        <v>4907.312666666664</v>
      </c>
      <c r="P119" s="108">
        <v>5042.725833333333</v>
      </c>
      <c r="Q119" s="108">
        <v>4668.6386666666667</v>
      </c>
      <c r="R119" s="108">
        <v>4271.1469999999999</v>
      </c>
      <c r="S119" s="108">
        <v>3997.0756666666657</v>
      </c>
      <c r="T119" s="108">
        <v>4305.5201666666671</v>
      </c>
      <c r="U119" s="108">
        <v>4478.6264999999976</v>
      </c>
      <c r="V119" s="108">
        <v>4641.5869999999986</v>
      </c>
      <c r="W119" s="108">
        <v>3890.2443333333335</v>
      </c>
      <c r="X119" s="108">
        <v>3210.7484999999997</v>
      </c>
      <c r="Y119" s="108">
        <v>4580.8820000000005</v>
      </c>
      <c r="Z119" s="108">
        <v>4288.1998333333331</v>
      </c>
      <c r="AA119" s="108">
        <v>4289.4080000000004</v>
      </c>
      <c r="AB119" s="108">
        <v>4588.3579999999993</v>
      </c>
      <c r="AC119" s="108">
        <v>4898.3138333333327</v>
      </c>
      <c r="AD119" s="108">
        <v>4356.1306666666678</v>
      </c>
      <c r="AE119" s="108">
        <v>4391.6649999999991</v>
      </c>
      <c r="AF119" s="108">
        <v>3615.4213333333332</v>
      </c>
      <c r="AG119" s="108">
        <v>4468.0889999999981</v>
      </c>
      <c r="AH119" s="108">
        <v>4298.4953333333342</v>
      </c>
      <c r="AI119" s="108">
        <v>4370.7031666666653</v>
      </c>
      <c r="AJ119" s="108">
        <v>3490.8046666666669</v>
      </c>
      <c r="AK119" s="108">
        <v>5575.5693333333329</v>
      </c>
      <c r="AL119" s="108">
        <v>5182.029999999997</v>
      </c>
      <c r="AM119" s="108">
        <v>3519.6569999999992</v>
      </c>
      <c r="AN119" s="108">
        <v>5696.8004999999985</v>
      </c>
      <c r="AO119" s="108">
        <v>5729.3488333333335</v>
      </c>
      <c r="AP119" s="108">
        <v>5303.9646666666677</v>
      </c>
      <c r="AQ119" s="108">
        <v>5555.5985000000001</v>
      </c>
      <c r="AR119" s="108">
        <v>4763.8968333333323</v>
      </c>
      <c r="AS119" s="108">
        <v>5105.915</v>
      </c>
      <c r="AT119" s="108">
        <v>4893.3205000000007</v>
      </c>
      <c r="AU119" s="108">
        <v>5677.781500000001</v>
      </c>
      <c r="AV119" s="108">
        <v>5140.658333333331</v>
      </c>
      <c r="AW119" s="108">
        <f t="shared" si="7"/>
        <v>203.10885516666661</v>
      </c>
    </row>
    <row r="120" spans="1:49">
      <c r="A120" s="145">
        <v>45862</v>
      </c>
      <c r="B120" s="146">
        <f>YEAR(Table7[[#This Row],[Date]])+IF(MONTH(Table7[[#This Row],[Date]])&gt;=4,1,0)</f>
        <v>2026</v>
      </c>
      <c r="C120" s="147">
        <f>YEAR(Table7[[#This Row],[Date]])</f>
        <v>2025</v>
      </c>
      <c r="D120" s="148">
        <f>Daily_KPI[[#This Row],[Date]]-DAY(Daily_KPI[[#This Row],[Date]])+1</f>
        <v>45839</v>
      </c>
      <c r="E120" s="108">
        <v>6066.0800000000008</v>
      </c>
      <c r="F120" s="108">
        <v>5122.554000000001</v>
      </c>
      <c r="G120" s="108">
        <v>4510.7848333333322</v>
      </c>
      <c r="H120" s="108">
        <v>5551.8394999999982</v>
      </c>
      <c r="I120" s="108">
        <v>5898.2081666666627</v>
      </c>
      <c r="J120" s="108">
        <v>5661.5650000000023</v>
      </c>
      <c r="K120" s="108">
        <v>5668.7465000000002</v>
      </c>
      <c r="L120" s="108">
        <v>4782.1881666666677</v>
      </c>
      <c r="M120" s="108">
        <v>3572.7543333333342</v>
      </c>
      <c r="N120" s="108">
        <v>4233.4300000000012</v>
      </c>
      <c r="O120" s="108">
        <v>5586.3748333333315</v>
      </c>
      <c r="P120" s="108">
        <v>5448.3968333333296</v>
      </c>
      <c r="Q120" s="108">
        <v>6362.1498333333284</v>
      </c>
      <c r="R120" s="108">
        <v>5435.7623333333295</v>
      </c>
      <c r="S120" s="108">
        <v>4836.5586666666695</v>
      </c>
      <c r="T120" s="108">
        <v>4930.3734999999951</v>
      </c>
      <c r="U120" s="108">
        <v>5532.9674999999952</v>
      </c>
      <c r="V120" s="108">
        <v>4826.0948333333326</v>
      </c>
      <c r="W120" s="108">
        <v>4653.378499999998</v>
      </c>
      <c r="X120" s="108">
        <v>3956.7714999999957</v>
      </c>
      <c r="Y120" s="108">
        <v>5522.0003333333325</v>
      </c>
      <c r="Z120" s="108">
        <v>4482.7570000000005</v>
      </c>
      <c r="AA120" s="108">
        <v>4295.7153333333335</v>
      </c>
      <c r="AB120" s="108">
        <v>5194.3660000000018</v>
      </c>
      <c r="AC120" s="108">
        <v>5609.811333333334</v>
      </c>
      <c r="AD120" s="108">
        <v>5380.0633333333362</v>
      </c>
      <c r="AE120" s="108">
        <v>3764.1236666666678</v>
      </c>
      <c r="AF120" s="108">
        <v>4472.3135000000011</v>
      </c>
      <c r="AG120" s="108">
        <v>5827.809666666667</v>
      </c>
      <c r="AH120" s="108">
        <v>5266.0826666666635</v>
      </c>
      <c r="AI120" s="108">
        <v>5448.6891666666679</v>
      </c>
      <c r="AJ120" s="108">
        <v>4274.2414999999992</v>
      </c>
      <c r="AK120" s="108">
        <v>5591.6171666666669</v>
      </c>
      <c r="AL120" s="108">
        <v>5836.0593333333345</v>
      </c>
      <c r="AM120" s="108">
        <v>4238.0478333333331</v>
      </c>
      <c r="AN120" s="108">
        <v>6458.1213333333326</v>
      </c>
      <c r="AO120" s="108">
        <v>6329.1104999999989</v>
      </c>
      <c r="AP120" s="108">
        <v>5659.4573333333356</v>
      </c>
      <c r="AQ120" s="108">
        <v>6201.0646666666698</v>
      </c>
      <c r="AR120" s="108">
        <v>5114.4026666666659</v>
      </c>
      <c r="AS120" s="108">
        <v>5709.9628333333321</v>
      </c>
      <c r="AT120" s="108">
        <v>5761.6571666666678</v>
      </c>
      <c r="AU120" s="108">
        <v>6591.7738333333318</v>
      </c>
      <c r="AV120" s="108">
        <v>6237.277166666664</v>
      </c>
      <c r="AW120" s="108">
        <f t="shared" si="7"/>
        <v>231.90350416666669</v>
      </c>
    </row>
    <row r="121" spans="1:49">
      <c r="A121" s="149">
        <v>45863</v>
      </c>
      <c r="B121" s="150">
        <f>YEAR(Table7[[#This Row],[Date]])+IF(MONTH(Table7[[#This Row],[Date]])&gt;=4,1,0)</f>
        <v>2026</v>
      </c>
      <c r="C121" s="151">
        <f>YEAR(Table7[[#This Row],[Date]])</f>
        <v>2025</v>
      </c>
      <c r="D121" s="152">
        <f>Daily_KPI[[#This Row],[Date]]-DAY(Daily_KPI[[#This Row],[Date]])+1</f>
        <v>45839</v>
      </c>
      <c r="E121" s="108">
        <v>7052.9854999999989</v>
      </c>
      <c r="F121" s="108">
        <v>6638.720166666666</v>
      </c>
      <c r="G121" s="108">
        <v>6435.3031666666675</v>
      </c>
      <c r="H121" s="108">
        <v>6435.2400000000043</v>
      </c>
      <c r="I121" s="108">
        <v>6108.4176666666644</v>
      </c>
      <c r="J121" s="108">
        <v>5584.5361666666649</v>
      </c>
      <c r="K121" s="108">
        <v>6757.6030000000028</v>
      </c>
      <c r="L121" s="108">
        <v>6102.4990000000007</v>
      </c>
      <c r="M121" s="108">
        <v>5107.2900000000018</v>
      </c>
      <c r="N121" s="108">
        <v>5715.9176666666672</v>
      </c>
      <c r="O121" s="108">
        <v>6599.7234999999973</v>
      </c>
      <c r="P121" s="108">
        <v>6996.3283333333356</v>
      </c>
      <c r="Q121" s="108">
        <v>6895.6834999999992</v>
      </c>
      <c r="R121" s="108">
        <v>5664.4001666666636</v>
      </c>
      <c r="S121" s="108">
        <v>5556.372166666667</v>
      </c>
      <c r="T121" s="108">
        <v>5942.4559999999992</v>
      </c>
      <c r="U121" s="108">
        <v>6057.0953333333337</v>
      </c>
      <c r="V121" s="108">
        <v>6526.1565000000001</v>
      </c>
      <c r="W121" s="108">
        <v>5628.9051666666664</v>
      </c>
      <c r="X121" s="108">
        <v>5158.6903333333339</v>
      </c>
      <c r="Y121" s="108">
        <v>5562.8889999999983</v>
      </c>
      <c r="Z121" s="108">
        <v>5112.0920000000015</v>
      </c>
      <c r="AA121" s="108">
        <v>6152.8174999999974</v>
      </c>
      <c r="AB121" s="108">
        <v>6570.2768333333333</v>
      </c>
      <c r="AC121" s="108">
        <v>6382.1511666666665</v>
      </c>
      <c r="AD121" s="108">
        <v>6065.4505000000026</v>
      </c>
      <c r="AE121" s="108">
        <v>5833.5378333333329</v>
      </c>
      <c r="AF121" s="108">
        <v>6167.1125000000002</v>
      </c>
      <c r="AG121" s="108">
        <v>6774.754666666664</v>
      </c>
      <c r="AH121" s="108">
        <v>5406.1118333333334</v>
      </c>
      <c r="AI121" s="108">
        <v>5895.5359999999991</v>
      </c>
      <c r="AJ121" s="108">
        <v>4500.8734999999979</v>
      </c>
      <c r="AK121" s="108">
        <v>5842.9453333333377</v>
      </c>
      <c r="AL121" s="108">
        <v>5929.5578333333297</v>
      </c>
      <c r="AM121" s="108">
        <v>4898.2615000000033</v>
      </c>
      <c r="AN121" s="108">
        <v>5328.1149999999989</v>
      </c>
      <c r="AO121" s="108">
        <v>5228.2951666666677</v>
      </c>
      <c r="AP121" s="108">
        <v>5992.8155000000006</v>
      </c>
      <c r="AQ121" s="108">
        <v>6151.6159999999982</v>
      </c>
      <c r="AR121" s="108">
        <v>6624.1870000000026</v>
      </c>
      <c r="AS121" s="108">
        <v>7035.8868333333385</v>
      </c>
      <c r="AT121" s="108">
        <v>5542.9689999999982</v>
      </c>
      <c r="AU121" s="108">
        <v>7245.367000000002</v>
      </c>
      <c r="AV121" s="108">
        <v>7060.8998333333329</v>
      </c>
      <c r="AW121" s="108">
        <f t="shared" si="7"/>
        <v>266.26884266666673</v>
      </c>
    </row>
    <row r="122" spans="1:49">
      <c r="A122" s="145">
        <v>45864</v>
      </c>
      <c r="B122" s="146">
        <f>YEAR(Table7[[#This Row],[Date]])+IF(MONTH(Table7[[#This Row],[Date]])&gt;=4,1,0)</f>
        <v>2026</v>
      </c>
      <c r="C122" s="147">
        <f>YEAR(Table7[[#This Row],[Date]])</f>
        <v>2025</v>
      </c>
      <c r="D122" s="148">
        <f>Daily_KPI[[#This Row],[Date]]-DAY(Daily_KPI[[#This Row],[Date]])+1</f>
        <v>45839</v>
      </c>
      <c r="E122" s="108">
        <v>3311.2814999999996</v>
      </c>
      <c r="F122" s="108">
        <v>3275.9814999999994</v>
      </c>
      <c r="G122" s="108">
        <v>13705.171499999995</v>
      </c>
      <c r="H122" s="108">
        <v>3413.3426666666669</v>
      </c>
      <c r="I122" s="108">
        <v>7225.2454999999982</v>
      </c>
      <c r="J122" s="108">
        <v>4034.5491666666662</v>
      </c>
      <c r="K122" s="108">
        <v>1233.3216666666667</v>
      </c>
      <c r="L122" s="108">
        <v>7044.3906666666662</v>
      </c>
      <c r="M122" s="108">
        <v>6666.577666666667</v>
      </c>
      <c r="N122" s="108">
        <v>6664.3944999999994</v>
      </c>
      <c r="O122" s="108">
        <v>7207.2286666666632</v>
      </c>
      <c r="P122" s="108">
        <v>7314.3658333333342</v>
      </c>
      <c r="Q122" s="108">
        <v>6100.0593333333345</v>
      </c>
      <c r="R122" s="108">
        <v>5713.5951666666651</v>
      </c>
      <c r="S122" s="108">
        <v>4983.1833333333334</v>
      </c>
      <c r="T122" s="108">
        <v>7221.556333333333</v>
      </c>
      <c r="U122" s="108">
        <v>6744.3768333333355</v>
      </c>
      <c r="V122" s="108">
        <v>3422.8893333333326</v>
      </c>
      <c r="W122" s="108">
        <v>4552.7195000000002</v>
      </c>
      <c r="X122" s="108">
        <v>7064.336666666667</v>
      </c>
      <c r="Y122" s="108">
        <v>7249.4378333333325</v>
      </c>
      <c r="Z122" s="108">
        <v>7042.6143333333321</v>
      </c>
      <c r="AA122" s="108">
        <v>7267.7588333333342</v>
      </c>
      <c r="AB122" s="108">
        <v>7271.0820000000022</v>
      </c>
      <c r="AC122" s="108">
        <v>5782.9888333333329</v>
      </c>
      <c r="AD122" s="108">
        <v>5044.0083333333341</v>
      </c>
      <c r="AE122" s="108">
        <v>5718.5858333333317</v>
      </c>
      <c r="AF122" s="108">
        <v>2863.2065000000007</v>
      </c>
      <c r="AG122" s="108">
        <v>7300.3559999999998</v>
      </c>
      <c r="AH122" s="108">
        <v>7266.8014999999978</v>
      </c>
      <c r="AI122" s="108">
        <v>5317.0296666666645</v>
      </c>
      <c r="AJ122" s="108">
        <v>6826.8530000000037</v>
      </c>
      <c r="AK122" s="108">
        <v>7269.7091666666674</v>
      </c>
      <c r="AL122" s="108">
        <v>6387.9684999999999</v>
      </c>
      <c r="AM122" s="108">
        <v>6158.4949999999999</v>
      </c>
      <c r="AN122" s="108">
        <v>6265.0991666666632</v>
      </c>
      <c r="AO122" s="108">
        <v>6776.0155000000041</v>
      </c>
      <c r="AP122" s="108">
        <v>7332.673333333335</v>
      </c>
      <c r="AQ122" s="108">
        <v>7249.5346666666692</v>
      </c>
      <c r="AR122" s="108">
        <v>2920.0336666666667</v>
      </c>
      <c r="AS122" s="108">
        <v>2945.097666666667</v>
      </c>
      <c r="AT122" s="108">
        <v>2840.790500000001</v>
      </c>
      <c r="AU122" s="108">
        <v>3382.6551666666655</v>
      </c>
      <c r="AV122" s="108">
        <v>3420.7088333333345</v>
      </c>
      <c r="AW122" s="108">
        <f t="shared" si="7"/>
        <v>254.79807116666663</v>
      </c>
    </row>
    <row r="123" spans="1:49">
      <c r="A123" s="149">
        <v>45865</v>
      </c>
      <c r="B123" s="150">
        <f>YEAR(Table7[[#This Row],[Date]])+IF(MONTH(Table7[[#This Row],[Date]])&gt;=4,1,0)</f>
        <v>2026</v>
      </c>
      <c r="C123" s="151">
        <f>YEAR(Table7[[#This Row],[Date]])</f>
        <v>2025</v>
      </c>
      <c r="D123" s="152">
        <f>Daily_KPI[[#This Row],[Date]]-DAY(Daily_KPI[[#This Row],[Date]])+1</f>
        <v>45839</v>
      </c>
      <c r="E123" s="108">
        <v>7253.1421666666638</v>
      </c>
      <c r="F123" s="108">
        <v>7163.4651666666723</v>
      </c>
      <c r="G123" s="108">
        <v>6899.9243333333325</v>
      </c>
      <c r="H123" s="108">
        <v>5798.5690000000004</v>
      </c>
      <c r="I123" s="108">
        <v>7205.1939999999995</v>
      </c>
      <c r="J123" s="108">
        <v>6370.6565000000019</v>
      </c>
      <c r="K123" s="108">
        <v>7214.0236666666651</v>
      </c>
      <c r="L123" s="108">
        <v>6910.9661666666652</v>
      </c>
      <c r="M123" s="108">
        <v>6378.3413333333338</v>
      </c>
      <c r="N123" s="108">
        <v>6434.0605000000041</v>
      </c>
      <c r="O123" s="108">
        <v>7096.3335000000006</v>
      </c>
      <c r="P123" s="108">
        <v>7182.676333333332</v>
      </c>
      <c r="Q123" s="108">
        <v>4777.8799999999992</v>
      </c>
      <c r="R123" s="108">
        <v>6941.6721666666663</v>
      </c>
      <c r="S123" s="108">
        <v>6679.387999999999</v>
      </c>
      <c r="T123" s="108">
        <v>7089.0980000000018</v>
      </c>
      <c r="U123" s="108">
        <v>6809.6844999999994</v>
      </c>
      <c r="V123" s="108">
        <v>7093.4025000000001</v>
      </c>
      <c r="W123" s="108">
        <v>7168.7558333333354</v>
      </c>
      <c r="X123" s="108">
        <v>7006.6448333333319</v>
      </c>
      <c r="Y123" s="108">
        <v>7205.9216666666689</v>
      </c>
      <c r="Z123" s="108">
        <v>6766.6064999999944</v>
      </c>
      <c r="AA123" s="108">
        <v>7097.2449999999999</v>
      </c>
      <c r="AB123" s="108">
        <v>7131.1383333333315</v>
      </c>
      <c r="AC123" s="108">
        <v>7199.9890000000005</v>
      </c>
      <c r="AD123" s="108">
        <v>7217.8334999999997</v>
      </c>
      <c r="AE123" s="108">
        <v>6607.670666666666</v>
      </c>
      <c r="AF123" s="108">
        <v>6920.8316666666678</v>
      </c>
      <c r="AG123" s="108">
        <v>7230.6659999999965</v>
      </c>
      <c r="AH123" s="108">
        <v>7127.1388333333343</v>
      </c>
      <c r="AI123" s="108">
        <v>7206.4671666666663</v>
      </c>
      <c r="AJ123" s="108">
        <v>6829.0055000000002</v>
      </c>
      <c r="AK123" s="108">
        <v>7208.4123333333309</v>
      </c>
      <c r="AL123" s="108">
        <v>7236.1096666666681</v>
      </c>
      <c r="AM123" s="108">
        <v>6872.2076666666662</v>
      </c>
      <c r="AN123" s="108">
        <v>7299.2735000000021</v>
      </c>
      <c r="AO123" s="108">
        <v>6992.9813333333295</v>
      </c>
      <c r="AP123" s="108">
        <v>7235.1249999999991</v>
      </c>
      <c r="AQ123" s="108">
        <v>7277.0355000000009</v>
      </c>
      <c r="AR123" s="108">
        <v>7049.6835000000001</v>
      </c>
      <c r="AS123" s="108">
        <v>7268.5008333333326</v>
      </c>
      <c r="AT123" s="108">
        <v>7279.3470000000043</v>
      </c>
      <c r="AU123" s="108">
        <v>7322.6131666666661</v>
      </c>
      <c r="AV123" s="108">
        <v>7313.6581666666652</v>
      </c>
      <c r="AW123" s="108">
        <f t="shared" si="7"/>
        <v>306.36933999999997</v>
      </c>
    </row>
    <row r="124" spans="1:49">
      <c r="A124" s="145">
        <v>45866</v>
      </c>
      <c r="B124" s="146">
        <f>YEAR(Table7[[#This Row],[Date]])+IF(MONTH(Table7[[#This Row],[Date]])&gt;=4,1,0)</f>
        <v>2026</v>
      </c>
      <c r="C124" s="147">
        <f>YEAR(Table7[[#This Row],[Date]])</f>
        <v>2025</v>
      </c>
      <c r="D124" s="148">
        <f>Daily_KPI[[#This Row],[Date]]-DAY(Daily_KPI[[#This Row],[Date]])+1</f>
        <v>45839</v>
      </c>
      <c r="E124" s="108">
        <v>2052.4486666666658</v>
      </c>
      <c r="F124" s="108">
        <v>1954.2971666666672</v>
      </c>
      <c r="G124" s="108">
        <v>1855.4488333333336</v>
      </c>
      <c r="H124" s="108">
        <v>2005.6774999999998</v>
      </c>
      <c r="I124" s="108">
        <v>2078.7793333333329</v>
      </c>
      <c r="J124" s="108">
        <v>2042.5996666666663</v>
      </c>
      <c r="K124" s="108">
        <v>2004.78</v>
      </c>
      <c r="L124" s="108">
        <v>1872.5016666666668</v>
      </c>
      <c r="M124" s="108">
        <v>1827.0456666666669</v>
      </c>
      <c r="N124" s="108">
        <v>1859.7268333333329</v>
      </c>
      <c r="O124" s="108">
        <v>2052.8759999999997</v>
      </c>
      <c r="P124" s="108">
        <v>2111.8240000000001</v>
      </c>
      <c r="Q124" s="108">
        <v>2114.4171666666666</v>
      </c>
      <c r="R124" s="108">
        <v>1877.4529999999997</v>
      </c>
      <c r="S124" s="108">
        <v>1848.6943333333331</v>
      </c>
      <c r="T124" s="108">
        <v>1978.78</v>
      </c>
      <c r="U124" s="108">
        <v>2070.5258333333336</v>
      </c>
      <c r="V124" s="108">
        <v>1957.5034999999996</v>
      </c>
      <c r="W124" s="108">
        <v>803.83883333333335</v>
      </c>
      <c r="X124" s="108">
        <v>1913.5975000000001</v>
      </c>
      <c r="Y124" s="108">
        <v>2031.4068333333335</v>
      </c>
      <c r="Z124" s="108">
        <v>1690.4171666666671</v>
      </c>
      <c r="AA124" s="108">
        <v>1933.5788333333337</v>
      </c>
      <c r="AB124" s="108">
        <v>2034.3156666666664</v>
      </c>
      <c r="AC124" s="108">
        <v>2067.4633333333336</v>
      </c>
      <c r="AD124" s="108">
        <v>2065.603833333334</v>
      </c>
      <c r="AE124" s="108">
        <v>1712.9285000000002</v>
      </c>
      <c r="AF124" s="108">
        <v>1812.7261666666666</v>
      </c>
      <c r="AG124" s="108">
        <v>1997.1915000000001</v>
      </c>
      <c r="AH124" s="108">
        <v>1912.2255000000002</v>
      </c>
      <c r="AI124" s="108">
        <v>2052.8983333333331</v>
      </c>
      <c r="AJ124" s="108">
        <v>1837.4543333333329</v>
      </c>
      <c r="AK124" s="108">
        <v>2085.9763333333335</v>
      </c>
      <c r="AL124" s="108">
        <v>2073.9516666666668</v>
      </c>
      <c r="AM124" s="108">
        <v>1884.2939999999999</v>
      </c>
      <c r="AN124" s="108">
        <v>2115.6080000000002</v>
      </c>
      <c r="AO124" s="108">
        <v>2098.3115000000003</v>
      </c>
      <c r="AP124" s="108">
        <v>2101.5168333333331</v>
      </c>
      <c r="AQ124" s="108">
        <v>2088.4919999999997</v>
      </c>
      <c r="AR124" s="108">
        <v>1913.846333333333</v>
      </c>
      <c r="AS124" s="108">
        <v>2027.1498333333336</v>
      </c>
      <c r="AT124" s="108">
        <v>2036.4275</v>
      </c>
      <c r="AU124" s="108">
        <v>2106.5811666666664</v>
      </c>
      <c r="AV124" s="108">
        <v>2085.5338333333339</v>
      </c>
      <c r="AW124" s="108">
        <f t="shared" si="7"/>
        <v>86.048714500000003</v>
      </c>
    </row>
    <row r="125" spans="1:49">
      <c r="A125" s="149">
        <v>45867</v>
      </c>
      <c r="B125" s="150">
        <f>YEAR(Table7[[#This Row],[Date]])+IF(MONTH(Table7[[#This Row],[Date]])&gt;=4,1,0)</f>
        <v>2026</v>
      </c>
      <c r="C125" s="151">
        <f>YEAR(Table7[[#This Row],[Date]])</f>
        <v>2025</v>
      </c>
      <c r="D125" s="152">
        <f>Daily_KPI[[#This Row],[Date]]-DAY(Daily_KPI[[#This Row],[Date]])+1</f>
        <v>45839</v>
      </c>
      <c r="E125" s="108">
        <v>4762.7306666666664</v>
      </c>
      <c r="F125" s="108">
        <v>4742.126833333331</v>
      </c>
      <c r="G125" s="108">
        <v>4738.2531666666682</v>
      </c>
      <c r="H125" s="108">
        <v>2644.4005000000002</v>
      </c>
      <c r="I125" s="108">
        <v>4758.2071666666661</v>
      </c>
      <c r="J125" s="108">
        <v>4700.2960000000003</v>
      </c>
      <c r="K125" s="108">
        <v>0</v>
      </c>
      <c r="L125" s="108">
        <v>4696.2700000000013</v>
      </c>
      <c r="M125" s="108">
        <v>4332.5748333333331</v>
      </c>
      <c r="N125" s="108">
        <v>4403.6288333333323</v>
      </c>
      <c r="O125" s="108">
        <v>4750.058</v>
      </c>
      <c r="P125" s="108">
        <v>4764.4341666666669</v>
      </c>
      <c r="Q125" s="108">
        <v>4675.1871666666675</v>
      </c>
      <c r="R125" s="108">
        <v>4369.3028333333332</v>
      </c>
      <c r="S125" s="108">
        <v>4514.0908333333336</v>
      </c>
      <c r="T125" s="108">
        <v>4728.9049999999997</v>
      </c>
      <c r="U125" s="108">
        <v>4494.7951666666659</v>
      </c>
      <c r="V125" s="108">
        <v>4738.6088333333346</v>
      </c>
      <c r="W125" s="108">
        <v>0</v>
      </c>
      <c r="X125" s="108">
        <v>4664.2195000000011</v>
      </c>
      <c r="Y125" s="108">
        <v>4720.5744999999997</v>
      </c>
      <c r="Z125" s="108">
        <v>4704.0803333333342</v>
      </c>
      <c r="AA125" s="108">
        <v>4730.7304999999978</v>
      </c>
      <c r="AB125" s="108">
        <v>4747.1308333333345</v>
      </c>
      <c r="AC125" s="108">
        <v>4764.9393333333328</v>
      </c>
      <c r="AD125" s="108">
        <v>4741.9750000000004</v>
      </c>
      <c r="AE125" s="108">
        <v>4697.194333333332</v>
      </c>
      <c r="AF125" s="108">
        <v>4624.5616666666665</v>
      </c>
      <c r="AG125" s="108">
        <v>4712.9710000000005</v>
      </c>
      <c r="AH125" s="108">
        <v>4711.8683333333311</v>
      </c>
      <c r="AI125" s="108">
        <v>4721.1471666666657</v>
      </c>
      <c r="AJ125" s="108">
        <v>4450.3653333333305</v>
      </c>
      <c r="AK125" s="108">
        <v>4746.9131666666663</v>
      </c>
      <c r="AL125" s="108">
        <v>4734.6541666666681</v>
      </c>
      <c r="AM125" s="108">
        <v>4721.8528333333343</v>
      </c>
      <c r="AN125" s="108">
        <v>4760.7281666666659</v>
      </c>
      <c r="AO125" s="108">
        <v>4392.746666666666</v>
      </c>
      <c r="AP125" s="108">
        <v>4757.4119999999994</v>
      </c>
      <c r="AQ125" s="108">
        <v>4756.786000000001</v>
      </c>
      <c r="AR125" s="108">
        <v>4715.0855000000001</v>
      </c>
      <c r="AS125" s="108">
        <v>4744.547333333333</v>
      </c>
      <c r="AT125" s="108">
        <v>4735.251666666667</v>
      </c>
      <c r="AU125" s="108">
        <v>4765.2929999999988</v>
      </c>
      <c r="AV125" s="108">
        <v>4756.0976666666666</v>
      </c>
      <c r="AW125" s="108">
        <f t="shared" si="7"/>
        <v>194.39299600000001</v>
      </c>
    </row>
    <row r="126" spans="1:49">
      <c r="A126" s="145">
        <v>45868</v>
      </c>
      <c r="B126" s="146">
        <f>YEAR(Table7[[#This Row],[Date]])+IF(MONTH(Table7[[#This Row],[Date]])&gt;=4,1,0)</f>
        <v>2026</v>
      </c>
      <c r="C126" s="147">
        <f>YEAR(Table7[[#This Row],[Date]])</f>
        <v>2025</v>
      </c>
      <c r="D126" s="148">
        <f>Daily_KPI[[#This Row],[Date]]-DAY(Daily_KPI[[#This Row],[Date]])+1</f>
        <v>45839</v>
      </c>
      <c r="E126" s="108">
        <v>6923.3041666666677</v>
      </c>
      <c r="F126" s="108">
        <v>6320.9876666666651</v>
      </c>
      <c r="G126" s="108">
        <v>6082.2878333333347</v>
      </c>
      <c r="H126" s="108">
        <v>6777.2791666666662</v>
      </c>
      <c r="I126" s="108">
        <v>6957.0781666666699</v>
      </c>
      <c r="J126" s="108">
        <v>6590.6186666666654</v>
      </c>
      <c r="K126" s="108">
        <v>6721.3101666666653</v>
      </c>
      <c r="L126" s="108">
        <v>6144.331666666666</v>
      </c>
      <c r="M126" s="108">
        <v>5711.9866666666667</v>
      </c>
      <c r="N126" s="108">
        <v>5931.5303333333359</v>
      </c>
      <c r="O126" s="108">
        <v>6906.7151666666714</v>
      </c>
      <c r="P126" s="108">
        <v>7136.2805000000035</v>
      </c>
      <c r="Q126" s="108">
        <v>7109.4369999999981</v>
      </c>
      <c r="R126" s="108">
        <v>6337.2733333333335</v>
      </c>
      <c r="S126" s="108">
        <v>6405.8640000000005</v>
      </c>
      <c r="T126" s="108">
        <v>6663.3616666666649</v>
      </c>
      <c r="U126" s="108">
        <v>6965.7190000000001</v>
      </c>
      <c r="V126" s="108">
        <v>6494.2936666666656</v>
      </c>
      <c r="W126" s="108">
        <v>6535.6938333333319</v>
      </c>
      <c r="X126" s="108">
        <v>6225.9770000000017</v>
      </c>
      <c r="Y126" s="108">
        <v>6782.2708333333312</v>
      </c>
      <c r="Z126" s="108">
        <v>6202.0611666666637</v>
      </c>
      <c r="AA126" s="108">
        <v>6658.0150000000021</v>
      </c>
      <c r="AB126" s="108">
        <v>6761.9790000000021</v>
      </c>
      <c r="AC126" s="108">
        <v>6980.1854999999969</v>
      </c>
      <c r="AD126" s="108">
        <v>6954.4953333333297</v>
      </c>
      <c r="AE126" s="108">
        <v>5773.9745000000012</v>
      </c>
      <c r="AF126" s="108">
        <v>5830.8295000000026</v>
      </c>
      <c r="AG126" s="108">
        <v>6840.774833333332</v>
      </c>
      <c r="AH126" s="108">
        <v>6418.270833333333</v>
      </c>
      <c r="AI126" s="108">
        <v>6921.9524999999985</v>
      </c>
      <c r="AJ126" s="108">
        <v>5647.3336666666655</v>
      </c>
      <c r="AK126" s="108">
        <v>6821.2421666666669</v>
      </c>
      <c r="AL126" s="108">
        <v>6753.3120000000008</v>
      </c>
      <c r="AM126" s="108">
        <v>6246.4041666666662</v>
      </c>
      <c r="AN126" s="108">
        <v>7095.5496666666668</v>
      </c>
      <c r="AO126" s="108">
        <v>7170.9874999999993</v>
      </c>
      <c r="AP126" s="108">
        <v>6944.4855000000034</v>
      </c>
      <c r="AQ126" s="108">
        <v>7076.4945000000043</v>
      </c>
      <c r="AR126" s="108">
        <v>6402.6566666666668</v>
      </c>
      <c r="AS126" s="108">
        <v>6839.6058333333358</v>
      </c>
      <c r="AT126" s="108">
        <v>6748.2603333333354</v>
      </c>
      <c r="AU126" s="108">
        <v>7178.7758333333331</v>
      </c>
      <c r="AV126" s="108">
        <v>7024.2931666666655</v>
      </c>
      <c r="AW126" s="108">
        <f t="shared" ref="AW126:AW189" si="12">SUM(E126:AV126)/1000</f>
        <v>291.0155396666666</v>
      </c>
    </row>
    <row r="127" spans="1:49">
      <c r="A127" s="149">
        <v>45869</v>
      </c>
      <c r="B127" s="150">
        <f>YEAR(Table7[[#This Row],[Date]])+IF(MONTH(Table7[[#This Row],[Date]])&gt;=4,1,0)</f>
        <v>2026</v>
      </c>
      <c r="C127" s="151">
        <f>YEAR(Table7[[#This Row],[Date]])</f>
        <v>2025</v>
      </c>
      <c r="D127" s="152">
        <f>Daily_KPI[[#This Row],[Date]]-DAY(Daily_KPI[[#This Row],[Date]])+1</f>
        <v>45870</v>
      </c>
      <c r="E127" s="108">
        <v>6641.7311666666692</v>
      </c>
      <c r="F127" s="108">
        <v>6334.022666666664</v>
      </c>
      <c r="G127" s="108">
        <v>5457.7349999999951</v>
      </c>
      <c r="H127" s="108">
        <v>4842.3650000000016</v>
      </c>
      <c r="I127" s="108">
        <v>6500.637999999999</v>
      </c>
      <c r="J127" s="108">
        <v>6601.149666666669</v>
      </c>
      <c r="K127" s="108">
        <v>6514.3658333333306</v>
      </c>
      <c r="L127" s="108">
        <v>5065.9440000000031</v>
      </c>
      <c r="M127" s="108">
        <v>4415.8368333333365</v>
      </c>
      <c r="N127" s="108">
        <v>4598.8009999999967</v>
      </c>
      <c r="O127" s="108">
        <v>5902.2513333333327</v>
      </c>
      <c r="P127" s="108">
        <v>6539.6390000000001</v>
      </c>
      <c r="Q127" s="108">
        <v>6711.6615000000056</v>
      </c>
      <c r="R127" s="108">
        <v>5604.5109999999959</v>
      </c>
      <c r="S127" s="108">
        <v>5733.2996666666686</v>
      </c>
      <c r="T127" s="108">
        <v>5760.2381666666652</v>
      </c>
      <c r="U127" s="108">
        <v>6292.6908333333304</v>
      </c>
      <c r="V127" s="108">
        <v>5768.3913333333321</v>
      </c>
      <c r="W127" s="108">
        <v>5884.820333333334</v>
      </c>
      <c r="X127" s="108">
        <v>5329.1924999999983</v>
      </c>
      <c r="Y127" s="108">
        <v>6252.4716666666673</v>
      </c>
      <c r="Z127" s="108">
        <v>5329.6766666666636</v>
      </c>
      <c r="AA127" s="108">
        <v>5460.4601666666676</v>
      </c>
      <c r="AB127" s="108">
        <v>5829.3811666666661</v>
      </c>
      <c r="AC127" s="108">
        <v>6010.5459999999975</v>
      </c>
      <c r="AD127" s="108">
        <v>6065.3244999999979</v>
      </c>
      <c r="AE127" s="108">
        <v>4646.4315000000015</v>
      </c>
      <c r="AF127" s="108">
        <v>5656.5476666666664</v>
      </c>
      <c r="AG127" s="108">
        <v>6586.3086666666668</v>
      </c>
      <c r="AH127" s="108">
        <v>6204.4225000000015</v>
      </c>
      <c r="AI127" s="108">
        <v>6132.7563333333355</v>
      </c>
      <c r="AJ127" s="108">
        <v>5775.3911666666709</v>
      </c>
      <c r="AK127" s="108">
        <v>6374.1391666666668</v>
      </c>
      <c r="AL127" s="108">
        <v>6397.0339999999987</v>
      </c>
      <c r="AM127" s="108">
        <v>4986.6346666666659</v>
      </c>
      <c r="AN127" s="108">
        <v>6810.8024999999971</v>
      </c>
      <c r="AO127" s="108">
        <v>6768.1493333333337</v>
      </c>
      <c r="AP127" s="108">
        <v>6250.3241666666681</v>
      </c>
      <c r="AQ127" s="108">
        <v>6727.7126666666627</v>
      </c>
      <c r="AR127" s="108">
        <v>5943.233166666666</v>
      </c>
      <c r="AS127" s="108">
        <v>6614.1320000000023</v>
      </c>
      <c r="AT127" s="108">
        <v>6723.7068333333382</v>
      </c>
      <c r="AU127" s="108">
        <v>6937.2056666666713</v>
      </c>
      <c r="AV127" s="108">
        <v>6806.6944999999987</v>
      </c>
      <c r="AW127" s="108">
        <f t="shared" si="12"/>
        <v>263.78877150000005</v>
      </c>
    </row>
    <row r="128" spans="1:49">
      <c r="A128" s="145">
        <v>45870</v>
      </c>
      <c r="B128" s="146">
        <f>YEAR(Table7[[#This Row],[Date]])+IF(MONTH(Table7[[#This Row],[Date]])&gt;=4,1,0)</f>
        <v>2026</v>
      </c>
      <c r="C128" s="147">
        <f>YEAR(Table7[[#This Row],[Date]])</f>
        <v>2025</v>
      </c>
      <c r="D128" s="148">
        <f>Daily_KPI[[#This Row],[Date]]-DAY(Daily_KPI[[#This Row],[Date]])+1</f>
        <v>45870</v>
      </c>
      <c r="E128" s="108">
        <v>4019.3746666666652</v>
      </c>
      <c r="F128" s="108">
        <v>2895.5174999999986</v>
      </c>
      <c r="G128" s="108">
        <v>2992.3238333333334</v>
      </c>
      <c r="H128" s="108">
        <v>2884.729333333335</v>
      </c>
      <c r="I128" s="108">
        <v>3915.9115000000015</v>
      </c>
      <c r="J128" s="108">
        <v>3347.7758333333345</v>
      </c>
      <c r="K128" s="108">
        <v>2971.3226666666683</v>
      </c>
      <c r="L128" s="108">
        <v>2460.4633333333336</v>
      </c>
      <c r="M128" s="108">
        <v>1871.8763333333336</v>
      </c>
      <c r="N128" s="108">
        <v>2533.9174999999991</v>
      </c>
      <c r="O128" s="108">
        <v>3353.3033333333319</v>
      </c>
      <c r="P128" s="108">
        <v>3599.8731666666658</v>
      </c>
      <c r="Q128" s="108">
        <v>3364.9388333333341</v>
      </c>
      <c r="R128" s="108">
        <v>2781.611166666667</v>
      </c>
      <c r="S128" s="108">
        <v>2529.0209999999988</v>
      </c>
      <c r="T128" s="108">
        <v>2849.5674999999992</v>
      </c>
      <c r="U128" s="108">
        <v>3215.2526666666658</v>
      </c>
      <c r="V128" s="108">
        <v>2898.5583333333329</v>
      </c>
      <c r="W128" s="108">
        <v>2456.2166666666658</v>
      </c>
      <c r="X128" s="108">
        <v>1965.6346666666677</v>
      </c>
      <c r="Y128" s="108">
        <v>3015.1786666666667</v>
      </c>
      <c r="Z128" s="108">
        <v>2637.7145000000005</v>
      </c>
      <c r="AA128" s="108">
        <v>2515.7763333333332</v>
      </c>
      <c r="AB128" s="108">
        <v>2843.0993333333322</v>
      </c>
      <c r="AC128" s="108">
        <v>3181.7991666666644</v>
      </c>
      <c r="AD128" s="108">
        <v>2807.6646666666688</v>
      </c>
      <c r="AE128" s="108">
        <v>2564.1629999999986</v>
      </c>
      <c r="AF128" s="108">
        <v>2261.1746666666681</v>
      </c>
      <c r="AG128" s="108">
        <v>3084.0389999999993</v>
      </c>
      <c r="AH128" s="108">
        <v>2843.8401666666655</v>
      </c>
      <c r="AI128" s="108">
        <v>3043.8223333333349</v>
      </c>
      <c r="AJ128" s="108">
        <v>1995.9518333333335</v>
      </c>
      <c r="AK128" s="108">
        <v>3765.858333333334</v>
      </c>
      <c r="AL128" s="108">
        <v>3531.9123333333332</v>
      </c>
      <c r="AM128" s="108">
        <v>2212.7310000000002</v>
      </c>
      <c r="AN128" s="108">
        <v>4060.9505000000008</v>
      </c>
      <c r="AO128" s="108">
        <v>4025.3433333333301</v>
      </c>
      <c r="AP128" s="108">
        <v>3595.4650000000006</v>
      </c>
      <c r="AQ128" s="108">
        <v>3929.0138333333343</v>
      </c>
      <c r="AR128" s="108">
        <v>2969.1555000000008</v>
      </c>
      <c r="AS128" s="108">
        <v>3413.5198333333324</v>
      </c>
      <c r="AT128" s="108">
        <v>3247.1838333333358</v>
      </c>
      <c r="AU128" s="108">
        <v>4210.107666666664</v>
      </c>
      <c r="AV128" s="108">
        <v>3601.9834999999989</v>
      </c>
      <c r="AW128" s="108">
        <f t="shared" si="12"/>
        <v>134.26463816666663</v>
      </c>
    </row>
    <row r="129" spans="1:49">
      <c r="A129" s="149">
        <v>45871</v>
      </c>
      <c r="B129" s="150">
        <f>YEAR(Table7[[#This Row],[Date]])+IF(MONTH(Table7[[#This Row],[Date]])&gt;=4,1,0)</f>
        <v>2026</v>
      </c>
      <c r="C129" s="151">
        <f>YEAR(Table7[[#This Row],[Date]])</f>
        <v>2025</v>
      </c>
      <c r="D129" s="152">
        <f>Daily_KPI[[#This Row],[Date]]-DAY(Daily_KPI[[#This Row],[Date]])+1</f>
        <v>45870</v>
      </c>
      <c r="E129">
        <v>2720.614</v>
      </c>
      <c r="F129">
        <v>1955.1664999999996</v>
      </c>
      <c r="G129">
        <v>1985.6265000000001</v>
      </c>
      <c r="H129">
        <v>2165.699666666666</v>
      </c>
      <c r="I129">
        <v>2750.4103333333328</v>
      </c>
      <c r="J129">
        <v>2079.2913333333331</v>
      </c>
      <c r="K129">
        <v>1781.8888333333327</v>
      </c>
      <c r="L129">
        <v>1404.7136666666659</v>
      </c>
      <c r="M129">
        <v>1076.2750000000005</v>
      </c>
      <c r="N129">
        <v>1478.5223333333336</v>
      </c>
      <c r="O129">
        <v>1779.047833333334</v>
      </c>
      <c r="P129">
        <v>1827.323333333333</v>
      </c>
      <c r="Q129">
        <v>1542.438166666667</v>
      </c>
      <c r="R129">
        <v>1535.6324999999999</v>
      </c>
      <c r="S129">
        <v>1463.4608333333333</v>
      </c>
      <c r="T129">
        <v>1600.0616666666665</v>
      </c>
      <c r="U129">
        <v>1763.4275000000007</v>
      </c>
      <c r="V129">
        <v>1959.6008333333332</v>
      </c>
      <c r="W129">
        <v>1465.6716666666662</v>
      </c>
      <c r="X129">
        <v>1173.8358333333338</v>
      </c>
      <c r="Y129">
        <v>2071.2076666666667</v>
      </c>
      <c r="Z129">
        <v>2031.646</v>
      </c>
      <c r="AA129">
        <v>1703.6038333333333</v>
      </c>
      <c r="AB129">
        <v>1876.6500000000005</v>
      </c>
      <c r="AC129">
        <v>1889.2741666666661</v>
      </c>
      <c r="AD129">
        <v>1513.9319999999996</v>
      </c>
      <c r="AE129">
        <v>1644.4415000000001</v>
      </c>
      <c r="AF129">
        <v>1500.6595</v>
      </c>
      <c r="AG129">
        <v>2177.3216666666667</v>
      </c>
      <c r="AH129">
        <v>1856.7206666666668</v>
      </c>
      <c r="AI129">
        <v>1716.6474999999998</v>
      </c>
      <c r="AJ129">
        <v>1240.4121666666667</v>
      </c>
      <c r="AK129">
        <v>2713.020500000001</v>
      </c>
      <c r="AL129">
        <v>2333.4353333333333</v>
      </c>
      <c r="AM129">
        <v>1158.3720000000005</v>
      </c>
      <c r="AN129">
        <v>2942.5411666666682</v>
      </c>
      <c r="AO129">
        <v>2964.3458333333333</v>
      </c>
      <c r="AP129">
        <v>2576.9509999999987</v>
      </c>
      <c r="AQ129">
        <v>2727.4314999999988</v>
      </c>
      <c r="AR129">
        <v>1965.9441666666655</v>
      </c>
      <c r="AS129">
        <v>2332.5516666666663</v>
      </c>
      <c r="AT129">
        <v>2256.5943333333335</v>
      </c>
      <c r="AU129">
        <v>2871.9826666666668</v>
      </c>
      <c r="AV129">
        <v>2186.1788333333329</v>
      </c>
      <c r="AW129" s="108">
        <f t="shared" si="12"/>
        <v>85.760574000000005</v>
      </c>
    </row>
    <row r="130" spans="1:49">
      <c r="A130" s="145">
        <v>45872</v>
      </c>
      <c r="B130" s="146">
        <f>YEAR(Table7[[#This Row],[Date]])+IF(MONTH(Table7[[#This Row],[Date]])&gt;=4,1,0)</f>
        <v>2026</v>
      </c>
      <c r="C130" s="147">
        <f>YEAR(Table7[[#This Row],[Date]])</f>
        <v>2025</v>
      </c>
      <c r="D130" s="148">
        <f>Daily_KPI[[#This Row],[Date]]-DAY(Daily_KPI[[#This Row],[Date]])+1</f>
        <v>45870</v>
      </c>
      <c r="AW130" s="108">
        <f t="shared" si="12"/>
        <v>0</v>
      </c>
    </row>
    <row r="131" spans="1:49">
      <c r="A131" s="149">
        <v>45873</v>
      </c>
      <c r="B131" s="150">
        <f>YEAR(Table7[[#This Row],[Date]])+IF(MONTH(Table7[[#This Row],[Date]])&gt;=4,1,0)</f>
        <v>2026</v>
      </c>
      <c r="C131" s="151">
        <f>YEAR(Table7[[#This Row],[Date]])</f>
        <v>2025</v>
      </c>
      <c r="D131" s="152">
        <f>Daily_KPI[[#This Row],[Date]]-DAY(Daily_KPI[[#This Row],[Date]])+1</f>
        <v>45870</v>
      </c>
      <c r="AW131" s="108">
        <f t="shared" si="12"/>
        <v>0</v>
      </c>
    </row>
    <row r="132" spans="1:49">
      <c r="A132" s="145">
        <v>45874</v>
      </c>
      <c r="B132" s="146">
        <f>YEAR(Table7[[#This Row],[Date]])+IF(MONTH(Table7[[#This Row],[Date]])&gt;=4,1,0)</f>
        <v>2026</v>
      </c>
      <c r="C132" s="147">
        <f>YEAR(Table7[[#This Row],[Date]])</f>
        <v>2025</v>
      </c>
      <c r="D132" s="148">
        <f>Daily_KPI[[#This Row],[Date]]-DAY(Daily_KPI[[#This Row],[Date]])+1</f>
        <v>45870</v>
      </c>
      <c r="AW132" s="108">
        <f t="shared" si="12"/>
        <v>0</v>
      </c>
    </row>
    <row r="133" spans="1:49">
      <c r="A133" s="149">
        <v>45875</v>
      </c>
      <c r="B133" s="150">
        <f>YEAR(Table7[[#This Row],[Date]])+IF(MONTH(Table7[[#This Row],[Date]])&gt;=4,1,0)</f>
        <v>2026</v>
      </c>
      <c r="C133" s="151">
        <f>YEAR(Table7[[#This Row],[Date]])</f>
        <v>2025</v>
      </c>
      <c r="D133" s="152">
        <f>Daily_KPI[[#This Row],[Date]]-DAY(Daily_KPI[[#This Row],[Date]])+1</f>
        <v>45870</v>
      </c>
      <c r="AW133" s="108">
        <f t="shared" si="12"/>
        <v>0</v>
      </c>
    </row>
    <row r="134" spans="1:49">
      <c r="A134" s="145">
        <v>45876</v>
      </c>
      <c r="B134" s="146">
        <f>YEAR(Table7[[#This Row],[Date]])+IF(MONTH(Table7[[#This Row],[Date]])&gt;=4,1,0)</f>
        <v>2026</v>
      </c>
      <c r="C134" s="147">
        <f>YEAR(Table7[[#This Row],[Date]])</f>
        <v>2025</v>
      </c>
      <c r="D134" s="148">
        <f>Daily_KPI[[#This Row],[Date]]-DAY(Daily_KPI[[#This Row],[Date]])+1</f>
        <v>45870</v>
      </c>
      <c r="AW134" s="108">
        <f t="shared" si="12"/>
        <v>0</v>
      </c>
    </row>
    <row r="135" spans="1:49">
      <c r="A135" s="149">
        <v>45877</v>
      </c>
      <c r="B135" s="150">
        <f>YEAR(Table7[[#This Row],[Date]])+IF(MONTH(Table7[[#This Row],[Date]])&gt;=4,1,0)</f>
        <v>2026</v>
      </c>
      <c r="C135" s="151">
        <f>YEAR(Table7[[#This Row],[Date]])</f>
        <v>2025</v>
      </c>
      <c r="D135" s="152">
        <f>Daily_KPI[[#This Row],[Date]]-DAY(Daily_KPI[[#This Row],[Date]])+1</f>
        <v>45870</v>
      </c>
      <c r="AW135" s="108">
        <f t="shared" si="12"/>
        <v>0</v>
      </c>
    </row>
    <row r="136" spans="1:49">
      <c r="A136" s="145">
        <v>45878</v>
      </c>
      <c r="B136" s="146">
        <f>YEAR(Table7[[#This Row],[Date]])+IF(MONTH(Table7[[#This Row],[Date]])&gt;=4,1,0)</f>
        <v>2026</v>
      </c>
      <c r="C136" s="147">
        <f>YEAR(Table7[[#This Row],[Date]])</f>
        <v>2025</v>
      </c>
      <c r="D136" s="148">
        <f>Daily_KPI[[#This Row],[Date]]-DAY(Daily_KPI[[#This Row],[Date]])+1</f>
        <v>45870</v>
      </c>
      <c r="AW136" s="108">
        <f t="shared" si="12"/>
        <v>0</v>
      </c>
    </row>
    <row r="137" spans="1:49">
      <c r="A137" s="149">
        <v>45879</v>
      </c>
      <c r="B137" s="150">
        <f>YEAR(Table7[[#This Row],[Date]])+IF(MONTH(Table7[[#This Row],[Date]])&gt;=4,1,0)</f>
        <v>2026</v>
      </c>
      <c r="C137" s="151">
        <f>YEAR(Table7[[#This Row],[Date]])</f>
        <v>2025</v>
      </c>
      <c r="D137" s="152">
        <f>Daily_KPI[[#This Row],[Date]]-DAY(Daily_KPI[[#This Row],[Date]])+1</f>
        <v>45870</v>
      </c>
      <c r="AW137" s="108">
        <f t="shared" si="12"/>
        <v>0</v>
      </c>
    </row>
    <row r="138" spans="1:49">
      <c r="A138" s="145">
        <v>45880</v>
      </c>
      <c r="B138" s="146">
        <f>YEAR(Table7[[#This Row],[Date]])+IF(MONTH(Table7[[#This Row],[Date]])&gt;=4,1,0)</f>
        <v>2026</v>
      </c>
      <c r="C138" s="147">
        <f>YEAR(Table7[[#This Row],[Date]])</f>
        <v>2025</v>
      </c>
      <c r="D138" s="148">
        <f>Daily_KPI[[#This Row],[Date]]-DAY(Daily_KPI[[#This Row],[Date]])+1</f>
        <v>45870</v>
      </c>
      <c r="AW138" s="108">
        <f t="shared" si="12"/>
        <v>0</v>
      </c>
    </row>
    <row r="139" spans="1:49">
      <c r="A139" s="149">
        <v>45881</v>
      </c>
      <c r="B139" s="150">
        <f>YEAR(Table7[[#This Row],[Date]])+IF(MONTH(Table7[[#This Row],[Date]])&gt;=4,1,0)</f>
        <v>2026</v>
      </c>
      <c r="C139" s="151">
        <f>YEAR(Table7[[#This Row],[Date]])</f>
        <v>2025</v>
      </c>
      <c r="D139" s="152">
        <f>Daily_KPI[[#This Row],[Date]]-DAY(Daily_KPI[[#This Row],[Date]])+1</f>
        <v>45870</v>
      </c>
      <c r="AW139" s="108">
        <f t="shared" si="12"/>
        <v>0</v>
      </c>
    </row>
    <row r="140" spans="1:49">
      <c r="A140" s="145">
        <v>45882</v>
      </c>
      <c r="B140" s="146">
        <f>YEAR(Table7[[#This Row],[Date]])+IF(MONTH(Table7[[#This Row],[Date]])&gt;=4,1,0)</f>
        <v>2026</v>
      </c>
      <c r="C140" s="147">
        <f>YEAR(Table7[[#This Row],[Date]])</f>
        <v>2025</v>
      </c>
      <c r="D140" s="148">
        <f>Daily_KPI[[#This Row],[Date]]-DAY(Daily_KPI[[#This Row],[Date]])+1</f>
        <v>45870</v>
      </c>
      <c r="AW140" s="108">
        <f t="shared" si="12"/>
        <v>0</v>
      </c>
    </row>
    <row r="141" spans="1:49">
      <c r="A141" s="149">
        <v>45883</v>
      </c>
      <c r="B141" s="150">
        <f>YEAR(Table7[[#This Row],[Date]])+IF(MONTH(Table7[[#This Row],[Date]])&gt;=4,1,0)</f>
        <v>2026</v>
      </c>
      <c r="C141" s="151">
        <f>YEAR(Table7[[#This Row],[Date]])</f>
        <v>2025</v>
      </c>
      <c r="D141" s="152">
        <f>Daily_KPI[[#This Row],[Date]]-DAY(Daily_KPI[[#This Row],[Date]])+1</f>
        <v>45870</v>
      </c>
      <c r="AW141" s="108">
        <f t="shared" si="12"/>
        <v>0</v>
      </c>
    </row>
    <row r="142" spans="1:49">
      <c r="A142" s="145">
        <v>45884</v>
      </c>
      <c r="B142" s="146">
        <f>YEAR(Table7[[#This Row],[Date]])+IF(MONTH(Table7[[#This Row],[Date]])&gt;=4,1,0)</f>
        <v>2026</v>
      </c>
      <c r="C142" s="147">
        <f>YEAR(Table7[[#This Row],[Date]])</f>
        <v>2025</v>
      </c>
      <c r="D142" s="148">
        <f>Daily_KPI[[#This Row],[Date]]-DAY(Daily_KPI[[#This Row],[Date]])+1</f>
        <v>45870</v>
      </c>
      <c r="AW142" s="108">
        <f t="shared" si="12"/>
        <v>0</v>
      </c>
    </row>
    <row r="143" spans="1:49">
      <c r="A143" s="149">
        <v>45885</v>
      </c>
      <c r="B143" s="150">
        <f>YEAR(Table7[[#This Row],[Date]])+IF(MONTH(Table7[[#This Row],[Date]])&gt;=4,1,0)</f>
        <v>2026</v>
      </c>
      <c r="C143" s="151">
        <f>YEAR(Table7[[#This Row],[Date]])</f>
        <v>2025</v>
      </c>
      <c r="D143" s="152">
        <f>Daily_KPI[[#This Row],[Date]]-DAY(Daily_KPI[[#This Row],[Date]])+1</f>
        <v>45870</v>
      </c>
      <c r="AW143" s="108">
        <f t="shared" si="12"/>
        <v>0</v>
      </c>
    </row>
    <row r="144" spans="1:49">
      <c r="A144" s="145">
        <v>45886</v>
      </c>
      <c r="B144" s="146">
        <f>YEAR(Table7[[#This Row],[Date]])+IF(MONTH(Table7[[#This Row],[Date]])&gt;=4,1,0)</f>
        <v>2026</v>
      </c>
      <c r="C144" s="147">
        <f>YEAR(Table7[[#This Row],[Date]])</f>
        <v>2025</v>
      </c>
      <c r="D144" s="148">
        <f>Daily_KPI[[#This Row],[Date]]-DAY(Daily_KPI[[#This Row],[Date]])+1</f>
        <v>45870</v>
      </c>
      <c r="AW144" s="108">
        <f t="shared" si="12"/>
        <v>0</v>
      </c>
    </row>
    <row r="145" spans="1:49">
      <c r="A145" s="149">
        <v>45887</v>
      </c>
      <c r="B145" s="150">
        <f>YEAR(Table7[[#This Row],[Date]])+IF(MONTH(Table7[[#This Row],[Date]])&gt;=4,1,0)</f>
        <v>2026</v>
      </c>
      <c r="C145" s="151">
        <f>YEAR(Table7[[#This Row],[Date]])</f>
        <v>2025</v>
      </c>
      <c r="D145" s="152">
        <f>Daily_KPI[[#This Row],[Date]]-DAY(Daily_KPI[[#This Row],[Date]])+1</f>
        <v>45870</v>
      </c>
      <c r="AW145" s="108">
        <f t="shared" si="12"/>
        <v>0</v>
      </c>
    </row>
    <row r="146" spans="1:49">
      <c r="A146" s="145">
        <v>45888</v>
      </c>
      <c r="B146" s="146">
        <f>YEAR(Table7[[#This Row],[Date]])+IF(MONTH(Table7[[#This Row],[Date]])&gt;=4,1,0)</f>
        <v>2026</v>
      </c>
      <c r="C146" s="147">
        <f>YEAR(Table7[[#This Row],[Date]])</f>
        <v>2025</v>
      </c>
      <c r="D146" s="148">
        <f>Daily_KPI[[#This Row],[Date]]-DAY(Daily_KPI[[#This Row],[Date]])+1</f>
        <v>45870</v>
      </c>
      <c r="AW146" s="108">
        <f t="shared" si="12"/>
        <v>0</v>
      </c>
    </row>
    <row r="147" spans="1:49">
      <c r="A147" s="149">
        <v>45889</v>
      </c>
      <c r="B147" s="150">
        <f>YEAR(Table7[[#This Row],[Date]])+IF(MONTH(Table7[[#This Row],[Date]])&gt;=4,1,0)</f>
        <v>2026</v>
      </c>
      <c r="C147" s="151">
        <f>YEAR(Table7[[#This Row],[Date]])</f>
        <v>2025</v>
      </c>
      <c r="D147" s="152">
        <f>Daily_KPI[[#This Row],[Date]]-DAY(Daily_KPI[[#This Row],[Date]])+1</f>
        <v>45870</v>
      </c>
      <c r="AW147" s="108">
        <f t="shared" si="12"/>
        <v>0</v>
      </c>
    </row>
    <row r="148" spans="1:49">
      <c r="A148" s="145">
        <v>45890</v>
      </c>
      <c r="B148" s="146">
        <f>YEAR(Table7[[#This Row],[Date]])+IF(MONTH(Table7[[#This Row],[Date]])&gt;=4,1,0)</f>
        <v>2026</v>
      </c>
      <c r="C148" s="147">
        <f>YEAR(Table7[[#This Row],[Date]])</f>
        <v>2025</v>
      </c>
      <c r="D148" s="148">
        <f>Daily_KPI[[#This Row],[Date]]-DAY(Daily_KPI[[#This Row],[Date]])+1</f>
        <v>45870</v>
      </c>
      <c r="AW148" s="108">
        <f t="shared" si="12"/>
        <v>0</v>
      </c>
    </row>
    <row r="149" spans="1:49">
      <c r="A149" s="149">
        <v>45891</v>
      </c>
      <c r="B149" s="150">
        <f>YEAR(Table7[[#This Row],[Date]])+IF(MONTH(Table7[[#This Row],[Date]])&gt;=4,1,0)</f>
        <v>2026</v>
      </c>
      <c r="C149" s="151">
        <f>YEAR(Table7[[#This Row],[Date]])</f>
        <v>2025</v>
      </c>
      <c r="D149" s="152">
        <f>Daily_KPI[[#This Row],[Date]]-DAY(Daily_KPI[[#This Row],[Date]])+1</f>
        <v>45870</v>
      </c>
      <c r="AW149" s="108">
        <f t="shared" si="12"/>
        <v>0</v>
      </c>
    </row>
    <row r="150" spans="1:49">
      <c r="A150" s="145">
        <v>45892</v>
      </c>
      <c r="B150" s="146">
        <f>YEAR(Table7[[#This Row],[Date]])+IF(MONTH(Table7[[#This Row],[Date]])&gt;=4,1,0)</f>
        <v>2026</v>
      </c>
      <c r="C150" s="147">
        <f>YEAR(Table7[[#This Row],[Date]])</f>
        <v>2025</v>
      </c>
      <c r="D150" s="148">
        <f>Daily_KPI[[#This Row],[Date]]-DAY(Daily_KPI[[#This Row],[Date]])+1</f>
        <v>45870</v>
      </c>
      <c r="AW150" s="108">
        <f t="shared" si="12"/>
        <v>0</v>
      </c>
    </row>
    <row r="151" spans="1:49">
      <c r="A151" s="149">
        <v>45893</v>
      </c>
      <c r="B151" s="150">
        <f>YEAR(Table7[[#This Row],[Date]])+IF(MONTH(Table7[[#This Row],[Date]])&gt;=4,1,0)</f>
        <v>2026</v>
      </c>
      <c r="C151" s="151">
        <f>YEAR(Table7[[#This Row],[Date]])</f>
        <v>2025</v>
      </c>
      <c r="D151" s="152">
        <f>Daily_KPI[[#This Row],[Date]]-DAY(Daily_KPI[[#This Row],[Date]])+1</f>
        <v>45870</v>
      </c>
      <c r="AW151" s="108">
        <f t="shared" si="12"/>
        <v>0</v>
      </c>
    </row>
    <row r="152" spans="1:49">
      <c r="A152" s="145">
        <v>45894</v>
      </c>
      <c r="B152" s="146">
        <f>YEAR(Table7[[#This Row],[Date]])+IF(MONTH(Table7[[#This Row],[Date]])&gt;=4,1,0)</f>
        <v>2026</v>
      </c>
      <c r="C152" s="147">
        <f>YEAR(Table7[[#This Row],[Date]])</f>
        <v>2025</v>
      </c>
      <c r="D152" s="148">
        <f>Daily_KPI[[#This Row],[Date]]-DAY(Daily_KPI[[#This Row],[Date]])+1</f>
        <v>45870</v>
      </c>
      <c r="AW152" s="108">
        <f t="shared" si="12"/>
        <v>0</v>
      </c>
    </row>
    <row r="153" spans="1:49">
      <c r="A153" s="149">
        <v>45895</v>
      </c>
      <c r="B153" s="150">
        <f>YEAR(Table7[[#This Row],[Date]])+IF(MONTH(Table7[[#This Row],[Date]])&gt;=4,1,0)</f>
        <v>2026</v>
      </c>
      <c r="C153" s="151">
        <f>YEAR(Table7[[#This Row],[Date]])</f>
        <v>2025</v>
      </c>
      <c r="D153" s="152">
        <f>Daily_KPI[[#This Row],[Date]]-DAY(Daily_KPI[[#This Row],[Date]])+1</f>
        <v>45870</v>
      </c>
      <c r="AW153" s="108">
        <f t="shared" si="12"/>
        <v>0</v>
      </c>
    </row>
    <row r="154" spans="1:49">
      <c r="A154" s="145">
        <v>45896</v>
      </c>
      <c r="B154" s="146">
        <f>YEAR(Table7[[#This Row],[Date]])+IF(MONTH(Table7[[#This Row],[Date]])&gt;=4,1,0)</f>
        <v>2026</v>
      </c>
      <c r="C154" s="147">
        <f>YEAR(Table7[[#This Row],[Date]])</f>
        <v>2025</v>
      </c>
      <c r="D154" s="148">
        <f>Daily_KPI[[#This Row],[Date]]-DAY(Daily_KPI[[#This Row],[Date]])+1</f>
        <v>45870</v>
      </c>
      <c r="AW154" s="108">
        <f t="shared" si="12"/>
        <v>0</v>
      </c>
    </row>
    <row r="155" spans="1:49">
      <c r="A155" s="149">
        <v>45897</v>
      </c>
      <c r="B155" s="150">
        <f>YEAR(Table7[[#This Row],[Date]])+IF(MONTH(Table7[[#This Row],[Date]])&gt;=4,1,0)</f>
        <v>2026</v>
      </c>
      <c r="C155" s="151">
        <f>YEAR(Table7[[#This Row],[Date]])</f>
        <v>2025</v>
      </c>
      <c r="D155" s="152">
        <f>Daily_KPI[[#This Row],[Date]]-DAY(Daily_KPI[[#This Row],[Date]])+1</f>
        <v>45870</v>
      </c>
      <c r="AW155" s="108">
        <f t="shared" si="12"/>
        <v>0</v>
      </c>
    </row>
    <row r="156" spans="1:49">
      <c r="A156" s="145">
        <v>45898</v>
      </c>
      <c r="B156" s="146">
        <f>YEAR(Table7[[#This Row],[Date]])+IF(MONTH(Table7[[#This Row],[Date]])&gt;=4,1,0)</f>
        <v>2026</v>
      </c>
      <c r="C156" s="147">
        <f>YEAR(Table7[[#This Row],[Date]])</f>
        <v>2025</v>
      </c>
      <c r="D156" s="148">
        <f>Daily_KPI[[#This Row],[Date]]-DAY(Daily_KPI[[#This Row],[Date]])+1</f>
        <v>45870</v>
      </c>
      <c r="AW156" s="108">
        <f t="shared" si="12"/>
        <v>0</v>
      </c>
    </row>
    <row r="157" spans="1:49">
      <c r="A157" s="149">
        <v>45899</v>
      </c>
      <c r="B157" s="150">
        <f>YEAR(Table7[[#This Row],[Date]])+IF(MONTH(Table7[[#This Row],[Date]])&gt;=4,1,0)</f>
        <v>2026</v>
      </c>
      <c r="C157" s="151">
        <f>YEAR(Table7[[#This Row],[Date]])</f>
        <v>2025</v>
      </c>
      <c r="D157" s="152">
        <f>Daily_KPI[[#This Row],[Date]]-DAY(Daily_KPI[[#This Row],[Date]])+1</f>
        <v>45870</v>
      </c>
      <c r="AW157" s="108">
        <f t="shared" si="12"/>
        <v>0</v>
      </c>
    </row>
    <row r="158" spans="1:49">
      <c r="A158" s="145">
        <v>45900</v>
      </c>
      <c r="B158" s="146">
        <f>YEAR(Table7[[#This Row],[Date]])+IF(MONTH(Table7[[#This Row],[Date]])&gt;=4,1,0)</f>
        <v>2026</v>
      </c>
      <c r="C158" s="147">
        <f>YEAR(Table7[[#This Row],[Date]])</f>
        <v>2025</v>
      </c>
      <c r="D158" s="148">
        <f>Daily_KPI[[#This Row],[Date]]-DAY(Daily_KPI[[#This Row],[Date]])+1</f>
        <v>45901</v>
      </c>
      <c r="AW158" s="108">
        <f t="shared" si="12"/>
        <v>0</v>
      </c>
    </row>
    <row r="159" spans="1:49">
      <c r="A159" s="149">
        <v>45901</v>
      </c>
      <c r="B159" s="150">
        <f>YEAR(Table7[[#This Row],[Date]])+IF(MONTH(Table7[[#This Row],[Date]])&gt;=4,1,0)</f>
        <v>2026</v>
      </c>
      <c r="C159" s="151">
        <f>YEAR(Table7[[#This Row],[Date]])</f>
        <v>2025</v>
      </c>
      <c r="D159" s="152">
        <f>Daily_KPI[[#This Row],[Date]]-DAY(Daily_KPI[[#This Row],[Date]])+1</f>
        <v>45901</v>
      </c>
      <c r="AW159" s="108">
        <f t="shared" si="12"/>
        <v>0</v>
      </c>
    </row>
    <row r="160" spans="1:49">
      <c r="A160" s="145">
        <v>45902</v>
      </c>
      <c r="B160" s="146">
        <f>YEAR(Table7[[#This Row],[Date]])+IF(MONTH(Table7[[#This Row],[Date]])&gt;=4,1,0)</f>
        <v>2026</v>
      </c>
      <c r="C160" s="147">
        <f>YEAR(Table7[[#This Row],[Date]])</f>
        <v>2025</v>
      </c>
      <c r="D160" s="148">
        <f>Daily_KPI[[#This Row],[Date]]-DAY(Daily_KPI[[#This Row],[Date]])+1</f>
        <v>45901</v>
      </c>
      <c r="AW160" s="108">
        <f t="shared" si="12"/>
        <v>0</v>
      </c>
    </row>
    <row r="161" spans="1:49">
      <c r="A161" s="149">
        <v>45903</v>
      </c>
      <c r="B161" s="150">
        <f>YEAR(Table7[[#This Row],[Date]])+IF(MONTH(Table7[[#This Row],[Date]])&gt;=4,1,0)</f>
        <v>2026</v>
      </c>
      <c r="C161" s="151">
        <f>YEAR(Table7[[#This Row],[Date]])</f>
        <v>2025</v>
      </c>
      <c r="D161" s="152">
        <f>Daily_KPI[[#This Row],[Date]]-DAY(Daily_KPI[[#This Row],[Date]])+1</f>
        <v>45901</v>
      </c>
      <c r="AW161" s="108">
        <f t="shared" si="12"/>
        <v>0</v>
      </c>
    </row>
    <row r="162" spans="1:49">
      <c r="A162" s="145">
        <v>45904</v>
      </c>
      <c r="B162" s="146">
        <f>YEAR(Table7[[#This Row],[Date]])+IF(MONTH(Table7[[#This Row],[Date]])&gt;=4,1,0)</f>
        <v>2026</v>
      </c>
      <c r="C162" s="147">
        <f>YEAR(Table7[[#This Row],[Date]])</f>
        <v>2025</v>
      </c>
      <c r="D162" s="148">
        <f>Daily_KPI[[#This Row],[Date]]-DAY(Daily_KPI[[#This Row],[Date]])+1</f>
        <v>45901</v>
      </c>
      <c r="AW162" s="108">
        <f t="shared" si="12"/>
        <v>0</v>
      </c>
    </row>
    <row r="163" spans="1:49">
      <c r="A163" s="149">
        <v>45905</v>
      </c>
      <c r="B163" s="150">
        <f>YEAR(Table7[[#This Row],[Date]])+IF(MONTH(Table7[[#This Row],[Date]])&gt;=4,1,0)</f>
        <v>2026</v>
      </c>
      <c r="C163" s="151">
        <f>YEAR(Table7[[#This Row],[Date]])</f>
        <v>2025</v>
      </c>
      <c r="D163" s="152">
        <f>Daily_KPI[[#This Row],[Date]]-DAY(Daily_KPI[[#This Row],[Date]])+1</f>
        <v>45901</v>
      </c>
      <c r="AW163" s="108">
        <f t="shared" si="12"/>
        <v>0</v>
      </c>
    </row>
    <row r="164" spans="1:49">
      <c r="A164" s="145">
        <v>45906</v>
      </c>
      <c r="B164" s="146">
        <f>YEAR(Table7[[#This Row],[Date]])+IF(MONTH(Table7[[#This Row],[Date]])&gt;=4,1,0)</f>
        <v>2026</v>
      </c>
      <c r="C164" s="147">
        <f>YEAR(Table7[[#This Row],[Date]])</f>
        <v>2025</v>
      </c>
      <c r="D164" s="148">
        <f>Daily_KPI[[#This Row],[Date]]-DAY(Daily_KPI[[#This Row],[Date]])+1</f>
        <v>45901</v>
      </c>
      <c r="AW164" s="108">
        <f t="shared" si="12"/>
        <v>0</v>
      </c>
    </row>
    <row r="165" spans="1:49">
      <c r="A165" s="149">
        <v>45907</v>
      </c>
      <c r="B165" s="150">
        <f>YEAR(Table7[[#This Row],[Date]])+IF(MONTH(Table7[[#This Row],[Date]])&gt;=4,1,0)</f>
        <v>2026</v>
      </c>
      <c r="C165" s="151">
        <f>YEAR(Table7[[#This Row],[Date]])</f>
        <v>2025</v>
      </c>
      <c r="D165" s="152">
        <f>Daily_KPI[[#This Row],[Date]]-DAY(Daily_KPI[[#This Row],[Date]])+1</f>
        <v>45901</v>
      </c>
      <c r="AW165" s="108">
        <f t="shared" si="12"/>
        <v>0</v>
      </c>
    </row>
    <row r="166" spans="1:49">
      <c r="A166" s="145">
        <v>45908</v>
      </c>
      <c r="B166" s="146">
        <f>YEAR(Table7[[#This Row],[Date]])+IF(MONTH(Table7[[#This Row],[Date]])&gt;=4,1,0)</f>
        <v>2026</v>
      </c>
      <c r="C166" s="147">
        <f>YEAR(Table7[[#This Row],[Date]])</f>
        <v>2025</v>
      </c>
      <c r="D166" s="148">
        <f>Daily_KPI[[#This Row],[Date]]-DAY(Daily_KPI[[#This Row],[Date]])+1</f>
        <v>45901</v>
      </c>
      <c r="AW166" s="108">
        <f t="shared" si="12"/>
        <v>0</v>
      </c>
    </row>
    <row r="167" spans="1:49">
      <c r="A167" s="149">
        <v>45909</v>
      </c>
      <c r="B167" s="150">
        <f>YEAR(Table7[[#This Row],[Date]])+IF(MONTH(Table7[[#This Row],[Date]])&gt;=4,1,0)</f>
        <v>2026</v>
      </c>
      <c r="C167" s="151">
        <f>YEAR(Table7[[#This Row],[Date]])</f>
        <v>2025</v>
      </c>
      <c r="D167" s="152">
        <f>Daily_KPI[[#This Row],[Date]]-DAY(Daily_KPI[[#This Row],[Date]])+1</f>
        <v>45901</v>
      </c>
      <c r="AW167" s="108">
        <f t="shared" si="12"/>
        <v>0</v>
      </c>
    </row>
    <row r="168" spans="1:49">
      <c r="A168" s="145">
        <v>45910</v>
      </c>
      <c r="B168" s="146">
        <f>YEAR(Table7[[#This Row],[Date]])+IF(MONTH(Table7[[#This Row],[Date]])&gt;=4,1,0)</f>
        <v>2026</v>
      </c>
      <c r="C168" s="147">
        <f>YEAR(Table7[[#This Row],[Date]])</f>
        <v>2025</v>
      </c>
      <c r="D168" s="148">
        <f>Daily_KPI[[#This Row],[Date]]-DAY(Daily_KPI[[#This Row],[Date]])+1</f>
        <v>45901</v>
      </c>
      <c r="AW168" s="108">
        <f t="shared" si="12"/>
        <v>0</v>
      </c>
    </row>
    <row r="169" spans="1:49">
      <c r="A169" s="149">
        <v>45911</v>
      </c>
      <c r="B169" s="150">
        <f>YEAR(Table7[[#This Row],[Date]])+IF(MONTH(Table7[[#This Row],[Date]])&gt;=4,1,0)</f>
        <v>2026</v>
      </c>
      <c r="C169" s="151">
        <f>YEAR(Table7[[#This Row],[Date]])</f>
        <v>2025</v>
      </c>
      <c r="D169" s="152">
        <f>Daily_KPI[[#This Row],[Date]]-DAY(Daily_KPI[[#This Row],[Date]])+1</f>
        <v>45901</v>
      </c>
      <c r="AW169" s="108">
        <f t="shared" si="12"/>
        <v>0</v>
      </c>
    </row>
    <row r="170" spans="1:49">
      <c r="A170" s="145">
        <v>45912</v>
      </c>
      <c r="B170" s="146">
        <f>YEAR(Table7[[#This Row],[Date]])+IF(MONTH(Table7[[#This Row],[Date]])&gt;=4,1,0)</f>
        <v>2026</v>
      </c>
      <c r="C170" s="147">
        <f>YEAR(Table7[[#This Row],[Date]])</f>
        <v>2025</v>
      </c>
      <c r="D170" s="148">
        <f>Daily_KPI[[#This Row],[Date]]-DAY(Daily_KPI[[#This Row],[Date]])+1</f>
        <v>45901</v>
      </c>
      <c r="AW170" s="108">
        <f t="shared" si="12"/>
        <v>0</v>
      </c>
    </row>
    <row r="171" spans="1:49">
      <c r="A171" s="149">
        <v>45913</v>
      </c>
      <c r="B171" s="150">
        <f>YEAR(Table7[[#This Row],[Date]])+IF(MONTH(Table7[[#This Row],[Date]])&gt;=4,1,0)</f>
        <v>2026</v>
      </c>
      <c r="C171" s="151">
        <f>YEAR(Table7[[#This Row],[Date]])</f>
        <v>2025</v>
      </c>
      <c r="D171" s="152">
        <f>Daily_KPI[[#This Row],[Date]]-DAY(Daily_KPI[[#This Row],[Date]])+1</f>
        <v>45901</v>
      </c>
      <c r="AW171" s="108">
        <f t="shared" si="12"/>
        <v>0</v>
      </c>
    </row>
    <row r="172" spans="1:49">
      <c r="A172" s="145">
        <v>45914</v>
      </c>
      <c r="B172" s="146">
        <f>YEAR(Table7[[#This Row],[Date]])+IF(MONTH(Table7[[#This Row],[Date]])&gt;=4,1,0)</f>
        <v>2026</v>
      </c>
      <c r="C172" s="147">
        <f>YEAR(Table7[[#This Row],[Date]])</f>
        <v>2025</v>
      </c>
      <c r="D172" s="148">
        <f>Daily_KPI[[#This Row],[Date]]-DAY(Daily_KPI[[#This Row],[Date]])+1</f>
        <v>45901</v>
      </c>
      <c r="AW172" s="108">
        <f t="shared" si="12"/>
        <v>0</v>
      </c>
    </row>
    <row r="173" spans="1:49">
      <c r="A173" s="149">
        <v>45915</v>
      </c>
      <c r="B173" s="150">
        <f>YEAR(Table7[[#This Row],[Date]])+IF(MONTH(Table7[[#This Row],[Date]])&gt;=4,1,0)</f>
        <v>2026</v>
      </c>
      <c r="C173" s="151">
        <f>YEAR(Table7[[#This Row],[Date]])</f>
        <v>2025</v>
      </c>
      <c r="D173" s="152">
        <f>Daily_KPI[[#This Row],[Date]]-DAY(Daily_KPI[[#This Row],[Date]])+1</f>
        <v>45901</v>
      </c>
      <c r="AW173" s="108">
        <f t="shared" si="12"/>
        <v>0</v>
      </c>
    </row>
    <row r="174" spans="1:49">
      <c r="A174" s="145">
        <v>45916</v>
      </c>
      <c r="B174" s="146">
        <f>YEAR(Table7[[#This Row],[Date]])+IF(MONTH(Table7[[#This Row],[Date]])&gt;=4,1,0)</f>
        <v>2026</v>
      </c>
      <c r="C174" s="147">
        <f>YEAR(Table7[[#This Row],[Date]])</f>
        <v>2025</v>
      </c>
      <c r="D174" s="148">
        <f>Daily_KPI[[#This Row],[Date]]-DAY(Daily_KPI[[#This Row],[Date]])+1</f>
        <v>45901</v>
      </c>
      <c r="AW174" s="108">
        <f t="shared" si="12"/>
        <v>0</v>
      </c>
    </row>
    <row r="175" spans="1:49">
      <c r="A175" s="149">
        <v>45917</v>
      </c>
      <c r="B175" s="150">
        <f>YEAR(Table7[[#This Row],[Date]])+IF(MONTH(Table7[[#This Row],[Date]])&gt;=4,1,0)</f>
        <v>2026</v>
      </c>
      <c r="C175" s="151">
        <f>YEAR(Table7[[#This Row],[Date]])</f>
        <v>2025</v>
      </c>
      <c r="D175" s="152">
        <f>Daily_KPI[[#This Row],[Date]]-DAY(Daily_KPI[[#This Row],[Date]])+1</f>
        <v>45901</v>
      </c>
      <c r="AW175" s="108">
        <f t="shared" si="12"/>
        <v>0</v>
      </c>
    </row>
    <row r="176" spans="1:49">
      <c r="A176" s="145">
        <v>45918</v>
      </c>
      <c r="B176" s="146">
        <f>YEAR(Table7[[#This Row],[Date]])+IF(MONTH(Table7[[#This Row],[Date]])&gt;=4,1,0)</f>
        <v>2026</v>
      </c>
      <c r="C176" s="147">
        <f>YEAR(Table7[[#This Row],[Date]])</f>
        <v>2025</v>
      </c>
      <c r="D176" s="148">
        <f>Daily_KPI[[#This Row],[Date]]-DAY(Daily_KPI[[#This Row],[Date]])+1</f>
        <v>45901</v>
      </c>
      <c r="AW176" s="108">
        <f t="shared" si="12"/>
        <v>0</v>
      </c>
    </row>
    <row r="177" spans="1:49">
      <c r="A177" s="149">
        <v>45919</v>
      </c>
      <c r="B177" s="150">
        <f>YEAR(Table7[[#This Row],[Date]])+IF(MONTH(Table7[[#This Row],[Date]])&gt;=4,1,0)</f>
        <v>2026</v>
      </c>
      <c r="C177" s="151">
        <f>YEAR(Table7[[#This Row],[Date]])</f>
        <v>2025</v>
      </c>
      <c r="D177" s="152">
        <f>Daily_KPI[[#This Row],[Date]]-DAY(Daily_KPI[[#This Row],[Date]])+1</f>
        <v>45901</v>
      </c>
      <c r="AW177" s="108">
        <f t="shared" si="12"/>
        <v>0</v>
      </c>
    </row>
    <row r="178" spans="1:49">
      <c r="A178" s="145">
        <v>45920</v>
      </c>
      <c r="B178" s="146">
        <f>YEAR(Table7[[#This Row],[Date]])+IF(MONTH(Table7[[#This Row],[Date]])&gt;=4,1,0)</f>
        <v>2026</v>
      </c>
      <c r="C178" s="147">
        <f>YEAR(Table7[[#This Row],[Date]])</f>
        <v>2025</v>
      </c>
      <c r="D178" s="148">
        <f>Daily_KPI[[#This Row],[Date]]-DAY(Daily_KPI[[#This Row],[Date]])+1</f>
        <v>45901</v>
      </c>
      <c r="AW178" s="108">
        <f t="shared" si="12"/>
        <v>0</v>
      </c>
    </row>
    <row r="179" spans="1:49">
      <c r="A179" s="149">
        <v>45921</v>
      </c>
      <c r="B179" s="150">
        <f>YEAR(Table7[[#This Row],[Date]])+IF(MONTH(Table7[[#This Row],[Date]])&gt;=4,1,0)</f>
        <v>2026</v>
      </c>
      <c r="C179" s="151">
        <f>YEAR(Table7[[#This Row],[Date]])</f>
        <v>2025</v>
      </c>
      <c r="D179" s="152">
        <f>Daily_KPI[[#This Row],[Date]]-DAY(Daily_KPI[[#This Row],[Date]])+1</f>
        <v>45901</v>
      </c>
      <c r="AW179" s="108">
        <f t="shared" si="12"/>
        <v>0</v>
      </c>
    </row>
    <row r="180" spans="1:49">
      <c r="A180" s="145">
        <v>45922</v>
      </c>
      <c r="B180" s="146">
        <f>YEAR(Table7[[#This Row],[Date]])+IF(MONTH(Table7[[#This Row],[Date]])&gt;=4,1,0)</f>
        <v>2026</v>
      </c>
      <c r="C180" s="147">
        <f>YEAR(Table7[[#This Row],[Date]])</f>
        <v>2025</v>
      </c>
      <c r="D180" s="148">
        <f>Daily_KPI[[#This Row],[Date]]-DAY(Daily_KPI[[#This Row],[Date]])+1</f>
        <v>45901</v>
      </c>
      <c r="AW180" s="108">
        <f t="shared" si="12"/>
        <v>0</v>
      </c>
    </row>
    <row r="181" spans="1:49">
      <c r="A181" s="149">
        <v>45923</v>
      </c>
      <c r="B181" s="150">
        <f>YEAR(Table7[[#This Row],[Date]])+IF(MONTH(Table7[[#This Row],[Date]])&gt;=4,1,0)</f>
        <v>2026</v>
      </c>
      <c r="C181" s="151">
        <f>YEAR(Table7[[#This Row],[Date]])</f>
        <v>2025</v>
      </c>
      <c r="D181" s="152">
        <f>Daily_KPI[[#This Row],[Date]]-DAY(Daily_KPI[[#This Row],[Date]])+1</f>
        <v>45901</v>
      </c>
      <c r="AW181" s="108">
        <f t="shared" si="12"/>
        <v>0</v>
      </c>
    </row>
    <row r="182" spans="1:49">
      <c r="A182" s="145">
        <v>45924</v>
      </c>
      <c r="B182" s="146">
        <f>YEAR(Table7[[#This Row],[Date]])+IF(MONTH(Table7[[#This Row],[Date]])&gt;=4,1,0)</f>
        <v>2026</v>
      </c>
      <c r="C182" s="147">
        <f>YEAR(Table7[[#This Row],[Date]])</f>
        <v>2025</v>
      </c>
      <c r="D182" s="148">
        <f>Daily_KPI[[#This Row],[Date]]-DAY(Daily_KPI[[#This Row],[Date]])+1</f>
        <v>45901</v>
      </c>
      <c r="AW182" s="108">
        <f t="shared" si="12"/>
        <v>0</v>
      </c>
    </row>
    <row r="183" spans="1:49">
      <c r="A183" s="149">
        <v>45925</v>
      </c>
      <c r="B183" s="150">
        <f>YEAR(Table7[[#This Row],[Date]])+IF(MONTH(Table7[[#This Row],[Date]])&gt;=4,1,0)</f>
        <v>2026</v>
      </c>
      <c r="C183" s="151">
        <f>YEAR(Table7[[#This Row],[Date]])</f>
        <v>2025</v>
      </c>
      <c r="D183" s="152">
        <f>Daily_KPI[[#This Row],[Date]]-DAY(Daily_KPI[[#This Row],[Date]])+1</f>
        <v>45901</v>
      </c>
      <c r="AW183" s="108">
        <f t="shared" si="12"/>
        <v>0</v>
      </c>
    </row>
    <row r="184" spans="1:49">
      <c r="A184" s="145">
        <v>45926</v>
      </c>
      <c r="B184" s="146">
        <f>YEAR(Table7[[#This Row],[Date]])+IF(MONTH(Table7[[#This Row],[Date]])&gt;=4,1,0)</f>
        <v>2026</v>
      </c>
      <c r="C184" s="147">
        <f>YEAR(Table7[[#This Row],[Date]])</f>
        <v>2025</v>
      </c>
      <c r="D184" s="148">
        <f>Daily_KPI[[#This Row],[Date]]-DAY(Daily_KPI[[#This Row],[Date]])+1</f>
        <v>45901</v>
      </c>
      <c r="AW184" s="108">
        <f t="shared" si="12"/>
        <v>0</v>
      </c>
    </row>
    <row r="185" spans="1:49">
      <c r="A185" s="149">
        <v>45927</v>
      </c>
      <c r="B185" s="150">
        <f>YEAR(Table7[[#This Row],[Date]])+IF(MONTH(Table7[[#This Row],[Date]])&gt;=4,1,0)</f>
        <v>2026</v>
      </c>
      <c r="C185" s="151">
        <f>YEAR(Table7[[#This Row],[Date]])</f>
        <v>2025</v>
      </c>
      <c r="D185" s="152">
        <f>Daily_KPI[[#This Row],[Date]]-DAY(Daily_KPI[[#This Row],[Date]])+1</f>
        <v>45901</v>
      </c>
      <c r="AW185" s="108">
        <f t="shared" si="12"/>
        <v>0</v>
      </c>
    </row>
    <row r="186" spans="1:49">
      <c r="A186" s="145">
        <v>45928</v>
      </c>
      <c r="B186" s="146">
        <f>YEAR(Table7[[#This Row],[Date]])+IF(MONTH(Table7[[#This Row],[Date]])&gt;=4,1,0)</f>
        <v>2026</v>
      </c>
      <c r="C186" s="147">
        <f>YEAR(Table7[[#This Row],[Date]])</f>
        <v>2025</v>
      </c>
      <c r="D186" s="148">
        <f>Daily_KPI[[#This Row],[Date]]-DAY(Daily_KPI[[#This Row],[Date]])+1</f>
        <v>45901</v>
      </c>
      <c r="AW186" s="108">
        <f t="shared" si="12"/>
        <v>0</v>
      </c>
    </row>
    <row r="187" spans="1:49">
      <c r="A187" s="149">
        <v>45929</v>
      </c>
      <c r="B187" s="150">
        <f>YEAR(Table7[[#This Row],[Date]])+IF(MONTH(Table7[[#This Row],[Date]])&gt;=4,1,0)</f>
        <v>2026</v>
      </c>
      <c r="C187" s="151">
        <f>YEAR(Table7[[#This Row],[Date]])</f>
        <v>2025</v>
      </c>
      <c r="D187" s="152">
        <f>Daily_KPI[[#This Row],[Date]]-DAY(Daily_KPI[[#This Row],[Date]])+1</f>
        <v>45901</v>
      </c>
      <c r="AW187" s="108">
        <f t="shared" si="12"/>
        <v>0</v>
      </c>
    </row>
    <row r="188" spans="1:49">
      <c r="A188" s="145">
        <v>45930</v>
      </c>
      <c r="B188" s="146">
        <f>YEAR(Table7[[#This Row],[Date]])+IF(MONTH(Table7[[#This Row],[Date]])&gt;=4,1,0)</f>
        <v>2026</v>
      </c>
      <c r="C188" s="147">
        <f>YEAR(Table7[[#This Row],[Date]])</f>
        <v>2025</v>
      </c>
      <c r="D188" s="148">
        <f>Daily_KPI[[#This Row],[Date]]-DAY(Daily_KPI[[#This Row],[Date]])+1</f>
        <v>45931</v>
      </c>
      <c r="AW188" s="108">
        <f t="shared" si="12"/>
        <v>0</v>
      </c>
    </row>
    <row r="189" spans="1:49">
      <c r="A189" s="149">
        <v>45931</v>
      </c>
      <c r="B189" s="150">
        <f>YEAR(Table7[[#This Row],[Date]])+IF(MONTH(Table7[[#This Row],[Date]])&gt;=4,1,0)</f>
        <v>2026</v>
      </c>
      <c r="C189" s="151">
        <f>YEAR(Table7[[#This Row],[Date]])</f>
        <v>2025</v>
      </c>
      <c r="D189" s="152">
        <f>Daily_KPI[[#This Row],[Date]]-DAY(Daily_KPI[[#This Row],[Date]])+1</f>
        <v>45931</v>
      </c>
      <c r="AW189" s="108">
        <f t="shared" si="12"/>
        <v>0</v>
      </c>
    </row>
    <row r="190" spans="1:49">
      <c r="A190" s="145">
        <v>45932</v>
      </c>
      <c r="B190" s="146">
        <f>YEAR(Table7[[#This Row],[Date]])+IF(MONTH(Table7[[#This Row],[Date]])&gt;=4,1,0)</f>
        <v>2026</v>
      </c>
      <c r="C190" s="147">
        <f>YEAR(Table7[[#This Row],[Date]])</f>
        <v>2025</v>
      </c>
      <c r="D190" s="148">
        <f>Daily_KPI[[#This Row],[Date]]-DAY(Daily_KPI[[#This Row],[Date]])+1</f>
        <v>45931</v>
      </c>
      <c r="AW190" s="108">
        <f t="shared" ref="AW190:AW253" si="13">SUM(E190:AV190)/1000</f>
        <v>0</v>
      </c>
    </row>
    <row r="191" spans="1:49">
      <c r="A191" s="149">
        <v>45933</v>
      </c>
      <c r="B191" s="150">
        <f>YEAR(Table7[[#This Row],[Date]])+IF(MONTH(Table7[[#This Row],[Date]])&gt;=4,1,0)</f>
        <v>2026</v>
      </c>
      <c r="C191" s="151">
        <f>YEAR(Table7[[#This Row],[Date]])</f>
        <v>2025</v>
      </c>
      <c r="D191" s="152">
        <f>Daily_KPI[[#This Row],[Date]]-DAY(Daily_KPI[[#This Row],[Date]])+1</f>
        <v>45931</v>
      </c>
      <c r="AW191" s="108">
        <f t="shared" si="13"/>
        <v>0</v>
      </c>
    </row>
    <row r="192" spans="1:49">
      <c r="A192" s="145">
        <v>45934</v>
      </c>
      <c r="B192" s="146">
        <f>YEAR(Table7[[#This Row],[Date]])+IF(MONTH(Table7[[#This Row],[Date]])&gt;=4,1,0)</f>
        <v>2026</v>
      </c>
      <c r="C192" s="147">
        <f>YEAR(Table7[[#This Row],[Date]])</f>
        <v>2025</v>
      </c>
      <c r="D192" s="148">
        <f>Daily_KPI[[#This Row],[Date]]-DAY(Daily_KPI[[#This Row],[Date]])+1</f>
        <v>45931</v>
      </c>
      <c r="AW192" s="108">
        <f t="shared" si="13"/>
        <v>0</v>
      </c>
    </row>
    <row r="193" spans="1:49">
      <c r="A193" s="149">
        <v>45935</v>
      </c>
      <c r="B193" s="150">
        <f>YEAR(Table7[[#This Row],[Date]])+IF(MONTH(Table7[[#This Row],[Date]])&gt;=4,1,0)</f>
        <v>2026</v>
      </c>
      <c r="C193" s="151">
        <f>YEAR(Table7[[#This Row],[Date]])</f>
        <v>2025</v>
      </c>
      <c r="D193" s="152">
        <f>Daily_KPI[[#This Row],[Date]]-DAY(Daily_KPI[[#This Row],[Date]])+1</f>
        <v>45931</v>
      </c>
      <c r="AW193" s="108">
        <f t="shared" si="13"/>
        <v>0</v>
      </c>
    </row>
    <row r="194" spans="1:49">
      <c r="A194" s="145">
        <v>45936</v>
      </c>
      <c r="B194" s="146">
        <f>YEAR(Table7[[#This Row],[Date]])+IF(MONTH(Table7[[#This Row],[Date]])&gt;=4,1,0)</f>
        <v>2026</v>
      </c>
      <c r="C194" s="147">
        <f>YEAR(Table7[[#This Row],[Date]])</f>
        <v>2025</v>
      </c>
      <c r="D194" s="148">
        <f>Daily_KPI[[#This Row],[Date]]-DAY(Daily_KPI[[#This Row],[Date]])+1</f>
        <v>45931</v>
      </c>
      <c r="AW194" s="108">
        <f t="shared" si="13"/>
        <v>0</v>
      </c>
    </row>
    <row r="195" spans="1:49">
      <c r="A195" s="149">
        <v>45937</v>
      </c>
      <c r="B195" s="150">
        <f>YEAR(Table7[[#This Row],[Date]])+IF(MONTH(Table7[[#This Row],[Date]])&gt;=4,1,0)</f>
        <v>2026</v>
      </c>
      <c r="C195" s="151">
        <f>YEAR(Table7[[#This Row],[Date]])</f>
        <v>2025</v>
      </c>
      <c r="D195" s="152">
        <f>Daily_KPI[[#This Row],[Date]]-DAY(Daily_KPI[[#This Row],[Date]])+1</f>
        <v>45931</v>
      </c>
      <c r="AW195" s="108">
        <f t="shared" si="13"/>
        <v>0</v>
      </c>
    </row>
    <row r="196" spans="1:49">
      <c r="A196" s="145">
        <v>45938</v>
      </c>
      <c r="B196" s="146">
        <f>YEAR(Table7[[#This Row],[Date]])+IF(MONTH(Table7[[#This Row],[Date]])&gt;=4,1,0)</f>
        <v>2026</v>
      </c>
      <c r="C196" s="147">
        <f>YEAR(Table7[[#This Row],[Date]])</f>
        <v>2025</v>
      </c>
      <c r="D196" s="148">
        <f>Daily_KPI[[#This Row],[Date]]-DAY(Daily_KPI[[#This Row],[Date]])+1</f>
        <v>45931</v>
      </c>
      <c r="AW196" s="108">
        <f t="shared" si="13"/>
        <v>0</v>
      </c>
    </row>
    <row r="197" spans="1:49">
      <c r="A197" s="149">
        <v>45939</v>
      </c>
      <c r="B197" s="150">
        <f>YEAR(Table7[[#This Row],[Date]])+IF(MONTH(Table7[[#This Row],[Date]])&gt;=4,1,0)</f>
        <v>2026</v>
      </c>
      <c r="C197" s="151">
        <f>YEAR(Table7[[#This Row],[Date]])</f>
        <v>2025</v>
      </c>
      <c r="D197" s="152">
        <f>Daily_KPI[[#This Row],[Date]]-DAY(Daily_KPI[[#This Row],[Date]])+1</f>
        <v>45931</v>
      </c>
      <c r="AW197" s="108">
        <f t="shared" si="13"/>
        <v>0</v>
      </c>
    </row>
    <row r="198" spans="1:49">
      <c r="A198" s="145">
        <v>45940</v>
      </c>
      <c r="B198" s="146">
        <f>YEAR(Table7[[#This Row],[Date]])+IF(MONTH(Table7[[#This Row],[Date]])&gt;=4,1,0)</f>
        <v>2026</v>
      </c>
      <c r="C198" s="147">
        <f>YEAR(Table7[[#This Row],[Date]])</f>
        <v>2025</v>
      </c>
      <c r="D198" s="148">
        <f>Daily_KPI[[#This Row],[Date]]-DAY(Daily_KPI[[#This Row],[Date]])+1</f>
        <v>45931</v>
      </c>
      <c r="AW198" s="108">
        <f t="shared" si="13"/>
        <v>0</v>
      </c>
    </row>
    <row r="199" spans="1:49">
      <c r="A199" s="149">
        <v>45941</v>
      </c>
      <c r="B199" s="150">
        <f>YEAR(Table7[[#This Row],[Date]])+IF(MONTH(Table7[[#This Row],[Date]])&gt;=4,1,0)</f>
        <v>2026</v>
      </c>
      <c r="C199" s="151">
        <f>YEAR(Table7[[#This Row],[Date]])</f>
        <v>2025</v>
      </c>
      <c r="D199" s="152">
        <f>Daily_KPI[[#This Row],[Date]]-DAY(Daily_KPI[[#This Row],[Date]])+1</f>
        <v>45931</v>
      </c>
      <c r="AW199" s="108">
        <f t="shared" si="13"/>
        <v>0</v>
      </c>
    </row>
    <row r="200" spans="1:49">
      <c r="A200" s="145">
        <v>45942</v>
      </c>
      <c r="B200" s="146">
        <f>YEAR(Table7[[#This Row],[Date]])+IF(MONTH(Table7[[#This Row],[Date]])&gt;=4,1,0)</f>
        <v>2026</v>
      </c>
      <c r="C200" s="147">
        <f>YEAR(Table7[[#This Row],[Date]])</f>
        <v>2025</v>
      </c>
      <c r="D200" s="148">
        <f>Daily_KPI[[#This Row],[Date]]-DAY(Daily_KPI[[#This Row],[Date]])+1</f>
        <v>45931</v>
      </c>
      <c r="AW200" s="108">
        <f t="shared" si="13"/>
        <v>0</v>
      </c>
    </row>
    <row r="201" spans="1:49">
      <c r="A201" s="149">
        <v>45943</v>
      </c>
      <c r="B201" s="150">
        <f>YEAR(Table7[[#This Row],[Date]])+IF(MONTH(Table7[[#This Row],[Date]])&gt;=4,1,0)</f>
        <v>2026</v>
      </c>
      <c r="C201" s="151">
        <f>YEAR(Table7[[#This Row],[Date]])</f>
        <v>2025</v>
      </c>
      <c r="D201" s="152">
        <f>Daily_KPI[[#This Row],[Date]]-DAY(Daily_KPI[[#This Row],[Date]])+1</f>
        <v>45931</v>
      </c>
      <c r="AW201" s="108">
        <f t="shared" si="13"/>
        <v>0</v>
      </c>
    </row>
    <row r="202" spans="1:49">
      <c r="A202" s="145">
        <v>45944</v>
      </c>
      <c r="B202" s="146">
        <f>YEAR(Table7[[#This Row],[Date]])+IF(MONTH(Table7[[#This Row],[Date]])&gt;=4,1,0)</f>
        <v>2026</v>
      </c>
      <c r="C202" s="147">
        <f>YEAR(Table7[[#This Row],[Date]])</f>
        <v>2025</v>
      </c>
      <c r="D202" s="148">
        <f>Daily_KPI[[#This Row],[Date]]-DAY(Daily_KPI[[#This Row],[Date]])+1</f>
        <v>45931</v>
      </c>
      <c r="AW202" s="108">
        <f t="shared" si="13"/>
        <v>0</v>
      </c>
    </row>
    <row r="203" spans="1:49">
      <c r="A203" s="149">
        <v>45945</v>
      </c>
      <c r="B203" s="150">
        <f>YEAR(Table7[[#This Row],[Date]])+IF(MONTH(Table7[[#This Row],[Date]])&gt;=4,1,0)</f>
        <v>2026</v>
      </c>
      <c r="C203" s="151">
        <f>YEAR(Table7[[#This Row],[Date]])</f>
        <v>2025</v>
      </c>
      <c r="D203" s="152">
        <f>Daily_KPI[[#This Row],[Date]]-DAY(Daily_KPI[[#This Row],[Date]])+1</f>
        <v>45931</v>
      </c>
      <c r="AW203" s="108">
        <f t="shared" si="13"/>
        <v>0</v>
      </c>
    </row>
    <row r="204" spans="1:49">
      <c r="A204" s="145">
        <v>45946</v>
      </c>
      <c r="B204" s="146">
        <f>YEAR(Table7[[#This Row],[Date]])+IF(MONTH(Table7[[#This Row],[Date]])&gt;=4,1,0)</f>
        <v>2026</v>
      </c>
      <c r="C204" s="147">
        <f>YEAR(Table7[[#This Row],[Date]])</f>
        <v>2025</v>
      </c>
      <c r="D204" s="148">
        <f>Daily_KPI[[#This Row],[Date]]-DAY(Daily_KPI[[#This Row],[Date]])+1</f>
        <v>45931</v>
      </c>
      <c r="AW204" s="108">
        <f t="shared" si="13"/>
        <v>0</v>
      </c>
    </row>
    <row r="205" spans="1:49">
      <c r="A205" s="149">
        <v>45947</v>
      </c>
      <c r="B205" s="150">
        <f>YEAR(Table7[[#This Row],[Date]])+IF(MONTH(Table7[[#This Row],[Date]])&gt;=4,1,0)</f>
        <v>2026</v>
      </c>
      <c r="C205" s="151">
        <f>YEAR(Table7[[#This Row],[Date]])</f>
        <v>2025</v>
      </c>
      <c r="D205" s="152">
        <f>Daily_KPI[[#This Row],[Date]]-DAY(Daily_KPI[[#This Row],[Date]])+1</f>
        <v>45931</v>
      </c>
      <c r="AW205" s="108">
        <f t="shared" si="13"/>
        <v>0</v>
      </c>
    </row>
    <row r="206" spans="1:49">
      <c r="A206" s="145">
        <v>45948</v>
      </c>
      <c r="B206" s="146">
        <f>YEAR(Table7[[#This Row],[Date]])+IF(MONTH(Table7[[#This Row],[Date]])&gt;=4,1,0)</f>
        <v>2026</v>
      </c>
      <c r="C206" s="147">
        <f>YEAR(Table7[[#This Row],[Date]])</f>
        <v>2025</v>
      </c>
      <c r="D206" s="148">
        <f>Daily_KPI[[#This Row],[Date]]-DAY(Daily_KPI[[#This Row],[Date]])+1</f>
        <v>45931</v>
      </c>
      <c r="AW206" s="108">
        <f t="shared" si="13"/>
        <v>0</v>
      </c>
    </row>
    <row r="207" spans="1:49">
      <c r="A207" s="149">
        <v>45949</v>
      </c>
      <c r="B207" s="150">
        <f>YEAR(Table7[[#This Row],[Date]])+IF(MONTH(Table7[[#This Row],[Date]])&gt;=4,1,0)</f>
        <v>2026</v>
      </c>
      <c r="C207" s="151">
        <f>YEAR(Table7[[#This Row],[Date]])</f>
        <v>2025</v>
      </c>
      <c r="D207" s="152">
        <f>Daily_KPI[[#This Row],[Date]]-DAY(Daily_KPI[[#This Row],[Date]])+1</f>
        <v>45931</v>
      </c>
      <c r="AW207" s="108">
        <f t="shared" si="13"/>
        <v>0</v>
      </c>
    </row>
    <row r="208" spans="1:49">
      <c r="A208" s="145">
        <v>45950</v>
      </c>
      <c r="B208" s="146">
        <f>YEAR(Table7[[#This Row],[Date]])+IF(MONTH(Table7[[#This Row],[Date]])&gt;=4,1,0)</f>
        <v>2026</v>
      </c>
      <c r="C208" s="147">
        <f>YEAR(Table7[[#This Row],[Date]])</f>
        <v>2025</v>
      </c>
      <c r="D208" s="148">
        <f>Daily_KPI[[#This Row],[Date]]-DAY(Daily_KPI[[#This Row],[Date]])+1</f>
        <v>45931</v>
      </c>
      <c r="AW208" s="108">
        <f t="shared" si="13"/>
        <v>0</v>
      </c>
    </row>
    <row r="209" spans="1:49">
      <c r="A209" s="149">
        <v>45951</v>
      </c>
      <c r="B209" s="150">
        <f>YEAR(Table7[[#This Row],[Date]])+IF(MONTH(Table7[[#This Row],[Date]])&gt;=4,1,0)</f>
        <v>2026</v>
      </c>
      <c r="C209" s="151">
        <f>YEAR(Table7[[#This Row],[Date]])</f>
        <v>2025</v>
      </c>
      <c r="D209" s="152">
        <f>Daily_KPI[[#This Row],[Date]]-DAY(Daily_KPI[[#This Row],[Date]])+1</f>
        <v>45931</v>
      </c>
      <c r="AW209" s="108">
        <f t="shared" si="13"/>
        <v>0</v>
      </c>
    </row>
    <row r="210" spans="1:49">
      <c r="A210" s="145">
        <v>45952</v>
      </c>
      <c r="B210" s="146">
        <f>YEAR(Table7[[#This Row],[Date]])+IF(MONTH(Table7[[#This Row],[Date]])&gt;=4,1,0)</f>
        <v>2026</v>
      </c>
      <c r="C210" s="147">
        <f>YEAR(Table7[[#This Row],[Date]])</f>
        <v>2025</v>
      </c>
      <c r="D210" s="148">
        <f>Daily_KPI[[#This Row],[Date]]-DAY(Daily_KPI[[#This Row],[Date]])+1</f>
        <v>45931</v>
      </c>
      <c r="AW210" s="108">
        <f t="shared" si="13"/>
        <v>0</v>
      </c>
    </row>
    <row r="211" spans="1:49">
      <c r="A211" s="149">
        <v>45953</v>
      </c>
      <c r="B211" s="150">
        <f>YEAR(Table7[[#This Row],[Date]])+IF(MONTH(Table7[[#This Row],[Date]])&gt;=4,1,0)</f>
        <v>2026</v>
      </c>
      <c r="C211" s="151">
        <f>YEAR(Table7[[#This Row],[Date]])</f>
        <v>2025</v>
      </c>
      <c r="D211" s="152">
        <f>Daily_KPI[[#This Row],[Date]]-DAY(Daily_KPI[[#This Row],[Date]])+1</f>
        <v>45931</v>
      </c>
      <c r="AW211" s="108">
        <f t="shared" si="13"/>
        <v>0</v>
      </c>
    </row>
    <row r="212" spans="1:49">
      <c r="A212" s="145">
        <v>45954</v>
      </c>
      <c r="B212" s="146">
        <f>YEAR(Table7[[#This Row],[Date]])+IF(MONTH(Table7[[#This Row],[Date]])&gt;=4,1,0)</f>
        <v>2026</v>
      </c>
      <c r="C212" s="147">
        <f>YEAR(Table7[[#This Row],[Date]])</f>
        <v>2025</v>
      </c>
      <c r="D212" s="148">
        <f>Daily_KPI[[#This Row],[Date]]-DAY(Daily_KPI[[#This Row],[Date]])+1</f>
        <v>45931</v>
      </c>
      <c r="AW212" s="108">
        <f t="shared" si="13"/>
        <v>0</v>
      </c>
    </row>
    <row r="213" spans="1:49">
      <c r="A213" s="149">
        <v>45955</v>
      </c>
      <c r="B213" s="150">
        <f>YEAR(Table7[[#This Row],[Date]])+IF(MONTH(Table7[[#This Row],[Date]])&gt;=4,1,0)</f>
        <v>2026</v>
      </c>
      <c r="C213" s="151">
        <f>YEAR(Table7[[#This Row],[Date]])</f>
        <v>2025</v>
      </c>
      <c r="D213" s="152">
        <f>Daily_KPI[[#This Row],[Date]]-DAY(Daily_KPI[[#This Row],[Date]])+1</f>
        <v>45931</v>
      </c>
      <c r="AW213" s="108">
        <f t="shared" si="13"/>
        <v>0</v>
      </c>
    </row>
    <row r="214" spans="1:49">
      <c r="A214" s="145">
        <v>45956</v>
      </c>
      <c r="B214" s="146">
        <f>YEAR(Table7[[#This Row],[Date]])+IF(MONTH(Table7[[#This Row],[Date]])&gt;=4,1,0)</f>
        <v>2026</v>
      </c>
      <c r="C214" s="147">
        <f>YEAR(Table7[[#This Row],[Date]])</f>
        <v>2025</v>
      </c>
      <c r="D214" s="148">
        <f>Daily_KPI[[#This Row],[Date]]-DAY(Daily_KPI[[#This Row],[Date]])+1</f>
        <v>45931</v>
      </c>
      <c r="AW214" s="108">
        <f t="shared" si="13"/>
        <v>0</v>
      </c>
    </row>
    <row r="215" spans="1:49">
      <c r="A215" s="149">
        <v>45957</v>
      </c>
      <c r="B215" s="150">
        <f>YEAR(Table7[[#This Row],[Date]])+IF(MONTH(Table7[[#This Row],[Date]])&gt;=4,1,0)</f>
        <v>2026</v>
      </c>
      <c r="C215" s="151">
        <f>YEAR(Table7[[#This Row],[Date]])</f>
        <v>2025</v>
      </c>
      <c r="D215" s="152">
        <f>Daily_KPI[[#This Row],[Date]]-DAY(Daily_KPI[[#This Row],[Date]])+1</f>
        <v>45931</v>
      </c>
      <c r="AW215" s="108">
        <f t="shared" si="13"/>
        <v>0</v>
      </c>
    </row>
    <row r="216" spans="1:49">
      <c r="A216" s="145">
        <v>45958</v>
      </c>
      <c r="B216" s="146">
        <f>YEAR(Table7[[#This Row],[Date]])+IF(MONTH(Table7[[#This Row],[Date]])&gt;=4,1,0)</f>
        <v>2026</v>
      </c>
      <c r="C216" s="147">
        <f>YEAR(Table7[[#This Row],[Date]])</f>
        <v>2025</v>
      </c>
      <c r="D216" s="148">
        <f>Daily_KPI[[#This Row],[Date]]-DAY(Daily_KPI[[#This Row],[Date]])+1</f>
        <v>45931</v>
      </c>
      <c r="AW216" s="108">
        <f t="shared" si="13"/>
        <v>0</v>
      </c>
    </row>
    <row r="217" spans="1:49">
      <c r="A217" s="149">
        <v>45959</v>
      </c>
      <c r="B217" s="150">
        <f>YEAR(Table7[[#This Row],[Date]])+IF(MONTH(Table7[[#This Row],[Date]])&gt;=4,1,0)</f>
        <v>2026</v>
      </c>
      <c r="C217" s="151">
        <f>YEAR(Table7[[#This Row],[Date]])</f>
        <v>2025</v>
      </c>
      <c r="D217" s="152">
        <f>Daily_KPI[[#This Row],[Date]]-DAY(Daily_KPI[[#This Row],[Date]])+1</f>
        <v>45931</v>
      </c>
      <c r="AW217" s="108">
        <f t="shared" si="13"/>
        <v>0</v>
      </c>
    </row>
    <row r="218" spans="1:49">
      <c r="A218" s="145">
        <v>45960</v>
      </c>
      <c r="B218" s="146">
        <f>YEAR(Table7[[#This Row],[Date]])+IF(MONTH(Table7[[#This Row],[Date]])&gt;=4,1,0)</f>
        <v>2026</v>
      </c>
      <c r="C218" s="147">
        <f>YEAR(Table7[[#This Row],[Date]])</f>
        <v>2025</v>
      </c>
      <c r="D218" s="148">
        <f>Daily_KPI[[#This Row],[Date]]-DAY(Daily_KPI[[#This Row],[Date]])+1</f>
        <v>45931</v>
      </c>
      <c r="AW218" s="108">
        <f t="shared" si="13"/>
        <v>0</v>
      </c>
    </row>
    <row r="219" spans="1:49">
      <c r="A219" s="149">
        <v>45961</v>
      </c>
      <c r="B219" s="150">
        <f>YEAR(Table7[[#This Row],[Date]])+IF(MONTH(Table7[[#This Row],[Date]])&gt;=4,1,0)</f>
        <v>2026</v>
      </c>
      <c r="C219" s="151">
        <f>YEAR(Table7[[#This Row],[Date]])</f>
        <v>2025</v>
      </c>
      <c r="D219" s="152">
        <f>Daily_KPI[[#This Row],[Date]]-DAY(Daily_KPI[[#This Row],[Date]])+1</f>
        <v>45962</v>
      </c>
      <c r="AW219" s="108">
        <f t="shared" si="13"/>
        <v>0</v>
      </c>
    </row>
    <row r="220" spans="1:49">
      <c r="A220" s="145">
        <v>45962</v>
      </c>
      <c r="B220" s="146">
        <f>YEAR(Table7[[#This Row],[Date]])+IF(MONTH(Table7[[#This Row],[Date]])&gt;=4,1,0)</f>
        <v>2026</v>
      </c>
      <c r="C220" s="147">
        <f>YEAR(Table7[[#This Row],[Date]])</f>
        <v>2025</v>
      </c>
      <c r="D220" s="148">
        <f>Daily_KPI[[#This Row],[Date]]-DAY(Daily_KPI[[#This Row],[Date]])+1</f>
        <v>45962</v>
      </c>
      <c r="AW220" s="108">
        <f t="shared" si="13"/>
        <v>0</v>
      </c>
    </row>
    <row r="221" spans="1:49">
      <c r="A221" s="149">
        <v>45963</v>
      </c>
      <c r="B221" s="150">
        <f>YEAR(Table7[[#This Row],[Date]])+IF(MONTH(Table7[[#This Row],[Date]])&gt;=4,1,0)</f>
        <v>2026</v>
      </c>
      <c r="C221" s="151">
        <f>YEAR(Table7[[#This Row],[Date]])</f>
        <v>2025</v>
      </c>
      <c r="D221" s="152">
        <f>Daily_KPI[[#This Row],[Date]]-DAY(Daily_KPI[[#This Row],[Date]])+1</f>
        <v>45962</v>
      </c>
      <c r="AW221" s="108">
        <f t="shared" si="13"/>
        <v>0</v>
      </c>
    </row>
    <row r="222" spans="1:49">
      <c r="A222" s="145">
        <v>45964</v>
      </c>
      <c r="B222" s="146">
        <f>YEAR(Table7[[#This Row],[Date]])+IF(MONTH(Table7[[#This Row],[Date]])&gt;=4,1,0)</f>
        <v>2026</v>
      </c>
      <c r="C222" s="147">
        <f>YEAR(Table7[[#This Row],[Date]])</f>
        <v>2025</v>
      </c>
      <c r="D222" s="148">
        <f>Daily_KPI[[#This Row],[Date]]-DAY(Daily_KPI[[#This Row],[Date]])+1</f>
        <v>45962</v>
      </c>
      <c r="AW222" s="108">
        <f t="shared" si="13"/>
        <v>0</v>
      </c>
    </row>
    <row r="223" spans="1:49">
      <c r="A223" s="149">
        <v>45965</v>
      </c>
      <c r="B223" s="150">
        <f>YEAR(Table7[[#This Row],[Date]])+IF(MONTH(Table7[[#This Row],[Date]])&gt;=4,1,0)</f>
        <v>2026</v>
      </c>
      <c r="C223" s="151">
        <f>YEAR(Table7[[#This Row],[Date]])</f>
        <v>2025</v>
      </c>
      <c r="D223" s="152">
        <f>Daily_KPI[[#This Row],[Date]]-DAY(Daily_KPI[[#This Row],[Date]])+1</f>
        <v>45962</v>
      </c>
      <c r="AW223" s="108">
        <f t="shared" si="13"/>
        <v>0</v>
      </c>
    </row>
    <row r="224" spans="1:49">
      <c r="A224" s="145">
        <v>45966</v>
      </c>
      <c r="B224" s="146">
        <f>YEAR(Table7[[#This Row],[Date]])+IF(MONTH(Table7[[#This Row],[Date]])&gt;=4,1,0)</f>
        <v>2026</v>
      </c>
      <c r="C224" s="147">
        <f>YEAR(Table7[[#This Row],[Date]])</f>
        <v>2025</v>
      </c>
      <c r="D224" s="148">
        <f>Daily_KPI[[#This Row],[Date]]-DAY(Daily_KPI[[#This Row],[Date]])+1</f>
        <v>45962</v>
      </c>
      <c r="AW224" s="108">
        <f t="shared" si="13"/>
        <v>0</v>
      </c>
    </row>
    <row r="225" spans="1:49">
      <c r="A225" s="149">
        <v>45967</v>
      </c>
      <c r="B225" s="150">
        <f>YEAR(Table7[[#This Row],[Date]])+IF(MONTH(Table7[[#This Row],[Date]])&gt;=4,1,0)</f>
        <v>2026</v>
      </c>
      <c r="C225" s="151">
        <f>YEAR(Table7[[#This Row],[Date]])</f>
        <v>2025</v>
      </c>
      <c r="D225" s="152">
        <f>Daily_KPI[[#This Row],[Date]]-DAY(Daily_KPI[[#This Row],[Date]])+1</f>
        <v>45962</v>
      </c>
      <c r="AW225" s="108">
        <f t="shared" si="13"/>
        <v>0</v>
      </c>
    </row>
    <row r="226" spans="1:49">
      <c r="A226" s="145">
        <v>45968</v>
      </c>
      <c r="B226" s="146">
        <f>YEAR(Table7[[#This Row],[Date]])+IF(MONTH(Table7[[#This Row],[Date]])&gt;=4,1,0)</f>
        <v>2026</v>
      </c>
      <c r="C226" s="147">
        <f>YEAR(Table7[[#This Row],[Date]])</f>
        <v>2025</v>
      </c>
      <c r="D226" s="148">
        <f>Daily_KPI[[#This Row],[Date]]-DAY(Daily_KPI[[#This Row],[Date]])+1</f>
        <v>45962</v>
      </c>
      <c r="AW226" s="108">
        <f t="shared" si="13"/>
        <v>0</v>
      </c>
    </row>
    <row r="227" spans="1:49">
      <c r="A227" s="149">
        <v>45969</v>
      </c>
      <c r="B227" s="150">
        <f>YEAR(Table7[[#This Row],[Date]])+IF(MONTH(Table7[[#This Row],[Date]])&gt;=4,1,0)</f>
        <v>2026</v>
      </c>
      <c r="C227" s="151">
        <f>YEAR(Table7[[#This Row],[Date]])</f>
        <v>2025</v>
      </c>
      <c r="D227" s="152">
        <f>Daily_KPI[[#This Row],[Date]]-DAY(Daily_KPI[[#This Row],[Date]])+1</f>
        <v>45962</v>
      </c>
      <c r="AW227" s="108">
        <f t="shared" si="13"/>
        <v>0</v>
      </c>
    </row>
    <row r="228" spans="1:49">
      <c r="A228" s="145">
        <v>45970</v>
      </c>
      <c r="B228" s="146">
        <f>YEAR(Table7[[#This Row],[Date]])+IF(MONTH(Table7[[#This Row],[Date]])&gt;=4,1,0)</f>
        <v>2026</v>
      </c>
      <c r="C228" s="147">
        <f>YEAR(Table7[[#This Row],[Date]])</f>
        <v>2025</v>
      </c>
      <c r="D228" s="148">
        <f>Daily_KPI[[#This Row],[Date]]-DAY(Daily_KPI[[#This Row],[Date]])+1</f>
        <v>45962</v>
      </c>
      <c r="AW228" s="108">
        <f t="shared" si="13"/>
        <v>0</v>
      </c>
    </row>
    <row r="229" spans="1:49">
      <c r="A229" s="149">
        <v>45971</v>
      </c>
      <c r="B229" s="150">
        <f>YEAR(Table7[[#This Row],[Date]])+IF(MONTH(Table7[[#This Row],[Date]])&gt;=4,1,0)</f>
        <v>2026</v>
      </c>
      <c r="C229" s="151">
        <f>YEAR(Table7[[#This Row],[Date]])</f>
        <v>2025</v>
      </c>
      <c r="D229" s="152">
        <f>Daily_KPI[[#This Row],[Date]]-DAY(Daily_KPI[[#This Row],[Date]])+1</f>
        <v>45962</v>
      </c>
      <c r="AW229" s="108">
        <f t="shared" si="13"/>
        <v>0</v>
      </c>
    </row>
    <row r="230" spans="1:49">
      <c r="A230" s="145">
        <v>45972</v>
      </c>
      <c r="B230" s="146">
        <f>YEAR(Table7[[#This Row],[Date]])+IF(MONTH(Table7[[#This Row],[Date]])&gt;=4,1,0)</f>
        <v>2026</v>
      </c>
      <c r="C230" s="147">
        <f>YEAR(Table7[[#This Row],[Date]])</f>
        <v>2025</v>
      </c>
      <c r="D230" s="148">
        <f>Daily_KPI[[#This Row],[Date]]-DAY(Daily_KPI[[#This Row],[Date]])+1</f>
        <v>45962</v>
      </c>
      <c r="AW230" s="108">
        <f t="shared" si="13"/>
        <v>0</v>
      </c>
    </row>
    <row r="231" spans="1:49">
      <c r="A231" s="149">
        <v>45973</v>
      </c>
      <c r="B231" s="150">
        <f>YEAR(Table7[[#This Row],[Date]])+IF(MONTH(Table7[[#This Row],[Date]])&gt;=4,1,0)</f>
        <v>2026</v>
      </c>
      <c r="C231" s="151">
        <f>YEAR(Table7[[#This Row],[Date]])</f>
        <v>2025</v>
      </c>
      <c r="D231" s="152">
        <f>Daily_KPI[[#This Row],[Date]]-DAY(Daily_KPI[[#This Row],[Date]])+1</f>
        <v>45962</v>
      </c>
      <c r="AW231" s="108">
        <f t="shared" si="13"/>
        <v>0</v>
      </c>
    </row>
    <row r="232" spans="1:49">
      <c r="A232" s="145">
        <v>45974</v>
      </c>
      <c r="B232" s="146">
        <f>YEAR(Table7[[#This Row],[Date]])+IF(MONTH(Table7[[#This Row],[Date]])&gt;=4,1,0)</f>
        <v>2026</v>
      </c>
      <c r="C232" s="147">
        <f>YEAR(Table7[[#This Row],[Date]])</f>
        <v>2025</v>
      </c>
      <c r="D232" s="148">
        <f>Daily_KPI[[#This Row],[Date]]-DAY(Daily_KPI[[#This Row],[Date]])+1</f>
        <v>45962</v>
      </c>
      <c r="AW232" s="108">
        <f t="shared" si="13"/>
        <v>0</v>
      </c>
    </row>
    <row r="233" spans="1:49">
      <c r="A233" s="149">
        <v>45975</v>
      </c>
      <c r="B233" s="150">
        <f>YEAR(Table7[[#This Row],[Date]])+IF(MONTH(Table7[[#This Row],[Date]])&gt;=4,1,0)</f>
        <v>2026</v>
      </c>
      <c r="C233" s="151">
        <f>YEAR(Table7[[#This Row],[Date]])</f>
        <v>2025</v>
      </c>
      <c r="D233" s="152">
        <f>Daily_KPI[[#This Row],[Date]]-DAY(Daily_KPI[[#This Row],[Date]])+1</f>
        <v>45962</v>
      </c>
      <c r="AW233" s="108">
        <f t="shared" si="13"/>
        <v>0</v>
      </c>
    </row>
    <row r="234" spans="1:49">
      <c r="A234" s="145">
        <v>45976</v>
      </c>
      <c r="B234" s="146">
        <f>YEAR(Table7[[#This Row],[Date]])+IF(MONTH(Table7[[#This Row],[Date]])&gt;=4,1,0)</f>
        <v>2026</v>
      </c>
      <c r="C234" s="147">
        <f>YEAR(Table7[[#This Row],[Date]])</f>
        <v>2025</v>
      </c>
      <c r="D234" s="148">
        <f>Daily_KPI[[#This Row],[Date]]-DAY(Daily_KPI[[#This Row],[Date]])+1</f>
        <v>45962</v>
      </c>
      <c r="AW234" s="108">
        <f t="shared" si="13"/>
        <v>0</v>
      </c>
    </row>
    <row r="235" spans="1:49">
      <c r="A235" s="149">
        <v>45977</v>
      </c>
      <c r="B235" s="150">
        <f>YEAR(Table7[[#This Row],[Date]])+IF(MONTH(Table7[[#This Row],[Date]])&gt;=4,1,0)</f>
        <v>2026</v>
      </c>
      <c r="C235" s="151">
        <f>YEAR(Table7[[#This Row],[Date]])</f>
        <v>2025</v>
      </c>
      <c r="D235" s="152">
        <f>Daily_KPI[[#This Row],[Date]]-DAY(Daily_KPI[[#This Row],[Date]])+1</f>
        <v>45962</v>
      </c>
      <c r="AW235" s="108">
        <f t="shared" si="13"/>
        <v>0</v>
      </c>
    </row>
    <row r="236" spans="1:49">
      <c r="A236" s="145">
        <v>45978</v>
      </c>
      <c r="B236" s="146">
        <f>YEAR(Table7[[#This Row],[Date]])+IF(MONTH(Table7[[#This Row],[Date]])&gt;=4,1,0)</f>
        <v>2026</v>
      </c>
      <c r="C236" s="147">
        <f>YEAR(Table7[[#This Row],[Date]])</f>
        <v>2025</v>
      </c>
      <c r="D236" s="148">
        <f>Daily_KPI[[#This Row],[Date]]-DAY(Daily_KPI[[#This Row],[Date]])+1</f>
        <v>45962</v>
      </c>
      <c r="AW236" s="108">
        <f t="shared" si="13"/>
        <v>0</v>
      </c>
    </row>
    <row r="237" spans="1:49">
      <c r="A237" s="149">
        <v>45979</v>
      </c>
      <c r="B237" s="150">
        <f>YEAR(Table7[[#This Row],[Date]])+IF(MONTH(Table7[[#This Row],[Date]])&gt;=4,1,0)</f>
        <v>2026</v>
      </c>
      <c r="C237" s="151">
        <f>YEAR(Table7[[#This Row],[Date]])</f>
        <v>2025</v>
      </c>
      <c r="D237" s="152">
        <f>Daily_KPI[[#This Row],[Date]]-DAY(Daily_KPI[[#This Row],[Date]])+1</f>
        <v>45962</v>
      </c>
      <c r="AW237" s="108">
        <f t="shared" si="13"/>
        <v>0</v>
      </c>
    </row>
    <row r="238" spans="1:49">
      <c r="A238" s="145">
        <v>45980</v>
      </c>
      <c r="B238" s="146">
        <f>YEAR(Table7[[#This Row],[Date]])+IF(MONTH(Table7[[#This Row],[Date]])&gt;=4,1,0)</f>
        <v>2026</v>
      </c>
      <c r="C238" s="147">
        <f>YEAR(Table7[[#This Row],[Date]])</f>
        <v>2025</v>
      </c>
      <c r="D238" s="148">
        <f>Daily_KPI[[#This Row],[Date]]-DAY(Daily_KPI[[#This Row],[Date]])+1</f>
        <v>45962</v>
      </c>
      <c r="AW238" s="108">
        <f t="shared" si="13"/>
        <v>0</v>
      </c>
    </row>
    <row r="239" spans="1:49">
      <c r="A239" s="149">
        <v>45981</v>
      </c>
      <c r="B239" s="150">
        <f>YEAR(Table7[[#This Row],[Date]])+IF(MONTH(Table7[[#This Row],[Date]])&gt;=4,1,0)</f>
        <v>2026</v>
      </c>
      <c r="C239" s="151">
        <f>YEAR(Table7[[#This Row],[Date]])</f>
        <v>2025</v>
      </c>
      <c r="D239" s="152">
        <f>Daily_KPI[[#This Row],[Date]]-DAY(Daily_KPI[[#This Row],[Date]])+1</f>
        <v>45962</v>
      </c>
      <c r="AW239" s="108">
        <f t="shared" si="13"/>
        <v>0</v>
      </c>
    </row>
    <row r="240" spans="1:49">
      <c r="A240" s="145">
        <v>45982</v>
      </c>
      <c r="B240" s="146">
        <f>YEAR(Table7[[#This Row],[Date]])+IF(MONTH(Table7[[#This Row],[Date]])&gt;=4,1,0)</f>
        <v>2026</v>
      </c>
      <c r="C240" s="147">
        <f>YEAR(Table7[[#This Row],[Date]])</f>
        <v>2025</v>
      </c>
      <c r="D240" s="148">
        <f>Daily_KPI[[#This Row],[Date]]-DAY(Daily_KPI[[#This Row],[Date]])+1</f>
        <v>45962</v>
      </c>
      <c r="AW240" s="108">
        <f t="shared" si="13"/>
        <v>0</v>
      </c>
    </row>
    <row r="241" spans="1:49">
      <c r="A241" s="149">
        <v>45983</v>
      </c>
      <c r="B241" s="150">
        <f>YEAR(Table7[[#This Row],[Date]])+IF(MONTH(Table7[[#This Row],[Date]])&gt;=4,1,0)</f>
        <v>2026</v>
      </c>
      <c r="C241" s="151">
        <f>YEAR(Table7[[#This Row],[Date]])</f>
        <v>2025</v>
      </c>
      <c r="D241" s="152">
        <f>Daily_KPI[[#This Row],[Date]]-DAY(Daily_KPI[[#This Row],[Date]])+1</f>
        <v>45962</v>
      </c>
      <c r="AW241" s="108">
        <f t="shared" si="13"/>
        <v>0</v>
      </c>
    </row>
    <row r="242" spans="1:49">
      <c r="A242" s="145">
        <v>45984</v>
      </c>
      <c r="B242" s="146">
        <f>YEAR(Table7[[#This Row],[Date]])+IF(MONTH(Table7[[#This Row],[Date]])&gt;=4,1,0)</f>
        <v>2026</v>
      </c>
      <c r="C242" s="147">
        <f>YEAR(Table7[[#This Row],[Date]])</f>
        <v>2025</v>
      </c>
      <c r="D242" s="148">
        <f>Daily_KPI[[#This Row],[Date]]-DAY(Daily_KPI[[#This Row],[Date]])+1</f>
        <v>45962</v>
      </c>
      <c r="AW242" s="108">
        <f t="shared" si="13"/>
        <v>0</v>
      </c>
    </row>
    <row r="243" spans="1:49">
      <c r="A243" s="149">
        <v>45985</v>
      </c>
      <c r="B243" s="150">
        <f>YEAR(Table7[[#This Row],[Date]])+IF(MONTH(Table7[[#This Row],[Date]])&gt;=4,1,0)</f>
        <v>2026</v>
      </c>
      <c r="C243" s="151">
        <f>YEAR(Table7[[#This Row],[Date]])</f>
        <v>2025</v>
      </c>
      <c r="D243" s="152">
        <f>Daily_KPI[[#This Row],[Date]]-DAY(Daily_KPI[[#This Row],[Date]])+1</f>
        <v>45962</v>
      </c>
      <c r="AW243" s="108">
        <f t="shared" si="13"/>
        <v>0</v>
      </c>
    </row>
    <row r="244" spans="1:49">
      <c r="A244" s="145">
        <v>45986</v>
      </c>
      <c r="B244" s="146">
        <f>YEAR(Table7[[#This Row],[Date]])+IF(MONTH(Table7[[#This Row],[Date]])&gt;=4,1,0)</f>
        <v>2026</v>
      </c>
      <c r="C244" s="147">
        <f>YEAR(Table7[[#This Row],[Date]])</f>
        <v>2025</v>
      </c>
      <c r="D244" s="148">
        <f>Daily_KPI[[#This Row],[Date]]-DAY(Daily_KPI[[#This Row],[Date]])+1</f>
        <v>45962</v>
      </c>
      <c r="AW244" s="108">
        <f t="shared" si="13"/>
        <v>0</v>
      </c>
    </row>
    <row r="245" spans="1:49">
      <c r="A245" s="149">
        <v>45987</v>
      </c>
      <c r="B245" s="150">
        <f>YEAR(Table7[[#This Row],[Date]])+IF(MONTH(Table7[[#This Row],[Date]])&gt;=4,1,0)</f>
        <v>2026</v>
      </c>
      <c r="C245" s="151">
        <f>YEAR(Table7[[#This Row],[Date]])</f>
        <v>2025</v>
      </c>
      <c r="D245" s="152">
        <f>Daily_KPI[[#This Row],[Date]]-DAY(Daily_KPI[[#This Row],[Date]])+1</f>
        <v>45962</v>
      </c>
      <c r="AW245" s="108">
        <f t="shared" si="13"/>
        <v>0</v>
      </c>
    </row>
    <row r="246" spans="1:49">
      <c r="A246" s="145">
        <v>45988</v>
      </c>
      <c r="B246" s="146">
        <f>YEAR(Table7[[#This Row],[Date]])+IF(MONTH(Table7[[#This Row],[Date]])&gt;=4,1,0)</f>
        <v>2026</v>
      </c>
      <c r="C246" s="147">
        <f>YEAR(Table7[[#This Row],[Date]])</f>
        <v>2025</v>
      </c>
      <c r="D246" s="148">
        <f>Daily_KPI[[#This Row],[Date]]-DAY(Daily_KPI[[#This Row],[Date]])+1</f>
        <v>45962</v>
      </c>
      <c r="AW246" s="108">
        <f t="shared" si="13"/>
        <v>0</v>
      </c>
    </row>
    <row r="247" spans="1:49">
      <c r="A247" s="149">
        <v>45989</v>
      </c>
      <c r="B247" s="150">
        <f>YEAR(Table7[[#This Row],[Date]])+IF(MONTH(Table7[[#This Row],[Date]])&gt;=4,1,0)</f>
        <v>2026</v>
      </c>
      <c r="C247" s="151">
        <f>YEAR(Table7[[#This Row],[Date]])</f>
        <v>2025</v>
      </c>
      <c r="D247" s="152">
        <f>Daily_KPI[[#This Row],[Date]]-DAY(Daily_KPI[[#This Row],[Date]])+1</f>
        <v>45962</v>
      </c>
      <c r="AW247" s="108">
        <f t="shared" si="13"/>
        <v>0</v>
      </c>
    </row>
    <row r="248" spans="1:49">
      <c r="A248" s="145">
        <v>45990</v>
      </c>
      <c r="B248" s="146">
        <f>YEAR(Table7[[#This Row],[Date]])+IF(MONTH(Table7[[#This Row],[Date]])&gt;=4,1,0)</f>
        <v>2026</v>
      </c>
      <c r="C248" s="147">
        <f>YEAR(Table7[[#This Row],[Date]])</f>
        <v>2025</v>
      </c>
      <c r="D248" s="148">
        <f>Daily_KPI[[#This Row],[Date]]-DAY(Daily_KPI[[#This Row],[Date]])+1</f>
        <v>45962</v>
      </c>
      <c r="AW248" s="108">
        <f t="shared" si="13"/>
        <v>0</v>
      </c>
    </row>
    <row r="249" spans="1:49">
      <c r="A249" s="149">
        <v>45991</v>
      </c>
      <c r="B249" s="150">
        <f>YEAR(Table7[[#This Row],[Date]])+IF(MONTH(Table7[[#This Row],[Date]])&gt;=4,1,0)</f>
        <v>2026</v>
      </c>
      <c r="C249" s="151">
        <f>YEAR(Table7[[#This Row],[Date]])</f>
        <v>2025</v>
      </c>
      <c r="D249" s="152">
        <f>Daily_KPI[[#This Row],[Date]]-DAY(Daily_KPI[[#This Row],[Date]])+1</f>
        <v>45992</v>
      </c>
      <c r="AW249" s="108">
        <f t="shared" si="13"/>
        <v>0</v>
      </c>
    </row>
    <row r="250" spans="1:49">
      <c r="A250" s="145">
        <v>45992</v>
      </c>
      <c r="B250" s="146">
        <f>YEAR(Table7[[#This Row],[Date]])+IF(MONTH(Table7[[#This Row],[Date]])&gt;=4,1,0)</f>
        <v>2026</v>
      </c>
      <c r="C250" s="147">
        <f>YEAR(Table7[[#This Row],[Date]])</f>
        <v>2025</v>
      </c>
      <c r="D250" s="148">
        <f>Daily_KPI[[#This Row],[Date]]-DAY(Daily_KPI[[#This Row],[Date]])+1</f>
        <v>45992</v>
      </c>
      <c r="AW250" s="108">
        <f t="shared" si="13"/>
        <v>0</v>
      </c>
    </row>
    <row r="251" spans="1:49">
      <c r="A251" s="149">
        <v>45993</v>
      </c>
      <c r="B251" s="150">
        <f>YEAR(Table7[[#This Row],[Date]])+IF(MONTH(Table7[[#This Row],[Date]])&gt;=4,1,0)</f>
        <v>2026</v>
      </c>
      <c r="C251" s="151">
        <f>YEAR(Table7[[#This Row],[Date]])</f>
        <v>2025</v>
      </c>
      <c r="D251" s="152">
        <f>Daily_KPI[[#This Row],[Date]]-DAY(Daily_KPI[[#This Row],[Date]])+1</f>
        <v>45992</v>
      </c>
      <c r="AW251" s="108">
        <f t="shared" si="13"/>
        <v>0</v>
      </c>
    </row>
    <row r="252" spans="1:49">
      <c r="A252" s="145">
        <v>45994</v>
      </c>
      <c r="B252" s="146">
        <f>YEAR(Table7[[#This Row],[Date]])+IF(MONTH(Table7[[#This Row],[Date]])&gt;=4,1,0)</f>
        <v>2026</v>
      </c>
      <c r="C252" s="147">
        <f>YEAR(Table7[[#This Row],[Date]])</f>
        <v>2025</v>
      </c>
      <c r="D252" s="148">
        <f>Daily_KPI[[#This Row],[Date]]-DAY(Daily_KPI[[#This Row],[Date]])+1</f>
        <v>45992</v>
      </c>
      <c r="AW252" s="108">
        <f t="shared" si="13"/>
        <v>0</v>
      </c>
    </row>
    <row r="253" spans="1:49">
      <c r="A253" s="149">
        <v>45995</v>
      </c>
      <c r="B253" s="150">
        <f>YEAR(Table7[[#This Row],[Date]])+IF(MONTH(Table7[[#This Row],[Date]])&gt;=4,1,0)</f>
        <v>2026</v>
      </c>
      <c r="C253" s="151">
        <f>YEAR(Table7[[#This Row],[Date]])</f>
        <v>2025</v>
      </c>
      <c r="D253" s="152">
        <f>Daily_KPI[[#This Row],[Date]]-DAY(Daily_KPI[[#This Row],[Date]])+1</f>
        <v>45992</v>
      </c>
      <c r="AW253" s="108">
        <f t="shared" si="13"/>
        <v>0</v>
      </c>
    </row>
    <row r="254" spans="1:49">
      <c r="A254" s="145">
        <v>45996</v>
      </c>
      <c r="B254" s="146">
        <f>YEAR(Table7[[#This Row],[Date]])+IF(MONTH(Table7[[#This Row],[Date]])&gt;=4,1,0)</f>
        <v>2026</v>
      </c>
      <c r="C254" s="147">
        <f>YEAR(Table7[[#This Row],[Date]])</f>
        <v>2025</v>
      </c>
      <c r="D254" s="148">
        <f>Daily_KPI[[#This Row],[Date]]-DAY(Daily_KPI[[#This Row],[Date]])+1</f>
        <v>45992</v>
      </c>
      <c r="AW254" s="108">
        <f t="shared" ref="AW254:AW317" si="14">SUM(E254:AV254)/1000</f>
        <v>0</v>
      </c>
    </row>
    <row r="255" spans="1:49">
      <c r="A255" s="149">
        <v>45997</v>
      </c>
      <c r="B255" s="150">
        <f>YEAR(Table7[[#This Row],[Date]])+IF(MONTH(Table7[[#This Row],[Date]])&gt;=4,1,0)</f>
        <v>2026</v>
      </c>
      <c r="C255" s="151">
        <f>YEAR(Table7[[#This Row],[Date]])</f>
        <v>2025</v>
      </c>
      <c r="D255" s="152">
        <f>Daily_KPI[[#This Row],[Date]]-DAY(Daily_KPI[[#This Row],[Date]])+1</f>
        <v>45992</v>
      </c>
      <c r="AW255" s="108">
        <f t="shared" si="14"/>
        <v>0</v>
      </c>
    </row>
    <row r="256" spans="1:49">
      <c r="A256" s="145">
        <v>45998</v>
      </c>
      <c r="B256" s="146">
        <f>YEAR(Table7[[#This Row],[Date]])+IF(MONTH(Table7[[#This Row],[Date]])&gt;=4,1,0)</f>
        <v>2026</v>
      </c>
      <c r="C256" s="147">
        <f>YEAR(Table7[[#This Row],[Date]])</f>
        <v>2025</v>
      </c>
      <c r="D256" s="148">
        <f>Daily_KPI[[#This Row],[Date]]-DAY(Daily_KPI[[#This Row],[Date]])+1</f>
        <v>45992</v>
      </c>
      <c r="AW256" s="108">
        <f t="shared" si="14"/>
        <v>0</v>
      </c>
    </row>
    <row r="257" spans="1:49">
      <c r="A257" s="149">
        <v>45999</v>
      </c>
      <c r="B257" s="150">
        <f>YEAR(Table7[[#This Row],[Date]])+IF(MONTH(Table7[[#This Row],[Date]])&gt;=4,1,0)</f>
        <v>2026</v>
      </c>
      <c r="C257" s="151">
        <f>YEAR(Table7[[#This Row],[Date]])</f>
        <v>2025</v>
      </c>
      <c r="D257" s="152">
        <f>Daily_KPI[[#This Row],[Date]]-DAY(Daily_KPI[[#This Row],[Date]])+1</f>
        <v>45992</v>
      </c>
      <c r="AW257" s="108">
        <f t="shared" si="14"/>
        <v>0</v>
      </c>
    </row>
    <row r="258" spans="1:49">
      <c r="A258" s="145">
        <v>46000</v>
      </c>
      <c r="B258" s="146">
        <f>YEAR(Table7[[#This Row],[Date]])+IF(MONTH(Table7[[#This Row],[Date]])&gt;=4,1,0)</f>
        <v>2026</v>
      </c>
      <c r="C258" s="147">
        <f>YEAR(Table7[[#This Row],[Date]])</f>
        <v>2025</v>
      </c>
      <c r="D258" s="148">
        <f>Daily_KPI[[#This Row],[Date]]-DAY(Daily_KPI[[#This Row],[Date]])+1</f>
        <v>45992</v>
      </c>
      <c r="AW258" s="108">
        <f t="shared" si="14"/>
        <v>0</v>
      </c>
    </row>
    <row r="259" spans="1:49">
      <c r="A259" s="149">
        <v>46001</v>
      </c>
      <c r="B259" s="150">
        <f>YEAR(Table7[[#This Row],[Date]])+IF(MONTH(Table7[[#This Row],[Date]])&gt;=4,1,0)</f>
        <v>2026</v>
      </c>
      <c r="C259" s="151">
        <f>YEAR(Table7[[#This Row],[Date]])</f>
        <v>2025</v>
      </c>
      <c r="D259" s="152">
        <f>Daily_KPI[[#This Row],[Date]]-DAY(Daily_KPI[[#This Row],[Date]])+1</f>
        <v>45992</v>
      </c>
      <c r="AW259" s="108">
        <f t="shared" si="14"/>
        <v>0</v>
      </c>
    </row>
    <row r="260" spans="1:49">
      <c r="A260" s="145">
        <v>46002</v>
      </c>
      <c r="B260" s="146">
        <f>YEAR(Table7[[#This Row],[Date]])+IF(MONTH(Table7[[#This Row],[Date]])&gt;=4,1,0)</f>
        <v>2026</v>
      </c>
      <c r="C260" s="147">
        <f>YEAR(Table7[[#This Row],[Date]])</f>
        <v>2025</v>
      </c>
      <c r="D260" s="148">
        <f>Daily_KPI[[#This Row],[Date]]-DAY(Daily_KPI[[#This Row],[Date]])+1</f>
        <v>45992</v>
      </c>
      <c r="AW260" s="108">
        <f t="shared" si="14"/>
        <v>0</v>
      </c>
    </row>
    <row r="261" spans="1:49">
      <c r="A261" s="149">
        <v>46003</v>
      </c>
      <c r="B261" s="150">
        <f>YEAR(Table7[[#This Row],[Date]])+IF(MONTH(Table7[[#This Row],[Date]])&gt;=4,1,0)</f>
        <v>2026</v>
      </c>
      <c r="C261" s="151">
        <f>YEAR(Table7[[#This Row],[Date]])</f>
        <v>2025</v>
      </c>
      <c r="D261" s="152">
        <f>Daily_KPI[[#This Row],[Date]]-DAY(Daily_KPI[[#This Row],[Date]])+1</f>
        <v>45992</v>
      </c>
      <c r="AW261" s="108">
        <f t="shared" si="14"/>
        <v>0</v>
      </c>
    </row>
    <row r="262" spans="1:49">
      <c r="A262" s="145">
        <v>46004</v>
      </c>
      <c r="B262" s="146">
        <f>YEAR(Table7[[#This Row],[Date]])+IF(MONTH(Table7[[#This Row],[Date]])&gt;=4,1,0)</f>
        <v>2026</v>
      </c>
      <c r="C262" s="147">
        <f>YEAR(Table7[[#This Row],[Date]])</f>
        <v>2025</v>
      </c>
      <c r="D262" s="148">
        <f>Daily_KPI[[#This Row],[Date]]-DAY(Daily_KPI[[#This Row],[Date]])+1</f>
        <v>45992</v>
      </c>
      <c r="AW262" s="108">
        <f t="shared" si="14"/>
        <v>0</v>
      </c>
    </row>
    <row r="263" spans="1:49">
      <c r="A263" s="149">
        <v>46005</v>
      </c>
      <c r="B263" s="150">
        <f>YEAR(Table7[[#This Row],[Date]])+IF(MONTH(Table7[[#This Row],[Date]])&gt;=4,1,0)</f>
        <v>2026</v>
      </c>
      <c r="C263" s="151">
        <f>YEAR(Table7[[#This Row],[Date]])</f>
        <v>2025</v>
      </c>
      <c r="D263" s="152">
        <f>Daily_KPI[[#This Row],[Date]]-DAY(Daily_KPI[[#This Row],[Date]])+1</f>
        <v>45992</v>
      </c>
      <c r="AW263" s="108">
        <f t="shared" si="14"/>
        <v>0</v>
      </c>
    </row>
    <row r="264" spans="1:49">
      <c r="A264" s="145">
        <v>46006</v>
      </c>
      <c r="B264" s="146">
        <f>YEAR(Table7[[#This Row],[Date]])+IF(MONTH(Table7[[#This Row],[Date]])&gt;=4,1,0)</f>
        <v>2026</v>
      </c>
      <c r="C264" s="147">
        <f>YEAR(Table7[[#This Row],[Date]])</f>
        <v>2025</v>
      </c>
      <c r="D264" s="148">
        <f>Daily_KPI[[#This Row],[Date]]-DAY(Daily_KPI[[#This Row],[Date]])+1</f>
        <v>45992</v>
      </c>
      <c r="AW264" s="108">
        <f t="shared" si="14"/>
        <v>0</v>
      </c>
    </row>
    <row r="265" spans="1:49">
      <c r="A265" s="149">
        <v>46007</v>
      </c>
      <c r="B265" s="150">
        <f>YEAR(Table7[[#This Row],[Date]])+IF(MONTH(Table7[[#This Row],[Date]])&gt;=4,1,0)</f>
        <v>2026</v>
      </c>
      <c r="C265" s="151">
        <f>YEAR(Table7[[#This Row],[Date]])</f>
        <v>2025</v>
      </c>
      <c r="D265" s="152">
        <f>Daily_KPI[[#This Row],[Date]]-DAY(Daily_KPI[[#This Row],[Date]])+1</f>
        <v>45992</v>
      </c>
      <c r="AW265" s="108">
        <f t="shared" si="14"/>
        <v>0</v>
      </c>
    </row>
    <row r="266" spans="1:49">
      <c r="A266" s="145">
        <v>46008</v>
      </c>
      <c r="B266" s="146">
        <f>YEAR(Table7[[#This Row],[Date]])+IF(MONTH(Table7[[#This Row],[Date]])&gt;=4,1,0)</f>
        <v>2026</v>
      </c>
      <c r="C266" s="147">
        <f>YEAR(Table7[[#This Row],[Date]])</f>
        <v>2025</v>
      </c>
      <c r="D266" s="148">
        <f>Daily_KPI[[#This Row],[Date]]-DAY(Daily_KPI[[#This Row],[Date]])+1</f>
        <v>45992</v>
      </c>
      <c r="AW266" s="108">
        <f t="shared" si="14"/>
        <v>0</v>
      </c>
    </row>
    <row r="267" spans="1:49">
      <c r="A267" s="149">
        <v>46009</v>
      </c>
      <c r="B267" s="150">
        <f>YEAR(Table7[[#This Row],[Date]])+IF(MONTH(Table7[[#This Row],[Date]])&gt;=4,1,0)</f>
        <v>2026</v>
      </c>
      <c r="C267" s="151">
        <f>YEAR(Table7[[#This Row],[Date]])</f>
        <v>2025</v>
      </c>
      <c r="D267" s="152">
        <f>Daily_KPI[[#This Row],[Date]]-DAY(Daily_KPI[[#This Row],[Date]])+1</f>
        <v>45992</v>
      </c>
      <c r="AW267" s="108">
        <f t="shared" si="14"/>
        <v>0</v>
      </c>
    </row>
    <row r="268" spans="1:49">
      <c r="A268" s="145">
        <v>46010</v>
      </c>
      <c r="B268" s="146">
        <f>YEAR(Table7[[#This Row],[Date]])+IF(MONTH(Table7[[#This Row],[Date]])&gt;=4,1,0)</f>
        <v>2026</v>
      </c>
      <c r="C268" s="147">
        <f>YEAR(Table7[[#This Row],[Date]])</f>
        <v>2025</v>
      </c>
      <c r="D268" s="148">
        <f>Daily_KPI[[#This Row],[Date]]-DAY(Daily_KPI[[#This Row],[Date]])+1</f>
        <v>45992</v>
      </c>
      <c r="AW268" s="108">
        <f t="shared" si="14"/>
        <v>0</v>
      </c>
    </row>
    <row r="269" spans="1:49">
      <c r="A269" s="149">
        <v>46011</v>
      </c>
      <c r="B269" s="150">
        <f>YEAR(Table7[[#This Row],[Date]])+IF(MONTH(Table7[[#This Row],[Date]])&gt;=4,1,0)</f>
        <v>2026</v>
      </c>
      <c r="C269" s="151">
        <f>YEAR(Table7[[#This Row],[Date]])</f>
        <v>2025</v>
      </c>
      <c r="D269" s="152">
        <f>Daily_KPI[[#This Row],[Date]]-DAY(Daily_KPI[[#This Row],[Date]])+1</f>
        <v>45992</v>
      </c>
      <c r="AW269" s="108">
        <f t="shared" si="14"/>
        <v>0</v>
      </c>
    </row>
    <row r="270" spans="1:49">
      <c r="A270" s="145">
        <v>46012</v>
      </c>
      <c r="B270" s="146">
        <f>YEAR(Table7[[#This Row],[Date]])+IF(MONTH(Table7[[#This Row],[Date]])&gt;=4,1,0)</f>
        <v>2026</v>
      </c>
      <c r="C270" s="147">
        <f>YEAR(Table7[[#This Row],[Date]])</f>
        <v>2025</v>
      </c>
      <c r="D270" s="148">
        <f>Daily_KPI[[#This Row],[Date]]-DAY(Daily_KPI[[#This Row],[Date]])+1</f>
        <v>45992</v>
      </c>
      <c r="AW270" s="108">
        <f t="shared" si="14"/>
        <v>0</v>
      </c>
    </row>
    <row r="271" spans="1:49">
      <c r="A271" s="149">
        <v>46013</v>
      </c>
      <c r="B271" s="150">
        <f>YEAR(Table7[[#This Row],[Date]])+IF(MONTH(Table7[[#This Row],[Date]])&gt;=4,1,0)</f>
        <v>2026</v>
      </c>
      <c r="C271" s="151">
        <f>YEAR(Table7[[#This Row],[Date]])</f>
        <v>2025</v>
      </c>
      <c r="D271" s="152">
        <f>Daily_KPI[[#This Row],[Date]]-DAY(Daily_KPI[[#This Row],[Date]])+1</f>
        <v>45992</v>
      </c>
      <c r="AW271" s="108">
        <f t="shared" si="14"/>
        <v>0</v>
      </c>
    </row>
    <row r="272" spans="1:49">
      <c r="A272" s="145">
        <v>46014</v>
      </c>
      <c r="B272" s="146">
        <f>YEAR(Table7[[#This Row],[Date]])+IF(MONTH(Table7[[#This Row],[Date]])&gt;=4,1,0)</f>
        <v>2026</v>
      </c>
      <c r="C272" s="147">
        <f>YEAR(Table7[[#This Row],[Date]])</f>
        <v>2025</v>
      </c>
      <c r="D272" s="148">
        <f>Daily_KPI[[#This Row],[Date]]-DAY(Daily_KPI[[#This Row],[Date]])+1</f>
        <v>45992</v>
      </c>
      <c r="AW272" s="108">
        <f t="shared" si="14"/>
        <v>0</v>
      </c>
    </row>
    <row r="273" spans="1:49">
      <c r="A273" s="149">
        <v>46015</v>
      </c>
      <c r="B273" s="150">
        <f>YEAR(Table7[[#This Row],[Date]])+IF(MONTH(Table7[[#This Row],[Date]])&gt;=4,1,0)</f>
        <v>2026</v>
      </c>
      <c r="C273" s="151">
        <f>YEAR(Table7[[#This Row],[Date]])</f>
        <v>2025</v>
      </c>
      <c r="D273" s="152">
        <f>Daily_KPI[[#This Row],[Date]]-DAY(Daily_KPI[[#This Row],[Date]])+1</f>
        <v>45992</v>
      </c>
      <c r="AW273" s="108">
        <f t="shared" si="14"/>
        <v>0</v>
      </c>
    </row>
    <row r="274" spans="1:49">
      <c r="A274" s="145">
        <v>46016</v>
      </c>
      <c r="B274" s="146">
        <f>YEAR(Table7[[#This Row],[Date]])+IF(MONTH(Table7[[#This Row],[Date]])&gt;=4,1,0)</f>
        <v>2026</v>
      </c>
      <c r="C274" s="147">
        <f>YEAR(Table7[[#This Row],[Date]])</f>
        <v>2025</v>
      </c>
      <c r="D274" s="148">
        <f>Daily_KPI[[#This Row],[Date]]-DAY(Daily_KPI[[#This Row],[Date]])+1</f>
        <v>45992</v>
      </c>
      <c r="AW274" s="108">
        <f t="shared" si="14"/>
        <v>0</v>
      </c>
    </row>
    <row r="275" spans="1:49">
      <c r="A275" s="149">
        <v>46017</v>
      </c>
      <c r="B275" s="150">
        <f>YEAR(Table7[[#This Row],[Date]])+IF(MONTH(Table7[[#This Row],[Date]])&gt;=4,1,0)</f>
        <v>2026</v>
      </c>
      <c r="C275" s="151">
        <f>YEAR(Table7[[#This Row],[Date]])</f>
        <v>2025</v>
      </c>
      <c r="D275" s="152">
        <f>Daily_KPI[[#This Row],[Date]]-DAY(Daily_KPI[[#This Row],[Date]])+1</f>
        <v>45992</v>
      </c>
      <c r="AW275" s="108">
        <f t="shared" si="14"/>
        <v>0</v>
      </c>
    </row>
    <row r="276" spans="1:49">
      <c r="A276" s="145">
        <v>46018</v>
      </c>
      <c r="B276" s="146">
        <f>YEAR(Table7[[#This Row],[Date]])+IF(MONTH(Table7[[#This Row],[Date]])&gt;=4,1,0)</f>
        <v>2026</v>
      </c>
      <c r="C276" s="147">
        <f>YEAR(Table7[[#This Row],[Date]])</f>
        <v>2025</v>
      </c>
      <c r="D276" s="148">
        <f>Daily_KPI[[#This Row],[Date]]-DAY(Daily_KPI[[#This Row],[Date]])+1</f>
        <v>45992</v>
      </c>
      <c r="AW276" s="108">
        <f t="shared" si="14"/>
        <v>0</v>
      </c>
    </row>
    <row r="277" spans="1:49">
      <c r="A277" s="149">
        <v>46019</v>
      </c>
      <c r="B277" s="150">
        <f>YEAR(Table7[[#This Row],[Date]])+IF(MONTH(Table7[[#This Row],[Date]])&gt;=4,1,0)</f>
        <v>2026</v>
      </c>
      <c r="C277" s="151">
        <f>YEAR(Table7[[#This Row],[Date]])</f>
        <v>2025</v>
      </c>
      <c r="D277" s="152">
        <f>Daily_KPI[[#This Row],[Date]]-DAY(Daily_KPI[[#This Row],[Date]])+1</f>
        <v>45992</v>
      </c>
      <c r="AW277" s="108">
        <f t="shared" si="14"/>
        <v>0</v>
      </c>
    </row>
    <row r="278" spans="1:49">
      <c r="A278" s="145">
        <v>46020</v>
      </c>
      <c r="B278" s="146">
        <f>YEAR(Table7[[#This Row],[Date]])+IF(MONTH(Table7[[#This Row],[Date]])&gt;=4,1,0)</f>
        <v>2026</v>
      </c>
      <c r="C278" s="147">
        <f>YEAR(Table7[[#This Row],[Date]])</f>
        <v>2025</v>
      </c>
      <c r="D278" s="148">
        <f>Daily_KPI[[#This Row],[Date]]-DAY(Daily_KPI[[#This Row],[Date]])+1</f>
        <v>45992</v>
      </c>
      <c r="AW278" s="108">
        <f t="shared" si="14"/>
        <v>0</v>
      </c>
    </row>
    <row r="279" spans="1:49">
      <c r="A279" s="149">
        <v>46021</v>
      </c>
      <c r="B279" s="150">
        <f>YEAR(Table7[[#This Row],[Date]])+IF(MONTH(Table7[[#This Row],[Date]])&gt;=4,1,0)</f>
        <v>2026</v>
      </c>
      <c r="C279" s="151">
        <f>YEAR(Table7[[#This Row],[Date]])</f>
        <v>2025</v>
      </c>
      <c r="D279" s="152">
        <f>Daily_KPI[[#This Row],[Date]]-DAY(Daily_KPI[[#This Row],[Date]])+1</f>
        <v>45992</v>
      </c>
      <c r="AW279" s="108">
        <f t="shared" si="14"/>
        <v>0</v>
      </c>
    </row>
    <row r="280" spans="1:49">
      <c r="A280" s="149">
        <v>46022</v>
      </c>
      <c r="B280" s="150">
        <f>YEAR(Table7[[#This Row],[Date]])+IF(MONTH(Table7[[#This Row],[Date]])&gt;=4,1,0)</f>
        <v>2026</v>
      </c>
      <c r="C280" s="151">
        <f>YEAR(Table7[[#This Row],[Date]])</f>
        <v>2025</v>
      </c>
      <c r="D280" s="152">
        <f>Daily_KPI[[#This Row],[Date]]-DAY(Daily_KPI[[#This Row],[Date]])+1</f>
        <v>46023</v>
      </c>
      <c r="AW280" s="108">
        <f t="shared" si="14"/>
        <v>0</v>
      </c>
    </row>
    <row r="281" spans="1:49">
      <c r="A281" s="149">
        <v>46023</v>
      </c>
      <c r="B281" s="150">
        <f>YEAR(Table7[[#This Row],[Date]])+IF(MONTH(Table7[[#This Row],[Date]])&gt;=4,1,0)</f>
        <v>2026</v>
      </c>
      <c r="C281" s="151">
        <f>YEAR(Table7[[#This Row],[Date]])</f>
        <v>2026</v>
      </c>
      <c r="D281" s="152">
        <f>Daily_KPI[[#This Row],[Date]]-DAY(Daily_KPI[[#This Row],[Date]])+1</f>
        <v>46023</v>
      </c>
      <c r="AW281" s="108">
        <f t="shared" si="14"/>
        <v>0</v>
      </c>
    </row>
    <row r="282" spans="1:49">
      <c r="A282" s="149">
        <v>46024</v>
      </c>
      <c r="B282" s="150">
        <f>YEAR(Table7[[#This Row],[Date]])+IF(MONTH(Table7[[#This Row],[Date]])&gt;=4,1,0)</f>
        <v>2026</v>
      </c>
      <c r="C282" s="151">
        <f>YEAR(Table7[[#This Row],[Date]])</f>
        <v>2026</v>
      </c>
      <c r="D282" s="152">
        <f>Daily_KPI[[#This Row],[Date]]-DAY(Daily_KPI[[#This Row],[Date]])+1</f>
        <v>46023</v>
      </c>
      <c r="AW282" s="108">
        <f t="shared" si="14"/>
        <v>0</v>
      </c>
    </row>
    <row r="283" spans="1:49">
      <c r="A283" s="149">
        <v>46025</v>
      </c>
      <c r="B283" s="150">
        <f>YEAR(Table7[[#This Row],[Date]])+IF(MONTH(Table7[[#This Row],[Date]])&gt;=4,1,0)</f>
        <v>2026</v>
      </c>
      <c r="C283" s="151">
        <f>YEAR(Table7[[#This Row],[Date]])</f>
        <v>2026</v>
      </c>
      <c r="D283" s="152">
        <f>Daily_KPI[[#This Row],[Date]]-DAY(Daily_KPI[[#This Row],[Date]])+1</f>
        <v>46023</v>
      </c>
      <c r="AW283" s="108">
        <f t="shared" si="14"/>
        <v>0</v>
      </c>
    </row>
    <row r="284" spans="1:49">
      <c r="A284" s="149">
        <v>46026</v>
      </c>
      <c r="B284" s="150">
        <f>YEAR(Table7[[#This Row],[Date]])+IF(MONTH(Table7[[#This Row],[Date]])&gt;=4,1,0)</f>
        <v>2026</v>
      </c>
      <c r="C284" s="151">
        <f>YEAR(Table7[[#This Row],[Date]])</f>
        <v>2026</v>
      </c>
      <c r="D284" s="152">
        <f>Daily_KPI[[#This Row],[Date]]-DAY(Daily_KPI[[#This Row],[Date]])+1</f>
        <v>46023</v>
      </c>
      <c r="AW284" s="108">
        <f t="shared" si="14"/>
        <v>0</v>
      </c>
    </row>
    <row r="285" spans="1:49">
      <c r="A285" s="149">
        <v>46027</v>
      </c>
      <c r="B285" s="150">
        <f>YEAR(Table7[[#This Row],[Date]])+IF(MONTH(Table7[[#This Row],[Date]])&gt;=4,1,0)</f>
        <v>2026</v>
      </c>
      <c r="C285" s="151">
        <f>YEAR(Table7[[#This Row],[Date]])</f>
        <v>2026</v>
      </c>
      <c r="D285" s="152">
        <f>Daily_KPI[[#This Row],[Date]]-DAY(Daily_KPI[[#This Row],[Date]])+1</f>
        <v>46023</v>
      </c>
      <c r="AW285" s="108">
        <f t="shared" si="14"/>
        <v>0</v>
      </c>
    </row>
    <row r="286" spans="1:49">
      <c r="A286" s="149">
        <v>46028</v>
      </c>
      <c r="B286" s="150">
        <f>YEAR(Table7[[#This Row],[Date]])+IF(MONTH(Table7[[#This Row],[Date]])&gt;=4,1,0)</f>
        <v>2026</v>
      </c>
      <c r="C286" s="151">
        <f>YEAR(Table7[[#This Row],[Date]])</f>
        <v>2026</v>
      </c>
      <c r="D286" s="152">
        <f>Daily_KPI[[#This Row],[Date]]-DAY(Daily_KPI[[#This Row],[Date]])+1</f>
        <v>46023</v>
      </c>
      <c r="AW286" s="108">
        <f t="shared" si="14"/>
        <v>0</v>
      </c>
    </row>
    <row r="287" spans="1:49">
      <c r="A287" s="149">
        <v>46029</v>
      </c>
      <c r="B287" s="150">
        <f>YEAR(Table7[[#This Row],[Date]])+IF(MONTH(Table7[[#This Row],[Date]])&gt;=4,1,0)</f>
        <v>2026</v>
      </c>
      <c r="C287" s="151">
        <f>YEAR(Table7[[#This Row],[Date]])</f>
        <v>2026</v>
      </c>
      <c r="D287" s="152">
        <f>Daily_KPI[[#This Row],[Date]]-DAY(Daily_KPI[[#This Row],[Date]])+1</f>
        <v>46023</v>
      </c>
      <c r="AW287" s="108">
        <f t="shared" si="14"/>
        <v>0</v>
      </c>
    </row>
    <row r="288" spans="1:49">
      <c r="A288" s="149">
        <v>46030</v>
      </c>
      <c r="B288" s="150">
        <f>YEAR(Table7[[#This Row],[Date]])+IF(MONTH(Table7[[#This Row],[Date]])&gt;=4,1,0)</f>
        <v>2026</v>
      </c>
      <c r="C288" s="151">
        <f>YEAR(Table7[[#This Row],[Date]])</f>
        <v>2026</v>
      </c>
      <c r="D288" s="152">
        <f>Daily_KPI[[#This Row],[Date]]-DAY(Daily_KPI[[#This Row],[Date]])+1</f>
        <v>46023</v>
      </c>
      <c r="AW288" s="108">
        <f t="shared" si="14"/>
        <v>0</v>
      </c>
    </row>
    <row r="289" spans="1:49">
      <c r="A289" s="149">
        <v>46031</v>
      </c>
      <c r="B289" s="150">
        <f>YEAR(Table7[[#This Row],[Date]])+IF(MONTH(Table7[[#This Row],[Date]])&gt;=4,1,0)</f>
        <v>2026</v>
      </c>
      <c r="C289" s="151">
        <f>YEAR(Table7[[#This Row],[Date]])</f>
        <v>2026</v>
      </c>
      <c r="D289" s="152">
        <f>Daily_KPI[[#This Row],[Date]]-DAY(Daily_KPI[[#This Row],[Date]])+1</f>
        <v>46023</v>
      </c>
      <c r="AW289" s="108">
        <f t="shared" si="14"/>
        <v>0</v>
      </c>
    </row>
    <row r="290" spans="1:49">
      <c r="A290" s="149">
        <v>46032</v>
      </c>
      <c r="B290" s="150">
        <f>YEAR(Table7[[#This Row],[Date]])+IF(MONTH(Table7[[#This Row],[Date]])&gt;=4,1,0)</f>
        <v>2026</v>
      </c>
      <c r="C290" s="151">
        <f>YEAR(Table7[[#This Row],[Date]])</f>
        <v>2026</v>
      </c>
      <c r="D290" s="152">
        <f>Daily_KPI[[#This Row],[Date]]-DAY(Daily_KPI[[#This Row],[Date]])+1</f>
        <v>46023</v>
      </c>
      <c r="AW290" s="108">
        <f t="shared" si="14"/>
        <v>0</v>
      </c>
    </row>
    <row r="291" spans="1:49">
      <c r="A291" s="149">
        <v>46033</v>
      </c>
      <c r="B291" s="150">
        <f>YEAR(Table7[[#This Row],[Date]])+IF(MONTH(Table7[[#This Row],[Date]])&gt;=4,1,0)</f>
        <v>2026</v>
      </c>
      <c r="C291" s="151">
        <f>YEAR(Table7[[#This Row],[Date]])</f>
        <v>2026</v>
      </c>
      <c r="D291" s="152">
        <f>Daily_KPI[[#This Row],[Date]]-DAY(Daily_KPI[[#This Row],[Date]])+1</f>
        <v>46023</v>
      </c>
      <c r="AW291" s="108">
        <f t="shared" si="14"/>
        <v>0</v>
      </c>
    </row>
    <row r="292" spans="1:49">
      <c r="A292" s="149">
        <v>46034</v>
      </c>
      <c r="B292" s="150">
        <f>YEAR(Table7[[#This Row],[Date]])+IF(MONTH(Table7[[#This Row],[Date]])&gt;=4,1,0)</f>
        <v>2026</v>
      </c>
      <c r="C292" s="151">
        <f>YEAR(Table7[[#This Row],[Date]])</f>
        <v>2026</v>
      </c>
      <c r="D292" s="152">
        <f>Daily_KPI[[#This Row],[Date]]-DAY(Daily_KPI[[#This Row],[Date]])+1</f>
        <v>46023</v>
      </c>
      <c r="AW292" s="108">
        <f t="shared" si="14"/>
        <v>0</v>
      </c>
    </row>
    <row r="293" spans="1:49">
      <c r="A293" s="149">
        <v>46035</v>
      </c>
      <c r="B293" s="150">
        <f>YEAR(Table7[[#This Row],[Date]])+IF(MONTH(Table7[[#This Row],[Date]])&gt;=4,1,0)</f>
        <v>2026</v>
      </c>
      <c r="C293" s="151">
        <f>YEAR(Table7[[#This Row],[Date]])</f>
        <v>2026</v>
      </c>
      <c r="D293" s="152">
        <f>Daily_KPI[[#This Row],[Date]]-DAY(Daily_KPI[[#This Row],[Date]])+1</f>
        <v>46023</v>
      </c>
      <c r="AW293" s="108">
        <f t="shared" si="14"/>
        <v>0</v>
      </c>
    </row>
    <row r="294" spans="1:49">
      <c r="A294" s="149">
        <v>46036</v>
      </c>
      <c r="B294" s="150">
        <f>YEAR(Table7[[#This Row],[Date]])+IF(MONTH(Table7[[#This Row],[Date]])&gt;=4,1,0)</f>
        <v>2026</v>
      </c>
      <c r="C294" s="151">
        <f>YEAR(Table7[[#This Row],[Date]])</f>
        <v>2026</v>
      </c>
      <c r="D294" s="152">
        <f>Daily_KPI[[#This Row],[Date]]-DAY(Daily_KPI[[#This Row],[Date]])+1</f>
        <v>46023</v>
      </c>
      <c r="AW294" s="108">
        <f t="shared" si="14"/>
        <v>0</v>
      </c>
    </row>
    <row r="295" spans="1:49">
      <c r="A295" s="149">
        <v>46037</v>
      </c>
      <c r="B295" s="150">
        <f>YEAR(Table7[[#This Row],[Date]])+IF(MONTH(Table7[[#This Row],[Date]])&gt;=4,1,0)</f>
        <v>2026</v>
      </c>
      <c r="C295" s="151">
        <f>YEAR(Table7[[#This Row],[Date]])</f>
        <v>2026</v>
      </c>
      <c r="D295" s="152">
        <f>Daily_KPI[[#This Row],[Date]]-DAY(Daily_KPI[[#This Row],[Date]])+1</f>
        <v>46023</v>
      </c>
      <c r="AW295" s="108">
        <f t="shared" si="14"/>
        <v>0</v>
      </c>
    </row>
    <row r="296" spans="1:49">
      <c r="A296" s="149">
        <v>46038</v>
      </c>
      <c r="B296" s="150">
        <f>YEAR(Table7[[#This Row],[Date]])+IF(MONTH(Table7[[#This Row],[Date]])&gt;=4,1,0)</f>
        <v>2026</v>
      </c>
      <c r="C296" s="151">
        <f>YEAR(Table7[[#This Row],[Date]])</f>
        <v>2026</v>
      </c>
      <c r="D296" s="152">
        <f>Daily_KPI[[#This Row],[Date]]-DAY(Daily_KPI[[#This Row],[Date]])+1</f>
        <v>46023</v>
      </c>
      <c r="AW296" s="108">
        <f t="shared" si="14"/>
        <v>0</v>
      </c>
    </row>
    <row r="297" spans="1:49">
      <c r="A297" s="149">
        <v>46039</v>
      </c>
      <c r="B297" s="150">
        <f>YEAR(Table7[[#This Row],[Date]])+IF(MONTH(Table7[[#This Row],[Date]])&gt;=4,1,0)</f>
        <v>2026</v>
      </c>
      <c r="C297" s="151">
        <f>YEAR(Table7[[#This Row],[Date]])</f>
        <v>2026</v>
      </c>
      <c r="D297" s="152">
        <f>Daily_KPI[[#This Row],[Date]]-DAY(Daily_KPI[[#This Row],[Date]])+1</f>
        <v>46023</v>
      </c>
      <c r="AW297" s="108">
        <f t="shared" si="14"/>
        <v>0</v>
      </c>
    </row>
    <row r="298" spans="1:49">
      <c r="A298" s="149">
        <v>46040</v>
      </c>
      <c r="B298" s="150">
        <f>YEAR(Table7[[#This Row],[Date]])+IF(MONTH(Table7[[#This Row],[Date]])&gt;=4,1,0)</f>
        <v>2026</v>
      </c>
      <c r="C298" s="151">
        <f>YEAR(Table7[[#This Row],[Date]])</f>
        <v>2026</v>
      </c>
      <c r="D298" s="152">
        <f>Daily_KPI[[#This Row],[Date]]-DAY(Daily_KPI[[#This Row],[Date]])+1</f>
        <v>46023</v>
      </c>
      <c r="AW298" s="108">
        <f t="shared" si="14"/>
        <v>0</v>
      </c>
    </row>
    <row r="299" spans="1:49">
      <c r="A299" s="149">
        <v>46041</v>
      </c>
      <c r="B299" s="150">
        <f>YEAR(Table7[[#This Row],[Date]])+IF(MONTH(Table7[[#This Row],[Date]])&gt;=4,1,0)</f>
        <v>2026</v>
      </c>
      <c r="C299" s="151">
        <f>YEAR(Table7[[#This Row],[Date]])</f>
        <v>2026</v>
      </c>
      <c r="D299" s="152">
        <f>Daily_KPI[[#This Row],[Date]]-DAY(Daily_KPI[[#This Row],[Date]])+1</f>
        <v>46023</v>
      </c>
      <c r="AW299" s="108">
        <f t="shared" si="14"/>
        <v>0</v>
      </c>
    </row>
    <row r="300" spans="1:49">
      <c r="A300" s="149">
        <v>46042</v>
      </c>
      <c r="B300" s="150">
        <f>YEAR(Table7[[#This Row],[Date]])+IF(MONTH(Table7[[#This Row],[Date]])&gt;=4,1,0)</f>
        <v>2026</v>
      </c>
      <c r="C300" s="151">
        <f>YEAR(Table7[[#This Row],[Date]])</f>
        <v>2026</v>
      </c>
      <c r="D300" s="152">
        <f>Daily_KPI[[#This Row],[Date]]-DAY(Daily_KPI[[#This Row],[Date]])+1</f>
        <v>46023</v>
      </c>
      <c r="AW300" s="108">
        <f t="shared" si="14"/>
        <v>0</v>
      </c>
    </row>
    <row r="301" spans="1:49">
      <c r="A301" s="149">
        <v>46043</v>
      </c>
      <c r="B301" s="150">
        <f>YEAR(Table7[[#This Row],[Date]])+IF(MONTH(Table7[[#This Row],[Date]])&gt;=4,1,0)</f>
        <v>2026</v>
      </c>
      <c r="C301" s="151">
        <f>YEAR(Table7[[#This Row],[Date]])</f>
        <v>2026</v>
      </c>
      <c r="D301" s="152">
        <f>Daily_KPI[[#This Row],[Date]]-DAY(Daily_KPI[[#This Row],[Date]])+1</f>
        <v>46023</v>
      </c>
      <c r="AW301" s="108">
        <f t="shared" si="14"/>
        <v>0</v>
      </c>
    </row>
    <row r="302" spans="1:49">
      <c r="A302" s="149">
        <v>46044</v>
      </c>
      <c r="B302" s="150">
        <f>YEAR(Table7[[#This Row],[Date]])+IF(MONTH(Table7[[#This Row],[Date]])&gt;=4,1,0)</f>
        <v>2026</v>
      </c>
      <c r="C302" s="151">
        <f>YEAR(Table7[[#This Row],[Date]])</f>
        <v>2026</v>
      </c>
      <c r="D302" s="152">
        <f>Daily_KPI[[#This Row],[Date]]-DAY(Daily_KPI[[#This Row],[Date]])+1</f>
        <v>46023</v>
      </c>
      <c r="AW302" s="108">
        <f t="shared" si="14"/>
        <v>0</v>
      </c>
    </row>
    <row r="303" spans="1:49">
      <c r="A303" s="149">
        <v>46045</v>
      </c>
      <c r="B303" s="150">
        <f>YEAR(Table7[[#This Row],[Date]])+IF(MONTH(Table7[[#This Row],[Date]])&gt;=4,1,0)</f>
        <v>2026</v>
      </c>
      <c r="C303" s="151">
        <f>YEAR(Table7[[#This Row],[Date]])</f>
        <v>2026</v>
      </c>
      <c r="D303" s="152">
        <f>Daily_KPI[[#This Row],[Date]]-DAY(Daily_KPI[[#This Row],[Date]])+1</f>
        <v>46023</v>
      </c>
      <c r="AW303" s="108">
        <f t="shared" si="14"/>
        <v>0</v>
      </c>
    </row>
    <row r="304" spans="1:49">
      <c r="A304" s="149">
        <v>46046</v>
      </c>
      <c r="B304" s="150">
        <f>YEAR(Table7[[#This Row],[Date]])+IF(MONTH(Table7[[#This Row],[Date]])&gt;=4,1,0)</f>
        <v>2026</v>
      </c>
      <c r="C304" s="151">
        <f>YEAR(Table7[[#This Row],[Date]])</f>
        <v>2026</v>
      </c>
      <c r="D304" s="152">
        <f>Daily_KPI[[#This Row],[Date]]-DAY(Daily_KPI[[#This Row],[Date]])+1</f>
        <v>46023</v>
      </c>
      <c r="AW304" s="108">
        <f t="shared" si="14"/>
        <v>0</v>
      </c>
    </row>
    <row r="305" spans="1:49">
      <c r="A305" s="149">
        <v>46047</v>
      </c>
      <c r="B305" s="150">
        <f>YEAR(Table7[[#This Row],[Date]])+IF(MONTH(Table7[[#This Row],[Date]])&gt;=4,1,0)</f>
        <v>2026</v>
      </c>
      <c r="C305" s="151">
        <f>YEAR(Table7[[#This Row],[Date]])</f>
        <v>2026</v>
      </c>
      <c r="D305" s="152">
        <f>Daily_KPI[[#This Row],[Date]]-DAY(Daily_KPI[[#This Row],[Date]])+1</f>
        <v>46023</v>
      </c>
      <c r="AW305" s="108">
        <f t="shared" si="14"/>
        <v>0</v>
      </c>
    </row>
    <row r="306" spans="1:49">
      <c r="A306" s="149">
        <v>46048</v>
      </c>
      <c r="B306" s="150">
        <f>YEAR(Table7[[#This Row],[Date]])+IF(MONTH(Table7[[#This Row],[Date]])&gt;=4,1,0)</f>
        <v>2026</v>
      </c>
      <c r="C306" s="151">
        <f>YEAR(Table7[[#This Row],[Date]])</f>
        <v>2026</v>
      </c>
      <c r="D306" s="152">
        <f>Daily_KPI[[#This Row],[Date]]-DAY(Daily_KPI[[#This Row],[Date]])+1</f>
        <v>46023</v>
      </c>
      <c r="AW306" s="108">
        <f t="shared" si="14"/>
        <v>0</v>
      </c>
    </row>
    <row r="307" spans="1:49">
      <c r="A307" s="149">
        <v>46049</v>
      </c>
      <c r="B307" s="150">
        <f>YEAR(Table7[[#This Row],[Date]])+IF(MONTH(Table7[[#This Row],[Date]])&gt;=4,1,0)</f>
        <v>2026</v>
      </c>
      <c r="C307" s="151">
        <f>YEAR(Table7[[#This Row],[Date]])</f>
        <v>2026</v>
      </c>
      <c r="D307" s="152">
        <f>Daily_KPI[[#This Row],[Date]]-DAY(Daily_KPI[[#This Row],[Date]])+1</f>
        <v>46023</v>
      </c>
      <c r="AW307" s="108">
        <f t="shared" si="14"/>
        <v>0</v>
      </c>
    </row>
    <row r="308" spans="1:49">
      <c r="A308" s="149">
        <v>46050</v>
      </c>
      <c r="B308" s="150">
        <f>YEAR(Table7[[#This Row],[Date]])+IF(MONTH(Table7[[#This Row],[Date]])&gt;=4,1,0)</f>
        <v>2026</v>
      </c>
      <c r="C308" s="151">
        <f>YEAR(Table7[[#This Row],[Date]])</f>
        <v>2026</v>
      </c>
      <c r="D308" s="152">
        <f>Daily_KPI[[#This Row],[Date]]-DAY(Daily_KPI[[#This Row],[Date]])+1</f>
        <v>46023</v>
      </c>
      <c r="AW308" s="108">
        <f t="shared" si="14"/>
        <v>0</v>
      </c>
    </row>
    <row r="309" spans="1:49">
      <c r="A309" s="149">
        <v>46051</v>
      </c>
      <c r="B309" s="150">
        <f>YEAR(Table7[[#This Row],[Date]])+IF(MONTH(Table7[[#This Row],[Date]])&gt;=4,1,0)</f>
        <v>2026</v>
      </c>
      <c r="C309" s="151">
        <f>YEAR(Table7[[#This Row],[Date]])</f>
        <v>2026</v>
      </c>
      <c r="D309" s="152">
        <f>Daily_KPI[[#This Row],[Date]]-DAY(Daily_KPI[[#This Row],[Date]])+1</f>
        <v>46023</v>
      </c>
      <c r="AW309" s="108">
        <f t="shared" si="14"/>
        <v>0</v>
      </c>
    </row>
    <row r="310" spans="1:49">
      <c r="A310" s="149">
        <v>46052</v>
      </c>
      <c r="B310" s="150">
        <f>YEAR(Table7[[#This Row],[Date]])+IF(MONTH(Table7[[#This Row],[Date]])&gt;=4,1,0)</f>
        <v>2026</v>
      </c>
      <c r="C310" s="151">
        <f>YEAR(Table7[[#This Row],[Date]])</f>
        <v>2026</v>
      </c>
      <c r="D310" s="152">
        <f>Daily_KPI[[#This Row],[Date]]-DAY(Daily_KPI[[#This Row],[Date]])+1</f>
        <v>46023</v>
      </c>
      <c r="AW310" s="108">
        <f t="shared" si="14"/>
        <v>0</v>
      </c>
    </row>
    <row r="311" spans="1:49">
      <c r="A311" s="149">
        <v>46053</v>
      </c>
      <c r="B311" s="150">
        <f>YEAR(Table7[[#This Row],[Date]])+IF(MONTH(Table7[[#This Row],[Date]])&gt;=4,1,0)</f>
        <v>2026</v>
      </c>
      <c r="C311" s="151">
        <f>YEAR(Table7[[#This Row],[Date]])</f>
        <v>2026</v>
      </c>
      <c r="D311" s="152">
        <f>Daily_KPI[[#This Row],[Date]]-DAY(Daily_KPI[[#This Row],[Date]])+1</f>
        <v>46054</v>
      </c>
      <c r="AW311" s="108">
        <f t="shared" si="14"/>
        <v>0</v>
      </c>
    </row>
    <row r="312" spans="1:49">
      <c r="A312" s="149">
        <v>46054</v>
      </c>
      <c r="B312" s="150">
        <f>YEAR(Table7[[#This Row],[Date]])+IF(MONTH(Table7[[#This Row],[Date]])&gt;=4,1,0)</f>
        <v>2026</v>
      </c>
      <c r="C312" s="151">
        <f>YEAR(Table7[[#This Row],[Date]])</f>
        <v>2026</v>
      </c>
      <c r="D312" s="152">
        <f>Daily_KPI[[#This Row],[Date]]-DAY(Daily_KPI[[#This Row],[Date]])+1</f>
        <v>46054</v>
      </c>
      <c r="AW312" s="108">
        <f t="shared" si="14"/>
        <v>0</v>
      </c>
    </row>
    <row r="313" spans="1:49">
      <c r="A313" s="149">
        <v>46055</v>
      </c>
      <c r="B313" s="150">
        <f>YEAR(Table7[[#This Row],[Date]])+IF(MONTH(Table7[[#This Row],[Date]])&gt;=4,1,0)</f>
        <v>2026</v>
      </c>
      <c r="C313" s="151">
        <f>YEAR(Table7[[#This Row],[Date]])</f>
        <v>2026</v>
      </c>
      <c r="D313" s="152">
        <f>Daily_KPI[[#This Row],[Date]]-DAY(Daily_KPI[[#This Row],[Date]])+1</f>
        <v>46054</v>
      </c>
      <c r="AW313" s="108">
        <f t="shared" si="14"/>
        <v>0</v>
      </c>
    </row>
    <row r="314" spans="1:49">
      <c r="A314" s="149">
        <v>46056</v>
      </c>
      <c r="B314" s="150">
        <f>YEAR(Table7[[#This Row],[Date]])+IF(MONTH(Table7[[#This Row],[Date]])&gt;=4,1,0)</f>
        <v>2026</v>
      </c>
      <c r="C314" s="151">
        <f>YEAR(Table7[[#This Row],[Date]])</f>
        <v>2026</v>
      </c>
      <c r="D314" s="152">
        <f>Daily_KPI[[#This Row],[Date]]-DAY(Daily_KPI[[#This Row],[Date]])+1</f>
        <v>46054</v>
      </c>
      <c r="AW314" s="108">
        <f t="shared" si="14"/>
        <v>0</v>
      </c>
    </row>
    <row r="315" spans="1:49">
      <c r="A315" s="149">
        <v>46057</v>
      </c>
      <c r="B315" s="150">
        <f>YEAR(Table7[[#This Row],[Date]])+IF(MONTH(Table7[[#This Row],[Date]])&gt;=4,1,0)</f>
        <v>2026</v>
      </c>
      <c r="C315" s="151">
        <f>YEAR(Table7[[#This Row],[Date]])</f>
        <v>2026</v>
      </c>
      <c r="D315" s="152">
        <f>Daily_KPI[[#This Row],[Date]]-DAY(Daily_KPI[[#This Row],[Date]])+1</f>
        <v>46054</v>
      </c>
      <c r="AW315" s="108">
        <f t="shared" si="14"/>
        <v>0</v>
      </c>
    </row>
    <row r="316" spans="1:49">
      <c r="A316" s="149">
        <v>46058</v>
      </c>
      <c r="B316" s="150">
        <f>YEAR(Table7[[#This Row],[Date]])+IF(MONTH(Table7[[#This Row],[Date]])&gt;=4,1,0)</f>
        <v>2026</v>
      </c>
      <c r="C316" s="151">
        <f>YEAR(Table7[[#This Row],[Date]])</f>
        <v>2026</v>
      </c>
      <c r="D316" s="152">
        <f>Daily_KPI[[#This Row],[Date]]-DAY(Daily_KPI[[#This Row],[Date]])+1</f>
        <v>46054</v>
      </c>
      <c r="AW316" s="108">
        <f t="shared" si="14"/>
        <v>0</v>
      </c>
    </row>
    <row r="317" spans="1:49">
      <c r="A317" s="149">
        <v>46059</v>
      </c>
      <c r="B317" s="150">
        <f>YEAR(Table7[[#This Row],[Date]])+IF(MONTH(Table7[[#This Row],[Date]])&gt;=4,1,0)</f>
        <v>2026</v>
      </c>
      <c r="C317" s="151">
        <f>YEAR(Table7[[#This Row],[Date]])</f>
        <v>2026</v>
      </c>
      <c r="D317" s="152">
        <f>Daily_KPI[[#This Row],[Date]]-DAY(Daily_KPI[[#This Row],[Date]])+1</f>
        <v>46054</v>
      </c>
      <c r="AW317" s="108">
        <f t="shared" si="14"/>
        <v>0</v>
      </c>
    </row>
    <row r="318" spans="1:49">
      <c r="A318" s="149">
        <v>46060</v>
      </c>
      <c r="B318" s="150">
        <f>YEAR(Table7[[#This Row],[Date]])+IF(MONTH(Table7[[#This Row],[Date]])&gt;=4,1,0)</f>
        <v>2026</v>
      </c>
      <c r="C318" s="151">
        <f>YEAR(Table7[[#This Row],[Date]])</f>
        <v>2026</v>
      </c>
      <c r="D318" s="152">
        <f>Daily_KPI[[#This Row],[Date]]-DAY(Daily_KPI[[#This Row],[Date]])+1</f>
        <v>46054</v>
      </c>
      <c r="AW318" s="108">
        <f t="shared" ref="AW318:AW370" si="15">SUM(E318:AV318)/1000</f>
        <v>0</v>
      </c>
    </row>
    <row r="319" spans="1:49">
      <c r="A319" s="149">
        <v>46061</v>
      </c>
      <c r="B319" s="150">
        <f>YEAR(Table7[[#This Row],[Date]])+IF(MONTH(Table7[[#This Row],[Date]])&gt;=4,1,0)</f>
        <v>2026</v>
      </c>
      <c r="C319" s="151">
        <f>YEAR(Table7[[#This Row],[Date]])</f>
        <v>2026</v>
      </c>
      <c r="D319" s="152">
        <f>Daily_KPI[[#This Row],[Date]]-DAY(Daily_KPI[[#This Row],[Date]])+1</f>
        <v>46054</v>
      </c>
      <c r="AW319" s="108">
        <f t="shared" si="15"/>
        <v>0</v>
      </c>
    </row>
    <row r="320" spans="1:49">
      <c r="A320" s="149">
        <v>46062</v>
      </c>
      <c r="B320" s="150">
        <f>YEAR(Table7[[#This Row],[Date]])+IF(MONTH(Table7[[#This Row],[Date]])&gt;=4,1,0)</f>
        <v>2026</v>
      </c>
      <c r="C320" s="151">
        <f>YEAR(Table7[[#This Row],[Date]])</f>
        <v>2026</v>
      </c>
      <c r="D320" s="152">
        <f>Daily_KPI[[#This Row],[Date]]-DAY(Daily_KPI[[#This Row],[Date]])+1</f>
        <v>46054</v>
      </c>
      <c r="AW320" s="108">
        <f t="shared" si="15"/>
        <v>0</v>
      </c>
    </row>
    <row r="321" spans="1:49">
      <c r="A321" s="149">
        <v>46063</v>
      </c>
      <c r="B321" s="150">
        <f>YEAR(Table7[[#This Row],[Date]])+IF(MONTH(Table7[[#This Row],[Date]])&gt;=4,1,0)</f>
        <v>2026</v>
      </c>
      <c r="C321" s="151">
        <f>YEAR(Table7[[#This Row],[Date]])</f>
        <v>2026</v>
      </c>
      <c r="D321" s="152">
        <f>Daily_KPI[[#This Row],[Date]]-DAY(Daily_KPI[[#This Row],[Date]])+1</f>
        <v>46054</v>
      </c>
      <c r="AW321" s="108">
        <f t="shared" si="15"/>
        <v>0</v>
      </c>
    </row>
    <row r="322" spans="1:49">
      <c r="A322" s="149">
        <v>46064</v>
      </c>
      <c r="B322" s="150">
        <f>YEAR(Table7[[#This Row],[Date]])+IF(MONTH(Table7[[#This Row],[Date]])&gt;=4,1,0)</f>
        <v>2026</v>
      </c>
      <c r="C322" s="151">
        <f>YEAR(Table7[[#This Row],[Date]])</f>
        <v>2026</v>
      </c>
      <c r="D322" s="152">
        <f>Daily_KPI[[#This Row],[Date]]-DAY(Daily_KPI[[#This Row],[Date]])+1</f>
        <v>46054</v>
      </c>
      <c r="AW322" s="108">
        <f t="shared" si="15"/>
        <v>0</v>
      </c>
    </row>
    <row r="323" spans="1:49">
      <c r="A323" s="149">
        <v>46065</v>
      </c>
      <c r="B323" s="150">
        <f>YEAR(Table7[[#This Row],[Date]])+IF(MONTH(Table7[[#This Row],[Date]])&gt;=4,1,0)</f>
        <v>2026</v>
      </c>
      <c r="C323" s="151">
        <f>YEAR(Table7[[#This Row],[Date]])</f>
        <v>2026</v>
      </c>
      <c r="D323" s="152">
        <f>Daily_KPI[[#This Row],[Date]]-DAY(Daily_KPI[[#This Row],[Date]])+1</f>
        <v>46054</v>
      </c>
      <c r="AW323" s="108">
        <f t="shared" si="15"/>
        <v>0</v>
      </c>
    </row>
    <row r="324" spans="1:49">
      <c r="A324" s="149">
        <v>46066</v>
      </c>
      <c r="B324" s="150">
        <f>YEAR(Table7[[#This Row],[Date]])+IF(MONTH(Table7[[#This Row],[Date]])&gt;=4,1,0)</f>
        <v>2026</v>
      </c>
      <c r="C324" s="151">
        <f>YEAR(Table7[[#This Row],[Date]])</f>
        <v>2026</v>
      </c>
      <c r="D324" s="152">
        <f>Daily_KPI[[#This Row],[Date]]-DAY(Daily_KPI[[#This Row],[Date]])+1</f>
        <v>46054</v>
      </c>
      <c r="AW324" s="108">
        <f t="shared" si="15"/>
        <v>0</v>
      </c>
    </row>
    <row r="325" spans="1:49">
      <c r="A325" s="149">
        <v>46067</v>
      </c>
      <c r="B325" s="150">
        <f>YEAR(Table7[[#This Row],[Date]])+IF(MONTH(Table7[[#This Row],[Date]])&gt;=4,1,0)</f>
        <v>2026</v>
      </c>
      <c r="C325" s="151">
        <f>YEAR(Table7[[#This Row],[Date]])</f>
        <v>2026</v>
      </c>
      <c r="D325" s="152">
        <f>Daily_KPI[[#This Row],[Date]]-DAY(Daily_KPI[[#This Row],[Date]])+1</f>
        <v>46054</v>
      </c>
      <c r="AW325" s="108">
        <f t="shared" si="15"/>
        <v>0</v>
      </c>
    </row>
    <row r="326" spans="1:49">
      <c r="A326" s="149">
        <v>46068</v>
      </c>
      <c r="B326" s="150">
        <f>YEAR(Table7[[#This Row],[Date]])+IF(MONTH(Table7[[#This Row],[Date]])&gt;=4,1,0)</f>
        <v>2026</v>
      </c>
      <c r="C326" s="151">
        <f>YEAR(Table7[[#This Row],[Date]])</f>
        <v>2026</v>
      </c>
      <c r="D326" s="152">
        <f>Daily_KPI[[#This Row],[Date]]-DAY(Daily_KPI[[#This Row],[Date]])+1</f>
        <v>46054</v>
      </c>
      <c r="AW326" s="108">
        <f t="shared" si="15"/>
        <v>0</v>
      </c>
    </row>
    <row r="327" spans="1:49">
      <c r="A327" s="149">
        <v>46069</v>
      </c>
      <c r="B327" s="150">
        <f>YEAR(Table7[[#This Row],[Date]])+IF(MONTH(Table7[[#This Row],[Date]])&gt;=4,1,0)</f>
        <v>2026</v>
      </c>
      <c r="C327" s="151">
        <f>YEAR(Table7[[#This Row],[Date]])</f>
        <v>2026</v>
      </c>
      <c r="D327" s="152">
        <f>Daily_KPI[[#This Row],[Date]]-DAY(Daily_KPI[[#This Row],[Date]])+1</f>
        <v>46054</v>
      </c>
      <c r="AW327" s="108">
        <f t="shared" si="15"/>
        <v>0</v>
      </c>
    </row>
    <row r="328" spans="1:49">
      <c r="A328" s="149">
        <v>46070</v>
      </c>
      <c r="B328" s="150">
        <f>YEAR(Table7[[#This Row],[Date]])+IF(MONTH(Table7[[#This Row],[Date]])&gt;=4,1,0)</f>
        <v>2026</v>
      </c>
      <c r="C328" s="151">
        <f>YEAR(Table7[[#This Row],[Date]])</f>
        <v>2026</v>
      </c>
      <c r="D328" s="152">
        <f>Daily_KPI[[#This Row],[Date]]-DAY(Daily_KPI[[#This Row],[Date]])+1</f>
        <v>46054</v>
      </c>
      <c r="AW328" s="108">
        <f t="shared" si="15"/>
        <v>0</v>
      </c>
    </row>
    <row r="329" spans="1:49">
      <c r="A329" s="149">
        <v>46071</v>
      </c>
      <c r="B329" s="150">
        <f>YEAR(Table7[[#This Row],[Date]])+IF(MONTH(Table7[[#This Row],[Date]])&gt;=4,1,0)</f>
        <v>2026</v>
      </c>
      <c r="C329" s="151">
        <f>YEAR(Table7[[#This Row],[Date]])</f>
        <v>2026</v>
      </c>
      <c r="D329" s="152">
        <f>Daily_KPI[[#This Row],[Date]]-DAY(Daily_KPI[[#This Row],[Date]])+1</f>
        <v>46054</v>
      </c>
      <c r="AW329" s="108">
        <f t="shared" si="15"/>
        <v>0</v>
      </c>
    </row>
    <row r="330" spans="1:49">
      <c r="A330" s="149">
        <v>46072</v>
      </c>
      <c r="B330" s="150">
        <f>YEAR(Table7[[#This Row],[Date]])+IF(MONTH(Table7[[#This Row],[Date]])&gt;=4,1,0)</f>
        <v>2026</v>
      </c>
      <c r="C330" s="151">
        <f>YEAR(Table7[[#This Row],[Date]])</f>
        <v>2026</v>
      </c>
      <c r="D330" s="152">
        <f>Daily_KPI[[#This Row],[Date]]-DAY(Daily_KPI[[#This Row],[Date]])+1</f>
        <v>46054</v>
      </c>
      <c r="AW330" s="108">
        <f t="shared" si="15"/>
        <v>0</v>
      </c>
    </row>
    <row r="331" spans="1:49">
      <c r="A331" s="149">
        <v>46073</v>
      </c>
      <c r="B331" s="150">
        <f>YEAR(Table7[[#This Row],[Date]])+IF(MONTH(Table7[[#This Row],[Date]])&gt;=4,1,0)</f>
        <v>2026</v>
      </c>
      <c r="C331" s="151">
        <f>YEAR(Table7[[#This Row],[Date]])</f>
        <v>2026</v>
      </c>
      <c r="D331" s="152">
        <f>Daily_KPI[[#This Row],[Date]]-DAY(Daily_KPI[[#This Row],[Date]])+1</f>
        <v>46054</v>
      </c>
      <c r="AW331" s="108">
        <f t="shared" si="15"/>
        <v>0</v>
      </c>
    </row>
    <row r="332" spans="1:49">
      <c r="A332" s="149">
        <v>46074</v>
      </c>
      <c r="B332" s="150">
        <f>YEAR(Table7[[#This Row],[Date]])+IF(MONTH(Table7[[#This Row],[Date]])&gt;=4,1,0)</f>
        <v>2026</v>
      </c>
      <c r="C332" s="151">
        <f>YEAR(Table7[[#This Row],[Date]])</f>
        <v>2026</v>
      </c>
      <c r="D332" s="152">
        <f>Daily_KPI[[#This Row],[Date]]-DAY(Daily_KPI[[#This Row],[Date]])+1</f>
        <v>46054</v>
      </c>
      <c r="AW332" s="108">
        <f t="shared" si="15"/>
        <v>0</v>
      </c>
    </row>
    <row r="333" spans="1:49">
      <c r="A333" s="149">
        <v>46075</v>
      </c>
      <c r="B333" s="150">
        <f>YEAR(Table7[[#This Row],[Date]])+IF(MONTH(Table7[[#This Row],[Date]])&gt;=4,1,0)</f>
        <v>2026</v>
      </c>
      <c r="C333" s="151">
        <f>YEAR(Table7[[#This Row],[Date]])</f>
        <v>2026</v>
      </c>
      <c r="D333" s="152">
        <f>Daily_KPI[[#This Row],[Date]]-DAY(Daily_KPI[[#This Row],[Date]])+1</f>
        <v>46054</v>
      </c>
      <c r="AW333" s="108">
        <f t="shared" si="15"/>
        <v>0</v>
      </c>
    </row>
    <row r="334" spans="1:49">
      <c r="A334" s="149">
        <v>46076</v>
      </c>
      <c r="B334" s="150">
        <f>YEAR(Table7[[#This Row],[Date]])+IF(MONTH(Table7[[#This Row],[Date]])&gt;=4,1,0)</f>
        <v>2026</v>
      </c>
      <c r="C334" s="151">
        <f>YEAR(Table7[[#This Row],[Date]])</f>
        <v>2026</v>
      </c>
      <c r="D334" s="152">
        <f>Daily_KPI[[#This Row],[Date]]-DAY(Daily_KPI[[#This Row],[Date]])+1</f>
        <v>46054</v>
      </c>
      <c r="AW334" s="108">
        <f t="shared" si="15"/>
        <v>0</v>
      </c>
    </row>
    <row r="335" spans="1:49">
      <c r="A335" s="149">
        <v>46077</v>
      </c>
      <c r="B335" s="150">
        <f>YEAR(Table7[[#This Row],[Date]])+IF(MONTH(Table7[[#This Row],[Date]])&gt;=4,1,0)</f>
        <v>2026</v>
      </c>
      <c r="C335" s="151">
        <f>YEAR(Table7[[#This Row],[Date]])</f>
        <v>2026</v>
      </c>
      <c r="D335" s="152">
        <f>Daily_KPI[[#This Row],[Date]]-DAY(Daily_KPI[[#This Row],[Date]])+1</f>
        <v>46054</v>
      </c>
      <c r="AW335" s="108">
        <f t="shared" si="15"/>
        <v>0</v>
      </c>
    </row>
    <row r="336" spans="1:49">
      <c r="A336" s="149">
        <v>46078</v>
      </c>
      <c r="B336" s="150">
        <f>YEAR(Table7[[#This Row],[Date]])+IF(MONTH(Table7[[#This Row],[Date]])&gt;=4,1,0)</f>
        <v>2026</v>
      </c>
      <c r="C336" s="151">
        <f>YEAR(Table7[[#This Row],[Date]])</f>
        <v>2026</v>
      </c>
      <c r="D336" s="152">
        <f>Daily_KPI[[#This Row],[Date]]-DAY(Daily_KPI[[#This Row],[Date]])+1</f>
        <v>46054</v>
      </c>
      <c r="AW336" s="108">
        <f t="shared" si="15"/>
        <v>0</v>
      </c>
    </row>
    <row r="337" spans="1:49">
      <c r="A337" s="149">
        <v>46079</v>
      </c>
      <c r="B337" s="150">
        <f>YEAR(Table7[[#This Row],[Date]])+IF(MONTH(Table7[[#This Row],[Date]])&gt;=4,1,0)</f>
        <v>2026</v>
      </c>
      <c r="C337" s="151">
        <f>YEAR(Table7[[#This Row],[Date]])</f>
        <v>2026</v>
      </c>
      <c r="D337" s="152">
        <f>Daily_KPI[[#This Row],[Date]]-DAY(Daily_KPI[[#This Row],[Date]])+1</f>
        <v>46054</v>
      </c>
      <c r="AW337" s="108">
        <f t="shared" si="15"/>
        <v>0</v>
      </c>
    </row>
    <row r="338" spans="1:49">
      <c r="A338" s="149">
        <v>46080</v>
      </c>
      <c r="B338" s="150">
        <f>YEAR(Table7[[#This Row],[Date]])+IF(MONTH(Table7[[#This Row],[Date]])&gt;=4,1,0)</f>
        <v>2026</v>
      </c>
      <c r="C338" s="151">
        <f>YEAR(Table7[[#This Row],[Date]])</f>
        <v>2026</v>
      </c>
      <c r="D338" s="152">
        <f>Daily_KPI[[#This Row],[Date]]-DAY(Daily_KPI[[#This Row],[Date]])+1</f>
        <v>46054</v>
      </c>
      <c r="AW338" s="108">
        <f t="shared" si="15"/>
        <v>0</v>
      </c>
    </row>
    <row r="339" spans="1:49">
      <c r="A339" s="149">
        <v>46081</v>
      </c>
      <c r="B339" s="150">
        <f>YEAR(Table7[[#This Row],[Date]])+IF(MONTH(Table7[[#This Row],[Date]])&gt;=4,1,0)</f>
        <v>2026</v>
      </c>
      <c r="C339" s="151">
        <f>YEAR(Table7[[#This Row],[Date]])</f>
        <v>2026</v>
      </c>
      <c r="D339" s="152">
        <f>Daily_KPI[[#This Row],[Date]]-DAY(Daily_KPI[[#This Row],[Date]])+1</f>
        <v>46082</v>
      </c>
      <c r="AW339" s="108">
        <f t="shared" si="15"/>
        <v>0</v>
      </c>
    </row>
    <row r="340" spans="1:49">
      <c r="A340" s="149">
        <v>46082</v>
      </c>
      <c r="B340" s="150">
        <f>YEAR(Table7[[#This Row],[Date]])+IF(MONTH(Table7[[#This Row],[Date]])&gt;=4,1,0)</f>
        <v>2026</v>
      </c>
      <c r="C340" s="151">
        <f>YEAR(Table7[[#This Row],[Date]])</f>
        <v>2026</v>
      </c>
      <c r="D340" s="152">
        <f>Daily_KPI[[#This Row],[Date]]-DAY(Daily_KPI[[#This Row],[Date]])+1</f>
        <v>46082</v>
      </c>
      <c r="AW340" s="108">
        <f t="shared" si="15"/>
        <v>0</v>
      </c>
    </row>
    <row r="341" spans="1:49">
      <c r="A341" s="149">
        <v>46083</v>
      </c>
      <c r="B341" s="150">
        <f>YEAR(Table7[[#This Row],[Date]])+IF(MONTH(Table7[[#This Row],[Date]])&gt;=4,1,0)</f>
        <v>2026</v>
      </c>
      <c r="C341" s="151">
        <f>YEAR(Table7[[#This Row],[Date]])</f>
        <v>2026</v>
      </c>
      <c r="D341" s="152">
        <f>Daily_KPI[[#This Row],[Date]]-DAY(Daily_KPI[[#This Row],[Date]])+1</f>
        <v>46082</v>
      </c>
      <c r="AW341" s="108">
        <f t="shared" si="15"/>
        <v>0</v>
      </c>
    </row>
    <row r="342" spans="1:49">
      <c r="A342" s="149">
        <v>46084</v>
      </c>
      <c r="B342" s="150">
        <f>YEAR(Table7[[#This Row],[Date]])+IF(MONTH(Table7[[#This Row],[Date]])&gt;=4,1,0)</f>
        <v>2026</v>
      </c>
      <c r="C342" s="151">
        <f>YEAR(Table7[[#This Row],[Date]])</f>
        <v>2026</v>
      </c>
      <c r="D342" s="152">
        <f>Daily_KPI[[#This Row],[Date]]-DAY(Daily_KPI[[#This Row],[Date]])+1</f>
        <v>46082</v>
      </c>
      <c r="AW342" s="108">
        <f t="shared" si="15"/>
        <v>0</v>
      </c>
    </row>
    <row r="343" spans="1:49">
      <c r="A343" s="149">
        <v>46085</v>
      </c>
      <c r="B343" s="150">
        <f>YEAR(Table7[[#This Row],[Date]])+IF(MONTH(Table7[[#This Row],[Date]])&gt;=4,1,0)</f>
        <v>2026</v>
      </c>
      <c r="C343" s="151">
        <f>YEAR(Table7[[#This Row],[Date]])</f>
        <v>2026</v>
      </c>
      <c r="D343" s="152">
        <f>Daily_KPI[[#This Row],[Date]]-DAY(Daily_KPI[[#This Row],[Date]])+1</f>
        <v>46082</v>
      </c>
      <c r="AW343" s="108">
        <f t="shared" si="15"/>
        <v>0</v>
      </c>
    </row>
    <row r="344" spans="1:49">
      <c r="A344" s="149">
        <v>46086</v>
      </c>
      <c r="B344" s="150">
        <f>YEAR(Table7[[#This Row],[Date]])+IF(MONTH(Table7[[#This Row],[Date]])&gt;=4,1,0)</f>
        <v>2026</v>
      </c>
      <c r="C344" s="151">
        <f>YEAR(Table7[[#This Row],[Date]])</f>
        <v>2026</v>
      </c>
      <c r="D344" s="152">
        <f>Daily_KPI[[#This Row],[Date]]-DAY(Daily_KPI[[#This Row],[Date]])+1</f>
        <v>46082</v>
      </c>
      <c r="AW344" s="108">
        <f t="shared" si="15"/>
        <v>0</v>
      </c>
    </row>
    <row r="345" spans="1:49">
      <c r="A345" s="149">
        <v>46087</v>
      </c>
      <c r="B345" s="150">
        <f>YEAR(Table7[[#This Row],[Date]])+IF(MONTH(Table7[[#This Row],[Date]])&gt;=4,1,0)</f>
        <v>2026</v>
      </c>
      <c r="C345" s="151">
        <f>YEAR(Table7[[#This Row],[Date]])</f>
        <v>2026</v>
      </c>
      <c r="D345" s="152">
        <f>Daily_KPI[[#This Row],[Date]]-DAY(Daily_KPI[[#This Row],[Date]])+1</f>
        <v>46082</v>
      </c>
      <c r="AW345" s="108">
        <f t="shared" si="15"/>
        <v>0</v>
      </c>
    </row>
    <row r="346" spans="1:49">
      <c r="A346" s="149">
        <v>46088</v>
      </c>
      <c r="B346" s="150">
        <f>YEAR(Table7[[#This Row],[Date]])+IF(MONTH(Table7[[#This Row],[Date]])&gt;=4,1,0)</f>
        <v>2026</v>
      </c>
      <c r="C346" s="151">
        <f>YEAR(Table7[[#This Row],[Date]])</f>
        <v>2026</v>
      </c>
      <c r="D346" s="152">
        <f>Daily_KPI[[#This Row],[Date]]-DAY(Daily_KPI[[#This Row],[Date]])+1</f>
        <v>46082</v>
      </c>
      <c r="AW346" s="108">
        <f t="shared" si="15"/>
        <v>0</v>
      </c>
    </row>
    <row r="347" spans="1:49">
      <c r="A347" s="149">
        <v>46089</v>
      </c>
      <c r="B347" s="150">
        <f>YEAR(Table7[[#This Row],[Date]])+IF(MONTH(Table7[[#This Row],[Date]])&gt;=4,1,0)</f>
        <v>2026</v>
      </c>
      <c r="C347" s="151">
        <f>YEAR(Table7[[#This Row],[Date]])</f>
        <v>2026</v>
      </c>
      <c r="D347" s="152">
        <f>Daily_KPI[[#This Row],[Date]]-DAY(Daily_KPI[[#This Row],[Date]])+1</f>
        <v>46082</v>
      </c>
      <c r="AW347" s="108">
        <f t="shared" si="15"/>
        <v>0</v>
      </c>
    </row>
    <row r="348" spans="1:49">
      <c r="A348" s="149">
        <v>46090</v>
      </c>
      <c r="B348" s="150">
        <f>YEAR(Table7[[#This Row],[Date]])+IF(MONTH(Table7[[#This Row],[Date]])&gt;=4,1,0)</f>
        <v>2026</v>
      </c>
      <c r="C348" s="151">
        <f>YEAR(Table7[[#This Row],[Date]])</f>
        <v>2026</v>
      </c>
      <c r="D348" s="152">
        <f>Daily_KPI[[#This Row],[Date]]-DAY(Daily_KPI[[#This Row],[Date]])+1</f>
        <v>46082</v>
      </c>
      <c r="AW348" s="108">
        <f t="shared" si="15"/>
        <v>0</v>
      </c>
    </row>
    <row r="349" spans="1:49">
      <c r="A349" s="149">
        <v>46091</v>
      </c>
      <c r="B349" s="150">
        <f>YEAR(Table7[[#This Row],[Date]])+IF(MONTH(Table7[[#This Row],[Date]])&gt;=4,1,0)</f>
        <v>2026</v>
      </c>
      <c r="C349" s="151">
        <f>YEAR(Table7[[#This Row],[Date]])</f>
        <v>2026</v>
      </c>
      <c r="D349" s="152">
        <f>Daily_KPI[[#This Row],[Date]]-DAY(Daily_KPI[[#This Row],[Date]])+1</f>
        <v>46082</v>
      </c>
      <c r="AW349" s="108">
        <f t="shared" si="15"/>
        <v>0</v>
      </c>
    </row>
    <row r="350" spans="1:49">
      <c r="A350" s="149">
        <v>46092</v>
      </c>
      <c r="B350" s="150">
        <f>YEAR(Table7[[#This Row],[Date]])+IF(MONTH(Table7[[#This Row],[Date]])&gt;=4,1,0)</f>
        <v>2026</v>
      </c>
      <c r="C350" s="151">
        <f>YEAR(Table7[[#This Row],[Date]])</f>
        <v>2026</v>
      </c>
      <c r="D350" s="152">
        <f>Daily_KPI[[#This Row],[Date]]-DAY(Daily_KPI[[#This Row],[Date]])+1</f>
        <v>46082</v>
      </c>
      <c r="AW350" s="108">
        <f t="shared" si="15"/>
        <v>0</v>
      </c>
    </row>
    <row r="351" spans="1:49">
      <c r="A351" s="149">
        <v>46093</v>
      </c>
      <c r="B351" s="150">
        <f>YEAR(Table7[[#This Row],[Date]])+IF(MONTH(Table7[[#This Row],[Date]])&gt;=4,1,0)</f>
        <v>2026</v>
      </c>
      <c r="C351" s="151">
        <f>YEAR(Table7[[#This Row],[Date]])</f>
        <v>2026</v>
      </c>
      <c r="D351" s="152">
        <f>Daily_KPI[[#This Row],[Date]]-DAY(Daily_KPI[[#This Row],[Date]])+1</f>
        <v>46082</v>
      </c>
      <c r="AW351" s="108">
        <f t="shared" si="15"/>
        <v>0</v>
      </c>
    </row>
    <row r="352" spans="1:49">
      <c r="A352" s="149">
        <v>46094</v>
      </c>
      <c r="B352" s="150">
        <f>YEAR(Table7[[#This Row],[Date]])+IF(MONTH(Table7[[#This Row],[Date]])&gt;=4,1,0)</f>
        <v>2026</v>
      </c>
      <c r="C352" s="151">
        <f>YEAR(Table7[[#This Row],[Date]])</f>
        <v>2026</v>
      </c>
      <c r="D352" s="152">
        <f>Daily_KPI[[#This Row],[Date]]-DAY(Daily_KPI[[#This Row],[Date]])+1</f>
        <v>46082</v>
      </c>
      <c r="AW352" s="108">
        <f t="shared" si="15"/>
        <v>0</v>
      </c>
    </row>
    <row r="353" spans="1:49">
      <c r="A353" s="149">
        <v>46095</v>
      </c>
      <c r="B353" s="150">
        <f>YEAR(Table7[[#This Row],[Date]])+IF(MONTH(Table7[[#This Row],[Date]])&gt;=4,1,0)</f>
        <v>2026</v>
      </c>
      <c r="C353" s="151">
        <f>YEAR(Table7[[#This Row],[Date]])</f>
        <v>2026</v>
      </c>
      <c r="D353" s="152">
        <f>Daily_KPI[[#This Row],[Date]]-DAY(Daily_KPI[[#This Row],[Date]])+1</f>
        <v>46082</v>
      </c>
      <c r="AW353" s="108">
        <f t="shared" si="15"/>
        <v>0</v>
      </c>
    </row>
    <row r="354" spans="1:49">
      <c r="A354" s="149">
        <v>46096</v>
      </c>
      <c r="B354" s="150">
        <f>YEAR(Table7[[#This Row],[Date]])+IF(MONTH(Table7[[#This Row],[Date]])&gt;=4,1,0)</f>
        <v>2026</v>
      </c>
      <c r="C354" s="151">
        <f>YEAR(Table7[[#This Row],[Date]])</f>
        <v>2026</v>
      </c>
      <c r="D354" s="152">
        <f>Daily_KPI[[#This Row],[Date]]-DAY(Daily_KPI[[#This Row],[Date]])+1</f>
        <v>46082</v>
      </c>
      <c r="AW354" s="108">
        <f t="shared" si="15"/>
        <v>0</v>
      </c>
    </row>
    <row r="355" spans="1:49">
      <c r="A355" s="149">
        <v>46097</v>
      </c>
      <c r="B355" s="150">
        <f>YEAR(Table7[[#This Row],[Date]])+IF(MONTH(Table7[[#This Row],[Date]])&gt;=4,1,0)</f>
        <v>2026</v>
      </c>
      <c r="C355" s="151">
        <f>YEAR(Table7[[#This Row],[Date]])</f>
        <v>2026</v>
      </c>
      <c r="D355" s="152">
        <f>Daily_KPI[[#This Row],[Date]]-DAY(Daily_KPI[[#This Row],[Date]])+1</f>
        <v>46082</v>
      </c>
      <c r="AW355" s="108">
        <f t="shared" si="15"/>
        <v>0</v>
      </c>
    </row>
    <row r="356" spans="1:49">
      <c r="A356" s="149">
        <v>46098</v>
      </c>
      <c r="B356" s="150">
        <f>YEAR(Table7[[#This Row],[Date]])+IF(MONTH(Table7[[#This Row],[Date]])&gt;=4,1,0)</f>
        <v>2026</v>
      </c>
      <c r="C356" s="151">
        <f>YEAR(Table7[[#This Row],[Date]])</f>
        <v>2026</v>
      </c>
      <c r="D356" s="152">
        <f>Daily_KPI[[#This Row],[Date]]-DAY(Daily_KPI[[#This Row],[Date]])+1</f>
        <v>46082</v>
      </c>
      <c r="AW356" s="108">
        <f t="shared" si="15"/>
        <v>0</v>
      </c>
    </row>
    <row r="357" spans="1:49">
      <c r="A357" s="149">
        <v>46099</v>
      </c>
      <c r="B357" s="150">
        <f>YEAR(Table7[[#This Row],[Date]])+IF(MONTH(Table7[[#This Row],[Date]])&gt;=4,1,0)</f>
        <v>2026</v>
      </c>
      <c r="C357" s="151">
        <f>YEAR(Table7[[#This Row],[Date]])</f>
        <v>2026</v>
      </c>
      <c r="D357" s="152">
        <f>Daily_KPI[[#This Row],[Date]]-DAY(Daily_KPI[[#This Row],[Date]])+1</f>
        <v>46082</v>
      </c>
      <c r="AW357" s="108">
        <f t="shared" si="15"/>
        <v>0</v>
      </c>
    </row>
    <row r="358" spans="1:49">
      <c r="A358" s="149">
        <v>46100</v>
      </c>
      <c r="B358" s="150">
        <f>YEAR(Table7[[#This Row],[Date]])+IF(MONTH(Table7[[#This Row],[Date]])&gt;=4,1,0)</f>
        <v>2026</v>
      </c>
      <c r="C358" s="151">
        <f>YEAR(Table7[[#This Row],[Date]])</f>
        <v>2026</v>
      </c>
      <c r="D358" s="152">
        <f>Daily_KPI[[#This Row],[Date]]-DAY(Daily_KPI[[#This Row],[Date]])+1</f>
        <v>46082</v>
      </c>
      <c r="AW358" s="108">
        <f t="shared" si="15"/>
        <v>0</v>
      </c>
    </row>
    <row r="359" spans="1:49">
      <c r="A359" s="149">
        <v>46101</v>
      </c>
      <c r="B359" s="150">
        <f>YEAR(Table7[[#This Row],[Date]])+IF(MONTH(Table7[[#This Row],[Date]])&gt;=4,1,0)</f>
        <v>2026</v>
      </c>
      <c r="C359" s="151">
        <f>YEAR(Table7[[#This Row],[Date]])</f>
        <v>2026</v>
      </c>
      <c r="D359" s="152">
        <f>Daily_KPI[[#This Row],[Date]]-DAY(Daily_KPI[[#This Row],[Date]])+1</f>
        <v>46082</v>
      </c>
      <c r="AW359" s="108">
        <f t="shared" si="15"/>
        <v>0</v>
      </c>
    </row>
    <row r="360" spans="1:49">
      <c r="A360" s="149">
        <v>46102</v>
      </c>
      <c r="B360" s="150">
        <f>YEAR(Table7[[#This Row],[Date]])+IF(MONTH(Table7[[#This Row],[Date]])&gt;=4,1,0)</f>
        <v>2026</v>
      </c>
      <c r="C360" s="151">
        <f>YEAR(Table7[[#This Row],[Date]])</f>
        <v>2026</v>
      </c>
      <c r="D360" s="152">
        <f>Daily_KPI[[#This Row],[Date]]-DAY(Daily_KPI[[#This Row],[Date]])+1</f>
        <v>46082</v>
      </c>
      <c r="AW360" s="108">
        <f t="shared" si="15"/>
        <v>0</v>
      </c>
    </row>
    <row r="361" spans="1:49">
      <c r="A361" s="149">
        <v>46103</v>
      </c>
      <c r="B361" s="150">
        <f>YEAR(Table7[[#This Row],[Date]])+IF(MONTH(Table7[[#This Row],[Date]])&gt;=4,1,0)</f>
        <v>2026</v>
      </c>
      <c r="C361" s="151">
        <f>YEAR(Table7[[#This Row],[Date]])</f>
        <v>2026</v>
      </c>
      <c r="D361" s="152">
        <f>Daily_KPI[[#This Row],[Date]]-DAY(Daily_KPI[[#This Row],[Date]])+1</f>
        <v>46082</v>
      </c>
      <c r="AW361" s="108">
        <f t="shared" si="15"/>
        <v>0</v>
      </c>
    </row>
    <row r="362" spans="1:49">
      <c r="A362" s="149">
        <v>46104</v>
      </c>
      <c r="B362" s="150">
        <f>YEAR(Table7[[#This Row],[Date]])+IF(MONTH(Table7[[#This Row],[Date]])&gt;=4,1,0)</f>
        <v>2026</v>
      </c>
      <c r="C362" s="151">
        <f>YEAR(Table7[[#This Row],[Date]])</f>
        <v>2026</v>
      </c>
      <c r="D362" s="152">
        <f>Daily_KPI[[#This Row],[Date]]-DAY(Daily_KPI[[#This Row],[Date]])+1</f>
        <v>46082</v>
      </c>
      <c r="AW362" s="108">
        <f t="shared" si="15"/>
        <v>0</v>
      </c>
    </row>
    <row r="363" spans="1:49">
      <c r="A363" s="149">
        <v>46105</v>
      </c>
      <c r="B363" s="150">
        <f>YEAR(Table7[[#This Row],[Date]])+IF(MONTH(Table7[[#This Row],[Date]])&gt;=4,1,0)</f>
        <v>2026</v>
      </c>
      <c r="C363" s="151">
        <f>YEAR(Table7[[#This Row],[Date]])</f>
        <v>2026</v>
      </c>
      <c r="D363" s="152">
        <f>Daily_KPI[[#This Row],[Date]]-DAY(Daily_KPI[[#This Row],[Date]])+1</f>
        <v>46082</v>
      </c>
      <c r="AW363" s="108">
        <f t="shared" si="15"/>
        <v>0</v>
      </c>
    </row>
    <row r="364" spans="1:49">
      <c r="A364" s="149">
        <v>46106</v>
      </c>
      <c r="B364" s="150">
        <f>YEAR(Table7[[#This Row],[Date]])+IF(MONTH(Table7[[#This Row],[Date]])&gt;=4,1,0)</f>
        <v>2026</v>
      </c>
      <c r="C364" s="151">
        <f>YEAR(Table7[[#This Row],[Date]])</f>
        <v>2026</v>
      </c>
      <c r="D364" s="152">
        <f>Daily_KPI[[#This Row],[Date]]-DAY(Daily_KPI[[#This Row],[Date]])+1</f>
        <v>46082</v>
      </c>
      <c r="AW364" s="108">
        <f t="shared" si="15"/>
        <v>0</v>
      </c>
    </row>
    <row r="365" spans="1:49">
      <c r="A365" s="149">
        <v>46107</v>
      </c>
      <c r="B365" s="150">
        <f>YEAR(Table7[[#This Row],[Date]])+IF(MONTH(Table7[[#This Row],[Date]])&gt;=4,1,0)</f>
        <v>2026</v>
      </c>
      <c r="C365" s="151">
        <f>YEAR(Table7[[#This Row],[Date]])</f>
        <v>2026</v>
      </c>
      <c r="D365" s="152">
        <f>Daily_KPI[[#This Row],[Date]]-DAY(Daily_KPI[[#This Row],[Date]])+1</f>
        <v>46082</v>
      </c>
      <c r="AW365" s="108">
        <f t="shared" si="15"/>
        <v>0</v>
      </c>
    </row>
    <row r="366" spans="1:49">
      <c r="A366" s="149">
        <v>46108</v>
      </c>
      <c r="B366" s="150">
        <f>YEAR(Table7[[#This Row],[Date]])+IF(MONTH(Table7[[#This Row],[Date]])&gt;=4,1,0)</f>
        <v>2026</v>
      </c>
      <c r="C366" s="151">
        <f>YEAR(Table7[[#This Row],[Date]])</f>
        <v>2026</v>
      </c>
      <c r="D366" s="152">
        <f>Daily_KPI[[#This Row],[Date]]-DAY(Daily_KPI[[#This Row],[Date]])+1</f>
        <v>46082</v>
      </c>
      <c r="AW366" s="108">
        <f t="shared" si="15"/>
        <v>0</v>
      </c>
    </row>
    <row r="367" spans="1:49">
      <c r="A367" s="149">
        <v>46109</v>
      </c>
      <c r="B367" s="150">
        <f>YEAR(Table7[[#This Row],[Date]])+IF(MONTH(Table7[[#This Row],[Date]])&gt;=4,1,0)</f>
        <v>2026</v>
      </c>
      <c r="C367" s="151">
        <f>YEAR(Table7[[#This Row],[Date]])</f>
        <v>2026</v>
      </c>
      <c r="D367" s="152">
        <f>Daily_KPI[[#This Row],[Date]]-DAY(Daily_KPI[[#This Row],[Date]])+1</f>
        <v>46082</v>
      </c>
      <c r="AW367" s="108">
        <f t="shared" si="15"/>
        <v>0</v>
      </c>
    </row>
    <row r="368" spans="1:49">
      <c r="A368" s="149">
        <v>46110</v>
      </c>
      <c r="B368" s="150">
        <f>YEAR(Table7[[#This Row],[Date]])+IF(MONTH(Table7[[#This Row],[Date]])&gt;=4,1,0)</f>
        <v>2026</v>
      </c>
      <c r="C368" s="151">
        <f>YEAR(Table7[[#This Row],[Date]])</f>
        <v>2026</v>
      </c>
      <c r="D368" s="152">
        <f>Daily_KPI[[#This Row],[Date]]-DAY(Daily_KPI[[#This Row],[Date]])+1</f>
        <v>46082</v>
      </c>
      <c r="AW368" s="108">
        <f t="shared" si="15"/>
        <v>0</v>
      </c>
    </row>
    <row r="369" spans="1:49">
      <c r="A369" s="149">
        <v>46111</v>
      </c>
      <c r="B369" s="150">
        <f>YEAR(Table7[[#This Row],[Date]])+IF(MONTH(Table7[[#This Row],[Date]])&gt;=4,1,0)</f>
        <v>2026</v>
      </c>
      <c r="C369" s="151">
        <f>YEAR(Table7[[#This Row],[Date]])</f>
        <v>2026</v>
      </c>
      <c r="D369" s="152">
        <f>Daily_KPI[[#This Row],[Date]]-DAY(Daily_KPI[[#This Row],[Date]])+1</f>
        <v>46082</v>
      </c>
      <c r="AW369" s="108">
        <f t="shared" si="15"/>
        <v>0</v>
      </c>
    </row>
    <row r="370" spans="1:49">
      <c r="A370" s="149">
        <v>46112</v>
      </c>
      <c r="B370" s="150">
        <f>YEAR(Table7[[#This Row],[Date]])+IF(MONTH(Table7[[#This Row],[Date]])&gt;=4,1,0)</f>
        <v>2026</v>
      </c>
      <c r="C370" s="151">
        <f>YEAR(Table7[[#This Row],[Date]])</f>
        <v>2026</v>
      </c>
      <c r="D370" s="152" t="e">
        <f>Daily_KPI[[#This Row],[Date]]-DAY(Daily_KPI[[#This Row],[Date]])+1</f>
        <v>#VALUE!</v>
      </c>
      <c r="AW370" s="108">
        <f t="shared" si="15"/>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O49"/>
  <sheetViews>
    <sheetView workbookViewId="0">
      <pane xSplit="4" ySplit="1" topLeftCell="E2" activePane="bottomRight" state="frozen"/>
      <selection pane="topRight" activeCell="C1" sqref="C1"/>
      <selection pane="bottomLeft" activeCell="C1" sqref="C1"/>
      <selection pane="bottomRight" activeCell="N7" sqref="N7"/>
    </sheetView>
  </sheetViews>
  <sheetFormatPr defaultColWidth="8.5703125" defaultRowHeight="15"/>
  <cols>
    <col min="1" max="1" width="8.5703125" style="108"/>
    <col min="2" max="2" width="9.85546875" style="108" bestFit="1" customWidth="1"/>
    <col min="3" max="3" width="15.85546875" style="108" customWidth="1"/>
    <col min="4" max="6" width="8.5703125" style="108"/>
    <col min="7" max="7" width="20.5703125" style="108" customWidth="1"/>
    <col min="8" max="8" width="8.5703125" style="108"/>
    <col min="9" max="9" width="9.42578125" style="108" bestFit="1" customWidth="1"/>
    <col min="10" max="14" width="8.5703125" style="108"/>
    <col min="15" max="15" width="9.85546875" style="108" bestFit="1" customWidth="1"/>
    <col min="16" max="16" width="11" style="108" customWidth="1"/>
    <col min="17" max="17" width="15.42578125" style="108" customWidth="1"/>
    <col min="18" max="19" width="10.85546875" style="108" customWidth="1"/>
    <col min="20" max="20" width="13" style="108" customWidth="1"/>
    <col min="21" max="25" width="12.85546875" style="108" customWidth="1"/>
    <col min="26" max="27" width="14.5703125" style="108" customWidth="1"/>
    <col min="28" max="29" width="15.5703125" style="108" customWidth="1"/>
    <col min="30" max="38" width="9.85546875" style="108" customWidth="1"/>
    <col min="39" max="39" width="12" style="108" bestFit="1" customWidth="1"/>
    <col min="40" max="40" width="27.5703125" style="108" bestFit="1" customWidth="1"/>
    <col min="41" max="16384" width="8.5703125" style="108"/>
  </cols>
  <sheetData>
    <row r="1" spans="1:41" ht="45">
      <c r="A1" s="121" t="s">
        <v>8</v>
      </c>
      <c r="B1" s="121" t="s">
        <v>739</v>
      </c>
      <c r="C1" s="121" t="s">
        <v>740</v>
      </c>
      <c r="D1" s="121" t="s">
        <v>317</v>
      </c>
      <c r="E1" s="121" t="s">
        <v>461</v>
      </c>
      <c r="F1" s="121" t="s">
        <v>460</v>
      </c>
      <c r="G1" s="121" t="s">
        <v>741</v>
      </c>
      <c r="H1" s="121" t="s">
        <v>742</v>
      </c>
      <c r="I1" s="121" t="s">
        <v>743</v>
      </c>
      <c r="J1" s="121" t="s">
        <v>744</v>
      </c>
      <c r="K1" s="121" t="s">
        <v>745</v>
      </c>
      <c r="L1" s="121" t="s">
        <v>746</v>
      </c>
      <c r="M1" s="121" t="s">
        <v>747</v>
      </c>
      <c r="N1" s="121" t="s">
        <v>748</v>
      </c>
      <c r="O1" s="121" t="s">
        <v>749</v>
      </c>
      <c r="P1" s="121" t="s">
        <v>750</v>
      </c>
      <c r="Q1" s="121" t="s">
        <v>751</v>
      </c>
      <c r="R1" s="121" t="s">
        <v>752</v>
      </c>
      <c r="S1" s="121" t="s">
        <v>753</v>
      </c>
      <c r="T1" s="121" t="s">
        <v>754</v>
      </c>
      <c r="U1" s="121" t="s">
        <v>755</v>
      </c>
      <c r="V1" s="121" t="s">
        <v>756</v>
      </c>
      <c r="W1" s="121" t="s">
        <v>757</v>
      </c>
      <c r="X1" s="121" t="s">
        <v>758</v>
      </c>
      <c r="Y1" s="121" t="s">
        <v>759</v>
      </c>
      <c r="Z1" s="121" t="s">
        <v>760</v>
      </c>
      <c r="AA1" s="121" t="s">
        <v>761</v>
      </c>
      <c r="AB1" s="121" t="s">
        <v>762</v>
      </c>
      <c r="AC1" s="121" t="s">
        <v>763</v>
      </c>
      <c r="AD1" s="121" t="s">
        <v>764</v>
      </c>
      <c r="AE1" s="121" t="s">
        <v>765</v>
      </c>
      <c r="AF1" s="121" t="s">
        <v>766</v>
      </c>
      <c r="AG1" s="121" t="s">
        <v>767</v>
      </c>
      <c r="AH1" s="121" t="s">
        <v>768</v>
      </c>
      <c r="AI1" s="121" t="s">
        <v>769</v>
      </c>
      <c r="AJ1" s="121" t="s">
        <v>770</v>
      </c>
      <c r="AK1" s="121" t="s">
        <v>771</v>
      </c>
      <c r="AL1" s="121" t="s">
        <v>772</v>
      </c>
      <c r="AN1" s="108" t="s">
        <v>502</v>
      </c>
      <c r="AO1" s="113">
        <v>70.400000000000006</v>
      </c>
    </row>
    <row r="2" spans="1:41">
      <c r="A2" s="122">
        <v>1</v>
      </c>
      <c r="B2" s="114" t="s">
        <v>773</v>
      </c>
      <c r="C2" s="123">
        <v>4</v>
      </c>
      <c r="D2" s="114">
        <v>44652</v>
      </c>
      <c r="E2" s="115">
        <f>YEAR(D2)</f>
        <v>2022</v>
      </c>
      <c r="F2" s="115" t="s">
        <v>774</v>
      </c>
      <c r="G2" s="122">
        <f>DAY(EOMONTH(D2,0))</f>
        <v>30</v>
      </c>
      <c r="H2" s="124"/>
      <c r="I2" s="124"/>
      <c r="J2" s="125">
        <v>5.22</v>
      </c>
      <c r="K2" s="124"/>
      <c r="L2" s="122"/>
      <c r="M2" s="126">
        <v>6797.3114880000021</v>
      </c>
      <c r="N2" s="126">
        <v>70.400000000000006</v>
      </c>
      <c r="O2" s="116"/>
      <c r="P2" s="125"/>
      <c r="Q2" s="122">
        <f>COUNTIFS('Daily KPI'!$D:$D,D2,'Daily KPI'!$M:$M,"&gt;0")</f>
        <v>0</v>
      </c>
      <c r="R2" s="126"/>
      <c r="S2" s="126"/>
      <c r="T2" s="125">
        <f t="shared" ref="T2:T49" si="0">IFERROR(M2/G2,"")</f>
        <v>226.57704960000007</v>
      </c>
      <c r="U2" s="126">
        <f t="shared" ref="U2:U49" si="1">IFERROR(M2/G2*Q2,"")</f>
        <v>0</v>
      </c>
      <c r="V2" s="126">
        <f>SUMIF($F$2:F2,F2,$U$2:U2)</f>
        <v>0</v>
      </c>
      <c r="W2" s="116">
        <f t="shared" ref="W2:W39" si="2">IFERROR(T2/(24*N2),"")</f>
        <v>0.13410100000000003</v>
      </c>
      <c r="X2" s="116" t="str">
        <f t="shared" ref="X2:X49" si="3">IFERROR(U2/(24*N2*Q2),"")</f>
        <v/>
      </c>
      <c r="Y2" s="116" t="str">
        <f t="shared" ref="Y2:Y49" si="4">IFERROR(V2/(24*N2*SUMIFS($Q:$Q,$F:$F,$F2,$D:$D,"&lt;="&amp;D2)),"")</f>
        <v/>
      </c>
      <c r="Z2" s="125">
        <f t="shared" ref="Z2:Z39" si="5">IFERROR(N2/G2*Q2,"")</f>
        <v>0</v>
      </c>
      <c r="AA2" s="124">
        <f>IFERROR(AVERAGEIF($F$2:F2,F2,$N$2:N2),"")</f>
        <v>70.400000000000006</v>
      </c>
      <c r="AB2" s="126"/>
      <c r="AC2" s="125">
        <v>6.4041034581308942</v>
      </c>
      <c r="AD2" s="125">
        <f>AVERAGEIF($F$2:F2,F2,$AC$2:AC2)</f>
        <v>6.4041034581308942</v>
      </c>
      <c r="AE2" s="116">
        <f t="shared" ref="AE2:AE49" si="6">IFERROR(AH2*AI2,"")</f>
        <v>0.96029999999999993</v>
      </c>
      <c r="AF2" s="116">
        <v>0.995</v>
      </c>
      <c r="AG2" s="116"/>
      <c r="AH2" s="116">
        <v>0.97</v>
      </c>
      <c r="AI2" s="116">
        <v>0.99</v>
      </c>
      <c r="AJ2" s="116">
        <v>0.95</v>
      </c>
      <c r="AK2" s="116">
        <v>0.05</v>
      </c>
      <c r="AL2" s="116">
        <v>0.05</v>
      </c>
    </row>
    <row r="3" spans="1:41">
      <c r="A3" s="123">
        <f>A2+1</f>
        <v>2</v>
      </c>
      <c r="B3" s="114" t="s">
        <v>775</v>
      </c>
      <c r="C3" s="123">
        <v>5</v>
      </c>
      <c r="D3" s="114">
        <v>44682</v>
      </c>
      <c r="E3" s="117">
        <f>YEAR(D3)</f>
        <v>2022</v>
      </c>
      <c r="F3" s="117" t="s">
        <v>774</v>
      </c>
      <c r="G3" s="123">
        <f>DAY(EOMONTH(D3,0))</f>
        <v>31</v>
      </c>
      <c r="H3" s="127"/>
      <c r="I3" s="127"/>
      <c r="J3" s="120">
        <v>5.7233333333333336</v>
      </c>
      <c r="K3" s="127"/>
      <c r="L3" s="123"/>
      <c r="M3" s="128">
        <v>10772.585472000002</v>
      </c>
      <c r="N3" s="128">
        <v>70.400000000000006</v>
      </c>
      <c r="O3" s="118"/>
      <c r="P3" s="120"/>
      <c r="Q3" s="123">
        <f>COUNTIFS('Daily KPI'!$D:$D,D3,'Daily KPI'!$M:$M,"&gt;0")</f>
        <v>0</v>
      </c>
      <c r="R3" s="128"/>
      <c r="S3" s="128"/>
      <c r="T3" s="120">
        <f t="shared" si="0"/>
        <v>347.50275716129039</v>
      </c>
      <c r="U3" s="128">
        <f t="shared" si="1"/>
        <v>0</v>
      </c>
      <c r="V3" s="128">
        <f>SUMIF($F$2:F3,F3,$U$2:U3)</f>
        <v>0</v>
      </c>
      <c r="W3" s="118">
        <f t="shared" si="2"/>
        <v>0.20567161290322583</v>
      </c>
      <c r="X3" s="118" t="str">
        <f t="shared" si="3"/>
        <v/>
      </c>
      <c r="Y3" s="118" t="str">
        <f t="shared" si="4"/>
        <v/>
      </c>
      <c r="Z3" s="120">
        <f t="shared" si="5"/>
        <v>0</v>
      </c>
      <c r="AA3" s="127">
        <f>IFERROR(AVERAGEIF($F$2:F3,F3,$N$2:N3),"")</f>
        <v>70.400000000000006</v>
      </c>
      <c r="AB3" s="128"/>
      <c r="AC3" s="120">
        <v>5.9681800514432695</v>
      </c>
      <c r="AD3" s="120">
        <f>AVERAGEIF($F$2:F3,F3,$AC$2:AC3)</f>
        <v>6.1861417547870818</v>
      </c>
      <c r="AE3" s="118">
        <f t="shared" si="6"/>
        <v>0.96029999999999993</v>
      </c>
      <c r="AF3" s="118">
        <v>0.995</v>
      </c>
      <c r="AG3" s="118"/>
      <c r="AH3" s="118">
        <v>0.97</v>
      </c>
      <c r="AI3" s="118">
        <v>0.99</v>
      </c>
      <c r="AJ3" s="118">
        <v>0.95</v>
      </c>
      <c r="AK3" s="118">
        <v>0.05</v>
      </c>
      <c r="AL3" s="118">
        <v>0.05</v>
      </c>
    </row>
    <row r="4" spans="1:41">
      <c r="A4" s="123">
        <f t="shared" ref="A4:A49" si="7">A3+1</f>
        <v>3</v>
      </c>
      <c r="B4" s="114" t="s">
        <v>776</v>
      </c>
      <c r="C4" s="123">
        <v>6</v>
      </c>
      <c r="D4" s="114">
        <v>44713</v>
      </c>
      <c r="E4" s="115">
        <f t="shared" ref="E4:E23" si="8">YEAR(D4)</f>
        <v>2022</v>
      </c>
      <c r="F4" s="115" t="s">
        <v>774</v>
      </c>
      <c r="G4" s="122">
        <f t="shared" ref="G4:G23" si="9">DAY(EOMONTH(D4,0))</f>
        <v>30</v>
      </c>
      <c r="H4" s="124"/>
      <c r="I4" s="124"/>
      <c r="J4" s="125">
        <v>6.81</v>
      </c>
      <c r="K4" s="124"/>
      <c r="L4" s="122"/>
      <c r="M4" s="126">
        <v>15494.071296000002</v>
      </c>
      <c r="N4" s="126">
        <v>70.400000000000006</v>
      </c>
      <c r="O4" s="116"/>
      <c r="P4" s="125"/>
      <c r="Q4" s="122">
        <f>COUNTIFS('Daily KPI'!$D:$D,D4,'Daily KPI'!$M:$M,"&gt;0")</f>
        <v>0</v>
      </c>
      <c r="R4" s="126"/>
      <c r="S4" s="126"/>
      <c r="T4" s="125">
        <f t="shared" si="0"/>
        <v>516.4690432000001</v>
      </c>
      <c r="U4" s="126">
        <f t="shared" si="1"/>
        <v>0</v>
      </c>
      <c r="V4" s="126">
        <f>SUMIF($F$2:F4,F4,$U$2:U4)</f>
        <v>0</v>
      </c>
      <c r="W4" s="116">
        <f t="shared" si="2"/>
        <v>0.30567533333333335</v>
      </c>
      <c r="X4" s="116" t="str">
        <f t="shared" si="3"/>
        <v/>
      </c>
      <c r="Y4" s="116" t="str">
        <f t="shared" si="4"/>
        <v/>
      </c>
      <c r="Z4" s="125">
        <f t="shared" si="5"/>
        <v>0</v>
      </c>
      <c r="AA4" s="124">
        <f>IFERROR(AVERAGEIF($F$2:F4,F4,$N$2:N4),"")</f>
        <v>70.400000000000006</v>
      </c>
      <c r="AB4" s="126"/>
      <c r="AC4" s="125">
        <v>5.6310997427836513</v>
      </c>
      <c r="AD4" s="125">
        <f>AVERAGEIF($F$2:F4,F4,$AC$2:AC4)</f>
        <v>6.0011277507859377</v>
      </c>
      <c r="AE4" s="116">
        <f t="shared" si="6"/>
        <v>0.96029999999999993</v>
      </c>
      <c r="AF4" s="116">
        <v>0.995</v>
      </c>
      <c r="AG4" s="116"/>
      <c r="AH4" s="116">
        <v>0.97</v>
      </c>
      <c r="AI4" s="116">
        <v>0.99</v>
      </c>
      <c r="AJ4" s="116">
        <v>0.95</v>
      </c>
      <c r="AK4" s="116">
        <v>0.05</v>
      </c>
      <c r="AL4" s="116">
        <v>0.05</v>
      </c>
    </row>
    <row r="5" spans="1:41">
      <c r="A5" s="123">
        <f t="shared" si="7"/>
        <v>4</v>
      </c>
      <c r="B5" s="114" t="s">
        <v>777</v>
      </c>
      <c r="C5" s="123">
        <v>7</v>
      </c>
      <c r="D5" s="114">
        <v>44743</v>
      </c>
      <c r="E5" s="117">
        <f t="shared" si="8"/>
        <v>2022</v>
      </c>
      <c r="F5" s="117" t="s">
        <v>774</v>
      </c>
      <c r="G5" s="123">
        <f t="shared" si="9"/>
        <v>31</v>
      </c>
      <c r="H5" s="127"/>
      <c r="I5" s="127"/>
      <c r="J5" s="120">
        <v>9.8233333333333324</v>
      </c>
      <c r="K5" s="127"/>
      <c r="L5" s="123"/>
      <c r="M5" s="128">
        <v>27867.620352000005</v>
      </c>
      <c r="N5" s="128">
        <v>70.400000000000006</v>
      </c>
      <c r="O5" s="118"/>
      <c r="P5" s="120"/>
      <c r="Q5" s="123">
        <f>COUNTIFS('Daily KPI'!$D:$D,D5,'Daily KPI'!$M:$M,"&gt;0")</f>
        <v>0</v>
      </c>
      <c r="R5" s="128"/>
      <c r="S5" s="128"/>
      <c r="T5" s="120">
        <f t="shared" si="0"/>
        <v>898.95549522580666</v>
      </c>
      <c r="U5" s="128">
        <f t="shared" si="1"/>
        <v>0</v>
      </c>
      <c r="V5" s="128">
        <f>SUMIF($F$2:F5,F5,$U$2:U5)</f>
        <v>0</v>
      </c>
      <c r="W5" s="118">
        <f t="shared" si="2"/>
        <v>0.53205225806451617</v>
      </c>
      <c r="X5" s="118" t="str">
        <f t="shared" si="3"/>
        <v/>
      </c>
      <c r="Y5" s="118" t="str">
        <f t="shared" si="4"/>
        <v/>
      </c>
      <c r="Z5" s="120">
        <f t="shared" si="5"/>
        <v>0</v>
      </c>
      <c r="AA5" s="127">
        <f>IFERROR(AVERAGEIF($F$2:F5,F5,$N$2:N5),"")</f>
        <v>70.400000000000006</v>
      </c>
      <c r="AB5" s="128"/>
      <c r="AC5" s="120">
        <v>7.1310648756787653</v>
      </c>
      <c r="AD5" s="120">
        <f>AVERAGEIF($F$2:F5,F5,$AC$2:AC5)</f>
        <v>6.2836120320091453</v>
      </c>
      <c r="AE5" s="118">
        <f t="shared" si="6"/>
        <v>0.96029999999999993</v>
      </c>
      <c r="AF5" s="118">
        <v>0.995</v>
      </c>
      <c r="AG5" s="118"/>
      <c r="AH5" s="118">
        <v>0.97</v>
      </c>
      <c r="AI5" s="118">
        <v>0.99</v>
      </c>
      <c r="AJ5" s="118">
        <v>0.95</v>
      </c>
      <c r="AK5" s="118">
        <v>0.05</v>
      </c>
      <c r="AL5" s="118">
        <v>0.05</v>
      </c>
    </row>
    <row r="6" spans="1:41">
      <c r="A6" s="123">
        <f t="shared" si="7"/>
        <v>5</v>
      </c>
      <c r="B6" s="114" t="s">
        <v>778</v>
      </c>
      <c r="C6" s="123">
        <v>8</v>
      </c>
      <c r="D6" s="114">
        <v>44774</v>
      </c>
      <c r="E6" s="115">
        <f t="shared" si="8"/>
        <v>2022</v>
      </c>
      <c r="F6" s="115" t="s">
        <v>774</v>
      </c>
      <c r="G6" s="122">
        <f t="shared" si="9"/>
        <v>31</v>
      </c>
      <c r="H6" s="124"/>
      <c r="I6" s="124"/>
      <c r="J6" s="125">
        <v>9.1</v>
      </c>
      <c r="K6" s="124"/>
      <c r="L6" s="122"/>
      <c r="M6" s="126">
        <v>32561.971200000007</v>
      </c>
      <c r="N6" s="126">
        <v>70.400000000000006</v>
      </c>
      <c r="O6" s="116"/>
      <c r="P6" s="125"/>
      <c r="Q6" s="122">
        <f>COUNTIFS('Daily KPI'!$D:$D,D6,'Daily KPI'!$M:$M,"&gt;0")</f>
        <v>0</v>
      </c>
      <c r="R6" s="126"/>
      <c r="S6" s="126"/>
      <c r="T6" s="125">
        <f t="shared" si="0"/>
        <v>1050.3861677419357</v>
      </c>
      <c r="U6" s="126">
        <f t="shared" si="1"/>
        <v>0</v>
      </c>
      <c r="V6" s="126">
        <f>SUMIF($F$2:F6,F6,$U$2:U6)</f>
        <v>0</v>
      </c>
      <c r="W6" s="116">
        <f t="shared" si="2"/>
        <v>0.62167741935483878</v>
      </c>
      <c r="X6" s="116" t="str">
        <f t="shared" si="3"/>
        <v/>
      </c>
      <c r="Y6" s="116" t="str">
        <f t="shared" si="4"/>
        <v/>
      </c>
      <c r="Z6" s="125">
        <f t="shared" si="5"/>
        <v>0</v>
      </c>
      <c r="AA6" s="124">
        <f>IFERROR(AVERAGEIF($F$2:F6,F6,$N$2:N6),"")</f>
        <v>70.400000000000006</v>
      </c>
      <c r="AB6" s="126"/>
      <c r="AC6" s="125">
        <v>9.4530328665332952</v>
      </c>
      <c r="AD6" s="125">
        <f>AVERAGEIF($F$2:F6,F6,$AC$2:AC6)</f>
        <v>6.9174961989139749</v>
      </c>
      <c r="AE6" s="116">
        <f t="shared" si="6"/>
        <v>0.96029999999999993</v>
      </c>
      <c r="AF6" s="116">
        <v>0.995</v>
      </c>
      <c r="AG6" s="116"/>
      <c r="AH6" s="116">
        <v>0.97</v>
      </c>
      <c r="AI6" s="116">
        <v>0.99</v>
      </c>
      <c r="AJ6" s="116">
        <v>0.95</v>
      </c>
      <c r="AK6" s="116">
        <v>0.05</v>
      </c>
      <c r="AL6" s="116">
        <v>0.05</v>
      </c>
      <c r="AO6" s="119"/>
    </row>
    <row r="7" spans="1:41">
      <c r="A7" s="123">
        <f t="shared" si="7"/>
        <v>6</v>
      </c>
      <c r="B7" s="114" t="s">
        <v>779</v>
      </c>
      <c r="C7" s="123">
        <v>9</v>
      </c>
      <c r="D7" s="114">
        <v>44805</v>
      </c>
      <c r="E7" s="117">
        <f t="shared" si="8"/>
        <v>2022</v>
      </c>
      <c r="F7" s="117" t="s">
        <v>774</v>
      </c>
      <c r="G7" s="123">
        <f t="shared" si="9"/>
        <v>30</v>
      </c>
      <c r="H7" s="127"/>
      <c r="I7" s="127"/>
      <c r="J7" s="120">
        <v>5.56</v>
      </c>
      <c r="K7" s="127"/>
      <c r="L7" s="123"/>
      <c r="M7" s="128">
        <v>11125.340160000002</v>
      </c>
      <c r="N7" s="128">
        <v>70.400000000000006</v>
      </c>
      <c r="O7" s="118"/>
      <c r="P7" s="120"/>
      <c r="Q7" s="123">
        <f>COUNTIFS('Daily KPI'!$D:$D,D7,'Daily KPI'!$M:$M,"&gt;0")</f>
        <v>0</v>
      </c>
      <c r="R7" s="128"/>
      <c r="S7" s="128"/>
      <c r="T7" s="120">
        <f t="shared" si="0"/>
        <v>370.84467200000006</v>
      </c>
      <c r="U7" s="128">
        <f t="shared" si="1"/>
        <v>0</v>
      </c>
      <c r="V7" s="128">
        <f>SUMIF($F$2:F7,F7,$U$2:U7)</f>
        <v>0</v>
      </c>
      <c r="W7" s="118">
        <f t="shared" si="2"/>
        <v>0.21948666666666669</v>
      </c>
      <c r="X7" s="118" t="str">
        <f t="shared" si="3"/>
        <v/>
      </c>
      <c r="Y7" s="118" t="str">
        <f t="shared" si="4"/>
        <v/>
      </c>
      <c r="Z7" s="120">
        <f t="shared" si="5"/>
        <v>0</v>
      </c>
      <c r="AA7" s="127">
        <f>IFERROR(AVERAGEIF($F$2:F7,F7,$N$2:N7),"")</f>
        <v>70.399999999999991</v>
      </c>
      <c r="AB7" s="128"/>
      <c r="AC7" s="120">
        <v>10.303759359817088</v>
      </c>
      <c r="AD7" s="120">
        <f>AVERAGEIF($F$2:F7,F7,$AC$2:AC7)</f>
        <v>7.4818733923978264</v>
      </c>
      <c r="AE7" s="118">
        <f t="shared" si="6"/>
        <v>0.96029999999999993</v>
      </c>
      <c r="AF7" s="118">
        <v>0.995</v>
      </c>
      <c r="AG7" s="118"/>
      <c r="AH7" s="118">
        <v>0.97</v>
      </c>
      <c r="AI7" s="118">
        <v>0.99</v>
      </c>
      <c r="AJ7" s="118">
        <v>0.95</v>
      </c>
      <c r="AK7" s="118">
        <v>0.05</v>
      </c>
      <c r="AL7" s="118">
        <v>0.05</v>
      </c>
    </row>
    <row r="8" spans="1:41">
      <c r="A8" s="123">
        <f t="shared" si="7"/>
        <v>7</v>
      </c>
      <c r="B8" s="114" t="s">
        <v>780</v>
      </c>
      <c r="C8" s="123">
        <v>10</v>
      </c>
      <c r="D8" s="114">
        <v>44835</v>
      </c>
      <c r="E8" s="115">
        <f t="shared" si="8"/>
        <v>2022</v>
      </c>
      <c r="F8" s="115" t="s">
        <v>774</v>
      </c>
      <c r="G8" s="122">
        <f t="shared" si="9"/>
        <v>31</v>
      </c>
      <c r="H8" s="124"/>
      <c r="I8" s="124"/>
      <c r="J8" s="125">
        <v>4.1733333333333329</v>
      </c>
      <c r="K8" s="124"/>
      <c r="L8" s="122"/>
      <c r="M8" s="126">
        <v>4626.5134080000007</v>
      </c>
      <c r="N8" s="126">
        <v>70.400000000000006</v>
      </c>
      <c r="O8" s="116"/>
      <c r="P8" s="125"/>
      <c r="Q8" s="122">
        <f>COUNTIFS('Daily KPI'!$D:$D,D8,'Daily KPI'!$M:$M,"&gt;0")</f>
        <v>0</v>
      </c>
      <c r="R8" s="126"/>
      <c r="S8" s="126"/>
      <c r="T8" s="125">
        <f t="shared" si="0"/>
        <v>149.24236800000003</v>
      </c>
      <c r="U8" s="126">
        <f t="shared" si="1"/>
        <v>0</v>
      </c>
      <c r="V8" s="126">
        <f>SUMIF($F$2:F8,F8,$U$2:U8)</f>
        <v>0</v>
      </c>
      <c r="W8" s="116">
        <f t="shared" si="2"/>
        <v>8.8330000000000006E-2</v>
      </c>
      <c r="X8" s="116" t="str">
        <f t="shared" si="3"/>
        <v/>
      </c>
      <c r="Y8" s="116" t="str">
        <f t="shared" si="4"/>
        <v/>
      </c>
      <c r="Z8" s="125">
        <f t="shared" si="5"/>
        <v>0</v>
      </c>
      <c r="AA8" s="124">
        <f>IFERROR(AVERAGEIF($F$2:F8,F8,$N$2:N8),"")</f>
        <v>70.399999999999991</v>
      </c>
      <c r="AB8" s="126"/>
      <c r="AC8" s="125">
        <v>8.5195147184909956</v>
      </c>
      <c r="AD8" s="125">
        <f>AVERAGEIF($F$2:F8,F8,$AC$2:AC8)</f>
        <v>7.6301078675539937</v>
      </c>
      <c r="AE8" s="116">
        <f t="shared" si="6"/>
        <v>0.96029999999999993</v>
      </c>
      <c r="AF8" s="116">
        <v>0.995</v>
      </c>
      <c r="AG8" s="116"/>
      <c r="AH8" s="116">
        <v>0.97</v>
      </c>
      <c r="AI8" s="116">
        <v>0.99</v>
      </c>
      <c r="AJ8" s="116">
        <v>0.95</v>
      </c>
      <c r="AK8" s="116">
        <v>0.05</v>
      </c>
      <c r="AL8" s="116">
        <v>0.05</v>
      </c>
    </row>
    <row r="9" spans="1:41">
      <c r="A9" s="123">
        <f t="shared" si="7"/>
        <v>8</v>
      </c>
      <c r="B9" s="114" t="s">
        <v>781</v>
      </c>
      <c r="C9" s="123">
        <v>11</v>
      </c>
      <c r="D9" s="114">
        <v>44866</v>
      </c>
      <c r="E9" s="117">
        <f t="shared" si="8"/>
        <v>2022</v>
      </c>
      <c r="F9" s="117" t="s">
        <v>774</v>
      </c>
      <c r="G9" s="123">
        <f t="shared" si="9"/>
        <v>30</v>
      </c>
      <c r="H9" s="127"/>
      <c r="I9" s="127"/>
      <c r="J9" s="120">
        <v>4.4633333333333338</v>
      </c>
      <c r="K9" s="127"/>
      <c r="L9" s="123"/>
      <c r="M9" s="128">
        <v>7150.0661760000012</v>
      </c>
      <c r="N9" s="128">
        <v>70.400000000000006</v>
      </c>
      <c r="O9" s="118"/>
      <c r="P9" s="120"/>
      <c r="Q9" s="123">
        <f>COUNTIFS('Daily KPI'!$D:$D,D9,'Daily KPI'!$M:$M,"&gt;0")</f>
        <v>0</v>
      </c>
      <c r="R9" s="128"/>
      <c r="S9" s="128"/>
      <c r="T9" s="120">
        <f t="shared" si="0"/>
        <v>238.33553920000003</v>
      </c>
      <c r="U9" s="128">
        <f t="shared" si="1"/>
        <v>0</v>
      </c>
      <c r="V9" s="128">
        <f>SUMIF($F$2:F9,F9,$U$2:U9)</f>
        <v>0</v>
      </c>
      <c r="W9" s="118">
        <f t="shared" si="2"/>
        <v>0.14106033333333334</v>
      </c>
      <c r="X9" s="118" t="str">
        <f t="shared" si="3"/>
        <v/>
      </c>
      <c r="Y9" s="118" t="str">
        <f t="shared" si="4"/>
        <v/>
      </c>
      <c r="Z9" s="120">
        <f t="shared" si="5"/>
        <v>0</v>
      </c>
      <c r="AA9" s="127">
        <f>IFERROR(AVERAGEIF($F$2:F9,F9,$N$2:N9),"")</f>
        <v>70.399999999999991</v>
      </c>
      <c r="AB9" s="128"/>
      <c r="AC9" s="120">
        <v>7.2366664761360369</v>
      </c>
      <c r="AD9" s="120">
        <f>AVERAGEIF($F$2:F9,F9,$AC$2:AC9)</f>
        <v>7.5809276936267489</v>
      </c>
      <c r="AE9" s="118">
        <f t="shared" si="6"/>
        <v>0.96029999999999993</v>
      </c>
      <c r="AF9" s="118">
        <v>0.995</v>
      </c>
      <c r="AG9" s="118"/>
      <c r="AH9" s="118">
        <v>0.97</v>
      </c>
      <c r="AI9" s="118">
        <v>0.99</v>
      </c>
      <c r="AJ9" s="118">
        <v>0.95</v>
      </c>
      <c r="AK9" s="118">
        <v>0.05</v>
      </c>
      <c r="AL9" s="118">
        <v>0.05</v>
      </c>
    </row>
    <row r="10" spans="1:41">
      <c r="A10" s="123">
        <f t="shared" si="7"/>
        <v>9</v>
      </c>
      <c r="B10" s="114" t="s">
        <v>782</v>
      </c>
      <c r="C10" s="123">
        <v>12</v>
      </c>
      <c r="D10" s="114">
        <v>44896</v>
      </c>
      <c r="E10" s="115">
        <f t="shared" si="8"/>
        <v>2022</v>
      </c>
      <c r="F10" s="115" t="s">
        <v>774</v>
      </c>
      <c r="G10" s="122">
        <f t="shared" si="9"/>
        <v>31</v>
      </c>
      <c r="H10" s="124"/>
      <c r="I10" s="124"/>
      <c r="J10" s="125">
        <v>4.79</v>
      </c>
      <c r="K10" s="124"/>
      <c r="L10" s="122"/>
      <c r="M10" s="126">
        <v>7204.3361280000017</v>
      </c>
      <c r="N10" s="126">
        <v>70.400000000000006</v>
      </c>
      <c r="O10" s="116"/>
      <c r="P10" s="125"/>
      <c r="Q10" s="122">
        <f>COUNTIFS('Daily KPI'!$D:$D,D10,'Daily KPI'!$M:$M,"&gt;0")</f>
        <v>0</v>
      </c>
      <c r="R10" s="126"/>
      <c r="S10" s="126"/>
      <c r="T10" s="125">
        <f t="shared" si="0"/>
        <v>232.39793961290329</v>
      </c>
      <c r="U10" s="126">
        <f t="shared" si="1"/>
        <v>0</v>
      </c>
      <c r="V10" s="126">
        <f>SUMIF($F$2:F10,F10,$U$2:U10)</f>
        <v>0</v>
      </c>
      <c r="W10" s="116">
        <f t="shared" si="2"/>
        <v>0.1375461290322581</v>
      </c>
      <c r="X10" s="116" t="str">
        <f t="shared" si="3"/>
        <v/>
      </c>
      <c r="Y10" s="116" t="str">
        <f t="shared" si="4"/>
        <v/>
      </c>
      <c r="Z10" s="125">
        <f t="shared" si="5"/>
        <v>0</v>
      </c>
      <c r="AA10" s="124">
        <f>IFERROR(AVERAGEIF($F$2:F10,F10,$N$2:N10),"")</f>
        <v>70.399999999999991</v>
      </c>
      <c r="AB10" s="126"/>
      <c r="AC10" s="125">
        <v>6.0015501571877659</v>
      </c>
      <c r="AD10" s="125">
        <f>AVERAGEIF($F$2:F10,F10,$AC$2:AC10)</f>
        <v>7.4054413006890849</v>
      </c>
      <c r="AE10" s="116">
        <f t="shared" si="6"/>
        <v>0.96029999999999993</v>
      </c>
      <c r="AF10" s="116">
        <v>0.995</v>
      </c>
      <c r="AG10" s="116"/>
      <c r="AH10" s="116">
        <v>0.97</v>
      </c>
      <c r="AI10" s="116">
        <v>0.99</v>
      </c>
      <c r="AJ10" s="116">
        <v>0.95</v>
      </c>
      <c r="AK10" s="116">
        <v>0.05</v>
      </c>
      <c r="AL10" s="116">
        <v>0.05</v>
      </c>
    </row>
    <row r="11" spans="1:41">
      <c r="A11" s="123">
        <f t="shared" si="7"/>
        <v>10</v>
      </c>
      <c r="B11" s="114" t="s">
        <v>783</v>
      </c>
      <c r="C11" s="123">
        <v>1</v>
      </c>
      <c r="D11" s="114">
        <v>44927</v>
      </c>
      <c r="E11" s="117">
        <f t="shared" si="8"/>
        <v>2023</v>
      </c>
      <c r="F11" s="117" t="s">
        <v>774</v>
      </c>
      <c r="G11" s="123">
        <f t="shared" si="9"/>
        <v>31</v>
      </c>
      <c r="H11" s="127"/>
      <c r="I11" s="127"/>
      <c r="J11" s="120">
        <v>3.75</v>
      </c>
      <c r="K11" s="127"/>
      <c r="L11" s="123"/>
      <c r="M11" s="128">
        <v>3283.332096000001</v>
      </c>
      <c r="N11" s="128">
        <v>70.400000000000006</v>
      </c>
      <c r="O11" s="118"/>
      <c r="P11" s="120"/>
      <c r="Q11" s="123">
        <f>COUNTIFS('Daily KPI'!$D:$D,D11,'Daily KPI'!$M:$M,"&gt;0")</f>
        <v>0</v>
      </c>
      <c r="R11" s="128"/>
      <c r="S11" s="128"/>
      <c r="T11" s="120">
        <f t="shared" si="0"/>
        <v>105.91393858064519</v>
      </c>
      <c r="U11" s="128">
        <f t="shared" si="1"/>
        <v>0</v>
      </c>
      <c r="V11" s="128">
        <f>SUMIF($F$2:F11,F11,$U$2:U11)</f>
        <v>0</v>
      </c>
      <c r="W11" s="118">
        <f t="shared" si="2"/>
        <v>6.2685806451612924E-2</v>
      </c>
      <c r="X11" s="118" t="str">
        <f t="shared" si="3"/>
        <v/>
      </c>
      <c r="Y11" s="118" t="str">
        <f t="shared" si="4"/>
        <v/>
      </c>
      <c r="Z11" s="120">
        <f t="shared" si="5"/>
        <v>0</v>
      </c>
      <c r="AA11" s="127">
        <f>IFERROR(AVERAGEIF($F$2:F11,F11,$N$2:N11),"")</f>
        <v>70.399999999999991</v>
      </c>
      <c r="AB11" s="128"/>
      <c r="AC11" s="120">
        <v>6.7073912546441834</v>
      </c>
      <c r="AD11" s="120">
        <f>AVERAGEIF($F$2:F11,F11,$AC$2:AC11)</f>
        <v>7.3356362960845942</v>
      </c>
      <c r="AE11" s="118">
        <f t="shared" si="6"/>
        <v>0.96029999999999993</v>
      </c>
      <c r="AF11" s="118">
        <v>0.995</v>
      </c>
      <c r="AG11" s="118"/>
      <c r="AH11" s="118">
        <v>0.97</v>
      </c>
      <c r="AI11" s="118">
        <v>0.99</v>
      </c>
      <c r="AJ11" s="118">
        <v>0.95</v>
      </c>
      <c r="AK11" s="118">
        <v>0.05</v>
      </c>
      <c r="AL11" s="118">
        <v>0.05</v>
      </c>
    </row>
    <row r="12" spans="1:41">
      <c r="A12" s="123">
        <f t="shared" si="7"/>
        <v>11</v>
      </c>
      <c r="B12" s="114" t="s">
        <v>784</v>
      </c>
      <c r="C12" s="123">
        <v>2</v>
      </c>
      <c r="D12" s="114">
        <v>44958</v>
      </c>
      <c r="E12" s="115">
        <f t="shared" si="8"/>
        <v>2023</v>
      </c>
      <c r="F12" s="115" t="s">
        <v>774</v>
      </c>
      <c r="G12" s="122">
        <f t="shared" si="9"/>
        <v>28</v>
      </c>
      <c r="H12" s="124"/>
      <c r="I12" s="124"/>
      <c r="J12" s="125">
        <v>3.9249999999999998</v>
      </c>
      <c r="K12" s="124"/>
      <c r="L12" s="122"/>
      <c r="M12" s="126">
        <v>3324.034560000001</v>
      </c>
      <c r="N12" s="126">
        <v>70.400000000000006</v>
      </c>
      <c r="O12" s="116"/>
      <c r="P12" s="125"/>
      <c r="Q12" s="122">
        <f>COUNTIFS('Daily KPI'!$D:$D,D12,'Daily KPI'!$M:$M,"&gt;0")</f>
        <v>0</v>
      </c>
      <c r="R12" s="126"/>
      <c r="S12" s="126"/>
      <c r="T12" s="125">
        <f t="shared" si="0"/>
        <v>118.71552000000004</v>
      </c>
      <c r="U12" s="126">
        <f t="shared" si="1"/>
        <v>0</v>
      </c>
      <c r="V12" s="126">
        <f>SUMIF($F$2:F12,F12,$U$2:U12)</f>
        <v>0</v>
      </c>
      <c r="W12" s="116">
        <f t="shared" si="2"/>
        <v>7.0262500000000019E-2</v>
      </c>
      <c r="X12" s="116" t="str">
        <f t="shared" si="3"/>
        <v/>
      </c>
      <c r="Y12" s="116" t="str">
        <f t="shared" si="4"/>
        <v/>
      </c>
      <c r="Z12" s="125">
        <f t="shared" si="5"/>
        <v>0</v>
      </c>
      <c r="AA12" s="124">
        <f>IFERROR(AVERAGEIF($F$2:F12,F12,$N$2:N12),"")</f>
        <v>70.399999999999991</v>
      </c>
      <c r="AB12" s="126"/>
      <c r="AC12" s="125">
        <v>7.0533420977422105</v>
      </c>
      <c r="AD12" s="125">
        <f>AVERAGEIF($F$2:F12,F12,$AC$2:AC12)</f>
        <v>7.3099731871443785</v>
      </c>
      <c r="AE12" s="116">
        <f t="shared" si="6"/>
        <v>0.96029999999999993</v>
      </c>
      <c r="AF12" s="116">
        <v>0.995</v>
      </c>
      <c r="AG12" s="116"/>
      <c r="AH12" s="116">
        <v>0.97</v>
      </c>
      <c r="AI12" s="116">
        <v>0.99</v>
      </c>
      <c r="AJ12" s="116">
        <v>0.95</v>
      </c>
      <c r="AK12" s="116">
        <v>0.05</v>
      </c>
      <c r="AL12" s="116">
        <v>0.05</v>
      </c>
    </row>
    <row r="13" spans="1:41">
      <c r="A13" s="123">
        <f t="shared" si="7"/>
        <v>12</v>
      </c>
      <c r="B13" s="114" t="s">
        <v>785</v>
      </c>
      <c r="C13" s="123">
        <f>C2</f>
        <v>4</v>
      </c>
      <c r="D13" s="114">
        <v>44986</v>
      </c>
      <c r="E13" s="117">
        <f t="shared" si="8"/>
        <v>2023</v>
      </c>
      <c r="F13" s="117" t="s">
        <v>774</v>
      </c>
      <c r="G13" s="123">
        <f t="shared" si="9"/>
        <v>31</v>
      </c>
      <c r="H13" s="127"/>
      <c r="I13" s="127"/>
      <c r="J13" s="120">
        <v>4.5649999999999995</v>
      </c>
      <c r="K13" s="127"/>
      <c r="L13" s="123"/>
      <c r="M13" s="128">
        <v>5467.6976640000021</v>
      </c>
      <c r="N13" s="128">
        <v>70.400000000000006</v>
      </c>
      <c r="O13" s="118"/>
      <c r="P13" s="120"/>
      <c r="Q13" s="123">
        <f>COUNTIFS('Daily KPI'!$D:$D,D13,'Daily KPI'!$M:$M,"&gt;0")</f>
        <v>0</v>
      </c>
      <c r="R13" s="128"/>
      <c r="S13" s="128"/>
      <c r="T13" s="120">
        <f t="shared" si="0"/>
        <v>176.37734400000008</v>
      </c>
      <c r="U13" s="128">
        <f t="shared" si="1"/>
        <v>0</v>
      </c>
      <c r="V13" s="128">
        <f>SUMIF($F$2:F13,F13,$U$2:U13)</f>
        <v>0</v>
      </c>
      <c r="W13" s="118">
        <f t="shared" si="2"/>
        <v>0.10439000000000004</v>
      </c>
      <c r="X13" s="118" t="str">
        <f t="shared" si="3"/>
        <v/>
      </c>
      <c r="Y13" s="118" t="str">
        <f t="shared" si="4"/>
        <v/>
      </c>
      <c r="Z13" s="120">
        <f t="shared" si="5"/>
        <v>0</v>
      </c>
      <c r="AA13" s="127">
        <f>IFERROR(AVERAGEIF($F$2:F13,F13,$N$2:N13),"")</f>
        <v>70.399999999999991</v>
      </c>
      <c r="AB13" s="128"/>
      <c r="AC13" s="120">
        <v>7.411120320091455</v>
      </c>
      <c r="AD13" s="120">
        <f>AVERAGEIF($F$2:F13,F13,$AC$2:AC13)</f>
        <v>7.3184021148899676</v>
      </c>
      <c r="AE13" s="118">
        <f t="shared" si="6"/>
        <v>0.96029999999999993</v>
      </c>
      <c r="AF13" s="118">
        <v>0.995</v>
      </c>
      <c r="AG13" s="118"/>
      <c r="AH13" s="118">
        <v>0.97</v>
      </c>
      <c r="AI13" s="118">
        <v>0.99</v>
      </c>
      <c r="AJ13" s="118">
        <v>0.95</v>
      </c>
      <c r="AK13" s="118">
        <v>0.05</v>
      </c>
      <c r="AL13" s="118">
        <v>0.05</v>
      </c>
    </row>
    <row r="14" spans="1:41">
      <c r="A14" s="123">
        <f t="shared" si="7"/>
        <v>13</v>
      </c>
      <c r="B14" s="114" t="str">
        <f>B2</f>
        <v>April</v>
      </c>
      <c r="C14" s="123">
        <f t="shared" ref="C14:C49" si="10">C3</f>
        <v>5</v>
      </c>
      <c r="D14" s="114">
        <v>45017</v>
      </c>
      <c r="E14" s="115">
        <f t="shared" si="8"/>
        <v>2023</v>
      </c>
      <c r="F14" s="115" t="s">
        <v>786</v>
      </c>
      <c r="G14" s="122">
        <f t="shared" si="9"/>
        <v>30</v>
      </c>
      <c r="H14" s="124"/>
      <c r="I14" s="124"/>
      <c r="J14" s="125">
        <f>J2</f>
        <v>5.22</v>
      </c>
      <c r="K14" s="124"/>
      <c r="L14" s="122"/>
      <c r="M14" s="126">
        <v>6300</v>
      </c>
      <c r="N14" s="126">
        <v>70.400000000000006</v>
      </c>
      <c r="O14" s="116"/>
      <c r="P14" s="125"/>
      <c r="Q14" s="122">
        <f>COUNTIFS('Daily KPI'!$D:$D,D14,'Daily KPI'!$M:$M,"&gt;0")</f>
        <v>0</v>
      </c>
      <c r="R14" s="126"/>
      <c r="S14" s="126"/>
      <c r="T14" s="125">
        <f t="shared" si="0"/>
        <v>210</v>
      </c>
      <c r="U14" s="126">
        <f t="shared" si="1"/>
        <v>0</v>
      </c>
      <c r="V14" s="126">
        <f>SUMIF($F$2:F14,F14,$U$2:U14)</f>
        <v>0</v>
      </c>
      <c r="W14" s="116">
        <f t="shared" si="2"/>
        <v>0.12428977272727272</v>
      </c>
      <c r="X14" s="116" t="str">
        <f t="shared" si="3"/>
        <v/>
      </c>
      <c r="Y14" s="116" t="str">
        <f t="shared" si="4"/>
        <v/>
      </c>
      <c r="Z14" s="125">
        <f t="shared" si="5"/>
        <v>0</v>
      </c>
      <c r="AA14" s="124">
        <f>IFERROR(AVERAGEIF($F$2:F14,F14,$N$2:N14),"")</f>
        <v>70.400000000000006</v>
      </c>
      <c r="AB14" s="126"/>
      <c r="AC14" s="125">
        <v>6.4041034581308942</v>
      </c>
      <c r="AD14" s="125">
        <f>AVERAGEIF($F$2:F14,F14,$AC$2:AC14)</f>
        <v>6.4041034581308942</v>
      </c>
      <c r="AE14" s="116">
        <f t="shared" si="6"/>
        <v>0.96029999999999993</v>
      </c>
      <c r="AF14" s="116">
        <v>0.995</v>
      </c>
      <c r="AG14" s="116"/>
      <c r="AH14" s="116">
        <v>0.97</v>
      </c>
      <c r="AI14" s="116">
        <v>0.99</v>
      </c>
      <c r="AJ14" s="116">
        <v>0.95</v>
      </c>
      <c r="AK14" s="116">
        <v>0.05</v>
      </c>
      <c r="AL14" s="116">
        <v>0.05</v>
      </c>
    </row>
    <row r="15" spans="1:41">
      <c r="A15" s="123">
        <f t="shared" si="7"/>
        <v>14</v>
      </c>
      <c r="B15" s="114" t="str">
        <f t="shared" ref="B15:B49" si="11">B3</f>
        <v>May</v>
      </c>
      <c r="C15" s="123">
        <f t="shared" si="10"/>
        <v>6</v>
      </c>
      <c r="D15" s="114">
        <v>45047</v>
      </c>
      <c r="E15" s="117">
        <f t="shared" si="8"/>
        <v>2023</v>
      </c>
      <c r="F15" s="117" t="s">
        <v>786</v>
      </c>
      <c r="G15" s="123">
        <f t="shared" si="9"/>
        <v>31</v>
      </c>
      <c r="H15" s="127"/>
      <c r="I15" s="127"/>
      <c r="J15" s="125">
        <f t="shared" ref="J15:J49" si="12">J3</f>
        <v>5.7233333333333336</v>
      </c>
      <c r="K15" s="127"/>
      <c r="L15" s="123"/>
      <c r="M15" s="128">
        <v>10320</v>
      </c>
      <c r="N15" s="128">
        <v>70.400000000000006</v>
      </c>
      <c r="O15" s="118"/>
      <c r="P15" s="120"/>
      <c r="Q15" s="123">
        <f>COUNTIFS('Daily KPI'!$D:$D,D15,'Daily KPI'!$M:$M,"&gt;0")</f>
        <v>0</v>
      </c>
      <c r="R15" s="128"/>
      <c r="S15" s="128"/>
      <c r="T15" s="120">
        <f t="shared" si="0"/>
        <v>332.90322580645159</v>
      </c>
      <c r="U15" s="128">
        <f t="shared" si="1"/>
        <v>0</v>
      </c>
      <c r="V15" s="128">
        <f>SUMIF($F$2:F15,F15,$U$2:U15)</f>
        <v>0</v>
      </c>
      <c r="W15" s="118">
        <f t="shared" si="2"/>
        <v>0.19703079178885627</v>
      </c>
      <c r="X15" s="118" t="str">
        <f t="shared" si="3"/>
        <v/>
      </c>
      <c r="Y15" s="118" t="str">
        <f t="shared" si="4"/>
        <v/>
      </c>
      <c r="Z15" s="120">
        <f t="shared" si="5"/>
        <v>0</v>
      </c>
      <c r="AA15" s="127">
        <f>IFERROR(AVERAGEIF($F$2:F15,F15,$N$2:N15),"")</f>
        <v>70.400000000000006</v>
      </c>
      <c r="AB15" s="128"/>
      <c r="AC15" s="120">
        <v>5.9681800514432695</v>
      </c>
      <c r="AD15" s="120">
        <f>AVERAGEIF($F$2:F15,F15,$AC$2:AC15)</f>
        <v>6.1861417547870818</v>
      </c>
      <c r="AE15" s="118">
        <f t="shared" si="6"/>
        <v>0.96029999999999993</v>
      </c>
      <c r="AF15" s="118">
        <v>0.995</v>
      </c>
      <c r="AG15" s="118"/>
      <c r="AH15" s="118">
        <v>0.97</v>
      </c>
      <c r="AI15" s="118">
        <v>0.99</v>
      </c>
      <c r="AJ15" s="118">
        <v>0.95</v>
      </c>
      <c r="AK15" s="118">
        <v>0.05</v>
      </c>
      <c r="AL15" s="118">
        <v>0.05</v>
      </c>
    </row>
    <row r="16" spans="1:41">
      <c r="A16" s="123">
        <f t="shared" si="7"/>
        <v>15</v>
      </c>
      <c r="B16" s="114" t="str">
        <f t="shared" si="11"/>
        <v>June</v>
      </c>
      <c r="C16" s="123">
        <f t="shared" si="10"/>
        <v>7</v>
      </c>
      <c r="D16" s="114">
        <v>45078</v>
      </c>
      <c r="E16" s="115">
        <f t="shared" si="8"/>
        <v>2023</v>
      </c>
      <c r="F16" s="115" t="s">
        <v>786</v>
      </c>
      <c r="G16" s="122">
        <f t="shared" si="9"/>
        <v>30</v>
      </c>
      <c r="H16" s="124"/>
      <c r="I16" s="124"/>
      <c r="J16" s="125">
        <f t="shared" si="12"/>
        <v>6.81</v>
      </c>
      <c r="K16" s="124"/>
      <c r="L16" s="122"/>
      <c r="M16" s="126">
        <v>14360</v>
      </c>
      <c r="N16" s="126">
        <v>70.400000000000006</v>
      </c>
      <c r="O16" s="116"/>
      <c r="P16" s="125"/>
      <c r="Q16" s="122">
        <f>COUNTIFS('Daily KPI'!$D:$D,D16,'Daily KPI'!$M:$M,"&gt;0")</f>
        <v>0</v>
      </c>
      <c r="R16" s="126"/>
      <c r="S16" s="126"/>
      <c r="T16" s="125">
        <f t="shared" si="0"/>
        <v>478.66666666666669</v>
      </c>
      <c r="U16" s="126">
        <f t="shared" si="1"/>
        <v>0</v>
      </c>
      <c r="V16" s="126">
        <f>SUMIF($F$2:F16,F16,$U$2:U16)</f>
        <v>0</v>
      </c>
      <c r="W16" s="116">
        <f t="shared" si="2"/>
        <v>0.28330176767676768</v>
      </c>
      <c r="X16" s="116" t="str">
        <f t="shared" si="3"/>
        <v/>
      </c>
      <c r="Y16" s="116" t="str">
        <f t="shared" si="4"/>
        <v/>
      </c>
      <c r="Z16" s="125">
        <f t="shared" si="5"/>
        <v>0</v>
      </c>
      <c r="AA16" s="124">
        <f>IFERROR(AVERAGEIF($F$2:F16,F16,$N$2:N16),"")</f>
        <v>70.400000000000006</v>
      </c>
      <c r="AB16" s="126"/>
      <c r="AC16" s="125">
        <v>5.6310997427836513</v>
      </c>
      <c r="AD16" s="125">
        <f>AVERAGEIF($F$2:F16,F16,$AC$2:AC16)</f>
        <v>6.0011277507859377</v>
      </c>
      <c r="AE16" s="116">
        <f t="shared" si="6"/>
        <v>0.96029999999999993</v>
      </c>
      <c r="AF16" s="116">
        <v>0.995</v>
      </c>
      <c r="AG16" s="116"/>
      <c r="AH16" s="116">
        <v>0.97</v>
      </c>
      <c r="AI16" s="116">
        <v>0.99</v>
      </c>
      <c r="AJ16" s="116">
        <v>0.95</v>
      </c>
      <c r="AK16" s="116">
        <v>0.05</v>
      </c>
      <c r="AL16" s="116">
        <v>0.05</v>
      </c>
    </row>
    <row r="17" spans="1:38">
      <c r="A17" s="123">
        <f t="shared" si="7"/>
        <v>16</v>
      </c>
      <c r="B17" s="114" t="str">
        <f t="shared" si="11"/>
        <v>July</v>
      </c>
      <c r="C17" s="123">
        <f t="shared" si="10"/>
        <v>8</v>
      </c>
      <c r="D17" s="114">
        <v>45108</v>
      </c>
      <c r="E17" s="117">
        <f t="shared" si="8"/>
        <v>2023</v>
      </c>
      <c r="F17" s="117" t="s">
        <v>786</v>
      </c>
      <c r="G17" s="123">
        <f t="shared" si="9"/>
        <v>31</v>
      </c>
      <c r="H17" s="127"/>
      <c r="I17" s="127"/>
      <c r="J17" s="125">
        <f t="shared" si="12"/>
        <v>9.8233333333333324</v>
      </c>
      <c r="K17" s="127"/>
      <c r="L17" s="123"/>
      <c r="M17" s="128">
        <v>26690</v>
      </c>
      <c r="N17" s="128">
        <v>70.400000000000006</v>
      </c>
      <c r="O17" s="118"/>
      <c r="P17" s="120"/>
      <c r="Q17" s="123">
        <f>COUNTIFS('Daily KPI'!$D:$D,D17,'Daily KPI'!$M:$M,"&gt;0")</f>
        <v>0</v>
      </c>
      <c r="R17" s="128"/>
      <c r="S17" s="128"/>
      <c r="T17" s="120">
        <f t="shared" si="0"/>
        <v>860.9677419354839</v>
      </c>
      <c r="U17" s="128">
        <f t="shared" si="1"/>
        <v>0</v>
      </c>
      <c r="V17" s="128">
        <f>SUMIF($F$2:F17,F17,$U$2:U17)</f>
        <v>0</v>
      </c>
      <c r="W17" s="118">
        <f t="shared" si="2"/>
        <v>0.50956897605083085</v>
      </c>
      <c r="X17" s="118" t="str">
        <f t="shared" si="3"/>
        <v/>
      </c>
      <c r="Y17" s="118" t="str">
        <f t="shared" si="4"/>
        <v/>
      </c>
      <c r="Z17" s="120">
        <f t="shared" si="5"/>
        <v>0</v>
      </c>
      <c r="AA17" s="127">
        <f>IFERROR(AVERAGEIF($F$2:F17,F17,$N$2:N17),"")</f>
        <v>70.400000000000006</v>
      </c>
      <c r="AB17" s="128"/>
      <c r="AC17" s="120">
        <v>7.1310648756787653</v>
      </c>
      <c r="AD17" s="120">
        <f>AVERAGEIF($F$2:F17,F17,$AC$2:AC17)</f>
        <v>6.2836120320091453</v>
      </c>
      <c r="AE17" s="118">
        <f t="shared" si="6"/>
        <v>0.96029999999999993</v>
      </c>
      <c r="AF17" s="118">
        <v>0.995</v>
      </c>
      <c r="AG17" s="118"/>
      <c r="AH17" s="118">
        <v>0.97</v>
      </c>
      <c r="AI17" s="118">
        <v>0.99</v>
      </c>
      <c r="AJ17" s="118">
        <v>0.95</v>
      </c>
      <c r="AK17" s="118">
        <v>0.05</v>
      </c>
      <c r="AL17" s="118">
        <v>0.05</v>
      </c>
    </row>
    <row r="18" spans="1:38">
      <c r="A18" s="123">
        <f t="shared" si="7"/>
        <v>17</v>
      </c>
      <c r="B18" s="114" t="str">
        <f t="shared" si="11"/>
        <v>August</v>
      </c>
      <c r="C18" s="123">
        <f t="shared" si="10"/>
        <v>9</v>
      </c>
      <c r="D18" s="114">
        <v>45139</v>
      </c>
      <c r="E18" s="115">
        <f t="shared" si="8"/>
        <v>2023</v>
      </c>
      <c r="F18" s="115" t="s">
        <v>786</v>
      </c>
      <c r="G18" s="122">
        <f t="shared" si="9"/>
        <v>31</v>
      </c>
      <c r="H18" s="124"/>
      <c r="I18" s="124"/>
      <c r="J18" s="125">
        <f t="shared" si="12"/>
        <v>9.1</v>
      </c>
      <c r="K18" s="124"/>
      <c r="L18" s="122"/>
      <c r="M18" s="126">
        <v>31190</v>
      </c>
      <c r="N18" s="126">
        <v>70.400000000000006</v>
      </c>
      <c r="O18" s="116"/>
      <c r="P18" s="125"/>
      <c r="Q18" s="122">
        <f>COUNTIFS('Daily KPI'!$D:$D,D18,'Daily KPI'!$M:$M,"&gt;0")</f>
        <v>0</v>
      </c>
      <c r="R18" s="126"/>
      <c r="S18" s="126"/>
      <c r="T18" s="125">
        <f t="shared" si="0"/>
        <v>1006.1290322580645</v>
      </c>
      <c r="U18" s="126">
        <f t="shared" si="1"/>
        <v>0</v>
      </c>
      <c r="V18" s="126">
        <f>SUMIF($F$2:F18,F18,$U$2:U18)</f>
        <v>0</v>
      </c>
      <c r="W18" s="116">
        <f t="shared" si="2"/>
        <v>0.59548356549364612</v>
      </c>
      <c r="X18" s="116" t="str">
        <f t="shared" si="3"/>
        <v/>
      </c>
      <c r="Y18" s="116" t="str">
        <f t="shared" si="4"/>
        <v/>
      </c>
      <c r="Z18" s="125">
        <f t="shared" si="5"/>
        <v>0</v>
      </c>
      <c r="AA18" s="124">
        <f>IFERROR(AVERAGEIF($F$2:F18,F18,$N$2:N18),"")</f>
        <v>70.400000000000006</v>
      </c>
      <c r="AB18" s="126"/>
      <c r="AC18" s="125">
        <v>9.4530328665332952</v>
      </c>
      <c r="AD18" s="125">
        <f>AVERAGEIF($F$2:F18,F18,$AC$2:AC18)</f>
        <v>6.9174961989139749</v>
      </c>
      <c r="AE18" s="116">
        <f t="shared" si="6"/>
        <v>0.96029999999999993</v>
      </c>
      <c r="AF18" s="116">
        <v>0.995</v>
      </c>
      <c r="AG18" s="116"/>
      <c r="AH18" s="116">
        <v>0.97</v>
      </c>
      <c r="AI18" s="116">
        <v>0.99</v>
      </c>
      <c r="AJ18" s="116">
        <v>0.95</v>
      </c>
      <c r="AK18" s="116">
        <v>0.05</v>
      </c>
      <c r="AL18" s="116">
        <v>0.05</v>
      </c>
    </row>
    <row r="19" spans="1:38">
      <c r="A19" s="123">
        <f t="shared" si="7"/>
        <v>18</v>
      </c>
      <c r="B19" s="114" t="str">
        <f t="shared" si="11"/>
        <v>September</v>
      </c>
      <c r="C19" s="123">
        <f t="shared" si="10"/>
        <v>10</v>
      </c>
      <c r="D19" s="114">
        <v>45170</v>
      </c>
      <c r="E19" s="117">
        <f t="shared" si="8"/>
        <v>2023</v>
      </c>
      <c r="F19" s="117" t="s">
        <v>786</v>
      </c>
      <c r="G19" s="123">
        <f t="shared" si="9"/>
        <v>30</v>
      </c>
      <c r="H19" s="127"/>
      <c r="I19" s="127"/>
      <c r="J19" s="125">
        <f t="shared" si="12"/>
        <v>5.56</v>
      </c>
      <c r="K19" s="127"/>
      <c r="L19" s="123"/>
      <c r="M19" s="128">
        <v>10320</v>
      </c>
      <c r="N19" s="128">
        <v>70.400000000000006</v>
      </c>
      <c r="O19" s="118"/>
      <c r="P19" s="120"/>
      <c r="Q19" s="123">
        <f>COUNTIFS('Daily KPI'!$D:$D,D19,'Daily KPI'!$M:$M,"&gt;0")</f>
        <v>0</v>
      </c>
      <c r="R19" s="128"/>
      <c r="S19" s="128"/>
      <c r="T19" s="120">
        <f t="shared" si="0"/>
        <v>344</v>
      </c>
      <c r="U19" s="128">
        <f t="shared" si="1"/>
        <v>0</v>
      </c>
      <c r="V19" s="128">
        <f>SUMIF($F$2:F19,F19,$U$2:U19)</f>
        <v>0</v>
      </c>
      <c r="W19" s="118">
        <f t="shared" si="2"/>
        <v>0.20359848484848483</v>
      </c>
      <c r="X19" s="118" t="str">
        <f t="shared" si="3"/>
        <v/>
      </c>
      <c r="Y19" s="118" t="str">
        <f t="shared" si="4"/>
        <v/>
      </c>
      <c r="Z19" s="120">
        <f t="shared" si="5"/>
        <v>0</v>
      </c>
      <c r="AA19" s="127">
        <f>IFERROR(AVERAGEIF($F$2:F19,F19,$N$2:N19),"")</f>
        <v>70.399999999999991</v>
      </c>
      <c r="AB19" s="128"/>
      <c r="AC19" s="120">
        <v>10.303759359817088</v>
      </c>
      <c r="AD19" s="120">
        <f>AVERAGEIF($F$2:F19,F19,$AC$2:AC19)</f>
        <v>7.4818733923978264</v>
      </c>
      <c r="AE19" s="118">
        <f t="shared" si="6"/>
        <v>0.96029999999999993</v>
      </c>
      <c r="AF19" s="118">
        <v>0.995</v>
      </c>
      <c r="AG19" s="118"/>
      <c r="AH19" s="118">
        <v>0.97</v>
      </c>
      <c r="AI19" s="118">
        <v>0.99</v>
      </c>
      <c r="AJ19" s="118">
        <v>0.95</v>
      </c>
      <c r="AK19" s="118">
        <v>0.05</v>
      </c>
      <c r="AL19" s="118">
        <v>0.05</v>
      </c>
    </row>
    <row r="20" spans="1:38">
      <c r="A20" s="123">
        <f t="shared" si="7"/>
        <v>19</v>
      </c>
      <c r="B20" s="114" t="str">
        <f t="shared" si="11"/>
        <v>October</v>
      </c>
      <c r="C20" s="123">
        <f t="shared" si="10"/>
        <v>11</v>
      </c>
      <c r="D20" s="114">
        <v>45200</v>
      </c>
      <c r="E20" s="115">
        <f t="shared" si="8"/>
        <v>2023</v>
      </c>
      <c r="F20" s="115" t="s">
        <v>786</v>
      </c>
      <c r="G20" s="122">
        <f t="shared" si="9"/>
        <v>31</v>
      </c>
      <c r="H20" s="124"/>
      <c r="I20" s="124"/>
      <c r="J20" s="125">
        <f t="shared" si="12"/>
        <v>4.1733333333333329</v>
      </c>
      <c r="K20" s="124"/>
      <c r="L20" s="122"/>
      <c r="M20" s="126">
        <v>4720</v>
      </c>
      <c r="N20" s="126">
        <v>70.400000000000006</v>
      </c>
      <c r="O20" s="116"/>
      <c r="P20" s="125"/>
      <c r="Q20" s="122">
        <f>COUNTIFS('Daily KPI'!$D:$D,D20,'Daily KPI'!$M:$M,"&gt;0")</f>
        <v>0</v>
      </c>
      <c r="R20" s="126"/>
      <c r="S20" s="126"/>
      <c r="T20" s="125">
        <f t="shared" si="0"/>
        <v>152.25806451612902</v>
      </c>
      <c r="U20" s="126">
        <f t="shared" si="1"/>
        <v>0</v>
      </c>
      <c r="V20" s="126">
        <f>SUMIF($F$2:F20,F20,$U$2:U20)</f>
        <v>0</v>
      </c>
      <c r="W20" s="116">
        <f t="shared" si="2"/>
        <v>9.011485826001954E-2</v>
      </c>
      <c r="X20" s="116" t="str">
        <f t="shared" si="3"/>
        <v/>
      </c>
      <c r="Y20" s="116" t="str">
        <f t="shared" si="4"/>
        <v/>
      </c>
      <c r="Z20" s="125">
        <f t="shared" si="5"/>
        <v>0</v>
      </c>
      <c r="AA20" s="124">
        <f>IFERROR(AVERAGEIF($F$2:F20,F20,$N$2:N20),"")</f>
        <v>70.399999999999991</v>
      </c>
      <c r="AB20" s="126"/>
      <c r="AC20" s="125">
        <v>8.5195147184909956</v>
      </c>
      <c r="AD20" s="125">
        <f>AVERAGEIF($F$2:F20,F20,$AC$2:AC20)</f>
        <v>7.6301078675539937</v>
      </c>
      <c r="AE20" s="116">
        <f t="shared" si="6"/>
        <v>0.96029999999999993</v>
      </c>
      <c r="AF20" s="116">
        <v>0.995</v>
      </c>
      <c r="AG20" s="116"/>
      <c r="AH20" s="116">
        <v>0.97</v>
      </c>
      <c r="AI20" s="116">
        <v>0.99</v>
      </c>
      <c r="AJ20" s="116">
        <v>0.95</v>
      </c>
      <c r="AK20" s="116">
        <v>0.05</v>
      </c>
      <c r="AL20" s="116">
        <v>0.05</v>
      </c>
    </row>
    <row r="21" spans="1:38">
      <c r="A21" s="123">
        <f t="shared" si="7"/>
        <v>20</v>
      </c>
      <c r="B21" s="114" t="str">
        <f t="shared" si="11"/>
        <v>November</v>
      </c>
      <c r="C21" s="123">
        <f t="shared" si="10"/>
        <v>12</v>
      </c>
      <c r="D21" s="114">
        <v>45231</v>
      </c>
      <c r="E21" s="117">
        <f t="shared" si="8"/>
        <v>2023</v>
      </c>
      <c r="F21" s="117" t="s">
        <v>786</v>
      </c>
      <c r="G21" s="123">
        <f t="shared" si="9"/>
        <v>30</v>
      </c>
      <c r="H21" s="127"/>
      <c r="I21" s="127"/>
      <c r="J21" s="125">
        <f t="shared" si="12"/>
        <v>4.4633333333333338</v>
      </c>
      <c r="K21" s="127"/>
      <c r="L21" s="123"/>
      <c r="M21" s="128">
        <v>7060</v>
      </c>
      <c r="N21" s="128">
        <v>70.400000000000006</v>
      </c>
      <c r="O21" s="118"/>
      <c r="P21" s="120"/>
      <c r="Q21" s="123">
        <f>COUNTIFS('Daily KPI'!$D:$D,D21,'Daily KPI'!$M:$M,"&gt;0")</f>
        <v>0</v>
      </c>
      <c r="R21" s="128"/>
      <c r="S21" s="128"/>
      <c r="T21" s="120">
        <f t="shared" si="0"/>
        <v>235.33333333333334</v>
      </c>
      <c r="U21" s="128">
        <f t="shared" si="1"/>
        <v>0</v>
      </c>
      <c r="V21" s="128">
        <f>SUMIF($F$2:F21,F21,$U$2:U21)</f>
        <v>0</v>
      </c>
      <c r="W21" s="118">
        <f t="shared" si="2"/>
        <v>0.13928345959595959</v>
      </c>
      <c r="X21" s="118" t="str">
        <f t="shared" si="3"/>
        <v/>
      </c>
      <c r="Y21" s="118" t="str">
        <f t="shared" si="4"/>
        <v/>
      </c>
      <c r="Z21" s="120">
        <f t="shared" si="5"/>
        <v>0</v>
      </c>
      <c r="AA21" s="127">
        <f>IFERROR(AVERAGEIF($F$2:F21,F21,$N$2:N21),"")</f>
        <v>70.399999999999991</v>
      </c>
      <c r="AB21" s="128"/>
      <c r="AC21" s="120">
        <v>7.2366664761360369</v>
      </c>
      <c r="AD21" s="120">
        <f>AVERAGEIF($F$2:F21,F21,$AC$2:AC21)</f>
        <v>7.5809276936267489</v>
      </c>
      <c r="AE21" s="118">
        <f t="shared" si="6"/>
        <v>0.96029999999999993</v>
      </c>
      <c r="AF21" s="118">
        <v>0.995</v>
      </c>
      <c r="AG21" s="118"/>
      <c r="AH21" s="118">
        <v>0.97</v>
      </c>
      <c r="AI21" s="118">
        <v>0.99</v>
      </c>
      <c r="AJ21" s="118">
        <v>0.95</v>
      </c>
      <c r="AK21" s="118">
        <v>0.05</v>
      </c>
      <c r="AL21" s="118">
        <v>0.05</v>
      </c>
    </row>
    <row r="22" spans="1:38">
      <c r="A22" s="123">
        <f t="shared" si="7"/>
        <v>21</v>
      </c>
      <c r="B22" s="114" t="str">
        <f t="shared" si="11"/>
        <v>December</v>
      </c>
      <c r="C22" s="123">
        <f t="shared" si="10"/>
        <v>1</v>
      </c>
      <c r="D22" s="114">
        <v>45261</v>
      </c>
      <c r="E22" s="115">
        <f t="shared" si="8"/>
        <v>2023</v>
      </c>
      <c r="F22" s="115" t="s">
        <v>786</v>
      </c>
      <c r="G22" s="122">
        <f t="shared" si="9"/>
        <v>31</v>
      </c>
      <c r="H22" s="124"/>
      <c r="I22" s="124"/>
      <c r="J22" s="125">
        <f t="shared" si="12"/>
        <v>4.79</v>
      </c>
      <c r="K22" s="124"/>
      <c r="L22" s="122"/>
      <c r="M22" s="126">
        <v>7340</v>
      </c>
      <c r="N22" s="126">
        <v>70.400000000000006</v>
      </c>
      <c r="O22" s="116"/>
      <c r="P22" s="125"/>
      <c r="Q22" s="122">
        <f>COUNTIFS('Daily KPI'!$D:$D,D22,'Daily KPI'!$M:$M,"&gt;0")</f>
        <v>0</v>
      </c>
      <c r="R22" s="126"/>
      <c r="S22" s="126"/>
      <c r="T22" s="125">
        <f t="shared" si="0"/>
        <v>236.7741935483871</v>
      </c>
      <c r="U22" s="126">
        <f t="shared" si="1"/>
        <v>0</v>
      </c>
      <c r="V22" s="126">
        <f>SUMIF($F$2:F22,F22,$U$2:U22)</f>
        <v>0</v>
      </c>
      <c r="W22" s="116">
        <f t="shared" si="2"/>
        <v>0.14013624144672532</v>
      </c>
      <c r="X22" s="116" t="str">
        <f t="shared" si="3"/>
        <v/>
      </c>
      <c r="Y22" s="116" t="str">
        <f t="shared" si="4"/>
        <v/>
      </c>
      <c r="Z22" s="125">
        <f t="shared" si="5"/>
        <v>0</v>
      </c>
      <c r="AA22" s="124">
        <f>IFERROR(AVERAGEIF($F$2:F22,F22,$N$2:N22),"")</f>
        <v>70.399999999999991</v>
      </c>
      <c r="AB22" s="126"/>
      <c r="AC22" s="125">
        <v>6.0015501571877659</v>
      </c>
      <c r="AD22" s="125">
        <f>AVERAGEIF($F$2:F22,F22,$AC$2:AC22)</f>
        <v>7.4054413006890849</v>
      </c>
      <c r="AE22" s="116">
        <f t="shared" si="6"/>
        <v>0.96029999999999993</v>
      </c>
      <c r="AF22" s="116">
        <v>0.995</v>
      </c>
      <c r="AG22" s="116"/>
      <c r="AH22" s="116">
        <v>0.97</v>
      </c>
      <c r="AI22" s="116">
        <v>0.99</v>
      </c>
      <c r="AJ22" s="116">
        <v>0.95</v>
      </c>
      <c r="AK22" s="116">
        <v>0.05</v>
      </c>
      <c r="AL22" s="116">
        <v>0.05</v>
      </c>
    </row>
    <row r="23" spans="1:38">
      <c r="A23" s="123">
        <f t="shared" si="7"/>
        <v>22</v>
      </c>
      <c r="B23" s="114" t="str">
        <f t="shared" si="11"/>
        <v>January</v>
      </c>
      <c r="C23" s="123">
        <f t="shared" si="10"/>
        <v>2</v>
      </c>
      <c r="D23" s="114">
        <v>45292</v>
      </c>
      <c r="E23" s="117">
        <f t="shared" si="8"/>
        <v>2024</v>
      </c>
      <c r="F23" s="117" t="s">
        <v>786</v>
      </c>
      <c r="G23" s="123">
        <f t="shared" si="9"/>
        <v>31</v>
      </c>
      <c r="H23" s="127"/>
      <c r="I23" s="127"/>
      <c r="J23" s="125">
        <f t="shared" si="12"/>
        <v>3.75</v>
      </c>
      <c r="K23" s="127"/>
      <c r="L23" s="123"/>
      <c r="M23" s="128">
        <v>3350</v>
      </c>
      <c r="N23" s="128">
        <v>70.400000000000006</v>
      </c>
      <c r="O23" s="118"/>
      <c r="P23" s="120"/>
      <c r="Q23" s="123">
        <f>COUNTIFS('Daily KPI'!$D:$D,D23,'Daily KPI'!$M:$M,"&gt;0")</f>
        <v>0</v>
      </c>
      <c r="R23" s="128"/>
      <c r="S23" s="128"/>
      <c r="T23" s="120">
        <f t="shared" si="0"/>
        <v>108.06451612903226</v>
      </c>
      <c r="U23" s="128">
        <f t="shared" si="1"/>
        <v>0</v>
      </c>
      <c r="V23" s="128">
        <f>SUMIF($F$2:F23,F23,$U$2:U23)</f>
        <v>0</v>
      </c>
      <c r="W23" s="118">
        <f t="shared" si="2"/>
        <v>6.3958638807429122E-2</v>
      </c>
      <c r="X23" s="118" t="str">
        <f t="shared" si="3"/>
        <v/>
      </c>
      <c r="Y23" s="118" t="str">
        <f t="shared" si="4"/>
        <v/>
      </c>
      <c r="Z23" s="120">
        <f t="shared" si="5"/>
        <v>0</v>
      </c>
      <c r="AA23" s="127">
        <f>IFERROR(AVERAGEIF($F$2:F23,F23,$N$2:N23),"")</f>
        <v>70.399999999999991</v>
      </c>
      <c r="AB23" s="128"/>
      <c r="AC23" s="120">
        <v>6.7073912546441834</v>
      </c>
      <c r="AD23" s="120">
        <f>AVERAGEIF($F$2:F23,F23,$AC$2:AC23)</f>
        <v>7.3356362960845942</v>
      </c>
      <c r="AE23" s="118">
        <f t="shared" si="6"/>
        <v>0.96029999999999993</v>
      </c>
      <c r="AF23" s="118">
        <v>0.995</v>
      </c>
      <c r="AG23" s="118"/>
      <c r="AH23" s="118">
        <v>0.97</v>
      </c>
      <c r="AI23" s="118">
        <v>0.99</v>
      </c>
      <c r="AJ23" s="118">
        <v>0.95</v>
      </c>
      <c r="AK23" s="118">
        <v>0.05</v>
      </c>
      <c r="AL23" s="118">
        <v>0.05</v>
      </c>
    </row>
    <row r="24" spans="1:38">
      <c r="A24" s="123">
        <f t="shared" si="7"/>
        <v>23</v>
      </c>
      <c r="B24" s="114" t="str">
        <f t="shared" si="11"/>
        <v>February</v>
      </c>
      <c r="C24" s="123">
        <f t="shared" si="10"/>
        <v>4</v>
      </c>
      <c r="D24" s="114">
        <v>45323</v>
      </c>
      <c r="E24" s="115">
        <f>YEAR(D24)</f>
        <v>2024</v>
      </c>
      <c r="F24" s="115" t="s">
        <v>786</v>
      </c>
      <c r="G24" s="122">
        <f>DAY(EOMONTH(D24,0))</f>
        <v>29</v>
      </c>
      <c r="H24" s="124"/>
      <c r="I24" s="124"/>
      <c r="J24" s="125">
        <f t="shared" si="12"/>
        <v>3.9249999999999998</v>
      </c>
      <c r="K24" s="124"/>
      <c r="L24" s="122"/>
      <c r="M24" s="126">
        <v>3170</v>
      </c>
      <c r="N24" s="126">
        <v>70.400000000000006</v>
      </c>
      <c r="O24" s="116"/>
      <c r="P24" s="125"/>
      <c r="Q24" s="122">
        <f>COUNTIFS('Daily KPI'!$D:$D,D24,'Daily KPI'!$M:$M,"&gt;0")</f>
        <v>0</v>
      </c>
      <c r="R24" s="126"/>
      <c r="S24" s="126"/>
      <c r="T24" s="125">
        <f t="shared" si="0"/>
        <v>109.31034482758621</v>
      </c>
      <c r="U24" s="126">
        <f t="shared" si="1"/>
        <v>0</v>
      </c>
      <c r="V24" s="126">
        <f>SUMIF($F$2:F24,F24,$U$2:U24)</f>
        <v>0</v>
      </c>
      <c r="W24" s="116">
        <f t="shared" si="2"/>
        <v>6.4695990073145235E-2</v>
      </c>
      <c r="X24" s="116" t="str">
        <f t="shared" si="3"/>
        <v/>
      </c>
      <c r="Y24" s="116" t="str">
        <f t="shared" si="4"/>
        <v/>
      </c>
      <c r="Z24" s="125">
        <f t="shared" si="5"/>
        <v>0</v>
      </c>
      <c r="AA24" s="124">
        <f>IFERROR(AVERAGEIF($F$2:F24,F24,$N$2:N24),"")</f>
        <v>70.399999999999991</v>
      </c>
      <c r="AB24" s="126"/>
      <c r="AC24" s="125">
        <v>7.0533420977422105</v>
      </c>
      <c r="AD24" s="125">
        <f>AVERAGEIF($F$2:F24,F24,$AC$2:AC24)</f>
        <v>7.3099731871443785</v>
      </c>
      <c r="AE24" s="116">
        <f t="shared" si="6"/>
        <v>0.96029999999999993</v>
      </c>
      <c r="AF24" s="116">
        <v>0.995</v>
      </c>
      <c r="AG24" s="116"/>
      <c r="AH24" s="116">
        <v>0.97</v>
      </c>
      <c r="AI24" s="116">
        <v>0.99</v>
      </c>
      <c r="AJ24" s="116">
        <v>0.95</v>
      </c>
      <c r="AK24" s="116">
        <v>0.05</v>
      </c>
      <c r="AL24" s="116">
        <v>0.05</v>
      </c>
    </row>
    <row r="25" spans="1:38">
      <c r="A25" s="123">
        <f t="shared" si="7"/>
        <v>24</v>
      </c>
      <c r="B25" s="114" t="str">
        <f t="shared" si="11"/>
        <v>March</v>
      </c>
      <c r="C25" s="123">
        <f t="shared" si="10"/>
        <v>5</v>
      </c>
      <c r="D25" s="114">
        <v>45352</v>
      </c>
      <c r="E25" s="117">
        <f>YEAR(D25)</f>
        <v>2024</v>
      </c>
      <c r="F25" s="117" t="s">
        <v>786</v>
      </c>
      <c r="G25" s="123">
        <f>DAY(EOMONTH(D25,0))</f>
        <v>31</v>
      </c>
      <c r="H25" s="127"/>
      <c r="I25" s="127"/>
      <c r="J25" s="125">
        <f t="shared" si="12"/>
        <v>4.5649999999999995</v>
      </c>
      <c r="K25" s="127"/>
      <c r="L25" s="123"/>
      <c r="M25" s="128">
        <v>5570</v>
      </c>
      <c r="N25" s="128">
        <v>70.400000000000006</v>
      </c>
      <c r="O25" s="118"/>
      <c r="P25" s="120"/>
      <c r="Q25" s="123">
        <f>COUNTIFS('Daily KPI'!$D:$D,D25,'Daily KPI'!$M:$M,"&gt;0")</f>
        <v>0</v>
      </c>
      <c r="R25" s="128"/>
      <c r="S25" s="128"/>
      <c r="T25" s="120">
        <f t="shared" si="0"/>
        <v>179.67741935483872</v>
      </c>
      <c r="U25" s="128">
        <f t="shared" si="1"/>
        <v>0</v>
      </c>
      <c r="V25" s="128">
        <f>SUMIF($F$2:F25,F25,$U$2:U25)</f>
        <v>0</v>
      </c>
      <c r="W25" s="118">
        <f t="shared" si="2"/>
        <v>0.10634316959921798</v>
      </c>
      <c r="X25" s="118" t="str">
        <f t="shared" si="3"/>
        <v/>
      </c>
      <c r="Y25" s="118" t="str">
        <f t="shared" si="4"/>
        <v/>
      </c>
      <c r="Z25" s="120">
        <f t="shared" si="5"/>
        <v>0</v>
      </c>
      <c r="AA25" s="127">
        <f>IFERROR(AVERAGEIF($F$2:F25,F25,$N$2:N25),"")</f>
        <v>70.399999999999991</v>
      </c>
      <c r="AB25" s="128"/>
      <c r="AC25" s="120">
        <v>7.411120320091455</v>
      </c>
      <c r="AD25" s="120">
        <f>AVERAGEIF($F$2:F25,F25,$AC$2:AC25)</f>
        <v>7.3184021148899676</v>
      </c>
      <c r="AE25" s="118">
        <f t="shared" si="6"/>
        <v>0.96029999999999993</v>
      </c>
      <c r="AF25" s="118">
        <v>0.995</v>
      </c>
      <c r="AG25" s="118"/>
      <c r="AH25" s="118">
        <v>0.97</v>
      </c>
      <c r="AI25" s="118">
        <v>0.99</v>
      </c>
      <c r="AJ25" s="118">
        <v>0.95</v>
      </c>
      <c r="AK25" s="118">
        <v>0.05</v>
      </c>
      <c r="AL25" s="118">
        <v>0.05</v>
      </c>
    </row>
    <row r="26" spans="1:38">
      <c r="A26" s="123">
        <f t="shared" si="7"/>
        <v>25</v>
      </c>
      <c r="B26" s="114" t="str">
        <f t="shared" si="11"/>
        <v>April</v>
      </c>
      <c r="C26" s="123">
        <f t="shared" si="10"/>
        <v>6</v>
      </c>
      <c r="D26" s="114">
        <v>45383</v>
      </c>
      <c r="E26" s="117">
        <f t="shared" ref="E26:E39" si="13">YEAR(D26)</f>
        <v>2024</v>
      </c>
      <c r="F26" s="117" t="s">
        <v>787</v>
      </c>
      <c r="G26" s="123">
        <f t="shared" ref="G26:G39" si="14">DAY(EOMONTH(D26,0))</f>
        <v>30</v>
      </c>
      <c r="H26" s="127"/>
      <c r="I26" s="127"/>
      <c r="J26" s="125">
        <f t="shared" si="12"/>
        <v>5.22</v>
      </c>
      <c r="K26" s="127"/>
      <c r="L26" s="123"/>
      <c r="M26" s="128">
        <v>6843.4</v>
      </c>
      <c r="N26" s="128">
        <v>70.400000000000006</v>
      </c>
      <c r="O26" s="118"/>
      <c r="P26" s="120"/>
      <c r="Q26" s="123">
        <f>COUNTIFS('Daily KPI'!$D:$D,D26,'Daily KPI'!$M:$M,"&gt;0")</f>
        <v>0</v>
      </c>
      <c r="R26" s="128"/>
      <c r="S26" s="128"/>
      <c r="T26" s="120">
        <f t="shared" si="0"/>
        <v>228.11333333333332</v>
      </c>
      <c r="U26" s="128">
        <f t="shared" si="1"/>
        <v>0</v>
      </c>
      <c r="V26" s="129">
        <f>SUMIF($F$2:F49,F26,$U$2:U49)</f>
        <v>532.0645161290322</v>
      </c>
      <c r="W26" s="118">
        <f t="shared" si="2"/>
        <v>0.13501025883838383</v>
      </c>
      <c r="X26" s="118" t="str">
        <f t="shared" si="3"/>
        <v/>
      </c>
      <c r="Y26" s="118" t="str">
        <f t="shared" si="4"/>
        <v/>
      </c>
      <c r="Z26" s="120">
        <f t="shared" si="5"/>
        <v>0</v>
      </c>
      <c r="AA26" s="127">
        <f>IFERROR(AVERAGEIF($F$2:F26,F26,$N$2:N26),"")</f>
        <v>70.400000000000006</v>
      </c>
      <c r="AB26" s="128"/>
      <c r="AC26" s="120">
        <v>6.4041034581308942</v>
      </c>
      <c r="AD26" s="120">
        <f>AVERAGEIF($F$2:F26,F26,$AC$2:AC26)</f>
        <v>6.4041034581308942</v>
      </c>
      <c r="AE26" s="118">
        <f t="shared" si="6"/>
        <v>0.96029999999999993</v>
      </c>
      <c r="AF26" s="118">
        <v>0.995</v>
      </c>
      <c r="AG26" s="118"/>
      <c r="AH26" s="118">
        <v>0.97</v>
      </c>
      <c r="AI26" s="118">
        <v>0.99</v>
      </c>
      <c r="AJ26" s="118">
        <v>0.95</v>
      </c>
      <c r="AK26" s="118">
        <v>0.05</v>
      </c>
      <c r="AL26" s="118">
        <v>0.05</v>
      </c>
    </row>
    <row r="27" spans="1:38">
      <c r="A27" s="123">
        <f t="shared" si="7"/>
        <v>26</v>
      </c>
      <c r="B27" s="114" t="str">
        <f t="shared" si="11"/>
        <v>May</v>
      </c>
      <c r="C27" s="123">
        <f t="shared" si="10"/>
        <v>7</v>
      </c>
      <c r="D27" s="114">
        <v>45413</v>
      </c>
      <c r="E27" s="117">
        <f t="shared" si="13"/>
        <v>2024</v>
      </c>
      <c r="F27" s="117" t="s">
        <v>787</v>
      </c>
      <c r="G27" s="123">
        <f t="shared" si="14"/>
        <v>31</v>
      </c>
      <c r="H27" s="127"/>
      <c r="I27" s="127"/>
      <c r="J27" s="125">
        <f t="shared" si="12"/>
        <v>5.7233333333333336</v>
      </c>
      <c r="K27" s="127"/>
      <c r="L27" s="123"/>
      <c r="M27" s="128">
        <v>10848.5</v>
      </c>
      <c r="N27" s="128">
        <v>70.400000000000006</v>
      </c>
      <c r="O27" s="118"/>
      <c r="P27" s="120"/>
      <c r="Q27" s="123">
        <f>COUNTIFS('Daily KPI'!$D:$D,D27,'Daily KPI'!$M:$M,"&gt;0")</f>
        <v>0</v>
      </c>
      <c r="R27" s="128"/>
      <c r="S27" s="128"/>
      <c r="T27" s="120">
        <f t="shared" si="0"/>
        <v>349.95161290322579</v>
      </c>
      <c r="U27" s="128">
        <f t="shared" si="1"/>
        <v>0</v>
      </c>
      <c r="V27" s="129">
        <f>SUMIF($F$2:F49,F27,$U$2:U49)</f>
        <v>532.0645161290322</v>
      </c>
      <c r="W27" s="118">
        <f t="shared" si="2"/>
        <v>0.20712098301564025</v>
      </c>
      <c r="X27" s="118" t="str">
        <f t="shared" si="3"/>
        <v/>
      </c>
      <c r="Y27" s="118" t="str">
        <f t="shared" si="4"/>
        <v/>
      </c>
      <c r="Z27" s="120">
        <f t="shared" si="5"/>
        <v>0</v>
      </c>
      <c r="AA27" s="130">
        <f>IFERROR(AVERAGEIF($F$2:F49,F27,$N$2:N49),"")</f>
        <v>70.399999999999991</v>
      </c>
      <c r="AB27" s="128"/>
      <c r="AC27" s="120">
        <v>5.9681800514432695</v>
      </c>
      <c r="AD27" s="131">
        <f>AVERAGEIF($F$2:F49,F27,$AC$2:AC49)</f>
        <v>7.3184021148899676</v>
      </c>
      <c r="AE27" s="118">
        <f t="shared" si="6"/>
        <v>0.96029999999999993</v>
      </c>
      <c r="AF27" s="118">
        <v>0.995</v>
      </c>
      <c r="AG27" s="118"/>
      <c r="AH27" s="118">
        <v>0.97</v>
      </c>
      <c r="AI27" s="118">
        <v>0.99</v>
      </c>
      <c r="AJ27" s="118">
        <v>0.95</v>
      </c>
      <c r="AK27" s="118">
        <v>0.05</v>
      </c>
      <c r="AL27" s="118">
        <v>0.05</v>
      </c>
    </row>
    <row r="28" spans="1:38">
      <c r="A28" s="123">
        <f t="shared" si="7"/>
        <v>27</v>
      </c>
      <c r="B28" s="114" t="str">
        <f t="shared" si="11"/>
        <v>June</v>
      </c>
      <c r="C28" s="123">
        <f t="shared" si="10"/>
        <v>8</v>
      </c>
      <c r="D28" s="114">
        <v>45444</v>
      </c>
      <c r="E28" s="117">
        <f t="shared" si="13"/>
        <v>2024</v>
      </c>
      <c r="F28" s="117" t="s">
        <v>787</v>
      </c>
      <c r="G28" s="123">
        <f t="shared" si="14"/>
        <v>30</v>
      </c>
      <c r="H28" s="127"/>
      <c r="I28" s="127"/>
      <c r="J28" s="125">
        <f t="shared" si="12"/>
        <v>6.81</v>
      </c>
      <c r="K28" s="127"/>
      <c r="L28" s="123"/>
      <c r="M28" s="128">
        <v>15593.1</v>
      </c>
      <c r="N28" s="128">
        <v>70.400000000000006</v>
      </c>
      <c r="O28" s="118"/>
      <c r="P28" s="120"/>
      <c r="Q28" s="123">
        <f>COUNTIFS('Daily KPI'!$D:$D,D28,'Daily KPI'!$M:$M,"&gt;0")</f>
        <v>0</v>
      </c>
      <c r="R28" s="128"/>
      <c r="S28" s="128"/>
      <c r="T28" s="120">
        <f t="shared" si="0"/>
        <v>519.77</v>
      </c>
      <c r="U28" s="128">
        <f t="shared" si="1"/>
        <v>0</v>
      </c>
      <c r="V28" s="128">
        <f>SUMIF($F$2:F28,F28,$U$2:U28)</f>
        <v>0</v>
      </c>
      <c r="W28" s="118">
        <f t="shared" si="2"/>
        <v>0.30762902462121211</v>
      </c>
      <c r="X28" s="118" t="str">
        <f t="shared" si="3"/>
        <v/>
      </c>
      <c r="Y28" s="118" t="str">
        <f t="shared" si="4"/>
        <v/>
      </c>
      <c r="Z28" s="120">
        <f t="shared" si="5"/>
        <v>0</v>
      </c>
      <c r="AA28" s="127">
        <f>IFERROR(AVERAGEIF($F$2:F28,F28,$N$2:N28),"")</f>
        <v>70.400000000000006</v>
      </c>
      <c r="AB28" s="128"/>
      <c r="AC28" s="120">
        <f>AC16</f>
        <v>5.6310997427836513</v>
      </c>
      <c r="AD28" s="120">
        <f>AVERAGEIF($F$2:F28,F28,$AC$2:AC28)</f>
        <v>6.0011277507859377</v>
      </c>
      <c r="AE28" s="118">
        <f t="shared" si="6"/>
        <v>0.96029999999999993</v>
      </c>
      <c r="AF28" s="118">
        <v>0.995</v>
      </c>
      <c r="AG28" s="118"/>
      <c r="AH28" s="118">
        <v>0.97</v>
      </c>
      <c r="AI28" s="118">
        <v>0.99</v>
      </c>
      <c r="AJ28" s="118">
        <v>0.95</v>
      </c>
      <c r="AK28" s="118">
        <v>0.05</v>
      </c>
      <c r="AL28" s="118">
        <v>0.05</v>
      </c>
    </row>
    <row r="29" spans="1:38">
      <c r="A29" s="123">
        <f t="shared" si="7"/>
        <v>28</v>
      </c>
      <c r="B29" s="114" t="str">
        <f t="shared" si="11"/>
        <v>July</v>
      </c>
      <c r="C29" s="123">
        <f t="shared" si="10"/>
        <v>9</v>
      </c>
      <c r="D29" s="114">
        <v>45474</v>
      </c>
      <c r="E29" s="117">
        <f t="shared" si="13"/>
        <v>2024</v>
      </c>
      <c r="F29" s="117" t="s">
        <v>787</v>
      </c>
      <c r="G29" s="123">
        <f t="shared" si="14"/>
        <v>31</v>
      </c>
      <c r="H29" s="127"/>
      <c r="I29" s="127"/>
      <c r="J29" s="125">
        <f t="shared" si="12"/>
        <v>9.8233333333333324</v>
      </c>
      <c r="K29" s="127"/>
      <c r="L29" s="123"/>
      <c r="M29" s="128">
        <v>28051.7</v>
      </c>
      <c r="N29" s="128">
        <v>70.400000000000006</v>
      </c>
      <c r="O29" s="118"/>
      <c r="P29" s="120"/>
      <c r="Q29" s="123">
        <f>COUNTIFS('Daily KPI'!$D:$D,D29,'Daily KPI'!$M:$M,"&gt;0")</f>
        <v>0</v>
      </c>
      <c r="R29" s="128"/>
      <c r="S29" s="128"/>
      <c r="T29" s="120">
        <f t="shared" si="0"/>
        <v>904.89354838709676</v>
      </c>
      <c r="U29" s="128">
        <f t="shared" si="1"/>
        <v>0</v>
      </c>
      <c r="V29" s="128">
        <f>SUMIF($F$2:F29,F29,$U$2:U29)</f>
        <v>0</v>
      </c>
      <c r="W29" s="118">
        <f t="shared" si="2"/>
        <v>0.53556673081622674</v>
      </c>
      <c r="X29" s="118" t="str">
        <f t="shared" si="3"/>
        <v/>
      </c>
      <c r="Y29" s="118" t="str">
        <f t="shared" si="4"/>
        <v/>
      </c>
      <c r="Z29" s="120">
        <f t="shared" si="5"/>
        <v>0</v>
      </c>
      <c r="AA29" s="127">
        <f>IFERROR(AVERAGEIF($F$2:F29,F29,$N$2:N29),"")</f>
        <v>70.400000000000006</v>
      </c>
      <c r="AB29" s="128"/>
      <c r="AC29" s="120">
        <f t="shared" ref="AC29:AC49" si="15">AC17</f>
        <v>7.1310648756787653</v>
      </c>
      <c r="AD29" s="120">
        <f>AVERAGEIF($F$2:F29,F29,$AC$2:AC29)</f>
        <v>6.2836120320091453</v>
      </c>
      <c r="AE29" s="118">
        <f t="shared" si="6"/>
        <v>0.96029999999999993</v>
      </c>
      <c r="AF29" s="118">
        <v>0.995</v>
      </c>
      <c r="AG29" s="118"/>
      <c r="AH29" s="118">
        <v>0.97</v>
      </c>
      <c r="AI29" s="118">
        <v>0.99</v>
      </c>
      <c r="AJ29" s="118">
        <v>0.95</v>
      </c>
      <c r="AK29" s="118">
        <v>0.05</v>
      </c>
      <c r="AL29" s="118">
        <v>0.05</v>
      </c>
    </row>
    <row r="30" spans="1:38">
      <c r="A30" s="123">
        <f t="shared" si="7"/>
        <v>29</v>
      </c>
      <c r="B30" s="114" t="str">
        <f t="shared" si="11"/>
        <v>August</v>
      </c>
      <c r="C30" s="123">
        <f t="shared" si="10"/>
        <v>10</v>
      </c>
      <c r="D30" s="114">
        <v>45505</v>
      </c>
      <c r="E30" s="117">
        <f t="shared" si="13"/>
        <v>2024</v>
      </c>
      <c r="F30" s="117" t="s">
        <v>787</v>
      </c>
      <c r="G30" s="123">
        <f t="shared" si="14"/>
        <v>31</v>
      </c>
      <c r="H30" s="127"/>
      <c r="I30" s="127"/>
      <c r="J30" s="125">
        <f t="shared" si="12"/>
        <v>9.1</v>
      </c>
      <c r="K30" s="127"/>
      <c r="L30" s="123"/>
      <c r="M30" s="128">
        <v>32781.599999999999</v>
      </c>
      <c r="N30" s="128">
        <v>70.400000000000006</v>
      </c>
      <c r="O30" s="118"/>
      <c r="P30" s="120"/>
      <c r="Q30" s="123">
        <f>COUNTIFS('Daily KPI'!$D:$D,D30,'Daily KPI'!$M:$M,"&gt;0")</f>
        <v>0</v>
      </c>
      <c r="R30" s="128"/>
      <c r="S30" s="128"/>
      <c r="T30" s="120">
        <f t="shared" si="0"/>
        <v>1057.4709677419355</v>
      </c>
      <c r="U30" s="128">
        <f t="shared" si="1"/>
        <v>0</v>
      </c>
      <c r="V30" s="128">
        <f>SUMIF($F$2:F30,F30,$U$2:U30)</f>
        <v>0</v>
      </c>
      <c r="W30" s="118">
        <f t="shared" si="2"/>
        <v>0.62587060117302051</v>
      </c>
      <c r="X30" s="118" t="str">
        <f t="shared" si="3"/>
        <v/>
      </c>
      <c r="Y30" s="118" t="str">
        <f t="shared" si="4"/>
        <v/>
      </c>
      <c r="Z30" s="120">
        <f t="shared" si="5"/>
        <v>0</v>
      </c>
      <c r="AA30" s="127">
        <f>IFERROR(AVERAGEIF($F$2:F30,F30,$N$2:N30),"")</f>
        <v>70.400000000000006</v>
      </c>
      <c r="AB30" s="128"/>
      <c r="AC30" s="120">
        <f t="shared" si="15"/>
        <v>9.4530328665332952</v>
      </c>
      <c r="AD30" s="120">
        <f>AVERAGEIF($F$2:F30,F30,$AC$2:AC30)</f>
        <v>6.9174961989139749</v>
      </c>
      <c r="AE30" s="118">
        <f t="shared" si="6"/>
        <v>0.96029999999999993</v>
      </c>
      <c r="AF30" s="118">
        <v>0.995</v>
      </c>
      <c r="AG30" s="118"/>
      <c r="AH30" s="118">
        <v>0.97</v>
      </c>
      <c r="AI30" s="118">
        <v>0.99</v>
      </c>
      <c r="AJ30" s="118">
        <v>0.95</v>
      </c>
      <c r="AK30" s="118">
        <v>0.05</v>
      </c>
      <c r="AL30" s="118">
        <v>0.05</v>
      </c>
    </row>
    <row r="31" spans="1:38">
      <c r="A31" s="123">
        <f t="shared" si="7"/>
        <v>30</v>
      </c>
      <c r="B31" s="114" t="str">
        <f t="shared" si="11"/>
        <v>September</v>
      </c>
      <c r="C31" s="123">
        <f t="shared" si="10"/>
        <v>11</v>
      </c>
      <c r="D31" s="114">
        <v>45536</v>
      </c>
      <c r="E31" s="117">
        <f t="shared" si="13"/>
        <v>2024</v>
      </c>
      <c r="F31" s="117" t="s">
        <v>787</v>
      </c>
      <c r="G31" s="123">
        <f t="shared" si="14"/>
        <v>30</v>
      </c>
      <c r="H31" s="127"/>
      <c r="I31" s="127"/>
      <c r="J31" s="125">
        <f t="shared" si="12"/>
        <v>5.56</v>
      </c>
      <c r="K31" s="127"/>
      <c r="L31" s="123"/>
      <c r="M31" s="128">
        <v>11201.7</v>
      </c>
      <c r="N31" s="128">
        <v>70.400000000000006</v>
      </c>
      <c r="O31" s="118"/>
      <c r="P31" s="120"/>
      <c r="Q31" s="123">
        <f>COUNTIFS('Daily KPI'!$D:$D,D31,'Daily KPI'!$M:$M,"&gt;0")</f>
        <v>0</v>
      </c>
      <c r="R31" s="128"/>
      <c r="S31" s="128"/>
      <c r="T31" s="120">
        <f t="shared" si="0"/>
        <v>373.39000000000004</v>
      </c>
      <c r="U31" s="128">
        <f t="shared" si="1"/>
        <v>0</v>
      </c>
      <c r="V31" s="128">
        <f>SUMIF($F$2:F31,F31,$U$2:U31)</f>
        <v>0</v>
      </c>
      <c r="W31" s="118">
        <f t="shared" si="2"/>
        <v>0.22099313446969698</v>
      </c>
      <c r="X31" s="118" t="str">
        <f t="shared" si="3"/>
        <v/>
      </c>
      <c r="Y31" s="118" t="str">
        <f t="shared" si="4"/>
        <v/>
      </c>
      <c r="Z31" s="120">
        <f t="shared" si="5"/>
        <v>0</v>
      </c>
      <c r="AA31" s="127">
        <f>IFERROR(AVERAGEIF($F$2:F31,F31,$N$2:N31),"")</f>
        <v>70.399999999999991</v>
      </c>
      <c r="AB31" s="128"/>
      <c r="AC31" s="120">
        <f t="shared" si="15"/>
        <v>10.303759359817088</v>
      </c>
      <c r="AD31" s="120">
        <f>AVERAGEIF($F$2:F31,F31,$AC$2:AC31)</f>
        <v>7.4818733923978264</v>
      </c>
      <c r="AE31" s="118">
        <f t="shared" si="6"/>
        <v>0.96029999999999993</v>
      </c>
      <c r="AF31" s="118">
        <v>0.995</v>
      </c>
      <c r="AG31" s="118"/>
      <c r="AH31" s="118">
        <v>0.97</v>
      </c>
      <c r="AI31" s="118">
        <v>0.99</v>
      </c>
      <c r="AJ31" s="118">
        <v>0.95</v>
      </c>
      <c r="AK31" s="118">
        <v>0.05</v>
      </c>
      <c r="AL31" s="118">
        <v>0.05</v>
      </c>
    </row>
    <row r="32" spans="1:38">
      <c r="A32" s="123">
        <f t="shared" si="7"/>
        <v>31</v>
      </c>
      <c r="B32" s="114" t="str">
        <f t="shared" si="11"/>
        <v>October</v>
      </c>
      <c r="C32" s="123">
        <f t="shared" si="10"/>
        <v>12</v>
      </c>
      <c r="D32" s="114">
        <v>45566</v>
      </c>
      <c r="E32" s="117">
        <f t="shared" si="13"/>
        <v>2024</v>
      </c>
      <c r="F32" s="117" t="s">
        <v>787</v>
      </c>
      <c r="G32" s="123">
        <f t="shared" si="14"/>
        <v>31</v>
      </c>
      <c r="H32" s="127"/>
      <c r="I32" s="127"/>
      <c r="J32" s="125">
        <f t="shared" si="12"/>
        <v>4.1733333333333329</v>
      </c>
      <c r="K32" s="127"/>
      <c r="L32" s="123"/>
      <c r="M32" s="128">
        <v>4658.2</v>
      </c>
      <c r="N32" s="128">
        <v>70.400000000000006</v>
      </c>
      <c r="O32" s="118"/>
      <c r="P32" s="120"/>
      <c r="Q32" s="123">
        <f>COUNTIFS('Daily KPI'!$D:$D,D32,'Daily KPI'!$M:$M,"&gt;0")</f>
        <v>0</v>
      </c>
      <c r="R32" s="128"/>
      <c r="S32" s="128"/>
      <c r="T32" s="120">
        <f t="shared" si="0"/>
        <v>150.26451612903224</v>
      </c>
      <c r="U32" s="128">
        <f t="shared" si="1"/>
        <v>0</v>
      </c>
      <c r="V32" s="128">
        <f>SUMIF($F$2:F32,F32,$U$2:U32)</f>
        <v>0</v>
      </c>
      <c r="W32" s="118">
        <f t="shared" si="2"/>
        <v>8.8934964565004868E-2</v>
      </c>
      <c r="X32" s="118" t="str">
        <f t="shared" si="3"/>
        <v/>
      </c>
      <c r="Y32" s="118" t="str">
        <f t="shared" si="4"/>
        <v/>
      </c>
      <c r="Z32" s="120">
        <f t="shared" si="5"/>
        <v>0</v>
      </c>
      <c r="AA32" s="127">
        <f>IFERROR(AVERAGEIF($F$2:F32,F32,$N$2:N32),"")</f>
        <v>70.399999999999991</v>
      </c>
      <c r="AB32" s="128"/>
      <c r="AC32" s="120">
        <f t="shared" si="15"/>
        <v>8.5195147184909956</v>
      </c>
      <c r="AD32" s="120">
        <f>AVERAGEIF($F$2:F32,F32,$AC$2:AC32)</f>
        <v>7.6301078675539937</v>
      </c>
      <c r="AE32" s="118">
        <f t="shared" si="6"/>
        <v>0.96029999999999993</v>
      </c>
      <c r="AF32" s="118">
        <v>0.995</v>
      </c>
      <c r="AG32" s="118"/>
      <c r="AH32" s="118">
        <v>0.97</v>
      </c>
      <c r="AI32" s="118">
        <v>0.99</v>
      </c>
      <c r="AJ32" s="118">
        <v>0.95</v>
      </c>
      <c r="AK32" s="118">
        <v>0.05</v>
      </c>
      <c r="AL32" s="118">
        <v>0.05</v>
      </c>
    </row>
    <row r="33" spans="1:38">
      <c r="A33" s="123">
        <f t="shared" si="7"/>
        <v>32</v>
      </c>
      <c r="B33" s="114" t="str">
        <f t="shared" si="11"/>
        <v>November</v>
      </c>
      <c r="C33" s="123">
        <f t="shared" si="10"/>
        <v>1</v>
      </c>
      <c r="D33" s="114">
        <v>45597</v>
      </c>
      <c r="E33" s="117">
        <f t="shared" si="13"/>
        <v>2024</v>
      </c>
      <c r="F33" s="117" t="s">
        <v>787</v>
      </c>
      <c r="G33" s="123">
        <f t="shared" si="14"/>
        <v>30</v>
      </c>
      <c r="H33" s="127"/>
      <c r="I33" s="127"/>
      <c r="J33" s="125">
        <f t="shared" si="12"/>
        <v>4.4633333333333338</v>
      </c>
      <c r="K33" s="127"/>
      <c r="L33" s="123"/>
      <c r="M33" s="128">
        <v>7203.1</v>
      </c>
      <c r="N33" s="128">
        <v>70.400000000000006</v>
      </c>
      <c r="O33" s="118"/>
      <c r="P33" s="120"/>
      <c r="Q33" s="123">
        <f>COUNTIFS('Daily KPI'!$D:$D,D33,'Daily KPI'!$M:$M,"&gt;0")</f>
        <v>0</v>
      </c>
      <c r="R33" s="128"/>
      <c r="S33" s="128"/>
      <c r="T33" s="120">
        <f t="shared" si="0"/>
        <v>240.10333333333335</v>
      </c>
      <c r="U33" s="128">
        <f t="shared" si="1"/>
        <v>0</v>
      </c>
      <c r="V33" s="128">
        <f>SUMIF($F$2:F33,F33,$U$2:U33)</f>
        <v>0</v>
      </c>
      <c r="W33" s="118">
        <f t="shared" si="2"/>
        <v>0.14210661300505051</v>
      </c>
      <c r="X33" s="118" t="str">
        <f t="shared" si="3"/>
        <v/>
      </c>
      <c r="Y33" s="118" t="str">
        <f t="shared" si="4"/>
        <v/>
      </c>
      <c r="Z33" s="120">
        <f t="shared" si="5"/>
        <v>0</v>
      </c>
      <c r="AA33" s="127">
        <f>IFERROR(AVERAGEIF($F$2:F33,F33,$N$2:N33),"")</f>
        <v>70.399999999999991</v>
      </c>
      <c r="AB33" s="128"/>
      <c r="AC33" s="120">
        <f t="shared" si="15"/>
        <v>7.2366664761360369</v>
      </c>
      <c r="AD33" s="120">
        <f>AVERAGEIF($F$2:F33,F33,$AC$2:AC33)</f>
        <v>7.5809276936267489</v>
      </c>
      <c r="AE33" s="118">
        <f t="shared" si="6"/>
        <v>0.96029999999999993</v>
      </c>
      <c r="AF33" s="118">
        <v>0.995</v>
      </c>
      <c r="AG33" s="118"/>
      <c r="AH33" s="118">
        <v>0.97</v>
      </c>
      <c r="AI33" s="118">
        <v>0.99</v>
      </c>
      <c r="AJ33" s="118">
        <v>0.95</v>
      </c>
      <c r="AK33" s="118">
        <v>0.05</v>
      </c>
      <c r="AL33" s="118">
        <v>0.05</v>
      </c>
    </row>
    <row r="34" spans="1:38">
      <c r="A34" s="123">
        <f t="shared" si="7"/>
        <v>33</v>
      </c>
      <c r="B34" s="114" t="str">
        <f t="shared" si="11"/>
        <v>December</v>
      </c>
      <c r="C34" s="123">
        <f t="shared" si="10"/>
        <v>2</v>
      </c>
      <c r="D34" s="114">
        <v>45627</v>
      </c>
      <c r="E34" s="117">
        <f t="shared" si="13"/>
        <v>2024</v>
      </c>
      <c r="F34" s="117" t="s">
        <v>787</v>
      </c>
      <c r="G34" s="123">
        <f t="shared" si="14"/>
        <v>31</v>
      </c>
      <c r="H34" s="127"/>
      <c r="I34" s="127"/>
      <c r="J34" s="125">
        <f t="shared" si="12"/>
        <v>4.79</v>
      </c>
      <c r="K34" s="127"/>
      <c r="L34" s="123"/>
      <c r="M34" s="128">
        <v>7252</v>
      </c>
      <c r="N34" s="128">
        <v>70.400000000000006</v>
      </c>
      <c r="O34" s="118"/>
      <c r="P34" s="120"/>
      <c r="Q34" s="123">
        <f>COUNTIFS('Daily KPI'!$D:$D,D34,'Daily KPI'!$M:$M,"&gt;0")</f>
        <v>0</v>
      </c>
      <c r="R34" s="128"/>
      <c r="S34" s="128"/>
      <c r="T34" s="120">
        <f t="shared" si="0"/>
        <v>233.93548387096774</v>
      </c>
      <c r="U34" s="128">
        <f t="shared" si="1"/>
        <v>0</v>
      </c>
      <c r="V34" s="128">
        <f>SUMIF($F$2:F34,F34,$U$2:U34)</f>
        <v>0</v>
      </c>
      <c r="W34" s="118">
        <f t="shared" si="2"/>
        <v>0.1384561339198436</v>
      </c>
      <c r="X34" s="118" t="str">
        <f t="shared" si="3"/>
        <v/>
      </c>
      <c r="Y34" s="118" t="str">
        <f t="shared" si="4"/>
        <v/>
      </c>
      <c r="Z34" s="120">
        <f t="shared" si="5"/>
        <v>0</v>
      </c>
      <c r="AA34" s="127">
        <f>IFERROR(AVERAGEIF($F$2:F34,F34,$N$2:N34),"")</f>
        <v>70.399999999999991</v>
      </c>
      <c r="AB34" s="128"/>
      <c r="AC34" s="120">
        <f t="shared" si="15"/>
        <v>6.0015501571877659</v>
      </c>
      <c r="AD34" s="120">
        <f>AVERAGEIF($F$2:F34,F34,$AC$2:AC34)</f>
        <v>7.4054413006890849</v>
      </c>
      <c r="AE34" s="118">
        <f t="shared" si="6"/>
        <v>0.96029999999999993</v>
      </c>
      <c r="AF34" s="118">
        <v>0.995</v>
      </c>
      <c r="AG34" s="118"/>
      <c r="AH34" s="118">
        <v>0.97</v>
      </c>
      <c r="AI34" s="118">
        <v>0.99</v>
      </c>
      <c r="AJ34" s="118">
        <v>0.95</v>
      </c>
      <c r="AK34" s="118">
        <v>0.05</v>
      </c>
      <c r="AL34" s="118">
        <v>0.05</v>
      </c>
    </row>
    <row r="35" spans="1:38">
      <c r="A35" s="123">
        <f t="shared" si="7"/>
        <v>34</v>
      </c>
      <c r="B35" s="114" t="str">
        <f t="shared" si="11"/>
        <v>January</v>
      </c>
      <c r="C35" s="123">
        <f t="shared" si="10"/>
        <v>4</v>
      </c>
      <c r="D35" s="114">
        <v>45658</v>
      </c>
      <c r="E35" s="117">
        <f t="shared" si="13"/>
        <v>2025</v>
      </c>
      <c r="F35" s="117" t="s">
        <v>787</v>
      </c>
      <c r="G35" s="123">
        <f t="shared" si="14"/>
        <v>31</v>
      </c>
      <c r="H35" s="127"/>
      <c r="I35" s="127"/>
      <c r="J35" s="125">
        <f t="shared" si="12"/>
        <v>3.75</v>
      </c>
      <c r="K35" s="127"/>
      <c r="L35" s="123"/>
      <c r="M35" s="128">
        <v>3308.3</v>
      </c>
      <c r="N35" s="128">
        <v>70.400000000000006</v>
      </c>
      <c r="O35" s="118"/>
      <c r="P35" s="120"/>
      <c r="Q35" s="123">
        <f>COUNTIFS('Daily KPI'!$D:$D,D35,'Daily KPI'!$M:$M,"&gt;0")</f>
        <v>0</v>
      </c>
      <c r="R35" s="128"/>
      <c r="S35" s="128"/>
      <c r="T35" s="120">
        <f t="shared" si="0"/>
        <v>106.71935483870968</v>
      </c>
      <c r="U35" s="128">
        <f t="shared" si="1"/>
        <v>0</v>
      </c>
      <c r="V35" s="128">
        <f>SUMIF($F$2:F35,F35,$U$2:U35)</f>
        <v>0</v>
      </c>
      <c r="W35" s="118">
        <f t="shared" si="2"/>
        <v>6.3162496945259036E-2</v>
      </c>
      <c r="X35" s="118" t="str">
        <f t="shared" si="3"/>
        <v/>
      </c>
      <c r="Y35" s="118" t="str">
        <f t="shared" si="4"/>
        <v/>
      </c>
      <c r="Z35" s="120">
        <f t="shared" si="5"/>
        <v>0</v>
      </c>
      <c r="AA35" s="127">
        <f>IFERROR(AVERAGEIF($F$2:F35,F35,$N$2:N35),"")</f>
        <v>70.399999999999991</v>
      </c>
      <c r="AB35" s="128"/>
      <c r="AC35" s="120">
        <f t="shared" si="15"/>
        <v>6.7073912546441834</v>
      </c>
      <c r="AD35" s="120">
        <f>AVERAGEIF($F$2:F35,F35,$AC$2:AC35)</f>
        <v>7.3356362960845942</v>
      </c>
      <c r="AE35" s="118">
        <f t="shared" si="6"/>
        <v>0.96029999999999993</v>
      </c>
      <c r="AF35" s="118">
        <v>0.995</v>
      </c>
      <c r="AG35" s="118"/>
      <c r="AH35" s="118">
        <v>0.97</v>
      </c>
      <c r="AI35" s="118">
        <v>0.99</v>
      </c>
      <c r="AJ35" s="118">
        <v>0.95</v>
      </c>
      <c r="AK35" s="118">
        <v>0.05</v>
      </c>
      <c r="AL35" s="118">
        <v>0.05</v>
      </c>
    </row>
    <row r="36" spans="1:38">
      <c r="A36" s="123">
        <f t="shared" si="7"/>
        <v>35</v>
      </c>
      <c r="B36" s="114" t="str">
        <f t="shared" si="11"/>
        <v>February</v>
      </c>
      <c r="C36" s="123">
        <f t="shared" si="10"/>
        <v>5</v>
      </c>
      <c r="D36" s="114">
        <v>45689</v>
      </c>
      <c r="E36" s="117">
        <f t="shared" si="13"/>
        <v>2025</v>
      </c>
      <c r="F36" s="117" t="s">
        <v>787</v>
      </c>
      <c r="G36" s="123">
        <f t="shared" si="14"/>
        <v>28</v>
      </c>
      <c r="H36" s="127"/>
      <c r="I36" s="127"/>
      <c r="J36" s="125">
        <f t="shared" si="12"/>
        <v>3.9249999999999998</v>
      </c>
      <c r="K36" s="127"/>
      <c r="L36" s="123"/>
      <c r="M36" s="128">
        <v>3320.2</v>
      </c>
      <c r="N36" s="128">
        <v>70.400000000000006</v>
      </c>
      <c r="O36" s="118"/>
      <c r="P36" s="120"/>
      <c r="Q36" s="123">
        <f>COUNTIFS('Daily KPI'!$D:$D,D36,'Daily KPI'!$M:$M,"&gt;0")</f>
        <v>0</v>
      </c>
      <c r="R36" s="128"/>
      <c r="S36" s="128"/>
      <c r="T36" s="120">
        <f t="shared" si="0"/>
        <v>118.57857142857142</v>
      </c>
      <c r="U36" s="128">
        <f t="shared" si="1"/>
        <v>0</v>
      </c>
      <c r="V36" s="128">
        <f>SUMIF($F$2:F36,F36,$U$2:U36)</f>
        <v>0</v>
      </c>
      <c r="W36" s="118">
        <f t="shared" si="2"/>
        <v>7.0181446158008642E-2</v>
      </c>
      <c r="X36" s="118" t="str">
        <f t="shared" si="3"/>
        <v/>
      </c>
      <c r="Y36" s="118" t="str">
        <f t="shared" si="4"/>
        <v/>
      </c>
      <c r="Z36" s="120">
        <f t="shared" si="5"/>
        <v>0</v>
      </c>
      <c r="AA36" s="127">
        <f>IFERROR(AVERAGEIF($F$2:F36,F36,$N$2:N36),"")</f>
        <v>70.399999999999991</v>
      </c>
      <c r="AB36" s="128"/>
      <c r="AC36" s="120">
        <f t="shared" si="15"/>
        <v>7.0533420977422105</v>
      </c>
      <c r="AD36" s="120">
        <f>AVERAGEIF($F$2:F36,F36,$AC$2:AC36)</f>
        <v>7.3099731871443785</v>
      </c>
      <c r="AE36" s="118">
        <f t="shared" si="6"/>
        <v>0.96029999999999993</v>
      </c>
      <c r="AF36" s="118">
        <v>0.995</v>
      </c>
      <c r="AG36" s="118"/>
      <c r="AH36" s="118">
        <v>0.97</v>
      </c>
      <c r="AI36" s="118">
        <v>0.99</v>
      </c>
      <c r="AJ36" s="118">
        <v>0.95</v>
      </c>
      <c r="AK36" s="118">
        <v>0.05</v>
      </c>
      <c r="AL36" s="118">
        <v>0.05</v>
      </c>
    </row>
    <row r="37" spans="1:38">
      <c r="A37" s="123">
        <f t="shared" si="7"/>
        <v>36</v>
      </c>
      <c r="B37" s="114" t="str">
        <f t="shared" si="11"/>
        <v>March</v>
      </c>
      <c r="C37" s="123">
        <f t="shared" si="10"/>
        <v>6</v>
      </c>
      <c r="D37" s="114">
        <v>45717</v>
      </c>
      <c r="E37" s="117">
        <f t="shared" si="13"/>
        <v>2025</v>
      </c>
      <c r="F37" s="117" t="s">
        <v>787</v>
      </c>
      <c r="G37" s="123">
        <f t="shared" si="14"/>
        <v>31</v>
      </c>
      <c r="H37" s="127"/>
      <c r="I37" s="127"/>
      <c r="J37" s="125">
        <f t="shared" si="12"/>
        <v>4.5649999999999995</v>
      </c>
      <c r="K37" s="127"/>
      <c r="L37" s="123"/>
      <c r="M37" s="128">
        <v>5498</v>
      </c>
      <c r="N37" s="128">
        <v>70.400000000000006</v>
      </c>
      <c r="O37" s="118"/>
      <c r="P37" s="120"/>
      <c r="Q37" s="123">
        <f>COUNTIFS('Daily KPI'!$D:$D,D37,'Daily KPI'!$M:$M,"&gt;0")</f>
        <v>3</v>
      </c>
      <c r="R37" s="128"/>
      <c r="S37" s="128"/>
      <c r="T37" s="120">
        <f t="shared" si="0"/>
        <v>177.35483870967741</v>
      </c>
      <c r="U37" s="128">
        <f t="shared" si="1"/>
        <v>532.0645161290322</v>
      </c>
      <c r="V37" s="128">
        <f>SUMIF($F$2:F37,F37,$U$2:U37)</f>
        <v>532.0645161290322</v>
      </c>
      <c r="W37" s="118">
        <f t="shared" si="2"/>
        <v>0.10496853616813293</v>
      </c>
      <c r="X37" s="118">
        <f t="shared" si="3"/>
        <v>0.10496853616813293</v>
      </c>
      <c r="Y37" s="118">
        <f t="shared" si="4"/>
        <v>0.10496853616813293</v>
      </c>
      <c r="Z37" s="120">
        <f t="shared" si="5"/>
        <v>6.8129032258064512</v>
      </c>
      <c r="AA37" s="127">
        <f>IFERROR(AVERAGEIF($F$2:F37,F37,$N$2:N37),"")</f>
        <v>70.399999999999991</v>
      </c>
      <c r="AB37" s="128"/>
      <c r="AC37" s="120">
        <f t="shared" si="15"/>
        <v>7.411120320091455</v>
      </c>
      <c r="AD37" s="120">
        <f>AVERAGEIF($F$2:F37,F37,$AC$2:AC37)</f>
        <v>7.3184021148899676</v>
      </c>
      <c r="AE37" s="118">
        <f t="shared" si="6"/>
        <v>0.96029999999999993</v>
      </c>
      <c r="AF37" s="118">
        <v>0.995</v>
      </c>
      <c r="AG37" s="118"/>
      <c r="AH37" s="118">
        <v>0.97</v>
      </c>
      <c r="AI37" s="118">
        <v>0.99</v>
      </c>
      <c r="AJ37" s="118">
        <v>0.95</v>
      </c>
      <c r="AK37" s="118">
        <v>0.05</v>
      </c>
      <c r="AL37" s="118">
        <v>0.05</v>
      </c>
    </row>
    <row r="38" spans="1:38">
      <c r="A38" s="123">
        <f t="shared" si="7"/>
        <v>37</v>
      </c>
      <c r="B38" s="114" t="str">
        <f t="shared" si="11"/>
        <v>April</v>
      </c>
      <c r="C38" s="123">
        <f t="shared" si="10"/>
        <v>7</v>
      </c>
      <c r="D38" s="114">
        <v>45748</v>
      </c>
      <c r="E38" s="117">
        <f t="shared" si="13"/>
        <v>2025</v>
      </c>
      <c r="F38" s="117" t="s">
        <v>788</v>
      </c>
      <c r="G38" s="123">
        <f t="shared" si="14"/>
        <v>30</v>
      </c>
      <c r="H38" s="127"/>
      <c r="I38" s="127"/>
      <c r="J38" s="125">
        <f t="shared" si="12"/>
        <v>5.22</v>
      </c>
      <c r="K38" s="127"/>
      <c r="L38" s="123"/>
      <c r="M38" s="128">
        <v>6843.3984423788379</v>
      </c>
      <c r="N38" s="128">
        <v>70.400000000000006</v>
      </c>
      <c r="O38" s="118"/>
      <c r="P38" s="120"/>
      <c r="Q38" s="123">
        <f>COUNTIFS('Daily KPI'!$D:$D,D38,'Daily KPI'!$M:$M,"&gt;0")</f>
        <v>30</v>
      </c>
      <c r="R38" s="128"/>
      <c r="S38" s="128"/>
      <c r="T38" s="120">
        <f t="shared" si="0"/>
        <v>228.11328141262794</v>
      </c>
      <c r="U38" s="128">
        <f t="shared" si="1"/>
        <v>6843.3984423788379</v>
      </c>
      <c r="V38" s="128">
        <f>SUMIF($F$2:F38,F38,$U$2:U38)</f>
        <v>6843.3984423788379</v>
      </c>
      <c r="W38" s="118">
        <f t="shared" si="2"/>
        <v>0.13501022810879967</v>
      </c>
      <c r="X38" s="118">
        <f t="shared" si="3"/>
        <v>0.13501022810879965</v>
      </c>
      <c r="Y38" s="118">
        <f t="shared" si="4"/>
        <v>0.13501022810879965</v>
      </c>
      <c r="Z38" s="120">
        <f t="shared" si="5"/>
        <v>70.400000000000006</v>
      </c>
      <c r="AA38" s="127">
        <f>IFERROR(AVERAGEIF($F$2:F38,F38,$N$2:N38),"")</f>
        <v>70.400000000000006</v>
      </c>
      <c r="AB38" s="128"/>
      <c r="AC38" s="120">
        <f t="shared" si="15"/>
        <v>6.4041034581308942</v>
      </c>
      <c r="AD38" s="120">
        <f>AVERAGEIF($F$2:F38,F38,$AC$2:AC38)</f>
        <v>6.4041034581308942</v>
      </c>
      <c r="AE38" s="118">
        <f t="shared" si="6"/>
        <v>0.96029999999999993</v>
      </c>
      <c r="AF38" s="118">
        <v>0.995</v>
      </c>
      <c r="AG38" s="118"/>
      <c r="AH38" s="118">
        <v>0.97</v>
      </c>
      <c r="AI38" s="118">
        <v>0.99</v>
      </c>
      <c r="AJ38" s="118">
        <v>0.95</v>
      </c>
      <c r="AK38" s="118">
        <v>0.05</v>
      </c>
      <c r="AL38" s="118">
        <v>0.05</v>
      </c>
    </row>
    <row r="39" spans="1:38">
      <c r="A39" s="123">
        <f t="shared" si="7"/>
        <v>38</v>
      </c>
      <c r="B39" s="114" t="str">
        <f t="shared" si="11"/>
        <v>May</v>
      </c>
      <c r="C39" s="123">
        <f t="shared" si="10"/>
        <v>8</v>
      </c>
      <c r="D39" s="114">
        <v>45778</v>
      </c>
      <c r="E39" s="117">
        <f t="shared" si="13"/>
        <v>2025</v>
      </c>
      <c r="F39" s="117" t="s">
        <v>788</v>
      </c>
      <c r="G39" s="123">
        <f t="shared" si="14"/>
        <v>31</v>
      </c>
      <c r="H39" s="127"/>
      <c r="I39" s="127"/>
      <c r="J39" s="125">
        <f t="shared" si="12"/>
        <v>5.7233333333333336</v>
      </c>
      <c r="K39" s="127"/>
      <c r="L39" s="123"/>
      <c r="M39" s="128">
        <v>10848.465957638593</v>
      </c>
      <c r="N39" s="128">
        <v>70.400000000000006</v>
      </c>
      <c r="O39" s="118"/>
      <c r="P39" s="120"/>
      <c r="Q39" s="123">
        <f>COUNTIFS('Daily KPI'!$D:$D,D39,'Daily KPI'!$M:$M,"&gt;0")</f>
        <v>31</v>
      </c>
      <c r="R39" s="128"/>
      <c r="S39" s="128"/>
      <c r="T39" s="120">
        <f t="shared" si="0"/>
        <v>349.95051476253525</v>
      </c>
      <c r="U39" s="128">
        <f t="shared" si="1"/>
        <v>10848.465957638593</v>
      </c>
      <c r="V39" s="128">
        <f>SUMIF($F$2:F39,F39,$U$2:U39)</f>
        <v>17691.864400017432</v>
      </c>
      <c r="W39" s="118">
        <f t="shared" si="2"/>
        <v>0.20712033307441716</v>
      </c>
      <c r="X39" s="118">
        <f t="shared" si="3"/>
        <v>0.20712033307441716</v>
      </c>
      <c r="Y39" s="118">
        <f t="shared" si="4"/>
        <v>0.17165634702575283</v>
      </c>
      <c r="Z39" s="120">
        <f t="shared" si="5"/>
        <v>70.400000000000006</v>
      </c>
      <c r="AA39" s="127">
        <f>IFERROR(AVERAGEIF($F$2:F39,F39,$N$2:N39),"")</f>
        <v>70.400000000000006</v>
      </c>
      <c r="AB39" s="128"/>
      <c r="AC39" s="120">
        <f t="shared" si="15"/>
        <v>5.9681800514432695</v>
      </c>
      <c r="AD39" s="131">
        <f>AVERAGEIF($F$2:F49,F39,$AC$2:AC49)</f>
        <v>7.3184021148899676</v>
      </c>
      <c r="AE39" s="118">
        <f t="shared" si="6"/>
        <v>0.96029999999999993</v>
      </c>
      <c r="AF39" s="118">
        <v>0.995</v>
      </c>
      <c r="AG39" s="118"/>
      <c r="AH39" s="118">
        <v>0.97</v>
      </c>
      <c r="AI39" s="118">
        <v>0.99</v>
      </c>
      <c r="AJ39" s="118">
        <v>0.95</v>
      </c>
      <c r="AK39" s="118">
        <v>0.05</v>
      </c>
      <c r="AL39" s="118">
        <v>0.05</v>
      </c>
    </row>
    <row r="40" spans="1:38">
      <c r="A40" s="123">
        <f t="shared" si="7"/>
        <v>39</v>
      </c>
      <c r="B40" s="114" t="str">
        <f t="shared" si="11"/>
        <v>June</v>
      </c>
      <c r="C40" s="123">
        <f t="shared" si="10"/>
        <v>9</v>
      </c>
      <c r="D40" s="114">
        <v>45809</v>
      </c>
      <c r="E40" s="117">
        <f t="shared" ref="E40:E49" si="16">YEAR(D40)</f>
        <v>2025</v>
      </c>
      <c r="F40" s="117" t="s">
        <v>788</v>
      </c>
      <c r="G40" s="123">
        <f t="shared" ref="G40:G49" si="17">DAY(EOMONTH(D40,0))</f>
        <v>30</v>
      </c>
      <c r="H40" s="127"/>
      <c r="I40" s="127"/>
      <c r="J40" s="125">
        <f t="shared" si="12"/>
        <v>6.81</v>
      </c>
      <c r="K40" s="127"/>
      <c r="L40" s="123"/>
      <c r="M40" s="128">
        <v>15593.087917699977</v>
      </c>
      <c r="N40" s="128">
        <v>70.400000000000006</v>
      </c>
      <c r="O40" s="118"/>
      <c r="P40" s="120"/>
      <c r="Q40" s="123">
        <f>COUNTIFS('Daily KPI'!$D:$D,D40,'Daily KPI'!$M:$M,"&gt;0")</f>
        <v>30</v>
      </c>
      <c r="R40" s="128"/>
      <c r="S40" s="128"/>
      <c r="T40" s="120">
        <f t="shared" si="0"/>
        <v>519.76959725666586</v>
      </c>
      <c r="U40" s="128">
        <f t="shared" si="1"/>
        <v>15593.087917699975</v>
      </c>
      <c r="V40" s="128">
        <f>SUMIF($F$2:F40,F40,$U$2:U40)</f>
        <v>33284.952317717405</v>
      </c>
      <c r="W40" s="118">
        <f t="shared" ref="W40:W48" si="18">IFERROR(T40/(24*N40),"")</f>
        <v>0.30762878625512891</v>
      </c>
      <c r="X40" s="118">
        <f t="shared" si="3"/>
        <v>0.30762878625512891</v>
      </c>
      <c r="Y40" s="118">
        <f t="shared" si="4"/>
        <v>0.2164824258925801</v>
      </c>
      <c r="Z40" s="120">
        <f t="shared" ref="Z40:Z48" si="19">IFERROR(N40/G40*Q40,"")</f>
        <v>70.400000000000006</v>
      </c>
      <c r="AA40" s="127">
        <f>IFERROR(AVERAGEIF($F$2:F40,F40,$N$2:N40),"")</f>
        <v>70.400000000000006</v>
      </c>
      <c r="AB40" s="128"/>
      <c r="AC40" s="120">
        <f t="shared" si="15"/>
        <v>5.6310997427836513</v>
      </c>
      <c r="AD40" s="131">
        <f>AVERAGEIF($F$2:F40,F40,$AC$2:AC40)</f>
        <v>6.0011277507859377</v>
      </c>
      <c r="AE40" s="118">
        <f t="shared" si="6"/>
        <v>0.96029999999999993</v>
      </c>
      <c r="AF40" s="118">
        <v>0.995</v>
      </c>
      <c r="AG40" s="118"/>
      <c r="AH40" s="118">
        <v>0.97</v>
      </c>
      <c r="AI40" s="118">
        <v>0.99</v>
      </c>
      <c r="AJ40" s="118">
        <v>0.95</v>
      </c>
      <c r="AK40" s="118">
        <v>0.05</v>
      </c>
      <c r="AL40" s="118">
        <v>0.05</v>
      </c>
    </row>
    <row r="41" spans="1:38">
      <c r="A41" s="123">
        <f t="shared" si="7"/>
        <v>40</v>
      </c>
      <c r="B41" s="114" t="str">
        <f t="shared" si="11"/>
        <v>July</v>
      </c>
      <c r="C41" s="123">
        <f t="shared" si="10"/>
        <v>10</v>
      </c>
      <c r="D41" s="114">
        <v>45839</v>
      </c>
      <c r="E41" s="117">
        <f t="shared" si="16"/>
        <v>2025</v>
      </c>
      <c r="F41" s="117" t="s">
        <v>788</v>
      </c>
      <c r="G41" s="123">
        <f t="shared" si="17"/>
        <v>31</v>
      </c>
      <c r="H41" s="127"/>
      <c r="I41" s="127"/>
      <c r="J41" s="125">
        <f t="shared" si="12"/>
        <v>9.8233333333333324</v>
      </c>
      <c r="K41" s="127"/>
      <c r="L41" s="123"/>
      <c r="M41" s="128">
        <v>28051.714067423651</v>
      </c>
      <c r="N41" s="128">
        <v>70.400000000000006</v>
      </c>
      <c r="O41" s="118"/>
      <c r="P41" s="120"/>
      <c r="Q41" s="123">
        <f>COUNTIFS('Daily KPI'!$D:$D,D41,'Daily KPI'!$M:$M,"&gt;0")</f>
        <v>31</v>
      </c>
      <c r="R41" s="128"/>
      <c r="S41" s="128"/>
      <c r="T41" s="120">
        <f t="shared" si="0"/>
        <v>904.89400217495643</v>
      </c>
      <c r="U41" s="128">
        <f t="shared" si="1"/>
        <v>28051.714067423651</v>
      </c>
      <c r="V41" s="128">
        <f>SUMIF($F$2:F41,F41,$U$2:U41)</f>
        <v>61336.666385141056</v>
      </c>
      <c r="W41" s="118">
        <f t="shared" si="18"/>
        <v>0.53556699939332175</v>
      </c>
      <c r="X41" s="118">
        <f t="shared" si="3"/>
        <v>0.53556699939332175</v>
      </c>
      <c r="Y41" s="118">
        <f t="shared" si="4"/>
        <v>0.29756129292965378</v>
      </c>
      <c r="Z41" s="120">
        <f t="shared" si="19"/>
        <v>70.400000000000006</v>
      </c>
      <c r="AA41" s="127">
        <f>IFERROR(AVERAGEIF($F$2:F41,F41,$N$2:N41),"")</f>
        <v>70.400000000000006</v>
      </c>
      <c r="AB41" s="128"/>
      <c r="AC41" s="120">
        <f t="shared" si="15"/>
        <v>7.1310648756787653</v>
      </c>
      <c r="AD41" s="131">
        <f>AVERAGEIF($F$2:F41,F41,$AC$2:AC41)</f>
        <v>6.2836120320091453</v>
      </c>
      <c r="AE41" s="118">
        <f t="shared" si="6"/>
        <v>0.96029999999999993</v>
      </c>
      <c r="AF41" s="118">
        <v>0.995</v>
      </c>
      <c r="AG41" s="118"/>
      <c r="AH41" s="118">
        <v>0.97</v>
      </c>
      <c r="AI41" s="118">
        <v>0.99</v>
      </c>
      <c r="AJ41" s="118">
        <v>0.95</v>
      </c>
      <c r="AK41" s="118">
        <v>0.05</v>
      </c>
      <c r="AL41" s="118">
        <v>0.05</v>
      </c>
    </row>
    <row r="42" spans="1:38">
      <c r="A42" s="123">
        <f t="shared" si="7"/>
        <v>41</v>
      </c>
      <c r="B42" s="114" t="str">
        <f t="shared" si="11"/>
        <v>August</v>
      </c>
      <c r="C42" s="123">
        <f t="shared" si="10"/>
        <v>11</v>
      </c>
      <c r="D42" s="114">
        <v>45870</v>
      </c>
      <c r="E42" s="117">
        <f t="shared" si="16"/>
        <v>2025</v>
      </c>
      <c r="F42" s="117" t="s">
        <v>788</v>
      </c>
      <c r="G42" s="123">
        <f t="shared" si="17"/>
        <v>31</v>
      </c>
      <c r="H42" s="127"/>
      <c r="I42" s="127"/>
      <c r="J42" s="125">
        <f t="shared" si="12"/>
        <v>9.1</v>
      </c>
      <c r="K42" s="127"/>
      <c r="L42" s="123"/>
      <c r="M42" s="128">
        <v>32781.585430855521</v>
      </c>
      <c r="N42" s="128">
        <v>70.400000000000006</v>
      </c>
      <c r="O42" s="118"/>
      <c r="P42" s="120"/>
      <c r="Q42" s="123">
        <f>COUNTIFS('Daily KPI'!$D:$D,D42,'Daily KPI'!$M:$M,"&gt;0")</f>
        <v>2</v>
      </c>
      <c r="R42" s="128"/>
      <c r="S42" s="128"/>
      <c r="T42" s="120">
        <f t="shared" si="0"/>
        <v>1057.470497769533</v>
      </c>
      <c r="U42" s="128">
        <f t="shared" si="1"/>
        <v>2114.9409955390661</v>
      </c>
      <c r="V42" s="128">
        <f>SUMIF($F$2:F42,F42,$U$2:U42)</f>
        <v>63451.607380680121</v>
      </c>
      <c r="W42" s="118">
        <f t="shared" si="18"/>
        <v>0.62587032301700574</v>
      </c>
      <c r="X42" s="118">
        <f t="shared" si="3"/>
        <v>0.62587032301700574</v>
      </c>
      <c r="Y42" s="118">
        <f t="shared" si="4"/>
        <v>0.30285659986654656</v>
      </c>
      <c r="Z42" s="120">
        <f t="shared" si="19"/>
        <v>4.5419354838709678</v>
      </c>
      <c r="AA42" s="127">
        <f>IFERROR(AVERAGEIF($F$2:F42,F42,$N$2:N42),"")</f>
        <v>70.400000000000006</v>
      </c>
      <c r="AB42" s="128"/>
      <c r="AC42" s="120">
        <f t="shared" si="15"/>
        <v>9.4530328665332952</v>
      </c>
      <c r="AD42" s="131">
        <f>AVERAGEIF($F$2:F42,F42,$AC$2:AC42)</f>
        <v>6.9174961989139749</v>
      </c>
      <c r="AE42" s="118">
        <f t="shared" si="6"/>
        <v>0.96029999999999993</v>
      </c>
      <c r="AF42" s="118">
        <v>0.995</v>
      </c>
      <c r="AG42" s="118"/>
      <c r="AH42" s="118">
        <v>0.97</v>
      </c>
      <c r="AI42" s="118">
        <v>0.99</v>
      </c>
      <c r="AJ42" s="118">
        <v>0.95</v>
      </c>
      <c r="AK42" s="118">
        <v>0.05</v>
      </c>
      <c r="AL42" s="118">
        <v>0.05</v>
      </c>
    </row>
    <row r="43" spans="1:38">
      <c r="A43" s="123">
        <f t="shared" si="7"/>
        <v>42</v>
      </c>
      <c r="B43" s="114" t="str">
        <f t="shared" si="11"/>
        <v>September</v>
      </c>
      <c r="C43" s="123">
        <f t="shared" si="10"/>
        <v>12</v>
      </c>
      <c r="D43" s="114">
        <v>45901</v>
      </c>
      <c r="E43" s="117">
        <f t="shared" si="16"/>
        <v>2025</v>
      </c>
      <c r="F43" s="117" t="s">
        <v>788</v>
      </c>
      <c r="G43" s="123">
        <f t="shared" si="17"/>
        <v>30</v>
      </c>
      <c r="H43" s="127"/>
      <c r="I43" s="127"/>
      <c r="J43" s="125">
        <f t="shared" si="12"/>
        <v>5.56</v>
      </c>
      <c r="K43" s="127"/>
      <c r="L43" s="123"/>
      <c r="M43" s="128">
        <v>11201.6537079954</v>
      </c>
      <c r="N43" s="128">
        <v>70.400000000000006</v>
      </c>
      <c r="O43" s="118"/>
      <c r="P43" s="120"/>
      <c r="Q43" s="123">
        <f>COUNTIFS('Daily KPI'!$D:$D,D43,'Daily KPI'!$M:$M,"&gt;0")</f>
        <v>0</v>
      </c>
      <c r="R43" s="128"/>
      <c r="S43" s="128"/>
      <c r="T43" s="120">
        <f t="shared" si="0"/>
        <v>373.38845693318001</v>
      </c>
      <c r="U43" s="128">
        <f t="shared" si="1"/>
        <v>0</v>
      </c>
      <c r="V43" s="128">
        <f>SUMIF($F$2:F43,F43,$U$2:U43)</f>
        <v>63451.607380680121</v>
      </c>
      <c r="W43" s="118">
        <f t="shared" si="18"/>
        <v>0.22099222119624762</v>
      </c>
      <c r="X43" s="118" t="str">
        <f t="shared" si="3"/>
        <v/>
      </c>
      <c r="Y43" s="118">
        <f t="shared" si="4"/>
        <v>0.30285659986654656</v>
      </c>
      <c r="Z43" s="120">
        <f t="shared" si="19"/>
        <v>0</v>
      </c>
      <c r="AA43" s="127">
        <f>IFERROR(AVERAGEIF($F$2:F43,F43,$N$2:N43),"")</f>
        <v>70.399999999999991</v>
      </c>
      <c r="AB43" s="128"/>
      <c r="AC43" s="120">
        <f t="shared" si="15"/>
        <v>10.303759359817088</v>
      </c>
      <c r="AD43" s="131">
        <f>AVERAGEIF($F$2:F43,F43,$AC$2:AC43)</f>
        <v>7.4818733923978264</v>
      </c>
      <c r="AE43" s="118">
        <f t="shared" si="6"/>
        <v>0.96029999999999993</v>
      </c>
      <c r="AF43" s="118">
        <v>0.995</v>
      </c>
      <c r="AG43" s="118"/>
      <c r="AH43" s="118">
        <v>0.97</v>
      </c>
      <c r="AI43" s="118">
        <v>0.99</v>
      </c>
      <c r="AJ43" s="118">
        <v>0.95</v>
      </c>
      <c r="AK43" s="118">
        <v>0.05</v>
      </c>
      <c r="AL43" s="118">
        <v>0.05</v>
      </c>
    </row>
    <row r="44" spans="1:38">
      <c r="A44" s="123">
        <f t="shared" si="7"/>
        <v>43</v>
      </c>
      <c r="B44" s="114" t="str">
        <f t="shared" si="11"/>
        <v>October</v>
      </c>
      <c r="C44" s="123">
        <f t="shared" si="10"/>
        <v>1</v>
      </c>
      <c r="D44" s="114">
        <v>45931</v>
      </c>
      <c r="E44" s="117">
        <f t="shared" si="16"/>
        <v>2025</v>
      </c>
      <c r="F44" s="117" t="s">
        <v>788</v>
      </c>
      <c r="G44" s="123">
        <f t="shared" si="17"/>
        <v>31</v>
      </c>
      <c r="H44" s="127"/>
      <c r="I44" s="127"/>
      <c r="J44" s="125">
        <f t="shared" si="12"/>
        <v>4.1733333333333329</v>
      </c>
      <c r="K44" s="127"/>
      <c r="L44" s="123"/>
      <c r="M44" s="128">
        <v>4658.2034502884617</v>
      </c>
      <c r="N44" s="128">
        <v>70.400000000000006</v>
      </c>
      <c r="O44" s="118"/>
      <c r="P44" s="120"/>
      <c r="Q44" s="123">
        <f>COUNTIFS('Daily KPI'!$D:$D,D44,'Daily KPI'!$M:$M,"&gt;0")</f>
        <v>0</v>
      </c>
      <c r="R44" s="128"/>
      <c r="S44" s="128"/>
      <c r="T44" s="120">
        <f t="shared" si="0"/>
        <v>150.26462742866005</v>
      </c>
      <c r="U44" s="128">
        <f t="shared" si="1"/>
        <v>0</v>
      </c>
      <c r="V44" s="128">
        <f>SUMIF($F$2:F44,F44,$U$2:U44)</f>
        <v>63451.607380680121</v>
      </c>
      <c r="W44" s="118">
        <f t="shared" si="18"/>
        <v>8.8935030438364135E-2</v>
      </c>
      <c r="X44" s="118" t="str">
        <f t="shared" si="3"/>
        <v/>
      </c>
      <c r="Y44" s="118">
        <f t="shared" si="4"/>
        <v>0.30285659986654656</v>
      </c>
      <c r="Z44" s="120">
        <f t="shared" si="19"/>
        <v>0</v>
      </c>
      <c r="AA44" s="127">
        <f>IFERROR(AVERAGEIF($F$2:F44,F44,$N$2:N44),"")</f>
        <v>70.399999999999991</v>
      </c>
      <c r="AB44" s="128"/>
      <c r="AC44" s="120">
        <f t="shared" si="15"/>
        <v>8.5195147184909956</v>
      </c>
      <c r="AD44" s="131">
        <f>AVERAGEIF($F$2:F44,F44,$AC$2:AC44)</f>
        <v>7.6301078675539937</v>
      </c>
      <c r="AE44" s="118">
        <f t="shared" si="6"/>
        <v>0.96029999999999993</v>
      </c>
      <c r="AF44" s="118">
        <v>0.995</v>
      </c>
      <c r="AG44" s="118"/>
      <c r="AH44" s="118">
        <v>0.97</v>
      </c>
      <c r="AI44" s="118">
        <v>0.99</v>
      </c>
      <c r="AJ44" s="118">
        <v>0.95</v>
      </c>
      <c r="AK44" s="118">
        <v>0.05</v>
      </c>
      <c r="AL44" s="118">
        <v>0.05</v>
      </c>
    </row>
    <row r="45" spans="1:38">
      <c r="A45" s="123">
        <f t="shared" si="7"/>
        <v>44</v>
      </c>
      <c r="B45" s="114" t="str">
        <f t="shared" si="11"/>
        <v>November</v>
      </c>
      <c r="C45" s="123">
        <f t="shared" si="10"/>
        <v>2</v>
      </c>
      <c r="D45" s="114">
        <v>45962</v>
      </c>
      <c r="E45" s="117">
        <f t="shared" si="16"/>
        <v>2025</v>
      </c>
      <c r="F45" s="117" t="s">
        <v>788</v>
      </c>
      <c r="G45" s="123">
        <f t="shared" si="17"/>
        <v>30</v>
      </c>
      <c r="H45" s="127"/>
      <c r="I45" s="127"/>
      <c r="J45" s="125">
        <f t="shared" si="12"/>
        <v>4.4633333333333338</v>
      </c>
      <c r="K45" s="127"/>
      <c r="L45" s="123"/>
      <c r="M45" s="128">
        <v>7203.0753420295587</v>
      </c>
      <c r="N45" s="128">
        <v>70.400000000000006</v>
      </c>
      <c r="O45" s="118"/>
      <c r="P45" s="120"/>
      <c r="Q45" s="123">
        <f>COUNTIFS('Daily KPI'!$D:$D,D45,'Daily KPI'!$M:$M,"&gt;0")</f>
        <v>0</v>
      </c>
      <c r="R45" s="128"/>
      <c r="S45" s="128"/>
      <c r="T45" s="120">
        <f t="shared" si="0"/>
        <v>240.10251140098529</v>
      </c>
      <c r="U45" s="128">
        <f t="shared" si="1"/>
        <v>0</v>
      </c>
      <c r="V45" s="128">
        <f>SUMIF($F$2:F45,F45,$U$2:U45)</f>
        <v>63451.607380680121</v>
      </c>
      <c r="W45" s="118">
        <f t="shared" si="18"/>
        <v>0.14210612653940891</v>
      </c>
      <c r="X45" s="118" t="str">
        <f t="shared" si="3"/>
        <v/>
      </c>
      <c r="Y45" s="118">
        <f t="shared" si="4"/>
        <v>0.30285659986654656</v>
      </c>
      <c r="Z45" s="120">
        <f t="shared" si="19"/>
        <v>0</v>
      </c>
      <c r="AA45" s="127">
        <f>IFERROR(AVERAGEIF($F$2:F45,F45,$N$2:N45),"")</f>
        <v>70.399999999999991</v>
      </c>
      <c r="AB45" s="128"/>
      <c r="AC45" s="120">
        <f t="shared" si="15"/>
        <v>7.2366664761360369</v>
      </c>
      <c r="AD45" s="131">
        <f>AVERAGEIF($F$2:F45,F45,$AC$2:AC45)</f>
        <v>7.5809276936267489</v>
      </c>
      <c r="AE45" s="118">
        <f t="shared" si="6"/>
        <v>0.96029999999999993</v>
      </c>
      <c r="AF45" s="118">
        <v>0.995</v>
      </c>
      <c r="AG45" s="118"/>
      <c r="AH45" s="118">
        <v>0.97</v>
      </c>
      <c r="AI45" s="118">
        <v>0.99</v>
      </c>
      <c r="AJ45" s="118">
        <v>0.95</v>
      </c>
      <c r="AK45" s="118">
        <v>0.05</v>
      </c>
      <c r="AL45" s="118">
        <v>0.05</v>
      </c>
    </row>
    <row r="46" spans="1:38">
      <c r="A46" s="123">
        <f t="shared" si="7"/>
        <v>45</v>
      </c>
      <c r="B46" s="114" t="str">
        <f t="shared" si="11"/>
        <v>December</v>
      </c>
      <c r="C46" s="123">
        <f t="shared" si="10"/>
        <v>4</v>
      </c>
      <c r="D46" s="114">
        <v>45992</v>
      </c>
      <c r="E46" s="117">
        <f t="shared" si="16"/>
        <v>2025</v>
      </c>
      <c r="F46" s="117" t="s">
        <v>788</v>
      </c>
      <c r="G46" s="123">
        <f t="shared" si="17"/>
        <v>31</v>
      </c>
      <c r="H46" s="127"/>
      <c r="I46" s="127"/>
      <c r="J46" s="125">
        <f t="shared" si="12"/>
        <v>4.79</v>
      </c>
      <c r="K46" s="127"/>
      <c r="L46" s="123"/>
      <c r="M46" s="128">
        <v>7252.032844518877</v>
      </c>
      <c r="N46" s="128">
        <v>70.400000000000006</v>
      </c>
      <c r="O46" s="118"/>
      <c r="P46" s="120"/>
      <c r="Q46" s="123">
        <f>COUNTIFS('Daily KPI'!$D:$D,D46,'Daily KPI'!$M:$M,"&gt;0")</f>
        <v>0</v>
      </c>
      <c r="R46" s="128"/>
      <c r="S46" s="128"/>
      <c r="T46" s="120">
        <f t="shared" si="0"/>
        <v>233.93654337157668</v>
      </c>
      <c r="U46" s="128">
        <f t="shared" si="1"/>
        <v>0</v>
      </c>
      <c r="V46" s="128">
        <f>SUMIF($F$2:F46,F46,$U$2:U46)</f>
        <v>63451.607380680121</v>
      </c>
      <c r="W46" s="118">
        <f t="shared" si="18"/>
        <v>0.13845676099170021</v>
      </c>
      <c r="X46" s="118" t="str">
        <f t="shared" si="3"/>
        <v/>
      </c>
      <c r="Y46" s="118">
        <f t="shared" si="4"/>
        <v>0.30285659986654656</v>
      </c>
      <c r="Z46" s="120">
        <f t="shared" si="19"/>
        <v>0</v>
      </c>
      <c r="AA46" s="127">
        <f>IFERROR(AVERAGEIF($F$2:F46,F46,$N$2:N46),"")</f>
        <v>70.399999999999991</v>
      </c>
      <c r="AB46" s="128"/>
      <c r="AC46" s="120">
        <f t="shared" si="15"/>
        <v>6.0015501571877659</v>
      </c>
      <c r="AD46" s="131">
        <f>AVERAGEIF($F$2:F46,F46,$AC$2:AC46)</f>
        <v>7.4054413006890849</v>
      </c>
      <c r="AE46" s="118">
        <f t="shared" si="6"/>
        <v>0.96029999999999993</v>
      </c>
      <c r="AF46" s="118">
        <v>0.995</v>
      </c>
      <c r="AG46" s="118"/>
      <c r="AH46" s="118">
        <v>0.97</v>
      </c>
      <c r="AI46" s="118">
        <v>0.99</v>
      </c>
      <c r="AJ46" s="118">
        <v>0.95</v>
      </c>
      <c r="AK46" s="118">
        <v>0.05</v>
      </c>
      <c r="AL46" s="118">
        <v>0.05</v>
      </c>
    </row>
    <row r="47" spans="1:38">
      <c r="A47" s="123">
        <f t="shared" si="7"/>
        <v>46</v>
      </c>
      <c r="B47" s="114" t="str">
        <f t="shared" si="11"/>
        <v>January</v>
      </c>
      <c r="C47" s="123">
        <f t="shared" si="10"/>
        <v>5</v>
      </c>
      <c r="D47" s="114">
        <v>46023</v>
      </c>
      <c r="E47" s="117">
        <f t="shared" si="16"/>
        <v>2026</v>
      </c>
      <c r="F47" s="117" t="s">
        <v>788</v>
      </c>
      <c r="G47" s="123">
        <f t="shared" si="17"/>
        <v>31</v>
      </c>
      <c r="H47" s="127"/>
      <c r="I47" s="127"/>
      <c r="J47" s="125">
        <f t="shared" si="12"/>
        <v>3.75</v>
      </c>
      <c r="K47" s="127"/>
      <c r="L47" s="123"/>
      <c r="M47" s="128">
        <v>3308.3228583635255</v>
      </c>
      <c r="N47" s="128">
        <v>70.400000000000006</v>
      </c>
      <c r="O47" s="118"/>
      <c r="P47" s="120"/>
      <c r="Q47" s="123">
        <f>COUNTIFS('Daily KPI'!$D:$D,D47,'Daily KPI'!$M:$M,"&gt;0")</f>
        <v>0</v>
      </c>
      <c r="R47" s="128"/>
      <c r="S47" s="128"/>
      <c r="T47" s="120">
        <f t="shared" si="0"/>
        <v>106.72009220527501</v>
      </c>
      <c r="U47" s="128">
        <f t="shared" si="1"/>
        <v>0</v>
      </c>
      <c r="V47" s="128">
        <f>SUMIF($F$2:F47,F47,$U$2:U47)</f>
        <v>63451.607380680121</v>
      </c>
      <c r="W47" s="118">
        <f t="shared" si="18"/>
        <v>6.3162933360129611E-2</v>
      </c>
      <c r="X47" s="118" t="str">
        <f t="shared" si="3"/>
        <v/>
      </c>
      <c r="Y47" s="118">
        <f t="shared" si="4"/>
        <v>0.30285659986654656</v>
      </c>
      <c r="Z47" s="120">
        <f t="shared" si="19"/>
        <v>0</v>
      </c>
      <c r="AA47" s="127">
        <f>IFERROR(AVERAGEIF($F$2:F47,F47,$N$2:N47),"")</f>
        <v>70.399999999999991</v>
      </c>
      <c r="AB47" s="128"/>
      <c r="AC47" s="120">
        <f t="shared" si="15"/>
        <v>6.7073912546441834</v>
      </c>
      <c r="AD47" s="131">
        <f>AVERAGEIF($F$2:F47,F47,$AC$2:AC47)</f>
        <v>7.3356362960845942</v>
      </c>
      <c r="AE47" s="118">
        <f t="shared" si="6"/>
        <v>0.96029999999999993</v>
      </c>
      <c r="AF47" s="118">
        <v>0.995</v>
      </c>
      <c r="AG47" s="118"/>
      <c r="AH47" s="118">
        <v>0.97</v>
      </c>
      <c r="AI47" s="118">
        <v>0.99</v>
      </c>
      <c r="AJ47" s="118">
        <v>0.95</v>
      </c>
      <c r="AK47" s="118">
        <v>0.05</v>
      </c>
      <c r="AL47" s="118">
        <v>0.05</v>
      </c>
    </row>
    <row r="48" spans="1:38">
      <c r="A48" s="123">
        <f t="shared" si="7"/>
        <v>47</v>
      </c>
      <c r="B48" s="114" t="str">
        <f t="shared" si="11"/>
        <v>February</v>
      </c>
      <c r="C48" s="123">
        <f t="shared" si="10"/>
        <v>6</v>
      </c>
      <c r="D48" s="114">
        <v>46054</v>
      </c>
      <c r="E48" s="117">
        <f t="shared" si="16"/>
        <v>2026</v>
      </c>
      <c r="F48" s="117" t="s">
        <v>788</v>
      </c>
      <c r="G48" s="123">
        <f t="shared" si="17"/>
        <v>28</v>
      </c>
      <c r="H48" s="127"/>
      <c r="I48" s="127"/>
      <c r="J48" s="125">
        <f t="shared" si="12"/>
        <v>3.9249999999999998</v>
      </c>
      <c r="K48" s="127"/>
      <c r="L48" s="123"/>
      <c r="M48" s="128">
        <v>3320.2001927539386</v>
      </c>
      <c r="N48" s="128">
        <v>70.400000000000006</v>
      </c>
      <c r="O48" s="118"/>
      <c r="P48" s="120"/>
      <c r="Q48" s="123">
        <f>COUNTIFS('Daily KPI'!$D:$D,D48,'Daily KPI'!$M:$M,"&gt;0")</f>
        <v>0</v>
      </c>
      <c r="R48" s="128"/>
      <c r="S48" s="128"/>
      <c r="T48" s="120">
        <f t="shared" si="0"/>
        <v>118.57857831264066</v>
      </c>
      <c r="U48" s="128">
        <f t="shared" si="1"/>
        <v>0</v>
      </c>
      <c r="V48" s="128">
        <f>SUMIF($F$2:F48,F48,$U$2:U48)</f>
        <v>63451.607380680121</v>
      </c>
      <c r="W48" s="118">
        <f t="shared" si="18"/>
        <v>7.0181450232386741E-2</v>
      </c>
      <c r="X48" s="118" t="str">
        <f t="shared" si="3"/>
        <v/>
      </c>
      <c r="Y48" s="118">
        <f t="shared" si="4"/>
        <v>0.30285659986654656</v>
      </c>
      <c r="Z48" s="120">
        <f t="shared" si="19"/>
        <v>0</v>
      </c>
      <c r="AA48" s="127">
        <f>IFERROR(AVERAGEIF($F$2:F48,F48,$N$2:N48),"")</f>
        <v>70.399999999999991</v>
      </c>
      <c r="AB48" s="128"/>
      <c r="AC48" s="120">
        <f t="shared" si="15"/>
        <v>7.0533420977422105</v>
      </c>
      <c r="AD48" s="131">
        <f>AVERAGEIF($F$2:F49,F48,$AC$2:AC49)</f>
        <v>7.3184021148899676</v>
      </c>
      <c r="AE48" s="118">
        <f t="shared" si="6"/>
        <v>0.96029999999999993</v>
      </c>
      <c r="AF48" s="118">
        <v>0.995</v>
      </c>
      <c r="AG48" s="118"/>
      <c r="AH48" s="118">
        <v>0.97</v>
      </c>
      <c r="AI48" s="118">
        <v>0.99</v>
      </c>
      <c r="AJ48" s="118">
        <v>0.95</v>
      </c>
      <c r="AK48" s="118">
        <v>0.05</v>
      </c>
      <c r="AL48" s="118">
        <v>0.05</v>
      </c>
    </row>
    <row r="49" spans="1:38">
      <c r="A49" s="123">
        <f t="shared" si="7"/>
        <v>48</v>
      </c>
      <c r="B49" s="114" t="str">
        <f t="shared" si="11"/>
        <v>March</v>
      </c>
      <c r="C49" s="123">
        <f t="shared" si="10"/>
        <v>7</v>
      </c>
      <c r="D49" s="114">
        <v>46082</v>
      </c>
      <c r="E49" s="117">
        <f t="shared" si="16"/>
        <v>2026</v>
      </c>
      <c r="F49" s="117" t="s">
        <v>788</v>
      </c>
      <c r="G49" s="123">
        <f t="shared" si="17"/>
        <v>31</v>
      </c>
      <c r="H49" s="127"/>
      <c r="I49" s="127"/>
      <c r="J49" s="125">
        <f t="shared" si="12"/>
        <v>4.5649999999999995</v>
      </c>
      <c r="K49" s="127"/>
      <c r="L49" s="123"/>
      <c r="M49" s="128">
        <v>5498.0142061122951</v>
      </c>
      <c r="N49" s="128">
        <v>70.400000000000006</v>
      </c>
      <c r="O49" s="118"/>
      <c r="P49" s="120"/>
      <c r="Q49" s="123">
        <f>COUNTIFS('Daily KPI'!$D:$D,D49,'Daily KPI'!$M:$M,"&gt;0")</f>
        <v>0</v>
      </c>
      <c r="R49" s="128"/>
      <c r="S49" s="128"/>
      <c r="T49" s="120">
        <f t="shared" si="0"/>
        <v>177.35529697136437</v>
      </c>
      <c r="U49" s="128">
        <f t="shared" si="1"/>
        <v>0</v>
      </c>
      <c r="V49" s="128">
        <f>SUMIF($F$2:F49,F49,$U$2:U49)</f>
        <v>63451.607380680121</v>
      </c>
      <c r="W49" s="118">
        <f>IFERROR(T49/(24*N49),"")</f>
        <v>0.1049688073930897</v>
      </c>
      <c r="X49" s="118" t="str">
        <f t="shared" si="3"/>
        <v/>
      </c>
      <c r="Y49" s="118">
        <f t="shared" si="4"/>
        <v>0.30285659986654656</v>
      </c>
      <c r="Z49" s="120">
        <f>IFERROR(N49/G49*Q49,"")</f>
        <v>0</v>
      </c>
      <c r="AA49" s="127">
        <f>IFERROR(AVERAGEIF($F$2:F49,F49,$N$2:N49),"")</f>
        <v>70.399999999999991</v>
      </c>
      <c r="AB49" s="128"/>
      <c r="AC49" s="120">
        <f t="shared" si="15"/>
        <v>7.411120320091455</v>
      </c>
      <c r="AD49" s="131">
        <f>AVERAGEIF($F$2:F49,F49,$AC$2:AC49)</f>
        <v>7.3184021148899676</v>
      </c>
      <c r="AE49" s="118">
        <f t="shared" si="6"/>
        <v>0.96029999999999993</v>
      </c>
      <c r="AF49" s="118">
        <v>0.995</v>
      </c>
      <c r="AG49" s="118"/>
      <c r="AH49" s="118">
        <v>0.97</v>
      </c>
      <c r="AI49" s="118">
        <v>0.99</v>
      </c>
      <c r="AJ49" s="118">
        <v>0.95</v>
      </c>
      <c r="AK49" s="118">
        <v>0.05</v>
      </c>
      <c r="AL49" s="118">
        <v>0.05</v>
      </c>
    </row>
  </sheetData>
  <phoneticPr fontId="9" type="noConversion"/>
  <pageMargins left="0.7" right="0.7" top="0.75" bottom="0.75" header="0.3" footer="0.3"/>
  <ignoredErrors>
    <ignoredError sqref="AA3:AA38" formulaRange="1"/>
  </ignoredErrors>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2BB3DC3D7EEBD4E965C95B4B8FA3504" ma:contentTypeVersion="6" ma:contentTypeDescription="Create a new document." ma:contentTypeScope="" ma:versionID="8aa82a68bd214f7d3d0f7f88fc697f2b">
  <xsd:schema xmlns:xsd="http://www.w3.org/2001/XMLSchema" xmlns:xs="http://www.w3.org/2001/XMLSchema" xmlns:p="http://schemas.microsoft.com/office/2006/metadata/properties" xmlns:ns2="fc7a6a76-1c0e-42c8-b8bb-e7dae130d739" xmlns:ns3="d16c97b0-8c68-4a48-9e8f-dd7460dbc509" targetNamespace="http://schemas.microsoft.com/office/2006/metadata/properties" ma:root="true" ma:fieldsID="c7b3109e5368c8001190694a4a849b63" ns2:_="" ns3:_="">
    <xsd:import namespace="fc7a6a76-1c0e-42c8-b8bb-e7dae130d739"/>
    <xsd:import namespace="d16c97b0-8c68-4a48-9e8f-dd7460dbc50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7a6a76-1c0e-42c8-b8bb-e7dae130d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6c97b0-8c68-4a48-9e8f-dd7460dbc50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0AEE22-45FE-4F03-81D3-47782115A905}">
  <ds:schemaRefs>
    <ds:schemaRef ds:uri="http://purl.org/dc/elements/1.1/"/>
    <ds:schemaRef ds:uri="http://schemas.microsoft.com/office/2006/metadata/properties"/>
    <ds:schemaRef ds:uri="http://schemas.microsoft.com/office/infopath/2007/PartnerControls"/>
    <ds:schemaRef ds:uri="http://www.w3.org/XML/1998/namespace"/>
    <ds:schemaRef ds:uri="http://purl.org/dc/terms/"/>
    <ds:schemaRef ds:uri="http://schemas.microsoft.com/office/2006/documentManagement/types"/>
    <ds:schemaRef ds:uri="d16c97b0-8c68-4a48-9e8f-dd7460dbc509"/>
    <ds:schemaRef ds:uri="http://schemas.openxmlformats.org/package/2006/metadata/core-properties"/>
    <ds:schemaRef ds:uri="fc7a6a76-1c0e-42c8-b8bb-e7dae130d739"/>
    <ds:schemaRef ds:uri="http://purl.org/dc/dcmitype/"/>
  </ds:schemaRefs>
</ds:datastoreItem>
</file>

<file path=customXml/itemProps2.xml><?xml version="1.0" encoding="utf-8"?>
<ds:datastoreItem xmlns:ds="http://schemas.openxmlformats.org/officeDocument/2006/customXml" ds:itemID="{79605C45-923F-4866-AF31-FBC254D9D7F0}">
  <ds:schemaRefs>
    <ds:schemaRef ds:uri="http://schemas.microsoft.com/sharepoint/v3/contenttype/forms"/>
  </ds:schemaRefs>
</ds:datastoreItem>
</file>

<file path=customXml/itemProps3.xml><?xml version="1.0" encoding="utf-8"?>
<ds:datastoreItem xmlns:ds="http://schemas.openxmlformats.org/officeDocument/2006/customXml" ds:itemID="{212374D7-82EC-4EE9-8ACB-38079BC340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7a6a76-1c0e-42c8-b8bb-e7dae130d739"/>
    <ds:schemaRef ds:uri="d16c97b0-8c68-4a48-9e8f-dd7460dbc5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O2Summary</vt:lpstr>
      <vt:lpstr>MonthlyKPI</vt:lpstr>
      <vt:lpstr>AnnualKPI</vt:lpstr>
      <vt:lpstr>Analytics</vt:lpstr>
      <vt:lpstr>Daily KPI</vt:lpstr>
      <vt:lpstr>Input_Raw</vt:lpstr>
      <vt:lpstr>Sheet1</vt:lpstr>
      <vt:lpstr>WTG_BD</vt:lpstr>
      <vt:lpstr>IGA_BD</vt:lpstr>
      <vt:lpstr>Grid_BD</vt:lpstr>
      <vt:lpstr>PM</vt:lpstr>
      <vt:lpstr>Basic Data</vt:lpstr>
      <vt:lpstr>WTG Reactive Power</vt:lpstr>
      <vt:lpstr>Modelling New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Kalpesh Umaretia</dc:creator>
  <cp:keywords/>
  <dc:description/>
  <cp:lastModifiedBy>Mauli Mane</cp:lastModifiedBy>
  <cp:revision/>
  <dcterms:created xsi:type="dcterms:W3CDTF">2015-06-05T18:17:20Z</dcterms:created>
  <dcterms:modified xsi:type="dcterms:W3CDTF">2025-08-02T19:41:20Z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0x01010052BB3DC3D7EEBD4E965C95B4B8FA3504</vt:lpwstr>
  </property>
  <property fmtid="{D5CDD505-2E9C-101B-9397-08002B2CF9AE}" pid="3" name="MediaServiceImageTags">
    <vt:lpwstr/>
  </property>
</Properties>
</file>