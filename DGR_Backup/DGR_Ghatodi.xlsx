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25E80E18-81BD-41DF-AD4C-00100A28F7E6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95" i="27" l="1"/>
  <c r="AJ195" i="27" s="1"/>
  <c r="V114" i="27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<sst xmlns="http://schemas.openxmlformats.org/spreadsheetml/2006/main" count="6470" uniqueCount="785">
  <si>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</si>
  <si>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</si>
  <si>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</si>
  <si>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</si>
  <si>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</si>
  <si>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</si>
  <si>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</si>
  <si>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</si>
  <si>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</si>
  <si>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</si>
  <si>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</si>
  <si>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</si>
  <si>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</si>
  <si>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</si>
  <si>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</si>
  <si>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</si>
  <si>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</si>
  <si>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</si>
  <si>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</si>
  <si>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</si>
  <si>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</si>
  <si>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</si>
  <si>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</si>
  <si>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</si>
  <si>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</si>
  <si>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</si>
  <si>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</si>
  <si>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</si>
  <si>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</si>
  <si>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</si>
  <si>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</si>
  <si>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</si>
  <si>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</si>
  <si>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</si>
  <si>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</si>
  <si>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</si>
  <si>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</si>
  <si>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</si>
  <si>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</si>
  <si>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</si>
  <si>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</si>
  <si>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</si>
  <si>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</si>
  <si>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</si>
  <si>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</si>
  <si>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</si>
  <si>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</si>
  <si>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</si>
  <si>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</si>
  <si>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</si>
  <si>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</si>
  <si>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</si>
  <si>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</si>
  <si>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</si>
  <si>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</si>
  <si>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</si>
  <si>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</si>
  <si>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</si>
  <si>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</si>
  <si>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</si>
  <si>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</si>
  <si>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</si>
  <si>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</si>
  <si>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</si>
  <si>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</si>
  <si>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</si>
  <si>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</si>
  <si>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</si>
  <si>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</si>
  <si>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</si>
  <si>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</si>
  <si>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</si>
  <si>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</si>
  <si>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</si>
  <si>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</si>
  <si>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</si>
  <si>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</si>
  <si>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</si>
  <si>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</si>
  <si>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</si>
  <si>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</si>
  <si>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</si>
  <si>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</si>
  <si>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</si>
  <si>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</si>
  <si>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</si>
  <si>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</si>
  <si>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</si>
  <si>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</si>
  <si>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</si>
  <si>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</si>
  <si>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</si>
  <si>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</si>
  <si>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</si>
  <si>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</si>
  <si>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</si>
  <si>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</si>
  <si>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</si>
  <si>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</si>
  <si>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</si>
  <si>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</si>
  <si>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</si>
  <si>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</si>
  <si>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</si>
  <si>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</si>
  <si>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</si>
  <si>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</si>
  <si>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</si>
  <si>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</si>
  <si>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</si>
  <si>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</si>
  <si>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</si>
  <si>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</si>
  <si>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</si>
  <si>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</si>
  <si>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</si>
  <si>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</si>
  <si>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</si>
  <si>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</si>
  <si>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</si>
  <si>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</si>
  <si>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</si>
  <si>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</si>
  <si>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</si>
  <si>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</si>
  <si>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</si>
  <si>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</si>
  <si>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</si>
  <si>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</si>
  <si>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</si>
  <si>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</si>
  <si>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</si>
  <si>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</si>
  <si>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</si>
  <si>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</si>
  <si>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</si>
  <si>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</si>
  <si>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</si>
  <si>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</si>
  <si>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</si>
  <si>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</si>
  <si>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</si>
  <si>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</si>
  <si>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</si>
  <si>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</si>
  <si>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</si>
  <si>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</si>
  <si>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</si>
  <si>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</si>
  <si>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</si>
  <si>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</si>
  <si>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</si>
  <si>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</si>
  <si>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</si>
  <si>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</si>
  <si>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</si>
  <si>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</si>
  <si>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</si>
  <si>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</si>
  <si>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</si>
  <si>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</si>
  <si>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</si>
  <si>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</si>
  <si>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</si>
  <si>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</si>
  <si>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</si>
  <si>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</si>
  <si>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</si>
  <si>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</si>
  <si>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</si>
  <si>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</si>
  <si>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</si>
  <si>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</si>
  <si>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</si>
  <si>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</si>
  <si>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</si>
  <si>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</si>
  <si>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</si>
  <si>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</si>
  <si>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</si>
  <si>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</si>
  <si>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</si>
  <si>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</si>
  <si>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</si>
  <si>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</si>
  <si>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</si>
  <si>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</si>
  <si>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</si>
  <si>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</si>
  <si>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</si>
  <si>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</si>
  <si>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</si>
  <si>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</si>
  <si>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</si>
  <si>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</si>
  <si>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</si>
  <si>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</si>
  <si>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</si>
  <si>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</si>
  <si>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</si>
  <si>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</si>
  <si>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</si>
  <si>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</si>
  <si>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</si>
  <si>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</si>
  <si>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</si>
  <si>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</si>
  <si>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</si>
  <si>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</si>
  <si>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</si>
  <si>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</si>
  <si>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</si>
  <si>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</si>
  <si>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</si>
  <si>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</si>
  <si>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</si>
  <si>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</si>
  <si>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</si>
  <si>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</si>
  <si>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</si>
  <si>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</si>
  <si>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</si>
  <si>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</si>
  <si>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</si>
  <si>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</si>
  <si>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</si>
  <si>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</si>
  <si>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</si>
  <si>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</si>
  <si>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</si>
  <si>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</si>
  <si>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</si>
  <si>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</si>
  <si>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</si>
  <si>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</si>
  <si>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</si>
  <si>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</si>
  <si>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</si>
  <si>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</si>
  <si>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</si>
  <si>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</si>
  <si>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</si>
  <si>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</si>
  <si>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</si>
  <si>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</si>
  <si>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</si>
  <si>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</si>
  <si>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</si>
  <si>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</si>
  <si>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</si>
  <si>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</si>
  <si>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</si>
  <si>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</si>
  <si>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</si>
  <si>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</si>
  <si>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</si>
  <si>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</si>
  <si>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</si>
  <si>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</si>
  <si>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</si>
  <si>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</si>
  <si>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</si>
  <si>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</si>
  <si>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</si>
  <si>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</si>
  <si>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</si>
  <si>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</si>
  <si>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</si>
  <si>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</si>
  <si>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</si>
  <si>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</si>
  <si>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</si>
  <si>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</si>
  <si>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</si>
  <si>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</si>
  <si>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</si>
  <si>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</si>
  <si>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</si>
  <si>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</si>
  <si>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</si>
  <si>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</si>
  <si>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</si>
  <si>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</si>
  <si>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</si>
  <si>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</si>
  <si>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</si>
  <si>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</si>
  <si>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</si>
  <si>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</si>
  <si>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</si>
  <si>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</si>
  <si>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</si>
  <si>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</si>
  <si>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</si>
  <si>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</si>
  <si>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</si>
  <si>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</si>
  <si>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</si>
  <si>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</si>
  <si>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</si>
  <si>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</si>
  <si>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</si>
  <si>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</si>
  <si>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</si>
  <si>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</si>
  <si>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</si>
  <si>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</si>
  <si>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</si>
  <si>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</si>
  <si>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</si>
  <si>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</si>
  <si>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</si>
  <si>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</si>
  <si>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</si>
  <si>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</si>
  <si>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</si>
  <si>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</si>
  <si>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</si>
  <si>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</si>
  <si>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</si>
  <si>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</si>
  <si>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</si>
  <si>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</si>
  <si>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</si>
  <si>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</si>
  <si>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</si>
  <si>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</si>
  <si>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</si>
  <si>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</si>
  <si>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</si>
  <si>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</si>
  <si>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</si>
  <si>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</si>
  <si>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</si>
  <si>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</si>
  <si>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</si>
  <si>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</si>
  <si>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</si>
  <si>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</si>
  <si>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</si>
  <si>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</si>
  <si>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</si>
  <si>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</si>
  <si>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</si>
  <si>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</si>
  <si>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</si>
  <si>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</si>
  <si>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</si>
  <si>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</si>
  <si>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</si>
  <si>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</si>
  <si>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</si>
  <si>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</si>
  <si>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</si>
  <si>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</si>
  <si>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</si>
  <si>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</si>
  <si>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</si>
  <si>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</si>
  <si>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</si>
  <si>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</si>
  <si>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</si>
  <si>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</si>
  <si>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</si>
  <si>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</si>
  <si>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</si>
  <si>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</si>
  <si>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</si>
  <si>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</si>
  <si>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</si>
  <si>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</si>
  <si>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</si>
  <si>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</si>
  <si>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</si>
  <si>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</si>
  <si>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</si>
  <si>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</si>
  <si>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</si>
  <si>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</si>
  <si>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</si>
  <si>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</si>
  <si>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</si>
  <si>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</si>
  <si>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</si>
  <si>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</si>
  <si>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</si>
  <si>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</si>
  <si>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</si>
  <si>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</si>
  <si>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</si>
  <si>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</si>
  <si>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</si>
  <si>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</si>
  <si>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</si>
  <si>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</si>
  <si>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</si>
  <si>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</si>
  <si>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</si>
  <si>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</si>
  <si>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</si>
  <si>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</si>
  <si>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</si>
  <si>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</si>
  <si>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</si>
  <si>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</si>
  <si>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</si>
  <si>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</si>
  <si>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</si>
  <si>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</si>
  <si>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</si>
  <si>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</si>
  <si>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</si>
  <si>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</si>
  <si>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</si>
  <si>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</si>
  <si>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</si>
  <si>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</si>
  <si>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</si>
  <si>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</si>
  <si>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</si>
  <si>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</si>
  <si>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</si>
  <si>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</si>
  <si>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</si>
  <si>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</si>
  <si>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</si>
  <si>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</si>
  <si>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</si>
  <si>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</si>
  <si>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</si>
  <si>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</si>
  <si>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</si>
  <si>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</si>
  <si>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</si>
  <si>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</si>
  <si>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</si>
  <si>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</si>
  <si>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</si>
  <si>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</si>
  <si>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</si>
  <si>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</si>
  <si>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</si>
  <si>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</si>
  <si>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</si>
  <si>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</si>
  <si>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</si>
  <si>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</si>
  <si>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</si>
  <si>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</si>
  <si>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</si>
  <si>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</si>
  <si>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</si>
  <si>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</si>
  <si>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</si>
  <si>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</si>
  <si>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</si>
  <si>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</si>
  <si>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</si>
  <si>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</si>
  <si>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</si>
  <si>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</si>
  <si>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</si>
  <si>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</si>
  <si>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</si>
  <si>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</si>
  <si>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</si>
  <si>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</si>
  <si>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</si>
  <si>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</si>
  <si>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</si>
  <si>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</si>
  <si>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</si>
  <si>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</si>
  <si>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</si>
  <si>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</si>
  <si>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</si>
  <si>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</si>
  <si>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</si>
  <si>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</si>
  <si>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</si>
  <si>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</si>
  <si>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</si>
  <si>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</si>
  <si>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</si>
  <si>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</si>
  <si>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</si>
  <si>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</si>
  <si>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</si>
  <si>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</si>
  <si>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</si>
  <si>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</si>
  <si>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</si>
  <si>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</si>
  <si>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</si>
  <si>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</si>
  <si>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</si>
  <si>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</si>
  <si>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</si>
  <si>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</si>
  <si>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</si>
  <si>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</si>
  <si>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</si>
  <si>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</si>
  <si>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</si>
  <si>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</si>
  <si>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</si>
  <si>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</si>
  <si>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</si>
  <si>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</si>
  <si>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</si>
  <si>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</si>
  <si>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</si>
  <si>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</si>
  <si>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</si>
  <si>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</si>
  <si>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</si>
  <si>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</si>
  <si>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</si>
  <si>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</si>
  <si>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</si>
  <si>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</si>
  <si>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</si>
  <si>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</si>
  <si>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</si>
  <si>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</si>
  <si>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</si>
  <si>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</si>
  <si>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</si>
  <si>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</si>
  <si>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</si>
  <si>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</si>
  <si>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</si>
  <si>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</si>
  <si>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</si>
  <si>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</si>
  <si>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</si>
  <si>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</si>
  <si>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</si>
  <si>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</si>
  <si>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</si>
  <si>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</si>
  <si>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</si>
  <si>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</si>
  <si>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</si>
  <si>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</si>
  <si>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</si>
  <si>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</si>
  <si>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</si>
  <si>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</si>
  <si>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</si>
  <si>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</si>
  <si>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</si>
  <si>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</si>
  <si>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</si>
  <si>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</si>
  <si>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</si>
  <si>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</si>
  <si>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</si>
  <si>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</si>
  <si>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</si>
  <si>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</si>
  <si>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</si>
  <si>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</si>
  <si>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</si>
  <si>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</si>
  <si>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</si>
  <si>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</si>
  <si>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</si>
  <si>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</si>
  <si>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</si>
  <si>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</si>
  <si>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</si>
  <si>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</si>
  <si>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</si>
  <si>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</si>
  <si>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</si>
  <si>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</si>
  <si>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</si>
  <si>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</si>
  <si>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</si>
  <si>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</si>
  <si>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</si>
  <si>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</si>
  <si>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</si>
  <si>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</si>
  <si>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</si>
  <si>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</si>
  <si>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</si>
  <si>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</si>
  <si>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</si>
  <si>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</si>
  <si>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</si>
  <si>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</si>
  <si>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</si>
  <si>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</si>
  <si>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</si>
  <si>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</si>
  <si>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</si>
  <si>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</si>
  <si>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</si>
  <si>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</si>
  <si>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</si>
  <si>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</si>
  <si>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</si>
  <si>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</si>
  <si>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</si>
  <si>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</si>
  <si>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</si>
  <si>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</si>
  <si>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</si>
  <si>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</si>
  <si>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</si>
  <si>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</si>
  <si>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</si>
  <si>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</si>
  <si>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</si>
  <si>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</si>
  <si>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</si>
  <si>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</si>
  <si>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</si>
  <si>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</si>
  <si>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</si>
  <si>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</si>
  <si>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</si>
  <si>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</si>
  <si>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</si>
  <si>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</si>
  <si>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</si>
  <si>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</si>
  <si>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</si>
  <si>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</si>
  <si>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</si>
  <si>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</si>
  <si>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</si>
  <si>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</si>
  <si>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</si>
  <si>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</si>
  <si>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</si>
  <si>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</si>
  <si>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</si>
  <si>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</si>
  <si>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</si>
  <si>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</si>
  <si>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</si>
  <si>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</si>
  <si>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</si>
  <si>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</si>
  <si>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</si>
  <si>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</si>
  <si>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</si>
  <si>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</si>
  <si>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</si>
  <si>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</si>
  <si>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</si>
  <si>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</si>
  <si>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</si>
  <si>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</si>
  <si>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</si>
  <si>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</si>
  <si>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</si>
  <si>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</si>
  <si>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</si>
  <si>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</si>
  <si>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</si>
  <si>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</si>
  <si>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</si>
  <si>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</si>
  <si>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</si>
  <si>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</si>
  <si>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</si>
  <si>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</si>
  <si>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</si>
  <si>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</si>
  <si>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</si>
  <si>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</si>
  <si>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</si>
  <si>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</si>
  <si>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</si>
  <si>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</si>
  <si>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</si>
  <si>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</si>
  <si>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</si>
  <si>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</si>
  <si>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</si>
  <si>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</si>
  <si>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</si>
  <si>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</si>
  <si>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</si>
  <si>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</si>
  <si>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</si>
  <si>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</si>
  <si>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</si>
  <si>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</si>
  <si>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</si>
  <si>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</si>
  <si>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</si>
  <si>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</si>
  <si>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</si>
  <si>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</si>
  <si>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</si>
  <si>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</si>
  <si>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</si>
  <si>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</si>
  <si>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</si>
  <si>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</si>
  <si>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</si>
  <si>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</si>
  <si>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</si>
  <si>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</si>
  <si>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</si>
  <si>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</si>
  <si>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</si>
  <si>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</si>
  <si>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</si>
  <si>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</si>
  <si>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</si>
  <si>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</si>
  <si>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</si>
  <si>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</si>
  <si>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</si>
  <si>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</si>
  <si>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</si>
  <si>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</si>
  <si>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</si>
  <si>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</si>
  <si>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</si>
  <si>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</si>
  <si>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</si>
  <si>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</si>
  <si>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</si>
  <si>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</si>
  <si>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</si>
  <si>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</si>
  <si>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</si>
  <si>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</si>
  <si>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</si>
  <si>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</si>
  <si>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</si>
  <si>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</si>
  <si>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</si>
  <si>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</si>
  <si>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</si>
  <si>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</si>
  <si>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</si>
  <si>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</si>
  <si>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</si>
  <si>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</si>
  <si>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</si>
  <si>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</si>
  <si>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</si>
  <si>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</si>
  <si>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</si>
  <si>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</si>
  <si>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</si>
  <si>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</si>
  <si>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</si>
  <si>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</si>
  <si>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</si>
  <si>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</si>
  <si>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</si>
  <si>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</si>
  <si>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</si>
  <si>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</si>
  <si>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</si>
  <si>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</si>
  <si>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</si>
  <si>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</si>
  <si>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</si>
  <si>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</si>
  <si>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</si>
  <si>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</si>
  <si>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</si>
  <si>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</si>
  <si>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</si>
  <si>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</si>
  <si>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</si>
  <si>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</si>
  <si>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</si>
  <si>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</si>
  <si>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</si>
  <si>
    <t>Grid Failure from 220 kv Grid side</t>
  </si>
  <si>
    <t>Charged the line &amp; plant Restored</t>
  </si>
  <si>
    <t>JOB_862</t>
  </si>
  <si>
    <t>PTW_5408</t>
  </si>
  <si>
    <t>JOB_909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</si>
</sst>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L7" sqref="L7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45869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146</v>
      </c>
      <c r="E11" s="106">
        <f>D11/C11-1</f>
        <v>-0.14772874056203411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5310.5158127527266</v>
      </c>
      <c r="D12" s="109">
        <f>MonthlyKPI!F4</f>
        <v>3445.1763991391276</v>
      </c>
      <c r="E12" s="110">
        <f>D12/C12-1</f>
        <v>-0.35125390440117965</v>
      </c>
      <c r="F12" s="331"/>
    </row>
    <row r="13" spans="1:9" ht="15" thickBot="1">
      <c r="A13" s="381"/>
      <c r="B13" s="112" t="s">
        <v>17</v>
      </c>
      <c r="C13" s="113">
        <f>AnnualKPI!E4</f>
        <v>21577.529487396518</v>
      </c>
      <c r="D13" s="114">
        <f>AnnualKPI!F4</f>
        <v>18017</v>
      </c>
      <c r="E13" s="115">
        <f>D13/C13-1</f>
        <v>-0.16501098930145042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5.508</v>
      </c>
      <c r="E14" s="106">
        <f t="shared" ref="E14:E25" si="0">(D14-C14)/(C14)</f>
        <v>0.44579170194750217</v>
      </c>
      <c r="F14" s="330"/>
    </row>
    <row r="15" spans="1:9">
      <c r="A15" s="380"/>
      <c r="B15" s="107" t="s">
        <v>19</v>
      </c>
      <c r="C15" s="281">
        <f>MonthlyKPI!C4</f>
        <v>118.1</v>
      </c>
      <c r="D15" s="282">
        <f>MonthlyKPI!D4</f>
        <v>101.56589999999998</v>
      </c>
      <c r="E15" s="110">
        <f t="shared" si="0"/>
        <v>-0.14000084674005089</v>
      </c>
      <c r="F15" s="331"/>
    </row>
    <row r="16" spans="1:9" ht="15" thickBot="1">
      <c r="A16" s="381"/>
      <c r="B16" s="112" t="s">
        <v>20</v>
      </c>
      <c r="C16" s="283">
        <f>AnnualKPI!C4</f>
        <v>655.20803409999996</v>
      </c>
      <c r="D16" s="284">
        <f>AnnualKPI!D4</f>
        <v>589.9135982366663</v>
      </c>
      <c r="E16" s="115">
        <f t="shared" si="0"/>
        <v>-9.9654510422819712E-2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0.66696775295006738</v>
      </c>
      <c r="E17" s="106">
        <f t="shared" si="0"/>
        <v>-0.19353161732533083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0.86510077265243235</v>
      </c>
      <c r="E18" s="110">
        <f t="shared" si="0"/>
        <v>4.6042208016382778E-2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0.79569680114880692</v>
      </c>
      <c r="E19" s="115">
        <f t="shared" si="0"/>
        <v>-3.7878054098475396E-2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0.78107306557591916</v>
      </c>
      <c r="E20" s="106">
        <f t="shared" si="0"/>
        <v>-0.21500194414480486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0.97513432118892984</v>
      </c>
      <c r="E21" s="110">
        <f t="shared" si="0"/>
        <v>-1.9965506342784073E-2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0.78107306557591916</v>
      </c>
      <c r="E22" s="115">
        <f t="shared" si="0"/>
        <v>-0.21500194414480486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0.99984892838154282</v>
      </c>
      <c r="E24" s="110">
        <f t="shared" si="0"/>
        <v>4.873294855821937E-3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0.11188511085055673</v>
      </c>
      <c r="E26" s="106">
        <f t="shared" ref="E26:E28" si="1">(D26-C26)/(C26)</f>
        <v>-0.14772874056203397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8.5166580494344502E-2</v>
      </c>
      <c r="E27" s="110">
        <f t="shared" si="1"/>
        <v>-0.3512539044011796</v>
      </c>
      <c r="F27" s="331"/>
    </row>
    <row r="28" spans="1:6" ht="15" thickBot="1">
      <c r="A28" s="381"/>
      <c r="B28" s="112" t="s">
        <v>32</v>
      </c>
      <c r="C28" s="120">
        <f>AnnualKPI!G4</f>
        <v>0.1355380798662989</v>
      </c>
      <c r="D28" s="121">
        <f>AnnualKPI!H4</f>
        <v>0.11317280721954193</v>
      </c>
      <c r="E28" s="115">
        <f t="shared" si="1"/>
        <v>-0.16501098930145036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45869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3933916.0372930779</v>
      </c>
      <c r="D39" s="108">
        <f>SUMIFS(RD[O2RE7],RD[Month Year],$B$32)</f>
        <v>2588787.0999999996</v>
      </c>
      <c r="E39" s="110">
        <f>D39/C39-1</f>
        <v>-0.34193127777548082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1376599.7754596486</v>
      </c>
      <c r="D40" s="108">
        <f>SUMIFS(RD[O2RE27],RD[Month Year],$B$32)</f>
        <v>925191.5</v>
      </c>
      <c r="E40" s="110">
        <f t="shared" ref="E40" si="2">D40/C40-1</f>
        <v>-0.32791540686465881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L41" sqref="L41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7"/>
      <c r="B1" s="389" t="s">
        <v>37</v>
      </c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</row>
    <row r="2" spans="1:29" s="242" customFormat="1" ht="19.5" customHeight="1">
      <c r="A2" s="388"/>
      <c r="B2" s="389" t="s">
        <v>38</v>
      </c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</row>
    <row r="3" spans="1:29" ht="24" customHeight="1">
      <c r="A3" s="390" t="s">
        <v>39</v>
      </c>
      <c r="B3" s="390" t="s">
        <v>40</v>
      </c>
      <c r="C3" s="390" t="s">
        <v>41</v>
      </c>
      <c r="D3" s="390" t="s">
        <v>42</v>
      </c>
      <c r="E3" s="390" t="s">
        <v>43</v>
      </c>
      <c r="F3" s="390" t="s">
        <v>44</v>
      </c>
      <c r="G3" s="382" t="s">
        <v>45</v>
      </c>
      <c r="H3" s="382" t="s">
        <v>46</v>
      </c>
      <c r="I3" s="382" t="s">
        <v>47</v>
      </c>
      <c r="J3" s="382" t="s">
        <v>48</v>
      </c>
      <c r="K3" s="382" t="s">
        <v>49</v>
      </c>
      <c r="L3" s="382" t="s">
        <v>50</v>
      </c>
      <c r="M3" s="382" t="s">
        <v>51</v>
      </c>
      <c r="N3" s="382" t="s">
        <v>52</v>
      </c>
      <c r="O3" s="382" t="s">
        <v>53</v>
      </c>
      <c r="P3" s="382" t="s">
        <v>54</v>
      </c>
      <c r="Q3" s="382" t="s">
        <v>55</v>
      </c>
      <c r="R3" s="382" t="s">
        <v>56</v>
      </c>
      <c r="S3" s="382" t="s">
        <v>57</v>
      </c>
      <c r="T3" s="383" t="s">
        <v>58</v>
      </c>
      <c r="U3" s="383"/>
      <c r="V3" s="383"/>
      <c r="W3" s="383"/>
      <c r="X3" s="383"/>
      <c r="Y3" s="383"/>
      <c r="Z3" s="383"/>
      <c r="AA3" s="383"/>
    </row>
    <row r="4" spans="1:29" s="245" customFormat="1" ht="27.75" customHeight="1">
      <c r="A4" s="390"/>
      <c r="B4" s="390"/>
      <c r="C4" s="390"/>
      <c r="D4" s="390"/>
      <c r="E4" s="390"/>
      <c r="F4" s="390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382"/>
      <c r="S4" s="382"/>
      <c r="T4" s="384" t="s">
        <v>59</v>
      </c>
      <c r="U4" s="384"/>
      <c r="V4" s="385" t="s">
        <v>60</v>
      </c>
      <c r="W4" s="385" t="s">
        <v>61</v>
      </c>
      <c r="X4" s="385" t="s">
        <v>62</v>
      </c>
      <c r="Y4" s="385" t="s">
        <v>63</v>
      </c>
      <c r="Z4" s="385" t="s">
        <v>64</v>
      </c>
      <c r="AA4" s="385" t="s">
        <v>65</v>
      </c>
    </row>
    <row r="5" spans="1:29" s="245" customFormat="1" ht="14.25" customHeight="1">
      <c r="A5" s="390"/>
      <c r="B5" s="390"/>
      <c r="C5" s="390"/>
      <c r="D5" s="390"/>
      <c r="E5" s="390"/>
      <c r="F5" s="390"/>
      <c r="G5" s="382"/>
      <c r="H5" s="382"/>
      <c r="I5" s="382"/>
      <c r="J5" s="382"/>
      <c r="K5" s="382"/>
      <c r="L5" s="382"/>
      <c r="M5" s="382"/>
      <c r="N5" s="382"/>
      <c r="O5" s="382"/>
      <c r="P5" s="382"/>
      <c r="Q5" s="382"/>
      <c r="R5" s="382"/>
      <c r="S5" s="382"/>
      <c r="T5" s="244" t="s">
        <v>66</v>
      </c>
      <c r="U5" s="244" t="s">
        <v>67</v>
      </c>
      <c r="V5" s="386"/>
      <c r="W5" s="386"/>
      <c r="X5" s="386"/>
      <c r="Y5" s="386"/>
      <c r="Z5" s="386"/>
      <c r="AA5" s="386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1.6439999999999999</v>
      </c>
      <c r="H30" s="250">
        <f t="shared" si="14"/>
        <v>73924.538494203924</v>
      </c>
      <c r="I30" s="248">
        <f>_xlfn.XLOOKUP(A30,Input_Raw!A:A,Input_Raw!AS:AS)</f>
        <v>62000</v>
      </c>
      <c r="J30" s="251"/>
      <c r="K30" s="250">
        <f t="shared" si="3"/>
        <v>62000</v>
      </c>
      <c r="L30" s="250">
        <f t="shared" si="4"/>
        <v>0</v>
      </c>
      <c r="M30" s="249">
        <f t="shared" si="5"/>
        <v>0.96181829576967481</v>
      </c>
      <c r="N30" s="249">
        <f t="shared" si="6"/>
        <v>0.96181829576967481</v>
      </c>
      <c r="O30" s="249">
        <f t="shared" si="7"/>
        <v>6.5884553260222731E-2</v>
      </c>
      <c r="P30" s="249">
        <f t="shared" si="8"/>
        <v>6.5884553260222731E-2</v>
      </c>
      <c r="Q30" s="252">
        <f t="shared" si="9"/>
        <v>-11924.538494203924</v>
      </c>
      <c r="R30" s="253">
        <f t="shared" si="10"/>
        <v>-0.18498773052153394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1.0980000000000001</v>
      </c>
      <c r="H31" s="250">
        <f t="shared" si="14"/>
        <v>49372.958191384379</v>
      </c>
      <c r="I31" s="248">
        <f>_xlfn.XLOOKUP(A31,Input_Raw!A:A,Input_Raw!AS:AS)</f>
        <v>44000</v>
      </c>
      <c r="J31" s="251"/>
      <c r="K31" s="250">
        <f t="shared" si="3"/>
        <v>44000</v>
      </c>
      <c r="L31" s="250">
        <f t="shared" si="4"/>
        <v>0</v>
      </c>
      <c r="M31" s="249">
        <f t="shared" si="5"/>
        <v>1.0220061143838532</v>
      </c>
      <c r="N31" s="249">
        <f t="shared" si="6"/>
        <v>1.0220061143838532</v>
      </c>
      <c r="O31" s="249">
        <f t="shared" si="7"/>
        <v>4.6756779733061291E-2</v>
      </c>
      <c r="P31" s="249">
        <f t="shared" si="8"/>
        <v>4.6756779733061291E-2</v>
      </c>
      <c r="Q31" s="252">
        <f t="shared" si="9"/>
        <v>-5372.9581913843795</v>
      </c>
      <c r="R31" s="253">
        <f t="shared" si="10"/>
        <v>-0.12479991190735551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2.1960000000000002</v>
      </c>
      <c r="H32" s="250">
        <f t="shared" si="14"/>
        <v>98745.916382768759</v>
      </c>
      <c r="I32" s="248">
        <f>_xlfn.XLOOKUP(A32,Input_Raw!A:A,Input_Raw!AS:AS)</f>
        <v>81000</v>
      </c>
      <c r="J32" s="251"/>
      <c r="K32" s="250">
        <f t="shared" si="3"/>
        <v>81000</v>
      </c>
      <c r="L32" s="250">
        <f t="shared" si="4"/>
        <v>0</v>
      </c>
      <c r="M32" s="249">
        <f t="shared" si="5"/>
        <v>0.94071017346695573</v>
      </c>
      <c r="N32" s="249">
        <f t="shared" si="6"/>
        <v>0.94071017346695585</v>
      </c>
      <c r="O32" s="249">
        <f t="shared" si="7"/>
        <v>8.6074980872226481E-2</v>
      </c>
      <c r="P32" s="249">
        <f t="shared" si="8"/>
        <v>8.6074980872226481E-2</v>
      </c>
      <c r="Q32" s="252">
        <f t="shared" si="9"/>
        <v>-17745.916382768759</v>
      </c>
      <c r="R32" s="253">
        <f t="shared" si="10"/>
        <v>-0.20609585282425291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2.9540000000000002</v>
      </c>
      <c r="H33" s="250">
        <f t="shared" si="14"/>
        <v>132830.3447152545</v>
      </c>
      <c r="I33" s="248">
        <f>_xlfn.XLOOKUP(A33,Input_Raw!A:A,Input_Raw!AS:AS)</f>
        <v>107000</v>
      </c>
      <c r="J33" s="251"/>
      <c r="K33" s="250">
        <f t="shared" si="3"/>
        <v>107000</v>
      </c>
      <c r="L33" s="250">
        <f t="shared" si="4"/>
        <v>0</v>
      </c>
      <c r="M33" s="249">
        <f t="shared" si="5"/>
        <v>0.9237967805941204</v>
      </c>
      <c r="N33" s="249">
        <f t="shared" si="6"/>
        <v>0.9237967805941204</v>
      </c>
      <c r="O33" s="249">
        <f t="shared" si="7"/>
        <v>0.11370398707812633</v>
      </c>
      <c r="P33" s="249">
        <f t="shared" si="8"/>
        <v>0.11370398707812633</v>
      </c>
      <c r="Q33" s="252">
        <f t="shared" si="9"/>
        <v>-25830.344715254498</v>
      </c>
      <c r="R33" s="253">
        <f t="shared" si="10"/>
        <v>-0.22300924569708835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1.37</v>
      </c>
      <c r="H34" s="250">
        <f t="shared" ref="H34:H35" si="15">IFERROR(D34*(G34/C34),0)</f>
        <v>61603.782078503275</v>
      </c>
      <c r="I34" s="248">
        <f>_xlfn.XLOOKUP(A34,Input_Raw!A:A,Input_Raw!AS:AS)</f>
        <v>53000</v>
      </c>
      <c r="J34" s="251"/>
      <c r="K34" s="250">
        <f t="shared" ref="K34:K35" si="16">I34-J34</f>
        <v>53000</v>
      </c>
      <c r="L34" s="250">
        <f t="shared" ref="L34:L35" si="17">Z34</f>
        <v>0</v>
      </c>
      <c r="M34" s="249">
        <f t="shared" si="5"/>
        <v>0.98663941307986003</v>
      </c>
      <c r="N34" s="249">
        <f t="shared" si="6"/>
        <v>0.98663941307986003</v>
      </c>
      <c r="O34" s="249">
        <f t="shared" si="7"/>
        <v>5.6320666496642011E-2</v>
      </c>
      <c r="P34" s="249">
        <f t="shared" si="8"/>
        <v>5.6320666496642011E-2</v>
      </c>
      <c r="Q34" s="252">
        <f t="shared" ref="Q34:Q35" si="18">(I34+L34)-H34</f>
        <v>-8603.7820785032745</v>
      </c>
      <c r="R34" s="253">
        <f t="shared" ref="R34:R35" si="19">N34-E34</f>
        <v>-0.16016661321134873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2.0859999999999999</v>
      </c>
      <c r="H35" s="250">
        <f t="shared" si="15"/>
        <v>93799.627310772121</v>
      </c>
      <c r="I35" s="248">
        <f>_xlfn.XLOOKUP(A35,Input_Raw!A:A,Input_Raw!AS:AS)</f>
        <v>76000</v>
      </c>
      <c r="J35" s="251"/>
      <c r="K35" s="250">
        <f t="shared" si="16"/>
        <v>76000</v>
      </c>
      <c r="L35" s="250">
        <f t="shared" si="17"/>
        <v>0</v>
      </c>
      <c r="M35" s="249">
        <f t="shared" si="5"/>
        <v>0.92918554686115007</v>
      </c>
      <c r="N35" s="249">
        <f t="shared" si="6"/>
        <v>0.92918554686115018</v>
      </c>
      <c r="O35" s="249">
        <f t="shared" si="7"/>
        <v>8.0761710448014973E-2</v>
      </c>
      <c r="P35" s="249">
        <f t="shared" si="8"/>
        <v>8.0761710448014973E-2</v>
      </c>
      <c r="Q35" s="252">
        <f t="shared" si="18"/>
        <v>-17799.627310772121</v>
      </c>
      <c r="R35" s="253">
        <f t="shared" si="19"/>
        <v>-0.21762047943005858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5.508</v>
      </c>
      <c r="H36" s="250">
        <f t="shared" ref="H36" si="24">IFERROR(D36*(G36/C36),0)</f>
        <v>247674.18371415767</v>
      </c>
      <c r="I36" s="248">
        <f>_xlfn.XLOOKUP(A36,Input_Raw!A:A,Input_Raw!AS:AS)</f>
        <v>146000</v>
      </c>
      <c r="J36" s="251"/>
      <c r="K36" s="250">
        <f t="shared" ref="K36" si="25">I36-J36</f>
        <v>146000</v>
      </c>
      <c r="L36" s="250">
        <f t="shared" ref="L36" si="26">Z36</f>
        <v>0</v>
      </c>
      <c r="M36" s="249">
        <f t="shared" ref="M36" si="27">IFERROR(I36/(B36*G36*1000),0)</f>
        <v>0.67602394939858879</v>
      </c>
      <c r="N36" s="249">
        <f t="shared" ref="N36" si="28">IFERROR((I36+L36)/(B36*G36)/1000,0)</f>
        <v>0.67602394939858867</v>
      </c>
      <c r="O36" s="249">
        <f t="shared" ref="O36" si="29">IFERROR(I36/(24*1*B36)/1000,0)</f>
        <v>0.15514749638697611</v>
      </c>
      <c r="P36" s="249">
        <f t="shared" ref="P36" si="30">IFERROR((I36+L36)/(24*1*B36)/1000,0)</f>
        <v>0.15514749638697611</v>
      </c>
      <c r="Q36" s="252">
        <f t="shared" ref="Q36" si="31">(I36+L36)-H36</f>
        <v>-101674.18371415767</v>
      </c>
      <c r="R36" s="253">
        <f t="shared" ref="R36" si="32">N36-E36</f>
        <v>-0.47078207689262008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101.56589999999998</v>
      </c>
      <c r="H37" s="265">
        <f>IFERROR(D37*(G37/C37),0)</f>
        <v>4567039.1023409124</v>
      </c>
      <c r="I37" s="263">
        <f>SUM(I6:I36)</f>
        <v>3484000</v>
      </c>
      <c r="J37" s="263">
        <f>SUM(J6:J36)</f>
        <v>0</v>
      </c>
      <c r="K37" s="263">
        <f>SUM(K6:K36)</f>
        <v>3484000</v>
      </c>
      <c r="L37" s="263">
        <f>SUM(L6:L36)</f>
        <v>0</v>
      </c>
      <c r="M37" s="264">
        <f>IFERROR(AVERAGEIF(M6:M36,"&lt;&gt;0"),0)</f>
        <v>0.89948088903945966</v>
      </c>
      <c r="N37" s="264">
        <f>IFERROR(AVERAGEIF(N6:N36,"&lt;&gt;0"),0)</f>
        <v>0.89948088903945966</v>
      </c>
      <c r="O37" s="264">
        <f>IFERROR(AVERAGEIF(O6:O36,"&lt;&gt;0"),0)</f>
        <v>0.11942860747066394</v>
      </c>
      <c r="P37" s="264">
        <f>IFERROR(AVERAGEIF(P6:P36,"&lt;&gt;0"),0)</f>
        <v>0.11942860747066394</v>
      </c>
      <c r="Q37" s="263">
        <f>(I37+L37)-H37</f>
        <v>-1083039.1023409124</v>
      </c>
      <c r="R37" s="266">
        <f>N37-E37</f>
        <v>-0.24732513725174909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R3:R5"/>
    <mergeCell ref="T3:AA3"/>
    <mergeCell ref="T4:U4"/>
    <mergeCell ref="V4:V5"/>
    <mergeCell ref="W4:W5"/>
    <mergeCell ref="X4:X5"/>
    <mergeCell ref="Y4:Y5"/>
    <mergeCell ref="Z4:Z5"/>
    <mergeCell ref="AA4:AA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F10" sqref="F10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45869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122</v>
      </c>
      <c r="C4" s="82">
        <f>_xlfn.XLOOKUP($C$1,'Modelling New'!$D:$D,'Modelling New'!$S:$S,0)</f>
        <v>655.20803409999996</v>
      </c>
      <c r="D4" s="83">
        <f>SUMIFS('Daily KPI'!$I:$I,'Daily KPI'!$A:$A,"&gt;="&amp;O2Summary!$B$7,'Daily KPI'!$A:$A,"&lt;="&amp;AnnualKPI!$B$1)</f>
        <v>589.9135982366663</v>
      </c>
      <c r="E4" s="81">
        <f>_xlfn.XLOOKUP($C$1,'Modelling New'!$D:$D,'Modelling New'!$V:$V,0)</f>
        <v>21577.529487396518</v>
      </c>
      <c r="F4" s="84">
        <f>SUMIFS('Daily KPI'!$Y:$Y,'Daily KPI'!$D:$D,"&gt;="&amp;O2Summary!$B$7,'Daily KPI'!$A:$A,"&lt;="&amp;AnnualKPI!$B$1)/1000</f>
        <v>18017</v>
      </c>
      <c r="G4" s="85">
        <f>_xlfn.XLOOKUP($C$1,'Modelling New'!$D:$D,'Modelling New'!$Y:$Y,0)</f>
        <v>0.1355380798662989</v>
      </c>
      <c r="H4" s="86">
        <f>F4/_xlfn.XLOOKUP(C1,'Modelling New'!D:D,'Modelling New'!N:N)/(24*B4)</f>
        <v>0.11317280721954193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0.78107306557591916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0.79569680114880692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45869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31</v>
      </c>
      <c r="C4" s="82">
        <f>_xlfn.XLOOKUP($A$4,'Modelling New'!$D:$D,'Modelling New'!$R:$R,0)</f>
        <v>118.1</v>
      </c>
      <c r="D4" s="83">
        <f>SUMIF('Daily KPI'!$D:$D,$A$4,'Daily KPI'!I:I)</f>
        <v>101.56589999999998</v>
      </c>
      <c r="E4" s="81">
        <f>_xlfn.XLOOKUP($A$4,'Modelling New'!$D:$D,'Modelling New'!$U:$U,0)</f>
        <v>5310.5158127527266</v>
      </c>
      <c r="F4" s="84">
        <f>SUMIFS('Daily KPI'!$AA:$AA,'Daily KPI'!$D:$D,"&gt;="&amp;$A$4,'Daily KPI'!$A:$A,"&lt;="&amp;MonthlyKPI!$B$1)/1000</f>
        <v>3445.1763991391276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8.5166580494344502E-2</v>
      </c>
      <c r="I4" s="85">
        <f>_xlfn.XLOOKUP($A$4,'Modelling New'!$D:$D,'Modelling New'!$AF:$AF)</f>
        <v>0.995</v>
      </c>
      <c r="J4" s="86">
        <f>AVERAGEIF('Daily KPI'!$D:$D,$A$4,'Daily KPI'!$R:$R)</f>
        <v>0.99984892838154282</v>
      </c>
      <c r="K4" s="85">
        <f>_xlfn.XLOOKUP($A$4,'Modelling New'!$D:$D,'Modelling New'!$AE:$AE)</f>
        <v>0.995</v>
      </c>
      <c r="L4" s="86">
        <f>AVERAGEIF('Daily KPI'!$D:$D,$A$4,'Daily KPI'!$O:$O)</f>
        <v>0.97513432118892984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0.86510077265243235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45863</v>
      </c>
      <c r="D6" s="25"/>
      <c r="F6" s="25"/>
    </row>
    <row r="7" spans="1:15" ht="29.25" customHeight="1">
      <c r="A7" s="143" t="s">
        <v>93</v>
      </c>
      <c r="B7" s="76">
        <f>B1</f>
        <v>45869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16.856000000000002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560.54039747947274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6.1366070947363939E-2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0.99933096854683234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0.96872472365370277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0.61162196957505566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10.766666666666667</v>
      </c>
      <c r="G120" s="298">
        <f>IFERROR(_xlfn.XLOOKUP($A120,Input_Raw!$A:$A,Input_Raw!$R:$R),"")</f>
        <v>1.6559999999999999</v>
      </c>
      <c r="H120" s="298"/>
      <c r="I120" s="298">
        <f>IFERROR(_xlfn.XLOOKUP($A120,Input_Raw!$A:$A,Input_Raw!$Q:$Q),"")</f>
        <v>1.6439999999999999</v>
      </c>
      <c r="J120" s="298"/>
      <c r="K120" s="298">
        <f>IFERROR(_xlfn.XLOOKUP($A120,Input_Raw!$A:$A,Input_Raw!S:S),"")</f>
        <v>26.059000000000001</v>
      </c>
      <c r="L120" s="298">
        <f>IFERROR(_xlfn.XLOOKUP($A120,Input_Raw!$A:$A,Input_Raw!T:T),"")</f>
        <v>28.321000000000002</v>
      </c>
      <c r="M120" s="298">
        <f>IFERROR(_xlfn.XLOOKUP($A120,Input_Raw!$A:$A,Input_Raw!W:W),"")</f>
        <v>2.5449999999999999</v>
      </c>
      <c r="N120" s="298">
        <f>IFERROR(_xlfn.XLOOKUP($A120,Input_Raw!$A:$A,Input_Raw!X:X),"")</f>
        <v>7.64</v>
      </c>
      <c r="O120" s="299">
        <f>IFERROR(1-(SUMIF(Plant_BD!$B:$B,$A120,Plant_BD!$AL:$AL)/($AA120+SUMIF(Plant_BD!$B:$B,$A120,Plant_BD!$AL:$AL))),"")</f>
        <v>1</v>
      </c>
      <c r="P120" s="299"/>
      <c r="Q120" s="300"/>
      <c r="R120" s="299">
        <f>IFERROR(1-(SUMIF(Grid_BD!$B:$B,$A120,Grid_BD!$V:$V)/($AA120+SUMIF(Grid_BD!$B:$B,$A120,Grid_BD!$V:$V))),"")</f>
        <v>1</v>
      </c>
      <c r="S120" s="295"/>
      <c r="T120" s="300"/>
      <c r="U120" s="301">
        <f t="shared" si="11"/>
        <v>0.95019985732910106</v>
      </c>
      <c r="V120" s="301" t="str">
        <f>IFERROR(_xlfn.XLOOKUP($A120,Input_Raw!$A:$A,Input_Raw!$AX:$AX),"")</f>
        <v/>
      </c>
      <c r="W120" s="302">
        <f t="shared" si="12"/>
        <v>4.6938916133110284E-2</v>
      </c>
      <c r="X120" s="294">
        <f>IFERROR(_xlfn.XLOOKUP($A120,Input_Raw!$A:$A,Input_Raw!$AA:$AA),"")</f>
        <v>62655.700000000004</v>
      </c>
      <c r="Y120" s="294">
        <f>IFERROR(_xlfn.XLOOKUP($A120,Input_Raw!$A:$A,Input_Raw!$AS:$AS),"")</f>
        <v>62000</v>
      </c>
      <c r="Z120" s="294"/>
      <c r="AA120" s="294">
        <f>IFERROR(_xlfn.XLOOKUP($A120,Input_Raw!$A:$A,Input_Raw!$AT:$AT),"")</f>
        <v>61251.06105125694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10.649999999999999</v>
      </c>
      <c r="G121" s="298">
        <f>IFERROR(_xlfn.XLOOKUP($A121,Input_Raw!$A:$A,Input_Raw!$R:$R),"")</f>
        <v>1.095</v>
      </c>
      <c r="H121" s="298"/>
      <c r="I121" s="298">
        <f>IFERROR(_xlfn.XLOOKUP($A121,Input_Raw!$A:$A,Input_Raw!$Q:$Q),"")</f>
        <v>1.0980000000000001</v>
      </c>
      <c r="J121" s="298"/>
      <c r="K121" s="298">
        <f>IFERROR(_xlfn.XLOOKUP($A121,Input_Raw!$A:$A,Input_Raw!S:S),"")</f>
        <v>25.47</v>
      </c>
      <c r="L121" s="298">
        <f>IFERROR(_xlfn.XLOOKUP($A121,Input_Raw!$A:$A,Input_Raw!T:T),"")</f>
        <v>25.501000000000001</v>
      </c>
      <c r="M121" s="298">
        <f>IFERROR(_xlfn.XLOOKUP($A121,Input_Raw!$A:$A,Input_Raw!W:W),"")</f>
        <v>3.2480000000000002</v>
      </c>
      <c r="N121" s="298">
        <f>IFERROR(_xlfn.XLOOKUP($A121,Input_Raw!$A:$A,Input_Raw!X:X),"")</f>
        <v>5.97</v>
      </c>
      <c r="O121" s="299">
        <f>IFERROR(1-(SUMIF(Plant_BD!$B:$B,$A121,Plant_BD!$AL:$AL)/($AA121+SUMIF(Plant_BD!$B:$B,$A121,Plant_BD!$AL:$AL))),"")</f>
        <v>1</v>
      </c>
      <c r="P121" s="299"/>
      <c r="Q121" s="300"/>
      <c r="R121" s="299">
        <f>IFERROR(1-(SUMIF(Grid_BD!$B:$B,$A121,Grid_BD!$V:$V)/($AA121+SUMIF(Grid_BD!$B:$B,$A121,Grid_BD!$V:$V))),"")</f>
        <v>1</v>
      </c>
      <c r="S121" s="295"/>
      <c r="T121" s="300"/>
      <c r="U121" s="301">
        <f t="shared" si="11"/>
        <v>0.98068120410729209</v>
      </c>
      <c r="V121" s="301" t="str">
        <f>IFERROR(_xlfn.XLOOKUP($A121,Input_Raw!$A:$A,Input_Raw!$AX:$AX),"")</f>
        <v/>
      </c>
      <c r="W121" s="302">
        <f t="shared" si="12"/>
        <v>3.2355377761167842E-2</v>
      </c>
      <c r="X121" s="294">
        <f>IFERROR(_xlfn.XLOOKUP($A121,Input_Raw!$A:$A,Input_Raw!$AA:$AA),"")</f>
        <v>43656.5</v>
      </c>
      <c r="Y121" s="294">
        <f>IFERROR(_xlfn.XLOOKUP($A121,Input_Raw!$A:$A,Input_Raw!$AS:$AS),"")</f>
        <v>44000</v>
      </c>
      <c r="Z121" s="294"/>
      <c r="AA121" s="294">
        <f>IFERROR(_xlfn.XLOOKUP($A121,Input_Raw!$A:$A,Input_Raw!$AT:$AT),"")</f>
        <v>42220.855994325524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11.866666666666667</v>
      </c>
      <c r="G122" s="298">
        <f>IFERROR(_xlfn.XLOOKUP($A122,Input_Raw!$A:$A,Input_Raw!$R:$R),"")</f>
        <v>2.19</v>
      </c>
      <c r="H122" s="298"/>
      <c r="I122" s="298">
        <f>IFERROR(_xlfn.XLOOKUP($A122,Input_Raw!$A:$A,Input_Raw!$Q:$Q),"")</f>
        <v>2.1960000000000002</v>
      </c>
      <c r="J122" s="298"/>
      <c r="K122" s="298">
        <f>IFERROR(_xlfn.XLOOKUP($A122,Input_Raw!$A:$A,Input_Raw!S:S),"")</f>
        <v>27.044</v>
      </c>
      <c r="L122" s="298">
        <f>IFERROR(_xlfn.XLOOKUP($A122,Input_Raw!$A:$A,Input_Raw!T:T),"")</f>
        <v>30.143999999999998</v>
      </c>
      <c r="M122" s="298">
        <f>IFERROR(_xlfn.XLOOKUP($A122,Input_Raw!$A:$A,Input_Raw!W:W),"")</f>
        <v>4.1180000000000003</v>
      </c>
      <c r="N122" s="298">
        <f>IFERROR(_xlfn.XLOOKUP($A122,Input_Raw!$A:$A,Input_Raw!X:X),"")</f>
        <v>9.8000000000000007</v>
      </c>
      <c r="O122" s="299">
        <f>IFERROR(1-(SUMIF(Plant_BD!$B:$B,$A122,Plant_BD!$AL:$AL)/($AA122+SUMIF(Plant_BD!$B:$B,$A122,Plant_BD!$AL:$AL))),"")</f>
        <v>1</v>
      </c>
      <c r="P122" s="299"/>
      <c r="Q122" s="300"/>
      <c r="R122" s="299">
        <f>IFERROR(1-(SUMIF(Grid_BD!$B:$B,$A122,Grid_BD!$V:$V)/($AA122+SUMIF(Grid_BD!$B:$B,$A122,Grid_BD!$V:$V))),"")</f>
        <v>1</v>
      </c>
      <c r="S122" s="295"/>
      <c r="T122" s="300"/>
      <c r="U122" s="301">
        <f t="shared" si="11"/>
        <v>0.9290703400494934</v>
      </c>
      <c r="V122" s="301" t="str">
        <f>IFERROR(_xlfn.XLOOKUP($A122,Input_Raw!$A:$A,Input_Raw!$AX:$AX),"")</f>
        <v/>
      </c>
      <c r="W122" s="302">
        <f t="shared" si="12"/>
        <v>6.1305186013760379E-2</v>
      </c>
      <c r="X122" s="294">
        <f>IFERROR(_xlfn.XLOOKUP($A122,Input_Raw!$A:$A,Input_Raw!$AA:$AA),"")</f>
        <v>82053.699999999983</v>
      </c>
      <c r="Y122" s="294">
        <f>IFERROR(_xlfn.XLOOKUP($A122,Input_Raw!$A:$A,Input_Raw!$AS:$AS),"")</f>
        <v>81000</v>
      </c>
      <c r="Z122" s="294"/>
      <c r="AA122" s="294">
        <f>IFERROR(_xlfn.XLOOKUP($A122,Input_Raw!$A:$A,Input_Raw!$AT:$AT),"")</f>
        <v>79997.750281216053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11.733333333333333</v>
      </c>
      <c r="G123" s="298">
        <f>IFERROR(_xlfn.XLOOKUP($A123,Input_Raw!$A:$A,Input_Raw!$R:$R),"")</f>
        <v>3.0579999999999998</v>
      </c>
      <c r="H123" s="298"/>
      <c r="I123" s="298">
        <f>IFERROR(_xlfn.XLOOKUP($A123,Input_Raw!$A:$A,Input_Raw!$Q:$Q),"")</f>
        <v>2.9540000000000002</v>
      </c>
      <c r="J123" s="298"/>
      <c r="K123" s="298">
        <f>IFERROR(_xlfn.XLOOKUP($A123,Input_Raw!$A:$A,Input_Raw!S:S),"")</f>
        <v>27.61</v>
      </c>
      <c r="L123" s="298">
        <f>IFERROR(_xlfn.XLOOKUP($A123,Input_Raw!$A:$A,Input_Raw!T:T),"")</f>
        <v>31.847000000000001</v>
      </c>
      <c r="M123" s="298">
        <f>IFERROR(_xlfn.XLOOKUP($A123,Input_Raw!$A:$A,Input_Raw!W:W),"")</f>
        <v>4.82</v>
      </c>
      <c r="N123" s="298">
        <f>IFERROR(_xlfn.XLOOKUP($A123,Input_Raw!$A:$A,Input_Raw!X:X),"")</f>
        <v>10.77</v>
      </c>
      <c r="O123" s="299">
        <f>IFERROR(1-(SUMIF(Plant_BD!$B:$B,$A123,Plant_BD!$AL:$AL)/($AA123+SUMIF(Plant_BD!$B:$B,$A123,Plant_BD!$AL:$AL))),"")</f>
        <v>1</v>
      </c>
      <c r="P123" s="299"/>
      <c r="Q123" s="300"/>
      <c r="R123" s="299">
        <f>IFERROR(1-(SUMIF(Grid_BD!$B:$B,$A123,Grid_BD!$V:$V)/($AA123+SUMIF(Grid_BD!$B:$B,$A123,Grid_BD!$V:$V))),"")</f>
        <v>1</v>
      </c>
      <c r="S123" s="295"/>
      <c r="T123" s="300"/>
      <c r="U123" s="301">
        <f t="shared" si="11"/>
        <v>0.91428928847016488</v>
      </c>
      <c r="V123" s="301" t="str">
        <f>IFERROR(_xlfn.XLOOKUP($A123,Input_Raw!$A:$A,Input_Raw!$AX:$AX),"")</f>
        <v/>
      </c>
      <c r="W123" s="302">
        <f t="shared" si="12"/>
        <v>8.1154088776010144E-2</v>
      </c>
      <c r="X123" s="294">
        <f>IFERROR(_xlfn.XLOOKUP($A123,Input_Raw!$A:$A,Input_Raw!$AA:$AA),"")</f>
        <v>107707</v>
      </c>
      <c r="Y123" s="294">
        <f>IFERROR(_xlfn.XLOOKUP($A123,Input_Raw!$A:$A,Input_Raw!$AS:$AS),"")</f>
        <v>107000</v>
      </c>
      <c r="Z123" s="294"/>
      <c r="AA123" s="294">
        <f>IFERROR(_xlfn.XLOOKUP($A123,Input_Raw!$A:$A,Input_Raw!$AT:$AT),"")</f>
        <v>105898.7819847034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10.916666666666668</v>
      </c>
      <c r="G124" s="298">
        <f>IFERROR(_xlfn.XLOOKUP($A124,Input_Raw!$A:$A,Input_Raw!$R:$R),"")</f>
        <v>1.38</v>
      </c>
      <c r="H124" s="298"/>
      <c r="I124" s="298">
        <f>IFERROR(_xlfn.XLOOKUP($A124,Input_Raw!$A:$A,Input_Raw!$Q:$Q),"")</f>
        <v>1.37</v>
      </c>
      <c r="J124" s="298"/>
      <c r="K124" s="298">
        <f>IFERROR(_xlfn.XLOOKUP($A124,Input_Raw!$A:$A,Input_Raw!S:S),"")</f>
        <v>25.94</v>
      </c>
      <c r="L124" s="298">
        <f>IFERROR(_xlfn.XLOOKUP($A124,Input_Raw!$A:$A,Input_Raw!T:T),"")</f>
        <v>27.6</v>
      </c>
      <c r="M124" s="298">
        <f>IFERROR(_xlfn.XLOOKUP($A124,Input_Raw!$A:$A,Input_Raw!W:W),"")</f>
        <v>4.3</v>
      </c>
      <c r="N124" s="298">
        <f>IFERROR(_xlfn.XLOOKUP($A124,Input_Raw!$A:$A,Input_Raw!X:X),"")</f>
        <v>8.5500000000000007</v>
      </c>
      <c r="O124" s="299">
        <f>IFERROR(1-(SUMIF(Plant_BD!$B:$B,$A124,Plant_BD!$AL:$AL)/($AA124+SUMIF(Plant_BD!$B:$B,$A124,Plant_BD!$AL:$AL))),"")</f>
        <v>1</v>
      </c>
      <c r="P124" s="299"/>
      <c r="Q124" s="300"/>
      <c r="R124" s="299">
        <f>IFERROR(1-(SUMIF(Grid_BD!$B:$B,$A124,Grid_BD!$V:$V)/($AA124+SUMIF(Grid_BD!$B:$B,$A124,Grid_BD!$V:$V))),"")</f>
        <v>1</v>
      </c>
      <c r="S124" s="295"/>
      <c r="T124" s="300"/>
      <c r="U124" s="301">
        <f t="shared" si="11"/>
        <v>0.95533277022758512</v>
      </c>
      <c r="V124" s="301" t="str">
        <f>IFERROR(_xlfn.XLOOKUP($A124,Input_Raw!$A:$A,Input_Raw!$AX:$AX),"")</f>
        <v/>
      </c>
      <c r="W124" s="302">
        <f t="shared" si="12"/>
        <v>3.932706405135554E-2</v>
      </c>
      <c r="X124" s="294">
        <f>IFERROR(_xlfn.XLOOKUP($A124,Input_Raw!$A:$A,Input_Raw!$AA:$AA),"")</f>
        <v>53060.800000000003</v>
      </c>
      <c r="Y124" s="294">
        <f>IFERROR(_xlfn.XLOOKUP($A124,Input_Raw!$A:$A,Input_Raw!$AS:$AS),"")</f>
        <v>53000</v>
      </c>
      <c r="Z124" s="294"/>
      <c r="AA124" s="294">
        <f>IFERROR(_xlfn.XLOOKUP($A124,Input_Raw!$A:$A,Input_Raw!$AT:$AT),"")</f>
        <v>51318.279151254355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11.7</v>
      </c>
      <c r="G125" s="298">
        <f>IFERROR(_xlfn.XLOOKUP($A125,Input_Raw!$A:$A,Input_Raw!$R:$R),"")</f>
        <v>2.0960000000000001</v>
      </c>
      <c r="H125" s="298"/>
      <c r="I125" s="298">
        <f>IFERROR(_xlfn.XLOOKUP($A125,Input_Raw!$A:$A,Input_Raw!$Q:$Q),"")</f>
        <v>2.0859999999999999</v>
      </c>
      <c r="J125" s="298"/>
      <c r="K125" s="298">
        <f>IFERROR(_xlfn.XLOOKUP($A125,Input_Raw!$A:$A,Input_Raw!S:S),"")</f>
        <v>27.01</v>
      </c>
      <c r="L125" s="298">
        <f>IFERROR(_xlfn.XLOOKUP($A125,Input_Raw!$A:$A,Input_Raw!T:T),"")</f>
        <v>30.52</v>
      </c>
      <c r="M125" s="298">
        <f>IFERROR(_xlfn.XLOOKUP($A125,Input_Raw!$A:$A,Input_Raw!W:W),"")</f>
        <v>2.4700000000000002</v>
      </c>
      <c r="N125" s="298">
        <f>IFERROR(_xlfn.XLOOKUP($A125,Input_Raw!$A:$A,Input_Raw!X:X),"")</f>
        <v>6.57</v>
      </c>
      <c r="O125" s="299">
        <f>IFERROR(1-(SUMIF(Plant_BD!$B:$B,$A125,Plant_BD!$AL:$AL)/($AA125+SUMIF(Plant_BD!$B:$B,$A125,Plant_BD!$AL:$AL))),"")</f>
        <v>1</v>
      </c>
      <c r="P125" s="299"/>
      <c r="Q125" s="300"/>
      <c r="R125" s="299">
        <f>IFERROR(1-(SUMIF(Grid_BD!$B:$B,$A125,Grid_BD!$V:$V)/($AA125+SUMIF(Grid_BD!$B:$B,$A125,Grid_BD!$V:$V))),"")</f>
        <v>0.9953167798278264</v>
      </c>
      <c r="S125" s="295"/>
      <c r="T125" s="300"/>
      <c r="U125" s="301">
        <f t="shared" si="11"/>
        <v>0.92685676102942494</v>
      </c>
      <c r="V125" s="301" t="str">
        <f>IFERROR(_xlfn.XLOOKUP($A125,Input_Raw!$A:$A,Input_Raw!$AX:$AX),"")</f>
        <v/>
      </c>
      <c r="W125" s="302">
        <f t="shared" si="12"/>
        <v>5.8095595718880524E-2</v>
      </c>
      <c r="X125" s="294">
        <f>IFERROR(_xlfn.XLOOKUP($A125,Input_Raw!$A:$A,Input_Raw!$AA:$AA),"")</f>
        <v>77429.600000000006</v>
      </c>
      <c r="Y125" s="294">
        <f>IFERROR(_xlfn.XLOOKUP($A125,Input_Raw!$A:$A,Input_Raw!$AS:$AS),"")</f>
        <v>76000</v>
      </c>
      <c r="Z125" s="294"/>
      <c r="AA125" s="294">
        <f>IFERROR(_xlfn.XLOOKUP($A125,Input_Raw!$A:$A,Input_Raw!$AT:$AT),"")</f>
        <v>75809.523809524384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12.133333333333333</v>
      </c>
      <c r="G126" s="298">
        <f>IFERROR(_xlfn.XLOOKUP($A126,Input_Raw!$A:$A,Input_Raw!$R:$R),"")</f>
        <v>5.6719999999999997</v>
      </c>
      <c r="H126" s="298"/>
      <c r="I126" s="298">
        <f>IFERROR(_xlfn.XLOOKUP($A126,Input_Raw!$A:$A,Input_Raw!$Q:$Q),"")</f>
        <v>5.508</v>
      </c>
      <c r="J126" s="298"/>
      <c r="K126" s="298">
        <f>IFERROR(_xlfn.XLOOKUP($A126,Input_Raw!$A:$A,Input_Raw!S:S),"")</f>
        <v>29.55</v>
      </c>
      <c r="L126" s="298">
        <f>IFERROR(_xlfn.XLOOKUP($A126,Input_Raw!$A:$A,Input_Raw!T:T),"")</f>
        <v>39.5</v>
      </c>
      <c r="M126" s="298">
        <f>IFERROR(_xlfn.XLOOKUP($A126,Input_Raw!$A:$A,Input_Raw!W:W),"")</f>
        <v>4.12</v>
      </c>
      <c r="N126" s="298">
        <f>IFERROR(_xlfn.XLOOKUP($A126,Input_Raw!$A:$A,Input_Raw!X:X),"")</f>
        <v>9.18</v>
      </c>
      <c r="O126" s="299">
        <f>IFERROR(1-(SUMIF(Plant_BD!$B:$B,$A126,Plant_BD!$AL:$AL)/($AA126+SUMIF(Plant_BD!$B:$B,$A126,Plant_BD!$AL:$AL))),"")</f>
        <v>0.78107306557591916</v>
      </c>
      <c r="P126" s="299"/>
      <c r="Q126" s="300"/>
      <c r="R126" s="299">
        <f>IFERROR(1-(SUMIF(Grid_BD!$B:$B,$A126,Grid_BD!$V:$V)/($AA126+SUMIF(Grid_BD!$B:$B,$A126,Grid_BD!$V:$V))),"")</f>
        <v>1</v>
      </c>
      <c r="S126" s="295"/>
      <c r="T126" s="300"/>
      <c r="U126" s="301">
        <f t="shared" si="11"/>
        <v>0.66696775295006738</v>
      </c>
      <c r="V126" s="301" t="str">
        <f>IFERROR(_xlfn.XLOOKUP($A126,Input_Raw!$A:$A,Input_Raw!$AX:$AX),"")</f>
        <v/>
      </c>
      <c r="W126" s="302">
        <f t="shared" si="12"/>
        <v>0.11038626817726292</v>
      </c>
      <c r="X126" s="294">
        <f>IFERROR(_xlfn.XLOOKUP($A126,Input_Raw!$A:$A,Input_Raw!$AA:$AA),"")</f>
        <v>146614.40000000002</v>
      </c>
      <c r="Y126" s="294">
        <f>IFERROR(_xlfn.XLOOKUP($A126,Input_Raw!$A:$A,Input_Raw!$AS:$AS),"")</f>
        <v>146000</v>
      </c>
      <c r="Z126" s="294"/>
      <c r="AA126" s="294">
        <f>IFERROR(_xlfn.XLOOKUP($A126,Input_Raw!$A:$A,Input_Raw!$AT:$AT),"")</f>
        <v>144044.14520719217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39.21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133757.09062008621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39.21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133757.09062008621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39.21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133757.09062008621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39.21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133757.09062008621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39.21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133757.09062008621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39.21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133757.09062008621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39.21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133757.09062008621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39.21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133757.09062008621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39.21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133757.09062008621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39.21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133757.09062008621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39.21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133757.09062008621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39.21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133757.09062008621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39.21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133757.09062008621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39.21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133757.09062008621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39.21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133757.09062008621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39.21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133757.09062008621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39.21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133757.09062008621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39.21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133757.09062008621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39.21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133757.09062008621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39.21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133757.09062008621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39.21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133757.09062008621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39.21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133757.09062008621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39.21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133757.09062008621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39.21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133757.09062008621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39.21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133757.09062008621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39.21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133757.09062008621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39.21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133757.09062008621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39.21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133757.09062008621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39.21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133757.09062008621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39.21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133757.09062008621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39.21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133757.09062008621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39.21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161939.33145540711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39.21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161939.33145540711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39.21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161939.33145540711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39.21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161939.33145540711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39.21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161939.33145540711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39.21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161939.33145540711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39.21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161939.33145540711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39.21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161939.33145540711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39.21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161939.33145540711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39.21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161939.33145540711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39.21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161939.33145540711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39.21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161939.33145540711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39.21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161939.33145540711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39.21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161939.33145540711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39.21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161939.33145540711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39.21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161939.33145540711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39.21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161939.33145540711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39.21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161939.33145540711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39.21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161939.33145540711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39.21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161939.33145540711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39.21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161939.33145540711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39.21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161939.33145540711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39.21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161939.33145540711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39.21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161939.33145540711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39.21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161939.33145540711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39.21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161939.33145540711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39.21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161939.33145540711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39.21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161939.33145540711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39.21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161939.33145540711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39.21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161939.33145540711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39.21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160104.17137288867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39.21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160104.17137288867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39.21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160104.17137288867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39.21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160104.17137288867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39.21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160104.17137288867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39.21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160104.17137288867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39.21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160104.17137288867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39.21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160104.17137288867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39.21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160104.17137288867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39.21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160104.17137288867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39.21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160104.17137288867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39.21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160104.17137288867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39.21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160104.17137288867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39.21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160104.17137288867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39.21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160104.17137288867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39.21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160104.17137288867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39.21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160104.17137288867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39.21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160104.17137288867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39.21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160104.17137288867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39.21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160104.17137288867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39.21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160104.17137288867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39.21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160104.17137288867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39.21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160104.17137288867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39.21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160104.17137288867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39.21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160104.17137288867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39.21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160104.17137288867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39.21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160104.17137288867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39.21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160104.17137288867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39.21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160104.17137288867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39.21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160104.17137288867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39.21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160104.17137288867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39.21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166626.34688761403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39.21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166626.34688761403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39.21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166626.34688761403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39.21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166626.34688761403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39.21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166626.34688761403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39.21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166626.34688761403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39.21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166626.34688761403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39.21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166626.34688761403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39.21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166626.34688761403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39.21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166626.34688761403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39.21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166626.34688761403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39.21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166626.34688761403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39.21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166626.34688761403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39.21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166626.34688761403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39.21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166626.34688761403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39.21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166626.34688761403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39.21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166626.34688761403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39.21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166626.34688761403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39.21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166626.34688761403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39.21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166626.34688761403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39.21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166626.34688761403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39.21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166626.34688761403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39.21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166626.34688761403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39.21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166626.34688761403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39.21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166626.34688761403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39.21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166626.34688761403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39.21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166626.34688761403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39.21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166626.34688761403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39.21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166626.34688761403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39.21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166626.34688761403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39.21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171345.8099151997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39.21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171345.8099151997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39.21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171345.8099151997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39.21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171345.8099151997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39.21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171345.8099151997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39.21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171345.8099151997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39.21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171345.8099151997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39.21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171345.8099151997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39.21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171345.8099151997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39.21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171345.8099151997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39.21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171345.8099151997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39.21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171345.8099151997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39.21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171345.8099151997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39.21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171345.8099151997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39.21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171345.8099151997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B123" activePane="bottomRight" state="frozen"/>
      <selection pane="topRight" activeCell="B3" sqref="B3"/>
      <selection pane="bottomLeft" activeCell="A5" sqref="A5"/>
      <selection pane="bottomRight" activeCell="H131" sqref="H131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>
        <v>0.30416666666666664</v>
      </c>
      <c r="G123" s="122">
        <v>0.75277777777777777</v>
      </c>
      <c r="H123" s="138">
        <v>7346.1</v>
      </c>
      <c r="I123" s="138">
        <v>7476</v>
      </c>
      <c r="J123" s="138">
        <v>10308.6</v>
      </c>
      <c r="K123" s="138">
        <v>10510.7</v>
      </c>
      <c r="L123" s="138">
        <v>10607.7</v>
      </c>
      <c r="M123" s="138">
        <v>8218.6</v>
      </c>
      <c r="N123" s="138">
        <v>8188</v>
      </c>
      <c r="O123" s="167"/>
      <c r="P123" s="167"/>
      <c r="Q123" s="58">
        <v>1.6439999999999999</v>
      </c>
      <c r="R123" s="58">
        <v>1.6559999999999999</v>
      </c>
      <c r="S123" s="58">
        <v>26.059000000000001</v>
      </c>
      <c r="T123" s="58">
        <v>28.321000000000002</v>
      </c>
      <c r="U123" s="58">
        <v>92.2</v>
      </c>
      <c r="V123" s="58">
        <v>3.0911900000000001E-4</v>
      </c>
      <c r="W123" s="58">
        <v>2.5449999999999999</v>
      </c>
      <c r="X123" s="58">
        <v>7.64</v>
      </c>
      <c r="Y123" s="60">
        <f>SUM(RD[[#This Row],[IS1Inv1]:[IS3Inv1]])</f>
        <v>46249.100000000006</v>
      </c>
      <c r="Z123" s="60">
        <f>SUM(RD[[#This Row],[IS4Inv1]:[IS4Inv2]])</f>
        <v>16406.599999999999</v>
      </c>
      <c r="AA123" s="60">
        <f>SUM(RD[[#This Row],[O2RE7]:[O2RE27]])</f>
        <v>62655.700000000004</v>
      </c>
      <c r="AB123" s="153"/>
      <c r="AC123" s="153">
        <v>23411</v>
      </c>
      <c r="AD123" s="153"/>
      <c r="AE123" s="153">
        <v>14999.4</v>
      </c>
      <c r="AF123" s="153">
        <v>23029.01</v>
      </c>
      <c r="AG123" s="153">
        <v>0.04</v>
      </c>
      <c r="AH123" s="153">
        <v>15.6</v>
      </c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62000</v>
      </c>
      <c r="AK123" s="154">
        <f>IF((RD[[#This Row],[220kV_TL_TVM_Ex]]-AE122)*1600&lt;=0,0,(RD[[#This Row],[220kV_TL_TVM_Ex]]-AE122)*1600)</f>
        <v>61600</v>
      </c>
      <c r="AL123" s="154">
        <f>IF((RD[[#This Row],[220kV_C&amp;R_PQM_Ex]]-AF122)*1000&lt;=0,"",(RD[[#This Row],[220kV_C&amp;R_PQM_Ex]]-AF122)*1000)</f>
        <v>60672.499999996944</v>
      </c>
      <c r="AM123" s="154">
        <f>IF((RD[[#This Row],[33kV_Aux1_Im]]-AH122)*1000&lt;0,"",(RD[[#This Row],[33kV_Aux1_Im]]-AH122)*1000)</f>
        <v>339.99999999999989</v>
      </c>
      <c r="AN123" s="154">
        <f>IF((RD[[#This Row],[33kV_Aux1_Im]]-AH122)*1000&lt;0,"",(RD[[#This Row],[33kV_Aux1_Im]]-AH122)*1000)</f>
        <v>339.99999999999989</v>
      </c>
      <c r="AO123" s="61">
        <f>RD[[#This Row],[33kV_OG1_Energy (KWh)]]</f>
        <v>62000</v>
      </c>
      <c r="AP123" s="61">
        <f>IFERROR(RD[[#This Row],[220kV_TL_TVM Energy (KWh)]]-RD[[#This Row],[220kV_C&amp;R_PQM_Imp (KWh)2]],"")</f>
        <v>61260</v>
      </c>
      <c r="AQ123" s="63">
        <f>IFERROR(RD[[#This Row],[33 kV Total Export (KWH)]]/RD[[#This Row],[220 KV Net Export (KWh)]]-1,"")</f>
        <v>1.2079660463597763E-2</v>
      </c>
      <c r="AR123" s="64">
        <f>IFERROR((RD[[#This Row],[Sunset Time (POA&lt;20 W/m2)]]-RD[[#This Row],[Sunrise Time (POA&gt;20 W/m2)]])*24,0)</f>
        <v>10.766666666666667</v>
      </c>
      <c r="AS123" s="65">
        <f>RD[[#This Row],[33kV_OG1_Energy (KWh)]]</f>
        <v>62000</v>
      </c>
      <c r="AT123" s="65">
        <f>IFERROR(RD[[#This Row],[ Export (33 kV)]]*(1-RD[[#This Row],[33 kV Line Loss (%)]]),RD[[#This Row],[ Export (33 kV)]])</f>
        <v>61251.06105125694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>
        <v>0.27916666666666667</v>
      </c>
      <c r="G124" s="122">
        <v>0.72291666666666665</v>
      </c>
      <c r="H124" s="138">
        <v>5106</v>
      </c>
      <c r="I124" s="138">
        <v>5219</v>
      </c>
      <c r="J124" s="138">
        <v>7151</v>
      </c>
      <c r="K124" s="138">
        <v>7310.6</v>
      </c>
      <c r="L124" s="138">
        <v>7403</v>
      </c>
      <c r="M124" s="138">
        <v>5735.9</v>
      </c>
      <c r="N124" s="138">
        <v>5731</v>
      </c>
      <c r="O124" s="167"/>
      <c r="P124" s="167"/>
      <c r="Q124" s="58">
        <v>1.0980000000000001</v>
      </c>
      <c r="R124" s="58">
        <v>1.095</v>
      </c>
      <c r="S124" s="58">
        <v>25.47</v>
      </c>
      <c r="T124" s="58">
        <v>25.501000000000001</v>
      </c>
      <c r="U124" s="58">
        <v>95.149000000000001</v>
      </c>
      <c r="V124" s="58">
        <v>3.0911900000000001E-4</v>
      </c>
      <c r="W124" s="58">
        <v>3.2480000000000002</v>
      </c>
      <c r="X124" s="58">
        <v>5.97</v>
      </c>
      <c r="Y124" s="60">
        <f>SUM(RD[[#This Row],[IS1Inv1]:[IS3Inv1]])</f>
        <v>32189.599999999999</v>
      </c>
      <c r="Z124" s="60">
        <f>SUM(RD[[#This Row],[IS4Inv1]:[IS4Inv2]])</f>
        <v>11466.9</v>
      </c>
      <c r="AA124" s="60">
        <f>SUM(RD[[#This Row],[O2RE7]:[O2RE27]])</f>
        <v>43656.5</v>
      </c>
      <c r="AB124" s="153"/>
      <c r="AC124" s="153">
        <v>23455</v>
      </c>
      <c r="AD124" s="153"/>
      <c r="AE124" s="153">
        <v>15026</v>
      </c>
      <c r="AF124" s="153">
        <v>23070.877</v>
      </c>
      <c r="AG124" s="153">
        <v>0.04</v>
      </c>
      <c r="AH124" s="153">
        <v>15.87</v>
      </c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44000</v>
      </c>
      <c r="AK124" s="154">
        <f>IF((RD[[#This Row],[220kV_TL_TVM_Ex]]-AE123)*1600&lt;=0,0,(RD[[#This Row],[220kV_TL_TVM_Ex]]-AE123)*1600)</f>
        <v>42560.000000000582</v>
      </c>
      <c r="AL124" s="154">
        <f>IF((RD[[#This Row],[220kV_C&amp;R_PQM_Ex]]-AF123)*1000&lt;=0,"",(RD[[#This Row],[220kV_C&amp;R_PQM_Ex]]-AF123)*1000)</f>
        <v>41867.000000002008</v>
      </c>
      <c r="AM124" s="154">
        <f>IF((RD[[#This Row],[33kV_Aux1_Im]]-AH123)*1000&lt;0,"",(RD[[#This Row],[33kV_Aux1_Im]]-AH123)*1000)</f>
        <v>269.99999999999955</v>
      </c>
      <c r="AN124" s="154">
        <f>IF((RD[[#This Row],[33kV_Aux1_Im]]-AH123)*1000&lt;0,"",(RD[[#This Row],[33kV_Aux1_Im]]-AH123)*1000)</f>
        <v>269.99999999999955</v>
      </c>
      <c r="AO124" s="61">
        <f>RD[[#This Row],[33kV_OG1_Energy (KWh)]]</f>
        <v>44000</v>
      </c>
      <c r="AP124" s="61">
        <f>IFERROR(RD[[#This Row],[220kV_TL_TVM Energy (KWh)]]-RD[[#This Row],[220kV_C&amp;R_PQM_Imp (KWh)2]],"")</f>
        <v>42290.000000000582</v>
      </c>
      <c r="AQ124" s="63">
        <f>IFERROR(RD[[#This Row],[33 kV Total Export (KWH)]]/RD[[#This Row],[220 KV Net Export (KWh)]]-1,"")</f>
        <v>4.0435091038056203E-2</v>
      </c>
      <c r="AR124" s="64">
        <f>IFERROR((RD[[#This Row],[Sunset Time (POA&lt;20 W/m2)]]-RD[[#This Row],[Sunrise Time (POA&gt;20 W/m2)]])*24,0)</f>
        <v>10.649999999999999</v>
      </c>
      <c r="AS124" s="65">
        <f>RD[[#This Row],[33kV_OG1_Energy (KWh)]]</f>
        <v>44000</v>
      </c>
      <c r="AT124" s="65">
        <f>IFERROR(RD[[#This Row],[ Export (33 kV)]]*(1-RD[[#This Row],[33 kV Line Loss (%)]]),RD[[#This Row],[ Export (33 kV)]])</f>
        <v>42220.855994325524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>
        <v>0.28194444444444444</v>
      </c>
      <c r="G125" s="122">
        <v>0.77638888888888891</v>
      </c>
      <c r="H125" s="138">
        <v>9595.9</v>
      </c>
      <c r="I125" s="138">
        <v>9794.7999999999993</v>
      </c>
      <c r="J125" s="138">
        <v>13490.7</v>
      </c>
      <c r="K125" s="138">
        <v>13741.7</v>
      </c>
      <c r="L125" s="138">
        <v>13900</v>
      </c>
      <c r="M125" s="138">
        <v>10770</v>
      </c>
      <c r="N125" s="138">
        <v>10760.6</v>
      </c>
      <c r="O125" s="167"/>
      <c r="P125" s="167"/>
      <c r="Q125" s="58">
        <v>2.1960000000000002</v>
      </c>
      <c r="R125" s="58">
        <v>2.19</v>
      </c>
      <c r="S125" s="58">
        <v>27.044</v>
      </c>
      <c r="T125" s="58">
        <v>30.143999999999998</v>
      </c>
      <c r="U125" s="58">
        <v>83.51</v>
      </c>
      <c r="V125" s="58">
        <v>0</v>
      </c>
      <c r="W125" s="58">
        <v>4.1180000000000003</v>
      </c>
      <c r="X125" s="58">
        <v>9.8000000000000007</v>
      </c>
      <c r="Y125" s="60">
        <f>SUM(RD[[#This Row],[IS1Inv1]:[IS3Inv1]])</f>
        <v>60523.099999999991</v>
      </c>
      <c r="Z125" s="60">
        <f>SUM(RD[[#This Row],[IS4Inv1]:[IS4Inv2]])</f>
        <v>21530.6</v>
      </c>
      <c r="AA125" s="60">
        <f>SUM(RD[[#This Row],[O2RE7]:[O2RE27]])</f>
        <v>82053.699999999983</v>
      </c>
      <c r="AB125" s="153"/>
      <c r="AC125" s="153">
        <v>23536</v>
      </c>
      <c r="AD125" s="153"/>
      <c r="AE125" s="153">
        <v>15076.2</v>
      </c>
      <c r="AF125" s="153">
        <v>23150.638999999999</v>
      </c>
      <c r="AG125" s="153">
        <v>0.04</v>
      </c>
      <c r="AH125" s="153">
        <v>16.18</v>
      </c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81000</v>
      </c>
      <c r="AK125" s="154">
        <f>IF((RD[[#This Row],[220kV_TL_TVM_Ex]]-AE124)*1600&lt;=0,0,(RD[[#This Row],[220kV_TL_TVM_Ex]]-AE124)*1600)</f>
        <v>80320.000000001164</v>
      </c>
      <c r="AL125" s="154">
        <f>IF((RD[[#This Row],[220kV_C&amp;R_PQM_Ex]]-AF124)*1000&lt;=0,"",(RD[[#This Row],[220kV_C&amp;R_PQM_Ex]]-AF124)*1000)</f>
        <v>79761.999999998807</v>
      </c>
      <c r="AM125" s="154">
        <f>IF((RD[[#This Row],[33kV_Aux1_Im]]-AH124)*1000&lt;0,"",(RD[[#This Row],[33kV_Aux1_Im]]-AH124)*1000)</f>
        <v>310.00000000000051</v>
      </c>
      <c r="AN125" s="154">
        <f>IF((RD[[#This Row],[33kV_Aux1_Im]]-AH124)*1000&lt;0,"",(RD[[#This Row],[33kV_Aux1_Im]]-AH124)*1000)</f>
        <v>310.00000000000051</v>
      </c>
      <c r="AO125" s="61">
        <f>RD[[#This Row],[33kV_OG1_Energy (KWh)]]</f>
        <v>81000</v>
      </c>
      <c r="AP125" s="61">
        <f>IFERROR(RD[[#This Row],[220kV_TL_TVM Energy (KWh)]]-RD[[#This Row],[220kV_C&amp;R_PQM_Imp (KWh)2]],"")</f>
        <v>80010.000000001164</v>
      </c>
      <c r="AQ125" s="63">
        <f>IFERROR(RD[[#This Row],[33 kV Total Export (KWH)]]/RD[[#This Row],[220 KV Net Export (KWh)]]-1,"")</f>
        <v>1.2373453318320404E-2</v>
      </c>
      <c r="AR125" s="64">
        <f>IFERROR((RD[[#This Row],[Sunset Time (POA&lt;20 W/m2)]]-RD[[#This Row],[Sunrise Time (POA&gt;20 W/m2)]])*24,0)</f>
        <v>11.866666666666667</v>
      </c>
      <c r="AS125" s="65">
        <f>RD[[#This Row],[33kV_OG1_Energy (KWh)]]</f>
        <v>81000</v>
      </c>
      <c r="AT125" s="65">
        <f>IFERROR(RD[[#This Row],[ Export (33 kV)]]*(1-RD[[#This Row],[33 kV Line Loss (%)]]),RD[[#This Row],[ Export (33 kV)]])</f>
        <v>79997.750281216053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>
        <v>0.26527777777777778</v>
      </c>
      <c r="G126" s="122">
        <v>0.75416666666666665</v>
      </c>
      <c r="H126" s="138">
        <v>12684.5</v>
      </c>
      <c r="I126" s="138">
        <v>12825.5</v>
      </c>
      <c r="J126" s="138">
        <v>17705.400000000001</v>
      </c>
      <c r="K126" s="138">
        <v>18000.7</v>
      </c>
      <c r="L126" s="138">
        <v>18141.3</v>
      </c>
      <c r="M126" s="138">
        <v>14193.6</v>
      </c>
      <c r="N126" s="138">
        <v>14156</v>
      </c>
      <c r="O126" s="167"/>
      <c r="P126" s="167"/>
      <c r="Q126" s="58">
        <v>2.9540000000000002</v>
      </c>
      <c r="R126" s="58">
        <v>3.0579999999999998</v>
      </c>
      <c r="S126" s="58">
        <v>27.61</v>
      </c>
      <c r="T126" s="58">
        <v>31.847000000000001</v>
      </c>
      <c r="U126" s="58">
        <v>77.367000000000004</v>
      </c>
      <c r="V126" s="58">
        <v>0</v>
      </c>
      <c r="W126" s="58">
        <v>4.82</v>
      </c>
      <c r="X126" s="58">
        <v>10.77</v>
      </c>
      <c r="Y126" s="60">
        <f>SUM(RD[[#This Row],[IS1Inv1]:[IS3Inv1]])</f>
        <v>79357.400000000009</v>
      </c>
      <c r="Z126" s="60">
        <f>SUM(RD[[#This Row],[IS4Inv1]:[IS4Inv2]])</f>
        <v>28349.599999999999</v>
      </c>
      <c r="AA126" s="60">
        <f>SUM(RD[[#This Row],[O2RE7]:[O2RE27]])</f>
        <v>107707</v>
      </c>
      <c r="AB126" s="153"/>
      <c r="AC126" s="153">
        <v>23643</v>
      </c>
      <c r="AD126" s="153"/>
      <c r="AE126" s="153">
        <v>15142.6</v>
      </c>
      <c r="AF126" s="153">
        <v>23256.31</v>
      </c>
      <c r="AG126" s="153">
        <v>0.04</v>
      </c>
      <c r="AH126" s="153">
        <v>16.510000000000002</v>
      </c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107000</v>
      </c>
      <c r="AK126" s="154">
        <f>IF((RD[[#This Row],[220kV_TL_TVM_Ex]]-AE125)*1600&lt;=0,0,(RD[[#This Row],[220kV_TL_TVM_Ex]]-AE125)*1600)</f>
        <v>106239.99999999942</v>
      </c>
      <c r="AL126" s="154">
        <f>IF((RD[[#This Row],[220kV_C&amp;R_PQM_Ex]]-AF125)*1000&lt;=0,"",(RD[[#This Row],[220kV_C&amp;R_PQM_Ex]]-AF125)*1000)</f>
        <v>105671.0000000021</v>
      </c>
      <c r="AM126" s="154">
        <f>IF((RD[[#This Row],[33kV_Aux1_Im]]-AH125)*1000&lt;0,"",(RD[[#This Row],[33kV_Aux1_Im]]-AH125)*1000)</f>
        <v>330.00000000000182</v>
      </c>
      <c r="AN126" s="154">
        <f>IF((RD[[#This Row],[33kV_Aux1_Im]]-AH125)*1000&lt;0,"",(RD[[#This Row],[33kV_Aux1_Im]]-AH125)*1000)</f>
        <v>330.00000000000182</v>
      </c>
      <c r="AO126" s="61">
        <f>RD[[#This Row],[33kV_OG1_Energy (KWh)]]</f>
        <v>107000</v>
      </c>
      <c r="AP126" s="61">
        <f>IFERROR(RD[[#This Row],[220kV_TL_TVM Energy (KWh)]]-RD[[#This Row],[220kV_C&amp;R_PQM_Imp (KWh)2]],"")</f>
        <v>105909.99999999942</v>
      </c>
      <c r="AQ126" s="63">
        <f>IFERROR(RD[[#This Row],[33 kV Total Export (KWH)]]/RD[[#This Row],[220 KV Net Export (KWh)]]-1,"")</f>
        <v>1.0291757152304681E-2</v>
      </c>
      <c r="AR126" s="64">
        <f>IFERROR((RD[[#This Row],[Sunset Time (POA&lt;20 W/m2)]]-RD[[#This Row],[Sunrise Time (POA&gt;20 W/m2)]])*24,0)</f>
        <v>11.733333333333333</v>
      </c>
      <c r="AS126" s="65">
        <f>RD[[#This Row],[33kV_OG1_Energy (KWh)]]</f>
        <v>107000</v>
      </c>
      <c r="AT126" s="65">
        <f>IFERROR(RD[[#This Row],[ Export (33 kV)]]*(1-RD[[#This Row],[33 kV Line Loss (%)]]),RD[[#This Row],[ Export (33 kV)]])</f>
        <v>105898.7819847034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>
        <v>0.28402777777777777</v>
      </c>
      <c r="G127" s="122">
        <v>0.73888888888888893</v>
      </c>
      <c r="H127" s="138">
        <v>6241</v>
      </c>
      <c r="I127" s="138">
        <v>6305</v>
      </c>
      <c r="J127" s="138">
        <v>8807.6</v>
      </c>
      <c r="K127" s="138">
        <v>8945.9</v>
      </c>
      <c r="L127" s="138">
        <v>8999.5</v>
      </c>
      <c r="M127" s="138">
        <v>6902.6</v>
      </c>
      <c r="N127" s="138">
        <v>6859.2</v>
      </c>
      <c r="O127" s="167"/>
      <c r="P127" s="167"/>
      <c r="Q127" s="58">
        <v>1.37</v>
      </c>
      <c r="R127" s="58">
        <v>1.38</v>
      </c>
      <c r="S127" s="58">
        <v>25.94</v>
      </c>
      <c r="T127" s="58">
        <v>27.6</v>
      </c>
      <c r="U127" s="58">
        <v>85.56</v>
      </c>
      <c r="V127" s="58">
        <v>0</v>
      </c>
      <c r="W127" s="58">
        <v>4.3</v>
      </c>
      <c r="X127" s="58">
        <v>8.5500000000000007</v>
      </c>
      <c r="Y127" s="60">
        <f>SUM(RD[[#This Row],[IS1Inv1]:[IS3Inv1]])</f>
        <v>39299</v>
      </c>
      <c r="Z127" s="60">
        <f>SUM(RD[[#This Row],[IS4Inv1]:[IS4Inv2]])</f>
        <v>13761.8</v>
      </c>
      <c r="AA127" s="60">
        <f>SUM(RD[[#This Row],[O2RE7]:[O2RE27]])</f>
        <v>53060.800000000003</v>
      </c>
      <c r="AB127" s="153"/>
      <c r="AC127" s="153">
        <v>23696</v>
      </c>
      <c r="AD127" s="153"/>
      <c r="AE127" s="153">
        <v>15174.9</v>
      </c>
      <c r="AF127" s="153">
        <v>23307.245999999999</v>
      </c>
      <c r="AG127" s="153">
        <v>0.04</v>
      </c>
      <c r="AH127" s="153">
        <v>16.82</v>
      </c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53000</v>
      </c>
      <c r="AK127" s="154">
        <f>IF((RD[[#This Row],[220kV_TL_TVM_Ex]]-AE126)*1600&lt;=0,0,(RD[[#This Row],[220kV_TL_TVM_Ex]]-AE126)*1600)</f>
        <v>51679.999999998836</v>
      </c>
      <c r="AL127" s="154">
        <f>IF((RD[[#This Row],[220kV_C&amp;R_PQM_Ex]]-AF126)*1000&lt;=0,"",(RD[[#This Row],[220kV_C&amp;R_PQM_Ex]]-AF126)*1000)</f>
        <v>50935.999999997875</v>
      </c>
      <c r="AM127" s="154">
        <f>IF((RD[[#This Row],[33kV_Aux1_Im]]-AH126)*1000&lt;0,"",(RD[[#This Row],[33kV_Aux1_Im]]-AH126)*1000)</f>
        <v>309.99999999999875</v>
      </c>
      <c r="AN127" s="154">
        <f>IF((RD[[#This Row],[33kV_Aux1_Im]]-AH126)*1000&lt;0,"",(RD[[#This Row],[33kV_Aux1_Im]]-AH126)*1000)</f>
        <v>309.99999999999875</v>
      </c>
      <c r="AO127" s="61">
        <f>RD[[#This Row],[33kV_OG1_Energy (KWh)]]</f>
        <v>53000</v>
      </c>
      <c r="AP127" s="61">
        <f>IFERROR(RD[[#This Row],[220kV_TL_TVM Energy (KWh)]]-RD[[#This Row],[220kV_C&amp;R_PQM_Imp (KWh)2]],"")</f>
        <v>51369.999999998836</v>
      </c>
      <c r="AQ127" s="63">
        <f>IFERROR(RD[[#This Row],[33 kV Total Export (KWH)]]/RD[[#This Row],[220 KV Net Export (KWh)]]-1,"")</f>
        <v>3.1730582051804568E-2</v>
      </c>
      <c r="AR127" s="64">
        <f>IFERROR((RD[[#This Row],[Sunset Time (POA&lt;20 W/m2)]]-RD[[#This Row],[Sunrise Time (POA&gt;20 W/m2)]])*24,0)</f>
        <v>10.916666666666668</v>
      </c>
      <c r="AS127" s="65">
        <f>RD[[#This Row],[33kV_OG1_Energy (KWh)]]</f>
        <v>53000</v>
      </c>
      <c r="AT127" s="65">
        <f>IFERROR(RD[[#This Row],[ Export (33 kV)]]*(1-RD[[#This Row],[33 kV Line Loss (%)]]),RD[[#This Row],[ Export (33 kV)]])</f>
        <v>51318.279151254355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>
        <v>0.29236111111111113</v>
      </c>
      <c r="G128" s="122">
        <v>0.77986111111111112</v>
      </c>
      <c r="H128" s="138">
        <v>9122.2000000000007</v>
      </c>
      <c r="I128" s="138">
        <v>9223.5</v>
      </c>
      <c r="J128" s="138">
        <v>12819.6</v>
      </c>
      <c r="K128" s="138">
        <v>13007.4</v>
      </c>
      <c r="L128" s="138">
        <v>13031.6</v>
      </c>
      <c r="M128" s="138">
        <v>10135.1</v>
      </c>
      <c r="N128" s="138">
        <v>10090.200000000001</v>
      </c>
      <c r="O128" s="167"/>
      <c r="P128" s="167"/>
      <c r="Q128" s="58">
        <v>2.0859999999999999</v>
      </c>
      <c r="R128" s="58">
        <v>2.0960000000000001</v>
      </c>
      <c r="S128" s="58">
        <v>27.01</v>
      </c>
      <c r="T128" s="58">
        <v>30.52</v>
      </c>
      <c r="U128" s="58">
        <v>84.91</v>
      </c>
      <c r="V128" s="58">
        <v>2.8489999999999999E-4</v>
      </c>
      <c r="W128" s="58">
        <v>2.4700000000000002</v>
      </c>
      <c r="X128" s="58">
        <v>6.57</v>
      </c>
      <c r="Y128" s="60">
        <f>SUM(RD[[#This Row],[IS1Inv1]:[IS3Inv1]])</f>
        <v>57204.3</v>
      </c>
      <c r="Z128" s="60">
        <f>SUM(RD[[#This Row],[IS4Inv1]:[IS4Inv2]])</f>
        <v>20225.300000000003</v>
      </c>
      <c r="AA128" s="60">
        <f>SUM(RD[[#This Row],[O2RE7]:[O2RE27]])</f>
        <v>77429.600000000006</v>
      </c>
      <c r="AB128" s="153"/>
      <c r="AC128" s="153">
        <v>23772</v>
      </c>
      <c r="AD128" s="153"/>
      <c r="AE128" s="153">
        <v>15222.5</v>
      </c>
      <c r="AF128" s="153">
        <v>23382.859</v>
      </c>
      <c r="AG128" s="153">
        <v>0.04</v>
      </c>
      <c r="AH128" s="153">
        <v>17.170000000000002</v>
      </c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76000</v>
      </c>
      <c r="AK128" s="154">
        <f>IF((RD[[#This Row],[220kV_TL_TVM_Ex]]-AE127)*1600&lt;=0,0,(RD[[#This Row],[220kV_TL_TVM_Ex]]-AE127)*1600)</f>
        <v>76160.000000000582</v>
      </c>
      <c r="AL128" s="154">
        <f>IF((RD[[#This Row],[220kV_C&amp;R_PQM_Ex]]-AF127)*1000&lt;=0,"",(RD[[#This Row],[220kV_C&amp;R_PQM_Ex]]-AF127)*1000)</f>
        <v>75613.000000001193</v>
      </c>
      <c r="AM128" s="154">
        <f>IF((RD[[#This Row],[33kV_Aux1_Im]]-AH127)*1000&lt;0,"",(RD[[#This Row],[33kV_Aux1_Im]]-AH127)*1000)</f>
        <v>350.00000000000142</v>
      </c>
      <c r="AN128" s="154">
        <f>IF((RD[[#This Row],[33kV_Aux1_Im]]-AH127)*1000&lt;0,"",(RD[[#This Row],[33kV_Aux1_Im]]-AH127)*1000)</f>
        <v>350.00000000000142</v>
      </c>
      <c r="AO128" s="61">
        <f>RD[[#This Row],[33kV_OG1_Energy (KWh)]]</f>
        <v>76000</v>
      </c>
      <c r="AP128" s="61">
        <f>IFERROR(RD[[#This Row],[220kV_TL_TVM Energy (KWh)]]-RD[[#This Row],[220kV_C&amp;R_PQM_Imp (KWh)2]],"")</f>
        <v>75810.000000000582</v>
      </c>
      <c r="AQ128" s="63">
        <f>IFERROR(RD[[#This Row],[33 kV Total Export (KWH)]]/RD[[#This Row],[220 KV Net Export (KWh)]]-1,"")</f>
        <v>2.5062656641527958E-3</v>
      </c>
      <c r="AR128" s="64">
        <f>IFERROR((RD[[#This Row],[Sunset Time (POA&lt;20 W/m2)]]-RD[[#This Row],[Sunrise Time (POA&gt;20 W/m2)]])*24,0)</f>
        <v>11.7</v>
      </c>
      <c r="AS128" s="65">
        <f>RD[[#This Row],[33kV_OG1_Energy (KWh)]]</f>
        <v>76000</v>
      </c>
      <c r="AT128" s="65">
        <f>IFERROR(RD[[#This Row],[ Export (33 kV)]]*(1-RD[[#This Row],[33 kV Line Loss (%)]]),RD[[#This Row],[ Export (33 kV)]])</f>
        <v>75809.523809524384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>
        <v>0.27152777777777776</v>
      </c>
      <c r="G129" s="122">
        <v>0.77708333333333335</v>
      </c>
      <c r="H129" s="138">
        <v>17343.099999999999</v>
      </c>
      <c r="I129" s="138">
        <v>17379.900000000001</v>
      </c>
      <c r="J129" s="138">
        <v>24147.8</v>
      </c>
      <c r="K129" s="138">
        <v>24340.799999999999</v>
      </c>
      <c r="L129" s="138">
        <v>24662.7</v>
      </c>
      <c r="M129" s="138">
        <v>19514.7</v>
      </c>
      <c r="N129" s="138">
        <v>19225.400000000001</v>
      </c>
      <c r="O129" s="167"/>
      <c r="P129" s="167"/>
      <c r="Q129" s="58">
        <v>5.508</v>
      </c>
      <c r="R129" s="58">
        <v>5.6719999999999997</v>
      </c>
      <c r="S129" s="58">
        <v>29.55</v>
      </c>
      <c r="T129" s="58">
        <v>39.5</v>
      </c>
      <c r="U129" s="58">
        <v>71.44</v>
      </c>
      <c r="V129" s="58">
        <v>0</v>
      </c>
      <c r="W129" s="58">
        <v>4.12</v>
      </c>
      <c r="X129" s="58">
        <v>9.18</v>
      </c>
      <c r="Y129" s="60">
        <f>SUM(RD[[#This Row],[IS1Inv1]:[IS3Inv1]])</f>
        <v>107874.3</v>
      </c>
      <c r="Z129" s="60">
        <f>SUM(RD[[#This Row],[IS4Inv1]:[IS4Inv2]])</f>
        <v>38740.100000000006</v>
      </c>
      <c r="AA129" s="60">
        <f>SUM(RD[[#This Row],[O2RE7]:[O2RE27]])</f>
        <v>146614.40000000002</v>
      </c>
      <c r="AB129" s="153"/>
      <c r="AC129" s="153">
        <v>23918</v>
      </c>
      <c r="AD129" s="153"/>
      <c r="AE129" s="153">
        <v>15312.7</v>
      </c>
      <c r="AF129" s="153">
        <v>23526.918000000001</v>
      </c>
      <c r="AG129" s="153">
        <v>0.04</v>
      </c>
      <c r="AH129" s="153">
        <v>17.420000000000002</v>
      </c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146000</v>
      </c>
      <c r="AK129" s="154">
        <f>IF((RD[[#This Row],[220kV_TL_TVM_Ex]]-AE128)*1600&lt;=0,0,(RD[[#This Row],[220kV_TL_TVM_Ex]]-AE128)*1600)</f>
        <v>144320.00000000116</v>
      </c>
      <c r="AL129" s="154">
        <f>IF((RD[[#This Row],[220kV_C&amp;R_PQM_Ex]]-AF128)*1000&lt;=0,"",(RD[[#This Row],[220kV_C&amp;R_PQM_Ex]]-AF128)*1000)</f>
        <v>144059.00000000111</v>
      </c>
      <c r="AM129" s="154">
        <f>IF((RD[[#This Row],[33kV_Aux1_Im]]-AH128)*1000&lt;0,"",(RD[[#This Row],[33kV_Aux1_Im]]-AH128)*1000)</f>
        <v>250</v>
      </c>
      <c r="AN129" s="154">
        <f>IF((RD[[#This Row],[33kV_Aux1_Im]]-AH128)*1000&lt;0,"",(RD[[#This Row],[33kV_Aux1_Im]]-AH128)*1000)</f>
        <v>250</v>
      </c>
      <c r="AO129" s="61">
        <f>RD[[#This Row],[33kV_OG1_Energy (KWh)]]</f>
        <v>146000</v>
      </c>
      <c r="AP129" s="61">
        <f>IFERROR(RD[[#This Row],[220kV_TL_TVM Energy (KWh)]]-RD[[#This Row],[220kV_C&amp;R_PQM_Imp (KWh)2]],"")</f>
        <v>144070.00000000116</v>
      </c>
      <c r="AQ129" s="63">
        <f>IFERROR(RD[[#This Row],[33 kV Total Export (KWH)]]/RD[[#This Row],[220 KV Net Export (KWh)]]-1,"")</f>
        <v>1.3396265704163302E-2</v>
      </c>
      <c r="AR129" s="64">
        <f>IFERROR((RD[[#This Row],[Sunset Time (POA&lt;20 W/m2)]]-RD[[#This Row],[Sunrise Time (POA&gt;20 W/m2)]])*24,0)</f>
        <v>12.133333333333333</v>
      </c>
      <c r="AS129" s="65">
        <f>RD[[#This Row],[33kV_OG1_Energy (KWh)]]</f>
        <v>146000</v>
      </c>
      <c r="AT129" s="65">
        <f>IFERROR(RD[[#This Row],[ Export (33 kV)]]*(1-RD[[#This Row],[33 kV Line Loss (%)]]),RD[[#This Row],[ Export (33 kV)]])</f>
        <v>144044.14520719217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 t="str">
        <f>IF((RD[[#This Row],[33kV_Aux1_Im]]-AH129)*1000&lt;0,"",(RD[[#This Row],[33kV_Aux1_Im]]-AH129)*1000)</f>
        <v/>
      </c>
      <c r="AN130" s="154" t="str">
        <f>IF((RD[[#This Row],[33kV_Aux1_Im]]-AH129)*1000&lt;0,"",(RD[[#This Row],[33kV_Aux1_Im]]-AH129)*1000)</f>
        <v/>
      </c>
      <c r="AO130" s="61">
        <f>RD[[#This Row],[33kV_OG1_Energy (KWh)]]</f>
        <v>0</v>
      </c>
      <c r="AP130" s="61" t="str">
        <f>IFERROR(RD[[#This Row],[220kV_TL_TVM Energy (KWh)]]-RD[[#This Row],[220kV_C&amp;R_PQM_Imp (KWh)2]],"")</f>
        <v/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277">
        <v>39.21</v>
      </c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277">
        <v>39.21</v>
      </c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277">
        <v>39.21</v>
      </c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277">
        <v>39.21</v>
      </c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277">
        <v>39.21</v>
      </c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277">
        <v>39.21</v>
      </c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277">
        <v>39.21</v>
      </c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277">
        <v>39.21</v>
      </c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277">
        <v>39.21</v>
      </c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277">
        <v>39.21</v>
      </c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277">
        <v>39.21</v>
      </c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277">
        <v>39.21</v>
      </c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277">
        <v>39.21</v>
      </c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277">
        <v>39.21</v>
      </c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277">
        <v>39.21</v>
      </c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277">
        <v>39.21</v>
      </c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277">
        <v>39.21</v>
      </c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277">
        <v>39.21</v>
      </c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277">
        <v>39.21</v>
      </c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277">
        <v>39.21</v>
      </c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277">
        <v>39.21</v>
      </c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277">
        <v>39.21</v>
      </c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277">
        <v>39.21</v>
      </c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277">
        <v>39.21</v>
      </c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277">
        <v>39.21</v>
      </c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277">
        <v>39.21</v>
      </c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277">
        <v>39.21</v>
      </c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277">
        <v>39.21</v>
      </c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277">
        <v>39.21</v>
      </c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277">
        <v>39.21</v>
      </c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277">
        <v>39.21</v>
      </c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277">
        <v>39.21</v>
      </c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277">
        <v>39.21</v>
      </c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277">
        <v>39.21</v>
      </c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277">
        <v>39.21</v>
      </c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277">
        <v>39.21</v>
      </c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277">
        <v>39.21</v>
      </c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277">
        <v>39.21</v>
      </c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277">
        <v>39.21</v>
      </c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277">
        <v>39.21</v>
      </c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277">
        <v>39.21</v>
      </c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277">
        <v>39.21</v>
      </c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277">
        <v>39.21</v>
      </c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277">
        <v>39.21</v>
      </c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277">
        <v>39.21</v>
      </c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277">
        <v>39.21</v>
      </c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277">
        <v>39.21</v>
      </c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277">
        <v>39.21</v>
      </c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277">
        <v>39.21</v>
      </c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277">
        <v>39.21</v>
      </c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277">
        <v>39.21</v>
      </c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277">
        <v>39.21</v>
      </c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277">
        <v>39.21</v>
      </c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277">
        <v>39.21</v>
      </c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277">
        <v>39.21</v>
      </c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277">
        <v>39.21</v>
      </c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277">
        <v>39.21</v>
      </c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277">
        <v>39.21</v>
      </c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277">
        <v>39.21</v>
      </c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277">
        <v>39.21</v>
      </c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277">
        <v>39.21</v>
      </c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277">
        <v>39.21</v>
      </c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277">
        <v>39.21</v>
      </c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277">
        <v>39.21</v>
      </c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277">
        <v>39.21</v>
      </c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277">
        <v>39.21</v>
      </c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277">
        <v>39.21</v>
      </c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277">
        <v>39.21</v>
      </c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277">
        <v>39.21</v>
      </c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277">
        <v>39.21</v>
      </c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277">
        <v>39.21</v>
      </c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277">
        <v>39.21</v>
      </c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277">
        <v>39.21</v>
      </c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277">
        <v>39.21</v>
      </c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277">
        <v>39.21</v>
      </c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277">
        <v>39.21</v>
      </c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277">
        <v>39.21</v>
      </c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277">
        <v>39.21</v>
      </c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277">
        <v>39.21</v>
      </c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277">
        <v>39.21</v>
      </c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277">
        <v>39.21</v>
      </c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277">
        <v>39.21</v>
      </c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277">
        <v>39.21</v>
      </c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277">
        <v>39.21</v>
      </c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277">
        <v>39.21</v>
      </c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277">
        <v>39.21</v>
      </c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277">
        <v>39.21</v>
      </c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277">
        <v>39.21</v>
      </c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277">
        <v>39.21</v>
      </c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277">
        <v>39.21</v>
      </c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277">
        <v>39.21</v>
      </c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277">
        <v>39.21</v>
      </c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277">
        <v>39.21</v>
      </c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277">
        <v>39.21</v>
      </c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277">
        <v>39.21</v>
      </c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277">
        <v>39.21</v>
      </c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277">
        <v>39.21</v>
      </c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277">
        <v>39.21</v>
      </c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277">
        <v>39.21</v>
      </c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277">
        <v>39.21</v>
      </c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277">
        <v>39.21</v>
      </c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277">
        <v>39.21</v>
      </c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277">
        <v>39.21</v>
      </c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277">
        <v>39.21</v>
      </c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277">
        <v>39.21</v>
      </c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277">
        <v>39.21</v>
      </c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277">
        <v>39.21</v>
      </c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277">
        <v>39.21</v>
      </c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277">
        <v>39.21</v>
      </c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277">
        <v>39.21</v>
      </c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277">
        <v>39.21</v>
      </c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277">
        <v>39.21</v>
      </c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277">
        <v>39.21</v>
      </c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277">
        <v>39.21</v>
      </c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277">
        <v>39.21</v>
      </c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277">
        <v>39.21</v>
      </c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277">
        <v>39.21</v>
      </c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277">
        <v>39.21</v>
      </c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277">
        <v>39.21</v>
      </c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277">
        <v>39.21</v>
      </c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277">
        <v>39.21</v>
      </c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277">
        <v>39.21</v>
      </c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277">
        <v>39.21</v>
      </c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277">
        <v>39.21</v>
      </c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277">
        <v>39.21</v>
      </c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277">
        <v>39.21</v>
      </c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277">
        <v>39.21</v>
      </c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277">
        <v>39.21</v>
      </c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277">
        <v>39.21</v>
      </c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277">
        <v>39.21</v>
      </c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277">
        <v>39.21</v>
      </c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277">
        <v>39.21</v>
      </c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277">
        <v>39.21</v>
      </c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277">
        <v>39.21</v>
      </c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277">
        <v>39.21</v>
      </c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277">
        <v>39.21</v>
      </c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277">
        <v>39.21</v>
      </c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31</v>
      </c>
      <c r="R17" s="317">
        <f t="shared" si="15"/>
        <v>118.1</v>
      </c>
      <c r="S17" s="317">
        <f>SUMIF($F$2:F17,F17,$R$2:R17)</f>
        <v>655.20803409999996</v>
      </c>
      <c r="T17" s="316">
        <f t="shared" si="16"/>
        <v>171.30696170170086</v>
      </c>
      <c r="U17" s="317">
        <f t="shared" si="17"/>
        <v>5310.5158127527266</v>
      </c>
      <c r="V17" s="317">
        <f>SUMIF($F$2:F17,F17,$U$2:U17)</f>
        <v>21577.529487396518</v>
      </c>
      <c r="W17" s="318">
        <f t="shared" si="18"/>
        <v>0.13127875616073204</v>
      </c>
      <c r="X17" s="318">
        <f t="shared" si="8"/>
        <v>0.13127875616073206</v>
      </c>
      <c r="Y17" s="318">
        <f t="shared" si="9"/>
        <v>0.1355380798662989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655.20803409999996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21577.529487396518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0.1355380798662989</v>
      </c>
      <c r="Z18" s="316">
        <f>IFERROR(AVERAGEIF('Daily KPI'!D:D,Mod[[#This Row],[Month]],'Daily KPI'!AB:AB),"")</f>
        <v>39.210000000000015</v>
      </c>
      <c r="AA18" s="319">
        <f>IFERROR(AVERAGEIF($F$2:F18,F18,$Z$2:Z18),"")</f>
        <v>38.548933333333345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4146469.8092226707</v>
      </c>
      <c r="AN18" s="326">
        <f>SUMIF($F$2:F18,F18,$AM$2:AM18)</f>
        <v>22175363.877965435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655.20803409999996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21577.529487396518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0.1355380798662989</v>
      </c>
      <c r="Z19" s="316">
        <f>IFERROR(AVERAGEIF('Daily KPI'!D:D,Mod[[#This Row],[Month]],'Daily KPI'!AB:AB),"")</f>
        <v>39.210000000000015</v>
      </c>
      <c r="AA19" s="319">
        <f>IFERROR(AVERAGEIF($F$2:F19,F19,$Z$2:Z19),"")</f>
        <v>38.659111111111123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4858179.9436622132</v>
      </c>
      <c r="AN19" s="326">
        <f>SUMIF($F$2:F19,F19,$AM$2:AM19)</f>
        <v>27033543.821627647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655.20803409999996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21577.529487396518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5.4587961666151888E-2</v>
      </c>
      <c r="Z20" s="316">
        <f>IFERROR(AVERAGEIF('Daily KPI'!D:D,Mod[[#This Row],[Month]],'Daily KPI'!AB:AB),"")</f>
        <v>39.210000000000015</v>
      </c>
      <c r="AA20" s="319">
        <f>IFERROR(AVERAGEIF($F$2:F20,F20,$Z$2:Z20),"")</f>
        <v>38.737809523809531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4963229.3125595478</v>
      </c>
      <c r="AN20" s="326">
        <f>SUMIF($F$2:F20,F20,$AM$2:AM20)</f>
        <v>31996773.134187195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655.20803409999996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21577.529487396518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5.4587961666151888E-2</v>
      </c>
      <c r="Z21" s="316">
        <f>IFERROR(AVERAGEIF('Daily KPI'!D:D,Mod[[#This Row],[Month]],'Daily KPI'!AB:AB),"")</f>
        <v>39.210000000000015</v>
      </c>
      <c r="AA21" s="319">
        <f>IFERROR(AVERAGEIF($F$2:F21,F21,$Z$2:Z21),"")</f>
        <v>38.796833333333346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4998790.4066284206</v>
      </c>
      <c r="AN21" s="326">
        <f>SUMIF($F$2:F21,F21,$AM$2:AM21)</f>
        <v>36995563.540815614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655.20803409999996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21577.529487396518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5.4587961666151888E-2</v>
      </c>
      <c r="Z22" s="316">
        <f>IFERROR(AVERAGEIF('Daily KPI'!D:D,Mod[[#This Row],[Month]],'Daily KPI'!AB:AB),"")</f>
        <v>18.97258064516129</v>
      </c>
      <c r="AA22" s="319">
        <f>IFERROR(AVERAGEIF($F$2:F22,F22,$Z$2:Z22),"")</f>
        <v>36.594138590203123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2570187.1487279953</v>
      </c>
      <c r="AN22" s="326">
        <f>SUMIF($F$2:F22,F22,$AM$2:AM22)</f>
        <v>39565750.689543612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655.20803409999996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21577.529487396518</v>
      </c>
      <c r="W23" s="318">
        <f t="shared" si="18"/>
        <v>0.2042099833979151</v>
      </c>
      <c r="X23" s="318" t="str">
        <f t="shared" si="8"/>
        <v/>
      </c>
      <c r="Y23" s="318">
        <f t="shared" si="9"/>
        <v>5.4587961666151888E-2</v>
      </c>
      <c r="Z23" s="316" t="str">
        <f>IFERROR(AVERAGEIF('Daily KPI'!D:D,Mod[[#This Row],[Month]],'Daily KPI'!AB:AB),"")</f>
        <v/>
      </c>
      <c r="AA23" s="319">
        <f>IFERROR(AVERAGEIF($F$2:F23,F23,$Z$2:Z23),"")</f>
        <v>36.594138590203123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39565750.689543612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655.20803409999996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21577.529487396518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5.4587961666151888E-2</v>
      </c>
      <c r="Z24" s="316" t="str">
        <f>IFERROR(AVERAGEIF('Daily KPI'!D:D,Mod[[#This Row],[Month]],'Daily KPI'!AB:AB),"")</f>
        <v/>
      </c>
      <c r="AA24" s="319">
        <f>IFERROR(AVERAGEIF($F$2:F24,F24,$Z$2:Z24),"")</f>
        <v>36.594138590203123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39565750.689543612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655.20803409999996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21577.529487396518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5.4587961666151888E-2</v>
      </c>
      <c r="Z25" s="316" t="str">
        <f>IFERROR(AVERAGEIF('Daily KPI'!D:D,Mod[[#This Row],[Month]],'Daily KPI'!AB:AB),"")</f>
        <v/>
      </c>
      <c r="AA25" s="319">
        <f>IFERROR(AVERAGEIF($F$2:F25,F25,$Z$2:Z25),"")</f>
        <v>36.594138590203123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39565750.689543612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AC196" activePane="bottomRight" state="frozen"/>
      <selection pane="topRight" activeCell="C1" sqref="C1"/>
      <selection pane="bottomLeft" activeCell="A4" sqref="A4"/>
      <selection pane="bottomRight" activeCell="AH210" sqref="AH21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>
        <v>45869</v>
      </c>
      <c r="C201" s="32">
        <f>YEAR(PA[[#This Row],[Date]])+IF(MONTH(PA[[#This Row],[Date]])&gt;=4,1,0)</f>
        <v>2026</v>
      </c>
      <c r="D201" s="32">
        <f>YEAR(PA[[#This Row],[Date]])</f>
        <v>2025</v>
      </c>
      <c r="E201" s="33" t="s">
        <v>219</v>
      </c>
      <c r="F201" s="33" t="s">
        <v>219</v>
      </c>
      <c r="G201" s="196">
        <f>PA[[#This Row],[Date]]-DAY(PA[[#This Row],[Date]])+1</f>
        <v>45839</v>
      </c>
      <c r="H201" s="32">
        <f>DAY(EOMONTH(PA[[#This Row],[Month Year]],0))</f>
        <v>31</v>
      </c>
      <c r="I201" s="122">
        <v>0.27152777777777776</v>
      </c>
      <c r="J201" s="122">
        <v>0.77708333333333335</v>
      </c>
      <c r="K201" s="35">
        <f>IFERROR((PA[[#This Row],[Sunset Time (POA&lt;20 W/m2)]]-PA[[#This Row],[Sunrise Time (POA&gt;20 W/m2)]])*24,"")</f>
        <v>12.133333333333333</v>
      </c>
      <c r="L201" s="37" t="s">
        <v>300</v>
      </c>
      <c r="M201" s="37" t="s">
        <v>294</v>
      </c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201" s="35">
        <f>IFERROR(_xlfn.XLOOKUP(PA[[#This Row],[Affected Equipment ]],'Basic Data'!N:N,'Basic Data'!Q:Q),"")</f>
        <v>4662.4750000000004</v>
      </c>
      <c r="V201" s="236">
        <f ca="1">IFERROR(_xlfn.XLOOKUP(PA[[#This Row],[Affected Equipment ]],'Basic Data'!N:N,'Basic Data'!R:R),"")</f>
        <v>0.11891035450140271</v>
      </c>
      <c r="W201" s="36" t="s">
        <v>345</v>
      </c>
      <c r="X201" s="40"/>
      <c r="Y201" s="40" t="s">
        <v>372</v>
      </c>
      <c r="Z201" s="43">
        <v>0.51180555555555551</v>
      </c>
      <c r="AA201" s="43">
        <v>0.51180555555555551</v>
      </c>
      <c r="AB201" s="43">
        <v>0.51180555555555551</v>
      </c>
      <c r="AC201" s="46">
        <v>0.58611111111111114</v>
      </c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1.783333333333335</v>
      </c>
      <c r="AG201" s="44">
        <f>IFERROR((PA[[#This Row],[Work Completion time on fault]]-PA[[#This Row],[Fault Time]])*24,"")</f>
        <v>1.783333333333335</v>
      </c>
      <c r="AH201" s="36" t="s">
        <v>297</v>
      </c>
      <c r="AI201" s="33" t="s">
        <v>298</v>
      </c>
      <c r="AJ201" s="35">
        <f ca="1">IFERROR(PA[[#This Row],[Breakdown Time]]*PA[[#This Row],[Plant Equivalent Weightage]],"")</f>
        <v>0.21205679886083503</v>
      </c>
      <c r="AK201" s="36">
        <v>1.2708642029999999</v>
      </c>
      <c r="AL201" s="51">
        <f>IFERROR((_xlfn.XLOOKUP($G201,'Modelling New'!D:D,'Modelling New'!$O:$O)*PA[[#This Row],[Lost PoA(kWh/m2)]]*PA[[#This Row],[DC Capacity Affected (kW)]]),"")</f>
        <v>4900.4183134300793</v>
      </c>
      <c r="AM201" s="33"/>
      <c r="AN201" s="33"/>
      <c r="AO201" s="33">
        <v>5437</v>
      </c>
      <c r="AP201" s="33" t="s">
        <v>784</v>
      </c>
    </row>
    <row r="202" spans="1:42">
      <c r="A202" s="30">
        <f t="shared" si="0"/>
        <v>201</v>
      </c>
      <c r="B202" s="166">
        <v>45869</v>
      </c>
      <c r="C202" s="32">
        <f>YEAR(PA[[#This Row],[Date]])+IF(MONTH(PA[[#This Row],[Date]])&gt;=4,1,0)</f>
        <v>2026</v>
      </c>
      <c r="D202" s="32">
        <f>YEAR(PA[[#This Row],[Date]])</f>
        <v>2025</v>
      </c>
      <c r="E202" s="33" t="s">
        <v>219</v>
      </c>
      <c r="F202" s="33" t="s">
        <v>219</v>
      </c>
      <c r="G202" s="196">
        <f>PA[[#This Row],[Date]]-DAY(PA[[#This Row],[Date]])+1</f>
        <v>45839</v>
      </c>
      <c r="H202" s="32">
        <f>DAY(EOMONTH(PA[[#This Row],[Month Year]],0))</f>
        <v>31</v>
      </c>
      <c r="I202" s="122">
        <v>0.27152777777777776</v>
      </c>
      <c r="J202" s="122">
        <v>0.77708333333333335</v>
      </c>
      <c r="K202" s="35">
        <f>IFERROR((PA[[#This Row],[Sunset Time (POA&lt;20 W/m2)]]-PA[[#This Row],[Sunrise Time (POA&gt;20 W/m2)]])*24,"")</f>
        <v>12.133333333333333</v>
      </c>
      <c r="L202" s="37" t="s">
        <v>300</v>
      </c>
      <c r="M202" s="37" t="s">
        <v>299</v>
      </c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202" s="35">
        <f>IFERROR(_xlfn.XLOOKUP(PA[[#This Row],[Affected Equipment ]],'Basic Data'!N:N,'Basic Data'!Q:Q),"")</f>
        <v>4662.4750000000004</v>
      </c>
      <c r="V202" s="236">
        <f ca="1">IFERROR(_xlfn.XLOOKUP(PA[[#This Row],[Affected Equipment ]],'Basic Data'!N:N,'Basic Data'!R:R),"")</f>
        <v>0.11891035450140271</v>
      </c>
      <c r="W202" s="36" t="s">
        <v>345</v>
      </c>
      <c r="X202" s="40"/>
      <c r="Y202" s="40" t="s">
        <v>372</v>
      </c>
      <c r="Z202" s="43">
        <v>0.51180555555555551</v>
      </c>
      <c r="AA202" s="43">
        <v>0.51180555555555551</v>
      </c>
      <c r="AB202" s="43">
        <v>0.51180555555555551</v>
      </c>
      <c r="AC202" s="46">
        <v>0.58611111111111114</v>
      </c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1.783333333333335</v>
      </c>
      <c r="AG202" s="44">
        <f>IFERROR((PA[[#This Row],[Work Completion time on fault]]-PA[[#This Row],[Fault Time]])*24,"")</f>
        <v>1.783333333333335</v>
      </c>
      <c r="AH202" s="36" t="s">
        <v>297</v>
      </c>
      <c r="AI202" s="33" t="s">
        <v>298</v>
      </c>
      <c r="AJ202" s="35">
        <f ca="1">IFERROR(PA[[#This Row],[Breakdown Time]]*PA[[#This Row],[Plant Equivalent Weightage]],"")</f>
        <v>0.21205679886083503</v>
      </c>
      <c r="AK202" s="36">
        <v>1.2708642029999999</v>
      </c>
      <c r="AL202" s="51">
        <f>IFERROR((_xlfn.XLOOKUP($G202,'Modelling New'!D:D,'Modelling New'!$O:$O)*PA[[#This Row],[Lost PoA(kWh/m2)]]*PA[[#This Row],[DC Capacity Affected (kW)]]),"")</f>
        <v>4900.4183134300793</v>
      </c>
      <c r="AM202" s="33"/>
      <c r="AN202" s="33"/>
      <c r="AO202" s="33">
        <v>5437</v>
      </c>
      <c r="AP202" s="33" t="s">
        <v>784</v>
      </c>
    </row>
    <row r="203" spans="1:42">
      <c r="A203" s="30">
        <f t="shared" si="0"/>
        <v>202</v>
      </c>
      <c r="B203" s="166">
        <v>45869</v>
      </c>
      <c r="C203" s="32">
        <f>YEAR(PA[[#This Row],[Date]])+IF(MONTH(PA[[#This Row],[Date]])&gt;=4,1,0)</f>
        <v>2026</v>
      </c>
      <c r="D203" s="32">
        <f>YEAR(PA[[#This Row],[Date]])</f>
        <v>2025</v>
      </c>
      <c r="E203" s="33" t="s">
        <v>219</v>
      </c>
      <c r="F203" s="33" t="s">
        <v>219</v>
      </c>
      <c r="G203" s="196">
        <f>PA[[#This Row],[Date]]-DAY(PA[[#This Row],[Date]])+1</f>
        <v>45839</v>
      </c>
      <c r="H203" s="32">
        <f>DAY(EOMONTH(PA[[#This Row],[Month Year]],0))</f>
        <v>31</v>
      </c>
      <c r="I203" s="122">
        <v>0.27152777777777776</v>
      </c>
      <c r="J203" s="122">
        <v>0.77708333333333335</v>
      </c>
      <c r="K203" s="35">
        <f>IFERROR((PA[[#This Row],[Sunset Time (POA&lt;20 W/m2)]]-PA[[#This Row],[Sunrise Time (POA&gt;20 W/m2)]])*24,"")</f>
        <v>12.133333333333333</v>
      </c>
      <c r="L203" s="33" t="s">
        <v>293</v>
      </c>
      <c r="M203" s="33" t="s">
        <v>294</v>
      </c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03" s="35">
        <f>IFERROR(_xlfn.XLOOKUP(PA[[#This Row],[Affected Equipment ]],'Basic Data'!N:N,'Basic Data'!Q:Q),"")</f>
        <v>6511.66</v>
      </c>
      <c r="V203" s="236">
        <f ca="1">IFERROR(_xlfn.XLOOKUP(PA[[#This Row],[Affected Equipment ]],'Basic Data'!N:N,'Basic Data'!R:R),"")</f>
        <v>0.1660714103545014</v>
      </c>
      <c r="W203" s="36" t="s">
        <v>345</v>
      </c>
      <c r="X203" s="40"/>
      <c r="Y203" s="40" t="s">
        <v>372</v>
      </c>
      <c r="Z203" s="43">
        <v>0.51180555555555551</v>
      </c>
      <c r="AA203" s="43">
        <v>0.51180555555555551</v>
      </c>
      <c r="AB203" s="43">
        <v>0.51180555555555551</v>
      </c>
      <c r="AC203" s="46">
        <v>0.58472222222222225</v>
      </c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1.7500000000000018</v>
      </c>
      <c r="AG203" s="44">
        <f>IFERROR((PA[[#This Row],[Work Completion time on fault]]-PA[[#This Row],[Fault Time]])*24,"")</f>
        <v>1.7500000000000018</v>
      </c>
      <c r="AH203" s="36" t="s">
        <v>297</v>
      </c>
      <c r="AI203" s="33" t="s">
        <v>298</v>
      </c>
      <c r="AJ203" s="35">
        <f ca="1">IFERROR(PA[[#This Row],[Breakdown Time]]*PA[[#This Row],[Plant Equivalent Weightage]],"")</f>
        <v>0.29062496812037775</v>
      </c>
      <c r="AK203" s="36">
        <v>1.256169565</v>
      </c>
      <c r="AL203" s="51">
        <f>IFERROR((_xlfn.XLOOKUP($G203,'Modelling New'!D:D,'Modelling New'!$O:$O)*PA[[#This Row],[Lost PoA(kWh/m2)]]*PA[[#This Row],[DC Capacity Affected (kW)]]),"")</f>
        <v>6764.839143786553</v>
      </c>
      <c r="AM203" s="33"/>
      <c r="AN203" s="33"/>
      <c r="AO203" s="33">
        <v>5437</v>
      </c>
      <c r="AP203" s="33" t="s">
        <v>784</v>
      </c>
    </row>
    <row r="204" spans="1:42">
      <c r="A204" s="30">
        <f t="shared" si="0"/>
        <v>203</v>
      </c>
      <c r="B204" s="166">
        <v>45869</v>
      </c>
      <c r="C204" s="32">
        <f>YEAR(PA[[#This Row],[Date]])+IF(MONTH(PA[[#This Row],[Date]])&gt;=4,1,0)</f>
        <v>2026</v>
      </c>
      <c r="D204" s="32">
        <f>YEAR(PA[[#This Row],[Date]])</f>
        <v>2025</v>
      </c>
      <c r="E204" s="33" t="s">
        <v>219</v>
      </c>
      <c r="F204" s="33" t="s">
        <v>219</v>
      </c>
      <c r="G204" s="196">
        <f>PA[[#This Row],[Date]]-DAY(PA[[#This Row],[Date]])+1</f>
        <v>45839</v>
      </c>
      <c r="H204" s="32">
        <f>DAY(EOMONTH(PA[[#This Row],[Month Year]],0))</f>
        <v>31</v>
      </c>
      <c r="I204" s="122">
        <v>0.27152777777777776</v>
      </c>
      <c r="J204" s="122">
        <v>0.77708333333333335</v>
      </c>
      <c r="K204" s="35">
        <f>IFERROR((PA[[#This Row],[Sunset Time (POA&lt;20 W/m2)]]-PA[[#This Row],[Sunrise Time (POA&gt;20 W/m2)]])*24,"")</f>
        <v>12.133333333333333</v>
      </c>
      <c r="L204" s="33" t="s">
        <v>293</v>
      </c>
      <c r="M204" s="33" t="s">
        <v>299</v>
      </c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04" s="35">
        <f>IFERROR(_xlfn.XLOOKUP(PA[[#This Row],[Affected Equipment ]],'Basic Data'!N:N,'Basic Data'!Q:Q),"")</f>
        <v>6495.8549999999996</v>
      </c>
      <c r="V204" s="236">
        <f ca="1">IFERROR(_xlfn.XLOOKUP(PA[[#This Row],[Affected Equipment ]],'Basic Data'!N:N,'Basic Data'!R:R),"")</f>
        <v>0.16566832440703902</v>
      </c>
      <c r="W204" s="36" t="s">
        <v>345</v>
      </c>
      <c r="X204" s="40"/>
      <c r="Y204" s="40" t="s">
        <v>372</v>
      </c>
      <c r="Z204" s="43">
        <v>0.51180555555555551</v>
      </c>
      <c r="AA204" s="43">
        <v>0.51180555555555551</v>
      </c>
      <c r="AB204" s="43">
        <v>0.51180555555555551</v>
      </c>
      <c r="AC204" s="46">
        <v>0.58472222222222225</v>
      </c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1.7500000000000018</v>
      </c>
      <c r="AG204" s="44">
        <f>IFERROR((PA[[#This Row],[Work Completion time on fault]]-PA[[#This Row],[Fault Time]])*24,"")</f>
        <v>1.7500000000000018</v>
      </c>
      <c r="AH204" s="36" t="s">
        <v>297</v>
      </c>
      <c r="AI204" s="33" t="s">
        <v>298</v>
      </c>
      <c r="AJ204" s="35">
        <f ca="1">IFERROR(PA[[#This Row],[Breakdown Time]]*PA[[#This Row],[Plant Equivalent Weightage]],"")</f>
        <v>0.28991956771231858</v>
      </c>
      <c r="AK204" s="36">
        <v>1.256169565</v>
      </c>
      <c r="AL204" s="51">
        <f>IFERROR((_xlfn.XLOOKUP($G204,'Modelling New'!D:D,'Modelling New'!$O:$O)*PA[[#This Row],[Lost PoA(kWh/m2)]]*PA[[#This Row],[DC Capacity Affected (kW)]]),"")</f>
        <v>6748.4196313016337</v>
      </c>
      <c r="AM204" s="33"/>
      <c r="AN204" s="33"/>
      <c r="AO204" s="33">
        <v>5437</v>
      </c>
      <c r="AP204" s="33" t="s">
        <v>784</v>
      </c>
    </row>
    <row r="205" spans="1:42">
      <c r="A205" s="30">
        <f t="shared" si="0"/>
        <v>204</v>
      </c>
      <c r="B205" s="166">
        <v>45869</v>
      </c>
      <c r="C205" s="32">
        <f>YEAR(PA[[#This Row],[Date]])+IF(MONTH(PA[[#This Row],[Date]])&gt;=4,1,0)</f>
        <v>2026</v>
      </c>
      <c r="D205" s="32">
        <f>YEAR(PA[[#This Row],[Date]])</f>
        <v>2025</v>
      </c>
      <c r="E205" s="33" t="s">
        <v>219</v>
      </c>
      <c r="F205" s="33" t="s">
        <v>219</v>
      </c>
      <c r="G205" s="196">
        <f>PA[[#This Row],[Date]]-DAY(PA[[#This Row],[Date]])+1</f>
        <v>45839</v>
      </c>
      <c r="H205" s="32">
        <f>DAY(EOMONTH(PA[[#This Row],[Month Year]],0))</f>
        <v>31</v>
      </c>
      <c r="I205" s="122">
        <v>0.27152777777777776</v>
      </c>
      <c r="J205" s="122">
        <v>0.77708333333333335</v>
      </c>
      <c r="K205" s="35">
        <f>IFERROR((PA[[#This Row],[Sunset Time (POA&lt;20 W/m2)]]-PA[[#This Row],[Sunrise Time (POA&gt;20 W/m2)]])*24,"")</f>
        <v>12.133333333333333</v>
      </c>
      <c r="L205" s="33" t="s">
        <v>302</v>
      </c>
      <c r="M205" s="37" t="s">
        <v>294</v>
      </c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05" s="35">
        <f>IFERROR(_xlfn.XLOOKUP(PA[[#This Row],[Affected Equipment ]],'Basic Data'!N:N,'Basic Data'!Q:Q),"")</f>
        <v>6527.4649999999992</v>
      </c>
      <c r="V205" s="236">
        <f ca="1">IFERROR(_xlfn.XLOOKUP(PA[[#This Row],[Affected Equipment ]],'Basic Data'!N:N,'Basic Data'!R:R),"")</f>
        <v>0.16647449630196376</v>
      </c>
      <c r="W205" s="36" t="s">
        <v>345</v>
      </c>
      <c r="X205" s="40"/>
      <c r="Y205" s="40" t="s">
        <v>372</v>
      </c>
      <c r="Z205" s="43">
        <v>0.51180555555555551</v>
      </c>
      <c r="AA205" s="43">
        <v>0.51180555555555551</v>
      </c>
      <c r="AB205" s="43">
        <v>0.51180555555555551</v>
      </c>
      <c r="AC205" s="46">
        <v>0.58194444444444449</v>
      </c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1.6833333333333353</v>
      </c>
      <c r="AG205" s="44">
        <f>IFERROR((PA[[#This Row],[Work Completion time on fault]]-PA[[#This Row],[Fault Time]])*24,"")</f>
        <v>1.6833333333333353</v>
      </c>
      <c r="AH205" s="36" t="s">
        <v>297</v>
      </c>
      <c r="AI205" s="33" t="s">
        <v>298</v>
      </c>
      <c r="AJ205" s="35">
        <f ca="1">IFERROR(PA[[#This Row],[Breakdown Time]]*PA[[#This Row],[Plant Equivalent Weightage]],"")</f>
        <v>0.28023206877497264</v>
      </c>
      <c r="AK205" s="36">
        <v>1.222267215</v>
      </c>
      <c r="AL205" s="51">
        <f>IFERROR((_xlfn.XLOOKUP($G205,'Modelling New'!D:D,'Modelling New'!$O:$O)*PA[[#This Row],[Lost PoA(kWh/m2)]]*PA[[#This Row],[DC Capacity Affected (kW)]]),"")</f>
        <v>6598.2414818301795</v>
      </c>
      <c r="AM205" s="33"/>
      <c r="AN205" s="33"/>
      <c r="AO205" s="33">
        <v>5437</v>
      </c>
      <c r="AP205" s="33" t="s">
        <v>784</v>
      </c>
    </row>
    <row r="206" spans="1:42">
      <c r="A206" s="30">
        <f t="shared" si="0"/>
        <v>205</v>
      </c>
      <c r="B206" s="166">
        <v>45869</v>
      </c>
      <c r="C206" s="32">
        <f>YEAR(PA[[#This Row],[Date]])+IF(MONTH(PA[[#This Row],[Date]])&gt;=4,1,0)</f>
        <v>2026</v>
      </c>
      <c r="D206" s="32">
        <f>YEAR(PA[[#This Row],[Date]])</f>
        <v>2025</v>
      </c>
      <c r="E206" s="33" t="s">
        <v>219</v>
      </c>
      <c r="F206" s="33" t="s">
        <v>219</v>
      </c>
      <c r="G206" s="196">
        <f>PA[[#This Row],[Date]]-DAY(PA[[#This Row],[Date]])+1</f>
        <v>45839</v>
      </c>
      <c r="H206" s="32">
        <f>DAY(EOMONTH(PA[[#This Row],[Month Year]],0))</f>
        <v>31</v>
      </c>
      <c r="I206" s="122">
        <v>0.27152777777777776</v>
      </c>
      <c r="J206" s="122">
        <v>0.77708333333333335</v>
      </c>
      <c r="K206" s="35">
        <f>IFERROR((PA[[#This Row],[Sunset Time (POA&lt;20 W/m2)]]-PA[[#This Row],[Sunrise Time (POA&gt;20 W/m2)]])*24,"")</f>
        <v>12.133333333333333</v>
      </c>
      <c r="L206" s="33" t="s">
        <v>303</v>
      </c>
      <c r="M206" s="37" t="s">
        <v>294</v>
      </c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06" s="35">
        <f>IFERROR(_xlfn.XLOOKUP(PA[[#This Row],[Affected Equipment ]],'Basic Data'!N:N,'Basic Data'!Q:Q),"")</f>
        <v>5104</v>
      </c>
      <c r="V206" s="236">
        <f ca="1">IFERROR(_xlfn.XLOOKUP(PA[[#This Row],[Affected Equipment ]],'Basic Data'!N:N,'Basic Data'!R:R),"")</f>
        <v>0.13017087477684264</v>
      </c>
      <c r="W206" s="36" t="s">
        <v>345</v>
      </c>
      <c r="X206" s="40"/>
      <c r="Y206" s="40" t="s">
        <v>372</v>
      </c>
      <c r="Z206" s="43">
        <v>0.51180555555555551</v>
      </c>
      <c r="AA206" s="43">
        <v>0.51180555555555551</v>
      </c>
      <c r="AB206" s="43">
        <v>0.51180555555555551</v>
      </c>
      <c r="AC206" s="46">
        <v>0.58194444444444449</v>
      </c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1.6833333333333353</v>
      </c>
      <c r="AG206" s="44">
        <f>IFERROR((PA[[#This Row],[Work Completion time on fault]]-PA[[#This Row],[Fault Time]])*24,"")</f>
        <v>1.6833333333333353</v>
      </c>
      <c r="AH206" s="36" t="s">
        <v>297</v>
      </c>
      <c r="AI206" s="33" t="s">
        <v>298</v>
      </c>
      <c r="AJ206" s="35">
        <f ca="1">IFERROR(PA[[#This Row],[Breakdown Time]]*PA[[#This Row],[Plant Equivalent Weightage]],"")</f>
        <v>0.2191209725410187</v>
      </c>
      <c r="AK206" s="36">
        <v>1.222267215</v>
      </c>
      <c r="AL206" s="51">
        <f>IFERROR((_xlfn.XLOOKUP($G206,'Modelling New'!D:D,'Modelling New'!$O:$O)*PA[[#This Row],[Lost PoA(kWh/m2)]]*PA[[#This Row],[DC Capacity Affected (kW)]]),"")</f>
        <v>5159.3420299091977</v>
      </c>
      <c r="AM206" s="33"/>
      <c r="AN206" s="33"/>
      <c r="AO206" s="33">
        <v>5437</v>
      </c>
      <c r="AP206" s="33" t="s">
        <v>784</v>
      </c>
    </row>
    <row r="207" spans="1:42">
      <c r="A207" s="30">
        <f t="shared" si="0"/>
        <v>206</v>
      </c>
      <c r="B207" s="166">
        <v>45869</v>
      </c>
      <c r="C207" s="32">
        <f>YEAR(PA[[#This Row],[Date]])+IF(MONTH(PA[[#This Row],[Date]])&gt;=4,1,0)</f>
        <v>2026</v>
      </c>
      <c r="D207" s="32">
        <f>YEAR(PA[[#This Row],[Date]])</f>
        <v>2025</v>
      </c>
      <c r="E207" s="33" t="s">
        <v>219</v>
      </c>
      <c r="F207" s="33" t="s">
        <v>219</v>
      </c>
      <c r="G207" s="196">
        <f>PA[[#This Row],[Date]]-DAY(PA[[#This Row],[Date]])+1</f>
        <v>45839</v>
      </c>
      <c r="H207" s="32">
        <f>DAY(EOMONTH(PA[[#This Row],[Month Year]],0))</f>
        <v>31</v>
      </c>
      <c r="I207" s="122">
        <v>0.27152777777777776</v>
      </c>
      <c r="J207" s="122">
        <v>0.77708333333333335</v>
      </c>
      <c r="K207" s="35">
        <f>IFERROR((PA[[#This Row],[Sunset Time (POA&lt;20 W/m2)]]-PA[[#This Row],[Sunrise Time (POA&gt;20 W/m2)]])*24,"")</f>
        <v>12.133333333333333</v>
      </c>
      <c r="L207" s="33" t="s">
        <v>303</v>
      </c>
      <c r="M207" s="37" t="s">
        <v>299</v>
      </c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7" s="35">
        <f>IFERROR(_xlfn.XLOOKUP(PA[[#This Row],[Affected Equipment ]],'Basic Data'!N:N,'Basic Data'!Q:Q),"")</f>
        <v>5104</v>
      </c>
      <c r="V207" s="236">
        <f ca="1">IFERROR(_xlfn.XLOOKUP(PA[[#This Row],[Affected Equipment ]],'Basic Data'!N:N,'Basic Data'!R:R),"")</f>
        <v>0.13017087477684264</v>
      </c>
      <c r="W207" s="36" t="s">
        <v>345</v>
      </c>
      <c r="X207" s="40"/>
      <c r="Y207" s="40" t="s">
        <v>372</v>
      </c>
      <c r="Z207" s="43">
        <v>0.51180555555555551</v>
      </c>
      <c r="AA207" s="43">
        <v>0.51180555555555551</v>
      </c>
      <c r="AB207" s="43">
        <v>0.51180555555555551</v>
      </c>
      <c r="AC207" s="46">
        <v>0.58472222222222225</v>
      </c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1.7500000000000018</v>
      </c>
      <c r="AG207" s="44">
        <f>IFERROR((PA[[#This Row],[Work Completion time on fault]]-PA[[#This Row],[Fault Time]])*24,"")</f>
        <v>1.7500000000000018</v>
      </c>
      <c r="AH207" s="36" t="s">
        <v>297</v>
      </c>
      <c r="AI207" s="33" t="s">
        <v>298</v>
      </c>
      <c r="AJ207" s="35">
        <f ca="1">IFERROR(PA[[#This Row],[Breakdown Time]]*PA[[#This Row],[Plant Equivalent Weightage]],"")</f>
        <v>0.22779903085947484</v>
      </c>
      <c r="AK207" s="36">
        <v>1.256169565</v>
      </c>
      <c r="AL207" s="51">
        <f>IFERROR((_xlfn.XLOOKUP($G207,'Modelling New'!D:D,'Modelling New'!$O:$O)*PA[[#This Row],[Lost PoA(kWh/m2)]]*PA[[#This Row],[DC Capacity Affected (kW)]]),"")</f>
        <v>5302.4480685242424</v>
      </c>
      <c r="AM207" s="33"/>
      <c r="AN207" s="33"/>
      <c r="AO207" s="33">
        <v>5437</v>
      </c>
      <c r="AP207" s="33" t="s">
        <v>784</v>
      </c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Y8" sqref="Y8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>
        <v>45868</v>
      </c>
      <c r="C5" s="26">
        <f>YEAR(Grid_BD[[#This Row],[Date]])+IF(MONTH(Grid_BD[[#This Row],[Date]])&gt;=4,1,0)</f>
        <v>2026</v>
      </c>
      <c r="D5" s="8">
        <f>YEAR(Grid_BD[[#This Row],[Date]])</f>
        <v>2025</v>
      </c>
      <c r="E5" s="8" t="s">
        <v>218</v>
      </c>
      <c r="G5" s="4">
        <f>IFERROR(_xlfn.XLOOKUP(Grid_BD[[#This Row],[Date]],RD[Date],RD[Operating Hours]),"")</f>
        <v>11.7</v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J5" t="s">
        <v>780</v>
      </c>
      <c r="L5" s="18">
        <v>0.75902777777777775</v>
      </c>
      <c r="M5" s="20">
        <v>0.75902777777777775</v>
      </c>
      <c r="N5" s="18">
        <v>0.77430555555555558</v>
      </c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0.36666666666666803</v>
      </c>
      <c r="Q5" s="19">
        <f>(Grid_BD[[#This Row],[Fault Clearance time]]-Grid_BD[[#This Row],[Fault Start TimeStamp]])*24</f>
        <v>0.36666666666666803</v>
      </c>
      <c r="R5" s="23" t="s">
        <v>781</v>
      </c>
      <c r="S5" s="4"/>
      <c r="T5" s="24" t="s">
        <v>345</v>
      </c>
      <c r="U5" s="24">
        <v>1.0999999999999999E-2</v>
      </c>
      <c r="V5" s="74">
        <f>IFERROR(Grid_BD[[#This Row],[POA Lost (kWh/m2)]]*_xlfn.XLOOKUP(Grid_BD[[#This Row],[Date]],'Daily KPI'!$A:$A,'Daily KPI'!$AE:$AE)*_xlfn.XLOOKUP(Grid_BD[[#This Row],[Date]],RD[Date],RD[Connected DC Capcity (MWp)])*1000,"")</f>
        <v>356.70321082003295</v>
      </c>
      <c r="X5" s="3">
        <f>IF(K5="Curtailment Order",(((100%*(Grid_BD[[#This Row],[Op. Hours]]-T5))+(((W5)/'Basic Data'!$AC$4)*T5))/Grid_BD[[#This Row],[Op. Hours]]),1)</f>
        <v>1</v>
      </c>
      <c r="Y5" t="s">
        <v>783</v>
      </c>
      <c r="Z5" t="s">
        <v>782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145" zoomScaleNormal="145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1" sqref="L61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45809</v>
      </c>
      <c r="C4" s="225">
        <f ca="1">VLOOKUP($B4,RD[[#All],[Date]:[IS4Inv2]],C$2,0)/C$1</f>
        <v>2.4408244895325959</v>
      </c>
      <c r="D4" s="225">
        <f ca="1">VLOOKUP($B4,RD[[#All],[Date]:[IS4Inv2]],D$2,0)/D$1</f>
        <v>2.4418147014193101</v>
      </c>
      <c r="E4" s="225">
        <f ca="1">VLOOKUP($B4,RD[[#All],[Date]:[IS4Inv2]],E$2,0)/E$1</f>
        <v>2.3895232211366118</v>
      </c>
      <c r="F4" s="225">
        <f ca="1">VLOOKUP($B4,RD[[#All],[Date]:[IS4Inv2]],F$2,0)/F$1</f>
        <v>2.4280518610950486</v>
      </c>
      <c r="G4" s="225">
        <f ca="1">VLOOKUP($B4,RD[[#All],[Date]:[IS4Inv2]],G$2,0)/G$1</f>
        <v>2.4580302523054449</v>
      </c>
      <c r="H4" s="225">
        <f ca="1">VLOOKUP($B4,RD[[#All],[Date]:[IS4Inv2]],H$2,0)/H$1</f>
        <v>2.4519459935542214</v>
      </c>
      <c r="I4" s="225">
        <f ca="1">VLOOKUP($B4,RD[[#All],[Date]:[IS4Inv2]],I$2,0)/I$1</f>
        <v>2.4082876175548589</v>
      </c>
      <c r="J4" s="225">
        <f ca="1">AVERAGEIFS(Inv_SY_B[[#This Row],[IS1Inv1]:[IS4Inv2]],Inv_SY_B[[#This Row],[IS1Inv1]:[IS4Inv2]],"&lt;&gt;0")</f>
        <v>2.4312111623711559</v>
      </c>
    </row>
    <row r="5" spans="2:10">
      <c r="B5" s="224">
        <f ca="1">B4+1</f>
        <v>45810</v>
      </c>
      <c r="C5" s="225">
        <f ca="1">VLOOKUP($B5,RD[[#All],[Date]:[IS4Inv2]],C$2,0)/C$1</f>
        <v>5.0799866670967608</v>
      </c>
      <c r="D5" s="225">
        <f ca="1">VLOOKUP($B5,RD[[#All],[Date]:[IS4Inv2]],D$2,0)/D$1</f>
        <v>5.0755231931538507</v>
      </c>
      <c r="E5" s="225">
        <f ca="1">VLOOKUP($B5,RD[[#All],[Date]:[IS4Inv2]],E$2,0)/E$1</f>
        <v>4.954167906093403</v>
      </c>
      <c r="F5" s="225">
        <f ca="1">VLOOKUP($B5,RD[[#All],[Date]:[IS4Inv2]],F$2,0)/F$1</f>
        <v>4.991523876190767</v>
      </c>
      <c r="G5" s="225">
        <f ca="1">VLOOKUP($B5,RD[[#All],[Date]:[IS4Inv2]],G$2,0)/G$1</f>
        <v>5.1122896186505162</v>
      </c>
      <c r="H5" s="225">
        <f ca="1">VLOOKUP($B5,RD[[#All],[Date]:[IS4Inv2]],H$2,0)/H$1</f>
        <v>5.2525642861486377</v>
      </c>
      <c r="I5" s="225">
        <f ca="1">VLOOKUP($B5,RD[[#All],[Date]:[IS4Inv2]],I$2,0)/I$1</f>
        <v>5.2373040752351097</v>
      </c>
      <c r="J5" s="225">
        <f ca="1">AVERAGEIFS(Inv_SY_B[[#This Row],[IS1Inv1]:[IS4Inv2]],Inv_SY_B[[#This Row],[IS1Inv1]:[IS4Inv2]],"&lt;&gt;0")</f>
        <v>5.1004799460812924</v>
      </c>
    </row>
    <row r="6" spans="2:10">
      <c r="B6" s="224">
        <f t="shared" ref="B6:B64" ca="1" si="3">B5+1</f>
        <v>45811</v>
      </c>
      <c r="C6" s="225">
        <f ca="1">VLOOKUP($B6,RD[[#All],[Date]:[IS4Inv2]],C$2,0)/C$1</f>
        <v>5.0854918658537898</v>
      </c>
      <c r="D6" s="225">
        <f ca="1">VLOOKUP($B6,RD[[#All],[Date]:[IS4Inv2]],D$2,0)/D$1</f>
        <v>5.0874910857430864</v>
      </c>
      <c r="E6" s="225">
        <f ca="1">VLOOKUP($B6,RD[[#All],[Date]:[IS4Inv2]],E$2,0)/E$1</f>
        <v>4.9435812949530549</v>
      </c>
      <c r="F6" s="225">
        <f ca="1">VLOOKUP($B6,RD[[#All],[Date]:[IS4Inv2]],F$2,0)/F$1</f>
        <v>4.9888456036765376</v>
      </c>
      <c r="G6" s="225">
        <f ca="1">VLOOKUP($B6,RD[[#All],[Date]:[IS4Inv2]],G$2,0)/G$1</f>
        <v>5.0345588459080259</v>
      </c>
      <c r="H6" s="225">
        <f ca="1">VLOOKUP($B6,RD[[#All],[Date]:[IS4Inv2]],H$2,0)/H$1</f>
        <v>5.2973865760674475</v>
      </c>
      <c r="I6" s="225">
        <f ca="1">VLOOKUP($B6,RD[[#All],[Date]:[IS4Inv2]],I$2,0)/I$1</f>
        <v>5.2706308777429465</v>
      </c>
      <c r="J6" s="225">
        <f ca="1">AVERAGEIFS(Inv_SY_B[[#This Row],[IS1Inv1]:[IS4Inv2]],Inv_SY_B[[#This Row],[IS1Inv1]:[IS4Inv2]],"&lt;&gt;0")</f>
        <v>5.1011408785635552</v>
      </c>
    </row>
    <row r="7" spans="2:10">
      <c r="B7" s="224">
        <f t="shared" ca="1" si="3"/>
        <v>45812</v>
      </c>
      <c r="C7" s="225">
        <f ca="1">VLOOKUP($B7,RD[[#All],[Date]:[IS4Inv2]],C$2,0)/C$1</f>
        <v>5.2006279367332242</v>
      </c>
      <c r="D7" s="225">
        <f ca="1">VLOOKUP($B7,RD[[#All],[Date]:[IS4Inv2]],D$2,0)/D$1</f>
        <v>5.1912342693526501</v>
      </c>
      <c r="E7" s="225">
        <f ca="1">VLOOKUP($B7,RD[[#All],[Date]:[IS4Inv2]],E$2,0)/E$1</f>
        <v>5.0785682142339583</v>
      </c>
      <c r="F7" s="225">
        <f ca="1">VLOOKUP($B7,RD[[#All],[Date]:[IS4Inv2]],F$2,0)/F$1</f>
        <v>5.1166418114861374</v>
      </c>
      <c r="G7" s="225">
        <f ca="1">VLOOKUP($B7,RD[[#All],[Date]:[IS4Inv2]],G$2,0)/G$1</f>
        <v>5.1411419180083398</v>
      </c>
      <c r="H7" s="225">
        <f ca="1">VLOOKUP($B7,RD[[#All],[Date]:[IS4Inv2]],H$2,0)/H$1</f>
        <v>5.350898701624784</v>
      </c>
      <c r="I7" s="225">
        <f ca="1">VLOOKUP($B7,RD[[#All],[Date]:[IS4Inv2]],I$2,0)/I$1</f>
        <v>5.3467868338557993</v>
      </c>
      <c r="J7" s="225">
        <f ca="1">AVERAGEIFS(Inv_SY_B[[#This Row],[IS1Inv1]:[IS4Inv2]],Inv_SY_B[[#This Row],[IS1Inv1]:[IS4Inv2]],"&lt;&gt;0")</f>
        <v>5.2036999550421275</v>
      </c>
    </row>
    <row r="8" spans="2:10">
      <c r="B8" s="224">
        <f t="shared" ca="1" si="3"/>
        <v>45813</v>
      </c>
      <c r="C8" s="225">
        <f ca="1">VLOOKUP($B8,RD[[#All],[Date]:[IS4Inv2]],C$2,0)/C$1</f>
        <v>4.3617087620829436</v>
      </c>
      <c r="D8" s="225">
        <f ca="1">VLOOKUP($B8,RD[[#All],[Date]:[IS4Inv2]],D$2,0)/D$1</f>
        <v>4.3214601686872314</v>
      </c>
      <c r="E8" s="225">
        <f ca="1">VLOOKUP($B8,RD[[#All],[Date]:[IS4Inv2]],E$2,0)/E$1</f>
        <v>4.2082694551861426</v>
      </c>
      <c r="F8" s="225">
        <f ca="1">VLOOKUP($B8,RD[[#All],[Date]:[IS4Inv2]],F$2,0)/F$1</f>
        <v>4.2295249109778741</v>
      </c>
      <c r="G8" s="225">
        <f ca="1">VLOOKUP($B8,RD[[#All],[Date]:[IS4Inv2]],G$2,0)/G$1</f>
        <v>4.2152509358736339</v>
      </c>
      <c r="H8" s="225">
        <f ca="1">VLOOKUP($B8,RD[[#All],[Date]:[IS4Inv2]],H$2,0)/H$1</f>
        <v>4.4813070454362673</v>
      </c>
      <c r="I8" s="225">
        <f ca="1">VLOOKUP($B8,RD[[#All],[Date]:[IS4Inv2]],I$2,0)/I$1</f>
        <v>4.4137539184952974</v>
      </c>
      <c r="J8" s="225">
        <f ca="1">AVERAGEIFS(Inv_SY_B[[#This Row],[IS1Inv1]:[IS4Inv2]],Inv_SY_B[[#This Row],[IS1Inv1]:[IS4Inv2]],"&lt;&gt;0")</f>
        <v>4.3187535995341984</v>
      </c>
    </row>
    <row r="9" spans="2:10">
      <c r="B9" s="224">
        <f t="shared" ca="1" si="3"/>
        <v>45814</v>
      </c>
      <c r="C9" s="225">
        <f ca="1">VLOOKUP($B9,RD[[#All],[Date]:[IS4Inv2]],C$2,0)/C$1</f>
        <v>5.6439254647699535</v>
      </c>
      <c r="D9" s="225">
        <f ca="1">VLOOKUP($B9,RD[[#All],[Date]:[IS4Inv2]],D$2,0)/D$1</f>
        <v>5.5947324114338413</v>
      </c>
      <c r="E9" s="225">
        <f ca="1">VLOOKUP($B9,RD[[#All],[Date]:[IS4Inv2]],E$2,0)/E$1</f>
        <v>5.4604641939149872</v>
      </c>
      <c r="F9" s="225">
        <f ca="1">VLOOKUP($B9,RD[[#All],[Date]:[IS4Inv2]],F$2,0)/F$1</f>
        <v>5.4860303740451046</v>
      </c>
      <c r="G9" s="225">
        <f ca="1">VLOOKUP($B9,RD[[#All],[Date]:[IS4Inv2]],G$2,0)/G$1</f>
        <v>5.4395258240253224</v>
      </c>
      <c r="H9" s="225">
        <f ca="1">VLOOKUP($B9,RD[[#All],[Date]:[IS4Inv2]],H$2,0)/H$1</f>
        <v>5.6207936193459673</v>
      </c>
      <c r="I9" s="225">
        <f ca="1">VLOOKUP($B9,RD[[#All],[Date]:[IS4Inv2]],I$2,0)/I$1</f>
        <v>5.5831308777429465</v>
      </c>
      <c r="J9" s="225">
        <f ca="1">AVERAGEIFS(Inv_SY_B[[#This Row],[IS1Inv1]:[IS4Inv2]],Inv_SY_B[[#This Row],[IS1Inv1]:[IS4Inv2]],"&lt;&gt;0")</f>
        <v>5.5469432521825883</v>
      </c>
    </row>
    <row r="10" spans="2:10">
      <c r="B10" s="224">
        <f t="shared" ca="1" si="3"/>
        <v>45815</v>
      </c>
      <c r="C10" s="225">
        <f ca="1">VLOOKUP($B10,RD[[#All],[Date]:[IS4Inv2]],C$2,0)/C$1</f>
        <v>4.4188251991871237</v>
      </c>
      <c r="D10" s="225">
        <f ca="1">VLOOKUP($B10,RD[[#All],[Date]:[IS4Inv2]],D$2,0)/D$1</f>
        <v>4.4010745365926898</v>
      </c>
      <c r="E10" s="225">
        <f ca="1">VLOOKUP($B10,RD[[#All],[Date]:[IS4Inv2]],E$2,0)/E$1</f>
        <v>4.3059744182321582</v>
      </c>
      <c r="F10" s="225">
        <f ca="1">VLOOKUP($B10,RD[[#All],[Date]:[IS4Inv2]],F$2,0)/F$1</f>
        <v>4.3379340779742526</v>
      </c>
      <c r="G10" s="225">
        <f ca="1">VLOOKUP($B10,RD[[#All],[Date]:[IS4Inv2]],G$2,0)/G$1</f>
        <v>4.3521928356210244</v>
      </c>
      <c r="H10" s="225">
        <f ca="1">VLOOKUP($B10,RD[[#All],[Date]:[IS4Inv2]],H$2,0)/H$1</f>
        <v>4.527188592972414</v>
      </c>
      <c r="I10" s="225">
        <f ca="1">VLOOKUP($B10,RD[[#All],[Date]:[IS4Inv2]],I$2,0)/I$1</f>
        <v>4.4932797805642632</v>
      </c>
      <c r="J10" s="225">
        <f ca="1">AVERAGEIFS(Inv_SY_B[[#This Row],[IS1Inv1]:[IS4Inv2]],Inv_SY_B[[#This Row],[IS1Inv1]:[IS4Inv2]],"&lt;&gt;0")</f>
        <v>4.4052099201634176</v>
      </c>
    </row>
    <row r="11" spans="2:10">
      <c r="B11" s="224">
        <f t="shared" ca="1" si="3"/>
        <v>45816</v>
      </c>
      <c r="C11" s="225">
        <f ca="1">VLOOKUP($B11,RD[[#All],[Date]:[IS4Inv2]],C$2,0)/C$1</f>
        <v>4.8316505919163903</v>
      </c>
      <c r="D11" s="225">
        <f ca="1">VLOOKUP($B11,RD[[#All],[Date]:[IS4Inv2]],D$2,0)/D$1</f>
        <v>4.8673504951769182</v>
      </c>
      <c r="E11" s="225">
        <f ca="1">VLOOKUP($B11,RD[[#All],[Date]:[IS4Inv2]],E$2,0)/E$1</f>
        <v>4.7636089055671231</v>
      </c>
      <c r="F11" s="225">
        <f ca="1">VLOOKUP($B11,RD[[#All],[Date]:[IS4Inv2]],F$2,0)/F$1</f>
        <v>4.8358949386736461</v>
      </c>
      <c r="G11" s="225">
        <f ca="1">VLOOKUP($B11,RD[[#All],[Date]:[IS4Inv2]],G$2,0)/G$1</f>
        <v>4.8829016647898476</v>
      </c>
      <c r="H11" s="225">
        <f ca="1">VLOOKUP($B11,RD[[#All],[Date]:[IS4Inv2]],H$2,0)/H$1</f>
        <v>4.9333158098122558</v>
      </c>
      <c r="I11" s="225">
        <f ca="1">VLOOKUP($B11,RD[[#All],[Date]:[IS4Inv2]],I$2,0)/I$1</f>
        <v>4.9258620689655173</v>
      </c>
      <c r="J11" s="225">
        <f ca="1">AVERAGEIFS(Inv_SY_B[[#This Row],[IS1Inv1]:[IS4Inv2]],Inv_SY_B[[#This Row],[IS1Inv1]:[IS4Inv2]],"&lt;&gt;0")</f>
        <v>4.8629406392716712</v>
      </c>
    </row>
    <row r="12" spans="2:10">
      <c r="B12" s="224">
        <f t="shared" ca="1" si="3"/>
        <v>45817</v>
      </c>
      <c r="C12" s="225">
        <f ca="1">VLOOKUP($B12,RD[[#All],[Date]:[IS4Inv2]],C$2,0)/C$1</f>
        <v>5.2558089523993852</v>
      </c>
      <c r="D12" s="225">
        <f ca="1">VLOOKUP($B12,RD[[#All],[Date]:[IS4Inv2]],D$2,0)/D$1</f>
        <v>5.2774545708019875</v>
      </c>
      <c r="E12" s="225">
        <f ca="1">VLOOKUP($B12,RD[[#All],[Date]:[IS4Inv2]],E$2,0)/E$1</f>
        <v>5.142850605221609</v>
      </c>
      <c r="F12" s="225">
        <f ca="1">VLOOKUP($B12,RD[[#All],[Date]:[IS4Inv2]],F$2,0)/F$1</f>
        <v>5.1722311836138424</v>
      </c>
      <c r="G12" s="225">
        <f ca="1">VLOOKUP($B12,RD[[#All],[Date]:[IS4Inv2]],G$2,0)/G$1</f>
        <v>5.1817420945308461</v>
      </c>
      <c r="H12" s="225">
        <f ca="1">VLOOKUP($B12,RD[[#All],[Date]:[IS4Inv2]],H$2,0)/H$1</f>
        <v>5.3888162011490985</v>
      </c>
      <c r="I12" s="225">
        <f ca="1">VLOOKUP($B12,RD[[#All],[Date]:[IS4Inv2]],I$2,0)/I$1</f>
        <v>5.32762539184953</v>
      </c>
      <c r="J12" s="225">
        <f ca="1">AVERAGEIFS(Inv_SY_B[[#This Row],[IS1Inv1]:[IS4Inv2]],Inv_SY_B[[#This Row],[IS1Inv1]:[IS4Inv2]],"&lt;&gt;0")</f>
        <v>5.2495041427951863</v>
      </c>
    </row>
    <row r="13" spans="2:10">
      <c r="B13" s="224">
        <f t="shared" ca="1" si="3"/>
        <v>45818</v>
      </c>
      <c r="C13" s="225">
        <f ca="1">VLOOKUP($B13,RD[[#All],[Date]:[IS4Inv2]],C$2,0)/C$1</f>
        <v>4.2299280668365542</v>
      </c>
      <c r="D13" s="225">
        <f ca="1">VLOOKUP($B13,RD[[#All],[Date]:[IS4Inv2]],D$2,0)/D$1</f>
        <v>4.2119260693086824</v>
      </c>
      <c r="E13" s="225">
        <f ca="1">VLOOKUP($B13,RD[[#All],[Date]:[IS4Inv2]],E$2,0)/E$1</f>
        <v>4.1443989352370929</v>
      </c>
      <c r="F13" s="225">
        <f ca="1">VLOOKUP($B13,RD[[#All],[Date]:[IS4Inv2]],F$2,0)/F$1</f>
        <v>4.1660833307970906</v>
      </c>
      <c r="G13" s="225">
        <f ca="1">VLOOKUP($B13,RD[[#All],[Date]:[IS4Inv2]],G$2,0)/G$1</f>
        <v>4.1767507684816021</v>
      </c>
      <c r="H13" s="225">
        <f ca="1">VLOOKUP($B13,RD[[#All],[Date]:[IS4Inv2]],H$2,0)/H$1</f>
        <v>4.2783415164253586</v>
      </c>
      <c r="I13" s="225">
        <f ca="1">VLOOKUP($B13,RD[[#All],[Date]:[IS4Inv2]],I$2,0)/I$1</f>
        <v>4.2419866771159871</v>
      </c>
      <c r="J13" s="225">
        <f ca="1">AVERAGEIFS(Inv_SY_B[[#This Row],[IS1Inv1]:[IS4Inv2]],Inv_SY_B[[#This Row],[IS1Inv1]:[IS4Inv2]],"&lt;&gt;0")</f>
        <v>4.2070593377431953</v>
      </c>
    </row>
    <row r="14" spans="2:10">
      <c r="B14" s="224">
        <f t="shared" ca="1" si="3"/>
        <v>45819</v>
      </c>
      <c r="C14" s="225">
        <f ca="1">VLOOKUP($B14,RD[[#All],[Date]:[IS4Inv2]],C$2,0)/C$1</f>
        <v>3.9380880186660652</v>
      </c>
      <c r="D14" s="225">
        <f ca="1">VLOOKUP($B14,RD[[#All],[Date]:[IS4Inv2]],D$2,0)/D$1</f>
        <v>3.9323535246837782</v>
      </c>
      <c r="E14" s="225">
        <f ca="1">VLOOKUP($B14,RD[[#All],[Date]:[IS4Inv2]],E$2,0)/E$1</f>
        <v>3.8850117078156345</v>
      </c>
      <c r="F14" s="225">
        <f ca="1">VLOOKUP($B14,RD[[#All],[Date]:[IS4Inv2]],F$2,0)/F$1</f>
        <v>3.9176431201874795</v>
      </c>
      <c r="G14" s="225">
        <f ca="1">VLOOKUP($B14,RD[[#All],[Date]:[IS4Inv2]],G$2,0)/G$1</f>
        <v>3.9501476093374319</v>
      </c>
      <c r="H14" s="225">
        <f ca="1">VLOOKUP($B14,RD[[#All],[Date]:[IS4Inv2]],H$2,0)/H$1</f>
        <v>3.9586418748075189</v>
      </c>
      <c r="I14" s="225">
        <f ca="1">VLOOKUP($B14,RD[[#All],[Date]:[IS4Inv2]],I$2,0)/I$1</f>
        <v>3.9278213166144198</v>
      </c>
      <c r="J14" s="225">
        <f ca="1">AVERAGEIFS(Inv_SY_B[[#This Row],[IS1Inv1]:[IS4Inv2]],Inv_SY_B[[#This Row],[IS1Inv1]:[IS4Inv2]],"&lt;&gt;0")</f>
        <v>3.9299581674446182</v>
      </c>
    </row>
    <row r="15" spans="2:10">
      <c r="B15" s="224">
        <f t="shared" ca="1" si="3"/>
        <v>45820</v>
      </c>
      <c r="C15" s="225">
        <f ca="1">VLOOKUP($B15,RD[[#All],[Date]:[IS4Inv2]],C$2,0)/C$1</f>
        <v>3.0076664193628164</v>
      </c>
      <c r="D15" s="225">
        <f ca="1">VLOOKUP($B15,RD[[#All],[Date]:[IS4Inv2]],D$2,0)/D$1</f>
        <v>3.0221288049801873</v>
      </c>
      <c r="E15" s="225">
        <f ca="1">VLOOKUP($B15,RD[[#All],[Date]:[IS4Inv2]],E$2,0)/E$1</f>
        <v>2.9287844465292237</v>
      </c>
      <c r="F15" s="225">
        <f ca="1">VLOOKUP($B15,RD[[#All],[Date]:[IS4Inv2]],F$2,0)/F$1</f>
        <v>2.9695498676081198</v>
      </c>
      <c r="G15" s="225">
        <f ca="1">VLOOKUP($B15,RD[[#All],[Date]:[IS4Inv2]],G$2,0)/G$1</f>
        <v>3.0389110387436471</v>
      </c>
      <c r="H15" s="225">
        <f ca="1">VLOOKUP($B15,RD[[#All],[Date]:[IS4Inv2]],H$2,0)/H$1</f>
        <v>3.1310674374400489</v>
      </c>
      <c r="I15" s="225">
        <f ca="1">VLOOKUP($B15,RD[[#All],[Date]:[IS4Inv2]],I$2,0)/I$1</f>
        <v>3.1257641065830719</v>
      </c>
      <c r="J15" s="225">
        <f ca="1">AVERAGEIFS(Inv_SY_B[[#This Row],[IS1Inv1]:[IS4Inv2]],Inv_SY_B[[#This Row],[IS1Inv1]:[IS4Inv2]],"&lt;&gt;0")</f>
        <v>3.0319817316067308</v>
      </c>
    </row>
    <row r="16" spans="2:10">
      <c r="B16" s="224">
        <f t="shared" ca="1" si="3"/>
        <v>45821</v>
      </c>
      <c r="C16" s="225">
        <f ca="1">VLOOKUP($B16,RD[[#All],[Date]:[IS4Inv2]],C$2,0)/C$1</f>
        <v>4.0919110136232169</v>
      </c>
      <c r="D16" s="225">
        <f ca="1">VLOOKUP($B16,RD[[#All],[Date]:[IS4Inv2]],D$2,0)/D$1</f>
        <v>4.0652228698277195</v>
      </c>
      <c r="E16" s="225">
        <f ca="1">VLOOKUP($B16,RD[[#All],[Date]:[IS4Inv2]],E$2,0)/E$1</f>
        <v>4.0740757690166198</v>
      </c>
      <c r="F16" s="225">
        <f ca="1">VLOOKUP($B16,RD[[#All],[Date]:[IS4Inv2]],F$2,0)/F$1</f>
        <v>4.0986547767598998</v>
      </c>
      <c r="G16" s="225">
        <f ca="1">VLOOKUP($B16,RD[[#All],[Date]:[IS4Inv2]],G$2,0)/G$1</f>
        <v>4.1375810329610134</v>
      </c>
      <c r="H16" s="225">
        <f ca="1">VLOOKUP($B16,RD[[#All],[Date]:[IS4Inv2]],H$2,0)/H$1</f>
        <v>4.0899505875937399</v>
      </c>
      <c r="I16" s="225">
        <f ca="1">VLOOKUP($B16,RD[[#All],[Date]:[IS4Inv2]],I$2,0)/I$1</f>
        <v>4.1353448275862066</v>
      </c>
      <c r="J16" s="225">
        <f ca="1">AVERAGEIFS(Inv_SY_B[[#This Row],[IS1Inv1]:[IS4Inv2]],Inv_SY_B[[#This Row],[IS1Inv1]:[IS4Inv2]],"&lt;&gt;0")</f>
        <v>4.0989629824812024</v>
      </c>
    </row>
    <row r="17" spans="2:10">
      <c r="B17" s="224">
        <f t="shared" ca="1" si="3"/>
        <v>45822</v>
      </c>
      <c r="C17" s="225">
        <f ca="1">VLOOKUP($B17,RD[[#All],[Date]:[IS4Inv2]],C$2,0)/C$1</f>
        <v>5.0748470479446901</v>
      </c>
      <c r="D17" s="225">
        <f ca="1">VLOOKUP($B17,RD[[#All],[Date]:[IS4Inv2]],D$2,0)/D$1</f>
        <v>5.0024504152837279</v>
      </c>
      <c r="E17" s="225">
        <f ca="1">VLOOKUP($B17,RD[[#All],[Date]:[IS4Inv2]],E$2,0)/E$1</f>
        <v>4.9073671525219478</v>
      </c>
      <c r="F17" s="225">
        <f ca="1">VLOOKUP($B17,RD[[#All],[Date]:[IS4Inv2]],F$2,0)/F$1</f>
        <v>4.904738716255288</v>
      </c>
      <c r="G17" s="225">
        <f ca="1">VLOOKUP($B17,RD[[#All],[Date]:[IS4Inv2]],G$2,0)/G$1</f>
        <v>4.8777429467084641</v>
      </c>
      <c r="H17" s="225">
        <f ca="1">VLOOKUP($B17,RD[[#All],[Date]:[IS4Inv2]],H$2,0)/H$1</f>
        <v>5.171746853122162</v>
      </c>
      <c r="I17" s="225">
        <f ca="1">VLOOKUP($B17,RD[[#All],[Date]:[IS4Inv2]],I$2,0)/I$1</f>
        <v>5.0854819749216302</v>
      </c>
      <c r="J17" s="225">
        <f ca="1">AVERAGEIFS(Inv_SY_B[[#This Row],[IS1Inv1]:[IS4Inv2]],Inv_SY_B[[#This Row],[IS1Inv1]:[IS4Inv2]],"&lt;&gt;0")</f>
        <v>5.003482158108274</v>
      </c>
    </row>
    <row r="18" spans="2:10">
      <c r="B18" s="224">
        <f t="shared" ca="1" si="3"/>
        <v>45823</v>
      </c>
      <c r="C18" s="225">
        <f ca="1">VLOOKUP($B18,RD[[#All],[Date]:[IS4Inv2]],C$2,0)/C$1</f>
        <v>4.1352859585174677</v>
      </c>
      <c r="D18" s="225">
        <f ca="1">VLOOKUP($B18,RD[[#All],[Date]:[IS4Inv2]],D$2,0)/D$1</f>
        <v>4.2024246778803098</v>
      </c>
      <c r="E18" s="225">
        <f ca="1">VLOOKUP($B18,RD[[#All],[Date]:[IS4Inv2]],E$2,0)/E$1</f>
        <v>4.0624518530383122</v>
      </c>
      <c r="F18" s="225">
        <f ca="1">VLOOKUP($B18,RD[[#All],[Date]:[IS4Inv2]],F$2,0)/F$1</f>
        <v>4.1496332592750411</v>
      </c>
      <c r="G18" s="225">
        <f ca="1">VLOOKUP($B18,RD[[#All],[Date]:[IS4Inv2]],G$2,0)/G$1</f>
        <v>4.362373314666586</v>
      </c>
      <c r="H18" s="225">
        <f ca="1">VLOOKUP($B18,RD[[#All],[Date]:[IS4Inv2]],H$2,0)/H$1</f>
        <v>4.4130633926452214</v>
      </c>
      <c r="I18" s="225">
        <f ca="1">VLOOKUP($B18,RD[[#All],[Date]:[IS4Inv2]],I$2,0)/I$1</f>
        <v>4.3947100313479623</v>
      </c>
      <c r="J18" s="225">
        <f ca="1">AVERAGEIFS(Inv_SY_B[[#This Row],[IS1Inv1]:[IS4Inv2]],Inv_SY_B[[#This Row],[IS1Inv1]:[IS4Inv2]],"&lt;&gt;0")</f>
        <v>4.245706069624414</v>
      </c>
    </row>
    <row r="19" spans="2:10">
      <c r="B19" s="224">
        <f t="shared" ca="1" si="3"/>
        <v>45824</v>
      </c>
      <c r="C19" s="225">
        <f ca="1">VLOOKUP($B19,RD[[#All],[Date]:[IS4Inv2]],C$2,0)/C$1</f>
        <v>3.1471888003612789</v>
      </c>
      <c r="D19" s="225">
        <f ca="1">VLOOKUP($B19,RD[[#All],[Date]:[IS4Inv2]],D$2,0)/D$1</f>
        <v>3.1706121748642082</v>
      </c>
      <c r="E19" s="225">
        <f ca="1">VLOOKUP($B19,RD[[#All],[Date]:[IS4Inv2]],E$2,0)/E$1</f>
        <v>3.10935176074869</v>
      </c>
      <c r="F19" s="225">
        <f ca="1">VLOOKUP($B19,RD[[#All],[Date]:[IS4Inv2]],F$2,0)/F$1</f>
        <v>3.1445354110235262</v>
      </c>
      <c r="G19" s="225">
        <f ca="1">VLOOKUP($B19,RD[[#All],[Date]:[IS4Inv2]],G$2,0)/G$1</f>
        <v>3.1532550141522355</v>
      </c>
      <c r="H19" s="225">
        <f ca="1">VLOOKUP($B19,RD[[#All],[Date]:[IS4Inv2]],H$2,0)/H$1</f>
        <v>3.220437394932433</v>
      </c>
      <c r="I19" s="225">
        <f ca="1">VLOOKUP($B19,RD[[#All],[Date]:[IS4Inv2]],I$2,0)/I$1</f>
        <v>3.179760971786834</v>
      </c>
      <c r="J19" s="225">
        <f ca="1">AVERAGEIFS(Inv_SY_B[[#This Row],[IS1Inv1]:[IS4Inv2]],Inv_SY_B[[#This Row],[IS1Inv1]:[IS4Inv2]],"&lt;&gt;0")</f>
        <v>3.1607345039813146</v>
      </c>
    </row>
    <row r="20" spans="2:10">
      <c r="B20" s="224">
        <f t="shared" ca="1" si="3"/>
        <v>45825</v>
      </c>
      <c r="C20" s="225">
        <f ca="1">VLOOKUP($B20,RD[[#All],[Date]:[IS4Inv2]],C$2,0)/C$1</f>
        <v>5.3858477683515593</v>
      </c>
      <c r="D20" s="225">
        <f ca="1">VLOOKUP($B20,RD[[#All],[Date]:[IS4Inv2]],D$2,0)/D$1</f>
        <v>5.4216269256135421</v>
      </c>
      <c r="E20" s="225">
        <f ca="1">VLOOKUP($B20,RD[[#All],[Date]:[IS4Inv2]],E$2,0)/E$1</f>
        <v>5.2218383177356245</v>
      </c>
      <c r="F20" s="225">
        <f ca="1">VLOOKUP($B20,RD[[#All],[Date]:[IS4Inv2]],F$2,0)/F$1</f>
        <v>5.2609641781051231</v>
      </c>
      <c r="G20" s="225">
        <f ca="1">VLOOKUP($B20,RD[[#All],[Date]:[IS4Inv2]],G$2,0)/G$1</f>
        <v>5.3538211035700156</v>
      </c>
      <c r="H20" s="225">
        <f ca="1">VLOOKUP($B20,RD[[#All],[Date]:[IS4Inv2]],H$2,0)/H$1</f>
        <v>5.643685353409535</v>
      </c>
      <c r="I20" s="225">
        <f ca="1">VLOOKUP($B20,RD[[#All],[Date]:[IS4Inv2]],I$2,0)/I$1</f>
        <v>5.5802507836990589</v>
      </c>
      <c r="J20" s="225">
        <f ca="1">AVERAGEIFS(Inv_SY_B[[#This Row],[IS1Inv1]:[IS4Inv2]],Inv_SY_B[[#This Row],[IS1Inv1]:[IS4Inv2]],"&lt;&gt;0")</f>
        <v>5.4097192043549223</v>
      </c>
    </row>
    <row r="21" spans="2:10">
      <c r="B21" s="224">
        <f t="shared" ca="1" si="3"/>
        <v>45826</v>
      </c>
      <c r="C21" s="225">
        <f ca="1">VLOOKUP($B21,RD[[#All],[Date]:[IS4Inv2]],C$2,0)/C$1</f>
        <v>3.6638603055815406</v>
      </c>
      <c r="D21" s="225">
        <f ca="1">VLOOKUP($B21,RD[[#All],[Date]:[IS4Inv2]],D$2,0)/D$1</f>
        <v>3.660416409739462</v>
      </c>
      <c r="E21" s="225">
        <f ca="1">VLOOKUP($B21,RD[[#All],[Date]:[IS4Inv2]],E$2,0)/E$1</f>
        <v>3.6359060018763016</v>
      </c>
      <c r="F21" s="225">
        <f ca="1">VLOOKUP($B21,RD[[#All],[Date]:[IS4Inv2]],F$2,0)/F$1</f>
        <v>3.6675137717990083</v>
      </c>
      <c r="G21" s="225">
        <f ca="1">VLOOKUP($B21,RD[[#All],[Date]:[IS4Inv2]],G$2,0)/G$1</f>
        <v>3.7171226831421009</v>
      </c>
      <c r="H21" s="225">
        <f ca="1">VLOOKUP($B21,RD[[#All],[Date]:[IS4Inv2]],H$2,0)/H$1</f>
        <v>3.7131491140486985</v>
      </c>
      <c r="I21" s="225">
        <f ca="1">VLOOKUP($B21,RD[[#All],[Date]:[IS4Inv2]],I$2,0)/I$1</f>
        <v>3.7065047021943576</v>
      </c>
      <c r="J21" s="225">
        <f ca="1">AVERAGEIFS(Inv_SY_B[[#This Row],[IS1Inv1]:[IS4Inv2]],Inv_SY_B[[#This Row],[IS1Inv1]:[IS4Inv2]],"&lt;&gt;0")</f>
        <v>3.6806389983402101</v>
      </c>
    </row>
    <row r="22" spans="2:10">
      <c r="B22" s="224">
        <f t="shared" ca="1" si="3"/>
        <v>45827</v>
      </c>
      <c r="C22" s="225">
        <f ca="1">VLOOKUP($B22,RD[[#All],[Date]:[IS4Inv2]],C$2,0)/C$1</f>
        <v>3.3265378536176256</v>
      </c>
      <c r="D22" s="225">
        <f ca="1">VLOOKUP($B22,RD[[#All],[Date]:[IS4Inv2]],D$2,0)/D$1</f>
        <v>3.3331438774470641</v>
      </c>
      <c r="E22" s="225">
        <f ca="1">VLOOKUP($B22,RD[[#All],[Date]:[IS4Inv2]],E$2,0)/E$1</f>
        <v>3.2410894751695154</v>
      </c>
      <c r="F22" s="225">
        <f ca="1">VLOOKUP($B22,RD[[#All],[Date]:[IS4Inv2]],F$2,0)/F$1</f>
        <v>3.2595337371032049</v>
      </c>
      <c r="G22" s="225">
        <f ca="1">VLOOKUP($B22,RD[[#All],[Date]:[IS4Inv2]],G$2,0)/G$1</f>
        <v>3.3119883129926655</v>
      </c>
      <c r="H22" s="225">
        <f ca="1">VLOOKUP($B22,RD[[#All],[Date]:[IS4Inv2]],H$2,0)/H$1</f>
        <v>3.427953808521532</v>
      </c>
      <c r="I22" s="225">
        <f ca="1">VLOOKUP($B22,RD[[#All],[Date]:[IS4Inv2]],I$2,0)/I$1</f>
        <v>3.4071120689655174</v>
      </c>
      <c r="J22" s="225">
        <f ca="1">AVERAGEIFS(Inv_SY_B[[#This Row],[IS1Inv1]:[IS4Inv2]],Inv_SY_B[[#This Row],[IS1Inv1]:[IS4Inv2]],"&lt;&gt;0")</f>
        <v>3.3296227334024464</v>
      </c>
    </row>
    <row r="23" spans="2:10">
      <c r="B23" s="224">
        <f t="shared" ca="1" si="3"/>
        <v>45828</v>
      </c>
      <c r="C23" s="225">
        <f ca="1">VLOOKUP($B23,RD[[#All],[Date]:[IS4Inv2]],C$2,0)/C$1</f>
        <v>5.1351031687149877</v>
      </c>
      <c r="D23" s="225">
        <f ca="1">VLOOKUP($B23,RD[[#All],[Date]:[IS4Inv2]],D$2,0)/D$1</f>
        <v>5.149732706341589</v>
      </c>
      <c r="E23" s="225">
        <f ca="1">VLOOKUP($B23,RD[[#All],[Date]:[IS4Inv2]],E$2,0)/E$1</f>
        <v>5.0387997772845496</v>
      </c>
      <c r="F23" s="225">
        <f ca="1">VLOOKUP($B23,RD[[#All],[Date]:[IS4Inv2]],F$2,0)/F$1</f>
        <v>5.050324131844051</v>
      </c>
      <c r="G23" s="225">
        <f ca="1">VLOOKUP($B23,RD[[#All],[Date]:[IS4Inv2]],G$2,0)/G$1</f>
        <v>5.1530571872051629</v>
      </c>
      <c r="H23" s="225">
        <f ca="1">VLOOKUP($B23,RD[[#All],[Date]:[IS4Inv2]],H$2,0)/H$1</f>
        <v>5.3661794735489643</v>
      </c>
      <c r="I23" s="225">
        <f ca="1">VLOOKUP($B23,RD[[#All],[Date]:[IS4Inv2]],I$2,0)/I$1</f>
        <v>5.3417515673981191</v>
      </c>
      <c r="J23" s="225">
        <f ca="1">AVERAGEIFS(Inv_SY_B[[#This Row],[IS1Inv1]:[IS4Inv2]],Inv_SY_B[[#This Row],[IS1Inv1]:[IS4Inv2]],"&lt;&gt;0")</f>
        <v>5.1764211446196313</v>
      </c>
    </row>
    <row r="24" spans="2:10">
      <c r="B24" s="224">
        <f t="shared" ca="1" si="3"/>
        <v>45829</v>
      </c>
      <c r="C24" s="225">
        <f ca="1">VLOOKUP($B24,RD[[#All],[Date]:[IS4Inv2]],C$2,0)/C$1</f>
        <v>4.120082147887703</v>
      </c>
      <c r="D24" s="225">
        <f ca="1">VLOOKUP($B24,RD[[#All],[Date]:[IS4Inv2]],D$2,0)/D$1</f>
        <v>4.1355717725028009</v>
      </c>
      <c r="E24" s="225">
        <f ca="1">VLOOKUP($B24,RD[[#All],[Date]:[IS4Inv2]],E$2,0)/E$1</f>
        <v>4.0097933780289683</v>
      </c>
      <c r="F24" s="225">
        <f ca="1">VLOOKUP($B24,RD[[#All],[Date]:[IS4Inv2]],F$2,0)/F$1</f>
        <v>4.0370392914751809</v>
      </c>
      <c r="G24" s="225">
        <f ca="1">VLOOKUP($B24,RD[[#All],[Date]:[IS4Inv2]],G$2,0)/G$1</f>
        <v>4.1068874212496578</v>
      </c>
      <c r="H24" s="225">
        <f ca="1">VLOOKUP($B24,RD[[#All],[Date]:[IS4Inv2]],H$2,0)/H$1</f>
        <v>4.2992128146632638</v>
      </c>
      <c r="I24" s="225">
        <f ca="1">VLOOKUP($B24,RD[[#All],[Date]:[IS4Inv2]],I$2,0)/I$1</f>
        <v>4.2758620689655169</v>
      </c>
      <c r="J24" s="225">
        <f ca="1">AVERAGEIFS(Inv_SY_B[[#This Row],[IS1Inv1]:[IS4Inv2]],Inv_SY_B[[#This Row],[IS1Inv1]:[IS4Inv2]],"&lt;&gt;0")</f>
        <v>4.1406355563961554</v>
      </c>
    </row>
    <row r="25" spans="2:10">
      <c r="B25" s="224">
        <f t="shared" ca="1" si="3"/>
        <v>45830</v>
      </c>
      <c r="C25" s="225">
        <f ca="1">VLOOKUP($B25,RD[[#All],[Date]:[IS4Inv2]],C$2,0)/C$1</f>
        <v>3.8531445222197136</v>
      </c>
      <c r="D25" s="225">
        <f ca="1">VLOOKUP($B25,RD[[#All],[Date]:[IS4Inv2]],D$2,0)/D$1</f>
        <v>3.8365460404613425</v>
      </c>
      <c r="E25" s="225">
        <f ca="1">VLOOKUP($B25,RD[[#All],[Date]:[IS4Inv2]],E$2,0)/E$1</f>
        <v>3.7409483712025868</v>
      </c>
      <c r="F25" s="225">
        <f ca="1">VLOOKUP($B25,RD[[#All],[Date]:[IS4Inv2]],F$2,0)/F$1</f>
        <v>3.7609337431901877</v>
      </c>
      <c r="G25" s="225">
        <f ca="1">VLOOKUP($B25,RD[[#All],[Date]:[IS4Inv2]],G$2,0)/G$1</f>
        <v>3.7772164226800986</v>
      </c>
      <c r="H25" s="225">
        <f ca="1">VLOOKUP($B25,RD[[#All],[Date]:[IS4Inv2]],H$2,0)/H$1</f>
        <v>3.938005967151244</v>
      </c>
      <c r="I25" s="225">
        <f ca="1">VLOOKUP($B25,RD[[#All],[Date]:[IS4Inv2]],I$2,0)/I$1</f>
        <v>3.906563479623824</v>
      </c>
      <c r="J25" s="225">
        <f ca="1">AVERAGEIFS(Inv_SY_B[[#This Row],[IS1Inv1]:[IS4Inv2]],Inv_SY_B[[#This Row],[IS1Inv1]:[IS4Inv2]],"&lt;&gt;0")</f>
        <v>3.8304797923612854</v>
      </c>
    </row>
    <row r="26" spans="2:10">
      <c r="B26" s="224">
        <f t="shared" ca="1" si="3"/>
        <v>45831</v>
      </c>
      <c r="C26" s="225">
        <f ca="1">VLOOKUP($B26,RD[[#All],[Date]:[IS4Inv2]],C$2,0)/C$1</f>
        <v>2.6436136468716067</v>
      </c>
      <c r="D26" s="225">
        <f ca="1">VLOOKUP($B26,RD[[#All],[Date]:[IS4Inv2]],D$2,0)/D$1</f>
        <v>2.6629847881221882</v>
      </c>
      <c r="E26" s="225">
        <f ca="1">VLOOKUP($B26,RD[[#All],[Date]:[IS4Inv2]],E$2,0)/E$1</f>
        <v>2.6120403633617828</v>
      </c>
      <c r="F26" s="225">
        <f ca="1">VLOOKUP($B26,RD[[#All],[Date]:[IS4Inv2]],F$2,0)/F$1</f>
        <v>2.642800620872265</v>
      </c>
      <c r="G26" s="225">
        <f ca="1">VLOOKUP($B26,RD[[#All],[Date]:[IS4Inv2]],G$2,0)/G$1</f>
        <v>2.645418023556624</v>
      </c>
      <c r="H26" s="225">
        <f ca="1">VLOOKUP($B26,RD[[#All],[Date]:[IS4Inv2]],H$2,0)/H$1</f>
        <v>2.6858065364041344</v>
      </c>
      <c r="I26" s="225">
        <f ca="1">VLOOKUP($B26,RD[[#All],[Date]:[IS4Inv2]],I$2,0)/I$1</f>
        <v>2.6776253918495296</v>
      </c>
      <c r="J26" s="225">
        <f ca="1">AVERAGEIFS(Inv_SY_B[[#This Row],[IS1Inv1]:[IS4Inv2]],Inv_SY_B[[#This Row],[IS1Inv1]:[IS4Inv2]],"&lt;&gt;0")</f>
        <v>2.6528984815768757</v>
      </c>
    </row>
    <row r="27" spans="2:10">
      <c r="B27" s="224">
        <f t="shared" ca="1" si="3"/>
        <v>45832</v>
      </c>
      <c r="C27" s="225">
        <f ca="1">VLOOKUP($B27,RD[[#All],[Date]:[IS4Inv2]],C$2,0)/C$1</f>
        <v>3.6038837456856232</v>
      </c>
      <c r="D27" s="225">
        <f ca="1">VLOOKUP($B27,RD[[#All],[Date]:[IS4Inv2]],D$2,0)/D$1</f>
        <v>3.614282114113212</v>
      </c>
      <c r="E27" s="225">
        <f ca="1">VLOOKUP($B27,RD[[#All],[Date]:[IS4Inv2]],E$2,0)/E$1</f>
        <v>3.5137633572065989</v>
      </c>
      <c r="F27" s="225">
        <f ca="1">VLOOKUP($B27,RD[[#All],[Date]:[IS4Inv2]],F$2,0)/F$1</f>
        <v>3.5378914690933443</v>
      </c>
      <c r="G27" s="225">
        <f ca="1">VLOOKUP($B27,RD[[#All],[Date]:[IS4Inv2]],G$2,0)/G$1</f>
        <v>3.5535197979121649</v>
      </c>
      <c r="H27" s="225">
        <f ca="1">VLOOKUP($B27,RD[[#All],[Date]:[IS4Inv2]],H$2,0)/H$1</f>
        <v>3.6874523088873676</v>
      </c>
      <c r="I27" s="225">
        <f ca="1">VLOOKUP($B27,RD[[#All],[Date]:[IS4Inv2]],I$2,0)/I$1</f>
        <v>3.6492946708463951</v>
      </c>
      <c r="J27" s="225">
        <f ca="1">AVERAGEIFS(Inv_SY_B[[#This Row],[IS1Inv1]:[IS4Inv2]],Inv_SY_B[[#This Row],[IS1Inv1]:[IS4Inv2]],"&lt;&gt;0")</f>
        <v>3.5942982091063871</v>
      </c>
    </row>
    <row r="28" spans="2:10">
      <c r="B28" s="224">
        <f t="shared" ca="1" si="3"/>
        <v>45833</v>
      </c>
      <c r="C28" s="225">
        <f ca="1">VLOOKUP($B28,RD[[#All],[Date]:[IS4Inv2]],C$2,0)/C$1</f>
        <v>2.7116329580766214</v>
      </c>
      <c r="D28" s="225">
        <f ca="1">VLOOKUP($B28,RD[[#All],[Date]:[IS4Inv2]],D$2,0)/D$1</f>
        <v>2.7319610292816581</v>
      </c>
      <c r="E28" s="225">
        <f ca="1">VLOOKUP($B28,RD[[#All],[Date]:[IS4Inv2]],E$2,0)/E$1</f>
        <v>2.6948416966035897</v>
      </c>
      <c r="F28" s="225">
        <f ca="1">VLOOKUP($B28,RD[[#All],[Date]:[IS4Inv2]],F$2,0)/F$1</f>
        <v>2.7289922999665217</v>
      </c>
      <c r="G28" s="225">
        <f ca="1">VLOOKUP($B28,RD[[#All],[Date]:[IS4Inv2]],G$2,0)/G$1</f>
        <v>2.7308640472349879</v>
      </c>
      <c r="H28" s="225">
        <f ca="1">VLOOKUP($B28,RD[[#All],[Date]:[IS4Inv2]],H$2,0)/H$1</f>
        <v>2.7540698050769827</v>
      </c>
      <c r="I28" s="225">
        <f ca="1">VLOOKUP($B28,RD[[#All],[Date]:[IS4Inv2]],I$2,0)/I$1</f>
        <v>2.7406935736677114</v>
      </c>
      <c r="J28" s="225">
        <f ca="1">AVERAGEIFS(Inv_SY_B[[#This Row],[IS1Inv1]:[IS4Inv2]],Inv_SY_B[[#This Row],[IS1Inv1]:[IS4Inv2]],"&lt;&gt;0")</f>
        <v>2.727579344272582</v>
      </c>
    </row>
    <row r="29" spans="2:10">
      <c r="B29" s="224">
        <f t="shared" ca="1" si="3"/>
        <v>45834</v>
      </c>
      <c r="C29" s="225">
        <f ca="1">VLOOKUP($B29,RD[[#All],[Date]:[IS4Inv2]],C$2,0)/C$1</f>
        <v>0.82900551595109839</v>
      </c>
      <c r="D29" s="225">
        <f ca="1">VLOOKUP($B29,RD[[#All],[Date]:[IS4Inv2]],D$2,0)/D$1</f>
        <v>0.84214928766374075</v>
      </c>
      <c r="E29" s="225">
        <f ca="1">VLOOKUP($B29,RD[[#All],[Date]:[IS4Inv2]],E$2,0)/E$1</f>
        <v>0.82037083647957043</v>
      </c>
      <c r="F29" s="225">
        <f ca="1">VLOOKUP($B29,RD[[#All],[Date]:[IS4Inv2]],F$2,0)/F$1</f>
        <v>0.83677755120674446</v>
      </c>
      <c r="G29" s="225">
        <f ca="1">VLOOKUP($B29,RD[[#All],[Date]:[IS4Inv2]],G$2,0)/G$1</f>
        <v>0.25583589493867365</v>
      </c>
      <c r="H29" s="225">
        <f ca="1">VLOOKUP($B29,RD[[#All],[Date]:[IS4Inv2]],H$2,0)/H$1</f>
        <v>0.4830607052694143</v>
      </c>
      <c r="I29" s="225">
        <f ca="1">VLOOKUP($B29,RD[[#All],[Date]:[IS4Inv2]],I$2,0)/I$1</f>
        <v>0.8538401253918495</v>
      </c>
      <c r="J29" s="225">
        <f ca="1">AVERAGEIFS(Inv_SY_B[[#This Row],[IS1Inv1]:[IS4Inv2]],Inv_SY_B[[#This Row],[IS1Inv1]:[IS4Inv2]],"&lt;&gt;0")</f>
        <v>0.7030057024144416</v>
      </c>
    </row>
    <row r="30" spans="2:10">
      <c r="B30" s="224">
        <f t="shared" ca="1" si="3"/>
        <v>45835</v>
      </c>
      <c r="C30" s="225">
        <f ca="1">VLOOKUP($B30,RD[[#All],[Date]:[IS4Inv2]],C$2,0)/C$1</f>
        <v>3.7699859144328682</v>
      </c>
      <c r="D30" s="225">
        <f ca="1">VLOOKUP($B30,RD[[#All],[Date]:[IS4Inv2]],D$2,0)/D$1</f>
        <v>3.7898326532581943</v>
      </c>
      <c r="E30" s="225">
        <f ca="1">VLOOKUP($B30,RD[[#All],[Date]:[IS4Inv2]],E$2,0)/E$1</f>
        <v>3.667482781502414</v>
      </c>
      <c r="F30" s="225">
        <f ca="1">VLOOKUP($B30,RD[[#All],[Date]:[IS4Inv2]],F$2,0)/F$1</f>
        <v>3.7570685089935179</v>
      </c>
      <c r="G30" s="225">
        <f ca="1">VLOOKUP($B30,RD[[#All],[Date]:[IS4Inv2]],G$2,0)/G$1</f>
        <v>3.6679246431506227</v>
      </c>
      <c r="H30" s="225">
        <f ca="1">VLOOKUP($B30,RD[[#All],[Date]:[IS4Inv2]],H$2,0)/H$1</f>
        <v>3.7970462405181733</v>
      </c>
      <c r="I30" s="225">
        <f ca="1">VLOOKUP($B30,RD[[#All],[Date]:[IS4Inv2]],I$2,0)/I$1</f>
        <v>3.7863636363636362</v>
      </c>
      <c r="J30" s="225">
        <f ca="1">AVERAGEIFS(Inv_SY_B[[#This Row],[IS1Inv1]:[IS4Inv2]],Inv_SY_B[[#This Row],[IS1Inv1]:[IS4Inv2]],"&lt;&gt;0")</f>
        <v>3.7479577683170611</v>
      </c>
    </row>
    <row r="31" spans="2:10">
      <c r="B31" s="224">
        <f t="shared" ca="1" si="3"/>
        <v>45836</v>
      </c>
      <c r="C31" s="225">
        <f ca="1">VLOOKUP($B31,RD[[#All],[Date]:[IS4Inv2]],C$2,0)/C$1</f>
        <v>4.1766394632431219</v>
      </c>
      <c r="D31" s="225">
        <f ca="1">VLOOKUP($B31,RD[[#All],[Date]:[IS4Inv2]],D$2,0)/D$1</f>
        <v>4.1876900144236693</v>
      </c>
      <c r="E31" s="225">
        <f ca="1">VLOOKUP($B31,RD[[#All],[Date]:[IS4Inv2]],E$2,0)/E$1</f>
        <v>4.0688587358610011</v>
      </c>
      <c r="F31" s="225">
        <f ca="1">VLOOKUP($B31,RD[[#All],[Date]:[IS4Inv2]],F$2,0)/F$1</f>
        <v>4.1140396262592445</v>
      </c>
      <c r="G31" s="225">
        <f ca="1">VLOOKUP($B31,RD[[#All],[Date]:[IS4Inv2]],G$2,0)/G$1</f>
        <v>4.1511550050217618</v>
      </c>
      <c r="H31" s="225">
        <f ca="1">VLOOKUP($B31,RD[[#All],[Date]:[IS4Inv2]],H$2,0)/H$1</f>
        <v>4.3132577860338843</v>
      </c>
      <c r="I31" s="225">
        <f ca="1">VLOOKUP($B31,RD[[#All],[Date]:[IS4Inv2]],I$2,0)/I$1</f>
        <v>4.2880094043887151</v>
      </c>
      <c r="J31" s="225">
        <f ca="1">AVERAGEIFS(Inv_SY_B[[#This Row],[IS1Inv1]:[IS4Inv2]],Inv_SY_B[[#This Row],[IS1Inv1]:[IS4Inv2]],"&lt;&gt;0")</f>
        <v>4.1856642907473418</v>
      </c>
    </row>
    <row r="32" spans="2:10">
      <c r="B32" s="224">
        <f t="shared" ca="1" si="3"/>
        <v>45837</v>
      </c>
      <c r="C32" s="225">
        <f ca="1">VLOOKUP($B32,RD[[#All],[Date]:[IS4Inv2]],C$2,0)/C$1</f>
        <v>0.73047106007333107</v>
      </c>
      <c r="D32" s="225">
        <f ca="1">VLOOKUP($B32,RD[[#All],[Date]:[IS4Inv2]],D$2,0)/D$1</f>
        <v>0.73274387530228036</v>
      </c>
      <c r="E32" s="225">
        <f ca="1">VLOOKUP($B32,RD[[#All],[Date]:[IS4Inv2]],E$2,0)/E$1</f>
        <v>0.68285167303541328</v>
      </c>
      <c r="F32" s="225">
        <f ca="1">VLOOKUP($B32,RD[[#All],[Date]:[IS4Inv2]],F$2,0)/F$1</f>
        <v>0.6873725537937122</v>
      </c>
      <c r="G32" s="225">
        <f ca="1">VLOOKUP($B32,RD[[#All],[Date]:[IS4Inv2]],G$2,0)/G$1</f>
        <v>0.69890738655385465</v>
      </c>
      <c r="H32" s="225">
        <f ca="1">VLOOKUP($B32,RD[[#All],[Date]:[IS4Inv2]],H$2,0)/H$1</f>
        <v>0.76733406435186191</v>
      </c>
      <c r="I32" s="225">
        <f ca="1">VLOOKUP($B32,RD[[#All],[Date]:[IS4Inv2]],I$2,0)/I$1</f>
        <v>0.74278996865203761</v>
      </c>
      <c r="J32" s="225">
        <f ca="1">AVERAGEIFS(Inv_SY_B[[#This Row],[IS1Inv1]:[IS4Inv2]],Inv_SY_B[[#This Row],[IS1Inv1]:[IS4Inv2]],"&lt;&gt;0")</f>
        <v>0.72035294025178442</v>
      </c>
    </row>
    <row r="33" spans="2:10">
      <c r="B33" s="224">
        <f t="shared" ca="1" si="3"/>
        <v>45838</v>
      </c>
      <c r="C33" s="225">
        <f ca="1">VLOOKUP($B33,RD[[#All],[Date]:[IS4Inv2]],C$2,0)/C$1</f>
        <v>1.6480113544724364</v>
      </c>
      <c r="D33" s="225">
        <f ca="1">VLOOKUP($B33,RD[[#All],[Date]:[IS4Inv2]],D$2,0)/D$1</f>
        <v>1.655858744550909</v>
      </c>
      <c r="E33" s="225">
        <f ca="1">VLOOKUP($B33,RD[[#All],[Date]:[IS4Inv2]],E$2,0)/E$1</f>
        <v>1.6356619301497228</v>
      </c>
      <c r="F33" s="225">
        <f ca="1">VLOOKUP($B33,RD[[#All],[Date]:[IS4Inv2]],F$2,0)/F$1</f>
        <v>1.6527680555132849</v>
      </c>
      <c r="G33" s="225">
        <f ca="1">VLOOKUP($B33,RD[[#All],[Date]:[IS4Inv2]],G$2,0)/G$1</f>
        <v>1.6513376145113676</v>
      </c>
      <c r="H33" s="225">
        <f ca="1">VLOOKUP($B33,RD[[#All],[Date]:[IS4Inv2]],H$2,0)/H$1</f>
        <v>1.6685465220060771</v>
      </c>
      <c r="I33" s="225">
        <f ca="1">VLOOKUP($B33,RD[[#All],[Date]:[IS4Inv2]],I$2,0)/I$1</f>
        <v>1.6459639498432601</v>
      </c>
      <c r="J33" s="225">
        <f ca="1">AVERAGEIFS(Inv_SY_B[[#This Row],[IS1Inv1]:[IS4Inv2]],Inv_SY_B[[#This Row],[IS1Inv1]:[IS4Inv2]],"&lt;&gt;0")</f>
        <v>1.6511640244352939</v>
      </c>
    </row>
    <row r="34" spans="2:10">
      <c r="B34" s="224">
        <f t="shared" ca="1" si="3"/>
        <v>45839</v>
      </c>
      <c r="C34" s="225">
        <f ca="1">VLOOKUP($B34,RD[[#All],[Date]:[IS4Inv2]],C$2,0)/C$1</f>
        <v>1.3636764405449289</v>
      </c>
      <c r="D34" s="225">
        <f ca="1">VLOOKUP($B34,RD[[#All],[Date]:[IS4Inv2]],D$2,0)/D$1</f>
        <v>1.3783880878717847</v>
      </c>
      <c r="E34" s="225">
        <f ca="1">VLOOKUP($B34,RD[[#All],[Date]:[IS4Inv2]],E$2,0)/E$1</f>
        <v>1.3449877582774639</v>
      </c>
      <c r="F34" s="225">
        <f ca="1">VLOOKUP($B34,RD[[#All],[Date]:[IS4Inv2]],F$2,0)/F$1</f>
        <v>1.3634841890616916</v>
      </c>
      <c r="G34" s="225">
        <f ca="1">VLOOKUP($B34,RD[[#All],[Date]:[IS4Inv2]],G$2,0)/G$1</f>
        <v>1.3898103904799586</v>
      </c>
      <c r="H34" s="225">
        <f ca="1">VLOOKUP($B34,RD[[#All],[Date]:[IS4Inv2]],H$2,0)/H$1</f>
        <v>1.427055401134975</v>
      </c>
      <c r="I34" s="225">
        <f ca="1">VLOOKUP($B34,RD[[#All],[Date]:[IS4Inv2]],I$2,0)/I$1</f>
        <v>1.2983542319749217</v>
      </c>
      <c r="J34" s="225">
        <f ca="1">AVERAGEIFS(Inv_SY_B[[#This Row],[IS1Inv1]:[IS4Inv2]],Inv_SY_B[[#This Row],[IS1Inv1]:[IS4Inv2]],"&lt;&gt;0")</f>
        <v>1.3665366427636749</v>
      </c>
    </row>
    <row r="35" spans="2:10">
      <c r="B35" s="224">
        <f t="shared" ca="1" si="3"/>
        <v>45840</v>
      </c>
      <c r="C35" s="225">
        <f ca="1">VLOOKUP($B35,RD[[#All],[Date]:[IS4Inv2]],C$2,0)/C$1</f>
        <v>2.5895723793856114</v>
      </c>
      <c r="D35" s="225">
        <f ca="1">VLOOKUP($B35,RD[[#All],[Date]:[IS4Inv2]],D$2,0)/D$1</f>
        <v>2.5967753178301223</v>
      </c>
      <c r="E35" s="225">
        <f ca="1">VLOOKUP($B35,RD[[#All],[Date]:[IS4Inv2]],E$2,0)/E$1</f>
        <v>2.4634922087728532</v>
      </c>
      <c r="F35" s="225">
        <f ca="1">VLOOKUP($B35,RD[[#All],[Date]:[IS4Inv2]],F$2,0)/F$1</f>
        <v>2.4875369023343583</v>
      </c>
      <c r="G35" s="225">
        <f ca="1">VLOOKUP($B35,RD[[#All],[Date]:[IS4Inv2]],G$2,0)/G$1</f>
        <v>2.5745198892169099</v>
      </c>
      <c r="H35" s="225">
        <f ca="1">VLOOKUP($B35,RD[[#All],[Date]:[IS4Inv2]],H$2,0)/H$1</f>
        <v>2.6208191199923108</v>
      </c>
      <c r="I35" s="225">
        <f ca="1">VLOOKUP($B35,RD[[#All],[Date]:[IS4Inv2]],I$2,0)/I$1</f>
        <v>2.5834639498432601</v>
      </c>
      <c r="J35" s="225">
        <f ca="1">AVERAGEIFS(Inv_SY_B[[#This Row],[IS1Inv1]:[IS4Inv2]],Inv_SY_B[[#This Row],[IS1Inv1]:[IS4Inv2]],"&lt;&gt;0")</f>
        <v>2.5594542524822037</v>
      </c>
    </row>
    <row r="36" spans="2:10">
      <c r="B36" s="224">
        <f t="shared" ca="1" si="3"/>
        <v>45841</v>
      </c>
      <c r="C36" s="225">
        <f ca="1">VLOOKUP($B36,RD[[#All],[Date]:[IS4Inv2]],C$2,0)/C$1</f>
        <v>3.695278646925368</v>
      </c>
      <c r="D36" s="225">
        <f ca="1">VLOOKUP($B36,RD[[#All],[Date]:[IS4Inv2]],D$2,0)/D$1</f>
        <v>3.6958267872749988</v>
      </c>
      <c r="E36" s="225">
        <f ca="1">VLOOKUP($B36,RD[[#All],[Date]:[IS4Inv2]],E$2,0)/E$1</f>
        <v>3.6202854113752676</v>
      </c>
      <c r="F36" s="225">
        <f ca="1">VLOOKUP($B36,RD[[#All],[Date]:[IS4Inv2]],F$2,0)/F$1</f>
        <v>3.6435310588306904</v>
      </c>
      <c r="G36" s="225">
        <f ca="1">VLOOKUP($B36,RD[[#All],[Date]:[IS4Inv2]],G$2,0)/G$1</f>
        <v>3.650698481297745</v>
      </c>
      <c r="H36" s="225">
        <f ca="1">VLOOKUP($B36,RD[[#All],[Date]:[IS4Inv2]],H$2,0)/H$1</f>
        <v>3.7332946246599099</v>
      </c>
      <c r="I36" s="225">
        <f ca="1">VLOOKUP($B36,RD[[#All],[Date]:[IS4Inv2]],I$2,0)/I$1</f>
        <v>3.6633032915360499</v>
      </c>
      <c r="J36" s="225">
        <f ca="1">AVERAGEIFS(Inv_SY_B[[#This Row],[IS1Inv1]:[IS4Inv2]],Inv_SY_B[[#This Row],[IS1Inv1]:[IS4Inv2]],"&lt;&gt;0")</f>
        <v>3.671745471700004</v>
      </c>
    </row>
    <row r="37" spans="2:10">
      <c r="B37" s="224">
        <f t="shared" ca="1" si="3"/>
        <v>45842</v>
      </c>
      <c r="C37" s="225">
        <f ca="1">VLOOKUP($B37,RD[[#All],[Date]:[IS4Inv2]],C$2,0)/C$1</f>
        <v>2.5457243314731786</v>
      </c>
      <c r="D37" s="225">
        <f ca="1">VLOOKUP($B37,RD[[#All],[Date]:[IS4Inv2]],D$2,0)/D$1</f>
        <v>2.5644105330323486</v>
      </c>
      <c r="E37" s="225">
        <f ca="1">VLOOKUP($B37,RD[[#All],[Date]:[IS4Inv2]],E$2,0)/E$1</f>
        <v>2.5247999755928276</v>
      </c>
      <c r="F37" s="225">
        <f ca="1">VLOOKUP($B37,RD[[#All],[Date]:[IS4Inv2]],F$2,0)/F$1</f>
        <v>2.5550719785738201</v>
      </c>
      <c r="G37" s="225">
        <f ca="1">VLOOKUP($B37,RD[[#All],[Date]:[IS4Inv2]],G$2,0)/G$1</f>
        <v>2.5758438080165571</v>
      </c>
      <c r="H37" s="225">
        <f ca="1">VLOOKUP($B37,RD[[#All],[Date]:[IS4Inv2]],H$2,0)/H$1</f>
        <v>2.573937162484234</v>
      </c>
      <c r="I37" s="225">
        <f ca="1">VLOOKUP($B37,RD[[#All],[Date]:[IS4Inv2]],I$2,0)/I$1</f>
        <v>2.5416144200626958</v>
      </c>
      <c r="J37" s="225">
        <f ca="1">AVERAGEIFS(Inv_SY_B[[#This Row],[IS1Inv1]:[IS4Inv2]],Inv_SY_B[[#This Row],[IS1Inv1]:[IS4Inv2]],"&lt;&gt;0")</f>
        <v>2.5544860298908092</v>
      </c>
    </row>
    <row r="38" spans="2:10">
      <c r="B38" s="224">
        <f t="shared" ca="1" si="3"/>
        <v>45843</v>
      </c>
      <c r="C38" s="225">
        <f ca="1">VLOOKUP($B38,RD[[#All],[Date]:[IS4Inv2]],C$2,0)/C$1</f>
        <v>2.7609647000634387</v>
      </c>
      <c r="D38" s="225">
        <f ca="1">VLOOKUP($B38,RD[[#All],[Date]:[IS4Inv2]],D$2,0)/D$1</f>
        <v>2.7720470351047459</v>
      </c>
      <c r="E38" s="225">
        <f ca="1">VLOOKUP($B38,RD[[#All],[Date]:[IS4Inv2]],E$2,0)/E$1</f>
        <v>2.7379356108276323</v>
      </c>
      <c r="F38" s="225">
        <f ca="1">VLOOKUP($B38,RD[[#All],[Date]:[IS4Inv2]],F$2,0)/F$1</f>
        <v>2.7566272027269689</v>
      </c>
      <c r="G38" s="225">
        <f ca="1">VLOOKUP($B38,RD[[#All],[Date]:[IS4Inv2]],G$2,0)/G$1</f>
        <v>2.7491858660255044</v>
      </c>
      <c r="H38" s="225">
        <f ca="1">VLOOKUP($B38,RD[[#All],[Date]:[IS4Inv2]],H$2,0)/H$1</f>
        <v>2.7734895280615</v>
      </c>
      <c r="I38" s="225">
        <f ca="1">VLOOKUP($B38,RD[[#All],[Date]:[IS4Inv2]],I$2,0)/I$1</f>
        <v>2.7213362068965519</v>
      </c>
      <c r="J38" s="225">
        <f ca="1">AVERAGEIFS(Inv_SY_B[[#This Row],[IS1Inv1]:[IS4Inv2]],Inv_SY_B[[#This Row],[IS1Inv1]:[IS4Inv2]],"&lt;&gt;0")</f>
        <v>2.7530837356723348</v>
      </c>
    </row>
    <row r="39" spans="2:10">
      <c r="B39" s="224">
        <f t="shared" ca="1" si="3"/>
        <v>45844</v>
      </c>
      <c r="C39" s="225">
        <f ca="1">VLOOKUP($B39,RD[[#All],[Date]:[IS4Inv2]],C$2,0)/C$1</f>
        <v>1.9723449781189857</v>
      </c>
      <c r="D39" s="225">
        <f ca="1">VLOOKUP($B39,RD[[#All],[Date]:[IS4Inv2]],D$2,0)/D$1</f>
        <v>1.9817157196553332</v>
      </c>
      <c r="E39" s="225">
        <f ca="1">VLOOKUP($B39,RD[[#All],[Date]:[IS4Inv2]],E$2,0)/E$1</f>
        <v>1.9611620865081725</v>
      </c>
      <c r="F39" s="225">
        <f ca="1">VLOOKUP($B39,RD[[#All],[Date]:[IS4Inv2]],F$2,0)/F$1</f>
        <v>1.8929756216331377</v>
      </c>
      <c r="G39" s="225">
        <f ca="1">VLOOKUP($B39,RD[[#All],[Date]:[IS4Inv2]],G$2,0)/G$1</f>
        <v>1.9064278540341479</v>
      </c>
      <c r="H39" s="225">
        <f ca="1">VLOOKUP($B39,RD[[#All],[Date]:[IS4Inv2]],H$2,0)/H$1</f>
        <v>1.9775162762779259</v>
      </c>
      <c r="I39" s="225">
        <f ca="1">VLOOKUP($B39,RD[[#All],[Date]:[IS4Inv2]],I$2,0)/I$1</f>
        <v>1.9110893416927901</v>
      </c>
      <c r="J39" s="225">
        <f ca="1">AVERAGEIFS(Inv_SY_B[[#This Row],[IS1Inv1]:[IS4Inv2]],Inv_SY_B[[#This Row],[IS1Inv1]:[IS4Inv2]],"&lt;&gt;0")</f>
        <v>1.9433188397029275</v>
      </c>
    </row>
    <row r="40" spans="2:10">
      <c r="B40" s="224">
        <f t="shared" ca="1" si="3"/>
        <v>45845</v>
      </c>
      <c r="C40" s="225">
        <f ca="1">VLOOKUP($B40,RD[[#All],[Date]:[IS4Inv2]],C$2,0)/C$1</f>
        <v>1.4498026945367355</v>
      </c>
      <c r="D40" s="225">
        <f ca="1">VLOOKUP($B40,RD[[#All],[Date]:[IS4Inv2]],D$2,0)/D$1</f>
        <v>1.4640507455804053</v>
      </c>
      <c r="E40" s="225">
        <f ca="1">VLOOKUP($B40,RD[[#All],[Date]:[IS4Inv2]],E$2,0)/E$1</f>
        <v>1.4298179377464553</v>
      </c>
      <c r="F40" s="225">
        <f ca="1">VLOOKUP($B40,RD[[#All],[Date]:[IS4Inv2]],F$2,0)/F$1</f>
        <v>1.4461454180235569</v>
      </c>
      <c r="G40" s="225">
        <f ca="1">VLOOKUP($B40,RD[[#All],[Date]:[IS4Inv2]],G$2,0)/G$1</f>
        <v>1.4509084822107923</v>
      </c>
      <c r="H40" s="225">
        <f ca="1">VLOOKUP($B40,RD[[#All],[Date]:[IS4Inv2]],H$2,0)/H$1</f>
        <v>1.4699357187553332</v>
      </c>
      <c r="I40" s="225">
        <f ca="1">VLOOKUP($B40,RD[[#All],[Date]:[IS4Inv2]],I$2,0)/I$1</f>
        <v>1.4512735109717869</v>
      </c>
      <c r="J40" s="225">
        <f ca="1">AVERAGEIFS(Inv_SY_B[[#This Row],[IS1Inv1]:[IS4Inv2]],Inv_SY_B[[#This Row],[IS1Inv1]:[IS4Inv2]],"&lt;&gt;0")</f>
        <v>1.451704929689295</v>
      </c>
    </row>
    <row r="41" spans="2:10">
      <c r="B41" s="224">
        <f t="shared" ca="1" si="3"/>
        <v>45846</v>
      </c>
      <c r="C41" s="225">
        <f ca="1">VLOOKUP($B41,RD[[#All],[Date]:[IS4Inv2]],C$2,0)/C$1</f>
        <v>1.6758814231798975</v>
      </c>
      <c r="D41" s="225">
        <f ca="1">VLOOKUP($B41,RD[[#All],[Date]:[IS4Inv2]],D$2,0)/D$1</f>
        <v>1.6941216842985751</v>
      </c>
      <c r="E41" s="225">
        <f ca="1">VLOOKUP($B41,RD[[#All],[Date]:[IS4Inv2]],E$2,0)/E$1</f>
        <v>1.6740574636371266</v>
      </c>
      <c r="F41" s="225">
        <f ca="1">VLOOKUP($B41,RD[[#All],[Date]:[IS4Inv2]],F$2,0)/F$1</f>
        <v>1.695833460145479</v>
      </c>
      <c r="G41" s="225">
        <f ca="1">VLOOKUP($B41,RD[[#All],[Date]:[IS4Inv2]],G$2,0)/G$1</f>
        <v>1.7040356697203032</v>
      </c>
      <c r="H41" s="225">
        <f ca="1">VLOOKUP($B41,RD[[#All],[Date]:[IS4Inv2]],H$2,0)/H$1</f>
        <v>1.7107795155269512</v>
      </c>
      <c r="I41" s="225">
        <f ca="1">VLOOKUP($B41,RD[[#All],[Date]:[IS4Inv2]],I$2,0)/I$1</f>
        <v>1.6894004702194358</v>
      </c>
      <c r="J41" s="225">
        <f ca="1">AVERAGEIFS(Inv_SY_B[[#This Row],[IS1Inv1]:[IS4Inv2]],Inv_SY_B[[#This Row],[IS1Inv1]:[IS4Inv2]],"&lt;&gt;0")</f>
        <v>1.6920156695325386</v>
      </c>
    </row>
    <row r="42" spans="2:10">
      <c r="B42" s="224">
        <f t="shared" ca="1" si="3"/>
        <v>45847</v>
      </c>
      <c r="C42" s="225">
        <f ca="1">VLOOKUP($B42,RD[[#All],[Date]:[IS4Inv2]],C$2,0)/C$1</f>
        <v>1.4287066008623379</v>
      </c>
      <c r="D42" s="225">
        <f ca="1">VLOOKUP($B42,RD[[#All],[Date]:[IS4Inv2]],D$2,0)/D$1</f>
        <v>1.4405010214531981</v>
      </c>
      <c r="E42" s="225">
        <f ca="1">VLOOKUP($B42,RD[[#All],[Date]:[IS4Inv2]],E$2,0)/E$1</f>
        <v>1.4174312976225889</v>
      </c>
      <c r="F42" s="225">
        <f ca="1">VLOOKUP($B42,RD[[#All],[Date]:[IS4Inv2]],F$2,0)/F$1</f>
        <v>1.4321149222387923</v>
      </c>
      <c r="G42" s="225">
        <f ca="1">VLOOKUP($B42,RD[[#All],[Date]:[IS4Inv2]],G$2,0)/G$1</f>
        <v>1.4327692729098822</v>
      </c>
      <c r="H42" s="225">
        <f ca="1">VLOOKUP($B42,RD[[#All],[Date]:[IS4Inv2]],H$2,0)/H$1</f>
        <v>1.4463770447104793</v>
      </c>
      <c r="I42" s="225">
        <f ca="1">VLOOKUP($B42,RD[[#All],[Date]:[IS4Inv2]],I$2,0)/I$1</f>
        <v>1.4381465517241379</v>
      </c>
      <c r="J42" s="225">
        <f ca="1">AVERAGEIFS(Inv_SY_B[[#This Row],[IS1Inv1]:[IS4Inv2]],Inv_SY_B[[#This Row],[IS1Inv1]:[IS4Inv2]],"&lt;&gt;0")</f>
        <v>1.4337209587887738</v>
      </c>
    </row>
    <row r="43" spans="2:10">
      <c r="B43" s="224">
        <f t="shared" ca="1" si="3"/>
        <v>45848</v>
      </c>
      <c r="C43" s="225">
        <f ca="1">VLOOKUP($B43,RD[[#All],[Date]:[IS4Inv2]],C$2,0)/C$1</f>
        <v>1.4810059890541165</v>
      </c>
      <c r="D43" s="225">
        <f ca="1">VLOOKUP($B43,RD[[#All],[Date]:[IS4Inv2]],D$2,0)/D$1</f>
        <v>1.4919758282886235</v>
      </c>
      <c r="E43" s="225">
        <f ca="1">VLOOKUP($B43,RD[[#All],[Date]:[IS4Inv2]],E$2,0)/E$1</f>
        <v>1.4777932865020709</v>
      </c>
      <c r="F43" s="225">
        <f ca="1">VLOOKUP($B43,RD[[#All],[Date]:[IS4Inv2]],F$2,0)/F$1</f>
        <v>1.4907934382323402</v>
      </c>
      <c r="G43" s="225">
        <f ca="1">VLOOKUP($B43,RD[[#All],[Date]:[IS4Inv2]],G$2,0)/G$1</f>
        <v>1.491965182457315</v>
      </c>
      <c r="H43" s="225">
        <f ca="1">VLOOKUP($B43,RD[[#All],[Date]:[IS4Inv2]],H$2,0)/H$1</f>
        <v>1.5149345516103658</v>
      </c>
      <c r="I43" s="225">
        <f ca="1">VLOOKUP($B43,RD[[#All],[Date]:[IS4Inv2]],I$2,0)/I$1</f>
        <v>1.5024882445141066</v>
      </c>
      <c r="J43" s="225">
        <f ca="1">AVERAGEIFS(Inv_SY_B[[#This Row],[IS1Inv1]:[IS4Inv2]],Inv_SY_B[[#This Row],[IS1Inv1]:[IS4Inv2]],"&lt;&gt;0")</f>
        <v>1.4929937886655629</v>
      </c>
    </row>
    <row r="44" spans="2:10">
      <c r="B44" s="224">
        <f t="shared" ca="1" si="3"/>
        <v>45849</v>
      </c>
      <c r="C44" s="225">
        <f ca="1">VLOOKUP($B44,RD[[#All],[Date]:[IS4Inv2]],C$2,0)/C$1</f>
        <v>4.9247873724503517</v>
      </c>
      <c r="D44" s="225">
        <f ca="1">VLOOKUP($B44,RD[[#All],[Date]:[IS4Inv2]],D$2,0)/D$1</f>
        <v>4.9482302854170799</v>
      </c>
      <c r="E44" s="225">
        <f ca="1">VLOOKUP($B44,RD[[#All],[Date]:[IS4Inv2]],E$2,0)/E$1</f>
        <v>4.8340846166167077</v>
      </c>
      <c r="F44" s="225">
        <f ca="1">VLOOKUP($B44,RD[[#All],[Date]:[IS4Inv2]],F$2,0)/F$1</f>
        <v>4.8660863742885843</v>
      </c>
      <c r="G44" s="225">
        <f ca="1">VLOOKUP($B44,RD[[#All],[Date]:[IS4Inv2]],G$2,0)/G$1</f>
        <v>4.9325105761329402</v>
      </c>
      <c r="H44" s="225">
        <f ca="1">VLOOKUP($B44,RD[[#All],[Date]:[IS4Inv2]],H$2,0)/H$1</f>
        <v>5.0543065687703397</v>
      </c>
      <c r="I44" s="225">
        <f ca="1">VLOOKUP($B44,RD[[#All],[Date]:[IS4Inv2]],I$2,0)/I$1</f>
        <v>5.0226684952978058</v>
      </c>
      <c r="J44" s="225">
        <f ca="1">AVERAGEIFS(Inv_SY_B[[#This Row],[IS1Inv1]:[IS4Inv2]],Inv_SY_B[[#This Row],[IS1Inv1]:[IS4Inv2]],"&lt;&gt;0")</f>
        <v>4.940382041281973</v>
      </c>
    </row>
    <row r="45" spans="2:10">
      <c r="B45" s="224">
        <f t="shared" ca="1" si="3"/>
        <v>45850</v>
      </c>
      <c r="C45" s="225">
        <f ca="1">VLOOKUP($B45,RD[[#All],[Date]:[IS4Inv2]],C$2,0)/C$1</f>
        <v>4.9401202111759837</v>
      </c>
      <c r="D45" s="225">
        <f ca="1">VLOOKUP($B45,RD[[#All],[Date]:[IS4Inv2]],D$2,0)/D$1</f>
        <v>4.9502249341819518</v>
      </c>
      <c r="E45" s="225">
        <f ca="1">VLOOKUP($B45,RD[[#All],[Date]:[IS4Inv2]],E$2,0)/E$1</f>
        <v>4.8161758536789998</v>
      </c>
      <c r="F45" s="225">
        <f ca="1">VLOOKUP($B45,RD[[#All],[Date]:[IS4Inv2]],F$2,0)/F$1</f>
        <v>4.8407645250631521</v>
      </c>
      <c r="G45" s="225">
        <f ca="1">VLOOKUP($B45,RD[[#All],[Date]:[IS4Inv2]],G$2,0)/G$1</f>
        <v>4.9339866695072594</v>
      </c>
      <c r="H45" s="225">
        <f ca="1">VLOOKUP($B45,RD[[#All],[Date]:[IS4Inv2]],H$2,0)/H$1</f>
        <v>4.8035371358066348</v>
      </c>
      <c r="I45" s="225">
        <f ca="1">VLOOKUP($B45,RD[[#All],[Date]:[IS4Inv2]],I$2,0)/I$1</f>
        <v>4.749177115987461</v>
      </c>
      <c r="J45" s="225">
        <f ca="1">AVERAGEIFS(Inv_SY_B[[#This Row],[IS1Inv1]:[IS4Inv2]],Inv_SY_B[[#This Row],[IS1Inv1]:[IS4Inv2]],"&lt;&gt;0")</f>
        <v>4.8619980636287776</v>
      </c>
    </row>
    <row r="46" spans="2:10">
      <c r="B46" s="224">
        <f t="shared" ca="1" si="3"/>
        <v>45851</v>
      </c>
      <c r="C46" s="225">
        <f ca="1">VLOOKUP($B46,RD[[#All],[Date]:[IS4Inv2]],C$2,0)/C$1</f>
        <v>3.8579400664494696</v>
      </c>
      <c r="D46" s="225">
        <f ca="1">VLOOKUP($B46,RD[[#All],[Date]:[IS4Inv2]],D$2,0)/D$1</f>
        <v>3.8822728272001457</v>
      </c>
      <c r="E46" s="225">
        <f ca="1">VLOOKUP($B46,RD[[#All],[Date]:[IS4Inv2]],E$2,0)/E$1</f>
        <v>3.8255192244620888</v>
      </c>
      <c r="F46" s="225">
        <f ca="1">VLOOKUP($B46,RD[[#All],[Date]:[IS4Inv2]],F$2,0)/F$1</f>
        <v>3.8471254222844449</v>
      </c>
      <c r="G46" s="225">
        <f ca="1">VLOOKUP($B46,RD[[#All],[Date]:[IS4Inv2]],G$2,0)/G$1</f>
        <v>3.8560276349027607</v>
      </c>
      <c r="H46" s="225">
        <f ca="1">VLOOKUP($B46,RD[[#All],[Date]:[IS4Inv2]],H$2,0)/H$1</f>
        <v>3.9040901075146484</v>
      </c>
      <c r="I46" s="225">
        <f ca="1">VLOOKUP($B46,RD[[#All],[Date]:[IS4Inv2]],I$2,0)/I$1</f>
        <v>3.8705916927899686</v>
      </c>
      <c r="J46" s="225">
        <f ca="1">AVERAGEIFS(Inv_SY_B[[#This Row],[IS1Inv1]:[IS4Inv2]],Inv_SY_B[[#This Row],[IS1Inv1]:[IS4Inv2]],"&lt;&gt;0")</f>
        <v>3.8633667108005043</v>
      </c>
    </row>
    <row r="47" spans="2:10">
      <c r="B47" s="224">
        <f t="shared" ca="1" si="3"/>
        <v>45852</v>
      </c>
      <c r="C47" s="225">
        <f ca="1">VLOOKUP($B47,RD[[#All],[Date]:[IS4Inv2]],C$2,0)/C$1</f>
        <v>4.364074277173855</v>
      </c>
      <c r="D47" s="225">
        <f ca="1">VLOOKUP($B47,RD[[#All],[Date]:[IS4Inv2]],D$2,0)/D$1</f>
        <v>4.4059646432420552</v>
      </c>
      <c r="E47" s="225">
        <f ca="1">VLOOKUP($B47,RD[[#All],[Date]:[IS4Inv2]],E$2,0)/E$1</f>
        <v>4.2459175190108995</v>
      </c>
      <c r="F47" s="225">
        <f ca="1">VLOOKUP($B47,RD[[#All],[Date]:[IS4Inv2]],F$2,0)/F$1</f>
        <v>4.2916425723590104</v>
      </c>
      <c r="G47" s="225">
        <f ca="1">VLOOKUP($B47,RD[[#All],[Date]:[IS4Inv2]],G$2,0)/G$1</f>
        <v>4.359801564354628</v>
      </c>
      <c r="H47" s="225">
        <f ca="1">VLOOKUP($B47,RD[[#All],[Date]:[IS4Inv2]],H$2,0)/H$1</f>
        <v>4.4919192374914427</v>
      </c>
      <c r="I47" s="225">
        <f ca="1">VLOOKUP($B47,RD[[#All],[Date]:[IS4Inv2]],I$2,0)/I$1</f>
        <v>4.4735305642633234</v>
      </c>
      <c r="J47" s="225">
        <f ca="1">AVERAGEIFS(Inv_SY_B[[#This Row],[IS1Inv1]:[IS4Inv2]],Inv_SY_B[[#This Row],[IS1Inv1]:[IS4Inv2]],"&lt;&gt;0")</f>
        <v>4.3761214825564592</v>
      </c>
    </row>
    <row r="48" spans="2:10">
      <c r="B48" s="224">
        <f t="shared" ca="1" si="3"/>
        <v>45853</v>
      </c>
      <c r="C48" s="225">
        <f ca="1">VLOOKUP($B48,RD[[#All],[Date]:[IS4Inv2]],C$2,0)/C$1</f>
        <v>3.7059234648344677</v>
      </c>
      <c r="D48" s="225">
        <f ca="1">VLOOKUP($B48,RD[[#All],[Date]:[IS4Inv2]],D$2,0)/D$1</f>
        <v>3.6769097957629797</v>
      </c>
      <c r="E48" s="225">
        <f ca="1">VLOOKUP($B48,RD[[#All],[Date]:[IS4Inv2]],E$2,0)/E$1</f>
        <v>3.6070750291741986</v>
      </c>
      <c r="F48" s="225">
        <f ca="1">VLOOKUP($B48,RD[[#All],[Date]:[IS4Inv2]],F$2,0)/F$1</f>
        <v>3.6308853516754422</v>
      </c>
      <c r="G48" s="225">
        <f ca="1">VLOOKUP($B48,RD[[#All],[Date]:[IS4Inv2]],G$2,0)/G$1</f>
        <v>3.65873329884043</v>
      </c>
      <c r="H48" s="225">
        <f ca="1">VLOOKUP($B48,RD[[#All],[Date]:[IS4Inv2]],H$2,0)/H$1</f>
        <v>3.7899845230692577</v>
      </c>
      <c r="I48" s="225">
        <f ca="1">VLOOKUP($B48,RD[[#All],[Date]:[IS4Inv2]],I$2,0)/I$1</f>
        <v>3.7466692789968654</v>
      </c>
      <c r="J48" s="225">
        <f ca="1">AVERAGEIFS(Inv_SY_B[[#This Row],[IS1Inv1]:[IS4Inv2]],Inv_SY_B[[#This Row],[IS1Inv1]:[IS4Inv2]],"&lt;&gt;0")</f>
        <v>3.6880258203362346</v>
      </c>
    </row>
    <row r="49" spans="2:10">
      <c r="B49" s="224">
        <f t="shared" ca="1" si="3"/>
        <v>45854</v>
      </c>
      <c r="C49" s="225">
        <f ca="1">VLOOKUP($B49,RD[[#All],[Date]:[IS4Inv2]],C$2,0)/C$1</f>
        <v>3.4201047278044796</v>
      </c>
      <c r="D49" s="225">
        <f ca="1">VLOOKUP($B49,RD[[#All],[Date]:[IS4Inv2]],D$2,0)/D$1</f>
        <v>3.4869892063764416</v>
      </c>
      <c r="E49" s="225">
        <f ca="1">VLOOKUP($B49,RD[[#All],[Date]:[IS4Inv2]],E$2,0)/E$1</f>
        <v>3.3073549489356187</v>
      </c>
      <c r="F49" s="225">
        <f ca="1">VLOOKUP($B49,RD[[#All],[Date]:[IS4Inv2]],F$2,0)/F$1</f>
        <v>3.3903430014913107</v>
      </c>
      <c r="G49" s="225">
        <f ca="1">VLOOKUP($B49,RD[[#All],[Date]:[IS4Inv2]],G$2,0)/G$1</f>
        <v>3.5017500076087291</v>
      </c>
      <c r="H49" s="225">
        <f ca="1">VLOOKUP($B49,RD[[#All],[Date]:[IS4Inv2]],H$2,0)/H$1</f>
        <v>3.6359998509192986</v>
      </c>
      <c r="I49" s="225">
        <f ca="1">VLOOKUP($B49,RD[[#All],[Date]:[IS4Inv2]],I$2,0)/I$1</f>
        <v>3.6287225705329154</v>
      </c>
      <c r="J49" s="225">
        <f ca="1">AVERAGEIFS(Inv_SY_B[[#This Row],[IS1Inv1]:[IS4Inv2]],Inv_SY_B[[#This Row],[IS1Inv1]:[IS4Inv2]],"&lt;&gt;0")</f>
        <v>3.4816091876669697</v>
      </c>
    </row>
    <row r="50" spans="2:10">
      <c r="B50" s="224">
        <f t="shared" ca="1" si="3"/>
        <v>45855</v>
      </c>
      <c r="C50" s="225">
        <f ca="1">VLOOKUP($B50,RD[[#All],[Date]:[IS4Inv2]],C$2,0)/C$1</f>
        <v>3.0587615453264951</v>
      </c>
      <c r="D50" s="225">
        <f ca="1">VLOOKUP($B50,RD[[#All],[Date]:[IS4Inv2]],D$2,0)/D$1</f>
        <v>3.082054059271095</v>
      </c>
      <c r="E50" s="225">
        <f ca="1">VLOOKUP($B50,RD[[#All],[Date]:[IS4Inv2]],E$2,0)/E$1</f>
        <v>3.0537186615716694</v>
      </c>
      <c r="F50" s="225">
        <f ca="1">VLOOKUP($B50,RD[[#All],[Date]:[IS4Inv2]],F$2,0)/F$1</f>
        <v>3.0973308579602521</v>
      </c>
      <c r="G50" s="225">
        <f ca="1">VLOOKUP($B50,RD[[#All],[Date]:[IS4Inv2]],G$2,0)/G$1</f>
        <v>3.1263353318927476</v>
      </c>
      <c r="H50" s="225">
        <f ca="1">VLOOKUP($B50,RD[[#All],[Date]:[IS4Inv2]],H$2,0)/H$1</f>
        <v>3.125104209372076</v>
      </c>
      <c r="I50" s="225">
        <f ca="1">VLOOKUP($B50,RD[[#All],[Date]:[IS4Inv2]],I$2,0)/I$1</f>
        <v>3.1173393416927899</v>
      </c>
      <c r="J50" s="225">
        <f ca="1">AVERAGEIFS(Inv_SY_B[[#This Row],[IS1Inv1]:[IS4Inv2]],Inv_SY_B[[#This Row],[IS1Inv1]:[IS4Inv2]],"&lt;&gt;0")</f>
        <v>3.0943777152981609</v>
      </c>
    </row>
    <row r="51" spans="2:10">
      <c r="B51" s="224">
        <f t="shared" ca="1" si="3"/>
        <v>45856</v>
      </c>
      <c r="C51" s="225">
        <f ca="1">VLOOKUP($B51,RD[[#All],[Date]:[IS4Inv2]],C$2,0)/C$1</f>
        <v>3.6982893024956183</v>
      </c>
      <c r="D51" s="225">
        <f ca="1">VLOOKUP($B51,RD[[#All],[Date]:[IS4Inv2]],D$2,0)/D$1</f>
        <v>3.7423685917886957</v>
      </c>
      <c r="E51" s="225">
        <f ca="1">VLOOKUP($B51,RD[[#All],[Date]:[IS4Inv2]],E$2,0)/E$1</f>
        <v>3.6676048173657034</v>
      </c>
      <c r="F51" s="225">
        <f ca="1">VLOOKUP($B51,RD[[#All],[Date]:[IS4Inv2]],F$2,0)/F$1</f>
        <v>3.7127248379340783</v>
      </c>
      <c r="G51" s="225">
        <f ca="1">VLOOKUP($B51,RD[[#All],[Date]:[IS4Inv2]],G$2,0)/G$1</f>
        <v>3.7353227622728795</v>
      </c>
      <c r="H51" s="225">
        <f ca="1">VLOOKUP($B51,RD[[#All],[Date]:[IS4Inv2]],H$2,0)/H$1</f>
        <v>3.7481830789480397</v>
      </c>
      <c r="I51" s="225">
        <f ca="1">VLOOKUP($B51,RD[[#All],[Date]:[IS4Inv2]],I$2,0)/I$1</f>
        <v>3.727135579937304</v>
      </c>
      <c r="J51" s="225">
        <f ca="1">AVERAGEIFS(Inv_SY_B[[#This Row],[IS1Inv1]:[IS4Inv2]],Inv_SY_B[[#This Row],[IS1Inv1]:[IS4Inv2]],"&lt;&gt;0")</f>
        <v>3.7188041386774739</v>
      </c>
    </row>
    <row r="52" spans="2:10">
      <c r="B52" s="224">
        <f t="shared" ca="1" si="3"/>
        <v>45857</v>
      </c>
      <c r="C52" s="225">
        <f ca="1">VLOOKUP($B52,RD[[#All],[Date]:[IS4Inv2]],C$2,0)/C$1</f>
        <v>5.1763061406621294</v>
      </c>
      <c r="D52" s="225">
        <f ca="1">VLOOKUP($B52,RD[[#All],[Date]:[IS4Inv2]],D$2,0)/D$1</f>
        <v>5.1649606700304016</v>
      </c>
      <c r="E52" s="225">
        <f ca="1">VLOOKUP($B52,RD[[#All],[Date]:[IS4Inv2]],E$2,0)/E$1</f>
        <v>5.0009991686306821</v>
      </c>
      <c r="F52" s="225">
        <f ca="1">VLOOKUP($B52,RD[[#All],[Date]:[IS4Inv2]],F$2,0)/F$1</f>
        <v>5.0509176126852724</v>
      </c>
      <c r="G52" s="225">
        <f ca="1">VLOOKUP($B52,RD[[#All],[Date]:[IS4Inv2]],G$2,0)/G$1</f>
        <v>5.171942051921965</v>
      </c>
      <c r="H52" s="225">
        <f ca="1">VLOOKUP($B52,RD[[#All],[Date]:[IS4Inv2]],H$2,0)/H$1</f>
        <v>5.3888946646763083</v>
      </c>
      <c r="I52" s="225">
        <f ca="1">VLOOKUP($B52,RD[[#All],[Date]:[IS4Inv2]],I$2,0)/I$1</f>
        <v>5.3446316614420066</v>
      </c>
      <c r="J52" s="225">
        <f ca="1">AVERAGEIFS(Inv_SY_B[[#This Row],[IS1Inv1]:[IS4Inv2]],Inv_SY_B[[#This Row],[IS1Inv1]:[IS4Inv2]],"&lt;&gt;0")</f>
        <v>5.1855217100069666</v>
      </c>
    </row>
    <row r="53" spans="2:10">
      <c r="B53" s="224">
        <f t="shared" ca="1" si="3"/>
        <v>45858</v>
      </c>
      <c r="C53" s="225">
        <f ca="1">VLOOKUP($B53,RD[[#All],[Date]:[IS4Inv2]],C$2,0)/C$1</f>
        <v>4.3924604582647868</v>
      </c>
      <c r="D53" s="225">
        <f ca="1">VLOOKUP($B53,RD[[#All],[Date]:[IS4Inv2]],D$2,0)/D$1</f>
        <v>4.4279057796556547</v>
      </c>
      <c r="E53" s="225">
        <f ca="1">VLOOKUP($B53,RD[[#All],[Date]:[IS4Inv2]],E$2,0)/E$1</f>
        <v>4.3517226124827433</v>
      </c>
      <c r="F53" s="225">
        <f ca="1">VLOOKUP($B53,RD[[#All],[Date]:[IS4Inv2]],F$2,0)/F$1</f>
        <v>4.4109170039869747</v>
      </c>
      <c r="G53" s="225">
        <f ca="1">VLOOKUP($B53,RD[[#All],[Date]:[IS4Inv2]],G$2,0)/G$1</f>
        <v>4.4322670968134652</v>
      </c>
      <c r="H53" s="225">
        <f ca="1">VLOOKUP($B53,RD[[#All],[Date]:[IS4Inv2]],H$2,0)/H$1</f>
        <v>4.4479011987265373</v>
      </c>
      <c r="I53" s="225">
        <f ca="1">VLOOKUP($B53,RD[[#All],[Date]:[IS4Inv2]],I$2,0)/I$1</f>
        <v>4.4212774294670849</v>
      </c>
      <c r="J53" s="225">
        <f ca="1">AVERAGEIFS(Inv_SY_B[[#This Row],[IS1Inv1]:[IS4Inv2]],Inv_SY_B[[#This Row],[IS1Inv1]:[IS4Inv2]],"&lt;&gt;0")</f>
        <v>4.4120645113424635</v>
      </c>
    </row>
    <row r="54" spans="2:10">
      <c r="B54" s="224">
        <f t="shared" ca="1" si="3"/>
        <v>45859</v>
      </c>
      <c r="C54" s="225">
        <f ca="1">VLOOKUP($B54,RD[[#All],[Date]:[IS4Inv2]],C$2,0)/C$1</f>
        <v>4.1833059148629621</v>
      </c>
      <c r="D54" s="225">
        <f ca="1">VLOOKUP($B54,RD[[#All],[Date]:[IS4Inv2]],D$2,0)/D$1</f>
        <v>4.1854808872969826</v>
      </c>
      <c r="E54" s="225">
        <f ca="1">VLOOKUP($B54,RD[[#All],[Date]:[IS4Inv2]],E$2,0)/E$1</f>
        <v>4.1161171239197918</v>
      </c>
      <c r="F54" s="225">
        <f ca="1">VLOOKUP($B54,RD[[#All],[Date]:[IS4Inv2]],F$2,0)/F$1</f>
        <v>4.1408984386888639</v>
      </c>
      <c r="G54" s="225">
        <f ca="1">VLOOKUP($B54,RD[[#All],[Date]:[IS4Inv2]],G$2,0)/G$1</f>
        <v>4.1453875886416895</v>
      </c>
      <c r="H54" s="225">
        <f ca="1">VLOOKUP($B54,RD[[#All],[Date]:[IS4Inv2]],H$2,0)/H$1</f>
        <v>4.2642769291729357</v>
      </c>
      <c r="I54" s="225">
        <f ca="1">VLOOKUP($B54,RD[[#All],[Date]:[IS4Inv2]],I$2,0)/I$1</f>
        <v>4.2151253918495302</v>
      </c>
      <c r="J54" s="225">
        <f ca="1">AVERAGEIFS(Inv_SY_B[[#This Row],[IS1Inv1]:[IS4Inv2]],Inv_SY_B[[#This Row],[IS1Inv1]:[IS4Inv2]],"&lt;&gt;0")</f>
        <v>4.1786560392046797</v>
      </c>
    </row>
    <row r="55" spans="2:10">
      <c r="B55" s="224">
        <f t="shared" ca="1" si="3"/>
        <v>45860</v>
      </c>
      <c r="C55" s="225">
        <f ca="1">VLOOKUP($B55,RD[[#All],[Date]:[IS4Inv2]],C$2,0)/C$1</f>
        <v>2.8491554035891316</v>
      </c>
      <c r="D55" s="225">
        <f ca="1">VLOOKUP($B55,RD[[#All],[Date]:[IS4Inv2]],D$2,0)/D$1</f>
        <v>2.8272966611081025</v>
      </c>
      <c r="E55" s="225">
        <f ca="1">VLOOKUP($B55,RD[[#All],[Date]:[IS4Inv2]],E$2,0)/E$1</f>
        <v>2.8228573171940901</v>
      </c>
      <c r="F55" s="225">
        <f ca="1">VLOOKUP($B55,RD[[#All],[Date]:[IS4Inv2]],F$2,0)/F$1</f>
        <v>2.8216666159418087</v>
      </c>
      <c r="G55" s="225">
        <f ca="1">VLOOKUP($B55,RD[[#All],[Date]:[IS4Inv2]],G$2,0)/G$1</f>
        <v>2.8063882886447336</v>
      </c>
      <c r="H55" s="225">
        <f ca="1">VLOOKUP($B55,RD[[#All],[Date]:[IS4Inv2]],H$2,0)/H$1</f>
        <v>2.8555035298779305</v>
      </c>
      <c r="I55" s="225">
        <f ca="1">VLOOKUP($B55,RD[[#All],[Date]:[IS4Inv2]],I$2,0)/I$1</f>
        <v>2.8515086206896552</v>
      </c>
      <c r="J55" s="225">
        <f ca="1">AVERAGEIFS(Inv_SY_B[[#This Row],[IS1Inv1]:[IS4Inv2]],Inv_SY_B[[#This Row],[IS1Inv1]:[IS4Inv2]],"&lt;&gt;0")</f>
        <v>2.8334823481493498</v>
      </c>
    </row>
    <row r="56" spans="2:10">
      <c r="B56" s="224">
        <f t="shared" ca="1" si="3"/>
        <v>45861</v>
      </c>
      <c r="C56" s="225">
        <f ca="1">VLOOKUP($B56,RD[[#All],[Date]:[IS4Inv2]],C$2,0)/C$1</f>
        <v>3.4078900680623212</v>
      </c>
      <c r="D56" s="225">
        <f ca="1">VLOOKUP($B56,RD[[#All],[Date]:[IS4Inv2]],D$2,0)/D$1</f>
        <v>3.4249620641397538</v>
      </c>
      <c r="E56" s="225">
        <f ca="1">VLOOKUP($B56,RD[[#All],[Date]:[IS4Inv2]],E$2,0)/E$1</f>
        <v>3.3607914025734313</v>
      </c>
      <c r="F56" s="225">
        <f ca="1">VLOOKUP($B56,RD[[#All],[Date]:[IS4Inv2]],F$2,0)/F$1</f>
        <v>3.3923517058769823</v>
      </c>
      <c r="G56" s="225">
        <f ca="1">VLOOKUP($B56,RD[[#All],[Date]:[IS4Inv2]],G$2,0)/G$1</f>
        <v>3.4136865812460058</v>
      </c>
      <c r="H56" s="225">
        <f ca="1">VLOOKUP($B56,RD[[#All],[Date]:[IS4Inv2]],H$2,0)/H$1</f>
        <v>3.5016114446900795</v>
      </c>
      <c r="I56" s="225">
        <f ca="1">VLOOKUP($B56,RD[[#All],[Date]:[IS4Inv2]],I$2,0)/I$1</f>
        <v>3.4545258620689658</v>
      </c>
      <c r="J56" s="225">
        <f ca="1">AVERAGEIFS(Inv_SY_B[[#This Row],[IS1Inv1]:[IS4Inv2]],Inv_SY_B[[#This Row],[IS1Inv1]:[IS4Inv2]],"&lt;&gt;0")</f>
        <v>3.422259875522506</v>
      </c>
    </row>
    <row r="57" spans="2:10">
      <c r="B57" s="224">
        <f t="shared" ca="1" si="3"/>
        <v>45862</v>
      </c>
      <c r="C57" s="225">
        <f ca="1">VLOOKUP($B57,RD[[#All],[Date]:[IS4Inv2]],C$2,0)/C$1</f>
        <v>2.0863843101835426</v>
      </c>
      <c r="D57" s="225">
        <f ca="1">VLOOKUP($B57,RD[[#All],[Date]:[IS4Inv2]],D$2,0)/D$1</f>
        <v>2.0962042691917917</v>
      </c>
      <c r="E57" s="225">
        <f ca="1">VLOOKUP($B57,RD[[#All],[Date]:[IS4Inv2]],E$2,0)/E$1</f>
        <v>2.0823894622032051</v>
      </c>
      <c r="F57" s="225">
        <f ca="1">VLOOKUP($B57,RD[[#All],[Date]:[IS4Inv2]],F$2,0)/F$1</f>
        <v>2.1100374349453692</v>
      </c>
      <c r="G57" s="225">
        <f ca="1">VLOOKUP($B57,RD[[#All],[Date]:[IS4Inv2]],G$2,0)/G$1</f>
        <v>2.1138874516845729</v>
      </c>
      <c r="H57" s="225">
        <f ca="1">VLOOKUP($B57,RD[[#All],[Date]:[IS4Inv2]],H$2,0)/H$1</f>
        <v>2.1043917997767712</v>
      </c>
      <c r="I57" s="225">
        <f ca="1">VLOOKUP($B57,RD[[#All],[Date]:[IS4Inv2]],I$2,0)/I$1</f>
        <v>2.0888910658307211</v>
      </c>
      <c r="J57" s="225">
        <f ca="1">AVERAGEIFS(Inv_SY_B[[#This Row],[IS1Inv1]:[IS4Inv2]],Inv_SY_B[[#This Row],[IS1Inv1]:[IS4Inv2]],"&lt;&gt;0")</f>
        <v>2.0974551134022819</v>
      </c>
    </row>
    <row r="58" spans="2:10">
      <c r="B58" s="224">
        <f t="shared" ca="1" si="3"/>
        <v>45863</v>
      </c>
      <c r="C58" s="225">
        <f ca="1">VLOOKUP($B58,RD[[#All],[Date]:[IS4Inv2]],C$2,0)/C$1</f>
        <v>1.5797554917583305</v>
      </c>
      <c r="D58" s="225">
        <f ca="1">VLOOKUP($B58,RD[[#All],[Date]:[IS4Inv2]],D$2,0)/D$1</f>
        <v>1.6034402329235009</v>
      </c>
      <c r="E58" s="225">
        <f ca="1">VLOOKUP($B58,RD[[#All],[Date]:[IS4Inv2]],E$2,0)/E$1</f>
        <v>1.5725236253804087</v>
      </c>
      <c r="F58" s="225">
        <f ca="1">VLOOKUP($B58,RD[[#All],[Date]:[IS4Inv2]],F$2,0)/F$1</f>
        <v>1.5994613020056612</v>
      </c>
      <c r="G58" s="225">
        <f ca="1">VLOOKUP($B58,RD[[#All],[Date]:[IS4Inv2]],G$2,0)/G$1</f>
        <v>1.6142222357488514</v>
      </c>
      <c r="H58" s="225">
        <f ca="1">VLOOKUP($B58,RD[[#All],[Date]:[IS4Inv2]],H$2,0)/H$1</f>
        <v>1.6121508618237672</v>
      </c>
      <c r="I58" s="225">
        <f ca="1">VLOOKUP($B58,RD[[#All],[Date]:[IS4Inv2]],I$2,0)/I$1</f>
        <v>1.6042319749216301</v>
      </c>
      <c r="J58" s="225">
        <f ca="1">AVERAGEIFS(Inv_SY_B[[#This Row],[IS1Inv1]:[IS4Inv2]],Inv_SY_B[[#This Row],[IS1Inv1]:[IS4Inv2]],"&lt;&gt;0")</f>
        <v>1.5979693892231643</v>
      </c>
    </row>
    <row r="59" spans="2:10">
      <c r="B59" s="224">
        <f t="shared" ca="1" si="3"/>
        <v>45864</v>
      </c>
      <c r="C59" s="225">
        <f ca="1">VLOOKUP($B59,RD[[#All],[Date]:[IS4Inv2]],C$2,0)/C$1</f>
        <v>1.0980290958356183</v>
      </c>
      <c r="D59" s="225">
        <f ca="1">VLOOKUP($B59,RD[[#All],[Date]:[IS4Inv2]],D$2,0)/D$1</f>
        <v>1.1193625703086878</v>
      </c>
      <c r="E59" s="225">
        <f ca="1">VLOOKUP($B59,RD[[#All],[Date]:[IS4Inv2]],E$2,0)/E$1</f>
        <v>1.0908480729774463</v>
      </c>
      <c r="F59" s="225">
        <f ca="1">VLOOKUP($B59,RD[[#All],[Date]:[IS4Inv2]],F$2,0)/F$1</f>
        <v>1.1124874455975897</v>
      </c>
      <c r="G59" s="225">
        <f ca="1">VLOOKUP($B59,RD[[#All],[Date]:[IS4Inv2]],G$2,0)/G$1</f>
        <v>1.1265483762972883</v>
      </c>
      <c r="H59" s="225">
        <f ca="1">VLOOKUP($B59,RD[[#All],[Date]:[IS4Inv2]],H$2,0)/H$1</f>
        <v>1.1251473643120415</v>
      </c>
      <c r="I59" s="225">
        <f ca="1">VLOOKUP($B59,RD[[#All],[Date]:[IS4Inv2]],I$2,0)/I$1</f>
        <v>1.1228448275862069</v>
      </c>
      <c r="J59" s="225">
        <f ca="1">AVERAGEIFS(Inv_SY_B[[#This Row],[IS1Inv1]:[IS4Inv2]],Inv_SY_B[[#This Row],[IS1Inv1]:[IS4Inv2]],"&lt;&gt;0")</f>
        <v>1.1136096789878398</v>
      </c>
    </row>
    <row r="60" spans="2:10">
      <c r="B60" s="224">
        <f t="shared" ca="1" si="3"/>
        <v>45865</v>
      </c>
      <c r="C60" s="225">
        <f ca="1">VLOOKUP($B60,RD[[#All],[Date]:[IS4Inv2]],C$2,0)/C$1</f>
        <v>2.0635678418975734</v>
      </c>
      <c r="D60" s="225">
        <f ca="1">VLOOKUP($B60,RD[[#All],[Date]:[IS4Inv2]],D$2,0)/D$1</f>
        <v>2.1007726582984354</v>
      </c>
      <c r="E60" s="225">
        <f ca="1">VLOOKUP($B60,RD[[#All],[Date]:[IS4Inv2]],E$2,0)/E$1</f>
        <v>2.0579365260966069</v>
      </c>
      <c r="F60" s="225">
        <f ca="1">VLOOKUP($B60,RD[[#All],[Date]:[IS4Inv2]],F$2,0)/F$1</f>
        <v>2.0911373527710992</v>
      </c>
      <c r="G60" s="225">
        <f ca="1">VLOOKUP($B60,RD[[#All],[Date]:[IS4Inv2]],G$2,0)/G$1</f>
        <v>2.1152265879416867</v>
      </c>
      <c r="H60" s="225">
        <f ca="1">VLOOKUP($B60,RD[[#All],[Date]:[IS4Inv2]],H$2,0)/H$1</f>
        <v>2.1126304701338392</v>
      </c>
      <c r="I60" s="225">
        <f ca="1">VLOOKUP($B60,RD[[#All],[Date]:[IS4Inv2]],I$2,0)/I$1</f>
        <v>2.1082680250783699</v>
      </c>
      <c r="J60" s="225">
        <f ca="1">AVERAGEIFS(Inv_SY_B[[#This Row],[IS1Inv1]:[IS4Inv2]],Inv_SY_B[[#This Row],[IS1Inv1]:[IS4Inv2]],"&lt;&gt;0")</f>
        <v>2.0927913517453729</v>
      </c>
    </row>
    <row r="61" spans="2:10">
      <c r="B61" s="224">
        <f t="shared" ca="1" si="3"/>
        <v>45866</v>
      </c>
      <c r="C61" s="225">
        <f ca="1">VLOOKUP($B61,RD[[#All],[Date]:[IS4Inv2]],C$2,0)/C$1</f>
        <v>2.7277614700601056</v>
      </c>
      <c r="D61" s="225">
        <f ca="1">VLOOKUP($B61,RD[[#All],[Date]:[IS4Inv2]],D$2,0)/D$1</f>
        <v>2.7507922294489511</v>
      </c>
      <c r="E61" s="225">
        <f ca="1">VLOOKUP($B61,RD[[#All],[Date]:[IS4Inv2]],E$2,0)/E$1</f>
        <v>2.7008672173535002</v>
      </c>
      <c r="F61" s="225">
        <f ca="1">VLOOKUP($B61,RD[[#All],[Date]:[IS4Inv2]],F$2,0)/F$1</f>
        <v>2.7392488662994188</v>
      </c>
      <c r="G61" s="225">
        <f ca="1">VLOOKUP($B61,RD[[#All],[Date]:[IS4Inv2]],G$2,0)/G$1</f>
        <v>2.7606446114983108</v>
      </c>
      <c r="H61" s="225">
        <f ca="1">VLOOKUP($B61,RD[[#All],[Date]:[IS4Inv2]],H$2,0)/H$1</f>
        <v>2.784199799525688</v>
      </c>
      <c r="I61" s="225">
        <f ca="1">VLOOKUP($B61,RD[[#All],[Date]:[IS4Inv2]],I$2,0)/I$1</f>
        <v>2.773510971786834</v>
      </c>
      <c r="J61" s="225">
        <f ca="1">AVERAGEIFS(Inv_SY_B[[#This Row],[IS1Inv1]:[IS4Inv2]],Inv_SY_B[[#This Row],[IS1Inv1]:[IS4Inv2]],"&lt;&gt;0")</f>
        <v>2.74814645228183</v>
      </c>
    </row>
    <row r="62" spans="2:10">
      <c r="B62" s="224">
        <f t="shared" ca="1" si="3"/>
        <v>45867</v>
      </c>
      <c r="C62" s="225">
        <f ca="1">VLOOKUP($B62,RD[[#All],[Date]:[IS4Inv2]],C$2,0)/C$1</f>
        <v>1.3421072438523489</v>
      </c>
      <c r="D62" s="225">
        <f ca="1">VLOOKUP($B62,RD[[#All],[Date]:[IS4Inv2]],D$2,0)/D$1</f>
        <v>1.3522860712389877</v>
      </c>
      <c r="E62" s="225">
        <f ca="1">VLOOKUP($B62,RD[[#All],[Date]:[IS4Inv2]],E$2,0)/E$1</f>
        <v>1.3435538368838142</v>
      </c>
      <c r="F62" s="225">
        <f ca="1">VLOOKUP($B62,RD[[#All],[Date]:[IS4Inv2]],F$2,0)/F$1</f>
        <v>1.3613385275588155</v>
      </c>
      <c r="G62" s="225">
        <f ca="1">VLOOKUP($B62,RD[[#All],[Date]:[IS4Inv2]],G$2,0)/G$1</f>
        <v>1.3694950847612382</v>
      </c>
      <c r="H62" s="225">
        <f ca="1">VLOOKUP($B62,RD[[#All],[Date]:[IS4Inv2]],H$2,0)/H$1</f>
        <v>1.3540058573023064</v>
      </c>
      <c r="I62" s="225">
        <f ca="1">VLOOKUP($B62,RD[[#All],[Date]:[IS4Inv2]],I$2,0)/I$1</f>
        <v>1.3438871473354232</v>
      </c>
      <c r="J62" s="225">
        <f ca="1">AVERAGEIFS(Inv_SY_B[[#This Row],[IS1Inv1]:[IS4Inv2]],Inv_SY_B[[#This Row],[IS1Inv1]:[IS4Inv2]],"&lt;&gt;0")</f>
        <v>1.3523819669904191</v>
      </c>
    </row>
    <row r="63" spans="2:10">
      <c r="B63" s="224">
        <f t="shared" ca="1" si="3"/>
        <v>45868</v>
      </c>
      <c r="C63" s="225">
        <f ca="1">VLOOKUP($B63,RD[[#All],[Date]:[IS4Inv2]],C$2,0)/C$1</f>
        <v>1.961700160209886</v>
      </c>
      <c r="D63" s="225">
        <f ca="1">VLOOKUP($B63,RD[[#All],[Date]:[IS4Inv2]],D$2,0)/D$1</f>
        <v>1.978241170193942</v>
      </c>
      <c r="E63" s="225">
        <f ca="1">VLOOKUP($B63,RD[[#All],[Date]:[IS4Inv2]],E$2,0)/E$1</f>
        <v>1.9555636912797749</v>
      </c>
      <c r="F63" s="225">
        <f ca="1">VLOOKUP($B63,RD[[#All],[Date]:[IS4Inv2]],F$2,0)/F$1</f>
        <v>1.9793955625894026</v>
      </c>
      <c r="G63" s="225">
        <f ca="1">VLOOKUP($B63,RD[[#All],[Date]:[IS4Inv2]],G$2,0)/G$1</f>
        <v>1.9830781872964667</v>
      </c>
      <c r="H63" s="225">
        <f ca="1">VLOOKUP($B63,RD[[#All],[Date]:[IS4Inv2]],H$2,0)/H$1</f>
        <v>1.9880892365694962</v>
      </c>
      <c r="I63" s="225">
        <f ca="1">VLOOKUP($B63,RD[[#All],[Date]:[IS4Inv2]],I$2,0)/I$1</f>
        <v>1.9769200626959249</v>
      </c>
      <c r="J63" s="225">
        <f ca="1">AVERAGEIFS(Inv_SY_B[[#This Row],[IS1Inv1]:[IS4Inv2]],Inv_SY_B[[#This Row],[IS1Inv1]:[IS4Inv2]],"&lt;&gt;0")</f>
        <v>1.9747125815478419</v>
      </c>
    </row>
    <row r="64" spans="2:10">
      <c r="B64" s="224">
        <f t="shared" ca="1" si="3"/>
        <v>45869</v>
      </c>
      <c r="C64" s="225">
        <f ca="1">VLOOKUP($B64,RD[[#All],[Date]:[IS4Inv2]],C$2,0)/C$1</f>
        <v>3.729578615743578</v>
      </c>
      <c r="D64" s="225">
        <f ca="1">VLOOKUP($B64,RD[[#All],[Date]:[IS4Inv2]],D$2,0)/D$1</f>
        <v>3.7276124804958739</v>
      </c>
      <c r="E64" s="225">
        <f ca="1">VLOOKUP($B64,RD[[#All],[Date]:[IS4Inv2]],E$2,0)/E$1</f>
        <v>3.6836220244224269</v>
      </c>
      <c r="F64" s="225">
        <f ca="1">VLOOKUP($B64,RD[[#All],[Date]:[IS4Inv2]],F$2,0)/F$1</f>
        <v>3.7040508871777704</v>
      </c>
      <c r="G64" s="225">
        <f ca="1">VLOOKUP($B64,RD[[#All],[Date]:[IS4Inv2]],G$2,0)/G$1</f>
        <v>3.7530358827647081</v>
      </c>
      <c r="H64" s="225">
        <f ca="1">VLOOKUP($B64,RD[[#All],[Date]:[IS4Inv2]],H$2,0)/H$1</f>
        <v>3.8279804861207829</v>
      </c>
      <c r="I64" s="225">
        <f ca="1">VLOOKUP($B64,RD[[#All],[Date]:[IS4Inv2]],I$2,0)/I$1</f>
        <v>3.7667319749216306</v>
      </c>
      <c r="J64" s="225">
        <f ca="1">AVERAGEIFS(Inv_SY_B[[#This Row],[IS1Inv1]:[IS4Inv2]],Inv_SY_B[[#This Row],[IS1Inv1]:[IS4Inv2]],"&lt;&gt;0")</f>
        <v>3.7418017645209671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2" activePane="bottomRight" state="frozen"/>
      <selection pane="topRight" activeCell="L73" sqref="L73"/>
      <selection pane="bottomLeft" activeCell="L73" sqref="L73"/>
      <selection pane="bottomRight" activeCell="I68" sqref="I68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45809</v>
      </c>
      <c r="C3" s="226">
        <f ca="1">IFERROR((Inv_SY_B!C4/Inv_SY_B!$J4)-1,"")</f>
        <v>3.9541308917256934E-3</v>
      </c>
      <c r="D3" s="226">
        <f ca="1">IFERROR((Inv_SY_B!D4/Inv_SY_B!$J4)-1,"")</f>
        <v>4.3614224927350786E-3</v>
      </c>
      <c r="E3" s="226">
        <f ca="1">IFERROR((Inv_SY_B!E4/Inv_SY_B!$J4)-1,"")</f>
        <v>-1.7146984959498957E-2</v>
      </c>
      <c r="F3" s="226">
        <f ca="1">IFERROR((Inv_SY_B!F4/Inv_SY_B!$J4)-1,"")</f>
        <v>-1.2994762960145678E-3</v>
      </c>
      <c r="G3" s="226">
        <f ca="1">IFERROR((Inv_SY_B!G4/Inv_SY_B!$J4)-1,"")</f>
        <v>1.1031164363416446E-2</v>
      </c>
      <c r="H3" s="226">
        <f ca="1">IFERROR((Inv_SY_B!H4/Inv_SY_B!$J4)-1,"")</f>
        <v>8.5286015069307997E-3</v>
      </c>
      <c r="I3" s="226">
        <f ca="1">IFERROR((Inv_SY_B!I4/Inv_SY_B!$J4)-1,"")</f>
        <v>-9.4288579992943822E-3</v>
      </c>
    </row>
    <row r="4" spans="2:9">
      <c r="B4" s="224">
        <f ca="1">B3+1</f>
        <v>45810</v>
      </c>
      <c r="C4" s="226">
        <f ca="1">IFERROR((Inv_SY_B!C5/Inv_SY_B!$J5)-1,"")</f>
        <v>-4.0179118830330207E-3</v>
      </c>
      <c r="D4" s="226">
        <f ca="1">IFERROR((Inv_SY_B!D5/Inv_SY_B!$J5)-1,"")</f>
        <v>-4.8930204983191894E-3</v>
      </c>
      <c r="E4" s="226">
        <f ca="1">IFERROR((Inv_SY_B!E5/Inv_SY_B!$J5)-1,"")</f>
        <v>-2.8685935742243429E-2</v>
      </c>
      <c r="F4" s="226">
        <f ca="1">IFERROR((Inv_SY_B!F5/Inv_SY_B!$J5)-1,"")</f>
        <v>-2.1361924964382384E-2</v>
      </c>
      <c r="G4" s="226">
        <f ca="1">IFERROR((Inv_SY_B!G5/Inv_SY_B!$J5)-1,"")</f>
        <v>2.3154041764827937E-3</v>
      </c>
      <c r="H4" s="226">
        <f ca="1">IFERROR((Inv_SY_B!H5/Inv_SY_B!$J5)-1,"")</f>
        <v>2.9817652784654536E-2</v>
      </c>
      <c r="I4" s="226">
        <f ca="1">IFERROR((Inv_SY_B!I5/Inv_SY_B!$J5)-1,"")</f>
        <v>2.6825736126840249E-2</v>
      </c>
    </row>
    <row r="5" spans="2:9">
      <c r="B5" s="224">
        <f t="shared" ref="B5:B63" ca="1" si="1">B4+1</f>
        <v>45811</v>
      </c>
      <c r="C5" s="226">
        <f ca="1">IFERROR((Inv_SY_B!C6/Inv_SY_B!$J6)-1,"")</f>
        <v>-3.067747604369675E-3</v>
      </c>
      <c r="D5" s="226">
        <f ca="1">IFERROR((Inv_SY_B!D6/Inv_SY_B!$J6)-1,"")</f>
        <v>-2.6758313768256992E-3</v>
      </c>
      <c r="E5" s="226">
        <f ca="1">IFERROR((Inv_SY_B!E6/Inv_SY_B!$J6)-1,"")</f>
        <v>-3.0887126499997364E-2</v>
      </c>
      <c r="F5" s="226">
        <f ca="1">IFERROR((Inv_SY_B!F6/Inv_SY_B!$J6)-1,"")</f>
        <v>-2.2013756836027465E-2</v>
      </c>
      <c r="G5" s="226">
        <f ca="1">IFERROR((Inv_SY_B!G6/Inv_SY_B!$J6)-1,"")</f>
        <v>-1.3052380681217057E-2</v>
      </c>
      <c r="H5" s="226">
        <f ca="1">IFERROR((Inv_SY_B!H6/Inv_SY_B!$J6)-1,"")</f>
        <v>3.8470942515736573E-2</v>
      </c>
      <c r="I5" s="226">
        <f ca="1">IFERROR((Inv_SY_B!I6/Inv_SY_B!$J6)-1,"")</f>
        <v>3.3225900482701132E-2</v>
      </c>
    </row>
    <row r="6" spans="2:9">
      <c r="B6" s="224">
        <f t="shared" ca="1" si="1"/>
        <v>45812</v>
      </c>
      <c r="C6" s="226">
        <f ca="1">IFERROR((Inv_SY_B!C7/Inv_SY_B!$J7)-1,"")</f>
        <v>-5.9035269816554159E-4</v>
      </c>
      <c r="D6" s="226">
        <f ca="1">IFERROR((Inv_SY_B!D7/Inv_SY_B!$J7)-1,"")</f>
        <v>-2.3955427478863367E-3</v>
      </c>
      <c r="E6" s="226">
        <f ca="1">IFERROR((Inv_SY_B!E7/Inv_SY_B!$J7)-1,"")</f>
        <v>-2.4046686374936455E-2</v>
      </c>
      <c r="F6" s="226">
        <f ca="1">IFERROR((Inv_SY_B!F7/Inv_SY_B!$J7)-1,"")</f>
        <v>-1.6730046756757155E-2</v>
      </c>
      <c r="G6" s="226">
        <f ca="1">IFERROR((Inv_SY_B!G7/Inv_SY_B!$J7)-1,"")</f>
        <v>-1.2021837841202254E-2</v>
      </c>
      <c r="H6" s="226">
        <f ca="1">IFERROR((Inv_SY_B!H7/Inv_SY_B!$J7)-1,"")</f>
        <v>2.8287323991466495E-2</v>
      </c>
      <c r="I6" s="226">
        <f ca="1">IFERROR((Inv_SY_B!I7/Inv_SY_B!$J7)-1,"")</f>
        <v>2.7497142427481469E-2</v>
      </c>
    </row>
    <row r="7" spans="2:9">
      <c r="B7" s="224">
        <f t="shared" ca="1" si="1"/>
        <v>45813</v>
      </c>
      <c r="C7" s="226">
        <f ca="1">IFERROR((Inv_SY_B!C8/Inv_SY_B!$J8)-1,"")</f>
        <v>9.9461943263858821E-3</v>
      </c>
      <c r="D7" s="226">
        <f ca="1">IFERROR((Inv_SY_B!D8/Inv_SY_B!$J8)-1,"")</f>
        <v>6.267014523182457E-4</v>
      </c>
      <c r="E7" s="226">
        <f ca="1">IFERROR((Inv_SY_B!E8/Inv_SY_B!$J8)-1,"")</f>
        <v>-2.5582414416967958E-2</v>
      </c>
      <c r="F7" s="226">
        <f ca="1">IFERROR((Inv_SY_B!F8/Inv_SY_B!$J8)-1,"")</f>
        <v>-2.0660750028885233E-2</v>
      </c>
      <c r="G7" s="226">
        <f ca="1">IFERROR((Inv_SY_B!G8/Inv_SY_B!$J8)-1,"")</f>
        <v>-2.3965864519737368E-2</v>
      </c>
      <c r="H7" s="226">
        <f ca="1">IFERROR((Inv_SY_B!H8/Inv_SY_B!$J8)-1,"")</f>
        <v>3.7638972021835526E-2</v>
      </c>
      <c r="I7" s="226">
        <f ca="1">IFERROR((Inv_SY_B!I8/Inv_SY_B!$J8)-1,"")</f>
        <v>2.1997161165051349E-2</v>
      </c>
    </row>
    <row r="8" spans="2:9">
      <c r="B8" s="224">
        <f t="shared" ca="1" si="1"/>
        <v>45814</v>
      </c>
      <c r="C8" s="226">
        <f ca="1">IFERROR((Inv_SY_B!C9/Inv_SY_B!$J9)-1,"")</f>
        <v>1.74839020660984E-2</v>
      </c>
      <c r="D8" s="226">
        <f ca="1">IFERROR((Inv_SY_B!D9/Inv_SY_B!$J9)-1,"")</f>
        <v>8.6154043909587585E-3</v>
      </c>
      <c r="E8" s="226">
        <f ca="1">IFERROR((Inv_SY_B!E9/Inv_SY_B!$J9)-1,"")</f>
        <v>-1.5590398952355145E-2</v>
      </c>
      <c r="F8" s="226">
        <f ca="1">IFERROR((Inv_SY_B!F9/Inv_SY_B!$J9)-1,"")</f>
        <v>-1.0981341500747477E-2</v>
      </c>
      <c r="G8" s="226">
        <f ca="1">IFERROR((Inv_SY_B!G9/Inv_SY_B!$J9)-1,"")</f>
        <v>-1.9365157217896556E-2</v>
      </c>
      <c r="H8" s="226">
        <f ca="1">IFERROR((Inv_SY_B!H9/Inv_SY_B!$J9)-1,"")</f>
        <v>1.3313705189668346E-2</v>
      </c>
      <c r="I8" s="226">
        <f ca="1">IFERROR((Inv_SY_B!I9/Inv_SY_B!$J9)-1,"")</f>
        <v>6.5238860242746721E-3</v>
      </c>
    </row>
    <row r="9" spans="2:9">
      <c r="B9" s="224">
        <f t="shared" ca="1" si="1"/>
        <v>45815</v>
      </c>
      <c r="C9" s="226">
        <f ca="1">IFERROR((Inv_SY_B!C10/Inv_SY_B!$J10)-1,"")</f>
        <v>3.0907219566056465E-3</v>
      </c>
      <c r="D9" s="226">
        <f ca="1">IFERROR((Inv_SY_B!D10/Inv_SY_B!$J10)-1,"")</f>
        <v>-9.387483560771015E-4</v>
      </c>
      <c r="E9" s="226">
        <f ca="1">IFERROR((Inv_SY_B!E10/Inv_SY_B!$J10)-1,"")</f>
        <v>-2.2526849736953736E-2</v>
      </c>
      <c r="F9" s="226">
        <f ca="1">IFERROR((Inv_SY_B!F10/Inv_SY_B!$J10)-1,"")</f>
        <v>-1.5271881115411001E-2</v>
      </c>
      <c r="G9" s="226">
        <f ca="1">IFERROR((Inv_SY_B!G10/Inv_SY_B!$J10)-1,"")</f>
        <v>-1.2035086977291276E-2</v>
      </c>
      <c r="H9" s="226">
        <f ca="1">IFERROR((Inv_SY_B!H10/Inv_SY_B!$J10)-1,"")</f>
        <v>2.7689639090904272E-2</v>
      </c>
      <c r="I9" s="226">
        <f ca="1">IFERROR((Inv_SY_B!I10/Inv_SY_B!$J10)-1,"")</f>
        <v>1.9992205138223751E-2</v>
      </c>
    </row>
    <row r="10" spans="2:9">
      <c r="B10" s="224">
        <f t="shared" ca="1" si="1"/>
        <v>45816</v>
      </c>
      <c r="C10" s="226">
        <f ca="1">IFERROR((Inv_SY_B!C11/Inv_SY_B!$J11)-1,"")</f>
        <v>-6.4343880948477539E-3</v>
      </c>
      <c r="D10" s="226">
        <f ca="1">IFERROR((Inv_SY_B!D11/Inv_SY_B!$J11)-1,"")</f>
        <v>9.0682906339312197E-4</v>
      </c>
      <c r="E10" s="226">
        <f ca="1">IFERROR((Inv_SY_B!E11/Inv_SY_B!$J11)-1,"")</f>
        <v>-2.0426269015577647E-2</v>
      </c>
      <c r="F10" s="226">
        <f ca="1">IFERROR((Inv_SY_B!F11/Inv_SY_B!$J11)-1,"")</f>
        <v>-5.5615938182778102E-3</v>
      </c>
      <c r="G10" s="226">
        <f ca="1">IFERROR((Inv_SY_B!G11/Inv_SY_B!$J11)-1,"")</f>
        <v>4.1047232526296717E-3</v>
      </c>
      <c r="H10" s="226">
        <f ca="1">IFERROR((Inv_SY_B!H11/Inv_SY_B!$J11)-1,"")</f>
        <v>1.447173135782398E-2</v>
      </c>
      <c r="I10" s="226">
        <f ca="1">IFERROR((Inv_SY_B!I11/Inv_SY_B!$J11)-1,"")</f>
        <v>1.2938967254856326E-2</v>
      </c>
    </row>
    <row r="11" spans="2:9">
      <c r="B11" s="224">
        <f t="shared" ca="1" si="1"/>
        <v>45817</v>
      </c>
      <c r="C11" s="226">
        <f ca="1">IFERROR((Inv_SY_B!C12/Inv_SY_B!$J12)-1,"")</f>
        <v>1.2010295511153402E-3</v>
      </c>
      <c r="D11" s="226">
        <f ca="1">IFERROR((Inv_SY_B!D12/Inv_SY_B!$J12)-1,"")</f>
        <v>5.3243939325511302E-3</v>
      </c>
      <c r="E11" s="226">
        <f ca="1">IFERROR((Inv_SY_B!E12/Inv_SY_B!$J12)-1,"")</f>
        <v>-2.0316878446501763E-2</v>
      </c>
      <c r="F11" s="226">
        <f ca="1">IFERROR((Inv_SY_B!F12/Inv_SY_B!$J12)-1,"")</f>
        <v>-1.4720049185483419E-2</v>
      </c>
      <c r="G11" s="226">
        <f ca="1">IFERROR((Inv_SY_B!G12/Inv_SY_B!$J12)-1,"")</f>
        <v>-1.2908275985902717E-2</v>
      </c>
      <c r="H11" s="226">
        <f ca="1">IFERROR((Inv_SY_B!H12/Inv_SY_B!$J12)-1,"")</f>
        <v>2.6538136662891176E-2</v>
      </c>
      <c r="I11" s="226">
        <f ca="1">IFERROR((Inv_SY_B!I12/Inv_SY_B!$J12)-1,"")</f>
        <v>1.4881643471329253E-2</v>
      </c>
    </row>
    <row r="12" spans="2:9">
      <c r="B12" s="224">
        <f t="shared" ca="1" si="1"/>
        <v>45818</v>
      </c>
      <c r="C12" s="226">
        <f ca="1">IFERROR((Inv_SY_B!C13/Inv_SY_B!$J13)-1,"")</f>
        <v>5.4357990362043918E-3</v>
      </c>
      <c r="D12" s="226">
        <f ca="1">IFERROR((Inv_SY_B!D13/Inv_SY_B!$J13)-1,"")</f>
        <v>1.1568012653935256E-3</v>
      </c>
      <c r="E12" s="226">
        <f ca="1">IFERROR((Inv_SY_B!E13/Inv_SY_B!$J13)-1,"")</f>
        <v>-1.4894109513491127E-2</v>
      </c>
      <c r="F12" s="226">
        <f ca="1">IFERROR((Inv_SY_B!F13/Inv_SY_B!$J13)-1,"")</f>
        <v>-9.7398214896786683E-3</v>
      </c>
      <c r="G12" s="226">
        <f ca="1">IFERROR((Inv_SY_B!G13/Inv_SY_B!$J13)-1,"")</f>
        <v>-7.2042172045644337E-3</v>
      </c>
      <c r="H12" s="226">
        <f ca="1">IFERROR((Inv_SY_B!H13/Inv_SY_B!$J13)-1,"")</f>
        <v>1.6943468812684159E-2</v>
      </c>
      <c r="I12" s="226">
        <f ca="1">IFERROR((Inv_SY_B!I13/Inv_SY_B!$J13)-1,"")</f>
        <v>8.3020790934524857E-3</v>
      </c>
    </row>
    <row r="13" spans="2:9">
      <c r="B13" s="224">
        <f t="shared" ca="1" si="1"/>
        <v>45819</v>
      </c>
      <c r="C13" s="226">
        <f ca="1">IFERROR((Inv_SY_B!C14/Inv_SY_B!$J14)-1,"")</f>
        <v>2.0686864528975946E-3</v>
      </c>
      <c r="D13" s="226">
        <f ca="1">IFERROR((Inv_SY_B!D14/Inv_SY_B!$J14)-1,"")</f>
        <v>6.095121467202258E-4</v>
      </c>
      <c r="E13" s="226">
        <f ca="1">IFERROR((Inv_SY_B!E14/Inv_SY_B!$J14)-1,"")</f>
        <v>-1.143687991422293E-2</v>
      </c>
      <c r="F13" s="226">
        <f ca="1">IFERROR((Inv_SY_B!F14/Inv_SY_B!$J14)-1,"")</f>
        <v>-3.1336331666721451E-3</v>
      </c>
      <c r="G13" s="226">
        <f ca="1">IFERROR((Inv_SY_B!G14/Inv_SY_B!$J14)-1,"")</f>
        <v>5.1373172518884846E-3</v>
      </c>
      <c r="H13" s="226">
        <f ca="1">IFERROR((Inv_SY_B!H14/Inv_SY_B!$J14)-1,"")</f>
        <v>7.2987309637322362E-3</v>
      </c>
      <c r="I13" s="226">
        <f ca="1">IFERROR((Inv_SY_B!I14/Inv_SY_B!$J14)-1,"")</f>
        <v>-5.4373373434346561E-4</v>
      </c>
    </row>
    <row r="14" spans="2:9">
      <c r="B14" s="224">
        <f t="shared" ca="1" si="1"/>
        <v>45820</v>
      </c>
      <c r="C14" s="226">
        <f ca="1">IFERROR((Inv_SY_B!C15/Inv_SY_B!$J15)-1,"")</f>
        <v>-8.0196104054456319E-3</v>
      </c>
      <c r="D14" s="226">
        <f ca="1">IFERROR((Inv_SY_B!D15/Inv_SY_B!$J15)-1,"")</f>
        <v>-3.249665564878601E-3</v>
      </c>
      <c r="E14" s="226">
        <f ca="1">IFERROR((Inv_SY_B!E15/Inv_SY_B!$J15)-1,"")</f>
        <v>-3.403624896605828E-2</v>
      </c>
      <c r="F14" s="226">
        <f ca="1">IFERROR((Inv_SY_B!F15/Inv_SY_B!$J15)-1,"")</f>
        <v>-2.0591108233863453E-2</v>
      </c>
      <c r="G14" s="226">
        <f ca="1">IFERROR((Inv_SY_B!G15/Inv_SY_B!$J15)-1,"")</f>
        <v>2.285405305936461E-3</v>
      </c>
      <c r="H14" s="226">
        <f ca="1">IFERROR((Inv_SY_B!H15/Inv_SY_B!$J15)-1,"")</f>
        <v>3.2680179039472623E-2</v>
      </c>
      <c r="I14" s="226">
        <f ca="1">IFERROR((Inv_SY_B!I15/Inv_SY_B!$J15)-1,"")</f>
        <v>3.0931048824836882E-2</v>
      </c>
    </row>
    <row r="15" spans="2:9">
      <c r="B15" s="224">
        <f t="shared" ca="1" si="1"/>
        <v>45821</v>
      </c>
      <c r="C15" s="226">
        <f ca="1">IFERROR((Inv_SY_B!C16/Inv_SY_B!$J16)-1,"")</f>
        <v>-1.7204275540241287E-3</v>
      </c>
      <c r="D15" s="226">
        <f ca="1">IFERROR((Inv_SY_B!D16/Inv_SY_B!$J16)-1,"")</f>
        <v>-8.2313777405862432E-3</v>
      </c>
      <c r="E15" s="226">
        <f ca="1">IFERROR((Inv_SY_B!E16/Inv_SY_B!$J16)-1,"")</f>
        <v>-6.0715877579157196E-3</v>
      </c>
      <c r="F15" s="226">
        <f ca="1">IFERROR((Inv_SY_B!F16/Inv_SY_B!$J16)-1,"")</f>
        <v>-7.5191145326281017E-5</v>
      </c>
      <c r="G15" s="226">
        <f ca="1">IFERROR((Inv_SY_B!G16/Inv_SY_B!$J16)-1,"")</f>
        <v>9.4214196724544674E-3</v>
      </c>
      <c r="H15" s="226">
        <f ca="1">IFERROR((Inv_SY_B!H16/Inv_SY_B!$J16)-1,"")</f>
        <v>-2.1987012144245588E-3</v>
      </c>
      <c r="I15" s="226">
        <f ca="1">IFERROR((Inv_SY_B!I16/Inv_SY_B!$J16)-1,"")</f>
        <v>8.8758657398222418E-3</v>
      </c>
    </row>
    <row r="16" spans="2:9">
      <c r="B16" s="224">
        <f t="shared" ca="1" si="1"/>
        <v>45822</v>
      </c>
      <c r="C16" s="226">
        <f ca="1">IFERROR((Inv_SY_B!C17/Inv_SY_B!$J17)-1,"")</f>
        <v>1.4263044731910757E-2</v>
      </c>
      <c r="D16" s="226">
        <f ca="1">IFERROR((Inv_SY_B!D17/Inv_SY_B!$J17)-1,"")</f>
        <v>-2.062049572564284E-4</v>
      </c>
      <c r="E16" s="226">
        <f ca="1">IFERROR((Inv_SY_B!E17/Inv_SY_B!$J17)-1,"")</f>
        <v>-1.920962292841788E-2</v>
      </c>
      <c r="F16" s="226">
        <f ca="1">IFERROR((Inv_SY_B!F17/Inv_SY_B!$J17)-1,"")</f>
        <v>-1.9734944331313287E-2</v>
      </c>
      <c r="G16" s="226">
        <f ca="1">IFERROR((Inv_SY_B!G17/Inv_SY_B!$J17)-1,"")</f>
        <v>-2.513034071602438E-2</v>
      </c>
      <c r="H16" s="226">
        <f ca="1">IFERROR((Inv_SY_B!H17/Inv_SY_B!$J17)-1,"")</f>
        <v>3.3629518342782605E-2</v>
      </c>
      <c r="I16" s="226">
        <f ca="1">IFERROR((Inv_SY_B!I17/Inv_SY_B!$J17)-1,"")</f>
        <v>1.6388549858316948E-2</v>
      </c>
    </row>
    <row r="17" spans="2:9">
      <c r="B17" s="224">
        <f t="shared" ca="1" si="1"/>
        <v>45823</v>
      </c>
      <c r="C17" s="226">
        <f ca="1">IFERROR((Inv_SY_B!C18/Inv_SY_B!$J18)-1,"")</f>
        <v>-2.6007478920158533E-2</v>
      </c>
      <c r="D17" s="226">
        <f ca="1">IFERROR((Inv_SY_B!D18/Inv_SY_B!$J18)-1,"")</f>
        <v>-1.0194156409874311E-2</v>
      </c>
      <c r="E17" s="226">
        <f ca="1">IFERROR((Inv_SY_B!E18/Inv_SY_B!$J18)-1,"")</f>
        <v>-4.316224759344045E-2</v>
      </c>
      <c r="F17" s="226">
        <f ca="1">IFERROR((Inv_SY_B!F18/Inv_SY_B!$J18)-1,"")</f>
        <v>-2.2628229268323308E-2</v>
      </c>
      <c r="G17" s="226">
        <f ca="1">IFERROR((Inv_SY_B!G18/Inv_SY_B!$J18)-1,"")</f>
        <v>2.7478879396965139E-2</v>
      </c>
      <c r="H17" s="226">
        <f ca="1">IFERROR((Inv_SY_B!H18/Inv_SY_B!$J18)-1,"")</f>
        <v>3.9418019117751113E-2</v>
      </c>
      <c r="I17" s="226">
        <f ca="1">IFERROR((Inv_SY_B!I18/Inv_SY_B!$J18)-1,"")</f>
        <v>3.5095213677081016E-2</v>
      </c>
    </row>
    <row r="18" spans="2:9">
      <c r="B18" s="224">
        <f t="shared" ca="1" si="1"/>
        <v>45824</v>
      </c>
      <c r="C18" s="226">
        <f ca="1">IFERROR((Inv_SY_B!C19/Inv_SY_B!$J19)-1,"")</f>
        <v>-4.2856189290727542E-3</v>
      </c>
      <c r="D18" s="226">
        <f ca="1">IFERROR((Inv_SY_B!D19/Inv_SY_B!$J19)-1,"")</f>
        <v>3.1251188198349045E-3</v>
      </c>
      <c r="E18" s="226">
        <f ca="1">IFERROR((Inv_SY_B!E19/Inv_SY_B!$J19)-1,"")</f>
        <v>-1.6256583135312974E-2</v>
      </c>
      <c r="F18" s="226">
        <f ca="1">IFERROR((Inv_SY_B!F19/Inv_SY_B!$J19)-1,"")</f>
        <v>-5.1251039710497048E-3</v>
      </c>
      <c r="G18" s="226">
        <f ca="1">IFERROR((Inv_SY_B!G19/Inv_SY_B!$J19)-1,"")</f>
        <v>-2.3663771252085963E-3</v>
      </c>
      <c r="H18" s="226">
        <f ca="1">IFERROR((Inv_SY_B!H19/Inv_SY_B!$J19)-1,"")</f>
        <v>1.8888929416854161E-2</v>
      </c>
      <c r="I18" s="226">
        <f ca="1">IFERROR((Inv_SY_B!I19/Inv_SY_B!$J19)-1,"")</f>
        <v>6.0196349239562963E-3</v>
      </c>
    </row>
    <row r="19" spans="2:9">
      <c r="B19" s="224">
        <f t="shared" ca="1" si="1"/>
        <v>45825</v>
      </c>
      <c r="C19" s="226">
        <f ca="1">IFERROR((Inv_SY_B!C20/Inv_SY_B!$J20)-1,"")</f>
        <v>-4.4126940977169404E-3</v>
      </c>
      <c r="D19" s="226">
        <f ca="1">IFERROR((Inv_SY_B!D20/Inv_SY_B!$J20)-1,"")</f>
        <v>2.2011717815286769E-3</v>
      </c>
      <c r="E19" s="226">
        <f ca="1">IFERROR((Inv_SY_B!E20/Inv_SY_B!$J20)-1,"")</f>
        <v>-3.4730247453148788E-2</v>
      </c>
      <c r="F19" s="226">
        <f ca="1">IFERROR((Inv_SY_B!F20/Inv_SY_B!$J20)-1,"")</f>
        <v>-2.7497735211478025E-2</v>
      </c>
      <c r="G19" s="226">
        <f ca="1">IFERROR((Inv_SY_B!G20/Inv_SY_B!$J20)-1,"")</f>
        <v>-1.033290244342211E-2</v>
      </c>
      <c r="H19" s="226">
        <f ca="1">IFERROR((Inv_SY_B!H20/Inv_SY_B!$J20)-1,"")</f>
        <v>4.3249222411815058E-2</v>
      </c>
      <c r="I19" s="226">
        <f ca="1">IFERROR((Inv_SY_B!I20/Inv_SY_B!$J20)-1,"")</f>
        <v>3.1523185012422683E-2</v>
      </c>
    </row>
    <row r="20" spans="2:9">
      <c r="B20" s="224">
        <f t="shared" ca="1" si="1"/>
        <v>45826</v>
      </c>
      <c r="C20" s="226">
        <f ca="1">IFERROR((Inv_SY_B!C21/Inv_SY_B!$J21)-1,"")</f>
        <v>-4.5586358146604278E-3</v>
      </c>
      <c r="D20" s="226">
        <f ca="1">IFERROR((Inv_SY_B!D21/Inv_SY_B!$J21)-1,"")</f>
        <v>-5.4943146040313806E-3</v>
      </c>
      <c r="E20" s="226">
        <f ca="1">IFERROR((Inv_SY_B!E21/Inv_SY_B!$J21)-1,"")</f>
        <v>-1.2153595200203204E-2</v>
      </c>
      <c r="F20" s="226">
        <f ca="1">IFERROR((Inv_SY_B!F21/Inv_SY_B!$J21)-1,"")</f>
        <v>-3.5660184405807982E-3</v>
      </c>
      <c r="G20" s="226">
        <f ca="1">IFERROR((Inv_SY_B!G21/Inv_SY_B!$J21)-1,"")</f>
        <v>9.9123235987943481E-3</v>
      </c>
      <c r="H20" s="226">
        <f ca="1">IFERROR((Inv_SY_B!H21/Inv_SY_B!$J21)-1,"")</f>
        <v>8.8327368489951041E-3</v>
      </c>
      <c r="I20" s="226">
        <f ca="1">IFERROR((Inv_SY_B!I21/Inv_SY_B!$J21)-1,"")</f>
        <v>7.0275036116858036E-3</v>
      </c>
    </row>
    <row r="21" spans="2:9">
      <c r="B21" s="224">
        <f t="shared" ca="1" si="1"/>
        <v>45827</v>
      </c>
      <c r="C21" s="226">
        <f ca="1">IFERROR((Inv_SY_B!C22/Inv_SY_B!$J22)-1,"")</f>
        <v>-9.2649529145560905E-4</v>
      </c>
      <c r="D21" s="226">
        <f ca="1">IFERROR((Inv_SY_B!D22/Inv_SY_B!$J22)-1,"")</f>
        <v>1.05752042394891E-3</v>
      </c>
      <c r="E21" s="226">
        <f ca="1">IFERROR((Inv_SY_B!E22/Inv_SY_B!$J22)-1,"")</f>
        <v>-2.6589576454045138E-2</v>
      </c>
      <c r="F21" s="226">
        <f ca="1">IFERROR((Inv_SY_B!F22/Inv_SY_B!$J22)-1,"")</f>
        <v>-2.1050131474691036E-2</v>
      </c>
      <c r="G21" s="226">
        <f ca="1">IFERROR((Inv_SY_B!G22/Inv_SY_B!$J22)-1,"")</f>
        <v>-5.29622177097544E-3</v>
      </c>
      <c r="H21" s="226">
        <f ca="1">IFERROR((Inv_SY_B!H22/Inv_SY_B!$J22)-1,"")</f>
        <v>2.953219718637734E-2</v>
      </c>
      <c r="I21" s="226">
        <f ca="1">IFERROR((Inv_SY_B!I22/Inv_SY_B!$J22)-1,"")</f>
        <v>2.3272707380840973E-2</v>
      </c>
    </row>
    <row r="22" spans="2:9">
      <c r="B22" s="224">
        <f t="shared" ca="1" si="1"/>
        <v>45828</v>
      </c>
      <c r="C22" s="226">
        <f ca="1">IFERROR((Inv_SY_B!C23/Inv_SY_B!$J23)-1,"")</f>
        <v>-7.9819579493816128E-3</v>
      </c>
      <c r="D22" s="226">
        <f ca="1">IFERROR((Inv_SY_B!D23/Inv_SY_B!$J23)-1,"")</f>
        <v>-5.1557702768798563E-3</v>
      </c>
      <c r="E22" s="226">
        <f ca="1">IFERROR((Inv_SY_B!E23/Inv_SY_B!$J23)-1,"")</f>
        <v>-2.658619990340727E-2</v>
      </c>
      <c r="F22" s="226">
        <f ca="1">IFERROR((Inv_SY_B!F23/Inv_SY_B!$J23)-1,"")</f>
        <v>-2.4359882871324179E-2</v>
      </c>
      <c r="G22" s="226">
        <f ca="1">IFERROR((Inv_SY_B!G23/Inv_SY_B!$J23)-1,"")</f>
        <v>-4.5135348847635814E-3</v>
      </c>
      <c r="H22" s="226">
        <f ca="1">IFERROR((Inv_SY_B!H23/Inv_SY_B!$J23)-1,"")</f>
        <v>3.6658209142540032E-2</v>
      </c>
      <c r="I22" s="226">
        <f ca="1">IFERROR((Inv_SY_B!I23/Inv_SY_B!$J23)-1,"")</f>
        <v>3.1939136743217356E-2</v>
      </c>
    </row>
    <row r="23" spans="2:9">
      <c r="B23" s="224">
        <f t="shared" ca="1" si="1"/>
        <v>45829</v>
      </c>
      <c r="C23" s="226">
        <f ca="1">IFERROR((Inv_SY_B!C24/Inv_SY_B!$J24)-1,"")</f>
        <v>-4.9638293997410488E-3</v>
      </c>
      <c r="D23" s="226">
        <f ca="1">IFERROR((Inv_SY_B!D24/Inv_SY_B!$J24)-1,"")</f>
        <v>-1.2229484639217914E-3</v>
      </c>
      <c r="E23" s="226">
        <f ca="1">IFERROR((Inv_SY_B!E24/Inv_SY_B!$J24)-1,"")</f>
        <v>-3.1599539873793381E-2</v>
      </c>
      <c r="F23" s="226">
        <f ca="1">IFERROR((Inv_SY_B!F24/Inv_SY_B!$J24)-1,"")</f>
        <v>-2.5019411515448731E-2</v>
      </c>
      <c r="G23" s="226">
        <f ca="1">IFERROR((Inv_SY_B!G24/Inv_SY_B!$J24)-1,"")</f>
        <v>-8.1504722371341654E-3</v>
      </c>
      <c r="H23" s="226">
        <f ca="1">IFERROR((Inv_SY_B!H24/Inv_SY_B!$J24)-1,"")</f>
        <v>3.829780624429735E-2</v>
      </c>
      <c r="I23" s="226">
        <f ca="1">IFERROR((Inv_SY_B!I24/Inv_SY_B!$J24)-1,"")</f>
        <v>3.2658395245742655E-2</v>
      </c>
    </row>
    <row r="24" spans="2:9">
      <c r="B24" s="224">
        <f t="shared" ca="1" si="1"/>
        <v>45830</v>
      </c>
      <c r="C24" s="226">
        <f ca="1">IFERROR((Inv_SY_B!C25/Inv_SY_B!$J25)-1,"")</f>
        <v>5.9169428079548503E-3</v>
      </c>
      <c r="D24" s="226">
        <f ca="1">IFERROR((Inv_SY_B!D25/Inv_SY_B!$J25)-1,"")</f>
        <v>1.5836783977178914E-3</v>
      </c>
      <c r="E24" s="226">
        <f ca="1">IFERROR((Inv_SY_B!E25/Inv_SY_B!$J25)-1,"")</f>
        <v>-2.3373422132977106E-2</v>
      </c>
      <c r="F24" s="226">
        <f ca="1">IFERROR((Inv_SY_B!F25/Inv_SY_B!$J25)-1,"")</f>
        <v>-1.8155962944847226E-2</v>
      </c>
      <c r="G24" s="226">
        <f ca="1">IFERROR((Inv_SY_B!G25/Inv_SY_B!$J25)-1,"")</f>
        <v>-1.3905143106982099E-2</v>
      </c>
      <c r="H24" s="226">
        <f ca="1">IFERROR((Inv_SY_B!H25/Inv_SY_B!$J25)-1,"")</f>
        <v>2.8071202726192901E-2</v>
      </c>
      <c r="I24" s="226">
        <f ca="1">IFERROR((Inv_SY_B!I25/Inv_SY_B!$J25)-1,"")</f>
        <v>1.9862704252940899E-2</v>
      </c>
    </row>
    <row r="25" spans="2:9">
      <c r="B25" s="224">
        <f t="shared" ca="1" si="1"/>
        <v>45831</v>
      </c>
      <c r="C25" s="226">
        <f ca="1">IFERROR((Inv_SY_B!C26/Inv_SY_B!$J26)-1,"")</f>
        <v>-3.4998831541228625E-3</v>
      </c>
      <c r="D25" s="226">
        <f ca="1">IFERROR((Inv_SY_B!D26/Inv_SY_B!$J26)-1,"")</f>
        <v>3.8019949181460344E-3</v>
      </c>
      <c r="E25" s="226">
        <f ca="1">IFERROR((Inv_SY_B!E26/Inv_SY_B!$J26)-1,"")</f>
        <v>-1.5401312375438847E-2</v>
      </c>
      <c r="F25" s="226">
        <f ca="1">IFERROR((Inv_SY_B!F26/Inv_SY_B!$J26)-1,"")</f>
        <v>-3.8063502145806449E-3</v>
      </c>
      <c r="G25" s="226">
        <f ca="1">IFERROR((Inv_SY_B!G26/Inv_SY_B!$J26)-1,"")</f>
        <v>-2.8197302204362451E-3</v>
      </c>
      <c r="H25" s="226">
        <f ca="1">IFERROR((Inv_SY_B!H26/Inv_SY_B!$J26)-1,"")</f>
        <v>1.2404566196478894E-2</v>
      </c>
      <c r="I25" s="226">
        <f ca="1">IFERROR((Inv_SY_B!I26/Inv_SY_B!$J26)-1,"")</f>
        <v>9.3207148499538928E-3</v>
      </c>
    </row>
    <row r="26" spans="2:9">
      <c r="B26" s="224">
        <f t="shared" ca="1" si="1"/>
        <v>45832</v>
      </c>
      <c r="C26" s="226">
        <f ca="1">IFERROR((Inv_SY_B!C27/Inv_SY_B!$J27)-1,"")</f>
        <v>2.6668729252765644E-3</v>
      </c>
      <c r="D26" s="226">
        <f ca="1">IFERROR((Inv_SY_B!D27/Inv_SY_B!$J27)-1,"")</f>
        <v>5.5598906501954648E-3</v>
      </c>
      <c r="E26" s="226">
        <f ca="1">IFERROR((Inv_SY_B!E27/Inv_SY_B!$J27)-1,"")</f>
        <v>-2.2406279950769825E-2</v>
      </c>
      <c r="F26" s="226">
        <f ca="1">IFERROR((Inv_SY_B!F27/Inv_SY_B!$J27)-1,"")</f>
        <v>-1.5693394574254449E-2</v>
      </c>
      <c r="G26" s="226">
        <f ca="1">IFERROR((Inv_SY_B!G27/Inv_SY_B!$J27)-1,"")</f>
        <v>-1.1345305487148405E-2</v>
      </c>
      <c r="H26" s="226">
        <f ca="1">IFERROR((Inv_SY_B!H27/Inv_SY_B!$J27)-1,"")</f>
        <v>2.5917187267591846E-2</v>
      </c>
      <c r="I26" s="226">
        <f ca="1">IFERROR((Inv_SY_B!I27/Inv_SY_B!$J27)-1,"")</f>
        <v>1.5301029169107583E-2</v>
      </c>
    </row>
    <row r="27" spans="2:9">
      <c r="B27" s="224">
        <f t="shared" ca="1" si="1"/>
        <v>45833</v>
      </c>
      <c r="C27" s="226">
        <f ca="1">IFERROR((Inv_SY_B!C28/Inv_SY_B!$J28)-1,"")</f>
        <v>-5.8463509886320653E-3</v>
      </c>
      <c r="D27" s="226">
        <f ca="1">IFERROR((Inv_SY_B!D28/Inv_SY_B!$J28)-1,"")</f>
        <v>1.6064372309743113E-3</v>
      </c>
      <c r="E27" s="226">
        <f ca="1">IFERROR((Inv_SY_B!E28/Inv_SY_B!$J28)-1,"")</f>
        <v>-1.2002454754518999E-2</v>
      </c>
      <c r="F27" s="226">
        <f ca="1">IFERROR((Inv_SY_B!F28/Inv_SY_B!$J28)-1,"")</f>
        <v>5.1802551478719039E-4</v>
      </c>
      <c r="G27" s="226">
        <f ca="1">IFERROR((Inv_SY_B!G28/Inv_SY_B!$J28)-1,"")</f>
        <v>1.2042556962836848E-3</v>
      </c>
      <c r="H27" s="226">
        <f ca="1">IFERROR((Inv_SY_B!H28/Inv_SY_B!$J28)-1,"")</f>
        <v>9.7120770693712721E-3</v>
      </c>
      <c r="I27" s="226">
        <f ca="1">IFERROR((Inv_SY_B!I28/Inv_SY_B!$J28)-1,"")</f>
        <v>4.8080102317342721E-3</v>
      </c>
    </row>
    <row r="28" spans="2:9">
      <c r="B28" s="224">
        <f t="shared" ca="1" si="1"/>
        <v>45834</v>
      </c>
      <c r="C28" s="226">
        <f ca="1">IFERROR((Inv_SY_B!C29/Inv_SY_B!$J29)-1,"")</f>
        <v>0.17923014436997597</v>
      </c>
      <c r="D28" s="226">
        <f ca="1">IFERROR((Inv_SY_B!D29/Inv_SY_B!$J29)-1,"")</f>
        <v>0.19792668078141729</v>
      </c>
      <c r="E28" s="226">
        <f ca="1">IFERROR((Inv_SY_B!E29/Inv_SY_B!$J29)-1,"")</f>
        <v>0.16694762739767754</v>
      </c>
      <c r="F28" s="226">
        <f ca="1">IFERROR((Inv_SY_B!F29/Inv_SY_B!$J29)-1,"")</f>
        <v>0.19028558137276752</v>
      </c>
      <c r="G28" s="226">
        <f ca="1">IFERROR((Inv_SY_B!G29/Inv_SY_B!$J29)-1,"")</f>
        <v>-0.63608275998328789</v>
      </c>
      <c r="H28" s="226">
        <f ca="1">IFERROR((Inv_SY_B!H29/Inv_SY_B!$J29)-1,"")</f>
        <v>-0.31286374547124729</v>
      </c>
      <c r="I28" s="226">
        <f ca="1">IFERROR((Inv_SY_B!I29/Inv_SY_B!$J29)-1,"")</f>
        <v>0.21455647153269708</v>
      </c>
    </row>
    <row r="29" spans="2:9">
      <c r="B29" s="224">
        <f t="shared" ca="1" si="1"/>
        <v>45835</v>
      </c>
      <c r="C29" s="226">
        <f ca="1">IFERROR((Inv_SY_B!C30/Inv_SY_B!$J30)-1,"")</f>
        <v>5.8773730862229367E-3</v>
      </c>
      <c r="D29" s="226">
        <f ca="1">IFERROR((Inv_SY_B!D30/Inv_SY_B!$J30)-1,"")</f>
        <v>1.1172720593363605E-2</v>
      </c>
      <c r="E29" s="226">
        <f ca="1">IFERROR((Inv_SY_B!E30/Inv_SY_B!$J30)-1,"")</f>
        <v>-2.1471689861324861E-2</v>
      </c>
      <c r="F29" s="226">
        <f ca="1">IFERROR((Inv_SY_B!F30/Inv_SY_B!$J30)-1,"")</f>
        <v>2.4308546786395713E-3</v>
      </c>
      <c r="G29" s="226">
        <f ca="1">IFERROR((Inv_SY_B!G30/Inv_SY_B!$J30)-1,"")</f>
        <v>-2.1353795883985005E-2</v>
      </c>
      <c r="H29" s="226">
        <f ca="1">IFERROR((Inv_SY_B!H30/Inv_SY_B!$J30)-1,"")</f>
        <v>1.3097392029354227E-2</v>
      </c>
      <c r="I29" s="226">
        <f ca="1">IFERROR((Inv_SY_B!I30/Inv_SY_B!$J30)-1,"")</f>
        <v>1.0247145357729082E-2</v>
      </c>
    </row>
    <row r="30" spans="2:9">
      <c r="B30" s="224">
        <f t="shared" ca="1" si="1"/>
        <v>45836</v>
      </c>
      <c r="C30" s="226">
        <f ca="1">IFERROR((Inv_SY_B!C31/Inv_SY_B!$J31)-1,"")</f>
        <v>-2.156127887315229E-3</v>
      </c>
      <c r="D30" s="226">
        <f ca="1">IFERROR((Inv_SY_B!D31/Inv_SY_B!$J31)-1,"")</f>
        <v>4.8396706845443838E-4</v>
      </c>
      <c r="E30" s="226">
        <f ca="1">IFERROR((Inv_SY_B!E31/Inv_SY_B!$J31)-1,"")</f>
        <v>-2.7906097281749531E-2</v>
      </c>
      <c r="F30" s="226">
        <f ca="1">IFERROR((Inv_SY_B!F31/Inv_SY_B!$J31)-1,"")</f>
        <v>-1.7111898975373574E-2</v>
      </c>
      <c r="G30" s="226">
        <f ca="1">IFERROR((Inv_SY_B!G31/Inv_SY_B!$J31)-1,"")</f>
        <v>-8.2446377273649452E-3</v>
      </c>
      <c r="H30" s="226">
        <f ca="1">IFERROR((Inv_SY_B!H31/Inv_SY_B!$J31)-1,"")</f>
        <v>3.0483451711260212E-2</v>
      </c>
      <c r="I30" s="226">
        <f ca="1">IFERROR((Inv_SY_B!I31/Inv_SY_B!$J31)-1,"")</f>
        <v>2.4451343092090072E-2</v>
      </c>
    </row>
    <row r="31" spans="2:9">
      <c r="B31" s="224">
        <f t="shared" ca="1" si="1"/>
        <v>45837</v>
      </c>
      <c r="C31" s="226">
        <f ca="1">IFERROR((Inv_SY_B!C32/Inv_SY_B!$J32)-1,"")</f>
        <v>1.4046058891645563E-2</v>
      </c>
      <c r="D31" s="226">
        <f ca="1">IFERROR((Inv_SY_B!D32/Inv_SY_B!$J32)-1,"")</f>
        <v>1.7201200075847467E-2</v>
      </c>
      <c r="E31" s="226">
        <f ca="1">IFERROR((Inv_SY_B!E32/Inv_SY_B!$J32)-1,"")</f>
        <v>-5.2059574023899158E-2</v>
      </c>
      <c r="F31" s="226">
        <f ca="1">IFERROR((Inv_SY_B!F32/Inv_SY_B!$J32)-1,"")</f>
        <v>-4.5783649396287096E-2</v>
      </c>
      <c r="G31" s="226">
        <f ca="1">IFERROR((Inv_SY_B!G32/Inv_SY_B!$J32)-1,"")</f>
        <v>-2.9770897708051192E-2</v>
      </c>
      <c r="H31" s="226">
        <f ca="1">IFERROR((Inv_SY_B!H32/Inv_SY_B!$J32)-1,"")</f>
        <v>6.5219590946149486E-2</v>
      </c>
      <c r="I31" s="226">
        <f ca="1">IFERROR((Inv_SY_B!I32/Inv_SY_B!$J32)-1,"")</f>
        <v>3.1147271214594818E-2</v>
      </c>
    </row>
    <row r="32" spans="2:9">
      <c r="B32" s="224">
        <f t="shared" ca="1" si="1"/>
        <v>45838</v>
      </c>
      <c r="C32" s="226">
        <f ca="1">IFERROR((Inv_SY_B!C33/Inv_SY_B!$J33)-1,"")</f>
        <v>-1.909362071969567E-3</v>
      </c>
      <c r="D32" s="226">
        <f ca="1">IFERROR((Inv_SY_B!D33/Inv_SY_B!$J33)-1,"")</f>
        <v>2.8432790723020851E-3</v>
      </c>
      <c r="E32" s="226">
        <f ca="1">IFERROR((Inv_SY_B!E33/Inv_SY_B!$J33)-1,"")</f>
        <v>-9.3885852987093399E-3</v>
      </c>
      <c r="F32" s="226">
        <f ca="1">IFERROR((Inv_SY_B!F33/Inv_SY_B!$J33)-1,"")</f>
        <v>9.7145471573578668E-4</v>
      </c>
      <c r="G32" s="226">
        <f ca="1">IFERROR((Inv_SY_B!G33/Inv_SY_B!$J33)-1,"")</f>
        <v>1.0513193934991172E-4</v>
      </c>
      <c r="H32" s="226">
        <f ca="1">IFERROR((Inv_SY_B!H33/Inv_SY_B!$J33)-1,"")</f>
        <v>1.0527420240232122E-2</v>
      </c>
      <c r="I32" s="226">
        <f ca="1">IFERROR((Inv_SY_B!I33/Inv_SY_B!$J33)-1,"")</f>
        <v>-3.1493385969405541E-3</v>
      </c>
    </row>
    <row r="33" spans="2:9">
      <c r="B33" s="224">
        <f t="shared" ca="1" si="1"/>
        <v>45839</v>
      </c>
      <c r="C33" s="226">
        <f ca="1">IFERROR((Inv_SY_B!C34/Inv_SY_B!$J34)-1,"")</f>
        <v>-2.0930300214720976E-3</v>
      </c>
      <c r="D33" s="226">
        <f ca="1">IFERROR((Inv_SY_B!D34/Inv_SY_B!$J34)-1,"")</f>
        <v>8.6726142111648308E-3</v>
      </c>
      <c r="E33" s="226">
        <f ca="1">IFERROR((Inv_SY_B!E34/Inv_SY_B!$J34)-1,"")</f>
        <v>-1.576897670495736E-2</v>
      </c>
      <c r="F33" s="226">
        <f ca="1">IFERROR((Inv_SY_B!F34/Inv_SY_B!$J34)-1,"")</f>
        <v>-2.2337152231864943E-3</v>
      </c>
      <c r="G33" s="226">
        <f ca="1">IFERROR((Inv_SY_B!G34/Inv_SY_B!$J34)-1,"")</f>
        <v>1.7031191837794335E-2</v>
      </c>
      <c r="H33" s="226">
        <f ca="1">IFERROR((Inv_SY_B!H34/Inv_SY_B!$J34)-1,"")</f>
        <v>4.428623168779966E-2</v>
      </c>
      <c r="I33" s="226">
        <f ca="1">IFERROR((Inv_SY_B!I34/Inv_SY_B!$J34)-1,"")</f>
        <v>-4.9894315787143095E-2</v>
      </c>
    </row>
    <row r="34" spans="2:9">
      <c r="B34" s="224">
        <f t="shared" ca="1" si="1"/>
        <v>45840</v>
      </c>
      <c r="C34" s="226">
        <f ca="1">IFERROR((Inv_SY_B!C35/Inv_SY_B!$J35)-1,"")</f>
        <v>1.1767401927265775E-2</v>
      </c>
      <c r="D34" s="226">
        <f ca="1">IFERROR((Inv_SY_B!D35/Inv_SY_B!$J35)-1,"")</f>
        <v>1.4581649705879274E-2</v>
      </c>
      <c r="E34" s="226">
        <f ca="1">IFERROR((Inv_SY_B!E35/Inv_SY_B!$J35)-1,"")</f>
        <v>-3.7493166215526119E-2</v>
      </c>
      <c r="F34" s="226">
        <f ca="1">IFERROR((Inv_SY_B!F35/Inv_SY_B!$J35)-1,"")</f>
        <v>-2.809870505718115E-2</v>
      </c>
      <c r="G34" s="226">
        <f ca="1">IFERROR((Inv_SY_B!G35/Inv_SY_B!$J35)-1,"")</f>
        <v>5.8862691998089467E-3</v>
      </c>
      <c r="H34" s="226">
        <f ca="1">IFERROR((Inv_SY_B!H35/Inv_SY_B!$J35)-1,"")</f>
        <v>2.3975762587119531E-2</v>
      </c>
      <c r="I34" s="226">
        <f ca="1">IFERROR((Inv_SY_B!I35/Inv_SY_B!$J35)-1,"")</f>
        <v>9.3807878526335209E-3</v>
      </c>
    </row>
    <row r="35" spans="2:9">
      <c r="B35" s="224">
        <f t="shared" ca="1" si="1"/>
        <v>45841</v>
      </c>
      <c r="C35" s="226">
        <f ca="1">IFERROR((Inv_SY_B!C36/Inv_SY_B!$J36)-1,"")</f>
        <v>6.4092610467545441E-3</v>
      </c>
      <c r="D35" s="226">
        <f ca="1">IFERROR((Inv_SY_B!D36/Inv_SY_B!$J36)-1,"")</f>
        <v>6.5585470890074937E-3</v>
      </c>
      <c r="E35" s="226">
        <f ca="1">IFERROR((Inv_SY_B!E36/Inv_SY_B!$J36)-1,"")</f>
        <v>-1.4015149122226789E-2</v>
      </c>
      <c r="F35" s="226">
        <f ca="1">IFERROR((Inv_SY_B!F36/Inv_SY_B!$J36)-1,"")</f>
        <v>-7.6841962730740399E-3</v>
      </c>
      <c r="G35" s="226">
        <f ca="1">IFERROR((Inv_SY_B!G36/Inv_SY_B!$J36)-1,"")</f>
        <v>-5.7321485283985396E-3</v>
      </c>
      <c r="H35" s="226">
        <f ca="1">IFERROR((Inv_SY_B!H36/Inv_SY_B!$J36)-1,"")</f>
        <v>1.6762913833296977E-2</v>
      </c>
      <c r="I35" s="226">
        <f ca="1">IFERROR((Inv_SY_B!I36/Inv_SY_B!$J36)-1,"")</f>
        <v>-2.2992280453594249E-3</v>
      </c>
    </row>
    <row r="36" spans="2:9">
      <c r="B36" s="224">
        <f t="shared" ca="1" si="1"/>
        <v>45842</v>
      </c>
      <c r="C36" s="226">
        <f ca="1">IFERROR((Inv_SY_B!C37/Inv_SY_B!$J37)-1,"")</f>
        <v>-3.4299261436967488E-3</v>
      </c>
      <c r="D36" s="226">
        <f ca="1">IFERROR((Inv_SY_B!D37/Inv_SY_B!$J37)-1,"")</f>
        <v>3.8851271940461007E-3</v>
      </c>
      <c r="E36" s="226">
        <f ca="1">IFERROR((Inv_SY_B!E37/Inv_SY_B!$J37)-1,"")</f>
        <v>-1.1621145682777723E-2</v>
      </c>
      <c r="F36" s="226">
        <f ca="1">IFERROR((Inv_SY_B!F37/Inv_SY_B!$J37)-1,"")</f>
        <v>2.2938026520979982E-4</v>
      </c>
      <c r="G36" s="226">
        <f ca="1">IFERROR((Inv_SY_B!G37/Inv_SY_B!$J37)-1,"")</f>
        <v>8.3608905571743719E-3</v>
      </c>
      <c r="H36" s="226">
        <f ca="1">IFERROR((Inv_SY_B!H37/Inv_SY_B!$J37)-1,"")</f>
        <v>7.6144994984592707E-3</v>
      </c>
      <c r="I36" s="226">
        <f ca="1">IFERROR((Inv_SY_B!I37/Inv_SY_B!$J37)-1,"")</f>
        <v>-5.0388256884159599E-3</v>
      </c>
    </row>
    <row r="37" spans="2:9">
      <c r="B37" s="224">
        <f t="shared" ca="1" si="1"/>
        <v>45843</v>
      </c>
      <c r="C37" s="226">
        <f ca="1">IFERROR((Inv_SY_B!C38/Inv_SY_B!$J38)-1,"")</f>
        <v>2.8625952378376063E-3</v>
      </c>
      <c r="D37" s="226">
        <f ca="1">IFERROR((Inv_SY_B!D38/Inv_SY_B!$J38)-1,"")</f>
        <v>6.888021307415837E-3</v>
      </c>
      <c r="E37" s="226">
        <f ca="1">IFERROR((Inv_SY_B!E38/Inv_SY_B!$J38)-1,"")</f>
        <v>-5.5022390523123965E-3</v>
      </c>
      <c r="F37" s="226">
        <f ca="1">IFERROR((Inv_SY_B!F38/Inv_SY_B!$J38)-1,"")</f>
        <v>1.2870901849879601E-3</v>
      </c>
      <c r="G37" s="226">
        <f ca="1">IFERROR((Inv_SY_B!G38/Inv_SY_B!$J38)-1,"")</f>
        <v>-1.4158195031719334E-3</v>
      </c>
      <c r="H37" s="226">
        <f ca="1">IFERROR((Inv_SY_B!H38/Inv_SY_B!$J38)-1,"")</f>
        <v>7.411976659032371E-3</v>
      </c>
      <c r="I37" s="226">
        <f ca="1">IFERROR((Inv_SY_B!I38/Inv_SY_B!$J38)-1,"")</f>
        <v>-1.1531624833790222E-2</v>
      </c>
    </row>
    <row r="38" spans="2:9">
      <c r="B38" s="224">
        <f t="shared" ca="1" si="1"/>
        <v>45844</v>
      </c>
      <c r="C38" s="226">
        <f ca="1">IFERROR((Inv_SY_B!C39/Inv_SY_B!$J39)-1,"")</f>
        <v>1.4936374733286462E-2</v>
      </c>
      <c r="D38" s="226">
        <f ca="1">IFERROR((Inv_SY_B!D39/Inv_SY_B!$J39)-1,"")</f>
        <v>1.9758404626116555E-2</v>
      </c>
      <c r="E38" s="226">
        <f ca="1">IFERROR((Inv_SY_B!E39/Inv_SY_B!$J39)-1,"")</f>
        <v>9.1818421355769342E-3</v>
      </c>
      <c r="F38" s="226">
        <f ca="1">IFERROR((Inv_SY_B!F39/Inv_SY_B!$J39)-1,"")</f>
        <v>-2.5905794273823668E-2</v>
      </c>
      <c r="G38" s="226">
        <f ca="1">IFERROR((Inv_SY_B!G39/Inv_SY_B!$J39)-1,"")</f>
        <v>-1.8983496127902066E-2</v>
      </c>
      <c r="H38" s="226">
        <f ca="1">IFERROR((Inv_SY_B!H39/Inv_SY_B!$J39)-1,"")</f>
        <v>1.7597439944659898E-2</v>
      </c>
      <c r="I38" s="226">
        <f ca="1">IFERROR((Inv_SY_B!I39/Inv_SY_B!$J39)-1,"")</f>
        <v>-1.6584771037913781E-2</v>
      </c>
    </row>
    <row r="39" spans="2:9">
      <c r="B39" s="224">
        <f t="shared" ca="1" si="1"/>
        <v>45845</v>
      </c>
      <c r="C39" s="226">
        <f ca="1">IFERROR((Inv_SY_B!C40/Inv_SY_B!$J40)-1,"")</f>
        <v>-1.3103455899723393E-3</v>
      </c>
      <c r="D39" s="226">
        <f ca="1">IFERROR((Inv_SY_B!D40/Inv_SY_B!$J40)-1,"")</f>
        <v>8.5043562494153679E-3</v>
      </c>
      <c r="E39" s="226">
        <f ca="1">IFERROR((Inv_SY_B!E40/Inv_SY_B!$J40)-1,"")</f>
        <v>-1.5076749754872165E-2</v>
      </c>
      <c r="F39" s="226">
        <f ca="1">IFERROR((Inv_SY_B!F40/Inv_SY_B!$J40)-1,"")</f>
        <v>-3.8296430300942541E-3</v>
      </c>
      <c r="G39" s="226">
        <f ca="1">IFERROR((Inv_SY_B!G40/Inv_SY_B!$J40)-1,"")</f>
        <v>-5.4862903763308601E-4</v>
      </c>
      <c r="H39" s="226">
        <f ca="1">IFERROR((Inv_SY_B!H40/Inv_SY_B!$J40)-1,"")</f>
        <v>1.2558191884035397E-2</v>
      </c>
      <c r="I39" s="226">
        <f ca="1">IFERROR((Inv_SY_B!I40/Inv_SY_B!$J40)-1,"")</f>
        <v>-2.9718072087858705E-4</v>
      </c>
    </row>
    <row r="40" spans="2:9">
      <c r="B40" s="224">
        <f t="shared" ca="1" si="1"/>
        <v>45846</v>
      </c>
      <c r="C40" s="226">
        <f ca="1">IFERROR((Inv_SY_B!C41/Inv_SY_B!$J41)-1,"")</f>
        <v>-9.5355182834083729E-3</v>
      </c>
      <c r="D40" s="226">
        <f ca="1">IFERROR((Inv_SY_B!D41/Inv_SY_B!$J41)-1,"")</f>
        <v>1.2446780511308209E-3</v>
      </c>
      <c r="E40" s="226">
        <f ca="1">IFERROR((Inv_SY_B!E41/Inv_SY_B!$J41)-1,"")</f>
        <v>-1.0613498573788793E-2</v>
      </c>
      <c r="F40" s="226">
        <f ca="1">IFERROR((Inv_SY_B!F41/Inv_SY_B!$J41)-1,"")</f>
        <v>2.2563565348039383E-3</v>
      </c>
      <c r="G40" s="226">
        <f ca="1">IFERROR((Inv_SY_B!G41/Inv_SY_B!$J41)-1,"")</f>
        <v>7.1039532341241607E-3</v>
      </c>
      <c r="H40" s="226">
        <f ca="1">IFERROR((Inv_SY_B!H41/Inv_SY_B!$J41)-1,"")</f>
        <v>1.1089640794873068E-2</v>
      </c>
      <c r="I40" s="226">
        <f ca="1">IFERROR((Inv_SY_B!I41/Inv_SY_B!$J41)-1,"")</f>
        <v>-1.5456117577358208E-3</v>
      </c>
    </row>
    <row r="41" spans="2:9">
      <c r="B41" s="224">
        <f t="shared" ca="1" si="1"/>
        <v>45847</v>
      </c>
      <c r="C41" s="226">
        <f ca="1">IFERROR((Inv_SY_B!C42/Inv_SY_B!$J42)-1,"")</f>
        <v>-3.4974434151203715E-3</v>
      </c>
      <c r="D41" s="226">
        <f ca="1">IFERROR((Inv_SY_B!D42/Inv_SY_B!$J42)-1,"")</f>
        <v>4.7289973846460498E-3</v>
      </c>
      <c r="E41" s="226">
        <f ca="1">IFERROR((Inv_SY_B!E42/Inv_SY_B!$J42)-1,"")</f>
        <v>-1.1361807237544097E-2</v>
      </c>
      <c r="F41" s="226">
        <f ca="1">IFERROR((Inv_SY_B!F42/Inv_SY_B!$J42)-1,"")</f>
        <v>-1.1201876767835683E-3</v>
      </c>
      <c r="G41" s="226">
        <f ca="1">IFERROR((Inv_SY_B!G42/Inv_SY_B!$J42)-1,"")</f>
        <v>-6.6378738000427706E-4</v>
      </c>
      <c r="H41" s="226">
        <f ca="1">IFERROR((Inv_SY_B!H42/Inv_SY_B!$J42)-1,"")</f>
        <v>8.8274401264230029E-3</v>
      </c>
      <c r="I41" s="226">
        <f ca="1">IFERROR((Inv_SY_B!I42/Inv_SY_B!$J42)-1,"")</f>
        <v>3.0867881983833723E-3</v>
      </c>
    </row>
    <row r="42" spans="2:9">
      <c r="B42" s="224">
        <f t="shared" ca="1" si="1"/>
        <v>45848</v>
      </c>
      <c r="C42" s="226">
        <f ca="1">IFERROR((Inv_SY_B!C43/Inv_SY_B!$J43)-1,"")</f>
        <v>-8.0293700499324272E-3</v>
      </c>
      <c r="D42" s="226">
        <f ca="1">IFERROR((Inv_SY_B!D43/Inv_SY_B!$J43)-1,"")</f>
        <v>-6.8182492430135522E-4</v>
      </c>
      <c r="E42" s="226">
        <f ca="1">IFERROR((Inv_SY_B!E43/Inv_SY_B!$J43)-1,"")</f>
        <v>-1.0181222640636811E-2</v>
      </c>
      <c r="F42" s="226">
        <f ca="1">IFERROR((Inv_SY_B!F43/Inv_SY_B!$J43)-1,"")</f>
        <v>-1.4737840504944755E-3</v>
      </c>
      <c r="G42" s="226">
        <f ca="1">IFERROR((Inv_SY_B!G43/Inv_SY_B!$J43)-1,"")</f>
        <v>-6.8895545048930362E-4</v>
      </c>
      <c r="H42" s="226">
        <f ca="1">IFERROR((Inv_SY_B!H43/Inv_SY_B!$J43)-1,"")</f>
        <v>1.4695816627886771E-2</v>
      </c>
      <c r="I42" s="226">
        <f ca="1">IFERROR((Inv_SY_B!I43/Inv_SY_B!$J43)-1,"")</f>
        <v>6.3593404879667137E-3</v>
      </c>
    </row>
    <row r="43" spans="2:9">
      <c r="B43" s="224">
        <f t="shared" ca="1" si="1"/>
        <v>45849</v>
      </c>
      <c r="C43" s="226">
        <f ca="1">IFERROR((Inv_SY_B!C44/Inv_SY_B!$J44)-1,"")</f>
        <v>-3.1565714354298002E-3</v>
      </c>
      <c r="D43" s="226">
        <f ca="1">IFERROR((Inv_SY_B!D44/Inv_SY_B!$J44)-1,"")</f>
        <v>1.5885905319723559E-3</v>
      </c>
      <c r="E43" s="226">
        <f ca="1">IFERROR((Inv_SY_B!E44/Inv_SY_B!$J44)-1,"")</f>
        <v>-2.1516033330426843E-2</v>
      </c>
      <c r="F43" s="226">
        <f ca="1">IFERROR((Inv_SY_B!F44/Inv_SY_B!$J44)-1,"")</f>
        <v>-1.5038445685489954E-2</v>
      </c>
      <c r="G43" s="226">
        <f ca="1">IFERROR((Inv_SY_B!G44/Inv_SY_B!$J44)-1,"")</f>
        <v>-1.5932907785791706E-3</v>
      </c>
      <c r="H43" s="226">
        <f ca="1">IFERROR((Inv_SY_B!H44/Inv_SY_B!$J44)-1,"")</f>
        <v>2.3059861876350896E-2</v>
      </c>
      <c r="I43" s="226">
        <f ca="1">IFERROR((Inv_SY_B!I44/Inv_SY_B!$J44)-1,"")</f>
        <v>1.6655888821602183E-2</v>
      </c>
    </row>
    <row r="44" spans="2:9">
      <c r="B44" s="224">
        <f t="shared" ca="1" si="1"/>
        <v>45850</v>
      </c>
      <c r="C44" s="226">
        <f ca="1">IFERROR((Inv_SY_B!C45/Inv_SY_B!$J45)-1,"")</f>
        <v>1.6067910049494927E-2</v>
      </c>
      <c r="D44" s="226">
        <f ca="1">IFERROR((Inv_SY_B!D45/Inv_SY_B!$J45)-1,"")</f>
        <v>1.8146216719659769E-2</v>
      </c>
      <c r="E44" s="226">
        <f ca="1">IFERROR((Inv_SY_B!E45/Inv_SY_B!$J45)-1,"")</f>
        <v>-9.4245635950702678E-3</v>
      </c>
      <c r="F44" s="226">
        <f ca="1">IFERROR((Inv_SY_B!F45/Inv_SY_B!$J45)-1,"")</f>
        <v>-4.3672453768477393E-3</v>
      </c>
      <c r="G44" s="226">
        <f ca="1">IFERROR((Inv_SY_B!G45/Inv_SY_B!$J45)-1,"")</f>
        <v>1.4806383082915708E-2</v>
      </c>
      <c r="H44" s="226">
        <f ca="1">IFERROR((Inv_SY_B!H45/Inv_SY_B!$J45)-1,"")</f>
        <v>-1.2024054114597948E-2</v>
      </c>
      <c r="I44" s="226">
        <f ca="1">IFERROR((Inv_SY_B!I45/Inv_SY_B!$J45)-1,"")</f>
        <v>-2.3204646765554671E-2</v>
      </c>
    </row>
    <row r="45" spans="2:9">
      <c r="B45" s="224">
        <f t="shared" ca="1" si="1"/>
        <v>45851</v>
      </c>
      <c r="C45" s="226">
        <f ca="1">IFERROR((Inv_SY_B!C46/Inv_SY_B!$J46)-1,"")</f>
        <v>-1.4046412772217298E-3</v>
      </c>
      <c r="D45" s="226">
        <f ca="1">IFERROR((Inv_SY_B!D46/Inv_SY_B!$J46)-1,"")</f>
        <v>4.8936893168300966E-3</v>
      </c>
      <c r="E45" s="226">
        <f ca="1">IFERROR((Inv_SY_B!E46/Inv_SY_B!$J46)-1,"")</f>
        <v>-9.7965037159450929E-3</v>
      </c>
      <c r="F45" s="226">
        <f ca="1">IFERROR((Inv_SY_B!F46/Inv_SY_B!$J46)-1,"")</f>
        <v>-4.203921018073431E-3</v>
      </c>
      <c r="G45" s="226">
        <f ca="1">IFERROR((Inv_SY_B!G46/Inv_SY_B!$J46)-1,"")</f>
        <v>-1.8996581083609021E-3</v>
      </c>
      <c r="H45" s="226">
        <f ca="1">IFERROR((Inv_SY_B!H46/Inv_SY_B!$J46)-1,"")</f>
        <v>1.0540908943563965E-2</v>
      </c>
      <c r="I45" s="226">
        <f ca="1">IFERROR((Inv_SY_B!I46/Inv_SY_B!$J46)-1,"")</f>
        <v>1.8701258592062064E-3</v>
      </c>
    </row>
    <row r="46" spans="2:9">
      <c r="B46" s="224">
        <f t="shared" ca="1" si="1"/>
        <v>45852</v>
      </c>
      <c r="C46" s="226">
        <f ca="1">IFERROR((Inv_SY_B!C47/Inv_SY_B!$J47)-1,"")</f>
        <v>-2.7529412587437019E-3</v>
      </c>
      <c r="D46" s="226">
        <f ca="1">IFERROR((Inv_SY_B!D47/Inv_SY_B!$J47)-1,"")</f>
        <v>6.8195457563400286E-3</v>
      </c>
      <c r="E46" s="226">
        <f ca="1">IFERROR((Inv_SY_B!E47/Inv_SY_B!$J47)-1,"")</f>
        <v>-2.9753279031343616E-2</v>
      </c>
      <c r="F46" s="226">
        <f ca="1">IFERROR((Inv_SY_B!F47/Inv_SY_B!$J47)-1,"")</f>
        <v>-1.9304516689993112E-2</v>
      </c>
      <c r="G46" s="226">
        <f ca="1">IFERROR((Inv_SY_B!G47/Inv_SY_B!$J47)-1,"")</f>
        <v>-3.7293110501807059E-3</v>
      </c>
      <c r="H46" s="226">
        <f ca="1">IFERROR((Inv_SY_B!H47/Inv_SY_B!$J47)-1,"")</f>
        <v>2.646127521746422E-2</v>
      </c>
      <c r="I46" s="226">
        <f ca="1">IFERROR((Inv_SY_B!I47/Inv_SY_B!$J47)-1,"")</f>
        <v>2.225922705645722E-2</v>
      </c>
    </row>
    <row r="47" spans="2:9">
      <c r="B47" s="224">
        <f t="shared" ca="1" si="1"/>
        <v>45853</v>
      </c>
      <c r="C47" s="226">
        <f ca="1">IFERROR((Inv_SY_B!C48/Inv_SY_B!$J48)-1,"")</f>
        <v>4.8529065061158061E-3</v>
      </c>
      <c r="D47" s="226">
        <f ca="1">IFERROR((Inv_SY_B!D48/Inv_SY_B!$J48)-1,"")</f>
        <v>-3.0140853439690751E-3</v>
      </c>
      <c r="E47" s="226">
        <f ca="1">IFERROR((Inv_SY_B!E48/Inv_SY_B!$J48)-1,"")</f>
        <v>-2.1949627010652506E-2</v>
      </c>
      <c r="F47" s="226">
        <f ca="1">IFERROR((Inv_SY_B!F48/Inv_SY_B!$J48)-1,"")</f>
        <v>-1.5493511012236616E-2</v>
      </c>
      <c r="G47" s="226">
        <f ca="1">IFERROR((Inv_SY_B!G48/Inv_SY_B!$J48)-1,"")</f>
        <v>-7.9426020648450946E-3</v>
      </c>
      <c r="H47" s="226">
        <f ca="1">IFERROR((Inv_SY_B!H48/Inv_SY_B!$J48)-1,"")</f>
        <v>2.7645875517142482E-2</v>
      </c>
      <c r="I47" s="226">
        <f ca="1">IFERROR((Inv_SY_B!I48/Inv_SY_B!$J48)-1,"")</f>
        <v>1.590104340844456E-2</v>
      </c>
    </row>
    <row r="48" spans="2:9">
      <c r="B48" s="224">
        <f t="shared" ca="1" si="1"/>
        <v>45854</v>
      </c>
      <c r="C48" s="226">
        <f ca="1">IFERROR((Inv_SY_B!C49/Inv_SY_B!$J49)-1,"")</f>
        <v>-1.7665526642208884E-2</v>
      </c>
      <c r="D48" s="226">
        <f ca="1">IFERROR((Inv_SY_B!D49/Inv_SY_B!$J49)-1,"")</f>
        <v>1.5452678400924569E-3</v>
      </c>
      <c r="E48" s="226">
        <f ca="1">IFERROR((Inv_SY_B!E49/Inv_SY_B!$J49)-1,"")</f>
        <v>-5.0049913513733335E-2</v>
      </c>
      <c r="F48" s="226">
        <f ca="1">IFERROR((Inv_SY_B!F49/Inv_SY_B!$J49)-1,"")</f>
        <v>-2.6213794040685134E-2</v>
      </c>
      <c r="G48" s="226">
        <f ca="1">IFERROR((Inv_SY_B!G49/Inv_SY_B!$J49)-1,"")</f>
        <v>5.7849169324073468E-3</v>
      </c>
      <c r="H48" s="226">
        <f ca="1">IFERROR((Inv_SY_B!H49/Inv_SY_B!$J49)-1,"")</f>
        <v>4.4344627708139184E-2</v>
      </c>
      <c r="I48" s="226">
        <f ca="1">IFERROR((Inv_SY_B!I49/Inv_SY_B!$J49)-1,"")</f>
        <v>4.2254421715990143E-2</v>
      </c>
    </row>
    <row r="49" spans="2:9">
      <c r="B49" s="224">
        <f t="shared" ca="1" si="1"/>
        <v>45855</v>
      </c>
      <c r="C49" s="226">
        <f ca="1">IFERROR((Inv_SY_B!C50/Inv_SY_B!$J50)-1,"")</f>
        <v>-1.1509962017753783E-2</v>
      </c>
      <c r="D49" s="226">
        <f ca="1">IFERROR((Inv_SY_B!D50/Inv_SY_B!$J50)-1,"")</f>
        <v>-3.9825959081011275E-3</v>
      </c>
      <c r="E49" s="226">
        <f ca="1">IFERROR((Inv_SY_B!E50/Inv_SY_B!$J50)-1,"")</f>
        <v>-1.3139654388499178E-2</v>
      </c>
      <c r="F49" s="226">
        <f ca="1">IFERROR((Inv_SY_B!F50/Inv_SY_B!$J50)-1,"")</f>
        <v>9.5435752639105864E-4</v>
      </c>
      <c r="G49" s="226">
        <f ca="1">IFERROR((Inv_SY_B!G50/Inv_SY_B!$J50)-1,"")</f>
        <v>1.0327639200797156E-2</v>
      </c>
      <c r="H49" s="226">
        <f ca="1">IFERROR((Inv_SY_B!H50/Inv_SY_B!$J50)-1,"")</f>
        <v>9.9297813327725581E-3</v>
      </c>
      <c r="I49" s="226">
        <f ca="1">IFERROR((Inv_SY_B!I50/Inv_SY_B!$J50)-1,"")</f>
        <v>7.4204342543930935E-3</v>
      </c>
    </row>
    <row r="50" spans="2:9">
      <c r="B50" s="224">
        <f t="shared" ca="1" si="1"/>
        <v>45856</v>
      </c>
      <c r="C50" s="226">
        <f ca="1">IFERROR((Inv_SY_B!C51/Inv_SY_B!$J51)-1,"")</f>
        <v>-5.5165142924551436E-3</v>
      </c>
      <c r="D50" s="226">
        <f ca="1">IFERROR((Inv_SY_B!D51/Inv_SY_B!$J51)-1,"")</f>
        <v>6.3365674105122505E-3</v>
      </c>
      <c r="E50" s="226">
        <f ca="1">IFERROR((Inv_SY_B!E51/Inv_SY_B!$J51)-1,"")</f>
        <v>-1.3767684288417126E-2</v>
      </c>
      <c r="F50" s="226">
        <f ca="1">IFERROR((Inv_SY_B!F51/Inv_SY_B!$J51)-1,"")</f>
        <v>-1.6347461486793113E-3</v>
      </c>
      <c r="G50" s="226">
        <f ca="1">IFERROR((Inv_SY_B!G51/Inv_SY_B!$J51)-1,"")</f>
        <v>4.441918148795132E-3</v>
      </c>
      <c r="H50" s="226">
        <f ca="1">IFERROR((Inv_SY_B!H51/Inv_SY_B!$J51)-1,"")</f>
        <v>7.9001042203350469E-3</v>
      </c>
      <c r="I50" s="226">
        <f ca="1">IFERROR((Inv_SY_B!I51/Inv_SY_B!$J51)-1,"")</f>
        <v>2.2403549499094844E-3</v>
      </c>
    </row>
    <row r="51" spans="2:9">
      <c r="B51" s="224">
        <f t="shared" ca="1" si="1"/>
        <v>45857</v>
      </c>
      <c r="C51" s="226">
        <f ca="1">IFERROR((Inv_SY_B!C52/Inv_SY_B!$J52)-1,"")</f>
        <v>-1.7771730329569912E-3</v>
      </c>
      <c r="D51" s="226">
        <f ca="1">IFERROR((Inv_SY_B!D52/Inv_SY_B!$J52)-1,"")</f>
        <v>-3.9650860851447867E-3</v>
      </c>
      <c r="E51" s="226">
        <f ca="1">IFERROR((Inv_SY_B!E52/Inv_SY_B!$J52)-1,"")</f>
        <v>-3.5584180665986787E-2</v>
      </c>
      <c r="F51" s="226">
        <f ca="1">IFERROR((Inv_SY_B!F52/Inv_SY_B!$J52)-1,"")</f>
        <v>-2.5957676941538277E-2</v>
      </c>
      <c r="G51" s="226">
        <f ca="1">IFERROR((Inv_SY_B!G52/Inv_SY_B!$J52)-1,"")</f>
        <v>-2.6187640982768823E-3</v>
      </c>
      <c r="H51" s="226">
        <f ca="1">IFERROR((Inv_SY_B!H52/Inv_SY_B!$J52)-1,"")</f>
        <v>3.9219381586403257E-2</v>
      </c>
      <c r="I51" s="226">
        <f ca="1">IFERROR((Inv_SY_B!I52/Inv_SY_B!$J52)-1,"")</f>
        <v>3.0683499237500245E-2</v>
      </c>
    </row>
    <row r="52" spans="2:9">
      <c r="B52" s="224">
        <f t="shared" ca="1" si="1"/>
        <v>45858</v>
      </c>
      <c r="C52" s="226">
        <f ca="1">IFERROR((Inv_SY_B!C53/Inv_SY_B!$J53)-1,"")</f>
        <v>-4.4432834169307878E-3</v>
      </c>
      <c r="D52" s="226">
        <f ca="1">IFERROR((Inv_SY_B!D53/Inv_SY_B!$J53)-1,"")</f>
        <v>3.5904434924889372E-3</v>
      </c>
      <c r="E52" s="226">
        <f ca="1">IFERROR((Inv_SY_B!E53/Inv_SY_B!$J53)-1,"")</f>
        <v>-1.3676567671346174E-2</v>
      </c>
      <c r="F52" s="226">
        <f ca="1">IFERROR((Inv_SY_B!F53/Inv_SY_B!$J53)-1,"")</f>
        <v>-2.6008399300114782E-4</v>
      </c>
      <c r="G52" s="226">
        <f ca="1">IFERROR((Inv_SY_B!G53/Inv_SY_B!$J53)-1,"")</f>
        <v>4.5789415406471967E-3</v>
      </c>
      <c r="H52" s="226">
        <f ca="1">IFERROR((Inv_SY_B!H53/Inv_SY_B!$J53)-1,"")</f>
        <v>8.1224305066132096E-3</v>
      </c>
      <c r="I52" s="226">
        <f ca="1">IFERROR((Inv_SY_B!I53/Inv_SY_B!$J53)-1,"")</f>
        <v>2.0881195415292098E-3</v>
      </c>
    </row>
    <row r="53" spans="2:9">
      <c r="B53" s="224">
        <f t="shared" ca="1" si="1"/>
        <v>45859</v>
      </c>
      <c r="C53" s="226">
        <f ca="1">IFERROR((Inv_SY_B!C54/Inv_SY_B!$J54)-1,"")</f>
        <v>1.1127682237199732E-3</v>
      </c>
      <c r="D53" s="226">
        <f ca="1">IFERROR((Inv_SY_B!D54/Inv_SY_B!$J54)-1,"")</f>
        <v>1.6332639078859845E-3</v>
      </c>
      <c r="E53" s="226">
        <f ca="1">IFERROR((Inv_SY_B!E54/Inv_SY_B!$J54)-1,"")</f>
        <v>-1.4966274969305915E-2</v>
      </c>
      <c r="F53" s="226">
        <f ca="1">IFERROR((Inv_SY_B!F54/Inv_SY_B!$J54)-1,"")</f>
        <v>-9.035823997373571E-3</v>
      </c>
      <c r="G53" s="226">
        <f ca="1">IFERROR((Inv_SY_B!G54/Inv_SY_B!$J54)-1,"")</f>
        <v>-7.9615192662093603E-3</v>
      </c>
      <c r="H53" s="226">
        <f ca="1">IFERROR((Inv_SY_B!H54/Inv_SY_B!$J54)-1,"")</f>
        <v>2.0490054497175558E-2</v>
      </c>
      <c r="I53" s="226">
        <f ca="1">IFERROR((Inv_SY_B!I54/Inv_SY_B!$J54)-1,"")</f>
        <v>8.7275316041068862E-3</v>
      </c>
    </row>
    <row r="54" spans="2:9">
      <c r="B54" s="224">
        <f t="shared" ca="1" si="1"/>
        <v>45860</v>
      </c>
      <c r="C54" s="226">
        <f ca="1">IFERROR((Inv_SY_B!C55/Inv_SY_B!$J55)-1,"")</f>
        <v>5.5313757115933448E-3</v>
      </c>
      <c r="D54" s="226">
        <f ca="1">IFERROR((Inv_SY_B!D55/Inv_SY_B!$J55)-1,"")</f>
        <v>-2.18306884646291E-3</v>
      </c>
      <c r="E54" s="226">
        <f ca="1">IFERROR((Inv_SY_B!E55/Inv_SY_B!$J55)-1,"")</f>
        <v>-3.7498137096916295E-3</v>
      </c>
      <c r="F54" s="226">
        <f ca="1">IFERROR((Inv_SY_B!F55/Inv_SY_B!$J55)-1,"")</f>
        <v>-4.1700391093872913E-3</v>
      </c>
      <c r="G54" s="226">
        <f ca="1">IFERROR((Inv_SY_B!G55/Inv_SY_B!$J55)-1,"")</f>
        <v>-9.5621063326236655E-3</v>
      </c>
      <c r="H54" s="226">
        <f ca="1">IFERROR((Inv_SY_B!H55/Inv_SY_B!$J55)-1,"")</f>
        <v>7.7717730420885367E-3</v>
      </c>
      <c r="I54" s="226">
        <f ca="1">IFERROR((Inv_SY_B!I55/Inv_SY_B!$J55)-1,"")</f>
        <v>6.361879244484836E-3</v>
      </c>
    </row>
    <row r="55" spans="2:9">
      <c r="B55" s="224">
        <f t="shared" ca="1" si="1"/>
        <v>45861</v>
      </c>
      <c r="C55" s="226">
        <f ca="1">IFERROR((Inv_SY_B!C56/Inv_SY_B!$J56)-1,"")</f>
        <v>-4.1989235133672587E-3</v>
      </c>
      <c r="D55" s="226">
        <f ca="1">IFERROR((Inv_SY_B!D56/Inv_SY_B!$J56)-1,"")</f>
        <v>7.8959188242100353E-4</v>
      </c>
      <c r="E55" s="226">
        <f ca="1">IFERROR((Inv_SY_B!E56/Inv_SY_B!$J56)-1,"")</f>
        <v>-1.796136914929336E-2</v>
      </c>
      <c r="F55" s="226">
        <f ca="1">IFERROR((Inv_SY_B!F56/Inv_SY_B!$J56)-1,"")</f>
        <v>-8.7393040661347676E-3</v>
      </c>
      <c r="G55" s="226">
        <f ca="1">IFERROR((Inv_SY_B!G56/Inv_SY_B!$J56)-1,"")</f>
        <v>-2.5051558292870091E-3</v>
      </c>
      <c r="H55" s="226">
        <f ca="1">IFERROR((Inv_SY_B!H56/Inv_SY_B!$J56)-1,"")</f>
        <v>2.3186891718869784E-2</v>
      </c>
      <c r="I55" s="226">
        <f ca="1">IFERROR((Inv_SY_B!I56/Inv_SY_B!$J56)-1,"")</f>
        <v>9.4282689567908307E-3</v>
      </c>
    </row>
    <row r="56" spans="2:9">
      <c r="B56" s="224">
        <f t="shared" ca="1" si="1"/>
        <v>45862</v>
      </c>
      <c r="C56" s="226">
        <f ca="1">IFERROR((Inv_SY_B!C57/Inv_SY_B!$J57)-1,"")</f>
        <v>-5.2782074562640613E-3</v>
      </c>
      <c r="D56" s="226">
        <f ca="1">IFERROR((Inv_SY_B!D57/Inv_SY_B!$J57)-1,"")</f>
        <v>-5.9636280294983468E-4</v>
      </c>
      <c r="E56" s="226">
        <f ca="1">IFERROR((Inv_SY_B!E57/Inv_SY_B!$J57)-1,"")</f>
        <v>-7.1828241294941142E-3</v>
      </c>
      <c r="F56" s="226">
        <f ca="1">IFERROR((Inv_SY_B!F57/Inv_SY_B!$J57)-1,"")</f>
        <v>5.9988513998172621E-3</v>
      </c>
      <c r="G56" s="226">
        <f ca="1">IFERROR((Inv_SY_B!G57/Inv_SY_B!$J57)-1,"")</f>
        <v>7.8344171359339132E-3</v>
      </c>
      <c r="H56" s="226">
        <f ca="1">IFERROR((Inv_SY_B!H57/Inv_SY_B!$J57)-1,"")</f>
        <v>3.3071918107641096E-3</v>
      </c>
      <c r="I56" s="226">
        <f ca="1">IFERROR((Inv_SY_B!I57/Inv_SY_B!$J57)-1,"")</f>
        <v>-4.0830659578068307E-3</v>
      </c>
    </row>
    <row r="57" spans="2:9">
      <c r="B57" s="224">
        <f t="shared" ca="1" si="1"/>
        <v>45863</v>
      </c>
      <c r="C57" s="226">
        <f ca="1">IFERROR((Inv_SY_B!C58/Inv_SY_B!$J58)-1,"")</f>
        <v>-1.1398151671533796E-2</v>
      </c>
      <c r="D57" s="226">
        <f ca="1">IFERROR((Inv_SY_B!D58/Inv_SY_B!$J58)-1,"")</f>
        <v>3.4236223404731092E-3</v>
      </c>
      <c r="E57" s="226">
        <f ca="1">IFERROR((Inv_SY_B!E58/Inv_SY_B!$J58)-1,"")</f>
        <v>-1.5923811816649258E-2</v>
      </c>
      <c r="F57" s="226">
        <f ca="1">IFERROR((Inv_SY_B!F58/Inv_SY_B!$J58)-1,"")</f>
        <v>9.3363038901639328E-4</v>
      </c>
      <c r="G57" s="226">
        <f ca="1">IFERROR((Inv_SY_B!G58/Inv_SY_B!$J58)-1,"")</f>
        <v>1.0170937337909969E-2</v>
      </c>
      <c r="H57" s="226">
        <f ca="1">IFERROR((Inv_SY_B!H58/Inv_SY_B!$J58)-1,"")</f>
        <v>8.8746835178721284E-3</v>
      </c>
      <c r="I57" s="226">
        <f ca="1">IFERROR((Inv_SY_B!I58/Inv_SY_B!$J58)-1,"")</f>
        <v>3.9190899029111215E-3</v>
      </c>
    </row>
    <row r="58" spans="2:9">
      <c r="B58" s="224">
        <f t="shared" ca="1" si="1"/>
        <v>45864</v>
      </c>
      <c r="C58" s="226">
        <f ca="1">IFERROR((Inv_SY_B!C59/Inv_SY_B!$J59)-1,"")</f>
        <v>-1.3991062978531921E-2</v>
      </c>
      <c r="D58" s="226">
        <f ca="1">IFERROR((Inv_SY_B!D59/Inv_SY_B!$J59)-1,"")</f>
        <v>5.1659853801528932E-3</v>
      </c>
      <c r="E58" s="226">
        <f ca="1">IFERROR((Inv_SY_B!E59/Inv_SY_B!$J59)-1,"")</f>
        <v>-2.0439482917463003E-2</v>
      </c>
      <c r="F58" s="226">
        <f ca="1">IFERROR((Inv_SY_B!F59/Inv_SY_B!$J59)-1,"")</f>
        <v>-1.0077439262831112E-3</v>
      </c>
      <c r="G58" s="226">
        <f ca="1">IFERROR((Inv_SY_B!G59/Inv_SY_B!$J59)-1,"")</f>
        <v>1.1618700477898702E-2</v>
      </c>
      <c r="H58" s="226">
        <f ca="1">IFERROR((Inv_SY_B!H59/Inv_SY_B!$J59)-1,"")</f>
        <v>1.0360618753501027E-2</v>
      </c>
      <c r="I58" s="226">
        <f ca="1">IFERROR((Inv_SY_B!I59/Inv_SY_B!$J59)-1,"")</f>
        <v>8.2929852107256341E-3</v>
      </c>
    </row>
    <row r="59" spans="2:9">
      <c r="B59" s="224">
        <f t="shared" ca="1" si="1"/>
        <v>45865</v>
      </c>
      <c r="C59" s="226">
        <f ca="1">IFERROR((Inv_SY_B!C60/Inv_SY_B!$J60)-1,"")</f>
        <v>-1.3963890773644128E-2</v>
      </c>
      <c r="D59" s="226">
        <f ca="1">IFERROR((Inv_SY_B!D60/Inv_SY_B!$J60)-1,"")</f>
        <v>3.8137134628382086E-3</v>
      </c>
      <c r="E59" s="226">
        <f ca="1">IFERROR((Inv_SY_B!E60/Inv_SY_B!$J60)-1,"")</f>
        <v>-1.665470646163425E-2</v>
      </c>
      <c r="F59" s="226">
        <f ca="1">IFERROR((Inv_SY_B!F60/Inv_SY_B!$J60)-1,"")</f>
        <v>-7.903315220096907E-4</v>
      </c>
      <c r="G59" s="226">
        <f ca="1">IFERROR((Inv_SY_B!G60/Inv_SY_B!$J60)-1,"")</f>
        <v>1.0720245082054269E-2</v>
      </c>
      <c r="H59" s="226">
        <f ca="1">IFERROR((Inv_SY_B!H60/Inv_SY_B!$J60)-1,"")</f>
        <v>9.4797402387585272E-3</v>
      </c>
      <c r="I59" s="226">
        <f ca="1">IFERROR((Inv_SY_B!I60/Inv_SY_B!$J60)-1,"")</f>
        <v>7.3952299736375071E-3</v>
      </c>
    </row>
    <row r="60" spans="2:9">
      <c r="B60" s="224">
        <f t="shared" ca="1" si="1"/>
        <v>45866</v>
      </c>
      <c r="C60" s="226">
        <f ca="1">IFERROR((Inv_SY_B!C61/Inv_SY_B!$J61)-1,"")</f>
        <v>-7.4177204802161611E-3</v>
      </c>
      <c r="D60" s="226">
        <f ca="1">IFERROR((Inv_SY_B!D61/Inv_SY_B!$J61)-1,"")</f>
        <v>9.6274969804621691E-4</v>
      </c>
      <c r="E60" s="226">
        <f ca="1">IFERROR((Inv_SY_B!E61/Inv_SY_B!$J61)-1,"")</f>
        <v>-1.7204044889628456E-2</v>
      </c>
      <c r="F60" s="226">
        <f ca="1">IFERROR((Inv_SY_B!F61/Inv_SY_B!$J61)-1,"")</f>
        <v>-3.2376680562360427E-3</v>
      </c>
      <c r="G60" s="226">
        <f ca="1">IFERROR((Inv_SY_B!G61/Inv_SY_B!$J61)-1,"")</f>
        <v>4.5478504997809033E-3</v>
      </c>
      <c r="H60" s="226">
        <f ca="1">IFERROR((Inv_SY_B!H61/Inv_SY_B!$J61)-1,"")</f>
        <v>1.3119150623840392E-2</v>
      </c>
      <c r="I60" s="226">
        <f ca="1">IFERROR((Inv_SY_B!I61/Inv_SY_B!$J61)-1,"")</f>
        <v>9.2296826044127034E-3</v>
      </c>
    </row>
    <row r="61" spans="2:9">
      <c r="B61" s="224">
        <f t="shared" ca="1" si="1"/>
        <v>45867</v>
      </c>
      <c r="C61" s="226">
        <f ca="1">IFERROR((Inv_SY_B!C62/Inv_SY_B!$J62)-1,"")</f>
        <v>-7.5975008458116777E-3</v>
      </c>
      <c r="D61" s="226">
        <f ca="1">IFERROR((Inv_SY_B!D62/Inv_SY_B!$J62)-1,"")</f>
        <v>-7.0908777085265662E-5</v>
      </c>
      <c r="E61" s="226">
        <f ca="1">IFERROR((Inv_SY_B!E62/Inv_SY_B!$J62)-1,"")</f>
        <v>-6.5278377870202631E-3</v>
      </c>
      <c r="F61" s="226">
        <f ca="1">IFERROR((Inv_SY_B!F62/Inv_SY_B!$J62)-1,"")</f>
        <v>6.6228039023088492E-3</v>
      </c>
      <c r="G61" s="226">
        <f ca="1">IFERROR((Inv_SY_B!G62/Inv_SY_B!$J62)-1,"")</f>
        <v>1.2654056463724084E-2</v>
      </c>
      <c r="H61" s="226">
        <f ca="1">IFERROR((Inv_SY_B!H62/Inv_SY_B!$J62)-1,"")</f>
        <v>1.2007630621555521E-3</v>
      </c>
      <c r="I61" s="226">
        <f ca="1">IFERROR((Inv_SY_B!I62/Inv_SY_B!$J62)-1,"")</f>
        <v>-6.2813760182710565E-3</v>
      </c>
    </row>
    <row r="62" spans="2:9">
      <c r="B62" s="224">
        <f t="shared" ca="1" si="1"/>
        <v>45868</v>
      </c>
      <c r="C62" s="226">
        <f ca="1">IFERROR((Inv_SY_B!C63/Inv_SY_B!$J63)-1,"")</f>
        <v>-6.5895267288753612E-3</v>
      </c>
      <c r="D62" s="226">
        <f ca="1">IFERROR((Inv_SY_B!D63/Inv_SY_B!$J63)-1,"")</f>
        <v>1.7868872052935192E-3</v>
      </c>
      <c r="E62" s="226">
        <f ca="1">IFERROR((Inv_SY_B!E63/Inv_SY_B!$J63)-1,"")</f>
        <v>-9.6970518378211024E-3</v>
      </c>
      <c r="F62" s="226">
        <f ca="1">IFERROR((Inv_SY_B!F63/Inv_SY_B!$J63)-1,"")</f>
        <v>2.3714747580583229E-3</v>
      </c>
      <c r="G62" s="226">
        <f ca="1">IFERROR((Inv_SY_B!G63/Inv_SY_B!$J63)-1,"")</f>
        <v>4.236366257446722E-3</v>
      </c>
      <c r="H62" s="226">
        <f ca="1">IFERROR((Inv_SY_B!H63/Inv_SY_B!$J63)-1,"")</f>
        <v>6.7739756897529091E-3</v>
      </c>
      <c r="I62" s="226">
        <f ca="1">IFERROR((Inv_SY_B!I63/Inv_SY_B!$J63)-1,"")</f>
        <v>1.1178746561451014E-3</v>
      </c>
    </row>
    <row r="63" spans="2:9">
      <c r="B63" s="224">
        <f t="shared" ca="1" si="1"/>
        <v>45869</v>
      </c>
      <c r="C63" s="226">
        <f ca="1">IFERROR((Inv_SY_B!C64/Inv_SY_B!$J64)-1,"")</f>
        <v>-3.2666478735690063E-3</v>
      </c>
      <c r="D63" s="226">
        <f ca="1">IFERROR((Inv_SY_B!D64/Inv_SY_B!$J64)-1,"")</f>
        <v>-3.7920993462650099E-3</v>
      </c>
      <c r="E63" s="226">
        <f ca="1">IFERROR((Inv_SY_B!E64/Inv_SY_B!$J64)-1,"")</f>
        <v>-1.5548589626042997E-2</v>
      </c>
      <c r="F63" s="226">
        <f ca="1">IFERROR((Inv_SY_B!F64/Inv_SY_B!$J64)-1,"")</f>
        <v>-1.0088957063718151E-2</v>
      </c>
      <c r="G63" s="226">
        <f ca="1">IFERROR((Inv_SY_B!G64/Inv_SY_B!$J64)-1,"")</f>
        <v>3.0023285440348157E-3</v>
      </c>
      <c r="H63" s="226">
        <f ca="1">IFERROR((Inv_SY_B!H64/Inv_SY_B!$J64)-1,"")</f>
        <v>2.3031343460507614E-2</v>
      </c>
      <c r="I63" s="226">
        <f ca="1">IFERROR((Inv_SY_B!I64/Inv_SY_B!$J64)-1,"")</f>
        <v>6.6626219050529567E-3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J80" sqref="J80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45809</v>
      </c>
      <c r="C4" s="333">
        <f ca="1">IFERROR(VLOOKUP($B4,RD[[#All],[Date]:[IS4Inv2]],C$2,0)/C$1/_xlfn.XLOOKUP(Inv_SY_B12[[#This Row],[Date]],Daily_KPI[Date],Daily_KPI[POA-UP(KWh/m2)]),"")</f>
        <v>0.36996539548090501</v>
      </c>
      <c r="D4" s="333">
        <f ca="1">IFERROR(VLOOKUP($B4,RD[[#All],[Date]:[IS4Inv2]],D$2,0)/D$1/_xlfn.XLOOKUP(Inv_SY_B12[[#This Row],[Date]],Daily_KPI[Date],Daily_KPI[POA-UP(KWh/m2)]),"")</f>
        <v>0.37109645918226597</v>
      </c>
      <c r="E4" s="333">
        <f ca="1">IFERROR(VLOOKUP($B4,RD[[#All],[Date]:[IS4Inv2]],E$2,0)/E$1/_xlfn.XLOOKUP(Inv_SY_B12[[#This Row],[Date]],Daily_KPI[Date],Daily_KPI[POA-UP(KWh/m2)]),"")</f>
        <v>0.36559155464744197</v>
      </c>
      <c r="F4" s="333">
        <f ca="1">IFERROR(VLOOKUP($B4,RD[[#All],[Date]:[IS4Inv2]],F$2,0)/F$1/_xlfn.XLOOKUP(Inv_SY_B12[[#This Row],[Date]],Daily_KPI[Date],Daily_KPI[POA-UP(KWh/m2)]),"")</f>
        <v>0.37329626653502701</v>
      </c>
      <c r="G4" s="333">
        <f ca="1">IFERROR(VLOOKUP($B4,RD[[#All],[Date]:[IS4Inv2]],G$2,0)/G$1/_xlfn.XLOOKUP(Inv_SY_B12[[#This Row],[Date]],Daily_KPI[Date],Daily_KPI[POA-UP(KWh/m2)]),"")</f>
        <v>0.37607518832798514</v>
      </c>
      <c r="H4" s="333">
        <f ca="1">IFERROR(VLOOKUP($B4,RD[[#All],[Date]:[IS4Inv2]],H$2,0)/H$1/_xlfn.XLOOKUP(Inv_SY_B12[[#This Row],[Date]],Daily_KPI[Date],Daily_KPI[POA-UP(KWh/m2)]),"")</f>
        <v>0.37219154653123837</v>
      </c>
      <c r="I4" s="333">
        <f ca="1">IFERROR(VLOOKUP($B4,RD[[#All],[Date]:[IS4Inv2]],I$2,0)/I$1/_xlfn.XLOOKUP(Inv_SY_B12[[#This Row],[Date]],Daily_KPI[Date],Daily_KPI[POA-UP(KWh/m2)]),"")</f>
        <v>0.36600115768310926</v>
      </c>
    </row>
    <row r="5" spans="2:9">
      <c r="B5" s="224">
        <f ca="1">B4+1</f>
        <v>45810</v>
      </c>
      <c r="C5" s="333">
        <f ca="1">IFERROR(VLOOKUP($B5,RD[[#All],[Date]:[IS4Inv2]],C$2,0)/C$1/_xlfn.XLOOKUP(Inv_SY_B12[[#This Row],[Date]],Daily_KPI[Date],Daily_KPI[POA-UP(KWh/m2)]),"")</f>
        <v>0.83058327830000234</v>
      </c>
      <c r="D5" s="333">
        <f ca="1">IFERROR(VLOOKUP($B5,RD[[#All],[Date]:[IS4Inv2]],D$2,0)/D$1/_xlfn.XLOOKUP(Inv_SY_B12[[#This Row],[Date]],Daily_KPI[Date],Daily_KPI[POA-UP(KWh/m2)]),"")</f>
        <v>0.83205298248423787</v>
      </c>
      <c r="E5" s="333">
        <f ca="1">IFERROR(VLOOKUP($B5,RD[[#All],[Date]:[IS4Inv2]],E$2,0)/E$1/_xlfn.XLOOKUP(Inv_SY_B12[[#This Row],[Date]],Daily_KPI[Date],Daily_KPI[POA-UP(KWh/m2)]),"")</f>
        <v>0.81762032627171755</v>
      </c>
      <c r="F5" s="333">
        <f ca="1">IFERROR(VLOOKUP($B5,RD[[#All],[Date]:[IS4Inv2]],F$2,0)/F$1/_xlfn.XLOOKUP(Inv_SY_B12[[#This Row],[Date]],Daily_KPI[Date],Daily_KPI[POA-UP(KWh/m2)]),"")</f>
        <v>0.82779900337707168</v>
      </c>
      <c r="G5" s="333">
        <f ca="1">IFERROR(VLOOKUP($B5,RD[[#All],[Date]:[IS4Inv2]],G$2,0)/G$1/_xlfn.XLOOKUP(Inv_SY_B12[[#This Row],[Date]],Daily_KPI[Date],Daily_KPI[POA-UP(KWh/m2)]),"")</f>
        <v>0.84372120811642892</v>
      </c>
      <c r="H5" s="333">
        <f ca="1">IFERROR(VLOOKUP($B5,RD[[#All],[Date]:[IS4Inv2]],H$2,0)/H$1/_xlfn.XLOOKUP(Inv_SY_B12[[#This Row],[Date]],Daily_KPI[Date],Daily_KPI[POA-UP(KWh/m2)]),"")</f>
        <v>0.86004869212189727</v>
      </c>
      <c r="I5" s="333">
        <f ca="1">IFERROR(VLOOKUP($B5,RD[[#All],[Date]:[IS4Inv2]],I$2,0)/I$1/_xlfn.XLOOKUP(Inv_SY_B12[[#This Row],[Date]],Daily_KPI[Date],Daily_KPI[POA-UP(KWh/m2)]),"")</f>
        <v>0.85857443856313276</v>
      </c>
    </row>
    <row r="6" spans="2:9">
      <c r="B6" s="224">
        <f t="shared" ref="B6:B64" ca="1" si="2">B5+1</f>
        <v>45811</v>
      </c>
      <c r="C6" s="333">
        <f ca="1">IFERROR(VLOOKUP($B6,RD[[#All],[Date]:[IS4Inv2]],C$2,0)/C$1/_xlfn.XLOOKUP(Inv_SY_B12[[#This Row],[Date]],Daily_KPI[Date],Daily_KPI[POA-UP(KWh/m2)]),"")</f>
        <v>0.83421852692310183</v>
      </c>
      <c r="D6" s="333">
        <f ca="1">IFERROR(VLOOKUP($B6,RD[[#All],[Date]:[IS4Inv2]],D$2,0)/D$1/_xlfn.XLOOKUP(Inv_SY_B12[[#This Row],[Date]],Daily_KPI[Date],Daily_KPI[POA-UP(KWh/m2)]),"")</f>
        <v>0.83675840226037601</v>
      </c>
      <c r="E6" s="333">
        <f ca="1">IFERROR(VLOOKUP($B6,RD[[#All],[Date]:[IS4Inv2]],E$2,0)/E$1/_xlfn.XLOOKUP(Inv_SY_B12[[#This Row],[Date]],Daily_KPI[Date],Daily_KPI[POA-UP(KWh/m2)]),"")</f>
        <v>0.81855693842802146</v>
      </c>
      <c r="F6" s="333">
        <f ca="1">IFERROR(VLOOKUP($B6,RD[[#All],[Date]:[IS4Inv2]],F$2,0)/F$1/_xlfn.XLOOKUP(Inv_SY_B12[[#This Row],[Date]],Daily_KPI[Date],Daily_KPI[POA-UP(KWh/m2)]),"")</f>
        <v>0.83007639811120038</v>
      </c>
      <c r="G6" s="333">
        <f ca="1">IFERROR(VLOOKUP($B6,RD[[#All],[Date]:[IS4Inv2]],G$2,0)/G$1/_xlfn.XLOOKUP(Inv_SY_B12[[#This Row],[Date]],Daily_KPI[Date],Daily_KPI[POA-UP(KWh/m2)]),"")</f>
        <v>0.83362588934440462</v>
      </c>
      <c r="H6" s="333">
        <f ca="1">IFERROR(VLOOKUP($B6,RD[[#All],[Date]:[IS4Inv2]],H$2,0)/H$1/_xlfn.XLOOKUP(Inv_SY_B12[[#This Row],[Date]],Daily_KPI[Date],Daily_KPI[POA-UP(KWh/m2)]),"")</f>
        <v>0.87024109057911225</v>
      </c>
      <c r="I6" s="333">
        <f ca="1">IFERROR(VLOOKUP($B6,RD[[#All],[Date]:[IS4Inv2]],I$2,0)/I$1/_xlfn.XLOOKUP(Inv_SY_B12[[#This Row],[Date]],Daily_KPI[Date],Daily_KPI[POA-UP(KWh/m2)]),"")</f>
        <v>0.86688007857614247</v>
      </c>
    </row>
    <row r="7" spans="2:9">
      <c r="B7" s="224">
        <f t="shared" ca="1" si="2"/>
        <v>45812</v>
      </c>
      <c r="C7" s="333">
        <f ca="1">IFERROR(VLOOKUP($B7,RD[[#All],[Date]:[IS4Inv2]],C$2,0)/C$1/_xlfn.XLOOKUP(Inv_SY_B12[[#This Row],[Date]],Daily_KPI[Date],Daily_KPI[POA-UP(KWh/m2)]),"")</f>
        <v>0.82070891750123731</v>
      </c>
      <c r="D7" s="333">
        <f ca="1">IFERROR(VLOOKUP($B7,RD[[#All],[Date]:[IS4Inv2]],D$2,0)/D$1/_xlfn.XLOOKUP(Inv_SY_B12[[#This Row],[Date]],Daily_KPI[Date],Daily_KPI[POA-UP(KWh/m2)]),"")</f>
        <v>0.82139782742921674</v>
      </c>
      <c r="E7" s="333">
        <f ca="1">IFERROR(VLOOKUP($B7,RD[[#All],[Date]:[IS4Inv2]],E$2,0)/E$1/_xlfn.XLOOKUP(Inv_SY_B12[[#This Row],[Date]],Daily_KPI[Date],Daily_KPI[POA-UP(KWh/m2)]),"")</f>
        <v>0.808974821680151</v>
      </c>
      <c r="F7" s="333">
        <f ca="1">IFERROR(VLOOKUP($B7,RD[[#All],[Date]:[IS4Inv2]],F$2,0)/F$1/_xlfn.XLOOKUP(Inv_SY_B12[[#This Row],[Date]],Daily_KPI[Date],Daily_KPI[POA-UP(KWh/m2)]),"")</f>
        <v>0.81901059223657413</v>
      </c>
      <c r="G7" s="333">
        <f ca="1">IFERROR(VLOOKUP($B7,RD[[#All],[Date]:[IS4Inv2]],G$2,0)/G$1/_xlfn.XLOOKUP(Inv_SY_B12[[#This Row],[Date]],Daily_KPI[Date],Daily_KPI[POA-UP(KWh/m2)]),"")</f>
        <v>0.81894713095776317</v>
      </c>
      <c r="H7" s="333">
        <f ca="1">IFERROR(VLOOKUP($B7,RD[[#All],[Date]:[IS4Inv2]],H$2,0)/H$1/_xlfn.XLOOKUP(Inv_SY_B12[[#This Row],[Date]],Daily_KPI[Date],Daily_KPI[POA-UP(KWh/m2)]),"")</f>
        <v>0.84565096623149871</v>
      </c>
      <c r="I7" s="333">
        <f ca="1">IFERROR(VLOOKUP($B7,RD[[#All],[Date]:[IS4Inv2]],I$2,0)/I$1/_xlfn.XLOOKUP(Inv_SY_B12[[#This Row],[Date]],Daily_KPI[Date],Daily_KPI[POA-UP(KWh/m2)]),"")</f>
        <v>0.84601057497718335</v>
      </c>
    </row>
    <row r="8" spans="2:9">
      <c r="B8" s="224">
        <f t="shared" ca="1" si="2"/>
        <v>45813</v>
      </c>
      <c r="C8" s="333">
        <f ca="1">IFERROR(VLOOKUP($B8,RD[[#All],[Date]:[IS4Inv2]],C$2,0)/C$1/_xlfn.XLOOKUP(Inv_SY_B12[[#This Row],[Date]],Daily_KPI[Date],Daily_KPI[POA-UP(KWh/m2)]),"")</f>
        <v>0.82860548977793569</v>
      </c>
      <c r="D8" s="333">
        <f ca="1">IFERROR(VLOOKUP($B8,RD[[#All],[Date]:[IS4Inv2]],D$2,0)/D$1/_xlfn.XLOOKUP(Inv_SY_B12[[#This Row],[Date]],Daily_KPI[Date],Daily_KPI[POA-UP(KWh/m2)]),"")</f>
        <v>0.8231352702261393</v>
      </c>
      <c r="E8" s="333">
        <f ca="1">IFERROR(VLOOKUP($B8,RD[[#All],[Date]:[IS4Inv2]],E$2,0)/E$1/_xlfn.XLOOKUP(Inv_SY_B12[[#This Row],[Date]],Daily_KPI[Date],Daily_KPI[POA-UP(KWh/m2)]),"")</f>
        <v>0.80696561464906247</v>
      </c>
      <c r="F8" s="333">
        <f ca="1">IFERROR(VLOOKUP($B8,RD[[#All],[Date]:[IS4Inv2]],F$2,0)/F$1/_xlfn.XLOOKUP(Inv_SY_B12[[#This Row],[Date]],Daily_KPI[Date],Daily_KPI[POA-UP(KWh/m2)]),"")</f>
        <v>0.8149929748241288</v>
      </c>
      <c r="G8" s="333">
        <f ca="1">IFERROR(VLOOKUP($B8,RD[[#All],[Date]:[IS4Inv2]],G$2,0)/G$1/_xlfn.XLOOKUP(Inv_SY_B12[[#This Row],[Date]],Daily_KPI[Date],Daily_KPI[POA-UP(KWh/m2)]),"")</f>
        <v>0.80830912518252096</v>
      </c>
      <c r="H8" s="333">
        <f ca="1">IFERROR(VLOOKUP($B8,RD[[#All],[Date]:[IS4Inv2]],H$2,0)/H$1/_xlfn.XLOOKUP(Inv_SY_B12[[#This Row],[Date]],Daily_KPI[Date],Daily_KPI[POA-UP(KWh/m2)]),"")</f>
        <v>0.85256381549484994</v>
      </c>
      <c r="I8" s="333">
        <f ca="1">IFERROR(VLOOKUP($B8,RD[[#All],[Date]:[IS4Inv2]],I$2,0)/I$1/_xlfn.XLOOKUP(Inv_SY_B12[[#This Row],[Date]],Daily_KPI[Date],Daily_KPI[POA-UP(KWh/m2)]),"")</f>
        <v>0.8407150320943424</v>
      </c>
    </row>
    <row r="9" spans="2:9">
      <c r="B9" s="224">
        <f t="shared" ca="1" si="2"/>
        <v>45814</v>
      </c>
      <c r="C9" s="333">
        <f ca="1">IFERROR(VLOOKUP($B9,RD[[#All],[Date]:[IS4Inv2]],C$2,0)/C$1/_xlfn.XLOOKUP(Inv_SY_B12[[#This Row],[Date]],Daily_KPI[Date],Daily_KPI[POA-UP(KWh/m2)]),"")</f>
        <v>0.83146322801355421</v>
      </c>
      <c r="D9" s="333">
        <f ca="1">IFERROR(VLOOKUP($B9,RD[[#All],[Date]:[IS4Inv2]],D$2,0)/D$1/_xlfn.XLOOKUP(Inv_SY_B12[[#This Row],[Date]],Daily_KPI[Date],Daily_KPI[POA-UP(KWh/m2)]),"")</f>
        <v>0.82640065161504306</v>
      </c>
      <c r="E9" s="333">
        <f ca="1">IFERROR(VLOOKUP($B9,RD[[#All],[Date]:[IS4Inv2]],E$2,0)/E$1/_xlfn.XLOOKUP(Inv_SY_B12[[#This Row],[Date]],Daily_KPI[Date],Daily_KPI[POA-UP(KWh/m2)]),"")</f>
        <v>0.81199188324785387</v>
      </c>
      <c r="F9" s="333">
        <f ca="1">IFERROR(VLOOKUP($B9,RD[[#All],[Date]:[IS4Inv2]],F$2,0)/F$1/_xlfn.XLOOKUP(Inv_SY_B12[[#This Row],[Date]],Daily_KPI[Date],Daily_KPI[POA-UP(KWh/m2)]),"")</f>
        <v>0.81976830021865321</v>
      </c>
      <c r="G9" s="333">
        <f ca="1">IFERROR(VLOOKUP($B9,RD[[#All],[Date]:[IS4Inv2]],G$2,0)/G$1/_xlfn.XLOOKUP(Inv_SY_B12[[#This Row],[Date]],Daily_KPI[Date],Daily_KPI[POA-UP(KWh/m2)]),"")</f>
        <v>0.80888303297739139</v>
      </c>
      <c r="H9" s="333">
        <f ca="1">IFERROR(VLOOKUP($B9,RD[[#All],[Date]:[IS4Inv2]],H$2,0)/H$1/_xlfn.XLOOKUP(Inv_SY_B12[[#This Row],[Date]],Daily_KPI[Date],Daily_KPI[POA-UP(KWh/m2)]),"")</f>
        <v>0.82925952593731334</v>
      </c>
      <c r="I9" s="333">
        <f ca="1">IFERROR(VLOOKUP($B9,RD[[#All],[Date]:[IS4Inv2]],I$2,0)/I$1/_xlfn.XLOOKUP(Inv_SY_B12[[#This Row],[Date]],Daily_KPI[Date],Daily_KPI[POA-UP(KWh/m2)]),"")</f>
        <v>0.82468698341845592</v>
      </c>
    </row>
    <row r="10" spans="2:9">
      <c r="B10" s="224">
        <f t="shared" ca="1" si="2"/>
        <v>45815</v>
      </c>
      <c r="C10" s="333">
        <f ca="1">IFERROR(VLOOKUP($B10,RD[[#All],[Date]:[IS4Inv2]],C$2,0)/C$1/_xlfn.XLOOKUP(Inv_SY_B12[[#This Row],[Date]],Daily_KPI[Date],Daily_KPI[POA-UP(KWh/m2)]),"")</f>
        <v>0.84266620922218605</v>
      </c>
      <c r="D10" s="333">
        <f ca="1">IFERROR(VLOOKUP($B10,RD[[#All],[Date]:[IS4Inv2]],D$2,0)/D$1/_xlfn.XLOOKUP(Inv_SY_B12[[#This Row],[Date]],Daily_KPI[Date],Daily_KPI[POA-UP(KWh/m2)]),"")</f>
        <v>0.84150564753206303</v>
      </c>
      <c r="E10" s="333">
        <f ca="1">IFERROR(VLOOKUP($B10,RD[[#All],[Date]:[IS4Inv2]],E$2,0)/E$1/_xlfn.XLOOKUP(Inv_SY_B12[[#This Row],[Date]],Daily_KPI[Date],Daily_KPI[POA-UP(KWh/m2)]),"")</f>
        <v>0.82885879390504003</v>
      </c>
      <c r="F10" s="333">
        <f ca="1">IFERROR(VLOOKUP($B10,RD[[#All],[Date]:[IS4Inv2]],F$2,0)/F$1/_xlfn.XLOOKUP(Inv_SY_B12[[#This Row],[Date]],Daily_KPI[Date],Daily_KPI[POA-UP(KWh/m2)]),"")</f>
        <v>0.83907897772486417</v>
      </c>
      <c r="G10" s="333">
        <f ca="1">IFERROR(VLOOKUP($B10,RD[[#All],[Date]:[IS4Inv2]],G$2,0)/G$1/_xlfn.XLOOKUP(Inv_SY_B12[[#This Row],[Date]],Daily_KPI[Date],Daily_KPI[POA-UP(KWh/m2)]),"")</f>
        <v>0.83776033158811702</v>
      </c>
      <c r="H10" s="333">
        <f ca="1">IFERROR(VLOOKUP($B10,RD[[#All],[Date]:[IS4Inv2]],H$2,0)/H$1/_xlfn.XLOOKUP(Inv_SY_B12[[#This Row],[Date]],Daily_KPI[Date],Daily_KPI[POA-UP(KWh/m2)]),"")</f>
        <v>0.86458639270665372</v>
      </c>
      <c r="I10" s="333">
        <f ca="1">IFERROR(VLOOKUP($B10,RD[[#All],[Date]:[IS4Inv2]],I$2,0)/I$1/_xlfn.XLOOKUP(Inv_SY_B12[[#This Row],[Date]],Daily_KPI[Date],Daily_KPI[POA-UP(KWh/m2)]),"")</f>
        <v>0.85913571330100624</v>
      </c>
    </row>
    <row r="11" spans="2:9">
      <c r="B11" s="224">
        <f t="shared" ca="1" si="2"/>
        <v>45816</v>
      </c>
      <c r="C11" s="333">
        <f ca="1">IFERROR(VLOOKUP($B11,RD[[#All],[Date]:[IS4Inv2]],C$2,0)/C$1/_xlfn.XLOOKUP(Inv_SY_B12[[#This Row],[Date]],Daily_KPI[Date],Daily_KPI[POA-UP(KWh/m2)]),"")</f>
        <v>0.85289882927555605</v>
      </c>
      <c r="D11" s="333">
        <f ca="1">IFERROR(VLOOKUP($B11,RD[[#All],[Date]:[IS4Inv2]],D$2,0)/D$1/_xlfn.XLOOKUP(Inv_SY_B12[[#This Row],[Date]],Daily_KPI[Date],Daily_KPI[POA-UP(KWh/m2)]),"")</f>
        <v>0.86147796374812702</v>
      </c>
      <c r="E11" s="333">
        <f ca="1">IFERROR(VLOOKUP($B11,RD[[#All],[Date]:[IS4Inv2]],E$2,0)/E$1/_xlfn.XLOOKUP(Inv_SY_B12[[#This Row],[Date]],Daily_KPI[Date],Daily_KPI[POA-UP(KWh/m2)]),"")</f>
        <v>0.84878646144877368</v>
      </c>
      <c r="F11" s="333">
        <f ca="1">IFERROR(VLOOKUP($B11,RD[[#All],[Date]:[IS4Inv2]],F$2,0)/F$1/_xlfn.XLOOKUP(Inv_SY_B12[[#This Row],[Date]],Daily_KPI[Date],Daily_KPI[POA-UP(KWh/m2)]),"")</f>
        <v>0.86586461265704484</v>
      </c>
      <c r="G11" s="333">
        <f ca="1">IFERROR(VLOOKUP($B11,RD[[#All],[Date]:[IS4Inv2]],G$2,0)/G$1/_xlfn.XLOOKUP(Inv_SY_B12[[#This Row],[Date]],Daily_KPI[Date],Daily_KPI[POA-UP(KWh/m2)]),"")</f>
        <v>0.87004733687932589</v>
      </c>
      <c r="H11" s="333">
        <f ca="1">IFERROR(VLOOKUP($B11,RD[[#All],[Date]:[IS4Inv2]],H$2,0)/H$1/_xlfn.XLOOKUP(Inv_SY_B12[[#This Row],[Date]],Daily_KPI[Date],Daily_KPI[POA-UP(KWh/m2)]),"")</f>
        <v>0.87211141010347593</v>
      </c>
      <c r="I11" s="333">
        <f ca="1">IFERROR(VLOOKUP($B11,RD[[#All],[Date]:[IS4Inv2]],I$2,0)/I$1/_xlfn.XLOOKUP(Inv_SY_B12[[#This Row],[Date]],Daily_KPI[Date],Daily_KPI[POA-UP(KWh/m2)]),"")</f>
        <v>0.87183399450717114</v>
      </c>
    </row>
    <row r="12" spans="2:9">
      <c r="B12" s="224">
        <f t="shared" ca="1" si="2"/>
        <v>45817</v>
      </c>
      <c r="C12" s="333">
        <f ca="1">IFERROR(VLOOKUP($B12,RD[[#All],[Date]:[IS4Inv2]],C$2,0)/C$1/_xlfn.XLOOKUP(Inv_SY_B12[[#This Row],[Date]],Daily_KPI[Date],Daily_KPI[POA-UP(KWh/m2)]),"")</f>
        <v>0.8441087771738105</v>
      </c>
      <c r="D12" s="333">
        <f ca="1">IFERROR(VLOOKUP($B12,RD[[#All],[Date]:[IS4Inv2]],D$2,0)/D$1/_xlfn.XLOOKUP(Inv_SY_B12[[#This Row],[Date]],Daily_KPI[Date],Daily_KPI[POA-UP(KWh/m2)]),"")</f>
        <v>0.84983165391336357</v>
      </c>
      <c r="E12" s="333">
        <f ca="1">IFERROR(VLOOKUP($B12,RD[[#All],[Date]:[IS4Inv2]],E$2,0)/E$1/_xlfn.XLOOKUP(Inv_SY_B12[[#This Row],[Date]],Daily_KPI[Date],Daily_KPI[POA-UP(KWh/m2)]),"")</f>
        <v>0.83372553205597855</v>
      </c>
      <c r="F12" s="333">
        <f ca="1">IFERROR(VLOOKUP($B12,RD[[#All],[Date]:[IS4Inv2]],F$2,0)/F$1/_xlfn.XLOOKUP(Inv_SY_B12[[#This Row],[Date]],Daily_KPI[Date],Daily_KPI[POA-UP(KWh/m2)]),"")</f>
        <v>0.8425737204687983</v>
      </c>
      <c r="G12" s="333">
        <f ca="1">IFERROR(VLOOKUP($B12,RD[[#All],[Date]:[IS4Inv2]],G$2,0)/G$1/_xlfn.XLOOKUP(Inv_SY_B12[[#This Row],[Date]],Daily_KPI[Date],Daily_KPI[POA-UP(KWh/m2)]),"")</f>
        <v>0.84003531649946372</v>
      </c>
      <c r="H12" s="333">
        <f ca="1">IFERROR(VLOOKUP($B12,RD[[#All],[Date]:[IS4Inv2]],H$2,0)/H$1/_xlfn.XLOOKUP(Inv_SY_B12[[#This Row],[Date]],Daily_KPI[Date],Daily_KPI[POA-UP(KWh/m2)]),"")</f>
        <v>0.86672888303323092</v>
      </c>
      <c r="I12" s="333">
        <f ca="1">IFERROR(VLOOKUP($B12,RD[[#All],[Date]:[IS4Inv2]],I$2,0)/I$1/_xlfn.XLOOKUP(Inv_SY_B12[[#This Row],[Date]],Daily_KPI[Date],Daily_KPI[POA-UP(KWh/m2)]),"")</f>
        <v>0.85791069111908691</v>
      </c>
    </row>
    <row r="13" spans="2:9">
      <c r="B13" s="224">
        <f t="shared" ca="1" si="2"/>
        <v>45818</v>
      </c>
      <c r="C13" s="333">
        <f ca="1">IFERROR(VLOOKUP($B13,RD[[#All],[Date]:[IS4Inv2]],C$2,0)/C$1/_xlfn.XLOOKUP(Inv_SY_B12[[#This Row],[Date]],Daily_KPI[Date],Daily_KPI[POA-UP(KWh/m2)]),"")</f>
        <v>0.88629127756604542</v>
      </c>
      <c r="D13" s="333">
        <f ca="1">IFERROR(VLOOKUP($B13,RD[[#All],[Date]:[IS4Inv2]],D$2,0)/D$1/_xlfn.XLOOKUP(Inv_SY_B12[[#This Row],[Date]],Daily_KPI[Date],Daily_KPI[POA-UP(KWh/m2)]),"")</f>
        <v>0.88485841792199216</v>
      </c>
      <c r="E13" s="333">
        <f ca="1">IFERROR(VLOOKUP($B13,RD[[#All],[Date]:[IS4Inv2]],E$2,0)/E$1/_xlfn.XLOOKUP(Inv_SY_B12[[#This Row],[Date]],Daily_KPI[Date],Daily_KPI[POA-UP(KWh/m2)]),"")</f>
        <v>0.87652719257816436</v>
      </c>
      <c r="F13" s="333">
        <f ca="1">IFERROR(VLOOKUP($B13,RD[[#All],[Date]:[IS4Inv2]],F$2,0)/F$1/_xlfn.XLOOKUP(Inv_SY_B12[[#This Row],[Date]],Daily_KPI[Date],Daily_KPI[POA-UP(KWh/m2)]),"")</f>
        <v>0.88540624571134907</v>
      </c>
      <c r="G13" s="333">
        <f ca="1">IFERROR(VLOOKUP($B13,RD[[#All],[Date]:[IS4Inv2]],G$2,0)/G$1/_xlfn.XLOOKUP(Inv_SY_B12[[#This Row],[Date]],Daily_KPI[Date],Daily_KPI[POA-UP(KWh/m2)]),"")</f>
        <v>0.88337470656550388</v>
      </c>
      <c r="H13" s="333">
        <f ca="1">IFERROR(VLOOKUP($B13,RD[[#All],[Date]:[IS4Inv2]],H$2,0)/H$1/_xlfn.XLOOKUP(Inv_SY_B12[[#This Row],[Date]],Daily_KPI[Date],Daily_KPI[POA-UP(KWh/m2)]),"")</f>
        <v>0.89773879771344267</v>
      </c>
      <c r="I13" s="333">
        <f ca="1">IFERROR(VLOOKUP($B13,RD[[#All],[Date]:[IS4Inv2]],I$2,0)/I$1/_xlfn.XLOOKUP(Inv_SY_B12[[#This Row],[Date]],Daily_KPI[Date],Daily_KPI[POA-UP(KWh/m2)]),"")</f>
        <v>0.89117367166302253</v>
      </c>
    </row>
    <row r="14" spans="2:9">
      <c r="B14" s="224">
        <f t="shared" ca="1" si="2"/>
        <v>45819</v>
      </c>
      <c r="C14" s="333">
        <f ca="1">IFERROR(VLOOKUP($B14,RD[[#All],[Date]:[IS4Inv2]],C$2,0)/C$1/_xlfn.XLOOKUP(Inv_SY_B12[[#This Row],[Date]],Daily_KPI[Date],Daily_KPI[POA-UP(KWh/m2)]),"")</f>
        <v>0.86703706322212515</v>
      </c>
      <c r="D14" s="333">
        <f ca="1">IFERROR(VLOOKUP($B14,RD[[#All],[Date]:[IS4Inv2]],D$2,0)/D$1/_xlfn.XLOOKUP(Inv_SY_B12[[#This Row],[Date]],Daily_KPI[Date],Daily_KPI[POA-UP(KWh/m2)]),"")</f>
        <v>0.86806921074697085</v>
      </c>
      <c r="E14" s="333">
        <f ca="1">IFERROR(VLOOKUP($B14,RD[[#All],[Date]:[IS4Inv2]],E$2,0)/E$1/_xlfn.XLOOKUP(Inv_SY_B12[[#This Row],[Date]],Daily_KPI[Date],Daily_KPI[POA-UP(KWh/m2)]),"")</f>
        <v>0.86338584250216355</v>
      </c>
      <c r="F14" s="333">
        <f ca="1">IFERROR(VLOOKUP($B14,RD[[#All],[Date]:[IS4Inv2]],F$2,0)/F$1/_xlfn.XLOOKUP(Inv_SY_B12[[#This Row],[Date]],Daily_KPI[Date],Daily_KPI[POA-UP(KWh/m2)]),"")</f>
        <v>0.87487952051366136</v>
      </c>
      <c r="G14" s="333">
        <f ca="1">IFERROR(VLOOKUP($B14,RD[[#All],[Date]:[IS4Inv2]],G$2,0)/G$1/_xlfn.XLOOKUP(Inv_SY_B12[[#This Row],[Date]],Daily_KPI[Date],Daily_KPI[POA-UP(KWh/m2)]),"")</f>
        <v>0.87786649573870779</v>
      </c>
      <c r="H14" s="333">
        <f ca="1">IFERROR(VLOOKUP($B14,RD[[#All],[Date]:[IS4Inv2]],H$2,0)/H$1/_xlfn.XLOOKUP(Inv_SY_B12[[#This Row],[Date]],Daily_KPI[Date],Daily_KPI[POA-UP(KWh/m2)]),"")</f>
        <v>0.87282968991121535</v>
      </c>
      <c r="I14" s="333">
        <f ca="1">IFERROR(VLOOKUP($B14,RD[[#All],[Date]:[IS4Inv2]],I$2,0)/I$1/_xlfn.XLOOKUP(Inv_SY_B12[[#This Row],[Date]],Daily_KPI[Date],Daily_KPI[POA-UP(KWh/m2)]),"")</f>
        <v>0.8670687233144414</v>
      </c>
    </row>
    <row r="15" spans="2:9">
      <c r="B15" s="224">
        <f t="shared" ca="1" si="2"/>
        <v>45820</v>
      </c>
      <c r="C15" s="333">
        <f ca="1">IFERROR(VLOOKUP($B15,RD[[#All],[Date]:[IS4Inv2]],C$2,0)/C$1/_xlfn.XLOOKUP(Inv_SY_B12[[#This Row],[Date]],Daily_KPI[Date],Daily_KPI[POA-UP(KWh/m2)]),"")</f>
        <v>0.85706166176302745</v>
      </c>
      <c r="D15" s="333">
        <f ca="1">IFERROR(VLOOKUP($B15,RD[[#All],[Date]:[IS4Inv2]],D$2,0)/D$1/_xlfn.XLOOKUP(Inv_SY_B12[[#This Row],[Date]],Daily_KPI[Date],Daily_KPI[POA-UP(KWh/m2)]),"")</f>
        <v>0.86346537285148206</v>
      </c>
      <c r="E15" s="333">
        <f ca="1">IFERROR(VLOOKUP($B15,RD[[#All],[Date]:[IS4Inv2]],E$2,0)/E$1/_xlfn.XLOOKUP(Inv_SY_B12[[#This Row],[Date]],Daily_KPI[Date],Daily_KPI[POA-UP(KWh/m2)]),"")</f>
        <v>0.84242288887494576</v>
      </c>
      <c r="F15" s="333">
        <f ca="1">IFERROR(VLOOKUP($B15,RD[[#All],[Date]:[IS4Inv2]],F$2,0)/F$1/_xlfn.XLOOKUP(Inv_SY_B12[[#This Row],[Date]],Daily_KPI[Date],Daily_KPI[POA-UP(KWh/m2)]),"")</f>
        <v>0.85830997503133044</v>
      </c>
      <c r="G15" s="333">
        <f ca="1">IFERROR(VLOOKUP($B15,RD[[#All],[Date]:[IS4Inv2]],G$2,0)/G$1/_xlfn.XLOOKUP(Inv_SY_B12[[#This Row],[Date]],Daily_KPI[Date],Daily_KPI[POA-UP(KWh/m2)]),"")</f>
        <v>0.87410437501935523</v>
      </c>
      <c r="H15" s="333">
        <f ca="1">IFERROR(VLOOKUP($B15,RD[[#All],[Date]:[IS4Inv2]],H$2,0)/H$1/_xlfn.XLOOKUP(Inv_SY_B12[[#This Row],[Date]],Daily_KPI[Date],Daily_KPI[POA-UP(KWh/m2)]),"")</f>
        <v>0.89352328705776973</v>
      </c>
      <c r="I15" s="333">
        <f ca="1">IFERROR(VLOOKUP($B15,RD[[#All],[Date]:[IS4Inv2]],I$2,0)/I$1/_xlfn.XLOOKUP(Inv_SY_B12[[#This Row],[Date]],Daily_KPI[Date],Daily_KPI[POA-UP(KWh/m2)]),"")</f>
        <v>0.89307545902373486</v>
      </c>
    </row>
    <row r="16" spans="2:9">
      <c r="B16" s="224">
        <f t="shared" ca="1" si="2"/>
        <v>45821</v>
      </c>
      <c r="C16" s="333">
        <f ca="1">IFERROR(VLOOKUP($B16,RD[[#All],[Date]:[IS4Inv2]],C$2,0)/C$1/_xlfn.XLOOKUP(Inv_SY_B12[[#This Row],[Date]],Daily_KPI[Date],Daily_KPI[POA-UP(KWh/m2)]),"")</f>
        <v>0.84494705354078181</v>
      </c>
      <c r="D16" s="333">
        <f ca="1">IFERROR(VLOOKUP($B16,RD[[#All],[Date]:[IS4Inv2]],D$2,0)/D$1/_xlfn.XLOOKUP(Inv_SY_B12[[#This Row],[Date]],Daily_KPI[Date],Daily_KPI[POA-UP(KWh/m2)]),"")</f>
        <v>0.8416610496537722</v>
      </c>
      <c r="E16" s="333">
        <f ca="1">IFERROR(VLOOKUP($B16,RD[[#All],[Date]:[IS4Inv2]],E$2,0)/E$1/_xlfn.XLOOKUP(Inv_SY_B12[[#This Row],[Date]],Daily_KPI[Date],Daily_KPI[POA-UP(KWh/m2)]),"")</f>
        <v>0.84916632650603929</v>
      </c>
      <c r="F16" s="333">
        <f ca="1">IFERROR(VLOOKUP($B16,RD[[#All],[Date]:[IS4Inv2]],F$2,0)/F$1/_xlfn.XLOOKUP(Inv_SY_B12[[#This Row],[Date]],Daily_KPI[Date],Daily_KPI[POA-UP(KWh/m2)]),"")</f>
        <v>0.85845155281240171</v>
      </c>
      <c r="G16" s="333">
        <f ca="1">IFERROR(VLOOKUP($B16,RD[[#All],[Date]:[IS4Inv2]],G$2,0)/G$1/_xlfn.XLOOKUP(Inv_SY_B12[[#This Row],[Date]],Daily_KPI[Date],Daily_KPI[POA-UP(KWh/m2)]),"")</f>
        <v>0.86240791396354999</v>
      </c>
      <c r="H16" s="333">
        <f ca="1">IFERROR(VLOOKUP($B16,RD[[#All],[Date]:[IS4Inv2]],H$2,0)/H$1/_xlfn.XLOOKUP(Inv_SY_B12[[#This Row],[Date]],Daily_KPI[Date],Daily_KPI[POA-UP(KWh/m2)]),"")</f>
        <v>0.84577029666984693</v>
      </c>
      <c r="I16" s="333">
        <f ca="1">IFERROR(VLOOKUP($B16,RD[[#All],[Date]:[IS4Inv2]],I$2,0)/I$1/_xlfn.XLOOKUP(Inv_SY_B12[[#This Row],[Date]],Daily_KPI[Date],Daily_KPI[POA-UP(KWh/m2)]),"")</f>
        <v>0.8561790533304775</v>
      </c>
    </row>
    <row r="17" spans="2:9">
      <c r="B17" s="224">
        <f t="shared" ca="1" si="2"/>
        <v>45822</v>
      </c>
      <c r="C17" s="333">
        <f ca="1">IFERROR(VLOOKUP($B17,RD[[#All],[Date]:[IS4Inv2]],C$2,0)/C$1/_xlfn.XLOOKUP(Inv_SY_B12[[#This Row],[Date]],Daily_KPI[Date],Daily_KPI[POA-UP(KWh/m2)]),"")</f>
        <v>0.84357199413044215</v>
      </c>
      <c r="D17" s="333">
        <f ca="1">IFERROR(VLOOKUP($B17,RD[[#All],[Date]:[IS4Inv2]],D$2,0)/D$1/_xlfn.XLOOKUP(Inv_SY_B12[[#This Row],[Date]],Daily_KPI[Date],Daily_KPI[POA-UP(KWh/m2)]),"")</f>
        <v>0.83374173588062128</v>
      </c>
      <c r="E17" s="333">
        <f ca="1">IFERROR(VLOOKUP($B17,RD[[#All],[Date]:[IS4Inv2]],E$2,0)/E$1/_xlfn.XLOOKUP(Inv_SY_B12[[#This Row],[Date]],Daily_KPI[Date],Daily_KPI[POA-UP(KWh/m2)]),"")</f>
        <v>0.82339475136396356</v>
      </c>
      <c r="F17" s="333">
        <f ca="1">IFERROR(VLOOKUP($B17,RD[[#All],[Date]:[IS4Inv2]],F$2,0)/F$1/_xlfn.XLOOKUP(Inv_SY_B12[[#This Row],[Date]],Daily_KPI[Date],Daily_KPI[POA-UP(KWh/m2)]),"")</f>
        <v>0.82696324553632028</v>
      </c>
      <c r="G17" s="333">
        <f ca="1">IFERROR(VLOOKUP($B17,RD[[#All],[Date]:[IS4Inv2]],G$2,0)/G$1/_xlfn.XLOOKUP(Inv_SY_B12[[#This Row],[Date]],Daily_KPI[Date],Daily_KPI[POA-UP(KWh/m2)]),"")</f>
        <v>0.81842900217261472</v>
      </c>
      <c r="H17" s="333">
        <f ca="1">IFERROR(VLOOKUP($B17,RD[[#All],[Date]:[IS4Inv2]],H$2,0)/H$1/_xlfn.XLOOKUP(Inv_SY_B12[[#This Row],[Date]],Daily_KPI[Date],Daily_KPI[POA-UP(KWh/m2)]),"")</f>
        <v>0.86092933646812952</v>
      </c>
      <c r="I17" s="333">
        <f ca="1">IFERROR(VLOOKUP($B17,RD[[#All],[Date]:[IS4Inv2]],I$2,0)/I$1/_xlfn.XLOOKUP(Inv_SY_B12[[#This Row],[Date]],Daily_KPI[Date],Daily_KPI[POA-UP(KWh/m2)]),"")</f>
        <v>0.84758032915360504</v>
      </c>
    </row>
    <row r="18" spans="2:9">
      <c r="B18" s="224">
        <f t="shared" ca="1" si="2"/>
        <v>45823</v>
      </c>
      <c r="C18" s="333">
        <f ca="1">IFERROR(VLOOKUP($B18,RD[[#All],[Date]:[IS4Inv2]],C$2,0)/C$1/_xlfn.XLOOKUP(Inv_SY_B12[[#This Row],[Date]],Daily_KPI[Date],Daily_KPI[POA-UP(KWh/m2)]),"")</f>
        <v>0.79162275512090496</v>
      </c>
      <c r="D18" s="333">
        <f ca="1">IFERROR(VLOOKUP($B18,RD[[#All],[Date]:[IS4Inv2]],D$2,0)/D$1/_xlfn.XLOOKUP(Inv_SY_B12[[#This Row],[Date]],Daily_KPI[Date],Daily_KPI[POA-UP(KWh/m2)]),"")</f>
        <v>0.80660742377741068</v>
      </c>
      <c r="E18" s="333">
        <f ca="1">IFERROR(VLOOKUP($B18,RD[[#All],[Date]:[IS4Inv2]],E$2,0)/E$1/_xlfn.XLOOKUP(Inv_SY_B12[[#This Row],[Date]],Daily_KPI[Date],Daily_KPI[POA-UP(KWh/m2)]),"")</f>
        <v>0.7849848890290958</v>
      </c>
      <c r="F18" s="333">
        <f ca="1">IFERROR(VLOOKUP($B18,RD[[#All],[Date]:[IS4Inv2]],F$2,0)/F$1/_xlfn.XLOOKUP(Inv_SY_B12[[#This Row],[Date]],Daily_KPI[Date],Daily_KPI[POA-UP(KWh/m2)]),"")</f>
        <v>0.80573749487032631</v>
      </c>
      <c r="G18" s="333">
        <f ca="1">IFERROR(VLOOKUP($B18,RD[[#All],[Date]:[IS4Inv2]],G$2,0)/G$1/_xlfn.XLOOKUP(Inv_SY_B12[[#This Row],[Date]],Daily_KPI[Date],Daily_KPI[POA-UP(KWh/m2)]),"")</f>
        <v>0.84294348098348881</v>
      </c>
      <c r="H18" s="333">
        <f ca="1">IFERROR(VLOOKUP($B18,RD[[#All],[Date]:[IS4Inv2]],H$2,0)/H$1/_xlfn.XLOOKUP(Inv_SY_B12[[#This Row],[Date]],Daily_KPI[Date],Daily_KPI[POA-UP(KWh/m2)]),"")</f>
        <v>0.84602645021931555</v>
      </c>
      <c r="I18" s="333">
        <f ca="1">IFERROR(VLOOKUP($B18,RD[[#All],[Date]:[IS4Inv2]],I$2,0)/I$1/_xlfn.XLOOKUP(Inv_SY_B12[[#This Row],[Date]],Daily_KPI[Date],Daily_KPI[POA-UP(KWh/m2)]),"")</f>
        <v>0.84351440141035749</v>
      </c>
    </row>
    <row r="19" spans="2:9">
      <c r="B19" s="224">
        <f t="shared" ca="1" si="2"/>
        <v>45824</v>
      </c>
      <c r="C19" s="333">
        <f ca="1">IFERROR(VLOOKUP($B19,RD[[#All],[Date]:[IS4Inv2]],C$2,0)/C$1/_xlfn.XLOOKUP(Inv_SY_B12[[#This Row],[Date]],Daily_KPI[Date],Daily_KPI[POA-UP(KWh/m2)]),"")</f>
        <v>0.8647023078004672</v>
      </c>
      <c r="D19" s="333">
        <f ca="1">IFERROR(VLOOKUP($B19,RD[[#All],[Date]:[IS4Inv2]],D$2,0)/D$1/_xlfn.XLOOKUP(Inv_SY_B12[[#This Row],[Date]],Daily_KPI[Date],Daily_KPI[POA-UP(KWh/m2)]),"")</f>
        <v>0.87344688012788108</v>
      </c>
      <c r="E19" s="333">
        <f ca="1">IFERROR(VLOOKUP($B19,RD[[#All],[Date]:[IS4Inv2]],E$2,0)/E$1/_xlfn.XLOOKUP(Inv_SY_B12[[#This Row],[Date]],Daily_KPI[Date],Daily_KPI[POA-UP(KWh/m2)]),"")</f>
        <v>0.86233105100239393</v>
      </c>
      <c r="F19" s="333">
        <f ca="1">IFERROR(VLOOKUP($B19,RD[[#All],[Date]:[IS4Inv2]],F$2,0)/F$1/_xlfn.XLOOKUP(Inv_SY_B12[[#This Row],[Date]],Daily_KPI[Date],Daily_KPI[POA-UP(KWh/m2)]),"")</f>
        <v>0.87633760043459641</v>
      </c>
      <c r="G19" s="333">
        <f ca="1">IFERROR(VLOOKUP($B19,RD[[#All],[Date]:[IS4Inv2]],G$2,0)/G$1/_xlfn.XLOOKUP(Inv_SY_B12[[#This Row],[Date]],Daily_KPI[Date],Daily_KPI[POA-UP(KWh/m2)]),"")</f>
        <v>0.8745120973361048</v>
      </c>
      <c r="H19" s="333">
        <f ca="1">IFERROR(VLOOKUP($B19,RD[[#All],[Date]:[IS4Inv2]],H$2,0)/H$1/_xlfn.XLOOKUP(Inv_SY_B12[[#This Row],[Date]],Daily_KPI[Date],Daily_KPI[POA-UP(KWh/m2)]),"")</f>
        <v>0.88611427757195782</v>
      </c>
      <c r="I19" s="333">
        <f ca="1">IFERROR(VLOOKUP($B19,RD[[#All],[Date]:[IS4Inv2]],I$2,0)/I$1/_xlfn.XLOOKUP(Inv_SY_B12[[#This Row],[Date]],Daily_KPI[Date],Daily_KPI[POA-UP(KWh/m2)]),"")</f>
        <v>0.87596720985863197</v>
      </c>
    </row>
    <row r="20" spans="2:9">
      <c r="B20" s="224">
        <f t="shared" ca="1" si="2"/>
        <v>45825</v>
      </c>
      <c r="C20" s="333">
        <f ca="1">IFERROR(VLOOKUP($B20,RD[[#All],[Date]:[IS4Inv2]],C$2,0)/C$1/_xlfn.XLOOKUP(Inv_SY_B12[[#This Row],[Date]],Daily_KPI[Date],Daily_KPI[POA-UP(KWh/m2)]),"")</f>
        <v>0.84194523066433447</v>
      </c>
      <c r="D20" s="333">
        <f ca="1">IFERROR(VLOOKUP($B20,RD[[#All],[Date]:[IS4Inv2]],D$2,0)/D$1/_xlfn.XLOOKUP(Inv_SY_B12[[#This Row],[Date]],Daily_KPI[Date],Daily_KPI[POA-UP(KWh/m2)]),"")</f>
        <v>0.84978478457892515</v>
      </c>
      <c r="E20" s="333">
        <f ca="1">IFERROR(VLOOKUP($B20,RD[[#All],[Date]:[IS4Inv2]],E$2,0)/E$1/_xlfn.XLOOKUP(Inv_SY_B12[[#This Row],[Date]],Daily_KPI[Date],Daily_KPI[POA-UP(KWh/m2)]),"")</f>
        <v>0.82397405138986901</v>
      </c>
      <c r="F20" s="333">
        <f ca="1">IFERROR(VLOOKUP($B20,RD[[#All],[Date]:[IS4Inv2]],F$2,0)/F$1/_xlfn.XLOOKUP(Inv_SY_B12[[#This Row],[Date]],Daily_KPI[Date],Daily_KPI[POA-UP(KWh/m2)]),"")</f>
        <v>0.83419243555286826</v>
      </c>
      <c r="G20" s="333">
        <f ca="1">IFERROR(VLOOKUP($B20,RD[[#All],[Date]:[IS4Inv2]],G$2,0)/G$1/_xlfn.XLOOKUP(Inv_SY_B12[[#This Row],[Date]],Daily_KPI[Date],Daily_KPI[POA-UP(KWh/m2)]),"")</f>
        <v>0.84480510223756344</v>
      </c>
      <c r="H20" s="333">
        <f ca="1">IFERROR(VLOOKUP($B20,RD[[#All],[Date]:[IS4Inv2]],H$2,0)/H$1/_xlfn.XLOOKUP(Inv_SY_B12[[#This Row],[Date]],Daily_KPI[Date],Daily_KPI[POA-UP(KWh/m2)]),"")</f>
        <v>0.88353470386493849</v>
      </c>
      <c r="I20" s="333">
        <f ca="1">IFERROR(VLOOKUP($B20,RD[[#All],[Date]:[IS4Inv2]],I$2,0)/I$1/_xlfn.XLOOKUP(Inv_SY_B12[[#This Row],[Date]],Daily_KPI[Date],Daily_KPI[POA-UP(KWh/m2)]),"")</f>
        <v>0.87464745826004064</v>
      </c>
    </row>
    <row r="21" spans="2:9">
      <c r="B21" s="224">
        <f t="shared" ca="1" si="2"/>
        <v>45826</v>
      </c>
      <c r="C21" s="333">
        <f ca="1">IFERROR(VLOOKUP($B21,RD[[#All],[Date]:[IS4Inv2]],C$2,0)/C$1/_xlfn.XLOOKUP(Inv_SY_B12[[#This Row],[Date]],Daily_KPI[Date],Daily_KPI[POA-UP(KWh/m2)]),"")</f>
        <v>0.86797508062011086</v>
      </c>
      <c r="D21" s="333">
        <f ca="1">IFERROR(VLOOKUP($B21,RD[[#All],[Date]:[IS4Inv2]],D$2,0)/D$1/_xlfn.XLOOKUP(Inv_SY_B12[[#This Row],[Date]],Daily_KPI[Date],Daily_KPI[POA-UP(KWh/m2)]),"")</f>
        <v>0.86945757951056102</v>
      </c>
      <c r="E21" s="333">
        <f ca="1">IFERROR(VLOOKUP($B21,RD[[#All],[Date]:[IS4Inv2]],E$2,0)/E$1/_xlfn.XLOOKUP(Inv_SY_B12[[#This Row],[Date]],Daily_KPI[Date],Daily_KPI[POA-UP(KWh/m2)]),"")</f>
        <v>0.86944345835374592</v>
      </c>
      <c r="F21" s="333">
        <f ca="1">IFERROR(VLOOKUP($B21,RD[[#All],[Date]:[IS4Inv2]],F$2,0)/F$1/_xlfn.XLOOKUP(Inv_SY_B12[[#This Row],[Date]],Daily_KPI[Date],Daily_KPI[POA-UP(KWh/m2)]),"")</f>
        <v>0.88127457108858231</v>
      </c>
      <c r="G21" s="333">
        <f ca="1">IFERROR(VLOOKUP($B21,RD[[#All],[Date]:[IS4Inv2]],G$2,0)/G$1/_xlfn.XLOOKUP(Inv_SY_B12[[#This Row],[Date]],Daily_KPI[Date],Daily_KPI[POA-UP(KWh/m2)]),"")</f>
        <v>0.88886979988610282</v>
      </c>
      <c r="H21" s="333">
        <f ca="1">IFERROR(VLOOKUP($B21,RD[[#All],[Date]:[IS4Inv2]],H$2,0)/H$1/_xlfn.XLOOKUP(Inv_SY_B12[[#This Row],[Date]],Daily_KPI[Date],Daily_KPI[POA-UP(KWh/m2)]),"")</f>
        <v>0.88093079620846015</v>
      </c>
      <c r="I21" s="333">
        <f ca="1">IFERROR(VLOOKUP($B21,RD[[#All],[Date]:[IS4Inv2]],I$2,0)/I$1/_xlfn.XLOOKUP(Inv_SY_B12[[#This Row],[Date]],Daily_KPI[Date],Daily_KPI[POA-UP(KWh/m2)]),"")</f>
        <v>0.88040491738583315</v>
      </c>
    </row>
    <row r="22" spans="2:9">
      <c r="B22" s="224">
        <f t="shared" ca="1" si="2"/>
        <v>45827</v>
      </c>
      <c r="C22" s="333">
        <f ca="1">IFERROR(VLOOKUP($B22,RD[[#All],[Date]:[IS4Inv2]],C$2,0)/C$1/_xlfn.XLOOKUP(Inv_SY_B12[[#This Row],[Date]],Daily_KPI[Date],Daily_KPI[POA-UP(KWh/m2)]),"")</f>
        <v>0.84852796191017865</v>
      </c>
      <c r="D22" s="333">
        <f ca="1">IFERROR(VLOOKUP($B22,RD[[#All],[Date]:[IS4Inv2]],D$2,0)/D$1/_xlfn.XLOOKUP(Inv_SY_B12[[#This Row],[Date]],Daily_KPI[Date],Daily_KPI[POA-UP(KWh/m2)]),"")</f>
        <v>0.85246646482022093</v>
      </c>
      <c r="E22" s="333">
        <f ca="1">IFERROR(VLOOKUP($B22,RD[[#All],[Date]:[IS4Inv2]],E$2,0)/E$1/_xlfn.XLOOKUP(Inv_SY_B12[[#This Row],[Date]],Daily_KPI[Date],Daily_KPI[POA-UP(KWh/m2)]),"")</f>
        <v>0.83449753125522541</v>
      </c>
      <c r="F22" s="333">
        <f ca="1">IFERROR(VLOOKUP($B22,RD[[#All],[Date]:[IS4Inv2]],F$2,0)/F$1/_xlfn.XLOOKUP(Inv_SY_B12[[#This Row],[Date]],Daily_KPI[Date],Daily_KPI[POA-UP(KWh/m2)]),"")</f>
        <v>0.84333534896060747</v>
      </c>
      <c r="G22" s="333">
        <f ca="1">IFERROR(VLOOKUP($B22,RD[[#All],[Date]:[IS4Inv2]],G$2,0)/G$1/_xlfn.XLOOKUP(Inv_SY_B12[[#This Row],[Date]],Daily_KPI[Date],Daily_KPI[POA-UP(KWh/m2)]),"")</f>
        <v>0.8527571899653914</v>
      </c>
      <c r="H22" s="333">
        <f ca="1">IFERROR(VLOOKUP($B22,RD[[#All],[Date]:[IS4Inv2]],H$2,0)/H$1/_xlfn.XLOOKUP(Inv_SY_B12[[#This Row],[Date]],Daily_KPI[Date],Daily_KPI[POA-UP(KWh/m2)]),"")</f>
        <v>0.87566844919786102</v>
      </c>
      <c r="I22" s="333">
        <f ca="1">IFERROR(VLOOKUP($B22,RD[[#All],[Date]:[IS4Inv2]],I$2,0)/I$1/_xlfn.XLOOKUP(Inv_SY_B12[[#This Row],[Date]],Daily_KPI[Date],Daily_KPI[POA-UP(KWh/m2)]),"")</f>
        <v>0.8713841608607461</v>
      </c>
    </row>
    <row r="23" spans="2:9">
      <c r="B23" s="224">
        <f t="shared" ca="1" si="2"/>
        <v>45828</v>
      </c>
      <c r="C23" s="333">
        <f ca="1">IFERROR(VLOOKUP($B23,RD[[#All],[Date]:[IS4Inv2]],C$2,0)/C$1/_xlfn.XLOOKUP(Inv_SY_B12[[#This Row],[Date]],Daily_KPI[Date],Daily_KPI[POA-UP(KWh/m2)]),"")</f>
        <v>0.83548593829739182</v>
      </c>
      <c r="D23" s="333">
        <f ca="1">IFERROR(VLOOKUP($B23,RD[[#All],[Date]:[IS4Inv2]],D$2,0)/D$1/_xlfn.XLOOKUP(Inv_SY_B12[[#This Row],[Date]],Daily_KPI[Date],Daily_KPI[POA-UP(KWh/m2)]),"")</f>
        <v>0.84008690152391341</v>
      </c>
      <c r="E23" s="333">
        <f ca="1">IFERROR(VLOOKUP($B23,RD[[#All],[Date]:[IS4Inv2]],E$2,0)/E$1/_xlfn.XLOOKUP(Inv_SY_B12[[#This Row],[Date]],Daily_KPI[Date],Daily_KPI[POA-UP(KWh/m2)]),"")</f>
        <v>0.82751794435720194</v>
      </c>
      <c r="F23" s="333">
        <f ca="1">IFERROR(VLOOKUP($B23,RD[[#All],[Date]:[IS4Inv2]],F$2,0)/F$1/_xlfn.XLOOKUP(Inv_SY_B12[[#This Row],[Date]],Daily_KPI[Date],Daily_KPI[POA-UP(KWh/m2)]),"")</f>
        <v>0.83345155089569523</v>
      </c>
      <c r="G23" s="333">
        <f ca="1">IFERROR(VLOOKUP($B23,RD[[#All],[Date]:[IS4Inv2]],G$2,0)/G$1/_xlfn.XLOOKUP(Inv_SY_B12[[#This Row],[Date]],Daily_KPI[Date],Daily_KPI[POA-UP(KWh/m2)]),"")</f>
        <v>0.84628733051087701</v>
      </c>
      <c r="H23" s="333">
        <f ca="1">IFERROR(VLOOKUP($B23,RD[[#All],[Date]:[IS4Inv2]],H$2,0)/H$1/_xlfn.XLOOKUP(Inv_SY_B12[[#This Row],[Date]],Daily_KPI[Date],Daily_KPI[POA-UP(KWh/m2)]),"")</f>
        <v>0.87435181823295682</v>
      </c>
      <c r="I23" s="333">
        <f ca="1">IFERROR(VLOOKUP($B23,RD[[#All],[Date]:[IS4Inv2]],I$2,0)/I$1/_xlfn.XLOOKUP(Inv_SY_B12[[#This Row],[Date]],Daily_KPI[Date],Daily_KPI[POA-UP(KWh/m2)]),"")</f>
        <v>0.87141134867832282</v>
      </c>
    </row>
    <row r="24" spans="2:9">
      <c r="B24" s="224">
        <f t="shared" ca="1" si="2"/>
        <v>45829</v>
      </c>
      <c r="C24" s="333">
        <f ca="1">IFERROR(VLOOKUP($B24,RD[[#All],[Date]:[IS4Inv2]],C$2,0)/C$1/_xlfn.XLOOKUP(Inv_SY_B12[[#This Row],[Date]],Daily_KPI[Date],Daily_KPI[POA-UP(KWh/m2)]),"")</f>
        <v>0.84725586268033937</v>
      </c>
      <c r="D24" s="333">
        <f ca="1">IFERROR(VLOOKUP($B24,RD[[#All],[Date]:[IS4Inv2]],D$2,0)/D$1/_xlfn.XLOOKUP(Inv_SY_B12[[#This Row],[Date]],Daily_KPI[Date],Daily_KPI[POA-UP(KWh/m2)]),"")</f>
        <v>0.85269521082531985</v>
      </c>
      <c r="E24" s="333">
        <f ca="1">IFERROR(VLOOKUP($B24,RD[[#All],[Date]:[IS4Inv2]],E$2,0)/E$1/_xlfn.XLOOKUP(Inv_SY_B12[[#This Row],[Date]],Daily_KPI[Date],Daily_KPI[POA-UP(KWh/m2)]),"")</f>
        <v>0.83232137648971083</v>
      </c>
      <c r="F24" s="333">
        <f ca="1">IFERROR(VLOOKUP($B24,RD[[#All],[Date]:[IS4Inv2]],F$2,0)/F$1/_xlfn.XLOOKUP(Inv_SY_B12[[#This Row],[Date]],Daily_KPI[Date],Daily_KPI[POA-UP(KWh/m2)]),"")</f>
        <v>0.84205957602447945</v>
      </c>
      <c r="G24" s="333">
        <f ca="1">IFERROR(VLOOKUP($B24,RD[[#All],[Date]:[IS4Inv2]],G$2,0)/G$1/_xlfn.XLOOKUP(Inv_SY_B12[[#This Row],[Date]],Daily_KPI[Date],Daily_KPI[POA-UP(KWh/m2)]),"")</f>
        <v>0.8524804165896297</v>
      </c>
      <c r="H24" s="333">
        <f ca="1">IFERROR(VLOOKUP($B24,RD[[#All],[Date]:[IS4Inv2]],H$2,0)/H$1/_xlfn.XLOOKUP(Inv_SY_B12[[#This Row],[Date]],Daily_KPI[Date],Daily_KPI[POA-UP(KWh/m2)]),"")</f>
        <v>0.88537795301037403</v>
      </c>
      <c r="I24" s="333">
        <f ca="1">IFERROR(VLOOKUP($B24,RD[[#All],[Date]:[IS4Inv2]],I$2,0)/I$1/_xlfn.XLOOKUP(Inv_SY_B12[[#This Row],[Date]],Daily_KPI[Date],Daily_KPI[POA-UP(KWh/m2)]),"")</f>
        <v>0.88162104514752937</v>
      </c>
    </row>
    <row r="25" spans="2:9">
      <c r="B25" s="224">
        <f t="shared" ca="1" si="2"/>
        <v>45830</v>
      </c>
      <c r="C25" s="333">
        <f ca="1">IFERROR(VLOOKUP($B25,RD[[#All],[Date]:[IS4Inv2]],C$2,0)/C$1/_xlfn.XLOOKUP(Inv_SY_B12[[#This Row],[Date]],Daily_KPI[Date],Daily_KPI[POA-UP(KWh/m2)]),"")</f>
        <v>0.8733997598817248</v>
      </c>
      <c r="D25" s="333">
        <f ca="1">IFERROR(VLOOKUP($B25,RD[[#All],[Date]:[IS4Inv2]],D$2,0)/D$1/_xlfn.XLOOKUP(Inv_SY_B12[[#This Row],[Date]],Daily_KPI[Date],Daily_KPI[POA-UP(KWh/m2)]),"")</f>
        <v>0.87194228192303236</v>
      </c>
      <c r="E25" s="333">
        <f ca="1">IFERROR(VLOOKUP($B25,RD[[#All],[Date]:[IS4Inv2]],E$2,0)/E$1/_xlfn.XLOOKUP(Inv_SY_B12[[#This Row],[Date]],Daily_KPI[Date],Daily_KPI[POA-UP(KWh/m2)]),"")</f>
        <v>0.85593311913482184</v>
      </c>
      <c r="F25" s="333">
        <f ca="1">IFERROR(VLOOKUP($B25,RD[[#All],[Date]:[IS4Inv2]],F$2,0)/F$1/_xlfn.XLOOKUP(Inv_SY_B12[[#This Row],[Date]],Daily_KPI[Date],Daily_KPI[POA-UP(KWh/m2)]),"")</f>
        <v>0.86469826457864973</v>
      </c>
      <c r="G25" s="333">
        <f ca="1">IFERROR(VLOOKUP($B25,RD[[#All],[Date]:[IS4Inv2]],G$2,0)/G$1/_xlfn.XLOOKUP(Inv_SY_B12[[#This Row],[Date]],Daily_KPI[Date],Daily_KPI[POA-UP(KWh/m2)]),"")</f>
        <v>0.86423638078070542</v>
      </c>
      <c r="H25" s="333">
        <f ca="1">IFERROR(VLOOKUP($B25,RD[[#All],[Date]:[IS4Inv2]],H$2,0)/H$1/_xlfn.XLOOKUP(Inv_SY_B12[[#This Row],[Date]],Daily_KPI[Date],Daily_KPI[POA-UP(KWh/m2)]),"")</f>
        <v>0.89393345682530623</v>
      </c>
      <c r="I25" s="333">
        <f ca="1">IFERROR(VLOOKUP($B25,RD[[#All],[Date]:[IS4Inv2]],I$2,0)/I$1/_xlfn.XLOOKUP(Inv_SY_B12[[#This Row],[Date]],Daily_KPI[Date],Daily_KPI[POA-UP(KWh/m2)]),"")</f>
        <v>0.88785533627814173</v>
      </c>
    </row>
    <row r="26" spans="2:9">
      <c r="B26" s="224">
        <f t="shared" ca="1" si="2"/>
        <v>45831</v>
      </c>
      <c r="C26" s="333">
        <f ca="1">IFERROR(VLOOKUP($B26,RD[[#All],[Date]:[IS4Inv2]],C$2,0)/C$1/_xlfn.XLOOKUP(Inv_SY_B12[[#This Row],[Date]],Daily_KPI[Date],Daily_KPI[POA-UP(KWh/m2)]),"")</f>
        <v>0.91868480747568426</v>
      </c>
      <c r="D26" s="333">
        <f ca="1">IFERROR(VLOOKUP($B26,RD[[#All],[Date]:[IS4Inv2]],D$2,0)/D$1/_xlfn.XLOOKUP(Inv_SY_B12[[#This Row],[Date]],Daily_KPI[Date],Daily_KPI[POA-UP(KWh/m2)]),"")</f>
        <v>0.92786926415407256</v>
      </c>
      <c r="E26" s="333">
        <f ca="1">IFERROR(VLOOKUP($B26,RD[[#All],[Date]:[IS4Inv2]],E$2,0)/E$1/_xlfn.XLOOKUP(Inv_SY_B12[[#This Row],[Date]],Daily_KPI[Date],Daily_KPI[POA-UP(KWh/m2)]),"")</f>
        <v>0.9162390133695415</v>
      </c>
      <c r="F26" s="333">
        <f ca="1">IFERROR(VLOOKUP($B26,RD[[#All],[Date]:[IS4Inv2]],F$2,0)/F$1/_xlfn.XLOOKUP(Inv_SY_B12[[#This Row],[Date]],Daily_KPI[Date],Daily_KPI[POA-UP(KWh/m2)]),"")</f>
        <v>0.931545526953657</v>
      </c>
      <c r="G26" s="333">
        <f ca="1">IFERROR(VLOOKUP($B26,RD[[#All],[Date]:[IS4Inv2]],G$2,0)/G$1/_xlfn.XLOOKUP(Inv_SY_B12[[#This Row],[Date]],Daily_KPI[Date],Daily_KPI[POA-UP(KWh/m2)]),"")</f>
        <v>0.92795253599190997</v>
      </c>
      <c r="H26" s="333">
        <f ca="1">IFERROR(VLOOKUP($B26,RD[[#All],[Date]:[IS4Inv2]],H$2,0)/H$1/_xlfn.XLOOKUP(Inv_SY_B12[[#This Row],[Date]],Daily_KPI[Date],Daily_KPI[POA-UP(KWh/m2)]),"")</f>
        <v>0.93470448811071172</v>
      </c>
      <c r="I26" s="333">
        <f ca="1">IFERROR(VLOOKUP($B26,RD[[#All],[Date]:[IS4Inv2]],I$2,0)/I$1/_xlfn.XLOOKUP(Inv_SY_B12[[#This Row],[Date]],Daily_KPI[Date],Daily_KPI[POA-UP(KWh/m2)]),"")</f>
        <v>0.93297051980819845</v>
      </c>
    </row>
    <row r="27" spans="2:9">
      <c r="B27" s="224">
        <f t="shared" ca="1" si="2"/>
        <v>45832</v>
      </c>
      <c r="C27" s="333">
        <f ca="1">IFERROR(VLOOKUP($B27,RD[[#All],[Date]:[IS4Inv2]],C$2,0)/C$1/_xlfn.XLOOKUP(Inv_SY_B12[[#This Row],[Date]],Daily_KPI[Date],Daily_KPI[POA-UP(KWh/m2)]),"")</f>
        <v>0.87411407448946155</v>
      </c>
      <c r="D27" s="333">
        <f ca="1">IFERROR(VLOOKUP($B27,RD[[#All],[Date]:[IS4Inv2]],D$2,0)/D$1/_xlfn.XLOOKUP(Inv_SY_B12[[#This Row],[Date]],Daily_KPI[Date],Daily_KPI[POA-UP(KWh/m2)]),"")</f>
        <v>0.87895965810146204</v>
      </c>
      <c r="E27" s="333">
        <f ca="1">IFERROR(VLOOKUP($B27,RD[[#All],[Date]:[IS4Inv2]],E$2,0)/E$1/_xlfn.XLOOKUP(Inv_SY_B12[[#This Row],[Date]],Daily_KPI[Date],Daily_KPI[POA-UP(KWh/m2)]),"")</f>
        <v>0.86026092481740413</v>
      </c>
      <c r="F27" s="333">
        <f ca="1">IFERROR(VLOOKUP($B27,RD[[#All],[Date]:[IS4Inv2]],F$2,0)/F$1/_xlfn.XLOOKUP(Inv_SY_B12[[#This Row],[Date]],Daily_KPI[Date],Daily_KPI[POA-UP(KWh/m2)]),"")</f>
        <v>0.8703881736353114</v>
      </c>
      <c r="G27" s="333">
        <f ca="1">IFERROR(VLOOKUP($B27,RD[[#All],[Date]:[IS4Inv2]],G$2,0)/G$1/_xlfn.XLOOKUP(Inv_SY_B12[[#This Row],[Date]],Daily_KPI[Date],Daily_KPI[POA-UP(KWh/m2)]),"")</f>
        <v>0.86999946389351113</v>
      </c>
      <c r="H27" s="333">
        <f ca="1">IFERROR(VLOOKUP($B27,RD[[#All],[Date]:[IS4Inv2]],H$2,0)/H$1/_xlfn.XLOOKUP(Inv_SY_B12[[#This Row],[Date]],Daily_KPI[Date],Daily_KPI[POA-UP(KWh/m2)]),"")</f>
        <v>0.89568397564129143</v>
      </c>
      <c r="I27" s="333">
        <f ca="1">IFERROR(VLOOKUP($B27,RD[[#All],[Date]:[IS4Inv2]],I$2,0)/I$1/_xlfn.XLOOKUP(Inv_SY_B12[[#This Row],[Date]],Daily_KPI[Date],Daily_KPI[POA-UP(KWh/m2)]),"")</f>
        <v>0.88747438493346187</v>
      </c>
    </row>
    <row r="28" spans="2:9">
      <c r="B28" s="224">
        <f t="shared" ca="1" si="2"/>
        <v>45833</v>
      </c>
      <c r="C28" s="333">
        <f ca="1">IFERROR(VLOOKUP($B28,RD[[#All],[Date]:[IS4Inv2]],C$2,0)/C$1/_xlfn.XLOOKUP(Inv_SY_B12[[#This Row],[Date]],Daily_KPI[Date],Daily_KPI[POA-UP(KWh/m2)]),"")</f>
        <v>0.96934225924626105</v>
      </c>
      <c r="D28" s="333">
        <f ca="1">IFERROR(VLOOKUP($B28,RD[[#All],[Date]:[IS4Inv2]],D$2,0)/D$1/_xlfn.XLOOKUP(Inv_SY_B12[[#This Row],[Date]],Daily_KPI[Date],Daily_KPI[POA-UP(KWh/m2)]),"")</f>
        <v>0.97919750153464447</v>
      </c>
      <c r="E28" s="333">
        <f ca="1">IFERROR(VLOOKUP($B28,RD[[#All],[Date]:[IS4Inv2]],E$2,0)/E$1/_xlfn.XLOOKUP(Inv_SY_B12[[#This Row],[Date]],Daily_KPI[Date],Daily_KPI[POA-UP(KWh/m2)]),"")</f>
        <v>0.97238857668907086</v>
      </c>
      <c r="F28" s="333">
        <f ca="1">IFERROR(VLOOKUP($B28,RD[[#All],[Date]:[IS4Inv2]],F$2,0)/F$1/_xlfn.XLOOKUP(Inv_SY_B12[[#This Row],[Date]],Daily_KPI[Date],Daily_KPI[POA-UP(KWh/m2)]),"")</f>
        <v>0.98950886268088867</v>
      </c>
      <c r="G28" s="333">
        <f ca="1">IFERROR(VLOOKUP($B28,RD[[#All],[Date]:[IS4Inv2]],G$2,0)/G$1/_xlfn.XLOOKUP(Inv_SY_B12[[#This Row],[Date]],Daily_KPI[Date],Daily_KPI[POA-UP(KWh/m2)]),"")</f>
        <v>0.98539244489867073</v>
      </c>
      <c r="H28" s="333">
        <f ca="1">IFERROR(VLOOKUP($B28,RD[[#All],[Date]:[IS4Inv2]],H$2,0)/H$1/_xlfn.XLOOKUP(Inv_SY_B12[[#This Row],[Date]],Daily_KPI[Date],Daily_KPI[POA-UP(KWh/m2)]),"")</f>
        <v>0.98594397815754875</v>
      </c>
      <c r="I28" s="333">
        <f ca="1">IFERROR(VLOOKUP($B28,RD[[#All],[Date]:[IS4Inv2]],I$2,0)/I$1/_xlfn.XLOOKUP(Inv_SY_B12[[#This Row],[Date]],Daily_KPI[Date],Daily_KPI[POA-UP(KWh/m2)]),"")</f>
        <v>0.9823274457590363</v>
      </c>
    </row>
    <row r="29" spans="2:9">
      <c r="B29" s="224">
        <f t="shared" ca="1" si="2"/>
        <v>45834</v>
      </c>
      <c r="C29" s="333">
        <f ca="1">IFERROR(VLOOKUP($B29,RD[[#All],[Date]:[IS4Inv2]],C$2,0)/C$1/_xlfn.XLOOKUP(Inv_SY_B12[[#This Row],[Date]],Daily_KPI[Date],Daily_KPI[POA-UP(KWh/m2)]),"")</f>
        <v>0.87152484619250803</v>
      </c>
      <c r="D29" s="333">
        <f ca="1">IFERROR(VLOOKUP($B29,RD[[#All],[Date]:[IS4Inv2]],D$2,0)/D$1/_xlfn.XLOOKUP(Inv_SY_B12[[#This Row],[Date]],Daily_KPI[Date],Daily_KPI[POA-UP(KWh/m2)]),"")</f>
        <v>0.88768931480541702</v>
      </c>
      <c r="E29" s="333">
        <f ca="1">IFERROR(VLOOKUP($B29,RD[[#All],[Date]:[IS4Inv2]],E$2,0)/E$1/_xlfn.XLOOKUP(Inv_SY_B12[[#This Row],[Date]],Daily_KPI[Date],Daily_KPI[POA-UP(KWh/m2)]),"")</f>
        <v>0.87054838234918286</v>
      </c>
      <c r="F29" s="333">
        <f ca="1">IFERROR(VLOOKUP($B29,RD[[#All],[Date]:[IS4Inv2]],F$2,0)/F$1/_xlfn.XLOOKUP(Inv_SY_B12[[#This Row],[Date]],Daily_KPI[Date],Daily_KPI[POA-UP(KWh/m2)]),"")</f>
        <v>0.89228482815428645</v>
      </c>
      <c r="G29" s="333">
        <f ca="1">IFERROR(VLOOKUP($B29,RD[[#All],[Date]:[IS4Inv2]],G$2,0)/G$1/_xlfn.XLOOKUP(Inv_SY_B12[[#This Row],[Date]],Daily_KPI[Date],Daily_KPI[POA-UP(KWh/m2)]),"")</f>
        <v>0.27148556075946728</v>
      </c>
      <c r="H29" s="333">
        <f ca="1">IFERROR(VLOOKUP($B29,RD[[#All],[Date]:[IS4Inv2]],H$2,0)/H$1/_xlfn.XLOOKUP(Inv_SY_B12[[#This Row],[Date]],Daily_KPI[Date],Daily_KPI[POA-UP(KWh/m2)]),"")</f>
        <v>0.50857512681172379</v>
      </c>
      <c r="I29" s="333">
        <f ca="1">IFERROR(VLOOKUP($B29,RD[[#All],[Date]:[IS4Inv2]],I$2,0)/I$1/_xlfn.XLOOKUP(Inv_SY_B12[[#This Row],[Date]],Daily_KPI[Date],Daily_KPI[POA-UP(KWh/m2)]),"")</f>
        <v>0.90001234575062627</v>
      </c>
    </row>
    <row r="30" spans="2:9">
      <c r="B30" s="224">
        <f t="shared" ca="1" si="2"/>
        <v>45835</v>
      </c>
      <c r="C30" s="333">
        <f ca="1">IFERROR(VLOOKUP($B30,RD[[#All],[Date]:[IS4Inv2]],C$2,0)/C$1/_xlfn.XLOOKUP(Inv_SY_B12[[#This Row],[Date]],Daily_KPI[Date],Daily_KPI[POA-UP(KWh/m2)]),"")</f>
        <v>0.89952635429808858</v>
      </c>
      <c r="D30" s="333">
        <f ca="1">IFERROR(VLOOKUP($B30,RD[[#All],[Date]:[IS4Inv2]],D$2,0)/D$1/_xlfn.XLOOKUP(Inv_SY_B12[[#This Row],[Date]],Daily_KPI[Date],Daily_KPI[POA-UP(KWh/m2)]),"")</f>
        <v>0.90665852948760639</v>
      </c>
      <c r="E30" s="333">
        <f ca="1">IFERROR(VLOOKUP($B30,RD[[#All],[Date]:[IS4Inv2]],E$2,0)/E$1/_xlfn.XLOOKUP(Inv_SY_B12[[#This Row],[Date]],Daily_KPI[Date],Daily_KPI[POA-UP(KWh/m2)]),"")</f>
        <v>0.88328853796855578</v>
      </c>
      <c r="F30" s="333">
        <f ca="1">IFERROR(VLOOKUP($B30,RD[[#All],[Date]:[IS4Inv2]],F$2,0)/F$1/_xlfn.XLOOKUP(Inv_SY_B12[[#This Row],[Date]],Daily_KPI[Date],Daily_KPI[POA-UP(KWh/m2)]),"")</f>
        <v>0.90927324840740653</v>
      </c>
      <c r="G30" s="333">
        <f ca="1">IFERROR(VLOOKUP($B30,RD[[#All],[Date]:[IS4Inv2]],G$2,0)/G$1/_xlfn.XLOOKUP(Inv_SY_B12[[#This Row],[Date]],Daily_KPI[Date],Daily_KPI[POA-UP(KWh/m2)]),"")</f>
        <v>0.88340016168047442</v>
      </c>
      <c r="H30" s="333">
        <f ca="1">IFERROR(VLOOKUP($B30,RD[[#All],[Date]:[IS4Inv2]],H$2,0)/H$1/_xlfn.XLOOKUP(Inv_SY_B12[[#This Row],[Date]],Daily_KPI[Date],Daily_KPI[POA-UP(KWh/m2)]),"")</f>
        <v>0.9073004004739692</v>
      </c>
      <c r="I30" s="333">
        <f ca="1">IFERROR(VLOOKUP($B30,RD[[#All],[Date]:[IS4Inv2]],I$2,0)/I$1/_xlfn.XLOOKUP(Inv_SY_B12[[#This Row],[Date]],Daily_KPI[Date],Daily_KPI[POA-UP(KWh/m2)]),"")</f>
        <v>0.90582862113962592</v>
      </c>
    </row>
    <row r="31" spans="2:9">
      <c r="B31" s="224">
        <f t="shared" ca="1" si="2"/>
        <v>45836</v>
      </c>
      <c r="C31" s="333">
        <f ca="1">IFERROR(VLOOKUP($B31,RD[[#All],[Date]:[IS4Inv2]],C$2,0)/C$1/_xlfn.XLOOKUP(Inv_SY_B12[[#This Row],[Date]],Daily_KPI[Date],Daily_KPI[POA-UP(KWh/m2)]),"")</f>
        <v>0.8771528202056853</v>
      </c>
      <c r="D31" s="333">
        <f ca="1">IFERROR(VLOOKUP($B31,RD[[#All],[Date]:[IS4Inv2]],D$2,0)/D$1/_xlfn.XLOOKUP(Inv_SY_B12[[#This Row],[Date]],Daily_KPI[Date],Daily_KPI[POA-UP(KWh/m2)]),"")</f>
        <v>0.88180459347729412</v>
      </c>
      <c r="E31" s="333">
        <f ca="1">IFERROR(VLOOKUP($B31,RD[[#All],[Date]:[IS4Inv2]],E$2,0)/E$1/_xlfn.XLOOKUP(Inv_SY_B12[[#This Row],[Date]],Daily_KPI[Date],Daily_KPI[POA-UP(KWh/m2)]),"")</f>
        <v>0.86254395452778687</v>
      </c>
      <c r="F31" s="333">
        <f ca="1">IFERROR(VLOOKUP($B31,RD[[#All],[Date]:[IS4Inv2]],F$2,0)/F$1/_xlfn.XLOOKUP(Inv_SY_B12[[#This Row],[Date]],Daily_KPI[Date],Daily_KPI[POA-UP(KWh/m2)]),"")</f>
        <v>0.8763707667161138</v>
      </c>
      <c r="G31" s="333">
        <f ca="1">IFERROR(VLOOKUP($B31,RD[[#All],[Date]:[IS4Inv2]],G$2,0)/G$1/_xlfn.XLOOKUP(Inv_SY_B12[[#This Row],[Date]],Daily_KPI[Date],Daily_KPI[POA-UP(KWh/m2)]),"")</f>
        <v>0.87999485366774333</v>
      </c>
      <c r="H31" s="333">
        <f ca="1">IFERROR(VLOOKUP($B31,RD[[#All],[Date]:[IS4Inv2]],H$2,0)/H$1/_xlfn.XLOOKUP(Inv_SY_B12[[#This Row],[Date]],Daily_KPI[Date],Daily_KPI[POA-UP(KWh/m2)]),"")</f>
        <v>0.90716177832521749</v>
      </c>
      <c r="I31" s="333">
        <f ca="1">IFERROR(VLOOKUP($B31,RD[[#All],[Date]:[IS4Inv2]],I$2,0)/I$1/_xlfn.XLOOKUP(Inv_SY_B12[[#This Row],[Date]],Daily_KPI[Date],Daily_KPI[POA-UP(KWh/m2)]),"")</f>
        <v>0.90292891227389249</v>
      </c>
    </row>
    <row r="32" spans="2:9">
      <c r="B32" s="224">
        <f t="shared" ca="1" si="2"/>
        <v>45837</v>
      </c>
      <c r="C32" s="333">
        <f ca="1">IFERROR(VLOOKUP($B32,RD[[#All],[Date]:[IS4Inv2]],C$2,0)/C$1/_xlfn.XLOOKUP(Inv_SY_B12[[#This Row],[Date]],Daily_KPI[Date],Daily_KPI[POA-UP(KWh/m2)]),"")</f>
        <v>0.52038578529337198</v>
      </c>
      <c r="D32" s="333">
        <f ca="1">IFERROR(VLOOKUP($B32,RD[[#All],[Date]:[IS4Inv2]],D$2,0)/D$1/_xlfn.XLOOKUP(Inv_SY_B12[[#This Row],[Date]],Daily_KPI[Date],Daily_KPI[POA-UP(KWh/m2)]),"")</f>
        <v>0.52338848235877167</v>
      </c>
      <c r="E32" s="333">
        <f ca="1">IFERROR(VLOOKUP($B32,RD[[#All],[Date]:[IS4Inv2]],E$2,0)/E$1/_xlfn.XLOOKUP(Inv_SY_B12[[#This Row],[Date]],Daily_KPI[Date],Daily_KPI[POA-UP(KWh/m2)]),"")</f>
        <v>0.49103125338678177</v>
      </c>
      <c r="F32" s="333">
        <f ca="1">IFERROR(VLOOKUP($B32,RD[[#All],[Date]:[IS4Inv2]],F$2,0)/F$1/_xlfn.XLOOKUP(Inv_SY_B12[[#This Row],[Date]],Daily_KPI[Date],Daily_KPI[POA-UP(KWh/m2)]),"")</f>
        <v>0.49669036199677669</v>
      </c>
      <c r="G32" s="333">
        <f ca="1">IFERROR(VLOOKUP($B32,RD[[#All],[Date]:[IS4Inv2]],G$2,0)/G$1/_xlfn.XLOOKUP(Inv_SY_B12[[#This Row],[Date]],Daily_KPI[Date],Daily_KPI[POA-UP(KWh/m2)]),"")</f>
        <v>0.50257970415336262</v>
      </c>
      <c r="H32" s="333">
        <f ca="1">IFERROR(VLOOKUP($B32,RD[[#All],[Date]:[IS4Inv2]],H$2,0)/H$1/_xlfn.XLOOKUP(Inv_SY_B12[[#This Row],[Date]],Daily_KPI[Date],Daily_KPI[POA-UP(KWh/m2)]),"")</f>
        <v>0.5474417823555755</v>
      </c>
      <c r="I32" s="333">
        <f ca="1">IFERROR(VLOOKUP($B32,RD[[#All],[Date]:[IS4Inv2]],I$2,0)/I$1/_xlfn.XLOOKUP(Inv_SY_B12[[#This Row],[Date]],Daily_KPI[Date],Daily_KPI[POA-UP(KWh/m2)]),"")</f>
        <v>0.53056426332288409</v>
      </c>
    </row>
    <row r="33" spans="2:9">
      <c r="B33" s="224">
        <f t="shared" ca="1" si="2"/>
        <v>45838</v>
      </c>
      <c r="C33" s="333">
        <f ca="1">IFERROR(VLOOKUP($B33,RD[[#All],[Date]:[IS4Inv2]],C$2,0)/C$1/_xlfn.XLOOKUP(Inv_SY_B12[[#This Row],[Date]],Daily_KPI[Date],Daily_KPI[POA-UP(KWh/m2)]),"")</f>
        <v>0.95561332893237039</v>
      </c>
      <c r="D33" s="333">
        <f ca="1">IFERROR(VLOOKUP($B33,RD[[#All],[Date]:[IS4Inv2]],D$2,0)/D$1/_xlfn.XLOOKUP(Inv_SY_B12[[#This Row],[Date]],Daily_KPI[Date],Daily_KPI[POA-UP(KWh/m2)]),"")</f>
        <v>0.9627085724133192</v>
      </c>
      <c r="E33" s="333">
        <f ca="1">IFERROR(VLOOKUP($B33,RD[[#All],[Date]:[IS4Inv2]],E$2,0)/E$1/_xlfn.XLOOKUP(Inv_SY_B12[[#This Row],[Date]],Daily_KPI[Date],Daily_KPI[POA-UP(KWh/m2)]),"")</f>
        <v>0.95736135300476022</v>
      </c>
      <c r="F33" s="333">
        <f ca="1">IFERROR(VLOOKUP($B33,RD[[#All],[Date]:[IS4Inv2]],F$2,0)/F$1/_xlfn.XLOOKUP(Inv_SY_B12[[#This Row],[Date]],Daily_KPI[Date],Daily_KPI[POA-UP(KWh/m2)]),"")</f>
        <v>0.9720867974609857</v>
      </c>
      <c r="G33" s="333">
        <f ca="1">IFERROR(VLOOKUP($B33,RD[[#All],[Date]:[IS4Inv2]],G$2,0)/G$1/_xlfn.XLOOKUP(Inv_SY_B12[[#This Row],[Date]],Daily_KPI[Date],Daily_KPI[POA-UP(KWh/m2)]),"")</f>
        <v>0.96654210592348822</v>
      </c>
      <c r="H33" s="333">
        <f ca="1">IFERROR(VLOOKUP($B33,RD[[#All],[Date]:[IS4Inv2]],H$2,0)/H$1/_xlfn.XLOOKUP(Inv_SY_B12[[#This Row],[Date]],Daily_KPI[Date],Daily_KPI[POA-UP(KWh/m2)]),"")</f>
        <v>0.96892769920536559</v>
      </c>
      <c r="I33" s="333">
        <f ca="1">IFERROR(VLOOKUP($B33,RD[[#All],[Date]:[IS4Inv2]],I$2,0)/I$1/_xlfn.XLOOKUP(Inv_SY_B12[[#This Row],[Date]],Daily_KPI[Date],Daily_KPI[POA-UP(KWh/m2)]),"")</f>
        <v>0.95695578479259313</v>
      </c>
    </row>
    <row r="34" spans="2:9">
      <c r="B34" s="224">
        <f t="shared" ca="1" si="2"/>
        <v>45839</v>
      </c>
      <c r="C34" s="333">
        <f ca="1">IFERROR(VLOOKUP($B34,RD[[#All],[Date]:[IS4Inv2]],C$2,0)/C$1/_xlfn.XLOOKUP(Inv_SY_B12[[#This Row],[Date]],Daily_KPI[Date],Daily_KPI[POA-UP(KWh/m2)]),"")</f>
        <v>0.77851839483276808</v>
      </c>
      <c r="D34" s="333">
        <f ca="1">IFERROR(VLOOKUP($B34,RD[[#All],[Date]:[IS4Inv2]],D$2,0)/D$1/_xlfn.XLOOKUP(Inv_SY_B12[[#This Row],[Date]],Daily_KPI[Date],Daily_KPI[POA-UP(KWh/m2)]),"")</f>
        <v>0.78900291234790187</v>
      </c>
      <c r="E34" s="333">
        <f ca="1">IFERROR(VLOOKUP($B34,RD[[#All],[Date]:[IS4Inv2]],E$2,0)/E$1/_xlfn.XLOOKUP(Inv_SY_B12[[#This Row],[Date]],Daily_KPI[Date],Daily_KPI[POA-UP(KWh/m2)]),"")</f>
        <v>0.77506159832160249</v>
      </c>
      <c r="F34" s="333">
        <f ca="1">IFERROR(VLOOKUP($B34,RD[[#All],[Date]:[IS4Inv2]],F$2,0)/F$1/_xlfn.XLOOKUP(Inv_SY_B12[[#This Row],[Date]],Daily_KPI[Date],Daily_KPI[POA-UP(KWh/m2)]),"")</f>
        <v>0.78954844515865918</v>
      </c>
      <c r="G34" s="333">
        <f ca="1">IFERROR(VLOOKUP($B34,RD[[#All],[Date]:[IS4Inv2]],G$2,0)/G$1/_xlfn.XLOOKUP(Inv_SY_B12[[#This Row],[Date]],Daily_KPI[Date],Daily_KPI[POA-UP(KWh/m2)]),"")</f>
        <v>0.80089577171058568</v>
      </c>
      <c r="H34" s="333">
        <f ca="1">IFERROR(VLOOKUP($B34,RD[[#All],[Date]:[IS4Inv2]],H$2,0)/H$1/_xlfn.XLOOKUP(Inv_SY_B12[[#This Row],[Date]],Daily_KPI[Date],Daily_KPI[POA-UP(KWh/m2)]),"")</f>
        <v>0.81588589844121484</v>
      </c>
      <c r="I34" s="333">
        <f ca="1">IFERROR(VLOOKUP($B34,RD[[#All],[Date]:[IS4Inv2]],I$2,0)/I$1/_xlfn.XLOOKUP(Inv_SY_B12[[#This Row],[Date]],Daily_KPI[Date],Daily_KPI[POA-UP(KWh/m2)]),"")</f>
        <v>0.74319074526326367</v>
      </c>
    </row>
    <row r="35" spans="2:9">
      <c r="B35" s="224">
        <f t="shared" ca="1" si="2"/>
        <v>45840</v>
      </c>
      <c r="C35" s="333">
        <f ca="1">IFERROR(VLOOKUP($B35,RD[[#All],[Date]:[IS4Inv2]],C$2,0)/C$1/_xlfn.XLOOKUP(Inv_SY_B12[[#This Row],[Date]],Daily_KPI[Date],Daily_KPI[POA-UP(KWh/m2)]),"")</f>
        <v>0.88177773476657129</v>
      </c>
      <c r="D35" s="333">
        <f ca="1">IFERROR(VLOOKUP($B35,RD[[#All],[Date]:[IS4Inv2]],D$2,0)/D$1/_xlfn.XLOOKUP(Inv_SY_B12[[#This Row],[Date]],Daily_KPI[Date],Daily_KPI[POA-UP(KWh/m2)]),"")</f>
        <v>0.88657402452376999</v>
      </c>
      <c r="E35" s="333">
        <f ca="1">IFERROR(VLOOKUP($B35,RD[[#All],[Date]:[IS4Inv2]],E$2,0)/E$1/_xlfn.XLOOKUP(Inv_SY_B12[[#This Row],[Date]],Daily_KPI[Date],Daily_KPI[POA-UP(KWh/m2)]),"")</f>
        <v>0.84672545178606717</v>
      </c>
      <c r="F35" s="333">
        <f ca="1">IFERROR(VLOOKUP($B35,RD[[#All],[Date]:[IS4Inv2]],F$2,0)/F$1/_xlfn.XLOOKUP(Inv_SY_B12[[#This Row],[Date]],Daily_KPI[Date],Daily_KPI[POA-UP(KWh/m2)]),"")</f>
        <v>0.85915543518069581</v>
      </c>
      <c r="G35" s="333">
        <f ca="1">IFERROR(VLOOKUP($B35,RD[[#All],[Date]:[IS4Inv2]],G$2,0)/G$1/_xlfn.XLOOKUP(Inv_SY_B12[[#This Row],[Date]],Daily_KPI[Date],Daily_KPI[POA-UP(KWh/m2)]),"")</f>
        <v>0.88489192333956623</v>
      </c>
      <c r="H35" s="333">
        <f ca="1">IFERROR(VLOOKUP($B35,RD[[#All],[Date]:[IS4Inv2]],H$2,0)/H$1/_xlfn.XLOOKUP(Inv_SY_B12[[#This Row],[Date]],Daily_KPI[Date],Daily_KPI[POA-UP(KWh/m2)]),"")</f>
        <v>0.89371526332181395</v>
      </c>
      <c r="I35" s="333">
        <f ca="1">IFERROR(VLOOKUP($B35,RD[[#All],[Date]:[IS4Inv2]],I$2,0)/I$1/_xlfn.XLOOKUP(Inv_SY_B12[[#This Row],[Date]],Daily_KPI[Date],Daily_KPI[POA-UP(KWh/m2)]),"")</f>
        <v>0.88202934443265968</v>
      </c>
    </row>
    <row r="36" spans="2:9">
      <c r="B36" s="224">
        <f t="shared" ca="1" si="2"/>
        <v>45841</v>
      </c>
      <c r="C36" s="333">
        <f ca="1">IFERROR(VLOOKUP($B36,RD[[#All],[Date]:[IS4Inv2]],C$2,0)/C$1/_xlfn.XLOOKUP(Inv_SY_B12[[#This Row],[Date]],Daily_KPI[Date],Daily_KPI[POA-UP(KWh/m2)]),"")</f>
        <v>0.94018121889584994</v>
      </c>
      <c r="D36" s="333">
        <f ca="1">IFERROR(VLOOKUP($B36,RD[[#All],[Date]:[IS4Inv2]],D$2,0)/D$1/_xlfn.XLOOKUP(Inv_SY_B12[[#This Row],[Date]],Daily_KPI[Date],Daily_KPI[POA-UP(KWh/m2)]),"")</f>
        <v>0.9428129559374997</v>
      </c>
      <c r="E36" s="333">
        <f ca="1">IFERROR(VLOOKUP($B36,RD[[#All],[Date]:[IS4Inv2]],E$2,0)/E$1/_xlfn.XLOOKUP(Inv_SY_B12[[#This Row],[Date]],Daily_KPI[Date],Daily_KPI[POA-UP(KWh/m2)]),"")</f>
        <v>0.92975288849195914</v>
      </c>
      <c r="F36" s="333">
        <f ca="1">IFERROR(VLOOKUP($B36,RD[[#All],[Date]:[IS4Inv2]],F$2,0)/F$1/_xlfn.XLOOKUP(Inv_SY_B12[[#This Row],[Date]],Daily_KPI[Date],Daily_KPI[POA-UP(KWh/m2)]),"")</f>
        <v>0.94028171402677363</v>
      </c>
      <c r="G36" s="333">
        <f ca="1">IFERROR(VLOOKUP($B36,RD[[#All],[Date]:[IS4Inv2]],G$2,0)/G$1/_xlfn.XLOOKUP(Inv_SY_B12[[#This Row],[Date]],Daily_KPI[Date],Daily_KPI[POA-UP(KWh/m2)]),"")</f>
        <v>0.93756902252127561</v>
      </c>
      <c r="H36" s="333">
        <f ca="1">IFERROR(VLOOKUP($B36,RD[[#All],[Date]:[IS4Inv2]],H$2,0)/H$1/_xlfn.XLOOKUP(Inv_SY_B12[[#This Row],[Date]],Daily_KPI[Date],Daily_KPI[POA-UP(KWh/m2)]),"")</f>
        <v>0.95123472586526781</v>
      </c>
      <c r="I36" s="333">
        <f ca="1">IFERROR(VLOOKUP($B36,RD[[#All],[Date]:[IS4Inv2]],I$2,0)/I$1/_xlfn.XLOOKUP(Inv_SY_B12[[#This Row],[Date]],Daily_KPI[Date],Daily_KPI[POA-UP(KWh/m2)]),"")</f>
        <v>0.93451614580001274</v>
      </c>
    </row>
    <row r="37" spans="2:9">
      <c r="B37" s="224">
        <f t="shared" ca="1" si="2"/>
        <v>45842</v>
      </c>
      <c r="C37" s="333">
        <f ca="1">IFERROR(VLOOKUP($B37,RD[[#All],[Date]:[IS4Inv2]],C$2,0)/C$1/_xlfn.XLOOKUP(Inv_SY_B12[[#This Row],[Date]],Daily_KPI[Date],Daily_KPI[POA-UP(KWh/m2)]),"")</f>
        <v>0.93689846758574069</v>
      </c>
      <c r="D37" s="333">
        <f ca="1">IFERROR(VLOOKUP($B37,RD[[#All],[Date]:[IS4Inv2]],D$2,0)/D$1/_xlfn.XLOOKUP(Inv_SY_B12[[#This Row],[Date]],Daily_KPI[Date],Daily_KPI[POA-UP(KWh/m2)]),"")</f>
        <v>0.94627694945843122</v>
      </c>
      <c r="E37" s="333">
        <f ca="1">IFERROR(VLOOKUP($B37,RD[[#All],[Date]:[IS4Inv2]],E$2,0)/E$1/_xlfn.XLOOKUP(Inv_SY_B12[[#This Row],[Date]],Daily_KPI[Date],Daily_KPI[POA-UP(KWh/m2)]),"")</f>
        <v>0.9379257938127521</v>
      </c>
      <c r="F37" s="333">
        <f ca="1">IFERROR(VLOOKUP($B37,RD[[#All],[Date]:[IS4Inv2]],F$2,0)/F$1/_xlfn.XLOOKUP(Inv_SY_B12[[#This Row],[Date]],Daily_KPI[Date],Daily_KPI[POA-UP(KWh/m2)]),"")</f>
        <v>0.95379585246215826</v>
      </c>
      <c r="G37" s="333">
        <f ca="1">IFERROR(VLOOKUP($B37,RD[[#All],[Date]:[IS4Inv2]],G$2,0)/G$1/_xlfn.XLOOKUP(Inv_SY_B12[[#This Row],[Date]],Daily_KPI[Date],Daily_KPI[POA-UP(KWh/m2)]),"")</f>
        <v>0.95689345877543741</v>
      </c>
      <c r="H37" s="333">
        <f ca="1">IFERROR(VLOOKUP($B37,RD[[#All],[Date]:[IS4Inv2]],H$2,0)/H$1/_xlfn.XLOOKUP(Inv_SY_B12[[#This Row],[Date]],Daily_KPI[Date],Daily_KPI[POA-UP(KWh/m2)]),"")</f>
        <v>0.94865903596340051</v>
      </c>
      <c r="I37" s="333">
        <f ca="1">IFERROR(VLOOKUP($B37,RD[[#All],[Date]:[IS4Inv2]],I$2,0)/I$1/_xlfn.XLOOKUP(Inv_SY_B12[[#This Row],[Date]],Daily_KPI[Date],Daily_KPI[POA-UP(KWh/m2)]),"")</f>
        <v>0.93786509965413134</v>
      </c>
    </row>
    <row r="38" spans="2:9">
      <c r="B38" s="224">
        <f t="shared" ca="1" si="2"/>
        <v>45843</v>
      </c>
      <c r="C38" s="333">
        <f ca="1">IFERROR(VLOOKUP($B38,RD[[#All],[Date]:[IS4Inv2]],C$2,0)/C$1/_xlfn.XLOOKUP(Inv_SY_B12[[#This Row],[Date]],Daily_KPI[Date],Daily_KPI[POA-UP(KWh/m2)]),"")</f>
        <v>0.93344618288042791</v>
      </c>
      <c r="D38" s="333">
        <f ca="1">IFERROR(VLOOKUP($B38,RD[[#All],[Date]:[IS4Inv2]],D$2,0)/D$1/_xlfn.XLOOKUP(Inv_SY_B12[[#This Row],[Date]],Daily_KPI[Date],Daily_KPI[POA-UP(KWh/m2)]),"")</f>
        <v>0.93967696105245624</v>
      </c>
      <c r="E38" s="333">
        <f ca="1">IFERROR(VLOOKUP($B38,RD[[#All],[Date]:[IS4Inv2]],E$2,0)/E$1/_xlfn.XLOOKUP(Inv_SY_B12[[#This Row],[Date]],Daily_KPI[Date],Daily_KPI[POA-UP(KWh/m2)]),"")</f>
        <v>0.93435520125905058</v>
      </c>
      <c r="F38" s="333">
        <f ca="1">IFERROR(VLOOKUP($B38,RD[[#All],[Date]:[IS4Inv2]],F$2,0)/F$1/_xlfn.XLOOKUP(Inv_SY_B12[[#This Row],[Date]],Daily_KPI[Date],Daily_KPI[POA-UP(KWh/m2)]),"")</f>
        <v>0.94531729353512517</v>
      </c>
      <c r="G38" s="333">
        <f ca="1">IFERROR(VLOOKUP($B38,RD[[#All],[Date]:[IS4Inv2]],G$2,0)/G$1/_xlfn.XLOOKUP(Inv_SY_B12[[#This Row],[Date]],Daily_KPI[Date],Daily_KPI[POA-UP(KWh/m2)]),"")</f>
        <v>0.9382000204689217</v>
      </c>
      <c r="H38" s="333">
        <f ca="1">IFERROR(VLOOKUP($B38,RD[[#All],[Date]:[IS4Inv2]],H$2,0)/H$1/_xlfn.XLOOKUP(Inv_SY_B12[[#This Row],[Date]],Daily_KPI[Date],Daily_KPI[POA-UP(KWh/m2)]),"")</f>
        <v>0.93904415280803355</v>
      </c>
      <c r="I38" s="333">
        <f ca="1">IFERROR(VLOOKUP($B38,RD[[#All],[Date]:[IS4Inv2]],I$2,0)/I$1/_xlfn.XLOOKUP(Inv_SY_B12[[#This Row],[Date]],Daily_KPI[Date],Daily_KPI[POA-UP(KWh/m2)]),"")</f>
        <v>0.92248684979544127</v>
      </c>
    </row>
    <row r="39" spans="2:9">
      <c r="B39" s="224">
        <f t="shared" ca="1" si="2"/>
        <v>45844</v>
      </c>
      <c r="C39" s="333">
        <f ca="1">IFERROR(VLOOKUP($B39,RD[[#All],[Date]:[IS4Inv2]],C$2,0)/C$1/_xlfn.XLOOKUP(Inv_SY_B12[[#This Row],[Date]],Daily_KPI[Date],Daily_KPI[POA-UP(KWh/m2)]),"")</f>
        <v>0.95491805390871976</v>
      </c>
      <c r="D39" s="333">
        <f ca="1">IFERROR(VLOOKUP($B39,RD[[#All],[Date]:[IS4Inv2]],D$2,0)/D$1/_xlfn.XLOOKUP(Inv_SY_B12[[#This Row],[Date]],Daily_KPI[Date],Daily_KPI[POA-UP(KWh/m2)]),"")</f>
        <v>0.96199792216278313</v>
      </c>
      <c r="E39" s="333">
        <f ca="1">IFERROR(VLOOKUP($B39,RD[[#All],[Date]:[IS4Inv2]],E$2,0)/E$1/_xlfn.XLOOKUP(Inv_SY_B12[[#This Row],[Date]],Daily_KPI[Date],Daily_KPI[POA-UP(KWh/m2)]),"")</f>
        <v>0.95842263418192697</v>
      </c>
      <c r="F39" s="333">
        <f ca="1">IFERROR(VLOOKUP($B39,RD[[#All],[Date]:[IS4Inv2]],F$2,0)/F$1/_xlfn.XLOOKUP(Inv_SY_B12[[#This Row],[Date]],Daily_KPI[Date],Daily_KPI[POA-UP(KWh/m2)]),"")</f>
        <v>0.92960699292236504</v>
      </c>
      <c r="G39" s="333">
        <f ca="1">IFERROR(VLOOKUP($B39,RD[[#All],[Date]:[IS4Inv2]],G$2,0)/G$1/_xlfn.XLOOKUP(Inv_SY_B12[[#This Row],[Date]],Daily_KPI[Date],Daily_KPI[POA-UP(KWh/m2)]),"")</f>
        <v>0.93167942752185295</v>
      </c>
      <c r="H39" s="333">
        <f ca="1">IFERROR(VLOOKUP($B39,RD[[#All],[Date]:[IS4Inv2]],H$2,0)/H$1/_xlfn.XLOOKUP(Inv_SY_B12[[#This Row],[Date]],Daily_KPI[Date],Daily_KPI[POA-UP(KWh/m2)]),"")</f>
        <v>0.95881395136500591</v>
      </c>
      <c r="I39" s="333">
        <f ca="1">IFERROR(VLOOKUP($B39,RD[[#All],[Date]:[IS4Inv2]],I$2,0)/I$1/_xlfn.XLOOKUP(Inv_SY_B12[[#This Row],[Date]],Daily_KPI[Date],Daily_KPI[POA-UP(KWh/m2)]),"")</f>
        <v>0.92771327266640291</v>
      </c>
    </row>
    <row r="40" spans="2:9">
      <c r="B40" s="224">
        <f t="shared" ca="1" si="2"/>
        <v>45845</v>
      </c>
      <c r="C40" s="333">
        <f ca="1">IFERROR(VLOOKUP($B40,RD[[#All],[Date]:[IS4Inv2]],C$2,0)/C$1/_xlfn.XLOOKUP(Inv_SY_B12[[#This Row],[Date]],Daily_KPI[Date],Daily_KPI[POA-UP(KWh/m2)]),"")</f>
        <v>1.0402663450931382</v>
      </c>
      <c r="D40" s="333">
        <f ca="1">IFERROR(VLOOKUP($B40,RD[[#All],[Date]:[IS4Inv2]],D$2,0)/D$1/_xlfn.XLOOKUP(Inv_SY_B12[[#This Row],[Date]],Daily_KPI[Date],Daily_KPI[POA-UP(KWh/m2)]),"")</f>
        <v>1.0532739176837449</v>
      </c>
      <c r="E40" s="333">
        <f ca="1">IFERROR(VLOOKUP($B40,RD[[#All],[Date]:[IS4Inv2]],E$2,0)/E$1/_xlfn.XLOOKUP(Inv_SY_B12[[#This Row],[Date]],Daily_KPI[Date],Daily_KPI[POA-UP(KWh/m2)]),"")</f>
        <v>1.0355634984123778</v>
      </c>
      <c r="F40" s="333">
        <f ca="1">IFERROR(VLOOKUP($B40,RD[[#All],[Date]:[IS4Inv2]],F$2,0)/F$1/_xlfn.XLOOKUP(Inv_SY_B12[[#This Row],[Date]],Daily_KPI[Date],Daily_KPI[POA-UP(KWh/m2)]),"")</f>
        <v>1.0524918632534288</v>
      </c>
      <c r="G40" s="333">
        <f ca="1">IFERROR(VLOOKUP($B40,RD[[#All],[Date]:[IS4Inv2]],G$2,0)/G$1/_xlfn.XLOOKUP(Inv_SY_B12[[#This Row],[Date]],Daily_KPI[Date],Daily_KPI[POA-UP(KWh/m2)]),"")</f>
        <v>1.0508447794029709</v>
      </c>
      <c r="H40" s="333">
        <f ca="1">IFERROR(VLOOKUP($B40,RD[[#All],[Date]:[IS4Inv2]],H$2,0)/H$1/_xlfn.XLOOKUP(Inv_SY_B12[[#This Row],[Date]],Daily_KPI[Date],Daily_KPI[POA-UP(KWh/m2)]),"")</f>
        <v>1.0562459123610204</v>
      </c>
      <c r="I40" s="333">
        <f ca="1">IFERROR(VLOOKUP($B40,RD[[#All],[Date]:[IS4Inv2]],I$2,0)/I$1/_xlfn.XLOOKUP(Inv_SY_B12[[#This Row],[Date]],Daily_KPI[Date],Daily_KPI[POA-UP(KWh/m2)]),"")</f>
        <v>1.044081662569631</v>
      </c>
    </row>
    <row r="41" spans="2:9">
      <c r="B41" s="224">
        <f t="shared" ca="1" si="2"/>
        <v>45846</v>
      </c>
      <c r="C41" s="333">
        <f ca="1">IFERROR(VLOOKUP($B41,RD[[#All],[Date]:[IS4Inv2]],C$2,0)/C$1/_xlfn.XLOOKUP(Inv_SY_B12[[#This Row],[Date]],Daily_KPI[Date],Daily_KPI[POA-UP(KWh/m2)]),"")</f>
        <v>0.97177402410163172</v>
      </c>
      <c r="D41" s="333">
        <f ca="1">IFERROR(VLOOKUP($B41,RD[[#All],[Date]:[IS4Inv2]],D$2,0)/D$1/_xlfn.XLOOKUP(Inv_SY_B12[[#This Row],[Date]],Daily_KPI[Date],Daily_KPI[POA-UP(KWh/m2)]),"")</f>
        <v>0.98495446761545069</v>
      </c>
      <c r="E41" s="333">
        <f ca="1">IFERROR(VLOOKUP($B41,RD[[#All],[Date]:[IS4Inv2]],E$2,0)/E$1/_xlfn.XLOOKUP(Inv_SY_B12[[#This Row],[Date]],Daily_KPI[Date],Daily_KPI[POA-UP(KWh/m2)]),"")</f>
        <v>0.97983445653017864</v>
      </c>
      <c r="F41" s="333">
        <f ca="1">IFERROR(VLOOKUP($B41,RD[[#All],[Date]:[IS4Inv2]],F$2,0)/F$1/_xlfn.XLOOKUP(Inv_SY_B12[[#This Row],[Date]],Daily_KPI[Date],Daily_KPI[POA-UP(KWh/m2)]),"")</f>
        <v>0.99741600873816616</v>
      </c>
      <c r="G41" s="333">
        <f ca="1">IFERROR(VLOOKUP($B41,RD[[#All],[Date]:[IS4Inv2]],G$2,0)/G$1/_xlfn.XLOOKUP(Inv_SY_B12[[#This Row],[Date]],Daily_KPI[Date],Daily_KPI[POA-UP(KWh/m2)]),"")</f>
        <v>0.99738673079735962</v>
      </c>
      <c r="H41" s="333">
        <f ca="1">IFERROR(VLOOKUP($B41,RD[[#All],[Date]:[IS4Inv2]],H$2,0)/H$1/_xlfn.XLOOKUP(Inv_SY_B12[[#This Row],[Date]],Daily_KPI[Date],Daily_KPI[POA-UP(KWh/m2)]),"")</f>
        <v>0.99345246774075968</v>
      </c>
      <c r="I41" s="333">
        <f ca="1">IFERROR(VLOOKUP($B41,RD[[#All],[Date]:[IS4Inv2]],I$2,0)/I$1/_xlfn.XLOOKUP(Inv_SY_B12[[#This Row],[Date]],Daily_KPI[Date],Daily_KPI[POA-UP(KWh/m2)]),"")</f>
        <v>0.98220957570897438</v>
      </c>
    </row>
    <row r="42" spans="2:9">
      <c r="B42" s="224">
        <f t="shared" ca="1" si="2"/>
        <v>45847</v>
      </c>
      <c r="C42" s="333">
        <f ca="1">IFERROR(VLOOKUP($B42,RD[[#All],[Date]:[IS4Inv2]],C$2,0)/C$1/_xlfn.XLOOKUP(Inv_SY_B12[[#This Row],[Date]],Daily_KPI[Date],Daily_KPI[POA-UP(KWh/m2)]),"")</f>
        <v>0.98271027061067717</v>
      </c>
      <c r="D42" s="333">
        <f ca="1">IFERROR(VLOOKUP($B42,RD[[#All],[Date]:[IS4Inv2]],D$2,0)/D$1/_xlfn.XLOOKUP(Inv_SY_B12[[#This Row],[Date]],Daily_KPI[Date],Daily_KPI[POA-UP(KWh/m2)]),"")</f>
        <v>0.99344898031255047</v>
      </c>
      <c r="E42" s="333">
        <f ca="1">IFERROR(VLOOKUP($B42,RD[[#All],[Date]:[IS4Inv2]],E$2,0)/E$1/_xlfn.XLOOKUP(Inv_SY_B12[[#This Row],[Date]],Daily_KPI[Date],Daily_KPI[POA-UP(KWh/m2)]),"")</f>
        <v>0.98411263741530175</v>
      </c>
      <c r="F42" s="333">
        <f ca="1">IFERROR(VLOOKUP($B42,RD[[#All],[Date]:[IS4Inv2]],F$2,0)/F$1/_xlfn.XLOOKUP(Inv_SY_B12[[#This Row],[Date]],Daily_KPI[Date],Daily_KPI[POA-UP(KWh/m2)]),"")</f>
        <v>0.99915174023838393</v>
      </c>
      <c r="G42" s="333">
        <f ca="1">IFERROR(VLOOKUP($B42,RD[[#All],[Date]:[IS4Inv2]],G$2,0)/G$1/_xlfn.XLOOKUP(Inv_SY_B12[[#This Row],[Date]],Daily_KPI[Date],Daily_KPI[POA-UP(KWh/m2)]),"")</f>
        <v>0.99476754679306389</v>
      </c>
      <c r="H42" s="333">
        <f ca="1">IFERROR(VLOOKUP($B42,RD[[#All],[Date]:[IS4Inv2]],H$2,0)/H$1/_xlfn.XLOOKUP(Inv_SY_B12[[#This Row],[Date]],Daily_KPI[Date],Daily_KPI[POA-UP(KWh/m2)]),"")</f>
        <v>0.99631120959896224</v>
      </c>
      <c r="I42" s="333">
        <f ca="1">IFERROR(VLOOKUP($B42,RD[[#All],[Date]:[IS4Inv2]],I$2,0)/I$1/_xlfn.XLOOKUP(Inv_SY_B12[[#This Row],[Date]],Daily_KPI[Date],Daily_KPI[POA-UP(KWh/m2)]),"")</f>
        <v>0.99182520808561236</v>
      </c>
    </row>
    <row r="43" spans="2:9">
      <c r="B43" s="224">
        <f t="shared" ca="1" si="2"/>
        <v>45848</v>
      </c>
      <c r="C43" s="333">
        <f ca="1">IFERROR(VLOOKUP($B43,RD[[#All],[Date]:[IS4Inv2]],C$2,0)/C$1/_xlfn.XLOOKUP(Inv_SY_B12[[#This Row],[Date]],Daily_KPI[Date],Daily_KPI[POA-UP(KWh/m2)]),"")</f>
        <v>0.88981387348115237</v>
      </c>
      <c r="D43" s="333">
        <f ca="1">IFERROR(VLOOKUP($B43,RD[[#All],[Date]:[IS4Inv2]],D$2,0)/D$1/_xlfn.XLOOKUP(Inv_SY_B12[[#This Row],[Date]],Daily_KPI[Date],Daily_KPI[POA-UP(KWh/m2)]),"")</f>
        <v>0.89878061945097809</v>
      </c>
      <c r="E43" s="333">
        <f ca="1">IFERROR(VLOOKUP($B43,RD[[#All],[Date]:[IS4Inv2]],E$2,0)/E$1/_xlfn.XLOOKUP(Inv_SY_B12[[#This Row],[Date]],Daily_KPI[Date],Daily_KPI[POA-UP(KWh/m2)]),"")</f>
        <v>0.89622363797523708</v>
      </c>
      <c r="F43" s="333">
        <f ca="1">IFERROR(VLOOKUP($B43,RD[[#All],[Date]:[IS4Inv2]],F$2,0)/F$1/_xlfn.XLOOKUP(Inv_SY_B12[[#This Row],[Date]],Daily_KPI[Date],Daily_KPI[POA-UP(KWh/m2)]),"")</f>
        <v>0.90851262305889557</v>
      </c>
      <c r="G43" s="333">
        <f ca="1">IFERROR(VLOOKUP($B43,RD[[#All],[Date]:[IS4Inv2]],G$2,0)/G$1/_xlfn.XLOOKUP(Inv_SY_B12[[#This Row],[Date]],Daily_KPI[Date],Daily_KPI[POA-UP(KWh/m2)]),"")</f>
        <v>0.90482366727008245</v>
      </c>
      <c r="H43" s="333">
        <f ca="1">IFERROR(VLOOKUP($B43,RD[[#All],[Date]:[IS4Inv2]],H$2,0)/H$1/_xlfn.XLOOKUP(Inv_SY_B12[[#This Row],[Date]],Daily_KPI[Date],Daily_KPI[POA-UP(KWh/m2)]),"")</f>
        <v>0.91152226460701746</v>
      </c>
      <c r="I43" s="333">
        <f ca="1">IFERROR(VLOOKUP($B43,RD[[#All],[Date]:[IS4Inv2]],I$2,0)/I$1/_xlfn.XLOOKUP(Inv_SY_B12[[#This Row],[Date]],Daily_KPI[Date],Daily_KPI[POA-UP(KWh/m2)]),"")</f>
        <v>0.90511340030970278</v>
      </c>
    </row>
    <row r="44" spans="2:9">
      <c r="B44" s="224">
        <f t="shared" ca="1" si="2"/>
        <v>45849</v>
      </c>
      <c r="C44" s="333">
        <f ca="1">IFERROR(VLOOKUP($B44,RD[[#All],[Date]:[IS4Inv2]],C$2,0)/C$1/_xlfn.XLOOKUP(Inv_SY_B12[[#This Row],[Date]],Daily_KPI[Date],Daily_KPI[POA-UP(KWh/m2)]),"")</f>
        <v>0.88040311236935898</v>
      </c>
      <c r="D44" s="333">
        <f ca="1">IFERROR(VLOOKUP($B44,RD[[#All],[Date]:[IS4Inv2]],D$2,0)/D$1/_xlfn.XLOOKUP(Inv_SY_B12[[#This Row],[Date]],Daily_KPI[Date],Daily_KPI[POA-UP(KWh/m2)]),"")</f>
        <v>0.88693857060711245</v>
      </c>
      <c r="E44" s="333">
        <f ca="1">IFERROR(VLOOKUP($B44,RD[[#All],[Date]:[IS4Inv2]],E$2,0)/E$1/_xlfn.XLOOKUP(Inv_SY_B12[[#This Row],[Date]],Daily_KPI[Date],Daily_KPI[POA-UP(KWh/m2)]),"")</f>
        <v>0.87230563855622012</v>
      </c>
      <c r="F44" s="333">
        <f ca="1">IFERROR(VLOOKUP($B44,RD[[#All],[Date]:[IS4Inv2]],F$2,0)/F$1/_xlfn.XLOOKUP(Inv_SY_B12[[#This Row],[Date]],Daily_KPI[Date],Daily_KPI[POA-UP(KWh/m2)]),"")</f>
        <v>0.88235841820880379</v>
      </c>
      <c r="G44" s="333">
        <f ca="1">IFERROR(VLOOKUP($B44,RD[[#All],[Date]:[IS4Inv2]],G$2,0)/G$1/_xlfn.XLOOKUP(Inv_SY_B12[[#This Row],[Date]],Daily_KPI[Date],Daily_KPI[POA-UP(KWh/m2)]),"")</f>
        <v>0.89007174617403539</v>
      </c>
      <c r="H44" s="333">
        <f ca="1">IFERROR(VLOOKUP($B44,RD[[#All],[Date]:[IS4Inv2]],H$2,0)/H$1/_xlfn.XLOOKUP(Inv_SY_B12[[#This Row],[Date]],Daily_KPI[Date],Daily_KPI[POA-UP(KWh/m2)]),"")</f>
        <v>0.90487109913406816</v>
      </c>
      <c r="I44" s="333">
        <f ca="1">IFERROR(VLOOKUP($B44,RD[[#All],[Date]:[IS4Inv2]],I$2,0)/I$1/_xlfn.XLOOKUP(Inv_SY_B12[[#This Row],[Date]],Daily_KPI[Date],Daily_KPI[POA-UP(KWh/m2)]),"")</f>
        <v>0.90028114273127913</v>
      </c>
    </row>
    <row r="45" spans="2:9">
      <c r="B45" s="224">
        <f t="shared" ca="1" si="2"/>
        <v>45850</v>
      </c>
      <c r="C45" s="333">
        <f ca="1">IFERROR(VLOOKUP($B45,RD[[#All],[Date]:[IS4Inv2]],C$2,0)/C$1/_xlfn.XLOOKUP(Inv_SY_B12[[#This Row],[Date]],Daily_KPI[Date],Daily_KPI[POA-UP(KWh/m2)]),"")</f>
        <v>0.83087036612243015</v>
      </c>
      <c r="D45" s="333">
        <f ca="1">IFERROR(VLOOKUP($B45,RD[[#All],[Date]:[IS4Inv2]],D$2,0)/D$1/_xlfn.XLOOKUP(Inv_SY_B12[[#This Row],[Date]],Daily_KPI[Date],Daily_KPI[POA-UP(KWh/m2)]),"")</f>
        <v>0.83477654876592777</v>
      </c>
      <c r="E45" s="333">
        <f ca="1">IFERROR(VLOOKUP($B45,RD[[#All],[Date]:[IS4Inv2]],E$2,0)/E$1/_xlfn.XLOOKUP(Inv_SY_B12[[#This Row],[Date]],Daily_KPI[Date],Daily_KPI[POA-UP(KWh/m2)]),"")</f>
        <v>0.81763304564064954</v>
      </c>
      <c r="F45" s="333">
        <f ca="1">IFERROR(VLOOKUP($B45,RD[[#All],[Date]:[IS4Inv2]],F$2,0)/F$1/_xlfn.XLOOKUP(Inv_SY_B12[[#This Row],[Date]],Daily_KPI[Date],Daily_KPI[POA-UP(KWh/m2)]),"")</f>
        <v>0.82581134567401659</v>
      </c>
      <c r="G45" s="333">
        <f ca="1">IFERROR(VLOOKUP($B45,RD[[#All],[Date]:[IS4Inv2]],G$2,0)/G$1/_xlfn.XLOOKUP(Inv_SY_B12[[#This Row],[Date]],Daily_KPI[Date],Daily_KPI[POA-UP(KWh/m2)]),"")</f>
        <v>0.83763849925036382</v>
      </c>
      <c r="H45" s="333">
        <f ca="1">IFERROR(VLOOKUP($B45,RD[[#All],[Date]:[IS4Inv2]],H$2,0)/H$1/_xlfn.XLOOKUP(Inv_SY_B12[[#This Row],[Date]],Daily_KPI[Date],Daily_KPI[POA-UP(KWh/m2)]),"")</f>
        <v>0.8090734641877283</v>
      </c>
      <c r="I45" s="333">
        <f ca="1">IFERROR(VLOOKUP($B45,RD[[#All],[Date]:[IS4Inv2]],I$2,0)/I$1/_xlfn.XLOOKUP(Inv_SY_B12[[#This Row],[Date]],Daily_KPI[Date],Daily_KPI[POA-UP(KWh/m2)]),"")</f>
        <v>0.80087303810918398</v>
      </c>
    </row>
    <row r="46" spans="2:9">
      <c r="B46" s="224">
        <f t="shared" ca="1" si="2"/>
        <v>45851</v>
      </c>
      <c r="C46" s="333">
        <f ca="1">IFERROR(VLOOKUP($B46,RD[[#All],[Date]:[IS4Inv2]],C$2,0)/C$1/_xlfn.XLOOKUP(Inv_SY_B12[[#This Row],[Date]],Daily_KPI[Date],Daily_KPI[POA-UP(KWh/m2)]),"")</f>
        <v>0.89890008432380508</v>
      </c>
      <c r="D46" s="333">
        <f ca="1">IFERROR(VLOOKUP($B46,RD[[#All],[Date]:[IS4Inv2]],D$2,0)/D$1/_xlfn.XLOOKUP(Inv_SY_B12[[#This Row],[Date]],Daily_KPI[Date],Daily_KPI[POA-UP(KWh/m2)]),"")</f>
        <v>0.90696713636260851</v>
      </c>
      <c r="E46" s="333">
        <f ca="1">IFERROR(VLOOKUP($B46,RD[[#All],[Date]:[IS4Inv2]],E$2,0)/E$1/_xlfn.XLOOKUP(Inv_SY_B12[[#This Row],[Date]],Daily_KPI[Date],Daily_KPI[POA-UP(KWh/m2)]),"")</f>
        <v>0.89971856198498146</v>
      </c>
      <c r="F46" s="333">
        <f ca="1">IFERROR(VLOOKUP($B46,RD[[#All],[Date]:[IS4Inv2]],F$2,0)/F$1/_xlfn.XLOOKUP(Inv_SY_B12[[#This Row],[Date]],Daily_KPI[Date],Daily_KPI[POA-UP(KWh/m2)]),"")</f>
        <v>0.90920837020645795</v>
      </c>
      <c r="G46" s="333">
        <f ca="1">IFERROR(VLOOKUP($B46,RD[[#All],[Date]:[IS4Inv2]],G$2,0)/G$1/_xlfn.XLOOKUP(Inv_SY_B12[[#This Row],[Date]],Daily_KPI[Date],Daily_KPI[POA-UP(KWh/m2)]),"")</f>
        <v>0.90689913548029399</v>
      </c>
      <c r="H46" s="333">
        <f ca="1">IFERROR(VLOOKUP($B46,RD[[#All],[Date]:[IS4Inv2]],H$2,0)/H$1/_xlfn.XLOOKUP(Inv_SY_B12[[#This Row],[Date]],Daily_KPI[Date],Daily_KPI[POA-UP(KWh/m2)]),"")</f>
        <v>0.91097577810578634</v>
      </c>
      <c r="I46" s="333">
        <f ca="1">IFERROR(VLOOKUP($B46,RD[[#All],[Date]:[IS4Inv2]],I$2,0)/I$1/_xlfn.XLOOKUP(Inv_SY_B12[[#This Row],[Date]],Daily_KPI[Date],Daily_KPI[POA-UP(KWh/m2)]),"")</f>
        <v>0.90423821814974159</v>
      </c>
    </row>
    <row r="47" spans="2:9">
      <c r="B47" s="224">
        <f t="shared" ca="1" si="2"/>
        <v>45852</v>
      </c>
      <c r="C47" s="333">
        <f ca="1">IFERROR(VLOOKUP($B47,RD[[#All],[Date]:[IS4Inv2]],C$2,0)/C$1/_xlfn.XLOOKUP(Inv_SY_B12[[#This Row],[Date]],Daily_KPI[Date],Daily_KPI[POA-UP(KWh/m2)]),"")</f>
        <v>0.80526504288803524</v>
      </c>
      <c r="D47" s="333">
        <f ca="1">IFERROR(VLOOKUP($B47,RD[[#All],[Date]:[IS4Inv2]],D$2,0)/D$1/_xlfn.XLOOKUP(Inv_SY_B12[[#This Row],[Date]],Daily_KPI[Date],Daily_KPI[POA-UP(KWh/m2)]),"")</f>
        <v>0.81514951494737475</v>
      </c>
      <c r="E47" s="333">
        <f ca="1">IFERROR(VLOOKUP($B47,RD[[#All],[Date]:[IS4Inv2]],E$2,0)/E$1/_xlfn.XLOOKUP(Inv_SY_B12[[#This Row],[Date]],Daily_KPI[Date],Daily_KPI[POA-UP(KWh/m2)]),"")</f>
        <v>0.79082176438549323</v>
      </c>
      <c r="F47" s="333">
        <f ca="1">IFERROR(VLOOKUP($B47,RD[[#All],[Date]:[IS4Inv2]],F$2,0)/F$1/_xlfn.XLOOKUP(Inv_SY_B12[[#This Row],[Date]],Daily_KPI[Date],Daily_KPI[POA-UP(KWh/m2)]),"")</f>
        <v>0.80323272288350023</v>
      </c>
      <c r="G47" s="333">
        <f ca="1">IFERROR(VLOOKUP($B47,RD[[#All],[Date]:[IS4Inv2]],G$2,0)/G$1/_xlfn.XLOOKUP(Inv_SY_B12[[#This Row],[Date]],Daily_KPI[Date],Daily_KPI[POA-UP(KWh/m2)]),"")</f>
        <v>0.81203797815012102</v>
      </c>
      <c r="H47" s="333">
        <f ca="1">IFERROR(VLOOKUP($B47,RD[[#All],[Date]:[IS4Inv2]],H$2,0)/H$1/_xlfn.XLOOKUP(Inv_SY_B12[[#This Row],[Date]],Daily_KPI[Date],Daily_KPI[POA-UP(KWh/m2)]),"")</f>
        <v>0.83006041722235047</v>
      </c>
      <c r="I47" s="333">
        <f ca="1">IFERROR(VLOOKUP($B47,RD[[#All],[Date]:[IS4Inv2]],I$2,0)/I$1/_xlfn.XLOOKUP(Inv_SY_B12[[#This Row],[Date]],Daily_KPI[Date],Daily_KPI[POA-UP(KWh/m2)]),"")</f>
        <v>0.82764991660900322</v>
      </c>
    </row>
    <row r="48" spans="2:9">
      <c r="B48" s="224">
        <f t="shared" ca="1" si="2"/>
        <v>45853</v>
      </c>
      <c r="C48" s="333">
        <f ca="1">IFERROR(VLOOKUP($B48,RD[[#All],[Date]:[IS4Inv2]],C$2,0)/C$1/_xlfn.XLOOKUP(Inv_SY_B12[[#This Row],[Date]],Daily_KPI[Date],Daily_KPI[POA-UP(KWh/m2)]),"")</f>
        <v>0.8338508002033882</v>
      </c>
      <c r="D48" s="333">
        <f ca="1">IFERROR(VLOOKUP($B48,RD[[#All],[Date]:[IS4Inv2]],D$2,0)/D$1/_xlfn.XLOOKUP(Inv_SY_B12[[#This Row],[Date]],Daily_KPI[Date],Daily_KPI[POA-UP(KWh/m2)]),"")</f>
        <v>0.82951536248770019</v>
      </c>
      <c r="E48" s="333">
        <f ca="1">IFERROR(VLOOKUP($B48,RD[[#All],[Date]:[IS4Inv2]],E$2,0)/E$1/_xlfn.XLOOKUP(Inv_SY_B12[[#This Row],[Date]],Daily_KPI[Date],Daily_KPI[POA-UP(KWh/m2)]),"")</f>
        <v>0.81923297900111691</v>
      </c>
      <c r="F48" s="333">
        <f ca="1">IFERROR(VLOOKUP($B48,RD[[#All],[Date]:[IS4Inv2]],F$2,0)/F$1/_xlfn.XLOOKUP(Inv_SY_B12[[#This Row],[Date]],Daily_KPI[Date],Daily_KPI[POA-UP(KWh/m2)]),"")</f>
        <v>0.82865847262267056</v>
      </c>
      <c r="G48" s="333">
        <f ca="1">IFERROR(VLOOKUP($B48,RD[[#All],[Date]:[IS4Inv2]],G$2,0)/G$1/_xlfn.XLOOKUP(Inv_SY_B12[[#This Row],[Date]],Daily_KPI[Date],Daily_KPI[POA-UP(KWh/m2)]),"")</f>
        <v>0.83097041612155298</v>
      </c>
      <c r="H48" s="333">
        <f ca="1">IFERROR(VLOOKUP($B48,RD[[#All],[Date]:[IS4Inv2]],H$2,0)/H$1/_xlfn.XLOOKUP(Inv_SY_B12[[#This Row],[Date]],Daily_KPI[Date],Daily_KPI[POA-UP(KWh/m2)]),"")</f>
        <v>0.85400495926660225</v>
      </c>
      <c r="I48" s="333">
        <f ca="1">IFERROR(VLOOKUP($B48,RD[[#All],[Date]:[IS4Inv2]],I$2,0)/I$1/_xlfn.XLOOKUP(Inv_SY_B12[[#This Row],[Date]],Daily_KPI[Date],Daily_KPI[POA-UP(KWh/m2)]),"")</f>
        <v>0.845253187519033</v>
      </c>
    </row>
    <row r="49" spans="2:9">
      <c r="B49" s="224">
        <f t="shared" ca="1" si="2"/>
        <v>45854</v>
      </c>
      <c r="C49" s="333">
        <f ca="1">IFERROR(VLOOKUP($B49,RD[[#All],[Date]:[IS4Inv2]],C$2,0)/C$1/_xlfn.XLOOKUP(Inv_SY_B12[[#This Row],[Date]],Daily_KPI[Date],Daily_KPI[POA-UP(KWh/m2)]),"")</f>
        <v>0.86762402805397143</v>
      </c>
      <c r="D49" s="333">
        <f ca="1">IFERROR(VLOOKUP($B49,RD[[#All],[Date]:[IS4Inv2]],D$2,0)/D$1/_xlfn.XLOOKUP(Inv_SY_B12[[#This Row],[Date]],Daily_KPI[Date],Daily_KPI[POA-UP(KWh/m2)]),"")</f>
        <v>0.88693608199833174</v>
      </c>
      <c r="E49" s="333">
        <f ca="1">IFERROR(VLOOKUP($B49,RD[[#All],[Date]:[IS4Inv2]],E$2,0)/E$1/_xlfn.XLOOKUP(Inv_SY_B12[[#This Row],[Date]],Daily_KPI[Date],Daily_KPI[POA-UP(KWh/m2)]),"")</f>
        <v>0.84690231387229808</v>
      </c>
      <c r="F49" s="333">
        <f ca="1">IFERROR(VLOOKUP($B49,RD[[#All],[Date]:[IS4Inv2]],F$2,0)/F$1/_xlfn.XLOOKUP(Inv_SY_B12[[#This Row],[Date]],Daily_KPI[Date],Daily_KPI[POA-UP(KWh/m2)]),"")</f>
        <v>0.87238248873192625</v>
      </c>
      <c r="G49" s="333">
        <f ca="1">IFERROR(VLOOKUP($B49,RD[[#All],[Date]:[IS4Inv2]],G$2,0)/G$1/_xlfn.XLOOKUP(Inv_SY_B12[[#This Row],[Date]],Daily_KPI[Date],Daily_KPI[POA-UP(KWh/m2)]),"")</f>
        <v>0.89668562981285771</v>
      </c>
      <c r="H49" s="333">
        <f ca="1">IFERROR(VLOOKUP($B49,RD[[#All],[Date]:[IS4Inv2]],H$2,0)/H$1/_xlfn.XLOOKUP(Inv_SY_B12[[#This Row],[Date]],Daily_KPI[Date],Daily_KPI[POA-UP(KWh/m2)]),"")</f>
        <v>0.92373431057007993</v>
      </c>
      <c r="I49" s="333">
        <f ca="1">IFERROR(VLOOKUP($B49,RD[[#All],[Date]:[IS4Inv2]],I$2,0)/I$1/_xlfn.XLOOKUP(Inv_SY_B12[[#This Row],[Date]],Daily_KPI[Date],Daily_KPI[POA-UP(KWh/m2)]),"")</f>
        <v>0.92298679143658025</v>
      </c>
    </row>
    <row r="50" spans="2:9">
      <c r="B50" s="224">
        <f t="shared" ca="1" si="2"/>
        <v>45855</v>
      </c>
      <c r="C50" s="333">
        <f ca="1">IFERROR(VLOOKUP($B50,RD[[#All],[Date]:[IS4Inv2]],C$2,0)/C$1/_xlfn.XLOOKUP(Inv_SY_B12[[#This Row],[Date]],Daily_KPI[Date],Daily_KPI[POA-UP(KWh/m2)]),"")</f>
        <v>0.91469053578126269</v>
      </c>
      <c r="D50" s="333">
        <f ca="1">IFERROR(VLOOKUP($B50,RD[[#All],[Date]:[IS4Inv2]],D$2,0)/D$1/_xlfn.XLOOKUP(Inv_SY_B12[[#This Row],[Date]],Daily_KPI[Date],Daily_KPI[POA-UP(KWh/m2)]),"")</f>
        <v>0.92409872249673031</v>
      </c>
      <c r="E50" s="333">
        <f ca="1">IFERROR(VLOOKUP($B50,RD[[#All],[Date]:[IS4Inv2]],E$2,0)/E$1/_xlfn.XLOOKUP(Inv_SY_B12[[#This Row],[Date]],Daily_KPI[Date],Daily_KPI[POA-UP(KWh/m2)]),"")</f>
        <v>0.92176016166175745</v>
      </c>
      <c r="F50" s="333">
        <f ca="1">IFERROR(VLOOKUP($B50,RD[[#All],[Date]:[IS4Inv2]],F$2,0)/F$1/_xlfn.XLOOKUP(Inv_SY_B12[[#This Row],[Date]],Daily_KPI[Date],Daily_KPI[POA-UP(KWh/m2)]),"")</f>
        <v>0.93947947967030798</v>
      </c>
      <c r="G50" s="333">
        <f ca="1">IFERROR(VLOOKUP($B50,RD[[#All],[Date]:[IS4Inv2]],G$2,0)/G$1/_xlfn.XLOOKUP(Inv_SY_B12[[#This Row],[Date]],Daily_KPI[Date],Daily_KPI[POA-UP(KWh/m2)]),"")</f>
        <v>0.94368494852678364</v>
      </c>
      <c r="H50" s="333">
        <f ca="1">IFERROR(VLOOKUP($B50,RD[[#All],[Date]:[IS4Inv2]],H$2,0)/H$1/_xlfn.XLOOKUP(Inv_SY_B12[[#This Row],[Date]],Daily_KPI[Date],Daily_KPI[POA-UP(KWh/m2)]),"")</f>
        <v>0.93588851998366807</v>
      </c>
      <c r="I50" s="333">
        <f ca="1">IFERROR(VLOOKUP($B50,RD[[#All],[Date]:[IS4Inv2]],I$2,0)/I$1/_xlfn.XLOOKUP(Inv_SY_B12[[#This Row],[Date]],Daily_KPI[Date],Daily_KPI[POA-UP(KWh/m2)]),"")</f>
        <v>0.93467838261357339</v>
      </c>
    </row>
    <row r="51" spans="2:9">
      <c r="B51" s="224">
        <f t="shared" ca="1" si="2"/>
        <v>45856</v>
      </c>
      <c r="C51" s="333">
        <f ca="1">IFERROR(VLOOKUP($B51,RD[[#All],[Date]:[IS4Inv2]],C$2,0)/C$1/_xlfn.XLOOKUP(Inv_SY_B12[[#This Row],[Date]],Daily_KPI[Date],Daily_KPI[POA-UP(KWh/m2)]),"")</f>
        <v>0.89635797694705499</v>
      </c>
      <c r="D51" s="333">
        <f ca="1">IFERROR(VLOOKUP($B51,RD[[#All],[Date]:[IS4Inv2]],D$2,0)/D$1/_xlfn.XLOOKUP(Inv_SY_B12[[#This Row],[Date]],Daily_KPI[Date],Daily_KPI[POA-UP(KWh/m2)]),"")</f>
        <v>0.90944558731195513</v>
      </c>
      <c r="E51" s="333">
        <f ca="1">IFERROR(VLOOKUP($B51,RD[[#All],[Date]:[IS4Inv2]],E$2,0)/E$1/_xlfn.XLOOKUP(Inv_SY_B12[[#This Row],[Date]],Daily_KPI[Date],Daily_KPI[POA-UP(KWh/m2)]),"")</f>
        <v>0.89727070358345384</v>
      </c>
      <c r="F51" s="333">
        <f ca="1">IFERROR(VLOOKUP($B51,RD[[#All],[Date]:[IS4Inv2]],F$2,0)/F$1/_xlfn.XLOOKUP(Inv_SY_B12[[#This Row],[Date]],Daily_KPI[Date],Daily_KPI[POA-UP(KWh/m2)]),"")</f>
        <v>0.91273458144188857</v>
      </c>
      <c r="G51" s="333">
        <f ca="1">IFERROR(VLOOKUP($B51,RD[[#All],[Date]:[IS4Inv2]],G$2,0)/G$1/_xlfn.XLOOKUP(Inv_SY_B12[[#This Row],[Date]],Daily_KPI[Date],Daily_KPI[POA-UP(KWh/m2)]),"")</f>
        <v>0.9138431197017316</v>
      </c>
      <c r="H51" s="333">
        <f ca="1">IFERROR(VLOOKUP($B51,RD[[#All],[Date]:[IS4Inv2]],H$2,0)/H$1/_xlfn.XLOOKUP(Inv_SY_B12[[#This Row],[Date]],Daily_KPI[Date],Daily_KPI[POA-UP(KWh/m2)]),"")</f>
        <v>0.90977176550352912</v>
      </c>
      <c r="I51" s="333">
        <f ca="1">IFERROR(VLOOKUP($B51,RD[[#All],[Date]:[IS4Inv2]],I$2,0)/I$1/_xlfn.XLOOKUP(Inv_SY_B12[[#This Row],[Date]],Daily_KPI[Date],Daily_KPI[POA-UP(KWh/m2)]),"")</f>
        <v>0.90574376183166561</v>
      </c>
    </row>
    <row r="52" spans="2:9">
      <c r="B52" s="224">
        <f t="shared" ca="1" si="2"/>
        <v>45857</v>
      </c>
      <c r="C52" s="333">
        <f ca="1">IFERROR(VLOOKUP($B52,RD[[#All],[Date]:[IS4Inv2]],C$2,0)/C$1/_xlfn.XLOOKUP(Inv_SY_B12[[#This Row],[Date]],Daily_KPI[Date],Daily_KPI[POA-UP(KWh/m2)]),"")</f>
        <v>0.83822420131297715</v>
      </c>
      <c r="D52" s="333">
        <f ca="1">IFERROR(VLOOKUP($B52,RD[[#All],[Date]:[IS4Inv2]],D$2,0)/D$1/_xlfn.XLOOKUP(Inv_SY_B12[[#This Row],[Date]],Daily_KPI[Date],Daily_KPI[POA-UP(KWh/m2)]),"")</f>
        <v>0.83860377821568466</v>
      </c>
      <c r="E52" s="333">
        <f ca="1">IFERROR(VLOOKUP($B52,RD[[#All],[Date]:[IS4Inv2]],E$2,0)/E$1/_xlfn.XLOOKUP(Inv_SY_B12[[#This Row],[Date]],Daily_KPI[Date],Daily_KPI[POA-UP(KWh/m2)]),"")</f>
        <v>0.817442796958193</v>
      </c>
      <c r="F52" s="333">
        <f ca="1">IFERROR(VLOOKUP($B52,RD[[#All],[Date]:[IS4Inv2]],F$2,0)/F$1/_xlfn.XLOOKUP(Inv_SY_B12[[#This Row],[Date]],Daily_KPI[Date],Daily_KPI[POA-UP(KWh/m2)]),"")</f>
        <v>0.82962467768308867</v>
      </c>
      <c r="G52" s="333">
        <f ca="1">IFERROR(VLOOKUP($B52,RD[[#All],[Date]:[IS4Inv2]],G$2,0)/G$1/_xlfn.XLOOKUP(Inv_SY_B12[[#This Row],[Date]],Daily_KPI[Date],Daily_KPI[POA-UP(KWh/m2)]),"")</f>
        <v>0.84538939938597391</v>
      </c>
      <c r="H52" s="333">
        <f ca="1">IFERROR(VLOOKUP($B52,RD[[#All],[Date]:[IS4Inv2]],H$2,0)/H$1/_xlfn.XLOOKUP(Inv_SY_B12[[#This Row],[Date]],Daily_KPI[Date],Daily_KPI[POA-UP(KWh/m2)]),"")</f>
        <v>0.87391861236277302</v>
      </c>
      <c r="I52" s="333">
        <f ca="1">IFERROR(VLOOKUP($B52,RD[[#All],[Date]:[IS4Inv2]],I$2,0)/I$1/_xlfn.XLOOKUP(Inv_SY_B12[[#This Row],[Date]],Daily_KPI[Date],Daily_KPI[POA-UP(KWh/m2)]),"")</f>
        <v>0.86777588268257944</v>
      </c>
    </row>
    <row r="53" spans="2:9">
      <c r="B53" s="224">
        <f t="shared" ca="1" si="2"/>
        <v>45858</v>
      </c>
      <c r="C53" s="333">
        <f ca="1">IFERROR(VLOOKUP($B53,RD[[#All],[Date]:[IS4Inv2]],C$2,0)/C$1/_xlfn.XLOOKUP(Inv_SY_B12[[#This Row],[Date]],Daily_KPI[Date],Daily_KPI[POA-UP(KWh/m2)]),"")</f>
        <v>0.90382695008739478</v>
      </c>
      <c r="D53" s="333">
        <f ca="1">IFERROR(VLOOKUP($B53,RD[[#All],[Date]:[IS4Inv2]],D$2,0)/D$1/_xlfn.XLOOKUP(Inv_SY_B12[[#This Row],[Date]],Daily_KPI[Date],Daily_KPI[POA-UP(KWh/m2)]),"")</f>
        <v>0.91353533725101177</v>
      </c>
      <c r="E53" s="333">
        <f ca="1">IFERROR(VLOOKUP($B53,RD[[#All],[Date]:[IS4Inv2]],E$2,0)/E$1/_xlfn.XLOOKUP(Inv_SY_B12[[#This Row],[Date]],Daily_KPI[Date],Daily_KPI[POA-UP(KWh/m2)]),"")</f>
        <v>0.90385544389569061</v>
      </c>
      <c r="F53" s="333">
        <f ca="1">IFERROR(VLOOKUP($B53,RD[[#All],[Date]:[IS4Inv2]],F$2,0)/F$1/_xlfn.XLOOKUP(Inv_SY_B12[[#This Row],[Date]],Daily_KPI[Date],Daily_KPI[POA-UP(KWh/m2)]),"")</f>
        <v>0.9206137303055667</v>
      </c>
      <c r="G53" s="333">
        <f ca="1">IFERROR(VLOOKUP($B53,RD[[#All],[Date]:[IS4Inv2]],G$2,0)/G$1/_xlfn.XLOOKUP(Inv_SY_B12[[#This Row],[Date]],Daily_KPI[Date],Daily_KPI[POA-UP(KWh/m2)]),"")</f>
        <v>0.92059000587622142</v>
      </c>
      <c r="H53" s="333">
        <f ca="1">IFERROR(VLOOKUP($B53,RD[[#All],[Date]:[IS4Inv2]],H$2,0)/H$1/_xlfn.XLOOKUP(Inv_SY_B12[[#This Row],[Date]],Daily_KPI[Date],Daily_KPI[POA-UP(KWh/m2)]),"")</f>
        <v>0.91656571980341373</v>
      </c>
      <c r="I53" s="333">
        <f ca="1">IFERROR(VLOOKUP($B53,RD[[#All],[Date]:[IS4Inv2]],I$2,0)/I$1/_xlfn.XLOOKUP(Inv_SY_B12[[#This Row],[Date]],Daily_KPI[Date],Daily_KPI[POA-UP(KWh/m2)]),"")</f>
        <v>0.91216782122283568</v>
      </c>
    </row>
    <row r="54" spans="2:9">
      <c r="B54" s="224">
        <f t="shared" ca="1" si="2"/>
        <v>45859</v>
      </c>
      <c r="C54" s="333">
        <f ca="1">IFERROR(VLOOKUP($B54,RD[[#All],[Date]:[IS4Inv2]],C$2,0)/C$1/_xlfn.XLOOKUP(Inv_SY_B12[[#This Row],[Date]],Daily_KPI[Date],Daily_KPI[POA-UP(KWh/m2)]),"")</f>
        <v>0.85901741247128716</v>
      </c>
      <c r="D54" s="333">
        <f ca="1">IFERROR(VLOOKUP($B54,RD[[#All],[Date]:[IS4Inv2]],D$2,0)/D$1/_xlfn.XLOOKUP(Inv_SY_B12[[#This Row],[Date]],Daily_KPI[Date],Daily_KPI[POA-UP(KWh/m2)]),"")</f>
        <v>0.8617419986199264</v>
      </c>
      <c r="E54" s="333">
        <f ca="1">IFERROR(VLOOKUP($B54,RD[[#All],[Date]:[IS4Inv2]],E$2,0)/E$1/_xlfn.XLOOKUP(Inv_SY_B12[[#This Row],[Date]],Daily_KPI[Date],Daily_KPI[POA-UP(KWh/m2)]),"")</f>
        <v>0.85315985878962675</v>
      </c>
      <c r="F54" s="333">
        <f ca="1">IFERROR(VLOOKUP($B54,RD[[#All],[Date]:[IS4Inv2]],F$2,0)/F$1/_xlfn.XLOOKUP(Inv_SY_B12[[#This Row],[Date]],Daily_KPI[Date],Daily_KPI[POA-UP(KWh/m2)]),"")</f>
        <v>0.86247806138288741</v>
      </c>
      <c r="G54" s="333">
        <f ca="1">IFERROR(VLOOKUP($B54,RD[[#All],[Date]:[IS4Inv2]],G$2,0)/G$1/_xlfn.XLOOKUP(Inv_SY_B12[[#This Row],[Date]],Daily_KPI[Date],Daily_KPI[POA-UP(KWh/m2)]),"")</f>
        <v>0.8592318971414743</v>
      </c>
      <c r="H54" s="333">
        <f ca="1">IFERROR(VLOOKUP($B54,RD[[#All],[Date]:[IS4Inv2]],H$2,0)/H$1/_xlfn.XLOOKUP(Inv_SY_B12[[#This Row],[Date]],Daily_KPI[Date],Daily_KPI[POA-UP(KWh/m2)]),"")</f>
        <v>0.87691761817446046</v>
      </c>
      <c r="I54" s="333">
        <f ca="1">IFERROR(VLOOKUP($B54,RD[[#All],[Date]:[IS4Inv2]],I$2,0)/I$1/_xlfn.XLOOKUP(Inv_SY_B12[[#This Row],[Date]],Daily_KPI[Date],Daily_KPI[POA-UP(KWh/m2)]),"")</f>
        <v>0.86784545848250561</v>
      </c>
    </row>
    <row r="55" spans="2:9">
      <c r="B55" s="224">
        <f t="shared" ca="1" si="2"/>
        <v>45860</v>
      </c>
      <c r="C55" s="333">
        <f ca="1">IFERROR(VLOOKUP($B55,RD[[#All],[Date]:[IS4Inv2]],C$2,0)/C$1/_xlfn.XLOOKUP(Inv_SY_B12[[#This Row],[Date]],Daily_KPI[Date],Daily_KPI[POA-UP(KWh/m2)]),"")</f>
        <v>0.92260513496016094</v>
      </c>
      <c r="D55" s="333">
        <f ca="1">IFERROR(VLOOKUP($B55,RD[[#All],[Date]:[IS4Inv2]],D$2,0)/D$1/_xlfn.XLOOKUP(Inv_SY_B12[[#This Row],[Date]],Daily_KPI[Date],Daily_KPI[POA-UP(KWh/m2)]),"")</f>
        <v>0.91795346139873457</v>
      </c>
      <c r="E55" s="333">
        <f ca="1">IFERROR(VLOOKUP($B55,RD[[#All],[Date]:[IS4Inv2]],E$2,0)/E$1/_xlfn.XLOOKUP(Inv_SY_B12[[#This Row],[Date]],Daily_KPI[Date],Daily_KPI[POA-UP(KWh/m2)]),"")</f>
        <v>0.92267553137745983</v>
      </c>
      <c r="F55" s="333">
        <f ca="1">IFERROR(VLOOKUP($B55,RD[[#All],[Date]:[IS4Inv2]],F$2,0)/F$1/_xlfn.XLOOKUP(Inv_SY_B12[[#This Row],[Date]],Daily_KPI[Date],Daily_KPI[POA-UP(KWh/m2)]),"")</f>
        <v>0.92677981154555833</v>
      </c>
      <c r="G55" s="333">
        <f ca="1">IFERROR(VLOOKUP($B55,RD[[#All],[Date]:[IS4Inv2]],G$2,0)/G$1/_xlfn.XLOOKUP(Inv_SY_B12[[#This Row],[Date]],Daily_KPI[Date],Daily_KPI[POA-UP(KWh/m2)]),"")</f>
        <v>0.91729788978261417</v>
      </c>
      <c r="H55" s="333">
        <f ca="1">IFERROR(VLOOKUP($B55,RD[[#All],[Date]:[IS4Inv2]],H$2,0)/H$1/_xlfn.XLOOKUP(Inv_SY_B12[[#This Row],[Date]],Daily_KPI[Date],Daily_KPI[POA-UP(KWh/m2)]),"")</f>
        <v>0.92600532304685912</v>
      </c>
      <c r="I55" s="333">
        <f ca="1">IFERROR(VLOOKUP($B55,RD[[#All],[Date]:[IS4Inv2]],I$2,0)/I$1/_xlfn.XLOOKUP(Inv_SY_B12[[#This Row],[Date]],Daily_KPI[Date],Daily_KPI[POA-UP(KWh/m2)]),"")</f>
        <v>0.92581448723690096</v>
      </c>
    </row>
    <row r="56" spans="2:9">
      <c r="B56" s="224">
        <f t="shared" ca="1" si="2"/>
        <v>45861</v>
      </c>
      <c r="C56" s="333">
        <f ca="1">IFERROR(VLOOKUP($B56,RD[[#All],[Date]:[IS4Inv2]],C$2,0)/C$1/_xlfn.XLOOKUP(Inv_SY_B12[[#This Row],[Date]],Daily_KPI[Date],Daily_KPI[POA-UP(KWh/m2)]),"")</f>
        <v>0.84465245908129682</v>
      </c>
      <c r="D56" s="333">
        <f ca="1">IFERROR(VLOOKUP($B56,RD[[#All],[Date]:[IS4Inv2]],D$2,0)/D$1/_xlfn.XLOOKUP(Inv_SY_B12[[#This Row],[Date]],Daily_KPI[Date],Daily_KPI[POA-UP(KWh/m2)]),"")</f>
        <v>0.85113371375242386</v>
      </c>
      <c r="E56" s="333">
        <f ca="1">IFERROR(VLOOKUP($B56,RD[[#All],[Date]:[IS4Inv2]],E$2,0)/E$1/_xlfn.XLOOKUP(Inv_SY_B12[[#This Row],[Date]],Daily_KPI[Date],Daily_KPI[POA-UP(KWh/m2)]),"")</f>
        <v>0.84080324385711669</v>
      </c>
      <c r="F56" s="333">
        <f ca="1">IFERROR(VLOOKUP($B56,RD[[#All],[Date]:[IS4Inv2]],F$2,0)/F$1/_xlfn.XLOOKUP(Inv_SY_B12[[#This Row],[Date]],Daily_KPI[Date],Daily_KPI[POA-UP(KWh/m2)]),"")</f>
        <v>0.8528339511711226</v>
      </c>
      <c r="G56" s="333">
        <f ca="1">IFERROR(VLOOKUP($B56,RD[[#All],[Date]:[IS4Inv2]],G$2,0)/G$1/_xlfn.XLOOKUP(Inv_SY_B12[[#This Row],[Date]],Daily_KPI[Date],Daily_KPI[POA-UP(KWh/m2)]),"")</f>
        <v>0.85404159810263969</v>
      </c>
      <c r="H56" s="333">
        <f ca="1">IFERROR(VLOOKUP($B56,RD[[#All],[Date]:[IS4Inv2]],H$2,0)/H$1/_xlfn.XLOOKUP(Inv_SY_B12[[#This Row],[Date]],Daily_KPI[Date],Daily_KPI[POA-UP(KWh/m2)]),"")</f>
        <v>0.86914348548209186</v>
      </c>
      <c r="I56" s="333">
        <f ca="1">IFERROR(VLOOKUP($B56,RD[[#All],[Date]:[IS4Inv2]],I$2,0)/I$1/_xlfn.XLOOKUP(Inv_SY_B12[[#This Row],[Date]],Daily_KPI[Date],Daily_KPI[POA-UP(KWh/m2)]),"")</f>
        <v>0.85848058202509092</v>
      </c>
    </row>
    <row r="57" spans="2:9">
      <c r="B57" s="224">
        <f t="shared" ca="1" si="2"/>
        <v>45862</v>
      </c>
      <c r="C57" s="333">
        <f ca="1">IFERROR(VLOOKUP($B57,RD[[#All],[Date]:[IS4Inv2]],C$2,0)/C$1/_xlfn.XLOOKUP(Inv_SY_B12[[#This Row],[Date]],Daily_KPI[Date],Daily_KPI[POA-UP(KWh/m2)]),"")</f>
        <v>0.94671022125662929</v>
      </c>
      <c r="D57" s="333">
        <f ca="1">IFERROR(VLOOKUP($B57,RD[[#All],[Date]:[IS4Inv2]],D$2,0)/D$1/_xlfn.XLOOKUP(Inv_SY_B12[[#This Row],[Date]],Daily_KPI[Date],Daily_KPI[POA-UP(KWh/m2)]),"")</f>
        <v>0.95368711064230749</v>
      </c>
      <c r="E57" s="333">
        <f ca="1">IFERROR(VLOOKUP($B57,RD[[#All],[Date]:[IS4Inv2]],E$2,0)/E$1/_xlfn.XLOOKUP(Inv_SY_B12[[#This Row],[Date]],Daily_KPI[Date],Daily_KPI[POA-UP(KWh/m2)]),"")</f>
        <v>0.95377308426057772</v>
      </c>
      <c r="F57" s="333">
        <f ca="1">IFERROR(VLOOKUP($B57,RD[[#All],[Date]:[IS4Inv2]],F$2,0)/F$1/_xlfn.XLOOKUP(Inv_SY_B12[[#This Row],[Date]],Daily_KPI[Date],Daily_KPI[POA-UP(KWh/m2)]),"")</f>
        <v>0.97114494435192533</v>
      </c>
      <c r="G57" s="333">
        <f ca="1">IFERROR(VLOOKUP($B57,RD[[#All],[Date]:[IS4Inv2]],G$2,0)/G$1/_xlfn.XLOOKUP(Inv_SY_B12[[#This Row],[Date]],Daily_KPI[Date],Daily_KPI[POA-UP(KWh/m2)]),"")</f>
        <v>0.96820545289042703</v>
      </c>
      <c r="H57" s="333">
        <f ca="1">IFERROR(VLOOKUP($B57,RD[[#All],[Date]:[IS4Inv2]],H$2,0)/H$1/_xlfn.XLOOKUP(Inv_SY_B12[[#This Row],[Date]],Daily_KPI[Date],Daily_KPI[POA-UP(KWh/m2)]),"")</f>
        <v>0.95626973509688207</v>
      </c>
      <c r="I57" s="333">
        <f ca="1">IFERROR(VLOOKUP($B57,RD[[#All],[Date]:[IS4Inv2]],I$2,0)/I$1/_xlfn.XLOOKUP(Inv_SY_B12[[#This Row],[Date]],Daily_KPI[Date],Daily_KPI[POA-UP(KWh/m2)]),"")</f>
        <v>0.95035990256174763</v>
      </c>
    </row>
    <row r="58" spans="2:9">
      <c r="B58" s="224">
        <f t="shared" ca="1" si="2"/>
        <v>45863</v>
      </c>
      <c r="C58" s="333">
        <f ca="1">IFERROR(VLOOKUP($B58,RD[[#All],[Date]:[IS4Inv2]],C$2,0)/C$1/_xlfn.XLOOKUP(Inv_SY_B12[[#This Row],[Date]],Daily_KPI[Date],Daily_KPI[POA-UP(KWh/m2)]),"")</f>
        <v>0.95838168717994343</v>
      </c>
      <c r="D58" s="333">
        <f ca="1">IFERROR(VLOOKUP($B58,RD[[#All],[Date]:[IS4Inv2]],D$2,0)/D$1/_xlfn.XLOOKUP(Inv_SY_B12[[#This Row],[Date]],Daily_KPI[Date],Daily_KPI[POA-UP(KWh/m2)]),"")</f>
        <v>0.97532860883424632</v>
      </c>
      <c r="E58" s="333">
        <f ca="1">IFERROR(VLOOKUP($B58,RD[[#All],[Date]:[IS4Inv2]],E$2,0)/E$1/_xlfn.XLOOKUP(Inv_SY_B12[[#This Row],[Date]],Daily_KPI[Date],Daily_KPI[POA-UP(KWh/m2)]),"")</f>
        <v>0.9629553687084984</v>
      </c>
      <c r="F58" s="333">
        <f ca="1">IFERROR(VLOOKUP($B58,RD[[#All],[Date]:[IS4Inv2]],F$2,0)/F$1/_xlfn.XLOOKUP(Inv_SY_B12[[#This Row],[Date]],Daily_KPI[Date],Daily_KPI[POA-UP(KWh/m2)]),"")</f>
        <v>0.9842229898425533</v>
      </c>
      <c r="G58" s="333">
        <f ca="1">IFERROR(VLOOKUP($B58,RD[[#All],[Date]:[IS4Inv2]],G$2,0)/G$1/_xlfn.XLOOKUP(Inv_SY_B12[[#This Row],[Date]],Daily_KPI[Date],Daily_KPI[POA-UP(KWh/m2)]),"")</f>
        <v>0.98849588052539905</v>
      </c>
      <c r="H58" s="333">
        <f ca="1">IFERROR(VLOOKUP($B58,RD[[#All],[Date]:[IS4Inv2]],H$2,0)/H$1/_xlfn.XLOOKUP(Inv_SY_B12[[#This Row],[Date]],Daily_KPI[Date],Daily_KPI[POA-UP(KWh/m2)]),"")</f>
        <v>0.97945697854456992</v>
      </c>
      <c r="I58" s="333">
        <f ca="1">IFERROR(VLOOKUP($B58,RD[[#All],[Date]:[IS4Inv2]],I$2,0)/I$1/_xlfn.XLOOKUP(Inv_SY_B12[[#This Row],[Date]],Daily_KPI[Date],Daily_KPI[POA-UP(KWh/m2)]),"")</f>
        <v>0.97581020372361926</v>
      </c>
    </row>
    <row r="59" spans="2:9">
      <c r="B59" s="224">
        <f t="shared" ca="1" si="2"/>
        <v>45864</v>
      </c>
      <c r="C59" s="333">
        <f ca="1">IFERROR(VLOOKUP($B59,RD[[#All],[Date]:[IS4Inv2]],C$2,0)/C$1/_xlfn.XLOOKUP(Inv_SY_B12[[#This Row],[Date]],Daily_KPI[Date],Daily_KPI[POA-UP(KWh/m2)]),"")</f>
        <v>0.99738298308167128</v>
      </c>
      <c r="D59" s="333">
        <f ca="1">IFERROR(VLOOKUP($B59,RD[[#All],[Date]:[IS4Inv2]],D$2,0)/D$1/_xlfn.XLOOKUP(Inv_SY_B12[[#This Row],[Date]],Daily_KPI[Date],Daily_KPI[POA-UP(KWh/m2)]),"")</f>
        <v>1.0194558928130124</v>
      </c>
      <c r="E59" s="333">
        <f ca="1">IFERROR(VLOOKUP($B59,RD[[#All],[Date]:[IS4Inv2]],E$2,0)/E$1/_xlfn.XLOOKUP(Inv_SY_B12[[#This Row],[Date]],Daily_KPI[Date],Daily_KPI[POA-UP(KWh/m2)]),"")</f>
        <v>1.000167461964139</v>
      </c>
      <c r="F59" s="333">
        <f ca="1">IFERROR(VLOOKUP($B59,RD[[#All],[Date]:[IS4Inv2]],F$2,0)/F$1/_xlfn.XLOOKUP(Inv_SY_B12[[#This Row],[Date]],Daily_KPI[Date],Daily_KPI[POA-UP(KWh/m2)]),"")</f>
        <v>1.0249775659447813</v>
      </c>
      <c r="G59" s="333">
        <f ca="1">IFERROR(VLOOKUP($B59,RD[[#All],[Date]:[IS4Inv2]],G$2,0)/G$1/_xlfn.XLOOKUP(Inv_SY_B12[[#This Row],[Date]],Daily_KPI[Date],Daily_KPI[POA-UP(KWh/m2)]),"")</f>
        <v>1.0329061361638427</v>
      </c>
      <c r="H59" s="333">
        <f ca="1">IFERROR(VLOOKUP($B59,RD[[#All],[Date]:[IS4Inv2]],H$2,0)/H$1/_xlfn.XLOOKUP(Inv_SY_B12[[#This Row],[Date]],Daily_KPI[Date],Daily_KPI[POA-UP(KWh/m2)]),"")</f>
        <v>1.0235016930183689</v>
      </c>
      <c r="I59" s="333">
        <f ca="1">IFERROR(VLOOKUP($B59,RD[[#All],[Date]:[IS4Inv2]],I$2,0)/I$1/_xlfn.XLOOKUP(Inv_SY_B12[[#This Row],[Date]],Daily_KPI[Date],Daily_KPI[POA-UP(KWh/m2)]),"")</f>
        <v>1.0226273475284215</v>
      </c>
    </row>
    <row r="60" spans="2:9">
      <c r="B60" s="224">
        <f t="shared" ca="1" si="2"/>
        <v>45865</v>
      </c>
      <c r="C60" s="333">
        <f ca="1">IFERROR(VLOOKUP($B60,RD[[#All],[Date]:[IS4Inv2]],C$2,0)/C$1/_xlfn.XLOOKUP(Inv_SY_B12[[#This Row],[Date]],Daily_KPI[Date],Daily_KPI[POA-UP(KWh/m2)]),"")</f>
        <v>0.93720988712822262</v>
      </c>
      <c r="D60" s="333">
        <f ca="1">IFERROR(VLOOKUP($B60,RD[[#All],[Date]:[IS4Inv2]],D$2,0)/D$1/_xlfn.XLOOKUP(Inv_SY_B12[[#This Row],[Date]],Daily_KPI[Date],Daily_KPI[POA-UP(KWh/m2)]),"")</f>
        <v>0.95663600104664626</v>
      </c>
      <c r="E60" s="333">
        <f ca="1">IFERROR(VLOOKUP($B60,RD[[#All],[Date]:[IS4Inv2]],E$2,0)/E$1/_xlfn.XLOOKUP(Inv_SY_B12[[#This Row],[Date]],Daily_KPI[Date],Daily_KPI[POA-UP(KWh/m2)]),"")</f>
        <v>0.94343163047962608</v>
      </c>
      <c r="F60" s="333">
        <f ca="1">IFERROR(VLOOKUP($B60,RD[[#All],[Date]:[IS4Inv2]],F$2,0)/F$1/_xlfn.XLOOKUP(Inv_SY_B12[[#This Row],[Date]],Daily_KPI[Date],Daily_KPI[POA-UP(KWh/m2)]),"")</f>
        <v>0.96332272439631506</v>
      </c>
      <c r="G60" s="333">
        <f ca="1">IFERROR(VLOOKUP($B60,RD[[#All],[Date]:[IS4Inv2]],G$2,0)/G$1/_xlfn.XLOOKUP(Inv_SY_B12[[#This Row],[Date]],Daily_KPI[Date],Daily_KPI[POA-UP(KWh/m2)]),"")</f>
        <v>0.96970115444261884</v>
      </c>
      <c r="H60" s="333">
        <f ca="1">IFERROR(VLOOKUP($B60,RD[[#All],[Date]:[IS4Inv2]],H$2,0)/H$1/_xlfn.XLOOKUP(Inv_SY_B12[[#This Row],[Date]],Daily_KPI[Date],Daily_KPI[POA-UP(KWh/m2)]),"")</f>
        <v>0.96088784966682073</v>
      </c>
      <c r="I60" s="333">
        <f ca="1">IFERROR(VLOOKUP($B60,RD[[#All],[Date]:[IS4Inv2]],I$2,0)/I$1/_xlfn.XLOOKUP(Inv_SY_B12[[#This Row],[Date]],Daily_KPI[Date],Daily_KPI[POA-UP(KWh/m2)]),"")</f>
        <v>0.96004919174789149</v>
      </c>
    </row>
    <row r="61" spans="2:9">
      <c r="B61" s="224">
        <f t="shared" ca="1" si="2"/>
        <v>45866</v>
      </c>
      <c r="C61" s="333">
        <f ca="1">IFERROR(VLOOKUP($B61,RD[[#All],[Date]:[IS4Inv2]],C$2,0)/C$1/_xlfn.XLOOKUP(Inv_SY_B12[[#This Row],[Date]],Daily_KPI[Date],Daily_KPI[POA-UP(KWh/m2)]),"")</f>
        <v>0.92097182817641798</v>
      </c>
      <c r="D61" s="333">
        <f ca="1">IFERROR(VLOOKUP($B61,RD[[#All],[Date]:[IS4Inv2]],D$2,0)/D$1/_xlfn.XLOOKUP(Inv_SY_B12[[#This Row],[Date]],Daily_KPI[Date],Daily_KPI[POA-UP(KWh/m2)]),"")</f>
        <v>0.9312092855277424</v>
      </c>
      <c r="E61" s="333">
        <f ca="1">IFERROR(VLOOKUP($B61,RD[[#All],[Date]:[IS4Inv2]],E$2,0)/E$1/_xlfn.XLOOKUP(Inv_SY_B12[[#This Row],[Date]],Daily_KPI[Date],Daily_KPI[POA-UP(KWh/m2)]),"")</f>
        <v>0.9204570651638998</v>
      </c>
      <c r="F61" s="333">
        <f ca="1">IFERROR(VLOOKUP($B61,RD[[#All],[Date]:[IS4Inv2]],F$2,0)/F$1/_xlfn.XLOOKUP(Inv_SY_B12[[#This Row],[Date]],Daily_KPI[Date],Daily_KPI[POA-UP(KWh/m2)]),"")</f>
        <v>0.93808584097730607</v>
      </c>
      <c r="G61" s="333">
        <f ca="1">IFERROR(VLOOKUP($B61,RD[[#All],[Date]:[IS4Inv2]],G$2,0)/G$1/_xlfn.XLOOKUP(Inv_SY_B12[[#This Row],[Date]],Daily_KPI[Date],Daily_KPI[POA-UP(KWh/m2)]),"")</f>
        <v>0.94083477734337484</v>
      </c>
      <c r="H61" s="333">
        <f ca="1">IFERROR(VLOOKUP($B61,RD[[#All],[Date]:[IS4Inv2]],H$2,0)/H$1/_xlfn.XLOOKUP(Inv_SY_B12[[#This Row],[Date]],Daily_KPI[Date],Daily_KPI[POA-UP(KWh/m2)]),"")</f>
        <v>0.94139395495826272</v>
      </c>
      <c r="I61" s="333">
        <f ca="1">IFERROR(VLOOKUP($B61,RD[[#All],[Date]:[IS4Inv2]],I$2,0)/I$1/_xlfn.XLOOKUP(Inv_SY_B12[[#This Row],[Date]],Daily_KPI[Date],Daily_KPI[POA-UP(KWh/m2)]),"")</f>
        <v>0.93890012585877924</v>
      </c>
    </row>
    <row r="62" spans="2:9">
      <c r="B62" s="224">
        <f t="shared" ca="1" si="2"/>
        <v>45867</v>
      </c>
      <c r="C62" s="333">
        <f ca="1">IFERROR(VLOOKUP($B62,RD[[#All],[Date]:[IS4Inv2]],C$2,0)/C$1/_xlfn.XLOOKUP(Inv_SY_B12[[#This Row],[Date]],Daily_KPI[Date],Daily_KPI[POA-UP(KWh/m2)]),"")</f>
        <v>0.97705069787071119</v>
      </c>
      <c r="D62" s="333">
        <f ca="1">IFERROR(VLOOKUP($B62,RD[[#All],[Date]:[IS4Inv2]],D$2,0)/D$1/_xlfn.XLOOKUP(Inv_SY_B12[[#This Row],[Date]],Daily_KPI[Date],Daily_KPI[POA-UP(KWh/m2)]),"")</f>
        <v>0.98707012499196178</v>
      </c>
      <c r="E62" s="333">
        <f ca="1">IFERROR(VLOOKUP($B62,RD[[#All],[Date]:[IS4Inv2]],E$2,0)/E$1/_xlfn.XLOOKUP(Inv_SY_B12[[#This Row],[Date]],Daily_KPI[Date],Daily_KPI[POA-UP(KWh/m2)]),"")</f>
        <v>0.98729127587881593</v>
      </c>
      <c r="F62" s="333">
        <f ca="1">IFERROR(VLOOKUP($B62,RD[[#All],[Date]:[IS4Inv2]],F$2,0)/F$1/_xlfn.XLOOKUP(Inv_SY_B12[[#This Row],[Date]],Daily_KPI[Date],Daily_KPI[POA-UP(KWh/m2)]),"")</f>
        <v>1.0052339552835678</v>
      </c>
      <c r="G62" s="333">
        <f ca="1">IFERROR(VLOOKUP($B62,RD[[#All],[Date]:[IS4Inv2]],G$2,0)/G$1/_xlfn.XLOOKUP(Inv_SY_B12[[#This Row],[Date]],Daily_KPI[Date],Daily_KPI[POA-UP(KWh/m2)]),"")</f>
        <v>1.0063597586796376</v>
      </c>
      <c r="H62" s="333">
        <f ca="1">IFERROR(VLOOKUP($B62,RD[[#All],[Date]:[IS4Inv2]],H$2,0)/H$1/_xlfn.XLOOKUP(Inv_SY_B12[[#This Row],[Date]],Daily_KPI[Date],Daily_KPI[POA-UP(KWh/m2)]),"")</f>
        <v>0.98714619133697912</v>
      </c>
      <c r="I62" s="333">
        <f ca="1">IFERROR(VLOOKUP($B62,RD[[#All],[Date]:[IS4Inv2]],I$2,0)/I$1/_xlfn.XLOOKUP(Inv_SY_B12[[#This Row],[Date]],Daily_KPI[Date],Daily_KPI[POA-UP(KWh/m2)]),"")</f>
        <v>0.9809395236024987</v>
      </c>
    </row>
    <row r="63" spans="2:9">
      <c r="B63" s="224">
        <f t="shared" ca="1" si="2"/>
        <v>45868</v>
      </c>
      <c r="C63" s="333">
        <f ca="1">IFERROR(VLOOKUP($B63,RD[[#All],[Date]:[IS4Inv2]],C$2,0)/C$1/_xlfn.XLOOKUP(Inv_SY_B12[[#This Row],[Date]],Daily_KPI[Date],Daily_KPI[POA-UP(KWh/m2)]),"")</f>
        <v>0.93792642001062154</v>
      </c>
      <c r="D63" s="333">
        <f ca="1">IFERROR(VLOOKUP($B63,RD[[#All],[Date]:[IS4Inv2]],D$2,0)/D$1/_xlfn.XLOOKUP(Inv_SY_B12[[#This Row],[Date]],Daily_KPI[Date],Daily_KPI[POA-UP(KWh/m2)]),"")</f>
        <v>0.94834188408146791</v>
      </c>
      <c r="E63" s="333">
        <f ca="1">IFERROR(VLOOKUP($B63,RD[[#All],[Date]:[IS4Inv2]],E$2,0)/E$1/_xlfn.XLOOKUP(Inv_SY_B12[[#This Row],[Date]],Daily_KPI[Date],Daily_KPI[POA-UP(KWh/m2)]),"")</f>
        <v>0.94377496776790137</v>
      </c>
      <c r="F63" s="333">
        <f ca="1">IFERROR(VLOOKUP($B63,RD[[#All],[Date]:[IS4Inv2]],F$2,0)/F$1/_xlfn.XLOOKUP(Inv_SY_B12[[#This Row],[Date]],Daily_KPI[Date],Daily_KPI[POA-UP(KWh/m2)]),"")</f>
        <v>0.95993067422204736</v>
      </c>
      <c r="G63" s="333">
        <f ca="1">IFERROR(VLOOKUP($B63,RD[[#All],[Date]:[IS4Inv2]],G$2,0)/G$1/_xlfn.XLOOKUP(Inv_SY_B12[[#This Row],[Date]],Daily_KPI[Date],Daily_KPI[POA-UP(KWh/m2)]),"")</f>
        <v>0.95705938221437947</v>
      </c>
      <c r="H63" s="333">
        <f ca="1">IFERROR(VLOOKUP($B63,RD[[#All],[Date]:[IS4Inv2]],H$2,0)/H$1/_xlfn.XLOOKUP(Inv_SY_B12[[#This Row],[Date]],Daily_KPI[Date],Daily_KPI[POA-UP(KWh/m2)]),"")</f>
        <v>0.95192573568528216</v>
      </c>
      <c r="I63" s="333">
        <f ca="1">IFERROR(VLOOKUP($B63,RD[[#All],[Date]:[IS4Inv2]],I$2,0)/I$1/_xlfn.XLOOKUP(Inv_SY_B12[[#This Row],[Date]],Daily_KPI[Date],Daily_KPI[POA-UP(KWh/m2)]),"")</f>
        <v>0.94770856313323348</v>
      </c>
    </row>
    <row r="64" spans="2:9">
      <c r="B64" s="224">
        <f t="shared" ca="1" si="2"/>
        <v>45869</v>
      </c>
      <c r="C64" s="333">
        <f ca="1">IFERROR(VLOOKUP($B64,RD[[#All],[Date]:[IS4Inv2]],C$2,0)/C$1/_xlfn.XLOOKUP(Inv_SY_B12[[#This Row],[Date]],Daily_KPI[Date],Daily_KPI[POA-UP(KWh/m2)]),"")</f>
        <v>0.67533036978596728</v>
      </c>
      <c r="D64" s="333">
        <f ca="1">IFERROR(VLOOKUP($B64,RD[[#All],[Date]:[IS4Inv2]],D$2,0)/D$1/_xlfn.XLOOKUP(Inv_SY_B12[[#This Row],[Date]],Daily_KPI[Date],Daily_KPI[POA-UP(KWh/m2)]),"")</f>
        <v>0.67676334068552535</v>
      </c>
      <c r="E64" s="333">
        <f ca="1">IFERROR(VLOOKUP($B64,RD[[#All],[Date]:[IS4Inv2]],E$2,0)/E$1/_xlfn.XLOOKUP(Inv_SY_B12[[#This Row],[Date]],Daily_KPI[Date],Daily_KPI[POA-UP(KWh/m2)]),"")</f>
        <v>0.67327412232626904</v>
      </c>
      <c r="F64" s="333">
        <f ca="1">IFERROR(VLOOKUP($B64,RD[[#All],[Date]:[IS4Inv2]],F$2,0)/F$1/_xlfn.XLOOKUP(Inv_SY_B12[[#This Row],[Date]],Daily_KPI[Date],Daily_KPI[POA-UP(KWh/m2)]),"")</f>
        <v>0.68030645900959319</v>
      </c>
      <c r="G64" s="333">
        <f ca="1">IFERROR(VLOOKUP($B64,RD[[#All],[Date]:[IS4Inv2]],G$2,0)/G$1/_xlfn.XLOOKUP(Inv_SY_B12[[#This Row],[Date]],Daily_KPI[Date],Daily_KPI[POA-UP(KWh/m2)]),"")</f>
        <v>0.68596528347298191</v>
      </c>
      <c r="H64" s="333">
        <f ca="1">IFERROR(VLOOKUP($B64,RD[[#All],[Date]:[IS4Inv2]],H$2,0)/H$1/_xlfn.XLOOKUP(Inv_SY_B12[[#This Row],[Date]],Daily_KPI[Date],Daily_KPI[POA-UP(KWh/m2)]),"")</f>
        <v>0.69415631979019399</v>
      </c>
      <c r="I64" s="333">
        <f ca="1">IFERROR(VLOOKUP($B64,RD[[#All],[Date]:[IS4Inv2]],I$2,0)/I$1/_xlfn.XLOOKUP(Inv_SY_B12[[#This Row],[Date]],Daily_KPI[Date],Daily_KPI[POA-UP(KWh/m2)]),"")</f>
        <v>0.68386564541060835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2025-07-31T15:25:35Z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